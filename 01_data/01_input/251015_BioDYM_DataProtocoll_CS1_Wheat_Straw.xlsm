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34089006-EA3B-49C0-8B9D-8B96BB1D3085}" xr6:coauthVersionLast="47" xr6:coauthVersionMax="47" xr10:uidLastSave="{00000000-0000-0000-0000-000000000000}"/>
  <bookViews>
    <workbookView xWindow="-120" yWindow="-120" windowWidth="38640" windowHeight="21120" tabRatio="840" activeTab="5"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 i="39" l="1"/>
  <c r="L5" i="39"/>
  <c r="L4" i="39"/>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C79" i="17"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L70" i="15" l="1"/>
  <c r="O70" i="15"/>
  <c r="R70" i="15"/>
  <c r="B13" i="39" l="1"/>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E304" i="2"/>
  <c r="F304" i="2"/>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B304" i="2" s="1"/>
  <c r="C23" i="15"/>
  <c r="C44" i="15"/>
  <c r="C53" i="15"/>
  <c r="C10" i="15"/>
  <c r="C48" i="15"/>
  <c r="C51" i="15"/>
  <c r="C32" i="15"/>
  <c r="C30" i="15"/>
  <c r="C41" i="15"/>
  <c r="C56" i="15"/>
  <c r="C38" i="15"/>
  <c r="C69" i="15"/>
  <c r="C20" i="15"/>
  <c r="C66" i="15"/>
  <c r="C29" i="15"/>
  <c r="C24" i="15"/>
  <c r="C45" i="15"/>
  <c r="C63" i="15"/>
  <c r="C54" i="15"/>
  <c r="C33" i="15"/>
  <c r="C27" i="15"/>
  <c r="C42" i="15"/>
  <c r="AD304" i="2" l="1"/>
  <c r="V304" i="2"/>
  <c r="Z304" i="2"/>
  <c r="R304" i="2"/>
  <c r="O62" i="15"/>
  <c r="L62" i="15"/>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AE304" i="2" l="1"/>
  <c r="AA304" i="2"/>
  <c r="W304" i="2"/>
  <c r="R17" i="33"/>
  <c r="L17" i="33"/>
  <c r="N17" i="33"/>
  <c r="P17" i="33"/>
  <c r="R18" i="33"/>
  <c r="N18" i="33"/>
  <c r="L18" i="33"/>
  <c r="P18" i="33"/>
  <c r="R19" i="33"/>
  <c r="P19" i="33"/>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8" i="39" l="1"/>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K8" i="39" l="1"/>
  <c r="O8" i="39"/>
  <c r="M8" i="39"/>
  <c r="Q8"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l="1"/>
  <c r="O5" i="39" s="1"/>
  <c r="J4" i="39"/>
  <c r="J3" i="39"/>
  <c r="Q3" i="39" s="1"/>
  <c r="J8" i="33"/>
  <c r="J12" i="33"/>
  <c r="W218" i="2"/>
  <c r="AA218" i="2"/>
  <c r="AE218" i="2"/>
  <c r="W22" i="2"/>
  <c r="AA22" i="2"/>
  <c r="AE22" i="2"/>
  <c r="W108" i="2"/>
  <c r="AA108" i="2"/>
  <c r="AE108" i="2"/>
  <c r="W79" i="2"/>
  <c r="AA79" i="2"/>
  <c r="AE79" i="2"/>
  <c r="W51" i="2"/>
  <c r="AA51" i="2"/>
  <c r="AE51" i="2"/>
  <c r="L9" i="15"/>
  <c r="O9" i="15"/>
  <c r="R9" i="15"/>
  <c r="B25" i="46"/>
  <c r="B24" i="46"/>
  <c r="B23" i="46"/>
  <c r="B20" i="46"/>
  <c r="B22" i="46"/>
  <c r="B13" i="46"/>
  <c r="B21" i="46"/>
  <c r="B12" i="46"/>
  <c r="B19" i="46"/>
  <c r="S23" i="2"/>
  <c r="S52" i="2"/>
  <c r="S80" i="2"/>
  <c r="S109" i="2"/>
  <c r="S219" i="2"/>
  <c r="B16" i="46"/>
  <c r="B7" i="46"/>
  <c r="M5" i="39" l="1"/>
  <c r="K5" i="39"/>
  <c r="Q5" i="39"/>
  <c r="O4" i="39"/>
  <c r="M4" i="39"/>
  <c r="K4" i="39"/>
  <c r="Q4"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<sst xmlns="http://schemas.openxmlformats.org/spreadsheetml/2006/main" count="3963" uniqueCount="1129">
  <si>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</si>
  <si>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</si>
  <si>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</si>
  <si>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</si>
  <si>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</si>
  <si>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</si>
  <si>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</si>
  <si>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</si>
  <si>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</si>
  <si>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</si>
  <si>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</si>
  <si>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</si>
  <si>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</si>
  <si>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</si>
  <si>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</si>
  <si>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</si>
  <si>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</si>
  <si>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</si>
  <si>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</si>
  <si>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</si>
  <si>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</si>
  <si>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</si>
  <si>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</si>
  <si>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</si>
  <si>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</si>
  <si>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</si>
  <si>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</si>
  <si>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</si>
  <si>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</si>
  <si>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</si>
  <si>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</si>
  <si>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</si>
  <si>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</si>
  <si>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</si>
  <si>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</si>
  <si>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</si>
  <si>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</si>
  <si>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</si>
  <si>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</si>
  <si>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</si>
  <si>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</si>
  <si>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</si>
  <si>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</si>
  <si>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</si>
  <si>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</si>
  <si>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</si>
  <si>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</si>
  <si>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</si>
  <si>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</si>
  <si>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</si>
  <si>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</si>
  <si>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</si>
  <si>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</si>
  <si>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</si>
  <si>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</si>
  <si>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</si>
  <si>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</si>
  <si>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</si>
  <si>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</si>
  <si>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</si>
  <si>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</si>
  <si>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</si>
  <si>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</si>
  <si>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</si>
  <si>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</si>
  <si>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</si>
  <si>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</si>
  <si>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</si>
  <si>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</si>
  <si>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</si>
  <si>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</si>
  <si>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</si>
  <si>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</si>
  <si>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</si>
  <si>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</si>
  <si>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</si>
  <si>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</si>
  <si>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</si>
  <si>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</si>
  <si>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</si>
  <si>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</si>
  <si>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</si>
  <si>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</si>
  <si>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</si>
  <si>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</si>
  <si>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</si>
  <si>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</si>
  <si>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</si>
  <si>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</si>
  <si>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</si>
  <si>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</si>
  <si>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</si>
  <si>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</si>
  <si>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</si>
  <si>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</si>
  <si>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</si>
  <si>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</si>
  <si>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</si>
  <si>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</si>
  <si>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</si>
  <si>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</si>
  <si>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</si>
  <si>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</si>
  <si>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</si>
  <si>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</si>
  <si>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</si>
  <si>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</si>
  <si>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</si>
  <si>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</si>
  <si>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</si>
  <si>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</si>
  <si>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</si>
  <si>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</si>
  <si>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</si>
  <si>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</si>
  <si>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</si>
  <si>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</si>
  <si>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</si>
  <si>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</si>
  <si>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</si>
  <si>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</si>
  <si>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</si>
  <si>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</si>
  <si>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</si>
  <si>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</si>
  <si>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</si>
  <si>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</si>
  <si>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</si>
  <si>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</si>
  <si>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</si>
  <si>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</si>
  <si>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</si>
  <si>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</si>
  <si>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</si>
  <si>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</si>
  <si>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</si>
  <si>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</si>
  <si>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</si>
  <si>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</si>
  <si>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</si>
  <si>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</si>
  <si>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</si>
  <si>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</si>
  <si>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</si>
  <si>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</si>
  <si>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</si>
  <si>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</si>
  <si>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</si>
  <si>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</si>
  <si>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</si>
  <si>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</si>
  <si>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</si>
  <si>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</si>
  <si>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</si>
  <si>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</si>
  <si>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</si>
  <si>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</si>
  <si>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</si>
  <si>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</si>
  <si>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</si>
  <si>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</si>
  <si>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</si>
  <si>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</si>
  <si>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</si>
  <si>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</si>
  <si>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</si>
  <si>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</si>
  <si>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</si>
  <si>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</si>
  <si>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</si>
  <si>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</si>
  <si>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</si>
  <si>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</si>
  <si>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</si>
  <si>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</si>
  <si>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</si>
  <si>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</si>
  <si>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</si>
  <si>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</si>
  <si>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</si>
  <si>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</si>
  <si>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</si>
  <si>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</si>
  <si>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</si>
  <si>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</si>
  <si>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</si>
  <si>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</si>
  <si>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</si>
  <si>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</si>
  <si>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</si>
  <si>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</si>
  <si>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</si>
  <si>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</si>
  <si>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</si>
  <si>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</si>
  <si>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</si>
  <si>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</si>
  <si>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</si>
  <si>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</si>
  <si>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</si>
  <si>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</si>
  <si>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</si>
  <si>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</si>
  <si>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</si>
  <si>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</si>
  <si>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</si>
  <si>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</si>
  <si>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</si>
  <si>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</si>
  <si>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</si>
  <si>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</si>
  <si>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</si>
  <si>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</si>
  <si>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</si>
  <si>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</si>
  <si>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</si>
  <si>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</si>
  <si>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</si>
  <si>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</si>
  <si>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</si>
  <si>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</si>
  <si>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</si>
  <si>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</si>
  <si>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</si>
  <si>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</si>
  <si>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</si>
  <si>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</si>
  <si>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</si>
  <si>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</si>
  <si>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</si>
  <si>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</si>
  <si>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</si>
  <si>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</si>
  <si>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</si>
  <si>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</si>
  <si>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</si>
  <si>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</si>
  <si>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</si>
  <si>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</si>
  <si>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</si>
  <si>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</si>
  <si>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</si>
  <si>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</si>
  <si>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</si>
  <si>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</si>
  <si>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</si>
  <si>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</si>
  <si>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</si>
  <si>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</si>
  <si>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</si>
  <si>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</si>
  <si>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</si>
  <si>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</si>
  <si>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</si>
  <si>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</si>
  <si>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</si>
  <si>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</si>
  <si>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</si>
  <si>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</si>
  <si>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</si>
  <si>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</si>
  <si>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</si>
  <si>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</si>
  <si>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</si>
  <si>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</si>
  <si>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</si>
  <si>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</si>
  <si>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</si>
  <si>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</si>
  <si>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</si>
  <si>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</si>
  <si>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</si>
  <si>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</si>
  <si>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</si>
  <si>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</si>
  <si>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</si>
  <si>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</si>
  <si>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</si>
  <si>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</si>
  <si>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</si>
  <si>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</si>
  <si>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</si>
  <si>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</si>
  <si>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</si>
  <si>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</si>
  <si>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</si>
  <si>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</si>
  <si>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</si>
  <si>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</si>
  <si>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</si>
  <si>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</si>
  <si>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</si>
  <si>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</si>
  <si>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</si>
  <si>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</si>
  <si>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</si>
  <si>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</si>
  <si>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</si>
  <si>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</si>
  <si>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</si>
  <si>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</si>
  <si>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</si>
  <si>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</si>
  <si>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</si>
  <si>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</si>
  <si>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</si>
  <si>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</si>
  <si>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</si>
  <si>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</si>
  <si>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</si>
  <si>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</si>
  <si>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</si>
  <si>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</si>
  <si>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</si>
  <si>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</si>
  <si>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</si>
  <si>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</si>
  <si>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</si>
  <si>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</si>
  <si>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</si>
  <si>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</si>
  <si>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</si>
  <si>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</si>
  <si>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</si>
  <si>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</si>
  <si>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</si>
  <si>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</si>
  <si>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</si>
  <si>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</si>
  <si>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</si>
  <si>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</si>
  <si>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</si>
  <si>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</si>
  <si>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</si>
  <si>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</si>
  <si>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</si>
  <si>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</si>
  <si>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</si>
  <si>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</si>
  <si>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</si>
  <si>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</si>
  <si>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</si>
  <si>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</si>
  <si>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</si>
  <si>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</si>
  <si>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</si>
  <si>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</si>
  <si>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</si>
  <si>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</si>
  <si>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</si>
  <si>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</si>
  <si>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</si>
  <si>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</si>
  <si>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</si>
  <si>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</si>
  <si>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</si>
  <si>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</si>
  <si>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</si>
  <si>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</si>
  <si>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</si>
  <si>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</si>
  <si>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</si>
  <si>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</si>
  <si>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</si>
  <si>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</si>
  <si>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</si>
  <si>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</si>
  <si>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</si>
  <si>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</si>
  <si>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</si>
  <si>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</si>
  <si>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</si>
  <si>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</si>
  <si>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</si>
  <si>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</si>
  <si>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</si>
  <si>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</si>
  <si>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</si>
  <si>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</si>
  <si>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</si>
  <si>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</si>
  <si>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</si>
  <si>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</si>
  <si>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</si>
  <si>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</si>
  <si>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</si>
  <si>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</si>
  <si>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</si>
  <si>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</si>
  <si>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</si>
  <si>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</si>
  <si>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</si>
  <si>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</si>
  <si>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</si>
  <si>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</si>
  <si>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</si>
  <si>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</si>
  <si>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</si>
  <si>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</si>
  <si>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</si>
  <si>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</si>
  <si>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</si>
  <si>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</si>
  <si>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</si>
  <si>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</si>
  <si>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</si>
  <si>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</si>
  <si>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</si>
  <si>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</si>
  <si>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</si>
  <si>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</si>
  <si>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</si>
  <si>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</si>
  <si>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</si>
  <si>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</si>
  <si>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</si>
  <si>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</si>
  <si>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</si>
  <si>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</si>
  <si>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</si>
  <si>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</si>
  <si>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</si>
  <si>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</si>
  <si>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</si>
  <si>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</si>
  <si>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</si>
  <si>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</si>
  <si>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</si>
  <si>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</si>
  <si>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</si>
  <si>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</si>
  <si>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</si>
  <si>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</si>
  <si>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</si>
  <si>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</si>
  <si>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</si>
  <si>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</si>
  <si>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</si>
  <si>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</si>
  <si>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</si>
  <si>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</si>
  <si>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</si>
  <si>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</si>
  <si>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</si>
  <si>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</si>
  <si>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</si>
  <si>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</si>
  <si>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</si>
  <si>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</si>
  <si>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</si>
  <si>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</si>
  <si>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</si>
  <si>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</si>
  <si>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</si>
  <si>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</si>
  <si>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</si>
  <si>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</si>
  <si>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</si>
  <si>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</si>
  <si>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</si>
  <si>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</si>
  <si>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</si>
  <si>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</si>
  <si>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</si>
  <si>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</si>
  <si>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</si>
  <si>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</si>
  <si>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</si>
  <si>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</si>
  <si>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</si>
  <si>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</si>
  <si>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</si>
  <si>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</si>
  <si>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</si>
  <si>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Use-Phase_Industry_Wood</t>
  </si>
  <si>
    <t>Environment_Input_E</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</si>
  <si>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</si>
  <si>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</si>
  <si>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</si>
  <si>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</si>
  <si>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</si>
  <si>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</si>
  <si>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</si>
  <si>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</si>
  <si>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</si>
  <si>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</si>
  <si>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</si>
  <si>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</si>
  <si>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</si>
  <si>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</si>
  <si>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</si>
  <si>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</si>
  <si>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</si>
  <si>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</si>
  <si>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</si>
  <si>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</si>
  <si>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</si>
  <si>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</si>
  <si>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</si>
  <si>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</si>
  <si>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</si>
  <si>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</si>
  <si>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</si>
  <si>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</si>
  <si>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</si>
  <si>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</si>
  <si>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</si>
  <si>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</si>
  <si>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</si>
  <si>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</si>
  <si>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</si>
  <si>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</si>
  <si>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</si>
  <si>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</si>
  <si>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</si>
  <si>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</si>
  <si>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</si>
  <si>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</si>
  <si>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</si>
  <si>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</si>
  <si>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</si>
  <si>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</si>
  <si>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</si>
  <si>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</si>
  <si>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</si>
  <si>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</si>
  <si>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</si>
  <si>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</si>
  <si>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</si>
  <si>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</si>
  <si>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</si>
  <si>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</si>
  <si>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</si>
  <si>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</si>
  <si>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</si>
  <si>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</si>
  <si>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</si>
  <si>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</si>
  <si>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</si>
  <si>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</si>
  <si>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</si>
  <si>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</si>
  <si>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</si>
  <si>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</si>
  <si>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</si>
  <si>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</si>
  <si>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</si>
  <si>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</si>
  <si>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</si>
  <si>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</si>
  <si>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</si>
  <si>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</si>
  <si>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</si>
  <si>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</si>
  <si>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</si>
  <si>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</si>
  <si>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</si>
  <si>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</si>
  <si>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</si>
  <si>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</si>
  <si>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</si>
  <si>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</si>
  <si>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</si>
  <si>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</si>
  <si>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</si>
  <si>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</si>
  <si>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</si>
  <si>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</si>
  <si>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</si>
  <si>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</si>
  <si>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</si>
  <si>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</si>
  <si>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</si>
  <si>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</si>
  <si>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</si>
  <si>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</si>
  <si>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</si>
  <si>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</si>
  <si>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</si>
  <si>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</si>
  <si>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</si>
  <si>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</si>
  <si>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</si>
  <si>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</si>
  <si>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</si>
  <si>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</si>
  <si>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</si>
  <si>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</si>
  <si>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</si>
  <si>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</si>
  <si>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</si>
  <si>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</si>
  <si>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</si>
  <si>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</si>
  <si>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</si>
  <si>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</si>
  <si>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</si>
  <si>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</si>
  <si>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</si>
  <si>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</si>
  <si>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</si>
  <si>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</si>
  <si>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</si>
  <si>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</si>
  <si>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</si>
  <si>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</si>
  <si>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</si>
  <si>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</si>
  <si>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</si>
  <si>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</si>
  <si>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</si>
  <si>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</si>
  <si>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</si>
  <si>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</si>
  <si>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</si>
  <si>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</si>
  <si>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</si>
  <si>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</si>
  <si>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</si>
  <si>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</si>
  <si>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</si>
  <si>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</si>
  <si>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</si>
  <si>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</si>
  <si>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</si>
  <si>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</si>
  <si>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</si>
  <si>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</si>
  <si>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</si>
  <si>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</si>
  <si>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</si>
  <si>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</si>
  <si>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</si>
  <si>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</si>
  <si>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</si>
  <si>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</si>
  <si>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</si>
  <si>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</si>
  <si>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</si>
  <si>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</si>
  <si>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</si>
  <si>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</si>
  <si>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</si>
  <si>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</si>
  <si>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</si>
  <si>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</si>
  <si>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</si>
  <si>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</si>
  <si>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</si>
  <si>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</si>
  <si>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</si>
  <si>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</si>
  <si>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</si>
  <si>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</si>
  <si>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</si>
  <si>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</si>
  <si>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</si>
  <si>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</si>
  <si>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</si>
  <si>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</si>
  <si>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</si>
  <si>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</si>
  <si>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</si>
  <si>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</si>
  <si>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</si>
  <si>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</si>
  <si>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</si>
  <si>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</si>
  <si>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</si>
  <si>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</si>
  <si>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</si>
  <si>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</si>
  <si>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</si>
  <si>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</si>
  <si>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</si>
  <si>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</si>
  <si>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</si>
  <si>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</si>
  <si>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</si>
  <si>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</si>
  <si>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</si>
  <si>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</si>
  <si>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</si>
  <si>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</si>
  <si>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</si>
  <si>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</si>
  <si>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</si>
  <si>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</si>
  <si>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</si>
  <si>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</si>
  <si>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</si>
  <si>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</si>
  <si>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</si>
  <si>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</si>
  <si>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</si>
  <si>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</si>
  <si>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</si>
  <si>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</si>
  <si>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</si>
  <si>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</si>
  <si>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</si>
  <si>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</si>
  <si>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</si>
  <si>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</si>
  <si>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</si>
  <si>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</si>
  <si>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</si>
  <si>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</si>
  <si>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</si>
  <si>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</si>
  <si>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</si>
  <si>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</si>
  <si>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</si>
  <si>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</si>
  <si>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</si>
  <si>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</si>
  <si>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</si>
  <si>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</si>
  <si>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</si>
  <si>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</si>
  <si>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</si>
  <si>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</si>
  <si>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</si>
  <si>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</si>
  <si>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</si>
  <si>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</si>
  <si>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</si>
  <si>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</si>
  <si>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</si>
  <si>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</si>
  <si>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</si>
  <si>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</si>
  <si>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</si>
  <si>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</si>
  <si>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</si>
  <si>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</si>
  <si>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</si>
  <si>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</si>
  <si>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</si>
  <si>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</si>
  <si>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</si>
  <si>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</si>
  <si>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</si>
  <si>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</si>
  <si>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</si>
  <si>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</si>
  <si>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</si>
  <si>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</si>
  <si>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</si>
  <si>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</si>
  <si>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</si>
  <si>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</si>
  <si>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</si>
  <si>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</si>
  <si>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</si>
  <si>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</si>
  <si>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</si>
  <si>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</si>
  <si>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</si>
  <si>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</si>
  <si>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</si>
  <si>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</si>
  <si>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</si>
  <si>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</si>
  <si>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</si>
  <si>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</si>
  <si>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</si>
  <si>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</si>
  <si>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</si>
  <si>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</si>
  <si>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</si>
  <si>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</si>
  <si>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</si>
  <si>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</si>
  <si>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</si>
  <si>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</si>
  <si>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</si>
  <si>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</si>
  <si>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</si>
  <si>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</si>
  <si>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</si>
  <si>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</si>
  <si>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</si>
  <si>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</si>
  <si>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</si>
  <si>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</si>
  <si>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</si>
  <si>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</si>
  <si>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</si>
  <si>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</si>
  <si>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</si>
  <si>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</si>
  <si>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</si>
  <si>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</si>
  <si>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</si>
  <si>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</si>
  <si>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</si>
  <si>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</si>
  <si>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</si>
  <si>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</si>
  <si>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</si>
  <si>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</si>
  <si>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</si>
  <si>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</si>
  <si>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</si>
  <si>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</si>
  <si>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</si>
  <si>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</si>
  <si>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</si>
  <si>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</si>
  <si>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</si>
  <si>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</si>
  <si>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</si>
  <si>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</si>
  <si>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</si>
  <si>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</si>
  <si>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</si>
  <si>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</si>
  <si>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</si>
  <si>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</si>
  <si>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</si>
  <si>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</si>
  <si>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</si>
  <si>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</si>
  <si>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</si>
  <si>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</si>
  <si>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</si>
  <si>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</si>
  <si>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</si>
  <si>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</si>
  <si>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</si>
  <si>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</si>
  <si>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</si>
  <si>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</si>
  <si>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</si>
  <si>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</si>
  <si>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</si>
  <si>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</si>
  <si>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</si>
  <si>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</si>
  <si>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</si>
  <si>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</si>
  <si>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</si>
  <si>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</si>
  <si>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</si>
  <si>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</si>
  <si>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</si>
  <si>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</si>
  <si>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</si>
  <si>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</si>
  <si>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</si>
  <si>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</si>
  <si>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</si>
  <si>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</si>
  <si>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</si>
  <si>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</si>
  <si>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</si>
  <si>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</si>
  <si>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</si>
  <si>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</si>
  <si>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</si>
  <si>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</si>
  <si>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</si>
  <si>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</si>
  <si>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</si>
  <si>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</si>
  <si>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</si>
  <si>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</si>
  <si>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</si>
  <si>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</si>
  <si>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</si>
  <si>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</si>
  <si>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</si>
  <si>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</si>
  <si>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</si>
  <si>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</si>
  <si>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</si>
  <si>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</si>
  <si>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</si>
  <si>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</si>
  <si>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</si>
  <si>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</si>
  <si>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</si>
  <si>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</si>
  <si>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</si>
  <si>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</si>
  <si>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</si>
  <si>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</si>
  <si>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</si>
  <si>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</si>
  <si>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</si>
  <si>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</si>
  <si>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</si>
  <si>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</si>
  <si>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</si>
  <si>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</si>
  <si>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</si>
  <si>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</si>
  <si>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</si>
  <si>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</si>
  <si>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</si>
  <si>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</si>
  <si>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</si>
  <si>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</si>
  <si>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</si>
  <si>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</si>
  <si>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</si>
  <si>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</si>
  <si>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</si>
  <si>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</si>
  <si>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</si>
  <si>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</si>
  <si>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</si>
  <si>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</si>
  <si>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</si>
  <si>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</si>
  <si>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</si>
  <si>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</si>
  <si>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</si>
  <si>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</si>
  <si>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</si>
  <si>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</si>
  <si>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</si>
  <si>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</si>
  <si>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</si>
  <si>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</si>
  <si>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</si>
  <si>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</si>
  <si>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</si>
  <si>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</si>
  <si>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</si>
  <si>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</si>
  <si>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</si>
  <si>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</si>
  <si>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</si>
  <si>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</si>
  <si>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</si>
  <si>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</si>
  <si>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</si>
  <si>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</si>
  <si>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</si>
  <si>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</si>
  <si>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</si>
  <si>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</si>
  <si>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</si>
  <si>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</si>
  <si>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</si>
  <si>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</si>
  <si>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</si>
  <si>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</si>
  <si>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</si>
  <si>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</si>
  <si>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</si>
  <si>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</si>
  <si>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</si>
  <si>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</si>
  <si>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</si>
  <si>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</si>
  <si>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</si>
  <si>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</si>
  <si>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</si>
  <si>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</si>
  <si>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</si>
  <si>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</si>
  <si>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</si>
  <si>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</si>
  <si>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</si>
  <si>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</si>
  <si>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</si>
  <si>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</si>
  <si>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</si>
  <si>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</si>
  <si>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</si>
  <si>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</si>
  <si>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</si>
  <si>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</si>
  <si>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</si>
  <si>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</si>
  <si>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</si>
  <si>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</si>
  <si>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</si>
  <si>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</si>
  <si>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</si>
  <si>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</si>
  <si>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</si>
  <si>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</si>
  <si>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</si>
  <si>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</si>
  <si>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</si>
  <si>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</si>
  <si>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</si>
  <si>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</si>
  <si>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</si>
  <si>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</si>
  <si>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</si>
  <si>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</si>
  <si>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</si>
  <si>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</si>
  <si>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</si>
  <si>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</si>
  <si>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</si>
  <si>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</si>
  <si>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</si>
  <si>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</si>
  <si>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</si>
  <si>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</si>
  <si>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</si>
  <si>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</si>
  <si>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</si>
  <si>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</si>
  <si>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</si>
  <si>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</si>
  <si>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</si>
  <si>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</si>
  <si>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</si>
  <si>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</si>
  <si>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</si>
  <si>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</si>
  <si>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</si>
  <si>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</si>
  <si>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</si>
  <si>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</si>
  <si>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</si>
  <si>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</si>
  <si>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</si>
  <si>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</si>
  <si>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</si>
  <si>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</si>
  <si>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</si>
  <si>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</si>
  <si>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</si>
  <si>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</si>
  <si>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</si>
  <si>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</si>
  <si>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</si>
  <si>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</si>
  <si>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</si>
  <si>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</si>
  <si>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</si>
  <si>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</si>
  <si>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</si>
  <si>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</si>
  <si>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</si>
  <si>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</si>
  <si>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</si>
  <si>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</si>
  <si>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</si>
  <si>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</si>
  <si>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</si>
  <si>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</si>
  <si>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</si>
  <si>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</si>
  <si>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</si>
  <si>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</si>
  <si>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</si>
  <si>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</si>
  <si>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</si>
  <si>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</si>
  <si>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</si>
  <si>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</si>
  <si>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</si>
  <si>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</si>
  <si>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</si>
  <si>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</si>
  <si>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</si>
  <si>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</si>
  <si>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</si>
  <si>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</si>
  <si>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</si>
  <si>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</si>
  <si>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</si>
  <si>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</si>
  <si>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</si>
  <si>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</si>
  <si>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</si>
  <si>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</si>
  <si>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Cultivation</t>
  </si>
  <si>
    <t>Harvest</t>
  </si>
  <si>
    <t>Grain Processing &amp; Consumption</t>
  </si>
  <si>
    <t>Straw Collection &amp; Distribution</t>
  </si>
  <si>
    <t>Direct Incorporation</t>
  </si>
  <si>
    <t>Lithosphere (P&amp;I)</t>
  </si>
  <si>
    <t>Lithosphere (I)</t>
  </si>
  <si>
    <t>Composting &amp; Incorporation</t>
  </si>
  <si>
    <t>Lithosphere (C&amp;I)</t>
  </si>
  <si>
    <t>Water_Composting</t>
  </si>
  <si>
    <t>Pyrolysis</t>
  </si>
  <si>
    <t>Wheat Plant</t>
  </si>
  <si>
    <t>Grain</t>
  </si>
  <si>
    <t>Straw</t>
  </si>
  <si>
    <t>Food_Emissions_C</t>
  </si>
  <si>
    <t>Food_Emissions_E</t>
  </si>
  <si>
    <t>Straw_incorperation</t>
  </si>
  <si>
    <t>Straw_lithosphere</t>
  </si>
  <si>
    <t>Straw_Pyrolisis</t>
  </si>
  <si>
    <t>Pyrolisis_Emissions_C</t>
  </si>
  <si>
    <t>Pyrolisis_Emissions_E</t>
  </si>
  <si>
    <t>Straw_Compost</t>
  </si>
  <si>
    <t>Compost_Emissions_C</t>
  </si>
  <si>
    <t>Compost_Emissions_E</t>
  </si>
  <si>
    <t>Lithosphere(CI)_Emissions_C</t>
  </si>
  <si>
    <t>Lithosphere(CI)_Emissions_E</t>
  </si>
  <si>
    <t>Compost_lithosphere</t>
  </si>
  <si>
    <t>Water Compost</t>
  </si>
  <si>
    <t>Pyrochar</t>
  </si>
  <si>
    <t>Lithosphere(P&amp;I)_Emissions_C</t>
  </si>
  <si>
    <t>Lithosphere(P&amp;I)_Emissions_E</t>
  </si>
  <si>
    <t>Lithosphere(I)_Emissions_C</t>
  </si>
  <si>
    <t>Lithosphere(I)_Emissions_E</t>
  </si>
  <si>
    <t>F_08_00</t>
  </si>
  <si>
    <t>F_08_01</t>
  </si>
  <si>
    <t>F_10_00</t>
  </si>
  <si>
    <t>F_10_01</t>
  </si>
  <si>
    <t>F_07_00</t>
  </si>
  <si>
    <t>F_07_01</t>
  </si>
  <si>
    <t>P08_Inflow_fraction_f (Labile pool)</t>
  </si>
  <si>
    <t>P08_decay_k1 (Labile pool)</t>
  </si>
  <si>
    <t>P08_Inflow_fraction_f (Recalcitrant pool)</t>
  </si>
  <si>
    <t>P08_decay_k2 (Recalcitrant pool)</t>
  </si>
  <si>
    <t>P10_Inflow_fraction_f (Labile pool)</t>
  </si>
  <si>
    <t>P10_decay_k1 (Labile pool)</t>
  </si>
  <si>
    <t>P10_Inflow_fraction_f (Recalcitrant pool)</t>
  </si>
  <si>
    <t>P10_decay_k2 (Recalcitrant pool)</t>
  </si>
  <si>
    <t>P07_Inflow_fraction_f (Labile pool)</t>
  </si>
  <si>
    <t>P07_decay_k1 (Labile pool)</t>
  </si>
  <si>
    <t>P07_Inflow_fraction_f (Recalcitrant pool)</t>
  </si>
  <si>
    <t>P07_decay_k2 (Recalcitrant pool)</t>
  </si>
  <si>
    <t>Contributers:</t>
  </si>
  <si>
    <t>BioDYM 2.0 is based on the Developement from Lukas Hoppe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</si>
</sst>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59">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18" fillId="0" borderId="0" xfId="0" quotePrefix="1" applyFont="1" applyAlignment="1">
      <alignment horizontal="center" wrapText="1"/>
    </xf>
    <xf numFmtId="0" fontId="19" fillId="0" borderId="0" xfId="0" quotePrefix="1" applyFont="1" applyAlignment="1">
      <alignment horizontal="center" wrapText="1"/>
    </xf>
    <xf numFmtId="0" fontId="17" fillId="8" borderId="0" xfId="10" applyFont="1" applyFill="1" applyBorder="1" applyAlignment="1">
      <alignment horizontal="center" wrapText="1"/>
    </xf>
    <xf numFmtId="0" fontId="0" fillId="0" borderId="0" xfId="0" applyAlignment="1">
      <alignment horizontal="center"/>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0" fillId="0" borderId="0" xfId="0" applyAlignment="1">
      <alignment horizont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0" fillId="0" borderId="0" xfId="0" applyBorder="1"/>
    <xf numFmtId="0" fontId="5" fillId="5" borderId="10" xfId="4" applyAlignment="1">
      <alignment horizontal="right"/>
      <protection locked="0"/>
    </xf>
    <xf numFmtId="0" fontId="3" fillId="0" borderId="0" xfId="0" applyFont="1" applyBorder="1"/>
    <xf numFmtId="0" fontId="0" fillId="0" borderId="0" xfId="0" applyBorder="1" applyAlignment="1">
      <alignment horizontal="center"/>
    </xf>
    <xf numFmtId="0" fontId="0" fillId="0" borderId="0" xfId="0" applyFill="1" applyBorder="1"/>
    <xf numFmtId="0" fontId="5" fillId="6" borderId="10" xfId="7" applyAlignment="1">
      <alignment horizontal="right"/>
      <protection locked="0"/>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bottom style="thin">
          <color theme="1"/>
        </bottom>
      </border>
    </dxf>
    <dxf>
      <border outline="0">
        <top style="thin">
          <color theme="1"/>
        </top>
      </border>
    </dxf>
    <dxf>
      <fill>
        <patternFill patternType="none">
          <fgColor theme="0" tint="-0.14999847407452621"/>
          <bgColor auto="1"/>
        </patternFill>
      </fill>
    </dxf>
    <dxf>
      <font>
        <b/>
        <i val="0"/>
        <strike val="0"/>
        <condense val="0"/>
        <extend val="0"/>
        <outline val="0"/>
        <shadow val="0"/>
        <u val="none"/>
        <vertAlign val="baseline"/>
        <sz val="11"/>
        <color theme="1"/>
        <name val="Calibri"/>
        <family val="2"/>
        <scheme val="minor"/>
      </font>
      <fill>
        <patternFill patternType="none">
          <bgColor auto="1"/>
        </patternFill>
      </fill>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0</xdr:row>
      <xdr:rowOff>71717</xdr:rowOff>
    </xdr:from>
    <xdr:to>
      <xdr:col>3</xdr:col>
      <xdr:colOff>5257907</xdr:colOff>
      <xdr:row>15</xdr:row>
      <xdr:rowOff>94129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71717"/>
          <a:ext cx="13744682"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6:D58" totalsRowShown="0" headerRowDxfId="156" dataDxfId="155" tableBorderDxfId="154">
  <autoFilter ref="A46:D58"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9:D44" totalsRowShown="0" headerRowDxfId="149" dataDxfId="148" tableBorderDxfId="147">
  <autoFilter ref="A39:D44"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1:D67" totalsRowShown="0" headerRowDxfId="142" dataDxfId="140" headerRowBorderDxfId="141" tableBorderDxfId="139" totalsRowBorderDxfId="138">
  <autoFilter ref="A61:D67"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5:D79" totalsRowShown="0" headerRowDxfId="133" dataDxfId="131" headerRowBorderDxfId="132" tableBorderDxfId="130" totalsRowBorderDxfId="129">
  <autoFilter ref="A75:D79"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7:D31" totalsRowShown="0" headerRowDxfId="124" dataDxfId="123" tableBorderDxfId="122">
  <autoFilter ref="A27:D31"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9:D73" totalsRowShown="0" headerRowDxfId="117" dataDxfId="115" headerRowBorderDxfId="116" tableBorderDxfId="114" totalsRowBorderDxfId="113">
  <autoFilter ref="A69:D73"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3:D37" totalsRowShown="0" tableBorderDxfId="108">
  <autoFilter ref="A33:D37"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dataCellStyle="04_Comments"/>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2" dataCellStyle="03_Auto_Calcaulation"/>
    <tableColumn id="17" xr3:uid="{B0D60035-A4D1-4384-BE92-567E3D049F49}" name="IS_Parameter_type" dataDxfId="1" dataCellStyle="02_Data_Input (DD)"/>
    <tableColumn id="18" xr3:uid="{AA418A52-865B-4FB0-8CFC-493764532481}" name="IS_Parameter_Value" dataDxfId="0"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5" dataDxfId="64" tableBorderDxfId="63">
  <autoFilter ref="A1:L81" xr:uid="{258723AD-03F6-4700-9C12-0435A55E108D}"/>
  <tableColumns count="12">
    <tableColumn id="1" xr3:uid="{33B8EF63-7663-4BA6-9B91-D446C0C9C276}" name="Complete?" dataCellStyle="04_Comments"/>
    <tableColumn id="2" xr3:uid="{6589C290-508A-4E8E-8896-B6E09EB1B594}" name="ID" dataDxfId="62">
      <calculatedColumnFormula>ROW()-1</calculatedColumnFormula>
    </tableColumn>
    <tableColumn id="4" xr3:uid="{F4E33EB8-7313-4BD5-8A0A-D0E18A2A18E9}" name="Process_ID" dataDxfId="61">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60">
      <calculatedColumnFormula>_xlfn.XLOOKUP($D2,Tab_Def_Processes[Process_Name],Tab_Def_Processes[Process_Logic],,0,)</calculatedColumnFormula>
    </tableColumn>
    <tableColumn id="12" xr3:uid="{A2F17CD8-5CAE-47C5-88AC-65F98D1E04A7}" name="TC_Configuration" dataDxfId="59">
      <calculatedColumnFormula>_xlfn.XLOOKUP($D2,Tab_Def_Processes[Process_Name],Tab_Def_Processes[TC_Configuration],,0,)</calculatedColumnFormula>
    </tableColumn>
    <tableColumn id="13" xr3:uid="{AAC3F32E-5E29-4B43-870A-6E7FC451D4C7}" name="Stock_Configuration" dataDxfId="58">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7" tableBorderDxfId="56" headerRowCellStyle="05_Header">
  <autoFilter ref="A1:K41" xr:uid="{258723AD-03F6-4700-9C12-0435A55E108D}"/>
  <tableColumns count="11">
    <tableColumn id="1" xr3:uid="{45321D18-7A58-4FFA-814A-4BFE5587094A}" name="Complete?" dataCellStyle="04_Comments"/>
    <tableColumn id="2" xr3:uid="{EC881CBD-180B-4D64-9A86-8AA6EC24B7F6}" name="ID" dataDxfId="55">
      <calculatedColumnFormula>ROW()-1</calculatedColumnFormula>
    </tableColumn>
    <tableColumn id="4" xr3:uid="{844E5006-9125-4DE3-A7C3-7D82AE3725EE}" name="Process_ID" dataDxfId="54">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3">
      <calculatedColumnFormula>_xlfn.XLOOKUP($D2,Tab_Def_Processes[Process_Name],#REF!,,0,)</calculatedColumnFormula>
    </tableColumn>
    <tableColumn id="12" xr3:uid="{E84B3ABE-4E12-4E6F-A681-7D39D8B20B42}" name="TC_Configuration" dataDxfId="52">
      <calculatedColumnFormula>_xlfn.XLOOKUP($D2,Tab_Def_Processes[Process_Name],Tab_Def_Processes[TC_Configuration],,0,)</calculatedColumnFormula>
    </tableColumn>
    <tableColumn id="13" xr3:uid="{981DEE9B-FA47-4F47-8F80-39B1E8690449}" name="Stock_Configuration" dataDxfId="51">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50" dataCellStyle="01_Data_Input"/>
    <tableColumn id="6" xr3:uid="{1B45FB7A-4CA2-4F7D-81DB-270B1D81AE53}" name="start_year" dataDxfId="49" dataCellStyle="01_Data_Input"/>
    <tableColumn id="5" xr3:uid="{A6D89D25-2F1B-4F9D-86FE-506D7CB5C8C3}" name="end_year" dataDxfId="48"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2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23" dataCellStyle="04_Comments"/>
    <tableColumn id="2" xr3:uid="{974E84B3-B7E5-4EAB-BE6D-E4CA3B941720}" name="ID" dataDxfId="22" dataCellStyle="03_Auto_Calcaulation">
      <calculatedColumnFormula>ROW()-1</calculatedColumnFormula>
    </tableColumn>
    <tableColumn id="3" xr3:uid="{C80F74B1-CB58-477D-916E-9E36937DCC7C}" name="Process_ID" dataDxfId="2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20" dataCellStyle="02_Data_Input (DD)"/>
    <tableColumn id="11" xr3:uid="{A6B3115D-C460-49E4-B156-47D34854C0D6}" name="Node_Color" dataDxfId="1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18" dataCellStyle="03_Auto_Calcaulation">
      <calculatedColumnFormula>ROW()-1</calculatedColumnFormula>
    </tableColumn>
    <tableColumn id="2" xr3:uid="{D19AA7EE-8012-4211-95D9-A412AE73FEA7}" name="Flow_ID" dataDxfId="1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1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1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14" dataCellStyle="05_Header"/>
    <tableColumn id="4" xr3:uid="{9176C769-E5B7-4D06-B339-6723353E92E8}" name="Titel:"/>
    <tableColumn id="5" xr3:uid="{98297D7D-000D-4490-AB9F-C0088038C50A}" name="Body:"/>
    <tableColumn id="6" xr3:uid="{ADE8051E-8902-48AD-ABFE-0C9FC4FDA649}" name="Combined Note:" dataDxfId="13">
      <calculatedColumnFormula>"PURPOSE: "&amp;G4&amp;CHAR(10)&amp;CHAR(10)&amp;"ACTION: "&amp;H4&amp;CHAR(10)&amp;CHAR(10)&amp;"NOTE: "&amp;I4</calculatedColumnFormula>
    </tableColumn>
    <tableColumn id="7" xr3:uid="{47F1D876-0963-47CC-BAE6-6463623EAD65}" name="Purpose:" dataDxfId="12"/>
    <tableColumn id="8" xr3:uid="{095348E4-C75F-40C5-AED7-458D8A54645B}" name="Action:" dataDxfId="11"/>
    <tableColumn id="9" xr3:uid="{0192C0D2-0F47-4FEB-83CF-DB2CA1D0D799}" name="Note:" dataDxfId="1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47" dataDxfId="45" headerRowBorderDxfId="46" tableBorderDxfId="44">
  <autoFilter ref="A2:C4" xr:uid="{A751E245-CE06-4120-A5B6-983A2C16A83A}"/>
  <tableColumns count="3">
    <tableColumn id="1" xr3:uid="{BEE55201-A320-416B-B2A6-D70873C69341}" name="ID" totalsRowLabel="Total" dataDxfId="43" totalsRowDxfId="42"/>
    <tableColumn id="2" xr3:uid="{D971DC75-914A-4C09-B5D7-6AC4DBA907AE}" name="YesNo" dataDxfId="41" totalsRowDxfId="40"/>
    <tableColumn id="3" xr3:uid="{45A829CF-CF33-4932-9C29-ADB5FCB61638}" name="Description" totalsRowFunction="count" dataDxfId="39" totalsRowDxfId="3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37" dataDxfId="35" headerRowBorderDxfId="36" tableBorderDxfId="34">
  <autoFilter ref="A27:C34" xr:uid="{A4BAA253-5F93-43FA-B29F-0B6F3C3B9A9C}"/>
  <tableColumns count="3">
    <tableColumn id="1" xr3:uid="{3A2104AE-491E-45BA-88C6-52AF33E41E9B}" name="ID" totalsRowLabel="Total" dataDxfId="33" totalsRowDxfId="32"/>
    <tableColumn id="2" xr3:uid="{AAD1EC56-358F-4A14-A0AD-C4BC8B6E13DE}" name="Process_Logic" dataDxfId="31" totalsRowDxfId="30"/>
    <tableColumn id="3" xr3:uid="{1EB10FD9-8576-45BA-8784-E6052E611FF6}" name="Description" totalsRowFunction="count" dataDxfId="29" totalsRowDxfId="2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27" headerRowBorderDxfId="26" tableBorderDxfId="25">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9" dataDxfId="8" headerRowBorderDxfId="6" tableBorderDxfId="7">
  <autoFilter ref="A8:C15" xr:uid="{E2293C0A-5756-426A-B8A4-A89491BD1F7E}"/>
  <tableColumns count="3">
    <tableColumn id="1" xr3:uid="{505A46C4-98F2-4944-9378-7D9D5EF097BF}" name="ID" totalsRowLabel="Total" dataDxfId="5"/>
    <tableColumn id="2" xr3:uid="{0205D6CD-02D0-4DBA-AB67-24E2273A5C75}" name="Unit_of_Measurement" dataDxfId="4"/>
    <tableColumn id="3" xr3:uid="{0D3F2421-A05F-4A0A-9536-D3F214963F8C}" name="Description" totalsRowFunction="count" dataDxfId="3"/>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0"/>
  <sheetViews>
    <sheetView zoomScaleNormal="100" workbookViewId="0">
      <selection activeCell="C19" sqref="C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88" t="s">
        <v>1042</v>
      </c>
      <c r="C17" s="189"/>
      <c r="D17" s="189"/>
      <c r="E17" s="178"/>
    </row>
    <row r="18" spans="1:5" x14ac:dyDescent="0.25">
      <c r="B18" s="1" t="s">
        <v>1007</v>
      </c>
      <c r="C18" s="1" t="s">
        <v>1008</v>
      </c>
      <c r="E18" s="178"/>
    </row>
    <row r="19" spans="1:5" x14ac:dyDescent="0.25">
      <c r="B19" s="1" t="s">
        <v>1009</v>
      </c>
      <c r="C19" s="180">
        <v>45944</v>
      </c>
      <c r="E19" s="178"/>
    </row>
    <row r="20" spans="1:5" x14ac:dyDescent="0.25">
      <c r="B20" s="1" t="s">
        <v>1049</v>
      </c>
      <c r="C20" s="1" t="s">
        <v>1010</v>
      </c>
      <c r="E20" s="178"/>
    </row>
    <row r="21" spans="1:5" x14ac:dyDescent="0.25">
      <c r="B21" s="1" t="s">
        <v>1127</v>
      </c>
      <c r="C21" s="1" t="s">
        <v>163</v>
      </c>
      <c r="E21" s="178"/>
    </row>
    <row r="22" spans="1:5" x14ac:dyDescent="0.25">
      <c r="C22" s="1" t="s">
        <v>1128</v>
      </c>
      <c r="E22" s="178"/>
    </row>
    <row r="23" spans="1:5" x14ac:dyDescent="0.25">
      <c r="B23" s="1" t="s">
        <v>1011</v>
      </c>
      <c r="C23" s="181" t="s">
        <v>1012</v>
      </c>
      <c r="E23" s="178"/>
    </row>
    <row r="24" spans="1:5" x14ac:dyDescent="0.25">
      <c r="E24" s="178"/>
    </row>
    <row r="25" spans="1:5" x14ac:dyDescent="0.25">
      <c r="E25" s="178"/>
    </row>
    <row r="26" spans="1:5" ht="31.5" customHeight="1" x14ac:dyDescent="0.5">
      <c r="A26" s="190" t="s">
        <v>922</v>
      </c>
      <c r="B26" s="190"/>
      <c r="C26" s="190"/>
      <c r="D26" s="190"/>
      <c r="E26" s="178"/>
    </row>
    <row r="27" spans="1:5" x14ac:dyDescent="0.25">
      <c r="A27" s="187" t="s">
        <v>7</v>
      </c>
      <c r="B27" s="187" t="s">
        <v>1019</v>
      </c>
      <c r="C27" s="187" t="s">
        <v>1020</v>
      </c>
      <c r="D27" s="187" t="s">
        <v>1021</v>
      </c>
      <c r="E27" s="178"/>
    </row>
    <row r="28" spans="1:5" x14ac:dyDescent="0.25">
      <c r="A28" s="1">
        <v>1</v>
      </c>
      <c r="B28" s="1" t="s">
        <v>1025</v>
      </c>
      <c r="C28" s="1" t="s">
        <v>1026</v>
      </c>
      <c r="D28" s="1" t="s">
        <v>1027</v>
      </c>
      <c r="E28" s="178"/>
    </row>
    <row r="29" spans="1:5" ht="30" x14ac:dyDescent="0.25">
      <c r="A29" s="1">
        <v>2</v>
      </c>
      <c r="B29" s="1" t="s">
        <v>1024</v>
      </c>
      <c r="C29" s="1" t="s">
        <v>992</v>
      </c>
      <c r="D29" s="1" t="s">
        <v>993</v>
      </c>
      <c r="E29" s="178"/>
    </row>
    <row r="30" spans="1:5" ht="30" x14ac:dyDescent="0.25">
      <c r="A30" s="1">
        <v>3</v>
      </c>
      <c r="B30" s="1" t="s">
        <v>1022</v>
      </c>
      <c r="C30" s="1" t="s">
        <v>994</v>
      </c>
      <c r="D30" s="1" t="s">
        <v>995</v>
      </c>
      <c r="E30" s="178"/>
    </row>
    <row r="31" spans="1:5" ht="30" x14ac:dyDescent="0.25">
      <c r="A31" s="1">
        <v>4</v>
      </c>
      <c r="B31" s="1" t="s">
        <v>1023</v>
      </c>
      <c r="C31" s="1" t="s">
        <v>996</v>
      </c>
      <c r="D31" s="1" t="s">
        <v>997</v>
      </c>
      <c r="E31" s="178"/>
    </row>
    <row r="32" spans="1:5" x14ac:dyDescent="0.25">
      <c r="A32" s="191"/>
      <c r="B32" s="191"/>
      <c r="C32" s="191"/>
      <c r="D32" s="191"/>
      <c r="E32" s="178"/>
    </row>
    <row r="33" spans="1:5" x14ac:dyDescent="0.25">
      <c r="A33" t="s">
        <v>7</v>
      </c>
      <c r="B33" s="1" t="s">
        <v>1028</v>
      </c>
      <c r="C33" s="1" t="s">
        <v>1029</v>
      </c>
      <c r="D33" s="1" t="s">
        <v>921</v>
      </c>
      <c r="E33" s="178"/>
    </row>
    <row r="34" spans="1:5" x14ac:dyDescent="0.25">
      <c r="A34" s="182">
        <v>1</v>
      </c>
      <c r="B34" s="182" t="s">
        <v>1030</v>
      </c>
      <c r="C34" s="182" t="s">
        <v>1034</v>
      </c>
      <c r="D34" s="182" t="s">
        <v>1038</v>
      </c>
      <c r="E34" s="178"/>
    </row>
    <row r="35" spans="1:5" x14ac:dyDescent="0.25">
      <c r="A35" s="183">
        <v>2</v>
      </c>
      <c r="B35" s="183" t="s">
        <v>1031</v>
      </c>
      <c r="C35" s="183" t="s">
        <v>1035</v>
      </c>
      <c r="D35" s="183" t="s">
        <v>1039</v>
      </c>
      <c r="E35" s="178"/>
    </row>
    <row r="36" spans="1:5" x14ac:dyDescent="0.25">
      <c r="A36" s="184">
        <v>3</v>
      </c>
      <c r="B36" s="184" t="s">
        <v>1032</v>
      </c>
      <c r="C36" s="184" t="s">
        <v>1036</v>
      </c>
      <c r="D36" s="184" t="s">
        <v>1040</v>
      </c>
      <c r="E36" s="178"/>
    </row>
    <row r="37" spans="1:5" x14ac:dyDescent="0.25">
      <c r="A37" s="185">
        <v>4</v>
      </c>
      <c r="B37" s="185" t="s">
        <v>1033</v>
      </c>
      <c r="C37" s="185" t="s">
        <v>1037</v>
      </c>
      <c r="D37" s="185" t="s">
        <v>1041</v>
      </c>
      <c r="E37" s="178"/>
    </row>
    <row r="38" spans="1:5" ht="31.5" customHeight="1" x14ac:dyDescent="0.5">
      <c r="A38" s="190" t="s">
        <v>1018</v>
      </c>
      <c r="B38" s="190"/>
      <c r="C38" s="190"/>
      <c r="D38" s="190"/>
      <c r="E38" s="178"/>
    </row>
    <row r="39" spans="1:5" x14ac:dyDescent="0.25">
      <c r="A39" s="1" t="s">
        <v>7</v>
      </c>
      <c r="B39" s="1" t="s">
        <v>923</v>
      </c>
      <c r="C39" s="1" t="s">
        <v>924</v>
      </c>
      <c r="D39" s="167" t="s">
        <v>935</v>
      </c>
      <c r="E39" s="179"/>
    </row>
    <row r="40" spans="1:5" ht="30" x14ac:dyDescent="0.25">
      <c r="A40" s="1"/>
      <c r="B40" s="1" t="s">
        <v>1013</v>
      </c>
      <c r="C40" s="1" t="s">
        <v>926</v>
      </c>
      <c r="D40" s="1" t="s">
        <v>925</v>
      </c>
      <c r="E40" s="179"/>
    </row>
    <row r="41" spans="1:5" ht="30" x14ac:dyDescent="0.25">
      <c r="A41" s="1"/>
      <c r="B41" s="1" t="s">
        <v>1014</v>
      </c>
      <c r="C41" s="1" t="s">
        <v>928</v>
      </c>
      <c r="D41" s="1" t="s">
        <v>927</v>
      </c>
      <c r="E41" s="179"/>
    </row>
    <row r="42" spans="1:5" ht="30" x14ac:dyDescent="0.25">
      <c r="A42" s="1"/>
      <c r="B42" s="1" t="s">
        <v>1015</v>
      </c>
      <c r="C42" s="1" t="s">
        <v>930</v>
      </c>
      <c r="D42" s="1" t="s">
        <v>929</v>
      </c>
      <c r="E42" s="179"/>
    </row>
    <row r="43" spans="1:5" ht="30" x14ac:dyDescent="0.25">
      <c r="A43" s="1"/>
      <c r="B43" s="1" t="s">
        <v>1016</v>
      </c>
      <c r="C43" s="1" t="s">
        <v>932</v>
      </c>
      <c r="D43" s="1" t="s">
        <v>931</v>
      </c>
      <c r="E43" s="179"/>
    </row>
    <row r="44" spans="1:5" ht="30" x14ac:dyDescent="0.25">
      <c r="A44" s="1"/>
      <c r="B44" s="1" t="s">
        <v>1017</v>
      </c>
      <c r="C44" s="1" t="s">
        <v>933</v>
      </c>
      <c r="D44" s="1" t="s">
        <v>911</v>
      </c>
      <c r="E44" s="178"/>
    </row>
    <row r="45" spans="1:5" ht="31.5" x14ac:dyDescent="0.5">
      <c r="A45" s="190" t="s">
        <v>934</v>
      </c>
      <c r="B45" s="190"/>
      <c r="C45" s="190"/>
      <c r="D45" s="190"/>
      <c r="E45" s="178"/>
    </row>
    <row r="46" spans="1:5" x14ac:dyDescent="0.25">
      <c r="A46" s="1" t="s">
        <v>7</v>
      </c>
      <c r="B46" s="1" t="s">
        <v>912</v>
      </c>
      <c r="C46" s="1" t="s">
        <v>913</v>
      </c>
      <c r="D46" s="1" t="s">
        <v>935</v>
      </c>
      <c r="E46" s="178"/>
    </row>
    <row r="47" spans="1:5" x14ac:dyDescent="0.25">
      <c r="A47" s="1"/>
      <c r="B47" s="1" t="s">
        <v>476</v>
      </c>
      <c r="C47" s="1" t="s">
        <v>936</v>
      </c>
      <c r="E47" s="178"/>
    </row>
    <row r="48" spans="1:5" x14ac:dyDescent="0.25">
      <c r="A48" s="1"/>
      <c r="B48" s="1" t="s">
        <v>484</v>
      </c>
      <c r="C48" s="1" t="s">
        <v>937</v>
      </c>
      <c r="E48" s="178"/>
    </row>
    <row r="49" spans="1:5" x14ac:dyDescent="0.25">
      <c r="A49" s="1"/>
      <c r="B49" s="1" t="s">
        <v>485</v>
      </c>
      <c r="C49" s="1" t="s">
        <v>938</v>
      </c>
      <c r="E49" s="178"/>
    </row>
    <row r="50" spans="1:5" x14ac:dyDescent="0.25">
      <c r="A50" s="1"/>
      <c r="B50" s="1" t="s">
        <v>873</v>
      </c>
      <c r="C50" s="1" t="s">
        <v>939</v>
      </c>
      <c r="E50" s="178"/>
    </row>
    <row r="51" spans="1:5" x14ac:dyDescent="0.25">
      <c r="A51" s="1"/>
      <c r="B51" s="1" t="s">
        <v>874</v>
      </c>
      <c r="C51" s="1" t="s">
        <v>940</v>
      </c>
      <c r="E51" s="178"/>
    </row>
    <row r="52" spans="1:5" x14ac:dyDescent="0.25">
      <c r="A52" s="1"/>
      <c r="B52" s="1" t="s">
        <v>875</v>
      </c>
      <c r="C52" s="1" t="s">
        <v>941</v>
      </c>
      <c r="E52" s="178"/>
    </row>
    <row r="53" spans="1:5" x14ac:dyDescent="0.25">
      <c r="A53" s="1"/>
      <c r="B53" s="1" t="s">
        <v>486</v>
      </c>
      <c r="C53" s="1" t="s">
        <v>942</v>
      </c>
      <c r="E53" s="178"/>
    </row>
    <row r="54" spans="1:5" x14ac:dyDescent="0.25">
      <c r="A54" s="1"/>
      <c r="B54" s="1" t="s">
        <v>487</v>
      </c>
      <c r="C54" s="1" t="s">
        <v>943</v>
      </c>
      <c r="E54" s="178"/>
    </row>
    <row r="55" spans="1:5" x14ac:dyDescent="0.25">
      <c r="A55" s="1"/>
      <c r="B55" s="1" t="s">
        <v>489</v>
      </c>
      <c r="C55" s="1" t="s">
        <v>944</v>
      </c>
      <c r="E55" s="178"/>
    </row>
    <row r="56" spans="1:5" x14ac:dyDescent="0.25">
      <c r="A56" s="1"/>
      <c r="B56" s="1" t="s">
        <v>914</v>
      </c>
      <c r="C56" s="1" t="s">
        <v>945</v>
      </c>
      <c r="E56" s="178"/>
    </row>
    <row r="57" spans="1:5" x14ac:dyDescent="0.25">
      <c r="A57" s="1"/>
      <c r="B57" s="1" t="s">
        <v>495</v>
      </c>
      <c r="E57" s="178"/>
    </row>
    <row r="58" spans="1:5" x14ac:dyDescent="0.25">
      <c r="A58" s="1"/>
      <c r="B58" s="1" t="s">
        <v>915</v>
      </c>
      <c r="C58" s="1" t="s">
        <v>946</v>
      </c>
      <c r="E58" s="178"/>
    </row>
    <row r="59" spans="1:5" x14ac:dyDescent="0.25">
      <c r="E59" s="178"/>
    </row>
    <row r="60" spans="1:5" ht="31.5" customHeight="1" x14ac:dyDescent="0.5">
      <c r="A60" s="190" t="s">
        <v>947</v>
      </c>
      <c r="B60" s="190"/>
      <c r="C60" s="190"/>
      <c r="D60" s="190"/>
      <c r="E60" s="178"/>
    </row>
    <row r="61" spans="1:5" ht="30" x14ac:dyDescent="0.25">
      <c r="A61" s="1" t="s">
        <v>162</v>
      </c>
      <c r="B61" s="1" t="s">
        <v>948</v>
      </c>
      <c r="C61" s="1" t="s">
        <v>949</v>
      </c>
      <c r="D61" s="1" t="s">
        <v>921</v>
      </c>
      <c r="E61" s="178"/>
    </row>
    <row r="62" spans="1:5" ht="30" x14ac:dyDescent="0.25">
      <c r="A62" s="1"/>
      <c r="B62" s="1" t="s">
        <v>950</v>
      </c>
      <c r="C62" s="1" t="s">
        <v>951</v>
      </c>
      <c r="D62" s="1" t="s">
        <v>952</v>
      </c>
      <c r="E62" s="178"/>
    </row>
    <row r="63" spans="1:5" x14ac:dyDescent="0.25">
      <c r="A63" s="1"/>
      <c r="B63" s="1" t="s">
        <v>417</v>
      </c>
      <c r="C63" s="1" t="s">
        <v>953</v>
      </c>
      <c r="D63" s="1" t="s">
        <v>954</v>
      </c>
      <c r="E63" s="178"/>
    </row>
    <row r="64" spans="1:5" ht="30" x14ac:dyDescent="0.25">
      <c r="A64" s="1"/>
      <c r="B64" s="1" t="s">
        <v>400</v>
      </c>
      <c r="C64" s="1" t="s">
        <v>955</v>
      </c>
      <c r="D64" s="1" t="s">
        <v>956</v>
      </c>
      <c r="E64" s="178"/>
    </row>
    <row r="65" spans="1:9" ht="30" x14ac:dyDescent="0.25">
      <c r="A65" s="1"/>
      <c r="B65" s="1" t="s">
        <v>957</v>
      </c>
      <c r="C65" s="1" t="s">
        <v>958</v>
      </c>
      <c r="D65" s="1" t="s">
        <v>959</v>
      </c>
      <c r="E65" s="178"/>
    </row>
    <row r="66" spans="1:9" ht="30" x14ac:dyDescent="0.25">
      <c r="A66" s="1"/>
      <c r="B66" s="1" t="s">
        <v>960</v>
      </c>
      <c r="C66" s="1" t="s">
        <v>961</v>
      </c>
      <c r="D66" s="1" t="s">
        <v>962</v>
      </c>
      <c r="E66" s="178"/>
    </row>
    <row r="67" spans="1:9" ht="45" x14ac:dyDescent="0.25">
      <c r="A67" s="1"/>
      <c r="B67" s="1" t="s">
        <v>963</v>
      </c>
      <c r="C67" s="1" t="s">
        <v>964</v>
      </c>
      <c r="D67" s="1" t="s">
        <v>965</v>
      </c>
      <c r="E67" s="179" t="s">
        <v>911</v>
      </c>
      <c r="F67" s="176" t="s">
        <v>911</v>
      </c>
      <c r="G67" s="176" t="s">
        <v>911</v>
      </c>
      <c r="H67" s="176" t="s">
        <v>911</v>
      </c>
      <c r="I67" s="177" t="s">
        <v>911</v>
      </c>
    </row>
    <row r="68" spans="1:9" ht="31.5" customHeight="1" x14ac:dyDescent="0.5">
      <c r="A68" s="190" t="s">
        <v>966</v>
      </c>
      <c r="B68" s="190"/>
      <c r="C68" s="190"/>
      <c r="D68" s="190"/>
      <c r="E68" s="179" t="s">
        <v>911</v>
      </c>
      <c r="F68" s="176" t="s">
        <v>911</v>
      </c>
      <c r="G68" s="176" t="s">
        <v>911</v>
      </c>
      <c r="H68" s="176" t="s">
        <v>911</v>
      </c>
      <c r="I68" s="177" t="s">
        <v>911</v>
      </c>
    </row>
    <row r="69" spans="1:9" x14ac:dyDescent="0.25">
      <c r="A69" s="1" t="s">
        <v>7</v>
      </c>
      <c r="B69" s="1" t="s">
        <v>917</v>
      </c>
      <c r="C69" s="1" t="s">
        <v>918</v>
      </c>
      <c r="D69" s="1" t="s">
        <v>916</v>
      </c>
      <c r="E69" s="179" t="s">
        <v>911</v>
      </c>
      <c r="F69" s="176" t="s">
        <v>911</v>
      </c>
      <c r="G69" s="176" t="s">
        <v>911</v>
      </c>
      <c r="H69" s="176" t="s">
        <v>911</v>
      </c>
      <c r="I69" s="177" t="s">
        <v>911</v>
      </c>
    </row>
    <row r="70" spans="1:9" ht="30" x14ac:dyDescent="0.25">
      <c r="A70" s="1"/>
      <c r="B70" s="1" t="s">
        <v>967</v>
      </c>
      <c r="C70" s="1" t="s">
        <v>968</v>
      </c>
      <c r="D70" s="1" t="s">
        <v>969</v>
      </c>
      <c r="E70" s="179" t="s">
        <v>911</v>
      </c>
      <c r="F70" s="176" t="s">
        <v>911</v>
      </c>
      <c r="G70" s="176" t="s">
        <v>911</v>
      </c>
      <c r="H70" s="176" t="s">
        <v>911</v>
      </c>
      <c r="I70" s="177" t="s">
        <v>911</v>
      </c>
    </row>
    <row r="71" spans="1:9" ht="30" x14ac:dyDescent="0.25">
      <c r="A71" s="1"/>
      <c r="B71" s="1" t="s">
        <v>970</v>
      </c>
      <c r="C71" s="1" t="s">
        <v>971</v>
      </c>
      <c r="D71" s="1" t="s">
        <v>972</v>
      </c>
      <c r="E71" s="179" t="s">
        <v>911</v>
      </c>
      <c r="F71" s="176" t="s">
        <v>911</v>
      </c>
      <c r="G71" s="176" t="s">
        <v>911</v>
      </c>
      <c r="H71" s="176" t="s">
        <v>911</v>
      </c>
      <c r="I71" s="177" t="s">
        <v>911</v>
      </c>
    </row>
    <row r="72" spans="1:9" ht="30" x14ac:dyDescent="0.25">
      <c r="A72" s="1"/>
      <c r="B72" s="1" t="s">
        <v>973</v>
      </c>
      <c r="C72" s="1" t="s">
        <v>974</v>
      </c>
      <c r="D72" s="1" t="s">
        <v>975</v>
      </c>
      <c r="E72" s="179" t="s">
        <v>911</v>
      </c>
      <c r="F72" s="176" t="s">
        <v>911</v>
      </c>
      <c r="G72" s="176" t="s">
        <v>911</v>
      </c>
      <c r="H72" s="176" t="s">
        <v>911</v>
      </c>
      <c r="I72" s="177" t="s">
        <v>911</v>
      </c>
    </row>
    <row r="73" spans="1:9" ht="30" x14ac:dyDescent="0.25">
      <c r="A73" s="1"/>
      <c r="B73" s="1" t="s">
        <v>976</v>
      </c>
      <c r="C73" s="1" t="s">
        <v>977</v>
      </c>
      <c r="D73" s="1" t="s">
        <v>978</v>
      </c>
      <c r="E73" s="178"/>
    </row>
    <row r="74" spans="1:9" ht="31.5" customHeight="1" x14ac:dyDescent="0.5">
      <c r="A74" s="190" t="s">
        <v>979</v>
      </c>
      <c r="B74" s="190"/>
      <c r="C74" s="190"/>
      <c r="D74" s="190"/>
      <c r="E74" s="178"/>
    </row>
    <row r="75" spans="1:9" x14ac:dyDescent="0.25">
      <c r="A75" s="1" t="s">
        <v>7</v>
      </c>
      <c r="B75" s="1" t="s">
        <v>919</v>
      </c>
      <c r="C75" s="1" t="s">
        <v>920</v>
      </c>
      <c r="D75" s="1" t="s">
        <v>162</v>
      </c>
      <c r="E75" s="178"/>
    </row>
    <row r="76" spans="1:9" ht="30" x14ac:dyDescent="0.25">
      <c r="A76" s="1"/>
      <c r="B76" s="1" t="s">
        <v>980</v>
      </c>
      <c r="C76" s="1" t="s">
        <v>981</v>
      </c>
      <c r="D76" s="1" t="s">
        <v>982</v>
      </c>
      <c r="E76" s="178"/>
    </row>
    <row r="77" spans="1:9" ht="30" x14ac:dyDescent="0.25">
      <c r="A77" s="1"/>
      <c r="B77" s="1" t="s">
        <v>983</v>
      </c>
      <c r="C77" s="1" t="s">
        <v>984</v>
      </c>
      <c r="D77" s="1" t="s">
        <v>985</v>
      </c>
      <c r="E77" s="178"/>
    </row>
    <row r="78" spans="1:9" ht="30" x14ac:dyDescent="0.25">
      <c r="A78" s="1"/>
      <c r="B78" s="1" t="s">
        <v>986</v>
      </c>
      <c r="C78" s="1" t="s">
        <v>987</v>
      </c>
      <c r="D78" s="1" t="s">
        <v>988</v>
      </c>
      <c r="E78" s="178"/>
    </row>
    <row r="79" spans="1:9" ht="12" customHeight="1" x14ac:dyDescent="0.25">
      <c r="A79" s="1"/>
      <c r="B79" s="1" t="s">
        <v>989</v>
      </c>
      <c r="C79" s="1" t="s">
        <v>990</v>
      </c>
      <c r="D79" s="1" t="s">
        <v>991</v>
      </c>
      <c r="E79" s="178"/>
    </row>
    <row r="80" spans="1:9" x14ac:dyDescent="0.25">
      <c r="A80" s="178"/>
      <c r="B80" s="186"/>
      <c r="C80" s="186"/>
      <c r="D80" s="186"/>
      <c r="E80" s="178"/>
    </row>
  </sheetData>
  <mergeCells count="8">
    <mergeCell ref="A68:D68"/>
    <mergeCell ref="A74:D74"/>
    <mergeCell ref="A32:D32"/>
    <mergeCell ref="B17:D17"/>
    <mergeCell ref="A26:D26"/>
    <mergeCell ref="A38:D38"/>
    <mergeCell ref="A45:D45"/>
    <mergeCell ref="A60:D60"/>
  </mergeCells>
  <hyperlinks>
    <hyperlink ref="C23"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G6" sqref="G6"/>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253</v>
      </c>
      <c r="B1" t="s">
        <v>469</v>
      </c>
      <c r="C1" t="s">
        <v>166</v>
      </c>
      <c r="D1" t="s">
        <v>4</v>
      </c>
      <c r="E1" t="s">
        <v>221</v>
      </c>
      <c r="F1" t="s">
        <v>222</v>
      </c>
    </row>
    <row r="2" spans="1:6" x14ac:dyDescent="0.25">
      <c r="A2" s="150" t="s">
        <v>220</v>
      </c>
      <c r="B2" s="150" t="s">
        <v>223</v>
      </c>
      <c r="C2" s="151">
        <v>2025</v>
      </c>
      <c r="D2" s="153" t="s">
        <v>224</v>
      </c>
      <c r="E2" s="153" t="s">
        <v>225</v>
      </c>
      <c r="F2" s="153" t="s">
        <v>226</v>
      </c>
    </row>
    <row r="3" spans="1:6" ht="15" customHeight="1" x14ac:dyDescent="0.25">
      <c r="A3" s="159"/>
      <c r="B3" s="6" t="s">
        <v>227</v>
      </c>
      <c r="C3" s="7">
        <v>2125</v>
      </c>
      <c r="D3" s="13" t="s">
        <v>228</v>
      </c>
      <c r="E3" s="13" t="s">
        <v>225</v>
      </c>
      <c r="F3" s="13" t="s">
        <v>226</v>
      </c>
    </row>
    <row r="4" spans="1:6" ht="15" customHeight="1" x14ac:dyDescent="0.25">
      <c r="A4" s="159"/>
      <c r="B4" s="6" t="s">
        <v>1050</v>
      </c>
      <c r="C4" s="138" t="s">
        <v>164</v>
      </c>
      <c r="D4" s="13"/>
      <c r="E4" s="13"/>
      <c r="F4" s="13"/>
    </row>
    <row r="5" spans="1:6" x14ac:dyDescent="0.25">
      <c r="A5" s="159"/>
      <c r="B5" s="6" t="s">
        <v>229</v>
      </c>
      <c r="C5" s="6" t="s">
        <v>183</v>
      </c>
      <c r="D5" s="13" t="s">
        <v>230</v>
      </c>
      <c r="E5" s="13" t="s">
        <v>225</v>
      </c>
      <c r="F5" s="13" t="s">
        <v>226</v>
      </c>
    </row>
    <row r="6" spans="1:6" x14ac:dyDescent="0.25">
      <c r="A6" s="159"/>
      <c r="B6" s="6" t="s">
        <v>231</v>
      </c>
      <c r="C6" s="6" t="s">
        <v>232</v>
      </c>
      <c r="D6" s="13" t="s">
        <v>233</v>
      </c>
      <c r="E6" s="13" t="s">
        <v>225</v>
      </c>
      <c r="F6" s="13" t="s">
        <v>226</v>
      </c>
    </row>
    <row r="7" spans="1:6" ht="15.75" thickBot="1" x14ac:dyDescent="0.3">
      <c r="A7" s="160"/>
      <c r="B7" s="10" t="s">
        <v>234</v>
      </c>
      <c r="C7" s="6" t="s">
        <v>182</v>
      </c>
      <c r="D7" s="154" t="s">
        <v>235</v>
      </c>
      <c r="E7" s="154" t="s">
        <v>225</v>
      </c>
      <c r="F7" s="154" t="s">
        <v>226</v>
      </c>
    </row>
    <row r="8" spans="1:6" x14ac:dyDescent="0.25">
      <c r="A8" s="150" t="s">
        <v>236</v>
      </c>
      <c r="B8" s="150" t="s">
        <v>237</v>
      </c>
      <c r="C8" s="173" t="b">
        <v>0</v>
      </c>
      <c r="D8" s="153" t="s">
        <v>238</v>
      </c>
      <c r="E8" s="153" t="s">
        <v>239</v>
      </c>
      <c r="F8" s="153" t="s">
        <v>226</v>
      </c>
    </row>
    <row r="9" spans="1:6" ht="15" customHeight="1" x14ac:dyDescent="0.25">
      <c r="A9" s="6"/>
      <c r="B9" s="6" t="s">
        <v>240</v>
      </c>
      <c r="C9" s="173" t="b">
        <v>1</v>
      </c>
      <c r="D9" s="13" t="s">
        <v>241</v>
      </c>
      <c r="E9" s="13" t="s">
        <v>239</v>
      </c>
      <c r="F9" s="13" t="s">
        <v>226</v>
      </c>
    </row>
    <row r="10" spans="1:6" x14ac:dyDescent="0.25">
      <c r="A10" s="6"/>
      <c r="B10" s="6" t="s">
        <v>254</v>
      </c>
      <c r="C10" s="173" t="b">
        <v>1</v>
      </c>
      <c r="D10" s="13" t="s">
        <v>242</v>
      </c>
      <c r="E10" s="13" t="s">
        <v>239</v>
      </c>
      <c r="F10" s="13" t="s">
        <v>243</v>
      </c>
    </row>
    <row r="11" spans="1:6" ht="15.75" thickBot="1" x14ac:dyDescent="0.3">
      <c r="A11" s="10"/>
      <c r="B11" s="10" t="s">
        <v>244</v>
      </c>
      <c r="C11" s="143">
        <v>10000</v>
      </c>
      <c r="D11" s="154" t="s">
        <v>245</v>
      </c>
      <c r="E11" s="154" t="s">
        <v>239</v>
      </c>
      <c r="F11" s="154" t="s">
        <v>243</v>
      </c>
    </row>
    <row r="12" spans="1:6" ht="15" customHeight="1" x14ac:dyDescent="0.25">
      <c r="A12" s="150" t="s">
        <v>246</v>
      </c>
      <c r="B12" s="150" t="s">
        <v>219</v>
      </c>
      <c r="C12" s="173" t="b">
        <v>0</v>
      </c>
      <c r="D12" s="153" t="s">
        <v>247</v>
      </c>
      <c r="E12" s="153" t="s">
        <v>248</v>
      </c>
      <c r="F12" s="153" t="s">
        <v>243</v>
      </c>
    </row>
    <row r="13" spans="1:6" x14ac:dyDescent="0.25">
      <c r="A13" s="6"/>
      <c r="B13" s="6" t="s">
        <v>409</v>
      </c>
      <c r="C13" s="7" t="s">
        <v>1072</v>
      </c>
      <c r="D13" s="13" t="s">
        <v>249</v>
      </c>
      <c r="E13" s="13" t="s">
        <v>248</v>
      </c>
      <c r="F13" s="13" t="s">
        <v>243</v>
      </c>
    </row>
    <row r="14" spans="1:6" x14ac:dyDescent="0.25">
      <c r="A14" s="6"/>
      <c r="B14" s="6" t="s">
        <v>411</v>
      </c>
      <c r="C14" s="7" t="s">
        <v>1073</v>
      </c>
      <c r="D14" s="13" t="s">
        <v>250</v>
      </c>
      <c r="E14" s="13" t="s">
        <v>248</v>
      </c>
      <c r="F14" s="13" t="s">
        <v>243</v>
      </c>
    </row>
    <row r="15" spans="1:6" x14ac:dyDescent="0.25">
      <c r="A15" s="6"/>
      <c r="B15" s="6" t="s">
        <v>410</v>
      </c>
      <c r="C15" s="7" t="s">
        <v>1075</v>
      </c>
      <c r="D15" s="13"/>
      <c r="E15" s="13"/>
      <c r="F15" s="13"/>
    </row>
    <row r="16" spans="1:6" x14ac:dyDescent="0.25">
      <c r="A16" s="136"/>
      <c r="B16" s="136" t="s">
        <v>438</v>
      </c>
      <c r="C16" s="7" t="s">
        <v>1074</v>
      </c>
      <c r="D16" s="152" t="s">
        <v>251</v>
      </c>
      <c r="E16" s="152" t="s">
        <v>248</v>
      </c>
      <c r="F16" s="152" t="s">
        <v>243</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zoomScaleNormal="100" workbookViewId="0">
      <selection activeCell="F43" sqref="F43"/>
    </sheetView>
  </sheetViews>
  <sheetFormatPr defaultColWidth="10.85546875" defaultRowHeight="15" x14ac:dyDescent="0.25"/>
  <cols>
    <col min="1" max="1" width="14.42578125" customWidth="1"/>
    <col min="2" max="2" width="10.28515625" style="19"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427</v>
      </c>
      <c r="E1" s="141" t="s">
        <v>432</v>
      </c>
      <c r="F1" s="141" t="s">
        <v>433</v>
      </c>
      <c r="G1" s="141" t="s">
        <v>434</v>
      </c>
      <c r="H1" s="141" t="s">
        <v>431</v>
      </c>
      <c r="I1" s="141" t="s">
        <v>27</v>
      </c>
      <c r="J1" s="141" t="s">
        <v>29</v>
      </c>
      <c r="K1" s="141" t="s">
        <v>28</v>
      </c>
      <c r="L1" s="141" t="s">
        <v>497</v>
      </c>
      <c r="M1" s="141" t="s">
        <v>498</v>
      </c>
      <c r="N1" s="141" t="s">
        <v>31</v>
      </c>
      <c r="O1" s="141" t="s">
        <v>424</v>
      </c>
      <c r="P1" s="141" t="s">
        <v>499</v>
      </c>
      <c r="Q1" s="141" t="s">
        <v>33</v>
      </c>
      <c r="R1" s="141" t="s">
        <v>425</v>
      </c>
      <c r="S1" s="141" t="s">
        <v>430</v>
      </c>
      <c r="T1" s="141" t="s">
        <v>50</v>
      </c>
      <c r="U1" s="141" t="s">
        <v>500</v>
      </c>
      <c r="V1" s="141" t="s">
        <v>49</v>
      </c>
    </row>
    <row r="2" spans="1:24" x14ac:dyDescent="0.25">
      <c r="A2" s="142" t="b">
        <v>0</v>
      </c>
      <c r="B2" s="16">
        <f t="shared" ref="B2:B52" si="0">ROW()-1</f>
        <v>1</v>
      </c>
      <c r="C2" s="6" t="str">
        <f t="shared" ref="C2:C65" si="1">"F_"&amp;LEFT(F2,2)&amp;"_"&amp;LEFT(H2,2)</f>
        <v>F_00_02</v>
      </c>
      <c r="D2" s="7" t="s">
        <v>472</v>
      </c>
      <c r="E2" s="138" t="s">
        <v>197</v>
      </c>
      <c r="F2" s="6" t="str">
        <f>_xlfn.XLOOKUP(E2,Tab_Def_Processes[Process_Name],Tab_Def_Processes[Process_ID],,0,)</f>
        <v>00</v>
      </c>
      <c r="G2" s="138" t="s">
        <v>1076</v>
      </c>
      <c r="H2" s="9" t="str">
        <f>_xlfn.XLOOKUP(G2,Tab_Def_Processes[Process_Name],Tab_Def_Processes[Process_ID],,0,)</f>
        <v>02</v>
      </c>
      <c r="I2" s="138" t="s">
        <v>5</v>
      </c>
      <c r="J2" s="138" t="s">
        <v>5</v>
      </c>
      <c r="K2" s="138" t="s">
        <v>5</v>
      </c>
      <c r="L2" s="6" t="str">
        <f>Tab_Def_Flows[[#This Row],[Flow_ID]]&amp;"_WC"</f>
        <v>F_00_02_WC</v>
      </c>
      <c r="M2" s="135">
        <v>0</v>
      </c>
      <c r="N2" s="158"/>
      <c r="O2" s="6" t="str">
        <f>Tab_Def_Flows[[#This Row],[Flow_ID]]&amp;"_DM"</f>
        <v>F_00_02_DM</v>
      </c>
      <c r="P2" s="135">
        <v>1</v>
      </c>
      <c r="Q2" s="158"/>
      <c r="R2" s="6" t="str">
        <f>Tab_Def_Flows[[#This Row],[Flow_ID]]&amp;"_CC"</f>
        <v>F_00_02_CC</v>
      </c>
      <c r="S2" s="135">
        <v>1</v>
      </c>
      <c r="T2" s="13"/>
      <c r="U2" s="139">
        <f>Tab_Def_Flows[[#This Row],[Flow_CC_DM'[%']]]*Tab_Def_Flows[[#This Row],[Flow_DM'[%']]]</f>
        <v>1</v>
      </c>
      <c r="V2" s="13"/>
    </row>
    <row r="3" spans="1:24" x14ac:dyDescent="0.25">
      <c r="A3" s="142" t="b">
        <v>0</v>
      </c>
      <c r="B3" s="16">
        <f t="shared" si="0"/>
        <v>2</v>
      </c>
      <c r="C3" s="6" t="str">
        <f t="shared" si="1"/>
        <v>F_01_02</v>
      </c>
      <c r="D3" s="7" t="s">
        <v>475</v>
      </c>
      <c r="E3" s="138" t="s">
        <v>198</v>
      </c>
      <c r="F3" s="6" t="str">
        <f>_xlfn.XLOOKUP(E3,Tab_Def_Processes[Process_Name],Tab_Def_Processes[Process_ID],,0,)</f>
        <v>01</v>
      </c>
      <c r="G3" s="138" t="s">
        <v>1076</v>
      </c>
      <c r="H3" s="9" t="str">
        <f>_xlfn.XLOOKUP(G3,Tab_Def_Processes[Process_Name],Tab_Def_Processes[Process_ID],,0,)</f>
        <v>02</v>
      </c>
      <c r="I3" s="138" t="s">
        <v>5</v>
      </c>
      <c r="J3" s="138" t="s">
        <v>5</v>
      </c>
      <c r="K3" s="138" t="s">
        <v>5</v>
      </c>
      <c r="L3" s="6" t="str">
        <f>Tab_Def_Flows[[#This Row],[Flow_ID]]&amp;"_WC"</f>
        <v>F_01_02_WC</v>
      </c>
      <c r="M3" s="135">
        <v>0.23841961794348115</v>
      </c>
      <c r="N3" s="158"/>
      <c r="O3" s="6" t="str">
        <f>Tab_Def_Flows[[#This Row],[Flow_ID]]&amp;"_DM"</f>
        <v>F_01_02_DM</v>
      </c>
      <c r="P3" s="135">
        <v>0.76158038205651879</v>
      </c>
      <c r="Q3" s="158"/>
      <c r="R3" s="6" t="str">
        <f>Tab_Def_Flows[[#This Row],[Flow_ID]]&amp;"_CC"</f>
        <v>F_01_02_CC</v>
      </c>
      <c r="S3" s="135">
        <v>0</v>
      </c>
      <c r="T3" s="13"/>
      <c r="U3" s="139">
        <f>Tab_Def_Flows[[#This Row],[Flow_CC_DM'[%']]]*Tab_Def_Flows[[#This Row],[Flow_DM'[%']]]</f>
        <v>0</v>
      </c>
      <c r="V3" s="13"/>
    </row>
    <row r="4" spans="1:24" x14ac:dyDescent="0.25">
      <c r="A4" s="142" t="b">
        <v>0</v>
      </c>
      <c r="B4" s="16">
        <f t="shared" si="0"/>
        <v>3</v>
      </c>
      <c r="C4" s="6" t="str">
        <f t="shared" si="1"/>
        <v>F_02_03</v>
      </c>
      <c r="D4" s="7" t="s">
        <v>1087</v>
      </c>
      <c r="E4" s="138" t="s">
        <v>1076</v>
      </c>
      <c r="F4" s="6" t="str">
        <f>_xlfn.XLOOKUP(E4,Tab_Def_Processes[Process_Name],Tab_Def_Processes[Process_ID],,0,)</f>
        <v>02</v>
      </c>
      <c r="G4" s="138" t="s">
        <v>1077</v>
      </c>
      <c r="H4" s="9" t="str">
        <f>_xlfn.XLOOKUP(G4,Tab_Def_Processes[Process_Name],Tab_Def_Processes[Process_ID],,0,)</f>
        <v>03</v>
      </c>
      <c r="I4" s="138" t="s">
        <v>5</v>
      </c>
      <c r="J4" s="138" t="s">
        <v>5</v>
      </c>
      <c r="K4" s="138" t="s">
        <v>5</v>
      </c>
      <c r="L4" s="6" t="str">
        <f>Tab_Def_Flows[[#This Row],[Flow_ID]]&amp;"_WC"</f>
        <v>F_02_03_WC</v>
      </c>
      <c r="M4" s="135"/>
      <c r="N4" s="13"/>
      <c r="O4" s="6" t="str">
        <f>Tab_Def_Flows[[#This Row],[Flow_ID]]&amp;"_DM"</f>
        <v>F_02_03_DM</v>
      </c>
      <c r="Q4" s="13"/>
      <c r="R4" s="6" t="str">
        <f>Tab_Def_Flows[[#This Row],[Flow_ID]]&amp;"_CC"</f>
        <v>F_02_03_CC</v>
      </c>
      <c r="S4" s="135"/>
      <c r="T4" s="13"/>
      <c r="U4" s="139">
        <f>Tab_Def_Flows[[#This Row],[Flow_CC_DM'[%']]]*Tab_Def_Flows[[#This Row],[Flow_DM'[%']]]</f>
        <v>0</v>
      </c>
      <c r="V4" s="13"/>
      <c r="X4" s="146"/>
    </row>
    <row r="5" spans="1:24" x14ac:dyDescent="0.25">
      <c r="A5" s="142" t="b">
        <v>0</v>
      </c>
      <c r="B5" s="16">
        <f>ROW()-1</f>
        <v>4</v>
      </c>
      <c r="C5" s="6" t="str">
        <f t="shared" si="1"/>
        <v>F_03_04</v>
      </c>
      <c r="D5" s="7" t="s">
        <v>1088</v>
      </c>
      <c r="E5" s="138" t="s">
        <v>1077</v>
      </c>
      <c r="F5" s="6" t="str">
        <f>_xlfn.XLOOKUP(E5,Tab_Def_Processes[Process_Name],Tab_Def_Processes[Process_ID],,0,)</f>
        <v>03</v>
      </c>
      <c r="G5" s="138" t="s">
        <v>1078</v>
      </c>
      <c r="H5" s="9" t="str">
        <f>_xlfn.XLOOKUP(G5,Tab_Def_Processes[Process_Name],Tab_Def_Processes[Process_ID],,0,)</f>
        <v>04</v>
      </c>
      <c r="I5" s="138" t="s">
        <v>5</v>
      </c>
      <c r="J5" s="138" t="s">
        <v>5</v>
      </c>
      <c r="K5" s="138" t="s">
        <v>5</v>
      </c>
      <c r="L5" s="6" t="str">
        <f>Tab_Def_Flows[[#This Row],[Flow_ID]]&amp;"_WC"</f>
        <v>F_03_04_WC</v>
      </c>
      <c r="M5" s="135"/>
      <c r="N5" s="13"/>
      <c r="O5" s="6" t="str">
        <f>Tab_Def_Flows[[#This Row],[Flow_ID]]&amp;"_DM"</f>
        <v>F_03_04_DM</v>
      </c>
      <c r="Q5" s="13"/>
      <c r="R5" s="6" t="str">
        <f>Tab_Def_Flows[[#This Row],[Flow_ID]]&amp;"_CC"</f>
        <v>F_03_04_CC</v>
      </c>
      <c r="S5" s="135"/>
      <c r="T5" s="13"/>
      <c r="U5" s="139">
        <f>Tab_Def_Flows[[#This Row],[Flow_CC_DM'[%']]]*Tab_Def_Flows[[#This Row],[Flow_DM'[%']]]</f>
        <v>0</v>
      </c>
      <c r="V5" s="13"/>
      <c r="X5" s="146"/>
    </row>
    <row r="6" spans="1:24" x14ac:dyDescent="0.25">
      <c r="A6" s="142" t="b">
        <v>0</v>
      </c>
      <c r="B6" s="16">
        <f>ROW()-1</f>
        <v>5</v>
      </c>
      <c r="C6" s="6" t="str">
        <f>"F_"&amp;LEFT(F6,2)&amp;"_"&amp;LEFT(H6,2)</f>
        <v>F_03_05</v>
      </c>
      <c r="D6" s="7" t="s">
        <v>1089</v>
      </c>
      <c r="E6" s="138" t="s">
        <v>1077</v>
      </c>
      <c r="F6" s="6" t="str">
        <f>_xlfn.XLOOKUP(E6,Tab_Def_Processes[Process_Name],Tab_Def_Processes[Process_ID],,0,)</f>
        <v>03</v>
      </c>
      <c r="G6" s="138" t="s">
        <v>1079</v>
      </c>
      <c r="H6" s="9" t="str">
        <f>_xlfn.XLOOKUP(G6,Tab_Def_Processes[Process_Name],Tab_Def_Processes[Process_ID],,0,)</f>
        <v>05</v>
      </c>
      <c r="I6" s="138" t="s">
        <v>5</v>
      </c>
      <c r="J6" s="138" t="s">
        <v>5</v>
      </c>
      <c r="K6" s="138" t="s">
        <v>5</v>
      </c>
      <c r="L6" s="6" t="str">
        <f>Tab_Def_Flows[[#This Row],[Flow_ID]]&amp;"_WC"</f>
        <v>F_03_05_WC</v>
      </c>
      <c r="M6" s="135"/>
      <c r="N6" s="13"/>
      <c r="O6" s="6" t="str">
        <f>Tab_Def_Flows[[#This Row],[Flow_ID]]&amp;"_DM"</f>
        <v>F_03_05_DM</v>
      </c>
      <c r="Q6" s="13"/>
      <c r="R6" s="6" t="str">
        <f>Tab_Def_Flows[[#This Row],[Flow_ID]]&amp;"_CC"</f>
        <v>F_03_05_CC</v>
      </c>
      <c r="S6" s="135"/>
      <c r="T6" s="13"/>
      <c r="U6" s="139">
        <f>Tab_Def_Flows[[#This Row],[Flow_CC_DM'[%']]]*Tab_Def_Flows[[#This Row],[Flow_DM'[%']]]</f>
        <v>0</v>
      </c>
      <c r="V6" s="13"/>
      <c r="X6" s="146"/>
    </row>
    <row r="7" spans="1:24" x14ac:dyDescent="0.25">
      <c r="A7" s="142" t="b">
        <v>0</v>
      </c>
      <c r="B7" s="16">
        <f t="shared" si="0"/>
        <v>6</v>
      </c>
      <c r="C7" s="6" t="str">
        <f t="shared" si="1"/>
        <v>F_04_00</v>
      </c>
      <c r="D7" s="7" t="s">
        <v>1090</v>
      </c>
      <c r="E7" s="138" t="s">
        <v>1078</v>
      </c>
      <c r="F7" s="6" t="str">
        <f>_xlfn.XLOOKUP(E7,Tab_Def_Processes[Process_Name],Tab_Def_Processes[Process_ID],,0,)</f>
        <v>04</v>
      </c>
      <c r="G7" s="138" t="s">
        <v>197</v>
      </c>
      <c r="H7" s="9" t="str">
        <f>_xlfn.XLOOKUP(G7,Tab_Def_Processes[Process_Name],Tab_Def_Processes[Process_ID],,0,)</f>
        <v>00</v>
      </c>
      <c r="I7" s="138" t="s">
        <v>5</v>
      </c>
      <c r="J7" s="138" t="s">
        <v>5</v>
      </c>
      <c r="K7" s="138" t="s">
        <v>5</v>
      </c>
      <c r="L7" s="6" t="str">
        <f>Tab_Def_Flows[[#This Row],[Flow_ID]]&amp;"_WC"</f>
        <v>F_04_00_WC</v>
      </c>
      <c r="M7" s="135"/>
      <c r="N7" s="13"/>
      <c r="O7" s="6" t="str">
        <f>Tab_Def_Flows[[#This Row],[Flow_ID]]&amp;"_DM"</f>
        <v>F_04_00_DM</v>
      </c>
      <c r="Q7" s="13"/>
      <c r="R7" s="6" t="str">
        <f>Tab_Def_Flows[[#This Row],[Flow_ID]]&amp;"_CC"</f>
        <v>F_04_00_CC</v>
      </c>
      <c r="S7" s="135"/>
      <c r="T7" s="13"/>
      <c r="U7" s="139">
        <f>Tab_Def_Flows[[#This Row],[Flow_CC_DM'[%']]]*Tab_Def_Flows[[#This Row],[Flow_DM'[%']]]</f>
        <v>0</v>
      </c>
      <c r="V7" s="13"/>
    </row>
    <row r="8" spans="1:24" x14ac:dyDescent="0.25">
      <c r="A8" s="142" t="b">
        <v>0</v>
      </c>
      <c r="B8" s="16">
        <f t="shared" si="0"/>
        <v>7</v>
      </c>
      <c r="C8" s="6" t="str">
        <f t="shared" si="1"/>
        <v>F_04_01</v>
      </c>
      <c r="D8" s="7" t="s">
        <v>1091</v>
      </c>
      <c r="E8" s="138" t="s">
        <v>1078</v>
      </c>
      <c r="F8" s="6" t="str">
        <f>_xlfn.XLOOKUP(E8,Tab_Def_Processes[Process_Name],Tab_Def_Processes[Process_ID],,0,)</f>
        <v>04</v>
      </c>
      <c r="G8" s="138" t="s">
        <v>198</v>
      </c>
      <c r="H8" s="9" t="str">
        <f>_xlfn.XLOOKUP(G8,Tab_Def_Processes[Process_Name],Tab_Def_Processes[Process_ID],,0,)</f>
        <v>01</v>
      </c>
      <c r="I8" s="138" t="s">
        <v>5</v>
      </c>
      <c r="J8" s="138" t="s">
        <v>5</v>
      </c>
      <c r="K8" s="138" t="s">
        <v>5</v>
      </c>
      <c r="L8" s="6" t="str">
        <f>Tab_Def_Flows[[#This Row],[Flow_ID]]&amp;"_WC"</f>
        <v>F_04_01_WC</v>
      </c>
      <c r="M8" s="135"/>
      <c r="N8" s="13"/>
      <c r="O8" s="6" t="str">
        <f>Tab_Def_Flows[[#This Row],[Flow_ID]]&amp;"_DM"</f>
        <v>F_04_01_DM</v>
      </c>
      <c r="Q8" s="13"/>
      <c r="R8" s="6" t="str">
        <f>Tab_Def_Flows[[#This Row],[Flow_ID]]&amp;"_CC"</f>
        <v>F_04_01_CC</v>
      </c>
      <c r="S8" s="135"/>
      <c r="T8" s="13"/>
      <c r="U8" s="139">
        <f>Tab_Def_Flows[[#This Row],[Flow_CC_DM'[%']]]*Tab_Def_Flows[[#This Row],[Flow_DM'[%']]]</f>
        <v>0</v>
      </c>
      <c r="V8" s="13"/>
    </row>
    <row r="9" spans="1:24" x14ac:dyDescent="0.25">
      <c r="A9" s="142" t="b">
        <v>0</v>
      </c>
      <c r="B9" s="16">
        <f t="shared" si="0"/>
        <v>8</v>
      </c>
      <c r="C9" s="6" t="str">
        <f t="shared" si="1"/>
        <v>F_05_06</v>
      </c>
      <c r="D9" s="7" t="s">
        <v>1092</v>
      </c>
      <c r="E9" s="138" t="s">
        <v>1079</v>
      </c>
      <c r="F9" s="6" t="str">
        <f>_xlfn.XLOOKUP(E9,Tab_Def_Processes[Process_Name],Tab_Def_Processes[Process_ID],,0,)</f>
        <v>05</v>
      </c>
      <c r="G9" s="138" t="s">
        <v>1080</v>
      </c>
      <c r="H9" s="9" t="str">
        <f>_xlfn.XLOOKUP(G9,Tab_Def_Processes[Process_Name],Tab_Def_Processes[Process_ID],,0,)</f>
        <v>06</v>
      </c>
      <c r="I9" s="138" t="s">
        <v>5</v>
      </c>
      <c r="J9" s="138" t="s">
        <v>5</v>
      </c>
      <c r="K9" s="138" t="s">
        <v>5</v>
      </c>
      <c r="L9" s="6" t="str">
        <f>Tab_Def_Flows[[#This Row],[Flow_ID]]&amp;"_WC"</f>
        <v>F_05_06_WC</v>
      </c>
      <c r="M9" s="135"/>
      <c r="N9" s="13"/>
      <c r="O9" s="6" t="str">
        <f>Tab_Def_Flows[[#This Row],[Flow_ID]]&amp;"_DM"</f>
        <v>F_05_06_DM</v>
      </c>
      <c r="Q9" s="13"/>
      <c r="R9" s="6" t="str">
        <f>Tab_Def_Flows[[#This Row],[Flow_ID]]&amp;"_CC"</f>
        <v>F_05_06_CC</v>
      </c>
      <c r="S9" s="135"/>
      <c r="T9" s="13"/>
      <c r="U9" s="139">
        <f>Tab_Def_Flows[[#This Row],[Flow_CC_DM'[%']]]*Tab_Def_Flows[[#This Row],[Flow_DM'[%']]]</f>
        <v>0</v>
      </c>
      <c r="V9" s="13"/>
    </row>
    <row r="10" spans="1:24" x14ac:dyDescent="0.25">
      <c r="A10" s="142" t="b">
        <v>0</v>
      </c>
      <c r="B10" s="16">
        <f t="shared" si="0"/>
        <v>9</v>
      </c>
      <c r="C10" s="6" t="str">
        <f t="shared" si="1"/>
        <v>F_06_08</v>
      </c>
      <c r="D10" s="7" t="s">
        <v>1093</v>
      </c>
      <c r="E10" s="138" t="s">
        <v>1080</v>
      </c>
      <c r="F10" s="6" t="str">
        <f>_xlfn.XLOOKUP(E10,Tab_Def_Processes[Process_Name],Tab_Def_Processes[Process_ID],,0,)</f>
        <v>06</v>
      </c>
      <c r="G10" s="138" t="s">
        <v>1082</v>
      </c>
      <c r="H10" s="9" t="str">
        <f>_xlfn.XLOOKUP(G10,Tab_Def_Processes[Process_Name],Tab_Def_Processes[Process_ID],,0,)</f>
        <v>08</v>
      </c>
      <c r="I10" s="138" t="s">
        <v>5</v>
      </c>
      <c r="J10" s="138" t="s">
        <v>5</v>
      </c>
      <c r="K10" s="138" t="s">
        <v>5</v>
      </c>
      <c r="L10" s="6" t="str">
        <f>Tab_Def_Flows[[#This Row],[Flow_ID]]&amp;"_WC"</f>
        <v>F_06_08_WC</v>
      </c>
      <c r="M10" s="135"/>
      <c r="N10" s="13"/>
      <c r="O10" s="6" t="str">
        <f>Tab_Def_Flows[[#This Row],[Flow_ID]]&amp;"_DM"</f>
        <v>F_06_08_DM</v>
      </c>
      <c r="Q10" s="13"/>
      <c r="R10" s="6" t="str">
        <f>Tab_Def_Flows[[#This Row],[Flow_ID]]&amp;"_CC"</f>
        <v>F_06_08_CC</v>
      </c>
      <c r="S10" s="135"/>
      <c r="T10" s="13"/>
      <c r="U10" s="139">
        <f>Tab_Def_Flows[[#This Row],[Flow_CC_DM'[%']]]*Tab_Def_Flows[[#This Row],[Flow_DM'[%']]]</f>
        <v>0</v>
      </c>
      <c r="V10" s="13"/>
    </row>
    <row r="11" spans="1:24" x14ac:dyDescent="0.25">
      <c r="A11" s="142" t="b">
        <v>0</v>
      </c>
      <c r="B11" s="16">
        <f t="shared" si="0"/>
        <v>10</v>
      </c>
      <c r="C11" s="6" t="str">
        <f t="shared" si="1"/>
        <v>F_05_12</v>
      </c>
      <c r="D11" s="7" t="s">
        <v>1094</v>
      </c>
      <c r="E11" s="138" t="s">
        <v>1079</v>
      </c>
      <c r="F11" s="6" t="str">
        <f>_xlfn.XLOOKUP(E11,Tab_Def_Processes[Process_Name],Tab_Def_Processes[Process_ID],,0,)</f>
        <v>05</v>
      </c>
      <c r="G11" s="138" t="s">
        <v>1086</v>
      </c>
      <c r="H11" s="9" t="str">
        <f>_xlfn.XLOOKUP(G11,Tab_Def_Processes[Process_Name],Tab_Def_Processes[Process_ID],,0,)</f>
        <v>12</v>
      </c>
      <c r="I11" s="138" t="s">
        <v>5</v>
      </c>
      <c r="J11" s="138" t="s">
        <v>5</v>
      </c>
      <c r="K11" s="138" t="s">
        <v>5</v>
      </c>
      <c r="L11" s="6" t="str">
        <f>Tab_Def_Flows[[#This Row],[Flow_ID]]&amp;"_WC"</f>
        <v>F_05_12_WC</v>
      </c>
      <c r="M11" s="135"/>
      <c r="N11" s="13"/>
      <c r="O11" s="6" t="str">
        <f>Tab_Def_Flows[[#This Row],[Flow_ID]]&amp;"_DM"</f>
        <v>F_05_12_DM</v>
      </c>
      <c r="Q11" s="13"/>
      <c r="R11" s="6" t="str">
        <f>Tab_Def_Flows[[#This Row],[Flow_ID]]&amp;"_CC"</f>
        <v>F_05_12_CC</v>
      </c>
      <c r="S11" s="135"/>
      <c r="T11" s="13"/>
      <c r="U11" s="139">
        <f>Tab_Def_Flows[[#This Row],[Flow_CC_DM'[%']]]*Tab_Def_Flows[[#This Row],[Flow_DM'[%']]]</f>
        <v>0</v>
      </c>
      <c r="V11" s="13"/>
    </row>
    <row r="12" spans="1:24" x14ac:dyDescent="0.25">
      <c r="A12" s="142" t="b">
        <v>0</v>
      </c>
      <c r="B12" s="16">
        <f t="shared" si="0"/>
        <v>11</v>
      </c>
      <c r="C12" s="6" t="str">
        <f t="shared" si="1"/>
        <v>F_12_00</v>
      </c>
      <c r="D12" s="7" t="s">
        <v>1095</v>
      </c>
      <c r="E12" s="138" t="s">
        <v>1086</v>
      </c>
      <c r="F12" s="6" t="str">
        <f>_xlfn.XLOOKUP(E12,Tab_Def_Processes[Process_Name],Tab_Def_Processes[Process_ID],,0,)</f>
        <v>12</v>
      </c>
      <c r="G12" s="138" t="s">
        <v>197</v>
      </c>
      <c r="H12" s="9" t="str">
        <f>_xlfn.XLOOKUP(G12,Tab_Def_Processes[Process_Name],Tab_Def_Processes[Process_ID],,0,)</f>
        <v>00</v>
      </c>
      <c r="I12" s="138" t="s">
        <v>5</v>
      </c>
      <c r="J12" s="138" t="s">
        <v>5</v>
      </c>
      <c r="K12" s="138" t="s">
        <v>5</v>
      </c>
      <c r="L12" s="6" t="str">
        <f>Tab_Def_Flows[[#This Row],[Flow_ID]]&amp;"_WC"</f>
        <v>F_12_00_WC</v>
      </c>
      <c r="M12" s="135"/>
      <c r="N12" s="13"/>
      <c r="O12" s="6" t="str">
        <f>Tab_Def_Flows[[#This Row],[Flow_ID]]&amp;"_DM"</f>
        <v>F_12_00_DM</v>
      </c>
      <c r="Q12" s="13"/>
      <c r="R12" s="6" t="str">
        <f>Tab_Def_Flows[[#This Row],[Flow_ID]]&amp;"_CC"</f>
        <v>F_12_00_CC</v>
      </c>
      <c r="S12" s="135"/>
      <c r="T12" s="13"/>
      <c r="U12" s="139">
        <f>Tab_Def_Flows[[#This Row],[Flow_CC_DM'[%']]]*Tab_Def_Flows[[#This Row],[Flow_DM'[%']]]</f>
        <v>0</v>
      </c>
      <c r="V12" s="13"/>
    </row>
    <row r="13" spans="1:24" x14ac:dyDescent="0.25">
      <c r="A13" s="142" t="b">
        <v>0</v>
      </c>
      <c r="B13" s="16">
        <f t="shared" si="0"/>
        <v>12</v>
      </c>
      <c r="C13" s="6" t="str">
        <f t="shared" si="1"/>
        <v>F_12_01</v>
      </c>
      <c r="D13" s="7" t="s">
        <v>1096</v>
      </c>
      <c r="E13" s="138" t="s">
        <v>1086</v>
      </c>
      <c r="F13" s="6" t="str">
        <f>_xlfn.XLOOKUP(E13,Tab_Def_Processes[Process_Name],Tab_Def_Processes[Process_ID],,0,)</f>
        <v>12</v>
      </c>
      <c r="G13" s="138" t="s">
        <v>198</v>
      </c>
      <c r="H13" s="9" t="str">
        <f>_xlfn.XLOOKUP(G13,Tab_Def_Processes[Process_Name],Tab_Def_Processes[Process_ID],,0,)</f>
        <v>01</v>
      </c>
      <c r="I13" s="138" t="s">
        <v>5</v>
      </c>
      <c r="J13" s="138" t="s">
        <v>5</v>
      </c>
      <c r="K13" s="138" t="s">
        <v>5</v>
      </c>
      <c r="L13" s="6" t="str">
        <f>Tab_Def_Flows[[#This Row],[Flow_ID]]&amp;"_WC"</f>
        <v>F_12_01_WC</v>
      </c>
      <c r="M13" s="135"/>
      <c r="N13" s="13"/>
      <c r="O13" s="6" t="str">
        <f>Tab_Def_Flows[[#This Row],[Flow_ID]]&amp;"_DM"</f>
        <v>F_12_01_DM</v>
      </c>
      <c r="Q13" s="13"/>
      <c r="R13" s="6" t="str">
        <f>Tab_Def_Flows[[#This Row],[Flow_ID]]&amp;"_CC"</f>
        <v>F_12_01_CC</v>
      </c>
      <c r="S13" s="135"/>
      <c r="T13" s="13"/>
      <c r="U13" s="139">
        <f>Tab_Def_Flows[[#This Row],[Flow_CC_DM'[%']]]*Tab_Def_Flows[[#This Row],[Flow_DM'[%']]]</f>
        <v>0</v>
      </c>
      <c r="V13" s="13"/>
    </row>
    <row r="14" spans="1:24" x14ac:dyDescent="0.25">
      <c r="A14" s="142" t="b">
        <v>0</v>
      </c>
      <c r="B14" s="16">
        <f t="shared" si="0"/>
        <v>13</v>
      </c>
      <c r="C14" s="6" t="str">
        <f t="shared" si="1"/>
        <v>F_08_00</v>
      </c>
      <c r="D14" s="7" t="s">
        <v>1107</v>
      </c>
      <c r="E14" s="138" t="s">
        <v>1082</v>
      </c>
      <c r="F14" s="6" t="str">
        <f>_xlfn.XLOOKUP(E14,Tab_Def_Processes[Process_Name],Tab_Def_Processes[Process_ID],,0,)</f>
        <v>08</v>
      </c>
      <c r="G14" s="138" t="s">
        <v>197</v>
      </c>
      <c r="H14" s="9" t="str">
        <f>_xlfn.XLOOKUP(G14,Tab_Def_Processes[Process_Name],Tab_Def_Processes[Process_ID],,0,)</f>
        <v>00</v>
      </c>
      <c r="I14" s="138" t="s">
        <v>5</v>
      </c>
      <c r="J14" s="138" t="s">
        <v>5</v>
      </c>
      <c r="K14" s="138" t="s">
        <v>5</v>
      </c>
      <c r="L14" s="6" t="str">
        <f>Tab_Def_Flows[[#This Row],[Flow_ID]]&amp;"_WC"</f>
        <v>F_08_00_WC</v>
      </c>
      <c r="M14" s="135"/>
      <c r="N14" s="13"/>
      <c r="O14" s="6" t="str">
        <f>Tab_Def_Flows[[#This Row],[Flow_ID]]&amp;"_DM"</f>
        <v>F_08_00_DM</v>
      </c>
      <c r="Q14" s="13"/>
      <c r="R14" s="6" t="str">
        <f>Tab_Def_Flows[[#This Row],[Flow_ID]]&amp;"_CC"</f>
        <v>F_08_00_CC</v>
      </c>
      <c r="S14" s="135"/>
      <c r="T14" s="13"/>
      <c r="U14" s="139">
        <f>Tab_Def_Flows[[#This Row],[Flow_CC_DM'[%']]]*Tab_Def_Flows[[#This Row],[Flow_DM'[%']]]</f>
        <v>0</v>
      </c>
      <c r="V14" s="13"/>
    </row>
    <row r="15" spans="1:24" x14ac:dyDescent="0.25">
      <c r="A15" s="142" t="b">
        <v>0</v>
      </c>
      <c r="B15" s="16">
        <f t="shared" si="0"/>
        <v>14</v>
      </c>
      <c r="C15" s="6" t="str">
        <f t="shared" si="1"/>
        <v>F_08_01</v>
      </c>
      <c r="D15" s="7" t="s">
        <v>1108</v>
      </c>
      <c r="E15" s="138" t="s">
        <v>1082</v>
      </c>
      <c r="F15" s="6" t="str">
        <f>_xlfn.XLOOKUP(E15,Tab_Def_Processes[Process_Name],Tab_Def_Processes[Process_ID],,0,)</f>
        <v>08</v>
      </c>
      <c r="G15" s="138" t="s">
        <v>198</v>
      </c>
      <c r="H15" s="9" t="str">
        <f>_xlfn.XLOOKUP(G15,Tab_Def_Processes[Process_Name],Tab_Def_Processes[Process_ID],,0,)</f>
        <v>01</v>
      </c>
      <c r="I15" s="138" t="s">
        <v>5</v>
      </c>
      <c r="J15" s="138" t="s">
        <v>5</v>
      </c>
      <c r="K15" s="138" t="s">
        <v>5</v>
      </c>
      <c r="L15" s="6" t="str">
        <f>Tab_Def_Flows[[#This Row],[Flow_ID]]&amp;"_WC"</f>
        <v>F_08_01_WC</v>
      </c>
      <c r="M15" s="135"/>
      <c r="N15" s="13"/>
      <c r="O15" s="6" t="str">
        <f>Tab_Def_Flows[[#This Row],[Flow_ID]]&amp;"_DM"</f>
        <v>F_08_01_DM</v>
      </c>
      <c r="Q15" s="13"/>
      <c r="R15" s="6" t="str">
        <f>Tab_Def_Flows[[#This Row],[Flow_ID]]&amp;"_CC"</f>
        <v>F_08_01_CC</v>
      </c>
      <c r="S15" s="135"/>
      <c r="T15" s="13"/>
      <c r="U15" s="139">
        <f>Tab_Def_Flows[[#This Row],[Flow_CC_DM'[%']]]*Tab_Def_Flows[[#This Row],[Flow_DM'[%']]]</f>
        <v>0</v>
      </c>
      <c r="V15" s="13"/>
    </row>
    <row r="16" spans="1:24" x14ac:dyDescent="0.25">
      <c r="A16" s="142" t="b">
        <v>0</v>
      </c>
      <c r="B16" s="16">
        <f t="shared" si="0"/>
        <v>15</v>
      </c>
      <c r="C16" s="6" t="str">
        <f t="shared" si="1"/>
        <v>F_05_09</v>
      </c>
      <c r="D16" s="7" t="s">
        <v>1097</v>
      </c>
      <c r="E16" s="138" t="s">
        <v>1079</v>
      </c>
      <c r="F16" s="6" t="str">
        <f>_xlfn.XLOOKUP(E16,Tab_Def_Processes[Process_Name],Tab_Def_Processes[Process_ID],,0,)</f>
        <v>05</v>
      </c>
      <c r="G16" s="138" t="s">
        <v>1083</v>
      </c>
      <c r="H16" s="9" t="str">
        <f>_xlfn.XLOOKUP(G16,Tab_Def_Processes[Process_Name],Tab_Def_Processes[Process_ID],,0,)</f>
        <v>09</v>
      </c>
      <c r="I16" s="138" t="s">
        <v>5</v>
      </c>
      <c r="J16" s="138" t="s">
        <v>5</v>
      </c>
      <c r="K16" s="138" t="s">
        <v>5</v>
      </c>
      <c r="L16" s="6" t="str">
        <f>Tab_Def_Flows[[#This Row],[Flow_ID]]&amp;"_WC"</f>
        <v>F_05_09_WC</v>
      </c>
      <c r="M16" s="135"/>
      <c r="N16" s="13"/>
      <c r="O16" s="6" t="str">
        <f>Tab_Def_Flows[[#This Row],[Flow_ID]]&amp;"_DM"</f>
        <v>F_05_09_DM</v>
      </c>
      <c r="Q16" s="13"/>
      <c r="R16" s="6" t="str">
        <f>Tab_Def_Flows[[#This Row],[Flow_ID]]&amp;"_CC"</f>
        <v>F_05_09_CC</v>
      </c>
      <c r="S16" s="135"/>
      <c r="T16" s="13"/>
      <c r="U16" s="139">
        <f>Tab_Def_Flows[[#This Row],[Flow_CC_DM'[%']]]*Tab_Def_Flows[[#This Row],[Flow_DM'[%']]]</f>
        <v>0</v>
      </c>
      <c r="V16" s="13"/>
    </row>
    <row r="17" spans="1:22" x14ac:dyDescent="0.25">
      <c r="A17" s="142" t="b">
        <v>0</v>
      </c>
      <c r="B17" s="16">
        <f t="shared" si="0"/>
        <v>16</v>
      </c>
      <c r="C17" s="6" t="str">
        <f t="shared" si="1"/>
        <v>F_09_00</v>
      </c>
      <c r="D17" s="7" t="s">
        <v>1098</v>
      </c>
      <c r="E17" s="138" t="s">
        <v>1083</v>
      </c>
      <c r="F17" s="6" t="str">
        <f>_xlfn.XLOOKUP(E17,Tab_Def_Processes[Process_Name],Tab_Def_Processes[Process_ID],,0,)</f>
        <v>09</v>
      </c>
      <c r="G17" s="138" t="s">
        <v>197</v>
      </c>
      <c r="H17" s="9" t="str">
        <f>_xlfn.XLOOKUP(G17,Tab_Def_Processes[Process_Name],Tab_Def_Processes[Process_ID],,0,)</f>
        <v>00</v>
      </c>
      <c r="I17" s="138" t="s">
        <v>5</v>
      </c>
      <c r="J17" s="138" t="s">
        <v>5</v>
      </c>
      <c r="K17" s="138" t="s">
        <v>5</v>
      </c>
      <c r="L17" s="6" t="str">
        <f>Tab_Def_Flows[[#This Row],[Flow_ID]]&amp;"_WC"</f>
        <v>F_09_00_WC</v>
      </c>
      <c r="M17" s="135"/>
      <c r="N17" s="13"/>
      <c r="O17" s="6" t="str">
        <f>Tab_Def_Flows[[#This Row],[Flow_ID]]&amp;"_DM"</f>
        <v>F_09_00_DM</v>
      </c>
      <c r="Q17" s="13"/>
      <c r="R17" s="6" t="str">
        <f>Tab_Def_Flows[[#This Row],[Flow_ID]]&amp;"_CC"</f>
        <v>F_09_00_CC</v>
      </c>
      <c r="S17" s="135"/>
      <c r="T17" s="13"/>
      <c r="U17" s="139">
        <f>Tab_Def_Flows[[#This Row],[Flow_CC_DM'[%']]]*Tab_Def_Flows[[#This Row],[Flow_DM'[%']]]</f>
        <v>0</v>
      </c>
      <c r="V17" s="13"/>
    </row>
    <row r="18" spans="1:22" x14ac:dyDescent="0.25">
      <c r="A18" s="142" t="b">
        <v>0</v>
      </c>
      <c r="B18" s="16">
        <f t="shared" si="0"/>
        <v>17</v>
      </c>
      <c r="C18" s="6" t="str">
        <f t="shared" si="1"/>
        <v>F_09_01</v>
      </c>
      <c r="D18" s="7" t="s">
        <v>1099</v>
      </c>
      <c r="E18" s="138" t="s">
        <v>1083</v>
      </c>
      <c r="F18" s="6" t="str">
        <f>_xlfn.XLOOKUP(E18,Tab_Def_Processes[Process_Name],Tab_Def_Processes[Process_ID],,0,)</f>
        <v>09</v>
      </c>
      <c r="G18" s="138" t="s">
        <v>198</v>
      </c>
      <c r="H18" s="9" t="str">
        <f>_xlfn.XLOOKUP(G18,Tab_Def_Processes[Process_Name],Tab_Def_Processes[Process_ID],,0,)</f>
        <v>01</v>
      </c>
      <c r="I18" s="138" t="s">
        <v>5</v>
      </c>
      <c r="J18" s="138" t="s">
        <v>5</v>
      </c>
      <c r="K18" s="138" t="s">
        <v>5</v>
      </c>
      <c r="L18" s="6" t="str">
        <f>Tab_Def_Flows[[#This Row],[Flow_ID]]&amp;"_WC"</f>
        <v>F_09_01_WC</v>
      </c>
      <c r="M18" s="135"/>
      <c r="N18" s="13"/>
      <c r="O18" s="6" t="str">
        <f>Tab_Def_Flows[[#This Row],[Flow_ID]]&amp;"_DM"</f>
        <v>F_09_01_DM</v>
      </c>
      <c r="Q18" s="13"/>
      <c r="R18" s="6" t="str">
        <f>Tab_Def_Flows[[#This Row],[Flow_ID]]&amp;"_CC"</f>
        <v>F_09_01_CC</v>
      </c>
      <c r="S18" s="135"/>
      <c r="T18" s="13"/>
      <c r="U18" s="139">
        <f>Tab_Def_Flows[[#This Row],[Flow_CC_DM'[%']]]*Tab_Def_Flows[[#This Row],[Flow_DM'[%']]]</f>
        <v>0</v>
      </c>
      <c r="V18" s="13"/>
    </row>
    <row r="19" spans="1:22" x14ac:dyDescent="0.25">
      <c r="A19" s="142" t="b">
        <v>0</v>
      </c>
      <c r="B19" s="16">
        <f t="shared" si="0"/>
        <v>18</v>
      </c>
      <c r="C19" s="6" t="str">
        <f t="shared" si="1"/>
        <v>F_10_00</v>
      </c>
      <c r="D19" s="7" t="s">
        <v>1100</v>
      </c>
      <c r="E19" s="138" t="s">
        <v>1084</v>
      </c>
      <c r="F19" s="6" t="str">
        <f>_xlfn.XLOOKUP(E19,Tab_Def_Processes[Process_Name],Tab_Def_Processes[Process_ID],,0,)</f>
        <v>10</v>
      </c>
      <c r="G19" s="138" t="s">
        <v>197</v>
      </c>
      <c r="H19" s="9" t="str">
        <f>_xlfn.XLOOKUP(G19,Tab_Def_Processes[Process_Name],Tab_Def_Processes[Process_ID],,0,)</f>
        <v>00</v>
      </c>
      <c r="I19" s="138" t="s">
        <v>5</v>
      </c>
      <c r="J19" s="138" t="s">
        <v>5</v>
      </c>
      <c r="K19" s="138" t="s">
        <v>5</v>
      </c>
      <c r="L19" s="6" t="str">
        <f>Tab_Def_Flows[[#This Row],[Flow_ID]]&amp;"_WC"</f>
        <v>F_10_00_WC</v>
      </c>
      <c r="M19" s="135"/>
      <c r="N19" s="13"/>
      <c r="O19" s="6" t="str">
        <f>Tab_Def_Flows[[#This Row],[Flow_ID]]&amp;"_DM"</f>
        <v>F_10_00_DM</v>
      </c>
      <c r="Q19" s="13"/>
      <c r="R19" s="6" t="str">
        <f>Tab_Def_Flows[[#This Row],[Flow_ID]]&amp;"_CC"</f>
        <v>F_10_00_CC</v>
      </c>
      <c r="S19" s="135"/>
      <c r="T19" s="13"/>
      <c r="U19" s="139">
        <f>Tab_Def_Flows[[#This Row],[Flow_CC_DM'[%']]]*Tab_Def_Flows[[#This Row],[Flow_DM'[%']]]</f>
        <v>0</v>
      </c>
      <c r="V19" s="13"/>
    </row>
    <row r="20" spans="1:22" x14ac:dyDescent="0.25">
      <c r="A20" s="142" t="b">
        <v>0</v>
      </c>
      <c r="B20" s="16">
        <f t="shared" si="0"/>
        <v>19</v>
      </c>
      <c r="C20" s="6" t="str">
        <f t="shared" si="1"/>
        <v>F_10_01</v>
      </c>
      <c r="D20" s="7" t="s">
        <v>1101</v>
      </c>
      <c r="E20" s="138" t="s">
        <v>1084</v>
      </c>
      <c r="F20" s="6" t="str">
        <f>_xlfn.XLOOKUP(E20,Tab_Def_Processes[Process_Name],Tab_Def_Processes[Process_ID],,0,)</f>
        <v>10</v>
      </c>
      <c r="G20" s="138" t="s">
        <v>198</v>
      </c>
      <c r="H20" s="9" t="str">
        <f>_xlfn.XLOOKUP(G20,Tab_Def_Processes[Process_Name],Tab_Def_Processes[Process_ID],,0,)</f>
        <v>01</v>
      </c>
      <c r="I20" s="138" t="s">
        <v>5</v>
      </c>
      <c r="J20" s="138" t="s">
        <v>5</v>
      </c>
      <c r="K20" s="138" t="s">
        <v>5</v>
      </c>
      <c r="L20" s="6" t="str">
        <f>Tab_Def_Flows[[#This Row],[Flow_ID]]&amp;"_WC"</f>
        <v>F_10_01_WC</v>
      </c>
      <c r="M20" s="135"/>
      <c r="N20" s="13"/>
      <c r="O20" s="6" t="str">
        <f>Tab_Def_Flows[[#This Row],[Flow_ID]]&amp;"_DM"</f>
        <v>F_10_01_DM</v>
      </c>
      <c r="Q20" s="13"/>
      <c r="R20" s="6" t="str">
        <f>Tab_Def_Flows[[#This Row],[Flow_ID]]&amp;"_CC"</f>
        <v>F_10_01_CC</v>
      </c>
      <c r="S20" s="135"/>
      <c r="T20" s="13"/>
      <c r="U20" s="139">
        <f>Tab_Def_Flows[[#This Row],[Flow_CC_DM'[%']]]*Tab_Def_Flows[[#This Row],[Flow_DM'[%']]]</f>
        <v>0</v>
      </c>
      <c r="V20" s="13"/>
    </row>
    <row r="21" spans="1:22" x14ac:dyDescent="0.25">
      <c r="A21" s="142" t="b">
        <v>0</v>
      </c>
      <c r="B21" s="16">
        <f t="shared" si="0"/>
        <v>20</v>
      </c>
      <c r="C21" s="6" t="str">
        <f t="shared" si="1"/>
        <v>F_09_10</v>
      </c>
      <c r="D21" s="7" t="s">
        <v>1102</v>
      </c>
      <c r="E21" s="138" t="s">
        <v>1083</v>
      </c>
      <c r="F21" s="6" t="str">
        <f>_xlfn.XLOOKUP(E21,Tab_Def_Processes[Process_Name],Tab_Def_Processes[Process_ID],,0,)</f>
        <v>09</v>
      </c>
      <c r="G21" s="138" t="s">
        <v>1084</v>
      </c>
      <c r="H21" s="9" t="str">
        <f>_xlfn.XLOOKUP(G21,Tab_Def_Processes[Process_Name],Tab_Def_Processes[Process_ID],,0,)</f>
        <v>10</v>
      </c>
      <c r="I21" s="138" t="s">
        <v>5</v>
      </c>
      <c r="J21" s="138" t="s">
        <v>5</v>
      </c>
      <c r="K21" s="138" t="s">
        <v>5</v>
      </c>
      <c r="L21" s="6" t="str">
        <f>Tab_Def_Flows[[#This Row],[Flow_ID]]&amp;"_WC"</f>
        <v>F_09_10_WC</v>
      </c>
      <c r="M21" s="135"/>
      <c r="N21" s="13"/>
      <c r="O21" s="6" t="str">
        <f>Tab_Def_Flows[[#This Row],[Flow_ID]]&amp;"_DM"</f>
        <v>F_09_10_DM</v>
      </c>
      <c r="Q21" s="13"/>
      <c r="R21" s="6" t="str">
        <f>Tab_Def_Flows[[#This Row],[Flow_ID]]&amp;"_CC"</f>
        <v>F_09_10_CC</v>
      </c>
      <c r="S21" s="135"/>
      <c r="T21" s="13"/>
      <c r="U21" s="139">
        <f>Tab_Def_Flows[[#This Row],[Flow_CC_DM'[%']]]*Tab_Def_Flows[[#This Row],[Flow_DM'[%']]]</f>
        <v>0</v>
      </c>
      <c r="V21" s="13"/>
    </row>
    <row r="22" spans="1:22" x14ac:dyDescent="0.25">
      <c r="A22" s="142" t="b">
        <v>0</v>
      </c>
      <c r="B22" s="16">
        <f t="shared" si="0"/>
        <v>21</v>
      </c>
      <c r="C22" s="6" t="str">
        <f t="shared" si="1"/>
        <v>F_01_09</v>
      </c>
      <c r="D22" s="7" t="s">
        <v>1103</v>
      </c>
      <c r="E22" s="138" t="s">
        <v>198</v>
      </c>
      <c r="F22" s="6" t="str">
        <f>_xlfn.XLOOKUP(E22,Tab_Def_Processes[Process_Name],Tab_Def_Processes[Process_ID],,0,)</f>
        <v>01</v>
      </c>
      <c r="G22" s="138" t="s">
        <v>1083</v>
      </c>
      <c r="H22" s="9" t="str">
        <f>_xlfn.XLOOKUP(G22,Tab_Def_Processes[Process_Name],Tab_Def_Processes[Process_ID],,0,)</f>
        <v>09</v>
      </c>
      <c r="I22" s="138" t="s">
        <v>5</v>
      </c>
      <c r="J22" s="138" t="s">
        <v>5</v>
      </c>
      <c r="K22" s="138" t="s">
        <v>5</v>
      </c>
      <c r="L22" s="6" t="str">
        <f>Tab_Def_Flows[[#This Row],[Flow_ID]]&amp;"_WC"</f>
        <v>F_01_09_WC</v>
      </c>
      <c r="M22" s="135">
        <v>1</v>
      </c>
      <c r="N22" s="13"/>
      <c r="O22" s="6" t="str">
        <f>Tab_Def_Flows[[#This Row],[Flow_ID]]&amp;"_DM"</f>
        <v>F_01_09_DM</v>
      </c>
      <c r="P22" s="135">
        <v>0</v>
      </c>
      <c r="Q22" s="13"/>
      <c r="R22" s="6" t="str">
        <f>Tab_Def_Flows[[#This Row],[Flow_ID]]&amp;"_CC"</f>
        <v>F_01_09_CC</v>
      </c>
      <c r="S22" s="135">
        <v>0</v>
      </c>
      <c r="T22" s="13"/>
      <c r="U22" s="139">
        <f>Tab_Def_Flows[[#This Row],[Flow_CC_DM'[%']]]*Tab_Def_Flows[[#This Row],[Flow_DM'[%']]]</f>
        <v>0</v>
      </c>
      <c r="V22" s="13"/>
    </row>
    <row r="23" spans="1:22" x14ac:dyDescent="0.25">
      <c r="A23" s="142" t="b">
        <v>0</v>
      </c>
      <c r="B23" s="16">
        <f t="shared" si="0"/>
        <v>22</v>
      </c>
      <c r="C23" s="6" t="str">
        <f t="shared" si="1"/>
        <v>F_12_07</v>
      </c>
      <c r="D23" s="7" t="s">
        <v>1104</v>
      </c>
      <c r="E23" s="138" t="s">
        <v>1086</v>
      </c>
      <c r="F23" s="6" t="str">
        <f>_xlfn.XLOOKUP(E23,Tab_Def_Processes[Process_Name],Tab_Def_Processes[Process_ID],,0,)</f>
        <v>12</v>
      </c>
      <c r="G23" s="138" t="s">
        <v>1081</v>
      </c>
      <c r="H23" s="9" t="str">
        <f>_xlfn.XLOOKUP(G23,Tab_Def_Processes[Process_Name],Tab_Def_Processes[Process_ID],,0,)</f>
        <v>07</v>
      </c>
      <c r="I23" s="138" t="s">
        <v>5</v>
      </c>
      <c r="J23" s="138" t="s">
        <v>5</v>
      </c>
      <c r="K23" s="138" t="s">
        <v>5</v>
      </c>
      <c r="L23" s="6" t="str">
        <f>Tab_Def_Flows[[#This Row],[Flow_ID]]&amp;"_WC"</f>
        <v>F_12_07_WC</v>
      </c>
      <c r="M23" s="135"/>
      <c r="N23" s="13"/>
      <c r="O23" s="6" t="str">
        <f>Tab_Def_Flows[[#This Row],[Flow_ID]]&amp;"_DM"</f>
        <v>F_12_07_DM</v>
      </c>
      <c r="Q23" s="13"/>
      <c r="R23" s="6" t="str">
        <f>Tab_Def_Flows[[#This Row],[Flow_ID]]&amp;"_CC"</f>
        <v>F_12_07_CC</v>
      </c>
      <c r="S23" s="135"/>
      <c r="T23" s="13"/>
      <c r="U23" s="139">
        <f>Tab_Def_Flows[[#This Row],[Flow_CC_DM'[%']]]*Tab_Def_Flows[[#This Row],[Flow_DM'[%']]]</f>
        <v>0</v>
      </c>
      <c r="V23" s="13"/>
    </row>
    <row r="24" spans="1:22" x14ac:dyDescent="0.25">
      <c r="A24" s="142" t="b">
        <v>0</v>
      </c>
      <c r="B24" s="16">
        <f t="shared" si="0"/>
        <v>23</v>
      </c>
      <c r="C24" s="6" t="str">
        <f t="shared" si="1"/>
        <v>F_07_00</v>
      </c>
      <c r="D24" s="7" t="s">
        <v>1105</v>
      </c>
      <c r="E24" s="138" t="s">
        <v>1081</v>
      </c>
      <c r="F24" s="6" t="str">
        <f>_xlfn.XLOOKUP(E24,Tab_Def_Processes[Process_Name],Tab_Def_Processes[Process_ID],,0,)</f>
        <v>07</v>
      </c>
      <c r="G24" s="138" t="s">
        <v>197</v>
      </c>
      <c r="H24" s="9" t="str">
        <f>_xlfn.XLOOKUP(G24,Tab_Def_Processes[Process_Name],Tab_Def_Processes[Process_ID],,0,)</f>
        <v>00</v>
      </c>
      <c r="I24" s="138" t="s">
        <v>5</v>
      </c>
      <c r="J24" s="138" t="s">
        <v>5</v>
      </c>
      <c r="K24" s="138" t="s">
        <v>5</v>
      </c>
      <c r="L24" s="6" t="str">
        <f>Tab_Def_Flows[[#This Row],[Flow_ID]]&amp;"_WC"</f>
        <v>F_07_00_WC</v>
      </c>
      <c r="M24" s="135"/>
      <c r="N24" s="13"/>
      <c r="O24" s="6" t="str">
        <f>Tab_Def_Flows[[#This Row],[Flow_ID]]&amp;"_DM"</f>
        <v>F_07_00_DM</v>
      </c>
      <c r="Q24" s="13"/>
      <c r="R24" s="6" t="str">
        <f>Tab_Def_Flows[[#This Row],[Flow_ID]]&amp;"_CC"</f>
        <v>F_07_00_CC</v>
      </c>
      <c r="S24" s="135"/>
      <c r="T24" s="13"/>
      <c r="U24" s="139">
        <f>Tab_Def_Flows[[#This Row],[Flow_CC_DM'[%']]]*Tab_Def_Flows[[#This Row],[Flow_DM'[%']]]</f>
        <v>0</v>
      </c>
      <c r="V24" s="13"/>
    </row>
    <row r="25" spans="1:22" x14ac:dyDescent="0.25">
      <c r="A25" s="142" t="b">
        <v>0</v>
      </c>
      <c r="B25" s="16">
        <f t="shared" si="0"/>
        <v>24</v>
      </c>
      <c r="C25" s="6" t="str">
        <f t="shared" si="1"/>
        <v>F_07_01</v>
      </c>
      <c r="D25" s="7" t="s">
        <v>1106</v>
      </c>
      <c r="E25" s="138" t="s">
        <v>1081</v>
      </c>
      <c r="F25" s="6" t="str">
        <f>_xlfn.XLOOKUP(E25,Tab_Def_Processes[Process_Name],Tab_Def_Processes[Process_ID],,0,)</f>
        <v>07</v>
      </c>
      <c r="G25" s="138" t="s">
        <v>198</v>
      </c>
      <c r="H25" s="9" t="str">
        <f>_xlfn.XLOOKUP(G25,Tab_Def_Processes[Process_Name],Tab_Def_Processes[Process_ID],,0,)</f>
        <v>01</v>
      </c>
      <c r="I25" s="138" t="s">
        <v>5</v>
      </c>
      <c r="J25" s="138" t="s">
        <v>5</v>
      </c>
      <c r="K25" s="138" t="s">
        <v>5</v>
      </c>
      <c r="L25" s="6" t="str">
        <f>Tab_Def_Flows[[#This Row],[Flow_ID]]&amp;"_WC"</f>
        <v>F_07_01_WC</v>
      </c>
      <c r="M25" s="135"/>
      <c r="N25" s="13"/>
      <c r="O25" s="6" t="str">
        <f>Tab_Def_Flows[[#This Row],[Flow_ID]]&amp;"_DM"</f>
        <v>F_07_01_DM</v>
      </c>
      <c r="Q25" s="13"/>
      <c r="R25" s="6" t="str">
        <f>Tab_Def_Flows[[#This Row],[Flow_ID]]&amp;"_CC"</f>
        <v>F_07_01_CC</v>
      </c>
      <c r="S25" s="135"/>
      <c r="T25" s="13"/>
      <c r="U25" s="139">
        <f>Tab_Def_Flows[[#This Row],[Flow_CC_DM'[%']]]*Tab_Def_Flows[[#This Row],[Flow_DM'[%']]]</f>
        <v>0</v>
      </c>
      <c r="V25" s="13"/>
    </row>
    <row r="26" spans="1:22" x14ac:dyDescent="0.25">
      <c r="A26" s="142" t="b">
        <v>0</v>
      </c>
      <c r="B26" s="16">
        <f t="shared" si="0"/>
        <v>25</v>
      </c>
      <c r="C26" s="6" t="str">
        <f t="shared" si="1"/>
        <v>F_13_13</v>
      </c>
      <c r="D26" s="7"/>
      <c r="E26" s="138"/>
      <c r="F26" s="6" t="str">
        <f>_xlfn.XLOOKUP(E26,Tab_Def_Processes[Process_Name],Tab_Def_Processes[Process_ID],,0,)</f>
        <v>13</v>
      </c>
      <c r="G26" s="138"/>
      <c r="H26" s="9" t="str">
        <f>_xlfn.XLOOKUP(G26,Tab_Def_Processes[Process_Name],Tab_Def_Processes[Process_ID],,0,)</f>
        <v>13</v>
      </c>
      <c r="I26" s="138" t="s">
        <v>5</v>
      </c>
      <c r="J26" s="138" t="s">
        <v>5</v>
      </c>
      <c r="K26" s="138" t="s">
        <v>5</v>
      </c>
      <c r="L26" s="6" t="str">
        <f>Tab_Def_Flows[[#This Row],[Flow_ID]]&amp;"_WC"</f>
        <v>F_13_13_WC</v>
      </c>
      <c r="M26" s="135"/>
      <c r="N26" s="13"/>
      <c r="O26" s="6" t="str">
        <f>Tab_Def_Flows[[#This Row],[Flow_ID]]&amp;"_DM"</f>
        <v>F_13_13_DM</v>
      </c>
      <c r="Q26" s="13"/>
      <c r="R26" s="6" t="str">
        <f>Tab_Def_Flows[[#This Row],[Flow_ID]]&amp;"_CC"</f>
        <v>F_13_13_CC</v>
      </c>
      <c r="S26" s="135"/>
      <c r="T26" s="13"/>
      <c r="U26" s="139">
        <f>Tab_Def_Flows[[#This Row],[Flow_CC_DM'[%']]]*Tab_Def_Flows[[#This Row],[Flow_DM'[%']]]</f>
        <v>0</v>
      </c>
      <c r="V26" s="13"/>
    </row>
    <row r="27" spans="1:22" x14ac:dyDescent="0.25">
      <c r="A27" s="142" t="b">
        <v>0</v>
      </c>
      <c r="B27" s="16">
        <f t="shared" si="0"/>
        <v>26</v>
      </c>
      <c r="C27" s="6" t="str">
        <f t="shared" si="1"/>
        <v>F_13_13</v>
      </c>
      <c r="D27" s="7"/>
      <c r="E27" s="138"/>
      <c r="F27" s="6" t="str">
        <f>_xlfn.XLOOKUP(E27,Tab_Def_Processes[Process_Name],Tab_Def_Processes[Process_ID],,0,)</f>
        <v>13</v>
      </c>
      <c r="G27" s="138"/>
      <c r="H27" s="9" t="str">
        <f>_xlfn.XLOOKUP(G27,Tab_Def_Processes[Process_Name],Tab_Def_Processes[Process_ID],,0,)</f>
        <v>13</v>
      </c>
      <c r="I27" s="138" t="s">
        <v>5</v>
      </c>
      <c r="J27" s="138" t="s">
        <v>5</v>
      </c>
      <c r="K27" s="138" t="s">
        <v>5</v>
      </c>
      <c r="L27" s="6" t="str">
        <f>Tab_Def_Flows[[#This Row],[Flow_ID]]&amp;"_WC"</f>
        <v>F_13_13_WC</v>
      </c>
      <c r="M27" s="135"/>
      <c r="N27" s="13"/>
      <c r="O27" s="6" t="str">
        <f>Tab_Def_Flows[[#This Row],[Flow_ID]]&amp;"_DM"</f>
        <v>F_13_13_DM</v>
      </c>
      <c r="Q27" s="13"/>
      <c r="R27" s="6" t="str">
        <f>Tab_Def_Flows[[#This Row],[Flow_ID]]&amp;"_CC"</f>
        <v>F_13_13_CC</v>
      </c>
      <c r="S27" s="135"/>
      <c r="T27" s="13"/>
      <c r="U27" s="139">
        <f>Tab_Def_Flows[[#This Row],[Flow_CC_DM'[%']]]*Tab_Def_Flows[[#This Row],[Flow_DM'[%']]]</f>
        <v>0</v>
      </c>
      <c r="V27" s="13"/>
    </row>
    <row r="28" spans="1:22" x14ac:dyDescent="0.25">
      <c r="A28" s="142" t="b">
        <v>0</v>
      </c>
      <c r="B28" s="16">
        <f t="shared" si="0"/>
        <v>27</v>
      </c>
      <c r="C28" s="6" t="str">
        <f t="shared" si="1"/>
        <v>F_13_13</v>
      </c>
      <c r="D28" s="7"/>
      <c r="E28" s="138"/>
      <c r="F28" s="6" t="str">
        <f>_xlfn.XLOOKUP(E28,Tab_Def_Processes[Process_Name],Tab_Def_Processes[Process_ID],,0,)</f>
        <v>13</v>
      </c>
      <c r="G28" s="138"/>
      <c r="H28" s="9" t="str">
        <f>_xlfn.XLOOKUP(G28,Tab_Def_Processes[Process_Name],Tab_Def_Processes[Process_ID],,0,)</f>
        <v>13</v>
      </c>
      <c r="I28" s="138" t="s">
        <v>5</v>
      </c>
      <c r="J28" s="138" t="s">
        <v>5</v>
      </c>
      <c r="K28" s="138" t="s">
        <v>5</v>
      </c>
      <c r="L28" s="6" t="str">
        <f>Tab_Def_Flows[[#This Row],[Flow_ID]]&amp;"_WC"</f>
        <v>F_13_13_WC</v>
      </c>
      <c r="M28" s="135"/>
      <c r="N28" s="13"/>
      <c r="O28" s="6" t="str">
        <f>Tab_Def_Flows[[#This Row],[Flow_ID]]&amp;"_DM"</f>
        <v>F_13_13_DM</v>
      </c>
      <c r="Q28" s="13"/>
      <c r="R28" s="6" t="str">
        <f>Tab_Def_Flows[[#This Row],[Flow_ID]]&amp;"_CC"</f>
        <v>F_13_13_CC</v>
      </c>
      <c r="S28" s="135"/>
      <c r="T28" s="13"/>
      <c r="U28" s="139">
        <f>Tab_Def_Flows[[#This Row],[Flow_CC_DM'[%']]]*Tab_Def_Flows[[#This Row],[Flow_DM'[%']]]</f>
        <v>0</v>
      </c>
      <c r="V28" s="13"/>
    </row>
    <row r="29" spans="1:22" x14ac:dyDescent="0.25">
      <c r="A29" s="142" t="b">
        <v>0</v>
      </c>
      <c r="B29" s="16">
        <f t="shared" si="0"/>
        <v>28</v>
      </c>
      <c r="C29" s="6" t="str">
        <f t="shared" si="1"/>
        <v>F_13_13</v>
      </c>
      <c r="D29" s="7"/>
      <c r="E29" s="138"/>
      <c r="F29" s="6" t="str">
        <f>_xlfn.XLOOKUP(E29,Tab_Def_Processes[Process_Name],Tab_Def_Processes[Process_ID],,0,)</f>
        <v>13</v>
      </c>
      <c r="G29" s="138"/>
      <c r="H29" s="9" t="str">
        <f>_xlfn.XLOOKUP(G29,Tab_Def_Processes[Process_Name],Tab_Def_Processes[Process_ID],,0,)</f>
        <v>13</v>
      </c>
      <c r="I29" s="138" t="s">
        <v>5</v>
      </c>
      <c r="J29" s="138" t="s">
        <v>5</v>
      </c>
      <c r="K29" s="138" t="s">
        <v>5</v>
      </c>
      <c r="L29" s="6" t="str">
        <f>Tab_Def_Flows[[#This Row],[Flow_ID]]&amp;"_WC"</f>
        <v>F_13_13_WC</v>
      </c>
      <c r="M29" s="135"/>
      <c r="N29" s="13"/>
      <c r="O29" s="6" t="str">
        <f>Tab_Def_Flows[[#This Row],[Flow_ID]]&amp;"_DM"</f>
        <v>F_13_13_DM</v>
      </c>
      <c r="Q29" s="13"/>
      <c r="R29" s="6" t="str">
        <f>Tab_Def_Flows[[#This Row],[Flow_ID]]&amp;"_CC"</f>
        <v>F_13_13_CC</v>
      </c>
      <c r="S29" s="135"/>
      <c r="T29" s="13"/>
      <c r="U29" s="139">
        <f>Tab_Def_Flows[[#This Row],[Flow_CC_DM'[%']]]*Tab_Def_Flows[[#This Row],[Flow_DM'[%']]]</f>
        <v>0</v>
      </c>
      <c r="V29" s="13"/>
    </row>
    <row r="30" spans="1:22" x14ac:dyDescent="0.25">
      <c r="A30" s="142" t="b">
        <v>0</v>
      </c>
      <c r="B30" s="16">
        <f t="shared" si="0"/>
        <v>29</v>
      </c>
      <c r="C30" s="6" t="str">
        <f t="shared" si="1"/>
        <v>F_13_13</v>
      </c>
      <c r="D30" s="7"/>
      <c r="E30" s="138"/>
      <c r="F30" s="6" t="str">
        <f>_xlfn.XLOOKUP(E30,Tab_Def_Processes[Process_Name],Tab_Def_Processes[Process_ID],,0,)</f>
        <v>13</v>
      </c>
      <c r="G30" s="138"/>
      <c r="H30" s="9" t="str">
        <f>_xlfn.XLOOKUP(G30,Tab_Def_Processes[Process_Name],Tab_Def_Processes[Process_ID],,0,)</f>
        <v>13</v>
      </c>
      <c r="I30" s="138" t="s">
        <v>5</v>
      </c>
      <c r="J30" s="138" t="s">
        <v>5</v>
      </c>
      <c r="K30" s="138" t="s">
        <v>5</v>
      </c>
      <c r="L30" s="6" t="str">
        <f>Tab_Def_Flows[[#This Row],[Flow_ID]]&amp;"_WC"</f>
        <v>F_13_13_WC</v>
      </c>
      <c r="M30" s="135"/>
      <c r="N30" s="13"/>
      <c r="O30" s="6" t="str">
        <f>Tab_Def_Flows[[#This Row],[Flow_ID]]&amp;"_DM"</f>
        <v>F_13_13_DM</v>
      </c>
      <c r="Q30" s="13"/>
      <c r="R30" s="6" t="str">
        <f>Tab_Def_Flows[[#This Row],[Flow_ID]]&amp;"_CC"</f>
        <v>F_13_13_CC</v>
      </c>
      <c r="S30" s="135"/>
      <c r="T30" s="13"/>
      <c r="U30" s="139">
        <f>Tab_Def_Flows[[#This Row],[Flow_CC_DM'[%']]]*Tab_Def_Flows[[#This Row],[Flow_DM'[%']]]</f>
        <v>0</v>
      </c>
      <c r="V30" s="13"/>
    </row>
    <row r="31" spans="1:22" x14ac:dyDescent="0.25">
      <c r="A31" s="142" t="b">
        <v>0</v>
      </c>
      <c r="B31" s="16">
        <f t="shared" si="0"/>
        <v>30</v>
      </c>
      <c r="C31" s="6" t="str">
        <f t="shared" si="1"/>
        <v>F_13_13</v>
      </c>
      <c r="D31" s="7"/>
      <c r="E31" s="138"/>
      <c r="F31" s="6" t="str">
        <f>_xlfn.XLOOKUP(E31,Tab_Def_Processes[Process_Name],Tab_Def_Processes[Process_ID],,0,)</f>
        <v>13</v>
      </c>
      <c r="G31" s="138"/>
      <c r="H31" s="9" t="str">
        <f>_xlfn.XLOOKUP(G31,Tab_Def_Processes[Process_Name],Tab_Def_Processes[Process_ID],,0,)</f>
        <v>13</v>
      </c>
      <c r="I31" s="138" t="s">
        <v>5</v>
      </c>
      <c r="J31" s="138" t="s">
        <v>5</v>
      </c>
      <c r="K31" s="138" t="s">
        <v>5</v>
      </c>
      <c r="L31" s="6" t="str">
        <f>Tab_Def_Flows[[#This Row],[Flow_ID]]&amp;"_WC"</f>
        <v>F_13_13_WC</v>
      </c>
      <c r="M31" s="135"/>
      <c r="N31" s="13"/>
      <c r="O31" s="6" t="str">
        <f>Tab_Def_Flows[[#This Row],[Flow_ID]]&amp;"_DM"</f>
        <v>F_13_13_DM</v>
      </c>
      <c r="Q31" s="13"/>
      <c r="R31" s="6" t="str">
        <f>Tab_Def_Flows[[#This Row],[Flow_ID]]&amp;"_CC"</f>
        <v>F_13_13_CC</v>
      </c>
      <c r="S31" s="135"/>
      <c r="T31" s="13"/>
      <c r="U31" s="139">
        <f>Tab_Def_Flows[[#This Row],[Flow_CC_DM'[%']]]*Tab_Def_Flows[[#This Row],[Flow_DM'[%']]]</f>
        <v>0</v>
      </c>
      <c r="V31" s="13"/>
    </row>
    <row r="32" spans="1:22" x14ac:dyDescent="0.25">
      <c r="A32" s="142" t="b">
        <v>0</v>
      </c>
      <c r="B32" s="16">
        <f t="shared" si="0"/>
        <v>31</v>
      </c>
      <c r="C32" s="6" t="str">
        <f t="shared" si="1"/>
        <v>F_13_13</v>
      </c>
      <c r="D32" s="7"/>
      <c r="E32" s="138"/>
      <c r="F32" s="6" t="str">
        <f>_xlfn.XLOOKUP(E32,Tab_Def_Processes[Process_Name],Tab_Def_Processes[Process_ID],,0,)</f>
        <v>13</v>
      </c>
      <c r="G32" s="138"/>
      <c r="H32" s="9" t="str">
        <f>_xlfn.XLOOKUP(G32,Tab_Def_Processes[Process_Name],Tab_Def_Processes[Process_ID],,0,)</f>
        <v>13</v>
      </c>
      <c r="I32" s="138" t="s">
        <v>5</v>
      </c>
      <c r="J32" s="138" t="s">
        <v>5</v>
      </c>
      <c r="K32" s="138" t="s">
        <v>5</v>
      </c>
      <c r="L32" s="6" t="str">
        <f>Tab_Def_Flows[[#This Row],[Flow_ID]]&amp;"_WC"</f>
        <v>F_13_13_WC</v>
      </c>
      <c r="M32" s="135"/>
      <c r="N32" s="13"/>
      <c r="O32" s="6" t="str">
        <f>Tab_Def_Flows[[#This Row],[Flow_ID]]&amp;"_DM"</f>
        <v>F_13_13_DM</v>
      </c>
      <c r="Q32" s="13"/>
      <c r="R32" s="6" t="str">
        <f>Tab_Def_Flows[[#This Row],[Flow_ID]]&amp;"_CC"</f>
        <v>F_13_13_CC</v>
      </c>
      <c r="S32" s="135"/>
      <c r="T32" s="13"/>
      <c r="U32" s="139">
        <f>Tab_Def_Flows[[#This Row],[Flow_CC_DM'[%']]]*Tab_Def_Flows[[#This Row],[Flow_DM'[%']]]</f>
        <v>0</v>
      </c>
      <c r="V32" s="13"/>
    </row>
    <row r="33" spans="1:22" x14ac:dyDescent="0.25">
      <c r="A33" s="142" t="b">
        <v>0</v>
      </c>
      <c r="B33" s="16">
        <f t="shared" si="0"/>
        <v>32</v>
      </c>
      <c r="C33" s="6" t="str">
        <f t="shared" si="1"/>
        <v>F_13_13</v>
      </c>
      <c r="D33" s="7"/>
      <c r="E33" s="138"/>
      <c r="F33" s="6" t="str">
        <f>_xlfn.XLOOKUP(E33,Tab_Def_Processes[Process_Name],Tab_Def_Processes[Process_ID],,0,)</f>
        <v>13</v>
      </c>
      <c r="G33" s="138"/>
      <c r="H33" s="9" t="str">
        <f>_xlfn.XLOOKUP(G33,Tab_Def_Processes[Process_Name],Tab_Def_Processes[Process_ID],,0,)</f>
        <v>13</v>
      </c>
      <c r="I33" s="138" t="s">
        <v>5</v>
      </c>
      <c r="J33" s="138" t="s">
        <v>5</v>
      </c>
      <c r="K33" s="138" t="s">
        <v>5</v>
      </c>
      <c r="L33" s="6" t="str">
        <f>Tab_Def_Flows[[#This Row],[Flow_ID]]&amp;"_WC"</f>
        <v>F_13_13_WC</v>
      </c>
      <c r="M33" s="135"/>
      <c r="N33" s="13"/>
      <c r="O33" s="6" t="str">
        <f>Tab_Def_Flows[[#This Row],[Flow_ID]]&amp;"_DM"</f>
        <v>F_13_13_DM</v>
      </c>
      <c r="Q33" s="13"/>
      <c r="R33" s="6" t="str">
        <f>Tab_Def_Flows[[#This Row],[Flow_ID]]&amp;"_CC"</f>
        <v>F_13_13_CC</v>
      </c>
      <c r="S33" s="135"/>
      <c r="T33" s="13"/>
      <c r="U33" s="139">
        <f>Tab_Def_Flows[[#This Row],[Flow_CC_DM'[%']]]*Tab_Def_Flows[[#This Row],[Flow_DM'[%']]]</f>
        <v>0</v>
      </c>
      <c r="V33" s="13"/>
    </row>
    <row r="34" spans="1:22" x14ac:dyDescent="0.25">
      <c r="A34" s="142" t="b">
        <v>0</v>
      </c>
      <c r="B34" s="16">
        <f t="shared" si="0"/>
        <v>33</v>
      </c>
      <c r="C34" s="6" t="str">
        <f t="shared" si="1"/>
        <v>F_13_13</v>
      </c>
      <c r="D34" s="7"/>
      <c r="E34" s="138"/>
      <c r="F34" s="6" t="str">
        <f>_xlfn.XLOOKUP(E34,Tab_Def_Processes[Process_Name],Tab_Def_Processes[Process_ID],,0,)</f>
        <v>13</v>
      </c>
      <c r="G34" s="138"/>
      <c r="H34" s="9" t="str">
        <f>_xlfn.XLOOKUP(G34,Tab_Def_Processes[Process_Name],Tab_Def_Processes[Process_ID],,0,)</f>
        <v>13</v>
      </c>
      <c r="I34" s="138" t="s">
        <v>5</v>
      </c>
      <c r="J34" s="138" t="s">
        <v>5</v>
      </c>
      <c r="K34" s="138" t="s">
        <v>5</v>
      </c>
      <c r="L34" s="6" t="str">
        <f>Tab_Def_Flows[[#This Row],[Flow_ID]]&amp;"_WC"</f>
        <v>F_13_13_WC</v>
      </c>
      <c r="M34" s="135"/>
      <c r="N34" s="13"/>
      <c r="O34" s="6" t="str">
        <f>Tab_Def_Flows[[#This Row],[Flow_ID]]&amp;"_DM"</f>
        <v>F_13_13_DM</v>
      </c>
      <c r="Q34" s="13"/>
      <c r="R34" s="6" t="str">
        <f>Tab_Def_Flows[[#This Row],[Flow_ID]]&amp;"_CC"</f>
        <v>F_13_13_CC</v>
      </c>
      <c r="S34" s="135"/>
      <c r="T34" s="13"/>
      <c r="U34" s="139">
        <f>Tab_Def_Flows[[#This Row],[Flow_CC_DM'[%']]]*Tab_Def_Flows[[#This Row],[Flow_DM'[%']]]</f>
        <v>0</v>
      </c>
      <c r="V34" s="13"/>
    </row>
    <row r="35" spans="1:22" x14ac:dyDescent="0.25">
      <c r="A35" s="142" t="b">
        <v>0</v>
      </c>
      <c r="B35" s="16">
        <f t="shared" si="0"/>
        <v>34</v>
      </c>
      <c r="C35" s="6" t="str">
        <f t="shared" si="1"/>
        <v>F_13_13</v>
      </c>
      <c r="D35" s="7"/>
      <c r="E35" s="138"/>
      <c r="F35" s="6" t="str">
        <f>_xlfn.XLOOKUP(E35,Tab_Def_Processes[Process_Name],Tab_Def_Processes[Process_ID],,0,)</f>
        <v>13</v>
      </c>
      <c r="G35" s="138"/>
      <c r="H35" s="9" t="str">
        <f>_xlfn.XLOOKUP(G35,Tab_Def_Processes[Process_Name],Tab_Def_Processes[Process_ID],,0,)</f>
        <v>13</v>
      </c>
      <c r="I35" s="138" t="s">
        <v>5</v>
      </c>
      <c r="J35" s="138" t="s">
        <v>5</v>
      </c>
      <c r="K35" s="138" t="s">
        <v>5</v>
      </c>
      <c r="L35" s="6" t="str">
        <f>Tab_Def_Flows[[#This Row],[Flow_ID]]&amp;"_WC"</f>
        <v>F_13_13_WC</v>
      </c>
      <c r="M35" s="135"/>
      <c r="N35" s="13"/>
      <c r="O35" s="6" t="str">
        <f>Tab_Def_Flows[[#This Row],[Flow_ID]]&amp;"_DM"</f>
        <v>F_13_13_DM</v>
      </c>
      <c r="Q35" s="13"/>
      <c r="R35" s="6" t="str">
        <f>Tab_Def_Flows[[#This Row],[Flow_ID]]&amp;"_CC"</f>
        <v>F_13_13_CC</v>
      </c>
      <c r="S35" s="135"/>
      <c r="T35" s="13"/>
      <c r="U35" s="139">
        <f>Tab_Def_Flows[[#This Row],[Flow_CC_DM'[%']]]*Tab_Def_Flows[[#This Row],[Flow_DM'[%']]]</f>
        <v>0</v>
      </c>
      <c r="V35" s="13"/>
    </row>
    <row r="36" spans="1:22" ht="15.75" customHeight="1" x14ac:dyDescent="0.25">
      <c r="A36" s="142" t="b">
        <v>0</v>
      </c>
      <c r="B36" s="16">
        <f t="shared" si="0"/>
        <v>35</v>
      </c>
      <c r="C36" s="6" t="str">
        <f t="shared" si="1"/>
        <v>F_13_13</v>
      </c>
      <c r="D36" s="7"/>
      <c r="E36" s="138"/>
      <c r="F36" s="6" t="str">
        <f>_xlfn.XLOOKUP(E36,Tab_Def_Processes[Process_Name],Tab_Def_Processes[Process_ID],,0,)</f>
        <v>13</v>
      </c>
      <c r="G36" s="138"/>
      <c r="H36" s="9" t="str">
        <f>_xlfn.XLOOKUP(G36,Tab_Def_Processes[Process_Name],Tab_Def_Processes[Process_ID],,0,)</f>
        <v>13</v>
      </c>
      <c r="I36" s="138" t="s">
        <v>5</v>
      </c>
      <c r="J36" s="138" t="s">
        <v>5</v>
      </c>
      <c r="K36" s="138" t="s">
        <v>5</v>
      </c>
      <c r="L36" s="6" t="str">
        <f>Tab_Def_Flows[[#This Row],[Flow_ID]]&amp;"_WC"</f>
        <v>F_13_13_WC</v>
      </c>
      <c r="M36" s="135"/>
      <c r="N36" s="13"/>
      <c r="O36" s="6" t="str">
        <f>Tab_Def_Flows[[#This Row],[Flow_ID]]&amp;"_DM"</f>
        <v>F_13_13_DM</v>
      </c>
      <c r="Q36" s="13"/>
      <c r="R36" s="6" t="str">
        <f>Tab_Def_Flows[[#This Row],[Flow_ID]]&amp;"_CC"</f>
        <v>F_13_13_CC</v>
      </c>
      <c r="S36" s="135"/>
      <c r="T36" s="13"/>
      <c r="U36" s="139">
        <f>Tab_Def_Flows[[#This Row],[Flow_CC_DM'[%']]]*Tab_Def_Flows[[#This Row],[Flow_DM'[%']]]</f>
        <v>0</v>
      </c>
      <c r="V36" s="13"/>
    </row>
    <row r="37" spans="1:22" x14ac:dyDescent="0.25">
      <c r="A37" s="142" t="b">
        <v>0</v>
      </c>
      <c r="B37" s="16">
        <f t="shared" si="0"/>
        <v>36</v>
      </c>
      <c r="C37" s="6" t="str">
        <f t="shared" si="1"/>
        <v>F_13_13</v>
      </c>
      <c r="D37" s="7"/>
      <c r="E37" s="138"/>
      <c r="F37" s="6" t="str">
        <f>_xlfn.XLOOKUP(E37,Tab_Def_Processes[Process_Name],Tab_Def_Processes[Process_ID],,0,)</f>
        <v>13</v>
      </c>
      <c r="G37" s="138"/>
      <c r="H37" s="9" t="str">
        <f>_xlfn.XLOOKUP(G37,Tab_Def_Processes[Process_Name],Tab_Def_Processes[Process_ID],,0,)</f>
        <v>13</v>
      </c>
      <c r="I37" s="138" t="s">
        <v>5</v>
      </c>
      <c r="J37" s="138" t="s">
        <v>5</v>
      </c>
      <c r="K37" s="138" t="s">
        <v>5</v>
      </c>
      <c r="L37" s="6" t="str">
        <f>Tab_Def_Flows[[#This Row],[Flow_ID]]&amp;"_WC"</f>
        <v>F_13_13_WC</v>
      </c>
      <c r="M37" s="135"/>
      <c r="N37" s="13"/>
      <c r="O37" s="6" t="str">
        <f>Tab_Def_Flows[[#This Row],[Flow_ID]]&amp;"_DM"</f>
        <v>F_13_13_DM</v>
      </c>
      <c r="Q37" s="13"/>
      <c r="R37" s="6" t="str">
        <f>Tab_Def_Flows[[#This Row],[Flow_ID]]&amp;"_CC"</f>
        <v>F_13_13_CC</v>
      </c>
      <c r="S37" s="135"/>
      <c r="T37" s="13"/>
      <c r="U37" s="139">
        <f>Tab_Def_Flows[[#This Row],[Flow_CC_DM'[%']]]*Tab_Def_Flows[[#This Row],[Flow_DM'[%']]]</f>
        <v>0</v>
      </c>
      <c r="V37" s="13"/>
    </row>
    <row r="38" spans="1:22" x14ac:dyDescent="0.25">
      <c r="A38" s="142" t="b">
        <v>0</v>
      </c>
      <c r="B38" s="16">
        <f t="shared" si="0"/>
        <v>37</v>
      </c>
      <c r="C38" s="6" t="str">
        <f t="shared" si="1"/>
        <v>F_13_13</v>
      </c>
      <c r="D38" s="7"/>
      <c r="E38" s="138"/>
      <c r="F38" s="6" t="str">
        <f>_xlfn.XLOOKUP(E38,Tab_Def_Processes[Process_Name],Tab_Def_Processes[Process_ID],,0,)</f>
        <v>13</v>
      </c>
      <c r="G38" s="138"/>
      <c r="H38" s="9" t="str">
        <f>_xlfn.XLOOKUP(G38,Tab_Def_Processes[Process_Name],Tab_Def_Processes[Process_ID],,0,)</f>
        <v>13</v>
      </c>
      <c r="I38" s="138" t="s">
        <v>5</v>
      </c>
      <c r="J38" s="138" t="s">
        <v>5</v>
      </c>
      <c r="K38" s="138" t="s">
        <v>5</v>
      </c>
      <c r="L38" s="6" t="str">
        <f>Tab_Def_Flows[[#This Row],[Flow_ID]]&amp;"_WC"</f>
        <v>F_13_13_WC</v>
      </c>
      <c r="M38" s="135"/>
      <c r="N38" s="13"/>
      <c r="O38" s="6" t="str">
        <f>Tab_Def_Flows[[#This Row],[Flow_ID]]&amp;"_DM"</f>
        <v>F_13_13_DM</v>
      </c>
      <c r="Q38" s="13"/>
      <c r="R38" s="6" t="str">
        <f>Tab_Def_Flows[[#This Row],[Flow_ID]]&amp;"_CC"</f>
        <v>F_13_13_CC</v>
      </c>
      <c r="S38" s="135"/>
      <c r="T38" s="13"/>
      <c r="U38" s="139">
        <f>Tab_Def_Flows[[#This Row],[Flow_CC_DM'[%']]]*Tab_Def_Flows[[#This Row],[Flow_DM'[%']]]</f>
        <v>0</v>
      </c>
      <c r="V38" s="13"/>
    </row>
    <row r="39" spans="1:22" x14ac:dyDescent="0.25">
      <c r="A39" s="142" t="b">
        <v>0</v>
      </c>
      <c r="B39" s="16">
        <f t="shared" si="0"/>
        <v>38</v>
      </c>
      <c r="C39" s="6" t="str">
        <f t="shared" si="1"/>
        <v>F_13_13</v>
      </c>
      <c r="D39" s="7"/>
      <c r="E39" s="138"/>
      <c r="F39" s="6" t="str">
        <f>_xlfn.XLOOKUP(E39,Tab_Def_Processes[Process_Name],Tab_Def_Processes[Process_ID],,0,)</f>
        <v>13</v>
      </c>
      <c r="G39" s="138"/>
      <c r="H39" s="9" t="str">
        <f>_xlfn.XLOOKUP(G39,Tab_Def_Processes[Process_Name],Tab_Def_Processes[Process_ID],,0,)</f>
        <v>13</v>
      </c>
      <c r="I39" s="138" t="s">
        <v>5</v>
      </c>
      <c r="J39" s="138" t="s">
        <v>5</v>
      </c>
      <c r="K39" s="138" t="s">
        <v>5</v>
      </c>
      <c r="L39" s="6" t="str">
        <f>Tab_Def_Flows[[#This Row],[Flow_ID]]&amp;"_WC"</f>
        <v>F_13_13_WC</v>
      </c>
      <c r="M39" s="135"/>
      <c r="N39" s="13"/>
      <c r="O39" s="6" t="str">
        <f>Tab_Def_Flows[[#This Row],[Flow_ID]]&amp;"_DM"</f>
        <v>F_13_13_DM</v>
      </c>
      <c r="Q39" s="13"/>
      <c r="R39" s="6" t="str">
        <f>Tab_Def_Flows[[#This Row],[Flow_ID]]&amp;"_CC"</f>
        <v>F_13_13_CC</v>
      </c>
      <c r="S39" s="135"/>
      <c r="T39" s="13"/>
      <c r="U39" s="139">
        <f>Tab_Def_Flows[[#This Row],[Flow_CC_DM'[%']]]*Tab_Def_Flows[[#This Row],[Flow_DM'[%']]]</f>
        <v>0</v>
      </c>
      <c r="V39" s="13"/>
    </row>
    <row r="40" spans="1:22" x14ac:dyDescent="0.25">
      <c r="A40" s="142" t="b">
        <v>0</v>
      </c>
      <c r="B40" s="16">
        <f t="shared" si="0"/>
        <v>39</v>
      </c>
      <c r="C40" s="6" t="str">
        <f t="shared" si="1"/>
        <v>F_13_13</v>
      </c>
      <c r="D40" s="7"/>
      <c r="E40" s="138"/>
      <c r="F40" s="6" t="str">
        <f>_xlfn.XLOOKUP(E40,Tab_Def_Processes[Process_Name],Tab_Def_Processes[Process_ID],,0,)</f>
        <v>13</v>
      </c>
      <c r="G40" s="138"/>
      <c r="H40" s="9" t="str">
        <f>_xlfn.XLOOKUP(G40,Tab_Def_Processes[Process_Name],Tab_Def_Processes[Process_ID],,0,)</f>
        <v>13</v>
      </c>
      <c r="I40" s="138" t="s">
        <v>5</v>
      </c>
      <c r="J40" s="138" t="s">
        <v>5</v>
      </c>
      <c r="K40" s="138" t="s">
        <v>5</v>
      </c>
      <c r="L40" s="6" t="str">
        <f>Tab_Def_Flows[[#This Row],[Flow_ID]]&amp;"_WC"</f>
        <v>F_13_13_WC</v>
      </c>
      <c r="M40" s="135"/>
      <c r="N40" s="13"/>
      <c r="O40" s="6" t="str">
        <f>Tab_Def_Flows[[#This Row],[Flow_ID]]&amp;"_DM"</f>
        <v>F_13_13_DM</v>
      </c>
      <c r="Q40" s="13"/>
      <c r="R40" s="6" t="str">
        <f>Tab_Def_Flows[[#This Row],[Flow_ID]]&amp;"_CC"</f>
        <v>F_13_13_CC</v>
      </c>
      <c r="S40" s="135"/>
      <c r="T40" s="13"/>
      <c r="U40" s="139">
        <f>Tab_Def_Flows[[#This Row],[Flow_CC_DM'[%']]]*Tab_Def_Flows[[#This Row],[Flow_DM'[%']]]</f>
        <v>0</v>
      </c>
      <c r="V40" s="13"/>
    </row>
    <row r="41" spans="1:22" x14ac:dyDescent="0.25">
      <c r="A41" s="142" t="b">
        <v>0</v>
      </c>
      <c r="B41" s="16">
        <f t="shared" si="0"/>
        <v>40</v>
      </c>
      <c r="C41" s="6" t="str">
        <f t="shared" si="1"/>
        <v>F_13_13</v>
      </c>
      <c r="D41" s="7"/>
      <c r="E41" s="138"/>
      <c r="F41" s="6" t="str">
        <f>_xlfn.XLOOKUP(E41,Tab_Def_Processes[Process_Name],Tab_Def_Processes[Process_ID],,0,)</f>
        <v>13</v>
      </c>
      <c r="G41" s="138"/>
      <c r="H41" s="9" t="str">
        <f>_xlfn.XLOOKUP(G41,Tab_Def_Processes[Process_Name],Tab_Def_Processes[Process_ID],,0,)</f>
        <v>13</v>
      </c>
      <c r="I41" s="138" t="s">
        <v>5</v>
      </c>
      <c r="J41" s="138" t="s">
        <v>5</v>
      </c>
      <c r="K41" s="138" t="s">
        <v>5</v>
      </c>
      <c r="L41" s="6" t="str">
        <f>Tab_Def_Flows[[#This Row],[Flow_ID]]&amp;"_WC"</f>
        <v>F_13_13_WC</v>
      </c>
      <c r="M41" s="135"/>
      <c r="N41" s="13"/>
      <c r="O41" s="6" t="str">
        <f>Tab_Def_Flows[[#This Row],[Flow_ID]]&amp;"_DM"</f>
        <v>F_13_13_DM</v>
      </c>
      <c r="Q41" s="13"/>
      <c r="R41" s="6" t="str">
        <f>Tab_Def_Flows[[#This Row],[Flow_ID]]&amp;"_CC"</f>
        <v>F_13_13_CC</v>
      </c>
      <c r="S41" s="135"/>
      <c r="T41" s="13"/>
      <c r="U41" s="139">
        <f>Tab_Def_Flows[[#This Row],[Flow_CC_DM'[%']]]*Tab_Def_Flows[[#This Row],[Flow_DM'[%']]]</f>
        <v>0</v>
      </c>
      <c r="V41" s="13"/>
    </row>
    <row r="42" spans="1:22" x14ac:dyDescent="0.25">
      <c r="A42" s="142" t="b">
        <v>0</v>
      </c>
      <c r="B42" s="16">
        <f t="shared" si="0"/>
        <v>41</v>
      </c>
      <c r="C42" s="6" t="str">
        <f t="shared" si="1"/>
        <v>F_13_13</v>
      </c>
      <c r="D42" s="7"/>
      <c r="E42" s="138"/>
      <c r="F42" s="6" t="str">
        <f>_xlfn.XLOOKUP(E42,Tab_Def_Processes[Process_Name],Tab_Def_Processes[Process_ID],,0,)</f>
        <v>13</v>
      </c>
      <c r="G42" s="138"/>
      <c r="H42" s="9" t="str">
        <f>_xlfn.XLOOKUP(G42,Tab_Def_Processes[Process_Name],Tab_Def_Processes[Process_ID],,0,)</f>
        <v>13</v>
      </c>
      <c r="I42" s="138" t="s">
        <v>5</v>
      </c>
      <c r="J42" s="138" t="s">
        <v>5</v>
      </c>
      <c r="K42" s="138" t="s">
        <v>5</v>
      </c>
      <c r="L42" s="6" t="str">
        <f>Tab_Def_Flows[[#This Row],[Flow_ID]]&amp;"_WC"</f>
        <v>F_13_13_WC</v>
      </c>
      <c r="M42" s="135"/>
      <c r="N42" s="13"/>
      <c r="O42" s="6" t="str">
        <f>Tab_Def_Flows[[#This Row],[Flow_ID]]&amp;"_DM"</f>
        <v>F_13_13_DM</v>
      </c>
      <c r="Q42" s="13"/>
      <c r="R42" s="6" t="str">
        <f>Tab_Def_Flows[[#This Row],[Flow_ID]]&amp;"_CC"</f>
        <v>F_13_13_CC</v>
      </c>
      <c r="S42" s="135"/>
      <c r="T42" s="13"/>
      <c r="U42" s="139">
        <f>Tab_Def_Flows[[#This Row],[Flow_CC_DM'[%']]]*Tab_Def_Flows[[#This Row],[Flow_DM'[%']]]</f>
        <v>0</v>
      </c>
      <c r="V42" s="13"/>
    </row>
    <row r="43" spans="1:22" x14ac:dyDescent="0.25">
      <c r="A43" s="142" t="b">
        <v>0</v>
      </c>
      <c r="B43" s="16">
        <f t="shared" si="0"/>
        <v>42</v>
      </c>
      <c r="C43" s="6" t="str">
        <f t="shared" si="1"/>
        <v>F_13_13</v>
      </c>
      <c r="D43" s="7"/>
      <c r="E43" s="138"/>
      <c r="F43" s="6" t="str">
        <f>_xlfn.XLOOKUP(E43,Tab_Def_Processes[Process_Name],Tab_Def_Processes[Process_ID],,0,)</f>
        <v>13</v>
      </c>
      <c r="G43" s="138"/>
      <c r="H43" s="9" t="str">
        <f>_xlfn.XLOOKUP(G43,Tab_Def_Processes[Process_Name],Tab_Def_Processes[Process_ID],,0,)</f>
        <v>13</v>
      </c>
      <c r="I43" s="138" t="s">
        <v>5</v>
      </c>
      <c r="J43" s="138" t="s">
        <v>5</v>
      </c>
      <c r="K43" s="138" t="s">
        <v>5</v>
      </c>
      <c r="L43" s="6" t="str">
        <f>Tab_Def_Flows[[#This Row],[Flow_ID]]&amp;"_WC"</f>
        <v>F_13_13_WC</v>
      </c>
      <c r="M43" s="135"/>
      <c r="N43" s="13"/>
      <c r="O43" s="6" t="str">
        <f>Tab_Def_Flows[[#This Row],[Flow_ID]]&amp;"_DM"</f>
        <v>F_13_13_DM</v>
      </c>
      <c r="Q43" s="13"/>
      <c r="R43" s="6" t="str">
        <f>Tab_Def_Flows[[#This Row],[Flow_ID]]&amp;"_CC"</f>
        <v>F_13_13_CC</v>
      </c>
      <c r="S43" s="135"/>
      <c r="T43" s="13"/>
      <c r="U43" s="139">
        <f>Tab_Def_Flows[[#This Row],[Flow_CC_DM'[%']]]*Tab_Def_Flows[[#This Row],[Flow_DM'[%']]]</f>
        <v>0</v>
      </c>
      <c r="V43" s="13"/>
    </row>
    <row r="44" spans="1:22" x14ac:dyDescent="0.25">
      <c r="A44" s="142" t="b">
        <v>0</v>
      </c>
      <c r="B44" s="16">
        <f t="shared" si="0"/>
        <v>43</v>
      </c>
      <c r="C44" s="6" t="str">
        <f t="shared" si="1"/>
        <v>F_13_13</v>
      </c>
      <c r="D44" s="7"/>
      <c r="E44" s="138"/>
      <c r="F44" s="6" t="str">
        <f>_xlfn.XLOOKUP(E44,Tab_Def_Processes[Process_Name],Tab_Def_Processes[Process_ID],,0,)</f>
        <v>13</v>
      </c>
      <c r="G44" s="138"/>
      <c r="H44" s="9" t="str">
        <f>_xlfn.XLOOKUP(G44,Tab_Def_Processes[Process_Name],Tab_Def_Processes[Process_ID],,0,)</f>
        <v>13</v>
      </c>
      <c r="I44" s="138" t="s">
        <v>5</v>
      </c>
      <c r="J44" s="138" t="s">
        <v>5</v>
      </c>
      <c r="K44" s="138" t="s">
        <v>5</v>
      </c>
      <c r="L44" s="6" t="str">
        <f>Tab_Def_Flows[[#This Row],[Flow_ID]]&amp;"_WC"</f>
        <v>F_13_13_WC</v>
      </c>
      <c r="M44" s="135"/>
      <c r="N44" s="13"/>
      <c r="O44" s="6" t="str">
        <f>Tab_Def_Flows[[#This Row],[Flow_ID]]&amp;"_DM"</f>
        <v>F_13_13_DM</v>
      </c>
      <c r="Q44" s="13"/>
      <c r="R44" s="6" t="str">
        <f>Tab_Def_Flows[[#This Row],[Flow_ID]]&amp;"_CC"</f>
        <v>F_13_13_CC</v>
      </c>
      <c r="S44" s="135"/>
      <c r="T44" s="13"/>
      <c r="U44" s="139">
        <f>Tab_Def_Flows[[#This Row],[Flow_CC_DM'[%']]]*Tab_Def_Flows[[#This Row],[Flow_DM'[%']]]</f>
        <v>0</v>
      </c>
      <c r="V44" s="13"/>
    </row>
    <row r="45" spans="1:22" ht="15" customHeight="1" x14ac:dyDescent="0.25">
      <c r="A45" s="142" t="b">
        <v>0</v>
      </c>
      <c r="B45" s="16">
        <f t="shared" si="0"/>
        <v>44</v>
      </c>
      <c r="C45" s="6" t="str">
        <f t="shared" si="1"/>
        <v>F_13_13</v>
      </c>
      <c r="D45" s="7"/>
      <c r="E45" s="138"/>
      <c r="F45" s="6" t="str">
        <f>_xlfn.XLOOKUP(E45,Tab_Def_Processes[Process_Name],Tab_Def_Processes[Process_ID],,0,)</f>
        <v>13</v>
      </c>
      <c r="G45" s="138"/>
      <c r="H45" s="9" t="str">
        <f>_xlfn.XLOOKUP(G45,Tab_Def_Processes[Process_Name],Tab_Def_Processes[Process_ID],,0,)</f>
        <v>13</v>
      </c>
      <c r="I45" s="138" t="s">
        <v>5</v>
      </c>
      <c r="J45" s="138" t="s">
        <v>5</v>
      </c>
      <c r="K45" s="138" t="s">
        <v>5</v>
      </c>
      <c r="L45" s="6" t="str">
        <f>Tab_Def_Flows[[#This Row],[Flow_ID]]&amp;"_WC"</f>
        <v>F_13_13_WC</v>
      </c>
      <c r="M45" s="135"/>
      <c r="N45" s="13"/>
      <c r="O45" s="6" t="str">
        <f>Tab_Def_Flows[[#This Row],[Flow_ID]]&amp;"_DM"</f>
        <v>F_13_13_DM</v>
      </c>
      <c r="Q45" s="13"/>
      <c r="R45" s="6" t="str">
        <f>Tab_Def_Flows[[#This Row],[Flow_ID]]&amp;"_CC"</f>
        <v>F_13_13_CC</v>
      </c>
      <c r="S45" s="135"/>
      <c r="T45" s="13"/>
      <c r="U45" s="139">
        <f>Tab_Def_Flows[[#This Row],[Flow_CC_DM'[%']]]*Tab_Def_Flows[[#This Row],[Flow_DM'[%']]]</f>
        <v>0</v>
      </c>
      <c r="V45" s="13"/>
    </row>
    <row r="46" spans="1:22" ht="15" customHeight="1" x14ac:dyDescent="0.25">
      <c r="A46" s="142" t="b">
        <v>0</v>
      </c>
      <c r="B46" s="16">
        <f t="shared" si="0"/>
        <v>45</v>
      </c>
      <c r="C46" s="6" t="str">
        <f t="shared" si="1"/>
        <v>F_13_13</v>
      </c>
      <c r="D46" s="7"/>
      <c r="E46" s="138"/>
      <c r="F46" s="6" t="str">
        <f>_xlfn.XLOOKUP(E46,Tab_Def_Processes[Process_Name],Tab_Def_Processes[Process_ID],,0,)</f>
        <v>13</v>
      </c>
      <c r="G46" s="138"/>
      <c r="H46" s="9" t="str">
        <f>_xlfn.XLOOKUP(G46,Tab_Def_Processes[Process_Name],Tab_Def_Processes[Process_ID],,0,)</f>
        <v>13</v>
      </c>
      <c r="I46" s="138" t="s">
        <v>5</v>
      </c>
      <c r="J46" s="138" t="s">
        <v>5</v>
      </c>
      <c r="K46" s="138" t="s">
        <v>5</v>
      </c>
      <c r="L46" s="6" t="str">
        <f>Tab_Def_Flows[[#This Row],[Flow_ID]]&amp;"_WC"</f>
        <v>F_13_13_WC</v>
      </c>
      <c r="M46" s="135"/>
      <c r="N46" s="13"/>
      <c r="O46" s="6" t="str">
        <f>Tab_Def_Flows[[#This Row],[Flow_ID]]&amp;"_DM"</f>
        <v>F_13_13_DM</v>
      </c>
      <c r="Q46" s="13"/>
      <c r="R46" s="6" t="str">
        <f>Tab_Def_Flows[[#This Row],[Flow_ID]]&amp;"_CC"</f>
        <v>F_13_13_CC</v>
      </c>
      <c r="S46" s="135"/>
      <c r="T46" s="13"/>
      <c r="U46" s="139">
        <f>Tab_Def_Flows[[#This Row],[Flow_CC_DM'[%']]]*Tab_Def_Flows[[#This Row],[Flow_DM'[%']]]</f>
        <v>0</v>
      </c>
      <c r="V46" s="13"/>
    </row>
    <row r="47" spans="1:22" ht="15" customHeight="1" x14ac:dyDescent="0.25">
      <c r="A47" s="142" t="b">
        <v>0</v>
      </c>
      <c r="B47" s="16">
        <f t="shared" si="0"/>
        <v>46</v>
      </c>
      <c r="C47" s="6" t="str">
        <f t="shared" si="1"/>
        <v>F_13_13</v>
      </c>
      <c r="D47" s="7"/>
      <c r="E47" s="138"/>
      <c r="F47" s="6" t="str">
        <f>_xlfn.XLOOKUP(E47,Tab_Def_Processes[Process_Name],Tab_Def_Processes[Process_ID],,0,)</f>
        <v>13</v>
      </c>
      <c r="G47" s="138"/>
      <c r="H47" s="9" t="str">
        <f>_xlfn.XLOOKUP(G47,Tab_Def_Processes[Process_Name],Tab_Def_Processes[Process_ID],,0,)</f>
        <v>13</v>
      </c>
      <c r="I47" s="138" t="s">
        <v>5</v>
      </c>
      <c r="J47" s="138" t="s">
        <v>5</v>
      </c>
      <c r="K47" s="138" t="s">
        <v>5</v>
      </c>
      <c r="L47" s="6" t="str">
        <f>Tab_Def_Flows[[#This Row],[Flow_ID]]&amp;"_WC"</f>
        <v>F_13_13_WC</v>
      </c>
      <c r="M47" s="135"/>
      <c r="N47" s="13"/>
      <c r="O47" s="6" t="str">
        <f>Tab_Def_Flows[[#This Row],[Flow_ID]]&amp;"_DM"</f>
        <v>F_13_13_DM</v>
      </c>
      <c r="Q47" s="13"/>
      <c r="R47" s="6" t="str">
        <f>Tab_Def_Flows[[#This Row],[Flow_ID]]&amp;"_CC"</f>
        <v>F_13_13_CC</v>
      </c>
      <c r="S47" s="135"/>
      <c r="T47" s="13"/>
      <c r="U47" s="139">
        <f>Tab_Def_Flows[[#This Row],[Flow_CC_DM'[%']]]*Tab_Def_Flows[[#This Row],[Flow_DM'[%']]]</f>
        <v>0</v>
      </c>
      <c r="V47" s="13"/>
    </row>
    <row r="48" spans="1:22" ht="15" customHeight="1" x14ac:dyDescent="0.25">
      <c r="A48" s="142" t="b">
        <v>0</v>
      </c>
      <c r="B48" s="16">
        <f t="shared" si="0"/>
        <v>47</v>
      </c>
      <c r="C48" s="6" t="str">
        <f t="shared" si="1"/>
        <v>F_13_13</v>
      </c>
      <c r="D48" s="7"/>
      <c r="E48" s="138"/>
      <c r="F48" s="6" t="str">
        <f>_xlfn.XLOOKUP(E48,Tab_Def_Processes[Process_Name],Tab_Def_Processes[Process_ID],,0,)</f>
        <v>13</v>
      </c>
      <c r="G48" s="138"/>
      <c r="H48" s="9" t="str">
        <f>_xlfn.XLOOKUP(G48,Tab_Def_Processes[Process_Name],Tab_Def_Processes[Process_ID],,0,)</f>
        <v>13</v>
      </c>
      <c r="I48" s="138" t="s">
        <v>5</v>
      </c>
      <c r="J48" s="138" t="s">
        <v>5</v>
      </c>
      <c r="K48" s="138" t="s">
        <v>5</v>
      </c>
      <c r="L48" s="6" t="str">
        <f>Tab_Def_Flows[[#This Row],[Flow_ID]]&amp;"_WC"</f>
        <v>F_13_13_WC</v>
      </c>
      <c r="M48" s="135"/>
      <c r="N48" s="13"/>
      <c r="O48" s="6" t="str">
        <f>Tab_Def_Flows[[#This Row],[Flow_ID]]&amp;"_DM"</f>
        <v>F_13_13_DM</v>
      </c>
      <c r="Q48" s="13"/>
      <c r="R48" s="6" t="str">
        <f>Tab_Def_Flows[[#This Row],[Flow_ID]]&amp;"_CC"</f>
        <v>F_13_13_CC</v>
      </c>
      <c r="S48" s="135"/>
      <c r="T48" s="13"/>
      <c r="U48" s="139">
        <f>Tab_Def_Flows[[#This Row],[Flow_CC_DM'[%']]]*Tab_Def_Flows[[#This Row],[Flow_DM'[%']]]</f>
        <v>0</v>
      </c>
      <c r="V48" s="13"/>
    </row>
    <row r="49" spans="1:22" ht="15" customHeight="1" x14ac:dyDescent="0.25">
      <c r="A49" s="142" t="b">
        <v>0</v>
      </c>
      <c r="B49" s="16">
        <f t="shared" si="0"/>
        <v>48</v>
      </c>
      <c r="C49" s="6" t="str">
        <f t="shared" si="1"/>
        <v>F_13_13</v>
      </c>
      <c r="D49" s="7"/>
      <c r="E49" s="138"/>
      <c r="F49" s="6" t="str">
        <f>_xlfn.XLOOKUP(E49,Tab_Def_Processes[Process_Name],Tab_Def_Processes[Process_ID],,0,)</f>
        <v>13</v>
      </c>
      <c r="G49" s="138"/>
      <c r="H49" s="9" t="str">
        <f>_xlfn.XLOOKUP(G49,Tab_Def_Processes[Process_Name],Tab_Def_Processes[Process_ID],,0,)</f>
        <v>13</v>
      </c>
      <c r="I49" s="138" t="s">
        <v>5</v>
      </c>
      <c r="J49" s="138" t="s">
        <v>5</v>
      </c>
      <c r="K49" s="138" t="s">
        <v>5</v>
      </c>
      <c r="L49" s="6" t="str">
        <f>Tab_Def_Flows[[#This Row],[Flow_ID]]&amp;"_WC"</f>
        <v>F_13_13_WC</v>
      </c>
      <c r="M49" s="135"/>
      <c r="N49" s="13"/>
      <c r="O49" s="6" t="str">
        <f>Tab_Def_Flows[[#This Row],[Flow_ID]]&amp;"_DM"</f>
        <v>F_13_13_DM</v>
      </c>
      <c r="Q49" s="13"/>
      <c r="R49" s="6" t="str">
        <f>Tab_Def_Flows[[#This Row],[Flow_ID]]&amp;"_CC"</f>
        <v>F_13_13_CC</v>
      </c>
      <c r="S49" s="135"/>
      <c r="T49" s="13"/>
      <c r="U49" s="139">
        <f>Tab_Def_Flows[[#This Row],[Flow_CC_DM'[%']]]*Tab_Def_Flows[[#This Row],[Flow_DM'[%']]]</f>
        <v>0</v>
      </c>
      <c r="V49" s="13"/>
    </row>
    <row r="50" spans="1:22" ht="15" customHeight="1" x14ac:dyDescent="0.25">
      <c r="A50" s="142" t="b">
        <v>0</v>
      </c>
      <c r="B50" s="16">
        <f t="shared" si="0"/>
        <v>49</v>
      </c>
      <c r="C50" s="6" t="str">
        <f t="shared" si="1"/>
        <v>F_13_13</v>
      </c>
      <c r="D50" s="7"/>
      <c r="E50" s="138"/>
      <c r="F50" s="6" t="str">
        <f>_xlfn.XLOOKUP(E50,Tab_Def_Processes[Process_Name],Tab_Def_Processes[Process_ID],,0,)</f>
        <v>13</v>
      </c>
      <c r="G50" s="138"/>
      <c r="H50" s="9" t="str">
        <f>_xlfn.XLOOKUP(G50,Tab_Def_Processes[Process_Name],Tab_Def_Processes[Process_ID],,0,)</f>
        <v>13</v>
      </c>
      <c r="I50" s="138" t="s">
        <v>5</v>
      </c>
      <c r="J50" s="138" t="s">
        <v>5</v>
      </c>
      <c r="K50" s="138" t="s">
        <v>5</v>
      </c>
      <c r="L50" s="6" t="str">
        <f>Tab_Def_Flows[[#This Row],[Flow_ID]]&amp;"_WC"</f>
        <v>F_13_13_WC</v>
      </c>
      <c r="M50" s="135"/>
      <c r="N50" s="13"/>
      <c r="O50" s="6" t="str">
        <f>Tab_Def_Flows[[#This Row],[Flow_ID]]&amp;"_DM"</f>
        <v>F_13_13_DM</v>
      </c>
      <c r="Q50" s="13"/>
      <c r="R50" s="6" t="str">
        <f>Tab_Def_Flows[[#This Row],[Flow_ID]]&amp;"_CC"</f>
        <v>F_13_13_CC</v>
      </c>
      <c r="S50" s="135"/>
      <c r="T50" s="13"/>
      <c r="U50" s="139">
        <f>Tab_Def_Flows[[#This Row],[Flow_CC_DM'[%']]]*Tab_Def_Flows[[#This Row],[Flow_DM'[%']]]</f>
        <v>0</v>
      </c>
      <c r="V50" s="13"/>
    </row>
    <row r="51" spans="1:22" ht="15" customHeight="1" x14ac:dyDescent="0.25">
      <c r="A51" s="142" t="b">
        <v>0</v>
      </c>
      <c r="B51" s="16">
        <f t="shared" si="0"/>
        <v>50</v>
      </c>
      <c r="C51" s="6" t="str">
        <f t="shared" si="1"/>
        <v>F_13_13</v>
      </c>
      <c r="D51" s="7"/>
      <c r="E51" s="138"/>
      <c r="F51" s="6" t="str">
        <f>_xlfn.XLOOKUP(E51,Tab_Def_Processes[Process_Name],Tab_Def_Processes[Process_ID],,0,)</f>
        <v>13</v>
      </c>
      <c r="G51" s="138"/>
      <c r="H51" s="9" t="str">
        <f>_xlfn.XLOOKUP(G51,Tab_Def_Processes[Process_Name],Tab_Def_Processes[Process_ID],,0,)</f>
        <v>13</v>
      </c>
      <c r="I51" s="138" t="s">
        <v>5</v>
      </c>
      <c r="J51" s="138" t="s">
        <v>5</v>
      </c>
      <c r="K51" s="138" t="s">
        <v>5</v>
      </c>
      <c r="L51" s="6" t="str">
        <f>Tab_Def_Flows[[#This Row],[Flow_ID]]&amp;"_WC"</f>
        <v>F_13_13_WC</v>
      </c>
      <c r="M51" s="135"/>
      <c r="N51" s="13"/>
      <c r="O51" s="6" t="str">
        <f>Tab_Def_Flows[[#This Row],[Flow_ID]]&amp;"_DM"</f>
        <v>F_13_13_DM</v>
      </c>
      <c r="Q51" s="13"/>
      <c r="R51" s="6" t="str">
        <f>Tab_Def_Flows[[#This Row],[Flow_ID]]&amp;"_CC"</f>
        <v>F_13_13_CC</v>
      </c>
      <c r="S51" s="135"/>
      <c r="T51" s="13"/>
      <c r="U51" s="139">
        <f>Tab_Def_Flows[[#This Row],[Flow_CC_DM'[%']]]*Tab_Def_Flows[[#This Row],[Flow_DM'[%']]]</f>
        <v>0</v>
      </c>
      <c r="V51" s="13"/>
    </row>
    <row r="52" spans="1:22" ht="15" customHeight="1" x14ac:dyDescent="0.25">
      <c r="A52" s="142" t="b">
        <v>0</v>
      </c>
      <c r="B52" s="16">
        <f t="shared" si="0"/>
        <v>51</v>
      </c>
      <c r="C52" s="6" t="str">
        <f t="shared" si="1"/>
        <v>F_13_13</v>
      </c>
      <c r="D52" s="7"/>
      <c r="E52" s="138"/>
      <c r="F52" s="6" t="str">
        <f>_xlfn.XLOOKUP(E52,Tab_Def_Processes[Process_Name],Tab_Def_Processes[Process_ID],,0,)</f>
        <v>13</v>
      </c>
      <c r="G52" s="138"/>
      <c r="H52" s="9" t="str">
        <f>_xlfn.XLOOKUP(G52,Tab_Def_Processes[Process_Name],Tab_Def_Processes[Process_ID],,0,)</f>
        <v>13</v>
      </c>
      <c r="I52" s="138" t="s">
        <v>5</v>
      </c>
      <c r="J52" s="138" t="s">
        <v>5</v>
      </c>
      <c r="K52" s="138" t="s">
        <v>5</v>
      </c>
      <c r="L52" s="6" t="str">
        <f>Tab_Def_Flows[[#This Row],[Flow_ID]]&amp;"_WC"</f>
        <v>F_13_13_WC</v>
      </c>
      <c r="M52" s="135"/>
      <c r="N52" s="13"/>
      <c r="O52" s="6" t="str">
        <f>Tab_Def_Flows[[#This Row],[Flow_ID]]&amp;"_DM"</f>
        <v>F_13_13_DM</v>
      </c>
      <c r="Q52" s="13"/>
      <c r="R52" s="6" t="str">
        <f>Tab_Def_Flows[[#This Row],[Flow_ID]]&amp;"_CC"</f>
        <v>F_13_13_CC</v>
      </c>
      <c r="S52" s="135"/>
      <c r="T52" s="13"/>
      <c r="U52" s="139">
        <f>Tab_Def_Flows[[#This Row],[Flow_CC_DM'[%']]]*Tab_Def_Flows[[#This Row],[Flow_DM'[%']]]</f>
        <v>0</v>
      </c>
      <c r="V52" s="13"/>
    </row>
    <row r="53" spans="1:22" x14ac:dyDescent="0.25">
      <c r="A53" s="142" t="b">
        <v>0</v>
      </c>
      <c r="B53" s="16">
        <f t="shared" ref="B53:B70" si="2">ROW()-1</f>
        <v>52</v>
      </c>
      <c r="C53" s="6" t="str">
        <f t="shared" si="1"/>
        <v>F_13_13</v>
      </c>
      <c r="D53" s="7"/>
      <c r="E53" s="138"/>
      <c r="F53" s="6" t="str">
        <f>_xlfn.XLOOKUP(E53,Tab_Def_Processes[Process_Name],Tab_Def_Processes[Process_ID],,0,)</f>
        <v>13</v>
      </c>
      <c r="G53" s="138"/>
      <c r="H53" s="9" t="str">
        <f>_xlfn.XLOOKUP(G53,Tab_Def_Processes[Process_Name],Tab_Def_Processes[Process_ID],,0,)</f>
        <v>13</v>
      </c>
      <c r="I53" s="138" t="s">
        <v>5</v>
      </c>
      <c r="J53" s="138" t="s">
        <v>5</v>
      </c>
      <c r="K53" s="138" t="s">
        <v>5</v>
      </c>
      <c r="L53" s="6" t="str">
        <f>Tab_Def_Flows[[#This Row],[Flow_ID]]&amp;"_WC"</f>
        <v>F_13_13_WC</v>
      </c>
      <c r="M53" s="135"/>
      <c r="N53" s="13"/>
      <c r="O53" s="6" t="str">
        <f>Tab_Def_Flows[[#This Row],[Flow_ID]]&amp;"_DM"</f>
        <v>F_13_13_DM</v>
      </c>
      <c r="Q53" s="13"/>
      <c r="R53" s="6" t="str">
        <f>Tab_Def_Flows[[#This Row],[Flow_ID]]&amp;"_CC"</f>
        <v>F_13_13_CC</v>
      </c>
      <c r="S53" s="135"/>
      <c r="T53" s="13"/>
      <c r="U53" s="139">
        <f>Tab_Def_Flows[[#This Row],[Flow_CC_DM'[%']]]*Tab_Def_Flows[[#This Row],[Flow_DM'[%']]]</f>
        <v>0</v>
      </c>
      <c r="V53" s="13"/>
    </row>
    <row r="54" spans="1:22" x14ac:dyDescent="0.25">
      <c r="A54" s="142" t="b">
        <v>0</v>
      </c>
      <c r="B54" s="16">
        <f t="shared" si="2"/>
        <v>53</v>
      </c>
      <c r="C54" s="6" t="str">
        <f t="shared" si="1"/>
        <v>F_13_13</v>
      </c>
      <c r="D54" s="7"/>
      <c r="E54" s="138"/>
      <c r="F54" s="6" t="str">
        <f>_xlfn.XLOOKUP(E54,Tab_Def_Processes[Process_Name],Tab_Def_Processes[Process_ID],,0,)</f>
        <v>13</v>
      </c>
      <c r="G54" s="138"/>
      <c r="H54" s="9" t="str">
        <f>_xlfn.XLOOKUP(G54,Tab_Def_Processes[Process_Name],Tab_Def_Processes[Process_ID],,0,)</f>
        <v>13</v>
      </c>
      <c r="I54" s="138" t="s">
        <v>5</v>
      </c>
      <c r="J54" s="138" t="s">
        <v>5</v>
      </c>
      <c r="K54" s="138" t="s">
        <v>5</v>
      </c>
      <c r="L54" s="6" t="str">
        <f>Tab_Def_Flows[[#This Row],[Flow_ID]]&amp;"_WC"</f>
        <v>F_13_13_WC</v>
      </c>
      <c r="M54" s="135"/>
      <c r="N54" s="13"/>
      <c r="O54" s="6" t="str">
        <f>Tab_Def_Flows[[#This Row],[Flow_ID]]&amp;"_DM"</f>
        <v>F_13_13_DM</v>
      </c>
      <c r="Q54" s="13"/>
      <c r="R54" s="6" t="str">
        <f>Tab_Def_Flows[[#This Row],[Flow_ID]]&amp;"_CC"</f>
        <v>F_13_13_CC</v>
      </c>
      <c r="S54" s="135"/>
      <c r="T54" s="13"/>
      <c r="U54" s="139">
        <f>Tab_Def_Flows[[#This Row],[Flow_CC_DM'[%']]]*Tab_Def_Flows[[#This Row],[Flow_DM'[%']]]</f>
        <v>0</v>
      </c>
      <c r="V54" s="13"/>
    </row>
    <row r="55" spans="1:22" x14ac:dyDescent="0.25">
      <c r="A55" s="142" t="b">
        <v>0</v>
      </c>
      <c r="B55" s="16">
        <f t="shared" si="2"/>
        <v>54</v>
      </c>
      <c r="C55" s="6" t="str">
        <f t="shared" si="1"/>
        <v>F_13_13</v>
      </c>
      <c r="D55" s="7"/>
      <c r="E55" s="138"/>
      <c r="F55" s="6" t="str">
        <f>_xlfn.XLOOKUP(E55,Tab_Def_Processes[Process_Name],Tab_Def_Processes[Process_ID],,0,)</f>
        <v>13</v>
      </c>
      <c r="G55" s="138"/>
      <c r="H55" s="9" t="str">
        <f>_xlfn.XLOOKUP(G55,Tab_Def_Processes[Process_Name],Tab_Def_Processes[Process_ID],,0,)</f>
        <v>13</v>
      </c>
      <c r="I55" s="138" t="s">
        <v>5</v>
      </c>
      <c r="J55" s="138" t="s">
        <v>5</v>
      </c>
      <c r="K55" s="138" t="s">
        <v>5</v>
      </c>
      <c r="L55" s="6" t="str">
        <f>Tab_Def_Flows[[#This Row],[Flow_ID]]&amp;"_WC"</f>
        <v>F_13_13_WC</v>
      </c>
      <c r="M55" s="135"/>
      <c r="N55" s="13"/>
      <c r="O55" s="6" t="str">
        <f>Tab_Def_Flows[[#This Row],[Flow_ID]]&amp;"_DM"</f>
        <v>F_13_13_DM</v>
      </c>
      <c r="Q55" s="13"/>
      <c r="R55" s="6" t="str">
        <f>Tab_Def_Flows[[#This Row],[Flow_ID]]&amp;"_CC"</f>
        <v>F_13_13_CC</v>
      </c>
      <c r="S55" s="135"/>
      <c r="T55" s="13"/>
      <c r="U55" s="139">
        <f>Tab_Def_Flows[[#This Row],[Flow_CC_DM'[%']]]*Tab_Def_Flows[[#This Row],[Flow_DM'[%']]]</f>
        <v>0</v>
      </c>
      <c r="V55" s="13"/>
    </row>
    <row r="56" spans="1:22" x14ac:dyDescent="0.25">
      <c r="A56" s="142" t="b">
        <v>0</v>
      </c>
      <c r="B56" s="16">
        <f t="shared" si="2"/>
        <v>55</v>
      </c>
      <c r="C56" s="6" t="str">
        <f t="shared" si="1"/>
        <v>F_13_13</v>
      </c>
      <c r="D56" s="7"/>
      <c r="E56" s="138"/>
      <c r="F56" s="6" t="str">
        <f>_xlfn.XLOOKUP(E56,Tab_Def_Processes[Process_Name],Tab_Def_Processes[Process_ID],,0,)</f>
        <v>13</v>
      </c>
      <c r="G56" s="138"/>
      <c r="H56" s="9" t="str">
        <f>_xlfn.XLOOKUP(G56,Tab_Def_Processes[Process_Name],Tab_Def_Processes[Process_ID],,0,)</f>
        <v>13</v>
      </c>
      <c r="I56" s="138" t="s">
        <v>5</v>
      </c>
      <c r="J56" s="138" t="s">
        <v>5</v>
      </c>
      <c r="K56" s="138" t="s">
        <v>5</v>
      </c>
      <c r="L56" s="6" t="str">
        <f>Tab_Def_Flows[[#This Row],[Flow_ID]]&amp;"_WC"</f>
        <v>F_13_13_WC</v>
      </c>
      <c r="M56" s="135"/>
      <c r="N56" s="13"/>
      <c r="O56" s="6" t="str">
        <f>Tab_Def_Flows[[#This Row],[Flow_ID]]&amp;"_DM"</f>
        <v>F_13_13_DM</v>
      </c>
      <c r="Q56" s="13"/>
      <c r="R56" s="6" t="str">
        <f>Tab_Def_Flows[[#This Row],[Flow_ID]]&amp;"_CC"</f>
        <v>F_13_13_CC</v>
      </c>
      <c r="S56" s="135"/>
      <c r="T56" s="13"/>
      <c r="U56" s="139">
        <f>Tab_Def_Flows[[#This Row],[Flow_CC_DM'[%']]]*Tab_Def_Flows[[#This Row],[Flow_DM'[%']]]</f>
        <v>0</v>
      </c>
      <c r="V56" s="13"/>
    </row>
    <row r="57" spans="1:22" x14ac:dyDescent="0.25">
      <c r="A57" s="142" t="b">
        <v>0</v>
      </c>
      <c r="B57" s="16">
        <f t="shared" si="2"/>
        <v>56</v>
      </c>
      <c r="C57" s="6" t="str">
        <f t="shared" si="1"/>
        <v>F_13_13</v>
      </c>
      <c r="D57" s="7"/>
      <c r="E57" s="138"/>
      <c r="F57" s="6" t="str">
        <f>_xlfn.XLOOKUP(E57,Tab_Def_Processes[Process_Name],Tab_Def_Processes[Process_ID],,0,)</f>
        <v>13</v>
      </c>
      <c r="G57" s="138"/>
      <c r="H57" s="9" t="str">
        <f>_xlfn.XLOOKUP(G57,Tab_Def_Processes[Process_Name],Tab_Def_Processes[Process_ID],,0,)</f>
        <v>13</v>
      </c>
      <c r="I57" s="138" t="s">
        <v>5</v>
      </c>
      <c r="J57" s="138" t="s">
        <v>5</v>
      </c>
      <c r="K57" s="138" t="s">
        <v>5</v>
      </c>
      <c r="L57" s="6" t="str">
        <f>Tab_Def_Flows[[#This Row],[Flow_ID]]&amp;"_WC"</f>
        <v>F_13_13_WC</v>
      </c>
      <c r="M57" s="135"/>
      <c r="N57" s="13"/>
      <c r="O57" s="6" t="str">
        <f>Tab_Def_Flows[[#This Row],[Flow_ID]]&amp;"_DM"</f>
        <v>F_13_13_DM</v>
      </c>
      <c r="Q57" s="13"/>
      <c r="R57" s="6" t="str">
        <f>Tab_Def_Flows[[#This Row],[Flow_ID]]&amp;"_CC"</f>
        <v>F_13_13_CC</v>
      </c>
      <c r="S57" s="135"/>
      <c r="T57" s="13"/>
      <c r="U57" s="139">
        <f>Tab_Def_Flows[[#This Row],[Flow_CC_DM'[%']]]*Tab_Def_Flows[[#This Row],[Flow_DM'[%']]]</f>
        <v>0</v>
      </c>
      <c r="V57" s="13"/>
    </row>
    <row r="58" spans="1:22" x14ac:dyDescent="0.25">
      <c r="A58" s="142" t="b">
        <v>0</v>
      </c>
      <c r="B58" s="16">
        <f t="shared" si="2"/>
        <v>57</v>
      </c>
      <c r="C58" s="6" t="str">
        <f t="shared" si="1"/>
        <v>F_13_13</v>
      </c>
      <c r="D58" s="7"/>
      <c r="E58" s="138"/>
      <c r="F58" s="6" t="str">
        <f>_xlfn.XLOOKUP(E58,Tab_Def_Processes[Process_Name],Tab_Def_Processes[Process_ID],,0,)</f>
        <v>13</v>
      </c>
      <c r="G58" s="138"/>
      <c r="H58" s="9" t="str">
        <f>_xlfn.XLOOKUP(G58,Tab_Def_Processes[Process_Name],Tab_Def_Processes[Process_ID],,0,)</f>
        <v>13</v>
      </c>
      <c r="I58" s="138" t="s">
        <v>5</v>
      </c>
      <c r="J58" s="138" t="s">
        <v>5</v>
      </c>
      <c r="K58" s="138" t="s">
        <v>5</v>
      </c>
      <c r="L58" s="6" t="str">
        <f>Tab_Def_Flows[[#This Row],[Flow_ID]]&amp;"_WC"</f>
        <v>F_13_13_WC</v>
      </c>
      <c r="M58" s="135"/>
      <c r="N58" s="13"/>
      <c r="O58" s="6" t="str">
        <f>Tab_Def_Flows[[#This Row],[Flow_ID]]&amp;"_DM"</f>
        <v>F_13_13_DM</v>
      </c>
      <c r="Q58" s="13"/>
      <c r="R58" s="6" t="str">
        <f>Tab_Def_Flows[[#This Row],[Flow_ID]]&amp;"_CC"</f>
        <v>F_13_13_CC</v>
      </c>
      <c r="S58" s="135"/>
      <c r="T58" s="13"/>
      <c r="U58" s="139">
        <f>Tab_Def_Flows[[#This Row],[Flow_CC_DM'[%']]]*Tab_Def_Flows[[#This Row],[Flow_DM'[%']]]</f>
        <v>0</v>
      </c>
      <c r="V58" s="13"/>
    </row>
    <row r="59" spans="1:22" x14ac:dyDescent="0.25">
      <c r="A59" s="142" t="b">
        <v>0</v>
      </c>
      <c r="B59" s="16">
        <f t="shared" si="2"/>
        <v>58</v>
      </c>
      <c r="C59" s="6" t="str">
        <f t="shared" si="1"/>
        <v>F_13_13</v>
      </c>
      <c r="D59" s="7"/>
      <c r="E59" s="138"/>
      <c r="F59" s="6" t="str">
        <f>_xlfn.XLOOKUP(E59,Tab_Def_Processes[Process_Name],Tab_Def_Processes[Process_ID],,0,)</f>
        <v>13</v>
      </c>
      <c r="G59" s="138"/>
      <c r="H59" s="9" t="str">
        <f>_xlfn.XLOOKUP(G59,Tab_Def_Processes[Process_Name],Tab_Def_Processes[Process_ID],,0,)</f>
        <v>13</v>
      </c>
      <c r="I59" s="138" t="s">
        <v>5</v>
      </c>
      <c r="J59" s="138" t="s">
        <v>5</v>
      </c>
      <c r="K59" s="138" t="s">
        <v>5</v>
      </c>
      <c r="L59" s="6" t="str">
        <f>Tab_Def_Flows[[#This Row],[Flow_ID]]&amp;"_WC"</f>
        <v>F_13_13_WC</v>
      </c>
      <c r="M59" s="135"/>
      <c r="N59" s="13"/>
      <c r="O59" s="6" t="str">
        <f>Tab_Def_Flows[[#This Row],[Flow_ID]]&amp;"_DM"</f>
        <v>F_13_13_DM</v>
      </c>
      <c r="Q59" s="13"/>
      <c r="R59" s="6" t="str">
        <f>Tab_Def_Flows[[#This Row],[Flow_ID]]&amp;"_CC"</f>
        <v>F_13_13_CC</v>
      </c>
      <c r="S59" s="135"/>
      <c r="T59" s="13"/>
      <c r="U59" s="139">
        <f>Tab_Def_Flows[[#This Row],[Flow_CC_DM'[%']]]*Tab_Def_Flows[[#This Row],[Flow_DM'[%']]]</f>
        <v>0</v>
      </c>
      <c r="V59" s="13"/>
    </row>
    <row r="60" spans="1:22" x14ac:dyDescent="0.25">
      <c r="A60" s="142" t="b">
        <v>0</v>
      </c>
      <c r="B60" s="16">
        <f t="shared" si="2"/>
        <v>59</v>
      </c>
      <c r="C60" s="6" t="str">
        <f t="shared" si="1"/>
        <v>F_13_13</v>
      </c>
      <c r="D60" s="7"/>
      <c r="E60" s="138"/>
      <c r="F60" s="6" t="str">
        <f>_xlfn.XLOOKUP(E60,Tab_Def_Processes[Process_Name],Tab_Def_Processes[Process_ID],,0,)</f>
        <v>13</v>
      </c>
      <c r="G60" s="138"/>
      <c r="H60" s="9" t="str">
        <f>_xlfn.XLOOKUP(G60,Tab_Def_Processes[Process_Name],Tab_Def_Processes[Process_ID],,0,)</f>
        <v>13</v>
      </c>
      <c r="I60" s="138" t="s">
        <v>5</v>
      </c>
      <c r="J60" s="138" t="s">
        <v>5</v>
      </c>
      <c r="K60" s="138" t="s">
        <v>5</v>
      </c>
      <c r="L60" s="6" t="str">
        <f>Tab_Def_Flows[[#This Row],[Flow_ID]]&amp;"_WC"</f>
        <v>F_13_13_WC</v>
      </c>
      <c r="M60" s="135"/>
      <c r="N60" s="13"/>
      <c r="O60" s="6" t="str">
        <f>Tab_Def_Flows[[#This Row],[Flow_ID]]&amp;"_DM"</f>
        <v>F_13_13_DM</v>
      </c>
      <c r="Q60" s="13"/>
      <c r="R60" s="6" t="str">
        <f>Tab_Def_Flows[[#This Row],[Flow_ID]]&amp;"_CC"</f>
        <v>F_13_13_CC</v>
      </c>
      <c r="S60" s="135"/>
      <c r="T60" s="13"/>
      <c r="U60" s="139">
        <f>Tab_Def_Flows[[#This Row],[Flow_CC_DM'[%']]]*Tab_Def_Flows[[#This Row],[Flow_DM'[%']]]</f>
        <v>0</v>
      </c>
      <c r="V60" s="13"/>
    </row>
    <row r="61" spans="1:22" x14ac:dyDescent="0.25">
      <c r="A61" s="142" t="b">
        <v>0</v>
      </c>
      <c r="B61" s="16">
        <f t="shared" si="2"/>
        <v>60</v>
      </c>
      <c r="C61" s="6" t="str">
        <f t="shared" si="1"/>
        <v>F_13_13</v>
      </c>
      <c r="D61" s="7"/>
      <c r="E61" s="138"/>
      <c r="F61" s="6" t="str">
        <f>_xlfn.XLOOKUP(E61,Tab_Def_Processes[Process_Name],Tab_Def_Processes[Process_ID],,0,)</f>
        <v>13</v>
      </c>
      <c r="G61" s="138"/>
      <c r="H61" s="9" t="str">
        <f>_xlfn.XLOOKUP(G61,Tab_Def_Processes[Process_Name],Tab_Def_Processes[Process_ID],,0,)</f>
        <v>13</v>
      </c>
      <c r="I61" s="138" t="s">
        <v>5</v>
      </c>
      <c r="J61" s="138" t="s">
        <v>5</v>
      </c>
      <c r="K61" s="138" t="s">
        <v>5</v>
      </c>
      <c r="L61" s="6" t="str">
        <f>Tab_Def_Flows[[#This Row],[Flow_ID]]&amp;"_WC"</f>
        <v>F_13_13_WC</v>
      </c>
      <c r="M61" s="135"/>
      <c r="N61" s="13"/>
      <c r="O61" s="6" t="str">
        <f>Tab_Def_Flows[[#This Row],[Flow_ID]]&amp;"_DM"</f>
        <v>F_13_13_DM</v>
      </c>
      <c r="Q61" s="13"/>
      <c r="R61" s="6" t="str">
        <f>Tab_Def_Flows[[#This Row],[Flow_ID]]&amp;"_CC"</f>
        <v>F_13_13_CC</v>
      </c>
      <c r="S61" s="135"/>
      <c r="T61" s="13"/>
      <c r="U61" s="139">
        <f>Tab_Def_Flows[[#This Row],[Flow_CC_DM'[%']]]*Tab_Def_Flows[[#This Row],[Flow_DM'[%']]]</f>
        <v>0</v>
      </c>
      <c r="V61" s="13"/>
    </row>
    <row r="62" spans="1:22" x14ac:dyDescent="0.25">
      <c r="A62" s="142" t="b">
        <v>0</v>
      </c>
      <c r="B62" s="16">
        <f t="shared" si="2"/>
        <v>61</v>
      </c>
      <c r="C62" s="6" t="str">
        <f t="shared" si="1"/>
        <v>F_13_13</v>
      </c>
      <c r="D62" s="7"/>
      <c r="E62" s="138"/>
      <c r="F62" s="6" t="str">
        <f>_xlfn.XLOOKUP(E62,Tab_Def_Processes[Process_Name],Tab_Def_Processes[Process_ID],,0,)</f>
        <v>13</v>
      </c>
      <c r="G62" s="138"/>
      <c r="H62" s="9" t="str">
        <f>_xlfn.XLOOKUP(G62,Tab_Def_Processes[Process_Name],Tab_Def_Processes[Process_ID],,0,)</f>
        <v>13</v>
      </c>
      <c r="I62" s="138" t="s">
        <v>5</v>
      </c>
      <c r="J62" s="138" t="s">
        <v>5</v>
      </c>
      <c r="K62" s="138" t="s">
        <v>5</v>
      </c>
      <c r="L62" s="6" t="str">
        <f>Tab_Def_Flows[[#This Row],[Flow_ID]]&amp;"_WC"</f>
        <v>F_13_13_WC</v>
      </c>
      <c r="M62" s="135"/>
      <c r="N62" s="13"/>
      <c r="O62" s="6" t="str">
        <f>Tab_Def_Flows[[#This Row],[Flow_ID]]&amp;"_DM"</f>
        <v>F_13_13_DM</v>
      </c>
      <c r="Q62" s="13"/>
      <c r="R62" s="6" t="str">
        <f>Tab_Def_Flows[[#This Row],[Flow_ID]]&amp;"_CC"</f>
        <v>F_13_13_CC</v>
      </c>
      <c r="S62" s="135"/>
      <c r="T62" s="13"/>
      <c r="U62" s="139">
        <f>Tab_Def_Flows[[#This Row],[Flow_CC_DM'[%']]]*Tab_Def_Flows[[#This Row],[Flow_DM'[%']]]</f>
        <v>0</v>
      </c>
      <c r="V62" s="13"/>
    </row>
    <row r="63" spans="1:22" x14ac:dyDescent="0.25">
      <c r="A63" s="142" t="b">
        <v>0</v>
      </c>
      <c r="B63" s="16">
        <f t="shared" si="2"/>
        <v>62</v>
      </c>
      <c r="C63" s="6" t="str">
        <f t="shared" si="1"/>
        <v>F_13_13</v>
      </c>
      <c r="D63" s="7"/>
      <c r="E63" s="138"/>
      <c r="F63" s="6" t="str">
        <f>_xlfn.XLOOKUP(E63,Tab_Def_Processes[Process_Name],Tab_Def_Processes[Process_ID],,0,)</f>
        <v>13</v>
      </c>
      <c r="G63" s="138"/>
      <c r="H63" s="9" t="str">
        <f>_xlfn.XLOOKUP(G63,Tab_Def_Processes[Process_Name],Tab_Def_Processes[Process_ID],,0,)</f>
        <v>13</v>
      </c>
      <c r="I63" s="138" t="s">
        <v>5</v>
      </c>
      <c r="J63" s="138" t="s">
        <v>5</v>
      </c>
      <c r="K63" s="138" t="s">
        <v>5</v>
      </c>
      <c r="L63" s="6" t="str">
        <f>Tab_Def_Flows[[#This Row],[Flow_ID]]&amp;"_WC"</f>
        <v>F_13_13_WC</v>
      </c>
      <c r="M63" s="135"/>
      <c r="N63" s="13"/>
      <c r="O63" s="6" t="str">
        <f>Tab_Def_Flows[[#This Row],[Flow_ID]]&amp;"_DM"</f>
        <v>F_13_13_DM</v>
      </c>
      <c r="Q63" s="13"/>
      <c r="R63" s="6" t="str">
        <f>Tab_Def_Flows[[#This Row],[Flow_ID]]&amp;"_CC"</f>
        <v>F_13_13_CC</v>
      </c>
      <c r="S63" s="135"/>
      <c r="T63" s="13"/>
      <c r="U63" s="139">
        <f>Tab_Def_Flows[[#This Row],[Flow_CC_DM'[%']]]*Tab_Def_Flows[[#This Row],[Flow_DM'[%']]]</f>
        <v>0</v>
      </c>
      <c r="V63" s="13"/>
    </row>
    <row r="64" spans="1:22" x14ac:dyDescent="0.25">
      <c r="A64" s="142" t="b">
        <v>0</v>
      </c>
      <c r="B64" s="16">
        <f t="shared" si="2"/>
        <v>63</v>
      </c>
      <c r="C64" s="6" t="str">
        <f t="shared" si="1"/>
        <v>F_13_13</v>
      </c>
      <c r="D64" s="7"/>
      <c r="E64" s="138"/>
      <c r="F64" s="6" t="str">
        <f>_xlfn.XLOOKUP(E64,Tab_Def_Processes[Process_Name],Tab_Def_Processes[Process_ID],,0,)</f>
        <v>13</v>
      </c>
      <c r="G64" s="138"/>
      <c r="H64" s="9" t="str">
        <f>_xlfn.XLOOKUP(G64,Tab_Def_Processes[Process_Name],Tab_Def_Processes[Process_ID],,0,)</f>
        <v>13</v>
      </c>
      <c r="I64" s="138" t="s">
        <v>5</v>
      </c>
      <c r="J64" s="138" t="s">
        <v>5</v>
      </c>
      <c r="K64" s="138" t="s">
        <v>5</v>
      </c>
      <c r="L64" s="6" t="str">
        <f>Tab_Def_Flows[[#This Row],[Flow_ID]]&amp;"_WC"</f>
        <v>F_13_13_WC</v>
      </c>
      <c r="M64" s="135"/>
      <c r="N64" s="13"/>
      <c r="O64" s="6" t="str">
        <f>Tab_Def_Flows[[#This Row],[Flow_ID]]&amp;"_DM"</f>
        <v>F_13_13_DM</v>
      </c>
      <c r="Q64" s="13"/>
      <c r="R64" s="6" t="str">
        <f>Tab_Def_Flows[[#This Row],[Flow_ID]]&amp;"_CC"</f>
        <v>F_13_13_CC</v>
      </c>
      <c r="S64" s="135"/>
      <c r="T64" s="13"/>
      <c r="U64" s="139">
        <f>Tab_Def_Flows[[#This Row],[Flow_CC_DM'[%']]]*Tab_Def_Flows[[#This Row],[Flow_DM'[%']]]</f>
        <v>0</v>
      </c>
      <c r="V64" s="13"/>
    </row>
    <row r="65" spans="1:22" x14ac:dyDescent="0.25">
      <c r="A65" s="142" t="b">
        <v>0</v>
      </c>
      <c r="B65" s="16">
        <f t="shared" si="2"/>
        <v>64</v>
      </c>
      <c r="C65" s="6" t="str">
        <f t="shared" si="1"/>
        <v>F_13_13</v>
      </c>
      <c r="D65" s="7"/>
      <c r="E65" s="138"/>
      <c r="F65" s="6" t="str">
        <f>_xlfn.XLOOKUP(E65,Tab_Def_Processes[Process_Name],Tab_Def_Processes[Process_ID],,0,)</f>
        <v>13</v>
      </c>
      <c r="G65" s="138"/>
      <c r="H65" s="9" t="str">
        <f>_xlfn.XLOOKUP(G65,Tab_Def_Processes[Process_Name],Tab_Def_Processes[Process_ID],,0,)</f>
        <v>13</v>
      </c>
      <c r="I65" s="138" t="s">
        <v>5</v>
      </c>
      <c r="J65" s="138" t="s">
        <v>5</v>
      </c>
      <c r="K65" s="138" t="s">
        <v>5</v>
      </c>
      <c r="L65" s="6" t="str">
        <f>Tab_Def_Flows[[#This Row],[Flow_ID]]&amp;"_WC"</f>
        <v>F_13_13_WC</v>
      </c>
      <c r="M65" s="135"/>
      <c r="N65" s="13"/>
      <c r="O65" s="6" t="str">
        <f>Tab_Def_Flows[[#This Row],[Flow_ID]]&amp;"_DM"</f>
        <v>F_13_13_DM</v>
      </c>
      <c r="Q65" s="13"/>
      <c r="R65" s="6" t="str">
        <f>Tab_Def_Flows[[#This Row],[Flow_ID]]&amp;"_CC"</f>
        <v>F_13_13_CC</v>
      </c>
      <c r="S65" s="135"/>
      <c r="T65" s="13"/>
      <c r="U65" s="139">
        <f>Tab_Def_Flows[[#This Row],[Flow_CC_DM'[%']]]*Tab_Def_Flows[[#This Row],[Flow_DM'[%']]]</f>
        <v>0</v>
      </c>
      <c r="V65" s="13"/>
    </row>
    <row r="66" spans="1:22" x14ac:dyDescent="0.25">
      <c r="A66" s="142" t="b">
        <v>0</v>
      </c>
      <c r="B66" s="16">
        <f t="shared" si="2"/>
        <v>65</v>
      </c>
      <c r="C66" s="6" t="str">
        <f t="shared" ref="C66:C70" si="3">"F_"&amp;LEFT(F66,2)&amp;"_"&amp;LEFT(H66,2)</f>
        <v>F_13_13</v>
      </c>
      <c r="D66" s="7"/>
      <c r="E66" s="138"/>
      <c r="F66" s="6" t="str">
        <f>_xlfn.XLOOKUP(E66,Tab_Def_Processes[Process_Name],Tab_Def_Processes[Process_ID],,0,)</f>
        <v>13</v>
      </c>
      <c r="G66" s="138"/>
      <c r="H66" s="9" t="str">
        <f>_xlfn.XLOOKUP(G66,Tab_Def_Processes[Process_Name],Tab_Def_Processes[Process_ID],,0,)</f>
        <v>13</v>
      </c>
      <c r="I66" s="138" t="s">
        <v>5</v>
      </c>
      <c r="J66" s="138" t="s">
        <v>5</v>
      </c>
      <c r="K66" s="138" t="s">
        <v>5</v>
      </c>
      <c r="L66" s="6" t="str">
        <f>Tab_Def_Flows[[#This Row],[Flow_ID]]&amp;"_WC"</f>
        <v>F_13_13_WC</v>
      </c>
      <c r="M66" s="135"/>
      <c r="N66" s="13"/>
      <c r="O66" s="6" t="str">
        <f>Tab_Def_Flows[[#This Row],[Flow_ID]]&amp;"_DM"</f>
        <v>F_13_13_DM</v>
      </c>
      <c r="Q66" s="13"/>
      <c r="R66" s="6" t="str">
        <f>Tab_Def_Flows[[#This Row],[Flow_ID]]&amp;"_CC"</f>
        <v>F_13_13_CC</v>
      </c>
      <c r="S66" s="135"/>
      <c r="T66" s="13"/>
      <c r="U66" s="139">
        <f>Tab_Def_Flows[[#This Row],[Flow_CC_DM'[%']]]*Tab_Def_Flows[[#This Row],[Flow_DM'[%']]]</f>
        <v>0</v>
      </c>
      <c r="V66" s="13"/>
    </row>
    <row r="67" spans="1:22" x14ac:dyDescent="0.25">
      <c r="A67" s="142" t="b">
        <v>0</v>
      </c>
      <c r="B67" s="16">
        <f t="shared" si="2"/>
        <v>66</v>
      </c>
      <c r="C67" s="6" t="str">
        <f t="shared" si="3"/>
        <v>F_13_13</v>
      </c>
      <c r="D67" s="7"/>
      <c r="E67" s="138"/>
      <c r="F67" s="6" t="str">
        <f>_xlfn.XLOOKUP(E67,Tab_Def_Processes[Process_Name],Tab_Def_Processes[Process_ID],,0,)</f>
        <v>13</v>
      </c>
      <c r="G67" s="138"/>
      <c r="H67" s="9" t="str">
        <f>_xlfn.XLOOKUP(G67,Tab_Def_Processes[Process_Name],Tab_Def_Processes[Process_ID],,0,)</f>
        <v>13</v>
      </c>
      <c r="I67" s="138" t="s">
        <v>5</v>
      </c>
      <c r="J67" s="138" t="s">
        <v>5</v>
      </c>
      <c r="K67" s="138" t="s">
        <v>5</v>
      </c>
      <c r="L67" s="6" t="str">
        <f>Tab_Def_Flows[[#This Row],[Flow_ID]]&amp;"_WC"</f>
        <v>F_13_13_WC</v>
      </c>
      <c r="M67" s="135"/>
      <c r="N67" s="13"/>
      <c r="O67" s="6" t="str">
        <f>Tab_Def_Flows[[#This Row],[Flow_ID]]&amp;"_DM"</f>
        <v>F_13_13_DM</v>
      </c>
      <c r="Q67" s="13"/>
      <c r="R67" s="6" t="str">
        <f>Tab_Def_Flows[[#This Row],[Flow_ID]]&amp;"_CC"</f>
        <v>F_13_13_CC</v>
      </c>
      <c r="S67" s="135"/>
      <c r="T67" s="13"/>
      <c r="U67" s="139">
        <f>Tab_Def_Flows[[#This Row],[Flow_CC_DM'[%']]]*Tab_Def_Flows[[#This Row],[Flow_DM'[%']]]</f>
        <v>0</v>
      </c>
      <c r="V67" s="13"/>
    </row>
    <row r="68" spans="1:22" x14ac:dyDescent="0.25">
      <c r="A68" s="142" t="b">
        <v>0</v>
      </c>
      <c r="B68" s="16">
        <f t="shared" si="2"/>
        <v>67</v>
      </c>
      <c r="C68" s="6" t="str">
        <f t="shared" si="3"/>
        <v>F_13_13</v>
      </c>
      <c r="D68" s="7"/>
      <c r="E68" s="138"/>
      <c r="F68" s="6" t="str">
        <f>_xlfn.XLOOKUP(E68,Tab_Def_Processes[Process_Name],Tab_Def_Processes[Process_ID],,0,)</f>
        <v>13</v>
      </c>
      <c r="G68" s="138"/>
      <c r="H68" s="9" t="str">
        <f>_xlfn.XLOOKUP(G68,Tab_Def_Processes[Process_Name],Tab_Def_Processes[Process_ID],,0,)</f>
        <v>13</v>
      </c>
      <c r="I68" s="138" t="s">
        <v>5</v>
      </c>
      <c r="J68" s="138" t="s">
        <v>5</v>
      </c>
      <c r="K68" s="138" t="s">
        <v>5</v>
      </c>
      <c r="L68" s="6" t="str">
        <f>Tab_Def_Flows[[#This Row],[Flow_ID]]&amp;"_WC"</f>
        <v>F_13_13_WC</v>
      </c>
      <c r="M68" s="135"/>
      <c r="N68" s="13"/>
      <c r="O68" s="6" t="str">
        <f>Tab_Def_Flows[[#This Row],[Flow_ID]]&amp;"_DM"</f>
        <v>F_13_13_DM</v>
      </c>
      <c r="Q68" s="13"/>
      <c r="R68" s="6" t="str">
        <f>Tab_Def_Flows[[#This Row],[Flow_ID]]&amp;"_CC"</f>
        <v>F_13_13_CC</v>
      </c>
      <c r="S68" s="135"/>
      <c r="T68" s="13"/>
      <c r="U68" s="139">
        <f>Tab_Def_Flows[[#This Row],[Flow_CC_DM'[%']]]*Tab_Def_Flows[[#This Row],[Flow_DM'[%']]]</f>
        <v>0</v>
      </c>
      <c r="V68" s="13"/>
    </row>
    <row r="69" spans="1:22" x14ac:dyDescent="0.25">
      <c r="A69" s="142" t="b">
        <v>0</v>
      </c>
      <c r="B69" s="16">
        <f t="shared" si="2"/>
        <v>68</v>
      </c>
      <c r="C69" s="6" t="str">
        <f t="shared" si="3"/>
        <v>F_13_13</v>
      </c>
      <c r="D69" s="7"/>
      <c r="E69" s="138"/>
      <c r="F69" s="6" t="str">
        <f>_xlfn.XLOOKUP(E69,Tab_Def_Processes[Process_Name],Tab_Def_Processes[Process_ID],,0,)</f>
        <v>13</v>
      </c>
      <c r="G69" s="138"/>
      <c r="H69" s="9" t="str">
        <f>_xlfn.XLOOKUP(G69,Tab_Def_Processes[Process_Name],Tab_Def_Processes[Process_ID],,0,)</f>
        <v>13</v>
      </c>
      <c r="I69" s="138" t="s">
        <v>5</v>
      </c>
      <c r="J69" s="138" t="s">
        <v>5</v>
      </c>
      <c r="K69" s="138" t="s">
        <v>5</v>
      </c>
      <c r="L69" s="6" t="str">
        <f>Tab_Def_Flows[[#This Row],[Flow_ID]]&amp;"_WC"</f>
        <v>F_13_13_WC</v>
      </c>
      <c r="M69" s="135"/>
      <c r="N69" s="13"/>
      <c r="O69" s="6" t="str">
        <f>Tab_Def_Flows[[#This Row],[Flow_ID]]&amp;"_DM"</f>
        <v>F_13_13_DM</v>
      </c>
      <c r="Q69" s="13"/>
      <c r="R69" s="6" t="str">
        <f>Tab_Def_Flows[[#This Row],[Flow_ID]]&amp;"_CC"</f>
        <v>F_13_13_CC</v>
      </c>
      <c r="S69" s="135"/>
      <c r="T69" s="13"/>
      <c r="U69" s="139">
        <f>Tab_Def_Flows[[#This Row],[Flow_CC_DM'[%']]]*Tab_Def_Flows[[#This Row],[Flow_DM'[%']]]</f>
        <v>0</v>
      </c>
      <c r="V69" s="13"/>
    </row>
    <row r="70" spans="1:22" x14ac:dyDescent="0.25">
      <c r="A70" s="142" t="b">
        <v>0</v>
      </c>
      <c r="B70" s="16">
        <f t="shared" si="2"/>
        <v>69</v>
      </c>
      <c r="C70" s="6" t="str">
        <f t="shared" si="3"/>
        <v>F__</v>
      </c>
      <c r="D70" s="7" t="s">
        <v>8</v>
      </c>
      <c r="E70" s="138"/>
      <c r="F70" s="6"/>
      <c r="G70" s="138"/>
      <c r="H70" s="9"/>
      <c r="I70" s="138" t="s">
        <v>5</v>
      </c>
      <c r="J70" s="138" t="s">
        <v>5</v>
      </c>
      <c r="K70" s="138" t="s">
        <v>5</v>
      </c>
      <c r="L70" s="6" t="str">
        <f>Tab_Def_Flows[[#This Row],[Flow_ID]]&amp;"_WC"</f>
        <v>F___WC</v>
      </c>
      <c r="M70" s="135"/>
      <c r="N70" s="13"/>
      <c r="O70" s="6" t="str">
        <f>Tab_Def_Flows[[#This Row],[Flow_ID]]&amp;"_DM"</f>
        <v>F___DM</v>
      </c>
      <c r="Q70" s="13"/>
      <c r="R70" s="6" t="str">
        <f>Tab_Def_Flows[[#This Row],[Flow_ID]]&amp;"_CC"</f>
        <v>F___CC</v>
      </c>
      <c r="S70" s="135"/>
      <c r="T70" s="13"/>
      <c r="U70" s="139">
        <f>Tab_Def_Flows[[#This Row],[Flow_CC_DM'[%']]]*Tab_Def_Flows[[#This Row],[Flow_DM'[%']]]</f>
        <v>0</v>
      </c>
      <c r="V7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E2:E70 G2:G70</xm:sqref>
        </x14:dataValidation>
        <x14:dataValidation type="list" allowBlank="1" showInputMessage="1" showErrorMessage="1" xr:uid="{CB86BBCA-BDCE-4D1A-8B11-508B05897210}">
          <x14:formula1>
            <xm:f>'7_2_Codelists'!$B$3:$B$4</xm:f>
          </x14:formula1>
          <xm:sqref>I2:K70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274" zoomScale="130" zoomScaleNormal="130" workbookViewId="0">
      <selection activeCell="H298" sqref="H298"/>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427</v>
      </c>
      <c r="D1" s="141" t="s">
        <v>27</v>
      </c>
      <c r="E1" s="141" t="s">
        <v>29</v>
      </c>
      <c r="F1" s="141" t="s">
        <v>28</v>
      </c>
      <c r="G1" s="141" t="s">
        <v>416</v>
      </c>
      <c r="H1" s="141" t="s">
        <v>417</v>
      </c>
      <c r="I1" s="141" t="s">
        <v>21</v>
      </c>
      <c r="J1" s="141" t="s">
        <v>502</v>
      </c>
      <c r="K1" s="141" t="s">
        <v>470</v>
      </c>
      <c r="L1" s="141" t="s">
        <v>503</v>
      </c>
      <c r="M1" s="141" t="s">
        <v>504</v>
      </c>
      <c r="N1" s="141" t="s">
        <v>505</v>
      </c>
      <c r="O1" s="141" t="s">
        <v>18</v>
      </c>
      <c r="P1" s="141" t="s">
        <v>19</v>
      </c>
      <c r="Q1" s="141" t="s">
        <v>20</v>
      </c>
      <c r="R1" s="141" t="s">
        <v>419</v>
      </c>
      <c r="S1" s="141" t="s">
        <v>418</v>
      </c>
      <c r="T1" s="141" t="s">
        <v>22</v>
      </c>
      <c r="U1" s="141" t="s">
        <v>30</v>
      </c>
      <c r="V1" s="141" t="s">
        <v>420</v>
      </c>
      <c r="W1" s="141" t="s">
        <v>35</v>
      </c>
      <c r="X1" s="141" t="s">
        <v>38</v>
      </c>
      <c r="Y1" s="141" t="s">
        <v>32</v>
      </c>
      <c r="Z1" s="141" t="s">
        <v>421</v>
      </c>
      <c r="AA1" s="141" t="s">
        <v>426</v>
      </c>
      <c r="AB1" s="141" t="s">
        <v>37</v>
      </c>
      <c r="AC1" s="141" t="s">
        <v>34</v>
      </c>
      <c r="AD1" s="141" t="s">
        <v>422</v>
      </c>
      <c r="AE1" s="141" t="s">
        <v>39</v>
      </c>
      <c r="AF1" s="141" t="s">
        <v>36</v>
      </c>
      <c r="AG1"/>
    </row>
    <row r="2" spans="1:33" x14ac:dyDescent="0.25">
      <c r="A2" s="8">
        <f>ROW()-1</f>
        <v>1</v>
      </c>
      <c r="B2" s="6" t="str">
        <f>_xlfn.XLOOKUP(C2,Tab_Def_Flows[Flow_Name],Tab_Def_Flows[Flow_ID],,0,)</f>
        <v>F_01_02</v>
      </c>
      <c r="C2" s="138" t="s">
        <v>475</v>
      </c>
      <c r="D2" s="9" t="str">
        <f>_xlfn.XLOOKUP(C2,Tab_Def_Flows[Flow_Name],Tab_Def_Flows[WC?],,0,)</f>
        <v>Yes</v>
      </c>
      <c r="E2" s="9" t="str">
        <f>_xlfn.XLOOKUP(C2,Tab_Def_Flows[Flow_Name],Tab_Def_Flows[DM?],,0,)</f>
        <v>Yes</v>
      </c>
      <c r="F2" s="9" t="str">
        <f>_xlfn.XLOOKUP(C2,Tab_Def_Flows[Flow_Name],Tab_Def_Flows[CC?],,0,)</f>
        <v>Yes</v>
      </c>
      <c r="G2" s="7">
        <v>2025</v>
      </c>
      <c r="H2" s="21">
        <v>476200.16884800006</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476200.16884800006</v>
      </c>
      <c r="T2" s="6" t="str">
        <f>Tab_Data_Flows[[#This Row],[UoM_Source]]</f>
        <v>Mg</v>
      </c>
      <c r="U2" s="139">
        <f>INDEX(Tab_Def_Flows[[Flow_ID]:[CC_DM_source]],MATCH(Tab_Data_Flows[[#This Row],[Flow_Name]],Tab_Def_Flows[Flow_Name],0),11)</f>
        <v>0.23841961794348115</v>
      </c>
      <c r="V2" s="6" t="str">
        <f>Tab_Data_Flows[[#This Row],[Flow_ID]]&amp;"_"&amp;"WC_"&amp;Tab_Data_Flows[[#This Row],[Flow_Data_Year]]</f>
        <v>F_01_02_WC_2025</v>
      </c>
      <c r="W2" s="6">
        <f>IF(D2="Yes",S2*Tab_Data_Flows[[#This Row],[WC_'[%']]],"N.A.")</f>
        <v>113535.4623213614</v>
      </c>
      <c r="X2" s="6" t="str">
        <f>Tab_Data_Flows[[#This Row],[UoM_Flow_Py]]</f>
        <v>Mg</v>
      </c>
      <c r="Y2" s="139">
        <f>INDEX(Tab_Def_Flows[[Flow_ID]:[CC_DM_source]],MATCH(Tab_Data_Flows[[#This Row],[Flow_Name]],Tab_Def_Flows[Flow_Name],0),14)</f>
        <v>0.76158038205651879</v>
      </c>
      <c r="Z2" s="6" t="str">
        <f>Tab_Data_Flows[[#This Row],[Flow_ID]]&amp;"_"&amp;"DM_"&amp;Tab_Data_Flows[[#This Row],[Flow_Data_Year]]</f>
        <v>F_01_02_DM_2025</v>
      </c>
      <c r="AA2" s="6">
        <f>IF(E2="Yes",Y2*Tab_Data_Flows[[#This Row],[Flow_Material]],"N.A.")</f>
        <v>362664.70652663865</v>
      </c>
      <c r="AB2" s="6" t="str">
        <f>Tab_Data_Flows[[#This Row],[UoM_Flow_Py]]</f>
        <v>Mg</v>
      </c>
      <c r="AC2" s="139">
        <f>INDEX(Tab_Def_Flows[[Flow_ID]:[CC_DM_source]],MATCH(Tab_Data_Flows[[#This Row],[Flow_Name]],Tab_Def_Flows[Flow_Name],0),17)</f>
        <v>0</v>
      </c>
      <c r="AD2" s="6" t="str">
        <f>Tab_Data_Flows[[#This Row],[Flow_ID]]&amp;"_"&amp;"CC_"&amp;Tab_Data_Flows[[#This Row],[Flow_Data_Year]]</f>
        <v>F_01_02_CC_2025</v>
      </c>
      <c r="AE2" s="6">
        <f>IF(F2="Yes",AC2*Tab_Data_Flows[[#This Row],[Flow_Material]]*Tab_Data_Flows[[#This Row],[DM_'[%']]],"N.A.")</f>
        <v>0</v>
      </c>
      <c r="AF2" s="6" t="str">
        <f>Tab_Data_Flows[[#This Row],[UoM_Flow_Py]]</f>
        <v>Mg</v>
      </c>
      <c r="AG2"/>
    </row>
    <row r="3" spans="1:33" x14ac:dyDescent="0.25">
      <c r="A3" s="8">
        <f t="shared" ref="A3:A66" si="1">ROW()-1</f>
        <v>2</v>
      </c>
      <c r="B3" s="6" t="str">
        <f>_xlfn.XLOOKUP(C3,Tab_Def_Flows[Flow_Name],Tab_Def_Flows[Flow_ID],,0,)</f>
        <v>F_01_02</v>
      </c>
      <c r="C3" s="138" t="s">
        <v>475</v>
      </c>
      <c r="D3" s="9" t="str">
        <f>_xlfn.XLOOKUP(C3,Tab_Def_Flows[Flow_Name],Tab_Def_Flows[WC?],,0,)</f>
        <v>Yes</v>
      </c>
      <c r="E3" s="9" t="str">
        <f>_xlfn.XLOOKUP(C3,Tab_Def_Flows[Flow_Name],Tab_Def_Flows[DM?],,0,)</f>
        <v>Yes</v>
      </c>
      <c r="F3" s="9" t="str">
        <f>_xlfn.XLOOKUP(C3,Tab_Def_Flows[Flow_Name],Tab_Def_Flows[CC?],,0,)</f>
        <v>Yes</v>
      </c>
      <c r="G3" s="7">
        <v>2026</v>
      </c>
      <c r="H3" s="21">
        <v>398486.50369600003</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398486.50369600003</v>
      </c>
      <c r="T3" s="6" t="str">
        <f>Tab_Data_Flows[[#This Row],[UoM_Source]]</f>
        <v>Mg</v>
      </c>
      <c r="U3" s="139">
        <f>INDEX(Tab_Def_Flows[[Flow_ID]:[CC_DM_source]],MATCH(Tab_Data_Flows[[#This Row],[Flow_Name]],Tab_Def_Flows[Flow_Name],0),11)</f>
        <v>0.23841961794348115</v>
      </c>
      <c r="V3" s="6" t="str">
        <f>Tab_Data_Flows[[#This Row],[Flow_ID]]&amp;"_"&amp;"WC_"&amp;Tab_Data_Flows[[#This Row],[Flow_Data_Year]]</f>
        <v>F_01_02_WC_2026</v>
      </c>
      <c r="W3" s="6">
        <f>IF(D3="Yes",S3*Tab_Data_Flows[[#This Row],[WC_'[%']]],"N.A.")</f>
        <v>95006.999966833915</v>
      </c>
      <c r="X3" s="6" t="str">
        <f>Tab_Data_Flows[[#This Row],[UoM_Flow_Py]]</f>
        <v>Mg</v>
      </c>
      <c r="Y3" s="139">
        <f>INDEX(Tab_Def_Flows[[Flow_ID]:[CC_DM_source]],MATCH(Tab_Data_Flows[[#This Row],[Flow_Name]],Tab_Def_Flows[Flow_Name],0),14)</f>
        <v>0.76158038205651879</v>
      </c>
      <c r="Z3" s="6" t="str">
        <f>Tab_Data_Flows[[#This Row],[Flow_ID]]&amp;"_"&amp;"DM_"&amp;Tab_Data_Flows[[#This Row],[Flow_Data_Year]]</f>
        <v>F_01_02_DM_2026</v>
      </c>
      <c r="AA3" s="6">
        <f>IF(E3="Yes",Y3*Tab_Data_Flows[[#This Row],[Flow_Material]],"N.A.")</f>
        <v>303479.50372916611</v>
      </c>
      <c r="AB3" s="6" t="str">
        <f>Tab_Data_Flows[[#This Row],[UoM_Flow_Py]]</f>
        <v>Mg</v>
      </c>
      <c r="AC3" s="139">
        <f>INDEX(Tab_Def_Flows[[Flow_ID]:[CC_DM_source]],MATCH(Tab_Data_Flows[[#This Row],[Flow_Name]],Tab_Def_Flows[Flow_Name],0),17)</f>
        <v>0</v>
      </c>
      <c r="AD3" s="6" t="str">
        <f>Tab_Data_Flows[[#This Row],[Flow_ID]]&amp;"_"&amp;"CC_"&amp;Tab_Data_Flows[[#This Row],[Flow_Data_Year]]</f>
        <v>F_01_02_CC_2026</v>
      </c>
      <c r="AE3" s="6">
        <f>IF(F3="Yes",AC3*Tab_Data_Flows[[#This Row],[Flow_Material]]*Tab_Data_Flows[[#This Row],[DM_'[%']]],"N.A.")</f>
        <v>0</v>
      </c>
      <c r="AF3" s="6" t="str">
        <f>Tab_Data_Flows[[#This Row],[UoM_Flow_Py]]</f>
        <v>Mg</v>
      </c>
      <c r="AG3"/>
    </row>
    <row r="4" spans="1:33" x14ac:dyDescent="0.25">
      <c r="A4" s="8">
        <f t="shared" si="1"/>
        <v>3</v>
      </c>
      <c r="B4" s="6" t="str">
        <f>_xlfn.XLOOKUP(C4,Tab_Def_Flows[Flow_Name],Tab_Def_Flows[Flow_ID],,0,)</f>
        <v>F_01_02</v>
      </c>
      <c r="C4" s="138" t="s">
        <v>475</v>
      </c>
      <c r="D4" s="9" t="str">
        <f>_xlfn.XLOOKUP(C4,Tab_Def_Flows[Flow_Name],Tab_Def_Flows[WC?],,0,)</f>
        <v>Yes</v>
      </c>
      <c r="E4" s="9" t="str">
        <f>_xlfn.XLOOKUP(C4,Tab_Def_Flows[Flow_Name],Tab_Def_Flows[DM?],,0,)</f>
        <v>Yes</v>
      </c>
      <c r="F4" s="9" t="str">
        <f>_xlfn.XLOOKUP(C4,Tab_Def_Flows[Flow_Name],Tab_Def_Flows[CC?],,0,)</f>
        <v>Yes</v>
      </c>
      <c r="G4" s="7">
        <v>2027</v>
      </c>
      <c r="H4" s="21">
        <v>512177.81889600004</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512177.81889600004</v>
      </c>
      <c r="T4" s="6" t="str">
        <f>Tab_Data_Flows[[#This Row],[UoM_Source]]</f>
        <v>Mg</v>
      </c>
      <c r="U4" s="139">
        <f>INDEX(Tab_Def_Flows[[Flow_ID]:[CC_DM_source]],MATCH(Tab_Data_Flows[[#This Row],[Flow_Name]],Tab_Def_Flows[Flow_Name],0),11)</f>
        <v>0.23841961794348115</v>
      </c>
      <c r="V4" s="6" t="str">
        <f>Tab_Data_Flows[[#This Row],[Flow_ID]]&amp;"_"&amp;"WC_"&amp;Tab_Data_Flows[[#This Row],[Flow_Data_Year]]</f>
        <v>F_01_02_WC_2027</v>
      </c>
      <c r="W4" s="6">
        <f>IF(D4="Yes",S4*Tab_Data_Flows[[#This Row],[WC_'[%']]],"N.A.")</f>
        <v>122113.23990030981</v>
      </c>
      <c r="X4" s="6" t="str">
        <f>Tab_Data_Flows[[#This Row],[UoM_Flow_Py]]</f>
        <v>Mg</v>
      </c>
      <c r="Y4" s="139">
        <f>INDEX(Tab_Def_Flows[[Flow_ID]:[CC_DM_source]],MATCH(Tab_Data_Flows[[#This Row],[Flow_Name]],Tab_Def_Flows[Flow_Name],0),14)</f>
        <v>0.76158038205651879</v>
      </c>
      <c r="Z4" s="6" t="str">
        <f>Tab_Data_Flows[[#This Row],[Flow_ID]]&amp;"_"&amp;"DM_"&amp;Tab_Data_Flows[[#This Row],[Flow_Data_Year]]</f>
        <v>F_01_02_DM_2027</v>
      </c>
      <c r="AA4" s="6">
        <f>IF(E4="Yes",Y4*Tab_Data_Flows[[#This Row],[Flow_Material]],"N.A.")</f>
        <v>390064.57899569022</v>
      </c>
      <c r="AB4" s="6" t="str">
        <f>Tab_Data_Flows[[#This Row],[UoM_Flow_Py]]</f>
        <v>Mg</v>
      </c>
      <c r="AC4" s="139">
        <f>INDEX(Tab_Def_Flows[[Flow_ID]:[CC_DM_source]],MATCH(Tab_Data_Flows[[#This Row],[Flow_Name]],Tab_Def_Flows[Flow_Name],0),17)</f>
        <v>0</v>
      </c>
      <c r="AD4" s="6" t="str">
        <f>Tab_Data_Flows[[#This Row],[Flow_ID]]&amp;"_"&amp;"CC_"&amp;Tab_Data_Flows[[#This Row],[Flow_Data_Year]]</f>
        <v>F_01_02_CC_2027</v>
      </c>
      <c r="AE4" s="6">
        <f>IF(F4="Yes",AC4*Tab_Data_Flows[[#This Row],[Flow_Material]]*Tab_Data_Flows[[#This Row],[DM_'[%']]],"N.A.")</f>
        <v>0</v>
      </c>
      <c r="AF4" s="6" t="str">
        <f>Tab_Data_Flows[[#This Row],[UoM_Flow_Py]]</f>
        <v>Mg</v>
      </c>
      <c r="AG4"/>
    </row>
    <row r="5" spans="1:33" x14ac:dyDescent="0.25">
      <c r="A5" s="8">
        <f t="shared" si="1"/>
        <v>4</v>
      </c>
      <c r="B5" s="6" t="str">
        <f>_xlfn.XLOOKUP(C5,Tab_Def_Flows[Flow_Name],Tab_Def_Flows[Flow_ID],,0,)</f>
        <v>F_01_02</v>
      </c>
      <c r="C5" s="138" t="s">
        <v>475</v>
      </c>
      <c r="D5" s="9" t="str">
        <f>_xlfn.XLOOKUP(C5,Tab_Def_Flows[Flow_Name],Tab_Def_Flows[WC?],,0,)</f>
        <v>Yes</v>
      </c>
      <c r="E5" s="9" t="str">
        <f>_xlfn.XLOOKUP(C5,Tab_Def_Flows[Flow_Name],Tab_Def_Flows[DM?],,0,)</f>
        <v>Yes</v>
      </c>
      <c r="F5" s="9" t="str">
        <f>_xlfn.XLOOKUP(C5,Tab_Def_Flows[Flow_Name],Tab_Def_Flows[CC?],,0,)</f>
        <v>Yes</v>
      </c>
      <c r="G5" s="7">
        <v>2028</v>
      </c>
      <c r="H5" s="21">
        <v>414460.34017600003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414460.34017600003</v>
      </c>
      <c r="T5" s="6" t="str">
        <f>Tab_Data_Flows[[#This Row],[UoM_Source]]</f>
        <v>Mg</v>
      </c>
      <c r="U5" s="139">
        <f>INDEX(Tab_Def_Flows[[Flow_ID]:[CC_DM_source]],MATCH(Tab_Data_Flows[[#This Row],[Flow_Name]],Tab_Def_Flows[Flow_Name],0),11)</f>
        <v>0.23841961794348115</v>
      </c>
      <c r="V5" s="6" t="str">
        <f>Tab_Data_Flows[[#This Row],[Flow_ID]]&amp;"_"&amp;"WC_"&amp;Tab_Data_Flows[[#This Row],[Flow_Data_Year]]</f>
        <v>F_01_02_WC_2028</v>
      </c>
      <c r="W5" s="6">
        <f>IF(D5="Yes",S5*Tab_Data_Flows[[#This Row],[WC_'[%']]],"N.A.")</f>
        <v>98815.475957487157</v>
      </c>
      <c r="X5" s="6" t="str">
        <f>Tab_Data_Flows[[#This Row],[UoM_Flow_Py]]</f>
        <v>Mg</v>
      </c>
      <c r="Y5" s="139">
        <f>INDEX(Tab_Def_Flows[[Flow_ID]:[CC_DM_source]],MATCH(Tab_Data_Flows[[#This Row],[Flow_Name]],Tab_Def_Flows[Flow_Name],0),14)</f>
        <v>0.76158038205651879</v>
      </c>
      <c r="Z5" s="6" t="str">
        <f>Tab_Data_Flows[[#This Row],[Flow_ID]]&amp;"_"&amp;"DM_"&amp;Tab_Data_Flows[[#This Row],[Flow_Data_Year]]</f>
        <v>F_01_02_DM_2028</v>
      </c>
      <c r="AA5" s="6">
        <f>IF(E5="Yes",Y5*Tab_Data_Flows[[#This Row],[Flow_Material]],"N.A.")</f>
        <v>315644.86421851284</v>
      </c>
      <c r="AB5" s="6" t="str">
        <f>Tab_Data_Flows[[#This Row],[UoM_Flow_Py]]</f>
        <v>Mg</v>
      </c>
      <c r="AC5" s="139">
        <f>INDEX(Tab_Def_Flows[[Flow_ID]:[CC_DM_source]],MATCH(Tab_Data_Flows[[#This Row],[Flow_Name]],Tab_Def_Flows[Flow_Name],0),17)</f>
        <v>0</v>
      </c>
      <c r="AD5" s="6" t="str">
        <f>Tab_Data_Flows[[#This Row],[Flow_ID]]&amp;"_"&amp;"CC_"&amp;Tab_Data_Flows[[#This Row],[Flow_Data_Year]]</f>
        <v>F_01_02_CC_2028</v>
      </c>
      <c r="AE5" s="6">
        <f>IF(F5="Yes",AC5*Tab_Data_Flows[[#This Row],[Flow_Material]]*Tab_Data_Flows[[#This Row],[DM_'[%']]],"N.A.")</f>
        <v>0</v>
      </c>
      <c r="AF5" s="6" t="str">
        <f>Tab_Data_Flows[[#This Row],[UoM_Flow_Py]]</f>
        <v>Mg</v>
      </c>
      <c r="AG5"/>
    </row>
    <row r="6" spans="1:33" x14ac:dyDescent="0.25">
      <c r="A6" s="8">
        <f t="shared" si="1"/>
        <v>5</v>
      </c>
      <c r="B6" s="6" t="str">
        <f>_xlfn.XLOOKUP(C6,Tab_Def_Flows[Flow_Name],Tab_Def_Flows[Flow_ID],,0,)</f>
        <v>F_01_02</v>
      </c>
      <c r="C6" s="138" t="s">
        <v>475</v>
      </c>
      <c r="D6" s="9" t="str">
        <f>_xlfn.XLOOKUP(C6,Tab_Def_Flows[Flow_Name],Tab_Def_Flows[WC?],,0,)</f>
        <v>Yes</v>
      </c>
      <c r="E6" s="9" t="str">
        <f>_xlfn.XLOOKUP(C6,Tab_Def_Flows[Flow_Name],Tab_Def_Flows[DM?],,0,)</f>
        <v>Yes</v>
      </c>
      <c r="F6" s="9" t="str">
        <f>_xlfn.XLOOKUP(C6,Tab_Def_Flows[Flow_Name],Tab_Def_Flows[CC?],,0,)</f>
        <v>Yes</v>
      </c>
      <c r="G6" s="7">
        <v>2029</v>
      </c>
      <c r="H6" s="21">
        <v>483317.96649600007</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483317.96649600007</v>
      </c>
      <c r="T6" s="6" t="str">
        <f>Tab_Data_Flows[[#This Row],[UoM_Source]]</f>
        <v>Mg</v>
      </c>
      <c r="U6" s="139">
        <f>INDEX(Tab_Def_Flows[[Flow_ID]:[CC_DM_source]],MATCH(Tab_Data_Flows[[#This Row],[Flow_Name]],Tab_Def_Flows[Flow_Name],0),11)</f>
        <v>0.23841961794348115</v>
      </c>
      <c r="V6" s="6" t="str">
        <f>Tab_Data_Flows[[#This Row],[Flow_ID]]&amp;"_"&amp;"WC_"&amp;Tab_Data_Flows[[#This Row],[Flow_Data_Year]]</f>
        <v>F_01_02_WC_2029</v>
      </c>
      <c r="W6" s="6">
        <f>IF(D6="Yes",S6*Tab_Data_Flows[[#This Row],[WC_'[%']]],"N.A.")</f>
        <v>115232.48491719656</v>
      </c>
      <c r="X6" s="6" t="str">
        <f>Tab_Data_Flows[[#This Row],[UoM_Flow_Py]]</f>
        <v>Mg</v>
      </c>
      <c r="Y6" s="139">
        <f>INDEX(Tab_Def_Flows[[Flow_ID]:[CC_DM_source]],MATCH(Tab_Data_Flows[[#This Row],[Flow_Name]],Tab_Def_Flows[Flow_Name],0),14)</f>
        <v>0.76158038205651879</v>
      </c>
      <c r="Z6" s="6" t="str">
        <f>Tab_Data_Flows[[#This Row],[Flow_ID]]&amp;"_"&amp;"DM_"&amp;Tab_Data_Flows[[#This Row],[Flow_Data_Year]]</f>
        <v>F_01_02_DM_2029</v>
      </c>
      <c r="AA6" s="6">
        <f>IF(E6="Yes",Y6*Tab_Data_Flows[[#This Row],[Flow_Material]],"N.A.")</f>
        <v>368085.4815788035</v>
      </c>
      <c r="AB6" s="6" t="str">
        <f>Tab_Data_Flows[[#This Row],[UoM_Flow_Py]]</f>
        <v>Mg</v>
      </c>
      <c r="AC6" s="139">
        <f>INDEX(Tab_Def_Flows[[Flow_ID]:[CC_DM_source]],MATCH(Tab_Data_Flows[[#This Row],[Flow_Name]],Tab_Def_Flows[Flow_Name],0),17)</f>
        <v>0</v>
      </c>
      <c r="AD6" s="6" t="str">
        <f>Tab_Data_Flows[[#This Row],[Flow_ID]]&amp;"_"&amp;"CC_"&amp;Tab_Data_Flows[[#This Row],[Flow_Data_Year]]</f>
        <v>F_01_02_CC_2029</v>
      </c>
      <c r="AE6" s="6">
        <f>IF(F6="Yes",AC6*Tab_Data_Flows[[#This Row],[Flow_Material]]*Tab_Data_Flows[[#This Row],[DM_'[%']]],"N.A.")</f>
        <v>0</v>
      </c>
      <c r="AF6" s="6" t="str">
        <f>Tab_Data_Flows[[#This Row],[UoM_Flow_Py]]</f>
        <v>Mg</v>
      </c>
      <c r="AG6"/>
    </row>
    <row r="7" spans="1:33" x14ac:dyDescent="0.25">
      <c r="A7" s="8">
        <f t="shared" si="1"/>
        <v>6</v>
      </c>
      <c r="B7" s="6" t="str">
        <f>_xlfn.XLOOKUP(C7,Tab_Def_Flows[Flow_Name],Tab_Def_Flows[Flow_ID],,0,)</f>
        <v>F_01_02</v>
      </c>
      <c r="C7" s="138" t="s">
        <v>475</v>
      </c>
      <c r="D7" s="9" t="str">
        <f>_xlfn.XLOOKUP(C7,Tab_Def_Flows[Flow_Name],Tab_Def_Flows[WC?],,0,)</f>
        <v>Yes</v>
      </c>
      <c r="E7" s="9" t="str">
        <f>_xlfn.XLOOKUP(C7,Tab_Def_Flows[Flow_Name],Tab_Def_Flows[DM?],,0,)</f>
        <v>Yes</v>
      </c>
      <c r="F7" s="9" t="str">
        <f>_xlfn.XLOOKUP(C7,Tab_Def_Flows[Flow_Name],Tab_Def_Flows[CC?],,0,)</f>
        <v>Yes</v>
      </c>
      <c r="G7" s="7">
        <v>2030</v>
      </c>
      <c r="H7" s="21">
        <v>380833.62166399998</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380833.62166399998</v>
      </c>
      <c r="T7" s="6" t="str">
        <f>Tab_Data_Flows[[#This Row],[UoM_Source]]</f>
        <v>Mg</v>
      </c>
      <c r="U7" s="139">
        <f>INDEX(Tab_Def_Flows[[Flow_ID]:[CC_DM_source]],MATCH(Tab_Data_Flows[[#This Row],[Flow_Name]],Tab_Def_Flows[Flow_Name],0),11)</f>
        <v>0.23841961794348115</v>
      </c>
      <c r="V7" s="6" t="str">
        <f>Tab_Data_Flows[[#This Row],[Flow_ID]]&amp;"_"&amp;"WC_"&amp;Tab_Data_Flows[[#This Row],[Flow_Data_Year]]</f>
        <v>F_01_02_WC_2030</v>
      </c>
      <c r="W7" s="6">
        <f>IF(D7="Yes",S7*Tab_Data_Flows[[#This Row],[WC_'[%']]],"N.A.")</f>
        <v>90798.206577163117</v>
      </c>
      <c r="X7" s="6" t="str">
        <f>Tab_Data_Flows[[#This Row],[UoM_Flow_Py]]</f>
        <v>Mg</v>
      </c>
      <c r="Y7" s="139">
        <f>INDEX(Tab_Def_Flows[[Flow_ID]:[CC_DM_source]],MATCH(Tab_Data_Flows[[#This Row],[Flow_Name]],Tab_Def_Flows[Flow_Name],0),14)</f>
        <v>0.76158038205651879</v>
      </c>
      <c r="Z7" s="6" t="str">
        <f>Tab_Data_Flows[[#This Row],[Flow_ID]]&amp;"_"&amp;"DM_"&amp;Tab_Data_Flows[[#This Row],[Flow_Data_Year]]</f>
        <v>F_01_02_DM_2030</v>
      </c>
      <c r="AA7" s="6">
        <f>IF(E7="Yes",Y7*Tab_Data_Flows[[#This Row],[Flow_Material]],"N.A.")</f>
        <v>290035.41508683685</v>
      </c>
      <c r="AB7" s="6" t="str">
        <f>Tab_Data_Flows[[#This Row],[UoM_Flow_Py]]</f>
        <v>Mg</v>
      </c>
      <c r="AC7" s="139">
        <f>INDEX(Tab_Def_Flows[[Flow_ID]:[CC_DM_source]],MATCH(Tab_Data_Flows[[#This Row],[Flow_Name]],Tab_Def_Flows[Flow_Name],0),17)</f>
        <v>0</v>
      </c>
      <c r="AD7" s="6" t="str">
        <f>Tab_Data_Flows[[#This Row],[Flow_ID]]&amp;"_"&amp;"CC_"&amp;Tab_Data_Flows[[#This Row],[Flow_Data_Year]]</f>
        <v>F_01_02_CC_2030</v>
      </c>
      <c r="AE7" s="6">
        <f>IF(F7="Yes",AC7*Tab_Data_Flows[[#This Row],[Flow_Material]]*Tab_Data_Flows[[#This Row],[DM_'[%']]],"N.A.")</f>
        <v>0</v>
      </c>
      <c r="AF7" s="6" t="str">
        <f>Tab_Data_Flows[[#This Row],[UoM_Flow_Py]]</f>
        <v>Mg</v>
      </c>
      <c r="AG7"/>
    </row>
    <row r="8" spans="1:33" x14ac:dyDescent="0.25">
      <c r="A8" s="8">
        <f t="shared" si="1"/>
        <v>7</v>
      </c>
      <c r="B8" s="6" t="str">
        <f>_xlfn.XLOOKUP(C8,Tab_Def_Flows[Flow_Name],Tab_Def_Flows[Flow_ID],,0,)</f>
        <v>F_01_02</v>
      </c>
      <c r="C8" s="138" t="s">
        <v>475</v>
      </c>
      <c r="D8" s="9" t="str">
        <f>_xlfn.XLOOKUP(C8,Tab_Def_Flows[Flow_Name],Tab_Def_Flows[WC?],,0,)</f>
        <v>Yes</v>
      </c>
      <c r="E8" s="9" t="str">
        <f>_xlfn.XLOOKUP(C8,Tab_Def_Flows[Flow_Name],Tab_Def_Flows[DM?],,0,)</f>
        <v>Yes</v>
      </c>
      <c r="F8" s="9" t="str">
        <f>_xlfn.XLOOKUP(C8,Tab_Def_Flows[Flow_Name],Tab_Def_Flows[CC?],,0,)</f>
        <v>Yes</v>
      </c>
      <c r="G8" s="7">
        <v>2031</v>
      </c>
      <c r="H8" s="21">
        <v>556803.41583999991</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556803.41583999991</v>
      </c>
      <c r="T8" s="6" t="str">
        <f>Tab_Data_Flows[[#This Row],[UoM_Source]]</f>
        <v>Mg</v>
      </c>
      <c r="U8" s="139">
        <f>INDEX(Tab_Def_Flows[[Flow_ID]:[CC_DM_source]],MATCH(Tab_Data_Flows[[#This Row],[Flow_Name]],Tab_Def_Flows[Flow_Name],0),11)</f>
        <v>0.23841961794348115</v>
      </c>
      <c r="V8" s="6" t="str">
        <f>Tab_Data_Flows[[#This Row],[Flow_ID]]&amp;"_"&amp;"WC_"&amp;Tab_Data_Flows[[#This Row],[Flow_Data_Year]]</f>
        <v>F_01_02_WC_2031</v>
      </c>
      <c r="W8" s="6">
        <f>IF(D8="Yes",S8*Tab_Data_Flows[[#This Row],[WC_'[%']]],"N.A.")</f>
        <v>132752.85767419805</v>
      </c>
      <c r="X8" s="6" t="str">
        <f>Tab_Data_Flows[[#This Row],[UoM_Flow_Py]]</f>
        <v>Mg</v>
      </c>
      <c r="Y8" s="139">
        <f>INDEX(Tab_Def_Flows[[Flow_ID]:[CC_DM_source]],MATCH(Tab_Data_Flows[[#This Row],[Flow_Name]],Tab_Def_Flows[Flow_Name],0),14)</f>
        <v>0.76158038205651879</v>
      </c>
      <c r="Z8" s="6" t="str">
        <f>Tab_Data_Flows[[#This Row],[Flow_ID]]&amp;"_"&amp;"DM_"&amp;Tab_Data_Flows[[#This Row],[Flow_Data_Year]]</f>
        <v>F_01_02_DM_2031</v>
      </c>
      <c r="AA8" s="6">
        <f>IF(E8="Yes",Y8*Tab_Data_Flows[[#This Row],[Flow_Material]],"N.A.")</f>
        <v>424050.55816580186</v>
      </c>
      <c r="AB8" s="6" t="str">
        <f>Tab_Data_Flows[[#This Row],[UoM_Flow_Py]]</f>
        <v>Mg</v>
      </c>
      <c r="AC8" s="139">
        <f>INDEX(Tab_Def_Flows[[Flow_ID]:[CC_DM_source]],MATCH(Tab_Data_Flows[[#This Row],[Flow_Name]],Tab_Def_Flows[Flow_Name],0),17)</f>
        <v>0</v>
      </c>
      <c r="AD8" s="6" t="str">
        <f>Tab_Data_Flows[[#This Row],[Flow_ID]]&amp;"_"&amp;"CC_"&amp;Tab_Data_Flows[[#This Row],[Flow_Data_Year]]</f>
        <v>F_01_02_CC_2031</v>
      </c>
      <c r="AE8" s="6">
        <f>IF(F8="Yes",AC8*Tab_Data_Flows[[#This Row],[Flow_Material]]*Tab_Data_Flows[[#This Row],[DM_'[%']]],"N.A.")</f>
        <v>0</v>
      </c>
      <c r="AF8" s="6" t="str">
        <f>Tab_Data_Flows[[#This Row],[UoM_Flow_Py]]</f>
        <v>Mg</v>
      </c>
      <c r="AG8"/>
    </row>
    <row r="9" spans="1:33" x14ac:dyDescent="0.25">
      <c r="A9" s="8">
        <f t="shared" si="1"/>
        <v>8</v>
      </c>
      <c r="B9" s="6" t="str">
        <f>_xlfn.XLOOKUP(C9,Tab_Def_Flows[Flow_Name],Tab_Def_Flows[Flow_ID],,0,)</f>
        <v>F_01_02</v>
      </c>
      <c r="C9" s="138" t="s">
        <v>475</v>
      </c>
      <c r="D9" s="9" t="str">
        <f>_xlfn.XLOOKUP(C9,Tab_Def_Flows[Flow_Name],Tab_Def_Flows[WC?],,0,)</f>
        <v>Yes</v>
      </c>
      <c r="E9" s="9" t="str">
        <f>_xlfn.XLOOKUP(C9,Tab_Def_Flows[Flow_Name],Tab_Def_Flows[DM?],,0,)</f>
        <v>Yes</v>
      </c>
      <c r="F9" s="9" t="str">
        <f>_xlfn.XLOOKUP(C9,Tab_Def_Flows[Flow_Name],Tab_Def_Flows[CC?],,0,)</f>
        <v>Yes</v>
      </c>
      <c r="G9" s="7">
        <v>2032</v>
      </c>
      <c r="H9" s="21">
        <v>502531.19747200003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502531.19747200003</v>
      </c>
      <c r="T9" s="6" t="str">
        <f>Tab_Data_Flows[[#This Row],[UoM_Source]]</f>
        <v>Mg</v>
      </c>
      <c r="U9" s="139">
        <f>INDEX(Tab_Def_Flows[[Flow_ID]:[CC_DM_source]],MATCH(Tab_Data_Flows[[#This Row],[Flow_Name]],Tab_Def_Flows[Flow_Name],0),11)</f>
        <v>0.23841961794348115</v>
      </c>
      <c r="V9" s="6" t="str">
        <f>Tab_Data_Flows[[#This Row],[Flow_ID]]&amp;"_"&amp;"WC_"&amp;Tab_Data_Flows[[#This Row],[Flow_Data_Year]]</f>
        <v>F_01_02_WC_2032</v>
      </c>
      <c r="W9" s="6">
        <f>IF(D9="Yes",S9*Tab_Data_Flows[[#This Row],[WC_'[%']]],"N.A.")</f>
        <v>119813.29610595433</v>
      </c>
      <c r="X9" s="6" t="str">
        <f>Tab_Data_Flows[[#This Row],[UoM_Flow_Py]]</f>
        <v>Mg</v>
      </c>
      <c r="Y9" s="139">
        <f>INDEX(Tab_Def_Flows[[Flow_ID]:[CC_DM_source]],MATCH(Tab_Data_Flows[[#This Row],[Flow_Name]],Tab_Def_Flows[Flow_Name],0),14)</f>
        <v>0.76158038205651879</v>
      </c>
      <c r="Z9" s="6" t="str">
        <f>Tab_Data_Flows[[#This Row],[Flow_ID]]&amp;"_"&amp;"DM_"&amp;Tab_Data_Flows[[#This Row],[Flow_Data_Year]]</f>
        <v>F_01_02_DM_2032</v>
      </c>
      <c r="AA9" s="6">
        <f>IF(E9="Yes",Y9*Tab_Data_Flows[[#This Row],[Flow_Material]],"N.A.")</f>
        <v>382717.9013660457</v>
      </c>
      <c r="AB9" s="6" t="str">
        <f>Tab_Data_Flows[[#This Row],[UoM_Flow_Py]]</f>
        <v>Mg</v>
      </c>
      <c r="AC9" s="139">
        <f>INDEX(Tab_Def_Flows[[Flow_ID]:[CC_DM_source]],MATCH(Tab_Data_Flows[[#This Row],[Flow_Name]],Tab_Def_Flows[Flow_Name],0),17)</f>
        <v>0</v>
      </c>
      <c r="AD9" s="6" t="str">
        <f>Tab_Data_Flows[[#This Row],[Flow_ID]]&amp;"_"&amp;"CC_"&amp;Tab_Data_Flows[[#This Row],[Flow_Data_Year]]</f>
        <v>F_01_02_CC_2032</v>
      </c>
      <c r="AE9" s="6">
        <f>IF(F9="Yes",AC9*Tab_Data_Flows[[#This Row],[Flow_Material]]*Tab_Data_Flows[[#This Row],[DM_'[%']]],"N.A.")</f>
        <v>0</v>
      </c>
      <c r="AF9" s="6" t="str">
        <f>Tab_Data_Flows[[#This Row],[UoM_Flow_Py]]</f>
        <v>Mg</v>
      </c>
      <c r="AG9"/>
    </row>
    <row r="10" spans="1:33" x14ac:dyDescent="0.25">
      <c r="A10" s="8">
        <f t="shared" si="1"/>
        <v>9</v>
      </c>
      <c r="B10" s="6" t="str">
        <f>_xlfn.XLOOKUP(C10,Tab_Def_Flows[Flow_Name],Tab_Def_Flows[Flow_ID],,0,)</f>
        <v>F_01_02</v>
      </c>
      <c r="C10" s="138" t="s">
        <v>475</v>
      </c>
      <c r="D10" s="9" t="str">
        <f>_xlfn.XLOOKUP(C10,Tab_Def_Flows[Flow_Name],Tab_Def_Flows[WC?],,0,)</f>
        <v>Yes</v>
      </c>
      <c r="E10" s="9" t="str">
        <f>_xlfn.XLOOKUP(C10,Tab_Def_Flows[Flow_Name],Tab_Def_Flows[DM?],,0,)</f>
        <v>Yes</v>
      </c>
      <c r="F10" s="9" t="str">
        <f>_xlfn.XLOOKUP(C10,Tab_Def_Flows[Flow_Name],Tab_Def_Flows[CC?],,0,)</f>
        <v>Yes</v>
      </c>
      <c r="G10" s="7">
        <v>2033</v>
      </c>
      <c r="H10" s="21">
        <v>474340.96446400002</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474340.96446400002</v>
      </c>
      <c r="T10" s="6" t="str">
        <f>Tab_Data_Flows[[#This Row],[UoM_Source]]</f>
        <v>Mg</v>
      </c>
      <c r="U10" s="139">
        <f>INDEX(Tab_Def_Flows[[Flow_ID]:[CC_DM_source]],MATCH(Tab_Data_Flows[[#This Row],[Flow_Name]],Tab_Def_Flows[Flow_Name],0),11)</f>
        <v>0.23841961794348115</v>
      </c>
      <c r="V10" s="6" t="str">
        <f>Tab_Data_Flows[[#This Row],[Flow_ID]]&amp;"_"&amp;"WC_"&amp;Tab_Data_Flows[[#This Row],[Flow_Data_Year]]</f>
        <v>F_01_02_WC_2033</v>
      </c>
      <c r="W10" s="6">
        <f>IF(D10="Yes",S10*Tab_Data_Flows[[#This Row],[WC_'[%']]],"N.A.")</f>
        <v>113092.19152244925</v>
      </c>
      <c r="X10" s="6" t="str">
        <f>Tab_Data_Flows[[#This Row],[UoM_Flow_Py]]</f>
        <v>Mg</v>
      </c>
      <c r="Y10" s="139">
        <f>INDEX(Tab_Def_Flows[[Flow_ID]:[CC_DM_source]],MATCH(Tab_Data_Flows[[#This Row],[Flow_Name]],Tab_Def_Flows[Flow_Name],0),14)</f>
        <v>0.76158038205651879</v>
      </c>
      <c r="Z10" s="6" t="str">
        <f>Tab_Data_Flows[[#This Row],[Flow_ID]]&amp;"_"&amp;"DM_"&amp;Tab_Data_Flows[[#This Row],[Flow_Data_Year]]</f>
        <v>F_01_02_DM_2033</v>
      </c>
      <c r="AA10" s="6">
        <f>IF(E10="Yes",Y10*Tab_Data_Flows[[#This Row],[Flow_Material]],"N.A.")</f>
        <v>361248.77294155076</v>
      </c>
      <c r="AB10" s="6" t="str">
        <f>Tab_Data_Flows[[#This Row],[UoM_Flow_Py]]</f>
        <v>Mg</v>
      </c>
      <c r="AC10" s="139">
        <f>INDEX(Tab_Def_Flows[[Flow_ID]:[CC_DM_source]],MATCH(Tab_Data_Flows[[#This Row],[Flow_Name]],Tab_Def_Flows[Flow_Name],0),17)</f>
        <v>0</v>
      </c>
      <c r="AD10" s="6" t="str">
        <f>Tab_Data_Flows[[#This Row],[Flow_ID]]&amp;"_"&amp;"CC_"&amp;Tab_Data_Flows[[#This Row],[Flow_Data_Year]]</f>
        <v>F_01_02_CC_2033</v>
      </c>
      <c r="AE10" s="6">
        <f>IF(F10="Yes",AC10*Tab_Data_Flows[[#This Row],[Flow_Material]]*Tab_Data_Flows[[#This Row],[DM_'[%']]],"N.A.")</f>
        <v>0</v>
      </c>
      <c r="AF10" s="6" t="str">
        <f>Tab_Data_Flows[[#This Row],[UoM_Flow_Py]]</f>
        <v>Mg</v>
      </c>
      <c r="AG10"/>
    </row>
    <row r="11" spans="1:33" x14ac:dyDescent="0.25">
      <c r="A11" s="8">
        <f t="shared" si="1"/>
        <v>10</v>
      </c>
      <c r="B11" s="6" t="str">
        <f>_xlfn.XLOOKUP(C11,Tab_Def_Flows[Flow_Name],Tab_Def_Flows[Flow_ID],,0,)</f>
        <v>F_01_02</v>
      </c>
      <c r="C11" s="138" t="s">
        <v>475</v>
      </c>
      <c r="D11" s="9" t="str">
        <f>_xlfn.XLOOKUP(C11,Tab_Def_Flows[Flow_Name],Tab_Def_Flows[WC?],,0,)</f>
        <v>Yes</v>
      </c>
      <c r="E11" s="9" t="str">
        <f>_xlfn.XLOOKUP(C11,Tab_Def_Flows[Flow_Name],Tab_Def_Flows[DM?],,0,)</f>
        <v>Yes</v>
      </c>
      <c r="F11" s="9" t="str">
        <f>_xlfn.XLOOKUP(C11,Tab_Def_Flows[Flow_Name],Tab_Def_Flows[CC?],,0,)</f>
        <v>Yes</v>
      </c>
      <c r="G11" s="7">
        <v>2034</v>
      </c>
      <c r="H11" s="21">
        <v>456549.45625600003</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456549.45625600003</v>
      </c>
      <c r="T11" s="6" t="str">
        <f>Tab_Data_Flows[[#This Row],[UoM_Source]]</f>
        <v>Mg</v>
      </c>
      <c r="U11" s="139">
        <f>INDEX(Tab_Def_Flows[[Flow_ID]:[CC_DM_source]],MATCH(Tab_Data_Flows[[#This Row],[Flow_Name]],Tab_Def_Flows[Flow_Name],0),11)</f>
        <v>0.23841961794348115</v>
      </c>
      <c r="V11" s="6" t="str">
        <f>Tab_Data_Flows[[#This Row],[Flow_ID]]&amp;"_"&amp;"WC_"&amp;Tab_Data_Flows[[#This Row],[Flow_Data_Year]]</f>
        <v>F_01_02_WC_2034</v>
      </c>
      <c r="W11" s="6">
        <f>IF(D11="Yes",S11*Tab_Data_Flows[[#This Row],[WC_'[%']]],"N.A.")</f>
        <v>108850.3469328596</v>
      </c>
      <c r="X11" s="6" t="str">
        <f>Tab_Data_Flows[[#This Row],[UoM_Flow_Py]]</f>
        <v>Mg</v>
      </c>
      <c r="Y11" s="139">
        <f>INDEX(Tab_Def_Flows[[Flow_ID]:[CC_DM_source]],MATCH(Tab_Data_Flows[[#This Row],[Flow_Name]],Tab_Def_Flows[Flow_Name],0),14)</f>
        <v>0.76158038205651879</v>
      </c>
      <c r="Z11" s="6" t="str">
        <f>Tab_Data_Flows[[#This Row],[Flow_ID]]&amp;"_"&amp;"DM_"&amp;Tab_Data_Flows[[#This Row],[Flow_Data_Year]]</f>
        <v>F_01_02_DM_2034</v>
      </c>
      <c r="AA11" s="6">
        <f>IF(E11="Yes",Y11*Tab_Data_Flows[[#This Row],[Flow_Material]],"N.A.")</f>
        <v>347699.10932314041</v>
      </c>
      <c r="AB11" s="6" t="str">
        <f>Tab_Data_Flows[[#This Row],[UoM_Flow_Py]]</f>
        <v>Mg</v>
      </c>
      <c r="AC11" s="139">
        <f>INDEX(Tab_Def_Flows[[Flow_ID]:[CC_DM_source]],MATCH(Tab_Data_Flows[[#This Row],[Flow_Name]],Tab_Def_Flows[Flow_Name],0),17)</f>
        <v>0</v>
      </c>
      <c r="AD11" s="6" t="str">
        <f>Tab_Data_Flows[[#This Row],[Flow_ID]]&amp;"_"&amp;"CC_"&amp;Tab_Data_Flows[[#This Row],[Flow_Data_Year]]</f>
        <v>F_01_02_CC_2034</v>
      </c>
      <c r="AE11" s="6">
        <f>IF(F11="Yes",AC11*Tab_Data_Flows[[#This Row],[Flow_Material]]*Tab_Data_Flows[[#This Row],[DM_'[%']]],"N.A.")</f>
        <v>0</v>
      </c>
      <c r="AF11" s="6" t="str">
        <f>Tab_Data_Flows[[#This Row],[UoM_Flow_Py]]</f>
        <v>Mg</v>
      </c>
      <c r="AG11"/>
    </row>
    <row r="12" spans="1:33" x14ac:dyDescent="0.25">
      <c r="A12" s="8">
        <f t="shared" si="1"/>
        <v>11</v>
      </c>
      <c r="B12" s="6" t="str">
        <f>_xlfn.XLOOKUP(C12,Tab_Def_Flows[Flow_Name],Tab_Def_Flows[Flow_ID],,0,)</f>
        <v>F_01_02</v>
      </c>
      <c r="C12" s="138" t="s">
        <v>475</v>
      </c>
      <c r="D12" s="9" t="str">
        <f>_xlfn.XLOOKUP(C12,Tab_Def_Flows[Flow_Name],Tab_Def_Flows[WC?],,0,)</f>
        <v>Yes</v>
      </c>
      <c r="E12" s="9" t="str">
        <f>_xlfn.XLOOKUP(C12,Tab_Def_Flows[Flow_Name],Tab_Def_Flows[DM?],,0,)</f>
        <v>Yes</v>
      </c>
      <c r="F12" s="9" t="str">
        <f>_xlfn.XLOOKUP(C12,Tab_Def_Flows[Flow_Name],Tab_Def_Flows[CC?],,0,)</f>
        <v>Yes</v>
      </c>
      <c r="G12" s="7">
        <v>2035</v>
      </c>
      <c r="H12" s="21">
        <v>477420.4174240001</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477420.4174240001</v>
      </c>
      <c r="T12" s="6" t="str">
        <f>Tab_Data_Flows[[#This Row],[UoM_Source]]</f>
        <v>Mg</v>
      </c>
      <c r="U12" s="139">
        <f>INDEX(Tab_Def_Flows[[Flow_ID]:[CC_DM_source]],MATCH(Tab_Data_Flows[[#This Row],[Flow_Name]],Tab_Def_Flows[Flow_Name],0),11)</f>
        <v>0.23841961794348115</v>
      </c>
      <c r="V12" s="6" t="str">
        <f>Tab_Data_Flows[[#This Row],[Flow_ID]]&amp;"_"&amp;"WC_"&amp;Tab_Data_Flows[[#This Row],[Flow_Data_Year]]</f>
        <v>F_01_02_WC_2035</v>
      </c>
      <c r="W12" s="6">
        <f>IF(D12="Yes",S12*Tab_Data_Flows[[#This Row],[WC_'[%']]],"N.A.")</f>
        <v>113826.3935206474</v>
      </c>
      <c r="X12" s="6" t="str">
        <f>Tab_Data_Flows[[#This Row],[UoM_Flow_Py]]</f>
        <v>Mg</v>
      </c>
      <c r="Y12" s="139">
        <f>INDEX(Tab_Def_Flows[[Flow_ID]:[CC_DM_source]],MATCH(Tab_Data_Flows[[#This Row],[Flow_Name]],Tab_Def_Flows[Flow_Name],0),14)</f>
        <v>0.76158038205651879</v>
      </c>
      <c r="Z12" s="6" t="str">
        <f>Tab_Data_Flows[[#This Row],[Flow_ID]]&amp;"_"&amp;"DM_"&amp;Tab_Data_Flows[[#This Row],[Flow_Data_Year]]</f>
        <v>F_01_02_DM_2035</v>
      </c>
      <c r="AA12" s="6">
        <f>IF(E12="Yes",Y12*Tab_Data_Flows[[#This Row],[Flow_Material]],"N.A.")</f>
        <v>363594.02390335267</v>
      </c>
      <c r="AB12" s="6" t="str">
        <f>Tab_Data_Flows[[#This Row],[UoM_Flow_Py]]</f>
        <v>Mg</v>
      </c>
      <c r="AC12" s="139">
        <f>INDEX(Tab_Def_Flows[[Flow_ID]:[CC_DM_source]],MATCH(Tab_Data_Flows[[#This Row],[Flow_Name]],Tab_Def_Flows[Flow_Name],0),17)</f>
        <v>0</v>
      </c>
      <c r="AD12" s="6" t="str">
        <f>Tab_Data_Flows[[#This Row],[Flow_ID]]&amp;"_"&amp;"CC_"&amp;Tab_Data_Flows[[#This Row],[Flow_Data_Year]]</f>
        <v>F_01_02_CC_2035</v>
      </c>
      <c r="AE12" s="6">
        <f>IF(F12="Yes",AC12*Tab_Data_Flows[[#This Row],[Flow_Material]]*Tab_Data_Flows[[#This Row],[DM_'[%']]],"N.A.")</f>
        <v>0</v>
      </c>
      <c r="AF12" s="6" t="str">
        <f>Tab_Data_Flows[[#This Row],[UoM_Flow_Py]]</f>
        <v>Mg</v>
      </c>
      <c r="AG12"/>
    </row>
    <row r="13" spans="1:33" x14ac:dyDescent="0.25">
      <c r="A13" s="8">
        <f t="shared" si="1"/>
        <v>12</v>
      </c>
      <c r="B13" s="6" t="str">
        <f>_xlfn.XLOOKUP(C13,Tab_Def_Flows[Flow_Name],Tab_Def_Flows[Flow_ID],,0,)</f>
        <v>F_01_02</v>
      </c>
      <c r="C13" s="138" t="s">
        <v>475</v>
      </c>
      <c r="D13" s="9" t="str">
        <f>_xlfn.XLOOKUP(C13,Tab_Def_Flows[Flow_Name],Tab_Def_Flows[WC?],,0,)</f>
        <v>Yes</v>
      </c>
      <c r="E13" s="9" t="str">
        <f>_xlfn.XLOOKUP(C13,Tab_Def_Flows[Flow_Name],Tab_Def_Flows[DM?],,0,)</f>
        <v>Yes</v>
      </c>
      <c r="F13" s="9" t="str">
        <f>_xlfn.XLOOKUP(C13,Tab_Def_Flows[Flow_Name],Tab_Def_Flows[CC?],,0,)</f>
        <v>Yes</v>
      </c>
      <c r="G13" s="7">
        <v>2036</v>
      </c>
      <c r="H13" s="21">
        <v>545054.39528000006</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545054.39528000006</v>
      </c>
      <c r="T13" s="6" t="str">
        <f>Tab_Data_Flows[[#This Row],[UoM_Source]]</f>
        <v>Mg</v>
      </c>
      <c r="U13" s="139">
        <f>INDEX(Tab_Def_Flows[[Flow_ID]:[CC_DM_source]],MATCH(Tab_Data_Flows[[#This Row],[Flow_Name]],Tab_Def_Flows[Flow_Name],0),11)</f>
        <v>0.23841961794348115</v>
      </c>
      <c r="V13" s="6" t="str">
        <f>Tab_Data_Flows[[#This Row],[Flow_ID]]&amp;"_"&amp;"WC_"&amp;Tab_Data_Flows[[#This Row],[Flow_Data_Year]]</f>
        <v>F_01_02_WC_2036</v>
      </c>
      <c r="W13" s="6">
        <f>IF(D13="Yes",S13*Tab_Data_Flows[[#This Row],[WC_'[%']]],"N.A.")</f>
        <v>129951.66068107277</v>
      </c>
      <c r="X13" s="6" t="str">
        <f>Tab_Data_Flows[[#This Row],[UoM_Flow_Py]]</f>
        <v>Mg</v>
      </c>
      <c r="Y13" s="139">
        <f>INDEX(Tab_Def_Flows[[Flow_ID]:[CC_DM_source]],MATCH(Tab_Data_Flows[[#This Row],[Flow_Name]],Tab_Def_Flows[Flow_Name],0),14)</f>
        <v>0.76158038205651879</v>
      </c>
      <c r="Z13" s="6" t="str">
        <f>Tab_Data_Flows[[#This Row],[Flow_ID]]&amp;"_"&amp;"DM_"&amp;Tab_Data_Flows[[#This Row],[Flow_Data_Year]]</f>
        <v>F_01_02_DM_2036</v>
      </c>
      <c r="AA13" s="6">
        <f>IF(E13="Yes",Y13*Tab_Data_Flows[[#This Row],[Flow_Material]],"N.A.")</f>
        <v>415102.73459892726</v>
      </c>
      <c r="AB13" s="6" t="str">
        <f>Tab_Data_Flows[[#This Row],[UoM_Flow_Py]]</f>
        <v>Mg</v>
      </c>
      <c r="AC13" s="139">
        <f>INDEX(Tab_Def_Flows[[Flow_ID]:[CC_DM_source]],MATCH(Tab_Data_Flows[[#This Row],[Flow_Name]],Tab_Def_Flows[Flow_Name],0),17)</f>
        <v>0</v>
      </c>
      <c r="AD13" s="6" t="str">
        <f>Tab_Data_Flows[[#This Row],[Flow_ID]]&amp;"_"&amp;"CC_"&amp;Tab_Data_Flows[[#This Row],[Flow_Data_Year]]</f>
        <v>F_01_02_CC_2036</v>
      </c>
      <c r="AE13" s="6">
        <f>IF(F13="Yes",AC13*Tab_Data_Flows[[#This Row],[Flow_Material]]*Tab_Data_Flows[[#This Row],[DM_'[%']]],"N.A.")</f>
        <v>0</v>
      </c>
      <c r="AF13" s="6" t="str">
        <f>Tab_Data_Flows[[#This Row],[UoM_Flow_Py]]</f>
        <v>Mg</v>
      </c>
      <c r="AG13"/>
    </row>
    <row r="14" spans="1:33" x14ac:dyDescent="0.25">
      <c r="A14" s="8">
        <f t="shared" si="1"/>
        <v>13</v>
      </c>
      <c r="B14" s="6" t="str">
        <f>_xlfn.XLOOKUP(C14,Tab_Def_Flows[Flow_Name],Tab_Def_Flows[Flow_ID],,0,)</f>
        <v>F_01_02</v>
      </c>
      <c r="C14" s="138" t="s">
        <v>475</v>
      </c>
      <c r="D14" s="9" t="str">
        <f>_xlfn.XLOOKUP(C14,Tab_Def_Flows[Flow_Name],Tab_Def_Flows[WC?],,0,)</f>
        <v>Yes</v>
      </c>
      <c r="E14" s="9" t="str">
        <f>_xlfn.XLOOKUP(C14,Tab_Def_Flows[Flow_Name],Tab_Def_Flows[DM?],,0,)</f>
        <v>Yes</v>
      </c>
      <c r="F14" s="9" t="str">
        <f>_xlfn.XLOOKUP(C14,Tab_Def_Flows[Flow_Name],Tab_Def_Flows[CC?],,0,)</f>
        <v>Yes</v>
      </c>
      <c r="G14" s="7">
        <v>2037</v>
      </c>
      <c r="H14" s="21">
        <v>443214.78430399997</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443214.78430399997</v>
      </c>
      <c r="T14" s="6" t="str">
        <f>Tab_Data_Flows[[#This Row],[UoM_Source]]</f>
        <v>Mg</v>
      </c>
      <c r="U14" s="139">
        <f>INDEX(Tab_Def_Flows[[Flow_ID]:[CC_DM_source]],MATCH(Tab_Data_Flows[[#This Row],[Flow_Name]],Tab_Def_Flows[Flow_Name],0),11)</f>
        <v>0.23841961794348115</v>
      </c>
      <c r="V14" s="6" t="str">
        <f>Tab_Data_Flows[[#This Row],[Flow_ID]]&amp;"_"&amp;"WC_"&amp;Tab_Data_Flows[[#This Row],[Flow_Data_Year]]</f>
        <v>F_01_02_WC_2037</v>
      </c>
      <c r="W14" s="6">
        <f>IF(D14="Yes",S14*Tab_Data_Flows[[#This Row],[WC_'[%']]],"N.A.")</f>
        <v>105671.09954066208</v>
      </c>
      <c r="X14" s="6" t="str">
        <f>Tab_Data_Flows[[#This Row],[UoM_Flow_Py]]</f>
        <v>Mg</v>
      </c>
      <c r="Y14" s="139">
        <f>INDEX(Tab_Def_Flows[[Flow_ID]:[CC_DM_source]],MATCH(Tab_Data_Flows[[#This Row],[Flow_Name]],Tab_Def_Flows[Flow_Name],0),14)</f>
        <v>0.76158038205651879</v>
      </c>
      <c r="Z14" s="6" t="str">
        <f>Tab_Data_Flows[[#This Row],[Flow_ID]]&amp;"_"&amp;"DM_"&amp;Tab_Data_Flows[[#This Row],[Flow_Data_Year]]</f>
        <v>F_01_02_DM_2037</v>
      </c>
      <c r="AA14" s="6">
        <f>IF(E14="Yes",Y14*Tab_Data_Flows[[#This Row],[Flow_Material]],"N.A.")</f>
        <v>337543.68476333789</v>
      </c>
      <c r="AB14" s="6" t="str">
        <f>Tab_Data_Flows[[#This Row],[UoM_Flow_Py]]</f>
        <v>Mg</v>
      </c>
      <c r="AC14" s="139">
        <f>INDEX(Tab_Def_Flows[[Flow_ID]:[CC_DM_source]],MATCH(Tab_Data_Flows[[#This Row],[Flow_Name]],Tab_Def_Flows[Flow_Name],0),17)</f>
        <v>0</v>
      </c>
      <c r="AD14" s="6" t="str">
        <f>Tab_Data_Flows[[#This Row],[Flow_ID]]&amp;"_"&amp;"CC_"&amp;Tab_Data_Flows[[#This Row],[Flow_Data_Year]]</f>
        <v>F_01_02_CC_2037</v>
      </c>
      <c r="AE14" s="6">
        <f>IF(F14="Yes",AC14*Tab_Data_Flows[[#This Row],[Flow_Material]]*Tab_Data_Flows[[#This Row],[DM_'[%']]],"N.A.")</f>
        <v>0</v>
      </c>
      <c r="AF14" s="6" t="str">
        <f>Tab_Data_Flows[[#This Row],[UoM_Flow_Py]]</f>
        <v>Mg</v>
      </c>
      <c r="AG14"/>
    </row>
    <row r="15" spans="1:33" x14ac:dyDescent="0.25">
      <c r="A15" s="8">
        <f t="shared" si="1"/>
        <v>14</v>
      </c>
      <c r="B15" s="6" t="str">
        <f>_xlfn.XLOOKUP(C15,Tab_Def_Flows[Flow_Name],Tab_Def_Flows[Flow_ID],,0,)</f>
        <v>F_01_02</v>
      </c>
      <c r="C15" s="138" t="s">
        <v>475</v>
      </c>
      <c r="D15" s="9" t="str">
        <f>_xlfn.XLOOKUP(C15,Tab_Def_Flows[Flow_Name],Tab_Def_Flows[WC?],,0,)</f>
        <v>Yes</v>
      </c>
      <c r="E15" s="9" t="str">
        <f>_xlfn.XLOOKUP(C15,Tab_Def_Flows[Flow_Name],Tab_Def_Flows[DM?],,0,)</f>
        <v>Yes</v>
      </c>
      <c r="F15" s="9" t="str">
        <f>_xlfn.XLOOKUP(C15,Tab_Def_Flows[Flow_Name],Tab_Def_Flows[CC?],,0,)</f>
        <v>Yes</v>
      </c>
      <c r="G15" s="7">
        <v>2038</v>
      </c>
      <c r="H15" s="21">
        <v>439915.82424000005</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439915.82424000005</v>
      </c>
      <c r="T15" s="6" t="str">
        <f>Tab_Data_Flows[[#This Row],[UoM_Source]]</f>
        <v>Mg</v>
      </c>
      <c r="U15" s="139">
        <f>INDEX(Tab_Def_Flows[[Flow_ID]:[CC_DM_source]],MATCH(Tab_Data_Flows[[#This Row],[Flow_Name]],Tab_Def_Flows[Flow_Name],0),11)</f>
        <v>0.23841961794348115</v>
      </c>
      <c r="V15" s="6" t="str">
        <f>Tab_Data_Flows[[#This Row],[Flow_ID]]&amp;"_"&amp;"WC_"&amp;Tab_Data_Flows[[#This Row],[Flow_Data_Year]]</f>
        <v>F_01_02_WC_2038</v>
      </c>
      <c r="W15" s="6">
        <f>IF(D15="Yes",S15*Tab_Data_Flows[[#This Row],[WC_'[%']]],"N.A.")</f>
        <v>104884.56274259242</v>
      </c>
      <c r="X15" s="6" t="str">
        <f>Tab_Data_Flows[[#This Row],[UoM_Flow_Py]]</f>
        <v>Mg</v>
      </c>
      <c r="Y15" s="139">
        <f>INDEX(Tab_Def_Flows[[Flow_ID]:[CC_DM_source]],MATCH(Tab_Data_Flows[[#This Row],[Flow_Name]],Tab_Def_Flows[Flow_Name],0),14)</f>
        <v>0.76158038205651879</v>
      </c>
      <c r="Z15" s="6" t="str">
        <f>Tab_Data_Flows[[#This Row],[Flow_ID]]&amp;"_"&amp;"DM_"&amp;Tab_Data_Flows[[#This Row],[Flow_Data_Year]]</f>
        <v>F_01_02_DM_2038</v>
      </c>
      <c r="AA15" s="6">
        <f>IF(E15="Yes",Y15*Tab_Data_Flows[[#This Row],[Flow_Material]],"N.A.")</f>
        <v>335031.26149740763</v>
      </c>
      <c r="AB15" s="6" t="str">
        <f>Tab_Data_Flows[[#This Row],[UoM_Flow_Py]]</f>
        <v>Mg</v>
      </c>
      <c r="AC15" s="139">
        <f>INDEX(Tab_Def_Flows[[Flow_ID]:[CC_DM_source]],MATCH(Tab_Data_Flows[[#This Row],[Flow_Name]],Tab_Def_Flows[Flow_Name],0),17)</f>
        <v>0</v>
      </c>
      <c r="AD15" s="6" t="str">
        <f>Tab_Data_Flows[[#This Row],[Flow_ID]]&amp;"_"&amp;"CC_"&amp;Tab_Data_Flows[[#This Row],[Flow_Data_Year]]</f>
        <v>F_01_02_CC_2038</v>
      </c>
      <c r="AE15" s="6">
        <f>IF(F15="Yes",AC15*Tab_Data_Flows[[#This Row],[Flow_Material]]*Tab_Data_Flows[[#This Row],[DM_'[%']]],"N.A.")</f>
        <v>0</v>
      </c>
      <c r="AF15" s="6" t="str">
        <f>Tab_Data_Flows[[#This Row],[UoM_Flow_Py]]</f>
        <v>Mg</v>
      </c>
      <c r="AG15"/>
    </row>
    <row r="16" spans="1:33" x14ac:dyDescent="0.25">
      <c r="A16" s="8">
        <f t="shared" si="1"/>
        <v>15</v>
      </c>
      <c r="B16" s="6" t="str">
        <f>_xlfn.XLOOKUP(C16,Tab_Def_Flows[Flow_Name],Tab_Def_Flows[Flow_ID],,0,)</f>
        <v>F_01_02</v>
      </c>
      <c r="C16" s="138" t="s">
        <v>475</v>
      </c>
      <c r="D16" s="9" t="str">
        <f>_xlfn.XLOOKUP(C16,Tab_Def_Flows[Flow_Name],Tab_Def_Flows[WC?],,0,)</f>
        <v>Yes</v>
      </c>
      <c r="E16" s="9" t="str">
        <f>_xlfn.XLOOKUP(C16,Tab_Def_Flows[Flow_Name],Tab_Def_Flows[DM?],,0,)</f>
        <v>Yes</v>
      </c>
      <c r="F16" s="9" t="str">
        <f>_xlfn.XLOOKUP(C16,Tab_Def_Flows[Flow_Name],Tab_Def_Flows[CC?],,0,)</f>
        <v>Yes</v>
      </c>
      <c r="G16" s="7">
        <v>2039</v>
      </c>
      <c r="H16" s="21">
        <v>509716.235392</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509716.235392</v>
      </c>
      <c r="T16" s="6" t="str">
        <f>Tab_Data_Flows[[#This Row],[UoM_Source]]</f>
        <v>Mg</v>
      </c>
      <c r="U16" s="139">
        <f>INDEX(Tab_Def_Flows[[Flow_ID]:[CC_DM_source]],MATCH(Tab_Data_Flows[[#This Row],[Flow_Name]],Tab_Def_Flows[Flow_Name],0),11)</f>
        <v>0.23841961794348115</v>
      </c>
      <c r="V16" s="6" t="str">
        <f>Tab_Data_Flows[[#This Row],[Flow_ID]]&amp;"_"&amp;"WC_"&amp;Tab_Data_Flows[[#This Row],[Flow_Data_Year]]</f>
        <v>F_01_02_WC_2039</v>
      </c>
      <c r="W16" s="6">
        <f>IF(D16="Yes",S16*Tab_Data_Flows[[#This Row],[WC_'[%']]],"N.A.")</f>
        <v>121526.35010175015</v>
      </c>
      <c r="X16" s="6" t="str">
        <f>Tab_Data_Flows[[#This Row],[UoM_Flow_Py]]</f>
        <v>Mg</v>
      </c>
      <c r="Y16" s="139">
        <f>INDEX(Tab_Def_Flows[[Flow_ID]:[CC_DM_source]],MATCH(Tab_Data_Flows[[#This Row],[Flow_Name]],Tab_Def_Flows[Flow_Name],0),14)</f>
        <v>0.76158038205651879</v>
      </c>
      <c r="Z16" s="6" t="str">
        <f>Tab_Data_Flows[[#This Row],[Flow_ID]]&amp;"_"&amp;"DM_"&amp;Tab_Data_Flows[[#This Row],[Flow_Data_Year]]</f>
        <v>F_01_02_DM_2039</v>
      </c>
      <c r="AA16" s="6">
        <f>IF(E16="Yes",Y16*Tab_Data_Flows[[#This Row],[Flow_Material]],"N.A.")</f>
        <v>388189.88529024983</v>
      </c>
      <c r="AB16" s="6" t="str">
        <f>Tab_Data_Flows[[#This Row],[UoM_Flow_Py]]</f>
        <v>Mg</v>
      </c>
      <c r="AC16" s="139">
        <f>INDEX(Tab_Def_Flows[[Flow_ID]:[CC_DM_source]],MATCH(Tab_Data_Flows[[#This Row],[Flow_Name]],Tab_Def_Flows[Flow_Name],0),17)</f>
        <v>0</v>
      </c>
      <c r="AD16" s="6" t="str">
        <f>Tab_Data_Flows[[#This Row],[Flow_ID]]&amp;"_"&amp;"CC_"&amp;Tab_Data_Flows[[#This Row],[Flow_Data_Year]]</f>
        <v>F_01_02_CC_2039</v>
      </c>
      <c r="AE16" s="6">
        <f>IF(F16="Yes",AC16*Tab_Data_Flows[[#This Row],[Flow_Material]]*Tab_Data_Flows[[#This Row],[DM_'[%']]],"N.A.")</f>
        <v>0</v>
      </c>
      <c r="AF16" s="6" t="str">
        <f>Tab_Data_Flows[[#This Row],[UoM_Flow_Py]]</f>
        <v>Mg</v>
      </c>
      <c r="AG16"/>
    </row>
    <row r="17" spans="1:33" x14ac:dyDescent="0.25">
      <c r="A17" s="8">
        <f t="shared" si="1"/>
        <v>16</v>
      </c>
      <c r="B17" s="6" t="str">
        <f>_xlfn.XLOOKUP(C17,Tab_Def_Flows[Flow_Name],Tab_Def_Flows[Flow_ID],,0,)</f>
        <v>F_01_02</v>
      </c>
      <c r="C17" s="138" t="s">
        <v>475</v>
      </c>
      <c r="D17" s="9" t="str">
        <f>_xlfn.XLOOKUP(C17,Tab_Def_Flows[Flow_Name],Tab_Def_Flows[WC?],,0,)</f>
        <v>Yes</v>
      </c>
      <c r="E17" s="9" t="str">
        <f>_xlfn.XLOOKUP(C17,Tab_Def_Flows[Flow_Name],Tab_Def_Flows[DM?],,0,)</f>
        <v>Yes</v>
      </c>
      <c r="F17" s="9" t="str">
        <f>_xlfn.XLOOKUP(C17,Tab_Def_Flows[Flow_Name],Tab_Def_Flows[CC?],,0,)</f>
        <v>Yes</v>
      </c>
      <c r="G17" s="7">
        <v>2040</v>
      </c>
      <c r="H17" s="21">
        <v>438834.65398400003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438834.65398400003</v>
      </c>
      <c r="T17" s="6" t="str">
        <f>Tab_Data_Flows[[#This Row],[UoM_Source]]</f>
        <v>Mg</v>
      </c>
      <c r="U17" s="139">
        <f>INDEX(Tab_Def_Flows[[Flow_ID]:[CC_DM_source]],MATCH(Tab_Data_Flows[[#This Row],[Flow_Name]],Tab_Def_Flows[Flow_Name],0),11)</f>
        <v>0.23841961794348115</v>
      </c>
      <c r="V17" s="6" t="str">
        <f>Tab_Data_Flows[[#This Row],[Flow_ID]]&amp;"_"&amp;"WC_"&amp;Tab_Data_Flows[[#This Row],[Flow_Data_Year]]</f>
        <v>F_01_02_WC_2040</v>
      </c>
      <c r="W17" s="6">
        <f>IF(D17="Yes",S17*Tab_Data_Flows[[#This Row],[WC_'[%']]],"N.A.")</f>
        <v>104626.79054322504</v>
      </c>
      <c r="X17" s="6" t="str">
        <f>Tab_Data_Flows[[#This Row],[UoM_Flow_Py]]</f>
        <v>Mg</v>
      </c>
      <c r="Y17" s="139">
        <f>INDEX(Tab_Def_Flows[[Flow_ID]:[CC_DM_source]],MATCH(Tab_Data_Flows[[#This Row],[Flow_Name]],Tab_Def_Flows[Flow_Name],0),14)</f>
        <v>0.76158038205651879</v>
      </c>
      <c r="Z17" s="6" t="str">
        <f>Tab_Data_Flows[[#This Row],[Flow_ID]]&amp;"_"&amp;"DM_"&amp;Tab_Data_Flows[[#This Row],[Flow_Data_Year]]</f>
        <v>F_01_02_DM_2040</v>
      </c>
      <c r="AA17" s="6">
        <f>IF(E17="Yes",Y17*Tab_Data_Flows[[#This Row],[Flow_Material]],"N.A.")</f>
        <v>334207.86344077496</v>
      </c>
      <c r="AB17" s="6" t="str">
        <f>Tab_Data_Flows[[#This Row],[UoM_Flow_Py]]</f>
        <v>Mg</v>
      </c>
      <c r="AC17" s="139">
        <f>INDEX(Tab_Def_Flows[[Flow_ID]:[CC_DM_source]],MATCH(Tab_Data_Flows[[#This Row],[Flow_Name]],Tab_Def_Flows[Flow_Name],0),17)</f>
        <v>0</v>
      </c>
      <c r="AD17" s="6" t="str">
        <f>Tab_Data_Flows[[#This Row],[Flow_ID]]&amp;"_"&amp;"CC_"&amp;Tab_Data_Flows[[#This Row],[Flow_Data_Year]]</f>
        <v>F_01_02_CC_2040</v>
      </c>
      <c r="AE17" s="6">
        <f>IF(F17="Yes",AC17*Tab_Data_Flows[[#This Row],[Flow_Material]]*Tab_Data_Flows[[#This Row],[DM_'[%']]],"N.A.")</f>
        <v>0</v>
      </c>
      <c r="AF17" s="6" t="str">
        <f>Tab_Data_Flows[[#This Row],[UoM_Flow_Py]]</f>
        <v>Mg</v>
      </c>
      <c r="AG17"/>
    </row>
    <row r="18" spans="1:33" x14ac:dyDescent="0.25">
      <c r="A18" s="8">
        <f t="shared" si="1"/>
        <v>17</v>
      </c>
      <c r="B18" s="6" t="str">
        <f>_xlfn.XLOOKUP(C18,Tab_Def_Flows[Flow_Name],Tab_Def_Flows[Flow_ID],,0,)</f>
        <v>F_01_02</v>
      </c>
      <c r="C18" s="138" t="s">
        <v>475</v>
      </c>
      <c r="D18" s="9" t="str">
        <f>_xlfn.XLOOKUP(C18,Tab_Def_Flows[Flow_Name],Tab_Def_Flows[WC?],,0,)</f>
        <v>Yes</v>
      </c>
      <c r="E18" s="9" t="str">
        <f>_xlfn.XLOOKUP(C18,Tab_Def_Flows[Flow_Name],Tab_Def_Flows[DM?],,0,)</f>
        <v>Yes</v>
      </c>
      <c r="F18" s="9" t="str">
        <f>_xlfn.XLOOKUP(C18,Tab_Def_Flows[Flow_Name],Tab_Def_Flows[CC?],,0,)</f>
        <v>Yes</v>
      </c>
      <c r="G18" s="7">
        <v>2041</v>
      </c>
      <c r="H18" s="21">
        <v>461927.99099200004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461927.99099200004</v>
      </c>
      <c r="T18" s="6" t="str">
        <f>Tab_Data_Flows[[#This Row],[UoM_Source]]</f>
        <v>Mg</v>
      </c>
      <c r="U18" s="139">
        <f>INDEX(Tab_Def_Flows[[Flow_ID]:[CC_DM_source]],MATCH(Tab_Data_Flows[[#This Row],[Flow_Name]],Tab_Def_Flows[Flow_Name],0),11)</f>
        <v>0.23841961794348115</v>
      </c>
      <c r="V18" s="6" t="str">
        <f>Tab_Data_Flows[[#This Row],[Flow_ID]]&amp;"_"&amp;"WC_"&amp;Tab_Data_Flows[[#This Row],[Flow_Data_Year]]</f>
        <v>F_01_02_WC_2041</v>
      </c>
      <c r="W18" s="6">
        <f>IF(D18="Yes",S18*Tab_Data_Flows[[#This Row],[WC_'[%']]],"N.A.")</f>
        <v>110132.69512971245</v>
      </c>
      <c r="X18" s="6" t="str">
        <f>Tab_Data_Flows[[#This Row],[UoM_Flow_Py]]</f>
        <v>Mg</v>
      </c>
      <c r="Y18" s="139">
        <f>INDEX(Tab_Def_Flows[[Flow_ID]:[CC_DM_source]],MATCH(Tab_Data_Flows[[#This Row],[Flow_Name]],Tab_Def_Flows[Flow_Name],0),14)</f>
        <v>0.76158038205651879</v>
      </c>
      <c r="Z18" s="6" t="str">
        <f>Tab_Data_Flows[[#This Row],[Flow_ID]]&amp;"_"&amp;"DM_"&amp;Tab_Data_Flows[[#This Row],[Flow_Data_Year]]</f>
        <v>F_01_02_DM_2041</v>
      </c>
      <c r="AA18" s="6">
        <f>IF(E18="Yes",Y18*Tab_Data_Flows[[#This Row],[Flow_Material]],"N.A.")</f>
        <v>351795.29586228757</v>
      </c>
      <c r="AB18" s="6" t="str">
        <f>Tab_Data_Flows[[#This Row],[UoM_Flow_Py]]</f>
        <v>Mg</v>
      </c>
      <c r="AC18" s="139">
        <f>INDEX(Tab_Def_Flows[[Flow_ID]:[CC_DM_source]],MATCH(Tab_Data_Flows[[#This Row],[Flow_Name]],Tab_Def_Flows[Flow_Name],0),17)</f>
        <v>0</v>
      </c>
      <c r="AD18" s="6" t="str">
        <f>Tab_Data_Flows[[#This Row],[Flow_ID]]&amp;"_"&amp;"CC_"&amp;Tab_Data_Flows[[#This Row],[Flow_Data_Year]]</f>
        <v>F_01_02_CC_2041</v>
      </c>
      <c r="AE18" s="6">
        <f>IF(F18="Yes",AC18*Tab_Data_Flows[[#This Row],[Flow_Material]]*Tab_Data_Flows[[#This Row],[DM_'[%']]],"N.A.")</f>
        <v>0</v>
      </c>
      <c r="AF18" s="6" t="str">
        <f>Tab_Data_Flows[[#This Row],[UoM_Flow_Py]]</f>
        <v>Mg</v>
      </c>
      <c r="AG18"/>
    </row>
    <row r="19" spans="1:33" x14ac:dyDescent="0.25">
      <c r="A19" s="8">
        <f t="shared" si="1"/>
        <v>18</v>
      </c>
      <c r="B19" s="6" t="str">
        <f>_xlfn.XLOOKUP(C19,Tab_Def_Flows[Flow_Name],Tab_Def_Flows[Flow_ID],,0,)</f>
        <v>F_01_02</v>
      </c>
      <c r="C19" s="138" t="s">
        <v>475</v>
      </c>
      <c r="D19" s="9" t="str">
        <f>_xlfn.XLOOKUP(C19,Tab_Def_Flows[Flow_Name],Tab_Def_Flows[WC?],,0,)</f>
        <v>Yes</v>
      </c>
      <c r="E19" s="9" t="str">
        <f>_xlfn.XLOOKUP(C19,Tab_Def_Flows[Flow_Name],Tab_Def_Flows[DM?],,0,)</f>
        <v>Yes</v>
      </c>
      <c r="F19" s="9" t="str">
        <f>_xlfn.XLOOKUP(C19,Tab_Def_Flows[Flow_Name],Tab_Def_Flows[CC?],,0,)</f>
        <v>Yes</v>
      </c>
      <c r="G19" s="7">
        <v>2042</v>
      </c>
      <c r="H19" s="21">
        <v>444233.05956800003</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444233.05956800003</v>
      </c>
      <c r="T19" s="6" t="str">
        <f>Tab_Data_Flows[[#This Row],[UoM_Source]]</f>
        <v>Mg</v>
      </c>
      <c r="U19" s="139">
        <f>INDEX(Tab_Def_Flows[[Flow_ID]:[CC_DM_source]],MATCH(Tab_Data_Flows[[#This Row],[Flow_Name]],Tab_Def_Flows[Flow_Name],0),11)</f>
        <v>0.23841961794348115</v>
      </c>
      <c r="V19" s="6" t="str">
        <f>Tab_Data_Flows[[#This Row],[Flow_ID]]&amp;"_"&amp;"WC_"&amp;Tab_Data_Flows[[#This Row],[Flow_Data_Year]]</f>
        <v>F_01_02_WC_2042</v>
      </c>
      <c r="W19" s="6">
        <f>IF(D19="Yes",S19*Tab_Data_Flows[[#This Row],[WC_'[%']]],"N.A.")</f>
        <v>105913.87634006627</v>
      </c>
      <c r="X19" s="6" t="str">
        <f>Tab_Data_Flows[[#This Row],[UoM_Flow_Py]]</f>
        <v>Mg</v>
      </c>
      <c r="Y19" s="139">
        <f>INDEX(Tab_Def_Flows[[Flow_ID]:[CC_DM_source]],MATCH(Tab_Data_Flows[[#This Row],[Flow_Name]],Tab_Def_Flows[Flow_Name],0),14)</f>
        <v>0.76158038205651879</v>
      </c>
      <c r="Z19" s="6" t="str">
        <f>Tab_Data_Flows[[#This Row],[Flow_ID]]&amp;"_"&amp;"DM_"&amp;Tab_Data_Flows[[#This Row],[Flow_Data_Year]]</f>
        <v>F_01_02_DM_2042</v>
      </c>
      <c r="AA19" s="6">
        <f>IF(E19="Yes",Y19*Tab_Data_Flows[[#This Row],[Flow_Material]],"N.A.")</f>
        <v>338319.18322793371</v>
      </c>
      <c r="AB19" s="6" t="str">
        <f>Tab_Data_Flows[[#This Row],[UoM_Flow_Py]]</f>
        <v>Mg</v>
      </c>
      <c r="AC19" s="139">
        <f>INDEX(Tab_Def_Flows[[Flow_ID]:[CC_DM_source]],MATCH(Tab_Data_Flows[[#This Row],[Flow_Name]],Tab_Def_Flows[Flow_Name],0),17)</f>
        <v>0</v>
      </c>
      <c r="AD19" s="6" t="str">
        <f>Tab_Data_Flows[[#This Row],[Flow_ID]]&amp;"_"&amp;"CC_"&amp;Tab_Data_Flows[[#This Row],[Flow_Data_Year]]</f>
        <v>F_01_02_CC_2042</v>
      </c>
      <c r="AE19" s="6">
        <f>IF(F19="Yes",AC19*Tab_Data_Flows[[#This Row],[Flow_Material]]*Tab_Data_Flows[[#This Row],[DM_'[%']]],"N.A.")</f>
        <v>0</v>
      </c>
      <c r="AF19" s="6" t="str">
        <f>Tab_Data_Flows[[#This Row],[UoM_Flow_Py]]</f>
        <v>Mg</v>
      </c>
      <c r="AG19"/>
    </row>
    <row r="20" spans="1:33" x14ac:dyDescent="0.25">
      <c r="A20" s="8">
        <f t="shared" si="1"/>
        <v>19</v>
      </c>
      <c r="B20" s="6" t="str">
        <f>_xlfn.XLOOKUP(C20,Tab_Def_Flows[Flow_Name],Tab_Def_Flows[Flow_ID],,0,)</f>
        <v>F_01_02</v>
      </c>
      <c r="C20" s="138" t="s">
        <v>475</v>
      </c>
      <c r="D20" s="9" t="str">
        <f>_xlfn.XLOOKUP(C20,Tab_Def_Flows[Flow_Name],Tab_Def_Flows[WC?],,0,)</f>
        <v>Yes</v>
      </c>
      <c r="E20" s="9" t="str">
        <f>_xlfn.XLOOKUP(C20,Tab_Def_Flows[Flow_Name],Tab_Def_Flows[DM?],,0,)</f>
        <v>Yes</v>
      </c>
      <c r="F20" s="9" t="str">
        <f>_xlfn.XLOOKUP(C20,Tab_Def_Flows[Flow_Name],Tab_Def_Flows[CC?],,0,)</f>
        <v>Yes</v>
      </c>
      <c r="G20" s="7">
        <v>2043</v>
      </c>
      <c r="H20" s="21">
        <v>387514.71867199999</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387514.71867199999</v>
      </c>
      <c r="T20" s="6" t="str">
        <f>Tab_Data_Flows[[#This Row],[UoM_Source]]</f>
        <v>Mg</v>
      </c>
      <c r="U20" s="139">
        <f>INDEX(Tab_Def_Flows[[Flow_ID]:[CC_DM_source]],MATCH(Tab_Data_Flows[[#This Row],[Flow_Name]],Tab_Def_Flows[Flow_Name],0),11)</f>
        <v>0.23841961794348115</v>
      </c>
      <c r="V20" s="6" t="str">
        <f>Tab_Data_Flows[[#This Row],[Flow_ID]]&amp;"_"&amp;"WC_"&amp;Tab_Data_Flows[[#This Row],[Flow_Data_Year]]</f>
        <v>F_01_02_WC_2043</v>
      </c>
      <c r="W20" s="6">
        <f>IF(D20="Yes",S20*Tab_Data_Flows[[#This Row],[WC_'[%']]],"N.A.")</f>
        <v>92391.111173253827</v>
      </c>
      <c r="X20" s="6" t="str">
        <f>Tab_Data_Flows[[#This Row],[UoM_Flow_Py]]</f>
        <v>Mg</v>
      </c>
      <c r="Y20" s="139">
        <f>INDEX(Tab_Def_Flows[[Flow_ID]:[CC_DM_source]],MATCH(Tab_Data_Flows[[#This Row],[Flow_Name]],Tab_Def_Flows[Flow_Name],0),14)</f>
        <v>0.76158038205651879</v>
      </c>
      <c r="Z20" s="6" t="str">
        <f>Tab_Data_Flows[[#This Row],[Flow_ID]]&amp;"_"&amp;"DM_"&amp;Tab_Data_Flows[[#This Row],[Flow_Data_Year]]</f>
        <v>F_01_02_DM_2043</v>
      </c>
      <c r="AA20" s="6">
        <f>IF(E20="Yes",Y20*Tab_Data_Flows[[#This Row],[Flow_Material]],"N.A.")</f>
        <v>295123.60749874613</v>
      </c>
      <c r="AB20" s="6" t="str">
        <f>Tab_Data_Flows[[#This Row],[UoM_Flow_Py]]</f>
        <v>Mg</v>
      </c>
      <c r="AC20" s="139">
        <f>INDEX(Tab_Def_Flows[[Flow_ID]:[CC_DM_source]],MATCH(Tab_Data_Flows[[#This Row],[Flow_Name]],Tab_Def_Flows[Flow_Name],0),17)</f>
        <v>0</v>
      </c>
      <c r="AD20" s="6" t="str">
        <f>Tab_Data_Flows[[#This Row],[Flow_ID]]&amp;"_"&amp;"CC_"&amp;Tab_Data_Flows[[#This Row],[Flow_Data_Year]]</f>
        <v>F_01_02_CC_2043</v>
      </c>
      <c r="AE20" s="6">
        <f>IF(F20="Yes",AC20*Tab_Data_Flows[[#This Row],[Flow_Material]]*Tab_Data_Flows[[#This Row],[DM_'[%']]],"N.A.")</f>
        <v>0</v>
      </c>
      <c r="AF20" s="6" t="str">
        <f>Tab_Data_Flows[[#This Row],[UoM_Flow_Py]]</f>
        <v>Mg</v>
      </c>
      <c r="AG20"/>
    </row>
    <row r="21" spans="1:33" x14ac:dyDescent="0.25">
      <c r="A21" s="8">
        <f t="shared" si="1"/>
        <v>20</v>
      </c>
      <c r="B21" s="6" t="str">
        <f>_xlfn.XLOOKUP(C21,Tab_Def_Flows[Flow_Name],Tab_Def_Flows[Flow_ID],,0,)</f>
        <v>F_01_02</v>
      </c>
      <c r="C21" s="138" t="s">
        <v>475</v>
      </c>
      <c r="D21" s="9" t="str">
        <f>_xlfn.XLOOKUP(C21,Tab_Def_Flows[Flow_Name],Tab_Def_Flows[WC?],,0,)</f>
        <v>Yes</v>
      </c>
      <c r="E21" s="9" t="str">
        <f>_xlfn.XLOOKUP(C21,Tab_Def_Flows[Flow_Name],Tab_Def_Flows[DM?],,0,)</f>
        <v>Yes</v>
      </c>
      <c r="F21" s="9" t="str">
        <f>_xlfn.XLOOKUP(C21,Tab_Def_Flows[Flow_Name],Tab_Def_Flows[CC?],,0,)</f>
        <v>Yes</v>
      </c>
      <c r="G21" s="7">
        <v>2044</v>
      </c>
      <c r="H21" s="21">
        <v>370604.99108800001</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370604.99108800001</v>
      </c>
      <c r="T21" s="6" t="str">
        <f>Tab_Data_Flows[[#This Row],[UoM_Source]]</f>
        <v>Mg</v>
      </c>
      <c r="U21" s="139">
        <f>INDEX(Tab_Def_Flows[[Flow_ID]:[CC_DM_source]],MATCH(Tab_Data_Flows[[#This Row],[Flow_Name]],Tab_Def_Flows[Flow_Name],0),11)</f>
        <v>0.23841961794348115</v>
      </c>
      <c r="V21" s="6" t="str">
        <f>Tab_Data_Flows[[#This Row],[Flow_ID]]&amp;"_"&amp;"WC_"&amp;Tab_Data_Flows[[#This Row],[Flow_Data_Year]]</f>
        <v>F_01_02_WC_2044</v>
      </c>
      <c r="W21" s="6">
        <f>IF(D21="Yes",S21*Tab_Data_Flows[[#This Row],[WC_'[%']]],"N.A.")</f>
        <v>88359.500383148203</v>
      </c>
      <c r="X21" s="6" t="str">
        <f>Tab_Data_Flows[[#This Row],[UoM_Flow_Py]]</f>
        <v>Mg</v>
      </c>
      <c r="Y21" s="139">
        <f>INDEX(Tab_Def_Flows[[Flow_ID]:[CC_DM_source]],MATCH(Tab_Data_Flows[[#This Row],[Flow_Name]],Tab_Def_Flows[Flow_Name],0),14)</f>
        <v>0.76158038205651879</v>
      </c>
      <c r="Z21" s="6" t="str">
        <f>Tab_Data_Flows[[#This Row],[Flow_ID]]&amp;"_"&amp;"DM_"&amp;Tab_Data_Flows[[#This Row],[Flow_Data_Year]]</f>
        <v>F_01_02_DM_2044</v>
      </c>
      <c r="AA21" s="6">
        <f>IF(E21="Yes",Y21*Tab_Data_Flows[[#This Row],[Flow_Material]],"N.A.")</f>
        <v>282245.49070485181</v>
      </c>
      <c r="AB21" s="6" t="str">
        <f>Tab_Data_Flows[[#This Row],[UoM_Flow_Py]]</f>
        <v>Mg</v>
      </c>
      <c r="AC21" s="139">
        <f>INDEX(Tab_Def_Flows[[Flow_ID]:[CC_DM_source]],MATCH(Tab_Data_Flows[[#This Row],[Flow_Name]],Tab_Def_Flows[Flow_Name],0),17)</f>
        <v>0</v>
      </c>
      <c r="AD21" s="6" t="str">
        <f>Tab_Data_Flows[[#This Row],[Flow_ID]]&amp;"_"&amp;"CC_"&amp;Tab_Data_Flows[[#This Row],[Flow_Data_Year]]</f>
        <v>F_01_02_CC_2044</v>
      </c>
      <c r="AE21" s="6">
        <f>IF(F21="Yes",AC21*Tab_Data_Flows[[#This Row],[Flow_Material]]*Tab_Data_Flows[[#This Row],[DM_'[%']]],"N.A.")</f>
        <v>0</v>
      </c>
      <c r="AF21" s="6" t="str">
        <f>Tab_Data_Flows[[#This Row],[UoM_Flow_Py]]</f>
        <v>Mg</v>
      </c>
      <c r="AG21"/>
    </row>
    <row r="22" spans="1:33" x14ac:dyDescent="0.25">
      <c r="A22" s="8">
        <f t="shared" si="1"/>
        <v>21</v>
      </c>
      <c r="B22" s="6" t="str">
        <f>_xlfn.XLOOKUP(C22,Tab_Def_Flows[Flow_Name],Tab_Def_Flows[Flow_ID],,0,)</f>
        <v>F_01_02</v>
      </c>
      <c r="C22" s="138" t="s">
        <v>475</v>
      </c>
      <c r="D22" s="9" t="str">
        <f>_xlfn.XLOOKUP(C22,Tab_Def_Flows[Flow_Name],Tab_Def_Flows[WC?],,0,)</f>
        <v>Yes</v>
      </c>
      <c r="E22" s="9" t="str">
        <f>_xlfn.XLOOKUP(C22,Tab_Def_Flows[Flow_Name],Tab_Def_Flows[DM?],,0,)</f>
        <v>Yes</v>
      </c>
      <c r="F22" s="9" t="str">
        <f>_xlfn.XLOOKUP(C22,Tab_Def_Flows[Flow_Name],Tab_Def_Flows[CC?],,0,)</f>
        <v>Yes</v>
      </c>
      <c r="G22" s="7">
        <v>2045</v>
      </c>
      <c r="H22" s="21">
        <v>558308.41531199997</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558308.41531199997</v>
      </c>
      <c r="T22" s="6" t="str">
        <f>Tab_Data_Flows[[#This Row],[UoM_Source]]</f>
        <v>Mg</v>
      </c>
      <c r="U22" s="139">
        <f>INDEX(Tab_Def_Flows[[Flow_ID]:[CC_DM_source]],MATCH(Tab_Data_Flows[[#This Row],[Flow_Name]],Tab_Def_Flows[Flow_Name],0),11)</f>
        <v>0.23841961794348115</v>
      </c>
      <c r="V22" s="6" t="str">
        <f>Tab_Data_Flows[[#This Row],[Flow_ID]]&amp;"_"&amp;"WC_"&amp;Tab_Data_Flows[[#This Row],[Flow_Data_Year]]</f>
        <v>F_01_02_WC_2045</v>
      </c>
      <c r="W22" s="6">
        <f>IF(D22="Yes",S22*Tab_Data_Flows[[#This Row],[WC_'[%']]],"N.A.")</f>
        <v>133111.67907331744</v>
      </c>
      <c r="X22" s="6" t="str">
        <f>Tab_Data_Flows[[#This Row],[UoM_Flow_Py]]</f>
        <v>Mg</v>
      </c>
      <c r="Y22" s="139">
        <f>INDEX(Tab_Def_Flows[[Flow_ID]:[CC_DM_source]],MATCH(Tab_Data_Flows[[#This Row],[Flow_Name]],Tab_Def_Flows[Flow_Name],0),14)</f>
        <v>0.76158038205651879</v>
      </c>
      <c r="Z22" s="6" t="str">
        <f>Tab_Data_Flows[[#This Row],[Flow_ID]]&amp;"_"&amp;"DM_"&amp;Tab_Data_Flows[[#This Row],[Flow_Data_Year]]</f>
        <v>F_01_02_DM_2045</v>
      </c>
      <c r="AA22" s="6">
        <f>IF(E22="Yes",Y22*Tab_Data_Flows[[#This Row],[Flow_Material]],"N.A.")</f>
        <v>425196.73623868253</v>
      </c>
      <c r="AB22" s="6" t="str">
        <f>Tab_Data_Flows[[#This Row],[UoM_Flow_Py]]</f>
        <v>Mg</v>
      </c>
      <c r="AC22" s="139">
        <f>INDEX(Tab_Def_Flows[[Flow_ID]:[CC_DM_source]],MATCH(Tab_Data_Flows[[#This Row],[Flow_Name]],Tab_Def_Flows[Flow_Name],0),17)</f>
        <v>0</v>
      </c>
      <c r="AD22" s="6" t="str">
        <f>Tab_Data_Flows[[#This Row],[Flow_ID]]&amp;"_"&amp;"CC_"&amp;Tab_Data_Flows[[#This Row],[Flow_Data_Year]]</f>
        <v>F_01_02_CC_2045</v>
      </c>
      <c r="AE22" s="6">
        <f>IF(F22="Yes",AC22*Tab_Data_Flows[[#This Row],[Flow_Material]]*Tab_Data_Flows[[#This Row],[DM_'[%']]],"N.A.")</f>
        <v>0</v>
      </c>
      <c r="AF22" s="6" t="str">
        <f>Tab_Data_Flows[[#This Row],[UoM_Flow_Py]]</f>
        <v>Mg</v>
      </c>
      <c r="AG22"/>
    </row>
    <row r="23" spans="1:33" x14ac:dyDescent="0.25">
      <c r="A23" s="8">
        <f t="shared" si="1"/>
        <v>22</v>
      </c>
      <c r="B23" s="6" t="str">
        <f>_xlfn.XLOOKUP(C23,Tab_Def_Flows[Flow_Name],Tab_Def_Flows[Flow_ID],,0,)</f>
        <v>F_01_02</v>
      </c>
      <c r="C23" s="138" t="s">
        <v>475</v>
      </c>
      <c r="D23" s="9" t="str">
        <f>_xlfn.XLOOKUP(C23,Tab_Def_Flows[Flow_Name],Tab_Def_Flows[WC?],,0,)</f>
        <v>Yes</v>
      </c>
      <c r="E23" s="9" t="str">
        <f>_xlfn.XLOOKUP(C23,Tab_Def_Flows[Flow_Name],Tab_Def_Flows[DM?],,0,)</f>
        <v>Yes</v>
      </c>
      <c r="F23" s="9" t="str">
        <f>_xlfn.XLOOKUP(C23,Tab_Def_Flows[Flow_Name],Tab_Def_Flows[CC?],,0,)</f>
        <v>Yes</v>
      </c>
      <c r="G23" s="7">
        <v>2046</v>
      </c>
      <c r="H23" s="21">
        <v>531973.29390399996</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531973.29390399996</v>
      </c>
      <c r="T23" s="6" t="str">
        <f>Tab_Data_Flows[[#This Row],[UoM_Source]]</f>
        <v>Mg</v>
      </c>
      <c r="U23" s="139">
        <f>INDEX(Tab_Def_Flows[[Flow_ID]:[CC_DM_source]],MATCH(Tab_Data_Flows[[#This Row],[Flow_Name]],Tab_Def_Flows[Flow_Name],0),11)</f>
        <v>0.23841961794348115</v>
      </c>
      <c r="V23" s="6" t="str">
        <f>Tab_Data_Flows[[#This Row],[Flow_ID]]&amp;"_"&amp;"WC_"&amp;Tab_Data_Flows[[#This Row],[Flow_Data_Year]]</f>
        <v>F_01_02_WC_2046</v>
      </c>
      <c r="W23" s="6">
        <f>IF(D23="Yes",S23*Tab_Data_Flows[[#This Row],[WC_'[%']]],"N.A.")</f>
        <v>126832.86948872688</v>
      </c>
      <c r="X23" s="6" t="str">
        <f>Tab_Data_Flows[[#This Row],[UoM_Flow_Py]]</f>
        <v>Mg</v>
      </c>
      <c r="Y23" s="139">
        <f>INDEX(Tab_Def_Flows[[Flow_ID]:[CC_DM_source]],MATCH(Tab_Data_Flows[[#This Row],[Flow_Name]],Tab_Def_Flows[Flow_Name],0),14)</f>
        <v>0.76158038205651879</v>
      </c>
      <c r="Z23" s="6" t="str">
        <f>Tab_Data_Flows[[#This Row],[Flow_ID]]&amp;"_"&amp;"DM_"&amp;Tab_Data_Flows[[#This Row],[Flow_Data_Year]]</f>
        <v>F_01_02_DM_2046</v>
      </c>
      <c r="AA23" s="6">
        <f>IF(E23="Yes",Y23*Tab_Data_Flows[[#This Row],[Flow_Material]],"N.A.")</f>
        <v>405140.42441527307</v>
      </c>
      <c r="AB23" s="6" t="str">
        <f>Tab_Data_Flows[[#This Row],[UoM_Flow_Py]]</f>
        <v>Mg</v>
      </c>
      <c r="AC23" s="139">
        <f>INDEX(Tab_Def_Flows[[Flow_ID]:[CC_DM_source]],MATCH(Tab_Data_Flows[[#This Row],[Flow_Name]],Tab_Def_Flows[Flow_Name],0),17)</f>
        <v>0</v>
      </c>
      <c r="AD23" s="6" t="str">
        <f>Tab_Data_Flows[[#This Row],[Flow_ID]]&amp;"_"&amp;"CC_"&amp;Tab_Data_Flows[[#This Row],[Flow_Data_Year]]</f>
        <v>F_01_02_CC_2046</v>
      </c>
      <c r="AE23" s="6">
        <f>IF(F23="Yes",AC23*Tab_Data_Flows[[#This Row],[Flow_Material]]*Tab_Data_Flows[[#This Row],[DM_'[%']]],"N.A.")</f>
        <v>0</v>
      </c>
      <c r="AF23" s="6" t="str">
        <f>Tab_Data_Flows[[#This Row],[UoM_Flow_Py]]</f>
        <v>Mg</v>
      </c>
      <c r="AG23"/>
    </row>
    <row r="24" spans="1:33" x14ac:dyDescent="0.25">
      <c r="A24" s="8">
        <f t="shared" si="1"/>
        <v>23</v>
      </c>
      <c r="B24" s="6" t="str">
        <f>_xlfn.XLOOKUP(C24,Tab_Def_Flows[Flow_Name],Tab_Def_Flows[Flow_ID],,0,)</f>
        <v>F_01_02</v>
      </c>
      <c r="C24" s="138" t="s">
        <v>475</v>
      </c>
      <c r="D24" s="9" t="str">
        <f>_xlfn.XLOOKUP(C24,Tab_Def_Flows[Flow_Name],Tab_Def_Flows[WC?],,0,)</f>
        <v>Yes</v>
      </c>
      <c r="E24" s="9" t="str">
        <f>_xlfn.XLOOKUP(C24,Tab_Def_Flows[Flow_Name],Tab_Def_Flows[DM?],,0,)</f>
        <v>Yes</v>
      </c>
      <c r="F24" s="9" t="str">
        <f>_xlfn.XLOOKUP(C24,Tab_Def_Flows[Flow_Name],Tab_Def_Flows[CC?],,0,)</f>
        <v>Yes</v>
      </c>
      <c r="G24" s="7">
        <v>2047</v>
      </c>
      <c r="H24" s="21">
        <v>427529.45092800003</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427529.45092800003</v>
      </c>
      <c r="T24" s="6" t="str">
        <f>Tab_Data_Flows[[#This Row],[UoM_Source]]</f>
        <v>Mg</v>
      </c>
      <c r="U24" s="139">
        <f>INDEX(Tab_Def_Flows[[Flow_ID]:[CC_DM_source]],MATCH(Tab_Data_Flows[[#This Row],[Flow_Name]],Tab_Def_Flows[Flow_Name],0),11)</f>
        <v>0.23841961794348115</v>
      </c>
      <c r="V24" s="6" t="str">
        <f>Tab_Data_Flows[[#This Row],[Flow_ID]]&amp;"_"&amp;"WC_"&amp;Tab_Data_Flows[[#This Row],[Flow_Data_Year]]</f>
        <v>F_01_02_WC_2047</v>
      </c>
      <c r="W24" s="6">
        <f>IF(D24="Yes",S24*Tab_Data_Flows[[#This Row],[WC_'[%']]],"N.A.")</f>
        <v>101931.40834984004</v>
      </c>
      <c r="X24" s="6" t="str">
        <f>Tab_Data_Flows[[#This Row],[UoM_Flow_Py]]</f>
        <v>Mg</v>
      </c>
      <c r="Y24" s="139">
        <f>INDEX(Tab_Def_Flows[[Flow_ID]:[CC_DM_source]],MATCH(Tab_Data_Flows[[#This Row],[Flow_Name]],Tab_Def_Flows[Flow_Name],0),14)</f>
        <v>0.76158038205651879</v>
      </c>
      <c r="Z24" s="6" t="str">
        <f>Tab_Data_Flows[[#This Row],[Flow_ID]]&amp;"_"&amp;"DM_"&amp;Tab_Data_Flows[[#This Row],[Flow_Data_Year]]</f>
        <v>F_01_02_DM_2047</v>
      </c>
      <c r="AA24" s="6">
        <f>IF(E24="Yes",Y24*Tab_Data_Flows[[#This Row],[Flow_Material]],"N.A.")</f>
        <v>325598.04257815995</v>
      </c>
      <c r="AB24" s="6" t="str">
        <f>Tab_Data_Flows[[#This Row],[UoM_Flow_Py]]</f>
        <v>Mg</v>
      </c>
      <c r="AC24" s="139">
        <f>INDEX(Tab_Def_Flows[[Flow_ID]:[CC_DM_source]],MATCH(Tab_Data_Flows[[#This Row],[Flow_Name]],Tab_Def_Flows[Flow_Name],0),17)</f>
        <v>0</v>
      </c>
      <c r="AD24" s="6" t="str">
        <f>Tab_Data_Flows[[#This Row],[Flow_ID]]&amp;"_"&amp;"CC_"&amp;Tab_Data_Flows[[#This Row],[Flow_Data_Year]]</f>
        <v>F_01_02_CC_2047</v>
      </c>
      <c r="AE24" s="6">
        <f>IF(F24="Yes",AC24*Tab_Data_Flows[[#This Row],[Flow_Material]]*Tab_Data_Flows[[#This Row],[DM_'[%']]],"N.A.")</f>
        <v>0</v>
      </c>
      <c r="AF24" s="6" t="str">
        <f>Tab_Data_Flows[[#This Row],[UoM_Flow_Py]]</f>
        <v>Mg</v>
      </c>
      <c r="AG24"/>
    </row>
    <row r="25" spans="1:33" x14ac:dyDescent="0.25">
      <c r="A25" s="8">
        <f t="shared" si="1"/>
        <v>24</v>
      </c>
      <c r="B25" s="6" t="str">
        <f>_xlfn.XLOOKUP(C25,Tab_Def_Flows[Flow_Name],Tab_Def_Flows[Flow_ID],,0,)</f>
        <v>F_01_02</v>
      </c>
      <c r="C25" s="138" t="s">
        <v>475</v>
      </c>
      <c r="D25" s="9" t="str">
        <f>_xlfn.XLOOKUP(C25,Tab_Def_Flows[Flow_Name],Tab_Def_Flows[WC?],,0,)</f>
        <v>Yes</v>
      </c>
      <c r="E25" s="9" t="str">
        <f>_xlfn.XLOOKUP(C25,Tab_Def_Flows[Flow_Name],Tab_Def_Flows[DM?],,0,)</f>
        <v>Yes</v>
      </c>
      <c r="F25" s="9" t="str">
        <f>_xlfn.XLOOKUP(C25,Tab_Def_Flows[Flow_Name],Tab_Def_Flows[CC?],,0,)</f>
        <v>Yes</v>
      </c>
      <c r="G25" s="7">
        <v>2048</v>
      </c>
      <c r="H25" s="21">
        <v>527591.172976</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527591.172976</v>
      </c>
      <c r="T25" s="6" t="str">
        <f>Tab_Data_Flows[[#This Row],[UoM_Source]]</f>
        <v>Mg</v>
      </c>
      <c r="U25" s="139">
        <f>INDEX(Tab_Def_Flows[[Flow_ID]:[CC_DM_source]],MATCH(Tab_Data_Flows[[#This Row],[Flow_Name]],Tab_Def_Flows[Flow_Name],0),11)</f>
        <v>0.23841961794348115</v>
      </c>
      <c r="V25" s="6" t="str">
        <f>Tab_Data_Flows[[#This Row],[Flow_ID]]&amp;"_"&amp;"WC_"&amp;Tab_Data_Flows[[#This Row],[Flow_Data_Year]]</f>
        <v>F_01_02_WC_2048</v>
      </c>
      <c r="W25" s="6">
        <f>IF(D25="Yes",S25*Tab_Data_Flows[[#This Row],[WC_'[%']]],"N.A.")</f>
        <v>125788.085891291</v>
      </c>
      <c r="X25" s="6" t="str">
        <f>Tab_Data_Flows[[#This Row],[UoM_Flow_Py]]</f>
        <v>Mg</v>
      </c>
      <c r="Y25" s="139">
        <f>INDEX(Tab_Def_Flows[[Flow_ID]:[CC_DM_source]],MATCH(Tab_Data_Flows[[#This Row],[Flow_Name]],Tab_Def_Flows[Flow_Name],0),14)</f>
        <v>0.76158038205651879</v>
      </c>
      <c r="Z25" s="6" t="str">
        <f>Tab_Data_Flows[[#This Row],[Flow_ID]]&amp;"_"&amp;"DM_"&amp;Tab_Data_Flows[[#This Row],[Flow_Data_Year]]</f>
        <v>F_01_02_DM_2048</v>
      </c>
      <c r="AA25" s="6">
        <f>IF(E25="Yes",Y25*Tab_Data_Flows[[#This Row],[Flow_Material]],"N.A.")</f>
        <v>401803.08708470897</v>
      </c>
      <c r="AB25" s="6" t="str">
        <f>Tab_Data_Flows[[#This Row],[UoM_Flow_Py]]</f>
        <v>Mg</v>
      </c>
      <c r="AC25" s="139">
        <f>INDEX(Tab_Def_Flows[[Flow_ID]:[CC_DM_source]],MATCH(Tab_Data_Flows[[#This Row],[Flow_Name]],Tab_Def_Flows[Flow_Name],0),17)</f>
        <v>0</v>
      </c>
      <c r="AD25" s="6" t="str">
        <f>Tab_Data_Flows[[#This Row],[Flow_ID]]&amp;"_"&amp;"CC_"&amp;Tab_Data_Flows[[#This Row],[Flow_Data_Year]]</f>
        <v>F_01_02_CC_2048</v>
      </c>
      <c r="AE25" s="6">
        <f>IF(F25="Yes",AC25*Tab_Data_Flows[[#This Row],[Flow_Material]]*Tab_Data_Flows[[#This Row],[DM_'[%']]],"N.A.")</f>
        <v>0</v>
      </c>
      <c r="AF25" s="6" t="str">
        <f>Tab_Data_Flows[[#This Row],[UoM_Flow_Py]]</f>
        <v>Mg</v>
      </c>
      <c r="AG25"/>
    </row>
    <row r="26" spans="1:33" x14ac:dyDescent="0.25">
      <c r="A26" s="8">
        <f t="shared" si="1"/>
        <v>25</v>
      </c>
      <c r="B26" s="6" t="str">
        <f>_xlfn.XLOOKUP(C26,Tab_Def_Flows[Flow_Name],Tab_Def_Flows[Flow_ID],,0,)</f>
        <v>F_01_02</v>
      </c>
      <c r="C26" s="138" t="s">
        <v>475</v>
      </c>
      <c r="D26" s="9" t="str">
        <f>_xlfn.XLOOKUP(C26,Tab_Def_Flows[Flow_Name],Tab_Def_Flows[WC?],,0,)</f>
        <v>Yes</v>
      </c>
      <c r="E26" s="9" t="str">
        <f>_xlfn.XLOOKUP(C26,Tab_Def_Flows[Flow_Name],Tab_Def_Flows[DM?],,0,)</f>
        <v>Yes</v>
      </c>
      <c r="F26" s="9" t="str">
        <f>_xlfn.XLOOKUP(C26,Tab_Def_Flows[Flow_Name],Tab_Def_Flows[CC?],,0,)</f>
        <v>Yes</v>
      </c>
      <c r="G26" s="7">
        <v>2049</v>
      </c>
      <c r="H26" s="21">
        <v>501111.92920000001</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501111.92920000001</v>
      </c>
      <c r="T26" s="6" t="str">
        <f>Tab_Data_Flows[[#This Row],[UoM_Source]]</f>
        <v>Mg</v>
      </c>
      <c r="U26" s="139">
        <f>INDEX(Tab_Def_Flows[[Flow_ID]:[CC_DM_source]],MATCH(Tab_Data_Flows[[#This Row],[Flow_Name]],Tab_Def_Flows[Flow_Name],0),11)</f>
        <v>0.23841961794348115</v>
      </c>
      <c r="V26" s="6" t="str">
        <f>Tab_Data_Flows[[#This Row],[Flow_ID]]&amp;"_"&amp;"WC_"&amp;Tab_Data_Flows[[#This Row],[Flow_Data_Year]]</f>
        <v>F_01_02_WC_2049</v>
      </c>
      <c r="W26" s="6">
        <f>IF(D26="Yes",S26*Tab_Data_Flows[[#This Row],[WC_'[%']]],"N.A.")</f>
        <v>119474.91470678478</v>
      </c>
      <c r="X26" s="6" t="str">
        <f>Tab_Data_Flows[[#This Row],[UoM_Flow_Py]]</f>
        <v>Mg</v>
      </c>
      <c r="Y26" s="139">
        <f>INDEX(Tab_Def_Flows[[Flow_ID]:[CC_DM_source]],MATCH(Tab_Data_Flows[[#This Row],[Flow_Name]],Tab_Def_Flows[Flow_Name],0),14)</f>
        <v>0.76158038205651879</v>
      </c>
      <c r="Z26" s="6" t="str">
        <f>Tab_Data_Flows[[#This Row],[Flow_ID]]&amp;"_"&amp;"DM_"&amp;Tab_Data_Flows[[#This Row],[Flow_Data_Year]]</f>
        <v>F_01_02_DM_2049</v>
      </c>
      <c r="AA26" s="6">
        <f>IF(E26="Yes",Y26*Tab_Data_Flows[[#This Row],[Flow_Material]],"N.A.")</f>
        <v>381637.01449321519</v>
      </c>
      <c r="AB26" s="6" t="str">
        <f>Tab_Data_Flows[[#This Row],[UoM_Flow_Py]]</f>
        <v>Mg</v>
      </c>
      <c r="AC26" s="139">
        <f>INDEX(Tab_Def_Flows[[Flow_ID]:[CC_DM_source]],MATCH(Tab_Data_Flows[[#This Row],[Flow_Name]],Tab_Def_Flows[Flow_Name],0),17)</f>
        <v>0</v>
      </c>
      <c r="AD26" s="6" t="str">
        <f>Tab_Data_Flows[[#This Row],[Flow_ID]]&amp;"_"&amp;"CC_"&amp;Tab_Data_Flows[[#This Row],[Flow_Data_Year]]</f>
        <v>F_01_02_CC_2049</v>
      </c>
      <c r="AE26" s="6">
        <f>IF(F26="Yes",AC26*Tab_Data_Flows[[#This Row],[Flow_Material]]*Tab_Data_Flows[[#This Row],[DM_'[%']]],"N.A.")</f>
        <v>0</v>
      </c>
      <c r="AF26" s="6" t="str">
        <f>Tab_Data_Flows[[#This Row],[UoM_Flow_Py]]</f>
        <v>Mg</v>
      </c>
      <c r="AG26"/>
    </row>
    <row r="27" spans="1:33" x14ac:dyDescent="0.25">
      <c r="A27" s="8">
        <f t="shared" si="1"/>
        <v>26</v>
      </c>
      <c r="B27" s="6" t="str">
        <f>_xlfn.XLOOKUP(C27,Tab_Def_Flows[Flow_Name],Tab_Def_Flows[Flow_ID],,0,)</f>
        <v>F_01_02</v>
      </c>
      <c r="C27" s="138" t="s">
        <v>475</v>
      </c>
      <c r="D27" s="9" t="str">
        <f>_xlfn.XLOOKUP(C27,Tab_Def_Flows[Flow_Name],Tab_Def_Flows[WC?],,0,)</f>
        <v>Yes</v>
      </c>
      <c r="E27" s="9" t="str">
        <f>_xlfn.XLOOKUP(C27,Tab_Def_Flows[Flow_Name],Tab_Def_Flows[DM?],,0,)</f>
        <v>Yes</v>
      </c>
      <c r="F27" s="9" t="str">
        <f>_xlfn.XLOOKUP(C27,Tab_Def_Flows[Flow_Name],Tab_Def_Flows[CC?],,0,)</f>
        <v>Yes</v>
      </c>
      <c r="G27" s="7">
        <v>2050</v>
      </c>
      <c r="H27" s="21">
        <v>402400.13884799997</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402400.13884799997</v>
      </c>
      <c r="T27" s="6" t="str">
        <f>Tab_Data_Flows[[#This Row],[UoM_Source]]</f>
        <v>Mg</v>
      </c>
      <c r="U27" s="139">
        <f>INDEX(Tab_Def_Flows[[Flow_ID]:[CC_DM_source]],MATCH(Tab_Data_Flows[[#This Row],[Flow_Name]],Tab_Def_Flows[Flow_Name],0),11)</f>
        <v>0.23841961794348115</v>
      </c>
      <c r="V27" s="6" t="str">
        <f>Tab_Data_Flows[[#This Row],[Flow_ID]]&amp;"_"&amp;"WC_"&amp;Tab_Data_Flows[[#This Row],[Flow_Data_Year]]</f>
        <v>F_01_02_WC_2050</v>
      </c>
      <c r="W27" s="6">
        <f>IF(D27="Yes",S27*Tab_Data_Flows[[#This Row],[WC_'[%']]],"N.A.")</f>
        <v>95940.087364543928</v>
      </c>
      <c r="X27" s="6" t="str">
        <f>Tab_Data_Flows[[#This Row],[UoM_Flow_Py]]</f>
        <v>Mg</v>
      </c>
      <c r="Y27" s="139">
        <f>INDEX(Tab_Def_Flows[[Flow_ID]:[CC_DM_source]],MATCH(Tab_Data_Flows[[#This Row],[Flow_Name]],Tab_Def_Flows[Flow_Name],0),14)</f>
        <v>0.76158038205651879</v>
      </c>
      <c r="Z27" s="6" t="str">
        <f>Tab_Data_Flows[[#This Row],[Flow_ID]]&amp;"_"&amp;"DM_"&amp;Tab_Data_Flows[[#This Row],[Flow_Data_Year]]</f>
        <v>F_01_02_DM_2050</v>
      </c>
      <c r="AA27" s="6">
        <f>IF(E27="Yes",Y27*Tab_Data_Flows[[#This Row],[Flow_Material]],"N.A.")</f>
        <v>306460.05148345605</v>
      </c>
      <c r="AB27" s="6" t="str">
        <f>Tab_Data_Flows[[#This Row],[UoM_Flow_Py]]</f>
        <v>Mg</v>
      </c>
      <c r="AC27" s="139">
        <f>INDEX(Tab_Def_Flows[[Flow_ID]:[CC_DM_source]],MATCH(Tab_Data_Flows[[#This Row],[Flow_Name]],Tab_Def_Flows[Flow_Name],0),17)</f>
        <v>0</v>
      </c>
      <c r="AD27" s="6" t="str">
        <f>Tab_Data_Flows[[#This Row],[Flow_ID]]&amp;"_"&amp;"CC_"&amp;Tab_Data_Flows[[#This Row],[Flow_Data_Year]]</f>
        <v>F_01_02_CC_2050</v>
      </c>
      <c r="AE27" s="6">
        <f>IF(F27="Yes",AC27*Tab_Data_Flows[[#This Row],[Flow_Material]]*Tab_Data_Flows[[#This Row],[DM_'[%']]],"N.A.")</f>
        <v>0</v>
      </c>
      <c r="AF27" s="6" t="str">
        <f>Tab_Data_Flows[[#This Row],[UoM_Flow_Py]]</f>
        <v>Mg</v>
      </c>
      <c r="AG27"/>
    </row>
    <row r="28" spans="1:33" x14ac:dyDescent="0.25">
      <c r="A28" s="8">
        <f t="shared" si="1"/>
        <v>27</v>
      </c>
      <c r="B28" s="6" t="str">
        <f>_xlfn.XLOOKUP(C28,Tab_Def_Flows[Flow_Name],Tab_Def_Flows[Flow_ID],,0,)</f>
        <v>F_01_02</v>
      </c>
      <c r="C28" s="138" t="s">
        <v>475</v>
      </c>
      <c r="D28" s="9" t="str">
        <f>_xlfn.XLOOKUP(C28,Tab_Def_Flows[Flow_Name],Tab_Def_Flows[WC?],,0,)</f>
        <v>Yes</v>
      </c>
      <c r="E28" s="9" t="str">
        <f>_xlfn.XLOOKUP(C28,Tab_Def_Flows[Flow_Name],Tab_Def_Flows[DM?],,0,)</f>
        <v>Yes</v>
      </c>
      <c r="F28" s="9" t="str">
        <f>_xlfn.XLOOKUP(C28,Tab_Def_Flows[Flow_Name],Tab_Def_Flows[CC?],,0,)</f>
        <v>Yes</v>
      </c>
      <c r="G28" s="7">
        <v>2051</v>
      </c>
      <c r="H28" s="21">
        <v>595077.42892799992</v>
      </c>
      <c r="I28" s="6" t="str">
        <f>'0_Configuration'!$C$4</f>
        <v>Mg</v>
      </c>
      <c r="J28" s="13"/>
      <c r="K28" s="13"/>
      <c r="L28" s="13"/>
      <c r="M28" s="13"/>
      <c r="N28" s="13"/>
      <c r="O28" s="7" t="s">
        <v>6</v>
      </c>
      <c r="P28" s="7"/>
      <c r="Q28" s="7"/>
      <c r="R28" s="6" t="str">
        <f>Tab_Data_Flows[[#This Row],[Flow_ID]]&amp;"_"&amp;"material_"&amp;Tab_Data_Flows[[#This Row],[Flow_Data_Year]]</f>
        <v>F_01_02_material_2051</v>
      </c>
      <c r="S28" s="12">
        <f t="shared" si="0"/>
        <v>595077.42892799992</v>
      </c>
      <c r="T28" s="6" t="str">
        <f>Tab_Data_Flows[[#This Row],[UoM_Source]]</f>
        <v>Mg</v>
      </c>
      <c r="U28" s="139">
        <f>INDEX(Tab_Def_Flows[[Flow_ID]:[CC_DM_source]],MATCH(Tab_Data_Flows[[#This Row],[Flow_Name]],Tab_Def_Flows[Flow_Name],0),11)</f>
        <v>0.23841961794348115</v>
      </c>
      <c r="V28" s="6" t="str">
        <f>Tab_Data_Flows[[#This Row],[Flow_ID]]&amp;"_"&amp;"WC_"&amp;Tab_Data_Flows[[#This Row],[Flow_Data_Year]]</f>
        <v>F_01_02_WC_2051</v>
      </c>
      <c r="W28" s="6">
        <f>IF(D28="Yes",S28*Tab_Data_Flows[[#This Row],[WC_'[%']]],"N.A.")</f>
        <v>141878.13325180279</v>
      </c>
      <c r="X28" s="6" t="str">
        <f>Tab_Data_Flows[[#This Row],[UoM_Flow_Py]]</f>
        <v>Mg</v>
      </c>
      <c r="Y28" s="139">
        <f>INDEX(Tab_Def_Flows[[Flow_ID]:[CC_DM_source]],MATCH(Tab_Data_Flows[[#This Row],[Flow_Name]],Tab_Def_Flows[Flow_Name],0),14)</f>
        <v>0.76158038205651879</v>
      </c>
      <c r="Z28" s="6" t="str">
        <f>Tab_Data_Flows[[#This Row],[Flow_ID]]&amp;"_"&amp;"DM_"&amp;Tab_Data_Flows[[#This Row],[Flow_Data_Year]]</f>
        <v>F_01_02_DM_2051</v>
      </c>
      <c r="AA28" s="6">
        <f>IF(E28="Yes",Y28*Tab_Data_Flows[[#This Row],[Flow_Material]],"N.A.")</f>
        <v>453199.2956761971</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F_01_02_CC_2051</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F_01_02</v>
      </c>
      <c r="C29" s="138" t="s">
        <v>475</v>
      </c>
      <c r="D29" s="9" t="str">
        <f>_xlfn.XLOOKUP(C29,Tab_Def_Flows[Flow_Name],Tab_Def_Flows[WC?],,0,)</f>
        <v>Yes</v>
      </c>
      <c r="E29" s="9" t="str">
        <f>_xlfn.XLOOKUP(C29,Tab_Def_Flows[Flow_Name],Tab_Def_Flows[DM?],,0,)</f>
        <v>Yes</v>
      </c>
      <c r="F29" s="9" t="str">
        <f>_xlfn.XLOOKUP(C29,Tab_Def_Flows[Flow_Name],Tab_Def_Flows[CC?],,0,)</f>
        <v>Yes</v>
      </c>
      <c r="G29" s="7">
        <v>2052</v>
      </c>
      <c r="H29" s="21">
        <v>555064.28798400005</v>
      </c>
      <c r="I29" s="6" t="str">
        <f>'0_Configuration'!$C$4</f>
        <v>Mg</v>
      </c>
      <c r="J29" s="13"/>
      <c r="K29" s="13"/>
      <c r="L29" s="13"/>
      <c r="M29" s="13"/>
      <c r="N29" s="13"/>
      <c r="O29" s="7" t="s">
        <v>6</v>
      </c>
      <c r="P29" s="7"/>
      <c r="Q29" s="7"/>
      <c r="R29" s="6" t="str">
        <f>Tab_Data_Flows[[#This Row],[Flow_ID]]&amp;"_"&amp;"material_"&amp;Tab_Data_Flows[[#This Row],[Flow_Data_Year]]</f>
        <v>F_01_02_material_2052</v>
      </c>
      <c r="S29" s="12">
        <f t="shared" si="0"/>
        <v>555064.28798400005</v>
      </c>
      <c r="T29" s="6" t="str">
        <f>Tab_Data_Flows[[#This Row],[UoM_Source]]</f>
        <v>Mg</v>
      </c>
      <c r="U29" s="139">
        <f>INDEX(Tab_Def_Flows[[Flow_ID]:[CC_DM_source]],MATCH(Tab_Data_Flows[[#This Row],[Flow_Name]],Tab_Def_Flows[Flow_Name],0),11)</f>
        <v>0.23841961794348115</v>
      </c>
      <c r="V29" s="6" t="str">
        <f>Tab_Data_Flows[[#This Row],[Flow_ID]]&amp;"_"&amp;"WC_"&amp;Tab_Data_Flows[[#This Row],[Flow_Data_Year]]</f>
        <v>F_01_02_WC_2052</v>
      </c>
      <c r="W29" s="6">
        <f>IF(D29="Yes",S29*Tab_Data_Flows[[#This Row],[WC_'[%']]],"N.A.")</f>
        <v>132338.21547521569</v>
      </c>
      <c r="X29" s="6" t="str">
        <f>Tab_Data_Flows[[#This Row],[UoM_Flow_Py]]</f>
        <v>Mg</v>
      </c>
      <c r="Y29" s="139">
        <f>INDEX(Tab_Def_Flows[[Flow_ID]:[CC_DM_source]],MATCH(Tab_Data_Flows[[#This Row],[Flow_Name]],Tab_Def_Flows[Flow_Name],0),14)</f>
        <v>0.76158038205651879</v>
      </c>
      <c r="Z29" s="6" t="str">
        <f>Tab_Data_Flows[[#This Row],[Flow_ID]]&amp;"_"&amp;"DM_"&amp;Tab_Data_Flows[[#This Row],[Flow_Data_Year]]</f>
        <v>F_01_02_DM_2052</v>
      </c>
      <c r="AA29" s="6">
        <f>IF(E29="Yes",Y29*Tab_Data_Flows[[#This Row],[Flow_Material]],"N.A.")</f>
        <v>422726.07250878436</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F_01_02_CC_2052</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F_01_02</v>
      </c>
      <c r="C30" s="138" t="s">
        <v>475</v>
      </c>
      <c r="D30" s="9" t="str">
        <f>_xlfn.XLOOKUP(C30,Tab_Def_Flows[Flow_Name],Tab_Def_Flows[WC?],,0,)</f>
        <v>Yes</v>
      </c>
      <c r="E30" s="9" t="str">
        <f>_xlfn.XLOOKUP(C30,Tab_Def_Flows[Flow_Name],Tab_Def_Flows[DM?],,0,)</f>
        <v>Yes</v>
      </c>
      <c r="F30" s="9" t="str">
        <f>_xlfn.XLOOKUP(C30,Tab_Def_Flows[Flow_Name],Tab_Def_Flows[CC?],,0,)</f>
        <v>Yes</v>
      </c>
      <c r="G30" s="7">
        <v>2053</v>
      </c>
      <c r="H30" s="21">
        <v>481555.90260800009</v>
      </c>
      <c r="I30" s="6" t="str">
        <f>'0_Configuration'!$C$4</f>
        <v>Mg</v>
      </c>
      <c r="J30" s="13"/>
      <c r="K30" s="13"/>
      <c r="L30" s="13"/>
      <c r="M30" s="13"/>
      <c r="N30" s="13"/>
      <c r="O30" s="7" t="s">
        <v>6</v>
      </c>
      <c r="P30" s="7"/>
      <c r="Q30" s="7"/>
      <c r="R30" s="6" t="str">
        <f>Tab_Data_Flows[[#This Row],[Flow_ID]]&amp;"_"&amp;"material_"&amp;Tab_Data_Flows[[#This Row],[Flow_Data_Year]]</f>
        <v>F_01_02_material_2053</v>
      </c>
      <c r="S30" s="12">
        <f t="shared" si="0"/>
        <v>481555.90260800009</v>
      </c>
      <c r="T30" s="6" t="str">
        <f>Tab_Data_Flows[[#This Row],[UoM_Source]]</f>
        <v>Mg</v>
      </c>
      <c r="U30" s="139">
        <f>INDEX(Tab_Def_Flows[[Flow_ID]:[CC_DM_source]],MATCH(Tab_Data_Flows[[#This Row],[Flow_Name]],Tab_Def_Flows[Flow_Name],0),11)</f>
        <v>0.23841961794348115</v>
      </c>
      <c r="V30" s="6" t="str">
        <f>Tab_Data_Flows[[#This Row],[Flow_ID]]&amp;"_"&amp;"WC_"&amp;Tab_Data_Flows[[#This Row],[Flow_Data_Year]]</f>
        <v>F_01_02_WC_2053</v>
      </c>
      <c r="W30" s="6">
        <f>IF(D30="Yes",S30*Tab_Data_Flows[[#This Row],[WC_'[%']]],"N.A.")</f>
        <v>114812.37431822761</v>
      </c>
      <c r="X30" s="6" t="str">
        <f>Tab_Data_Flows[[#This Row],[UoM_Flow_Py]]</f>
        <v>Mg</v>
      </c>
      <c r="Y30" s="139">
        <f>INDEX(Tab_Def_Flows[[Flow_ID]:[CC_DM_source]],MATCH(Tab_Data_Flows[[#This Row],[Flow_Name]],Tab_Def_Flows[Flow_Name],0),14)</f>
        <v>0.76158038205651879</v>
      </c>
      <c r="Z30" s="6" t="str">
        <f>Tab_Data_Flows[[#This Row],[Flow_ID]]&amp;"_"&amp;"DM_"&amp;Tab_Data_Flows[[#This Row],[Flow_Data_Year]]</f>
        <v>F_01_02_DM_2053</v>
      </c>
      <c r="AA30" s="6">
        <f>IF(E30="Yes",Y30*Tab_Data_Flows[[#This Row],[Flow_Material]],"N.A.")</f>
        <v>366743.52828977245</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F_01_02_CC_2053</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F_01_02</v>
      </c>
      <c r="C31" s="138" t="s">
        <v>475</v>
      </c>
      <c r="D31" s="9" t="str">
        <f>_xlfn.XLOOKUP(C31,Tab_Def_Flows[Flow_Name],Tab_Def_Flows[WC?],,0,)</f>
        <v>Yes</v>
      </c>
      <c r="E31" s="9" t="str">
        <f>_xlfn.XLOOKUP(C31,Tab_Def_Flows[Flow_Name],Tab_Def_Flows[DM?],,0,)</f>
        <v>Yes</v>
      </c>
      <c r="F31" s="9" t="str">
        <f>_xlfn.XLOOKUP(C31,Tab_Def_Flows[Flow_Name],Tab_Def_Flows[CC?],,0,)</f>
        <v>Yes</v>
      </c>
      <c r="G31" s="7">
        <v>2054</v>
      </c>
      <c r="H31" s="21">
        <v>543596.76523200003</v>
      </c>
      <c r="I31" s="6" t="str">
        <f>'0_Configuration'!$C$4</f>
        <v>Mg</v>
      </c>
      <c r="J31" s="13"/>
      <c r="K31" s="13"/>
      <c r="L31" s="13"/>
      <c r="M31" s="13"/>
      <c r="N31" s="13"/>
      <c r="O31" s="7" t="s">
        <v>6</v>
      </c>
      <c r="P31" s="14"/>
      <c r="Q31" s="7"/>
      <c r="R31" s="6" t="str">
        <f>Tab_Data_Flows[[#This Row],[Flow_ID]]&amp;"_"&amp;"material_"&amp;Tab_Data_Flows[[#This Row],[Flow_Data_Year]]</f>
        <v>F_01_02_material_2054</v>
      </c>
      <c r="S31" s="12">
        <f t="shared" si="0"/>
        <v>543596.76523200003</v>
      </c>
      <c r="T31" s="6" t="str">
        <f>Tab_Data_Flows[[#This Row],[UoM_Source]]</f>
        <v>Mg</v>
      </c>
      <c r="U31" s="139">
        <f>INDEX(Tab_Def_Flows[[Flow_ID]:[CC_DM_source]],MATCH(Tab_Data_Flows[[#This Row],[Flow_Name]],Tab_Def_Flows[Flow_Name],0),11)</f>
        <v>0.23841961794348115</v>
      </c>
      <c r="V31" s="6" t="str">
        <f>Tab_Data_Flows[[#This Row],[Flow_ID]]&amp;"_"&amp;"WC_"&amp;Tab_Data_Flows[[#This Row],[Flow_Data_Year]]</f>
        <v>F_01_02_WC_2054</v>
      </c>
      <c r="W31" s="6">
        <f>IF(D31="Yes",S31*Tab_Data_Flows[[#This Row],[WC_'[%']]],"N.A.")</f>
        <v>129604.13308192567</v>
      </c>
      <c r="X31" s="6" t="str">
        <f>Tab_Data_Flows[[#This Row],[UoM_Flow_Py]]</f>
        <v>Mg</v>
      </c>
      <c r="Y31" s="139">
        <f>INDEX(Tab_Def_Flows[[Flow_ID]:[CC_DM_source]],MATCH(Tab_Data_Flows[[#This Row],[Flow_Name]],Tab_Def_Flows[Flow_Name],0),14)</f>
        <v>0.76158038205651879</v>
      </c>
      <c r="Z31" s="6" t="str">
        <f>Tab_Data_Flows[[#This Row],[Flow_ID]]&amp;"_"&amp;"DM_"&amp;Tab_Data_Flows[[#This Row],[Flow_Data_Year]]</f>
        <v>F_01_02_DM_2054</v>
      </c>
      <c r="AA31" s="6">
        <f>IF(E31="Yes",Y31*Tab_Data_Flows[[#This Row],[Flow_Material]],"N.A.")</f>
        <v>413992.63215007435</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F_01_02_CC_2054</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F_01_02</v>
      </c>
      <c r="C32" s="138" t="s">
        <v>475</v>
      </c>
      <c r="D32" s="9" t="str">
        <f>_xlfn.XLOOKUP(C32,Tab_Def_Flows[Flow_Name],Tab_Def_Flows[WC?],,0,)</f>
        <v>Yes</v>
      </c>
      <c r="E32" s="9" t="str">
        <f>_xlfn.XLOOKUP(C32,Tab_Def_Flows[Flow_Name],Tab_Def_Flows[DM?],,0,)</f>
        <v>Yes</v>
      </c>
      <c r="F32" s="9" t="str">
        <f>_xlfn.XLOOKUP(C32,Tab_Def_Flows[Flow_Name],Tab_Def_Flows[CC?],,0,)</f>
        <v>Yes</v>
      </c>
      <c r="G32" s="7">
        <v>2055</v>
      </c>
      <c r="H32" s="21">
        <v>392585.813104</v>
      </c>
      <c r="I32" s="6" t="str">
        <f>'0_Configuration'!$C$4</f>
        <v>Mg</v>
      </c>
      <c r="J32" s="13"/>
      <c r="K32" s="13"/>
      <c r="L32" s="13"/>
      <c r="M32" s="13"/>
      <c r="N32" s="13"/>
      <c r="O32" s="7" t="s">
        <v>6</v>
      </c>
      <c r="P32" s="14"/>
      <c r="Q32" s="7"/>
      <c r="R32" s="6" t="str">
        <f>Tab_Data_Flows[[#This Row],[Flow_ID]]&amp;"_"&amp;"material_"&amp;Tab_Data_Flows[[#This Row],[Flow_Data_Year]]</f>
        <v>F_01_02_material_2055</v>
      </c>
      <c r="S32" s="12">
        <f t="shared" si="0"/>
        <v>392585.813104</v>
      </c>
      <c r="T32" s="6" t="str">
        <f>Tab_Data_Flows[[#This Row],[UoM_Source]]</f>
        <v>Mg</v>
      </c>
      <c r="U32" s="139">
        <f>INDEX(Tab_Def_Flows[[Flow_ID]:[CC_DM_source]],MATCH(Tab_Data_Flows[[#This Row],[Flow_Name]],Tab_Def_Flows[Flow_Name],0),11)</f>
        <v>0.23841961794348115</v>
      </c>
      <c r="V32" s="6" t="str">
        <f>Tab_Data_Flows[[#This Row],[Flow_ID]]&amp;"_"&amp;"WC_"&amp;Tab_Data_Flows[[#This Row],[Flow_Data_Year]]</f>
        <v>F_01_02_WC_2055</v>
      </c>
      <c r="W32" s="6">
        <f>IF(D32="Yes",S32*Tab_Data_Flows[[#This Row],[WC_'[%']]],"N.A.")</f>
        <v>93600.159570286574</v>
      </c>
      <c r="X32" s="6" t="str">
        <f>Tab_Data_Flows[[#This Row],[UoM_Flow_Py]]</f>
        <v>Mg</v>
      </c>
      <c r="Y32" s="139">
        <f>INDEX(Tab_Def_Flows[[Flow_ID]:[CC_DM_source]],MATCH(Tab_Data_Flows[[#This Row],[Flow_Name]],Tab_Def_Flows[Flow_Name],0),14)</f>
        <v>0.76158038205651879</v>
      </c>
      <c r="Z32" s="6" t="str">
        <f>Tab_Data_Flows[[#This Row],[Flow_ID]]&amp;"_"&amp;"DM_"&amp;Tab_Data_Flows[[#This Row],[Flow_Data_Year]]</f>
        <v>F_01_02_DM_2055</v>
      </c>
      <c r="AA32" s="6">
        <f>IF(E32="Yes",Y32*Tab_Data_Flows[[#This Row],[Flow_Material]],"N.A.")</f>
        <v>298985.65353371343</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F_01_02_CC_2055</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F_01_02</v>
      </c>
      <c r="C33" s="138" t="s">
        <v>475</v>
      </c>
      <c r="D33" s="9" t="str">
        <f>_xlfn.XLOOKUP(C33,Tab_Def_Flows[Flow_Name],Tab_Def_Flows[WC?],,0,)</f>
        <v>Yes</v>
      </c>
      <c r="E33" s="9" t="str">
        <f>_xlfn.XLOOKUP(C33,Tab_Def_Flows[Flow_Name],Tab_Def_Flows[DM?],,0,)</f>
        <v>Yes</v>
      </c>
      <c r="F33" s="9" t="str">
        <f>_xlfn.XLOOKUP(C33,Tab_Def_Flows[Flow_Name],Tab_Def_Flows[CC?],,0,)</f>
        <v>Yes</v>
      </c>
      <c r="G33" s="7">
        <v>2056</v>
      </c>
      <c r="H33" s="21">
        <v>530172.73318400001</v>
      </c>
      <c r="I33" s="6" t="str">
        <f>'0_Configuration'!$C$4</f>
        <v>Mg</v>
      </c>
      <c r="J33" s="13"/>
      <c r="K33" s="13"/>
      <c r="L33" s="13"/>
      <c r="M33" s="13"/>
      <c r="N33" s="13"/>
      <c r="O33" s="7" t="s">
        <v>6</v>
      </c>
      <c r="P33" s="14"/>
      <c r="Q33" s="7"/>
      <c r="R33" s="6" t="str">
        <f>Tab_Data_Flows[[#This Row],[Flow_ID]]&amp;"_"&amp;"material_"&amp;Tab_Data_Flows[[#This Row],[Flow_Data_Year]]</f>
        <v>F_01_02_material_2056</v>
      </c>
      <c r="S33" s="12">
        <f t="shared" si="0"/>
        <v>530172.73318400001</v>
      </c>
      <c r="T33" s="6" t="str">
        <f>Tab_Data_Flows[[#This Row],[UoM_Source]]</f>
        <v>Mg</v>
      </c>
      <c r="U33" s="139">
        <f>INDEX(Tab_Def_Flows[[Flow_ID]:[CC_DM_source]],MATCH(Tab_Data_Flows[[#This Row],[Flow_Name]],Tab_Def_Flows[Flow_Name],0),11)</f>
        <v>0.23841961794348115</v>
      </c>
      <c r="V33" s="6" t="str">
        <f>Tab_Data_Flows[[#This Row],[Flow_ID]]&amp;"_"&amp;"WC_"&amp;Tab_Data_Flows[[#This Row],[Flow_Data_Year]]</f>
        <v>F_01_02_WC_2056</v>
      </c>
      <c r="W33" s="6">
        <f>IF(D33="Yes",S33*Tab_Data_Flows[[#This Row],[WC_'[%']]],"N.A.")</f>
        <v>126403.58048978046</v>
      </c>
      <c r="X33" s="6" t="str">
        <f>Tab_Data_Flows[[#This Row],[UoM_Flow_Py]]</f>
        <v>Mg</v>
      </c>
      <c r="Y33" s="139">
        <f>INDEX(Tab_Def_Flows[[Flow_ID]:[CC_DM_source]],MATCH(Tab_Data_Flows[[#This Row],[Flow_Name]],Tab_Def_Flows[Flow_Name],0),14)</f>
        <v>0.76158038205651879</v>
      </c>
      <c r="Z33" s="6" t="str">
        <f>Tab_Data_Flows[[#This Row],[Flow_ID]]&amp;"_"&amp;"DM_"&amp;Tab_Data_Flows[[#This Row],[Flow_Data_Year]]</f>
        <v>F_01_02_DM_2056</v>
      </c>
      <c r="AA33" s="6">
        <f>IF(E33="Yes",Y33*Tab_Data_Flows[[#This Row],[Flow_Material]],"N.A.")</f>
        <v>403769.15269421955</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F_01_02_CC_2056</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F_01_02</v>
      </c>
      <c r="C34" s="138" t="s">
        <v>475</v>
      </c>
      <c r="D34" s="9" t="str">
        <f>_xlfn.XLOOKUP(C34,Tab_Def_Flows[Flow_Name],Tab_Def_Flows[WC?],,0,)</f>
        <v>Yes</v>
      </c>
      <c r="E34" s="9" t="str">
        <f>_xlfn.XLOOKUP(C34,Tab_Def_Flows[Flow_Name],Tab_Def_Flows[DM?],,0,)</f>
        <v>Yes</v>
      </c>
      <c r="F34" s="9" t="str">
        <f>_xlfn.XLOOKUP(C34,Tab_Def_Flows[Flow_Name],Tab_Def_Flows[CC?],,0,)</f>
        <v>Yes</v>
      </c>
      <c r="G34" s="7">
        <v>2057</v>
      </c>
      <c r="H34" s="21">
        <v>581361.71115200012</v>
      </c>
      <c r="I34" s="6" t="str">
        <f>'0_Configuration'!$C$4</f>
        <v>Mg</v>
      </c>
      <c r="J34" s="13"/>
      <c r="K34" s="13"/>
      <c r="L34" s="13"/>
      <c r="M34" s="13"/>
      <c r="N34" s="13"/>
      <c r="O34" s="7" t="s">
        <v>6</v>
      </c>
      <c r="P34" s="14"/>
      <c r="Q34" s="7"/>
      <c r="R34" s="6" t="str">
        <f>Tab_Data_Flows[[#This Row],[Flow_ID]]&amp;"_"&amp;"material_"&amp;Tab_Data_Flows[[#This Row],[Flow_Data_Year]]</f>
        <v>F_01_02_material_2057</v>
      </c>
      <c r="S34" s="12">
        <f t="shared" si="0"/>
        <v>581361.71115200012</v>
      </c>
      <c r="T34" s="6" t="str">
        <f>Tab_Data_Flows[[#This Row],[UoM_Source]]</f>
        <v>Mg</v>
      </c>
      <c r="U34" s="139">
        <f>INDEX(Tab_Def_Flows[[Flow_ID]:[CC_DM_source]],MATCH(Tab_Data_Flows[[#This Row],[Flow_Name]],Tab_Def_Flows[Flow_Name],0),11)</f>
        <v>0.23841961794348115</v>
      </c>
      <c r="V34" s="6" t="str">
        <f>Tab_Data_Flows[[#This Row],[Flow_ID]]&amp;"_"&amp;"WC_"&amp;Tab_Data_Flows[[#This Row],[Flow_Data_Year]]</f>
        <v>F_01_02_WC_2057</v>
      </c>
      <c r="W34" s="6">
        <f>IF(D34="Yes",S34*Tab_Data_Flows[[#This Row],[WC_'[%']]],"N.A.")</f>
        <v>138608.03705982832</v>
      </c>
      <c r="X34" s="6" t="str">
        <f>Tab_Data_Flows[[#This Row],[UoM_Flow_Py]]</f>
        <v>Mg</v>
      </c>
      <c r="Y34" s="139">
        <f>INDEX(Tab_Def_Flows[[Flow_ID]:[CC_DM_source]],MATCH(Tab_Data_Flows[[#This Row],[Flow_Name]],Tab_Def_Flows[Flow_Name],0),14)</f>
        <v>0.76158038205651879</v>
      </c>
      <c r="Z34" s="6" t="str">
        <f>Tab_Data_Flows[[#This Row],[Flow_ID]]&amp;"_"&amp;"DM_"&amp;Tab_Data_Flows[[#This Row],[Flow_Data_Year]]</f>
        <v>F_01_02_DM_2057</v>
      </c>
      <c r="AA34" s="6">
        <f>IF(E34="Yes",Y34*Tab_Data_Flows[[#This Row],[Flow_Material]],"N.A.")</f>
        <v>442753.67409217177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F_01_02_CC_2057</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F_01_02</v>
      </c>
      <c r="C35" s="138" t="s">
        <v>475</v>
      </c>
      <c r="D35" s="9" t="str">
        <f>_xlfn.XLOOKUP(C35,Tab_Def_Flows[Flow_Name],Tab_Def_Flows[WC?],,0,)</f>
        <v>Yes</v>
      </c>
      <c r="E35" s="9" t="str">
        <f>_xlfn.XLOOKUP(C35,Tab_Def_Flows[Flow_Name],Tab_Def_Flows[DM?],,0,)</f>
        <v>Yes</v>
      </c>
      <c r="F35" s="9" t="str">
        <f>_xlfn.XLOOKUP(C35,Tab_Def_Flows[Flow_Name],Tab_Def_Flows[CC?],,0,)</f>
        <v>Yes</v>
      </c>
      <c r="G35" s="7">
        <v>2058</v>
      </c>
      <c r="H35" s="21">
        <v>414998.27996799996</v>
      </c>
      <c r="I35" s="6" t="str">
        <f>'0_Configuration'!$C$4</f>
        <v>Mg</v>
      </c>
      <c r="J35" s="13"/>
      <c r="K35" s="13"/>
      <c r="L35" s="13"/>
      <c r="M35" s="13"/>
      <c r="N35" s="13"/>
      <c r="O35" s="7" t="s">
        <v>6</v>
      </c>
      <c r="P35" s="14"/>
      <c r="Q35" s="7"/>
      <c r="R35" s="6" t="str">
        <f>Tab_Data_Flows[[#This Row],[Flow_ID]]&amp;"_"&amp;"material_"&amp;Tab_Data_Flows[[#This Row],[Flow_Data_Year]]</f>
        <v>F_01_02_material_2058</v>
      </c>
      <c r="S35" s="12">
        <f t="shared" si="0"/>
        <v>414998.27996799996</v>
      </c>
      <c r="T35" s="6" t="str">
        <f>Tab_Data_Flows[[#This Row],[UoM_Source]]</f>
        <v>Mg</v>
      </c>
      <c r="U35" s="139">
        <f>INDEX(Tab_Def_Flows[[Flow_ID]:[CC_DM_source]],MATCH(Tab_Data_Flows[[#This Row],[Flow_Name]],Tab_Def_Flows[Flow_Name],0),11)</f>
        <v>0.23841961794348115</v>
      </c>
      <c r="V35" s="6" t="str">
        <f>Tab_Data_Flows[[#This Row],[Flow_ID]]&amp;"_"&amp;"WC_"&amp;Tab_Data_Flows[[#This Row],[Flow_Data_Year]]</f>
        <v>F_01_02_WC_2058</v>
      </c>
      <c r="W35" s="6">
        <f>IF(D35="Yes",S35*Tab_Data_Flows[[#This Row],[WC_'[%']]],"N.A.")</f>
        <v>98943.731357172379</v>
      </c>
      <c r="X35" s="6" t="str">
        <f>Tab_Data_Flows[[#This Row],[UoM_Flow_Py]]</f>
        <v>Mg</v>
      </c>
      <c r="Y35" s="139">
        <f>INDEX(Tab_Def_Flows[[Flow_ID]:[CC_DM_source]],MATCH(Tab_Data_Flows[[#This Row],[Flow_Name]],Tab_Def_Flows[Flow_Name],0),14)</f>
        <v>0.76158038205651879</v>
      </c>
      <c r="Z35" s="6" t="str">
        <f>Tab_Data_Flows[[#This Row],[Flow_ID]]&amp;"_"&amp;"DM_"&amp;Tab_Data_Flows[[#This Row],[Flow_Data_Year]]</f>
        <v>F_01_02_DM_2058</v>
      </c>
      <c r="AA35" s="6">
        <f>IF(E35="Yes",Y35*Tab_Data_Flows[[#This Row],[Flow_Material]],"N.A.")</f>
        <v>316054.54861082754</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F_01_02_CC_2058</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F_01_02</v>
      </c>
      <c r="C36" s="138" t="s">
        <v>475</v>
      </c>
      <c r="D36" s="9" t="str">
        <f>_xlfn.XLOOKUP(C36,Tab_Def_Flows[Flow_Name],Tab_Def_Flows[WC?],,0,)</f>
        <v>Yes</v>
      </c>
      <c r="E36" s="9" t="str">
        <f>_xlfn.XLOOKUP(C36,Tab_Def_Flows[Flow_Name],Tab_Def_Flows[DM?],,0,)</f>
        <v>Yes</v>
      </c>
      <c r="F36" s="9" t="str">
        <f>_xlfn.XLOOKUP(C36,Tab_Def_Flows[Flow_Name],Tab_Def_Flows[CC?],,0,)</f>
        <v>Yes</v>
      </c>
      <c r="G36" s="7">
        <v>2059</v>
      </c>
      <c r="H36" s="21">
        <v>558869.11497600004</v>
      </c>
      <c r="I36" s="6" t="str">
        <f>'0_Configuration'!$C$4</f>
        <v>Mg</v>
      </c>
      <c r="J36" s="13"/>
      <c r="K36" s="13"/>
      <c r="L36" s="13"/>
      <c r="M36" s="13"/>
      <c r="N36" s="13"/>
      <c r="O36" s="7" t="s">
        <v>6</v>
      </c>
      <c r="P36" s="14"/>
      <c r="Q36" s="7"/>
      <c r="R36" s="6" t="str">
        <f>Tab_Data_Flows[[#This Row],[Flow_ID]]&amp;"_"&amp;"material_"&amp;Tab_Data_Flows[[#This Row],[Flow_Data_Year]]</f>
        <v>F_01_02_material_2059</v>
      </c>
      <c r="S36" s="12">
        <f t="shared" si="0"/>
        <v>558869.11497600004</v>
      </c>
      <c r="T36" s="6" t="str">
        <f>Tab_Data_Flows[[#This Row],[UoM_Source]]</f>
        <v>Mg</v>
      </c>
      <c r="U36" s="139">
        <f>INDEX(Tab_Def_Flows[[Flow_ID]:[CC_DM_source]],MATCH(Tab_Data_Flows[[#This Row],[Flow_Name]],Tab_Def_Flows[Flow_Name],0),11)</f>
        <v>0.23841961794348115</v>
      </c>
      <c r="V36" s="6" t="str">
        <f>Tab_Data_Flows[[#This Row],[Flow_ID]]&amp;"_"&amp;"WC_"&amp;Tab_Data_Flows[[#This Row],[Flow_Data_Year]]</f>
        <v>F_01_02_WC_2059</v>
      </c>
      <c r="W36" s="6">
        <f>IF(D36="Yes",S36*Tab_Data_Flows[[#This Row],[WC_'[%']]],"N.A.")</f>
        <v>133245.36087298937</v>
      </c>
      <c r="X36" s="6" t="str">
        <f>Tab_Data_Flows[[#This Row],[UoM_Flow_Py]]</f>
        <v>Mg</v>
      </c>
      <c r="Y36" s="139">
        <f>INDEX(Tab_Def_Flows[[Flow_ID]:[CC_DM_source]],MATCH(Tab_Data_Flows[[#This Row],[Flow_Name]],Tab_Def_Flows[Flow_Name],0),14)</f>
        <v>0.76158038205651879</v>
      </c>
      <c r="Z36" s="6" t="str">
        <f>Tab_Data_Flows[[#This Row],[Flow_ID]]&amp;"_"&amp;"DM_"&amp;Tab_Data_Flows[[#This Row],[Flow_Data_Year]]</f>
        <v>F_01_02_DM_2059</v>
      </c>
      <c r="AA36" s="6">
        <f>IF(E36="Yes",Y36*Tab_Data_Flows[[#This Row],[Flow_Material]],"N.A.")</f>
        <v>425623.75410301064</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F_01_02_CC_2059</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F_01_02</v>
      </c>
      <c r="C37" s="138" t="s">
        <v>475</v>
      </c>
      <c r="D37" s="9" t="str">
        <f>_xlfn.XLOOKUP(C37,Tab_Def_Flows[Flow_Name],Tab_Def_Flows[WC?],,0,)</f>
        <v>Yes</v>
      </c>
      <c r="E37" s="9" t="str">
        <f>_xlfn.XLOOKUP(C37,Tab_Def_Flows[Flow_Name],Tab_Def_Flows[DM?],,0,)</f>
        <v>Yes</v>
      </c>
      <c r="F37" s="9" t="str">
        <f>_xlfn.XLOOKUP(C37,Tab_Def_Flows[Flow_Name],Tab_Def_Flows[CC?],,0,)</f>
        <v>Yes</v>
      </c>
      <c r="G37" s="7">
        <v>2060</v>
      </c>
      <c r="H37" s="21">
        <v>467422.06907199998</v>
      </c>
      <c r="I37" s="6" t="str">
        <f>'0_Configuration'!$C$4</f>
        <v>Mg</v>
      </c>
      <c r="J37" s="13"/>
      <c r="K37" s="13"/>
      <c r="L37" s="13"/>
      <c r="M37" s="13"/>
      <c r="N37" s="13"/>
      <c r="O37" s="7" t="s">
        <v>6</v>
      </c>
      <c r="P37" s="14"/>
      <c r="Q37" s="7"/>
      <c r="R37" s="6" t="str">
        <f>Tab_Data_Flows[[#This Row],[Flow_ID]]&amp;"_"&amp;"material_"&amp;Tab_Data_Flows[[#This Row],[Flow_Data_Year]]</f>
        <v>F_01_02_material_2060</v>
      </c>
      <c r="S37" s="12">
        <f t="shared" si="0"/>
        <v>467422.06907199998</v>
      </c>
      <c r="T37" s="6" t="str">
        <f>Tab_Data_Flows[[#This Row],[UoM_Source]]</f>
        <v>Mg</v>
      </c>
      <c r="U37" s="139">
        <f>INDEX(Tab_Def_Flows[[Flow_ID]:[CC_DM_source]],MATCH(Tab_Data_Flows[[#This Row],[Flow_Name]],Tab_Def_Flows[Flow_Name],0),11)</f>
        <v>0.23841961794348115</v>
      </c>
      <c r="V37" s="6" t="str">
        <f>Tab_Data_Flows[[#This Row],[Flow_ID]]&amp;"_"&amp;"WC_"&amp;Tab_Data_Flows[[#This Row],[Flow_Data_Year]]</f>
        <v>F_01_02_WC_2060</v>
      </c>
      <c r="W37" s="6">
        <f>IF(D37="Yes",S37*Tab_Data_Flows[[#This Row],[WC_'[%']]],"N.A.")</f>
        <v>111442.59112649769</v>
      </c>
      <c r="X37" s="6" t="str">
        <f>Tab_Data_Flows[[#This Row],[UoM_Flow_Py]]</f>
        <v>Mg</v>
      </c>
      <c r="Y37" s="139">
        <f>INDEX(Tab_Def_Flows[[Flow_ID]:[CC_DM_source]],MATCH(Tab_Data_Flows[[#This Row],[Flow_Name]],Tab_Def_Flows[Flow_Name],0),14)</f>
        <v>0.76158038205651879</v>
      </c>
      <c r="Z37" s="6" t="str">
        <f>Tab_Data_Flows[[#This Row],[Flow_ID]]&amp;"_"&amp;"DM_"&amp;Tab_Data_Flows[[#This Row],[Flow_Data_Year]]</f>
        <v>F_01_02_DM_2060</v>
      </c>
      <c r="AA37" s="6">
        <f>IF(E37="Yes",Y37*Tab_Data_Flows[[#This Row],[Flow_Material]],"N.A.")</f>
        <v>355979.47794550227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F_01_02_CC_2060</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F_01_02</v>
      </c>
      <c r="C38" s="138" t="s">
        <v>475</v>
      </c>
      <c r="D38" s="9" t="str">
        <f>_xlfn.XLOOKUP(C38,Tab_Def_Flows[Flow_Name],Tab_Def_Flows[WC?],,0,)</f>
        <v>Yes</v>
      </c>
      <c r="E38" s="9" t="str">
        <f>_xlfn.XLOOKUP(C38,Tab_Def_Flows[Flow_Name],Tab_Def_Flows[DM?],,0,)</f>
        <v>Yes</v>
      </c>
      <c r="F38" s="9" t="str">
        <f>_xlfn.XLOOKUP(C38,Tab_Def_Flows[Flow_Name],Tab_Def_Flows[CC?],,0,)</f>
        <v>Yes</v>
      </c>
      <c r="G38" s="7">
        <v>2061</v>
      </c>
      <c r="H38" s="21">
        <v>567913.62152000004</v>
      </c>
      <c r="I38" s="6" t="str">
        <f>'0_Configuration'!$C$4</f>
        <v>Mg</v>
      </c>
      <c r="J38" s="13"/>
      <c r="K38" s="13"/>
      <c r="L38" s="13"/>
      <c r="M38" s="13"/>
      <c r="N38" s="13"/>
      <c r="O38" s="7" t="s">
        <v>6</v>
      </c>
      <c r="P38" s="7"/>
      <c r="Q38" s="7"/>
      <c r="R38" s="6" t="str">
        <f>Tab_Data_Flows[[#This Row],[Flow_ID]]&amp;"_"&amp;"material_"&amp;Tab_Data_Flows[[#This Row],[Flow_Data_Year]]</f>
        <v>F_01_02_material_2061</v>
      </c>
      <c r="S38" s="12">
        <f t="shared" si="0"/>
        <v>567913.62152000004</v>
      </c>
      <c r="T38" s="6" t="str">
        <f>Tab_Data_Flows[[#This Row],[UoM_Source]]</f>
        <v>Mg</v>
      </c>
      <c r="U38" s="139">
        <f>INDEX(Tab_Def_Flows[[Flow_ID]:[CC_DM_source]],MATCH(Tab_Data_Flows[[#This Row],[Flow_Name]],Tab_Def_Flows[Flow_Name],0),11)</f>
        <v>0.23841961794348115</v>
      </c>
      <c r="V38" s="6" t="str">
        <f>Tab_Data_Flows[[#This Row],[Flow_ID]]&amp;"_"&amp;"WC_"&amp;Tab_Data_Flows[[#This Row],[Flow_Data_Year]]</f>
        <v>F_01_02_WC_2061</v>
      </c>
      <c r="W38" s="6">
        <f>IF(D38="Yes",S38*Tab_Data_Flows[[#This Row],[WC_'[%']]],"N.A.")</f>
        <v>135401.74866769716</v>
      </c>
      <c r="X38" s="6" t="str">
        <f>Tab_Data_Flows[[#This Row],[UoM_Flow_Py]]</f>
        <v>Mg</v>
      </c>
      <c r="Y38" s="139">
        <f>INDEX(Tab_Def_Flows[[Flow_ID]:[CC_DM_source]],MATCH(Tab_Data_Flows[[#This Row],[Flow_Name]],Tab_Def_Flows[Flow_Name],0),14)</f>
        <v>0.76158038205651879</v>
      </c>
      <c r="Z38" s="6" t="str">
        <f>Tab_Data_Flows[[#This Row],[Flow_ID]]&amp;"_"&amp;"DM_"&amp;Tab_Data_Flows[[#This Row],[Flow_Data_Year]]</f>
        <v>F_01_02_DM_2061</v>
      </c>
      <c r="AA38" s="6">
        <f>IF(E38="Yes",Y38*Tab_Data_Flows[[#This Row],[Flow_Material]],"N.A.")</f>
        <v>432511.87285230285</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F_01_02_CC_2061</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F_01_02</v>
      </c>
      <c r="C39" s="138" t="s">
        <v>475</v>
      </c>
      <c r="D39" s="9" t="str">
        <f>_xlfn.XLOOKUP(C39,Tab_Def_Flows[Flow_Name],Tab_Def_Flows[WC?],,0,)</f>
        <v>Yes</v>
      </c>
      <c r="E39" s="9" t="str">
        <f>_xlfn.XLOOKUP(C39,Tab_Def_Flows[Flow_Name],Tab_Def_Flows[DM?],,0,)</f>
        <v>Yes</v>
      </c>
      <c r="F39" s="9" t="str">
        <f>_xlfn.XLOOKUP(C39,Tab_Def_Flows[Flow_Name],Tab_Def_Flows[CC?],,0,)</f>
        <v>Yes</v>
      </c>
      <c r="G39" s="7">
        <v>2062</v>
      </c>
      <c r="H39" s="21">
        <v>583288.23214400001</v>
      </c>
      <c r="I39" s="6" t="str">
        <f>'0_Configuration'!$C$4</f>
        <v>Mg</v>
      </c>
      <c r="J39" s="13"/>
      <c r="K39" s="13"/>
      <c r="L39" s="13"/>
      <c r="M39" s="13"/>
      <c r="N39" s="13"/>
      <c r="O39" s="7" t="s">
        <v>6</v>
      </c>
      <c r="P39" s="7"/>
      <c r="Q39" s="7"/>
      <c r="R39" s="6" t="str">
        <f>Tab_Data_Flows[[#This Row],[Flow_ID]]&amp;"_"&amp;"material_"&amp;Tab_Data_Flows[[#This Row],[Flow_Data_Year]]</f>
        <v>F_01_02_material_2062</v>
      </c>
      <c r="S39" s="12">
        <f t="shared" si="0"/>
        <v>583288.23214400001</v>
      </c>
      <c r="T39" s="6" t="str">
        <f>Tab_Data_Flows[[#This Row],[UoM_Source]]</f>
        <v>Mg</v>
      </c>
      <c r="U39" s="139">
        <f>INDEX(Tab_Def_Flows[[Flow_ID]:[CC_DM_source]],MATCH(Tab_Data_Flows[[#This Row],[Flow_Name]],Tab_Def_Flows[Flow_Name],0),11)</f>
        <v>0.23841961794348115</v>
      </c>
      <c r="V39" s="6" t="str">
        <f>Tab_Data_Flows[[#This Row],[Flow_ID]]&amp;"_"&amp;"WC_"&amp;Tab_Data_Flows[[#This Row],[Flow_Data_Year]]</f>
        <v>F_01_02_WC_2062</v>
      </c>
      <c r="W39" s="6">
        <f>IF(D39="Yes",S39*Tab_Data_Flows[[#This Row],[WC_'[%']]],"N.A.")</f>
        <v>139067.35745870104</v>
      </c>
      <c r="X39" s="6" t="str">
        <f>Tab_Data_Flows[[#This Row],[UoM_Flow_Py]]</f>
        <v>Mg</v>
      </c>
      <c r="Y39" s="139">
        <f>INDEX(Tab_Def_Flows[[Flow_ID]:[CC_DM_source]],MATCH(Tab_Data_Flows[[#This Row],[Flow_Name]],Tab_Def_Flows[Flow_Name],0),14)</f>
        <v>0.76158038205651879</v>
      </c>
      <c r="Z39" s="6" t="str">
        <f>Tab_Data_Flows[[#This Row],[Flow_ID]]&amp;"_"&amp;"DM_"&amp;Tab_Data_Flows[[#This Row],[Flow_Data_Year]]</f>
        <v>F_01_02_DM_2062</v>
      </c>
      <c r="AA39" s="6">
        <f>IF(E39="Yes",Y39*Tab_Data_Flows[[#This Row],[Flow_Material]],"N.A.")</f>
        <v>444220.87468529894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F_01_02_CC_2062</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F_01_02</v>
      </c>
      <c r="C40" s="138" t="s">
        <v>475</v>
      </c>
      <c r="D40" s="9" t="str">
        <f>_xlfn.XLOOKUP(C40,Tab_Def_Flows[Flow_Name],Tab_Def_Flows[WC?],,0,)</f>
        <v>Yes</v>
      </c>
      <c r="E40" s="9" t="str">
        <f>_xlfn.XLOOKUP(C40,Tab_Def_Flows[Flow_Name],Tab_Def_Flows[DM?],,0,)</f>
        <v>Yes</v>
      </c>
      <c r="F40" s="9" t="str">
        <f>_xlfn.XLOOKUP(C40,Tab_Def_Flows[Flow_Name],Tab_Def_Flows[CC?],,0,)</f>
        <v>Yes</v>
      </c>
      <c r="G40" s="7">
        <v>2063</v>
      </c>
      <c r="H40" s="21">
        <v>596315.94529599999</v>
      </c>
      <c r="I40" s="6" t="str">
        <f>'0_Configuration'!$C$4</f>
        <v>Mg</v>
      </c>
      <c r="J40" s="13"/>
      <c r="K40" s="13"/>
      <c r="L40" s="13"/>
      <c r="M40" s="13"/>
      <c r="N40" s="13"/>
      <c r="O40" s="7" t="s">
        <v>6</v>
      </c>
      <c r="P40" s="7"/>
      <c r="Q40" s="7"/>
      <c r="R40" s="6" t="str">
        <f>Tab_Data_Flows[[#This Row],[Flow_ID]]&amp;"_"&amp;"material_"&amp;Tab_Data_Flows[[#This Row],[Flow_Data_Year]]</f>
        <v>F_01_02_material_2063</v>
      </c>
      <c r="S40" s="12">
        <f t="shared" si="0"/>
        <v>596315.94529599999</v>
      </c>
      <c r="T40" s="6" t="str">
        <f>Tab_Data_Flows[[#This Row],[UoM_Source]]</f>
        <v>Mg</v>
      </c>
      <c r="U40" s="139">
        <f>INDEX(Tab_Def_Flows[[Flow_ID]:[CC_DM_source]],MATCH(Tab_Data_Flows[[#This Row],[Flow_Name]],Tab_Def_Flows[Flow_Name],0),11)</f>
        <v>0.23841961794348115</v>
      </c>
      <c r="V40" s="6" t="str">
        <f>Tab_Data_Flows[[#This Row],[Flow_ID]]&amp;"_"&amp;"WC_"&amp;Tab_Data_Flows[[#This Row],[Flow_Data_Year]]</f>
        <v>F_01_02_WC_2063</v>
      </c>
      <c r="W40" s="6">
        <f>IF(D40="Yes",S40*Tab_Data_Flows[[#This Row],[WC_'[%']]],"N.A.")</f>
        <v>142173.41985107813</v>
      </c>
      <c r="X40" s="6" t="str">
        <f>Tab_Data_Flows[[#This Row],[UoM_Flow_Py]]</f>
        <v>Mg</v>
      </c>
      <c r="Y40" s="139">
        <f>INDEX(Tab_Def_Flows[[Flow_ID]:[CC_DM_source]],MATCH(Tab_Data_Flows[[#This Row],[Flow_Name]],Tab_Def_Flows[Flow_Name],0),14)</f>
        <v>0.76158038205651879</v>
      </c>
      <c r="Z40" s="6" t="str">
        <f>Tab_Data_Flows[[#This Row],[Flow_ID]]&amp;"_"&amp;"DM_"&amp;Tab_Data_Flows[[#This Row],[Flow_Data_Year]]</f>
        <v>F_01_02_DM_2063</v>
      </c>
      <c r="AA40" s="6">
        <f>IF(E40="Yes",Y40*Tab_Data_Flows[[#This Row],[Flow_Material]],"N.A.")</f>
        <v>454142.5254449218</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F_01_02_CC_2063</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F_01_02</v>
      </c>
      <c r="C41" s="138" t="s">
        <v>475</v>
      </c>
      <c r="D41" s="9" t="str">
        <f>_xlfn.XLOOKUP(C41,Tab_Def_Flows[Flow_Name],Tab_Def_Flows[WC?],,0,)</f>
        <v>Yes</v>
      </c>
      <c r="E41" s="9" t="str">
        <f>_xlfn.XLOOKUP(C41,Tab_Def_Flows[Flow_Name],Tab_Def_Flows[DM?],,0,)</f>
        <v>Yes</v>
      </c>
      <c r="F41" s="9" t="str">
        <f>_xlfn.XLOOKUP(C41,Tab_Def_Flows[Flow_Name],Tab_Def_Flows[CC?],,0,)</f>
        <v>Yes</v>
      </c>
      <c r="G41" s="7">
        <v>2064</v>
      </c>
      <c r="H41" s="21">
        <v>645833.63462399994</v>
      </c>
      <c r="I41" s="6" t="str">
        <f>'0_Configuration'!$C$4</f>
        <v>Mg</v>
      </c>
      <c r="J41" s="13"/>
      <c r="K41" s="13"/>
      <c r="L41" s="13"/>
      <c r="M41" s="13"/>
      <c r="N41" s="13"/>
      <c r="O41" s="7" t="s">
        <v>6</v>
      </c>
      <c r="P41" s="7"/>
      <c r="Q41" s="7"/>
      <c r="R41" s="6" t="str">
        <f>Tab_Data_Flows[[#This Row],[Flow_ID]]&amp;"_"&amp;"material_"&amp;Tab_Data_Flows[[#This Row],[Flow_Data_Year]]</f>
        <v>F_01_02_material_2064</v>
      </c>
      <c r="S41" s="12">
        <f t="shared" si="0"/>
        <v>645833.63462399994</v>
      </c>
      <c r="T41" s="6" t="str">
        <f>Tab_Data_Flows[[#This Row],[UoM_Source]]</f>
        <v>Mg</v>
      </c>
      <c r="U41" s="139">
        <f>INDEX(Tab_Def_Flows[[Flow_ID]:[CC_DM_source]],MATCH(Tab_Data_Flows[[#This Row],[Flow_Name]],Tab_Def_Flows[Flow_Name],0),11)</f>
        <v>0.23841961794348115</v>
      </c>
      <c r="V41" s="6" t="str">
        <f>Tab_Data_Flows[[#This Row],[Flow_ID]]&amp;"_"&amp;"WC_"&amp;Tab_Data_Flows[[#This Row],[Flow_Data_Year]]</f>
        <v>F_01_02_WC_2064</v>
      </c>
      <c r="W41" s="6">
        <f>IF(D41="Yes",S41*Tab_Data_Flows[[#This Row],[WC_'[%']]],"N.A.")</f>
        <v>153979.40842210388</v>
      </c>
      <c r="X41" s="6" t="str">
        <f>Tab_Data_Flows[[#This Row],[UoM_Flow_Py]]</f>
        <v>Mg</v>
      </c>
      <c r="Y41" s="139">
        <f>INDEX(Tab_Def_Flows[[Flow_ID]:[CC_DM_source]],MATCH(Tab_Data_Flows[[#This Row],[Flow_Name]],Tab_Def_Flows[Flow_Name],0),14)</f>
        <v>0.76158038205651879</v>
      </c>
      <c r="Z41" s="6" t="str">
        <f>Tab_Data_Flows[[#This Row],[Flow_ID]]&amp;"_"&amp;"DM_"&amp;Tab_Data_Flows[[#This Row],[Flow_Data_Year]]</f>
        <v>F_01_02_DM_2064</v>
      </c>
      <c r="AA41" s="6">
        <f>IF(E41="Yes",Y41*Tab_Data_Flows[[#This Row],[Flow_Material]],"N.A.")</f>
        <v>491854.22620189603</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F_01_02_CC_2064</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F_01_02</v>
      </c>
      <c r="C42" s="138" t="s">
        <v>475</v>
      </c>
      <c r="D42" s="9" t="str">
        <f>_xlfn.XLOOKUP(C42,Tab_Def_Flows[Flow_Name],Tab_Def_Flows[WC?],,0,)</f>
        <v>Yes</v>
      </c>
      <c r="E42" s="9" t="str">
        <f>_xlfn.XLOOKUP(C42,Tab_Def_Flows[Flow_Name],Tab_Def_Flows[DM?],,0,)</f>
        <v>Yes</v>
      </c>
      <c r="F42" s="9" t="str">
        <f>_xlfn.XLOOKUP(C42,Tab_Def_Flows[Flow_Name],Tab_Def_Flows[CC?],,0,)</f>
        <v>Yes</v>
      </c>
      <c r="G42" s="7">
        <v>2065</v>
      </c>
      <c r="H42" s="21">
        <v>498015.746912</v>
      </c>
      <c r="I42" s="6" t="str">
        <f>'0_Configuration'!$C$4</f>
        <v>Mg</v>
      </c>
      <c r="J42" s="13"/>
      <c r="K42" s="13"/>
      <c r="L42" s="13"/>
      <c r="M42" s="13"/>
      <c r="N42" s="13"/>
      <c r="O42" s="7" t="s">
        <v>6</v>
      </c>
      <c r="P42" s="7"/>
      <c r="Q42" s="7"/>
      <c r="R42" s="6" t="str">
        <f>Tab_Data_Flows[[#This Row],[Flow_ID]]&amp;"_"&amp;"material_"&amp;Tab_Data_Flows[[#This Row],[Flow_Data_Year]]</f>
        <v>F_01_02_material_2065</v>
      </c>
      <c r="S42" s="12">
        <f t="shared" si="0"/>
        <v>498015.746912</v>
      </c>
      <c r="T42" s="6" t="str">
        <f>Tab_Data_Flows[[#This Row],[UoM_Source]]</f>
        <v>Mg</v>
      </c>
      <c r="U42" s="139">
        <f>INDEX(Tab_Def_Flows[[Flow_ID]:[CC_DM_source]],MATCH(Tab_Data_Flows[[#This Row],[Flow_Name]],Tab_Def_Flows[Flow_Name],0),11)</f>
        <v>0.23841961794348115</v>
      </c>
      <c r="V42" s="6" t="str">
        <f>Tab_Data_Flows[[#This Row],[Flow_ID]]&amp;"_"&amp;"WC_"&amp;Tab_Data_Flows[[#This Row],[Flow_Data_Year]]</f>
        <v>F_01_02_WC_2065</v>
      </c>
      <c r="W42" s="6">
        <f>IF(D42="Yes",S42*Tab_Data_Flows[[#This Row],[WC_'[%']]],"N.A.")</f>
        <v>118736.72410859645</v>
      </c>
      <c r="X42" s="6" t="str">
        <f>Tab_Data_Flows[[#This Row],[UoM_Flow_Py]]</f>
        <v>Mg</v>
      </c>
      <c r="Y42" s="139">
        <f>INDEX(Tab_Def_Flows[[Flow_ID]:[CC_DM_source]],MATCH(Tab_Data_Flows[[#This Row],[Flow_Name]],Tab_Def_Flows[Flow_Name],0),14)</f>
        <v>0.76158038205651879</v>
      </c>
      <c r="Z42" s="6" t="str">
        <f>Tab_Data_Flows[[#This Row],[Flow_ID]]&amp;"_"&amp;"DM_"&amp;Tab_Data_Flows[[#This Row],[Flow_Data_Year]]</f>
        <v>F_01_02_DM_2065</v>
      </c>
      <c r="AA42" s="6">
        <f>IF(E42="Yes",Y42*Tab_Data_Flows[[#This Row],[Flow_Material]],"N.A.")</f>
        <v>379279.02280340355</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F_01_02_CC_2065</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F_01_02</v>
      </c>
      <c r="C43" s="138" t="s">
        <v>475</v>
      </c>
      <c r="D43" s="9" t="str">
        <f>_xlfn.XLOOKUP(C43,Tab_Def_Flows[Flow_Name],Tab_Def_Flows[WC?],,0,)</f>
        <v>Yes</v>
      </c>
      <c r="E43" s="9" t="str">
        <f>_xlfn.XLOOKUP(C43,Tab_Def_Flows[Flow_Name],Tab_Def_Flows[DM?],,0,)</f>
        <v>Yes</v>
      </c>
      <c r="F43" s="9" t="str">
        <f>_xlfn.XLOOKUP(C43,Tab_Def_Flows[Flow_Name],Tab_Def_Flows[CC?],,0,)</f>
        <v>Yes</v>
      </c>
      <c r="G43" s="7">
        <v>2066</v>
      </c>
      <c r="H43" s="21">
        <v>476766.81097599998</v>
      </c>
      <c r="I43" s="6" t="str">
        <f>'0_Configuration'!$C$4</f>
        <v>Mg</v>
      </c>
      <c r="J43" s="13"/>
      <c r="K43" s="13"/>
      <c r="L43" s="13"/>
      <c r="M43" s="13"/>
      <c r="N43" s="13"/>
      <c r="O43" s="7" t="s">
        <v>6</v>
      </c>
      <c r="P43" s="7"/>
      <c r="Q43" s="7"/>
      <c r="R43" s="6" t="str">
        <f>Tab_Data_Flows[[#This Row],[Flow_ID]]&amp;"_"&amp;"material_"&amp;Tab_Data_Flows[[#This Row],[Flow_Data_Year]]</f>
        <v>F_01_02_material_2066</v>
      </c>
      <c r="S43" s="12">
        <f t="shared" si="0"/>
        <v>476766.81097599998</v>
      </c>
      <c r="T43" s="6" t="str">
        <f>Tab_Data_Flows[[#This Row],[UoM_Source]]</f>
        <v>Mg</v>
      </c>
      <c r="U43" s="139">
        <f>INDEX(Tab_Def_Flows[[Flow_ID]:[CC_DM_source]],MATCH(Tab_Data_Flows[[#This Row],[Flow_Name]],Tab_Def_Flows[Flow_Name],0),11)</f>
        <v>0.23841961794348115</v>
      </c>
      <c r="V43" s="6" t="str">
        <f>Tab_Data_Flows[[#This Row],[Flow_ID]]&amp;"_"&amp;"WC_"&amp;Tab_Data_Flows[[#This Row],[Flow_Data_Year]]</f>
        <v>F_01_02_WC_2066</v>
      </c>
      <c r="W43" s="6">
        <f>IF(D43="Yes",S43*Tab_Data_Flows[[#This Row],[WC_'[%']]],"N.A.")</f>
        <v>113670.56092102981</v>
      </c>
      <c r="X43" s="6" t="str">
        <f>Tab_Data_Flows[[#This Row],[UoM_Flow_Py]]</f>
        <v>Mg</v>
      </c>
      <c r="Y43" s="139">
        <f>INDEX(Tab_Def_Flows[[Flow_ID]:[CC_DM_source]],MATCH(Tab_Data_Flows[[#This Row],[Flow_Name]],Tab_Def_Flows[Flow_Name],0),14)</f>
        <v>0.76158038205651879</v>
      </c>
      <c r="Z43" s="6" t="str">
        <f>Tab_Data_Flows[[#This Row],[Flow_ID]]&amp;"_"&amp;"DM_"&amp;Tab_Data_Flows[[#This Row],[Flow_Data_Year]]</f>
        <v>F_01_02_DM_2066</v>
      </c>
      <c r="AA43" s="6">
        <f>IF(E43="Yes",Y43*Tab_Data_Flows[[#This Row],[Flow_Material]],"N.A.")</f>
        <v>363096.25005497015</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F_01_02_CC_2066</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F_01_02</v>
      </c>
      <c r="C44" s="138" t="s">
        <v>475</v>
      </c>
      <c r="D44" s="9" t="str">
        <f>_xlfn.XLOOKUP(C44,Tab_Def_Flows[Flow_Name],Tab_Def_Flows[WC?],,0,)</f>
        <v>Yes</v>
      </c>
      <c r="E44" s="9" t="str">
        <f>_xlfn.XLOOKUP(C44,Tab_Def_Flows[Flow_Name],Tab_Def_Flows[DM?],,0,)</f>
        <v>Yes</v>
      </c>
      <c r="F44" s="9" t="str">
        <f>_xlfn.XLOOKUP(C44,Tab_Def_Flows[Flow_Name],Tab_Def_Flows[CC?],,0,)</f>
        <v>Yes</v>
      </c>
      <c r="G44" s="7">
        <v>2067</v>
      </c>
      <c r="H44" s="21">
        <v>636141.95734399999</v>
      </c>
      <c r="I44" s="6" t="str">
        <f>'0_Configuration'!$C$4</f>
        <v>Mg</v>
      </c>
      <c r="J44" s="13"/>
      <c r="K44" s="13"/>
      <c r="L44" s="13"/>
      <c r="M44" s="13"/>
      <c r="N44" s="13"/>
      <c r="O44" s="7" t="s">
        <v>6</v>
      </c>
      <c r="P44" s="7"/>
      <c r="Q44" s="7"/>
      <c r="R44" s="6" t="str">
        <f>Tab_Data_Flows[[#This Row],[Flow_ID]]&amp;"_"&amp;"material_"&amp;Tab_Data_Flows[[#This Row],[Flow_Data_Year]]</f>
        <v>F_01_02_material_2067</v>
      </c>
      <c r="S44" s="12">
        <f t="shared" si="0"/>
        <v>636141.95734399999</v>
      </c>
      <c r="T44" s="6" t="str">
        <f>Tab_Data_Flows[[#This Row],[UoM_Source]]</f>
        <v>Mg</v>
      </c>
      <c r="U44" s="139">
        <f>INDEX(Tab_Def_Flows[[Flow_ID]:[CC_DM_source]],MATCH(Tab_Data_Flows[[#This Row],[Flow_Name]],Tab_Def_Flows[Flow_Name],0),11)</f>
        <v>0.23841961794348115</v>
      </c>
      <c r="V44" s="6" t="str">
        <f>Tab_Data_Flows[[#This Row],[Flow_ID]]&amp;"_"&amp;"WC_"&amp;Tab_Data_Flows[[#This Row],[Flow_Data_Year]]</f>
        <v>F_01_02_WC_2067</v>
      </c>
      <c r="W44" s="6">
        <f>IF(D44="Yes",S44*Tab_Data_Flows[[#This Row],[WC_'[%']]],"N.A.")</f>
        <v>151668.72242777477</v>
      </c>
      <c r="X44" s="6" t="str">
        <f>Tab_Data_Flows[[#This Row],[UoM_Flow_Py]]</f>
        <v>Mg</v>
      </c>
      <c r="Y44" s="139">
        <f>INDEX(Tab_Def_Flows[[Flow_ID]:[CC_DM_source]],MATCH(Tab_Data_Flows[[#This Row],[Flow_Name]],Tab_Def_Flows[Flow_Name],0),14)</f>
        <v>0.76158038205651879</v>
      </c>
      <c r="Z44" s="6" t="str">
        <f>Tab_Data_Flows[[#This Row],[Flow_ID]]&amp;"_"&amp;"DM_"&amp;Tab_Data_Flows[[#This Row],[Flow_Data_Year]]</f>
        <v>F_01_02_DM_2067</v>
      </c>
      <c r="AA44" s="6">
        <f>IF(E44="Yes",Y44*Tab_Data_Flows[[#This Row],[Flow_Material]],"N.A.")</f>
        <v>484473.23491622519</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F_01_02_CC_2067</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F_01_02</v>
      </c>
      <c r="C45" s="138" t="s">
        <v>475</v>
      </c>
      <c r="D45" s="9" t="str">
        <f>_xlfn.XLOOKUP(C45,Tab_Def_Flows[Flow_Name],Tab_Def_Flows[WC?],,0,)</f>
        <v>Yes</v>
      </c>
      <c r="E45" s="9" t="str">
        <f>_xlfn.XLOOKUP(C45,Tab_Def_Flows[Flow_Name],Tab_Def_Flows[DM?],,0,)</f>
        <v>Yes</v>
      </c>
      <c r="F45" s="9" t="str">
        <f>_xlfn.XLOOKUP(C45,Tab_Def_Flows[Flow_Name],Tab_Def_Flows[CC?],,0,)</f>
        <v>Yes</v>
      </c>
      <c r="G45" s="7">
        <v>2068</v>
      </c>
      <c r="H45" s="21">
        <v>602995.24547199998</v>
      </c>
      <c r="I45" s="6" t="str">
        <f>'0_Configuration'!$C$4</f>
        <v>Mg</v>
      </c>
      <c r="J45" s="13"/>
      <c r="K45" s="13"/>
      <c r="L45" s="13"/>
      <c r="M45" s="13"/>
      <c r="N45" s="13"/>
      <c r="O45" s="7" t="s">
        <v>6</v>
      </c>
      <c r="P45" s="7"/>
      <c r="Q45" s="7"/>
      <c r="R45" s="6" t="str">
        <f>Tab_Data_Flows[[#This Row],[Flow_ID]]&amp;"_"&amp;"material_"&amp;Tab_Data_Flows[[#This Row],[Flow_Data_Year]]</f>
        <v>F_01_02_material_2068</v>
      </c>
      <c r="S45" s="12">
        <f t="shared" si="0"/>
        <v>602995.24547199998</v>
      </c>
      <c r="T45" s="6" t="str">
        <f>Tab_Data_Flows[[#This Row],[UoM_Source]]</f>
        <v>Mg</v>
      </c>
      <c r="U45" s="139">
        <f>INDEX(Tab_Def_Flows[[Flow_ID]:[CC_DM_source]],MATCH(Tab_Data_Flows[[#This Row],[Flow_Name]],Tab_Def_Flows[Flow_Name],0),11)</f>
        <v>0.23841961794348115</v>
      </c>
      <c r="V45" s="6" t="str">
        <f>Tab_Data_Flows[[#This Row],[Flow_ID]]&amp;"_"&amp;"WC_"&amp;Tab_Data_Flows[[#This Row],[Flow_Data_Year]]</f>
        <v>F_01_02_WC_2068</v>
      </c>
      <c r="W45" s="6">
        <f>IF(D45="Yes",S45*Tab_Data_Flows[[#This Row],[WC_'[%']]],"N.A.")</f>
        <v>143765.89604716987</v>
      </c>
      <c r="X45" s="6" t="str">
        <f>Tab_Data_Flows[[#This Row],[UoM_Flow_Py]]</f>
        <v>Mg</v>
      </c>
      <c r="Y45" s="139">
        <f>INDEX(Tab_Def_Flows[[Flow_ID]:[CC_DM_source]],MATCH(Tab_Data_Flows[[#This Row],[Flow_Name]],Tab_Def_Flows[Flow_Name],0),14)</f>
        <v>0.76158038205651879</v>
      </c>
      <c r="Z45" s="6" t="str">
        <f>Tab_Data_Flows[[#This Row],[Flow_ID]]&amp;"_"&amp;"DM_"&amp;Tab_Data_Flows[[#This Row],[Flow_Data_Year]]</f>
        <v>F_01_02_DM_2068</v>
      </c>
      <c r="AA45" s="6">
        <f>IF(E45="Yes",Y45*Tab_Data_Flows[[#This Row],[Flow_Material]],"N.A.")</f>
        <v>459229.34942483006</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F_01_02_CC_2068</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F_01_02</v>
      </c>
      <c r="C46" s="138" t="s">
        <v>475</v>
      </c>
      <c r="D46" s="9" t="str">
        <f>_xlfn.XLOOKUP(C46,Tab_Def_Flows[Flow_Name],Tab_Def_Flows[WC?],,0,)</f>
        <v>Yes</v>
      </c>
      <c r="E46" s="9" t="str">
        <f>_xlfn.XLOOKUP(C46,Tab_Def_Flows[Flow_Name],Tab_Def_Flows[DM?],,0,)</f>
        <v>Yes</v>
      </c>
      <c r="F46" s="9" t="str">
        <f>_xlfn.XLOOKUP(C46,Tab_Def_Flows[Flow_Name],Tab_Def_Flows[CC?],,0,)</f>
        <v>Yes</v>
      </c>
      <c r="G46" s="7">
        <v>2069</v>
      </c>
      <c r="H46" s="21">
        <v>533906.39740800008</v>
      </c>
      <c r="I46" s="6" t="str">
        <f>'0_Configuration'!$C$4</f>
        <v>Mg</v>
      </c>
      <c r="J46" s="13"/>
      <c r="K46" s="13"/>
      <c r="L46" s="13"/>
      <c r="M46" s="13"/>
      <c r="N46" s="13"/>
      <c r="O46" s="7" t="s">
        <v>6</v>
      </c>
      <c r="P46" s="7"/>
      <c r="Q46" s="7"/>
      <c r="R46" s="6" t="str">
        <f>Tab_Data_Flows[[#This Row],[Flow_ID]]&amp;"_"&amp;"material_"&amp;Tab_Data_Flows[[#This Row],[Flow_Data_Year]]</f>
        <v>F_01_02_material_2069</v>
      </c>
      <c r="S46" s="12">
        <f t="shared" si="0"/>
        <v>533906.39740800008</v>
      </c>
      <c r="T46" s="6" t="str">
        <f>Tab_Data_Flows[[#This Row],[UoM_Source]]</f>
        <v>Mg</v>
      </c>
      <c r="U46" s="139">
        <f>INDEX(Tab_Def_Flows[[Flow_ID]:[CC_DM_source]],MATCH(Tab_Data_Flows[[#This Row],[Flow_Name]],Tab_Def_Flows[Flow_Name],0),11)</f>
        <v>0.23841961794348115</v>
      </c>
      <c r="V46" s="6" t="str">
        <f>Tab_Data_Flows[[#This Row],[Flow_ID]]&amp;"_"&amp;"WC_"&amp;Tab_Data_Flows[[#This Row],[Flow_Data_Year]]</f>
        <v>F_01_02_WC_2069</v>
      </c>
      <c r="W46" s="6">
        <f>IF(D46="Yes",S46*Tab_Data_Flows[[#This Row],[WC_'[%']]],"N.A.")</f>
        <v>127293.75928759579</v>
      </c>
      <c r="X46" s="6" t="str">
        <f>Tab_Data_Flows[[#This Row],[UoM_Flow_Py]]</f>
        <v>Mg</v>
      </c>
      <c r="Y46" s="139">
        <f>INDEX(Tab_Def_Flows[[Flow_ID]:[CC_DM_source]],MATCH(Tab_Data_Flows[[#This Row],[Flow_Name]],Tab_Def_Flows[Flow_Name],0),14)</f>
        <v>0.76158038205651879</v>
      </c>
      <c r="Z46" s="6" t="str">
        <f>Tab_Data_Flows[[#This Row],[Flow_ID]]&amp;"_"&amp;"DM_"&amp;Tab_Data_Flows[[#This Row],[Flow_Data_Year]]</f>
        <v>F_01_02_DM_2069</v>
      </c>
      <c r="AA46" s="6">
        <f>IF(E46="Yes",Y46*Tab_Data_Flows[[#This Row],[Flow_Material]],"N.A.")</f>
        <v>406612.63812040427</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F_01_02_CC_2069</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F_01_02</v>
      </c>
      <c r="C47" s="138" t="s">
        <v>475</v>
      </c>
      <c r="D47" s="9" t="str">
        <f>_xlfn.XLOOKUP(C47,Tab_Def_Flows[Flow_Name],Tab_Def_Flows[WC?],,0,)</f>
        <v>Yes</v>
      </c>
      <c r="E47" s="9" t="str">
        <f>_xlfn.XLOOKUP(C47,Tab_Def_Flows[Flow_Name],Tab_Def_Flows[DM?],,0,)</f>
        <v>Yes</v>
      </c>
      <c r="F47" s="9" t="str">
        <f>_xlfn.XLOOKUP(C47,Tab_Def_Flows[Flow_Name],Tab_Def_Flows[CC?],,0,)</f>
        <v>Yes</v>
      </c>
      <c r="G47" s="7">
        <v>2070</v>
      </c>
      <c r="H47" s="21">
        <v>547151.06921600003</v>
      </c>
      <c r="I47" s="6" t="str">
        <f>'0_Configuration'!$C$4</f>
        <v>Mg</v>
      </c>
      <c r="J47" s="13"/>
      <c r="K47" s="13"/>
      <c r="L47" s="13"/>
      <c r="M47" s="13"/>
      <c r="N47" s="13"/>
      <c r="O47" s="7" t="s">
        <v>6</v>
      </c>
      <c r="P47" s="7"/>
      <c r="Q47" s="7"/>
      <c r="R47" s="6" t="str">
        <f>Tab_Data_Flows[[#This Row],[Flow_ID]]&amp;"_"&amp;"material_"&amp;Tab_Data_Flows[[#This Row],[Flow_Data_Year]]</f>
        <v>F_01_02_material_2070</v>
      </c>
      <c r="S47" s="12">
        <f t="shared" si="0"/>
        <v>547151.06921600003</v>
      </c>
      <c r="T47" s="6" t="str">
        <f>Tab_Data_Flows[[#This Row],[UoM_Source]]</f>
        <v>Mg</v>
      </c>
      <c r="U47" s="139">
        <f>INDEX(Tab_Def_Flows[[Flow_ID]:[CC_DM_source]],MATCH(Tab_Data_Flows[[#This Row],[Flow_Name]],Tab_Def_Flows[Flow_Name],0),11)</f>
        <v>0.23841961794348115</v>
      </c>
      <c r="V47" s="6" t="str">
        <f>Tab_Data_Flows[[#This Row],[Flow_ID]]&amp;"_"&amp;"WC_"&amp;Tab_Data_Flows[[#This Row],[Flow_Data_Year]]</f>
        <v>F_01_02_WC_2070</v>
      </c>
      <c r="W47" s="6">
        <f>IF(D47="Yes",S47*Tab_Data_Flows[[#This Row],[WC_'[%']]],"N.A.")</f>
        <v>130451.54887984594</v>
      </c>
      <c r="X47" s="6" t="str">
        <f>Tab_Data_Flows[[#This Row],[UoM_Flow_Py]]</f>
        <v>Mg</v>
      </c>
      <c r="Y47" s="139">
        <f>INDEX(Tab_Def_Flows[[Flow_ID]:[CC_DM_source]],MATCH(Tab_Data_Flows[[#This Row],[Flow_Name]],Tab_Def_Flows[Flow_Name],0),14)</f>
        <v>0.76158038205651879</v>
      </c>
      <c r="Z47" s="6" t="str">
        <f>Tab_Data_Flows[[#This Row],[Flow_ID]]&amp;"_"&amp;"DM_"&amp;Tab_Data_Flows[[#This Row],[Flow_Data_Year]]</f>
        <v>F_01_02_DM_2070</v>
      </c>
      <c r="AA47" s="6">
        <f>IF(E47="Yes",Y47*Tab_Data_Flows[[#This Row],[Flow_Material]],"N.A.")</f>
        <v>416699.52033615403</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F_01_02_CC_2070</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F_01_02</v>
      </c>
      <c r="C48" s="138" t="s">
        <v>475</v>
      </c>
      <c r="D48" s="9" t="str">
        <f>_xlfn.XLOOKUP(C48,Tab_Def_Flows[Flow_Name],Tab_Def_Flows[WC?],,0,)</f>
        <v>Yes</v>
      </c>
      <c r="E48" s="9" t="str">
        <f>_xlfn.XLOOKUP(C48,Tab_Def_Flows[Flow_Name],Tab_Def_Flows[DM?],,0,)</f>
        <v>Yes</v>
      </c>
      <c r="F48" s="9" t="str">
        <f>_xlfn.XLOOKUP(C48,Tab_Def_Flows[Flow_Name],Tab_Def_Flows[CC?],,0,)</f>
        <v>Yes</v>
      </c>
      <c r="G48" s="7">
        <v>2071</v>
      </c>
      <c r="H48" s="21">
        <v>608341.20822400006</v>
      </c>
      <c r="I48" s="6" t="str">
        <f>'0_Configuration'!$C$4</f>
        <v>Mg</v>
      </c>
      <c r="J48" s="13"/>
      <c r="K48" s="13"/>
      <c r="L48" s="13"/>
      <c r="M48" s="13"/>
      <c r="N48" s="13"/>
      <c r="O48" s="7" t="s">
        <v>6</v>
      </c>
      <c r="P48" s="7"/>
      <c r="Q48" s="7"/>
      <c r="R48" s="6" t="str">
        <f>Tab_Data_Flows[[#This Row],[Flow_ID]]&amp;"_"&amp;"material_"&amp;Tab_Data_Flows[[#This Row],[Flow_Data_Year]]</f>
        <v>F_01_02_material_2071</v>
      </c>
      <c r="S48" s="12">
        <f t="shared" si="0"/>
        <v>608341.20822400006</v>
      </c>
      <c r="T48" s="6" t="str">
        <f>Tab_Data_Flows[[#This Row],[UoM_Source]]</f>
        <v>Mg</v>
      </c>
      <c r="U48" s="139">
        <f>INDEX(Tab_Def_Flows[[Flow_ID]:[CC_DM_source]],MATCH(Tab_Data_Flows[[#This Row],[Flow_Name]],Tab_Def_Flows[Flow_Name],0),11)</f>
        <v>0.23841961794348115</v>
      </c>
      <c r="V48" s="6" t="str">
        <f>Tab_Data_Flows[[#This Row],[Flow_ID]]&amp;"_"&amp;"WC_"&amp;Tab_Data_Flows[[#This Row],[Flow_Data_Year]]</f>
        <v>F_01_02_WC_2071</v>
      </c>
      <c r="W48" s="6">
        <f>IF(D48="Yes",S48*Tab_Data_Flows[[#This Row],[WC_'[%']]],"N.A.")</f>
        <v>145040.4784440418</v>
      </c>
      <c r="X48" s="6" t="str">
        <f>Tab_Data_Flows[[#This Row],[UoM_Flow_Py]]</f>
        <v>Mg</v>
      </c>
      <c r="Y48" s="139">
        <f>INDEX(Tab_Def_Flows[[Flow_ID]:[CC_DM_source]],MATCH(Tab_Data_Flows[[#This Row],[Flow_Name]],Tab_Def_Flows[Flow_Name],0),14)</f>
        <v>0.76158038205651879</v>
      </c>
      <c r="Z48" s="6" t="str">
        <f>Tab_Data_Flows[[#This Row],[Flow_ID]]&amp;"_"&amp;"DM_"&amp;Tab_Data_Flows[[#This Row],[Flow_Data_Year]]</f>
        <v>F_01_02_DM_2071</v>
      </c>
      <c r="AA48" s="6">
        <f>IF(E48="Yes",Y48*Tab_Data_Flows[[#This Row],[Flow_Material]],"N.A.")</f>
        <v>463300.7297799582</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F_01_02_CC_2071</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F_01_02</v>
      </c>
      <c r="C49" s="138" t="s">
        <v>475</v>
      </c>
      <c r="D49" s="9" t="str">
        <f>_xlfn.XLOOKUP(C49,Tab_Def_Flows[Flow_Name],Tab_Def_Flows[WC?],,0,)</f>
        <v>Yes</v>
      </c>
      <c r="E49" s="9" t="str">
        <f>_xlfn.XLOOKUP(C49,Tab_Def_Flows[Flow_Name],Tab_Def_Flows[DM?],,0,)</f>
        <v>Yes</v>
      </c>
      <c r="F49" s="9" t="str">
        <f>_xlfn.XLOOKUP(C49,Tab_Def_Flows[Flow_Name],Tab_Def_Flows[CC?],,0,)</f>
        <v>Yes</v>
      </c>
      <c r="G49" s="7">
        <v>2072</v>
      </c>
      <c r="H49" s="21">
        <v>643285.60353600001</v>
      </c>
      <c r="I49" s="6" t="str">
        <f>'0_Configuration'!$C$4</f>
        <v>Mg</v>
      </c>
      <c r="J49" s="13"/>
      <c r="K49" s="13"/>
      <c r="L49" s="13"/>
      <c r="M49" s="13"/>
      <c r="N49" s="13"/>
      <c r="O49" s="7" t="s">
        <v>6</v>
      </c>
      <c r="P49" s="7"/>
      <c r="Q49" s="7"/>
      <c r="R49" s="6" t="str">
        <f>Tab_Data_Flows[[#This Row],[Flow_ID]]&amp;"_"&amp;"material_"&amp;Tab_Data_Flows[[#This Row],[Flow_Data_Year]]</f>
        <v>F_01_02_material_2072</v>
      </c>
      <c r="S49" s="12">
        <f t="shared" si="0"/>
        <v>643285.60353600001</v>
      </c>
      <c r="T49" s="6" t="str">
        <f>Tab_Data_Flows[[#This Row],[UoM_Source]]</f>
        <v>Mg</v>
      </c>
      <c r="U49" s="139">
        <f>INDEX(Tab_Def_Flows[[Flow_ID]:[CC_DM_source]],MATCH(Tab_Data_Flows[[#This Row],[Flow_Name]],Tab_Def_Flows[Flow_Name],0),11)</f>
        <v>0.23841961794348115</v>
      </c>
      <c r="V49" s="6" t="str">
        <f>Tab_Data_Flows[[#This Row],[Flow_ID]]&amp;"_"&amp;"WC_"&amp;Tab_Data_Flows[[#This Row],[Flow_Data_Year]]</f>
        <v>F_01_02_WC_2072</v>
      </c>
      <c r="W49" s="6">
        <f>IF(D49="Yes",S49*Tab_Data_Flows[[#This Row],[WC_'[%']]],"N.A.")</f>
        <v>153371.90782359481</v>
      </c>
      <c r="X49" s="6" t="str">
        <f>Tab_Data_Flows[[#This Row],[UoM_Flow_Py]]</f>
        <v>Mg</v>
      </c>
      <c r="Y49" s="139">
        <f>INDEX(Tab_Def_Flows[[Flow_ID]:[CC_DM_source]],MATCH(Tab_Data_Flows[[#This Row],[Flow_Name]],Tab_Def_Flows[Flow_Name],0),14)</f>
        <v>0.76158038205651879</v>
      </c>
      <c r="Z49" s="6" t="str">
        <f>Tab_Data_Flows[[#This Row],[Flow_ID]]&amp;"_"&amp;"DM_"&amp;Tab_Data_Flows[[#This Row],[Flow_Data_Year]]</f>
        <v>F_01_02_DM_2072</v>
      </c>
      <c r="AA49" s="6">
        <f>IF(E49="Yes",Y49*Tab_Data_Flows[[#This Row],[Flow_Material]],"N.A.")</f>
        <v>489913.69571240514</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F_01_02_CC_2072</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F_01_02</v>
      </c>
      <c r="C50" s="138" t="s">
        <v>475</v>
      </c>
      <c r="D50" s="9" t="str">
        <f>_xlfn.XLOOKUP(C50,Tab_Def_Flows[Flow_Name],Tab_Def_Flows[WC?],,0,)</f>
        <v>Yes</v>
      </c>
      <c r="E50" s="9" t="str">
        <f>_xlfn.XLOOKUP(C50,Tab_Def_Flows[Flow_Name],Tab_Def_Flows[DM?],,0,)</f>
        <v>Yes</v>
      </c>
      <c r="F50" s="9" t="str">
        <f>_xlfn.XLOOKUP(C50,Tab_Def_Flows[Flow_Name],Tab_Def_Flows[CC?],,0,)</f>
        <v>Yes</v>
      </c>
      <c r="G50" s="7">
        <v>2073</v>
      </c>
      <c r="H50" s="21">
        <v>528557.55737599998</v>
      </c>
      <c r="I50" s="6" t="str">
        <f>'0_Configuration'!$C$4</f>
        <v>Mg</v>
      </c>
      <c r="J50" s="13"/>
      <c r="K50" s="13"/>
      <c r="L50" s="13"/>
      <c r="M50" s="13"/>
      <c r="N50" s="13"/>
      <c r="O50" s="7" t="s">
        <v>6</v>
      </c>
      <c r="P50" s="7"/>
      <c r="Q50" s="7"/>
      <c r="R50" s="6" t="str">
        <f>Tab_Data_Flows[[#This Row],[Flow_ID]]&amp;"_"&amp;"material_"&amp;Tab_Data_Flows[[#This Row],[Flow_Data_Year]]</f>
        <v>F_01_02_material_2073</v>
      </c>
      <c r="S50" s="12">
        <f t="shared" si="0"/>
        <v>528557.55737599998</v>
      </c>
      <c r="T50" s="6" t="str">
        <f>Tab_Data_Flows[[#This Row],[UoM_Source]]</f>
        <v>Mg</v>
      </c>
      <c r="U50" s="139">
        <f>INDEX(Tab_Def_Flows[[Flow_ID]:[CC_DM_source]],MATCH(Tab_Data_Flows[[#This Row],[Flow_Name]],Tab_Def_Flows[Flow_Name],0),11)</f>
        <v>0.23841961794348115</v>
      </c>
      <c r="V50" s="6" t="str">
        <f>Tab_Data_Flows[[#This Row],[Flow_ID]]&amp;"_"&amp;"WC_"&amp;Tab_Data_Flows[[#This Row],[Flow_Data_Year]]</f>
        <v>F_01_02_WC_2073</v>
      </c>
      <c r="W50" s="6">
        <f>IF(D50="Yes",S50*Tab_Data_Flows[[#This Row],[WC_'[%']]],"N.A.")</f>
        <v>126018.49089072553</v>
      </c>
      <c r="X50" s="6" t="str">
        <f>Tab_Data_Flows[[#This Row],[UoM_Flow_Py]]</f>
        <v>Mg</v>
      </c>
      <c r="Y50" s="139">
        <f>INDEX(Tab_Def_Flows[[Flow_ID]:[CC_DM_source]],MATCH(Tab_Data_Flows[[#This Row],[Flow_Name]],Tab_Def_Flows[Flow_Name],0),14)</f>
        <v>0.76158038205651879</v>
      </c>
      <c r="Z50" s="6" t="str">
        <f>Tab_Data_Flows[[#This Row],[Flow_ID]]&amp;"_"&amp;"DM_"&amp;Tab_Data_Flows[[#This Row],[Flow_Data_Year]]</f>
        <v>F_01_02_DM_2073</v>
      </c>
      <c r="AA50" s="6">
        <f>IF(E50="Yes",Y50*Tab_Data_Flows[[#This Row],[Flow_Material]],"N.A.")</f>
        <v>402539.06648527441</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F_01_02_CC_2073</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F_01_02</v>
      </c>
      <c r="C51" s="138" t="s">
        <v>475</v>
      </c>
      <c r="D51" s="9" t="str">
        <f>_xlfn.XLOOKUP(C51,Tab_Def_Flows[Flow_Name],Tab_Def_Flows[WC?],,0,)</f>
        <v>Yes</v>
      </c>
      <c r="E51" s="9" t="str">
        <f>_xlfn.XLOOKUP(C51,Tab_Def_Flows[Flow_Name],Tab_Def_Flows[DM?],,0,)</f>
        <v>Yes</v>
      </c>
      <c r="F51" s="9" t="str">
        <f>_xlfn.XLOOKUP(C51,Tab_Def_Flows[Flow_Name],Tab_Def_Flows[CC?],,0,)</f>
        <v>Yes</v>
      </c>
      <c r="G51" s="7">
        <v>2074</v>
      </c>
      <c r="H51" s="21">
        <v>568232.55920000002</v>
      </c>
      <c r="I51" s="6" t="str">
        <f>'0_Configuration'!$C$4</f>
        <v>Mg</v>
      </c>
      <c r="J51" s="13"/>
      <c r="K51" s="13"/>
      <c r="L51" s="13"/>
      <c r="M51" s="13"/>
      <c r="N51" s="13"/>
      <c r="O51" s="7" t="s">
        <v>6</v>
      </c>
      <c r="P51" s="7"/>
      <c r="Q51" s="7"/>
      <c r="R51" s="6" t="str">
        <f>Tab_Data_Flows[[#This Row],[Flow_ID]]&amp;"_"&amp;"material_"&amp;Tab_Data_Flows[[#This Row],[Flow_Data_Year]]</f>
        <v>F_01_02_material_2074</v>
      </c>
      <c r="S51" s="12">
        <f t="shared" si="0"/>
        <v>568232.55920000002</v>
      </c>
      <c r="T51" s="6" t="str">
        <f>Tab_Data_Flows[[#This Row],[UoM_Source]]</f>
        <v>Mg</v>
      </c>
      <c r="U51" s="139">
        <f>INDEX(Tab_Def_Flows[[Flow_ID]:[CC_DM_source]],MATCH(Tab_Data_Flows[[#This Row],[Flow_Name]],Tab_Def_Flows[Flow_Name],0),11)</f>
        <v>0.23841961794348115</v>
      </c>
      <c r="V51" s="6" t="str">
        <f>Tab_Data_Flows[[#This Row],[Flow_ID]]&amp;"_"&amp;"WC_"&amp;Tab_Data_Flows[[#This Row],[Flow_Data_Year]]</f>
        <v>F_01_02_WC_2074</v>
      </c>
      <c r="W51" s="6">
        <f>IF(D51="Yes",S51*Tab_Data_Flows[[#This Row],[WC_'[%']]],"N.A.")</f>
        <v>135477.78966751054</v>
      </c>
      <c r="X51" s="6" t="str">
        <f>Tab_Data_Flows[[#This Row],[UoM_Flow_Py]]</f>
        <v>Mg</v>
      </c>
      <c r="Y51" s="139">
        <f>INDEX(Tab_Def_Flows[[Flow_ID]:[CC_DM_source]],MATCH(Tab_Data_Flows[[#This Row],[Flow_Name]],Tab_Def_Flows[Flow_Name],0),14)</f>
        <v>0.76158038205651879</v>
      </c>
      <c r="Z51" s="6" t="str">
        <f>Tab_Data_Flows[[#This Row],[Flow_ID]]&amp;"_"&amp;"DM_"&amp;Tab_Data_Flows[[#This Row],[Flow_Data_Year]]</f>
        <v>F_01_02_DM_2074</v>
      </c>
      <c r="AA51" s="6">
        <f>IF(E51="Yes",Y51*Tab_Data_Flows[[#This Row],[Flow_Material]],"N.A.")</f>
        <v>432754.76953248942</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F_01_02_CC_2074</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F_01_02</v>
      </c>
      <c r="C52" s="138" t="s">
        <v>475</v>
      </c>
      <c r="D52" s="9" t="str">
        <f>_xlfn.XLOOKUP(C52,Tab_Def_Flows[Flow_Name],Tab_Def_Flows[WC?],,0,)</f>
        <v>Yes</v>
      </c>
      <c r="E52" s="9" t="str">
        <f>_xlfn.XLOOKUP(C52,Tab_Def_Flows[Flow_Name],Tab_Def_Flows[DM?],,0,)</f>
        <v>Yes</v>
      </c>
      <c r="F52" s="9" t="str">
        <f>_xlfn.XLOOKUP(C52,Tab_Def_Flows[Flow_Name],Tab_Def_Flows[CC?],,0,)</f>
        <v>Yes</v>
      </c>
      <c r="G52" s="7">
        <v>2075</v>
      </c>
      <c r="H52" s="21">
        <v>482460.90699199995</v>
      </c>
      <c r="I52" s="6" t="str">
        <f>'0_Configuration'!$C$4</f>
        <v>Mg</v>
      </c>
      <c r="J52" s="13"/>
      <c r="K52" s="13"/>
      <c r="L52" s="13"/>
      <c r="M52" s="13"/>
      <c r="N52" s="13"/>
      <c r="O52" s="7" t="s">
        <v>6</v>
      </c>
      <c r="P52" s="7"/>
      <c r="Q52" s="7"/>
      <c r="R52" s="6" t="str">
        <f>Tab_Data_Flows[[#This Row],[Flow_ID]]&amp;"_"&amp;"material_"&amp;Tab_Data_Flows[[#This Row],[Flow_Data_Year]]</f>
        <v>F_01_02_material_2075</v>
      </c>
      <c r="S52" s="12">
        <f t="shared" si="0"/>
        <v>482460.90699199995</v>
      </c>
      <c r="T52" s="6" t="str">
        <f>Tab_Data_Flows[[#This Row],[UoM_Source]]</f>
        <v>Mg</v>
      </c>
      <c r="U52" s="139">
        <f>INDEX(Tab_Def_Flows[[Flow_ID]:[CC_DM_source]],MATCH(Tab_Data_Flows[[#This Row],[Flow_Name]],Tab_Def_Flows[Flow_Name],0),11)</f>
        <v>0.23841961794348115</v>
      </c>
      <c r="V52" s="6" t="str">
        <f>Tab_Data_Flows[[#This Row],[Flow_ID]]&amp;"_"&amp;"WC_"&amp;Tab_Data_Flows[[#This Row],[Flow_Data_Year]]</f>
        <v>F_01_02_WC_2075</v>
      </c>
      <c r="W52" s="6">
        <f>IF(D52="Yes",S52*Tab_Data_Flows[[#This Row],[WC_'[%']]],"N.A.")</f>
        <v>115028.14511769802</v>
      </c>
      <c r="X52" s="6" t="str">
        <f>Tab_Data_Flows[[#This Row],[UoM_Flow_Py]]</f>
        <v>Mg</v>
      </c>
      <c r="Y52" s="139">
        <f>INDEX(Tab_Def_Flows[[Flow_ID]:[CC_DM_source]],MATCH(Tab_Data_Flows[[#This Row],[Flow_Name]],Tab_Def_Flows[Flow_Name],0),14)</f>
        <v>0.76158038205651879</v>
      </c>
      <c r="Z52" s="6" t="str">
        <f>Tab_Data_Flows[[#This Row],[Flow_ID]]&amp;"_"&amp;"DM_"&amp;Tab_Data_Flows[[#This Row],[Flow_Data_Year]]</f>
        <v>F_01_02_DM_2075</v>
      </c>
      <c r="AA52" s="6">
        <f>IF(E52="Yes",Y52*Tab_Data_Flows[[#This Row],[Flow_Material]],"N.A.")</f>
        <v>367432.76187430188</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F_01_02_CC_2075</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F_01_02</v>
      </c>
      <c r="C53" s="138" t="s">
        <v>475</v>
      </c>
      <c r="D53" s="9" t="str">
        <f>_xlfn.XLOOKUP(C53,Tab_Def_Flows[Flow_Name],Tab_Def_Flows[WC?],,0,)</f>
        <v>Yes</v>
      </c>
      <c r="E53" s="9" t="str">
        <f>_xlfn.XLOOKUP(C53,Tab_Def_Flows[Flow_Name],Tab_Def_Flows[DM?],,0,)</f>
        <v>Yes</v>
      </c>
      <c r="F53" s="9" t="str">
        <f>_xlfn.XLOOKUP(C53,Tab_Def_Flows[Flow_Name],Tab_Def_Flows[CC?],,0,)</f>
        <v>Yes</v>
      </c>
      <c r="G53" s="7">
        <v>2076</v>
      </c>
      <c r="H53" s="21">
        <v>505601.97161600005</v>
      </c>
      <c r="I53" s="6" t="str">
        <f>'0_Configuration'!$C$4</f>
        <v>Mg</v>
      </c>
      <c r="J53" s="13"/>
      <c r="K53" s="13"/>
      <c r="L53" s="13"/>
      <c r="M53" s="13"/>
      <c r="N53" s="13"/>
      <c r="O53" s="7" t="s">
        <v>6</v>
      </c>
      <c r="P53" s="7"/>
      <c r="Q53" s="7"/>
      <c r="R53" s="6" t="str">
        <f>Tab_Data_Flows[[#This Row],[Flow_ID]]&amp;"_"&amp;"material_"&amp;Tab_Data_Flows[[#This Row],[Flow_Data_Year]]</f>
        <v>F_01_02_material_2076</v>
      </c>
      <c r="S53" s="12">
        <f t="shared" si="0"/>
        <v>505601.97161600005</v>
      </c>
      <c r="T53" s="6" t="str">
        <f>Tab_Data_Flows[[#This Row],[UoM_Source]]</f>
        <v>Mg</v>
      </c>
      <c r="U53" s="139">
        <f>INDEX(Tab_Def_Flows[[Flow_ID]:[CC_DM_source]],MATCH(Tab_Data_Flows[[#This Row],[Flow_Name]],Tab_Def_Flows[Flow_Name],0),11)</f>
        <v>0.23841961794348115</v>
      </c>
      <c r="V53" s="6" t="str">
        <f>Tab_Data_Flows[[#This Row],[Flow_ID]]&amp;"_"&amp;"WC_"&amp;Tab_Data_Flows[[#This Row],[Flow_Data_Year]]</f>
        <v>F_01_02_WC_2076</v>
      </c>
      <c r="W53" s="6">
        <f>IF(D53="Yes",S53*Tab_Data_Flows[[#This Row],[WC_'[%']]],"N.A.")</f>
        <v>120545.42890415754</v>
      </c>
      <c r="X53" s="6" t="str">
        <f>Tab_Data_Flows[[#This Row],[UoM_Flow_Py]]</f>
        <v>Mg</v>
      </c>
      <c r="Y53" s="139">
        <f>INDEX(Tab_Def_Flows[[Flow_ID]:[CC_DM_source]],MATCH(Tab_Data_Flows[[#This Row],[Flow_Name]],Tab_Def_Flows[Flow_Name],0),14)</f>
        <v>0.76158038205651879</v>
      </c>
      <c r="Z53" s="6" t="str">
        <f>Tab_Data_Flows[[#This Row],[Flow_ID]]&amp;"_"&amp;"DM_"&amp;Tab_Data_Flows[[#This Row],[Flow_Data_Year]]</f>
        <v>F_01_02_DM_2076</v>
      </c>
      <c r="AA53" s="6">
        <f>IF(E53="Yes",Y53*Tab_Data_Flows[[#This Row],[Flow_Material]],"N.A.")</f>
        <v>385056.54271184251</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F_01_02_CC_2076</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F_01_02</v>
      </c>
      <c r="C54" s="138" t="s">
        <v>475</v>
      </c>
      <c r="D54" s="9" t="str">
        <f>_xlfn.XLOOKUP(C54,Tab_Def_Flows[Flow_Name],Tab_Def_Flows[WC?],,0,)</f>
        <v>Yes</v>
      </c>
      <c r="E54" s="9" t="str">
        <f>_xlfn.XLOOKUP(C54,Tab_Def_Flows[Flow_Name],Tab_Def_Flows[DM?],,0,)</f>
        <v>Yes</v>
      </c>
      <c r="F54" s="9" t="str">
        <f>_xlfn.XLOOKUP(C54,Tab_Def_Flows[Flow_Name],Tab_Def_Flows[CC?],,0,)</f>
        <v>Yes</v>
      </c>
      <c r="G54" s="7">
        <v>2077</v>
      </c>
      <c r="H54" s="21">
        <v>496927.14857600001</v>
      </c>
      <c r="I54" s="6" t="str">
        <f>'0_Configuration'!$C$4</f>
        <v>Mg</v>
      </c>
      <c r="J54" s="13"/>
      <c r="K54" s="13"/>
      <c r="L54" s="13"/>
      <c r="M54" s="13"/>
      <c r="N54" s="13"/>
      <c r="O54" s="7" t="s">
        <v>6</v>
      </c>
      <c r="P54" s="7"/>
      <c r="Q54" s="7"/>
      <c r="R54" s="6" t="str">
        <f>Tab_Data_Flows[[#This Row],[Flow_ID]]&amp;"_"&amp;"material_"&amp;Tab_Data_Flows[[#This Row],[Flow_Data_Year]]</f>
        <v>F_01_02_material_2077</v>
      </c>
      <c r="S54" s="12">
        <f t="shared" si="0"/>
        <v>496927.14857600001</v>
      </c>
      <c r="T54" s="6" t="str">
        <f>Tab_Data_Flows[[#This Row],[UoM_Source]]</f>
        <v>Mg</v>
      </c>
      <c r="U54" s="139">
        <f>INDEX(Tab_Def_Flows[[Flow_ID]:[CC_DM_source]],MATCH(Tab_Data_Flows[[#This Row],[Flow_Name]],Tab_Def_Flows[Flow_Name],0),11)</f>
        <v>0.23841961794348115</v>
      </c>
      <c r="V54" s="6" t="str">
        <f>Tab_Data_Flows[[#This Row],[Flow_ID]]&amp;"_"&amp;"WC_"&amp;Tab_Data_Flows[[#This Row],[Flow_Data_Year]]</f>
        <v>F_01_02_WC_2077</v>
      </c>
      <c r="W54" s="6">
        <f>IF(D54="Yes",S54*Tab_Data_Flows[[#This Row],[WC_'[%']]],"N.A.")</f>
        <v>118477.18090923342</v>
      </c>
      <c r="X54" s="6" t="str">
        <f>Tab_Data_Flows[[#This Row],[UoM_Flow_Py]]</f>
        <v>Mg</v>
      </c>
      <c r="Y54" s="139">
        <f>INDEX(Tab_Def_Flows[[Flow_ID]:[CC_DM_source]],MATCH(Tab_Data_Flows[[#This Row],[Flow_Name]],Tab_Def_Flows[Flow_Name],0),14)</f>
        <v>0.76158038205651879</v>
      </c>
      <c r="Z54" s="6" t="str">
        <f>Tab_Data_Flows[[#This Row],[Flow_ID]]&amp;"_"&amp;"DM_"&amp;Tab_Data_Flows[[#This Row],[Flow_Data_Year]]</f>
        <v>F_01_02_DM_2077</v>
      </c>
      <c r="AA54" s="6">
        <f>IF(E54="Yes",Y54*Tab_Data_Flows[[#This Row],[Flow_Material]],"N.A.")</f>
        <v>378449.96766676655</v>
      </c>
      <c r="AB54" s="6" t="str">
        <f>Tab_Data_Flows[[#This Row],[UoM_Flow_Py]]</f>
        <v>Mg</v>
      </c>
      <c r="AC54" s="139">
        <f>INDEX(Tab_Def_Flows[[Flow_ID]:[CC_DM_source]],MATCH(Tab_Data_Flows[[#This Row],[Flow_Name]],Tab_Def_Flows[Flow_Name],0),17)</f>
        <v>0</v>
      </c>
      <c r="AD54" s="6" t="str">
        <f>Tab_Data_Flows[[#This Row],[Flow_ID]]&amp;"_"&amp;"CC_"&amp;Tab_Data_Flows[[#This Row],[Flow_Data_Year]]</f>
        <v>F_01_02_CC_2077</v>
      </c>
      <c r="AE54" s="6">
        <f>IF(F54="Yes",AC54*Tab_Data_Flows[[#This Row],[Flow_Material]]*Tab_Data_Flows[[#This Row],[DM_'[%']]],"N.A.")</f>
        <v>0</v>
      </c>
      <c r="AF54" s="6" t="str">
        <f>Tab_Data_Flows[[#This Row],[UoM_Flow_Py]]</f>
        <v>Mg</v>
      </c>
      <c r="AG54"/>
    </row>
    <row r="55" spans="1:33" x14ac:dyDescent="0.25">
      <c r="A55" s="8">
        <f t="shared" si="1"/>
        <v>54</v>
      </c>
      <c r="B55" s="6" t="str">
        <f>_xlfn.XLOOKUP(C55,Tab_Def_Flows[Flow_Name],Tab_Def_Flows[Flow_ID],,0,)</f>
        <v>F_01_02</v>
      </c>
      <c r="C55" s="138" t="s">
        <v>475</v>
      </c>
      <c r="D55" s="9" t="str">
        <f>_xlfn.XLOOKUP(C55,Tab_Def_Flows[Flow_Name],Tab_Def_Flows[WC?],,0,)</f>
        <v>Yes</v>
      </c>
      <c r="E55" s="9" t="str">
        <f>_xlfn.XLOOKUP(C55,Tab_Def_Flows[Flow_Name],Tab_Def_Flows[DM?],,0,)</f>
        <v>Yes</v>
      </c>
      <c r="F55" s="9" t="str">
        <f>_xlfn.XLOOKUP(C55,Tab_Def_Flows[Flow_Name],Tab_Def_Flows[CC?],,0,)</f>
        <v>Yes</v>
      </c>
      <c r="G55" s="7">
        <v>2078</v>
      </c>
      <c r="H55" s="21">
        <v>564289.22934400011</v>
      </c>
      <c r="I55" s="6" t="str">
        <f>'0_Configuration'!$C$4</f>
        <v>Mg</v>
      </c>
      <c r="J55" s="13"/>
      <c r="K55" s="13"/>
      <c r="L55" s="13"/>
      <c r="M55" s="13"/>
      <c r="N55" s="13"/>
      <c r="O55" s="7" t="s">
        <v>6</v>
      </c>
      <c r="P55" s="7"/>
      <c r="Q55" s="7"/>
      <c r="R55" s="6" t="str">
        <f>Tab_Data_Flows[[#This Row],[Flow_ID]]&amp;"_"&amp;"material_"&amp;Tab_Data_Flows[[#This Row],[Flow_Data_Year]]</f>
        <v>F_01_02_material_2078</v>
      </c>
      <c r="S55" s="12">
        <f t="shared" si="0"/>
        <v>564289.22934400011</v>
      </c>
      <c r="T55" s="6" t="str">
        <f>Tab_Data_Flows[[#This Row],[UoM_Source]]</f>
        <v>Mg</v>
      </c>
      <c r="U55" s="139">
        <f>INDEX(Tab_Def_Flows[[Flow_ID]:[CC_DM_source]],MATCH(Tab_Data_Flows[[#This Row],[Flow_Name]],Tab_Def_Flows[Flow_Name],0),11)</f>
        <v>0.23841961794348115</v>
      </c>
      <c r="V55" s="6" t="str">
        <f>Tab_Data_Flows[[#This Row],[Flow_ID]]&amp;"_"&amp;"WC_"&amp;Tab_Data_Flows[[#This Row],[Flow_Data_Year]]</f>
        <v>F_01_02_WC_2078</v>
      </c>
      <c r="W55" s="6">
        <f>IF(D55="Yes",S55*Tab_Data_Flows[[#This Row],[WC_'[%']]],"N.A.")</f>
        <v>134537.62246981793</v>
      </c>
      <c r="X55" s="6" t="str">
        <f>Tab_Data_Flows[[#This Row],[UoM_Flow_Py]]</f>
        <v>Mg</v>
      </c>
      <c r="Y55" s="139">
        <f>INDEX(Tab_Def_Flows[[Flow_ID]:[CC_DM_source]],MATCH(Tab_Data_Flows[[#This Row],[Flow_Name]],Tab_Def_Flows[Flow_Name],0),14)</f>
        <v>0.76158038205651879</v>
      </c>
      <c r="Z55" s="6" t="str">
        <f>Tab_Data_Flows[[#This Row],[Flow_ID]]&amp;"_"&amp;"DM_"&amp;Tab_Data_Flows[[#This Row],[Flow_Data_Year]]</f>
        <v>F_01_02_DM_2078</v>
      </c>
      <c r="AA55" s="6">
        <f>IF(E55="Yes",Y55*Tab_Data_Flows[[#This Row],[Flow_Material]],"N.A.")</f>
        <v>429751.60687418218</v>
      </c>
      <c r="AB55" s="6" t="str">
        <f>Tab_Data_Flows[[#This Row],[UoM_Flow_Py]]</f>
        <v>Mg</v>
      </c>
      <c r="AC55" s="139">
        <f>INDEX(Tab_Def_Flows[[Flow_ID]:[CC_DM_source]],MATCH(Tab_Data_Flows[[#This Row],[Flow_Name]],Tab_Def_Flows[Flow_Name],0),17)</f>
        <v>0</v>
      </c>
      <c r="AD55" s="6" t="str">
        <f>Tab_Data_Flows[[#This Row],[Flow_ID]]&amp;"_"&amp;"CC_"&amp;Tab_Data_Flows[[#This Row],[Flow_Data_Year]]</f>
        <v>F_01_02_CC_2078</v>
      </c>
      <c r="AE55" s="6">
        <f>IF(F55="Yes",AC55*Tab_Data_Flows[[#This Row],[Flow_Material]]*Tab_Data_Flows[[#This Row],[DM_'[%']]],"N.A.")</f>
        <v>0</v>
      </c>
      <c r="AF55" s="6" t="str">
        <f>Tab_Data_Flows[[#This Row],[UoM_Flow_Py]]</f>
        <v>Mg</v>
      </c>
      <c r="AG55"/>
    </row>
    <row r="56" spans="1:33" x14ac:dyDescent="0.25">
      <c r="A56" s="8">
        <f t="shared" si="1"/>
        <v>55</v>
      </c>
      <c r="B56" s="6" t="str">
        <f>_xlfn.XLOOKUP(C56,Tab_Def_Flows[Flow_Name],Tab_Def_Flows[Flow_ID],,0,)</f>
        <v>F_01_02</v>
      </c>
      <c r="C56" s="138" t="s">
        <v>475</v>
      </c>
      <c r="D56" s="9" t="str">
        <f>_xlfn.XLOOKUP(C56,Tab_Def_Flows[Flow_Name],Tab_Def_Flows[WC?],,0,)</f>
        <v>Yes</v>
      </c>
      <c r="E56" s="9" t="str">
        <f>_xlfn.XLOOKUP(C56,Tab_Def_Flows[Flow_Name],Tab_Def_Flows[DM?],,0,)</f>
        <v>Yes</v>
      </c>
      <c r="F56" s="9" t="str">
        <f>_xlfn.XLOOKUP(C56,Tab_Def_Flows[Flow_Name],Tab_Def_Flows[CC?],,0,)</f>
        <v>Yes</v>
      </c>
      <c r="G56" s="7">
        <v>2079</v>
      </c>
      <c r="H56" s="21">
        <v>601979.35424000002</v>
      </c>
      <c r="I56" s="6" t="str">
        <f>'0_Configuration'!$C$4</f>
        <v>Mg</v>
      </c>
      <c r="J56" s="13"/>
      <c r="K56" s="13"/>
      <c r="L56" s="13"/>
      <c r="M56" s="13"/>
      <c r="N56" s="13"/>
      <c r="O56" s="7" t="s">
        <v>6</v>
      </c>
      <c r="P56" s="7"/>
      <c r="Q56" s="7"/>
      <c r="R56" s="6" t="str">
        <f>Tab_Data_Flows[[#This Row],[Flow_ID]]&amp;"_"&amp;"material_"&amp;Tab_Data_Flows[[#This Row],[Flow_Data_Year]]</f>
        <v>F_01_02_material_2079</v>
      </c>
      <c r="S56" s="12">
        <f t="shared" si="0"/>
        <v>601979.35424000002</v>
      </c>
      <c r="T56" s="6" t="str">
        <f>Tab_Data_Flows[[#This Row],[UoM_Source]]</f>
        <v>Mg</v>
      </c>
      <c r="U56" s="139">
        <f>INDEX(Tab_Def_Flows[[Flow_ID]:[CC_DM_source]],MATCH(Tab_Data_Flows[[#This Row],[Flow_Name]],Tab_Def_Flows[Flow_Name],0),11)</f>
        <v>0.23841961794348115</v>
      </c>
      <c r="V56" s="6" t="str">
        <f>Tab_Data_Flows[[#This Row],[Flow_ID]]&amp;"_"&amp;"WC_"&amp;Tab_Data_Flows[[#This Row],[Flow_Data_Year]]</f>
        <v>F_01_02_WC_2079</v>
      </c>
      <c r="W56" s="6">
        <f>IF(D56="Yes",S56*Tab_Data_Flows[[#This Row],[WC_'[%']]],"N.A.")</f>
        <v>143523.68764776431</v>
      </c>
      <c r="X56" s="6" t="str">
        <f>Tab_Data_Flows[[#This Row],[UoM_Flow_Py]]</f>
        <v>Mg</v>
      </c>
      <c r="Y56" s="139">
        <f>INDEX(Tab_Def_Flows[[Flow_ID]:[CC_DM_source]],MATCH(Tab_Data_Flows[[#This Row],[Flow_Name]],Tab_Def_Flows[Flow_Name],0),14)</f>
        <v>0.76158038205651879</v>
      </c>
      <c r="Z56" s="6" t="str">
        <f>Tab_Data_Flows[[#This Row],[Flow_ID]]&amp;"_"&amp;"DM_"&amp;Tab_Data_Flows[[#This Row],[Flow_Data_Year]]</f>
        <v>F_01_02_DM_2079</v>
      </c>
      <c r="AA56" s="6">
        <f>IF(E56="Yes",Y56*Tab_Data_Flows[[#This Row],[Flow_Material]],"N.A.")</f>
        <v>458455.66659223568</v>
      </c>
      <c r="AB56" s="6" t="str">
        <f>Tab_Data_Flows[[#This Row],[UoM_Flow_Py]]</f>
        <v>Mg</v>
      </c>
      <c r="AC56" s="139">
        <f>INDEX(Tab_Def_Flows[[Flow_ID]:[CC_DM_source]],MATCH(Tab_Data_Flows[[#This Row],[Flow_Name]],Tab_Def_Flows[Flow_Name],0),17)</f>
        <v>0</v>
      </c>
      <c r="AD56" s="6" t="str">
        <f>Tab_Data_Flows[[#This Row],[Flow_ID]]&amp;"_"&amp;"CC_"&amp;Tab_Data_Flows[[#This Row],[Flow_Data_Year]]</f>
        <v>F_01_02_CC_2079</v>
      </c>
      <c r="AE56" s="6">
        <f>IF(F56="Yes",AC56*Tab_Data_Flows[[#This Row],[Flow_Material]]*Tab_Data_Flows[[#This Row],[DM_'[%']]],"N.A.")</f>
        <v>0</v>
      </c>
      <c r="AF56" s="6" t="str">
        <f>Tab_Data_Flows[[#This Row],[UoM_Flow_Py]]</f>
        <v>Mg</v>
      </c>
      <c r="AG56"/>
    </row>
    <row r="57" spans="1:33" x14ac:dyDescent="0.25">
      <c r="A57" s="8">
        <f t="shared" si="1"/>
        <v>56</v>
      </c>
      <c r="B57" s="6" t="str">
        <f>_xlfn.XLOOKUP(C57,Tab_Def_Flows[Flow_Name],Tab_Def_Flows[Flow_ID],,0,)</f>
        <v>F_01_02</v>
      </c>
      <c r="C57" s="138" t="s">
        <v>475</v>
      </c>
      <c r="D57" s="9" t="str">
        <f>_xlfn.XLOOKUP(C57,Tab_Def_Flows[Flow_Name],Tab_Def_Flows[WC?],,0,)</f>
        <v>Yes</v>
      </c>
      <c r="E57" s="9" t="str">
        <f>_xlfn.XLOOKUP(C57,Tab_Def_Flows[Flow_Name],Tab_Def_Flows[DM?],,0,)</f>
        <v>Yes</v>
      </c>
      <c r="F57" s="9" t="str">
        <f>_xlfn.XLOOKUP(C57,Tab_Def_Flows[Flow_Name],Tab_Def_Flows[CC?],,0,)</f>
        <v>Yes</v>
      </c>
      <c r="G57" s="7">
        <v>2080</v>
      </c>
      <c r="H57" s="21">
        <v>654570.00796800002</v>
      </c>
      <c r="I57" s="6" t="str">
        <f>'0_Configuration'!$C$4</f>
        <v>Mg</v>
      </c>
      <c r="J57" s="13"/>
      <c r="K57" s="13"/>
      <c r="L57" s="13"/>
      <c r="M57" s="13"/>
      <c r="N57" s="13"/>
      <c r="O57" s="7" t="s">
        <v>6</v>
      </c>
      <c r="P57" s="7"/>
      <c r="Q57" s="7"/>
      <c r="R57" s="6" t="str">
        <f>Tab_Data_Flows[[#This Row],[Flow_ID]]&amp;"_"&amp;"material_"&amp;Tab_Data_Flows[[#This Row],[Flow_Data_Year]]</f>
        <v>F_01_02_material_2080</v>
      </c>
      <c r="S57" s="12">
        <f t="shared" si="0"/>
        <v>654570.00796800002</v>
      </c>
      <c r="T57" s="6" t="str">
        <f>Tab_Data_Flows[[#This Row],[UoM_Source]]</f>
        <v>Mg</v>
      </c>
      <c r="U57" s="139">
        <f>INDEX(Tab_Def_Flows[[Flow_ID]:[CC_DM_source]],MATCH(Tab_Data_Flows[[#This Row],[Flow_Name]],Tab_Def_Flows[Flow_Name],0),11)</f>
        <v>0.23841961794348115</v>
      </c>
      <c r="V57" s="6" t="str">
        <f>Tab_Data_Flows[[#This Row],[Flow_ID]]&amp;"_"&amp;"WC_"&amp;Tab_Data_Flows[[#This Row],[Flow_Data_Year]]</f>
        <v>F_01_02_WC_2080</v>
      </c>
      <c r="W57" s="6">
        <f>IF(D57="Yes",S57*Tab_Data_Flows[[#This Row],[WC_'[%']]],"N.A.")</f>
        <v>156062.33121699197</v>
      </c>
      <c r="X57" s="6" t="str">
        <f>Tab_Data_Flows[[#This Row],[UoM_Flow_Py]]</f>
        <v>Mg</v>
      </c>
      <c r="Y57" s="139">
        <f>INDEX(Tab_Def_Flows[[Flow_ID]:[CC_DM_source]],MATCH(Tab_Data_Flows[[#This Row],[Flow_Name]],Tab_Def_Flows[Flow_Name],0),14)</f>
        <v>0.76158038205651879</v>
      </c>
      <c r="Z57" s="6" t="str">
        <f>Tab_Data_Flows[[#This Row],[Flow_ID]]&amp;"_"&amp;"DM_"&amp;Tab_Data_Flows[[#This Row],[Flow_Data_Year]]</f>
        <v>F_01_02_DM_2080</v>
      </c>
      <c r="AA57" s="6">
        <f>IF(E57="Yes",Y57*Tab_Data_Flows[[#This Row],[Flow_Material]],"N.A.")</f>
        <v>498507.67675100802</v>
      </c>
      <c r="AB57" s="6" t="str">
        <f>Tab_Data_Flows[[#This Row],[UoM_Flow_Py]]</f>
        <v>Mg</v>
      </c>
      <c r="AC57" s="139">
        <f>INDEX(Tab_Def_Flows[[Flow_ID]:[CC_DM_source]],MATCH(Tab_Data_Flows[[#This Row],[Flow_Name]],Tab_Def_Flows[Flow_Name],0),17)</f>
        <v>0</v>
      </c>
      <c r="AD57" s="6" t="str">
        <f>Tab_Data_Flows[[#This Row],[Flow_ID]]&amp;"_"&amp;"CC_"&amp;Tab_Data_Flows[[#This Row],[Flow_Data_Year]]</f>
        <v>F_01_02_CC_2080</v>
      </c>
      <c r="AE57" s="6">
        <f>IF(F57="Yes",AC57*Tab_Data_Flows[[#This Row],[Flow_Material]]*Tab_Data_Flows[[#This Row],[DM_'[%']]],"N.A.")</f>
        <v>0</v>
      </c>
      <c r="AF57" s="6" t="str">
        <f>Tab_Data_Flows[[#This Row],[UoM_Flow_Py]]</f>
        <v>Mg</v>
      </c>
      <c r="AG57"/>
    </row>
    <row r="58" spans="1:33" x14ac:dyDescent="0.25">
      <c r="A58" s="8">
        <f t="shared" si="1"/>
        <v>57</v>
      </c>
      <c r="B58" s="6" t="str">
        <f>_xlfn.XLOOKUP(C58,Tab_Def_Flows[Flow_Name],Tab_Def_Flows[Flow_ID],,0,)</f>
        <v>F_01_02</v>
      </c>
      <c r="C58" s="138" t="s">
        <v>475</v>
      </c>
      <c r="D58" s="9" t="str">
        <f>_xlfn.XLOOKUP(C58,Tab_Def_Flows[Flow_Name],Tab_Def_Flows[WC?],,0,)</f>
        <v>Yes</v>
      </c>
      <c r="E58" s="9" t="str">
        <f>_xlfn.XLOOKUP(C58,Tab_Def_Flows[Flow_Name],Tab_Def_Flows[DM?],,0,)</f>
        <v>Yes</v>
      </c>
      <c r="F58" s="9" t="str">
        <f>_xlfn.XLOOKUP(C58,Tab_Def_Flows[Flow_Name],Tab_Def_Flows[CC?],,0,)</f>
        <v>Yes</v>
      </c>
      <c r="G58" s="7">
        <v>2081</v>
      </c>
      <c r="H58" s="21">
        <v>485743.84236800001</v>
      </c>
      <c r="I58" s="6" t="str">
        <f>'0_Configuration'!$C$4</f>
        <v>Mg</v>
      </c>
      <c r="J58" s="13"/>
      <c r="K58" s="13"/>
      <c r="L58" s="13"/>
      <c r="M58" s="13"/>
      <c r="N58" s="13"/>
      <c r="O58" s="7" t="s">
        <v>6</v>
      </c>
      <c r="P58" s="7"/>
      <c r="Q58" s="7"/>
      <c r="R58" s="6" t="str">
        <f>Tab_Data_Flows[[#This Row],[Flow_ID]]&amp;"_"&amp;"material_"&amp;Tab_Data_Flows[[#This Row],[Flow_Data_Year]]</f>
        <v>F_01_02_material_2081</v>
      </c>
      <c r="S58" s="12">
        <f t="shared" si="0"/>
        <v>485743.84236800001</v>
      </c>
      <c r="T58" s="6" t="str">
        <f>Tab_Data_Flows[[#This Row],[UoM_Source]]</f>
        <v>Mg</v>
      </c>
      <c r="U58" s="139">
        <f>INDEX(Tab_Def_Flows[[Flow_ID]:[CC_DM_source]],MATCH(Tab_Data_Flows[[#This Row],[Flow_Name]],Tab_Def_Flows[Flow_Name],0),11)</f>
        <v>0.23841961794348115</v>
      </c>
      <c r="V58" s="6" t="str">
        <f>Tab_Data_Flows[[#This Row],[Flow_ID]]&amp;"_"&amp;"WC_"&amp;Tab_Data_Flows[[#This Row],[Flow_Data_Year]]</f>
        <v>F_01_02_WC_2081</v>
      </c>
      <c r="W58" s="6">
        <f>IF(D58="Yes",S58*Tab_Data_Flows[[#This Row],[WC_'[%']]],"N.A.")</f>
        <v>115810.8613157771</v>
      </c>
      <c r="X58" s="6" t="str">
        <f>Tab_Data_Flows[[#This Row],[UoM_Flow_Py]]</f>
        <v>Mg</v>
      </c>
      <c r="Y58" s="139">
        <f>INDEX(Tab_Def_Flows[[Flow_ID]:[CC_DM_source]],MATCH(Tab_Data_Flows[[#This Row],[Flow_Name]],Tab_Def_Flows[Flow_Name],0),14)</f>
        <v>0.76158038205651879</v>
      </c>
      <c r="Z58" s="6" t="str">
        <f>Tab_Data_Flows[[#This Row],[Flow_ID]]&amp;"_"&amp;"DM_"&amp;Tab_Data_Flows[[#This Row],[Flow_Data_Year]]</f>
        <v>F_01_02_DM_2081</v>
      </c>
      <c r="AA58" s="6">
        <f>IF(E58="Yes",Y58*Tab_Data_Flows[[#This Row],[Flow_Material]],"N.A.")</f>
        <v>369932.98105222289</v>
      </c>
      <c r="AB58" s="6" t="str">
        <f>Tab_Data_Flows[[#This Row],[UoM_Flow_Py]]</f>
        <v>Mg</v>
      </c>
      <c r="AC58" s="139">
        <f>INDEX(Tab_Def_Flows[[Flow_ID]:[CC_DM_source]],MATCH(Tab_Data_Flows[[#This Row],[Flow_Name]],Tab_Def_Flows[Flow_Name],0),17)</f>
        <v>0</v>
      </c>
      <c r="AD58" s="6" t="str">
        <f>Tab_Data_Flows[[#This Row],[Flow_ID]]&amp;"_"&amp;"CC_"&amp;Tab_Data_Flows[[#This Row],[Flow_Data_Year]]</f>
        <v>F_01_02_CC_2081</v>
      </c>
      <c r="AE58" s="6">
        <f>IF(F58="Yes",AC58*Tab_Data_Flows[[#This Row],[Flow_Material]]*Tab_Data_Flows[[#This Row],[DM_'[%']]],"N.A.")</f>
        <v>0</v>
      </c>
      <c r="AF58" s="6" t="str">
        <f>Tab_Data_Flows[[#This Row],[UoM_Flow_Py]]</f>
        <v>Mg</v>
      </c>
      <c r="AG58"/>
    </row>
    <row r="59" spans="1:33" x14ac:dyDescent="0.25">
      <c r="A59" s="8">
        <f t="shared" si="1"/>
        <v>58</v>
      </c>
      <c r="B59" s="6" t="str">
        <f>_xlfn.XLOOKUP(C59,Tab_Def_Flows[Flow_Name],Tab_Def_Flows[Flow_ID],,0,)</f>
        <v>F_01_02</v>
      </c>
      <c r="C59" s="138" t="s">
        <v>475</v>
      </c>
      <c r="D59" s="9" t="str">
        <f>_xlfn.XLOOKUP(C59,Tab_Def_Flows[Flow_Name],Tab_Def_Flows[WC?],,0,)</f>
        <v>Yes</v>
      </c>
      <c r="E59" s="9" t="str">
        <f>_xlfn.XLOOKUP(C59,Tab_Def_Flows[Flow_Name],Tab_Def_Flows[DM?],,0,)</f>
        <v>Yes</v>
      </c>
      <c r="F59" s="9" t="str">
        <f>_xlfn.XLOOKUP(C59,Tab_Def_Flows[Flow_Name],Tab_Def_Flows[CC?],,0,)</f>
        <v>Yes</v>
      </c>
      <c r="G59" s="7">
        <v>2082</v>
      </c>
      <c r="H59" s="21">
        <v>607109.69128000003</v>
      </c>
      <c r="I59" s="6" t="str">
        <f>'0_Configuration'!$C$4</f>
        <v>Mg</v>
      </c>
      <c r="J59" s="13"/>
      <c r="K59" s="13"/>
      <c r="L59" s="13"/>
      <c r="M59" s="13"/>
      <c r="N59" s="13"/>
      <c r="O59" s="7" t="s">
        <v>6</v>
      </c>
      <c r="P59" s="7"/>
      <c r="Q59" s="7"/>
      <c r="R59" s="6" t="str">
        <f>Tab_Data_Flows[[#This Row],[Flow_ID]]&amp;"_"&amp;"material_"&amp;Tab_Data_Flows[[#This Row],[Flow_Data_Year]]</f>
        <v>F_01_02_material_2082</v>
      </c>
      <c r="S59" s="12">
        <f t="shared" si="0"/>
        <v>607109.69128000003</v>
      </c>
      <c r="T59" s="6" t="str">
        <f>Tab_Data_Flows[[#This Row],[UoM_Source]]</f>
        <v>Mg</v>
      </c>
      <c r="U59" s="139">
        <f>INDEX(Tab_Def_Flows[[Flow_ID]:[CC_DM_source]],MATCH(Tab_Data_Flows[[#This Row],[Flow_Name]],Tab_Def_Flows[Flow_Name],0),11)</f>
        <v>0.23841961794348115</v>
      </c>
      <c r="V59" s="6" t="str">
        <f>Tab_Data_Flows[[#This Row],[Flow_ID]]&amp;"_"&amp;"WC_"&amp;Tab_Data_Flows[[#This Row],[Flow_Data_Year]]</f>
        <v>F_01_02_WC_2082</v>
      </c>
      <c r="W59" s="6">
        <f>IF(D59="Yes",S59*Tab_Data_Flows[[#This Row],[WC_'[%']]],"N.A.")</f>
        <v>144746.8606447624</v>
      </c>
      <c r="X59" s="6" t="str">
        <f>Tab_Data_Flows[[#This Row],[UoM_Flow_Py]]</f>
        <v>Mg</v>
      </c>
      <c r="Y59" s="139">
        <f>INDEX(Tab_Def_Flows[[Flow_ID]:[CC_DM_source]],MATCH(Tab_Data_Flows[[#This Row],[Flow_Name]],Tab_Def_Flows[Flow_Name],0),14)</f>
        <v>0.76158038205651879</v>
      </c>
      <c r="Z59" s="6" t="str">
        <f>Tab_Data_Flows[[#This Row],[Flow_ID]]&amp;"_"&amp;"DM_"&amp;Tab_Data_Flows[[#This Row],[Flow_Data_Year]]</f>
        <v>F_01_02_DM_2082</v>
      </c>
      <c r="AA59" s="6">
        <f>IF(E59="Yes",Y59*Tab_Data_Flows[[#This Row],[Flow_Material]],"N.A.")</f>
        <v>462362.83063523762</v>
      </c>
      <c r="AB59" s="6" t="str">
        <f>Tab_Data_Flows[[#This Row],[UoM_Flow_Py]]</f>
        <v>Mg</v>
      </c>
      <c r="AC59" s="139">
        <f>INDEX(Tab_Def_Flows[[Flow_ID]:[CC_DM_source]],MATCH(Tab_Data_Flows[[#This Row],[Flow_Name]],Tab_Def_Flows[Flow_Name],0),17)</f>
        <v>0</v>
      </c>
      <c r="AD59" s="6" t="str">
        <f>Tab_Data_Flows[[#This Row],[Flow_ID]]&amp;"_"&amp;"CC_"&amp;Tab_Data_Flows[[#This Row],[Flow_Data_Year]]</f>
        <v>F_01_02_CC_2082</v>
      </c>
      <c r="AE59" s="6">
        <f>IF(F59="Yes",AC59*Tab_Data_Flows[[#This Row],[Flow_Material]]*Tab_Data_Flows[[#This Row],[DM_'[%']]],"N.A.")</f>
        <v>0</v>
      </c>
      <c r="AF59" s="6" t="str">
        <f>Tab_Data_Flows[[#This Row],[UoM_Flow_Py]]</f>
        <v>Mg</v>
      </c>
      <c r="AG59"/>
    </row>
    <row r="60" spans="1:33" x14ac:dyDescent="0.25">
      <c r="A60" s="8">
        <f t="shared" si="1"/>
        <v>59</v>
      </c>
      <c r="B60" s="6" t="str">
        <f>_xlfn.XLOOKUP(C60,Tab_Def_Flows[Flow_Name],Tab_Def_Flows[Flow_ID],,0,)</f>
        <v>F_01_02</v>
      </c>
      <c r="C60" s="138" t="s">
        <v>475</v>
      </c>
      <c r="D60" s="9" t="str">
        <f>_xlfn.XLOOKUP(C60,Tab_Def_Flows[Flow_Name],Tab_Def_Flows[WC?],,0,)</f>
        <v>Yes</v>
      </c>
      <c r="E60" s="9" t="str">
        <f>_xlfn.XLOOKUP(C60,Tab_Def_Flows[Flow_Name],Tab_Def_Flows[DM?],,0,)</f>
        <v>Yes</v>
      </c>
      <c r="F60" s="9" t="str">
        <f>_xlfn.XLOOKUP(C60,Tab_Def_Flows[Flow_Name],Tab_Def_Flows[CC?],,0,)</f>
        <v>Yes</v>
      </c>
      <c r="G60" s="7">
        <v>2083</v>
      </c>
      <c r="H60" s="21">
        <v>609408.53230399988</v>
      </c>
      <c r="I60" s="6" t="str">
        <f>'0_Configuration'!$C$4</f>
        <v>Mg</v>
      </c>
      <c r="J60" s="13"/>
      <c r="K60" s="13"/>
      <c r="L60" s="13"/>
      <c r="M60" s="13"/>
      <c r="N60" s="13"/>
      <c r="O60" s="7" t="s">
        <v>6</v>
      </c>
      <c r="P60" s="14"/>
      <c r="Q60" s="7"/>
      <c r="R60" s="6" t="str">
        <f>Tab_Data_Flows[[#This Row],[Flow_ID]]&amp;"_"&amp;"material_"&amp;Tab_Data_Flows[[#This Row],[Flow_Data_Year]]</f>
        <v>F_01_02_material_2083</v>
      </c>
      <c r="S60" s="12">
        <f t="shared" si="0"/>
        <v>609408.53230399988</v>
      </c>
      <c r="T60" s="6" t="str">
        <f>Tab_Data_Flows[[#This Row],[UoM_Source]]</f>
        <v>Mg</v>
      </c>
      <c r="U60" s="139">
        <f>INDEX(Tab_Def_Flows[[Flow_ID]:[CC_DM_source]],MATCH(Tab_Data_Flows[[#This Row],[Flow_Name]],Tab_Def_Flows[Flow_Name],0),11)</f>
        <v>0.23841961794348115</v>
      </c>
      <c r="V60" s="6" t="str">
        <f>Tab_Data_Flows[[#This Row],[Flow_ID]]&amp;"_"&amp;"WC_"&amp;Tab_Data_Flows[[#This Row],[Flow_Data_Year]]</f>
        <v>F_01_02_WC_2083</v>
      </c>
      <c r="W60" s="6">
        <f>IF(D60="Yes",S60*Tab_Data_Flows[[#This Row],[WC_'[%']]],"N.A.")</f>
        <v>145294.94944341725</v>
      </c>
      <c r="X60" s="6" t="str">
        <f>Tab_Data_Flows[[#This Row],[UoM_Flow_Py]]</f>
        <v>Mg</v>
      </c>
      <c r="Y60" s="139">
        <f>INDEX(Tab_Def_Flows[[Flow_ID]:[CC_DM_source]],MATCH(Tab_Data_Flows[[#This Row],[Flow_Name]],Tab_Def_Flows[Flow_Name],0),14)</f>
        <v>0.76158038205651879</v>
      </c>
      <c r="Z60" s="6" t="str">
        <f>Tab_Data_Flows[[#This Row],[Flow_ID]]&amp;"_"&amp;"DM_"&amp;Tab_Data_Flows[[#This Row],[Flow_Data_Year]]</f>
        <v>F_01_02_DM_2083</v>
      </c>
      <c r="AA60" s="6">
        <f>IF(E60="Yes",Y60*Tab_Data_Flows[[#This Row],[Flow_Material]],"N.A.")</f>
        <v>464113.58286058262</v>
      </c>
      <c r="AB60" s="6" t="str">
        <f>Tab_Data_Flows[[#This Row],[UoM_Flow_Py]]</f>
        <v>Mg</v>
      </c>
      <c r="AC60" s="139">
        <f>INDEX(Tab_Def_Flows[[Flow_ID]:[CC_DM_source]],MATCH(Tab_Data_Flows[[#This Row],[Flow_Name]],Tab_Def_Flows[Flow_Name],0),17)</f>
        <v>0</v>
      </c>
      <c r="AD60" s="6" t="str">
        <f>Tab_Data_Flows[[#This Row],[Flow_ID]]&amp;"_"&amp;"CC_"&amp;Tab_Data_Flows[[#This Row],[Flow_Data_Year]]</f>
        <v>F_01_02_CC_2083</v>
      </c>
      <c r="AE60" s="6">
        <f>IF(F60="Yes",AC60*Tab_Data_Flows[[#This Row],[Flow_Material]]*Tab_Data_Flows[[#This Row],[DM_'[%']]],"N.A.")</f>
        <v>0</v>
      </c>
      <c r="AF60" s="6" t="str">
        <f>Tab_Data_Flows[[#This Row],[UoM_Flow_Py]]</f>
        <v>Mg</v>
      </c>
      <c r="AG60"/>
    </row>
    <row r="61" spans="1:33" x14ac:dyDescent="0.25">
      <c r="A61" s="8">
        <f t="shared" si="1"/>
        <v>60</v>
      </c>
      <c r="B61" s="6" t="str">
        <f>_xlfn.XLOOKUP(C61,Tab_Def_Flows[Flow_Name],Tab_Def_Flows[Flow_ID],,0,)</f>
        <v>F_01_02</v>
      </c>
      <c r="C61" s="138" t="s">
        <v>475</v>
      </c>
      <c r="D61" s="9" t="str">
        <f>_xlfn.XLOOKUP(C61,Tab_Def_Flows[Flow_Name],Tab_Def_Flows[WC?],,0,)</f>
        <v>Yes</v>
      </c>
      <c r="E61" s="9" t="str">
        <f>_xlfn.XLOOKUP(C61,Tab_Def_Flows[Flow_Name],Tab_Def_Flows[DM?],,0,)</f>
        <v>Yes</v>
      </c>
      <c r="F61" s="9" t="str">
        <f>_xlfn.XLOOKUP(C61,Tab_Def_Flows[Flow_Name],Tab_Def_Flows[CC?],,0,)</f>
        <v>Yes</v>
      </c>
      <c r="G61" s="7">
        <v>2084</v>
      </c>
      <c r="H61" s="21">
        <v>703800.72678399994</v>
      </c>
      <c r="I61" s="6" t="str">
        <f>'0_Configuration'!$C$4</f>
        <v>Mg</v>
      </c>
      <c r="J61" s="13"/>
      <c r="K61" s="13"/>
      <c r="L61" s="13"/>
      <c r="M61" s="13"/>
      <c r="N61" s="13"/>
      <c r="O61" s="7" t="s">
        <v>6</v>
      </c>
      <c r="P61" s="14"/>
      <c r="Q61" s="7"/>
      <c r="R61" s="6" t="str">
        <f>Tab_Data_Flows[[#This Row],[Flow_ID]]&amp;"_"&amp;"material_"&amp;Tab_Data_Flows[[#This Row],[Flow_Data_Year]]</f>
        <v>F_01_02_material_2084</v>
      </c>
      <c r="S61" s="12">
        <f t="shared" si="0"/>
        <v>703800.72678399994</v>
      </c>
      <c r="T61" s="6" t="str">
        <f>Tab_Data_Flows[[#This Row],[UoM_Source]]</f>
        <v>Mg</v>
      </c>
      <c r="U61" s="139">
        <f>INDEX(Tab_Def_Flows[[Flow_ID]:[CC_DM_source]],MATCH(Tab_Data_Flows[[#This Row],[Flow_Name]],Tab_Def_Flows[Flow_Name],0),11)</f>
        <v>0.23841961794348115</v>
      </c>
      <c r="V61" s="6" t="str">
        <f>Tab_Data_Flows[[#This Row],[Flow_ID]]&amp;"_"&amp;"WC_"&amp;Tab_Data_Flows[[#This Row],[Flow_Data_Year]]</f>
        <v>F_01_02_WC_2084</v>
      </c>
      <c r="W61" s="6">
        <f>IF(D61="Yes",S61*Tab_Data_Flows[[#This Row],[WC_'[%']]],"N.A.")</f>
        <v>167799.90038818563</v>
      </c>
      <c r="X61" s="6" t="str">
        <f>Tab_Data_Flows[[#This Row],[UoM_Flow_Py]]</f>
        <v>Mg</v>
      </c>
      <c r="Y61" s="139">
        <f>INDEX(Tab_Def_Flows[[Flow_ID]:[CC_DM_source]],MATCH(Tab_Data_Flows[[#This Row],[Flow_Name]],Tab_Def_Flows[Flow_Name],0),14)</f>
        <v>0.76158038205651879</v>
      </c>
      <c r="Z61" s="6" t="str">
        <f>Tab_Data_Flows[[#This Row],[Flow_ID]]&amp;"_"&amp;"DM_"&amp;Tab_Data_Flows[[#This Row],[Flow_Data_Year]]</f>
        <v>F_01_02_DM_2084</v>
      </c>
      <c r="AA61" s="6">
        <f>IF(E61="Yes",Y61*Tab_Data_Flows[[#This Row],[Flow_Material]],"N.A.")</f>
        <v>536000.82639581431</v>
      </c>
      <c r="AB61" s="6" t="str">
        <f>Tab_Data_Flows[[#This Row],[UoM_Flow_Py]]</f>
        <v>Mg</v>
      </c>
      <c r="AC61" s="139">
        <f>INDEX(Tab_Def_Flows[[Flow_ID]:[CC_DM_source]],MATCH(Tab_Data_Flows[[#This Row],[Flow_Name]],Tab_Def_Flows[Flow_Name],0),17)</f>
        <v>0</v>
      </c>
      <c r="AD61" s="6" t="str">
        <f>Tab_Data_Flows[[#This Row],[Flow_ID]]&amp;"_"&amp;"CC_"&amp;Tab_Data_Flows[[#This Row],[Flow_Data_Year]]</f>
        <v>F_01_02_CC_2084</v>
      </c>
      <c r="AE61" s="6">
        <f>IF(F61="Yes",AC61*Tab_Data_Flows[[#This Row],[Flow_Material]]*Tab_Data_Flows[[#This Row],[DM_'[%']]],"N.A.")</f>
        <v>0</v>
      </c>
      <c r="AF61" s="6" t="str">
        <f>Tab_Data_Flows[[#This Row],[UoM_Flow_Py]]</f>
        <v>Mg</v>
      </c>
      <c r="AG61"/>
    </row>
    <row r="62" spans="1:33" x14ac:dyDescent="0.25">
      <c r="A62" s="8">
        <f t="shared" si="1"/>
        <v>61</v>
      </c>
      <c r="B62" s="6" t="str">
        <f>_xlfn.XLOOKUP(C62,Tab_Def_Flows[Flow_Name],Tab_Def_Flows[Flow_ID],,0,)</f>
        <v>F_01_02</v>
      </c>
      <c r="C62" s="138" t="s">
        <v>475</v>
      </c>
      <c r="D62" s="9" t="str">
        <f>_xlfn.XLOOKUP(C62,Tab_Def_Flows[Flow_Name],Tab_Def_Flows[WC?],,0,)</f>
        <v>Yes</v>
      </c>
      <c r="E62" s="9" t="str">
        <f>_xlfn.XLOOKUP(C62,Tab_Def_Flows[Flow_Name],Tab_Def_Flows[DM?],,0,)</f>
        <v>Yes</v>
      </c>
      <c r="F62" s="9" t="str">
        <f>_xlfn.XLOOKUP(C62,Tab_Def_Flows[Flow_Name],Tab_Def_Flows[CC?],,0,)</f>
        <v>Yes</v>
      </c>
      <c r="G62" s="7">
        <v>2085</v>
      </c>
      <c r="H62" s="21">
        <v>671220.90953599999</v>
      </c>
      <c r="I62" s="6" t="str">
        <f>'0_Configuration'!$C$4</f>
        <v>Mg</v>
      </c>
      <c r="J62" s="13"/>
      <c r="K62" s="13"/>
      <c r="L62" s="13"/>
      <c r="M62" s="13"/>
      <c r="N62" s="13"/>
      <c r="O62" s="7" t="s">
        <v>6</v>
      </c>
      <c r="P62" s="14"/>
      <c r="Q62" s="7"/>
      <c r="R62" s="6" t="str">
        <f>Tab_Data_Flows[[#This Row],[Flow_ID]]&amp;"_"&amp;"material_"&amp;Tab_Data_Flows[[#This Row],[Flow_Data_Year]]</f>
        <v>F_01_02_material_2085</v>
      </c>
      <c r="S62" s="12">
        <f t="shared" si="0"/>
        <v>671220.90953599999</v>
      </c>
      <c r="T62" s="6" t="str">
        <f>Tab_Data_Flows[[#This Row],[UoM_Source]]</f>
        <v>Mg</v>
      </c>
      <c r="U62" s="139">
        <f>INDEX(Tab_Def_Flows[[Flow_ID]:[CC_DM_source]],MATCH(Tab_Data_Flows[[#This Row],[Flow_Name]],Tab_Def_Flows[Flow_Name],0),11)</f>
        <v>0.23841961794348115</v>
      </c>
      <c r="V62" s="6" t="str">
        <f>Tab_Data_Flows[[#This Row],[Flow_ID]]&amp;"_"&amp;"WC_"&amp;Tab_Data_Flows[[#This Row],[Flow_Data_Year]]</f>
        <v>F_01_02_WC_2085</v>
      </c>
      <c r="W62" s="6">
        <f>IF(D62="Yes",S62*Tab_Data_Flows[[#This Row],[WC_'[%']]],"N.A.")</f>
        <v>160032.23280724903</v>
      </c>
      <c r="X62" s="6" t="str">
        <f>Tab_Data_Flows[[#This Row],[UoM_Flow_Py]]</f>
        <v>Mg</v>
      </c>
      <c r="Y62" s="139">
        <f>INDEX(Tab_Def_Flows[[Flow_ID]:[CC_DM_source]],MATCH(Tab_Data_Flows[[#This Row],[Flow_Name]],Tab_Def_Flows[Flow_Name],0),14)</f>
        <v>0.76158038205651879</v>
      </c>
      <c r="Z62" s="6" t="str">
        <f>Tab_Data_Flows[[#This Row],[Flow_ID]]&amp;"_"&amp;"DM_"&amp;Tab_Data_Flows[[#This Row],[Flow_Data_Year]]</f>
        <v>F_01_02_DM_2085</v>
      </c>
      <c r="AA62" s="6">
        <f>IF(E62="Yes",Y62*Tab_Data_Flows[[#This Row],[Flow_Material]],"N.A.")</f>
        <v>511188.67672875093</v>
      </c>
      <c r="AB62" s="6" t="str">
        <f>Tab_Data_Flows[[#This Row],[UoM_Flow_Py]]</f>
        <v>Mg</v>
      </c>
      <c r="AC62" s="139">
        <f>INDEX(Tab_Def_Flows[[Flow_ID]:[CC_DM_source]],MATCH(Tab_Data_Flows[[#This Row],[Flow_Name]],Tab_Def_Flows[Flow_Name],0),17)</f>
        <v>0</v>
      </c>
      <c r="AD62" s="6" t="str">
        <f>Tab_Data_Flows[[#This Row],[Flow_ID]]&amp;"_"&amp;"CC_"&amp;Tab_Data_Flows[[#This Row],[Flow_Data_Year]]</f>
        <v>F_01_02_CC_2085</v>
      </c>
      <c r="AE62" s="6">
        <f>IF(F62="Yes",AC62*Tab_Data_Flows[[#This Row],[Flow_Material]]*Tab_Data_Flows[[#This Row],[DM_'[%']]],"N.A.")</f>
        <v>0</v>
      </c>
      <c r="AF62" s="6" t="str">
        <f>Tab_Data_Flows[[#This Row],[UoM_Flow_Py]]</f>
        <v>Mg</v>
      </c>
      <c r="AG62"/>
    </row>
    <row r="63" spans="1:33" x14ac:dyDescent="0.25">
      <c r="A63" s="8">
        <f t="shared" si="1"/>
        <v>62</v>
      </c>
      <c r="B63" s="6" t="str">
        <f>_xlfn.XLOOKUP(C63,Tab_Def_Flows[Flow_Name],Tab_Def_Flows[Flow_ID],,0,)</f>
        <v>F_01_02</v>
      </c>
      <c r="C63" s="138" t="s">
        <v>475</v>
      </c>
      <c r="D63" s="9" t="str">
        <f>_xlfn.XLOOKUP(C63,Tab_Def_Flows[Flow_Name],Tab_Def_Flows[WC?],,0,)</f>
        <v>Yes</v>
      </c>
      <c r="E63" s="9" t="str">
        <f>_xlfn.XLOOKUP(C63,Tab_Def_Flows[Flow_Name],Tab_Def_Flows[DM?],,0,)</f>
        <v>Yes</v>
      </c>
      <c r="F63" s="9" t="str">
        <f>_xlfn.XLOOKUP(C63,Tab_Def_Flows[Flow_Name],Tab_Def_Flows[CC?],,0,)</f>
        <v>Yes</v>
      </c>
      <c r="G63" s="7">
        <v>2086</v>
      </c>
      <c r="H63" s="21">
        <v>585024.47097599995</v>
      </c>
      <c r="I63" s="6" t="str">
        <f>'0_Configuration'!$C$4</f>
        <v>Mg</v>
      </c>
      <c r="J63" s="13"/>
      <c r="K63" s="13"/>
      <c r="L63" s="13"/>
      <c r="M63" s="13"/>
      <c r="N63" s="13"/>
      <c r="O63" s="7" t="s">
        <v>6</v>
      </c>
      <c r="P63" s="14"/>
      <c r="Q63" s="7"/>
      <c r="R63" s="6" t="str">
        <f>Tab_Data_Flows[[#This Row],[Flow_ID]]&amp;"_"&amp;"material_"&amp;Tab_Data_Flows[[#This Row],[Flow_Data_Year]]</f>
        <v>F_01_02_material_2086</v>
      </c>
      <c r="S63" s="12">
        <f t="shared" si="0"/>
        <v>585024.47097599995</v>
      </c>
      <c r="T63" s="6" t="str">
        <f>Tab_Data_Flows[[#This Row],[UoM_Source]]</f>
        <v>Mg</v>
      </c>
      <c r="U63" s="139">
        <f>INDEX(Tab_Def_Flows[[Flow_ID]:[CC_DM_source]],MATCH(Tab_Data_Flows[[#This Row],[Flow_Name]],Tab_Def_Flows[Flow_Name],0),11)</f>
        <v>0.23841961794348115</v>
      </c>
      <c r="V63" s="6" t="str">
        <f>Tab_Data_Flows[[#This Row],[Flow_ID]]&amp;"_"&amp;"WC_"&amp;Tab_Data_Flows[[#This Row],[Flow_Data_Year]]</f>
        <v>F_01_02_WC_2086</v>
      </c>
      <c r="W63" s="6">
        <f>IF(D63="Yes",S63*Tab_Data_Flows[[#This Row],[WC_'[%']]],"N.A.")</f>
        <v>139481.31085768508</v>
      </c>
      <c r="X63" s="6" t="str">
        <f>Tab_Data_Flows[[#This Row],[UoM_Flow_Py]]</f>
        <v>Mg</v>
      </c>
      <c r="Y63" s="139">
        <f>INDEX(Tab_Def_Flows[[Flow_ID]:[CC_DM_source]],MATCH(Tab_Data_Flows[[#This Row],[Flow_Name]],Tab_Def_Flows[Flow_Name],0),14)</f>
        <v>0.76158038205651879</v>
      </c>
      <c r="Z63" s="6" t="str">
        <f>Tab_Data_Flows[[#This Row],[Flow_ID]]&amp;"_"&amp;"DM_"&amp;Tab_Data_Flows[[#This Row],[Flow_Data_Year]]</f>
        <v>F_01_02_DM_2086</v>
      </c>
      <c r="AA63" s="6">
        <f>IF(E63="Yes",Y63*Tab_Data_Flows[[#This Row],[Flow_Material]],"N.A.")</f>
        <v>445543.16011831485</v>
      </c>
      <c r="AB63" s="6" t="str">
        <f>Tab_Data_Flows[[#This Row],[UoM_Flow_Py]]</f>
        <v>Mg</v>
      </c>
      <c r="AC63" s="139">
        <f>INDEX(Tab_Def_Flows[[Flow_ID]:[CC_DM_source]],MATCH(Tab_Data_Flows[[#This Row],[Flow_Name]],Tab_Def_Flows[Flow_Name],0),17)</f>
        <v>0</v>
      </c>
      <c r="AD63" s="6" t="str">
        <f>Tab_Data_Flows[[#This Row],[Flow_ID]]&amp;"_"&amp;"CC_"&amp;Tab_Data_Flows[[#This Row],[Flow_Data_Year]]</f>
        <v>F_01_02_CC_2086</v>
      </c>
      <c r="AE63" s="6">
        <f>IF(F63="Yes",AC63*Tab_Data_Flows[[#This Row],[Flow_Material]]*Tab_Data_Flows[[#This Row],[DM_'[%']]],"N.A.")</f>
        <v>0</v>
      </c>
      <c r="AF63" s="6" t="str">
        <f>Tab_Data_Flows[[#This Row],[UoM_Flow_Py]]</f>
        <v>Mg</v>
      </c>
      <c r="AG63"/>
    </row>
    <row r="64" spans="1:33" x14ac:dyDescent="0.25">
      <c r="A64" s="8">
        <f t="shared" si="1"/>
        <v>63</v>
      </c>
      <c r="B64" s="6" t="str">
        <f>_xlfn.XLOOKUP(C64,Tab_Def_Flows[Flow_Name],Tab_Def_Flows[Flow_ID],,0,)</f>
        <v>F_01_02</v>
      </c>
      <c r="C64" s="138" t="s">
        <v>475</v>
      </c>
      <c r="D64" s="9" t="str">
        <f>_xlfn.XLOOKUP(C64,Tab_Def_Flows[Flow_Name],Tab_Def_Flows[WC?],,0,)</f>
        <v>Yes</v>
      </c>
      <c r="E64" s="9" t="str">
        <f>_xlfn.XLOOKUP(C64,Tab_Def_Flows[Flow_Name],Tab_Def_Flows[DM?],,0,)</f>
        <v>Yes</v>
      </c>
      <c r="F64" s="9" t="str">
        <f>_xlfn.XLOOKUP(C64,Tab_Def_Flows[Flow_Name],Tab_Def_Flows[CC?],,0,)</f>
        <v>Yes</v>
      </c>
      <c r="G64" s="7">
        <v>2087</v>
      </c>
      <c r="H64" s="21">
        <v>607662.42851200001</v>
      </c>
      <c r="I64" s="6" t="str">
        <f>'0_Configuration'!$C$4</f>
        <v>Mg</v>
      </c>
      <c r="J64" s="13"/>
      <c r="K64" s="13"/>
      <c r="L64" s="13"/>
      <c r="M64" s="13"/>
      <c r="N64" s="13"/>
      <c r="O64" s="7" t="s">
        <v>6</v>
      </c>
      <c r="P64" s="14"/>
      <c r="Q64" s="7"/>
      <c r="R64" s="6" t="str">
        <f>Tab_Data_Flows[[#This Row],[Flow_ID]]&amp;"_"&amp;"material_"&amp;Tab_Data_Flows[[#This Row],[Flow_Data_Year]]</f>
        <v>F_01_02_material_2087</v>
      </c>
      <c r="S64" s="12">
        <f t="shared" si="0"/>
        <v>607662.42851200001</v>
      </c>
      <c r="T64" s="6" t="str">
        <f>Tab_Data_Flows[[#This Row],[UoM_Source]]</f>
        <v>Mg</v>
      </c>
      <c r="U64" s="139">
        <f>INDEX(Tab_Def_Flows[[Flow_ID]:[CC_DM_source]],MATCH(Tab_Data_Flows[[#This Row],[Flow_Name]],Tab_Def_Flows[Flow_Name],0),11)</f>
        <v>0.23841961794348115</v>
      </c>
      <c r="V64" s="6" t="str">
        <f>Tab_Data_Flows[[#This Row],[Flow_ID]]&amp;"_"&amp;"WC_"&amp;Tab_Data_Flows[[#This Row],[Flow_Data_Year]]</f>
        <v>F_01_02_WC_2087</v>
      </c>
      <c r="W64" s="6">
        <f>IF(D64="Yes",S64*Tab_Data_Flows[[#This Row],[WC_'[%']]],"N.A.")</f>
        <v>144878.64404443896</v>
      </c>
      <c r="X64" s="6" t="str">
        <f>Tab_Data_Flows[[#This Row],[UoM_Flow_Py]]</f>
        <v>Mg</v>
      </c>
      <c r="Y64" s="139">
        <f>INDEX(Tab_Def_Flows[[Flow_ID]:[CC_DM_source]],MATCH(Tab_Data_Flows[[#This Row],[Flow_Name]],Tab_Def_Flows[Flow_Name],0),14)</f>
        <v>0.76158038205651879</v>
      </c>
      <c r="Z64" s="6" t="str">
        <f>Tab_Data_Flows[[#This Row],[Flow_ID]]&amp;"_"&amp;"DM_"&amp;Tab_Data_Flows[[#This Row],[Flow_Data_Year]]</f>
        <v>F_01_02_DM_2087</v>
      </c>
      <c r="AA64" s="6">
        <f>IF(E64="Yes",Y64*Tab_Data_Flows[[#This Row],[Flow_Material]],"N.A.")</f>
        <v>462783.784467561</v>
      </c>
      <c r="AB64" s="6" t="str">
        <f>Tab_Data_Flows[[#This Row],[UoM_Flow_Py]]</f>
        <v>Mg</v>
      </c>
      <c r="AC64" s="139">
        <f>INDEX(Tab_Def_Flows[[Flow_ID]:[CC_DM_source]],MATCH(Tab_Data_Flows[[#This Row],[Flow_Name]],Tab_Def_Flows[Flow_Name],0),17)</f>
        <v>0</v>
      </c>
      <c r="AD64" s="6" t="str">
        <f>Tab_Data_Flows[[#This Row],[Flow_ID]]&amp;"_"&amp;"CC_"&amp;Tab_Data_Flows[[#This Row],[Flow_Data_Year]]</f>
        <v>F_01_02_CC_2087</v>
      </c>
      <c r="AE64" s="6">
        <f>IF(F64="Yes",AC64*Tab_Data_Flows[[#This Row],[Flow_Material]]*Tab_Data_Flows[[#This Row],[DM_'[%']]],"N.A.")</f>
        <v>0</v>
      </c>
      <c r="AF64" s="6" t="str">
        <f>Tab_Data_Flows[[#This Row],[UoM_Flow_Py]]</f>
        <v>Mg</v>
      </c>
      <c r="AG64"/>
    </row>
    <row r="65" spans="1:33" x14ac:dyDescent="0.25">
      <c r="A65" s="8">
        <f t="shared" si="1"/>
        <v>64</v>
      </c>
      <c r="B65" s="6" t="str">
        <f>_xlfn.XLOOKUP(C65,Tab_Def_Flows[Flow_Name],Tab_Def_Flows[Flow_ID],,0,)</f>
        <v>F_01_02</v>
      </c>
      <c r="C65" s="138" t="s">
        <v>475</v>
      </c>
      <c r="D65" s="9" t="str">
        <f>_xlfn.XLOOKUP(C65,Tab_Def_Flows[Flow_Name],Tab_Def_Flows[WC?],,0,)</f>
        <v>Yes</v>
      </c>
      <c r="E65" s="9" t="str">
        <f>_xlfn.XLOOKUP(C65,Tab_Def_Flows[Flow_Name],Tab_Def_Flows[DM?],,0,)</f>
        <v>Yes</v>
      </c>
      <c r="F65" s="9" t="str">
        <f>_xlfn.XLOOKUP(C65,Tab_Def_Flows[Flow_Name],Tab_Def_Flows[CC?],,0,)</f>
        <v>Yes</v>
      </c>
      <c r="G65" s="7">
        <v>2088</v>
      </c>
      <c r="H65" s="21">
        <v>575220.07478399994</v>
      </c>
      <c r="I65" s="6" t="str">
        <f>'0_Configuration'!$C$4</f>
        <v>Mg</v>
      </c>
      <c r="J65" s="13"/>
      <c r="K65" s="13"/>
      <c r="L65" s="13"/>
      <c r="M65" s="13"/>
      <c r="N65" s="13"/>
      <c r="O65" s="7" t="s">
        <v>6</v>
      </c>
      <c r="P65" s="14"/>
      <c r="Q65" s="7"/>
      <c r="R65" s="6" t="str">
        <f>Tab_Data_Flows[[#This Row],[Flow_ID]]&amp;"_"&amp;"material_"&amp;Tab_Data_Flows[[#This Row],[Flow_Data_Year]]</f>
        <v>F_01_02_material_2088</v>
      </c>
      <c r="S65" s="12">
        <f t="shared" si="0"/>
        <v>575220.07478399994</v>
      </c>
      <c r="T65" s="6" t="str">
        <f>Tab_Data_Flows[[#This Row],[UoM_Source]]</f>
        <v>Mg</v>
      </c>
      <c r="U65" s="139">
        <f>INDEX(Tab_Def_Flows[[Flow_ID]:[CC_DM_source]],MATCH(Tab_Data_Flows[[#This Row],[Flow_Name]],Tab_Def_Flows[Flow_Name],0),11)</f>
        <v>0.23841961794348115</v>
      </c>
      <c r="V65" s="6" t="str">
        <f>Tab_Data_Flows[[#This Row],[Flow_ID]]&amp;"_"&amp;"WC_"&amp;Tab_Data_Flows[[#This Row],[Flow_Data_Year]]</f>
        <v>F_01_02_WC_2088</v>
      </c>
      <c r="W65" s="6">
        <f>IF(D65="Yes",S65*Tab_Data_Flows[[#This Row],[WC_'[%']]],"N.A.")</f>
        <v>137143.75046342192</v>
      </c>
      <c r="X65" s="6" t="str">
        <f>Tab_Data_Flows[[#This Row],[UoM_Flow_Py]]</f>
        <v>Mg</v>
      </c>
      <c r="Y65" s="139">
        <f>INDEX(Tab_Def_Flows[[Flow_ID]:[CC_DM_source]],MATCH(Tab_Data_Flows[[#This Row],[Flow_Name]],Tab_Def_Flows[Flow_Name],0),14)</f>
        <v>0.76158038205651879</v>
      </c>
      <c r="Z65" s="6" t="str">
        <f>Tab_Data_Flows[[#This Row],[Flow_ID]]&amp;"_"&amp;"DM_"&amp;Tab_Data_Flows[[#This Row],[Flow_Data_Year]]</f>
        <v>F_01_02_DM_2088</v>
      </c>
      <c r="AA65" s="6">
        <f>IF(E65="Yes",Y65*Tab_Data_Flows[[#This Row],[Flow_Material]],"N.A.")</f>
        <v>438076.32432057796</v>
      </c>
      <c r="AB65" s="6" t="str">
        <f>Tab_Data_Flows[[#This Row],[UoM_Flow_Py]]</f>
        <v>Mg</v>
      </c>
      <c r="AC65" s="139">
        <f>INDEX(Tab_Def_Flows[[Flow_ID]:[CC_DM_source]],MATCH(Tab_Data_Flows[[#This Row],[Flow_Name]],Tab_Def_Flows[Flow_Name],0),17)</f>
        <v>0</v>
      </c>
      <c r="AD65" s="6" t="str">
        <f>Tab_Data_Flows[[#This Row],[Flow_ID]]&amp;"_"&amp;"CC_"&amp;Tab_Data_Flows[[#This Row],[Flow_Data_Year]]</f>
        <v>F_01_02_CC_2088</v>
      </c>
      <c r="AE65" s="6">
        <f>IF(F65="Yes",AC65*Tab_Data_Flows[[#This Row],[Flow_Material]]*Tab_Data_Flows[[#This Row],[DM_'[%']]],"N.A.")</f>
        <v>0</v>
      </c>
      <c r="AF65" s="6" t="str">
        <f>Tab_Data_Flows[[#This Row],[UoM_Flow_Py]]</f>
        <v>Mg</v>
      </c>
      <c r="AG65"/>
    </row>
    <row r="66" spans="1:33" x14ac:dyDescent="0.25">
      <c r="A66" s="8">
        <f t="shared" si="1"/>
        <v>65</v>
      </c>
      <c r="B66" s="6" t="str">
        <f>_xlfn.XLOOKUP(C66,Tab_Def_Flows[Flow_Name],Tab_Def_Flows[Flow_ID],,0,)</f>
        <v>F_01_02</v>
      </c>
      <c r="C66" s="138" t="s">
        <v>475</v>
      </c>
      <c r="D66" s="9" t="str">
        <f>_xlfn.XLOOKUP(C66,Tab_Def_Flows[Flow_Name],Tab_Def_Flows[WC?],,0,)</f>
        <v>Yes</v>
      </c>
      <c r="E66" s="9" t="str">
        <f>_xlfn.XLOOKUP(C66,Tab_Def_Flows[Flow_Name],Tab_Def_Flows[DM?],,0,)</f>
        <v>Yes</v>
      </c>
      <c r="F66" s="9" t="str">
        <f>_xlfn.XLOOKUP(C66,Tab_Def_Flows[Flow_Name],Tab_Def_Flows[CC?],,0,)</f>
        <v>Yes</v>
      </c>
      <c r="G66" s="7">
        <v>2089</v>
      </c>
      <c r="H66" s="21">
        <v>643557.65916799998</v>
      </c>
      <c r="I66" s="6" t="str">
        <f>'0_Configuration'!$C$4</f>
        <v>Mg</v>
      </c>
      <c r="J66" s="13"/>
      <c r="K66" s="13"/>
      <c r="L66" s="13"/>
      <c r="M66" s="13"/>
      <c r="N66" s="13"/>
      <c r="O66" s="7" t="s">
        <v>6</v>
      </c>
      <c r="P66" s="14"/>
      <c r="Q66" s="7"/>
      <c r="R66" s="6" t="str">
        <f>Tab_Data_Flows[[#This Row],[Flow_ID]]&amp;"_"&amp;"material_"&amp;Tab_Data_Flows[[#This Row],[Flow_Data_Year]]</f>
        <v>F_01_02_material_2089</v>
      </c>
      <c r="S66" s="12">
        <f t="shared" ref="S66:S129" si="2">IF(O66="no",H66,H66*P66)</f>
        <v>643557.65916799998</v>
      </c>
      <c r="T66" s="6" t="str">
        <f>Tab_Data_Flows[[#This Row],[UoM_Source]]</f>
        <v>Mg</v>
      </c>
      <c r="U66" s="139">
        <f>INDEX(Tab_Def_Flows[[Flow_ID]:[CC_DM_source]],MATCH(Tab_Data_Flows[[#This Row],[Flow_Name]],Tab_Def_Flows[Flow_Name],0),11)</f>
        <v>0.23841961794348115</v>
      </c>
      <c r="V66" s="6" t="str">
        <f>Tab_Data_Flows[[#This Row],[Flow_ID]]&amp;"_"&amp;"WC_"&amp;Tab_Data_Flows[[#This Row],[Flow_Data_Year]]</f>
        <v>F_01_02_WC_2089</v>
      </c>
      <c r="W66" s="6">
        <f>IF(D66="Yes",S66*Tab_Data_Flows[[#This Row],[WC_'[%']]],"N.A.")</f>
        <v>153436.77122343561</v>
      </c>
      <c r="X66" s="6" t="str">
        <f>Tab_Data_Flows[[#This Row],[UoM_Flow_Py]]</f>
        <v>Mg</v>
      </c>
      <c r="Y66" s="139">
        <f>INDEX(Tab_Def_Flows[[Flow_ID]:[CC_DM_source]],MATCH(Tab_Data_Flows[[#This Row],[Flow_Name]],Tab_Def_Flows[Flow_Name],0),14)</f>
        <v>0.76158038205651879</v>
      </c>
      <c r="Z66" s="6" t="str">
        <f>Tab_Data_Flows[[#This Row],[Flow_ID]]&amp;"_"&amp;"DM_"&amp;Tab_Data_Flows[[#This Row],[Flow_Data_Year]]</f>
        <v>F_01_02_DM_2089</v>
      </c>
      <c r="AA66" s="6">
        <f>IF(E66="Yes",Y66*Tab_Data_Flows[[#This Row],[Flow_Material]],"N.A.")</f>
        <v>490120.88794456434</v>
      </c>
      <c r="AB66" s="6" t="str">
        <f>Tab_Data_Flows[[#This Row],[UoM_Flow_Py]]</f>
        <v>Mg</v>
      </c>
      <c r="AC66" s="139">
        <f>INDEX(Tab_Def_Flows[[Flow_ID]:[CC_DM_source]],MATCH(Tab_Data_Flows[[#This Row],[Flow_Name]],Tab_Def_Flows[Flow_Name],0),17)</f>
        <v>0</v>
      </c>
      <c r="AD66" s="6" t="str">
        <f>Tab_Data_Flows[[#This Row],[Flow_ID]]&amp;"_"&amp;"CC_"&amp;Tab_Data_Flows[[#This Row],[Flow_Data_Year]]</f>
        <v>F_01_02_CC_2089</v>
      </c>
      <c r="AE66" s="6">
        <f>IF(F66="Yes",AC66*Tab_Data_Flows[[#This Row],[Flow_Material]]*Tab_Data_Flows[[#This Row],[DM_'[%']]],"N.A.")</f>
        <v>0</v>
      </c>
      <c r="AF66" s="6" t="str">
        <f>Tab_Data_Flows[[#This Row],[UoM_Flow_Py]]</f>
        <v>Mg</v>
      </c>
      <c r="AG66"/>
    </row>
    <row r="67" spans="1:33" x14ac:dyDescent="0.25">
      <c r="A67" s="8">
        <f t="shared" ref="A67:A130" si="3">ROW()-1</f>
        <v>66</v>
      </c>
      <c r="B67" s="6" t="str">
        <f>_xlfn.XLOOKUP(C67,Tab_Def_Flows[Flow_Name],Tab_Def_Flows[Flow_ID],,0,)</f>
        <v>F_01_02</v>
      </c>
      <c r="C67" s="138" t="s">
        <v>475</v>
      </c>
      <c r="D67" s="9" t="str">
        <f>_xlfn.XLOOKUP(C67,Tab_Def_Flows[Flow_Name],Tab_Def_Flows[WC?],,0,)</f>
        <v>Yes</v>
      </c>
      <c r="E67" s="9" t="str">
        <f>_xlfn.XLOOKUP(C67,Tab_Def_Flows[Flow_Name],Tab_Def_Flows[DM?],,0,)</f>
        <v>Yes</v>
      </c>
      <c r="F67" s="9" t="str">
        <f>_xlfn.XLOOKUP(C67,Tab_Def_Flows[Flow_Name],Tab_Def_Flows[CC?],,0,)</f>
        <v>Yes</v>
      </c>
      <c r="G67" s="7">
        <v>2090</v>
      </c>
      <c r="H67" s="21">
        <v>560019.62768000015</v>
      </c>
      <c r="I67" s="6" t="str">
        <f>'0_Configuration'!$C$4</f>
        <v>Mg</v>
      </c>
      <c r="J67" s="13"/>
      <c r="K67" s="13"/>
      <c r="L67" s="13"/>
      <c r="M67" s="13"/>
      <c r="N67" s="13"/>
      <c r="O67" s="7" t="s">
        <v>6</v>
      </c>
      <c r="P67" s="7"/>
      <c r="Q67" s="7"/>
      <c r="R67" s="6" t="str">
        <f>Tab_Data_Flows[[#This Row],[Flow_ID]]&amp;"_"&amp;"material_"&amp;Tab_Data_Flows[[#This Row],[Flow_Data_Year]]</f>
        <v>F_01_02_material_2090</v>
      </c>
      <c r="S67" s="12">
        <f t="shared" si="2"/>
        <v>560019.62768000015</v>
      </c>
      <c r="T67" s="6" t="str">
        <f>Tab_Data_Flows[[#This Row],[UoM_Source]]</f>
        <v>Mg</v>
      </c>
      <c r="U67" s="139">
        <f>INDEX(Tab_Def_Flows[[Flow_ID]:[CC_DM_source]],MATCH(Tab_Data_Flows[[#This Row],[Flow_Name]],Tab_Def_Flows[Flow_Name],0),11)</f>
        <v>0.23841961794348115</v>
      </c>
      <c r="V67" s="6" t="str">
        <f>Tab_Data_Flows[[#This Row],[Flow_ID]]&amp;"_"&amp;"WC_"&amp;Tab_Data_Flows[[#This Row],[Flow_Data_Year]]</f>
        <v>F_01_02_WC_2090</v>
      </c>
      <c r="W67" s="6">
        <f>IF(D67="Yes",S67*Tab_Data_Flows[[#This Row],[WC_'[%']]],"N.A.")</f>
        <v>133519.66567231619</v>
      </c>
      <c r="X67" s="6" t="str">
        <f>Tab_Data_Flows[[#This Row],[UoM_Flow_Py]]</f>
        <v>Mg</v>
      </c>
      <c r="Y67" s="139">
        <f>INDEX(Tab_Def_Flows[[Flow_ID]:[CC_DM_source]],MATCH(Tab_Data_Flows[[#This Row],[Flow_Name]],Tab_Def_Flows[Flow_Name],0),14)</f>
        <v>0.76158038205651879</v>
      </c>
      <c r="Z67" s="6" t="str">
        <f>Tab_Data_Flows[[#This Row],[Flow_ID]]&amp;"_"&amp;"DM_"&amp;Tab_Data_Flows[[#This Row],[Flow_Data_Year]]</f>
        <v>F_01_02_DM_2090</v>
      </c>
      <c r="AA67" s="6">
        <f>IF(E67="Yes",Y67*Tab_Data_Flows[[#This Row],[Flow_Material]],"N.A.")</f>
        <v>426499.96200768393</v>
      </c>
      <c r="AB67" s="6" t="str">
        <f>Tab_Data_Flows[[#This Row],[UoM_Flow_Py]]</f>
        <v>Mg</v>
      </c>
      <c r="AC67" s="139">
        <f>INDEX(Tab_Def_Flows[[Flow_ID]:[CC_DM_source]],MATCH(Tab_Data_Flows[[#This Row],[Flow_Name]],Tab_Def_Flows[Flow_Name],0),17)</f>
        <v>0</v>
      </c>
      <c r="AD67" s="6" t="str">
        <f>Tab_Data_Flows[[#This Row],[Flow_ID]]&amp;"_"&amp;"CC_"&amp;Tab_Data_Flows[[#This Row],[Flow_Data_Year]]</f>
        <v>F_01_02_CC_2090</v>
      </c>
      <c r="AE67" s="6">
        <f>IF(F67="Yes",AC67*Tab_Data_Flows[[#This Row],[Flow_Material]]*Tab_Data_Flows[[#This Row],[DM_'[%']]],"N.A.")</f>
        <v>0</v>
      </c>
      <c r="AF67" s="6" t="str">
        <f>Tab_Data_Flows[[#This Row],[UoM_Flow_Py]]</f>
        <v>Mg</v>
      </c>
      <c r="AG67"/>
    </row>
    <row r="68" spans="1:33" x14ac:dyDescent="0.25">
      <c r="A68" s="8">
        <f t="shared" si="3"/>
        <v>67</v>
      </c>
      <c r="B68" s="6" t="str">
        <f>_xlfn.XLOOKUP(C68,Tab_Def_Flows[Flow_Name],Tab_Def_Flows[Flow_ID],,0,)</f>
        <v>F_01_02</v>
      </c>
      <c r="C68" s="138" t="s">
        <v>475</v>
      </c>
      <c r="D68" s="9" t="str">
        <f>_xlfn.XLOOKUP(C68,Tab_Def_Flows[Flow_Name],Tab_Def_Flows[WC?],,0,)</f>
        <v>Yes</v>
      </c>
      <c r="E68" s="9" t="str">
        <f>_xlfn.XLOOKUP(C68,Tab_Def_Flows[Flow_Name],Tab_Def_Flows[DM?],,0,)</f>
        <v>Yes</v>
      </c>
      <c r="F68" s="9" t="str">
        <f>_xlfn.XLOOKUP(C68,Tab_Def_Flows[Flow_Name],Tab_Def_Flows[CC?],,0,)</f>
        <v>Yes</v>
      </c>
      <c r="G68" s="7">
        <v>2091</v>
      </c>
      <c r="H68" s="21">
        <v>704998.42100799992</v>
      </c>
      <c r="I68" s="6" t="str">
        <f>'0_Configuration'!$C$4</f>
        <v>Mg</v>
      </c>
      <c r="J68" s="13"/>
      <c r="K68" s="13"/>
      <c r="L68" s="13"/>
      <c r="M68" s="13"/>
      <c r="N68" s="13"/>
      <c r="O68" s="7" t="s">
        <v>6</v>
      </c>
      <c r="P68" s="7"/>
      <c r="Q68" s="7"/>
      <c r="R68" s="6" t="str">
        <f>Tab_Data_Flows[[#This Row],[Flow_ID]]&amp;"_"&amp;"material_"&amp;Tab_Data_Flows[[#This Row],[Flow_Data_Year]]</f>
        <v>F_01_02_material_2091</v>
      </c>
      <c r="S68" s="12">
        <f t="shared" si="2"/>
        <v>704998.42100799992</v>
      </c>
      <c r="T68" s="6" t="str">
        <f>Tab_Data_Flows[[#This Row],[UoM_Source]]</f>
        <v>Mg</v>
      </c>
      <c r="U68" s="139">
        <f>INDEX(Tab_Def_Flows[[Flow_ID]:[CC_DM_source]],MATCH(Tab_Data_Flows[[#This Row],[Flow_Name]],Tab_Def_Flows[Flow_Name],0),11)</f>
        <v>0.23841961794348115</v>
      </c>
      <c r="V68" s="6" t="str">
        <f>Tab_Data_Flows[[#This Row],[Flow_ID]]&amp;"_"&amp;"WC_"&amp;Tab_Data_Flows[[#This Row],[Flow_Data_Year]]</f>
        <v>F_01_02_WC_2091</v>
      </c>
      <c r="W68" s="6">
        <f>IF(D68="Yes",S68*Tab_Data_Flows[[#This Row],[WC_'[%']]],"N.A.")</f>
        <v>168085.45418748481</v>
      </c>
      <c r="X68" s="6" t="str">
        <f>Tab_Data_Flows[[#This Row],[UoM_Flow_Py]]</f>
        <v>Mg</v>
      </c>
      <c r="Y68" s="139">
        <f>INDEX(Tab_Def_Flows[[Flow_ID]:[CC_DM_source]],MATCH(Tab_Data_Flows[[#This Row],[Flow_Name]],Tab_Def_Flows[Flow_Name],0),14)</f>
        <v>0.76158038205651879</v>
      </c>
      <c r="Z68" s="6" t="str">
        <f>Tab_Data_Flows[[#This Row],[Flow_ID]]&amp;"_"&amp;"DM_"&amp;Tab_Data_Flows[[#This Row],[Flow_Data_Year]]</f>
        <v>F_01_02_DM_2091</v>
      </c>
      <c r="AA68" s="6">
        <f>IF(E68="Yes",Y68*Tab_Data_Flows[[#This Row],[Flow_Material]],"N.A.")</f>
        <v>536912.96682051511</v>
      </c>
      <c r="AB68" s="6" t="str">
        <f>Tab_Data_Flows[[#This Row],[UoM_Flow_Py]]</f>
        <v>Mg</v>
      </c>
      <c r="AC68" s="139">
        <f>INDEX(Tab_Def_Flows[[Flow_ID]:[CC_DM_source]],MATCH(Tab_Data_Flows[[#This Row],[Flow_Name]],Tab_Def_Flows[Flow_Name],0),17)</f>
        <v>0</v>
      </c>
      <c r="AD68" s="6" t="str">
        <f>Tab_Data_Flows[[#This Row],[Flow_ID]]&amp;"_"&amp;"CC_"&amp;Tab_Data_Flows[[#This Row],[Flow_Data_Year]]</f>
        <v>F_01_02_CC_2091</v>
      </c>
      <c r="AE68" s="6">
        <f>IF(F68="Yes",AC68*Tab_Data_Flows[[#This Row],[Flow_Material]]*Tab_Data_Flows[[#This Row],[DM_'[%']]],"N.A.")</f>
        <v>0</v>
      </c>
      <c r="AF68" s="6" t="str">
        <f>Tab_Data_Flows[[#This Row],[UoM_Flow_Py]]</f>
        <v>Mg</v>
      </c>
      <c r="AG68"/>
    </row>
    <row r="69" spans="1:33" x14ac:dyDescent="0.25">
      <c r="A69" s="8">
        <f t="shared" si="3"/>
        <v>68</v>
      </c>
      <c r="B69" s="6" t="str">
        <f>_xlfn.XLOOKUP(C69,Tab_Def_Flows[Flow_Name],Tab_Def_Flows[Flow_ID],,0,)</f>
        <v>F_01_02</v>
      </c>
      <c r="C69" s="138" t="s">
        <v>475</v>
      </c>
      <c r="D69" s="9" t="str">
        <f>_xlfn.XLOOKUP(C69,Tab_Def_Flows[Flow_Name],Tab_Def_Flows[WC?],,0,)</f>
        <v>Yes</v>
      </c>
      <c r="E69" s="9" t="str">
        <f>_xlfn.XLOOKUP(C69,Tab_Def_Flows[Flow_Name],Tab_Def_Flows[DM?],,0,)</f>
        <v>Yes</v>
      </c>
      <c r="F69" s="9" t="str">
        <f>_xlfn.XLOOKUP(C69,Tab_Def_Flows[Flow_Name],Tab_Def_Flows[CC?],,0,)</f>
        <v>Yes</v>
      </c>
      <c r="G69" s="7">
        <v>2092</v>
      </c>
      <c r="H69" s="21">
        <v>620139.88241600001</v>
      </c>
      <c r="I69" s="6" t="str">
        <f>'0_Configuration'!$C$4</f>
        <v>Mg</v>
      </c>
      <c r="J69" s="13"/>
      <c r="K69" s="13"/>
      <c r="L69" s="13"/>
      <c r="M69" s="13"/>
      <c r="N69" s="13"/>
      <c r="O69" s="7" t="s">
        <v>6</v>
      </c>
      <c r="P69" s="7"/>
      <c r="Q69" s="7"/>
      <c r="R69" s="6" t="str">
        <f>Tab_Data_Flows[[#This Row],[Flow_ID]]&amp;"_"&amp;"material_"&amp;Tab_Data_Flows[[#This Row],[Flow_Data_Year]]</f>
        <v>F_01_02_material_2092</v>
      </c>
      <c r="S69" s="12">
        <f t="shared" si="2"/>
        <v>620139.88241600001</v>
      </c>
      <c r="T69" s="6" t="str">
        <f>Tab_Data_Flows[[#This Row],[UoM_Source]]</f>
        <v>Mg</v>
      </c>
      <c r="U69" s="139">
        <f>INDEX(Tab_Def_Flows[[Flow_ID]:[CC_DM_source]],MATCH(Tab_Data_Flows[[#This Row],[Flow_Name]],Tab_Def_Flows[Flow_Name],0),11)</f>
        <v>0.23841961794348115</v>
      </c>
      <c r="V69" s="6" t="str">
        <f>Tab_Data_Flows[[#This Row],[Flow_ID]]&amp;"_"&amp;"WC_"&amp;Tab_Data_Flows[[#This Row],[Flow_Data_Year]]</f>
        <v>F_01_02_WC_2092</v>
      </c>
      <c r="W69" s="6">
        <f>IF(D69="Yes",S69*Tab_Data_Flows[[#This Row],[WC_'[%']]],"N.A.")</f>
        <v>147853.51383713805</v>
      </c>
      <c r="X69" s="6" t="str">
        <f>Tab_Data_Flows[[#This Row],[UoM_Flow_Py]]</f>
        <v>Mg</v>
      </c>
      <c r="Y69" s="139">
        <f>INDEX(Tab_Def_Flows[[Flow_ID]:[CC_DM_source]],MATCH(Tab_Data_Flows[[#This Row],[Flow_Name]],Tab_Def_Flows[Flow_Name],0),14)</f>
        <v>0.76158038205651879</v>
      </c>
      <c r="Z69" s="6" t="str">
        <f>Tab_Data_Flows[[#This Row],[Flow_ID]]&amp;"_"&amp;"DM_"&amp;Tab_Data_Flows[[#This Row],[Flow_Data_Year]]</f>
        <v>F_01_02_DM_2092</v>
      </c>
      <c r="AA69" s="6">
        <f>IF(E69="Yes",Y69*Tab_Data_Flows[[#This Row],[Flow_Material]],"N.A.")</f>
        <v>472286.36857886193</v>
      </c>
      <c r="AB69" s="6" t="str">
        <f>Tab_Data_Flows[[#This Row],[UoM_Flow_Py]]</f>
        <v>Mg</v>
      </c>
      <c r="AC69" s="139">
        <f>INDEX(Tab_Def_Flows[[Flow_ID]:[CC_DM_source]],MATCH(Tab_Data_Flows[[#This Row],[Flow_Name]],Tab_Def_Flows[Flow_Name],0),17)</f>
        <v>0</v>
      </c>
      <c r="AD69" s="6" t="str">
        <f>Tab_Data_Flows[[#This Row],[Flow_ID]]&amp;"_"&amp;"CC_"&amp;Tab_Data_Flows[[#This Row],[Flow_Data_Year]]</f>
        <v>F_01_02_CC_2092</v>
      </c>
      <c r="AE69" s="6">
        <f>IF(F69="Yes",AC69*Tab_Data_Flows[[#This Row],[Flow_Material]]*Tab_Data_Flows[[#This Row],[DM_'[%']]],"N.A.")</f>
        <v>0</v>
      </c>
      <c r="AF69" s="6" t="str">
        <f>Tab_Data_Flows[[#This Row],[UoM_Flow_Py]]</f>
        <v>Mg</v>
      </c>
      <c r="AG69"/>
    </row>
    <row r="70" spans="1:33" x14ac:dyDescent="0.25">
      <c r="A70" s="8">
        <f t="shared" si="3"/>
        <v>69</v>
      </c>
      <c r="B70" s="6" t="str">
        <f>_xlfn.XLOOKUP(C70,Tab_Def_Flows[Flow_Name],Tab_Def_Flows[Flow_ID],,0,)</f>
        <v>F_01_02</v>
      </c>
      <c r="C70" s="138" t="s">
        <v>475</v>
      </c>
      <c r="D70" s="9" t="str">
        <f>_xlfn.XLOOKUP(C70,Tab_Def_Flows[Flow_Name],Tab_Def_Flows[WC?],,0,)</f>
        <v>Yes</v>
      </c>
      <c r="E70" s="9" t="str">
        <f>_xlfn.XLOOKUP(C70,Tab_Def_Flows[Flow_Name],Tab_Def_Flows[DM?],,0,)</f>
        <v>Yes</v>
      </c>
      <c r="F70" s="9" t="str">
        <f>_xlfn.XLOOKUP(C70,Tab_Def_Flows[Flow_Name],Tab_Def_Flows[CC?],,0,)</f>
        <v>Yes</v>
      </c>
      <c r="G70" s="7">
        <v>2093</v>
      </c>
      <c r="H70" s="21">
        <v>601730.45190400002</v>
      </c>
      <c r="I70" s="6" t="str">
        <f>'0_Configuration'!$C$4</f>
        <v>Mg</v>
      </c>
      <c r="J70" s="13"/>
      <c r="K70" s="13"/>
      <c r="L70" s="13"/>
      <c r="M70" s="13"/>
      <c r="N70" s="13"/>
      <c r="O70" s="7" t="s">
        <v>6</v>
      </c>
      <c r="P70" s="7"/>
      <c r="Q70" s="7"/>
      <c r="R70" s="6" t="str">
        <f>Tab_Data_Flows[[#This Row],[Flow_ID]]&amp;"_"&amp;"material_"&amp;Tab_Data_Flows[[#This Row],[Flow_Data_Year]]</f>
        <v>F_01_02_material_2093</v>
      </c>
      <c r="S70" s="12">
        <f t="shared" si="2"/>
        <v>601730.45190400002</v>
      </c>
      <c r="T70" s="6" t="str">
        <f>Tab_Data_Flows[[#This Row],[UoM_Source]]</f>
        <v>Mg</v>
      </c>
      <c r="U70" s="139">
        <f>INDEX(Tab_Def_Flows[[Flow_ID]:[CC_DM_source]],MATCH(Tab_Data_Flows[[#This Row],[Flow_Name]],Tab_Def_Flows[Flow_Name],0),11)</f>
        <v>0.23841961794348115</v>
      </c>
      <c r="V70" s="6" t="str">
        <f>Tab_Data_Flows[[#This Row],[Flow_ID]]&amp;"_"&amp;"WC_"&amp;Tab_Data_Flows[[#This Row],[Flow_Data_Year]]</f>
        <v>F_01_02_WC_2093</v>
      </c>
      <c r="W70" s="6">
        <f>IF(D70="Yes",S70*Tab_Data_Flows[[#This Row],[WC_'[%']]],"N.A.")</f>
        <v>143464.34444790994</v>
      </c>
      <c r="X70" s="6" t="str">
        <f>Tab_Data_Flows[[#This Row],[UoM_Flow_Py]]</f>
        <v>Mg</v>
      </c>
      <c r="Y70" s="139">
        <f>INDEX(Tab_Def_Flows[[Flow_ID]:[CC_DM_source]],MATCH(Tab_Data_Flows[[#This Row],[Flow_Name]],Tab_Def_Flows[Flow_Name],0),14)</f>
        <v>0.76158038205651879</v>
      </c>
      <c r="Z70" s="6" t="str">
        <f>Tab_Data_Flows[[#This Row],[Flow_ID]]&amp;"_"&amp;"DM_"&amp;Tab_Data_Flows[[#This Row],[Flow_Data_Year]]</f>
        <v>F_01_02_DM_2093</v>
      </c>
      <c r="AA70" s="6">
        <f>IF(E70="Yes",Y70*Tab_Data_Flows[[#This Row],[Flow_Material]],"N.A.")</f>
        <v>458266.10745609005</v>
      </c>
      <c r="AB70" s="6" t="str">
        <f>Tab_Data_Flows[[#This Row],[UoM_Flow_Py]]</f>
        <v>Mg</v>
      </c>
      <c r="AC70" s="139">
        <f>INDEX(Tab_Def_Flows[[Flow_ID]:[CC_DM_source]],MATCH(Tab_Data_Flows[[#This Row],[Flow_Name]],Tab_Def_Flows[Flow_Name],0),17)</f>
        <v>0</v>
      </c>
      <c r="AD70" s="6" t="str">
        <f>Tab_Data_Flows[[#This Row],[Flow_ID]]&amp;"_"&amp;"CC_"&amp;Tab_Data_Flows[[#This Row],[Flow_Data_Year]]</f>
        <v>F_01_02_CC_2093</v>
      </c>
      <c r="AE70" s="6">
        <f>IF(F70="Yes",AC70*Tab_Data_Flows[[#This Row],[Flow_Material]]*Tab_Data_Flows[[#This Row],[DM_'[%']]],"N.A.")</f>
        <v>0</v>
      </c>
      <c r="AF70" s="6" t="str">
        <f>Tab_Data_Flows[[#This Row],[UoM_Flow_Py]]</f>
        <v>Mg</v>
      </c>
      <c r="AG70"/>
    </row>
    <row r="71" spans="1:33" x14ac:dyDescent="0.25">
      <c r="A71" s="8">
        <f t="shared" si="3"/>
        <v>70</v>
      </c>
      <c r="B71" s="6" t="str">
        <f>_xlfn.XLOOKUP(C71,Tab_Def_Flows[Flow_Name],Tab_Def_Flows[Flow_ID],,0,)</f>
        <v>F_01_02</v>
      </c>
      <c r="C71" s="138" t="s">
        <v>475</v>
      </c>
      <c r="D71" s="9" t="str">
        <f>_xlfn.XLOOKUP(C71,Tab_Def_Flows[Flow_Name],Tab_Def_Flows[WC?],,0,)</f>
        <v>Yes</v>
      </c>
      <c r="E71" s="9" t="str">
        <f>_xlfn.XLOOKUP(C71,Tab_Def_Flows[Flow_Name],Tab_Def_Flows[DM?],,0,)</f>
        <v>Yes</v>
      </c>
      <c r="F71" s="9" t="str">
        <f>_xlfn.XLOOKUP(C71,Tab_Def_Flows[Flow_Name],Tab_Def_Flows[CC?],,0,)</f>
        <v>Yes</v>
      </c>
      <c r="G71" s="7">
        <v>2094</v>
      </c>
      <c r="H71" s="21">
        <v>661110.45296000002</v>
      </c>
      <c r="I71" s="6" t="str">
        <f>'0_Configuration'!$C$4</f>
        <v>Mg</v>
      </c>
      <c r="J71" s="13"/>
      <c r="K71" s="13"/>
      <c r="L71" s="13"/>
      <c r="M71" s="13"/>
      <c r="N71" s="13"/>
      <c r="O71" s="7" t="s">
        <v>6</v>
      </c>
      <c r="P71" s="7"/>
      <c r="Q71" s="7"/>
      <c r="R71" s="6" t="str">
        <f>Tab_Data_Flows[[#This Row],[Flow_ID]]&amp;"_"&amp;"material_"&amp;Tab_Data_Flows[[#This Row],[Flow_Data_Year]]</f>
        <v>F_01_02_material_2094</v>
      </c>
      <c r="S71" s="12">
        <f t="shared" si="2"/>
        <v>661110.45296000002</v>
      </c>
      <c r="T71" s="6" t="str">
        <f>Tab_Data_Flows[[#This Row],[UoM_Source]]</f>
        <v>Mg</v>
      </c>
      <c r="U71" s="139">
        <f>INDEX(Tab_Def_Flows[[Flow_ID]:[CC_DM_source]],MATCH(Tab_Data_Flows[[#This Row],[Flow_Name]],Tab_Def_Flows[Flow_Name],0),11)</f>
        <v>0.23841961794348115</v>
      </c>
      <c r="V71" s="6" t="str">
        <f>Tab_Data_Flows[[#This Row],[Flow_ID]]&amp;"_"&amp;"WC_"&amp;Tab_Data_Flows[[#This Row],[Flow_Data_Year]]</f>
        <v>F_01_02_WC_2094</v>
      </c>
      <c r="W71" s="6">
        <f>IF(D71="Yes",S71*Tab_Data_Flows[[#This Row],[WC_'[%']]],"N.A.")</f>
        <v>157621.70161316497</v>
      </c>
      <c r="X71" s="6" t="str">
        <f>Tab_Data_Flows[[#This Row],[UoM_Flow_Py]]</f>
        <v>Mg</v>
      </c>
      <c r="Y71" s="139">
        <f>INDEX(Tab_Def_Flows[[Flow_ID]:[CC_DM_source]],MATCH(Tab_Data_Flows[[#This Row],[Flow_Name]],Tab_Def_Flows[Flow_Name],0),14)</f>
        <v>0.76158038205651879</v>
      </c>
      <c r="Z71" s="6" t="str">
        <f>Tab_Data_Flows[[#This Row],[Flow_ID]]&amp;"_"&amp;"DM_"&amp;Tab_Data_Flows[[#This Row],[Flow_Data_Year]]</f>
        <v>F_01_02_DM_2094</v>
      </c>
      <c r="AA71" s="6">
        <f>IF(E71="Yes",Y71*Tab_Data_Flows[[#This Row],[Flow_Material]],"N.A.")</f>
        <v>503488.75134683499</v>
      </c>
      <c r="AB71" s="6" t="str">
        <f>Tab_Data_Flows[[#This Row],[UoM_Flow_Py]]</f>
        <v>Mg</v>
      </c>
      <c r="AC71" s="139">
        <f>INDEX(Tab_Def_Flows[[Flow_ID]:[CC_DM_source]],MATCH(Tab_Data_Flows[[#This Row],[Flow_Name]],Tab_Def_Flows[Flow_Name],0),17)</f>
        <v>0</v>
      </c>
      <c r="AD71" s="6" t="str">
        <f>Tab_Data_Flows[[#This Row],[Flow_ID]]&amp;"_"&amp;"CC_"&amp;Tab_Data_Flows[[#This Row],[Flow_Data_Year]]</f>
        <v>F_01_02_CC_2094</v>
      </c>
      <c r="AE71" s="6">
        <f>IF(F71="Yes",AC71*Tab_Data_Flows[[#This Row],[Flow_Material]]*Tab_Data_Flows[[#This Row],[DM_'[%']]],"N.A.")</f>
        <v>0</v>
      </c>
      <c r="AF71" s="6" t="str">
        <f>Tab_Data_Flows[[#This Row],[UoM_Flow_Py]]</f>
        <v>Mg</v>
      </c>
      <c r="AG71"/>
    </row>
    <row r="72" spans="1:33" x14ac:dyDescent="0.25">
      <c r="A72" s="8">
        <f t="shared" si="3"/>
        <v>71</v>
      </c>
      <c r="B72" s="6" t="str">
        <f>_xlfn.XLOOKUP(C72,Tab_Def_Flows[Flow_Name],Tab_Def_Flows[Flow_ID],,0,)</f>
        <v>F_01_02</v>
      </c>
      <c r="C72" s="138" t="s">
        <v>475</v>
      </c>
      <c r="D72" s="9" t="str">
        <f>_xlfn.XLOOKUP(C72,Tab_Def_Flows[Flow_Name],Tab_Def_Flows[WC?],,0,)</f>
        <v>Yes</v>
      </c>
      <c r="E72" s="9" t="str">
        <f>_xlfn.XLOOKUP(C72,Tab_Def_Flows[Flow_Name],Tab_Def_Flows[DM?],,0,)</f>
        <v>Yes</v>
      </c>
      <c r="F72" s="9" t="str">
        <f>_xlfn.XLOOKUP(C72,Tab_Def_Flows[Flow_Name],Tab_Def_Flows[CC?],,0,)</f>
        <v>Yes</v>
      </c>
      <c r="G72" s="7">
        <v>2095</v>
      </c>
      <c r="H72" s="21">
        <v>665438.85096000007</v>
      </c>
      <c r="I72" s="6" t="str">
        <f>'0_Configuration'!$C$4</f>
        <v>Mg</v>
      </c>
      <c r="J72" s="13"/>
      <c r="K72" s="13"/>
      <c r="L72" s="13"/>
      <c r="M72" s="13"/>
      <c r="N72" s="13"/>
      <c r="O72" s="7" t="s">
        <v>6</v>
      </c>
      <c r="P72" s="7"/>
      <c r="Q72" s="7"/>
      <c r="R72" s="6" t="str">
        <f>Tab_Data_Flows[[#This Row],[Flow_ID]]&amp;"_"&amp;"material_"&amp;Tab_Data_Flows[[#This Row],[Flow_Data_Year]]</f>
        <v>F_01_02_material_2095</v>
      </c>
      <c r="S72" s="12">
        <f t="shared" si="2"/>
        <v>665438.85096000007</v>
      </c>
      <c r="T72" s="6" t="str">
        <f>Tab_Data_Flows[[#This Row],[UoM_Source]]</f>
        <v>Mg</v>
      </c>
      <c r="U72" s="139">
        <f>INDEX(Tab_Def_Flows[[Flow_ID]:[CC_DM_source]],MATCH(Tab_Data_Flows[[#This Row],[Flow_Name]],Tab_Def_Flows[Flow_Name],0),11)</f>
        <v>0.23841961794348115</v>
      </c>
      <c r="V72" s="6" t="str">
        <f>Tab_Data_Flows[[#This Row],[Flow_ID]]&amp;"_"&amp;"WC_"&amp;Tab_Data_Flows[[#This Row],[Flow_Data_Year]]</f>
        <v>F_01_02_WC_2095</v>
      </c>
      <c r="W72" s="6">
        <f>IF(D72="Yes",S72*Tab_Data_Flows[[#This Row],[WC_'[%']]],"N.A.")</f>
        <v>158653.6766106323</v>
      </c>
      <c r="X72" s="6" t="str">
        <f>Tab_Data_Flows[[#This Row],[UoM_Flow_Py]]</f>
        <v>Mg</v>
      </c>
      <c r="Y72" s="139">
        <f>INDEX(Tab_Def_Flows[[Flow_ID]:[CC_DM_source]],MATCH(Tab_Data_Flows[[#This Row],[Flow_Name]],Tab_Def_Flows[Flow_Name],0),14)</f>
        <v>0.76158038205651879</v>
      </c>
      <c r="Z72" s="6" t="str">
        <f>Tab_Data_Flows[[#This Row],[Flow_ID]]&amp;"_"&amp;"DM_"&amp;Tab_Data_Flows[[#This Row],[Flow_Data_Year]]</f>
        <v>F_01_02_DM_2095</v>
      </c>
      <c r="AA72" s="6">
        <f>IF(E72="Yes",Y72*Tab_Data_Flows[[#This Row],[Flow_Material]],"N.A.")</f>
        <v>506785.17434936773</v>
      </c>
      <c r="AB72" s="6" t="str">
        <f>Tab_Data_Flows[[#This Row],[UoM_Flow_Py]]</f>
        <v>Mg</v>
      </c>
      <c r="AC72" s="139">
        <f>INDEX(Tab_Def_Flows[[Flow_ID]:[CC_DM_source]],MATCH(Tab_Data_Flows[[#This Row],[Flow_Name]],Tab_Def_Flows[Flow_Name],0),17)</f>
        <v>0</v>
      </c>
      <c r="AD72" s="6" t="str">
        <f>Tab_Data_Flows[[#This Row],[Flow_ID]]&amp;"_"&amp;"CC_"&amp;Tab_Data_Flows[[#This Row],[Flow_Data_Year]]</f>
        <v>F_01_02_CC_2095</v>
      </c>
      <c r="AE72" s="6">
        <f>IF(F72="Yes",AC72*Tab_Data_Flows[[#This Row],[Flow_Material]]*Tab_Data_Flows[[#This Row],[DM_'[%']]],"N.A.")</f>
        <v>0</v>
      </c>
      <c r="AF72" s="6" t="str">
        <f>Tab_Data_Flows[[#This Row],[UoM_Flow_Py]]</f>
        <v>Mg</v>
      </c>
      <c r="AG72"/>
    </row>
    <row r="73" spans="1:33" x14ac:dyDescent="0.25">
      <c r="A73" s="8">
        <f t="shared" si="3"/>
        <v>72</v>
      </c>
      <c r="B73" s="6" t="str">
        <f>_xlfn.XLOOKUP(C73,Tab_Def_Flows[Flow_Name],Tab_Def_Flows[Flow_ID],,0,)</f>
        <v>F_01_02</v>
      </c>
      <c r="C73" s="138" t="s">
        <v>475</v>
      </c>
      <c r="D73" s="9" t="str">
        <f>_xlfn.XLOOKUP(C73,Tab_Def_Flows[Flow_Name],Tab_Def_Flows[WC?],,0,)</f>
        <v>Yes</v>
      </c>
      <c r="E73" s="9" t="str">
        <f>_xlfn.XLOOKUP(C73,Tab_Def_Flows[Flow_Name],Tab_Def_Flows[DM?],,0,)</f>
        <v>Yes</v>
      </c>
      <c r="F73" s="9" t="str">
        <f>_xlfn.XLOOKUP(C73,Tab_Def_Flows[Flow_Name],Tab_Def_Flows[CC?],,0,)</f>
        <v>Yes</v>
      </c>
      <c r="G73" s="7">
        <v>2096</v>
      </c>
      <c r="H73" s="21">
        <v>595541.00571199995</v>
      </c>
      <c r="I73" s="6" t="str">
        <f>'0_Configuration'!$C$4</f>
        <v>Mg</v>
      </c>
      <c r="J73" s="13"/>
      <c r="K73" s="13"/>
      <c r="L73" s="13"/>
      <c r="M73" s="13"/>
      <c r="N73" s="13"/>
      <c r="O73" s="7" t="s">
        <v>6</v>
      </c>
      <c r="P73" s="7"/>
      <c r="Q73" s="7"/>
      <c r="R73" s="6" t="str">
        <f>Tab_Data_Flows[[#This Row],[Flow_ID]]&amp;"_"&amp;"material_"&amp;Tab_Data_Flows[[#This Row],[Flow_Data_Year]]</f>
        <v>F_01_02_material_2096</v>
      </c>
      <c r="S73" s="12">
        <f t="shared" si="2"/>
        <v>595541.00571199995</v>
      </c>
      <c r="T73" s="6" t="str">
        <f>Tab_Data_Flows[[#This Row],[UoM_Source]]</f>
        <v>Mg</v>
      </c>
      <c r="U73" s="139">
        <f>INDEX(Tab_Def_Flows[[Flow_ID]:[CC_DM_source]],MATCH(Tab_Data_Flows[[#This Row],[Flow_Name]],Tab_Def_Flows[Flow_Name],0),11)</f>
        <v>0.23841961794348115</v>
      </c>
      <c r="V73" s="6" t="str">
        <f>Tab_Data_Flows[[#This Row],[Flow_ID]]&amp;"_"&amp;"WC_"&amp;Tab_Data_Flows[[#This Row],[Flow_Data_Year]]</f>
        <v>F_01_02_WC_2096</v>
      </c>
      <c r="W73" s="6">
        <f>IF(D73="Yes",S73*Tab_Data_Flows[[#This Row],[WC_'[%']]],"N.A.")</f>
        <v>141988.65905153155</v>
      </c>
      <c r="X73" s="6" t="str">
        <f>Tab_Data_Flows[[#This Row],[UoM_Flow_Py]]</f>
        <v>Mg</v>
      </c>
      <c r="Y73" s="139">
        <f>INDEX(Tab_Def_Flows[[Flow_ID]:[CC_DM_source]],MATCH(Tab_Data_Flows[[#This Row],[Flow_Name]],Tab_Def_Flows[Flow_Name],0),14)</f>
        <v>0.76158038205651879</v>
      </c>
      <c r="Z73" s="6" t="str">
        <f>Tab_Data_Flows[[#This Row],[Flow_ID]]&amp;"_"&amp;"DM_"&amp;Tab_Data_Flows[[#This Row],[Flow_Data_Year]]</f>
        <v>F_01_02_DM_2096</v>
      </c>
      <c r="AA73" s="6">
        <f>IF(E73="Yes",Y73*Tab_Data_Flows[[#This Row],[Flow_Material]],"N.A.")</f>
        <v>453552.34666046838</v>
      </c>
      <c r="AB73" s="6" t="str">
        <f>Tab_Data_Flows[[#This Row],[UoM_Flow_Py]]</f>
        <v>Mg</v>
      </c>
      <c r="AC73" s="139">
        <f>INDEX(Tab_Def_Flows[[Flow_ID]:[CC_DM_source]],MATCH(Tab_Data_Flows[[#This Row],[Flow_Name]],Tab_Def_Flows[Flow_Name],0),17)</f>
        <v>0</v>
      </c>
      <c r="AD73" s="6" t="str">
        <f>Tab_Data_Flows[[#This Row],[Flow_ID]]&amp;"_"&amp;"CC_"&amp;Tab_Data_Flows[[#This Row],[Flow_Data_Year]]</f>
        <v>F_01_02_CC_2096</v>
      </c>
      <c r="AE73" s="6">
        <f>IF(F73="Yes",AC73*Tab_Data_Flows[[#This Row],[Flow_Material]]*Tab_Data_Flows[[#This Row],[DM_'[%']]],"N.A.")</f>
        <v>0</v>
      </c>
      <c r="AF73" s="6" t="str">
        <f>Tab_Data_Flows[[#This Row],[UoM_Flow_Py]]</f>
        <v>Mg</v>
      </c>
      <c r="AG73"/>
    </row>
    <row r="74" spans="1:33" x14ac:dyDescent="0.25">
      <c r="A74" s="8">
        <f t="shared" si="3"/>
        <v>73</v>
      </c>
      <c r="B74" s="6" t="str">
        <f>_xlfn.XLOOKUP(C74,Tab_Def_Flows[Flow_Name],Tab_Def_Flows[Flow_ID],,0,)</f>
        <v>F_01_02</v>
      </c>
      <c r="C74" s="138" t="s">
        <v>475</v>
      </c>
      <c r="D74" s="9" t="str">
        <f>_xlfn.XLOOKUP(C74,Tab_Def_Flows[Flow_Name],Tab_Def_Flows[WC?],,0,)</f>
        <v>Yes</v>
      </c>
      <c r="E74" s="9" t="str">
        <f>_xlfn.XLOOKUP(C74,Tab_Def_Flows[Flow_Name],Tab_Def_Flows[DM?],,0,)</f>
        <v>Yes</v>
      </c>
      <c r="F74" s="9" t="str">
        <f>_xlfn.XLOOKUP(C74,Tab_Def_Flows[Flow_Name],Tab_Def_Flows[CC?],,0,)</f>
        <v>Yes</v>
      </c>
      <c r="G74" s="7">
        <v>2097</v>
      </c>
      <c r="H74" s="21">
        <v>569390.54108800006</v>
      </c>
      <c r="I74" s="6" t="str">
        <f>'0_Configuration'!$C$4</f>
        <v>Mg</v>
      </c>
      <c r="J74" s="13"/>
      <c r="K74" s="13"/>
      <c r="L74" s="13"/>
      <c r="M74" s="13"/>
      <c r="N74" s="13"/>
      <c r="O74" s="7" t="s">
        <v>6</v>
      </c>
      <c r="P74" s="7"/>
      <c r="Q74" s="7"/>
      <c r="R74" s="6" t="str">
        <f>Tab_Data_Flows[[#This Row],[Flow_ID]]&amp;"_"&amp;"material_"&amp;Tab_Data_Flows[[#This Row],[Flow_Data_Year]]</f>
        <v>F_01_02_material_2097</v>
      </c>
      <c r="S74" s="12">
        <f t="shared" si="2"/>
        <v>569390.54108800006</v>
      </c>
      <c r="T74" s="6" t="str">
        <f>Tab_Data_Flows[[#This Row],[UoM_Source]]</f>
        <v>Mg</v>
      </c>
      <c r="U74" s="139">
        <f>INDEX(Tab_Def_Flows[[Flow_ID]:[CC_DM_source]],MATCH(Tab_Data_Flows[[#This Row],[Flow_Name]],Tab_Def_Flows[Flow_Name],0),11)</f>
        <v>0.23841961794348115</v>
      </c>
      <c r="V74" s="6" t="str">
        <f>Tab_Data_Flows[[#This Row],[Flow_ID]]&amp;"_"&amp;"WC_"&amp;Tab_Data_Flows[[#This Row],[Flow_Data_Year]]</f>
        <v>F_01_02_WC_2097</v>
      </c>
      <c r="W74" s="6">
        <f>IF(D74="Yes",S74*Tab_Data_Flows[[#This Row],[WC_'[%']]],"N.A.")</f>
        <v>135753.87526683297</v>
      </c>
      <c r="X74" s="6" t="str">
        <f>Tab_Data_Flows[[#This Row],[UoM_Flow_Py]]</f>
        <v>Mg</v>
      </c>
      <c r="Y74" s="139">
        <f>INDEX(Tab_Def_Flows[[Flow_ID]:[CC_DM_source]],MATCH(Tab_Data_Flows[[#This Row],[Flow_Name]],Tab_Def_Flows[Flow_Name],0),14)</f>
        <v>0.76158038205651879</v>
      </c>
      <c r="Z74" s="6" t="str">
        <f>Tab_Data_Flows[[#This Row],[Flow_ID]]&amp;"_"&amp;"DM_"&amp;Tab_Data_Flows[[#This Row],[Flow_Data_Year]]</f>
        <v>F_01_02_DM_2097</v>
      </c>
      <c r="AA74" s="6">
        <f>IF(E74="Yes",Y74*Tab_Data_Flows[[#This Row],[Flow_Material]],"N.A.")</f>
        <v>433636.66582116706</v>
      </c>
      <c r="AB74" s="6" t="str">
        <f>Tab_Data_Flows[[#This Row],[UoM_Flow_Py]]</f>
        <v>Mg</v>
      </c>
      <c r="AC74" s="139">
        <f>INDEX(Tab_Def_Flows[[Flow_ID]:[CC_DM_source]],MATCH(Tab_Data_Flows[[#This Row],[Flow_Name]],Tab_Def_Flows[Flow_Name],0),17)</f>
        <v>0</v>
      </c>
      <c r="AD74" s="6" t="str">
        <f>Tab_Data_Flows[[#This Row],[Flow_ID]]&amp;"_"&amp;"CC_"&amp;Tab_Data_Flows[[#This Row],[Flow_Data_Year]]</f>
        <v>F_01_02_CC_2097</v>
      </c>
      <c r="AE74" s="6">
        <f>IF(F74="Yes",AC74*Tab_Data_Flows[[#This Row],[Flow_Material]]*Tab_Data_Flows[[#This Row],[DM_'[%']]],"N.A.")</f>
        <v>0</v>
      </c>
      <c r="AF74" s="6" t="str">
        <f>Tab_Data_Flows[[#This Row],[UoM_Flow_Py]]</f>
        <v>Mg</v>
      </c>
      <c r="AG74"/>
    </row>
    <row r="75" spans="1:33" x14ac:dyDescent="0.25">
      <c r="A75" s="8">
        <f t="shared" si="3"/>
        <v>74</v>
      </c>
      <c r="B75" s="6" t="str">
        <f>_xlfn.XLOOKUP(C75,Tab_Def_Flows[Flow_Name],Tab_Def_Flows[Flow_ID],,0,)</f>
        <v>F_01_02</v>
      </c>
      <c r="C75" s="138" t="s">
        <v>475</v>
      </c>
      <c r="D75" s="9" t="str">
        <f>_xlfn.XLOOKUP(C75,Tab_Def_Flows[Flow_Name],Tab_Def_Flows[WC?],,0,)</f>
        <v>Yes</v>
      </c>
      <c r="E75" s="9" t="str">
        <f>_xlfn.XLOOKUP(C75,Tab_Def_Flows[Flow_Name],Tab_Def_Flows[DM?],,0,)</f>
        <v>Yes</v>
      </c>
      <c r="F75" s="9" t="str">
        <f>_xlfn.XLOOKUP(C75,Tab_Def_Flows[Flow_Name],Tab_Def_Flows[CC?],,0,)</f>
        <v>Yes</v>
      </c>
      <c r="G75" s="7">
        <v>2098</v>
      </c>
      <c r="H75" s="21">
        <v>620688.60320000001</v>
      </c>
      <c r="I75" s="6" t="str">
        <f>'0_Configuration'!$C$4</f>
        <v>Mg</v>
      </c>
      <c r="J75" s="13"/>
      <c r="K75" s="13"/>
      <c r="L75" s="13"/>
      <c r="M75" s="13"/>
      <c r="N75" s="13"/>
      <c r="O75" s="7" t="s">
        <v>6</v>
      </c>
      <c r="P75" s="7"/>
      <c r="Q75" s="7"/>
      <c r="R75" s="6" t="str">
        <f>Tab_Data_Flows[[#This Row],[Flow_ID]]&amp;"_"&amp;"material_"&amp;Tab_Data_Flows[[#This Row],[Flow_Data_Year]]</f>
        <v>F_01_02_material_2098</v>
      </c>
      <c r="S75" s="12">
        <f t="shared" si="2"/>
        <v>620688.60320000001</v>
      </c>
      <c r="T75" s="6" t="str">
        <f>Tab_Data_Flows[[#This Row],[UoM_Source]]</f>
        <v>Mg</v>
      </c>
      <c r="U75" s="139">
        <f>INDEX(Tab_Def_Flows[[Flow_ID]:[CC_DM_source]],MATCH(Tab_Data_Flows[[#This Row],[Flow_Name]],Tab_Def_Flows[Flow_Name],0),11)</f>
        <v>0.23841961794348115</v>
      </c>
      <c r="V75" s="6" t="str">
        <f>Tab_Data_Flows[[#This Row],[Flow_ID]]&amp;"_"&amp;"WC_"&amp;Tab_Data_Flows[[#This Row],[Flow_Data_Year]]</f>
        <v>F_01_02_WC_2098</v>
      </c>
      <c r="W75" s="6">
        <f>IF(D75="Yes",S75*Tab_Data_Flows[[#This Row],[WC_'[%']]],"N.A.")</f>
        <v>147984.33963681696</v>
      </c>
      <c r="X75" s="6" t="str">
        <f>Tab_Data_Flows[[#This Row],[UoM_Flow_Py]]</f>
        <v>Mg</v>
      </c>
      <c r="Y75" s="139">
        <f>INDEX(Tab_Def_Flows[[Flow_ID]:[CC_DM_source]],MATCH(Tab_Data_Flows[[#This Row],[Flow_Name]],Tab_Def_Flows[Flow_Name],0),14)</f>
        <v>0.76158038205651879</v>
      </c>
      <c r="Z75" s="6" t="str">
        <f>Tab_Data_Flows[[#This Row],[Flow_ID]]&amp;"_"&amp;"DM_"&amp;Tab_Data_Flows[[#This Row],[Flow_Data_Year]]</f>
        <v>F_01_02_DM_2098</v>
      </c>
      <c r="AA75" s="6">
        <f>IF(E75="Yes",Y75*Tab_Data_Flows[[#This Row],[Flow_Material]],"N.A.")</f>
        <v>472704.26356318302</v>
      </c>
      <c r="AB75" s="6" t="str">
        <f>Tab_Data_Flows[[#This Row],[UoM_Flow_Py]]</f>
        <v>Mg</v>
      </c>
      <c r="AC75" s="139">
        <f>INDEX(Tab_Def_Flows[[Flow_ID]:[CC_DM_source]],MATCH(Tab_Data_Flows[[#This Row],[Flow_Name]],Tab_Def_Flows[Flow_Name],0),17)</f>
        <v>0</v>
      </c>
      <c r="AD75" s="6" t="str">
        <f>Tab_Data_Flows[[#This Row],[Flow_ID]]&amp;"_"&amp;"CC_"&amp;Tab_Data_Flows[[#This Row],[Flow_Data_Year]]</f>
        <v>F_01_02_CC_2098</v>
      </c>
      <c r="AE75" s="6">
        <f>IF(F75="Yes",AC75*Tab_Data_Flows[[#This Row],[Flow_Material]]*Tab_Data_Flows[[#This Row],[DM_'[%']]],"N.A.")</f>
        <v>0</v>
      </c>
      <c r="AF75" s="6" t="str">
        <f>Tab_Data_Flows[[#This Row],[UoM_Flow_Py]]</f>
        <v>Mg</v>
      </c>
      <c r="AG75"/>
    </row>
    <row r="76" spans="1:33" x14ac:dyDescent="0.25">
      <c r="A76" s="8">
        <f t="shared" si="3"/>
        <v>75</v>
      </c>
      <c r="B76" s="6" t="str">
        <f>_xlfn.XLOOKUP(C76,Tab_Def_Flows[Flow_Name],Tab_Def_Flows[Flow_ID],,0,)</f>
        <v>F_01_02</v>
      </c>
      <c r="C76" s="138" t="s">
        <v>475</v>
      </c>
      <c r="D76" s="9" t="str">
        <f>_xlfn.XLOOKUP(C76,Tab_Def_Flows[Flow_Name],Tab_Def_Flows[WC?],,0,)</f>
        <v>Yes</v>
      </c>
      <c r="E76" s="9" t="str">
        <f>_xlfn.XLOOKUP(C76,Tab_Def_Flows[Flow_Name],Tab_Def_Flows[DM?],,0,)</f>
        <v>Yes</v>
      </c>
      <c r="F76" s="9" t="str">
        <f>_xlfn.XLOOKUP(C76,Tab_Def_Flows[Flow_Name],Tab_Def_Flows[CC?],,0,)</f>
        <v>Yes</v>
      </c>
      <c r="G76" s="7">
        <v>2099</v>
      </c>
      <c r="H76" s="21">
        <v>513091.23198399995</v>
      </c>
      <c r="I76" s="6" t="str">
        <f>'0_Configuration'!$C$4</f>
        <v>Mg</v>
      </c>
      <c r="J76" s="13"/>
      <c r="K76" s="13"/>
      <c r="L76" s="13"/>
      <c r="M76" s="13"/>
      <c r="N76" s="13"/>
      <c r="O76" s="7" t="s">
        <v>6</v>
      </c>
      <c r="P76" s="7"/>
      <c r="Q76" s="7"/>
      <c r="R76" s="6" t="str">
        <f>Tab_Data_Flows[[#This Row],[Flow_ID]]&amp;"_"&amp;"material_"&amp;Tab_Data_Flows[[#This Row],[Flow_Data_Year]]</f>
        <v>F_01_02_material_2099</v>
      </c>
      <c r="S76" s="12">
        <f t="shared" si="2"/>
        <v>513091.23198399995</v>
      </c>
      <c r="T76" s="6" t="str">
        <f>Tab_Data_Flows[[#This Row],[UoM_Source]]</f>
        <v>Mg</v>
      </c>
      <c r="U76" s="139">
        <f>INDEX(Tab_Def_Flows[[Flow_ID]:[CC_DM_source]],MATCH(Tab_Data_Flows[[#This Row],[Flow_Name]],Tab_Def_Flows[Flow_Name],0),11)</f>
        <v>0.23841961794348115</v>
      </c>
      <c r="V76" s="6" t="str">
        <f>Tab_Data_Flows[[#This Row],[Flow_ID]]&amp;"_"&amp;"WC_"&amp;Tab_Data_Flows[[#This Row],[Flow_Data_Year]]</f>
        <v>F_01_02_WC_2099</v>
      </c>
      <c r="W76" s="6">
        <f>IF(D76="Yes",S76*Tab_Data_Flows[[#This Row],[WC_'[%']]],"N.A.")</f>
        <v>122331.01549977533</v>
      </c>
      <c r="X76" s="6" t="str">
        <f>Tab_Data_Flows[[#This Row],[UoM_Flow_Py]]</f>
        <v>Mg</v>
      </c>
      <c r="Y76" s="139">
        <f>INDEX(Tab_Def_Flows[[Flow_ID]:[CC_DM_source]],MATCH(Tab_Data_Flows[[#This Row],[Flow_Name]],Tab_Def_Flows[Flow_Name],0),14)</f>
        <v>0.76158038205651879</v>
      </c>
      <c r="Z76" s="6" t="str">
        <f>Tab_Data_Flows[[#This Row],[Flow_ID]]&amp;"_"&amp;"DM_"&amp;Tab_Data_Flows[[#This Row],[Flow_Data_Year]]</f>
        <v>F_01_02_DM_2099</v>
      </c>
      <c r="AA76" s="6">
        <f>IF(E76="Yes",Y76*Tab_Data_Flows[[#This Row],[Flow_Material]],"N.A.")</f>
        <v>390760.2164842246</v>
      </c>
      <c r="AB76" s="6" t="str">
        <f>Tab_Data_Flows[[#This Row],[UoM_Flow_Py]]</f>
        <v>Mg</v>
      </c>
      <c r="AC76" s="139">
        <f>INDEX(Tab_Def_Flows[[Flow_ID]:[CC_DM_source]],MATCH(Tab_Data_Flows[[#This Row],[Flow_Name]],Tab_Def_Flows[Flow_Name],0),17)</f>
        <v>0</v>
      </c>
      <c r="AD76" s="6" t="str">
        <f>Tab_Data_Flows[[#This Row],[Flow_ID]]&amp;"_"&amp;"CC_"&amp;Tab_Data_Flows[[#This Row],[Flow_Data_Year]]</f>
        <v>F_01_02_CC_2099</v>
      </c>
      <c r="AE76" s="6">
        <f>IF(F76="Yes",AC76*Tab_Data_Flows[[#This Row],[Flow_Material]]*Tab_Data_Flows[[#This Row],[DM_'[%']]],"N.A.")</f>
        <v>0</v>
      </c>
      <c r="AF76" s="6" t="str">
        <f>Tab_Data_Flows[[#This Row],[UoM_Flow_Py]]</f>
        <v>Mg</v>
      </c>
      <c r="AG76"/>
    </row>
    <row r="77" spans="1:33" x14ac:dyDescent="0.25">
      <c r="A77" s="8">
        <f t="shared" si="3"/>
        <v>76</v>
      </c>
      <c r="B77" s="6" t="str">
        <f>_xlfn.XLOOKUP(C77,Tab_Def_Flows[Flow_Name],Tab_Def_Flows[Flow_ID],,0,)</f>
        <v>F_01_02</v>
      </c>
      <c r="C77" s="138" t="s">
        <v>475</v>
      </c>
      <c r="D77" s="9" t="str">
        <f>_xlfn.XLOOKUP(C77,Tab_Def_Flows[Flow_Name],Tab_Def_Flows[WC?],,0,)</f>
        <v>Yes</v>
      </c>
      <c r="E77" s="9" t="str">
        <f>_xlfn.XLOOKUP(C77,Tab_Def_Flows[Flow_Name],Tab_Def_Flows[DM?],,0,)</f>
        <v>Yes</v>
      </c>
      <c r="F77" s="9" t="str">
        <f>_xlfn.XLOOKUP(C77,Tab_Def_Flows[Flow_Name],Tab_Def_Flows[CC?],,0,)</f>
        <v>Yes</v>
      </c>
      <c r="G77" s="7">
        <v>2100</v>
      </c>
      <c r="H77" s="21">
        <v>661683.13737600006</v>
      </c>
      <c r="I77" s="6" t="str">
        <f>'0_Configuration'!$C$4</f>
        <v>Mg</v>
      </c>
      <c r="J77" s="13"/>
      <c r="K77" s="13"/>
      <c r="L77" s="13"/>
      <c r="M77" s="13"/>
      <c r="N77" s="13"/>
      <c r="O77" s="7" t="s">
        <v>6</v>
      </c>
      <c r="P77" s="7"/>
      <c r="Q77" s="7"/>
      <c r="R77" s="6" t="str">
        <f>Tab_Data_Flows[[#This Row],[Flow_ID]]&amp;"_"&amp;"material_"&amp;Tab_Data_Flows[[#This Row],[Flow_Data_Year]]</f>
        <v>F_01_02_material_2100</v>
      </c>
      <c r="S77" s="12">
        <f t="shared" si="2"/>
        <v>661683.13737600006</v>
      </c>
      <c r="T77" s="6" t="str">
        <f>Tab_Data_Flows[[#This Row],[UoM_Source]]</f>
        <v>Mg</v>
      </c>
      <c r="U77" s="139">
        <f>INDEX(Tab_Def_Flows[[Flow_ID]:[CC_DM_source]],MATCH(Tab_Data_Flows[[#This Row],[Flow_Name]],Tab_Def_Flows[Flow_Name],0),11)</f>
        <v>0.23841961794348115</v>
      </c>
      <c r="V77" s="6" t="str">
        <f>Tab_Data_Flows[[#This Row],[Flow_ID]]&amp;"_"&amp;"WC_"&amp;Tab_Data_Flows[[#This Row],[Flow_Data_Year]]</f>
        <v>F_01_02_WC_2100</v>
      </c>
      <c r="W77" s="6">
        <f>IF(D77="Yes",S77*Tab_Data_Flows[[#This Row],[WC_'[%']]],"N.A.")</f>
        <v>157758.2408128299</v>
      </c>
      <c r="X77" s="6" t="str">
        <f>Tab_Data_Flows[[#This Row],[UoM_Flow_Py]]</f>
        <v>Mg</v>
      </c>
      <c r="Y77" s="139">
        <f>INDEX(Tab_Def_Flows[[Flow_ID]:[CC_DM_source]],MATCH(Tab_Data_Flows[[#This Row],[Flow_Name]],Tab_Def_Flows[Flow_Name],0),14)</f>
        <v>0.76158038205651879</v>
      </c>
      <c r="Z77" s="6" t="str">
        <f>Tab_Data_Flows[[#This Row],[Flow_ID]]&amp;"_"&amp;"DM_"&amp;Tab_Data_Flows[[#This Row],[Flow_Data_Year]]</f>
        <v>F_01_02_DM_2100</v>
      </c>
      <c r="AA77" s="6">
        <f>IF(E77="Yes",Y77*Tab_Data_Flows[[#This Row],[Flow_Material]],"N.A.")</f>
        <v>503924.89656317013</v>
      </c>
      <c r="AB77" s="6" t="str">
        <f>Tab_Data_Flows[[#This Row],[UoM_Flow_Py]]</f>
        <v>Mg</v>
      </c>
      <c r="AC77" s="139">
        <f>INDEX(Tab_Def_Flows[[Flow_ID]:[CC_DM_source]],MATCH(Tab_Data_Flows[[#This Row],[Flow_Name]],Tab_Def_Flows[Flow_Name],0),17)</f>
        <v>0</v>
      </c>
      <c r="AD77" s="6" t="str">
        <f>Tab_Data_Flows[[#This Row],[Flow_ID]]&amp;"_"&amp;"CC_"&amp;Tab_Data_Flows[[#This Row],[Flow_Data_Year]]</f>
        <v>F_01_02_CC_2100</v>
      </c>
      <c r="AE77" s="6">
        <f>IF(F77="Yes",AC77*Tab_Data_Flows[[#This Row],[Flow_Material]]*Tab_Data_Flows[[#This Row],[DM_'[%']]],"N.A.")</f>
        <v>0</v>
      </c>
      <c r="AF77" s="6" t="str">
        <f>Tab_Data_Flows[[#This Row],[UoM_Flow_Py]]</f>
        <v>Mg</v>
      </c>
      <c r="AG77"/>
    </row>
    <row r="78" spans="1:33" x14ac:dyDescent="0.25">
      <c r="A78" s="8">
        <f t="shared" si="3"/>
        <v>77</v>
      </c>
      <c r="B78" s="6" t="str">
        <f>_xlfn.XLOOKUP(C78,Tab_Def_Flows[Flow_Name],Tab_Def_Flows[Flow_ID],,0,)</f>
        <v>F_01_02</v>
      </c>
      <c r="C78" s="138" t="s">
        <v>475</v>
      </c>
      <c r="D78" s="9" t="str">
        <f>_xlfn.XLOOKUP(C78,Tab_Def_Flows[Flow_Name],Tab_Def_Flows[WC?],,0,)</f>
        <v>Yes</v>
      </c>
      <c r="E78" s="9" t="str">
        <f>_xlfn.XLOOKUP(C78,Tab_Def_Flows[Flow_Name],Tab_Def_Flows[DM?],,0,)</f>
        <v>Yes</v>
      </c>
      <c r="F78" s="9" t="str">
        <f>_xlfn.XLOOKUP(C78,Tab_Def_Flows[Flow_Name],Tab_Def_Flows[CC?],,0,)</f>
        <v>Yes</v>
      </c>
      <c r="G78" s="7">
        <v>2101</v>
      </c>
      <c r="H78" s="21">
        <v>660981.09867199999</v>
      </c>
      <c r="I78" s="6" t="str">
        <f>'0_Configuration'!$C$4</f>
        <v>Mg</v>
      </c>
      <c r="J78" s="13"/>
      <c r="K78" s="13"/>
      <c r="L78" s="13"/>
      <c r="M78" s="13"/>
      <c r="N78" s="13"/>
      <c r="O78" s="7" t="s">
        <v>6</v>
      </c>
      <c r="P78" s="7"/>
      <c r="Q78" s="7"/>
      <c r="R78" s="6" t="str">
        <f>Tab_Data_Flows[[#This Row],[Flow_ID]]&amp;"_"&amp;"material_"&amp;Tab_Data_Flows[[#This Row],[Flow_Data_Year]]</f>
        <v>F_01_02_material_2101</v>
      </c>
      <c r="S78" s="12">
        <f t="shared" si="2"/>
        <v>660981.09867199999</v>
      </c>
      <c r="T78" s="6" t="str">
        <f>Tab_Data_Flows[[#This Row],[UoM_Source]]</f>
        <v>Mg</v>
      </c>
      <c r="U78" s="139">
        <f>INDEX(Tab_Def_Flows[[Flow_ID]:[CC_DM_source]],MATCH(Tab_Data_Flows[[#This Row],[Flow_Name]],Tab_Def_Flows[Flow_Name],0),11)</f>
        <v>0.23841961794348115</v>
      </c>
      <c r="V78" s="6" t="str">
        <f>Tab_Data_Flows[[#This Row],[Flow_ID]]&amp;"_"&amp;"WC_"&amp;Tab_Data_Flows[[#This Row],[Flow_Data_Year]]</f>
        <v>F_01_02_WC_2101</v>
      </c>
      <c r="W78" s="6">
        <f>IF(D78="Yes",S78*Tab_Data_Flows[[#This Row],[WC_'[%']]],"N.A.")</f>
        <v>157590.86101324065</v>
      </c>
      <c r="X78" s="6" t="str">
        <f>Tab_Data_Flows[[#This Row],[UoM_Flow_Py]]</f>
        <v>Mg</v>
      </c>
      <c r="Y78" s="139">
        <f>INDEX(Tab_Def_Flows[[Flow_ID]:[CC_DM_source]],MATCH(Tab_Data_Flows[[#This Row],[Flow_Name]],Tab_Def_Flows[Flow_Name],0),14)</f>
        <v>0.76158038205651879</v>
      </c>
      <c r="Z78" s="6" t="str">
        <f>Tab_Data_Flows[[#This Row],[Flow_ID]]&amp;"_"&amp;"DM_"&amp;Tab_Data_Flows[[#This Row],[Flow_Data_Year]]</f>
        <v>F_01_02_DM_2101</v>
      </c>
      <c r="AA78" s="6">
        <f>IF(E78="Yes",Y78*Tab_Data_Flows[[#This Row],[Flow_Material]],"N.A.")</f>
        <v>503390.23765875929</v>
      </c>
      <c r="AB78" s="6" t="str">
        <f>Tab_Data_Flows[[#This Row],[UoM_Flow_Py]]</f>
        <v>Mg</v>
      </c>
      <c r="AC78" s="139">
        <f>INDEX(Tab_Def_Flows[[Flow_ID]:[CC_DM_source]],MATCH(Tab_Data_Flows[[#This Row],[Flow_Name]],Tab_Def_Flows[Flow_Name],0),17)</f>
        <v>0</v>
      </c>
      <c r="AD78" s="6" t="str">
        <f>Tab_Data_Flows[[#This Row],[Flow_ID]]&amp;"_"&amp;"CC_"&amp;Tab_Data_Flows[[#This Row],[Flow_Data_Year]]</f>
        <v>F_01_02_CC_2101</v>
      </c>
      <c r="AE78" s="6">
        <f>IF(F78="Yes",AC78*Tab_Data_Flows[[#This Row],[Flow_Material]]*Tab_Data_Flows[[#This Row],[DM_'[%']]],"N.A.")</f>
        <v>0</v>
      </c>
      <c r="AF78" s="6" t="str">
        <f>Tab_Data_Flows[[#This Row],[UoM_Flow_Py]]</f>
        <v>Mg</v>
      </c>
      <c r="AG78"/>
    </row>
    <row r="79" spans="1:33" x14ac:dyDescent="0.25">
      <c r="A79" s="8">
        <f t="shared" si="3"/>
        <v>78</v>
      </c>
      <c r="B79" s="6" t="str">
        <f>_xlfn.XLOOKUP(C79,Tab_Def_Flows[Flow_Name],Tab_Def_Flows[Flow_ID],,0,)</f>
        <v>F_01_02</v>
      </c>
      <c r="C79" s="138" t="s">
        <v>475</v>
      </c>
      <c r="D79" s="9" t="str">
        <f>_xlfn.XLOOKUP(C79,Tab_Def_Flows[Flow_Name],Tab_Def_Flows[WC?],,0,)</f>
        <v>Yes</v>
      </c>
      <c r="E79" s="9" t="str">
        <f>_xlfn.XLOOKUP(C79,Tab_Def_Flows[Flow_Name],Tab_Def_Flows[DM?],,0,)</f>
        <v>Yes</v>
      </c>
      <c r="F79" s="9" t="str">
        <f>_xlfn.XLOOKUP(C79,Tab_Def_Flows[Flow_Name],Tab_Def_Flows[CC?],,0,)</f>
        <v>Yes</v>
      </c>
      <c r="G79" s="7">
        <v>2102</v>
      </c>
      <c r="H79" s="21">
        <v>672035.65540799999</v>
      </c>
      <c r="I79" s="6" t="str">
        <f>'0_Configuration'!$C$4</f>
        <v>Mg</v>
      </c>
      <c r="J79" s="13"/>
      <c r="K79" s="13"/>
      <c r="L79" s="13"/>
      <c r="M79" s="13"/>
      <c r="N79" s="13"/>
      <c r="O79" s="7" t="s">
        <v>6</v>
      </c>
      <c r="P79" s="7"/>
      <c r="Q79" s="7"/>
      <c r="R79" s="6" t="str">
        <f>Tab_Data_Flows[[#This Row],[Flow_ID]]&amp;"_"&amp;"material_"&amp;Tab_Data_Flows[[#This Row],[Flow_Data_Year]]</f>
        <v>F_01_02_material_2102</v>
      </c>
      <c r="S79" s="12">
        <f t="shared" si="2"/>
        <v>672035.65540799999</v>
      </c>
      <c r="T79" s="6" t="str">
        <f>Tab_Data_Flows[[#This Row],[UoM_Source]]</f>
        <v>Mg</v>
      </c>
      <c r="U79" s="139">
        <f>INDEX(Tab_Def_Flows[[Flow_ID]:[CC_DM_source]],MATCH(Tab_Data_Flows[[#This Row],[Flow_Name]],Tab_Def_Flows[Flow_Name],0),11)</f>
        <v>0.23841961794348115</v>
      </c>
      <c r="V79" s="6" t="str">
        <f>Tab_Data_Flows[[#This Row],[Flow_ID]]&amp;"_"&amp;"WC_"&amp;Tab_Data_Flows[[#This Row],[Flow_Data_Year]]</f>
        <v>F_01_02_WC_2102</v>
      </c>
      <c r="W79" s="6">
        <f>IF(D79="Yes",S79*Tab_Data_Flows[[#This Row],[WC_'[%']]],"N.A.")</f>
        <v>160226.48420677232</v>
      </c>
      <c r="X79" s="6" t="str">
        <f>Tab_Data_Flows[[#This Row],[UoM_Flow_Py]]</f>
        <v>Mg</v>
      </c>
      <c r="Y79" s="139">
        <f>INDEX(Tab_Def_Flows[[Flow_ID]:[CC_DM_source]],MATCH(Tab_Data_Flows[[#This Row],[Flow_Name]],Tab_Def_Flows[Flow_Name],0),14)</f>
        <v>0.76158038205651879</v>
      </c>
      <c r="Z79" s="6" t="str">
        <f>Tab_Data_Flows[[#This Row],[Flow_ID]]&amp;"_"&amp;"DM_"&amp;Tab_Data_Flows[[#This Row],[Flow_Data_Year]]</f>
        <v>F_01_02_DM_2102</v>
      </c>
      <c r="AA79" s="6">
        <f>IF(E79="Yes",Y79*Tab_Data_Flows[[#This Row],[Flow_Material]],"N.A.")</f>
        <v>511809.17120122764</v>
      </c>
      <c r="AB79" s="6" t="str">
        <f>Tab_Data_Flows[[#This Row],[UoM_Flow_Py]]</f>
        <v>Mg</v>
      </c>
      <c r="AC79" s="139">
        <f>INDEX(Tab_Def_Flows[[Flow_ID]:[CC_DM_source]],MATCH(Tab_Data_Flows[[#This Row],[Flow_Name]],Tab_Def_Flows[Flow_Name],0),17)</f>
        <v>0</v>
      </c>
      <c r="AD79" s="6" t="str">
        <f>Tab_Data_Flows[[#This Row],[Flow_ID]]&amp;"_"&amp;"CC_"&amp;Tab_Data_Flows[[#This Row],[Flow_Data_Year]]</f>
        <v>F_01_02_CC_2102</v>
      </c>
      <c r="AE79" s="6">
        <f>IF(F79="Yes",AC79*Tab_Data_Flows[[#This Row],[Flow_Material]]*Tab_Data_Flows[[#This Row],[DM_'[%']]],"N.A.")</f>
        <v>0</v>
      </c>
      <c r="AF79" s="6" t="str">
        <f>Tab_Data_Flows[[#This Row],[UoM_Flow_Py]]</f>
        <v>Mg</v>
      </c>
      <c r="AG79"/>
    </row>
    <row r="80" spans="1:33" x14ac:dyDescent="0.25">
      <c r="A80" s="8">
        <f t="shared" si="3"/>
        <v>79</v>
      </c>
      <c r="B80" s="6" t="str">
        <f>_xlfn.XLOOKUP(C80,Tab_Def_Flows[Flow_Name],Tab_Def_Flows[Flow_ID],,0,)</f>
        <v>F_01_02</v>
      </c>
      <c r="C80" s="138" t="s">
        <v>475</v>
      </c>
      <c r="D80" s="9" t="str">
        <f>_xlfn.XLOOKUP(C80,Tab_Def_Flows[Flow_Name],Tab_Def_Flows[WC?],,0,)</f>
        <v>Yes</v>
      </c>
      <c r="E80" s="9" t="str">
        <f>_xlfn.XLOOKUP(C80,Tab_Def_Flows[Flow_Name],Tab_Def_Flows[DM?],,0,)</f>
        <v>Yes</v>
      </c>
      <c r="F80" s="9" t="str">
        <f>_xlfn.XLOOKUP(C80,Tab_Def_Flows[Flow_Name],Tab_Def_Flows[CC?],,0,)</f>
        <v>Yes</v>
      </c>
      <c r="G80" s="7">
        <v>2103</v>
      </c>
      <c r="H80" s="21">
        <v>644343.60875199991</v>
      </c>
      <c r="I80" s="6" t="str">
        <f>'0_Configuration'!$C$4</f>
        <v>Mg</v>
      </c>
      <c r="J80" s="13"/>
      <c r="K80" s="13"/>
      <c r="L80" s="13"/>
      <c r="M80" s="13"/>
      <c r="N80" s="13"/>
      <c r="O80" s="7" t="s">
        <v>6</v>
      </c>
      <c r="P80" s="7"/>
      <c r="Q80" s="7"/>
      <c r="R80" s="6" t="str">
        <f>Tab_Data_Flows[[#This Row],[Flow_ID]]&amp;"_"&amp;"material_"&amp;Tab_Data_Flows[[#This Row],[Flow_Data_Year]]</f>
        <v>F_01_02_material_2103</v>
      </c>
      <c r="S80" s="12">
        <f t="shared" si="2"/>
        <v>644343.60875199991</v>
      </c>
      <c r="T80" s="6" t="str">
        <f>Tab_Data_Flows[[#This Row],[UoM_Source]]</f>
        <v>Mg</v>
      </c>
      <c r="U80" s="139">
        <f>INDEX(Tab_Def_Flows[[Flow_ID]:[CC_DM_source]],MATCH(Tab_Data_Flows[[#This Row],[Flow_Name]],Tab_Def_Flows[Flow_Name],0),11)</f>
        <v>0.23841961794348115</v>
      </c>
      <c r="V80" s="6" t="str">
        <f>Tab_Data_Flows[[#This Row],[Flow_ID]]&amp;"_"&amp;"WC_"&amp;Tab_Data_Flows[[#This Row],[Flow_Data_Year]]</f>
        <v>F_01_02_WC_2103</v>
      </c>
      <c r="W80" s="6">
        <f>IF(D80="Yes",S80*Tab_Data_Flows[[#This Row],[WC_'[%']]],"N.A.")</f>
        <v>153624.15702297571</v>
      </c>
      <c r="X80" s="6" t="str">
        <f>Tab_Data_Flows[[#This Row],[UoM_Flow_Py]]</f>
        <v>Mg</v>
      </c>
      <c r="Y80" s="139">
        <f>INDEX(Tab_Def_Flows[[Flow_ID]:[CC_DM_source]],MATCH(Tab_Data_Flows[[#This Row],[Flow_Name]],Tab_Def_Flows[Flow_Name],0),14)</f>
        <v>0.76158038205651879</v>
      </c>
      <c r="Z80" s="6" t="str">
        <f>Tab_Data_Flows[[#This Row],[Flow_ID]]&amp;"_"&amp;"DM_"&amp;Tab_Data_Flows[[#This Row],[Flow_Data_Year]]</f>
        <v>F_01_02_DM_2103</v>
      </c>
      <c r="AA80" s="6">
        <f>IF(E80="Yes",Y80*Tab_Data_Flows[[#This Row],[Flow_Material]],"N.A.")</f>
        <v>490719.45172902418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F_01_02_CC_2103</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F_01_02</v>
      </c>
      <c r="C81" s="138" t="s">
        <v>475</v>
      </c>
      <c r="D81" s="9" t="str">
        <f>_xlfn.XLOOKUP(C81,Tab_Def_Flows[Flow_Name],Tab_Def_Flows[WC?],,0,)</f>
        <v>Yes</v>
      </c>
      <c r="E81" s="9" t="str">
        <f>_xlfn.XLOOKUP(C81,Tab_Def_Flows[Flow_Name],Tab_Def_Flows[DM?],,0,)</f>
        <v>Yes</v>
      </c>
      <c r="F81" s="9" t="str">
        <f>_xlfn.XLOOKUP(C81,Tab_Def_Flows[Flow_Name],Tab_Def_Flows[CC?],,0,)</f>
        <v>Yes</v>
      </c>
      <c r="G81" s="7">
        <v>2104</v>
      </c>
      <c r="H81" s="21">
        <v>650862.97326400003</v>
      </c>
      <c r="I81" s="6" t="str">
        <f>'0_Configuration'!$C$4</f>
        <v>Mg</v>
      </c>
      <c r="J81" s="13"/>
      <c r="K81" s="13"/>
      <c r="L81" s="13"/>
      <c r="M81" s="13"/>
      <c r="N81" s="13"/>
      <c r="O81" s="7" t="s">
        <v>6</v>
      </c>
      <c r="P81" s="7"/>
      <c r="Q81" s="7"/>
      <c r="R81" s="6" t="str">
        <f>Tab_Data_Flows[[#This Row],[Flow_ID]]&amp;"_"&amp;"material_"&amp;Tab_Data_Flows[[#This Row],[Flow_Data_Year]]</f>
        <v>F_01_02_material_2104</v>
      </c>
      <c r="S81" s="12">
        <f t="shared" si="2"/>
        <v>650862.97326400003</v>
      </c>
      <c r="T81" s="6" t="str">
        <f>Tab_Data_Flows[[#This Row],[UoM_Source]]</f>
        <v>Mg</v>
      </c>
      <c r="U81" s="139">
        <f>INDEX(Tab_Def_Flows[[Flow_ID]:[CC_DM_source]],MATCH(Tab_Data_Flows[[#This Row],[Flow_Name]],Tab_Def_Flows[Flow_Name],0),11)</f>
        <v>0.23841961794348115</v>
      </c>
      <c r="V81" s="6" t="str">
        <f>Tab_Data_Flows[[#This Row],[Flow_ID]]&amp;"_"&amp;"WC_"&amp;Tab_Data_Flows[[#This Row],[Flow_Data_Year]]</f>
        <v>F_01_02_WC_2104</v>
      </c>
      <c r="W81" s="6">
        <f>IF(D81="Yes",S81*Tab_Data_Flows[[#This Row],[WC_'[%']]],"N.A.")</f>
        <v>155178.50141916107</v>
      </c>
      <c r="X81" s="6" t="str">
        <f>Tab_Data_Flows[[#This Row],[UoM_Flow_Py]]</f>
        <v>Mg</v>
      </c>
      <c r="Y81" s="139">
        <f>INDEX(Tab_Def_Flows[[Flow_ID]:[CC_DM_source]],MATCH(Tab_Data_Flows[[#This Row],[Flow_Name]],Tab_Def_Flows[Flow_Name],0),14)</f>
        <v>0.76158038205651879</v>
      </c>
      <c r="Z81" s="6" t="str">
        <f>Tab_Data_Flows[[#This Row],[Flow_ID]]&amp;"_"&amp;"DM_"&amp;Tab_Data_Flows[[#This Row],[Flow_Data_Year]]</f>
        <v>F_01_02_DM_2104</v>
      </c>
      <c r="AA81" s="6">
        <f>IF(E81="Yes",Y81*Tab_Data_Flows[[#This Row],[Flow_Material]],"N.A.")</f>
        <v>495684.47184483893</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F_01_02_CC_2104</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F_01_02</v>
      </c>
      <c r="C82" s="138" t="s">
        <v>475</v>
      </c>
      <c r="D82" s="9" t="str">
        <f>_xlfn.XLOOKUP(C82,Tab_Def_Flows[Flow_Name],Tab_Def_Flows[WC?],,0,)</f>
        <v>Yes</v>
      </c>
      <c r="E82" s="9" t="str">
        <f>_xlfn.XLOOKUP(C82,Tab_Def_Flows[Flow_Name],Tab_Def_Flows[DM?],,0,)</f>
        <v>Yes</v>
      </c>
      <c r="F82" s="9" t="str">
        <f>_xlfn.XLOOKUP(C82,Tab_Def_Flows[Flow_Name],Tab_Def_Flows[CC?],,0,)</f>
        <v>Yes</v>
      </c>
      <c r="G82" s="7">
        <v>2105</v>
      </c>
      <c r="H82" s="21">
        <v>605853.688096</v>
      </c>
      <c r="I82" s="6" t="str">
        <f>'0_Configuration'!$C$4</f>
        <v>Mg</v>
      </c>
      <c r="J82" s="13"/>
      <c r="K82" s="13"/>
      <c r="L82" s="13"/>
      <c r="M82" s="13"/>
      <c r="N82" s="13"/>
      <c r="O82" s="7" t="s">
        <v>6</v>
      </c>
      <c r="P82" s="7"/>
      <c r="Q82" s="7"/>
      <c r="R82" s="6" t="str">
        <f>Tab_Data_Flows[[#This Row],[Flow_ID]]&amp;"_"&amp;"material_"&amp;Tab_Data_Flows[[#This Row],[Flow_Data_Year]]</f>
        <v>F_01_02_material_2105</v>
      </c>
      <c r="S82" s="12">
        <f t="shared" si="2"/>
        <v>605853.688096</v>
      </c>
      <c r="T82" s="6" t="str">
        <f>Tab_Data_Flows[[#This Row],[UoM_Source]]</f>
        <v>Mg</v>
      </c>
      <c r="U82" s="139">
        <f>INDEX(Tab_Def_Flows[[Flow_ID]:[CC_DM_source]],MATCH(Tab_Data_Flows[[#This Row],[Flow_Name]],Tab_Def_Flows[Flow_Name],0),11)</f>
        <v>0.23841961794348115</v>
      </c>
      <c r="V82" s="6" t="str">
        <f>Tab_Data_Flows[[#This Row],[Flow_ID]]&amp;"_"&amp;"WC_"&amp;Tab_Data_Flows[[#This Row],[Flow_Data_Year]]</f>
        <v>F_01_02_WC_2105</v>
      </c>
      <c r="W82" s="6">
        <f>IF(D82="Yes",S82*Tab_Data_Flows[[#This Row],[WC_'[%']]],"N.A.")</f>
        <v>144447.40484549731</v>
      </c>
      <c r="X82" s="6" t="str">
        <f>Tab_Data_Flows[[#This Row],[UoM_Flow_Py]]</f>
        <v>Mg</v>
      </c>
      <c r="Y82" s="139">
        <f>INDEX(Tab_Def_Flows[[Flow_ID]:[CC_DM_source]],MATCH(Tab_Data_Flows[[#This Row],[Flow_Name]],Tab_Def_Flows[Flow_Name],0),14)</f>
        <v>0.76158038205651879</v>
      </c>
      <c r="Z82" s="6" t="str">
        <f>Tab_Data_Flows[[#This Row],[Flow_ID]]&amp;"_"&amp;"DM_"&amp;Tab_Data_Flows[[#This Row],[Flow_Data_Year]]</f>
        <v>F_01_02_DM_2105</v>
      </c>
      <c r="AA82" s="6">
        <f>IF(E82="Yes",Y82*Tab_Data_Flows[[#This Row],[Flow_Material]],"N.A.")</f>
        <v>461406.28325050266</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F_01_02_CC_2105</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F_01_02</v>
      </c>
      <c r="C83" s="138" t="s">
        <v>475</v>
      </c>
      <c r="D83" s="9" t="str">
        <f>_xlfn.XLOOKUP(C83,Tab_Def_Flows[Flow_Name],Tab_Def_Flows[WC?],,0,)</f>
        <v>Yes</v>
      </c>
      <c r="E83" s="9" t="str">
        <f>_xlfn.XLOOKUP(C83,Tab_Def_Flows[Flow_Name],Tab_Def_Flows[DM?],,0,)</f>
        <v>Yes</v>
      </c>
      <c r="F83" s="9" t="str">
        <f>_xlfn.XLOOKUP(C83,Tab_Def_Flows[Flow_Name],Tab_Def_Flows[CC?],,0,)</f>
        <v>Yes</v>
      </c>
      <c r="G83" s="7">
        <v>2106</v>
      </c>
      <c r="H83" s="21">
        <v>533933.10326400003</v>
      </c>
      <c r="I83" s="6" t="str">
        <f>'0_Configuration'!$C$4</f>
        <v>Mg</v>
      </c>
      <c r="J83" s="13"/>
      <c r="K83" s="13"/>
      <c r="L83" s="13"/>
      <c r="M83" s="13"/>
      <c r="N83" s="13"/>
      <c r="O83" s="7" t="s">
        <v>6</v>
      </c>
      <c r="P83" s="7"/>
      <c r="Q83" s="7"/>
      <c r="R83" s="6" t="str">
        <f>Tab_Data_Flows[[#This Row],[Flow_ID]]&amp;"_"&amp;"material_"&amp;Tab_Data_Flows[[#This Row],[Flow_Data_Year]]</f>
        <v>F_01_02_material_2106</v>
      </c>
      <c r="S83" s="12">
        <f t="shared" si="2"/>
        <v>533933.10326400003</v>
      </c>
      <c r="T83" s="6" t="str">
        <f>Tab_Data_Flows[[#This Row],[UoM_Source]]</f>
        <v>Mg</v>
      </c>
      <c r="U83" s="139">
        <f>INDEX(Tab_Def_Flows[[Flow_ID]:[CC_DM_source]],MATCH(Tab_Data_Flows[[#This Row],[Flow_Name]],Tab_Def_Flows[Flow_Name],0),11)</f>
        <v>0.23841961794348115</v>
      </c>
      <c r="V83" s="6" t="str">
        <f>Tab_Data_Flows[[#This Row],[Flow_ID]]&amp;"_"&amp;"WC_"&amp;Tab_Data_Flows[[#This Row],[Flow_Data_Year]]</f>
        <v>F_01_02_WC_2106</v>
      </c>
      <c r="W83" s="6">
        <f>IF(D83="Yes",S83*Tab_Data_Flows[[#This Row],[WC_'[%']]],"N.A.")</f>
        <v>127300.12648758016</v>
      </c>
      <c r="X83" s="6" t="str">
        <f>Tab_Data_Flows[[#This Row],[UoM_Flow_Py]]</f>
        <v>Mg</v>
      </c>
      <c r="Y83" s="139">
        <f>INDEX(Tab_Def_Flows[[Flow_ID]:[CC_DM_source]],MATCH(Tab_Data_Flows[[#This Row],[Flow_Name]],Tab_Def_Flows[Flow_Name],0),14)</f>
        <v>0.76158038205651879</v>
      </c>
      <c r="Z83" s="6" t="str">
        <f>Tab_Data_Flows[[#This Row],[Flow_ID]]&amp;"_"&amp;"DM_"&amp;Tab_Data_Flows[[#This Row],[Flow_Data_Year]]</f>
        <v>F_01_02_DM_2106</v>
      </c>
      <c r="AA83" s="6">
        <f>IF(E83="Yes",Y83*Tab_Data_Flows[[#This Row],[Flow_Material]],"N.A.")</f>
        <v>406632.97677641985</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F_01_02_CC_2106</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F_01_02</v>
      </c>
      <c r="C84" s="138" t="s">
        <v>475</v>
      </c>
      <c r="D84" s="9" t="str">
        <f>_xlfn.XLOOKUP(C84,Tab_Def_Flows[Flow_Name],Tab_Def_Flows[WC?],,0,)</f>
        <v>Yes</v>
      </c>
      <c r="E84" s="9" t="str">
        <f>_xlfn.XLOOKUP(C84,Tab_Def_Flows[Flow_Name],Tab_Def_Flows[DM?],,0,)</f>
        <v>Yes</v>
      </c>
      <c r="F84" s="9" t="str">
        <f>_xlfn.XLOOKUP(C84,Tab_Def_Flows[Flow_Name],Tab_Def_Flows[CC?],,0,)</f>
        <v>Yes</v>
      </c>
      <c r="G84" s="7">
        <v>2107</v>
      </c>
      <c r="H84" s="21">
        <v>617534.93403200002</v>
      </c>
      <c r="I84" s="6" t="str">
        <f>'0_Configuration'!$C$4</f>
        <v>Mg</v>
      </c>
      <c r="J84" s="13"/>
      <c r="K84" s="13"/>
      <c r="L84" s="13"/>
      <c r="M84" s="13"/>
      <c r="N84" s="13"/>
      <c r="O84" s="7" t="s">
        <v>6</v>
      </c>
      <c r="P84" s="7"/>
      <c r="Q84" s="7"/>
      <c r="R84" s="6" t="str">
        <f>Tab_Data_Flows[[#This Row],[Flow_ID]]&amp;"_"&amp;"material_"&amp;Tab_Data_Flows[[#This Row],[Flow_Data_Year]]</f>
        <v>F_01_02_material_2107</v>
      </c>
      <c r="S84" s="12">
        <f t="shared" si="2"/>
        <v>617534.93403200002</v>
      </c>
      <c r="T84" s="6" t="str">
        <f>Tab_Data_Flows[[#This Row],[UoM_Source]]</f>
        <v>Mg</v>
      </c>
      <c r="U84" s="139">
        <f>INDEX(Tab_Def_Flows[[Flow_ID]:[CC_DM_source]],MATCH(Tab_Data_Flows[[#This Row],[Flow_Name]],Tab_Def_Flows[Flow_Name],0),11)</f>
        <v>0.23841961794348115</v>
      </c>
      <c r="V84" s="6" t="str">
        <f>Tab_Data_Flows[[#This Row],[Flow_ID]]&amp;"_"&amp;"WC_"&amp;Tab_Data_Flows[[#This Row],[Flow_Data_Year]]</f>
        <v>F_01_02_WC_2107</v>
      </c>
      <c r="W84" s="6">
        <f>IF(D84="Yes",S84*Tab_Data_Flows[[#This Row],[WC_'[%']]],"N.A.")</f>
        <v>147232.44303866228</v>
      </c>
      <c r="X84" s="6" t="str">
        <f>Tab_Data_Flows[[#This Row],[UoM_Flow_Py]]</f>
        <v>Mg</v>
      </c>
      <c r="Y84" s="139">
        <f>INDEX(Tab_Def_Flows[[Flow_ID]:[CC_DM_source]],MATCH(Tab_Data_Flows[[#This Row],[Flow_Name]],Tab_Def_Flows[Flow_Name],0),14)</f>
        <v>0.76158038205651879</v>
      </c>
      <c r="Z84" s="6" t="str">
        <f>Tab_Data_Flows[[#This Row],[Flow_ID]]&amp;"_"&amp;"DM_"&amp;Tab_Data_Flows[[#This Row],[Flow_Data_Year]]</f>
        <v>F_01_02_DM_2107</v>
      </c>
      <c r="AA84" s="6">
        <f>IF(E84="Yes",Y84*Tab_Data_Flows[[#This Row],[Flow_Material]],"N.A.")</f>
        <v>470302.49099333771</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F_01_02_CC_2107</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F_01_02</v>
      </c>
      <c r="C85" s="138" t="s">
        <v>475</v>
      </c>
      <c r="D85" s="9" t="str">
        <f>_xlfn.XLOOKUP(C85,Tab_Def_Flows[Flow_Name],Tab_Def_Flows[WC?],,0,)</f>
        <v>Yes</v>
      </c>
      <c r="E85" s="9" t="str">
        <f>_xlfn.XLOOKUP(C85,Tab_Def_Flows[Flow_Name],Tab_Def_Flows[DM?],,0,)</f>
        <v>Yes</v>
      </c>
      <c r="F85" s="9" t="str">
        <f>_xlfn.XLOOKUP(C85,Tab_Def_Flows[Flow_Name],Tab_Def_Flows[CC?],,0,)</f>
        <v>Yes</v>
      </c>
      <c r="G85" s="7">
        <v>2108</v>
      </c>
      <c r="H85" s="21">
        <v>693673.165072</v>
      </c>
      <c r="I85" s="6" t="str">
        <f>'0_Configuration'!$C$4</f>
        <v>Mg</v>
      </c>
      <c r="J85" s="13"/>
      <c r="K85" s="13"/>
      <c r="L85" s="13"/>
      <c r="M85" s="13"/>
      <c r="N85" s="13"/>
      <c r="O85" s="7" t="s">
        <v>6</v>
      </c>
      <c r="P85" s="7"/>
      <c r="Q85" s="7"/>
      <c r="R85" s="6" t="str">
        <f>Tab_Data_Flows[[#This Row],[Flow_ID]]&amp;"_"&amp;"material_"&amp;Tab_Data_Flows[[#This Row],[Flow_Data_Year]]</f>
        <v>F_01_02_material_2108</v>
      </c>
      <c r="S85" s="12">
        <f t="shared" si="2"/>
        <v>693673.165072</v>
      </c>
      <c r="T85" s="6" t="str">
        <f>Tab_Data_Flows[[#This Row],[UoM_Source]]</f>
        <v>Mg</v>
      </c>
      <c r="U85" s="139">
        <f>INDEX(Tab_Def_Flows[[Flow_ID]:[CC_DM_source]],MATCH(Tab_Data_Flows[[#This Row],[Flow_Name]],Tab_Def_Flows[Flow_Name],0),11)</f>
        <v>0.23841961794348115</v>
      </c>
      <c r="V85" s="6" t="str">
        <f>Tab_Data_Flows[[#This Row],[Flow_ID]]&amp;"_"&amp;"WC_"&amp;Tab_Data_Flows[[#This Row],[Flow_Data_Year]]</f>
        <v>F_01_02_WC_2108</v>
      </c>
      <c r="W85" s="6">
        <f>IF(D85="Yes",S85*Tab_Data_Flows[[#This Row],[WC_'[%']]],"N.A.")</f>
        <v>165385.29099411156</v>
      </c>
      <c r="X85" s="6" t="str">
        <f>Tab_Data_Flows[[#This Row],[UoM_Flow_Py]]</f>
        <v>Mg</v>
      </c>
      <c r="Y85" s="139">
        <f>INDEX(Tab_Def_Flows[[Flow_ID]:[CC_DM_source]],MATCH(Tab_Data_Flows[[#This Row],[Flow_Name]],Tab_Def_Flows[Flow_Name],0),14)</f>
        <v>0.76158038205651879</v>
      </c>
      <c r="Z85" s="6" t="str">
        <f>Tab_Data_Flows[[#This Row],[Flow_ID]]&amp;"_"&amp;"DM_"&amp;Tab_Data_Flows[[#This Row],[Flow_Data_Year]]</f>
        <v>F_01_02_DM_2108</v>
      </c>
      <c r="AA85" s="6">
        <f>IF(E85="Yes",Y85*Tab_Data_Flows[[#This Row],[Flow_Material]],"N.A.")</f>
        <v>528287.87407788844</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F_01_02_CC_2108</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F_01_02</v>
      </c>
      <c r="C86" s="138" t="s">
        <v>475</v>
      </c>
      <c r="D86" s="9" t="str">
        <f>_xlfn.XLOOKUP(C86,Tab_Def_Flows[Flow_Name],Tab_Def_Flows[WC?],,0,)</f>
        <v>Yes</v>
      </c>
      <c r="E86" s="9" t="str">
        <f>_xlfn.XLOOKUP(C86,Tab_Def_Flows[Flow_Name],Tab_Def_Flows[DM?],,0,)</f>
        <v>Yes</v>
      </c>
      <c r="F86" s="9" t="str">
        <f>_xlfn.XLOOKUP(C86,Tab_Def_Flows[Flow_Name],Tab_Def_Flows[CC?],,0,)</f>
        <v>Yes</v>
      </c>
      <c r="G86" s="7">
        <v>2109</v>
      </c>
      <c r="H86" s="21">
        <v>596560.70200000005</v>
      </c>
      <c r="I86" s="6" t="str">
        <f>'0_Configuration'!$C$4</f>
        <v>Mg</v>
      </c>
      <c r="J86" s="13"/>
      <c r="K86" s="13"/>
      <c r="L86" s="13"/>
      <c r="M86" s="13"/>
      <c r="N86" s="13"/>
      <c r="O86" s="7" t="s">
        <v>6</v>
      </c>
      <c r="P86" s="7"/>
      <c r="Q86" s="7"/>
      <c r="R86" s="6" t="str">
        <f>Tab_Data_Flows[[#This Row],[Flow_ID]]&amp;"_"&amp;"material_"&amp;Tab_Data_Flows[[#This Row],[Flow_Data_Year]]</f>
        <v>F_01_02_material_2109</v>
      </c>
      <c r="S86" s="12">
        <f t="shared" si="2"/>
        <v>596560.70200000005</v>
      </c>
      <c r="T86" s="6" t="str">
        <f>Tab_Data_Flows[[#This Row],[UoM_Source]]</f>
        <v>Mg</v>
      </c>
      <c r="U86" s="139">
        <f>INDEX(Tab_Def_Flows[[Flow_ID]:[CC_DM_source]],MATCH(Tab_Data_Flows[[#This Row],[Flow_Name]],Tab_Def_Flows[Flow_Name],0),11)</f>
        <v>0.23841961794348115</v>
      </c>
      <c r="V86" s="6" t="str">
        <f>Tab_Data_Flows[[#This Row],[Flow_ID]]&amp;"_"&amp;"WC_"&amp;Tab_Data_Flows[[#This Row],[Flow_Data_Year]]</f>
        <v>F_01_02_WC_2109</v>
      </c>
      <c r="W86" s="6">
        <f>IF(D86="Yes",S86*Tab_Data_Flows[[#This Row],[WC_'[%']]],"N.A.")</f>
        <v>142231.77465093494</v>
      </c>
      <c r="X86" s="6" t="str">
        <f>Tab_Data_Flows[[#This Row],[UoM_Flow_Py]]</f>
        <v>Mg</v>
      </c>
      <c r="Y86" s="139">
        <f>INDEX(Tab_Def_Flows[[Flow_ID]:[CC_DM_source]],MATCH(Tab_Data_Flows[[#This Row],[Flow_Name]],Tab_Def_Flows[Flow_Name],0),14)</f>
        <v>0.76158038205651879</v>
      </c>
      <c r="Z86" s="6" t="str">
        <f>Tab_Data_Flows[[#This Row],[Flow_ID]]&amp;"_"&amp;"DM_"&amp;Tab_Data_Flows[[#This Row],[Flow_Data_Year]]</f>
        <v>F_01_02_DM_2109</v>
      </c>
      <c r="AA86" s="6">
        <f>IF(E86="Yes",Y86*Tab_Data_Flows[[#This Row],[Flow_Material]],"N.A.")</f>
        <v>454328.92734906508</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F_01_02_CC_2109</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F_01_02</v>
      </c>
      <c r="C87" s="138" t="s">
        <v>475</v>
      </c>
      <c r="D87" s="9" t="str">
        <f>_xlfn.XLOOKUP(C87,Tab_Def_Flows[Flow_Name],Tab_Def_Flows[WC?],,0,)</f>
        <v>Yes</v>
      </c>
      <c r="E87" s="9" t="str">
        <f>_xlfn.XLOOKUP(C87,Tab_Def_Flows[Flow_Name],Tab_Def_Flows[DM?],,0,)</f>
        <v>Yes</v>
      </c>
      <c r="F87" s="9" t="str">
        <f>_xlfn.XLOOKUP(C87,Tab_Def_Flows[Flow_Name],Tab_Def_Flows[CC?],,0,)</f>
        <v>Yes</v>
      </c>
      <c r="G87" s="7">
        <v>2110</v>
      </c>
      <c r="H87" s="21">
        <v>561585.402352</v>
      </c>
      <c r="I87" s="6" t="str">
        <f>'0_Configuration'!$C$4</f>
        <v>Mg</v>
      </c>
      <c r="J87" s="13"/>
      <c r="K87" s="13"/>
      <c r="L87" s="13"/>
      <c r="M87" s="13"/>
      <c r="N87" s="13"/>
      <c r="O87" s="7" t="s">
        <v>6</v>
      </c>
      <c r="P87" s="7"/>
      <c r="Q87" s="7"/>
      <c r="R87" s="6" t="str">
        <f>Tab_Data_Flows[[#This Row],[Flow_ID]]&amp;"_"&amp;"material_"&amp;Tab_Data_Flows[[#This Row],[Flow_Data_Year]]</f>
        <v>F_01_02_material_2110</v>
      </c>
      <c r="S87" s="12">
        <f t="shared" si="2"/>
        <v>561585.402352</v>
      </c>
      <c r="T87" s="6" t="str">
        <f>Tab_Data_Flows[[#This Row],[UoM_Source]]</f>
        <v>Mg</v>
      </c>
      <c r="U87" s="139">
        <f>INDEX(Tab_Def_Flows[[Flow_ID]:[CC_DM_source]],MATCH(Tab_Data_Flows[[#This Row],[Flow_Name]],Tab_Def_Flows[Flow_Name],0),11)</f>
        <v>0.23841961794348115</v>
      </c>
      <c r="V87" s="6" t="str">
        <f>Tab_Data_Flows[[#This Row],[Flow_ID]]&amp;"_"&amp;"WC_"&amp;Tab_Data_Flows[[#This Row],[Flow_Data_Year]]</f>
        <v>F_01_02_WC_2110</v>
      </c>
      <c r="W87" s="6">
        <f>IF(D87="Yes",S87*Tab_Data_Flows[[#This Row],[WC_'[%']]],"N.A.")</f>
        <v>133892.97707139998</v>
      </c>
      <c r="X87" s="6" t="str">
        <f>Tab_Data_Flows[[#This Row],[UoM_Flow_Py]]</f>
        <v>Mg</v>
      </c>
      <c r="Y87" s="139">
        <f>INDEX(Tab_Def_Flows[[Flow_ID]:[CC_DM_source]],MATCH(Tab_Data_Flows[[#This Row],[Flow_Name]],Tab_Def_Flows[Flow_Name],0),14)</f>
        <v>0.76158038205651879</v>
      </c>
      <c r="Z87" s="6" t="str">
        <f>Tab_Data_Flows[[#This Row],[Flow_ID]]&amp;"_"&amp;"DM_"&amp;Tab_Data_Flows[[#This Row],[Flow_Data_Year]]</f>
        <v>F_01_02_DM_2110</v>
      </c>
      <c r="AA87" s="6">
        <f>IF(E87="Yes",Y87*Tab_Data_Flows[[#This Row],[Flow_Material]],"N.A.")</f>
        <v>427692.42528059997</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F_01_02_CC_2110</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F_01_02</v>
      </c>
      <c r="C88" s="138" t="s">
        <v>475</v>
      </c>
      <c r="D88" s="9" t="str">
        <f>_xlfn.XLOOKUP(C88,Tab_Def_Flows[Flow_Name],Tab_Def_Flows[WC?],,0,)</f>
        <v>Yes</v>
      </c>
      <c r="E88" s="9" t="str">
        <f>_xlfn.XLOOKUP(C88,Tab_Def_Flows[Flow_Name],Tab_Def_Flows[DM?],,0,)</f>
        <v>Yes</v>
      </c>
      <c r="F88" s="9" t="str">
        <f>_xlfn.XLOOKUP(C88,Tab_Def_Flows[Flow_Name],Tab_Def_Flows[CC?],,0,)</f>
        <v>Yes</v>
      </c>
      <c r="G88" s="7">
        <v>2111</v>
      </c>
      <c r="H88" s="21">
        <v>630524.12686400011</v>
      </c>
      <c r="I88" s="6" t="str">
        <f>'0_Configuration'!$C$4</f>
        <v>Mg</v>
      </c>
      <c r="J88" s="13"/>
      <c r="K88" s="13"/>
      <c r="L88" s="13"/>
      <c r="M88" s="13"/>
      <c r="N88" s="13"/>
      <c r="O88" s="7" t="s">
        <v>6</v>
      </c>
      <c r="P88" s="7"/>
      <c r="Q88" s="7"/>
      <c r="R88" s="6" t="str">
        <f>Tab_Data_Flows[[#This Row],[Flow_ID]]&amp;"_"&amp;"material_"&amp;Tab_Data_Flows[[#This Row],[Flow_Data_Year]]</f>
        <v>F_01_02_material_2111</v>
      </c>
      <c r="S88" s="12">
        <f t="shared" si="2"/>
        <v>630524.12686400011</v>
      </c>
      <c r="T88" s="6" t="str">
        <f>Tab_Data_Flows[[#This Row],[UoM_Source]]</f>
        <v>Mg</v>
      </c>
      <c r="U88" s="139">
        <f>INDEX(Tab_Def_Flows[[Flow_ID]:[CC_DM_source]],MATCH(Tab_Data_Flows[[#This Row],[Flow_Name]],Tab_Def_Flows[Flow_Name],0),11)</f>
        <v>0.23841961794348115</v>
      </c>
      <c r="V88" s="6" t="str">
        <f>Tab_Data_Flows[[#This Row],[Flow_ID]]&amp;"_"&amp;"WC_"&amp;Tab_Data_Flows[[#This Row],[Flow_Data_Year]]</f>
        <v>F_01_02_WC_2111</v>
      </c>
      <c r="W88" s="6">
        <f>IF(D88="Yes",S88*Tab_Data_Flows[[#This Row],[WC_'[%']]],"N.A.")</f>
        <v>150329.32143106195</v>
      </c>
      <c r="X88" s="6" t="str">
        <f>Tab_Data_Flows[[#This Row],[UoM_Flow_Py]]</f>
        <v>Mg</v>
      </c>
      <c r="Y88" s="139">
        <f>INDEX(Tab_Def_Flows[[Flow_ID]:[CC_DM_source]],MATCH(Tab_Data_Flows[[#This Row],[Flow_Name]],Tab_Def_Flows[Flow_Name],0),14)</f>
        <v>0.76158038205651879</v>
      </c>
      <c r="Z88" s="6" t="str">
        <f>Tab_Data_Flows[[#This Row],[Flow_ID]]&amp;"_"&amp;"DM_"&amp;Tab_Data_Flows[[#This Row],[Flow_Data_Year]]</f>
        <v>F_01_02_DM_2111</v>
      </c>
      <c r="AA88" s="6">
        <f>IF(E88="Yes",Y88*Tab_Data_Flows[[#This Row],[Flow_Material]],"N.A.")</f>
        <v>480194.8054329381</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F_01_02_CC_2111</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F_01_02</v>
      </c>
      <c r="C89" s="138" t="s">
        <v>475</v>
      </c>
      <c r="D89" s="9" t="str">
        <f>_xlfn.XLOOKUP(C89,Tab_Def_Flows[Flow_Name],Tab_Def_Flows[WC?],,0,)</f>
        <v>Yes</v>
      </c>
      <c r="E89" s="9" t="str">
        <f>_xlfn.XLOOKUP(C89,Tab_Def_Flows[Flow_Name],Tab_Def_Flows[DM?],,0,)</f>
        <v>Yes</v>
      </c>
      <c r="F89" s="9" t="str">
        <f>_xlfn.XLOOKUP(C89,Tab_Def_Flows[Flow_Name],Tab_Def_Flows[CC?],,0,)</f>
        <v>Yes</v>
      </c>
      <c r="G89" s="7">
        <v>2112</v>
      </c>
      <c r="H89" s="21">
        <v>736888.15494400007</v>
      </c>
      <c r="I89" s="6" t="str">
        <f>'0_Configuration'!$C$4</f>
        <v>Mg</v>
      </c>
      <c r="J89" s="13"/>
      <c r="K89" s="13"/>
      <c r="L89" s="13"/>
      <c r="M89" s="13"/>
      <c r="N89" s="13"/>
      <c r="O89" s="7" t="s">
        <v>6</v>
      </c>
      <c r="P89" s="14"/>
      <c r="Q89" s="7"/>
      <c r="R89" s="6" t="str">
        <f>Tab_Data_Flows[[#This Row],[Flow_ID]]&amp;"_"&amp;"material_"&amp;Tab_Data_Flows[[#This Row],[Flow_Data_Year]]</f>
        <v>F_01_02_material_2112</v>
      </c>
      <c r="S89" s="12">
        <f t="shared" si="2"/>
        <v>736888.15494400007</v>
      </c>
      <c r="T89" s="6" t="str">
        <f>Tab_Data_Flows[[#This Row],[UoM_Source]]</f>
        <v>Mg</v>
      </c>
      <c r="U89" s="139">
        <f>INDEX(Tab_Def_Flows[[Flow_ID]:[CC_DM_source]],MATCH(Tab_Data_Flows[[#This Row],[Flow_Name]],Tab_Def_Flows[Flow_Name],0),11)</f>
        <v>0.23841961794348115</v>
      </c>
      <c r="V89" s="6" t="str">
        <f>Tab_Data_Flows[[#This Row],[Flow_ID]]&amp;"_"&amp;"WC_"&amp;Tab_Data_Flows[[#This Row],[Flow_Data_Year]]</f>
        <v>F_01_02_WC_2112</v>
      </c>
      <c r="W89" s="6">
        <f>IF(D89="Yes",S89*Tab_Data_Flows[[#This Row],[WC_'[%']]],"N.A.")</f>
        <v>175688.59236882525</v>
      </c>
      <c r="X89" s="6" t="str">
        <f>Tab_Data_Flows[[#This Row],[UoM_Flow_Py]]</f>
        <v>Mg</v>
      </c>
      <c r="Y89" s="139">
        <f>INDEX(Tab_Def_Flows[[Flow_ID]:[CC_DM_source]],MATCH(Tab_Data_Flows[[#This Row],[Flow_Name]],Tab_Def_Flows[Flow_Name],0),14)</f>
        <v>0.76158038205651879</v>
      </c>
      <c r="Z89" s="6" t="str">
        <f>Tab_Data_Flows[[#This Row],[Flow_ID]]&amp;"_"&amp;"DM_"&amp;Tab_Data_Flows[[#This Row],[Flow_Data_Year]]</f>
        <v>F_01_02_DM_2112</v>
      </c>
      <c r="AA89" s="6">
        <f>IF(E89="Yes",Y89*Tab_Data_Flows[[#This Row],[Flow_Material]],"N.A.")</f>
        <v>561199.56257517473</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F_01_02_CC_2112</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F_01_02</v>
      </c>
      <c r="C90" s="138" t="s">
        <v>475</v>
      </c>
      <c r="D90" s="9" t="str">
        <f>_xlfn.XLOOKUP(C90,Tab_Def_Flows[Flow_Name],Tab_Def_Flows[WC?],,0,)</f>
        <v>Yes</v>
      </c>
      <c r="E90" s="9" t="str">
        <f>_xlfn.XLOOKUP(C90,Tab_Def_Flows[Flow_Name],Tab_Def_Flows[DM?],,0,)</f>
        <v>Yes</v>
      </c>
      <c r="F90" s="9" t="str">
        <f>_xlfn.XLOOKUP(C90,Tab_Def_Flows[Flow_Name],Tab_Def_Flows[CC?],,0,)</f>
        <v>Yes</v>
      </c>
      <c r="G90" s="7">
        <v>2113</v>
      </c>
      <c r="H90" s="21">
        <v>729171.85369600006</v>
      </c>
      <c r="I90" s="6" t="str">
        <f>'0_Configuration'!$C$4</f>
        <v>Mg</v>
      </c>
      <c r="J90" s="13"/>
      <c r="K90" s="13"/>
      <c r="L90" s="13"/>
      <c r="M90" s="13"/>
      <c r="N90" s="13"/>
      <c r="O90" s="7" t="s">
        <v>6</v>
      </c>
      <c r="P90" s="14"/>
      <c r="Q90" s="7"/>
      <c r="R90" s="6" t="str">
        <f>Tab_Data_Flows[[#This Row],[Flow_ID]]&amp;"_"&amp;"material_"&amp;Tab_Data_Flows[[#This Row],[Flow_Data_Year]]</f>
        <v>F_01_02_material_2113</v>
      </c>
      <c r="S90" s="12">
        <f t="shared" si="2"/>
        <v>729171.85369600006</v>
      </c>
      <c r="T90" s="6" t="str">
        <f>Tab_Data_Flows[[#This Row],[UoM_Source]]</f>
        <v>Mg</v>
      </c>
      <c r="U90" s="139">
        <f>INDEX(Tab_Def_Flows[[Flow_ID]:[CC_DM_source]],MATCH(Tab_Data_Flows[[#This Row],[Flow_Name]],Tab_Def_Flows[Flow_Name],0),11)</f>
        <v>0.23841961794348115</v>
      </c>
      <c r="V90" s="6" t="str">
        <f>Tab_Data_Flows[[#This Row],[Flow_ID]]&amp;"_"&amp;"WC_"&amp;Tab_Data_Flows[[#This Row],[Flow_Data_Year]]</f>
        <v>F_01_02_WC_2113</v>
      </c>
      <c r="W90" s="6">
        <f>IF(D90="Yes",S90*Tab_Data_Flows[[#This Row],[WC_'[%']]],"N.A.")</f>
        <v>173848.87477334027</v>
      </c>
      <c r="X90" s="6" t="str">
        <f>Tab_Data_Flows[[#This Row],[UoM_Flow_Py]]</f>
        <v>Mg</v>
      </c>
      <c r="Y90" s="139">
        <f>INDEX(Tab_Def_Flows[[Flow_ID]:[CC_DM_source]],MATCH(Tab_Data_Flows[[#This Row],[Flow_Name]],Tab_Def_Flows[Flow_Name],0),14)</f>
        <v>0.76158038205651879</v>
      </c>
      <c r="Z90" s="6" t="str">
        <f>Tab_Data_Flows[[#This Row],[Flow_ID]]&amp;"_"&amp;"DM_"&amp;Tab_Data_Flows[[#This Row],[Flow_Data_Year]]</f>
        <v>F_01_02_DM_2113</v>
      </c>
      <c r="AA90" s="6">
        <f>IF(E90="Yes",Y90*Tab_Data_Flows[[#This Row],[Flow_Material]],"N.A.")</f>
        <v>555322.97892265976</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F_01_02_CC_2113</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F_01_02</v>
      </c>
      <c r="C91" s="138" t="s">
        <v>475</v>
      </c>
      <c r="D91" s="9" t="str">
        <f>_xlfn.XLOOKUP(C91,Tab_Def_Flows[Flow_Name],Tab_Def_Flows[WC?],,0,)</f>
        <v>Yes</v>
      </c>
      <c r="E91" s="9" t="str">
        <f>_xlfn.XLOOKUP(C91,Tab_Def_Flows[Flow_Name],Tab_Def_Flows[DM?],,0,)</f>
        <v>Yes</v>
      </c>
      <c r="F91" s="9" t="str">
        <f>_xlfn.XLOOKUP(C91,Tab_Def_Flows[Flow_Name],Tab_Def_Flows[CC?],,0,)</f>
        <v>Yes</v>
      </c>
      <c r="G91" s="7">
        <v>2114</v>
      </c>
      <c r="H91" s="21">
        <v>709335.62700799992</v>
      </c>
      <c r="I91" s="6" t="str">
        <f>'0_Configuration'!$C$4</f>
        <v>Mg</v>
      </c>
      <c r="J91" s="13"/>
      <c r="K91" s="13"/>
      <c r="L91" s="13"/>
      <c r="M91" s="13"/>
      <c r="N91" s="13"/>
      <c r="O91" s="7" t="s">
        <v>6</v>
      </c>
      <c r="P91" s="14"/>
      <c r="Q91" s="7"/>
      <c r="R91" s="6" t="str">
        <f>Tab_Data_Flows[[#This Row],[Flow_ID]]&amp;"_"&amp;"material_"&amp;Tab_Data_Flows[[#This Row],[Flow_Data_Year]]</f>
        <v>F_01_02_material_2114</v>
      </c>
      <c r="S91" s="12">
        <f t="shared" si="2"/>
        <v>709335.62700799992</v>
      </c>
      <c r="T91" s="6" t="str">
        <f>Tab_Data_Flows[[#This Row],[UoM_Source]]</f>
        <v>Mg</v>
      </c>
      <c r="U91" s="139">
        <f>INDEX(Tab_Def_Flows[[Flow_ID]:[CC_DM_source]],MATCH(Tab_Data_Flows[[#This Row],[Flow_Name]],Tab_Def_Flows[Flow_Name],0),11)</f>
        <v>0.23841961794348115</v>
      </c>
      <c r="V91" s="6" t="str">
        <f>Tab_Data_Flows[[#This Row],[Flow_ID]]&amp;"_"&amp;"WC_"&amp;Tab_Data_Flows[[#This Row],[Flow_Data_Year]]</f>
        <v>F_01_02_WC_2114</v>
      </c>
      <c r="W91" s="6">
        <f>IF(D91="Yes",S91*Tab_Data_Flows[[#This Row],[WC_'[%']]],"N.A.")</f>
        <v>169119.52918494699</v>
      </c>
      <c r="X91" s="6" t="str">
        <f>Tab_Data_Flows[[#This Row],[UoM_Flow_Py]]</f>
        <v>Mg</v>
      </c>
      <c r="Y91" s="139">
        <f>INDEX(Tab_Def_Flows[[Flow_ID]:[CC_DM_source]],MATCH(Tab_Data_Flows[[#This Row],[Flow_Name]],Tab_Def_Flows[Flow_Name],0),14)</f>
        <v>0.76158038205651879</v>
      </c>
      <c r="Z91" s="6" t="str">
        <f>Tab_Data_Flows[[#This Row],[Flow_ID]]&amp;"_"&amp;"DM_"&amp;Tab_Data_Flows[[#This Row],[Flow_Data_Year]]</f>
        <v>F_01_02_DM_2114</v>
      </c>
      <c r="AA91" s="6">
        <f>IF(E91="Yes",Y91*Tab_Data_Flows[[#This Row],[Flow_Material]],"N.A.")</f>
        <v>540216.0978230529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F_01_02_CC_2114</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F_01_02</v>
      </c>
      <c r="C92" s="138" t="s">
        <v>475</v>
      </c>
      <c r="D92" s="9" t="str">
        <f>_xlfn.XLOOKUP(C92,Tab_Def_Flows[Flow_Name],Tab_Def_Flows[WC?],,0,)</f>
        <v>Yes</v>
      </c>
      <c r="E92" s="9" t="str">
        <f>_xlfn.XLOOKUP(C92,Tab_Def_Flows[Flow_Name],Tab_Def_Flows[DM?],,0,)</f>
        <v>Yes</v>
      </c>
      <c r="F92" s="9" t="str">
        <f>_xlfn.XLOOKUP(C92,Tab_Def_Flows[Flow_Name],Tab_Def_Flows[CC?],,0,)</f>
        <v>Yes</v>
      </c>
      <c r="G92" s="7">
        <v>2115</v>
      </c>
      <c r="H92" s="21">
        <v>662292.38673599996</v>
      </c>
      <c r="I92" s="6" t="str">
        <f>'0_Configuration'!$C$4</f>
        <v>Mg</v>
      </c>
      <c r="J92" s="13"/>
      <c r="K92" s="13"/>
      <c r="L92" s="13"/>
      <c r="M92" s="13"/>
      <c r="N92" s="13"/>
      <c r="O92" s="7" t="s">
        <v>6</v>
      </c>
      <c r="P92" s="14"/>
      <c r="Q92" s="7"/>
      <c r="R92" s="6" t="str">
        <f>Tab_Data_Flows[[#This Row],[Flow_ID]]&amp;"_"&amp;"material_"&amp;Tab_Data_Flows[[#This Row],[Flow_Data_Year]]</f>
        <v>F_01_02_material_2115</v>
      </c>
      <c r="S92" s="12">
        <f t="shared" si="2"/>
        <v>662292.38673599996</v>
      </c>
      <c r="T92" s="6" t="str">
        <f>Tab_Data_Flows[[#This Row],[UoM_Source]]</f>
        <v>Mg</v>
      </c>
      <c r="U92" s="139">
        <f>INDEX(Tab_Def_Flows[[Flow_ID]:[CC_DM_source]],MATCH(Tab_Data_Flows[[#This Row],[Flow_Name]],Tab_Def_Flows[Flow_Name],0),11)</f>
        <v>0.23841961794348115</v>
      </c>
      <c r="V92" s="6" t="str">
        <f>Tab_Data_Flows[[#This Row],[Flow_ID]]&amp;"_"&amp;"WC_"&amp;Tab_Data_Flows[[#This Row],[Flow_Data_Year]]</f>
        <v>F_01_02_WC_2115</v>
      </c>
      <c r="W92" s="6">
        <f>IF(D92="Yes",S92*Tab_Data_Flows[[#This Row],[WC_'[%']]],"N.A.")</f>
        <v>157903.49781247339</v>
      </c>
      <c r="X92" s="6" t="str">
        <f>Tab_Data_Flows[[#This Row],[UoM_Flow_Py]]</f>
        <v>Mg</v>
      </c>
      <c r="Y92" s="139">
        <f>INDEX(Tab_Def_Flows[[Flow_ID]:[CC_DM_source]],MATCH(Tab_Data_Flows[[#This Row],[Flow_Name]],Tab_Def_Flows[Flow_Name],0),14)</f>
        <v>0.76158038205651879</v>
      </c>
      <c r="Z92" s="6" t="str">
        <f>Tab_Data_Flows[[#This Row],[Flow_ID]]&amp;"_"&amp;"DM_"&amp;Tab_Data_Flows[[#This Row],[Flow_Data_Year]]</f>
        <v>F_01_02_DM_2115</v>
      </c>
      <c r="AA92" s="6">
        <f>IF(E92="Yes",Y92*Tab_Data_Flows[[#This Row],[Flow_Material]],"N.A.")</f>
        <v>504388.88892352657</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F_01_02_CC_2115</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F_01_02</v>
      </c>
      <c r="C93" s="138" t="s">
        <v>475</v>
      </c>
      <c r="D93" s="9" t="str">
        <f>_xlfn.XLOOKUP(C93,Tab_Def_Flows[Flow_Name],Tab_Def_Flows[WC?],,0,)</f>
        <v>Yes</v>
      </c>
      <c r="E93" s="9" t="str">
        <f>_xlfn.XLOOKUP(C93,Tab_Def_Flows[Flow_Name],Tab_Def_Flows[DM?],,0,)</f>
        <v>Yes</v>
      </c>
      <c r="F93" s="9" t="str">
        <f>_xlfn.XLOOKUP(C93,Tab_Def_Flows[Flow_Name],Tab_Def_Flows[CC?],,0,)</f>
        <v>Yes</v>
      </c>
      <c r="G93" s="7">
        <v>2116</v>
      </c>
      <c r="H93" s="21">
        <v>677564.96548800007</v>
      </c>
      <c r="I93" s="6" t="str">
        <f>'0_Configuration'!$C$4</f>
        <v>Mg</v>
      </c>
      <c r="J93" s="13"/>
      <c r="K93" s="13"/>
      <c r="L93" s="13"/>
      <c r="M93" s="13"/>
      <c r="N93" s="13"/>
      <c r="O93" s="7" t="s">
        <v>6</v>
      </c>
      <c r="P93" s="14"/>
      <c r="Q93" s="7"/>
      <c r="R93" s="6" t="str">
        <f>Tab_Data_Flows[[#This Row],[Flow_ID]]&amp;"_"&amp;"material_"&amp;Tab_Data_Flows[[#This Row],[Flow_Data_Year]]</f>
        <v>F_01_02_material_2116</v>
      </c>
      <c r="S93" s="12">
        <f t="shared" si="2"/>
        <v>677564.96548800007</v>
      </c>
      <c r="T93" s="6" t="str">
        <f>Tab_Data_Flows[[#This Row],[UoM_Source]]</f>
        <v>Mg</v>
      </c>
      <c r="U93" s="139">
        <f>INDEX(Tab_Def_Flows[[Flow_ID]:[CC_DM_source]],MATCH(Tab_Data_Flows[[#This Row],[Flow_Name]],Tab_Def_Flows[Flow_Name],0),11)</f>
        <v>0.23841961794348115</v>
      </c>
      <c r="V93" s="6" t="str">
        <f>Tab_Data_Flows[[#This Row],[Flow_ID]]&amp;"_"&amp;"WC_"&amp;Tab_Data_Flows[[#This Row],[Flow_Data_Year]]</f>
        <v>F_01_02_WC_2116</v>
      </c>
      <c r="W93" s="6">
        <f>IF(D93="Yes",S93*Tab_Data_Flows[[#This Row],[WC_'[%']]],"N.A.")</f>
        <v>161544.78020353697</v>
      </c>
      <c r="X93" s="6" t="str">
        <f>Tab_Data_Flows[[#This Row],[UoM_Flow_Py]]</f>
        <v>Mg</v>
      </c>
      <c r="Y93" s="139">
        <f>INDEX(Tab_Def_Flows[[Flow_ID]:[CC_DM_source]],MATCH(Tab_Data_Flows[[#This Row],[Flow_Name]],Tab_Def_Flows[Flow_Name],0),14)</f>
        <v>0.76158038205651879</v>
      </c>
      <c r="Z93" s="6" t="str">
        <f>Tab_Data_Flows[[#This Row],[Flow_ID]]&amp;"_"&amp;"DM_"&amp;Tab_Data_Flows[[#This Row],[Flow_Data_Year]]</f>
        <v>F_01_02_DM_2116</v>
      </c>
      <c r="AA93" s="6">
        <f>IF(E93="Yes",Y93*Tab_Data_Flows[[#This Row],[Flow_Material]],"N.A.")</f>
        <v>516020.18528446305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F_01_02_CC_2116</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F_01_02</v>
      </c>
      <c r="C94" s="138" t="s">
        <v>475</v>
      </c>
      <c r="D94" s="9" t="str">
        <f>_xlfn.XLOOKUP(C94,Tab_Def_Flows[Flow_Name],Tab_Def_Flows[WC?],,0,)</f>
        <v>Yes</v>
      </c>
      <c r="E94" s="9" t="str">
        <f>_xlfn.XLOOKUP(C94,Tab_Def_Flows[Flow_Name],Tab_Def_Flows[DM?],,0,)</f>
        <v>Yes</v>
      </c>
      <c r="F94" s="9" t="str">
        <f>_xlfn.XLOOKUP(C94,Tab_Def_Flows[Flow_Name],Tab_Def_Flows[CC?],,0,)</f>
        <v>Yes</v>
      </c>
      <c r="G94" s="7">
        <v>2117</v>
      </c>
      <c r="H94" s="21">
        <v>708063.45233600005</v>
      </c>
      <c r="I94" s="6" t="str">
        <f>'0_Configuration'!$C$4</f>
        <v>Mg</v>
      </c>
      <c r="J94" s="13"/>
      <c r="K94" s="13"/>
      <c r="L94" s="13"/>
      <c r="M94" s="13"/>
      <c r="N94" s="13"/>
      <c r="O94" s="7" t="s">
        <v>6</v>
      </c>
      <c r="P94" s="14"/>
      <c r="Q94" s="7"/>
      <c r="R94" s="6" t="str">
        <f>Tab_Data_Flows[[#This Row],[Flow_ID]]&amp;"_"&amp;"material_"&amp;Tab_Data_Flows[[#This Row],[Flow_Data_Year]]</f>
        <v>F_01_02_material_2117</v>
      </c>
      <c r="S94" s="12">
        <f t="shared" si="2"/>
        <v>708063.45233600005</v>
      </c>
      <c r="T94" s="6" t="str">
        <f>Tab_Data_Flows[[#This Row],[UoM_Source]]</f>
        <v>Mg</v>
      </c>
      <c r="U94" s="139">
        <f>INDEX(Tab_Def_Flows[[Flow_ID]:[CC_DM_source]],MATCH(Tab_Data_Flows[[#This Row],[Flow_Name]],Tab_Def_Flows[Flow_Name],0),11)</f>
        <v>0.23841961794348115</v>
      </c>
      <c r="V94" s="6" t="str">
        <f>Tab_Data_Flows[[#This Row],[Flow_ID]]&amp;"_"&amp;"WC_"&amp;Tab_Data_Flows[[#This Row],[Flow_Data_Year]]</f>
        <v>F_01_02_WC_2117</v>
      </c>
      <c r="W94" s="6">
        <f>IF(D94="Yes",S94*Tab_Data_Flows[[#This Row],[WC_'[%']]],"N.A.")</f>
        <v>168816.21778569141</v>
      </c>
      <c r="X94" s="6" t="str">
        <f>Tab_Data_Flows[[#This Row],[UoM_Flow_Py]]</f>
        <v>Mg</v>
      </c>
      <c r="Y94" s="139">
        <f>INDEX(Tab_Def_Flows[[Flow_ID]:[CC_DM_source]],MATCH(Tab_Data_Flows[[#This Row],[Flow_Name]],Tab_Def_Flows[Flow_Name],0),14)</f>
        <v>0.76158038205651879</v>
      </c>
      <c r="Z94" s="6" t="str">
        <f>Tab_Data_Flows[[#This Row],[Flow_ID]]&amp;"_"&amp;"DM_"&amp;Tab_Data_Flows[[#This Row],[Flow_Data_Year]]</f>
        <v>F_01_02_DM_2117</v>
      </c>
      <c r="AA94" s="6">
        <f>IF(E94="Yes",Y94*Tab_Data_Flows[[#This Row],[Flow_Material]],"N.A.")</f>
        <v>539247.23455030855</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F_01_02_CC_2117</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F_01_02</v>
      </c>
      <c r="C95" s="138" t="s">
        <v>475</v>
      </c>
      <c r="D95" s="9" t="str">
        <f>_xlfn.XLOOKUP(C95,Tab_Def_Flows[Flow_Name],Tab_Def_Flows[WC?],,0,)</f>
        <v>Yes</v>
      </c>
      <c r="E95" s="9" t="str">
        <f>_xlfn.XLOOKUP(C95,Tab_Def_Flows[Flow_Name],Tab_Def_Flows[DM?],,0,)</f>
        <v>Yes</v>
      </c>
      <c r="F95" s="9" t="str">
        <f>_xlfn.XLOOKUP(C95,Tab_Def_Flows[Flow_Name],Tab_Def_Flows[CC?],,0,)</f>
        <v>Yes</v>
      </c>
      <c r="G95" s="7">
        <v>2118</v>
      </c>
      <c r="H95" s="21">
        <v>694251.66276800004</v>
      </c>
      <c r="I95" s="6" t="str">
        <f>'0_Configuration'!$C$4</f>
        <v>Mg</v>
      </c>
      <c r="J95" s="13"/>
      <c r="K95" s="13"/>
      <c r="L95" s="13"/>
      <c r="M95" s="13"/>
      <c r="N95" s="13"/>
      <c r="O95" s="7" t="s">
        <v>6</v>
      </c>
      <c r="P95" s="14"/>
      <c r="Q95" s="7"/>
      <c r="R95" s="6" t="str">
        <f>Tab_Data_Flows[[#This Row],[Flow_ID]]&amp;"_"&amp;"material_"&amp;Tab_Data_Flows[[#This Row],[Flow_Data_Year]]</f>
        <v>F_01_02_material_2118</v>
      </c>
      <c r="S95" s="12">
        <f t="shared" si="2"/>
        <v>694251.66276800004</v>
      </c>
      <c r="T95" s="6" t="str">
        <f>Tab_Data_Flows[[#This Row],[UoM_Source]]</f>
        <v>Mg</v>
      </c>
      <c r="U95" s="139">
        <f>INDEX(Tab_Def_Flows[[Flow_ID]:[CC_DM_source]],MATCH(Tab_Data_Flows[[#This Row],[Flow_Name]],Tab_Def_Flows[Flow_Name],0),11)</f>
        <v>0.23841961794348115</v>
      </c>
      <c r="V95" s="6" t="str">
        <f>Tab_Data_Flows[[#This Row],[Flow_ID]]&amp;"_"&amp;"WC_"&amp;Tab_Data_Flows[[#This Row],[Flow_Data_Year]]</f>
        <v>F_01_02_WC_2118</v>
      </c>
      <c r="W95" s="6">
        <f>IF(D95="Yes",S95*Tab_Data_Flows[[#This Row],[WC_'[%']]],"N.A.")</f>
        <v>165523.21619377309</v>
      </c>
      <c r="X95" s="6" t="str">
        <f>Tab_Data_Flows[[#This Row],[UoM_Flow_Py]]</f>
        <v>Mg</v>
      </c>
      <c r="Y95" s="139">
        <f>INDEX(Tab_Def_Flows[[Flow_ID]:[CC_DM_source]],MATCH(Tab_Data_Flows[[#This Row],[Flow_Name]],Tab_Def_Flows[Flow_Name],0),14)</f>
        <v>0.76158038205651879</v>
      </c>
      <c r="Z95" s="6" t="str">
        <f>Tab_Data_Flows[[#This Row],[Flow_ID]]&amp;"_"&amp;"DM_"&amp;Tab_Data_Flows[[#This Row],[Flow_Data_Year]]</f>
        <v>F_01_02_DM_2118</v>
      </c>
      <c r="AA95" s="6">
        <f>IF(E95="Yes",Y95*Tab_Data_Flows[[#This Row],[Flow_Material]],"N.A.")</f>
        <v>528728.44657422695</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F_01_02_CC_2118</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F_01_02</v>
      </c>
      <c r="C96" s="138" t="s">
        <v>475</v>
      </c>
      <c r="D96" s="9" t="str">
        <f>_xlfn.XLOOKUP(C96,Tab_Def_Flows[Flow_Name],Tab_Def_Flows[WC?],,0,)</f>
        <v>Yes</v>
      </c>
      <c r="E96" s="9" t="str">
        <f>_xlfn.XLOOKUP(C96,Tab_Def_Flows[Flow_Name],Tab_Def_Flows[DM?],,0,)</f>
        <v>Yes</v>
      </c>
      <c r="F96" s="9" t="str">
        <f>_xlfn.XLOOKUP(C96,Tab_Def_Flows[Flow_Name],Tab_Def_Flows[CC?],,0,)</f>
        <v>Yes</v>
      </c>
      <c r="G96" s="7">
        <v>2119</v>
      </c>
      <c r="H96" s="21">
        <v>674514.59654400009</v>
      </c>
      <c r="I96" s="6" t="str">
        <f>'0_Configuration'!$C$4</f>
        <v>Mg</v>
      </c>
      <c r="J96" s="13"/>
      <c r="K96" s="13"/>
      <c r="L96" s="13"/>
      <c r="M96" s="13"/>
      <c r="N96" s="13"/>
      <c r="O96" s="7" t="s">
        <v>6</v>
      </c>
      <c r="P96" s="7"/>
      <c r="Q96" s="7"/>
      <c r="R96" s="6" t="str">
        <f>Tab_Data_Flows[[#This Row],[Flow_ID]]&amp;"_"&amp;"material_"&amp;Tab_Data_Flows[[#This Row],[Flow_Data_Year]]</f>
        <v>F_01_02_material_2119</v>
      </c>
      <c r="S96" s="12">
        <f t="shared" si="2"/>
        <v>674514.59654400009</v>
      </c>
      <c r="T96" s="6" t="str">
        <f>Tab_Data_Flows[[#This Row],[UoM_Source]]</f>
        <v>Mg</v>
      </c>
      <c r="U96" s="139">
        <f>INDEX(Tab_Def_Flows[[Flow_ID]:[CC_DM_source]],MATCH(Tab_Data_Flows[[#This Row],[Flow_Name]],Tab_Def_Flows[Flow_Name],0),11)</f>
        <v>0.23841961794348115</v>
      </c>
      <c r="V96" s="6" t="str">
        <f>Tab_Data_Flows[[#This Row],[Flow_ID]]&amp;"_"&amp;"WC_"&amp;Tab_Data_Flows[[#This Row],[Flow_Data_Year]]</f>
        <v>F_01_02_WC_2119</v>
      </c>
      <c r="W96" s="6">
        <f>IF(D96="Yes",S96*Tab_Data_Flows[[#This Row],[WC_'[%']]],"N.A.")</f>
        <v>160817.51240532185</v>
      </c>
      <c r="X96" s="6" t="str">
        <f>Tab_Data_Flows[[#This Row],[UoM_Flow_Py]]</f>
        <v>Mg</v>
      </c>
      <c r="Y96" s="139">
        <f>INDEX(Tab_Def_Flows[[Flow_ID]:[CC_DM_source]],MATCH(Tab_Data_Flows[[#This Row],[Flow_Name]],Tab_Def_Flows[Flow_Name],0),14)</f>
        <v>0.76158038205651879</v>
      </c>
      <c r="Z96" s="6" t="str">
        <f>Tab_Data_Flows[[#This Row],[Flow_ID]]&amp;"_"&amp;"DM_"&amp;Tab_Data_Flows[[#This Row],[Flow_Data_Year]]</f>
        <v>F_01_02_DM_2119</v>
      </c>
      <c r="AA96" s="6">
        <f>IF(E96="Yes",Y96*Tab_Data_Flows[[#This Row],[Flow_Material]],"N.A.")</f>
        <v>513697.08413867821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F_01_02_CC_2119</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F_01_02</v>
      </c>
      <c r="C97" s="138" t="s">
        <v>475</v>
      </c>
      <c r="D97" s="9" t="str">
        <f>_xlfn.XLOOKUP(C97,Tab_Def_Flows[Flow_Name],Tab_Def_Flows[WC?],,0,)</f>
        <v>Yes</v>
      </c>
      <c r="E97" s="9" t="str">
        <f>_xlfn.XLOOKUP(C97,Tab_Def_Flows[Flow_Name],Tab_Def_Flows[DM?],,0,)</f>
        <v>Yes</v>
      </c>
      <c r="F97" s="9" t="str">
        <f>_xlfn.XLOOKUP(C97,Tab_Def_Flows[Flow_Name],Tab_Def_Flows[CC?],,0,)</f>
        <v>Yes</v>
      </c>
      <c r="G97" s="7">
        <v>2120</v>
      </c>
      <c r="H97" s="21">
        <v>631555.22070399998</v>
      </c>
      <c r="I97" s="6" t="str">
        <f>'0_Configuration'!$C$4</f>
        <v>Mg</v>
      </c>
      <c r="J97" s="13"/>
      <c r="K97" s="13"/>
      <c r="L97" s="13"/>
      <c r="M97" s="13"/>
      <c r="N97" s="13"/>
      <c r="O97" s="7" t="s">
        <v>6</v>
      </c>
      <c r="P97" s="7"/>
      <c r="Q97" s="7"/>
      <c r="R97" s="6" t="str">
        <f>Tab_Data_Flows[[#This Row],[Flow_ID]]&amp;"_"&amp;"material_"&amp;Tab_Data_Flows[[#This Row],[Flow_Data_Year]]</f>
        <v>F_01_02_material_2120</v>
      </c>
      <c r="S97" s="12">
        <f t="shared" si="2"/>
        <v>631555.22070399998</v>
      </c>
      <c r="T97" s="6" t="str">
        <f>Tab_Data_Flows[[#This Row],[UoM_Source]]</f>
        <v>Mg</v>
      </c>
      <c r="U97" s="139">
        <f>INDEX(Tab_Def_Flows[[Flow_ID]:[CC_DM_source]],MATCH(Tab_Data_Flows[[#This Row],[Flow_Name]],Tab_Def_Flows[Flow_Name],0),11)</f>
        <v>0.23841961794348115</v>
      </c>
      <c r="V97" s="6" t="str">
        <f>Tab_Data_Flows[[#This Row],[Flow_ID]]&amp;"_"&amp;"WC_"&amp;Tab_Data_Flows[[#This Row],[Flow_Data_Year]]</f>
        <v>F_01_02_WC_2120</v>
      </c>
      <c r="W97" s="6">
        <f>IF(D97="Yes",S97*Tab_Data_Flows[[#This Row],[WC_'[%']]],"N.A.")</f>
        <v>150575.15443045858</v>
      </c>
      <c r="X97" s="6" t="str">
        <f>Tab_Data_Flows[[#This Row],[UoM_Flow_Py]]</f>
        <v>Mg</v>
      </c>
      <c r="Y97" s="139">
        <f>INDEX(Tab_Def_Flows[[Flow_ID]:[CC_DM_source]],MATCH(Tab_Data_Flows[[#This Row],[Flow_Name]],Tab_Def_Flows[Flow_Name],0),14)</f>
        <v>0.76158038205651879</v>
      </c>
      <c r="Z97" s="6" t="str">
        <f>Tab_Data_Flows[[#This Row],[Flow_ID]]&amp;"_"&amp;"DM_"&amp;Tab_Data_Flows[[#This Row],[Flow_Data_Year]]</f>
        <v>F_01_02_DM_2120</v>
      </c>
      <c r="AA97" s="6">
        <f>IF(E97="Yes",Y97*Tab_Data_Flows[[#This Row],[Flow_Material]],"N.A.")</f>
        <v>480980.06627354136</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F_01_02_CC_2120</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F_01_02</v>
      </c>
      <c r="C98" s="138" t="s">
        <v>475</v>
      </c>
      <c r="D98" s="9" t="str">
        <f>_xlfn.XLOOKUP(C98,Tab_Def_Flows[Flow_Name],Tab_Def_Flows[WC?],,0,)</f>
        <v>Yes</v>
      </c>
      <c r="E98" s="9" t="str">
        <f>_xlfn.XLOOKUP(C98,Tab_Def_Flows[Flow_Name],Tab_Def_Flows[DM?],,0,)</f>
        <v>Yes</v>
      </c>
      <c r="F98" s="9" t="str">
        <f>_xlfn.XLOOKUP(C98,Tab_Def_Flows[Flow_Name],Tab_Def_Flows[CC?],,0,)</f>
        <v>Yes</v>
      </c>
      <c r="G98" s="7">
        <v>2121</v>
      </c>
      <c r="H98" s="21">
        <v>640415.76923200011</v>
      </c>
      <c r="I98" s="6" t="str">
        <f>'0_Configuration'!$C$4</f>
        <v>Mg</v>
      </c>
      <c r="J98" s="13"/>
      <c r="K98" s="13"/>
      <c r="L98" s="13"/>
      <c r="M98" s="13"/>
      <c r="N98" s="13"/>
      <c r="O98" s="7" t="s">
        <v>6</v>
      </c>
      <c r="P98" s="7"/>
      <c r="Q98" s="7"/>
      <c r="R98" s="6" t="str">
        <f>Tab_Data_Flows[[#This Row],[Flow_ID]]&amp;"_"&amp;"material_"&amp;Tab_Data_Flows[[#This Row],[Flow_Data_Year]]</f>
        <v>F_01_02_material_2121</v>
      </c>
      <c r="S98" s="12">
        <f t="shared" si="2"/>
        <v>640415.76923200011</v>
      </c>
      <c r="T98" s="6" t="str">
        <f>Tab_Data_Flows[[#This Row],[UoM_Source]]</f>
        <v>Mg</v>
      </c>
      <c r="U98" s="139">
        <f>INDEX(Tab_Def_Flows[[Flow_ID]:[CC_DM_source]],MATCH(Tab_Data_Flows[[#This Row],[Flow_Name]],Tab_Def_Flows[Flow_Name],0),11)</f>
        <v>0.23841961794348115</v>
      </c>
      <c r="V98" s="6" t="str">
        <f>Tab_Data_Flows[[#This Row],[Flow_ID]]&amp;"_"&amp;"WC_"&amp;Tab_Data_Flows[[#This Row],[Flow_Data_Year]]</f>
        <v>F_01_02_WC_2121</v>
      </c>
      <c r="W98" s="6">
        <f>IF(D98="Yes",S98*Tab_Data_Flows[[#This Row],[WC_'[%']]],"N.A.")</f>
        <v>152687.68302527405</v>
      </c>
      <c r="X98" s="6" t="str">
        <f>Tab_Data_Flows[[#This Row],[UoM_Flow_Py]]</f>
        <v>Mg</v>
      </c>
      <c r="Y98" s="139">
        <f>INDEX(Tab_Def_Flows[[Flow_ID]:[CC_DM_source]],MATCH(Tab_Data_Flows[[#This Row],[Flow_Name]],Tab_Def_Flows[Flow_Name],0),14)</f>
        <v>0.76158038205651879</v>
      </c>
      <c r="Z98" s="6" t="str">
        <f>Tab_Data_Flows[[#This Row],[Flow_ID]]&amp;"_"&amp;"DM_"&amp;Tab_Data_Flows[[#This Row],[Flow_Data_Year]]</f>
        <v>F_01_02_DM_2121</v>
      </c>
      <c r="AA98" s="6">
        <f>IF(E98="Yes",Y98*Tab_Data_Flows[[#This Row],[Flow_Material]],"N.A.")</f>
        <v>487728.08620672603</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F_01_02_CC_2121</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F_01_02</v>
      </c>
      <c r="C99" s="138" t="s">
        <v>475</v>
      </c>
      <c r="D99" s="9" t="str">
        <f>_xlfn.XLOOKUP(C99,Tab_Def_Flows[Flow_Name],Tab_Def_Flows[WC?],,0,)</f>
        <v>Yes</v>
      </c>
      <c r="E99" s="9" t="str">
        <f>_xlfn.XLOOKUP(C99,Tab_Def_Flows[Flow_Name],Tab_Def_Flows[DM?],,0,)</f>
        <v>Yes</v>
      </c>
      <c r="F99" s="9" t="str">
        <f>_xlfn.XLOOKUP(C99,Tab_Def_Flows[Flow_Name],Tab_Def_Flows[CC?],,0,)</f>
        <v>Yes</v>
      </c>
      <c r="G99" s="7">
        <v>2122</v>
      </c>
      <c r="H99" s="21">
        <v>577729.83804800001</v>
      </c>
      <c r="I99" s="6" t="str">
        <f>'0_Configuration'!$C$4</f>
        <v>Mg</v>
      </c>
      <c r="J99" s="13"/>
      <c r="K99" s="13"/>
      <c r="L99" s="13"/>
      <c r="M99" s="13"/>
      <c r="N99" s="13"/>
      <c r="O99" s="7" t="s">
        <v>6</v>
      </c>
      <c r="P99" s="7"/>
      <c r="Q99" s="7"/>
      <c r="R99" s="6" t="str">
        <f>Tab_Data_Flows[[#This Row],[Flow_ID]]&amp;"_"&amp;"material_"&amp;Tab_Data_Flows[[#This Row],[Flow_Data_Year]]</f>
        <v>F_01_02_material_2122</v>
      </c>
      <c r="S99" s="12">
        <f t="shared" si="2"/>
        <v>577729.83804800001</v>
      </c>
      <c r="T99" s="6" t="str">
        <f>Tab_Data_Flows[[#This Row],[UoM_Source]]</f>
        <v>Mg</v>
      </c>
      <c r="U99" s="139">
        <f>INDEX(Tab_Def_Flows[[Flow_ID]:[CC_DM_source]],MATCH(Tab_Data_Flows[[#This Row],[Flow_Name]],Tab_Def_Flows[Flow_Name],0),11)</f>
        <v>0.23841961794348115</v>
      </c>
      <c r="V99" s="6" t="str">
        <f>Tab_Data_Flows[[#This Row],[Flow_ID]]&amp;"_"&amp;"WC_"&amp;Tab_Data_Flows[[#This Row],[Flow_Data_Year]]</f>
        <v>F_01_02_WC_2122</v>
      </c>
      <c r="W99" s="6">
        <f>IF(D99="Yes",S99*Tab_Data_Flows[[#This Row],[WC_'[%']]],"N.A.")</f>
        <v>137742.1272619534</v>
      </c>
      <c r="X99" s="6" t="str">
        <f>Tab_Data_Flows[[#This Row],[UoM_Flow_Py]]</f>
        <v>Mg</v>
      </c>
      <c r="Y99" s="139">
        <f>INDEX(Tab_Def_Flows[[Flow_ID]:[CC_DM_source]],MATCH(Tab_Data_Flows[[#This Row],[Flow_Name]],Tab_Def_Flows[Flow_Name],0),14)</f>
        <v>0.76158038205651879</v>
      </c>
      <c r="Z99" s="6" t="str">
        <f>Tab_Data_Flows[[#This Row],[Flow_ID]]&amp;"_"&amp;"DM_"&amp;Tab_Data_Flows[[#This Row],[Flow_Data_Year]]</f>
        <v>F_01_02_DM_2122</v>
      </c>
      <c r="AA99" s="6">
        <f>IF(E99="Yes",Y99*Tab_Data_Flows[[#This Row],[Flow_Material]],"N.A.")</f>
        <v>439987.71078604658</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F_01_02_CC_2122</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F_01_02</v>
      </c>
      <c r="C100" s="138" t="s">
        <v>475</v>
      </c>
      <c r="D100" s="9" t="str">
        <f>_xlfn.XLOOKUP(C100,Tab_Def_Flows[Flow_Name],Tab_Def_Flows[WC?],,0,)</f>
        <v>Yes</v>
      </c>
      <c r="E100" s="9" t="str">
        <f>_xlfn.XLOOKUP(C100,Tab_Def_Flows[Flow_Name],Tab_Def_Flows[DM?],,0,)</f>
        <v>Yes</v>
      </c>
      <c r="F100" s="9" t="str">
        <f>_xlfn.XLOOKUP(C100,Tab_Def_Flows[Flow_Name],Tab_Def_Flows[CC?],,0,)</f>
        <v>Yes</v>
      </c>
      <c r="G100" s="7">
        <v>2123</v>
      </c>
      <c r="H100" s="21">
        <v>698973.33209599997</v>
      </c>
      <c r="I100" s="6" t="str">
        <f>'0_Configuration'!$C$4</f>
        <v>Mg</v>
      </c>
      <c r="J100" s="13"/>
      <c r="K100" s="13"/>
      <c r="L100" s="13"/>
      <c r="M100" s="13"/>
      <c r="N100" s="13"/>
      <c r="O100" s="7" t="s">
        <v>6</v>
      </c>
      <c r="P100" s="7"/>
      <c r="Q100" s="7"/>
      <c r="R100" s="6" t="str">
        <f>Tab_Data_Flows[[#This Row],[Flow_ID]]&amp;"_"&amp;"material_"&amp;Tab_Data_Flows[[#This Row],[Flow_Data_Year]]</f>
        <v>F_01_02_material_2123</v>
      </c>
      <c r="S100" s="12">
        <f t="shared" si="2"/>
        <v>698973.33209599997</v>
      </c>
      <c r="T100" s="6" t="str">
        <f>Tab_Data_Flows[[#This Row],[UoM_Source]]</f>
        <v>Mg</v>
      </c>
      <c r="U100" s="139">
        <f>INDEX(Tab_Def_Flows[[Flow_ID]:[CC_DM_source]],MATCH(Tab_Data_Flows[[#This Row],[Flow_Name]],Tab_Def_Flows[Flow_Name],0),11)</f>
        <v>0.23841961794348115</v>
      </c>
      <c r="V100" s="6" t="str">
        <f>Tab_Data_Flows[[#This Row],[Flow_ID]]&amp;"_"&amp;"WC_"&amp;Tab_Data_Flows[[#This Row],[Flow_Data_Year]]</f>
        <v>F_01_02_WC_2123</v>
      </c>
      <c r="W100" s="6">
        <f>IF(D100="Yes",S100*Tab_Data_Flows[[#This Row],[WC_'[%']]],"N.A.")</f>
        <v>166648.9547910103</v>
      </c>
      <c r="X100" s="6" t="str">
        <f>Tab_Data_Flows[[#This Row],[UoM_Flow_Py]]</f>
        <v>Mg</v>
      </c>
      <c r="Y100" s="139">
        <f>INDEX(Tab_Def_Flows[[Flow_ID]:[CC_DM_source]],MATCH(Tab_Data_Flows[[#This Row],[Flow_Name]],Tab_Def_Flows[Flow_Name],0),14)</f>
        <v>0.76158038205651879</v>
      </c>
      <c r="Z100" s="6" t="str">
        <f>Tab_Data_Flows[[#This Row],[Flow_ID]]&amp;"_"&amp;"DM_"&amp;Tab_Data_Flows[[#This Row],[Flow_Data_Year]]</f>
        <v>F_01_02_DM_2123</v>
      </c>
      <c r="AA100" s="6">
        <f>IF(E100="Yes",Y100*Tab_Data_Flows[[#This Row],[Flow_Material]],"N.A.")</f>
        <v>532324.37730498961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F_01_02_CC_2123</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F_01_02</v>
      </c>
      <c r="C101" s="138" t="s">
        <v>475</v>
      </c>
      <c r="D101" s="9" t="str">
        <f>_xlfn.XLOOKUP(C101,Tab_Def_Flows[Flow_Name],Tab_Def_Flows[WC?],,0,)</f>
        <v>Yes</v>
      </c>
      <c r="E101" s="9" t="str">
        <f>_xlfn.XLOOKUP(C101,Tab_Def_Flows[Flow_Name],Tab_Def_Flows[DM?],,0,)</f>
        <v>Yes</v>
      </c>
      <c r="F101" s="9" t="str">
        <f>_xlfn.XLOOKUP(C101,Tab_Def_Flows[Flow_Name],Tab_Def_Flows[CC?],,0,)</f>
        <v>Yes</v>
      </c>
      <c r="G101" s="7">
        <v>2124</v>
      </c>
      <c r="H101" s="21">
        <v>628979.78499200009</v>
      </c>
      <c r="I101" s="6" t="str">
        <f>'0_Configuration'!$C$4</f>
        <v>Mg</v>
      </c>
      <c r="J101" s="13"/>
      <c r="K101" s="13"/>
      <c r="L101" s="13"/>
      <c r="M101" s="13"/>
      <c r="N101" s="13"/>
      <c r="O101" s="7" t="s">
        <v>6</v>
      </c>
      <c r="P101" s="7"/>
      <c r="Q101" s="7"/>
      <c r="R101" s="6" t="str">
        <f>Tab_Data_Flows[[#This Row],[Flow_ID]]&amp;"_"&amp;"material_"&amp;Tab_Data_Flows[[#This Row],[Flow_Data_Year]]</f>
        <v>F_01_02_material_2124</v>
      </c>
      <c r="S101" s="12">
        <f t="shared" si="2"/>
        <v>628979.78499200009</v>
      </c>
      <c r="T101" s="6" t="str">
        <f>Tab_Data_Flows[[#This Row],[UoM_Source]]</f>
        <v>Mg</v>
      </c>
      <c r="U101" s="139">
        <f>INDEX(Tab_Def_Flows[[Flow_ID]:[CC_DM_source]],MATCH(Tab_Data_Flows[[#This Row],[Flow_Name]],Tab_Def_Flows[Flow_Name],0),11)</f>
        <v>0.23841961794348115</v>
      </c>
      <c r="V101" s="6" t="str">
        <f>Tab_Data_Flows[[#This Row],[Flow_ID]]&amp;"_"&amp;"WC_"&amp;Tab_Data_Flows[[#This Row],[Flow_Data_Year]]</f>
        <v>F_01_02_WC_2124</v>
      </c>
      <c r="W101" s="6">
        <f>IF(D101="Yes",S101*Tab_Data_Flows[[#This Row],[WC_'[%']]],"N.A.")</f>
        <v>149961.12003196558</v>
      </c>
      <c r="X101" s="6" t="str">
        <f>Tab_Data_Flows[[#This Row],[UoM_Flow_Py]]</f>
        <v>Mg</v>
      </c>
      <c r="Y101" s="139">
        <f>INDEX(Tab_Def_Flows[[Flow_ID]:[CC_DM_source]],MATCH(Tab_Data_Flows[[#This Row],[Flow_Name]],Tab_Def_Flows[Flow_Name],0),14)</f>
        <v>0.76158038205651879</v>
      </c>
      <c r="Z101" s="6" t="str">
        <f>Tab_Data_Flows[[#This Row],[Flow_ID]]&amp;"_"&amp;"DM_"&amp;Tab_Data_Flows[[#This Row],[Flow_Data_Year]]</f>
        <v>F_01_02_DM_2124</v>
      </c>
      <c r="AA101" s="6">
        <f>IF(E101="Yes",Y101*Tab_Data_Flows[[#This Row],[Flow_Material]],"N.A.")</f>
        <v>479018.66496003448</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F_01_02_CC_2124</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F_01_02</v>
      </c>
      <c r="C102" s="138" t="s">
        <v>475</v>
      </c>
      <c r="D102" s="9" t="str">
        <f>_xlfn.XLOOKUP(C102,Tab_Def_Flows[Flow_Name],Tab_Def_Flows[WC?],,0,)</f>
        <v>Yes</v>
      </c>
      <c r="E102" s="9" t="str">
        <f>_xlfn.XLOOKUP(C102,Tab_Def_Flows[Flow_Name],Tab_Def_Flows[DM?],,0,)</f>
        <v>Yes</v>
      </c>
      <c r="F102" s="9" t="str">
        <f>_xlfn.XLOOKUP(C102,Tab_Def_Flows[Flow_Name],Tab_Def_Flows[CC?],,0,)</f>
        <v>Yes</v>
      </c>
      <c r="G102" s="7">
        <v>2125</v>
      </c>
      <c r="H102" s="21">
        <v>726048.2844</v>
      </c>
      <c r="I102" s="6" t="str">
        <f>'0_Configuration'!$C$4</f>
        <v>Mg</v>
      </c>
      <c r="J102" s="13"/>
      <c r="K102" s="13"/>
      <c r="L102" s="13"/>
      <c r="M102" s="13"/>
      <c r="N102" s="13"/>
      <c r="O102" s="7" t="s">
        <v>6</v>
      </c>
      <c r="P102" s="7"/>
      <c r="Q102" s="7"/>
      <c r="R102" s="6" t="str">
        <f>Tab_Data_Flows[[#This Row],[Flow_ID]]&amp;"_"&amp;"material_"&amp;Tab_Data_Flows[[#This Row],[Flow_Data_Year]]</f>
        <v>F_01_02_material_2125</v>
      </c>
      <c r="S102" s="12">
        <f t="shared" si="2"/>
        <v>726048.2844</v>
      </c>
      <c r="T102" s="6" t="str">
        <f>Tab_Data_Flows[[#This Row],[UoM_Source]]</f>
        <v>Mg</v>
      </c>
      <c r="U102" s="139">
        <f>INDEX(Tab_Def_Flows[[Flow_ID]:[CC_DM_source]],MATCH(Tab_Data_Flows[[#This Row],[Flow_Name]],Tab_Def_Flows[Flow_Name],0),11)</f>
        <v>0.23841961794348115</v>
      </c>
      <c r="V102" s="6" t="str">
        <f>Tab_Data_Flows[[#This Row],[Flow_ID]]&amp;"_"&amp;"WC_"&amp;Tab_Data_Flows[[#This Row],[Flow_Data_Year]]</f>
        <v>F_01_02_WC_2125</v>
      </c>
      <c r="W102" s="6">
        <f>IF(D102="Yes",S102*Tab_Data_Flows[[#This Row],[WC_'[%']]],"N.A.")</f>
        <v>173104.15457516795</v>
      </c>
      <c r="X102" s="6" t="str">
        <f>Tab_Data_Flows[[#This Row],[UoM_Flow_Py]]</f>
        <v>Mg</v>
      </c>
      <c r="Y102" s="139">
        <f>INDEX(Tab_Def_Flows[[Flow_ID]:[CC_DM_source]],MATCH(Tab_Data_Flows[[#This Row],[Flow_Name]],Tab_Def_Flows[Flow_Name],0),14)</f>
        <v>0.76158038205651879</v>
      </c>
      <c r="Z102" s="6" t="str">
        <f>Tab_Data_Flows[[#This Row],[Flow_ID]]&amp;"_"&amp;"DM_"&amp;Tab_Data_Flows[[#This Row],[Flow_Data_Year]]</f>
        <v>F_01_02_DM_2125</v>
      </c>
      <c r="AA102" s="6">
        <f>IF(E102="Yes",Y102*Tab_Data_Flows[[#This Row],[Flow_Material]],"N.A.")</f>
        <v>552944.12982483197</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F_01_02_CC_2125</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F_00_02</v>
      </c>
      <c r="C103" s="138" t="s">
        <v>472</v>
      </c>
      <c r="D103" s="9" t="str">
        <f>_xlfn.XLOOKUP(C103,Tab_Def_Flows[Flow_Name],Tab_Def_Flows[WC?],,0,)</f>
        <v>Yes</v>
      </c>
      <c r="E103" s="9" t="str">
        <f>_xlfn.XLOOKUP(C103,Tab_Def_Flows[Flow_Name],Tab_Def_Flows[DM?],,0,)</f>
        <v>Yes</v>
      </c>
      <c r="F103" s="9" t="str">
        <f>_xlfn.XLOOKUP(C103,Tab_Def_Flows[Flow_Name],Tab_Def_Flows[CC?],,0,)</f>
        <v>Yes</v>
      </c>
      <c r="G103" s="7">
        <v>2025</v>
      </c>
      <c r="H103" s="21">
        <v>334767.42115199997</v>
      </c>
      <c r="I103" s="6" t="str">
        <f>'0_Configuration'!$C$4</f>
        <v>Mg</v>
      </c>
      <c r="J103" s="13"/>
      <c r="K103" s="13"/>
      <c r="L103" s="13"/>
      <c r="M103" s="13"/>
      <c r="N103" s="13"/>
      <c r="O103" s="7" t="s">
        <v>6</v>
      </c>
      <c r="P103" s="7"/>
      <c r="Q103" s="7"/>
      <c r="R103" s="6" t="str">
        <f>Tab_Data_Flows[[#This Row],[Flow_ID]]&amp;"_"&amp;"material_"&amp;Tab_Data_Flows[[#This Row],[Flow_Data_Year]]</f>
        <v>F_00_02_material_2025</v>
      </c>
      <c r="S103" s="12">
        <f t="shared" si="2"/>
        <v>334767.42115199997</v>
      </c>
      <c r="T103" s="6" t="str">
        <f>Tab_Data_Flows[[#This Row],[UoM_Source]]</f>
        <v>Mg</v>
      </c>
      <c r="U103" s="139">
        <f>INDEX(Tab_Def_Flows[[Flow_ID]:[CC_DM_source]],MATCH(Tab_Data_Flows[[#This Row],[Flow_Name]],Tab_Def_Flows[Flow_Name],0),11)</f>
        <v>0</v>
      </c>
      <c r="V103" s="6" t="str">
        <f>Tab_Data_Flows[[#This Row],[Flow_ID]]&amp;"_"&amp;"WC_"&amp;Tab_Data_Flows[[#This Row],[Flow_Data_Year]]</f>
        <v>F_00_02_WC_2025</v>
      </c>
      <c r="W103" s="6">
        <f>IF(D103="Yes",S103*Tab_Data_Flows[[#This Row],[WC_'[%']]],"N.A.")</f>
        <v>0</v>
      </c>
      <c r="X103" s="6" t="str">
        <f>Tab_Data_Flows[[#This Row],[UoM_Flow_Py]]</f>
        <v>Mg</v>
      </c>
      <c r="Y103" s="139">
        <f>INDEX(Tab_Def_Flows[[Flow_ID]:[CC_DM_source]],MATCH(Tab_Data_Flows[[#This Row],[Flow_Name]],Tab_Def_Flows[Flow_Name],0),14)</f>
        <v>1</v>
      </c>
      <c r="Z103" s="6" t="str">
        <f>Tab_Data_Flows[[#This Row],[Flow_ID]]&amp;"_"&amp;"DM_"&amp;Tab_Data_Flows[[#This Row],[Flow_Data_Year]]</f>
        <v>F_00_02_DM_2025</v>
      </c>
      <c r="AA103" s="6">
        <f>IF(E103="Yes",Y103*Tab_Data_Flows[[#This Row],[Flow_Material]],"N.A.")</f>
        <v>334767.42115199997</v>
      </c>
      <c r="AB103" s="6" t="str">
        <f>Tab_Data_Flows[[#This Row],[UoM_Flow_Py]]</f>
        <v>Mg</v>
      </c>
      <c r="AC103" s="139">
        <f>INDEX(Tab_Def_Flows[[Flow_ID]:[CC_DM_source]],MATCH(Tab_Data_Flows[[#This Row],[Flow_Name]],Tab_Def_Flows[Flow_Name],0),17)</f>
        <v>1</v>
      </c>
      <c r="AD103" s="6" t="str">
        <f>Tab_Data_Flows[[#This Row],[Flow_ID]]&amp;"_"&amp;"CC_"&amp;Tab_Data_Flows[[#This Row],[Flow_Data_Year]]</f>
        <v>F_00_02_CC_2025</v>
      </c>
      <c r="AE103" s="6">
        <f>IF(F103="Yes",AC103*Tab_Data_Flows[[#This Row],[Flow_Material]]*Tab_Data_Flows[[#This Row],[DM_'[%']]],"N.A.")</f>
        <v>334767.42115199997</v>
      </c>
      <c r="AF103" s="6" t="str">
        <f>Tab_Data_Flows[[#This Row],[UoM_Flow_Py]]</f>
        <v>Mg</v>
      </c>
      <c r="AG103"/>
    </row>
    <row r="104" spans="1:33" x14ac:dyDescent="0.25">
      <c r="A104" s="8">
        <f t="shared" si="3"/>
        <v>103</v>
      </c>
      <c r="B104" s="6" t="str">
        <f>_xlfn.XLOOKUP(C104,Tab_Def_Flows[Flow_Name],Tab_Def_Flows[Flow_ID],,0,)</f>
        <v>F_00_02</v>
      </c>
      <c r="C104" s="138" t="s">
        <v>472</v>
      </c>
      <c r="D104" s="9" t="str">
        <f>_xlfn.XLOOKUP(C104,Tab_Def_Flows[Flow_Name],Tab_Def_Flows[WC?],,0,)</f>
        <v>Yes</v>
      </c>
      <c r="E104" s="9" t="str">
        <f>_xlfn.XLOOKUP(C104,Tab_Def_Flows[Flow_Name],Tab_Def_Flows[DM?],,0,)</f>
        <v>Yes</v>
      </c>
      <c r="F104" s="9" t="str">
        <f>_xlfn.XLOOKUP(C104,Tab_Def_Flows[Flow_Name],Tab_Def_Flows[CC?],,0,)</f>
        <v>Yes</v>
      </c>
      <c r="G104" s="7">
        <v>2026</v>
      </c>
      <c r="H104" s="21">
        <v>280134.92630400002</v>
      </c>
      <c r="I104" s="6" t="str">
        <f>'0_Configuration'!$C$4</f>
        <v>Mg</v>
      </c>
      <c r="J104" s="13"/>
      <c r="K104" s="13"/>
      <c r="L104" s="13"/>
      <c r="M104" s="13"/>
      <c r="N104" s="13"/>
      <c r="O104" s="7" t="s">
        <v>6</v>
      </c>
      <c r="P104" s="7"/>
      <c r="Q104" s="7"/>
      <c r="R104" s="6" t="str">
        <f>Tab_Data_Flows[[#This Row],[Flow_ID]]&amp;"_"&amp;"material_"&amp;Tab_Data_Flows[[#This Row],[Flow_Data_Year]]</f>
        <v>F_00_02_material_2026</v>
      </c>
      <c r="S104" s="12">
        <f t="shared" si="2"/>
        <v>280134.92630400002</v>
      </c>
      <c r="T104" s="6" t="str">
        <f>Tab_Data_Flows[[#This Row],[UoM_Source]]</f>
        <v>Mg</v>
      </c>
      <c r="U104" s="139">
        <f>INDEX(Tab_Def_Flows[[Flow_ID]:[CC_DM_source]],MATCH(Tab_Data_Flows[[#This Row],[Flow_Name]],Tab_Def_Flows[Flow_Name],0),11)</f>
        <v>0</v>
      </c>
      <c r="V104" s="6" t="str">
        <f>Tab_Data_Flows[[#This Row],[Flow_ID]]&amp;"_"&amp;"WC_"&amp;Tab_Data_Flows[[#This Row],[Flow_Data_Year]]</f>
        <v>F_00_02_WC_2026</v>
      </c>
      <c r="W104" s="6">
        <f>IF(D104="Yes",S104*Tab_Data_Flows[[#This Row],[WC_'[%']]],"N.A.")</f>
        <v>0</v>
      </c>
      <c r="X104" s="6" t="str">
        <f>Tab_Data_Flows[[#This Row],[UoM_Flow_Py]]</f>
        <v>Mg</v>
      </c>
      <c r="Y104" s="139">
        <f>INDEX(Tab_Def_Flows[[Flow_ID]:[CC_DM_source]],MATCH(Tab_Data_Flows[[#This Row],[Flow_Name]],Tab_Def_Flows[Flow_Name],0),14)</f>
        <v>1</v>
      </c>
      <c r="Z104" s="6" t="str">
        <f>Tab_Data_Flows[[#This Row],[Flow_ID]]&amp;"_"&amp;"DM_"&amp;Tab_Data_Flows[[#This Row],[Flow_Data_Year]]</f>
        <v>F_00_02_DM_2026</v>
      </c>
      <c r="AA104" s="6">
        <f>IF(E104="Yes",Y104*Tab_Data_Flows[[#This Row],[Flow_Material]],"N.A.")</f>
        <v>280134.92630400002</v>
      </c>
      <c r="AB104" s="6" t="str">
        <f>Tab_Data_Flows[[#This Row],[UoM_Flow_Py]]</f>
        <v>Mg</v>
      </c>
      <c r="AC104" s="139">
        <f>INDEX(Tab_Def_Flows[[Flow_ID]:[CC_DM_source]],MATCH(Tab_Data_Flows[[#This Row],[Flow_Name]],Tab_Def_Flows[Flow_Name],0),17)</f>
        <v>1</v>
      </c>
      <c r="AD104" s="6" t="str">
        <f>Tab_Data_Flows[[#This Row],[Flow_ID]]&amp;"_"&amp;"CC_"&amp;Tab_Data_Flows[[#This Row],[Flow_Data_Year]]</f>
        <v>F_00_02_CC_2026</v>
      </c>
      <c r="AE104" s="6">
        <f>IF(F104="Yes",AC104*Tab_Data_Flows[[#This Row],[Flow_Material]]*Tab_Data_Flows[[#This Row],[DM_'[%']]],"N.A.")</f>
        <v>280134.92630400002</v>
      </c>
      <c r="AF104" s="6" t="str">
        <f>Tab_Data_Flows[[#This Row],[UoM_Flow_Py]]</f>
        <v>Mg</v>
      </c>
      <c r="AG104"/>
    </row>
    <row r="105" spans="1:33" x14ac:dyDescent="0.25">
      <c r="A105" s="8">
        <f t="shared" si="3"/>
        <v>104</v>
      </c>
      <c r="B105" s="6" t="str">
        <f>_xlfn.XLOOKUP(C105,Tab_Def_Flows[Flow_Name],Tab_Def_Flows[Flow_ID],,0,)</f>
        <v>F_00_02</v>
      </c>
      <c r="C105" s="138" t="s">
        <v>472</v>
      </c>
      <c r="D105" s="9" t="str">
        <f>_xlfn.XLOOKUP(C105,Tab_Def_Flows[Flow_Name],Tab_Def_Flows[WC?],,0,)</f>
        <v>Yes</v>
      </c>
      <c r="E105" s="9" t="str">
        <f>_xlfn.XLOOKUP(C105,Tab_Def_Flows[Flow_Name],Tab_Def_Flows[DM?],,0,)</f>
        <v>Yes</v>
      </c>
      <c r="F105" s="9" t="str">
        <f>_xlfn.XLOOKUP(C105,Tab_Def_Flows[Flow_Name],Tab_Def_Flows[CC?],,0,)</f>
        <v>Yes</v>
      </c>
      <c r="G105" s="7">
        <v>2027</v>
      </c>
      <c r="H105" s="21">
        <v>360059.61110400001</v>
      </c>
      <c r="I105" s="6" t="str">
        <f>'0_Configuration'!$C$4</f>
        <v>Mg</v>
      </c>
      <c r="J105" s="13"/>
      <c r="K105" s="13"/>
      <c r="L105" s="13"/>
      <c r="M105" s="13"/>
      <c r="N105" s="13"/>
      <c r="O105" s="7" t="s">
        <v>6</v>
      </c>
      <c r="P105" s="7"/>
      <c r="Q105" s="7"/>
      <c r="R105" s="6" t="str">
        <f>Tab_Data_Flows[[#This Row],[Flow_ID]]&amp;"_"&amp;"material_"&amp;Tab_Data_Flows[[#This Row],[Flow_Data_Year]]</f>
        <v>F_00_02_material_2027</v>
      </c>
      <c r="S105" s="12">
        <f t="shared" si="2"/>
        <v>360059.61110400001</v>
      </c>
      <c r="T105" s="6" t="str">
        <f>Tab_Data_Flows[[#This Row],[UoM_Source]]</f>
        <v>Mg</v>
      </c>
      <c r="U105" s="139">
        <f>INDEX(Tab_Def_Flows[[Flow_ID]:[CC_DM_source]],MATCH(Tab_Data_Flows[[#This Row],[Flow_Name]],Tab_Def_Flows[Flow_Name],0),11)</f>
        <v>0</v>
      </c>
      <c r="V105" s="6" t="str">
        <f>Tab_Data_Flows[[#This Row],[Flow_ID]]&amp;"_"&amp;"WC_"&amp;Tab_Data_Flows[[#This Row],[Flow_Data_Year]]</f>
        <v>F_00_02_WC_2027</v>
      </c>
      <c r="W105" s="6">
        <f>IF(D105="Yes",S105*Tab_Data_Flows[[#This Row],[WC_'[%']]],"N.A.")</f>
        <v>0</v>
      </c>
      <c r="X105" s="6" t="str">
        <f>Tab_Data_Flows[[#This Row],[UoM_Flow_Py]]</f>
        <v>Mg</v>
      </c>
      <c r="Y105" s="139">
        <f>INDEX(Tab_Def_Flows[[Flow_ID]:[CC_DM_source]],MATCH(Tab_Data_Flows[[#This Row],[Flow_Name]],Tab_Def_Flows[Flow_Name],0),14)</f>
        <v>1</v>
      </c>
      <c r="Z105" s="6" t="str">
        <f>Tab_Data_Flows[[#This Row],[Flow_ID]]&amp;"_"&amp;"DM_"&amp;Tab_Data_Flows[[#This Row],[Flow_Data_Year]]</f>
        <v>F_00_02_DM_2027</v>
      </c>
      <c r="AA105" s="6">
        <f>IF(E105="Yes",Y105*Tab_Data_Flows[[#This Row],[Flow_Material]],"N.A.")</f>
        <v>360059.61110400001</v>
      </c>
      <c r="AB105" s="6" t="str">
        <f>Tab_Data_Flows[[#This Row],[UoM_Flow_Py]]</f>
        <v>Mg</v>
      </c>
      <c r="AC105" s="139">
        <f>INDEX(Tab_Def_Flows[[Flow_ID]:[CC_DM_source]],MATCH(Tab_Data_Flows[[#This Row],[Flow_Name]],Tab_Def_Flows[Flow_Name],0),17)</f>
        <v>1</v>
      </c>
      <c r="AD105" s="6" t="str">
        <f>Tab_Data_Flows[[#This Row],[Flow_ID]]&amp;"_"&amp;"CC_"&amp;Tab_Data_Flows[[#This Row],[Flow_Data_Year]]</f>
        <v>F_00_02_CC_2027</v>
      </c>
      <c r="AE105" s="6">
        <f>IF(F105="Yes",AC105*Tab_Data_Flows[[#This Row],[Flow_Material]]*Tab_Data_Flows[[#This Row],[DM_'[%']]],"N.A.")</f>
        <v>360059.61110400001</v>
      </c>
      <c r="AF105" s="6" t="str">
        <f>Tab_Data_Flows[[#This Row],[UoM_Flow_Py]]</f>
        <v>Mg</v>
      </c>
      <c r="AG105"/>
    </row>
    <row r="106" spans="1:33" x14ac:dyDescent="0.25">
      <c r="A106" s="8">
        <f t="shared" si="3"/>
        <v>105</v>
      </c>
      <c r="B106" s="6" t="str">
        <f>_xlfn.XLOOKUP(C106,Tab_Def_Flows[Flow_Name],Tab_Def_Flows[Flow_ID],,0,)</f>
        <v>F_00_02</v>
      </c>
      <c r="C106" s="138" t="s">
        <v>472</v>
      </c>
      <c r="D106" s="9" t="str">
        <f>_xlfn.XLOOKUP(C106,Tab_Def_Flows[Flow_Name],Tab_Def_Flows[WC?],,0,)</f>
        <v>Yes</v>
      </c>
      <c r="E106" s="9" t="str">
        <f>_xlfn.XLOOKUP(C106,Tab_Def_Flows[Flow_Name],Tab_Def_Flows[DM?],,0,)</f>
        <v>Yes</v>
      </c>
      <c r="F106" s="9" t="str">
        <f>_xlfn.XLOOKUP(C106,Tab_Def_Flows[Flow_Name],Tab_Def_Flows[CC?],,0,)</f>
        <v>Yes</v>
      </c>
      <c r="G106" s="7">
        <v>2028</v>
      </c>
      <c r="H106" s="21">
        <v>291364.48982399993</v>
      </c>
      <c r="I106" s="6" t="str">
        <f>'0_Configuration'!$C$4</f>
        <v>Mg</v>
      </c>
      <c r="J106" s="13"/>
      <c r="K106" s="13"/>
      <c r="L106" s="13"/>
      <c r="M106" s="13"/>
      <c r="N106" s="13"/>
      <c r="O106" s="7" t="s">
        <v>6</v>
      </c>
      <c r="P106" s="7"/>
      <c r="Q106" s="7"/>
      <c r="R106" s="6" t="str">
        <f>Tab_Data_Flows[[#This Row],[Flow_ID]]&amp;"_"&amp;"material_"&amp;Tab_Data_Flows[[#This Row],[Flow_Data_Year]]</f>
        <v>F_00_02_material_2028</v>
      </c>
      <c r="S106" s="12">
        <f t="shared" si="2"/>
        <v>291364.48982399993</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F_00_02_WC_2028</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F_00_02_DM_2028</v>
      </c>
      <c r="AA106" s="6">
        <f>IF(E106="Yes",Y106*Tab_Data_Flows[[#This Row],[Flow_Material]],"N.A.")</f>
        <v>291364.48982399993</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F_00_02_CC_2028</v>
      </c>
      <c r="AE106" s="6">
        <f>IF(F106="Yes",AC106*Tab_Data_Flows[[#This Row],[Flow_Material]]*Tab_Data_Flows[[#This Row],[DM_'[%']]],"N.A.")</f>
        <v>291364.48982399993</v>
      </c>
      <c r="AF106" s="6" t="str">
        <f>Tab_Data_Flows[[#This Row],[UoM_Flow_Py]]</f>
        <v>Mg</v>
      </c>
      <c r="AG106"/>
    </row>
    <row r="107" spans="1:33" x14ac:dyDescent="0.25">
      <c r="A107" s="8">
        <f t="shared" si="3"/>
        <v>106</v>
      </c>
      <c r="B107" s="6" t="str">
        <f>_xlfn.XLOOKUP(C107,Tab_Def_Flows[Flow_Name],Tab_Def_Flows[Flow_ID],,0,)</f>
        <v>F_00_02</v>
      </c>
      <c r="C107" s="138" t="s">
        <v>472</v>
      </c>
      <c r="D107" s="9" t="str">
        <f>_xlfn.XLOOKUP(C107,Tab_Def_Flows[Flow_Name],Tab_Def_Flows[WC?],,0,)</f>
        <v>Yes</v>
      </c>
      <c r="E107" s="9" t="str">
        <f>_xlfn.XLOOKUP(C107,Tab_Def_Flows[Flow_Name],Tab_Def_Flows[DM?],,0,)</f>
        <v>Yes</v>
      </c>
      <c r="F107" s="9" t="str">
        <f>_xlfn.XLOOKUP(C107,Tab_Def_Flows[Flow_Name],Tab_Def_Flows[CC?],,0,)</f>
        <v>Yes</v>
      </c>
      <c r="G107" s="7">
        <v>2029</v>
      </c>
      <c r="H107" s="21">
        <v>339771.21350400004</v>
      </c>
      <c r="I107" s="6" t="str">
        <f>'0_Configuration'!$C$4</f>
        <v>Mg</v>
      </c>
      <c r="J107" s="13"/>
      <c r="K107" s="13"/>
      <c r="L107" s="13"/>
      <c r="M107" s="13"/>
      <c r="N107" s="13"/>
      <c r="O107" s="7" t="s">
        <v>6</v>
      </c>
      <c r="P107" s="7"/>
      <c r="Q107" s="7"/>
      <c r="R107" s="6" t="str">
        <f>Tab_Data_Flows[[#This Row],[Flow_ID]]&amp;"_"&amp;"material_"&amp;Tab_Data_Flows[[#This Row],[Flow_Data_Year]]</f>
        <v>F_00_02_material_2029</v>
      </c>
      <c r="S107" s="12">
        <f t="shared" si="2"/>
        <v>339771.21350400004</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F_00_02_WC_2029</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F_00_02_DM_2029</v>
      </c>
      <c r="AA107" s="6">
        <f>IF(E107="Yes",Y107*Tab_Data_Flows[[#This Row],[Flow_Material]],"N.A.")</f>
        <v>339771.21350400004</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F_00_02_CC_2029</v>
      </c>
      <c r="AE107" s="6">
        <f>IF(F107="Yes",AC107*Tab_Data_Flows[[#This Row],[Flow_Material]]*Tab_Data_Flows[[#This Row],[DM_'[%']]],"N.A.")</f>
        <v>339771.21350400004</v>
      </c>
      <c r="AF107" s="6" t="str">
        <f>Tab_Data_Flows[[#This Row],[UoM_Flow_Py]]</f>
        <v>Mg</v>
      </c>
      <c r="AG107"/>
    </row>
    <row r="108" spans="1:33" x14ac:dyDescent="0.25">
      <c r="A108" s="8">
        <f t="shared" si="3"/>
        <v>107</v>
      </c>
      <c r="B108" s="6" t="str">
        <f>_xlfn.XLOOKUP(C108,Tab_Def_Flows[Flow_Name],Tab_Def_Flows[Flow_ID],,0,)</f>
        <v>F_00_02</v>
      </c>
      <c r="C108" s="138" t="s">
        <v>472</v>
      </c>
      <c r="D108" s="9" t="str">
        <f>_xlfn.XLOOKUP(C108,Tab_Def_Flows[Flow_Name],Tab_Def_Flows[WC?],,0,)</f>
        <v>Yes</v>
      </c>
      <c r="E108" s="9" t="str">
        <f>_xlfn.XLOOKUP(C108,Tab_Def_Flows[Flow_Name],Tab_Def_Flows[DM?],,0,)</f>
        <v>Yes</v>
      </c>
      <c r="F108" s="9" t="str">
        <f>_xlfn.XLOOKUP(C108,Tab_Def_Flows[Flow_Name],Tab_Def_Flows[CC?],,0,)</f>
        <v>Yes</v>
      </c>
      <c r="G108" s="7">
        <v>2030</v>
      </c>
      <c r="H108" s="21">
        <v>267724.99833599996</v>
      </c>
      <c r="I108" s="6" t="str">
        <f>'0_Configuration'!$C$4</f>
        <v>Mg</v>
      </c>
      <c r="J108" s="13"/>
      <c r="K108" s="13"/>
      <c r="L108" s="13"/>
      <c r="M108" s="13"/>
      <c r="N108" s="13"/>
      <c r="O108" s="7" t="s">
        <v>6</v>
      </c>
      <c r="P108" s="7"/>
      <c r="Q108" s="7"/>
      <c r="R108" s="6" t="str">
        <f>Tab_Data_Flows[[#This Row],[Flow_ID]]&amp;"_"&amp;"material_"&amp;Tab_Data_Flows[[#This Row],[Flow_Data_Year]]</f>
        <v>F_00_02_material_2030</v>
      </c>
      <c r="S108" s="12">
        <f t="shared" si="2"/>
        <v>267724.99833599996</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F_00_02_WC_2030</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F_00_02_DM_2030</v>
      </c>
      <c r="AA108" s="6">
        <f>IF(E108="Yes",Y108*Tab_Data_Flows[[#This Row],[Flow_Material]],"N.A.")</f>
        <v>267724.99833599996</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F_00_02_CC_2030</v>
      </c>
      <c r="AE108" s="6">
        <f>IF(F108="Yes",AC108*Tab_Data_Flows[[#This Row],[Flow_Material]]*Tab_Data_Flows[[#This Row],[DM_'[%']]],"N.A.")</f>
        <v>267724.99833599996</v>
      </c>
      <c r="AF108" s="6" t="str">
        <f>Tab_Data_Flows[[#This Row],[UoM_Flow_Py]]</f>
        <v>Mg</v>
      </c>
      <c r="AG108"/>
    </row>
    <row r="109" spans="1:33" x14ac:dyDescent="0.25">
      <c r="A109" s="8">
        <f t="shared" si="3"/>
        <v>108</v>
      </c>
      <c r="B109" s="6" t="str">
        <f>_xlfn.XLOOKUP(C109,Tab_Def_Flows[Flow_Name],Tab_Def_Flows[Flow_ID],,0,)</f>
        <v>F_00_02</v>
      </c>
      <c r="C109" s="138" t="s">
        <v>472</v>
      </c>
      <c r="D109" s="9" t="str">
        <f>_xlfn.XLOOKUP(C109,Tab_Def_Flows[Flow_Name],Tab_Def_Flows[WC?],,0,)</f>
        <v>Yes</v>
      </c>
      <c r="E109" s="9" t="str">
        <f>_xlfn.XLOOKUP(C109,Tab_Def_Flows[Flow_Name],Tab_Def_Flows[DM?],,0,)</f>
        <v>Yes</v>
      </c>
      <c r="F109" s="9" t="str">
        <f>_xlfn.XLOOKUP(C109,Tab_Def_Flows[Flow_Name],Tab_Def_Flows[CC?],,0,)</f>
        <v>Yes</v>
      </c>
      <c r="G109" s="7">
        <v>2031</v>
      </c>
      <c r="H109" s="21">
        <v>391431.28415999998</v>
      </c>
      <c r="I109" s="6" t="str">
        <f>'0_Configuration'!$C$4</f>
        <v>Mg</v>
      </c>
      <c r="J109" s="13"/>
      <c r="K109" s="13"/>
      <c r="L109" s="13"/>
      <c r="M109" s="13"/>
      <c r="N109" s="13"/>
      <c r="O109" s="7" t="s">
        <v>6</v>
      </c>
      <c r="P109" s="7"/>
      <c r="Q109" s="7"/>
      <c r="R109" s="6" t="str">
        <f>Tab_Data_Flows[[#This Row],[Flow_ID]]&amp;"_"&amp;"material_"&amp;Tab_Data_Flows[[#This Row],[Flow_Data_Year]]</f>
        <v>F_00_02_material_2031</v>
      </c>
      <c r="S109" s="12">
        <f t="shared" si="2"/>
        <v>391431.28415999998</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F_00_02_WC_2031</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F_00_02_DM_2031</v>
      </c>
      <c r="AA109" s="6">
        <f>IF(E109="Yes",Y109*Tab_Data_Flows[[#This Row],[Flow_Material]],"N.A.")</f>
        <v>391431.28415999998</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F_00_02_CC_2031</v>
      </c>
      <c r="AE109" s="6">
        <f>IF(F109="Yes",AC109*Tab_Data_Flows[[#This Row],[Flow_Material]]*Tab_Data_Flows[[#This Row],[DM_'[%']]],"N.A.")</f>
        <v>391431.28415999998</v>
      </c>
      <c r="AF109" s="6" t="str">
        <f>Tab_Data_Flows[[#This Row],[UoM_Flow_Py]]</f>
        <v>Mg</v>
      </c>
      <c r="AG109"/>
    </row>
    <row r="110" spans="1:33" x14ac:dyDescent="0.25">
      <c r="A110" s="8">
        <f t="shared" si="3"/>
        <v>109</v>
      </c>
      <c r="B110" s="6" t="str">
        <f>_xlfn.XLOOKUP(C110,Tab_Def_Flows[Flow_Name],Tab_Def_Flows[Flow_ID],,0,)</f>
        <v>F_00_02</v>
      </c>
      <c r="C110" s="138" t="s">
        <v>472</v>
      </c>
      <c r="D110" s="9" t="str">
        <f>_xlfn.XLOOKUP(C110,Tab_Def_Flows[Flow_Name],Tab_Def_Flows[WC?],,0,)</f>
        <v>Yes</v>
      </c>
      <c r="E110" s="9" t="str">
        <f>_xlfn.XLOOKUP(C110,Tab_Def_Flows[Flow_Name],Tab_Def_Flows[DM?],,0,)</f>
        <v>Yes</v>
      </c>
      <c r="F110" s="9" t="str">
        <f>_xlfn.XLOOKUP(C110,Tab_Def_Flows[Flow_Name],Tab_Def_Flows[CC?],,0,)</f>
        <v>Yes</v>
      </c>
      <c r="G110" s="7">
        <v>2032</v>
      </c>
      <c r="H110" s="21">
        <v>353278.06252799998</v>
      </c>
      <c r="I110" s="6" t="str">
        <f>'0_Configuration'!$C$4</f>
        <v>Mg</v>
      </c>
      <c r="J110" s="13"/>
      <c r="K110" s="13"/>
      <c r="L110" s="13"/>
      <c r="M110" s="13"/>
      <c r="N110" s="13"/>
      <c r="O110" s="7" t="s">
        <v>6</v>
      </c>
      <c r="P110" s="7"/>
      <c r="Q110" s="7"/>
      <c r="R110" s="6" t="str">
        <f>Tab_Data_Flows[[#This Row],[Flow_ID]]&amp;"_"&amp;"material_"&amp;Tab_Data_Flows[[#This Row],[Flow_Data_Year]]</f>
        <v>F_00_02_material_2032</v>
      </c>
      <c r="S110" s="12">
        <f t="shared" si="2"/>
        <v>353278.06252799998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F_00_02_WC_2032</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F_00_02_DM_2032</v>
      </c>
      <c r="AA110" s="6">
        <f>IF(E110="Yes",Y110*Tab_Data_Flows[[#This Row],[Flow_Material]],"N.A.")</f>
        <v>353278.06252799998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F_00_02_CC_2032</v>
      </c>
      <c r="AE110" s="6">
        <f>IF(F110="Yes",AC110*Tab_Data_Flows[[#This Row],[Flow_Material]]*Tab_Data_Flows[[#This Row],[DM_'[%']]],"N.A.")</f>
        <v>353278.06252799998</v>
      </c>
      <c r="AF110" s="6" t="str">
        <f>Tab_Data_Flows[[#This Row],[UoM_Flow_Py]]</f>
        <v>Mg</v>
      </c>
      <c r="AG110"/>
    </row>
    <row r="111" spans="1:33" x14ac:dyDescent="0.25">
      <c r="A111" s="8">
        <f t="shared" si="3"/>
        <v>110</v>
      </c>
      <c r="B111" s="6" t="str">
        <f>_xlfn.XLOOKUP(C111,Tab_Def_Flows[Flow_Name],Tab_Def_Flows[Flow_ID],,0,)</f>
        <v>F_00_02</v>
      </c>
      <c r="C111" s="138" t="s">
        <v>472</v>
      </c>
      <c r="D111" s="9" t="str">
        <f>_xlfn.XLOOKUP(C111,Tab_Def_Flows[Flow_Name],Tab_Def_Flows[WC?],,0,)</f>
        <v>Yes</v>
      </c>
      <c r="E111" s="9" t="str">
        <f>_xlfn.XLOOKUP(C111,Tab_Def_Flows[Flow_Name],Tab_Def_Flows[DM?],,0,)</f>
        <v>Yes</v>
      </c>
      <c r="F111" s="9" t="str">
        <f>_xlfn.XLOOKUP(C111,Tab_Def_Flows[Flow_Name],Tab_Def_Flows[CC?],,0,)</f>
        <v>Yes</v>
      </c>
      <c r="G111" s="7">
        <v>2033</v>
      </c>
      <c r="H111" s="21">
        <v>333460.40553599998</v>
      </c>
      <c r="I111" s="6" t="str">
        <f>'0_Configuration'!$C$4</f>
        <v>Mg</v>
      </c>
      <c r="J111" s="13"/>
      <c r="K111" s="13"/>
      <c r="L111" s="13"/>
      <c r="M111" s="13"/>
      <c r="N111" s="13"/>
      <c r="O111" s="7" t="s">
        <v>6</v>
      </c>
      <c r="P111" s="7"/>
      <c r="Q111" s="7"/>
      <c r="R111" s="6" t="str">
        <f>Tab_Data_Flows[[#This Row],[Flow_ID]]&amp;"_"&amp;"material_"&amp;Tab_Data_Flows[[#This Row],[Flow_Data_Year]]</f>
        <v>F_00_02_material_2033</v>
      </c>
      <c r="S111" s="12">
        <f t="shared" si="2"/>
        <v>333460.40553599998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F_00_02_WC_2033</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F_00_02_DM_2033</v>
      </c>
      <c r="AA111" s="6">
        <f>IF(E111="Yes",Y111*Tab_Data_Flows[[#This Row],[Flow_Material]],"N.A.")</f>
        <v>333460.40553599998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F_00_02_CC_2033</v>
      </c>
      <c r="AE111" s="6">
        <f>IF(F111="Yes",AC111*Tab_Data_Flows[[#This Row],[Flow_Material]]*Tab_Data_Flows[[#This Row],[DM_'[%']]],"N.A.")</f>
        <v>333460.40553599998</v>
      </c>
      <c r="AF111" s="6" t="str">
        <f>Tab_Data_Flows[[#This Row],[UoM_Flow_Py]]</f>
        <v>Mg</v>
      </c>
      <c r="AG111"/>
    </row>
    <row r="112" spans="1:33" x14ac:dyDescent="0.25">
      <c r="A112" s="8">
        <f t="shared" si="3"/>
        <v>111</v>
      </c>
      <c r="B112" s="6" t="str">
        <f>_xlfn.XLOOKUP(C112,Tab_Def_Flows[Flow_Name],Tab_Def_Flows[Flow_ID],,0,)</f>
        <v>F_00_02</v>
      </c>
      <c r="C112" s="138" t="s">
        <v>472</v>
      </c>
      <c r="D112" s="9" t="str">
        <f>_xlfn.XLOOKUP(C112,Tab_Def_Flows[Flow_Name],Tab_Def_Flows[WC?],,0,)</f>
        <v>Yes</v>
      </c>
      <c r="E112" s="9" t="str">
        <f>_xlfn.XLOOKUP(C112,Tab_Def_Flows[Flow_Name],Tab_Def_Flows[DM?],,0,)</f>
        <v>Yes</v>
      </c>
      <c r="F112" s="9" t="str">
        <f>_xlfn.XLOOKUP(C112,Tab_Def_Flows[Flow_Name],Tab_Def_Flows[CC?],,0,)</f>
        <v>Yes</v>
      </c>
      <c r="G112" s="7">
        <v>2034</v>
      </c>
      <c r="H112" s="21">
        <v>320953.02374400001</v>
      </c>
      <c r="I112" s="6" t="str">
        <f>'0_Configuration'!$C$4</f>
        <v>Mg</v>
      </c>
      <c r="J112" s="13"/>
      <c r="K112" s="13"/>
      <c r="L112" s="13"/>
      <c r="M112" s="13"/>
      <c r="N112" s="13"/>
      <c r="O112" s="7" t="s">
        <v>6</v>
      </c>
      <c r="P112" s="7"/>
      <c r="Q112" s="7"/>
      <c r="R112" s="6" t="str">
        <f>Tab_Data_Flows[[#This Row],[Flow_ID]]&amp;"_"&amp;"material_"&amp;Tab_Data_Flows[[#This Row],[Flow_Data_Year]]</f>
        <v>F_00_02_material_2034</v>
      </c>
      <c r="S112" s="12">
        <f t="shared" si="2"/>
        <v>320953.02374400001</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F_00_02_WC_2034</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F_00_02_DM_2034</v>
      </c>
      <c r="AA112" s="6">
        <f>IF(E112="Yes",Y112*Tab_Data_Flows[[#This Row],[Flow_Material]],"N.A.")</f>
        <v>320953.02374400001</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F_00_02_CC_2034</v>
      </c>
      <c r="AE112" s="6">
        <f>IF(F112="Yes",AC112*Tab_Data_Flows[[#This Row],[Flow_Material]]*Tab_Data_Flows[[#This Row],[DM_'[%']]],"N.A.")</f>
        <v>320953.02374400001</v>
      </c>
      <c r="AF112" s="6" t="str">
        <f>Tab_Data_Flows[[#This Row],[UoM_Flow_Py]]</f>
        <v>Mg</v>
      </c>
      <c r="AG112"/>
    </row>
    <row r="113" spans="1:33" x14ac:dyDescent="0.25">
      <c r="A113" s="8">
        <f t="shared" si="3"/>
        <v>112</v>
      </c>
      <c r="B113" s="6" t="str">
        <f>_xlfn.XLOOKUP(C113,Tab_Def_Flows[Flow_Name],Tab_Def_Flows[Flow_ID],,0,)</f>
        <v>F_00_02</v>
      </c>
      <c r="C113" s="138" t="s">
        <v>472</v>
      </c>
      <c r="D113" s="9" t="str">
        <f>_xlfn.XLOOKUP(C113,Tab_Def_Flows[Flow_Name],Tab_Def_Flows[WC?],,0,)</f>
        <v>Yes</v>
      </c>
      <c r="E113" s="9" t="str">
        <f>_xlfn.XLOOKUP(C113,Tab_Def_Flows[Flow_Name],Tab_Def_Flows[DM?],,0,)</f>
        <v>Yes</v>
      </c>
      <c r="F113" s="9" t="str">
        <f>_xlfn.XLOOKUP(C113,Tab_Def_Flows[Flow_Name],Tab_Def_Flows[CC?],,0,)</f>
        <v>Yes</v>
      </c>
      <c r="G113" s="7">
        <v>2035</v>
      </c>
      <c r="H113" s="21">
        <v>335625.252576</v>
      </c>
      <c r="I113" s="6" t="str">
        <f>'0_Configuration'!$C$4</f>
        <v>Mg</v>
      </c>
      <c r="J113" s="13"/>
      <c r="K113" s="13"/>
      <c r="L113" s="13"/>
      <c r="M113" s="13"/>
      <c r="N113" s="13"/>
      <c r="O113" s="7" t="s">
        <v>6</v>
      </c>
      <c r="P113" s="7"/>
      <c r="Q113" s="7"/>
      <c r="R113" s="6" t="str">
        <f>Tab_Data_Flows[[#This Row],[Flow_ID]]&amp;"_"&amp;"material_"&amp;Tab_Data_Flows[[#This Row],[Flow_Data_Year]]</f>
        <v>F_00_02_material_2035</v>
      </c>
      <c r="S113" s="12">
        <f t="shared" si="2"/>
        <v>335625.252576</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F_00_02_WC_2035</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F_00_02_DM_2035</v>
      </c>
      <c r="AA113" s="6">
        <f>IF(E113="Yes",Y113*Tab_Data_Flows[[#This Row],[Flow_Material]],"N.A.")</f>
        <v>335625.252576</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F_00_02_CC_2035</v>
      </c>
      <c r="AE113" s="6">
        <f>IF(F113="Yes",AC113*Tab_Data_Flows[[#This Row],[Flow_Material]]*Tab_Data_Flows[[#This Row],[DM_'[%']]],"N.A.")</f>
        <v>335625.252576</v>
      </c>
      <c r="AF113" s="6" t="str">
        <f>Tab_Data_Flows[[#This Row],[UoM_Flow_Py]]</f>
        <v>Mg</v>
      </c>
      <c r="AG113"/>
    </row>
    <row r="114" spans="1:33" x14ac:dyDescent="0.25">
      <c r="A114" s="8">
        <f t="shared" si="3"/>
        <v>113</v>
      </c>
      <c r="B114" s="6" t="str">
        <f>_xlfn.XLOOKUP(C114,Tab_Def_Flows[Flow_Name],Tab_Def_Flows[Flow_ID],,0,)</f>
        <v>F_00_02</v>
      </c>
      <c r="C114" s="138" t="s">
        <v>472</v>
      </c>
      <c r="D114" s="9" t="str">
        <f>_xlfn.XLOOKUP(C114,Tab_Def_Flows[Flow_Name],Tab_Def_Flows[WC?],,0,)</f>
        <v>Yes</v>
      </c>
      <c r="E114" s="9" t="str">
        <f>_xlfn.XLOOKUP(C114,Tab_Def_Flows[Flow_Name],Tab_Def_Flows[DM?],,0,)</f>
        <v>Yes</v>
      </c>
      <c r="F114" s="9" t="str">
        <f>_xlfn.XLOOKUP(C114,Tab_Def_Flows[Flow_Name],Tab_Def_Flows[CC?],,0,)</f>
        <v>Yes</v>
      </c>
      <c r="G114" s="7">
        <v>2036</v>
      </c>
      <c r="H114" s="21">
        <v>383171.75472000003</v>
      </c>
      <c r="I114" s="6" t="str">
        <f>'0_Configuration'!$C$4</f>
        <v>Mg</v>
      </c>
      <c r="J114" s="13"/>
      <c r="K114" s="13"/>
      <c r="L114" s="13"/>
      <c r="M114" s="13"/>
      <c r="N114" s="13"/>
      <c r="O114" s="7" t="s">
        <v>6</v>
      </c>
      <c r="P114" s="7"/>
      <c r="Q114" s="7"/>
      <c r="R114" s="6" t="str">
        <f>Tab_Data_Flows[[#This Row],[Flow_ID]]&amp;"_"&amp;"material_"&amp;Tab_Data_Flows[[#This Row],[Flow_Data_Year]]</f>
        <v>F_00_02_material_2036</v>
      </c>
      <c r="S114" s="12">
        <f t="shared" si="2"/>
        <v>383171.75472000003</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F_00_02_WC_2036</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F_00_02_DM_2036</v>
      </c>
      <c r="AA114" s="6">
        <f>IF(E114="Yes",Y114*Tab_Data_Flows[[#This Row],[Flow_Material]],"N.A.")</f>
        <v>383171.75472000003</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F_00_02_CC_2036</v>
      </c>
      <c r="AE114" s="6">
        <f>IF(F114="Yes",AC114*Tab_Data_Flows[[#This Row],[Flow_Material]]*Tab_Data_Flows[[#This Row],[DM_'[%']]],"N.A.")</f>
        <v>383171.75472000003</v>
      </c>
      <c r="AF114" s="6" t="str">
        <f>Tab_Data_Flows[[#This Row],[UoM_Flow_Py]]</f>
        <v>Mg</v>
      </c>
      <c r="AG114"/>
    </row>
    <row r="115" spans="1:33" x14ac:dyDescent="0.25">
      <c r="A115" s="8">
        <f t="shared" si="3"/>
        <v>114</v>
      </c>
      <c r="B115" s="6" t="str">
        <f>_xlfn.XLOOKUP(C115,Tab_Def_Flows[Flow_Name],Tab_Def_Flows[Flow_ID],,0,)</f>
        <v>F_00_02</v>
      </c>
      <c r="C115" s="138" t="s">
        <v>472</v>
      </c>
      <c r="D115" s="9" t="str">
        <f>_xlfn.XLOOKUP(C115,Tab_Def_Flows[Flow_Name],Tab_Def_Flows[WC?],,0,)</f>
        <v>Yes</v>
      </c>
      <c r="E115" s="9" t="str">
        <f>_xlfn.XLOOKUP(C115,Tab_Def_Flows[Flow_Name],Tab_Def_Flows[DM?],,0,)</f>
        <v>Yes</v>
      </c>
      <c r="F115" s="9" t="str">
        <f>_xlfn.XLOOKUP(C115,Tab_Def_Flows[Flow_Name],Tab_Def_Flows[CC?],,0,)</f>
        <v>Yes</v>
      </c>
      <c r="G115" s="7">
        <v>2037</v>
      </c>
      <c r="H115" s="21">
        <v>311578.78569599998</v>
      </c>
      <c r="I115" s="6" t="str">
        <f>'0_Configuration'!$C$4</f>
        <v>Mg</v>
      </c>
      <c r="J115" s="13"/>
      <c r="K115" s="13"/>
      <c r="L115" s="13"/>
      <c r="M115" s="13"/>
      <c r="N115" s="13"/>
      <c r="O115" s="7" t="s">
        <v>6</v>
      </c>
      <c r="P115" s="7"/>
      <c r="Q115" s="7"/>
      <c r="R115" s="6" t="str">
        <f>Tab_Data_Flows[[#This Row],[Flow_ID]]&amp;"_"&amp;"material_"&amp;Tab_Data_Flows[[#This Row],[Flow_Data_Year]]</f>
        <v>F_00_02_material_2037</v>
      </c>
      <c r="S115" s="12">
        <f t="shared" si="2"/>
        <v>311578.78569599998</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F_00_02_WC_2037</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F_00_02_DM_2037</v>
      </c>
      <c r="AA115" s="6">
        <f>IF(E115="Yes",Y115*Tab_Data_Flows[[#This Row],[Flow_Material]],"N.A.")</f>
        <v>311578.78569599998</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F_00_02_CC_2037</v>
      </c>
      <c r="AE115" s="6">
        <f>IF(F115="Yes",AC115*Tab_Data_Flows[[#This Row],[Flow_Material]]*Tab_Data_Flows[[#This Row],[DM_'[%']]],"N.A.")</f>
        <v>311578.78569599998</v>
      </c>
      <c r="AF115" s="6" t="str">
        <f>Tab_Data_Flows[[#This Row],[UoM_Flow_Py]]</f>
        <v>Mg</v>
      </c>
      <c r="AG115"/>
    </row>
    <row r="116" spans="1:33" x14ac:dyDescent="0.25">
      <c r="A116" s="8">
        <f t="shared" si="3"/>
        <v>115</v>
      </c>
      <c r="B116" s="6" t="str">
        <f>_xlfn.XLOOKUP(C116,Tab_Def_Flows[Flow_Name],Tab_Def_Flows[Flow_ID],,0,)</f>
        <v>F_00_02</v>
      </c>
      <c r="C116" s="138" t="s">
        <v>472</v>
      </c>
      <c r="D116" s="9" t="str">
        <f>_xlfn.XLOOKUP(C116,Tab_Def_Flows[Flow_Name],Tab_Def_Flows[WC?],,0,)</f>
        <v>Yes</v>
      </c>
      <c r="E116" s="9" t="str">
        <f>_xlfn.XLOOKUP(C116,Tab_Def_Flows[Flow_Name],Tab_Def_Flows[DM?],,0,)</f>
        <v>Yes</v>
      </c>
      <c r="F116" s="9" t="str">
        <f>_xlfn.XLOOKUP(C116,Tab_Def_Flows[Flow_Name],Tab_Def_Flows[CC?],,0,)</f>
        <v>Yes</v>
      </c>
      <c r="G116" s="7">
        <v>2038</v>
      </c>
      <c r="H116" s="21">
        <v>309259.62575999997</v>
      </c>
      <c r="I116" s="6" t="str">
        <f>'0_Configuration'!$C$4</f>
        <v>Mg</v>
      </c>
      <c r="J116" s="13"/>
      <c r="K116" s="13"/>
      <c r="L116" s="13"/>
      <c r="M116" s="13"/>
      <c r="N116" s="13"/>
      <c r="O116" s="7" t="s">
        <v>6</v>
      </c>
      <c r="P116" s="7"/>
      <c r="Q116" s="7"/>
      <c r="R116" s="6" t="str">
        <f>Tab_Data_Flows[[#This Row],[Flow_ID]]&amp;"_"&amp;"material_"&amp;Tab_Data_Flows[[#This Row],[Flow_Data_Year]]</f>
        <v>F_00_02_material_2038</v>
      </c>
      <c r="S116" s="12">
        <f t="shared" si="2"/>
        <v>309259.62575999997</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F_00_02_WC_2038</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F_00_02_DM_2038</v>
      </c>
      <c r="AA116" s="6">
        <f>IF(E116="Yes",Y116*Tab_Data_Flows[[#This Row],[Flow_Material]],"N.A.")</f>
        <v>309259.62575999997</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F_00_02_CC_2038</v>
      </c>
      <c r="AE116" s="6">
        <f>IF(F116="Yes",AC116*Tab_Data_Flows[[#This Row],[Flow_Material]]*Tab_Data_Flows[[#This Row],[DM_'[%']]],"N.A.")</f>
        <v>309259.62575999997</v>
      </c>
      <c r="AF116" s="6" t="str">
        <f>Tab_Data_Flows[[#This Row],[UoM_Flow_Py]]</f>
        <v>Mg</v>
      </c>
      <c r="AG116"/>
    </row>
    <row r="117" spans="1:33" x14ac:dyDescent="0.25">
      <c r="A117" s="8">
        <f t="shared" si="3"/>
        <v>116</v>
      </c>
      <c r="B117" s="6" t="str">
        <f>_xlfn.XLOOKUP(C117,Tab_Def_Flows[Flow_Name],Tab_Def_Flows[Flow_ID],,0,)</f>
        <v>F_00_02</v>
      </c>
      <c r="C117" s="138" t="s">
        <v>472</v>
      </c>
      <c r="D117" s="9" t="str">
        <f>_xlfn.XLOOKUP(C117,Tab_Def_Flows[Flow_Name],Tab_Def_Flows[WC?],,0,)</f>
        <v>Yes</v>
      </c>
      <c r="E117" s="9" t="str">
        <f>_xlfn.XLOOKUP(C117,Tab_Def_Flows[Flow_Name],Tab_Def_Flows[DM?],,0,)</f>
        <v>Yes</v>
      </c>
      <c r="F117" s="9" t="str">
        <f>_xlfn.XLOOKUP(C117,Tab_Def_Flows[Flow_Name],Tab_Def_Flows[CC?],,0,)</f>
        <v>Yes</v>
      </c>
      <c r="G117" s="7">
        <v>2039</v>
      </c>
      <c r="H117" s="21">
        <v>358329.12460799998</v>
      </c>
      <c r="I117" s="6" t="str">
        <f>'0_Configuration'!$C$4</f>
        <v>Mg</v>
      </c>
      <c r="J117" s="13"/>
      <c r="K117" s="13"/>
      <c r="L117" s="13"/>
      <c r="M117" s="13"/>
      <c r="N117" s="13"/>
      <c r="O117" s="7" t="s">
        <v>6</v>
      </c>
      <c r="P117" s="7"/>
      <c r="Q117" s="7"/>
      <c r="R117" s="6" t="str">
        <f>Tab_Data_Flows[[#This Row],[Flow_ID]]&amp;"_"&amp;"material_"&amp;Tab_Data_Flows[[#This Row],[Flow_Data_Year]]</f>
        <v>F_00_02_material_2039</v>
      </c>
      <c r="S117" s="12">
        <f t="shared" si="2"/>
        <v>358329.12460799998</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F_00_02_WC_2039</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F_00_02_DM_2039</v>
      </c>
      <c r="AA117" s="6">
        <f>IF(E117="Yes",Y117*Tab_Data_Flows[[#This Row],[Flow_Material]],"N.A.")</f>
        <v>358329.12460799998</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F_00_02_CC_2039</v>
      </c>
      <c r="AE117" s="6">
        <f>IF(F117="Yes",AC117*Tab_Data_Flows[[#This Row],[Flow_Material]]*Tab_Data_Flows[[#This Row],[DM_'[%']]],"N.A.")</f>
        <v>358329.12460799998</v>
      </c>
      <c r="AF117" s="6" t="str">
        <f>Tab_Data_Flows[[#This Row],[UoM_Flow_Py]]</f>
        <v>Mg</v>
      </c>
      <c r="AG117"/>
    </row>
    <row r="118" spans="1:33" x14ac:dyDescent="0.25">
      <c r="A118" s="8">
        <f t="shared" si="3"/>
        <v>117</v>
      </c>
      <c r="B118" s="6" t="str">
        <f>_xlfn.XLOOKUP(C118,Tab_Def_Flows[Flow_Name],Tab_Def_Flows[Flow_ID],,0,)</f>
        <v>F_00_02</v>
      </c>
      <c r="C118" s="138" t="s">
        <v>472</v>
      </c>
      <c r="D118" s="9" t="str">
        <f>_xlfn.XLOOKUP(C118,Tab_Def_Flows[Flow_Name],Tab_Def_Flows[WC?],,0,)</f>
        <v>Yes</v>
      </c>
      <c r="E118" s="9" t="str">
        <f>_xlfn.XLOOKUP(C118,Tab_Def_Flows[Flow_Name],Tab_Def_Flows[DM?],,0,)</f>
        <v>Yes</v>
      </c>
      <c r="F118" s="9" t="str">
        <f>_xlfn.XLOOKUP(C118,Tab_Def_Flows[Flow_Name],Tab_Def_Flows[CC?],,0,)</f>
        <v>Yes</v>
      </c>
      <c r="G118" s="7">
        <v>2040</v>
      </c>
      <c r="H118" s="21">
        <v>308499.566016</v>
      </c>
      <c r="I118" s="6" t="str">
        <f>'0_Configuration'!$C$4</f>
        <v>Mg</v>
      </c>
      <c r="J118" s="13"/>
      <c r="K118" s="13"/>
      <c r="L118" s="13"/>
      <c r="M118" s="13"/>
      <c r="N118" s="13"/>
      <c r="O118" s="7" t="s">
        <v>6</v>
      </c>
      <c r="P118" s="14"/>
      <c r="Q118" s="7"/>
      <c r="R118" s="6" t="str">
        <f>Tab_Data_Flows[[#This Row],[Flow_ID]]&amp;"_"&amp;"material_"&amp;Tab_Data_Flows[[#This Row],[Flow_Data_Year]]</f>
        <v>F_00_02_material_2040</v>
      </c>
      <c r="S118" s="12">
        <f t="shared" si="2"/>
        <v>308499.566016</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F_00_02_WC_2040</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F_00_02_DM_2040</v>
      </c>
      <c r="AA118" s="6">
        <f>IF(E118="Yes",Y118*Tab_Data_Flows[[#This Row],[Flow_Material]],"N.A.")</f>
        <v>308499.566016</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F_00_02_CC_2040</v>
      </c>
      <c r="AE118" s="6">
        <f>IF(F118="Yes",AC118*Tab_Data_Flows[[#This Row],[Flow_Material]]*Tab_Data_Flows[[#This Row],[DM_'[%']]],"N.A.")</f>
        <v>308499.566016</v>
      </c>
      <c r="AF118" s="6" t="str">
        <f>Tab_Data_Flows[[#This Row],[UoM_Flow_Py]]</f>
        <v>Mg</v>
      </c>
      <c r="AG118"/>
    </row>
    <row r="119" spans="1:33" x14ac:dyDescent="0.25">
      <c r="A119" s="8">
        <f t="shared" si="3"/>
        <v>118</v>
      </c>
      <c r="B119" s="6" t="str">
        <f>_xlfn.XLOOKUP(C119,Tab_Def_Flows[Flow_Name],Tab_Def_Flows[Flow_ID],,0,)</f>
        <v>F_00_02</v>
      </c>
      <c r="C119" s="138" t="s">
        <v>472</v>
      </c>
      <c r="D119" s="9" t="str">
        <f>_xlfn.XLOOKUP(C119,Tab_Def_Flows[Flow_Name],Tab_Def_Flows[WC?],,0,)</f>
        <v>Yes</v>
      </c>
      <c r="E119" s="9" t="str">
        <f>_xlfn.XLOOKUP(C119,Tab_Def_Flows[Flow_Name],Tab_Def_Flows[DM?],,0,)</f>
        <v>Yes</v>
      </c>
      <c r="F119" s="9" t="str">
        <f>_xlfn.XLOOKUP(C119,Tab_Def_Flows[Flow_Name],Tab_Def_Flows[CC?],,0,)</f>
        <v>Yes</v>
      </c>
      <c r="G119" s="7">
        <v>2041</v>
      </c>
      <c r="H119" s="21">
        <v>324734.11900800001</v>
      </c>
      <c r="I119" s="6" t="str">
        <f>'0_Configuration'!$C$4</f>
        <v>Mg</v>
      </c>
      <c r="J119" s="13"/>
      <c r="K119" s="13"/>
      <c r="L119" s="13"/>
      <c r="M119" s="13"/>
      <c r="N119" s="13"/>
      <c r="O119" s="7" t="s">
        <v>6</v>
      </c>
      <c r="P119" s="14"/>
      <c r="Q119" s="7"/>
      <c r="R119" s="6" t="str">
        <f>Tab_Data_Flows[[#This Row],[Flow_ID]]&amp;"_"&amp;"material_"&amp;Tab_Data_Flows[[#This Row],[Flow_Data_Year]]</f>
        <v>F_00_02_material_2041</v>
      </c>
      <c r="S119" s="12">
        <f t="shared" si="2"/>
        <v>324734.11900800001</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F_00_02_WC_2041</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F_00_02_DM_2041</v>
      </c>
      <c r="AA119" s="6">
        <f>IF(E119="Yes",Y119*Tab_Data_Flows[[#This Row],[Flow_Material]],"N.A.")</f>
        <v>324734.11900800001</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F_00_02_CC_2041</v>
      </c>
      <c r="AE119" s="6">
        <f>IF(F119="Yes",AC119*Tab_Data_Flows[[#This Row],[Flow_Material]]*Tab_Data_Flows[[#This Row],[DM_'[%']]],"N.A.")</f>
        <v>324734.11900800001</v>
      </c>
      <c r="AF119" s="6" t="str">
        <f>Tab_Data_Flows[[#This Row],[UoM_Flow_Py]]</f>
        <v>Mg</v>
      </c>
      <c r="AG119"/>
    </row>
    <row r="120" spans="1:33" x14ac:dyDescent="0.25">
      <c r="A120" s="8">
        <f t="shared" si="3"/>
        <v>119</v>
      </c>
      <c r="B120" s="6" t="str">
        <f>_xlfn.XLOOKUP(C120,Tab_Def_Flows[Flow_Name],Tab_Def_Flows[Flow_ID],,0,)</f>
        <v>F_00_02</v>
      </c>
      <c r="C120" s="138" t="s">
        <v>472</v>
      </c>
      <c r="D120" s="9" t="str">
        <f>_xlfn.XLOOKUP(C120,Tab_Def_Flows[Flow_Name],Tab_Def_Flows[WC?],,0,)</f>
        <v>Yes</v>
      </c>
      <c r="E120" s="9" t="str">
        <f>_xlfn.XLOOKUP(C120,Tab_Def_Flows[Flow_Name],Tab_Def_Flows[DM?],,0,)</f>
        <v>Yes</v>
      </c>
      <c r="F120" s="9" t="str">
        <f>_xlfn.XLOOKUP(C120,Tab_Def_Flows[Flow_Name],Tab_Def_Flows[CC?],,0,)</f>
        <v>Yes</v>
      </c>
      <c r="G120" s="7">
        <v>2042</v>
      </c>
      <c r="H120" s="21">
        <v>312294.63043199998</v>
      </c>
      <c r="I120" s="6" t="str">
        <f>'0_Configuration'!$C$4</f>
        <v>Mg</v>
      </c>
      <c r="J120" s="13"/>
      <c r="K120" s="13"/>
      <c r="L120" s="13"/>
      <c r="M120" s="13"/>
      <c r="N120" s="13"/>
      <c r="O120" s="7" t="s">
        <v>6</v>
      </c>
      <c r="P120" s="14"/>
      <c r="Q120" s="7"/>
      <c r="R120" s="6" t="str">
        <f>Tab_Data_Flows[[#This Row],[Flow_ID]]&amp;"_"&amp;"material_"&amp;Tab_Data_Flows[[#This Row],[Flow_Data_Year]]</f>
        <v>F_00_02_material_2042</v>
      </c>
      <c r="S120" s="12">
        <f t="shared" si="2"/>
        <v>312294.63043199998</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F_00_02_WC_2042</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F_00_02_DM_2042</v>
      </c>
      <c r="AA120" s="6">
        <f>IF(E120="Yes",Y120*Tab_Data_Flows[[#This Row],[Flow_Material]],"N.A.")</f>
        <v>312294.63043199998</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F_00_02_CC_2042</v>
      </c>
      <c r="AE120" s="6">
        <f>IF(F120="Yes",AC120*Tab_Data_Flows[[#This Row],[Flow_Material]]*Tab_Data_Flows[[#This Row],[DM_'[%']]],"N.A.")</f>
        <v>312294.63043199998</v>
      </c>
      <c r="AF120" s="6" t="str">
        <f>Tab_Data_Flows[[#This Row],[UoM_Flow_Py]]</f>
        <v>Mg</v>
      </c>
      <c r="AG120"/>
    </row>
    <row r="121" spans="1:33" x14ac:dyDescent="0.25">
      <c r="A121" s="8">
        <f t="shared" si="3"/>
        <v>120</v>
      </c>
      <c r="B121" s="6" t="str">
        <f>_xlfn.XLOOKUP(C121,Tab_Def_Flows[Flow_Name],Tab_Def_Flows[Flow_ID],,0,)</f>
        <v>F_00_02</v>
      </c>
      <c r="C121" s="138" t="s">
        <v>472</v>
      </c>
      <c r="D121" s="9" t="str">
        <f>_xlfn.XLOOKUP(C121,Tab_Def_Flows[Flow_Name],Tab_Def_Flows[WC?],,0,)</f>
        <v>Yes</v>
      </c>
      <c r="E121" s="9" t="str">
        <f>_xlfn.XLOOKUP(C121,Tab_Def_Flows[Flow_Name],Tab_Def_Flows[DM?],,0,)</f>
        <v>Yes</v>
      </c>
      <c r="F121" s="9" t="str">
        <f>_xlfn.XLOOKUP(C121,Tab_Def_Flows[Flow_Name],Tab_Def_Flows[CC?],,0,)</f>
        <v>Yes</v>
      </c>
      <c r="G121" s="7">
        <v>2043</v>
      </c>
      <c r="H121" s="21">
        <v>272421.79132799996</v>
      </c>
      <c r="I121" s="6" t="str">
        <f>'0_Configuration'!$C$4</f>
        <v>Mg</v>
      </c>
      <c r="J121" s="13"/>
      <c r="K121" s="13"/>
      <c r="L121" s="13"/>
      <c r="M121" s="13"/>
      <c r="N121" s="13"/>
      <c r="O121" s="7" t="s">
        <v>6</v>
      </c>
      <c r="P121" s="14"/>
      <c r="Q121" s="7"/>
      <c r="R121" s="6" t="str">
        <f>Tab_Data_Flows[[#This Row],[Flow_ID]]&amp;"_"&amp;"material_"&amp;Tab_Data_Flows[[#This Row],[Flow_Data_Year]]</f>
        <v>F_00_02_material_2043</v>
      </c>
      <c r="S121" s="12">
        <f t="shared" si="2"/>
        <v>272421.79132799996</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F_00_02_WC_2043</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F_00_02_DM_2043</v>
      </c>
      <c r="AA121" s="6">
        <f>IF(E121="Yes",Y121*Tab_Data_Flows[[#This Row],[Flow_Material]],"N.A.")</f>
        <v>272421.79132799996</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F_00_02_CC_2043</v>
      </c>
      <c r="AE121" s="6">
        <f>IF(F121="Yes",AC121*Tab_Data_Flows[[#This Row],[Flow_Material]]*Tab_Data_Flows[[#This Row],[DM_'[%']]],"N.A.")</f>
        <v>272421.79132799996</v>
      </c>
      <c r="AF121" s="6" t="str">
        <f>Tab_Data_Flows[[#This Row],[UoM_Flow_Py]]</f>
        <v>Mg</v>
      </c>
      <c r="AG121"/>
    </row>
    <row r="122" spans="1:33" x14ac:dyDescent="0.25">
      <c r="A122" s="8">
        <f t="shared" si="3"/>
        <v>121</v>
      </c>
      <c r="B122" s="6" t="str">
        <f>_xlfn.XLOOKUP(C122,Tab_Def_Flows[Flow_Name],Tab_Def_Flows[Flow_ID],,0,)</f>
        <v>F_00_02</v>
      </c>
      <c r="C122" s="138" t="s">
        <v>472</v>
      </c>
      <c r="D122" s="9" t="str">
        <f>_xlfn.XLOOKUP(C122,Tab_Def_Flows[Flow_Name],Tab_Def_Flows[WC?],,0,)</f>
        <v>Yes</v>
      </c>
      <c r="E122" s="9" t="str">
        <f>_xlfn.XLOOKUP(C122,Tab_Def_Flows[Flow_Name],Tab_Def_Flows[DM?],,0,)</f>
        <v>Yes</v>
      </c>
      <c r="F122" s="9" t="str">
        <f>_xlfn.XLOOKUP(C122,Tab_Def_Flows[Flow_Name],Tab_Def_Flows[CC?],,0,)</f>
        <v>Yes</v>
      </c>
      <c r="G122" s="7">
        <v>2044</v>
      </c>
      <c r="H122" s="21">
        <v>260534.298912</v>
      </c>
      <c r="I122" s="6" t="str">
        <f>'0_Configuration'!$C$4</f>
        <v>Mg</v>
      </c>
      <c r="J122" s="13"/>
      <c r="K122" s="13"/>
      <c r="L122" s="13"/>
      <c r="M122" s="13"/>
      <c r="N122" s="13"/>
      <c r="O122" s="7" t="s">
        <v>6</v>
      </c>
      <c r="P122" s="14"/>
      <c r="Q122" s="7"/>
      <c r="R122" s="6" t="str">
        <f>Tab_Data_Flows[[#This Row],[Flow_ID]]&amp;"_"&amp;"material_"&amp;Tab_Data_Flows[[#This Row],[Flow_Data_Year]]</f>
        <v>F_00_02_material_2044</v>
      </c>
      <c r="S122" s="12">
        <f t="shared" si="2"/>
        <v>260534.298912</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F_00_02_WC_2044</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F_00_02_DM_2044</v>
      </c>
      <c r="AA122" s="6">
        <f>IF(E122="Yes",Y122*Tab_Data_Flows[[#This Row],[Flow_Material]],"N.A.")</f>
        <v>260534.298912</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F_00_02_CC_2044</v>
      </c>
      <c r="AE122" s="6">
        <f>IF(F122="Yes",AC122*Tab_Data_Flows[[#This Row],[Flow_Material]]*Tab_Data_Flows[[#This Row],[DM_'[%']]],"N.A.")</f>
        <v>260534.298912</v>
      </c>
      <c r="AF122" s="6" t="str">
        <f>Tab_Data_Flows[[#This Row],[UoM_Flow_Py]]</f>
        <v>Mg</v>
      </c>
      <c r="AG122"/>
    </row>
    <row r="123" spans="1:33" x14ac:dyDescent="0.25">
      <c r="A123" s="8">
        <f t="shared" si="3"/>
        <v>122</v>
      </c>
      <c r="B123" s="6" t="str">
        <f>_xlfn.XLOOKUP(C123,Tab_Def_Flows[Flow_Name],Tab_Def_Flows[Flow_ID],,0,)</f>
        <v>F_00_02</v>
      </c>
      <c r="C123" s="138" t="s">
        <v>472</v>
      </c>
      <c r="D123" s="9" t="str">
        <f>_xlfn.XLOOKUP(C123,Tab_Def_Flows[Flow_Name],Tab_Def_Flows[WC?],,0,)</f>
        <v>Yes</v>
      </c>
      <c r="E123" s="9" t="str">
        <f>_xlfn.XLOOKUP(C123,Tab_Def_Flows[Flow_Name],Tab_Def_Flows[DM?],,0,)</f>
        <v>Yes</v>
      </c>
      <c r="F123" s="9" t="str">
        <f>_xlfn.XLOOKUP(C123,Tab_Def_Flows[Flow_Name],Tab_Def_Flows[CC?],,0,)</f>
        <v>Yes</v>
      </c>
      <c r="G123" s="7">
        <v>2045</v>
      </c>
      <c r="H123" s="21">
        <v>392489.29468799994</v>
      </c>
      <c r="I123" s="6" t="str">
        <f>'0_Configuration'!$C$4</f>
        <v>Mg</v>
      </c>
      <c r="J123" s="13"/>
      <c r="K123" s="13"/>
      <c r="L123" s="13"/>
      <c r="M123" s="13"/>
      <c r="N123" s="13"/>
      <c r="O123" s="7" t="s">
        <v>6</v>
      </c>
      <c r="P123" s="14"/>
      <c r="Q123" s="7"/>
      <c r="R123" s="6" t="str">
        <f>Tab_Data_Flows[[#This Row],[Flow_ID]]&amp;"_"&amp;"material_"&amp;Tab_Data_Flows[[#This Row],[Flow_Data_Year]]</f>
        <v>F_00_02_material_2045</v>
      </c>
      <c r="S123" s="12">
        <f t="shared" si="2"/>
        <v>392489.29468799994</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F_00_02_WC_2045</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F_00_02_DM_2045</v>
      </c>
      <c r="AA123" s="6">
        <f>IF(E123="Yes",Y123*Tab_Data_Flows[[#This Row],[Flow_Material]],"N.A.")</f>
        <v>392489.29468799994</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F_00_02_CC_2045</v>
      </c>
      <c r="AE123" s="6">
        <f>IF(F123="Yes",AC123*Tab_Data_Flows[[#This Row],[Flow_Material]]*Tab_Data_Flows[[#This Row],[DM_'[%']]],"N.A.")</f>
        <v>392489.29468799994</v>
      </c>
      <c r="AF123" s="6" t="str">
        <f>Tab_Data_Flows[[#This Row],[UoM_Flow_Py]]</f>
        <v>Mg</v>
      </c>
      <c r="AG123"/>
    </row>
    <row r="124" spans="1:33" x14ac:dyDescent="0.25">
      <c r="A124" s="8">
        <f t="shared" si="3"/>
        <v>123</v>
      </c>
      <c r="B124" s="6" t="str">
        <f>_xlfn.XLOOKUP(C124,Tab_Def_Flows[Flow_Name],Tab_Def_Flows[Flow_ID],,0,)</f>
        <v>F_00_02</v>
      </c>
      <c r="C124" s="138" t="s">
        <v>472</v>
      </c>
      <c r="D124" s="9" t="str">
        <f>_xlfn.XLOOKUP(C124,Tab_Def_Flows[Flow_Name],Tab_Def_Flows[WC?],,0,)</f>
        <v>Yes</v>
      </c>
      <c r="E124" s="9" t="str">
        <f>_xlfn.XLOOKUP(C124,Tab_Def_Flows[Flow_Name],Tab_Def_Flows[DM?],,0,)</f>
        <v>Yes</v>
      </c>
      <c r="F124" s="9" t="str">
        <f>_xlfn.XLOOKUP(C124,Tab_Def_Flows[Flow_Name],Tab_Def_Flows[CC?],,0,)</f>
        <v>Yes</v>
      </c>
      <c r="G124" s="7">
        <v>2046</v>
      </c>
      <c r="H124" s="21">
        <v>373975.77609599999</v>
      </c>
      <c r="I124" s="6" t="str">
        <f>'0_Configuration'!$C$4</f>
        <v>Mg</v>
      </c>
      <c r="J124" s="13"/>
      <c r="K124" s="13"/>
      <c r="L124" s="13"/>
      <c r="M124" s="13"/>
      <c r="N124" s="13"/>
      <c r="O124" s="7" t="s">
        <v>6</v>
      </c>
      <c r="P124" s="14"/>
      <c r="Q124" s="7"/>
      <c r="R124" s="6" t="str">
        <f>Tab_Data_Flows[[#This Row],[Flow_ID]]&amp;"_"&amp;"material_"&amp;Tab_Data_Flows[[#This Row],[Flow_Data_Year]]</f>
        <v>F_00_02_material_2046</v>
      </c>
      <c r="S124" s="12">
        <f t="shared" si="2"/>
        <v>373975.77609599999</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F_00_02_WC_2046</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F_00_02_DM_2046</v>
      </c>
      <c r="AA124" s="6">
        <f>IF(E124="Yes",Y124*Tab_Data_Flows[[#This Row],[Flow_Material]],"N.A.")</f>
        <v>373975.77609599999</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F_00_02_CC_2046</v>
      </c>
      <c r="AE124" s="6">
        <f>IF(F124="Yes",AC124*Tab_Data_Flows[[#This Row],[Flow_Material]]*Tab_Data_Flows[[#This Row],[DM_'[%']]],"N.A.")</f>
        <v>373975.77609599999</v>
      </c>
      <c r="AF124" s="6" t="str">
        <f>Tab_Data_Flows[[#This Row],[UoM_Flow_Py]]</f>
        <v>Mg</v>
      </c>
      <c r="AG124"/>
    </row>
    <row r="125" spans="1:33" x14ac:dyDescent="0.25">
      <c r="A125" s="8">
        <f t="shared" si="3"/>
        <v>124</v>
      </c>
      <c r="B125" s="6" t="str">
        <f>_xlfn.XLOOKUP(C125,Tab_Def_Flows[Flow_Name],Tab_Def_Flows[Flow_ID],,0,)</f>
        <v>F_00_02</v>
      </c>
      <c r="C125" s="138" t="s">
        <v>472</v>
      </c>
      <c r="D125" s="9" t="str">
        <f>_xlfn.XLOOKUP(C125,Tab_Def_Flows[Flow_Name],Tab_Def_Flows[WC?],,0,)</f>
        <v>Yes</v>
      </c>
      <c r="E125" s="9" t="str">
        <f>_xlfn.XLOOKUP(C125,Tab_Def_Flows[Flow_Name],Tab_Def_Flows[DM?],,0,)</f>
        <v>Yes</v>
      </c>
      <c r="F125" s="9" t="str">
        <f>_xlfn.XLOOKUP(C125,Tab_Def_Flows[Flow_Name],Tab_Def_Flows[CC?],,0,)</f>
        <v>Yes</v>
      </c>
      <c r="G125" s="7">
        <v>2047</v>
      </c>
      <c r="H125" s="21">
        <v>300552.03907200001</v>
      </c>
      <c r="I125" s="6" t="str">
        <f>'0_Configuration'!$C$4</f>
        <v>Mg</v>
      </c>
      <c r="J125" s="13"/>
      <c r="K125" s="13"/>
      <c r="L125" s="13"/>
      <c r="M125" s="13"/>
      <c r="N125" s="13"/>
      <c r="O125" s="7" t="s">
        <v>6</v>
      </c>
      <c r="P125" s="7"/>
      <c r="Q125" s="7"/>
      <c r="R125" s="6" t="str">
        <f>Tab_Data_Flows[[#This Row],[Flow_ID]]&amp;"_"&amp;"material_"&amp;Tab_Data_Flows[[#This Row],[Flow_Data_Year]]</f>
        <v>F_00_02_material_2047</v>
      </c>
      <c r="S125" s="12">
        <f t="shared" si="2"/>
        <v>300552.03907200001</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F_00_02_WC_2047</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F_00_02_DM_2047</v>
      </c>
      <c r="AA125" s="6">
        <f>IF(E125="Yes",Y125*Tab_Data_Flows[[#This Row],[Flow_Material]],"N.A.")</f>
        <v>300552.03907200001</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F_00_02_CC_2047</v>
      </c>
      <c r="AE125" s="6">
        <f>IF(F125="Yes",AC125*Tab_Data_Flows[[#This Row],[Flow_Material]]*Tab_Data_Flows[[#This Row],[DM_'[%']]],"N.A.")</f>
        <v>300552.03907200001</v>
      </c>
      <c r="AF125" s="6" t="str">
        <f>Tab_Data_Flows[[#This Row],[UoM_Flow_Py]]</f>
        <v>Mg</v>
      </c>
      <c r="AG125"/>
    </row>
    <row r="126" spans="1:33" x14ac:dyDescent="0.25">
      <c r="A126" s="8">
        <f t="shared" si="3"/>
        <v>125</v>
      </c>
      <c r="B126" s="6" t="str">
        <f>_xlfn.XLOOKUP(C126,Tab_Def_Flows[Flow_Name],Tab_Def_Flows[Flow_ID],,0,)</f>
        <v>F_00_02</v>
      </c>
      <c r="C126" s="138" t="s">
        <v>472</v>
      </c>
      <c r="D126" s="9" t="str">
        <f>_xlfn.XLOOKUP(C126,Tab_Def_Flows[Flow_Name],Tab_Def_Flows[WC?],,0,)</f>
        <v>Yes</v>
      </c>
      <c r="E126" s="9" t="str">
        <f>_xlfn.XLOOKUP(C126,Tab_Def_Flows[Flow_Name],Tab_Def_Flows[DM?],,0,)</f>
        <v>Yes</v>
      </c>
      <c r="F126" s="9" t="str">
        <f>_xlfn.XLOOKUP(C126,Tab_Def_Flows[Flow_Name],Tab_Def_Flows[CC?],,0,)</f>
        <v>Yes</v>
      </c>
      <c r="G126" s="7">
        <v>2048</v>
      </c>
      <c r="H126" s="21">
        <v>370895.15702399996</v>
      </c>
      <c r="I126" s="6" t="str">
        <f>'0_Configuration'!$C$4</f>
        <v>Mg</v>
      </c>
      <c r="J126" s="13"/>
      <c r="K126" s="13"/>
      <c r="L126" s="13"/>
      <c r="M126" s="13"/>
      <c r="N126" s="13"/>
      <c r="O126" s="7" t="s">
        <v>6</v>
      </c>
      <c r="P126" s="7"/>
      <c r="Q126" s="7"/>
      <c r="R126" s="6" t="str">
        <f>Tab_Data_Flows[[#This Row],[Flow_ID]]&amp;"_"&amp;"material_"&amp;Tab_Data_Flows[[#This Row],[Flow_Data_Year]]</f>
        <v>F_00_02_material_2048</v>
      </c>
      <c r="S126" s="12">
        <f t="shared" si="2"/>
        <v>370895.15702399996</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F_00_02_WC_2048</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F_00_02_DM_2048</v>
      </c>
      <c r="AA126" s="6">
        <f>IF(E126="Yes",Y126*Tab_Data_Flows[[#This Row],[Flow_Material]],"N.A.")</f>
        <v>370895.15702399996</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F_00_02_CC_2048</v>
      </c>
      <c r="AE126" s="6">
        <f>IF(F126="Yes",AC126*Tab_Data_Flows[[#This Row],[Flow_Material]]*Tab_Data_Flows[[#This Row],[DM_'[%']]],"N.A.")</f>
        <v>370895.15702399996</v>
      </c>
      <c r="AF126" s="6" t="str">
        <f>Tab_Data_Flows[[#This Row],[UoM_Flow_Py]]</f>
        <v>Mg</v>
      </c>
      <c r="AG126"/>
    </row>
    <row r="127" spans="1:33" x14ac:dyDescent="0.25">
      <c r="A127" s="8">
        <f t="shared" si="3"/>
        <v>126</v>
      </c>
      <c r="B127" s="6" t="str">
        <f>_xlfn.XLOOKUP(C127,Tab_Def_Flows[Flow_Name],Tab_Def_Flows[Flow_ID],,0,)</f>
        <v>F_00_02</v>
      </c>
      <c r="C127" s="138" t="s">
        <v>472</v>
      </c>
      <c r="D127" s="9" t="str">
        <f>_xlfn.XLOOKUP(C127,Tab_Def_Flows[Flow_Name],Tab_Def_Flows[WC?],,0,)</f>
        <v>Yes</v>
      </c>
      <c r="E127" s="9" t="str">
        <f>_xlfn.XLOOKUP(C127,Tab_Def_Flows[Flow_Name],Tab_Def_Flows[DM?],,0,)</f>
        <v>Yes</v>
      </c>
      <c r="F127" s="9" t="str">
        <f>_xlfn.XLOOKUP(C127,Tab_Def_Flows[Flow_Name],Tab_Def_Flows[CC?],,0,)</f>
        <v>Yes</v>
      </c>
      <c r="G127" s="7">
        <v>2049</v>
      </c>
      <c r="H127" s="21">
        <v>352280.32079999999</v>
      </c>
      <c r="I127" s="6" t="str">
        <f>'0_Configuration'!$C$4</f>
        <v>Mg</v>
      </c>
      <c r="J127" s="13"/>
      <c r="K127" s="13"/>
      <c r="L127" s="13"/>
      <c r="M127" s="13"/>
      <c r="N127" s="13"/>
      <c r="O127" s="7" t="s">
        <v>6</v>
      </c>
      <c r="P127" s="7"/>
      <c r="Q127" s="7"/>
      <c r="R127" s="6" t="str">
        <f>Tab_Data_Flows[[#This Row],[Flow_ID]]&amp;"_"&amp;"material_"&amp;Tab_Data_Flows[[#This Row],[Flow_Data_Year]]</f>
        <v>F_00_02_material_2049</v>
      </c>
      <c r="S127" s="12">
        <f t="shared" si="2"/>
        <v>352280.32079999999</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F_00_02_WC_2049</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F_00_02_DM_2049</v>
      </c>
      <c r="AA127" s="6">
        <f>IF(E127="Yes",Y127*Tab_Data_Flows[[#This Row],[Flow_Material]],"N.A.")</f>
        <v>352280.32079999999</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F_00_02_CC_2049</v>
      </c>
      <c r="AE127" s="6">
        <f>IF(F127="Yes",AC127*Tab_Data_Flows[[#This Row],[Flow_Material]]*Tab_Data_Flows[[#This Row],[DM_'[%']]],"N.A.")</f>
        <v>352280.32079999999</v>
      </c>
      <c r="AF127" s="6" t="str">
        <f>Tab_Data_Flows[[#This Row],[UoM_Flow_Py]]</f>
        <v>Mg</v>
      </c>
      <c r="AG127"/>
    </row>
    <row r="128" spans="1:33" x14ac:dyDescent="0.25">
      <c r="A128" s="8">
        <f t="shared" si="3"/>
        <v>127</v>
      </c>
      <c r="B128" s="6" t="str">
        <f>_xlfn.XLOOKUP(C128,Tab_Def_Flows[Flow_Name],Tab_Def_Flows[Flow_ID],,0,)</f>
        <v>F_00_02</v>
      </c>
      <c r="C128" s="138" t="s">
        <v>472</v>
      </c>
      <c r="D128" s="9" t="str">
        <f>_xlfn.XLOOKUP(C128,Tab_Def_Flows[Flow_Name],Tab_Def_Flows[WC?],,0,)</f>
        <v>Yes</v>
      </c>
      <c r="E128" s="9" t="str">
        <f>_xlfn.XLOOKUP(C128,Tab_Def_Flows[Flow_Name],Tab_Def_Flows[DM?],,0,)</f>
        <v>Yes</v>
      </c>
      <c r="F128" s="9" t="str">
        <f>_xlfn.XLOOKUP(C128,Tab_Def_Flows[Flow_Name],Tab_Def_Flows[CC?],,0,)</f>
        <v>Yes</v>
      </c>
      <c r="G128" s="7">
        <v>2050</v>
      </c>
      <c r="H128" s="21">
        <v>282886.20115199999</v>
      </c>
      <c r="I128" s="6" t="str">
        <f>'0_Configuration'!$C$4</f>
        <v>Mg</v>
      </c>
      <c r="J128" s="13"/>
      <c r="K128" s="13"/>
      <c r="L128" s="13"/>
      <c r="M128" s="13"/>
      <c r="N128" s="13"/>
      <c r="O128" s="7" t="s">
        <v>6</v>
      </c>
      <c r="P128" s="7"/>
      <c r="Q128" s="7"/>
      <c r="R128" s="6" t="str">
        <f>Tab_Data_Flows[[#This Row],[Flow_ID]]&amp;"_"&amp;"material_"&amp;Tab_Data_Flows[[#This Row],[Flow_Data_Year]]</f>
        <v>F_00_02_material_2050</v>
      </c>
      <c r="S128" s="12">
        <f t="shared" si="2"/>
        <v>282886.20115199999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F_00_02_WC_2050</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F_00_02_DM_2050</v>
      </c>
      <c r="AA128" s="6">
        <f>IF(E128="Yes",Y128*Tab_Data_Flows[[#This Row],[Flow_Material]],"N.A.")</f>
        <v>282886.20115199999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F_00_02_CC_2050</v>
      </c>
      <c r="AE128" s="6">
        <f>IF(F128="Yes",AC128*Tab_Data_Flows[[#This Row],[Flow_Material]]*Tab_Data_Flows[[#This Row],[DM_'[%']]],"N.A.")</f>
        <v>282886.20115199999</v>
      </c>
      <c r="AF128" s="6" t="str">
        <f>Tab_Data_Flows[[#This Row],[UoM_Flow_Py]]</f>
        <v>Mg</v>
      </c>
      <c r="AG128"/>
    </row>
    <row r="129" spans="1:33" x14ac:dyDescent="0.25">
      <c r="A129" s="8">
        <f t="shared" si="3"/>
        <v>128</v>
      </c>
      <c r="B129" s="6" t="str">
        <f>_xlfn.XLOOKUP(C129,Tab_Def_Flows[Flow_Name],Tab_Def_Flows[Flow_ID],,0,)</f>
        <v>F_00_02</v>
      </c>
      <c r="C129" s="138" t="s">
        <v>472</v>
      </c>
      <c r="D129" s="9" t="str">
        <f>_xlfn.XLOOKUP(C129,Tab_Def_Flows[Flow_Name],Tab_Def_Flows[WC?],,0,)</f>
        <v>Yes</v>
      </c>
      <c r="E129" s="9" t="str">
        <f>_xlfn.XLOOKUP(C129,Tab_Def_Flows[Flow_Name],Tab_Def_Flows[DM?],,0,)</f>
        <v>Yes</v>
      </c>
      <c r="F129" s="9" t="str">
        <f>_xlfn.XLOOKUP(C129,Tab_Def_Flows[Flow_Name],Tab_Def_Flows[CC?],,0,)</f>
        <v>Yes</v>
      </c>
      <c r="G129" s="7">
        <v>2051</v>
      </c>
      <c r="H129" s="21">
        <v>418337.81107199995</v>
      </c>
      <c r="I129" s="6" t="str">
        <f>'0_Configuration'!$C$4</f>
        <v>Mg</v>
      </c>
      <c r="J129" s="13"/>
      <c r="K129" s="13"/>
      <c r="L129" s="13"/>
      <c r="M129" s="13"/>
      <c r="N129" s="13"/>
      <c r="O129" s="7" t="s">
        <v>6</v>
      </c>
      <c r="P129" s="7"/>
      <c r="Q129" s="7"/>
      <c r="R129" s="6" t="str">
        <f>Tab_Data_Flows[[#This Row],[Flow_ID]]&amp;"_"&amp;"material_"&amp;Tab_Data_Flows[[#This Row],[Flow_Data_Year]]</f>
        <v>F_00_02_material_2051</v>
      </c>
      <c r="S129" s="12">
        <f t="shared" si="2"/>
        <v>418337.81107199995</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F_00_02_WC_2051</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F_00_02_DM_2051</v>
      </c>
      <c r="AA129" s="6">
        <f>IF(E129="Yes",Y129*Tab_Data_Flows[[#This Row],[Flow_Material]],"N.A.")</f>
        <v>418337.81107199995</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F_00_02_CC_2051</v>
      </c>
      <c r="AE129" s="6">
        <f>IF(F129="Yes",AC129*Tab_Data_Flows[[#This Row],[Flow_Material]]*Tab_Data_Flows[[#This Row],[DM_'[%']]],"N.A.")</f>
        <v>418337.81107199995</v>
      </c>
      <c r="AF129" s="6" t="str">
        <f>Tab_Data_Flows[[#This Row],[UoM_Flow_Py]]</f>
        <v>Mg</v>
      </c>
      <c r="AG129"/>
    </row>
    <row r="130" spans="1:33" x14ac:dyDescent="0.25">
      <c r="A130" s="8">
        <f t="shared" si="3"/>
        <v>129</v>
      </c>
      <c r="B130" s="6" t="str">
        <f>_xlfn.XLOOKUP(C130,Tab_Def_Flows[Flow_Name],Tab_Def_Flows[Flow_ID],,0,)</f>
        <v>F_00_02</v>
      </c>
      <c r="C130" s="138" t="s">
        <v>472</v>
      </c>
      <c r="D130" s="9" t="str">
        <f>_xlfn.XLOOKUP(C130,Tab_Def_Flows[Flow_Name],Tab_Def_Flows[WC?],,0,)</f>
        <v>Yes</v>
      </c>
      <c r="E130" s="9" t="str">
        <f>_xlfn.XLOOKUP(C130,Tab_Def_Flows[Flow_Name],Tab_Def_Flows[DM?],,0,)</f>
        <v>Yes</v>
      </c>
      <c r="F130" s="9" t="str">
        <f>_xlfn.XLOOKUP(C130,Tab_Def_Flows[Flow_Name],Tab_Def_Flows[CC?],,0,)</f>
        <v>Yes</v>
      </c>
      <c r="G130" s="7">
        <v>2052</v>
      </c>
      <c r="H130" s="21">
        <v>390208.68201599998</v>
      </c>
      <c r="I130" s="6" t="str">
        <f>'0_Configuration'!$C$4</f>
        <v>Mg</v>
      </c>
      <c r="J130" s="13"/>
      <c r="K130" s="13"/>
      <c r="L130" s="13"/>
      <c r="M130" s="13"/>
      <c r="N130" s="13"/>
      <c r="O130" s="7" t="s">
        <v>6</v>
      </c>
      <c r="P130" s="7"/>
      <c r="Q130" s="7"/>
      <c r="R130" s="6" t="str">
        <f>Tab_Data_Flows[[#This Row],[Flow_ID]]&amp;"_"&amp;"material_"&amp;Tab_Data_Flows[[#This Row],[Flow_Data_Year]]</f>
        <v>F_00_02_material_2052</v>
      </c>
      <c r="S130" s="12">
        <f t="shared" ref="S130:S193" si="4">IF(O130="no",H130,H130*P130)</f>
        <v>390208.68201599998</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F_00_02_WC_2052</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F_00_02_DM_2052</v>
      </c>
      <c r="AA130" s="6">
        <f>IF(E130="Yes",Y130*Tab_Data_Flows[[#This Row],[Flow_Material]],"N.A.")</f>
        <v>390208.68201599998</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F_00_02_CC_2052</v>
      </c>
      <c r="AE130" s="6">
        <f>IF(F130="Yes",AC130*Tab_Data_Flows[[#This Row],[Flow_Material]]*Tab_Data_Flows[[#This Row],[DM_'[%']]],"N.A.")</f>
        <v>390208.68201599998</v>
      </c>
      <c r="AF130" s="6" t="str">
        <f>Tab_Data_Flows[[#This Row],[UoM_Flow_Py]]</f>
        <v>Mg</v>
      </c>
      <c r="AG130"/>
    </row>
    <row r="131" spans="1:33" x14ac:dyDescent="0.25">
      <c r="A131" s="8">
        <f t="shared" ref="A131:A194" si="5">ROW()-1</f>
        <v>130</v>
      </c>
      <c r="B131" s="6" t="str">
        <f>_xlfn.XLOOKUP(C131,Tab_Def_Flows[Flow_Name],Tab_Def_Flows[Flow_ID],,0,)</f>
        <v>F_00_02</v>
      </c>
      <c r="C131" s="138" t="s">
        <v>472</v>
      </c>
      <c r="D131" s="9" t="str">
        <f>_xlfn.XLOOKUP(C131,Tab_Def_Flows[Flow_Name],Tab_Def_Flows[WC?],,0,)</f>
        <v>Yes</v>
      </c>
      <c r="E131" s="9" t="str">
        <f>_xlfn.XLOOKUP(C131,Tab_Def_Flows[Flow_Name],Tab_Def_Flows[DM?],,0,)</f>
        <v>Yes</v>
      </c>
      <c r="F131" s="9" t="str">
        <f>_xlfn.XLOOKUP(C131,Tab_Def_Flows[Flow_Name],Tab_Def_Flows[CC?],,0,)</f>
        <v>Yes</v>
      </c>
      <c r="G131" s="7">
        <v>2053</v>
      </c>
      <c r="H131" s="21">
        <v>338532.48739199998</v>
      </c>
      <c r="I131" s="6" t="str">
        <f>'0_Configuration'!$C$4</f>
        <v>Mg</v>
      </c>
      <c r="J131" s="13"/>
      <c r="K131" s="13"/>
      <c r="L131" s="13"/>
      <c r="M131" s="13"/>
      <c r="N131" s="13"/>
      <c r="O131" s="7" t="s">
        <v>6</v>
      </c>
      <c r="P131" s="7"/>
      <c r="Q131" s="7"/>
      <c r="R131" s="6" t="str">
        <f>Tab_Data_Flows[[#This Row],[Flow_ID]]&amp;"_"&amp;"material_"&amp;Tab_Data_Flows[[#This Row],[Flow_Data_Year]]</f>
        <v>F_00_02_material_2053</v>
      </c>
      <c r="S131" s="12">
        <f t="shared" si="4"/>
        <v>338532.48739199998</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F_00_02_WC_2053</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F_00_02_DM_2053</v>
      </c>
      <c r="AA131" s="6">
        <f>IF(E131="Yes",Y131*Tab_Data_Flows[[#This Row],[Flow_Material]],"N.A.")</f>
        <v>338532.48739199998</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F_00_02_CC_2053</v>
      </c>
      <c r="AE131" s="6">
        <f>IF(F131="Yes",AC131*Tab_Data_Flows[[#This Row],[Flow_Material]]*Tab_Data_Flows[[#This Row],[DM_'[%']]],"N.A.")</f>
        <v>338532.48739199998</v>
      </c>
      <c r="AF131" s="6" t="str">
        <f>Tab_Data_Flows[[#This Row],[UoM_Flow_Py]]</f>
        <v>Mg</v>
      </c>
      <c r="AG131"/>
    </row>
    <row r="132" spans="1:33" x14ac:dyDescent="0.25">
      <c r="A132" s="8">
        <f t="shared" si="5"/>
        <v>131</v>
      </c>
      <c r="B132" s="6" t="str">
        <f>_xlfn.XLOOKUP(C132,Tab_Def_Flows[Flow_Name],Tab_Def_Flows[Flow_ID],,0,)</f>
        <v>F_00_02</v>
      </c>
      <c r="C132" s="138" t="s">
        <v>472</v>
      </c>
      <c r="D132" s="9" t="str">
        <f>_xlfn.XLOOKUP(C132,Tab_Def_Flows[Flow_Name],Tab_Def_Flows[WC?],,0,)</f>
        <v>Yes</v>
      </c>
      <c r="E132" s="9" t="str">
        <f>_xlfn.XLOOKUP(C132,Tab_Def_Flows[Flow_Name],Tab_Def_Flows[DM?],,0,)</f>
        <v>Yes</v>
      </c>
      <c r="F132" s="9" t="str">
        <f>_xlfn.XLOOKUP(C132,Tab_Def_Flows[Flow_Name],Tab_Def_Flows[CC?],,0,)</f>
        <v>Yes</v>
      </c>
      <c r="G132" s="7">
        <v>2054</v>
      </c>
      <c r="H132" s="21">
        <v>382147.04476799996</v>
      </c>
      <c r="I132" s="6" t="str">
        <f>'0_Configuration'!$C$4</f>
        <v>Mg</v>
      </c>
      <c r="J132" s="13"/>
      <c r="K132" s="13"/>
      <c r="L132" s="13"/>
      <c r="M132" s="13"/>
      <c r="N132" s="13"/>
      <c r="O132" s="7" t="s">
        <v>6</v>
      </c>
      <c r="P132" s="7"/>
      <c r="Q132" s="7"/>
      <c r="R132" s="6" t="str">
        <f>Tab_Data_Flows[[#This Row],[Flow_ID]]&amp;"_"&amp;"material_"&amp;Tab_Data_Flows[[#This Row],[Flow_Data_Year]]</f>
        <v>F_00_02_material_2054</v>
      </c>
      <c r="S132" s="12">
        <f t="shared" si="4"/>
        <v>382147.04476799996</v>
      </c>
      <c r="T132" s="6" t="str">
        <f>Tab_Data_Flows[[#This Row],[UoM_Source]]</f>
        <v>Mg</v>
      </c>
      <c r="U132" s="139">
        <f>INDEX(Tab_Def_Flows[[Flow_ID]:[CC_DM_source]],MATCH(Tab_Data_Flows[[#This Row],[Flow_Name]],Tab_Def_Flows[Flow_Name],0),11)</f>
        <v>0</v>
      </c>
      <c r="V132" s="6" t="str">
        <f>Tab_Data_Flows[[#This Row],[Flow_ID]]&amp;"_"&amp;"WC_"&amp;Tab_Data_Flows[[#This Row],[Flow_Data_Year]]</f>
        <v>F_00_02_WC_2054</v>
      </c>
      <c r="W132" s="6">
        <f>IF(D132="Yes",S132*Tab_Data_Flows[[#This Row],[WC_'[%']]],"N.A.")</f>
        <v>0</v>
      </c>
      <c r="X132" s="6" t="str">
        <f>Tab_Data_Flows[[#This Row],[UoM_Flow_Py]]</f>
        <v>Mg</v>
      </c>
      <c r="Y132" s="139">
        <f>INDEX(Tab_Def_Flows[[Flow_ID]:[CC_DM_source]],MATCH(Tab_Data_Flows[[#This Row],[Flow_Name]],Tab_Def_Flows[Flow_Name],0),14)</f>
        <v>1</v>
      </c>
      <c r="Z132" s="6" t="str">
        <f>Tab_Data_Flows[[#This Row],[Flow_ID]]&amp;"_"&amp;"DM_"&amp;Tab_Data_Flows[[#This Row],[Flow_Data_Year]]</f>
        <v>F_00_02_DM_2054</v>
      </c>
      <c r="AA132" s="6">
        <f>IF(E132="Yes",Y132*Tab_Data_Flows[[#This Row],[Flow_Material]],"N.A.")</f>
        <v>382147.04476799996</v>
      </c>
      <c r="AB132" s="6" t="str">
        <f>Tab_Data_Flows[[#This Row],[UoM_Flow_Py]]</f>
        <v>Mg</v>
      </c>
      <c r="AC132" s="139">
        <f>INDEX(Tab_Def_Flows[[Flow_ID]:[CC_DM_source]],MATCH(Tab_Data_Flows[[#This Row],[Flow_Name]],Tab_Def_Flows[Flow_Name],0),17)</f>
        <v>1</v>
      </c>
      <c r="AD132" s="6" t="str">
        <f>Tab_Data_Flows[[#This Row],[Flow_ID]]&amp;"_"&amp;"CC_"&amp;Tab_Data_Flows[[#This Row],[Flow_Data_Year]]</f>
        <v>F_00_02_CC_2054</v>
      </c>
      <c r="AE132" s="6">
        <f>IF(F132="Yes",AC132*Tab_Data_Flows[[#This Row],[Flow_Material]]*Tab_Data_Flows[[#This Row],[DM_'[%']]],"N.A.")</f>
        <v>382147.04476799996</v>
      </c>
      <c r="AF132" s="6" t="str">
        <f>Tab_Data_Flows[[#This Row],[UoM_Flow_Py]]</f>
        <v>Mg</v>
      </c>
      <c r="AG132"/>
    </row>
    <row r="133" spans="1:33" x14ac:dyDescent="0.25">
      <c r="A133" s="8">
        <f t="shared" si="5"/>
        <v>132</v>
      </c>
      <c r="B133" s="6" t="str">
        <f>_xlfn.XLOOKUP(C133,Tab_Def_Flows[Flow_Name],Tab_Def_Flows[Flow_ID],,0,)</f>
        <v>F_00_02</v>
      </c>
      <c r="C133" s="138" t="s">
        <v>472</v>
      </c>
      <c r="D133" s="9" t="str">
        <f>_xlfn.XLOOKUP(C133,Tab_Def_Flows[Flow_Name],Tab_Def_Flows[WC?],,0,)</f>
        <v>Yes</v>
      </c>
      <c r="E133" s="9" t="str">
        <f>_xlfn.XLOOKUP(C133,Tab_Def_Flows[Flow_Name],Tab_Def_Flows[DM?],,0,)</f>
        <v>Yes</v>
      </c>
      <c r="F133" s="9" t="str">
        <f>_xlfn.XLOOKUP(C133,Tab_Def_Flows[Flow_Name],Tab_Def_Flows[CC?],,0,)</f>
        <v>Yes</v>
      </c>
      <c r="G133" s="7">
        <v>2055</v>
      </c>
      <c r="H133" s="21">
        <v>275986.75689599995</v>
      </c>
      <c r="I133" s="6" t="str">
        <f>'0_Configuration'!$C$4</f>
        <v>Mg</v>
      </c>
      <c r="J133" s="13"/>
      <c r="K133" s="13"/>
      <c r="L133" s="13"/>
      <c r="M133" s="13"/>
      <c r="N133" s="13"/>
      <c r="O133" s="7" t="s">
        <v>6</v>
      </c>
      <c r="P133" s="7"/>
      <c r="Q133" s="7"/>
      <c r="R133" s="6" t="str">
        <f>Tab_Data_Flows[[#This Row],[Flow_ID]]&amp;"_"&amp;"material_"&amp;Tab_Data_Flows[[#This Row],[Flow_Data_Year]]</f>
        <v>F_00_02_material_2055</v>
      </c>
      <c r="S133" s="12">
        <f t="shared" si="4"/>
        <v>275986.75689599995</v>
      </c>
      <c r="T133" s="6" t="str">
        <f>Tab_Data_Flows[[#This Row],[UoM_Source]]</f>
        <v>Mg</v>
      </c>
      <c r="U133" s="139">
        <f>INDEX(Tab_Def_Flows[[Flow_ID]:[CC_DM_source]],MATCH(Tab_Data_Flows[[#This Row],[Flow_Name]],Tab_Def_Flows[Flow_Name],0),11)</f>
        <v>0</v>
      </c>
      <c r="V133" s="6" t="str">
        <f>Tab_Data_Flows[[#This Row],[Flow_ID]]&amp;"_"&amp;"WC_"&amp;Tab_Data_Flows[[#This Row],[Flow_Data_Year]]</f>
        <v>F_00_02_WC_2055</v>
      </c>
      <c r="W133" s="6">
        <f>IF(D133="Yes",S133*Tab_Data_Flows[[#This Row],[WC_'[%']]],"N.A.")</f>
        <v>0</v>
      </c>
      <c r="X133" s="6" t="str">
        <f>Tab_Data_Flows[[#This Row],[UoM_Flow_Py]]</f>
        <v>Mg</v>
      </c>
      <c r="Y133" s="139">
        <f>INDEX(Tab_Def_Flows[[Flow_ID]:[CC_DM_source]],MATCH(Tab_Data_Flows[[#This Row],[Flow_Name]],Tab_Def_Flows[Flow_Name],0),14)</f>
        <v>1</v>
      </c>
      <c r="Z133" s="6" t="str">
        <f>Tab_Data_Flows[[#This Row],[Flow_ID]]&amp;"_"&amp;"DM_"&amp;Tab_Data_Flows[[#This Row],[Flow_Data_Year]]</f>
        <v>F_00_02_DM_2055</v>
      </c>
      <c r="AA133" s="6">
        <f>IF(E133="Yes",Y133*Tab_Data_Flows[[#This Row],[Flow_Material]],"N.A.")</f>
        <v>275986.75689599995</v>
      </c>
      <c r="AB133" s="6" t="str">
        <f>Tab_Data_Flows[[#This Row],[UoM_Flow_Py]]</f>
        <v>Mg</v>
      </c>
      <c r="AC133" s="139">
        <f>INDEX(Tab_Def_Flows[[Flow_ID]:[CC_DM_source]],MATCH(Tab_Data_Flows[[#This Row],[Flow_Name]],Tab_Def_Flows[Flow_Name],0),17)</f>
        <v>1</v>
      </c>
      <c r="AD133" s="6" t="str">
        <f>Tab_Data_Flows[[#This Row],[Flow_ID]]&amp;"_"&amp;"CC_"&amp;Tab_Data_Flows[[#This Row],[Flow_Data_Year]]</f>
        <v>F_00_02_CC_2055</v>
      </c>
      <c r="AE133" s="6">
        <f>IF(F133="Yes",AC133*Tab_Data_Flows[[#This Row],[Flow_Material]]*Tab_Data_Flows[[#This Row],[DM_'[%']]],"N.A.")</f>
        <v>275986.75689599995</v>
      </c>
      <c r="AF133" s="6" t="str">
        <f>Tab_Data_Flows[[#This Row],[UoM_Flow_Py]]</f>
        <v>Mg</v>
      </c>
      <c r="AG133"/>
    </row>
    <row r="134" spans="1:33" x14ac:dyDescent="0.25">
      <c r="A134" s="8">
        <f t="shared" si="5"/>
        <v>133</v>
      </c>
      <c r="B134" s="6" t="str">
        <f>_xlfn.XLOOKUP(C134,Tab_Def_Flows[Flow_Name],Tab_Def_Flows[Flow_ID],,0,)</f>
        <v>F_00_02</v>
      </c>
      <c r="C134" s="138" t="s">
        <v>472</v>
      </c>
      <c r="D134" s="9" t="str">
        <f>_xlfn.XLOOKUP(C134,Tab_Def_Flows[Flow_Name],Tab_Def_Flows[WC?],,0,)</f>
        <v>Yes</v>
      </c>
      <c r="E134" s="9" t="str">
        <f>_xlfn.XLOOKUP(C134,Tab_Def_Flows[Flow_Name],Tab_Def_Flows[DM?],,0,)</f>
        <v>Yes</v>
      </c>
      <c r="F134" s="9" t="str">
        <f>_xlfn.XLOOKUP(C134,Tab_Def_Flows[Flow_Name],Tab_Def_Flows[CC?],,0,)</f>
        <v>Yes</v>
      </c>
      <c r="G134" s="7">
        <v>2056</v>
      </c>
      <c r="H134" s="21">
        <v>372709.98681599996</v>
      </c>
      <c r="I134" s="6" t="str">
        <f>'0_Configuration'!$C$4</f>
        <v>Mg</v>
      </c>
      <c r="J134" s="13"/>
      <c r="K134" s="13"/>
      <c r="L134" s="13"/>
      <c r="M134" s="13"/>
      <c r="N134" s="13"/>
      <c r="O134" s="7" t="s">
        <v>6</v>
      </c>
      <c r="P134" s="7"/>
      <c r="Q134" s="7"/>
      <c r="R134" s="6" t="str">
        <f>Tab_Data_Flows[[#This Row],[Flow_ID]]&amp;"_"&amp;"material_"&amp;Tab_Data_Flows[[#This Row],[Flow_Data_Year]]</f>
        <v>F_00_02_material_2056</v>
      </c>
      <c r="S134" s="12">
        <f t="shared" si="4"/>
        <v>372709.98681599996</v>
      </c>
      <c r="T134" s="6" t="str">
        <f>Tab_Data_Flows[[#This Row],[UoM_Source]]</f>
        <v>Mg</v>
      </c>
      <c r="U134" s="139">
        <f>INDEX(Tab_Def_Flows[[Flow_ID]:[CC_DM_source]],MATCH(Tab_Data_Flows[[#This Row],[Flow_Name]],Tab_Def_Flows[Flow_Name],0),11)</f>
        <v>0</v>
      </c>
      <c r="V134" s="6" t="str">
        <f>Tab_Data_Flows[[#This Row],[Flow_ID]]&amp;"_"&amp;"WC_"&amp;Tab_Data_Flows[[#This Row],[Flow_Data_Year]]</f>
        <v>F_00_02_WC_2056</v>
      </c>
      <c r="W134" s="6">
        <f>IF(D134="Yes",S134*Tab_Data_Flows[[#This Row],[WC_'[%']]],"N.A.")</f>
        <v>0</v>
      </c>
      <c r="X134" s="6" t="str">
        <f>Tab_Data_Flows[[#This Row],[UoM_Flow_Py]]</f>
        <v>Mg</v>
      </c>
      <c r="Y134" s="139">
        <f>INDEX(Tab_Def_Flows[[Flow_ID]:[CC_DM_source]],MATCH(Tab_Data_Flows[[#This Row],[Flow_Name]],Tab_Def_Flows[Flow_Name],0),14)</f>
        <v>1</v>
      </c>
      <c r="Z134" s="6" t="str">
        <f>Tab_Data_Flows[[#This Row],[Flow_ID]]&amp;"_"&amp;"DM_"&amp;Tab_Data_Flows[[#This Row],[Flow_Data_Year]]</f>
        <v>F_00_02_DM_2056</v>
      </c>
      <c r="AA134" s="6">
        <f>IF(E134="Yes",Y134*Tab_Data_Flows[[#This Row],[Flow_Material]],"N.A.")</f>
        <v>372709.98681599996</v>
      </c>
      <c r="AB134" s="6" t="str">
        <f>Tab_Data_Flows[[#This Row],[UoM_Flow_Py]]</f>
        <v>Mg</v>
      </c>
      <c r="AC134" s="139">
        <f>INDEX(Tab_Def_Flows[[Flow_ID]:[CC_DM_source]],MATCH(Tab_Data_Flows[[#This Row],[Flow_Name]],Tab_Def_Flows[Flow_Name],0),17)</f>
        <v>1</v>
      </c>
      <c r="AD134" s="6" t="str">
        <f>Tab_Data_Flows[[#This Row],[Flow_ID]]&amp;"_"&amp;"CC_"&amp;Tab_Data_Flows[[#This Row],[Flow_Data_Year]]</f>
        <v>F_00_02_CC_2056</v>
      </c>
      <c r="AE134" s="6">
        <f>IF(F134="Yes",AC134*Tab_Data_Flows[[#This Row],[Flow_Material]]*Tab_Data_Flows[[#This Row],[DM_'[%']]],"N.A.")</f>
        <v>372709.98681599996</v>
      </c>
      <c r="AF134" s="6" t="str">
        <f>Tab_Data_Flows[[#This Row],[UoM_Flow_Py]]</f>
        <v>Mg</v>
      </c>
      <c r="AG134"/>
    </row>
    <row r="135" spans="1:33" x14ac:dyDescent="0.25">
      <c r="A135" s="8">
        <f t="shared" si="5"/>
        <v>134</v>
      </c>
      <c r="B135" s="6" t="str">
        <f>_xlfn.XLOOKUP(C135,Tab_Def_Flows[Flow_Name],Tab_Def_Flows[Flow_ID],,0,)</f>
        <v>F_00_02</v>
      </c>
      <c r="C135" s="138" t="s">
        <v>472</v>
      </c>
      <c r="D135" s="9" t="str">
        <f>_xlfn.XLOOKUP(C135,Tab_Def_Flows[Flow_Name],Tab_Def_Flows[WC?],,0,)</f>
        <v>Yes</v>
      </c>
      <c r="E135" s="9" t="str">
        <f>_xlfn.XLOOKUP(C135,Tab_Def_Flows[Flow_Name],Tab_Def_Flows[DM?],,0,)</f>
        <v>Yes</v>
      </c>
      <c r="F135" s="9" t="str">
        <f>_xlfn.XLOOKUP(C135,Tab_Def_Flows[Flow_Name],Tab_Def_Flows[CC?],,0,)</f>
        <v>Yes</v>
      </c>
      <c r="G135" s="7">
        <v>2057</v>
      </c>
      <c r="H135" s="21">
        <v>408695.69884799997</v>
      </c>
      <c r="I135" s="6" t="str">
        <f>'0_Configuration'!$C$4</f>
        <v>Mg</v>
      </c>
      <c r="J135" s="13"/>
      <c r="K135" s="13"/>
      <c r="L135" s="13"/>
      <c r="M135" s="13"/>
      <c r="N135" s="13"/>
      <c r="O135" s="7" t="s">
        <v>6</v>
      </c>
      <c r="P135" s="7"/>
      <c r="Q135" s="7"/>
      <c r="R135" s="6" t="str">
        <f>Tab_Data_Flows[[#This Row],[Flow_ID]]&amp;"_"&amp;"material_"&amp;Tab_Data_Flows[[#This Row],[Flow_Data_Year]]</f>
        <v>F_00_02_material_2057</v>
      </c>
      <c r="S135" s="12">
        <f t="shared" si="4"/>
        <v>408695.69884799997</v>
      </c>
      <c r="T135" s="6" t="str">
        <f>Tab_Data_Flows[[#This Row],[UoM_Source]]</f>
        <v>Mg</v>
      </c>
      <c r="U135" s="139">
        <f>INDEX(Tab_Def_Flows[[Flow_ID]:[CC_DM_source]],MATCH(Tab_Data_Flows[[#This Row],[Flow_Name]],Tab_Def_Flows[Flow_Name],0),11)</f>
        <v>0</v>
      </c>
      <c r="V135" s="6" t="str">
        <f>Tab_Data_Flows[[#This Row],[Flow_ID]]&amp;"_"&amp;"WC_"&amp;Tab_Data_Flows[[#This Row],[Flow_Data_Year]]</f>
        <v>F_00_02_WC_2057</v>
      </c>
      <c r="W135" s="6">
        <f>IF(D135="Yes",S135*Tab_Data_Flows[[#This Row],[WC_'[%']]],"N.A.")</f>
        <v>0</v>
      </c>
      <c r="X135" s="6" t="str">
        <f>Tab_Data_Flows[[#This Row],[UoM_Flow_Py]]</f>
        <v>Mg</v>
      </c>
      <c r="Y135" s="139">
        <f>INDEX(Tab_Def_Flows[[Flow_ID]:[CC_DM_source]],MATCH(Tab_Data_Flows[[#This Row],[Flow_Name]],Tab_Def_Flows[Flow_Name],0),14)</f>
        <v>1</v>
      </c>
      <c r="Z135" s="6" t="str">
        <f>Tab_Data_Flows[[#This Row],[Flow_ID]]&amp;"_"&amp;"DM_"&amp;Tab_Data_Flows[[#This Row],[Flow_Data_Year]]</f>
        <v>F_00_02_DM_2057</v>
      </c>
      <c r="AA135" s="6">
        <f>IF(E135="Yes",Y135*Tab_Data_Flows[[#This Row],[Flow_Material]],"N.A.")</f>
        <v>408695.69884799997</v>
      </c>
      <c r="AB135" s="6" t="str">
        <f>Tab_Data_Flows[[#This Row],[UoM_Flow_Py]]</f>
        <v>Mg</v>
      </c>
      <c r="AC135" s="139">
        <f>INDEX(Tab_Def_Flows[[Flow_ID]:[CC_DM_source]],MATCH(Tab_Data_Flows[[#This Row],[Flow_Name]],Tab_Def_Flows[Flow_Name],0),17)</f>
        <v>1</v>
      </c>
      <c r="AD135" s="6" t="str">
        <f>Tab_Data_Flows[[#This Row],[Flow_ID]]&amp;"_"&amp;"CC_"&amp;Tab_Data_Flows[[#This Row],[Flow_Data_Year]]</f>
        <v>F_00_02_CC_2057</v>
      </c>
      <c r="AE135" s="6">
        <f>IF(F135="Yes",AC135*Tab_Data_Flows[[#This Row],[Flow_Material]]*Tab_Data_Flows[[#This Row],[DM_'[%']]],"N.A.")</f>
        <v>408695.69884799997</v>
      </c>
      <c r="AF135" s="6" t="str">
        <f>Tab_Data_Flows[[#This Row],[UoM_Flow_Py]]</f>
        <v>Mg</v>
      </c>
      <c r="AG135"/>
    </row>
    <row r="136" spans="1:33" x14ac:dyDescent="0.25">
      <c r="A136" s="8">
        <f t="shared" si="5"/>
        <v>135</v>
      </c>
      <c r="B136" s="6" t="str">
        <f>_xlfn.XLOOKUP(C136,Tab_Def_Flows[Flow_Name],Tab_Def_Flows[Flow_ID],,0,)</f>
        <v>F_00_02</v>
      </c>
      <c r="C136" s="138" t="s">
        <v>472</v>
      </c>
      <c r="D136" s="9" t="str">
        <f>_xlfn.XLOOKUP(C136,Tab_Def_Flows[Flow_Name],Tab_Def_Flows[WC?],,0,)</f>
        <v>Yes</v>
      </c>
      <c r="E136" s="9" t="str">
        <f>_xlfn.XLOOKUP(C136,Tab_Def_Flows[Flow_Name],Tab_Def_Flows[DM?],,0,)</f>
        <v>Yes</v>
      </c>
      <c r="F136" s="9" t="str">
        <f>_xlfn.XLOOKUP(C136,Tab_Def_Flows[Flow_Name],Tab_Def_Flows[CC?],,0,)</f>
        <v>Yes</v>
      </c>
      <c r="G136" s="7">
        <v>2058</v>
      </c>
      <c r="H136" s="21">
        <v>291742.66003199993</v>
      </c>
      <c r="I136" s="6" t="str">
        <f>'0_Configuration'!$C$4</f>
        <v>Mg</v>
      </c>
      <c r="J136" s="13"/>
      <c r="K136" s="13"/>
      <c r="L136" s="13"/>
      <c r="M136" s="13"/>
      <c r="N136" s="13"/>
      <c r="O136" s="7" t="s">
        <v>6</v>
      </c>
      <c r="P136" s="7"/>
      <c r="Q136" s="7"/>
      <c r="R136" s="6" t="str">
        <f>Tab_Data_Flows[[#This Row],[Flow_ID]]&amp;"_"&amp;"material_"&amp;Tab_Data_Flows[[#This Row],[Flow_Data_Year]]</f>
        <v>F_00_02_material_2058</v>
      </c>
      <c r="S136" s="12">
        <f t="shared" si="4"/>
        <v>291742.66003199993</v>
      </c>
      <c r="T136" s="6" t="str">
        <f>Tab_Data_Flows[[#This Row],[UoM_Source]]</f>
        <v>Mg</v>
      </c>
      <c r="U136" s="139">
        <f>INDEX(Tab_Def_Flows[[Flow_ID]:[CC_DM_source]],MATCH(Tab_Data_Flows[[#This Row],[Flow_Name]],Tab_Def_Flows[Flow_Name],0),11)</f>
        <v>0</v>
      </c>
      <c r="V136" s="6" t="str">
        <f>Tab_Data_Flows[[#This Row],[Flow_ID]]&amp;"_"&amp;"WC_"&amp;Tab_Data_Flows[[#This Row],[Flow_Data_Year]]</f>
        <v>F_00_02_WC_2058</v>
      </c>
      <c r="W136" s="6">
        <f>IF(D136="Yes",S136*Tab_Data_Flows[[#This Row],[WC_'[%']]],"N.A.")</f>
        <v>0</v>
      </c>
      <c r="X136" s="6" t="str">
        <f>Tab_Data_Flows[[#This Row],[UoM_Flow_Py]]</f>
        <v>Mg</v>
      </c>
      <c r="Y136" s="139">
        <f>INDEX(Tab_Def_Flows[[Flow_ID]:[CC_DM_source]],MATCH(Tab_Data_Flows[[#This Row],[Flow_Name]],Tab_Def_Flows[Flow_Name],0),14)</f>
        <v>1</v>
      </c>
      <c r="Z136" s="6" t="str">
        <f>Tab_Data_Flows[[#This Row],[Flow_ID]]&amp;"_"&amp;"DM_"&amp;Tab_Data_Flows[[#This Row],[Flow_Data_Year]]</f>
        <v>F_00_02_DM_2058</v>
      </c>
      <c r="AA136" s="6">
        <f>IF(E136="Yes",Y136*Tab_Data_Flows[[#This Row],[Flow_Material]],"N.A.")</f>
        <v>291742.66003199993</v>
      </c>
      <c r="AB136" s="6" t="str">
        <f>Tab_Data_Flows[[#This Row],[UoM_Flow_Py]]</f>
        <v>Mg</v>
      </c>
      <c r="AC136" s="139">
        <f>INDEX(Tab_Def_Flows[[Flow_ID]:[CC_DM_source]],MATCH(Tab_Data_Flows[[#This Row],[Flow_Name]],Tab_Def_Flows[Flow_Name],0),17)</f>
        <v>1</v>
      </c>
      <c r="AD136" s="6" t="str">
        <f>Tab_Data_Flows[[#This Row],[Flow_ID]]&amp;"_"&amp;"CC_"&amp;Tab_Data_Flows[[#This Row],[Flow_Data_Year]]</f>
        <v>F_00_02_CC_2058</v>
      </c>
      <c r="AE136" s="6">
        <f>IF(F136="Yes",AC136*Tab_Data_Flows[[#This Row],[Flow_Material]]*Tab_Data_Flows[[#This Row],[DM_'[%']]],"N.A.")</f>
        <v>291742.66003199993</v>
      </c>
      <c r="AF136" s="6" t="str">
        <f>Tab_Data_Flows[[#This Row],[UoM_Flow_Py]]</f>
        <v>Mg</v>
      </c>
      <c r="AG136"/>
    </row>
    <row r="137" spans="1:33" x14ac:dyDescent="0.25">
      <c r="A137" s="8">
        <f t="shared" si="5"/>
        <v>136</v>
      </c>
      <c r="B137" s="6" t="str">
        <f>_xlfn.XLOOKUP(C137,Tab_Def_Flows[Flow_Name],Tab_Def_Flows[Flow_ID],,0,)</f>
        <v>F_00_02</v>
      </c>
      <c r="C137" s="138" t="s">
        <v>472</v>
      </c>
      <c r="D137" s="9" t="str">
        <f>_xlfn.XLOOKUP(C137,Tab_Def_Flows[Flow_Name],Tab_Def_Flows[WC?],,0,)</f>
        <v>Yes</v>
      </c>
      <c r="E137" s="9" t="str">
        <f>_xlfn.XLOOKUP(C137,Tab_Def_Flows[Flow_Name],Tab_Def_Flows[DM?],,0,)</f>
        <v>Yes</v>
      </c>
      <c r="F137" s="9" t="str">
        <f>_xlfn.XLOOKUP(C137,Tab_Def_Flows[Flow_Name],Tab_Def_Flows[CC?],,0,)</f>
        <v>Yes</v>
      </c>
      <c r="G137" s="7">
        <v>2059</v>
      </c>
      <c r="H137" s="21">
        <v>392883.46502399992</v>
      </c>
      <c r="I137" s="6" t="str">
        <f>'0_Configuration'!$C$4</f>
        <v>Mg</v>
      </c>
      <c r="J137" s="13"/>
      <c r="K137" s="13"/>
      <c r="L137" s="13"/>
      <c r="M137" s="13"/>
      <c r="N137" s="13"/>
      <c r="O137" s="7" t="s">
        <v>6</v>
      </c>
      <c r="P137" s="7"/>
      <c r="Q137" s="7"/>
      <c r="R137" s="6" t="str">
        <f>Tab_Data_Flows[[#This Row],[Flow_ID]]&amp;"_"&amp;"material_"&amp;Tab_Data_Flows[[#This Row],[Flow_Data_Year]]</f>
        <v>F_00_02_material_2059</v>
      </c>
      <c r="S137" s="12">
        <f t="shared" si="4"/>
        <v>392883.46502399992</v>
      </c>
      <c r="T137" s="6" t="str">
        <f>Tab_Data_Flows[[#This Row],[UoM_Source]]</f>
        <v>Mg</v>
      </c>
      <c r="U137" s="139">
        <f>INDEX(Tab_Def_Flows[[Flow_ID]:[CC_DM_source]],MATCH(Tab_Data_Flows[[#This Row],[Flow_Name]],Tab_Def_Flows[Flow_Name],0),11)</f>
        <v>0</v>
      </c>
      <c r="V137" s="6" t="str">
        <f>Tab_Data_Flows[[#This Row],[Flow_ID]]&amp;"_"&amp;"WC_"&amp;Tab_Data_Flows[[#This Row],[Flow_Data_Year]]</f>
        <v>F_00_02_WC_2059</v>
      </c>
      <c r="W137" s="6">
        <f>IF(D137="Yes",S137*Tab_Data_Flows[[#This Row],[WC_'[%']]],"N.A.")</f>
        <v>0</v>
      </c>
      <c r="X137" s="6" t="str">
        <f>Tab_Data_Flows[[#This Row],[UoM_Flow_Py]]</f>
        <v>Mg</v>
      </c>
      <c r="Y137" s="139">
        <f>INDEX(Tab_Def_Flows[[Flow_ID]:[CC_DM_source]],MATCH(Tab_Data_Flows[[#This Row],[Flow_Name]],Tab_Def_Flows[Flow_Name],0),14)</f>
        <v>1</v>
      </c>
      <c r="Z137" s="6" t="str">
        <f>Tab_Data_Flows[[#This Row],[Flow_ID]]&amp;"_"&amp;"DM_"&amp;Tab_Data_Flows[[#This Row],[Flow_Data_Year]]</f>
        <v>F_00_02_DM_2059</v>
      </c>
      <c r="AA137" s="6">
        <f>IF(E137="Yes",Y137*Tab_Data_Flows[[#This Row],[Flow_Material]],"N.A.")</f>
        <v>392883.46502399992</v>
      </c>
      <c r="AB137" s="6" t="str">
        <f>Tab_Data_Flows[[#This Row],[UoM_Flow_Py]]</f>
        <v>Mg</v>
      </c>
      <c r="AC137" s="139">
        <f>INDEX(Tab_Def_Flows[[Flow_ID]:[CC_DM_source]],MATCH(Tab_Data_Flows[[#This Row],[Flow_Name]],Tab_Def_Flows[Flow_Name],0),17)</f>
        <v>1</v>
      </c>
      <c r="AD137" s="6" t="str">
        <f>Tab_Data_Flows[[#This Row],[Flow_ID]]&amp;"_"&amp;"CC_"&amp;Tab_Data_Flows[[#This Row],[Flow_Data_Year]]</f>
        <v>F_00_02_CC_2059</v>
      </c>
      <c r="AE137" s="6">
        <f>IF(F137="Yes",AC137*Tab_Data_Flows[[#This Row],[Flow_Material]]*Tab_Data_Flows[[#This Row],[DM_'[%']]],"N.A.")</f>
        <v>392883.46502399992</v>
      </c>
      <c r="AF137" s="6" t="str">
        <f>Tab_Data_Flows[[#This Row],[UoM_Flow_Py]]</f>
        <v>Mg</v>
      </c>
      <c r="AG137"/>
    </row>
    <row r="138" spans="1:33" x14ac:dyDescent="0.25">
      <c r="A138" s="8">
        <f t="shared" si="5"/>
        <v>137</v>
      </c>
      <c r="B138" s="6" t="str">
        <f>_xlfn.XLOOKUP(C138,Tab_Def_Flows[Flow_Name],Tab_Def_Flows[Flow_ID],,0,)</f>
        <v>F_00_02</v>
      </c>
      <c r="C138" s="138" t="s">
        <v>472</v>
      </c>
      <c r="D138" s="9" t="str">
        <f>_xlfn.XLOOKUP(C138,Tab_Def_Flows[Flow_Name],Tab_Def_Flows[WC?],,0,)</f>
        <v>Yes</v>
      </c>
      <c r="E138" s="9" t="str">
        <f>_xlfn.XLOOKUP(C138,Tab_Def_Flows[Flow_Name],Tab_Def_Flows[DM?],,0,)</f>
        <v>Yes</v>
      </c>
      <c r="F138" s="9" t="str">
        <f>_xlfn.XLOOKUP(C138,Tab_Def_Flows[Flow_Name],Tab_Def_Flows[CC?],,0,)</f>
        <v>Yes</v>
      </c>
      <c r="G138" s="7">
        <v>2060</v>
      </c>
      <c r="H138" s="21">
        <v>328596.44092799997</v>
      </c>
      <c r="I138" s="6" t="str">
        <f>'0_Configuration'!$C$4</f>
        <v>Mg</v>
      </c>
      <c r="J138" s="13"/>
      <c r="K138" s="13"/>
      <c r="L138" s="13"/>
      <c r="M138" s="13"/>
      <c r="N138" s="13"/>
      <c r="O138" s="7" t="s">
        <v>6</v>
      </c>
      <c r="P138" s="7"/>
      <c r="Q138" s="7"/>
      <c r="R138" s="6" t="str">
        <f>Tab_Data_Flows[[#This Row],[Flow_ID]]&amp;"_"&amp;"material_"&amp;Tab_Data_Flows[[#This Row],[Flow_Data_Year]]</f>
        <v>F_00_02_material_2060</v>
      </c>
      <c r="S138" s="12">
        <f t="shared" si="4"/>
        <v>328596.44092799997</v>
      </c>
      <c r="T138" s="6" t="str">
        <f>Tab_Data_Flows[[#This Row],[UoM_Source]]</f>
        <v>Mg</v>
      </c>
      <c r="U138" s="139">
        <f>INDEX(Tab_Def_Flows[[Flow_ID]:[CC_DM_source]],MATCH(Tab_Data_Flows[[#This Row],[Flow_Name]],Tab_Def_Flows[Flow_Name],0),11)</f>
        <v>0</v>
      </c>
      <c r="V138" s="6" t="str">
        <f>Tab_Data_Flows[[#This Row],[Flow_ID]]&amp;"_"&amp;"WC_"&amp;Tab_Data_Flows[[#This Row],[Flow_Data_Year]]</f>
        <v>F_00_02_WC_2060</v>
      </c>
      <c r="W138" s="6">
        <f>IF(D138="Yes",S138*Tab_Data_Flows[[#This Row],[WC_'[%']]],"N.A.")</f>
        <v>0</v>
      </c>
      <c r="X138" s="6" t="str">
        <f>Tab_Data_Flows[[#This Row],[UoM_Flow_Py]]</f>
        <v>Mg</v>
      </c>
      <c r="Y138" s="139">
        <f>INDEX(Tab_Def_Flows[[Flow_ID]:[CC_DM_source]],MATCH(Tab_Data_Flows[[#This Row],[Flow_Name]],Tab_Def_Flows[Flow_Name],0),14)</f>
        <v>1</v>
      </c>
      <c r="Z138" s="6" t="str">
        <f>Tab_Data_Flows[[#This Row],[Flow_ID]]&amp;"_"&amp;"DM_"&amp;Tab_Data_Flows[[#This Row],[Flow_Data_Year]]</f>
        <v>F_00_02_DM_2060</v>
      </c>
      <c r="AA138" s="6">
        <f>IF(E138="Yes",Y138*Tab_Data_Flows[[#This Row],[Flow_Material]],"N.A.")</f>
        <v>328596.44092799997</v>
      </c>
      <c r="AB138" s="6" t="str">
        <f>Tab_Data_Flows[[#This Row],[UoM_Flow_Py]]</f>
        <v>Mg</v>
      </c>
      <c r="AC138" s="139">
        <f>INDEX(Tab_Def_Flows[[Flow_ID]:[CC_DM_source]],MATCH(Tab_Data_Flows[[#This Row],[Flow_Name]],Tab_Def_Flows[Flow_Name],0),17)</f>
        <v>1</v>
      </c>
      <c r="AD138" s="6" t="str">
        <f>Tab_Data_Flows[[#This Row],[Flow_ID]]&amp;"_"&amp;"CC_"&amp;Tab_Data_Flows[[#This Row],[Flow_Data_Year]]</f>
        <v>F_00_02_CC_2060</v>
      </c>
      <c r="AE138" s="6">
        <f>IF(F138="Yes",AC138*Tab_Data_Flows[[#This Row],[Flow_Material]]*Tab_Data_Flows[[#This Row],[DM_'[%']]],"N.A.")</f>
        <v>328596.44092799997</v>
      </c>
      <c r="AF138" s="6" t="str">
        <f>Tab_Data_Flows[[#This Row],[UoM_Flow_Py]]</f>
        <v>Mg</v>
      </c>
      <c r="AG138"/>
    </row>
    <row r="139" spans="1:33" x14ac:dyDescent="0.25">
      <c r="A139" s="8">
        <f t="shared" si="5"/>
        <v>138</v>
      </c>
      <c r="B139" s="6" t="str">
        <f>_xlfn.XLOOKUP(C139,Tab_Def_Flows[Flow_Name],Tab_Def_Flows[Flow_ID],,0,)</f>
        <v>F_00_02</v>
      </c>
      <c r="C139" s="138" t="s">
        <v>472</v>
      </c>
      <c r="D139" s="9" t="str">
        <f>_xlfn.XLOOKUP(C139,Tab_Def_Flows[Flow_Name],Tab_Def_Flows[WC?],,0,)</f>
        <v>Yes</v>
      </c>
      <c r="E139" s="9" t="str">
        <f>_xlfn.XLOOKUP(C139,Tab_Def_Flows[Flow_Name],Tab_Def_Flows[DM?],,0,)</f>
        <v>Yes</v>
      </c>
      <c r="F139" s="9" t="str">
        <f>_xlfn.XLOOKUP(C139,Tab_Def_Flows[Flow_Name],Tab_Def_Flows[CC?],,0,)</f>
        <v>Yes</v>
      </c>
      <c r="G139" s="7">
        <v>2061</v>
      </c>
      <c r="H139" s="21">
        <v>399241.72847999999</v>
      </c>
      <c r="I139" s="6" t="str">
        <f>'0_Configuration'!$C$4</f>
        <v>Mg</v>
      </c>
      <c r="J139" s="13"/>
      <c r="K139" s="13"/>
      <c r="L139" s="13"/>
      <c r="M139" s="13"/>
      <c r="N139" s="13"/>
      <c r="O139" s="7" t="s">
        <v>6</v>
      </c>
      <c r="P139" s="7"/>
      <c r="Q139" s="7"/>
      <c r="R139" s="6" t="str">
        <f>Tab_Data_Flows[[#This Row],[Flow_ID]]&amp;"_"&amp;"material_"&amp;Tab_Data_Flows[[#This Row],[Flow_Data_Year]]</f>
        <v>F_00_02_material_2061</v>
      </c>
      <c r="S139" s="12">
        <f t="shared" si="4"/>
        <v>399241.72847999999</v>
      </c>
      <c r="T139" s="6" t="str">
        <f>Tab_Data_Flows[[#This Row],[UoM_Source]]</f>
        <v>Mg</v>
      </c>
      <c r="U139" s="139">
        <f>INDEX(Tab_Def_Flows[[Flow_ID]:[CC_DM_source]],MATCH(Tab_Data_Flows[[#This Row],[Flow_Name]],Tab_Def_Flows[Flow_Name],0),11)</f>
        <v>0</v>
      </c>
      <c r="V139" s="6" t="str">
        <f>Tab_Data_Flows[[#This Row],[Flow_ID]]&amp;"_"&amp;"WC_"&amp;Tab_Data_Flows[[#This Row],[Flow_Data_Year]]</f>
        <v>F_00_02_WC_2061</v>
      </c>
      <c r="W139" s="6">
        <f>IF(D139="Yes",S139*Tab_Data_Flows[[#This Row],[WC_'[%']]],"N.A.")</f>
        <v>0</v>
      </c>
      <c r="X139" s="6" t="str">
        <f>Tab_Data_Flows[[#This Row],[UoM_Flow_Py]]</f>
        <v>Mg</v>
      </c>
      <c r="Y139" s="139">
        <f>INDEX(Tab_Def_Flows[[Flow_ID]:[CC_DM_source]],MATCH(Tab_Data_Flows[[#This Row],[Flow_Name]],Tab_Def_Flows[Flow_Name],0),14)</f>
        <v>1</v>
      </c>
      <c r="Z139" s="6" t="str">
        <f>Tab_Data_Flows[[#This Row],[Flow_ID]]&amp;"_"&amp;"DM_"&amp;Tab_Data_Flows[[#This Row],[Flow_Data_Year]]</f>
        <v>F_00_02_DM_2061</v>
      </c>
      <c r="AA139" s="6">
        <f>IF(E139="Yes",Y139*Tab_Data_Flows[[#This Row],[Flow_Material]],"N.A.")</f>
        <v>399241.72847999999</v>
      </c>
      <c r="AB139" s="6" t="str">
        <f>Tab_Data_Flows[[#This Row],[UoM_Flow_Py]]</f>
        <v>Mg</v>
      </c>
      <c r="AC139" s="139">
        <f>INDEX(Tab_Def_Flows[[Flow_ID]:[CC_DM_source]],MATCH(Tab_Data_Flows[[#This Row],[Flow_Name]],Tab_Def_Flows[Flow_Name],0),17)</f>
        <v>1</v>
      </c>
      <c r="AD139" s="6" t="str">
        <f>Tab_Data_Flows[[#This Row],[Flow_ID]]&amp;"_"&amp;"CC_"&amp;Tab_Data_Flows[[#This Row],[Flow_Data_Year]]</f>
        <v>F_00_02_CC_2061</v>
      </c>
      <c r="AE139" s="6">
        <f>IF(F139="Yes",AC139*Tab_Data_Flows[[#This Row],[Flow_Material]]*Tab_Data_Flows[[#This Row],[DM_'[%']]],"N.A.")</f>
        <v>399241.72847999999</v>
      </c>
      <c r="AF139" s="6" t="str">
        <f>Tab_Data_Flows[[#This Row],[UoM_Flow_Py]]</f>
        <v>Mg</v>
      </c>
      <c r="AG139"/>
    </row>
    <row r="140" spans="1:33" x14ac:dyDescent="0.25">
      <c r="A140" s="8">
        <f t="shared" si="5"/>
        <v>139</v>
      </c>
      <c r="B140" s="6" t="str">
        <f>_xlfn.XLOOKUP(C140,Tab_Def_Flows[Flow_Name],Tab_Def_Flows[Flow_ID],,0,)</f>
        <v>F_00_02</v>
      </c>
      <c r="C140" s="138" t="s">
        <v>472</v>
      </c>
      <c r="D140" s="9" t="str">
        <f>_xlfn.XLOOKUP(C140,Tab_Def_Flows[Flow_Name],Tab_Def_Flows[WC?],,0,)</f>
        <v>Yes</v>
      </c>
      <c r="E140" s="9" t="str">
        <f>_xlfn.XLOOKUP(C140,Tab_Def_Flows[Flow_Name],Tab_Def_Flows[DM?],,0,)</f>
        <v>Yes</v>
      </c>
      <c r="F140" s="9" t="str">
        <f>_xlfn.XLOOKUP(C140,Tab_Def_Flows[Flow_Name],Tab_Def_Flows[CC?],,0,)</f>
        <v>Yes</v>
      </c>
      <c r="G140" s="7">
        <v>2062</v>
      </c>
      <c r="H140" s="21">
        <v>410050.03785600001</v>
      </c>
      <c r="I140" s="6" t="str">
        <f>'0_Configuration'!$C$4</f>
        <v>Mg</v>
      </c>
      <c r="J140" s="13"/>
      <c r="K140" s="13"/>
      <c r="L140" s="13"/>
      <c r="M140" s="13"/>
      <c r="N140" s="13"/>
      <c r="O140" s="7" t="s">
        <v>6</v>
      </c>
      <c r="P140" s="7"/>
      <c r="Q140" s="7"/>
      <c r="R140" s="6" t="str">
        <f>Tab_Data_Flows[[#This Row],[Flow_ID]]&amp;"_"&amp;"material_"&amp;Tab_Data_Flows[[#This Row],[Flow_Data_Year]]</f>
        <v>F_00_02_material_2062</v>
      </c>
      <c r="S140" s="12">
        <f t="shared" si="4"/>
        <v>410050.03785600001</v>
      </c>
      <c r="T140" s="6" t="str">
        <f>Tab_Data_Flows[[#This Row],[UoM_Source]]</f>
        <v>Mg</v>
      </c>
      <c r="U140" s="139">
        <f>INDEX(Tab_Def_Flows[[Flow_ID]:[CC_DM_source]],MATCH(Tab_Data_Flows[[#This Row],[Flow_Name]],Tab_Def_Flows[Flow_Name],0),11)</f>
        <v>0</v>
      </c>
      <c r="V140" s="6" t="str">
        <f>Tab_Data_Flows[[#This Row],[Flow_ID]]&amp;"_"&amp;"WC_"&amp;Tab_Data_Flows[[#This Row],[Flow_Data_Year]]</f>
        <v>F_00_02_WC_2062</v>
      </c>
      <c r="W140" s="6">
        <f>IF(D140="Yes",S140*Tab_Data_Flows[[#This Row],[WC_'[%']]],"N.A.")</f>
        <v>0</v>
      </c>
      <c r="X140" s="6" t="str">
        <f>Tab_Data_Flows[[#This Row],[UoM_Flow_Py]]</f>
        <v>Mg</v>
      </c>
      <c r="Y140" s="139">
        <f>INDEX(Tab_Def_Flows[[Flow_ID]:[CC_DM_source]],MATCH(Tab_Data_Flows[[#This Row],[Flow_Name]],Tab_Def_Flows[Flow_Name],0),14)</f>
        <v>1</v>
      </c>
      <c r="Z140" s="6" t="str">
        <f>Tab_Data_Flows[[#This Row],[Flow_ID]]&amp;"_"&amp;"DM_"&amp;Tab_Data_Flows[[#This Row],[Flow_Data_Year]]</f>
        <v>F_00_02_DM_2062</v>
      </c>
      <c r="AA140" s="6">
        <f>IF(E140="Yes",Y140*Tab_Data_Flows[[#This Row],[Flow_Material]],"N.A.")</f>
        <v>410050.03785600001</v>
      </c>
      <c r="AB140" s="6" t="str">
        <f>Tab_Data_Flows[[#This Row],[UoM_Flow_Py]]</f>
        <v>Mg</v>
      </c>
      <c r="AC140" s="139">
        <f>INDEX(Tab_Def_Flows[[Flow_ID]:[CC_DM_source]],MATCH(Tab_Data_Flows[[#This Row],[Flow_Name]],Tab_Def_Flows[Flow_Name],0),17)</f>
        <v>1</v>
      </c>
      <c r="AD140" s="6" t="str">
        <f>Tab_Data_Flows[[#This Row],[Flow_ID]]&amp;"_"&amp;"CC_"&amp;Tab_Data_Flows[[#This Row],[Flow_Data_Year]]</f>
        <v>F_00_02_CC_2062</v>
      </c>
      <c r="AE140" s="6">
        <f>IF(F140="Yes",AC140*Tab_Data_Flows[[#This Row],[Flow_Material]]*Tab_Data_Flows[[#This Row],[DM_'[%']]],"N.A.")</f>
        <v>410050.03785600001</v>
      </c>
      <c r="AF140" s="6" t="str">
        <f>Tab_Data_Flows[[#This Row],[UoM_Flow_Py]]</f>
        <v>Mg</v>
      </c>
      <c r="AG140"/>
    </row>
    <row r="141" spans="1:33" x14ac:dyDescent="0.25">
      <c r="A141" s="8">
        <f t="shared" si="5"/>
        <v>140</v>
      </c>
      <c r="B141" s="6" t="str">
        <f>_xlfn.XLOOKUP(C141,Tab_Def_Flows[Flow_Name],Tab_Def_Flows[Flow_ID],,0,)</f>
        <v>F_00_02</v>
      </c>
      <c r="C141" s="138" t="s">
        <v>472</v>
      </c>
      <c r="D141" s="9" t="str">
        <f>_xlfn.XLOOKUP(C141,Tab_Def_Flows[Flow_Name],Tab_Def_Flows[WC?],,0,)</f>
        <v>Yes</v>
      </c>
      <c r="E141" s="9" t="str">
        <f>_xlfn.XLOOKUP(C141,Tab_Def_Flows[Flow_Name],Tab_Def_Flows[DM?],,0,)</f>
        <v>Yes</v>
      </c>
      <c r="F141" s="9" t="str">
        <f>_xlfn.XLOOKUP(C141,Tab_Def_Flows[Flow_Name],Tab_Def_Flows[CC?],,0,)</f>
        <v>Yes</v>
      </c>
      <c r="G141" s="7">
        <v>2063</v>
      </c>
      <c r="H141" s="21">
        <v>419208.484704</v>
      </c>
      <c r="I141" s="6" t="str">
        <f>'0_Configuration'!$C$4</f>
        <v>Mg</v>
      </c>
      <c r="J141" s="13"/>
      <c r="K141" s="13"/>
      <c r="L141" s="13"/>
      <c r="M141" s="13"/>
      <c r="N141" s="13"/>
      <c r="O141" s="7" t="s">
        <v>6</v>
      </c>
      <c r="P141" s="7"/>
      <c r="Q141" s="7"/>
      <c r="R141" s="6" t="str">
        <f>Tab_Data_Flows[[#This Row],[Flow_ID]]&amp;"_"&amp;"material_"&amp;Tab_Data_Flows[[#This Row],[Flow_Data_Year]]</f>
        <v>F_00_02_material_2063</v>
      </c>
      <c r="S141" s="12">
        <f t="shared" si="4"/>
        <v>419208.484704</v>
      </c>
      <c r="T141" s="6" t="str">
        <f>Tab_Data_Flows[[#This Row],[UoM_Source]]</f>
        <v>Mg</v>
      </c>
      <c r="U141" s="139">
        <f>INDEX(Tab_Def_Flows[[Flow_ID]:[CC_DM_source]],MATCH(Tab_Data_Flows[[#This Row],[Flow_Name]],Tab_Def_Flows[Flow_Name],0),11)</f>
        <v>0</v>
      </c>
      <c r="V141" s="6" t="str">
        <f>Tab_Data_Flows[[#This Row],[Flow_ID]]&amp;"_"&amp;"WC_"&amp;Tab_Data_Flows[[#This Row],[Flow_Data_Year]]</f>
        <v>F_00_02_WC_2063</v>
      </c>
      <c r="W141" s="6">
        <f>IF(D141="Yes",S141*Tab_Data_Flows[[#This Row],[WC_'[%']]],"N.A.")</f>
        <v>0</v>
      </c>
      <c r="X141" s="6" t="str">
        <f>Tab_Data_Flows[[#This Row],[UoM_Flow_Py]]</f>
        <v>Mg</v>
      </c>
      <c r="Y141" s="139">
        <f>INDEX(Tab_Def_Flows[[Flow_ID]:[CC_DM_source]],MATCH(Tab_Data_Flows[[#This Row],[Flow_Name]],Tab_Def_Flows[Flow_Name],0),14)</f>
        <v>1</v>
      </c>
      <c r="Z141" s="6" t="str">
        <f>Tab_Data_Flows[[#This Row],[Flow_ID]]&amp;"_"&amp;"DM_"&amp;Tab_Data_Flows[[#This Row],[Flow_Data_Year]]</f>
        <v>F_00_02_DM_2063</v>
      </c>
      <c r="AA141" s="6">
        <f>IF(E141="Yes",Y141*Tab_Data_Flows[[#This Row],[Flow_Material]],"N.A.")</f>
        <v>419208.484704</v>
      </c>
      <c r="AB141" s="6" t="str">
        <f>Tab_Data_Flows[[#This Row],[UoM_Flow_Py]]</f>
        <v>Mg</v>
      </c>
      <c r="AC141" s="139">
        <f>INDEX(Tab_Def_Flows[[Flow_ID]:[CC_DM_source]],MATCH(Tab_Data_Flows[[#This Row],[Flow_Name]],Tab_Def_Flows[Flow_Name],0),17)</f>
        <v>1</v>
      </c>
      <c r="AD141" s="6" t="str">
        <f>Tab_Data_Flows[[#This Row],[Flow_ID]]&amp;"_"&amp;"CC_"&amp;Tab_Data_Flows[[#This Row],[Flow_Data_Year]]</f>
        <v>F_00_02_CC_2063</v>
      </c>
      <c r="AE141" s="6">
        <f>IF(F141="Yes",AC141*Tab_Data_Flows[[#This Row],[Flow_Material]]*Tab_Data_Flows[[#This Row],[DM_'[%']]],"N.A.")</f>
        <v>419208.484704</v>
      </c>
      <c r="AF141" s="6" t="str">
        <f>Tab_Data_Flows[[#This Row],[UoM_Flow_Py]]</f>
        <v>Mg</v>
      </c>
      <c r="AG141"/>
    </row>
    <row r="142" spans="1:33" x14ac:dyDescent="0.25">
      <c r="A142" s="8">
        <f t="shared" si="5"/>
        <v>141</v>
      </c>
      <c r="B142" s="6" t="str">
        <f>_xlfn.XLOOKUP(C142,Tab_Def_Flows[Flow_Name],Tab_Def_Flows[Flow_ID],,0,)</f>
        <v>F_00_02</v>
      </c>
      <c r="C142" s="138" t="s">
        <v>472</v>
      </c>
      <c r="D142" s="9" t="str">
        <f>_xlfn.XLOOKUP(C142,Tab_Def_Flows[Flow_Name],Tab_Def_Flows[WC?],,0,)</f>
        <v>Yes</v>
      </c>
      <c r="E142" s="9" t="str">
        <f>_xlfn.XLOOKUP(C142,Tab_Def_Flows[Flow_Name],Tab_Def_Flows[DM?],,0,)</f>
        <v>Yes</v>
      </c>
      <c r="F142" s="9" t="str">
        <f>_xlfn.XLOOKUP(C142,Tab_Def_Flows[Flow_Name],Tab_Def_Flows[CC?],,0,)</f>
        <v>Yes</v>
      </c>
      <c r="G142" s="7">
        <v>2064</v>
      </c>
      <c r="H142" s="21">
        <v>454019.28537599999</v>
      </c>
      <c r="I142" s="6" t="str">
        <f>'0_Configuration'!$C$4</f>
        <v>Mg</v>
      </c>
      <c r="J142" s="13"/>
      <c r="K142" s="13"/>
      <c r="L142" s="13"/>
      <c r="M142" s="13"/>
      <c r="N142" s="13"/>
      <c r="O142" s="7" t="s">
        <v>6</v>
      </c>
      <c r="P142" s="7"/>
      <c r="Q142" s="7"/>
      <c r="R142" s="6" t="str">
        <f>Tab_Data_Flows[[#This Row],[Flow_ID]]&amp;"_"&amp;"material_"&amp;Tab_Data_Flows[[#This Row],[Flow_Data_Year]]</f>
        <v>F_00_02_material_2064</v>
      </c>
      <c r="S142" s="12">
        <f t="shared" si="4"/>
        <v>454019.28537599999</v>
      </c>
      <c r="T142" s="6" t="str">
        <f>Tab_Data_Flows[[#This Row],[UoM_Source]]</f>
        <v>Mg</v>
      </c>
      <c r="U142" s="139">
        <f>INDEX(Tab_Def_Flows[[Flow_ID]:[CC_DM_source]],MATCH(Tab_Data_Flows[[#This Row],[Flow_Name]],Tab_Def_Flows[Flow_Name],0),11)</f>
        <v>0</v>
      </c>
      <c r="V142" s="6" t="str">
        <f>Tab_Data_Flows[[#This Row],[Flow_ID]]&amp;"_"&amp;"WC_"&amp;Tab_Data_Flows[[#This Row],[Flow_Data_Year]]</f>
        <v>F_00_02_WC_2064</v>
      </c>
      <c r="W142" s="6">
        <f>IF(D142="Yes",S142*Tab_Data_Flows[[#This Row],[WC_'[%']]],"N.A.")</f>
        <v>0</v>
      </c>
      <c r="X142" s="6" t="str">
        <f>Tab_Data_Flows[[#This Row],[UoM_Flow_Py]]</f>
        <v>Mg</v>
      </c>
      <c r="Y142" s="139">
        <f>INDEX(Tab_Def_Flows[[Flow_ID]:[CC_DM_source]],MATCH(Tab_Data_Flows[[#This Row],[Flow_Name]],Tab_Def_Flows[Flow_Name],0),14)</f>
        <v>1</v>
      </c>
      <c r="Z142" s="6" t="str">
        <f>Tab_Data_Flows[[#This Row],[Flow_ID]]&amp;"_"&amp;"DM_"&amp;Tab_Data_Flows[[#This Row],[Flow_Data_Year]]</f>
        <v>F_00_02_DM_2064</v>
      </c>
      <c r="AA142" s="6">
        <f>IF(E142="Yes",Y142*Tab_Data_Flows[[#This Row],[Flow_Material]],"N.A.")</f>
        <v>454019.28537599999</v>
      </c>
      <c r="AB142" s="6" t="str">
        <f>Tab_Data_Flows[[#This Row],[UoM_Flow_Py]]</f>
        <v>Mg</v>
      </c>
      <c r="AC142" s="139">
        <f>INDEX(Tab_Def_Flows[[Flow_ID]:[CC_DM_source]],MATCH(Tab_Data_Flows[[#This Row],[Flow_Name]],Tab_Def_Flows[Flow_Name],0),17)</f>
        <v>1</v>
      </c>
      <c r="AD142" s="6" t="str">
        <f>Tab_Data_Flows[[#This Row],[Flow_ID]]&amp;"_"&amp;"CC_"&amp;Tab_Data_Flows[[#This Row],[Flow_Data_Year]]</f>
        <v>F_00_02_CC_2064</v>
      </c>
      <c r="AE142" s="6">
        <f>IF(F142="Yes",AC142*Tab_Data_Flows[[#This Row],[Flow_Material]]*Tab_Data_Flows[[#This Row],[DM_'[%']]],"N.A.")</f>
        <v>454019.28537599999</v>
      </c>
      <c r="AF142" s="6" t="str">
        <f>Tab_Data_Flows[[#This Row],[UoM_Flow_Py]]</f>
        <v>Mg</v>
      </c>
      <c r="AG142"/>
    </row>
    <row r="143" spans="1:33" x14ac:dyDescent="0.25">
      <c r="A143" s="8">
        <f t="shared" si="5"/>
        <v>142</v>
      </c>
      <c r="B143" s="6" t="str">
        <f>_xlfn.XLOOKUP(C143,Tab_Def_Flows[Flow_Name],Tab_Def_Flows[Flow_ID],,0,)</f>
        <v>F_00_02</v>
      </c>
      <c r="C143" s="138" t="s">
        <v>472</v>
      </c>
      <c r="D143" s="9" t="str">
        <f>_xlfn.XLOOKUP(C143,Tab_Def_Flows[Flow_Name],Tab_Def_Flows[WC?],,0,)</f>
        <v>Yes</v>
      </c>
      <c r="E143" s="9" t="str">
        <f>_xlfn.XLOOKUP(C143,Tab_Def_Flows[Flow_Name],Tab_Def_Flows[DM?],,0,)</f>
        <v>Yes</v>
      </c>
      <c r="F143" s="9" t="str">
        <f>_xlfn.XLOOKUP(C143,Tab_Def_Flows[Flow_Name],Tab_Def_Flows[CC?],,0,)</f>
        <v>Yes</v>
      </c>
      <c r="G143" s="7">
        <v>2065</v>
      </c>
      <c r="H143" s="21">
        <v>350103.71308800002</v>
      </c>
      <c r="I143" s="6" t="str">
        <f>'0_Configuration'!$C$4</f>
        <v>Mg</v>
      </c>
      <c r="J143" s="13"/>
      <c r="K143" s="13"/>
      <c r="L143" s="13"/>
      <c r="M143" s="13"/>
      <c r="N143" s="13"/>
      <c r="O143" s="7" t="s">
        <v>6</v>
      </c>
      <c r="P143" s="7"/>
      <c r="Q143" s="7"/>
      <c r="R143" s="6" t="str">
        <f>Tab_Data_Flows[[#This Row],[Flow_ID]]&amp;"_"&amp;"material_"&amp;Tab_Data_Flows[[#This Row],[Flow_Data_Year]]</f>
        <v>F_00_02_material_2065</v>
      </c>
      <c r="S143" s="12">
        <f t="shared" si="4"/>
        <v>350103.71308800002</v>
      </c>
      <c r="T143" s="6" t="str">
        <f>Tab_Data_Flows[[#This Row],[UoM_Source]]</f>
        <v>Mg</v>
      </c>
      <c r="U143" s="139">
        <f>INDEX(Tab_Def_Flows[[Flow_ID]:[CC_DM_source]],MATCH(Tab_Data_Flows[[#This Row],[Flow_Name]],Tab_Def_Flows[Flow_Name],0),11)</f>
        <v>0</v>
      </c>
      <c r="V143" s="6" t="str">
        <f>Tab_Data_Flows[[#This Row],[Flow_ID]]&amp;"_"&amp;"WC_"&amp;Tab_Data_Flows[[#This Row],[Flow_Data_Year]]</f>
        <v>F_00_02_WC_2065</v>
      </c>
      <c r="W143" s="6">
        <f>IF(D143="Yes",S143*Tab_Data_Flows[[#This Row],[WC_'[%']]],"N.A.")</f>
        <v>0</v>
      </c>
      <c r="X143" s="6" t="str">
        <f>Tab_Data_Flows[[#This Row],[UoM_Flow_Py]]</f>
        <v>Mg</v>
      </c>
      <c r="Y143" s="139">
        <f>INDEX(Tab_Def_Flows[[Flow_ID]:[CC_DM_source]],MATCH(Tab_Data_Flows[[#This Row],[Flow_Name]],Tab_Def_Flows[Flow_Name],0),14)</f>
        <v>1</v>
      </c>
      <c r="Z143" s="6" t="str">
        <f>Tab_Data_Flows[[#This Row],[Flow_ID]]&amp;"_"&amp;"DM_"&amp;Tab_Data_Flows[[#This Row],[Flow_Data_Year]]</f>
        <v>F_00_02_DM_2065</v>
      </c>
      <c r="AA143" s="6">
        <f>IF(E143="Yes",Y143*Tab_Data_Flows[[#This Row],[Flow_Material]],"N.A.")</f>
        <v>350103.71308800002</v>
      </c>
      <c r="AB143" s="6" t="str">
        <f>Tab_Data_Flows[[#This Row],[UoM_Flow_Py]]</f>
        <v>Mg</v>
      </c>
      <c r="AC143" s="139">
        <f>INDEX(Tab_Def_Flows[[Flow_ID]:[CC_DM_source]],MATCH(Tab_Data_Flows[[#This Row],[Flow_Name]],Tab_Def_Flows[Flow_Name],0),17)</f>
        <v>1</v>
      </c>
      <c r="AD143" s="6" t="str">
        <f>Tab_Data_Flows[[#This Row],[Flow_ID]]&amp;"_"&amp;"CC_"&amp;Tab_Data_Flows[[#This Row],[Flow_Data_Year]]</f>
        <v>F_00_02_CC_2065</v>
      </c>
      <c r="AE143" s="6">
        <f>IF(F143="Yes",AC143*Tab_Data_Flows[[#This Row],[Flow_Material]]*Tab_Data_Flows[[#This Row],[DM_'[%']]],"N.A.")</f>
        <v>350103.71308800002</v>
      </c>
      <c r="AF143" s="6" t="str">
        <f>Tab_Data_Flows[[#This Row],[UoM_Flow_Py]]</f>
        <v>Mg</v>
      </c>
      <c r="AG143"/>
    </row>
    <row r="144" spans="1:33" x14ac:dyDescent="0.25">
      <c r="A144" s="8">
        <f t="shared" si="5"/>
        <v>143</v>
      </c>
      <c r="B144" s="6" t="str">
        <f>_xlfn.XLOOKUP(C144,Tab_Def_Flows[Flow_Name],Tab_Def_Flows[Flow_ID],,0,)</f>
        <v>F_00_02</v>
      </c>
      <c r="C144" s="138" t="s">
        <v>472</v>
      </c>
      <c r="D144" s="9" t="str">
        <f>_xlfn.XLOOKUP(C144,Tab_Def_Flows[Flow_Name],Tab_Def_Flows[WC?],,0,)</f>
        <v>Yes</v>
      </c>
      <c r="E144" s="9" t="str">
        <f>_xlfn.XLOOKUP(C144,Tab_Def_Flows[Flow_Name],Tab_Def_Flows[DM?],,0,)</f>
        <v>Yes</v>
      </c>
      <c r="F144" s="9" t="str">
        <f>_xlfn.XLOOKUP(C144,Tab_Def_Flows[Flow_Name],Tab_Def_Flows[CC?],,0,)</f>
        <v>Yes</v>
      </c>
      <c r="G144" s="7">
        <v>2066</v>
      </c>
      <c r="H144" s="21">
        <v>335165.76902399998</v>
      </c>
      <c r="I144" s="6" t="str">
        <f>'0_Configuration'!$C$4</f>
        <v>Mg</v>
      </c>
      <c r="J144" s="13"/>
      <c r="K144" s="13"/>
      <c r="L144" s="13"/>
      <c r="M144" s="13"/>
      <c r="N144" s="13"/>
      <c r="O144" s="7" t="s">
        <v>6</v>
      </c>
      <c r="P144" s="7"/>
      <c r="Q144" s="7"/>
      <c r="R144" s="6" t="str">
        <f>Tab_Data_Flows[[#This Row],[Flow_ID]]&amp;"_"&amp;"material_"&amp;Tab_Data_Flows[[#This Row],[Flow_Data_Year]]</f>
        <v>F_00_02_material_2066</v>
      </c>
      <c r="S144" s="12">
        <f t="shared" si="4"/>
        <v>335165.76902399998</v>
      </c>
      <c r="T144" s="6" t="str">
        <f>Tab_Data_Flows[[#This Row],[UoM_Source]]</f>
        <v>Mg</v>
      </c>
      <c r="U144" s="139">
        <f>INDEX(Tab_Def_Flows[[Flow_ID]:[CC_DM_source]],MATCH(Tab_Data_Flows[[#This Row],[Flow_Name]],Tab_Def_Flows[Flow_Name],0),11)</f>
        <v>0</v>
      </c>
      <c r="V144" s="6" t="str">
        <f>Tab_Data_Flows[[#This Row],[Flow_ID]]&amp;"_"&amp;"WC_"&amp;Tab_Data_Flows[[#This Row],[Flow_Data_Year]]</f>
        <v>F_00_02_WC_2066</v>
      </c>
      <c r="W144" s="6">
        <f>IF(D144="Yes",S144*Tab_Data_Flows[[#This Row],[WC_'[%']]],"N.A.")</f>
        <v>0</v>
      </c>
      <c r="X144" s="6" t="str">
        <f>Tab_Data_Flows[[#This Row],[UoM_Flow_Py]]</f>
        <v>Mg</v>
      </c>
      <c r="Y144" s="139">
        <f>INDEX(Tab_Def_Flows[[Flow_ID]:[CC_DM_source]],MATCH(Tab_Data_Flows[[#This Row],[Flow_Name]],Tab_Def_Flows[Flow_Name],0),14)</f>
        <v>1</v>
      </c>
      <c r="Z144" s="6" t="str">
        <f>Tab_Data_Flows[[#This Row],[Flow_ID]]&amp;"_"&amp;"DM_"&amp;Tab_Data_Flows[[#This Row],[Flow_Data_Year]]</f>
        <v>F_00_02_DM_2066</v>
      </c>
      <c r="AA144" s="6">
        <f>IF(E144="Yes",Y144*Tab_Data_Flows[[#This Row],[Flow_Material]],"N.A.")</f>
        <v>335165.76902399998</v>
      </c>
      <c r="AB144" s="6" t="str">
        <f>Tab_Data_Flows[[#This Row],[UoM_Flow_Py]]</f>
        <v>Mg</v>
      </c>
      <c r="AC144" s="139">
        <f>INDEX(Tab_Def_Flows[[Flow_ID]:[CC_DM_source]],MATCH(Tab_Data_Flows[[#This Row],[Flow_Name]],Tab_Def_Flows[Flow_Name],0),17)</f>
        <v>1</v>
      </c>
      <c r="AD144" s="6" t="str">
        <f>Tab_Data_Flows[[#This Row],[Flow_ID]]&amp;"_"&amp;"CC_"&amp;Tab_Data_Flows[[#This Row],[Flow_Data_Year]]</f>
        <v>F_00_02_CC_2066</v>
      </c>
      <c r="AE144" s="6">
        <f>IF(F144="Yes",AC144*Tab_Data_Flows[[#This Row],[Flow_Material]]*Tab_Data_Flows[[#This Row],[DM_'[%']]],"N.A.")</f>
        <v>335165.76902399998</v>
      </c>
      <c r="AF144" s="6" t="str">
        <f>Tab_Data_Flows[[#This Row],[UoM_Flow_Py]]</f>
        <v>Mg</v>
      </c>
      <c r="AG144"/>
    </row>
    <row r="145" spans="1:33" x14ac:dyDescent="0.25">
      <c r="A145" s="8">
        <f t="shared" si="5"/>
        <v>144</v>
      </c>
      <c r="B145" s="6" t="str">
        <f>_xlfn.XLOOKUP(C145,Tab_Def_Flows[Flow_Name],Tab_Def_Flows[Flow_ID],,0,)</f>
        <v>F_00_02</v>
      </c>
      <c r="C145" s="138" t="s">
        <v>472</v>
      </c>
      <c r="D145" s="9" t="str">
        <f>_xlfn.XLOOKUP(C145,Tab_Def_Flows[Flow_Name],Tab_Def_Flows[WC?],,0,)</f>
        <v>Yes</v>
      </c>
      <c r="E145" s="9" t="str">
        <f>_xlfn.XLOOKUP(C145,Tab_Def_Flows[Flow_Name],Tab_Def_Flows[DM?],,0,)</f>
        <v>Yes</v>
      </c>
      <c r="F145" s="9" t="str">
        <f>_xlfn.XLOOKUP(C145,Tab_Def_Flows[Flow_Name],Tab_Def_Flows[CC?],,0,)</f>
        <v>Yes</v>
      </c>
      <c r="G145" s="7">
        <v>2067</v>
      </c>
      <c r="H145" s="21">
        <v>447206.06265600002</v>
      </c>
      <c r="I145" s="6" t="str">
        <f>'0_Configuration'!$C$4</f>
        <v>Mg</v>
      </c>
      <c r="J145" s="13"/>
      <c r="K145" s="13"/>
      <c r="L145" s="13"/>
      <c r="M145" s="13"/>
      <c r="N145" s="13"/>
      <c r="O145" s="7" t="s">
        <v>6</v>
      </c>
      <c r="P145" s="7"/>
      <c r="Q145" s="7"/>
      <c r="R145" s="6" t="str">
        <f>Tab_Data_Flows[[#This Row],[Flow_ID]]&amp;"_"&amp;"material_"&amp;Tab_Data_Flows[[#This Row],[Flow_Data_Year]]</f>
        <v>F_00_02_material_2067</v>
      </c>
      <c r="S145" s="12">
        <f t="shared" si="4"/>
        <v>447206.06265600002</v>
      </c>
      <c r="T145" s="6" t="str">
        <f>Tab_Data_Flows[[#This Row],[UoM_Source]]</f>
        <v>Mg</v>
      </c>
      <c r="U145" s="139">
        <f>INDEX(Tab_Def_Flows[[Flow_ID]:[CC_DM_source]],MATCH(Tab_Data_Flows[[#This Row],[Flow_Name]],Tab_Def_Flows[Flow_Name],0),11)</f>
        <v>0</v>
      </c>
      <c r="V145" s="6" t="str">
        <f>Tab_Data_Flows[[#This Row],[Flow_ID]]&amp;"_"&amp;"WC_"&amp;Tab_Data_Flows[[#This Row],[Flow_Data_Year]]</f>
        <v>F_00_02_WC_2067</v>
      </c>
      <c r="W145" s="6">
        <f>IF(D145="Yes",S145*Tab_Data_Flows[[#This Row],[WC_'[%']]],"N.A.")</f>
        <v>0</v>
      </c>
      <c r="X145" s="6" t="str">
        <f>Tab_Data_Flows[[#This Row],[UoM_Flow_Py]]</f>
        <v>Mg</v>
      </c>
      <c r="Y145" s="139">
        <f>INDEX(Tab_Def_Flows[[Flow_ID]:[CC_DM_source]],MATCH(Tab_Data_Flows[[#This Row],[Flow_Name]],Tab_Def_Flows[Flow_Name],0),14)</f>
        <v>1</v>
      </c>
      <c r="Z145" s="6" t="str">
        <f>Tab_Data_Flows[[#This Row],[Flow_ID]]&amp;"_"&amp;"DM_"&amp;Tab_Data_Flows[[#This Row],[Flow_Data_Year]]</f>
        <v>F_00_02_DM_2067</v>
      </c>
      <c r="AA145" s="6">
        <f>IF(E145="Yes",Y145*Tab_Data_Flows[[#This Row],[Flow_Material]],"N.A.")</f>
        <v>447206.06265600002</v>
      </c>
      <c r="AB145" s="6" t="str">
        <f>Tab_Data_Flows[[#This Row],[UoM_Flow_Py]]</f>
        <v>Mg</v>
      </c>
      <c r="AC145" s="139">
        <f>INDEX(Tab_Def_Flows[[Flow_ID]:[CC_DM_source]],MATCH(Tab_Data_Flows[[#This Row],[Flow_Name]],Tab_Def_Flows[Flow_Name],0),17)</f>
        <v>1</v>
      </c>
      <c r="AD145" s="6" t="str">
        <f>Tab_Data_Flows[[#This Row],[Flow_ID]]&amp;"_"&amp;"CC_"&amp;Tab_Data_Flows[[#This Row],[Flow_Data_Year]]</f>
        <v>F_00_02_CC_2067</v>
      </c>
      <c r="AE145" s="6">
        <f>IF(F145="Yes",AC145*Tab_Data_Flows[[#This Row],[Flow_Material]]*Tab_Data_Flows[[#This Row],[DM_'[%']]],"N.A.")</f>
        <v>447206.06265600002</v>
      </c>
      <c r="AF145" s="6" t="str">
        <f>Tab_Data_Flows[[#This Row],[UoM_Flow_Py]]</f>
        <v>Mg</v>
      </c>
      <c r="AG145"/>
    </row>
    <row r="146" spans="1:33" x14ac:dyDescent="0.25">
      <c r="A146" s="8">
        <f t="shared" si="5"/>
        <v>145</v>
      </c>
      <c r="B146" s="6" t="str">
        <f>_xlfn.XLOOKUP(C146,Tab_Def_Flows[Flow_Name],Tab_Def_Flows[Flow_ID],,0,)</f>
        <v>F_00_02</v>
      </c>
      <c r="C146" s="138" t="s">
        <v>472</v>
      </c>
      <c r="D146" s="9" t="str">
        <f>_xlfn.XLOOKUP(C146,Tab_Def_Flows[Flow_Name],Tab_Def_Flows[WC?],,0,)</f>
        <v>Yes</v>
      </c>
      <c r="E146" s="9" t="str">
        <f>_xlfn.XLOOKUP(C146,Tab_Def_Flows[Flow_Name],Tab_Def_Flows[DM?],,0,)</f>
        <v>Yes</v>
      </c>
      <c r="F146" s="9" t="str">
        <f>_xlfn.XLOOKUP(C146,Tab_Def_Flows[Flow_Name],Tab_Def_Flows[CC?],,0,)</f>
        <v>Yes</v>
      </c>
      <c r="G146" s="7">
        <v>2068</v>
      </c>
      <c r="H146" s="21">
        <v>423904.01452800003</v>
      </c>
      <c r="I146" s="6" t="str">
        <f>'0_Configuration'!$C$4</f>
        <v>Mg</v>
      </c>
      <c r="J146" s="13"/>
      <c r="K146" s="13"/>
      <c r="L146" s="13"/>
      <c r="M146" s="13"/>
      <c r="N146" s="13"/>
      <c r="O146" s="7" t="s">
        <v>6</v>
      </c>
      <c r="P146" s="7"/>
      <c r="Q146" s="7"/>
      <c r="R146" s="6" t="str">
        <f>Tab_Data_Flows[[#This Row],[Flow_ID]]&amp;"_"&amp;"material_"&amp;Tab_Data_Flows[[#This Row],[Flow_Data_Year]]</f>
        <v>F_00_02_material_2068</v>
      </c>
      <c r="S146" s="12">
        <f t="shared" si="4"/>
        <v>423904.01452800003</v>
      </c>
      <c r="T146" s="6" t="str">
        <f>Tab_Data_Flows[[#This Row],[UoM_Source]]</f>
        <v>Mg</v>
      </c>
      <c r="U146" s="139">
        <f>INDEX(Tab_Def_Flows[[Flow_ID]:[CC_DM_source]],MATCH(Tab_Data_Flows[[#This Row],[Flow_Name]],Tab_Def_Flows[Flow_Name],0),11)</f>
        <v>0</v>
      </c>
      <c r="V146" s="6" t="str">
        <f>Tab_Data_Flows[[#This Row],[Flow_ID]]&amp;"_"&amp;"WC_"&amp;Tab_Data_Flows[[#This Row],[Flow_Data_Year]]</f>
        <v>F_00_02_WC_2068</v>
      </c>
      <c r="W146" s="6">
        <f>IF(D146="Yes",S146*Tab_Data_Flows[[#This Row],[WC_'[%']]],"N.A.")</f>
        <v>0</v>
      </c>
      <c r="X146" s="6" t="str">
        <f>Tab_Data_Flows[[#This Row],[UoM_Flow_Py]]</f>
        <v>Mg</v>
      </c>
      <c r="Y146" s="139">
        <f>INDEX(Tab_Def_Flows[[Flow_ID]:[CC_DM_source]],MATCH(Tab_Data_Flows[[#This Row],[Flow_Name]],Tab_Def_Flows[Flow_Name],0),14)</f>
        <v>1</v>
      </c>
      <c r="Z146" s="6" t="str">
        <f>Tab_Data_Flows[[#This Row],[Flow_ID]]&amp;"_"&amp;"DM_"&amp;Tab_Data_Flows[[#This Row],[Flow_Data_Year]]</f>
        <v>F_00_02_DM_2068</v>
      </c>
      <c r="AA146" s="6">
        <f>IF(E146="Yes",Y146*Tab_Data_Flows[[#This Row],[Flow_Material]],"N.A.")</f>
        <v>423904.01452800003</v>
      </c>
      <c r="AB146" s="6" t="str">
        <f>Tab_Data_Flows[[#This Row],[UoM_Flow_Py]]</f>
        <v>Mg</v>
      </c>
      <c r="AC146" s="139">
        <f>INDEX(Tab_Def_Flows[[Flow_ID]:[CC_DM_source]],MATCH(Tab_Data_Flows[[#This Row],[Flow_Name]],Tab_Def_Flows[Flow_Name],0),17)</f>
        <v>1</v>
      </c>
      <c r="AD146" s="6" t="str">
        <f>Tab_Data_Flows[[#This Row],[Flow_ID]]&amp;"_"&amp;"CC_"&amp;Tab_Data_Flows[[#This Row],[Flow_Data_Year]]</f>
        <v>F_00_02_CC_2068</v>
      </c>
      <c r="AE146" s="6">
        <f>IF(F146="Yes",AC146*Tab_Data_Flows[[#This Row],[Flow_Material]]*Tab_Data_Flows[[#This Row],[DM_'[%']]],"N.A.")</f>
        <v>423904.01452800003</v>
      </c>
      <c r="AF146" s="6" t="str">
        <f>Tab_Data_Flows[[#This Row],[UoM_Flow_Py]]</f>
        <v>Mg</v>
      </c>
      <c r="AG146"/>
    </row>
    <row r="147" spans="1:33" x14ac:dyDescent="0.25">
      <c r="A147" s="8">
        <f t="shared" si="5"/>
        <v>146</v>
      </c>
      <c r="B147" s="6" t="str">
        <f>_xlfn.XLOOKUP(C147,Tab_Def_Flows[Flow_Name],Tab_Def_Flows[Flow_ID],,0,)</f>
        <v>F_00_02</v>
      </c>
      <c r="C147" s="138" t="s">
        <v>472</v>
      </c>
      <c r="D147" s="9" t="str">
        <f>_xlfn.XLOOKUP(C147,Tab_Def_Flows[Flow_Name],Tab_Def_Flows[WC?],,0,)</f>
        <v>Yes</v>
      </c>
      <c r="E147" s="9" t="str">
        <f>_xlfn.XLOOKUP(C147,Tab_Def_Flows[Flow_Name],Tab_Def_Flows[DM?],,0,)</f>
        <v>Yes</v>
      </c>
      <c r="F147" s="9" t="str">
        <f>_xlfn.XLOOKUP(C147,Tab_Def_Flows[Flow_Name],Tab_Def_Flows[CC?],,0,)</f>
        <v>Yes</v>
      </c>
      <c r="G147" s="7">
        <v>2069</v>
      </c>
      <c r="H147" s="21">
        <v>375334.742592</v>
      </c>
      <c r="I147" s="6" t="str">
        <f>'0_Configuration'!$C$4</f>
        <v>Mg</v>
      </c>
      <c r="J147" s="13"/>
      <c r="K147" s="13"/>
      <c r="L147" s="13"/>
      <c r="M147" s="13"/>
      <c r="N147" s="13"/>
      <c r="O147" s="7" t="s">
        <v>6</v>
      </c>
      <c r="P147" s="14"/>
      <c r="Q147" s="7"/>
      <c r="R147" s="6" t="str">
        <f>Tab_Data_Flows[[#This Row],[Flow_ID]]&amp;"_"&amp;"material_"&amp;Tab_Data_Flows[[#This Row],[Flow_Data_Year]]</f>
        <v>F_00_02_material_2069</v>
      </c>
      <c r="S147" s="12">
        <f t="shared" si="4"/>
        <v>375334.742592</v>
      </c>
      <c r="T147" s="6" t="str">
        <f>Tab_Data_Flows[[#This Row],[UoM_Source]]</f>
        <v>Mg</v>
      </c>
      <c r="U147" s="139">
        <f>INDEX(Tab_Def_Flows[[Flow_ID]:[CC_DM_source]],MATCH(Tab_Data_Flows[[#This Row],[Flow_Name]],Tab_Def_Flows[Flow_Name],0),11)</f>
        <v>0</v>
      </c>
      <c r="V147" s="6" t="str">
        <f>Tab_Data_Flows[[#This Row],[Flow_ID]]&amp;"_"&amp;"WC_"&amp;Tab_Data_Flows[[#This Row],[Flow_Data_Year]]</f>
        <v>F_00_02_WC_2069</v>
      </c>
      <c r="W147" s="6">
        <f>IF(D147="Yes",S147*Tab_Data_Flows[[#This Row],[WC_'[%']]],"N.A.")</f>
        <v>0</v>
      </c>
      <c r="X147" s="6" t="str">
        <f>Tab_Data_Flows[[#This Row],[UoM_Flow_Py]]</f>
        <v>Mg</v>
      </c>
      <c r="Y147" s="139">
        <f>INDEX(Tab_Def_Flows[[Flow_ID]:[CC_DM_source]],MATCH(Tab_Data_Flows[[#This Row],[Flow_Name]],Tab_Def_Flows[Flow_Name],0),14)</f>
        <v>1</v>
      </c>
      <c r="Z147" s="6" t="str">
        <f>Tab_Data_Flows[[#This Row],[Flow_ID]]&amp;"_"&amp;"DM_"&amp;Tab_Data_Flows[[#This Row],[Flow_Data_Year]]</f>
        <v>F_00_02_DM_2069</v>
      </c>
      <c r="AA147" s="6">
        <f>IF(E147="Yes",Y147*Tab_Data_Flows[[#This Row],[Flow_Material]],"N.A.")</f>
        <v>375334.742592</v>
      </c>
      <c r="AB147" s="6" t="str">
        <f>Tab_Data_Flows[[#This Row],[UoM_Flow_Py]]</f>
        <v>Mg</v>
      </c>
      <c r="AC147" s="139">
        <f>INDEX(Tab_Def_Flows[[Flow_ID]:[CC_DM_source]],MATCH(Tab_Data_Flows[[#This Row],[Flow_Name]],Tab_Def_Flows[Flow_Name],0),17)</f>
        <v>1</v>
      </c>
      <c r="AD147" s="6" t="str">
        <f>Tab_Data_Flows[[#This Row],[Flow_ID]]&amp;"_"&amp;"CC_"&amp;Tab_Data_Flows[[#This Row],[Flow_Data_Year]]</f>
        <v>F_00_02_CC_2069</v>
      </c>
      <c r="AE147" s="6">
        <f>IF(F147="Yes",AC147*Tab_Data_Flows[[#This Row],[Flow_Material]]*Tab_Data_Flows[[#This Row],[DM_'[%']]],"N.A.")</f>
        <v>375334.742592</v>
      </c>
      <c r="AF147" s="6" t="str">
        <f>Tab_Data_Flows[[#This Row],[UoM_Flow_Py]]</f>
        <v>Mg</v>
      </c>
      <c r="AG147"/>
    </row>
    <row r="148" spans="1:33" x14ac:dyDescent="0.25">
      <c r="A148" s="8">
        <f t="shared" si="5"/>
        <v>147</v>
      </c>
      <c r="B148" s="6" t="str">
        <f>_xlfn.XLOOKUP(C148,Tab_Def_Flows[Flow_Name],Tab_Def_Flows[Flow_ID],,0,)</f>
        <v>F_00_02</v>
      </c>
      <c r="C148" s="138" t="s">
        <v>472</v>
      </c>
      <c r="D148" s="9" t="str">
        <f>_xlfn.XLOOKUP(C148,Tab_Def_Flows[Flow_Name],Tab_Def_Flows[WC?],,0,)</f>
        <v>Yes</v>
      </c>
      <c r="E148" s="9" t="str">
        <f>_xlfn.XLOOKUP(C148,Tab_Def_Flows[Flow_Name],Tab_Def_Flows[DM?],,0,)</f>
        <v>Yes</v>
      </c>
      <c r="F148" s="9" t="str">
        <f>_xlfn.XLOOKUP(C148,Tab_Def_Flows[Flow_Name],Tab_Def_Flows[CC?],,0,)</f>
        <v>Yes</v>
      </c>
      <c r="G148" s="7">
        <v>2070</v>
      </c>
      <c r="H148" s="21">
        <v>384645.710784</v>
      </c>
      <c r="I148" s="6" t="str">
        <f>'0_Configuration'!$C$4</f>
        <v>Mg</v>
      </c>
      <c r="J148" s="13"/>
      <c r="K148" s="13"/>
      <c r="L148" s="13"/>
      <c r="M148" s="13"/>
      <c r="N148" s="13"/>
      <c r="O148" s="7" t="s">
        <v>6</v>
      </c>
      <c r="P148" s="14"/>
      <c r="Q148" s="7"/>
      <c r="R148" s="6" t="str">
        <f>Tab_Data_Flows[[#This Row],[Flow_ID]]&amp;"_"&amp;"material_"&amp;Tab_Data_Flows[[#This Row],[Flow_Data_Year]]</f>
        <v>F_00_02_material_2070</v>
      </c>
      <c r="S148" s="12">
        <f t="shared" si="4"/>
        <v>384645.710784</v>
      </c>
      <c r="T148" s="6" t="str">
        <f>Tab_Data_Flows[[#This Row],[UoM_Source]]</f>
        <v>Mg</v>
      </c>
      <c r="U148" s="139">
        <f>INDEX(Tab_Def_Flows[[Flow_ID]:[CC_DM_source]],MATCH(Tab_Data_Flows[[#This Row],[Flow_Name]],Tab_Def_Flows[Flow_Name],0),11)</f>
        <v>0</v>
      </c>
      <c r="V148" s="6" t="str">
        <f>Tab_Data_Flows[[#This Row],[Flow_ID]]&amp;"_"&amp;"WC_"&amp;Tab_Data_Flows[[#This Row],[Flow_Data_Year]]</f>
        <v>F_00_02_WC_2070</v>
      </c>
      <c r="W148" s="6">
        <f>IF(D148="Yes",S148*Tab_Data_Flows[[#This Row],[WC_'[%']]],"N.A.")</f>
        <v>0</v>
      </c>
      <c r="X148" s="6" t="str">
        <f>Tab_Data_Flows[[#This Row],[UoM_Flow_Py]]</f>
        <v>Mg</v>
      </c>
      <c r="Y148" s="139">
        <f>INDEX(Tab_Def_Flows[[Flow_ID]:[CC_DM_source]],MATCH(Tab_Data_Flows[[#This Row],[Flow_Name]],Tab_Def_Flows[Flow_Name],0),14)</f>
        <v>1</v>
      </c>
      <c r="Z148" s="6" t="str">
        <f>Tab_Data_Flows[[#This Row],[Flow_ID]]&amp;"_"&amp;"DM_"&amp;Tab_Data_Flows[[#This Row],[Flow_Data_Year]]</f>
        <v>F_00_02_DM_2070</v>
      </c>
      <c r="AA148" s="6">
        <f>IF(E148="Yes",Y148*Tab_Data_Flows[[#This Row],[Flow_Material]],"N.A.")</f>
        <v>384645.710784</v>
      </c>
      <c r="AB148" s="6" t="str">
        <f>Tab_Data_Flows[[#This Row],[UoM_Flow_Py]]</f>
        <v>Mg</v>
      </c>
      <c r="AC148" s="139">
        <f>INDEX(Tab_Def_Flows[[Flow_ID]:[CC_DM_source]],MATCH(Tab_Data_Flows[[#This Row],[Flow_Name]],Tab_Def_Flows[Flow_Name],0),17)</f>
        <v>1</v>
      </c>
      <c r="AD148" s="6" t="str">
        <f>Tab_Data_Flows[[#This Row],[Flow_ID]]&amp;"_"&amp;"CC_"&amp;Tab_Data_Flows[[#This Row],[Flow_Data_Year]]</f>
        <v>F_00_02_CC_2070</v>
      </c>
      <c r="AE148" s="6">
        <f>IF(F148="Yes",AC148*Tab_Data_Flows[[#This Row],[Flow_Material]]*Tab_Data_Flows[[#This Row],[DM_'[%']]],"N.A.")</f>
        <v>384645.710784</v>
      </c>
      <c r="AF148" s="6" t="str">
        <f>Tab_Data_Flows[[#This Row],[UoM_Flow_Py]]</f>
        <v>Mg</v>
      </c>
      <c r="AG148"/>
    </row>
    <row r="149" spans="1:33" x14ac:dyDescent="0.25">
      <c r="A149" s="8">
        <f t="shared" si="5"/>
        <v>148</v>
      </c>
      <c r="B149" s="6" t="str">
        <f>_xlfn.XLOOKUP(C149,Tab_Def_Flows[Flow_Name],Tab_Def_Flows[Flow_ID],,0,)</f>
        <v>F_00_02</v>
      </c>
      <c r="C149" s="138" t="s">
        <v>472</v>
      </c>
      <c r="D149" s="9" t="str">
        <f>_xlfn.XLOOKUP(C149,Tab_Def_Flows[Flow_Name],Tab_Def_Flows[WC?],,0,)</f>
        <v>Yes</v>
      </c>
      <c r="E149" s="9" t="str">
        <f>_xlfn.XLOOKUP(C149,Tab_Def_Flows[Flow_Name],Tab_Def_Flows[DM?],,0,)</f>
        <v>Yes</v>
      </c>
      <c r="F149" s="9" t="str">
        <f>_xlfn.XLOOKUP(C149,Tab_Def_Flows[Flow_Name],Tab_Def_Flows[CC?],,0,)</f>
        <v>Yes</v>
      </c>
      <c r="G149" s="7">
        <v>2071</v>
      </c>
      <c r="H149" s="21">
        <v>427662.21177599998</v>
      </c>
      <c r="I149" s="6" t="str">
        <f>'0_Configuration'!$C$4</f>
        <v>Mg</v>
      </c>
      <c r="J149" s="13"/>
      <c r="K149" s="13"/>
      <c r="L149" s="13"/>
      <c r="M149" s="13"/>
      <c r="N149" s="13"/>
      <c r="O149" s="7" t="s">
        <v>6</v>
      </c>
      <c r="P149" s="14"/>
      <c r="Q149" s="7"/>
      <c r="R149" s="6" t="str">
        <f>Tab_Data_Flows[[#This Row],[Flow_ID]]&amp;"_"&amp;"material_"&amp;Tab_Data_Flows[[#This Row],[Flow_Data_Year]]</f>
        <v>F_00_02_material_2071</v>
      </c>
      <c r="S149" s="12">
        <f t="shared" si="4"/>
        <v>427662.21177599998</v>
      </c>
      <c r="T149" s="6" t="str">
        <f>Tab_Data_Flows[[#This Row],[UoM_Source]]</f>
        <v>Mg</v>
      </c>
      <c r="U149" s="139">
        <f>INDEX(Tab_Def_Flows[[Flow_ID]:[CC_DM_source]],MATCH(Tab_Data_Flows[[#This Row],[Flow_Name]],Tab_Def_Flows[Flow_Name],0),11)</f>
        <v>0</v>
      </c>
      <c r="V149" s="6" t="str">
        <f>Tab_Data_Flows[[#This Row],[Flow_ID]]&amp;"_"&amp;"WC_"&amp;Tab_Data_Flows[[#This Row],[Flow_Data_Year]]</f>
        <v>F_00_02_WC_2071</v>
      </c>
      <c r="W149" s="6">
        <f>IF(D149="Yes",S149*Tab_Data_Flows[[#This Row],[WC_'[%']]],"N.A.")</f>
        <v>0</v>
      </c>
      <c r="X149" s="6" t="str">
        <f>Tab_Data_Flows[[#This Row],[UoM_Flow_Py]]</f>
        <v>Mg</v>
      </c>
      <c r="Y149" s="139">
        <f>INDEX(Tab_Def_Flows[[Flow_ID]:[CC_DM_source]],MATCH(Tab_Data_Flows[[#This Row],[Flow_Name]],Tab_Def_Flows[Flow_Name],0),14)</f>
        <v>1</v>
      </c>
      <c r="Z149" s="6" t="str">
        <f>Tab_Data_Flows[[#This Row],[Flow_ID]]&amp;"_"&amp;"DM_"&amp;Tab_Data_Flows[[#This Row],[Flow_Data_Year]]</f>
        <v>F_00_02_DM_2071</v>
      </c>
      <c r="AA149" s="6">
        <f>IF(E149="Yes",Y149*Tab_Data_Flows[[#This Row],[Flow_Material]],"N.A.")</f>
        <v>427662.21177599998</v>
      </c>
      <c r="AB149" s="6" t="str">
        <f>Tab_Data_Flows[[#This Row],[UoM_Flow_Py]]</f>
        <v>Mg</v>
      </c>
      <c r="AC149" s="139">
        <f>INDEX(Tab_Def_Flows[[Flow_ID]:[CC_DM_source]],MATCH(Tab_Data_Flows[[#This Row],[Flow_Name]],Tab_Def_Flows[Flow_Name],0),17)</f>
        <v>1</v>
      </c>
      <c r="AD149" s="6" t="str">
        <f>Tab_Data_Flows[[#This Row],[Flow_ID]]&amp;"_"&amp;"CC_"&amp;Tab_Data_Flows[[#This Row],[Flow_Data_Year]]</f>
        <v>F_00_02_CC_2071</v>
      </c>
      <c r="AE149" s="6">
        <f>IF(F149="Yes",AC149*Tab_Data_Flows[[#This Row],[Flow_Material]]*Tab_Data_Flows[[#This Row],[DM_'[%']]],"N.A.")</f>
        <v>427662.21177599998</v>
      </c>
      <c r="AF149" s="6" t="str">
        <f>Tab_Data_Flows[[#This Row],[UoM_Flow_Py]]</f>
        <v>Mg</v>
      </c>
      <c r="AG149"/>
    </row>
    <row r="150" spans="1:33" x14ac:dyDescent="0.25">
      <c r="A150" s="8">
        <f t="shared" si="5"/>
        <v>149</v>
      </c>
      <c r="B150" s="6" t="str">
        <f>_xlfn.XLOOKUP(C150,Tab_Def_Flows[Flow_Name],Tab_Def_Flows[Flow_ID],,0,)</f>
        <v>F_00_02</v>
      </c>
      <c r="C150" s="138" t="s">
        <v>472</v>
      </c>
      <c r="D150" s="9" t="str">
        <f>_xlfn.XLOOKUP(C150,Tab_Def_Flows[Flow_Name],Tab_Def_Flows[WC?],,0,)</f>
        <v>Yes</v>
      </c>
      <c r="E150" s="9" t="str">
        <f>_xlfn.XLOOKUP(C150,Tab_Def_Flows[Flow_Name],Tab_Def_Flows[DM?],,0,)</f>
        <v>Yes</v>
      </c>
      <c r="F150" s="9" t="str">
        <f>_xlfn.XLOOKUP(C150,Tab_Def_Flows[Flow_Name],Tab_Def_Flows[CC?],,0,)</f>
        <v>Yes</v>
      </c>
      <c r="G150" s="7">
        <v>2072</v>
      </c>
      <c r="H150" s="21">
        <v>452228.02646399994</v>
      </c>
      <c r="I150" s="6" t="str">
        <f>'0_Configuration'!$C$4</f>
        <v>Mg</v>
      </c>
      <c r="J150" s="13"/>
      <c r="K150" s="13"/>
      <c r="L150" s="13"/>
      <c r="M150" s="13"/>
      <c r="N150" s="13"/>
      <c r="O150" s="7" t="s">
        <v>6</v>
      </c>
      <c r="P150" s="14"/>
      <c r="Q150" s="7"/>
      <c r="R150" s="6" t="str">
        <f>Tab_Data_Flows[[#This Row],[Flow_ID]]&amp;"_"&amp;"material_"&amp;Tab_Data_Flows[[#This Row],[Flow_Data_Year]]</f>
        <v>F_00_02_material_2072</v>
      </c>
      <c r="S150" s="12">
        <f t="shared" si="4"/>
        <v>452228.02646399994</v>
      </c>
      <c r="T150" s="6" t="str">
        <f>Tab_Data_Flows[[#This Row],[UoM_Source]]</f>
        <v>Mg</v>
      </c>
      <c r="U150" s="139">
        <f>INDEX(Tab_Def_Flows[[Flow_ID]:[CC_DM_source]],MATCH(Tab_Data_Flows[[#This Row],[Flow_Name]],Tab_Def_Flows[Flow_Name],0),11)</f>
        <v>0</v>
      </c>
      <c r="V150" s="6" t="str">
        <f>Tab_Data_Flows[[#This Row],[Flow_ID]]&amp;"_"&amp;"WC_"&amp;Tab_Data_Flows[[#This Row],[Flow_Data_Year]]</f>
        <v>F_00_02_WC_2072</v>
      </c>
      <c r="W150" s="6">
        <f>IF(D150="Yes",S150*Tab_Data_Flows[[#This Row],[WC_'[%']]],"N.A.")</f>
        <v>0</v>
      </c>
      <c r="X150" s="6" t="str">
        <f>Tab_Data_Flows[[#This Row],[UoM_Flow_Py]]</f>
        <v>Mg</v>
      </c>
      <c r="Y150" s="139">
        <f>INDEX(Tab_Def_Flows[[Flow_ID]:[CC_DM_source]],MATCH(Tab_Data_Flows[[#This Row],[Flow_Name]],Tab_Def_Flows[Flow_Name],0),14)</f>
        <v>1</v>
      </c>
      <c r="Z150" s="6" t="str">
        <f>Tab_Data_Flows[[#This Row],[Flow_ID]]&amp;"_"&amp;"DM_"&amp;Tab_Data_Flows[[#This Row],[Flow_Data_Year]]</f>
        <v>F_00_02_DM_2072</v>
      </c>
      <c r="AA150" s="6">
        <f>IF(E150="Yes",Y150*Tab_Data_Flows[[#This Row],[Flow_Material]],"N.A.")</f>
        <v>452228.02646399994</v>
      </c>
      <c r="AB150" s="6" t="str">
        <f>Tab_Data_Flows[[#This Row],[UoM_Flow_Py]]</f>
        <v>Mg</v>
      </c>
      <c r="AC150" s="139">
        <f>INDEX(Tab_Def_Flows[[Flow_ID]:[CC_DM_source]],MATCH(Tab_Data_Flows[[#This Row],[Flow_Name]],Tab_Def_Flows[Flow_Name],0),17)</f>
        <v>1</v>
      </c>
      <c r="AD150" s="6" t="str">
        <f>Tab_Data_Flows[[#This Row],[Flow_ID]]&amp;"_"&amp;"CC_"&amp;Tab_Data_Flows[[#This Row],[Flow_Data_Year]]</f>
        <v>F_00_02_CC_2072</v>
      </c>
      <c r="AE150" s="6">
        <f>IF(F150="Yes",AC150*Tab_Data_Flows[[#This Row],[Flow_Material]]*Tab_Data_Flows[[#This Row],[DM_'[%']]],"N.A.")</f>
        <v>452228.02646399994</v>
      </c>
      <c r="AF150" s="6" t="str">
        <f>Tab_Data_Flows[[#This Row],[UoM_Flow_Py]]</f>
        <v>Mg</v>
      </c>
      <c r="AG150"/>
    </row>
    <row r="151" spans="1:33" x14ac:dyDescent="0.25">
      <c r="A151" s="8">
        <f t="shared" si="5"/>
        <v>150</v>
      </c>
      <c r="B151" s="6" t="str">
        <f>_xlfn.XLOOKUP(C151,Tab_Def_Flows[Flow_Name],Tab_Def_Flows[Flow_ID],,0,)</f>
        <v>F_00_02</v>
      </c>
      <c r="C151" s="138" t="s">
        <v>472</v>
      </c>
      <c r="D151" s="9" t="str">
        <f>_xlfn.XLOOKUP(C151,Tab_Def_Flows[Flow_Name],Tab_Def_Flows[WC?],,0,)</f>
        <v>Yes</v>
      </c>
      <c r="E151" s="9" t="str">
        <f>_xlfn.XLOOKUP(C151,Tab_Def_Flows[Flow_Name],Tab_Def_Flows[DM?],,0,)</f>
        <v>Yes</v>
      </c>
      <c r="F151" s="9" t="str">
        <f>_xlfn.XLOOKUP(C151,Tab_Def_Flows[Flow_Name],Tab_Def_Flows[CC?],,0,)</f>
        <v>Yes</v>
      </c>
      <c r="G151" s="7">
        <v>2073</v>
      </c>
      <c r="H151" s="21">
        <v>371574.52262399992</v>
      </c>
      <c r="I151" s="6" t="str">
        <f>'0_Configuration'!$C$4</f>
        <v>Mg</v>
      </c>
      <c r="J151" s="13"/>
      <c r="K151" s="13"/>
      <c r="L151" s="13"/>
      <c r="M151" s="13"/>
      <c r="N151" s="13"/>
      <c r="O151" s="7" t="s">
        <v>6</v>
      </c>
      <c r="P151" s="14"/>
      <c r="Q151" s="7"/>
      <c r="R151" s="6" t="str">
        <f>Tab_Data_Flows[[#This Row],[Flow_ID]]&amp;"_"&amp;"material_"&amp;Tab_Data_Flows[[#This Row],[Flow_Data_Year]]</f>
        <v>F_00_02_material_2073</v>
      </c>
      <c r="S151" s="12">
        <f t="shared" si="4"/>
        <v>371574.52262399992</v>
      </c>
      <c r="T151" s="6" t="str">
        <f>Tab_Data_Flows[[#This Row],[UoM_Source]]</f>
        <v>Mg</v>
      </c>
      <c r="U151" s="139">
        <f>INDEX(Tab_Def_Flows[[Flow_ID]:[CC_DM_source]],MATCH(Tab_Data_Flows[[#This Row],[Flow_Name]],Tab_Def_Flows[Flow_Name],0),11)</f>
        <v>0</v>
      </c>
      <c r="V151" s="6" t="str">
        <f>Tab_Data_Flows[[#This Row],[Flow_ID]]&amp;"_"&amp;"WC_"&amp;Tab_Data_Flows[[#This Row],[Flow_Data_Year]]</f>
        <v>F_00_02_WC_2073</v>
      </c>
      <c r="W151" s="6">
        <f>IF(D151="Yes",S151*Tab_Data_Flows[[#This Row],[WC_'[%']]],"N.A.")</f>
        <v>0</v>
      </c>
      <c r="X151" s="6" t="str">
        <f>Tab_Data_Flows[[#This Row],[UoM_Flow_Py]]</f>
        <v>Mg</v>
      </c>
      <c r="Y151" s="139">
        <f>INDEX(Tab_Def_Flows[[Flow_ID]:[CC_DM_source]],MATCH(Tab_Data_Flows[[#This Row],[Flow_Name]],Tab_Def_Flows[Flow_Name],0),14)</f>
        <v>1</v>
      </c>
      <c r="Z151" s="6" t="str">
        <f>Tab_Data_Flows[[#This Row],[Flow_ID]]&amp;"_"&amp;"DM_"&amp;Tab_Data_Flows[[#This Row],[Flow_Data_Year]]</f>
        <v>F_00_02_DM_2073</v>
      </c>
      <c r="AA151" s="6">
        <f>IF(E151="Yes",Y151*Tab_Data_Flows[[#This Row],[Flow_Material]],"N.A.")</f>
        <v>371574.52262399992</v>
      </c>
      <c r="AB151" s="6" t="str">
        <f>Tab_Data_Flows[[#This Row],[UoM_Flow_Py]]</f>
        <v>Mg</v>
      </c>
      <c r="AC151" s="139">
        <f>INDEX(Tab_Def_Flows[[Flow_ID]:[CC_DM_source]],MATCH(Tab_Data_Flows[[#This Row],[Flow_Name]],Tab_Def_Flows[Flow_Name],0),17)</f>
        <v>1</v>
      </c>
      <c r="AD151" s="6" t="str">
        <f>Tab_Data_Flows[[#This Row],[Flow_ID]]&amp;"_"&amp;"CC_"&amp;Tab_Data_Flows[[#This Row],[Flow_Data_Year]]</f>
        <v>F_00_02_CC_2073</v>
      </c>
      <c r="AE151" s="6">
        <f>IF(F151="Yes",AC151*Tab_Data_Flows[[#This Row],[Flow_Material]]*Tab_Data_Flows[[#This Row],[DM_'[%']]],"N.A.")</f>
        <v>371574.52262399992</v>
      </c>
      <c r="AF151" s="6" t="str">
        <f>Tab_Data_Flows[[#This Row],[UoM_Flow_Py]]</f>
        <v>Mg</v>
      </c>
      <c r="AG151"/>
    </row>
    <row r="152" spans="1:33" x14ac:dyDescent="0.25">
      <c r="A152" s="8">
        <f t="shared" si="5"/>
        <v>151</v>
      </c>
      <c r="B152" s="6" t="str">
        <f>_xlfn.XLOOKUP(C152,Tab_Def_Flows[Flow_Name],Tab_Def_Flows[Flow_ID],,0,)</f>
        <v>F_00_02</v>
      </c>
      <c r="C152" s="138" t="s">
        <v>472</v>
      </c>
      <c r="D152" s="9" t="str">
        <f>_xlfn.XLOOKUP(C152,Tab_Def_Flows[Flow_Name],Tab_Def_Flows[WC?],,0,)</f>
        <v>Yes</v>
      </c>
      <c r="E152" s="9" t="str">
        <f>_xlfn.XLOOKUP(C152,Tab_Def_Flows[Flow_Name],Tab_Def_Flows[DM?],,0,)</f>
        <v>Yes</v>
      </c>
      <c r="F152" s="9" t="str">
        <f>_xlfn.XLOOKUP(C152,Tab_Def_Flows[Flow_Name],Tab_Def_Flows[CC?],,0,)</f>
        <v>Yes</v>
      </c>
      <c r="G152" s="7">
        <v>2074</v>
      </c>
      <c r="H152" s="21">
        <v>399465.94079999998</v>
      </c>
      <c r="I152" s="6" t="str">
        <f>'0_Configuration'!$C$4</f>
        <v>Mg</v>
      </c>
      <c r="J152" s="13"/>
      <c r="K152" s="13"/>
      <c r="L152" s="13"/>
      <c r="M152" s="13"/>
      <c r="N152" s="13"/>
      <c r="O152" s="7" t="s">
        <v>6</v>
      </c>
      <c r="P152" s="14"/>
      <c r="Q152" s="7"/>
      <c r="R152" s="6" t="str">
        <f>Tab_Data_Flows[[#This Row],[Flow_ID]]&amp;"_"&amp;"material_"&amp;Tab_Data_Flows[[#This Row],[Flow_Data_Year]]</f>
        <v>F_00_02_material_2074</v>
      </c>
      <c r="S152" s="12">
        <f t="shared" si="4"/>
        <v>399465.94079999998</v>
      </c>
      <c r="T152" s="6" t="str">
        <f>Tab_Data_Flows[[#This Row],[UoM_Source]]</f>
        <v>Mg</v>
      </c>
      <c r="U152" s="139">
        <f>INDEX(Tab_Def_Flows[[Flow_ID]:[CC_DM_source]],MATCH(Tab_Data_Flows[[#This Row],[Flow_Name]],Tab_Def_Flows[Flow_Name],0),11)</f>
        <v>0</v>
      </c>
      <c r="V152" s="6" t="str">
        <f>Tab_Data_Flows[[#This Row],[Flow_ID]]&amp;"_"&amp;"WC_"&amp;Tab_Data_Flows[[#This Row],[Flow_Data_Year]]</f>
        <v>F_00_02_WC_2074</v>
      </c>
      <c r="W152" s="6">
        <f>IF(D152="Yes",S152*Tab_Data_Flows[[#This Row],[WC_'[%']]],"N.A.")</f>
        <v>0</v>
      </c>
      <c r="X152" s="6" t="str">
        <f>Tab_Data_Flows[[#This Row],[UoM_Flow_Py]]</f>
        <v>Mg</v>
      </c>
      <c r="Y152" s="139">
        <f>INDEX(Tab_Def_Flows[[Flow_ID]:[CC_DM_source]],MATCH(Tab_Data_Flows[[#This Row],[Flow_Name]],Tab_Def_Flows[Flow_Name],0),14)</f>
        <v>1</v>
      </c>
      <c r="Z152" s="6" t="str">
        <f>Tab_Data_Flows[[#This Row],[Flow_ID]]&amp;"_"&amp;"DM_"&amp;Tab_Data_Flows[[#This Row],[Flow_Data_Year]]</f>
        <v>F_00_02_DM_2074</v>
      </c>
      <c r="AA152" s="6">
        <f>IF(E152="Yes",Y152*Tab_Data_Flows[[#This Row],[Flow_Material]],"N.A.")</f>
        <v>399465.94079999998</v>
      </c>
      <c r="AB152" s="6" t="str">
        <f>Tab_Data_Flows[[#This Row],[UoM_Flow_Py]]</f>
        <v>Mg</v>
      </c>
      <c r="AC152" s="139">
        <f>INDEX(Tab_Def_Flows[[Flow_ID]:[CC_DM_source]],MATCH(Tab_Data_Flows[[#This Row],[Flow_Name]],Tab_Def_Flows[Flow_Name],0),17)</f>
        <v>1</v>
      </c>
      <c r="AD152" s="6" t="str">
        <f>Tab_Data_Flows[[#This Row],[Flow_ID]]&amp;"_"&amp;"CC_"&amp;Tab_Data_Flows[[#This Row],[Flow_Data_Year]]</f>
        <v>F_00_02_CC_2074</v>
      </c>
      <c r="AE152" s="6">
        <f>IF(F152="Yes",AC152*Tab_Data_Flows[[#This Row],[Flow_Material]]*Tab_Data_Flows[[#This Row],[DM_'[%']]],"N.A.")</f>
        <v>399465.94079999998</v>
      </c>
      <c r="AF152" s="6" t="str">
        <f>Tab_Data_Flows[[#This Row],[UoM_Flow_Py]]</f>
        <v>Mg</v>
      </c>
      <c r="AG152"/>
    </row>
    <row r="153" spans="1:33" x14ac:dyDescent="0.25">
      <c r="A153" s="8">
        <f t="shared" si="5"/>
        <v>152</v>
      </c>
      <c r="B153" s="6" t="str">
        <f>_xlfn.XLOOKUP(C153,Tab_Def_Flows[Flow_Name],Tab_Def_Flows[Flow_ID],,0,)</f>
        <v>F_00_02</v>
      </c>
      <c r="C153" s="138" t="s">
        <v>472</v>
      </c>
      <c r="D153" s="9" t="str">
        <f>_xlfn.XLOOKUP(C153,Tab_Def_Flows[Flow_Name],Tab_Def_Flows[WC?],,0,)</f>
        <v>Yes</v>
      </c>
      <c r="E153" s="9" t="str">
        <f>_xlfn.XLOOKUP(C153,Tab_Def_Flows[Flow_Name],Tab_Def_Flows[DM?],,0,)</f>
        <v>Yes</v>
      </c>
      <c r="F153" s="9" t="str">
        <f>_xlfn.XLOOKUP(C153,Tab_Def_Flows[Flow_Name],Tab_Def_Flows[CC?],,0,)</f>
        <v>Yes</v>
      </c>
      <c r="G153" s="7">
        <v>2075</v>
      </c>
      <c r="H153" s="21">
        <v>339168.70300799998</v>
      </c>
      <c r="I153" s="6" t="str">
        <f>'0_Configuration'!$C$4</f>
        <v>Mg</v>
      </c>
      <c r="J153" s="13"/>
      <c r="K153" s="13"/>
      <c r="L153" s="13"/>
      <c r="M153" s="13"/>
      <c r="N153" s="13"/>
      <c r="O153" s="7" t="s">
        <v>6</v>
      </c>
      <c r="P153" s="14"/>
      <c r="Q153" s="7"/>
      <c r="R153" s="6" t="str">
        <f>Tab_Data_Flows[[#This Row],[Flow_ID]]&amp;"_"&amp;"material_"&amp;Tab_Data_Flows[[#This Row],[Flow_Data_Year]]</f>
        <v>F_00_02_material_2075</v>
      </c>
      <c r="S153" s="12">
        <f t="shared" si="4"/>
        <v>339168.70300799998</v>
      </c>
      <c r="T153" s="6" t="str">
        <f>Tab_Data_Flows[[#This Row],[UoM_Source]]</f>
        <v>Mg</v>
      </c>
      <c r="U153" s="139">
        <f>INDEX(Tab_Def_Flows[[Flow_ID]:[CC_DM_source]],MATCH(Tab_Data_Flows[[#This Row],[Flow_Name]],Tab_Def_Flows[Flow_Name],0),11)</f>
        <v>0</v>
      </c>
      <c r="V153" s="6" t="str">
        <f>Tab_Data_Flows[[#This Row],[Flow_ID]]&amp;"_"&amp;"WC_"&amp;Tab_Data_Flows[[#This Row],[Flow_Data_Year]]</f>
        <v>F_00_02_WC_2075</v>
      </c>
      <c r="W153" s="6">
        <f>IF(D153="Yes",S153*Tab_Data_Flows[[#This Row],[WC_'[%']]],"N.A.")</f>
        <v>0</v>
      </c>
      <c r="X153" s="6" t="str">
        <f>Tab_Data_Flows[[#This Row],[UoM_Flow_Py]]</f>
        <v>Mg</v>
      </c>
      <c r="Y153" s="139">
        <f>INDEX(Tab_Def_Flows[[Flow_ID]:[CC_DM_source]],MATCH(Tab_Data_Flows[[#This Row],[Flow_Name]],Tab_Def_Flows[Flow_Name],0),14)</f>
        <v>1</v>
      </c>
      <c r="Z153" s="6" t="str">
        <f>Tab_Data_Flows[[#This Row],[Flow_ID]]&amp;"_"&amp;"DM_"&amp;Tab_Data_Flows[[#This Row],[Flow_Data_Year]]</f>
        <v>F_00_02_DM_2075</v>
      </c>
      <c r="AA153" s="6">
        <f>IF(E153="Yes",Y153*Tab_Data_Flows[[#This Row],[Flow_Material]],"N.A.")</f>
        <v>339168.70300799998</v>
      </c>
      <c r="AB153" s="6" t="str">
        <f>Tab_Data_Flows[[#This Row],[UoM_Flow_Py]]</f>
        <v>Mg</v>
      </c>
      <c r="AC153" s="139">
        <f>INDEX(Tab_Def_Flows[[Flow_ID]:[CC_DM_source]],MATCH(Tab_Data_Flows[[#This Row],[Flow_Name]],Tab_Def_Flows[Flow_Name],0),17)</f>
        <v>1</v>
      </c>
      <c r="AD153" s="6" t="str">
        <f>Tab_Data_Flows[[#This Row],[Flow_ID]]&amp;"_"&amp;"CC_"&amp;Tab_Data_Flows[[#This Row],[Flow_Data_Year]]</f>
        <v>F_00_02_CC_2075</v>
      </c>
      <c r="AE153" s="6">
        <f>IF(F153="Yes",AC153*Tab_Data_Flows[[#This Row],[Flow_Material]]*Tab_Data_Flows[[#This Row],[DM_'[%']]],"N.A.")</f>
        <v>339168.70300799998</v>
      </c>
      <c r="AF153" s="6" t="str">
        <f>Tab_Data_Flows[[#This Row],[UoM_Flow_Py]]</f>
        <v>Mg</v>
      </c>
      <c r="AG153"/>
    </row>
    <row r="154" spans="1:33" x14ac:dyDescent="0.25">
      <c r="A154" s="8">
        <f t="shared" si="5"/>
        <v>153</v>
      </c>
      <c r="B154" s="6" t="str">
        <f>_xlfn.XLOOKUP(C154,Tab_Def_Flows[Flow_Name],Tab_Def_Flows[Flow_ID],,0,)</f>
        <v>F_00_02</v>
      </c>
      <c r="C154" s="138" t="s">
        <v>472</v>
      </c>
      <c r="D154" s="9" t="str">
        <f>_xlfn.XLOOKUP(C154,Tab_Def_Flows[Flow_Name],Tab_Def_Flows[WC?],,0,)</f>
        <v>Yes</v>
      </c>
      <c r="E154" s="9" t="str">
        <f>_xlfn.XLOOKUP(C154,Tab_Def_Flows[Flow_Name],Tab_Def_Flows[DM?],,0,)</f>
        <v>Yes</v>
      </c>
      <c r="F154" s="9" t="str">
        <f>_xlfn.XLOOKUP(C154,Tab_Def_Flows[Flow_Name],Tab_Def_Flows[CC?],,0,)</f>
        <v>Yes</v>
      </c>
      <c r="G154" s="7">
        <v>2076</v>
      </c>
      <c r="H154" s="21">
        <v>355436.80838399997</v>
      </c>
      <c r="I154" s="6" t="str">
        <f>'0_Configuration'!$C$4</f>
        <v>Mg</v>
      </c>
      <c r="J154" s="13"/>
      <c r="K154" s="13"/>
      <c r="L154" s="13"/>
      <c r="M154" s="13"/>
      <c r="N154" s="13"/>
      <c r="O154" s="7" t="s">
        <v>6</v>
      </c>
      <c r="P154" s="7"/>
      <c r="Q154" s="7"/>
      <c r="R154" s="6" t="str">
        <f>Tab_Data_Flows[[#This Row],[Flow_ID]]&amp;"_"&amp;"material_"&amp;Tab_Data_Flows[[#This Row],[Flow_Data_Year]]</f>
        <v>F_00_02_material_2076</v>
      </c>
      <c r="S154" s="12">
        <f t="shared" si="4"/>
        <v>355436.80838399997</v>
      </c>
      <c r="T154" s="6" t="str">
        <f>Tab_Data_Flows[[#This Row],[UoM_Source]]</f>
        <v>Mg</v>
      </c>
      <c r="U154" s="139">
        <f>INDEX(Tab_Def_Flows[[Flow_ID]:[CC_DM_source]],MATCH(Tab_Data_Flows[[#This Row],[Flow_Name]],Tab_Def_Flows[Flow_Name],0),11)</f>
        <v>0</v>
      </c>
      <c r="V154" s="6" t="str">
        <f>Tab_Data_Flows[[#This Row],[Flow_ID]]&amp;"_"&amp;"WC_"&amp;Tab_Data_Flows[[#This Row],[Flow_Data_Year]]</f>
        <v>F_00_02_WC_2076</v>
      </c>
      <c r="W154" s="6">
        <f>IF(D154="Yes",S154*Tab_Data_Flows[[#This Row],[WC_'[%']]],"N.A.")</f>
        <v>0</v>
      </c>
      <c r="X154" s="6" t="str">
        <f>Tab_Data_Flows[[#This Row],[UoM_Flow_Py]]</f>
        <v>Mg</v>
      </c>
      <c r="Y154" s="139">
        <f>INDEX(Tab_Def_Flows[[Flow_ID]:[CC_DM_source]],MATCH(Tab_Data_Flows[[#This Row],[Flow_Name]],Tab_Def_Flows[Flow_Name],0),14)</f>
        <v>1</v>
      </c>
      <c r="Z154" s="6" t="str">
        <f>Tab_Data_Flows[[#This Row],[Flow_ID]]&amp;"_"&amp;"DM_"&amp;Tab_Data_Flows[[#This Row],[Flow_Data_Year]]</f>
        <v>F_00_02_DM_2076</v>
      </c>
      <c r="AA154" s="6">
        <f>IF(E154="Yes",Y154*Tab_Data_Flows[[#This Row],[Flow_Material]],"N.A.")</f>
        <v>355436.80838399997</v>
      </c>
      <c r="AB154" s="6" t="str">
        <f>Tab_Data_Flows[[#This Row],[UoM_Flow_Py]]</f>
        <v>Mg</v>
      </c>
      <c r="AC154" s="139">
        <f>INDEX(Tab_Def_Flows[[Flow_ID]:[CC_DM_source]],MATCH(Tab_Data_Flows[[#This Row],[Flow_Name]],Tab_Def_Flows[Flow_Name],0),17)</f>
        <v>1</v>
      </c>
      <c r="AD154" s="6" t="str">
        <f>Tab_Data_Flows[[#This Row],[Flow_ID]]&amp;"_"&amp;"CC_"&amp;Tab_Data_Flows[[#This Row],[Flow_Data_Year]]</f>
        <v>F_00_02_CC_2076</v>
      </c>
      <c r="AE154" s="6">
        <f>IF(F154="Yes",AC154*Tab_Data_Flows[[#This Row],[Flow_Material]]*Tab_Data_Flows[[#This Row],[DM_'[%']]],"N.A.")</f>
        <v>355436.80838399997</v>
      </c>
      <c r="AF154" s="6" t="str">
        <f>Tab_Data_Flows[[#This Row],[UoM_Flow_Py]]</f>
        <v>Mg</v>
      </c>
      <c r="AG154"/>
    </row>
    <row r="155" spans="1:33" x14ac:dyDescent="0.25">
      <c r="A155" s="8">
        <f t="shared" si="5"/>
        <v>154</v>
      </c>
      <c r="B155" s="6" t="str">
        <f>_xlfn.XLOOKUP(C155,Tab_Def_Flows[Flow_Name],Tab_Def_Flows[Flow_ID],,0,)</f>
        <v>F_00_02</v>
      </c>
      <c r="C155" s="138" t="s">
        <v>472</v>
      </c>
      <c r="D155" s="9" t="str">
        <f>_xlfn.XLOOKUP(C155,Tab_Def_Flows[Flow_Name],Tab_Def_Flows[WC?],,0,)</f>
        <v>Yes</v>
      </c>
      <c r="E155" s="9" t="str">
        <f>_xlfn.XLOOKUP(C155,Tab_Def_Flows[Flow_Name],Tab_Def_Flows[DM?],,0,)</f>
        <v>Yes</v>
      </c>
      <c r="F155" s="9" t="str">
        <f>_xlfn.XLOOKUP(C155,Tab_Def_Flows[Flow_Name],Tab_Def_Flows[CC?],,0,)</f>
        <v>Yes</v>
      </c>
      <c r="G155" s="7">
        <v>2077</v>
      </c>
      <c r="H155" s="21">
        <v>349338.43142399995</v>
      </c>
      <c r="I155" s="6" t="str">
        <f>'0_Configuration'!$C$4</f>
        <v>Mg</v>
      </c>
      <c r="J155" s="13"/>
      <c r="K155" s="13"/>
      <c r="L155" s="13"/>
      <c r="M155" s="13"/>
      <c r="N155" s="13"/>
      <c r="O155" s="7" t="s">
        <v>6</v>
      </c>
      <c r="P155" s="7"/>
      <c r="Q155" s="7"/>
      <c r="R155" s="6" t="str">
        <f>Tab_Data_Flows[[#This Row],[Flow_ID]]&amp;"_"&amp;"material_"&amp;Tab_Data_Flows[[#This Row],[Flow_Data_Year]]</f>
        <v>F_00_02_material_2077</v>
      </c>
      <c r="S155" s="12">
        <f t="shared" si="4"/>
        <v>349338.43142399995</v>
      </c>
      <c r="T155" s="6" t="str">
        <f>Tab_Data_Flows[[#This Row],[UoM_Source]]</f>
        <v>Mg</v>
      </c>
      <c r="U155" s="139">
        <f>INDEX(Tab_Def_Flows[[Flow_ID]:[CC_DM_source]],MATCH(Tab_Data_Flows[[#This Row],[Flow_Name]],Tab_Def_Flows[Flow_Name],0),11)</f>
        <v>0</v>
      </c>
      <c r="V155" s="6" t="str">
        <f>Tab_Data_Flows[[#This Row],[Flow_ID]]&amp;"_"&amp;"WC_"&amp;Tab_Data_Flows[[#This Row],[Flow_Data_Year]]</f>
        <v>F_00_02_WC_2077</v>
      </c>
      <c r="W155" s="6">
        <f>IF(D155="Yes",S155*Tab_Data_Flows[[#This Row],[WC_'[%']]],"N.A.")</f>
        <v>0</v>
      </c>
      <c r="X155" s="6" t="str">
        <f>Tab_Data_Flows[[#This Row],[UoM_Flow_Py]]</f>
        <v>Mg</v>
      </c>
      <c r="Y155" s="139">
        <f>INDEX(Tab_Def_Flows[[Flow_ID]:[CC_DM_source]],MATCH(Tab_Data_Flows[[#This Row],[Flow_Name]],Tab_Def_Flows[Flow_Name],0),14)</f>
        <v>1</v>
      </c>
      <c r="Z155" s="6" t="str">
        <f>Tab_Data_Flows[[#This Row],[Flow_ID]]&amp;"_"&amp;"DM_"&amp;Tab_Data_Flows[[#This Row],[Flow_Data_Year]]</f>
        <v>F_00_02_DM_2077</v>
      </c>
      <c r="AA155" s="6">
        <f>IF(E155="Yes",Y155*Tab_Data_Flows[[#This Row],[Flow_Material]],"N.A.")</f>
        <v>349338.43142399995</v>
      </c>
      <c r="AB155" s="6" t="str">
        <f>Tab_Data_Flows[[#This Row],[UoM_Flow_Py]]</f>
        <v>Mg</v>
      </c>
      <c r="AC155" s="139">
        <f>INDEX(Tab_Def_Flows[[Flow_ID]:[CC_DM_source]],MATCH(Tab_Data_Flows[[#This Row],[Flow_Name]],Tab_Def_Flows[Flow_Name],0),17)</f>
        <v>1</v>
      </c>
      <c r="AD155" s="6" t="str">
        <f>Tab_Data_Flows[[#This Row],[Flow_ID]]&amp;"_"&amp;"CC_"&amp;Tab_Data_Flows[[#This Row],[Flow_Data_Year]]</f>
        <v>F_00_02_CC_2077</v>
      </c>
      <c r="AE155" s="6">
        <f>IF(F155="Yes",AC155*Tab_Data_Flows[[#This Row],[Flow_Material]]*Tab_Data_Flows[[#This Row],[DM_'[%']]],"N.A.")</f>
        <v>349338.43142399995</v>
      </c>
      <c r="AF155" s="6" t="str">
        <f>Tab_Data_Flows[[#This Row],[UoM_Flow_Py]]</f>
        <v>Mg</v>
      </c>
      <c r="AG155"/>
    </row>
    <row r="156" spans="1:33" x14ac:dyDescent="0.25">
      <c r="A156" s="8">
        <f t="shared" si="5"/>
        <v>155</v>
      </c>
      <c r="B156" s="6" t="str">
        <f>_xlfn.XLOOKUP(C156,Tab_Def_Flows[Flow_Name],Tab_Def_Flows[Flow_ID],,0,)</f>
        <v>F_00_02</v>
      </c>
      <c r="C156" s="138" t="s">
        <v>472</v>
      </c>
      <c r="D156" s="9" t="str">
        <f>_xlfn.XLOOKUP(C156,Tab_Def_Flows[Flow_Name],Tab_Def_Flows[WC?],,0,)</f>
        <v>Yes</v>
      </c>
      <c r="E156" s="9" t="str">
        <f>_xlfn.XLOOKUP(C156,Tab_Def_Flows[Flow_Name],Tab_Def_Flows[DM?],,0,)</f>
        <v>Yes</v>
      </c>
      <c r="F156" s="9" t="str">
        <f>_xlfn.XLOOKUP(C156,Tab_Def_Flows[Flow_Name],Tab_Def_Flows[CC?],,0,)</f>
        <v>Yes</v>
      </c>
      <c r="G156" s="7">
        <v>2078</v>
      </c>
      <c r="H156" s="21">
        <v>396693.79065599997</v>
      </c>
      <c r="I156" s="6" t="str">
        <f>'0_Configuration'!$C$4</f>
        <v>Mg</v>
      </c>
      <c r="J156" s="13"/>
      <c r="K156" s="13"/>
      <c r="L156" s="13"/>
      <c r="M156" s="13"/>
      <c r="N156" s="13"/>
      <c r="O156" s="7" t="s">
        <v>6</v>
      </c>
      <c r="P156" s="7"/>
      <c r="Q156" s="7"/>
      <c r="R156" s="6" t="str">
        <f>Tab_Data_Flows[[#This Row],[Flow_ID]]&amp;"_"&amp;"material_"&amp;Tab_Data_Flows[[#This Row],[Flow_Data_Year]]</f>
        <v>F_00_02_material_2078</v>
      </c>
      <c r="S156" s="12">
        <f t="shared" si="4"/>
        <v>396693.79065599997</v>
      </c>
      <c r="T156" s="6" t="str">
        <f>Tab_Data_Flows[[#This Row],[UoM_Source]]</f>
        <v>Mg</v>
      </c>
      <c r="U156" s="139">
        <f>INDEX(Tab_Def_Flows[[Flow_ID]:[CC_DM_source]],MATCH(Tab_Data_Flows[[#This Row],[Flow_Name]],Tab_Def_Flows[Flow_Name],0),11)</f>
        <v>0</v>
      </c>
      <c r="V156" s="6" t="str">
        <f>Tab_Data_Flows[[#This Row],[Flow_ID]]&amp;"_"&amp;"WC_"&amp;Tab_Data_Flows[[#This Row],[Flow_Data_Year]]</f>
        <v>F_00_02_WC_2078</v>
      </c>
      <c r="W156" s="6">
        <f>IF(D156="Yes",S156*Tab_Data_Flows[[#This Row],[WC_'[%']]],"N.A.")</f>
        <v>0</v>
      </c>
      <c r="X156" s="6" t="str">
        <f>Tab_Data_Flows[[#This Row],[UoM_Flow_Py]]</f>
        <v>Mg</v>
      </c>
      <c r="Y156" s="139">
        <f>INDEX(Tab_Def_Flows[[Flow_ID]:[CC_DM_source]],MATCH(Tab_Data_Flows[[#This Row],[Flow_Name]],Tab_Def_Flows[Flow_Name],0),14)</f>
        <v>1</v>
      </c>
      <c r="Z156" s="6" t="str">
        <f>Tab_Data_Flows[[#This Row],[Flow_ID]]&amp;"_"&amp;"DM_"&amp;Tab_Data_Flows[[#This Row],[Flow_Data_Year]]</f>
        <v>F_00_02_DM_2078</v>
      </c>
      <c r="AA156" s="6">
        <f>IF(E156="Yes",Y156*Tab_Data_Flows[[#This Row],[Flow_Material]],"N.A.")</f>
        <v>396693.79065599997</v>
      </c>
      <c r="AB156" s="6" t="str">
        <f>Tab_Data_Flows[[#This Row],[UoM_Flow_Py]]</f>
        <v>Mg</v>
      </c>
      <c r="AC156" s="139">
        <f>INDEX(Tab_Def_Flows[[Flow_ID]:[CC_DM_source]],MATCH(Tab_Data_Flows[[#This Row],[Flow_Name]],Tab_Def_Flows[Flow_Name],0),17)</f>
        <v>1</v>
      </c>
      <c r="AD156" s="6" t="str">
        <f>Tab_Data_Flows[[#This Row],[Flow_ID]]&amp;"_"&amp;"CC_"&amp;Tab_Data_Flows[[#This Row],[Flow_Data_Year]]</f>
        <v>F_00_02_CC_2078</v>
      </c>
      <c r="AE156" s="6">
        <f>IF(F156="Yes",AC156*Tab_Data_Flows[[#This Row],[Flow_Material]]*Tab_Data_Flows[[#This Row],[DM_'[%']]],"N.A.")</f>
        <v>396693.79065599997</v>
      </c>
      <c r="AF156" s="6" t="str">
        <f>Tab_Data_Flows[[#This Row],[UoM_Flow_Py]]</f>
        <v>Mg</v>
      </c>
      <c r="AG156"/>
    </row>
    <row r="157" spans="1:33" x14ac:dyDescent="0.25">
      <c r="A157" s="8">
        <f t="shared" si="5"/>
        <v>156</v>
      </c>
      <c r="B157" s="6" t="str">
        <f>_xlfn.XLOOKUP(C157,Tab_Def_Flows[Flow_Name],Tab_Def_Flows[Flow_ID],,0,)</f>
        <v>F_00_02</v>
      </c>
      <c r="C157" s="138" t="s">
        <v>472</v>
      </c>
      <c r="D157" s="9" t="str">
        <f>_xlfn.XLOOKUP(C157,Tab_Def_Flows[Flow_Name],Tab_Def_Flows[WC?],,0,)</f>
        <v>Yes</v>
      </c>
      <c r="E157" s="9" t="str">
        <f>_xlfn.XLOOKUP(C157,Tab_Def_Flows[Flow_Name],Tab_Def_Flows[DM?],,0,)</f>
        <v>Yes</v>
      </c>
      <c r="F157" s="9" t="str">
        <f>_xlfn.XLOOKUP(C157,Tab_Def_Flows[Flow_Name],Tab_Def_Flows[CC?],,0,)</f>
        <v>Yes</v>
      </c>
      <c r="G157" s="7">
        <v>2079</v>
      </c>
      <c r="H157" s="21">
        <v>423189.84576</v>
      </c>
      <c r="I157" s="6" t="str">
        <f>'0_Configuration'!$C$4</f>
        <v>Mg</v>
      </c>
      <c r="J157" s="13"/>
      <c r="K157" s="13"/>
      <c r="L157" s="13"/>
      <c r="M157" s="13"/>
      <c r="N157" s="13"/>
      <c r="O157" s="7" t="s">
        <v>6</v>
      </c>
      <c r="P157" s="7"/>
      <c r="Q157" s="7"/>
      <c r="R157" s="6" t="str">
        <f>Tab_Data_Flows[[#This Row],[Flow_ID]]&amp;"_"&amp;"material_"&amp;Tab_Data_Flows[[#This Row],[Flow_Data_Year]]</f>
        <v>F_00_02_material_2079</v>
      </c>
      <c r="S157" s="12">
        <f t="shared" si="4"/>
        <v>423189.84576</v>
      </c>
      <c r="T157" s="6" t="str">
        <f>Tab_Data_Flows[[#This Row],[UoM_Source]]</f>
        <v>Mg</v>
      </c>
      <c r="U157" s="139">
        <f>INDEX(Tab_Def_Flows[[Flow_ID]:[CC_DM_source]],MATCH(Tab_Data_Flows[[#This Row],[Flow_Name]],Tab_Def_Flows[Flow_Name],0),11)</f>
        <v>0</v>
      </c>
      <c r="V157" s="6" t="str">
        <f>Tab_Data_Flows[[#This Row],[Flow_ID]]&amp;"_"&amp;"WC_"&amp;Tab_Data_Flows[[#This Row],[Flow_Data_Year]]</f>
        <v>F_00_02_WC_2079</v>
      </c>
      <c r="W157" s="6">
        <f>IF(D157="Yes",S157*Tab_Data_Flows[[#This Row],[WC_'[%']]],"N.A.")</f>
        <v>0</v>
      </c>
      <c r="X157" s="6" t="str">
        <f>Tab_Data_Flows[[#This Row],[UoM_Flow_Py]]</f>
        <v>Mg</v>
      </c>
      <c r="Y157" s="139">
        <f>INDEX(Tab_Def_Flows[[Flow_ID]:[CC_DM_source]],MATCH(Tab_Data_Flows[[#This Row],[Flow_Name]],Tab_Def_Flows[Flow_Name],0),14)</f>
        <v>1</v>
      </c>
      <c r="Z157" s="6" t="str">
        <f>Tab_Data_Flows[[#This Row],[Flow_ID]]&amp;"_"&amp;"DM_"&amp;Tab_Data_Flows[[#This Row],[Flow_Data_Year]]</f>
        <v>F_00_02_DM_2079</v>
      </c>
      <c r="AA157" s="6">
        <f>IF(E157="Yes",Y157*Tab_Data_Flows[[#This Row],[Flow_Material]],"N.A.")</f>
        <v>423189.84576</v>
      </c>
      <c r="AB157" s="6" t="str">
        <f>Tab_Data_Flows[[#This Row],[UoM_Flow_Py]]</f>
        <v>Mg</v>
      </c>
      <c r="AC157" s="139">
        <f>INDEX(Tab_Def_Flows[[Flow_ID]:[CC_DM_source]],MATCH(Tab_Data_Flows[[#This Row],[Flow_Name]],Tab_Def_Flows[Flow_Name],0),17)</f>
        <v>1</v>
      </c>
      <c r="AD157" s="6" t="str">
        <f>Tab_Data_Flows[[#This Row],[Flow_ID]]&amp;"_"&amp;"CC_"&amp;Tab_Data_Flows[[#This Row],[Flow_Data_Year]]</f>
        <v>F_00_02_CC_2079</v>
      </c>
      <c r="AE157" s="6">
        <f>IF(F157="Yes",AC157*Tab_Data_Flows[[#This Row],[Flow_Material]]*Tab_Data_Flows[[#This Row],[DM_'[%']]],"N.A.")</f>
        <v>423189.84576</v>
      </c>
      <c r="AF157" s="6" t="str">
        <f>Tab_Data_Flows[[#This Row],[UoM_Flow_Py]]</f>
        <v>Mg</v>
      </c>
      <c r="AG157"/>
    </row>
    <row r="158" spans="1:33" x14ac:dyDescent="0.25">
      <c r="A158" s="8">
        <f t="shared" si="5"/>
        <v>157</v>
      </c>
      <c r="B158" s="6" t="str">
        <f>_xlfn.XLOOKUP(C158,Tab_Def_Flows[Flow_Name],Tab_Def_Flows[Flow_ID],,0,)</f>
        <v>F_00_02</v>
      </c>
      <c r="C158" s="138" t="s">
        <v>472</v>
      </c>
      <c r="D158" s="9" t="str">
        <f>_xlfn.XLOOKUP(C158,Tab_Def_Flows[Flow_Name],Tab_Def_Flows[WC?],,0,)</f>
        <v>Yes</v>
      </c>
      <c r="E158" s="9" t="str">
        <f>_xlfn.XLOOKUP(C158,Tab_Def_Flows[Flow_Name],Tab_Def_Flows[DM?],,0,)</f>
        <v>Yes</v>
      </c>
      <c r="F158" s="9" t="str">
        <f>_xlfn.XLOOKUP(C158,Tab_Def_Flows[Flow_Name],Tab_Def_Flows[CC?],,0,)</f>
        <v>Yes</v>
      </c>
      <c r="G158" s="7">
        <v>2080</v>
      </c>
      <c r="H158" s="21">
        <v>460160.93203199992</v>
      </c>
      <c r="I158" s="6" t="str">
        <f>'0_Configuration'!$C$4</f>
        <v>Mg</v>
      </c>
      <c r="J158" s="13"/>
      <c r="K158" s="13"/>
      <c r="L158" s="13"/>
      <c r="M158" s="13"/>
      <c r="N158" s="13"/>
      <c r="O158" s="7" t="s">
        <v>6</v>
      </c>
      <c r="P158" s="7"/>
      <c r="Q158" s="7"/>
      <c r="R158" s="6" t="str">
        <f>Tab_Data_Flows[[#This Row],[Flow_ID]]&amp;"_"&amp;"material_"&amp;Tab_Data_Flows[[#This Row],[Flow_Data_Year]]</f>
        <v>F_00_02_material_2080</v>
      </c>
      <c r="S158" s="12">
        <f t="shared" si="4"/>
        <v>460160.93203199992</v>
      </c>
      <c r="T158" s="6" t="str">
        <f>Tab_Data_Flows[[#This Row],[UoM_Source]]</f>
        <v>Mg</v>
      </c>
      <c r="U158" s="139">
        <f>INDEX(Tab_Def_Flows[[Flow_ID]:[CC_DM_source]],MATCH(Tab_Data_Flows[[#This Row],[Flow_Name]],Tab_Def_Flows[Flow_Name],0),11)</f>
        <v>0</v>
      </c>
      <c r="V158" s="6" t="str">
        <f>Tab_Data_Flows[[#This Row],[Flow_ID]]&amp;"_"&amp;"WC_"&amp;Tab_Data_Flows[[#This Row],[Flow_Data_Year]]</f>
        <v>F_00_02_WC_2080</v>
      </c>
      <c r="W158" s="6">
        <f>IF(D158="Yes",S158*Tab_Data_Flows[[#This Row],[WC_'[%']]],"N.A.")</f>
        <v>0</v>
      </c>
      <c r="X158" s="6" t="str">
        <f>Tab_Data_Flows[[#This Row],[UoM_Flow_Py]]</f>
        <v>Mg</v>
      </c>
      <c r="Y158" s="139">
        <f>INDEX(Tab_Def_Flows[[Flow_ID]:[CC_DM_source]],MATCH(Tab_Data_Flows[[#This Row],[Flow_Name]],Tab_Def_Flows[Flow_Name],0),14)</f>
        <v>1</v>
      </c>
      <c r="Z158" s="6" t="str">
        <f>Tab_Data_Flows[[#This Row],[Flow_ID]]&amp;"_"&amp;"DM_"&amp;Tab_Data_Flows[[#This Row],[Flow_Data_Year]]</f>
        <v>F_00_02_DM_2080</v>
      </c>
      <c r="AA158" s="6">
        <f>IF(E158="Yes",Y158*Tab_Data_Flows[[#This Row],[Flow_Material]],"N.A.")</f>
        <v>460160.93203199992</v>
      </c>
      <c r="AB158" s="6" t="str">
        <f>Tab_Data_Flows[[#This Row],[UoM_Flow_Py]]</f>
        <v>Mg</v>
      </c>
      <c r="AC158" s="139">
        <f>INDEX(Tab_Def_Flows[[Flow_ID]:[CC_DM_source]],MATCH(Tab_Data_Flows[[#This Row],[Flow_Name]],Tab_Def_Flows[Flow_Name],0),17)</f>
        <v>1</v>
      </c>
      <c r="AD158" s="6" t="str">
        <f>Tab_Data_Flows[[#This Row],[Flow_ID]]&amp;"_"&amp;"CC_"&amp;Tab_Data_Flows[[#This Row],[Flow_Data_Year]]</f>
        <v>F_00_02_CC_2080</v>
      </c>
      <c r="AE158" s="6">
        <f>IF(F158="Yes",AC158*Tab_Data_Flows[[#This Row],[Flow_Material]]*Tab_Data_Flows[[#This Row],[DM_'[%']]],"N.A.")</f>
        <v>460160.93203199992</v>
      </c>
      <c r="AF158" s="6" t="str">
        <f>Tab_Data_Flows[[#This Row],[UoM_Flow_Py]]</f>
        <v>Mg</v>
      </c>
      <c r="AG158"/>
    </row>
    <row r="159" spans="1:33" x14ac:dyDescent="0.25">
      <c r="A159" s="8">
        <f t="shared" si="5"/>
        <v>158</v>
      </c>
      <c r="B159" s="6" t="str">
        <f>_xlfn.XLOOKUP(C159,Tab_Def_Flows[Flow_Name],Tab_Def_Flows[Flow_ID],,0,)</f>
        <v>F_00_02</v>
      </c>
      <c r="C159" s="138" t="s">
        <v>472</v>
      </c>
      <c r="D159" s="9" t="str">
        <f>_xlfn.XLOOKUP(C159,Tab_Def_Flows[Flow_Name],Tab_Def_Flows[WC?],,0,)</f>
        <v>Yes</v>
      </c>
      <c r="E159" s="9" t="str">
        <f>_xlfn.XLOOKUP(C159,Tab_Def_Flows[Flow_Name],Tab_Def_Flows[DM?],,0,)</f>
        <v>Yes</v>
      </c>
      <c r="F159" s="9" t="str">
        <f>_xlfn.XLOOKUP(C159,Tab_Def_Flows[Flow_Name],Tab_Def_Flows[CC?],,0,)</f>
        <v>Yes</v>
      </c>
      <c r="G159" s="7">
        <v>2081</v>
      </c>
      <c r="H159" s="21">
        <v>341476.59763199999</v>
      </c>
      <c r="I159" s="6" t="str">
        <f>'0_Configuration'!$C$4</f>
        <v>Mg</v>
      </c>
      <c r="J159" s="13"/>
      <c r="K159" s="13"/>
      <c r="L159" s="13"/>
      <c r="M159" s="13"/>
      <c r="N159" s="13"/>
      <c r="O159" s="7" t="s">
        <v>6</v>
      </c>
      <c r="P159" s="7"/>
      <c r="Q159" s="7"/>
      <c r="R159" s="6" t="str">
        <f>Tab_Data_Flows[[#This Row],[Flow_ID]]&amp;"_"&amp;"material_"&amp;Tab_Data_Flows[[#This Row],[Flow_Data_Year]]</f>
        <v>F_00_02_material_2081</v>
      </c>
      <c r="S159" s="12">
        <f t="shared" si="4"/>
        <v>341476.59763199999</v>
      </c>
      <c r="T159" s="6" t="str">
        <f>Tab_Data_Flows[[#This Row],[UoM_Source]]</f>
        <v>Mg</v>
      </c>
      <c r="U159" s="139">
        <f>INDEX(Tab_Def_Flows[[Flow_ID]:[CC_DM_source]],MATCH(Tab_Data_Flows[[#This Row],[Flow_Name]],Tab_Def_Flows[Flow_Name],0),11)</f>
        <v>0</v>
      </c>
      <c r="V159" s="6" t="str">
        <f>Tab_Data_Flows[[#This Row],[Flow_ID]]&amp;"_"&amp;"WC_"&amp;Tab_Data_Flows[[#This Row],[Flow_Data_Year]]</f>
        <v>F_00_02_WC_2081</v>
      </c>
      <c r="W159" s="6">
        <f>IF(D159="Yes",S159*Tab_Data_Flows[[#This Row],[WC_'[%']]],"N.A.")</f>
        <v>0</v>
      </c>
      <c r="X159" s="6" t="str">
        <f>Tab_Data_Flows[[#This Row],[UoM_Flow_Py]]</f>
        <v>Mg</v>
      </c>
      <c r="Y159" s="139">
        <f>INDEX(Tab_Def_Flows[[Flow_ID]:[CC_DM_source]],MATCH(Tab_Data_Flows[[#This Row],[Flow_Name]],Tab_Def_Flows[Flow_Name],0),14)</f>
        <v>1</v>
      </c>
      <c r="Z159" s="6" t="str">
        <f>Tab_Data_Flows[[#This Row],[Flow_ID]]&amp;"_"&amp;"DM_"&amp;Tab_Data_Flows[[#This Row],[Flow_Data_Year]]</f>
        <v>F_00_02_DM_2081</v>
      </c>
      <c r="AA159" s="6">
        <f>IF(E159="Yes",Y159*Tab_Data_Flows[[#This Row],[Flow_Material]],"N.A.")</f>
        <v>341476.59763199999</v>
      </c>
      <c r="AB159" s="6" t="str">
        <f>Tab_Data_Flows[[#This Row],[UoM_Flow_Py]]</f>
        <v>Mg</v>
      </c>
      <c r="AC159" s="139">
        <f>INDEX(Tab_Def_Flows[[Flow_ID]:[CC_DM_source]],MATCH(Tab_Data_Flows[[#This Row],[Flow_Name]],Tab_Def_Flows[Flow_Name],0),17)</f>
        <v>1</v>
      </c>
      <c r="AD159" s="6" t="str">
        <f>Tab_Data_Flows[[#This Row],[Flow_ID]]&amp;"_"&amp;"CC_"&amp;Tab_Data_Flows[[#This Row],[Flow_Data_Year]]</f>
        <v>F_00_02_CC_2081</v>
      </c>
      <c r="AE159" s="6">
        <f>IF(F159="Yes",AC159*Tab_Data_Flows[[#This Row],[Flow_Material]]*Tab_Data_Flows[[#This Row],[DM_'[%']]],"N.A.")</f>
        <v>341476.59763199999</v>
      </c>
      <c r="AF159" s="6" t="str">
        <f>Tab_Data_Flows[[#This Row],[UoM_Flow_Py]]</f>
        <v>Mg</v>
      </c>
      <c r="AG159"/>
    </row>
    <row r="160" spans="1:33" x14ac:dyDescent="0.25">
      <c r="A160" s="8">
        <f t="shared" si="5"/>
        <v>159</v>
      </c>
      <c r="B160" s="6" t="str">
        <f>_xlfn.XLOOKUP(C160,Tab_Def_Flows[Flow_Name],Tab_Def_Flows[Flow_ID],,0,)</f>
        <v>F_00_02</v>
      </c>
      <c r="C160" s="138" t="s">
        <v>472</v>
      </c>
      <c r="D160" s="9" t="str">
        <f>_xlfn.XLOOKUP(C160,Tab_Def_Flows[Flow_Name],Tab_Def_Flows[WC?],,0,)</f>
        <v>Yes</v>
      </c>
      <c r="E160" s="9" t="str">
        <f>_xlfn.XLOOKUP(C160,Tab_Def_Flows[Flow_Name],Tab_Def_Flows[DM?],,0,)</f>
        <v>Yes</v>
      </c>
      <c r="F160" s="9" t="str">
        <f>_xlfn.XLOOKUP(C160,Tab_Def_Flows[Flow_Name],Tab_Def_Flows[CC?],,0,)</f>
        <v>Yes</v>
      </c>
      <c r="G160" s="7">
        <v>2082</v>
      </c>
      <c r="H160" s="21">
        <v>426796.45872</v>
      </c>
      <c r="I160" s="6" t="str">
        <f>'0_Configuration'!$C$4</f>
        <v>Mg</v>
      </c>
      <c r="J160" s="13"/>
      <c r="K160" s="13"/>
      <c r="L160" s="13"/>
      <c r="M160" s="13"/>
      <c r="N160" s="13"/>
      <c r="O160" s="7" t="s">
        <v>6</v>
      </c>
      <c r="P160" s="7"/>
      <c r="Q160" s="7"/>
      <c r="R160" s="6" t="str">
        <f>Tab_Data_Flows[[#This Row],[Flow_ID]]&amp;"_"&amp;"material_"&amp;Tab_Data_Flows[[#This Row],[Flow_Data_Year]]</f>
        <v>F_00_02_material_2082</v>
      </c>
      <c r="S160" s="12">
        <f t="shared" si="4"/>
        <v>426796.45872</v>
      </c>
      <c r="T160" s="6" t="str">
        <f>Tab_Data_Flows[[#This Row],[UoM_Source]]</f>
        <v>Mg</v>
      </c>
      <c r="U160" s="139">
        <f>INDEX(Tab_Def_Flows[[Flow_ID]:[CC_DM_source]],MATCH(Tab_Data_Flows[[#This Row],[Flow_Name]],Tab_Def_Flows[Flow_Name],0),11)</f>
        <v>0</v>
      </c>
      <c r="V160" s="6" t="str">
        <f>Tab_Data_Flows[[#This Row],[Flow_ID]]&amp;"_"&amp;"WC_"&amp;Tab_Data_Flows[[#This Row],[Flow_Data_Year]]</f>
        <v>F_00_02_WC_2082</v>
      </c>
      <c r="W160" s="6">
        <f>IF(D160="Yes",S160*Tab_Data_Flows[[#This Row],[WC_'[%']]],"N.A.")</f>
        <v>0</v>
      </c>
      <c r="X160" s="6" t="str">
        <f>Tab_Data_Flows[[#This Row],[UoM_Flow_Py]]</f>
        <v>Mg</v>
      </c>
      <c r="Y160" s="139">
        <f>INDEX(Tab_Def_Flows[[Flow_ID]:[CC_DM_source]],MATCH(Tab_Data_Flows[[#This Row],[Flow_Name]],Tab_Def_Flows[Flow_Name],0),14)</f>
        <v>1</v>
      </c>
      <c r="Z160" s="6" t="str">
        <f>Tab_Data_Flows[[#This Row],[Flow_ID]]&amp;"_"&amp;"DM_"&amp;Tab_Data_Flows[[#This Row],[Flow_Data_Year]]</f>
        <v>F_00_02_DM_2082</v>
      </c>
      <c r="AA160" s="6">
        <f>IF(E160="Yes",Y160*Tab_Data_Flows[[#This Row],[Flow_Material]],"N.A.")</f>
        <v>426796.45872</v>
      </c>
      <c r="AB160" s="6" t="str">
        <f>Tab_Data_Flows[[#This Row],[UoM_Flow_Py]]</f>
        <v>Mg</v>
      </c>
      <c r="AC160" s="139">
        <f>INDEX(Tab_Def_Flows[[Flow_ID]:[CC_DM_source]],MATCH(Tab_Data_Flows[[#This Row],[Flow_Name]],Tab_Def_Flows[Flow_Name],0),17)</f>
        <v>1</v>
      </c>
      <c r="AD160" s="6" t="str">
        <f>Tab_Data_Flows[[#This Row],[Flow_ID]]&amp;"_"&amp;"CC_"&amp;Tab_Data_Flows[[#This Row],[Flow_Data_Year]]</f>
        <v>F_00_02_CC_2082</v>
      </c>
      <c r="AE160" s="6">
        <f>IF(F160="Yes",AC160*Tab_Data_Flows[[#This Row],[Flow_Material]]*Tab_Data_Flows[[#This Row],[DM_'[%']]],"N.A.")</f>
        <v>426796.45872</v>
      </c>
      <c r="AF160" s="6" t="str">
        <f>Tab_Data_Flows[[#This Row],[UoM_Flow_Py]]</f>
        <v>Mg</v>
      </c>
      <c r="AG160"/>
    </row>
    <row r="161" spans="1:33" x14ac:dyDescent="0.25">
      <c r="A161" s="8">
        <f t="shared" si="5"/>
        <v>160</v>
      </c>
      <c r="B161" s="6" t="str">
        <f>_xlfn.XLOOKUP(C161,Tab_Def_Flows[Flow_Name],Tab_Def_Flows[Flow_ID],,0,)</f>
        <v>F_00_02</v>
      </c>
      <c r="C161" s="138" t="s">
        <v>472</v>
      </c>
      <c r="D161" s="9" t="str">
        <f>_xlfn.XLOOKUP(C161,Tab_Def_Flows[Flow_Name],Tab_Def_Flows[WC?],,0,)</f>
        <v>Yes</v>
      </c>
      <c r="E161" s="9" t="str">
        <f>_xlfn.XLOOKUP(C161,Tab_Def_Flows[Flow_Name],Tab_Def_Flows[DM?],,0,)</f>
        <v>Yes</v>
      </c>
      <c r="F161" s="9" t="str">
        <f>_xlfn.XLOOKUP(C161,Tab_Def_Flows[Flow_Name],Tab_Def_Flows[CC?],,0,)</f>
        <v>Yes</v>
      </c>
      <c r="G161" s="7">
        <v>2083</v>
      </c>
      <c r="H161" s="21">
        <v>428412.53769599996</v>
      </c>
      <c r="I161" s="6" t="str">
        <f>'0_Configuration'!$C$4</f>
        <v>Mg</v>
      </c>
      <c r="J161" s="13"/>
      <c r="K161" s="13"/>
      <c r="L161" s="13"/>
      <c r="M161" s="13"/>
      <c r="N161" s="13"/>
      <c r="O161" s="7" t="s">
        <v>6</v>
      </c>
      <c r="P161" s="7"/>
      <c r="Q161" s="7"/>
      <c r="R161" s="6" t="str">
        <f>Tab_Data_Flows[[#This Row],[Flow_ID]]&amp;"_"&amp;"material_"&amp;Tab_Data_Flows[[#This Row],[Flow_Data_Year]]</f>
        <v>F_00_02_material_2083</v>
      </c>
      <c r="S161" s="12">
        <f t="shared" si="4"/>
        <v>428412.53769599996</v>
      </c>
      <c r="T161" s="6" t="str">
        <f>Tab_Data_Flows[[#This Row],[UoM_Source]]</f>
        <v>Mg</v>
      </c>
      <c r="U161" s="139">
        <f>INDEX(Tab_Def_Flows[[Flow_ID]:[CC_DM_source]],MATCH(Tab_Data_Flows[[#This Row],[Flow_Name]],Tab_Def_Flows[Flow_Name],0),11)</f>
        <v>0</v>
      </c>
      <c r="V161" s="6" t="str">
        <f>Tab_Data_Flows[[#This Row],[Flow_ID]]&amp;"_"&amp;"WC_"&amp;Tab_Data_Flows[[#This Row],[Flow_Data_Year]]</f>
        <v>F_00_02_WC_2083</v>
      </c>
      <c r="W161" s="6">
        <f>IF(D161="Yes",S161*Tab_Data_Flows[[#This Row],[WC_'[%']]],"N.A.")</f>
        <v>0</v>
      </c>
      <c r="X161" s="6" t="str">
        <f>Tab_Data_Flows[[#This Row],[UoM_Flow_Py]]</f>
        <v>Mg</v>
      </c>
      <c r="Y161" s="139">
        <f>INDEX(Tab_Def_Flows[[Flow_ID]:[CC_DM_source]],MATCH(Tab_Data_Flows[[#This Row],[Flow_Name]],Tab_Def_Flows[Flow_Name],0),14)</f>
        <v>1</v>
      </c>
      <c r="Z161" s="6" t="str">
        <f>Tab_Data_Flows[[#This Row],[Flow_ID]]&amp;"_"&amp;"DM_"&amp;Tab_Data_Flows[[#This Row],[Flow_Data_Year]]</f>
        <v>F_00_02_DM_2083</v>
      </c>
      <c r="AA161" s="6">
        <f>IF(E161="Yes",Y161*Tab_Data_Flows[[#This Row],[Flow_Material]],"N.A.")</f>
        <v>428412.53769599996</v>
      </c>
      <c r="AB161" s="6" t="str">
        <f>Tab_Data_Flows[[#This Row],[UoM_Flow_Py]]</f>
        <v>Mg</v>
      </c>
      <c r="AC161" s="139">
        <f>INDEX(Tab_Def_Flows[[Flow_ID]:[CC_DM_source]],MATCH(Tab_Data_Flows[[#This Row],[Flow_Name]],Tab_Def_Flows[Flow_Name],0),17)</f>
        <v>1</v>
      </c>
      <c r="AD161" s="6" t="str">
        <f>Tab_Data_Flows[[#This Row],[Flow_ID]]&amp;"_"&amp;"CC_"&amp;Tab_Data_Flows[[#This Row],[Flow_Data_Year]]</f>
        <v>F_00_02_CC_2083</v>
      </c>
      <c r="AE161" s="6">
        <f>IF(F161="Yes",AC161*Tab_Data_Flows[[#This Row],[Flow_Material]]*Tab_Data_Flows[[#This Row],[DM_'[%']]],"N.A.")</f>
        <v>428412.53769599996</v>
      </c>
      <c r="AF161" s="6" t="str">
        <f>Tab_Data_Flows[[#This Row],[UoM_Flow_Py]]</f>
        <v>Mg</v>
      </c>
      <c r="AG161"/>
    </row>
    <row r="162" spans="1:33" x14ac:dyDescent="0.25">
      <c r="A162" s="8">
        <f t="shared" si="5"/>
        <v>161</v>
      </c>
      <c r="B162" s="6" t="str">
        <f>_xlfn.XLOOKUP(C162,Tab_Def_Flows[Flow_Name],Tab_Def_Flows[Flow_ID],,0,)</f>
        <v>F_00_02</v>
      </c>
      <c r="C162" s="138" t="s">
        <v>472</v>
      </c>
      <c r="D162" s="9" t="str">
        <f>_xlfn.XLOOKUP(C162,Tab_Def_Flows[Flow_Name],Tab_Def_Flows[WC?],,0,)</f>
        <v>Yes</v>
      </c>
      <c r="E162" s="9" t="str">
        <f>_xlfn.XLOOKUP(C162,Tab_Def_Flows[Flow_Name],Tab_Def_Flows[DM?],,0,)</f>
        <v>Yes</v>
      </c>
      <c r="F162" s="9" t="str">
        <f>_xlfn.XLOOKUP(C162,Tab_Def_Flows[Flow_Name],Tab_Def_Flows[CC?],,0,)</f>
        <v>Yes</v>
      </c>
      <c r="G162" s="7">
        <v>2084</v>
      </c>
      <c r="H162" s="21">
        <v>494769.99321599992</v>
      </c>
      <c r="I162" s="6" t="str">
        <f>'0_Configuration'!$C$4</f>
        <v>Mg</v>
      </c>
      <c r="J162" s="13"/>
      <c r="K162" s="13"/>
      <c r="L162" s="13"/>
      <c r="M162" s="13"/>
      <c r="N162" s="13"/>
      <c r="O162" s="7" t="s">
        <v>6</v>
      </c>
      <c r="P162" s="7"/>
      <c r="Q162" s="7"/>
      <c r="R162" s="6" t="str">
        <f>Tab_Data_Flows[[#This Row],[Flow_ID]]&amp;"_"&amp;"material_"&amp;Tab_Data_Flows[[#This Row],[Flow_Data_Year]]</f>
        <v>F_00_02_material_2084</v>
      </c>
      <c r="S162" s="12">
        <f t="shared" si="4"/>
        <v>494769.99321599992</v>
      </c>
      <c r="T162" s="6" t="str">
        <f>Tab_Data_Flows[[#This Row],[UoM_Source]]</f>
        <v>Mg</v>
      </c>
      <c r="U162" s="139">
        <f>INDEX(Tab_Def_Flows[[Flow_ID]:[CC_DM_source]],MATCH(Tab_Data_Flows[[#This Row],[Flow_Name]],Tab_Def_Flows[Flow_Name],0),11)</f>
        <v>0</v>
      </c>
      <c r="V162" s="6" t="str">
        <f>Tab_Data_Flows[[#This Row],[Flow_ID]]&amp;"_"&amp;"WC_"&amp;Tab_Data_Flows[[#This Row],[Flow_Data_Year]]</f>
        <v>F_00_02_WC_2084</v>
      </c>
      <c r="W162" s="6">
        <f>IF(D162="Yes",S162*Tab_Data_Flows[[#This Row],[WC_'[%']]],"N.A.")</f>
        <v>0</v>
      </c>
      <c r="X162" s="6" t="str">
        <f>Tab_Data_Flows[[#This Row],[UoM_Flow_Py]]</f>
        <v>Mg</v>
      </c>
      <c r="Y162" s="139">
        <f>INDEX(Tab_Def_Flows[[Flow_ID]:[CC_DM_source]],MATCH(Tab_Data_Flows[[#This Row],[Flow_Name]],Tab_Def_Flows[Flow_Name],0),14)</f>
        <v>1</v>
      </c>
      <c r="Z162" s="6" t="str">
        <f>Tab_Data_Flows[[#This Row],[Flow_ID]]&amp;"_"&amp;"DM_"&amp;Tab_Data_Flows[[#This Row],[Flow_Data_Year]]</f>
        <v>F_00_02_DM_2084</v>
      </c>
      <c r="AA162" s="6">
        <f>IF(E162="Yes",Y162*Tab_Data_Flows[[#This Row],[Flow_Material]],"N.A.")</f>
        <v>494769.99321599992</v>
      </c>
      <c r="AB162" s="6" t="str">
        <f>Tab_Data_Flows[[#This Row],[UoM_Flow_Py]]</f>
        <v>Mg</v>
      </c>
      <c r="AC162" s="139">
        <f>INDEX(Tab_Def_Flows[[Flow_ID]:[CC_DM_source]],MATCH(Tab_Data_Flows[[#This Row],[Flow_Name]],Tab_Def_Flows[Flow_Name],0),17)</f>
        <v>1</v>
      </c>
      <c r="AD162" s="6" t="str">
        <f>Tab_Data_Flows[[#This Row],[Flow_ID]]&amp;"_"&amp;"CC_"&amp;Tab_Data_Flows[[#This Row],[Flow_Data_Year]]</f>
        <v>F_00_02_CC_2084</v>
      </c>
      <c r="AE162" s="6">
        <f>IF(F162="Yes",AC162*Tab_Data_Flows[[#This Row],[Flow_Material]]*Tab_Data_Flows[[#This Row],[DM_'[%']]],"N.A.")</f>
        <v>494769.99321599992</v>
      </c>
      <c r="AF162" s="6" t="str">
        <f>Tab_Data_Flows[[#This Row],[UoM_Flow_Py]]</f>
        <v>Mg</v>
      </c>
      <c r="AG162"/>
    </row>
    <row r="163" spans="1:33" x14ac:dyDescent="0.25">
      <c r="A163" s="8">
        <f t="shared" si="5"/>
        <v>162</v>
      </c>
      <c r="B163" s="6" t="str">
        <f>_xlfn.XLOOKUP(C163,Tab_Def_Flows[Flow_Name],Tab_Def_Flows[Flow_ID],,0,)</f>
        <v>F_00_02</v>
      </c>
      <c r="C163" s="138" t="s">
        <v>472</v>
      </c>
      <c r="D163" s="9" t="str">
        <f>_xlfn.XLOOKUP(C163,Tab_Def_Flows[Flow_Name],Tab_Def_Flows[WC?],,0,)</f>
        <v>Yes</v>
      </c>
      <c r="E163" s="9" t="str">
        <f>_xlfn.XLOOKUP(C163,Tab_Def_Flows[Flow_Name],Tab_Def_Flows[DM?],,0,)</f>
        <v>Yes</v>
      </c>
      <c r="F163" s="9" t="str">
        <f>_xlfn.XLOOKUP(C163,Tab_Def_Flows[Flow_Name],Tab_Def_Flows[CC?],,0,)</f>
        <v>Yes</v>
      </c>
      <c r="G163" s="7">
        <v>2085</v>
      </c>
      <c r="H163" s="21">
        <v>471866.4704639999</v>
      </c>
      <c r="I163" s="6" t="str">
        <f>'0_Configuration'!$C$4</f>
        <v>Mg</v>
      </c>
      <c r="J163" s="13"/>
      <c r="K163" s="13"/>
      <c r="L163" s="13"/>
      <c r="M163" s="13"/>
      <c r="N163" s="13"/>
      <c r="O163" s="7" t="s">
        <v>6</v>
      </c>
      <c r="P163" s="7"/>
      <c r="Q163" s="7"/>
      <c r="R163" s="6" t="str">
        <f>Tab_Data_Flows[[#This Row],[Flow_ID]]&amp;"_"&amp;"material_"&amp;Tab_Data_Flows[[#This Row],[Flow_Data_Year]]</f>
        <v>F_00_02_material_2085</v>
      </c>
      <c r="S163" s="12">
        <f t="shared" si="4"/>
        <v>471866.4704639999</v>
      </c>
      <c r="T163" s="6" t="str">
        <f>Tab_Data_Flows[[#This Row],[UoM_Source]]</f>
        <v>Mg</v>
      </c>
      <c r="U163" s="139">
        <f>INDEX(Tab_Def_Flows[[Flow_ID]:[CC_DM_source]],MATCH(Tab_Data_Flows[[#This Row],[Flow_Name]],Tab_Def_Flows[Flow_Name],0),11)</f>
        <v>0</v>
      </c>
      <c r="V163" s="6" t="str">
        <f>Tab_Data_Flows[[#This Row],[Flow_ID]]&amp;"_"&amp;"WC_"&amp;Tab_Data_Flows[[#This Row],[Flow_Data_Year]]</f>
        <v>F_00_02_WC_2085</v>
      </c>
      <c r="W163" s="6">
        <f>IF(D163="Yes",S163*Tab_Data_Flows[[#This Row],[WC_'[%']]],"N.A.")</f>
        <v>0</v>
      </c>
      <c r="X163" s="6" t="str">
        <f>Tab_Data_Flows[[#This Row],[UoM_Flow_Py]]</f>
        <v>Mg</v>
      </c>
      <c r="Y163" s="139">
        <f>INDEX(Tab_Def_Flows[[Flow_ID]:[CC_DM_source]],MATCH(Tab_Data_Flows[[#This Row],[Flow_Name]],Tab_Def_Flows[Flow_Name],0),14)</f>
        <v>1</v>
      </c>
      <c r="Z163" s="6" t="str">
        <f>Tab_Data_Flows[[#This Row],[Flow_ID]]&amp;"_"&amp;"DM_"&amp;Tab_Data_Flows[[#This Row],[Flow_Data_Year]]</f>
        <v>F_00_02_DM_2085</v>
      </c>
      <c r="AA163" s="6">
        <f>IF(E163="Yes",Y163*Tab_Data_Flows[[#This Row],[Flow_Material]],"N.A.")</f>
        <v>471866.4704639999</v>
      </c>
      <c r="AB163" s="6" t="str">
        <f>Tab_Data_Flows[[#This Row],[UoM_Flow_Py]]</f>
        <v>Mg</v>
      </c>
      <c r="AC163" s="139">
        <f>INDEX(Tab_Def_Flows[[Flow_ID]:[CC_DM_source]],MATCH(Tab_Data_Flows[[#This Row],[Flow_Name]],Tab_Def_Flows[Flow_Name],0),17)</f>
        <v>1</v>
      </c>
      <c r="AD163" s="6" t="str">
        <f>Tab_Data_Flows[[#This Row],[Flow_ID]]&amp;"_"&amp;"CC_"&amp;Tab_Data_Flows[[#This Row],[Flow_Data_Year]]</f>
        <v>F_00_02_CC_2085</v>
      </c>
      <c r="AE163" s="6">
        <f>IF(F163="Yes",AC163*Tab_Data_Flows[[#This Row],[Flow_Material]]*Tab_Data_Flows[[#This Row],[DM_'[%']]],"N.A.")</f>
        <v>471866.4704639999</v>
      </c>
      <c r="AF163" s="6" t="str">
        <f>Tab_Data_Flows[[#This Row],[UoM_Flow_Py]]</f>
        <v>Mg</v>
      </c>
      <c r="AG163"/>
    </row>
    <row r="164" spans="1:33" x14ac:dyDescent="0.25">
      <c r="A164" s="8">
        <f t="shared" si="5"/>
        <v>163</v>
      </c>
      <c r="B164" s="6" t="str">
        <f>_xlfn.XLOOKUP(C164,Tab_Def_Flows[Flow_Name],Tab_Def_Flows[Flow_ID],,0,)</f>
        <v>F_00_02</v>
      </c>
      <c r="C164" s="138" t="s">
        <v>472</v>
      </c>
      <c r="D164" s="9" t="str">
        <f>_xlfn.XLOOKUP(C164,Tab_Def_Flows[Flow_Name],Tab_Def_Flows[WC?],,0,)</f>
        <v>Yes</v>
      </c>
      <c r="E164" s="9" t="str">
        <f>_xlfn.XLOOKUP(C164,Tab_Def_Flows[Flow_Name],Tab_Def_Flows[DM?],,0,)</f>
        <v>Yes</v>
      </c>
      <c r="F164" s="9" t="str">
        <f>_xlfn.XLOOKUP(C164,Tab_Def_Flows[Flow_Name],Tab_Def_Flows[CC?],,0,)</f>
        <v>Yes</v>
      </c>
      <c r="G164" s="7">
        <v>2086</v>
      </c>
      <c r="H164" s="21">
        <v>411270.60902399995</v>
      </c>
      <c r="I164" s="6" t="str">
        <f>'0_Configuration'!$C$4</f>
        <v>Mg</v>
      </c>
      <c r="J164" s="13"/>
      <c r="K164" s="13"/>
      <c r="L164" s="13"/>
      <c r="M164" s="13"/>
      <c r="N164" s="13"/>
      <c r="O164" s="7" t="s">
        <v>6</v>
      </c>
      <c r="P164" s="7"/>
      <c r="Q164" s="7"/>
      <c r="R164" s="6" t="str">
        <f>Tab_Data_Flows[[#This Row],[Flow_ID]]&amp;"_"&amp;"material_"&amp;Tab_Data_Flows[[#This Row],[Flow_Data_Year]]</f>
        <v>F_00_02_material_2086</v>
      </c>
      <c r="S164" s="12">
        <f t="shared" si="4"/>
        <v>411270.60902399995</v>
      </c>
      <c r="T164" s="6" t="str">
        <f>Tab_Data_Flows[[#This Row],[UoM_Source]]</f>
        <v>Mg</v>
      </c>
      <c r="U164" s="139">
        <f>INDEX(Tab_Def_Flows[[Flow_ID]:[CC_DM_source]],MATCH(Tab_Data_Flows[[#This Row],[Flow_Name]],Tab_Def_Flows[Flow_Name],0),11)</f>
        <v>0</v>
      </c>
      <c r="V164" s="6" t="str">
        <f>Tab_Data_Flows[[#This Row],[Flow_ID]]&amp;"_"&amp;"WC_"&amp;Tab_Data_Flows[[#This Row],[Flow_Data_Year]]</f>
        <v>F_00_02_WC_2086</v>
      </c>
      <c r="W164" s="6">
        <f>IF(D164="Yes",S164*Tab_Data_Flows[[#This Row],[WC_'[%']]],"N.A.")</f>
        <v>0</v>
      </c>
      <c r="X164" s="6" t="str">
        <f>Tab_Data_Flows[[#This Row],[UoM_Flow_Py]]</f>
        <v>Mg</v>
      </c>
      <c r="Y164" s="139">
        <f>INDEX(Tab_Def_Flows[[Flow_ID]:[CC_DM_source]],MATCH(Tab_Data_Flows[[#This Row],[Flow_Name]],Tab_Def_Flows[Flow_Name],0),14)</f>
        <v>1</v>
      </c>
      <c r="Z164" s="6" t="str">
        <f>Tab_Data_Flows[[#This Row],[Flow_ID]]&amp;"_"&amp;"DM_"&amp;Tab_Data_Flows[[#This Row],[Flow_Data_Year]]</f>
        <v>F_00_02_DM_2086</v>
      </c>
      <c r="AA164" s="6">
        <f>IF(E164="Yes",Y164*Tab_Data_Flows[[#This Row],[Flow_Material]],"N.A.")</f>
        <v>411270.60902399995</v>
      </c>
      <c r="AB164" s="6" t="str">
        <f>Tab_Data_Flows[[#This Row],[UoM_Flow_Py]]</f>
        <v>Mg</v>
      </c>
      <c r="AC164" s="139">
        <f>INDEX(Tab_Def_Flows[[Flow_ID]:[CC_DM_source]],MATCH(Tab_Data_Flows[[#This Row],[Flow_Name]],Tab_Def_Flows[Flow_Name],0),17)</f>
        <v>1</v>
      </c>
      <c r="AD164" s="6" t="str">
        <f>Tab_Data_Flows[[#This Row],[Flow_ID]]&amp;"_"&amp;"CC_"&amp;Tab_Data_Flows[[#This Row],[Flow_Data_Year]]</f>
        <v>F_00_02_CC_2086</v>
      </c>
      <c r="AE164" s="6">
        <f>IF(F164="Yes",AC164*Tab_Data_Flows[[#This Row],[Flow_Material]]*Tab_Data_Flows[[#This Row],[DM_'[%']]],"N.A.")</f>
        <v>411270.60902399995</v>
      </c>
      <c r="AF164" s="6" t="str">
        <f>Tab_Data_Flows[[#This Row],[UoM_Flow_Py]]</f>
        <v>Mg</v>
      </c>
      <c r="AG164"/>
    </row>
    <row r="165" spans="1:33" x14ac:dyDescent="0.25">
      <c r="A165" s="8">
        <f t="shared" si="5"/>
        <v>164</v>
      </c>
      <c r="B165" s="6" t="str">
        <f>_xlfn.XLOOKUP(C165,Tab_Def_Flows[Flow_Name],Tab_Def_Flows[Flow_ID],,0,)</f>
        <v>F_00_02</v>
      </c>
      <c r="C165" s="138" t="s">
        <v>472</v>
      </c>
      <c r="D165" s="9" t="str">
        <f>_xlfn.XLOOKUP(C165,Tab_Def_Flows[Flow_Name],Tab_Def_Flows[WC?],,0,)</f>
        <v>Yes</v>
      </c>
      <c r="E165" s="9" t="str">
        <f>_xlfn.XLOOKUP(C165,Tab_Def_Flows[Flow_Name],Tab_Def_Flows[DM?],,0,)</f>
        <v>Yes</v>
      </c>
      <c r="F165" s="9" t="str">
        <f>_xlfn.XLOOKUP(C165,Tab_Def_Flows[Flow_Name],Tab_Def_Flows[CC?],,0,)</f>
        <v>Yes</v>
      </c>
      <c r="G165" s="7">
        <v>2087</v>
      </c>
      <c r="H165" s="21">
        <v>427185.03148799995</v>
      </c>
      <c r="I165" s="6" t="str">
        <f>'0_Configuration'!$C$4</f>
        <v>Mg</v>
      </c>
      <c r="J165" s="13"/>
      <c r="K165" s="13"/>
      <c r="L165" s="13"/>
      <c r="M165" s="13"/>
      <c r="N165" s="13"/>
      <c r="O165" s="7" t="s">
        <v>6</v>
      </c>
      <c r="P165" s="7"/>
      <c r="Q165" s="7"/>
      <c r="R165" s="6" t="str">
        <f>Tab_Data_Flows[[#This Row],[Flow_ID]]&amp;"_"&amp;"material_"&amp;Tab_Data_Flows[[#This Row],[Flow_Data_Year]]</f>
        <v>F_00_02_material_2087</v>
      </c>
      <c r="S165" s="12">
        <f t="shared" si="4"/>
        <v>427185.03148799995</v>
      </c>
      <c r="T165" s="6" t="str">
        <f>Tab_Data_Flows[[#This Row],[UoM_Source]]</f>
        <v>Mg</v>
      </c>
      <c r="U165" s="139">
        <f>INDEX(Tab_Def_Flows[[Flow_ID]:[CC_DM_source]],MATCH(Tab_Data_Flows[[#This Row],[Flow_Name]],Tab_Def_Flows[Flow_Name],0),11)</f>
        <v>0</v>
      </c>
      <c r="V165" s="6" t="str">
        <f>Tab_Data_Flows[[#This Row],[Flow_ID]]&amp;"_"&amp;"WC_"&amp;Tab_Data_Flows[[#This Row],[Flow_Data_Year]]</f>
        <v>F_00_02_WC_2087</v>
      </c>
      <c r="W165" s="6">
        <f>IF(D165="Yes",S165*Tab_Data_Flows[[#This Row],[WC_'[%']]],"N.A.")</f>
        <v>0</v>
      </c>
      <c r="X165" s="6" t="str">
        <f>Tab_Data_Flows[[#This Row],[UoM_Flow_Py]]</f>
        <v>Mg</v>
      </c>
      <c r="Y165" s="139">
        <f>INDEX(Tab_Def_Flows[[Flow_ID]:[CC_DM_source]],MATCH(Tab_Data_Flows[[#This Row],[Flow_Name]],Tab_Def_Flows[Flow_Name],0),14)</f>
        <v>1</v>
      </c>
      <c r="Z165" s="6" t="str">
        <f>Tab_Data_Flows[[#This Row],[Flow_ID]]&amp;"_"&amp;"DM_"&amp;Tab_Data_Flows[[#This Row],[Flow_Data_Year]]</f>
        <v>F_00_02_DM_2087</v>
      </c>
      <c r="AA165" s="6">
        <f>IF(E165="Yes",Y165*Tab_Data_Flows[[#This Row],[Flow_Material]],"N.A.")</f>
        <v>427185.03148799995</v>
      </c>
      <c r="AB165" s="6" t="str">
        <f>Tab_Data_Flows[[#This Row],[UoM_Flow_Py]]</f>
        <v>Mg</v>
      </c>
      <c r="AC165" s="139">
        <f>INDEX(Tab_Def_Flows[[Flow_ID]:[CC_DM_source]],MATCH(Tab_Data_Flows[[#This Row],[Flow_Name]],Tab_Def_Flows[Flow_Name],0),17)</f>
        <v>1</v>
      </c>
      <c r="AD165" s="6" t="str">
        <f>Tab_Data_Flows[[#This Row],[Flow_ID]]&amp;"_"&amp;"CC_"&amp;Tab_Data_Flows[[#This Row],[Flow_Data_Year]]</f>
        <v>F_00_02_CC_2087</v>
      </c>
      <c r="AE165" s="6">
        <f>IF(F165="Yes",AC165*Tab_Data_Flows[[#This Row],[Flow_Material]]*Tab_Data_Flows[[#This Row],[DM_'[%']]],"N.A.")</f>
        <v>427185.03148799995</v>
      </c>
      <c r="AF165" s="6" t="str">
        <f>Tab_Data_Flows[[#This Row],[UoM_Flow_Py]]</f>
        <v>Mg</v>
      </c>
      <c r="AG165"/>
    </row>
    <row r="166" spans="1:33" x14ac:dyDescent="0.25">
      <c r="A166" s="8">
        <f t="shared" si="5"/>
        <v>165</v>
      </c>
      <c r="B166" s="6" t="str">
        <f>_xlfn.XLOOKUP(C166,Tab_Def_Flows[Flow_Name],Tab_Def_Flows[Flow_ID],,0,)</f>
        <v>F_00_02</v>
      </c>
      <c r="C166" s="138" t="s">
        <v>472</v>
      </c>
      <c r="D166" s="9" t="str">
        <f>_xlfn.XLOOKUP(C166,Tab_Def_Flows[Flow_Name],Tab_Def_Flows[WC?],,0,)</f>
        <v>Yes</v>
      </c>
      <c r="E166" s="9" t="str">
        <f>_xlfn.XLOOKUP(C166,Tab_Def_Flows[Flow_Name],Tab_Def_Flows[DM?],,0,)</f>
        <v>Yes</v>
      </c>
      <c r="F166" s="9" t="str">
        <f>_xlfn.XLOOKUP(C166,Tab_Def_Flows[Flow_Name],Tab_Def_Flows[CC?],,0,)</f>
        <v>Yes</v>
      </c>
      <c r="G166" s="7">
        <v>2088</v>
      </c>
      <c r="H166" s="21">
        <v>404378.14521599998</v>
      </c>
      <c r="I166" s="6" t="str">
        <f>'0_Configuration'!$C$4</f>
        <v>Mg</v>
      </c>
      <c r="J166" s="13"/>
      <c r="K166" s="13"/>
      <c r="L166" s="13"/>
      <c r="M166" s="13"/>
      <c r="N166" s="13"/>
      <c r="O166" s="7" t="s">
        <v>6</v>
      </c>
      <c r="P166" s="7"/>
      <c r="Q166" s="7"/>
      <c r="R166" s="6" t="str">
        <f>Tab_Data_Flows[[#This Row],[Flow_ID]]&amp;"_"&amp;"material_"&amp;Tab_Data_Flows[[#This Row],[Flow_Data_Year]]</f>
        <v>F_00_02_material_2088</v>
      </c>
      <c r="S166" s="12">
        <f t="shared" si="4"/>
        <v>404378.14521599998</v>
      </c>
      <c r="T166" s="6" t="str">
        <f>Tab_Data_Flows[[#This Row],[UoM_Source]]</f>
        <v>Mg</v>
      </c>
      <c r="U166" s="139">
        <f>INDEX(Tab_Def_Flows[[Flow_ID]:[CC_DM_source]],MATCH(Tab_Data_Flows[[#This Row],[Flow_Name]],Tab_Def_Flows[Flow_Name],0),11)</f>
        <v>0</v>
      </c>
      <c r="V166" s="6" t="str">
        <f>Tab_Data_Flows[[#This Row],[Flow_ID]]&amp;"_"&amp;"WC_"&amp;Tab_Data_Flows[[#This Row],[Flow_Data_Year]]</f>
        <v>F_00_02_WC_2088</v>
      </c>
      <c r="W166" s="6">
        <f>IF(D166="Yes",S166*Tab_Data_Flows[[#This Row],[WC_'[%']]],"N.A.")</f>
        <v>0</v>
      </c>
      <c r="X166" s="6" t="str">
        <f>Tab_Data_Flows[[#This Row],[UoM_Flow_Py]]</f>
        <v>Mg</v>
      </c>
      <c r="Y166" s="139">
        <f>INDEX(Tab_Def_Flows[[Flow_ID]:[CC_DM_source]],MATCH(Tab_Data_Flows[[#This Row],[Flow_Name]],Tab_Def_Flows[Flow_Name],0),14)</f>
        <v>1</v>
      </c>
      <c r="Z166" s="6" t="str">
        <f>Tab_Data_Flows[[#This Row],[Flow_ID]]&amp;"_"&amp;"DM_"&amp;Tab_Data_Flows[[#This Row],[Flow_Data_Year]]</f>
        <v>F_00_02_DM_2088</v>
      </c>
      <c r="AA166" s="6">
        <f>IF(E166="Yes",Y166*Tab_Data_Flows[[#This Row],[Flow_Material]],"N.A.")</f>
        <v>404378.14521599998</v>
      </c>
      <c r="AB166" s="6" t="str">
        <f>Tab_Data_Flows[[#This Row],[UoM_Flow_Py]]</f>
        <v>Mg</v>
      </c>
      <c r="AC166" s="139">
        <f>INDEX(Tab_Def_Flows[[Flow_ID]:[CC_DM_source]],MATCH(Tab_Data_Flows[[#This Row],[Flow_Name]],Tab_Def_Flows[Flow_Name],0),17)</f>
        <v>1</v>
      </c>
      <c r="AD166" s="6" t="str">
        <f>Tab_Data_Flows[[#This Row],[Flow_ID]]&amp;"_"&amp;"CC_"&amp;Tab_Data_Flows[[#This Row],[Flow_Data_Year]]</f>
        <v>F_00_02_CC_2088</v>
      </c>
      <c r="AE166" s="6">
        <f>IF(F166="Yes",AC166*Tab_Data_Flows[[#This Row],[Flow_Material]]*Tab_Data_Flows[[#This Row],[DM_'[%']]],"N.A.")</f>
        <v>404378.14521599998</v>
      </c>
      <c r="AF166" s="6" t="str">
        <f>Tab_Data_Flows[[#This Row],[UoM_Flow_Py]]</f>
        <v>Mg</v>
      </c>
      <c r="AG166"/>
    </row>
    <row r="167" spans="1:33" x14ac:dyDescent="0.25">
      <c r="A167" s="8">
        <f t="shared" si="5"/>
        <v>166</v>
      </c>
      <c r="B167" s="6" t="str">
        <f>_xlfn.XLOOKUP(C167,Tab_Def_Flows[Flow_Name],Tab_Def_Flows[Flow_ID],,0,)</f>
        <v>F_00_02</v>
      </c>
      <c r="C167" s="138" t="s">
        <v>472</v>
      </c>
      <c r="D167" s="9" t="str">
        <f>_xlfn.XLOOKUP(C167,Tab_Def_Flows[Flow_Name],Tab_Def_Flows[WC?],,0,)</f>
        <v>Yes</v>
      </c>
      <c r="E167" s="9" t="str">
        <f>_xlfn.XLOOKUP(C167,Tab_Def_Flows[Flow_Name],Tab_Def_Flows[DM?],,0,)</f>
        <v>Yes</v>
      </c>
      <c r="F167" s="9" t="str">
        <f>_xlfn.XLOOKUP(C167,Tab_Def_Flows[Flow_Name],Tab_Def_Flows[CC?],,0,)</f>
        <v>Yes</v>
      </c>
      <c r="G167" s="7">
        <v>2089</v>
      </c>
      <c r="H167" s="21">
        <v>452419.28083199996</v>
      </c>
      <c r="I167" s="6" t="str">
        <f>'0_Configuration'!$C$4</f>
        <v>Mg</v>
      </c>
      <c r="J167" s="13"/>
      <c r="K167" s="13"/>
      <c r="L167" s="13"/>
      <c r="M167" s="13"/>
      <c r="N167" s="13"/>
      <c r="O167" s="7" t="s">
        <v>6</v>
      </c>
      <c r="P167" s="7"/>
      <c r="Q167" s="7"/>
      <c r="R167" s="6" t="str">
        <f>Tab_Data_Flows[[#This Row],[Flow_ID]]&amp;"_"&amp;"material_"&amp;Tab_Data_Flows[[#This Row],[Flow_Data_Year]]</f>
        <v>F_00_02_material_2089</v>
      </c>
      <c r="S167" s="12">
        <f t="shared" si="4"/>
        <v>452419.28083199996</v>
      </c>
      <c r="T167" s="6" t="str">
        <f>Tab_Data_Flows[[#This Row],[UoM_Source]]</f>
        <v>Mg</v>
      </c>
      <c r="U167" s="139">
        <f>INDEX(Tab_Def_Flows[[Flow_ID]:[CC_DM_source]],MATCH(Tab_Data_Flows[[#This Row],[Flow_Name]],Tab_Def_Flows[Flow_Name],0),11)</f>
        <v>0</v>
      </c>
      <c r="V167" s="6" t="str">
        <f>Tab_Data_Flows[[#This Row],[Flow_ID]]&amp;"_"&amp;"WC_"&amp;Tab_Data_Flows[[#This Row],[Flow_Data_Year]]</f>
        <v>F_00_02_WC_2089</v>
      </c>
      <c r="W167" s="6">
        <f>IF(D167="Yes",S167*Tab_Data_Flows[[#This Row],[WC_'[%']]],"N.A.")</f>
        <v>0</v>
      </c>
      <c r="X167" s="6" t="str">
        <f>Tab_Data_Flows[[#This Row],[UoM_Flow_Py]]</f>
        <v>Mg</v>
      </c>
      <c r="Y167" s="139">
        <f>INDEX(Tab_Def_Flows[[Flow_ID]:[CC_DM_source]],MATCH(Tab_Data_Flows[[#This Row],[Flow_Name]],Tab_Def_Flows[Flow_Name],0),14)</f>
        <v>1</v>
      </c>
      <c r="Z167" s="6" t="str">
        <f>Tab_Data_Flows[[#This Row],[Flow_ID]]&amp;"_"&amp;"DM_"&amp;Tab_Data_Flows[[#This Row],[Flow_Data_Year]]</f>
        <v>F_00_02_DM_2089</v>
      </c>
      <c r="AA167" s="6">
        <f>IF(E167="Yes",Y167*Tab_Data_Flows[[#This Row],[Flow_Material]],"N.A.")</f>
        <v>452419.28083199996</v>
      </c>
      <c r="AB167" s="6" t="str">
        <f>Tab_Data_Flows[[#This Row],[UoM_Flow_Py]]</f>
        <v>Mg</v>
      </c>
      <c r="AC167" s="139">
        <f>INDEX(Tab_Def_Flows[[Flow_ID]:[CC_DM_source]],MATCH(Tab_Data_Flows[[#This Row],[Flow_Name]],Tab_Def_Flows[Flow_Name],0),17)</f>
        <v>1</v>
      </c>
      <c r="AD167" s="6" t="str">
        <f>Tab_Data_Flows[[#This Row],[Flow_ID]]&amp;"_"&amp;"CC_"&amp;Tab_Data_Flows[[#This Row],[Flow_Data_Year]]</f>
        <v>F_00_02_CC_2089</v>
      </c>
      <c r="AE167" s="6">
        <f>IF(F167="Yes",AC167*Tab_Data_Flows[[#This Row],[Flow_Material]]*Tab_Data_Flows[[#This Row],[DM_'[%']]],"N.A.")</f>
        <v>452419.28083199996</v>
      </c>
      <c r="AF167" s="6" t="str">
        <f>Tab_Data_Flows[[#This Row],[UoM_Flow_Py]]</f>
        <v>Mg</v>
      </c>
      <c r="AG167"/>
    </row>
    <row r="168" spans="1:33" x14ac:dyDescent="0.25">
      <c r="A168" s="8">
        <f t="shared" si="5"/>
        <v>167</v>
      </c>
      <c r="B168" s="6" t="str">
        <f>_xlfn.XLOOKUP(C168,Tab_Def_Flows[Flow_Name],Tab_Def_Flows[Flow_ID],,0,)</f>
        <v>F_00_02</v>
      </c>
      <c r="C168" s="138" t="s">
        <v>472</v>
      </c>
      <c r="D168" s="9" t="str">
        <f>_xlfn.XLOOKUP(C168,Tab_Def_Flows[Flow_Name],Tab_Def_Flows[WC?],,0,)</f>
        <v>Yes</v>
      </c>
      <c r="E168" s="9" t="str">
        <f>_xlfn.XLOOKUP(C168,Tab_Def_Flows[Flow_Name],Tab_Def_Flows[DM?],,0,)</f>
        <v>Yes</v>
      </c>
      <c r="F168" s="9" t="str">
        <f>_xlfn.XLOOKUP(C168,Tab_Def_Flows[Flow_Name],Tab_Def_Flows[CC?],,0,)</f>
        <v>Yes</v>
      </c>
      <c r="G168" s="7">
        <v>2090</v>
      </c>
      <c r="H168" s="21">
        <v>393692.27231999999</v>
      </c>
      <c r="I168" s="6" t="str">
        <f>'0_Configuration'!$C$4</f>
        <v>Mg</v>
      </c>
      <c r="J168" s="13"/>
      <c r="K168" s="13"/>
      <c r="L168" s="13"/>
      <c r="M168" s="13"/>
      <c r="N168" s="13"/>
      <c r="O168" s="7" t="s">
        <v>6</v>
      </c>
      <c r="P168" s="7"/>
      <c r="Q168" s="7"/>
      <c r="R168" s="6" t="str">
        <f>Tab_Data_Flows[[#This Row],[Flow_ID]]&amp;"_"&amp;"material_"&amp;Tab_Data_Flows[[#This Row],[Flow_Data_Year]]</f>
        <v>F_00_02_material_2090</v>
      </c>
      <c r="S168" s="12">
        <f t="shared" si="4"/>
        <v>393692.27231999999</v>
      </c>
      <c r="T168" s="6" t="str">
        <f>Tab_Data_Flows[[#This Row],[UoM_Source]]</f>
        <v>Mg</v>
      </c>
      <c r="U168" s="139">
        <f>INDEX(Tab_Def_Flows[[Flow_ID]:[CC_DM_source]],MATCH(Tab_Data_Flows[[#This Row],[Flow_Name]],Tab_Def_Flows[Flow_Name],0),11)</f>
        <v>0</v>
      </c>
      <c r="V168" s="6" t="str">
        <f>Tab_Data_Flows[[#This Row],[Flow_ID]]&amp;"_"&amp;"WC_"&amp;Tab_Data_Flows[[#This Row],[Flow_Data_Year]]</f>
        <v>F_00_02_WC_2090</v>
      </c>
      <c r="W168" s="6">
        <f>IF(D168="Yes",S168*Tab_Data_Flows[[#This Row],[WC_'[%']]],"N.A.")</f>
        <v>0</v>
      </c>
      <c r="X168" s="6" t="str">
        <f>Tab_Data_Flows[[#This Row],[UoM_Flow_Py]]</f>
        <v>Mg</v>
      </c>
      <c r="Y168" s="139">
        <f>INDEX(Tab_Def_Flows[[Flow_ID]:[CC_DM_source]],MATCH(Tab_Data_Flows[[#This Row],[Flow_Name]],Tab_Def_Flows[Flow_Name],0),14)</f>
        <v>1</v>
      </c>
      <c r="Z168" s="6" t="str">
        <f>Tab_Data_Flows[[#This Row],[Flow_ID]]&amp;"_"&amp;"DM_"&amp;Tab_Data_Flows[[#This Row],[Flow_Data_Year]]</f>
        <v>F_00_02_DM_2090</v>
      </c>
      <c r="AA168" s="6">
        <f>IF(E168="Yes",Y168*Tab_Data_Flows[[#This Row],[Flow_Material]],"N.A.")</f>
        <v>393692.27231999999</v>
      </c>
      <c r="AB168" s="6" t="str">
        <f>Tab_Data_Flows[[#This Row],[UoM_Flow_Py]]</f>
        <v>Mg</v>
      </c>
      <c r="AC168" s="139">
        <f>INDEX(Tab_Def_Flows[[Flow_ID]:[CC_DM_source]],MATCH(Tab_Data_Flows[[#This Row],[Flow_Name]],Tab_Def_Flows[Flow_Name],0),17)</f>
        <v>1</v>
      </c>
      <c r="AD168" s="6" t="str">
        <f>Tab_Data_Flows[[#This Row],[Flow_ID]]&amp;"_"&amp;"CC_"&amp;Tab_Data_Flows[[#This Row],[Flow_Data_Year]]</f>
        <v>F_00_02_CC_2090</v>
      </c>
      <c r="AE168" s="6">
        <f>IF(F168="Yes",AC168*Tab_Data_Flows[[#This Row],[Flow_Material]]*Tab_Data_Flows[[#This Row],[DM_'[%']]],"N.A.")</f>
        <v>393692.27231999999</v>
      </c>
      <c r="AF168" s="6" t="str">
        <f>Tab_Data_Flows[[#This Row],[UoM_Flow_Py]]</f>
        <v>Mg</v>
      </c>
      <c r="AG168"/>
    </row>
    <row r="169" spans="1:33" x14ac:dyDescent="0.25">
      <c r="A169" s="8">
        <f t="shared" si="5"/>
        <v>168</v>
      </c>
      <c r="B169" s="6" t="str">
        <f>_xlfn.XLOOKUP(C169,Tab_Def_Flows[Flow_Name],Tab_Def_Flows[Flow_ID],,0,)</f>
        <v>F_00_02</v>
      </c>
      <c r="C169" s="138" t="s">
        <v>472</v>
      </c>
      <c r="D169" s="9" t="str">
        <f>_xlfn.XLOOKUP(C169,Tab_Def_Flows[Flow_Name],Tab_Def_Flows[WC?],,0,)</f>
        <v>Yes</v>
      </c>
      <c r="E169" s="9" t="str">
        <f>_xlfn.XLOOKUP(C169,Tab_Def_Flows[Flow_Name],Tab_Def_Flows[DM?],,0,)</f>
        <v>Yes</v>
      </c>
      <c r="F169" s="9" t="str">
        <f>_xlfn.XLOOKUP(C169,Tab_Def_Flows[Flow_Name],Tab_Def_Flows[CC?],,0,)</f>
        <v>Yes</v>
      </c>
      <c r="G169" s="7">
        <v>2091</v>
      </c>
      <c r="H169" s="21">
        <v>495611.96899199992</v>
      </c>
      <c r="I169" s="6" t="str">
        <f>'0_Configuration'!$C$4</f>
        <v>Mg</v>
      </c>
      <c r="J169" s="13"/>
      <c r="K169" s="13"/>
      <c r="L169" s="13"/>
      <c r="M169" s="13"/>
      <c r="N169" s="13"/>
      <c r="O169" s="7" t="s">
        <v>6</v>
      </c>
      <c r="P169" s="7"/>
      <c r="Q169" s="7"/>
      <c r="R169" s="6" t="str">
        <f>Tab_Data_Flows[[#This Row],[Flow_ID]]&amp;"_"&amp;"material_"&amp;Tab_Data_Flows[[#This Row],[Flow_Data_Year]]</f>
        <v>F_00_02_material_2091</v>
      </c>
      <c r="S169" s="12">
        <f t="shared" si="4"/>
        <v>495611.96899199992</v>
      </c>
      <c r="T169" s="6" t="str">
        <f>Tab_Data_Flows[[#This Row],[UoM_Source]]</f>
        <v>Mg</v>
      </c>
      <c r="U169" s="139">
        <f>INDEX(Tab_Def_Flows[[Flow_ID]:[CC_DM_source]],MATCH(Tab_Data_Flows[[#This Row],[Flow_Name]],Tab_Def_Flows[Flow_Name],0),11)</f>
        <v>0</v>
      </c>
      <c r="V169" s="6" t="str">
        <f>Tab_Data_Flows[[#This Row],[Flow_ID]]&amp;"_"&amp;"WC_"&amp;Tab_Data_Flows[[#This Row],[Flow_Data_Year]]</f>
        <v>F_00_02_WC_2091</v>
      </c>
      <c r="W169" s="6">
        <f>IF(D169="Yes",S169*Tab_Data_Flows[[#This Row],[WC_'[%']]],"N.A.")</f>
        <v>0</v>
      </c>
      <c r="X169" s="6" t="str">
        <f>Tab_Data_Flows[[#This Row],[UoM_Flow_Py]]</f>
        <v>Mg</v>
      </c>
      <c r="Y169" s="139">
        <f>INDEX(Tab_Def_Flows[[Flow_ID]:[CC_DM_source]],MATCH(Tab_Data_Flows[[#This Row],[Flow_Name]],Tab_Def_Flows[Flow_Name],0),14)</f>
        <v>1</v>
      </c>
      <c r="Z169" s="6" t="str">
        <f>Tab_Data_Flows[[#This Row],[Flow_ID]]&amp;"_"&amp;"DM_"&amp;Tab_Data_Flows[[#This Row],[Flow_Data_Year]]</f>
        <v>F_00_02_DM_2091</v>
      </c>
      <c r="AA169" s="6">
        <f>IF(E169="Yes",Y169*Tab_Data_Flows[[#This Row],[Flow_Material]],"N.A.")</f>
        <v>495611.96899199992</v>
      </c>
      <c r="AB169" s="6" t="str">
        <f>Tab_Data_Flows[[#This Row],[UoM_Flow_Py]]</f>
        <v>Mg</v>
      </c>
      <c r="AC169" s="139">
        <f>INDEX(Tab_Def_Flows[[Flow_ID]:[CC_DM_source]],MATCH(Tab_Data_Flows[[#This Row],[Flow_Name]],Tab_Def_Flows[Flow_Name],0),17)</f>
        <v>1</v>
      </c>
      <c r="AD169" s="6" t="str">
        <f>Tab_Data_Flows[[#This Row],[Flow_ID]]&amp;"_"&amp;"CC_"&amp;Tab_Data_Flows[[#This Row],[Flow_Data_Year]]</f>
        <v>F_00_02_CC_2091</v>
      </c>
      <c r="AE169" s="6">
        <f>IF(F169="Yes",AC169*Tab_Data_Flows[[#This Row],[Flow_Material]]*Tab_Data_Flows[[#This Row],[DM_'[%']]],"N.A.")</f>
        <v>495611.96899199992</v>
      </c>
      <c r="AF169" s="6" t="str">
        <f>Tab_Data_Flows[[#This Row],[UoM_Flow_Py]]</f>
        <v>Mg</v>
      </c>
      <c r="AG169"/>
    </row>
    <row r="170" spans="1:33" x14ac:dyDescent="0.25">
      <c r="A170" s="8">
        <f t="shared" si="5"/>
        <v>169</v>
      </c>
      <c r="B170" s="6" t="str">
        <f>_xlfn.XLOOKUP(C170,Tab_Def_Flows[Flow_Name],Tab_Def_Flows[Flow_ID],,0,)</f>
        <v>F_00_02</v>
      </c>
      <c r="C170" s="138" t="s">
        <v>472</v>
      </c>
      <c r="D170" s="9" t="str">
        <f>_xlfn.XLOOKUP(C170,Tab_Def_Flows[Flow_Name],Tab_Def_Flows[WC?],,0,)</f>
        <v>Yes</v>
      </c>
      <c r="E170" s="9" t="str">
        <f>_xlfn.XLOOKUP(C170,Tab_Def_Flows[Flow_Name],Tab_Def_Flows[DM?],,0,)</f>
        <v>Yes</v>
      </c>
      <c r="F170" s="9" t="str">
        <f>_xlfn.XLOOKUP(C170,Tab_Def_Flows[Flow_Name],Tab_Def_Flows[CC?],,0,)</f>
        <v>Yes</v>
      </c>
      <c r="G170" s="7">
        <v>2092</v>
      </c>
      <c r="H170" s="21">
        <v>435956.64758400002</v>
      </c>
      <c r="I170" s="6" t="str">
        <f>'0_Configuration'!$C$4</f>
        <v>Mg</v>
      </c>
      <c r="J170" s="13"/>
      <c r="K170" s="13"/>
      <c r="L170" s="13"/>
      <c r="M170" s="13"/>
      <c r="N170" s="13"/>
      <c r="O170" s="7" t="s">
        <v>6</v>
      </c>
      <c r="P170" s="7"/>
      <c r="Q170" s="7"/>
      <c r="R170" s="6" t="str">
        <f>Tab_Data_Flows[[#This Row],[Flow_ID]]&amp;"_"&amp;"material_"&amp;Tab_Data_Flows[[#This Row],[Flow_Data_Year]]</f>
        <v>F_00_02_material_2092</v>
      </c>
      <c r="S170" s="12">
        <f t="shared" si="4"/>
        <v>435956.64758400002</v>
      </c>
      <c r="T170" s="6" t="str">
        <f>Tab_Data_Flows[[#This Row],[UoM_Source]]</f>
        <v>Mg</v>
      </c>
      <c r="U170" s="139">
        <f>INDEX(Tab_Def_Flows[[Flow_ID]:[CC_DM_source]],MATCH(Tab_Data_Flows[[#This Row],[Flow_Name]],Tab_Def_Flows[Flow_Name],0),11)</f>
        <v>0</v>
      </c>
      <c r="V170" s="6" t="str">
        <f>Tab_Data_Flows[[#This Row],[Flow_ID]]&amp;"_"&amp;"WC_"&amp;Tab_Data_Flows[[#This Row],[Flow_Data_Year]]</f>
        <v>F_00_02_WC_2092</v>
      </c>
      <c r="W170" s="6">
        <f>IF(D170="Yes",S170*Tab_Data_Flows[[#This Row],[WC_'[%']]],"N.A.")</f>
        <v>0</v>
      </c>
      <c r="X170" s="6" t="str">
        <f>Tab_Data_Flows[[#This Row],[UoM_Flow_Py]]</f>
        <v>Mg</v>
      </c>
      <c r="Y170" s="139">
        <f>INDEX(Tab_Def_Flows[[Flow_ID]:[CC_DM_source]],MATCH(Tab_Data_Flows[[#This Row],[Flow_Name]],Tab_Def_Flows[Flow_Name],0),14)</f>
        <v>1</v>
      </c>
      <c r="Z170" s="6" t="str">
        <f>Tab_Data_Flows[[#This Row],[Flow_ID]]&amp;"_"&amp;"DM_"&amp;Tab_Data_Flows[[#This Row],[Flow_Data_Year]]</f>
        <v>F_00_02_DM_2092</v>
      </c>
      <c r="AA170" s="6">
        <f>IF(E170="Yes",Y170*Tab_Data_Flows[[#This Row],[Flow_Material]],"N.A.")</f>
        <v>435956.64758400002</v>
      </c>
      <c r="AB170" s="6" t="str">
        <f>Tab_Data_Flows[[#This Row],[UoM_Flow_Py]]</f>
        <v>Mg</v>
      </c>
      <c r="AC170" s="139">
        <f>INDEX(Tab_Def_Flows[[Flow_ID]:[CC_DM_source]],MATCH(Tab_Data_Flows[[#This Row],[Flow_Name]],Tab_Def_Flows[Flow_Name],0),17)</f>
        <v>1</v>
      </c>
      <c r="AD170" s="6" t="str">
        <f>Tab_Data_Flows[[#This Row],[Flow_ID]]&amp;"_"&amp;"CC_"&amp;Tab_Data_Flows[[#This Row],[Flow_Data_Year]]</f>
        <v>F_00_02_CC_2092</v>
      </c>
      <c r="AE170" s="6">
        <f>IF(F170="Yes",AC170*Tab_Data_Flows[[#This Row],[Flow_Material]]*Tab_Data_Flows[[#This Row],[DM_'[%']]],"N.A.")</f>
        <v>435956.64758400002</v>
      </c>
      <c r="AF170" s="6" t="str">
        <f>Tab_Data_Flows[[#This Row],[UoM_Flow_Py]]</f>
        <v>Mg</v>
      </c>
      <c r="AG170"/>
    </row>
    <row r="171" spans="1:33" x14ac:dyDescent="0.25">
      <c r="A171" s="8">
        <f t="shared" si="5"/>
        <v>170</v>
      </c>
      <c r="B171" s="6" t="str">
        <f>_xlfn.XLOOKUP(C171,Tab_Def_Flows[Flow_Name],Tab_Def_Flows[Flow_ID],,0,)</f>
        <v>F_00_02</v>
      </c>
      <c r="C171" s="138" t="s">
        <v>472</v>
      </c>
      <c r="D171" s="9" t="str">
        <f>_xlfn.XLOOKUP(C171,Tab_Def_Flows[Flow_Name],Tab_Def_Flows[WC?],,0,)</f>
        <v>Yes</v>
      </c>
      <c r="E171" s="9" t="str">
        <f>_xlfn.XLOOKUP(C171,Tab_Def_Flows[Flow_Name],Tab_Def_Flows[DM?],,0,)</f>
        <v>Yes</v>
      </c>
      <c r="F171" s="9" t="str">
        <f>_xlfn.XLOOKUP(C171,Tab_Def_Flows[Flow_Name],Tab_Def_Flows[CC?],,0,)</f>
        <v>Yes</v>
      </c>
      <c r="G171" s="7">
        <v>2093</v>
      </c>
      <c r="H171" s="21">
        <v>423014.86809599999</v>
      </c>
      <c r="I171" s="6" t="str">
        <f>'0_Configuration'!$C$4</f>
        <v>Mg</v>
      </c>
      <c r="J171" s="13"/>
      <c r="K171" s="13"/>
      <c r="L171" s="13"/>
      <c r="M171" s="13"/>
      <c r="N171" s="13"/>
      <c r="O171" s="7" t="s">
        <v>6</v>
      </c>
      <c r="P171" s="7"/>
      <c r="Q171" s="7"/>
      <c r="R171" s="6" t="str">
        <f>Tab_Data_Flows[[#This Row],[Flow_ID]]&amp;"_"&amp;"material_"&amp;Tab_Data_Flows[[#This Row],[Flow_Data_Year]]</f>
        <v>F_00_02_material_2093</v>
      </c>
      <c r="S171" s="12">
        <f t="shared" si="4"/>
        <v>423014.86809599999</v>
      </c>
      <c r="T171" s="6" t="str">
        <f>Tab_Data_Flows[[#This Row],[UoM_Source]]</f>
        <v>Mg</v>
      </c>
      <c r="U171" s="139">
        <f>INDEX(Tab_Def_Flows[[Flow_ID]:[CC_DM_source]],MATCH(Tab_Data_Flows[[#This Row],[Flow_Name]],Tab_Def_Flows[Flow_Name],0),11)</f>
        <v>0</v>
      </c>
      <c r="V171" s="6" t="str">
        <f>Tab_Data_Flows[[#This Row],[Flow_ID]]&amp;"_"&amp;"WC_"&amp;Tab_Data_Flows[[#This Row],[Flow_Data_Year]]</f>
        <v>F_00_02_WC_2093</v>
      </c>
      <c r="W171" s="6">
        <f>IF(D171="Yes",S171*Tab_Data_Flows[[#This Row],[WC_'[%']]],"N.A.")</f>
        <v>0</v>
      </c>
      <c r="X171" s="6" t="str">
        <f>Tab_Data_Flows[[#This Row],[UoM_Flow_Py]]</f>
        <v>Mg</v>
      </c>
      <c r="Y171" s="139">
        <f>INDEX(Tab_Def_Flows[[Flow_ID]:[CC_DM_source]],MATCH(Tab_Data_Flows[[#This Row],[Flow_Name]],Tab_Def_Flows[Flow_Name],0),14)</f>
        <v>1</v>
      </c>
      <c r="Z171" s="6" t="str">
        <f>Tab_Data_Flows[[#This Row],[Flow_ID]]&amp;"_"&amp;"DM_"&amp;Tab_Data_Flows[[#This Row],[Flow_Data_Year]]</f>
        <v>F_00_02_DM_2093</v>
      </c>
      <c r="AA171" s="6">
        <f>IF(E171="Yes",Y171*Tab_Data_Flows[[#This Row],[Flow_Material]],"N.A.")</f>
        <v>423014.86809599999</v>
      </c>
      <c r="AB171" s="6" t="str">
        <f>Tab_Data_Flows[[#This Row],[UoM_Flow_Py]]</f>
        <v>Mg</v>
      </c>
      <c r="AC171" s="139">
        <f>INDEX(Tab_Def_Flows[[Flow_ID]:[CC_DM_source]],MATCH(Tab_Data_Flows[[#This Row],[Flow_Name]],Tab_Def_Flows[Flow_Name],0),17)</f>
        <v>1</v>
      </c>
      <c r="AD171" s="6" t="str">
        <f>Tab_Data_Flows[[#This Row],[Flow_ID]]&amp;"_"&amp;"CC_"&amp;Tab_Data_Flows[[#This Row],[Flow_Data_Year]]</f>
        <v>F_00_02_CC_2093</v>
      </c>
      <c r="AE171" s="6">
        <f>IF(F171="Yes",AC171*Tab_Data_Flows[[#This Row],[Flow_Material]]*Tab_Data_Flows[[#This Row],[DM_'[%']]],"N.A.")</f>
        <v>423014.86809599999</v>
      </c>
      <c r="AF171" s="6" t="str">
        <f>Tab_Data_Flows[[#This Row],[UoM_Flow_Py]]</f>
        <v>Mg</v>
      </c>
      <c r="AG171"/>
    </row>
    <row r="172" spans="1:33" x14ac:dyDescent="0.25">
      <c r="A172" s="8">
        <f t="shared" si="5"/>
        <v>171</v>
      </c>
      <c r="B172" s="6" t="str">
        <f>_xlfn.XLOOKUP(C172,Tab_Def_Flows[Flow_Name],Tab_Def_Flows[Flow_ID],,0,)</f>
        <v>F_00_02</v>
      </c>
      <c r="C172" s="138" t="s">
        <v>472</v>
      </c>
      <c r="D172" s="9" t="str">
        <f>_xlfn.XLOOKUP(C172,Tab_Def_Flows[Flow_Name],Tab_Def_Flows[WC?],,0,)</f>
        <v>Yes</v>
      </c>
      <c r="E172" s="9" t="str">
        <f>_xlfn.XLOOKUP(C172,Tab_Def_Flows[Flow_Name],Tab_Def_Flows[DM?],,0,)</f>
        <v>Yes</v>
      </c>
      <c r="F172" s="9" t="str">
        <f>_xlfn.XLOOKUP(C172,Tab_Def_Flows[Flow_Name],Tab_Def_Flows[CC?],,0,)</f>
        <v>Yes</v>
      </c>
      <c r="G172" s="7">
        <v>2094</v>
      </c>
      <c r="H172" s="21">
        <v>464758.84703999996</v>
      </c>
      <c r="I172" s="6" t="str">
        <f>'0_Configuration'!$C$4</f>
        <v>Mg</v>
      </c>
      <c r="J172" s="13"/>
      <c r="K172" s="13"/>
      <c r="L172" s="13"/>
      <c r="M172" s="13"/>
      <c r="N172" s="13"/>
      <c r="O172" s="7" t="s">
        <v>6</v>
      </c>
      <c r="P172" s="7"/>
      <c r="Q172" s="7"/>
      <c r="R172" s="6" t="str">
        <f>Tab_Data_Flows[[#This Row],[Flow_ID]]&amp;"_"&amp;"material_"&amp;Tab_Data_Flows[[#This Row],[Flow_Data_Year]]</f>
        <v>F_00_02_material_2094</v>
      </c>
      <c r="S172" s="12">
        <f t="shared" si="4"/>
        <v>464758.84703999996</v>
      </c>
      <c r="T172" s="6" t="str">
        <f>Tab_Data_Flows[[#This Row],[UoM_Source]]</f>
        <v>Mg</v>
      </c>
      <c r="U172" s="139">
        <f>INDEX(Tab_Def_Flows[[Flow_ID]:[CC_DM_source]],MATCH(Tab_Data_Flows[[#This Row],[Flow_Name]],Tab_Def_Flows[Flow_Name],0),11)</f>
        <v>0</v>
      </c>
      <c r="V172" s="6" t="str">
        <f>Tab_Data_Flows[[#This Row],[Flow_ID]]&amp;"_"&amp;"WC_"&amp;Tab_Data_Flows[[#This Row],[Flow_Data_Year]]</f>
        <v>F_00_02_WC_2094</v>
      </c>
      <c r="W172" s="6">
        <f>IF(D172="Yes",S172*Tab_Data_Flows[[#This Row],[WC_'[%']]],"N.A.")</f>
        <v>0</v>
      </c>
      <c r="X172" s="6" t="str">
        <f>Tab_Data_Flows[[#This Row],[UoM_Flow_Py]]</f>
        <v>Mg</v>
      </c>
      <c r="Y172" s="139">
        <f>INDEX(Tab_Def_Flows[[Flow_ID]:[CC_DM_source]],MATCH(Tab_Data_Flows[[#This Row],[Flow_Name]],Tab_Def_Flows[Flow_Name],0),14)</f>
        <v>1</v>
      </c>
      <c r="Z172" s="6" t="str">
        <f>Tab_Data_Flows[[#This Row],[Flow_ID]]&amp;"_"&amp;"DM_"&amp;Tab_Data_Flows[[#This Row],[Flow_Data_Year]]</f>
        <v>F_00_02_DM_2094</v>
      </c>
      <c r="AA172" s="6">
        <f>IF(E172="Yes",Y172*Tab_Data_Flows[[#This Row],[Flow_Material]],"N.A.")</f>
        <v>464758.84703999996</v>
      </c>
      <c r="AB172" s="6" t="str">
        <f>Tab_Data_Flows[[#This Row],[UoM_Flow_Py]]</f>
        <v>Mg</v>
      </c>
      <c r="AC172" s="139">
        <f>INDEX(Tab_Def_Flows[[Flow_ID]:[CC_DM_source]],MATCH(Tab_Data_Flows[[#This Row],[Flow_Name]],Tab_Def_Flows[Flow_Name],0),17)</f>
        <v>1</v>
      </c>
      <c r="AD172" s="6" t="str">
        <f>Tab_Data_Flows[[#This Row],[Flow_ID]]&amp;"_"&amp;"CC_"&amp;Tab_Data_Flows[[#This Row],[Flow_Data_Year]]</f>
        <v>F_00_02_CC_2094</v>
      </c>
      <c r="AE172" s="6">
        <f>IF(F172="Yes",AC172*Tab_Data_Flows[[#This Row],[Flow_Material]]*Tab_Data_Flows[[#This Row],[DM_'[%']]],"N.A.")</f>
        <v>464758.84703999996</v>
      </c>
      <c r="AF172" s="6" t="str">
        <f>Tab_Data_Flows[[#This Row],[UoM_Flow_Py]]</f>
        <v>Mg</v>
      </c>
      <c r="AG172"/>
    </row>
    <row r="173" spans="1:33" x14ac:dyDescent="0.25">
      <c r="A173" s="8">
        <f t="shared" si="5"/>
        <v>172</v>
      </c>
      <c r="B173" s="6" t="str">
        <f>_xlfn.XLOOKUP(C173,Tab_Def_Flows[Flow_Name],Tab_Def_Flows[Flow_ID],,0,)</f>
        <v>F_00_02</v>
      </c>
      <c r="C173" s="138" t="s">
        <v>472</v>
      </c>
      <c r="D173" s="9" t="str">
        <f>_xlfn.XLOOKUP(C173,Tab_Def_Flows[Flow_Name],Tab_Def_Flows[WC?],,0,)</f>
        <v>Yes</v>
      </c>
      <c r="E173" s="9" t="str">
        <f>_xlfn.XLOOKUP(C173,Tab_Def_Flows[Flow_Name],Tab_Def_Flows[DM?],,0,)</f>
        <v>Yes</v>
      </c>
      <c r="F173" s="9" t="str">
        <f>_xlfn.XLOOKUP(C173,Tab_Def_Flows[Flow_Name],Tab_Def_Flows[CC?],,0,)</f>
        <v>Yes</v>
      </c>
      <c r="G173" s="7">
        <v>2095</v>
      </c>
      <c r="H173" s="21">
        <v>467801.69903999998</v>
      </c>
      <c r="I173" s="6" t="str">
        <f>'0_Configuration'!$C$4</f>
        <v>Mg</v>
      </c>
      <c r="J173" s="13"/>
      <c r="K173" s="13"/>
      <c r="L173" s="13"/>
      <c r="M173" s="13"/>
      <c r="N173" s="13"/>
      <c r="O173" s="7" t="s">
        <v>6</v>
      </c>
      <c r="P173" s="7"/>
      <c r="Q173" s="7"/>
      <c r="R173" s="6" t="str">
        <f>Tab_Data_Flows[[#This Row],[Flow_ID]]&amp;"_"&amp;"material_"&amp;Tab_Data_Flows[[#This Row],[Flow_Data_Year]]</f>
        <v>F_00_02_material_2095</v>
      </c>
      <c r="S173" s="12">
        <f t="shared" si="4"/>
        <v>467801.69903999998</v>
      </c>
      <c r="T173" s="6" t="str">
        <f>Tab_Data_Flows[[#This Row],[UoM_Source]]</f>
        <v>Mg</v>
      </c>
      <c r="U173" s="139">
        <f>INDEX(Tab_Def_Flows[[Flow_ID]:[CC_DM_source]],MATCH(Tab_Data_Flows[[#This Row],[Flow_Name]],Tab_Def_Flows[Flow_Name],0),11)</f>
        <v>0</v>
      </c>
      <c r="V173" s="6" t="str">
        <f>Tab_Data_Flows[[#This Row],[Flow_ID]]&amp;"_"&amp;"WC_"&amp;Tab_Data_Flows[[#This Row],[Flow_Data_Year]]</f>
        <v>F_00_02_WC_2095</v>
      </c>
      <c r="W173" s="6">
        <f>IF(D173="Yes",S173*Tab_Data_Flows[[#This Row],[WC_'[%']]],"N.A.")</f>
        <v>0</v>
      </c>
      <c r="X173" s="6" t="str">
        <f>Tab_Data_Flows[[#This Row],[UoM_Flow_Py]]</f>
        <v>Mg</v>
      </c>
      <c r="Y173" s="139">
        <f>INDEX(Tab_Def_Flows[[Flow_ID]:[CC_DM_source]],MATCH(Tab_Data_Flows[[#This Row],[Flow_Name]],Tab_Def_Flows[Flow_Name],0),14)</f>
        <v>1</v>
      </c>
      <c r="Z173" s="6" t="str">
        <f>Tab_Data_Flows[[#This Row],[Flow_ID]]&amp;"_"&amp;"DM_"&amp;Tab_Data_Flows[[#This Row],[Flow_Data_Year]]</f>
        <v>F_00_02_DM_2095</v>
      </c>
      <c r="AA173" s="6">
        <f>IF(E173="Yes",Y173*Tab_Data_Flows[[#This Row],[Flow_Material]],"N.A.")</f>
        <v>467801.69903999998</v>
      </c>
      <c r="AB173" s="6" t="str">
        <f>Tab_Data_Flows[[#This Row],[UoM_Flow_Py]]</f>
        <v>Mg</v>
      </c>
      <c r="AC173" s="139">
        <f>INDEX(Tab_Def_Flows[[Flow_ID]:[CC_DM_source]],MATCH(Tab_Data_Flows[[#This Row],[Flow_Name]],Tab_Def_Flows[Flow_Name],0),17)</f>
        <v>1</v>
      </c>
      <c r="AD173" s="6" t="str">
        <f>Tab_Data_Flows[[#This Row],[Flow_ID]]&amp;"_"&amp;"CC_"&amp;Tab_Data_Flows[[#This Row],[Flow_Data_Year]]</f>
        <v>F_00_02_CC_2095</v>
      </c>
      <c r="AE173" s="6">
        <f>IF(F173="Yes",AC173*Tab_Data_Flows[[#This Row],[Flow_Material]]*Tab_Data_Flows[[#This Row],[DM_'[%']]],"N.A.")</f>
        <v>467801.69903999998</v>
      </c>
      <c r="AF173" s="6" t="str">
        <f>Tab_Data_Flows[[#This Row],[UoM_Flow_Py]]</f>
        <v>Mg</v>
      </c>
      <c r="AG173"/>
    </row>
    <row r="174" spans="1:33" x14ac:dyDescent="0.25">
      <c r="A174" s="8">
        <f t="shared" si="5"/>
        <v>173</v>
      </c>
      <c r="B174" s="6" t="str">
        <f>_xlfn.XLOOKUP(C174,Tab_Def_Flows[Flow_Name],Tab_Def_Flows[Flow_ID],,0,)</f>
        <v>F_00_02</v>
      </c>
      <c r="C174" s="138" t="s">
        <v>472</v>
      </c>
      <c r="D174" s="9" t="str">
        <f>_xlfn.XLOOKUP(C174,Tab_Def_Flows[Flow_Name],Tab_Def_Flows[WC?],,0,)</f>
        <v>Yes</v>
      </c>
      <c r="E174" s="9" t="str">
        <f>_xlfn.XLOOKUP(C174,Tab_Def_Flows[Flow_Name],Tab_Def_Flows[DM?],,0,)</f>
        <v>Yes</v>
      </c>
      <c r="F174" s="9" t="str">
        <f>_xlfn.XLOOKUP(C174,Tab_Def_Flows[Flow_Name],Tab_Def_Flows[CC?],,0,)</f>
        <v>Yes</v>
      </c>
      <c r="G174" s="7">
        <v>2096</v>
      </c>
      <c r="H174" s="21">
        <v>418663.70428799995</v>
      </c>
      <c r="I174" s="6" t="str">
        <f>'0_Configuration'!$C$4</f>
        <v>Mg</v>
      </c>
      <c r="J174" s="13"/>
      <c r="K174" s="13"/>
      <c r="L174" s="13"/>
      <c r="M174" s="13"/>
      <c r="N174" s="13"/>
      <c r="O174" s="7" t="s">
        <v>6</v>
      </c>
      <c r="P174" s="7"/>
      <c r="Q174" s="7"/>
      <c r="R174" s="6" t="str">
        <f>Tab_Data_Flows[[#This Row],[Flow_ID]]&amp;"_"&amp;"material_"&amp;Tab_Data_Flows[[#This Row],[Flow_Data_Year]]</f>
        <v>F_00_02_material_2096</v>
      </c>
      <c r="S174" s="12">
        <f t="shared" si="4"/>
        <v>418663.70428799995</v>
      </c>
      <c r="T174" s="6" t="str">
        <f>Tab_Data_Flows[[#This Row],[UoM_Source]]</f>
        <v>Mg</v>
      </c>
      <c r="U174" s="139">
        <f>INDEX(Tab_Def_Flows[[Flow_ID]:[CC_DM_source]],MATCH(Tab_Data_Flows[[#This Row],[Flow_Name]],Tab_Def_Flows[Flow_Name],0),11)</f>
        <v>0</v>
      </c>
      <c r="V174" s="6" t="str">
        <f>Tab_Data_Flows[[#This Row],[Flow_ID]]&amp;"_"&amp;"WC_"&amp;Tab_Data_Flows[[#This Row],[Flow_Data_Year]]</f>
        <v>F_00_02_WC_2096</v>
      </c>
      <c r="W174" s="6">
        <f>IF(D174="Yes",S174*Tab_Data_Flows[[#This Row],[WC_'[%']]],"N.A.")</f>
        <v>0</v>
      </c>
      <c r="X174" s="6" t="str">
        <f>Tab_Data_Flows[[#This Row],[UoM_Flow_Py]]</f>
        <v>Mg</v>
      </c>
      <c r="Y174" s="139">
        <f>INDEX(Tab_Def_Flows[[Flow_ID]:[CC_DM_source]],MATCH(Tab_Data_Flows[[#This Row],[Flow_Name]],Tab_Def_Flows[Flow_Name],0),14)</f>
        <v>1</v>
      </c>
      <c r="Z174" s="6" t="str">
        <f>Tab_Data_Flows[[#This Row],[Flow_ID]]&amp;"_"&amp;"DM_"&amp;Tab_Data_Flows[[#This Row],[Flow_Data_Year]]</f>
        <v>F_00_02_DM_2096</v>
      </c>
      <c r="AA174" s="6">
        <f>IF(E174="Yes",Y174*Tab_Data_Flows[[#This Row],[Flow_Material]],"N.A.")</f>
        <v>418663.70428799995</v>
      </c>
      <c r="AB174" s="6" t="str">
        <f>Tab_Data_Flows[[#This Row],[UoM_Flow_Py]]</f>
        <v>Mg</v>
      </c>
      <c r="AC174" s="139">
        <f>INDEX(Tab_Def_Flows[[Flow_ID]:[CC_DM_source]],MATCH(Tab_Data_Flows[[#This Row],[Flow_Name]],Tab_Def_Flows[Flow_Name],0),17)</f>
        <v>1</v>
      </c>
      <c r="AD174" s="6" t="str">
        <f>Tab_Data_Flows[[#This Row],[Flow_ID]]&amp;"_"&amp;"CC_"&amp;Tab_Data_Flows[[#This Row],[Flow_Data_Year]]</f>
        <v>F_00_02_CC_2096</v>
      </c>
      <c r="AE174" s="6">
        <f>IF(F174="Yes",AC174*Tab_Data_Flows[[#This Row],[Flow_Material]]*Tab_Data_Flows[[#This Row],[DM_'[%']]],"N.A.")</f>
        <v>418663.70428799995</v>
      </c>
      <c r="AF174" s="6" t="str">
        <f>Tab_Data_Flows[[#This Row],[UoM_Flow_Py]]</f>
        <v>Mg</v>
      </c>
      <c r="AG174"/>
    </row>
    <row r="175" spans="1:33" x14ac:dyDescent="0.25">
      <c r="A175" s="8">
        <f t="shared" si="5"/>
        <v>174</v>
      </c>
      <c r="B175" s="6" t="str">
        <f>_xlfn.XLOOKUP(C175,Tab_Def_Flows[Flow_Name],Tab_Def_Flows[Flow_ID],,0,)</f>
        <v>F_00_02</v>
      </c>
      <c r="C175" s="138" t="s">
        <v>472</v>
      </c>
      <c r="D175" s="9" t="str">
        <f>_xlfn.XLOOKUP(C175,Tab_Def_Flows[Flow_Name],Tab_Def_Flows[WC?],,0,)</f>
        <v>Yes</v>
      </c>
      <c r="E175" s="9" t="str">
        <f>_xlfn.XLOOKUP(C175,Tab_Def_Flows[Flow_Name],Tab_Def_Flows[DM?],,0,)</f>
        <v>Yes</v>
      </c>
      <c r="F175" s="9" t="str">
        <f>_xlfn.XLOOKUP(C175,Tab_Def_Flows[Flow_Name],Tab_Def_Flows[CC?],,0,)</f>
        <v>Yes</v>
      </c>
      <c r="G175" s="7">
        <v>2097</v>
      </c>
      <c r="H175" s="21">
        <v>400279.99891199998</v>
      </c>
      <c r="I175" s="6" t="str">
        <f>'0_Configuration'!$C$4</f>
        <v>Mg</v>
      </c>
      <c r="J175" s="13"/>
      <c r="K175" s="13"/>
      <c r="L175" s="13"/>
      <c r="M175" s="13"/>
      <c r="N175" s="13"/>
      <c r="O175" s="7" t="s">
        <v>6</v>
      </c>
      <c r="P175" s="7"/>
      <c r="Q175" s="7"/>
      <c r="R175" s="6" t="str">
        <f>Tab_Data_Flows[[#This Row],[Flow_ID]]&amp;"_"&amp;"material_"&amp;Tab_Data_Flows[[#This Row],[Flow_Data_Year]]</f>
        <v>F_00_02_material_2097</v>
      </c>
      <c r="S175" s="12">
        <f t="shared" si="4"/>
        <v>400279.99891199998</v>
      </c>
      <c r="T175" s="6" t="str">
        <f>Tab_Data_Flows[[#This Row],[UoM_Source]]</f>
        <v>Mg</v>
      </c>
      <c r="U175" s="139">
        <f>INDEX(Tab_Def_Flows[[Flow_ID]:[CC_DM_source]],MATCH(Tab_Data_Flows[[#This Row],[Flow_Name]],Tab_Def_Flows[Flow_Name],0),11)</f>
        <v>0</v>
      </c>
      <c r="V175" s="6" t="str">
        <f>Tab_Data_Flows[[#This Row],[Flow_ID]]&amp;"_"&amp;"WC_"&amp;Tab_Data_Flows[[#This Row],[Flow_Data_Year]]</f>
        <v>F_00_02_WC_2097</v>
      </c>
      <c r="W175" s="6">
        <f>IF(D175="Yes",S175*Tab_Data_Flows[[#This Row],[WC_'[%']]],"N.A.")</f>
        <v>0</v>
      </c>
      <c r="X175" s="6" t="str">
        <f>Tab_Data_Flows[[#This Row],[UoM_Flow_Py]]</f>
        <v>Mg</v>
      </c>
      <c r="Y175" s="139">
        <f>INDEX(Tab_Def_Flows[[Flow_ID]:[CC_DM_source]],MATCH(Tab_Data_Flows[[#This Row],[Flow_Name]],Tab_Def_Flows[Flow_Name],0),14)</f>
        <v>1</v>
      </c>
      <c r="Z175" s="6" t="str">
        <f>Tab_Data_Flows[[#This Row],[Flow_ID]]&amp;"_"&amp;"DM_"&amp;Tab_Data_Flows[[#This Row],[Flow_Data_Year]]</f>
        <v>F_00_02_DM_2097</v>
      </c>
      <c r="AA175" s="6">
        <f>IF(E175="Yes",Y175*Tab_Data_Flows[[#This Row],[Flow_Material]],"N.A.")</f>
        <v>400279.99891199998</v>
      </c>
      <c r="AB175" s="6" t="str">
        <f>Tab_Data_Flows[[#This Row],[UoM_Flow_Py]]</f>
        <v>Mg</v>
      </c>
      <c r="AC175" s="139">
        <f>INDEX(Tab_Def_Flows[[Flow_ID]:[CC_DM_source]],MATCH(Tab_Data_Flows[[#This Row],[Flow_Name]],Tab_Def_Flows[Flow_Name],0),17)</f>
        <v>1</v>
      </c>
      <c r="AD175" s="6" t="str">
        <f>Tab_Data_Flows[[#This Row],[Flow_ID]]&amp;"_"&amp;"CC_"&amp;Tab_Data_Flows[[#This Row],[Flow_Data_Year]]</f>
        <v>F_00_02_CC_2097</v>
      </c>
      <c r="AE175" s="6">
        <f>IF(F175="Yes",AC175*Tab_Data_Flows[[#This Row],[Flow_Material]]*Tab_Data_Flows[[#This Row],[DM_'[%']]],"N.A.")</f>
        <v>400279.99891199998</v>
      </c>
      <c r="AF175" s="6" t="str">
        <f>Tab_Data_Flows[[#This Row],[UoM_Flow_Py]]</f>
        <v>Mg</v>
      </c>
      <c r="AG175"/>
    </row>
    <row r="176" spans="1:33" x14ac:dyDescent="0.25">
      <c r="A176" s="8">
        <f t="shared" si="5"/>
        <v>175</v>
      </c>
      <c r="B176" s="6" t="str">
        <f>_xlfn.XLOOKUP(C176,Tab_Def_Flows[Flow_Name],Tab_Def_Flows[Flow_ID],,0,)</f>
        <v>F_00_02</v>
      </c>
      <c r="C176" s="138" t="s">
        <v>472</v>
      </c>
      <c r="D176" s="9" t="str">
        <f>_xlfn.XLOOKUP(C176,Tab_Def_Flows[Flow_Name],Tab_Def_Flows[WC?],,0,)</f>
        <v>Yes</v>
      </c>
      <c r="E176" s="9" t="str">
        <f>_xlfn.XLOOKUP(C176,Tab_Def_Flows[Flow_Name],Tab_Def_Flows[DM?],,0,)</f>
        <v>Yes</v>
      </c>
      <c r="F176" s="9" t="str">
        <f>_xlfn.XLOOKUP(C176,Tab_Def_Flows[Flow_Name],Tab_Def_Flows[CC?],,0,)</f>
        <v>Yes</v>
      </c>
      <c r="G176" s="7">
        <v>2098</v>
      </c>
      <c r="H176" s="21">
        <v>436342.39679999999</v>
      </c>
      <c r="I176" s="6" t="str">
        <f>'0_Configuration'!$C$4</f>
        <v>Mg</v>
      </c>
      <c r="J176" s="13"/>
      <c r="K176" s="13"/>
      <c r="L176" s="13"/>
      <c r="M176" s="13"/>
      <c r="N176" s="13"/>
      <c r="O176" s="7" t="s">
        <v>6</v>
      </c>
      <c r="P176" s="14"/>
      <c r="Q176" s="7"/>
      <c r="R176" s="6" t="str">
        <f>Tab_Data_Flows[[#This Row],[Flow_ID]]&amp;"_"&amp;"material_"&amp;Tab_Data_Flows[[#This Row],[Flow_Data_Year]]</f>
        <v>F_00_02_material_2098</v>
      </c>
      <c r="S176" s="12">
        <f t="shared" si="4"/>
        <v>436342.39679999999</v>
      </c>
      <c r="T176" s="6" t="str">
        <f>Tab_Data_Flows[[#This Row],[UoM_Source]]</f>
        <v>Mg</v>
      </c>
      <c r="U176" s="139">
        <f>INDEX(Tab_Def_Flows[[Flow_ID]:[CC_DM_source]],MATCH(Tab_Data_Flows[[#This Row],[Flow_Name]],Tab_Def_Flows[Flow_Name],0),11)</f>
        <v>0</v>
      </c>
      <c r="V176" s="6" t="str">
        <f>Tab_Data_Flows[[#This Row],[Flow_ID]]&amp;"_"&amp;"WC_"&amp;Tab_Data_Flows[[#This Row],[Flow_Data_Year]]</f>
        <v>F_00_02_WC_2098</v>
      </c>
      <c r="W176" s="6">
        <f>IF(D176="Yes",S176*Tab_Data_Flows[[#This Row],[WC_'[%']]],"N.A.")</f>
        <v>0</v>
      </c>
      <c r="X176" s="6" t="str">
        <f>Tab_Data_Flows[[#This Row],[UoM_Flow_Py]]</f>
        <v>Mg</v>
      </c>
      <c r="Y176" s="139">
        <f>INDEX(Tab_Def_Flows[[Flow_ID]:[CC_DM_source]],MATCH(Tab_Data_Flows[[#This Row],[Flow_Name]],Tab_Def_Flows[Flow_Name],0),14)</f>
        <v>1</v>
      </c>
      <c r="Z176" s="6" t="str">
        <f>Tab_Data_Flows[[#This Row],[Flow_ID]]&amp;"_"&amp;"DM_"&amp;Tab_Data_Flows[[#This Row],[Flow_Data_Year]]</f>
        <v>F_00_02_DM_2098</v>
      </c>
      <c r="AA176" s="6">
        <f>IF(E176="Yes",Y176*Tab_Data_Flows[[#This Row],[Flow_Material]],"N.A.")</f>
        <v>436342.39679999999</v>
      </c>
      <c r="AB176" s="6" t="str">
        <f>Tab_Data_Flows[[#This Row],[UoM_Flow_Py]]</f>
        <v>Mg</v>
      </c>
      <c r="AC176" s="139">
        <f>INDEX(Tab_Def_Flows[[Flow_ID]:[CC_DM_source]],MATCH(Tab_Data_Flows[[#This Row],[Flow_Name]],Tab_Def_Flows[Flow_Name],0),17)</f>
        <v>1</v>
      </c>
      <c r="AD176" s="6" t="str">
        <f>Tab_Data_Flows[[#This Row],[Flow_ID]]&amp;"_"&amp;"CC_"&amp;Tab_Data_Flows[[#This Row],[Flow_Data_Year]]</f>
        <v>F_00_02_CC_2098</v>
      </c>
      <c r="AE176" s="6">
        <f>IF(F176="Yes",AC176*Tab_Data_Flows[[#This Row],[Flow_Material]]*Tab_Data_Flows[[#This Row],[DM_'[%']]],"N.A.")</f>
        <v>436342.39679999999</v>
      </c>
      <c r="AF176" s="6" t="str">
        <f>Tab_Data_Flows[[#This Row],[UoM_Flow_Py]]</f>
        <v>Mg</v>
      </c>
      <c r="AG176"/>
    </row>
    <row r="177" spans="1:33" x14ac:dyDescent="0.25">
      <c r="A177" s="8">
        <f t="shared" si="5"/>
        <v>176</v>
      </c>
      <c r="B177" s="6" t="str">
        <f>_xlfn.XLOOKUP(C177,Tab_Def_Flows[Flow_Name],Tab_Def_Flows[Flow_ID],,0,)</f>
        <v>F_00_02</v>
      </c>
      <c r="C177" s="138" t="s">
        <v>472</v>
      </c>
      <c r="D177" s="9" t="str">
        <f>_xlfn.XLOOKUP(C177,Tab_Def_Flows[Flow_Name],Tab_Def_Flows[WC?],,0,)</f>
        <v>Yes</v>
      </c>
      <c r="E177" s="9" t="str">
        <f>_xlfn.XLOOKUP(C177,Tab_Def_Flows[Flow_Name],Tab_Def_Flows[DM?],,0,)</f>
        <v>Yes</v>
      </c>
      <c r="F177" s="9" t="str">
        <f>_xlfn.XLOOKUP(C177,Tab_Def_Flows[Flow_Name],Tab_Def_Flows[CC?],,0,)</f>
        <v>Yes</v>
      </c>
      <c r="G177" s="7">
        <v>2099</v>
      </c>
      <c r="H177" s="21">
        <v>360701.73801599996</v>
      </c>
      <c r="I177" s="6" t="str">
        <f>'0_Configuration'!$C$4</f>
        <v>Mg</v>
      </c>
      <c r="J177" s="13"/>
      <c r="K177" s="13"/>
      <c r="L177" s="13"/>
      <c r="M177" s="13"/>
      <c r="N177" s="13"/>
      <c r="O177" s="7" t="s">
        <v>6</v>
      </c>
      <c r="P177" s="14"/>
      <c r="Q177" s="7"/>
      <c r="R177" s="6" t="str">
        <f>Tab_Data_Flows[[#This Row],[Flow_ID]]&amp;"_"&amp;"material_"&amp;Tab_Data_Flows[[#This Row],[Flow_Data_Year]]</f>
        <v>F_00_02_material_2099</v>
      </c>
      <c r="S177" s="12">
        <f t="shared" si="4"/>
        <v>360701.73801599996</v>
      </c>
      <c r="T177" s="6" t="str">
        <f>Tab_Data_Flows[[#This Row],[UoM_Source]]</f>
        <v>Mg</v>
      </c>
      <c r="U177" s="139">
        <f>INDEX(Tab_Def_Flows[[Flow_ID]:[CC_DM_source]],MATCH(Tab_Data_Flows[[#This Row],[Flow_Name]],Tab_Def_Flows[Flow_Name],0),11)</f>
        <v>0</v>
      </c>
      <c r="V177" s="6" t="str">
        <f>Tab_Data_Flows[[#This Row],[Flow_ID]]&amp;"_"&amp;"WC_"&amp;Tab_Data_Flows[[#This Row],[Flow_Data_Year]]</f>
        <v>F_00_02_WC_2099</v>
      </c>
      <c r="W177" s="6">
        <f>IF(D177="Yes",S177*Tab_Data_Flows[[#This Row],[WC_'[%']]],"N.A.")</f>
        <v>0</v>
      </c>
      <c r="X177" s="6" t="str">
        <f>Tab_Data_Flows[[#This Row],[UoM_Flow_Py]]</f>
        <v>Mg</v>
      </c>
      <c r="Y177" s="139">
        <f>INDEX(Tab_Def_Flows[[Flow_ID]:[CC_DM_source]],MATCH(Tab_Data_Flows[[#This Row],[Flow_Name]],Tab_Def_Flows[Flow_Name],0),14)</f>
        <v>1</v>
      </c>
      <c r="Z177" s="6" t="str">
        <f>Tab_Data_Flows[[#This Row],[Flow_ID]]&amp;"_"&amp;"DM_"&amp;Tab_Data_Flows[[#This Row],[Flow_Data_Year]]</f>
        <v>F_00_02_DM_2099</v>
      </c>
      <c r="AA177" s="6">
        <f>IF(E177="Yes",Y177*Tab_Data_Flows[[#This Row],[Flow_Material]],"N.A.")</f>
        <v>360701.73801599996</v>
      </c>
      <c r="AB177" s="6" t="str">
        <f>Tab_Data_Flows[[#This Row],[UoM_Flow_Py]]</f>
        <v>Mg</v>
      </c>
      <c r="AC177" s="139">
        <f>INDEX(Tab_Def_Flows[[Flow_ID]:[CC_DM_source]],MATCH(Tab_Data_Flows[[#This Row],[Flow_Name]],Tab_Def_Flows[Flow_Name],0),17)</f>
        <v>1</v>
      </c>
      <c r="AD177" s="6" t="str">
        <f>Tab_Data_Flows[[#This Row],[Flow_ID]]&amp;"_"&amp;"CC_"&amp;Tab_Data_Flows[[#This Row],[Flow_Data_Year]]</f>
        <v>F_00_02_CC_2099</v>
      </c>
      <c r="AE177" s="6">
        <f>IF(F177="Yes",AC177*Tab_Data_Flows[[#This Row],[Flow_Material]]*Tab_Data_Flows[[#This Row],[DM_'[%']]],"N.A.")</f>
        <v>360701.73801599996</v>
      </c>
      <c r="AF177" s="6" t="str">
        <f>Tab_Data_Flows[[#This Row],[UoM_Flow_Py]]</f>
        <v>Mg</v>
      </c>
      <c r="AG177"/>
    </row>
    <row r="178" spans="1:33" x14ac:dyDescent="0.25">
      <c r="A178" s="8">
        <f t="shared" si="5"/>
        <v>177</v>
      </c>
      <c r="B178" s="6" t="str">
        <f>_xlfn.XLOOKUP(C178,Tab_Def_Flows[Flow_Name],Tab_Def_Flows[Flow_ID],,0,)</f>
        <v>F_00_02</v>
      </c>
      <c r="C178" s="138" t="s">
        <v>472</v>
      </c>
      <c r="D178" s="9" t="str">
        <f>_xlfn.XLOOKUP(C178,Tab_Def_Flows[Flow_Name],Tab_Def_Flows[WC?],,0,)</f>
        <v>Yes</v>
      </c>
      <c r="E178" s="9" t="str">
        <f>_xlfn.XLOOKUP(C178,Tab_Def_Flows[Flow_Name],Tab_Def_Flows[DM?],,0,)</f>
        <v>Yes</v>
      </c>
      <c r="F178" s="9" t="str">
        <f>_xlfn.XLOOKUP(C178,Tab_Def_Flows[Flow_Name],Tab_Def_Flows[CC?],,0,)</f>
        <v>Yes</v>
      </c>
      <c r="G178" s="7">
        <v>2100</v>
      </c>
      <c r="H178" s="21">
        <v>465161.44262400002</v>
      </c>
      <c r="I178" s="6" t="str">
        <f>'0_Configuration'!$C$4</f>
        <v>Mg</v>
      </c>
      <c r="J178" s="13"/>
      <c r="K178" s="13"/>
      <c r="L178" s="13"/>
      <c r="M178" s="13"/>
      <c r="N178" s="13"/>
      <c r="O178" s="7" t="s">
        <v>6</v>
      </c>
      <c r="P178" s="14"/>
      <c r="Q178" s="7"/>
      <c r="R178" s="6" t="str">
        <f>Tab_Data_Flows[[#This Row],[Flow_ID]]&amp;"_"&amp;"material_"&amp;Tab_Data_Flows[[#This Row],[Flow_Data_Year]]</f>
        <v>F_00_02_material_2100</v>
      </c>
      <c r="S178" s="12">
        <f t="shared" si="4"/>
        <v>465161.44262400002</v>
      </c>
      <c r="T178" s="6" t="str">
        <f>Tab_Data_Flows[[#This Row],[UoM_Source]]</f>
        <v>Mg</v>
      </c>
      <c r="U178" s="139">
        <f>INDEX(Tab_Def_Flows[[Flow_ID]:[CC_DM_source]],MATCH(Tab_Data_Flows[[#This Row],[Flow_Name]],Tab_Def_Flows[Flow_Name],0),11)</f>
        <v>0</v>
      </c>
      <c r="V178" s="6" t="str">
        <f>Tab_Data_Flows[[#This Row],[Flow_ID]]&amp;"_"&amp;"WC_"&amp;Tab_Data_Flows[[#This Row],[Flow_Data_Year]]</f>
        <v>F_00_02_WC_2100</v>
      </c>
      <c r="W178" s="6">
        <f>IF(D178="Yes",S178*Tab_Data_Flows[[#This Row],[WC_'[%']]],"N.A.")</f>
        <v>0</v>
      </c>
      <c r="X178" s="6" t="str">
        <f>Tab_Data_Flows[[#This Row],[UoM_Flow_Py]]</f>
        <v>Mg</v>
      </c>
      <c r="Y178" s="139">
        <f>INDEX(Tab_Def_Flows[[Flow_ID]:[CC_DM_source]],MATCH(Tab_Data_Flows[[#This Row],[Flow_Name]],Tab_Def_Flows[Flow_Name],0),14)</f>
        <v>1</v>
      </c>
      <c r="Z178" s="6" t="str">
        <f>Tab_Data_Flows[[#This Row],[Flow_ID]]&amp;"_"&amp;"DM_"&amp;Tab_Data_Flows[[#This Row],[Flow_Data_Year]]</f>
        <v>F_00_02_DM_2100</v>
      </c>
      <c r="AA178" s="6">
        <f>IF(E178="Yes",Y178*Tab_Data_Flows[[#This Row],[Flow_Material]],"N.A.")</f>
        <v>465161.44262400002</v>
      </c>
      <c r="AB178" s="6" t="str">
        <f>Tab_Data_Flows[[#This Row],[UoM_Flow_Py]]</f>
        <v>Mg</v>
      </c>
      <c r="AC178" s="139">
        <f>INDEX(Tab_Def_Flows[[Flow_ID]:[CC_DM_source]],MATCH(Tab_Data_Flows[[#This Row],[Flow_Name]],Tab_Def_Flows[Flow_Name],0),17)</f>
        <v>1</v>
      </c>
      <c r="AD178" s="6" t="str">
        <f>Tab_Data_Flows[[#This Row],[Flow_ID]]&amp;"_"&amp;"CC_"&amp;Tab_Data_Flows[[#This Row],[Flow_Data_Year]]</f>
        <v>F_00_02_CC_2100</v>
      </c>
      <c r="AE178" s="6">
        <f>IF(F178="Yes",AC178*Tab_Data_Flows[[#This Row],[Flow_Material]]*Tab_Data_Flows[[#This Row],[DM_'[%']]],"N.A.")</f>
        <v>465161.44262400002</v>
      </c>
      <c r="AF178" s="6" t="str">
        <f>Tab_Data_Flows[[#This Row],[UoM_Flow_Py]]</f>
        <v>Mg</v>
      </c>
      <c r="AG178"/>
    </row>
    <row r="179" spans="1:33" x14ac:dyDescent="0.25">
      <c r="A179" s="8">
        <f t="shared" si="5"/>
        <v>178</v>
      </c>
      <c r="B179" s="6" t="str">
        <f>_xlfn.XLOOKUP(C179,Tab_Def_Flows[Flow_Name],Tab_Def_Flows[Flow_ID],,0,)</f>
        <v>F_00_02</v>
      </c>
      <c r="C179" s="138" t="s">
        <v>472</v>
      </c>
      <c r="D179" s="9" t="str">
        <f>_xlfn.XLOOKUP(C179,Tab_Def_Flows[Flow_Name],Tab_Def_Flows[WC?],,0,)</f>
        <v>Yes</v>
      </c>
      <c r="E179" s="9" t="str">
        <f>_xlfn.XLOOKUP(C179,Tab_Def_Flows[Flow_Name],Tab_Def_Flows[DM?],,0,)</f>
        <v>Yes</v>
      </c>
      <c r="F179" s="9" t="str">
        <f>_xlfn.XLOOKUP(C179,Tab_Def_Flows[Flow_Name],Tab_Def_Flows[CC?],,0,)</f>
        <v>Yes</v>
      </c>
      <c r="G179" s="7">
        <v>2101</v>
      </c>
      <c r="H179" s="21">
        <v>464667.91132799996</v>
      </c>
      <c r="I179" s="6" t="str">
        <f>'0_Configuration'!$C$4</f>
        <v>Mg</v>
      </c>
      <c r="J179" s="13"/>
      <c r="K179" s="13"/>
      <c r="L179" s="13"/>
      <c r="M179" s="13"/>
      <c r="N179" s="13"/>
      <c r="O179" s="7" t="s">
        <v>6</v>
      </c>
      <c r="P179" s="14"/>
      <c r="Q179" s="7"/>
      <c r="R179" s="6" t="str">
        <f>Tab_Data_Flows[[#This Row],[Flow_ID]]&amp;"_"&amp;"material_"&amp;Tab_Data_Flows[[#This Row],[Flow_Data_Year]]</f>
        <v>F_00_02_material_2101</v>
      </c>
      <c r="S179" s="12">
        <f t="shared" si="4"/>
        <v>464667.91132799996</v>
      </c>
      <c r="T179" s="6" t="str">
        <f>Tab_Data_Flows[[#This Row],[UoM_Source]]</f>
        <v>Mg</v>
      </c>
      <c r="U179" s="139">
        <f>INDEX(Tab_Def_Flows[[Flow_ID]:[CC_DM_source]],MATCH(Tab_Data_Flows[[#This Row],[Flow_Name]],Tab_Def_Flows[Flow_Name],0),11)</f>
        <v>0</v>
      </c>
      <c r="V179" s="6" t="str">
        <f>Tab_Data_Flows[[#This Row],[Flow_ID]]&amp;"_"&amp;"WC_"&amp;Tab_Data_Flows[[#This Row],[Flow_Data_Year]]</f>
        <v>F_00_02_WC_2101</v>
      </c>
      <c r="W179" s="6">
        <f>IF(D179="Yes",S179*Tab_Data_Flows[[#This Row],[WC_'[%']]],"N.A.")</f>
        <v>0</v>
      </c>
      <c r="X179" s="6" t="str">
        <f>Tab_Data_Flows[[#This Row],[UoM_Flow_Py]]</f>
        <v>Mg</v>
      </c>
      <c r="Y179" s="139">
        <f>INDEX(Tab_Def_Flows[[Flow_ID]:[CC_DM_source]],MATCH(Tab_Data_Flows[[#This Row],[Flow_Name]],Tab_Def_Flows[Flow_Name],0),14)</f>
        <v>1</v>
      </c>
      <c r="Z179" s="6" t="str">
        <f>Tab_Data_Flows[[#This Row],[Flow_ID]]&amp;"_"&amp;"DM_"&amp;Tab_Data_Flows[[#This Row],[Flow_Data_Year]]</f>
        <v>F_00_02_DM_2101</v>
      </c>
      <c r="AA179" s="6">
        <f>IF(E179="Yes",Y179*Tab_Data_Flows[[#This Row],[Flow_Material]],"N.A.")</f>
        <v>464667.91132799996</v>
      </c>
      <c r="AB179" s="6" t="str">
        <f>Tab_Data_Flows[[#This Row],[UoM_Flow_Py]]</f>
        <v>Mg</v>
      </c>
      <c r="AC179" s="139">
        <f>INDEX(Tab_Def_Flows[[Flow_ID]:[CC_DM_source]],MATCH(Tab_Data_Flows[[#This Row],[Flow_Name]],Tab_Def_Flows[Flow_Name],0),17)</f>
        <v>1</v>
      </c>
      <c r="AD179" s="6" t="str">
        <f>Tab_Data_Flows[[#This Row],[Flow_ID]]&amp;"_"&amp;"CC_"&amp;Tab_Data_Flows[[#This Row],[Flow_Data_Year]]</f>
        <v>F_00_02_CC_2101</v>
      </c>
      <c r="AE179" s="6">
        <f>IF(F179="Yes",AC179*Tab_Data_Flows[[#This Row],[Flow_Material]]*Tab_Data_Flows[[#This Row],[DM_'[%']]],"N.A.")</f>
        <v>464667.91132799996</v>
      </c>
      <c r="AF179" s="6" t="str">
        <f>Tab_Data_Flows[[#This Row],[UoM_Flow_Py]]</f>
        <v>Mg</v>
      </c>
      <c r="AG179"/>
    </row>
    <row r="180" spans="1:33" x14ac:dyDescent="0.25">
      <c r="A180" s="8">
        <f t="shared" si="5"/>
        <v>179</v>
      </c>
      <c r="B180" s="6" t="str">
        <f>_xlfn.XLOOKUP(C180,Tab_Def_Flows[Flow_Name],Tab_Def_Flows[Flow_ID],,0,)</f>
        <v>F_00_02</v>
      </c>
      <c r="C180" s="138" t="s">
        <v>472</v>
      </c>
      <c r="D180" s="9" t="str">
        <f>_xlfn.XLOOKUP(C180,Tab_Def_Flows[Flow_Name],Tab_Def_Flows[WC?],,0,)</f>
        <v>Yes</v>
      </c>
      <c r="E180" s="9" t="str">
        <f>_xlfn.XLOOKUP(C180,Tab_Def_Flows[Flow_Name],Tab_Def_Flows[DM?],,0,)</f>
        <v>Yes</v>
      </c>
      <c r="F180" s="9" t="str">
        <f>_xlfn.XLOOKUP(C180,Tab_Def_Flows[Flow_Name],Tab_Def_Flows[CC?],,0,)</f>
        <v>Yes</v>
      </c>
      <c r="G180" s="7">
        <v>2102</v>
      </c>
      <c r="H180" s="21">
        <v>472439.23459199996</v>
      </c>
      <c r="I180" s="6" t="str">
        <f>'0_Configuration'!$C$4</f>
        <v>Mg</v>
      </c>
      <c r="J180" s="13"/>
      <c r="K180" s="13"/>
      <c r="L180" s="13"/>
      <c r="M180" s="13"/>
      <c r="N180" s="13"/>
      <c r="O180" s="7" t="s">
        <v>6</v>
      </c>
      <c r="P180" s="14"/>
      <c r="Q180" s="7"/>
      <c r="R180" s="6" t="str">
        <f>Tab_Data_Flows[[#This Row],[Flow_ID]]&amp;"_"&amp;"material_"&amp;Tab_Data_Flows[[#This Row],[Flow_Data_Year]]</f>
        <v>F_00_02_material_2102</v>
      </c>
      <c r="S180" s="12">
        <f t="shared" si="4"/>
        <v>472439.23459199996</v>
      </c>
      <c r="T180" s="6" t="str">
        <f>Tab_Data_Flows[[#This Row],[UoM_Source]]</f>
        <v>Mg</v>
      </c>
      <c r="U180" s="139">
        <f>INDEX(Tab_Def_Flows[[Flow_ID]:[CC_DM_source]],MATCH(Tab_Data_Flows[[#This Row],[Flow_Name]],Tab_Def_Flows[Flow_Name],0),11)</f>
        <v>0</v>
      </c>
      <c r="V180" s="6" t="str">
        <f>Tab_Data_Flows[[#This Row],[Flow_ID]]&amp;"_"&amp;"WC_"&amp;Tab_Data_Flows[[#This Row],[Flow_Data_Year]]</f>
        <v>F_00_02_WC_2102</v>
      </c>
      <c r="W180" s="6">
        <f>IF(D180="Yes",S180*Tab_Data_Flows[[#This Row],[WC_'[%']]],"N.A.")</f>
        <v>0</v>
      </c>
      <c r="X180" s="6" t="str">
        <f>Tab_Data_Flows[[#This Row],[UoM_Flow_Py]]</f>
        <v>Mg</v>
      </c>
      <c r="Y180" s="139">
        <f>INDEX(Tab_Def_Flows[[Flow_ID]:[CC_DM_source]],MATCH(Tab_Data_Flows[[#This Row],[Flow_Name]],Tab_Def_Flows[Flow_Name],0),14)</f>
        <v>1</v>
      </c>
      <c r="Z180" s="6" t="str">
        <f>Tab_Data_Flows[[#This Row],[Flow_ID]]&amp;"_"&amp;"DM_"&amp;Tab_Data_Flows[[#This Row],[Flow_Data_Year]]</f>
        <v>F_00_02_DM_2102</v>
      </c>
      <c r="AA180" s="6">
        <f>IF(E180="Yes",Y180*Tab_Data_Flows[[#This Row],[Flow_Material]],"N.A.")</f>
        <v>472439.23459199996</v>
      </c>
      <c r="AB180" s="6" t="str">
        <f>Tab_Data_Flows[[#This Row],[UoM_Flow_Py]]</f>
        <v>Mg</v>
      </c>
      <c r="AC180" s="139">
        <f>INDEX(Tab_Def_Flows[[Flow_ID]:[CC_DM_source]],MATCH(Tab_Data_Flows[[#This Row],[Flow_Name]],Tab_Def_Flows[Flow_Name],0),17)</f>
        <v>1</v>
      </c>
      <c r="AD180" s="6" t="str">
        <f>Tab_Data_Flows[[#This Row],[Flow_ID]]&amp;"_"&amp;"CC_"&amp;Tab_Data_Flows[[#This Row],[Flow_Data_Year]]</f>
        <v>F_00_02_CC_2102</v>
      </c>
      <c r="AE180" s="6">
        <f>IF(F180="Yes",AC180*Tab_Data_Flows[[#This Row],[Flow_Material]]*Tab_Data_Flows[[#This Row],[DM_'[%']]],"N.A.")</f>
        <v>472439.23459199996</v>
      </c>
      <c r="AF180" s="6" t="str">
        <f>Tab_Data_Flows[[#This Row],[UoM_Flow_Py]]</f>
        <v>Mg</v>
      </c>
      <c r="AG180"/>
    </row>
    <row r="181" spans="1:33" x14ac:dyDescent="0.25">
      <c r="A181" s="8">
        <f t="shared" si="5"/>
        <v>180</v>
      </c>
      <c r="B181" s="6" t="str">
        <f>_xlfn.XLOOKUP(C181,Tab_Def_Flows[Flow_Name],Tab_Def_Flows[Flow_ID],,0,)</f>
        <v>F_00_02</v>
      </c>
      <c r="C181" s="138" t="s">
        <v>472</v>
      </c>
      <c r="D181" s="9" t="str">
        <f>_xlfn.XLOOKUP(C181,Tab_Def_Flows[Flow_Name],Tab_Def_Flows[WC?],,0,)</f>
        <v>Yes</v>
      </c>
      <c r="E181" s="9" t="str">
        <f>_xlfn.XLOOKUP(C181,Tab_Def_Flows[Flow_Name],Tab_Def_Flows[DM?],,0,)</f>
        <v>Yes</v>
      </c>
      <c r="F181" s="9" t="str">
        <f>_xlfn.XLOOKUP(C181,Tab_Def_Flows[Flow_Name],Tab_Def_Flows[CC?],,0,)</f>
        <v>Yes</v>
      </c>
      <c r="G181" s="7">
        <v>2103</v>
      </c>
      <c r="H181" s="21">
        <v>452971.80124799995</v>
      </c>
      <c r="I181" s="6" t="str">
        <f>'0_Configuration'!$C$4</f>
        <v>Mg</v>
      </c>
      <c r="J181" s="13"/>
      <c r="K181" s="13"/>
      <c r="L181" s="13"/>
      <c r="M181" s="13"/>
      <c r="N181" s="13"/>
      <c r="O181" s="7" t="s">
        <v>6</v>
      </c>
      <c r="P181" s="14"/>
      <c r="Q181" s="7"/>
      <c r="R181" s="6" t="str">
        <f>Tab_Data_Flows[[#This Row],[Flow_ID]]&amp;"_"&amp;"material_"&amp;Tab_Data_Flows[[#This Row],[Flow_Data_Year]]</f>
        <v>F_00_02_material_2103</v>
      </c>
      <c r="S181" s="12">
        <f t="shared" si="4"/>
        <v>452971.80124799995</v>
      </c>
      <c r="T181" s="6" t="str">
        <f>Tab_Data_Flows[[#This Row],[UoM_Source]]</f>
        <v>Mg</v>
      </c>
      <c r="U181" s="139">
        <f>INDEX(Tab_Def_Flows[[Flow_ID]:[CC_DM_source]],MATCH(Tab_Data_Flows[[#This Row],[Flow_Name]],Tab_Def_Flows[Flow_Name],0),11)</f>
        <v>0</v>
      </c>
      <c r="V181" s="6" t="str">
        <f>Tab_Data_Flows[[#This Row],[Flow_ID]]&amp;"_"&amp;"WC_"&amp;Tab_Data_Flows[[#This Row],[Flow_Data_Year]]</f>
        <v>F_00_02_WC_2103</v>
      </c>
      <c r="W181" s="6">
        <f>IF(D181="Yes",S181*Tab_Data_Flows[[#This Row],[WC_'[%']]],"N.A.")</f>
        <v>0</v>
      </c>
      <c r="X181" s="6" t="str">
        <f>Tab_Data_Flows[[#This Row],[UoM_Flow_Py]]</f>
        <v>Mg</v>
      </c>
      <c r="Y181" s="139">
        <f>INDEX(Tab_Def_Flows[[Flow_ID]:[CC_DM_source]],MATCH(Tab_Data_Flows[[#This Row],[Flow_Name]],Tab_Def_Flows[Flow_Name],0),14)</f>
        <v>1</v>
      </c>
      <c r="Z181" s="6" t="str">
        <f>Tab_Data_Flows[[#This Row],[Flow_ID]]&amp;"_"&amp;"DM_"&amp;Tab_Data_Flows[[#This Row],[Flow_Data_Year]]</f>
        <v>F_00_02_DM_2103</v>
      </c>
      <c r="AA181" s="6">
        <f>IF(E181="Yes",Y181*Tab_Data_Flows[[#This Row],[Flow_Material]],"N.A.")</f>
        <v>452971.80124799995</v>
      </c>
      <c r="AB181" s="6" t="str">
        <f>Tab_Data_Flows[[#This Row],[UoM_Flow_Py]]</f>
        <v>Mg</v>
      </c>
      <c r="AC181" s="139">
        <f>INDEX(Tab_Def_Flows[[Flow_ID]:[CC_DM_source]],MATCH(Tab_Data_Flows[[#This Row],[Flow_Name]],Tab_Def_Flows[Flow_Name],0),17)</f>
        <v>1</v>
      </c>
      <c r="AD181" s="6" t="str">
        <f>Tab_Data_Flows[[#This Row],[Flow_ID]]&amp;"_"&amp;"CC_"&amp;Tab_Data_Flows[[#This Row],[Flow_Data_Year]]</f>
        <v>F_00_02_CC_2103</v>
      </c>
      <c r="AE181" s="6">
        <f>IF(F181="Yes",AC181*Tab_Data_Flows[[#This Row],[Flow_Material]]*Tab_Data_Flows[[#This Row],[DM_'[%']]],"N.A.")</f>
        <v>452971.80124799995</v>
      </c>
      <c r="AF181" s="6" t="str">
        <f>Tab_Data_Flows[[#This Row],[UoM_Flow_Py]]</f>
        <v>Mg</v>
      </c>
      <c r="AG181"/>
    </row>
    <row r="182" spans="1:33" x14ac:dyDescent="0.25">
      <c r="A182" s="8">
        <f t="shared" si="5"/>
        <v>181</v>
      </c>
      <c r="B182" s="6" t="str">
        <f>_xlfn.XLOOKUP(C182,Tab_Def_Flows[Flow_Name],Tab_Def_Flows[Flow_ID],,0,)</f>
        <v>F_00_02</v>
      </c>
      <c r="C182" s="138" t="s">
        <v>472</v>
      </c>
      <c r="D182" s="9" t="str">
        <f>_xlfn.XLOOKUP(C182,Tab_Def_Flows[Flow_Name],Tab_Def_Flows[WC?],,0,)</f>
        <v>Yes</v>
      </c>
      <c r="E182" s="9" t="str">
        <f>_xlfn.XLOOKUP(C182,Tab_Def_Flows[Flow_Name],Tab_Def_Flows[DM?],,0,)</f>
        <v>Yes</v>
      </c>
      <c r="F182" s="9" t="str">
        <f>_xlfn.XLOOKUP(C182,Tab_Def_Flows[Flow_Name],Tab_Def_Flows[CC?],,0,)</f>
        <v>Yes</v>
      </c>
      <c r="G182" s="7">
        <v>2104</v>
      </c>
      <c r="H182" s="21">
        <v>457554.89673600002</v>
      </c>
      <c r="I182" s="6" t="str">
        <f>'0_Configuration'!$C$4</f>
        <v>Mg</v>
      </c>
      <c r="J182" s="13"/>
      <c r="K182" s="13"/>
      <c r="L182" s="13"/>
      <c r="M182" s="13"/>
      <c r="N182" s="13"/>
      <c r="O182" s="7" t="s">
        <v>6</v>
      </c>
      <c r="P182" s="14"/>
      <c r="Q182" s="7"/>
      <c r="R182" s="6" t="str">
        <f>Tab_Data_Flows[[#This Row],[Flow_ID]]&amp;"_"&amp;"material_"&amp;Tab_Data_Flows[[#This Row],[Flow_Data_Year]]</f>
        <v>F_00_02_material_2104</v>
      </c>
      <c r="S182" s="12">
        <f t="shared" si="4"/>
        <v>457554.89673600002</v>
      </c>
      <c r="T182" s="6" t="str">
        <f>Tab_Data_Flows[[#This Row],[UoM_Source]]</f>
        <v>Mg</v>
      </c>
      <c r="U182" s="139">
        <f>INDEX(Tab_Def_Flows[[Flow_ID]:[CC_DM_source]],MATCH(Tab_Data_Flows[[#This Row],[Flow_Name]],Tab_Def_Flows[Flow_Name],0),11)</f>
        <v>0</v>
      </c>
      <c r="V182" s="6" t="str">
        <f>Tab_Data_Flows[[#This Row],[Flow_ID]]&amp;"_"&amp;"WC_"&amp;Tab_Data_Flows[[#This Row],[Flow_Data_Year]]</f>
        <v>F_00_02_WC_2104</v>
      </c>
      <c r="W182" s="6">
        <f>IF(D182="Yes",S182*Tab_Data_Flows[[#This Row],[WC_'[%']]],"N.A.")</f>
        <v>0</v>
      </c>
      <c r="X182" s="6" t="str">
        <f>Tab_Data_Flows[[#This Row],[UoM_Flow_Py]]</f>
        <v>Mg</v>
      </c>
      <c r="Y182" s="139">
        <f>INDEX(Tab_Def_Flows[[Flow_ID]:[CC_DM_source]],MATCH(Tab_Data_Flows[[#This Row],[Flow_Name]],Tab_Def_Flows[Flow_Name],0),14)</f>
        <v>1</v>
      </c>
      <c r="Z182" s="6" t="str">
        <f>Tab_Data_Flows[[#This Row],[Flow_ID]]&amp;"_"&amp;"DM_"&amp;Tab_Data_Flows[[#This Row],[Flow_Data_Year]]</f>
        <v>F_00_02_DM_2104</v>
      </c>
      <c r="AA182" s="6">
        <f>IF(E182="Yes",Y182*Tab_Data_Flows[[#This Row],[Flow_Material]],"N.A.")</f>
        <v>457554.89673600002</v>
      </c>
      <c r="AB182" s="6" t="str">
        <f>Tab_Data_Flows[[#This Row],[UoM_Flow_Py]]</f>
        <v>Mg</v>
      </c>
      <c r="AC182" s="139">
        <f>INDEX(Tab_Def_Flows[[Flow_ID]:[CC_DM_source]],MATCH(Tab_Data_Flows[[#This Row],[Flow_Name]],Tab_Def_Flows[Flow_Name],0),17)</f>
        <v>1</v>
      </c>
      <c r="AD182" s="6" t="str">
        <f>Tab_Data_Flows[[#This Row],[Flow_ID]]&amp;"_"&amp;"CC_"&amp;Tab_Data_Flows[[#This Row],[Flow_Data_Year]]</f>
        <v>F_00_02_CC_2104</v>
      </c>
      <c r="AE182" s="6">
        <f>IF(F182="Yes",AC182*Tab_Data_Flows[[#This Row],[Flow_Material]]*Tab_Data_Flows[[#This Row],[DM_'[%']]],"N.A.")</f>
        <v>457554.89673600002</v>
      </c>
      <c r="AF182" s="6" t="str">
        <f>Tab_Data_Flows[[#This Row],[UoM_Flow_Py]]</f>
        <v>Mg</v>
      </c>
      <c r="AG182"/>
    </row>
    <row r="183" spans="1:33" x14ac:dyDescent="0.25">
      <c r="A183" s="8">
        <f t="shared" si="5"/>
        <v>182</v>
      </c>
      <c r="B183" s="6" t="str">
        <f>_xlfn.XLOOKUP(C183,Tab_Def_Flows[Flow_Name],Tab_Def_Flows[Flow_ID],,0,)</f>
        <v>F_00_02</v>
      </c>
      <c r="C183" s="138" t="s">
        <v>472</v>
      </c>
      <c r="D183" s="9" t="str">
        <f>_xlfn.XLOOKUP(C183,Tab_Def_Flows[Flow_Name],Tab_Def_Flows[WC?],,0,)</f>
        <v>Yes</v>
      </c>
      <c r="E183" s="9" t="str">
        <f>_xlfn.XLOOKUP(C183,Tab_Def_Flows[Flow_Name],Tab_Def_Flows[DM?],,0,)</f>
        <v>Yes</v>
      </c>
      <c r="F183" s="9" t="str">
        <f>_xlfn.XLOOKUP(C183,Tab_Def_Flows[Flow_Name],Tab_Def_Flows[CC?],,0,)</f>
        <v>Yes</v>
      </c>
      <c r="G183" s="7">
        <v>2105</v>
      </c>
      <c r="H183" s="21">
        <v>425913.49190399999</v>
      </c>
      <c r="I183" s="6" t="str">
        <f>'0_Configuration'!$C$4</f>
        <v>Mg</v>
      </c>
      <c r="J183" s="13"/>
      <c r="K183" s="13"/>
      <c r="L183" s="13"/>
      <c r="M183" s="13"/>
      <c r="N183" s="13"/>
      <c r="O183" s="7" t="s">
        <v>6</v>
      </c>
      <c r="P183" s="7"/>
      <c r="Q183" s="7"/>
      <c r="R183" s="6" t="str">
        <f>Tab_Data_Flows[[#This Row],[Flow_ID]]&amp;"_"&amp;"material_"&amp;Tab_Data_Flows[[#This Row],[Flow_Data_Year]]</f>
        <v>F_00_02_material_2105</v>
      </c>
      <c r="S183" s="12">
        <f t="shared" si="4"/>
        <v>425913.49190399999</v>
      </c>
      <c r="T183" s="6" t="str">
        <f>Tab_Data_Flows[[#This Row],[UoM_Source]]</f>
        <v>Mg</v>
      </c>
      <c r="U183" s="139">
        <f>INDEX(Tab_Def_Flows[[Flow_ID]:[CC_DM_source]],MATCH(Tab_Data_Flows[[#This Row],[Flow_Name]],Tab_Def_Flows[Flow_Name],0),11)</f>
        <v>0</v>
      </c>
      <c r="V183" s="6" t="str">
        <f>Tab_Data_Flows[[#This Row],[Flow_ID]]&amp;"_"&amp;"WC_"&amp;Tab_Data_Flows[[#This Row],[Flow_Data_Year]]</f>
        <v>F_00_02_WC_2105</v>
      </c>
      <c r="W183" s="6">
        <f>IF(D183="Yes",S183*Tab_Data_Flows[[#This Row],[WC_'[%']]],"N.A.")</f>
        <v>0</v>
      </c>
      <c r="X183" s="6" t="str">
        <f>Tab_Data_Flows[[#This Row],[UoM_Flow_Py]]</f>
        <v>Mg</v>
      </c>
      <c r="Y183" s="139">
        <f>INDEX(Tab_Def_Flows[[Flow_ID]:[CC_DM_source]],MATCH(Tab_Data_Flows[[#This Row],[Flow_Name]],Tab_Def_Flows[Flow_Name],0),14)</f>
        <v>1</v>
      </c>
      <c r="Z183" s="6" t="str">
        <f>Tab_Data_Flows[[#This Row],[Flow_ID]]&amp;"_"&amp;"DM_"&amp;Tab_Data_Flows[[#This Row],[Flow_Data_Year]]</f>
        <v>F_00_02_DM_2105</v>
      </c>
      <c r="AA183" s="6">
        <f>IF(E183="Yes",Y183*Tab_Data_Flows[[#This Row],[Flow_Material]],"N.A.")</f>
        <v>425913.49190399999</v>
      </c>
      <c r="AB183" s="6" t="str">
        <f>Tab_Data_Flows[[#This Row],[UoM_Flow_Py]]</f>
        <v>Mg</v>
      </c>
      <c r="AC183" s="139">
        <f>INDEX(Tab_Def_Flows[[Flow_ID]:[CC_DM_source]],MATCH(Tab_Data_Flows[[#This Row],[Flow_Name]],Tab_Def_Flows[Flow_Name],0),17)</f>
        <v>1</v>
      </c>
      <c r="AD183" s="6" t="str">
        <f>Tab_Data_Flows[[#This Row],[Flow_ID]]&amp;"_"&amp;"CC_"&amp;Tab_Data_Flows[[#This Row],[Flow_Data_Year]]</f>
        <v>F_00_02_CC_2105</v>
      </c>
      <c r="AE183" s="6">
        <f>IF(F183="Yes",AC183*Tab_Data_Flows[[#This Row],[Flow_Material]]*Tab_Data_Flows[[#This Row],[DM_'[%']]],"N.A.")</f>
        <v>425913.49190399999</v>
      </c>
      <c r="AF183" s="6" t="str">
        <f>Tab_Data_Flows[[#This Row],[UoM_Flow_Py]]</f>
        <v>Mg</v>
      </c>
      <c r="AG183"/>
    </row>
    <row r="184" spans="1:33" x14ac:dyDescent="0.25">
      <c r="A184" s="8">
        <f t="shared" si="5"/>
        <v>183</v>
      </c>
      <c r="B184" s="6" t="str">
        <f>_xlfn.XLOOKUP(C184,Tab_Def_Flows[Flow_Name],Tab_Def_Flows[Flow_ID],,0,)</f>
        <v>F_00_02</v>
      </c>
      <c r="C184" s="138" t="s">
        <v>472</v>
      </c>
      <c r="D184" s="9" t="str">
        <f>_xlfn.XLOOKUP(C184,Tab_Def_Flows[Flow_Name],Tab_Def_Flows[WC?],,0,)</f>
        <v>Yes</v>
      </c>
      <c r="E184" s="9" t="str">
        <f>_xlfn.XLOOKUP(C184,Tab_Def_Flows[Flow_Name],Tab_Def_Flows[DM?],,0,)</f>
        <v>Yes</v>
      </c>
      <c r="F184" s="9" t="str">
        <f>_xlfn.XLOOKUP(C184,Tab_Def_Flows[Flow_Name],Tab_Def_Flows[CC?],,0,)</f>
        <v>Yes</v>
      </c>
      <c r="G184" s="7">
        <v>2106</v>
      </c>
      <c r="H184" s="21">
        <v>375353.51673600002</v>
      </c>
      <c r="I184" s="6" t="str">
        <f>'0_Configuration'!$C$4</f>
        <v>Mg</v>
      </c>
      <c r="J184" s="13"/>
      <c r="K184" s="13"/>
      <c r="L184" s="13"/>
      <c r="M184" s="13"/>
      <c r="N184" s="13"/>
      <c r="O184" s="7" t="s">
        <v>6</v>
      </c>
      <c r="P184" s="7"/>
      <c r="Q184" s="7"/>
      <c r="R184" s="6" t="str">
        <f>Tab_Data_Flows[[#This Row],[Flow_ID]]&amp;"_"&amp;"material_"&amp;Tab_Data_Flows[[#This Row],[Flow_Data_Year]]</f>
        <v>F_00_02_material_2106</v>
      </c>
      <c r="S184" s="12">
        <f t="shared" si="4"/>
        <v>375353.51673600002</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F_00_02_WC_2106</v>
      </c>
      <c r="W184" s="6">
        <f>IF(D184="Yes",S184*Tab_Data_Flows[[#This Row],[WC_'[%']]],"N.A.")</f>
        <v>0</v>
      </c>
      <c r="X184" s="6" t="str">
        <f>Tab_Data_Flows[[#This Row],[UoM_Flow_Py]]</f>
        <v>Mg</v>
      </c>
      <c r="Y184" s="139">
        <f>INDEX(Tab_Def_Flows[[Flow_ID]:[CC_DM_source]],MATCH(Tab_Data_Flows[[#This Row],[Flow_Name]],Tab_Def_Flows[Flow_Name],0),14)</f>
        <v>1</v>
      </c>
      <c r="Z184" s="6" t="str">
        <f>Tab_Data_Flows[[#This Row],[Flow_ID]]&amp;"_"&amp;"DM_"&amp;Tab_Data_Flows[[#This Row],[Flow_Data_Year]]</f>
        <v>F_00_02_DM_2106</v>
      </c>
      <c r="AA184" s="6">
        <f>IF(E184="Yes",Y184*Tab_Data_Flows[[#This Row],[Flow_Material]],"N.A.")</f>
        <v>375353.51673600002</v>
      </c>
      <c r="AB184" s="6" t="str">
        <f>Tab_Data_Flows[[#This Row],[UoM_Flow_Py]]</f>
        <v>Mg</v>
      </c>
      <c r="AC184" s="139">
        <f>INDEX(Tab_Def_Flows[[Flow_ID]:[CC_DM_source]],MATCH(Tab_Data_Flows[[#This Row],[Flow_Name]],Tab_Def_Flows[Flow_Name],0),17)</f>
        <v>1</v>
      </c>
      <c r="AD184" s="6" t="str">
        <f>Tab_Data_Flows[[#This Row],[Flow_ID]]&amp;"_"&amp;"CC_"&amp;Tab_Data_Flows[[#This Row],[Flow_Data_Year]]</f>
        <v>F_00_02_CC_2106</v>
      </c>
      <c r="AE184" s="6">
        <f>IF(F184="Yes",AC184*Tab_Data_Flows[[#This Row],[Flow_Material]]*Tab_Data_Flows[[#This Row],[DM_'[%']]],"N.A.")</f>
        <v>375353.51673600002</v>
      </c>
      <c r="AF184" s="6" t="str">
        <f>Tab_Data_Flows[[#This Row],[UoM_Flow_Py]]</f>
        <v>Mg</v>
      </c>
      <c r="AG184"/>
    </row>
    <row r="185" spans="1:33" x14ac:dyDescent="0.25">
      <c r="A185" s="8">
        <f t="shared" si="5"/>
        <v>184</v>
      </c>
      <c r="B185" s="6" t="str">
        <f>_xlfn.XLOOKUP(C185,Tab_Def_Flows[Flow_Name],Tab_Def_Flows[Flow_ID],,0,)</f>
        <v>F_00_02</v>
      </c>
      <c r="C185" s="138" t="s">
        <v>472</v>
      </c>
      <c r="D185" s="9" t="str">
        <f>_xlfn.XLOOKUP(C185,Tab_Def_Flows[Flow_Name],Tab_Def_Flows[WC?],,0,)</f>
        <v>Yes</v>
      </c>
      <c r="E185" s="9" t="str">
        <f>_xlfn.XLOOKUP(C185,Tab_Def_Flows[Flow_Name],Tab_Def_Flows[DM?],,0,)</f>
        <v>Yes</v>
      </c>
      <c r="F185" s="9" t="str">
        <f>_xlfn.XLOOKUP(C185,Tab_Def_Flows[Flow_Name],Tab_Def_Flows[CC?],,0,)</f>
        <v>Yes</v>
      </c>
      <c r="G185" s="7">
        <v>2107</v>
      </c>
      <c r="H185" s="21">
        <v>434125.37596800004</v>
      </c>
      <c r="I185" s="6" t="str">
        <f>'0_Configuration'!$C$4</f>
        <v>Mg</v>
      </c>
      <c r="J185" s="13"/>
      <c r="K185" s="13"/>
      <c r="L185" s="13"/>
      <c r="M185" s="13"/>
      <c r="N185" s="13"/>
      <c r="O185" s="7" t="s">
        <v>6</v>
      </c>
      <c r="P185" s="7"/>
      <c r="Q185" s="7"/>
      <c r="R185" s="6" t="str">
        <f>Tab_Data_Flows[[#This Row],[Flow_ID]]&amp;"_"&amp;"material_"&amp;Tab_Data_Flows[[#This Row],[Flow_Data_Year]]</f>
        <v>F_00_02_material_2107</v>
      </c>
      <c r="S185" s="12">
        <f t="shared" si="4"/>
        <v>434125.37596800004</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F_00_02_WC_2107</v>
      </c>
      <c r="W185" s="6">
        <f>IF(D185="Yes",S185*Tab_Data_Flows[[#This Row],[WC_'[%']]],"N.A.")</f>
        <v>0</v>
      </c>
      <c r="X185" s="6" t="str">
        <f>Tab_Data_Flows[[#This Row],[UoM_Flow_Py]]</f>
        <v>Mg</v>
      </c>
      <c r="Y185" s="139">
        <f>INDEX(Tab_Def_Flows[[Flow_ID]:[CC_DM_source]],MATCH(Tab_Data_Flows[[#This Row],[Flow_Name]],Tab_Def_Flows[Flow_Name],0),14)</f>
        <v>1</v>
      </c>
      <c r="Z185" s="6" t="str">
        <f>Tab_Data_Flows[[#This Row],[Flow_ID]]&amp;"_"&amp;"DM_"&amp;Tab_Data_Flows[[#This Row],[Flow_Data_Year]]</f>
        <v>F_00_02_DM_2107</v>
      </c>
      <c r="AA185" s="6">
        <f>IF(E185="Yes",Y185*Tab_Data_Flows[[#This Row],[Flow_Material]],"N.A.")</f>
        <v>434125.37596800004</v>
      </c>
      <c r="AB185" s="6" t="str">
        <f>Tab_Data_Flows[[#This Row],[UoM_Flow_Py]]</f>
        <v>Mg</v>
      </c>
      <c r="AC185" s="139">
        <f>INDEX(Tab_Def_Flows[[Flow_ID]:[CC_DM_source]],MATCH(Tab_Data_Flows[[#This Row],[Flow_Name]],Tab_Def_Flows[Flow_Name],0),17)</f>
        <v>1</v>
      </c>
      <c r="AD185" s="6" t="str">
        <f>Tab_Data_Flows[[#This Row],[Flow_ID]]&amp;"_"&amp;"CC_"&amp;Tab_Data_Flows[[#This Row],[Flow_Data_Year]]</f>
        <v>F_00_02_CC_2107</v>
      </c>
      <c r="AE185" s="6">
        <f>IF(F185="Yes",AC185*Tab_Data_Flows[[#This Row],[Flow_Material]]*Tab_Data_Flows[[#This Row],[DM_'[%']]],"N.A.")</f>
        <v>434125.37596800004</v>
      </c>
      <c r="AF185" s="6" t="str">
        <f>Tab_Data_Flows[[#This Row],[UoM_Flow_Py]]</f>
        <v>Mg</v>
      </c>
      <c r="AG185"/>
    </row>
    <row r="186" spans="1:33" x14ac:dyDescent="0.25">
      <c r="A186" s="8">
        <f t="shared" si="5"/>
        <v>185</v>
      </c>
      <c r="B186" s="6" t="str">
        <f>_xlfn.XLOOKUP(C186,Tab_Def_Flows[Flow_Name],Tab_Def_Flows[Flow_ID],,0,)</f>
        <v>F_00_02</v>
      </c>
      <c r="C186" s="138" t="s">
        <v>472</v>
      </c>
      <c r="D186" s="9" t="str">
        <f>_xlfn.XLOOKUP(C186,Tab_Def_Flows[Flow_Name],Tab_Def_Flows[WC?],,0,)</f>
        <v>Yes</v>
      </c>
      <c r="E186" s="9" t="str">
        <f>_xlfn.XLOOKUP(C186,Tab_Def_Flows[Flow_Name],Tab_Def_Flows[DM?],,0,)</f>
        <v>Yes</v>
      </c>
      <c r="F186" s="9" t="str">
        <f>_xlfn.XLOOKUP(C186,Tab_Def_Flows[Flow_Name],Tab_Def_Flows[CC?],,0,)</f>
        <v>Yes</v>
      </c>
      <c r="G186" s="7">
        <v>2108</v>
      </c>
      <c r="H186" s="21">
        <v>487650.34492800001</v>
      </c>
      <c r="I186" s="6" t="str">
        <f>'0_Configuration'!$C$4</f>
        <v>Mg</v>
      </c>
      <c r="J186" s="13"/>
      <c r="K186" s="13"/>
      <c r="L186" s="13"/>
      <c r="M186" s="13"/>
      <c r="N186" s="13"/>
      <c r="O186" s="7" t="s">
        <v>6</v>
      </c>
      <c r="P186" s="7"/>
      <c r="Q186" s="7"/>
      <c r="R186" s="6" t="str">
        <f>Tab_Data_Flows[[#This Row],[Flow_ID]]&amp;"_"&amp;"material_"&amp;Tab_Data_Flows[[#This Row],[Flow_Data_Year]]</f>
        <v>F_00_02_material_2108</v>
      </c>
      <c r="S186" s="12">
        <f t="shared" si="4"/>
        <v>487650.34492800001</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F_00_02_WC_2108</v>
      </c>
      <c r="W186" s="6">
        <f>IF(D186="Yes",S186*Tab_Data_Flows[[#This Row],[WC_'[%']]],"N.A.")</f>
        <v>0</v>
      </c>
      <c r="X186" s="6" t="str">
        <f>Tab_Data_Flows[[#This Row],[UoM_Flow_Py]]</f>
        <v>Mg</v>
      </c>
      <c r="Y186" s="139">
        <f>INDEX(Tab_Def_Flows[[Flow_ID]:[CC_DM_source]],MATCH(Tab_Data_Flows[[#This Row],[Flow_Name]],Tab_Def_Flows[Flow_Name],0),14)</f>
        <v>1</v>
      </c>
      <c r="Z186" s="6" t="str">
        <f>Tab_Data_Flows[[#This Row],[Flow_ID]]&amp;"_"&amp;"DM_"&amp;Tab_Data_Flows[[#This Row],[Flow_Data_Year]]</f>
        <v>F_00_02_DM_2108</v>
      </c>
      <c r="AA186" s="6">
        <f>IF(E186="Yes",Y186*Tab_Data_Flows[[#This Row],[Flow_Material]],"N.A.")</f>
        <v>487650.34492800001</v>
      </c>
      <c r="AB186" s="6" t="str">
        <f>Tab_Data_Flows[[#This Row],[UoM_Flow_Py]]</f>
        <v>Mg</v>
      </c>
      <c r="AC186" s="139">
        <f>INDEX(Tab_Def_Flows[[Flow_ID]:[CC_DM_source]],MATCH(Tab_Data_Flows[[#This Row],[Flow_Name]],Tab_Def_Flows[Flow_Name],0),17)</f>
        <v>1</v>
      </c>
      <c r="AD186" s="6" t="str">
        <f>Tab_Data_Flows[[#This Row],[Flow_ID]]&amp;"_"&amp;"CC_"&amp;Tab_Data_Flows[[#This Row],[Flow_Data_Year]]</f>
        <v>F_00_02_CC_2108</v>
      </c>
      <c r="AE186" s="6">
        <f>IF(F186="Yes",AC186*Tab_Data_Flows[[#This Row],[Flow_Material]]*Tab_Data_Flows[[#This Row],[DM_'[%']]],"N.A.")</f>
        <v>487650.34492800001</v>
      </c>
      <c r="AF186" s="6" t="str">
        <f>Tab_Data_Flows[[#This Row],[UoM_Flow_Py]]</f>
        <v>Mg</v>
      </c>
      <c r="AG186"/>
    </row>
    <row r="187" spans="1:33" x14ac:dyDescent="0.25">
      <c r="A187" s="8">
        <f t="shared" si="5"/>
        <v>186</v>
      </c>
      <c r="B187" s="6" t="str">
        <f>_xlfn.XLOOKUP(C187,Tab_Def_Flows[Flow_Name],Tab_Def_Flows[Flow_ID],,0,)</f>
        <v>F_00_02</v>
      </c>
      <c r="C187" s="138" t="s">
        <v>472</v>
      </c>
      <c r="D187" s="9" t="str">
        <f>_xlfn.XLOOKUP(C187,Tab_Def_Flows[Flow_Name],Tab_Def_Flows[WC?],,0,)</f>
        <v>Yes</v>
      </c>
      <c r="E187" s="9" t="str">
        <f>_xlfn.XLOOKUP(C187,Tab_Def_Flows[Flow_Name],Tab_Def_Flows[DM?],,0,)</f>
        <v>Yes</v>
      </c>
      <c r="F187" s="9" t="str">
        <f>_xlfn.XLOOKUP(C187,Tab_Def_Flows[Flow_Name],Tab_Def_Flows[CC?],,0,)</f>
        <v>Yes</v>
      </c>
      <c r="G187" s="7">
        <v>2109</v>
      </c>
      <c r="H187" s="21">
        <v>419380.54799999995</v>
      </c>
      <c r="I187" s="6" t="str">
        <f>'0_Configuration'!$C$4</f>
        <v>Mg</v>
      </c>
      <c r="J187" s="13"/>
      <c r="K187" s="13"/>
      <c r="L187" s="13"/>
      <c r="M187" s="13"/>
      <c r="N187" s="13"/>
      <c r="O187" s="7" t="s">
        <v>6</v>
      </c>
      <c r="P187" s="7"/>
      <c r="Q187" s="7"/>
      <c r="R187" s="6" t="str">
        <f>Tab_Data_Flows[[#This Row],[Flow_ID]]&amp;"_"&amp;"material_"&amp;Tab_Data_Flows[[#This Row],[Flow_Data_Year]]</f>
        <v>F_00_02_material_2109</v>
      </c>
      <c r="S187" s="12">
        <f t="shared" si="4"/>
        <v>419380.54799999995</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F_00_02_WC_2109</v>
      </c>
      <c r="W187" s="6">
        <f>IF(D187="Yes",S187*Tab_Data_Flows[[#This Row],[WC_'[%']]],"N.A.")</f>
        <v>0</v>
      </c>
      <c r="X187" s="6" t="str">
        <f>Tab_Data_Flows[[#This Row],[UoM_Flow_Py]]</f>
        <v>Mg</v>
      </c>
      <c r="Y187" s="139">
        <f>INDEX(Tab_Def_Flows[[Flow_ID]:[CC_DM_source]],MATCH(Tab_Data_Flows[[#This Row],[Flow_Name]],Tab_Def_Flows[Flow_Name],0),14)</f>
        <v>1</v>
      </c>
      <c r="Z187" s="6" t="str">
        <f>Tab_Data_Flows[[#This Row],[Flow_ID]]&amp;"_"&amp;"DM_"&amp;Tab_Data_Flows[[#This Row],[Flow_Data_Year]]</f>
        <v>F_00_02_DM_2109</v>
      </c>
      <c r="AA187" s="6">
        <f>IF(E187="Yes",Y187*Tab_Data_Flows[[#This Row],[Flow_Material]],"N.A.")</f>
        <v>419380.54799999995</v>
      </c>
      <c r="AB187" s="6" t="str">
        <f>Tab_Data_Flows[[#This Row],[UoM_Flow_Py]]</f>
        <v>Mg</v>
      </c>
      <c r="AC187" s="139">
        <f>INDEX(Tab_Def_Flows[[Flow_ID]:[CC_DM_source]],MATCH(Tab_Data_Flows[[#This Row],[Flow_Name]],Tab_Def_Flows[Flow_Name],0),17)</f>
        <v>1</v>
      </c>
      <c r="AD187" s="6" t="str">
        <f>Tab_Data_Flows[[#This Row],[Flow_ID]]&amp;"_"&amp;"CC_"&amp;Tab_Data_Flows[[#This Row],[Flow_Data_Year]]</f>
        <v>F_00_02_CC_2109</v>
      </c>
      <c r="AE187" s="6">
        <f>IF(F187="Yes",AC187*Tab_Data_Flows[[#This Row],[Flow_Material]]*Tab_Data_Flows[[#This Row],[DM_'[%']]],"N.A.")</f>
        <v>419380.54799999995</v>
      </c>
      <c r="AF187" s="6" t="str">
        <f>Tab_Data_Flows[[#This Row],[UoM_Flow_Py]]</f>
        <v>Mg</v>
      </c>
      <c r="AG187"/>
    </row>
    <row r="188" spans="1:33" x14ac:dyDescent="0.25">
      <c r="A188" s="8">
        <f t="shared" si="5"/>
        <v>187</v>
      </c>
      <c r="B188" s="6" t="str">
        <f>_xlfn.XLOOKUP(C188,Tab_Def_Flows[Flow_Name],Tab_Def_Flows[Flow_ID],,0,)</f>
        <v>F_00_02</v>
      </c>
      <c r="C188" s="138" t="s">
        <v>472</v>
      </c>
      <c r="D188" s="9" t="str">
        <f>_xlfn.XLOOKUP(C188,Tab_Def_Flows[Flow_Name],Tab_Def_Flows[WC?],,0,)</f>
        <v>Yes</v>
      </c>
      <c r="E188" s="9" t="str">
        <f>_xlfn.XLOOKUP(C188,Tab_Def_Flows[Flow_Name],Tab_Def_Flows[DM?],,0,)</f>
        <v>Yes</v>
      </c>
      <c r="F188" s="9" t="str">
        <f>_xlfn.XLOOKUP(C188,Tab_Def_Flows[Flow_Name],Tab_Def_Flows[CC?],,0,)</f>
        <v>Yes</v>
      </c>
      <c r="G188" s="7">
        <v>2110</v>
      </c>
      <c r="H188" s="21">
        <v>394793.00764800003</v>
      </c>
      <c r="I188" s="6" t="str">
        <f>'0_Configuration'!$C$4</f>
        <v>Mg</v>
      </c>
      <c r="J188" s="13"/>
      <c r="K188" s="13"/>
      <c r="L188" s="13"/>
      <c r="M188" s="13"/>
      <c r="N188" s="13"/>
      <c r="O188" s="7" t="s">
        <v>6</v>
      </c>
      <c r="P188" s="7"/>
      <c r="Q188" s="7"/>
      <c r="R188" s="6" t="str">
        <f>Tab_Data_Flows[[#This Row],[Flow_ID]]&amp;"_"&amp;"material_"&amp;Tab_Data_Flows[[#This Row],[Flow_Data_Year]]</f>
        <v>F_00_02_material_2110</v>
      </c>
      <c r="S188" s="12">
        <f t="shared" si="4"/>
        <v>394793.00764800003</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F_00_02_WC_2110</v>
      </c>
      <c r="W188" s="6">
        <f>IF(D188="Yes",S188*Tab_Data_Flows[[#This Row],[WC_'[%']]],"N.A.")</f>
        <v>0</v>
      </c>
      <c r="X188" s="6" t="str">
        <f>Tab_Data_Flows[[#This Row],[UoM_Flow_Py]]</f>
        <v>Mg</v>
      </c>
      <c r="Y188" s="139">
        <f>INDEX(Tab_Def_Flows[[Flow_ID]:[CC_DM_source]],MATCH(Tab_Data_Flows[[#This Row],[Flow_Name]],Tab_Def_Flows[Flow_Name],0),14)</f>
        <v>1</v>
      </c>
      <c r="Z188" s="6" t="str">
        <f>Tab_Data_Flows[[#This Row],[Flow_ID]]&amp;"_"&amp;"DM_"&amp;Tab_Data_Flows[[#This Row],[Flow_Data_Year]]</f>
        <v>F_00_02_DM_2110</v>
      </c>
      <c r="AA188" s="6">
        <f>IF(E188="Yes",Y188*Tab_Data_Flows[[#This Row],[Flow_Material]],"N.A.")</f>
        <v>394793.00764800003</v>
      </c>
      <c r="AB188" s="6" t="str">
        <f>Tab_Data_Flows[[#This Row],[UoM_Flow_Py]]</f>
        <v>Mg</v>
      </c>
      <c r="AC188" s="139">
        <f>INDEX(Tab_Def_Flows[[Flow_ID]:[CC_DM_source]],MATCH(Tab_Data_Flows[[#This Row],[Flow_Name]],Tab_Def_Flows[Flow_Name],0),17)</f>
        <v>1</v>
      </c>
      <c r="AD188" s="6" t="str">
        <f>Tab_Data_Flows[[#This Row],[Flow_ID]]&amp;"_"&amp;"CC_"&amp;Tab_Data_Flows[[#This Row],[Flow_Data_Year]]</f>
        <v>F_00_02_CC_2110</v>
      </c>
      <c r="AE188" s="6">
        <f>IF(F188="Yes",AC188*Tab_Data_Flows[[#This Row],[Flow_Material]]*Tab_Data_Flows[[#This Row],[DM_'[%']]],"N.A.")</f>
        <v>394793.00764800003</v>
      </c>
      <c r="AF188" s="6" t="str">
        <f>Tab_Data_Flows[[#This Row],[UoM_Flow_Py]]</f>
        <v>Mg</v>
      </c>
      <c r="AG188"/>
    </row>
    <row r="189" spans="1:33" x14ac:dyDescent="0.25">
      <c r="A189" s="8">
        <f t="shared" si="5"/>
        <v>188</v>
      </c>
      <c r="B189" s="6" t="str">
        <f>_xlfn.XLOOKUP(C189,Tab_Def_Flows[Flow_Name],Tab_Def_Flows[Flow_ID],,0,)</f>
        <v>F_00_02</v>
      </c>
      <c r="C189" s="138" t="s">
        <v>472</v>
      </c>
      <c r="D189" s="9" t="str">
        <f>_xlfn.XLOOKUP(C189,Tab_Def_Flows[Flow_Name],Tab_Def_Flows[WC?],,0,)</f>
        <v>Yes</v>
      </c>
      <c r="E189" s="9" t="str">
        <f>_xlfn.XLOOKUP(C189,Tab_Def_Flows[Flow_Name],Tab_Def_Flows[DM?],,0,)</f>
        <v>Yes</v>
      </c>
      <c r="F189" s="9" t="str">
        <f>_xlfn.XLOOKUP(C189,Tab_Def_Flows[Flow_Name],Tab_Def_Flows[CC?],,0,)</f>
        <v>Yes</v>
      </c>
      <c r="G189" s="7">
        <v>2111</v>
      </c>
      <c r="H189" s="21">
        <v>443256.743136</v>
      </c>
      <c r="I189" s="6" t="str">
        <f>'0_Configuration'!$C$4</f>
        <v>Mg</v>
      </c>
      <c r="J189" s="13"/>
      <c r="K189" s="13"/>
      <c r="L189" s="13"/>
      <c r="M189" s="13"/>
      <c r="N189" s="13"/>
      <c r="O189" s="7" t="s">
        <v>6</v>
      </c>
      <c r="P189" s="7"/>
      <c r="Q189" s="7"/>
      <c r="R189" s="6" t="str">
        <f>Tab_Data_Flows[[#This Row],[Flow_ID]]&amp;"_"&amp;"material_"&amp;Tab_Data_Flows[[#This Row],[Flow_Data_Year]]</f>
        <v>F_00_02_material_2111</v>
      </c>
      <c r="S189" s="12">
        <f t="shared" si="4"/>
        <v>443256.743136</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F_00_02_WC_2111</v>
      </c>
      <c r="W189" s="6">
        <f>IF(D189="Yes",S189*Tab_Data_Flows[[#This Row],[WC_'[%']]],"N.A.")</f>
        <v>0</v>
      </c>
      <c r="X189" s="6" t="str">
        <f>Tab_Data_Flows[[#This Row],[UoM_Flow_Py]]</f>
        <v>Mg</v>
      </c>
      <c r="Y189" s="139">
        <f>INDEX(Tab_Def_Flows[[Flow_ID]:[CC_DM_source]],MATCH(Tab_Data_Flows[[#This Row],[Flow_Name]],Tab_Def_Flows[Flow_Name],0),14)</f>
        <v>1</v>
      </c>
      <c r="Z189" s="6" t="str">
        <f>Tab_Data_Flows[[#This Row],[Flow_ID]]&amp;"_"&amp;"DM_"&amp;Tab_Data_Flows[[#This Row],[Flow_Data_Year]]</f>
        <v>F_00_02_DM_2111</v>
      </c>
      <c r="AA189" s="6">
        <f>IF(E189="Yes",Y189*Tab_Data_Flows[[#This Row],[Flow_Material]],"N.A.")</f>
        <v>443256.743136</v>
      </c>
      <c r="AB189" s="6" t="str">
        <f>Tab_Data_Flows[[#This Row],[UoM_Flow_Py]]</f>
        <v>Mg</v>
      </c>
      <c r="AC189" s="139">
        <f>INDEX(Tab_Def_Flows[[Flow_ID]:[CC_DM_source]],MATCH(Tab_Data_Flows[[#This Row],[Flow_Name]],Tab_Def_Flows[Flow_Name],0),17)</f>
        <v>1</v>
      </c>
      <c r="AD189" s="6" t="str">
        <f>Tab_Data_Flows[[#This Row],[Flow_ID]]&amp;"_"&amp;"CC_"&amp;Tab_Data_Flows[[#This Row],[Flow_Data_Year]]</f>
        <v>F_00_02_CC_2111</v>
      </c>
      <c r="AE189" s="6">
        <f>IF(F189="Yes",AC189*Tab_Data_Flows[[#This Row],[Flow_Material]]*Tab_Data_Flows[[#This Row],[DM_'[%']]],"N.A.")</f>
        <v>443256.743136</v>
      </c>
      <c r="AF189" s="6" t="str">
        <f>Tab_Data_Flows[[#This Row],[UoM_Flow_Py]]</f>
        <v>Mg</v>
      </c>
      <c r="AG189"/>
    </row>
    <row r="190" spans="1:33" x14ac:dyDescent="0.25">
      <c r="A190" s="8">
        <f t="shared" si="5"/>
        <v>189</v>
      </c>
      <c r="B190" s="6" t="str">
        <f>_xlfn.XLOOKUP(C190,Tab_Def_Flows[Flow_Name],Tab_Def_Flows[Flow_ID],,0,)</f>
        <v>F_00_02</v>
      </c>
      <c r="C190" s="138" t="s">
        <v>472</v>
      </c>
      <c r="D190" s="9" t="str">
        <f>_xlfn.XLOOKUP(C190,Tab_Def_Flows[Flow_Name],Tab_Def_Flows[WC?],,0,)</f>
        <v>Yes</v>
      </c>
      <c r="E190" s="9" t="str">
        <f>_xlfn.XLOOKUP(C190,Tab_Def_Flows[Flow_Name],Tab_Def_Flows[DM?],,0,)</f>
        <v>Yes</v>
      </c>
      <c r="F190" s="9" t="str">
        <f>_xlfn.XLOOKUP(C190,Tab_Def_Flows[Flow_Name],Tab_Def_Flows[CC?],,0,)</f>
        <v>Yes</v>
      </c>
      <c r="G190" s="7">
        <v>2112</v>
      </c>
      <c r="H190" s="21">
        <v>518030.36505600001</v>
      </c>
      <c r="I190" s="6" t="str">
        <f>'0_Configuration'!$C$4</f>
        <v>Mg</v>
      </c>
      <c r="J190" s="13"/>
      <c r="K190" s="13"/>
      <c r="L190" s="13"/>
      <c r="M190" s="13"/>
      <c r="N190" s="13"/>
      <c r="O190" s="7" t="s">
        <v>6</v>
      </c>
      <c r="P190" s="7"/>
      <c r="Q190" s="7"/>
      <c r="R190" s="6" t="str">
        <f>Tab_Data_Flows[[#This Row],[Flow_ID]]&amp;"_"&amp;"material_"&amp;Tab_Data_Flows[[#This Row],[Flow_Data_Year]]</f>
        <v>F_00_02_material_2112</v>
      </c>
      <c r="S190" s="12">
        <f t="shared" si="4"/>
        <v>518030.36505600001</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F_00_02_WC_2112</v>
      </c>
      <c r="W190" s="6">
        <f>IF(D190="Yes",S190*Tab_Data_Flows[[#This Row],[WC_'[%']]],"N.A.")</f>
        <v>0</v>
      </c>
      <c r="X190" s="6" t="str">
        <f>Tab_Data_Flows[[#This Row],[UoM_Flow_Py]]</f>
        <v>Mg</v>
      </c>
      <c r="Y190" s="139">
        <f>INDEX(Tab_Def_Flows[[Flow_ID]:[CC_DM_source]],MATCH(Tab_Data_Flows[[#This Row],[Flow_Name]],Tab_Def_Flows[Flow_Name],0),14)</f>
        <v>1</v>
      </c>
      <c r="Z190" s="6" t="str">
        <f>Tab_Data_Flows[[#This Row],[Flow_ID]]&amp;"_"&amp;"DM_"&amp;Tab_Data_Flows[[#This Row],[Flow_Data_Year]]</f>
        <v>F_00_02_DM_2112</v>
      </c>
      <c r="AA190" s="6">
        <f>IF(E190="Yes",Y190*Tab_Data_Flows[[#This Row],[Flow_Material]],"N.A.")</f>
        <v>518030.36505600001</v>
      </c>
      <c r="AB190" s="6" t="str">
        <f>Tab_Data_Flows[[#This Row],[UoM_Flow_Py]]</f>
        <v>Mg</v>
      </c>
      <c r="AC190" s="139">
        <f>INDEX(Tab_Def_Flows[[Flow_ID]:[CC_DM_source]],MATCH(Tab_Data_Flows[[#This Row],[Flow_Name]],Tab_Def_Flows[Flow_Name],0),17)</f>
        <v>1</v>
      </c>
      <c r="AD190" s="6" t="str">
        <f>Tab_Data_Flows[[#This Row],[Flow_ID]]&amp;"_"&amp;"CC_"&amp;Tab_Data_Flows[[#This Row],[Flow_Data_Year]]</f>
        <v>F_00_02_CC_2112</v>
      </c>
      <c r="AE190" s="6">
        <f>IF(F190="Yes",AC190*Tab_Data_Flows[[#This Row],[Flow_Material]]*Tab_Data_Flows[[#This Row],[DM_'[%']]],"N.A.")</f>
        <v>518030.36505600001</v>
      </c>
      <c r="AF190" s="6" t="str">
        <f>Tab_Data_Flows[[#This Row],[UoM_Flow_Py]]</f>
        <v>Mg</v>
      </c>
      <c r="AG190"/>
    </row>
    <row r="191" spans="1:33" x14ac:dyDescent="0.25">
      <c r="A191" s="8">
        <f t="shared" si="5"/>
        <v>190</v>
      </c>
      <c r="B191" s="6" t="str">
        <f>_xlfn.XLOOKUP(C191,Tab_Def_Flows[Flow_Name],Tab_Def_Flows[Flow_ID],,0,)</f>
        <v>F_00_02</v>
      </c>
      <c r="C191" s="138" t="s">
        <v>472</v>
      </c>
      <c r="D191" s="9" t="str">
        <f>_xlfn.XLOOKUP(C191,Tab_Def_Flows[Flow_Name],Tab_Def_Flows[WC?],,0,)</f>
        <v>Yes</v>
      </c>
      <c r="E191" s="9" t="str">
        <f>_xlfn.XLOOKUP(C191,Tab_Def_Flows[Flow_Name],Tab_Def_Flows[DM?],,0,)</f>
        <v>Yes</v>
      </c>
      <c r="F191" s="9" t="str">
        <f>_xlfn.XLOOKUP(C191,Tab_Def_Flows[Flow_Name],Tab_Def_Flows[CC?],,0,)</f>
        <v>Yes</v>
      </c>
      <c r="G191" s="7">
        <v>2113</v>
      </c>
      <c r="H191" s="21">
        <v>512605.82630399999</v>
      </c>
      <c r="I191" s="6" t="str">
        <f>'0_Configuration'!$C$4</f>
        <v>Mg</v>
      </c>
      <c r="J191" s="13"/>
      <c r="K191" s="13"/>
      <c r="L191" s="13"/>
      <c r="M191" s="13"/>
      <c r="N191" s="13"/>
      <c r="O191" s="7" t="s">
        <v>6</v>
      </c>
      <c r="P191" s="7"/>
      <c r="Q191" s="7"/>
      <c r="R191" s="6" t="str">
        <f>Tab_Data_Flows[[#This Row],[Flow_ID]]&amp;"_"&amp;"material_"&amp;Tab_Data_Flows[[#This Row],[Flow_Data_Year]]</f>
        <v>F_00_02_material_2113</v>
      </c>
      <c r="S191" s="12">
        <f t="shared" si="4"/>
        <v>512605.82630399999</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F_00_02_WC_2113</v>
      </c>
      <c r="W191" s="6">
        <f>IF(D191="Yes",S191*Tab_Data_Flows[[#This Row],[WC_'[%']]],"N.A.")</f>
        <v>0</v>
      </c>
      <c r="X191" s="6" t="str">
        <f>Tab_Data_Flows[[#This Row],[UoM_Flow_Py]]</f>
        <v>Mg</v>
      </c>
      <c r="Y191" s="139">
        <f>INDEX(Tab_Def_Flows[[Flow_ID]:[CC_DM_source]],MATCH(Tab_Data_Flows[[#This Row],[Flow_Name]],Tab_Def_Flows[Flow_Name],0),14)</f>
        <v>1</v>
      </c>
      <c r="Z191" s="6" t="str">
        <f>Tab_Data_Flows[[#This Row],[Flow_ID]]&amp;"_"&amp;"DM_"&amp;Tab_Data_Flows[[#This Row],[Flow_Data_Year]]</f>
        <v>F_00_02_DM_2113</v>
      </c>
      <c r="AA191" s="6">
        <f>IF(E191="Yes",Y191*Tab_Data_Flows[[#This Row],[Flow_Material]],"N.A.")</f>
        <v>512605.82630399999</v>
      </c>
      <c r="AB191" s="6" t="str">
        <f>Tab_Data_Flows[[#This Row],[UoM_Flow_Py]]</f>
        <v>Mg</v>
      </c>
      <c r="AC191" s="139">
        <f>INDEX(Tab_Def_Flows[[Flow_ID]:[CC_DM_source]],MATCH(Tab_Data_Flows[[#This Row],[Flow_Name]],Tab_Def_Flows[Flow_Name],0),17)</f>
        <v>1</v>
      </c>
      <c r="AD191" s="6" t="str">
        <f>Tab_Data_Flows[[#This Row],[Flow_ID]]&amp;"_"&amp;"CC_"&amp;Tab_Data_Flows[[#This Row],[Flow_Data_Year]]</f>
        <v>F_00_02_CC_2113</v>
      </c>
      <c r="AE191" s="6">
        <f>IF(F191="Yes",AC191*Tab_Data_Flows[[#This Row],[Flow_Material]]*Tab_Data_Flows[[#This Row],[DM_'[%']]],"N.A.")</f>
        <v>512605.82630399999</v>
      </c>
      <c r="AF191" s="6" t="str">
        <f>Tab_Data_Flows[[#This Row],[UoM_Flow_Py]]</f>
        <v>Mg</v>
      </c>
      <c r="AG191"/>
    </row>
    <row r="192" spans="1:33" x14ac:dyDescent="0.25">
      <c r="A192" s="8">
        <f t="shared" si="5"/>
        <v>191</v>
      </c>
      <c r="B192" s="6" t="str">
        <f>_xlfn.XLOOKUP(C192,Tab_Def_Flows[Flow_Name],Tab_Def_Flows[Flow_ID],,0,)</f>
        <v>F_00_02</v>
      </c>
      <c r="C192" s="138" t="s">
        <v>472</v>
      </c>
      <c r="D192" s="9" t="str">
        <f>_xlfn.XLOOKUP(C192,Tab_Def_Flows[Flow_Name],Tab_Def_Flows[WC?],,0,)</f>
        <v>Yes</v>
      </c>
      <c r="E192" s="9" t="str">
        <f>_xlfn.XLOOKUP(C192,Tab_Def_Flows[Flow_Name],Tab_Def_Flows[DM?],,0,)</f>
        <v>Yes</v>
      </c>
      <c r="F192" s="9" t="str">
        <f>_xlfn.XLOOKUP(C192,Tab_Def_Flows[Flow_Name],Tab_Def_Flows[CC?],,0,)</f>
        <v>Yes</v>
      </c>
      <c r="G192" s="7">
        <v>2114</v>
      </c>
      <c r="H192" s="21">
        <v>498661.01299199992</v>
      </c>
      <c r="I192" s="6" t="str">
        <f>'0_Configuration'!$C$4</f>
        <v>Mg</v>
      </c>
      <c r="J192" s="13"/>
      <c r="K192" s="13"/>
      <c r="L192" s="13"/>
      <c r="M192" s="13"/>
      <c r="N192" s="13"/>
      <c r="O192" s="7" t="s">
        <v>6</v>
      </c>
      <c r="P192" s="7"/>
      <c r="Q192" s="7"/>
      <c r="R192" s="6" t="str">
        <f>Tab_Data_Flows[[#This Row],[Flow_ID]]&amp;"_"&amp;"material_"&amp;Tab_Data_Flows[[#This Row],[Flow_Data_Year]]</f>
        <v>F_00_02_material_2114</v>
      </c>
      <c r="S192" s="12">
        <f t="shared" si="4"/>
        <v>498661.01299199992</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F_00_02_WC_2114</v>
      </c>
      <c r="W192" s="6">
        <f>IF(D192="Yes",S192*Tab_Data_Flows[[#This Row],[WC_'[%']]],"N.A.")</f>
        <v>0</v>
      </c>
      <c r="X192" s="6" t="str">
        <f>Tab_Data_Flows[[#This Row],[UoM_Flow_Py]]</f>
        <v>Mg</v>
      </c>
      <c r="Y192" s="139">
        <f>INDEX(Tab_Def_Flows[[Flow_ID]:[CC_DM_source]],MATCH(Tab_Data_Flows[[#This Row],[Flow_Name]],Tab_Def_Flows[Flow_Name],0),14)</f>
        <v>1</v>
      </c>
      <c r="Z192" s="6" t="str">
        <f>Tab_Data_Flows[[#This Row],[Flow_ID]]&amp;"_"&amp;"DM_"&amp;Tab_Data_Flows[[#This Row],[Flow_Data_Year]]</f>
        <v>F_00_02_DM_2114</v>
      </c>
      <c r="AA192" s="6">
        <f>IF(E192="Yes",Y192*Tab_Data_Flows[[#This Row],[Flow_Material]],"N.A.")</f>
        <v>498661.01299199992</v>
      </c>
      <c r="AB192" s="6" t="str">
        <f>Tab_Data_Flows[[#This Row],[UoM_Flow_Py]]</f>
        <v>Mg</v>
      </c>
      <c r="AC192" s="139">
        <f>INDEX(Tab_Def_Flows[[Flow_ID]:[CC_DM_source]],MATCH(Tab_Data_Flows[[#This Row],[Flow_Name]],Tab_Def_Flows[Flow_Name],0),17)</f>
        <v>1</v>
      </c>
      <c r="AD192" s="6" t="str">
        <f>Tab_Data_Flows[[#This Row],[Flow_ID]]&amp;"_"&amp;"CC_"&amp;Tab_Data_Flows[[#This Row],[Flow_Data_Year]]</f>
        <v>F_00_02_CC_2114</v>
      </c>
      <c r="AE192" s="6">
        <f>IF(F192="Yes",AC192*Tab_Data_Flows[[#This Row],[Flow_Material]]*Tab_Data_Flows[[#This Row],[DM_'[%']]],"N.A.")</f>
        <v>498661.01299199992</v>
      </c>
      <c r="AF192" s="6" t="str">
        <f>Tab_Data_Flows[[#This Row],[UoM_Flow_Py]]</f>
        <v>Mg</v>
      </c>
      <c r="AG192"/>
    </row>
    <row r="193" spans="1:33" x14ac:dyDescent="0.25">
      <c r="A193" s="8">
        <f t="shared" si="5"/>
        <v>192</v>
      </c>
      <c r="B193" s="6" t="str">
        <f>_xlfn.XLOOKUP(C193,Tab_Def_Flows[Flow_Name],Tab_Def_Flows[Flow_ID],,0,)</f>
        <v>F_00_02</v>
      </c>
      <c r="C193" s="138" t="s">
        <v>472</v>
      </c>
      <c r="D193" s="9" t="str">
        <f>_xlfn.XLOOKUP(C193,Tab_Def_Flows[Flow_Name],Tab_Def_Flows[WC?],,0,)</f>
        <v>Yes</v>
      </c>
      <c r="E193" s="9" t="str">
        <f>_xlfn.XLOOKUP(C193,Tab_Def_Flows[Flow_Name],Tab_Def_Flows[DM?],,0,)</f>
        <v>Yes</v>
      </c>
      <c r="F193" s="9" t="str">
        <f>_xlfn.XLOOKUP(C193,Tab_Def_Flows[Flow_Name],Tab_Def_Flows[CC?],,0,)</f>
        <v>Yes</v>
      </c>
      <c r="G193" s="7">
        <v>2115</v>
      </c>
      <c r="H193" s="21">
        <v>465589.74326399993</v>
      </c>
      <c r="I193" s="6" t="str">
        <f>'0_Configuration'!$C$4</f>
        <v>Mg</v>
      </c>
      <c r="J193" s="13"/>
      <c r="K193" s="13"/>
      <c r="L193" s="13"/>
      <c r="M193" s="13"/>
      <c r="N193" s="13"/>
      <c r="O193" s="7" t="s">
        <v>6</v>
      </c>
      <c r="P193" s="7"/>
      <c r="Q193" s="7"/>
      <c r="R193" s="6" t="str">
        <f>Tab_Data_Flows[[#This Row],[Flow_ID]]&amp;"_"&amp;"material_"&amp;Tab_Data_Flows[[#This Row],[Flow_Data_Year]]</f>
        <v>F_00_02_material_2115</v>
      </c>
      <c r="S193" s="12">
        <f t="shared" si="4"/>
        <v>465589.74326399993</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F_00_02_WC_2115</v>
      </c>
      <c r="W193" s="6">
        <f>IF(D193="Yes",S193*Tab_Data_Flows[[#This Row],[WC_'[%']]],"N.A.")</f>
        <v>0</v>
      </c>
      <c r="X193" s="6" t="str">
        <f>Tab_Data_Flows[[#This Row],[UoM_Flow_Py]]</f>
        <v>Mg</v>
      </c>
      <c r="Y193" s="139">
        <f>INDEX(Tab_Def_Flows[[Flow_ID]:[CC_DM_source]],MATCH(Tab_Data_Flows[[#This Row],[Flow_Name]],Tab_Def_Flows[Flow_Name],0),14)</f>
        <v>1</v>
      </c>
      <c r="Z193" s="6" t="str">
        <f>Tab_Data_Flows[[#This Row],[Flow_ID]]&amp;"_"&amp;"DM_"&amp;Tab_Data_Flows[[#This Row],[Flow_Data_Year]]</f>
        <v>F_00_02_DM_2115</v>
      </c>
      <c r="AA193" s="6">
        <f>IF(E193="Yes",Y193*Tab_Data_Flows[[#This Row],[Flow_Material]],"N.A.")</f>
        <v>465589.74326399993</v>
      </c>
      <c r="AB193" s="6" t="str">
        <f>Tab_Data_Flows[[#This Row],[UoM_Flow_Py]]</f>
        <v>Mg</v>
      </c>
      <c r="AC193" s="139">
        <f>INDEX(Tab_Def_Flows[[Flow_ID]:[CC_DM_source]],MATCH(Tab_Data_Flows[[#This Row],[Flow_Name]],Tab_Def_Flows[Flow_Name],0),17)</f>
        <v>1</v>
      </c>
      <c r="AD193" s="6" t="str">
        <f>Tab_Data_Flows[[#This Row],[Flow_ID]]&amp;"_"&amp;"CC_"&amp;Tab_Data_Flows[[#This Row],[Flow_Data_Year]]</f>
        <v>F_00_02_CC_2115</v>
      </c>
      <c r="AE193" s="6">
        <f>IF(F193="Yes",AC193*Tab_Data_Flows[[#This Row],[Flow_Material]]*Tab_Data_Flows[[#This Row],[DM_'[%']]],"N.A.")</f>
        <v>465589.74326399993</v>
      </c>
      <c r="AF193" s="6" t="str">
        <f>Tab_Data_Flows[[#This Row],[UoM_Flow_Py]]</f>
        <v>Mg</v>
      </c>
      <c r="AG193"/>
    </row>
    <row r="194" spans="1:33" x14ac:dyDescent="0.25">
      <c r="A194" s="8">
        <f t="shared" si="5"/>
        <v>193</v>
      </c>
      <c r="B194" s="6" t="str">
        <f>_xlfn.XLOOKUP(C194,Tab_Def_Flows[Flow_Name],Tab_Def_Flows[Flow_ID],,0,)</f>
        <v>F_00_02</v>
      </c>
      <c r="C194" s="138" t="s">
        <v>472</v>
      </c>
      <c r="D194" s="9" t="str">
        <f>_xlfn.XLOOKUP(C194,Tab_Def_Flows[Flow_Name],Tab_Def_Flows[WC?],,0,)</f>
        <v>Yes</v>
      </c>
      <c r="E194" s="9" t="str">
        <f>_xlfn.XLOOKUP(C194,Tab_Def_Flows[Flow_Name],Tab_Def_Flows[DM?],,0,)</f>
        <v>Yes</v>
      </c>
      <c r="F194" s="9" t="str">
        <f>_xlfn.XLOOKUP(C194,Tab_Def_Flows[Flow_Name],Tab_Def_Flows[CC?],,0,)</f>
        <v>Yes</v>
      </c>
      <c r="G194" s="7">
        <v>2116</v>
      </c>
      <c r="H194" s="21">
        <v>476326.32451199996</v>
      </c>
      <c r="I194" s="6" t="str">
        <f>'0_Configuration'!$C$4</f>
        <v>Mg</v>
      </c>
      <c r="J194" s="13"/>
      <c r="K194" s="13"/>
      <c r="L194" s="13"/>
      <c r="M194" s="13"/>
      <c r="N194" s="13"/>
      <c r="O194" s="7" t="s">
        <v>6</v>
      </c>
      <c r="P194" s="7"/>
      <c r="Q194" s="7"/>
      <c r="R194" s="6" t="str">
        <f>Tab_Data_Flows[[#This Row],[Flow_ID]]&amp;"_"&amp;"material_"&amp;Tab_Data_Flows[[#This Row],[Flow_Data_Year]]</f>
        <v>F_00_02_material_2116</v>
      </c>
      <c r="S194" s="12">
        <f t="shared" ref="S194:S257" si="6">IF(O194="no",H194,H194*P194)</f>
        <v>476326.32451199996</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F_00_02_WC_2116</v>
      </c>
      <c r="W194" s="6">
        <f>IF(D194="Yes",S194*Tab_Data_Flows[[#This Row],[WC_'[%']]],"N.A.")</f>
        <v>0</v>
      </c>
      <c r="X194" s="6" t="str">
        <f>Tab_Data_Flows[[#This Row],[UoM_Flow_Py]]</f>
        <v>Mg</v>
      </c>
      <c r="Y194" s="139">
        <f>INDEX(Tab_Def_Flows[[Flow_ID]:[CC_DM_source]],MATCH(Tab_Data_Flows[[#This Row],[Flow_Name]],Tab_Def_Flows[Flow_Name],0),14)</f>
        <v>1</v>
      </c>
      <c r="Z194" s="6" t="str">
        <f>Tab_Data_Flows[[#This Row],[Flow_ID]]&amp;"_"&amp;"DM_"&amp;Tab_Data_Flows[[#This Row],[Flow_Data_Year]]</f>
        <v>F_00_02_DM_2116</v>
      </c>
      <c r="AA194" s="6">
        <f>IF(E194="Yes",Y194*Tab_Data_Flows[[#This Row],[Flow_Material]],"N.A.")</f>
        <v>476326.32451199996</v>
      </c>
      <c r="AB194" s="6" t="str">
        <f>Tab_Data_Flows[[#This Row],[UoM_Flow_Py]]</f>
        <v>Mg</v>
      </c>
      <c r="AC194" s="139">
        <f>INDEX(Tab_Def_Flows[[Flow_ID]:[CC_DM_source]],MATCH(Tab_Data_Flows[[#This Row],[Flow_Name]],Tab_Def_Flows[Flow_Name],0),17)</f>
        <v>1</v>
      </c>
      <c r="AD194" s="6" t="str">
        <f>Tab_Data_Flows[[#This Row],[Flow_ID]]&amp;"_"&amp;"CC_"&amp;Tab_Data_Flows[[#This Row],[Flow_Data_Year]]</f>
        <v>F_00_02_CC_2116</v>
      </c>
      <c r="AE194" s="6">
        <f>IF(F194="Yes",AC194*Tab_Data_Flows[[#This Row],[Flow_Material]]*Tab_Data_Flows[[#This Row],[DM_'[%']]],"N.A.")</f>
        <v>476326.32451199996</v>
      </c>
      <c r="AF194" s="6" t="str">
        <f>Tab_Data_Flows[[#This Row],[UoM_Flow_Py]]</f>
        <v>Mg</v>
      </c>
      <c r="AG194"/>
    </row>
    <row r="195" spans="1:33" x14ac:dyDescent="0.25">
      <c r="A195" s="8">
        <f t="shared" ref="A195:A258" si="7">ROW()-1</f>
        <v>194</v>
      </c>
      <c r="B195" s="6" t="str">
        <f>_xlfn.XLOOKUP(C195,Tab_Def_Flows[Flow_Name],Tab_Def_Flows[Flow_ID],,0,)</f>
        <v>F_00_02</v>
      </c>
      <c r="C195" s="138" t="s">
        <v>472</v>
      </c>
      <c r="D195" s="9" t="str">
        <f>_xlfn.XLOOKUP(C195,Tab_Def_Flows[Flow_Name],Tab_Def_Flows[WC?],,0,)</f>
        <v>Yes</v>
      </c>
      <c r="E195" s="9" t="str">
        <f>_xlfn.XLOOKUP(C195,Tab_Def_Flows[Flow_Name],Tab_Def_Flows[DM?],,0,)</f>
        <v>Yes</v>
      </c>
      <c r="F195" s="9" t="str">
        <f>_xlfn.XLOOKUP(C195,Tab_Def_Flows[Flow_Name],Tab_Def_Flows[CC?],,0,)</f>
        <v>Yes</v>
      </c>
      <c r="G195" s="7">
        <v>2117</v>
      </c>
      <c r="H195" s="21">
        <v>497766.6776639999</v>
      </c>
      <c r="I195" s="6" t="str">
        <f>'0_Configuration'!$C$4</f>
        <v>Mg</v>
      </c>
      <c r="J195" s="13"/>
      <c r="K195" s="13"/>
      <c r="L195" s="13"/>
      <c r="M195" s="13"/>
      <c r="N195" s="13"/>
      <c r="O195" s="7" t="s">
        <v>6</v>
      </c>
      <c r="P195" s="7"/>
      <c r="Q195" s="7"/>
      <c r="R195" s="6" t="str">
        <f>Tab_Data_Flows[[#This Row],[Flow_ID]]&amp;"_"&amp;"material_"&amp;Tab_Data_Flows[[#This Row],[Flow_Data_Year]]</f>
        <v>F_00_02_material_2117</v>
      </c>
      <c r="S195" s="12">
        <f t="shared" si="6"/>
        <v>497766.6776639999</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F_00_02_WC_2117</v>
      </c>
      <c r="W195" s="6">
        <f>IF(D195="Yes",S195*Tab_Data_Flows[[#This Row],[WC_'[%']]],"N.A.")</f>
        <v>0</v>
      </c>
      <c r="X195" s="6" t="str">
        <f>Tab_Data_Flows[[#This Row],[UoM_Flow_Py]]</f>
        <v>Mg</v>
      </c>
      <c r="Y195" s="139">
        <f>INDEX(Tab_Def_Flows[[Flow_ID]:[CC_DM_source]],MATCH(Tab_Data_Flows[[#This Row],[Flow_Name]],Tab_Def_Flows[Flow_Name],0),14)</f>
        <v>1</v>
      </c>
      <c r="Z195" s="6" t="str">
        <f>Tab_Data_Flows[[#This Row],[Flow_ID]]&amp;"_"&amp;"DM_"&amp;Tab_Data_Flows[[#This Row],[Flow_Data_Year]]</f>
        <v>F_00_02_DM_2117</v>
      </c>
      <c r="AA195" s="6">
        <f>IF(E195="Yes",Y195*Tab_Data_Flows[[#This Row],[Flow_Material]],"N.A.")</f>
        <v>497766.6776639999</v>
      </c>
      <c r="AB195" s="6" t="str">
        <f>Tab_Data_Flows[[#This Row],[UoM_Flow_Py]]</f>
        <v>Mg</v>
      </c>
      <c r="AC195" s="139">
        <f>INDEX(Tab_Def_Flows[[Flow_ID]:[CC_DM_source]],MATCH(Tab_Data_Flows[[#This Row],[Flow_Name]],Tab_Def_Flows[Flow_Name],0),17)</f>
        <v>1</v>
      </c>
      <c r="AD195" s="6" t="str">
        <f>Tab_Data_Flows[[#This Row],[Flow_ID]]&amp;"_"&amp;"CC_"&amp;Tab_Data_Flows[[#This Row],[Flow_Data_Year]]</f>
        <v>F_00_02_CC_2117</v>
      </c>
      <c r="AE195" s="6">
        <f>IF(F195="Yes",AC195*Tab_Data_Flows[[#This Row],[Flow_Material]]*Tab_Data_Flows[[#This Row],[DM_'[%']]],"N.A.")</f>
        <v>497766.6776639999</v>
      </c>
      <c r="AF195" s="6" t="str">
        <f>Tab_Data_Flows[[#This Row],[UoM_Flow_Py]]</f>
        <v>Mg</v>
      </c>
      <c r="AG195"/>
    </row>
    <row r="196" spans="1:33" x14ac:dyDescent="0.25">
      <c r="A196" s="8">
        <f t="shared" si="7"/>
        <v>195</v>
      </c>
      <c r="B196" s="6" t="str">
        <f>_xlfn.XLOOKUP(C196,Tab_Def_Flows[Flow_Name],Tab_Def_Flows[Flow_ID],,0,)</f>
        <v>F_00_02</v>
      </c>
      <c r="C196" s="138" t="s">
        <v>472</v>
      </c>
      <c r="D196" s="9" t="str">
        <f>_xlfn.XLOOKUP(C196,Tab_Def_Flows[Flow_Name],Tab_Def_Flows[WC?],,0,)</f>
        <v>Yes</v>
      </c>
      <c r="E196" s="9" t="str">
        <f>_xlfn.XLOOKUP(C196,Tab_Def_Flows[Flow_Name],Tab_Def_Flows[DM?],,0,)</f>
        <v>Yes</v>
      </c>
      <c r="F196" s="9" t="str">
        <f>_xlfn.XLOOKUP(C196,Tab_Def_Flows[Flow_Name],Tab_Def_Flows[CC?],,0,)</f>
        <v>Yes</v>
      </c>
      <c r="G196" s="7">
        <v>2118</v>
      </c>
      <c r="H196" s="21">
        <v>488057.02723199991</v>
      </c>
      <c r="I196" s="6" t="str">
        <f>'0_Configuration'!$C$4</f>
        <v>Mg</v>
      </c>
      <c r="J196" s="13"/>
      <c r="K196" s="13"/>
      <c r="L196" s="13"/>
      <c r="M196" s="13"/>
      <c r="N196" s="13"/>
      <c r="O196" s="7" t="s">
        <v>6</v>
      </c>
      <c r="P196" s="7"/>
      <c r="Q196" s="7"/>
      <c r="R196" s="6" t="str">
        <f>Tab_Data_Flows[[#This Row],[Flow_ID]]&amp;"_"&amp;"material_"&amp;Tab_Data_Flows[[#This Row],[Flow_Data_Year]]</f>
        <v>F_00_02_material_2118</v>
      </c>
      <c r="S196" s="12">
        <f t="shared" si="6"/>
        <v>488057.02723199991</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F_00_02_WC_2118</v>
      </c>
      <c r="W196" s="6">
        <f>IF(D196="Yes",S196*Tab_Data_Flows[[#This Row],[WC_'[%']]],"N.A.")</f>
        <v>0</v>
      </c>
      <c r="X196" s="6" t="str">
        <f>Tab_Data_Flows[[#This Row],[UoM_Flow_Py]]</f>
        <v>Mg</v>
      </c>
      <c r="Y196" s="139">
        <f>INDEX(Tab_Def_Flows[[Flow_ID]:[CC_DM_source]],MATCH(Tab_Data_Flows[[#This Row],[Flow_Name]],Tab_Def_Flows[Flow_Name],0),14)</f>
        <v>1</v>
      </c>
      <c r="Z196" s="6" t="str">
        <f>Tab_Data_Flows[[#This Row],[Flow_ID]]&amp;"_"&amp;"DM_"&amp;Tab_Data_Flows[[#This Row],[Flow_Data_Year]]</f>
        <v>F_00_02_DM_2118</v>
      </c>
      <c r="AA196" s="6">
        <f>IF(E196="Yes",Y196*Tab_Data_Flows[[#This Row],[Flow_Material]],"N.A.")</f>
        <v>488057.02723199991</v>
      </c>
      <c r="AB196" s="6" t="str">
        <f>Tab_Data_Flows[[#This Row],[UoM_Flow_Py]]</f>
        <v>Mg</v>
      </c>
      <c r="AC196" s="139">
        <f>INDEX(Tab_Def_Flows[[Flow_ID]:[CC_DM_source]],MATCH(Tab_Data_Flows[[#This Row],[Flow_Name]],Tab_Def_Flows[Flow_Name],0),17)</f>
        <v>1</v>
      </c>
      <c r="AD196" s="6" t="str">
        <f>Tab_Data_Flows[[#This Row],[Flow_ID]]&amp;"_"&amp;"CC_"&amp;Tab_Data_Flows[[#This Row],[Flow_Data_Year]]</f>
        <v>F_00_02_CC_2118</v>
      </c>
      <c r="AE196" s="6">
        <f>IF(F196="Yes",AC196*Tab_Data_Flows[[#This Row],[Flow_Material]]*Tab_Data_Flows[[#This Row],[DM_'[%']]],"N.A.")</f>
        <v>488057.02723199991</v>
      </c>
      <c r="AF196" s="6" t="str">
        <f>Tab_Data_Flows[[#This Row],[UoM_Flow_Py]]</f>
        <v>Mg</v>
      </c>
      <c r="AG196"/>
    </row>
    <row r="197" spans="1:33" x14ac:dyDescent="0.25">
      <c r="A197" s="8">
        <f t="shared" si="7"/>
        <v>196</v>
      </c>
      <c r="B197" s="6" t="str">
        <f>_xlfn.XLOOKUP(C197,Tab_Def_Flows[Flow_Name],Tab_Def_Flows[Flow_ID],,0,)</f>
        <v>F_00_02</v>
      </c>
      <c r="C197" s="138" t="s">
        <v>472</v>
      </c>
      <c r="D197" s="9" t="str">
        <f>_xlfn.XLOOKUP(C197,Tab_Def_Flows[Flow_Name],Tab_Def_Flows[WC?],,0,)</f>
        <v>Yes</v>
      </c>
      <c r="E197" s="9" t="str">
        <f>_xlfn.XLOOKUP(C197,Tab_Def_Flows[Flow_Name],Tab_Def_Flows[DM?],,0,)</f>
        <v>Yes</v>
      </c>
      <c r="F197" s="9" t="str">
        <f>_xlfn.XLOOKUP(C197,Tab_Def_Flows[Flow_Name],Tab_Def_Flows[CC?],,0,)</f>
        <v>Yes</v>
      </c>
      <c r="G197" s="7">
        <v>2119</v>
      </c>
      <c r="H197" s="21">
        <v>474181.92345599999</v>
      </c>
      <c r="I197" s="6" t="str">
        <f>'0_Configuration'!$C$4</f>
        <v>Mg</v>
      </c>
      <c r="J197" s="13"/>
      <c r="K197" s="13"/>
      <c r="L197" s="13"/>
      <c r="M197" s="13"/>
      <c r="N197" s="13"/>
      <c r="O197" s="7" t="s">
        <v>6</v>
      </c>
      <c r="P197" s="7"/>
      <c r="Q197" s="7"/>
      <c r="R197" s="6" t="str">
        <f>Tab_Data_Flows[[#This Row],[Flow_ID]]&amp;"_"&amp;"material_"&amp;Tab_Data_Flows[[#This Row],[Flow_Data_Year]]</f>
        <v>F_00_02_material_2119</v>
      </c>
      <c r="S197" s="12">
        <f t="shared" si="6"/>
        <v>474181.92345599999</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F_00_02_WC_2119</v>
      </c>
      <c r="W197" s="6">
        <f>IF(D197="Yes",S197*Tab_Data_Flows[[#This Row],[WC_'[%']]],"N.A.")</f>
        <v>0</v>
      </c>
      <c r="X197" s="6" t="str">
        <f>Tab_Data_Flows[[#This Row],[UoM_Flow_Py]]</f>
        <v>Mg</v>
      </c>
      <c r="Y197" s="139">
        <f>INDEX(Tab_Def_Flows[[Flow_ID]:[CC_DM_source]],MATCH(Tab_Data_Flows[[#This Row],[Flow_Name]],Tab_Def_Flows[Flow_Name],0),14)</f>
        <v>1</v>
      </c>
      <c r="Z197" s="6" t="str">
        <f>Tab_Data_Flows[[#This Row],[Flow_ID]]&amp;"_"&amp;"DM_"&amp;Tab_Data_Flows[[#This Row],[Flow_Data_Year]]</f>
        <v>F_00_02_DM_2119</v>
      </c>
      <c r="AA197" s="6">
        <f>IF(E197="Yes",Y197*Tab_Data_Flows[[#This Row],[Flow_Material]],"N.A.")</f>
        <v>474181.92345599999</v>
      </c>
      <c r="AB197" s="6" t="str">
        <f>Tab_Data_Flows[[#This Row],[UoM_Flow_Py]]</f>
        <v>Mg</v>
      </c>
      <c r="AC197" s="139">
        <f>INDEX(Tab_Def_Flows[[Flow_ID]:[CC_DM_source]],MATCH(Tab_Data_Flows[[#This Row],[Flow_Name]],Tab_Def_Flows[Flow_Name],0),17)</f>
        <v>1</v>
      </c>
      <c r="AD197" s="6" t="str">
        <f>Tab_Data_Flows[[#This Row],[Flow_ID]]&amp;"_"&amp;"CC_"&amp;Tab_Data_Flows[[#This Row],[Flow_Data_Year]]</f>
        <v>F_00_02_CC_2119</v>
      </c>
      <c r="AE197" s="6">
        <f>IF(F197="Yes",AC197*Tab_Data_Flows[[#This Row],[Flow_Material]]*Tab_Data_Flows[[#This Row],[DM_'[%']]],"N.A.")</f>
        <v>474181.92345599999</v>
      </c>
      <c r="AF197" s="6" t="str">
        <f>Tab_Data_Flows[[#This Row],[UoM_Flow_Py]]</f>
        <v>Mg</v>
      </c>
      <c r="AG197"/>
    </row>
    <row r="198" spans="1:33" x14ac:dyDescent="0.25">
      <c r="A198" s="8">
        <f t="shared" si="7"/>
        <v>197</v>
      </c>
      <c r="B198" s="6" t="str">
        <f>_xlfn.XLOOKUP(C198,Tab_Def_Flows[Flow_Name],Tab_Def_Flows[Flow_ID],,0,)</f>
        <v>F_00_02</v>
      </c>
      <c r="C198" s="138" t="s">
        <v>472</v>
      </c>
      <c r="D198" s="9" t="str">
        <f>_xlfn.XLOOKUP(C198,Tab_Def_Flows[Flow_Name],Tab_Def_Flows[WC?],,0,)</f>
        <v>Yes</v>
      </c>
      <c r="E198" s="9" t="str">
        <f>_xlfn.XLOOKUP(C198,Tab_Def_Flows[Flow_Name],Tab_Def_Flows[DM?],,0,)</f>
        <v>Yes</v>
      </c>
      <c r="F198" s="9" t="str">
        <f>_xlfn.XLOOKUP(C198,Tab_Def_Flows[Flow_Name],Tab_Def_Flows[CC?],,0,)</f>
        <v>Yes</v>
      </c>
      <c r="G198" s="7">
        <v>2120</v>
      </c>
      <c r="H198" s="21">
        <v>443981.59929600003</v>
      </c>
      <c r="I198" s="6" t="str">
        <f>'0_Configuration'!$C$4</f>
        <v>Mg</v>
      </c>
      <c r="J198" s="13"/>
      <c r="K198" s="13"/>
      <c r="L198" s="13"/>
      <c r="M198" s="13"/>
      <c r="N198" s="13"/>
      <c r="O198" s="7" t="s">
        <v>6</v>
      </c>
      <c r="P198" s="7"/>
      <c r="Q198" s="7"/>
      <c r="R198" s="6" t="str">
        <f>Tab_Data_Flows[[#This Row],[Flow_ID]]&amp;"_"&amp;"material_"&amp;Tab_Data_Flows[[#This Row],[Flow_Data_Year]]</f>
        <v>F_00_02_material_2120</v>
      </c>
      <c r="S198" s="12">
        <f t="shared" si="6"/>
        <v>443981.59929600003</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F_00_02_WC_2120</v>
      </c>
      <c r="W198" s="6">
        <f>IF(D198="Yes",S198*Tab_Data_Flows[[#This Row],[WC_'[%']]],"N.A.")</f>
        <v>0</v>
      </c>
      <c r="X198" s="6" t="str">
        <f>Tab_Data_Flows[[#This Row],[UoM_Flow_Py]]</f>
        <v>Mg</v>
      </c>
      <c r="Y198" s="139">
        <f>INDEX(Tab_Def_Flows[[Flow_ID]:[CC_DM_source]],MATCH(Tab_Data_Flows[[#This Row],[Flow_Name]],Tab_Def_Flows[Flow_Name],0),14)</f>
        <v>1</v>
      </c>
      <c r="Z198" s="6" t="str">
        <f>Tab_Data_Flows[[#This Row],[Flow_ID]]&amp;"_"&amp;"DM_"&amp;Tab_Data_Flows[[#This Row],[Flow_Data_Year]]</f>
        <v>F_00_02_DM_2120</v>
      </c>
      <c r="AA198" s="6">
        <f>IF(E198="Yes",Y198*Tab_Data_Flows[[#This Row],[Flow_Material]],"N.A.")</f>
        <v>443981.59929600003</v>
      </c>
      <c r="AB198" s="6" t="str">
        <f>Tab_Data_Flows[[#This Row],[UoM_Flow_Py]]</f>
        <v>Mg</v>
      </c>
      <c r="AC198" s="139">
        <f>INDEX(Tab_Def_Flows[[Flow_ID]:[CC_DM_source]],MATCH(Tab_Data_Flows[[#This Row],[Flow_Name]],Tab_Def_Flows[Flow_Name],0),17)</f>
        <v>1</v>
      </c>
      <c r="AD198" s="6" t="str">
        <f>Tab_Data_Flows[[#This Row],[Flow_ID]]&amp;"_"&amp;"CC_"&amp;Tab_Data_Flows[[#This Row],[Flow_Data_Year]]</f>
        <v>F_00_02_CC_2120</v>
      </c>
      <c r="AE198" s="6">
        <f>IF(F198="Yes",AC198*Tab_Data_Flows[[#This Row],[Flow_Material]]*Tab_Data_Flows[[#This Row],[DM_'[%']]],"N.A.")</f>
        <v>443981.59929600003</v>
      </c>
      <c r="AF198" s="6" t="str">
        <f>Tab_Data_Flows[[#This Row],[UoM_Flow_Py]]</f>
        <v>Mg</v>
      </c>
      <c r="AG198"/>
    </row>
    <row r="199" spans="1:33" x14ac:dyDescent="0.25">
      <c r="A199" s="8">
        <f t="shared" si="7"/>
        <v>198</v>
      </c>
      <c r="B199" s="6" t="str">
        <f>_xlfn.XLOOKUP(C199,Tab_Def_Flows[Flow_Name],Tab_Def_Flows[Flow_ID],,0,)</f>
        <v>F_00_02</v>
      </c>
      <c r="C199" s="138" t="s">
        <v>472</v>
      </c>
      <c r="D199" s="9" t="str">
        <f>_xlfn.XLOOKUP(C199,Tab_Def_Flows[Flow_Name],Tab_Def_Flows[WC?],,0,)</f>
        <v>Yes</v>
      </c>
      <c r="E199" s="9" t="str">
        <f>_xlfn.XLOOKUP(C199,Tab_Def_Flows[Flow_Name],Tab_Def_Flows[DM?],,0,)</f>
        <v>Yes</v>
      </c>
      <c r="F199" s="9" t="str">
        <f>_xlfn.XLOOKUP(C199,Tab_Def_Flows[Flow_Name],Tab_Def_Flows[CC?],,0,)</f>
        <v>Yes</v>
      </c>
      <c r="G199" s="7">
        <v>2121</v>
      </c>
      <c r="H199" s="21">
        <v>450210.54076800001</v>
      </c>
      <c r="I199" s="6" t="str">
        <f>'0_Configuration'!$C$4</f>
        <v>Mg</v>
      </c>
      <c r="J199" s="13"/>
      <c r="K199" s="13"/>
      <c r="L199" s="13"/>
      <c r="M199" s="13"/>
      <c r="N199" s="13"/>
      <c r="O199" s="7" t="s">
        <v>6</v>
      </c>
      <c r="P199" s="7"/>
      <c r="Q199" s="7"/>
      <c r="R199" s="6" t="str">
        <f>Tab_Data_Flows[[#This Row],[Flow_ID]]&amp;"_"&amp;"material_"&amp;Tab_Data_Flows[[#This Row],[Flow_Data_Year]]</f>
        <v>F_00_02_material_2121</v>
      </c>
      <c r="S199" s="12">
        <f t="shared" si="6"/>
        <v>450210.54076800001</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F_00_02_WC_2121</v>
      </c>
      <c r="W199" s="6">
        <f>IF(D199="Yes",S199*Tab_Data_Flows[[#This Row],[WC_'[%']]],"N.A.")</f>
        <v>0</v>
      </c>
      <c r="X199" s="6" t="str">
        <f>Tab_Data_Flows[[#This Row],[UoM_Flow_Py]]</f>
        <v>Mg</v>
      </c>
      <c r="Y199" s="139">
        <f>INDEX(Tab_Def_Flows[[Flow_ID]:[CC_DM_source]],MATCH(Tab_Data_Flows[[#This Row],[Flow_Name]],Tab_Def_Flows[Flow_Name],0),14)</f>
        <v>1</v>
      </c>
      <c r="Z199" s="6" t="str">
        <f>Tab_Data_Flows[[#This Row],[Flow_ID]]&amp;"_"&amp;"DM_"&amp;Tab_Data_Flows[[#This Row],[Flow_Data_Year]]</f>
        <v>F_00_02_DM_2121</v>
      </c>
      <c r="AA199" s="6">
        <f>IF(E199="Yes",Y199*Tab_Data_Flows[[#This Row],[Flow_Material]],"N.A.")</f>
        <v>450210.54076800001</v>
      </c>
      <c r="AB199" s="6" t="str">
        <f>Tab_Data_Flows[[#This Row],[UoM_Flow_Py]]</f>
        <v>Mg</v>
      </c>
      <c r="AC199" s="139">
        <f>INDEX(Tab_Def_Flows[[Flow_ID]:[CC_DM_source]],MATCH(Tab_Data_Flows[[#This Row],[Flow_Name]],Tab_Def_Flows[Flow_Name],0),17)</f>
        <v>1</v>
      </c>
      <c r="AD199" s="6" t="str">
        <f>Tab_Data_Flows[[#This Row],[Flow_ID]]&amp;"_"&amp;"CC_"&amp;Tab_Data_Flows[[#This Row],[Flow_Data_Year]]</f>
        <v>F_00_02_CC_2121</v>
      </c>
      <c r="AE199" s="6">
        <f>IF(F199="Yes",AC199*Tab_Data_Flows[[#This Row],[Flow_Material]]*Tab_Data_Flows[[#This Row],[DM_'[%']]],"N.A.")</f>
        <v>450210.54076800001</v>
      </c>
      <c r="AF199" s="6" t="str">
        <f>Tab_Data_Flows[[#This Row],[UoM_Flow_Py]]</f>
        <v>Mg</v>
      </c>
      <c r="AG199"/>
    </row>
    <row r="200" spans="1:33" x14ac:dyDescent="0.25">
      <c r="A200" s="8">
        <f t="shared" si="7"/>
        <v>199</v>
      </c>
      <c r="B200" s="6" t="str">
        <f>_xlfn.XLOOKUP(C200,Tab_Def_Flows[Flow_Name],Tab_Def_Flows[Flow_ID],,0,)</f>
        <v>F_00_02</v>
      </c>
      <c r="C200" s="138" t="s">
        <v>472</v>
      </c>
      <c r="D200" s="9" t="str">
        <f>_xlfn.XLOOKUP(C200,Tab_Def_Flows[Flow_Name],Tab_Def_Flows[WC?],,0,)</f>
        <v>Yes</v>
      </c>
      <c r="E200" s="9" t="str">
        <f>_xlfn.XLOOKUP(C200,Tab_Def_Flows[Flow_Name],Tab_Def_Flows[DM?],,0,)</f>
        <v>Yes</v>
      </c>
      <c r="F200" s="9" t="str">
        <f>_xlfn.XLOOKUP(C200,Tab_Def_Flows[Flow_Name],Tab_Def_Flows[CC?],,0,)</f>
        <v>Yes</v>
      </c>
      <c r="G200" s="7">
        <v>2122</v>
      </c>
      <c r="H200" s="21">
        <v>406142.50195199996</v>
      </c>
      <c r="I200" s="6" t="str">
        <f>'0_Configuration'!$C$4</f>
        <v>Mg</v>
      </c>
      <c r="J200" s="13"/>
      <c r="K200" s="13"/>
      <c r="L200" s="13"/>
      <c r="M200" s="13"/>
      <c r="N200" s="13"/>
      <c r="O200" s="7" t="s">
        <v>6</v>
      </c>
      <c r="P200" s="7"/>
      <c r="Q200" s="7"/>
      <c r="R200" s="6" t="str">
        <f>Tab_Data_Flows[[#This Row],[Flow_ID]]&amp;"_"&amp;"material_"&amp;Tab_Data_Flows[[#This Row],[Flow_Data_Year]]</f>
        <v>F_00_02_material_2122</v>
      </c>
      <c r="S200" s="12">
        <f t="shared" si="6"/>
        <v>406142.50195199996</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F_00_02_WC_2122</v>
      </c>
      <c r="W200" s="6">
        <f>IF(D200="Yes",S200*Tab_Data_Flows[[#This Row],[WC_'[%']]],"N.A.")</f>
        <v>0</v>
      </c>
      <c r="X200" s="6" t="str">
        <f>Tab_Data_Flows[[#This Row],[UoM_Flow_Py]]</f>
        <v>Mg</v>
      </c>
      <c r="Y200" s="139">
        <f>INDEX(Tab_Def_Flows[[Flow_ID]:[CC_DM_source]],MATCH(Tab_Data_Flows[[#This Row],[Flow_Name]],Tab_Def_Flows[Flow_Name],0),14)</f>
        <v>1</v>
      </c>
      <c r="Z200" s="6" t="str">
        <f>Tab_Data_Flows[[#This Row],[Flow_ID]]&amp;"_"&amp;"DM_"&amp;Tab_Data_Flows[[#This Row],[Flow_Data_Year]]</f>
        <v>F_00_02_DM_2122</v>
      </c>
      <c r="AA200" s="6">
        <f>IF(E200="Yes",Y200*Tab_Data_Flows[[#This Row],[Flow_Material]],"N.A.")</f>
        <v>406142.50195199996</v>
      </c>
      <c r="AB200" s="6" t="str">
        <f>Tab_Data_Flows[[#This Row],[UoM_Flow_Py]]</f>
        <v>Mg</v>
      </c>
      <c r="AC200" s="139">
        <f>INDEX(Tab_Def_Flows[[Flow_ID]:[CC_DM_source]],MATCH(Tab_Data_Flows[[#This Row],[Flow_Name]],Tab_Def_Flows[Flow_Name],0),17)</f>
        <v>1</v>
      </c>
      <c r="AD200" s="6" t="str">
        <f>Tab_Data_Flows[[#This Row],[Flow_ID]]&amp;"_"&amp;"CC_"&amp;Tab_Data_Flows[[#This Row],[Flow_Data_Year]]</f>
        <v>F_00_02_CC_2122</v>
      </c>
      <c r="AE200" s="6">
        <f>IF(F200="Yes",AC200*Tab_Data_Flows[[#This Row],[Flow_Material]]*Tab_Data_Flows[[#This Row],[DM_'[%']]],"N.A.")</f>
        <v>406142.50195199996</v>
      </c>
      <c r="AF200" s="6" t="str">
        <f>Tab_Data_Flows[[#This Row],[UoM_Flow_Py]]</f>
        <v>Mg</v>
      </c>
      <c r="AG200"/>
    </row>
    <row r="201" spans="1:33" x14ac:dyDescent="0.25">
      <c r="A201" s="8">
        <f t="shared" si="7"/>
        <v>200</v>
      </c>
      <c r="B201" s="6" t="str">
        <f>_xlfn.XLOOKUP(C201,Tab_Def_Flows[Flow_Name],Tab_Def_Flows[Flow_ID],,0,)</f>
        <v>F_00_02</v>
      </c>
      <c r="C201" s="138" t="s">
        <v>472</v>
      </c>
      <c r="D201" s="9" t="str">
        <f>_xlfn.XLOOKUP(C201,Tab_Def_Flows[Flow_Name],Tab_Def_Flows[WC?],,0,)</f>
        <v>Yes</v>
      </c>
      <c r="E201" s="9" t="str">
        <f>_xlfn.XLOOKUP(C201,Tab_Def_Flows[Flow_Name],Tab_Def_Flows[DM?],,0,)</f>
        <v>Yes</v>
      </c>
      <c r="F201" s="9" t="str">
        <f>_xlfn.XLOOKUP(C201,Tab_Def_Flows[Flow_Name],Tab_Def_Flows[CC?],,0,)</f>
        <v>Yes</v>
      </c>
      <c r="G201" s="7">
        <v>2123</v>
      </c>
      <c r="H201" s="21">
        <v>491376.34790399997</v>
      </c>
      <c r="I201" s="6" t="str">
        <f>'0_Configuration'!$C$4</f>
        <v>Mg</v>
      </c>
      <c r="J201" s="13"/>
      <c r="K201" s="13"/>
      <c r="L201" s="13"/>
      <c r="M201" s="13"/>
      <c r="N201" s="13"/>
      <c r="O201" s="7" t="s">
        <v>6</v>
      </c>
      <c r="P201" s="7"/>
      <c r="Q201" s="7"/>
      <c r="R201" s="6" t="str">
        <f>Tab_Data_Flows[[#This Row],[Flow_ID]]&amp;"_"&amp;"material_"&amp;Tab_Data_Flows[[#This Row],[Flow_Data_Year]]</f>
        <v>F_00_02_material_2123</v>
      </c>
      <c r="S201" s="12">
        <f t="shared" si="6"/>
        <v>491376.34790399997</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F_00_02_WC_2123</v>
      </c>
      <c r="W201" s="6">
        <f>IF(D201="Yes",S201*Tab_Data_Flows[[#This Row],[WC_'[%']]],"N.A.")</f>
        <v>0</v>
      </c>
      <c r="X201" s="6" t="str">
        <f>Tab_Data_Flows[[#This Row],[UoM_Flow_Py]]</f>
        <v>Mg</v>
      </c>
      <c r="Y201" s="139">
        <f>INDEX(Tab_Def_Flows[[Flow_ID]:[CC_DM_source]],MATCH(Tab_Data_Flows[[#This Row],[Flow_Name]],Tab_Def_Flows[Flow_Name],0),14)</f>
        <v>1</v>
      </c>
      <c r="Z201" s="6" t="str">
        <f>Tab_Data_Flows[[#This Row],[Flow_ID]]&amp;"_"&amp;"DM_"&amp;Tab_Data_Flows[[#This Row],[Flow_Data_Year]]</f>
        <v>F_00_02_DM_2123</v>
      </c>
      <c r="AA201" s="6">
        <f>IF(E201="Yes",Y201*Tab_Data_Flows[[#This Row],[Flow_Material]],"N.A.")</f>
        <v>491376.34790399997</v>
      </c>
      <c r="AB201" s="6" t="str">
        <f>Tab_Data_Flows[[#This Row],[UoM_Flow_Py]]</f>
        <v>Mg</v>
      </c>
      <c r="AC201" s="139">
        <f>INDEX(Tab_Def_Flows[[Flow_ID]:[CC_DM_source]],MATCH(Tab_Data_Flows[[#This Row],[Flow_Name]],Tab_Def_Flows[Flow_Name],0),17)</f>
        <v>1</v>
      </c>
      <c r="AD201" s="6" t="str">
        <f>Tab_Data_Flows[[#This Row],[Flow_ID]]&amp;"_"&amp;"CC_"&amp;Tab_Data_Flows[[#This Row],[Flow_Data_Year]]</f>
        <v>F_00_02_CC_2123</v>
      </c>
      <c r="AE201" s="6">
        <f>IF(F201="Yes",AC201*Tab_Data_Flows[[#This Row],[Flow_Material]]*Tab_Data_Flows[[#This Row],[DM_'[%']]],"N.A.")</f>
        <v>491376.34790399997</v>
      </c>
      <c r="AF201" s="6" t="str">
        <f>Tab_Data_Flows[[#This Row],[UoM_Flow_Py]]</f>
        <v>Mg</v>
      </c>
      <c r="AG201"/>
    </row>
    <row r="202" spans="1:33" x14ac:dyDescent="0.25">
      <c r="A202" s="8">
        <f t="shared" si="7"/>
        <v>201</v>
      </c>
      <c r="B202" s="6" t="str">
        <f>_xlfn.XLOOKUP(C202,Tab_Def_Flows[Flow_Name],Tab_Def_Flows[Flow_ID],,0,)</f>
        <v>F_00_02</v>
      </c>
      <c r="C202" s="138" t="s">
        <v>472</v>
      </c>
      <c r="D202" s="9" t="str">
        <f>_xlfn.XLOOKUP(C202,Tab_Def_Flows[Flow_Name],Tab_Def_Flows[WC?],,0,)</f>
        <v>Yes</v>
      </c>
      <c r="E202" s="9" t="str">
        <f>_xlfn.XLOOKUP(C202,Tab_Def_Flows[Flow_Name],Tab_Def_Flows[DM?],,0,)</f>
        <v>Yes</v>
      </c>
      <c r="F202" s="9" t="str">
        <f>_xlfn.XLOOKUP(C202,Tab_Def_Flows[Flow_Name],Tab_Def_Flows[CC?],,0,)</f>
        <v>Yes</v>
      </c>
      <c r="G202" s="7">
        <v>2124</v>
      </c>
      <c r="H202" s="21">
        <v>442171.07500800001</v>
      </c>
      <c r="I202" s="6" t="str">
        <f>'0_Configuration'!$C$4</f>
        <v>Mg</v>
      </c>
      <c r="J202" s="13"/>
      <c r="K202" s="13"/>
      <c r="L202" s="13"/>
      <c r="M202" s="13"/>
      <c r="N202" s="13"/>
      <c r="O202" s="7" t="s">
        <v>6</v>
      </c>
      <c r="P202" s="7"/>
      <c r="Q202" s="7"/>
      <c r="R202" s="6" t="str">
        <f>Tab_Data_Flows[[#This Row],[Flow_ID]]&amp;"_"&amp;"material_"&amp;Tab_Data_Flows[[#This Row],[Flow_Data_Year]]</f>
        <v>F_00_02_material_2124</v>
      </c>
      <c r="S202" s="12">
        <f t="shared" si="6"/>
        <v>442171.07500800001</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F_00_02_WC_2124</v>
      </c>
      <c r="W202" s="6">
        <f>IF(D202="Yes",S202*Tab_Data_Flows[[#This Row],[WC_'[%']]],"N.A.")</f>
        <v>0</v>
      </c>
      <c r="X202" s="6" t="str">
        <f>Tab_Data_Flows[[#This Row],[UoM_Flow_Py]]</f>
        <v>Mg</v>
      </c>
      <c r="Y202" s="139">
        <f>INDEX(Tab_Def_Flows[[Flow_ID]:[CC_DM_source]],MATCH(Tab_Data_Flows[[#This Row],[Flow_Name]],Tab_Def_Flows[Flow_Name],0),14)</f>
        <v>1</v>
      </c>
      <c r="Z202" s="6" t="str">
        <f>Tab_Data_Flows[[#This Row],[Flow_ID]]&amp;"_"&amp;"DM_"&amp;Tab_Data_Flows[[#This Row],[Flow_Data_Year]]</f>
        <v>F_00_02_DM_2124</v>
      </c>
      <c r="AA202" s="6">
        <f>IF(E202="Yes",Y202*Tab_Data_Flows[[#This Row],[Flow_Material]],"N.A.")</f>
        <v>442171.07500800001</v>
      </c>
      <c r="AB202" s="6" t="str">
        <f>Tab_Data_Flows[[#This Row],[UoM_Flow_Py]]</f>
        <v>Mg</v>
      </c>
      <c r="AC202" s="139">
        <f>INDEX(Tab_Def_Flows[[Flow_ID]:[CC_DM_source]],MATCH(Tab_Data_Flows[[#This Row],[Flow_Name]],Tab_Def_Flows[Flow_Name],0),17)</f>
        <v>1</v>
      </c>
      <c r="AD202" s="6" t="str">
        <f>Tab_Data_Flows[[#This Row],[Flow_ID]]&amp;"_"&amp;"CC_"&amp;Tab_Data_Flows[[#This Row],[Flow_Data_Year]]</f>
        <v>F_00_02_CC_2124</v>
      </c>
      <c r="AE202" s="6">
        <f>IF(F202="Yes",AC202*Tab_Data_Flows[[#This Row],[Flow_Material]]*Tab_Data_Flows[[#This Row],[DM_'[%']]],"N.A.")</f>
        <v>442171.07500800001</v>
      </c>
      <c r="AF202" s="6" t="str">
        <f>Tab_Data_Flows[[#This Row],[UoM_Flow_Py]]</f>
        <v>Mg</v>
      </c>
      <c r="AG202"/>
    </row>
    <row r="203" spans="1:33" x14ac:dyDescent="0.25">
      <c r="A203" s="8">
        <f t="shared" si="7"/>
        <v>202</v>
      </c>
      <c r="B203" s="6" t="str">
        <f>_xlfn.XLOOKUP(C203,Tab_Def_Flows[Flow_Name],Tab_Def_Flows[Flow_ID],,0,)</f>
        <v>F_00_02</v>
      </c>
      <c r="C203" s="138" t="s">
        <v>472</v>
      </c>
      <c r="D203" s="9" t="str">
        <f>_xlfn.XLOOKUP(C203,Tab_Def_Flows[Flow_Name],Tab_Def_Flows[WC?],,0,)</f>
        <v>Yes</v>
      </c>
      <c r="E203" s="9" t="str">
        <f>_xlfn.XLOOKUP(C203,Tab_Def_Flows[Flow_Name],Tab_Def_Flows[DM?],,0,)</f>
        <v>Yes</v>
      </c>
      <c r="F203" s="9" t="str">
        <f>_xlfn.XLOOKUP(C203,Tab_Def_Flows[Flow_Name],Tab_Def_Flows[CC?],,0,)</f>
        <v>Yes</v>
      </c>
      <c r="G203" s="7">
        <v>2125</v>
      </c>
      <c r="H203" s="21">
        <v>510409.9656</v>
      </c>
      <c r="I203" s="6" t="str">
        <f>'0_Configuration'!$C$4</f>
        <v>Mg</v>
      </c>
      <c r="J203" s="13"/>
      <c r="K203" s="13"/>
      <c r="L203" s="13"/>
      <c r="M203" s="13"/>
      <c r="N203" s="13"/>
      <c r="O203" s="7" t="s">
        <v>6</v>
      </c>
      <c r="P203" s="7"/>
      <c r="Q203" s="7"/>
      <c r="R203" s="6" t="str">
        <f>Tab_Data_Flows[[#This Row],[Flow_ID]]&amp;"_"&amp;"material_"&amp;Tab_Data_Flows[[#This Row],[Flow_Data_Year]]</f>
        <v>F_00_02_material_2125</v>
      </c>
      <c r="S203" s="12">
        <f t="shared" si="6"/>
        <v>510409.9656</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F_00_02_WC_2125</v>
      </c>
      <c r="W203" s="6">
        <f>IF(D203="Yes",S203*Tab_Data_Flows[[#This Row],[WC_'[%']]],"N.A.")</f>
        <v>0</v>
      </c>
      <c r="X203" s="6" t="str">
        <f>Tab_Data_Flows[[#This Row],[UoM_Flow_Py]]</f>
        <v>Mg</v>
      </c>
      <c r="Y203" s="139">
        <f>INDEX(Tab_Def_Flows[[Flow_ID]:[CC_DM_source]],MATCH(Tab_Data_Flows[[#This Row],[Flow_Name]],Tab_Def_Flows[Flow_Name],0),14)</f>
        <v>1</v>
      </c>
      <c r="Z203" s="6" t="str">
        <f>Tab_Data_Flows[[#This Row],[Flow_ID]]&amp;"_"&amp;"DM_"&amp;Tab_Data_Flows[[#This Row],[Flow_Data_Year]]</f>
        <v>F_00_02_DM_2125</v>
      </c>
      <c r="AA203" s="6">
        <f>IF(E203="Yes",Y203*Tab_Data_Flows[[#This Row],[Flow_Material]],"N.A.")</f>
        <v>510409.9656</v>
      </c>
      <c r="AB203" s="6" t="str">
        <f>Tab_Data_Flows[[#This Row],[UoM_Flow_Py]]</f>
        <v>Mg</v>
      </c>
      <c r="AC203" s="139">
        <f>INDEX(Tab_Def_Flows[[Flow_ID]:[CC_DM_source]],MATCH(Tab_Data_Flows[[#This Row],[Flow_Name]],Tab_Def_Flows[Flow_Name],0),17)</f>
        <v>1</v>
      </c>
      <c r="AD203" s="6" t="str">
        <f>Tab_Data_Flows[[#This Row],[Flow_ID]]&amp;"_"&amp;"CC_"&amp;Tab_Data_Flows[[#This Row],[Flow_Data_Year]]</f>
        <v>F_00_02_CC_2125</v>
      </c>
      <c r="AE203" s="6">
        <f>IF(F203="Yes",AC203*Tab_Data_Flows[[#This Row],[Flow_Material]]*Tab_Data_Flows[[#This Row],[DM_'[%']]],"N.A.")</f>
        <v>510409.9656</v>
      </c>
      <c r="AF203" s="6" t="str">
        <f>Tab_Data_Flows[[#This Row],[UoM_Flow_Py]]</f>
        <v>Mg</v>
      </c>
      <c r="AG203"/>
    </row>
    <row r="204" spans="1:33" x14ac:dyDescent="0.25">
      <c r="A204" s="8">
        <f t="shared" si="7"/>
        <v>203</v>
      </c>
      <c r="B204" s="6" t="str">
        <f>_xlfn.XLOOKUP(C204,Tab_Def_Flows[Flow_Name],Tab_Def_Flows[Flow_ID],,0,)</f>
        <v>F_01_09</v>
      </c>
      <c r="C204" s="138" t="s">
        <v>1103</v>
      </c>
      <c r="D204" s="9" t="str">
        <f>_xlfn.XLOOKUP(C204,Tab_Def_Flows[Flow_Name],Tab_Def_Flows[WC?],,0,)</f>
        <v>Yes</v>
      </c>
      <c r="E204" s="9" t="str">
        <f>_xlfn.XLOOKUP(C204,Tab_Def_Flows[Flow_Name],Tab_Def_Flows[DM?],,0,)</f>
        <v>Yes</v>
      </c>
      <c r="F204" s="9" t="str">
        <f>_xlfn.XLOOKUP(C204,Tab_Def_Flows[Flow_Name],Tab_Def_Flows[CC?],,0,)</f>
        <v>Yes</v>
      </c>
      <c r="G204" s="7">
        <v>2025</v>
      </c>
      <c r="H204" s="21">
        <v>10000</v>
      </c>
      <c r="I204" s="6" t="str">
        <f>'0_Configuration'!$C$4</f>
        <v>Mg</v>
      </c>
      <c r="J204" s="13"/>
      <c r="K204" s="13"/>
      <c r="L204" s="13"/>
      <c r="M204" s="13"/>
      <c r="N204" s="13"/>
      <c r="O204" s="7" t="s">
        <v>6</v>
      </c>
      <c r="P204" s="7"/>
      <c r="Q204" s="7"/>
      <c r="R204" s="6" t="str">
        <f>Tab_Data_Flows[[#This Row],[Flow_ID]]&amp;"_"&amp;"material_"&amp;Tab_Data_Flows[[#This Row],[Flow_Data_Year]]</f>
        <v>F_01_09_material_2025</v>
      </c>
      <c r="S204" s="12">
        <f t="shared" si="6"/>
        <v>10000</v>
      </c>
      <c r="T204" s="6" t="str">
        <f>Tab_Data_Flows[[#This Row],[UoM_Source]]</f>
        <v>Mg</v>
      </c>
      <c r="U204" s="139">
        <f>INDEX(Tab_Def_Flows[[Flow_ID]:[CC_DM_source]],MATCH(Tab_Data_Flows[[#This Row],[Flow_Name]],Tab_Def_Flows[Flow_Name],0),11)</f>
        <v>1</v>
      </c>
      <c r="V204" s="6" t="str">
        <f>Tab_Data_Flows[[#This Row],[Flow_ID]]&amp;"_"&amp;"WC_"&amp;Tab_Data_Flows[[#This Row],[Flow_Data_Year]]</f>
        <v>F_01_09_WC_2025</v>
      </c>
      <c r="W204" s="6">
        <f>IF(D204="Yes",S204*Tab_Data_Flows[[#This Row],[WC_'[%']]],"N.A.")</f>
        <v>10000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F_01_09_DM_2025</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F_01_09_CC_2025</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F_01_09</v>
      </c>
      <c r="C205" s="138" t="s">
        <v>1103</v>
      </c>
      <c r="D205" s="9" t="str">
        <f>_xlfn.XLOOKUP(C205,Tab_Def_Flows[Flow_Name],Tab_Def_Flows[WC?],,0,)</f>
        <v>Yes</v>
      </c>
      <c r="E205" s="9" t="str">
        <f>_xlfn.XLOOKUP(C205,Tab_Def_Flows[Flow_Name],Tab_Def_Flows[DM?],,0,)</f>
        <v>Yes</v>
      </c>
      <c r="F205" s="9" t="str">
        <f>_xlfn.XLOOKUP(C205,Tab_Def_Flows[Flow_Name],Tab_Def_Flows[CC?],,0,)</f>
        <v>Yes</v>
      </c>
      <c r="G205" s="7">
        <v>2026</v>
      </c>
      <c r="H205" s="21">
        <v>10000</v>
      </c>
      <c r="I205" s="6" t="str">
        <f>'0_Configuration'!$C$4</f>
        <v>Mg</v>
      </c>
      <c r="J205" s="13"/>
      <c r="K205" s="13"/>
      <c r="L205" s="13"/>
      <c r="M205" s="13"/>
      <c r="N205" s="13"/>
      <c r="O205" s="7" t="s">
        <v>6</v>
      </c>
      <c r="P205" s="14"/>
      <c r="Q205" s="7"/>
      <c r="R205" s="6" t="str">
        <f>Tab_Data_Flows[[#This Row],[Flow_ID]]&amp;"_"&amp;"material_"&amp;Tab_Data_Flows[[#This Row],[Flow_Data_Year]]</f>
        <v>F_01_09_material_2026</v>
      </c>
      <c r="S205" s="12">
        <f t="shared" si="6"/>
        <v>10000</v>
      </c>
      <c r="T205" s="6" t="str">
        <f>Tab_Data_Flows[[#This Row],[UoM_Source]]</f>
        <v>Mg</v>
      </c>
      <c r="U205" s="139">
        <f>INDEX(Tab_Def_Flows[[Flow_ID]:[CC_DM_source]],MATCH(Tab_Data_Flows[[#This Row],[Flow_Name]],Tab_Def_Flows[Flow_Name],0),11)</f>
        <v>1</v>
      </c>
      <c r="V205" s="6" t="str">
        <f>Tab_Data_Flows[[#This Row],[Flow_ID]]&amp;"_"&amp;"WC_"&amp;Tab_Data_Flows[[#This Row],[Flow_Data_Year]]</f>
        <v>F_01_09_WC_2026</v>
      </c>
      <c r="W205" s="6">
        <f>IF(D205="Yes",S205*Tab_Data_Flows[[#This Row],[WC_'[%']]],"N.A.")</f>
        <v>10000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F_01_09_DM_2026</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F_01_09_CC_2026</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F_01_09</v>
      </c>
      <c r="C206" s="138" t="s">
        <v>1103</v>
      </c>
      <c r="D206" s="9" t="str">
        <f>_xlfn.XLOOKUP(C206,Tab_Def_Flows[Flow_Name],Tab_Def_Flows[WC?],,0,)</f>
        <v>Yes</v>
      </c>
      <c r="E206" s="9" t="str">
        <f>_xlfn.XLOOKUP(C206,Tab_Def_Flows[Flow_Name],Tab_Def_Flows[DM?],,0,)</f>
        <v>Yes</v>
      </c>
      <c r="F206" s="9" t="str">
        <f>_xlfn.XLOOKUP(C206,Tab_Def_Flows[Flow_Name],Tab_Def_Flows[CC?],,0,)</f>
        <v>Yes</v>
      </c>
      <c r="G206" s="7">
        <v>2027</v>
      </c>
      <c r="H206" s="21">
        <v>10000</v>
      </c>
      <c r="I206" s="6" t="str">
        <f>'0_Configuration'!$C$4</f>
        <v>Mg</v>
      </c>
      <c r="J206" s="13"/>
      <c r="K206" s="13"/>
      <c r="L206" s="13"/>
      <c r="M206" s="13"/>
      <c r="N206" s="13"/>
      <c r="O206" s="7" t="s">
        <v>6</v>
      </c>
      <c r="P206" s="14"/>
      <c r="Q206" s="7"/>
      <c r="R206" s="6" t="str">
        <f>Tab_Data_Flows[[#This Row],[Flow_ID]]&amp;"_"&amp;"material_"&amp;Tab_Data_Flows[[#This Row],[Flow_Data_Year]]</f>
        <v>F_01_09_material_2027</v>
      </c>
      <c r="S206" s="12">
        <f t="shared" si="6"/>
        <v>10000</v>
      </c>
      <c r="T206" s="6" t="str">
        <f>Tab_Data_Flows[[#This Row],[UoM_Source]]</f>
        <v>Mg</v>
      </c>
      <c r="U206" s="139">
        <f>INDEX(Tab_Def_Flows[[Flow_ID]:[CC_DM_source]],MATCH(Tab_Data_Flows[[#This Row],[Flow_Name]],Tab_Def_Flows[Flow_Name],0),11)</f>
        <v>1</v>
      </c>
      <c r="V206" s="6" t="str">
        <f>Tab_Data_Flows[[#This Row],[Flow_ID]]&amp;"_"&amp;"WC_"&amp;Tab_Data_Flows[[#This Row],[Flow_Data_Year]]</f>
        <v>F_01_09_WC_2027</v>
      </c>
      <c r="W206" s="6">
        <f>IF(D206="Yes",S206*Tab_Data_Flows[[#This Row],[WC_'[%']]],"N.A.")</f>
        <v>10000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F_01_09_DM_2027</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F_01_09_CC_2027</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F_01_09</v>
      </c>
      <c r="C207" s="138" t="s">
        <v>1103</v>
      </c>
      <c r="D207" s="9" t="str">
        <f>_xlfn.XLOOKUP(C207,Tab_Def_Flows[Flow_Name],Tab_Def_Flows[WC?],,0,)</f>
        <v>Yes</v>
      </c>
      <c r="E207" s="9" t="str">
        <f>_xlfn.XLOOKUP(C207,Tab_Def_Flows[Flow_Name],Tab_Def_Flows[DM?],,0,)</f>
        <v>Yes</v>
      </c>
      <c r="F207" s="9" t="str">
        <f>_xlfn.XLOOKUP(C207,Tab_Def_Flows[Flow_Name],Tab_Def_Flows[CC?],,0,)</f>
        <v>Yes</v>
      </c>
      <c r="G207" s="7">
        <v>2028</v>
      </c>
      <c r="H207" s="21">
        <v>10000</v>
      </c>
      <c r="I207" s="6" t="str">
        <f>'0_Configuration'!$C$4</f>
        <v>Mg</v>
      </c>
      <c r="J207" s="13"/>
      <c r="K207" s="13"/>
      <c r="L207" s="13"/>
      <c r="M207" s="13"/>
      <c r="N207" s="13"/>
      <c r="O207" s="7" t="s">
        <v>6</v>
      </c>
      <c r="P207" s="14"/>
      <c r="Q207" s="7"/>
      <c r="R207" s="6" t="str">
        <f>Tab_Data_Flows[[#This Row],[Flow_ID]]&amp;"_"&amp;"material_"&amp;Tab_Data_Flows[[#This Row],[Flow_Data_Year]]</f>
        <v>F_01_09_material_2028</v>
      </c>
      <c r="S207" s="12">
        <f t="shared" si="6"/>
        <v>10000</v>
      </c>
      <c r="T207" s="6" t="str">
        <f>Tab_Data_Flows[[#This Row],[UoM_Source]]</f>
        <v>Mg</v>
      </c>
      <c r="U207" s="139">
        <f>INDEX(Tab_Def_Flows[[Flow_ID]:[CC_DM_source]],MATCH(Tab_Data_Flows[[#This Row],[Flow_Name]],Tab_Def_Flows[Flow_Name],0),11)</f>
        <v>1</v>
      </c>
      <c r="V207" s="6" t="str">
        <f>Tab_Data_Flows[[#This Row],[Flow_ID]]&amp;"_"&amp;"WC_"&amp;Tab_Data_Flows[[#This Row],[Flow_Data_Year]]</f>
        <v>F_01_09_WC_2028</v>
      </c>
      <c r="W207" s="6">
        <f>IF(D207="Yes",S207*Tab_Data_Flows[[#This Row],[WC_'[%']]],"N.A.")</f>
        <v>10000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F_01_09_DM_2028</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F_01_09_CC_2028</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F_01_09</v>
      </c>
      <c r="C208" s="138" t="s">
        <v>1103</v>
      </c>
      <c r="D208" s="9" t="str">
        <f>_xlfn.XLOOKUP(C208,Tab_Def_Flows[Flow_Name],Tab_Def_Flows[WC?],,0,)</f>
        <v>Yes</v>
      </c>
      <c r="E208" s="9" t="str">
        <f>_xlfn.XLOOKUP(C208,Tab_Def_Flows[Flow_Name],Tab_Def_Flows[DM?],,0,)</f>
        <v>Yes</v>
      </c>
      <c r="F208" s="9" t="str">
        <f>_xlfn.XLOOKUP(C208,Tab_Def_Flows[Flow_Name],Tab_Def_Flows[CC?],,0,)</f>
        <v>Yes</v>
      </c>
      <c r="G208" s="7">
        <v>2029</v>
      </c>
      <c r="H208" s="21">
        <v>10000</v>
      </c>
      <c r="I208" s="6" t="str">
        <f>'0_Configuration'!$C$4</f>
        <v>Mg</v>
      </c>
      <c r="J208" s="13"/>
      <c r="K208" s="13"/>
      <c r="L208" s="13"/>
      <c r="M208" s="13"/>
      <c r="N208" s="13"/>
      <c r="O208" s="7" t="s">
        <v>6</v>
      </c>
      <c r="P208" s="14"/>
      <c r="Q208" s="7"/>
      <c r="R208" s="6" t="str">
        <f>Tab_Data_Flows[[#This Row],[Flow_ID]]&amp;"_"&amp;"material_"&amp;Tab_Data_Flows[[#This Row],[Flow_Data_Year]]</f>
        <v>F_01_09_material_2029</v>
      </c>
      <c r="S208" s="12">
        <f t="shared" si="6"/>
        <v>10000</v>
      </c>
      <c r="T208" s="6" t="str">
        <f>Tab_Data_Flows[[#This Row],[UoM_Source]]</f>
        <v>Mg</v>
      </c>
      <c r="U208" s="139">
        <f>INDEX(Tab_Def_Flows[[Flow_ID]:[CC_DM_source]],MATCH(Tab_Data_Flows[[#This Row],[Flow_Name]],Tab_Def_Flows[Flow_Name],0),11)</f>
        <v>1</v>
      </c>
      <c r="V208" s="6" t="str">
        <f>Tab_Data_Flows[[#This Row],[Flow_ID]]&amp;"_"&amp;"WC_"&amp;Tab_Data_Flows[[#This Row],[Flow_Data_Year]]</f>
        <v>F_01_09_WC_2029</v>
      </c>
      <c r="W208" s="6">
        <f>IF(D208="Yes",S208*Tab_Data_Flows[[#This Row],[WC_'[%']]],"N.A.")</f>
        <v>10000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F_01_09_DM_2029</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F_01_09_CC_2029</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F_01_09</v>
      </c>
      <c r="C209" s="138" t="s">
        <v>1103</v>
      </c>
      <c r="D209" s="9" t="str">
        <f>_xlfn.XLOOKUP(C209,Tab_Def_Flows[Flow_Name],Tab_Def_Flows[WC?],,0,)</f>
        <v>Yes</v>
      </c>
      <c r="E209" s="9" t="str">
        <f>_xlfn.XLOOKUP(C209,Tab_Def_Flows[Flow_Name],Tab_Def_Flows[DM?],,0,)</f>
        <v>Yes</v>
      </c>
      <c r="F209" s="9" t="str">
        <f>_xlfn.XLOOKUP(C209,Tab_Def_Flows[Flow_Name],Tab_Def_Flows[CC?],,0,)</f>
        <v>Yes</v>
      </c>
      <c r="G209" s="7">
        <v>2030</v>
      </c>
      <c r="H209" s="21">
        <v>10000</v>
      </c>
      <c r="I209" s="6" t="str">
        <f>'0_Configuration'!$C$4</f>
        <v>Mg</v>
      </c>
      <c r="J209" s="13"/>
      <c r="K209" s="13"/>
      <c r="L209" s="13"/>
      <c r="M209" s="13"/>
      <c r="N209" s="13"/>
      <c r="O209" s="7" t="s">
        <v>6</v>
      </c>
      <c r="P209" s="14"/>
      <c r="Q209" s="7"/>
      <c r="R209" s="6" t="str">
        <f>Tab_Data_Flows[[#This Row],[Flow_ID]]&amp;"_"&amp;"material_"&amp;Tab_Data_Flows[[#This Row],[Flow_Data_Year]]</f>
        <v>F_01_09_material_2030</v>
      </c>
      <c r="S209" s="12">
        <f t="shared" si="6"/>
        <v>10000</v>
      </c>
      <c r="T209" s="6" t="str">
        <f>Tab_Data_Flows[[#This Row],[UoM_Source]]</f>
        <v>Mg</v>
      </c>
      <c r="U209" s="139">
        <f>INDEX(Tab_Def_Flows[[Flow_ID]:[CC_DM_source]],MATCH(Tab_Data_Flows[[#This Row],[Flow_Name]],Tab_Def_Flows[Flow_Name],0),11)</f>
        <v>1</v>
      </c>
      <c r="V209" s="6" t="str">
        <f>Tab_Data_Flows[[#This Row],[Flow_ID]]&amp;"_"&amp;"WC_"&amp;Tab_Data_Flows[[#This Row],[Flow_Data_Year]]</f>
        <v>F_01_09_WC_2030</v>
      </c>
      <c r="W209" s="6">
        <f>IF(D209="Yes",S209*Tab_Data_Flows[[#This Row],[WC_'[%']]],"N.A.")</f>
        <v>10000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F_01_09_DM_2030</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F_01_09_CC_2030</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F_01_09</v>
      </c>
      <c r="C210" s="138" t="s">
        <v>1103</v>
      </c>
      <c r="D210" s="9" t="str">
        <f>_xlfn.XLOOKUP(C210,Tab_Def_Flows[Flow_Name],Tab_Def_Flows[WC?],,0,)</f>
        <v>Yes</v>
      </c>
      <c r="E210" s="9" t="str">
        <f>_xlfn.XLOOKUP(C210,Tab_Def_Flows[Flow_Name],Tab_Def_Flows[DM?],,0,)</f>
        <v>Yes</v>
      </c>
      <c r="F210" s="9" t="str">
        <f>_xlfn.XLOOKUP(C210,Tab_Def_Flows[Flow_Name],Tab_Def_Flows[CC?],,0,)</f>
        <v>Yes</v>
      </c>
      <c r="G210" s="7">
        <v>2031</v>
      </c>
      <c r="H210" s="21">
        <v>10000</v>
      </c>
      <c r="I210" s="6" t="str">
        <f>'0_Configuration'!$C$4</f>
        <v>Mg</v>
      </c>
      <c r="J210" s="13"/>
      <c r="K210" s="13"/>
      <c r="L210" s="13"/>
      <c r="M210" s="13"/>
      <c r="N210" s="13"/>
      <c r="O210" s="7" t="s">
        <v>6</v>
      </c>
      <c r="P210" s="14"/>
      <c r="Q210" s="7"/>
      <c r="R210" s="6" t="str">
        <f>Tab_Data_Flows[[#This Row],[Flow_ID]]&amp;"_"&amp;"material_"&amp;Tab_Data_Flows[[#This Row],[Flow_Data_Year]]</f>
        <v>F_01_09_material_2031</v>
      </c>
      <c r="S210" s="12">
        <f t="shared" si="6"/>
        <v>10000</v>
      </c>
      <c r="T210" s="6" t="str">
        <f>Tab_Data_Flows[[#This Row],[UoM_Source]]</f>
        <v>Mg</v>
      </c>
      <c r="U210" s="139">
        <f>INDEX(Tab_Def_Flows[[Flow_ID]:[CC_DM_source]],MATCH(Tab_Data_Flows[[#This Row],[Flow_Name]],Tab_Def_Flows[Flow_Name],0),11)</f>
        <v>1</v>
      </c>
      <c r="V210" s="6" t="str">
        <f>Tab_Data_Flows[[#This Row],[Flow_ID]]&amp;"_"&amp;"WC_"&amp;Tab_Data_Flows[[#This Row],[Flow_Data_Year]]</f>
        <v>F_01_09_WC_2031</v>
      </c>
      <c r="W210" s="6">
        <f>IF(D210="Yes",S210*Tab_Data_Flows[[#This Row],[WC_'[%']]],"N.A.")</f>
        <v>10000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F_01_09_DM_2031</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F_01_09_CC_2031</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F_01_09</v>
      </c>
      <c r="C211" s="138" t="s">
        <v>1103</v>
      </c>
      <c r="D211" s="9" t="str">
        <f>_xlfn.XLOOKUP(C211,Tab_Def_Flows[Flow_Name],Tab_Def_Flows[WC?],,0,)</f>
        <v>Yes</v>
      </c>
      <c r="E211" s="9" t="str">
        <f>_xlfn.XLOOKUP(C211,Tab_Def_Flows[Flow_Name],Tab_Def_Flows[DM?],,0,)</f>
        <v>Yes</v>
      </c>
      <c r="F211" s="9" t="str">
        <f>_xlfn.XLOOKUP(C211,Tab_Def_Flows[Flow_Name],Tab_Def_Flows[CC?],,0,)</f>
        <v>Yes</v>
      </c>
      <c r="G211" s="7">
        <v>2032</v>
      </c>
      <c r="H211" s="21">
        <v>10000</v>
      </c>
      <c r="I211" s="6" t="str">
        <f>'0_Configuration'!$C$4</f>
        <v>Mg</v>
      </c>
      <c r="J211" s="13"/>
      <c r="K211" s="13"/>
      <c r="L211" s="13"/>
      <c r="M211" s="13"/>
      <c r="N211" s="13"/>
      <c r="O211" s="7" t="s">
        <v>6</v>
      </c>
      <c r="P211" s="14"/>
      <c r="Q211" s="7"/>
      <c r="R211" s="6" t="str">
        <f>Tab_Data_Flows[[#This Row],[Flow_ID]]&amp;"_"&amp;"material_"&amp;Tab_Data_Flows[[#This Row],[Flow_Data_Year]]</f>
        <v>F_01_09_material_2032</v>
      </c>
      <c r="S211" s="12">
        <f t="shared" si="6"/>
        <v>10000</v>
      </c>
      <c r="T211" s="6" t="str">
        <f>Tab_Data_Flows[[#This Row],[UoM_Source]]</f>
        <v>Mg</v>
      </c>
      <c r="U211" s="139">
        <f>INDEX(Tab_Def_Flows[[Flow_ID]:[CC_DM_source]],MATCH(Tab_Data_Flows[[#This Row],[Flow_Name]],Tab_Def_Flows[Flow_Name],0),11)</f>
        <v>1</v>
      </c>
      <c r="V211" s="6" t="str">
        <f>Tab_Data_Flows[[#This Row],[Flow_ID]]&amp;"_"&amp;"WC_"&amp;Tab_Data_Flows[[#This Row],[Flow_Data_Year]]</f>
        <v>F_01_09_WC_2032</v>
      </c>
      <c r="W211" s="6">
        <f>IF(D211="Yes",S211*Tab_Data_Flows[[#This Row],[WC_'[%']]],"N.A.")</f>
        <v>10000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F_01_09_DM_2032</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F_01_09_CC_2032</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F_01_09</v>
      </c>
      <c r="C212" s="138" t="s">
        <v>1103</v>
      </c>
      <c r="D212" s="9" t="str">
        <f>_xlfn.XLOOKUP(C212,Tab_Def_Flows[Flow_Name],Tab_Def_Flows[WC?],,0,)</f>
        <v>Yes</v>
      </c>
      <c r="E212" s="9" t="str">
        <f>_xlfn.XLOOKUP(C212,Tab_Def_Flows[Flow_Name],Tab_Def_Flows[DM?],,0,)</f>
        <v>Yes</v>
      </c>
      <c r="F212" s="9" t="str">
        <f>_xlfn.XLOOKUP(C212,Tab_Def_Flows[Flow_Name],Tab_Def_Flows[CC?],,0,)</f>
        <v>Yes</v>
      </c>
      <c r="G212" s="7">
        <v>2033</v>
      </c>
      <c r="H212" s="21">
        <v>10000</v>
      </c>
      <c r="I212" s="6" t="str">
        <f>'0_Configuration'!$C$4</f>
        <v>Mg</v>
      </c>
      <c r="J212" s="13"/>
      <c r="K212" s="13"/>
      <c r="L212" s="13"/>
      <c r="M212" s="13"/>
      <c r="N212" s="13"/>
      <c r="O212" s="7" t="s">
        <v>6</v>
      </c>
      <c r="P212" s="14"/>
      <c r="Q212" s="7"/>
      <c r="R212" s="6" t="str">
        <f>Tab_Data_Flows[[#This Row],[Flow_ID]]&amp;"_"&amp;"material_"&amp;Tab_Data_Flows[[#This Row],[Flow_Data_Year]]</f>
        <v>F_01_09_material_2033</v>
      </c>
      <c r="S212" s="12">
        <f t="shared" si="6"/>
        <v>10000</v>
      </c>
      <c r="T212" s="6" t="str">
        <f>Tab_Data_Flows[[#This Row],[UoM_Source]]</f>
        <v>Mg</v>
      </c>
      <c r="U212" s="139">
        <f>INDEX(Tab_Def_Flows[[Flow_ID]:[CC_DM_source]],MATCH(Tab_Data_Flows[[#This Row],[Flow_Name]],Tab_Def_Flows[Flow_Name],0),11)</f>
        <v>1</v>
      </c>
      <c r="V212" s="6" t="str">
        <f>Tab_Data_Flows[[#This Row],[Flow_ID]]&amp;"_"&amp;"WC_"&amp;Tab_Data_Flows[[#This Row],[Flow_Data_Year]]</f>
        <v>F_01_09_WC_2033</v>
      </c>
      <c r="W212" s="6">
        <f>IF(D212="Yes",S212*Tab_Data_Flows[[#This Row],[WC_'[%']]],"N.A.")</f>
        <v>10000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F_01_09_DM_2033</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F_01_09_CC_2033</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F_01_09</v>
      </c>
      <c r="C213" s="138" t="s">
        <v>1103</v>
      </c>
      <c r="D213" s="9" t="str">
        <f>_xlfn.XLOOKUP(C213,Tab_Def_Flows[Flow_Name],Tab_Def_Flows[WC?],,0,)</f>
        <v>Yes</v>
      </c>
      <c r="E213" s="9" t="str">
        <f>_xlfn.XLOOKUP(C213,Tab_Def_Flows[Flow_Name],Tab_Def_Flows[DM?],,0,)</f>
        <v>Yes</v>
      </c>
      <c r="F213" s="9" t="str">
        <f>_xlfn.XLOOKUP(C213,Tab_Def_Flows[Flow_Name],Tab_Def_Flows[CC?],,0,)</f>
        <v>Yes</v>
      </c>
      <c r="G213" s="7">
        <v>2034</v>
      </c>
      <c r="H213" s="21">
        <v>10000</v>
      </c>
      <c r="I213" s="6" t="str">
        <f>'0_Configuration'!$C$4</f>
        <v>Mg</v>
      </c>
      <c r="J213" s="13"/>
      <c r="K213" s="13"/>
      <c r="L213" s="13"/>
      <c r="M213" s="13"/>
      <c r="N213" s="13"/>
      <c r="O213" s="7" t="s">
        <v>6</v>
      </c>
      <c r="P213" s="14"/>
      <c r="Q213" s="7"/>
      <c r="R213" s="6" t="str">
        <f>Tab_Data_Flows[[#This Row],[Flow_ID]]&amp;"_"&amp;"material_"&amp;Tab_Data_Flows[[#This Row],[Flow_Data_Year]]</f>
        <v>F_01_09_material_2034</v>
      </c>
      <c r="S213" s="12">
        <f t="shared" si="6"/>
        <v>10000</v>
      </c>
      <c r="T213" s="6" t="str">
        <f>Tab_Data_Flows[[#This Row],[UoM_Source]]</f>
        <v>Mg</v>
      </c>
      <c r="U213" s="139">
        <f>INDEX(Tab_Def_Flows[[Flow_ID]:[CC_DM_source]],MATCH(Tab_Data_Flows[[#This Row],[Flow_Name]],Tab_Def_Flows[Flow_Name],0),11)</f>
        <v>1</v>
      </c>
      <c r="V213" s="6" t="str">
        <f>Tab_Data_Flows[[#This Row],[Flow_ID]]&amp;"_"&amp;"WC_"&amp;Tab_Data_Flows[[#This Row],[Flow_Data_Year]]</f>
        <v>F_01_09_WC_2034</v>
      </c>
      <c r="W213" s="6">
        <f>IF(D213="Yes",S213*Tab_Data_Flows[[#This Row],[WC_'[%']]],"N.A.")</f>
        <v>10000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F_01_09_DM_2034</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F_01_09_CC_2034</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F_01_09</v>
      </c>
      <c r="C214" s="138" t="s">
        <v>1103</v>
      </c>
      <c r="D214" s="9" t="str">
        <f>_xlfn.XLOOKUP(C214,Tab_Def_Flows[Flow_Name],Tab_Def_Flows[WC?],,0,)</f>
        <v>Yes</v>
      </c>
      <c r="E214" s="9" t="str">
        <f>_xlfn.XLOOKUP(C214,Tab_Def_Flows[Flow_Name],Tab_Def_Flows[DM?],,0,)</f>
        <v>Yes</v>
      </c>
      <c r="F214" s="9" t="str">
        <f>_xlfn.XLOOKUP(C214,Tab_Def_Flows[Flow_Name],Tab_Def_Flows[CC?],,0,)</f>
        <v>Yes</v>
      </c>
      <c r="G214" s="7">
        <v>2035</v>
      </c>
      <c r="H214" s="21">
        <v>10000</v>
      </c>
      <c r="I214" s="6" t="str">
        <f>'0_Configuration'!$C$4</f>
        <v>Mg</v>
      </c>
      <c r="J214" s="13"/>
      <c r="K214" s="13"/>
      <c r="L214" s="13"/>
      <c r="M214" s="13"/>
      <c r="N214" s="13"/>
      <c r="O214" s="7" t="s">
        <v>6</v>
      </c>
      <c r="P214" s="14"/>
      <c r="Q214" s="7"/>
      <c r="R214" s="6" t="str">
        <f>Tab_Data_Flows[[#This Row],[Flow_ID]]&amp;"_"&amp;"material_"&amp;Tab_Data_Flows[[#This Row],[Flow_Data_Year]]</f>
        <v>F_01_09_material_2035</v>
      </c>
      <c r="S214" s="12">
        <f t="shared" si="6"/>
        <v>10000</v>
      </c>
      <c r="T214" s="6" t="str">
        <f>Tab_Data_Flows[[#This Row],[UoM_Source]]</f>
        <v>Mg</v>
      </c>
      <c r="U214" s="139">
        <f>INDEX(Tab_Def_Flows[[Flow_ID]:[CC_DM_source]],MATCH(Tab_Data_Flows[[#This Row],[Flow_Name]],Tab_Def_Flows[Flow_Name],0),11)</f>
        <v>1</v>
      </c>
      <c r="V214" s="6" t="str">
        <f>Tab_Data_Flows[[#This Row],[Flow_ID]]&amp;"_"&amp;"WC_"&amp;Tab_Data_Flows[[#This Row],[Flow_Data_Year]]</f>
        <v>F_01_09_WC_2035</v>
      </c>
      <c r="W214" s="6">
        <f>IF(D214="Yes",S214*Tab_Data_Flows[[#This Row],[WC_'[%']]],"N.A.")</f>
        <v>10000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F_01_09_DM_2035</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F_01_09_CC_2035</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F_01_09</v>
      </c>
      <c r="C215" s="138" t="s">
        <v>1103</v>
      </c>
      <c r="D215" s="9" t="str">
        <f>_xlfn.XLOOKUP(C215,Tab_Def_Flows[Flow_Name],Tab_Def_Flows[WC?],,0,)</f>
        <v>Yes</v>
      </c>
      <c r="E215" s="9" t="str">
        <f>_xlfn.XLOOKUP(C215,Tab_Def_Flows[Flow_Name],Tab_Def_Flows[DM?],,0,)</f>
        <v>Yes</v>
      </c>
      <c r="F215" s="9" t="str">
        <f>_xlfn.XLOOKUP(C215,Tab_Def_Flows[Flow_Name],Tab_Def_Flows[CC?],,0,)</f>
        <v>Yes</v>
      </c>
      <c r="G215" s="7">
        <v>2036</v>
      </c>
      <c r="H215" s="21">
        <v>10000</v>
      </c>
      <c r="I215" s="6" t="str">
        <f>'0_Configuration'!$C$4</f>
        <v>Mg</v>
      </c>
      <c r="J215" s="13"/>
      <c r="K215" s="13"/>
      <c r="L215" s="13"/>
      <c r="M215" s="13"/>
      <c r="N215" s="13"/>
      <c r="O215" s="7" t="s">
        <v>6</v>
      </c>
      <c r="P215" s="14"/>
      <c r="Q215" s="7"/>
      <c r="R215" s="6" t="str">
        <f>Tab_Data_Flows[[#This Row],[Flow_ID]]&amp;"_"&amp;"material_"&amp;Tab_Data_Flows[[#This Row],[Flow_Data_Year]]</f>
        <v>F_01_09_material_2036</v>
      </c>
      <c r="S215" s="12">
        <f t="shared" si="6"/>
        <v>10000</v>
      </c>
      <c r="T215" s="6" t="str">
        <f>Tab_Data_Flows[[#This Row],[UoM_Source]]</f>
        <v>Mg</v>
      </c>
      <c r="U215" s="139">
        <f>INDEX(Tab_Def_Flows[[Flow_ID]:[CC_DM_source]],MATCH(Tab_Data_Flows[[#This Row],[Flow_Name]],Tab_Def_Flows[Flow_Name],0),11)</f>
        <v>1</v>
      </c>
      <c r="V215" s="6" t="str">
        <f>Tab_Data_Flows[[#This Row],[Flow_ID]]&amp;"_"&amp;"WC_"&amp;Tab_Data_Flows[[#This Row],[Flow_Data_Year]]</f>
        <v>F_01_09_WC_2036</v>
      </c>
      <c r="W215" s="6">
        <f>IF(D215="Yes",S215*Tab_Data_Flows[[#This Row],[WC_'[%']]],"N.A.")</f>
        <v>10000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F_01_09_DM_2036</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F_01_09_CC_2036</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F_01_09</v>
      </c>
      <c r="C216" s="138" t="s">
        <v>1103</v>
      </c>
      <c r="D216" s="9" t="str">
        <f>_xlfn.XLOOKUP(C216,Tab_Def_Flows[Flow_Name],Tab_Def_Flows[WC?],,0,)</f>
        <v>Yes</v>
      </c>
      <c r="E216" s="9" t="str">
        <f>_xlfn.XLOOKUP(C216,Tab_Def_Flows[Flow_Name],Tab_Def_Flows[DM?],,0,)</f>
        <v>Yes</v>
      </c>
      <c r="F216" s="9" t="str">
        <f>_xlfn.XLOOKUP(C216,Tab_Def_Flows[Flow_Name],Tab_Def_Flows[CC?],,0,)</f>
        <v>Yes</v>
      </c>
      <c r="G216" s="7">
        <v>2037</v>
      </c>
      <c r="H216" s="21">
        <v>10000</v>
      </c>
      <c r="I216" s="6" t="str">
        <f>'0_Configuration'!$C$4</f>
        <v>Mg</v>
      </c>
      <c r="J216" s="13"/>
      <c r="K216" s="13"/>
      <c r="L216" s="13"/>
      <c r="M216" s="13"/>
      <c r="N216" s="13"/>
      <c r="O216" s="7" t="s">
        <v>6</v>
      </c>
      <c r="P216" s="14"/>
      <c r="Q216" s="7"/>
      <c r="R216" s="6" t="str">
        <f>Tab_Data_Flows[[#This Row],[Flow_ID]]&amp;"_"&amp;"material_"&amp;Tab_Data_Flows[[#This Row],[Flow_Data_Year]]</f>
        <v>F_01_09_material_2037</v>
      </c>
      <c r="S216" s="12">
        <f t="shared" si="6"/>
        <v>10000</v>
      </c>
      <c r="T216" s="6" t="str">
        <f>Tab_Data_Flows[[#This Row],[UoM_Source]]</f>
        <v>Mg</v>
      </c>
      <c r="U216" s="139">
        <f>INDEX(Tab_Def_Flows[[Flow_ID]:[CC_DM_source]],MATCH(Tab_Data_Flows[[#This Row],[Flow_Name]],Tab_Def_Flows[Flow_Name],0),11)</f>
        <v>1</v>
      </c>
      <c r="V216" s="6" t="str">
        <f>Tab_Data_Flows[[#This Row],[Flow_ID]]&amp;"_"&amp;"WC_"&amp;Tab_Data_Flows[[#This Row],[Flow_Data_Year]]</f>
        <v>F_01_09_WC_2037</v>
      </c>
      <c r="W216" s="6">
        <f>IF(D216="Yes",S216*Tab_Data_Flows[[#This Row],[WC_'[%']]],"N.A.")</f>
        <v>10000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F_01_09_DM_2037</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F_01_09_CC_2037</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F_01_09</v>
      </c>
      <c r="C217" s="138" t="s">
        <v>1103</v>
      </c>
      <c r="D217" s="9" t="str">
        <f>_xlfn.XLOOKUP(C217,Tab_Def_Flows[Flow_Name],Tab_Def_Flows[WC?],,0,)</f>
        <v>Yes</v>
      </c>
      <c r="E217" s="9" t="str">
        <f>_xlfn.XLOOKUP(C217,Tab_Def_Flows[Flow_Name],Tab_Def_Flows[DM?],,0,)</f>
        <v>Yes</v>
      </c>
      <c r="F217" s="9" t="str">
        <f>_xlfn.XLOOKUP(C217,Tab_Def_Flows[Flow_Name],Tab_Def_Flows[CC?],,0,)</f>
        <v>Yes</v>
      </c>
      <c r="G217" s="7">
        <v>2038</v>
      </c>
      <c r="H217" s="21">
        <v>10000</v>
      </c>
      <c r="I217" s="6" t="str">
        <f>'0_Configuration'!$C$4</f>
        <v>Mg</v>
      </c>
      <c r="J217" s="13"/>
      <c r="K217" s="13"/>
      <c r="L217" s="13"/>
      <c r="M217" s="13"/>
      <c r="N217" s="13"/>
      <c r="O217" s="7" t="s">
        <v>6</v>
      </c>
      <c r="P217" s="14"/>
      <c r="Q217" s="7"/>
      <c r="R217" s="6" t="str">
        <f>Tab_Data_Flows[[#This Row],[Flow_ID]]&amp;"_"&amp;"material_"&amp;Tab_Data_Flows[[#This Row],[Flow_Data_Year]]</f>
        <v>F_01_09_material_2038</v>
      </c>
      <c r="S217" s="12">
        <f t="shared" si="6"/>
        <v>10000</v>
      </c>
      <c r="T217" s="6" t="str">
        <f>Tab_Data_Flows[[#This Row],[UoM_Source]]</f>
        <v>Mg</v>
      </c>
      <c r="U217" s="139">
        <f>INDEX(Tab_Def_Flows[[Flow_ID]:[CC_DM_source]],MATCH(Tab_Data_Flows[[#This Row],[Flow_Name]],Tab_Def_Flows[Flow_Name],0),11)</f>
        <v>1</v>
      </c>
      <c r="V217" s="6" t="str">
        <f>Tab_Data_Flows[[#This Row],[Flow_ID]]&amp;"_"&amp;"WC_"&amp;Tab_Data_Flows[[#This Row],[Flow_Data_Year]]</f>
        <v>F_01_09_WC_2038</v>
      </c>
      <c r="W217" s="6">
        <f>IF(D217="Yes",S217*Tab_Data_Flows[[#This Row],[WC_'[%']]],"N.A.")</f>
        <v>10000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F_01_09_DM_2038</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F_01_09_CC_2038</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F_01_09</v>
      </c>
      <c r="C218" s="138" t="s">
        <v>1103</v>
      </c>
      <c r="D218" s="9" t="str">
        <f>_xlfn.XLOOKUP(C218,Tab_Def_Flows[Flow_Name],Tab_Def_Flows[WC?],,0,)</f>
        <v>Yes</v>
      </c>
      <c r="E218" s="9" t="str">
        <f>_xlfn.XLOOKUP(C218,Tab_Def_Flows[Flow_Name],Tab_Def_Flows[DM?],,0,)</f>
        <v>Yes</v>
      </c>
      <c r="F218" s="9" t="str">
        <f>_xlfn.XLOOKUP(C218,Tab_Def_Flows[Flow_Name],Tab_Def_Flows[CC?],,0,)</f>
        <v>Yes</v>
      </c>
      <c r="G218" s="7">
        <v>2039</v>
      </c>
      <c r="H218" s="21">
        <v>10000</v>
      </c>
      <c r="I218" s="6" t="str">
        <f>'0_Configuration'!$C$4</f>
        <v>Mg</v>
      </c>
      <c r="J218" s="13"/>
      <c r="K218" s="13"/>
      <c r="L218" s="13"/>
      <c r="M218" s="13"/>
      <c r="N218" s="13"/>
      <c r="O218" s="7" t="s">
        <v>6</v>
      </c>
      <c r="P218" s="14"/>
      <c r="Q218" s="7"/>
      <c r="R218" s="6" t="str">
        <f>Tab_Data_Flows[[#This Row],[Flow_ID]]&amp;"_"&amp;"material_"&amp;Tab_Data_Flows[[#This Row],[Flow_Data_Year]]</f>
        <v>F_01_09_material_2039</v>
      </c>
      <c r="S218" s="12">
        <f t="shared" si="6"/>
        <v>10000</v>
      </c>
      <c r="T218" s="6" t="str">
        <f>Tab_Data_Flows[[#This Row],[UoM_Source]]</f>
        <v>Mg</v>
      </c>
      <c r="U218" s="139">
        <f>INDEX(Tab_Def_Flows[[Flow_ID]:[CC_DM_source]],MATCH(Tab_Data_Flows[[#This Row],[Flow_Name]],Tab_Def_Flows[Flow_Name],0),11)</f>
        <v>1</v>
      </c>
      <c r="V218" s="6" t="str">
        <f>Tab_Data_Flows[[#This Row],[Flow_ID]]&amp;"_"&amp;"WC_"&amp;Tab_Data_Flows[[#This Row],[Flow_Data_Year]]</f>
        <v>F_01_09_WC_2039</v>
      </c>
      <c r="W218" s="6">
        <f>IF(D218="Yes",S218*Tab_Data_Flows[[#This Row],[WC_'[%']]],"N.A.")</f>
        <v>10000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F_01_09_DM_2039</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F_01_09_CC_2039</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F_01_09</v>
      </c>
      <c r="C219" s="138" t="s">
        <v>1103</v>
      </c>
      <c r="D219" s="9" t="str">
        <f>_xlfn.XLOOKUP(C219,Tab_Def_Flows[Flow_Name],Tab_Def_Flows[WC?],,0,)</f>
        <v>Yes</v>
      </c>
      <c r="E219" s="9" t="str">
        <f>_xlfn.XLOOKUP(C219,Tab_Def_Flows[Flow_Name],Tab_Def_Flows[DM?],,0,)</f>
        <v>Yes</v>
      </c>
      <c r="F219" s="9" t="str">
        <f>_xlfn.XLOOKUP(C219,Tab_Def_Flows[Flow_Name],Tab_Def_Flows[CC?],,0,)</f>
        <v>Yes</v>
      </c>
      <c r="G219" s="7">
        <v>2040</v>
      </c>
      <c r="H219" s="21">
        <v>10000</v>
      </c>
      <c r="I219" s="6" t="str">
        <f>'0_Configuration'!$C$4</f>
        <v>Mg</v>
      </c>
      <c r="J219" s="13"/>
      <c r="K219" s="13"/>
      <c r="L219" s="13"/>
      <c r="M219" s="13"/>
      <c r="N219" s="13"/>
      <c r="O219" s="7" t="s">
        <v>6</v>
      </c>
      <c r="P219" s="14"/>
      <c r="Q219" s="7"/>
      <c r="R219" s="6" t="str">
        <f>Tab_Data_Flows[[#This Row],[Flow_ID]]&amp;"_"&amp;"material_"&amp;Tab_Data_Flows[[#This Row],[Flow_Data_Year]]</f>
        <v>F_01_09_material_2040</v>
      </c>
      <c r="S219" s="12">
        <f t="shared" si="6"/>
        <v>10000</v>
      </c>
      <c r="T219" s="6" t="str">
        <f>Tab_Data_Flows[[#This Row],[UoM_Source]]</f>
        <v>Mg</v>
      </c>
      <c r="U219" s="139">
        <f>INDEX(Tab_Def_Flows[[Flow_ID]:[CC_DM_source]],MATCH(Tab_Data_Flows[[#This Row],[Flow_Name]],Tab_Def_Flows[Flow_Name],0),11)</f>
        <v>1</v>
      </c>
      <c r="V219" s="6" t="str">
        <f>Tab_Data_Flows[[#This Row],[Flow_ID]]&amp;"_"&amp;"WC_"&amp;Tab_Data_Flows[[#This Row],[Flow_Data_Year]]</f>
        <v>F_01_09_WC_2040</v>
      </c>
      <c r="W219" s="6">
        <f>IF(D219="Yes",S219*Tab_Data_Flows[[#This Row],[WC_'[%']]],"N.A.")</f>
        <v>10000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F_01_09_DM_2040</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F_01_09_CC_2040</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F_01_09</v>
      </c>
      <c r="C220" s="138" t="s">
        <v>1103</v>
      </c>
      <c r="D220" s="9" t="str">
        <f>_xlfn.XLOOKUP(C220,Tab_Def_Flows[Flow_Name],Tab_Def_Flows[WC?],,0,)</f>
        <v>Yes</v>
      </c>
      <c r="E220" s="9" t="str">
        <f>_xlfn.XLOOKUP(C220,Tab_Def_Flows[Flow_Name],Tab_Def_Flows[DM?],,0,)</f>
        <v>Yes</v>
      </c>
      <c r="F220" s="9" t="str">
        <f>_xlfn.XLOOKUP(C220,Tab_Def_Flows[Flow_Name],Tab_Def_Flows[CC?],,0,)</f>
        <v>Yes</v>
      </c>
      <c r="G220" s="7">
        <v>2041</v>
      </c>
      <c r="H220" s="21">
        <v>10000</v>
      </c>
      <c r="I220" s="6" t="str">
        <f>'0_Configuration'!$C$4</f>
        <v>Mg</v>
      </c>
      <c r="J220" s="13"/>
      <c r="K220" s="13"/>
      <c r="L220" s="13"/>
      <c r="M220" s="13"/>
      <c r="N220" s="13"/>
      <c r="O220" s="7" t="s">
        <v>6</v>
      </c>
      <c r="P220" s="14"/>
      <c r="Q220" s="7"/>
      <c r="R220" s="6" t="str">
        <f>Tab_Data_Flows[[#This Row],[Flow_ID]]&amp;"_"&amp;"material_"&amp;Tab_Data_Flows[[#This Row],[Flow_Data_Year]]</f>
        <v>F_01_09_material_2041</v>
      </c>
      <c r="S220" s="12">
        <f t="shared" si="6"/>
        <v>10000</v>
      </c>
      <c r="T220" s="6" t="str">
        <f>Tab_Data_Flows[[#This Row],[UoM_Source]]</f>
        <v>Mg</v>
      </c>
      <c r="U220" s="139">
        <f>INDEX(Tab_Def_Flows[[Flow_ID]:[CC_DM_source]],MATCH(Tab_Data_Flows[[#This Row],[Flow_Name]],Tab_Def_Flows[Flow_Name],0),11)</f>
        <v>1</v>
      </c>
      <c r="V220" s="6" t="str">
        <f>Tab_Data_Flows[[#This Row],[Flow_ID]]&amp;"_"&amp;"WC_"&amp;Tab_Data_Flows[[#This Row],[Flow_Data_Year]]</f>
        <v>F_01_09_WC_2041</v>
      </c>
      <c r="W220" s="6">
        <f>IF(D220="Yes",S220*Tab_Data_Flows[[#This Row],[WC_'[%']]],"N.A.")</f>
        <v>10000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F_01_09_DM_2041</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F_01_09_CC_2041</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F_01_09</v>
      </c>
      <c r="C221" s="138" t="s">
        <v>1103</v>
      </c>
      <c r="D221" s="9" t="str">
        <f>_xlfn.XLOOKUP(C221,Tab_Def_Flows[Flow_Name],Tab_Def_Flows[WC?],,0,)</f>
        <v>Yes</v>
      </c>
      <c r="E221" s="9" t="str">
        <f>_xlfn.XLOOKUP(C221,Tab_Def_Flows[Flow_Name],Tab_Def_Flows[DM?],,0,)</f>
        <v>Yes</v>
      </c>
      <c r="F221" s="9" t="str">
        <f>_xlfn.XLOOKUP(C221,Tab_Def_Flows[Flow_Name],Tab_Def_Flows[CC?],,0,)</f>
        <v>Yes</v>
      </c>
      <c r="G221" s="7">
        <v>2042</v>
      </c>
      <c r="H221" s="21">
        <v>10000</v>
      </c>
      <c r="I221" s="6" t="str">
        <f>'0_Configuration'!$C$4</f>
        <v>Mg</v>
      </c>
      <c r="J221" s="13"/>
      <c r="K221" s="13"/>
      <c r="L221" s="13"/>
      <c r="M221" s="13"/>
      <c r="N221" s="13"/>
      <c r="O221" s="7" t="s">
        <v>6</v>
      </c>
      <c r="P221" s="14"/>
      <c r="Q221" s="7"/>
      <c r="R221" s="6" t="str">
        <f>Tab_Data_Flows[[#This Row],[Flow_ID]]&amp;"_"&amp;"material_"&amp;Tab_Data_Flows[[#This Row],[Flow_Data_Year]]</f>
        <v>F_01_09_material_2042</v>
      </c>
      <c r="S221" s="12">
        <f t="shared" si="6"/>
        <v>10000</v>
      </c>
      <c r="T221" s="6" t="str">
        <f>Tab_Data_Flows[[#This Row],[UoM_Source]]</f>
        <v>Mg</v>
      </c>
      <c r="U221" s="139">
        <f>INDEX(Tab_Def_Flows[[Flow_ID]:[CC_DM_source]],MATCH(Tab_Data_Flows[[#This Row],[Flow_Name]],Tab_Def_Flows[Flow_Name],0),11)</f>
        <v>1</v>
      </c>
      <c r="V221" s="6" t="str">
        <f>Tab_Data_Flows[[#This Row],[Flow_ID]]&amp;"_"&amp;"WC_"&amp;Tab_Data_Flows[[#This Row],[Flow_Data_Year]]</f>
        <v>F_01_09_WC_2042</v>
      </c>
      <c r="W221" s="6">
        <f>IF(D221="Yes",S221*Tab_Data_Flows[[#This Row],[WC_'[%']]],"N.A.")</f>
        <v>10000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F_01_09_DM_2042</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F_01_09_CC_2042</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F_01_09</v>
      </c>
      <c r="C222" s="138" t="s">
        <v>1103</v>
      </c>
      <c r="D222" s="9" t="str">
        <f>_xlfn.XLOOKUP(C222,Tab_Def_Flows[Flow_Name],Tab_Def_Flows[WC?],,0,)</f>
        <v>Yes</v>
      </c>
      <c r="E222" s="9" t="str">
        <f>_xlfn.XLOOKUP(C222,Tab_Def_Flows[Flow_Name],Tab_Def_Flows[DM?],,0,)</f>
        <v>Yes</v>
      </c>
      <c r="F222" s="9" t="str">
        <f>_xlfn.XLOOKUP(C222,Tab_Def_Flows[Flow_Name],Tab_Def_Flows[CC?],,0,)</f>
        <v>Yes</v>
      </c>
      <c r="G222" s="7">
        <v>2043</v>
      </c>
      <c r="H222" s="21">
        <v>10000</v>
      </c>
      <c r="I222" s="6" t="str">
        <f>'0_Configuration'!$C$4</f>
        <v>Mg</v>
      </c>
      <c r="J222" s="13"/>
      <c r="K222" s="13"/>
      <c r="L222" s="13"/>
      <c r="M222" s="13"/>
      <c r="N222" s="13"/>
      <c r="O222" s="7" t="s">
        <v>6</v>
      </c>
      <c r="P222" s="14"/>
      <c r="Q222" s="7"/>
      <c r="R222" s="6" t="str">
        <f>Tab_Data_Flows[[#This Row],[Flow_ID]]&amp;"_"&amp;"material_"&amp;Tab_Data_Flows[[#This Row],[Flow_Data_Year]]</f>
        <v>F_01_09_material_2043</v>
      </c>
      <c r="S222" s="12">
        <f t="shared" si="6"/>
        <v>10000</v>
      </c>
      <c r="T222" s="6" t="str">
        <f>Tab_Data_Flows[[#This Row],[UoM_Source]]</f>
        <v>Mg</v>
      </c>
      <c r="U222" s="139">
        <f>INDEX(Tab_Def_Flows[[Flow_ID]:[CC_DM_source]],MATCH(Tab_Data_Flows[[#This Row],[Flow_Name]],Tab_Def_Flows[Flow_Name],0),11)</f>
        <v>1</v>
      </c>
      <c r="V222" s="6" t="str">
        <f>Tab_Data_Flows[[#This Row],[Flow_ID]]&amp;"_"&amp;"WC_"&amp;Tab_Data_Flows[[#This Row],[Flow_Data_Year]]</f>
        <v>F_01_09_WC_2043</v>
      </c>
      <c r="W222" s="6">
        <f>IF(D222="Yes",S222*Tab_Data_Flows[[#This Row],[WC_'[%']]],"N.A.")</f>
        <v>10000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F_01_09_DM_2043</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F_01_09_CC_2043</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F_01_09</v>
      </c>
      <c r="C223" s="138" t="s">
        <v>1103</v>
      </c>
      <c r="D223" s="9" t="str">
        <f>_xlfn.XLOOKUP(C223,Tab_Def_Flows[Flow_Name],Tab_Def_Flows[WC?],,0,)</f>
        <v>Yes</v>
      </c>
      <c r="E223" s="9" t="str">
        <f>_xlfn.XLOOKUP(C223,Tab_Def_Flows[Flow_Name],Tab_Def_Flows[DM?],,0,)</f>
        <v>Yes</v>
      </c>
      <c r="F223" s="9" t="str">
        <f>_xlfn.XLOOKUP(C223,Tab_Def_Flows[Flow_Name],Tab_Def_Flows[CC?],,0,)</f>
        <v>Yes</v>
      </c>
      <c r="G223" s="7">
        <v>2044</v>
      </c>
      <c r="H223" s="21">
        <v>10000</v>
      </c>
      <c r="I223" s="6" t="str">
        <f>'0_Configuration'!$C$4</f>
        <v>Mg</v>
      </c>
      <c r="J223" s="13"/>
      <c r="K223" s="13"/>
      <c r="L223" s="13"/>
      <c r="M223" s="13"/>
      <c r="N223" s="13"/>
      <c r="O223" s="7" t="s">
        <v>6</v>
      </c>
      <c r="P223" s="14"/>
      <c r="Q223" s="7"/>
      <c r="R223" s="6" t="str">
        <f>Tab_Data_Flows[[#This Row],[Flow_ID]]&amp;"_"&amp;"material_"&amp;Tab_Data_Flows[[#This Row],[Flow_Data_Year]]</f>
        <v>F_01_09_material_2044</v>
      </c>
      <c r="S223" s="12">
        <f t="shared" si="6"/>
        <v>10000</v>
      </c>
      <c r="T223" s="6" t="str">
        <f>Tab_Data_Flows[[#This Row],[UoM_Source]]</f>
        <v>Mg</v>
      </c>
      <c r="U223" s="139">
        <f>INDEX(Tab_Def_Flows[[Flow_ID]:[CC_DM_source]],MATCH(Tab_Data_Flows[[#This Row],[Flow_Name]],Tab_Def_Flows[Flow_Name],0),11)</f>
        <v>1</v>
      </c>
      <c r="V223" s="6" t="str">
        <f>Tab_Data_Flows[[#This Row],[Flow_ID]]&amp;"_"&amp;"WC_"&amp;Tab_Data_Flows[[#This Row],[Flow_Data_Year]]</f>
        <v>F_01_09_WC_2044</v>
      </c>
      <c r="W223" s="6">
        <f>IF(D223="Yes",S223*Tab_Data_Flows[[#This Row],[WC_'[%']]],"N.A.")</f>
        <v>10000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F_01_09_DM_2044</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F_01_09_CC_2044</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F_01_09</v>
      </c>
      <c r="C224" s="138" t="s">
        <v>1103</v>
      </c>
      <c r="D224" s="9" t="str">
        <f>_xlfn.XLOOKUP(C224,Tab_Def_Flows[Flow_Name],Tab_Def_Flows[WC?],,0,)</f>
        <v>Yes</v>
      </c>
      <c r="E224" s="9" t="str">
        <f>_xlfn.XLOOKUP(C224,Tab_Def_Flows[Flow_Name],Tab_Def_Flows[DM?],,0,)</f>
        <v>Yes</v>
      </c>
      <c r="F224" s="9" t="str">
        <f>_xlfn.XLOOKUP(C224,Tab_Def_Flows[Flow_Name],Tab_Def_Flows[CC?],,0,)</f>
        <v>Yes</v>
      </c>
      <c r="G224" s="7">
        <v>2045</v>
      </c>
      <c r="H224" s="21">
        <v>10000</v>
      </c>
      <c r="I224" s="6" t="str">
        <f>'0_Configuration'!$C$4</f>
        <v>Mg</v>
      </c>
      <c r="J224" s="13"/>
      <c r="K224" s="13"/>
      <c r="L224" s="13"/>
      <c r="M224" s="13"/>
      <c r="N224" s="13"/>
      <c r="O224" s="7" t="s">
        <v>6</v>
      </c>
      <c r="P224" s="14"/>
      <c r="Q224" s="7"/>
      <c r="R224" s="6" t="str">
        <f>Tab_Data_Flows[[#This Row],[Flow_ID]]&amp;"_"&amp;"material_"&amp;Tab_Data_Flows[[#This Row],[Flow_Data_Year]]</f>
        <v>F_01_09_material_2045</v>
      </c>
      <c r="S224" s="12">
        <f t="shared" si="6"/>
        <v>10000</v>
      </c>
      <c r="T224" s="6" t="str">
        <f>Tab_Data_Flows[[#This Row],[UoM_Source]]</f>
        <v>Mg</v>
      </c>
      <c r="U224" s="139">
        <f>INDEX(Tab_Def_Flows[[Flow_ID]:[CC_DM_source]],MATCH(Tab_Data_Flows[[#This Row],[Flow_Name]],Tab_Def_Flows[Flow_Name],0),11)</f>
        <v>1</v>
      </c>
      <c r="V224" s="6" t="str">
        <f>Tab_Data_Flows[[#This Row],[Flow_ID]]&amp;"_"&amp;"WC_"&amp;Tab_Data_Flows[[#This Row],[Flow_Data_Year]]</f>
        <v>F_01_09_WC_2045</v>
      </c>
      <c r="W224" s="6">
        <f>IF(D224="Yes",S224*Tab_Data_Flows[[#This Row],[WC_'[%']]],"N.A.")</f>
        <v>10000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F_01_09_DM_2045</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F_01_09_CC_2045</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F_01_09</v>
      </c>
      <c r="C225" s="138" t="s">
        <v>1103</v>
      </c>
      <c r="D225" s="9" t="str">
        <f>_xlfn.XLOOKUP(C225,Tab_Def_Flows[Flow_Name],Tab_Def_Flows[WC?],,0,)</f>
        <v>Yes</v>
      </c>
      <c r="E225" s="9" t="str">
        <f>_xlfn.XLOOKUP(C225,Tab_Def_Flows[Flow_Name],Tab_Def_Flows[DM?],,0,)</f>
        <v>Yes</v>
      </c>
      <c r="F225" s="9" t="str">
        <f>_xlfn.XLOOKUP(C225,Tab_Def_Flows[Flow_Name],Tab_Def_Flows[CC?],,0,)</f>
        <v>Yes</v>
      </c>
      <c r="G225" s="7">
        <v>2046</v>
      </c>
      <c r="H225" s="21">
        <v>10000</v>
      </c>
      <c r="I225" s="6" t="str">
        <f>'0_Configuration'!$C$4</f>
        <v>Mg</v>
      </c>
      <c r="J225" s="13"/>
      <c r="K225" s="13"/>
      <c r="L225" s="13"/>
      <c r="M225" s="13"/>
      <c r="N225" s="13"/>
      <c r="O225" s="7" t="s">
        <v>6</v>
      </c>
      <c r="P225" s="14"/>
      <c r="Q225" s="7"/>
      <c r="R225" s="6" t="str">
        <f>Tab_Data_Flows[[#This Row],[Flow_ID]]&amp;"_"&amp;"material_"&amp;Tab_Data_Flows[[#This Row],[Flow_Data_Year]]</f>
        <v>F_01_09_material_2046</v>
      </c>
      <c r="S225" s="12">
        <f t="shared" si="6"/>
        <v>10000</v>
      </c>
      <c r="T225" s="6" t="str">
        <f>Tab_Data_Flows[[#This Row],[UoM_Source]]</f>
        <v>Mg</v>
      </c>
      <c r="U225" s="139">
        <f>INDEX(Tab_Def_Flows[[Flow_ID]:[CC_DM_source]],MATCH(Tab_Data_Flows[[#This Row],[Flow_Name]],Tab_Def_Flows[Flow_Name],0),11)</f>
        <v>1</v>
      </c>
      <c r="V225" s="6" t="str">
        <f>Tab_Data_Flows[[#This Row],[Flow_ID]]&amp;"_"&amp;"WC_"&amp;Tab_Data_Flows[[#This Row],[Flow_Data_Year]]</f>
        <v>F_01_09_WC_2046</v>
      </c>
      <c r="W225" s="6">
        <f>IF(D225="Yes",S225*Tab_Data_Flows[[#This Row],[WC_'[%']]],"N.A.")</f>
        <v>10000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F_01_09_DM_2046</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F_01_09_CC_2046</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F_01_09</v>
      </c>
      <c r="C226" s="138" t="s">
        <v>1103</v>
      </c>
      <c r="D226" s="9" t="str">
        <f>_xlfn.XLOOKUP(C226,Tab_Def_Flows[Flow_Name],Tab_Def_Flows[WC?],,0,)</f>
        <v>Yes</v>
      </c>
      <c r="E226" s="9" t="str">
        <f>_xlfn.XLOOKUP(C226,Tab_Def_Flows[Flow_Name],Tab_Def_Flows[DM?],,0,)</f>
        <v>Yes</v>
      </c>
      <c r="F226" s="9" t="str">
        <f>_xlfn.XLOOKUP(C226,Tab_Def_Flows[Flow_Name],Tab_Def_Flows[CC?],,0,)</f>
        <v>Yes</v>
      </c>
      <c r="G226" s="7">
        <v>2047</v>
      </c>
      <c r="H226" s="21">
        <v>10000</v>
      </c>
      <c r="I226" s="6" t="str">
        <f>'0_Configuration'!$C$4</f>
        <v>Mg</v>
      </c>
      <c r="J226" s="13"/>
      <c r="K226" s="13"/>
      <c r="L226" s="13"/>
      <c r="M226" s="13"/>
      <c r="N226" s="13"/>
      <c r="O226" s="7" t="s">
        <v>6</v>
      </c>
      <c r="P226" s="14"/>
      <c r="Q226" s="7"/>
      <c r="R226" s="6" t="str">
        <f>Tab_Data_Flows[[#This Row],[Flow_ID]]&amp;"_"&amp;"material_"&amp;Tab_Data_Flows[[#This Row],[Flow_Data_Year]]</f>
        <v>F_01_09_material_2047</v>
      </c>
      <c r="S226" s="12">
        <f t="shared" si="6"/>
        <v>10000</v>
      </c>
      <c r="T226" s="6" t="str">
        <f>Tab_Data_Flows[[#This Row],[UoM_Source]]</f>
        <v>Mg</v>
      </c>
      <c r="U226" s="139">
        <f>INDEX(Tab_Def_Flows[[Flow_ID]:[CC_DM_source]],MATCH(Tab_Data_Flows[[#This Row],[Flow_Name]],Tab_Def_Flows[Flow_Name],0),11)</f>
        <v>1</v>
      </c>
      <c r="V226" s="6" t="str">
        <f>Tab_Data_Flows[[#This Row],[Flow_ID]]&amp;"_"&amp;"WC_"&amp;Tab_Data_Flows[[#This Row],[Flow_Data_Year]]</f>
        <v>F_01_09_WC_2047</v>
      </c>
      <c r="W226" s="6">
        <f>IF(D226="Yes",S226*Tab_Data_Flows[[#This Row],[WC_'[%']]],"N.A.")</f>
        <v>10000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F_01_09_DM_2047</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F_01_09_CC_2047</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F_01_09</v>
      </c>
      <c r="C227" s="138" t="s">
        <v>1103</v>
      </c>
      <c r="D227" s="9" t="str">
        <f>_xlfn.XLOOKUP(C227,Tab_Def_Flows[Flow_Name],Tab_Def_Flows[WC?],,0,)</f>
        <v>Yes</v>
      </c>
      <c r="E227" s="9" t="str">
        <f>_xlfn.XLOOKUP(C227,Tab_Def_Flows[Flow_Name],Tab_Def_Flows[DM?],,0,)</f>
        <v>Yes</v>
      </c>
      <c r="F227" s="9" t="str">
        <f>_xlfn.XLOOKUP(C227,Tab_Def_Flows[Flow_Name],Tab_Def_Flows[CC?],,0,)</f>
        <v>Yes</v>
      </c>
      <c r="G227" s="7">
        <v>2048</v>
      </c>
      <c r="H227" s="21">
        <v>10000</v>
      </c>
      <c r="I227" s="6" t="str">
        <f>'0_Configuration'!$C$4</f>
        <v>Mg</v>
      </c>
      <c r="J227" s="13"/>
      <c r="K227" s="13"/>
      <c r="L227" s="13"/>
      <c r="M227" s="13"/>
      <c r="N227" s="13"/>
      <c r="O227" s="7" t="s">
        <v>6</v>
      </c>
      <c r="P227" s="14"/>
      <c r="Q227" s="7"/>
      <c r="R227" s="6" t="str">
        <f>Tab_Data_Flows[[#This Row],[Flow_ID]]&amp;"_"&amp;"material_"&amp;Tab_Data_Flows[[#This Row],[Flow_Data_Year]]</f>
        <v>F_01_09_material_2048</v>
      </c>
      <c r="S227" s="12">
        <f t="shared" si="6"/>
        <v>10000</v>
      </c>
      <c r="T227" s="6" t="str">
        <f>Tab_Data_Flows[[#This Row],[UoM_Source]]</f>
        <v>Mg</v>
      </c>
      <c r="U227" s="139">
        <f>INDEX(Tab_Def_Flows[[Flow_ID]:[CC_DM_source]],MATCH(Tab_Data_Flows[[#This Row],[Flow_Name]],Tab_Def_Flows[Flow_Name],0),11)</f>
        <v>1</v>
      </c>
      <c r="V227" s="6" t="str">
        <f>Tab_Data_Flows[[#This Row],[Flow_ID]]&amp;"_"&amp;"WC_"&amp;Tab_Data_Flows[[#This Row],[Flow_Data_Year]]</f>
        <v>F_01_09_WC_2048</v>
      </c>
      <c r="W227" s="6">
        <f>IF(D227="Yes",S227*Tab_Data_Flows[[#This Row],[WC_'[%']]],"N.A.")</f>
        <v>10000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F_01_09_DM_2048</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F_01_09_CC_2048</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F_01_09</v>
      </c>
      <c r="C228" s="138" t="s">
        <v>1103</v>
      </c>
      <c r="D228" s="9" t="str">
        <f>_xlfn.XLOOKUP(C228,Tab_Def_Flows[Flow_Name],Tab_Def_Flows[WC?],,0,)</f>
        <v>Yes</v>
      </c>
      <c r="E228" s="9" t="str">
        <f>_xlfn.XLOOKUP(C228,Tab_Def_Flows[Flow_Name],Tab_Def_Flows[DM?],,0,)</f>
        <v>Yes</v>
      </c>
      <c r="F228" s="9" t="str">
        <f>_xlfn.XLOOKUP(C228,Tab_Def_Flows[Flow_Name],Tab_Def_Flows[CC?],,0,)</f>
        <v>Yes</v>
      </c>
      <c r="G228" s="7">
        <v>2049</v>
      </c>
      <c r="H228" s="21">
        <v>10000</v>
      </c>
      <c r="I228" s="6" t="str">
        <f>'0_Configuration'!$C$4</f>
        <v>Mg</v>
      </c>
      <c r="J228" s="13"/>
      <c r="K228" s="13"/>
      <c r="L228" s="13"/>
      <c r="M228" s="13"/>
      <c r="N228" s="13"/>
      <c r="O228" s="7" t="s">
        <v>6</v>
      </c>
      <c r="P228" s="14"/>
      <c r="Q228" s="7"/>
      <c r="R228" s="6" t="str">
        <f>Tab_Data_Flows[[#This Row],[Flow_ID]]&amp;"_"&amp;"material_"&amp;Tab_Data_Flows[[#This Row],[Flow_Data_Year]]</f>
        <v>F_01_09_material_2049</v>
      </c>
      <c r="S228" s="12">
        <f t="shared" si="6"/>
        <v>10000</v>
      </c>
      <c r="T228" s="6" t="str">
        <f>Tab_Data_Flows[[#This Row],[UoM_Source]]</f>
        <v>Mg</v>
      </c>
      <c r="U228" s="139">
        <f>INDEX(Tab_Def_Flows[[Flow_ID]:[CC_DM_source]],MATCH(Tab_Data_Flows[[#This Row],[Flow_Name]],Tab_Def_Flows[Flow_Name],0),11)</f>
        <v>1</v>
      </c>
      <c r="V228" s="6" t="str">
        <f>Tab_Data_Flows[[#This Row],[Flow_ID]]&amp;"_"&amp;"WC_"&amp;Tab_Data_Flows[[#This Row],[Flow_Data_Year]]</f>
        <v>F_01_09_WC_2049</v>
      </c>
      <c r="W228" s="6">
        <f>IF(D228="Yes",S228*Tab_Data_Flows[[#This Row],[WC_'[%']]],"N.A.")</f>
        <v>10000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F_01_09_DM_2049</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F_01_09_CC_2049</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F_01_09</v>
      </c>
      <c r="C229" s="138" t="s">
        <v>1103</v>
      </c>
      <c r="D229" s="9" t="str">
        <f>_xlfn.XLOOKUP(C229,Tab_Def_Flows[Flow_Name],Tab_Def_Flows[WC?],,0,)</f>
        <v>Yes</v>
      </c>
      <c r="E229" s="9" t="str">
        <f>_xlfn.XLOOKUP(C229,Tab_Def_Flows[Flow_Name],Tab_Def_Flows[DM?],,0,)</f>
        <v>Yes</v>
      </c>
      <c r="F229" s="9" t="str">
        <f>_xlfn.XLOOKUP(C229,Tab_Def_Flows[Flow_Name],Tab_Def_Flows[CC?],,0,)</f>
        <v>Yes</v>
      </c>
      <c r="G229" s="7">
        <v>2050</v>
      </c>
      <c r="H229" s="21">
        <v>10000</v>
      </c>
      <c r="I229" s="6" t="str">
        <f>'0_Configuration'!$C$4</f>
        <v>Mg</v>
      </c>
      <c r="J229" s="13"/>
      <c r="K229" s="13"/>
      <c r="L229" s="13"/>
      <c r="M229" s="13"/>
      <c r="N229" s="13"/>
      <c r="O229" s="7" t="s">
        <v>6</v>
      </c>
      <c r="P229" s="14"/>
      <c r="Q229" s="7"/>
      <c r="R229" s="6" t="str">
        <f>Tab_Data_Flows[[#This Row],[Flow_ID]]&amp;"_"&amp;"material_"&amp;Tab_Data_Flows[[#This Row],[Flow_Data_Year]]</f>
        <v>F_01_09_material_2050</v>
      </c>
      <c r="S229" s="12">
        <f t="shared" si="6"/>
        <v>10000</v>
      </c>
      <c r="T229" s="6" t="str">
        <f>Tab_Data_Flows[[#This Row],[UoM_Source]]</f>
        <v>Mg</v>
      </c>
      <c r="U229" s="139">
        <f>INDEX(Tab_Def_Flows[[Flow_ID]:[CC_DM_source]],MATCH(Tab_Data_Flows[[#This Row],[Flow_Name]],Tab_Def_Flows[Flow_Name],0),11)</f>
        <v>1</v>
      </c>
      <c r="V229" s="6" t="str">
        <f>Tab_Data_Flows[[#This Row],[Flow_ID]]&amp;"_"&amp;"WC_"&amp;Tab_Data_Flows[[#This Row],[Flow_Data_Year]]</f>
        <v>F_01_09_WC_2050</v>
      </c>
      <c r="W229" s="6">
        <f>IF(D229="Yes",S229*Tab_Data_Flows[[#This Row],[WC_'[%']]],"N.A.")</f>
        <v>10000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F_01_09_DM_2050</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F_01_09_CC_2050</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F_01_09</v>
      </c>
      <c r="C230" s="138" t="s">
        <v>1103</v>
      </c>
      <c r="D230" s="9" t="str">
        <f>_xlfn.XLOOKUP(C230,Tab_Def_Flows[Flow_Name],Tab_Def_Flows[WC?],,0,)</f>
        <v>Yes</v>
      </c>
      <c r="E230" s="9" t="str">
        <f>_xlfn.XLOOKUP(C230,Tab_Def_Flows[Flow_Name],Tab_Def_Flows[DM?],,0,)</f>
        <v>Yes</v>
      </c>
      <c r="F230" s="9" t="str">
        <f>_xlfn.XLOOKUP(C230,Tab_Def_Flows[Flow_Name],Tab_Def_Flows[CC?],,0,)</f>
        <v>Yes</v>
      </c>
      <c r="G230" s="7">
        <v>2051</v>
      </c>
      <c r="H230" s="21">
        <v>10000</v>
      </c>
      <c r="I230" s="6" t="str">
        <f>'0_Configuration'!$C$4</f>
        <v>Mg</v>
      </c>
      <c r="J230" s="13"/>
      <c r="K230" s="13"/>
      <c r="L230" s="13"/>
      <c r="M230" s="13"/>
      <c r="N230" s="13"/>
      <c r="O230" s="7" t="s">
        <v>6</v>
      </c>
      <c r="P230" s="14"/>
      <c r="Q230" s="7"/>
      <c r="R230" s="6" t="str">
        <f>Tab_Data_Flows[[#This Row],[Flow_ID]]&amp;"_"&amp;"material_"&amp;Tab_Data_Flows[[#This Row],[Flow_Data_Year]]</f>
        <v>F_01_09_material_2051</v>
      </c>
      <c r="S230" s="12">
        <f t="shared" si="6"/>
        <v>10000</v>
      </c>
      <c r="T230" s="6" t="str">
        <f>Tab_Data_Flows[[#This Row],[UoM_Source]]</f>
        <v>Mg</v>
      </c>
      <c r="U230" s="139">
        <f>INDEX(Tab_Def_Flows[[Flow_ID]:[CC_DM_source]],MATCH(Tab_Data_Flows[[#This Row],[Flow_Name]],Tab_Def_Flows[Flow_Name],0),11)</f>
        <v>1</v>
      </c>
      <c r="V230" s="6" t="str">
        <f>Tab_Data_Flows[[#This Row],[Flow_ID]]&amp;"_"&amp;"WC_"&amp;Tab_Data_Flows[[#This Row],[Flow_Data_Year]]</f>
        <v>F_01_09_WC_2051</v>
      </c>
      <c r="W230" s="6">
        <f>IF(D230="Yes",S230*Tab_Data_Flows[[#This Row],[WC_'[%']]],"N.A.")</f>
        <v>10000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F_01_09_DM_2051</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F_01_09_CC_2051</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F_01_09</v>
      </c>
      <c r="C231" s="138" t="s">
        <v>1103</v>
      </c>
      <c r="D231" s="9" t="str">
        <f>_xlfn.XLOOKUP(C231,Tab_Def_Flows[Flow_Name],Tab_Def_Flows[WC?],,0,)</f>
        <v>Yes</v>
      </c>
      <c r="E231" s="9" t="str">
        <f>_xlfn.XLOOKUP(C231,Tab_Def_Flows[Flow_Name],Tab_Def_Flows[DM?],,0,)</f>
        <v>Yes</v>
      </c>
      <c r="F231" s="9" t="str">
        <f>_xlfn.XLOOKUP(C231,Tab_Def_Flows[Flow_Name],Tab_Def_Flows[CC?],,0,)</f>
        <v>Yes</v>
      </c>
      <c r="G231" s="7">
        <v>2052</v>
      </c>
      <c r="H231" s="21">
        <v>10000</v>
      </c>
      <c r="I231" s="6" t="str">
        <f>'0_Configuration'!$C$4</f>
        <v>Mg</v>
      </c>
      <c r="J231" s="13"/>
      <c r="K231" s="13"/>
      <c r="L231" s="13"/>
      <c r="M231" s="13"/>
      <c r="N231" s="13"/>
      <c r="O231" s="7" t="s">
        <v>6</v>
      </c>
      <c r="P231" s="14"/>
      <c r="Q231" s="7"/>
      <c r="R231" s="6" t="str">
        <f>Tab_Data_Flows[[#This Row],[Flow_ID]]&amp;"_"&amp;"material_"&amp;Tab_Data_Flows[[#This Row],[Flow_Data_Year]]</f>
        <v>F_01_09_material_2052</v>
      </c>
      <c r="S231" s="12">
        <f t="shared" si="6"/>
        <v>10000</v>
      </c>
      <c r="T231" s="6" t="str">
        <f>Tab_Data_Flows[[#This Row],[UoM_Source]]</f>
        <v>Mg</v>
      </c>
      <c r="U231" s="139">
        <f>INDEX(Tab_Def_Flows[[Flow_ID]:[CC_DM_source]],MATCH(Tab_Data_Flows[[#This Row],[Flow_Name]],Tab_Def_Flows[Flow_Name],0),11)</f>
        <v>1</v>
      </c>
      <c r="V231" s="6" t="str">
        <f>Tab_Data_Flows[[#This Row],[Flow_ID]]&amp;"_"&amp;"WC_"&amp;Tab_Data_Flows[[#This Row],[Flow_Data_Year]]</f>
        <v>F_01_09_WC_2052</v>
      </c>
      <c r="W231" s="6">
        <f>IF(D231="Yes",S231*Tab_Data_Flows[[#This Row],[WC_'[%']]],"N.A.")</f>
        <v>10000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F_01_09_DM_2052</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F_01_09_CC_2052</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F_01_09</v>
      </c>
      <c r="C232" s="138" t="s">
        <v>1103</v>
      </c>
      <c r="D232" s="9" t="str">
        <f>_xlfn.XLOOKUP(C232,Tab_Def_Flows[Flow_Name],Tab_Def_Flows[WC?],,0,)</f>
        <v>Yes</v>
      </c>
      <c r="E232" s="9" t="str">
        <f>_xlfn.XLOOKUP(C232,Tab_Def_Flows[Flow_Name],Tab_Def_Flows[DM?],,0,)</f>
        <v>Yes</v>
      </c>
      <c r="F232" s="9" t="str">
        <f>_xlfn.XLOOKUP(C232,Tab_Def_Flows[Flow_Name],Tab_Def_Flows[CC?],,0,)</f>
        <v>Yes</v>
      </c>
      <c r="G232" s="7">
        <v>2053</v>
      </c>
      <c r="H232" s="21">
        <v>10000</v>
      </c>
      <c r="I232" s="6" t="str">
        <f>'0_Configuration'!$C$4</f>
        <v>Mg</v>
      </c>
      <c r="J232" s="13"/>
      <c r="K232" s="13"/>
      <c r="L232" s="13"/>
      <c r="M232" s="13"/>
      <c r="N232" s="13"/>
      <c r="O232" s="7" t="s">
        <v>6</v>
      </c>
      <c r="P232" s="14"/>
      <c r="Q232" s="7"/>
      <c r="R232" s="6" t="str">
        <f>Tab_Data_Flows[[#This Row],[Flow_ID]]&amp;"_"&amp;"material_"&amp;Tab_Data_Flows[[#This Row],[Flow_Data_Year]]</f>
        <v>F_01_09_material_2053</v>
      </c>
      <c r="S232" s="12">
        <f t="shared" si="6"/>
        <v>10000</v>
      </c>
      <c r="T232" s="6" t="str">
        <f>Tab_Data_Flows[[#This Row],[UoM_Source]]</f>
        <v>Mg</v>
      </c>
      <c r="U232" s="139">
        <f>INDEX(Tab_Def_Flows[[Flow_ID]:[CC_DM_source]],MATCH(Tab_Data_Flows[[#This Row],[Flow_Name]],Tab_Def_Flows[Flow_Name],0),11)</f>
        <v>1</v>
      </c>
      <c r="V232" s="6" t="str">
        <f>Tab_Data_Flows[[#This Row],[Flow_ID]]&amp;"_"&amp;"WC_"&amp;Tab_Data_Flows[[#This Row],[Flow_Data_Year]]</f>
        <v>F_01_09_WC_2053</v>
      </c>
      <c r="W232" s="6">
        <f>IF(D232="Yes",S232*Tab_Data_Flows[[#This Row],[WC_'[%']]],"N.A.")</f>
        <v>10000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F_01_09_DM_2053</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F_01_09_CC_2053</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F_01_09</v>
      </c>
      <c r="C233" s="138" t="s">
        <v>1103</v>
      </c>
      <c r="D233" s="9" t="str">
        <f>_xlfn.XLOOKUP(C233,Tab_Def_Flows[Flow_Name],Tab_Def_Flows[WC?],,0,)</f>
        <v>Yes</v>
      </c>
      <c r="E233" s="9" t="str">
        <f>_xlfn.XLOOKUP(C233,Tab_Def_Flows[Flow_Name],Tab_Def_Flows[DM?],,0,)</f>
        <v>Yes</v>
      </c>
      <c r="F233" s="9" t="str">
        <f>_xlfn.XLOOKUP(C233,Tab_Def_Flows[Flow_Name],Tab_Def_Flows[CC?],,0,)</f>
        <v>Yes</v>
      </c>
      <c r="G233" s="7">
        <v>2054</v>
      </c>
      <c r="H233" s="21">
        <v>10000</v>
      </c>
      <c r="I233" s="6" t="str">
        <f>'0_Configuration'!$C$4</f>
        <v>Mg</v>
      </c>
      <c r="J233" s="13"/>
      <c r="K233" s="13"/>
      <c r="L233" s="13"/>
      <c r="M233" s="13"/>
      <c r="N233" s="13"/>
      <c r="O233" s="7" t="s">
        <v>6</v>
      </c>
      <c r="P233" s="14"/>
      <c r="Q233" s="7"/>
      <c r="R233" s="6" t="str">
        <f>Tab_Data_Flows[[#This Row],[Flow_ID]]&amp;"_"&amp;"material_"&amp;Tab_Data_Flows[[#This Row],[Flow_Data_Year]]</f>
        <v>F_01_09_material_2054</v>
      </c>
      <c r="S233" s="12">
        <f t="shared" si="6"/>
        <v>10000</v>
      </c>
      <c r="T233" s="6" t="str">
        <f>Tab_Data_Flows[[#This Row],[UoM_Source]]</f>
        <v>Mg</v>
      </c>
      <c r="U233" s="139">
        <f>INDEX(Tab_Def_Flows[[Flow_ID]:[CC_DM_source]],MATCH(Tab_Data_Flows[[#This Row],[Flow_Name]],Tab_Def_Flows[Flow_Name],0),11)</f>
        <v>1</v>
      </c>
      <c r="V233" s="6" t="str">
        <f>Tab_Data_Flows[[#This Row],[Flow_ID]]&amp;"_"&amp;"WC_"&amp;Tab_Data_Flows[[#This Row],[Flow_Data_Year]]</f>
        <v>F_01_09_WC_2054</v>
      </c>
      <c r="W233" s="6">
        <f>IF(D233="Yes",S233*Tab_Data_Flows[[#This Row],[WC_'[%']]],"N.A.")</f>
        <v>10000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F_01_09_DM_2054</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F_01_09_CC_2054</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F_01_09</v>
      </c>
      <c r="C234" s="138" t="s">
        <v>1103</v>
      </c>
      <c r="D234" s="9" t="str">
        <f>_xlfn.XLOOKUP(C234,Tab_Def_Flows[Flow_Name],Tab_Def_Flows[WC?],,0,)</f>
        <v>Yes</v>
      </c>
      <c r="E234" s="9" t="str">
        <f>_xlfn.XLOOKUP(C234,Tab_Def_Flows[Flow_Name],Tab_Def_Flows[DM?],,0,)</f>
        <v>Yes</v>
      </c>
      <c r="F234" s="9" t="str">
        <f>_xlfn.XLOOKUP(C234,Tab_Def_Flows[Flow_Name],Tab_Def_Flows[CC?],,0,)</f>
        <v>Yes</v>
      </c>
      <c r="G234" s="7">
        <v>2055</v>
      </c>
      <c r="H234" s="21">
        <v>10000</v>
      </c>
      <c r="I234" s="6" t="str">
        <f>'0_Configuration'!$C$4</f>
        <v>Mg</v>
      </c>
      <c r="J234" s="13"/>
      <c r="K234" s="13"/>
      <c r="L234" s="13"/>
      <c r="M234" s="13"/>
      <c r="N234" s="13"/>
      <c r="O234" s="7" t="s">
        <v>6</v>
      </c>
      <c r="P234" s="14"/>
      <c r="Q234" s="7"/>
      <c r="R234" s="6" t="str">
        <f>Tab_Data_Flows[[#This Row],[Flow_ID]]&amp;"_"&amp;"material_"&amp;Tab_Data_Flows[[#This Row],[Flow_Data_Year]]</f>
        <v>F_01_09_material_2055</v>
      </c>
      <c r="S234" s="12">
        <f t="shared" si="6"/>
        <v>10000</v>
      </c>
      <c r="T234" s="6" t="str">
        <f>Tab_Data_Flows[[#This Row],[UoM_Source]]</f>
        <v>Mg</v>
      </c>
      <c r="U234" s="139">
        <f>INDEX(Tab_Def_Flows[[Flow_ID]:[CC_DM_source]],MATCH(Tab_Data_Flows[[#This Row],[Flow_Name]],Tab_Def_Flows[Flow_Name],0),11)</f>
        <v>1</v>
      </c>
      <c r="V234" s="6" t="str">
        <f>Tab_Data_Flows[[#This Row],[Flow_ID]]&amp;"_"&amp;"WC_"&amp;Tab_Data_Flows[[#This Row],[Flow_Data_Year]]</f>
        <v>F_01_09_WC_2055</v>
      </c>
      <c r="W234" s="6">
        <f>IF(D234="Yes",S234*Tab_Data_Flows[[#This Row],[WC_'[%']]],"N.A.")</f>
        <v>10000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F_01_09_DM_2055</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F_01_09_CC_2055</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F_01_09</v>
      </c>
      <c r="C235" s="138" t="s">
        <v>1103</v>
      </c>
      <c r="D235" s="9" t="str">
        <f>_xlfn.XLOOKUP(C235,Tab_Def_Flows[Flow_Name],Tab_Def_Flows[WC?],,0,)</f>
        <v>Yes</v>
      </c>
      <c r="E235" s="9" t="str">
        <f>_xlfn.XLOOKUP(C235,Tab_Def_Flows[Flow_Name],Tab_Def_Flows[DM?],,0,)</f>
        <v>Yes</v>
      </c>
      <c r="F235" s="9" t="str">
        <f>_xlfn.XLOOKUP(C235,Tab_Def_Flows[Flow_Name],Tab_Def_Flows[CC?],,0,)</f>
        <v>Yes</v>
      </c>
      <c r="G235" s="7">
        <v>2056</v>
      </c>
      <c r="H235" s="21">
        <v>10000</v>
      </c>
      <c r="I235" s="6" t="str">
        <f>'0_Configuration'!$C$4</f>
        <v>Mg</v>
      </c>
      <c r="J235" s="13"/>
      <c r="K235" s="13"/>
      <c r="L235" s="13"/>
      <c r="M235" s="13"/>
      <c r="N235" s="13"/>
      <c r="O235" s="7" t="s">
        <v>6</v>
      </c>
      <c r="P235" s="14"/>
      <c r="Q235" s="7"/>
      <c r="R235" s="6" t="str">
        <f>Tab_Data_Flows[[#This Row],[Flow_ID]]&amp;"_"&amp;"material_"&amp;Tab_Data_Flows[[#This Row],[Flow_Data_Year]]</f>
        <v>F_01_09_material_2056</v>
      </c>
      <c r="S235" s="12">
        <f t="shared" si="6"/>
        <v>10000</v>
      </c>
      <c r="T235" s="6" t="str">
        <f>Tab_Data_Flows[[#This Row],[UoM_Source]]</f>
        <v>Mg</v>
      </c>
      <c r="U235" s="139">
        <f>INDEX(Tab_Def_Flows[[Flow_ID]:[CC_DM_source]],MATCH(Tab_Data_Flows[[#This Row],[Flow_Name]],Tab_Def_Flows[Flow_Name],0),11)</f>
        <v>1</v>
      </c>
      <c r="V235" s="6" t="str">
        <f>Tab_Data_Flows[[#This Row],[Flow_ID]]&amp;"_"&amp;"WC_"&amp;Tab_Data_Flows[[#This Row],[Flow_Data_Year]]</f>
        <v>F_01_09_WC_2056</v>
      </c>
      <c r="W235" s="6">
        <f>IF(D235="Yes",S235*Tab_Data_Flows[[#This Row],[WC_'[%']]],"N.A.")</f>
        <v>10000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F_01_09_DM_2056</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F_01_09_CC_2056</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F_01_09</v>
      </c>
      <c r="C236" s="138" t="s">
        <v>1103</v>
      </c>
      <c r="D236" s="9" t="str">
        <f>_xlfn.XLOOKUP(C236,Tab_Def_Flows[Flow_Name],Tab_Def_Flows[WC?],,0,)</f>
        <v>Yes</v>
      </c>
      <c r="E236" s="9" t="str">
        <f>_xlfn.XLOOKUP(C236,Tab_Def_Flows[Flow_Name],Tab_Def_Flows[DM?],,0,)</f>
        <v>Yes</v>
      </c>
      <c r="F236" s="9" t="str">
        <f>_xlfn.XLOOKUP(C236,Tab_Def_Flows[Flow_Name],Tab_Def_Flows[CC?],,0,)</f>
        <v>Yes</v>
      </c>
      <c r="G236" s="7">
        <v>2057</v>
      </c>
      <c r="H236" s="21">
        <v>10000</v>
      </c>
      <c r="I236" s="6" t="str">
        <f>'0_Configuration'!$C$4</f>
        <v>Mg</v>
      </c>
      <c r="J236" s="13"/>
      <c r="K236" s="13"/>
      <c r="L236" s="13"/>
      <c r="M236" s="13"/>
      <c r="N236" s="13"/>
      <c r="O236" s="7" t="s">
        <v>6</v>
      </c>
      <c r="P236" s="14"/>
      <c r="Q236" s="7"/>
      <c r="R236" s="6" t="str">
        <f>Tab_Data_Flows[[#This Row],[Flow_ID]]&amp;"_"&amp;"material_"&amp;Tab_Data_Flows[[#This Row],[Flow_Data_Year]]</f>
        <v>F_01_09_material_2057</v>
      </c>
      <c r="S236" s="12">
        <f t="shared" si="6"/>
        <v>10000</v>
      </c>
      <c r="T236" s="6" t="str">
        <f>Tab_Data_Flows[[#This Row],[UoM_Source]]</f>
        <v>Mg</v>
      </c>
      <c r="U236" s="139">
        <f>INDEX(Tab_Def_Flows[[Flow_ID]:[CC_DM_source]],MATCH(Tab_Data_Flows[[#This Row],[Flow_Name]],Tab_Def_Flows[Flow_Name],0),11)</f>
        <v>1</v>
      </c>
      <c r="V236" s="6" t="str">
        <f>Tab_Data_Flows[[#This Row],[Flow_ID]]&amp;"_"&amp;"WC_"&amp;Tab_Data_Flows[[#This Row],[Flow_Data_Year]]</f>
        <v>F_01_09_WC_2057</v>
      </c>
      <c r="W236" s="6">
        <f>IF(D236="Yes",S236*Tab_Data_Flows[[#This Row],[WC_'[%']]],"N.A.")</f>
        <v>10000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F_01_09_DM_2057</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F_01_09_CC_2057</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F_01_09</v>
      </c>
      <c r="C237" s="138" t="s">
        <v>1103</v>
      </c>
      <c r="D237" s="9" t="str">
        <f>_xlfn.XLOOKUP(C237,Tab_Def_Flows[Flow_Name],Tab_Def_Flows[WC?],,0,)</f>
        <v>Yes</v>
      </c>
      <c r="E237" s="9" t="str">
        <f>_xlfn.XLOOKUP(C237,Tab_Def_Flows[Flow_Name],Tab_Def_Flows[DM?],,0,)</f>
        <v>Yes</v>
      </c>
      <c r="F237" s="9" t="str">
        <f>_xlfn.XLOOKUP(C237,Tab_Def_Flows[Flow_Name],Tab_Def_Flows[CC?],,0,)</f>
        <v>Yes</v>
      </c>
      <c r="G237" s="7">
        <v>2058</v>
      </c>
      <c r="H237" s="21">
        <v>10000</v>
      </c>
      <c r="I237" s="6" t="str">
        <f>'0_Configuration'!$C$4</f>
        <v>Mg</v>
      </c>
      <c r="J237" s="13"/>
      <c r="K237" s="13"/>
      <c r="L237" s="13"/>
      <c r="M237" s="13"/>
      <c r="N237" s="13"/>
      <c r="O237" s="7" t="s">
        <v>6</v>
      </c>
      <c r="P237" s="14"/>
      <c r="Q237" s="7"/>
      <c r="R237" s="6" t="str">
        <f>Tab_Data_Flows[[#This Row],[Flow_ID]]&amp;"_"&amp;"material_"&amp;Tab_Data_Flows[[#This Row],[Flow_Data_Year]]</f>
        <v>F_01_09_material_2058</v>
      </c>
      <c r="S237" s="12">
        <f t="shared" si="6"/>
        <v>10000</v>
      </c>
      <c r="T237" s="6" t="str">
        <f>Tab_Data_Flows[[#This Row],[UoM_Source]]</f>
        <v>Mg</v>
      </c>
      <c r="U237" s="139">
        <f>INDEX(Tab_Def_Flows[[Flow_ID]:[CC_DM_source]],MATCH(Tab_Data_Flows[[#This Row],[Flow_Name]],Tab_Def_Flows[Flow_Name],0),11)</f>
        <v>1</v>
      </c>
      <c r="V237" s="6" t="str">
        <f>Tab_Data_Flows[[#This Row],[Flow_ID]]&amp;"_"&amp;"WC_"&amp;Tab_Data_Flows[[#This Row],[Flow_Data_Year]]</f>
        <v>F_01_09_WC_2058</v>
      </c>
      <c r="W237" s="6">
        <f>IF(D237="Yes",S237*Tab_Data_Flows[[#This Row],[WC_'[%']]],"N.A.")</f>
        <v>10000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F_01_09_DM_2058</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F_01_09_CC_2058</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F_01_09</v>
      </c>
      <c r="C238" s="138" t="s">
        <v>1103</v>
      </c>
      <c r="D238" s="9" t="str">
        <f>_xlfn.XLOOKUP(C238,Tab_Def_Flows[Flow_Name],Tab_Def_Flows[WC?],,0,)</f>
        <v>Yes</v>
      </c>
      <c r="E238" s="9" t="str">
        <f>_xlfn.XLOOKUP(C238,Tab_Def_Flows[Flow_Name],Tab_Def_Flows[DM?],,0,)</f>
        <v>Yes</v>
      </c>
      <c r="F238" s="9" t="str">
        <f>_xlfn.XLOOKUP(C238,Tab_Def_Flows[Flow_Name],Tab_Def_Flows[CC?],,0,)</f>
        <v>Yes</v>
      </c>
      <c r="G238" s="7">
        <v>2059</v>
      </c>
      <c r="H238" s="21">
        <v>10000</v>
      </c>
      <c r="I238" s="6" t="str">
        <f>'0_Configuration'!$C$4</f>
        <v>Mg</v>
      </c>
      <c r="J238" s="13"/>
      <c r="K238" s="13"/>
      <c r="L238" s="13"/>
      <c r="M238" s="13"/>
      <c r="N238" s="13"/>
      <c r="O238" s="7" t="s">
        <v>6</v>
      </c>
      <c r="P238" s="14"/>
      <c r="Q238" s="7"/>
      <c r="R238" s="6" t="str">
        <f>Tab_Data_Flows[[#This Row],[Flow_ID]]&amp;"_"&amp;"material_"&amp;Tab_Data_Flows[[#This Row],[Flow_Data_Year]]</f>
        <v>F_01_09_material_2059</v>
      </c>
      <c r="S238" s="12">
        <f t="shared" si="6"/>
        <v>10000</v>
      </c>
      <c r="T238" s="6" t="str">
        <f>Tab_Data_Flows[[#This Row],[UoM_Source]]</f>
        <v>Mg</v>
      </c>
      <c r="U238" s="139">
        <f>INDEX(Tab_Def_Flows[[Flow_ID]:[CC_DM_source]],MATCH(Tab_Data_Flows[[#This Row],[Flow_Name]],Tab_Def_Flows[Flow_Name],0),11)</f>
        <v>1</v>
      </c>
      <c r="V238" s="6" t="str">
        <f>Tab_Data_Flows[[#This Row],[Flow_ID]]&amp;"_"&amp;"WC_"&amp;Tab_Data_Flows[[#This Row],[Flow_Data_Year]]</f>
        <v>F_01_09_WC_2059</v>
      </c>
      <c r="W238" s="6">
        <f>IF(D238="Yes",S238*Tab_Data_Flows[[#This Row],[WC_'[%']]],"N.A.")</f>
        <v>10000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F_01_09_DM_2059</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F_01_09_CC_2059</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F_01_09</v>
      </c>
      <c r="C239" s="138" t="s">
        <v>1103</v>
      </c>
      <c r="D239" s="9" t="str">
        <f>_xlfn.XLOOKUP(C239,Tab_Def_Flows[Flow_Name],Tab_Def_Flows[WC?],,0,)</f>
        <v>Yes</v>
      </c>
      <c r="E239" s="9" t="str">
        <f>_xlfn.XLOOKUP(C239,Tab_Def_Flows[Flow_Name],Tab_Def_Flows[DM?],,0,)</f>
        <v>Yes</v>
      </c>
      <c r="F239" s="9" t="str">
        <f>_xlfn.XLOOKUP(C239,Tab_Def_Flows[Flow_Name],Tab_Def_Flows[CC?],,0,)</f>
        <v>Yes</v>
      </c>
      <c r="G239" s="7">
        <v>2060</v>
      </c>
      <c r="H239" s="21">
        <v>10000</v>
      </c>
      <c r="I239" s="6" t="str">
        <f>'0_Configuration'!$C$4</f>
        <v>Mg</v>
      </c>
      <c r="J239" s="13"/>
      <c r="K239" s="13"/>
      <c r="L239" s="13"/>
      <c r="M239" s="13"/>
      <c r="N239" s="13"/>
      <c r="O239" s="7" t="s">
        <v>6</v>
      </c>
      <c r="P239" s="14"/>
      <c r="Q239" s="7"/>
      <c r="R239" s="6" t="str">
        <f>Tab_Data_Flows[[#This Row],[Flow_ID]]&amp;"_"&amp;"material_"&amp;Tab_Data_Flows[[#This Row],[Flow_Data_Year]]</f>
        <v>F_01_09_material_2060</v>
      </c>
      <c r="S239" s="12">
        <f t="shared" si="6"/>
        <v>10000</v>
      </c>
      <c r="T239" s="6" t="str">
        <f>Tab_Data_Flows[[#This Row],[UoM_Source]]</f>
        <v>Mg</v>
      </c>
      <c r="U239" s="139">
        <f>INDEX(Tab_Def_Flows[[Flow_ID]:[CC_DM_source]],MATCH(Tab_Data_Flows[[#This Row],[Flow_Name]],Tab_Def_Flows[Flow_Name],0),11)</f>
        <v>1</v>
      </c>
      <c r="V239" s="6" t="str">
        <f>Tab_Data_Flows[[#This Row],[Flow_ID]]&amp;"_"&amp;"WC_"&amp;Tab_Data_Flows[[#This Row],[Flow_Data_Year]]</f>
        <v>F_01_09_WC_2060</v>
      </c>
      <c r="W239" s="6">
        <f>IF(D239="Yes",S239*Tab_Data_Flows[[#This Row],[WC_'[%']]],"N.A.")</f>
        <v>10000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F_01_09_DM_2060</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F_01_09_CC_2060</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F_01_09</v>
      </c>
      <c r="C240" s="138" t="s">
        <v>1103</v>
      </c>
      <c r="D240" s="9" t="str">
        <f>_xlfn.XLOOKUP(C240,Tab_Def_Flows[Flow_Name],Tab_Def_Flows[WC?],,0,)</f>
        <v>Yes</v>
      </c>
      <c r="E240" s="9" t="str">
        <f>_xlfn.XLOOKUP(C240,Tab_Def_Flows[Flow_Name],Tab_Def_Flows[DM?],,0,)</f>
        <v>Yes</v>
      </c>
      <c r="F240" s="9" t="str">
        <f>_xlfn.XLOOKUP(C240,Tab_Def_Flows[Flow_Name],Tab_Def_Flows[CC?],,0,)</f>
        <v>Yes</v>
      </c>
      <c r="G240" s="7">
        <v>2061</v>
      </c>
      <c r="H240" s="21">
        <v>10000</v>
      </c>
      <c r="I240" s="6" t="str">
        <f>'0_Configuration'!$C$4</f>
        <v>Mg</v>
      </c>
      <c r="J240" s="13"/>
      <c r="K240" s="13"/>
      <c r="L240" s="13"/>
      <c r="M240" s="13"/>
      <c r="N240" s="13"/>
      <c r="O240" s="7" t="s">
        <v>6</v>
      </c>
      <c r="P240" s="14"/>
      <c r="Q240" s="7"/>
      <c r="R240" s="6" t="str">
        <f>Tab_Data_Flows[[#This Row],[Flow_ID]]&amp;"_"&amp;"material_"&amp;Tab_Data_Flows[[#This Row],[Flow_Data_Year]]</f>
        <v>F_01_09_material_2061</v>
      </c>
      <c r="S240" s="12">
        <f t="shared" si="6"/>
        <v>10000</v>
      </c>
      <c r="T240" s="6" t="str">
        <f>Tab_Data_Flows[[#This Row],[UoM_Source]]</f>
        <v>Mg</v>
      </c>
      <c r="U240" s="139">
        <f>INDEX(Tab_Def_Flows[[Flow_ID]:[CC_DM_source]],MATCH(Tab_Data_Flows[[#This Row],[Flow_Name]],Tab_Def_Flows[Flow_Name],0),11)</f>
        <v>1</v>
      </c>
      <c r="V240" s="6" t="str">
        <f>Tab_Data_Flows[[#This Row],[Flow_ID]]&amp;"_"&amp;"WC_"&amp;Tab_Data_Flows[[#This Row],[Flow_Data_Year]]</f>
        <v>F_01_09_WC_2061</v>
      </c>
      <c r="W240" s="6">
        <f>IF(D240="Yes",S240*Tab_Data_Flows[[#This Row],[WC_'[%']]],"N.A.")</f>
        <v>10000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F_01_09_DM_2061</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F_01_09_CC_2061</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F_01_09</v>
      </c>
      <c r="C241" s="138" t="s">
        <v>1103</v>
      </c>
      <c r="D241" s="9" t="str">
        <f>_xlfn.XLOOKUP(C241,Tab_Def_Flows[Flow_Name],Tab_Def_Flows[WC?],,0,)</f>
        <v>Yes</v>
      </c>
      <c r="E241" s="9" t="str">
        <f>_xlfn.XLOOKUP(C241,Tab_Def_Flows[Flow_Name],Tab_Def_Flows[DM?],,0,)</f>
        <v>Yes</v>
      </c>
      <c r="F241" s="9" t="str">
        <f>_xlfn.XLOOKUP(C241,Tab_Def_Flows[Flow_Name],Tab_Def_Flows[CC?],,0,)</f>
        <v>Yes</v>
      </c>
      <c r="G241" s="7">
        <v>2062</v>
      </c>
      <c r="H241" s="21">
        <v>10000</v>
      </c>
      <c r="I241" s="6" t="str">
        <f>'0_Configuration'!$C$4</f>
        <v>Mg</v>
      </c>
      <c r="J241" s="13"/>
      <c r="K241" s="13"/>
      <c r="L241" s="13"/>
      <c r="M241" s="13"/>
      <c r="N241" s="13"/>
      <c r="O241" s="7" t="s">
        <v>6</v>
      </c>
      <c r="P241" s="14"/>
      <c r="Q241" s="7"/>
      <c r="R241" s="6" t="str">
        <f>Tab_Data_Flows[[#This Row],[Flow_ID]]&amp;"_"&amp;"material_"&amp;Tab_Data_Flows[[#This Row],[Flow_Data_Year]]</f>
        <v>F_01_09_material_2062</v>
      </c>
      <c r="S241" s="12">
        <f t="shared" si="6"/>
        <v>10000</v>
      </c>
      <c r="T241" s="6" t="str">
        <f>Tab_Data_Flows[[#This Row],[UoM_Source]]</f>
        <v>Mg</v>
      </c>
      <c r="U241" s="139">
        <f>INDEX(Tab_Def_Flows[[Flow_ID]:[CC_DM_source]],MATCH(Tab_Data_Flows[[#This Row],[Flow_Name]],Tab_Def_Flows[Flow_Name],0),11)</f>
        <v>1</v>
      </c>
      <c r="V241" s="6" t="str">
        <f>Tab_Data_Flows[[#This Row],[Flow_ID]]&amp;"_"&amp;"WC_"&amp;Tab_Data_Flows[[#This Row],[Flow_Data_Year]]</f>
        <v>F_01_09_WC_2062</v>
      </c>
      <c r="W241" s="6">
        <f>IF(D241="Yes",S241*Tab_Data_Flows[[#This Row],[WC_'[%']]],"N.A.")</f>
        <v>10000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F_01_09_DM_2062</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F_01_09_CC_2062</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F_01_09</v>
      </c>
      <c r="C242" s="138" t="s">
        <v>1103</v>
      </c>
      <c r="D242" s="9" t="str">
        <f>_xlfn.XLOOKUP(C242,Tab_Def_Flows[Flow_Name],Tab_Def_Flows[WC?],,0,)</f>
        <v>Yes</v>
      </c>
      <c r="E242" s="9" t="str">
        <f>_xlfn.XLOOKUP(C242,Tab_Def_Flows[Flow_Name],Tab_Def_Flows[DM?],,0,)</f>
        <v>Yes</v>
      </c>
      <c r="F242" s="9" t="str">
        <f>_xlfn.XLOOKUP(C242,Tab_Def_Flows[Flow_Name],Tab_Def_Flows[CC?],,0,)</f>
        <v>Yes</v>
      </c>
      <c r="G242" s="7">
        <v>2063</v>
      </c>
      <c r="H242" s="21">
        <v>10000</v>
      </c>
      <c r="I242" s="6" t="str">
        <f>'0_Configuration'!$C$4</f>
        <v>Mg</v>
      </c>
      <c r="J242" s="13"/>
      <c r="K242" s="13"/>
      <c r="L242" s="13"/>
      <c r="M242" s="13"/>
      <c r="N242" s="13"/>
      <c r="O242" s="7" t="s">
        <v>6</v>
      </c>
      <c r="P242" s="14"/>
      <c r="Q242" s="7"/>
      <c r="R242" s="6" t="str">
        <f>Tab_Data_Flows[[#This Row],[Flow_ID]]&amp;"_"&amp;"material_"&amp;Tab_Data_Flows[[#This Row],[Flow_Data_Year]]</f>
        <v>F_01_09_material_2063</v>
      </c>
      <c r="S242" s="12">
        <f t="shared" si="6"/>
        <v>10000</v>
      </c>
      <c r="T242" s="6" t="str">
        <f>Tab_Data_Flows[[#This Row],[UoM_Source]]</f>
        <v>Mg</v>
      </c>
      <c r="U242" s="139">
        <f>INDEX(Tab_Def_Flows[[Flow_ID]:[CC_DM_source]],MATCH(Tab_Data_Flows[[#This Row],[Flow_Name]],Tab_Def_Flows[Flow_Name],0),11)</f>
        <v>1</v>
      </c>
      <c r="V242" s="6" t="str">
        <f>Tab_Data_Flows[[#This Row],[Flow_ID]]&amp;"_"&amp;"WC_"&amp;Tab_Data_Flows[[#This Row],[Flow_Data_Year]]</f>
        <v>F_01_09_WC_2063</v>
      </c>
      <c r="W242" s="6">
        <f>IF(D242="Yes",S242*Tab_Data_Flows[[#This Row],[WC_'[%']]],"N.A.")</f>
        <v>10000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F_01_09_DM_2063</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F_01_09_CC_2063</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F_01_09</v>
      </c>
      <c r="C243" s="138" t="s">
        <v>1103</v>
      </c>
      <c r="D243" s="9" t="str">
        <f>_xlfn.XLOOKUP(C243,Tab_Def_Flows[Flow_Name],Tab_Def_Flows[WC?],,0,)</f>
        <v>Yes</v>
      </c>
      <c r="E243" s="9" t="str">
        <f>_xlfn.XLOOKUP(C243,Tab_Def_Flows[Flow_Name],Tab_Def_Flows[DM?],,0,)</f>
        <v>Yes</v>
      </c>
      <c r="F243" s="9" t="str">
        <f>_xlfn.XLOOKUP(C243,Tab_Def_Flows[Flow_Name],Tab_Def_Flows[CC?],,0,)</f>
        <v>Yes</v>
      </c>
      <c r="G243" s="7">
        <v>2064</v>
      </c>
      <c r="H243" s="21">
        <v>10000</v>
      </c>
      <c r="I243" s="6" t="str">
        <f>'0_Configuration'!$C$4</f>
        <v>Mg</v>
      </c>
      <c r="J243" s="13"/>
      <c r="K243" s="13"/>
      <c r="L243" s="13"/>
      <c r="M243" s="13"/>
      <c r="N243" s="13"/>
      <c r="O243" s="7" t="s">
        <v>6</v>
      </c>
      <c r="P243" s="14"/>
      <c r="Q243" s="7"/>
      <c r="R243" s="6" t="str">
        <f>Tab_Data_Flows[[#This Row],[Flow_ID]]&amp;"_"&amp;"material_"&amp;Tab_Data_Flows[[#This Row],[Flow_Data_Year]]</f>
        <v>F_01_09_material_2064</v>
      </c>
      <c r="S243" s="12">
        <f t="shared" si="6"/>
        <v>10000</v>
      </c>
      <c r="T243" s="6" t="str">
        <f>Tab_Data_Flows[[#This Row],[UoM_Source]]</f>
        <v>Mg</v>
      </c>
      <c r="U243" s="139">
        <f>INDEX(Tab_Def_Flows[[Flow_ID]:[CC_DM_source]],MATCH(Tab_Data_Flows[[#This Row],[Flow_Name]],Tab_Def_Flows[Flow_Name],0),11)</f>
        <v>1</v>
      </c>
      <c r="V243" s="6" t="str">
        <f>Tab_Data_Flows[[#This Row],[Flow_ID]]&amp;"_"&amp;"WC_"&amp;Tab_Data_Flows[[#This Row],[Flow_Data_Year]]</f>
        <v>F_01_09_WC_2064</v>
      </c>
      <c r="W243" s="6">
        <f>IF(D243="Yes",S243*Tab_Data_Flows[[#This Row],[WC_'[%']]],"N.A.")</f>
        <v>10000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F_01_09_DM_2064</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F_01_09_CC_2064</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F_01_09</v>
      </c>
      <c r="C244" s="138" t="s">
        <v>1103</v>
      </c>
      <c r="D244" s="9" t="str">
        <f>_xlfn.XLOOKUP(C244,Tab_Def_Flows[Flow_Name],Tab_Def_Flows[WC?],,0,)</f>
        <v>Yes</v>
      </c>
      <c r="E244" s="9" t="str">
        <f>_xlfn.XLOOKUP(C244,Tab_Def_Flows[Flow_Name],Tab_Def_Flows[DM?],,0,)</f>
        <v>Yes</v>
      </c>
      <c r="F244" s="9" t="str">
        <f>_xlfn.XLOOKUP(C244,Tab_Def_Flows[Flow_Name],Tab_Def_Flows[CC?],,0,)</f>
        <v>Yes</v>
      </c>
      <c r="G244" s="7">
        <v>2065</v>
      </c>
      <c r="H244" s="21">
        <v>10000</v>
      </c>
      <c r="I244" s="6" t="str">
        <f>'0_Configuration'!$C$4</f>
        <v>Mg</v>
      </c>
      <c r="J244" s="13"/>
      <c r="K244" s="13"/>
      <c r="L244" s="13"/>
      <c r="M244" s="13"/>
      <c r="N244" s="13"/>
      <c r="O244" s="7" t="s">
        <v>6</v>
      </c>
      <c r="P244" s="14"/>
      <c r="Q244" s="7"/>
      <c r="R244" s="6" t="str">
        <f>Tab_Data_Flows[[#This Row],[Flow_ID]]&amp;"_"&amp;"material_"&amp;Tab_Data_Flows[[#This Row],[Flow_Data_Year]]</f>
        <v>F_01_09_material_2065</v>
      </c>
      <c r="S244" s="12">
        <f t="shared" si="6"/>
        <v>10000</v>
      </c>
      <c r="T244" s="6" t="str">
        <f>Tab_Data_Flows[[#This Row],[UoM_Source]]</f>
        <v>Mg</v>
      </c>
      <c r="U244" s="139">
        <f>INDEX(Tab_Def_Flows[[Flow_ID]:[CC_DM_source]],MATCH(Tab_Data_Flows[[#This Row],[Flow_Name]],Tab_Def_Flows[Flow_Name],0),11)</f>
        <v>1</v>
      </c>
      <c r="V244" s="6" t="str">
        <f>Tab_Data_Flows[[#This Row],[Flow_ID]]&amp;"_"&amp;"WC_"&amp;Tab_Data_Flows[[#This Row],[Flow_Data_Year]]</f>
        <v>F_01_09_WC_2065</v>
      </c>
      <c r="W244" s="6">
        <f>IF(D244="Yes",S244*Tab_Data_Flows[[#This Row],[WC_'[%']]],"N.A.")</f>
        <v>10000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F_01_09_DM_2065</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F_01_09_CC_2065</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F_01_09</v>
      </c>
      <c r="C245" s="138" t="s">
        <v>1103</v>
      </c>
      <c r="D245" s="9" t="str">
        <f>_xlfn.XLOOKUP(C245,Tab_Def_Flows[Flow_Name],Tab_Def_Flows[WC?],,0,)</f>
        <v>Yes</v>
      </c>
      <c r="E245" s="9" t="str">
        <f>_xlfn.XLOOKUP(C245,Tab_Def_Flows[Flow_Name],Tab_Def_Flows[DM?],,0,)</f>
        <v>Yes</v>
      </c>
      <c r="F245" s="9" t="str">
        <f>_xlfn.XLOOKUP(C245,Tab_Def_Flows[Flow_Name],Tab_Def_Flows[CC?],,0,)</f>
        <v>Yes</v>
      </c>
      <c r="G245" s="7">
        <v>2066</v>
      </c>
      <c r="H245" s="21">
        <v>10000</v>
      </c>
      <c r="I245" s="6" t="str">
        <f>'0_Configuration'!$C$4</f>
        <v>Mg</v>
      </c>
      <c r="J245" s="13"/>
      <c r="K245" s="13"/>
      <c r="L245" s="13"/>
      <c r="M245" s="13"/>
      <c r="N245" s="13"/>
      <c r="O245" s="7" t="s">
        <v>6</v>
      </c>
      <c r="P245" s="14"/>
      <c r="Q245" s="7"/>
      <c r="R245" s="6" t="str">
        <f>Tab_Data_Flows[[#This Row],[Flow_ID]]&amp;"_"&amp;"material_"&amp;Tab_Data_Flows[[#This Row],[Flow_Data_Year]]</f>
        <v>F_01_09_material_2066</v>
      </c>
      <c r="S245" s="12">
        <f t="shared" si="6"/>
        <v>10000</v>
      </c>
      <c r="T245" s="6" t="str">
        <f>Tab_Data_Flows[[#This Row],[UoM_Source]]</f>
        <v>Mg</v>
      </c>
      <c r="U245" s="139">
        <f>INDEX(Tab_Def_Flows[[Flow_ID]:[CC_DM_source]],MATCH(Tab_Data_Flows[[#This Row],[Flow_Name]],Tab_Def_Flows[Flow_Name],0),11)</f>
        <v>1</v>
      </c>
      <c r="V245" s="6" t="str">
        <f>Tab_Data_Flows[[#This Row],[Flow_ID]]&amp;"_"&amp;"WC_"&amp;Tab_Data_Flows[[#This Row],[Flow_Data_Year]]</f>
        <v>F_01_09_WC_2066</v>
      </c>
      <c r="W245" s="6">
        <f>IF(D245="Yes",S245*Tab_Data_Flows[[#This Row],[WC_'[%']]],"N.A.")</f>
        <v>10000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F_01_09_DM_2066</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F_01_09_CC_2066</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F_01_09</v>
      </c>
      <c r="C246" s="138" t="s">
        <v>1103</v>
      </c>
      <c r="D246" s="9" t="str">
        <f>_xlfn.XLOOKUP(C246,Tab_Def_Flows[Flow_Name],Tab_Def_Flows[WC?],,0,)</f>
        <v>Yes</v>
      </c>
      <c r="E246" s="9" t="str">
        <f>_xlfn.XLOOKUP(C246,Tab_Def_Flows[Flow_Name],Tab_Def_Flows[DM?],,0,)</f>
        <v>Yes</v>
      </c>
      <c r="F246" s="9" t="str">
        <f>_xlfn.XLOOKUP(C246,Tab_Def_Flows[Flow_Name],Tab_Def_Flows[CC?],,0,)</f>
        <v>Yes</v>
      </c>
      <c r="G246" s="7">
        <v>2067</v>
      </c>
      <c r="H246" s="21">
        <v>10000</v>
      </c>
      <c r="I246" s="6" t="str">
        <f>'0_Configuration'!$C$4</f>
        <v>Mg</v>
      </c>
      <c r="J246" s="13"/>
      <c r="K246" s="13"/>
      <c r="L246" s="13"/>
      <c r="M246" s="13"/>
      <c r="N246" s="13"/>
      <c r="O246" s="7" t="s">
        <v>6</v>
      </c>
      <c r="P246" s="14"/>
      <c r="Q246" s="7"/>
      <c r="R246" s="6" t="str">
        <f>Tab_Data_Flows[[#This Row],[Flow_ID]]&amp;"_"&amp;"material_"&amp;Tab_Data_Flows[[#This Row],[Flow_Data_Year]]</f>
        <v>F_01_09_material_2067</v>
      </c>
      <c r="S246" s="12">
        <f t="shared" si="6"/>
        <v>10000</v>
      </c>
      <c r="T246" s="6" t="str">
        <f>Tab_Data_Flows[[#This Row],[UoM_Source]]</f>
        <v>Mg</v>
      </c>
      <c r="U246" s="139">
        <f>INDEX(Tab_Def_Flows[[Flow_ID]:[CC_DM_source]],MATCH(Tab_Data_Flows[[#This Row],[Flow_Name]],Tab_Def_Flows[Flow_Name],0),11)</f>
        <v>1</v>
      </c>
      <c r="V246" s="6" t="str">
        <f>Tab_Data_Flows[[#This Row],[Flow_ID]]&amp;"_"&amp;"WC_"&amp;Tab_Data_Flows[[#This Row],[Flow_Data_Year]]</f>
        <v>F_01_09_WC_2067</v>
      </c>
      <c r="W246" s="6">
        <f>IF(D246="Yes",S246*Tab_Data_Flows[[#This Row],[WC_'[%']]],"N.A.")</f>
        <v>10000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F_01_09_DM_2067</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F_01_09_CC_2067</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F_01_09</v>
      </c>
      <c r="C247" s="138" t="s">
        <v>1103</v>
      </c>
      <c r="D247" s="9" t="str">
        <f>_xlfn.XLOOKUP(C247,Tab_Def_Flows[Flow_Name],Tab_Def_Flows[WC?],,0,)</f>
        <v>Yes</v>
      </c>
      <c r="E247" s="9" t="str">
        <f>_xlfn.XLOOKUP(C247,Tab_Def_Flows[Flow_Name],Tab_Def_Flows[DM?],,0,)</f>
        <v>Yes</v>
      </c>
      <c r="F247" s="9" t="str">
        <f>_xlfn.XLOOKUP(C247,Tab_Def_Flows[Flow_Name],Tab_Def_Flows[CC?],,0,)</f>
        <v>Yes</v>
      </c>
      <c r="G247" s="7">
        <v>2068</v>
      </c>
      <c r="H247" s="21">
        <v>10000</v>
      </c>
      <c r="I247" s="6" t="str">
        <f>'0_Configuration'!$C$4</f>
        <v>Mg</v>
      </c>
      <c r="J247" s="13"/>
      <c r="K247" s="13"/>
      <c r="L247" s="13"/>
      <c r="M247" s="13"/>
      <c r="N247" s="13"/>
      <c r="O247" s="7" t="s">
        <v>6</v>
      </c>
      <c r="P247" s="14"/>
      <c r="Q247" s="7"/>
      <c r="R247" s="6" t="str">
        <f>Tab_Data_Flows[[#This Row],[Flow_ID]]&amp;"_"&amp;"material_"&amp;Tab_Data_Flows[[#This Row],[Flow_Data_Year]]</f>
        <v>F_01_09_material_2068</v>
      </c>
      <c r="S247" s="12">
        <f t="shared" si="6"/>
        <v>10000</v>
      </c>
      <c r="T247" s="6" t="str">
        <f>Tab_Data_Flows[[#This Row],[UoM_Source]]</f>
        <v>Mg</v>
      </c>
      <c r="U247" s="139">
        <f>INDEX(Tab_Def_Flows[[Flow_ID]:[CC_DM_source]],MATCH(Tab_Data_Flows[[#This Row],[Flow_Name]],Tab_Def_Flows[Flow_Name],0),11)</f>
        <v>1</v>
      </c>
      <c r="V247" s="6" t="str">
        <f>Tab_Data_Flows[[#This Row],[Flow_ID]]&amp;"_"&amp;"WC_"&amp;Tab_Data_Flows[[#This Row],[Flow_Data_Year]]</f>
        <v>F_01_09_WC_2068</v>
      </c>
      <c r="W247" s="6">
        <f>IF(D247="Yes",S247*Tab_Data_Flows[[#This Row],[WC_'[%']]],"N.A.")</f>
        <v>10000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F_01_09_DM_2068</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F_01_09_CC_2068</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F_01_09</v>
      </c>
      <c r="C248" s="138" t="s">
        <v>1103</v>
      </c>
      <c r="D248" s="9" t="str">
        <f>_xlfn.XLOOKUP(C248,Tab_Def_Flows[Flow_Name],Tab_Def_Flows[WC?],,0,)</f>
        <v>Yes</v>
      </c>
      <c r="E248" s="9" t="str">
        <f>_xlfn.XLOOKUP(C248,Tab_Def_Flows[Flow_Name],Tab_Def_Flows[DM?],,0,)</f>
        <v>Yes</v>
      </c>
      <c r="F248" s="9" t="str">
        <f>_xlfn.XLOOKUP(C248,Tab_Def_Flows[Flow_Name],Tab_Def_Flows[CC?],,0,)</f>
        <v>Yes</v>
      </c>
      <c r="G248" s="7">
        <v>2069</v>
      </c>
      <c r="H248" s="21">
        <v>10000</v>
      </c>
      <c r="I248" s="6" t="str">
        <f>'0_Configuration'!$C$4</f>
        <v>Mg</v>
      </c>
      <c r="J248" s="13"/>
      <c r="K248" s="13"/>
      <c r="L248" s="13"/>
      <c r="M248" s="13"/>
      <c r="N248" s="13"/>
      <c r="O248" s="7" t="s">
        <v>6</v>
      </c>
      <c r="P248" s="14"/>
      <c r="Q248" s="7"/>
      <c r="R248" s="6" t="str">
        <f>Tab_Data_Flows[[#This Row],[Flow_ID]]&amp;"_"&amp;"material_"&amp;Tab_Data_Flows[[#This Row],[Flow_Data_Year]]</f>
        <v>F_01_09_material_2069</v>
      </c>
      <c r="S248" s="12">
        <f t="shared" si="6"/>
        <v>10000</v>
      </c>
      <c r="T248" s="6" t="str">
        <f>Tab_Data_Flows[[#This Row],[UoM_Source]]</f>
        <v>Mg</v>
      </c>
      <c r="U248" s="139">
        <f>INDEX(Tab_Def_Flows[[Flow_ID]:[CC_DM_source]],MATCH(Tab_Data_Flows[[#This Row],[Flow_Name]],Tab_Def_Flows[Flow_Name],0),11)</f>
        <v>1</v>
      </c>
      <c r="V248" s="6" t="str">
        <f>Tab_Data_Flows[[#This Row],[Flow_ID]]&amp;"_"&amp;"WC_"&amp;Tab_Data_Flows[[#This Row],[Flow_Data_Year]]</f>
        <v>F_01_09_WC_2069</v>
      </c>
      <c r="W248" s="6">
        <f>IF(D248="Yes",S248*Tab_Data_Flows[[#This Row],[WC_'[%']]],"N.A.")</f>
        <v>10000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F_01_09_DM_2069</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F_01_09_CC_2069</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F_01_09</v>
      </c>
      <c r="C249" s="138" t="s">
        <v>1103</v>
      </c>
      <c r="D249" s="9" t="str">
        <f>_xlfn.XLOOKUP(C249,Tab_Def_Flows[Flow_Name],Tab_Def_Flows[WC?],,0,)</f>
        <v>Yes</v>
      </c>
      <c r="E249" s="9" t="str">
        <f>_xlfn.XLOOKUP(C249,Tab_Def_Flows[Flow_Name],Tab_Def_Flows[DM?],,0,)</f>
        <v>Yes</v>
      </c>
      <c r="F249" s="9" t="str">
        <f>_xlfn.XLOOKUP(C249,Tab_Def_Flows[Flow_Name],Tab_Def_Flows[CC?],,0,)</f>
        <v>Yes</v>
      </c>
      <c r="G249" s="7">
        <v>2070</v>
      </c>
      <c r="H249" s="21">
        <v>10000</v>
      </c>
      <c r="I249" s="6" t="str">
        <f>'0_Configuration'!$C$4</f>
        <v>Mg</v>
      </c>
      <c r="J249" s="13"/>
      <c r="K249" s="13"/>
      <c r="L249" s="13"/>
      <c r="M249" s="13"/>
      <c r="N249" s="13"/>
      <c r="O249" s="7" t="s">
        <v>6</v>
      </c>
      <c r="P249" s="14"/>
      <c r="Q249" s="7"/>
      <c r="R249" s="6" t="str">
        <f>Tab_Data_Flows[[#This Row],[Flow_ID]]&amp;"_"&amp;"material_"&amp;Tab_Data_Flows[[#This Row],[Flow_Data_Year]]</f>
        <v>F_01_09_material_2070</v>
      </c>
      <c r="S249" s="12">
        <f t="shared" si="6"/>
        <v>10000</v>
      </c>
      <c r="T249" s="6" t="str">
        <f>Tab_Data_Flows[[#This Row],[UoM_Source]]</f>
        <v>Mg</v>
      </c>
      <c r="U249" s="139">
        <f>INDEX(Tab_Def_Flows[[Flow_ID]:[CC_DM_source]],MATCH(Tab_Data_Flows[[#This Row],[Flow_Name]],Tab_Def_Flows[Flow_Name],0),11)</f>
        <v>1</v>
      </c>
      <c r="V249" s="6" t="str">
        <f>Tab_Data_Flows[[#This Row],[Flow_ID]]&amp;"_"&amp;"WC_"&amp;Tab_Data_Flows[[#This Row],[Flow_Data_Year]]</f>
        <v>F_01_09_WC_2070</v>
      </c>
      <c r="W249" s="6">
        <f>IF(D249="Yes",S249*Tab_Data_Flows[[#This Row],[WC_'[%']]],"N.A.")</f>
        <v>10000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F_01_09_DM_2070</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F_01_09_CC_2070</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F_01_09</v>
      </c>
      <c r="C250" s="138" t="s">
        <v>1103</v>
      </c>
      <c r="D250" s="9" t="str">
        <f>_xlfn.XLOOKUP(C250,Tab_Def_Flows[Flow_Name],Tab_Def_Flows[WC?],,0,)</f>
        <v>Yes</v>
      </c>
      <c r="E250" s="9" t="str">
        <f>_xlfn.XLOOKUP(C250,Tab_Def_Flows[Flow_Name],Tab_Def_Flows[DM?],,0,)</f>
        <v>Yes</v>
      </c>
      <c r="F250" s="9" t="str">
        <f>_xlfn.XLOOKUP(C250,Tab_Def_Flows[Flow_Name],Tab_Def_Flows[CC?],,0,)</f>
        <v>Yes</v>
      </c>
      <c r="G250" s="7">
        <v>2071</v>
      </c>
      <c r="H250" s="21">
        <v>10000</v>
      </c>
      <c r="I250" s="6" t="str">
        <f>'0_Configuration'!$C$4</f>
        <v>Mg</v>
      </c>
      <c r="J250" s="13"/>
      <c r="K250" s="13"/>
      <c r="L250" s="13"/>
      <c r="M250" s="13"/>
      <c r="N250" s="13"/>
      <c r="O250" s="7" t="s">
        <v>6</v>
      </c>
      <c r="P250" s="14"/>
      <c r="Q250" s="7"/>
      <c r="R250" s="6" t="str">
        <f>Tab_Data_Flows[[#This Row],[Flow_ID]]&amp;"_"&amp;"material_"&amp;Tab_Data_Flows[[#This Row],[Flow_Data_Year]]</f>
        <v>F_01_09_material_2071</v>
      </c>
      <c r="S250" s="12">
        <f t="shared" si="6"/>
        <v>10000</v>
      </c>
      <c r="T250" s="6" t="str">
        <f>Tab_Data_Flows[[#This Row],[UoM_Source]]</f>
        <v>Mg</v>
      </c>
      <c r="U250" s="139">
        <f>INDEX(Tab_Def_Flows[[Flow_ID]:[CC_DM_source]],MATCH(Tab_Data_Flows[[#This Row],[Flow_Name]],Tab_Def_Flows[Flow_Name],0),11)</f>
        <v>1</v>
      </c>
      <c r="V250" s="6" t="str">
        <f>Tab_Data_Flows[[#This Row],[Flow_ID]]&amp;"_"&amp;"WC_"&amp;Tab_Data_Flows[[#This Row],[Flow_Data_Year]]</f>
        <v>F_01_09_WC_2071</v>
      </c>
      <c r="W250" s="6">
        <f>IF(D250="Yes",S250*Tab_Data_Flows[[#This Row],[WC_'[%']]],"N.A.")</f>
        <v>10000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F_01_09_DM_2071</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F_01_09_CC_2071</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F_01_09</v>
      </c>
      <c r="C251" s="138" t="s">
        <v>1103</v>
      </c>
      <c r="D251" s="9" t="str">
        <f>_xlfn.XLOOKUP(C251,Tab_Def_Flows[Flow_Name],Tab_Def_Flows[WC?],,0,)</f>
        <v>Yes</v>
      </c>
      <c r="E251" s="9" t="str">
        <f>_xlfn.XLOOKUP(C251,Tab_Def_Flows[Flow_Name],Tab_Def_Flows[DM?],,0,)</f>
        <v>Yes</v>
      </c>
      <c r="F251" s="9" t="str">
        <f>_xlfn.XLOOKUP(C251,Tab_Def_Flows[Flow_Name],Tab_Def_Flows[CC?],,0,)</f>
        <v>Yes</v>
      </c>
      <c r="G251" s="7">
        <v>2072</v>
      </c>
      <c r="H251" s="21">
        <v>10000</v>
      </c>
      <c r="I251" s="6" t="str">
        <f>'0_Configuration'!$C$4</f>
        <v>Mg</v>
      </c>
      <c r="J251" s="13"/>
      <c r="K251" s="13"/>
      <c r="L251" s="13"/>
      <c r="M251" s="13"/>
      <c r="N251" s="13"/>
      <c r="O251" s="7" t="s">
        <v>6</v>
      </c>
      <c r="P251" s="14"/>
      <c r="Q251" s="7"/>
      <c r="R251" s="6" t="str">
        <f>Tab_Data_Flows[[#This Row],[Flow_ID]]&amp;"_"&amp;"material_"&amp;Tab_Data_Flows[[#This Row],[Flow_Data_Year]]</f>
        <v>F_01_09_material_2072</v>
      </c>
      <c r="S251" s="12">
        <f t="shared" si="6"/>
        <v>10000</v>
      </c>
      <c r="T251" s="6" t="str">
        <f>Tab_Data_Flows[[#This Row],[UoM_Source]]</f>
        <v>Mg</v>
      </c>
      <c r="U251" s="139">
        <f>INDEX(Tab_Def_Flows[[Flow_ID]:[CC_DM_source]],MATCH(Tab_Data_Flows[[#This Row],[Flow_Name]],Tab_Def_Flows[Flow_Name],0),11)</f>
        <v>1</v>
      </c>
      <c r="V251" s="6" t="str">
        <f>Tab_Data_Flows[[#This Row],[Flow_ID]]&amp;"_"&amp;"WC_"&amp;Tab_Data_Flows[[#This Row],[Flow_Data_Year]]</f>
        <v>F_01_09_WC_2072</v>
      </c>
      <c r="W251" s="6">
        <f>IF(D251="Yes",S251*Tab_Data_Flows[[#This Row],[WC_'[%']]],"N.A.")</f>
        <v>10000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F_01_09_DM_2072</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F_01_09_CC_2072</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F_01_09</v>
      </c>
      <c r="C252" s="138" t="s">
        <v>1103</v>
      </c>
      <c r="D252" s="9" t="str">
        <f>_xlfn.XLOOKUP(C252,Tab_Def_Flows[Flow_Name],Tab_Def_Flows[WC?],,0,)</f>
        <v>Yes</v>
      </c>
      <c r="E252" s="9" t="str">
        <f>_xlfn.XLOOKUP(C252,Tab_Def_Flows[Flow_Name],Tab_Def_Flows[DM?],,0,)</f>
        <v>Yes</v>
      </c>
      <c r="F252" s="9" t="str">
        <f>_xlfn.XLOOKUP(C252,Tab_Def_Flows[Flow_Name],Tab_Def_Flows[CC?],,0,)</f>
        <v>Yes</v>
      </c>
      <c r="G252" s="7">
        <v>2073</v>
      </c>
      <c r="H252" s="21">
        <v>10000</v>
      </c>
      <c r="I252" s="6" t="str">
        <f>'0_Configuration'!$C$4</f>
        <v>Mg</v>
      </c>
      <c r="J252" s="13"/>
      <c r="K252" s="13"/>
      <c r="L252" s="13"/>
      <c r="M252" s="13"/>
      <c r="N252" s="13"/>
      <c r="O252" s="7" t="s">
        <v>6</v>
      </c>
      <c r="P252" s="14"/>
      <c r="Q252" s="7"/>
      <c r="R252" s="6" t="str">
        <f>Tab_Data_Flows[[#This Row],[Flow_ID]]&amp;"_"&amp;"material_"&amp;Tab_Data_Flows[[#This Row],[Flow_Data_Year]]</f>
        <v>F_01_09_material_2073</v>
      </c>
      <c r="S252" s="12">
        <f t="shared" si="6"/>
        <v>10000</v>
      </c>
      <c r="T252" s="6" t="str">
        <f>Tab_Data_Flows[[#This Row],[UoM_Source]]</f>
        <v>Mg</v>
      </c>
      <c r="U252" s="139">
        <f>INDEX(Tab_Def_Flows[[Flow_ID]:[CC_DM_source]],MATCH(Tab_Data_Flows[[#This Row],[Flow_Name]],Tab_Def_Flows[Flow_Name],0),11)</f>
        <v>1</v>
      </c>
      <c r="V252" s="6" t="str">
        <f>Tab_Data_Flows[[#This Row],[Flow_ID]]&amp;"_"&amp;"WC_"&amp;Tab_Data_Flows[[#This Row],[Flow_Data_Year]]</f>
        <v>F_01_09_WC_2073</v>
      </c>
      <c r="W252" s="6">
        <f>IF(D252="Yes",S252*Tab_Data_Flows[[#This Row],[WC_'[%']]],"N.A.")</f>
        <v>10000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F_01_09_DM_2073</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F_01_09_CC_2073</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F_01_09</v>
      </c>
      <c r="C253" s="138" t="s">
        <v>1103</v>
      </c>
      <c r="D253" s="9" t="str">
        <f>_xlfn.XLOOKUP(C253,Tab_Def_Flows[Flow_Name],Tab_Def_Flows[WC?],,0,)</f>
        <v>Yes</v>
      </c>
      <c r="E253" s="9" t="str">
        <f>_xlfn.XLOOKUP(C253,Tab_Def_Flows[Flow_Name],Tab_Def_Flows[DM?],,0,)</f>
        <v>Yes</v>
      </c>
      <c r="F253" s="9" t="str">
        <f>_xlfn.XLOOKUP(C253,Tab_Def_Flows[Flow_Name],Tab_Def_Flows[CC?],,0,)</f>
        <v>Yes</v>
      </c>
      <c r="G253" s="7">
        <v>2074</v>
      </c>
      <c r="H253" s="21">
        <v>10000</v>
      </c>
      <c r="I253" s="6" t="str">
        <f>'0_Configuration'!$C$4</f>
        <v>Mg</v>
      </c>
      <c r="J253" s="13"/>
      <c r="K253" s="13"/>
      <c r="L253" s="13"/>
      <c r="M253" s="13"/>
      <c r="N253" s="13"/>
      <c r="O253" s="7" t="s">
        <v>6</v>
      </c>
      <c r="P253" s="14"/>
      <c r="Q253" s="7"/>
      <c r="R253" s="6" t="str">
        <f>Tab_Data_Flows[[#This Row],[Flow_ID]]&amp;"_"&amp;"material_"&amp;Tab_Data_Flows[[#This Row],[Flow_Data_Year]]</f>
        <v>F_01_09_material_2074</v>
      </c>
      <c r="S253" s="12">
        <f t="shared" si="6"/>
        <v>10000</v>
      </c>
      <c r="T253" s="6" t="str">
        <f>Tab_Data_Flows[[#This Row],[UoM_Source]]</f>
        <v>Mg</v>
      </c>
      <c r="U253" s="139">
        <f>INDEX(Tab_Def_Flows[[Flow_ID]:[CC_DM_source]],MATCH(Tab_Data_Flows[[#This Row],[Flow_Name]],Tab_Def_Flows[Flow_Name],0),11)</f>
        <v>1</v>
      </c>
      <c r="V253" s="6" t="str">
        <f>Tab_Data_Flows[[#This Row],[Flow_ID]]&amp;"_"&amp;"WC_"&amp;Tab_Data_Flows[[#This Row],[Flow_Data_Year]]</f>
        <v>F_01_09_WC_2074</v>
      </c>
      <c r="W253" s="6">
        <f>IF(D253="Yes",S253*Tab_Data_Flows[[#This Row],[WC_'[%']]],"N.A.")</f>
        <v>10000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F_01_09_DM_2074</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F_01_09_CC_2074</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F_01_09</v>
      </c>
      <c r="C254" s="138" t="s">
        <v>1103</v>
      </c>
      <c r="D254" s="9" t="str">
        <f>_xlfn.XLOOKUP(C254,Tab_Def_Flows[Flow_Name],Tab_Def_Flows[WC?],,0,)</f>
        <v>Yes</v>
      </c>
      <c r="E254" s="9" t="str">
        <f>_xlfn.XLOOKUP(C254,Tab_Def_Flows[Flow_Name],Tab_Def_Flows[DM?],,0,)</f>
        <v>Yes</v>
      </c>
      <c r="F254" s="9" t="str">
        <f>_xlfn.XLOOKUP(C254,Tab_Def_Flows[Flow_Name],Tab_Def_Flows[CC?],,0,)</f>
        <v>Yes</v>
      </c>
      <c r="G254" s="7">
        <v>2075</v>
      </c>
      <c r="H254" s="21">
        <v>10000</v>
      </c>
      <c r="I254" s="6" t="str">
        <f>'0_Configuration'!$C$4</f>
        <v>Mg</v>
      </c>
      <c r="J254" s="13"/>
      <c r="K254" s="13"/>
      <c r="L254" s="13"/>
      <c r="M254" s="13"/>
      <c r="N254" s="13"/>
      <c r="O254" s="7" t="s">
        <v>6</v>
      </c>
      <c r="P254" s="14"/>
      <c r="Q254" s="7"/>
      <c r="R254" s="6" t="str">
        <f>Tab_Data_Flows[[#This Row],[Flow_ID]]&amp;"_"&amp;"material_"&amp;Tab_Data_Flows[[#This Row],[Flow_Data_Year]]</f>
        <v>F_01_09_material_2075</v>
      </c>
      <c r="S254" s="12">
        <f t="shared" si="6"/>
        <v>10000</v>
      </c>
      <c r="T254" s="6" t="str">
        <f>Tab_Data_Flows[[#This Row],[UoM_Source]]</f>
        <v>Mg</v>
      </c>
      <c r="U254" s="139">
        <f>INDEX(Tab_Def_Flows[[Flow_ID]:[CC_DM_source]],MATCH(Tab_Data_Flows[[#This Row],[Flow_Name]],Tab_Def_Flows[Flow_Name],0),11)</f>
        <v>1</v>
      </c>
      <c r="V254" s="6" t="str">
        <f>Tab_Data_Flows[[#This Row],[Flow_ID]]&amp;"_"&amp;"WC_"&amp;Tab_Data_Flows[[#This Row],[Flow_Data_Year]]</f>
        <v>F_01_09_WC_2075</v>
      </c>
      <c r="W254" s="6">
        <f>IF(D254="Yes",S254*Tab_Data_Flows[[#This Row],[WC_'[%']]],"N.A.")</f>
        <v>10000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F_01_09_DM_2075</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F_01_09_CC_2075</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F_01_09</v>
      </c>
      <c r="C255" s="138" t="s">
        <v>1103</v>
      </c>
      <c r="D255" s="9" t="str">
        <f>_xlfn.XLOOKUP(C255,Tab_Def_Flows[Flow_Name],Tab_Def_Flows[WC?],,0,)</f>
        <v>Yes</v>
      </c>
      <c r="E255" s="9" t="str">
        <f>_xlfn.XLOOKUP(C255,Tab_Def_Flows[Flow_Name],Tab_Def_Flows[DM?],,0,)</f>
        <v>Yes</v>
      </c>
      <c r="F255" s="9" t="str">
        <f>_xlfn.XLOOKUP(C255,Tab_Def_Flows[Flow_Name],Tab_Def_Flows[CC?],,0,)</f>
        <v>Yes</v>
      </c>
      <c r="G255" s="7">
        <v>2076</v>
      </c>
      <c r="H255" s="21">
        <v>10000</v>
      </c>
      <c r="I255" s="6" t="str">
        <f>'0_Configuration'!$C$4</f>
        <v>Mg</v>
      </c>
      <c r="J255" s="13"/>
      <c r="K255" s="13"/>
      <c r="L255" s="13"/>
      <c r="M255" s="13"/>
      <c r="N255" s="13"/>
      <c r="O255" s="7" t="s">
        <v>6</v>
      </c>
      <c r="P255" s="14"/>
      <c r="Q255" s="7"/>
      <c r="R255" s="6" t="str">
        <f>Tab_Data_Flows[[#This Row],[Flow_ID]]&amp;"_"&amp;"material_"&amp;Tab_Data_Flows[[#This Row],[Flow_Data_Year]]</f>
        <v>F_01_09_material_2076</v>
      </c>
      <c r="S255" s="12">
        <f t="shared" si="6"/>
        <v>10000</v>
      </c>
      <c r="T255" s="6" t="str">
        <f>Tab_Data_Flows[[#This Row],[UoM_Source]]</f>
        <v>Mg</v>
      </c>
      <c r="U255" s="139">
        <f>INDEX(Tab_Def_Flows[[Flow_ID]:[CC_DM_source]],MATCH(Tab_Data_Flows[[#This Row],[Flow_Name]],Tab_Def_Flows[Flow_Name],0),11)</f>
        <v>1</v>
      </c>
      <c r="V255" s="6" t="str">
        <f>Tab_Data_Flows[[#This Row],[Flow_ID]]&amp;"_"&amp;"WC_"&amp;Tab_Data_Flows[[#This Row],[Flow_Data_Year]]</f>
        <v>F_01_09_WC_2076</v>
      </c>
      <c r="W255" s="6">
        <f>IF(D255="Yes",S255*Tab_Data_Flows[[#This Row],[WC_'[%']]],"N.A.")</f>
        <v>10000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F_01_09_DM_2076</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F_01_09_CC_2076</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F_01_09</v>
      </c>
      <c r="C256" s="138" t="s">
        <v>1103</v>
      </c>
      <c r="D256" s="9" t="str">
        <f>_xlfn.XLOOKUP(C256,Tab_Def_Flows[Flow_Name],Tab_Def_Flows[WC?],,0,)</f>
        <v>Yes</v>
      </c>
      <c r="E256" s="9" t="str">
        <f>_xlfn.XLOOKUP(C256,Tab_Def_Flows[Flow_Name],Tab_Def_Flows[DM?],,0,)</f>
        <v>Yes</v>
      </c>
      <c r="F256" s="9" t="str">
        <f>_xlfn.XLOOKUP(C256,Tab_Def_Flows[Flow_Name],Tab_Def_Flows[CC?],,0,)</f>
        <v>Yes</v>
      </c>
      <c r="G256" s="7">
        <v>2077</v>
      </c>
      <c r="H256" s="21">
        <v>10000</v>
      </c>
      <c r="I256" s="6" t="str">
        <f>'0_Configuration'!$C$4</f>
        <v>Mg</v>
      </c>
      <c r="J256" s="13"/>
      <c r="K256" s="13"/>
      <c r="L256" s="13"/>
      <c r="M256" s="13"/>
      <c r="N256" s="13"/>
      <c r="O256" s="7" t="s">
        <v>6</v>
      </c>
      <c r="P256" s="14"/>
      <c r="Q256" s="7"/>
      <c r="R256" s="6" t="str">
        <f>Tab_Data_Flows[[#This Row],[Flow_ID]]&amp;"_"&amp;"material_"&amp;Tab_Data_Flows[[#This Row],[Flow_Data_Year]]</f>
        <v>F_01_09_material_2077</v>
      </c>
      <c r="S256" s="12">
        <f t="shared" si="6"/>
        <v>10000</v>
      </c>
      <c r="T256" s="6" t="str">
        <f>Tab_Data_Flows[[#This Row],[UoM_Source]]</f>
        <v>Mg</v>
      </c>
      <c r="U256" s="139">
        <f>INDEX(Tab_Def_Flows[[Flow_ID]:[CC_DM_source]],MATCH(Tab_Data_Flows[[#This Row],[Flow_Name]],Tab_Def_Flows[Flow_Name],0),11)</f>
        <v>1</v>
      </c>
      <c r="V256" s="6" t="str">
        <f>Tab_Data_Flows[[#This Row],[Flow_ID]]&amp;"_"&amp;"WC_"&amp;Tab_Data_Flows[[#This Row],[Flow_Data_Year]]</f>
        <v>F_01_09_WC_2077</v>
      </c>
      <c r="W256" s="6">
        <f>IF(D256="Yes",S256*Tab_Data_Flows[[#This Row],[WC_'[%']]],"N.A.")</f>
        <v>10000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F_01_09_DM_2077</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F_01_09_CC_2077</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F_01_09</v>
      </c>
      <c r="C257" s="138" t="s">
        <v>1103</v>
      </c>
      <c r="D257" s="9" t="str">
        <f>_xlfn.XLOOKUP(C257,Tab_Def_Flows[Flow_Name],Tab_Def_Flows[WC?],,0,)</f>
        <v>Yes</v>
      </c>
      <c r="E257" s="9" t="str">
        <f>_xlfn.XLOOKUP(C257,Tab_Def_Flows[Flow_Name],Tab_Def_Flows[DM?],,0,)</f>
        <v>Yes</v>
      </c>
      <c r="F257" s="9" t="str">
        <f>_xlfn.XLOOKUP(C257,Tab_Def_Flows[Flow_Name],Tab_Def_Flows[CC?],,0,)</f>
        <v>Yes</v>
      </c>
      <c r="G257" s="7">
        <v>2078</v>
      </c>
      <c r="H257" s="21">
        <v>10000</v>
      </c>
      <c r="I257" s="6" t="str">
        <f>'0_Configuration'!$C$4</f>
        <v>Mg</v>
      </c>
      <c r="J257" s="13"/>
      <c r="K257" s="13"/>
      <c r="L257" s="13"/>
      <c r="M257" s="13"/>
      <c r="N257" s="13"/>
      <c r="O257" s="7" t="s">
        <v>6</v>
      </c>
      <c r="P257" s="14"/>
      <c r="Q257" s="7"/>
      <c r="R257" s="6" t="str">
        <f>Tab_Data_Flows[[#This Row],[Flow_ID]]&amp;"_"&amp;"material_"&amp;Tab_Data_Flows[[#This Row],[Flow_Data_Year]]</f>
        <v>F_01_09_material_2078</v>
      </c>
      <c r="S257" s="12">
        <f t="shared" si="6"/>
        <v>10000</v>
      </c>
      <c r="T257" s="6" t="str">
        <f>Tab_Data_Flows[[#This Row],[UoM_Source]]</f>
        <v>Mg</v>
      </c>
      <c r="U257" s="139">
        <f>INDEX(Tab_Def_Flows[[Flow_ID]:[CC_DM_source]],MATCH(Tab_Data_Flows[[#This Row],[Flow_Name]],Tab_Def_Flows[Flow_Name],0),11)</f>
        <v>1</v>
      </c>
      <c r="V257" s="6" t="str">
        <f>Tab_Data_Flows[[#This Row],[Flow_ID]]&amp;"_"&amp;"WC_"&amp;Tab_Data_Flows[[#This Row],[Flow_Data_Year]]</f>
        <v>F_01_09_WC_2078</v>
      </c>
      <c r="W257" s="6">
        <f>IF(D257="Yes",S257*Tab_Data_Flows[[#This Row],[WC_'[%']]],"N.A.")</f>
        <v>10000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F_01_09_DM_2078</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F_01_09_CC_2078</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F_01_09</v>
      </c>
      <c r="C258" s="138" t="s">
        <v>1103</v>
      </c>
      <c r="D258" s="9" t="str">
        <f>_xlfn.XLOOKUP(C258,Tab_Def_Flows[Flow_Name],Tab_Def_Flows[WC?],,0,)</f>
        <v>Yes</v>
      </c>
      <c r="E258" s="9" t="str">
        <f>_xlfn.XLOOKUP(C258,Tab_Def_Flows[Flow_Name],Tab_Def_Flows[DM?],,0,)</f>
        <v>Yes</v>
      </c>
      <c r="F258" s="9" t="str">
        <f>_xlfn.XLOOKUP(C258,Tab_Def_Flows[Flow_Name],Tab_Def_Flows[CC?],,0,)</f>
        <v>Yes</v>
      </c>
      <c r="G258" s="7">
        <v>2079</v>
      </c>
      <c r="H258" s="21">
        <v>10000</v>
      </c>
      <c r="I258" s="6" t="str">
        <f>'0_Configuration'!$C$4</f>
        <v>Mg</v>
      </c>
      <c r="J258" s="13"/>
      <c r="K258" s="13"/>
      <c r="L258" s="13"/>
      <c r="M258" s="13"/>
      <c r="N258" s="13"/>
      <c r="O258" s="7" t="s">
        <v>6</v>
      </c>
      <c r="P258" s="14"/>
      <c r="Q258" s="7"/>
      <c r="R258" s="6" t="str">
        <f>Tab_Data_Flows[[#This Row],[Flow_ID]]&amp;"_"&amp;"material_"&amp;Tab_Data_Flows[[#This Row],[Flow_Data_Year]]</f>
        <v>F_01_09_material_2079</v>
      </c>
      <c r="S258" s="12">
        <f t="shared" ref="S258:S321" si="8">IF(O258="no",H258,H258*P258)</f>
        <v>10000</v>
      </c>
      <c r="T258" s="6" t="str">
        <f>Tab_Data_Flows[[#This Row],[UoM_Source]]</f>
        <v>Mg</v>
      </c>
      <c r="U258" s="139">
        <f>INDEX(Tab_Def_Flows[[Flow_ID]:[CC_DM_source]],MATCH(Tab_Data_Flows[[#This Row],[Flow_Name]],Tab_Def_Flows[Flow_Name],0),11)</f>
        <v>1</v>
      </c>
      <c r="V258" s="6" t="str">
        <f>Tab_Data_Flows[[#This Row],[Flow_ID]]&amp;"_"&amp;"WC_"&amp;Tab_Data_Flows[[#This Row],[Flow_Data_Year]]</f>
        <v>F_01_09_WC_2079</v>
      </c>
      <c r="W258" s="6">
        <f>IF(D258="Yes",S258*Tab_Data_Flows[[#This Row],[WC_'[%']]],"N.A.")</f>
        <v>10000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F_01_09_DM_2079</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F_01_09_CC_2079</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F_01_09</v>
      </c>
      <c r="C259" s="138" t="s">
        <v>1103</v>
      </c>
      <c r="D259" s="9" t="str">
        <f>_xlfn.XLOOKUP(C259,Tab_Def_Flows[Flow_Name],Tab_Def_Flows[WC?],,0,)</f>
        <v>Yes</v>
      </c>
      <c r="E259" s="9" t="str">
        <f>_xlfn.XLOOKUP(C259,Tab_Def_Flows[Flow_Name],Tab_Def_Flows[DM?],,0,)</f>
        <v>Yes</v>
      </c>
      <c r="F259" s="9" t="str">
        <f>_xlfn.XLOOKUP(C259,Tab_Def_Flows[Flow_Name],Tab_Def_Flows[CC?],,0,)</f>
        <v>Yes</v>
      </c>
      <c r="G259" s="7">
        <v>2080</v>
      </c>
      <c r="H259" s="21">
        <v>10000</v>
      </c>
      <c r="I259" s="6" t="str">
        <f>'0_Configuration'!$C$4</f>
        <v>Mg</v>
      </c>
      <c r="J259" s="13"/>
      <c r="K259" s="13"/>
      <c r="L259" s="13"/>
      <c r="M259" s="13"/>
      <c r="N259" s="13"/>
      <c r="O259" s="7" t="s">
        <v>6</v>
      </c>
      <c r="P259" s="14"/>
      <c r="Q259" s="7"/>
      <c r="R259" s="6" t="str">
        <f>Tab_Data_Flows[[#This Row],[Flow_ID]]&amp;"_"&amp;"material_"&amp;Tab_Data_Flows[[#This Row],[Flow_Data_Year]]</f>
        <v>F_01_09_material_2080</v>
      </c>
      <c r="S259" s="12">
        <f t="shared" si="8"/>
        <v>10000</v>
      </c>
      <c r="T259" s="6" t="str">
        <f>Tab_Data_Flows[[#This Row],[UoM_Source]]</f>
        <v>Mg</v>
      </c>
      <c r="U259" s="139">
        <f>INDEX(Tab_Def_Flows[[Flow_ID]:[CC_DM_source]],MATCH(Tab_Data_Flows[[#This Row],[Flow_Name]],Tab_Def_Flows[Flow_Name],0),11)</f>
        <v>1</v>
      </c>
      <c r="V259" s="6" t="str">
        <f>Tab_Data_Flows[[#This Row],[Flow_ID]]&amp;"_"&amp;"WC_"&amp;Tab_Data_Flows[[#This Row],[Flow_Data_Year]]</f>
        <v>F_01_09_WC_2080</v>
      </c>
      <c r="W259" s="6">
        <f>IF(D259="Yes",S259*Tab_Data_Flows[[#This Row],[WC_'[%']]],"N.A.")</f>
        <v>10000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F_01_09_DM_2080</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F_01_09_CC_2080</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F_01_09</v>
      </c>
      <c r="C260" s="138" t="s">
        <v>1103</v>
      </c>
      <c r="D260" s="9" t="str">
        <f>_xlfn.XLOOKUP(C260,Tab_Def_Flows[Flow_Name],Tab_Def_Flows[WC?],,0,)</f>
        <v>Yes</v>
      </c>
      <c r="E260" s="9" t="str">
        <f>_xlfn.XLOOKUP(C260,Tab_Def_Flows[Flow_Name],Tab_Def_Flows[DM?],,0,)</f>
        <v>Yes</v>
      </c>
      <c r="F260" s="9" t="str">
        <f>_xlfn.XLOOKUP(C260,Tab_Def_Flows[Flow_Name],Tab_Def_Flows[CC?],,0,)</f>
        <v>Yes</v>
      </c>
      <c r="G260" s="7">
        <v>2081</v>
      </c>
      <c r="H260" s="21">
        <v>10000</v>
      </c>
      <c r="I260" s="6" t="str">
        <f>'0_Configuration'!$C$4</f>
        <v>Mg</v>
      </c>
      <c r="J260" s="13"/>
      <c r="K260" s="13"/>
      <c r="L260" s="13"/>
      <c r="M260" s="13"/>
      <c r="N260" s="13"/>
      <c r="O260" s="7" t="s">
        <v>6</v>
      </c>
      <c r="P260" s="14"/>
      <c r="Q260" s="7"/>
      <c r="R260" s="6" t="str">
        <f>Tab_Data_Flows[[#This Row],[Flow_ID]]&amp;"_"&amp;"material_"&amp;Tab_Data_Flows[[#This Row],[Flow_Data_Year]]</f>
        <v>F_01_09_material_2081</v>
      </c>
      <c r="S260" s="12">
        <f t="shared" si="8"/>
        <v>10000</v>
      </c>
      <c r="T260" s="6" t="str">
        <f>Tab_Data_Flows[[#This Row],[UoM_Source]]</f>
        <v>Mg</v>
      </c>
      <c r="U260" s="139">
        <f>INDEX(Tab_Def_Flows[[Flow_ID]:[CC_DM_source]],MATCH(Tab_Data_Flows[[#This Row],[Flow_Name]],Tab_Def_Flows[Flow_Name],0),11)</f>
        <v>1</v>
      </c>
      <c r="V260" s="6" t="str">
        <f>Tab_Data_Flows[[#This Row],[Flow_ID]]&amp;"_"&amp;"WC_"&amp;Tab_Data_Flows[[#This Row],[Flow_Data_Year]]</f>
        <v>F_01_09_WC_2081</v>
      </c>
      <c r="W260" s="6">
        <f>IF(D260="Yes",S260*Tab_Data_Flows[[#This Row],[WC_'[%']]],"N.A.")</f>
        <v>10000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F_01_09_DM_2081</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F_01_09_CC_2081</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F_01_09</v>
      </c>
      <c r="C261" s="138" t="s">
        <v>1103</v>
      </c>
      <c r="D261" s="9" t="str">
        <f>_xlfn.XLOOKUP(C261,Tab_Def_Flows[Flow_Name],Tab_Def_Flows[WC?],,0,)</f>
        <v>Yes</v>
      </c>
      <c r="E261" s="9" t="str">
        <f>_xlfn.XLOOKUP(C261,Tab_Def_Flows[Flow_Name],Tab_Def_Flows[DM?],,0,)</f>
        <v>Yes</v>
      </c>
      <c r="F261" s="9" t="str">
        <f>_xlfn.XLOOKUP(C261,Tab_Def_Flows[Flow_Name],Tab_Def_Flows[CC?],,0,)</f>
        <v>Yes</v>
      </c>
      <c r="G261" s="7">
        <v>2082</v>
      </c>
      <c r="H261" s="21">
        <v>10000</v>
      </c>
      <c r="I261" s="6" t="str">
        <f>'0_Configuration'!$C$4</f>
        <v>Mg</v>
      </c>
      <c r="J261" s="13"/>
      <c r="K261" s="13"/>
      <c r="L261" s="13"/>
      <c r="M261" s="13"/>
      <c r="N261" s="13"/>
      <c r="O261" s="7" t="s">
        <v>6</v>
      </c>
      <c r="P261" s="14"/>
      <c r="Q261" s="7"/>
      <c r="R261" s="6" t="str">
        <f>Tab_Data_Flows[[#This Row],[Flow_ID]]&amp;"_"&amp;"material_"&amp;Tab_Data_Flows[[#This Row],[Flow_Data_Year]]</f>
        <v>F_01_09_material_2082</v>
      </c>
      <c r="S261" s="12">
        <f t="shared" si="8"/>
        <v>10000</v>
      </c>
      <c r="T261" s="6" t="str">
        <f>Tab_Data_Flows[[#This Row],[UoM_Source]]</f>
        <v>Mg</v>
      </c>
      <c r="U261" s="139">
        <f>INDEX(Tab_Def_Flows[[Flow_ID]:[CC_DM_source]],MATCH(Tab_Data_Flows[[#This Row],[Flow_Name]],Tab_Def_Flows[Flow_Name],0),11)</f>
        <v>1</v>
      </c>
      <c r="V261" s="6" t="str">
        <f>Tab_Data_Flows[[#This Row],[Flow_ID]]&amp;"_"&amp;"WC_"&amp;Tab_Data_Flows[[#This Row],[Flow_Data_Year]]</f>
        <v>F_01_09_WC_2082</v>
      </c>
      <c r="W261" s="6">
        <f>IF(D261="Yes",S261*Tab_Data_Flows[[#This Row],[WC_'[%']]],"N.A.")</f>
        <v>10000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F_01_09_DM_2082</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F_01_09_CC_2082</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F_01_09</v>
      </c>
      <c r="C262" s="138" t="s">
        <v>1103</v>
      </c>
      <c r="D262" s="9" t="str">
        <f>_xlfn.XLOOKUP(C262,Tab_Def_Flows[Flow_Name],Tab_Def_Flows[WC?],,0,)</f>
        <v>Yes</v>
      </c>
      <c r="E262" s="9" t="str">
        <f>_xlfn.XLOOKUP(C262,Tab_Def_Flows[Flow_Name],Tab_Def_Flows[DM?],,0,)</f>
        <v>Yes</v>
      </c>
      <c r="F262" s="9" t="str">
        <f>_xlfn.XLOOKUP(C262,Tab_Def_Flows[Flow_Name],Tab_Def_Flows[CC?],,0,)</f>
        <v>Yes</v>
      </c>
      <c r="G262" s="7">
        <v>2083</v>
      </c>
      <c r="H262" s="21">
        <v>10000</v>
      </c>
      <c r="I262" s="6" t="str">
        <f>'0_Configuration'!$C$4</f>
        <v>Mg</v>
      </c>
      <c r="J262" s="13"/>
      <c r="K262" s="13"/>
      <c r="L262" s="13"/>
      <c r="M262" s="13"/>
      <c r="N262" s="13"/>
      <c r="O262" s="7" t="s">
        <v>6</v>
      </c>
      <c r="P262" s="14"/>
      <c r="Q262" s="7"/>
      <c r="R262" s="6" t="str">
        <f>Tab_Data_Flows[[#This Row],[Flow_ID]]&amp;"_"&amp;"material_"&amp;Tab_Data_Flows[[#This Row],[Flow_Data_Year]]</f>
        <v>F_01_09_material_2083</v>
      </c>
      <c r="S262" s="12">
        <f t="shared" si="8"/>
        <v>10000</v>
      </c>
      <c r="T262" s="6" t="str">
        <f>Tab_Data_Flows[[#This Row],[UoM_Source]]</f>
        <v>Mg</v>
      </c>
      <c r="U262" s="139">
        <f>INDEX(Tab_Def_Flows[[Flow_ID]:[CC_DM_source]],MATCH(Tab_Data_Flows[[#This Row],[Flow_Name]],Tab_Def_Flows[Flow_Name],0),11)</f>
        <v>1</v>
      </c>
      <c r="V262" s="6" t="str">
        <f>Tab_Data_Flows[[#This Row],[Flow_ID]]&amp;"_"&amp;"WC_"&amp;Tab_Data_Flows[[#This Row],[Flow_Data_Year]]</f>
        <v>F_01_09_WC_2083</v>
      </c>
      <c r="W262" s="6">
        <f>IF(D262="Yes",S262*Tab_Data_Flows[[#This Row],[WC_'[%']]],"N.A.")</f>
        <v>10000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F_01_09_DM_2083</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F_01_09_CC_2083</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F_01_09</v>
      </c>
      <c r="C263" s="138" t="s">
        <v>1103</v>
      </c>
      <c r="D263" s="9" t="str">
        <f>_xlfn.XLOOKUP(C263,Tab_Def_Flows[Flow_Name],Tab_Def_Flows[WC?],,0,)</f>
        <v>Yes</v>
      </c>
      <c r="E263" s="9" t="str">
        <f>_xlfn.XLOOKUP(C263,Tab_Def_Flows[Flow_Name],Tab_Def_Flows[DM?],,0,)</f>
        <v>Yes</v>
      </c>
      <c r="F263" s="9" t="str">
        <f>_xlfn.XLOOKUP(C263,Tab_Def_Flows[Flow_Name],Tab_Def_Flows[CC?],,0,)</f>
        <v>Yes</v>
      </c>
      <c r="G263" s="7">
        <v>2084</v>
      </c>
      <c r="H263" s="21">
        <v>10000</v>
      </c>
      <c r="I263" s="6" t="str">
        <f>'0_Configuration'!$C$4</f>
        <v>Mg</v>
      </c>
      <c r="J263" s="13"/>
      <c r="K263" s="13"/>
      <c r="L263" s="13"/>
      <c r="M263" s="13"/>
      <c r="N263" s="13"/>
      <c r="O263" s="7" t="s">
        <v>6</v>
      </c>
      <c r="P263" s="14"/>
      <c r="Q263" s="7"/>
      <c r="R263" s="6" t="str">
        <f>Tab_Data_Flows[[#This Row],[Flow_ID]]&amp;"_"&amp;"material_"&amp;Tab_Data_Flows[[#This Row],[Flow_Data_Year]]</f>
        <v>F_01_09_material_2084</v>
      </c>
      <c r="S263" s="12">
        <f t="shared" si="8"/>
        <v>10000</v>
      </c>
      <c r="T263" s="6" t="str">
        <f>Tab_Data_Flows[[#This Row],[UoM_Source]]</f>
        <v>Mg</v>
      </c>
      <c r="U263" s="139">
        <f>INDEX(Tab_Def_Flows[[Flow_ID]:[CC_DM_source]],MATCH(Tab_Data_Flows[[#This Row],[Flow_Name]],Tab_Def_Flows[Flow_Name],0),11)</f>
        <v>1</v>
      </c>
      <c r="V263" s="6" t="str">
        <f>Tab_Data_Flows[[#This Row],[Flow_ID]]&amp;"_"&amp;"WC_"&amp;Tab_Data_Flows[[#This Row],[Flow_Data_Year]]</f>
        <v>F_01_09_WC_2084</v>
      </c>
      <c r="W263" s="6">
        <f>IF(D263="Yes",S263*Tab_Data_Flows[[#This Row],[WC_'[%']]],"N.A.")</f>
        <v>10000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F_01_09_DM_2084</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F_01_09_CC_2084</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F_01_09</v>
      </c>
      <c r="C264" s="138" t="s">
        <v>1103</v>
      </c>
      <c r="D264" s="9" t="str">
        <f>_xlfn.XLOOKUP(C264,Tab_Def_Flows[Flow_Name],Tab_Def_Flows[WC?],,0,)</f>
        <v>Yes</v>
      </c>
      <c r="E264" s="9" t="str">
        <f>_xlfn.XLOOKUP(C264,Tab_Def_Flows[Flow_Name],Tab_Def_Flows[DM?],,0,)</f>
        <v>Yes</v>
      </c>
      <c r="F264" s="9" t="str">
        <f>_xlfn.XLOOKUP(C264,Tab_Def_Flows[Flow_Name],Tab_Def_Flows[CC?],,0,)</f>
        <v>Yes</v>
      </c>
      <c r="G264" s="7">
        <v>2085</v>
      </c>
      <c r="H264" s="21">
        <v>10000</v>
      </c>
      <c r="I264" s="6" t="str">
        <f>'0_Configuration'!$C$4</f>
        <v>Mg</v>
      </c>
      <c r="J264" s="13"/>
      <c r="K264" s="13"/>
      <c r="L264" s="13"/>
      <c r="M264" s="13"/>
      <c r="N264" s="13"/>
      <c r="O264" s="7" t="s">
        <v>6</v>
      </c>
      <c r="P264" s="14"/>
      <c r="Q264" s="7"/>
      <c r="R264" s="6" t="str">
        <f>Tab_Data_Flows[[#This Row],[Flow_ID]]&amp;"_"&amp;"material_"&amp;Tab_Data_Flows[[#This Row],[Flow_Data_Year]]</f>
        <v>F_01_09_material_2085</v>
      </c>
      <c r="S264" s="12">
        <f t="shared" si="8"/>
        <v>10000</v>
      </c>
      <c r="T264" s="6" t="str">
        <f>Tab_Data_Flows[[#This Row],[UoM_Source]]</f>
        <v>Mg</v>
      </c>
      <c r="U264" s="139">
        <f>INDEX(Tab_Def_Flows[[Flow_ID]:[CC_DM_source]],MATCH(Tab_Data_Flows[[#This Row],[Flow_Name]],Tab_Def_Flows[Flow_Name],0),11)</f>
        <v>1</v>
      </c>
      <c r="V264" s="6" t="str">
        <f>Tab_Data_Flows[[#This Row],[Flow_ID]]&amp;"_"&amp;"WC_"&amp;Tab_Data_Flows[[#This Row],[Flow_Data_Year]]</f>
        <v>F_01_09_WC_2085</v>
      </c>
      <c r="W264" s="6">
        <f>IF(D264="Yes",S264*Tab_Data_Flows[[#This Row],[WC_'[%']]],"N.A.")</f>
        <v>10000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F_01_09_DM_2085</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F_01_09_CC_2085</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F_01_09</v>
      </c>
      <c r="C265" s="138" t="s">
        <v>1103</v>
      </c>
      <c r="D265" s="9" t="str">
        <f>_xlfn.XLOOKUP(C265,Tab_Def_Flows[Flow_Name],Tab_Def_Flows[WC?],,0,)</f>
        <v>Yes</v>
      </c>
      <c r="E265" s="9" t="str">
        <f>_xlfn.XLOOKUP(C265,Tab_Def_Flows[Flow_Name],Tab_Def_Flows[DM?],,0,)</f>
        <v>Yes</v>
      </c>
      <c r="F265" s="9" t="str">
        <f>_xlfn.XLOOKUP(C265,Tab_Def_Flows[Flow_Name],Tab_Def_Flows[CC?],,0,)</f>
        <v>Yes</v>
      </c>
      <c r="G265" s="7">
        <v>2086</v>
      </c>
      <c r="H265" s="21">
        <v>10000</v>
      </c>
      <c r="I265" s="6" t="str">
        <f>'0_Configuration'!$C$4</f>
        <v>Mg</v>
      </c>
      <c r="J265" s="13"/>
      <c r="K265" s="13"/>
      <c r="L265" s="13"/>
      <c r="M265" s="13"/>
      <c r="N265" s="13"/>
      <c r="O265" s="7" t="s">
        <v>6</v>
      </c>
      <c r="P265" s="14"/>
      <c r="Q265" s="7"/>
      <c r="R265" s="6" t="str">
        <f>Tab_Data_Flows[[#This Row],[Flow_ID]]&amp;"_"&amp;"material_"&amp;Tab_Data_Flows[[#This Row],[Flow_Data_Year]]</f>
        <v>F_01_09_material_2086</v>
      </c>
      <c r="S265" s="12">
        <f t="shared" si="8"/>
        <v>10000</v>
      </c>
      <c r="T265" s="6" t="str">
        <f>Tab_Data_Flows[[#This Row],[UoM_Source]]</f>
        <v>Mg</v>
      </c>
      <c r="U265" s="139">
        <f>INDEX(Tab_Def_Flows[[Flow_ID]:[CC_DM_source]],MATCH(Tab_Data_Flows[[#This Row],[Flow_Name]],Tab_Def_Flows[Flow_Name],0),11)</f>
        <v>1</v>
      </c>
      <c r="V265" s="6" t="str">
        <f>Tab_Data_Flows[[#This Row],[Flow_ID]]&amp;"_"&amp;"WC_"&amp;Tab_Data_Flows[[#This Row],[Flow_Data_Year]]</f>
        <v>F_01_09_WC_2086</v>
      </c>
      <c r="W265" s="6">
        <f>IF(D265="Yes",S265*Tab_Data_Flows[[#This Row],[WC_'[%']]],"N.A.")</f>
        <v>10000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F_01_09_DM_2086</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F_01_09_CC_2086</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F_01_09</v>
      </c>
      <c r="C266" s="138" t="s">
        <v>1103</v>
      </c>
      <c r="D266" s="9" t="str">
        <f>_xlfn.XLOOKUP(C266,Tab_Def_Flows[Flow_Name],Tab_Def_Flows[WC?],,0,)</f>
        <v>Yes</v>
      </c>
      <c r="E266" s="9" t="str">
        <f>_xlfn.XLOOKUP(C266,Tab_Def_Flows[Flow_Name],Tab_Def_Flows[DM?],,0,)</f>
        <v>Yes</v>
      </c>
      <c r="F266" s="9" t="str">
        <f>_xlfn.XLOOKUP(C266,Tab_Def_Flows[Flow_Name],Tab_Def_Flows[CC?],,0,)</f>
        <v>Yes</v>
      </c>
      <c r="G266" s="7">
        <v>2087</v>
      </c>
      <c r="H266" s="21">
        <v>10000</v>
      </c>
      <c r="I266" s="6" t="str">
        <f>'0_Configuration'!$C$4</f>
        <v>Mg</v>
      </c>
      <c r="J266" s="13"/>
      <c r="K266" s="13"/>
      <c r="L266" s="13"/>
      <c r="M266" s="13"/>
      <c r="N266" s="13"/>
      <c r="O266" s="7" t="s">
        <v>6</v>
      </c>
      <c r="P266" s="14"/>
      <c r="Q266" s="7"/>
      <c r="R266" s="6" t="str">
        <f>Tab_Data_Flows[[#This Row],[Flow_ID]]&amp;"_"&amp;"material_"&amp;Tab_Data_Flows[[#This Row],[Flow_Data_Year]]</f>
        <v>F_01_09_material_2087</v>
      </c>
      <c r="S266" s="12">
        <f t="shared" si="8"/>
        <v>10000</v>
      </c>
      <c r="T266" s="6" t="str">
        <f>Tab_Data_Flows[[#This Row],[UoM_Source]]</f>
        <v>Mg</v>
      </c>
      <c r="U266" s="139">
        <f>INDEX(Tab_Def_Flows[[Flow_ID]:[CC_DM_source]],MATCH(Tab_Data_Flows[[#This Row],[Flow_Name]],Tab_Def_Flows[Flow_Name],0),11)</f>
        <v>1</v>
      </c>
      <c r="V266" s="6" t="str">
        <f>Tab_Data_Flows[[#This Row],[Flow_ID]]&amp;"_"&amp;"WC_"&amp;Tab_Data_Flows[[#This Row],[Flow_Data_Year]]</f>
        <v>F_01_09_WC_2087</v>
      </c>
      <c r="W266" s="6">
        <f>IF(D266="Yes",S266*Tab_Data_Flows[[#This Row],[WC_'[%']]],"N.A.")</f>
        <v>10000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F_01_09_DM_2087</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F_01_09_CC_2087</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F_01_09</v>
      </c>
      <c r="C267" s="138" t="s">
        <v>1103</v>
      </c>
      <c r="D267" s="9" t="str">
        <f>_xlfn.XLOOKUP(C267,Tab_Def_Flows[Flow_Name],Tab_Def_Flows[WC?],,0,)</f>
        <v>Yes</v>
      </c>
      <c r="E267" s="9" t="str">
        <f>_xlfn.XLOOKUP(C267,Tab_Def_Flows[Flow_Name],Tab_Def_Flows[DM?],,0,)</f>
        <v>Yes</v>
      </c>
      <c r="F267" s="9" t="str">
        <f>_xlfn.XLOOKUP(C267,Tab_Def_Flows[Flow_Name],Tab_Def_Flows[CC?],,0,)</f>
        <v>Yes</v>
      </c>
      <c r="G267" s="7">
        <v>2088</v>
      </c>
      <c r="H267" s="21">
        <v>10000</v>
      </c>
      <c r="I267" s="6" t="str">
        <f>'0_Configuration'!$C$4</f>
        <v>Mg</v>
      </c>
      <c r="J267" s="13"/>
      <c r="K267" s="13"/>
      <c r="L267" s="13"/>
      <c r="M267" s="13"/>
      <c r="N267" s="13"/>
      <c r="O267" s="7" t="s">
        <v>6</v>
      </c>
      <c r="P267" s="14"/>
      <c r="Q267" s="7"/>
      <c r="R267" s="6" t="str">
        <f>Tab_Data_Flows[[#This Row],[Flow_ID]]&amp;"_"&amp;"material_"&amp;Tab_Data_Flows[[#This Row],[Flow_Data_Year]]</f>
        <v>F_01_09_material_2088</v>
      </c>
      <c r="S267" s="12">
        <f t="shared" si="8"/>
        <v>10000</v>
      </c>
      <c r="T267" s="6" t="str">
        <f>Tab_Data_Flows[[#This Row],[UoM_Source]]</f>
        <v>Mg</v>
      </c>
      <c r="U267" s="139">
        <f>INDEX(Tab_Def_Flows[[Flow_ID]:[CC_DM_source]],MATCH(Tab_Data_Flows[[#This Row],[Flow_Name]],Tab_Def_Flows[Flow_Name],0),11)</f>
        <v>1</v>
      </c>
      <c r="V267" s="6" t="str">
        <f>Tab_Data_Flows[[#This Row],[Flow_ID]]&amp;"_"&amp;"WC_"&amp;Tab_Data_Flows[[#This Row],[Flow_Data_Year]]</f>
        <v>F_01_09_WC_2088</v>
      </c>
      <c r="W267" s="6">
        <f>IF(D267="Yes",S267*Tab_Data_Flows[[#This Row],[WC_'[%']]],"N.A.")</f>
        <v>10000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F_01_09_DM_2088</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F_01_09_CC_2088</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F_01_09</v>
      </c>
      <c r="C268" s="138" t="s">
        <v>1103</v>
      </c>
      <c r="D268" s="9" t="str">
        <f>_xlfn.XLOOKUP(C268,Tab_Def_Flows[Flow_Name],Tab_Def_Flows[WC?],,0,)</f>
        <v>Yes</v>
      </c>
      <c r="E268" s="9" t="str">
        <f>_xlfn.XLOOKUP(C268,Tab_Def_Flows[Flow_Name],Tab_Def_Flows[DM?],,0,)</f>
        <v>Yes</v>
      </c>
      <c r="F268" s="9" t="str">
        <f>_xlfn.XLOOKUP(C268,Tab_Def_Flows[Flow_Name],Tab_Def_Flows[CC?],,0,)</f>
        <v>Yes</v>
      </c>
      <c r="G268" s="7">
        <v>2089</v>
      </c>
      <c r="H268" s="21">
        <v>10000</v>
      </c>
      <c r="I268" s="6" t="str">
        <f>'0_Configuration'!$C$4</f>
        <v>Mg</v>
      </c>
      <c r="J268" s="13"/>
      <c r="K268" s="13"/>
      <c r="L268" s="13"/>
      <c r="M268" s="13"/>
      <c r="N268" s="13"/>
      <c r="O268" s="7" t="s">
        <v>6</v>
      </c>
      <c r="P268" s="14"/>
      <c r="Q268" s="7"/>
      <c r="R268" s="6" t="str">
        <f>Tab_Data_Flows[[#This Row],[Flow_ID]]&amp;"_"&amp;"material_"&amp;Tab_Data_Flows[[#This Row],[Flow_Data_Year]]</f>
        <v>F_01_09_material_2089</v>
      </c>
      <c r="S268" s="12">
        <f t="shared" si="8"/>
        <v>10000</v>
      </c>
      <c r="T268" s="6" t="str">
        <f>Tab_Data_Flows[[#This Row],[UoM_Source]]</f>
        <v>Mg</v>
      </c>
      <c r="U268" s="139">
        <f>INDEX(Tab_Def_Flows[[Flow_ID]:[CC_DM_source]],MATCH(Tab_Data_Flows[[#This Row],[Flow_Name]],Tab_Def_Flows[Flow_Name],0),11)</f>
        <v>1</v>
      </c>
      <c r="V268" s="6" t="str">
        <f>Tab_Data_Flows[[#This Row],[Flow_ID]]&amp;"_"&amp;"WC_"&amp;Tab_Data_Flows[[#This Row],[Flow_Data_Year]]</f>
        <v>F_01_09_WC_2089</v>
      </c>
      <c r="W268" s="6">
        <f>IF(D268="Yes",S268*Tab_Data_Flows[[#This Row],[WC_'[%']]],"N.A.")</f>
        <v>10000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F_01_09_DM_2089</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F_01_09_CC_2089</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F_01_09</v>
      </c>
      <c r="C269" s="138" t="s">
        <v>1103</v>
      </c>
      <c r="D269" s="9" t="str">
        <f>_xlfn.XLOOKUP(C269,Tab_Def_Flows[Flow_Name],Tab_Def_Flows[WC?],,0,)</f>
        <v>Yes</v>
      </c>
      <c r="E269" s="9" t="str">
        <f>_xlfn.XLOOKUP(C269,Tab_Def_Flows[Flow_Name],Tab_Def_Flows[DM?],,0,)</f>
        <v>Yes</v>
      </c>
      <c r="F269" s="9" t="str">
        <f>_xlfn.XLOOKUP(C269,Tab_Def_Flows[Flow_Name],Tab_Def_Flows[CC?],,0,)</f>
        <v>Yes</v>
      </c>
      <c r="G269" s="7">
        <v>2090</v>
      </c>
      <c r="H269" s="21">
        <v>10000</v>
      </c>
      <c r="I269" s="6" t="str">
        <f>'0_Configuration'!$C$4</f>
        <v>Mg</v>
      </c>
      <c r="J269" s="13"/>
      <c r="K269" s="13"/>
      <c r="L269" s="13"/>
      <c r="M269" s="13"/>
      <c r="N269" s="13"/>
      <c r="O269" s="7" t="s">
        <v>6</v>
      </c>
      <c r="P269" s="14"/>
      <c r="Q269" s="7"/>
      <c r="R269" s="6" t="str">
        <f>Tab_Data_Flows[[#This Row],[Flow_ID]]&amp;"_"&amp;"material_"&amp;Tab_Data_Flows[[#This Row],[Flow_Data_Year]]</f>
        <v>F_01_09_material_2090</v>
      </c>
      <c r="S269" s="12">
        <f t="shared" si="8"/>
        <v>10000</v>
      </c>
      <c r="T269" s="6" t="str">
        <f>Tab_Data_Flows[[#This Row],[UoM_Source]]</f>
        <v>Mg</v>
      </c>
      <c r="U269" s="139">
        <f>INDEX(Tab_Def_Flows[[Flow_ID]:[CC_DM_source]],MATCH(Tab_Data_Flows[[#This Row],[Flow_Name]],Tab_Def_Flows[Flow_Name],0),11)</f>
        <v>1</v>
      </c>
      <c r="V269" s="6" t="str">
        <f>Tab_Data_Flows[[#This Row],[Flow_ID]]&amp;"_"&amp;"WC_"&amp;Tab_Data_Flows[[#This Row],[Flow_Data_Year]]</f>
        <v>F_01_09_WC_2090</v>
      </c>
      <c r="W269" s="6">
        <f>IF(D269="Yes",S269*Tab_Data_Flows[[#This Row],[WC_'[%']]],"N.A.")</f>
        <v>10000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F_01_09_DM_2090</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F_01_09_CC_2090</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F_01_09</v>
      </c>
      <c r="C270" s="138" t="s">
        <v>1103</v>
      </c>
      <c r="D270" s="9" t="str">
        <f>_xlfn.XLOOKUP(C270,Tab_Def_Flows[Flow_Name],Tab_Def_Flows[WC?],,0,)</f>
        <v>Yes</v>
      </c>
      <c r="E270" s="9" t="str">
        <f>_xlfn.XLOOKUP(C270,Tab_Def_Flows[Flow_Name],Tab_Def_Flows[DM?],,0,)</f>
        <v>Yes</v>
      </c>
      <c r="F270" s="9" t="str">
        <f>_xlfn.XLOOKUP(C270,Tab_Def_Flows[Flow_Name],Tab_Def_Flows[CC?],,0,)</f>
        <v>Yes</v>
      </c>
      <c r="G270" s="7">
        <v>2091</v>
      </c>
      <c r="H270" s="21">
        <v>10000</v>
      </c>
      <c r="I270" s="6" t="str">
        <f>'0_Configuration'!$C$4</f>
        <v>Mg</v>
      </c>
      <c r="J270" s="13"/>
      <c r="K270" s="13"/>
      <c r="L270" s="13"/>
      <c r="M270" s="13"/>
      <c r="N270" s="13"/>
      <c r="O270" s="7" t="s">
        <v>6</v>
      </c>
      <c r="P270" s="14"/>
      <c r="Q270" s="7"/>
      <c r="R270" s="6" t="str">
        <f>Tab_Data_Flows[[#This Row],[Flow_ID]]&amp;"_"&amp;"material_"&amp;Tab_Data_Flows[[#This Row],[Flow_Data_Year]]</f>
        <v>F_01_09_material_2091</v>
      </c>
      <c r="S270" s="12">
        <f t="shared" si="8"/>
        <v>10000</v>
      </c>
      <c r="T270" s="6" t="str">
        <f>Tab_Data_Flows[[#This Row],[UoM_Source]]</f>
        <v>Mg</v>
      </c>
      <c r="U270" s="139">
        <f>INDEX(Tab_Def_Flows[[Flow_ID]:[CC_DM_source]],MATCH(Tab_Data_Flows[[#This Row],[Flow_Name]],Tab_Def_Flows[Flow_Name],0),11)</f>
        <v>1</v>
      </c>
      <c r="V270" s="6" t="str">
        <f>Tab_Data_Flows[[#This Row],[Flow_ID]]&amp;"_"&amp;"WC_"&amp;Tab_Data_Flows[[#This Row],[Flow_Data_Year]]</f>
        <v>F_01_09_WC_2091</v>
      </c>
      <c r="W270" s="6">
        <f>IF(D270="Yes",S270*Tab_Data_Flows[[#This Row],[WC_'[%']]],"N.A.")</f>
        <v>10000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F_01_09_DM_2091</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F_01_09_CC_2091</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F_01_09</v>
      </c>
      <c r="C271" s="138" t="s">
        <v>1103</v>
      </c>
      <c r="D271" s="9" t="str">
        <f>_xlfn.XLOOKUP(C271,Tab_Def_Flows[Flow_Name],Tab_Def_Flows[WC?],,0,)</f>
        <v>Yes</v>
      </c>
      <c r="E271" s="9" t="str">
        <f>_xlfn.XLOOKUP(C271,Tab_Def_Flows[Flow_Name],Tab_Def_Flows[DM?],,0,)</f>
        <v>Yes</v>
      </c>
      <c r="F271" s="9" t="str">
        <f>_xlfn.XLOOKUP(C271,Tab_Def_Flows[Flow_Name],Tab_Def_Flows[CC?],,0,)</f>
        <v>Yes</v>
      </c>
      <c r="G271" s="7">
        <v>2092</v>
      </c>
      <c r="H271" s="21">
        <v>10000</v>
      </c>
      <c r="I271" s="6" t="str">
        <f>'0_Configuration'!$C$4</f>
        <v>Mg</v>
      </c>
      <c r="J271" s="13"/>
      <c r="K271" s="13"/>
      <c r="L271" s="13"/>
      <c r="M271" s="13"/>
      <c r="N271" s="13"/>
      <c r="O271" s="7" t="s">
        <v>6</v>
      </c>
      <c r="P271" s="14"/>
      <c r="Q271" s="7"/>
      <c r="R271" s="6" t="str">
        <f>Tab_Data_Flows[[#This Row],[Flow_ID]]&amp;"_"&amp;"material_"&amp;Tab_Data_Flows[[#This Row],[Flow_Data_Year]]</f>
        <v>F_01_09_material_2092</v>
      </c>
      <c r="S271" s="12">
        <f t="shared" si="8"/>
        <v>10000</v>
      </c>
      <c r="T271" s="6" t="str">
        <f>Tab_Data_Flows[[#This Row],[UoM_Source]]</f>
        <v>Mg</v>
      </c>
      <c r="U271" s="139">
        <f>INDEX(Tab_Def_Flows[[Flow_ID]:[CC_DM_source]],MATCH(Tab_Data_Flows[[#This Row],[Flow_Name]],Tab_Def_Flows[Flow_Name],0),11)</f>
        <v>1</v>
      </c>
      <c r="V271" s="6" t="str">
        <f>Tab_Data_Flows[[#This Row],[Flow_ID]]&amp;"_"&amp;"WC_"&amp;Tab_Data_Flows[[#This Row],[Flow_Data_Year]]</f>
        <v>F_01_09_WC_2092</v>
      </c>
      <c r="W271" s="6">
        <f>IF(D271="Yes",S271*Tab_Data_Flows[[#This Row],[WC_'[%']]],"N.A.")</f>
        <v>10000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F_01_09_DM_2092</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F_01_09_CC_2092</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F_01_09</v>
      </c>
      <c r="C272" s="138" t="s">
        <v>1103</v>
      </c>
      <c r="D272" s="9" t="str">
        <f>_xlfn.XLOOKUP(C272,Tab_Def_Flows[Flow_Name],Tab_Def_Flows[WC?],,0,)</f>
        <v>Yes</v>
      </c>
      <c r="E272" s="9" t="str">
        <f>_xlfn.XLOOKUP(C272,Tab_Def_Flows[Flow_Name],Tab_Def_Flows[DM?],,0,)</f>
        <v>Yes</v>
      </c>
      <c r="F272" s="9" t="str">
        <f>_xlfn.XLOOKUP(C272,Tab_Def_Flows[Flow_Name],Tab_Def_Flows[CC?],,0,)</f>
        <v>Yes</v>
      </c>
      <c r="G272" s="7">
        <v>2093</v>
      </c>
      <c r="H272" s="21">
        <v>10000</v>
      </c>
      <c r="I272" s="6" t="str">
        <f>'0_Configuration'!$C$4</f>
        <v>Mg</v>
      </c>
      <c r="J272" s="13"/>
      <c r="K272" s="13"/>
      <c r="L272" s="13"/>
      <c r="M272" s="13"/>
      <c r="N272" s="13"/>
      <c r="O272" s="7" t="s">
        <v>6</v>
      </c>
      <c r="P272" s="14"/>
      <c r="Q272" s="7"/>
      <c r="R272" s="6" t="str">
        <f>Tab_Data_Flows[[#This Row],[Flow_ID]]&amp;"_"&amp;"material_"&amp;Tab_Data_Flows[[#This Row],[Flow_Data_Year]]</f>
        <v>F_01_09_material_2093</v>
      </c>
      <c r="S272" s="12">
        <f t="shared" si="8"/>
        <v>10000</v>
      </c>
      <c r="T272" s="6" t="str">
        <f>Tab_Data_Flows[[#This Row],[UoM_Source]]</f>
        <v>Mg</v>
      </c>
      <c r="U272" s="139">
        <f>INDEX(Tab_Def_Flows[[Flow_ID]:[CC_DM_source]],MATCH(Tab_Data_Flows[[#This Row],[Flow_Name]],Tab_Def_Flows[Flow_Name],0),11)</f>
        <v>1</v>
      </c>
      <c r="V272" s="6" t="str">
        <f>Tab_Data_Flows[[#This Row],[Flow_ID]]&amp;"_"&amp;"WC_"&amp;Tab_Data_Flows[[#This Row],[Flow_Data_Year]]</f>
        <v>F_01_09_WC_2093</v>
      </c>
      <c r="W272" s="6">
        <f>IF(D272="Yes",S272*Tab_Data_Flows[[#This Row],[WC_'[%']]],"N.A.")</f>
        <v>10000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F_01_09_DM_2093</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F_01_09_CC_2093</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F_01_09</v>
      </c>
      <c r="C273" s="138" t="s">
        <v>1103</v>
      </c>
      <c r="D273" s="9" t="str">
        <f>_xlfn.XLOOKUP(C273,Tab_Def_Flows[Flow_Name],Tab_Def_Flows[WC?],,0,)</f>
        <v>Yes</v>
      </c>
      <c r="E273" s="9" t="str">
        <f>_xlfn.XLOOKUP(C273,Tab_Def_Flows[Flow_Name],Tab_Def_Flows[DM?],,0,)</f>
        <v>Yes</v>
      </c>
      <c r="F273" s="9" t="str">
        <f>_xlfn.XLOOKUP(C273,Tab_Def_Flows[Flow_Name],Tab_Def_Flows[CC?],,0,)</f>
        <v>Yes</v>
      </c>
      <c r="G273" s="7">
        <v>2094</v>
      </c>
      <c r="H273" s="21">
        <v>10000</v>
      </c>
      <c r="I273" s="6" t="str">
        <f>'0_Configuration'!$C$4</f>
        <v>Mg</v>
      </c>
      <c r="J273" s="13"/>
      <c r="K273" s="13"/>
      <c r="L273" s="13"/>
      <c r="M273" s="13"/>
      <c r="N273" s="13"/>
      <c r="O273" s="7" t="s">
        <v>6</v>
      </c>
      <c r="P273" s="14"/>
      <c r="Q273" s="7"/>
      <c r="R273" s="6" t="str">
        <f>Tab_Data_Flows[[#This Row],[Flow_ID]]&amp;"_"&amp;"material_"&amp;Tab_Data_Flows[[#This Row],[Flow_Data_Year]]</f>
        <v>F_01_09_material_2094</v>
      </c>
      <c r="S273" s="12">
        <f t="shared" si="8"/>
        <v>10000</v>
      </c>
      <c r="T273" s="6" t="str">
        <f>Tab_Data_Flows[[#This Row],[UoM_Source]]</f>
        <v>Mg</v>
      </c>
      <c r="U273" s="139">
        <f>INDEX(Tab_Def_Flows[[Flow_ID]:[CC_DM_source]],MATCH(Tab_Data_Flows[[#This Row],[Flow_Name]],Tab_Def_Flows[Flow_Name],0),11)</f>
        <v>1</v>
      </c>
      <c r="V273" s="6" t="str">
        <f>Tab_Data_Flows[[#This Row],[Flow_ID]]&amp;"_"&amp;"WC_"&amp;Tab_Data_Flows[[#This Row],[Flow_Data_Year]]</f>
        <v>F_01_09_WC_2094</v>
      </c>
      <c r="W273" s="6">
        <f>IF(D273="Yes",S273*Tab_Data_Flows[[#This Row],[WC_'[%']]],"N.A.")</f>
        <v>10000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F_01_09_DM_2094</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F_01_09_CC_2094</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F_01_09</v>
      </c>
      <c r="C274" s="138" t="s">
        <v>1103</v>
      </c>
      <c r="D274" s="9" t="str">
        <f>_xlfn.XLOOKUP(C274,Tab_Def_Flows[Flow_Name],Tab_Def_Flows[WC?],,0,)</f>
        <v>Yes</v>
      </c>
      <c r="E274" s="9" t="str">
        <f>_xlfn.XLOOKUP(C274,Tab_Def_Flows[Flow_Name],Tab_Def_Flows[DM?],,0,)</f>
        <v>Yes</v>
      </c>
      <c r="F274" s="9" t="str">
        <f>_xlfn.XLOOKUP(C274,Tab_Def_Flows[Flow_Name],Tab_Def_Flows[CC?],,0,)</f>
        <v>Yes</v>
      </c>
      <c r="G274" s="7">
        <v>2095</v>
      </c>
      <c r="H274" s="21">
        <v>10000</v>
      </c>
      <c r="I274" s="6" t="str">
        <f>'0_Configuration'!$C$4</f>
        <v>Mg</v>
      </c>
      <c r="J274" s="13"/>
      <c r="K274" s="13"/>
      <c r="L274" s="13"/>
      <c r="M274" s="13"/>
      <c r="N274" s="13"/>
      <c r="O274" s="7" t="s">
        <v>6</v>
      </c>
      <c r="P274" s="14"/>
      <c r="Q274" s="7"/>
      <c r="R274" s="6" t="str">
        <f>Tab_Data_Flows[[#This Row],[Flow_ID]]&amp;"_"&amp;"material_"&amp;Tab_Data_Flows[[#This Row],[Flow_Data_Year]]</f>
        <v>F_01_09_material_2095</v>
      </c>
      <c r="S274" s="12">
        <f t="shared" si="8"/>
        <v>10000</v>
      </c>
      <c r="T274" s="6" t="str">
        <f>Tab_Data_Flows[[#This Row],[UoM_Source]]</f>
        <v>Mg</v>
      </c>
      <c r="U274" s="139">
        <f>INDEX(Tab_Def_Flows[[Flow_ID]:[CC_DM_source]],MATCH(Tab_Data_Flows[[#This Row],[Flow_Name]],Tab_Def_Flows[Flow_Name],0),11)</f>
        <v>1</v>
      </c>
      <c r="V274" s="6" t="str">
        <f>Tab_Data_Flows[[#This Row],[Flow_ID]]&amp;"_"&amp;"WC_"&amp;Tab_Data_Flows[[#This Row],[Flow_Data_Year]]</f>
        <v>F_01_09_WC_2095</v>
      </c>
      <c r="W274" s="6">
        <f>IF(D274="Yes",S274*Tab_Data_Flows[[#This Row],[WC_'[%']]],"N.A.")</f>
        <v>10000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F_01_09_DM_2095</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F_01_09_CC_2095</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F_01_09</v>
      </c>
      <c r="C275" s="138" t="s">
        <v>1103</v>
      </c>
      <c r="D275" s="9" t="str">
        <f>_xlfn.XLOOKUP(C275,Tab_Def_Flows[Flow_Name],Tab_Def_Flows[WC?],,0,)</f>
        <v>Yes</v>
      </c>
      <c r="E275" s="9" t="str">
        <f>_xlfn.XLOOKUP(C275,Tab_Def_Flows[Flow_Name],Tab_Def_Flows[DM?],,0,)</f>
        <v>Yes</v>
      </c>
      <c r="F275" s="9" t="str">
        <f>_xlfn.XLOOKUP(C275,Tab_Def_Flows[Flow_Name],Tab_Def_Flows[CC?],,0,)</f>
        <v>Yes</v>
      </c>
      <c r="G275" s="7">
        <v>2096</v>
      </c>
      <c r="H275" s="21">
        <v>10000</v>
      </c>
      <c r="I275" s="6" t="str">
        <f>'0_Configuration'!$C$4</f>
        <v>Mg</v>
      </c>
      <c r="J275" s="13"/>
      <c r="K275" s="13"/>
      <c r="L275" s="13"/>
      <c r="M275" s="13"/>
      <c r="N275" s="13"/>
      <c r="O275" s="7" t="s">
        <v>6</v>
      </c>
      <c r="P275" s="14"/>
      <c r="Q275" s="7"/>
      <c r="R275" s="6" t="str">
        <f>Tab_Data_Flows[[#This Row],[Flow_ID]]&amp;"_"&amp;"material_"&amp;Tab_Data_Flows[[#This Row],[Flow_Data_Year]]</f>
        <v>F_01_09_material_2096</v>
      </c>
      <c r="S275" s="12">
        <f t="shared" si="8"/>
        <v>10000</v>
      </c>
      <c r="T275" s="6" t="str">
        <f>Tab_Data_Flows[[#This Row],[UoM_Source]]</f>
        <v>Mg</v>
      </c>
      <c r="U275" s="139">
        <f>INDEX(Tab_Def_Flows[[Flow_ID]:[CC_DM_source]],MATCH(Tab_Data_Flows[[#This Row],[Flow_Name]],Tab_Def_Flows[Flow_Name],0),11)</f>
        <v>1</v>
      </c>
      <c r="V275" s="6" t="str">
        <f>Tab_Data_Flows[[#This Row],[Flow_ID]]&amp;"_"&amp;"WC_"&amp;Tab_Data_Flows[[#This Row],[Flow_Data_Year]]</f>
        <v>F_01_09_WC_2096</v>
      </c>
      <c r="W275" s="6">
        <f>IF(D275="Yes",S275*Tab_Data_Flows[[#This Row],[WC_'[%']]],"N.A.")</f>
        <v>10000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F_01_09_DM_2096</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F_01_09_CC_2096</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F_01_09</v>
      </c>
      <c r="C276" s="138" t="s">
        <v>1103</v>
      </c>
      <c r="D276" s="9" t="str">
        <f>_xlfn.XLOOKUP(C276,Tab_Def_Flows[Flow_Name],Tab_Def_Flows[WC?],,0,)</f>
        <v>Yes</v>
      </c>
      <c r="E276" s="9" t="str">
        <f>_xlfn.XLOOKUP(C276,Tab_Def_Flows[Flow_Name],Tab_Def_Flows[DM?],,0,)</f>
        <v>Yes</v>
      </c>
      <c r="F276" s="9" t="str">
        <f>_xlfn.XLOOKUP(C276,Tab_Def_Flows[Flow_Name],Tab_Def_Flows[CC?],,0,)</f>
        <v>Yes</v>
      </c>
      <c r="G276" s="7">
        <v>2097</v>
      </c>
      <c r="H276" s="21">
        <v>10000</v>
      </c>
      <c r="I276" s="6" t="str">
        <f>'0_Configuration'!$C$4</f>
        <v>Mg</v>
      </c>
      <c r="J276" s="13"/>
      <c r="K276" s="13"/>
      <c r="L276" s="13"/>
      <c r="M276" s="13"/>
      <c r="N276" s="13"/>
      <c r="O276" s="7" t="s">
        <v>6</v>
      </c>
      <c r="P276" s="14"/>
      <c r="Q276" s="7"/>
      <c r="R276" s="6" t="str">
        <f>Tab_Data_Flows[[#This Row],[Flow_ID]]&amp;"_"&amp;"material_"&amp;Tab_Data_Flows[[#This Row],[Flow_Data_Year]]</f>
        <v>F_01_09_material_2097</v>
      </c>
      <c r="S276" s="12">
        <f t="shared" si="8"/>
        <v>10000</v>
      </c>
      <c r="T276" s="6" t="str">
        <f>Tab_Data_Flows[[#This Row],[UoM_Source]]</f>
        <v>Mg</v>
      </c>
      <c r="U276" s="139">
        <f>INDEX(Tab_Def_Flows[[Flow_ID]:[CC_DM_source]],MATCH(Tab_Data_Flows[[#This Row],[Flow_Name]],Tab_Def_Flows[Flow_Name],0),11)</f>
        <v>1</v>
      </c>
      <c r="V276" s="6" t="str">
        <f>Tab_Data_Flows[[#This Row],[Flow_ID]]&amp;"_"&amp;"WC_"&amp;Tab_Data_Flows[[#This Row],[Flow_Data_Year]]</f>
        <v>F_01_09_WC_2097</v>
      </c>
      <c r="W276" s="6">
        <f>IF(D276="Yes",S276*Tab_Data_Flows[[#This Row],[WC_'[%']]],"N.A.")</f>
        <v>10000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F_01_09_DM_2097</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F_01_09_CC_2097</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F_01_09</v>
      </c>
      <c r="C277" s="138" t="s">
        <v>1103</v>
      </c>
      <c r="D277" s="9" t="str">
        <f>_xlfn.XLOOKUP(C277,Tab_Def_Flows[Flow_Name],Tab_Def_Flows[WC?],,0,)</f>
        <v>Yes</v>
      </c>
      <c r="E277" s="9" t="str">
        <f>_xlfn.XLOOKUP(C277,Tab_Def_Flows[Flow_Name],Tab_Def_Flows[DM?],,0,)</f>
        <v>Yes</v>
      </c>
      <c r="F277" s="9" t="str">
        <f>_xlfn.XLOOKUP(C277,Tab_Def_Flows[Flow_Name],Tab_Def_Flows[CC?],,0,)</f>
        <v>Yes</v>
      </c>
      <c r="G277" s="7">
        <v>2098</v>
      </c>
      <c r="H277" s="21">
        <v>10000</v>
      </c>
      <c r="I277" s="6" t="str">
        <f>'0_Configuration'!$C$4</f>
        <v>Mg</v>
      </c>
      <c r="J277" s="13"/>
      <c r="K277" s="13"/>
      <c r="L277" s="13"/>
      <c r="M277" s="13"/>
      <c r="N277" s="13"/>
      <c r="O277" s="7" t="s">
        <v>6</v>
      </c>
      <c r="P277" s="14"/>
      <c r="Q277" s="7"/>
      <c r="R277" s="6" t="str">
        <f>Tab_Data_Flows[[#This Row],[Flow_ID]]&amp;"_"&amp;"material_"&amp;Tab_Data_Flows[[#This Row],[Flow_Data_Year]]</f>
        <v>F_01_09_material_2098</v>
      </c>
      <c r="S277" s="12">
        <f t="shared" si="8"/>
        <v>10000</v>
      </c>
      <c r="T277" s="6" t="str">
        <f>Tab_Data_Flows[[#This Row],[UoM_Source]]</f>
        <v>Mg</v>
      </c>
      <c r="U277" s="139">
        <f>INDEX(Tab_Def_Flows[[Flow_ID]:[CC_DM_source]],MATCH(Tab_Data_Flows[[#This Row],[Flow_Name]],Tab_Def_Flows[Flow_Name],0),11)</f>
        <v>1</v>
      </c>
      <c r="V277" s="6" t="str">
        <f>Tab_Data_Flows[[#This Row],[Flow_ID]]&amp;"_"&amp;"WC_"&amp;Tab_Data_Flows[[#This Row],[Flow_Data_Year]]</f>
        <v>F_01_09_WC_2098</v>
      </c>
      <c r="W277" s="6">
        <f>IF(D277="Yes",S277*Tab_Data_Flows[[#This Row],[WC_'[%']]],"N.A.")</f>
        <v>10000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F_01_09_DM_2098</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F_01_09_CC_2098</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F_01_09</v>
      </c>
      <c r="C278" s="138" t="s">
        <v>1103</v>
      </c>
      <c r="D278" s="9" t="str">
        <f>_xlfn.XLOOKUP(C278,Tab_Def_Flows[Flow_Name],Tab_Def_Flows[WC?],,0,)</f>
        <v>Yes</v>
      </c>
      <c r="E278" s="9" t="str">
        <f>_xlfn.XLOOKUP(C278,Tab_Def_Flows[Flow_Name],Tab_Def_Flows[DM?],,0,)</f>
        <v>Yes</v>
      </c>
      <c r="F278" s="9" t="str">
        <f>_xlfn.XLOOKUP(C278,Tab_Def_Flows[Flow_Name],Tab_Def_Flows[CC?],,0,)</f>
        <v>Yes</v>
      </c>
      <c r="G278" s="7">
        <v>2099</v>
      </c>
      <c r="H278" s="21">
        <v>10000</v>
      </c>
      <c r="I278" s="6" t="str">
        <f>'0_Configuration'!$C$4</f>
        <v>Mg</v>
      </c>
      <c r="J278" s="13"/>
      <c r="K278" s="13"/>
      <c r="L278" s="13"/>
      <c r="M278" s="13"/>
      <c r="N278" s="13"/>
      <c r="O278" s="7" t="s">
        <v>6</v>
      </c>
      <c r="P278" s="14"/>
      <c r="Q278" s="7"/>
      <c r="R278" s="6" t="str">
        <f>Tab_Data_Flows[[#This Row],[Flow_ID]]&amp;"_"&amp;"material_"&amp;Tab_Data_Flows[[#This Row],[Flow_Data_Year]]</f>
        <v>F_01_09_material_2099</v>
      </c>
      <c r="S278" s="12">
        <f t="shared" si="8"/>
        <v>10000</v>
      </c>
      <c r="T278" s="6" t="str">
        <f>Tab_Data_Flows[[#This Row],[UoM_Source]]</f>
        <v>Mg</v>
      </c>
      <c r="U278" s="139">
        <f>INDEX(Tab_Def_Flows[[Flow_ID]:[CC_DM_source]],MATCH(Tab_Data_Flows[[#This Row],[Flow_Name]],Tab_Def_Flows[Flow_Name],0),11)</f>
        <v>1</v>
      </c>
      <c r="V278" s="6" t="str">
        <f>Tab_Data_Flows[[#This Row],[Flow_ID]]&amp;"_"&amp;"WC_"&amp;Tab_Data_Flows[[#This Row],[Flow_Data_Year]]</f>
        <v>F_01_09_WC_2099</v>
      </c>
      <c r="W278" s="6">
        <f>IF(D278="Yes",S278*Tab_Data_Flows[[#This Row],[WC_'[%']]],"N.A.")</f>
        <v>10000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F_01_09_DM_2099</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F_01_09_CC_2099</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F_01_09</v>
      </c>
      <c r="C279" s="138" t="s">
        <v>1103</v>
      </c>
      <c r="D279" s="9" t="str">
        <f>_xlfn.XLOOKUP(C279,Tab_Def_Flows[Flow_Name],Tab_Def_Flows[WC?],,0,)</f>
        <v>Yes</v>
      </c>
      <c r="E279" s="9" t="str">
        <f>_xlfn.XLOOKUP(C279,Tab_Def_Flows[Flow_Name],Tab_Def_Flows[DM?],,0,)</f>
        <v>Yes</v>
      </c>
      <c r="F279" s="9" t="str">
        <f>_xlfn.XLOOKUP(C279,Tab_Def_Flows[Flow_Name],Tab_Def_Flows[CC?],,0,)</f>
        <v>Yes</v>
      </c>
      <c r="G279" s="7">
        <v>2100</v>
      </c>
      <c r="H279" s="21">
        <v>10000</v>
      </c>
      <c r="I279" s="6" t="str">
        <f>'0_Configuration'!$C$4</f>
        <v>Mg</v>
      </c>
      <c r="J279" s="13"/>
      <c r="K279" s="13"/>
      <c r="L279" s="13"/>
      <c r="M279" s="13"/>
      <c r="N279" s="13"/>
      <c r="O279" s="7" t="s">
        <v>6</v>
      </c>
      <c r="P279" s="14"/>
      <c r="Q279" s="7"/>
      <c r="R279" s="6" t="str">
        <f>Tab_Data_Flows[[#This Row],[Flow_ID]]&amp;"_"&amp;"material_"&amp;Tab_Data_Flows[[#This Row],[Flow_Data_Year]]</f>
        <v>F_01_09_material_2100</v>
      </c>
      <c r="S279" s="12">
        <f t="shared" si="8"/>
        <v>10000</v>
      </c>
      <c r="T279" s="6" t="str">
        <f>Tab_Data_Flows[[#This Row],[UoM_Source]]</f>
        <v>Mg</v>
      </c>
      <c r="U279" s="139">
        <f>INDEX(Tab_Def_Flows[[Flow_ID]:[CC_DM_source]],MATCH(Tab_Data_Flows[[#This Row],[Flow_Name]],Tab_Def_Flows[Flow_Name],0),11)</f>
        <v>1</v>
      </c>
      <c r="V279" s="6" t="str">
        <f>Tab_Data_Flows[[#This Row],[Flow_ID]]&amp;"_"&amp;"WC_"&amp;Tab_Data_Flows[[#This Row],[Flow_Data_Year]]</f>
        <v>F_01_09_WC_2100</v>
      </c>
      <c r="W279" s="6">
        <f>IF(D279="Yes",S279*Tab_Data_Flows[[#This Row],[WC_'[%']]],"N.A.")</f>
        <v>10000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F_01_09_DM_2100</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F_01_09_CC_2100</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F_01_09</v>
      </c>
      <c r="C280" s="138" t="s">
        <v>1103</v>
      </c>
      <c r="D280" s="9" t="str">
        <f>_xlfn.XLOOKUP(C280,Tab_Def_Flows[Flow_Name],Tab_Def_Flows[WC?],,0,)</f>
        <v>Yes</v>
      </c>
      <c r="E280" s="9" t="str">
        <f>_xlfn.XLOOKUP(C280,Tab_Def_Flows[Flow_Name],Tab_Def_Flows[DM?],,0,)</f>
        <v>Yes</v>
      </c>
      <c r="F280" s="9" t="str">
        <f>_xlfn.XLOOKUP(C280,Tab_Def_Flows[Flow_Name],Tab_Def_Flows[CC?],,0,)</f>
        <v>Yes</v>
      </c>
      <c r="G280" s="7">
        <v>2101</v>
      </c>
      <c r="H280" s="21">
        <v>10000</v>
      </c>
      <c r="I280" s="6" t="str">
        <f>'0_Configuration'!$C$4</f>
        <v>Mg</v>
      </c>
      <c r="J280" s="13"/>
      <c r="K280" s="13"/>
      <c r="L280" s="13"/>
      <c r="M280" s="13"/>
      <c r="N280" s="13"/>
      <c r="O280" s="7" t="s">
        <v>6</v>
      </c>
      <c r="P280" s="14"/>
      <c r="Q280" s="7"/>
      <c r="R280" s="6" t="str">
        <f>Tab_Data_Flows[[#This Row],[Flow_ID]]&amp;"_"&amp;"material_"&amp;Tab_Data_Flows[[#This Row],[Flow_Data_Year]]</f>
        <v>F_01_09_material_2101</v>
      </c>
      <c r="S280" s="12">
        <f t="shared" si="8"/>
        <v>10000</v>
      </c>
      <c r="T280" s="6" t="str">
        <f>Tab_Data_Flows[[#This Row],[UoM_Source]]</f>
        <v>Mg</v>
      </c>
      <c r="U280" s="139">
        <f>INDEX(Tab_Def_Flows[[Flow_ID]:[CC_DM_source]],MATCH(Tab_Data_Flows[[#This Row],[Flow_Name]],Tab_Def_Flows[Flow_Name],0),11)</f>
        <v>1</v>
      </c>
      <c r="V280" s="6" t="str">
        <f>Tab_Data_Flows[[#This Row],[Flow_ID]]&amp;"_"&amp;"WC_"&amp;Tab_Data_Flows[[#This Row],[Flow_Data_Year]]</f>
        <v>F_01_09_WC_2101</v>
      </c>
      <c r="W280" s="6">
        <f>IF(D280="Yes",S280*Tab_Data_Flows[[#This Row],[WC_'[%']]],"N.A.")</f>
        <v>10000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F_01_09_DM_2101</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F_01_09_CC_2101</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F_01_09</v>
      </c>
      <c r="C281" s="138" t="s">
        <v>1103</v>
      </c>
      <c r="D281" s="9" t="str">
        <f>_xlfn.XLOOKUP(C281,Tab_Def_Flows[Flow_Name],Tab_Def_Flows[WC?],,0,)</f>
        <v>Yes</v>
      </c>
      <c r="E281" s="9" t="str">
        <f>_xlfn.XLOOKUP(C281,Tab_Def_Flows[Flow_Name],Tab_Def_Flows[DM?],,0,)</f>
        <v>Yes</v>
      </c>
      <c r="F281" s="9" t="str">
        <f>_xlfn.XLOOKUP(C281,Tab_Def_Flows[Flow_Name],Tab_Def_Flows[CC?],,0,)</f>
        <v>Yes</v>
      </c>
      <c r="G281" s="7">
        <v>2102</v>
      </c>
      <c r="H281" s="21">
        <v>10000</v>
      </c>
      <c r="I281" s="6" t="str">
        <f>'0_Configuration'!$C$4</f>
        <v>Mg</v>
      </c>
      <c r="J281" s="13"/>
      <c r="K281" s="13"/>
      <c r="L281" s="13"/>
      <c r="M281" s="13"/>
      <c r="N281" s="13"/>
      <c r="O281" s="7" t="s">
        <v>6</v>
      </c>
      <c r="P281" s="14"/>
      <c r="Q281" s="7"/>
      <c r="R281" s="6" t="str">
        <f>Tab_Data_Flows[[#This Row],[Flow_ID]]&amp;"_"&amp;"material_"&amp;Tab_Data_Flows[[#This Row],[Flow_Data_Year]]</f>
        <v>F_01_09_material_2102</v>
      </c>
      <c r="S281" s="12">
        <f t="shared" si="8"/>
        <v>10000</v>
      </c>
      <c r="T281" s="6" t="str">
        <f>Tab_Data_Flows[[#This Row],[UoM_Source]]</f>
        <v>Mg</v>
      </c>
      <c r="U281" s="139">
        <f>INDEX(Tab_Def_Flows[[Flow_ID]:[CC_DM_source]],MATCH(Tab_Data_Flows[[#This Row],[Flow_Name]],Tab_Def_Flows[Flow_Name],0),11)</f>
        <v>1</v>
      </c>
      <c r="V281" s="6" t="str">
        <f>Tab_Data_Flows[[#This Row],[Flow_ID]]&amp;"_"&amp;"WC_"&amp;Tab_Data_Flows[[#This Row],[Flow_Data_Year]]</f>
        <v>F_01_09_WC_2102</v>
      </c>
      <c r="W281" s="6">
        <f>IF(D281="Yes",S281*Tab_Data_Flows[[#This Row],[WC_'[%']]],"N.A.")</f>
        <v>10000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F_01_09_DM_2102</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F_01_09_CC_2102</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F_01_09</v>
      </c>
      <c r="C282" s="138" t="s">
        <v>1103</v>
      </c>
      <c r="D282" s="9" t="str">
        <f>_xlfn.XLOOKUP(C282,Tab_Def_Flows[Flow_Name],Tab_Def_Flows[WC?],,0,)</f>
        <v>Yes</v>
      </c>
      <c r="E282" s="9" t="str">
        <f>_xlfn.XLOOKUP(C282,Tab_Def_Flows[Flow_Name],Tab_Def_Flows[DM?],,0,)</f>
        <v>Yes</v>
      </c>
      <c r="F282" s="9" t="str">
        <f>_xlfn.XLOOKUP(C282,Tab_Def_Flows[Flow_Name],Tab_Def_Flows[CC?],,0,)</f>
        <v>Yes</v>
      </c>
      <c r="G282" s="7">
        <v>2103</v>
      </c>
      <c r="H282" s="21">
        <v>10000</v>
      </c>
      <c r="I282" s="6" t="str">
        <f>'0_Configuration'!$C$4</f>
        <v>Mg</v>
      </c>
      <c r="J282" s="13"/>
      <c r="K282" s="13"/>
      <c r="L282" s="13"/>
      <c r="M282" s="13"/>
      <c r="N282" s="13"/>
      <c r="O282" s="7" t="s">
        <v>6</v>
      </c>
      <c r="P282" s="14"/>
      <c r="Q282" s="7"/>
      <c r="R282" s="6" t="str">
        <f>Tab_Data_Flows[[#This Row],[Flow_ID]]&amp;"_"&amp;"material_"&amp;Tab_Data_Flows[[#This Row],[Flow_Data_Year]]</f>
        <v>F_01_09_material_2103</v>
      </c>
      <c r="S282" s="12">
        <f t="shared" si="8"/>
        <v>10000</v>
      </c>
      <c r="T282" s="6" t="str">
        <f>Tab_Data_Flows[[#This Row],[UoM_Source]]</f>
        <v>Mg</v>
      </c>
      <c r="U282" s="139">
        <f>INDEX(Tab_Def_Flows[[Flow_ID]:[CC_DM_source]],MATCH(Tab_Data_Flows[[#This Row],[Flow_Name]],Tab_Def_Flows[Flow_Name],0),11)</f>
        <v>1</v>
      </c>
      <c r="V282" s="6" t="str">
        <f>Tab_Data_Flows[[#This Row],[Flow_ID]]&amp;"_"&amp;"WC_"&amp;Tab_Data_Flows[[#This Row],[Flow_Data_Year]]</f>
        <v>F_01_09_WC_2103</v>
      </c>
      <c r="W282" s="6">
        <f>IF(D282="Yes",S282*Tab_Data_Flows[[#This Row],[WC_'[%']]],"N.A.")</f>
        <v>10000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F_01_09_DM_2103</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F_01_09_CC_2103</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F_01_09</v>
      </c>
      <c r="C283" s="138" t="s">
        <v>1103</v>
      </c>
      <c r="D283" s="9" t="str">
        <f>_xlfn.XLOOKUP(C283,Tab_Def_Flows[Flow_Name],Tab_Def_Flows[WC?],,0,)</f>
        <v>Yes</v>
      </c>
      <c r="E283" s="9" t="str">
        <f>_xlfn.XLOOKUP(C283,Tab_Def_Flows[Flow_Name],Tab_Def_Flows[DM?],,0,)</f>
        <v>Yes</v>
      </c>
      <c r="F283" s="9" t="str">
        <f>_xlfn.XLOOKUP(C283,Tab_Def_Flows[Flow_Name],Tab_Def_Flows[CC?],,0,)</f>
        <v>Yes</v>
      </c>
      <c r="G283" s="7">
        <v>2104</v>
      </c>
      <c r="H283" s="21">
        <v>10000</v>
      </c>
      <c r="I283" s="6" t="str">
        <f>'0_Configuration'!$C$4</f>
        <v>Mg</v>
      </c>
      <c r="J283" s="13"/>
      <c r="K283" s="13"/>
      <c r="L283" s="13"/>
      <c r="M283" s="13"/>
      <c r="N283" s="13"/>
      <c r="O283" s="7" t="s">
        <v>6</v>
      </c>
      <c r="P283" s="14"/>
      <c r="Q283" s="7"/>
      <c r="R283" s="6" t="str">
        <f>Tab_Data_Flows[[#This Row],[Flow_ID]]&amp;"_"&amp;"material_"&amp;Tab_Data_Flows[[#This Row],[Flow_Data_Year]]</f>
        <v>F_01_09_material_2104</v>
      </c>
      <c r="S283" s="12">
        <f t="shared" si="8"/>
        <v>10000</v>
      </c>
      <c r="T283" s="6" t="str">
        <f>Tab_Data_Flows[[#This Row],[UoM_Source]]</f>
        <v>Mg</v>
      </c>
      <c r="U283" s="139">
        <f>INDEX(Tab_Def_Flows[[Flow_ID]:[CC_DM_source]],MATCH(Tab_Data_Flows[[#This Row],[Flow_Name]],Tab_Def_Flows[Flow_Name],0),11)</f>
        <v>1</v>
      </c>
      <c r="V283" s="6" t="str">
        <f>Tab_Data_Flows[[#This Row],[Flow_ID]]&amp;"_"&amp;"WC_"&amp;Tab_Data_Flows[[#This Row],[Flow_Data_Year]]</f>
        <v>F_01_09_WC_2104</v>
      </c>
      <c r="W283" s="6">
        <f>IF(D283="Yes",S283*Tab_Data_Flows[[#This Row],[WC_'[%']]],"N.A.")</f>
        <v>10000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F_01_09_DM_2104</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F_01_09_CC_2104</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F_01_09</v>
      </c>
      <c r="C284" s="138" t="s">
        <v>1103</v>
      </c>
      <c r="D284" s="9" t="str">
        <f>_xlfn.XLOOKUP(C284,Tab_Def_Flows[Flow_Name],Tab_Def_Flows[WC?],,0,)</f>
        <v>Yes</v>
      </c>
      <c r="E284" s="9" t="str">
        <f>_xlfn.XLOOKUP(C284,Tab_Def_Flows[Flow_Name],Tab_Def_Flows[DM?],,0,)</f>
        <v>Yes</v>
      </c>
      <c r="F284" s="9" t="str">
        <f>_xlfn.XLOOKUP(C284,Tab_Def_Flows[Flow_Name],Tab_Def_Flows[CC?],,0,)</f>
        <v>Yes</v>
      </c>
      <c r="G284" s="7">
        <v>2105</v>
      </c>
      <c r="H284" s="21">
        <v>10000</v>
      </c>
      <c r="I284" s="6" t="str">
        <f>'0_Configuration'!$C$4</f>
        <v>Mg</v>
      </c>
      <c r="J284" s="13"/>
      <c r="K284" s="13"/>
      <c r="L284" s="13"/>
      <c r="M284" s="13"/>
      <c r="N284" s="13"/>
      <c r="O284" s="7" t="s">
        <v>6</v>
      </c>
      <c r="P284" s="14"/>
      <c r="Q284" s="7"/>
      <c r="R284" s="6" t="str">
        <f>Tab_Data_Flows[[#This Row],[Flow_ID]]&amp;"_"&amp;"material_"&amp;Tab_Data_Flows[[#This Row],[Flow_Data_Year]]</f>
        <v>F_01_09_material_2105</v>
      </c>
      <c r="S284" s="12">
        <f t="shared" si="8"/>
        <v>10000</v>
      </c>
      <c r="T284" s="6" t="str">
        <f>Tab_Data_Flows[[#This Row],[UoM_Source]]</f>
        <v>Mg</v>
      </c>
      <c r="U284" s="139">
        <f>INDEX(Tab_Def_Flows[[Flow_ID]:[CC_DM_source]],MATCH(Tab_Data_Flows[[#This Row],[Flow_Name]],Tab_Def_Flows[Flow_Name],0),11)</f>
        <v>1</v>
      </c>
      <c r="V284" s="6" t="str">
        <f>Tab_Data_Flows[[#This Row],[Flow_ID]]&amp;"_"&amp;"WC_"&amp;Tab_Data_Flows[[#This Row],[Flow_Data_Year]]</f>
        <v>F_01_09_WC_2105</v>
      </c>
      <c r="W284" s="6">
        <f>IF(D284="Yes",S284*Tab_Data_Flows[[#This Row],[WC_'[%']]],"N.A.")</f>
        <v>10000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F_01_09_DM_2105</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F_01_09_CC_2105</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F_01_09</v>
      </c>
      <c r="C285" s="138" t="s">
        <v>1103</v>
      </c>
      <c r="D285" s="9" t="str">
        <f>_xlfn.XLOOKUP(C285,Tab_Def_Flows[Flow_Name],Tab_Def_Flows[WC?],,0,)</f>
        <v>Yes</v>
      </c>
      <c r="E285" s="9" t="str">
        <f>_xlfn.XLOOKUP(C285,Tab_Def_Flows[Flow_Name],Tab_Def_Flows[DM?],,0,)</f>
        <v>Yes</v>
      </c>
      <c r="F285" s="9" t="str">
        <f>_xlfn.XLOOKUP(C285,Tab_Def_Flows[Flow_Name],Tab_Def_Flows[CC?],,0,)</f>
        <v>Yes</v>
      </c>
      <c r="G285" s="7">
        <v>2106</v>
      </c>
      <c r="H285" s="21">
        <v>10000</v>
      </c>
      <c r="I285" s="6" t="str">
        <f>'0_Configuration'!$C$4</f>
        <v>Mg</v>
      </c>
      <c r="J285" s="13"/>
      <c r="K285" s="13"/>
      <c r="L285" s="13"/>
      <c r="M285" s="13"/>
      <c r="N285" s="13"/>
      <c r="O285" s="7" t="s">
        <v>6</v>
      </c>
      <c r="P285" s="14"/>
      <c r="Q285" s="7"/>
      <c r="R285" s="6" t="str">
        <f>Tab_Data_Flows[[#This Row],[Flow_ID]]&amp;"_"&amp;"material_"&amp;Tab_Data_Flows[[#This Row],[Flow_Data_Year]]</f>
        <v>F_01_09_material_2106</v>
      </c>
      <c r="S285" s="12">
        <f t="shared" si="8"/>
        <v>10000</v>
      </c>
      <c r="T285" s="6" t="str">
        <f>Tab_Data_Flows[[#This Row],[UoM_Source]]</f>
        <v>Mg</v>
      </c>
      <c r="U285" s="139">
        <f>INDEX(Tab_Def_Flows[[Flow_ID]:[CC_DM_source]],MATCH(Tab_Data_Flows[[#This Row],[Flow_Name]],Tab_Def_Flows[Flow_Name],0),11)</f>
        <v>1</v>
      </c>
      <c r="V285" s="6" t="str">
        <f>Tab_Data_Flows[[#This Row],[Flow_ID]]&amp;"_"&amp;"WC_"&amp;Tab_Data_Flows[[#This Row],[Flow_Data_Year]]</f>
        <v>F_01_09_WC_2106</v>
      </c>
      <c r="W285" s="6">
        <f>IF(D285="Yes",S285*Tab_Data_Flows[[#This Row],[WC_'[%']]],"N.A.")</f>
        <v>10000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F_01_09_DM_2106</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F_01_09_CC_2106</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F_01_09</v>
      </c>
      <c r="C286" s="138" t="s">
        <v>1103</v>
      </c>
      <c r="D286" s="9" t="str">
        <f>_xlfn.XLOOKUP(C286,Tab_Def_Flows[Flow_Name],Tab_Def_Flows[WC?],,0,)</f>
        <v>Yes</v>
      </c>
      <c r="E286" s="9" t="str">
        <f>_xlfn.XLOOKUP(C286,Tab_Def_Flows[Flow_Name],Tab_Def_Flows[DM?],,0,)</f>
        <v>Yes</v>
      </c>
      <c r="F286" s="9" t="str">
        <f>_xlfn.XLOOKUP(C286,Tab_Def_Flows[Flow_Name],Tab_Def_Flows[CC?],,0,)</f>
        <v>Yes</v>
      </c>
      <c r="G286" s="7">
        <v>2107</v>
      </c>
      <c r="H286" s="21">
        <v>10000</v>
      </c>
      <c r="I286" s="6" t="str">
        <f>'0_Configuration'!$C$4</f>
        <v>Mg</v>
      </c>
      <c r="J286" s="13"/>
      <c r="K286" s="13"/>
      <c r="L286" s="13"/>
      <c r="M286" s="13"/>
      <c r="N286" s="13"/>
      <c r="O286" s="7" t="s">
        <v>6</v>
      </c>
      <c r="P286" s="14"/>
      <c r="Q286" s="7"/>
      <c r="R286" s="6" t="str">
        <f>Tab_Data_Flows[[#This Row],[Flow_ID]]&amp;"_"&amp;"material_"&amp;Tab_Data_Flows[[#This Row],[Flow_Data_Year]]</f>
        <v>F_01_09_material_2107</v>
      </c>
      <c r="S286" s="12">
        <f t="shared" si="8"/>
        <v>10000</v>
      </c>
      <c r="T286" s="6" t="str">
        <f>Tab_Data_Flows[[#This Row],[UoM_Source]]</f>
        <v>Mg</v>
      </c>
      <c r="U286" s="139">
        <f>INDEX(Tab_Def_Flows[[Flow_ID]:[CC_DM_source]],MATCH(Tab_Data_Flows[[#This Row],[Flow_Name]],Tab_Def_Flows[Flow_Name],0),11)</f>
        <v>1</v>
      </c>
      <c r="V286" s="6" t="str">
        <f>Tab_Data_Flows[[#This Row],[Flow_ID]]&amp;"_"&amp;"WC_"&amp;Tab_Data_Flows[[#This Row],[Flow_Data_Year]]</f>
        <v>F_01_09_WC_2107</v>
      </c>
      <c r="W286" s="6">
        <f>IF(D286="Yes",S286*Tab_Data_Flows[[#This Row],[WC_'[%']]],"N.A.")</f>
        <v>10000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F_01_09_DM_2107</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F_01_09_CC_2107</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F_01_09</v>
      </c>
      <c r="C287" s="138" t="s">
        <v>1103</v>
      </c>
      <c r="D287" s="9" t="str">
        <f>_xlfn.XLOOKUP(C287,Tab_Def_Flows[Flow_Name],Tab_Def_Flows[WC?],,0,)</f>
        <v>Yes</v>
      </c>
      <c r="E287" s="9" t="str">
        <f>_xlfn.XLOOKUP(C287,Tab_Def_Flows[Flow_Name],Tab_Def_Flows[DM?],,0,)</f>
        <v>Yes</v>
      </c>
      <c r="F287" s="9" t="str">
        <f>_xlfn.XLOOKUP(C287,Tab_Def_Flows[Flow_Name],Tab_Def_Flows[CC?],,0,)</f>
        <v>Yes</v>
      </c>
      <c r="G287" s="7">
        <v>2108</v>
      </c>
      <c r="H287" s="21">
        <v>10000</v>
      </c>
      <c r="I287" s="6" t="str">
        <f>'0_Configuration'!$C$4</f>
        <v>Mg</v>
      </c>
      <c r="J287" s="13"/>
      <c r="K287" s="13"/>
      <c r="L287" s="13"/>
      <c r="M287" s="13"/>
      <c r="N287" s="13"/>
      <c r="O287" s="7" t="s">
        <v>6</v>
      </c>
      <c r="P287" s="14"/>
      <c r="Q287" s="7"/>
      <c r="R287" s="6" t="str">
        <f>Tab_Data_Flows[[#This Row],[Flow_ID]]&amp;"_"&amp;"material_"&amp;Tab_Data_Flows[[#This Row],[Flow_Data_Year]]</f>
        <v>F_01_09_material_2108</v>
      </c>
      <c r="S287" s="12">
        <f t="shared" si="8"/>
        <v>10000</v>
      </c>
      <c r="T287" s="6" t="str">
        <f>Tab_Data_Flows[[#This Row],[UoM_Source]]</f>
        <v>Mg</v>
      </c>
      <c r="U287" s="139">
        <f>INDEX(Tab_Def_Flows[[Flow_ID]:[CC_DM_source]],MATCH(Tab_Data_Flows[[#This Row],[Flow_Name]],Tab_Def_Flows[Flow_Name],0),11)</f>
        <v>1</v>
      </c>
      <c r="V287" s="6" t="str">
        <f>Tab_Data_Flows[[#This Row],[Flow_ID]]&amp;"_"&amp;"WC_"&amp;Tab_Data_Flows[[#This Row],[Flow_Data_Year]]</f>
        <v>F_01_09_WC_2108</v>
      </c>
      <c r="W287" s="6">
        <f>IF(D287="Yes",S287*Tab_Data_Flows[[#This Row],[WC_'[%']]],"N.A.")</f>
        <v>10000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F_01_09_DM_2108</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F_01_09_CC_2108</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F_01_09</v>
      </c>
      <c r="C288" s="138" t="s">
        <v>1103</v>
      </c>
      <c r="D288" s="9" t="str">
        <f>_xlfn.XLOOKUP(C288,Tab_Def_Flows[Flow_Name],Tab_Def_Flows[WC?],,0,)</f>
        <v>Yes</v>
      </c>
      <c r="E288" s="9" t="str">
        <f>_xlfn.XLOOKUP(C288,Tab_Def_Flows[Flow_Name],Tab_Def_Flows[DM?],,0,)</f>
        <v>Yes</v>
      </c>
      <c r="F288" s="9" t="str">
        <f>_xlfn.XLOOKUP(C288,Tab_Def_Flows[Flow_Name],Tab_Def_Flows[CC?],,0,)</f>
        <v>Yes</v>
      </c>
      <c r="G288" s="7">
        <v>2109</v>
      </c>
      <c r="H288" s="21">
        <v>10000</v>
      </c>
      <c r="I288" s="6" t="str">
        <f>'0_Configuration'!$C$4</f>
        <v>Mg</v>
      </c>
      <c r="J288" s="13"/>
      <c r="K288" s="13"/>
      <c r="L288" s="13"/>
      <c r="M288" s="13"/>
      <c r="N288" s="13"/>
      <c r="O288" s="7" t="s">
        <v>6</v>
      </c>
      <c r="P288" s="14"/>
      <c r="Q288" s="7"/>
      <c r="R288" s="6" t="str">
        <f>Tab_Data_Flows[[#This Row],[Flow_ID]]&amp;"_"&amp;"material_"&amp;Tab_Data_Flows[[#This Row],[Flow_Data_Year]]</f>
        <v>F_01_09_material_2109</v>
      </c>
      <c r="S288" s="12">
        <f t="shared" si="8"/>
        <v>10000</v>
      </c>
      <c r="T288" s="6" t="str">
        <f>Tab_Data_Flows[[#This Row],[UoM_Source]]</f>
        <v>Mg</v>
      </c>
      <c r="U288" s="139">
        <f>INDEX(Tab_Def_Flows[[Flow_ID]:[CC_DM_source]],MATCH(Tab_Data_Flows[[#This Row],[Flow_Name]],Tab_Def_Flows[Flow_Name],0),11)</f>
        <v>1</v>
      </c>
      <c r="V288" s="6" t="str">
        <f>Tab_Data_Flows[[#This Row],[Flow_ID]]&amp;"_"&amp;"WC_"&amp;Tab_Data_Flows[[#This Row],[Flow_Data_Year]]</f>
        <v>F_01_09_WC_2109</v>
      </c>
      <c r="W288" s="6">
        <f>IF(D288="Yes",S288*Tab_Data_Flows[[#This Row],[WC_'[%']]],"N.A.")</f>
        <v>10000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F_01_09_DM_2109</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F_01_09_CC_2109</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F_01_09</v>
      </c>
      <c r="C289" s="138" t="s">
        <v>1103</v>
      </c>
      <c r="D289" s="9" t="str">
        <f>_xlfn.XLOOKUP(C289,Tab_Def_Flows[Flow_Name],Tab_Def_Flows[WC?],,0,)</f>
        <v>Yes</v>
      </c>
      <c r="E289" s="9" t="str">
        <f>_xlfn.XLOOKUP(C289,Tab_Def_Flows[Flow_Name],Tab_Def_Flows[DM?],,0,)</f>
        <v>Yes</v>
      </c>
      <c r="F289" s="9" t="str">
        <f>_xlfn.XLOOKUP(C289,Tab_Def_Flows[Flow_Name],Tab_Def_Flows[CC?],,0,)</f>
        <v>Yes</v>
      </c>
      <c r="G289" s="7">
        <v>2110</v>
      </c>
      <c r="H289" s="21">
        <v>10000</v>
      </c>
      <c r="I289" s="6" t="str">
        <f>'0_Configuration'!$C$4</f>
        <v>Mg</v>
      </c>
      <c r="J289" s="13"/>
      <c r="K289" s="13"/>
      <c r="L289" s="13"/>
      <c r="M289" s="13"/>
      <c r="N289" s="13"/>
      <c r="O289" s="7" t="s">
        <v>6</v>
      </c>
      <c r="P289" s="14"/>
      <c r="Q289" s="7"/>
      <c r="R289" s="6" t="str">
        <f>Tab_Data_Flows[[#This Row],[Flow_ID]]&amp;"_"&amp;"material_"&amp;Tab_Data_Flows[[#This Row],[Flow_Data_Year]]</f>
        <v>F_01_09_material_2110</v>
      </c>
      <c r="S289" s="12">
        <f t="shared" si="8"/>
        <v>10000</v>
      </c>
      <c r="T289" s="6" t="str">
        <f>Tab_Data_Flows[[#This Row],[UoM_Source]]</f>
        <v>Mg</v>
      </c>
      <c r="U289" s="139">
        <f>INDEX(Tab_Def_Flows[[Flow_ID]:[CC_DM_source]],MATCH(Tab_Data_Flows[[#This Row],[Flow_Name]],Tab_Def_Flows[Flow_Name],0),11)</f>
        <v>1</v>
      </c>
      <c r="V289" s="6" t="str">
        <f>Tab_Data_Flows[[#This Row],[Flow_ID]]&amp;"_"&amp;"WC_"&amp;Tab_Data_Flows[[#This Row],[Flow_Data_Year]]</f>
        <v>F_01_09_WC_2110</v>
      </c>
      <c r="W289" s="6">
        <f>IF(D289="Yes",S289*Tab_Data_Flows[[#This Row],[WC_'[%']]],"N.A.")</f>
        <v>10000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F_01_09_DM_2110</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F_01_09_CC_2110</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F_01_09</v>
      </c>
      <c r="C290" s="138" t="s">
        <v>1103</v>
      </c>
      <c r="D290" s="9" t="str">
        <f>_xlfn.XLOOKUP(C290,Tab_Def_Flows[Flow_Name],Tab_Def_Flows[WC?],,0,)</f>
        <v>Yes</v>
      </c>
      <c r="E290" s="9" t="str">
        <f>_xlfn.XLOOKUP(C290,Tab_Def_Flows[Flow_Name],Tab_Def_Flows[DM?],,0,)</f>
        <v>Yes</v>
      </c>
      <c r="F290" s="9" t="str">
        <f>_xlfn.XLOOKUP(C290,Tab_Def_Flows[Flow_Name],Tab_Def_Flows[CC?],,0,)</f>
        <v>Yes</v>
      </c>
      <c r="G290" s="7">
        <v>2111</v>
      </c>
      <c r="H290" s="21">
        <v>10000</v>
      </c>
      <c r="I290" s="6" t="str">
        <f>'0_Configuration'!$C$4</f>
        <v>Mg</v>
      </c>
      <c r="J290" s="13"/>
      <c r="K290" s="13"/>
      <c r="L290" s="13"/>
      <c r="M290" s="13"/>
      <c r="N290" s="13"/>
      <c r="O290" s="7" t="s">
        <v>6</v>
      </c>
      <c r="P290" s="14"/>
      <c r="Q290" s="7"/>
      <c r="R290" s="6" t="str">
        <f>Tab_Data_Flows[[#This Row],[Flow_ID]]&amp;"_"&amp;"material_"&amp;Tab_Data_Flows[[#This Row],[Flow_Data_Year]]</f>
        <v>F_01_09_material_2111</v>
      </c>
      <c r="S290" s="12">
        <f t="shared" si="8"/>
        <v>10000</v>
      </c>
      <c r="T290" s="6" t="str">
        <f>Tab_Data_Flows[[#This Row],[UoM_Source]]</f>
        <v>Mg</v>
      </c>
      <c r="U290" s="139">
        <f>INDEX(Tab_Def_Flows[[Flow_ID]:[CC_DM_source]],MATCH(Tab_Data_Flows[[#This Row],[Flow_Name]],Tab_Def_Flows[Flow_Name],0),11)</f>
        <v>1</v>
      </c>
      <c r="V290" s="6" t="str">
        <f>Tab_Data_Flows[[#This Row],[Flow_ID]]&amp;"_"&amp;"WC_"&amp;Tab_Data_Flows[[#This Row],[Flow_Data_Year]]</f>
        <v>F_01_09_WC_2111</v>
      </c>
      <c r="W290" s="6">
        <f>IF(D290="Yes",S290*Tab_Data_Flows[[#This Row],[WC_'[%']]],"N.A.")</f>
        <v>10000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F_01_09_DM_2111</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F_01_09_CC_2111</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F_01_09</v>
      </c>
      <c r="C291" s="138" t="s">
        <v>1103</v>
      </c>
      <c r="D291" s="9" t="str">
        <f>_xlfn.XLOOKUP(C291,Tab_Def_Flows[Flow_Name],Tab_Def_Flows[WC?],,0,)</f>
        <v>Yes</v>
      </c>
      <c r="E291" s="9" t="str">
        <f>_xlfn.XLOOKUP(C291,Tab_Def_Flows[Flow_Name],Tab_Def_Flows[DM?],,0,)</f>
        <v>Yes</v>
      </c>
      <c r="F291" s="9" t="str">
        <f>_xlfn.XLOOKUP(C291,Tab_Def_Flows[Flow_Name],Tab_Def_Flows[CC?],,0,)</f>
        <v>Yes</v>
      </c>
      <c r="G291" s="7">
        <v>2112</v>
      </c>
      <c r="H291" s="21">
        <v>10000</v>
      </c>
      <c r="I291" s="6" t="str">
        <f>'0_Configuration'!$C$4</f>
        <v>Mg</v>
      </c>
      <c r="J291" s="13"/>
      <c r="K291" s="13"/>
      <c r="L291" s="13"/>
      <c r="M291" s="13"/>
      <c r="N291" s="13"/>
      <c r="O291" s="7" t="s">
        <v>6</v>
      </c>
      <c r="P291" s="14"/>
      <c r="Q291" s="7"/>
      <c r="R291" s="6" t="str">
        <f>Tab_Data_Flows[[#This Row],[Flow_ID]]&amp;"_"&amp;"material_"&amp;Tab_Data_Flows[[#This Row],[Flow_Data_Year]]</f>
        <v>F_01_09_material_2112</v>
      </c>
      <c r="S291" s="12">
        <f t="shared" si="8"/>
        <v>10000</v>
      </c>
      <c r="T291" s="6" t="str">
        <f>Tab_Data_Flows[[#This Row],[UoM_Source]]</f>
        <v>Mg</v>
      </c>
      <c r="U291" s="139">
        <f>INDEX(Tab_Def_Flows[[Flow_ID]:[CC_DM_source]],MATCH(Tab_Data_Flows[[#This Row],[Flow_Name]],Tab_Def_Flows[Flow_Name],0),11)</f>
        <v>1</v>
      </c>
      <c r="V291" s="6" t="str">
        <f>Tab_Data_Flows[[#This Row],[Flow_ID]]&amp;"_"&amp;"WC_"&amp;Tab_Data_Flows[[#This Row],[Flow_Data_Year]]</f>
        <v>F_01_09_WC_2112</v>
      </c>
      <c r="W291" s="6">
        <f>IF(D291="Yes",S291*Tab_Data_Flows[[#This Row],[WC_'[%']]],"N.A.")</f>
        <v>10000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F_01_09_DM_2112</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F_01_09_CC_2112</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F_01_09</v>
      </c>
      <c r="C292" s="138" t="s">
        <v>1103</v>
      </c>
      <c r="D292" s="9" t="str">
        <f>_xlfn.XLOOKUP(C292,Tab_Def_Flows[Flow_Name],Tab_Def_Flows[WC?],,0,)</f>
        <v>Yes</v>
      </c>
      <c r="E292" s="9" t="str">
        <f>_xlfn.XLOOKUP(C292,Tab_Def_Flows[Flow_Name],Tab_Def_Flows[DM?],,0,)</f>
        <v>Yes</v>
      </c>
      <c r="F292" s="9" t="str">
        <f>_xlfn.XLOOKUP(C292,Tab_Def_Flows[Flow_Name],Tab_Def_Flows[CC?],,0,)</f>
        <v>Yes</v>
      </c>
      <c r="G292" s="7">
        <v>2113</v>
      </c>
      <c r="H292" s="21">
        <v>10000</v>
      </c>
      <c r="I292" s="6" t="str">
        <f>'0_Configuration'!$C$4</f>
        <v>Mg</v>
      </c>
      <c r="J292" s="13"/>
      <c r="K292" s="13"/>
      <c r="L292" s="13"/>
      <c r="M292" s="13"/>
      <c r="N292" s="13"/>
      <c r="O292" s="7" t="s">
        <v>6</v>
      </c>
      <c r="P292" s="14"/>
      <c r="Q292" s="7"/>
      <c r="R292" s="6" t="str">
        <f>Tab_Data_Flows[[#This Row],[Flow_ID]]&amp;"_"&amp;"material_"&amp;Tab_Data_Flows[[#This Row],[Flow_Data_Year]]</f>
        <v>F_01_09_material_2113</v>
      </c>
      <c r="S292" s="12">
        <f t="shared" si="8"/>
        <v>10000</v>
      </c>
      <c r="T292" s="6" t="str">
        <f>Tab_Data_Flows[[#This Row],[UoM_Source]]</f>
        <v>Mg</v>
      </c>
      <c r="U292" s="139">
        <f>INDEX(Tab_Def_Flows[[Flow_ID]:[CC_DM_source]],MATCH(Tab_Data_Flows[[#This Row],[Flow_Name]],Tab_Def_Flows[Flow_Name],0),11)</f>
        <v>1</v>
      </c>
      <c r="V292" s="6" t="str">
        <f>Tab_Data_Flows[[#This Row],[Flow_ID]]&amp;"_"&amp;"WC_"&amp;Tab_Data_Flows[[#This Row],[Flow_Data_Year]]</f>
        <v>F_01_09_WC_2113</v>
      </c>
      <c r="W292" s="6">
        <f>IF(D292="Yes",S292*Tab_Data_Flows[[#This Row],[WC_'[%']]],"N.A.")</f>
        <v>10000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F_01_09_DM_2113</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F_01_09_CC_2113</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F_01_09</v>
      </c>
      <c r="C293" s="138" t="s">
        <v>1103</v>
      </c>
      <c r="D293" s="9" t="str">
        <f>_xlfn.XLOOKUP(C293,Tab_Def_Flows[Flow_Name],Tab_Def_Flows[WC?],,0,)</f>
        <v>Yes</v>
      </c>
      <c r="E293" s="9" t="str">
        <f>_xlfn.XLOOKUP(C293,Tab_Def_Flows[Flow_Name],Tab_Def_Flows[DM?],,0,)</f>
        <v>Yes</v>
      </c>
      <c r="F293" s="9" t="str">
        <f>_xlfn.XLOOKUP(C293,Tab_Def_Flows[Flow_Name],Tab_Def_Flows[CC?],,0,)</f>
        <v>Yes</v>
      </c>
      <c r="G293" s="7">
        <v>2114</v>
      </c>
      <c r="H293" s="21">
        <v>10000</v>
      </c>
      <c r="I293" s="6" t="str">
        <f>'0_Configuration'!$C$4</f>
        <v>Mg</v>
      </c>
      <c r="J293" s="13"/>
      <c r="K293" s="13"/>
      <c r="L293" s="13"/>
      <c r="M293" s="13"/>
      <c r="N293" s="13"/>
      <c r="O293" s="7" t="s">
        <v>6</v>
      </c>
      <c r="P293" s="14"/>
      <c r="Q293" s="7"/>
      <c r="R293" s="6" t="str">
        <f>Tab_Data_Flows[[#This Row],[Flow_ID]]&amp;"_"&amp;"material_"&amp;Tab_Data_Flows[[#This Row],[Flow_Data_Year]]</f>
        <v>F_01_09_material_2114</v>
      </c>
      <c r="S293" s="12">
        <f t="shared" si="8"/>
        <v>10000</v>
      </c>
      <c r="T293" s="6" t="str">
        <f>Tab_Data_Flows[[#This Row],[UoM_Source]]</f>
        <v>Mg</v>
      </c>
      <c r="U293" s="139">
        <f>INDEX(Tab_Def_Flows[[Flow_ID]:[CC_DM_source]],MATCH(Tab_Data_Flows[[#This Row],[Flow_Name]],Tab_Def_Flows[Flow_Name],0),11)</f>
        <v>1</v>
      </c>
      <c r="V293" s="6" t="str">
        <f>Tab_Data_Flows[[#This Row],[Flow_ID]]&amp;"_"&amp;"WC_"&amp;Tab_Data_Flows[[#This Row],[Flow_Data_Year]]</f>
        <v>F_01_09_WC_2114</v>
      </c>
      <c r="W293" s="6">
        <f>IF(D293="Yes",S293*Tab_Data_Flows[[#This Row],[WC_'[%']]],"N.A.")</f>
        <v>10000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F_01_09_DM_2114</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F_01_09_CC_2114</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F_01_09</v>
      </c>
      <c r="C294" s="138" t="s">
        <v>1103</v>
      </c>
      <c r="D294" s="9" t="str">
        <f>_xlfn.XLOOKUP(C294,Tab_Def_Flows[Flow_Name],Tab_Def_Flows[WC?],,0,)</f>
        <v>Yes</v>
      </c>
      <c r="E294" s="9" t="str">
        <f>_xlfn.XLOOKUP(C294,Tab_Def_Flows[Flow_Name],Tab_Def_Flows[DM?],,0,)</f>
        <v>Yes</v>
      </c>
      <c r="F294" s="9" t="str">
        <f>_xlfn.XLOOKUP(C294,Tab_Def_Flows[Flow_Name],Tab_Def_Flows[CC?],,0,)</f>
        <v>Yes</v>
      </c>
      <c r="G294" s="7">
        <v>2115</v>
      </c>
      <c r="H294" s="21">
        <v>10000</v>
      </c>
      <c r="I294" s="6" t="str">
        <f>'0_Configuration'!$C$4</f>
        <v>Mg</v>
      </c>
      <c r="J294" s="13"/>
      <c r="K294" s="13"/>
      <c r="L294" s="13"/>
      <c r="M294" s="13"/>
      <c r="N294" s="13"/>
      <c r="O294" s="7" t="s">
        <v>6</v>
      </c>
      <c r="P294" s="14"/>
      <c r="Q294" s="7"/>
      <c r="R294" s="6" t="str">
        <f>Tab_Data_Flows[[#This Row],[Flow_ID]]&amp;"_"&amp;"material_"&amp;Tab_Data_Flows[[#This Row],[Flow_Data_Year]]</f>
        <v>F_01_09_material_2115</v>
      </c>
      <c r="S294" s="12">
        <f t="shared" si="8"/>
        <v>10000</v>
      </c>
      <c r="T294" s="6" t="str">
        <f>Tab_Data_Flows[[#This Row],[UoM_Source]]</f>
        <v>Mg</v>
      </c>
      <c r="U294" s="139">
        <f>INDEX(Tab_Def_Flows[[Flow_ID]:[CC_DM_source]],MATCH(Tab_Data_Flows[[#This Row],[Flow_Name]],Tab_Def_Flows[Flow_Name],0),11)</f>
        <v>1</v>
      </c>
      <c r="V294" s="6" t="str">
        <f>Tab_Data_Flows[[#This Row],[Flow_ID]]&amp;"_"&amp;"WC_"&amp;Tab_Data_Flows[[#This Row],[Flow_Data_Year]]</f>
        <v>F_01_09_WC_2115</v>
      </c>
      <c r="W294" s="6">
        <f>IF(D294="Yes",S294*Tab_Data_Flows[[#This Row],[WC_'[%']]],"N.A.")</f>
        <v>10000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F_01_09_DM_2115</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F_01_09_CC_2115</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F_01_09</v>
      </c>
      <c r="C295" s="138" t="s">
        <v>1103</v>
      </c>
      <c r="D295" s="9" t="str">
        <f>_xlfn.XLOOKUP(C295,Tab_Def_Flows[Flow_Name],Tab_Def_Flows[WC?],,0,)</f>
        <v>Yes</v>
      </c>
      <c r="E295" s="9" t="str">
        <f>_xlfn.XLOOKUP(C295,Tab_Def_Flows[Flow_Name],Tab_Def_Flows[DM?],,0,)</f>
        <v>Yes</v>
      </c>
      <c r="F295" s="9" t="str">
        <f>_xlfn.XLOOKUP(C295,Tab_Def_Flows[Flow_Name],Tab_Def_Flows[CC?],,0,)</f>
        <v>Yes</v>
      </c>
      <c r="G295" s="7">
        <v>2116</v>
      </c>
      <c r="H295" s="21">
        <v>10000</v>
      </c>
      <c r="I295" s="6" t="str">
        <f>'0_Configuration'!$C$4</f>
        <v>Mg</v>
      </c>
      <c r="J295" s="13"/>
      <c r="K295" s="13"/>
      <c r="L295" s="13"/>
      <c r="M295" s="13"/>
      <c r="N295" s="13"/>
      <c r="O295" s="7" t="s">
        <v>6</v>
      </c>
      <c r="P295" s="14"/>
      <c r="Q295" s="7"/>
      <c r="R295" s="6" t="str">
        <f>Tab_Data_Flows[[#This Row],[Flow_ID]]&amp;"_"&amp;"material_"&amp;Tab_Data_Flows[[#This Row],[Flow_Data_Year]]</f>
        <v>F_01_09_material_2116</v>
      </c>
      <c r="S295" s="12">
        <f t="shared" si="8"/>
        <v>10000</v>
      </c>
      <c r="T295" s="6" t="str">
        <f>Tab_Data_Flows[[#This Row],[UoM_Source]]</f>
        <v>Mg</v>
      </c>
      <c r="U295" s="139">
        <f>INDEX(Tab_Def_Flows[[Flow_ID]:[CC_DM_source]],MATCH(Tab_Data_Flows[[#This Row],[Flow_Name]],Tab_Def_Flows[Flow_Name],0),11)</f>
        <v>1</v>
      </c>
      <c r="V295" s="6" t="str">
        <f>Tab_Data_Flows[[#This Row],[Flow_ID]]&amp;"_"&amp;"WC_"&amp;Tab_Data_Flows[[#This Row],[Flow_Data_Year]]</f>
        <v>F_01_09_WC_2116</v>
      </c>
      <c r="W295" s="6">
        <f>IF(D295="Yes",S295*Tab_Data_Flows[[#This Row],[WC_'[%']]],"N.A.")</f>
        <v>10000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F_01_09_DM_2116</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F_01_09_CC_2116</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F_01_09</v>
      </c>
      <c r="C296" s="138" t="s">
        <v>1103</v>
      </c>
      <c r="D296" s="9" t="str">
        <f>_xlfn.XLOOKUP(C296,Tab_Def_Flows[Flow_Name],Tab_Def_Flows[WC?],,0,)</f>
        <v>Yes</v>
      </c>
      <c r="E296" s="9" t="str">
        <f>_xlfn.XLOOKUP(C296,Tab_Def_Flows[Flow_Name],Tab_Def_Flows[DM?],,0,)</f>
        <v>Yes</v>
      </c>
      <c r="F296" s="9" t="str">
        <f>_xlfn.XLOOKUP(C296,Tab_Def_Flows[Flow_Name],Tab_Def_Flows[CC?],,0,)</f>
        <v>Yes</v>
      </c>
      <c r="G296" s="7">
        <v>2117</v>
      </c>
      <c r="H296" s="21">
        <v>10000</v>
      </c>
      <c r="I296" s="6" t="str">
        <f>'0_Configuration'!$C$4</f>
        <v>Mg</v>
      </c>
      <c r="J296" s="13"/>
      <c r="K296" s="13"/>
      <c r="L296" s="13"/>
      <c r="M296" s="13"/>
      <c r="N296" s="13"/>
      <c r="O296" s="7" t="s">
        <v>6</v>
      </c>
      <c r="P296" s="14"/>
      <c r="Q296" s="7"/>
      <c r="R296" s="6" t="str">
        <f>Tab_Data_Flows[[#This Row],[Flow_ID]]&amp;"_"&amp;"material_"&amp;Tab_Data_Flows[[#This Row],[Flow_Data_Year]]</f>
        <v>F_01_09_material_2117</v>
      </c>
      <c r="S296" s="12">
        <f t="shared" si="8"/>
        <v>10000</v>
      </c>
      <c r="T296" s="6" t="str">
        <f>Tab_Data_Flows[[#This Row],[UoM_Source]]</f>
        <v>Mg</v>
      </c>
      <c r="U296" s="139">
        <f>INDEX(Tab_Def_Flows[[Flow_ID]:[CC_DM_source]],MATCH(Tab_Data_Flows[[#This Row],[Flow_Name]],Tab_Def_Flows[Flow_Name],0),11)</f>
        <v>1</v>
      </c>
      <c r="V296" s="6" t="str">
        <f>Tab_Data_Flows[[#This Row],[Flow_ID]]&amp;"_"&amp;"WC_"&amp;Tab_Data_Flows[[#This Row],[Flow_Data_Year]]</f>
        <v>F_01_09_WC_2117</v>
      </c>
      <c r="W296" s="6">
        <f>IF(D296="Yes",S296*Tab_Data_Flows[[#This Row],[WC_'[%']]],"N.A.")</f>
        <v>10000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F_01_09_DM_2117</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F_01_09_CC_2117</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F_01_09</v>
      </c>
      <c r="C297" s="138" t="s">
        <v>1103</v>
      </c>
      <c r="D297" s="9" t="str">
        <f>_xlfn.XLOOKUP(C297,Tab_Def_Flows[Flow_Name],Tab_Def_Flows[WC?],,0,)</f>
        <v>Yes</v>
      </c>
      <c r="E297" s="9" t="str">
        <f>_xlfn.XLOOKUP(C297,Tab_Def_Flows[Flow_Name],Tab_Def_Flows[DM?],,0,)</f>
        <v>Yes</v>
      </c>
      <c r="F297" s="9" t="str">
        <f>_xlfn.XLOOKUP(C297,Tab_Def_Flows[Flow_Name],Tab_Def_Flows[CC?],,0,)</f>
        <v>Yes</v>
      </c>
      <c r="G297" s="7">
        <v>2118</v>
      </c>
      <c r="H297" s="21">
        <v>10000</v>
      </c>
      <c r="I297" s="6" t="str">
        <f>'0_Configuration'!$C$4</f>
        <v>Mg</v>
      </c>
      <c r="J297" s="13"/>
      <c r="K297" s="13"/>
      <c r="L297" s="13"/>
      <c r="M297" s="13"/>
      <c r="N297" s="13"/>
      <c r="O297" s="7" t="s">
        <v>6</v>
      </c>
      <c r="P297" s="14"/>
      <c r="Q297" s="7"/>
      <c r="R297" s="6" t="str">
        <f>Tab_Data_Flows[[#This Row],[Flow_ID]]&amp;"_"&amp;"material_"&amp;Tab_Data_Flows[[#This Row],[Flow_Data_Year]]</f>
        <v>F_01_09_material_2118</v>
      </c>
      <c r="S297" s="12">
        <f t="shared" si="8"/>
        <v>10000</v>
      </c>
      <c r="T297" s="6" t="str">
        <f>Tab_Data_Flows[[#This Row],[UoM_Source]]</f>
        <v>Mg</v>
      </c>
      <c r="U297" s="139">
        <f>INDEX(Tab_Def_Flows[[Flow_ID]:[CC_DM_source]],MATCH(Tab_Data_Flows[[#This Row],[Flow_Name]],Tab_Def_Flows[Flow_Name],0),11)</f>
        <v>1</v>
      </c>
      <c r="V297" s="6" t="str">
        <f>Tab_Data_Flows[[#This Row],[Flow_ID]]&amp;"_"&amp;"WC_"&amp;Tab_Data_Flows[[#This Row],[Flow_Data_Year]]</f>
        <v>F_01_09_WC_2118</v>
      </c>
      <c r="W297" s="6">
        <f>IF(D297="Yes",S297*Tab_Data_Flows[[#This Row],[WC_'[%']]],"N.A.")</f>
        <v>10000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F_01_09_DM_2118</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F_01_09_CC_2118</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F_01_09</v>
      </c>
      <c r="C298" s="138" t="s">
        <v>1103</v>
      </c>
      <c r="D298" s="9" t="str">
        <f>_xlfn.XLOOKUP(C298,Tab_Def_Flows[Flow_Name],Tab_Def_Flows[WC?],,0,)</f>
        <v>Yes</v>
      </c>
      <c r="E298" s="9" t="str">
        <f>_xlfn.XLOOKUP(C298,Tab_Def_Flows[Flow_Name],Tab_Def_Flows[DM?],,0,)</f>
        <v>Yes</v>
      </c>
      <c r="F298" s="9" t="str">
        <f>_xlfn.XLOOKUP(C298,Tab_Def_Flows[Flow_Name],Tab_Def_Flows[CC?],,0,)</f>
        <v>Yes</v>
      </c>
      <c r="G298" s="7">
        <v>2119</v>
      </c>
      <c r="H298" s="21">
        <v>10000</v>
      </c>
      <c r="I298" s="6" t="str">
        <f>'0_Configuration'!$C$4</f>
        <v>Mg</v>
      </c>
      <c r="J298" s="13"/>
      <c r="K298" s="13"/>
      <c r="L298" s="13"/>
      <c r="M298" s="13"/>
      <c r="N298" s="13"/>
      <c r="O298" s="7" t="s">
        <v>6</v>
      </c>
      <c r="P298" s="14"/>
      <c r="Q298" s="7"/>
      <c r="R298" s="6" t="str">
        <f>Tab_Data_Flows[[#This Row],[Flow_ID]]&amp;"_"&amp;"material_"&amp;Tab_Data_Flows[[#This Row],[Flow_Data_Year]]</f>
        <v>F_01_09_material_2119</v>
      </c>
      <c r="S298" s="12">
        <f t="shared" si="8"/>
        <v>10000</v>
      </c>
      <c r="T298" s="6" t="str">
        <f>Tab_Data_Flows[[#This Row],[UoM_Source]]</f>
        <v>Mg</v>
      </c>
      <c r="U298" s="139">
        <f>INDEX(Tab_Def_Flows[[Flow_ID]:[CC_DM_source]],MATCH(Tab_Data_Flows[[#This Row],[Flow_Name]],Tab_Def_Flows[Flow_Name],0),11)</f>
        <v>1</v>
      </c>
      <c r="V298" s="6" t="str">
        <f>Tab_Data_Flows[[#This Row],[Flow_ID]]&amp;"_"&amp;"WC_"&amp;Tab_Data_Flows[[#This Row],[Flow_Data_Year]]</f>
        <v>F_01_09_WC_2119</v>
      </c>
      <c r="W298" s="6">
        <f>IF(D298="Yes",S298*Tab_Data_Flows[[#This Row],[WC_'[%']]],"N.A.")</f>
        <v>10000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F_01_09_DM_2119</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F_01_09_CC_2119</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F_01_09</v>
      </c>
      <c r="C299" s="138" t="s">
        <v>1103</v>
      </c>
      <c r="D299" s="9" t="str">
        <f>_xlfn.XLOOKUP(C299,Tab_Def_Flows[Flow_Name],Tab_Def_Flows[WC?],,0,)</f>
        <v>Yes</v>
      </c>
      <c r="E299" s="9" t="str">
        <f>_xlfn.XLOOKUP(C299,Tab_Def_Flows[Flow_Name],Tab_Def_Flows[DM?],,0,)</f>
        <v>Yes</v>
      </c>
      <c r="F299" s="9" t="str">
        <f>_xlfn.XLOOKUP(C299,Tab_Def_Flows[Flow_Name],Tab_Def_Flows[CC?],,0,)</f>
        <v>Yes</v>
      </c>
      <c r="G299" s="7">
        <v>2120</v>
      </c>
      <c r="H299" s="21">
        <v>10000</v>
      </c>
      <c r="I299" s="6" t="str">
        <f>'0_Configuration'!$C$4</f>
        <v>Mg</v>
      </c>
      <c r="J299" s="13"/>
      <c r="K299" s="13"/>
      <c r="L299" s="13"/>
      <c r="M299" s="13"/>
      <c r="N299" s="13"/>
      <c r="O299" s="7" t="s">
        <v>6</v>
      </c>
      <c r="P299" s="14"/>
      <c r="Q299" s="7"/>
      <c r="R299" s="6" t="str">
        <f>Tab_Data_Flows[[#This Row],[Flow_ID]]&amp;"_"&amp;"material_"&amp;Tab_Data_Flows[[#This Row],[Flow_Data_Year]]</f>
        <v>F_01_09_material_2120</v>
      </c>
      <c r="S299" s="12">
        <f t="shared" si="8"/>
        <v>10000</v>
      </c>
      <c r="T299" s="6" t="str">
        <f>Tab_Data_Flows[[#This Row],[UoM_Source]]</f>
        <v>Mg</v>
      </c>
      <c r="U299" s="139">
        <f>INDEX(Tab_Def_Flows[[Flow_ID]:[CC_DM_source]],MATCH(Tab_Data_Flows[[#This Row],[Flow_Name]],Tab_Def_Flows[Flow_Name],0),11)</f>
        <v>1</v>
      </c>
      <c r="V299" s="6" t="str">
        <f>Tab_Data_Flows[[#This Row],[Flow_ID]]&amp;"_"&amp;"WC_"&amp;Tab_Data_Flows[[#This Row],[Flow_Data_Year]]</f>
        <v>F_01_09_WC_2120</v>
      </c>
      <c r="W299" s="6">
        <f>IF(D299="Yes",S299*Tab_Data_Flows[[#This Row],[WC_'[%']]],"N.A.")</f>
        <v>10000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F_01_09_DM_2120</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F_01_09_CC_2120</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F_01_09</v>
      </c>
      <c r="C300" s="138" t="s">
        <v>1103</v>
      </c>
      <c r="D300" s="9" t="str">
        <f>_xlfn.XLOOKUP(C300,Tab_Def_Flows[Flow_Name],Tab_Def_Flows[WC?],,0,)</f>
        <v>Yes</v>
      </c>
      <c r="E300" s="9" t="str">
        <f>_xlfn.XLOOKUP(C300,Tab_Def_Flows[Flow_Name],Tab_Def_Flows[DM?],,0,)</f>
        <v>Yes</v>
      </c>
      <c r="F300" s="9" t="str">
        <f>_xlfn.XLOOKUP(C300,Tab_Def_Flows[Flow_Name],Tab_Def_Flows[CC?],,0,)</f>
        <v>Yes</v>
      </c>
      <c r="G300" s="7">
        <v>2121</v>
      </c>
      <c r="H300" s="21">
        <v>10000</v>
      </c>
      <c r="I300" s="6" t="str">
        <f>'0_Configuration'!$C$4</f>
        <v>Mg</v>
      </c>
      <c r="J300" s="13"/>
      <c r="K300" s="13"/>
      <c r="L300" s="13"/>
      <c r="M300" s="13"/>
      <c r="N300" s="13"/>
      <c r="O300" s="7" t="s">
        <v>6</v>
      </c>
      <c r="P300" s="14"/>
      <c r="Q300" s="7"/>
      <c r="R300" s="6" t="str">
        <f>Tab_Data_Flows[[#This Row],[Flow_ID]]&amp;"_"&amp;"material_"&amp;Tab_Data_Flows[[#This Row],[Flow_Data_Year]]</f>
        <v>F_01_09_material_2121</v>
      </c>
      <c r="S300" s="12">
        <f t="shared" si="8"/>
        <v>10000</v>
      </c>
      <c r="T300" s="6" t="str">
        <f>Tab_Data_Flows[[#This Row],[UoM_Source]]</f>
        <v>Mg</v>
      </c>
      <c r="U300" s="139">
        <f>INDEX(Tab_Def_Flows[[Flow_ID]:[CC_DM_source]],MATCH(Tab_Data_Flows[[#This Row],[Flow_Name]],Tab_Def_Flows[Flow_Name],0),11)</f>
        <v>1</v>
      </c>
      <c r="V300" s="6" t="str">
        <f>Tab_Data_Flows[[#This Row],[Flow_ID]]&amp;"_"&amp;"WC_"&amp;Tab_Data_Flows[[#This Row],[Flow_Data_Year]]</f>
        <v>F_01_09_WC_2121</v>
      </c>
      <c r="W300" s="6">
        <f>IF(D300="Yes",S300*Tab_Data_Flows[[#This Row],[WC_'[%']]],"N.A.")</f>
        <v>10000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F_01_09_DM_2121</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F_01_09_CC_2121</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F_01_09</v>
      </c>
      <c r="C301" s="138" t="s">
        <v>1103</v>
      </c>
      <c r="D301" s="9" t="str">
        <f>_xlfn.XLOOKUP(C301,Tab_Def_Flows[Flow_Name],Tab_Def_Flows[WC?],,0,)</f>
        <v>Yes</v>
      </c>
      <c r="E301" s="9" t="str">
        <f>_xlfn.XLOOKUP(C301,Tab_Def_Flows[Flow_Name],Tab_Def_Flows[DM?],,0,)</f>
        <v>Yes</v>
      </c>
      <c r="F301" s="9" t="str">
        <f>_xlfn.XLOOKUP(C301,Tab_Def_Flows[Flow_Name],Tab_Def_Flows[CC?],,0,)</f>
        <v>Yes</v>
      </c>
      <c r="G301" s="7">
        <v>2122</v>
      </c>
      <c r="H301" s="21">
        <v>10000</v>
      </c>
      <c r="I301" s="6" t="str">
        <f>'0_Configuration'!$C$4</f>
        <v>Mg</v>
      </c>
      <c r="J301" s="13"/>
      <c r="K301" s="13"/>
      <c r="L301" s="13"/>
      <c r="M301" s="13"/>
      <c r="N301" s="13"/>
      <c r="O301" s="7" t="s">
        <v>6</v>
      </c>
      <c r="P301" s="14"/>
      <c r="Q301" s="7"/>
      <c r="R301" s="6" t="str">
        <f>Tab_Data_Flows[[#This Row],[Flow_ID]]&amp;"_"&amp;"material_"&amp;Tab_Data_Flows[[#This Row],[Flow_Data_Year]]</f>
        <v>F_01_09_material_2122</v>
      </c>
      <c r="S301" s="12">
        <f t="shared" si="8"/>
        <v>10000</v>
      </c>
      <c r="T301" s="6" t="str">
        <f>Tab_Data_Flows[[#This Row],[UoM_Source]]</f>
        <v>Mg</v>
      </c>
      <c r="U301" s="139">
        <f>INDEX(Tab_Def_Flows[[Flow_ID]:[CC_DM_source]],MATCH(Tab_Data_Flows[[#This Row],[Flow_Name]],Tab_Def_Flows[Flow_Name],0),11)</f>
        <v>1</v>
      </c>
      <c r="V301" s="6" t="str">
        <f>Tab_Data_Flows[[#This Row],[Flow_ID]]&amp;"_"&amp;"WC_"&amp;Tab_Data_Flows[[#This Row],[Flow_Data_Year]]</f>
        <v>F_01_09_WC_2122</v>
      </c>
      <c r="W301" s="6">
        <f>IF(D301="Yes",S301*Tab_Data_Flows[[#This Row],[WC_'[%']]],"N.A.")</f>
        <v>10000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F_01_09_DM_2122</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F_01_09_CC_2122</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F_01_09</v>
      </c>
      <c r="C302" s="138" t="s">
        <v>1103</v>
      </c>
      <c r="D302" s="9" t="str">
        <f>_xlfn.XLOOKUP(C302,Tab_Def_Flows[Flow_Name],Tab_Def_Flows[WC?],,0,)</f>
        <v>Yes</v>
      </c>
      <c r="E302" s="9" t="str">
        <f>_xlfn.XLOOKUP(C302,Tab_Def_Flows[Flow_Name],Tab_Def_Flows[DM?],,0,)</f>
        <v>Yes</v>
      </c>
      <c r="F302" s="9" t="str">
        <f>_xlfn.XLOOKUP(C302,Tab_Def_Flows[Flow_Name],Tab_Def_Flows[CC?],,0,)</f>
        <v>Yes</v>
      </c>
      <c r="G302" s="7">
        <v>2123</v>
      </c>
      <c r="H302" s="21">
        <v>10000</v>
      </c>
      <c r="I302" s="6" t="str">
        <f>'0_Configuration'!$C$4</f>
        <v>Mg</v>
      </c>
      <c r="J302" s="13"/>
      <c r="K302" s="13"/>
      <c r="L302" s="13"/>
      <c r="M302" s="13"/>
      <c r="N302" s="13"/>
      <c r="O302" s="7" t="s">
        <v>6</v>
      </c>
      <c r="P302" s="14"/>
      <c r="Q302" s="7"/>
      <c r="R302" s="6" t="str">
        <f>Tab_Data_Flows[[#This Row],[Flow_ID]]&amp;"_"&amp;"material_"&amp;Tab_Data_Flows[[#This Row],[Flow_Data_Year]]</f>
        <v>F_01_09_material_2123</v>
      </c>
      <c r="S302" s="12">
        <f t="shared" si="8"/>
        <v>10000</v>
      </c>
      <c r="T302" s="6" t="str">
        <f>Tab_Data_Flows[[#This Row],[UoM_Source]]</f>
        <v>Mg</v>
      </c>
      <c r="U302" s="139">
        <f>INDEX(Tab_Def_Flows[[Flow_ID]:[CC_DM_source]],MATCH(Tab_Data_Flows[[#This Row],[Flow_Name]],Tab_Def_Flows[Flow_Name],0),11)</f>
        <v>1</v>
      </c>
      <c r="V302" s="6" t="str">
        <f>Tab_Data_Flows[[#This Row],[Flow_ID]]&amp;"_"&amp;"WC_"&amp;Tab_Data_Flows[[#This Row],[Flow_Data_Year]]</f>
        <v>F_01_09_WC_2123</v>
      </c>
      <c r="W302" s="6">
        <f>IF(D302="Yes",S302*Tab_Data_Flows[[#This Row],[WC_'[%']]],"N.A.")</f>
        <v>10000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F_01_09_DM_2123</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F_01_09_CC_2123</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F_01_09</v>
      </c>
      <c r="C303" s="138" t="s">
        <v>1103</v>
      </c>
      <c r="D303" s="9" t="str">
        <f>_xlfn.XLOOKUP(C303,Tab_Def_Flows[Flow_Name],Tab_Def_Flows[WC?],,0,)</f>
        <v>Yes</v>
      </c>
      <c r="E303" s="9" t="str">
        <f>_xlfn.XLOOKUP(C303,Tab_Def_Flows[Flow_Name],Tab_Def_Flows[DM?],,0,)</f>
        <v>Yes</v>
      </c>
      <c r="F303" s="9" t="str">
        <f>_xlfn.XLOOKUP(C303,Tab_Def_Flows[Flow_Name],Tab_Def_Flows[CC?],,0,)</f>
        <v>Yes</v>
      </c>
      <c r="G303" s="7">
        <v>2124</v>
      </c>
      <c r="H303" s="21">
        <v>10000</v>
      </c>
      <c r="I303" s="6" t="str">
        <f>'0_Configuration'!$C$4</f>
        <v>Mg</v>
      </c>
      <c r="J303" s="13"/>
      <c r="K303" s="13"/>
      <c r="L303" s="13"/>
      <c r="M303" s="13"/>
      <c r="N303" s="13"/>
      <c r="O303" s="7" t="s">
        <v>6</v>
      </c>
      <c r="P303" s="14"/>
      <c r="Q303" s="7"/>
      <c r="R303" s="6" t="str">
        <f>Tab_Data_Flows[[#This Row],[Flow_ID]]&amp;"_"&amp;"material_"&amp;Tab_Data_Flows[[#This Row],[Flow_Data_Year]]</f>
        <v>F_01_09_material_2124</v>
      </c>
      <c r="S303" s="12">
        <f t="shared" si="8"/>
        <v>10000</v>
      </c>
      <c r="T303" s="6" t="str">
        <f>Tab_Data_Flows[[#This Row],[UoM_Source]]</f>
        <v>Mg</v>
      </c>
      <c r="U303" s="139">
        <f>INDEX(Tab_Def_Flows[[Flow_ID]:[CC_DM_source]],MATCH(Tab_Data_Flows[[#This Row],[Flow_Name]],Tab_Def_Flows[Flow_Name],0),11)</f>
        <v>1</v>
      </c>
      <c r="V303" s="6" t="str">
        <f>Tab_Data_Flows[[#This Row],[Flow_ID]]&amp;"_"&amp;"WC_"&amp;Tab_Data_Flows[[#This Row],[Flow_Data_Year]]</f>
        <v>F_01_09_WC_2124</v>
      </c>
      <c r="W303" s="6">
        <f>IF(D303="Yes",S303*Tab_Data_Flows[[#This Row],[WC_'[%']]],"N.A.")</f>
        <v>10000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F_01_09_DM_2124</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F_01_09_CC_2124</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F_01_09</v>
      </c>
      <c r="C304" s="138" t="s">
        <v>1103</v>
      </c>
      <c r="D304" s="9" t="str">
        <f>_xlfn.XLOOKUP(C304,Tab_Def_Flows[Flow_Name],Tab_Def_Flows[WC?],,0,)</f>
        <v>Yes</v>
      </c>
      <c r="E304" s="9" t="str">
        <f>_xlfn.XLOOKUP(C304,Tab_Def_Flows[Flow_Name],Tab_Def_Flows[DM?],,0,)</f>
        <v>Yes</v>
      </c>
      <c r="F304" s="9" t="str">
        <f>_xlfn.XLOOKUP(C304,Tab_Def_Flows[Flow_Name],Tab_Def_Flows[CC?],,0,)</f>
        <v>Yes</v>
      </c>
      <c r="G304" s="7">
        <v>2125</v>
      </c>
      <c r="H304" s="21">
        <v>10000</v>
      </c>
      <c r="I304" s="6" t="str">
        <f>'0_Configuration'!$C$4</f>
        <v>Mg</v>
      </c>
      <c r="J304" s="13"/>
      <c r="K304" s="13"/>
      <c r="L304" s="13"/>
      <c r="M304" s="13"/>
      <c r="N304" s="13"/>
      <c r="O304" s="7" t="s">
        <v>6</v>
      </c>
      <c r="P304" s="14"/>
      <c r="Q304" s="7"/>
      <c r="R304" s="6" t="str">
        <f>Tab_Data_Flows[[#This Row],[Flow_ID]]&amp;"_"&amp;"material_"&amp;Tab_Data_Flows[[#This Row],[Flow_Data_Year]]</f>
        <v>F_01_09_material_2125</v>
      </c>
      <c r="S304" s="12">
        <f t="shared" si="8"/>
        <v>10000</v>
      </c>
      <c r="T304" s="6" t="str">
        <f>Tab_Data_Flows[[#This Row],[UoM_Source]]</f>
        <v>Mg</v>
      </c>
      <c r="U304" s="139">
        <f>INDEX(Tab_Def_Flows[[Flow_ID]:[CC_DM_source]],MATCH(Tab_Data_Flows[[#This Row],[Flow_Name]],Tab_Def_Flows[Flow_Name],0),11)</f>
        <v>1</v>
      </c>
      <c r="V304" s="6" t="str">
        <f>Tab_Data_Flows[[#This Row],[Flow_ID]]&amp;"_"&amp;"WC_"&amp;Tab_Data_Flows[[#This Row],[Flow_Data_Year]]</f>
        <v>F_01_09_WC_2125</v>
      </c>
      <c r="W304" s="6">
        <f>IF(D304="Yes",S304*Tab_Data_Flows[[#This Row],[WC_'[%']]],"N.A.")</f>
        <v>10000</v>
      </c>
      <c r="X304" s="6" t="str">
        <f>Tab_Data_Flows[[#This Row],[UoM_Flow_Py]]</f>
        <v>Mg</v>
      </c>
      <c r="Y304" s="139">
        <f>INDEX(Tab_Def_Flows[[Flow_ID]:[CC_DM_source]],MATCH(Tab_Data_Flows[[#This Row],[Flow_Name]],Tab_Def_Flows[Flow_Name],0),14)</f>
        <v>0</v>
      </c>
      <c r="Z304" s="6" t="str">
        <f>Tab_Data_Flows[[#This Row],[Flow_ID]]&amp;"_"&amp;"DM_"&amp;Tab_Data_Flows[[#This Row],[Flow_Data_Year]]</f>
        <v>F_01_09_DM_2125</v>
      </c>
      <c r="AA304" s="6">
        <f>IF(E304="Yes",Y304*Tab_Data_Flows[[#This Row],[Flow_Material]],"N.A.")</f>
        <v>0</v>
      </c>
      <c r="AB304" s="6" t="str">
        <f>Tab_Data_Flows[[#This Row],[UoM_Flow_Py]]</f>
        <v>Mg</v>
      </c>
      <c r="AC304" s="139">
        <f>INDEX(Tab_Def_Flows[[Flow_ID]:[CC_DM_source]],MATCH(Tab_Data_Flows[[#This Row],[Flow_Name]],Tab_Def_Flows[Flow_Name],0),17)</f>
        <v>0</v>
      </c>
      <c r="AD304" s="6" t="str">
        <f>Tab_Data_Flows[[#This Row],[Flow_ID]]&amp;"_"&amp;"CC_"&amp;Tab_Data_Flows[[#This Row],[Flow_Data_Year]]</f>
        <v>F_01_09_CC_2125</v>
      </c>
      <c r="AE304" s="6">
        <f>IF(F304="Yes",AC304*Tab_Data_Flows[[#This Row],[Flow_Material]]*Tab_Data_Flows[[#This Row],[DM_'[%']]],"N.A.")</f>
        <v>0</v>
      </c>
      <c r="AF304" s="6" t="str">
        <f>Tab_Data_Flows[[#This Row],[UoM_Flow_Py]]</f>
        <v>Mg</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t="str">
        <f>'0_Configuration'!$C$4</f>
        <v>Mg</v>
      </c>
      <c r="J305" s="13"/>
      <c r="K305" s="13"/>
      <c r="L305" s="13"/>
      <c r="M305" s="13"/>
      <c r="N305" s="13"/>
      <c r="O305" s="7" t="s">
        <v>6</v>
      </c>
      <c r="P305" s="14"/>
      <c r="Q305" s="7"/>
      <c r="R305" s="6" t="str">
        <f>Tab_Data_Flows[[#This Row],[Flow_ID]]&amp;"_"&amp;"material_"&amp;Tab_Data_Flows[[#This Row],[Flow_Data_Year]]</f>
        <v>F___material_</v>
      </c>
      <c r="S305" s="12">
        <f t="shared" si="8"/>
        <v>0</v>
      </c>
      <c r="T305" s="6" t="str">
        <f>Tab_Data_Flows[[#This Row],[UoM_Source]]</f>
        <v>Mg</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t="str">
        <f>Tab_Data_Flows[[#This Row],[UoM_Flow_Py]]</f>
        <v>Mg</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t="str">
        <f>Tab_Data_Flows[[#This Row],[UoM_Flow_Py]]</f>
        <v>Mg</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t="str">
        <f>Tab_Data_Flows[[#This Row],[UoM_Flow_Py]]</f>
        <v>Mg</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t="str">
        <f>'0_Configuration'!$C$4</f>
        <v>Mg</v>
      </c>
      <c r="J306" s="13"/>
      <c r="K306" s="13"/>
      <c r="L306" s="13"/>
      <c r="M306" s="13"/>
      <c r="N306" s="13"/>
      <c r="O306" s="7" t="s">
        <v>6</v>
      </c>
      <c r="P306" s="14"/>
      <c r="Q306" s="7"/>
      <c r="R306" s="6" t="str">
        <f>Tab_Data_Flows[[#This Row],[Flow_ID]]&amp;"_"&amp;"material_"&amp;Tab_Data_Flows[[#This Row],[Flow_Data_Year]]</f>
        <v>F___material_</v>
      </c>
      <c r="S306" s="12">
        <f t="shared" si="8"/>
        <v>0</v>
      </c>
      <c r="T306" s="6" t="str">
        <f>Tab_Data_Flows[[#This Row],[UoM_Source]]</f>
        <v>Mg</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t="str">
        <f>Tab_Data_Flows[[#This Row],[UoM_Flow_Py]]</f>
        <v>Mg</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t="str">
        <f>Tab_Data_Flows[[#This Row],[UoM_Flow_Py]]</f>
        <v>Mg</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t="str">
        <f>Tab_Data_Flows[[#This Row],[UoM_Flow_Py]]</f>
        <v>Mg</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t="str">
        <f>'0_Configuration'!$C$4</f>
        <v>Mg</v>
      </c>
      <c r="J307" s="13"/>
      <c r="K307" s="13"/>
      <c r="L307" s="13"/>
      <c r="M307" s="13"/>
      <c r="N307" s="13"/>
      <c r="O307" s="7" t="s">
        <v>6</v>
      </c>
      <c r="P307" s="14"/>
      <c r="Q307" s="7"/>
      <c r="R307" s="6" t="str">
        <f>Tab_Data_Flows[[#This Row],[Flow_ID]]&amp;"_"&amp;"material_"&amp;Tab_Data_Flows[[#This Row],[Flow_Data_Year]]</f>
        <v>F___material_</v>
      </c>
      <c r="S307" s="12">
        <f t="shared" si="8"/>
        <v>0</v>
      </c>
      <c r="T307" s="6" t="str">
        <f>Tab_Data_Flows[[#This Row],[UoM_Source]]</f>
        <v>Mg</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t="str">
        <f>Tab_Data_Flows[[#This Row],[UoM_Flow_Py]]</f>
        <v>Mg</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t="str">
        <f>Tab_Data_Flows[[#This Row],[UoM_Flow_Py]]</f>
        <v>Mg</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t="str">
        <f>Tab_Data_Flows[[#This Row],[UoM_Flow_Py]]</f>
        <v>Mg</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t="str">
        <f>'0_Configuration'!$C$4</f>
        <v>Mg</v>
      </c>
      <c r="J308" s="13"/>
      <c r="K308" s="13"/>
      <c r="L308" s="13"/>
      <c r="M308" s="13"/>
      <c r="N308" s="13"/>
      <c r="O308" s="7" t="s">
        <v>6</v>
      </c>
      <c r="P308" s="14"/>
      <c r="Q308" s="7"/>
      <c r="R308" s="6" t="str">
        <f>Tab_Data_Flows[[#This Row],[Flow_ID]]&amp;"_"&amp;"material_"&amp;Tab_Data_Flows[[#This Row],[Flow_Data_Year]]</f>
        <v>F___material_</v>
      </c>
      <c r="S308" s="12">
        <f t="shared" si="8"/>
        <v>0</v>
      </c>
      <c r="T308" s="6" t="str">
        <f>Tab_Data_Flows[[#This Row],[UoM_Source]]</f>
        <v>Mg</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t="str">
        <f>Tab_Data_Flows[[#This Row],[UoM_Flow_Py]]</f>
        <v>Mg</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t="str">
        <f>Tab_Data_Flows[[#This Row],[UoM_Flow_Py]]</f>
        <v>Mg</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t="str">
        <f>Tab_Data_Flows[[#This Row],[UoM_Flow_Py]]</f>
        <v>Mg</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t="str">
        <f>'0_Configuration'!$C$4</f>
        <v>Mg</v>
      </c>
      <c r="J309" s="13"/>
      <c r="K309" s="13"/>
      <c r="L309" s="13"/>
      <c r="M309" s="13"/>
      <c r="N309" s="13"/>
      <c r="O309" s="7" t="s">
        <v>6</v>
      </c>
      <c r="P309" s="14"/>
      <c r="Q309" s="7"/>
      <c r="R309" s="6" t="str">
        <f>Tab_Data_Flows[[#This Row],[Flow_ID]]&amp;"_"&amp;"material_"&amp;Tab_Data_Flows[[#This Row],[Flow_Data_Year]]</f>
        <v>F___material_</v>
      </c>
      <c r="S309" s="12">
        <f t="shared" si="8"/>
        <v>0</v>
      </c>
      <c r="T309" s="6" t="str">
        <f>Tab_Data_Flows[[#This Row],[UoM_Source]]</f>
        <v>Mg</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t="str">
        <f>Tab_Data_Flows[[#This Row],[UoM_Flow_Py]]</f>
        <v>Mg</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t="str">
        <f>Tab_Data_Flows[[#This Row],[UoM_Flow_Py]]</f>
        <v>Mg</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t="str">
        <f>Tab_Data_Flows[[#This Row],[UoM_Flow_Py]]</f>
        <v>Mg</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t="str">
        <f>'0_Configuration'!$C$4</f>
        <v>Mg</v>
      </c>
      <c r="J310" s="13"/>
      <c r="K310" s="13"/>
      <c r="L310" s="13"/>
      <c r="M310" s="13"/>
      <c r="N310" s="13"/>
      <c r="O310" s="7" t="s">
        <v>6</v>
      </c>
      <c r="P310" s="14"/>
      <c r="Q310" s="7"/>
      <c r="R310" s="6" t="str">
        <f>Tab_Data_Flows[[#This Row],[Flow_ID]]&amp;"_"&amp;"material_"&amp;Tab_Data_Flows[[#This Row],[Flow_Data_Year]]</f>
        <v>F___material_</v>
      </c>
      <c r="S310" s="12">
        <f t="shared" si="8"/>
        <v>0</v>
      </c>
      <c r="T310" s="6" t="str">
        <f>Tab_Data_Flows[[#This Row],[UoM_Source]]</f>
        <v>Mg</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t="str">
        <f>Tab_Data_Flows[[#This Row],[UoM_Flow_Py]]</f>
        <v>Mg</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t="str">
        <f>Tab_Data_Flows[[#This Row],[UoM_Flow_Py]]</f>
        <v>Mg</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t="str">
        <f>Tab_Data_Flows[[#This Row],[UoM_Flow_Py]]</f>
        <v>Mg</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t="str">
        <f>'0_Configuration'!$C$4</f>
        <v>Mg</v>
      </c>
      <c r="J311" s="13"/>
      <c r="K311" s="13"/>
      <c r="L311" s="13"/>
      <c r="M311" s="13"/>
      <c r="N311" s="13"/>
      <c r="O311" s="7" t="s">
        <v>6</v>
      </c>
      <c r="P311" s="14"/>
      <c r="Q311" s="7"/>
      <c r="R311" s="6" t="str">
        <f>Tab_Data_Flows[[#This Row],[Flow_ID]]&amp;"_"&amp;"material_"&amp;Tab_Data_Flows[[#This Row],[Flow_Data_Year]]</f>
        <v>F___material_</v>
      </c>
      <c r="S311" s="12">
        <f t="shared" si="8"/>
        <v>0</v>
      </c>
      <c r="T311" s="6" t="str">
        <f>Tab_Data_Flows[[#This Row],[UoM_Source]]</f>
        <v>Mg</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t="str">
        <f>Tab_Data_Flows[[#This Row],[UoM_Flow_Py]]</f>
        <v>Mg</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t="str">
        <f>Tab_Data_Flows[[#This Row],[UoM_Flow_Py]]</f>
        <v>Mg</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t="str">
        <f>Tab_Data_Flows[[#This Row],[UoM_Flow_Py]]</f>
        <v>Mg</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t="str">
        <f>'0_Configuration'!$C$4</f>
        <v>Mg</v>
      </c>
      <c r="J312" s="13"/>
      <c r="K312" s="13"/>
      <c r="L312" s="13"/>
      <c r="M312" s="13"/>
      <c r="N312" s="13"/>
      <c r="O312" s="7" t="s">
        <v>6</v>
      </c>
      <c r="P312" s="14"/>
      <c r="Q312" s="7"/>
      <c r="R312" s="6" t="str">
        <f>Tab_Data_Flows[[#This Row],[Flow_ID]]&amp;"_"&amp;"material_"&amp;Tab_Data_Flows[[#This Row],[Flow_Data_Year]]</f>
        <v>F___material_</v>
      </c>
      <c r="S312" s="12">
        <f t="shared" si="8"/>
        <v>0</v>
      </c>
      <c r="T312" s="6" t="str">
        <f>Tab_Data_Flows[[#This Row],[UoM_Source]]</f>
        <v>Mg</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t="str">
        <f>Tab_Data_Flows[[#This Row],[UoM_Flow_Py]]</f>
        <v>Mg</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t="str">
        <f>Tab_Data_Flows[[#This Row],[UoM_Flow_Py]]</f>
        <v>Mg</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t="str">
        <f>Tab_Data_Flows[[#This Row],[UoM_Flow_Py]]</f>
        <v>Mg</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t="str">
        <f>'0_Configuration'!$C$4</f>
        <v>Mg</v>
      </c>
      <c r="J313" s="13"/>
      <c r="K313" s="13"/>
      <c r="L313" s="13"/>
      <c r="M313" s="13"/>
      <c r="N313" s="13"/>
      <c r="O313" s="7" t="s">
        <v>6</v>
      </c>
      <c r="P313" s="14"/>
      <c r="Q313" s="7"/>
      <c r="R313" s="6" t="str">
        <f>Tab_Data_Flows[[#This Row],[Flow_ID]]&amp;"_"&amp;"material_"&amp;Tab_Data_Flows[[#This Row],[Flow_Data_Year]]</f>
        <v>F___material_</v>
      </c>
      <c r="S313" s="12">
        <f t="shared" si="8"/>
        <v>0</v>
      </c>
      <c r="T313" s="6" t="str">
        <f>Tab_Data_Flows[[#This Row],[UoM_Source]]</f>
        <v>Mg</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t="str">
        <f>Tab_Data_Flows[[#This Row],[UoM_Flow_Py]]</f>
        <v>Mg</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t="str">
        <f>Tab_Data_Flows[[#This Row],[UoM_Flow_Py]]</f>
        <v>Mg</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t="str">
        <f>Tab_Data_Flows[[#This Row],[UoM_Flow_Py]]</f>
        <v>Mg</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t="str">
        <f>'0_Configuration'!$C$4</f>
        <v>Mg</v>
      </c>
      <c r="J314" s="13"/>
      <c r="K314" s="13"/>
      <c r="L314" s="13"/>
      <c r="M314" s="13"/>
      <c r="N314" s="13"/>
      <c r="O314" s="7" t="s">
        <v>6</v>
      </c>
      <c r="P314" s="14"/>
      <c r="Q314" s="7"/>
      <c r="R314" s="6" t="str">
        <f>Tab_Data_Flows[[#This Row],[Flow_ID]]&amp;"_"&amp;"material_"&amp;Tab_Data_Flows[[#This Row],[Flow_Data_Year]]</f>
        <v>F___material_</v>
      </c>
      <c r="S314" s="12">
        <f t="shared" si="8"/>
        <v>0</v>
      </c>
      <c r="T314" s="6" t="str">
        <f>Tab_Data_Flows[[#This Row],[UoM_Source]]</f>
        <v>Mg</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t="str">
        <f>Tab_Data_Flows[[#This Row],[UoM_Flow_Py]]</f>
        <v>Mg</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t="str">
        <f>Tab_Data_Flows[[#This Row],[UoM_Flow_Py]]</f>
        <v>Mg</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t="str">
        <f>Tab_Data_Flows[[#This Row],[UoM_Flow_Py]]</f>
        <v>Mg</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t="str">
        <f>'0_Configuration'!$C$4</f>
        <v>Mg</v>
      </c>
      <c r="J315" s="13"/>
      <c r="K315" s="13"/>
      <c r="L315" s="13"/>
      <c r="M315" s="13"/>
      <c r="N315" s="13"/>
      <c r="O315" s="7" t="s">
        <v>6</v>
      </c>
      <c r="P315" s="14"/>
      <c r="Q315" s="7"/>
      <c r="R315" s="6" t="str">
        <f>Tab_Data_Flows[[#This Row],[Flow_ID]]&amp;"_"&amp;"material_"&amp;Tab_Data_Flows[[#This Row],[Flow_Data_Year]]</f>
        <v>F___material_</v>
      </c>
      <c r="S315" s="12">
        <f t="shared" si="8"/>
        <v>0</v>
      </c>
      <c r="T315" s="6" t="str">
        <f>Tab_Data_Flows[[#This Row],[UoM_Source]]</f>
        <v>Mg</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t="str">
        <f>Tab_Data_Flows[[#This Row],[UoM_Flow_Py]]</f>
        <v>Mg</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t="str">
        <f>Tab_Data_Flows[[#This Row],[UoM_Flow_Py]]</f>
        <v>Mg</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t="str">
        <f>Tab_Data_Flows[[#This Row],[UoM_Flow_Py]]</f>
        <v>Mg</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t="str">
        <f>'0_Configuration'!$C$4</f>
        <v>Mg</v>
      </c>
      <c r="J316" s="13"/>
      <c r="K316" s="13"/>
      <c r="L316" s="13"/>
      <c r="M316" s="13"/>
      <c r="N316" s="13"/>
      <c r="O316" s="7" t="s">
        <v>6</v>
      </c>
      <c r="P316" s="14"/>
      <c r="Q316" s="7"/>
      <c r="R316" s="6" t="str">
        <f>Tab_Data_Flows[[#This Row],[Flow_ID]]&amp;"_"&amp;"material_"&amp;Tab_Data_Flows[[#This Row],[Flow_Data_Year]]</f>
        <v>F___material_</v>
      </c>
      <c r="S316" s="12">
        <f t="shared" si="8"/>
        <v>0</v>
      </c>
      <c r="T316" s="6" t="str">
        <f>Tab_Data_Flows[[#This Row],[UoM_Source]]</f>
        <v>Mg</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t="str">
        <f>Tab_Data_Flows[[#This Row],[UoM_Flow_Py]]</f>
        <v>Mg</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t="str">
        <f>Tab_Data_Flows[[#This Row],[UoM_Flow_Py]]</f>
        <v>Mg</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t="str">
        <f>Tab_Data_Flows[[#This Row],[UoM_Flow_Py]]</f>
        <v>Mg</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t="str">
        <f>'0_Configuration'!$C$4</f>
        <v>Mg</v>
      </c>
      <c r="J317" s="13"/>
      <c r="K317" s="13"/>
      <c r="L317" s="13"/>
      <c r="M317" s="13"/>
      <c r="N317" s="13"/>
      <c r="O317" s="7" t="s">
        <v>6</v>
      </c>
      <c r="P317" s="14"/>
      <c r="Q317" s="7"/>
      <c r="R317" s="6" t="str">
        <f>Tab_Data_Flows[[#This Row],[Flow_ID]]&amp;"_"&amp;"material_"&amp;Tab_Data_Flows[[#This Row],[Flow_Data_Year]]</f>
        <v>F___material_</v>
      </c>
      <c r="S317" s="12">
        <f t="shared" si="8"/>
        <v>0</v>
      </c>
      <c r="T317" s="6" t="str">
        <f>Tab_Data_Flows[[#This Row],[UoM_Source]]</f>
        <v>Mg</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t="str">
        <f>Tab_Data_Flows[[#This Row],[UoM_Flow_Py]]</f>
        <v>Mg</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t="str">
        <f>Tab_Data_Flows[[#This Row],[UoM_Flow_Py]]</f>
        <v>Mg</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t="str">
        <f>Tab_Data_Flows[[#This Row],[UoM_Flow_Py]]</f>
        <v>Mg</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t="str">
        <f>'0_Configuration'!$C$4</f>
        <v>Mg</v>
      </c>
      <c r="J318" s="13"/>
      <c r="K318" s="13"/>
      <c r="L318" s="13"/>
      <c r="M318" s="13"/>
      <c r="N318" s="13"/>
      <c r="O318" s="7" t="s">
        <v>6</v>
      </c>
      <c r="P318" s="14"/>
      <c r="Q318" s="7"/>
      <c r="R318" s="6" t="str">
        <f>Tab_Data_Flows[[#This Row],[Flow_ID]]&amp;"_"&amp;"material_"&amp;Tab_Data_Flows[[#This Row],[Flow_Data_Year]]</f>
        <v>F___material_</v>
      </c>
      <c r="S318" s="12">
        <f t="shared" si="8"/>
        <v>0</v>
      </c>
      <c r="T318" s="6" t="str">
        <f>Tab_Data_Flows[[#This Row],[UoM_Source]]</f>
        <v>Mg</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t="str">
        <f>Tab_Data_Flows[[#This Row],[UoM_Flow_Py]]</f>
        <v>Mg</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t="str">
        <f>Tab_Data_Flows[[#This Row],[UoM_Flow_Py]]</f>
        <v>Mg</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t="str">
        <f>Tab_Data_Flows[[#This Row],[UoM_Flow_Py]]</f>
        <v>Mg</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t="str">
        <f>'0_Configuration'!$C$4</f>
        <v>Mg</v>
      </c>
      <c r="J319" s="13"/>
      <c r="K319" s="13"/>
      <c r="L319" s="13"/>
      <c r="M319" s="13"/>
      <c r="N319" s="13"/>
      <c r="O319" s="7" t="s">
        <v>6</v>
      </c>
      <c r="P319" s="14"/>
      <c r="Q319" s="7"/>
      <c r="R319" s="6" t="str">
        <f>Tab_Data_Flows[[#This Row],[Flow_ID]]&amp;"_"&amp;"material_"&amp;Tab_Data_Flows[[#This Row],[Flow_Data_Year]]</f>
        <v>F___material_</v>
      </c>
      <c r="S319" s="12">
        <f t="shared" si="8"/>
        <v>0</v>
      </c>
      <c r="T319" s="6" t="str">
        <f>Tab_Data_Flows[[#This Row],[UoM_Source]]</f>
        <v>Mg</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t="str">
        <f>Tab_Data_Flows[[#This Row],[UoM_Flow_Py]]</f>
        <v>Mg</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t="str">
        <f>Tab_Data_Flows[[#This Row],[UoM_Flow_Py]]</f>
        <v>Mg</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t="str">
        <f>Tab_Data_Flows[[#This Row],[UoM_Flow_Py]]</f>
        <v>Mg</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t="str">
        <f>'0_Configuration'!$C$4</f>
        <v>Mg</v>
      </c>
      <c r="J320" s="13"/>
      <c r="K320" s="13"/>
      <c r="L320" s="13"/>
      <c r="M320" s="13"/>
      <c r="N320" s="13"/>
      <c r="O320" s="7" t="s">
        <v>6</v>
      </c>
      <c r="P320" s="14"/>
      <c r="Q320" s="7"/>
      <c r="R320" s="6" t="str">
        <f>Tab_Data_Flows[[#This Row],[Flow_ID]]&amp;"_"&amp;"material_"&amp;Tab_Data_Flows[[#This Row],[Flow_Data_Year]]</f>
        <v>F___material_</v>
      </c>
      <c r="S320" s="12">
        <f t="shared" si="8"/>
        <v>0</v>
      </c>
      <c r="T320" s="6" t="str">
        <f>Tab_Data_Flows[[#This Row],[UoM_Source]]</f>
        <v>Mg</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t="str">
        <f>Tab_Data_Flows[[#This Row],[UoM_Flow_Py]]</f>
        <v>Mg</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t="str">
        <f>Tab_Data_Flows[[#This Row],[UoM_Flow_Py]]</f>
        <v>Mg</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t="str">
        <f>Tab_Data_Flows[[#This Row],[UoM_Flow_Py]]</f>
        <v>Mg</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t="str">
        <f>'0_Configuration'!$C$4</f>
        <v>Mg</v>
      </c>
      <c r="J321" s="13"/>
      <c r="K321" s="13"/>
      <c r="L321" s="13"/>
      <c r="M321" s="13"/>
      <c r="N321" s="13"/>
      <c r="O321" s="7" t="s">
        <v>6</v>
      </c>
      <c r="P321" s="14"/>
      <c r="Q321" s="7"/>
      <c r="R321" s="6" t="str">
        <f>Tab_Data_Flows[[#This Row],[Flow_ID]]&amp;"_"&amp;"material_"&amp;Tab_Data_Flows[[#This Row],[Flow_Data_Year]]</f>
        <v>F___material_</v>
      </c>
      <c r="S321" s="12">
        <f t="shared" si="8"/>
        <v>0</v>
      </c>
      <c r="T321" s="6" t="str">
        <f>Tab_Data_Flows[[#This Row],[UoM_Source]]</f>
        <v>Mg</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t="str">
        <f>Tab_Data_Flows[[#This Row],[UoM_Flow_Py]]</f>
        <v>Mg</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t="str">
        <f>Tab_Data_Flows[[#This Row],[UoM_Flow_Py]]</f>
        <v>Mg</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t="str">
        <f>Tab_Data_Flows[[#This Row],[UoM_Flow_Py]]</f>
        <v>Mg</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t="str">
        <f>'0_Configuration'!$C$4</f>
        <v>Mg</v>
      </c>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t="str">
        <f>Tab_Data_Flows[[#This Row],[UoM_Source]]</f>
        <v>Mg</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t="str">
        <f>Tab_Data_Flows[[#This Row],[UoM_Flow_Py]]</f>
        <v>Mg</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t="str">
        <f>Tab_Data_Flows[[#This Row],[UoM_Flow_Py]]</f>
        <v>Mg</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t="str">
        <f>Tab_Data_Flows[[#This Row],[UoM_Flow_Py]]</f>
        <v>Mg</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t="str">
        <f>'0_Configuration'!$C$4</f>
        <v>Mg</v>
      </c>
      <c r="J323" s="13"/>
      <c r="K323" s="13"/>
      <c r="L323" s="13"/>
      <c r="M323" s="13"/>
      <c r="N323" s="13"/>
      <c r="O323" s="7" t="s">
        <v>6</v>
      </c>
      <c r="P323" s="14"/>
      <c r="Q323" s="7"/>
      <c r="R323" s="6" t="str">
        <f>Tab_Data_Flows[[#This Row],[Flow_ID]]&amp;"_"&amp;"material_"&amp;Tab_Data_Flows[[#This Row],[Flow_Data_Year]]</f>
        <v>F___material_</v>
      </c>
      <c r="S323" s="12">
        <f t="shared" si="10"/>
        <v>0</v>
      </c>
      <c r="T323" s="6" t="str">
        <f>Tab_Data_Flows[[#This Row],[UoM_Source]]</f>
        <v>Mg</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t="str">
        <f>Tab_Data_Flows[[#This Row],[UoM_Flow_Py]]</f>
        <v>Mg</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t="str">
        <f>Tab_Data_Flows[[#This Row],[UoM_Flow_Py]]</f>
        <v>Mg</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t="str">
        <f>Tab_Data_Flows[[#This Row],[UoM_Flow_Py]]</f>
        <v>Mg</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t="str">
        <f>'0_Configuration'!$C$4</f>
        <v>Mg</v>
      </c>
      <c r="J324" s="13"/>
      <c r="K324" s="13"/>
      <c r="L324" s="13"/>
      <c r="M324" s="13"/>
      <c r="N324" s="13"/>
      <c r="O324" s="7" t="s">
        <v>6</v>
      </c>
      <c r="P324" s="14"/>
      <c r="Q324" s="7"/>
      <c r="R324" s="6" t="str">
        <f>Tab_Data_Flows[[#This Row],[Flow_ID]]&amp;"_"&amp;"material_"&amp;Tab_Data_Flows[[#This Row],[Flow_Data_Year]]</f>
        <v>F___material_</v>
      </c>
      <c r="S324" s="12">
        <f t="shared" si="10"/>
        <v>0</v>
      </c>
      <c r="T324" s="6" t="str">
        <f>Tab_Data_Flows[[#This Row],[UoM_Source]]</f>
        <v>Mg</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t="str">
        <f>Tab_Data_Flows[[#This Row],[UoM_Flow_Py]]</f>
        <v>Mg</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t="str">
        <f>Tab_Data_Flows[[#This Row],[UoM_Flow_Py]]</f>
        <v>Mg</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t="str">
        <f>Tab_Data_Flows[[#This Row],[UoM_Flow_Py]]</f>
        <v>Mg</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t="str">
        <f>'0_Configuration'!$C$4</f>
        <v>Mg</v>
      </c>
      <c r="J325" s="13"/>
      <c r="K325" s="13"/>
      <c r="L325" s="13"/>
      <c r="M325" s="13"/>
      <c r="N325" s="13"/>
      <c r="O325" s="7" t="s">
        <v>6</v>
      </c>
      <c r="P325" s="14"/>
      <c r="Q325" s="7"/>
      <c r="R325" s="6" t="str">
        <f>Tab_Data_Flows[[#This Row],[Flow_ID]]&amp;"_"&amp;"material_"&amp;Tab_Data_Flows[[#This Row],[Flow_Data_Year]]</f>
        <v>F___material_</v>
      </c>
      <c r="S325" s="12">
        <f t="shared" si="10"/>
        <v>0</v>
      </c>
      <c r="T325" s="6" t="str">
        <f>Tab_Data_Flows[[#This Row],[UoM_Source]]</f>
        <v>Mg</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t="str">
        <f>Tab_Data_Flows[[#This Row],[UoM_Flow_Py]]</f>
        <v>Mg</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t="str">
        <f>Tab_Data_Flows[[#This Row],[UoM_Flow_Py]]</f>
        <v>Mg</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t="str">
        <f>Tab_Data_Flows[[#This Row],[UoM_Flow_Py]]</f>
        <v>Mg</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t="str">
        <f>'0_Configuration'!$C$4</f>
        <v>Mg</v>
      </c>
      <c r="J326" s="13"/>
      <c r="K326" s="13"/>
      <c r="L326" s="13"/>
      <c r="M326" s="13"/>
      <c r="N326" s="13"/>
      <c r="O326" s="7" t="s">
        <v>6</v>
      </c>
      <c r="P326" s="14"/>
      <c r="Q326" s="7"/>
      <c r="R326" s="6" t="str">
        <f>Tab_Data_Flows[[#This Row],[Flow_ID]]&amp;"_"&amp;"material_"&amp;Tab_Data_Flows[[#This Row],[Flow_Data_Year]]</f>
        <v>F___material_</v>
      </c>
      <c r="S326" s="12">
        <f t="shared" si="10"/>
        <v>0</v>
      </c>
      <c r="T326" s="6" t="str">
        <f>Tab_Data_Flows[[#This Row],[UoM_Source]]</f>
        <v>Mg</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t="str">
        <f>Tab_Data_Flows[[#This Row],[UoM_Flow_Py]]</f>
        <v>Mg</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t="str">
        <f>Tab_Data_Flows[[#This Row],[UoM_Flow_Py]]</f>
        <v>Mg</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t="str">
        <f>Tab_Data_Flows[[#This Row],[UoM_Flow_Py]]</f>
        <v>Mg</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t="str">
        <f>'0_Configuration'!$C$4</f>
        <v>Mg</v>
      </c>
      <c r="J327" s="13"/>
      <c r="K327" s="13"/>
      <c r="L327" s="13"/>
      <c r="M327" s="13"/>
      <c r="N327" s="13"/>
      <c r="O327" s="7" t="s">
        <v>6</v>
      </c>
      <c r="P327" s="14"/>
      <c r="Q327" s="7"/>
      <c r="R327" s="6" t="str">
        <f>Tab_Data_Flows[[#This Row],[Flow_ID]]&amp;"_"&amp;"material_"&amp;Tab_Data_Flows[[#This Row],[Flow_Data_Year]]</f>
        <v>F___material_</v>
      </c>
      <c r="S327" s="12">
        <f t="shared" si="10"/>
        <v>0</v>
      </c>
      <c r="T327" s="6" t="str">
        <f>Tab_Data_Flows[[#This Row],[UoM_Source]]</f>
        <v>Mg</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t="str">
        <f>Tab_Data_Flows[[#This Row],[UoM_Flow_Py]]</f>
        <v>Mg</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t="str">
        <f>Tab_Data_Flows[[#This Row],[UoM_Flow_Py]]</f>
        <v>Mg</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t="str">
        <f>Tab_Data_Flows[[#This Row],[UoM_Flow_Py]]</f>
        <v>Mg</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t="str">
        <f>'0_Configuration'!$C$4</f>
        <v>Mg</v>
      </c>
      <c r="J328" s="13"/>
      <c r="K328" s="13"/>
      <c r="L328" s="13"/>
      <c r="M328" s="13"/>
      <c r="N328" s="13"/>
      <c r="O328" s="7" t="s">
        <v>6</v>
      </c>
      <c r="P328" s="14"/>
      <c r="Q328" s="7"/>
      <c r="R328" s="6" t="str">
        <f>Tab_Data_Flows[[#This Row],[Flow_ID]]&amp;"_"&amp;"material_"&amp;Tab_Data_Flows[[#This Row],[Flow_Data_Year]]</f>
        <v>F___material_</v>
      </c>
      <c r="S328" s="12">
        <f t="shared" si="10"/>
        <v>0</v>
      </c>
      <c r="T328" s="6" t="str">
        <f>Tab_Data_Flows[[#This Row],[UoM_Source]]</f>
        <v>Mg</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t="str">
        <f>Tab_Data_Flows[[#This Row],[UoM_Flow_Py]]</f>
        <v>Mg</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t="str">
        <f>Tab_Data_Flows[[#This Row],[UoM_Flow_Py]]</f>
        <v>Mg</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t="str">
        <f>Tab_Data_Flows[[#This Row],[UoM_Flow_Py]]</f>
        <v>Mg</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t="str">
        <f>'0_Configuration'!$C$4</f>
        <v>Mg</v>
      </c>
      <c r="J329" s="13"/>
      <c r="K329" s="13"/>
      <c r="L329" s="13"/>
      <c r="M329" s="13"/>
      <c r="N329" s="13"/>
      <c r="O329" s="7" t="s">
        <v>6</v>
      </c>
      <c r="P329" s="14"/>
      <c r="Q329" s="7"/>
      <c r="R329" s="6" t="str">
        <f>Tab_Data_Flows[[#This Row],[Flow_ID]]&amp;"_"&amp;"material_"&amp;Tab_Data_Flows[[#This Row],[Flow_Data_Year]]</f>
        <v>F___material_</v>
      </c>
      <c r="S329" s="12">
        <f t="shared" si="10"/>
        <v>0</v>
      </c>
      <c r="T329" s="6" t="str">
        <f>Tab_Data_Flows[[#This Row],[UoM_Source]]</f>
        <v>Mg</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t="str">
        <f>Tab_Data_Flows[[#This Row],[UoM_Flow_Py]]</f>
        <v>Mg</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t="str">
        <f>Tab_Data_Flows[[#This Row],[UoM_Flow_Py]]</f>
        <v>Mg</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t="str">
        <f>Tab_Data_Flows[[#This Row],[UoM_Flow_Py]]</f>
        <v>Mg</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t="str">
        <f>'0_Configuration'!$C$4</f>
        <v>Mg</v>
      </c>
      <c r="J330" s="13"/>
      <c r="K330" s="13"/>
      <c r="L330" s="13"/>
      <c r="M330" s="13"/>
      <c r="N330" s="13"/>
      <c r="O330" s="7" t="s">
        <v>6</v>
      </c>
      <c r="P330" s="14"/>
      <c r="Q330" s="7"/>
      <c r="R330" s="6" t="str">
        <f>Tab_Data_Flows[[#This Row],[Flow_ID]]&amp;"_"&amp;"material_"&amp;Tab_Data_Flows[[#This Row],[Flow_Data_Year]]</f>
        <v>F___material_</v>
      </c>
      <c r="S330" s="12">
        <f t="shared" si="10"/>
        <v>0</v>
      </c>
      <c r="T330" s="6" t="str">
        <f>Tab_Data_Flows[[#This Row],[UoM_Source]]</f>
        <v>Mg</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t="str">
        <f>Tab_Data_Flows[[#This Row],[UoM_Flow_Py]]</f>
        <v>Mg</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t="str">
        <f>Tab_Data_Flows[[#This Row],[UoM_Flow_Py]]</f>
        <v>Mg</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t="str">
        <f>Tab_Data_Flows[[#This Row],[UoM_Flow_Py]]</f>
        <v>Mg</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t="str">
        <f>'0_Configuration'!$C$4</f>
        <v>Mg</v>
      </c>
      <c r="J331" s="13"/>
      <c r="K331" s="13"/>
      <c r="L331" s="13"/>
      <c r="M331" s="13"/>
      <c r="N331" s="13"/>
      <c r="O331" s="7" t="s">
        <v>6</v>
      </c>
      <c r="P331" s="14"/>
      <c r="Q331" s="7"/>
      <c r="R331" s="6" t="str">
        <f>Tab_Data_Flows[[#This Row],[Flow_ID]]&amp;"_"&amp;"material_"&amp;Tab_Data_Flows[[#This Row],[Flow_Data_Year]]</f>
        <v>F___material_</v>
      </c>
      <c r="S331" s="12">
        <f t="shared" si="10"/>
        <v>0</v>
      </c>
      <c r="T331" s="6" t="str">
        <f>Tab_Data_Flows[[#This Row],[UoM_Source]]</f>
        <v>Mg</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t="str">
        <f>Tab_Data_Flows[[#This Row],[UoM_Flow_Py]]</f>
        <v>Mg</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t="str">
        <f>Tab_Data_Flows[[#This Row],[UoM_Flow_Py]]</f>
        <v>Mg</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t="str">
        <f>Tab_Data_Flows[[#This Row],[UoM_Flow_Py]]</f>
        <v>Mg</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t="str">
        <f>'0_Configuration'!$C$4</f>
        <v>Mg</v>
      </c>
      <c r="J332" s="13"/>
      <c r="K332" s="13"/>
      <c r="L332" s="13"/>
      <c r="M332" s="13"/>
      <c r="N332" s="13"/>
      <c r="O332" s="7" t="s">
        <v>6</v>
      </c>
      <c r="P332" s="14"/>
      <c r="Q332" s="7"/>
      <c r="R332" s="6" t="str">
        <f>Tab_Data_Flows[[#This Row],[Flow_ID]]&amp;"_"&amp;"material_"&amp;Tab_Data_Flows[[#This Row],[Flow_Data_Year]]</f>
        <v>F___material_</v>
      </c>
      <c r="S332" s="12">
        <f t="shared" si="10"/>
        <v>0</v>
      </c>
      <c r="T332" s="6" t="str">
        <f>Tab_Data_Flows[[#This Row],[UoM_Source]]</f>
        <v>Mg</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t="str">
        <f>Tab_Data_Flows[[#This Row],[UoM_Flow_Py]]</f>
        <v>Mg</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t="str">
        <f>Tab_Data_Flows[[#This Row],[UoM_Flow_Py]]</f>
        <v>Mg</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t="str">
        <f>Tab_Data_Flows[[#This Row],[UoM_Flow_Py]]</f>
        <v>Mg</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t="str">
        <f>'0_Configuration'!$C$4</f>
        <v>Mg</v>
      </c>
      <c r="J333" s="13"/>
      <c r="K333" s="13"/>
      <c r="L333" s="13"/>
      <c r="M333" s="13"/>
      <c r="N333" s="13"/>
      <c r="O333" s="7" t="s">
        <v>6</v>
      </c>
      <c r="P333" s="14"/>
      <c r="Q333" s="7"/>
      <c r="R333" s="6" t="str">
        <f>Tab_Data_Flows[[#This Row],[Flow_ID]]&amp;"_"&amp;"material_"&amp;Tab_Data_Flows[[#This Row],[Flow_Data_Year]]</f>
        <v>F___material_</v>
      </c>
      <c r="S333" s="12">
        <f t="shared" si="10"/>
        <v>0</v>
      </c>
      <c r="T333" s="6" t="str">
        <f>Tab_Data_Flows[[#This Row],[UoM_Source]]</f>
        <v>Mg</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t="str">
        <f>Tab_Data_Flows[[#This Row],[UoM_Flow_Py]]</f>
        <v>Mg</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t="str">
        <f>Tab_Data_Flows[[#This Row],[UoM_Flow_Py]]</f>
        <v>Mg</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t="str">
        <f>Tab_Data_Flows[[#This Row],[UoM_Flow_Py]]</f>
        <v>Mg</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t="str">
        <f>'0_Configuration'!$C$4</f>
        <v>Mg</v>
      </c>
      <c r="J334" s="13"/>
      <c r="K334" s="13"/>
      <c r="L334" s="13"/>
      <c r="M334" s="13"/>
      <c r="N334" s="13"/>
      <c r="O334" s="7" t="s">
        <v>6</v>
      </c>
      <c r="P334" s="7"/>
      <c r="Q334" s="7"/>
      <c r="R334" s="6" t="str">
        <f>Tab_Data_Flows[[#This Row],[Flow_ID]]&amp;"_"&amp;"material_"&amp;Tab_Data_Flows[[#This Row],[Flow_Data_Year]]</f>
        <v>F___material_</v>
      </c>
      <c r="S334" s="12">
        <f t="shared" si="10"/>
        <v>0</v>
      </c>
      <c r="T334" s="6" t="str">
        <f>Tab_Data_Flows[[#This Row],[UoM_Source]]</f>
        <v>Mg</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t="str">
        <f>Tab_Data_Flows[[#This Row],[UoM_Flow_Py]]</f>
        <v>Mg</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t="str">
        <f>Tab_Data_Flows[[#This Row],[UoM_Flow_Py]]</f>
        <v>Mg</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t="str">
        <f>Tab_Data_Flows[[#This Row],[UoM_Flow_Py]]</f>
        <v>Mg</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t="str">
        <f>'0_Configuration'!$C$4</f>
        <v>Mg</v>
      </c>
      <c r="J335" s="13"/>
      <c r="K335" s="13"/>
      <c r="L335" s="13"/>
      <c r="M335" s="13"/>
      <c r="N335" s="13"/>
      <c r="O335" s="7" t="s">
        <v>6</v>
      </c>
      <c r="P335" s="7"/>
      <c r="Q335" s="7"/>
      <c r="R335" s="6" t="str">
        <f>Tab_Data_Flows[[#This Row],[Flow_ID]]&amp;"_"&amp;"material_"&amp;Tab_Data_Flows[[#This Row],[Flow_Data_Year]]</f>
        <v>F___material_</v>
      </c>
      <c r="S335" s="12">
        <f t="shared" si="10"/>
        <v>0</v>
      </c>
      <c r="T335" s="6" t="str">
        <f>Tab_Data_Flows[[#This Row],[UoM_Source]]</f>
        <v>Mg</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t="str">
        <f>Tab_Data_Flows[[#This Row],[UoM_Flow_Py]]</f>
        <v>Mg</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t="str">
        <f>Tab_Data_Flows[[#This Row],[UoM_Flow_Py]]</f>
        <v>Mg</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t="str">
        <f>Tab_Data_Flows[[#This Row],[UoM_Flow_Py]]</f>
        <v>Mg</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t="str">
        <f>'0_Configuration'!$C$4</f>
        <v>Mg</v>
      </c>
      <c r="J336" s="13"/>
      <c r="K336" s="13"/>
      <c r="L336" s="13"/>
      <c r="M336" s="13"/>
      <c r="N336" s="13"/>
      <c r="O336" s="7" t="s">
        <v>6</v>
      </c>
      <c r="P336" s="7"/>
      <c r="Q336" s="7"/>
      <c r="R336" s="6" t="str">
        <f>Tab_Data_Flows[[#This Row],[Flow_ID]]&amp;"_"&amp;"material_"&amp;Tab_Data_Flows[[#This Row],[Flow_Data_Year]]</f>
        <v>F___material_</v>
      </c>
      <c r="S336" s="12">
        <f t="shared" si="10"/>
        <v>0</v>
      </c>
      <c r="T336" s="6" t="str">
        <f>Tab_Data_Flows[[#This Row],[UoM_Source]]</f>
        <v>Mg</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t="str">
        <f>Tab_Data_Flows[[#This Row],[UoM_Flow_Py]]</f>
        <v>Mg</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t="str">
        <f>Tab_Data_Flows[[#This Row],[UoM_Flow_Py]]</f>
        <v>Mg</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t="str">
        <f>Tab_Data_Flows[[#This Row],[UoM_Flow_Py]]</f>
        <v>Mg</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t="str">
        <f>'0_Configuration'!$C$4</f>
        <v>Mg</v>
      </c>
      <c r="J337" s="13"/>
      <c r="K337" s="13"/>
      <c r="L337" s="13"/>
      <c r="M337" s="13"/>
      <c r="N337" s="13"/>
      <c r="O337" s="7" t="s">
        <v>6</v>
      </c>
      <c r="P337" s="7"/>
      <c r="Q337" s="7"/>
      <c r="R337" s="6" t="str">
        <f>Tab_Data_Flows[[#This Row],[Flow_ID]]&amp;"_"&amp;"material_"&amp;Tab_Data_Flows[[#This Row],[Flow_Data_Year]]</f>
        <v>F___material_</v>
      </c>
      <c r="S337" s="12">
        <f t="shared" si="10"/>
        <v>0</v>
      </c>
      <c r="T337" s="6" t="str">
        <f>Tab_Data_Flows[[#This Row],[UoM_Source]]</f>
        <v>Mg</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t="str">
        <f>Tab_Data_Flows[[#This Row],[UoM_Flow_Py]]</f>
        <v>Mg</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t="str">
        <f>Tab_Data_Flows[[#This Row],[UoM_Flow_Py]]</f>
        <v>Mg</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t="str">
        <f>Tab_Data_Flows[[#This Row],[UoM_Flow_Py]]</f>
        <v>Mg</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t="str">
        <f>'0_Configuration'!$C$4</f>
        <v>Mg</v>
      </c>
      <c r="J338" s="13"/>
      <c r="K338" s="13"/>
      <c r="L338" s="13"/>
      <c r="M338" s="13"/>
      <c r="N338" s="13"/>
      <c r="O338" s="7" t="s">
        <v>6</v>
      </c>
      <c r="P338" s="7"/>
      <c r="Q338" s="7"/>
      <c r="R338" s="6" t="str">
        <f>Tab_Data_Flows[[#This Row],[Flow_ID]]&amp;"_"&amp;"material_"&amp;Tab_Data_Flows[[#This Row],[Flow_Data_Year]]</f>
        <v>F___material_</v>
      </c>
      <c r="S338" s="12">
        <f t="shared" si="10"/>
        <v>0</v>
      </c>
      <c r="T338" s="6" t="str">
        <f>Tab_Data_Flows[[#This Row],[UoM_Source]]</f>
        <v>Mg</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t="str">
        <f>Tab_Data_Flows[[#This Row],[UoM_Flow_Py]]</f>
        <v>Mg</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t="str">
        <f>Tab_Data_Flows[[#This Row],[UoM_Flow_Py]]</f>
        <v>Mg</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t="str">
        <f>Tab_Data_Flows[[#This Row],[UoM_Flow_Py]]</f>
        <v>Mg</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t="str">
        <f>'0_Configuration'!$C$4</f>
        <v>Mg</v>
      </c>
      <c r="J339" s="13"/>
      <c r="K339" s="13"/>
      <c r="L339" s="13"/>
      <c r="M339" s="13"/>
      <c r="N339" s="13"/>
      <c r="O339" s="7" t="s">
        <v>6</v>
      </c>
      <c r="P339" s="7"/>
      <c r="Q339" s="7"/>
      <c r="R339" s="6" t="str">
        <f>Tab_Data_Flows[[#This Row],[Flow_ID]]&amp;"_"&amp;"material_"&amp;Tab_Data_Flows[[#This Row],[Flow_Data_Year]]</f>
        <v>F___material_</v>
      </c>
      <c r="S339" s="12">
        <f t="shared" si="10"/>
        <v>0</v>
      </c>
      <c r="T339" s="6" t="str">
        <f>Tab_Data_Flows[[#This Row],[UoM_Source]]</f>
        <v>Mg</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t="str">
        <f>Tab_Data_Flows[[#This Row],[UoM_Flow_Py]]</f>
        <v>Mg</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t="str">
        <f>Tab_Data_Flows[[#This Row],[UoM_Flow_Py]]</f>
        <v>Mg</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t="str">
        <f>Tab_Data_Flows[[#This Row],[UoM_Flow_Py]]</f>
        <v>Mg</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t="str">
        <f>'0_Configuration'!$C$4</f>
        <v>Mg</v>
      </c>
      <c r="J340" s="13"/>
      <c r="K340" s="13"/>
      <c r="L340" s="13"/>
      <c r="M340" s="13"/>
      <c r="N340" s="13"/>
      <c r="O340" s="7" t="s">
        <v>6</v>
      </c>
      <c r="P340" s="7"/>
      <c r="Q340" s="7"/>
      <c r="R340" s="6" t="str">
        <f>Tab_Data_Flows[[#This Row],[Flow_ID]]&amp;"_"&amp;"material_"&amp;Tab_Data_Flows[[#This Row],[Flow_Data_Year]]</f>
        <v>F___material_</v>
      </c>
      <c r="S340" s="12">
        <f t="shared" si="10"/>
        <v>0</v>
      </c>
      <c r="T340" s="6" t="str">
        <f>Tab_Data_Flows[[#This Row],[UoM_Source]]</f>
        <v>Mg</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t="str">
        <f>Tab_Data_Flows[[#This Row],[UoM_Flow_Py]]</f>
        <v>Mg</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t="str">
        <f>Tab_Data_Flows[[#This Row],[UoM_Flow_Py]]</f>
        <v>Mg</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t="str">
        <f>Tab_Data_Flows[[#This Row],[UoM_Flow_Py]]</f>
        <v>Mg</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t="str">
        <f>'0_Configuration'!$C$4</f>
        <v>Mg</v>
      </c>
      <c r="J341" s="13"/>
      <c r="K341" s="13"/>
      <c r="L341" s="13"/>
      <c r="M341" s="13"/>
      <c r="N341" s="13"/>
      <c r="O341" s="7" t="s">
        <v>6</v>
      </c>
      <c r="P341" s="7"/>
      <c r="Q341" s="7"/>
      <c r="R341" s="6" t="str">
        <f>Tab_Data_Flows[[#This Row],[Flow_ID]]&amp;"_"&amp;"material_"&amp;Tab_Data_Flows[[#This Row],[Flow_Data_Year]]</f>
        <v>F___material_</v>
      </c>
      <c r="S341" s="12">
        <f t="shared" si="10"/>
        <v>0</v>
      </c>
      <c r="T341" s="6" t="str">
        <f>Tab_Data_Flows[[#This Row],[UoM_Source]]</f>
        <v>Mg</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t="str">
        <f>Tab_Data_Flows[[#This Row],[UoM_Flow_Py]]</f>
        <v>Mg</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t="str">
        <f>Tab_Data_Flows[[#This Row],[UoM_Flow_Py]]</f>
        <v>Mg</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t="str">
        <f>Tab_Data_Flows[[#This Row],[UoM_Flow_Py]]</f>
        <v>Mg</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t="str">
        <f>'0_Configuration'!$C$4</f>
        <v>Mg</v>
      </c>
      <c r="J342" s="13"/>
      <c r="K342" s="13"/>
      <c r="L342" s="13"/>
      <c r="M342" s="13"/>
      <c r="N342" s="13"/>
      <c r="O342" s="7" t="s">
        <v>6</v>
      </c>
      <c r="P342" s="7"/>
      <c r="Q342" s="7"/>
      <c r="R342" s="6" t="str">
        <f>Tab_Data_Flows[[#This Row],[Flow_ID]]&amp;"_"&amp;"material_"&amp;Tab_Data_Flows[[#This Row],[Flow_Data_Year]]</f>
        <v>F___material_</v>
      </c>
      <c r="S342" s="12">
        <f t="shared" si="10"/>
        <v>0</v>
      </c>
      <c r="T342" s="6" t="str">
        <f>Tab_Data_Flows[[#This Row],[UoM_Source]]</f>
        <v>Mg</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t="str">
        <f>Tab_Data_Flows[[#This Row],[UoM_Flow_Py]]</f>
        <v>Mg</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t="str">
        <f>Tab_Data_Flows[[#This Row],[UoM_Flow_Py]]</f>
        <v>Mg</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t="str">
        <f>Tab_Data_Flows[[#This Row],[UoM_Flow_Py]]</f>
        <v>Mg</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t="str">
        <f>'0_Configuration'!$C$4</f>
        <v>Mg</v>
      </c>
      <c r="J343" s="13"/>
      <c r="K343" s="13"/>
      <c r="L343" s="13"/>
      <c r="M343" s="13"/>
      <c r="N343" s="13"/>
      <c r="O343" s="7" t="s">
        <v>6</v>
      </c>
      <c r="P343" s="7"/>
      <c r="Q343" s="7"/>
      <c r="R343" s="6" t="str">
        <f>Tab_Data_Flows[[#This Row],[Flow_ID]]&amp;"_"&amp;"material_"&amp;Tab_Data_Flows[[#This Row],[Flow_Data_Year]]</f>
        <v>F___material_</v>
      </c>
      <c r="S343" s="12">
        <f t="shared" si="10"/>
        <v>0</v>
      </c>
      <c r="T343" s="6" t="str">
        <f>Tab_Data_Flows[[#This Row],[UoM_Source]]</f>
        <v>Mg</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t="str">
        <f>Tab_Data_Flows[[#This Row],[UoM_Flow_Py]]</f>
        <v>Mg</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t="str">
        <f>Tab_Data_Flows[[#This Row],[UoM_Flow_Py]]</f>
        <v>Mg</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t="str">
        <f>Tab_Data_Flows[[#This Row],[UoM_Flow_Py]]</f>
        <v>Mg</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t="str">
        <f>'0_Configuration'!$C$4</f>
        <v>Mg</v>
      </c>
      <c r="J344" s="13"/>
      <c r="K344" s="13"/>
      <c r="L344" s="13"/>
      <c r="M344" s="13"/>
      <c r="N344" s="13"/>
      <c r="O344" s="7" t="s">
        <v>6</v>
      </c>
      <c r="P344" s="7"/>
      <c r="Q344" s="7"/>
      <c r="R344" s="6" t="str">
        <f>Tab_Data_Flows[[#This Row],[Flow_ID]]&amp;"_"&amp;"material_"&amp;Tab_Data_Flows[[#This Row],[Flow_Data_Year]]</f>
        <v>F___material_</v>
      </c>
      <c r="S344" s="12">
        <f t="shared" si="10"/>
        <v>0</v>
      </c>
      <c r="T344" s="6" t="str">
        <f>Tab_Data_Flows[[#This Row],[UoM_Source]]</f>
        <v>Mg</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t="str">
        <f>Tab_Data_Flows[[#This Row],[UoM_Flow_Py]]</f>
        <v>Mg</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t="str">
        <f>Tab_Data_Flows[[#This Row],[UoM_Flow_Py]]</f>
        <v>Mg</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t="str">
        <f>Tab_Data_Flows[[#This Row],[UoM_Flow_Py]]</f>
        <v>Mg</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t="str">
        <f>'0_Configuration'!$C$4</f>
        <v>Mg</v>
      </c>
      <c r="J345" s="13"/>
      <c r="K345" s="13"/>
      <c r="L345" s="13"/>
      <c r="M345" s="13"/>
      <c r="N345" s="13"/>
      <c r="O345" s="7" t="s">
        <v>6</v>
      </c>
      <c r="P345" s="7"/>
      <c r="Q345" s="7"/>
      <c r="R345" s="6" t="str">
        <f>Tab_Data_Flows[[#This Row],[Flow_ID]]&amp;"_"&amp;"material_"&amp;Tab_Data_Flows[[#This Row],[Flow_Data_Year]]</f>
        <v>F___material_</v>
      </c>
      <c r="S345" s="12">
        <f t="shared" si="10"/>
        <v>0</v>
      </c>
      <c r="T345" s="6" t="str">
        <f>Tab_Data_Flows[[#This Row],[UoM_Source]]</f>
        <v>Mg</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t="str">
        <f>Tab_Data_Flows[[#This Row],[UoM_Flow_Py]]</f>
        <v>Mg</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t="str">
        <f>Tab_Data_Flows[[#This Row],[UoM_Flow_Py]]</f>
        <v>Mg</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t="str">
        <f>Tab_Data_Flows[[#This Row],[UoM_Flow_Py]]</f>
        <v>Mg</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t="str">
        <f>'0_Configuration'!$C$4</f>
        <v>Mg</v>
      </c>
      <c r="J346" s="13"/>
      <c r="K346" s="13"/>
      <c r="L346" s="13"/>
      <c r="M346" s="13"/>
      <c r="N346" s="13"/>
      <c r="O346" s="7" t="s">
        <v>6</v>
      </c>
      <c r="P346" s="7"/>
      <c r="Q346" s="7"/>
      <c r="R346" s="6" t="str">
        <f>Tab_Data_Flows[[#This Row],[Flow_ID]]&amp;"_"&amp;"material_"&amp;Tab_Data_Flows[[#This Row],[Flow_Data_Year]]</f>
        <v>F___material_</v>
      </c>
      <c r="S346" s="12">
        <f t="shared" si="10"/>
        <v>0</v>
      </c>
      <c r="T346" s="6" t="str">
        <f>Tab_Data_Flows[[#This Row],[UoM_Source]]</f>
        <v>Mg</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t="str">
        <f>Tab_Data_Flows[[#This Row],[UoM_Flow_Py]]</f>
        <v>Mg</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t="str">
        <f>Tab_Data_Flows[[#This Row],[UoM_Flow_Py]]</f>
        <v>Mg</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t="str">
        <f>Tab_Data_Flows[[#This Row],[UoM_Flow_Py]]</f>
        <v>Mg</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t="str">
        <f>'0_Configuration'!$C$4</f>
        <v>Mg</v>
      </c>
      <c r="J347" s="13"/>
      <c r="K347" s="13"/>
      <c r="L347" s="13"/>
      <c r="M347" s="13"/>
      <c r="N347" s="13"/>
      <c r="O347" s="7" t="s">
        <v>6</v>
      </c>
      <c r="P347" s="7"/>
      <c r="Q347" s="7"/>
      <c r="R347" s="6" t="str">
        <f>Tab_Data_Flows[[#This Row],[Flow_ID]]&amp;"_"&amp;"material_"&amp;Tab_Data_Flows[[#This Row],[Flow_Data_Year]]</f>
        <v>F___material_</v>
      </c>
      <c r="S347" s="12">
        <f t="shared" si="10"/>
        <v>0</v>
      </c>
      <c r="T347" s="6" t="str">
        <f>Tab_Data_Flows[[#This Row],[UoM_Source]]</f>
        <v>Mg</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t="str">
        <f>Tab_Data_Flows[[#This Row],[UoM_Flow_Py]]</f>
        <v>Mg</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t="str">
        <f>Tab_Data_Flows[[#This Row],[UoM_Flow_Py]]</f>
        <v>Mg</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t="str">
        <f>Tab_Data_Flows[[#This Row],[UoM_Flow_Py]]</f>
        <v>Mg</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t="str">
        <f>'0_Configuration'!$C$4</f>
        <v>Mg</v>
      </c>
      <c r="J348" s="13"/>
      <c r="K348" s="13"/>
      <c r="L348" s="13"/>
      <c r="M348" s="13"/>
      <c r="N348" s="13"/>
      <c r="O348" s="7" t="s">
        <v>6</v>
      </c>
      <c r="P348" s="7"/>
      <c r="Q348" s="7"/>
      <c r="R348" s="6" t="str">
        <f>Tab_Data_Flows[[#This Row],[Flow_ID]]&amp;"_"&amp;"material_"&amp;Tab_Data_Flows[[#This Row],[Flow_Data_Year]]</f>
        <v>F___material_</v>
      </c>
      <c r="S348" s="12">
        <f t="shared" si="10"/>
        <v>0</v>
      </c>
      <c r="T348" s="6" t="str">
        <f>Tab_Data_Flows[[#This Row],[UoM_Source]]</f>
        <v>Mg</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t="str">
        <f>Tab_Data_Flows[[#This Row],[UoM_Flow_Py]]</f>
        <v>Mg</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t="str">
        <f>Tab_Data_Flows[[#This Row],[UoM_Flow_Py]]</f>
        <v>Mg</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t="str">
        <f>Tab_Data_Flows[[#This Row],[UoM_Flow_Py]]</f>
        <v>Mg</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t="str">
        <f>'0_Configuration'!$C$4</f>
        <v>Mg</v>
      </c>
      <c r="J349" s="13"/>
      <c r="K349" s="13"/>
      <c r="L349" s="13"/>
      <c r="M349" s="13"/>
      <c r="N349" s="13"/>
      <c r="O349" s="7" t="s">
        <v>6</v>
      </c>
      <c r="P349" s="7"/>
      <c r="Q349" s="7"/>
      <c r="R349" s="6" t="str">
        <f>Tab_Data_Flows[[#This Row],[Flow_ID]]&amp;"_"&amp;"material_"&amp;Tab_Data_Flows[[#This Row],[Flow_Data_Year]]</f>
        <v>F___material_</v>
      </c>
      <c r="S349" s="12">
        <f t="shared" si="10"/>
        <v>0</v>
      </c>
      <c r="T349" s="6" t="str">
        <f>Tab_Data_Flows[[#This Row],[UoM_Source]]</f>
        <v>Mg</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t="str">
        <f>Tab_Data_Flows[[#This Row],[UoM_Flow_Py]]</f>
        <v>Mg</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t="str">
        <f>Tab_Data_Flows[[#This Row],[UoM_Flow_Py]]</f>
        <v>Mg</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t="str">
        <f>Tab_Data_Flows[[#This Row],[UoM_Flow_Py]]</f>
        <v>Mg</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t="str">
        <f>'0_Configuration'!$C$4</f>
        <v>Mg</v>
      </c>
      <c r="J350" s="13"/>
      <c r="K350" s="13"/>
      <c r="L350" s="13"/>
      <c r="M350" s="13"/>
      <c r="N350" s="13"/>
      <c r="O350" s="7" t="s">
        <v>6</v>
      </c>
      <c r="P350" s="7"/>
      <c r="Q350" s="7"/>
      <c r="R350" s="6" t="str">
        <f>Tab_Data_Flows[[#This Row],[Flow_ID]]&amp;"_"&amp;"material_"&amp;Tab_Data_Flows[[#This Row],[Flow_Data_Year]]</f>
        <v>F___material_</v>
      </c>
      <c r="S350" s="12">
        <f t="shared" si="10"/>
        <v>0</v>
      </c>
      <c r="T350" s="6" t="str">
        <f>Tab_Data_Flows[[#This Row],[UoM_Source]]</f>
        <v>Mg</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t="str">
        <f>Tab_Data_Flows[[#This Row],[UoM_Flow_Py]]</f>
        <v>Mg</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t="str">
        <f>Tab_Data_Flows[[#This Row],[UoM_Flow_Py]]</f>
        <v>Mg</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t="str">
        <f>Tab_Data_Flows[[#This Row],[UoM_Flow_Py]]</f>
        <v>Mg</v>
      </c>
      <c r="AG350"/>
    </row>
    <row r="351" spans="1:33" x14ac:dyDescent="0.25">
      <c r="AA351" s="17"/>
      <c r="AG351" s="15"/>
    </row>
  </sheetData>
  <phoneticPr fontId="2" type="noConversion"/>
  <dataValidations count="2">
    <dataValidation type="whole" allowBlank="1" showInputMessage="1" showErrorMessage="1" sqref="G305:G350" xr:uid="{70662040-5A44-462F-BD9F-5D30A184F37B}">
      <formula1>0</formula1>
      <formula2>10000</formula2>
    </dataValidation>
    <dataValidation type="decimal" allowBlank="1" showInputMessage="1" showErrorMessage="1" sqref="H305: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'1_1_Definition_Flows'!$D$2:$D$70</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F22" sqref="F22"/>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435</v>
      </c>
      <c r="E1" s="141" t="s">
        <v>4</v>
      </c>
      <c r="F1" s="141" t="s">
        <v>400</v>
      </c>
      <c r="G1" s="141" t="s">
        <v>463</v>
      </c>
      <c r="H1" s="141" t="s">
        <v>464</v>
      </c>
      <c r="I1" s="141" t="s">
        <v>501</v>
      </c>
    </row>
    <row r="2" spans="1:9" x14ac:dyDescent="0.25">
      <c r="A2" s="142" t="b">
        <v>1</v>
      </c>
      <c r="B2" s="16" t="s">
        <v>51</v>
      </c>
      <c r="C2" s="6" t="str">
        <f>LEFT(B2,2)</f>
        <v>00</v>
      </c>
      <c r="D2" s="7" t="s">
        <v>197</v>
      </c>
      <c r="E2" s="13"/>
      <c r="F2" s="138" t="s">
        <v>461</v>
      </c>
      <c r="G2" s="138" t="s">
        <v>441</v>
      </c>
      <c r="H2" s="138" t="s">
        <v>468</v>
      </c>
      <c r="I2" s="138">
        <v>1</v>
      </c>
    </row>
    <row r="3" spans="1:9" x14ac:dyDescent="0.25">
      <c r="A3" s="142" t="b">
        <v>1</v>
      </c>
      <c r="B3" s="16" t="s">
        <v>40</v>
      </c>
      <c r="C3" s="6" t="str">
        <f t="shared" ref="C3:C47" si="0">LEFT(B3,2)</f>
        <v>01</v>
      </c>
      <c r="D3" s="7" t="s">
        <v>198</v>
      </c>
      <c r="E3" s="13"/>
      <c r="F3" s="138" t="s">
        <v>461</v>
      </c>
      <c r="G3" s="138" t="s">
        <v>441</v>
      </c>
      <c r="H3" s="138" t="s">
        <v>468</v>
      </c>
      <c r="I3" s="138">
        <v>2</v>
      </c>
    </row>
    <row r="4" spans="1:9" x14ac:dyDescent="0.25">
      <c r="A4" s="142" t="b">
        <v>1</v>
      </c>
      <c r="B4" s="16" t="s">
        <v>41</v>
      </c>
      <c r="C4" s="6" t="str">
        <f t="shared" si="0"/>
        <v>02</v>
      </c>
      <c r="D4" s="7" t="s">
        <v>1076</v>
      </c>
      <c r="E4" s="13"/>
      <c r="F4" s="138" t="s">
        <v>401</v>
      </c>
      <c r="G4" s="138" t="s">
        <v>440</v>
      </c>
      <c r="H4" s="138" t="s">
        <v>467</v>
      </c>
      <c r="I4" s="138">
        <v>1</v>
      </c>
    </row>
    <row r="5" spans="1:9" x14ac:dyDescent="0.25">
      <c r="A5" s="142" t="b">
        <v>1</v>
      </c>
      <c r="B5" s="16" t="s">
        <v>42</v>
      </c>
      <c r="C5" s="6" t="str">
        <f t="shared" si="0"/>
        <v>03</v>
      </c>
      <c r="D5" s="7" t="s">
        <v>1077</v>
      </c>
      <c r="E5" s="13"/>
      <c r="F5" s="138" t="s">
        <v>401</v>
      </c>
      <c r="G5" s="138" t="s">
        <v>440</v>
      </c>
      <c r="H5" s="138" t="s">
        <v>467</v>
      </c>
      <c r="I5" s="138">
        <v>2</v>
      </c>
    </row>
    <row r="6" spans="1:9" x14ac:dyDescent="0.25">
      <c r="A6" s="142" t="b">
        <v>1</v>
      </c>
      <c r="B6" s="16" t="s">
        <v>43</v>
      </c>
      <c r="C6" s="6" t="str">
        <f t="shared" si="0"/>
        <v>04</v>
      </c>
      <c r="D6" s="7" t="s">
        <v>1078</v>
      </c>
      <c r="E6" s="13"/>
      <c r="F6" s="138" t="s">
        <v>402</v>
      </c>
      <c r="G6" s="138" t="s">
        <v>440</v>
      </c>
      <c r="H6" s="138" t="s">
        <v>467</v>
      </c>
      <c r="I6" s="138">
        <v>2</v>
      </c>
    </row>
    <row r="7" spans="1:9" x14ac:dyDescent="0.25">
      <c r="A7" s="142" t="b">
        <v>1</v>
      </c>
      <c r="B7" s="16" t="s">
        <v>44</v>
      </c>
      <c r="C7" s="6" t="str">
        <f t="shared" si="0"/>
        <v>05</v>
      </c>
      <c r="D7" s="7" t="s">
        <v>1079</v>
      </c>
      <c r="E7" s="13"/>
      <c r="F7" s="138" t="s">
        <v>401</v>
      </c>
      <c r="G7" s="138" t="s">
        <v>440</v>
      </c>
      <c r="H7" s="138" t="s">
        <v>467</v>
      </c>
      <c r="I7" s="138">
        <v>3</v>
      </c>
    </row>
    <row r="8" spans="1:9" x14ac:dyDescent="0.25">
      <c r="A8" s="142" t="b">
        <v>1</v>
      </c>
      <c r="B8" s="16" t="s">
        <v>45</v>
      </c>
      <c r="C8" s="6" t="str">
        <f t="shared" si="0"/>
        <v>06</v>
      </c>
      <c r="D8" s="7" t="s">
        <v>1080</v>
      </c>
      <c r="E8" s="13"/>
      <c r="F8" s="138" t="s">
        <v>401</v>
      </c>
      <c r="G8" s="138" t="s">
        <v>440</v>
      </c>
      <c r="H8" s="138" t="s">
        <v>467</v>
      </c>
      <c r="I8" s="138">
        <v>1</v>
      </c>
    </row>
    <row r="9" spans="1:9" x14ac:dyDescent="0.25">
      <c r="A9" s="142" t="b">
        <v>1</v>
      </c>
      <c r="B9" s="16" t="s">
        <v>46</v>
      </c>
      <c r="C9" s="6" t="str">
        <f t="shared" si="0"/>
        <v>07</v>
      </c>
      <c r="D9" s="7" t="s">
        <v>1081</v>
      </c>
      <c r="E9" s="13"/>
      <c r="F9" s="138" t="s">
        <v>252</v>
      </c>
      <c r="G9" s="138" t="s">
        <v>441</v>
      </c>
      <c r="H9" s="138" t="s">
        <v>468</v>
      </c>
      <c r="I9" s="138">
        <v>2</v>
      </c>
    </row>
    <row r="10" spans="1:9" x14ac:dyDescent="0.25">
      <c r="A10" s="142" t="b">
        <v>1</v>
      </c>
      <c r="B10" s="16" t="s">
        <v>47</v>
      </c>
      <c r="C10" s="6" t="str">
        <f t="shared" si="0"/>
        <v>08</v>
      </c>
      <c r="D10" s="7" t="s">
        <v>1082</v>
      </c>
      <c r="E10" s="13"/>
      <c r="F10" s="138" t="s">
        <v>252</v>
      </c>
      <c r="G10" s="138" t="s">
        <v>441</v>
      </c>
      <c r="H10" s="138" t="s">
        <v>468</v>
      </c>
      <c r="I10" s="138">
        <v>2</v>
      </c>
    </row>
    <row r="11" spans="1:9" x14ac:dyDescent="0.25">
      <c r="A11" s="142" t="b">
        <v>1</v>
      </c>
      <c r="B11" s="16" t="s">
        <v>48</v>
      </c>
      <c r="C11" s="6" t="str">
        <f t="shared" si="0"/>
        <v>09</v>
      </c>
      <c r="D11" s="7" t="s">
        <v>1083</v>
      </c>
      <c r="E11" s="13"/>
      <c r="F11" s="138" t="s">
        <v>402</v>
      </c>
      <c r="G11" s="138" t="s">
        <v>440</v>
      </c>
      <c r="H11" s="138" t="s">
        <v>467</v>
      </c>
      <c r="I11" s="138">
        <v>3</v>
      </c>
    </row>
    <row r="12" spans="1:9" x14ac:dyDescent="0.25">
      <c r="A12" s="142" t="b">
        <v>1</v>
      </c>
      <c r="B12" s="16" t="s">
        <v>52</v>
      </c>
      <c r="C12" s="6" t="str">
        <f t="shared" si="0"/>
        <v>10</v>
      </c>
      <c r="D12" s="7" t="s">
        <v>1084</v>
      </c>
      <c r="E12" s="13"/>
      <c r="F12" s="138" t="s">
        <v>252</v>
      </c>
      <c r="G12" s="138" t="s">
        <v>441</v>
      </c>
      <c r="H12" s="138" t="s">
        <v>468</v>
      </c>
      <c r="I12" s="138">
        <v>2</v>
      </c>
    </row>
    <row r="13" spans="1:9" x14ac:dyDescent="0.25">
      <c r="A13" s="142" t="b">
        <v>1</v>
      </c>
      <c r="B13" s="16" t="s">
        <v>53</v>
      </c>
      <c r="C13" s="6" t="str">
        <f t="shared" si="0"/>
        <v>11</v>
      </c>
      <c r="D13" s="7" t="s">
        <v>1085</v>
      </c>
      <c r="E13" s="13"/>
      <c r="F13" s="138" t="s">
        <v>114</v>
      </c>
      <c r="G13" s="138" t="s">
        <v>441</v>
      </c>
      <c r="H13" s="138" t="s">
        <v>468</v>
      </c>
      <c r="I13" s="138">
        <v>1</v>
      </c>
    </row>
    <row r="14" spans="1:9" x14ac:dyDescent="0.25">
      <c r="A14" s="142" t="b">
        <v>1</v>
      </c>
      <c r="B14" s="16" t="s">
        <v>54</v>
      </c>
      <c r="C14" s="6" t="str">
        <f t="shared" si="0"/>
        <v>12</v>
      </c>
      <c r="D14" s="7" t="s">
        <v>1086</v>
      </c>
      <c r="E14" s="13"/>
      <c r="F14" s="138" t="s">
        <v>402</v>
      </c>
      <c r="G14" s="138" t="s">
        <v>440</v>
      </c>
      <c r="H14" s="138" t="s">
        <v>467</v>
      </c>
      <c r="I14" s="138">
        <v>3</v>
      </c>
    </row>
    <row r="15" spans="1:9" x14ac:dyDescent="0.25">
      <c r="A15" s="142" t="b">
        <v>0</v>
      </c>
      <c r="B15" s="16" t="s">
        <v>55</v>
      </c>
      <c r="C15" s="6" t="str">
        <f t="shared" si="0"/>
        <v>13</v>
      </c>
      <c r="D15" s="7"/>
      <c r="E15" s="13"/>
      <c r="F15" s="138"/>
      <c r="G15" s="138"/>
      <c r="H15" s="138"/>
      <c r="I15" s="138"/>
    </row>
    <row r="16" spans="1:9" x14ac:dyDescent="0.25">
      <c r="A16" s="142" t="b">
        <v>0</v>
      </c>
      <c r="B16" s="16" t="s">
        <v>56</v>
      </c>
      <c r="C16" s="6" t="str">
        <f t="shared" si="0"/>
        <v>14</v>
      </c>
      <c r="D16" s="7"/>
      <c r="E16" s="13"/>
      <c r="F16" s="138"/>
      <c r="G16" s="138"/>
      <c r="H16" s="138"/>
      <c r="I16" s="138"/>
    </row>
    <row r="17" spans="1:9" x14ac:dyDescent="0.25">
      <c r="A17" s="142" t="b">
        <v>0</v>
      </c>
      <c r="B17" s="16" t="s">
        <v>57</v>
      </c>
      <c r="C17" s="6" t="str">
        <f t="shared" si="0"/>
        <v>15</v>
      </c>
      <c r="D17" s="7"/>
      <c r="E17" s="13"/>
      <c r="F17" s="138"/>
      <c r="G17" s="138"/>
      <c r="H17" s="138"/>
      <c r="I17" s="138"/>
    </row>
    <row r="18" spans="1:9" x14ac:dyDescent="0.25">
      <c r="A18" s="142" t="b">
        <v>0</v>
      </c>
      <c r="B18" s="16" t="s">
        <v>58</v>
      </c>
      <c r="C18" s="6" t="str">
        <f t="shared" si="0"/>
        <v>16</v>
      </c>
      <c r="D18" s="7"/>
      <c r="E18" s="13"/>
      <c r="F18" s="138"/>
      <c r="G18" s="138"/>
      <c r="H18" s="138"/>
      <c r="I18" s="138"/>
    </row>
    <row r="19" spans="1:9" x14ac:dyDescent="0.25">
      <c r="A19" s="142" t="b">
        <v>0</v>
      </c>
      <c r="B19" s="16" t="s">
        <v>59</v>
      </c>
      <c r="C19" s="6" t="str">
        <f t="shared" si="0"/>
        <v>17</v>
      </c>
      <c r="D19" s="7"/>
      <c r="E19" s="13"/>
      <c r="F19" s="138"/>
      <c r="G19" s="138"/>
      <c r="H19" s="138"/>
      <c r="I19" s="138"/>
    </row>
    <row r="20" spans="1:9" x14ac:dyDescent="0.25">
      <c r="A20" s="142" t="b">
        <v>0</v>
      </c>
      <c r="B20" s="16" t="s">
        <v>60</v>
      </c>
      <c r="C20" s="6" t="str">
        <f t="shared" si="0"/>
        <v>18</v>
      </c>
      <c r="D20" s="7"/>
      <c r="E20" s="13"/>
      <c r="F20" s="138"/>
      <c r="G20" s="138"/>
      <c r="H20" s="138"/>
      <c r="I20" s="138"/>
    </row>
    <row r="21" spans="1:9" x14ac:dyDescent="0.25">
      <c r="A21" s="142" t="b">
        <v>0</v>
      </c>
      <c r="B21" s="16" t="s">
        <v>61</v>
      </c>
      <c r="C21" s="6" t="str">
        <f t="shared" si="0"/>
        <v>19</v>
      </c>
      <c r="D21" s="7"/>
      <c r="E21" s="13"/>
      <c r="F21" s="138"/>
      <c r="G21" s="138"/>
      <c r="H21" s="138"/>
      <c r="I21" s="138"/>
    </row>
    <row r="22" spans="1:9" x14ac:dyDescent="0.25">
      <c r="A22" s="142" t="b">
        <v>0</v>
      </c>
      <c r="B22" s="16" t="s">
        <v>62</v>
      </c>
      <c r="C22" s="6" t="str">
        <f t="shared" si="0"/>
        <v>20</v>
      </c>
      <c r="D22" s="7"/>
      <c r="E22" s="13"/>
      <c r="F22" s="138"/>
      <c r="G22" s="138"/>
      <c r="H22" s="138"/>
      <c r="I22" s="138"/>
    </row>
    <row r="23" spans="1:9" x14ac:dyDescent="0.25">
      <c r="A23" s="142" t="b">
        <v>0</v>
      </c>
      <c r="B23" s="16" t="s">
        <v>63</v>
      </c>
      <c r="C23" s="6" t="str">
        <f t="shared" si="0"/>
        <v>21</v>
      </c>
      <c r="D23" s="7"/>
      <c r="E23" s="13"/>
      <c r="F23" s="138"/>
      <c r="G23" s="138"/>
      <c r="H23" s="138"/>
      <c r="I23" s="138"/>
    </row>
    <row r="24" spans="1:9" x14ac:dyDescent="0.25">
      <c r="A24" s="142" t="b">
        <v>0</v>
      </c>
      <c r="B24" s="16" t="s">
        <v>64</v>
      </c>
      <c r="C24" s="6" t="str">
        <f t="shared" si="0"/>
        <v>22</v>
      </c>
      <c r="D24" s="7"/>
      <c r="E24" s="13"/>
      <c r="F24" s="138"/>
      <c r="G24" s="138"/>
      <c r="H24" s="138"/>
      <c r="I24" s="138"/>
    </row>
    <row r="25" spans="1:9" x14ac:dyDescent="0.25">
      <c r="A25" s="142" t="b">
        <v>0</v>
      </c>
      <c r="B25" s="16" t="s">
        <v>65</v>
      </c>
      <c r="C25" s="6" t="str">
        <f t="shared" si="0"/>
        <v>23</v>
      </c>
      <c r="D25" s="7"/>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tabSelected="1" zoomScale="115" zoomScaleNormal="115" workbookViewId="0">
      <pane xSplit="4" topLeftCell="I1" activePane="topRight" state="frozen"/>
      <selection pane="topRight" activeCell="I22" sqref="I22"/>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435</v>
      </c>
      <c r="E1" s="141" t="s">
        <v>400</v>
      </c>
      <c r="F1" s="141" t="s">
        <v>463</v>
      </c>
      <c r="G1" s="141" t="s">
        <v>464</v>
      </c>
      <c r="H1" s="141" t="s">
        <v>501</v>
      </c>
      <c r="I1" s="141" t="s">
        <v>165</v>
      </c>
      <c r="J1" s="141" t="s">
        <v>11</v>
      </c>
      <c r="K1" s="141" t="s">
        <v>412</v>
      </c>
      <c r="L1" s="141" t="s">
        <v>408</v>
      </c>
      <c r="M1" s="141" t="s">
        <v>413</v>
      </c>
      <c r="N1" s="141" t="s">
        <v>403</v>
      </c>
      <c r="O1" s="141" t="s">
        <v>414</v>
      </c>
      <c r="P1" t="s">
        <v>404</v>
      </c>
      <c r="Q1" t="s">
        <v>415</v>
      </c>
      <c r="R1" t="s">
        <v>405</v>
      </c>
      <c r="S1" s="141" t="s">
        <v>502</v>
      </c>
      <c r="T1" s="141" t="s">
        <v>470</v>
      </c>
      <c r="U1" s="141" t="s">
        <v>503</v>
      </c>
      <c r="V1" s="141" t="s">
        <v>504</v>
      </c>
      <c r="W1" s="141" t="s">
        <v>505</v>
      </c>
    </row>
    <row r="2" spans="1:23" x14ac:dyDescent="0.25">
      <c r="A2" s="142" t="b">
        <v>0</v>
      </c>
      <c r="B2" s="6">
        <f t="shared" ref="B2" si="0">ROW()-1</f>
        <v>1</v>
      </c>
      <c r="C2" s="20" t="str">
        <f>_xlfn.XLOOKUP($D2,Tab_Def_Processes[Process_Name],Tab_Def_Processes[ID],,0,)</f>
        <v>03</v>
      </c>
      <c r="D2" s="138" t="s">
        <v>1077</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1088</v>
      </c>
      <c r="J2" s="134" t="str">
        <f>_xlfn.XLOOKUP($I2,Tab_Def_Flows[Flow_Name],Tab_Def_Flows[Flow_ID],,0,)</f>
        <v>F_03_04</v>
      </c>
      <c r="K2" s="15" t="str">
        <f t="shared" ref="K2" si="1">"TC_material"&amp;"_"&amp;RIGHT(J2,5)</f>
        <v>TC_material_03_04</v>
      </c>
      <c r="L2" s="140">
        <v>0.47</v>
      </c>
      <c r="M2" s="15" t="str">
        <f t="shared" ref="M2:M50" si="2">"TC_WC"&amp;"_"&amp;RIGHT(J2,5)</f>
        <v>TC_WC_03_04</v>
      </c>
      <c r="N2" s="140"/>
      <c r="O2" s="15" t="str">
        <f t="shared" ref="O2:O50" si="3">"TC_DM"&amp;"_"&amp;RIGHT(J2,5)</f>
        <v>TC_DM_03_04</v>
      </c>
      <c r="P2" s="140"/>
      <c r="Q2" s="6" t="str">
        <f t="shared" ref="Q2:Q50" si="4">"TC_CC"&amp;"_"&amp;RIGHT(J2,5)</f>
        <v>TC_CC_03_04</v>
      </c>
      <c r="R2" s="140"/>
      <c r="S2" s="13"/>
      <c r="T2" s="13"/>
      <c r="U2" s="13"/>
      <c r="V2" s="13"/>
      <c r="W2" s="13"/>
    </row>
    <row r="3" spans="1:23" x14ac:dyDescent="0.25">
      <c r="A3" s="142" t="b">
        <v>0</v>
      </c>
      <c r="B3" s="6">
        <f t="shared" ref="B3:B50" si="5">ROW()-1</f>
        <v>2</v>
      </c>
      <c r="C3" s="20" t="str">
        <f>_xlfn.XLOOKUP($D3,Tab_Def_Processes[Process_Name],Tab_Def_Processes[ID],,0,)</f>
        <v>03</v>
      </c>
      <c r="D3" s="138" t="s">
        <v>1077</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1089</v>
      </c>
      <c r="J3" s="134" t="str">
        <f>_xlfn.XLOOKUP($I3,Tab_Def_Flows[Flow_Name],Tab_Def_Flows[Flow_ID],,0,)</f>
        <v>F_03_05</v>
      </c>
      <c r="K3" s="15" t="str">
        <f t="shared" ref="K3:K50" si="6">"TC_material"&amp;"_"&amp;RIGHT(J3,5)</f>
        <v>TC_material_03_05</v>
      </c>
      <c r="L3" s="140">
        <v>0.53</v>
      </c>
      <c r="M3" s="15" t="str">
        <f t="shared" si="2"/>
        <v>TC_WC_03_05</v>
      </c>
      <c r="N3" s="140"/>
      <c r="O3" s="15" t="str">
        <f t="shared" si="3"/>
        <v>TC_DM_03_05</v>
      </c>
      <c r="P3" s="140"/>
      <c r="Q3" s="6" t="str">
        <f t="shared" si="4"/>
        <v>TC_CC_03_05</v>
      </c>
      <c r="R3" s="140"/>
      <c r="S3" s="13"/>
      <c r="T3" s="13"/>
      <c r="U3" s="13"/>
      <c r="V3" s="13"/>
      <c r="W3" s="13"/>
    </row>
    <row r="4" spans="1:23" x14ac:dyDescent="0.25">
      <c r="A4" s="142" t="b">
        <v>0</v>
      </c>
      <c r="B4" s="6">
        <f t="shared" si="5"/>
        <v>3</v>
      </c>
      <c r="C4" s="20" t="str">
        <f>_xlfn.XLOOKUP($D4,Tab_Def_Processes[Process_Name],Tab_Def_Processes[ID],,0,)</f>
        <v>05</v>
      </c>
      <c r="D4" s="138" t="s">
        <v>1079</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3</v>
      </c>
      <c r="I4" s="138" t="s">
        <v>1092</v>
      </c>
      <c r="J4" s="134" t="str">
        <f>_xlfn.XLOOKUP($I4,Tab_Def_Flows[Flow_Name],Tab_Def_Flows[Flow_ID],,0,)</f>
        <v>F_05_06</v>
      </c>
      <c r="K4" s="15" t="str">
        <f t="shared" si="6"/>
        <v>TC_material_05_06</v>
      </c>
      <c r="L4" s="140">
        <f>1/3</f>
        <v>0.33333333333333331</v>
      </c>
      <c r="M4" s="15" t="str">
        <f t="shared" si="2"/>
        <v>TC_WC_05_06</v>
      </c>
      <c r="N4" s="140"/>
      <c r="O4" s="15" t="str">
        <f t="shared" si="3"/>
        <v>TC_DM_05_06</v>
      </c>
      <c r="P4" s="140"/>
      <c r="Q4" s="6" t="str">
        <f t="shared" si="4"/>
        <v>TC_CC_05_06</v>
      </c>
      <c r="R4" s="140"/>
      <c r="S4" s="13"/>
      <c r="T4" s="13"/>
      <c r="U4" s="13"/>
      <c r="V4" s="13"/>
      <c r="W4" s="13"/>
    </row>
    <row r="5" spans="1:23" x14ac:dyDescent="0.25">
      <c r="A5" s="142" t="b">
        <v>0</v>
      </c>
      <c r="B5" s="6">
        <f>ROW()-1</f>
        <v>4</v>
      </c>
      <c r="C5" s="20" t="str">
        <f>_xlfn.XLOOKUP($D5,Tab_Def_Processes[Process_Name],Tab_Def_Processes[ID],,0,)</f>
        <v>05</v>
      </c>
      <c r="D5" s="138" t="s">
        <v>1079</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3</v>
      </c>
      <c r="I5" s="138" t="s">
        <v>1094</v>
      </c>
      <c r="J5" s="134" t="str">
        <f>_xlfn.XLOOKUP($I5,Tab_Def_Flows[Flow_Name],Tab_Def_Flows[Flow_ID],,0,)</f>
        <v>F_05_12</v>
      </c>
      <c r="K5" s="15" t="str">
        <f>"TC_material"&amp;"_"&amp;RIGHT(J5,5)</f>
        <v>TC_material_05_12</v>
      </c>
      <c r="L5" s="140">
        <f>1/3</f>
        <v>0.33333333333333331</v>
      </c>
      <c r="M5" s="15" t="str">
        <f t="shared" si="2"/>
        <v>TC_WC_05_12</v>
      </c>
      <c r="N5" s="140"/>
      <c r="O5" s="15" t="str">
        <f t="shared" si="3"/>
        <v>TC_DM_05_12</v>
      </c>
      <c r="P5" s="140"/>
      <c r="Q5" s="6" t="str">
        <f t="shared" si="4"/>
        <v>TC_CC_05_12</v>
      </c>
      <c r="R5" s="140"/>
      <c r="S5" s="13"/>
      <c r="T5" s="13"/>
      <c r="U5" s="13"/>
      <c r="V5" s="13"/>
      <c r="W5" s="13"/>
    </row>
    <row r="6" spans="1:23" x14ac:dyDescent="0.25">
      <c r="A6" s="142" t="b">
        <v>0</v>
      </c>
      <c r="B6" s="6">
        <f t="shared" si="5"/>
        <v>5</v>
      </c>
      <c r="C6" s="20" t="str">
        <f>_xlfn.XLOOKUP($D6,Tab_Def_Processes[Process_Name],Tab_Def_Processes[ID],,0,)</f>
        <v>05</v>
      </c>
      <c r="D6" s="138" t="s">
        <v>1079</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3</v>
      </c>
      <c r="I6" s="138" t="s">
        <v>1097</v>
      </c>
      <c r="J6" s="134" t="str">
        <f>_xlfn.XLOOKUP($I6,Tab_Def_Flows[Flow_Name],Tab_Def_Flows[Flow_ID],,0,)</f>
        <v>F_05_09</v>
      </c>
      <c r="K6" s="15" t="str">
        <f t="shared" si="6"/>
        <v>TC_material_05_09</v>
      </c>
      <c r="L6" s="140">
        <f>1/3</f>
        <v>0.33333333333333331</v>
      </c>
      <c r="M6" s="15" t="str">
        <f t="shared" si="2"/>
        <v>TC_WC_05_09</v>
      </c>
      <c r="N6" s="140"/>
      <c r="O6" s="15" t="str">
        <f t="shared" si="3"/>
        <v>TC_DM_05_09</v>
      </c>
      <c r="P6" s="140"/>
      <c r="Q6" s="6" t="str">
        <f t="shared" si="4"/>
        <v>TC_CC_05_09</v>
      </c>
      <c r="R6" s="140"/>
      <c r="S6" s="13"/>
      <c r="T6" s="13"/>
      <c r="U6" s="13"/>
      <c r="V6" s="13"/>
      <c r="W6" s="13"/>
    </row>
    <row r="7" spans="1:23" x14ac:dyDescent="0.25">
      <c r="A7" s="142" t="b">
        <v>0</v>
      </c>
      <c r="B7" s="6">
        <f t="shared" si="5"/>
        <v>6</v>
      </c>
      <c r="C7" s="20" t="str">
        <f>_xlfn.XLOOKUP($D7,Tab_Def_Processes[Process_Name],Tab_Def_Processes[ID],,0,)</f>
        <v>04</v>
      </c>
      <c r="D7" s="138" t="s">
        <v>1078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1090</v>
      </c>
      <c r="J7" s="134" t="str">
        <f>_xlfn.XLOOKUP($I7,Tab_Def_Flows[Flow_Name],Tab_Def_Flows[Flow_ID],,0,)</f>
        <v>F_04_00</v>
      </c>
      <c r="K7" s="15" t="str">
        <f t="shared" si="6"/>
        <v>TC_material_04_00</v>
      </c>
      <c r="L7" s="140"/>
      <c r="M7" s="15" t="str">
        <f t="shared" si="2"/>
        <v>TC_WC_04_00</v>
      </c>
      <c r="N7" s="140">
        <v>0</v>
      </c>
      <c r="O7" s="15" t="str">
        <f t="shared" si="3"/>
        <v>TC_DM_04_00</v>
      </c>
      <c r="P7" s="140">
        <v>0.48000000000000004</v>
      </c>
      <c r="Q7" s="6" t="str">
        <f t="shared" si="4"/>
        <v>TC_CC_04_00</v>
      </c>
      <c r="R7" s="140">
        <v>1</v>
      </c>
      <c r="S7" s="13"/>
      <c r="T7" s="13"/>
      <c r="U7" s="13"/>
      <c r="V7" s="13"/>
      <c r="W7" s="13"/>
    </row>
    <row r="8" spans="1:23" x14ac:dyDescent="0.25">
      <c r="A8" s="142" t="b">
        <v>0</v>
      </c>
      <c r="B8" s="6">
        <f t="shared" si="5"/>
        <v>7</v>
      </c>
      <c r="C8" s="20" t="str">
        <f>_xlfn.XLOOKUP($D8,Tab_Def_Processes[Process_Name],Tab_Def_Processes[ID],,0,)</f>
        <v>04</v>
      </c>
      <c r="D8" s="138" t="s">
        <v>1078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1091</v>
      </c>
      <c r="J8" s="134" t="str">
        <f>_xlfn.XLOOKUP($I8,Tab_Def_Flows[Flow_Name],Tab_Def_Flows[Flow_ID],,0,)</f>
        <v>F_04_01</v>
      </c>
      <c r="K8" s="15" t="str">
        <f t="shared" si="6"/>
        <v>TC_material_04_01</v>
      </c>
      <c r="L8" s="140"/>
      <c r="M8" s="15" t="str">
        <f t="shared" si="2"/>
        <v>TC_WC_04_01</v>
      </c>
      <c r="N8" s="140">
        <v>1</v>
      </c>
      <c r="O8" s="15" t="str">
        <f t="shared" si="3"/>
        <v>TC_DM_04_01</v>
      </c>
      <c r="P8" s="140">
        <v>0.52000000000000013</v>
      </c>
      <c r="Q8" s="6" t="str">
        <f t="shared" si="4"/>
        <v>TC_CC_04_01</v>
      </c>
      <c r="R8" s="140">
        <v>0</v>
      </c>
      <c r="S8" s="13"/>
      <c r="T8" s="13"/>
      <c r="U8" s="13"/>
      <c r="V8" s="13"/>
      <c r="W8" s="13"/>
    </row>
    <row r="9" spans="1:23" x14ac:dyDescent="0.25">
      <c r="A9" s="142" t="b">
        <v>0</v>
      </c>
      <c r="B9" s="6">
        <f t="shared" si="5"/>
        <v>8</v>
      </c>
      <c r="C9" s="20" t="str">
        <f>_xlfn.XLOOKUP($D9,Tab_Def_Processes[Process_Name],Tab_Def_Processes[ID],,0,)</f>
        <v>12</v>
      </c>
      <c r="D9" s="138" t="s">
        <v>1086</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3</v>
      </c>
      <c r="I9" s="138" t="s">
        <v>1095</v>
      </c>
      <c r="J9" s="134" t="str">
        <f>_xlfn.XLOOKUP($I9,Tab_Def_Flows[Flow_Name],Tab_Def_Flows[Flow_ID],,0,)</f>
        <v>F_12_00</v>
      </c>
      <c r="K9" s="15" t="str">
        <f t="shared" si="6"/>
        <v>TC_material_12_00</v>
      </c>
      <c r="L9" s="140"/>
      <c r="M9" s="15" t="str">
        <f t="shared" si="2"/>
        <v>TC_WC_12_00</v>
      </c>
      <c r="N9" s="140">
        <v>0</v>
      </c>
      <c r="O9" s="15" t="str">
        <f t="shared" si="3"/>
        <v>TC_DM_12_00</v>
      </c>
      <c r="P9" s="140">
        <v>0.31197674418604654</v>
      </c>
      <c r="Q9" s="6" t="str">
        <f t="shared" si="4"/>
        <v>TC_CC_12_00</v>
      </c>
      <c r="R9" s="140">
        <v>0.64995155038759689</v>
      </c>
      <c r="S9" s="13"/>
      <c r="T9" s="13"/>
      <c r="U9" s="13"/>
      <c r="V9" s="13"/>
      <c r="W9" s="13"/>
    </row>
    <row r="10" spans="1:23" x14ac:dyDescent="0.25">
      <c r="A10" s="142" t="b">
        <v>0</v>
      </c>
      <c r="B10" s="6">
        <f t="shared" si="5"/>
        <v>9</v>
      </c>
      <c r="C10" s="20" t="str">
        <f>_xlfn.XLOOKUP($D10,Tab_Def_Processes[Process_Name],Tab_Def_Processes[ID],,0,)</f>
        <v>12</v>
      </c>
      <c r="D10" s="138" t="s">
        <v>1086</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3</v>
      </c>
      <c r="I10" s="138" t="s">
        <v>1096</v>
      </c>
      <c r="J10" s="134" t="str">
        <f>_xlfn.XLOOKUP($I10,Tab_Def_Flows[Flow_Name],Tab_Def_Flows[Flow_ID],,0,)</f>
        <v>F_12_01</v>
      </c>
      <c r="K10" s="15" t="str">
        <f t="shared" si="6"/>
        <v>TC_material_12_01</v>
      </c>
      <c r="L10" s="140"/>
      <c r="M10" s="15" t="str">
        <f t="shared" si="2"/>
        <v>TC_WC_12_01</v>
      </c>
      <c r="N10" s="140">
        <v>1</v>
      </c>
      <c r="O10" s="15" t="str">
        <f t="shared" si="3"/>
        <v>TC_DM_12_01</v>
      </c>
      <c r="P10" s="140">
        <v>0.52000000000000013</v>
      </c>
      <c r="Q10" s="6" t="str">
        <f t="shared" si="4"/>
        <v>TC_CC_12_01</v>
      </c>
      <c r="R10" s="140">
        <v>0</v>
      </c>
      <c r="S10" s="13"/>
      <c r="T10" s="13"/>
      <c r="U10" s="13"/>
      <c r="V10" s="13"/>
      <c r="W10" s="13"/>
    </row>
    <row r="11" spans="1:23" x14ac:dyDescent="0.25">
      <c r="A11" s="142" t="b">
        <v>0</v>
      </c>
      <c r="B11" s="6">
        <f t="shared" si="5"/>
        <v>10</v>
      </c>
      <c r="C11" s="20" t="str">
        <f>_xlfn.XLOOKUP($D11,Tab_Def_Processes[Process_Name],Tab_Def_Processes[ID],,0,)</f>
        <v>12</v>
      </c>
      <c r="D11" s="138" t="s">
        <v>1086</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3</v>
      </c>
      <c r="I11" s="138" t="s">
        <v>1104</v>
      </c>
      <c r="J11" s="134" t="str">
        <f>_xlfn.XLOOKUP($I11,Tab_Def_Flows[Flow_Name],Tab_Def_Flows[Flow_ID],,0,)</f>
        <v>F_12_07</v>
      </c>
      <c r="K11" s="15" t="str">
        <f t="shared" si="6"/>
        <v>TC_material_12_07</v>
      </c>
      <c r="L11" s="140"/>
      <c r="M11" s="15" t="str">
        <f t="shared" si="2"/>
        <v>TC_WC_12_07</v>
      </c>
      <c r="N11" s="140">
        <v>0</v>
      </c>
      <c r="O11" s="15" t="str">
        <f t="shared" si="3"/>
        <v>TC_DM_12_07</v>
      </c>
      <c r="P11" s="140">
        <v>0.1680232558139535</v>
      </c>
      <c r="Q11" s="6" t="str">
        <f t="shared" si="4"/>
        <v>TC_CC_12_07</v>
      </c>
      <c r="R11" s="140">
        <v>0.35004844961240311</v>
      </c>
      <c r="S11" s="13"/>
      <c r="T11" s="13"/>
      <c r="U11" s="13"/>
      <c r="V11" s="13"/>
      <c r="W11" s="13"/>
    </row>
    <row r="12" spans="1:23" x14ac:dyDescent="0.25">
      <c r="A12" s="142" t="b">
        <v>0</v>
      </c>
      <c r="B12" s="6">
        <f t="shared" si="5"/>
        <v>11</v>
      </c>
      <c r="C12" s="20" t="str">
        <f>_xlfn.XLOOKUP($D12,Tab_Def_Processes[Process_Name],Tab_Def_Processes[ID],,0,)</f>
        <v>09</v>
      </c>
      <c r="D12" s="138" t="s">
        <v>1083</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3</v>
      </c>
      <c r="I12" s="138" t="s">
        <v>1098</v>
      </c>
      <c r="J12" s="134" t="str">
        <f>_xlfn.XLOOKUP($I12,Tab_Def_Flows[Flow_Name],Tab_Def_Flows[Flow_ID],,0,)</f>
        <v>F_09_00</v>
      </c>
      <c r="K12" s="15" t="str">
        <f t="shared" si="6"/>
        <v>TC_material_09_00</v>
      </c>
      <c r="L12" s="140"/>
      <c r="M12" s="15" t="str">
        <f t="shared" si="2"/>
        <v>TC_WC_09_00</v>
      </c>
      <c r="N12" s="140">
        <v>0</v>
      </c>
      <c r="O12" s="15" t="str">
        <f t="shared" si="3"/>
        <v>TC_DM_09_00</v>
      </c>
      <c r="P12" s="140">
        <v>0.22</v>
      </c>
      <c r="Q12" s="6" t="str">
        <f t="shared" si="4"/>
        <v>TC_CC_09_00</v>
      </c>
      <c r="R12" s="140">
        <v>0.46</v>
      </c>
      <c r="S12" s="13"/>
      <c r="T12" s="13"/>
      <c r="U12" s="13"/>
      <c r="V12" s="13"/>
      <c r="W12" s="13"/>
    </row>
    <row r="13" spans="1:23" x14ac:dyDescent="0.25">
      <c r="A13" s="142" t="b">
        <v>0</v>
      </c>
      <c r="B13" s="6">
        <f>ROW()-1</f>
        <v>12</v>
      </c>
      <c r="C13" s="20" t="str">
        <f>_xlfn.XLOOKUP($D13,Tab_Def_Processes[Process_Name],Tab_Def_Processes[ID],,0,)</f>
        <v>09</v>
      </c>
      <c r="D13" s="138" t="s">
        <v>1083</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3</v>
      </c>
      <c r="I13" s="138" t="s">
        <v>1099</v>
      </c>
      <c r="J13" s="134" t="str">
        <f>_xlfn.XLOOKUP($I13,Tab_Def_Flows[Flow_Name],Tab_Def_Flows[Flow_ID],,0,)</f>
        <v>F_09_01</v>
      </c>
      <c r="K13" s="15" t="str">
        <f>"TC_material"&amp;"_"&amp;RIGHT(J13,5)</f>
        <v>TC_material_09_01</v>
      </c>
      <c r="L13" s="140"/>
      <c r="M13" s="15" t="str">
        <f t="shared" si="2"/>
        <v>TC_WC_09_01</v>
      </c>
      <c r="N13" s="140">
        <v>0</v>
      </c>
      <c r="O13" s="15" t="str">
        <f t="shared" si="3"/>
        <v>TC_DM_09_01</v>
      </c>
      <c r="P13" s="140">
        <v>0.28000000000000003</v>
      </c>
      <c r="Q13" s="6" t="str">
        <f t="shared" si="4"/>
        <v>TC_CC_09_01</v>
      </c>
      <c r="R13" s="140">
        <v>0</v>
      </c>
      <c r="S13" s="13"/>
      <c r="T13" s="13"/>
      <c r="U13" s="13"/>
      <c r="V13" s="13"/>
      <c r="W13" s="13"/>
    </row>
    <row r="14" spans="1:23" x14ac:dyDescent="0.25">
      <c r="A14" s="142" t="b">
        <v>0</v>
      </c>
      <c r="B14" s="6">
        <f t="shared" si="5"/>
        <v>13</v>
      </c>
      <c r="C14" s="20" t="str">
        <f>_xlfn.XLOOKUP($D14,Tab_Def_Processes[Process_Name],Tab_Def_Processes[ID],,0,)</f>
        <v>09</v>
      </c>
      <c r="D14" s="138" t="s">
        <v>1083</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1102</v>
      </c>
      <c r="J14" s="134" t="str">
        <f>_xlfn.XLOOKUP($I14,Tab_Def_Flows[Flow_Name],Tab_Def_Flows[Flow_ID],,0,)</f>
        <v>F_09_10</v>
      </c>
      <c r="K14" s="15" t="str">
        <f t="shared" si="6"/>
        <v>TC_material_09_10</v>
      </c>
      <c r="L14" s="140"/>
      <c r="M14" s="15" t="str">
        <f t="shared" si="2"/>
        <v>TC_WC_09_10</v>
      </c>
      <c r="N14" s="140">
        <v>1</v>
      </c>
      <c r="O14" s="15" t="str">
        <f t="shared" si="3"/>
        <v>TC_DM_09_10</v>
      </c>
      <c r="P14" s="140">
        <v>0.5</v>
      </c>
      <c r="Q14" s="6" t="str">
        <f t="shared" si="4"/>
        <v>TC_CC_09_10</v>
      </c>
      <c r="R14" s="140">
        <v>0.54</v>
      </c>
      <c r="S14" s="13"/>
      <c r="T14" s="13"/>
      <c r="U14" s="13"/>
      <c r="V14" s="13"/>
      <c r="W14" s="13"/>
    </row>
    <row r="15" spans="1:23" x14ac:dyDescent="0.25">
      <c r="A15" s="142" t="b">
        <v>0</v>
      </c>
      <c r="B15" s="6">
        <f t="shared" si="5"/>
        <v>14</v>
      </c>
      <c r="C15" s="20" t="str">
        <f>_xlfn.XLOOKUP($D15,Tab_Def_Processes[Process_Name],Tab_Def_Processes[ID],,0,)</f>
        <v>02</v>
      </c>
      <c r="D15" s="138" t="s">
        <v>1076</v>
      </c>
      <c r="E15" s="6" t="str">
        <f>_xlfn.XLOOKUP($D15,Tab_Def_Processes[Process_Name],Tab_Def_Processes[Process_Logic],,0,)</f>
        <v>Splitter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1</v>
      </c>
      <c r="I15" s="138" t="s">
        <v>1087</v>
      </c>
      <c r="J15" s="134" t="str">
        <f>_xlfn.XLOOKUP($I15,Tab_Def_Flows[Flow_Name],Tab_Def_Flows[Flow_ID],,0,)</f>
        <v>F_02_03</v>
      </c>
      <c r="K15" s="15" t="str">
        <f t="shared" si="6"/>
        <v>TC_material_02_03</v>
      </c>
      <c r="L15" s="140">
        <v>1</v>
      </c>
      <c r="M15" s="15" t="str">
        <f t="shared" si="2"/>
        <v>TC_WC_02_03</v>
      </c>
      <c r="N15" s="140"/>
      <c r="O15" s="15" t="str">
        <f t="shared" si="3"/>
        <v>TC_DM_02_03</v>
      </c>
      <c r="P15" s="140"/>
      <c r="Q15" s="6" t="str">
        <f t="shared" si="4"/>
        <v>TC_CC_02_03</v>
      </c>
      <c r="R15" s="140"/>
      <c r="S15" s="13"/>
      <c r="T15" s="13"/>
      <c r="U15" s="13"/>
      <c r="V15" s="13"/>
      <c r="W15" s="13"/>
    </row>
    <row r="16" spans="1:23" x14ac:dyDescent="0.25">
      <c r="A16" s="142" t="b">
        <v>0</v>
      </c>
      <c r="B16" s="6">
        <f t="shared" si="5"/>
        <v>15</v>
      </c>
      <c r="C16" s="20" t="str">
        <f>_xlfn.XLOOKUP($D16,Tab_Def_Processes[Process_Name],Tab_Def_Processes[ID],,0,)</f>
        <v>06</v>
      </c>
      <c r="D16" s="138" t="s">
        <v>1080</v>
      </c>
      <c r="E16" s="6" t="str">
        <f>_xlfn.XLOOKUP($D16,Tab_Def_Processes[Process_Name],Tab_Def_Processes[Process_Logic],,0,)</f>
        <v>Splitter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1</v>
      </c>
      <c r="I16" s="138" t="s">
        <v>1093</v>
      </c>
      <c r="J16" s="134" t="str">
        <f>_xlfn.XLOOKUP($I16,Tab_Def_Flows[Flow_Name],Tab_Def_Flows[Flow_ID],,0,)</f>
        <v>F_06_08</v>
      </c>
      <c r="K16" s="15" t="str">
        <f t="shared" si="6"/>
        <v>TC_material_06_08</v>
      </c>
      <c r="L16" s="140">
        <v>1</v>
      </c>
      <c r="M16" s="15" t="str">
        <f t="shared" si="2"/>
        <v>TC_WC_06_08</v>
      </c>
      <c r="N16" s="140"/>
      <c r="O16" s="15" t="str">
        <f t="shared" si="3"/>
        <v>TC_DM_06_08</v>
      </c>
      <c r="P16" s="140"/>
      <c r="Q16" s="6" t="str">
        <f t="shared" si="4"/>
        <v>TC_CC_06_08</v>
      </c>
      <c r="R16" s="140"/>
      <c r="S16" s="13"/>
      <c r="T16" s="13"/>
      <c r="U16" s="13"/>
      <c r="V16" s="13"/>
      <c r="W16" s="13"/>
    </row>
    <row r="17" spans="1:23" x14ac:dyDescent="0.25">
      <c r="A17" s="142" t="b">
        <v>0</v>
      </c>
      <c r="B17" s="6">
        <f t="shared" si="5"/>
        <v>16</v>
      </c>
      <c r="C17" s="20" t="str">
        <f>_xlfn.XLOOKUP($D17,Tab_Def_Processes[Process_Name],Tab_Def_Processes[ID],,0,)</f>
        <v>13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F_13_13</v>
      </c>
      <c r="K17" s="15" t="str">
        <f t="shared" si="6"/>
        <v>TC_material_13_13</v>
      </c>
      <c r="L17" s="140"/>
      <c r="M17" s="15" t="str">
        <f t="shared" si="2"/>
        <v>TC_WC_13_13</v>
      </c>
      <c r="N17" s="140"/>
      <c r="O17" s="15" t="str">
        <f t="shared" si="3"/>
        <v>TC_DM_13_13</v>
      </c>
      <c r="P17" s="140"/>
      <c r="Q17" s="6" t="str">
        <f t="shared" si="4"/>
        <v>TC_CC_13_13</v>
      </c>
      <c r="R17" s="140"/>
      <c r="S17" s="13"/>
      <c r="T17" s="13"/>
      <c r="U17" s="13"/>
      <c r="V17" s="13"/>
      <c r="W17" s="13"/>
    </row>
    <row r="18" spans="1:23" x14ac:dyDescent="0.25">
      <c r="A18" s="142" t="b">
        <v>0</v>
      </c>
      <c r="B18" s="6">
        <f t="shared" si="5"/>
        <v>17</v>
      </c>
      <c r="C18" s="20" t="str">
        <f>_xlfn.XLOOKUP($D18,Tab_Def_Processes[Process_Name],Tab_Def_Processes[ID],,0,)</f>
        <v>13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F_13_13</v>
      </c>
      <c r="K18" s="15" t="str">
        <f t="shared" si="6"/>
        <v>TC_material_13_13</v>
      </c>
      <c r="L18" s="140"/>
      <c r="M18" s="15" t="str">
        <f t="shared" si="2"/>
        <v>TC_WC_13_13</v>
      </c>
      <c r="N18" s="140"/>
      <c r="O18" s="15" t="str">
        <f t="shared" si="3"/>
        <v>TC_DM_13_13</v>
      </c>
      <c r="P18" s="140"/>
      <c r="Q18" s="6" t="str">
        <f t="shared" si="4"/>
        <v>TC_CC_13_13</v>
      </c>
      <c r="R18" s="140"/>
      <c r="S18" s="13"/>
      <c r="T18" s="13"/>
      <c r="U18" s="13"/>
      <c r="V18" s="13"/>
      <c r="W18" s="13"/>
    </row>
    <row r="19" spans="1:23" x14ac:dyDescent="0.25">
      <c r="A19" s="142" t="b">
        <v>0</v>
      </c>
      <c r="B19" s="6">
        <f t="shared" si="5"/>
        <v>18</v>
      </c>
      <c r="C19" s="20" t="str">
        <f>_xlfn.XLOOKUP($D19,Tab_Def_Processes[Process_Name],Tab_Def_Processes[ID],,0,)</f>
        <v>13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F_13_13</v>
      </c>
      <c r="K19" s="15" t="str">
        <f t="shared" si="6"/>
        <v>TC_material_13_13</v>
      </c>
      <c r="L19" s="140"/>
      <c r="M19" s="15" t="str">
        <f t="shared" si="2"/>
        <v>TC_WC_13_13</v>
      </c>
      <c r="N19" s="140"/>
      <c r="O19" s="15" t="str">
        <f t="shared" si="3"/>
        <v>TC_DM_13_13</v>
      </c>
      <c r="P19" s="140"/>
      <c r="Q19" s="6" t="str">
        <f t="shared" si="4"/>
        <v>TC_CC_13_13</v>
      </c>
      <c r="R19" s="140"/>
      <c r="S19" s="13"/>
      <c r="T19" s="13"/>
      <c r="U19" s="13"/>
      <c r="V19" s="13"/>
      <c r="W19" s="13"/>
    </row>
    <row r="20" spans="1:23" x14ac:dyDescent="0.25">
      <c r="A20" s="142" t="b">
        <v>0</v>
      </c>
      <c r="B20" s="6">
        <f t="shared" si="5"/>
        <v>19</v>
      </c>
      <c r="C20" s="20" t="str">
        <f>_xlfn.XLOOKUP($D20,Tab_Def_Processes[Process_Name],Tab_Def_Processes[ID],,0,)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F_13_13</v>
      </c>
      <c r="K20" s="15" t="str">
        <f t="shared" si="6"/>
        <v>TC_material_13_13</v>
      </c>
      <c r="L20" s="140"/>
      <c r="M20" s="15" t="str">
        <f t="shared" si="2"/>
        <v>TC_WC_13_13</v>
      </c>
      <c r="N20" s="140"/>
      <c r="O20" s="15" t="str">
        <f t="shared" si="3"/>
        <v>TC_DM_13_13</v>
      </c>
      <c r="P20" s="140"/>
      <c r="Q20" s="6" t="str">
        <f t="shared" si="4"/>
        <v>TC_CC_13_13</v>
      </c>
      <c r="R20" s="140"/>
      <c r="S20" s="13"/>
      <c r="T20" s="13"/>
      <c r="U20" s="13"/>
      <c r="V20" s="13"/>
      <c r="W20" s="13"/>
    </row>
    <row r="21" spans="1:23" x14ac:dyDescent="0.25">
      <c r="A21" s="142" t="b">
        <v>0</v>
      </c>
      <c r="B21" s="6">
        <f t="shared" si="5"/>
        <v>20</v>
      </c>
      <c r="C21" s="20" t="str">
        <f>_xlfn.XLOOKUP($D21,Tab_Def_Processes[Process_Name],Tab_Def_Processes[ID],,0,)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F_13_13</v>
      </c>
      <c r="K21" s="15" t="str">
        <f t="shared" si="6"/>
        <v>TC_material_13_13</v>
      </c>
      <c r="L21" s="140"/>
      <c r="M21" s="15" t="str">
        <f t="shared" si="2"/>
        <v>TC_WC_13_13</v>
      </c>
      <c r="N21" s="140"/>
      <c r="O21" s="15" t="str">
        <f t="shared" si="3"/>
        <v>TC_DM_13_13</v>
      </c>
      <c r="P21" s="140"/>
      <c r="Q21" s="6" t="str">
        <f t="shared" si="4"/>
        <v>TC_CC_13_13</v>
      </c>
      <c r="R21" s="140"/>
      <c r="S21" s="13"/>
      <c r="T21" s="13"/>
      <c r="U21" s="13"/>
      <c r="V21" s="13"/>
      <c r="W21" s="13"/>
    </row>
    <row r="22" spans="1:23" x14ac:dyDescent="0.25">
      <c r="A22" s="142" t="b">
        <v>0</v>
      </c>
      <c r="B22" s="6">
        <f t="shared" si="5"/>
        <v>21</v>
      </c>
      <c r="C22" s="20" t="str">
        <f>_xlfn.XLOOKUP($D22,Tab_Def_Processes[Process_Name],Tab_Def_Processes[ID],,0,)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F_13_13</v>
      </c>
      <c r="K22" s="15" t="str">
        <f t="shared" si="6"/>
        <v>TC_material_13_13</v>
      </c>
      <c r="L22" s="140"/>
      <c r="M22" s="15" t="str">
        <f t="shared" si="2"/>
        <v>TC_WC_13_13</v>
      </c>
      <c r="N22" s="140"/>
      <c r="O22" s="15" t="str">
        <f t="shared" si="3"/>
        <v>TC_DM_13_13</v>
      </c>
      <c r="P22" s="140"/>
      <c r="Q22" s="6" t="str">
        <f t="shared" si="4"/>
        <v>TC_CC_13_13</v>
      </c>
      <c r="R22" s="140"/>
      <c r="S22" s="13"/>
      <c r="T22" s="13"/>
      <c r="U22" s="13"/>
      <c r="V22" s="13"/>
      <c r="W22" s="13"/>
    </row>
    <row r="23" spans="1:23" x14ac:dyDescent="0.25">
      <c r="A23" s="142" t="b">
        <v>0</v>
      </c>
      <c r="B23" s="6">
        <f t="shared" si="5"/>
        <v>22</v>
      </c>
      <c r="C23" s="20" t="str">
        <f>_xlfn.XLOOKUP($D23,Tab_Def_Processes[Process_Name],Tab_Def_Processes[ID],,0,)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F_13_13</v>
      </c>
      <c r="K23" s="15" t="str">
        <f t="shared" si="6"/>
        <v>TC_material_13_13</v>
      </c>
      <c r="L23" s="140"/>
      <c r="M23" s="15" t="str">
        <f t="shared" si="2"/>
        <v>TC_WC_13_13</v>
      </c>
      <c r="N23" s="140"/>
      <c r="O23" s="15" t="str">
        <f t="shared" si="3"/>
        <v>TC_DM_13_13</v>
      </c>
      <c r="P23" s="140"/>
      <c r="Q23" s="6" t="str">
        <f t="shared" si="4"/>
        <v>TC_CC_13_13</v>
      </c>
      <c r="R23" s="140"/>
      <c r="S23" s="13"/>
      <c r="T23" s="13"/>
      <c r="U23" s="13"/>
      <c r="V23" s="13"/>
      <c r="W23" s="13"/>
    </row>
    <row r="24" spans="1:23" x14ac:dyDescent="0.25">
      <c r="A24" s="142" t="b">
        <v>0</v>
      </c>
      <c r="B24" s="6">
        <f t="shared" si="5"/>
        <v>23</v>
      </c>
      <c r="C24" s="20" t="str">
        <f>_xlfn.XLOOKUP($D24,Tab_Def_Processes[Process_Name],Tab_Def_Processes[ID],,0,)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F_13_13</v>
      </c>
      <c r="K24" s="15" t="str">
        <f t="shared" si="6"/>
        <v>TC_material_13_13</v>
      </c>
      <c r="L24" s="140"/>
      <c r="M24" s="15" t="str">
        <f t="shared" si="2"/>
        <v>TC_WC_13_13</v>
      </c>
      <c r="N24" s="140"/>
      <c r="O24" s="15" t="str">
        <f t="shared" si="3"/>
        <v>TC_DM_13_13</v>
      </c>
      <c r="P24" s="140"/>
      <c r="Q24" s="6" t="str">
        <f t="shared" si="4"/>
        <v>TC_CC_13_13</v>
      </c>
      <c r="R24" s="140"/>
      <c r="S24" s="13"/>
      <c r="T24" s="13"/>
      <c r="U24" s="13"/>
      <c r="V24" s="13"/>
      <c r="W24" s="13"/>
    </row>
    <row r="25" spans="1:23" x14ac:dyDescent="0.25">
      <c r="A25" s="142" t="b">
        <v>0</v>
      </c>
      <c r="B25" s="6">
        <f t="shared" si="5"/>
        <v>24</v>
      </c>
      <c r="C25" s="20" t="str">
        <f>_xlfn.XLOOKUP($D25,Tab_Def_Processes[Process_Name],Tab_Def_Processes[ID],,0,)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F_13_13</v>
      </c>
      <c r="K25" s="15" t="str">
        <f t="shared" si="6"/>
        <v>TC_material_13_13</v>
      </c>
      <c r="L25" s="140"/>
      <c r="M25" s="15" t="str">
        <f t="shared" si="2"/>
        <v>TC_WC_13_13</v>
      </c>
      <c r="N25" s="140"/>
      <c r="O25" s="15" t="str">
        <f t="shared" si="3"/>
        <v>TC_DM_13_13</v>
      </c>
      <c r="P25" s="140"/>
      <c r="Q25" s="6" t="str">
        <f t="shared" si="4"/>
        <v>TC_CC_13_13</v>
      </c>
      <c r="R25" s="140"/>
      <c r="S25" s="13"/>
      <c r="T25" s="13"/>
      <c r="U25" s="13"/>
      <c r="V25" s="13"/>
      <c r="W25" s="13"/>
    </row>
    <row r="26" spans="1:23" x14ac:dyDescent="0.25">
      <c r="A26" s="142" t="b">
        <v>0</v>
      </c>
      <c r="B26" s="6">
        <f t="shared" si="5"/>
        <v>25</v>
      </c>
      <c r="C26" s="20" t="str">
        <f>_xlfn.XLOOKUP($D26,Tab_Def_Processes[Process_Name],Tab_Def_Processes[ID],,0,)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F_13_13</v>
      </c>
      <c r="K26" s="15" t="str">
        <f t="shared" si="6"/>
        <v>TC_material_13_13</v>
      </c>
      <c r="L26" s="140"/>
      <c r="M26" s="15" t="str">
        <f t="shared" si="2"/>
        <v>TC_WC_13_13</v>
      </c>
      <c r="N26" s="140"/>
      <c r="O26" s="15" t="str">
        <f t="shared" si="3"/>
        <v>TC_DM_13_13</v>
      </c>
      <c r="P26" s="140"/>
      <c r="Q26" s="6" t="str">
        <f t="shared" si="4"/>
        <v>TC_CC_13_13</v>
      </c>
      <c r="R26" s="140"/>
      <c r="S26" s="13"/>
      <c r="T26" s="13"/>
      <c r="U26" s="13"/>
      <c r="V26" s="13"/>
      <c r="W26" s="13"/>
    </row>
    <row r="27" spans="1:23" x14ac:dyDescent="0.25">
      <c r="A27" s="142" t="b">
        <v>0</v>
      </c>
      <c r="B27" s="6">
        <f t="shared" si="5"/>
        <v>26</v>
      </c>
      <c r="C27" s="20" t="str">
        <f>_xlfn.XLOOKUP($D27,Tab_Def_Processes[Process_Name],Tab_Def_Processes[ID],,0,)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F_13_13</v>
      </c>
      <c r="K27" s="15" t="str">
        <f t="shared" si="6"/>
        <v>TC_material_13_13</v>
      </c>
      <c r="L27" s="140"/>
      <c r="M27" s="15" t="str">
        <f t="shared" si="2"/>
        <v>TC_WC_13_13</v>
      </c>
      <c r="N27" s="140"/>
      <c r="O27" s="15" t="str">
        <f t="shared" si="3"/>
        <v>TC_DM_13_13</v>
      </c>
      <c r="P27" s="140"/>
      <c r="Q27" s="6" t="str">
        <f t="shared" si="4"/>
        <v>TC_CC_13_13</v>
      </c>
      <c r="R27" s="140"/>
      <c r="S27" s="13"/>
      <c r="T27" s="13"/>
      <c r="U27" s="13"/>
      <c r="V27" s="13"/>
      <c r="W27" s="13"/>
    </row>
    <row r="28" spans="1:23" x14ac:dyDescent="0.25">
      <c r="A28" s="142" t="b">
        <v>0</v>
      </c>
      <c r="B28" s="6">
        <f t="shared" si="5"/>
        <v>27</v>
      </c>
      <c r="C28" s="20" t="str">
        <f>_xlfn.XLOOKUP($D28,Tab_Def_Processes[Process_Name],Tab_Def_Processes[ID],,0,)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F_13_13</v>
      </c>
      <c r="K28" s="15" t="str">
        <f t="shared" si="6"/>
        <v>TC_material_13_13</v>
      </c>
      <c r="L28" s="140"/>
      <c r="M28" s="15" t="str">
        <f t="shared" si="2"/>
        <v>TC_WC_13_13</v>
      </c>
      <c r="N28" s="140"/>
      <c r="O28" s="15" t="str">
        <f t="shared" si="3"/>
        <v>TC_DM_13_13</v>
      </c>
      <c r="P28" s="140"/>
      <c r="Q28" s="6" t="str">
        <f t="shared" si="4"/>
        <v>TC_CC_13_13</v>
      </c>
      <c r="R28" s="140"/>
      <c r="S28" s="13"/>
      <c r="T28" s="13"/>
      <c r="U28" s="13"/>
      <c r="V28" s="13"/>
      <c r="W28" s="13"/>
    </row>
    <row r="29" spans="1:23" x14ac:dyDescent="0.25">
      <c r="A29" s="142" t="b">
        <v>0</v>
      </c>
      <c r="B29" s="6">
        <f t="shared" si="5"/>
        <v>28</v>
      </c>
      <c r="C29" s="20" t="str">
        <f>_xlfn.XLOOKUP($D29,Tab_Def_Processes[Process_Name],Tab_Def_Processes[ID],,0,)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F_13_13</v>
      </c>
      <c r="K29" s="15" t="str">
        <f t="shared" si="6"/>
        <v>TC_material_13_13</v>
      </c>
      <c r="L29" s="140"/>
      <c r="M29" s="15" t="str">
        <f t="shared" si="2"/>
        <v>TC_WC_13_13</v>
      </c>
      <c r="N29" s="140"/>
      <c r="O29" s="15" t="str">
        <f t="shared" si="3"/>
        <v>TC_DM_13_13</v>
      </c>
      <c r="P29" s="140"/>
      <c r="Q29" s="6" t="str">
        <f t="shared" si="4"/>
        <v>TC_CC_13_13</v>
      </c>
      <c r="R29" s="140"/>
      <c r="S29" s="13"/>
      <c r="T29" s="13"/>
      <c r="U29" s="13"/>
      <c r="V29" s="13"/>
      <c r="W29" s="13"/>
    </row>
    <row r="30" spans="1:23" x14ac:dyDescent="0.25">
      <c r="A30" s="142" t="b">
        <v>0</v>
      </c>
      <c r="B30" s="6">
        <f t="shared" si="5"/>
        <v>29</v>
      </c>
      <c r="C30" s="20" t="str">
        <f>_xlfn.XLOOKUP($D30,Tab_Def_Processes[Process_Name],Tab_Def_Processes[ID],,0,)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F_13_13</v>
      </c>
      <c r="K30" s="15" t="str">
        <f t="shared" si="6"/>
        <v>TC_material_13_13</v>
      </c>
      <c r="L30" s="140"/>
      <c r="M30" s="15" t="str">
        <f t="shared" si="2"/>
        <v>TC_WC_13_13</v>
      </c>
      <c r="N30" s="140"/>
      <c r="O30" s="15" t="str">
        <f t="shared" si="3"/>
        <v>TC_DM_13_13</v>
      </c>
      <c r="P30" s="140"/>
      <c r="Q30" s="6" t="str">
        <f t="shared" si="4"/>
        <v>TC_CC_13_13</v>
      </c>
      <c r="R30" s="140"/>
      <c r="S30" s="13"/>
      <c r="T30" s="13"/>
      <c r="U30" s="13"/>
      <c r="V30" s="13"/>
      <c r="W30" s="13"/>
    </row>
    <row r="31" spans="1:23" x14ac:dyDescent="0.25">
      <c r="A31" s="142" t="b">
        <v>0</v>
      </c>
      <c r="B31" s="6">
        <f t="shared" si="5"/>
        <v>30</v>
      </c>
      <c r="C31" s="20" t="str">
        <f>_xlfn.XLOOKUP($D31,Tab_Def_Processes[Process_Name],Tab_Def_Processes[ID],,0,)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F_13_13</v>
      </c>
      <c r="K31" s="15" t="str">
        <f t="shared" si="6"/>
        <v>TC_material_13_13</v>
      </c>
      <c r="L31" s="140"/>
      <c r="M31" s="15" t="str">
        <f t="shared" si="2"/>
        <v>TC_WC_13_13</v>
      </c>
      <c r="N31" s="140"/>
      <c r="O31" s="15" t="str">
        <f t="shared" si="3"/>
        <v>TC_DM_13_13</v>
      </c>
      <c r="P31" s="140"/>
      <c r="Q31" s="6" t="str">
        <f t="shared" si="4"/>
        <v>TC_CC_13_13</v>
      </c>
      <c r="R31" s="140"/>
      <c r="S31" s="13"/>
      <c r="T31" s="13"/>
      <c r="U31" s="13"/>
      <c r="V31" s="13"/>
      <c r="W31" s="13"/>
    </row>
    <row r="32" spans="1:23" x14ac:dyDescent="0.25">
      <c r="A32" s="142" t="b">
        <v>0</v>
      </c>
      <c r="B32" s="6">
        <f t="shared" si="5"/>
        <v>31</v>
      </c>
      <c r="C32" s="20" t="str">
        <f>_xlfn.XLOOKUP($D32,Tab_Def_Processes[Process_Name],Tab_Def_Processes[ID],,0,)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F_13_13</v>
      </c>
      <c r="K32" s="15" t="str">
        <f t="shared" si="6"/>
        <v>TC_material_13_13</v>
      </c>
      <c r="L32" s="140"/>
      <c r="M32" s="15" t="str">
        <f t="shared" si="2"/>
        <v>TC_WC_13_13</v>
      </c>
      <c r="N32" s="140"/>
      <c r="O32" s="15" t="str">
        <f t="shared" si="3"/>
        <v>TC_DM_13_13</v>
      </c>
      <c r="P32" s="140"/>
      <c r="Q32" s="6" t="str">
        <f t="shared" si="4"/>
        <v>TC_CC_13_13</v>
      </c>
      <c r="R32" s="140"/>
      <c r="S32" s="13"/>
      <c r="T32" s="13"/>
      <c r="U32" s="13"/>
      <c r="V32" s="13"/>
      <c r="W32" s="13"/>
    </row>
    <row r="33" spans="1:23" x14ac:dyDescent="0.25">
      <c r="A33" s="142" t="b">
        <v>0</v>
      </c>
      <c r="B33" s="6">
        <f t="shared" si="5"/>
        <v>32</v>
      </c>
      <c r="C33" s="20" t="str">
        <f>_xlfn.XLOOKUP($D33,Tab_Def_Processes[Process_Name],Tab_Def_Processes[ID],,0,)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F_13_13</v>
      </c>
      <c r="K33" s="15" t="str">
        <f t="shared" si="6"/>
        <v>TC_material_13_13</v>
      </c>
      <c r="L33" s="140"/>
      <c r="M33" s="15" t="str">
        <f t="shared" si="2"/>
        <v>TC_WC_13_13</v>
      </c>
      <c r="N33" s="140"/>
      <c r="O33" s="15" t="str">
        <f t="shared" si="3"/>
        <v>TC_DM_13_13</v>
      </c>
      <c r="P33" s="140"/>
      <c r="Q33" s="6" t="str">
        <f t="shared" si="4"/>
        <v>TC_CC_13_13</v>
      </c>
      <c r="R33" s="140"/>
      <c r="S33" s="13"/>
      <c r="T33" s="13"/>
      <c r="U33" s="13"/>
      <c r="V33" s="13"/>
      <c r="W33" s="13"/>
    </row>
    <row r="34" spans="1:23" x14ac:dyDescent="0.25">
      <c r="A34" s="142" t="b">
        <v>0</v>
      </c>
      <c r="B34" s="6">
        <f t="shared" si="5"/>
        <v>33</v>
      </c>
      <c r="C34" s="20" t="str">
        <f>_xlfn.XLOOKUP($D34,Tab_Def_Processes[Process_Name],Tab_Def_Processes[ID],,0,)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F_13_13</v>
      </c>
      <c r="K34" s="15" t="str">
        <f t="shared" si="6"/>
        <v>TC_material_13_13</v>
      </c>
      <c r="L34" s="140"/>
      <c r="M34" s="15" t="str">
        <f t="shared" si="2"/>
        <v>TC_WC_13_13</v>
      </c>
      <c r="N34" s="140"/>
      <c r="O34" s="15" t="str">
        <f t="shared" si="3"/>
        <v>TC_DM_13_13</v>
      </c>
      <c r="P34" s="140"/>
      <c r="Q34" s="6" t="str">
        <f t="shared" si="4"/>
        <v>TC_CC_13_13</v>
      </c>
      <c r="R34" s="140"/>
      <c r="S34" s="13"/>
      <c r="T34" s="13"/>
      <c r="U34" s="13"/>
      <c r="V34" s="13"/>
      <c r="W34" s="13"/>
    </row>
    <row r="35" spans="1:23" x14ac:dyDescent="0.25">
      <c r="A35" s="142" t="b">
        <v>0</v>
      </c>
      <c r="B35" s="6">
        <f t="shared" si="5"/>
        <v>34</v>
      </c>
      <c r="C35" s="20" t="str">
        <f>_xlfn.XLOOKUP($D35,Tab_Def_Processes[Process_Name],Tab_Def_Processes[ID],,0,)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F_13_13</v>
      </c>
      <c r="K35" s="15" t="str">
        <f t="shared" si="6"/>
        <v>TC_material_13_13</v>
      </c>
      <c r="L35" s="140"/>
      <c r="M35" s="15" t="str">
        <f t="shared" si="2"/>
        <v>TC_WC_13_13</v>
      </c>
      <c r="N35" s="140"/>
      <c r="O35" s="15" t="str">
        <f t="shared" si="3"/>
        <v>TC_DM_13_13</v>
      </c>
      <c r="P35" s="140"/>
      <c r="Q35" s="6" t="str">
        <f t="shared" si="4"/>
        <v>TC_CC_13_13</v>
      </c>
      <c r="R35" s="140"/>
      <c r="S35" s="13"/>
      <c r="T35" s="13"/>
      <c r="U35" s="13"/>
      <c r="V35" s="13"/>
      <c r="W35" s="13"/>
    </row>
    <row r="36" spans="1:23" x14ac:dyDescent="0.25">
      <c r="A36" s="142" t="b">
        <v>0</v>
      </c>
      <c r="B36" s="6">
        <f t="shared" si="5"/>
        <v>35</v>
      </c>
      <c r="C36" s="20" t="str">
        <f>_xlfn.XLOOKUP($D36,Tab_Def_Processes[Process_Name],Tab_Def_Processes[ID],,0,)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F_13_13</v>
      </c>
      <c r="K36" s="15" t="str">
        <f t="shared" si="6"/>
        <v>TC_material_13_13</v>
      </c>
      <c r="L36" s="140"/>
      <c r="M36" s="15" t="str">
        <f t="shared" si="2"/>
        <v>TC_WC_13_13</v>
      </c>
      <c r="N36" s="140"/>
      <c r="O36" s="15" t="str">
        <f t="shared" si="3"/>
        <v>TC_DM_13_13</v>
      </c>
      <c r="P36" s="140"/>
      <c r="Q36" s="6" t="str">
        <f t="shared" si="4"/>
        <v>TC_CC_13_13</v>
      </c>
      <c r="R36" s="140"/>
      <c r="S36" s="13"/>
      <c r="T36" s="13"/>
      <c r="U36" s="13"/>
      <c r="V36" s="13"/>
      <c r="W36" s="13"/>
    </row>
    <row r="37" spans="1:23" x14ac:dyDescent="0.25">
      <c r="A37" s="142" t="b">
        <v>0</v>
      </c>
      <c r="B37" s="6">
        <f t="shared" si="5"/>
        <v>36</v>
      </c>
      <c r="C37" s="20" t="str">
        <f>_xlfn.XLOOKUP($D37,Tab_Def_Processes[Process_Name],Tab_Def_Processes[ID],,0,)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F_13_13</v>
      </c>
      <c r="K37" s="15" t="str">
        <f t="shared" si="6"/>
        <v>TC_material_13_13</v>
      </c>
      <c r="L37" s="140"/>
      <c r="M37" s="15" t="str">
        <f t="shared" si="2"/>
        <v>TC_WC_13_13</v>
      </c>
      <c r="N37" s="140"/>
      <c r="O37" s="15" t="str">
        <f t="shared" si="3"/>
        <v>TC_DM_13_13</v>
      </c>
      <c r="P37" s="140"/>
      <c r="Q37" s="6" t="str">
        <f t="shared" si="4"/>
        <v>TC_CC_13_13</v>
      </c>
      <c r="R37" s="140"/>
      <c r="S37" s="13"/>
      <c r="T37" s="13"/>
      <c r="U37" s="13"/>
      <c r="V37" s="13"/>
      <c r="W37" s="13"/>
    </row>
    <row r="38" spans="1:23" x14ac:dyDescent="0.25">
      <c r="A38" s="142" t="b">
        <v>0</v>
      </c>
      <c r="B38" s="6">
        <f t="shared" si="5"/>
        <v>37</v>
      </c>
      <c r="C38" s="20" t="str">
        <f>_xlfn.XLOOKUP($D38,Tab_Def_Processes[Process_Name],Tab_Def_Processes[ID],,0,)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F_13_13</v>
      </c>
      <c r="K38" s="15" t="str">
        <f t="shared" si="6"/>
        <v>TC_material_13_13</v>
      </c>
      <c r="L38" s="140"/>
      <c r="M38" s="15" t="str">
        <f t="shared" si="2"/>
        <v>TC_WC_13_13</v>
      </c>
      <c r="N38" s="140"/>
      <c r="O38" s="15" t="str">
        <f t="shared" si="3"/>
        <v>TC_DM_13_13</v>
      </c>
      <c r="P38" s="140"/>
      <c r="Q38" s="6" t="str">
        <f t="shared" si="4"/>
        <v>TC_CC_13_13</v>
      </c>
      <c r="R38" s="140"/>
      <c r="S38" s="13"/>
      <c r="T38" s="13"/>
      <c r="U38" s="13"/>
      <c r="V38" s="13"/>
      <c r="W38" s="13"/>
    </row>
    <row r="39" spans="1:23" x14ac:dyDescent="0.25">
      <c r="A39" s="142" t="b">
        <v>0</v>
      </c>
      <c r="B39" s="6">
        <f t="shared" si="5"/>
        <v>38</v>
      </c>
      <c r="C39" s="20" t="str">
        <f>_xlfn.XLOOKUP($D39,Tab_Def_Processes[Process_Name],Tab_Def_Processes[ID],,0,)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F_13_13</v>
      </c>
      <c r="K39" s="15" t="str">
        <f t="shared" si="6"/>
        <v>TC_material_13_13</v>
      </c>
      <c r="L39" s="140"/>
      <c r="M39" s="15" t="str">
        <f t="shared" si="2"/>
        <v>TC_WC_13_13</v>
      </c>
      <c r="N39" s="140"/>
      <c r="O39" s="15" t="str">
        <f t="shared" si="3"/>
        <v>TC_DM_13_13</v>
      </c>
      <c r="P39" s="140"/>
      <c r="Q39" s="6" t="str">
        <f t="shared" si="4"/>
        <v>TC_CC_13_13</v>
      </c>
      <c r="R39" s="140"/>
      <c r="S39" s="13"/>
      <c r="T39" s="13"/>
      <c r="U39" s="13"/>
      <c r="V39" s="13"/>
      <c r="W39" s="13"/>
    </row>
    <row r="40" spans="1:23" x14ac:dyDescent="0.25">
      <c r="A40" s="142" t="b">
        <v>0</v>
      </c>
      <c r="B40" s="6">
        <f t="shared" si="5"/>
        <v>39</v>
      </c>
      <c r="C40" s="20" t="str">
        <f>_xlfn.XLOOKUP($D40,Tab_Def_Processes[Process_Name],Tab_Def_Processes[ID],,0,)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F_13_13</v>
      </c>
      <c r="K40" s="15" t="str">
        <f t="shared" si="6"/>
        <v>TC_material_13_13</v>
      </c>
      <c r="L40" s="140"/>
      <c r="M40" s="15" t="str">
        <f t="shared" si="2"/>
        <v>TC_WC_13_13</v>
      </c>
      <c r="N40" s="140"/>
      <c r="O40" s="15" t="str">
        <f t="shared" si="3"/>
        <v>TC_DM_13_13</v>
      </c>
      <c r="P40" s="140"/>
      <c r="Q40" s="6" t="str">
        <f t="shared" si="4"/>
        <v>TC_CC_13_13</v>
      </c>
      <c r="R40" s="140"/>
      <c r="S40" s="13"/>
      <c r="T40" s="13"/>
      <c r="U40" s="13"/>
      <c r="V40" s="13"/>
      <c r="W40" s="13"/>
    </row>
    <row r="41" spans="1:23" x14ac:dyDescent="0.25">
      <c r="A41" s="142" t="b">
        <v>0</v>
      </c>
      <c r="B41" s="6">
        <f t="shared" si="5"/>
        <v>40</v>
      </c>
      <c r="C41" s="20" t="str">
        <f>_xlfn.XLOOKUP($D41,Tab_Def_Processes[Process_Name],Tab_Def_Processes[ID],,0,)</f>
        <v>13</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F_13_13</v>
      </c>
      <c r="K41" s="15" t="str">
        <f t="shared" si="6"/>
        <v>TC_material_13_13</v>
      </c>
      <c r="L41" s="140"/>
      <c r="M41" s="15" t="str">
        <f t="shared" si="2"/>
        <v>TC_WC_13_13</v>
      </c>
      <c r="N41" s="140"/>
      <c r="O41" s="15" t="str">
        <f t="shared" si="3"/>
        <v>TC_DM_13_13</v>
      </c>
      <c r="P41" s="140"/>
      <c r="Q41" s="6" t="str">
        <f t="shared" si="4"/>
        <v>TC_CC_13_13</v>
      </c>
      <c r="R41" s="140"/>
      <c r="S41" s="13"/>
      <c r="T41" s="13"/>
      <c r="U41" s="13"/>
      <c r="V41" s="13"/>
      <c r="W41" s="13"/>
    </row>
    <row r="42" spans="1:23" x14ac:dyDescent="0.25">
      <c r="A42" s="142" t="b">
        <v>0</v>
      </c>
      <c r="B42" s="6">
        <f t="shared" si="5"/>
        <v>41</v>
      </c>
      <c r="C42" s="20" t="str">
        <f>_xlfn.XLOOKUP($D42,Tab_Def_Processes[Process_Name],Tab_Def_Processes[ID],,0,)</f>
        <v>13</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F_13_13</v>
      </c>
      <c r="K42" s="15" t="str">
        <f t="shared" si="6"/>
        <v>TC_material_13_13</v>
      </c>
      <c r="L42" s="140"/>
      <c r="M42" s="15" t="str">
        <f t="shared" si="2"/>
        <v>TC_WC_13_13</v>
      </c>
      <c r="N42" s="140"/>
      <c r="O42" s="15" t="str">
        <f t="shared" si="3"/>
        <v>TC_DM_13_13</v>
      </c>
      <c r="P42" s="140"/>
      <c r="Q42" s="6" t="str">
        <f t="shared" si="4"/>
        <v>TC_CC_13_13</v>
      </c>
      <c r="R42" s="140"/>
      <c r="S42" s="13"/>
      <c r="T42" s="13"/>
      <c r="U42" s="13"/>
      <c r="V42" s="13"/>
      <c r="W42" s="13"/>
    </row>
    <row r="43" spans="1:23" x14ac:dyDescent="0.25">
      <c r="A43" s="142" t="b">
        <v>0</v>
      </c>
      <c r="B43" s="6">
        <f t="shared" si="5"/>
        <v>42</v>
      </c>
      <c r="C43" s="20" t="str">
        <f>_xlfn.XLOOKUP($D43,Tab_Def_Processes[Process_Name],Tab_Def_Processes[ID],,0,)</f>
        <v>13</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F_13_13</v>
      </c>
      <c r="K43" s="15" t="str">
        <f t="shared" si="6"/>
        <v>TC_material_13_13</v>
      </c>
      <c r="L43" s="140"/>
      <c r="M43" s="15" t="str">
        <f t="shared" si="2"/>
        <v>TC_WC_13_13</v>
      </c>
      <c r="N43" s="140"/>
      <c r="O43" s="15" t="str">
        <f t="shared" si="3"/>
        <v>TC_DM_13_13</v>
      </c>
      <c r="P43" s="140"/>
      <c r="Q43" s="6" t="str">
        <f t="shared" si="4"/>
        <v>TC_CC_13_13</v>
      </c>
      <c r="R43" s="140"/>
      <c r="S43" s="13"/>
      <c r="T43" s="13"/>
      <c r="U43" s="13"/>
      <c r="V43" s="13"/>
      <c r="W43" s="13"/>
    </row>
    <row r="44" spans="1:23" x14ac:dyDescent="0.25">
      <c r="A44" s="142" t="b">
        <v>0</v>
      </c>
      <c r="B44" s="6">
        <f t="shared" si="5"/>
        <v>43</v>
      </c>
      <c r="C44" s="20" t="str">
        <f>_xlfn.XLOOKUP($D44,Tab_Def_Processes[Process_Name],Tab_Def_Processes[ID],,0,)</f>
        <v>13</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F_13_13</v>
      </c>
      <c r="K44" s="15" t="str">
        <f t="shared" si="6"/>
        <v>TC_material_13_13</v>
      </c>
      <c r="L44" s="140"/>
      <c r="M44" s="15" t="str">
        <f t="shared" si="2"/>
        <v>TC_WC_13_13</v>
      </c>
      <c r="N44" s="140"/>
      <c r="O44" s="15" t="str">
        <f t="shared" si="3"/>
        <v>TC_DM_13_13</v>
      </c>
      <c r="P44" s="140"/>
      <c r="Q44" s="6" t="str">
        <f t="shared" si="4"/>
        <v>TC_CC_13_13</v>
      </c>
      <c r="R44" s="140"/>
      <c r="S44" s="13"/>
      <c r="T44" s="13"/>
      <c r="U44" s="13"/>
      <c r="V44" s="13"/>
      <c r="W44" s="13"/>
    </row>
    <row r="45" spans="1:23" x14ac:dyDescent="0.25">
      <c r="A45" s="142" t="b">
        <v>0</v>
      </c>
      <c r="B45" s="6">
        <f t="shared" si="5"/>
        <v>44</v>
      </c>
      <c r="C45" s="20" t="str">
        <f>_xlfn.XLOOKUP($D45,Tab_Def_Processes[Process_Name],Tab_Def_Processes[ID],,0,)</f>
        <v>13</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F_13_13</v>
      </c>
      <c r="K45" s="15" t="str">
        <f t="shared" si="6"/>
        <v>TC_material_13_13</v>
      </c>
      <c r="L45" s="140"/>
      <c r="M45" s="15" t="str">
        <f t="shared" si="2"/>
        <v>TC_WC_13_13</v>
      </c>
      <c r="N45" s="140"/>
      <c r="O45" s="15" t="str">
        <f t="shared" si="3"/>
        <v>TC_DM_13_13</v>
      </c>
      <c r="P45" s="140"/>
      <c r="Q45" s="6" t="str">
        <f t="shared" si="4"/>
        <v>TC_CC_13_13</v>
      </c>
      <c r="R45" s="140"/>
      <c r="S45" s="13"/>
      <c r="T45" s="13"/>
      <c r="U45" s="13"/>
      <c r="V45" s="13"/>
      <c r="W45" s="13"/>
    </row>
    <row r="46" spans="1:23" x14ac:dyDescent="0.25">
      <c r="A46" s="142" t="b">
        <v>0</v>
      </c>
      <c r="B46" s="6">
        <f t="shared" si="5"/>
        <v>45</v>
      </c>
      <c r="C46" s="20" t="str">
        <f>_xlfn.XLOOKUP($D46,Tab_Def_Processes[Process_Name],Tab_Def_Processes[ID],,0,)</f>
        <v>13</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F_13_13</v>
      </c>
      <c r="K46" s="15" t="str">
        <f t="shared" si="6"/>
        <v>TC_material_13_13</v>
      </c>
      <c r="L46" s="140"/>
      <c r="M46" s="15" t="str">
        <f t="shared" si="2"/>
        <v>TC_WC_13_13</v>
      </c>
      <c r="N46" s="140"/>
      <c r="O46" s="15" t="str">
        <f t="shared" si="3"/>
        <v>TC_DM_13_13</v>
      </c>
      <c r="P46" s="140"/>
      <c r="Q46" s="6" t="str">
        <f t="shared" si="4"/>
        <v>TC_CC_13_13</v>
      </c>
      <c r="R46" s="140"/>
      <c r="S46" s="13"/>
      <c r="T46" s="13"/>
      <c r="U46" s="13"/>
      <c r="V46" s="13"/>
      <c r="W46" s="13"/>
    </row>
    <row r="47" spans="1:23" x14ac:dyDescent="0.25">
      <c r="A47" s="142" t="b">
        <v>0</v>
      </c>
      <c r="B47" s="6">
        <f t="shared" si="5"/>
        <v>46</v>
      </c>
      <c r="C47" s="20" t="str">
        <f>_xlfn.XLOOKUP($D47,Tab_Def_Processes[Process_Name],Tab_Def_Processes[ID],,0,)</f>
        <v>13</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F_13_13</v>
      </c>
      <c r="K47" s="15" t="str">
        <f t="shared" si="6"/>
        <v>TC_material_13_13</v>
      </c>
      <c r="L47" s="140"/>
      <c r="M47" s="15" t="str">
        <f t="shared" si="2"/>
        <v>TC_WC_13_13</v>
      </c>
      <c r="N47" s="140"/>
      <c r="O47" s="15" t="str">
        <f t="shared" si="3"/>
        <v>TC_DM_13_13</v>
      </c>
      <c r="P47" s="140"/>
      <c r="Q47" s="6" t="str">
        <f t="shared" si="4"/>
        <v>TC_CC_13_13</v>
      </c>
      <c r="R47" s="140"/>
      <c r="S47" s="13"/>
      <c r="T47" s="13"/>
      <c r="U47" s="13"/>
      <c r="V47" s="13"/>
      <c r="W47" s="13"/>
    </row>
    <row r="48" spans="1:23" x14ac:dyDescent="0.25">
      <c r="A48" s="142" t="b">
        <v>0</v>
      </c>
      <c r="B48" s="6">
        <f t="shared" si="5"/>
        <v>47</v>
      </c>
      <c r="C48" s="20" t="str">
        <f>_xlfn.XLOOKUP($D48,Tab_Def_Processes[Process_Name],Tab_Def_Processes[ID],,0,)</f>
        <v>13</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F_13_13</v>
      </c>
      <c r="K48" s="15" t="str">
        <f t="shared" si="6"/>
        <v>TC_material_13_13</v>
      </c>
      <c r="L48" s="140"/>
      <c r="M48" s="15" t="str">
        <f t="shared" si="2"/>
        <v>TC_WC_13_13</v>
      </c>
      <c r="N48" s="140"/>
      <c r="O48" s="15" t="str">
        <f t="shared" si="3"/>
        <v>TC_DM_13_13</v>
      </c>
      <c r="P48" s="140"/>
      <c r="Q48" s="6" t="str">
        <f t="shared" si="4"/>
        <v>TC_CC_13_13</v>
      </c>
      <c r="R48" s="140"/>
      <c r="S48" s="13"/>
      <c r="T48" s="13"/>
      <c r="U48" s="13"/>
      <c r="V48" s="13"/>
      <c r="W48" s="13"/>
    </row>
    <row r="49" spans="1:23" x14ac:dyDescent="0.25">
      <c r="A49" s="142" t="b">
        <v>0</v>
      </c>
      <c r="B49" s="6">
        <f t="shared" si="5"/>
        <v>48</v>
      </c>
      <c r="C49" s="20" t="str">
        <f>_xlfn.XLOOKUP($D49,Tab_Def_Processes[Process_Name],Tab_Def_Processes[ID],,0,)</f>
        <v>13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F_13_13</v>
      </c>
      <c r="K49" s="15" t="str">
        <f t="shared" si="6"/>
        <v>TC_material_13_13</v>
      </c>
      <c r="L49" s="140"/>
      <c r="M49" s="15" t="str">
        <f t="shared" si="2"/>
        <v>TC_WC_13_13</v>
      </c>
      <c r="N49" s="140"/>
      <c r="O49" s="15" t="str">
        <f t="shared" si="3"/>
        <v>TC_DM_13_13</v>
      </c>
      <c r="P49" s="140"/>
      <c r="Q49" s="6" t="str">
        <f t="shared" si="4"/>
        <v>TC_CC_13_13</v>
      </c>
      <c r="R49" s="140"/>
      <c r="S49" s="13"/>
      <c r="T49" s="13"/>
      <c r="U49" s="13"/>
      <c r="V49" s="13"/>
      <c r="W49" s="13"/>
    </row>
    <row r="50" spans="1:23" x14ac:dyDescent="0.25">
      <c r="A50" s="142" t="b">
        <v>0</v>
      </c>
      <c r="B50" s="6">
        <f t="shared" si="5"/>
        <v>49</v>
      </c>
      <c r="C50" s="20" t="str">
        <f>_xlfn.XLOOKUP($D50,Tab_Def_Processes[Process_Name],Tab_Def_Processes[ID],,0,)</f>
        <v>13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F_13_13</v>
      </c>
      <c r="K50" s="15" t="str">
        <f t="shared" si="6"/>
        <v>TC_material_13_13</v>
      </c>
      <c r="L50" s="140"/>
      <c r="M50" s="15" t="str">
        <f t="shared" si="2"/>
        <v>TC_WC_13_13</v>
      </c>
      <c r="N50" s="140"/>
      <c r="O50" s="15" t="str">
        <f t="shared" si="3"/>
        <v>TC_DM_13_13</v>
      </c>
      <c r="P50" s="140"/>
      <c r="Q50" s="6" t="str">
        <f t="shared" si="4"/>
        <v>TC_CC_13_13</v>
      </c>
      <c r="R50" s="140"/>
      <c r="S50" s="13"/>
      <c r="T50" s="13"/>
      <c r="U50" s="13"/>
      <c r="V50" s="13"/>
      <c r="W50" s="13"/>
    </row>
  </sheetData>
  <sheetProtection selectLockedCells="1"/>
  <phoneticPr fontId="2" type="noConversion"/>
  <dataValidations count="1">
    <dataValidation type="decimal" allowBlank="1" showInputMessage="1" showErrorMessage="1" sqref="L2:L50" xr:uid="{715CB868-7C23-4536-8F19-2DD45F3D0877}">
      <formula1>0</formula1>
      <formula2>1</formula2>
    </dataValidation>
  </dataValidations>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435</v>
      </c>
      <c r="E1" s="141" t="s">
        <v>165</v>
      </c>
      <c r="F1" s="141" t="s">
        <v>400</v>
      </c>
      <c r="G1" s="141" t="s">
        <v>463</v>
      </c>
      <c r="H1" s="141" t="s">
        <v>464</v>
      </c>
      <c r="I1" s="141" t="s">
        <v>501</v>
      </c>
      <c r="J1" s="141" t="s">
        <v>11</v>
      </c>
      <c r="K1" s="141" t="s">
        <v>0</v>
      </c>
      <c r="L1" s="141" t="s">
        <v>412</v>
      </c>
      <c r="M1" s="141" t="s">
        <v>408</v>
      </c>
      <c r="N1" s="141" t="s">
        <v>413</v>
      </c>
      <c r="O1" s="141" t="s">
        <v>403</v>
      </c>
      <c r="P1" s="141" t="s">
        <v>414</v>
      </c>
      <c r="Q1" s="141" t="s">
        <v>404</v>
      </c>
      <c r="R1" s="141" t="s">
        <v>415</v>
      </c>
      <c r="S1" s="141" t="s">
        <v>405</v>
      </c>
      <c r="T1" s="141" t="s">
        <v>502</v>
      </c>
      <c r="U1" s="141" t="s">
        <v>470</v>
      </c>
      <c r="V1" s="141" t="s">
        <v>503</v>
      </c>
      <c r="W1" s="141" t="s">
        <v>504</v>
      </c>
      <c r="X1" s="141" t="s">
        <v>505</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J40" sqref="A27:J4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435</v>
      </c>
      <c r="F1" s="141" t="s">
        <v>400</v>
      </c>
      <c r="G1" s="141" t="s">
        <v>463</v>
      </c>
      <c r="H1" s="141" t="s">
        <v>464</v>
      </c>
      <c r="I1" s="141" t="s">
        <v>501</v>
      </c>
      <c r="J1" s="141" t="s">
        <v>1067</v>
      </c>
      <c r="K1" s="141" t="s">
        <v>1066</v>
      </c>
      <c r="L1" s="141" t="s">
        <v>1071</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258"/>
      <c r="L2" s="254"/>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258"/>
      <c r="L3" s="254"/>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258"/>
      <c r="L4" s="254"/>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258"/>
      <c r="L5" s="254"/>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258"/>
      <c r="L6" s="254"/>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258"/>
      <c r="L7" s="254"/>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258"/>
      <c r="L8" s="254"/>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258"/>
      <c r="L9" s="254"/>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258"/>
      <c r="L10" s="254"/>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258"/>
      <c r="L11" s="254"/>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258"/>
      <c r="L12" s="254"/>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258"/>
      <c r="L13" s="254"/>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258"/>
      <c r="L14" s="254"/>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258"/>
      <c r="L15" s="254"/>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258"/>
      <c r="L16" s="254"/>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258"/>
      <c r="L17" s="254"/>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258"/>
      <c r="L18" s="254"/>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258"/>
      <c r="L19" s="254"/>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258"/>
      <c r="L20" s="254"/>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258"/>
      <c r="L21" s="254"/>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258"/>
      <c r="L22" s="254"/>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258"/>
      <c r="L23" s="254"/>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258"/>
      <c r="L24" s="254"/>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258"/>
      <c r="L25" s="254"/>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258"/>
      <c r="L26" s="254"/>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258"/>
      <c r="L27" s="254"/>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258"/>
      <c r="L28" s="254"/>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258"/>
      <c r="L29" s="254"/>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258"/>
      <c r="L30" s="254"/>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258"/>
      <c r="L31" s="254"/>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258"/>
      <c r="L32" s="254"/>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258"/>
      <c r="L33" s="254"/>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258"/>
      <c r="L34" s="254"/>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258"/>
      <c r="L35" s="254"/>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258"/>
      <c r="L36" s="254"/>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258"/>
      <c r="L37" s="254"/>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258"/>
      <c r="L38" s="254"/>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258"/>
      <c r="L39" s="254"/>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258"/>
      <c r="L40" s="254"/>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258"/>
      <c r="L41" s="254"/>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258"/>
      <c r="L42" s="254"/>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258"/>
      <c r="L43" s="254"/>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258"/>
      <c r="L44" s="254"/>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258"/>
      <c r="L45" s="254"/>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258"/>
      <c r="L46" s="254"/>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258"/>
      <c r="L47" s="254"/>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258"/>
      <c r="L48" s="254"/>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258"/>
      <c r="L49" s="254"/>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258"/>
      <c r="L50" s="254"/>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258"/>
      <c r="L51" s="254"/>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G49" zoomScale="130" zoomScaleNormal="130" workbookViewId="0">
      <selection activeCell="K47" sqref="K4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1" t="s">
        <v>24</v>
      </c>
      <c r="B1" s="141" t="s">
        <v>7</v>
      </c>
      <c r="C1" s="141" t="s">
        <v>23</v>
      </c>
      <c r="D1" s="141" t="s">
        <v>435</v>
      </c>
      <c r="E1" s="141" t="s">
        <v>400</v>
      </c>
      <c r="F1" s="141" t="s">
        <v>463</v>
      </c>
      <c r="G1" s="141" t="s">
        <v>464</v>
      </c>
      <c r="H1" s="141" t="s">
        <v>501</v>
      </c>
      <c r="I1" s="141" t="s">
        <v>881</v>
      </c>
      <c r="J1" s="141" t="s">
        <v>449</v>
      </c>
      <c r="K1" s="141" t="s">
        <v>909</v>
      </c>
      <c r="L1" s="141" t="s">
        <v>451</v>
      </c>
    </row>
    <row r="2" spans="1:12" x14ac:dyDescent="0.25">
      <c r="A2" s="142" t="b">
        <v>0</v>
      </c>
      <c r="B2" s="6">
        <f t="shared" ref="B2:B81" si="0">ROW()-1</f>
        <v>1</v>
      </c>
      <c r="C2" s="6" t="e">
        <f>_xlfn.XLOOKUP($D2,Tab_Def_Processes[Process_Name],Tab_Def_Processes[Process_ID],,0,)</f>
        <v>#N/A</v>
      </c>
      <c r="D2" s="138" t="s">
        <v>473</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473</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473</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473</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473</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473</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473</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7"/>
    </row>
    <row r="9" spans="1:12" x14ac:dyDescent="0.25">
      <c r="A9" s="142" t="b">
        <v>0</v>
      </c>
      <c r="B9" s="6">
        <f t="shared" si="0"/>
        <v>8</v>
      </c>
      <c r="C9" s="6" t="e">
        <f>_xlfn.XLOOKUP($D9,Tab_Def_Processes[Process_Name],Tab_Def_Processes[Process_ID],,0,)</f>
        <v>#N/A</v>
      </c>
      <c r="D9" s="138" t="s">
        <v>473</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473</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7"/>
    </row>
    <row r="11" spans="1:12" x14ac:dyDescent="0.25">
      <c r="A11" s="142" t="b">
        <v>0</v>
      </c>
      <c r="B11" s="6">
        <f t="shared" si="0"/>
        <v>10</v>
      </c>
      <c r="C11" s="6" t="e">
        <f>_xlfn.XLOOKUP($D11,Tab_Def_Processes[Process_Name],Tab_Def_Processes[Process_ID],,0,)</f>
        <v>#N/A</v>
      </c>
      <c r="D11" s="138" t="s">
        <v>473</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473</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473</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473</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473</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473</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7"/>
    </row>
    <row r="17" spans="1:12" x14ac:dyDescent="0.25">
      <c r="A17" s="142" t="b">
        <v>0</v>
      </c>
      <c r="B17" s="6">
        <f t="shared" si="0"/>
        <v>16</v>
      </c>
      <c r="C17" s="6" t="e">
        <f>_xlfn.XLOOKUP($D17,Tab_Def_Processes[Process_Name],Tab_Def_Processes[Process_ID],,0,)</f>
        <v>#N/A</v>
      </c>
      <c r="D17" s="138" t="s">
        <v>473</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473</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473</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473</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473</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473</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474</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474</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474</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474</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474</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474</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474</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474</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474</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474</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474</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474</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474</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474</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474</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474</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474</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474</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474</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474</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474</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474</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474</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474</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474</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474</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474</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474</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K17" sqref="K1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435</v>
      </c>
      <c r="E1" s="141" t="s">
        <v>400</v>
      </c>
      <c r="F1" s="141" t="s">
        <v>463</v>
      </c>
      <c r="G1" s="141" t="s">
        <v>464</v>
      </c>
      <c r="H1" s="141" t="s">
        <v>501</v>
      </c>
      <c r="I1" s="141" t="s">
        <v>910</v>
      </c>
      <c r="J1" s="141" t="s">
        <v>908</v>
      </c>
      <c r="K1" s="141" t="s">
        <v>907</v>
      </c>
    </row>
    <row r="2" spans="1:11" x14ac:dyDescent="0.25">
      <c r="A2" s="142" t="b">
        <v>0</v>
      </c>
      <c r="B2" s="6">
        <f t="shared" ref="B2:B41" si="0">ROW()-1</f>
        <v>1</v>
      </c>
      <c r="C2" s="6" t="str">
        <f>_xlfn.XLOOKUP($D2,Tab_Def_Processes[Process_Name],Tab_Def_Processes[Process_ID],,0,)</f>
        <v>08</v>
      </c>
      <c r="D2" s="138" t="s">
        <v>1082</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P08_Inflow_fraction_f (Labile pool)</v>
      </c>
      <c r="J2" s="138" t="s">
        <v>207</v>
      </c>
      <c r="K2" s="7">
        <v>0.7</v>
      </c>
    </row>
    <row r="3" spans="1:11" x14ac:dyDescent="0.25">
      <c r="A3" s="142" t="b">
        <v>0</v>
      </c>
      <c r="B3" s="6">
        <f t="shared" si="0"/>
        <v>2</v>
      </c>
      <c r="C3" s="6" t="str">
        <f>_xlfn.XLOOKUP($D3,Tab_Def_Processes[Process_Name],Tab_Def_Processes[Process_ID],,0,)</f>
        <v>08</v>
      </c>
      <c r="D3" s="138" t="s">
        <v>1082</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P08_decay_k1 (Labile pool)</v>
      </c>
      <c r="J3" s="138" t="s">
        <v>208</v>
      </c>
      <c r="K3" s="7">
        <v>0.5</v>
      </c>
    </row>
    <row r="4" spans="1:11" x14ac:dyDescent="0.25">
      <c r="A4" s="142" t="b">
        <v>0</v>
      </c>
      <c r="B4" s="6">
        <f t="shared" si="0"/>
        <v>3</v>
      </c>
      <c r="C4" s="6" t="str">
        <f>_xlfn.XLOOKUP($D4,Tab_Def_Processes[Process_Name],Tab_Def_Processes[Process_ID],,0,)</f>
        <v>08</v>
      </c>
      <c r="D4" s="138" t="s">
        <v>1082</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P08_Inflow_fraction_f (Recalcitrant pool)</v>
      </c>
      <c r="J4" s="138" t="s">
        <v>209</v>
      </c>
      <c r="K4" s="7">
        <v>0.3</v>
      </c>
    </row>
    <row r="5" spans="1:11" x14ac:dyDescent="0.25">
      <c r="A5" s="142" t="b">
        <v>0</v>
      </c>
      <c r="B5" s="6">
        <f t="shared" si="0"/>
        <v>4</v>
      </c>
      <c r="C5" s="6" t="str">
        <f>_xlfn.XLOOKUP($D5,Tab_Def_Processes[Process_Name],Tab_Def_Processes[Process_ID],,0,)</f>
        <v>08</v>
      </c>
      <c r="D5" s="138" t="s">
        <v>1082</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P08_decay_k2 (Recalcitrant pool)</v>
      </c>
      <c r="J5" s="138" t="s">
        <v>210</v>
      </c>
      <c r="K5" s="7">
        <v>2.5000000000000001E-2</v>
      </c>
    </row>
    <row r="6" spans="1:11" x14ac:dyDescent="0.25">
      <c r="A6" s="142" t="b">
        <v>0</v>
      </c>
      <c r="B6" s="6">
        <f t="shared" si="0"/>
        <v>5</v>
      </c>
      <c r="C6" s="6" t="str">
        <f>_xlfn.XLOOKUP($D6,Tab_Def_Processes[Process_Name],Tab_Def_Processes[Process_ID],,0,)</f>
        <v>08</v>
      </c>
      <c r="D6" s="138" t="s">
        <v>1082</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P08_output_carbon_id</v>
      </c>
      <c r="J6" s="138" t="s">
        <v>203</v>
      </c>
      <c r="K6" s="7" t="s">
        <v>1109</v>
      </c>
    </row>
    <row r="7" spans="1:11" x14ac:dyDescent="0.25">
      <c r="A7" s="142" t="b">
        <v>0</v>
      </c>
      <c r="B7" s="6">
        <f t="shared" si="0"/>
        <v>6</v>
      </c>
      <c r="C7" s="6" t="str">
        <f>_xlfn.XLOOKUP($D7,Tab_Def_Processes[Process_Name],Tab_Def_Processes[Process_ID],,0,)</f>
        <v>08</v>
      </c>
      <c r="D7" s="138" t="s">
        <v>1082</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P08_output_environmental_id</v>
      </c>
      <c r="J7" s="138" t="s">
        <v>206</v>
      </c>
      <c r="K7" s="7" t="s">
        <v>1110</v>
      </c>
    </row>
    <row r="8" spans="1:11" x14ac:dyDescent="0.25">
      <c r="A8" s="142" t="b">
        <v>0</v>
      </c>
      <c r="B8" s="6">
        <f t="shared" si="0"/>
        <v>7</v>
      </c>
      <c r="C8" s="6" t="str">
        <f>_xlfn.XLOOKUP($D8,Tab_Def_Processes[Process_Name],Tab_Def_Processes[Process_ID],,0,)</f>
        <v>10</v>
      </c>
      <c r="D8" s="138" t="s">
        <v>1084</v>
      </c>
      <c r="E8" s="6" t="str">
        <f>_xlfn.XLOOKUP($D8,Tab_Def_Processes[Process_Name],Tab_Def_Processes[Process_Logic],,0,)</f>
        <v>FOMP</v>
      </c>
      <c r="F8" s="6" t="str">
        <f>_xlfn.XLOOKUP($D8,Tab_Def_Processes[Process_Name],Tab_Def_Processes[TC_Configuration],,0,)</f>
        <v>No TC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P10_Inflow_fraction_f (Labile pool)</v>
      </c>
      <c r="J8" s="138" t="s">
        <v>207</v>
      </c>
      <c r="K8" s="7">
        <v>0.2</v>
      </c>
    </row>
    <row r="9" spans="1:11" x14ac:dyDescent="0.25">
      <c r="A9" s="142" t="b">
        <v>0</v>
      </c>
      <c r="B9" s="6">
        <f t="shared" si="0"/>
        <v>8</v>
      </c>
      <c r="C9" s="6" t="str">
        <f>_xlfn.XLOOKUP($D9,Tab_Def_Processes[Process_Name],Tab_Def_Processes[Process_ID],,0,)</f>
        <v>10</v>
      </c>
      <c r="D9" s="138" t="s">
        <v>1084</v>
      </c>
      <c r="E9" s="6" t="str">
        <f>_xlfn.XLOOKUP($D9,Tab_Def_Processes[Process_Name],Tab_Def_Processes[Process_Logic],,0,)</f>
        <v>FOMP</v>
      </c>
      <c r="F9" s="6" t="str">
        <f>_xlfn.XLOOKUP($D9,Tab_Def_Processes[Process_Name],Tab_Def_Processes[TC_Configuration],,0,)</f>
        <v>No TC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P10_decay_k1 (Labile pool)</v>
      </c>
      <c r="J9" s="138" t="s">
        <v>208</v>
      </c>
      <c r="K9" s="7">
        <v>0.5</v>
      </c>
    </row>
    <row r="10" spans="1:11" x14ac:dyDescent="0.25">
      <c r="A10" s="142" t="b">
        <v>0</v>
      </c>
      <c r="B10" s="6">
        <f t="shared" si="0"/>
        <v>9</v>
      </c>
      <c r="C10" s="6" t="str">
        <f>_xlfn.XLOOKUP($D10,Tab_Def_Processes[Process_Name],Tab_Def_Processes[Process_ID],,0,)</f>
        <v>10</v>
      </c>
      <c r="D10" s="138" t="s">
        <v>1084</v>
      </c>
      <c r="E10" s="6" t="str">
        <f>_xlfn.XLOOKUP($D10,Tab_Def_Processes[Process_Name],Tab_Def_Processes[Process_Logic],,0,)</f>
        <v>FOMP</v>
      </c>
      <c r="F10" s="6" t="str">
        <f>_xlfn.XLOOKUP($D10,Tab_Def_Processes[Process_Name],Tab_Def_Processes[TC_Configuration],,0,)</f>
        <v>No TC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P10_Inflow_fraction_f (Recalcitrant pool)</v>
      </c>
      <c r="J10" s="138" t="s">
        <v>209</v>
      </c>
      <c r="K10" s="7">
        <v>0.8</v>
      </c>
    </row>
    <row r="11" spans="1:11" x14ac:dyDescent="0.25">
      <c r="A11" s="142" t="b">
        <v>0</v>
      </c>
      <c r="B11" s="6">
        <f t="shared" si="0"/>
        <v>10</v>
      </c>
      <c r="C11" s="6" t="str">
        <f>_xlfn.XLOOKUP($D11,Tab_Def_Processes[Process_Name],Tab_Def_Processes[Process_ID],,0,)</f>
        <v>10</v>
      </c>
      <c r="D11" s="138" t="s">
        <v>1084</v>
      </c>
      <c r="E11" s="6" t="str">
        <f>_xlfn.XLOOKUP($D11,Tab_Def_Processes[Process_Name],Tab_Def_Processes[Process_Logic],,0,)</f>
        <v>FOMP</v>
      </c>
      <c r="F11" s="6" t="str">
        <f>_xlfn.XLOOKUP($D11,Tab_Def_Processes[Process_Name],Tab_Def_Processes[TC_Configuration],,0,)</f>
        <v>No TC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P10_decay_k2 (Recalcitrant pool)</v>
      </c>
      <c r="J11" s="138" t="s">
        <v>210</v>
      </c>
      <c r="K11" s="7">
        <v>2.5000000000000001E-2</v>
      </c>
    </row>
    <row r="12" spans="1:11" x14ac:dyDescent="0.25">
      <c r="A12" s="142" t="b">
        <v>0</v>
      </c>
      <c r="B12" s="6">
        <f t="shared" si="0"/>
        <v>11</v>
      </c>
      <c r="C12" s="6" t="str">
        <f>_xlfn.XLOOKUP($D12,Tab_Def_Processes[Process_Name],Tab_Def_Processes[Process_ID],,0,)</f>
        <v>10</v>
      </c>
      <c r="D12" s="138" t="s">
        <v>1084</v>
      </c>
      <c r="E12" s="6" t="str">
        <f>_xlfn.XLOOKUP($D12,Tab_Def_Processes[Process_Name],Tab_Def_Processes[Process_Logic],,0,)</f>
        <v>FOMP</v>
      </c>
      <c r="F12" s="6" t="str">
        <f>_xlfn.XLOOKUP($D12,Tab_Def_Processes[Process_Name],Tab_Def_Processes[TC_Configuration],,0,)</f>
        <v>No TC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P10_output_carbon_id</v>
      </c>
      <c r="J12" s="138" t="s">
        <v>203</v>
      </c>
      <c r="K12" s="7" t="s">
        <v>1111</v>
      </c>
    </row>
    <row r="13" spans="1:11" x14ac:dyDescent="0.25">
      <c r="A13" s="142" t="b">
        <v>0</v>
      </c>
      <c r="B13" s="6">
        <f t="shared" si="0"/>
        <v>12</v>
      </c>
      <c r="C13" s="6" t="str">
        <f>_xlfn.XLOOKUP($D13,Tab_Def_Processes[Process_Name],Tab_Def_Processes[Process_ID],,0,)</f>
        <v>10</v>
      </c>
      <c r="D13" s="138" t="s">
        <v>1084</v>
      </c>
      <c r="E13" s="6" t="str">
        <f>_xlfn.XLOOKUP($D13,Tab_Def_Processes[Process_Name],Tab_Def_Processes[Process_Logic],,0,)</f>
        <v>FOMP</v>
      </c>
      <c r="F13" s="6" t="str">
        <f>_xlfn.XLOOKUP($D13,Tab_Def_Processes[Process_Name],Tab_Def_Processes[TC_Configuration],,0,)</f>
        <v>No TC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P10_output_environmental_id</v>
      </c>
      <c r="J13" s="138" t="s">
        <v>206</v>
      </c>
      <c r="K13" s="7" t="s">
        <v>1112</v>
      </c>
    </row>
    <row r="14" spans="1:11" x14ac:dyDescent="0.25">
      <c r="A14" s="142" t="b">
        <v>0</v>
      </c>
      <c r="B14" s="6">
        <f t="shared" si="0"/>
        <v>13</v>
      </c>
      <c r="C14" s="6" t="str">
        <f>_xlfn.XLOOKUP($D14,Tab_Def_Processes[Process_Name],Tab_Def_Processes[Process_ID],,0,)</f>
        <v>07</v>
      </c>
      <c r="D14" s="138" t="s">
        <v>1081</v>
      </c>
      <c r="E14" s="6" t="str">
        <f>_xlfn.XLOOKUP($D14,Tab_Def_Processes[Process_Name],Tab_Def_Processes[Process_Logic],,0,)</f>
        <v>FOMP</v>
      </c>
      <c r="F14" s="6" t="str">
        <f>_xlfn.XLOOKUP($D14,Tab_Def_Processes[Process_Name],Tab_Def_Processes[TC_Configuration],,0,)</f>
        <v>No TC</v>
      </c>
      <c r="G14" s="6" t="str">
        <f>_xlfn.XLOOKUP($D14,Tab_Def_Processes[Process_Name],Tab_Def_Processes[Stock_Configuration],,0,)</f>
        <v>Stock</v>
      </c>
      <c r="H14" s="6">
        <f>_xlfn.XLOOKUP(Tab_FOMP[[#This Row],[Process_Name]],Tab_Def_Processes[Process_Name],Tab_Def_Processes[Outflow_count],,0,)</f>
        <v>2</v>
      </c>
      <c r="I14" s="6" t="str">
        <f>"P"&amp;Tab_FOMP[[#This Row],[Process_ID]]&amp;"_"&amp;Tab_FOMP[[#This Row],[FOMP_Parameter_type]]</f>
        <v>P07_Inflow_fraction_f (Labile pool)</v>
      </c>
      <c r="J14" s="138" t="s">
        <v>207</v>
      </c>
      <c r="K14" s="7">
        <v>0.05</v>
      </c>
    </row>
    <row r="15" spans="1:11" x14ac:dyDescent="0.25">
      <c r="A15" s="142" t="b">
        <v>0</v>
      </c>
      <c r="B15" s="6">
        <f t="shared" si="0"/>
        <v>14</v>
      </c>
      <c r="C15" s="6" t="str">
        <f>_xlfn.XLOOKUP($D15,Tab_Def_Processes[Process_Name],Tab_Def_Processes[Process_ID],,0,)</f>
        <v>07</v>
      </c>
      <c r="D15" s="138" t="s">
        <v>1081</v>
      </c>
      <c r="E15" s="6" t="str">
        <f>_xlfn.XLOOKUP($D15,Tab_Def_Processes[Process_Name],Tab_Def_Processes[Process_Logic],,0,)</f>
        <v>FOMP</v>
      </c>
      <c r="F15" s="6" t="str">
        <f>_xlfn.XLOOKUP($D15,Tab_Def_Processes[Process_Name],Tab_Def_Processes[TC_Configuration],,0,)</f>
        <v>No TC</v>
      </c>
      <c r="G15" s="6" t="str">
        <f>_xlfn.XLOOKUP($D15,Tab_Def_Processes[Process_Name],Tab_Def_Processes[Stock_Configuration],,0,)</f>
        <v>Stock</v>
      </c>
      <c r="H15" s="6">
        <f>_xlfn.XLOOKUP(Tab_FOMP[[#This Row],[Process_Name]],Tab_Def_Processes[Process_Name],Tab_Def_Processes[Outflow_count],,0,)</f>
        <v>2</v>
      </c>
      <c r="I15" s="6" t="str">
        <f>"P"&amp;Tab_FOMP[[#This Row],[Process_ID]]&amp;"_"&amp;Tab_FOMP[[#This Row],[FOMP_Parameter_type]]</f>
        <v>P07_decay_k1 (Labile pool)</v>
      </c>
      <c r="J15" s="138" t="s">
        <v>208</v>
      </c>
      <c r="K15" s="7">
        <v>0.5</v>
      </c>
    </row>
    <row r="16" spans="1:11" x14ac:dyDescent="0.25">
      <c r="A16" s="142" t="b">
        <v>0</v>
      </c>
      <c r="B16" s="6">
        <f t="shared" si="0"/>
        <v>15</v>
      </c>
      <c r="C16" s="6" t="str">
        <f>_xlfn.XLOOKUP($D16,Tab_Def_Processes[Process_Name],Tab_Def_Processes[Process_ID],,0,)</f>
        <v>07</v>
      </c>
      <c r="D16" s="138" t="s">
        <v>1081</v>
      </c>
      <c r="E16" s="6" t="str">
        <f>_xlfn.XLOOKUP($D16,Tab_Def_Processes[Process_Name],Tab_Def_Processes[Process_Logic],,0,)</f>
        <v>FOMP</v>
      </c>
      <c r="F16" s="6" t="str">
        <f>_xlfn.XLOOKUP($D16,Tab_Def_Processes[Process_Name],Tab_Def_Processes[TC_Configuration],,0,)</f>
        <v>No TC</v>
      </c>
      <c r="G16" s="6" t="str">
        <f>_xlfn.XLOOKUP($D16,Tab_Def_Processes[Process_Name],Tab_Def_Processes[Stock_Configuration],,0,)</f>
        <v>Stock</v>
      </c>
      <c r="H16" s="6">
        <f>_xlfn.XLOOKUP(Tab_FOMP[[#This Row],[Process_Name]],Tab_Def_Processes[Process_Name],Tab_Def_Processes[Outflow_count],,0,)</f>
        <v>2</v>
      </c>
      <c r="I16" s="6" t="str">
        <f>"P"&amp;Tab_FOMP[[#This Row],[Process_ID]]&amp;"_"&amp;Tab_FOMP[[#This Row],[FOMP_Parameter_type]]</f>
        <v>P07_Inflow_fraction_f (Recalcitrant pool)</v>
      </c>
      <c r="J16" s="138" t="s">
        <v>209</v>
      </c>
      <c r="K16" s="7">
        <v>0.95</v>
      </c>
    </row>
    <row r="17" spans="1:11" x14ac:dyDescent="0.25">
      <c r="A17" s="142" t="b">
        <v>0</v>
      </c>
      <c r="B17" s="6">
        <f t="shared" si="0"/>
        <v>16</v>
      </c>
      <c r="C17" s="6" t="str">
        <f>_xlfn.XLOOKUP($D17,Tab_Def_Processes[Process_Name],Tab_Def_Processes[Process_ID],,0,)</f>
        <v>07</v>
      </c>
      <c r="D17" s="138" t="s">
        <v>1081</v>
      </c>
      <c r="E17" s="6" t="str">
        <f>_xlfn.XLOOKUP($D17,Tab_Def_Processes[Process_Name],Tab_Def_Processes[Process_Logic],,0,)</f>
        <v>FOMP</v>
      </c>
      <c r="F17" s="6" t="str">
        <f>_xlfn.XLOOKUP($D17,Tab_Def_Processes[Process_Name],Tab_Def_Processes[TC_Configuration],,0,)</f>
        <v>No TC</v>
      </c>
      <c r="G17" s="6" t="str">
        <f>_xlfn.XLOOKUP($D17,Tab_Def_Processes[Process_Name],Tab_Def_Processes[Stock_Configuration],,0,)</f>
        <v>Stock</v>
      </c>
      <c r="H17" s="6">
        <f>_xlfn.XLOOKUP(Tab_FOMP[[#This Row],[Process_Name]],Tab_Def_Processes[Process_Name],Tab_Def_Processes[Outflow_count],,0,)</f>
        <v>2</v>
      </c>
      <c r="I17" s="6" t="str">
        <f>"P"&amp;Tab_FOMP[[#This Row],[Process_ID]]&amp;"_"&amp;Tab_FOMP[[#This Row],[FOMP_Parameter_type]]</f>
        <v>P07_decay_k2 (Recalcitrant pool)</v>
      </c>
      <c r="J17" s="138" t="s">
        <v>210</v>
      </c>
      <c r="K17" s="7">
        <v>1.4E-3</v>
      </c>
    </row>
    <row r="18" spans="1:11" x14ac:dyDescent="0.25">
      <c r="A18" s="142" t="b">
        <v>0</v>
      </c>
      <c r="B18" s="6">
        <f t="shared" si="0"/>
        <v>17</v>
      </c>
      <c r="C18" s="6" t="str">
        <f>_xlfn.XLOOKUP($D18,Tab_Def_Processes[Process_Name],Tab_Def_Processes[Process_ID],,0,)</f>
        <v>07</v>
      </c>
      <c r="D18" s="138" t="s">
        <v>1081</v>
      </c>
      <c r="E18" s="6" t="str">
        <f>_xlfn.XLOOKUP($D18,Tab_Def_Processes[Process_Name],Tab_Def_Processes[Process_Logic],,0,)</f>
        <v>FOMP</v>
      </c>
      <c r="F18" s="6" t="str">
        <f>_xlfn.XLOOKUP($D18,Tab_Def_Processes[Process_Name],Tab_Def_Processes[TC_Configuration],,0,)</f>
        <v>No TC</v>
      </c>
      <c r="G18" s="6" t="str">
        <f>_xlfn.XLOOKUP($D18,Tab_Def_Processes[Process_Name],Tab_Def_Processes[Stock_Configuration],,0,)</f>
        <v>Stock</v>
      </c>
      <c r="H18" s="6">
        <f>_xlfn.XLOOKUP(Tab_FOMP[[#This Row],[Process_Name]],Tab_Def_Processes[Process_Name],Tab_Def_Processes[Outflow_count],,0,)</f>
        <v>2</v>
      </c>
      <c r="I18" s="6" t="str">
        <f>"P"&amp;Tab_FOMP[[#This Row],[Process_ID]]&amp;"_"&amp;Tab_FOMP[[#This Row],[FOMP_Parameter_type]]</f>
        <v>P07_output_carbon_id</v>
      </c>
      <c r="J18" s="138" t="s">
        <v>203</v>
      </c>
      <c r="K18" s="7" t="s">
        <v>1113</v>
      </c>
    </row>
    <row r="19" spans="1:11" x14ac:dyDescent="0.25">
      <c r="A19" s="142" t="b">
        <v>0</v>
      </c>
      <c r="B19" s="6">
        <f t="shared" si="0"/>
        <v>18</v>
      </c>
      <c r="C19" s="6" t="str">
        <f>_xlfn.XLOOKUP($D19,Tab_Def_Processes[Process_Name],Tab_Def_Processes[Process_ID],,0,)</f>
        <v>07</v>
      </c>
      <c r="D19" s="138" t="s">
        <v>1081</v>
      </c>
      <c r="E19" s="6" t="str">
        <f>_xlfn.XLOOKUP($D19,Tab_Def_Processes[Process_Name],Tab_Def_Processes[Process_Logic],,0,)</f>
        <v>FOMP</v>
      </c>
      <c r="F19" s="6" t="str">
        <f>_xlfn.XLOOKUP($D19,Tab_Def_Processes[Process_Name],Tab_Def_Processes[TC_Configuration],,0,)</f>
        <v>No TC</v>
      </c>
      <c r="G19" s="6" t="str">
        <f>_xlfn.XLOOKUP($D19,Tab_Def_Processes[Process_Name],Tab_Def_Processes[Stock_Configuration],,0,)</f>
        <v>Stock</v>
      </c>
      <c r="H19" s="6">
        <f>_xlfn.XLOOKUP(Tab_FOMP[[#This Row],[Process_Name]],Tab_Def_Processes[Process_Name],Tab_Def_Processes[Outflow_count],,0,)</f>
        <v>2</v>
      </c>
      <c r="I19" s="6" t="str">
        <f>"P"&amp;Tab_FOMP[[#This Row],[Process_ID]]&amp;"_"&amp;Tab_FOMP[[#This Row],[FOMP_Parameter_type]]</f>
        <v>P07_output_environmental_id</v>
      </c>
      <c r="J19" s="138" t="s">
        <v>206</v>
      </c>
      <c r="K19" s="7" t="s">
        <v>1114</v>
      </c>
    </row>
    <row r="20" spans="1:11" x14ac:dyDescent="0.25">
      <c r="A20" s="142" t="b">
        <v>0</v>
      </c>
      <c r="B20" s="6">
        <f t="shared" si="0"/>
        <v>19</v>
      </c>
      <c r="C20" s="6" t="str">
        <f>_xlfn.XLOOKUP($D20,Tab_Def_Processes[Process_Name],Tab_Def_Processes[Process_ID],,0,)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P13_</v>
      </c>
      <c r="J20" s="138"/>
      <c r="K20" s="7"/>
    </row>
    <row r="21" spans="1:11" x14ac:dyDescent="0.25">
      <c r="A21" s="142" t="b">
        <v>0</v>
      </c>
      <c r="B21" s="6">
        <f t="shared" si="0"/>
        <v>20</v>
      </c>
      <c r="C21" s="6" t="str">
        <f>_xlfn.XLOOKUP($D21,Tab_Def_Processes[Process_Name],Tab_Def_Processes[Process_ID],,0,)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P13_</v>
      </c>
      <c r="J21" s="138"/>
      <c r="K21" s="7"/>
    </row>
    <row r="22" spans="1:11" x14ac:dyDescent="0.25">
      <c r="A22" s="142" t="b">
        <v>0</v>
      </c>
      <c r="B22" s="6">
        <f t="shared" si="0"/>
        <v>21</v>
      </c>
      <c r="C22" s="6" t="str">
        <f>_xlfn.XLOOKUP($D22,Tab_Def_Processes[Process_Name],Tab_Def_Processes[Process_ID],,0,)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P13_</v>
      </c>
      <c r="J22" s="138"/>
      <c r="K22" s="7"/>
    </row>
    <row r="23" spans="1:11" x14ac:dyDescent="0.25">
      <c r="A23" s="142" t="b">
        <v>0</v>
      </c>
      <c r="B23" s="6">
        <f t="shared" si="0"/>
        <v>22</v>
      </c>
      <c r="C23" s="6" t="str">
        <f>_xlfn.XLOOKUP($D23,Tab_Def_Processes[Process_Name],Tab_Def_Processes[Process_ID],,0,)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P13_</v>
      </c>
      <c r="J23" s="138"/>
      <c r="K23" s="7"/>
    </row>
    <row r="24" spans="1:11" x14ac:dyDescent="0.25">
      <c r="A24" s="142" t="b">
        <v>0</v>
      </c>
      <c r="B24" s="6">
        <f t="shared" si="0"/>
        <v>23</v>
      </c>
      <c r="C24" s="6" t="str">
        <f>_xlfn.XLOOKUP($D24,Tab_Def_Processes[Process_Name],Tab_Def_Processes[Process_ID],,0,)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P13_</v>
      </c>
      <c r="J24" s="138"/>
      <c r="K24" s="7"/>
    </row>
    <row r="25" spans="1:11" x14ac:dyDescent="0.25">
      <c r="A25" s="142" t="b">
        <v>0</v>
      </c>
      <c r="B25" s="6">
        <f t="shared" si="0"/>
        <v>24</v>
      </c>
      <c r="C25" s="6" t="str">
        <f>_xlfn.XLOOKUP($D25,Tab_Def_Processes[Process_Name],Tab_Def_Processes[Process_ID],,0,)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P13_</v>
      </c>
      <c r="J25" s="138"/>
      <c r="K25" s="7"/>
    </row>
    <row r="26" spans="1:11" x14ac:dyDescent="0.25">
      <c r="A26" s="142" t="b">
        <v>0</v>
      </c>
      <c r="B26" s="6">
        <f t="shared" si="0"/>
        <v>25</v>
      </c>
      <c r="C26" s="6" t="str">
        <f>_xlfn.XLOOKUP($D26,Tab_Def_Processes[Process_Name],Tab_Def_Processes[Process_ID],,0,)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P13_</v>
      </c>
      <c r="J26" s="138"/>
      <c r="K26" s="7"/>
    </row>
    <row r="27" spans="1:11" x14ac:dyDescent="0.25">
      <c r="A27" s="142" t="b">
        <v>0</v>
      </c>
      <c r="B27" s="6">
        <f t="shared" si="0"/>
        <v>26</v>
      </c>
      <c r="C27" s="6" t="str">
        <f>_xlfn.XLOOKUP($D27,Tab_Def_Processes[Process_Name],Tab_Def_Processes[Process_ID],,0,)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P13_</v>
      </c>
      <c r="J27" s="138"/>
      <c r="K27" s="7"/>
    </row>
    <row r="28" spans="1:11" x14ac:dyDescent="0.25">
      <c r="A28" s="142" t="b">
        <v>0</v>
      </c>
      <c r="B28" s="6">
        <f t="shared" si="0"/>
        <v>27</v>
      </c>
      <c r="C28" s="6" t="str">
        <f>_xlfn.XLOOKUP($D28,Tab_Def_Processes[Process_Name],Tab_Def_Processes[Process_ID],,0,)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P13_</v>
      </c>
      <c r="J28" s="138"/>
      <c r="K28" s="7"/>
    </row>
    <row r="29" spans="1:11" x14ac:dyDescent="0.25">
      <c r="A29" s="142" t="b">
        <v>0</v>
      </c>
      <c r="B29" s="6">
        <f t="shared" si="0"/>
        <v>28</v>
      </c>
      <c r="C29" s="6" t="str">
        <f>_xlfn.XLOOKUP($D29,Tab_Def_Processes[Process_Name],Tab_Def_Processes[Process_ID],,0,)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P13_</v>
      </c>
      <c r="J29" s="138"/>
      <c r="K29" s="7"/>
    </row>
    <row r="30" spans="1:11" x14ac:dyDescent="0.25">
      <c r="A30" s="142" t="b">
        <v>0</v>
      </c>
      <c r="B30" s="6">
        <f t="shared" si="0"/>
        <v>29</v>
      </c>
      <c r="C30" s="6" t="str">
        <f>_xlfn.XLOOKUP($D30,Tab_Def_Processes[Process_Name],Tab_Def_Processes[Process_ID],,0,)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P13_</v>
      </c>
      <c r="J30" s="138"/>
      <c r="K30" s="7"/>
    </row>
    <row r="31" spans="1:11" x14ac:dyDescent="0.25">
      <c r="A31" s="142" t="b">
        <v>0</v>
      </c>
      <c r="B31" s="6">
        <f t="shared" si="0"/>
        <v>30</v>
      </c>
      <c r="C31" s="6" t="str">
        <f>_xlfn.XLOOKUP($D31,Tab_Def_Processes[Process_Name],Tab_Def_Processes[Process_ID],,0,)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P13_</v>
      </c>
      <c r="J31" s="138"/>
      <c r="K31" s="7"/>
    </row>
    <row r="32" spans="1:11" x14ac:dyDescent="0.25">
      <c r="A32" s="142" t="b">
        <v>0</v>
      </c>
      <c r="B32" s="6">
        <f t="shared" si="0"/>
        <v>31</v>
      </c>
      <c r="C32" s="6" t="str">
        <f>_xlfn.XLOOKUP($D32,Tab_Def_Processes[Process_Name],Tab_Def_Processes[Process_ID],,0,)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P13_</v>
      </c>
      <c r="J32" s="138"/>
      <c r="K32" s="7"/>
    </row>
    <row r="33" spans="1:11" x14ac:dyDescent="0.25">
      <c r="A33" s="142" t="b">
        <v>0</v>
      </c>
      <c r="B33" s="6">
        <f t="shared" si="0"/>
        <v>32</v>
      </c>
      <c r="C33" s="6" t="str">
        <f>_xlfn.XLOOKUP($D33,Tab_Def_Processes[Process_Name],Tab_Def_Processes[Process_ID],,0,)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P13_</v>
      </c>
      <c r="J33" s="138"/>
      <c r="K33" s="7"/>
    </row>
    <row r="34" spans="1:11" x14ac:dyDescent="0.25">
      <c r="A34" s="142" t="b">
        <v>0</v>
      </c>
      <c r="B34" s="6">
        <f t="shared" si="0"/>
        <v>33</v>
      </c>
      <c r="C34" s="6" t="str">
        <f>_xlfn.XLOOKUP($D34,Tab_Def_Processes[Process_Name],Tab_Def_Processes[Process_ID],,0,)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P13_</v>
      </c>
      <c r="J34" s="138"/>
      <c r="K34" s="7"/>
    </row>
    <row r="35" spans="1:11" x14ac:dyDescent="0.25">
      <c r="A35" s="142" t="b">
        <v>0</v>
      </c>
      <c r="B35" s="6">
        <f t="shared" si="0"/>
        <v>34</v>
      </c>
      <c r="C35" s="6" t="str">
        <f>_xlfn.XLOOKUP($D35,Tab_Def_Processes[Process_Name],Tab_Def_Processes[Process_ID],,0,)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P13_</v>
      </c>
      <c r="J35" s="138"/>
      <c r="K35" s="7"/>
    </row>
    <row r="36" spans="1:11" x14ac:dyDescent="0.25">
      <c r="A36" s="142" t="b">
        <v>0</v>
      </c>
      <c r="B36" s="6">
        <f t="shared" si="0"/>
        <v>35</v>
      </c>
      <c r="C36" s="6" t="str">
        <f>_xlfn.XLOOKUP($D36,Tab_Def_Processes[Process_Name],Tab_Def_Processes[Process_ID],,0,)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P13_</v>
      </c>
      <c r="J36" s="138"/>
      <c r="K36" s="7"/>
    </row>
    <row r="37" spans="1:11" x14ac:dyDescent="0.25">
      <c r="A37" s="142" t="b">
        <v>0</v>
      </c>
      <c r="B37" s="6">
        <f t="shared" si="0"/>
        <v>36</v>
      </c>
      <c r="C37" s="6" t="str">
        <f>_xlfn.XLOOKUP($D37,Tab_Def_Processes[Process_Name],Tab_Def_Processes[Process_ID],,0,)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P13_</v>
      </c>
      <c r="J37" s="138"/>
      <c r="K37" s="7"/>
    </row>
    <row r="38" spans="1:11" x14ac:dyDescent="0.25">
      <c r="A38" s="142" t="b">
        <v>0</v>
      </c>
      <c r="B38" s="6">
        <f t="shared" si="0"/>
        <v>37</v>
      </c>
      <c r="C38" s="6" t="str">
        <f>_xlfn.XLOOKUP($D38,Tab_Def_Processes[Process_Name],Tab_Def_Processes[Process_ID],,0,)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P13_</v>
      </c>
      <c r="J38" s="138"/>
      <c r="K38" s="7"/>
    </row>
    <row r="39" spans="1:11" x14ac:dyDescent="0.25">
      <c r="A39" s="142" t="b">
        <v>0</v>
      </c>
      <c r="B39" s="6">
        <f t="shared" si="0"/>
        <v>38</v>
      </c>
      <c r="C39" s="6" t="str">
        <f>_xlfn.XLOOKUP($D39,Tab_Def_Processes[Process_Name],Tab_Def_Processes[Process_ID],,0,)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P13_</v>
      </c>
      <c r="J39" s="138"/>
      <c r="K39" s="7"/>
    </row>
    <row r="40" spans="1:11" x14ac:dyDescent="0.25">
      <c r="A40" s="142" t="b">
        <v>0</v>
      </c>
      <c r="B40" s="6">
        <f t="shared" si="0"/>
        <v>39</v>
      </c>
      <c r="C40" s="6" t="str">
        <f>_xlfn.XLOOKUP($D40,Tab_Def_Processes[Process_Name],Tab_Def_Processes[Process_ID],,0,)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P13_</v>
      </c>
      <c r="J40" s="138"/>
      <c r="K40" s="7"/>
    </row>
    <row r="41" spans="1:11" x14ac:dyDescent="0.25">
      <c r="A41" s="142" t="b">
        <v>0</v>
      </c>
      <c r="B41" s="136">
        <f t="shared" si="0"/>
        <v>40</v>
      </c>
      <c r="C41" s="136" t="str">
        <f>_xlfn.XLOOKUP($D41,Tab_Def_Processes[Process_Name],Tab_Def_Processes[Process_ID],,0,)</f>
        <v>13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D22" sqref="D2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999</v>
      </c>
      <c r="C1" s="141" t="s">
        <v>189</v>
      </c>
      <c r="D1" s="141" t="s">
        <v>173</v>
      </c>
      <c r="E1" s="141" t="s">
        <v>1006</v>
      </c>
      <c r="F1" s="141" t="s">
        <v>175</v>
      </c>
      <c r="G1" s="141" t="s">
        <v>176</v>
      </c>
      <c r="H1" s="141" t="s">
        <v>177</v>
      </c>
      <c r="I1" s="141" t="s">
        <v>178</v>
      </c>
      <c r="J1" s="141" t="s">
        <v>179</v>
      </c>
    </row>
    <row r="2" spans="1:10" x14ac:dyDescent="0.25">
      <c r="A2" s="6">
        <f>ROW()-1</f>
        <v>1</v>
      </c>
      <c r="B2" s="138" t="s">
        <v>191</v>
      </c>
      <c r="C2" s="138" t="s">
        <v>207</v>
      </c>
      <c r="D2" s="138" t="s">
        <v>1115</v>
      </c>
      <c r="E2" s="138" t="s">
        <v>1003</v>
      </c>
      <c r="F2" s="7"/>
      <c r="G2" s="7"/>
      <c r="H2" s="7">
        <v>0.6</v>
      </c>
      <c r="I2" s="7">
        <v>0.8</v>
      </c>
      <c r="J2" s="7"/>
    </row>
    <row r="3" spans="1:10" x14ac:dyDescent="0.25">
      <c r="A3" s="6">
        <f t="shared" ref="A3:A13" si="0">ROW()-1</f>
        <v>2</v>
      </c>
      <c r="B3" s="138" t="s">
        <v>191</v>
      </c>
      <c r="C3" s="138" t="s">
        <v>208</v>
      </c>
      <c r="D3" s="138" t="s">
        <v>1116</v>
      </c>
      <c r="E3" s="138" t="s">
        <v>172</v>
      </c>
      <c r="F3" s="7">
        <v>0.5</v>
      </c>
      <c r="G3" s="7">
        <v>0.1</v>
      </c>
      <c r="H3" s="7"/>
      <c r="I3" s="7"/>
      <c r="J3" s="7"/>
    </row>
    <row r="4" spans="1:10" x14ac:dyDescent="0.25">
      <c r="A4" s="6">
        <f t="shared" si="0"/>
        <v>3</v>
      </c>
      <c r="B4" s="138" t="s">
        <v>191</v>
      </c>
      <c r="C4" s="138" t="s">
        <v>209</v>
      </c>
      <c r="D4" s="138" t="s">
        <v>1117</v>
      </c>
      <c r="E4" s="138" t="s">
        <v>1003</v>
      </c>
      <c r="F4" s="7"/>
      <c r="G4" s="7">
        <v>0</v>
      </c>
      <c r="H4" s="7">
        <v>0.2</v>
      </c>
      <c r="I4" s="7">
        <v>0.4</v>
      </c>
      <c r="J4" s="7"/>
    </row>
    <row r="5" spans="1:10" x14ac:dyDescent="0.25">
      <c r="A5" s="6">
        <f t="shared" si="0"/>
        <v>4</v>
      </c>
      <c r="B5" s="138" t="s">
        <v>191</v>
      </c>
      <c r="C5" s="138" t="s">
        <v>210</v>
      </c>
      <c r="D5" s="138" t="s">
        <v>1118</v>
      </c>
      <c r="E5" s="138" t="s">
        <v>172</v>
      </c>
      <c r="F5" s="7">
        <v>2.5000000000000001E-2</v>
      </c>
      <c r="G5" s="7">
        <v>5.000000000000001E-3</v>
      </c>
      <c r="H5" s="7"/>
      <c r="I5" s="7"/>
      <c r="J5" s="7"/>
    </row>
    <row r="6" spans="1:10" x14ac:dyDescent="0.25">
      <c r="A6" s="6">
        <f t="shared" si="0"/>
        <v>5</v>
      </c>
      <c r="B6" s="138" t="s">
        <v>191</v>
      </c>
      <c r="C6" s="138" t="s">
        <v>207</v>
      </c>
      <c r="D6" s="138" t="s">
        <v>1119</v>
      </c>
      <c r="E6" s="138" t="s">
        <v>1003</v>
      </c>
      <c r="F6" s="7"/>
      <c r="G6" s="7">
        <v>0</v>
      </c>
      <c r="H6" s="7">
        <v>0.3</v>
      </c>
      <c r="I6" s="7">
        <v>0.15</v>
      </c>
      <c r="J6" s="7"/>
    </row>
    <row r="7" spans="1:10" x14ac:dyDescent="0.25">
      <c r="A7" s="6">
        <f t="shared" si="0"/>
        <v>6</v>
      </c>
      <c r="B7" s="138" t="s">
        <v>191</v>
      </c>
      <c r="C7" s="138" t="s">
        <v>208</v>
      </c>
      <c r="D7" s="138" t="s">
        <v>1120</v>
      </c>
      <c r="E7" s="138" t="s">
        <v>172</v>
      </c>
      <c r="F7" s="7">
        <v>0.5</v>
      </c>
      <c r="G7" s="7">
        <v>0.1</v>
      </c>
      <c r="H7" s="7"/>
      <c r="I7" s="7"/>
      <c r="J7" s="7"/>
    </row>
    <row r="8" spans="1:10" x14ac:dyDescent="0.25">
      <c r="A8" s="6">
        <f t="shared" si="0"/>
        <v>7</v>
      </c>
      <c r="B8" s="138" t="s">
        <v>191</v>
      </c>
      <c r="C8" s="138" t="s">
        <v>209</v>
      </c>
      <c r="D8" s="138" t="s">
        <v>1121</v>
      </c>
      <c r="E8" s="138" t="s">
        <v>1003</v>
      </c>
      <c r="F8" s="7"/>
      <c r="G8" s="7">
        <v>0</v>
      </c>
      <c r="H8" s="7">
        <v>0.7</v>
      </c>
      <c r="I8" s="7">
        <v>0.85</v>
      </c>
      <c r="J8" s="7"/>
    </row>
    <row r="9" spans="1:10" x14ac:dyDescent="0.25">
      <c r="A9" s="6">
        <f t="shared" si="0"/>
        <v>8</v>
      </c>
      <c r="B9" s="138" t="s">
        <v>191</v>
      </c>
      <c r="C9" s="138" t="s">
        <v>210</v>
      </c>
      <c r="D9" s="138" t="s">
        <v>1122</v>
      </c>
      <c r="E9" s="138" t="s">
        <v>172</v>
      </c>
      <c r="F9" s="7">
        <v>2.5000000000000001E-2</v>
      </c>
      <c r="G9" s="7">
        <v>5.000000000000001E-3</v>
      </c>
      <c r="H9" s="7"/>
      <c r="I9" s="7"/>
      <c r="J9" s="7"/>
    </row>
    <row r="10" spans="1:10" x14ac:dyDescent="0.25">
      <c r="A10" s="6">
        <f>ROW()-1</f>
        <v>9</v>
      </c>
      <c r="B10" s="138" t="s">
        <v>191</v>
      </c>
      <c r="C10" s="138" t="s">
        <v>207</v>
      </c>
      <c r="D10" s="138" t="s">
        <v>1123</v>
      </c>
      <c r="E10" s="138" t="s">
        <v>1003</v>
      </c>
      <c r="F10" s="7"/>
      <c r="G10" s="7"/>
      <c r="H10" s="7">
        <v>0.15</v>
      </c>
      <c r="I10" s="7">
        <v>0.03</v>
      </c>
      <c r="J10" s="7"/>
    </row>
    <row r="11" spans="1:10" x14ac:dyDescent="0.25">
      <c r="A11" s="6">
        <f t="shared" si="0"/>
        <v>10</v>
      </c>
      <c r="B11" s="138" t="s">
        <v>191</v>
      </c>
      <c r="C11" s="138" t="s">
        <v>208</v>
      </c>
      <c r="D11" s="138" t="s">
        <v>1124</v>
      </c>
      <c r="E11" s="138" t="s">
        <v>172</v>
      </c>
      <c r="F11" s="7">
        <v>0.5</v>
      </c>
      <c r="G11" s="7">
        <v>0.1</v>
      </c>
      <c r="H11" s="7"/>
      <c r="I11" s="7"/>
      <c r="J11" s="7"/>
    </row>
    <row r="12" spans="1:10" x14ac:dyDescent="0.25">
      <c r="A12" s="6">
        <f t="shared" si="0"/>
        <v>11</v>
      </c>
      <c r="B12" s="138" t="s">
        <v>191</v>
      </c>
      <c r="C12" s="138" t="s">
        <v>209</v>
      </c>
      <c r="D12" s="138" t="s">
        <v>1125</v>
      </c>
      <c r="E12" s="138" t="s">
        <v>1003</v>
      </c>
      <c r="F12" s="7"/>
      <c r="G12" s="7">
        <v>0</v>
      </c>
      <c r="H12" s="7">
        <v>0.85</v>
      </c>
      <c r="I12" s="7">
        <v>0.97</v>
      </c>
      <c r="J12" s="7"/>
    </row>
    <row r="13" spans="1:10" x14ac:dyDescent="0.25">
      <c r="A13" s="6">
        <f t="shared" si="0"/>
        <v>12</v>
      </c>
      <c r="B13" s="138" t="s">
        <v>191</v>
      </c>
      <c r="C13" s="138" t="s">
        <v>210</v>
      </c>
      <c r="D13" s="138" t="s">
        <v>1126</v>
      </c>
      <c r="E13" s="138" t="s">
        <v>172</v>
      </c>
      <c r="F13" s="7">
        <v>1.4E-3</v>
      </c>
      <c r="G13" s="7">
        <v>2.8000000000000003E-4</v>
      </c>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218</v>
      </c>
      <c r="C1" s="141" t="s">
        <v>998</v>
      </c>
      <c r="D1" s="141" t="s">
        <v>189</v>
      </c>
      <c r="E1" s="141" t="s">
        <v>173</v>
      </c>
      <c r="F1" s="141" t="s">
        <v>213</v>
      </c>
      <c r="G1" s="141" t="s">
        <v>190</v>
      </c>
      <c r="H1" s="141" t="s">
        <v>436</v>
      </c>
      <c r="I1" s="141" t="s">
        <v>437</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I55" sqref="I5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371</v>
      </c>
      <c r="F1" s="141" t="s">
        <v>255</v>
      </c>
      <c r="G1" s="141" t="s">
        <v>256</v>
      </c>
      <c r="H1" s="141" t="s">
        <v>391</v>
      </c>
      <c r="I1" s="141" t="s">
        <v>392</v>
      </c>
      <c r="J1" s="141" t="s">
        <v>393</v>
      </c>
      <c r="K1" s="141" t="s">
        <v>396</v>
      </c>
      <c r="L1" s="141" t="s">
        <v>394</v>
      </c>
      <c r="M1" s="141" t="s">
        <v>397</v>
      </c>
      <c r="N1" s="141" t="s">
        <v>395</v>
      </c>
      <c r="O1" s="141" t="s">
        <v>398</v>
      </c>
      <c r="P1" s="141" t="s">
        <v>4</v>
      </c>
    </row>
    <row r="2" spans="1:16" x14ac:dyDescent="0.25">
      <c r="A2" s="155" t="b">
        <v>0</v>
      </c>
      <c r="B2" s="6">
        <f t="shared" ref="B2:B47" si="0">ROW()-1</f>
        <v>1</v>
      </c>
      <c r="C2" s="20" t="str">
        <f>_xlfn.XLOOKUP($D2,Tab_Def_Processes[Process_Name],Tab_Def_Processes[ID],,0,)</f>
        <v>00</v>
      </c>
      <c r="D2" s="6" t="str">
        <f>Tab_Def_Processes[[#This Row],[Process_Name]]</f>
        <v>Atmosphere</v>
      </c>
      <c r="E2" s="156" t="s">
        <v>282</v>
      </c>
      <c r="F2" s="156" t="s">
        <v>283</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str">
        <f>_xlfn.XLOOKUP($D3,Tab_Def_Processes[Process_Name],Tab_Def_Processes[ID],,0,)</f>
        <v>01</v>
      </c>
      <c r="D3" s="6" t="str">
        <f>Tab_Def_Processes[[#This Row],[Process_Name]]</f>
        <v>Environment</v>
      </c>
      <c r="E3" s="156" t="s">
        <v>282</v>
      </c>
      <c r="F3" s="156" t="s">
        <v>299</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str">
        <f>_xlfn.XLOOKUP($D4,Tab_Def_Processes[Process_Name],Tab_Def_Processes[ID],,0,)</f>
        <v>02</v>
      </c>
      <c r="D4" s="6" t="str">
        <f>Tab_Def_Processes[[#This Row],[Process_Name]]</f>
        <v>Cultivation</v>
      </c>
      <c r="E4" s="156" t="s">
        <v>282</v>
      </c>
      <c r="F4" s="156" t="s">
        <v>299</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str">
        <f>_xlfn.XLOOKUP($D5,Tab_Def_Processes[Process_Name],Tab_Def_Processes[ID],,0,)</f>
        <v>03</v>
      </c>
      <c r="D5" s="6" t="str">
        <f>Tab_Def_Processes[[#This Row],[Process_Name]]</f>
        <v>Harvest</v>
      </c>
      <c r="E5" s="156" t="s">
        <v>282</v>
      </c>
      <c r="F5" s="156" t="s">
        <v>299</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str">
        <f>_xlfn.XLOOKUP($D6,Tab_Def_Processes[Process_Name],Tab_Def_Processes[ID],,0,)</f>
        <v>04</v>
      </c>
      <c r="D6" s="6" t="str">
        <f>Tab_Def_Processes[[#This Row],[Process_Name]]</f>
        <v>Grain Processing &amp; Consumption</v>
      </c>
      <c r="E6" s="156" t="s">
        <v>282</v>
      </c>
      <c r="F6" s="156" t="s">
        <v>299</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str">
        <f>_xlfn.XLOOKUP($D7,Tab_Def_Processes[Process_Name],Tab_Def_Processes[ID],,0,)</f>
        <v>05</v>
      </c>
      <c r="D7" s="6" t="str">
        <f>Tab_Def_Processes[[#This Row],[Process_Name]]</f>
        <v>Straw Collection &amp; Distribution</v>
      </c>
      <c r="E7" s="156" t="s">
        <v>282</v>
      </c>
      <c r="F7" s="156" t="s">
        <v>299</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str">
        <f>_xlfn.XLOOKUP($D8,Tab_Def_Processes[Process_Name],Tab_Def_Processes[ID],,0,)</f>
        <v>06</v>
      </c>
      <c r="D8" s="6" t="str">
        <f>Tab_Def_Processes[[#This Row],[Process_Name]]</f>
        <v>Direct Incorporation</v>
      </c>
      <c r="E8" s="156" t="s">
        <v>282</v>
      </c>
      <c r="F8" s="156" t="s">
        <v>299</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str">
        <f>_xlfn.XLOOKUP($D9,Tab_Def_Processes[Process_Name],Tab_Def_Processes[ID],,0,)</f>
        <v>07</v>
      </c>
      <c r="D9" s="6" t="str">
        <f>Tab_Def_Processes[[#This Row],[Process_Name]]</f>
        <v>Lithosphere (P&amp;I)</v>
      </c>
      <c r="E9" s="156" t="s">
        <v>282</v>
      </c>
      <c r="F9" s="156" t="s">
        <v>295</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str">
        <f>_xlfn.XLOOKUP($D10,Tab_Def_Processes[Process_Name],Tab_Def_Processes[ID],,0,)</f>
        <v>08</v>
      </c>
      <c r="D10" s="6" t="str">
        <f>Tab_Def_Processes[[#This Row],[Process_Name]]</f>
        <v>Lithosphere (I)</v>
      </c>
      <c r="E10" s="156" t="s">
        <v>282</v>
      </c>
      <c r="F10" s="156" t="s">
        <v>299</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str">
        <f>_xlfn.XLOOKUP($D11,Tab_Def_Processes[Process_Name],Tab_Def_Processes[ID],,0,)</f>
        <v>09</v>
      </c>
      <c r="D11" s="6" t="str">
        <f>Tab_Def_Processes[[#This Row],[Process_Name]]</f>
        <v>Composting &amp; Incorporation</v>
      </c>
      <c r="E11" s="156" t="s">
        <v>282</v>
      </c>
      <c r="F11" s="156" t="s">
        <v>316</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str">
        <f>_xlfn.XLOOKUP($D12,Tab_Def_Processes[Process_Name],Tab_Def_Processes[ID],,0,)</f>
        <v>10</v>
      </c>
      <c r="D12" s="6" t="str">
        <f>Tab_Def_Processes[[#This Row],[Process_Name]]</f>
        <v>Lithosphere (C&amp;I)</v>
      </c>
      <c r="E12" s="156" t="s">
        <v>282</v>
      </c>
      <c r="F12" s="156" t="s">
        <v>295</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str">
        <f>_xlfn.XLOOKUP($D13,Tab_Def_Processes[Process_Name],Tab_Def_Processes[ID],,0,)</f>
        <v>11</v>
      </c>
      <c r="D13" s="6" t="str">
        <f>Tab_Def_Processes[[#This Row],[Process_Name]]</f>
        <v>Water_Composting</v>
      </c>
      <c r="E13" s="156" t="s">
        <v>337</v>
      </c>
      <c r="F13" s="156" t="s">
        <v>295</v>
      </c>
      <c r="G13" s="6" t="str">
        <f>_xlfn.XLOOKUP($F13,Table32[Color_Name],Table32[Hex_Code],,0,)</f>
        <v>#8B4513</v>
      </c>
      <c r="H13" s="7"/>
      <c r="I13" s="7"/>
      <c r="J13" s="7"/>
      <c r="K13" s="7"/>
      <c r="L13" s="7"/>
      <c r="M13" s="7"/>
      <c r="N13" s="7"/>
      <c r="O13" s="7"/>
      <c r="P13" s="7"/>
    </row>
    <row r="14" spans="1:16" x14ac:dyDescent="0.25">
      <c r="A14" s="155" t="b">
        <v>0</v>
      </c>
      <c r="B14" s="6">
        <f t="shared" si="0"/>
        <v>13</v>
      </c>
      <c r="C14" s="20" t="str">
        <f>_xlfn.XLOOKUP($D14,Tab_Def_Processes[Process_Name],Tab_Def_Processes[ID],,0,)</f>
        <v>12</v>
      </c>
      <c r="D14" s="6" t="str">
        <f>Tab_Def_Processes[[#This Row],[Process_Name]]</f>
        <v>Pyrolysis</v>
      </c>
      <c r="E14" s="156" t="s">
        <v>337</v>
      </c>
      <c r="F14" s="156" t="s">
        <v>295</v>
      </c>
      <c r="G14" s="6" t="str">
        <f>_xlfn.XLOOKUP($F14,Table32[Color_Name],Table32[Hex_Code],,0,)</f>
        <v>#8B4513</v>
      </c>
      <c r="H14" s="7"/>
      <c r="I14" s="7"/>
      <c r="J14" s="7"/>
      <c r="K14" s="7"/>
      <c r="L14" s="7"/>
      <c r="M14" s="7"/>
      <c r="N14" s="7"/>
      <c r="O14" s="7"/>
      <c r="P14" s="7"/>
    </row>
    <row r="15" spans="1:16" x14ac:dyDescent="0.25">
      <c r="A15" s="155" t="b">
        <v>0</v>
      </c>
      <c r="B15" s="6">
        <f t="shared" si="0"/>
        <v>14</v>
      </c>
      <c r="C15" s="20" t="e">
        <f>_xlfn.XLOOKUP($D15,Tab_Def_Processes[Process_Name],Tab_Def_Processes[ID],,0,)</f>
        <v>#N/A</v>
      </c>
      <c r="D15" s="6">
        <f>Tab_Def_Processes[[#This Row],[Process_Name]]</f>
        <v>0</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e">
        <f>_xlfn.XLOOKUP($D16,Tab_Def_Processes[Process_Name],Tab_Def_Processes[ID],,0,)</f>
        <v>#N/A</v>
      </c>
      <c r="D16" s="6">
        <f>Tab_Def_Processes[[#This Row],[Process_Name]]</f>
        <v>0</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e">
        <f>_xlfn.XLOOKUP($D17,Tab_Def_Processes[Process_Name],Tab_Def_Processes[ID],,0,)</f>
        <v>#N/A</v>
      </c>
      <c r="D17" s="6">
        <f>Tab_Def_Processes[[#This Row],[Process_Name]]</f>
        <v>0</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e">
        <f>_xlfn.XLOOKUP($D18,Tab_Def_Processes[Process_Name],Tab_Def_Processes[ID],,0,)</f>
        <v>#N/A</v>
      </c>
      <c r="D18" s="6">
        <f>Tab_Def_Processes[[#This Row],[Process_Name]]</f>
        <v>0</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e">
        <f>_xlfn.XLOOKUP($D19,Tab_Def_Processes[Process_Name],Tab_Def_Processes[ID],,0,)</f>
        <v>#N/A</v>
      </c>
      <c r="D19" s="6">
        <f>Tab_Def_Processes[[#This Row],[Process_Name]]</f>
        <v>0</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e">
        <f>_xlfn.XLOOKUP($D20,Tab_Def_Processes[Process_Name],Tab_Def_Processes[ID],,0,)</f>
        <v>#N/A</v>
      </c>
      <c r="D20" s="6">
        <f>Tab_Def_Processes[[#This Row],[Process_Name]]</f>
        <v>0</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e">
        <f>_xlfn.XLOOKUP($D21,Tab_Def_Processes[Process_Name],Tab_Def_Processes[ID],,0,)</f>
        <v>#N/A</v>
      </c>
      <c r="D21" s="6">
        <f>Tab_Def_Processes[[#This Row],[Process_Name]]</f>
        <v>0</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e">
        <f>_xlfn.XLOOKUP($D22,Tab_Def_Processes[Process_Name],Tab_Def_Processes[ID],,0,)</f>
        <v>#N/A</v>
      </c>
      <c r="D22" s="6">
        <f>Tab_Def_Processes[[#This Row],[Process_Name]]</f>
        <v>0</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e">
        <f>_xlfn.XLOOKUP($D23,Tab_Def_Processes[Process_Name],Tab_Def_Processes[ID],,0,)</f>
        <v>#N/A</v>
      </c>
      <c r="D23" s="6">
        <f>Tab_Def_Processes[[#This Row],[Process_Name]]</f>
        <v>0</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e">
        <f>_xlfn.XLOOKUP($D24,Tab_Def_Processes[Process_Name],Tab_Def_Processes[ID],,0,)</f>
        <v>#N/A</v>
      </c>
      <c r="D24" s="6">
        <f>Tab_Def_Processes[[#This Row],[Process_Name]]</f>
        <v>0</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K38" sqref="K38"/>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257</v>
      </c>
      <c r="E1" s="141" t="s">
        <v>372</v>
      </c>
      <c r="F1" s="141" t="s">
        <v>4</v>
      </c>
    </row>
    <row r="2" spans="1:6" x14ac:dyDescent="0.25">
      <c r="A2" s="8">
        <f>ROW()-1</f>
        <v>1</v>
      </c>
      <c r="B2" s="6" t="str">
        <f>_xlfn.XLOOKUP(C2,Tab_Def_Flows[Flow_Name],Tab_Def_Flows[Flow_ID],,0,)</f>
        <v>F_00_02</v>
      </c>
      <c r="C2" s="6" t="str">
        <f>Tab_Def_Flows[[#This Row],[Flow_Name]]</f>
        <v>Atmosphere_Input_C</v>
      </c>
      <c r="D2" s="138" t="s">
        <v>316</v>
      </c>
      <c r="E2" s="6" t="str">
        <f>_xlfn.XLOOKUP($D2,Table32[Color_Name],Table32[Hex_Code],,0,)</f>
        <v>#87CEEB</v>
      </c>
      <c r="F2" s="13"/>
    </row>
    <row r="3" spans="1:6" x14ac:dyDescent="0.25">
      <c r="A3" s="8">
        <f t="shared" ref="A3:A51" si="0">ROW()-1</f>
        <v>2</v>
      </c>
      <c r="B3" s="6" t="str">
        <f>_xlfn.XLOOKUP(C3,Tab_Def_Flows[Flow_Name],Tab_Def_Flows[Flow_ID],,0,)</f>
        <v>F_01_02</v>
      </c>
      <c r="C3" s="6" t="str">
        <f>Tab_Def_Flows[[#This Row],[Flow_Name]]</f>
        <v>Environment_Input_E</v>
      </c>
      <c r="D3" s="138" t="s">
        <v>283</v>
      </c>
      <c r="E3" s="6" t="str">
        <f>_xlfn.XLOOKUP($D3,Table32[Color_Name],Table32[Hex_Code],,0,)</f>
        <v>#228B22</v>
      </c>
      <c r="F3" s="13"/>
    </row>
    <row r="4" spans="1:6" x14ac:dyDescent="0.25">
      <c r="A4" s="8">
        <f t="shared" si="0"/>
        <v>3</v>
      </c>
      <c r="B4" s="6" t="str">
        <f>_xlfn.XLOOKUP(C4,Tab_Def_Flows[Flow_Name],Tab_Def_Flows[Flow_ID],,0,)</f>
        <v>F_02_03</v>
      </c>
      <c r="C4" s="6" t="str">
        <f>Tab_Def_Flows[[#This Row],[Flow_Name]]</f>
        <v>Wheat Plant</v>
      </c>
      <c r="D4" s="138" t="s">
        <v>299</v>
      </c>
      <c r="E4" s="6" t="str">
        <f>_xlfn.XLOOKUP($D4,Table32[Color_Name],Table32[Hex_Code],,0,)</f>
        <v>#F5DEB3</v>
      </c>
      <c r="F4" s="13"/>
    </row>
    <row r="5" spans="1:6" x14ac:dyDescent="0.25">
      <c r="A5" s="8">
        <f t="shared" si="0"/>
        <v>4</v>
      </c>
      <c r="B5" s="6" t="str">
        <f>_xlfn.XLOOKUP(C5,Tab_Def_Flows[Flow_Name],Tab_Def_Flows[Flow_ID],,0,)</f>
        <v>F_03_04</v>
      </c>
      <c r="C5" s="6" t="str">
        <f>Tab_Def_Flows[[#This Row],[Flow_Name]]</f>
        <v>Grain</v>
      </c>
      <c r="D5" s="138" t="s">
        <v>299</v>
      </c>
      <c r="E5" s="6" t="str">
        <f>_xlfn.XLOOKUP($D5,Table32[Color_Name],Table32[Hex_Code],,0,)</f>
        <v>#F5DEB3</v>
      </c>
      <c r="F5" s="13"/>
    </row>
    <row r="6" spans="1:6" x14ac:dyDescent="0.25">
      <c r="A6" s="8">
        <f t="shared" si="0"/>
        <v>5</v>
      </c>
      <c r="B6" s="6" t="str">
        <f>_xlfn.XLOOKUP(C6,Tab_Def_Flows[Flow_Name],Tab_Def_Flows[Flow_ID],,0,)</f>
        <v>F_03_05</v>
      </c>
      <c r="C6" s="6" t="str">
        <f>Tab_Def_Flows[[#This Row],[Flow_Name]]</f>
        <v>Straw</v>
      </c>
      <c r="D6" s="138" t="s">
        <v>299</v>
      </c>
      <c r="E6" s="6" t="str">
        <f>_xlfn.XLOOKUP($D6,Table32[Color_Name],Table32[Hex_Code],,0,)</f>
        <v>#F5DEB3</v>
      </c>
      <c r="F6" s="13"/>
    </row>
    <row r="7" spans="1:6" x14ac:dyDescent="0.25">
      <c r="A7" s="8">
        <f t="shared" si="0"/>
        <v>6</v>
      </c>
      <c r="B7" s="6" t="str">
        <f>_xlfn.XLOOKUP(C7,Tab_Def_Flows[Flow_Name],Tab_Def_Flows[Flow_ID],,0,)</f>
        <v>F_04_00</v>
      </c>
      <c r="C7" s="6" t="str">
        <f>Tab_Def_Flows[[#This Row],[Flow_Name]]</f>
        <v>Food_Emissions_C</v>
      </c>
      <c r="D7" s="138" t="s">
        <v>316</v>
      </c>
      <c r="E7" s="6" t="str">
        <f>_xlfn.XLOOKUP($D7,Table32[Color_Name],Table32[Hex_Code],,0,)</f>
        <v>#87CEEB</v>
      </c>
      <c r="F7" s="13"/>
    </row>
    <row r="8" spans="1:6" x14ac:dyDescent="0.25">
      <c r="A8" s="8">
        <f t="shared" si="0"/>
        <v>7</v>
      </c>
      <c r="B8" s="6" t="str">
        <f>_xlfn.XLOOKUP(C8,Tab_Def_Flows[Flow_Name],Tab_Def_Flows[Flow_ID],,0,)</f>
        <v>F_04_01</v>
      </c>
      <c r="C8" s="6" t="str">
        <f>Tab_Def_Flows[[#This Row],[Flow_Name]]</f>
        <v>Food_Emissions_E</v>
      </c>
      <c r="D8" s="138" t="s">
        <v>283</v>
      </c>
      <c r="E8" s="6" t="str">
        <f>_xlfn.XLOOKUP($D8,Table32[Color_Name],Table32[Hex_Code],,0,)</f>
        <v>#228B22</v>
      </c>
      <c r="F8" s="13"/>
    </row>
    <row r="9" spans="1:6" x14ac:dyDescent="0.25">
      <c r="A9" s="8">
        <f t="shared" si="0"/>
        <v>8</v>
      </c>
      <c r="B9" s="6" t="str">
        <f>_xlfn.XLOOKUP(C9,Tab_Def_Flows[Flow_Name],Tab_Def_Flows[Flow_ID],,0,)</f>
        <v>F_05_06</v>
      </c>
      <c r="C9" s="6" t="str">
        <f>Tab_Def_Flows[[#This Row],[Flow_Name]]</f>
        <v>Straw_incorperation</v>
      </c>
      <c r="D9" s="138" t="s">
        <v>299</v>
      </c>
      <c r="E9" s="6" t="str">
        <f>_xlfn.XLOOKUP($D9,Table32[Color_Name],Table32[Hex_Code],,0,)</f>
        <v>#F5DEB3</v>
      </c>
      <c r="F9" s="13"/>
    </row>
    <row r="10" spans="1:6" x14ac:dyDescent="0.25">
      <c r="A10" s="8">
        <f t="shared" si="0"/>
        <v>9</v>
      </c>
      <c r="B10" s="6" t="str">
        <f>_xlfn.XLOOKUP(C10,Tab_Def_Flows[Flow_Name],Tab_Def_Flows[Flow_ID],,0,)</f>
        <v>F_06_08</v>
      </c>
      <c r="C10" s="6" t="str">
        <f>Tab_Def_Flows[[#This Row],[Flow_Name]]</f>
        <v>Straw_lithosphere</v>
      </c>
      <c r="D10" s="138" t="s">
        <v>299</v>
      </c>
      <c r="E10" s="6" t="str">
        <f>_xlfn.XLOOKUP($D10,Table32[Color_Name],Table32[Hex_Code],,0,)</f>
        <v>#F5DEB3</v>
      </c>
      <c r="F10" s="13"/>
    </row>
    <row r="11" spans="1:6" x14ac:dyDescent="0.25">
      <c r="A11" s="8">
        <f t="shared" si="0"/>
        <v>10</v>
      </c>
      <c r="B11" s="6" t="str">
        <f>_xlfn.XLOOKUP(C11,Tab_Def_Flows[Flow_Name],Tab_Def_Flows[Flow_ID],,0,)</f>
        <v>F_05_12</v>
      </c>
      <c r="C11" s="6" t="str">
        <f>Tab_Def_Flows[[#This Row],[Flow_Name]]</f>
        <v>Straw_Pyrolisis</v>
      </c>
      <c r="D11" s="138" t="s">
        <v>299</v>
      </c>
      <c r="E11" s="6" t="str">
        <f>_xlfn.XLOOKUP($D11,Table32[Color_Name],Table32[Hex_Code],,0,)</f>
        <v>#F5DEB3</v>
      </c>
      <c r="F11" s="13"/>
    </row>
    <row r="12" spans="1:6" x14ac:dyDescent="0.25">
      <c r="A12" s="8">
        <f t="shared" si="0"/>
        <v>11</v>
      </c>
      <c r="B12" s="6" t="str">
        <f>_xlfn.XLOOKUP(C12,Tab_Def_Flows[Flow_Name],Tab_Def_Flows[Flow_ID],,0,)</f>
        <v>F_12_00</v>
      </c>
      <c r="C12" s="6" t="str">
        <f>Tab_Def_Flows[[#This Row],[Flow_Name]]</f>
        <v>Pyrolisis_Emissions_C</v>
      </c>
      <c r="D12" s="138" t="s">
        <v>316</v>
      </c>
      <c r="E12" s="6" t="str">
        <f>_xlfn.XLOOKUP($D12,Table32[Color_Name],Table32[Hex_Code],,0,)</f>
        <v>#87CEEB</v>
      </c>
      <c r="F12" s="13"/>
    </row>
    <row r="13" spans="1:6" x14ac:dyDescent="0.25">
      <c r="A13" s="8">
        <f t="shared" si="0"/>
        <v>12</v>
      </c>
      <c r="B13" s="6" t="str">
        <f>_xlfn.XLOOKUP(C13,Tab_Def_Flows[Flow_Name],Tab_Def_Flows[Flow_ID],,0,)</f>
        <v>F_12_01</v>
      </c>
      <c r="C13" s="6" t="str">
        <f>Tab_Def_Flows[[#This Row],[Flow_Name]]</f>
        <v>Pyrolisis_Emissions_E</v>
      </c>
      <c r="D13" s="138" t="s">
        <v>283</v>
      </c>
      <c r="E13" s="6" t="str">
        <f>_xlfn.XLOOKUP($D13,Table32[Color_Name],Table32[Hex_Code],,0,)</f>
        <v>#228B22</v>
      </c>
      <c r="F13" s="13"/>
    </row>
    <row r="14" spans="1:6" x14ac:dyDescent="0.25">
      <c r="A14" s="8">
        <f t="shared" si="0"/>
        <v>13</v>
      </c>
      <c r="B14" s="6" t="str">
        <f>_xlfn.XLOOKUP(C14,Tab_Def_Flows[Flow_Name],Tab_Def_Flows[Flow_ID],,0,)</f>
        <v>F_08_00</v>
      </c>
      <c r="C14" s="6" t="str">
        <f>Tab_Def_Flows[[#This Row],[Flow_Name]]</f>
        <v>Lithosphere(I)_Emissions_C</v>
      </c>
      <c r="D14" s="138" t="s">
        <v>316</v>
      </c>
      <c r="E14" s="6" t="str">
        <f>_xlfn.XLOOKUP($D14,Table32[Color_Name],Table32[Hex_Code],,0,)</f>
        <v>#87CEEB</v>
      </c>
      <c r="F14" s="13"/>
    </row>
    <row r="15" spans="1:6" x14ac:dyDescent="0.25">
      <c r="A15" s="8">
        <f t="shared" si="0"/>
        <v>14</v>
      </c>
      <c r="B15" s="6" t="str">
        <f>_xlfn.XLOOKUP(C15,Tab_Def_Flows[Flow_Name],Tab_Def_Flows[Flow_ID],,0,)</f>
        <v>F_08_01</v>
      </c>
      <c r="C15" s="6" t="str">
        <f>Tab_Def_Flows[[#This Row],[Flow_Name]]</f>
        <v>Lithosphere(I)_Emissions_E</v>
      </c>
      <c r="D15" s="138" t="s">
        <v>283</v>
      </c>
      <c r="E15" s="6" t="str">
        <f>_xlfn.XLOOKUP($D15,Table32[Color_Name],Table32[Hex_Code],,0,)</f>
        <v>#228B22</v>
      </c>
      <c r="F15" s="13"/>
    </row>
    <row r="16" spans="1:6" x14ac:dyDescent="0.25">
      <c r="A16" s="8">
        <f t="shared" si="0"/>
        <v>15</v>
      </c>
      <c r="B16" s="6" t="str">
        <f>_xlfn.XLOOKUP(C16,Tab_Def_Flows[Flow_Name],Tab_Def_Flows[Flow_ID],,0,)</f>
        <v>F_05_09</v>
      </c>
      <c r="C16" s="6" t="str">
        <f>Tab_Def_Flows[[#This Row],[Flow_Name]]</f>
        <v>Straw_Compost</v>
      </c>
      <c r="D16" s="138" t="s">
        <v>299</v>
      </c>
      <c r="E16" s="6" t="str">
        <f>_xlfn.XLOOKUP($D16,Table32[Color_Name],Table32[Hex_Code],,0,)</f>
        <v>#F5DEB3</v>
      </c>
      <c r="F16" s="13"/>
    </row>
    <row r="17" spans="1:6" x14ac:dyDescent="0.25">
      <c r="A17" s="8">
        <f t="shared" si="0"/>
        <v>16</v>
      </c>
      <c r="B17" s="6" t="str">
        <f>_xlfn.XLOOKUP(C17,Tab_Def_Flows[Flow_Name],Tab_Def_Flows[Flow_ID],,0,)</f>
        <v>F_09_00</v>
      </c>
      <c r="C17" s="6" t="str">
        <f>Tab_Def_Flows[[#This Row],[Flow_Name]]</f>
        <v>Compost_Emissions_C</v>
      </c>
      <c r="D17" s="138" t="s">
        <v>316</v>
      </c>
      <c r="E17" s="6" t="str">
        <f>_xlfn.XLOOKUP($D17,Table32[Color_Name],Table32[Hex_Code],,0,)</f>
        <v>#87CEEB</v>
      </c>
      <c r="F17" s="13"/>
    </row>
    <row r="18" spans="1:6" x14ac:dyDescent="0.25">
      <c r="A18" s="8">
        <f t="shared" si="0"/>
        <v>17</v>
      </c>
      <c r="B18" s="6" t="str">
        <f>_xlfn.XLOOKUP(C18,Tab_Def_Flows[Flow_Name],Tab_Def_Flows[Flow_ID],,0,)</f>
        <v>F_09_01</v>
      </c>
      <c r="C18" s="6" t="str">
        <f>Tab_Def_Flows[[#This Row],[Flow_Name]]</f>
        <v>Compost_Emissions_E</v>
      </c>
      <c r="D18" s="138" t="s">
        <v>283</v>
      </c>
      <c r="E18" s="6" t="str">
        <f>_xlfn.XLOOKUP($D18,Table32[Color_Name],Table32[Hex_Code],,0,)</f>
        <v>#228B22</v>
      </c>
      <c r="F18" s="13"/>
    </row>
    <row r="19" spans="1:6" x14ac:dyDescent="0.25">
      <c r="A19" s="8">
        <f t="shared" si="0"/>
        <v>18</v>
      </c>
      <c r="B19" s="6" t="str">
        <f>_xlfn.XLOOKUP(C19,Tab_Def_Flows[Flow_Name],Tab_Def_Flows[Flow_ID],,0,)</f>
        <v>F_10_00</v>
      </c>
      <c r="C19" s="6" t="str">
        <f>Tab_Def_Flows[[#This Row],[Flow_Name]]</f>
        <v>Lithosphere(CI)_Emissions_C</v>
      </c>
      <c r="D19" s="138" t="s">
        <v>316</v>
      </c>
      <c r="E19" s="6" t="str">
        <f>_xlfn.XLOOKUP($D19,Table32[Color_Name],Table32[Hex_Code],,0,)</f>
        <v>#87CEEB</v>
      </c>
      <c r="F19" s="13"/>
    </row>
    <row r="20" spans="1:6" x14ac:dyDescent="0.25">
      <c r="A20" s="8">
        <f t="shared" si="0"/>
        <v>19</v>
      </c>
      <c r="B20" s="6" t="str">
        <f>_xlfn.XLOOKUP(C20,Tab_Def_Flows[Flow_Name],Tab_Def_Flows[Flow_ID],,0,)</f>
        <v>F_10_01</v>
      </c>
      <c r="C20" s="6" t="str">
        <f>Tab_Def_Flows[[#This Row],[Flow_Name]]</f>
        <v>Lithosphere(CI)_Emissions_E</v>
      </c>
      <c r="D20" s="138" t="s">
        <v>283</v>
      </c>
      <c r="E20" s="6" t="str">
        <f>_xlfn.XLOOKUP($D20,Table32[Color_Name],Table32[Hex_Code],,0,)</f>
        <v>#228B22</v>
      </c>
      <c r="F20" s="13"/>
    </row>
    <row r="21" spans="1:6" x14ac:dyDescent="0.25">
      <c r="A21" s="8">
        <f t="shared" si="0"/>
        <v>20</v>
      </c>
      <c r="B21" s="6" t="str">
        <f>_xlfn.XLOOKUP(C21,Tab_Def_Flows[Flow_Name],Tab_Def_Flows[Flow_ID],,0,)</f>
        <v>F_09_10</v>
      </c>
      <c r="C21" s="6" t="str">
        <f>Tab_Def_Flows[[#This Row],[Flow_Name]]</f>
        <v>Compost_lithosphere</v>
      </c>
      <c r="D21" s="138" t="s">
        <v>299</v>
      </c>
      <c r="E21" s="6" t="str">
        <f>_xlfn.XLOOKUP($D21,Table32[Color_Name],Table32[Hex_Code],,0,)</f>
        <v>#F5DEB3</v>
      </c>
      <c r="F21" s="13"/>
    </row>
    <row r="22" spans="1:6" x14ac:dyDescent="0.25">
      <c r="A22" s="8">
        <f t="shared" si="0"/>
        <v>21</v>
      </c>
      <c r="B22" s="6" t="str">
        <f>_xlfn.XLOOKUP(C22,Tab_Def_Flows[Flow_Name],Tab_Def_Flows[Flow_ID],,0,)</f>
        <v>F_01_09</v>
      </c>
      <c r="C22" s="6" t="str">
        <f>Tab_Def_Flows[[#This Row],[Flow_Name]]</f>
        <v>Water Compost</v>
      </c>
      <c r="D22" s="138" t="s">
        <v>283</v>
      </c>
      <c r="E22" s="6" t="str">
        <f>_xlfn.XLOOKUP($D22,Table32[Color_Name],Table32[Hex_Code],,0,)</f>
        <v>#228B22</v>
      </c>
      <c r="F22" s="13"/>
    </row>
    <row r="23" spans="1:6" x14ac:dyDescent="0.25">
      <c r="A23" s="8">
        <f t="shared" si="0"/>
        <v>22</v>
      </c>
      <c r="B23" s="6" t="str">
        <f>_xlfn.XLOOKUP(C23,Tab_Def_Flows[Flow_Name],Tab_Def_Flows[Flow_ID],,0,)</f>
        <v>F_12_07</v>
      </c>
      <c r="C23" s="6" t="str">
        <f>Tab_Def_Flows[[#This Row],[Flow_Name]]</f>
        <v>Pyrochar</v>
      </c>
      <c r="D23" s="138" t="s">
        <v>283</v>
      </c>
      <c r="E23" s="6" t="str">
        <f>_xlfn.XLOOKUP($D23,Table32[Color_Name],Table32[Hex_Code],,0,)</f>
        <v>#228B22</v>
      </c>
      <c r="F23" s="13"/>
    </row>
    <row r="24" spans="1:6" x14ac:dyDescent="0.25">
      <c r="A24" s="8">
        <f t="shared" si="0"/>
        <v>23</v>
      </c>
      <c r="B24" s="6" t="str">
        <f>_xlfn.XLOOKUP(C24,Tab_Def_Flows[Flow_Name],Tab_Def_Flows[Flow_ID],,0,)</f>
        <v>F_07_00</v>
      </c>
      <c r="C24" s="6" t="str">
        <f>Tab_Def_Flows[[#This Row],[Flow_Name]]</f>
        <v>Lithosphere(P&amp;I)_Emissions_C</v>
      </c>
      <c r="D24" s="138" t="s">
        <v>283</v>
      </c>
      <c r="E24" s="6" t="str">
        <f>_xlfn.XLOOKUP($D24,Table32[Color_Name],Table32[Hex_Code],,0,)</f>
        <v>#228B22</v>
      </c>
      <c r="F24" s="13"/>
    </row>
    <row r="25" spans="1:6" x14ac:dyDescent="0.25">
      <c r="A25" s="8">
        <f t="shared" si="0"/>
        <v>24</v>
      </c>
      <c r="B25" s="6" t="str">
        <f>_xlfn.XLOOKUP(C25,Tab_Def_Flows[Flow_Name],Tab_Def_Flows[Flow_ID],,0,)</f>
        <v>F_07_01</v>
      </c>
      <c r="C25" s="6" t="str">
        <f>Tab_Def_Flows[[#This Row],[Flow_Name]]</f>
        <v>Lithosphere(P&amp;I)_Emissions_E</v>
      </c>
      <c r="D25" s="138" t="s">
        <v>283</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258</v>
      </c>
      <c r="B1" s="141" t="s">
        <v>166</v>
      </c>
      <c r="C1" s="141" t="s">
        <v>4</v>
      </c>
      <c r="D1" s="141" t="s">
        <v>259</v>
      </c>
      <c r="E1" s="141" t="s">
        <v>162</v>
      </c>
    </row>
    <row r="2" spans="1:5" x14ac:dyDescent="0.25">
      <c r="A2" s="6" t="s">
        <v>260</v>
      </c>
      <c r="B2" s="7">
        <v>0.5</v>
      </c>
      <c r="C2" s="13" t="s">
        <v>261</v>
      </c>
      <c r="D2" s="13" t="s">
        <v>262</v>
      </c>
      <c r="E2" s="13"/>
    </row>
    <row r="3" spans="1:5" x14ac:dyDescent="0.25">
      <c r="A3" s="6" t="s">
        <v>263</v>
      </c>
      <c r="B3" s="7">
        <v>0.5</v>
      </c>
      <c r="C3" s="13" t="s">
        <v>264</v>
      </c>
      <c r="D3" s="13" t="s">
        <v>262</v>
      </c>
      <c r="E3" s="13"/>
    </row>
    <row r="4" spans="1:5" x14ac:dyDescent="0.25">
      <c r="A4" s="6" t="s">
        <v>265</v>
      </c>
      <c r="B4" s="7">
        <v>0.3</v>
      </c>
      <c r="C4" s="13" t="s">
        <v>266</v>
      </c>
      <c r="D4" s="13" t="s">
        <v>267</v>
      </c>
      <c r="E4" s="13"/>
    </row>
    <row r="5" spans="1:5" x14ac:dyDescent="0.25">
      <c r="A5" s="6" t="s">
        <v>268</v>
      </c>
      <c r="B5" s="7" t="s">
        <v>399</v>
      </c>
      <c r="C5" s="13" t="s">
        <v>269</v>
      </c>
      <c r="D5" s="13" t="s">
        <v>270</v>
      </c>
      <c r="E5" s="13"/>
    </row>
    <row r="6" spans="1:5" x14ac:dyDescent="0.25">
      <c r="A6" s="6" t="s">
        <v>271</v>
      </c>
      <c r="B6" s="7" t="s">
        <v>272</v>
      </c>
      <c r="C6" s="13" t="s">
        <v>273</v>
      </c>
      <c r="D6" s="13" t="s">
        <v>274</v>
      </c>
      <c r="E6" s="13"/>
    </row>
    <row r="7" spans="1:5" x14ac:dyDescent="0.25">
      <c r="A7" s="6" t="s">
        <v>275</v>
      </c>
      <c r="B7" s="7" t="s">
        <v>276</v>
      </c>
      <c r="C7" s="13" t="s">
        <v>277</v>
      </c>
      <c r="D7" s="13" t="s">
        <v>274</v>
      </c>
      <c r="E7" s="13"/>
    </row>
    <row r="8" spans="1:5" x14ac:dyDescent="0.25">
      <c r="A8" s="6" t="s">
        <v>373</v>
      </c>
      <c r="B8" s="7">
        <v>1600</v>
      </c>
      <c r="C8" s="13" t="s">
        <v>374</v>
      </c>
      <c r="D8" s="13"/>
      <c r="E8" s="13"/>
    </row>
    <row r="9" spans="1:5" x14ac:dyDescent="0.25">
      <c r="A9" s="6" t="s">
        <v>376</v>
      </c>
      <c r="B9" s="7">
        <v>1200</v>
      </c>
      <c r="C9" s="13" t="s">
        <v>377</v>
      </c>
      <c r="D9" s="13"/>
      <c r="E9" s="13"/>
    </row>
    <row r="10" spans="1:5" x14ac:dyDescent="0.25">
      <c r="A10" s="6" t="s">
        <v>378</v>
      </c>
      <c r="B10" s="7">
        <v>1</v>
      </c>
      <c r="C10" s="13" t="s">
        <v>379</v>
      </c>
      <c r="D10" s="13" t="s">
        <v>380</v>
      </c>
      <c r="E10" s="13" t="s">
        <v>375</v>
      </c>
    </row>
    <row r="11" spans="1:5" x14ac:dyDescent="0.25">
      <c r="A11" s="6" t="s">
        <v>381</v>
      </c>
      <c r="B11" s="7">
        <v>1</v>
      </c>
      <c r="C11" s="13" t="s">
        <v>382</v>
      </c>
      <c r="D11" s="13" t="s">
        <v>380</v>
      </c>
      <c r="E11" s="13" t="s">
        <v>375</v>
      </c>
    </row>
    <row r="12" spans="1:5" x14ac:dyDescent="0.25">
      <c r="A12" s="6" t="s">
        <v>383</v>
      </c>
      <c r="B12" s="7" t="b">
        <v>1</v>
      </c>
      <c r="C12" s="13" t="s">
        <v>384</v>
      </c>
      <c r="D12" s="13" t="s">
        <v>380</v>
      </c>
      <c r="E12" s="13" t="s">
        <v>375</v>
      </c>
    </row>
    <row r="13" spans="1:5" x14ac:dyDescent="0.25">
      <c r="A13" s="6" t="s">
        <v>385</v>
      </c>
      <c r="B13" s="7">
        <v>0.3</v>
      </c>
      <c r="C13" s="13" t="s">
        <v>386</v>
      </c>
      <c r="D13" s="13" t="s">
        <v>380</v>
      </c>
      <c r="E13" s="13" t="s">
        <v>375</v>
      </c>
    </row>
    <row r="14" spans="1:5" x14ac:dyDescent="0.25">
      <c r="A14" s="6" t="s">
        <v>387</v>
      </c>
      <c r="B14" s="7">
        <v>3</v>
      </c>
      <c r="C14" s="13" t="s">
        <v>388</v>
      </c>
      <c r="D14" s="13" t="s">
        <v>380</v>
      </c>
      <c r="E14" s="13" t="s">
        <v>375</v>
      </c>
    </row>
    <row r="15" spans="1:5" x14ac:dyDescent="0.25">
      <c r="A15" s="6" t="s">
        <v>389</v>
      </c>
      <c r="B15" s="7" t="s">
        <v>399</v>
      </c>
      <c r="C15" s="13" t="s">
        <v>390</v>
      </c>
      <c r="D15" s="13" t="s">
        <v>380</v>
      </c>
      <c r="E15" s="13" t="s">
        <v>375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1" t="s">
        <v>481</v>
      </c>
      <c r="E2" s="191"/>
      <c r="F2" s="145" t="s">
        <v>480</v>
      </c>
      <c r="G2" s="195" t="s">
        <v>480</v>
      </c>
      <c r="H2" s="195"/>
      <c r="I2" s="195"/>
    </row>
    <row r="3" spans="1:9" x14ac:dyDescent="0.25">
      <c r="A3" t="s">
        <v>7</v>
      </c>
      <c r="B3" t="s">
        <v>491</v>
      </c>
      <c r="C3" t="s">
        <v>490</v>
      </c>
      <c r="D3" s="161" t="s">
        <v>482</v>
      </c>
      <c r="E3" s="161" t="s">
        <v>483</v>
      </c>
      <c r="F3" s="161" t="s">
        <v>494</v>
      </c>
      <c r="G3" s="167" t="s">
        <v>477</v>
      </c>
      <c r="H3" s="167" t="s">
        <v>478</v>
      </c>
      <c r="I3" s="167" t="s">
        <v>479</v>
      </c>
    </row>
    <row r="4" spans="1:9" ht="90" hidden="1" x14ac:dyDescent="0.25">
      <c r="A4">
        <v>124</v>
      </c>
      <c r="B4" s="164" t="s">
        <v>875</v>
      </c>
      <c r="C4" s="141" t="s">
        <v>185</v>
      </c>
      <c r="D4" t="s">
        <v>639</v>
      </c>
      <c r="E4" t="s">
        <v>640</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792</v>
      </c>
      <c r="H4" s="1" t="s">
        <v>716</v>
      </c>
      <c r="I4" s="1" t="s">
        <v>717</v>
      </c>
    </row>
    <row r="5" spans="1:9" ht="90" hidden="1" x14ac:dyDescent="0.25">
      <c r="A5">
        <v>86</v>
      </c>
      <c r="B5" t="s">
        <v>873</v>
      </c>
      <c r="C5" s="141" t="s">
        <v>2</v>
      </c>
      <c r="D5" t="s">
        <v>621</v>
      </c>
      <c r="E5" t="s">
        <v>622</v>
      </c>
      <c r="F5" s="1" t="str">
        <f t="shared" si="0"/>
        <v>PURPOSE: Data field for Type_of_the_Study in 2_3_static_TCs
ACTION: Enter appropriate value for Type_of_the_Study
NOTE: Please refer to BioDYM documentation for specific requirements.</v>
      </c>
      <c r="G5" s="1" t="s">
        <v>817</v>
      </c>
      <c r="H5" s="1" t="s">
        <v>624</v>
      </c>
      <c r="I5" s="1" t="s">
        <v>738</v>
      </c>
    </row>
    <row r="6" spans="1:9" ht="98.25" hidden="1" customHeight="1" x14ac:dyDescent="0.25">
      <c r="A6">
        <v>36</v>
      </c>
      <c r="B6" t="s">
        <v>484</v>
      </c>
      <c r="C6" s="141" t="s">
        <v>16</v>
      </c>
      <c r="D6" t="s">
        <v>551</v>
      </c>
      <c r="E6" t="s">
        <v>552</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763</v>
      </c>
      <c r="H6" s="1" t="s">
        <v>764</v>
      </c>
      <c r="I6" s="1" t="s">
        <v>765</v>
      </c>
    </row>
    <row r="7" spans="1:9" ht="105" hidden="1" x14ac:dyDescent="0.25">
      <c r="A7">
        <v>33</v>
      </c>
      <c r="B7" t="s">
        <v>484</v>
      </c>
      <c r="C7" s="141" t="s">
        <v>9</v>
      </c>
      <c r="D7" t="s">
        <v>545</v>
      </c>
      <c r="E7" t="s">
        <v>546</v>
      </c>
      <c r="F7" s="1" t="str">
        <f t="shared" si="0"/>
        <v>PURPOSE: Data field for Titel_Source in 1_2_Data_Flows
ACTION: Enter appropriate value for Titel_Source
NOTE: Please refer to BioDYM documentation for specific requirements.</v>
      </c>
      <c r="G7" s="1" t="s">
        <v>758</v>
      </c>
      <c r="H7" s="1" t="s">
        <v>548</v>
      </c>
      <c r="I7" s="1" t="s">
        <v>738</v>
      </c>
    </row>
    <row r="8" spans="1:9" ht="75" x14ac:dyDescent="0.25">
      <c r="A8">
        <v>1</v>
      </c>
      <c r="B8" t="s">
        <v>476</v>
      </c>
      <c r="C8" s="141" t="s">
        <v>24</v>
      </c>
      <c r="D8" t="s">
        <v>492</v>
      </c>
      <c r="E8" t="s">
        <v>493</v>
      </c>
      <c r="F8" s="1" t="str">
        <f t="shared" si="0"/>
        <v>PURPOSE: Unique identifier for data row
ACTION: Automatically assigned
NOTE: This field is generated automatically. No manual input required. Used for system identification and linking.</v>
      </c>
      <c r="G8" s="1" t="s">
        <v>715</v>
      </c>
      <c r="H8" s="1" t="s">
        <v>716</v>
      </c>
      <c r="I8" s="1" t="s">
        <v>717</v>
      </c>
    </row>
    <row r="9" spans="1:9" ht="75" x14ac:dyDescent="0.25">
      <c r="A9">
        <v>2</v>
      </c>
      <c r="B9" t="s">
        <v>476</v>
      </c>
      <c r="C9" s="141" t="s">
        <v>7</v>
      </c>
      <c r="D9" t="s">
        <v>892</v>
      </c>
      <c r="E9" t="s">
        <v>507</v>
      </c>
      <c r="F9" s="1" t="str">
        <f t="shared" si="0"/>
        <v>PURPOSE: Unique identifier for material flow
ACTION: Automatically assigned
NOTE: This field is generated automatically. No manual input required. Used for system identification and linking.</v>
      </c>
      <c r="G9" s="1" t="s">
        <v>718</v>
      </c>
      <c r="H9" s="1" t="s">
        <v>716</v>
      </c>
      <c r="I9" s="1" t="s">
        <v>717</v>
      </c>
    </row>
    <row r="10" spans="1:9" ht="75" hidden="1" x14ac:dyDescent="0.25">
      <c r="A10">
        <v>28</v>
      </c>
      <c r="B10" t="s">
        <v>484</v>
      </c>
      <c r="C10" s="141" t="s">
        <v>28</v>
      </c>
      <c r="D10" t="s">
        <v>515</v>
      </c>
      <c r="E10" t="s">
        <v>516</v>
      </c>
      <c r="F10" s="1" t="str">
        <f t="shared" si="0"/>
        <v>PURPOSE: Defines the Data Year for temporal data organization
ACTION: Enter year (e.g., 2020, 2021, 2022)
NOTE: Must be consistent with analysis time period. Used for time-series data organization.</v>
      </c>
      <c r="G10" s="1" t="s">
        <v>751</v>
      </c>
      <c r="H10" s="1" t="s">
        <v>752</v>
      </c>
      <c r="I10" s="1" t="s">
        <v>753</v>
      </c>
    </row>
    <row r="11" spans="1:9" ht="90" hidden="1" x14ac:dyDescent="0.25">
      <c r="A11">
        <v>53</v>
      </c>
      <c r="B11" t="s">
        <v>484</v>
      </c>
      <c r="C11" s="141" t="s">
        <v>34</v>
      </c>
      <c r="D11" t="s">
        <v>585</v>
      </c>
      <c r="E11" t="s">
        <v>530</v>
      </c>
      <c r="F11" s="1" t="str">
        <f t="shared" si="0"/>
        <v>PURPOSE: Data field for Flow_CC_year_ID in 1_2_Data_Flows
ACTION: Enter appropriate value for Flow_CC_year_ID
NOTE: Please refer to BioDYM documentation for specific requirements.</v>
      </c>
      <c r="G11" s="1" t="s">
        <v>786</v>
      </c>
      <c r="H11" s="1" t="s">
        <v>587</v>
      </c>
      <c r="I11" s="1" t="s">
        <v>738</v>
      </c>
    </row>
    <row r="12" spans="1:9" ht="75" x14ac:dyDescent="0.25">
      <c r="A12">
        <v>3</v>
      </c>
      <c r="B12" t="s">
        <v>476</v>
      </c>
      <c r="C12" s="141" t="s">
        <v>11</v>
      </c>
      <c r="D12" t="s">
        <v>893</v>
      </c>
      <c r="E12" t="s">
        <v>507</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719</v>
      </c>
      <c r="H12" s="1" t="s">
        <v>720</v>
      </c>
      <c r="I12" s="1" t="s">
        <v>721</v>
      </c>
    </row>
    <row r="13" spans="1:9" ht="75" hidden="1" x14ac:dyDescent="0.25">
      <c r="A13">
        <v>55</v>
      </c>
      <c r="B13" t="s">
        <v>484</v>
      </c>
      <c r="C13" s="141" t="s">
        <v>39</v>
      </c>
      <c r="D13" t="s">
        <v>588</v>
      </c>
      <c r="E13" t="s">
        <v>589</v>
      </c>
      <c r="F13" s="1" t="str">
        <f t="shared" si="0"/>
        <v>PURPOSE: Data field for UoM_CC_Flow_Py in 1_2_Data_Flows
ACTION: Enter appropriate value for UoM_CC_Flow_Py
NOTE: Please refer to BioDYM documentation for specific requirements.</v>
      </c>
      <c r="G13" s="1" t="s">
        <v>788</v>
      </c>
      <c r="H13" s="1" t="s">
        <v>591</v>
      </c>
      <c r="I13" s="1" t="s">
        <v>738</v>
      </c>
    </row>
    <row r="14" spans="1:9" ht="90" x14ac:dyDescent="0.25">
      <c r="A14">
        <v>4</v>
      </c>
      <c r="B14" t="s">
        <v>476</v>
      </c>
      <c r="C14" s="141" t="s">
        <v>427</v>
      </c>
      <c r="D14" t="s">
        <v>509</v>
      </c>
      <c r="E14" t="s">
        <v>894</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722</v>
      </c>
      <c r="H14" s="1" t="s">
        <v>723</v>
      </c>
      <c r="I14" s="1" t="s">
        <v>721</v>
      </c>
    </row>
    <row r="15" spans="1:9" ht="75" hidden="1" x14ac:dyDescent="0.25">
      <c r="A15">
        <v>40</v>
      </c>
      <c r="B15" t="s">
        <v>484</v>
      </c>
      <c r="C15" s="141" t="s">
        <v>19</v>
      </c>
      <c r="D15" t="s">
        <v>559</v>
      </c>
      <c r="E15" t="s">
        <v>560</v>
      </c>
      <c r="F15" s="1" t="str">
        <f t="shared" si="0"/>
        <v>PURPOSE: Data field for Name_CF in 1_2_Data_Flows
ACTION: Enter appropriate value for Name_CF
NOTE: Please refer to BioDYM documentation for specific requirements.</v>
      </c>
      <c r="G15" s="1" t="s">
        <v>769</v>
      </c>
      <c r="H15" s="1" t="s">
        <v>562</v>
      </c>
      <c r="I15" s="1" t="s">
        <v>738</v>
      </c>
    </row>
    <row r="16" spans="1:9" ht="75" hidden="1" x14ac:dyDescent="0.25">
      <c r="A16">
        <v>39</v>
      </c>
      <c r="B16" t="s">
        <v>484</v>
      </c>
      <c r="C16" s="141" t="s">
        <v>18</v>
      </c>
      <c r="D16" t="s">
        <v>557</v>
      </c>
      <c r="E16" t="s">
        <v>558</v>
      </c>
      <c r="F16" s="1" t="str">
        <f t="shared" si="0"/>
        <v>PURPOSE: Data field for CF in 1_2_Data_Flows
ACTION: Enter appropriate value for CF
NOTE: Please refer to BioDYM documentation for specific requirements.</v>
      </c>
      <c r="G16" s="1" t="s">
        <v>768</v>
      </c>
      <c r="H16" s="1" t="s">
        <v>560</v>
      </c>
      <c r="I16" s="1" t="s">
        <v>738</v>
      </c>
    </row>
    <row r="17" spans="1:9" ht="75" hidden="1" x14ac:dyDescent="0.25">
      <c r="A17">
        <v>173</v>
      </c>
      <c r="B17" t="s">
        <v>495</v>
      </c>
      <c r="C17" s="141" t="s">
        <v>371</v>
      </c>
      <c r="D17" t="s">
        <v>689</v>
      </c>
      <c r="E17" t="s">
        <v>690</v>
      </c>
      <c r="F17" s="1" t="str">
        <f t="shared" si="0"/>
        <v>PURPOSE: Data field for Node_Color in 6_1_Visualization_Processes
ACTION: Enter appropriate value for Node_Color
NOTE: Please refer to BioDYM documentation for specific requirements.</v>
      </c>
      <c r="G17" s="1" t="s">
        <v>860</v>
      </c>
      <c r="H17" s="1" t="s">
        <v>692</v>
      </c>
      <c r="I17" s="1" t="s">
        <v>738</v>
      </c>
    </row>
    <row r="18" spans="1:9" ht="75" hidden="1" x14ac:dyDescent="0.25">
      <c r="A18">
        <v>168</v>
      </c>
      <c r="B18" t="s">
        <v>488</v>
      </c>
      <c r="C18" s="141" t="s">
        <v>12</v>
      </c>
      <c r="D18" t="s">
        <v>685</v>
      </c>
      <c r="E18" t="s">
        <v>686</v>
      </c>
      <c r="F18" s="1" t="str">
        <f t="shared" si="0"/>
        <v>PURPOSE: Flag this row as 100% complete for reporting and filtering purposes
ACTION: Click to select
NOTE: This input is optional. Leave blank if the process is ongoing. Used for progress tracking.</v>
      </c>
      <c r="G18" s="1" t="s">
        <v>789</v>
      </c>
      <c r="H18" s="1" t="s">
        <v>790</v>
      </c>
      <c r="I18" s="1" t="s">
        <v>791</v>
      </c>
    </row>
    <row r="19" spans="1:9" ht="90" x14ac:dyDescent="0.25">
      <c r="A19">
        <v>5</v>
      </c>
      <c r="B19" t="s">
        <v>476</v>
      </c>
      <c r="C19" s="141" t="s">
        <v>432</v>
      </c>
      <c r="D19" t="s">
        <v>895</v>
      </c>
      <c r="E19" t="s">
        <v>896</v>
      </c>
      <c r="F19" s="1" t="str">
        <f t="shared" si="0"/>
        <v>PURPOSE: Unique identifier for output process
ACTION: Automatically assigned
NOTE: This field is generated automatically. No manual input required. Used for system identification and linking.</v>
      </c>
      <c r="G19" s="1" t="s">
        <v>724</v>
      </c>
      <c r="H19" s="1" t="s">
        <v>716</v>
      </c>
      <c r="I19" s="1" t="s">
        <v>717</v>
      </c>
    </row>
    <row r="20" spans="1:9" ht="90" hidden="1" x14ac:dyDescent="0.25">
      <c r="A20">
        <v>57</v>
      </c>
      <c r="B20" t="s">
        <v>485</v>
      </c>
      <c r="C20" s="141" t="s">
        <v>24</v>
      </c>
      <c r="D20" t="s">
        <v>592</v>
      </c>
      <c r="E20" t="s">
        <v>593</v>
      </c>
      <c r="F20" s="1" t="str">
        <f t="shared" si="0"/>
        <v>PURPOSE: Unique identifier for data row
ACTION: Automatically assigned
NOTE: This field is generated automatically. No manual input required. Used for system identification and linking.</v>
      </c>
      <c r="G20" s="1" t="s">
        <v>715</v>
      </c>
      <c r="H20" s="1" t="s">
        <v>716</v>
      </c>
      <c r="I20" s="1" t="s">
        <v>717</v>
      </c>
    </row>
    <row r="21" spans="1:9" ht="90" hidden="1" x14ac:dyDescent="0.25">
      <c r="A21">
        <v>66</v>
      </c>
      <c r="B21" t="s">
        <v>873</v>
      </c>
      <c r="C21" s="141" t="s">
        <v>24</v>
      </c>
      <c r="D21" t="s">
        <v>592</v>
      </c>
      <c r="E21" t="s">
        <v>593</v>
      </c>
      <c r="F21" s="1" t="str">
        <f t="shared" si="0"/>
        <v>PURPOSE: Unique identifier for data row
ACTION: Automatically assigned
NOTE: This field is generated automatically. No manual input required. Used for system identification and linking.</v>
      </c>
      <c r="G21" s="1" t="s">
        <v>715</v>
      </c>
      <c r="H21" s="1" t="s">
        <v>716</v>
      </c>
      <c r="I21" s="1" t="s">
        <v>717</v>
      </c>
    </row>
    <row r="22" spans="1:9" ht="75" hidden="1" x14ac:dyDescent="0.25">
      <c r="A22">
        <v>89</v>
      </c>
      <c r="B22" s="164" t="s">
        <v>874</v>
      </c>
      <c r="C22" s="141" t="s">
        <v>24</v>
      </c>
      <c r="D22" t="s">
        <v>592</v>
      </c>
      <c r="E22" t="s">
        <v>593</v>
      </c>
      <c r="F22" s="1" t="str">
        <f t="shared" si="0"/>
        <v>PURPOSE: Unique identifier for data row
ACTION: Automatically assigned
NOTE: This field is generated automatically. No manual input required. Used for system identification and linking.</v>
      </c>
      <c r="G22" s="1" t="s">
        <v>715</v>
      </c>
      <c r="H22" s="1" t="s">
        <v>716</v>
      </c>
      <c r="I22" s="1" t="s">
        <v>717</v>
      </c>
    </row>
    <row r="23" spans="1:9" ht="75" hidden="1" x14ac:dyDescent="0.25">
      <c r="A23">
        <v>106</v>
      </c>
      <c r="B23" s="164" t="s">
        <v>875</v>
      </c>
      <c r="C23" s="141" t="s">
        <v>24</v>
      </c>
      <c r="D23" t="s">
        <v>592</v>
      </c>
      <c r="E23" t="s">
        <v>593</v>
      </c>
      <c r="F23" s="1" t="str">
        <f t="shared" si="0"/>
        <v>PURPOSE: Unique identifier for data row
ACTION: Automatically assigned
NOTE: This field is generated automatically. No manual input required. Used for system identification and linking.</v>
      </c>
      <c r="G23" s="1" t="s">
        <v>715</v>
      </c>
      <c r="H23" s="1" t="s">
        <v>716</v>
      </c>
      <c r="I23" s="1" t="s">
        <v>717</v>
      </c>
    </row>
    <row r="24" spans="1:9" ht="75" hidden="1" x14ac:dyDescent="0.25">
      <c r="A24">
        <v>136</v>
      </c>
      <c r="B24" t="s">
        <v>487</v>
      </c>
      <c r="C24" s="141" t="s">
        <v>24</v>
      </c>
      <c r="D24" t="s">
        <v>592</v>
      </c>
      <c r="E24" t="s">
        <v>593</v>
      </c>
      <c r="F24" s="1" t="str">
        <f t="shared" si="0"/>
        <v>PURPOSE: Unique identifier for data row
ACTION: Automatically assigned
NOTE: This field is generated automatically. No manual input required. Used for system identification and linking.</v>
      </c>
      <c r="G24" s="1" t="s">
        <v>715</v>
      </c>
      <c r="H24" s="1" t="s">
        <v>716</v>
      </c>
      <c r="I24" s="1" t="s">
        <v>717</v>
      </c>
    </row>
    <row r="25" spans="1:9" ht="90" hidden="1" x14ac:dyDescent="0.25">
      <c r="A25">
        <v>169</v>
      </c>
      <c r="B25" t="s">
        <v>495</v>
      </c>
      <c r="C25" s="141" t="s">
        <v>24</v>
      </c>
      <c r="D25" t="s">
        <v>592</v>
      </c>
      <c r="E25" t="s">
        <v>593</v>
      </c>
      <c r="F25" s="1" t="str">
        <f t="shared" si="0"/>
        <v>PURPOSE: Unique identifier for data row
ACTION: Automatically assigned
NOTE: This field is generated automatically. No manual input required. Used for system identification and linking.</v>
      </c>
      <c r="G25" s="1" t="s">
        <v>715</v>
      </c>
      <c r="H25" s="1" t="s">
        <v>716</v>
      </c>
      <c r="I25" s="1" t="s">
        <v>717</v>
      </c>
    </row>
    <row r="26" spans="1:9" ht="90" hidden="1" x14ac:dyDescent="0.25">
      <c r="A26">
        <v>61</v>
      </c>
      <c r="B26" t="s">
        <v>485</v>
      </c>
      <c r="C26" s="141" t="s">
        <v>4</v>
      </c>
      <c r="D26" t="s">
        <v>888</v>
      </c>
      <c r="E26" t="s">
        <v>889</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797</v>
      </c>
      <c r="H26" s="1" t="s">
        <v>798</v>
      </c>
      <c r="I26" s="1" t="s">
        <v>799</v>
      </c>
    </row>
    <row r="27" spans="1:9" ht="105" hidden="1" x14ac:dyDescent="0.25">
      <c r="A27">
        <v>178</v>
      </c>
      <c r="B27" t="s">
        <v>495</v>
      </c>
      <c r="C27" s="141" t="s">
        <v>4</v>
      </c>
      <c r="D27" t="s">
        <v>699</v>
      </c>
      <c r="E27" t="s">
        <v>700</v>
      </c>
      <c r="F27" s="1" t="str">
        <f t="shared" si="0"/>
        <v>PURPOSE: Data field for Y_Position_WC in 6_1_Visualization_Processes
ACTION: Enter appropriate value for Y_Position_WC
NOTE: Please refer to BioDYM documentation for specific requirements.</v>
      </c>
      <c r="G27" s="1" t="s">
        <v>865</v>
      </c>
      <c r="H27" s="1" t="s">
        <v>702</v>
      </c>
      <c r="I27" s="1" t="s">
        <v>738</v>
      </c>
    </row>
    <row r="28" spans="1:9" ht="90" hidden="1" x14ac:dyDescent="0.25">
      <c r="A28">
        <v>178</v>
      </c>
      <c r="B28" t="s">
        <v>496</v>
      </c>
      <c r="C28" s="141" t="s">
        <v>4</v>
      </c>
      <c r="D28" t="s">
        <v>701</v>
      </c>
      <c r="E28" t="s">
        <v>702</v>
      </c>
      <c r="F28" s="1" t="str">
        <f t="shared" si="0"/>
        <v>PURPOSE: Data field for X_Position_DM in 6_1_Visualization_Processes
ACTION: Enter appropriate value for X_Position_DM
NOTE: Please refer to BioDYM documentation for specific requirements.</v>
      </c>
      <c r="G28" s="1" t="s">
        <v>866</v>
      </c>
      <c r="H28" s="1" t="s">
        <v>704</v>
      </c>
      <c r="I28" s="1" t="s">
        <v>738</v>
      </c>
    </row>
    <row r="29" spans="1:9" ht="90" hidden="1" x14ac:dyDescent="0.25">
      <c r="A29">
        <v>121</v>
      </c>
      <c r="B29" s="164" t="s">
        <v>875</v>
      </c>
      <c r="C29" s="141" t="s">
        <v>186</v>
      </c>
      <c r="D29" t="s">
        <v>637</v>
      </c>
      <c r="E29" t="s">
        <v>890</v>
      </c>
      <c r="F29" s="1" t="str">
        <f t="shared" si="0"/>
        <v>PURPOSE: Unique identifier for material flow
ACTION: Automatically assigned
NOTE: This field is generated automatically. No manual input required. Used for system identification and linking.</v>
      </c>
      <c r="G29" s="1" t="s">
        <v>718</v>
      </c>
      <c r="H29" s="1" t="s">
        <v>716</v>
      </c>
      <c r="I29" s="1" t="s">
        <v>717</v>
      </c>
    </row>
    <row r="30" spans="1:9" ht="90" hidden="1" x14ac:dyDescent="0.25">
      <c r="A30">
        <v>120</v>
      </c>
      <c r="B30" s="164" t="s">
        <v>875</v>
      </c>
      <c r="C30" s="141" t="s">
        <v>187</v>
      </c>
      <c r="D30" t="s">
        <v>635</v>
      </c>
      <c r="E30" t="s">
        <v>891</v>
      </c>
      <c r="F30" s="1" t="str">
        <f t="shared" si="0"/>
        <v>PURPOSE: Data field for Destination_Flow in 2_5_Initial_Stock
ACTION: Enter appropriate value for Destination_Flow
NOTE: Please refer to BioDYM documentation for specific requirements.</v>
      </c>
      <c r="G30" s="1" t="s">
        <v>829</v>
      </c>
      <c r="H30" s="1" t="s">
        <v>638</v>
      </c>
      <c r="I30" s="1" t="s">
        <v>738</v>
      </c>
    </row>
    <row r="31" spans="1:9" ht="75" hidden="1" x14ac:dyDescent="0.25">
      <c r="A31">
        <v>119</v>
      </c>
      <c r="B31" s="164" t="s">
        <v>875</v>
      </c>
      <c r="C31" s="141" t="s">
        <v>188</v>
      </c>
      <c r="E31" t="s">
        <v>634</v>
      </c>
      <c r="F31" s="1" t="str">
        <f t="shared" si="0"/>
        <v>PURPOSE: Data field for Destination_Process in 2_5_Initial_Stock
ACTION: Enter appropriate value for Destination_Process
NOTE: Please refer to BioDYM documentation for specific requirements.</v>
      </c>
      <c r="G31" s="1" t="s">
        <v>828</v>
      </c>
      <c r="H31" s="1" t="s">
        <v>636</v>
      </c>
      <c r="I31" s="1" t="s">
        <v>738</v>
      </c>
    </row>
    <row r="32" spans="1:9" ht="75" hidden="1" x14ac:dyDescent="0.25">
      <c r="A32">
        <v>153</v>
      </c>
      <c r="B32" t="s">
        <v>489</v>
      </c>
      <c r="C32" s="141" t="s">
        <v>174</v>
      </c>
      <c r="D32" t="s">
        <v>663</v>
      </c>
      <c r="E32" t="s">
        <v>664</v>
      </c>
      <c r="F32" s="1" t="str">
        <f t="shared" si="0"/>
        <v>PURPOSE: Data field for Mean in 4_1_Uncertainty_Parameters
ACTION: Enter appropriate value for Mean
NOTE: Please refer to BioDYM documentation for specific requirements.</v>
      </c>
      <c r="G32" s="1" t="s">
        <v>844</v>
      </c>
      <c r="H32" s="1" t="s">
        <v>666</v>
      </c>
      <c r="I32" s="1" t="s">
        <v>738</v>
      </c>
    </row>
    <row r="33" spans="1:9" ht="90" x14ac:dyDescent="0.25">
      <c r="A33">
        <v>6</v>
      </c>
      <c r="B33" t="s">
        <v>476</v>
      </c>
      <c r="C33" s="141" t="s">
        <v>433</v>
      </c>
      <c r="D33" t="s">
        <v>507</v>
      </c>
      <c r="E33" t="s">
        <v>507</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725</v>
      </c>
      <c r="H33" s="1" t="s">
        <v>726</v>
      </c>
      <c r="I33" s="1" t="s">
        <v>721</v>
      </c>
    </row>
    <row r="34" spans="1:9" ht="90" hidden="1" x14ac:dyDescent="0.25">
      <c r="A34">
        <v>27</v>
      </c>
      <c r="B34" t="s">
        <v>484</v>
      </c>
      <c r="C34" s="141" t="s">
        <v>29</v>
      </c>
      <c r="D34" t="s">
        <v>513</v>
      </c>
      <c r="E34" t="s">
        <v>514</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734</v>
      </c>
      <c r="H34" s="1" t="s">
        <v>735</v>
      </c>
      <c r="I34" s="1" t="s">
        <v>736</v>
      </c>
    </row>
    <row r="35" spans="1:9" ht="75" hidden="1" x14ac:dyDescent="0.25">
      <c r="A35">
        <v>49</v>
      </c>
      <c r="B35" t="s">
        <v>484</v>
      </c>
      <c r="C35" s="141" t="s">
        <v>32</v>
      </c>
      <c r="D35" t="s">
        <v>577</v>
      </c>
      <c r="E35" t="s">
        <v>578</v>
      </c>
      <c r="F35" s="1" t="str">
        <f t="shared" si="0"/>
        <v>PURPOSE: Data field for Flow_DM_year_ID in 1_2_Data_Flows
ACTION: Enter appropriate value for Flow_DM_year_ID
NOTE: Please refer to BioDYM documentation for specific requirements.</v>
      </c>
      <c r="G35" s="1" t="s">
        <v>782</v>
      </c>
      <c r="H35" s="1" t="s">
        <v>580</v>
      </c>
      <c r="I35" s="1" t="s">
        <v>738</v>
      </c>
    </row>
    <row r="36" spans="1:9" ht="75" hidden="1" x14ac:dyDescent="0.25">
      <c r="A36">
        <v>51</v>
      </c>
      <c r="B36" t="s">
        <v>484</v>
      </c>
      <c r="C36" s="141" t="s">
        <v>426</v>
      </c>
      <c r="D36" t="s">
        <v>581</v>
      </c>
      <c r="E36" t="s">
        <v>582</v>
      </c>
      <c r="F36" s="1" t="str">
        <f t="shared" si="0"/>
        <v>PURPOSE: Data field for UoM_DM_Flow_Py in 1_2_Data_Flows
ACTION: Enter appropriate value for UoM_DM_Flow_Py
NOTE: Please refer to BioDYM documentation for specific requirements.</v>
      </c>
      <c r="G36" s="1" t="s">
        <v>784</v>
      </c>
      <c r="H36" s="1" t="s">
        <v>584</v>
      </c>
      <c r="I36" s="1" t="s">
        <v>738</v>
      </c>
    </row>
    <row r="37" spans="1:9" ht="75" x14ac:dyDescent="0.25">
      <c r="A37">
        <v>7</v>
      </c>
      <c r="B37" t="s">
        <v>476</v>
      </c>
      <c r="C37" s="141" t="s">
        <v>434</v>
      </c>
      <c r="D37" t="s">
        <v>897</v>
      </c>
      <c r="E37" t="s">
        <v>898</v>
      </c>
      <c r="F37" s="1" t="str">
        <f t="shared" si="0"/>
        <v>PURPOSE: Unique identifier for input process
ACTION: Automatically assigned
NOTE: This field is generated automatically. No manual input required. Used for system identification and linking.</v>
      </c>
      <c r="G37" s="1" t="s">
        <v>727</v>
      </c>
      <c r="H37" s="1" t="s">
        <v>716</v>
      </c>
      <c r="I37" s="1" t="s">
        <v>717</v>
      </c>
    </row>
    <row r="38" spans="1:9" ht="75" hidden="1" x14ac:dyDescent="0.25">
      <c r="A38">
        <v>131</v>
      </c>
      <c r="B38" t="s">
        <v>486</v>
      </c>
      <c r="C38" s="141" t="s">
        <v>442</v>
      </c>
      <c r="D38" t="s">
        <v>641</v>
      </c>
      <c r="E38" t="s">
        <v>642</v>
      </c>
      <c r="F38" s="1" t="str">
        <f t="shared" si="0"/>
        <v>PURPOSE: Data field for DSM_Parameter_typ in 3_1_Definition_DSM
ACTION: Enter appropriate value for DSM_Parameter_typ
NOTE: Please refer to BioDYM documentation for specific requirements.</v>
      </c>
      <c r="G38" s="1" t="s">
        <v>832</v>
      </c>
      <c r="H38" s="1" t="s">
        <v>644</v>
      </c>
      <c r="I38" s="1" t="s">
        <v>738</v>
      </c>
    </row>
    <row r="39" spans="1:9" ht="90" hidden="1" x14ac:dyDescent="0.25">
      <c r="A39">
        <v>134</v>
      </c>
      <c r="B39" t="s">
        <v>486</v>
      </c>
      <c r="C39" s="141" t="s">
        <v>448</v>
      </c>
      <c r="D39" t="s">
        <v>647</v>
      </c>
      <c r="E39" t="s">
        <v>648</v>
      </c>
      <c r="F39" s="1" t="str">
        <f t="shared" si="0"/>
        <v>PURPOSE: Data field for DSM_Value in 3_1_Definition_DSM
ACTION: Enter appropriate value for DSM_Value
NOTE: Please refer to BioDYM documentation for specific requirements.</v>
      </c>
      <c r="G39" s="1" t="s">
        <v>835</v>
      </c>
      <c r="H39" s="1" t="s">
        <v>650</v>
      </c>
      <c r="I39" s="1" t="s">
        <v>738</v>
      </c>
    </row>
    <row r="40" spans="1:9" ht="75" hidden="1" x14ac:dyDescent="0.25">
      <c r="A40">
        <v>132</v>
      </c>
      <c r="B40" t="s">
        <v>486</v>
      </c>
      <c r="C40" s="141" t="s">
        <v>450</v>
      </c>
      <c r="D40" t="s">
        <v>643</v>
      </c>
      <c r="E40" t="s">
        <v>644</v>
      </c>
      <c r="F40" s="1" t="str">
        <f t="shared" si="0"/>
        <v>PURPOSE: Data field for DSM_Parameter_type in 3_1_Definition_DSM
ACTION: Enter appropriate value for DSM_Parameter_type
NOTE: Please refer to BioDYM documentation for specific requirements.</v>
      </c>
      <c r="G40" s="1" t="s">
        <v>833</v>
      </c>
      <c r="H40" s="1" t="s">
        <v>646</v>
      </c>
      <c r="I40" s="1" t="s">
        <v>738</v>
      </c>
    </row>
    <row r="41" spans="1:9" ht="75" hidden="1" x14ac:dyDescent="0.25">
      <c r="A41">
        <v>133</v>
      </c>
      <c r="B41" t="s">
        <v>486</v>
      </c>
      <c r="C41" s="141" t="s">
        <v>449</v>
      </c>
      <c r="D41" t="s">
        <v>645</v>
      </c>
      <c r="E41" t="s">
        <v>646</v>
      </c>
      <c r="F41" s="1" t="str">
        <f t="shared" si="0"/>
        <v>PURPOSE: Data field for DSM_Parameter in 3_1_Definition_DSM
ACTION: Enter appropriate value for DSM_Parameter
NOTE: Please refer to BioDYM documentation for specific requirements.</v>
      </c>
      <c r="G41" s="1" t="s">
        <v>834</v>
      </c>
      <c r="H41" s="1" t="s">
        <v>648</v>
      </c>
      <c r="I41" s="1" t="s">
        <v>738</v>
      </c>
    </row>
    <row r="42" spans="1:9" ht="75" hidden="1" x14ac:dyDescent="0.25">
      <c r="A42">
        <v>135</v>
      </c>
      <c r="B42" t="s">
        <v>486</v>
      </c>
      <c r="C42" s="141" t="s">
        <v>451</v>
      </c>
      <c r="D42" t="s">
        <v>649</v>
      </c>
      <c r="E42" t="s">
        <v>650</v>
      </c>
      <c r="F42" s="1" t="str">
        <f t="shared" si="0"/>
        <v>PURPOSE: Flag this row as 100% complete for reporting and filtering purposes
ACTION: Click to select
NOTE: This input is optional. Leave blank if the process is ongoing. Used for progress tracking.</v>
      </c>
      <c r="G42" s="1" t="s">
        <v>789</v>
      </c>
      <c r="H42" s="1" t="s">
        <v>790</v>
      </c>
      <c r="I42" s="1" t="s">
        <v>791</v>
      </c>
    </row>
    <row r="43" spans="1:9" ht="75" hidden="1" x14ac:dyDescent="0.25">
      <c r="A43">
        <v>167</v>
      </c>
      <c r="B43" s="2" t="s">
        <v>488</v>
      </c>
      <c r="C43" s="141" t="s">
        <v>437</v>
      </c>
      <c r="D43" t="s">
        <v>683</v>
      </c>
      <c r="E43" t="s">
        <v>684</v>
      </c>
      <c r="F43" s="1" t="str">
        <f t="shared" si="0"/>
        <v>PURPOSE: Data field for Comment in 5_1_Scenario_Manager
ACTION: Enter appropriate value for Comment
NOTE: Please refer to BioDYM documentation for specific requirements.</v>
      </c>
      <c r="G43" s="1" t="s">
        <v>857</v>
      </c>
      <c r="H43" s="1" t="s">
        <v>686</v>
      </c>
      <c r="I43" s="1" t="s">
        <v>738</v>
      </c>
    </row>
    <row r="44" spans="1:9" ht="75" hidden="1" x14ac:dyDescent="0.25">
      <c r="A44">
        <v>30</v>
      </c>
      <c r="B44" t="s">
        <v>484</v>
      </c>
      <c r="C44" s="141" t="s">
        <v>417</v>
      </c>
      <c r="D44" t="s">
        <v>539</v>
      </c>
      <c r="E44" t="s">
        <v>540</v>
      </c>
      <c r="F44" s="1" t="str">
        <f t="shared" si="0"/>
        <v>PURPOSE: Data field for UoM_Source in 1_2_Data_Flows
ACTION: Enter appropriate value for UoM_Source
NOTE: Please refer to BioDYM documentation for specific requirements.</v>
      </c>
      <c r="G44" s="1" t="s">
        <v>755</v>
      </c>
      <c r="H44" s="1" t="s">
        <v>542</v>
      </c>
      <c r="I44" s="1" t="s">
        <v>738</v>
      </c>
    </row>
    <row r="45" spans="1:9" ht="75" x14ac:dyDescent="0.25">
      <c r="A45">
        <v>8</v>
      </c>
      <c r="B45" t="s">
        <v>476</v>
      </c>
      <c r="C45" s="141" t="s">
        <v>431</v>
      </c>
      <c r="D45" t="s">
        <v>507</v>
      </c>
      <c r="E45" t="s">
        <v>507</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728</v>
      </c>
      <c r="H45" s="1" t="s">
        <v>729</v>
      </c>
      <c r="I45" s="1" t="s">
        <v>730</v>
      </c>
    </row>
    <row r="46" spans="1:9" ht="90" x14ac:dyDescent="0.25">
      <c r="A46">
        <v>9</v>
      </c>
      <c r="B46" t="s">
        <v>476</v>
      </c>
      <c r="C46" s="141" t="s">
        <v>27</v>
      </c>
      <c r="D46" t="s">
        <v>899</v>
      </c>
      <c r="E46" t="s">
        <v>900</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731</v>
      </c>
      <c r="H46" s="1" t="s">
        <v>732</v>
      </c>
      <c r="I46" s="1" t="s">
        <v>733</v>
      </c>
    </row>
    <row r="47" spans="1:9" ht="75" hidden="1" x14ac:dyDescent="0.25">
      <c r="A47">
        <v>54</v>
      </c>
      <c r="B47" t="s">
        <v>484</v>
      </c>
      <c r="C47" s="141" t="s">
        <v>422</v>
      </c>
      <c r="D47" t="s">
        <v>586</v>
      </c>
      <c r="E47" t="s">
        <v>587</v>
      </c>
      <c r="F47" s="1" t="str">
        <f t="shared" si="0"/>
        <v>PURPOSE: Data field for CC_Flow_Py in 1_2_Data_Flows
ACTION: Enter appropriate value for CC_Flow_Py
NOTE: Please refer to BioDYM documentation for specific requirements.</v>
      </c>
      <c r="G47" s="1" t="s">
        <v>787</v>
      </c>
      <c r="H47" s="1" t="s">
        <v>589</v>
      </c>
      <c r="I47" s="1" t="s">
        <v>738</v>
      </c>
    </row>
    <row r="48" spans="1:9" ht="75" hidden="1" x14ac:dyDescent="0.25">
      <c r="A48">
        <v>178</v>
      </c>
      <c r="B48" t="s">
        <v>496</v>
      </c>
      <c r="C48" s="141" t="s">
        <v>257</v>
      </c>
      <c r="D48" t="s">
        <v>703</v>
      </c>
      <c r="E48" t="s">
        <v>704</v>
      </c>
      <c r="F48" s="1" t="str">
        <f t="shared" si="0"/>
        <v>PURPOSE: Data field for Y_Position_DM in 6_1_Visualization_Processes
ACTION: Enter appropriate value for Y_Position_DM
NOTE: Please refer to BioDYM documentation for specific requirements.</v>
      </c>
      <c r="G48" s="1" t="s">
        <v>867</v>
      </c>
      <c r="H48" s="1" t="s">
        <v>706</v>
      </c>
      <c r="I48" s="1" t="s">
        <v>738</v>
      </c>
    </row>
    <row r="49" spans="1:9" ht="75" hidden="1" x14ac:dyDescent="0.25">
      <c r="A49">
        <v>178</v>
      </c>
      <c r="B49" t="s">
        <v>496</v>
      </c>
      <c r="C49" s="141" t="s">
        <v>372</v>
      </c>
      <c r="D49" t="s">
        <v>705</v>
      </c>
      <c r="E49" t="s">
        <v>706</v>
      </c>
      <c r="F49" s="1" t="str">
        <f t="shared" si="0"/>
        <v>PURPOSE: Data field for X_Position_CC in 6_1_Visualization_Processes
ACTION: Enter appropriate value for X_Position_CC
NOTE: Please refer to BioDYM documentation for specific requirements.</v>
      </c>
      <c r="G49" s="1" t="s">
        <v>868</v>
      </c>
      <c r="H49" s="1" t="s">
        <v>708</v>
      </c>
      <c r="I49" s="1" t="s">
        <v>738</v>
      </c>
    </row>
    <row r="50" spans="1:9" ht="75" hidden="1" x14ac:dyDescent="0.25">
      <c r="A50">
        <v>29</v>
      </c>
      <c r="B50" t="s">
        <v>484</v>
      </c>
      <c r="C50" s="141" t="s">
        <v>416</v>
      </c>
      <c r="D50" t="s">
        <v>537</v>
      </c>
      <c r="E50" t="s">
        <v>538</v>
      </c>
      <c r="F50" s="1" t="str">
        <f t="shared" si="0"/>
        <v>PURPOSE: Data field for Flow in 1_2_Data_Flows
ACTION: Enter appropriate value for Flow
NOTE: Please refer to BioDYM documentation for specific requirements.</v>
      </c>
      <c r="G50" s="1" t="s">
        <v>754</v>
      </c>
      <c r="H50" s="1" t="s">
        <v>540</v>
      </c>
      <c r="I50" s="1" t="s">
        <v>738</v>
      </c>
    </row>
    <row r="51" spans="1:9" ht="75" x14ac:dyDescent="0.25">
      <c r="A51">
        <v>10</v>
      </c>
      <c r="B51" t="s">
        <v>476</v>
      </c>
      <c r="C51" s="141" t="s">
        <v>29</v>
      </c>
      <c r="D51" t="s">
        <v>901</v>
      </c>
      <c r="E51" t="s">
        <v>902</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734</v>
      </c>
      <c r="H51" s="1" t="s">
        <v>735</v>
      </c>
      <c r="I51" s="1" t="s">
        <v>736</v>
      </c>
    </row>
    <row r="52" spans="1:9" ht="75" x14ac:dyDescent="0.25">
      <c r="A52">
        <v>11</v>
      </c>
      <c r="B52" t="s">
        <v>476</v>
      </c>
      <c r="C52" s="141" t="s">
        <v>28</v>
      </c>
      <c r="D52" t="s">
        <v>903</v>
      </c>
      <c r="E52" t="s">
        <v>904</v>
      </c>
      <c r="F52" s="1" t="str">
        <f t="shared" si="0"/>
        <v>PURPOSE: Data field for Flow_WC_ID  in 1_1_Definition_Flows
ACTION: Enter appropriate value for Flow_WC_ID 
NOTE: Please refer to BioDYM documentation for specific requirements.</v>
      </c>
      <c r="G52" s="1" t="s">
        <v>737</v>
      </c>
      <c r="H52" s="1" t="s">
        <v>517</v>
      </c>
      <c r="I52" s="1" t="s">
        <v>738</v>
      </c>
    </row>
    <row r="53" spans="1:9" ht="75" hidden="1" x14ac:dyDescent="0.25">
      <c r="A53">
        <v>50</v>
      </c>
      <c r="B53" t="s">
        <v>484</v>
      </c>
      <c r="C53" s="141" t="s">
        <v>421</v>
      </c>
      <c r="D53" t="s">
        <v>579</v>
      </c>
      <c r="E53" t="s">
        <v>580</v>
      </c>
      <c r="F53" s="1" t="str">
        <f t="shared" si="0"/>
        <v>PURPOSE: Data field for DM_Flow_Py in 1_2_Data_Flows
ACTION: Enter appropriate value for DM_Flow_Py
NOTE: Please refer to BioDYM documentation for specific requirements.</v>
      </c>
      <c r="G53" s="1" t="s">
        <v>783</v>
      </c>
      <c r="H53" s="1" t="s">
        <v>582</v>
      </c>
      <c r="I53" s="1" t="s">
        <v>738</v>
      </c>
    </row>
    <row r="54" spans="1:9" ht="105" x14ac:dyDescent="0.25">
      <c r="A54">
        <v>12</v>
      </c>
      <c r="B54" t="s">
        <v>476</v>
      </c>
      <c r="C54" s="141" t="s">
        <v>423</v>
      </c>
      <c r="D54" t="s">
        <v>507</v>
      </c>
      <c r="E54" t="s">
        <v>507</v>
      </c>
      <c r="F54" s="1" t="str">
        <f t="shared" si="0"/>
        <v>PURPOSE: Data field for Flow_WC in 1_1_Definition_Flows
ACTION: Enter appropriate value for Flow_WC
NOTE: Please refer to BioDYM documentation for specific requirements.</v>
      </c>
      <c r="G54" s="1" t="s">
        <v>739</v>
      </c>
      <c r="H54" s="1" t="s">
        <v>519</v>
      </c>
      <c r="I54" s="1" t="s">
        <v>738</v>
      </c>
    </row>
    <row r="55" spans="1:9" ht="105" hidden="1" x14ac:dyDescent="0.25">
      <c r="A55">
        <v>24</v>
      </c>
      <c r="B55" t="s">
        <v>484</v>
      </c>
      <c r="C55" s="141" t="s">
        <v>11</v>
      </c>
      <c r="D55" t="s">
        <v>508</v>
      </c>
      <c r="E55" t="s">
        <v>507</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719</v>
      </c>
      <c r="H55" s="1" t="s">
        <v>720</v>
      </c>
      <c r="I55" s="1" t="s">
        <v>721</v>
      </c>
    </row>
    <row r="56" spans="1:9" ht="75" hidden="1" x14ac:dyDescent="0.25">
      <c r="A56">
        <v>75</v>
      </c>
      <c r="B56" t="s">
        <v>873</v>
      </c>
      <c r="C56" s="141" t="s">
        <v>11</v>
      </c>
      <c r="D56" t="s">
        <v>508</v>
      </c>
      <c r="E56" t="s">
        <v>507</v>
      </c>
      <c r="F56" s="1" t="str">
        <f t="shared" si="0"/>
        <v>PURPOSE: Unique identifier for transfer coefficient material
ACTION: Automatically assigned
NOTE: This field is generated automatically. No manual input required. Used for system identification and linking.</v>
      </c>
      <c r="G56" s="1" t="s">
        <v>808</v>
      </c>
      <c r="H56" s="1" t="s">
        <v>716</v>
      </c>
      <c r="I56" s="1" t="s">
        <v>717</v>
      </c>
    </row>
    <row r="57" spans="1:9" ht="75" hidden="1" x14ac:dyDescent="0.25">
      <c r="A57">
        <v>96</v>
      </c>
      <c r="B57" s="164" t="s">
        <v>874</v>
      </c>
      <c r="C57" s="141" t="s">
        <v>11</v>
      </c>
      <c r="D57" t="s">
        <v>508</v>
      </c>
      <c r="E57" t="s">
        <v>507</v>
      </c>
      <c r="F57" s="1" t="str">
        <f t="shared" si="0"/>
        <v>PURPOSE: Defines the Year (Dynamic TCs) for temporal data organization
ACTION: Enter year (e.g., 2020, 2021, 2022)
NOTE: Must be consistent with analysis time period. Used for time-series data organization.</v>
      </c>
      <c r="G57" s="1" t="s">
        <v>820</v>
      </c>
      <c r="H57" s="1" t="s">
        <v>752</v>
      </c>
      <c r="I57" s="1" t="s">
        <v>753</v>
      </c>
    </row>
    <row r="58" spans="1:9" ht="75" hidden="1" x14ac:dyDescent="0.25">
      <c r="A58">
        <v>122</v>
      </c>
      <c r="B58" s="164" t="s">
        <v>875</v>
      </c>
      <c r="C58" s="141" t="s">
        <v>11</v>
      </c>
      <c r="D58" t="s">
        <v>508</v>
      </c>
      <c r="E58" t="s">
        <v>507</v>
      </c>
      <c r="F58" s="1" t="str">
        <f t="shared" si="0"/>
        <v>PURPOSE: Defines the {field_type} for calculations
ACTION: Enter numerical value in specified unit
NOTE: Required for system calculations. Must be positive value. Used in MFA calculations.</v>
      </c>
      <c r="G58" s="1" t="s">
        <v>806</v>
      </c>
      <c r="H58" s="1" t="s">
        <v>772</v>
      </c>
      <c r="I58" s="1" t="s">
        <v>773</v>
      </c>
    </row>
    <row r="59" spans="1:9" ht="75" hidden="1" x14ac:dyDescent="0.25">
      <c r="A59">
        <v>178</v>
      </c>
      <c r="B59" t="s">
        <v>496</v>
      </c>
      <c r="C59" s="141" t="s">
        <v>11</v>
      </c>
      <c r="D59" t="s">
        <v>707</v>
      </c>
      <c r="E59" t="s">
        <v>708</v>
      </c>
      <c r="F59" s="1" t="str">
        <f t="shared" si="0"/>
        <v>PURPOSE: Data field for Y_Position_CC in 6_1_Visualization_Processes
ACTION: Enter appropriate value for Y_Position_CC
NOTE: Please refer to BioDYM documentation for specific requirements.</v>
      </c>
      <c r="G59" s="1" t="s">
        <v>869</v>
      </c>
      <c r="H59" s="1" t="s">
        <v>710</v>
      </c>
      <c r="I59" s="1" t="s">
        <v>738</v>
      </c>
    </row>
    <row r="60" spans="1:9" ht="90" x14ac:dyDescent="0.25">
      <c r="A60">
        <v>13</v>
      </c>
      <c r="B60" t="s">
        <v>476</v>
      </c>
      <c r="C60" s="141" t="s">
        <v>428</v>
      </c>
      <c r="D60" t="s">
        <v>518</v>
      </c>
      <c r="E60" t="s">
        <v>519</v>
      </c>
      <c r="F60" s="1" t="str">
        <f t="shared" si="0"/>
        <v>PURPOSE: Data field for WC_source in 1_1_Definition_Flows
ACTION: Enter appropriate value for WC_source
NOTE: Please refer to BioDYM documentation for specific requirements.</v>
      </c>
      <c r="G60" s="1" t="s">
        <v>740</v>
      </c>
      <c r="H60" s="1" t="s">
        <v>520</v>
      </c>
      <c r="I60" s="1" t="s">
        <v>738</v>
      </c>
    </row>
    <row r="61" spans="1:9" ht="75" hidden="1" x14ac:dyDescent="0.25">
      <c r="A61">
        <v>43</v>
      </c>
      <c r="B61" t="s">
        <v>484</v>
      </c>
      <c r="C61" s="141" t="s">
        <v>418</v>
      </c>
      <c r="D61" t="s">
        <v>565</v>
      </c>
      <c r="E61" t="s">
        <v>566</v>
      </c>
      <c r="F61" s="1" t="str">
        <f t="shared" si="0"/>
        <v>PURPOSE: Data field for UoM_Flow_Py in 1_2_Data_Flows
ACTION: Enter appropriate value for UoM_Flow_Py
NOTE: Please refer to BioDYM documentation for specific requirements.</v>
      </c>
      <c r="G61" s="1" t="s">
        <v>774</v>
      </c>
      <c r="H61" s="1" t="s">
        <v>568</v>
      </c>
      <c r="I61" s="1" t="s">
        <v>738</v>
      </c>
    </row>
    <row r="62" spans="1:9" ht="105" hidden="1" x14ac:dyDescent="0.25">
      <c r="A62">
        <v>42</v>
      </c>
      <c r="B62" t="s">
        <v>484</v>
      </c>
      <c r="C62" s="141" t="s">
        <v>419</v>
      </c>
      <c r="D62" t="s">
        <v>563</v>
      </c>
      <c r="E62" t="s">
        <v>564</v>
      </c>
      <c r="F62" s="1" t="str">
        <f t="shared" si="0"/>
        <v>PURPOSE: Defines the Material Flow Amount for calculations
ACTION: Enter numerical value in specified unit
NOTE: Required for system calculations. Must be positive value. Used in MFA calculations.</v>
      </c>
      <c r="G62" s="1" t="s">
        <v>771</v>
      </c>
      <c r="H62" s="1" t="s">
        <v>772</v>
      </c>
      <c r="I62" s="1" t="s">
        <v>773</v>
      </c>
    </row>
    <row r="63" spans="1:9" ht="105" x14ac:dyDescent="0.25">
      <c r="A63">
        <v>14</v>
      </c>
      <c r="B63" t="s">
        <v>476</v>
      </c>
      <c r="C63" s="141" t="s">
        <v>31</v>
      </c>
      <c r="D63" t="s">
        <v>31</v>
      </c>
      <c r="E63" t="s">
        <v>905</v>
      </c>
      <c r="F63" s="1" t="str">
        <f t="shared" si="0"/>
        <v>PURPOSE: Data field for Flow_DM_ID in 1_1_Definition_Flows
ACTION: Enter appropriate value for Flow_DM_ID
NOTE: Please refer to BioDYM documentation for specific requirements.</v>
      </c>
      <c r="G63" s="1" t="s">
        <v>741</v>
      </c>
      <c r="H63" s="1" t="s">
        <v>522</v>
      </c>
      <c r="I63" s="1" t="s">
        <v>738</v>
      </c>
    </row>
    <row r="64" spans="1:9" ht="90" hidden="1" x14ac:dyDescent="0.25">
      <c r="A64">
        <v>25</v>
      </c>
      <c r="B64" t="s">
        <v>484</v>
      </c>
      <c r="C64" s="141" t="s">
        <v>427</v>
      </c>
      <c r="D64" t="s">
        <v>509</v>
      </c>
      <c r="E64" t="s">
        <v>510</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728</v>
      </c>
      <c r="H64" s="1" t="s">
        <v>729</v>
      </c>
      <c r="I64" s="1" t="s">
        <v>730</v>
      </c>
    </row>
    <row r="65" spans="1:9" ht="90" x14ac:dyDescent="0.25">
      <c r="A65">
        <v>15</v>
      </c>
      <c r="B65" t="s">
        <v>476</v>
      </c>
      <c r="C65" s="141" t="s">
        <v>424</v>
      </c>
      <c r="D65" t="s">
        <v>521</v>
      </c>
      <c r="E65" t="s">
        <v>522</v>
      </c>
      <c r="F65" s="1" t="str">
        <f t="shared" si="0"/>
        <v>PURPOSE: Data field for Flow_DM in 1_1_Definition_Flows
ACTION: Enter appropriate value for Flow_DM
NOTE: Please refer to BioDYM documentation for specific requirements.</v>
      </c>
      <c r="G65" s="1" t="s">
        <v>742</v>
      </c>
      <c r="H65" s="1" t="s">
        <v>524</v>
      </c>
      <c r="I65" s="1" t="s">
        <v>738</v>
      </c>
    </row>
    <row r="66" spans="1:9" ht="105" x14ac:dyDescent="0.25">
      <c r="A66">
        <v>16</v>
      </c>
      <c r="B66" t="s">
        <v>476</v>
      </c>
      <c r="C66" s="141" t="s">
        <v>429</v>
      </c>
      <c r="D66" t="s">
        <v>523</v>
      </c>
      <c r="E66" t="s">
        <v>524</v>
      </c>
      <c r="F66" s="1" t="str">
        <f t="shared" si="0"/>
        <v>PURPOSE: Data field for DM_source in 1_1_Definition_Flows
ACTION: Enter appropriate value for DM_source
NOTE: Please refer to BioDYM documentation for specific requirements.</v>
      </c>
      <c r="G66" s="1" t="s">
        <v>743</v>
      </c>
      <c r="H66" s="1" t="s">
        <v>526</v>
      </c>
      <c r="I66" s="1" t="s">
        <v>738</v>
      </c>
    </row>
    <row r="67" spans="1:9" ht="75" x14ac:dyDescent="0.25">
      <c r="A67">
        <v>17</v>
      </c>
      <c r="B67" t="s">
        <v>476</v>
      </c>
      <c r="C67" s="141" t="s">
        <v>33</v>
      </c>
      <c r="D67" t="s">
        <v>525</v>
      </c>
      <c r="E67" t="s">
        <v>526</v>
      </c>
      <c r="F67" s="1" t="str">
        <f t="shared" si="0"/>
        <v>PURPOSE: Data field for Flow_CC_ID in 1_1_Definition_Flows
ACTION: Enter appropriate value for Flow_CC_ID
NOTE: Please refer to BioDYM documentation for specific requirements.</v>
      </c>
      <c r="G67" s="1" t="s">
        <v>744</v>
      </c>
      <c r="H67" s="1" t="s">
        <v>528</v>
      </c>
      <c r="I67" s="1" t="s">
        <v>738</v>
      </c>
    </row>
    <row r="68" spans="1:9" ht="75.75" thickBot="1" x14ac:dyDescent="0.3">
      <c r="A68">
        <v>18</v>
      </c>
      <c r="B68" t="s">
        <v>476</v>
      </c>
      <c r="C68" s="141" t="s">
        <v>425</v>
      </c>
      <c r="D68" t="s">
        <v>527</v>
      </c>
      <c r="E68" t="s">
        <v>528</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745</v>
      </c>
      <c r="H68" s="1" t="s">
        <v>746</v>
      </c>
      <c r="I68" s="1" t="s">
        <v>747</v>
      </c>
    </row>
    <row r="69" spans="1:9" ht="75.75" hidden="1" thickBot="1" x14ac:dyDescent="0.3">
      <c r="A69">
        <v>46</v>
      </c>
      <c r="B69" t="s">
        <v>484</v>
      </c>
      <c r="C69" s="162" t="s">
        <v>420</v>
      </c>
      <c r="D69" t="s">
        <v>571</v>
      </c>
      <c r="E69" t="s">
        <v>572</v>
      </c>
      <c r="F69" s="1" t="str">
        <f t="shared" si="1"/>
        <v>PURPOSE: Data field for WC_Flow_Py in 1_2_Data_Flows
ACTION: Enter appropriate value for WC_Flow_Py
NOTE: Please refer to BioDYM documentation for specific requirements.</v>
      </c>
      <c r="G69" s="1" t="s">
        <v>778</v>
      </c>
      <c r="H69" s="1" t="s">
        <v>574</v>
      </c>
      <c r="I69" s="1" t="s">
        <v>738</v>
      </c>
    </row>
    <row r="70" spans="1:9" ht="90" x14ac:dyDescent="0.25">
      <c r="A70">
        <v>19</v>
      </c>
      <c r="B70" t="s">
        <v>476</v>
      </c>
      <c r="C70" s="163" t="s">
        <v>430</v>
      </c>
      <c r="D70" t="s">
        <v>529</v>
      </c>
      <c r="E70" t="s">
        <v>530</v>
      </c>
      <c r="F70" s="1" t="str">
        <f t="shared" si="1"/>
        <v>PURPOSE: Data field for CC_DM_source in 1_1_Definition_Flows
ACTION: Enter appropriate value for CC_DM_source
NOTE: Please refer to BioDYM documentation for specific requirements.</v>
      </c>
      <c r="G70" s="1" t="s">
        <v>748</v>
      </c>
      <c r="H70" s="1" t="s">
        <v>532</v>
      </c>
      <c r="I70" s="1" t="s">
        <v>738</v>
      </c>
    </row>
    <row r="71" spans="1:9" ht="90" hidden="1" x14ac:dyDescent="0.25">
      <c r="A71">
        <v>23</v>
      </c>
      <c r="B71" t="s">
        <v>484</v>
      </c>
      <c r="C71" s="163" t="s">
        <v>7</v>
      </c>
      <c r="D71" t="s">
        <v>506</v>
      </c>
      <c r="E71" t="s">
        <v>507</v>
      </c>
      <c r="F71" s="1" t="str">
        <f t="shared" si="1"/>
        <v>PURPOSE: Unique identifier for material flow
ACTION: Automatically assigned
NOTE: This field is generated automatically. No manual input required. Used for system identification and linking.</v>
      </c>
      <c r="G71" s="1" t="s">
        <v>718</v>
      </c>
      <c r="H71" s="1" t="s">
        <v>716</v>
      </c>
      <c r="I71" s="1" t="s">
        <v>717</v>
      </c>
    </row>
    <row r="72" spans="1:9" ht="90" hidden="1" x14ac:dyDescent="0.25">
      <c r="A72">
        <v>58</v>
      </c>
      <c r="B72" t="s">
        <v>485</v>
      </c>
      <c r="C72" s="163" t="s">
        <v>7</v>
      </c>
      <c r="D72" t="s">
        <v>506</v>
      </c>
      <c r="E72" t="s">
        <v>507</v>
      </c>
      <c r="F72" s="1" t="str">
        <f t="shared" si="1"/>
        <v>PURPOSE: Unique identifier for process
ACTION: Automatically assigned
NOTE: This field is generated automatically. No manual input required. Used for system identification and linking.</v>
      </c>
      <c r="G72" s="1" t="s">
        <v>792</v>
      </c>
      <c r="H72" s="1" t="s">
        <v>716</v>
      </c>
      <c r="I72" s="1" t="s">
        <v>717</v>
      </c>
    </row>
    <row r="73" spans="1:9" ht="90" hidden="1" x14ac:dyDescent="0.25">
      <c r="A73">
        <v>67</v>
      </c>
      <c r="B73" t="s">
        <v>873</v>
      </c>
      <c r="C73" s="141" t="s">
        <v>7</v>
      </c>
      <c r="D73" t="s">
        <v>506</v>
      </c>
      <c r="E73" t="s">
        <v>507</v>
      </c>
      <c r="F73" s="1" t="str">
        <f t="shared" si="1"/>
        <v>PURPOSE: Unique identifier for process
ACTION: Automatically assigned
NOTE: This field is generated automatically. No manual input required. Used for system identification and linking.</v>
      </c>
      <c r="G73" s="1" t="s">
        <v>792</v>
      </c>
      <c r="H73" s="1" t="s">
        <v>716</v>
      </c>
      <c r="I73" s="1" t="s">
        <v>717</v>
      </c>
    </row>
    <row r="74" spans="1:9" ht="90" hidden="1" x14ac:dyDescent="0.25">
      <c r="A74">
        <v>90</v>
      </c>
      <c r="B74" s="164" t="s">
        <v>874</v>
      </c>
      <c r="C74" s="141" t="s">
        <v>7</v>
      </c>
      <c r="D74" t="s">
        <v>506</v>
      </c>
      <c r="E74" t="s">
        <v>507</v>
      </c>
      <c r="F74" s="1" t="str">
        <f t="shared" si="1"/>
        <v>PURPOSE: Unique identifier for process
ACTION: Automatically assigned
NOTE: This field is generated automatically. No manual input required. Used for system identification and linking.</v>
      </c>
      <c r="G74" s="1" t="s">
        <v>792</v>
      </c>
      <c r="H74" s="1" t="s">
        <v>716</v>
      </c>
      <c r="I74" s="1" t="s">
        <v>717</v>
      </c>
    </row>
    <row r="75" spans="1:9" ht="90" hidden="1" x14ac:dyDescent="0.25">
      <c r="A75">
        <v>107</v>
      </c>
      <c r="B75" s="164" t="s">
        <v>875</v>
      </c>
      <c r="C75" s="141" t="s">
        <v>7</v>
      </c>
      <c r="D75" t="s">
        <v>506</v>
      </c>
      <c r="E75" t="s">
        <v>507</v>
      </c>
      <c r="F75" s="1" t="str">
        <f t="shared" si="1"/>
        <v>PURPOSE: Unique identifier for {context}
ACTION: Automatically assigned
NOTE: This field is generated automatically. No manual input required. Used for system identification and linking.</v>
      </c>
      <c r="G75" s="1" t="s">
        <v>810</v>
      </c>
      <c r="H75" s="1" t="s">
        <v>716</v>
      </c>
      <c r="I75" s="1" t="s">
        <v>717</v>
      </c>
    </row>
    <row r="76" spans="1:9" ht="90" hidden="1" x14ac:dyDescent="0.25">
      <c r="A76">
        <v>137</v>
      </c>
      <c r="B76" t="s">
        <v>487</v>
      </c>
      <c r="C76" s="141" t="s">
        <v>7</v>
      </c>
      <c r="D76" t="s">
        <v>506</v>
      </c>
      <c r="E76" t="s">
        <v>507</v>
      </c>
      <c r="F76" s="1" t="str">
        <f t="shared" si="1"/>
        <v>PURPOSE: Unique identifier for process
ACTION: Automatically assigned
NOTE: This field is generated automatically. No manual input required. Used for system identification and linking.</v>
      </c>
      <c r="G76" s="1" t="s">
        <v>792</v>
      </c>
      <c r="H76" s="1" t="s">
        <v>716</v>
      </c>
      <c r="I76" s="1" t="s">
        <v>717</v>
      </c>
    </row>
    <row r="77" spans="1:9" ht="75" hidden="1" x14ac:dyDescent="0.25">
      <c r="A77">
        <v>149</v>
      </c>
      <c r="B77" t="s">
        <v>489</v>
      </c>
      <c r="C77" s="141" t="s">
        <v>7</v>
      </c>
      <c r="D77" t="s">
        <v>506</v>
      </c>
      <c r="E77" t="s">
        <v>507</v>
      </c>
      <c r="F77" s="1" t="str">
        <f t="shared" si="1"/>
        <v>PURPOSE: Data field for Parameter in 4_1_Uncertainty_Parameters
ACTION: Enter appropriate value for Parameter
NOTE: Please refer to BioDYM documentation for specific requirements.</v>
      </c>
      <c r="G77" s="1" t="s">
        <v>840</v>
      </c>
      <c r="H77" s="1" t="s">
        <v>660</v>
      </c>
      <c r="I77" s="1" t="s">
        <v>738</v>
      </c>
    </row>
    <row r="78" spans="1:9" ht="75" hidden="1" x14ac:dyDescent="0.25">
      <c r="A78">
        <v>159</v>
      </c>
      <c r="B78" s="2" t="s">
        <v>488</v>
      </c>
      <c r="C78" s="141" t="s">
        <v>7</v>
      </c>
      <c r="D78" t="s">
        <v>506</v>
      </c>
      <c r="E78" t="s">
        <v>507</v>
      </c>
      <c r="F78" s="1" t="str">
        <f t="shared" si="1"/>
        <v>PURPOSE: Data field for Scenario_Name in 5_1_Scenario_Manager
ACTION: Enter appropriate value for Scenario_Name
NOTE: Please refer to BioDYM documentation for specific requirements.</v>
      </c>
      <c r="G78" s="1" t="s">
        <v>849</v>
      </c>
      <c r="H78" s="1" t="s">
        <v>676</v>
      </c>
      <c r="I78" s="1" t="s">
        <v>738</v>
      </c>
    </row>
    <row r="79" spans="1:9" ht="90" hidden="1" x14ac:dyDescent="0.25">
      <c r="A79">
        <v>170</v>
      </c>
      <c r="B79" t="s">
        <v>495</v>
      </c>
      <c r="C79" s="141" t="s">
        <v>7</v>
      </c>
      <c r="D79" t="s">
        <v>506</v>
      </c>
      <c r="E79" t="s">
        <v>507</v>
      </c>
      <c r="F79" s="1" t="str">
        <f t="shared" si="1"/>
        <v>PURPOSE: Unique identifier for process
ACTION: Automatically assigned
NOTE: This field is generated automatically. No manual input required. Used for system identification and linking.</v>
      </c>
      <c r="G79" s="1" t="s">
        <v>792</v>
      </c>
      <c r="H79" s="1" t="s">
        <v>716</v>
      </c>
      <c r="I79" s="1" t="s">
        <v>717</v>
      </c>
    </row>
    <row r="80" spans="1:9" ht="105" hidden="1" x14ac:dyDescent="0.25">
      <c r="A80">
        <v>178</v>
      </c>
      <c r="B80" t="s">
        <v>496</v>
      </c>
      <c r="C80" s="141" t="s">
        <v>7</v>
      </c>
      <c r="D80" t="s">
        <v>709</v>
      </c>
      <c r="E80" t="s">
        <v>710</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795</v>
      </c>
      <c r="H80" s="1" t="s">
        <v>796</v>
      </c>
      <c r="I80" s="1" t="s">
        <v>721</v>
      </c>
    </row>
    <row r="81" spans="1:9" ht="90" hidden="1" x14ac:dyDescent="0.25">
      <c r="A81">
        <v>118</v>
      </c>
      <c r="B81" s="164" t="s">
        <v>875</v>
      </c>
      <c r="C81" s="141" t="s">
        <v>170</v>
      </c>
      <c r="D81" t="s">
        <v>633</v>
      </c>
      <c r="E81" t="s">
        <v>530</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826</v>
      </c>
      <c r="H81" s="1" t="s">
        <v>827</v>
      </c>
      <c r="I81" s="1" t="s">
        <v>721</v>
      </c>
    </row>
    <row r="82" spans="1:9" ht="90" hidden="1" x14ac:dyDescent="0.25">
      <c r="A82">
        <v>117</v>
      </c>
      <c r="B82" s="164" t="s">
        <v>875</v>
      </c>
      <c r="C82" s="141" t="s">
        <v>169</v>
      </c>
      <c r="D82" t="s">
        <v>632</v>
      </c>
      <c r="E82" t="s">
        <v>578</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745</v>
      </c>
      <c r="H82" s="1" t="s">
        <v>746</v>
      </c>
      <c r="I82" s="1" t="s">
        <v>825</v>
      </c>
    </row>
    <row r="83" spans="1:9" ht="75" hidden="1" x14ac:dyDescent="0.25">
      <c r="A83">
        <v>114</v>
      </c>
      <c r="B83" s="164" t="s">
        <v>875</v>
      </c>
      <c r="C83" s="141" t="s">
        <v>167</v>
      </c>
      <c r="D83" t="s">
        <v>627</v>
      </c>
      <c r="E83" t="s">
        <v>628</v>
      </c>
      <c r="F83" s="1" t="str">
        <f t="shared" si="1"/>
        <v>PURPOSE: Data field for UoM in 2_5_Initial_Stock
ACTION: Enter appropriate value for UoM
NOTE: Please refer to BioDYM documentation for specific requirements.</v>
      </c>
      <c r="G83" s="1" t="s">
        <v>822</v>
      </c>
      <c r="H83" s="1" t="s">
        <v>630</v>
      </c>
      <c r="I83" s="1" t="s">
        <v>738</v>
      </c>
    </row>
    <row r="84" spans="1:9" ht="90" hidden="1" x14ac:dyDescent="0.25">
      <c r="A84">
        <v>116</v>
      </c>
      <c r="B84" s="164" t="s">
        <v>875</v>
      </c>
      <c r="C84" s="141" t="s">
        <v>168</v>
      </c>
      <c r="D84" t="s">
        <v>631</v>
      </c>
      <c r="E84" t="s">
        <v>570</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780</v>
      </c>
      <c r="H84" s="1" t="s">
        <v>746</v>
      </c>
      <c r="I84" s="1" t="s">
        <v>824</v>
      </c>
    </row>
    <row r="85" spans="1:9" ht="90" x14ac:dyDescent="0.25">
      <c r="A85">
        <v>20</v>
      </c>
      <c r="B85" t="s">
        <v>476</v>
      </c>
      <c r="C85" s="141" t="s">
        <v>50</v>
      </c>
      <c r="D85" t="s">
        <v>531</v>
      </c>
      <c r="E85" t="s">
        <v>532</v>
      </c>
      <c r="F85" s="1" t="str">
        <f t="shared" si="1"/>
        <v>PURPOSE: Data field for CC in 1_1_Definition_Flows
ACTION: Enter appropriate value for CC
NOTE: Please refer to BioDYM documentation for specific requirements.</v>
      </c>
      <c r="G85" s="1" t="s">
        <v>749</v>
      </c>
      <c r="H85" s="1" t="s">
        <v>534</v>
      </c>
      <c r="I85" s="1" t="s">
        <v>738</v>
      </c>
    </row>
    <row r="86" spans="1:9" ht="75" hidden="1" x14ac:dyDescent="0.25">
      <c r="A86">
        <v>157</v>
      </c>
      <c r="B86" t="s">
        <v>489</v>
      </c>
      <c r="C86" s="141" t="s">
        <v>178</v>
      </c>
      <c r="D86" t="s">
        <v>671</v>
      </c>
      <c r="E86" t="s">
        <v>672</v>
      </c>
      <c r="F86" s="1" t="str">
        <f t="shared" si="1"/>
        <v>PURPOSE: Data field for Mode in 4_1_Uncertainty_Parameters
ACTION: Enter appropriate value for Mode
NOTE: Please refer to BioDYM documentation for specific requirements.</v>
      </c>
      <c r="G86" s="1" t="s">
        <v>848</v>
      </c>
      <c r="H86" s="1" t="s">
        <v>674</v>
      </c>
      <c r="I86" s="1" t="s">
        <v>738</v>
      </c>
    </row>
    <row r="87" spans="1:9" ht="75" hidden="1" x14ac:dyDescent="0.25">
      <c r="A87">
        <v>154</v>
      </c>
      <c r="B87" t="s">
        <v>489</v>
      </c>
      <c r="C87" s="141" t="s">
        <v>175</v>
      </c>
      <c r="D87" t="s">
        <v>665</v>
      </c>
      <c r="E87" t="s">
        <v>666</v>
      </c>
      <c r="F87" s="1" t="str">
        <f t="shared" si="1"/>
        <v>PURPOSE: Data field for StdDev in 4_1_Uncertainty_Parameters
ACTION: Enter appropriate value for StdDev
NOTE: Please refer to BioDYM documentation for specific requirements.</v>
      </c>
      <c r="G87" s="1" t="s">
        <v>845</v>
      </c>
      <c r="H87" s="1" t="s">
        <v>668</v>
      </c>
      <c r="I87" s="1" t="s">
        <v>738</v>
      </c>
    </row>
    <row r="88" spans="1:9" ht="75" hidden="1" x14ac:dyDescent="0.25">
      <c r="A88">
        <v>156</v>
      </c>
      <c r="B88" t="s">
        <v>489</v>
      </c>
      <c r="C88" s="141" t="s">
        <v>177</v>
      </c>
      <c r="D88" t="s">
        <v>669</v>
      </c>
      <c r="E88" t="s">
        <v>670</v>
      </c>
      <c r="F88" s="1" t="str">
        <f t="shared" si="1"/>
        <v>PURPOSE: Data field for Max in 4_1_Uncertainty_Parameters
ACTION: Enter appropriate value for Max
NOTE: Please refer to BioDYM documentation for specific requirements.</v>
      </c>
      <c r="G88" s="1" t="s">
        <v>847</v>
      </c>
      <c r="H88" s="1" t="s">
        <v>672</v>
      </c>
      <c r="I88" s="1" t="s">
        <v>738</v>
      </c>
    </row>
    <row r="89" spans="1:9" ht="90" hidden="1" x14ac:dyDescent="0.25">
      <c r="A89">
        <v>158</v>
      </c>
      <c r="B89" t="s">
        <v>489</v>
      </c>
      <c r="C89" s="141" t="s">
        <v>179</v>
      </c>
      <c r="D89" t="s">
        <v>673</v>
      </c>
      <c r="E89" t="s">
        <v>674</v>
      </c>
      <c r="F89" s="1" t="str">
        <f t="shared" si="1"/>
        <v>PURPOSE: Unique identifier for data row
ACTION: Automatically assigned
NOTE: This field is generated automatically. No manual input required. Used for system identification and linking.</v>
      </c>
      <c r="G89" s="1" t="s">
        <v>715</v>
      </c>
      <c r="H89" s="1" t="s">
        <v>716</v>
      </c>
      <c r="I89" s="1" t="s">
        <v>717</v>
      </c>
    </row>
    <row r="90" spans="1:9" ht="75" hidden="1" x14ac:dyDescent="0.25">
      <c r="A90">
        <v>172</v>
      </c>
      <c r="B90" t="s">
        <v>495</v>
      </c>
      <c r="C90" s="141" t="s">
        <v>26</v>
      </c>
      <c r="D90" t="s">
        <v>687</v>
      </c>
      <c r="E90" t="s">
        <v>688</v>
      </c>
      <c r="F90" s="1" t="str">
        <f t="shared" si="1"/>
        <v>PURPOSE: Data field for Color_Category in 6_1_Visualization_Processes
ACTION: Enter appropriate value for Color_Category
NOTE: Please refer to BioDYM documentation for specific requirements.</v>
      </c>
      <c r="G90" s="1" t="s">
        <v>859</v>
      </c>
      <c r="H90" s="1" t="s">
        <v>690</v>
      </c>
      <c r="I90" s="1" t="s">
        <v>738</v>
      </c>
    </row>
    <row r="91" spans="1:9" ht="90" hidden="1" x14ac:dyDescent="0.25">
      <c r="A91">
        <v>178</v>
      </c>
      <c r="B91" t="s">
        <v>496</v>
      </c>
      <c r="C91" s="141" t="s">
        <v>26</v>
      </c>
      <c r="D91" t="s">
        <v>597</v>
      </c>
      <c r="E91" t="s">
        <v>598</v>
      </c>
      <c r="F91" s="1" t="str">
        <f t="shared" si="1"/>
        <v>PURPOSE: Unique identifier for data row
ACTION: Automatically assigned
NOTE: This field is generated automatically. No manual input required. Used for system identification and linking.</v>
      </c>
      <c r="G91" s="1" t="s">
        <v>715</v>
      </c>
      <c r="H91" s="1" t="s">
        <v>716</v>
      </c>
      <c r="I91" s="1" t="s">
        <v>717</v>
      </c>
    </row>
    <row r="92" spans="1:9" ht="75" hidden="1" x14ac:dyDescent="0.25">
      <c r="A92">
        <v>41</v>
      </c>
      <c r="B92" t="s">
        <v>484</v>
      </c>
      <c r="C92" s="162" t="s">
        <v>20</v>
      </c>
      <c r="D92" t="s">
        <v>561</v>
      </c>
      <c r="E92" t="s">
        <v>562</v>
      </c>
      <c r="F92" s="1" t="str">
        <f t="shared" si="1"/>
        <v>PURPOSE: Data field for Flow_material_year_ID in 1_2_Data_Flows
ACTION: Enter appropriate value for Flow_material_year_ID
NOTE: Please refer to BioDYM documentation for specific requirements.</v>
      </c>
      <c r="G92" s="1" t="s">
        <v>770</v>
      </c>
      <c r="H92" s="1" t="s">
        <v>564</v>
      </c>
      <c r="I92" s="1" t="s">
        <v>738</v>
      </c>
    </row>
    <row r="93" spans="1:9" ht="75" hidden="1" x14ac:dyDescent="0.25">
      <c r="A93">
        <v>32</v>
      </c>
      <c r="B93" t="s">
        <v>484</v>
      </c>
      <c r="C93" s="163" t="s">
        <v>13</v>
      </c>
      <c r="D93" t="s">
        <v>543</v>
      </c>
      <c r="E93" t="s">
        <v>544</v>
      </c>
      <c r="F93" s="1" t="str">
        <f t="shared" si="1"/>
        <v>PURPOSE: Data field for AVV in 1_2_Data_Flows
ACTION: Enter appropriate value for AVV
NOTE: Please refer to BioDYM documentation for specific requirements.</v>
      </c>
      <c r="G93" s="1" t="s">
        <v>757</v>
      </c>
      <c r="H93" s="1" t="s">
        <v>546</v>
      </c>
      <c r="I93" s="1" t="s">
        <v>738</v>
      </c>
    </row>
    <row r="94" spans="1:9" ht="75" hidden="1" x14ac:dyDescent="0.25">
      <c r="A94">
        <v>165</v>
      </c>
      <c r="B94" s="2" t="s">
        <v>488</v>
      </c>
      <c r="C94" s="163" t="s">
        <v>190</v>
      </c>
      <c r="D94" t="s">
        <v>679</v>
      </c>
      <c r="E94" t="s">
        <v>680</v>
      </c>
      <c r="F94" s="1" t="str">
        <f t="shared" si="1"/>
        <v>PURPOSE: Data field for start_year in 5_1_Scenario_Manager
ACTION: Enter appropriate value for start_year
NOTE: Please refer to BioDYM documentation for specific requirements.</v>
      </c>
      <c r="G94" s="1" t="s">
        <v>855</v>
      </c>
      <c r="H94" s="1" t="s">
        <v>682</v>
      </c>
      <c r="I94" s="1" t="s">
        <v>738</v>
      </c>
    </row>
    <row r="95" spans="1:9" ht="75" hidden="1" x14ac:dyDescent="0.25">
      <c r="A95">
        <v>174</v>
      </c>
      <c r="B95" t="s">
        <v>495</v>
      </c>
      <c r="C95" s="163" t="s">
        <v>255</v>
      </c>
      <c r="D95" t="s">
        <v>691</v>
      </c>
      <c r="E95" t="s">
        <v>692</v>
      </c>
      <c r="F95" s="1" t="str">
        <f t="shared" si="1"/>
        <v>PURPOSE: Data field for Node_Color_# in 6_1_Visualization_Processes
ACTION: Enter appropriate value for Node_Color_#
NOTE: Please refer to BioDYM documentation for specific requirements.</v>
      </c>
      <c r="G95" s="1" t="s">
        <v>861</v>
      </c>
      <c r="H95" s="1" t="s">
        <v>694</v>
      </c>
      <c r="I95" s="1" t="s">
        <v>738</v>
      </c>
    </row>
    <row r="96" spans="1:9" ht="75" hidden="1" x14ac:dyDescent="0.25">
      <c r="A96">
        <v>175</v>
      </c>
      <c r="B96" t="s">
        <v>495</v>
      </c>
      <c r="C96" s="163" t="s">
        <v>256</v>
      </c>
      <c r="D96" t="s">
        <v>693</v>
      </c>
      <c r="E96" t="s">
        <v>694</v>
      </c>
      <c r="F96" s="1" t="str">
        <f t="shared" si="1"/>
        <v>PURPOSE: Data field for X_Position_Material in 6_1_Visualization_Processes
ACTION: Enter appropriate value for X_Position_Material
NOTE: Please refer to BioDYM documentation for specific requirements.</v>
      </c>
      <c r="G96" s="1" t="s">
        <v>862</v>
      </c>
      <c r="H96" s="1" t="s">
        <v>696</v>
      </c>
      <c r="I96" s="1" t="s">
        <v>738</v>
      </c>
    </row>
    <row r="97" spans="1:9" ht="75" hidden="1" x14ac:dyDescent="0.25">
      <c r="A97">
        <v>65</v>
      </c>
      <c r="B97" t="s">
        <v>485</v>
      </c>
      <c r="C97" s="141" t="s">
        <v>180</v>
      </c>
      <c r="D97" t="s">
        <v>549</v>
      </c>
      <c r="E97" t="s">
        <v>605</v>
      </c>
      <c r="F97" s="1" t="str">
        <f t="shared" si="1"/>
        <v>PURPOSE: Flag this row as 100% complete for reporting and filtering purposes
ACTION: Click to select
NOTE: This input is optional. Leave blank if the process is ongoing. Used for progress tracking.</v>
      </c>
      <c r="G97" s="1" t="s">
        <v>789</v>
      </c>
      <c r="H97" s="1" t="s">
        <v>790</v>
      </c>
      <c r="I97" s="1" t="s">
        <v>791</v>
      </c>
    </row>
    <row r="98" spans="1:9" ht="75" hidden="1" x14ac:dyDescent="0.25">
      <c r="A98">
        <v>130</v>
      </c>
      <c r="B98" t="s">
        <v>486</v>
      </c>
      <c r="C98" s="141" t="s">
        <v>180</v>
      </c>
      <c r="D98" t="s">
        <v>549</v>
      </c>
      <c r="E98" t="s">
        <v>605</v>
      </c>
      <c r="F98" s="1" t="str">
        <f t="shared" si="1"/>
        <v>PURPOSE: Data field for DSM_Category_Nr. in 3_1_Definition_DSM
ACTION: Enter appropriate value for DSM_Category_Nr.
NOTE: Please refer to BioDYM documentation for specific requirements.</v>
      </c>
      <c r="G98" s="1" t="s">
        <v>831</v>
      </c>
      <c r="H98" s="1" t="s">
        <v>642</v>
      </c>
      <c r="I98" s="1" t="s">
        <v>738</v>
      </c>
    </row>
    <row r="99" spans="1:9" ht="75" hidden="1" x14ac:dyDescent="0.25">
      <c r="A99">
        <v>143</v>
      </c>
      <c r="B99" t="s">
        <v>487</v>
      </c>
      <c r="C99" s="141" t="s">
        <v>180</v>
      </c>
      <c r="D99" t="s">
        <v>549</v>
      </c>
      <c r="E99" t="s">
        <v>605</v>
      </c>
      <c r="F99" s="1" t="str">
        <f t="shared" si="1"/>
        <v>PURPOSE: Data field for Nr._Decay_Pools in 3_2_Definition_FOMP
ACTION: Enter appropriate value for Nr._Decay_Pools
NOTE: Please refer to BioDYM documentation for specific requirements.</v>
      </c>
      <c r="G99" s="1" t="s">
        <v>836</v>
      </c>
      <c r="H99" s="1" t="s">
        <v>652</v>
      </c>
      <c r="I99" s="1" t="s">
        <v>738</v>
      </c>
    </row>
    <row r="100" spans="1:9" ht="75" hidden="1" x14ac:dyDescent="0.25">
      <c r="A100">
        <v>73</v>
      </c>
      <c r="B100" t="s">
        <v>873</v>
      </c>
      <c r="C100" s="141" t="s">
        <v>181</v>
      </c>
      <c r="D100" t="s">
        <v>549</v>
      </c>
      <c r="E100" t="s">
        <v>605</v>
      </c>
      <c r="F100" s="1" t="str">
        <f t="shared" si="1"/>
        <v>PURPOSE: Data field for Output_Flow in 2_3_static_TCs
ACTION: Enter appropriate value for Output_Flow
NOTE: Please refer to BioDYM documentation for specific requirements.</v>
      </c>
      <c r="G100" s="1" t="s">
        <v>807</v>
      </c>
      <c r="H100" s="1" t="s">
        <v>607</v>
      </c>
      <c r="I100" s="1" t="s">
        <v>738</v>
      </c>
    </row>
    <row r="101" spans="1:9" ht="75" hidden="1" x14ac:dyDescent="0.25">
      <c r="A101">
        <v>144</v>
      </c>
      <c r="B101" t="s">
        <v>487</v>
      </c>
      <c r="C101" s="141" t="s">
        <v>199</v>
      </c>
      <c r="D101" t="s">
        <v>651</v>
      </c>
      <c r="E101" t="s">
        <v>652</v>
      </c>
      <c r="F101" s="1" t="str">
        <f t="shared" si="1"/>
        <v>PURPOSE: Data field for Pool in 3_2_Definition_FOMP
ACTION: Enter appropriate value for Pool
NOTE: Please refer to BioDYM documentation for specific requirements.</v>
      </c>
      <c r="G101" s="1" t="s">
        <v>837</v>
      </c>
      <c r="H101" s="1" t="s">
        <v>654</v>
      </c>
      <c r="I101" s="1" t="s">
        <v>738</v>
      </c>
    </row>
    <row r="102" spans="1:9" ht="75" hidden="1" x14ac:dyDescent="0.25">
      <c r="A102">
        <v>164</v>
      </c>
      <c r="B102" t="s">
        <v>488</v>
      </c>
      <c r="C102" s="141" t="s">
        <v>213</v>
      </c>
      <c r="D102" t="s">
        <v>677</v>
      </c>
      <c r="E102" t="s">
        <v>678</v>
      </c>
      <c r="F102" s="1" t="str">
        <f t="shared" si="1"/>
        <v>PURPOSE: Data field for New_Value in 5_1_Scenario_Manager
ACTION: Enter appropriate value for New_Value
NOTE: Please refer to BioDYM documentation for specific requirements.</v>
      </c>
      <c r="G102" s="1" t="s">
        <v>854</v>
      </c>
      <c r="H102" s="1" t="s">
        <v>680</v>
      </c>
      <c r="I102" s="1" t="s">
        <v>738</v>
      </c>
    </row>
    <row r="103" spans="1:9" ht="90" hidden="1" x14ac:dyDescent="0.25">
      <c r="A103">
        <v>74</v>
      </c>
      <c r="B103" t="s">
        <v>873</v>
      </c>
      <c r="C103" s="141" t="s">
        <v>165</v>
      </c>
      <c r="D103" t="s">
        <v>606</v>
      </c>
      <c r="E103" t="s">
        <v>607</v>
      </c>
      <c r="F103" s="1" t="str">
        <f t="shared" si="1"/>
        <v>PURPOSE: Unique identifier for material flow
ACTION: Automatically assigned
NOTE: This field is generated automatically. No manual input required. Used for system identification and linking.</v>
      </c>
      <c r="G103" s="1" t="s">
        <v>718</v>
      </c>
      <c r="H103" s="1" t="s">
        <v>716</v>
      </c>
      <c r="I103" s="1" t="s">
        <v>717</v>
      </c>
    </row>
    <row r="104" spans="1:9" ht="90" hidden="1" x14ac:dyDescent="0.25">
      <c r="A104">
        <v>93</v>
      </c>
      <c r="B104" s="164" t="s">
        <v>874</v>
      </c>
      <c r="C104" s="141" t="s">
        <v>165</v>
      </c>
      <c r="D104" t="s">
        <v>606</v>
      </c>
      <c r="E104" t="s">
        <v>607</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800</v>
      </c>
      <c r="H104" s="1" t="s">
        <v>801</v>
      </c>
      <c r="I104" s="1" t="s">
        <v>802</v>
      </c>
    </row>
    <row r="105" spans="1:9" ht="75" hidden="1" x14ac:dyDescent="0.25">
      <c r="A105">
        <v>150</v>
      </c>
      <c r="B105" t="s">
        <v>489</v>
      </c>
      <c r="C105" s="141" t="s">
        <v>117</v>
      </c>
      <c r="D105" t="s">
        <v>659</v>
      </c>
      <c r="E105" t="s">
        <v>660</v>
      </c>
      <c r="F105" s="1" t="str">
        <f t="shared" si="1"/>
        <v>PURPOSE: Data field for Parameter_Selection in 4_1_Uncertainty_Parameters
ACTION: Enter appropriate value for Parameter_Selection
NOTE: Please refer to BioDYM documentation for specific requirements.</v>
      </c>
      <c r="G105" s="1" t="s">
        <v>841</v>
      </c>
      <c r="H105" s="1" t="s">
        <v>662</v>
      </c>
      <c r="I105" s="1" t="s">
        <v>738</v>
      </c>
    </row>
    <row r="106" spans="1:9" ht="75" hidden="1" x14ac:dyDescent="0.25">
      <c r="A106">
        <v>161</v>
      </c>
      <c r="B106" s="2" t="s">
        <v>488</v>
      </c>
      <c r="C106" s="141" t="s">
        <v>117</v>
      </c>
      <c r="D106" t="s">
        <v>659</v>
      </c>
      <c r="E106" t="s">
        <v>660</v>
      </c>
      <c r="F106" s="1" t="str">
        <f t="shared" si="1"/>
        <v>PURPOSE: Data field for Parameter_Selection in 5_1_Scenario_Manager
ACTION: Enter appropriate value for Parameter_Selection
NOTE: Please refer to BioDYM documentation for specific requirements.</v>
      </c>
      <c r="G106" s="1" t="s">
        <v>851</v>
      </c>
      <c r="H106" s="1" t="s">
        <v>662</v>
      </c>
      <c r="I106" s="1" t="s">
        <v>738</v>
      </c>
    </row>
    <row r="107" spans="1:9" ht="75" hidden="1" x14ac:dyDescent="0.25">
      <c r="A107">
        <v>147</v>
      </c>
      <c r="B107" t="s">
        <v>487</v>
      </c>
      <c r="C107" s="141" t="s">
        <v>173</v>
      </c>
      <c r="D107" t="s">
        <v>655</v>
      </c>
      <c r="E107" t="s">
        <v>656</v>
      </c>
      <c r="F107" s="1" t="str">
        <f t="shared" si="1"/>
        <v>PURPOSE: Data field for Value in 3_2_Definition_FOMP
ACTION: Enter appropriate value for Value
NOTE: Please refer to BioDYM documentation for specific requirements.</v>
      </c>
      <c r="G107" s="1" t="s">
        <v>839</v>
      </c>
      <c r="H107" s="1" t="s">
        <v>658</v>
      </c>
      <c r="I107" s="1" t="s">
        <v>738</v>
      </c>
    </row>
    <row r="108" spans="1:9" ht="75" hidden="1" x14ac:dyDescent="0.25">
      <c r="A108">
        <v>152</v>
      </c>
      <c r="B108" t="s">
        <v>489</v>
      </c>
      <c r="C108" s="141" t="s">
        <v>173</v>
      </c>
      <c r="D108" t="s">
        <v>655</v>
      </c>
      <c r="E108" t="s">
        <v>656</v>
      </c>
      <c r="F108" s="1" t="str">
        <f t="shared" si="1"/>
        <v>PURPOSE: Data field for Distribution in 4_1_Uncertainty_Parameters
ACTION: Enter appropriate value for Distribution
NOTE: Please refer to BioDYM documentation for specific requirements.</v>
      </c>
      <c r="G108" s="1" t="s">
        <v>843</v>
      </c>
      <c r="H108" s="1" t="s">
        <v>664</v>
      </c>
      <c r="I108" s="1" t="s">
        <v>738</v>
      </c>
    </row>
    <row r="109" spans="1:9" ht="75" hidden="1" x14ac:dyDescent="0.25">
      <c r="A109">
        <v>163</v>
      </c>
      <c r="B109" s="2" t="s">
        <v>488</v>
      </c>
      <c r="C109" s="162" t="s">
        <v>173</v>
      </c>
      <c r="D109" t="s">
        <v>655</v>
      </c>
      <c r="E109" t="s">
        <v>656</v>
      </c>
      <c r="F109" s="1" t="str">
        <f t="shared" si="1"/>
        <v>PURPOSE: Data field for Operation in 5_1_Scenario_Manager
ACTION: Enter appropriate value for Operation
NOTE: Please refer to BioDYM documentation for specific requirements.</v>
      </c>
      <c r="G109" s="1" t="s">
        <v>853</v>
      </c>
      <c r="H109" s="1" t="s">
        <v>678</v>
      </c>
      <c r="I109" s="1" t="s">
        <v>738</v>
      </c>
    </row>
    <row r="110" spans="1:9" ht="75" hidden="1" x14ac:dyDescent="0.25">
      <c r="A110">
        <v>151</v>
      </c>
      <c r="B110" t="s">
        <v>489</v>
      </c>
      <c r="C110" s="163" t="s">
        <v>189</v>
      </c>
      <c r="D110" t="s">
        <v>661</v>
      </c>
      <c r="E110" t="s">
        <v>662</v>
      </c>
      <c r="F110" s="1" t="str">
        <f t="shared" si="1"/>
        <v>PURPOSE: Data field for Parameter_Name in 4_1_Uncertainty_Parameters
ACTION: Enter appropriate value for Parameter_Name
NOTE: Please refer to BioDYM documentation for specific requirements.</v>
      </c>
      <c r="G110" s="1" t="s">
        <v>842</v>
      </c>
      <c r="H110" s="1" t="s">
        <v>656</v>
      </c>
      <c r="I110" s="1" t="s">
        <v>738</v>
      </c>
    </row>
    <row r="111" spans="1:9" ht="75" hidden="1" x14ac:dyDescent="0.25">
      <c r="A111">
        <v>162</v>
      </c>
      <c r="B111" t="s">
        <v>488</v>
      </c>
      <c r="C111" s="163" t="s">
        <v>189</v>
      </c>
      <c r="D111" t="s">
        <v>661</v>
      </c>
      <c r="E111" t="s">
        <v>662</v>
      </c>
      <c r="F111" s="1" t="str">
        <f t="shared" si="1"/>
        <v>PURPOSE: Data field for Parameter_Name in 5_1_Scenario_Manager
ACTION: Enter appropriate value for Parameter_Name
NOTE: Please refer to BioDYM documentation for specific requirements.</v>
      </c>
      <c r="G111" s="1" t="s">
        <v>852</v>
      </c>
      <c r="H111" s="1" t="s">
        <v>656</v>
      </c>
      <c r="I111" s="1" t="s">
        <v>738</v>
      </c>
    </row>
    <row r="112" spans="1:9" ht="90" hidden="1" x14ac:dyDescent="0.25">
      <c r="A112">
        <v>145</v>
      </c>
      <c r="B112" t="s">
        <v>487</v>
      </c>
      <c r="C112" s="163" t="s">
        <v>205</v>
      </c>
      <c r="D112" t="s">
        <v>653</v>
      </c>
      <c r="E112" t="s">
        <v>654</v>
      </c>
      <c r="F112" s="1" t="str">
        <f t="shared" si="1"/>
        <v>PURPOSE: Unique identifier for {context}
ACTION: Automatically assigned
NOTE: This field is generated automatically. No manual input required. Used for system identification and linking.</v>
      </c>
      <c r="G112" s="1" t="s">
        <v>810</v>
      </c>
      <c r="H112" s="1" t="s">
        <v>716</v>
      </c>
      <c r="I112" s="1" t="s">
        <v>717</v>
      </c>
    </row>
    <row r="113" spans="1:9" ht="75" hidden="1" x14ac:dyDescent="0.25">
      <c r="A113">
        <v>146</v>
      </c>
      <c r="B113" t="s">
        <v>487</v>
      </c>
      <c r="C113" s="163" t="s">
        <v>202</v>
      </c>
      <c r="D113" t="s">
        <v>549</v>
      </c>
      <c r="E113" t="s">
        <v>507</v>
      </c>
      <c r="F113" s="1" t="str">
        <f t="shared" si="1"/>
        <v>PURPOSE: Data field for Parameter_Name in 3_2_Definition_FOMP
ACTION: Enter appropriate value for Parameter_Name
NOTE: Please refer to BioDYM documentation for specific requirements.</v>
      </c>
      <c r="G113" s="1" t="s">
        <v>838</v>
      </c>
      <c r="H113" s="1" t="s">
        <v>656</v>
      </c>
      <c r="I113" s="1" t="s">
        <v>738</v>
      </c>
    </row>
    <row r="114" spans="1:9" ht="105" hidden="1" x14ac:dyDescent="0.25">
      <c r="A114">
        <v>59</v>
      </c>
      <c r="B114" t="s">
        <v>485</v>
      </c>
      <c r="C114" s="163" t="s">
        <v>23</v>
      </c>
      <c r="D114" t="s">
        <v>594</v>
      </c>
      <c r="E114" t="s">
        <v>507</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793</v>
      </c>
      <c r="H114" s="1" t="s">
        <v>794</v>
      </c>
      <c r="I114" s="1" t="s">
        <v>721</v>
      </c>
    </row>
    <row r="115" spans="1:9" ht="105" hidden="1" x14ac:dyDescent="0.25">
      <c r="A115">
        <v>68</v>
      </c>
      <c r="B115" t="s">
        <v>873</v>
      </c>
      <c r="C115" s="141" t="s">
        <v>23</v>
      </c>
      <c r="D115" t="s">
        <v>594</v>
      </c>
      <c r="E115" t="s">
        <v>507</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793</v>
      </c>
      <c r="H115" s="1" t="s">
        <v>794</v>
      </c>
      <c r="I115" s="1" t="s">
        <v>721</v>
      </c>
    </row>
    <row r="116" spans="1:9" ht="105" hidden="1" x14ac:dyDescent="0.25">
      <c r="A116">
        <v>91</v>
      </c>
      <c r="B116" s="164" t="s">
        <v>874</v>
      </c>
      <c r="C116" s="141" t="s">
        <v>23</v>
      </c>
      <c r="D116" t="s">
        <v>594</v>
      </c>
      <c r="E116" t="s">
        <v>507</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793</v>
      </c>
      <c r="H116" s="1" t="s">
        <v>794</v>
      </c>
      <c r="I116" s="1" t="s">
        <v>721</v>
      </c>
    </row>
    <row r="117" spans="1:9" ht="105" hidden="1" x14ac:dyDescent="0.25">
      <c r="A117">
        <v>109</v>
      </c>
      <c r="B117" s="164" t="s">
        <v>875</v>
      </c>
      <c r="C117" s="141" t="s">
        <v>23</v>
      </c>
      <c r="D117" t="s">
        <v>594</v>
      </c>
      <c r="E117" t="s">
        <v>507</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793</v>
      </c>
      <c r="H117" s="1" t="s">
        <v>794</v>
      </c>
      <c r="I117" s="1" t="s">
        <v>721</v>
      </c>
    </row>
    <row r="118" spans="1:9" ht="105" hidden="1" x14ac:dyDescent="0.25">
      <c r="A118">
        <v>125</v>
      </c>
      <c r="B118" t="s">
        <v>486</v>
      </c>
      <c r="C118" s="141" t="s">
        <v>23</v>
      </c>
      <c r="D118" t="s">
        <v>594</v>
      </c>
      <c r="E118" t="s">
        <v>507</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793</v>
      </c>
      <c r="H118" s="1" t="s">
        <v>794</v>
      </c>
      <c r="I118" s="1" t="s">
        <v>721</v>
      </c>
    </row>
    <row r="119" spans="1:9" ht="105" hidden="1" x14ac:dyDescent="0.25">
      <c r="A119">
        <v>138</v>
      </c>
      <c r="B119" t="s">
        <v>487</v>
      </c>
      <c r="C119" s="141" t="s">
        <v>23</v>
      </c>
      <c r="D119" t="s">
        <v>594</v>
      </c>
      <c r="E119" t="s">
        <v>507</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793</v>
      </c>
      <c r="H119" s="1" t="s">
        <v>794</v>
      </c>
      <c r="I119" s="1" t="s">
        <v>721</v>
      </c>
    </row>
    <row r="120" spans="1:9" ht="75" hidden="1" x14ac:dyDescent="0.25">
      <c r="A120">
        <v>171</v>
      </c>
      <c r="B120" t="s">
        <v>495</v>
      </c>
      <c r="C120" s="141" t="s">
        <v>23</v>
      </c>
      <c r="D120" t="s">
        <v>594</v>
      </c>
      <c r="E120" t="s">
        <v>507</v>
      </c>
      <c r="F120" s="1" t="str">
        <f t="shared" si="1"/>
        <v>PURPOSE: Data field for Name(EN) in 6_1_Visualization_Processes
ACTION: Enter appropriate value for Name(EN)
NOTE: Please refer to BioDYM documentation for specific requirements.</v>
      </c>
      <c r="G120" s="1" t="s">
        <v>858</v>
      </c>
      <c r="H120" s="1" t="s">
        <v>688</v>
      </c>
      <c r="I120" s="1" t="s">
        <v>738</v>
      </c>
    </row>
    <row r="121" spans="1:9" ht="90" hidden="1" x14ac:dyDescent="0.25">
      <c r="A121">
        <v>62</v>
      </c>
      <c r="B121" t="s">
        <v>485</v>
      </c>
      <c r="C121" s="141" t="s">
        <v>400</v>
      </c>
      <c r="D121" t="s">
        <v>599</v>
      </c>
      <c r="E121" t="s">
        <v>600</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800</v>
      </c>
      <c r="H121" s="1" t="s">
        <v>801</v>
      </c>
      <c r="I121" s="1" t="s">
        <v>802</v>
      </c>
    </row>
    <row r="122" spans="1:9" ht="90" hidden="1" x14ac:dyDescent="0.25">
      <c r="A122">
        <v>70</v>
      </c>
      <c r="B122" t="s">
        <v>873</v>
      </c>
      <c r="C122" s="141" t="s">
        <v>400</v>
      </c>
      <c r="D122" t="s">
        <v>599</v>
      </c>
      <c r="E122" t="s">
        <v>600</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800</v>
      </c>
      <c r="H122" s="1" t="s">
        <v>801</v>
      </c>
      <c r="I122" s="1" t="s">
        <v>802</v>
      </c>
    </row>
    <row r="123" spans="1:9" ht="90" hidden="1" x14ac:dyDescent="0.25">
      <c r="A123">
        <v>95</v>
      </c>
      <c r="B123" s="164" t="s">
        <v>874</v>
      </c>
      <c r="C123" s="141" t="s">
        <v>400</v>
      </c>
      <c r="D123" t="s">
        <v>599</v>
      </c>
      <c r="E123" t="s">
        <v>600</v>
      </c>
      <c r="F123" s="1" t="str">
        <f t="shared" si="1"/>
        <v>PURPOSE: Unique identifier for material flow
ACTION: Automatically assigned
NOTE: This field is generated automatically. No manual input required. Used for system identification and linking.</v>
      </c>
      <c r="G123" s="1" t="s">
        <v>718</v>
      </c>
      <c r="H123" s="1" t="s">
        <v>716</v>
      </c>
      <c r="I123" s="1" t="s">
        <v>717</v>
      </c>
    </row>
    <row r="124" spans="1:9" ht="90" hidden="1" x14ac:dyDescent="0.25">
      <c r="A124">
        <v>111</v>
      </c>
      <c r="B124" s="164" t="s">
        <v>875</v>
      </c>
      <c r="C124" s="141" t="s">
        <v>400</v>
      </c>
      <c r="D124" t="s">
        <v>599</v>
      </c>
      <c r="E124" t="s">
        <v>600</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800</v>
      </c>
      <c r="H124" s="1" t="s">
        <v>801</v>
      </c>
      <c r="I124" s="1" t="s">
        <v>802</v>
      </c>
    </row>
    <row r="125" spans="1:9" ht="90" hidden="1" x14ac:dyDescent="0.25">
      <c r="A125">
        <v>127</v>
      </c>
      <c r="B125" t="s">
        <v>486</v>
      </c>
      <c r="C125" s="141" t="s">
        <v>400</v>
      </c>
      <c r="D125" t="s">
        <v>599</v>
      </c>
      <c r="E125" t="s">
        <v>600</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800</v>
      </c>
      <c r="H125" s="1" t="s">
        <v>801</v>
      </c>
      <c r="I125" s="1" t="s">
        <v>802</v>
      </c>
    </row>
    <row r="126" spans="1:9" ht="90" hidden="1" x14ac:dyDescent="0.25">
      <c r="A126">
        <v>140</v>
      </c>
      <c r="B126" t="s">
        <v>487</v>
      </c>
      <c r="C126" s="141" t="s">
        <v>400</v>
      </c>
      <c r="D126" t="s">
        <v>599</v>
      </c>
      <c r="E126" t="s">
        <v>600</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800</v>
      </c>
      <c r="H126" s="1" t="s">
        <v>801</v>
      </c>
      <c r="I126" s="1" t="s">
        <v>802</v>
      </c>
    </row>
    <row r="127" spans="1:9" ht="105" hidden="1" x14ac:dyDescent="0.25">
      <c r="A127">
        <v>60</v>
      </c>
      <c r="B127" t="s">
        <v>485</v>
      </c>
      <c r="C127" s="141" t="s">
        <v>435</v>
      </c>
      <c r="D127" t="s">
        <v>595</v>
      </c>
      <c r="E127" t="s">
        <v>596</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795</v>
      </c>
      <c r="H127" s="1" t="s">
        <v>796</v>
      </c>
      <c r="I127" s="1" t="s">
        <v>721</v>
      </c>
    </row>
    <row r="128" spans="1:9" ht="105" hidden="1" x14ac:dyDescent="0.25">
      <c r="A128">
        <v>69</v>
      </c>
      <c r="B128" t="s">
        <v>873</v>
      </c>
      <c r="C128" s="163" t="s">
        <v>435</v>
      </c>
      <c r="D128" t="s">
        <v>595</v>
      </c>
      <c r="E128" t="s">
        <v>596</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797</v>
      </c>
      <c r="H128" s="1" t="s">
        <v>798</v>
      </c>
      <c r="I128" s="1" t="s">
        <v>799</v>
      </c>
    </row>
    <row r="129" spans="1:9" ht="75" hidden="1" x14ac:dyDescent="0.25">
      <c r="A129">
        <v>92</v>
      </c>
      <c r="B129" s="164" t="s">
        <v>874</v>
      </c>
      <c r="C129" s="163" t="s">
        <v>435</v>
      </c>
      <c r="D129" t="s">
        <v>595</v>
      </c>
      <c r="E129" t="s">
        <v>596</v>
      </c>
      <c r="F129" s="1" t="str">
        <f t="shared" si="1"/>
        <v>PURPOSE: Data field for Output_Flow in 2_4_dynamic_TCs
ACTION: Enter appropriate value for Output_Flow
NOTE: Please refer to BioDYM documentation for specific requirements.</v>
      </c>
      <c r="G129" s="1" t="s">
        <v>819</v>
      </c>
      <c r="H129" s="1" t="s">
        <v>607</v>
      </c>
      <c r="I129" s="1" t="s">
        <v>738</v>
      </c>
    </row>
    <row r="130" spans="1:9" ht="105" hidden="1" x14ac:dyDescent="0.25">
      <c r="A130">
        <v>110</v>
      </c>
      <c r="B130" s="164" t="s">
        <v>875</v>
      </c>
      <c r="C130" s="163" t="s">
        <v>435</v>
      </c>
      <c r="D130" t="s">
        <v>595</v>
      </c>
      <c r="E130" t="s">
        <v>596</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797</v>
      </c>
      <c r="H130" s="1" t="s">
        <v>798</v>
      </c>
      <c r="I130" s="1" t="s">
        <v>799</v>
      </c>
    </row>
    <row r="131" spans="1:9" ht="105" hidden="1" x14ac:dyDescent="0.25">
      <c r="A131">
        <v>126</v>
      </c>
      <c r="B131" t="s">
        <v>486</v>
      </c>
      <c r="C131" s="163" t="s">
        <v>435</v>
      </c>
      <c r="D131" t="s">
        <v>595</v>
      </c>
      <c r="E131" t="s">
        <v>596</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797</v>
      </c>
      <c r="H131" s="1" t="s">
        <v>798</v>
      </c>
      <c r="I131" s="1" t="s">
        <v>799</v>
      </c>
    </row>
    <row r="132" spans="1:9" ht="105" hidden="1" x14ac:dyDescent="0.25">
      <c r="A132">
        <v>139</v>
      </c>
      <c r="B132" t="s">
        <v>487</v>
      </c>
      <c r="C132" s="163" t="s">
        <v>435</v>
      </c>
      <c r="D132" t="s">
        <v>595</v>
      </c>
      <c r="E132" t="s">
        <v>596</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797</v>
      </c>
      <c r="H132" s="1" t="s">
        <v>798</v>
      </c>
      <c r="I132" s="1" t="s">
        <v>799</v>
      </c>
    </row>
    <row r="133" spans="1:9" ht="75" hidden="1" x14ac:dyDescent="0.25">
      <c r="A133">
        <v>160</v>
      </c>
      <c r="B133" t="s">
        <v>488</v>
      </c>
      <c r="C133" s="163" t="s">
        <v>218</v>
      </c>
      <c r="D133" t="s">
        <v>675</v>
      </c>
      <c r="E133" t="s">
        <v>676</v>
      </c>
      <c r="F133" s="1" t="str">
        <f t="shared" si="2"/>
        <v>PURPOSE: Data field for Parameter in 5_1_Scenario_Manager
ACTION: Enter appropriate value for Parameter
NOTE: Please refer to BioDYM documentation for specific requirements.</v>
      </c>
      <c r="G133" s="1" t="s">
        <v>850</v>
      </c>
      <c r="H133" s="1" t="s">
        <v>660</v>
      </c>
      <c r="I133" s="1" t="s">
        <v>738</v>
      </c>
    </row>
    <row r="134" spans="1:9" ht="75" hidden="1" x14ac:dyDescent="0.25">
      <c r="A134">
        <v>166</v>
      </c>
      <c r="B134" t="s">
        <v>488</v>
      </c>
      <c r="C134" s="163" t="s">
        <v>436</v>
      </c>
      <c r="D134" t="s">
        <v>681</v>
      </c>
      <c r="E134" t="s">
        <v>682</v>
      </c>
      <c r="F134" s="1" t="str">
        <f t="shared" si="2"/>
        <v>PURPOSE: Data field for end_year in 5_1_Scenario_Manager
ACTION: Enter appropriate value for end_year
NOTE: Please refer to BioDYM documentation for specific requirements.</v>
      </c>
      <c r="G134" s="1" t="s">
        <v>856</v>
      </c>
      <c r="H134" s="1" t="s">
        <v>684</v>
      </c>
      <c r="I134" s="1" t="s">
        <v>738</v>
      </c>
    </row>
    <row r="135" spans="1:9" ht="75" hidden="1" x14ac:dyDescent="0.25">
      <c r="A135">
        <v>155</v>
      </c>
      <c r="B135" t="s">
        <v>489</v>
      </c>
      <c r="C135" s="141" t="s">
        <v>176</v>
      </c>
      <c r="D135" t="s">
        <v>667</v>
      </c>
      <c r="E135" t="s">
        <v>668</v>
      </c>
      <c r="F135" s="1" t="str">
        <f t="shared" si="2"/>
        <v>PURPOSE: Data field for Min in 4_1_Uncertainty_Parameters
ACTION: Enter appropriate value for Min
NOTE: Please refer to BioDYM documentation for specific requirements.</v>
      </c>
      <c r="G135" s="1" t="s">
        <v>846</v>
      </c>
      <c r="H135" s="1" t="s">
        <v>670</v>
      </c>
      <c r="I135" s="1" t="s">
        <v>738</v>
      </c>
    </row>
    <row r="136" spans="1:9" ht="75" hidden="1" x14ac:dyDescent="0.25">
      <c r="A136">
        <v>64</v>
      </c>
      <c r="B136" t="s">
        <v>485</v>
      </c>
      <c r="C136" s="141" t="s">
        <v>464</v>
      </c>
      <c r="D136" t="s">
        <v>603</v>
      </c>
      <c r="E136" t="s">
        <v>604</v>
      </c>
      <c r="F136" s="1" t="str">
        <f t="shared" si="2"/>
        <v>PURPOSE: Defines the {field_type} for calculations
ACTION: Enter numerical value in specified unit
NOTE: Required for system calculations. Must be positive value. Used in MFA calculations.</v>
      </c>
      <c r="G136" s="1" t="s">
        <v>806</v>
      </c>
      <c r="H136" s="1" t="s">
        <v>772</v>
      </c>
      <c r="I136" s="1" t="s">
        <v>773</v>
      </c>
    </row>
    <row r="137" spans="1:9" ht="75" hidden="1" x14ac:dyDescent="0.25">
      <c r="A137">
        <v>72</v>
      </c>
      <c r="B137" t="s">
        <v>873</v>
      </c>
      <c r="C137" s="141" t="s">
        <v>464</v>
      </c>
      <c r="D137" t="s">
        <v>603</v>
      </c>
      <c r="E137" t="s">
        <v>604</v>
      </c>
      <c r="F137" s="1" t="str">
        <f t="shared" si="2"/>
        <v>PURPOSE: Defines the {field_type} for calculations
ACTION: Enter numerical value in specified unit
NOTE: Required for system calculations. Must be positive value. Used in MFA calculations.</v>
      </c>
      <c r="G137" s="1" t="s">
        <v>806</v>
      </c>
      <c r="H137" s="1" t="s">
        <v>772</v>
      </c>
      <c r="I137" s="1" t="s">
        <v>773</v>
      </c>
    </row>
    <row r="138" spans="1:9" ht="75" hidden="1" x14ac:dyDescent="0.25">
      <c r="A138">
        <v>113</v>
      </c>
      <c r="B138" s="164" t="s">
        <v>875</v>
      </c>
      <c r="C138" s="141" t="s">
        <v>464</v>
      </c>
      <c r="D138" t="s">
        <v>603</v>
      </c>
      <c r="E138" t="s">
        <v>604</v>
      </c>
      <c r="F138" s="1" t="str">
        <f t="shared" si="2"/>
        <v>PURPOSE: Defines the Initial Stock Material Amount for calculations
ACTION: Enter numerical value in specified unit
NOTE: Required for system calculations. Must be positive value. Used in MFA calculations.</v>
      </c>
      <c r="G138" s="1" t="s">
        <v>821</v>
      </c>
      <c r="H138" s="1" t="s">
        <v>772</v>
      </c>
      <c r="I138" s="1" t="s">
        <v>773</v>
      </c>
    </row>
    <row r="139" spans="1:9" ht="75" hidden="1" x14ac:dyDescent="0.25">
      <c r="A139">
        <v>129</v>
      </c>
      <c r="B139" t="s">
        <v>486</v>
      </c>
      <c r="C139" s="162" t="s">
        <v>464</v>
      </c>
      <c r="D139" t="s">
        <v>603</v>
      </c>
      <c r="E139" t="s">
        <v>604</v>
      </c>
      <c r="F139" s="1" t="str">
        <f t="shared" si="2"/>
        <v>PURPOSE: Defines the {field_type} for calculations
ACTION: Enter numerical value in specified unit
NOTE: Required for system calculations. Must be positive value. Used in MFA calculations.</v>
      </c>
      <c r="G139" s="1" t="s">
        <v>806</v>
      </c>
      <c r="H139" s="1" t="s">
        <v>772</v>
      </c>
      <c r="I139" s="1" t="s">
        <v>773</v>
      </c>
    </row>
    <row r="140" spans="1:9" ht="75" hidden="1" x14ac:dyDescent="0.25">
      <c r="A140">
        <v>142</v>
      </c>
      <c r="B140" t="s">
        <v>487</v>
      </c>
      <c r="C140" s="163" t="s">
        <v>464</v>
      </c>
      <c r="D140" t="s">
        <v>603</v>
      </c>
      <c r="E140" t="s">
        <v>604</v>
      </c>
      <c r="F140" s="1" t="str">
        <f t="shared" si="2"/>
        <v>PURPOSE: Defines the {field_type} for calculations
ACTION: Enter numerical value in specified unit
NOTE: Required for system calculations. Must be positive value. Used in MFA calculations.</v>
      </c>
      <c r="G140" s="1" t="s">
        <v>806</v>
      </c>
      <c r="H140" s="1" t="s">
        <v>772</v>
      </c>
      <c r="I140" s="1" t="s">
        <v>773</v>
      </c>
    </row>
    <row r="141" spans="1:9" ht="90" hidden="1" x14ac:dyDescent="0.25">
      <c r="A141">
        <v>108</v>
      </c>
      <c r="B141" s="164" t="s">
        <v>875</v>
      </c>
      <c r="C141" s="163" t="s">
        <v>25</v>
      </c>
      <c r="D141" t="s">
        <v>549</v>
      </c>
      <c r="E141" t="s">
        <v>507</v>
      </c>
      <c r="F141" s="1" t="str">
        <f t="shared" si="2"/>
        <v>PURPOSE: Unique identifier for process
ACTION: Automatically assigned
NOTE: This field is generated automatically. No manual input required. Used for system identification and linking.</v>
      </c>
      <c r="G141" s="1" t="s">
        <v>792</v>
      </c>
      <c r="H141" s="1" t="s">
        <v>716</v>
      </c>
      <c r="I141" s="1" t="s">
        <v>717</v>
      </c>
    </row>
    <row r="142" spans="1:9" ht="75" hidden="1" x14ac:dyDescent="0.25">
      <c r="A142">
        <v>123</v>
      </c>
      <c r="B142" s="164" t="s">
        <v>875</v>
      </c>
      <c r="C142" s="163" t="s">
        <v>184</v>
      </c>
      <c r="D142" t="s">
        <v>549</v>
      </c>
      <c r="E142" t="s">
        <v>605</v>
      </c>
      <c r="F142" s="1" t="str">
        <f t="shared" si="2"/>
        <v>PURPOSE: Data field for Annual_Consumption_Rate in 2_5_Initial_Stock
ACTION: Enter appropriate value for Annual_Consumption_Rate
NOTE: Please refer to BioDYM documentation for specific requirements.</v>
      </c>
      <c r="G142" s="1" t="s">
        <v>830</v>
      </c>
      <c r="H142" s="1" t="s">
        <v>640</v>
      </c>
      <c r="I142" s="1" t="s">
        <v>738</v>
      </c>
    </row>
    <row r="143" spans="1:9" ht="75" hidden="1" x14ac:dyDescent="0.25">
      <c r="A143">
        <v>82</v>
      </c>
      <c r="B143" t="s">
        <v>873</v>
      </c>
      <c r="C143" s="163" t="s">
        <v>415</v>
      </c>
      <c r="D143" t="s">
        <v>549</v>
      </c>
      <c r="E143" t="s">
        <v>507</v>
      </c>
      <c r="F143" s="1" t="str">
        <f t="shared" si="2"/>
        <v>PURPOSE: Defines the Carbon Content Transfer Coefficient for calculations
ACTION: Enter numerical value in specified unit
NOTE: Required for system calculations. Must be positive value. Used in MFA calculations.</v>
      </c>
      <c r="G143" s="1" t="s">
        <v>813</v>
      </c>
      <c r="H143" s="1" t="s">
        <v>772</v>
      </c>
      <c r="I143" s="1" t="s">
        <v>773</v>
      </c>
    </row>
    <row r="144" spans="1:9" ht="75" hidden="1" x14ac:dyDescent="0.25">
      <c r="A144">
        <v>104</v>
      </c>
      <c r="B144" s="164" t="s">
        <v>874</v>
      </c>
      <c r="C144" s="163" t="s">
        <v>415</v>
      </c>
      <c r="D144" t="s">
        <v>549</v>
      </c>
      <c r="E144" t="s">
        <v>507</v>
      </c>
      <c r="F144" s="1" t="str">
        <f t="shared" si="2"/>
        <v>PURPOSE: Defines the Carbon Content Transfer Coefficient for calculations
ACTION: Enter numerical value in specified unit
NOTE: Required for system calculations. Must be positive value. Used in MFA calculations.</v>
      </c>
      <c r="G144" s="1" t="s">
        <v>813</v>
      </c>
      <c r="H144" s="1" t="s">
        <v>772</v>
      </c>
      <c r="I144" s="1" t="s">
        <v>773</v>
      </c>
    </row>
    <row r="145" spans="1:12" ht="90" hidden="1" x14ac:dyDescent="0.25">
      <c r="A145">
        <v>63</v>
      </c>
      <c r="B145" t="s">
        <v>485</v>
      </c>
      <c r="C145" s="163" t="s">
        <v>463</v>
      </c>
      <c r="D145" t="s">
        <v>601</v>
      </c>
      <c r="E145" t="s">
        <v>602</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803</v>
      </c>
      <c r="H145" s="1" t="s">
        <v>804</v>
      </c>
      <c r="I145" s="1" t="s">
        <v>805</v>
      </c>
    </row>
    <row r="146" spans="1:12" ht="75" hidden="1" x14ac:dyDescent="0.25">
      <c r="A146">
        <v>71</v>
      </c>
      <c r="B146" t="s">
        <v>873</v>
      </c>
      <c r="C146" s="163" t="s">
        <v>463</v>
      </c>
      <c r="D146" t="s">
        <v>601</v>
      </c>
      <c r="E146" t="s">
        <v>602</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803</v>
      </c>
      <c r="H146" s="1" t="s">
        <v>804</v>
      </c>
      <c r="I146" s="1" t="s">
        <v>805</v>
      </c>
    </row>
    <row r="147" spans="1:12" ht="75" hidden="1" x14ac:dyDescent="0.25">
      <c r="A147">
        <v>94</v>
      </c>
      <c r="B147" s="164" t="s">
        <v>874</v>
      </c>
      <c r="C147" s="141" t="s">
        <v>463</v>
      </c>
      <c r="D147" t="s">
        <v>601</v>
      </c>
      <c r="E147" t="s">
        <v>602</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797</v>
      </c>
      <c r="H147" s="1" t="s">
        <v>798</v>
      </c>
      <c r="I147" s="1" t="s">
        <v>799</v>
      </c>
    </row>
    <row r="148" spans="1:12" ht="90" hidden="1" x14ac:dyDescent="0.25">
      <c r="A148">
        <v>112</v>
      </c>
      <c r="B148" s="164" t="s">
        <v>875</v>
      </c>
      <c r="C148" s="141" t="s">
        <v>463</v>
      </c>
      <c r="D148" t="s">
        <v>601</v>
      </c>
      <c r="E148" t="s">
        <v>602</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803</v>
      </c>
      <c r="H148" s="1" t="s">
        <v>804</v>
      </c>
      <c r="I148" s="1" t="s">
        <v>805</v>
      </c>
    </row>
    <row r="149" spans="1:12" ht="75" hidden="1" x14ac:dyDescent="0.25">
      <c r="A149">
        <v>128</v>
      </c>
      <c r="B149" t="s">
        <v>486</v>
      </c>
      <c r="C149" s="141" t="s">
        <v>463</v>
      </c>
      <c r="D149" t="s">
        <v>601</v>
      </c>
      <c r="E149" t="s">
        <v>602</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803</v>
      </c>
      <c r="H149" s="1" t="s">
        <v>804</v>
      </c>
      <c r="I149" s="1" t="s">
        <v>805</v>
      </c>
    </row>
    <row r="150" spans="1:12" ht="75" hidden="1" x14ac:dyDescent="0.25">
      <c r="A150">
        <v>141</v>
      </c>
      <c r="B150" t="s">
        <v>487</v>
      </c>
      <c r="C150" s="141" t="s">
        <v>463</v>
      </c>
      <c r="D150" t="s">
        <v>601</v>
      </c>
      <c r="E150" t="s">
        <v>602</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803</v>
      </c>
      <c r="H150" s="1" t="s">
        <v>804</v>
      </c>
      <c r="I150" s="1" t="s">
        <v>805</v>
      </c>
    </row>
    <row r="151" spans="1:12" ht="90" hidden="1" x14ac:dyDescent="0.25">
      <c r="A151">
        <v>80</v>
      </c>
      <c r="B151" t="s">
        <v>873</v>
      </c>
      <c r="C151" s="141" t="s">
        <v>414</v>
      </c>
      <c r="D151" t="s">
        <v>549</v>
      </c>
      <c r="E151" t="s">
        <v>507</v>
      </c>
      <c r="F151" s="1" t="str">
        <f t="shared" si="2"/>
        <v>PURPOSE: Defines the Dry Matter Transfer Coefficient for calculations
ACTION: Enter numerical value in specified unit
NOTE: Required for system calculations. Must be positive value. Used in MFA calculations.</v>
      </c>
      <c r="G151" s="1" t="s">
        <v>812</v>
      </c>
      <c r="H151" s="1" t="s">
        <v>772</v>
      </c>
      <c r="I151" s="1" t="s">
        <v>773</v>
      </c>
    </row>
    <row r="152" spans="1:12" ht="75" hidden="1" x14ac:dyDescent="0.25">
      <c r="A152">
        <v>102</v>
      </c>
      <c r="B152" s="164" t="s">
        <v>874</v>
      </c>
      <c r="C152" s="141" t="s">
        <v>414</v>
      </c>
      <c r="D152" t="s">
        <v>549</v>
      </c>
      <c r="E152" t="s">
        <v>507</v>
      </c>
      <c r="F152" s="1" t="str">
        <f t="shared" si="2"/>
        <v>PURPOSE: Defines the Dry Matter Transfer Coefficient for calculations
ACTION: Enter numerical value in specified unit
NOTE: Required for system calculations. Must be positive value. Used in MFA calculations.</v>
      </c>
      <c r="G152" s="1" t="s">
        <v>812</v>
      </c>
      <c r="H152" s="1" t="s">
        <v>772</v>
      </c>
      <c r="I152" s="1" t="s">
        <v>773</v>
      </c>
    </row>
    <row r="153" spans="1:12" ht="75" hidden="1" x14ac:dyDescent="0.25">
      <c r="A153">
        <v>76</v>
      </c>
      <c r="B153" t="s">
        <v>873</v>
      </c>
      <c r="C153" s="141" t="s">
        <v>412</v>
      </c>
      <c r="D153" t="s">
        <v>608</v>
      </c>
      <c r="E153" t="s">
        <v>507</v>
      </c>
      <c r="F153" s="1" t="str">
        <f t="shared" si="2"/>
        <v>PURPOSE: Defines the Transfer Coefficient Value for calculations
ACTION: Enter numerical value in specified unit
NOTE: Required for system calculations. Must be positive value. Used in MFA calculations.</v>
      </c>
      <c r="G153" s="1" t="s">
        <v>809</v>
      </c>
      <c r="H153" s="1" t="s">
        <v>772</v>
      </c>
      <c r="I153" s="1" t="s">
        <v>773</v>
      </c>
    </row>
    <row r="154" spans="1:12" ht="75" hidden="1" x14ac:dyDescent="0.25">
      <c r="A154">
        <v>98</v>
      </c>
      <c r="B154" s="164" t="s">
        <v>874</v>
      </c>
      <c r="C154" s="141" t="s">
        <v>412</v>
      </c>
      <c r="D154" t="s">
        <v>608</v>
      </c>
      <c r="E154" t="s">
        <v>507</v>
      </c>
      <c r="F154" s="1" t="str">
        <f t="shared" si="2"/>
        <v>PURPOSE: Defines the Transfer Coefficient Value for calculations
ACTION: Enter numerical value in specified unit
NOTE: Required for system calculations. Must be positive value. Used in MFA calculations.</v>
      </c>
      <c r="G154" s="1" t="s">
        <v>809</v>
      </c>
      <c r="H154" s="1" t="s">
        <v>772</v>
      </c>
      <c r="I154" s="1" t="s">
        <v>773</v>
      </c>
    </row>
    <row r="155" spans="1:12" ht="75" hidden="1" x14ac:dyDescent="0.25">
      <c r="A155">
        <v>83</v>
      </c>
      <c r="B155" t="s">
        <v>873</v>
      </c>
      <c r="C155" s="141" t="s">
        <v>405</v>
      </c>
      <c r="D155" t="s">
        <v>615</v>
      </c>
      <c r="E155" t="s">
        <v>616</v>
      </c>
      <c r="F155" s="1" t="str">
        <f t="shared" si="2"/>
        <v>PURPOSE: Data field for Titel in 2_3_static_TCs
ACTION: Enter appropriate value for Titel
NOTE: Please refer to BioDYM documentation for specific requirements.</v>
      </c>
      <c r="G155" s="1" t="s">
        <v>814</v>
      </c>
      <c r="H155" s="1" t="s">
        <v>618</v>
      </c>
      <c r="I155" s="1" t="s">
        <v>738</v>
      </c>
    </row>
    <row r="156" spans="1:12" ht="75" hidden="1" x14ac:dyDescent="0.25">
      <c r="A156">
        <v>105</v>
      </c>
      <c r="B156" s="164" t="s">
        <v>874</v>
      </c>
      <c r="C156" s="141" t="s">
        <v>405</v>
      </c>
      <c r="D156" t="s">
        <v>615</v>
      </c>
      <c r="E156" t="s">
        <v>616</v>
      </c>
      <c r="F156" s="1" t="str">
        <f t="shared" si="2"/>
        <v>PURPOSE: Flag this row as 100% complete for reporting and filtering purposes
ACTION: Click to select
NOTE: This input is optional. Leave blank if the process is ongoing. Used for progress tracking.</v>
      </c>
      <c r="G156" s="1" t="s">
        <v>789</v>
      </c>
      <c r="H156" s="1" t="s">
        <v>790</v>
      </c>
      <c r="I156" s="1" t="s">
        <v>791</v>
      </c>
      <c r="L156" s="166" t="s">
        <v>24</v>
      </c>
    </row>
    <row r="157" spans="1:12" ht="75" hidden="1" x14ac:dyDescent="0.25">
      <c r="A157">
        <v>81</v>
      </c>
      <c r="B157" t="s">
        <v>873</v>
      </c>
      <c r="C157" s="141" t="s">
        <v>404</v>
      </c>
      <c r="D157" t="s">
        <v>613</v>
      </c>
      <c r="E157" t="s">
        <v>614</v>
      </c>
      <c r="F157" s="1" t="str">
        <f t="shared" si="2"/>
        <v>PURPOSE: Unique identifier for {context}
ACTION: Automatically assigned
NOTE: This field is generated automatically. No manual input required. Used for system identification and linking.</v>
      </c>
      <c r="G157" s="1" t="s">
        <v>810</v>
      </c>
      <c r="H157" s="1" t="s">
        <v>716</v>
      </c>
      <c r="I157" s="1" t="s">
        <v>717</v>
      </c>
      <c r="L157" s="141" t="s">
        <v>7</v>
      </c>
    </row>
    <row r="158" spans="1:12" ht="75" hidden="1" x14ac:dyDescent="0.25">
      <c r="A158">
        <v>103</v>
      </c>
      <c r="B158" s="164" t="s">
        <v>874</v>
      </c>
      <c r="C158" s="141" t="s">
        <v>404</v>
      </c>
      <c r="D158" t="s">
        <v>613</v>
      </c>
      <c r="E158" t="s">
        <v>614</v>
      </c>
      <c r="F158" s="1" t="str">
        <f t="shared" si="2"/>
        <v>PURPOSE: Unique identifier for {context}
ACTION: Automatically assigned
NOTE: This field is generated automatically. No manual input required. Used for system identification and linking.</v>
      </c>
      <c r="G158" s="1" t="s">
        <v>810</v>
      </c>
      <c r="H158" s="1" t="s">
        <v>716</v>
      </c>
      <c r="I158" s="1" t="s">
        <v>717</v>
      </c>
      <c r="L158" s="141" t="s">
        <v>23</v>
      </c>
    </row>
    <row r="159" spans="1:12" ht="75" hidden="1" x14ac:dyDescent="0.25">
      <c r="A159">
        <v>77</v>
      </c>
      <c r="B159" t="s">
        <v>873</v>
      </c>
      <c r="C159" s="141" t="s">
        <v>408</v>
      </c>
      <c r="D159" t="s">
        <v>609</v>
      </c>
      <c r="E159" t="s">
        <v>610</v>
      </c>
      <c r="F159" s="1" t="str">
        <f t="shared" si="2"/>
        <v>PURPOSE: Unique identifier for {context}
ACTION: Automatically assigned
NOTE: This field is generated automatically. No manual input required. Used for system identification and linking.</v>
      </c>
      <c r="G159" s="1" t="s">
        <v>810</v>
      </c>
      <c r="H159" s="1" t="s">
        <v>716</v>
      </c>
      <c r="I159" s="1" t="s">
        <v>717</v>
      </c>
      <c r="L159" s="141" t="s">
        <v>26</v>
      </c>
    </row>
    <row r="160" spans="1:12" ht="75" hidden="1" x14ac:dyDescent="0.25">
      <c r="A160">
        <v>99</v>
      </c>
      <c r="B160" s="164" t="s">
        <v>874</v>
      </c>
      <c r="C160" s="141" t="s">
        <v>408</v>
      </c>
      <c r="D160" t="s">
        <v>609</v>
      </c>
      <c r="E160" t="s">
        <v>610</v>
      </c>
      <c r="F160" s="1" t="str">
        <f t="shared" si="2"/>
        <v>PURPOSE: Unique identifier for {context}
ACTION: Automatically assigned
NOTE: This field is generated automatically. No manual input required. Used for system identification and linking.</v>
      </c>
      <c r="G160" s="1" t="s">
        <v>810</v>
      </c>
      <c r="H160" s="1" t="s">
        <v>716</v>
      </c>
      <c r="I160" s="1" t="s">
        <v>717</v>
      </c>
      <c r="L160" s="141" t="s">
        <v>371</v>
      </c>
    </row>
    <row r="161" spans="1:12" ht="90" hidden="1" x14ac:dyDescent="0.25">
      <c r="A161">
        <v>79</v>
      </c>
      <c r="B161" t="s">
        <v>873</v>
      </c>
      <c r="C161" s="141" t="s">
        <v>403</v>
      </c>
      <c r="D161" t="s">
        <v>611</v>
      </c>
      <c r="E161" t="s">
        <v>612</v>
      </c>
      <c r="F161" s="1" t="str">
        <f t="shared" si="2"/>
        <v>PURPOSE: Unique identifier for {context}
ACTION: Automatically assigned
NOTE: This field is generated automatically. No manual input required. Used for system identification and linking.</v>
      </c>
      <c r="G161" s="1" t="s">
        <v>810</v>
      </c>
      <c r="H161" s="1" t="s">
        <v>716</v>
      </c>
      <c r="I161" s="1" t="s">
        <v>717</v>
      </c>
      <c r="L161" s="141" t="s">
        <v>255</v>
      </c>
    </row>
    <row r="162" spans="1:12" ht="75" hidden="1" x14ac:dyDescent="0.25">
      <c r="A162">
        <v>101</v>
      </c>
      <c r="B162" s="164" t="s">
        <v>874</v>
      </c>
      <c r="C162" s="141" t="s">
        <v>403</v>
      </c>
      <c r="D162" t="s">
        <v>611</v>
      </c>
      <c r="E162" t="s">
        <v>612</v>
      </c>
      <c r="F162" s="1" t="str">
        <f t="shared" si="2"/>
        <v>PURPOSE: Unique identifier for {context}
ACTION: Automatically assigned
NOTE: This field is generated automatically. No manual input required. Used for system identification and linking.</v>
      </c>
      <c r="G162" s="1" t="s">
        <v>810</v>
      </c>
      <c r="H162" s="1" t="s">
        <v>716</v>
      </c>
      <c r="I162" s="1" t="s">
        <v>717</v>
      </c>
      <c r="L162" s="141" t="s">
        <v>256</v>
      </c>
    </row>
    <row r="163" spans="1:12" ht="75" hidden="1" x14ac:dyDescent="0.25">
      <c r="A163">
        <v>78</v>
      </c>
      <c r="B163" t="s">
        <v>873</v>
      </c>
      <c r="C163" s="141" t="s">
        <v>413</v>
      </c>
      <c r="D163" t="s">
        <v>549</v>
      </c>
      <c r="E163" t="s">
        <v>507</v>
      </c>
      <c r="F163" s="1" t="str">
        <f t="shared" si="2"/>
        <v>PURPOSE: Defines the Water Content Transfer Coefficient for calculations
ACTION: Enter numerical value in specified unit
NOTE: Required for system calculations. Must be positive value. Used in MFA calculations.</v>
      </c>
      <c r="G163" s="1" t="s">
        <v>811</v>
      </c>
      <c r="H163" s="1" t="s">
        <v>772</v>
      </c>
      <c r="I163" s="1" t="s">
        <v>773</v>
      </c>
      <c r="L163" s="141" t="s">
        <v>391</v>
      </c>
    </row>
    <row r="164" spans="1:12" ht="75" hidden="1" x14ac:dyDescent="0.25">
      <c r="A164">
        <v>100</v>
      </c>
      <c r="B164" s="164" t="s">
        <v>874</v>
      </c>
      <c r="C164" s="141" t="s">
        <v>413</v>
      </c>
      <c r="D164" t="s">
        <v>549</v>
      </c>
      <c r="E164" t="s">
        <v>507</v>
      </c>
      <c r="F164" s="1" t="str">
        <f t="shared" si="2"/>
        <v>PURPOSE: Defines the Water Content Transfer Coefficient for calculations
ACTION: Enter numerical value in specified unit
NOTE: Required for system calculations. Must be positive value. Used in MFA calculations.</v>
      </c>
      <c r="G164" s="1" t="s">
        <v>811</v>
      </c>
      <c r="H164" s="1" t="s">
        <v>772</v>
      </c>
      <c r="I164" s="1" t="s">
        <v>773</v>
      </c>
      <c r="L164" s="141" t="s">
        <v>392</v>
      </c>
    </row>
    <row r="165" spans="1:12" ht="75" hidden="1" x14ac:dyDescent="0.25">
      <c r="A165">
        <v>84</v>
      </c>
      <c r="B165" t="s">
        <v>873</v>
      </c>
      <c r="C165" s="141" t="s">
        <v>10</v>
      </c>
      <c r="D165" t="s">
        <v>617</v>
      </c>
      <c r="E165" t="s">
        <v>618</v>
      </c>
      <c r="F165" s="1" t="str">
        <f t="shared" si="2"/>
        <v>PURPOSE: Data field for Year_publication in 2_3_static_TCs
ACTION: Enter appropriate value for Year_publication
NOTE: Please refer to BioDYM documentation for specific requirements.</v>
      </c>
      <c r="G165" s="1" t="s">
        <v>815</v>
      </c>
      <c r="H165" s="1" t="s">
        <v>620</v>
      </c>
      <c r="I165" s="1" t="s">
        <v>738</v>
      </c>
      <c r="L165" s="141" t="s">
        <v>393</v>
      </c>
    </row>
    <row r="166" spans="1:12" ht="75" hidden="1" x14ac:dyDescent="0.25">
      <c r="A166">
        <v>34</v>
      </c>
      <c r="B166" t="s">
        <v>484</v>
      </c>
      <c r="C166" s="141" t="s">
        <v>14</v>
      </c>
      <c r="D166" t="s">
        <v>547</v>
      </c>
      <c r="E166" t="s">
        <v>548</v>
      </c>
      <c r="F166" s="1" t="str">
        <f t="shared" si="2"/>
        <v>PURPOSE: Defines the {field_type} for temporal data organization
ACTION: Enter year (e.g., 2020, 2021, 2022)
NOTE: Must be consistent with analysis time period. Used for time-series data organization.</v>
      </c>
      <c r="G166" s="1" t="s">
        <v>759</v>
      </c>
      <c r="H166" s="1" t="s">
        <v>752</v>
      </c>
      <c r="I166" s="1" t="s">
        <v>753</v>
      </c>
      <c r="L166" s="141" t="s">
        <v>396</v>
      </c>
    </row>
    <row r="167" spans="1:12" ht="75" hidden="1" x14ac:dyDescent="0.25">
      <c r="A167">
        <v>87</v>
      </c>
      <c r="B167" t="s">
        <v>873</v>
      </c>
      <c r="C167" s="141" t="s">
        <v>471</v>
      </c>
      <c r="D167" t="s">
        <v>623</v>
      </c>
      <c r="E167" t="s">
        <v>624</v>
      </c>
      <c r="F167" s="1" t="str">
        <f t="shared" si="2"/>
        <v>PURPOSE: Data field for URL in 2_3_static_TCs
ACTION: Enter appropriate value for URL
NOTE: Please refer to BioDYM documentation for specific requirements.</v>
      </c>
      <c r="G167" s="1" t="s">
        <v>818</v>
      </c>
      <c r="H167" s="1" t="s">
        <v>556</v>
      </c>
      <c r="I167" s="1" t="s">
        <v>738</v>
      </c>
      <c r="L167" s="141" t="s">
        <v>394</v>
      </c>
    </row>
    <row r="168" spans="1:12" ht="75" hidden="1" x14ac:dyDescent="0.25">
      <c r="A168">
        <v>37</v>
      </c>
      <c r="B168" t="s">
        <v>484</v>
      </c>
      <c r="C168" s="141" t="s">
        <v>17</v>
      </c>
      <c r="D168" t="s">
        <v>553</v>
      </c>
      <c r="E168" t="s">
        <v>554</v>
      </c>
      <c r="F168" s="1" t="str">
        <f t="shared" si="2"/>
        <v>PURPOSE: Data field for URL in 1_2_Data_Flows
ACTION: Enter appropriate value for URL
NOTE: Please refer to BioDYM documentation for specific requirements.</v>
      </c>
      <c r="G168" s="1" t="s">
        <v>766</v>
      </c>
      <c r="H168" s="1" t="s">
        <v>556</v>
      </c>
      <c r="I168" s="1" t="s">
        <v>738</v>
      </c>
      <c r="L168" s="141" t="s">
        <v>397</v>
      </c>
    </row>
    <row r="169" spans="1:12" ht="75" hidden="1" x14ac:dyDescent="0.25">
      <c r="A169">
        <v>115</v>
      </c>
      <c r="B169" s="164" t="s">
        <v>875</v>
      </c>
      <c r="C169" s="141" t="s">
        <v>1</v>
      </c>
      <c r="D169" t="s">
        <v>629</v>
      </c>
      <c r="E169" t="s">
        <v>630</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775</v>
      </c>
      <c r="H169" s="1" t="s">
        <v>746</v>
      </c>
      <c r="I169" s="1" t="s">
        <v>823</v>
      </c>
      <c r="L169" s="141" t="s">
        <v>395</v>
      </c>
    </row>
    <row r="170" spans="1:12" ht="75" hidden="1" x14ac:dyDescent="0.25">
      <c r="A170">
        <v>56</v>
      </c>
      <c r="B170" t="s">
        <v>484</v>
      </c>
      <c r="C170" s="141" t="s">
        <v>36</v>
      </c>
      <c r="D170" t="s">
        <v>590</v>
      </c>
      <c r="E170" t="s">
        <v>591</v>
      </c>
      <c r="F170" s="1" t="str">
        <f t="shared" si="2"/>
        <v>PURPOSE: Flag this row as 100% complete for reporting and filtering purposes
ACTION: Click to select
NOTE: This input is optional. Leave blank if the process is ongoing. Used for progress tracking.</v>
      </c>
      <c r="G170" s="1" t="s">
        <v>789</v>
      </c>
      <c r="H170" s="1" t="s">
        <v>790</v>
      </c>
      <c r="I170" s="1" t="s">
        <v>791</v>
      </c>
      <c r="L170" s="141" t="s">
        <v>398</v>
      </c>
    </row>
    <row r="171" spans="1:12" ht="75" hidden="1" x14ac:dyDescent="0.25">
      <c r="A171">
        <v>52</v>
      </c>
      <c r="B171" t="s">
        <v>484</v>
      </c>
      <c r="C171" s="141" t="s">
        <v>37</v>
      </c>
      <c r="D171" t="s">
        <v>583</v>
      </c>
      <c r="E171" t="s">
        <v>584</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745</v>
      </c>
      <c r="H171" s="1" t="s">
        <v>746</v>
      </c>
      <c r="I171" s="1" t="s">
        <v>785</v>
      </c>
      <c r="L171" s="141" t="s">
        <v>4</v>
      </c>
    </row>
    <row r="172" spans="1:12" ht="90" hidden="1" x14ac:dyDescent="0.25">
      <c r="A172">
        <v>44</v>
      </c>
      <c r="B172" t="s">
        <v>484</v>
      </c>
      <c r="C172" s="166" t="s">
        <v>22</v>
      </c>
      <c r="D172" t="s">
        <v>567</v>
      </c>
      <c r="E172" t="s">
        <v>568</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775</v>
      </c>
      <c r="H172" s="1" t="s">
        <v>746</v>
      </c>
      <c r="I172" s="1" t="s">
        <v>776</v>
      </c>
    </row>
    <row r="173" spans="1:12" ht="90" hidden="1" x14ac:dyDescent="0.25">
      <c r="A173">
        <v>31</v>
      </c>
      <c r="B173" t="s">
        <v>484</v>
      </c>
      <c r="C173" s="141" t="s">
        <v>21</v>
      </c>
      <c r="D173" t="s">
        <v>541</v>
      </c>
      <c r="E173" t="s">
        <v>542</v>
      </c>
      <c r="F173" s="1" t="str">
        <f t="shared" si="2"/>
        <v>PURPOSE: Data field for Name_Source in 1_2_Data_Flows
ACTION: Enter appropriate value for Name_Source
NOTE: Please refer to BioDYM documentation for specific requirements.</v>
      </c>
      <c r="G173" s="1" t="s">
        <v>756</v>
      </c>
      <c r="H173" s="1" t="s">
        <v>544</v>
      </c>
      <c r="I173" s="1" t="s">
        <v>738</v>
      </c>
    </row>
    <row r="174" spans="1:12" ht="75" hidden="1" x14ac:dyDescent="0.25">
      <c r="A174">
        <v>48</v>
      </c>
      <c r="B174" t="s">
        <v>484</v>
      </c>
      <c r="C174" s="141" t="s">
        <v>38</v>
      </c>
      <c r="D174" t="s">
        <v>575</v>
      </c>
      <c r="E174" t="s">
        <v>576</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780</v>
      </c>
      <c r="H174" s="1" t="s">
        <v>746</v>
      </c>
      <c r="I174" s="1" t="s">
        <v>781</v>
      </c>
    </row>
    <row r="175" spans="1:12" ht="75" hidden="1" x14ac:dyDescent="0.25">
      <c r="A175">
        <v>38</v>
      </c>
      <c r="B175" t="s">
        <v>484</v>
      </c>
      <c r="C175" s="141" t="s">
        <v>3</v>
      </c>
      <c r="D175" t="s">
        <v>555</v>
      </c>
      <c r="E175" t="s">
        <v>556</v>
      </c>
      <c r="F175" s="1" t="str">
        <f t="shared" si="2"/>
        <v>PURPOSE: Data field for CF_required? in 1_2_Data_Flows
ACTION: Enter appropriate value for CF_required?
NOTE: Please refer to BioDYM documentation for specific requirements.</v>
      </c>
      <c r="G175" s="1" t="s">
        <v>767</v>
      </c>
      <c r="H175" s="1" t="s">
        <v>558</v>
      </c>
      <c r="I175" s="1" t="s">
        <v>738</v>
      </c>
    </row>
    <row r="176" spans="1:12" ht="75" hidden="1" x14ac:dyDescent="0.25">
      <c r="A176">
        <v>88</v>
      </c>
      <c r="B176" t="s">
        <v>873</v>
      </c>
      <c r="C176" s="141" t="s">
        <v>3</v>
      </c>
      <c r="D176" t="s">
        <v>555</v>
      </c>
      <c r="E176" t="s">
        <v>556</v>
      </c>
      <c r="F176" s="1" t="str">
        <f t="shared" si="2"/>
        <v>PURPOSE: Flag this row as 100% complete for reporting and filtering purposes
ACTION: Click to select
NOTE: This input is optional. Leave blank if the process is ongoing. Used for progress tracking.</v>
      </c>
      <c r="G176" s="1" t="s">
        <v>789</v>
      </c>
      <c r="H176" s="1" t="s">
        <v>790</v>
      </c>
      <c r="I176" s="1" t="s">
        <v>791</v>
      </c>
    </row>
    <row r="177" spans="1:11" ht="75" hidden="1" x14ac:dyDescent="0.25">
      <c r="A177">
        <v>148</v>
      </c>
      <c r="B177" t="s">
        <v>487</v>
      </c>
      <c r="C177" s="141" t="s">
        <v>166</v>
      </c>
      <c r="D177" t="s">
        <v>657</v>
      </c>
      <c r="E177" t="s">
        <v>658</v>
      </c>
      <c r="F177" s="1" t="str">
        <f t="shared" si="2"/>
        <v>PURPOSE: Unique identifier for data row
ACTION: Automatically assigned
NOTE: This field is generated automatically. No manual input required. Used for system identification and linking.</v>
      </c>
      <c r="G177" s="1" t="s">
        <v>715</v>
      </c>
      <c r="H177" s="1" t="s">
        <v>716</v>
      </c>
      <c r="I177" s="1" t="s">
        <v>717</v>
      </c>
    </row>
    <row r="178" spans="1:11" ht="90" x14ac:dyDescent="0.25">
      <c r="A178">
        <v>21</v>
      </c>
      <c r="B178" t="s">
        <v>476</v>
      </c>
      <c r="C178" s="141" t="s">
        <v>90</v>
      </c>
      <c r="D178" t="s">
        <v>533</v>
      </c>
      <c r="E178" t="s">
        <v>534</v>
      </c>
      <c r="F178" s="1" t="str">
        <f t="shared" si="2"/>
        <v>PURPOSE: Data field for CC_FM_source in 1_1_Definition_Flows
ACTION: Enter appropriate value for CC_FM_source
NOTE: Please refer to BioDYM documentation for specific requirements.</v>
      </c>
      <c r="G178" s="1" t="s">
        <v>750</v>
      </c>
      <c r="H178" s="1" t="s">
        <v>536</v>
      </c>
      <c r="I178" s="1" t="s">
        <v>738</v>
      </c>
    </row>
    <row r="179" spans="1:11" ht="90" hidden="1" x14ac:dyDescent="0.25">
      <c r="A179">
        <v>26</v>
      </c>
      <c r="B179" t="s">
        <v>484</v>
      </c>
      <c r="C179" s="141" t="s">
        <v>27</v>
      </c>
      <c r="D179" t="s">
        <v>511</v>
      </c>
      <c r="E179" t="s">
        <v>512</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731</v>
      </c>
      <c r="H179" s="1" t="s">
        <v>732</v>
      </c>
      <c r="I179" s="1" t="s">
        <v>733</v>
      </c>
    </row>
    <row r="180" spans="1:11" ht="75" hidden="1" x14ac:dyDescent="0.25">
      <c r="A180">
        <v>45</v>
      </c>
      <c r="B180" t="s">
        <v>484</v>
      </c>
      <c r="C180" s="141" t="s">
        <v>30</v>
      </c>
      <c r="D180" t="s">
        <v>569</v>
      </c>
      <c r="E180" t="s">
        <v>570</v>
      </c>
      <c r="F180" s="1" t="str">
        <f t="shared" si="2"/>
        <v>PURPOSE: Data field for Flow_WC_year_ID in 1_2_Data_Flows
ACTION: Enter appropriate value for Flow_WC_year_ID
NOTE: Please refer to BioDYM documentation for specific requirements.</v>
      </c>
      <c r="G180" s="1" t="s">
        <v>777</v>
      </c>
      <c r="H180" s="1" t="s">
        <v>572</v>
      </c>
      <c r="I180" s="1" t="s">
        <v>738</v>
      </c>
    </row>
    <row r="181" spans="1:11" ht="75" hidden="1" x14ac:dyDescent="0.25">
      <c r="A181">
        <v>47</v>
      </c>
      <c r="B181" t="s">
        <v>484</v>
      </c>
      <c r="C181" s="141" t="s">
        <v>35</v>
      </c>
      <c r="D181" t="s">
        <v>573</v>
      </c>
      <c r="E181" t="s">
        <v>574</v>
      </c>
      <c r="F181" s="1" t="str">
        <f t="shared" si="2"/>
        <v>PURPOSE: Data field for UoM_WC_Flow_Py in 1_2_Data_Flows
ACTION: Enter appropriate value for UoM_WC_Flow_Py
NOTE: Please refer to BioDYM documentation for specific requirements.</v>
      </c>
      <c r="G181" s="1" t="s">
        <v>779</v>
      </c>
      <c r="H181" s="1" t="s">
        <v>576</v>
      </c>
      <c r="I181" s="1" t="s">
        <v>738</v>
      </c>
    </row>
    <row r="182" spans="1:11" ht="75" x14ac:dyDescent="0.25">
      <c r="A182">
        <v>22</v>
      </c>
      <c r="B182" t="s">
        <v>476</v>
      </c>
      <c r="C182" s="141" t="s">
        <v>49</v>
      </c>
      <c r="D182" t="s">
        <v>535</v>
      </c>
      <c r="E182" t="s">
        <v>536</v>
      </c>
      <c r="F182" s="1" t="str">
        <f t="shared" si="2"/>
        <v>PURPOSE: Unique identifier for data row
ACTION: Automatically assigned
NOTE: This field is generated automatically. No manual input required. Used for system identification and linking.</v>
      </c>
      <c r="G182" s="1" t="s">
        <v>715</v>
      </c>
      <c r="H182" s="1" t="s">
        <v>716</v>
      </c>
      <c r="I182" s="1" t="s">
        <v>717</v>
      </c>
    </row>
    <row r="183" spans="1:11" ht="90" hidden="1" x14ac:dyDescent="0.25">
      <c r="A183">
        <v>178</v>
      </c>
      <c r="B183" t="s">
        <v>495</v>
      </c>
      <c r="C183" s="141" t="s">
        <v>395</v>
      </c>
      <c r="D183" t="s">
        <v>506</v>
      </c>
      <c r="E183" t="s">
        <v>507</v>
      </c>
      <c r="F183" s="1" t="str">
        <f t="shared" si="2"/>
        <v>PURPOSE: Unique identifier for material flow
ACTION: Automatically assigned
NOTE: This field is generated automatically. No manual input required. Used for system identification and linking.</v>
      </c>
      <c r="G183" s="1" t="s">
        <v>718</v>
      </c>
      <c r="H183" s="1" t="s">
        <v>716</v>
      </c>
      <c r="I183" s="1" t="s">
        <v>717</v>
      </c>
    </row>
    <row r="184" spans="1:11" ht="75" hidden="1" x14ac:dyDescent="0.25">
      <c r="A184">
        <v>178</v>
      </c>
      <c r="B184" t="s">
        <v>495</v>
      </c>
      <c r="C184" s="141" t="s">
        <v>394</v>
      </c>
      <c r="D184" t="s">
        <v>508</v>
      </c>
      <c r="E184" t="s">
        <v>507</v>
      </c>
      <c r="F184" s="1" t="str">
        <f t="shared" si="2"/>
        <v>PURPOSE: Data field for Name(EN) in 6_2_Visualization_Flows
ACTION: Enter appropriate value for Name(EN)
NOTE: Please refer to BioDYM documentation for specific requirements.</v>
      </c>
      <c r="G184" s="1" t="s">
        <v>870</v>
      </c>
      <c r="H184" s="1" t="s">
        <v>688</v>
      </c>
      <c r="I184" s="1" t="s">
        <v>738</v>
      </c>
    </row>
    <row r="185" spans="1:11" ht="75" hidden="1" x14ac:dyDescent="0.25">
      <c r="A185">
        <v>176</v>
      </c>
      <c r="B185" t="s">
        <v>495</v>
      </c>
      <c r="C185" s="141" t="s">
        <v>391</v>
      </c>
      <c r="D185" t="s">
        <v>695</v>
      </c>
      <c r="E185" t="s">
        <v>696</v>
      </c>
      <c r="F185" s="1" t="str">
        <f t="shared" si="2"/>
        <v>PURPOSE: Data field for Y_Position_Material in 6_1_Visualization_Processes
ACTION: Enter appropriate value for Y_Position_Material
NOTE: Please refer to BioDYM documentation for specific requirements.</v>
      </c>
      <c r="G185" s="1" t="s">
        <v>863</v>
      </c>
      <c r="H185" s="1" t="s">
        <v>698</v>
      </c>
      <c r="I185" s="1" t="s">
        <v>738</v>
      </c>
    </row>
    <row r="186" spans="1:11" ht="105" hidden="1" x14ac:dyDescent="0.25">
      <c r="A186">
        <v>178</v>
      </c>
      <c r="B186" t="s">
        <v>495</v>
      </c>
      <c r="C186" s="141" t="s">
        <v>393</v>
      </c>
      <c r="D186" t="s">
        <v>687</v>
      </c>
      <c r="E186" t="s">
        <v>688</v>
      </c>
      <c r="F186" s="1" t="str">
        <f t="shared" si="2"/>
        <v>PURPOSE: Data field for Flow_Color in 6_2_Visualization_Flows
ACTION: Enter appropriate value for Flow_Color
NOTE: Please refer to BioDYM documentation for specific requirements.</v>
      </c>
      <c r="G186" s="1" t="s">
        <v>871</v>
      </c>
      <c r="H186" s="1" t="s">
        <v>712</v>
      </c>
      <c r="I186" s="1" t="s">
        <v>738</v>
      </c>
      <c r="K186" s="141"/>
    </row>
    <row r="187" spans="1:11" ht="90" hidden="1" x14ac:dyDescent="0.25">
      <c r="A187">
        <v>178</v>
      </c>
      <c r="B187" t="s">
        <v>495</v>
      </c>
      <c r="C187" s="141" t="s">
        <v>398</v>
      </c>
      <c r="D187" t="s">
        <v>711</v>
      </c>
      <c r="E187" t="s">
        <v>712</v>
      </c>
      <c r="F187" s="1" t="str">
        <f t="shared" si="2"/>
        <v>PURPOSE: Data field for Flow_Color_# in 6_2_Visualization_Flows
ACTION: Enter appropriate value for Flow_Color_#
NOTE: Please refer to BioDYM documentation for specific requirements.</v>
      </c>
      <c r="G187" s="1" t="s">
        <v>872</v>
      </c>
      <c r="H187" s="1" t="s">
        <v>714</v>
      </c>
      <c r="I187" s="1" t="s">
        <v>738</v>
      </c>
      <c r="K187" s="141"/>
    </row>
    <row r="188" spans="1:11" ht="90" hidden="1" x14ac:dyDescent="0.25">
      <c r="A188">
        <v>178</v>
      </c>
      <c r="B188" t="s">
        <v>495</v>
      </c>
      <c r="C188" s="141" t="s">
        <v>397</v>
      </c>
      <c r="D188" t="s">
        <v>713</v>
      </c>
      <c r="E188" t="s">
        <v>714</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795</v>
      </c>
      <c r="H188" s="1" t="s">
        <v>796</v>
      </c>
      <c r="I188" s="1" t="s">
        <v>721</v>
      </c>
      <c r="K188" s="141"/>
    </row>
    <row r="189" spans="1:11" ht="75" hidden="1" x14ac:dyDescent="0.25">
      <c r="A189">
        <v>177</v>
      </c>
      <c r="B189" t="s">
        <v>495</v>
      </c>
      <c r="C189" s="141" t="s">
        <v>392</v>
      </c>
      <c r="D189" t="s">
        <v>697</v>
      </c>
      <c r="E189" t="s">
        <v>698</v>
      </c>
      <c r="F189" s="1" t="str">
        <f t="shared" si="2"/>
        <v>PURPOSE: Data field for X_Position_WC in 6_1_Visualization_Processes
ACTION: Enter appropriate value for X_Position_WC
NOTE: Please refer to BioDYM documentation for specific requirements.</v>
      </c>
      <c r="G189" s="1" t="s">
        <v>864</v>
      </c>
      <c r="H189" s="1" t="s">
        <v>700</v>
      </c>
      <c r="I189" s="1" t="s">
        <v>738</v>
      </c>
      <c r="K189" s="141"/>
    </row>
    <row r="190" spans="1:11" ht="75" hidden="1" x14ac:dyDescent="0.25">
      <c r="A190">
        <v>178</v>
      </c>
      <c r="B190" t="s">
        <v>495</v>
      </c>
      <c r="C190" s="141" t="s">
        <v>396</v>
      </c>
      <c r="D190" t="s">
        <v>597</v>
      </c>
      <c r="E190" t="s">
        <v>598</v>
      </c>
      <c r="F190" s="1" t="str">
        <f t="shared" si="2"/>
        <v xml:space="preserve">PURPOSE: 
ACTION: 
NOTE: </v>
      </c>
      <c r="K190" s="141"/>
    </row>
    <row r="191" spans="1:11" ht="75" hidden="1" x14ac:dyDescent="0.25">
      <c r="A191">
        <v>97</v>
      </c>
      <c r="B191" s="164" t="s">
        <v>874</v>
      </c>
      <c r="C191" s="141" t="s">
        <v>0</v>
      </c>
      <c r="D191" t="s">
        <v>625</v>
      </c>
      <c r="E191" t="s">
        <v>626</v>
      </c>
      <c r="F191" s="1" t="str">
        <f t="shared" si="2"/>
        <v>PURPOSE: Unique identifier for transfer coefficient material
ACTION: Automatically assigned
NOTE: This field is generated automatically. No manual input required. Used for system identification and linking.</v>
      </c>
      <c r="G191" s="1" t="s">
        <v>808</v>
      </c>
      <c r="H191" s="1" t="s">
        <v>716</v>
      </c>
      <c r="I191" s="1" t="s">
        <v>717</v>
      </c>
      <c r="K191" s="141"/>
    </row>
    <row r="192" spans="1:11" ht="105" hidden="1" x14ac:dyDescent="0.25">
      <c r="A192">
        <v>85</v>
      </c>
      <c r="B192" t="s">
        <v>873</v>
      </c>
      <c r="C192" s="141" t="s">
        <v>470</v>
      </c>
      <c r="D192" t="s">
        <v>619</v>
      </c>
      <c r="E192" t="s">
        <v>620</v>
      </c>
      <c r="F192" s="1" t="str">
        <f t="shared" si="2"/>
        <v>PURPOSE: Data field for Author in 2_3_static_TCs
ACTION: Enter appropriate value for Author
NOTE: Please refer to BioDYM documentation for specific requirements.</v>
      </c>
      <c r="G192" s="1" t="s">
        <v>816</v>
      </c>
      <c r="H192" s="1" t="s">
        <v>622</v>
      </c>
      <c r="I192" s="1" t="s">
        <v>738</v>
      </c>
    </row>
    <row r="193" spans="1:9" ht="75" hidden="1" x14ac:dyDescent="0.25">
      <c r="A193">
        <v>35</v>
      </c>
      <c r="B193" t="s">
        <v>484</v>
      </c>
      <c r="C193" s="141" t="s">
        <v>15</v>
      </c>
      <c r="D193" t="s">
        <v>549</v>
      </c>
      <c r="E193" t="s">
        <v>550</v>
      </c>
      <c r="F193" s="1" t="str">
        <f t="shared" si="2"/>
        <v>PURPOSE: Defines the Data Source Author for data traceability
ACTION: Enter author or organization information
NOTE: Required for data quality assessment and traceability. Include author, publication, or data source.</v>
      </c>
      <c r="G193" s="1" t="s">
        <v>760</v>
      </c>
      <c r="H193" s="1" t="s">
        <v>761</v>
      </c>
      <c r="I193" s="1" t="s">
        <v>762</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59"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L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1" t="s">
        <v>886</v>
      </c>
      <c r="B1" s="191"/>
      <c r="C1" s="191"/>
    </row>
    <row r="2" spans="1:3" x14ac:dyDescent="0.25">
      <c r="A2" s="11" t="s">
        <v>7</v>
      </c>
      <c r="B2" s="11" t="s">
        <v>885</v>
      </c>
      <c r="C2" s="11" t="s">
        <v>4</v>
      </c>
    </row>
    <row r="3" spans="1:3" x14ac:dyDescent="0.25">
      <c r="A3">
        <v>1</v>
      </c>
      <c r="B3" t="s">
        <v>5</v>
      </c>
    </row>
    <row r="4" spans="1:3" x14ac:dyDescent="0.25">
      <c r="A4">
        <v>2</v>
      </c>
      <c r="B4" t="s">
        <v>6</v>
      </c>
    </row>
    <row r="5" spans="1:3" x14ac:dyDescent="0.25">
      <c r="A5" t="s">
        <v>876</v>
      </c>
      <c r="C5">
        <f>SUBTOTAL(103,CL_YesNo[Description])</f>
        <v>0</v>
      </c>
    </row>
    <row r="8" spans="1:3" x14ac:dyDescent="0.25">
      <c r="A8" s="11" t="s">
        <v>7</v>
      </c>
      <c r="B8" s="11" t="s">
        <v>1050</v>
      </c>
      <c r="C8" s="11" t="s">
        <v>4</v>
      </c>
    </row>
    <row r="9" spans="1:3" x14ac:dyDescent="0.25">
      <c r="A9">
        <v>1</v>
      </c>
      <c r="B9" t="s">
        <v>1051</v>
      </c>
      <c r="C9" s="1"/>
    </row>
    <row r="10" spans="1:3" x14ac:dyDescent="0.25">
      <c r="A10">
        <v>2</v>
      </c>
      <c r="B10" t="s">
        <v>1052</v>
      </c>
      <c r="C10" s="1"/>
    </row>
    <row r="11" spans="1:3" x14ac:dyDescent="0.25">
      <c r="A11">
        <v>3</v>
      </c>
      <c r="B11" t="s">
        <v>1053</v>
      </c>
    </row>
    <row r="12" spans="1:3" x14ac:dyDescent="0.25">
      <c r="A12">
        <v>4</v>
      </c>
      <c r="B12" t="s">
        <v>164</v>
      </c>
    </row>
    <row r="13" spans="1:3" x14ac:dyDescent="0.25">
      <c r="A13">
        <v>5</v>
      </c>
      <c r="B13" t="s">
        <v>1054</v>
      </c>
    </row>
    <row r="14" spans="1:3" x14ac:dyDescent="0.25">
      <c r="A14">
        <v>6</v>
      </c>
    </row>
    <row r="15" spans="1:3" x14ac:dyDescent="0.25">
      <c r="A15">
        <v>7</v>
      </c>
    </row>
    <row r="16" spans="1:3" x14ac:dyDescent="0.25">
      <c r="A16" t="s">
        <v>876</v>
      </c>
      <c r="C16">
        <f>SUBTOTAL(103,CL_Process_Logic3[Description])</f>
        <v>0</v>
      </c>
    </row>
    <row r="24" spans="1:3" x14ac:dyDescent="0.25">
      <c r="A24" s="194" t="s">
        <v>880</v>
      </c>
      <c r="B24" s="194"/>
      <c r="C24" s="194"/>
    </row>
    <row r="26" spans="1:3" x14ac:dyDescent="0.25">
      <c r="A26" s="192" t="s">
        <v>877</v>
      </c>
      <c r="B26" s="192"/>
      <c r="C26" s="192"/>
    </row>
    <row r="27" spans="1:3" x14ac:dyDescent="0.25">
      <c r="A27" s="11" t="s">
        <v>7</v>
      </c>
      <c r="B27" s="11" t="s">
        <v>400</v>
      </c>
      <c r="C27" s="11" t="s">
        <v>4</v>
      </c>
    </row>
    <row r="28" spans="1:3" ht="60" x14ac:dyDescent="0.25">
      <c r="A28">
        <v>1</v>
      </c>
      <c r="B28" t="s">
        <v>401</v>
      </c>
      <c r="C28" s="1" t="s">
        <v>406</v>
      </c>
    </row>
    <row r="29" spans="1:3" ht="90" x14ac:dyDescent="0.25">
      <c r="A29">
        <v>2</v>
      </c>
      <c r="B29" t="s">
        <v>402</v>
      </c>
      <c r="C29" s="1" t="s">
        <v>407</v>
      </c>
    </row>
    <row r="30" spans="1:3" x14ac:dyDescent="0.25">
      <c r="A30">
        <v>3</v>
      </c>
      <c r="B30" t="s">
        <v>461</v>
      </c>
    </row>
    <row r="31" spans="1:3" x14ac:dyDescent="0.25">
      <c r="A31">
        <v>4</v>
      </c>
      <c r="B31" t="s">
        <v>462</v>
      </c>
    </row>
    <row r="32" spans="1:3" x14ac:dyDescent="0.25">
      <c r="A32">
        <v>5</v>
      </c>
      <c r="B32" t="s">
        <v>252</v>
      </c>
    </row>
    <row r="33" spans="1:3" x14ac:dyDescent="0.25">
      <c r="A33">
        <v>6</v>
      </c>
      <c r="B33" t="s">
        <v>114</v>
      </c>
    </row>
    <row r="34" spans="1:3" x14ac:dyDescent="0.25">
      <c r="A34">
        <v>7</v>
      </c>
      <c r="B34" t="s">
        <v>113</v>
      </c>
    </row>
    <row r="35" spans="1:3" x14ac:dyDescent="0.25">
      <c r="A35" t="s">
        <v>876</v>
      </c>
      <c r="C35">
        <f>SUBTOTAL(103,CL_Process_Logic[Description])</f>
        <v>2</v>
      </c>
    </row>
    <row r="37" spans="1:3" x14ac:dyDescent="0.25">
      <c r="A37" s="192" t="s">
        <v>878</v>
      </c>
      <c r="B37" s="192"/>
      <c r="C37" s="192"/>
    </row>
    <row r="38" spans="1:3" x14ac:dyDescent="0.25">
      <c r="A38" t="s">
        <v>7</v>
      </c>
      <c r="B38" t="s">
        <v>463</v>
      </c>
      <c r="C38" t="s">
        <v>4</v>
      </c>
    </row>
    <row r="39" spans="1:3" x14ac:dyDescent="0.25">
      <c r="A39">
        <v>1</v>
      </c>
      <c r="B39" t="s">
        <v>441</v>
      </c>
    </row>
    <row r="40" spans="1:3" x14ac:dyDescent="0.25">
      <c r="A40">
        <v>2</v>
      </c>
      <c r="B40" t="s">
        <v>439</v>
      </c>
    </row>
    <row r="41" spans="1:3" x14ac:dyDescent="0.25">
      <c r="A41">
        <v>3</v>
      </c>
      <c r="B41" t="s">
        <v>440</v>
      </c>
    </row>
    <row r="42" spans="1:3" x14ac:dyDescent="0.25">
      <c r="A42" t="s">
        <v>876</v>
      </c>
      <c r="C42">
        <f>SUBTOTAL(103,CL_TC_Configuration[Description])</f>
        <v>0</v>
      </c>
    </row>
    <row r="44" spans="1:3" x14ac:dyDescent="0.25">
      <c r="A44" s="192" t="s">
        <v>465</v>
      </c>
      <c r="B44" s="192"/>
      <c r="C44" s="192"/>
    </row>
    <row r="45" spans="1:3" x14ac:dyDescent="0.25">
      <c r="A45" t="s">
        <v>7</v>
      </c>
      <c r="B45" t="s">
        <v>464</v>
      </c>
      <c r="C45" t="s">
        <v>4</v>
      </c>
    </row>
    <row r="46" spans="1:3" x14ac:dyDescent="0.25">
      <c r="A46">
        <v>1</v>
      </c>
      <c r="B46" t="s">
        <v>467</v>
      </c>
    </row>
    <row r="47" spans="1:3" x14ac:dyDescent="0.25">
      <c r="A47">
        <v>2</v>
      </c>
      <c r="B47" t="s">
        <v>468</v>
      </c>
    </row>
    <row r="48" spans="1:3" x14ac:dyDescent="0.25">
      <c r="A48">
        <v>3</v>
      </c>
      <c r="B48" t="s">
        <v>466</v>
      </c>
    </row>
    <row r="49" spans="1:12" x14ac:dyDescent="0.25">
      <c r="A49" t="s">
        <v>876</v>
      </c>
      <c r="C49">
        <f>SUBTOTAL(103,CL_Stock_Configuration[Description])</f>
        <v>0</v>
      </c>
    </row>
    <row r="51" spans="1:12" x14ac:dyDescent="0.25">
      <c r="A51" s="192" t="s">
        <v>879</v>
      </c>
      <c r="B51" s="192"/>
      <c r="C51" s="192"/>
    </row>
    <row r="52" spans="1:12" x14ac:dyDescent="0.25">
      <c r="A52" t="s">
        <v>7</v>
      </c>
      <c r="B52" t="s">
        <v>501</v>
      </c>
      <c r="C52" t="s">
        <v>4</v>
      </c>
    </row>
    <row r="53" spans="1:12" x14ac:dyDescent="0.25">
      <c r="A53">
        <v>1</v>
      </c>
      <c r="B53">
        <v>1</v>
      </c>
    </row>
    <row r="54" spans="1:12" x14ac:dyDescent="0.25">
      <c r="A54">
        <v>2</v>
      </c>
      <c r="B54">
        <v>2</v>
      </c>
    </row>
    <row r="55" spans="1:12" x14ac:dyDescent="0.25">
      <c r="A55">
        <v>3</v>
      </c>
      <c r="B55">
        <v>3</v>
      </c>
    </row>
    <row r="56" spans="1:12" x14ac:dyDescent="0.25">
      <c r="A56">
        <v>4</v>
      </c>
      <c r="B56">
        <v>4</v>
      </c>
    </row>
    <row r="57" spans="1:12" x14ac:dyDescent="0.25">
      <c r="A57">
        <v>5</v>
      </c>
      <c r="B57">
        <v>5</v>
      </c>
    </row>
    <row r="58" spans="1:12" x14ac:dyDescent="0.25">
      <c r="A58">
        <v>6</v>
      </c>
      <c r="B58">
        <v>6</v>
      </c>
    </row>
    <row r="59" spans="1:12" x14ac:dyDescent="0.25">
      <c r="A59">
        <v>7</v>
      </c>
      <c r="B59">
        <v>7</v>
      </c>
    </row>
    <row r="60" spans="1:12" x14ac:dyDescent="0.25">
      <c r="A60">
        <v>8</v>
      </c>
      <c r="B60">
        <v>8</v>
      </c>
    </row>
    <row r="61" spans="1:12" x14ac:dyDescent="0.25">
      <c r="A61">
        <v>9</v>
      </c>
      <c r="B61">
        <v>9</v>
      </c>
      <c r="D61" s="253"/>
      <c r="E61" s="253"/>
      <c r="F61" s="253"/>
      <c r="G61" s="253"/>
      <c r="H61" s="253"/>
      <c r="I61" s="253"/>
      <c r="J61" s="253"/>
      <c r="K61" s="253"/>
      <c r="L61" s="253"/>
    </row>
    <row r="62" spans="1:12" x14ac:dyDescent="0.25">
      <c r="A62" t="s">
        <v>876</v>
      </c>
      <c r="C62">
        <f>SUBTOTAL(103,Table35[Description])</f>
        <v>0</v>
      </c>
      <c r="D62" s="253"/>
      <c r="E62" s="255"/>
      <c r="F62" s="255"/>
      <c r="G62" s="255"/>
      <c r="H62" s="253"/>
      <c r="I62" s="256"/>
      <c r="J62" s="255"/>
      <c r="K62" s="253"/>
      <c r="L62" s="253"/>
    </row>
    <row r="63" spans="1:12" x14ac:dyDescent="0.25">
      <c r="D63" s="253"/>
      <c r="E63" s="255"/>
      <c r="F63" s="255"/>
      <c r="G63" s="255"/>
      <c r="H63" s="253"/>
      <c r="I63" s="256"/>
      <c r="J63" s="255"/>
      <c r="K63" s="253"/>
      <c r="L63" s="253"/>
    </row>
    <row r="64" spans="1:12" x14ac:dyDescent="0.25">
      <c r="A64" s="192" t="s">
        <v>1068</v>
      </c>
      <c r="B64" s="192"/>
      <c r="C64" s="192"/>
      <c r="D64" s="253"/>
      <c r="E64" s="255"/>
      <c r="F64" s="255"/>
      <c r="G64" s="255"/>
      <c r="H64" s="253"/>
      <c r="I64" s="256"/>
      <c r="J64" s="255"/>
      <c r="K64" s="253"/>
      <c r="L64" s="253"/>
    </row>
    <row r="65" spans="1:12" x14ac:dyDescent="0.25">
      <c r="A65" t="s">
        <v>7</v>
      </c>
      <c r="B65" t="s">
        <v>1066</v>
      </c>
      <c r="C65" t="s">
        <v>4</v>
      </c>
      <c r="D65" s="253"/>
      <c r="E65" s="255"/>
      <c r="F65" s="255"/>
      <c r="G65" s="255"/>
      <c r="H65" s="253"/>
      <c r="I65" s="256"/>
      <c r="J65" s="255"/>
      <c r="K65" s="253"/>
      <c r="L65" s="253"/>
    </row>
    <row r="66" spans="1:12" x14ac:dyDescent="0.25">
      <c r="A66">
        <v>1</v>
      </c>
      <c r="B66" t="s">
        <v>1069</v>
      </c>
      <c r="D66" s="253"/>
      <c r="E66" s="255"/>
      <c r="F66" s="255"/>
      <c r="G66" s="255"/>
      <c r="H66" s="253"/>
      <c r="I66" s="256"/>
      <c r="J66" s="255"/>
      <c r="K66" s="253"/>
      <c r="L66" s="253"/>
    </row>
    <row r="67" spans="1:12" x14ac:dyDescent="0.25">
      <c r="A67">
        <v>2</v>
      </c>
      <c r="B67" t="s">
        <v>1055</v>
      </c>
      <c r="D67" s="253"/>
      <c r="E67" s="255"/>
      <c r="F67" s="255"/>
      <c r="G67" s="255"/>
      <c r="H67" s="253"/>
      <c r="I67" s="256"/>
      <c r="J67" s="255"/>
      <c r="K67" s="253"/>
      <c r="L67" s="253"/>
    </row>
    <row r="68" spans="1:12" x14ac:dyDescent="0.25">
      <c r="A68">
        <v>3</v>
      </c>
      <c r="B68" t="s">
        <v>1056</v>
      </c>
      <c r="D68" s="253"/>
      <c r="E68" s="255"/>
      <c r="F68" s="255"/>
      <c r="G68" s="255"/>
      <c r="H68" s="253"/>
      <c r="I68" s="256"/>
      <c r="J68" s="255"/>
      <c r="K68" s="253"/>
      <c r="L68" s="253"/>
    </row>
    <row r="69" spans="1:12" x14ac:dyDescent="0.25">
      <c r="A69">
        <v>4</v>
      </c>
      <c r="B69" t="s">
        <v>1057</v>
      </c>
      <c r="D69" s="253"/>
      <c r="E69" s="255"/>
      <c r="F69" s="255"/>
      <c r="G69" s="255"/>
      <c r="H69" s="253"/>
      <c r="I69" s="256"/>
      <c r="J69" s="255"/>
      <c r="K69" s="253"/>
      <c r="L69" s="253"/>
    </row>
    <row r="70" spans="1:12" x14ac:dyDescent="0.25">
      <c r="A70">
        <v>5</v>
      </c>
      <c r="B70" t="s">
        <v>1070</v>
      </c>
      <c r="D70" s="253"/>
      <c r="E70" s="255"/>
      <c r="F70" s="255"/>
      <c r="G70" s="255"/>
      <c r="H70" s="253"/>
      <c r="I70" s="256"/>
      <c r="J70" s="255"/>
      <c r="K70" s="253"/>
      <c r="L70" s="253"/>
    </row>
    <row r="71" spans="1:12" x14ac:dyDescent="0.25">
      <c r="A71">
        <v>6</v>
      </c>
      <c r="B71" t="s">
        <v>1058</v>
      </c>
      <c r="D71" s="253"/>
      <c r="E71" s="255"/>
      <c r="F71" s="255"/>
      <c r="G71" s="255"/>
      <c r="H71" s="253"/>
      <c r="I71" s="256"/>
      <c r="J71" s="255"/>
      <c r="K71" s="253"/>
      <c r="L71" s="253"/>
    </row>
    <row r="72" spans="1:12" x14ac:dyDescent="0.25">
      <c r="A72">
        <v>7</v>
      </c>
      <c r="B72" t="s">
        <v>1059</v>
      </c>
      <c r="D72" s="253"/>
      <c r="E72" s="255"/>
      <c r="F72" s="255"/>
      <c r="G72" s="255"/>
      <c r="H72" s="253"/>
      <c r="I72" s="256"/>
      <c r="J72" s="255"/>
      <c r="K72" s="253"/>
      <c r="L72" s="253"/>
    </row>
    <row r="73" spans="1:12" x14ac:dyDescent="0.25">
      <c r="A73">
        <v>8</v>
      </c>
      <c r="B73" t="s">
        <v>1060</v>
      </c>
      <c r="D73" s="253"/>
      <c r="E73" s="255"/>
      <c r="F73" s="255"/>
      <c r="G73" s="255"/>
      <c r="H73" s="253"/>
      <c r="I73" s="256"/>
      <c r="J73" s="255"/>
      <c r="K73" s="253"/>
      <c r="L73" s="253"/>
    </row>
    <row r="74" spans="1:12" x14ac:dyDescent="0.25">
      <c r="A74">
        <v>9</v>
      </c>
      <c r="B74" t="s">
        <v>1061</v>
      </c>
      <c r="D74" s="253"/>
      <c r="E74" s="255"/>
      <c r="F74" s="255"/>
      <c r="G74" s="255"/>
      <c r="H74" s="253"/>
      <c r="I74" s="256"/>
      <c r="J74" s="255"/>
      <c r="K74" s="253"/>
      <c r="L74" s="253"/>
    </row>
    <row r="75" spans="1:12" x14ac:dyDescent="0.25">
      <c r="A75">
        <v>10</v>
      </c>
      <c r="B75" t="s">
        <v>1062</v>
      </c>
      <c r="D75" s="253"/>
      <c r="E75" s="255"/>
      <c r="F75" s="255"/>
      <c r="G75" s="255"/>
      <c r="H75" s="253"/>
      <c r="I75" s="256"/>
      <c r="J75" s="255"/>
      <c r="K75" s="253"/>
      <c r="L75" s="253"/>
    </row>
    <row r="76" spans="1:12" x14ac:dyDescent="0.25">
      <c r="A76">
        <v>11</v>
      </c>
      <c r="B76" t="s">
        <v>1063</v>
      </c>
      <c r="D76" s="253"/>
      <c r="E76" s="255"/>
      <c r="F76" s="255"/>
      <c r="G76" s="255"/>
      <c r="H76" s="253"/>
      <c r="I76" s="256"/>
      <c r="J76" s="255"/>
      <c r="K76" s="253"/>
      <c r="L76" s="253"/>
    </row>
    <row r="77" spans="1:12" x14ac:dyDescent="0.25">
      <c r="A77">
        <v>12</v>
      </c>
      <c r="B77" t="s">
        <v>1064</v>
      </c>
      <c r="D77" s="253"/>
      <c r="E77" s="255"/>
      <c r="F77" s="255"/>
      <c r="G77" s="255"/>
      <c r="H77" s="253"/>
      <c r="I77" s="256"/>
      <c r="J77" s="255"/>
      <c r="K77" s="253"/>
      <c r="L77" s="253"/>
    </row>
    <row r="78" spans="1:12" x14ac:dyDescent="0.25">
      <c r="A78">
        <v>13</v>
      </c>
      <c r="B78" t="s">
        <v>1065</v>
      </c>
      <c r="D78" s="253"/>
      <c r="E78" s="255"/>
      <c r="F78" s="255"/>
      <c r="G78" s="255"/>
      <c r="H78" s="253"/>
      <c r="I78" s="256"/>
      <c r="J78" s="255"/>
      <c r="K78" s="253"/>
      <c r="L78" s="253"/>
    </row>
    <row r="79" spans="1:12" x14ac:dyDescent="0.25">
      <c r="A79" t="s">
        <v>876</v>
      </c>
      <c r="C79">
        <f>SUBTOTAL(103,Table354[Description])</f>
        <v>0</v>
      </c>
      <c r="D79" s="253"/>
      <c r="E79" s="255"/>
      <c r="F79" s="255"/>
      <c r="G79" s="255"/>
      <c r="H79" s="253"/>
      <c r="I79" s="256"/>
      <c r="J79" s="255"/>
      <c r="K79" s="253"/>
      <c r="L79" s="253"/>
    </row>
    <row r="80" spans="1:12" x14ac:dyDescent="0.25">
      <c r="D80" s="253"/>
      <c r="E80" s="255"/>
      <c r="F80" s="255"/>
      <c r="G80" s="255"/>
      <c r="H80" s="253"/>
      <c r="I80" s="256"/>
      <c r="J80" s="255"/>
      <c r="K80" s="253"/>
      <c r="L80" s="253"/>
    </row>
    <row r="81" spans="1:12" x14ac:dyDescent="0.25">
      <c r="D81" s="253"/>
      <c r="E81" s="255"/>
      <c r="F81" s="255"/>
      <c r="G81" s="255"/>
      <c r="H81" s="253"/>
      <c r="I81" s="256"/>
      <c r="J81" s="255"/>
      <c r="K81" s="253"/>
      <c r="L81" s="253"/>
    </row>
    <row r="82" spans="1:12" x14ac:dyDescent="0.25">
      <c r="D82" s="253"/>
      <c r="E82" s="257"/>
      <c r="F82" s="257"/>
      <c r="G82" s="257"/>
      <c r="H82" s="253"/>
      <c r="I82" s="253"/>
      <c r="J82" s="253"/>
      <c r="K82" s="253"/>
      <c r="L82" s="253"/>
    </row>
    <row r="83" spans="1:12" x14ac:dyDescent="0.25">
      <c r="A83" s="192" t="s">
        <v>882</v>
      </c>
      <c r="B83" s="192"/>
      <c r="C83" s="192"/>
      <c r="D83" s="253"/>
      <c r="E83" s="257"/>
      <c r="F83" s="257"/>
      <c r="G83" s="257"/>
      <c r="H83" s="253"/>
      <c r="I83" s="253"/>
      <c r="J83" s="253"/>
      <c r="K83" s="253"/>
      <c r="L83" s="253"/>
    </row>
    <row r="84" spans="1:12" x14ac:dyDescent="0.25">
      <c r="A84" t="s">
        <v>7</v>
      </c>
      <c r="B84" t="s">
        <v>881</v>
      </c>
      <c r="C84" t="s">
        <v>4</v>
      </c>
      <c r="D84" s="253"/>
      <c r="E84" s="257"/>
      <c r="F84" s="257"/>
      <c r="G84" s="257"/>
      <c r="H84" s="253"/>
      <c r="I84" s="253"/>
      <c r="J84" s="253"/>
      <c r="K84" s="253"/>
      <c r="L84" s="253"/>
    </row>
    <row r="85" spans="1:12" x14ac:dyDescent="0.25">
      <c r="A85">
        <v>1</v>
      </c>
      <c r="B85">
        <v>1</v>
      </c>
      <c r="D85" s="253"/>
      <c r="E85" s="257"/>
      <c r="F85" s="257"/>
      <c r="G85" s="257"/>
      <c r="H85" s="253"/>
      <c r="I85" s="253"/>
      <c r="J85" s="253"/>
      <c r="K85" s="253"/>
      <c r="L85" s="253"/>
    </row>
    <row r="86" spans="1:12" x14ac:dyDescent="0.25">
      <c r="A86">
        <v>2</v>
      </c>
      <c r="B86">
        <v>2</v>
      </c>
      <c r="D86" s="253"/>
      <c r="E86" s="253"/>
      <c r="F86" s="253"/>
      <c r="G86" s="253"/>
      <c r="H86" s="253"/>
      <c r="I86" s="253"/>
      <c r="J86" s="253"/>
      <c r="K86" s="253"/>
      <c r="L86" s="253"/>
    </row>
    <row r="87" spans="1:12" x14ac:dyDescent="0.25">
      <c r="A87">
        <v>3</v>
      </c>
      <c r="B87">
        <v>3</v>
      </c>
    </row>
    <row r="88" spans="1:12" x14ac:dyDescent="0.25">
      <c r="A88">
        <v>4</v>
      </c>
      <c r="B88">
        <v>4</v>
      </c>
    </row>
    <row r="89" spans="1:12" x14ac:dyDescent="0.25">
      <c r="A89">
        <v>5</v>
      </c>
      <c r="B89">
        <v>5</v>
      </c>
    </row>
    <row r="90" spans="1:12" x14ac:dyDescent="0.25">
      <c r="A90">
        <v>6</v>
      </c>
      <c r="B90">
        <v>6</v>
      </c>
    </row>
    <row r="91" spans="1:12" x14ac:dyDescent="0.25">
      <c r="A91">
        <v>7</v>
      </c>
      <c r="B91">
        <v>7</v>
      </c>
    </row>
    <row r="92" spans="1:12" x14ac:dyDescent="0.25">
      <c r="A92">
        <v>8</v>
      </c>
      <c r="B92">
        <v>8</v>
      </c>
      <c r="E92" s="191"/>
      <c r="F92" s="191"/>
      <c r="G92" s="191"/>
    </row>
    <row r="93" spans="1:12" x14ac:dyDescent="0.25">
      <c r="A93">
        <v>9</v>
      </c>
      <c r="B93">
        <v>9</v>
      </c>
      <c r="E93" s="145"/>
      <c r="F93" s="145"/>
      <c r="G93" s="145"/>
    </row>
    <row r="94" spans="1:12" x14ac:dyDescent="0.25">
      <c r="A94" t="s">
        <v>876</v>
      </c>
      <c r="C94">
        <f>SUBTOTAL(103,CL_DSM_material_count[Description])</f>
        <v>0</v>
      </c>
      <c r="E94" s="145"/>
      <c r="F94" s="145"/>
      <c r="G94" s="145"/>
    </row>
    <row r="95" spans="1:12" x14ac:dyDescent="0.25">
      <c r="E95" s="145"/>
      <c r="F95" s="145"/>
      <c r="G95" s="145"/>
    </row>
    <row r="96" spans="1:12" x14ac:dyDescent="0.25">
      <c r="A96" s="192" t="s">
        <v>883</v>
      </c>
      <c r="B96" s="192"/>
      <c r="C96" s="192"/>
      <c r="E96" s="145"/>
      <c r="F96" s="145"/>
      <c r="G96" s="145"/>
    </row>
    <row r="97" spans="1:7" x14ac:dyDescent="0.25">
      <c r="A97" t="s">
        <v>7</v>
      </c>
      <c r="B97" t="s">
        <v>449</v>
      </c>
      <c r="C97" t="s">
        <v>4</v>
      </c>
      <c r="E97" s="145"/>
      <c r="F97" s="145"/>
      <c r="G97" s="145"/>
    </row>
    <row r="98" spans="1:7" x14ac:dyDescent="0.25">
      <c r="A98">
        <v>1</v>
      </c>
      <c r="B98" t="s">
        <v>443</v>
      </c>
      <c r="C98" t="s">
        <v>214</v>
      </c>
      <c r="E98" s="145"/>
      <c r="F98" s="145"/>
      <c r="G98" s="145"/>
    </row>
    <row r="99" spans="1:7" ht="45" x14ac:dyDescent="0.25">
      <c r="A99">
        <v>2</v>
      </c>
      <c r="B99" t="s">
        <v>444</v>
      </c>
      <c r="C99" s="1" t="s">
        <v>215</v>
      </c>
      <c r="E99" s="145"/>
      <c r="F99" s="145"/>
      <c r="G99" s="145"/>
    </row>
    <row r="100" spans="1:7" x14ac:dyDescent="0.25">
      <c r="A100">
        <v>3</v>
      </c>
      <c r="B100" t="s">
        <v>445</v>
      </c>
      <c r="C100" s="1" t="s">
        <v>217</v>
      </c>
      <c r="E100" s="145"/>
      <c r="F100" s="145"/>
      <c r="G100" s="145"/>
    </row>
    <row r="101" spans="1:7" x14ac:dyDescent="0.25">
      <c r="A101">
        <v>4</v>
      </c>
      <c r="B101" t="s">
        <v>446</v>
      </c>
      <c r="E101" s="145"/>
      <c r="F101" s="145"/>
      <c r="G101" s="145"/>
    </row>
    <row r="102" spans="1:7" x14ac:dyDescent="0.25">
      <c r="A102">
        <v>5</v>
      </c>
      <c r="B102" t="s">
        <v>447</v>
      </c>
      <c r="E102" s="145"/>
      <c r="F102" s="145"/>
      <c r="G102" s="145"/>
    </row>
    <row r="103" spans="1:7" x14ac:dyDescent="0.25">
      <c r="A103">
        <v>6</v>
      </c>
      <c r="B103" t="s">
        <v>452</v>
      </c>
      <c r="E103" s="145"/>
      <c r="F103" s="145"/>
      <c r="G103" s="145"/>
    </row>
    <row r="104" spans="1:7" x14ac:dyDescent="0.25">
      <c r="A104">
        <v>7</v>
      </c>
      <c r="B104" t="s">
        <v>453</v>
      </c>
      <c r="E104" s="145"/>
      <c r="F104" s="145"/>
      <c r="G104" s="145"/>
    </row>
    <row r="105" spans="1:7" x14ac:dyDescent="0.25">
      <c r="A105">
        <v>8</v>
      </c>
      <c r="B105" t="s">
        <v>454</v>
      </c>
      <c r="E105" s="145"/>
      <c r="F105" s="145"/>
      <c r="G105" s="145"/>
    </row>
    <row r="106" spans="1:7" x14ac:dyDescent="0.25">
      <c r="A106">
        <v>9</v>
      </c>
      <c r="B106" t="s">
        <v>455</v>
      </c>
      <c r="E106" s="145"/>
      <c r="F106" s="145"/>
      <c r="G106" s="145"/>
    </row>
    <row r="107" spans="1:7" x14ac:dyDescent="0.25">
      <c r="A107">
        <v>10</v>
      </c>
      <c r="B107" t="s">
        <v>456</v>
      </c>
      <c r="E107" s="145"/>
      <c r="F107" s="145"/>
      <c r="G107" s="145"/>
    </row>
    <row r="108" spans="1:7" x14ac:dyDescent="0.25">
      <c r="A108">
        <v>11</v>
      </c>
      <c r="B108" t="s">
        <v>457</v>
      </c>
      <c r="E108" s="145"/>
      <c r="F108" s="145"/>
      <c r="G108" s="145"/>
    </row>
    <row r="109" spans="1:7" x14ac:dyDescent="0.25">
      <c r="A109">
        <v>12</v>
      </c>
      <c r="B109" t="s">
        <v>458</v>
      </c>
      <c r="E109" s="145"/>
      <c r="F109" s="145"/>
      <c r="G109" s="145"/>
    </row>
    <row r="110" spans="1:7" x14ac:dyDescent="0.25">
      <c r="A110">
        <v>13</v>
      </c>
      <c r="B110" t="s">
        <v>459</v>
      </c>
      <c r="E110" s="145"/>
      <c r="F110" s="145"/>
      <c r="G110" s="145"/>
    </row>
    <row r="111" spans="1:7" x14ac:dyDescent="0.25">
      <c r="A111">
        <v>14</v>
      </c>
      <c r="B111" t="s">
        <v>460</v>
      </c>
      <c r="E111" s="145"/>
      <c r="F111" s="145"/>
      <c r="G111" s="145"/>
    </row>
    <row r="112" spans="1:7" x14ac:dyDescent="0.25">
      <c r="A112" t="s">
        <v>876</v>
      </c>
      <c r="C112">
        <f>SUBTOTAL(103,CL_DSM_Parameter_type[Description])</f>
        <v>3</v>
      </c>
      <c r="E112" s="145"/>
      <c r="F112" s="145"/>
      <c r="G112" s="145"/>
    </row>
    <row r="113" spans="1:9" x14ac:dyDescent="0.25">
      <c r="E113" s="145"/>
      <c r="F113" s="145"/>
      <c r="G113" s="145"/>
    </row>
    <row r="114" spans="1:9" x14ac:dyDescent="0.25">
      <c r="A114" s="192" t="s">
        <v>884</v>
      </c>
      <c r="B114" s="192"/>
      <c r="C114" s="192"/>
      <c r="E114" s="145"/>
      <c r="F114" s="145"/>
      <c r="G114" s="145"/>
    </row>
    <row r="115" spans="1:9" x14ac:dyDescent="0.25">
      <c r="A115" t="s">
        <v>7</v>
      </c>
      <c r="B115" t="s">
        <v>908</v>
      </c>
      <c r="C115" t="s">
        <v>4</v>
      </c>
      <c r="E115" s="145"/>
      <c r="F115" s="145"/>
      <c r="G115" s="145"/>
    </row>
    <row r="116" spans="1:9" x14ac:dyDescent="0.25">
      <c r="A116">
        <v>1</v>
      </c>
      <c r="B116" t="s">
        <v>200</v>
      </c>
      <c r="E116" s="145"/>
      <c r="F116" s="145"/>
      <c r="G116" s="145"/>
    </row>
    <row r="117" spans="1:9" x14ac:dyDescent="0.25">
      <c r="A117">
        <v>2</v>
      </c>
      <c r="B117" t="s">
        <v>207</v>
      </c>
      <c r="E117" s="145"/>
      <c r="F117" s="145"/>
      <c r="G117" s="145"/>
    </row>
    <row r="118" spans="1:9" x14ac:dyDescent="0.25">
      <c r="A118">
        <v>3</v>
      </c>
      <c r="B118" t="s">
        <v>209</v>
      </c>
      <c r="E118" s="145"/>
      <c r="F118" s="145"/>
      <c r="G118" s="145"/>
    </row>
    <row r="119" spans="1:9" x14ac:dyDescent="0.25">
      <c r="A119">
        <v>4</v>
      </c>
      <c r="B119" t="s">
        <v>208</v>
      </c>
      <c r="C119" t="s">
        <v>201</v>
      </c>
      <c r="E119" s="145"/>
      <c r="F119" s="145"/>
      <c r="G119" s="145"/>
    </row>
    <row r="120" spans="1:9" x14ac:dyDescent="0.25">
      <c r="A120">
        <v>5</v>
      </c>
      <c r="B120" t="s">
        <v>210</v>
      </c>
    </row>
    <row r="121" spans="1:9" x14ac:dyDescent="0.25">
      <c r="A121">
        <v>6</v>
      </c>
      <c r="B121" t="s">
        <v>203</v>
      </c>
    </row>
    <row r="122" spans="1:9" x14ac:dyDescent="0.25">
      <c r="A122">
        <v>7</v>
      </c>
      <c r="B122" t="s">
        <v>206</v>
      </c>
    </row>
    <row r="123" spans="1:9" x14ac:dyDescent="0.25">
      <c r="A123">
        <v>8</v>
      </c>
      <c r="B123" t="s">
        <v>204</v>
      </c>
    </row>
    <row r="125" spans="1:9" x14ac:dyDescent="0.25">
      <c r="A125" s="191"/>
      <c r="B125" s="191"/>
      <c r="C125" s="191"/>
    </row>
    <row r="128" spans="1:9" x14ac:dyDescent="0.25">
      <c r="I128" s="145"/>
    </row>
    <row r="129" spans="1:9" x14ac:dyDescent="0.25">
      <c r="I129" s="161"/>
    </row>
    <row r="140" spans="1:9" x14ac:dyDescent="0.25">
      <c r="F140" s="191"/>
      <c r="G140" s="191"/>
      <c r="H140" s="191"/>
    </row>
    <row r="141" spans="1:9" x14ac:dyDescent="0.25">
      <c r="A141" s="193" t="s">
        <v>906</v>
      </c>
      <c r="B141" s="193"/>
      <c r="C141" s="193"/>
    </row>
    <row r="143" spans="1:9" x14ac:dyDescent="0.25">
      <c r="A143" s="192" t="s">
        <v>887</v>
      </c>
      <c r="B143" s="192"/>
      <c r="C143" s="192"/>
    </row>
    <row r="144" spans="1:9" x14ac:dyDescent="0.25">
      <c r="A144" t="s">
        <v>7</v>
      </c>
      <c r="B144" t="s">
        <v>213</v>
      </c>
      <c r="C144" t="s">
        <v>4</v>
      </c>
    </row>
    <row r="145" spans="1:10" x14ac:dyDescent="0.25">
      <c r="A145">
        <v>1</v>
      </c>
      <c r="B145" t="s">
        <v>211</v>
      </c>
      <c r="C145" t="s">
        <v>214</v>
      </c>
    </row>
    <row r="146" spans="1:10" ht="45" x14ac:dyDescent="0.25">
      <c r="A146">
        <v>2</v>
      </c>
      <c r="B146" t="s">
        <v>216</v>
      </c>
      <c r="C146" s="1" t="s">
        <v>215</v>
      </c>
    </row>
    <row r="147" spans="1:10" x14ac:dyDescent="0.25">
      <c r="A147">
        <v>3</v>
      </c>
      <c r="B147" t="s">
        <v>212</v>
      </c>
      <c r="C147" s="1" t="s">
        <v>217</v>
      </c>
    </row>
    <row r="148" spans="1:10" x14ac:dyDescent="0.25">
      <c r="A148" t="s">
        <v>876</v>
      </c>
      <c r="C148">
        <f>SUBTOTAL(103,CL_Operation[Description])</f>
        <v>3</v>
      </c>
    </row>
    <row r="150" spans="1:10" x14ac:dyDescent="0.25">
      <c r="A150" s="192" t="s">
        <v>1005</v>
      </c>
      <c r="B150" s="192"/>
      <c r="C150" s="192"/>
    </row>
    <row r="151" spans="1:10" x14ac:dyDescent="0.25">
      <c r="A151" t="s">
        <v>7</v>
      </c>
      <c r="B151" t="s">
        <v>1006</v>
      </c>
      <c r="C151" t="s">
        <v>4</v>
      </c>
    </row>
    <row r="152" spans="1:10" x14ac:dyDescent="0.25">
      <c r="A152">
        <v>1</v>
      </c>
      <c r="B152" t="s">
        <v>172</v>
      </c>
      <c r="C152" t="s">
        <v>1000</v>
      </c>
    </row>
    <row r="153" spans="1:10" x14ac:dyDescent="0.25">
      <c r="A153">
        <v>2</v>
      </c>
      <c r="B153" t="s">
        <v>1001</v>
      </c>
      <c r="C153" t="s">
        <v>1002</v>
      </c>
    </row>
    <row r="154" spans="1:10" x14ac:dyDescent="0.25">
      <c r="A154">
        <v>3</v>
      </c>
      <c r="B154" t="s">
        <v>1003</v>
      </c>
      <c r="C154" t="s">
        <v>1004</v>
      </c>
    </row>
    <row r="155" spans="1:10" x14ac:dyDescent="0.25">
      <c r="A155">
        <v>4</v>
      </c>
    </row>
    <row r="159" spans="1:10" x14ac:dyDescent="0.25">
      <c r="A159" t="s">
        <v>171</v>
      </c>
      <c r="B159" t="s">
        <v>1047</v>
      </c>
      <c r="C159" t="s">
        <v>1045</v>
      </c>
      <c r="D159" t="s">
        <v>1044</v>
      </c>
      <c r="E159" t="s">
        <v>191</v>
      </c>
      <c r="F159" t="s">
        <v>192</v>
      </c>
      <c r="G159" t="s">
        <v>194</v>
      </c>
      <c r="H159" t="s">
        <v>1043</v>
      </c>
      <c r="I159" t="s">
        <v>193</v>
      </c>
      <c r="J159" t="s">
        <v>1046</v>
      </c>
    </row>
    <row r="160" spans="1:10" x14ac:dyDescent="0.25">
      <c r="A160">
        <v>1</v>
      </c>
      <c r="B160" t="s">
        <v>1045</v>
      </c>
      <c r="C160" t="s">
        <v>412</v>
      </c>
      <c r="D160" t="s">
        <v>412</v>
      </c>
      <c r="E160" t="s">
        <v>200</v>
      </c>
      <c r="G160" t="s">
        <v>88</v>
      </c>
      <c r="I160" t="s">
        <v>443</v>
      </c>
      <c r="J160" t="s">
        <v>1048</v>
      </c>
    </row>
    <row r="161" spans="1:9" x14ac:dyDescent="0.25">
      <c r="A161">
        <v>2</v>
      </c>
      <c r="B161" t="s">
        <v>1044</v>
      </c>
      <c r="C161" t="s">
        <v>413</v>
      </c>
      <c r="D161" t="s">
        <v>413</v>
      </c>
      <c r="E161" t="s">
        <v>207</v>
      </c>
      <c r="G161" t="s">
        <v>89</v>
      </c>
      <c r="I161" t="s">
        <v>444</v>
      </c>
    </row>
    <row r="162" spans="1:9" x14ac:dyDescent="0.25">
      <c r="A162">
        <v>3</v>
      </c>
      <c r="B162" t="s">
        <v>191</v>
      </c>
      <c r="C162" t="s">
        <v>414</v>
      </c>
      <c r="D162" t="s">
        <v>414</v>
      </c>
      <c r="E162" t="s">
        <v>209</v>
      </c>
      <c r="G162" t="s">
        <v>90</v>
      </c>
      <c r="I162" t="s">
        <v>445</v>
      </c>
    </row>
    <row r="163" spans="1:9" x14ac:dyDescent="0.25">
      <c r="A163">
        <v>4</v>
      </c>
      <c r="B163" t="s">
        <v>192</v>
      </c>
      <c r="C163" t="s">
        <v>415</v>
      </c>
      <c r="D163" t="s">
        <v>415</v>
      </c>
      <c r="E163" t="s">
        <v>208</v>
      </c>
      <c r="I163" t="s">
        <v>446</v>
      </c>
    </row>
    <row r="164" spans="1:9" x14ac:dyDescent="0.25">
      <c r="A164">
        <v>5</v>
      </c>
      <c r="B164" t="s">
        <v>194</v>
      </c>
      <c r="E164" t="s">
        <v>210</v>
      </c>
      <c r="I164" t="s">
        <v>447</v>
      </c>
    </row>
    <row r="165" spans="1:9" x14ac:dyDescent="0.25">
      <c r="A165">
        <v>6</v>
      </c>
      <c r="B165" t="s">
        <v>1046</v>
      </c>
      <c r="E165" t="s">
        <v>203</v>
      </c>
      <c r="I165" t="s">
        <v>452</v>
      </c>
    </row>
    <row r="166" spans="1:9" x14ac:dyDescent="0.25">
      <c r="A166">
        <v>7</v>
      </c>
      <c r="B166" t="s">
        <v>193</v>
      </c>
      <c r="E166" t="s">
        <v>206</v>
      </c>
      <c r="I166" t="s">
        <v>453</v>
      </c>
    </row>
    <row r="167" spans="1:9" x14ac:dyDescent="0.25">
      <c r="A167">
        <v>8</v>
      </c>
      <c r="B167" t="s">
        <v>1043</v>
      </c>
      <c r="E167" t="s">
        <v>204</v>
      </c>
      <c r="I167" t="s">
        <v>454</v>
      </c>
    </row>
    <row r="168" spans="1:9" x14ac:dyDescent="0.25">
      <c r="A168">
        <v>9</v>
      </c>
      <c r="I168" t="s">
        <v>455</v>
      </c>
    </row>
    <row r="169" spans="1:9" x14ac:dyDescent="0.25">
      <c r="A169">
        <v>10</v>
      </c>
      <c r="I169" t="s">
        <v>456</v>
      </c>
    </row>
    <row r="170" spans="1:9" x14ac:dyDescent="0.25">
      <c r="A170">
        <v>11</v>
      </c>
      <c r="I170" t="s">
        <v>457</v>
      </c>
    </row>
    <row r="171" spans="1:9" x14ac:dyDescent="0.25">
      <c r="A171">
        <v>12</v>
      </c>
      <c r="I171" t="s">
        <v>458</v>
      </c>
    </row>
    <row r="172" spans="1:9" x14ac:dyDescent="0.25">
      <c r="A172">
        <v>13</v>
      </c>
      <c r="I172" t="s">
        <v>459</v>
      </c>
    </row>
    <row r="173" spans="1:9" x14ac:dyDescent="0.25">
      <c r="A173">
        <v>14</v>
      </c>
      <c r="I173" t="s">
        <v>460</v>
      </c>
    </row>
    <row r="174" spans="1:9" x14ac:dyDescent="0.25">
      <c r="A174">
        <v>15</v>
      </c>
    </row>
    <row r="175" spans="1:9" x14ac:dyDescent="0.25">
      <c r="A175">
        <v>16</v>
      </c>
    </row>
    <row r="179" spans="1:5" x14ac:dyDescent="0.25">
      <c r="A179" t="s">
        <v>255</v>
      </c>
      <c r="B179" t="s">
        <v>256</v>
      </c>
    </row>
    <row r="180" spans="1:5" x14ac:dyDescent="0.25">
      <c r="A180" s="157" t="s">
        <v>221</v>
      </c>
      <c r="B180" s="157" t="s">
        <v>278</v>
      </c>
      <c r="C180" s="157" t="s">
        <v>279</v>
      </c>
      <c r="D180" s="157" t="s">
        <v>280</v>
      </c>
      <c r="E180" s="157" t="s">
        <v>281</v>
      </c>
    </row>
    <row r="181" spans="1:5" x14ac:dyDescent="0.25">
      <c r="A181" t="s">
        <v>282</v>
      </c>
      <c r="B181" t="s">
        <v>283</v>
      </c>
      <c r="C181" t="s">
        <v>284</v>
      </c>
      <c r="D181" t="s">
        <v>285</v>
      </c>
      <c r="E181" t="s">
        <v>286</v>
      </c>
    </row>
    <row r="182" spans="1:5" x14ac:dyDescent="0.25">
      <c r="A182" t="s">
        <v>282</v>
      </c>
      <c r="B182" t="s">
        <v>287</v>
      </c>
      <c r="C182" t="s">
        <v>288</v>
      </c>
      <c r="D182" t="s">
        <v>289</v>
      </c>
      <c r="E182" t="s">
        <v>290</v>
      </c>
    </row>
    <row r="183" spans="1:5" x14ac:dyDescent="0.25">
      <c r="A183" t="s">
        <v>282</v>
      </c>
      <c r="B183" t="s">
        <v>291</v>
      </c>
      <c r="C183" t="s">
        <v>292</v>
      </c>
      <c r="D183" t="s">
        <v>293</v>
      </c>
      <c r="E183" t="s">
        <v>294</v>
      </c>
    </row>
    <row r="184" spans="1:5" x14ac:dyDescent="0.25">
      <c r="A184" t="s">
        <v>282</v>
      </c>
      <c r="B184" t="s">
        <v>295</v>
      </c>
      <c r="C184" t="s">
        <v>296</v>
      </c>
      <c r="D184" t="s">
        <v>297</v>
      </c>
      <c r="E184" t="s">
        <v>298</v>
      </c>
    </row>
    <row r="185" spans="1:5" x14ac:dyDescent="0.25">
      <c r="A185" t="s">
        <v>282</v>
      </c>
      <c r="B185" t="s">
        <v>299</v>
      </c>
      <c r="C185" t="s">
        <v>300</v>
      </c>
      <c r="D185" t="s">
        <v>301</v>
      </c>
      <c r="E185" t="s">
        <v>302</v>
      </c>
    </row>
    <row r="186" spans="1:5" x14ac:dyDescent="0.25">
      <c r="A186" t="s">
        <v>303</v>
      </c>
      <c r="B186" t="s">
        <v>304</v>
      </c>
      <c r="C186" t="s">
        <v>305</v>
      </c>
      <c r="D186" t="s">
        <v>306</v>
      </c>
      <c r="E186" t="s">
        <v>307</v>
      </c>
    </row>
    <row r="187" spans="1:5" x14ac:dyDescent="0.25">
      <c r="A187" t="s">
        <v>303</v>
      </c>
      <c r="B187" t="s">
        <v>308</v>
      </c>
      <c r="C187" t="s">
        <v>309</v>
      </c>
      <c r="D187" t="s">
        <v>310</v>
      </c>
      <c r="E187" t="s">
        <v>311</v>
      </c>
    </row>
    <row r="188" spans="1:5" x14ac:dyDescent="0.25">
      <c r="A188" t="s">
        <v>303</v>
      </c>
      <c r="B188" t="s">
        <v>312</v>
      </c>
      <c r="C188" t="s">
        <v>313</v>
      </c>
      <c r="D188" t="s">
        <v>314</v>
      </c>
      <c r="E188" t="s">
        <v>315</v>
      </c>
    </row>
    <row r="189" spans="1:5" x14ac:dyDescent="0.25">
      <c r="A189" t="s">
        <v>303</v>
      </c>
      <c r="B189" t="s">
        <v>316</v>
      </c>
      <c r="C189" t="s">
        <v>317</v>
      </c>
      <c r="D189" t="s">
        <v>318</v>
      </c>
      <c r="E189" t="s">
        <v>319</v>
      </c>
    </row>
    <row r="190" spans="1:5" x14ac:dyDescent="0.25">
      <c r="A190" t="s">
        <v>320</v>
      </c>
      <c r="B190" t="s">
        <v>321</v>
      </c>
      <c r="C190" t="s">
        <v>322</v>
      </c>
      <c r="D190" t="s">
        <v>323</v>
      </c>
      <c r="E190" t="s">
        <v>324</v>
      </c>
    </row>
    <row r="191" spans="1:5" x14ac:dyDescent="0.25">
      <c r="A191" t="s">
        <v>320</v>
      </c>
      <c r="B191" t="s">
        <v>325</v>
      </c>
      <c r="C191" t="s">
        <v>326</v>
      </c>
      <c r="D191" t="s">
        <v>327</v>
      </c>
      <c r="E191" t="s">
        <v>328</v>
      </c>
    </row>
    <row r="192" spans="1:5" x14ac:dyDescent="0.25">
      <c r="A192" t="s">
        <v>320</v>
      </c>
      <c r="B192" t="s">
        <v>329</v>
      </c>
      <c r="C192" t="s">
        <v>330</v>
      </c>
      <c r="D192" t="s">
        <v>331</v>
      </c>
      <c r="E192" t="s">
        <v>332</v>
      </c>
    </row>
    <row r="193" spans="1:5" x14ac:dyDescent="0.25">
      <c r="A193" t="s">
        <v>320</v>
      </c>
      <c r="B193" t="s">
        <v>333</v>
      </c>
      <c r="C193" t="s">
        <v>334</v>
      </c>
      <c r="D193" t="s">
        <v>335</v>
      </c>
      <c r="E193" t="s">
        <v>336</v>
      </c>
    </row>
    <row r="194" spans="1:5" x14ac:dyDescent="0.25">
      <c r="A194" t="s">
        <v>337</v>
      </c>
      <c r="B194" t="s">
        <v>338</v>
      </c>
      <c r="C194" t="s">
        <v>339</v>
      </c>
      <c r="D194" t="s">
        <v>340</v>
      </c>
      <c r="E194" t="s">
        <v>341</v>
      </c>
    </row>
    <row r="195" spans="1:5" x14ac:dyDescent="0.25">
      <c r="A195" t="s">
        <v>337</v>
      </c>
      <c r="B195" t="s">
        <v>342</v>
      </c>
      <c r="C195" t="s">
        <v>343</v>
      </c>
      <c r="D195" t="s">
        <v>344</v>
      </c>
      <c r="E195" t="s">
        <v>345</v>
      </c>
    </row>
    <row r="196" spans="1:5" x14ac:dyDescent="0.25">
      <c r="A196" t="s">
        <v>337</v>
      </c>
      <c r="B196" t="s">
        <v>346</v>
      </c>
      <c r="C196" t="s">
        <v>347</v>
      </c>
      <c r="D196" t="s">
        <v>348</v>
      </c>
      <c r="E196" t="s">
        <v>349</v>
      </c>
    </row>
    <row r="197" spans="1:5" x14ac:dyDescent="0.25">
      <c r="A197" t="s">
        <v>337</v>
      </c>
      <c r="B197" t="s">
        <v>350</v>
      </c>
      <c r="C197" t="s">
        <v>351</v>
      </c>
      <c r="D197" t="s">
        <v>352</v>
      </c>
      <c r="E197" t="s">
        <v>353</v>
      </c>
    </row>
    <row r="198" spans="1:5" x14ac:dyDescent="0.25">
      <c r="A198" t="s">
        <v>354</v>
      </c>
      <c r="B198" t="s">
        <v>355</v>
      </c>
      <c r="C198" t="s">
        <v>356</v>
      </c>
      <c r="D198" t="s">
        <v>357</v>
      </c>
      <c r="E198" t="s">
        <v>358</v>
      </c>
    </row>
    <row r="199" spans="1:5" x14ac:dyDescent="0.25">
      <c r="A199" t="s">
        <v>354</v>
      </c>
      <c r="B199" t="s">
        <v>359</v>
      </c>
      <c r="C199" t="s">
        <v>360</v>
      </c>
      <c r="D199" t="s">
        <v>361</v>
      </c>
      <c r="E199" t="s">
        <v>362</v>
      </c>
    </row>
    <row r="200" spans="1:5" x14ac:dyDescent="0.25">
      <c r="A200" t="s">
        <v>354</v>
      </c>
      <c r="B200" t="s">
        <v>363</v>
      </c>
      <c r="C200" t="s">
        <v>364</v>
      </c>
      <c r="D200" t="s">
        <v>365</v>
      </c>
      <c r="E200" t="s">
        <v>366</v>
      </c>
    </row>
    <row r="201" spans="1:5" x14ac:dyDescent="0.25">
      <c r="A201" t="s">
        <v>354</v>
      </c>
      <c r="B201" t="s">
        <v>367</v>
      </c>
      <c r="C201" t="s">
        <v>368</v>
      </c>
      <c r="D201" t="s">
        <v>369</v>
      </c>
      <c r="E201" t="s">
        <v>370</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196" t="str">
        <f>'2_1_Definition_Processes'!D2</f>
        <v>Atmosphere</v>
      </c>
      <c r="C1" s="196"/>
      <c r="D1" s="196"/>
      <c r="E1" s="196"/>
      <c r="F1" s="196"/>
      <c r="G1" s="196"/>
      <c r="H1" s="196"/>
      <c r="I1" s="118" t="s">
        <v>160</v>
      </c>
      <c r="J1" s="197" t="s">
        <v>41</v>
      </c>
      <c r="K1" s="197"/>
      <c r="L1" s="197"/>
      <c r="M1" s="197"/>
    </row>
    <row r="2" spans="1:22" ht="16.5" thickBot="1" x14ac:dyDescent="0.3">
      <c r="A2" s="198" t="s">
        <v>159</v>
      </c>
      <c r="B2" s="199"/>
      <c r="C2" s="199"/>
      <c r="D2" s="199"/>
      <c r="E2" s="199"/>
      <c r="F2" s="199"/>
      <c r="G2" s="199"/>
      <c r="H2" s="199"/>
      <c r="I2" s="199"/>
      <c r="J2" s="199"/>
      <c r="K2" s="199"/>
      <c r="L2" s="199"/>
      <c r="M2" s="200"/>
    </row>
    <row r="3" spans="1:22" ht="126.75" customHeight="1" thickBot="1" x14ac:dyDescent="0.3">
      <c r="A3" s="201"/>
      <c r="B3" s="202"/>
      <c r="C3" s="202"/>
      <c r="D3" s="202"/>
      <c r="E3" s="202"/>
      <c r="F3" s="202"/>
      <c r="G3" s="202"/>
      <c r="H3" s="202"/>
      <c r="I3" s="202"/>
      <c r="J3" s="202"/>
      <c r="K3" s="202"/>
      <c r="L3" s="202"/>
      <c r="M3" s="203"/>
    </row>
    <row r="4" spans="1:22" ht="31.5" customHeight="1" x14ac:dyDescent="0.25">
      <c r="A4" s="117" t="s">
        <v>158</v>
      </c>
      <c r="B4" s="204"/>
      <c r="C4" s="205"/>
      <c r="D4" s="206"/>
      <c r="E4" s="207" t="s">
        <v>157</v>
      </c>
      <c r="F4" s="208"/>
      <c r="G4" s="122"/>
      <c r="H4" s="122"/>
      <c r="I4" s="116"/>
      <c r="J4" s="116"/>
      <c r="K4" s="116"/>
      <c r="L4" s="116"/>
      <c r="M4" s="116"/>
    </row>
    <row r="5" spans="1:22" ht="16.5" customHeight="1" x14ac:dyDescent="0.25">
      <c r="A5" s="119" t="s">
        <v>156</v>
      </c>
      <c r="B5" s="212" t="s">
        <v>195</v>
      </c>
      <c r="C5" s="212"/>
      <c r="D5" s="213"/>
      <c r="E5" s="119" t="s">
        <v>156</v>
      </c>
      <c r="F5" s="214" t="e">
        <f>_xlfn.XLOOKUP(J1,Tab_Def_Processes[Process_ID],#REF!,"No_flow.",0,1)</f>
        <v>#REF!</v>
      </c>
      <c r="G5" s="214"/>
      <c r="H5" s="215"/>
      <c r="I5" s="120"/>
      <c r="J5" s="115"/>
      <c r="K5" s="115"/>
      <c r="L5" s="115"/>
      <c r="M5" s="112"/>
    </row>
    <row r="6" spans="1:22" ht="16.5" customHeight="1" x14ac:dyDescent="0.25">
      <c r="A6" s="119" t="s">
        <v>155</v>
      </c>
      <c r="B6" s="214" t="s">
        <v>196</v>
      </c>
      <c r="C6" s="214"/>
      <c r="D6" s="215"/>
      <c r="E6" s="119" t="s">
        <v>155</v>
      </c>
      <c r="F6" s="214" t="e">
        <f>_xlfn.XLOOKUP(J1,Tab_Def_Processes[Process_ID],#REF!,"No_flow.",0,1)</f>
        <v>#REF!</v>
      </c>
      <c r="G6" s="214"/>
      <c r="H6" s="215"/>
      <c r="I6" s="120"/>
      <c r="J6" s="115"/>
      <c r="K6" s="115"/>
      <c r="L6" s="115"/>
      <c r="M6" s="112"/>
    </row>
    <row r="7" spans="1:22" ht="16.5" customHeight="1" x14ac:dyDescent="0.25">
      <c r="A7" s="114" t="s">
        <v>154</v>
      </c>
      <c r="B7" s="214" t="e">
        <f>_xlfn.XLOOKUP(J1,Tab_Def_Processes[Process_ID],#REF!,"No_flow.",0,1)</f>
        <v>#REF!</v>
      </c>
      <c r="C7" s="214"/>
      <c r="D7" s="215"/>
      <c r="E7" s="114" t="s">
        <v>154</v>
      </c>
      <c r="F7" s="214" t="e">
        <f>_xlfn.XLOOKUP(J1,Tab_Def_Processes[Process_ID],#REF!,"No_flow.",0,1)</f>
        <v>#REF!</v>
      </c>
      <c r="G7" s="214"/>
      <c r="H7" s="215"/>
      <c r="I7" s="121"/>
      <c r="J7" s="113"/>
      <c r="K7" s="113"/>
      <c r="L7" s="113"/>
      <c r="M7" s="112"/>
    </row>
    <row r="8" spans="1:22" ht="16.5" customHeight="1" x14ac:dyDescent="0.25">
      <c r="A8" s="114" t="s">
        <v>153</v>
      </c>
      <c r="B8" s="214" t="e">
        <f>_xlfn.XLOOKUP(J1,Tab_Def_Processes[Process_ID],#REF!,"No_flow.",0,1)</f>
        <v>#REF!</v>
      </c>
      <c r="C8" s="214"/>
      <c r="D8" s="215"/>
      <c r="E8" s="114" t="s">
        <v>153</v>
      </c>
      <c r="F8" s="214" t="e">
        <f>_xlfn.XLOOKUP(J1,Tab_Def_Processes[Process_ID],#REF!,"No_flow.",0,1)</f>
        <v>#REF!</v>
      </c>
      <c r="G8" s="214"/>
      <c r="H8" s="215"/>
      <c r="I8" s="121"/>
      <c r="J8" s="113"/>
      <c r="K8" s="113"/>
      <c r="L8" s="113"/>
      <c r="M8" s="112"/>
    </row>
    <row r="9" spans="1:22" ht="16.5" customHeight="1" x14ac:dyDescent="0.25">
      <c r="A9" s="114" t="s">
        <v>152</v>
      </c>
      <c r="B9" s="214" t="e">
        <f>_xlfn.XLOOKUP(J1,Tab_Def_Processes[Process_ID],#REF!,"No_flow.",0,1)</f>
        <v>#REF!</v>
      </c>
      <c r="C9" s="214"/>
      <c r="D9" s="215"/>
      <c r="E9" s="114" t="s">
        <v>152</v>
      </c>
      <c r="F9" s="214" t="e">
        <f>_xlfn.XLOOKUP(J1,Tab_Def_Processes[Process_ID],#REF!,"No_flow.",0,1)</f>
        <v>#REF!</v>
      </c>
      <c r="G9" s="214"/>
      <c r="H9" s="215"/>
      <c r="I9" s="121"/>
      <c r="J9" s="113"/>
      <c r="K9" s="113"/>
      <c r="L9" s="113"/>
      <c r="M9" s="112"/>
    </row>
    <row r="10" spans="1:22" ht="16.5" customHeight="1" thickBot="1" x14ac:dyDescent="0.3">
      <c r="A10" s="123" t="s">
        <v>151</v>
      </c>
      <c r="B10" s="216"/>
      <c r="C10" s="216"/>
      <c r="D10" s="217"/>
      <c r="E10" s="123" t="s">
        <v>151</v>
      </c>
      <c r="F10" s="216"/>
      <c r="G10" s="216"/>
      <c r="H10" s="217"/>
      <c r="I10" s="121"/>
      <c r="J10" s="113"/>
      <c r="K10" s="113"/>
      <c r="L10" s="113"/>
      <c r="M10" s="112"/>
    </row>
    <row r="11" spans="1:22" ht="16.5" thickBot="1" x14ac:dyDescent="0.3">
      <c r="A11" s="198" t="s">
        <v>150</v>
      </c>
      <c r="B11" s="199"/>
      <c r="C11" s="199"/>
      <c r="D11" s="199"/>
      <c r="E11" s="199"/>
      <c r="F11" s="199"/>
      <c r="G11" s="199"/>
      <c r="H11" s="199"/>
      <c r="I11" s="199"/>
      <c r="J11" s="199"/>
      <c r="K11" s="199"/>
      <c r="L11" s="199"/>
      <c r="M11" s="200"/>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09" t="s">
        <v>148</v>
      </c>
      <c r="B13" s="210"/>
      <c r="C13" s="210"/>
      <c r="D13" s="210"/>
      <c r="E13" s="210"/>
      <c r="F13" s="210"/>
      <c r="G13" s="210"/>
      <c r="H13" s="210"/>
      <c r="I13" s="210"/>
      <c r="J13" s="210"/>
      <c r="K13" s="210"/>
      <c r="L13" s="210"/>
      <c r="M13" s="211"/>
    </row>
    <row r="14" spans="1:22" ht="16.5" thickBot="1" x14ac:dyDescent="0.3">
      <c r="A14" s="69" t="s">
        <v>134</v>
      </c>
      <c r="B14" s="218" t="s">
        <v>146</v>
      </c>
      <c r="C14" s="219"/>
      <c r="D14" s="220"/>
      <c r="E14" s="221" t="s">
        <v>145</v>
      </c>
      <c r="F14" s="222"/>
      <c r="G14" s="222"/>
      <c r="H14" s="223"/>
      <c r="I14" s="224" t="s">
        <v>144</v>
      </c>
      <c r="J14" s="225"/>
      <c r="K14" s="225"/>
      <c r="L14" s="225"/>
      <c r="M14" s="226"/>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39" t="s">
        <v>133</v>
      </c>
      <c r="C23" s="240"/>
      <c r="D23" s="240"/>
      <c r="E23" s="240"/>
      <c r="F23" s="240"/>
      <c r="G23" s="240"/>
      <c r="H23" s="241"/>
      <c r="I23" s="242" t="s">
        <v>132</v>
      </c>
      <c r="J23" s="243"/>
      <c r="K23" s="243"/>
      <c r="L23" s="243"/>
      <c r="M23" s="244"/>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7" t="s">
        <v>147</v>
      </c>
      <c r="B32" s="228"/>
      <c r="C32" s="228"/>
      <c r="D32" s="228"/>
      <c r="E32" s="228"/>
      <c r="F32" s="228"/>
      <c r="G32" s="228"/>
      <c r="H32" s="228"/>
      <c r="I32" s="228"/>
      <c r="J32" s="228"/>
      <c r="K32" s="228"/>
      <c r="L32" s="228"/>
      <c r="M32" s="229"/>
    </row>
    <row r="33" spans="1:18" ht="16.5" customHeight="1" thickBot="1" x14ac:dyDescent="0.3">
      <c r="A33" s="69" t="s">
        <v>134</v>
      </c>
      <c r="B33" s="230" t="s">
        <v>146</v>
      </c>
      <c r="C33" s="231"/>
      <c r="D33" s="232"/>
      <c r="E33" s="233" t="s">
        <v>145</v>
      </c>
      <c r="F33" s="234"/>
      <c r="G33" s="234"/>
      <c r="H33" s="235"/>
      <c r="I33" s="236" t="s">
        <v>144</v>
      </c>
      <c r="J33" s="237"/>
      <c r="K33" s="237"/>
      <c r="L33" s="237"/>
      <c r="M33" s="238"/>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39" t="s">
        <v>133</v>
      </c>
      <c r="C42" s="240"/>
      <c r="D42" s="240"/>
      <c r="E42" s="240"/>
      <c r="F42" s="240"/>
      <c r="G42" s="240"/>
      <c r="H42" s="241"/>
      <c r="I42" s="242" t="s">
        <v>132</v>
      </c>
      <c r="J42" s="243"/>
      <c r="K42" s="243"/>
      <c r="L42" s="243"/>
      <c r="M42" s="244"/>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45" t="s">
        <v>119</v>
      </c>
      <c r="B51" s="246"/>
      <c r="C51" s="246"/>
      <c r="D51" s="246"/>
      <c r="E51" s="247"/>
      <c r="F51" s="248" t="s">
        <v>118</v>
      </c>
      <c r="G51" s="249"/>
      <c r="H51" s="249"/>
      <c r="I51" s="249"/>
      <c r="J51" s="249"/>
      <c r="K51" s="249"/>
      <c r="L51" s="249"/>
      <c r="M51" s="250"/>
    </row>
    <row r="52" spans="1:17" ht="16.5" thickBot="1" x14ac:dyDescent="0.3">
      <c r="A52" s="3" t="s">
        <v>117</v>
      </c>
      <c r="B52" s="43" t="s">
        <v>116</v>
      </c>
      <c r="C52" s="42" t="s">
        <v>89</v>
      </c>
      <c r="D52" s="41" t="s">
        <v>88</v>
      </c>
      <c r="E52" s="40" t="s">
        <v>115</v>
      </c>
      <c r="F52" s="195"/>
      <c r="G52" s="195"/>
      <c r="H52" s="195"/>
      <c r="I52" s="195"/>
      <c r="J52" s="195"/>
      <c r="K52" s="195"/>
      <c r="L52" s="195"/>
      <c r="M52" s="251"/>
    </row>
    <row r="53" spans="1:17" ht="15.75" x14ac:dyDescent="0.25">
      <c r="A53" s="4" t="s">
        <v>114</v>
      </c>
      <c r="B53" s="39">
        <f>B22</f>
        <v>721668.05</v>
      </c>
      <c r="C53" s="38">
        <f>F22</f>
        <v>101033.52700000002</v>
      </c>
      <c r="D53" s="37">
        <f>J22</f>
        <v>620634.52299999993</v>
      </c>
      <c r="E53" s="36">
        <f>C31</f>
        <v>297904.57</v>
      </c>
      <c r="F53" s="195"/>
      <c r="G53" s="195"/>
      <c r="H53" s="195"/>
      <c r="I53" s="195"/>
      <c r="J53" s="195"/>
      <c r="K53" s="195"/>
      <c r="L53" s="195"/>
      <c r="M53" s="251"/>
    </row>
    <row r="54" spans="1:17" ht="16.5" thickBot="1" x14ac:dyDescent="0.3">
      <c r="A54" s="4" t="s">
        <v>113</v>
      </c>
      <c r="B54" s="39">
        <f>B41</f>
        <v>721668.05</v>
      </c>
      <c r="C54" s="38">
        <f>F41</f>
        <v>101033.52700000002</v>
      </c>
      <c r="D54" s="37">
        <f>J41</f>
        <v>620634.52300000004</v>
      </c>
      <c r="E54" s="36">
        <f>C50</f>
        <v>297904.57104000001</v>
      </c>
      <c r="F54" s="195"/>
      <c r="G54" s="195"/>
      <c r="H54" s="195"/>
      <c r="I54" s="195"/>
      <c r="J54" s="195"/>
      <c r="K54" s="195"/>
      <c r="L54" s="195"/>
      <c r="M54" s="251"/>
    </row>
    <row r="55" spans="1:17" ht="15.75" x14ac:dyDescent="0.25">
      <c r="A55" s="3" t="s">
        <v>112</v>
      </c>
      <c r="B55" s="128">
        <f>B53-B54</f>
        <v>0</v>
      </c>
      <c r="C55" s="129">
        <f>C53-C54</f>
        <v>0</v>
      </c>
      <c r="D55" s="130">
        <f>D53-D54</f>
        <v>0</v>
      </c>
      <c r="E55" s="131">
        <f>E53-E54</f>
        <v>-1.0400000028312206E-3</v>
      </c>
      <c r="F55" s="195"/>
      <c r="G55" s="195"/>
      <c r="H55" s="195"/>
      <c r="I55" s="195"/>
      <c r="J55" s="195"/>
      <c r="K55" s="195"/>
      <c r="L55" s="195"/>
      <c r="M55" s="251"/>
    </row>
    <row r="56" spans="1:17" ht="16.5" thickBot="1" x14ac:dyDescent="0.3">
      <c r="A56" s="5" t="s">
        <v>111</v>
      </c>
      <c r="B56" s="35">
        <f>B53/B54</f>
        <v>1</v>
      </c>
      <c r="C56" s="33">
        <f>C53/C54</f>
        <v>1</v>
      </c>
      <c r="D56" s="32">
        <f>D53/D54</f>
        <v>0.99999999999999978</v>
      </c>
      <c r="E56" s="31">
        <f>E53/E54</f>
        <v>0.99999999650894911</v>
      </c>
      <c r="F56" s="195"/>
      <c r="G56" s="195"/>
      <c r="H56" s="195"/>
      <c r="I56" s="195"/>
      <c r="J56" s="195"/>
      <c r="K56" s="195"/>
      <c r="L56" s="195"/>
      <c r="M56" s="251"/>
    </row>
    <row r="57" spans="1:17" ht="15.75" thickBot="1" x14ac:dyDescent="0.3">
      <c r="A57" s="245" t="s">
        <v>110</v>
      </c>
      <c r="B57" s="246"/>
      <c r="C57" s="246"/>
      <c r="D57" s="246"/>
      <c r="E57" s="247"/>
      <c r="F57" s="195"/>
      <c r="G57" s="195"/>
      <c r="H57" s="195"/>
      <c r="I57" s="195"/>
      <c r="J57" s="195"/>
      <c r="K57" s="195"/>
      <c r="L57" s="195"/>
      <c r="M57" s="25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5"/>
      <c r="G58" s="195"/>
      <c r="H58" s="195"/>
      <c r="I58" s="195"/>
      <c r="J58" s="195"/>
      <c r="K58" s="195"/>
      <c r="L58" s="195"/>
      <c r="M58" s="251"/>
    </row>
    <row r="59" spans="1:17" ht="16.5" thickBot="1" x14ac:dyDescent="0.3">
      <c r="A59" s="5" t="e">
        <f t="shared" si="35"/>
        <v>#REF!</v>
      </c>
      <c r="B59" s="34">
        <f t="shared" si="36"/>
        <v>0</v>
      </c>
      <c r="C59" s="33">
        <f>(E36*B36)/($B$22*$E$22)</f>
        <v>0</v>
      </c>
      <c r="D59" s="32">
        <f t="shared" si="37"/>
        <v>0</v>
      </c>
      <c r="E59" s="31" t="e">
        <f t="shared" si="38"/>
        <v>#DIV/0!</v>
      </c>
      <c r="F59" s="195"/>
      <c r="G59" s="195"/>
      <c r="H59" s="195"/>
      <c r="I59" s="195"/>
      <c r="J59" s="195"/>
      <c r="K59" s="195"/>
      <c r="L59" s="195"/>
      <c r="M59" s="251"/>
    </row>
    <row r="60" spans="1:17" ht="16.5" thickBot="1" x14ac:dyDescent="0.3">
      <c r="A60" s="5" t="e">
        <f t="shared" si="35"/>
        <v>#REF!</v>
      </c>
      <c r="B60" s="34">
        <f t="shared" si="36"/>
        <v>0</v>
      </c>
      <c r="C60" s="33">
        <f>(E37*B37)/($B$22*$E$22)</f>
        <v>0</v>
      </c>
      <c r="D60" s="32">
        <f t="shared" si="37"/>
        <v>0</v>
      </c>
      <c r="E60" s="31" t="e">
        <f t="shared" si="38"/>
        <v>#DIV/0!</v>
      </c>
      <c r="F60" s="195"/>
      <c r="G60" s="195"/>
      <c r="H60" s="195"/>
      <c r="I60" s="195"/>
      <c r="J60" s="195"/>
      <c r="K60" s="195"/>
      <c r="L60" s="195"/>
      <c r="M60" s="251"/>
    </row>
    <row r="61" spans="1:17" ht="16.5" thickBot="1" x14ac:dyDescent="0.3">
      <c r="A61" s="5" t="e">
        <f t="shared" si="35"/>
        <v>#REF!</v>
      </c>
      <c r="B61" s="34">
        <f t="shared" si="36"/>
        <v>0</v>
      </c>
      <c r="C61" s="33">
        <f>($G$41*F38)/($B$22*$E$22)</f>
        <v>0</v>
      </c>
      <c r="D61" s="32">
        <f t="shared" si="37"/>
        <v>0</v>
      </c>
      <c r="E61" s="31" t="e">
        <f t="shared" si="38"/>
        <v>#DIV/0!</v>
      </c>
      <c r="F61" s="195"/>
      <c r="G61" s="195"/>
      <c r="H61" s="195"/>
      <c r="I61" s="195"/>
      <c r="J61" s="195"/>
      <c r="K61" s="195"/>
      <c r="L61" s="195"/>
      <c r="M61" s="251"/>
    </row>
    <row r="62" spans="1:17" ht="16.5" thickBot="1" x14ac:dyDescent="0.3">
      <c r="A62" s="5" t="e">
        <f t="shared" si="35"/>
        <v>#REF!</v>
      </c>
      <c r="B62" s="34">
        <f t="shared" si="36"/>
        <v>0</v>
      </c>
      <c r="C62" s="33">
        <f>(B39*E39)/($B$22*$E$22)</f>
        <v>0</v>
      </c>
      <c r="D62" s="32">
        <f t="shared" si="37"/>
        <v>0</v>
      </c>
      <c r="E62" s="31" t="e">
        <f t="shared" si="38"/>
        <v>#DIV/0!</v>
      </c>
      <c r="F62" s="195"/>
      <c r="G62" s="195"/>
      <c r="H62" s="195"/>
      <c r="I62" s="195"/>
      <c r="J62" s="195"/>
      <c r="K62" s="195"/>
      <c r="L62" s="195"/>
      <c r="M62" s="251"/>
    </row>
    <row r="63" spans="1:17" ht="16.5" thickBot="1" x14ac:dyDescent="0.3">
      <c r="A63" s="5">
        <f t="shared" si="35"/>
        <v>0</v>
      </c>
      <c r="B63" s="34">
        <f t="shared" si="36"/>
        <v>0</v>
      </c>
      <c r="C63" s="33">
        <f>(B40*E40)/($B$22*$E$22)</f>
        <v>0</v>
      </c>
      <c r="D63" s="32">
        <f t="shared" si="37"/>
        <v>0</v>
      </c>
      <c r="E63" s="31" t="e">
        <f t="shared" si="38"/>
        <v>#DIV/0!</v>
      </c>
      <c r="F63" s="195"/>
      <c r="G63" s="195"/>
      <c r="H63" s="195"/>
      <c r="I63" s="195"/>
      <c r="J63" s="195"/>
      <c r="K63" s="195"/>
      <c r="L63" s="195"/>
      <c r="M63" s="251"/>
    </row>
    <row r="64" spans="1:17" ht="16.5" thickBot="1" x14ac:dyDescent="0.3">
      <c r="A64" s="3" t="s">
        <v>109</v>
      </c>
      <c r="B64" s="124">
        <f>SUM(B58:B63)</f>
        <v>1</v>
      </c>
      <c r="C64" s="125">
        <f>SUM(C58:C63)</f>
        <v>1</v>
      </c>
      <c r="D64" s="126">
        <f>SUM(D58:D63)</f>
        <v>1.0000000000000002</v>
      </c>
      <c r="E64" s="127" t="e">
        <f>SUM(E58:E63)</f>
        <v>#DIV/0!</v>
      </c>
      <c r="F64" s="195"/>
      <c r="G64" s="195"/>
      <c r="H64" s="195"/>
      <c r="I64" s="195"/>
      <c r="J64" s="195"/>
      <c r="K64" s="195"/>
      <c r="L64" s="195"/>
      <c r="M64" s="251"/>
    </row>
    <row r="65" spans="1:13" ht="16.5" thickBot="1" x14ac:dyDescent="0.3">
      <c r="A65" s="209" t="s">
        <v>108</v>
      </c>
      <c r="B65" s="210"/>
      <c r="C65" s="210"/>
      <c r="D65" s="210"/>
      <c r="E65" s="210"/>
      <c r="F65" s="210"/>
      <c r="G65" s="210"/>
      <c r="H65" s="210"/>
      <c r="I65" s="210"/>
      <c r="J65" s="210"/>
      <c r="K65" s="210"/>
      <c r="L65" s="210"/>
      <c r="M65" s="211"/>
    </row>
    <row r="66" spans="1:13" x14ac:dyDescent="0.25">
      <c r="A66" s="4" t="s">
        <v>107</v>
      </c>
      <c r="B66" s="252" t="s">
        <v>106</v>
      </c>
      <c r="C66" s="252"/>
      <c r="D66" s="252"/>
      <c r="E66" s="252"/>
      <c r="F66" s="252"/>
      <c r="G66" s="4" t="s">
        <v>105</v>
      </c>
      <c r="M66" s="25"/>
    </row>
    <row r="67" spans="1:13" ht="18.75" customHeight="1" x14ac:dyDescent="0.25">
      <c r="A67" s="4" t="s">
        <v>104</v>
      </c>
      <c r="B67" s="195" t="s">
        <v>91</v>
      </c>
      <c r="C67" s="195"/>
      <c r="D67" s="195"/>
      <c r="E67" s="195"/>
      <c r="F67" s="195"/>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2025-10-15T16:28:01Z</dcterms:modified>
</cp:coreProperties>
</file>