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176D5FAC-001B-4497-9A7C-9C1328E16FD9}" xr6:coauthVersionLast="47" xr6:coauthVersionMax="47" xr10:uidLastSave="{00000000-0000-0000-0000-000000000000}"/>
  <bookViews>
    <workbookView xWindow="-120" yWindow="-120" windowWidth="38640" windowHeight="21120" tabRatio="840" firstSheet="14" activeTab="16"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B3" i="46" s="1"/>
  <c r="C4" i="46"/>
  <c r="B4" i="46" s="1"/>
  <c r="C5" i="46"/>
  <c r="B5" i="46" s="1"/>
  <c r="C6" i="46"/>
  <c r="B6" i="46" s="1"/>
  <c r="C7" i="46"/>
  <c r="C8" i="46"/>
  <c r="C9" i="46"/>
  <c r="C10" i="46"/>
  <c r="B10" i="46" s="1"/>
  <c r="C11" i="46"/>
  <c r="B11" i="46" s="1"/>
  <c r="C12" i="46"/>
  <c r="B12" i="46" s="1"/>
  <c r="C13" i="46"/>
  <c r="B13" i="46" s="1"/>
  <c r="C14" i="46"/>
  <c r="B14" i="46" s="1"/>
  <c r="C15" i="46"/>
  <c r="B15" i="46" s="1"/>
  <c r="C16" i="46"/>
  <c r="B16" i="46" s="1"/>
  <c r="C17" i="46"/>
  <c r="C18" i="46"/>
  <c r="C19" i="46"/>
  <c r="C20" i="46"/>
  <c r="B20" i="46" s="1"/>
  <c r="C21" i="46"/>
  <c r="C22" i="46"/>
  <c r="B22" i="46" s="1"/>
  <c r="C23" i="46"/>
  <c r="B23" i="46" s="1"/>
  <c r="C24" i="46"/>
  <c r="B24" i="46" s="1"/>
  <c r="C25" i="46"/>
  <c r="B25" i="46" s="1"/>
  <c r="C26" i="46"/>
  <c r="B26" i="46" s="1"/>
  <c r="C27" i="46"/>
  <c r="B27" i="46" s="1"/>
  <c r="C28" i="46"/>
  <c r="B28" i="46" s="1"/>
  <c r="C29" i="46"/>
  <c r="B29" i="46" s="1"/>
  <c r="C30" i="46"/>
  <c r="B30" i="46" s="1"/>
  <c r="C31" i="46"/>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A40" i="46"/>
  <c r="A39" i="46"/>
  <c r="A38" i="46"/>
  <c r="A37" i="46"/>
  <c r="A36" i="46"/>
  <c r="A35" i="46"/>
  <c r="A34" i="46"/>
  <c r="A33" i="46"/>
  <c r="B32" i="46"/>
  <c r="A32" i="46"/>
  <c r="B31" i="46"/>
  <c r="A31" i="46"/>
  <c r="A30" i="46"/>
  <c r="A29" i="46"/>
  <c r="A28" i="46"/>
  <c r="A27" i="46"/>
  <c r="A26" i="46"/>
  <c r="A25" i="46"/>
  <c r="A24" i="46"/>
  <c r="A23" i="46"/>
  <c r="A22" i="46"/>
  <c r="B21" i="46"/>
  <c r="A21" i="46"/>
  <c r="A20" i="46"/>
  <c r="B19" i="46"/>
  <c r="A19" i="46"/>
  <c r="B18" i="46"/>
  <c r="A18" i="46"/>
  <c r="B17" i="46"/>
  <c r="A17" i="46"/>
  <c r="A16" i="46"/>
  <c r="A15" i="46"/>
  <c r="A14" i="46"/>
  <c r="A13" i="46"/>
  <c r="A12" i="46"/>
  <c r="A11" i="46"/>
  <c r="A10" i="46"/>
  <c r="B9" i="46"/>
  <c r="A9" i="46"/>
  <c r="B8" i="46"/>
  <c r="A8" i="46"/>
  <c r="B7"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<sst xmlns="http://schemas.openxmlformats.org/spreadsheetml/2006/main" count="3781" uniqueCount="807">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</sst>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M16" sqref="M1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F_05_09</v>
      </c>
      <c r="C54" s="11" t="s">
        <v>474</v>
      </c>
      <c r="D54" s="9"/>
      <c r="E54" s="9" t="str">
        <f>_xlfn.XLOOKUP(C54,Tab_Def_Flows[Name(EN)],Tab_Def_Flows[Output_Process],,0,)</f>
        <v>Straw C&amp;D</v>
      </c>
      <c r="F54" s="9" t="str">
        <f>_xlfn.XLOOKUP(C54,Tab_Def_Flows[Name(EN)],Tab_Def_Flows[Process_ID_O],,0,)</f>
        <v>05</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500000</v>
      </c>
      <c r="P54" s="11"/>
      <c r="Q54" s="11"/>
      <c r="R54" s="11" t="e">
        <f>INDEX(#REF!,MATCH(Tab_Data_Flows[[#This Row],[Name(EN)]],#REF!,0),12)</f>
        <v>#REF!</v>
      </c>
      <c r="S54" s="11" t="e">
        <f>MATCH(Tab_Data_Flows[[#This Row],[Name(EN)]],#REF!,0)</f>
        <v>#REF!</v>
      </c>
      <c r="T54" s="11"/>
      <c r="U54" s="11"/>
      <c r="V54" s="11"/>
      <c r="W54" s="11"/>
      <c r="X54" s="11" t="s">
        <v>8</v>
      </c>
      <c r="Y54" s="11"/>
      <c r="Z54" s="11"/>
      <c r="AA54" s="35">
        <f t="shared" si="1"/>
        <v>500000</v>
      </c>
      <c r="AB54" s="11" t="s">
        <v>276</v>
      </c>
      <c r="AC54" s="190">
        <f>INDEX(Tab_Def_Flows[[Flow_ID]:[CC_DM_source]],MATCH(Tab_Data_Flows[[#This Row],[Name(EN)]],Tab_Def_Flows[Name(EN)],0),13)</f>
        <v>0.14000000000000001</v>
      </c>
      <c r="AD54" s="9">
        <f>IF(J54="Yes",AA54*Tab_Data_Flows[[#This Row],[WC_'[%']]],"N.A.")</f>
        <v>70000</v>
      </c>
      <c r="AE54" s="9" t="str">
        <f>Tab_Data_Flows[[#This Row],[UoM_Flow_Py]]</f>
        <v>Mg</v>
      </c>
      <c r="AF54" s="190">
        <f>INDEX(Tab_Def_Flows[[Flow_ID]:[CC_DM_source]],MATCH(Tab_Data_Flows[[#This Row],[Name(EN)]],Tab_Def_Flows[Name(EN)],0),15)</f>
        <v>0.86</v>
      </c>
      <c r="AG54" s="9">
        <f>IF(K54="Yes",AF54*Tab_Data_Flows[[#This Row],[Flow_Py]],"N.A.")</f>
        <v>430000</v>
      </c>
      <c r="AH54" s="9" t="str">
        <f>Tab_Data_Flows[[#This Row],[UoM_Flow_Py]]</f>
        <v>Mg</v>
      </c>
      <c r="AI54" s="190">
        <f>INDEX(Tab_Def_Flows[[Flow_ID]:[CC_DM_source]],MATCH(Tab_Data_Flows[[#This Row],[Name(EN)]],Tab_Def_Flows[Name(EN)],0),17)</f>
        <v>0.48</v>
      </c>
      <c r="AJ54" s="9">
        <f>IF(L54="Yes",AI54*Tab_Data_Flows[[#This Row],[Flow_Py]]*Tab_Data_Flows[[#This Row],[DM_'[%']]],"N.A.")</f>
        <v>206400</v>
      </c>
      <c r="AK54" s="9" t="str">
        <f>Tab_Data_Flows[[#This Row],[UoM_Flow_Py]]</f>
        <v>Mg</v>
      </c>
    </row>
    <row r="55" spans="1:37" x14ac:dyDescent="0.25">
      <c r="A55" s="16">
        <f t="shared" si="0"/>
        <v>54</v>
      </c>
      <c r="B55" s="9" t="str">
        <f>_xlfn.XLOOKUP(C55,Tab_Def_Flows[Name(EN)],Tab_Def_Flows[Flow_ID],,0,)</f>
        <v>F_05_09</v>
      </c>
      <c r="C55" s="11" t="s">
        <v>474</v>
      </c>
      <c r="D55" s="9"/>
      <c r="E55" s="9" t="str">
        <f>_xlfn.XLOOKUP(C55,Tab_Def_Flows[Name(EN)],Tab_Def_Flows[Output_Process],,0,)</f>
        <v>Straw C&amp;D</v>
      </c>
      <c r="F55" s="9" t="str">
        <f>_xlfn.XLOOKUP(C55,Tab_Def_Flows[Name(EN)],Tab_Def_Flows[Process_ID_O],,0,)</f>
        <v>05</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500000</v>
      </c>
      <c r="P55" s="11"/>
      <c r="Q55" s="11"/>
      <c r="R55" s="11" t="e">
        <f>INDEX(#REF!,MATCH(Tab_Data_Flows[[#This Row],[Name(EN)]],#REF!,0),12)</f>
        <v>#REF!</v>
      </c>
      <c r="S55" s="11" t="e">
        <f>MATCH(Tab_Data_Flows[[#This Row],[Name(EN)]],#REF!,0)</f>
        <v>#REF!</v>
      </c>
      <c r="T55" s="11"/>
      <c r="U55" s="11"/>
      <c r="V55" s="11"/>
      <c r="W55" s="11"/>
      <c r="X55" s="11" t="s">
        <v>8</v>
      </c>
      <c r="Y55" s="11"/>
      <c r="Z55" s="11"/>
      <c r="AA55" s="35">
        <f t="shared" si="1"/>
        <v>500000</v>
      </c>
      <c r="AB55" s="11" t="s">
        <v>276</v>
      </c>
      <c r="AC55" s="190">
        <f>INDEX(Tab_Def_Flows[[Flow_ID]:[CC_DM_source]],MATCH(Tab_Data_Flows[[#This Row],[Name(EN)]],Tab_Def_Flows[Name(EN)],0),13)</f>
        <v>0.14000000000000001</v>
      </c>
      <c r="AD55" s="9">
        <f>IF(J55="Yes",AA55*Tab_Data_Flows[[#This Row],[WC_'[%']]],"N.A.")</f>
        <v>70000</v>
      </c>
      <c r="AE55" s="9" t="str">
        <f>Tab_Data_Flows[[#This Row],[UoM_Flow_Py]]</f>
        <v>Mg</v>
      </c>
      <c r="AF55" s="190">
        <f>INDEX(Tab_Def_Flows[[Flow_ID]:[CC_DM_source]],MATCH(Tab_Data_Flows[[#This Row],[Name(EN)]],Tab_Def_Flows[Name(EN)],0),15)</f>
        <v>0.86</v>
      </c>
      <c r="AG55" s="9">
        <f>IF(K55="Yes",AF55*Tab_Data_Flows[[#This Row],[Flow_Py]],"N.A.")</f>
        <v>430000</v>
      </c>
      <c r="AH55" s="9" t="str">
        <f>Tab_Data_Flows[[#This Row],[UoM_Flow_Py]]</f>
        <v>Mg</v>
      </c>
      <c r="AI55" s="190">
        <f>INDEX(Tab_Def_Flows[[Flow_ID]:[CC_DM_source]],MATCH(Tab_Data_Flows[[#This Row],[Name(EN)]],Tab_Def_Flows[Name(EN)],0),17)</f>
        <v>0.48</v>
      </c>
      <c r="AJ55" s="9">
        <f>IF(L55="Yes",AI55*Tab_Data_Flows[[#This Row],[Flow_Py]]*Tab_Data_Flows[[#This Row],[DM_'[%']]],"N.A.")</f>
        <v>206400</v>
      </c>
      <c r="AK55" s="9" t="str">
        <f>Tab_Data_Flows[[#This Row],[UoM_Flow_Py]]</f>
        <v>Mg</v>
      </c>
    </row>
    <row r="56" spans="1:37" x14ac:dyDescent="0.25">
      <c r="A56" s="16">
        <f t="shared" si="0"/>
        <v>55</v>
      </c>
      <c r="B56" s="9" t="str">
        <f>_xlfn.XLOOKUP(C56,Tab_Def_Flows[Name(EN)],Tab_Def_Flows[Flow_ID],,0,)</f>
        <v>F_05_09</v>
      </c>
      <c r="C56" s="11" t="s">
        <v>474</v>
      </c>
      <c r="D56" s="9"/>
      <c r="E56" s="9" t="str">
        <f>_xlfn.XLOOKUP(C56,Tab_Def_Flows[Name(EN)],Tab_Def_Flows[Output_Process],,0,)</f>
        <v>Straw C&amp;D</v>
      </c>
      <c r="F56" s="9" t="str">
        <f>_xlfn.XLOOKUP(C56,Tab_Def_Flows[Name(EN)],Tab_Def_Flows[Process_ID_O],,0,)</f>
        <v>05</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500000</v>
      </c>
      <c r="P56" s="11"/>
      <c r="Q56" s="11"/>
      <c r="R56" s="11" t="e">
        <f>INDEX(#REF!,MATCH(Tab_Data_Flows[[#This Row],[Name(EN)]],#REF!,0),12)</f>
        <v>#REF!</v>
      </c>
      <c r="S56" s="11" t="e">
        <f>MATCH(Tab_Data_Flows[[#This Row],[Name(EN)]],#REF!,0)</f>
        <v>#REF!</v>
      </c>
      <c r="T56" s="11"/>
      <c r="U56" s="11"/>
      <c r="V56" s="11"/>
      <c r="W56" s="11"/>
      <c r="X56" s="11" t="s">
        <v>8</v>
      </c>
      <c r="Y56" s="11"/>
      <c r="Z56" s="11"/>
      <c r="AA56" s="35">
        <f t="shared" si="1"/>
        <v>500000</v>
      </c>
      <c r="AB56" s="11" t="s">
        <v>276</v>
      </c>
      <c r="AC56" s="190">
        <f>INDEX(Tab_Def_Flows[[Flow_ID]:[CC_DM_source]],MATCH(Tab_Data_Flows[[#This Row],[Name(EN)]],Tab_Def_Flows[Name(EN)],0),13)</f>
        <v>0.14000000000000001</v>
      </c>
      <c r="AD56" s="9">
        <f>IF(J56="Yes",AA56*Tab_Data_Flows[[#This Row],[WC_'[%']]],"N.A.")</f>
        <v>70000</v>
      </c>
      <c r="AE56" s="9" t="str">
        <f>Tab_Data_Flows[[#This Row],[UoM_Flow_Py]]</f>
        <v>Mg</v>
      </c>
      <c r="AF56" s="190">
        <f>INDEX(Tab_Def_Flows[[Flow_ID]:[CC_DM_source]],MATCH(Tab_Data_Flows[[#This Row],[Name(EN)]],Tab_Def_Flows[Name(EN)],0),15)</f>
        <v>0.86</v>
      </c>
      <c r="AG56" s="9">
        <f>IF(K56="Yes",AF56*Tab_Data_Flows[[#This Row],[Flow_Py]],"N.A.")</f>
        <v>430000</v>
      </c>
      <c r="AH56" s="9" t="str">
        <f>Tab_Data_Flows[[#This Row],[UoM_Flow_Py]]</f>
        <v>Mg</v>
      </c>
      <c r="AI56" s="190">
        <f>INDEX(Tab_Def_Flows[[Flow_ID]:[CC_DM_source]],MATCH(Tab_Data_Flows[[#This Row],[Name(EN)]],Tab_Def_Flows[Name(EN)],0),17)</f>
        <v>0.48</v>
      </c>
      <c r="AJ56" s="9">
        <f>IF(L56="Yes",AI56*Tab_Data_Flows[[#This Row],[Flow_Py]]*Tab_Data_Flows[[#This Row],[DM_'[%']]],"N.A.")</f>
        <v>206400</v>
      </c>
      <c r="AK56" s="9" t="str">
        <f>Tab_Data_Flows[[#This Row],[UoM_Flow_Py]]</f>
        <v>Mg</v>
      </c>
    </row>
    <row r="57" spans="1:37" x14ac:dyDescent="0.25">
      <c r="A57" s="16">
        <f t="shared" si="0"/>
        <v>56</v>
      </c>
      <c r="B57" s="9" t="str">
        <f>_xlfn.XLOOKUP(C57,Tab_Def_Flows[Name(EN)],Tab_Def_Flows[Flow_ID],,0,)</f>
        <v>F_05_09</v>
      </c>
      <c r="C57" s="11" t="s">
        <v>474</v>
      </c>
      <c r="D57" s="9"/>
      <c r="E57" s="9" t="str">
        <f>_xlfn.XLOOKUP(C57,Tab_Def_Flows[Name(EN)],Tab_Def_Flows[Output_Process],,0,)</f>
        <v>Straw C&amp;D</v>
      </c>
      <c r="F57" s="9" t="str">
        <f>_xlfn.XLOOKUP(C57,Tab_Def_Flows[Name(EN)],Tab_Def_Flows[Process_ID_O],,0,)</f>
        <v>05</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500000</v>
      </c>
      <c r="P57" s="11"/>
      <c r="Q57" s="11"/>
      <c r="R57" s="11" t="e">
        <f>INDEX(#REF!,MATCH(Tab_Data_Flows[[#This Row],[Name(EN)]],#REF!,0),12)</f>
        <v>#REF!</v>
      </c>
      <c r="S57" s="11" t="e">
        <f>MATCH(Tab_Data_Flows[[#This Row],[Name(EN)]],#REF!,0)</f>
        <v>#REF!</v>
      </c>
      <c r="T57" s="11"/>
      <c r="U57" s="11"/>
      <c r="V57" s="11"/>
      <c r="W57" s="11"/>
      <c r="X57" s="11" t="s">
        <v>8</v>
      </c>
      <c r="Y57" s="11"/>
      <c r="Z57" s="11"/>
      <c r="AA57" s="35">
        <f t="shared" si="1"/>
        <v>500000</v>
      </c>
      <c r="AB57" s="11" t="s">
        <v>276</v>
      </c>
      <c r="AC57" s="190">
        <f>INDEX(Tab_Def_Flows[[Flow_ID]:[CC_DM_source]],MATCH(Tab_Data_Flows[[#This Row],[Name(EN)]],Tab_Def_Flows[Name(EN)],0),13)</f>
        <v>0.14000000000000001</v>
      </c>
      <c r="AD57" s="9">
        <f>IF(J57="Yes",AA57*Tab_Data_Flows[[#This Row],[WC_'[%']]],"N.A.")</f>
        <v>70000</v>
      </c>
      <c r="AE57" s="9" t="str">
        <f>Tab_Data_Flows[[#This Row],[UoM_Flow_Py]]</f>
        <v>Mg</v>
      </c>
      <c r="AF57" s="190">
        <f>INDEX(Tab_Def_Flows[[Flow_ID]:[CC_DM_source]],MATCH(Tab_Data_Flows[[#This Row],[Name(EN)]],Tab_Def_Flows[Name(EN)],0),15)</f>
        <v>0.86</v>
      </c>
      <c r="AG57" s="9">
        <f>IF(K57="Yes",AF57*Tab_Data_Flows[[#This Row],[Flow_Py]],"N.A.")</f>
        <v>430000</v>
      </c>
      <c r="AH57" s="9" t="str">
        <f>Tab_Data_Flows[[#This Row],[UoM_Flow_Py]]</f>
        <v>Mg</v>
      </c>
      <c r="AI57" s="190">
        <f>INDEX(Tab_Def_Flows[[Flow_ID]:[CC_DM_source]],MATCH(Tab_Data_Flows[[#This Row],[Name(EN)]],Tab_Def_Flows[Name(EN)],0),17)</f>
        <v>0.48</v>
      </c>
      <c r="AJ57" s="9">
        <f>IF(L57="Yes",AI57*Tab_Data_Flows[[#This Row],[Flow_Py]]*Tab_Data_Flows[[#This Row],[DM_'[%']]],"N.A.")</f>
        <v>206400</v>
      </c>
      <c r="AK57" s="9" t="str">
        <f>Tab_Data_Flows[[#This Row],[UoM_Flow_Py]]</f>
        <v>Mg</v>
      </c>
    </row>
    <row r="58" spans="1:37" x14ac:dyDescent="0.25">
      <c r="A58" s="16">
        <f t="shared" si="0"/>
        <v>57</v>
      </c>
      <c r="B58" s="9" t="str">
        <f>_xlfn.XLOOKUP(C58,Tab_Def_Flows[Name(EN)],Tab_Def_Flows[Flow_ID],,0,)</f>
        <v>F_05_09</v>
      </c>
      <c r="C58" s="11" t="s">
        <v>474</v>
      </c>
      <c r="D58" s="9"/>
      <c r="E58" s="9" t="str">
        <f>_xlfn.XLOOKUP(C58,Tab_Def_Flows[Name(EN)],Tab_Def_Flows[Output_Process],,0,)</f>
        <v>Straw C&amp;D</v>
      </c>
      <c r="F58" s="9" t="str">
        <f>_xlfn.XLOOKUP(C58,Tab_Def_Flows[Name(EN)],Tab_Def_Flows[Process_ID_O],,0,)</f>
        <v>05</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500000</v>
      </c>
      <c r="P58" s="11"/>
      <c r="Q58" s="11"/>
      <c r="R58" s="11" t="e">
        <f>INDEX(#REF!,MATCH(Tab_Data_Flows[[#This Row],[Name(EN)]],#REF!,0),12)</f>
        <v>#REF!</v>
      </c>
      <c r="S58" s="11" t="e">
        <f>MATCH(Tab_Data_Flows[[#This Row],[Name(EN)]],#REF!,0)</f>
        <v>#REF!</v>
      </c>
      <c r="T58" s="11"/>
      <c r="U58" s="11"/>
      <c r="V58" s="11"/>
      <c r="W58" s="11"/>
      <c r="X58" s="11" t="s">
        <v>8</v>
      </c>
      <c r="Y58" s="11"/>
      <c r="Z58" s="11"/>
      <c r="AA58" s="35">
        <f t="shared" si="1"/>
        <v>500000</v>
      </c>
      <c r="AB58" s="11" t="s">
        <v>276</v>
      </c>
      <c r="AC58" s="190">
        <f>INDEX(Tab_Def_Flows[[Flow_ID]:[CC_DM_source]],MATCH(Tab_Data_Flows[[#This Row],[Name(EN)]],Tab_Def_Flows[Name(EN)],0),13)</f>
        <v>0.14000000000000001</v>
      </c>
      <c r="AD58" s="9">
        <f>IF(J58="Yes",AA58*Tab_Data_Flows[[#This Row],[WC_'[%']]],"N.A.")</f>
        <v>70000</v>
      </c>
      <c r="AE58" s="9" t="str">
        <f>Tab_Data_Flows[[#This Row],[UoM_Flow_Py]]</f>
        <v>Mg</v>
      </c>
      <c r="AF58" s="190">
        <f>INDEX(Tab_Def_Flows[[Flow_ID]:[CC_DM_source]],MATCH(Tab_Data_Flows[[#This Row],[Name(EN)]],Tab_Def_Flows[Name(EN)],0),15)</f>
        <v>0.86</v>
      </c>
      <c r="AG58" s="9">
        <f>IF(K58="Yes",AF58*Tab_Data_Flows[[#This Row],[Flow_Py]],"N.A.")</f>
        <v>430000</v>
      </c>
      <c r="AH58" s="9" t="str">
        <f>Tab_Data_Flows[[#This Row],[UoM_Flow_Py]]</f>
        <v>Mg</v>
      </c>
      <c r="AI58" s="190">
        <f>INDEX(Tab_Def_Flows[[Flow_ID]:[CC_DM_source]],MATCH(Tab_Data_Flows[[#This Row],[Name(EN)]],Tab_Def_Flows[Name(EN)],0),17)</f>
        <v>0.48</v>
      </c>
      <c r="AJ58" s="9">
        <f>IF(L58="Yes",AI58*Tab_Data_Flows[[#This Row],[Flow_Py]]*Tab_Data_Flows[[#This Row],[DM_'[%']]],"N.A.")</f>
        <v>206400</v>
      </c>
      <c r="AK58" s="9" t="str">
        <f>Tab_Data_Flows[[#This Row],[UoM_Flow_Py]]</f>
        <v>Mg</v>
      </c>
    </row>
    <row r="59" spans="1:37" x14ac:dyDescent="0.25">
      <c r="A59" s="16">
        <f t="shared" si="0"/>
        <v>58</v>
      </c>
      <c r="B59" s="9" t="str">
        <f>_xlfn.XLOOKUP(C59,Tab_Def_Flows[Name(EN)],Tab_Def_Flows[Flow_ID],,0,)</f>
        <v>F_05_09</v>
      </c>
      <c r="C59" s="11" t="s">
        <v>474</v>
      </c>
      <c r="D59" s="9"/>
      <c r="E59" s="9" t="str">
        <f>_xlfn.XLOOKUP(C59,Tab_Def_Flows[Name(EN)],Tab_Def_Flows[Output_Process],,0,)</f>
        <v>Straw C&amp;D</v>
      </c>
      <c r="F59" s="9" t="str">
        <f>_xlfn.XLOOKUP(C59,Tab_Def_Flows[Name(EN)],Tab_Def_Flows[Process_ID_O],,0,)</f>
        <v>05</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500000</v>
      </c>
      <c r="P59" s="11"/>
      <c r="Q59" s="11"/>
      <c r="R59" s="11" t="e">
        <f>INDEX(#REF!,MATCH(Tab_Data_Flows[[#This Row],[Name(EN)]],#REF!,0),12)</f>
        <v>#REF!</v>
      </c>
      <c r="S59" s="11" t="e">
        <f>MATCH(Tab_Data_Flows[[#This Row],[Name(EN)]],#REF!,0)</f>
        <v>#REF!</v>
      </c>
      <c r="T59" s="11"/>
      <c r="U59" s="11"/>
      <c r="V59" s="11"/>
      <c r="W59" s="11"/>
      <c r="X59" s="11" t="s">
        <v>8</v>
      </c>
      <c r="Y59" s="11"/>
      <c r="Z59" s="11"/>
      <c r="AA59" s="35">
        <f t="shared" si="1"/>
        <v>500000</v>
      </c>
      <c r="AB59" s="11" t="s">
        <v>276</v>
      </c>
      <c r="AC59" s="190">
        <f>INDEX(Tab_Def_Flows[[Flow_ID]:[CC_DM_source]],MATCH(Tab_Data_Flows[[#This Row],[Name(EN)]],Tab_Def_Flows[Name(EN)],0),13)</f>
        <v>0.14000000000000001</v>
      </c>
      <c r="AD59" s="9">
        <f>IF(J59="Yes",AA59*Tab_Data_Flows[[#This Row],[WC_'[%']]],"N.A.")</f>
        <v>70000</v>
      </c>
      <c r="AE59" s="9" t="str">
        <f>Tab_Data_Flows[[#This Row],[UoM_Flow_Py]]</f>
        <v>Mg</v>
      </c>
      <c r="AF59" s="190">
        <f>INDEX(Tab_Def_Flows[[Flow_ID]:[CC_DM_source]],MATCH(Tab_Data_Flows[[#This Row],[Name(EN)]],Tab_Def_Flows[Name(EN)],0),15)</f>
        <v>0.86</v>
      </c>
      <c r="AG59" s="9">
        <f>IF(K59="Yes",AF59*Tab_Data_Flows[[#This Row],[Flow_Py]],"N.A.")</f>
        <v>430000</v>
      </c>
      <c r="AH59" s="9" t="str">
        <f>Tab_Data_Flows[[#This Row],[UoM_Flow_Py]]</f>
        <v>Mg</v>
      </c>
      <c r="AI59" s="190">
        <f>INDEX(Tab_Def_Flows[[Flow_ID]:[CC_DM_source]],MATCH(Tab_Data_Flows[[#This Row],[Name(EN)]],Tab_Def_Flows[Name(EN)],0),17)</f>
        <v>0.48</v>
      </c>
      <c r="AJ59" s="9">
        <f>IF(L59="Yes",AI59*Tab_Data_Flows[[#This Row],[Flow_Py]]*Tab_Data_Flows[[#This Row],[DM_'[%']]],"N.A.")</f>
        <v>206400</v>
      </c>
      <c r="AK59" s="9" t="str">
        <f>Tab_Data_Flows[[#This Row],[UoM_Flow_Py]]</f>
        <v>Mg</v>
      </c>
    </row>
    <row r="60" spans="1:37" x14ac:dyDescent="0.25">
      <c r="A60" s="16">
        <f t="shared" si="0"/>
        <v>59</v>
      </c>
      <c r="B60" s="9" t="str">
        <f>_xlfn.XLOOKUP(C60,Tab_Def_Flows[Name(EN)],Tab_Def_Flows[Flow_ID],,0,)</f>
        <v>F_05_09</v>
      </c>
      <c r="C60" s="11" t="s">
        <v>474</v>
      </c>
      <c r="D60" s="9">
        <f>_xlfn.XLOOKUP(C60,Tab_Def_Flows[Name(EN)],Tab_Def_Flows[Type_Biomass],,0,)</f>
        <v>0</v>
      </c>
      <c r="E60" s="9" t="str">
        <f>_xlfn.XLOOKUP(C60,Tab_Def_Flows[Name(EN)],Tab_Def_Flows[Output_Process],,0,)</f>
        <v>Straw C&amp;D</v>
      </c>
      <c r="F60" s="9" t="str">
        <f>_xlfn.XLOOKUP(C60,Tab_Def_Flows[Name(EN)],Tab_Def_Flows[Process_ID_O],,0,)</f>
        <v>05</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t="s">
        <v>105</v>
      </c>
      <c r="O60" s="48">
        <v>500000</v>
      </c>
      <c r="P60" s="11"/>
      <c r="Q60" s="11"/>
      <c r="R60" s="11"/>
      <c r="S60" s="11"/>
      <c r="T60" s="11"/>
      <c r="U60" s="11"/>
      <c r="V60" s="11"/>
      <c r="W60" s="11"/>
      <c r="X60" s="11" t="s">
        <v>8</v>
      </c>
      <c r="Y60" s="41"/>
      <c r="Z60" s="11"/>
      <c r="AA60" s="35">
        <f>IF(X60="no",O60,O60*Y60)</f>
        <v>500000</v>
      </c>
      <c r="AB60" s="11" t="s">
        <v>276</v>
      </c>
      <c r="AC60" s="190">
        <f>INDEX(Tab_Def_Flows[[Flow_ID]:[CC_DM_source]],MATCH(Tab_Data_Flows[[#This Row],[Name(EN)]],Tab_Def_Flows[Name(EN)],0),13)</f>
        <v>0.14000000000000001</v>
      </c>
      <c r="AD60" s="9">
        <f>IF(J60="Yes",AA60*Tab_Data_Flows[[#This Row],[WC_'[%']]],"N.A.")</f>
        <v>70000</v>
      </c>
      <c r="AE60" s="9" t="str">
        <f>Tab_Data_Flows[[#This Row],[UoM_Flow_Py]]</f>
        <v>Mg</v>
      </c>
      <c r="AF60" s="190">
        <f>INDEX(Tab_Def_Flows[[Flow_ID]:[CC_DM_source]],MATCH(Tab_Data_Flows[[#This Row],[Name(EN)]],Tab_Def_Flows[Name(EN)],0),15)</f>
        <v>0.86</v>
      </c>
      <c r="AG60" s="9">
        <f>IF(K60="Yes",AF60*Tab_Data_Flows[[#This Row],[Flow_Py]],"N.A.")</f>
        <v>430000</v>
      </c>
      <c r="AH60" s="9" t="str">
        <f>Tab_Data_Flows[[#This Row],[UoM_Flow_Py]]</f>
        <v>Mg</v>
      </c>
      <c r="AI60" s="190">
        <f>INDEX(Tab_Def_Flows[[Flow_ID]:[CC_DM_source]],MATCH(Tab_Data_Flows[[#This Row],[Name(EN)]],Tab_Def_Flows[Name(EN)],0),17)</f>
        <v>0.48</v>
      </c>
      <c r="AJ60" s="9">
        <f>IF(L60="Yes",AI60*Tab_Data_Flows[[#This Row],[Flow_Py]]*Tab_Data_Flows[[#This Row],[DM_'[%']]],"N.A.")</f>
        <v>206400</v>
      </c>
      <c r="AK60" s="9" t="str">
        <f>Tab_Data_Flows[[#This Row],[UoM_Flow_Py]]</f>
        <v>Mg</v>
      </c>
    </row>
    <row r="61" spans="1:37" x14ac:dyDescent="0.25">
      <c r="A61" s="16">
        <f t="shared" si="0"/>
        <v>60</v>
      </c>
      <c r="B61" s="9" t="str">
        <f>_xlfn.XLOOKUP(C61,Tab_Def_Flows[Name(EN)],Tab_Def_Flows[Flow_ID],,0,)</f>
        <v>F_05_09</v>
      </c>
      <c r="C61" s="11" t="s">
        <v>474</v>
      </c>
      <c r="D61" s="9">
        <f>_xlfn.XLOOKUP(C61,Tab_Def_Flows[Name(EN)],Tab_Def_Flows[Type_Biomass],,0,)</f>
        <v>0</v>
      </c>
      <c r="E61" s="9" t="str">
        <f>_xlfn.XLOOKUP(C61,Tab_Def_Flows[Name(EN)],Tab_Def_Flows[Output_Process],,0,)</f>
        <v>Straw C&amp;D</v>
      </c>
      <c r="F61" s="9" t="str">
        <f>_xlfn.XLOOKUP(C61,Tab_Def_Flows[Name(EN)],Tab_Def_Flows[Process_ID_O],,0,)</f>
        <v>05</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t="s">
        <v>105</v>
      </c>
      <c r="O61" s="48">
        <v>500000</v>
      </c>
      <c r="P61" s="11"/>
      <c r="Q61" s="11"/>
      <c r="R61" s="11"/>
      <c r="S61" s="11"/>
      <c r="T61" s="11"/>
      <c r="U61" s="11"/>
      <c r="V61" s="11"/>
      <c r="W61" s="11"/>
      <c r="X61" s="11" t="s">
        <v>8</v>
      </c>
      <c r="Y61" s="41"/>
      <c r="Z61" s="11"/>
      <c r="AA61" s="35">
        <f t="shared" si="1"/>
        <v>500000</v>
      </c>
      <c r="AB61" s="11" t="s">
        <v>276</v>
      </c>
      <c r="AC61" s="190">
        <f>INDEX(Tab_Def_Flows[[Flow_ID]:[CC_DM_source]],MATCH(Tab_Data_Flows[[#This Row],[Name(EN)]],Tab_Def_Flows[Name(EN)],0),13)</f>
        <v>0.14000000000000001</v>
      </c>
      <c r="AD61" s="9">
        <f>IF(J61="Yes",AA61*Tab_Data_Flows[[#This Row],[WC_'[%']]],"N.A.")</f>
        <v>70000</v>
      </c>
      <c r="AE61" s="9" t="str">
        <f>Tab_Data_Flows[[#This Row],[UoM_Flow_Py]]</f>
        <v>Mg</v>
      </c>
      <c r="AF61" s="190">
        <f>INDEX(Tab_Def_Flows[[Flow_ID]:[CC_DM_source]],MATCH(Tab_Data_Flows[[#This Row],[Name(EN)]],Tab_Def_Flows[Name(EN)],0),15)</f>
        <v>0.86</v>
      </c>
      <c r="AG61" s="9">
        <f>IF(K61="Yes",AF61*Tab_Data_Flows[[#This Row],[Flow_Py]],"N.A.")</f>
        <v>430000</v>
      </c>
      <c r="AH61" s="9" t="str">
        <f>Tab_Data_Flows[[#This Row],[UoM_Flow_Py]]</f>
        <v>Mg</v>
      </c>
      <c r="AI61" s="190">
        <f>INDEX(Tab_Def_Flows[[Flow_ID]:[CC_DM_source]],MATCH(Tab_Data_Flows[[#This Row],[Name(EN)]],Tab_Def_Flows[Name(EN)],0),17)</f>
        <v>0.48</v>
      </c>
      <c r="AJ61" s="9">
        <f>IF(L61="Yes",AI61*Tab_Data_Flows[[#This Row],[Flow_Py]]*Tab_Data_Flows[[#This Row],[DM_'[%']]],"N.A.")</f>
        <v>206400</v>
      </c>
      <c r="AK61" s="9" t="str">
        <f>Tab_Data_Flows[[#This Row],[UoM_Flow_Py]]</f>
        <v>Mg</v>
      </c>
    </row>
    <row r="62" spans="1:37" x14ac:dyDescent="0.25">
      <c r="A62" s="16">
        <f t="shared" si="0"/>
        <v>61</v>
      </c>
      <c r="B62" s="9" t="str">
        <f>_xlfn.XLOOKUP(C62,Tab_Def_Flows[Name(EN)],Tab_Def_Flows[Flow_ID],,0,)</f>
        <v>F_05_09</v>
      </c>
      <c r="C62" s="11" t="s">
        <v>474</v>
      </c>
      <c r="D62" s="9">
        <f>_xlfn.XLOOKUP(C62,Tab_Def_Flows[Name(EN)],Tab_Def_Flows[Type_Biomass],,0,)</f>
        <v>0</v>
      </c>
      <c r="E62" s="9" t="str">
        <f>_xlfn.XLOOKUP(C62,Tab_Def_Flows[Name(EN)],Tab_Def_Flows[Output_Process],,0,)</f>
        <v>Straw C&amp;D</v>
      </c>
      <c r="F62" s="9" t="str">
        <f>_xlfn.XLOOKUP(C62,Tab_Def_Flows[Name(EN)],Tab_Def_Flows[Process_ID_O],,0,)</f>
        <v>05</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t="s">
        <v>105</v>
      </c>
      <c r="O62" s="48">
        <v>500000</v>
      </c>
      <c r="P62" s="11"/>
      <c r="Q62" s="11"/>
      <c r="R62" s="11"/>
      <c r="S62" s="11"/>
      <c r="T62" s="11"/>
      <c r="U62" s="11"/>
      <c r="V62" s="11"/>
      <c r="W62" s="11"/>
      <c r="X62" s="11" t="s">
        <v>8</v>
      </c>
      <c r="Y62" s="41"/>
      <c r="Z62" s="11"/>
      <c r="AA62" s="35">
        <f t="shared" si="1"/>
        <v>500000</v>
      </c>
      <c r="AB62" s="11" t="s">
        <v>276</v>
      </c>
      <c r="AC62" s="190">
        <f>INDEX(Tab_Def_Flows[[Flow_ID]:[CC_DM_source]],MATCH(Tab_Data_Flows[[#This Row],[Name(EN)]],Tab_Def_Flows[Name(EN)],0),13)</f>
        <v>0.14000000000000001</v>
      </c>
      <c r="AD62" s="9">
        <f>IF(J62="Yes",AA62*Tab_Data_Flows[[#This Row],[WC_'[%']]],"N.A.")</f>
        <v>70000</v>
      </c>
      <c r="AE62" s="9" t="str">
        <f>Tab_Data_Flows[[#This Row],[UoM_Flow_Py]]</f>
        <v>Mg</v>
      </c>
      <c r="AF62" s="190">
        <f>INDEX(Tab_Def_Flows[[Flow_ID]:[CC_DM_source]],MATCH(Tab_Data_Flows[[#This Row],[Name(EN)]],Tab_Def_Flows[Name(EN)],0),15)</f>
        <v>0.86</v>
      </c>
      <c r="AG62" s="9">
        <f>IF(K62="Yes",AF62*Tab_Data_Flows[[#This Row],[Flow_Py]],"N.A.")</f>
        <v>430000</v>
      </c>
      <c r="AH62" s="9" t="str">
        <f>Tab_Data_Flows[[#This Row],[UoM_Flow_Py]]</f>
        <v>Mg</v>
      </c>
      <c r="AI62" s="190">
        <f>INDEX(Tab_Def_Flows[[Flow_ID]:[CC_DM_source]],MATCH(Tab_Data_Flows[[#This Row],[Name(EN)]],Tab_Def_Flows[Name(EN)],0),17)</f>
        <v>0.48</v>
      </c>
      <c r="AJ62" s="9">
        <f>IF(L62="Yes",AI62*Tab_Data_Flows[[#This Row],[Flow_Py]]*Tab_Data_Flows[[#This Row],[DM_'[%']]],"N.A.")</f>
        <v>206400</v>
      </c>
      <c r="AK62" s="9" t="str">
        <f>Tab_Data_Flows[[#This Row],[UoM_Flow_Py]]</f>
        <v>Mg</v>
      </c>
    </row>
    <row r="63" spans="1:37" x14ac:dyDescent="0.25">
      <c r="A63" s="16">
        <f t="shared" si="0"/>
        <v>62</v>
      </c>
      <c r="B63" s="9" t="str">
        <f>_xlfn.XLOOKUP(C63,Tab_Def_Flows[Name(EN)],Tab_Def_Flows[Flow_ID],,0,)</f>
        <v>F_05_09</v>
      </c>
      <c r="C63" s="11" t="s">
        <v>474</v>
      </c>
      <c r="D63" s="9">
        <f>_xlfn.XLOOKUP(C63,Tab_Def_Flows[Name(EN)],Tab_Def_Flows[Type_Biomass],,0,)</f>
        <v>0</v>
      </c>
      <c r="E63" s="9" t="str">
        <f>_xlfn.XLOOKUP(C63,Tab_Def_Flows[Name(EN)],Tab_Def_Flows[Output_Process],,0,)</f>
        <v>Straw C&amp;D</v>
      </c>
      <c r="F63" s="9" t="str">
        <f>_xlfn.XLOOKUP(C63,Tab_Def_Flows[Name(EN)],Tab_Def_Flows[Process_ID_O],,0,)</f>
        <v>05</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2033</v>
      </c>
      <c r="N63" s="11" t="s">
        <v>105</v>
      </c>
      <c r="O63" s="48">
        <v>500000</v>
      </c>
      <c r="P63" s="11"/>
      <c r="Q63" s="11"/>
      <c r="R63" s="11"/>
      <c r="S63" s="11"/>
      <c r="T63" s="11"/>
      <c r="U63" s="11"/>
      <c r="V63" s="11"/>
      <c r="W63" s="11"/>
      <c r="X63" s="11" t="s">
        <v>8</v>
      </c>
      <c r="Y63" s="41"/>
      <c r="Z63" s="11"/>
      <c r="AA63" s="35">
        <f t="shared" si="1"/>
        <v>500000</v>
      </c>
      <c r="AB63" s="11" t="s">
        <v>276</v>
      </c>
      <c r="AC63" s="190">
        <f>INDEX(Tab_Def_Flows[[Flow_ID]:[CC_DM_source]],MATCH(Tab_Data_Flows[[#This Row],[Name(EN)]],Tab_Def_Flows[Name(EN)],0),13)</f>
        <v>0.14000000000000001</v>
      </c>
      <c r="AD63" s="9">
        <f>IF(J63="Yes",AA63*Tab_Data_Flows[[#This Row],[WC_'[%']]],"N.A.")</f>
        <v>70000</v>
      </c>
      <c r="AE63" s="9" t="str">
        <f>Tab_Data_Flows[[#This Row],[UoM_Flow_Py]]</f>
        <v>Mg</v>
      </c>
      <c r="AF63" s="190">
        <f>INDEX(Tab_Def_Flows[[Flow_ID]:[CC_DM_source]],MATCH(Tab_Data_Flows[[#This Row],[Name(EN)]],Tab_Def_Flows[Name(EN)],0),15)</f>
        <v>0.86</v>
      </c>
      <c r="AG63" s="9">
        <f>IF(K63="Yes",AF63*Tab_Data_Flows[[#This Row],[Flow_Py]],"N.A.")</f>
        <v>430000</v>
      </c>
      <c r="AH63" s="9" t="str">
        <f>Tab_Data_Flows[[#This Row],[UoM_Flow_Py]]</f>
        <v>Mg</v>
      </c>
      <c r="AI63" s="190">
        <f>INDEX(Tab_Def_Flows[[Flow_ID]:[CC_DM_source]],MATCH(Tab_Data_Flows[[#This Row],[Name(EN)]],Tab_Def_Flows[Name(EN)],0),17)</f>
        <v>0.48</v>
      </c>
      <c r="AJ63" s="9">
        <f>IF(L63="Yes",AI63*Tab_Data_Flows[[#This Row],[Flow_Py]]*Tab_Data_Flows[[#This Row],[DM_'[%']]],"N.A.")</f>
        <v>206400</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8" sqref="D1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topLeftCell="G1" zoomScale="85" zoomScaleNormal="85" workbookViewId="0">
      <selection activeCell="J32" sqref="J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681</v>
      </c>
      <c r="G2" s="9" t="str">
        <f>_xlfn.XLOOKUP($F2,Table32[Color_Name],Table32[Hex_Code],,0,)</f>
        <v>#6B8E23</v>
      </c>
      <c r="H2">
        <v>0.1</v>
      </c>
      <c r="I2">
        <v>0.8</v>
      </c>
      <c r="J2">
        <v>0.2</v>
      </c>
      <c r="K2">
        <v>0.8</v>
      </c>
      <c r="L2">
        <v>0.1</v>
      </c>
      <c r="M2">
        <v>0.8</v>
      </c>
      <c r="N2">
        <v>0.2</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723</v>
      </c>
      <c r="G3" s="9" t="str">
        <f>_xlfn.XLOOKUP($F3,Table32[Color_Name],Table32[Hex_Code],,0,)</f>
        <v>#FF6347</v>
      </c>
      <c r="H3">
        <v>0.1</v>
      </c>
      <c r="I3">
        <v>0.2</v>
      </c>
      <c r="J3">
        <v>0.3</v>
      </c>
      <c r="K3">
        <v>0.2</v>
      </c>
      <c r="L3">
        <v>0.1</v>
      </c>
      <c r="M3">
        <v>0.2</v>
      </c>
      <c r="N3">
        <v>0.3</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698</v>
      </c>
      <c r="G4" s="9" t="str">
        <f>_xlfn.XLOOKUP($F4,Table32[Color_Name],Table32[Hex_Code],,0,)</f>
        <v>#0066CC</v>
      </c>
      <c r="H4">
        <v>0.2</v>
      </c>
      <c r="I4">
        <v>0.5</v>
      </c>
      <c r="J4">
        <v>0.3</v>
      </c>
      <c r="K4">
        <v>0.5</v>
      </c>
      <c r="L4">
        <v>0.2</v>
      </c>
      <c r="M4">
        <v>0.5</v>
      </c>
      <c r="N4">
        <v>0.3</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681</v>
      </c>
      <c r="G5" s="9" t="str">
        <f>_xlfn.XLOOKUP($F5,Table32[Color_Name],Table32[Hex_Code],,0,)</f>
        <v>#6B8E23</v>
      </c>
      <c r="H5">
        <v>0.3</v>
      </c>
      <c r="I5">
        <v>0.5</v>
      </c>
      <c r="J5">
        <v>0.4</v>
      </c>
      <c r="K5">
        <v>0.5</v>
      </c>
      <c r="L5">
        <v>0.3</v>
      </c>
      <c r="M5">
        <v>0.5</v>
      </c>
      <c r="N5">
        <v>0.4</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681</v>
      </c>
      <c r="G6" s="9" t="str">
        <f>_xlfn.XLOOKUP($F6,Table32[Color_Name],Table32[Hex_Code],,0,)</f>
        <v>#6B8E23</v>
      </c>
      <c r="H6">
        <v>0.4</v>
      </c>
      <c r="I6">
        <v>0.2</v>
      </c>
      <c r="J6">
        <v>0.5</v>
      </c>
      <c r="K6">
        <v>0.2</v>
      </c>
      <c r="L6">
        <v>0.4</v>
      </c>
      <c r="M6">
        <v>0.2</v>
      </c>
      <c r="N6">
        <v>0.5</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689</v>
      </c>
      <c r="G7" s="9" t="str">
        <f>_xlfn.XLOOKUP($F7,Table32[Color_Name],Table32[Hex_Code],,0,)</f>
        <v>#8B4513</v>
      </c>
      <c r="H7">
        <v>0.4</v>
      </c>
      <c r="I7">
        <v>0.6</v>
      </c>
      <c r="J7">
        <v>0.5</v>
      </c>
      <c r="K7">
        <v>0.6</v>
      </c>
      <c r="L7">
        <v>0.4</v>
      </c>
      <c r="M7">
        <v>0.6</v>
      </c>
      <c r="N7">
        <v>0.5</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681</v>
      </c>
      <c r="G8" s="9" t="str">
        <f>_xlfn.XLOOKUP($F8,Table32[Color_Name],Table32[Hex_Code],,0,)</f>
        <v>#6B8E23</v>
      </c>
      <c r="H8">
        <v>0.6</v>
      </c>
      <c r="I8">
        <v>0.6</v>
      </c>
      <c r="J8">
        <v>0.7</v>
      </c>
      <c r="K8">
        <v>0.6</v>
      </c>
      <c r="L8">
        <v>0.6</v>
      </c>
      <c r="M8">
        <v>0.6</v>
      </c>
      <c r="N8">
        <v>0.7</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761</v>
      </c>
      <c r="G9" s="9" t="str">
        <f>_xlfn.XLOOKUP($F9,Table32[Color_Name],Table32[Hex_Code],,0,)</f>
        <v>#C0C0C0</v>
      </c>
      <c r="H9">
        <v>0.5</v>
      </c>
      <c r="I9">
        <v>0.2</v>
      </c>
      <c r="J9">
        <v>0.6</v>
      </c>
      <c r="K9">
        <v>0.2</v>
      </c>
      <c r="L9">
        <v>0.5</v>
      </c>
      <c r="M9">
        <v>0.2</v>
      </c>
      <c r="N9">
        <v>0.6</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681</v>
      </c>
      <c r="G10" s="9" t="str">
        <f>_xlfn.XLOOKUP($F10,Table32[Color_Name],Table32[Hex_Code],,0,)</f>
        <v>#6B8E23</v>
      </c>
      <c r="H10">
        <v>0.9</v>
      </c>
      <c r="I10">
        <v>0.6</v>
      </c>
      <c r="J10">
        <v>1</v>
      </c>
      <c r="K10">
        <v>0.6</v>
      </c>
      <c r="L10">
        <v>0.9</v>
      </c>
      <c r="M10">
        <v>0.6</v>
      </c>
      <c r="N10">
        <v>1</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706</v>
      </c>
      <c r="G11" s="9" t="str">
        <f>_xlfn.XLOOKUP($F11,Table32[Color_Name],Table32[Hex_Code],,0,)</f>
        <v>#191970</v>
      </c>
      <c r="H11">
        <v>0.6</v>
      </c>
      <c r="I11">
        <v>0.4</v>
      </c>
      <c r="J11">
        <v>0.7</v>
      </c>
      <c r="K11">
        <v>0.4</v>
      </c>
      <c r="L11">
        <v>0.6</v>
      </c>
      <c r="M11">
        <v>0.4</v>
      </c>
      <c r="N11">
        <v>0.7</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681</v>
      </c>
      <c r="G12" s="9" t="str">
        <f>_xlfn.XLOOKUP($F12,Table32[Color_Name],Table32[Hex_Code],,0,)</f>
        <v>#6B8E23</v>
      </c>
      <c r="H12">
        <v>0.9</v>
      </c>
      <c r="I12">
        <v>0.4</v>
      </c>
      <c r="J12">
        <v>1</v>
      </c>
      <c r="K12">
        <v>0.4</v>
      </c>
      <c r="L12">
        <v>0.9</v>
      </c>
      <c r="M12">
        <v>0.4</v>
      </c>
      <c r="N12">
        <v>1</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E64" sqref="E64"/>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681</v>
      </c>
      <c r="E2" s="9" t="str">
        <f>_xlfn.XLOOKUP($D2,Table32[Color_Name],Table32[Hex_Code],,0,)</f>
        <v>#6B8E23</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689</v>
      </c>
      <c r="E3" s="9" t="str">
        <f>_xlfn.XLOOKUP($D3,Table32[Color_Name],Table32[Hex_Code],,0,)</f>
        <v>#8B4513</v>
      </c>
      <c r="F3" s="37"/>
      <c r="J3" t="s">
        <v>768</v>
      </c>
    </row>
    <row r="4" spans="1:10" x14ac:dyDescent="0.25">
      <c r="A4" s="16">
        <f t="shared" si="0"/>
        <v>3</v>
      </c>
      <c r="B4" s="9" t="str">
        <f>_xlfn.XLOOKUP(C4,Tab_Def_Flows[Name(EN)],Tab_Def_Flows[Flow_ID],,0,)</f>
        <v>F_02_03</v>
      </c>
      <c r="C4" s="9" t="str">
        <f>Tab_Def_Flows[[#This Row],[Name(EN)]]</f>
        <v>Wheat Plant</v>
      </c>
      <c r="D4" s="189" t="s">
        <v>689</v>
      </c>
      <c r="E4" s="9" t="str">
        <f>_xlfn.XLOOKUP($D4,Table32[Color_Name],Table32[Hex_Code],,0,)</f>
        <v>#8B4513</v>
      </c>
      <c r="F4" s="37"/>
      <c r="J4" t="s">
        <v>769</v>
      </c>
    </row>
    <row r="5" spans="1:10" x14ac:dyDescent="0.25">
      <c r="A5" s="16">
        <f t="shared" si="0"/>
        <v>4</v>
      </c>
      <c r="B5" s="9" t="str">
        <f>_xlfn.XLOOKUP(C5,Tab_Def_Flows[Name(EN)],Tab_Def_Flows[Flow_ID],,0,)</f>
        <v>F_03_04</v>
      </c>
      <c r="C5" s="9" t="str">
        <f>Tab_Def_Flows[[#This Row],[Name(EN)]]</f>
        <v>Grain</v>
      </c>
      <c r="D5" s="189" t="s">
        <v>702</v>
      </c>
      <c r="E5" s="9" t="str">
        <f>_xlfn.XLOOKUP($D5,Table32[Color_Name],Table32[Hex_Code],,0,)</f>
        <v>#00CED1</v>
      </c>
      <c r="F5" s="37"/>
      <c r="J5" t="s">
        <v>770</v>
      </c>
    </row>
    <row r="6" spans="1:10" x14ac:dyDescent="0.25">
      <c r="A6" s="16">
        <f t="shared" si="0"/>
        <v>5</v>
      </c>
      <c r="B6" s="9" t="str">
        <f>_xlfn.XLOOKUP(C6,Tab_Def_Flows[Name(EN)],Tab_Def_Flows[Flow_ID],,0,)</f>
        <v>F_03_05</v>
      </c>
      <c r="C6" s="9" t="str">
        <f>Tab_Def_Flows[[#This Row],[Name(EN)]]</f>
        <v>Straw</v>
      </c>
      <c r="D6" s="189" t="s">
        <v>702</v>
      </c>
      <c r="E6" s="9" t="str">
        <f>_xlfn.XLOOKUP($D6,Table32[Color_Name],Table32[Hex_Code],,0,)</f>
        <v>#00CED1</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710</v>
      </c>
      <c r="E8" s="9" t="str">
        <f>_xlfn.XLOOKUP($D8,Table32[Color_Name],Table32[Hex_Code],,0,)</f>
        <v>#87CEEB</v>
      </c>
      <c r="F8" s="37"/>
    </row>
    <row r="9" spans="1:10" x14ac:dyDescent="0.25">
      <c r="A9" s="16">
        <f t="shared" si="0"/>
        <v>8</v>
      </c>
      <c r="B9" s="9" t="str">
        <f>_xlfn.XLOOKUP(C9,Tab_Def_Flows[Name(EN)],Tab_Def_Flows[Flow_ID],,0,)</f>
        <v>F_05_06</v>
      </c>
      <c r="C9" s="9" t="str">
        <f>Tab_Def_Flows[[#This Row],[Name(EN)]]</f>
        <v>Straw_incorperation</v>
      </c>
      <c r="D9" s="189" t="s">
        <v>710</v>
      </c>
      <c r="E9" s="9" t="str">
        <f>_xlfn.XLOOKUP($D9,Table32[Color_Name],Table32[Hex_Code],,0,)</f>
        <v>#87CEEB</v>
      </c>
      <c r="F9" s="37"/>
    </row>
    <row r="10" spans="1:10" x14ac:dyDescent="0.25">
      <c r="A10" s="16">
        <f t="shared" si="0"/>
        <v>9</v>
      </c>
      <c r="B10" s="9" t="str">
        <f>_xlfn.XLOOKUP(C10,Tab_Def_Flows[Name(EN)],Tab_Def_Flows[Flow_ID],,0,)</f>
        <v>F_06_08</v>
      </c>
      <c r="C10" s="9" t="str">
        <f>Tab_Def_Flows[[#This Row],[Name(EN)]]</f>
        <v>Straw_lithosphere</v>
      </c>
      <c r="D10" s="189" t="s">
        <v>710</v>
      </c>
      <c r="E10" s="9" t="str">
        <f>_xlfn.XLOOKUP($D10,Table32[Color_Name],Table32[Hex_Code],,0,)</f>
        <v>#87CEEB</v>
      </c>
      <c r="F10" s="37"/>
    </row>
    <row r="11" spans="1:10" x14ac:dyDescent="0.25">
      <c r="A11" s="16">
        <f t="shared" si="0"/>
        <v>10</v>
      </c>
      <c r="B11" s="9" t="str">
        <f>_xlfn.XLOOKUP(C11,Tab_Def_Flows[Name(EN)],Tab_Def_Flows[Flow_ID],,0,)</f>
        <v>F_05_07</v>
      </c>
      <c r="C11" s="9" t="str">
        <f>Tab_Def_Flows[[#This Row],[Name(EN)]]</f>
        <v>Straw_animal_bedding</v>
      </c>
      <c r="D11" s="189" t="s">
        <v>710</v>
      </c>
      <c r="E11" s="9" t="str">
        <f>_xlfn.XLOOKUP($D11,Table32[Color_Name],Table32[Hex_Code],,0,)</f>
        <v>#87CEEB</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710</v>
      </c>
      <c r="E13" s="9" t="str">
        <f>_xlfn.XLOOKUP($D13,Table32[Color_Name],Table32[Hex_Code],,0,)</f>
        <v>#87CEEB</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710</v>
      </c>
      <c r="E15" s="9" t="str">
        <f>_xlfn.XLOOKUP($D15,Table32[Color_Name],Table32[Hex_Code],,0,)</f>
        <v>#87CEEB</v>
      </c>
      <c r="F15" s="37"/>
    </row>
    <row r="16" spans="1:10" x14ac:dyDescent="0.25">
      <c r="A16" s="16">
        <f t="shared" si="0"/>
        <v>15</v>
      </c>
      <c r="B16" s="9" t="str">
        <f>_xlfn.XLOOKUP(C16,Tab_Def_Flows[Name(EN)],Tab_Def_Flows[Flow_ID],,0,)</f>
        <v>F_05_09</v>
      </c>
      <c r="C16" s="9" t="str">
        <f>Tab_Def_Flows[[#This Row],[Name(EN)]]</f>
        <v>Straw_Compost</v>
      </c>
      <c r="D16" s="189" t="s">
        <v>710</v>
      </c>
      <c r="E16" s="9" t="str">
        <f>_xlfn.XLOOKUP($D16,Table32[Color_Name],Table32[Hex_Code],,0,)</f>
        <v>#87CEEB</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710</v>
      </c>
      <c r="E18" s="9" t="str">
        <f>_xlfn.XLOOKUP($D18,Table32[Color_Name],Table32[Hex_Code],,0,)</f>
        <v>#87CEEB</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710</v>
      </c>
      <c r="E20" s="9" t="str">
        <f>_xlfn.XLOOKUP($D20,Table32[Color_Name],Table32[Hex_Code],,0,)</f>
        <v>#87CEEB</v>
      </c>
      <c r="F20" s="37"/>
    </row>
    <row r="21" spans="1:6" x14ac:dyDescent="0.25">
      <c r="A21" s="16">
        <f t="shared" si="0"/>
        <v>20</v>
      </c>
      <c r="B21" s="9" t="str">
        <f>_xlfn.XLOOKUP(C21,Tab_Def_Flows[Name(EN)],Tab_Def_Flows[Flow_ID],,0,)</f>
        <v>F_09_10</v>
      </c>
      <c r="C21" s="9" t="str">
        <f>Tab_Def_Flows[[#This Row],[Name(EN)]]</f>
        <v>Compost_lithosphere</v>
      </c>
      <c r="D21" s="189" t="s">
        <v>710</v>
      </c>
      <c r="E21" s="9" t="str">
        <f>_xlfn.XLOOKUP($D21,Table32[Color_Name],Table32[Hex_Code],,0,)</f>
        <v>#87CEEB</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tabSelected="1" zoomScale="85" zoomScaleNormal="85" workbookViewId="0">
      <selection activeCell="C27" sqref="C27"/>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v>0.1</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v>1</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2025-09-12T13:01:26Z</dcterms:modified>
</cp:coreProperties>
</file>