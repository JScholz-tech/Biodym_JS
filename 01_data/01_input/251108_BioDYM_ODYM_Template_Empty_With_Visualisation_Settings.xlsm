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8_{C576F4BD-6FD7-4CD8-87B6-281167F13852}" xr6:coauthVersionLast="47" xr6:coauthVersionMax="47" xr10:uidLastSave="{00000000-0000-0000-0000-000000000000}"/>
  <bookViews>
    <workbookView xWindow="-120" yWindow="-120" windowWidth="38640" windowHeight="21120" tabRatio="840" firstSheet="2" activeTab="1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3" l="1"/>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3" i="33"/>
  <c r="J64" i="33"/>
  <c r="J65" i="33"/>
  <c r="J66" i="33"/>
  <c r="J67" i="33"/>
  <c r="J68" i="33"/>
  <c r="J69" i="33"/>
  <c r="J70" i="33"/>
  <c r="J71" i="33"/>
  <c r="J72" i="33"/>
  <c r="J73" i="33"/>
  <c r="J74" i="33"/>
  <c r="J75" i="33"/>
  <c r="J76" i="33"/>
  <c r="J77" i="33"/>
  <c r="J78" i="33"/>
  <c r="J79" i="33"/>
  <c r="J80" i="33"/>
  <c r="J81" i="33"/>
  <c r="J82" i="33"/>
  <c r="J83" i="33"/>
  <c r="J84" i="33"/>
  <c r="J85" i="33"/>
  <c r="J86" i="33"/>
  <c r="J87" i="33"/>
  <c r="J88" i="33"/>
  <c r="J89" i="33"/>
  <c r="J90" i="33"/>
  <c r="J91" i="33"/>
  <c r="J92" i="33"/>
  <c r="J93" i="33"/>
  <c r="J94" i="33"/>
  <c r="J95" i="33"/>
  <c r="J96" i="33"/>
  <c r="J97" i="33"/>
  <c r="J98" i="33"/>
  <c r="J99" i="33"/>
  <c r="J100" i="33"/>
  <c r="J101" i="33"/>
  <c r="J102" i="33"/>
  <c r="J103" i="33"/>
  <c r="J104" i="33"/>
  <c r="J105" i="33"/>
  <c r="J106" i="33"/>
  <c r="J107" i="33"/>
  <c r="J108" i="33"/>
  <c r="J109" i="33"/>
  <c r="J110" i="33"/>
  <c r="J111" i="33"/>
  <c r="J112" i="33"/>
  <c r="J113" i="33"/>
  <c r="J114" i="33"/>
  <c r="J115" i="33"/>
  <c r="J116" i="33"/>
  <c r="J117" i="33"/>
  <c r="J118" i="33"/>
  <c r="J119" i="33"/>
  <c r="J120" i="33"/>
  <c r="J121" i="33"/>
  <c r="J122" i="33"/>
  <c r="J123" i="33"/>
  <c r="J124" i="33"/>
  <c r="J125" i="33"/>
  <c r="J126" i="33"/>
  <c r="J127" i="33"/>
  <c r="J128" i="33"/>
  <c r="J129" i="33"/>
  <c r="J130" i="33"/>
  <c r="J131" i="33"/>
  <c r="J132" i="33"/>
  <c r="J133" i="33"/>
  <c r="J134" i="33"/>
  <c r="J135" i="33"/>
  <c r="J136" i="33"/>
  <c r="J137" i="33"/>
  <c r="J138" i="33"/>
  <c r="J139" i="33"/>
  <c r="J140" i="33"/>
  <c r="J141" i="33"/>
  <c r="J142" i="33"/>
  <c r="J143" i="33"/>
  <c r="J144" i="33"/>
  <c r="J145" i="33"/>
  <c r="J146" i="33"/>
  <c r="J147" i="33"/>
  <c r="J148" i="33"/>
  <c r="J149" i="33"/>
  <c r="J2" i="33"/>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AK56" i="2" s="1"/>
  <c r="I57" i="2"/>
  <c r="I58" i="2"/>
  <c r="I59" i="2"/>
  <c r="I60" i="2"/>
  <c r="I61" i="2"/>
  <c r="I62" i="2"/>
  <c r="I63" i="2"/>
  <c r="AK63" i="2" s="1"/>
  <c r="I64" i="2"/>
  <c r="AK64" i="2" s="1"/>
  <c r="I65" i="2"/>
  <c r="AK65" i="2" s="1"/>
  <c r="I66" i="2"/>
  <c r="AK66" i="2" s="1"/>
  <c r="I67" i="2"/>
  <c r="AK67" i="2" s="1"/>
  <c r="I68" i="2"/>
  <c r="AK68" i="2" s="1"/>
  <c r="I69" i="2"/>
  <c r="I70" i="2"/>
  <c r="I71" i="2"/>
  <c r="I72" i="2"/>
  <c r="I73" i="2"/>
  <c r="I74" i="2"/>
  <c r="I75" i="2"/>
  <c r="AK75" i="2" s="1"/>
  <c r="I76" i="2"/>
  <c r="AK76" i="2" s="1"/>
  <c r="I77" i="2"/>
  <c r="AK77" i="2" s="1"/>
  <c r="I78" i="2"/>
  <c r="AK78" i="2" s="1"/>
  <c r="I79" i="2"/>
  <c r="AK79" i="2" s="1"/>
  <c r="I80" i="2"/>
  <c r="AK80" i="2" s="1"/>
  <c r="I81" i="2"/>
  <c r="I82" i="2"/>
  <c r="I83" i="2"/>
  <c r="I84" i="2"/>
  <c r="I85" i="2"/>
  <c r="I86" i="2"/>
  <c r="I87" i="2"/>
  <c r="AK87" i="2" s="1"/>
  <c r="I88" i="2"/>
  <c r="AK88" i="2" s="1"/>
  <c r="I89" i="2"/>
  <c r="AK89" i="2" s="1"/>
  <c r="I90" i="2"/>
  <c r="AK90" i="2" s="1"/>
  <c r="I91" i="2"/>
  <c r="AK91" i="2" s="1"/>
  <c r="I92" i="2"/>
  <c r="AK92" i="2" s="1"/>
  <c r="I93" i="2"/>
  <c r="I94" i="2"/>
  <c r="I95" i="2"/>
  <c r="I96" i="2"/>
  <c r="I97" i="2"/>
  <c r="I98" i="2"/>
  <c r="I99" i="2"/>
  <c r="AK99" i="2" s="1"/>
  <c r="I100" i="2"/>
  <c r="AK100" i="2" s="1"/>
  <c r="I101" i="2"/>
  <c r="AK101" i="2" s="1"/>
  <c r="I102" i="2"/>
  <c r="AK102" i="2" s="1"/>
  <c r="I103" i="2"/>
  <c r="AK103" i="2" s="1"/>
  <c r="I104" i="2"/>
  <c r="AK104" i="2" s="1"/>
  <c r="I105" i="2"/>
  <c r="I106" i="2"/>
  <c r="I107" i="2"/>
  <c r="I108" i="2"/>
  <c r="I109" i="2"/>
  <c r="I110" i="2"/>
  <c r="I111" i="2"/>
  <c r="AK111" i="2" s="1"/>
  <c r="I112" i="2"/>
  <c r="AK112" i="2" s="1"/>
  <c r="I113" i="2"/>
  <c r="AK113" i="2" s="1"/>
  <c r="I114" i="2"/>
  <c r="AK114" i="2" s="1"/>
  <c r="I115" i="2"/>
  <c r="AK115" i="2" s="1"/>
  <c r="I116" i="2"/>
  <c r="AK116" i="2" s="1"/>
  <c r="I117" i="2"/>
  <c r="I118" i="2"/>
  <c r="I119" i="2"/>
  <c r="I120" i="2"/>
  <c r="I121" i="2"/>
  <c r="I122" i="2"/>
  <c r="I123" i="2"/>
  <c r="AK123" i="2" s="1"/>
  <c r="I124" i="2"/>
  <c r="AK124" i="2" s="1"/>
  <c r="I125" i="2"/>
  <c r="AK125" i="2" s="1"/>
  <c r="I126" i="2"/>
  <c r="AK126" i="2" s="1"/>
  <c r="I127" i="2"/>
  <c r="AK127" i="2" s="1"/>
  <c r="I128" i="2"/>
  <c r="AK128" i="2" s="1"/>
  <c r="I129" i="2"/>
  <c r="I130" i="2"/>
  <c r="I131" i="2"/>
  <c r="I132" i="2"/>
  <c r="I133" i="2"/>
  <c r="I134" i="2"/>
  <c r="I135" i="2"/>
  <c r="AK135" i="2" s="1"/>
  <c r="I136" i="2"/>
  <c r="AK136" i="2" s="1"/>
  <c r="I137" i="2"/>
  <c r="AK137" i="2" s="1"/>
  <c r="I138" i="2"/>
  <c r="AK138" i="2" s="1"/>
  <c r="I139" i="2"/>
  <c r="AK139" i="2" s="1"/>
  <c r="I140" i="2"/>
  <c r="AK140" i="2" s="1"/>
  <c r="I141" i="2"/>
  <c r="I142" i="2"/>
  <c r="I143" i="2"/>
  <c r="I144" i="2"/>
  <c r="I145" i="2"/>
  <c r="I146" i="2"/>
  <c r="I147" i="2"/>
  <c r="AK147" i="2" s="1"/>
  <c r="I148" i="2"/>
  <c r="AK148" i="2" s="1"/>
  <c r="I149" i="2"/>
  <c r="AK149" i="2" s="1"/>
  <c r="I150" i="2"/>
  <c r="AK150" i="2" s="1"/>
  <c r="I151" i="2"/>
  <c r="AK151" i="2" s="1"/>
  <c r="I152" i="2"/>
  <c r="AK152" i="2" s="1"/>
  <c r="I153" i="2"/>
  <c r="I154" i="2"/>
  <c r="I155" i="2"/>
  <c r="I156" i="2"/>
  <c r="I157" i="2"/>
  <c r="I158" i="2"/>
  <c r="I159" i="2"/>
  <c r="AK159" i="2" s="1"/>
  <c r="I160" i="2"/>
  <c r="AK160" i="2" s="1"/>
  <c r="I161" i="2"/>
  <c r="AK161" i="2" s="1"/>
  <c r="I162" i="2"/>
  <c r="AK162" i="2" s="1"/>
  <c r="I163" i="2"/>
  <c r="AK163" i="2" s="1"/>
  <c r="I164" i="2"/>
  <c r="AK164" i="2" s="1"/>
  <c r="I165" i="2"/>
  <c r="I166" i="2"/>
  <c r="I167" i="2"/>
  <c r="I168" i="2"/>
  <c r="I169" i="2"/>
  <c r="I170" i="2"/>
  <c r="I171" i="2"/>
  <c r="AK171" i="2" s="1"/>
  <c r="I172" i="2"/>
  <c r="AK172" i="2" s="1"/>
  <c r="I173" i="2"/>
  <c r="AK173" i="2" s="1"/>
  <c r="I174" i="2"/>
  <c r="AK174" i="2" s="1"/>
  <c r="I175" i="2"/>
  <c r="AK175" i="2" s="1"/>
  <c r="I176" i="2"/>
  <c r="AK176" i="2" s="1"/>
  <c r="I177" i="2"/>
  <c r="I178" i="2"/>
  <c r="I179" i="2"/>
  <c r="I180" i="2"/>
  <c r="I181" i="2"/>
  <c r="I182" i="2"/>
  <c r="I183" i="2"/>
  <c r="AK183" i="2" s="1"/>
  <c r="I184" i="2"/>
  <c r="AK184" i="2" s="1"/>
  <c r="I185" i="2"/>
  <c r="AK185" i="2" s="1"/>
  <c r="I186" i="2"/>
  <c r="AK186" i="2" s="1"/>
  <c r="I187" i="2"/>
  <c r="AK187" i="2" s="1"/>
  <c r="I188" i="2"/>
  <c r="AK188" i="2" s="1"/>
  <c r="I189" i="2"/>
  <c r="I190" i="2"/>
  <c r="I191" i="2"/>
  <c r="I192" i="2"/>
  <c r="I193" i="2"/>
  <c r="I194" i="2"/>
  <c r="I195" i="2"/>
  <c r="AK195" i="2" s="1"/>
  <c r="I196" i="2"/>
  <c r="AK196" i="2" s="1"/>
  <c r="I197" i="2"/>
  <c r="AK197" i="2" s="1"/>
  <c r="I198" i="2"/>
  <c r="AK198" i="2" s="1"/>
  <c r="I199" i="2"/>
  <c r="AK199" i="2" s="1"/>
  <c r="I200" i="2"/>
  <c r="AK200" i="2" s="1"/>
  <c r="I201" i="2"/>
  <c r="I202" i="2"/>
  <c r="I203" i="2"/>
  <c r="I204" i="2"/>
  <c r="I205" i="2"/>
  <c r="I206" i="2"/>
  <c r="I207" i="2"/>
  <c r="AK207" i="2" s="1"/>
  <c r="I208" i="2"/>
  <c r="AK208" i="2" s="1"/>
  <c r="I209" i="2"/>
  <c r="AK209" i="2" s="1"/>
  <c r="I210" i="2"/>
  <c r="AK210" i="2" s="1"/>
  <c r="I211" i="2"/>
  <c r="AK211" i="2" s="1"/>
  <c r="I212" i="2"/>
  <c r="AK212" i="2" s="1"/>
  <c r="I213" i="2"/>
  <c r="I214" i="2"/>
  <c r="I215" i="2"/>
  <c r="I216" i="2"/>
  <c r="I217" i="2"/>
  <c r="I218" i="2"/>
  <c r="I219" i="2"/>
  <c r="AK219" i="2" s="1"/>
  <c r="I220" i="2"/>
  <c r="AK220" i="2" s="1"/>
  <c r="I221" i="2"/>
  <c r="AK221" i="2" s="1"/>
  <c r="I222" i="2"/>
  <c r="AK222" i="2" s="1"/>
  <c r="I223" i="2"/>
  <c r="AK223" i="2" s="1"/>
  <c r="I224" i="2"/>
  <c r="AK224" i="2" s="1"/>
  <c r="I225" i="2"/>
  <c r="I226" i="2"/>
  <c r="I227" i="2"/>
  <c r="I228" i="2"/>
  <c r="I229" i="2"/>
  <c r="I230" i="2"/>
  <c r="I231" i="2"/>
  <c r="AK231" i="2" s="1"/>
  <c r="I232" i="2"/>
  <c r="AK232" i="2" s="1"/>
  <c r="I233" i="2"/>
  <c r="AK233" i="2" s="1"/>
  <c r="I234" i="2"/>
  <c r="AK234" i="2" s="1"/>
  <c r="I235" i="2"/>
  <c r="AK235" i="2" s="1"/>
  <c r="I236" i="2"/>
  <c r="AK236" i="2" s="1"/>
  <c r="I237" i="2"/>
  <c r="I238" i="2"/>
  <c r="I239" i="2"/>
  <c r="I240" i="2"/>
  <c r="I241" i="2"/>
  <c r="I242" i="2"/>
  <c r="I243" i="2"/>
  <c r="AK243" i="2" s="1"/>
  <c r="I244" i="2"/>
  <c r="AK244" i="2" s="1"/>
  <c r="I245" i="2"/>
  <c r="AK245" i="2" s="1"/>
  <c r="I246" i="2"/>
  <c r="AK246" i="2" s="1"/>
  <c r="I247" i="2"/>
  <c r="AK247" i="2" s="1"/>
  <c r="I248" i="2"/>
  <c r="AK248" i="2" s="1"/>
  <c r="I249" i="2"/>
  <c r="I250" i="2"/>
  <c r="I251" i="2"/>
  <c r="I252" i="2"/>
  <c r="I253" i="2"/>
  <c r="I254" i="2"/>
  <c r="I255" i="2"/>
  <c r="AK255" i="2" s="1"/>
  <c r="I256" i="2"/>
  <c r="AK256" i="2" s="1"/>
  <c r="I257" i="2"/>
  <c r="I258" i="2"/>
  <c r="AK258" i="2" s="1"/>
  <c r="I259" i="2"/>
  <c r="AK259" i="2" s="1"/>
  <c r="I260" i="2"/>
  <c r="AK260" i="2" s="1"/>
  <c r="I261" i="2"/>
  <c r="I262" i="2"/>
  <c r="I263" i="2"/>
  <c r="I264" i="2"/>
  <c r="I265" i="2"/>
  <c r="I266" i="2"/>
  <c r="I267" i="2"/>
  <c r="AK267" i="2" s="1"/>
  <c r="I268" i="2"/>
  <c r="AK268" i="2" s="1"/>
  <c r="I269" i="2"/>
  <c r="AK269" i="2" s="1"/>
  <c r="I270" i="2"/>
  <c r="AK270" i="2" s="1"/>
  <c r="I271" i="2"/>
  <c r="AK271" i="2" s="1"/>
  <c r="I272" i="2"/>
  <c r="AK272" i="2" s="1"/>
  <c r="I273" i="2"/>
  <c r="I274" i="2"/>
  <c r="I275" i="2"/>
  <c r="I276" i="2"/>
  <c r="I277" i="2"/>
  <c r="I278" i="2"/>
  <c r="I279" i="2"/>
  <c r="AK279" i="2" s="1"/>
  <c r="I280" i="2"/>
  <c r="AK280" i="2" s="1"/>
  <c r="I281" i="2"/>
  <c r="I282" i="2"/>
  <c r="AK282" i="2" s="1"/>
  <c r="I283" i="2"/>
  <c r="AK283" i="2" s="1"/>
  <c r="I284" i="2"/>
  <c r="AK284" i="2" s="1"/>
  <c r="I285" i="2"/>
  <c r="I286" i="2"/>
  <c r="I287" i="2"/>
  <c r="I288" i="2"/>
  <c r="I289" i="2"/>
  <c r="I290" i="2"/>
  <c r="I291" i="2"/>
  <c r="AK291" i="2" s="1"/>
  <c r="I292" i="2"/>
  <c r="AK292" i="2" s="1"/>
  <c r="I293" i="2"/>
  <c r="I294" i="2"/>
  <c r="AK294" i="2" s="1"/>
  <c r="I295" i="2"/>
  <c r="AK295" i="2" s="1"/>
  <c r="I296" i="2"/>
  <c r="AK296" i="2" s="1"/>
  <c r="I297" i="2"/>
  <c r="AK297" i="2" s="1"/>
  <c r="I298" i="2"/>
  <c r="I299" i="2"/>
  <c r="I300" i="2"/>
  <c r="I301" i="2"/>
  <c r="I302" i="2"/>
  <c r="I303" i="2"/>
  <c r="AK303" i="2" s="1"/>
  <c r="I304" i="2"/>
  <c r="AK304" i="2" s="1"/>
  <c r="I305" i="2"/>
  <c r="I306" i="2"/>
  <c r="AK306" i="2" s="1"/>
  <c r="I307" i="2"/>
  <c r="AK307" i="2" s="1"/>
  <c r="I308" i="2"/>
  <c r="AK308" i="2" s="1"/>
  <c r="I309" i="2"/>
  <c r="AK309" i="2" s="1"/>
  <c r="I310" i="2"/>
  <c r="I311" i="2"/>
  <c r="I312" i="2"/>
  <c r="I313" i="2"/>
  <c r="I314" i="2"/>
  <c r="I315" i="2"/>
  <c r="AK315" i="2" s="1"/>
  <c r="I316" i="2"/>
  <c r="AK316" i="2" s="1"/>
  <c r="I317" i="2"/>
  <c r="I318" i="2"/>
  <c r="AK318" i="2" s="1"/>
  <c r="I319" i="2"/>
  <c r="AK319" i="2" s="1"/>
  <c r="I320" i="2"/>
  <c r="AK320" i="2" s="1"/>
  <c r="I321" i="2"/>
  <c r="AK321" i="2" s="1"/>
  <c r="I322" i="2"/>
  <c r="I323" i="2"/>
  <c r="I324" i="2"/>
  <c r="I325" i="2"/>
  <c r="I326" i="2"/>
  <c r="I327" i="2"/>
  <c r="AK327" i="2" s="1"/>
  <c r="I328" i="2"/>
  <c r="AK328" i="2" s="1"/>
  <c r="I329" i="2"/>
  <c r="I330" i="2"/>
  <c r="AK330" i="2" s="1"/>
  <c r="I331" i="2"/>
  <c r="AK331" i="2" s="1"/>
  <c r="I332" i="2"/>
  <c r="AK332" i="2" s="1"/>
  <c r="I333" i="2"/>
  <c r="AK333" i="2" s="1"/>
  <c r="I334" i="2"/>
  <c r="I335" i="2"/>
  <c r="I336" i="2"/>
  <c r="I337" i="2"/>
  <c r="I338" i="2"/>
  <c r="I339" i="2"/>
  <c r="AK339" i="2" s="1"/>
  <c r="I340" i="2"/>
  <c r="AK340" i="2" s="1"/>
  <c r="I341" i="2"/>
  <c r="I342" i="2"/>
  <c r="AK342" i="2" s="1"/>
  <c r="I343" i="2"/>
  <c r="AK343" i="2" s="1"/>
  <c r="I344" i="2"/>
  <c r="AK344" i="2" s="1"/>
  <c r="I345" i="2"/>
  <c r="AK345" i="2" s="1"/>
  <c r="I346" i="2"/>
  <c r="I347" i="2"/>
  <c r="I348" i="2"/>
  <c r="I349" i="2"/>
  <c r="I350" i="2"/>
  <c r="I2" i="2"/>
  <c r="AG2" i="2"/>
  <c r="AA2" i="2"/>
  <c r="AJ2" i="2"/>
  <c r="AD2" i="2"/>
  <c r="AK350" i="2" l="1"/>
  <c r="AK338" i="2"/>
  <c r="AK326" i="2"/>
  <c r="AK314" i="2"/>
  <c r="AK302" i="2"/>
  <c r="AK290" i="2"/>
  <c r="AK278" i="2"/>
  <c r="AK266" i="2"/>
  <c r="AK254" i="2"/>
  <c r="AK242" i="2"/>
  <c r="AK230" i="2"/>
  <c r="AK206" i="2"/>
  <c r="AK194" i="2"/>
  <c r="AK182" i="2"/>
  <c r="AK170" i="2"/>
  <c r="AK158" i="2"/>
  <c r="AK146" i="2"/>
  <c r="AK134" i="2"/>
  <c r="AK122" i="2"/>
  <c r="AK110" i="2"/>
  <c r="AK98" i="2"/>
  <c r="AK86" i="2"/>
  <c r="AK62" i="2"/>
  <c r="AK281" i="2"/>
  <c r="AK257" i="2"/>
  <c r="AK218" i="2"/>
  <c r="AK74" i="2"/>
  <c r="AK337" i="2"/>
  <c r="AK289" i="2"/>
  <c r="AK253" i="2"/>
  <c r="AK217" i="2"/>
  <c r="AK181" i="2"/>
  <c r="AK145" i="2"/>
  <c r="AK109" i="2"/>
  <c r="AK73" i="2"/>
  <c r="AK61" i="2"/>
  <c r="AK349" i="2"/>
  <c r="AK325" i="2"/>
  <c r="AK313" i="2"/>
  <c r="AK301" i="2"/>
  <c r="AK277" i="2"/>
  <c r="AK265" i="2"/>
  <c r="AK241" i="2"/>
  <c r="AK229" i="2"/>
  <c r="AK205" i="2"/>
  <c r="AK193" i="2"/>
  <c r="AK169" i="2"/>
  <c r="AK157" i="2"/>
  <c r="AK133" i="2"/>
  <c r="AK121" i="2"/>
  <c r="AK97" i="2"/>
  <c r="AK85" i="2"/>
  <c r="AK348" i="2"/>
  <c r="AK336" i="2"/>
  <c r="AK324" i="2"/>
  <c r="AK312" i="2"/>
  <c r="AK300" i="2"/>
  <c r="AK288" i="2"/>
  <c r="AK276" i="2"/>
  <c r="AK264" i="2"/>
  <c r="AK252" i="2"/>
  <c r="AK240" i="2"/>
  <c r="AK228" i="2"/>
  <c r="AK216" i="2"/>
  <c r="AK204" i="2"/>
  <c r="AK192" i="2"/>
  <c r="AK180" i="2"/>
  <c r="AK168" i="2"/>
  <c r="AK156" i="2"/>
  <c r="AK144" i="2"/>
  <c r="AK132" i="2"/>
  <c r="AK120" i="2"/>
  <c r="AK108" i="2"/>
  <c r="AK96" i="2"/>
  <c r="AK84" i="2"/>
  <c r="AK72" i="2"/>
  <c r="AK60"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46" i="2"/>
  <c r="AK322" i="2"/>
  <c r="AK298" i="2"/>
  <c r="AK286" i="2"/>
  <c r="AK274" i="2"/>
  <c r="AK262" i="2"/>
  <c r="AK250" i="2"/>
  <c r="AK238" i="2"/>
  <c r="AK226" i="2"/>
  <c r="AK214" i="2"/>
  <c r="AK202" i="2"/>
  <c r="AK190" i="2"/>
  <c r="AK178" i="2"/>
  <c r="AK166" i="2"/>
  <c r="AK154" i="2"/>
  <c r="AK142" i="2"/>
  <c r="AK130" i="2"/>
  <c r="AK118" i="2"/>
  <c r="AK106" i="2"/>
  <c r="AK94" i="2"/>
  <c r="AK82" i="2"/>
  <c r="AK70" i="2"/>
  <c r="AK58" i="2"/>
  <c r="AK334" i="2"/>
  <c r="AK310" i="2"/>
  <c r="AK285" i="2"/>
  <c r="AK273" i="2"/>
  <c r="AK261" i="2"/>
  <c r="AK249" i="2"/>
  <c r="AK237" i="2"/>
  <c r="AK225" i="2"/>
  <c r="AK213" i="2"/>
  <c r="AK201" i="2"/>
  <c r="AK189" i="2"/>
  <c r="AK177" i="2"/>
  <c r="AK165" i="2"/>
  <c r="AK153" i="2"/>
  <c r="AK141" i="2"/>
  <c r="AK129" i="2"/>
  <c r="AK117" i="2"/>
  <c r="AK105" i="2"/>
  <c r="AK93" i="2"/>
  <c r="AK81" i="2"/>
  <c r="AK69" i="2"/>
  <c r="AK57"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V19" i="33"/>
  <c r="V23" i="33"/>
  <c r="V7" i="33"/>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E34" i="2" l="1"/>
  <c r="AH34" i="2"/>
  <c r="AE91" i="2"/>
  <c r="AH91" i="2"/>
  <c r="AH4" i="2"/>
  <c r="AE4" i="2"/>
  <c r="AH62" i="2"/>
  <c r="AE62" i="2"/>
  <c r="AE3" i="2"/>
  <c r="AH3" i="2"/>
  <c r="AH32" i="2"/>
  <c r="AE32" i="2"/>
  <c r="Y34" i="2"/>
  <c r="AB34" i="2"/>
  <c r="Y62" i="2"/>
  <c r="AB62" i="2"/>
  <c r="Y32" i="2"/>
  <c r="AB32" i="2"/>
  <c r="Y91" i="2"/>
  <c r="AB91" i="2"/>
  <c r="V63" i="2"/>
  <c r="V92" i="2"/>
  <c r="V35" i="2"/>
  <c r="AK35" i="2" s="1"/>
  <c r="V5" i="2"/>
  <c r="AK5" i="2" s="1"/>
  <c r="AH92" i="2" l="1"/>
  <c r="AE92" i="2"/>
  <c r="AH5" i="2"/>
  <c r="AE5" i="2"/>
  <c r="AH35" i="2"/>
  <c r="AE35" i="2"/>
  <c r="AH63" i="2"/>
  <c r="AE63" i="2"/>
  <c r="Y35" i="2"/>
  <c r="AB35" i="2"/>
  <c r="Y63" i="2"/>
  <c r="AB63" i="2"/>
  <c r="Y92" i="2"/>
  <c r="AB92" i="2"/>
  <c r="V64" i="2"/>
  <c r="V93" i="2"/>
  <c r="V6" i="2"/>
  <c r="AK6" i="2" s="1"/>
  <c r="V36" i="2"/>
  <c r="AK36" i="2" s="1"/>
  <c r="AH6" i="2" l="1"/>
  <c r="AE6" i="2"/>
  <c r="AH93" i="2"/>
  <c r="AE93" i="2"/>
  <c r="AE36" i="2"/>
  <c r="AH36" i="2"/>
  <c r="AE64" i="2"/>
  <c r="AH64" i="2"/>
  <c r="Y36" i="2"/>
  <c r="AB36" i="2"/>
  <c r="Y93" i="2"/>
  <c r="AB93" i="2"/>
  <c r="Y64" i="2"/>
  <c r="AB64" i="2"/>
  <c r="V65" i="2"/>
  <c r="V7" i="2"/>
  <c r="AK7" i="2" s="1"/>
  <c r="V94" i="2"/>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V95" i="2"/>
  <c r="AE38" i="2" l="1"/>
  <c r="AH38" i="2"/>
  <c r="AH95" i="2"/>
  <c r="AE95" i="2"/>
  <c r="AH66" i="2"/>
  <c r="AE66" i="2"/>
  <c r="AH9" i="2"/>
  <c r="AE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V5" i="33" s="1"/>
  <c r="I19" i="15"/>
  <c r="C19" i="15" s="1"/>
  <c r="I2" i="15"/>
  <c r="C2" i="15" s="1"/>
  <c r="J4" i="33" s="1"/>
  <c r="I9" i="15"/>
  <c r="C9" i="15" s="1"/>
  <c r="V13" i="2"/>
  <c r="AK13" i="2" s="1"/>
  <c r="V42" i="2"/>
  <c r="AK42" i="2" s="1"/>
  <c r="V70" i="2"/>
  <c r="V99" i="2"/>
  <c r="V209" i="2"/>
  <c r="J25" i="39" l="1"/>
  <c r="J28" i="39"/>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V16" i="33"/>
  <c r="V15" i="33"/>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V17" i="33"/>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V9" i="33"/>
  <c r="V21" i="33"/>
  <c r="V22" i="33"/>
  <c r="V18" i="33"/>
  <c r="V14" i="33"/>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E45" i="2"/>
  <c r="AE73" i="2"/>
  <c r="AH73" i="2"/>
  <c r="AH212" i="2"/>
  <c r="AE212" i="2"/>
  <c r="AH16" i="2"/>
  <c r="AE16" i="2"/>
  <c r="AH102" i="2"/>
  <c r="AE102" i="2"/>
  <c r="AB25" i="15"/>
  <c r="AE25" i="15"/>
  <c r="Y25" i="15"/>
  <c r="V25" i="15"/>
  <c r="P25" i="15"/>
  <c r="S25" i="15"/>
  <c r="B29" i="46"/>
  <c r="B26" i="46"/>
  <c r="J4" i="39"/>
  <c r="U4" i="39" s="1"/>
  <c r="J2" i="39"/>
  <c r="V4" i="33"/>
  <c r="V8" i="33"/>
  <c r="Y73" i="2"/>
  <c r="AB73" i="2"/>
  <c r="Y45" i="2"/>
  <c r="AB45" i="2"/>
  <c r="Y212" i="2"/>
  <c r="AB212" i="2"/>
  <c r="Y102" i="2"/>
  <c r="AB102" i="2"/>
  <c r="Y16" i="2"/>
  <c r="AB16" i="2"/>
  <c r="V17" i="2"/>
  <c r="AK17" i="2" s="1"/>
  <c r="V46" i="2"/>
  <c r="AK46" i="2" s="1"/>
  <c r="V74" i="2"/>
  <c r="V103" i="2"/>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AK18" i="2" s="1"/>
  <c r="V47" i="2"/>
  <c r="AK47" i="2" s="1"/>
  <c r="V75" i="2"/>
  <c r="V104" i="2"/>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V105" i="2"/>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V140" i="33"/>
  <c r="V143" i="33"/>
  <c r="V146" i="33"/>
  <c r="V21" i="2"/>
  <c r="AK21" i="2" s="1"/>
  <c r="V50" i="2"/>
  <c r="AK50" i="2" s="1"/>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B15" i="46"/>
  <c r="I26" i="15"/>
  <c r="C26" i="15" s="1"/>
  <c r="AE108" i="2" l="1"/>
  <c r="AH108" i="2"/>
  <c r="AH22" i="2"/>
  <c r="AE22" i="2"/>
  <c r="AH218" i="2"/>
  <c r="AE218" i="2"/>
  <c r="AH79" i="2"/>
  <c r="AE79" i="2"/>
  <c r="AH51" i="2"/>
  <c r="AE51" i="2"/>
  <c r="AB26" i="15"/>
  <c r="AE26" i="15"/>
  <c r="V26" i="15"/>
  <c r="Y26" i="15"/>
  <c r="S26" i="15"/>
  <c r="P26" i="15"/>
  <c r="B30" i="46"/>
  <c r="B27" i="46"/>
  <c r="J5" i="39"/>
  <c r="U5" i="39" s="1"/>
  <c r="B28" i="46"/>
  <c r="B18" i="46"/>
  <c r="J3" i="39"/>
  <c r="U3" i="39" s="1"/>
  <c r="V6" i="33"/>
  <c r="V10" i="33"/>
  <c r="Y218" i="2"/>
  <c r="AB218" i="2"/>
  <c r="Y22" i="2"/>
  <c r="AB22" i="2"/>
  <c r="Y108" i="2"/>
  <c r="AB108" i="2"/>
  <c r="Y79" i="2"/>
  <c r="AB79" i="2"/>
  <c r="Y51" i="2"/>
  <c r="AB51" i="2"/>
  <c r="B25" i="46"/>
  <c r="B24" i="46"/>
  <c r="B23" i="46"/>
  <c r="B20" i="46"/>
  <c r="B22" i="46"/>
  <c r="B13" i="46"/>
  <c r="B21" i="46"/>
  <c r="B12" i="46"/>
  <c r="B19" i="46"/>
  <c r="V23" i="2"/>
  <c r="AK23" i="2" s="1"/>
  <c r="V52" i="2"/>
  <c r="AK52" i="2" s="1"/>
  <c r="V80" i="2"/>
  <c r="V109" i="2"/>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V112" i="2"/>
  <c r="V222" i="2"/>
  <c r="AE83" i="2" l="1"/>
  <c r="AH83" i="2"/>
  <c r="AH55" i="2"/>
  <c r="AE55" i="2"/>
  <c r="AH112" i="2"/>
  <c r="AE112" i="2"/>
  <c r="AH26" i="2"/>
  <c r="AE26" i="2"/>
  <c r="AH222" i="2"/>
  <c r="AE222" i="2"/>
  <c r="Y83" i="2"/>
  <c r="AB83" i="2"/>
  <c r="Y222" i="2"/>
  <c r="AB222" i="2"/>
  <c r="Y55" i="2"/>
  <c r="AB55" i="2"/>
  <c r="Y112" i="2"/>
  <c r="AB112" i="2"/>
  <c r="Y26" i="2"/>
  <c r="AB26" i="2"/>
  <c r="V27" i="2"/>
  <c r="AK27" i="2" s="1"/>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AK28" i="2" s="1"/>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F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<sst xmlns="http://schemas.openxmlformats.org/spreadsheetml/2006/main" count="4727" uniqueCount="1211">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</sst>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4">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92">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5" fillId="35" borderId="38" xfId="3" applyBorder="1" applyAlignment="1">
      <alignment textRotation="90" wrapText="1"/>
    </xf>
    <xf numFmtId="0" fontId="5" fillId="6" borderId="32" xfId="7" applyBorder="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5" fillId="35" borderId="16" xfId="3" applyBorder="1">
      <extLst>
        <ext xmlns:xfpb="http://schemas.microsoft.com/office/spreadsheetml/2022/featurepropertybag" uri="{C7286773-470A-42A8-94C5-96B5CB345126}">
          <xfpb:xfComplement i="0"/>
        </ext>
      </extLst>
    </xf>
    <xf numFmtId="0" fontId="6" fillId="7" borderId="16" xfId="5" applyBorder="1" applyAlignment="1">
      <alignment wrapText="1"/>
      <protection locked="0"/>
    </xf>
    <xf numFmtId="0" fontId="6" fillId="7" borderId="43" xfId="5"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3">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7:D59" totalsRowShown="0" headerRowDxfId="162" dataDxfId="161" tableBorderDxfId="160">
  <autoFilter ref="A47:D59" xr:uid="{5BF56347-6A9C-4798-B4F7-BBE2DD93DBFB}"/>
  <tableColumns count="4">
    <tableColumn id="4" xr3:uid="{F250B4D6-8709-4529-BEC9-885138840856}" name="ID" dataDxfId="159"/>
    <tableColumn id="1" xr3:uid="{9E6747DB-124B-42A7-A41E-12980D2B739B}" name="Sheet Name" dataDxfId="158"/>
    <tableColumn id="2" xr3:uid="{104F7507-AB9D-4E24-BEBC-36411C3C8A16}" name="Purpose" dataDxfId="157"/>
    <tableColumn id="3" xr3:uid="{5455BD38-24E6-4A4B-A4D4-0D13156AA586}" name="Click to Visit" dataDxfId="15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5" totalsRowShown="0" headerRowDxfId="155" dataDxfId="154" tableBorderDxfId="153">
  <autoFilter ref="A40:D45" xr:uid="{577305D5-7405-4B8A-BB2F-23B9AEF0E305}"/>
  <tableColumns count="4">
    <tableColumn id="4" xr3:uid="{C84969DD-6344-4E4D-A7EE-3BB0E1CDD2DD}" name="ID" dataDxfId="152"/>
    <tableColumn id="1" xr3:uid="{B1FFD532-2777-429F-BDD1-B6CBE5008BB1}" name="Step" dataDxfId="151"/>
    <tableColumn id="2" xr3:uid="{99666ABC-2265-419D-BBFA-965400BDC471}" name="Instructions" dataDxfId="150"/>
    <tableColumn id="3" xr3:uid="{823AC7A5-7353-43BD-9797-FC5D8A3FB81E}" name="Click to Visit" dataDxfId="14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2:D68" totalsRowShown="0" headerRowDxfId="148" dataDxfId="146" headerRowBorderDxfId="147" tableBorderDxfId="145" totalsRowBorderDxfId="144">
  <autoFilter ref="A62:D68" xr:uid="{42AB2D1B-41C9-4097-81D6-8438F3FF1CEA}"/>
  <tableColumns count="4">
    <tableColumn id="4" xr3:uid="{EC03A51B-1F74-4A83-A01A-77288F2B4BA8}" name="Column1" dataDxfId="143"/>
    <tableColumn id="1" xr3:uid="{086BC66A-BDB7-4920-B63C-82329817C1F9}" name="Concept" dataDxfId="142"/>
    <tableColumn id="2" xr3:uid="{16C510CD-923F-4918-9B7C-39923184521D}" name="Explanation" dataDxfId="141"/>
    <tableColumn id="3" xr3:uid="{5309A456-4F5C-415C-8918-32DE33682023}" name="Example" dataDxfId="1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6:D80" totalsRowShown="0" headerRowDxfId="139" dataDxfId="137" headerRowBorderDxfId="138" tableBorderDxfId="136" totalsRowBorderDxfId="135">
  <autoFilter ref="A76:D80" xr:uid="{069E0463-CD99-487A-B4F1-E6CC17A1991B}"/>
  <tableColumns count="4">
    <tableColumn id="4" xr3:uid="{98C04902-4686-4241-BE4A-87F25C056AF7}" name="ID" dataDxfId="134"/>
    <tableColumn id="1" xr3:uid="{4AACA95F-07B3-4FFE-884A-3DB7B616208A}" name="Tip" dataDxfId="133"/>
    <tableColumn id="2" xr3:uid="{2C96A191-096B-4FDB-8EDD-D830DB1DEB52}" name="Why It Helps" dataDxfId="132"/>
    <tableColumn id="3" xr3:uid="{30BFF993-E51F-4E14-91F0-C6105DC06560}" name="Column1" dataDxfId="131"/>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2" totalsRowShown="0" headerRowDxfId="130" dataDxfId="129" tableBorderDxfId="128">
  <autoFilter ref="A28:D32" xr:uid="{6A44A74D-1D0F-4470-A2E4-738B5B0F6B40}"/>
  <tableColumns count="4">
    <tableColumn id="4" xr3:uid="{F7FB85E5-BAF6-4EA9-8C90-B481B6531280}" name="ID" dataDxfId="127"/>
    <tableColumn id="1" xr3:uid="{2E2D8E7D-3174-4794-9566-B8F8C00300E4}" name="Stage" dataDxfId="126"/>
    <tableColumn id="2" xr3:uid="{17A40570-54E5-4FBB-85D3-20CC2DFF3395}" name="Instruction" dataDxfId="125"/>
    <tableColumn id="3" xr3:uid="{56AC20F0-8754-4236-B44F-0607D3478424}" name="Sheets" dataDxfId="12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0:D74" totalsRowShown="0" headerRowDxfId="123" dataDxfId="121" headerRowBorderDxfId="122" tableBorderDxfId="120" totalsRowBorderDxfId="119">
  <autoFilter ref="A70:D74" xr:uid="{AAA3A8DA-80C7-488B-AEDE-B3731DA422F0}"/>
  <tableColumns count="4">
    <tableColumn id="4" xr3:uid="{6B388F59-3BCF-4E91-A6E4-B3220D5E90D4}" name="ID" dataDxfId="118"/>
    <tableColumn id="1" xr3:uid="{07DCE594-CAA9-4C9F-BDCF-CE48B11D95B1}" name="Problem" dataDxfId="117"/>
    <tableColumn id="2" xr3:uid="{7155BF65-9CC1-4B52-9CD7-E026796431FE}" name="Quick Fix" dataDxfId="116"/>
    <tableColumn id="3" xr3:uid="{BC1A93EB-16A7-413F-B9B6-6215BE15AB94}" name="What to Check" dataDxfId="11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14">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3">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2" dataCellStyle="04_Comments"/>
    <tableColumn id="1" xr3:uid="{23E8F131-81B2-4705-927A-A42C393BEDCE}" name="ID" dataDxfId="111">
      <calculatedColumnFormula>ROW()-1</calculatedColumnFormula>
    </tableColumn>
    <tableColumn id="2" xr3:uid="{D694ED25-71D4-4BD1-B627-FBE0FAE9FC8B}" name="Flow_ID" dataDxfId="110">
      <calculatedColumnFormula>"F_"&amp;LEFT(G2,2)&amp;"_"&amp;LEFT(I2,2)</calculatedColumnFormula>
    </tableColumn>
    <tableColumn id="3" xr3:uid="{CA1C6FA9-65CA-47E1-94EA-BBB750256C84}" name="Flow_Name" dataDxfId="109"/>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8">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7"/>
    <tableColumn id="22" xr3:uid="{ABA27704-56CF-4C30-88CB-BB6E944F7F08}" name="E2_Fraction_source" dataCellStyle="04_Comments"/>
    <tableColumn id="10" xr3:uid="{D0034047-8042-40C2-8630-B9AC9A67EFA6}" name="Flow_ID_E3" dataDxfId="106" dataCellStyle="03_Auto_Calcaulation">
      <calculatedColumnFormula>Tab_Def_Flows[[#This Row],[Flow_ID]]&amp;"_E3"</calculatedColumnFormula>
    </tableColumn>
    <tableColumn id="23" xr3:uid="{5CA0D08F-32C9-451C-A223-78F9E163EE87}" name="Flow_E3_Fraction[%]" dataDxfId="105"/>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4"/>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3"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2"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1"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100"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9"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8"/>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7">
      <calculatedColumnFormula>_xlfn.XLOOKUP(C2,Tab_Def_Flows[Flow_Name],Tab_Def_Flows[Use_E1],,0,)</calculatedColumnFormula>
    </tableColumn>
    <tableColumn id="31" xr3:uid="{24B36152-385D-4D3C-A274-72EA56B6819A}" name="Use_E2" dataDxfId="96">
      <calculatedColumnFormula>_xlfn.XLOOKUP(C2,Tab_Def_Flows[Flow_Name],Tab_Def_Flows[Use_E2],,0,)</calculatedColumnFormula>
    </tableColumn>
    <tableColumn id="7" xr3:uid="{DE5360D6-37DD-467B-A2B6-FC709E5F5063}" name="Use_E3" dataDxfId="95" dataCellStyle="03_Auto_Calcaulation">
      <calculatedColumnFormula>_xlfn.XLOOKUP(C2,Tab_Def_Flows[Flow_Name],Tab_Def_Flows[Use_E3],,0,)</calculatedColumnFormula>
    </tableColumn>
    <tableColumn id="22" xr3:uid="{BBBD4420-E9DE-4292-97BD-D1B3698B0F70}" name="Use_E4" dataDxfId="94" dataCellStyle="03_Auto_Calcaulation">
      <calculatedColumnFormula>_xlfn.XLOOKUP(C2,Tab_Def_Flows[Flow_Name],Tab_Def_Flows[Use_E4],,0,)</calculatedColumnFormula>
    </tableColumn>
    <tableColumn id="32" xr3:uid="{A086924B-597B-4B7A-B9B2-8397025FD97B}" name="Use_E5" dataDxfId="93">
      <calculatedColumnFormula>_xlfn.XLOOKUP(C2,Tab_Def_Flows[Flow_Name],Tab_Def_Flows[Use_E5],,0,)</calculatedColumnFormula>
    </tableColumn>
    <tableColumn id="27" xr3:uid="{2F4BF275-BDFB-4207-BF75-5632C8016B68}" name="Use_E6" dataDxfId="92"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1"/>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0"/>
    <tableColumn id="25" xr3:uid="{94996270-9A62-4B8C-B04B-D56A7F9FDE30}" name="Name_CF" dataDxfId="89">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7" dataCellStyle="04_Comments"/>
    <tableColumn id="1" xr3:uid="{A63F92FA-2376-4B5A-A2DF-588878E604E1}" name="ID" dataDxfId="86">
      <calculatedColumnFormula>ROW()-1</calculatedColumnFormula>
    </tableColumn>
    <tableColumn id="2" xr3:uid="{6D346BEA-29CA-401C-8ABB-6C62791A731A}" name="Process_ID" dataDxfId="85">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4" headerRowCellStyle="05_Header">
  <autoFilter ref="A1:AA51" xr:uid="{7602A998-85E6-499A-B1A3-C584F22BB41F}"/>
  <tableColumns count="27">
    <tableColumn id="33" xr3:uid="{2E104FB0-3B3F-413B-B1B0-969D126AA7B1}" name="Complete?" dataDxfId="83" dataCellStyle="04_Comments"/>
    <tableColumn id="1" xr3:uid="{B9E05773-FB7F-407B-8FB3-BE93F6BB50D9}" name="ID" dataDxfId="82">
      <calculatedColumnFormula>ROW()-1</calculatedColumnFormula>
    </tableColumn>
    <tableColumn id="2" xr3:uid="{4324CFF4-5791-4829-80A7-8BA4CF2CD799}" name="Process_ID" dataDxfId="81">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80" headerRowBorderDxfId="79" tableBorderDxfId="78">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7" dataCellStyle="04_Comments"/>
    <tableColumn id="1" xr3:uid="{CE7CE076-C32F-4791-85A9-C6321A66E672}" name="ID" dataDxfId="76">
      <calculatedColumnFormula>ROW()-1</calculatedColumnFormula>
    </tableColumn>
    <tableColumn id="2" xr3:uid="{F7259AFD-9D16-4ACC-BDB2-8D0DCC203B92}" name="Process_ID" dataDxfId="75"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4" dataCellStyle="03_Auto_Calcaulation">
      <calculatedColumnFormula>_xlfn.XLOOKUP($D2,Tab_Def_Processes[Process_Name],Tab_Def_Processes[TC_Configuration],,0,)</calculatedColumnFormula>
    </tableColumn>
    <tableColumn id="10" xr3:uid="{1437CDCC-E7D9-4D67-98AD-AAB0084EBF1F}" name="Stock_Configuration" dataDxfId="73" dataCellStyle="03_Auto_Calcaulation">
      <calculatedColumnFormula>_xlfn.XLOOKUP($D2,Tab_Def_Processes[Process_Name],Tab_Def_Processes[Stock_Configuration],,0,)</calculatedColumnFormula>
    </tableColumn>
    <tableColumn id="8" xr3:uid="{FF6BEEBF-476A-4FA3-AABC-B42AD9B68C8F}" name="Outflow_count" dataDxfId="72" dataCellStyle="03_Auto_Calcaulation">
      <calculatedColumnFormula>_xlfn.XLOOKUP($D2,Tab_Def_Processes[Process_Name],Tab_Def_Processes[Outflow_count],,0,)</calculatedColumnFormula>
    </tableColumn>
    <tableColumn id="13" xr3:uid="{D50D257A-B253-4967-8EAD-E6A5964541AE}" name="Output_Flow" dataDxfId="0"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1"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70" headerRowCellStyle="05_Header">
  <autoFilter ref="A1:L51" xr:uid="{7602A998-85E6-499A-B1A3-C584F22BB41F}"/>
  <tableColumns count="12">
    <tableColumn id="24" xr3:uid="{799CF049-9A74-47E4-BCE6-68EB92DFEDD4}" name="Complete?" dataDxfId="69" dataCellStyle="04_Comments"/>
    <tableColumn id="1" xr3:uid="{75AB9428-C675-46D8-B904-74A952E29611}" name="ID" dataDxfId="68">
      <calculatedColumnFormula>ROW()-1</calculatedColumnFormula>
    </tableColumn>
    <tableColumn id="22" xr3:uid="{055CB3E4-C1DF-486D-9F8E-E65039E95278}" name="Stock_ID" dataDxfId="67">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6" dataCellStyle="03_Auto_Calcaulation"/>
    <tableColumn id="17" xr3:uid="{B0D60035-A4D1-4384-BE92-567E3D049F49}" name="IS_Parameter_type" dataDxfId="65" dataCellStyle="02_Data_Input (DD)"/>
    <tableColumn id="18" xr3:uid="{AA418A52-865B-4FB0-8CFC-493764532481}" name="IS_Parameter_Value" dataDxfId="64"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3" dataDxfId="62" tableBorderDxfId="61">
  <autoFilter ref="A1:L81" xr:uid="{258723AD-03F6-4700-9C12-0435A55E108D}"/>
  <tableColumns count="12">
    <tableColumn id="1" xr3:uid="{33B8EF63-7663-4BA6-9B91-D446C0C9C276}" name="Complete?" dataCellStyle="04_Comments"/>
    <tableColumn id="2" xr3:uid="{6589C290-508A-4E8E-8896-B6E09EB1B594}" name="ID" dataDxfId="60">
      <calculatedColumnFormula>ROW()-1</calculatedColumnFormula>
    </tableColumn>
    <tableColumn id="4" xr3:uid="{F4E33EB8-7313-4BD5-8A0A-D0E18A2A18E9}" name="Process_ID" dataDxfId="59">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8">
      <calculatedColumnFormula>_xlfn.XLOOKUP($D2,Tab_Def_Processes[Process_Name],Tab_Def_Processes[Process_Logic],,0,)</calculatedColumnFormula>
    </tableColumn>
    <tableColumn id="12" xr3:uid="{A2F17CD8-5CAE-47C5-88AC-65F98D1E04A7}" name="TC_Configuration" dataDxfId="57">
      <calculatedColumnFormula>_xlfn.XLOOKUP($D2,Tab_Def_Processes[Process_Name],Tab_Def_Processes[TC_Configuration],,0,)</calculatedColumnFormula>
    </tableColumn>
    <tableColumn id="13" xr3:uid="{AAC3F32E-5E29-4B43-870A-6E7FC451D4C7}" name="Stock_Configuration" dataDxfId="56">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5" tableBorderDxfId="54" headerRowCellStyle="05_Header">
  <autoFilter ref="A1:K41" xr:uid="{258723AD-03F6-4700-9C12-0435A55E108D}"/>
  <tableColumns count="11">
    <tableColumn id="1" xr3:uid="{45321D18-7A58-4FFA-814A-4BFE5587094A}" name="Complete?" dataCellStyle="04_Comments"/>
    <tableColumn id="2" xr3:uid="{EC881CBD-180B-4D64-9A86-8AA6EC24B7F6}" name="ID" dataDxfId="53">
      <calculatedColumnFormula>ROW()-1</calculatedColumnFormula>
    </tableColumn>
    <tableColumn id="4" xr3:uid="{844E5006-9125-4DE3-A7C3-7D82AE3725EE}" name="Process_ID" dataDxfId="52">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1">
      <calculatedColumnFormula>_xlfn.XLOOKUP($D2,Tab_Def_Processes[Process_Name],#REF!,,0,)</calculatedColumnFormula>
    </tableColumn>
    <tableColumn id="12" xr3:uid="{E84B3ABE-4E12-4E6F-A681-7D39D8B20B42}" name="TC_Configuration" dataDxfId="50">
      <calculatedColumnFormula>_xlfn.XLOOKUP($D2,Tab_Def_Processes[Process_Name],Tab_Def_Processes[TC_Configuration],,0,)</calculatedColumnFormula>
    </tableColumn>
    <tableColumn id="13" xr3:uid="{981DEE9B-FA47-4F47-8F80-39B1E8690449}" name="Stock_Configuration" dataDxfId="49">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8" dataCellStyle="01_Data_Input"/>
    <tableColumn id="6" xr3:uid="{1B45FB7A-4CA2-4F7D-81DB-270B1D81AE53}" name="start_year" dataDxfId="47" dataCellStyle="01_Data_Input"/>
    <tableColumn id="5" xr3:uid="{A6D89D25-2F1B-4F9D-86FE-506D7CB5C8C3}" name="end_year" dataDxfId="46"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5"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4" dataCellStyle="04_Comments"/>
    <tableColumn id="2" xr3:uid="{974E84B3-B7E5-4EAB-BE6D-E4CA3B941720}" name="ID" dataDxfId="43" dataCellStyle="03_Auto_Calcaulation">
      <calculatedColumnFormula>ROW()-1</calculatedColumnFormula>
    </tableColumn>
    <tableColumn id="3" xr3:uid="{C80F74B1-CB58-477D-916E-9E36937DCC7C}" name="Process_ID" dataDxfId="42"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1" dataCellStyle="02_Data_Input (DD)"/>
    <tableColumn id="11" xr3:uid="{A6B3115D-C460-49E4-B156-47D34854C0D6}" name="Node_Color" dataDxfId="40"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9" dataCellStyle="03_Auto_Calcaulation">
      <calculatedColumnFormula>ROW()-1</calculatedColumnFormula>
    </tableColumn>
    <tableColumn id="2" xr3:uid="{D19AA7EE-8012-4211-95D9-A412AE73FEA7}" name="Flow_ID" dataDxfId="38"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7"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opLeftCell="A24" zoomScaleNormal="100" workbookViewId="0">
      <selection activeCell="C43" sqref="C4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4" t="s">
        <v>1205</v>
      </c>
      <c r="C17" s="225"/>
      <c r="D17" s="225"/>
      <c r="E17" s="176"/>
    </row>
    <row r="18" spans="1:5" x14ac:dyDescent="0.25">
      <c r="B18" s="1" t="s">
        <v>988</v>
      </c>
      <c r="C18" s="1" t="s">
        <v>989</v>
      </c>
      <c r="E18" s="176"/>
    </row>
    <row r="19" spans="1:5" x14ac:dyDescent="0.25">
      <c r="B19" s="1" t="s">
        <v>990</v>
      </c>
      <c r="C19" s="178">
        <v>45981</v>
      </c>
      <c r="E19" s="176"/>
    </row>
    <row r="20" spans="1:5" x14ac:dyDescent="0.25">
      <c r="B20" s="1" t="s">
        <v>1029</v>
      </c>
      <c r="C20" s="1" t="s">
        <v>991</v>
      </c>
      <c r="D20" s="1" t="s">
        <v>1208</v>
      </c>
      <c r="E20" s="176"/>
    </row>
    <row r="21" spans="1:5" x14ac:dyDescent="0.25">
      <c r="C21" s="1" t="s">
        <v>1206</v>
      </c>
      <c r="D21" s="1" t="s">
        <v>1208</v>
      </c>
      <c r="E21" s="176"/>
    </row>
    <row r="22" spans="1:5" x14ac:dyDescent="0.25">
      <c r="C22" s="1" t="s">
        <v>162</v>
      </c>
      <c r="D22" s="1" t="s">
        <v>1208</v>
      </c>
      <c r="E22" s="176"/>
    </row>
    <row r="23" spans="1:5" x14ac:dyDescent="0.25">
      <c r="C23" s="1" t="s">
        <v>1207</v>
      </c>
      <c r="D23" s="1" t="s">
        <v>1208</v>
      </c>
      <c r="E23" s="176"/>
    </row>
    <row r="24" spans="1:5" x14ac:dyDescent="0.25">
      <c r="B24" s="1" t="s">
        <v>992</v>
      </c>
      <c r="C24" s="179" t="s">
        <v>993</v>
      </c>
      <c r="E24" s="176"/>
    </row>
    <row r="25" spans="1:5" x14ac:dyDescent="0.25">
      <c r="E25" s="176"/>
    </row>
    <row r="26" spans="1:5" x14ac:dyDescent="0.25">
      <c r="E26" s="176"/>
    </row>
    <row r="27" spans="1:5" ht="31.5" customHeight="1" x14ac:dyDescent="0.5">
      <c r="A27" s="222" t="s">
        <v>903</v>
      </c>
      <c r="B27" s="222"/>
      <c r="C27" s="222"/>
      <c r="D27" s="222"/>
      <c r="E27" s="176"/>
    </row>
    <row r="28" spans="1:5" x14ac:dyDescent="0.25">
      <c r="A28" s="185" t="s">
        <v>7</v>
      </c>
      <c r="B28" s="185" t="s">
        <v>1000</v>
      </c>
      <c r="C28" s="185" t="s">
        <v>1001</v>
      </c>
      <c r="D28" s="185" t="s">
        <v>1002</v>
      </c>
      <c r="E28" s="176"/>
    </row>
    <row r="29" spans="1:5" x14ac:dyDescent="0.25">
      <c r="A29" s="1">
        <v>1</v>
      </c>
      <c r="B29" s="1" t="s">
        <v>1006</v>
      </c>
      <c r="C29" s="1" t="s">
        <v>1007</v>
      </c>
      <c r="D29" s="1" t="s">
        <v>1008</v>
      </c>
      <c r="E29" s="176"/>
    </row>
    <row r="30" spans="1:5" ht="30" x14ac:dyDescent="0.25">
      <c r="A30" s="1">
        <v>2</v>
      </c>
      <c r="B30" s="1" t="s">
        <v>1005</v>
      </c>
      <c r="C30" s="1" t="s">
        <v>973</v>
      </c>
      <c r="D30" s="1" t="s">
        <v>974</v>
      </c>
      <c r="E30" s="176"/>
    </row>
    <row r="31" spans="1:5" ht="30" x14ac:dyDescent="0.25">
      <c r="A31" s="1">
        <v>3</v>
      </c>
      <c r="B31" s="1" t="s">
        <v>1003</v>
      </c>
      <c r="C31" s="1" t="s">
        <v>975</v>
      </c>
      <c r="D31" s="1" t="s">
        <v>976</v>
      </c>
      <c r="E31" s="176"/>
    </row>
    <row r="32" spans="1:5" ht="30" x14ac:dyDescent="0.25">
      <c r="A32" s="1">
        <v>4</v>
      </c>
      <c r="B32" s="1" t="s">
        <v>1004</v>
      </c>
      <c r="C32" s="1" t="s">
        <v>977</v>
      </c>
      <c r="D32" s="1" t="s">
        <v>978</v>
      </c>
      <c r="E32" s="176"/>
    </row>
    <row r="33" spans="1:5" x14ac:dyDescent="0.25">
      <c r="A33" s="223"/>
      <c r="B33" s="223"/>
      <c r="C33" s="223"/>
      <c r="D33" s="223"/>
      <c r="E33" s="176"/>
    </row>
    <row r="34" spans="1:5" x14ac:dyDescent="0.25">
      <c r="A34" t="s">
        <v>7</v>
      </c>
      <c r="B34" s="1" t="s">
        <v>1009</v>
      </c>
      <c r="C34" s="1" t="s">
        <v>1010</v>
      </c>
      <c r="D34" s="1" t="s">
        <v>902</v>
      </c>
      <c r="E34" s="176"/>
    </row>
    <row r="35" spans="1:5" x14ac:dyDescent="0.25">
      <c r="A35" s="180">
        <v>1</v>
      </c>
      <c r="B35" s="180" t="s">
        <v>1011</v>
      </c>
      <c r="C35" s="180" t="s">
        <v>1015</v>
      </c>
      <c r="D35" s="180" t="s">
        <v>1019</v>
      </c>
      <c r="E35" s="176"/>
    </row>
    <row r="36" spans="1:5" x14ac:dyDescent="0.25">
      <c r="A36" s="181">
        <v>2</v>
      </c>
      <c r="B36" s="181" t="s">
        <v>1012</v>
      </c>
      <c r="C36" s="181" t="s">
        <v>1016</v>
      </c>
      <c r="D36" s="181" t="s">
        <v>1020</v>
      </c>
      <c r="E36" s="176"/>
    </row>
    <row r="37" spans="1:5" x14ac:dyDescent="0.25">
      <c r="A37" s="182">
        <v>3</v>
      </c>
      <c r="B37" s="182" t="s">
        <v>1013</v>
      </c>
      <c r="C37" s="182" t="s">
        <v>1017</v>
      </c>
      <c r="D37" s="182" t="s">
        <v>1021</v>
      </c>
      <c r="E37" s="176"/>
    </row>
    <row r="38" spans="1:5" x14ac:dyDescent="0.25">
      <c r="A38" s="183">
        <v>4</v>
      </c>
      <c r="B38" s="183" t="s">
        <v>1014</v>
      </c>
      <c r="C38" s="183" t="s">
        <v>1018</v>
      </c>
      <c r="D38" s="183" t="s">
        <v>1022</v>
      </c>
      <c r="E38" s="176"/>
    </row>
    <row r="39" spans="1:5" ht="31.5" customHeight="1" x14ac:dyDescent="0.5">
      <c r="A39" s="222" t="s">
        <v>999</v>
      </c>
      <c r="B39" s="222"/>
      <c r="C39" s="222"/>
      <c r="D39" s="222"/>
      <c r="E39" s="176"/>
    </row>
    <row r="40" spans="1:5" x14ac:dyDescent="0.25">
      <c r="A40" s="1" t="s">
        <v>7</v>
      </c>
      <c r="B40" s="1" t="s">
        <v>904</v>
      </c>
      <c r="C40" s="1" t="s">
        <v>905</v>
      </c>
      <c r="D40" s="165" t="s">
        <v>916</v>
      </c>
      <c r="E40" s="177"/>
    </row>
    <row r="41" spans="1:5" ht="30" x14ac:dyDescent="0.25">
      <c r="A41" s="1"/>
      <c r="B41" s="1" t="s">
        <v>994</v>
      </c>
      <c r="C41" s="1" t="s">
        <v>907</v>
      </c>
      <c r="D41" s="1" t="s">
        <v>906</v>
      </c>
      <c r="E41" s="177"/>
    </row>
    <row r="42" spans="1:5" ht="30" x14ac:dyDescent="0.25">
      <c r="A42" s="1"/>
      <c r="B42" s="1" t="s">
        <v>995</v>
      </c>
      <c r="C42" s="1" t="s">
        <v>909</v>
      </c>
      <c r="D42" s="1" t="s">
        <v>908</v>
      </c>
      <c r="E42" s="177"/>
    </row>
    <row r="43" spans="1:5" ht="30" x14ac:dyDescent="0.25">
      <c r="A43" s="1"/>
      <c r="B43" s="1" t="s">
        <v>996</v>
      </c>
      <c r="C43" s="1" t="s">
        <v>911</v>
      </c>
      <c r="D43" s="1" t="s">
        <v>910</v>
      </c>
      <c r="E43" s="177"/>
    </row>
    <row r="44" spans="1:5" ht="30" x14ac:dyDescent="0.25">
      <c r="A44" s="1"/>
      <c r="B44" s="1" t="s">
        <v>997</v>
      </c>
      <c r="C44" s="1" t="s">
        <v>913</v>
      </c>
      <c r="D44" s="1" t="s">
        <v>912</v>
      </c>
      <c r="E44" s="177"/>
    </row>
    <row r="45" spans="1:5" ht="30" x14ac:dyDescent="0.25">
      <c r="A45" s="1"/>
      <c r="B45" s="1" t="s">
        <v>998</v>
      </c>
      <c r="C45" s="1" t="s">
        <v>914</v>
      </c>
      <c r="D45" s="1" t="s">
        <v>892</v>
      </c>
      <c r="E45" s="176"/>
    </row>
    <row r="46" spans="1:5" ht="31.5" x14ac:dyDescent="0.5">
      <c r="A46" s="222" t="s">
        <v>915</v>
      </c>
      <c r="B46" s="222"/>
      <c r="C46" s="222"/>
      <c r="D46" s="222"/>
      <c r="E46" s="176"/>
    </row>
    <row r="47" spans="1:5" x14ac:dyDescent="0.25">
      <c r="A47" s="1" t="s">
        <v>7</v>
      </c>
      <c r="B47" s="1" t="s">
        <v>893</v>
      </c>
      <c r="C47" s="1" t="s">
        <v>894</v>
      </c>
      <c r="D47" s="1" t="s">
        <v>916</v>
      </c>
      <c r="E47" s="176"/>
    </row>
    <row r="48" spans="1:5" x14ac:dyDescent="0.25">
      <c r="A48" s="1"/>
      <c r="B48" s="1" t="s">
        <v>461</v>
      </c>
      <c r="C48" s="1" t="s">
        <v>917</v>
      </c>
      <c r="E48" s="176"/>
    </row>
    <row r="49" spans="1:5" x14ac:dyDescent="0.25">
      <c r="A49" s="1"/>
      <c r="B49" s="1" t="s">
        <v>469</v>
      </c>
      <c r="C49" s="1" t="s">
        <v>918</v>
      </c>
      <c r="E49" s="176"/>
    </row>
    <row r="50" spans="1:5" x14ac:dyDescent="0.25">
      <c r="A50" s="1"/>
      <c r="B50" s="1" t="s">
        <v>470</v>
      </c>
      <c r="C50" s="1" t="s">
        <v>919</v>
      </c>
      <c r="E50" s="176"/>
    </row>
    <row r="51" spans="1:5" x14ac:dyDescent="0.25">
      <c r="A51" s="1"/>
      <c r="B51" s="1" t="s">
        <v>854</v>
      </c>
      <c r="C51" s="1" t="s">
        <v>920</v>
      </c>
      <c r="E51" s="176"/>
    </row>
    <row r="52" spans="1:5" x14ac:dyDescent="0.25">
      <c r="A52" s="1"/>
      <c r="B52" s="1" t="s">
        <v>855</v>
      </c>
      <c r="C52" s="1" t="s">
        <v>921</v>
      </c>
      <c r="E52" s="176"/>
    </row>
    <row r="53" spans="1:5" x14ac:dyDescent="0.25">
      <c r="A53" s="1"/>
      <c r="B53" s="1" t="s">
        <v>856</v>
      </c>
      <c r="C53" s="1" t="s">
        <v>922</v>
      </c>
      <c r="E53" s="176"/>
    </row>
    <row r="54" spans="1:5" x14ac:dyDescent="0.25">
      <c r="A54" s="1"/>
      <c r="B54" s="1" t="s">
        <v>471</v>
      </c>
      <c r="C54" s="1" t="s">
        <v>923</v>
      </c>
      <c r="E54" s="176"/>
    </row>
    <row r="55" spans="1:5" x14ac:dyDescent="0.25">
      <c r="A55" s="1"/>
      <c r="B55" s="1" t="s">
        <v>472</v>
      </c>
      <c r="C55" s="1" t="s">
        <v>924</v>
      </c>
      <c r="E55" s="176"/>
    </row>
    <row r="56" spans="1:5" x14ac:dyDescent="0.25">
      <c r="A56" s="1"/>
      <c r="B56" s="1" t="s">
        <v>474</v>
      </c>
      <c r="C56" s="1" t="s">
        <v>925</v>
      </c>
      <c r="E56" s="176"/>
    </row>
    <row r="57" spans="1:5" x14ac:dyDescent="0.25">
      <c r="A57" s="1"/>
      <c r="B57" s="1" t="s">
        <v>895</v>
      </c>
      <c r="C57" s="1" t="s">
        <v>926</v>
      </c>
      <c r="E57" s="176"/>
    </row>
    <row r="58" spans="1:5" x14ac:dyDescent="0.25">
      <c r="A58" s="1"/>
      <c r="B58" s="1" t="s">
        <v>480</v>
      </c>
      <c r="E58" s="176"/>
    </row>
    <row r="59" spans="1:5" x14ac:dyDescent="0.25">
      <c r="A59" s="1"/>
      <c r="B59" s="1" t="s">
        <v>896</v>
      </c>
      <c r="C59" s="1" t="s">
        <v>927</v>
      </c>
      <c r="E59" s="176"/>
    </row>
    <row r="60" spans="1:5" x14ac:dyDescent="0.25">
      <c r="E60" s="176"/>
    </row>
    <row r="61" spans="1:5" ht="31.5" customHeight="1" x14ac:dyDescent="0.5">
      <c r="A61" s="222" t="s">
        <v>928</v>
      </c>
      <c r="B61" s="222"/>
      <c r="C61" s="222"/>
      <c r="D61" s="222"/>
      <c r="E61" s="176"/>
    </row>
    <row r="62" spans="1:5" ht="30" x14ac:dyDescent="0.25">
      <c r="A62" s="1" t="s">
        <v>161</v>
      </c>
      <c r="B62" s="1" t="s">
        <v>929</v>
      </c>
      <c r="C62" s="1" t="s">
        <v>930</v>
      </c>
      <c r="D62" s="1" t="s">
        <v>902</v>
      </c>
      <c r="E62" s="176"/>
    </row>
    <row r="63" spans="1:5" ht="30" x14ac:dyDescent="0.25">
      <c r="A63" s="1"/>
      <c r="B63" s="1" t="s">
        <v>931</v>
      </c>
      <c r="C63" s="1" t="s">
        <v>932</v>
      </c>
      <c r="D63" s="1" t="s">
        <v>933</v>
      </c>
      <c r="E63" s="176"/>
    </row>
    <row r="64" spans="1:5" x14ac:dyDescent="0.25">
      <c r="A64" s="1"/>
      <c r="B64" s="1" t="s">
        <v>406</v>
      </c>
      <c r="C64" s="1" t="s">
        <v>934</v>
      </c>
      <c r="D64" s="1" t="s">
        <v>935</v>
      </c>
      <c r="E64" s="176"/>
    </row>
    <row r="65" spans="1:9" ht="30" x14ac:dyDescent="0.25">
      <c r="A65" s="1"/>
      <c r="B65" s="1" t="s">
        <v>389</v>
      </c>
      <c r="C65" s="1" t="s">
        <v>936</v>
      </c>
      <c r="D65" s="1" t="s">
        <v>937</v>
      </c>
      <c r="E65" s="176"/>
    </row>
    <row r="66" spans="1:9" ht="30" x14ac:dyDescent="0.25">
      <c r="A66" s="1"/>
      <c r="B66" s="1" t="s">
        <v>938</v>
      </c>
      <c r="C66" s="1" t="s">
        <v>939</v>
      </c>
      <c r="D66" s="1" t="s">
        <v>940</v>
      </c>
      <c r="E66" s="176"/>
    </row>
    <row r="67" spans="1:9" ht="30" x14ac:dyDescent="0.25">
      <c r="A67" s="1"/>
      <c r="B67" s="1" t="s">
        <v>941</v>
      </c>
      <c r="C67" s="1" t="s">
        <v>942</v>
      </c>
      <c r="D67" s="1" t="s">
        <v>943</v>
      </c>
      <c r="E67" s="176"/>
    </row>
    <row r="68" spans="1:9" ht="45" x14ac:dyDescent="0.25">
      <c r="A68" s="1"/>
      <c r="B68" s="1" t="s">
        <v>944</v>
      </c>
      <c r="C68" s="1" t="s">
        <v>945</v>
      </c>
      <c r="D68" s="1" t="s">
        <v>946</v>
      </c>
      <c r="E68" s="177" t="s">
        <v>892</v>
      </c>
      <c r="F68" s="174" t="s">
        <v>892</v>
      </c>
      <c r="G68" s="174" t="s">
        <v>892</v>
      </c>
      <c r="H68" s="174" t="s">
        <v>892</v>
      </c>
      <c r="I68" s="175" t="s">
        <v>892</v>
      </c>
    </row>
    <row r="69" spans="1:9" ht="31.5" customHeight="1" x14ac:dyDescent="0.5">
      <c r="A69" s="222" t="s">
        <v>947</v>
      </c>
      <c r="B69" s="222"/>
      <c r="C69" s="222"/>
      <c r="D69" s="222"/>
      <c r="E69" s="177" t="s">
        <v>892</v>
      </c>
      <c r="F69" s="174" t="s">
        <v>892</v>
      </c>
      <c r="G69" s="174" t="s">
        <v>892</v>
      </c>
      <c r="H69" s="174" t="s">
        <v>892</v>
      </c>
      <c r="I69" s="175" t="s">
        <v>892</v>
      </c>
    </row>
    <row r="70" spans="1:9" x14ac:dyDescent="0.25">
      <c r="A70" s="1" t="s">
        <v>7</v>
      </c>
      <c r="B70" s="1" t="s">
        <v>898</v>
      </c>
      <c r="C70" s="1" t="s">
        <v>899</v>
      </c>
      <c r="D70" s="1" t="s">
        <v>897</v>
      </c>
      <c r="E70" s="177" t="s">
        <v>892</v>
      </c>
      <c r="F70" s="174" t="s">
        <v>892</v>
      </c>
      <c r="G70" s="174" t="s">
        <v>892</v>
      </c>
      <c r="H70" s="174" t="s">
        <v>892</v>
      </c>
      <c r="I70" s="175" t="s">
        <v>892</v>
      </c>
    </row>
    <row r="71" spans="1:9" ht="30" x14ac:dyDescent="0.25">
      <c r="A71" s="1"/>
      <c r="B71" s="1" t="s">
        <v>948</v>
      </c>
      <c r="C71" s="1" t="s">
        <v>949</v>
      </c>
      <c r="D71" s="1" t="s">
        <v>950</v>
      </c>
      <c r="E71" s="177" t="s">
        <v>892</v>
      </c>
      <c r="F71" s="174" t="s">
        <v>892</v>
      </c>
      <c r="G71" s="174" t="s">
        <v>892</v>
      </c>
      <c r="H71" s="174" t="s">
        <v>892</v>
      </c>
      <c r="I71" s="175" t="s">
        <v>892</v>
      </c>
    </row>
    <row r="72" spans="1:9" ht="30" x14ac:dyDescent="0.25">
      <c r="A72" s="1"/>
      <c r="B72" s="1" t="s">
        <v>951</v>
      </c>
      <c r="C72" s="1" t="s">
        <v>952</v>
      </c>
      <c r="D72" s="1" t="s">
        <v>953</v>
      </c>
      <c r="E72" s="177" t="s">
        <v>892</v>
      </c>
      <c r="F72" s="174" t="s">
        <v>892</v>
      </c>
      <c r="G72" s="174" t="s">
        <v>892</v>
      </c>
      <c r="H72" s="174" t="s">
        <v>892</v>
      </c>
      <c r="I72" s="175" t="s">
        <v>892</v>
      </c>
    </row>
    <row r="73" spans="1:9" ht="30" x14ac:dyDescent="0.25">
      <c r="A73" s="1"/>
      <c r="B73" s="1" t="s">
        <v>954</v>
      </c>
      <c r="C73" s="1" t="s">
        <v>955</v>
      </c>
      <c r="D73" s="1" t="s">
        <v>956</v>
      </c>
      <c r="E73" s="177" t="s">
        <v>892</v>
      </c>
      <c r="F73" s="174" t="s">
        <v>892</v>
      </c>
      <c r="G73" s="174" t="s">
        <v>892</v>
      </c>
      <c r="H73" s="174" t="s">
        <v>892</v>
      </c>
      <c r="I73" s="175" t="s">
        <v>892</v>
      </c>
    </row>
    <row r="74" spans="1:9" ht="30" x14ac:dyDescent="0.25">
      <c r="A74" s="1"/>
      <c r="B74" s="1" t="s">
        <v>957</v>
      </c>
      <c r="C74" s="1" t="s">
        <v>958</v>
      </c>
      <c r="D74" s="1" t="s">
        <v>959</v>
      </c>
      <c r="E74" s="176"/>
    </row>
    <row r="75" spans="1:9" ht="31.5" customHeight="1" x14ac:dyDescent="0.5">
      <c r="A75" s="222" t="s">
        <v>960</v>
      </c>
      <c r="B75" s="222"/>
      <c r="C75" s="222"/>
      <c r="D75" s="222"/>
      <c r="E75" s="176"/>
    </row>
    <row r="76" spans="1:9" x14ac:dyDescent="0.25">
      <c r="A76" s="1" t="s">
        <v>7</v>
      </c>
      <c r="B76" s="1" t="s">
        <v>900</v>
      </c>
      <c r="C76" s="1" t="s">
        <v>901</v>
      </c>
      <c r="D76" s="1" t="s">
        <v>161</v>
      </c>
      <c r="E76" s="176"/>
    </row>
    <row r="77" spans="1:9" ht="30" x14ac:dyDescent="0.25">
      <c r="A77" s="1"/>
      <c r="B77" s="1" t="s">
        <v>961</v>
      </c>
      <c r="C77" s="1" t="s">
        <v>962</v>
      </c>
      <c r="D77" s="1" t="s">
        <v>963</v>
      </c>
      <c r="E77" s="176"/>
    </row>
    <row r="78" spans="1:9" ht="30" x14ac:dyDescent="0.25">
      <c r="A78" s="1"/>
      <c r="B78" s="1" t="s">
        <v>964</v>
      </c>
      <c r="C78" s="1" t="s">
        <v>965</v>
      </c>
      <c r="D78" s="1" t="s">
        <v>966</v>
      </c>
      <c r="E78" s="176"/>
    </row>
    <row r="79" spans="1:9" ht="30" x14ac:dyDescent="0.25">
      <c r="A79" s="1"/>
      <c r="B79" s="1" t="s">
        <v>967</v>
      </c>
      <c r="C79" s="1" t="s">
        <v>968</v>
      </c>
      <c r="D79" s="1" t="s">
        <v>969</v>
      </c>
      <c r="E79" s="176"/>
    </row>
    <row r="80" spans="1:9" ht="12" customHeight="1" x14ac:dyDescent="0.25">
      <c r="A80" s="1"/>
      <c r="B80" s="1" t="s">
        <v>970</v>
      </c>
      <c r="C80" s="1" t="s">
        <v>971</v>
      </c>
      <c r="D80" s="1" t="s">
        <v>972</v>
      </c>
      <c r="E80" s="176"/>
    </row>
    <row r="81" spans="1:5" x14ac:dyDescent="0.25">
      <c r="A81" s="176"/>
      <c r="B81" s="184"/>
      <c r="C81" s="184"/>
      <c r="D81" s="184"/>
      <c r="E81" s="176"/>
    </row>
  </sheetData>
  <mergeCells count="8">
    <mergeCell ref="A69:D69"/>
    <mergeCell ref="A75:D75"/>
    <mergeCell ref="A33:D33"/>
    <mergeCell ref="B17:D17"/>
    <mergeCell ref="A27:D27"/>
    <mergeCell ref="A39:D39"/>
    <mergeCell ref="A46:D46"/>
    <mergeCell ref="A61:D61"/>
  </mergeCells>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F48" sqref="F48"/>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242</v>
      </c>
      <c r="B1" t="s">
        <v>458</v>
      </c>
      <c r="C1" t="s">
        <v>165</v>
      </c>
      <c r="D1" t="s">
        <v>1110</v>
      </c>
      <c r="E1" t="s">
        <v>4</v>
      </c>
      <c r="F1" t="s">
        <v>216</v>
      </c>
      <c r="G1" t="s">
        <v>217</v>
      </c>
    </row>
    <row r="2" spans="1:7" ht="40.5" customHeight="1" x14ac:dyDescent="0.25">
      <c r="A2" s="195" t="s">
        <v>1065</v>
      </c>
      <c r="B2" s="196" t="s">
        <v>1055</v>
      </c>
      <c r="C2" s="197" t="b">
        <v>1</v>
      </c>
      <c r="D2" s="150"/>
      <c r="E2" s="216" t="s">
        <v>1080</v>
      </c>
      <c r="F2" s="152"/>
      <c r="G2" s="198" t="s">
        <v>1210</v>
      </c>
    </row>
    <row r="3" spans="1:7" ht="15" customHeight="1" x14ac:dyDescent="0.25">
      <c r="A3" s="8"/>
      <c r="B3" s="6" t="s">
        <v>1056</v>
      </c>
      <c r="C3" s="6" t="s">
        <v>1057</v>
      </c>
      <c r="D3" s="6"/>
      <c r="E3" s="13" t="s">
        <v>1081</v>
      </c>
      <c r="F3" s="13"/>
      <c r="G3" s="199" t="s">
        <v>1210</v>
      </c>
    </row>
    <row r="4" spans="1:7" ht="15" customHeight="1" x14ac:dyDescent="0.25">
      <c r="A4" s="8"/>
      <c r="B4" s="15" t="s">
        <v>218</v>
      </c>
      <c r="C4" s="193">
        <v>2025</v>
      </c>
      <c r="D4" s="6"/>
      <c r="E4" s="13" t="s">
        <v>1082</v>
      </c>
      <c r="F4" s="13"/>
      <c r="G4" s="199" t="s">
        <v>1210</v>
      </c>
    </row>
    <row r="5" spans="1:7" ht="15" customHeight="1" thickBot="1" x14ac:dyDescent="0.3">
      <c r="A5" s="200"/>
      <c r="B5" s="10" t="s">
        <v>220</v>
      </c>
      <c r="C5" s="143">
        <v>2050</v>
      </c>
      <c r="D5" s="6"/>
      <c r="E5" s="153" t="s">
        <v>1083</v>
      </c>
      <c r="F5" s="153"/>
      <c r="G5" s="201" t="s">
        <v>1210</v>
      </c>
    </row>
    <row r="6" spans="1:7" ht="40.5" customHeight="1" x14ac:dyDescent="0.25">
      <c r="A6" s="195" t="s">
        <v>1069</v>
      </c>
      <c r="B6" s="150" t="s">
        <v>1060</v>
      </c>
      <c r="C6" s="194" t="b">
        <v>0</v>
      </c>
      <c r="D6" s="6"/>
      <c r="E6" s="216" t="s">
        <v>1086</v>
      </c>
      <c r="F6" s="152"/>
      <c r="G6" s="198" t="s">
        <v>1209</v>
      </c>
    </row>
    <row r="7" spans="1:7" ht="15" customHeight="1" x14ac:dyDescent="0.25">
      <c r="A7" s="8"/>
      <c r="B7" s="6" t="s">
        <v>1063</v>
      </c>
      <c r="C7" s="6" t="s">
        <v>1084</v>
      </c>
      <c r="D7" s="6"/>
      <c r="E7" s="13" t="s">
        <v>1085</v>
      </c>
      <c r="F7" s="13"/>
      <c r="G7" s="199" t="s">
        <v>1209</v>
      </c>
    </row>
    <row r="8" spans="1:7" ht="15" customHeight="1" x14ac:dyDescent="0.25">
      <c r="A8" s="8"/>
      <c r="B8" s="6" t="s">
        <v>1064</v>
      </c>
      <c r="C8" s="6"/>
      <c r="D8" s="6"/>
      <c r="E8" s="13"/>
      <c r="F8" s="13"/>
      <c r="G8" s="199" t="s">
        <v>1209</v>
      </c>
    </row>
    <row r="9" spans="1:7" ht="15" customHeight="1" thickBot="1" x14ac:dyDescent="0.3">
      <c r="A9" s="210"/>
      <c r="B9" s="136" t="s">
        <v>1109</v>
      </c>
      <c r="C9" s="6"/>
      <c r="D9" s="6"/>
      <c r="E9" s="151"/>
      <c r="F9" s="151"/>
      <c r="G9" s="212" t="s">
        <v>1209</v>
      </c>
    </row>
    <row r="10" spans="1:7" ht="44.25" customHeight="1" thickBot="1" x14ac:dyDescent="0.3">
      <c r="A10" s="203" t="s">
        <v>1068</v>
      </c>
      <c r="B10" s="204" t="s">
        <v>1061</v>
      </c>
      <c r="C10" s="213" t="b">
        <v>0</v>
      </c>
      <c r="D10" s="204"/>
      <c r="E10" s="207" t="s">
        <v>1072</v>
      </c>
      <c r="F10" s="205"/>
      <c r="G10" s="206" t="s">
        <v>1209</v>
      </c>
    </row>
    <row r="11" spans="1:7" ht="21.75" customHeight="1" x14ac:dyDescent="0.25">
      <c r="A11" s="6"/>
      <c r="B11" s="6" t="s">
        <v>1095</v>
      </c>
      <c r="C11" s="6" t="s">
        <v>1101</v>
      </c>
      <c r="D11" s="6">
        <v>1</v>
      </c>
      <c r="E11" s="208"/>
      <c r="F11" s="13"/>
      <c r="G11" s="13" t="s">
        <v>1209</v>
      </c>
    </row>
    <row r="12" spans="1:7" ht="21.75" customHeight="1" x14ac:dyDescent="0.25">
      <c r="A12" s="6"/>
      <c r="B12" s="6" t="s">
        <v>1096</v>
      </c>
      <c r="C12" s="6" t="s">
        <v>1102</v>
      </c>
      <c r="D12" s="6">
        <v>2</v>
      </c>
      <c r="E12" s="208"/>
      <c r="F12" s="13"/>
      <c r="G12" s="13" t="s">
        <v>1209</v>
      </c>
    </row>
    <row r="13" spans="1:7" ht="21.75" customHeight="1" x14ac:dyDescent="0.25">
      <c r="A13" s="6"/>
      <c r="B13" s="6" t="s">
        <v>1097</v>
      </c>
      <c r="C13" s="6" t="s">
        <v>1103</v>
      </c>
      <c r="D13" s="6">
        <v>3</v>
      </c>
      <c r="E13" s="208"/>
      <c r="F13" s="13"/>
      <c r="G13" s="13" t="s">
        <v>1209</v>
      </c>
    </row>
    <row r="14" spans="1:7" ht="21.75" customHeight="1" x14ac:dyDescent="0.25">
      <c r="A14" s="6"/>
      <c r="B14" s="6" t="s">
        <v>1098</v>
      </c>
      <c r="C14" s="6" t="s">
        <v>1104</v>
      </c>
      <c r="D14" s="6">
        <v>4</v>
      </c>
      <c r="E14" s="208"/>
      <c r="F14" s="13"/>
      <c r="G14" s="13" t="s">
        <v>1209</v>
      </c>
    </row>
    <row r="15" spans="1:7" ht="21.75" customHeight="1" x14ac:dyDescent="0.25">
      <c r="A15" s="6"/>
      <c r="B15" s="6" t="s">
        <v>1099</v>
      </c>
      <c r="C15" s="6"/>
      <c r="D15" s="6">
        <v>5</v>
      </c>
      <c r="E15" s="208"/>
      <c r="F15" s="13"/>
      <c r="G15" s="13" t="s">
        <v>1209</v>
      </c>
    </row>
    <row r="16" spans="1:7" ht="21.75" customHeight="1" thickBot="1" x14ac:dyDescent="0.3">
      <c r="A16" s="6"/>
      <c r="B16" s="6" t="s">
        <v>1100</v>
      </c>
      <c r="C16" s="6"/>
      <c r="D16" s="6">
        <v>6</v>
      </c>
      <c r="E16" s="208"/>
      <c r="F16" s="13"/>
      <c r="G16" s="13" t="s">
        <v>1209</v>
      </c>
    </row>
    <row r="17" spans="1:7" ht="42.75" customHeight="1" thickBot="1" x14ac:dyDescent="0.3">
      <c r="A17" s="203" t="s">
        <v>1066</v>
      </c>
      <c r="B17" s="204" t="s">
        <v>1062</v>
      </c>
      <c r="C17" s="213" t="b">
        <v>0</v>
      </c>
      <c r="D17" s="204"/>
      <c r="E17" s="207" t="s">
        <v>1071</v>
      </c>
      <c r="F17" s="205"/>
      <c r="G17" s="206" t="s">
        <v>1209</v>
      </c>
    </row>
    <row r="18" spans="1:7" ht="20.25" customHeight="1" x14ac:dyDescent="0.25">
      <c r="A18" s="6"/>
      <c r="B18" s="6" t="s">
        <v>1089</v>
      </c>
      <c r="C18" s="6" t="s">
        <v>1105</v>
      </c>
      <c r="D18" s="6">
        <v>1</v>
      </c>
      <c r="E18" s="208"/>
      <c r="F18" s="13"/>
      <c r="G18" s="13" t="s">
        <v>1209</v>
      </c>
    </row>
    <row r="19" spans="1:7" ht="20.25" customHeight="1" x14ac:dyDescent="0.25">
      <c r="A19" s="6"/>
      <c r="B19" s="6" t="s">
        <v>1090</v>
      </c>
      <c r="C19" s="6" t="s">
        <v>1106</v>
      </c>
      <c r="D19" s="6">
        <v>2</v>
      </c>
      <c r="E19" s="208"/>
      <c r="F19" s="13"/>
      <c r="G19" s="13" t="s">
        <v>1209</v>
      </c>
    </row>
    <row r="20" spans="1:7" ht="20.25" customHeight="1" x14ac:dyDescent="0.25">
      <c r="A20" s="6"/>
      <c r="B20" s="6" t="s">
        <v>1091</v>
      </c>
      <c r="C20" s="6" t="s">
        <v>1107</v>
      </c>
      <c r="D20" s="6">
        <v>3</v>
      </c>
      <c r="E20" s="208"/>
      <c r="F20" s="13"/>
      <c r="G20" s="13" t="s">
        <v>1209</v>
      </c>
    </row>
    <row r="21" spans="1:7" ht="20.25" customHeight="1" x14ac:dyDescent="0.25">
      <c r="A21" s="6"/>
      <c r="B21" s="6" t="s">
        <v>1092</v>
      </c>
      <c r="C21" s="6" t="s">
        <v>1108</v>
      </c>
      <c r="D21" s="6">
        <v>4</v>
      </c>
      <c r="E21" s="208"/>
      <c r="F21" s="13"/>
      <c r="G21" s="13" t="s">
        <v>1209</v>
      </c>
    </row>
    <row r="22" spans="1:7" ht="20.25" customHeight="1" x14ac:dyDescent="0.25">
      <c r="A22" s="6"/>
      <c r="B22" s="6" t="s">
        <v>1093</v>
      </c>
      <c r="C22" s="6"/>
      <c r="D22" s="6">
        <v>5</v>
      </c>
      <c r="E22" s="208"/>
      <c r="F22" s="13"/>
      <c r="G22" s="13" t="s">
        <v>1209</v>
      </c>
    </row>
    <row r="23" spans="1:7" ht="20.25" customHeight="1" thickBot="1" x14ac:dyDescent="0.3">
      <c r="A23" s="6"/>
      <c r="B23" s="6" t="s">
        <v>1094</v>
      </c>
      <c r="C23" s="6"/>
      <c r="D23" s="6">
        <v>6</v>
      </c>
      <c r="E23" s="208"/>
      <c r="F23" s="13"/>
      <c r="G23" s="13" t="s">
        <v>1209</v>
      </c>
    </row>
    <row r="24" spans="1:7" ht="52.5" customHeight="1" x14ac:dyDescent="0.25">
      <c r="A24" s="195" t="s">
        <v>1067</v>
      </c>
      <c r="B24" s="150" t="s">
        <v>1059</v>
      </c>
      <c r="C24" s="197" t="b">
        <v>0</v>
      </c>
      <c r="D24" s="196"/>
      <c r="E24" s="209" t="s">
        <v>1073</v>
      </c>
      <c r="F24" s="152"/>
      <c r="G24" s="198" t="s">
        <v>1209</v>
      </c>
    </row>
    <row r="25" spans="1:7" ht="15" customHeight="1" x14ac:dyDescent="0.25">
      <c r="A25" s="214"/>
      <c r="B25" s="290" t="s">
        <v>1078</v>
      </c>
      <c r="C25" s="290"/>
      <c r="D25" s="290">
        <v>1</v>
      </c>
      <c r="E25" s="192"/>
      <c r="F25" s="291"/>
      <c r="G25" s="199" t="s">
        <v>1209</v>
      </c>
    </row>
    <row r="26" spans="1:7" ht="15" customHeight="1" x14ac:dyDescent="0.25">
      <c r="A26" s="214"/>
      <c r="B26" s="290" t="s">
        <v>1079</v>
      </c>
      <c r="C26" s="290"/>
      <c r="D26" s="290">
        <v>2</v>
      </c>
      <c r="E26" s="192"/>
      <c r="F26" s="291"/>
      <c r="G26" s="199" t="s">
        <v>1209</v>
      </c>
    </row>
    <row r="27" spans="1:7" ht="15" customHeight="1" x14ac:dyDescent="0.25">
      <c r="A27" s="214"/>
      <c r="B27" s="290" t="s">
        <v>1087</v>
      </c>
      <c r="C27" s="290"/>
      <c r="D27" s="290">
        <v>3</v>
      </c>
      <c r="E27" s="291"/>
      <c r="F27" s="291"/>
      <c r="G27" s="199" t="s">
        <v>1209</v>
      </c>
    </row>
    <row r="28" spans="1:7" ht="15" customHeight="1" thickBot="1" x14ac:dyDescent="0.3">
      <c r="A28" s="215"/>
      <c r="B28" s="10" t="s">
        <v>1088</v>
      </c>
      <c r="C28" s="10"/>
      <c r="D28" s="10">
        <v>4</v>
      </c>
      <c r="E28" s="153"/>
      <c r="F28" s="153"/>
      <c r="G28" s="201" t="s">
        <v>1209</v>
      </c>
    </row>
    <row r="29" spans="1:7" ht="55.5" customHeight="1" x14ac:dyDescent="0.25">
      <c r="A29" s="134" t="s">
        <v>1070</v>
      </c>
      <c r="B29" s="15" t="s">
        <v>1058</v>
      </c>
      <c r="C29" s="287" t="b">
        <v>1</v>
      </c>
      <c r="D29" s="15"/>
      <c r="E29" s="288" t="s">
        <v>1076</v>
      </c>
      <c r="F29" s="192"/>
      <c r="G29" s="289" t="s">
        <v>1210</v>
      </c>
    </row>
    <row r="30" spans="1:7" ht="15" customHeight="1" x14ac:dyDescent="0.25">
      <c r="A30" s="214"/>
      <c r="B30" s="6" t="s">
        <v>1132</v>
      </c>
      <c r="C30" s="6" t="s">
        <v>1129</v>
      </c>
      <c r="D30" s="6">
        <v>1</v>
      </c>
      <c r="E30" s="13" t="s">
        <v>1130</v>
      </c>
      <c r="F30" s="13"/>
      <c r="G30" s="199" t="s">
        <v>1210</v>
      </c>
    </row>
    <row r="31" spans="1:7" ht="15" customHeight="1" x14ac:dyDescent="0.25">
      <c r="A31" s="214"/>
      <c r="B31" s="6" t="s">
        <v>1134</v>
      </c>
      <c r="C31" s="7"/>
      <c r="D31" s="6">
        <v>2</v>
      </c>
      <c r="E31" s="13" t="s">
        <v>1074</v>
      </c>
      <c r="F31" s="13"/>
      <c r="G31" s="199" t="s">
        <v>1210</v>
      </c>
    </row>
    <row r="32" spans="1:7" ht="15" customHeight="1" x14ac:dyDescent="0.25">
      <c r="A32" s="158"/>
      <c r="B32" s="6" t="s">
        <v>1135</v>
      </c>
      <c r="C32" s="7"/>
      <c r="D32" s="6"/>
      <c r="E32" s="13"/>
      <c r="F32" s="13"/>
      <c r="G32" s="13" t="s">
        <v>1210</v>
      </c>
    </row>
    <row r="33" spans="1:7" ht="15" customHeight="1" x14ac:dyDescent="0.25">
      <c r="A33" s="214"/>
      <c r="B33" s="6" t="s">
        <v>1133</v>
      </c>
      <c r="C33" s="7"/>
      <c r="D33" s="6">
        <v>3</v>
      </c>
      <c r="E33" s="13" t="s">
        <v>1075</v>
      </c>
      <c r="F33" s="13"/>
      <c r="G33" s="199" t="s">
        <v>1210</v>
      </c>
    </row>
    <row r="34" spans="1:7" ht="15" customHeight="1" x14ac:dyDescent="0.25">
      <c r="A34" s="158"/>
      <c r="B34" s="6" t="s">
        <v>1136</v>
      </c>
      <c r="C34" s="7"/>
      <c r="D34" s="6"/>
      <c r="E34" s="13"/>
      <c r="F34" s="13"/>
      <c r="G34" s="13" t="s">
        <v>1210</v>
      </c>
    </row>
    <row r="35" spans="1:7" ht="15" customHeight="1" x14ac:dyDescent="0.25">
      <c r="A35" s="214"/>
      <c r="B35" s="6" t="s">
        <v>1140</v>
      </c>
      <c r="C35" s="7"/>
      <c r="D35" s="6">
        <v>4</v>
      </c>
      <c r="E35" s="13" t="s">
        <v>1077</v>
      </c>
      <c r="F35" s="13"/>
      <c r="G35" s="199" t="s">
        <v>1210</v>
      </c>
    </row>
    <row r="36" spans="1:7" ht="15" customHeight="1" x14ac:dyDescent="0.25">
      <c r="A36" s="158"/>
      <c r="B36" s="6" t="s">
        <v>1137</v>
      </c>
      <c r="C36" s="7"/>
      <c r="D36" s="6"/>
      <c r="E36" s="13"/>
      <c r="F36" s="13"/>
      <c r="G36" s="13" t="s">
        <v>1210</v>
      </c>
    </row>
    <row r="37" spans="1:7" ht="15" customHeight="1" x14ac:dyDescent="0.25">
      <c r="A37" s="214"/>
      <c r="B37" s="6" t="s">
        <v>1139</v>
      </c>
      <c r="C37" s="7"/>
      <c r="D37" s="6">
        <v>5</v>
      </c>
      <c r="E37" s="13"/>
      <c r="F37" s="13"/>
      <c r="G37" s="199" t="s">
        <v>1210</v>
      </c>
    </row>
    <row r="38" spans="1:7" ht="15" customHeight="1" x14ac:dyDescent="0.25">
      <c r="A38" s="214"/>
      <c r="B38" s="6" t="s">
        <v>1138</v>
      </c>
      <c r="C38" s="7"/>
      <c r="D38" s="6"/>
      <c r="E38" s="13"/>
      <c r="F38" s="13"/>
      <c r="G38" s="199" t="s">
        <v>1210</v>
      </c>
    </row>
    <row r="39" spans="1:7" ht="15" customHeight="1" x14ac:dyDescent="0.25">
      <c r="A39" s="158"/>
      <c r="B39" s="6" t="s">
        <v>1189</v>
      </c>
      <c r="C39" s="7"/>
      <c r="D39" s="6">
        <v>6</v>
      </c>
      <c r="E39" s="13"/>
      <c r="F39" s="13"/>
      <c r="G39" s="13" t="s">
        <v>1210</v>
      </c>
    </row>
    <row r="40" spans="1:7" ht="15" customHeight="1" thickBot="1" x14ac:dyDescent="0.3">
      <c r="A40" s="217"/>
      <c r="B40" s="136" t="s">
        <v>1190</v>
      </c>
      <c r="C40" s="211"/>
      <c r="D40" s="6"/>
      <c r="E40" s="151"/>
      <c r="F40" s="151"/>
      <c r="G40" s="151" t="s">
        <v>1210</v>
      </c>
    </row>
    <row r="41" spans="1:7" ht="15" customHeight="1" x14ac:dyDescent="0.25">
      <c r="A41" s="220"/>
      <c r="B41" s="150" t="s">
        <v>1030</v>
      </c>
      <c r="C41" s="221" t="s">
        <v>163</v>
      </c>
      <c r="D41" s="221"/>
      <c r="E41" s="152"/>
      <c r="F41" s="152"/>
      <c r="G41" s="198" t="s">
        <v>1210</v>
      </c>
    </row>
    <row r="42" spans="1:7" x14ac:dyDescent="0.25">
      <c r="A42" s="214"/>
      <c r="B42" s="6" t="s">
        <v>221</v>
      </c>
      <c r="C42" s="6" t="s">
        <v>222</v>
      </c>
      <c r="D42" s="6"/>
      <c r="E42" s="13" t="s">
        <v>223</v>
      </c>
      <c r="F42" s="13" t="s">
        <v>219</v>
      </c>
      <c r="G42" s="199" t="s">
        <v>1210</v>
      </c>
    </row>
    <row r="43" spans="1:7" ht="15.75" thickBot="1" x14ac:dyDescent="0.3">
      <c r="A43" s="215"/>
      <c r="B43" s="10" t="s">
        <v>224</v>
      </c>
      <c r="C43" s="10" t="s">
        <v>181</v>
      </c>
      <c r="D43" s="10"/>
      <c r="E43" s="153" t="s">
        <v>225</v>
      </c>
      <c r="F43" s="153" t="s">
        <v>219</v>
      </c>
      <c r="G43" s="201" t="s">
        <v>1210</v>
      </c>
    </row>
    <row r="44" spans="1:7" x14ac:dyDescent="0.25">
      <c r="A44" s="195" t="s">
        <v>226</v>
      </c>
      <c r="B44" s="150" t="s">
        <v>227</v>
      </c>
      <c r="C44" s="202" t="b">
        <v>1</v>
      </c>
      <c r="D44" s="6"/>
      <c r="E44" s="152" t="s">
        <v>228</v>
      </c>
      <c r="F44" s="152" t="s">
        <v>229</v>
      </c>
      <c r="G44" s="198" t="s">
        <v>1210</v>
      </c>
    </row>
    <row r="45" spans="1:7" ht="15" customHeight="1" x14ac:dyDescent="0.25">
      <c r="A45" s="8"/>
      <c r="B45" s="6" t="s">
        <v>230</v>
      </c>
      <c r="C45" s="171" t="b">
        <v>0</v>
      </c>
      <c r="D45" s="6"/>
      <c r="E45" s="13" t="s">
        <v>231</v>
      </c>
      <c r="F45" s="13" t="s">
        <v>229</v>
      </c>
      <c r="G45" s="199" t="s">
        <v>1210</v>
      </c>
    </row>
    <row r="46" spans="1:7" x14ac:dyDescent="0.25">
      <c r="A46" s="8"/>
      <c r="B46" s="6" t="s">
        <v>243</v>
      </c>
      <c r="C46" s="171" t="b">
        <v>0</v>
      </c>
      <c r="D46" s="6"/>
      <c r="E46" s="13" t="s">
        <v>232</v>
      </c>
      <c r="F46" s="13" t="s">
        <v>229</v>
      </c>
      <c r="G46" s="199" t="s">
        <v>1210</v>
      </c>
    </row>
    <row r="47" spans="1:7" ht="15.75" thickBot="1" x14ac:dyDescent="0.3">
      <c r="A47" s="200"/>
      <c r="B47" s="10" t="s">
        <v>233</v>
      </c>
      <c r="C47" s="143">
        <v>150</v>
      </c>
      <c r="D47" s="6"/>
      <c r="E47" s="153" t="s">
        <v>234</v>
      </c>
      <c r="F47" s="153" t="s">
        <v>229</v>
      </c>
      <c r="G47" s="201" t="s">
        <v>1210</v>
      </c>
    </row>
    <row r="48" spans="1:7" ht="15" customHeight="1" x14ac:dyDescent="0.25">
      <c r="A48" s="150" t="s">
        <v>235</v>
      </c>
      <c r="B48" s="150" t="s">
        <v>215</v>
      </c>
      <c r="C48" s="171" t="b">
        <v>1</v>
      </c>
      <c r="D48" s="6"/>
      <c r="E48" s="152" t="s">
        <v>236</v>
      </c>
      <c r="F48" s="152" t="s">
        <v>237</v>
      </c>
      <c r="G48" s="152" t="s">
        <v>1210</v>
      </c>
    </row>
    <row r="49" spans="1:7" x14ac:dyDescent="0.25">
      <c r="A49" s="6"/>
      <c r="B49" s="6" t="s">
        <v>398</v>
      </c>
      <c r="C49" s="7" t="s">
        <v>1052</v>
      </c>
      <c r="D49" s="6"/>
      <c r="E49" s="13" t="s">
        <v>238</v>
      </c>
      <c r="F49" s="13" t="s">
        <v>237</v>
      </c>
      <c r="G49" s="13" t="s">
        <v>1210</v>
      </c>
    </row>
    <row r="50" spans="1:7" x14ac:dyDescent="0.25">
      <c r="A50" s="6"/>
      <c r="B50" s="6" t="s">
        <v>400</v>
      </c>
      <c r="C50" s="7" t="s">
        <v>1191</v>
      </c>
      <c r="D50" s="6"/>
      <c r="E50" s="13" t="s">
        <v>239</v>
      </c>
      <c r="F50" s="13" t="s">
        <v>237</v>
      </c>
      <c r="G50" s="13" t="s">
        <v>1210</v>
      </c>
    </row>
    <row r="51" spans="1:7" x14ac:dyDescent="0.25">
      <c r="A51" s="6"/>
      <c r="B51" s="6" t="s">
        <v>399</v>
      </c>
      <c r="C51" s="7" t="s">
        <v>1054</v>
      </c>
      <c r="D51" s="6"/>
      <c r="E51" s="13"/>
      <c r="F51" s="13"/>
      <c r="G51" s="13" t="s">
        <v>1210</v>
      </c>
    </row>
    <row r="52" spans="1:7" x14ac:dyDescent="0.25">
      <c r="A52" s="136"/>
      <c r="B52" s="136" t="s">
        <v>427</v>
      </c>
      <c r="C52" s="7" t="s">
        <v>1053</v>
      </c>
      <c r="D52" s="6"/>
      <c r="E52" s="151" t="s">
        <v>240</v>
      </c>
      <c r="F52" s="151" t="s">
        <v>237</v>
      </c>
      <c r="G52" s="151" t="s">
        <v>1210</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130" zoomScaleNormal="130" workbookViewId="0">
      <selection activeCell="E10" sqref="E10"/>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416</v>
      </c>
      <c r="E1" s="141" t="s">
        <v>1125</v>
      </c>
      <c r="F1" s="141" t="s">
        <v>421</v>
      </c>
      <c r="G1" s="141" t="s">
        <v>422</v>
      </c>
      <c r="H1" s="141" t="s">
        <v>423</v>
      </c>
      <c r="I1" s="141" t="s">
        <v>420</v>
      </c>
      <c r="J1" s="141" t="s">
        <v>1180</v>
      </c>
      <c r="K1" s="141" t="s">
        <v>1179</v>
      </c>
      <c r="L1" s="141" t="s">
        <v>1178</v>
      </c>
      <c r="M1" s="141" t="s">
        <v>1177</v>
      </c>
      <c r="N1" s="141" t="s">
        <v>1176</v>
      </c>
      <c r="O1" s="141" t="s">
        <v>1195</v>
      </c>
      <c r="P1" s="141" t="s">
        <v>1181</v>
      </c>
      <c r="Q1" s="141" t="s">
        <v>1145</v>
      </c>
      <c r="R1" s="141" t="s">
        <v>1175</v>
      </c>
      <c r="S1" s="141" t="s">
        <v>1182</v>
      </c>
      <c r="T1" s="141" t="s">
        <v>1146</v>
      </c>
      <c r="U1" s="141" t="s">
        <v>1141</v>
      </c>
      <c r="V1" s="141" t="s">
        <v>1183</v>
      </c>
      <c r="W1" s="141" t="s">
        <v>1147</v>
      </c>
      <c r="X1" s="141" t="s">
        <v>1142</v>
      </c>
      <c r="Y1" s="141" t="s">
        <v>1184</v>
      </c>
      <c r="Z1" s="141" t="s">
        <v>1143</v>
      </c>
      <c r="AA1" s="141" t="s">
        <v>1173</v>
      </c>
      <c r="AB1" s="141" t="s">
        <v>1185</v>
      </c>
      <c r="AC1" s="141" t="s">
        <v>1144</v>
      </c>
      <c r="AD1" s="141" t="s">
        <v>1174</v>
      </c>
      <c r="AE1" s="141" t="s">
        <v>1186</v>
      </c>
      <c r="AF1" s="141" t="s">
        <v>1187</v>
      </c>
      <c r="AG1" s="141" t="s">
        <v>1188</v>
      </c>
      <c r="AH1" s="141" t="s">
        <v>1120</v>
      </c>
      <c r="AI1" s="141" t="s">
        <v>1111</v>
      </c>
      <c r="AJ1" s="141" t="s">
        <v>1121</v>
      </c>
      <c r="AK1" s="141" t="s">
        <v>1112</v>
      </c>
      <c r="AL1" s="141" t="s">
        <v>1122</v>
      </c>
      <c r="AM1" s="141" t="s">
        <v>1116</v>
      </c>
      <c r="AN1" s="141" t="s">
        <v>1119</v>
      </c>
      <c r="AO1" s="141" t="s">
        <v>1113</v>
      </c>
      <c r="AP1" s="141" t="s">
        <v>1123</v>
      </c>
      <c r="AQ1" s="141" t="s">
        <v>1114</v>
      </c>
      <c r="AR1" s="141" t="s">
        <v>1124</v>
      </c>
      <c r="AS1" s="141" t="s">
        <v>1115</v>
      </c>
      <c r="AT1" s="141" t="s">
        <v>1118</v>
      </c>
      <c r="AU1" s="141" t="s">
        <v>1128</v>
      </c>
    </row>
    <row r="2" spans="1:49" x14ac:dyDescent="0.25">
      <c r="A2" s="142" t="b">
        <v>0</v>
      </c>
      <c r="B2" s="16">
        <f t="shared" ref="B2:B76" si="0">ROW()-1</f>
        <v>1</v>
      </c>
      <c r="C2" s="6" t="str">
        <f>"F_"&amp;LEFT(G2,2)&amp;"_"&amp;LEFT(I2,2)</f>
        <v>F_01_01</v>
      </c>
      <c r="D2" s="7"/>
      <c r="E2" s="6"/>
      <c r="F2" s="138"/>
      <c r="G2" s="6" t="str">
        <f>_xlfn.XLOOKUP(F2,Tab_Def_Processes[Process_Name],Tab_Def_Processes[Process_ID],,0,)</f>
        <v>01</v>
      </c>
      <c r="H2" s="138"/>
      <c r="I2" s="9" t="str">
        <f>_xlfn.XLOOKUP(H2,Tab_Def_Processes[Process_Name],Tab_Def_Processes[Process_ID],,0,)</f>
        <v>01</v>
      </c>
      <c r="J2" s="138" t="s">
        <v>5</v>
      </c>
      <c r="K2" s="138" t="s">
        <v>5</v>
      </c>
      <c r="L2" s="138" t="s">
        <v>5</v>
      </c>
      <c r="M2" s="138" t="s">
        <v>5</v>
      </c>
      <c r="N2" s="138" t="s">
        <v>5</v>
      </c>
      <c r="O2" s="138" t="s">
        <v>5</v>
      </c>
      <c r="P2" s="6" t="str">
        <f>Tab_Def_Flows[[#This Row],[Flow_ID]]&amp;"_E1"</f>
        <v>F_01_01_E1</v>
      </c>
      <c r="R2" s="13"/>
      <c r="S2" s="6" t="str">
        <f>Tab_Def_Flows[[#This Row],[Flow_ID]]&amp;"_E2"</f>
        <v>F_01_01_E2</v>
      </c>
      <c r="T2" s="135"/>
      <c r="U2" s="157"/>
      <c r="V2" s="6" t="str">
        <f>Tab_Def_Flows[[#This Row],[Flow_ID]]&amp;"_E3"</f>
        <v>F_01_01_E3</v>
      </c>
      <c r="W2" s="135"/>
      <c r="X2" s="157"/>
      <c r="Y2" s="6" t="str">
        <f>Tab_Def_Flows[[#This Row],[Flow_ID]]&amp;"_E4"</f>
        <v>F_01_01_E4</v>
      </c>
      <c r="Z2" s="135"/>
      <c r="AA2" s="13"/>
      <c r="AB2" s="6" t="str">
        <f>Tab_Def_Flows[[#This Row],[Flow_ID]]&amp;"_E5"</f>
        <v>F_01_01_E5</v>
      </c>
      <c r="AC2" s="140"/>
      <c r="AD2" s="13"/>
      <c r="AE2" s="6" t="str">
        <f>Tab_Def_Flows[[#This Row],[Flow_ID]]&amp;"_E6"</f>
        <v>F_01_01_E6</v>
      </c>
      <c r="AF2" s="140"/>
      <c r="AG2" s="13"/>
      <c r="AH2" s="194" t="b">
        <f>'0_Configuration'!$C$2</f>
        <v>1</v>
      </c>
      <c r="AI2" s="6"/>
      <c r="AJ2" s="194" t="b">
        <f>'0_Configuration'!$C$6</f>
        <v>0</v>
      </c>
      <c r="AK2" s="6" t="s">
        <v>1117</v>
      </c>
      <c r="AL2" s="194" t="b">
        <f>'0_Configuration'!$C$10</f>
        <v>0</v>
      </c>
      <c r="AM2" s="6" t="s">
        <v>1117</v>
      </c>
      <c r="AN2" s="194" t="b">
        <f>'0_Configuration'!$C$17</f>
        <v>0</v>
      </c>
      <c r="AO2" s="6">
        <f>_xlfn.XLOOKUP(Tab_Def_Flows[[#This Row],[ODYM_Good_Type]],Tab_Configuration[Value],Tab_Configuration[ODYM_ID],,0,)</f>
        <v>0</v>
      </c>
      <c r="AP2" s="194" t="b">
        <f>'0_Configuration'!$C$24</f>
        <v>0</v>
      </c>
      <c r="AQ2" s="6"/>
      <c r="AR2" s="194" t="b">
        <f>'0_Configuration'!$C$29</f>
        <v>1</v>
      </c>
      <c r="AS2" s="6" t="s">
        <v>1131</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F_01_01</v>
      </c>
      <c r="D3" s="7"/>
      <c r="E3" s="6"/>
      <c r="F3" s="138"/>
      <c r="G3" s="6" t="str">
        <f>_xlfn.XLOOKUP(F3,Tab_Def_Processes[Process_Name],Tab_Def_Processes[Process_ID],,0,)</f>
        <v>01</v>
      </c>
      <c r="H3" s="138"/>
      <c r="I3" s="9" t="str">
        <f>_xlfn.XLOOKUP(H3,Tab_Def_Processes[Process_Name],Tab_Def_Processes[Process_ID],,0,)</f>
        <v>01</v>
      </c>
      <c r="J3" s="138" t="s">
        <v>5</v>
      </c>
      <c r="K3" s="138" t="s">
        <v>5</v>
      </c>
      <c r="L3" s="138" t="s">
        <v>5</v>
      </c>
      <c r="M3" s="138" t="s">
        <v>5</v>
      </c>
      <c r="N3" s="138" t="s">
        <v>5</v>
      </c>
      <c r="O3" s="138" t="s">
        <v>5</v>
      </c>
      <c r="P3" s="6" t="str">
        <f>Tab_Def_Flows[[#This Row],[Flow_ID]]&amp;"_E1"</f>
        <v>F_01_01_E1</v>
      </c>
      <c r="R3" s="13"/>
      <c r="S3" s="6" t="str">
        <f>Tab_Def_Flows[[#This Row],[Flow_ID]]&amp;"_E2"</f>
        <v>F_01_01_E2</v>
      </c>
      <c r="T3" s="135"/>
      <c r="U3" s="13"/>
      <c r="V3" s="6" t="str">
        <f>Tab_Def_Flows[[#This Row],[Flow_ID]]&amp;"_E3"</f>
        <v>F_01_01_E3</v>
      </c>
      <c r="W3" s="135"/>
      <c r="X3" s="13"/>
      <c r="Y3" s="6" t="str">
        <f>Tab_Def_Flows[[#This Row],[Flow_ID]]&amp;"_E4"</f>
        <v>F_01_01_E4</v>
      </c>
      <c r="Z3" s="135"/>
      <c r="AA3" s="13"/>
      <c r="AB3" s="6" t="str">
        <f>Tab_Def_Flows[[#This Row],[Flow_ID]]&amp;"_E5"</f>
        <v>F_01_01_E5</v>
      </c>
      <c r="AC3" s="140"/>
      <c r="AD3" s="13"/>
      <c r="AE3" s="6" t="str">
        <f>Tab_Def_Flows[[#This Row],[Flow_ID]]&amp;"_E6"</f>
        <v>F_01_01_E6</v>
      </c>
      <c r="AF3" s="140"/>
      <c r="AG3" s="13"/>
      <c r="AH3" s="194" t="b">
        <f>'0_Configuration'!$C$2</f>
        <v>1</v>
      </c>
      <c r="AI3" s="6"/>
      <c r="AJ3" s="194" t="b">
        <f>'0_Configuration'!$C$6</f>
        <v>0</v>
      </c>
      <c r="AK3" s="6" t="s">
        <v>1117</v>
      </c>
      <c r="AL3" s="194" t="b">
        <f>'0_Configuration'!$C$10</f>
        <v>0</v>
      </c>
      <c r="AM3" s="6" t="s">
        <v>1117</v>
      </c>
      <c r="AN3" s="194" t="b">
        <f>'0_Configuration'!$C$17</f>
        <v>0</v>
      </c>
      <c r="AO3" s="6">
        <f>_xlfn.XLOOKUP(Tab_Def_Flows[[#This Row],[ODYM_Good_Type]],Tab_Configuration[Value],Tab_Configuration[ODYM_ID],,0,)</f>
        <v>0</v>
      </c>
      <c r="AP3" s="194" t="b">
        <f>'0_Configuration'!$C$24</f>
        <v>0</v>
      </c>
      <c r="AQ3" s="6"/>
      <c r="AR3" s="194" t="b">
        <f>'0_Configuration'!$C$29</f>
        <v>1</v>
      </c>
      <c r="AS3" s="6" t="s">
        <v>1131</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F_01_01</v>
      </c>
      <c r="D4" s="7"/>
      <c r="E4" s="6"/>
      <c r="F4" s="138"/>
      <c r="G4" s="6" t="str">
        <f>_xlfn.XLOOKUP(F4,Tab_Def_Processes[Process_Name],Tab_Def_Processes[Process_ID],,0,)</f>
        <v>01</v>
      </c>
      <c r="H4" s="138"/>
      <c r="I4" s="9" t="str">
        <f>_xlfn.XLOOKUP(H4,Tab_Def_Processes[Process_Name],Tab_Def_Processes[Process_ID],,0,)</f>
        <v>01</v>
      </c>
      <c r="J4" s="138" t="s">
        <v>5</v>
      </c>
      <c r="K4" s="138" t="s">
        <v>5</v>
      </c>
      <c r="L4" s="138" t="s">
        <v>5</v>
      </c>
      <c r="M4" s="138" t="s">
        <v>5</v>
      </c>
      <c r="N4" s="138" t="s">
        <v>5</v>
      </c>
      <c r="O4" s="138" t="s">
        <v>5</v>
      </c>
      <c r="P4" s="6" t="str">
        <f>Tab_Def_Flows[[#This Row],[Flow_ID]]&amp;"_E1"</f>
        <v>F_01_01_E1</v>
      </c>
      <c r="R4" s="13"/>
      <c r="S4" s="6" t="str">
        <f>Tab_Def_Flows[[#This Row],[Flow_ID]]&amp;"_E2"</f>
        <v>F_01_01_E2</v>
      </c>
      <c r="T4" s="135"/>
      <c r="U4" s="13"/>
      <c r="V4" s="6" t="str">
        <f>Tab_Def_Flows[[#This Row],[Flow_ID]]&amp;"_E3"</f>
        <v>F_01_01_E3</v>
      </c>
      <c r="W4" s="135"/>
      <c r="X4" s="13"/>
      <c r="Y4" s="6" t="str">
        <f>Tab_Def_Flows[[#This Row],[Flow_ID]]&amp;"_E4"</f>
        <v>F_01_01_E4</v>
      </c>
      <c r="Z4" s="135"/>
      <c r="AA4" s="13"/>
      <c r="AB4" s="6" t="str">
        <f>Tab_Def_Flows[[#This Row],[Flow_ID]]&amp;"_E5"</f>
        <v>F_01_01_E5</v>
      </c>
      <c r="AC4" s="140"/>
      <c r="AD4" s="13"/>
      <c r="AE4" s="6" t="str">
        <f>Tab_Def_Flows[[#This Row],[Flow_ID]]&amp;"_E6"</f>
        <v>F_01_01_E6</v>
      </c>
      <c r="AF4" s="140"/>
      <c r="AG4" s="13"/>
      <c r="AH4" s="194" t="b">
        <f>'0_Configuration'!$C$2</f>
        <v>1</v>
      </c>
      <c r="AI4" s="6"/>
      <c r="AJ4" s="194" t="b">
        <f>'0_Configuration'!$C$6</f>
        <v>0</v>
      </c>
      <c r="AK4" s="6" t="s">
        <v>1117</v>
      </c>
      <c r="AL4" s="194" t="b">
        <f>'0_Configuration'!$C$10</f>
        <v>0</v>
      </c>
      <c r="AM4" s="6" t="s">
        <v>1117</v>
      </c>
      <c r="AN4" s="194" t="b">
        <f>'0_Configuration'!$C$17</f>
        <v>0</v>
      </c>
      <c r="AO4" s="6">
        <f>_xlfn.XLOOKUP(Tab_Def_Flows[[#This Row],[ODYM_Good_Type]],Tab_Configuration[Value],Tab_Configuration[ODYM_ID],,0,)</f>
        <v>0</v>
      </c>
      <c r="AP4" s="194" t="b">
        <f>'0_Configuration'!$C$24</f>
        <v>0</v>
      </c>
      <c r="AQ4" s="6"/>
      <c r="AR4" s="194" t="b">
        <f>'0_Configuration'!$C$29</f>
        <v>1</v>
      </c>
      <c r="AS4" s="6" t="s">
        <v>1131</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F_01_01</v>
      </c>
      <c r="D5" s="7"/>
      <c r="E5" s="6"/>
      <c r="F5" s="138"/>
      <c r="G5" s="6" t="str">
        <f>_xlfn.XLOOKUP(F5,Tab_Def_Processes[Process_Name],Tab_Def_Processes[Process_ID],,0,)</f>
        <v>01</v>
      </c>
      <c r="H5" s="138"/>
      <c r="I5" s="9" t="str">
        <f>_xlfn.XLOOKUP(H5,Tab_Def_Processes[Process_Name],Tab_Def_Processes[Process_ID],,0,)</f>
        <v>01</v>
      </c>
      <c r="J5" s="138" t="s">
        <v>5</v>
      </c>
      <c r="K5" s="138" t="s">
        <v>5</v>
      </c>
      <c r="L5" s="138" t="s">
        <v>5</v>
      </c>
      <c r="M5" s="138" t="s">
        <v>5</v>
      </c>
      <c r="N5" s="138" t="s">
        <v>5</v>
      </c>
      <c r="O5" s="138" t="s">
        <v>5</v>
      </c>
      <c r="P5" s="6" t="str">
        <f>Tab_Def_Flows[[#This Row],[Flow_ID]]&amp;"_E1"</f>
        <v>F_01_01_E1</v>
      </c>
      <c r="R5" s="13"/>
      <c r="S5" s="6" t="str">
        <f>Tab_Def_Flows[[#This Row],[Flow_ID]]&amp;"_E2"</f>
        <v>F_01_01_E2</v>
      </c>
      <c r="T5" s="135"/>
      <c r="U5" s="13"/>
      <c r="V5" s="6" t="str">
        <f>Tab_Def_Flows[[#This Row],[Flow_ID]]&amp;"_E3"</f>
        <v>F_01_01_E3</v>
      </c>
      <c r="W5" s="135"/>
      <c r="X5" s="13"/>
      <c r="Y5" s="6" t="str">
        <f>Tab_Def_Flows[[#This Row],[Flow_ID]]&amp;"_E4"</f>
        <v>F_01_01_E4</v>
      </c>
      <c r="Z5" s="135"/>
      <c r="AA5" s="13"/>
      <c r="AB5" s="6" t="str">
        <f>Tab_Def_Flows[[#This Row],[Flow_ID]]&amp;"_E5"</f>
        <v>F_01_01_E5</v>
      </c>
      <c r="AC5" s="140"/>
      <c r="AD5" s="13"/>
      <c r="AE5" s="6" t="str">
        <f>Tab_Def_Flows[[#This Row],[Flow_ID]]&amp;"_E6"</f>
        <v>F_01_01_E6</v>
      </c>
      <c r="AF5" s="140"/>
      <c r="AG5" s="13"/>
      <c r="AH5" s="194" t="b">
        <f>'0_Configuration'!$C$2</f>
        <v>1</v>
      </c>
      <c r="AI5" s="6"/>
      <c r="AJ5" s="194" t="b">
        <f>'0_Configuration'!$C$6</f>
        <v>0</v>
      </c>
      <c r="AK5" s="6" t="s">
        <v>1117</v>
      </c>
      <c r="AL5" s="194" t="b">
        <f>'0_Configuration'!$C$10</f>
        <v>0</v>
      </c>
      <c r="AM5" s="6" t="s">
        <v>1117</v>
      </c>
      <c r="AN5" s="194" t="b">
        <f>'0_Configuration'!$C$17</f>
        <v>0</v>
      </c>
      <c r="AO5" s="6">
        <f>_xlfn.XLOOKUP(Tab_Def_Flows[[#This Row],[ODYM_Good_Type]],Tab_Configuration[Value],Tab_Configuration[ODYM_ID],,0,)</f>
        <v>0</v>
      </c>
      <c r="AP5" s="194" t="b">
        <f>'0_Configuration'!$C$24</f>
        <v>0</v>
      </c>
      <c r="AQ5" s="6"/>
      <c r="AR5" s="194" t="b">
        <f>'0_Configuration'!$C$29</f>
        <v>1</v>
      </c>
      <c r="AS5" s="6" t="s">
        <v>1131</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F_01_01</v>
      </c>
      <c r="D6" s="7"/>
      <c r="E6" s="6"/>
      <c r="F6" s="138"/>
      <c r="G6" s="6" t="str">
        <f>_xlfn.XLOOKUP(F6,Tab_Def_Processes[Process_Name],Tab_Def_Processes[Process_ID],,0,)</f>
        <v>01</v>
      </c>
      <c r="H6" s="138"/>
      <c r="I6" s="9" t="str">
        <f>_xlfn.XLOOKUP(H6,Tab_Def_Processes[Process_Name],Tab_Def_Processes[Process_ID],,0,)</f>
        <v>01</v>
      </c>
      <c r="J6" s="138" t="s">
        <v>5</v>
      </c>
      <c r="K6" s="138" t="s">
        <v>5</v>
      </c>
      <c r="L6" s="138" t="s">
        <v>5</v>
      </c>
      <c r="M6" s="138" t="s">
        <v>5</v>
      </c>
      <c r="N6" s="138" t="s">
        <v>5</v>
      </c>
      <c r="O6" s="138" t="s">
        <v>5</v>
      </c>
      <c r="P6" s="6" t="str">
        <f>Tab_Def_Flows[[#This Row],[Flow_ID]]&amp;"_E1"</f>
        <v>F_01_01_E1</v>
      </c>
      <c r="R6" s="13"/>
      <c r="S6" s="6" t="str">
        <f>Tab_Def_Flows[[#This Row],[Flow_ID]]&amp;"_E2"</f>
        <v>F_01_01_E2</v>
      </c>
      <c r="T6" s="135"/>
      <c r="U6" s="13"/>
      <c r="V6" s="6" t="str">
        <f>Tab_Def_Flows[[#This Row],[Flow_ID]]&amp;"_E3"</f>
        <v>F_01_01_E3</v>
      </c>
      <c r="W6" s="135"/>
      <c r="X6" s="13"/>
      <c r="Y6" s="6" t="str">
        <f>Tab_Def_Flows[[#This Row],[Flow_ID]]&amp;"_E4"</f>
        <v>F_01_01_E4</v>
      </c>
      <c r="Z6" s="135"/>
      <c r="AA6" s="13"/>
      <c r="AB6" s="6" t="str">
        <f>Tab_Def_Flows[[#This Row],[Flow_ID]]&amp;"_E5"</f>
        <v>F_01_01_E5</v>
      </c>
      <c r="AC6" s="140"/>
      <c r="AD6" s="13"/>
      <c r="AE6" s="6" t="str">
        <f>Tab_Def_Flows[[#This Row],[Flow_ID]]&amp;"_E6"</f>
        <v>F_01_01_E6</v>
      </c>
      <c r="AF6" s="140"/>
      <c r="AG6" s="13"/>
      <c r="AH6" s="194" t="b">
        <f>'0_Configuration'!$C$2</f>
        <v>1</v>
      </c>
      <c r="AI6" s="6"/>
      <c r="AJ6" s="194" t="b">
        <f>'0_Configuration'!$C$6</f>
        <v>0</v>
      </c>
      <c r="AK6" s="6" t="s">
        <v>1117</v>
      </c>
      <c r="AL6" s="194" t="b">
        <f>'0_Configuration'!$C$10</f>
        <v>0</v>
      </c>
      <c r="AM6" s="6" t="s">
        <v>1117</v>
      </c>
      <c r="AN6" s="194" t="b">
        <f>'0_Configuration'!$C$17</f>
        <v>0</v>
      </c>
      <c r="AO6" s="6">
        <f>_xlfn.XLOOKUP(Tab_Def_Flows[[#This Row],[ODYM_Good_Type]],Tab_Configuration[Value],Tab_Configuration[ODYM_ID],,0,)</f>
        <v>0</v>
      </c>
      <c r="AP6" s="194" t="b">
        <f>'0_Configuration'!$C$24</f>
        <v>0</v>
      </c>
      <c r="AQ6" s="6"/>
      <c r="AR6" s="194" t="b">
        <f>'0_Configuration'!$C$29</f>
        <v>1</v>
      </c>
      <c r="AS6" s="6" t="s">
        <v>1131</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F_01_01</v>
      </c>
      <c r="D7" s="219"/>
      <c r="E7" s="6"/>
      <c r="F7" s="138"/>
      <c r="G7" s="6" t="str">
        <f>_xlfn.XLOOKUP(F7,Tab_Def_Processes[Process_Name],Tab_Def_Processes[Process_ID],,0,)</f>
        <v>01</v>
      </c>
      <c r="H7" s="138"/>
      <c r="I7" s="9" t="str">
        <f>_xlfn.XLOOKUP(H7,Tab_Def_Processes[Process_Name],Tab_Def_Processes[Process_ID],,0,)</f>
        <v>01</v>
      </c>
      <c r="J7" s="138" t="s">
        <v>5</v>
      </c>
      <c r="K7" s="138" t="s">
        <v>5</v>
      </c>
      <c r="L7" s="138" t="s">
        <v>5</v>
      </c>
      <c r="M7" s="138" t="s">
        <v>5</v>
      </c>
      <c r="N7" s="138" t="s">
        <v>5</v>
      </c>
      <c r="O7" s="138" t="s">
        <v>5</v>
      </c>
      <c r="P7" s="6" t="str">
        <f>Tab_Def_Flows[[#This Row],[Flow_ID]]&amp;"_E1"</f>
        <v>F_01_01_E1</v>
      </c>
      <c r="R7" s="13"/>
      <c r="S7" s="6" t="str">
        <f>Tab_Def_Flows[[#This Row],[Flow_ID]]&amp;"_E2"</f>
        <v>F_01_01_E2</v>
      </c>
      <c r="T7" s="135"/>
      <c r="U7" s="13"/>
      <c r="V7" s="6" t="str">
        <f>Tab_Def_Flows[[#This Row],[Flow_ID]]&amp;"_E3"</f>
        <v>F_01_01_E3</v>
      </c>
      <c r="W7" s="135"/>
      <c r="X7" s="13"/>
      <c r="Y7" s="6" t="str">
        <f>Tab_Def_Flows[[#This Row],[Flow_ID]]&amp;"_E4"</f>
        <v>F_01_01_E4</v>
      </c>
      <c r="Z7" s="135"/>
      <c r="AA7" s="13"/>
      <c r="AB7" s="6" t="str">
        <f>Tab_Def_Flows[[#This Row],[Flow_ID]]&amp;"_E5"</f>
        <v>F_01_01_E5</v>
      </c>
      <c r="AC7" s="140"/>
      <c r="AD7" s="13"/>
      <c r="AE7" s="6" t="str">
        <f>Tab_Def_Flows[[#This Row],[Flow_ID]]&amp;"_E6"</f>
        <v>F_01_01_E6</v>
      </c>
      <c r="AF7" s="140"/>
      <c r="AG7" s="13"/>
      <c r="AH7" s="194" t="b">
        <f>'0_Configuration'!$C$2</f>
        <v>1</v>
      </c>
      <c r="AI7" s="6"/>
      <c r="AJ7" s="194" t="b">
        <f>'0_Configuration'!$C$6</f>
        <v>0</v>
      </c>
      <c r="AK7" s="6" t="s">
        <v>1117</v>
      </c>
      <c r="AL7" s="194" t="b">
        <f>'0_Configuration'!$C$10</f>
        <v>0</v>
      </c>
      <c r="AM7" s="6" t="s">
        <v>1117</v>
      </c>
      <c r="AN7" s="194" t="b">
        <f>'0_Configuration'!$C$17</f>
        <v>0</v>
      </c>
      <c r="AO7" s="6">
        <f>_xlfn.XLOOKUP(Tab_Def_Flows[[#This Row],[ODYM_Good_Type]],Tab_Configuration[Value],Tab_Configuration[ODYM_ID],,0,)</f>
        <v>0</v>
      </c>
      <c r="AP7" s="194" t="b">
        <f>'0_Configuration'!$C$24</f>
        <v>0</v>
      </c>
      <c r="AQ7" s="6"/>
      <c r="AR7" s="194" t="b">
        <f>'0_Configuration'!$C$29</f>
        <v>1</v>
      </c>
      <c r="AS7" s="6" t="s">
        <v>1131</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F_01_01</v>
      </c>
      <c r="D8" s="218"/>
      <c r="E8" s="6"/>
      <c r="F8" s="138"/>
      <c r="G8" s="6" t="str">
        <f>_xlfn.XLOOKUP(F8,Tab_Def_Processes[Process_Name],Tab_Def_Processes[Process_ID],,0,)</f>
        <v>01</v>
      </c>
      <c r="H8" s="138"/>
      <c r="I8" s="9" t="str">
        <f>_xlfn.XLOOKUP(H8,Tab_Def_Processes[Process_Name],Tab_Def_Processes[Process_ID],,0,)</f>
        <v>01</v>
      </c>
      <c r="J8" s="138" t="s">
        <v>5</v>
      </c>
      <c r="K8" s="138" t="s">
        <v>5</v>
      </c>
      <c r="L8" s="138" t="s">
        <v>5</v>
      </c>
      <c r="M8" s="138" t="s">
        <v>5</v>
      </c>
      <c r="N8" s="138" t="s">
        <v>5</v>
      </c>
      <c r="O8" s="138" t="s">
        <v>5</v>
      </c>
      <c r="P8" s="6" t="str">
        <f>Tab_Def_Flows[[#This Row],[Flow_ID]]&amp;"_E1"</f>
        <v>F_01_01_E1</v>
      </c>
      <c r="R8" s="13"/>
      <c r="S8" s="6" t="str">
        <f>Tab_Def_Flows[[#This Row],[Flow_ID]]&amp;"_E2"</f>
        <v>F_01_01_E2</v>
      </c>
      <c r="T8" s="135"/>
      <c r="U8" s="13"/>
      <c r="V8" s="6" t="str">
        <f>Tab_Def_Flows[[#This Row],[Flow_ID]]&amp;"_E3"</f>
        <v>F_01_01_E3</v>
      </c>
      <c r="W8" s="135"/>
      <c r="X8" s="13"/>
      <c r="Y8" s="6" t="str">
        <f>Tab_Def_Flows[[#This Row],[Flow_ID]]&amp;"_E4"</f>
        <v>F_01_01_E4</v>
      </c>
      <c r="Z8" s="135"/>
      <c r="AA8" s="13"/>
      <c r="AB8" s="6" t="str">
        <f>Tab_Def_Flows[[#This Row],[Flow_ID]]&amp;"_E5"</f>
        <v>F_01_01_E5</v>
      </c>
      <c r="AC8" s="140"/>
      <c r="AD8" s="13"/>
      <c r="AE8" s="6" t="str">
        <f>Tab_Def_Flows[[#This Row],[Flow_ID]]&amp;"_E6"</f>
        <v>F_01_01_E6</v>
      </c>
      <c r="AF8" s="140"/>
      <c r="AG8" s="13"/>
      <c r="AH8" s="194" t="b">
        <f>'0_Configuration'!$C$2</f>
        <v>1</v>
      </c>
      <c r="AI8" s="6"/>
      <c r="AJ8" s="194" t="b">
        <f>'0_Configuration'!$C$6</f>
        <v>0</v>
      </c>
      <c r="AK8" s="6" t="s">
        <v>1117</v>
      </c>
      <c r="AL8" s="194" t="b">
        <f>'0_Configuration'!$C$10</f>
        <v>0</v>
      </c>
      <c r="AM8" s="6" t="s">
        <v>1117</v>
      </c>
      <c r="AN8" s="194" t="b">
        <f>'0_Configuration'!$C$17</f>
        <v>0</v>
      </c>
      <c r="AO8" s="6">
        <f>_xlfn.XLOOKUP(Tab_Def_Flows[[#This Row],[ODYM_Good_Type]],Tab_Configuration[Value],Tab_Configuration[ODYM_ID],,0,)</f>
        <v>0</v>
      </c>
      <c r="AP8" s="194" t="b">
        <f>'0_Configuration'!$C$24</f>
        <v>0</v>
      </c>
      <c r="AQ8" s="6"/>
      <c r="AR8" s="194" t="b">
        <f>'0_Configuration'!$C$29</f>
        <v>1</v>
      </c>
      <c r="AS8" s="6" t="s">
        <v>1131</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F_01_01</v>
      </c>
      <c r="D9" s="7"/>
      <c r="E9" s="6"/>
      <c r="F9" s="138"/>
      <c r="G9" s="6" t="str">
        <f>_xlfn.XLOOKUP(F9,Tab_Def_Processes[Process_Name],Tab_Def_Processes[Process_ID],,0,)</f>
        <v>01</v>
      </c>
      <c r="H9" s="138"/>
      <c r="I9" s="9" t="str">
        <f>_xlfn.XLOOKUP(H9,Tab_Def_Processes[Process_Name],Tab_Def_Processes[Process_ID],,0,)</f>
        <v>01</v>
      </c>
      <c r="J9" s="138" t="s">
        <v>5</v>
      </c>
      <c r="K9" s="138" t="s">
        <v>5</v>
      </c>
      <c r="L9" s="138" t="s">
        <v>5</v>
      </c>
      <c r="M9" s="138" t="s">
        <v>5</v>
      </c>
      <c r="N9" s="138" t="s">
        <v>5</v>
      </c>
      <c r="O9" s="138" t="s">
        <v>5</v>
      </c>
      <c r="P9" s="6" t="str">
        <f>Tab_Def_Flows[[#This Row],[Flow_ID]]&amp;"_E1"</f>
        <v>F_01_01_E1</v>
      </c>
      <c r="R9" s="13"/>
      <c r="S9" s="6" t="str">
        <f>Tab_Def_Flows[[#This Row],[Flow_ID]]&amp;"_E2"</f>
        <v>F_01_01_E2</v>
      </c>
      <c r="T9" s="135"/>
      <c r="U9" s="157"/>
      <c r="V9" s="6" t="str">
        <f>Tab_Def_Flows[[#This Row],[Flow_ID]]&amp;"_E3"</f>
        <v>F_01_01_E3</v>
      </c>
      <c r="W9" s="135"/>
      <c r="X9" s="157"/>
      <c r="Y9" s="6" t="str">
        <f>Tab_Def_Flows[[#This Row],[Flow_ID]]&amp;"_E4"</f>
        <v>F_01_01_E4</v>
      </c>
      <c r="Z9" s="135"/>
      <c r="AA9" s="13"/>
      <c r="AB9" s="6" t="str">
        <f>Tab_Def_Flows[[#This Row],[Flow_ID]]&amp;"_E5"</f>
        <v>F_01_01_E5</v>
      </c>
      <c r="AC9" s="140"/>
      <c r="AD9" s="13"/>
      <c r="AE9" s="6" t="str">
        <f>Tab_Def_Flows[[#This Row],[Flow_ID]]&amp;"_E6"</f>
        <v>F_01_01_E6</v>
      </c>
      <c r="AF9" s="140"/>
      <c r="AG9" s="13"/>
      <c r="AH9" s="194" t="b">
        <f>'0_Configuration'!$C$2</f>
        <v>1</v>
      </c>
      <c r="AI9" s="6"/>
      <c r="AJ9" s="194" t="b">
        <f>'0_Configuration'!$C$6</f>
        <v>0</v>
      </c>
      <c r="AK9" s="6" t="s">
        <v>1117</v>
      </c>
      <c r="AL9" s="194" t="b">
        <f>'0_Configuration'!$C$10</f>
        <v>0</v>
      </c>
      <c r="AM9" s="6" t="s">
        <v>1117</v>
      </c>
      <c r="AN9" s="194" t="b">
        <f>'0_Configuration'!$C$17</f>
        <v>0</v>
      </c>
      <c r="AO9" s="6">
        <f>_xlfn.XLOOKUP(Tab_Def_Flows[[#This Row],[ODYM_Good_Type]],Tab_Configuration[Value],Tab_Configuration[ODYM_ID],,0,)</f>
        <v>0</v>
      </c>
      <c r="AP9" s="194" t="b">
        <f>'0_Configuration'!$C$24</f>
        <v>0</v>
      </c>
      <c r="AQ9" s="6"/>
      <c r="AR9" s="194" t="b">
        <f>'0_Configuration'!$C$29</f>
        <v>1</v>
      </c>
      <c r="AS9" s="6" t="s">
        <v>1131</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F_01_01</v>
      </c>
      <c r="D10" s="7"/>
      <c r="E10" s="6"/>
      <c r="F10" s="138"/>
      <c r="G10" s="6" t="str">
        <f>_xlfn.XLOOKUP(F10,Tab_Def_Processes[Process_Name],Tab_Def_Processes[Process_ID],,0,)</f>
        <v>01</v>
      </c>
      <c r="H10" s="138"/>
      <c r="I10" s="9" t="str">
        <f>_xlfn.XLOOKUP(H10,Tab_Def_Processes[Process_Name],Tab_Def_Processes[Process_ID],,0,)</f>
        <v>01</v>
      </c>
      <c r="J10" s="138" t="s">
        <v>5</v>
      </c>
      <c r="K10" s="138" t="s">
        <v>5</v>
      </c>
      <c r="L10" s="138" t="s">
        <v>5</v>
      </c>
      <c r="M10" s="138" t="s">
        <v>5</v>
      </c>
      <c r="N10" s="138" t="s">
        <v>5</v>
      </c>
      <c r="O10" s="138" t="s">
        <v>5</v>
      </c>
      <c r="P10" s="6" t="str">
        <f>Tab_Def_Flows[[#This Row],[Flow_ID]]&amp;"_E1"</f>
        <v>F_01_01_E1</v>
      </c>
      <c r="R10" s="13"/>
      <c r="S10" s="6" t="str">
        <f>Tab_Def_Flows[[#This Row],[Flow_ID]]&amp;"_E2"</f>
        <v>F_01_01_E2</v>
      </c>
      <c r="T10" s="135"/>
      <c r="U10" s="13"/>
      <c r="V10" s="6" t="str">
        <f>Tab_Def_Flows[[#This Row],[Flow_ID]]&amp;"_E3"</f>
        <v>F_01_01_E3</v>
      </c>
      <c r="W10" s="135"/>
      <c r="X10" s="13"/>
      <c r="Y10" s="6" t="str">
        <f>Tab_Def_Flows[[#This Row],[Flow_ID]]&amp;"_E4"</f>
        <v>F_01_01_E4</v>
      </c>
      <c r="Z10" s="135"/>
      <c r="AA10" s="13"/>
      <c r="AB10" s="6" t="str">
        <f>Tab_Def_Flows[[#This Row],[Flow_ID]]&amp;"_E5"</f>
        <v>F_01_01_E5</v>
      </c>
      <c r="AC10" s="140"/>
      <c r="AD10" s="13"/>
      <c r="AE10" s="6" t="str">
        <f>Tab_Def_Flows[[#This Row],[Flow_ID]]&amp;"_E6"</f>
        <v>F_01_01_E6</v>
      </c>
      <c r="AF10" s="140"/>
      <c r="AG10" s="13"/>
      <c r="AH10" s="194" t="b">
        <f>'0_Configuration'!$C$2</f>
        <v>1</v>
      </c>
      <c r="AI10" s="6"/>
      <c r="AJ10" s="194" t="b">
        <f>'0_Configuration'!$C$6</f>
        <v>0</v>
      </c>
      <c r="AK10" s="6" t="s">
        <v>1117</v>
      </c>
      <c r="AL10" s="194" t="b">
        <f>'0_Configuration'!$C$10</f>
        <v>0</v>
      </c>
      <c r="AM10" s="6" t="s">
        <v>1117</v>
      </c>
      <c r="AN10" s="194" t="b">
        <f>'0_Configuration'!$C$17</f>
        <v>0</v>
      </c>
      <c r="AO10" s="6">
        <f>_xlfn.XLOOKUP(Tab_Def_Flows[[#This Row],[ODYM_Good_Type]],Tab_Configuration[Value],Tab_Configuration[ODYM_ID],,0,)</f>
        <v>0</v>
      </c>
      <c r="AP10" s="194" t="b">
        <f>'0_Configuration'!$C$24</f>
        <v>0</v>
      </c>
      <c r="AQ10" s="6"/>
      <c r="AR10" s="194" t="b">
        <f>'0_Configuration'!$C$29</f>
        <v>1</v>
      </c>
      <c r="AS10" s="6" t="s">
        <v>1131</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F_01_01</v>
      </c>
      <c r="D11" s="7"/>
      <c r="E11" s="6"/>
      <c r="F11" s="138"/>
      <c r="G11" s="6" t="str">
        <f>_xlfn.XLOOKUP(F11,Tab_Def_Processes[Process_Name],Tab_Def_Processes[Process_ID],,0,)</f>
        <v>01</v>
      </c>
      <c r="H11" s="138"/>
      <c r="I11" s="9" t="str">
        <f>_xlfn.XLOOKUP(H11,Tab_Def_Processes[Process_Name],Tab_Def_Processes[Process_ID],,0,)</f>
        <v>01</v>
      </c>
      <c r="J11" s="138" t="s">
        <v>5</v>
      </c>
      <c r="K11" s="138" t="s">
        <v>5</v>
      </c>
      <c r="L11" s="138" t="s">
        <v>5</v>
      </c>
      <c r="M11" s="138" t="s">
        <v>5</v>
      </c>
      <c r="N11" s="138" t="s">
        <v>5</v>
      </c>
      <c r="O11" s="138" t="s">
        <v>5</v>
      </c>
      <c r="P11" s="6" t="str">
        <f>Tab_Def_Flows[[#This Row],[Flow_ID]]&amp;"_E1"</f>
        <v>F_01_01_E1</v>
      </c>
      <c r="R11" s="13"/>
      <c r="S11" s="6" t="str">
        <f>Tab_Def_Flows[[#This Row],[Flow_ID]]&amp;"_E2"</f>
        <v>F_01_01_E2</v>
      </c>
      <c r="T11" s="135"/>
      <c r="U11" s="13"/>
      <c r="V11" s="6" t="str">
        <f>Tab_Def_Flows[[#This Row],[Flow_ID]]&amp;"_E3"</f>
        <v>F_01_01_E3</v>
      </c>
      <c r="W11" s="135"/>
      <c r="X11" s="13"/>
      <c r="Y11" s="6" t="str">
        <f>Tab_Def_Flows[[#This Row],[Flow_ID]]&amp;"_E4"</f>
        <v>F_01_01_E4</v>
      </c>
      <c r="Z11" s="135"/>
      <c r="AA11" s="13"/>
      <c r="AB11" s="6" t="str">
        <f>Tab_Def_Flows[[#This Row],[Flow_ID]]&amp;"_E5"</f>
        <v>F_01_01_E5</v>
      </c>
      <c r="AC11" s="140"/>
      <c r="AD11" s="13"/>
      <c r="AE11" s="6" t="str">
        <f>Tab_Def_Flows[[#This Row],[Flow_ID]]&amp;"_E6"</f>
        <v>F_01_01_E6</v>
      </c>
      <c r="AF11" s="140"/>
      <c r="AG11" s="13"/>
      <c r="AH11" s="194" t="b">
        <f>'0_Configuration'!$C$2</f>
        <v>1</v>
      </c>
      <c r="AI11" s="6"/>
      <c r="AJ11" s="194" t="b">
        <f>'0_Configuration'!$C$6</f>
        <v>0</v>
      </c>
      <c r="AK11" s="6" t="s">
        <v>1117</v>
      </c>
      <c r="AL11" s="194" t="b">
        <f>'0_Configuration'!$C$10</f>
        <v>0</v>
      </c>
      <c r="AM11" s="6" t="s">
        <v>1117</v>
      </c>
      <c r="AN11" s="194" t="b">
        <f>'0_Configuration'!$C$17</f>
        <v>0</v>
      </c>
      <c r="AO11" s="6">
        <f>_xlfn.XLOOKUP(Tab_Def_Flows[[#This Row],[ODYM_Good_Type]],Tab_Configuration[Value],Tab_Configuration[ODYM_ID],,0,)</f>
        <v>0</v>
      </c>
      <c r="AP11" s="194" t="b">
        <f>'0_Configuration'!$C$24</f>
        <v>0</v>
      </c>
      <c r="AQ11" s="6"/>
      <c r="AR11" s="194" t="b">
        <f>'0_Configuration'!$C$29</f>
        <v>1</v>
      </c>
      <c r="AS11" s="6" t="s">
        <v>1131</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F_01_01</v>
      </c>
      <c r="D12" s="7"/>
      <c r="E12" s="6"/>
      <c r="F12" s="138"/>
      <c r="G12" s="6" t="str">
        <f>_xlfn.XLOOKUP(F12,Tab_Def_Processes[Process_Name],Tab_Def_Processes[Process_ID],,0,)</f>
        <v>01</v>
      </c>
      <c r="H12" s="138"/>
      <c r="I12" s="9" t="str">
        <f>_xlfn.XLOOKUP(H12,Tab_Def_Processes[Process_Name],Tab_Def_Processes[Process_ID],,0,)</f>
        <v>01</v>
      </c>
      <c r="J12" s="138" t="s">
        <v>5</v>
      </c>
      <c r="K12" s="138" t="s">
        <v>5</v>
      </c>
      <c r="L12" s="138" t="s">
        <v>5</v>
      </c>
      <c r="M12" s="138" t="s">
        <v>5</v>
      </c>
      <c r="N12" s="138" t="s">
        <v>5</v>
      </c>
      <c r="O12" s="138" t="s">
        <v>5</v>
      </c>
      <c r="P12" s="6" t="str">
        <f>Tab_Def_Flows[[#This Row],[Flow_ID]]&amp;"_E1"</f>
        <v>F_01_01_E1</v>
      </c>
      <c r="R12" s="13"/>
      <c r="S12" s="6" t="str">
        <f>Tab_Def_Flows[[#This Row],[Flow_ID]]&amp;"_E2"</f>
        <v>F_01_01_E2</v>
      </c>
      <c r="T12" s="135"/>
      <c r="U12" s="13"/>
      <c r="V12" s="6" t="str">
        <f>Tab_Def_Flows[[#This Row],[Flow_ID]]&amp;"_E3"</f>
        <v>F_01_01_E3</v>
      </c>
      <c r="W12" s="135"/>
      <c r="X12" s="13"/>
      <c r="Y12" s="6" t="str">
        <f>Tab_Def_Flows[[#This Row],[Flow_ID]]&amp;"_E4"</f>
        <v>F_01_01_E4</v>
      </c>
      <c r="Z12" s="135"/>
      <c r="AA12" s="13"/>
      <c r="AB12" s="6" t="str">
        <f>Tab_Def_Flows[[#This Row],[Flow_ID]]&amp;"_E5"</f>
        <v>F_01_01_E5</v>
      </c>
      <c r="AC12" s="140"/>
      <c r="AD12" s="13"/>
      <c r="AE12" s="6" t="str">
        <f>Tab_Def_Flows[[#This Row],[Flow_ID]]&amp;"_E6"</f>
        <v>F_01_01_E6</v>
      </c>
      <c r="AF12" s="140"/>
      <c r="AG12" s="13"/>
      <c r="AH12" s="194" t="b">
        <f>'0_Configuration'!$C$2</f>
        <v>1</v>
      </c>
      <c r="AI12" s="6"/>
      <c r="AJ12" s="194" t="b">
        <f>'0_Configuration'!$C$6</f>
        <v>0</v>
      </c>
      <c r="AK12" s="6" t="s">
        <v>1117</v>
      </c>
      <c r="AL12" s="194" t="b">
        <f>'0_Configuration'!$C$10</f>
        <v>0</v>
      </c>
      <c r="AM12" s="6" t="s">
        <v>1117</v>
      </c>
      <c r="AN12" s="194" t="b">
        <f>'0_Configuration'!$C$17</f>
        <v>0</v>
      </c>
      <c r="AO12" s="6">
        <f>_xlfn.XLOOKUP(Tab_Def_Flows[[#This Row],[ODYM_Good_Type]],Tab_Configuration[Value],Tab_Configuration[ODYM_ID],,0,)</f>
        <v>0</v>
      </c>
      <c r="AP12" s="194" t="b">
        <f>'0_Configuration'!$C$24</f>
        <v>0</v>
      </c>
      <c r="AQ12" s="6"/>
      <c r="AR12" s="194" t="b">
        <f>'0_Configuration'!$C$29</f>
        <v>1</v>
      </c>
      <c r="AS12" s="6" t="s">
        <v>1131</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F_01_01</v>
      </c>
      <c r="D13" s="7"/>
      <c r="E13" s="6"/>
      <c r="F13" s="138"/>
      <c r="G13" s="6" t="str">
        <f>_xlfn.XLOOKUP(F13,Tab_Def_Processes[Process_Name],Tab_Def_Processes[Process_ID],,0,)</f>
        <v>01</v>
      </c>
      <c r="H13" s="138"/>
      <c r="I13" s="9" t="str">
        <f>_xlfn.XLOOKUP(H13,Tab_Def_Processes[Process_Name],Tab_Def_Processes[Process_ID],,0,)</f>
        <v>01</v>
      </c>
      <c r="J13" s="138" t="s">
        <v>5</v>
      </c>
      <c r="K13" s="138" t="s">
        <v>5</v>
      </c>
      <c r="L13" s="138" t="s">
        <v>5</v>
      </c>
      <c r="M13" s="138" t="s">
        <v>5</v>
      </c>
      <c r="N13" s="138" t="s">
        <v>5</v>
      </c>
      <c r="O13" s="138" t="s">
        <v>5</v>
      </c>
      <c r="P13" s="6" t="str">
        <f>Tab_Def_Flows[[#This Row],[Flow_ID]]&amp;"_E1"</f>
        <v>F_01_01_E1</v>
      </c>
      <c r="R13" s="13"/>
      <c r="S13" s="6" t="str">
        <f>Tab_Def_Flows[[#This Row],[Flow_ID]]&amp;"_E2"</f>
        <v>F_01_01_E2</v>
      </c>
      <c r="T13" s="135"/>
      <c r="U13" s="13"/>
      <c r="V13" s="6" t="str">
        <f>Tab_Def_Flows[[#This Row],[Flow_ID]]&amp;"_E3"</f>
        <v>F_01_01_E3</v>
      </c>
      <c r="W13" s="135"/>
      <c r="X13" s="13"/>
      <c r="Y13" s="6" t="str">
        <f>Tab_Def_Flows[[#This Row],[Flow_ID]]&amp;"_E4"</f>
        <v>F_01_01_E4</v>
      </c>
      <c r="Z13" s="135"/>
      <c r="AA13" s="13"/>
      <c r="AB13" s="6" t="str">
        <f>Tab_Def_Flows[[#This Row],[Flow_ID]]&amp;"_E5"</f>
        <v>F_01_01_E5</v>
      </c>
      <c r="AC13" s="140"/>
      <c r="AD13" s="13"/>
      <c r="AE13" s="6" t="str">
        <f>Tab_Def_Flows[[#This Row],[Flow_ID]]&amp;"_E6"</f>
        <v>F_01_01_E6</v>
      </c>
      <c r="AF13" s="140"/>
      <c r="AG13" s="13"/>
      <c r="AH13" s="194" t="b">
        <f>'0_Configuration'!$C$2</f>
        <v>1</v>
      </c>
      <c r="AI13" s="6"/>
      <c r="AJ13" s="194" t="b">
        <f>'0_Configuration'!$C$6</f>
        <v>0</v>
      </c>
      <c r="AK13" s="6" t="s">
        <v>1117</v>
      </c>
      <c r="AL13" s="194" t="b">
        <f>'0_Configuration'!$C$10</f>
        <v>0</v>
      </c>
      <c r="AM13" s="6" t="s">
        <v>1117</v>
      </c>
      <c r="AN13" s="194" t="b">
        <f>'0_Configuration'!$C$17</f>
        <v>0</v>
      </c>
      <c r="AO13" s="6">
        <f>_xlfn.XLOOKUP(Tab_Def_Flows[[#This Row],[ODYM_Good_Type]],Tab_Configuration[Value],Tab_Configuration[ODYM_ID],,0,)</f>
        <v>0</v>
      </c>
      <c r="AP13" s="194" t="b">
        <f>'0_Configuration'!$C$24</f>
        <v>0</v>
      </c>
      <c r="AQ13" s="6"/>
      <c r="AR13" s="194" t="b">
        <f>'0_Configuration'!$C$29</f>
        <v>1</v>
      </c>
      <c r="AS13" s="6" t="s">
        <v>1131</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F_01_01</v>
      </c>
      <c r="D14" s="7"/>
      <c r="E14" s="6"/>
      <c r="F14" s="138"/>
      <c r="G14" s="6" t="str">
        <f>_xlfn.XLOOKUP(F14,Tab_Def_Processes[Process_Name],Tab_Def_Processes[Process_ID],,0,)</f>
        <v>01</v>
      </c>
      <c r="H14" s="138"/>
      <c r="I14" s="9" t="str">
        <f>_xlfn.XLOOKUP(H14,Tab_Def_Processes[Process_Name],Tab_Def_Processes[Process_ID],,0,)</f>
        <v>01</v>
      </c>
      <c r="J14" s="138" t="s">
        <v>5</v>
      </c>
      <c r="K14" s="138" t="s">
        <v>5</v>
      </c>
      <c r="L14" s="138" t="s">
        <v>5</v>
      </c>
      <c r="M14" s="138" t="s">
        <v>5</v>
      </c>
      <c r="N14" s="138" t="s">
        <v>5</v>
      </c>
      <c r="O14" s="138" t="s">
        <v>5</v>
      </c>
      <c r="P14" s="6" t="str">
        <f>Tab_Def_Flows[[#This Row],[Flow_ID]]&amp;"_E1"</f>
        <v>F_01_01_E1</v>
      </c>
      <c r="R14" s="13"/>
      <c r="S14" s="6" t="str">
        <f>Tab_Def_Flows[[#This Row],[Flow_ID]]&amp;"_E2"</f>
        <v>F_01_01_E2</v>
      </c>
      <c r="T14" s="135"/>
      <c r="U14" s="13"/>
      <c r="V14" s="6" t="str">
        <f>Tab_Def_Flows[[#This Row],[Flow_ID]]&amp;"_E3"</f>
        <v>F_01_01_E3</v>
      </c>
      <c r="W14" s="135"/>
      <c r="X14" s="13"/>
      <c r="Y14" s="6" t="str">
        <f>Tab_Def_Flows[[#This Row],[Flow_ID]]&amp;"_E4"</f>
        <v>F_01_01_E4</v>
      </c>
      <c r="Z14" s="135"/>
      <c r="AA14" s="13"/>
      <c r="AB14" s="6" t="str">
        <f>Tab_Def_Flows[[#This Row],[Flow_ID]]&amp;"_E5"</f>
        <v>F_01_01_E5</v>
      </c>
      <c r="AC14" s="140"/>
      <c r="AD14" s="13"/>
      <c r="AE14" s="6" t="str">
        <f>Tab_Def_Flows[[#This Row],[Flow_ID]]&amp;"_E6"</f>
        <v>F_01_01_E6</v>
      </c>
      <c r="AF14" s="140"/>
      <c r="AG14" s="13"/>
      <c r="AH14" s="194" t="b">
        <f>'0_Configuration'!$C$2</f>
        <v>1</v>
      </c>
      <c r="AI14" s="6"/>
      <c r="AJ14" s="194" t="b">
        <f>'0_Configuration'!$C$6</f>
        <v>0</v>
      </c>
      <c r="AK14" s="6" t="s">
        <v>1117</v>
      </c>
      <c r="AL14" s="194" t="b">
        <f>'0_Configuration'!$C$10</f>
        <v>0</v>
      </c>
      <c r="AM14" s="6" t="s">
        <v>1117</v>
      </c>
      <c r="AN14" s="194" t="b">
        <f>'0_Configuration'!$C$17</f>
        <v>0</v>
      </c>
      <c r="AO14" s="6">
        <f>_xlfn.XLOOKUP(Tab_Def_Flows[[#This Row],[ODYM_Good_Type]],Tab_Configuration[Value],Tab_Configuration[ODYM_ID],,0,)</f>
        <v>0</v>
      </c>
      <c r="AP14" s="194" t="b">
        <f>'0_Configuration'!$C$24</f>
        <v>0</v>
      </c>
      <c r="AQ14" s="6"/>
      <c r="AR14" s="194" t="b">
        <f>'0_Configuration'!$C$29</f>
        <v>1</v>
      </c>
      <c r="AS14" s="6" t="s">
        <v>1131</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F_01_01</v>
      </c>
      <c r="D15" s="7"/>
      <c r="E15" s="6"/>
      <c r="F15" s="138"/>
      <c r="G15" s="6" t="str">
        <f>_xlfn.XLOOKUP(F15,Tab_Def_Processes[Process_Name],Tab_Def_Processes[Process_ID],,0,)</f>
        <v>01</v>
      </c>
      <c r="H15" s="138"/>
      <c r="I15" s="9" t="str">
        <f>_xlfn.XLOOKUP(H15,Tab_Def_Processes[Process_Name],Tab_Def_Processes[Process_ID],,0,)</f>
        <v>01</v>
      </c>
      <c r="J15" s="138" t="s">
        <v>5</v>
      </c>
      <c r="K15" s="138" t="s">
        <v>5</v>
      </c>
      <c r="L15" s="138" t="s">
        <v>5</v>
      </c>
      <c r="M15" s="138" t="s">
        <v>5</v>
      </c>
      <c r="N15" s="138" t="s">
        <v>5</v>
      </c>
      <c r="O15" s="138" t="s">
        <v>5</v>
      </c>
      <c r="P15" s="6" t="str">
        <f>Tab_Def_Flows[[#This Row],[Flow_ID]]&amp;"_E1"</f>
        <v>F_01_01_E1</v>
      </c>
      <c r="R15" s="13"/>
      <c r="S15" s="6" t="str">
        <f>Tab_Def_Flows[[#This Row],[Flow_ID]]&amp;"_E2"</f>
        <v>F_01_01_E2</v>
      </c>
      <c r="T15" s="135"/>
      <c r="U15" s="13"/>
      <c r="V15" s="6" t="str">
        <f>Tab_Def_Flows[[#This Row],[Flow_ID]]&amp;"_E3"</f>
        <v>F_01_01_E3</v>
      </c>
      <c r="W15" s="135"/>
      <c r="X15" s="13"/>
      <c r="Y15" s="6" t="str">
        <f>Tab_Def_Flows[[#This Row],[Flow_ID]]&amp;"_E4"</f>
        <v>F_01_01_E4</v>
      </c>
      <c r="Z15" s="135"/>
      <c r="AA15" s="13"/>
      <c r="AB15" s="6" t="str">
        <f>Tab_Def_Flows[[#This Row],[Flow_ID]]&amp;"_E5"</f>
        <v>F_01_01_E5</v>
      </c>
      <c r="AC15" s="140"/>
      <c r="AD15" s="13"/>
      <c r="AE15" s="6" t="str">
        <f>Tab_Def_Flows[[#This Row],[Flow_ID]]&amp;"_E6"</f>
        <v>F_01_01_E6</v>
      </c>
      <c r="AF15" s="140"/>
      <c r="AG15" s="13"/>
      <c r="AH15" s="194" t="b">
        <f>'0_Configuration'!$C$2</f>
        <v>1</v>
      </c>
      <c r="AI15" s="6"/>
      <c r="AJ15" s="194" t="b">
        <f>'0_Configuration'!$C$6</f>
        <v>0</v>
      </c>
      <c r="AK15" s="6" t="s">
        <v>1117</v>
      </c>
      <c r="AL15" s="194" t="b">
        <f>'0_Configuration'!$C$10</f>
        <v>0</v>
      </c>
      <c r="AM15" s="6" t="s">
        <v>1117</v>
      </c>
      <c r="AN15" s="194" t="b">
        <f>'0_Configuration'!$C$17</f>
        <v>0</v>
      </c>
      <c r="AO15" s="6">
        <f>_xlfn.XLOOKUP(Tab_Def_Flows[[#This Row],[ODYM_Good_Type]],Tab_Configuration[Value],Tab_Configuration[ODYM_ID],,0,)</f>
        <v>0</v>
      </c>
      <c r="AP15" s="194" t="b">
        <f>'0_Configuration'!$C$24</f>
        <v>0</v>
      </c>
      <c r="AQ15" s="6"/>
      <c r="AR15" s="194" t="b">
        <f>'0_Configuration'!$C$29</f>
        <v>1</v>
      </c>
      <c r="AS15" s="6" t="s">
        <v>1131</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F_01_01</v>
      </c>
      <c r="D16" s="219"/>
      <c r="E16" s="6"/>
      <c r="F16" s="138"/>
      <c r="G16" s="6" t="str">
        <f>_xlfn.XLOOKUP(F16,Tab_Def_Processes[Process_Name],Tab_Def_Processes[Process_ID],,0,)</f>
        <v>01</v>
      </c>
      <c r="H16" s="138"/>
      <c r="I16" s="9" t="str">
        <f>_xlfn.XLOOKUP(H16,Tab_Def_Processes[Process_Name],Tab_Def_Processes[Process_ID],,0,)</f>
        <v>01</v>
      </c>
      <c r="J16" s="138" t="s">
        <v>5</v>
      </c>
      <c r="K16" s="138" t="s">
        <v>5</v>
      </c>
      <c r="L16" s="138" t="s">
        <v>5</v>
      </c>
      <c r="M16" s="138" t="s">
        <v>5</v>
      </c>
      <c r="N16" s="138" t="s">
        <v>5</v>
      </c>
      <c r="O16" s="138" t="s">
        <v>5</v>
      </c>
      <c r="P16" s="6" t="str">
        <f>Tab_Def_Flows[[#This Row],[Flow_ID]]&amp;"_E1"</f>
        <v>F_01_01_E1</v>
      </c>
      <c r="R16" s="13"/>
      <c r="S16" s="6" t="str">
        <f>Tab_Def_Flows[[#This Row],[Flow_ID]]&amp;"_E2"</f>
        <v>F_01_01_E2</v>
      </c>
      <c r="T16" s="135"/>
      <c r="U16" s="13"/>
      <c r="V16" s="6" t="str">
        <f>Tab_Def_Flows[[#This Row],[Flow_ID]]&amp;"_E3"</f>
        <v>F_01_01_E3</v>
      </c>
      <c r="W16" s="135"/>
      <c r="X16" s="13"/>
      <c r="Y16" s="6" t="str">
        <f>Tab_Def_Flows[[#This Row],[Flow_ID]]&amp;"_E4"</f>
        <v>F_01_01_E4</v>
      </c>
      <c r="Z16" s="135"/>
      <c r="AA16" s="13"/>
      <c r="AB16" s="6" t="str">
        <f>Tab_Def_Flows[[#This Row],[Flow_ID]]&amp;"_E5"</f>
        <v>F_01_01_E5</v>
      </c>
      <c r="AC16" s="140"/>
      <c r="AD16" s="13"/>
      <c r="AE16" s="6" t="str">
        <f>Tab_Def_Flows[[#This Row],[Flow_ID]]&amp;"_E6"</f>
        <v>F_01_01_E6</v>
      </c>
      <c r="AF16" s="140"/>
      <c r="AG16" s="13"/>
      <c r="AH16" s="194" t="b">
        <f>'0_Configuration'!$C$2</f>
        <v>1</v>
      </c>
      <c r="AI16" s="6"/>
      <c r="AJ16" s="194" t="b">
        <f>'0_Configuration'!$C$6</f>
        <v>0</v>
      </c>
      <c r="AK16" s="6" t="s">
        <v>1117</v>
      </c>
      <c r="AL16" s="194" t="b">
        <f>'0_Configuration'!$C$10</f>
        <v>0</v>
      </c>
      <c r="AM16" s="6" t="s">
        <v>1117</v>
      </c>
      <c r="AN16" s="194" t="b">
        <f>'0_Configuration'!$C$17</f>
        <v>0</v>
      </c>
      <c r="AO16" s="6">
        <f>_xlfn.XLOOKUP(Tab_Def_Flows[[#This Row],[ODYM_Good_Type]],Tab_Configuration[Value],Tab_Configuration[ODYM_ID],,0,)</f>
        <v>0</v>
      </c>
      <c r="AP16" s="194" t="b">
        <f>'0_Configuration'!$C$24</f>
        <v>0</v>
      </c>
      <c r="AQ16" s="6"/>
      <c r="AR16" s="194" t="b">
        <f>'0_Configuration'!$C$29</f>
        <v>1</v>
      </c>
      <c r="AS16" s="6" t="s">
        <v>1131</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F_01_01</v>
      </c>
      <c r="D17" s="218"/>
      <c r="E17" s="6"/>
      <c r="F17" s="138"/>
      <c r="G17" s="6" t="str">
        <f>_xlfn.XLOOKUP(F17,Tab_Def_Processes[Process_Name],Tab_Def_Processes[Process_ID],,0,)</f>
        <v>01</v>
      </c>
      <c r="H17" s="138"/>
      <c r="I17" s="9" t="str">
        <f>_xlfn.XLOOKUP(H17,Tab_Def_Processes[Process_Name],Tab_Def_Processes[Process_ID],,0,)</f>
        <v>01</v>
      </c>
      <c r="J17" s="138" t="s">
        <v>5</v>
      </c>
      <c r="K17" s="138" t="s">
        <v>5</v>
      </c>
      <c r="L17" s="138" t="s">
        <v>5</v>
      </c>
      <c r="M17" s="138" t="s">
        <v>5</v>
      </c>
      <c r="N17" s="138" t="s">
        <v>5</v>
      </c>
      <c r="O17" s="138" t="s">
        <v>5</v>
      </c>
      <c r="P17" s="6" t="str">
        <f>Tab_Def_Flows[[#This Row],[Flow_ID]]&amp;"_E1"</f>
        <v>F_01_01_E1</v>
      </c>
      <c r="R17" s="13"/>
      <c r="S17" s="6" t="str">
        <f>Tab_Def_Flows[[#This Row],[Flow_ID]]&amp;"_E2"</f>
        <v>F_01_01_E2</v>
      </c>
      <c r="T17" s="135"/>
      <c r="U17" s="13"/>
      <c r="V17" s="6" t="str">
        <f>Tab_Def_Flows[[#This Row],[Flow_ID]]&amp;"_E3"</f>
        <v>F_01_01_E3</v>
      </c>
      <c r="W17" s="135"/>
      <c r="X17" s="13"/>
      <c r="Y17" s="6" t="str">
        <f>Tab_Def_Flows[[#This Row],[Flow_ID]]&amp;"_E4"</f>
        <v>F_01_01_E4</v>
      </c>
      <c r="Z17" s="135"/>
      <c r="AA17" s="13"/>
      <c r="AB17" s="6" t="str">
        <f>Tab_Def_Flows[[#This Row],[Flow_ID]]&amp;"_E5"</f>
        <v>F_01_01_E5</v>
      </c>
      <c r="AC17" s="140"/>
      <c r="AD17" s="13"/>
      <c r="AE17" s="6" t="str">
        <f>Tab_Def_Flows[[#This Row],[Flow_ID]]&amp;"_E6"</f>
        <v>F_01_01_E6</v>
      </c>
      <c r="AF17" s="140"/>
      <c r="AG17" s="13"/>
      <c r="AH17" s="194" t="b">
        <f>'0_Configuration'!$C$2</f>
        <v>1</v>
      </c>
      <c r="AI17" s="6"/>
      <c r="AJ17" s="194" t="b">
        <f>'0_Configuration'!$C$6</f>
        <v>0</v>
      </c>
      <c r="AK17" s="6" t="s">
        <v>1117</v>
      </c>
      <c r="AL17" s="194" t="b">
        <f>'0_Configuration'!$C$10</f>
        <v>0</v>
      </c>
      <c r="AM17" s="6" t="s">
        <v>1117</v>
      </c>
      <c r="AN17" s="194" t="b">
        <f>'0_Configuration'!$C$17</f>
        <v>0</v>
      </c>
      <c r="AO17" s="6">
        <f>_xlfn.XLOOKUP(Tab_Def_Flows[[#This Row],[ODYM_Good_Type]],Tab_Configuration[Value],Tab_Configuration[ODYM_ID],,0,)</f>
        <v>0</v>
      </c>
      <c r="AP17" s="194" t="b">
        <f>'0_Configuration'!$C$24</f>
        <v>0</v>
      </c>
      <c r="AQ17" s="6"/>
      <c r="AR17" s="194" t="b">
        <f>'0_Configuration'!$C$29</f>
        <v>1</v>
      </c>
      <c r="AS17" s="6" t="s">
        <v>1131</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F_01_01</v>
      </c>
      <c r="D18" s="7"/>
      <c r="E18" s="6"/>
      <c r="F18" s="138"/>
      <c r="G18" s="6" t="str">
        <f>_xlfn.XLOOKUP(F18,Tab_Def_Processes[Process_Name],Tab_Def_Processes[Process_ID],,0,)</f>
        <v>01</v>
      </c>
      <c r="H18" s="138"/>
      <c r="I18" s="9" t="str">
        <f>_xlfn.XLOOKUP(H18,Tab_Def_Processes[Process_Name],Tab_Def_Processes[Process_ID],,0,)</f>
        <v>01</v>
      </c>
      <c r="J18" s="138" t="s">
        <v>5</v>
      </c>
      <c r="K18" s="138" t="s">
        <v>5</v>
      </c>
      <c r="L18" s="138" t="s">
        <v>5</v>
      </c>
      <c r="M18" s="138" t="s">
        <v>5</v>
      </c>
      <c r="N18" s="138" t="s">
        <v>5</v>
      </c>
      <c r="O18" s="138" t="s">
        <v>5</v>
      </c>
      <c r="P18" s="6" t="str">
        <f>Tab_Def_Flows[[#This Row],[Flow_ID]]&amp;"_E1"</f>
        <v>F_01_01_E1</v>
      </c>
      <c r="R18" s="13"/>
      <c r="S18" s="6" t="str">
        <f>Tab_Def_Flows[[#This Row],[Flow_ID]]&amp;"_E2"</f>
        <v>F_01_01_E2</v>
      </c>
      <c r="T18" s="135"/>
      <c r="U18" s="13"/>
      <c r="V18" s="6" t="str">
        <f>Tab_Def_Flows[[#This Row],[Flow_ID]]&amp;"_E3"</f>
        <v>F_01_01_E3</v>
      </c>
      <c r="W18" s="135"/>
      <c r="X18" s="13"/>
      <c r="Y18" s="6" t="str">
        <f>Tab_Def_Flows[[#This Row],[Flow_ID]]&amp;"_E4"</f>
        <v>F_01_01_E4</v>
      </c>
      <c r="Z18" s="135"/>
      <c r="AA18" s="13"/>
      <c r="AB18" s="6" t="str">
        <f>Tab_Def_Flows[[#This Row],[Flow_ID]]&amp;"_E5"</f>
        <v>F_01_01_E5</v>
      </c>
      <c r="AC18" s="140"/>
      <c r="AD18" s="13"/>
      <c r="AE18" s="6" t="str">
        <f>Tab_Def_Flows[[#This Row],[Flow_ID]]&amp;"_E6"</f>
        <v>F_01_01_E6</v>
      </c>
      <c r="AF18" s="140"/>
      <c r="AG18" s="13"/>
      <c r="AH18" s="194" t="b">
        <f>'0_Configuration'!$C$2</f>
        <v>1</v>
      </c>
      <c r="AI18" s="6"/>
      <c r="AJ18" s="194" t="b">
        <f>'0_Configuration'!$C$6</f>
        <v>0</v>
      </c>
      <c r="AK18" s="6" t="s">
        <v>1117</v>
      </c>
      <c r="AL18" s="194" t="b">
        <f>'0_Configuration'!$C$10</f>
        <v>0</v>
      </c>
      <c r="AM18" s="6" t="s">
        <v>1117</v>
      </c>
      <c r="AN18" s="194" t="b">
        <f>'0_Configuration'!$C$17</f>
        <v>0</v>
      </c>
      <c r="AO18" s="6">
        <f>_xlfn.XLOOKUP(Tab_Def_Flows[[#This Row],[ODYM_Good_Type]],Tab_Configuration[Value],Tab_Configuration[ODYM_ID],,0,)</f>
        <v>0</v>
      </c>
      <c r="AP18" s="194" t="b">
        <f>'0_Configuration'!$C$24</f>
        <v>0</v>
      </c>
      <c r="AQ18" s="6"/>
      <c r="AR18" s="194" t="b">
        <f>'0_Configuration'!$C$29</f>
        <v>1</v>
      </c>
      <c r="AS18" s="6" t="s">
        <v>1131</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F_01_01</v>
      </c>
      <c r="D19" s="7"/>
      <c r="E19" s="6"/>
      <c r="F19" s="138"/>
      <c r="G19" s="6" t="str">
        <f>_xlfn.XLOOKUP(F19,Tab_Def_Processes[Process_Name],Tab_Def_Processes[Process_ID],,0,)</f>
        <v>01</v>
      </c>
      <c r="H19" s="138"/>
      <c r="I19" s="9" t="str">
        <f>_xlfn.XLOOKUP(H19,Tab_Def_Processes[Process_Name],Tab_Def_Processes[Process_ID],,0,)</f>
        <v>01</v>
      </c>
      <c r="J19" s="138" t="s">
        <v>5</v>
      </c>
      <c r="K19" s="138" t="s">
        <v>5</v>
      </c>
      <c r="L19" s="138" t="s">
        <v>5</v>
      </c>
      <c r="M19" s="138" t="s">
        <v>5</v>
      </c>
      <c r="N19" s="138" t="s">
        <v>5</v>
      </c>
      <c r="O19" s="138" t="s">
        <v>5</v>
      </c>
      <c r="P19" s="6" t="str">
        <f>Tab_Def_Flows[[#This Row],[Flow_ID]]&amp;"_E1"</f>
        <v>F_01_01_E1</v>
      </c>
      <c r="R19" s="13"/>
      <c r="S19" s="6" t="str">
        <f>Tab_Def_Flows[[#This Row],[Flow_ID]]&amp;"_E2"</f>
        <v>F_01_01_E2</v>
      </c>
      <c r="T19" s="135"/>
      <c r="U19" s="13"/>
      <c r="V19" s="6" t="str">
        <f>Tab_Def_Flows[[#This Row],[Flow_ID]]&amp;"_E3"</f>
        <v>F_01_01_E3</v>
      </c>
      <c r="W19" s="135"/>
      <c r="X19" s="13"/>
      <c r="Y19" s="6" t="str">
        <f>Tab_Def_Flows[[#This Row],[Flow_ID]]&amp;"_E4"</f>
        <v>F_01_01_E4</v>
      </c>
      <c r="Z19" s="135"/>
      <c r="AA19" s="13"/>
      <c r="AB19" s="6" t="str">
        <f>Tab_Def_Flows[[#This Row],[Flow_ID]]&amp;"_E5"</f>
        <v>F_01_01_E5</v>
      </c>
      <c r="AC19" s="140"/>
      <c r="AD19" s="13"/>
      <c r="AE19" s="6" t="str">
        <f>Tab_Def_Flows[[#This Row],[Flow_ID]]&amp;"_E6"</f>
        <v>F_01_01_E6</v>
      </c>
      <c r="AF19" s="140"/>
      <c r="AG19" s="13"/>
      <c r="AH19" s="194" t="b">
        <f>'0_Configuration'!$C$2</f>
        <v>1</v>
      </c>
      <c r="AI19" s="6"/>
      <c r="AJ19" s="194" t="b">
        <f>'0_Configuration'!$C$6</f>
        <v>0</v>
      </c>
      <c r="AK19" s="6" t="s">
        <v>1117</v>
      </c>
      <c r="AL19" s="194" t="b">
        <f>'0_Configuration'!$C$10</f>
        <v>0</v>
      </c>
      <c r="AM19" s="6" t="s">
        <v>1117</v>
      </c>
      <c r="AN19" s="194" t="b">
        <f>'0_Configuration'!$C$17</f>
        <v>0</v>
      </c>
      <c r="AO19" s="6">
        <f>_xlfn.XLOOKUP(Tab_Def_Flows[[#This Row],[ODYM_Good_Type]],Tab_Configuration[Value],Tab_Configuration[ODYM_ID],,0,)</f>
        <v>0</v>
      </c>
      <c r="AP19" s="194" t="b">
        <f>'0_Configuration'!$C$24</f>
        <v>0</v>
      </c>
      <c r="AQ19" s="6"/>
      <c r="AR19" s="194" t="b">
        <f>'0_Configuration'!$C$29</f>
        <v>1</v>
      </c>
      <c r="AS19" s="6" t="s">
        <v>1131</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F_01_01</v>
      </c>
      <c r="D20" s="7"/>
      <c r="E20" s="6"/>
      <c r="F20" s="138"/>
      <c r="G20" s="6" t="str">
        <f>_xlfn.XLOOKUP(F20,Tab_Def_Processes[Process_Name],Tab_Def_Processes[Process_ID],,0,)</f>
        <v>01</v>
      </c>
      <c r="H20" s="138"/>
      <c r="I20" s="9" t="str">
        <f>_xlfn.XLOOKUP(H20,Tab_Def_Processes[Process_Name],Tab_Def_Processes[Process_ID],,0,)</f>
        <v>01</v>
      </c>
      <c r="J20" s="138" t="s">
        <v>5</v>
      </c>
      <c r="K20" s="138" t="s">
        <v>5</v>
      </c>
      <c r="L20" s="138" t="s">
        <v>5</v>
      </c>
      <c r="M20" s="138" t="s">
        <v>5</v>
      </c>
      <c r="N20" s="138" t="s">
        <v>5</v>
      </c>
      <c r="O20" s="138" t="s">
        <v>5</v>
      </c>
      <c r="P20" s="6" t="str">
        <f>Tab_Def_Flows[[#This Row],[Flow_ID]]&amp;"_E1"</f>
        <v>F_01_01_E1</v>
      </c>
      <c r="R20" s="13"/>
      <c r="S20" s="6" t="str">
        <f>Tab_Def_Flows[[#This Row],[Flow_ID]]&amp;"_E2"</f>
        <v>F_01_01_E2</v>
      </c>
      <c r="T20" s="135"/>
      <c r="U20" s="13"/>
      <c r="V20" s="6" t="str">
        <f>Tab_Def_Flows[[#This Row],[Flow_ID]]&amp;"_E3"</f>
        <v>F_01_01_E3</v>
      </c>
      <c r="W20" s="135"/>
      <c r="X20" s="13"/>
      <c r="Y20" s="6" t="str">
        <f>Tab_Def_Flows[[#This Row],[Flow_ID]]&amp;"_E4"</f>
        <v>F_01_01_E4</v>
      </c>
      <c r="Z20" s="135"/>
      <c r="AA20" s="13"/>
      <c r="AB20" s="6" t="str">
        <f>Tab_Def_Flows[[#This Row],[Flow_ID]]&amp;"_E5"</f>
        <v>F_01_01_E5</v>
      </c>
      <c r="AC20" s="140"/>
      <c r="AD20" s="13"/>
      <c r="AE20" s="6" t="str">
        <f>Tab_Def_Flows[[#This Row],[Flow_ID]]&amp;"_E6"</f>
        <v>F_01_01_E6</v>
      </c>
      <c r="AF20" s="140"/>
      <c r="AG20" s="13"/>
      <c r="AH20" s="194" t="b">
        <f>'0_Configuration'!$C$2</f>
        <v>1</v>
      </c>
      <c r="AI20" s="6"/>
      <c r="AJ20" s="194" t="b">
        <f>'0_Configuration'!$C$6</f>
        <v>0</v>
      </c>
      <c r="AK20" s="6" t="s">
        <v>1117</v>
      </c>
      <c r="AL20" s="194" t="b">
        <f>'0_Configuration'!$C$10</f>
        <v>0</v>
      </c>
      <c r="AM20" s="6" t="s">
        <v>1117</v>
      </c>
      <c r="AN20" s="194" t="b">
        <f>'0_Configuration'!$C$17</f>
        <v>0</v>
      </c>
      <c r="AO20" s="6">
        <f>_xlfn.XLOOKUP(Tab_Def_Flows[[#This Row],[ODYM_Good_Type]],Tab_Configuration[Value],Tab_Configuration[ODYM_ID],,0,)</f>
        <v>0</v>
      </c>
      <c r="AP20" s="194" t="b">
        <f>'0_Configuration'!$C$24</f>
        <v>0</v>
      </c>
      <c r="AQ20" s="6"/>
      <c r="AR20" s="194" t="b">
        <f>'0_Configuration'!$C$29</f>
        <v>1</v>
      </c>
      <c r="AS20" s="6" t="s">
        <v>1131</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F_01_01</v>
      </c>
      <c r="D21" s="7"/>
      <c r="E21" s="6"/>
      <c r="F21" s="138"/>
      <c r="G21" s="6" t="str">
        <f>_xlfn.XLOOKUP(F21,Tab_Def_Processes[Process_Name],Tab_Def_Processes[Process_ID],,0,)</f>
        <v>01</v>
      </c>
      <c r="H21" s="138"/>
      <c r="I21" s="9" t="str">
        <f>_xlfn.XLOOKUP(H21,Tab_Def_Processes[Process_Name],Tab_Def_Processes[Process_ID],,0,)</f>
        <v>01</v>
      </c>
      <c r="J21" s="138" t="s">
        <v>5</v>
      </c>
      <c r="K21" s="138" t="s">
        <v>5</v>
      </c>
      <c r="L21" s="138" t="s">
        <v>5</v>
      </c>
      <c r="M21" s="138" t="s">
        <v>5</v>
      </c>
      <c r="N21" s="138" t="s">
        <v>5</v>
      </c>
      <c r="O21" s="138" t="s">
        <v>5</v>
      </c>
      <c r="P21" s="6" t="str">
        <f>Tab_Def_Flows[[#This Row],[Flow_ID]]&amp;"_E1"</f>
        <v>F_01_01_E1</v>
      </c>
      <c r="R21" s="13"/>
      <c r="S21" s="6" t="str">
        <f>Tab_Def_Flows[[#This Row],[Flow_ID]]&amp;"_E2"</f>
        <v>F_01_01_E2</v>
      </c>
      <c r="T21" s="135"/>
      <c r="U21" s="13"/>
      <c r="V21" s="6" t="str">
        <f>Tab_Def_Flows[[#This Row],[Flow_ID]]&amp;"_E3"</f>
        <v>F_01_01_E3</v>
      </c>
      <c r="W21" s="135"/>
      <c r="X21" s="13"/>
      <c r="Y21" s="6" t="str">
        <f>Tab_Def_Flows[[#This Row],[Flow_ID]]&amp;"_E4"</f>
        <v>F_01_01_E4</v>
      </c>
      <c r="Z21" s="135"/>
      <c r="AA21" s="13"/>
      <c r="AB21" s="6" t="str">
        <f>Tab_Def_Flows[[#This Row],[Flow_ID]]&amp;"_E5"</f>
        <v>F_01_01_E5</v>
      </c>
      <c r="AC21" s="140"/>
      <c r="AD21" s="13"/>
      <c r="AE21" s="6" t="str">
        <f>Tab_Def_Flows[[#This Row],[Flow_ID]]&amp;"_E6"</f>
        <v>F_01_01_E6</v>
      </c>
      <c r="AF21" s="140"/>
      <c r="AG21" s="13"/>
      <c r="AH21" s="194" t="b">
        <f>'0_Configuration'!$C$2</f>
        <v>1</v>
      </c>
      <c r="AI21" s="6"/>
      <c r="AJ21" s="194" t="b">
        <f>'0_Configuration'!$C$6</f>
        <v>0</v>
      </c>
      <c r="AK21" s="6" t="s">
        <v>1117</v>
      </c>
      <c r="AL21" s="194" t="b">
        <f>'0_Configuration'!$C$10</f>
        <v>0</v>
      </c>
      <c r="AM21" s="6" t="s">
        <v>1117</v>
      </c>
      <c r="AN21" s="194" t="b">
        <f>'0_Configuration'!$C$17</f>
        <v>0</v>
      </c>
      <c r="AO21" s="6">
        <f>_xlfn.XLOOKUP(Tab_Def_Flows[[#This Row],[ODYM_Good_Type]],Tab_Configuration[Value],Tab_Configuration[ODYM_ID],,0,)</f>
        <v>0</v>
      </c>
      <c r="AP21" s="194" t="b">
        <f>'0_Configuration'!$C$24</f>
        <v>0</v>
      </c>
      <c r="AQ21" s="6"/>
      <c r="AR21" s="194" t="b">
        <f>'0_Configuration'!$C$29</f>
        <v>1</v>
      </c>
      <c r="AS21" s="6" t="s">
        <v>1131</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F_01_01</v>
      </c>
      <c r="D22" s="7"/>
      <c r="E22" s="6"/>
      <c r="F22" s="138"/>
      <c r="G22" s="6" t="str">
        <f>_xlfn.XLOOKUP(F22,Tab_Def_Processes[Process_Name],Tab_Def_Processes[Process_ID],,0,)</f>
        <v>01</v>
      </c>
      <c r="H22" s="138"/>
      <c r="I22" s="9" t="str">
        <f>_xlfn.XLOOKUP(H22,Tab_Def_Processes[Process_Name],Tab_Def_Processes[Process_ID],,0,)</f>
        <v>01</v>
      </c>
      <c r="J22" s="138" t="s">
        <v>5</v>
      </c>
      <c r="K22" s="138" t="s">
        <v>5</v>
      </c>
      <c r="L22" s="138" t="s">
        <v>5</v>
      </c>
      <c r="M22" s="138" t="s">
        <v>5</v>
      </c>
      <c r="N22" s="138" t="s">
        <v>5</v>
      </c>
      <c r="O22" s="138" t="s">
        <v>5</v>
      </c>
      <c r="P22" s="6" t="str">
        <f>Tab_Def_Flows[[#This Row],[Flow_ID]]&amp;"_E1"</f>
        <v>F_01_01_E1</v>
      </c>
      <c r="R22" s="13"/>
      <c r="S22" s="6" t="str">
        <f>Tab_Def_Flows[[#This Row],[Flow_ID]]&amp;"_E2"</f>
        <v>F_01_01_E2</v>
      </c>
      <c r="T22" s="135"/>
      <c r="U22" s="13"/>
      <c r="V22" s="6" t="str">
        <f>Tab_Def_Flows[[#This Row],[Flow_ID]]&amp;"_E3"</f>
        <v>F_01_01_E3</v>
      </c>
      <c r="W22" s="135"/>
      <c r="X22" s="13"/>
      <c r="Y22" s="6" t="str">
        <f>Tab_Def_Flows[[#This Row],[Flow_ID]]&amp;"_E4"</f>
        <v>F_01_01_E4</v>
      </c>
      <c r="Z22" s="135"/>
      <c r="AA22" s="13"/>
      <c r="AB22" s="6" t="str">
        <f>Tab_Def_Flows[[#This Row],[Flow_ID]]&amp;"_E5"</f>
        <v>F_01_01_E5</v>
      </c>
      <c r="AC22" s="140"/>
      <c r="AD22" s="13"/>
      <c r="AE22" s="6" t="str">
        <f>Tab_Def_Flows[[#This Row],[Flow_ID]]&amp;"_E6"</f>
        <v>F_01_01_E6</v>
      </c>
      <c r="AF22" s="140"/>
      <c r="AG22" s="13"/>
      <c r="AH22" s="194" t="b">
        <f>'0_Configuration'!$C$2</f>
        <v>1</v>
      </c>
      <c r="AI22" s="6"/>
      <c r="AJ22" s="194" t="b">
        <f>'0_Configuration'!$C$6</f>
        <v>0</v>
      </c>
      <c r="AK22" s="6" t="s">
        <v>1117</v>
      </c>
      <c r="AL22" s="194" t="b">
        <f>'0_Configuration'!$C$10</f>
        <v>0</v>
      </c>
      <c r="AM22" s="6" t="s">
        <v>1117</v>
      </c>
      <c r="AN22" s="194" t="b">
        <f>'0_Configuration'!$C$17</f>
        <v>0</v>
      </c>
      <c r="AO22" s="6">
        <f>_xlfn.XLOOKUP(Tab_Def_Flows[[#This Row],[ODYM_Good_Type]],Tab_Configuration[Value],Tab_Configuration[ODYM_ID],,0,)</f>
        <v>0</v>
      </c>
      <c r="AP22" s="194" t="b">
        <f>'0_Configuration'!$C$24</f>
        <v>0</v>
      </c>
      <c r="AQ22" s="6"/>
      <c r="AR22" s="194" t="b">
        <f>'0_Configuration'!$C$29</f>
        <v>1</v>
      </c>
      <c r="AS22" s="6" t="s">
        <v>1131</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F_01_01</v>
      </c>
      <c r="D23" s="7"/>
      <c r="E23" s="6"/>
      <c r="F23" s="138"/>
      <c r="G23" s="6" t="str">
        <f>_xlfn.XLOOKUP(F23,Tab_Def_Processes[Process_Name],Tab_Def_Processes[Process_ID],,0,)</f>
        <v>01</v>
      </c>
      <c r="H23" s="138"/>
      <c r="I23" s="9" t="str">
        <f>_xlfn.XLOOKUP(H23,Tab_Def_Processes[Process_Name],Tab_Def_Processes[Process_ID],,0,)</f>
        <v>01</v>
      </c>
      <c r="J23" s="138" t="s">
        <v>5</v>
      </c>
      <c r="K23" s="138" t="s">
        <v>5</v>
      </c>
      <c r="L23" s="138" t="s">
        <v>5</v>
      </c>
      <c r="M23" s="138" t="s">
        <v>5</v>
      </c>
      <c r="N23" s="138" t="s">
        <v>5</v>
      </c>
      <c r="O23" s="138" t="s">
        <v>5</v>
      </c>
      <c r="P23" s="6" t="str">
        <f>Tab_Def_Flows[[#This Row],[Flow_ID]]&amp;"_E1"</f>
        <v>F_01_01_E1</v>
      </c>
      <c r="R23" s="13"/>
      <c r="S23" s="6" t="str">
        <f>Tab_Def_Flows[[#This Row],[Flow_ID]]&amp;"_E2"</f>
        <v>F_01_01_E2</v>
      </c>
      <c r="T23" s="135"/>
      <c r="U23" s="13"/>
      <c r="V23" s="6" t="str">
        <f>Tab_Def_Flows[[#This Row],[Flow_ID]]&amp;"_E3"</f>
        <v>F_01_01_E3</v>
      </c>
      <c r="W23" s="135"/>
      <c r="X23" s="13"/>
      <c r="Y23" s="6" t="str">
        <f>Tab_Def_Flows[[#This Row],[Flow_ID]]&amp;"_E4"</f>
        <v>F_01_01_E4</v>
      </c>
      <c r="Z23" s="135"/>
      <c r="AA23" s="13"/>
      <c r="AB23" s="6" t="str">
        <f>Tab_Def_Flows[[#This Row],[Flow_ID]]&amp;"_E5"</f>
        <v>F_01_01_E5</v>
      </c>
      <c r="AC23" s="140"/>
      <c r="AD23" s="13"/>
      <c r="AE23" s="6" t="str">
        <f>Tab_Def_Flows[[#This Row],[Flow_ID]]&amp;"_E6"</f>
        <v>F_01_01_E6</v>
      </c>
      <c r="AF23" s="140"/>
      <c r="AG23" s="13"/>
      <c r="AH23" s="194" t="b">
        <f>'0_Configuration'!$C$2</f>
        <v>1</v>
      </c>
      <c r="AI23" s="6"/>
      <c r="AJ23" s="194" t="b">
        <f>'0_Configuration'!$C$6</f>
        <v>0</v>
      </c>
      <c r="AK23" s="6" t="s">
        <v>1117</v>
      </c>
      <c r="AL23" s="194" t="b">
        <f>'0_Configuration'!$C$10</f>
        <v>0</v>
      </c>
      <c r="AM23" s="6" t="s">
        <v>1117</v>
      </c>
      <c r="AN23" s="194" t="b">
        <f>'0_Configuration'!$C$17</f>
        <v>0</v>
      </c>
      <c r="AO23" s="6">
        <f>_xlfn.XLOOKUP(Tab_Def_Flows[[#This Row],[ODYM_Good_Type]],Tab_Configuration[Value],Tab_Configuration[ODYM_ID],,0,)</f>
        <v>0</v>
      </c>
      <c r="AP23" s="194" t="b">
        <f>'0_Configuration'!$C$24</f>
        <v>0</v>
      </c>
      <c r="AQ23" s="6"/>
      <c r="AR23" s="194" t="b">
        <f>'0_Configuration'!$C$29</f>
        <v>1</v>
      </c>
      <c r="AS23" s="6" t="s">
        <v>1131</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F_01_01</v>
      </c>
      <c r="D24" s="7"/>
      <c r="E24" s="6"/>
      <c r="F24" s="138"/>
      <c r="G24" s="6" t="str">
        <f>_xlfn.XLOOKUP(F24,Tab_Def_Processes[Process_Name],Tab_Def_Processes[Process_ID],,0,)</f>
        <v>01</v>
      </c>
      <c r="H24" s="138"/>
      <c r="I24" s="9" t="str">
        <f>_xlfn.XLOOKUP(H24,Tab_Def_Processes[Process_Name],Tab_Def_Processes[Process_ID],,0,)</f>
        <v>01</v>
      </c>
      <c r="J24" s="138" t="s">
        <v>5</v>
      </c>
      <c r="K24" s="138" t="s">
        <v>5</v>
      </c>
      <c r="L24" s="138" t="s">
        <v>5</v>
      </c>
      <c r="M24" s="138" t="s">
        <v>5</v>
      </c>
      <c r="N24" s="138" t="s">
        <v>5</v>
      </c>
      <c r="O24" s="138" t="s">
        <v>5</v>
      </c>
      <c r="P24" s="6" t="str">
        <f>Tab_Def_Flows[[#This Row],[Flow_ID]]&amp;"_E1"</f>
        <v>F_01_01_E1</v>
      </c>
      <c r="R24" s="13"/>
      <c r="S24" s="6" t="str">
        <f>Tab_Def_Flows[[#This Row],[Flow_ID]]&amp;"_E2"</f>
        <v>F_01_01_E2</v>
      </c>
      <c r="T24" s="135"/>
      <c r="U24" s="13"/>
      <c r="V24" s="6" t="str">
        <f>Tab_Def_Flows[[#This Row],[Flow_ID]]&amp;"_E3"</f>
        <v>F_01_01_E3</v>
      </c>
      <c r="W24" s="135"/>
      <c r="X24" s="13"/>
      <c r="Y24" s="6" t="str">
        <f>Tab_Def_Flows[[#This Row],[Flow_ID]]&amp;"_E4"</f>
        <v>F_01_01_E4</v>
      </c>
      <c r="Z24" s="135"/>
      <c r="AA24" s="13"/>
      <c r="AB24" s="6" t="str">
        <f>Tab_Def_Flows[[#This Row],[Flow_ID]]&amp;"_E5"</f>
        <v>F_01_01_E5</v>
      </c>
      <c r="AC24" s="140"/>
      <c r="AD24" s="13"/>
      <c r="AE24" s="6" t="str">
        <f>Tab_Def_Flows[[#This Row],[Flow_ID]]&amp;"_E6"</f>
        <v>F_01_01_E6</v>
      </c>
      <c r="AF24" s="140"/>
      <c r="AG24" s="13"/>
      <c r="AH24" s="194" t="b">
        <f>'0_Configuration'!$C$2</f>
        <v>1</v>
      </c>
      <c r="AI24" s="6"/>
      <c r="AJ24" s="194" t="b">
        <f>'0_Configuration'!$C$6</f>
        <v>0</v>
      </c>
      <c r="AK24" s="6" t="s">
        <v>1117</v>
      </c>
      <c r="AL24" s="194" t="b">
        <f>'0_Configuration'!$C$10</f>
        <v>0</v>
      </c>
      <c r="AM24" s="6" t="s">
        <v>1117</v>
      </c>
      <c r="AN24" s="194" t="b">
        <f>'0_Configuration'!$C$17</f>
        <v>0</v>
      </c>
      <c r="AO24" s="6">
        <f>_xlfn.XLOOKUP(Tab_Def_Flows[[#This Row],[ODYM_Good_Type]],Tab_Configuration[Value],Tab_Configuration[ODYM_ID],,0,)</f>
        <v>0</v>
      </c>
      <c r="AP24" s="194" t="b">
        <f>'0_Configuration'!$C$24</f>
        <v>0</v>
      </c>
      <c r="AQ24" s="6"/>
      <c r="AR24" s="194" t="b">
        <f>'0_Configuration'!$C$29</f>
        <v>1</v>
      </c>
      <c r="AS24" s="6" t="s">
        <v>1131</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F_01_01</v>
      </c>
      <c r="D25" s="7"/>
      <c r="E25" s="6"/>
      <c r="F25" s="138"/>
      <c r="G25" s="6" t="str">
        <f>_xlfn.XLOOKUP(F25,Tab_Def_Processes[Process_Name],Tab_Def_Processes[Process_ID],,0,)</f>
        <v>01</v>
      </c>
      <c r="H25" s="138"/>
      <c r="I25" s="9" t="str">
        <f>_xlfn.XLOOKUP(H25,Tab_Def_Processes[Process_Name],Tab_Def_Processes[Process_ID],,0,)</f>
        <v>01</v>
      </c>
      <c r="J25" s="138" t="s">
        <v>5</v>
      </c>
      <c r="K25" s="138" t="s">
        <v>5</v>
      </c>
      <c r="L25" s="138" t="s">
        <v>5</v>
      </c>
      <c r="M25" s="138" t="s">
        <v>5</v>
      </c>
      <c r="N25" s="138" t="s">
        <v>5</v>
      </c>
      <c r="O25" s="138" t="s">
        <v>5</v>
      </c>
      <c r="P25" s="6" t="str">
        <f>Tab_Def_Flows[[#This Row],[Flow_ID]]&amp;"_E1"</f>
        <v>F_01_01_E1</v>
      </c>
      <c r="R25" s="13"/>
      <c r="S25" s="6" t="str">
        <f>Tab_Def_Flows[[#This Row],[Flow_ID]]&amp;"_E2"</f>
        <v>F_01_01_E2</v>
      </c>
      <c r="T25" s="135"/>
      <c r="U25" s="13"/>
      <c r="V25" s="6" t="str">
        <f>Tab_Def_Flows[[#This Row],[Flow_ID]]&amp;"_E3"</f>
        <v>F_01_01_E3</v>
      </c>
      <c r="W25" s="135"/>
      <c r="X25" s="13"/>
      <c r="Y25" s="6" t="str">
        <f>Tab_Def_Flows[[#This Row],[Flow_ID]]&amp;"_E4"</f>
        <v>F_01_01_E4</v>
      </c>
      <c r="Z25" s="135"/>
      <c r="AA25" s="13"/>
      <c r="AB25" s="6" t="str">
        <f>Tab_Def_Flows[[#This Row],[Flow_ID]]&amp;"_E5"</f>
        <v>F_01_01_E5</v>
      </c>
      <c r="AC25" s="140"/>
      <c r="AD25" s="13"/>
      <c r="AE25" s="6" t="str">
        <f>Tab_Def_Flows[[#This Row],[Flow_ID]]&amp;"_E6"</f>
        <v>F_01_01_E6</v>
      </c>
      <c r="AF25" s="140"/>
      <c r="AG25" s="13"/>
      <c r="AH25" s="194" t="b">
        <f>'0_Configuration'!$C$2</f>
        <v>1</v>
      </c>
      <c r="AI25" s="6"/>
      <c r="AJ25" s="194" t="b">
        <f>'0_Configuration'!$C$6</f>
        <v>0</v>
      </c>
      <c r="AK25" s="6" t="s">
        <v>1117</v>
      </c>
      <c r="AL25" s="194" t="b">
        <f>'0_Configuration'!$C$10</f>
        <v>0</v>
      </c>
      <c r="AM25" s="6" t="s">
        <v>1117</v>
      </c>
      <c r="AN25" s="194" t="b">
        <f>'0_Configuration'!$C$17</f>
        <v>0</v>
      </c>
      <c r="AO25" s="6">
        <f>_xlfn.XLOOKUP(Tab_Def_Flows[[#This Row],[ODYM_Good_Type]],Tab_Configuration[Value],Tab_Configuration[ODYM_ID],,0,)</f>
        <v>0</v>
      </c>
      <c r="AP25" s="194" t="b">
        <f>'0_Configuration'!$C$24</f>
        <v>0</v>
      </c>
      <c r="AQ25" s="6"/>
      <c r="AR25" s="194" t="b">
        <f>'0_Configuration'!$C$29</f>
        <v>1</v>
      </c>
      <c r="AS25" s="6" t="s">
        <v>1131</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F_01_01</v>
      </c>
      <c r="D26" s="7"/>
      <c r="E26" s="6"/>
      <c r="F26" s="138"/>
      <c r="G26" s="6" t="str">
        <f>_xlfn.XLOOKUP(F26,Tab_Def_Processes[Process_Name],Tab_Def_Processes[Process_ID],,0,)</f>
        <v>01</v>
      </c>
      <c r="H26" s="138"/>
      <c r="I26" s="9" t="str">
        <f>_xlfn.XLOOKUP(H26,Tab_Def_Processes[Process_Name],Tab_Def_Processes[Process_ID],,0,)</f>
        <v>01</v>
      </c>
      <c r="J26" s="138" t="s">
        <v>5</v>
      </c>
      <c r="K26" s="138" t="s">
        <v>5</v>
      </c>
      <c r="L26" s="138" t="s">
        <v>5</v>
      </c>
      <c r="M26" s="138" t="s">
        <v>5</v>
      </c>
      <c r="N26" s="138" t="s">
        <v>5</v>
      </c>
      <c r="O26" s="138" t="s">
        <v>5</v>
      </c>
      <c r="P26" s="6" t="str">
        <f>Tab_Def_Flows[[#This Row],[Flow_ID]]&amp;"_E1"</f>
        <v>F_01_01_E1</v>
      </c>
      <c r="R26" s="13"/>
      <c r="S26" s="6" t="str">
        <f>Tab_Def_Flows[[#This Row],[Flow_ID]]&amp;"_E2"</f>
        <v>F_01_01_E2</v>
      </c>
      <c r="T26" s="135"/>
      <c r="U26" s="13"/>
      <c r="V26" s="6" t="str">
        <f>Tab_Def_Flows[[#This Row],[Flow_ID]]&amp;"_E3"</f>
        <v>F_01_01_E3</v>
      </c>
      <c r="W26" s="135"/>
      <c r="X26" s="13"/>
      <c r="Y26" s="6" t="str">
        <f>Tab_Def_Flows[[#This Row],[Flow_ID]]&amp;"_E4"</f>
        <v>F_01_01_E4</v>
      </c>
      <c r="Z26" s="135"/>
      <c r="AA26" s="13"/>
      <c r="AB26" s="6" t="str">
        <f>Tab_Def_Flows[[#This Row],[Flow_ID]]&amp;"_E5"</f>
        <v>F_01_01_E5</v>
      </c>
      <c r="AC26" s="140"/>
      <c r="AD26" s="13"/>
      <c r="AE26" s="6" t="str">
        <f>Tab_Def_Flows[[#This Row],[Flow_ID]]&amp;"_E6"</f>
        <v>F_01_01_E6</v>
      </c>
      <c r="AF26" s="140"/>
      <c r="AG26" s="13"/>
      <c r="AH26" s="194" t="b">
        <f>'0_Configuration'!$C$2</f>
        <v>1</v>
      </c>
      <c r="AI26" s="6"/>
      <c r="AJ26" s="194" t="b">
        <f>'0_Configuration'!$C$6</f>
        <v>0</v>
      </c>
      <c r="AK26" s="6" t="s">
        <v>1117</v>
      </c>
      <c r="AL26" s="194" t="b">
        <f>'0_Configuration'!$C$10</f>
        <v>0</v>
      </c>
      <c r="AM26" s="6" t="s">
        <v>1117</v>
      </c>
      <c r="AN26" s="194" t="b">
        <f>'0_Configuration'!$C$17</f>
        <v>0</v>
      </c>
      <c r="AO26" s="6">
        <f>_xlfn.XLOOKUP(Tab_Def_Flows[[#This Row],[ODYM_Good_Type]],Tab_Configuration[Value],Tab_Configuration[ODYM_ID],,0,)</f>
        <v>0</v>
      </c>
      <c r="AP26" s="194" t="b">
        <f>'0_Configuration'!$C$24</f>
        <v>0</v>
      </c>
      <c r="AQ26" s="6"/>
      <c r="AR26" s="194" t="b">
        <f>'0_Configuration'!$C$29</f>
        <v>1</v>
      </c>
      <c r="AS26" s="6" t="s">
        <v>1131</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F_01_01</v>
      </c>
      <c r="D27" s="7"/>
      <c r="E27" s="6"/>
      <c r="F27" s="138"/>
      <c r="G27" s="6" t="str">
        <f>_xlfn.XLOOKUP(F27,Tab_Def_Processes[Process_Name],Tab_Def_Processes[Process_ID],,0,)</f>
        <v>01</v>
      </c>
      <c r="H27" s="138"/>
      <c r="I27" s="9" t="str">
        <f>_xlfn.XLOOKUP(H27,Tab_Def_Processes[Process_Name],Tab_Def_Processes[Process_ID],,0,)</f>
        <v>01</v>
      </c>
      <c r="J27" s="138" t="s">
        <v>5</v>
      </c>
      <c r="K27" s="138" t="s">
        <v>5</v>
      </c>
      <c r="L27" s="138" t="s">
        <v>5</v>
      </c>
      <c r="M27" s="138" t="s">
        <v>5</v>
      </c>
      <c r="N27" s="138" t="s">
        <v>5</v>
      </c>
      <c r="O27" s="138" t="s">
        <v>5</v>
      </c>
      <c r="P27" s="6" t="str">
        <f>Tab_Def_Flows[[#This Row],[Flow_ID]]&amp;"_E1"</f>
        <v>F_01_01_E1</v>
      </c>
      <c r="R27" s="13"/>
      <c r="S27" s="6" t="str">
        <f>Tab_Def_Flows[[#This Row],[Flow_ID]]&amp;"_E2"</f>
        <v>F_01_01_E2</v>
      </c>
      <c r="T27" s="135"/>
      <c r="U27" s="13"/>
      <c r="V27" s="6" t="str">
        <f>Tab_Def_Flows[[#This Row],[Flow_ID]]&amp;"_E3"</f>
        <v>F_01_01_E3</v>
      </c>
      <c r="W27" s="135"/>
      <c r="X27" s="13"/>
      <c r="Y27" s="6" t="str">
        <f>Tab_Def_Flows[[#This Row],[Flow_ID]]&amp;"_E4"</f>
        <v>F_01_01_E4</v>
      </c>
      <c r="Z27" s="135"/>
      <c r="AA27" s="13"/>
      <c r="AB27" s="6" t="str">
        <f>Tab_Def_Flows[[#This Row],[Flow_ID]]&amp;"_E5"</f>
        <v>F_01_01_E5</v>
      </c>
      <c r="AC27" s="140"/>
      <c r="AD27" s="13"/>
      <c r="AE27" s="6" t="str">
        <f>Tab_Def_Flows[[#This Row],[Flow_ID]]&amp;"_E6"</f>
        <v>F_01_01_E6</v>
      </c>
      <c r="AF27" s="140"/>
      <c r="AG27" s="13"/>
      <c r="AH27" s="194" t="b">
        <f>'0_Configuration'!$C$2</f>
        <v>1</v>
      </c>
      <c r="AI27" s="6"/>
      <c r="AJ27" s="194" t="b">
        <f>'0_Configuration'!$C$6</f>
        <v>0</v>
      </c>
      <c r="AK27" s="6" t="s">
        <v>1117</v>
      </c>
      <c r="AL27" s="194" t="b">
        <f>'0_Configuration'!$C$10</f>
        <v>0</v>
      </c>
      <c r="AM27" s="6" t="s">
        <v>1117</v>
      </c>
      <c r="AN27" s="194" t="b">
        <f>'0_Configuration'!$C$17</f>
        <v>0</v>
      </c>
      <c r="AO27" s="6">
        <f>_xlfn.XLOOKUP(Tab_Def_Flows[[#This Row],[ODYM_Good_Type]],Tab_Configuration[Value],Tab_Configuration[ODYM_ID],,0,)</f>
        <v>0</v>
      </c>
      <c r="AP27" s="194" t="b">
        <f>'0_Configuration'!$C$24</f>
        <v>0</v>
      </c>
      <c r="AQ27" s="6"/>
      <c r="AR27" s="194" t="b">
        <f>'0_Configuration'!$C$29</f>
        <v>1</v>
      </c>
      <c r="AS27" s="6" t="s">
        <v>1131</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F_01_01</v>
      </c>
      <c r="D28" s="7"/>
      <c r="E28" s="6"/>
      <c r="F28" s="138"/>
      <c r="G28" s="6" t="str">
        <f>_xlfn.XLOOKUP(F28,Tab_Def_Processes[Process_Name],Tab_Def_Processes[Process_ID],,0,)</f>
        <v>01</v>
      </c>
      <c r="H28" s="138"/>
      <c r="I28" s="9" t="str">
        <f>_xlfn.XLOOKUP(H28,Tab_Def_Processes[Process_Name],Tab_Def_Processes[Process_ID],,0,)</f>
        <v>01</v>
      </c>
      <c r="J28" s="138" t="s">
        <v>5</v>
      </c>
      <c r="K28" s="138" t="s">
        <v>5</v>
      </c>
      <c r="L28" s="138" t="s">
        <v>5</v>
      </c>
      <c r="M28" s="138" t="s">
        <v>5</v>
      </c>
      <c r="N28" s="138" t="s">
        <v>5</v>
      </c>
      <c r="O28" s="138" t="s">
        <v>5</v>
      </c>
      <c r="P28" s="6" t="str">
        <f>Tab_Def_Flows[[#This Row],[Flow_ID]]&amp;"_E1"</f>
        <v>F_01_01_E1</v>
      </c>
      <c r="R28" s="13"/>
      <c r="S28" s="6" t="str">
        <f>Tab_Def_Flows[[#This Row],[Flow_ID]]&amp;"_E2"</f>
        <v>F_01_01_E2</v>
      </c>
      <c r="T28" s="135"/>
      <c r="U28" s="13"/>
      <c r="V28" s="6" t="str">
        <f>Tab_Def_Flows[[#This Row],[Flow_ID]]&amp;"_E3"</f>
        <v>F_01_01_E3</v>
      </c>
      <c r="W28" s="135"/>
      <c r="X28" s="13"/>
      <c r="Y28" s="6" t="str">
        <f>Tab_Def_Flows[[#This Row],[Flow_ID]]&amp;"_E4"</f>
        <v>F_01_01_E4</v>
      </c>
      <c r="Z28" s="135"/>
      <c r="AA28" s="13"/>
      <c r="AB28" s="6" t="str">
        <f>Tab_Def_Flows[[#This Row],[Flow_ID]]&amp;"_E5"</f>
        <v>F_01_01_E5</v>
      </c>
      <c r="AC28" s="140"/>
      <c r="AD28" s="13"/>
      <c r="AE28" s="6" t="str">
        <f>Tab_Def_Flows[[#This Row],[Flow_ID]]&amp;"_E6"</f>
        <v>F_01_01_E6</v>
      </c>
      <c r="AF28" s="140"/>
      <c r="AG28" s="13"/>
      <c r="AH28" s="194" t="b">
        <f>'0_Configuration'!$C$2</f>
        <v>1</v>
      </c>
      <c r="AI28" s="6"/>
      <c r="AJ28" s="194" t="b">
        <f>'0_Configuration'!$C$6</f>
        <v>0</v>
      </c>
      <c r="AK28" s="6" t="s">
        <v>1117</v>
      </c>
      <c r="AL28" s="194" t="b">
        <f>'0_Configuration'!$C$10</f>
        <v>0</v>
      </c>
      <c r="AM28" s="6" t="s">
        <v>1117</v>
      </c>
      <c r="AN28" s="194" t="b">
        <f>'0_Configuration'!$C$17</f>
        <v>0</v>
      </c>
      <c r="AO28" s="6">
        <f>_xlfn.XLOOKUP(Tab_Def_Flows[[#This Row],[ODYM_Good_Type]],Tab_Configuration[Value],Tab_Configuration[ODYM_ID],,0,)</f>
        <v>0</v>
      </c>
      <c r="AP28" s="194" t="b">
        <f>'0_Configuration'!$C$24</f>
        <v>0</v>
      </c>
      <c r="AQ28" s="6"/>
      <c r="AR28" s="194" t="b">
        <f>'0_Configuration'!$C$29</f>
        <v>1</v>
      </c>
      <c r="AS28" s="6" t="s">
        <v>1131</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F_01_01</v>
      </c>
      <c r="D29" s="7"/>
      <c r="E29" s="6"/>
      <c r="F29" s="138"/>
      <c r="G29" s="6" t="str">
        <f>_xlfn.XLOOKUP(F29,Tab_Def_Processes[Process_Name],Tab_Def_Processes[Process_ID],,0,)</f>
        <v>01</v>
      </c>
      <c r="H29" s="138"/>
      <c r="I29" s="9" t="str">
        <f>_xlfn.XLOOKUP(H29,Tab_Def_Processes[Process_Name],Tab_Def_Processes[Process_ID],,0,)</f>
        <v>01</v>
      </c>
      <c r="J29" s="138" t="s">
        <v>5</v>
      </c>
      <c r="K29" s="138" t="s">
        <v>5</v>
      </c>
      <c r="L29" s="138" t="s">
        <v>5</v>
      </c>
      <c r="M29" s="138" t="s">
        <v>5</v>
      </c>
      <c r="N29" s="138" t="s">
        <v>5</v>
      </c>
      <c r="O29" s="138" t="s">
        <v>5</v>
      </c>
      <c r="P29" s="6" t="str">
        <f>Tab_Def_Flows[[#This Row],[Flow_ID]]&amp;"_E1"</f>
        <v>F_01_01_E1</v>
      </c>
      <c r="R29" s="13"/>
      <c r="S29" s="6" t="str">
        <f>Tab_Def_Flows[[#This Row],[Flow_ID]]&amp;"_E2"</f>
        <v>F_01_01_E2</v>
      </c>
      <c r="T29" s="135"/>
      <c r="U29" s="13"/>
      <c r="V29" s="6" t="str">
        <f>Tab_Def_Flows[[#This Row],[Flow_ID]]&amp;"_E3"</f>
        <v>F_01_01_E3</v>
      </c>
      <c r="W29" s="135"/>
      <c r="X29" s="13"/>
      <c r="Y29" s="6" t="str">
        <f>Tab_Def_Flows[[#This Row],[Flow_ID]]&amp;"_E4"</f>
        <v>F_01_01_E4</v>
      </c>
      <c r="Z29" s="135"/>
      <c r="AA29" s="13"/>
      <c r="AB29" s="6" t="str">
        <f>Tab_Def_Flows[[#This Row],[Flow_ID]]&amp;"_E5"</f>
        <v>F_01_01_E5</v>
      </c>
      <c r="AC29" s="140"/>
      <c r="AD29" s="13"/>
      <c r="AE29" s="6" t="str">
        <f>Tab_Def_Flows[[#This Row],[Flow_ID]]&amp;"_E6"</f>
        <v>F_01_01_E6</v>
      </c>
      <c r="AF29" s="140"/>
      <c r="AG29" s="13"/>
      <c r="AH29" s="194" t="b">
        <f>'0_Configuration'!$C$2</f>
        <v>1</v>
      </c>
      <c r="AI29" s="6"/>
      <c r="AJ29" s="194" t="b">
        <f>'0_Configuration'!$C$6</f>
        <v>0</v>
      </c>
      <c r="AK29" s="6" t="s">
        <v>1117</v>
      </c>
      <c r="AL29" s="194" t="b">
        <f>'0_Configuration'!$C$10</f>
        <v>0</v>
      </c>
      <c r="AM29" s="6" t="s">
        <v>1117</v>
      </c>
      <c r="AN29" s="194" t="b">
        <f>'0_Configuration'!$C$17</f>
        <v>0</v>
      </c>
      <c r="AO29" s="6">
        <f>_xlfn.XLOOKUP(Tab_Def_Flows[[#This Row],[ODYM_Good_Type]],Tab_Configuration[Value],Tab_Configuration[ODYM_ID],,0,)</f>
        <v>0</v>
      </c>
      <c r="AP29" s="194" t="b">
        <f>'0_Configuration'!$C$24</f>
        <v>0</v>
      </c>
      <c r="AQ29" s="6"/>
      <c r="AR29" s="194" t="b">
        <f>'0_Configuration'!$C$29</f>
        <v>1</v>
      </c>
      <c r="AS29" s="6" t="s">
        <v>1131</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F_01_01</v>
      </c>
      <c r="D30" s="7"/>
      <c r="E30" s="6"/>
      <c r="F30" s="138"/>
      <c r="G30" s="6" t="str">
        <f>_xlfn.XLOOKUP(F30,Tab_Def_Processes[Process_Name],Tab_Def_Processes[Process_ID],,0,)</f>
        <v>01</v>
      </c>
      <c r="H30" s="138"/>
      <c r="I30" s="9" t="str">
        <f>_xlfn.XLOOKUP(H30,Tab_Def_Processes[Process_Name],Tab_Def_Processes[Process_ID],,0,)</f>
        <v>01</v>
      </c>
      <c r="J30" s="138" t="s">
        <v>5</v>
      </c>
      <c r="K30" s="138" t="s">
        <v>5</v>
      </c>
      <c r="L30" s="138" t="s">
        <v>5</v>
      </c>
      <c r="M30" s="138" t="s">
        <v>5</v>
      </c>
      <c r="N30" s="138" t="s">
        <v>5</v>
      </c>
      <c r="O30" s="138" t="s">
        <v>5</v>
      </c>
      <c r="P30" s="6" t="str">
        <f>Tab_Def_Flows[[#This Row],[Flow_ID]]&amp;"_E1"</f>
        <v>F_01_01_E1</v>
      </c>
      <c r="R30" s="13"/>
      <c r="S30" s="6" t="str">
        <f>Tab_Def_Flows[[#This Row],[Flow_ID]]&amp;"_E2"</f>
        <v>F_01_01_E2</v>
      </c>
      <c r="T30" s="135"/>
      <c r="U30" s="13"/>
      <c r="V30" s="6" t="str">
        <f>Tab_Def_Flows[[#This Row],[Flow_ID]]&amp;"_E3"</f>
        <v>F_01_01_E3</v>
      </c>
      <c r="W30" s="135"/>
      <c r="X30" s="13"/>
      <c r="Y30" s="6" t="str">
        <f>Tab_Def_Flows[[#This Row],[Flow_ID]]&amp;"_E4"</f>
        <v>F_01_01_E4</v>
      </c>
      <c r="Z30" s="135"/>
      <c r="AA30" s="13"/>
      <c r="AB30" s="6" t="str">
        <f>Tab_Def_Flows[[#This Row],[Flow_ID]]&amp;"_E5"</f>
        <v>F_01_01_E5</v>
      </c>
      <c r="AC30" s="140"/>
      <c r="AD30" s="13"/>
      <c r="AE30" s="6" t="str">
        <f>Tab_Def_Flows[[#This Row],[Flow_ID]]&amp;"_E6"</f>
        <v>F_01_01_E6</v>
      </c>
      <c r="AF30" s="140"/>
      <c r="AG30" s="13"/>
      <c r="AH30" s="194" t="b">
        <f>'0_Configuration'!$C$2</f>
        <v>1</v>
      </c>
      <c r="AI30" s="6"/>
      <c r="AJ30" s="194" t="b">
        <f>'0_Configuration'!$C$6</f>
        <v>0</v>
      </c>
      <c r="AK30" s="6" t="s">
        <v>1117</v>
      </c>
      <c r="AL30" s="194" t="b">
        <f>'0_Configuration'!$C$10</f>
        <v>0</v>
      </c>
      <c r="AM30" s="6" t="s">
        <v>1117</v>
      </c>
      <c r="AN30" s="194" t="b">
        <f>'0_Configuration'!$C$17</f>
        <v>0</v>
      </c>
      <c r="AO30" s="6">
        <f>_xlfn.XLOOKUP(Tab_Def_Flows[[#This Row],[ODYM_Good_Type]],Tab_Configuration[Value],Tab_Configuration[ODYM_ID],,0,)</f>
        <v>0</v>
      </c>
      <c r="AP30" s="194" t="b">
        <f>'0_Configuration'!$C$24</f>
        <v>0</v>
      </c>
      <c r="AQ30" s="6"/>
      <c r="AR30" s="194" t="b">
        <f>'0_Configuration'!$C$29</f>
        <v>1</v>
      </c>
      <c r="AS30" s="6" t="s">
        <v>1131</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F_01_01</v>
      </c>
      <c r="D31" s="7"/>
      <c r="E31" s="6"/>
      <c r="F31" s="138"/>
      <c r="G31" s="6" t="str">
        <f>_xlfn.XLOOKUP(F31,Tab_Def_Processes[Process_Name],Tab_Def_Processes[Process_ID],,0,)</f>
        <v>01</v>
      </c>
      <c r="H31" s="138"/>
      <c r="I31" s="9" t="str">
        <f>_xlfn.XLOOKUP(H31,Tab_Def_Processes[Process_Name],Tab_Def_Processes[Process_ID],,0,)</f>
        <v>01</v>
      </c>
      <c r="J31" s="138" t="s">
        <v>5</v>
      </c>
      <c r="K31" s="138" t="s">
        <v>5</v>
      </c>
      <c r="L31" s="138" t="s">
        <v>5</v>
      </c>
      <c r="M31" s="138" t="s">
        <v>5</v>
      </c>
      <c r="N31" s="138" t="s">
        <v>5</v>
      </c>
      <c r="O31" s="138" t="s">
        <v>5</v>
      </c>
      <c r="P31" s="6" t="str">
        <f>Tab_Def_Flows[[#This Row],[Flow_ID]]&amp;"_E1"</f>
        <v>F_01_01_E1</v>
      </c>
      <c r="R31" s="13"/>
      <c r="S31" s="6" t="str">
        <f>Tab_Def_Flows[[#This Row],[Flow_ID]]&amp;"_E2"</f>
        <v>F_01_01_E2</v>
      </c>
      <c r="T31" s="135"/>
      <c r="U31" s="13"/>
      <c r="V31" s="6" t="str">
        <f>Tab_Def_Flows[[#This Row],[Flow_ID]]&amp;"_E3"</f>
        <v>F_01_01_E3</v>
      </c>
      <c r="W31" s="135"/>
      <c r="X31" s="13"/>
      <c r="Y31" s="6" t="str">
        <f>Tab_Def_Flows[[#This Row],[Flow_ID]]&amp;"_E4"</f>
        <v>F_01_01_E4</v>
      </c>
      <c r="Z31" s="135"/>
      <c r="AA31" s="13"/>
      <c r="AB31" s="6" t="str">
        <f>Tab_Def_Flows[[#This Row],[Flow_ID]]&amp;"_E5"</f>
        <v>F_01_01_E5</v>
      </c>
      <c r="AC31" s="140"/>
      <c r="AD31" s="13"/>
      <c r="AE31" s="6" t="str">
        <f>Tab_Def_Flows[[#This Row],[Flow_ID]]&amp;"_E6"</f>
        <v>F_01_01_E6</v>
      </c>
      <c r="AF31" s="140"/>
      <c r="AG31" s="13"/>
      <c r="AH31" s="194" t="b">
        <f>'0_Configuration'!$C$2</f>
        <v>1</v>
      </c>
      <c r="AI31" s="6"/>
      <c r="AJ31" s="194" t="b">
        <f>'0_Configuration'!$C$6</f>
        <v>0</v>
      </c>
      <c r="AK31" s="6" t="s">
        <v>1117</v>
      </c>
      <c r="AL31" s="194" t="b">
        <f>'0_Configuration'!$C$10</f>
        <v>0</v>
      </c>
      <c r="AM31" s="6" t="s">
        <v>1117</v>
      </c>
      <c r="AN31" s="194" t="b">
        <f>'0_Configuration'!$C$17</f>
        <v>0</v>
      </c>
      <c r="AO31" s="6">
        <f>_xlfn.XLOOKUP(Tab_Def_Flows[[#This Row],[ODYM_Good_Type]],Tab_Configuration[Value],Tab_Configuration[ODYM_ID],,0,)</f>
        <v>0</v>
      </c>
      <c r="AP31" s="194" t="b">
        <f>'0_Configuration'!$C$24</f>
        <v>0</v>
      </c>
      <c r="AQ31" s="6"/>
      <c r="AR31" s="194" t="b">
        <f>'0_Configuration'!$C$29</f>
        <v>1</v>
      </c>
      <c r="AS31" s="6" t="s">
        <v>1131</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F_01_01</v>
      </c>
      <c r="D32" s="7"/>
      <c r="E32" s="6"/>
      <c r="F32" s="138"/>
      <c r="G32" s="6" t="str">
        <f>_xlfn.XLOOKUP(F32,Tab_Def_Processes[Process_Name],Tab_Def_Processes[Process_ID],,0,)</f>
        <v>01</v>
      </c>
      <c r="H32" s="138"/>
      <c r="I32" s="9" t="str">
        <f>_xlfn.XLOOKUP(H32,Tab_Def_Processes[Process_Name],Tab_Def_Processes[Process_ID],,0,)</f>
        <v>01</v>
      </c>
      <c r="J32" s="138" t="s">
        <v>5</v>
      </c>
      <c r="K32" s="138" t="s">
        <v>5</v>
      </c>
      <c r="L32" s="138" t="s">
        <v>5</v>
      </c>
      <c r="M32" s="138" t="s">
        <v>5</v>
      </c>
      <c r="N32" s="138" t="s">
        <v>5</v>
      </c>
      <c r="O32" s="138" t="s">
        <v>5</v>
      </c>
      <c r="P32" s="6" t="str">
        <f>Tab_Def_Flows[[#This Row],[Flow_ID]]&amp;"_E1"</f>
        <v>F_01_01_E1</v>
      </c>
      <c r="R32" s="13"/>
      <c r="S32" s="6" t="str">
        <f>Tab_Def_Flows[[#This Row],[Flow_ID]]&amp;"_E2"</f>
        <v>F_01_01_E2</v>
      </c>
      <c r="T32" s="135"/>
      <c r="U32" s="13"/>
      <c r="V32" s="6" t="str">
        <f>Tab_Def_Flows[[#This Row],[Flow_ID]]&amp;"_E3"</f>
        <v>F_01_01_E3</v>
      </c>
      <c r="W32" s="135"/>
      <c r="X32" s="13"/>
      <c r="Y32" s="6" t="str">
        <f>Tab_Def_Flows[[#This Row],[Flow_ID]]&amp;"_E4"</f>
        <v>F_01_01_E4</v>
      </c>
      <c r="Z32" s="135"/>
      <c r="AA32" s="13"/>
      <c r="AB32" s="6" t="str">
        <f>Tab_Def_Flows[[#This Row],[Flow_ID]]&amp;"_E5"</f>
        <v>F_01_01_E5</v>
      </c>
      <c r="AC32" s="140"/>
      <c r="AD32" s="13"/>
      <c r="AE32" s="6" t="str">
        <f>Tab_Def_Flows[[#This Row],[Flow_ID]]&amp;"_E6"</f>
        <v>F_01_01_E6</v>
      </c>
      <c r="AF32" s="140"/>
      <c r="AG32" s="13"/>
      <c r="AH32" s="194" t="b">
        <f>'0_Configuration'!$C$2</f>
        <v>1</v>
      </c>
      <c r="AI32" s="6"/>
      <c r="AJ32" s="194" t="b">
        <f>'0_Configuration'!$C$6</f>
        <v>0</v>
      </c>
      <c r="AK32" s="6" t="s">
        <v>1117</v>
      </c>
      <c r="AL32" s="194" t="b">
        <f>'0_Configuration'!$C$10</f>
        <v>0</v>
      </c>
      <c r="AM32" s="6" t="s">
        <v>1117</v>
      </c>
      <c r="AN32" s="194" t="b">
        <f>'0_Configuration'!$C$17</f>
        <v>0</v>
      </c>
      <c r="AO32" s="6">
        <f>_xlfn.XLOOKUP(Tab_Def_Flows[[#This Row],[ODYM_Good_Type]],Tab_Configuration[Value],Tab_Configuration[ODYM_ID],,0,)</f>
        <v>0</v>
      </c>
      <c r="AP32" s="194" t="b">
        <f>'0_Configuration'!$C$24</f>
        <v>0</v>
      </c>
      <c r="AQ32" s="6"/>
      <c r="AR32" s="194" t="b">
        <f>'0_Configuration'!$C$29</f>
        <v>1</v>
      </c>
      <c r="AS32" s="6" t="s">
        <v>1131</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F_01_01</v>
      </c>
      <c r="D33" s="7"/>
      <c r="E33" s="6"/>
      <c r="F33" s="138"/>
      <c r="G33" s="6" t="str">
        <f>_xlfn.XLOOKUP(F33,Tab_Def_Processes[Process_Name],Tab_Def_Processes[Process_ID],,0,)</f>
        <v>01</v>
      </c>
      <c r="H33" s="138"/>
      <c r="I33" s="9" t="str">
        <f>_xlfn.XLOOKUP(H33,Tab_Def_Processes[Process_Name],Tab_Def_Processes[Process_ID],,0,)</f>
        <v>01</v>
      </c>
      <c r="J33" s="138" t="s">
        <v>5</v>
      </c>
      <c r="K33" s="138" t="s">
        <v>5</v>
      </c>
      <c r="L33" s="138" t="s">
        <v>5</v>
      </c>
      <c r="M33" s="138" t="s">
        <v>5</v>
      </c>
      <c r="N33" s="138" t="s">
        <v>5</v>
      </c>
      <c r="O33" s="138" t="s">
        <v>5</v>
      </c>
      <c r="P33" s="6" t="str">
        <f>Tab_Def_Flows[[#This Row],[Flow_ID]]&amp;"_E1"</f>
        <v>F_01_01_E1</v>
      </c>
      <c r="R33" s="13"/>
      <c r="S33" s="6" t="str">
        <f>Tab_Def_Flows[[#This Row],[Flow_ID]]&amp;"_E2"</f>
        <v>F_01_01_E2</v>
      </c>
      <c r="T33" s="135"/>
      <c r="U33" s="13"/>
      <c r="V33" s="6" t="str">
        <f>Tab_Def_Flows[[#This Row],[Flow_ID]]&amp;"_E3"</f>
        <v>F_01_01_E3</v>
      </c>
      <c r="W33" s="135"/>
      <c r="X33" s="13"/>
      <c r="Y33" s="6" t="str">
        <f>Tab_Def_Flows[[#This Row],[Flow_ID]]&amp;"_E4"</f>
        <v>F_01_01_E4</v>
      </c>
      <c r="Z33" s="135"/>
      <c r="AA33" s="13"/>
      <c r="AB33" s="6" t="str">
        <f>Tab_Def_Flows[[#This Row],[Flow_ID]]&amp;"_E5"</f>
        <v>F_01_01_E5</v>
      </c>
      <c r="AC33" s="140"/>
      <c r="AD33" s="13"/>
      <c r="AE33" s="6" t="str">
        <f>Tab_Def_Flows[[#This Row],[Flow_ID]]&amp;"_E6"</f>
        <v>F_01_01_E6</v>
      </c>
      <c r="AF33" s="140"/>
      <c r="AG33" s="13"/>
      <c r="AH33" s="194" t="b">
        <f>'0_Configuration'!$C$2</f>
        <v>1</v>
      </c>
      <c r="AI33" s="6"/>
      <c r="AJ33" s="194" t="b">
        <f>'0_Configuration'!$C$6</f>
        <v>0</v>
      </c>
      <c r="AK33" s="6" t="s">
        <v>1117</v>
      </c>
      <c r="AL33" s="194" t="b">
        <f>'0_Configuration'!$C$10</f>
        <v>0</v>
      </c>
      <c r="AM33" s="6" t="s">
        <v>1117</v>
      </c>
      <c r="AN33" s="194" t="b">
        <f>'0_Configuration'!$C$17</f>
        <v>0</v>
      </c>
      <c r="AO33" s="6">
        <f>_xlfn.XLOOKUP(Tab_Def_Flows[[#This Row],[ODYM_Good_Type]],Tab_Configuration[Value],Tab_Configuration[ODYM_ID],,0,)</f>
        <v>0</v>
      </c>
      <c r="AP33" s="194" t="b">
        <f>'0_Configuration'!$C$24</f>
        <v>0</v>
      </c>
      <c r="AQ33" s="6"/>
      <c r="AR33" s="194" t="b">
        <f>'0_Configuration'!$C$29</f>
        <v>1</v>
      </c>
      <c r="AS33" s="6" t="s">
        <v>1131</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F_01_01</v>
      </c>
      <c r="D34" s="7"/>
      <c r="E34" s="6"/>
      <c r="F34" s="138"/>
      <c r="G34" s="6" t="str">
        <f>_xlfn.XLOOKUP(F34,Tab_Def_Processes[Process_Name],Tab_Def_Processes[Process_ID],,0,)</f>
        <v>01</v>
      </c>
      <c r="H34" s="138"/>
      <c r="I34" s="9" t="str">
        <f>_xlfn.XLOOKUP(H34,Tab_Def_Processes[Process_Name],Tab_Def_Processes[Process_ID],,0,)</f>
        <v>01</v>
      </c>
      <c r="J34" s="138" t="s">
        <v>5</v>
      </c>
      <c r="K34" s="138" t="s">
        <v>5</v>
      </c>
      <c r="L34" s="138" t="s">
        <v>5</v>
      </c>
      <c r="M34" s="138" t="s">
        <v>5</v>
      </c>
      <c r="N34" s="138" t="s">
        <v>5</v>
      </c>
      <c r="O34" s="138" t="s">
        <v>5</v>
      </c>
      <c r="P34" s="6" t="str">
        <f>Tab_Def_Flows[[#This Row],[Flow_ID]]&amp;"_E1"</f>
        <v>F_01_01_E1</v>
      </c>
      <c r="R34" s="13"/>
      <c r="S34" s="6" t="str">
        <f>Tab_Def_Flows[[#This Row],[Flow_ID]]&amp;"_E2"</f>
        <v>F_01_01_E2</v>
      </c>
      <c r="T34" s="135"/>
      <c r="U34" s="13"/>
      <c r="V34" s="6" t="str">
        <f>Tab_Def_Flows[[#This Row],[Flow_ID]]&amp;"_E3"</f>
        <v>F_01_01_E3</v>
      </c>
      <c r="W34" s="135"/>
      <c r="X34" s="13"/>
      <c r="Y34" s="6" t="str">
        <f>Tab_Def_Flows[[#This Row],[Flow_ID]]&amp;"_E4"</f>
        <v>F_01_01_E4</v>
      </c>
      <c r="Z34" s="135"/>
      <c r="AA34" s="13"/>
      <c r="AB34" s="6" t="str">
        <f>Tab_Def_Flows[[#This Row],[Flow_ID]]&amp;"_E5"</f>
        <v>F_01_01_E5</v>
      </c>
      <c r="AC34" s="140"/>
      <c r="AD34" s="13"/>
      <c r="AE34" s="6" t="str">
        <f>Tab_Def_Flows[[#This Row],[Flow_ID]]&amp;"_E6"</f>
        <v>F_01_01_E6</v>
      </c>
      <c r="AF34" s="140"/>
      <c r="AG34" s="13"/>
      <c r="AH34" s="194" t="b">
        <f>'0_Configuration'!$C$2</f>
        <v>1</v>
      </c>
      <c r="AI34" s="6"/>
      <c r="AJ34" s="194" t="b">
        <f>'0_Configuration'!$C$6</f>
        <v>0</v>
      </c>
      <c r="AK34" s="6" t="s">
        <v>1117</v>
      </c>
      <c r="AL34" s="194" t="b">
        <f>'0_Configuration'!$C$10</f>
        <v>0</v>
      </c>
      <c r="AM34" s="6" t="s">
        <v>1117</v>
      </c>
      <c r="AN34" s="194" t="b">
        <f>'0_Configuration'!$C$17</f>
        <v>0</v>
      </c>
      <c r="AO34" s="6">
        <f>_xlfn.XLOOKUP(Tab_Def_Flows[[#This Row],[ODYM_Good_Type]],Tab_Configuration[Value],Tab_Configuration[ODYM_ID],,0,)</f>
        <v>0</v>
      </c>
      <c r="AP34" s="194" t="b">
        <f>'0_Configuration'!$C$24</f>
        <v>0</v>
      </c>
      <c r="AQ34" s="6"/>
      <c r="AR34" s="194" t="b">
        <f>'0_Configuration'!$C$29</f>
        <v>1</v>
      </c>
      <c r="AS34" s="6" t="s">
        <v>1131</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F_01_01</v>
      </c>
      <c r="D35" s="7"/>
      <c r="E35" s="6"/>
      <c r="F35" s="138"/>
      <c r="G35" s="6" t="str">
        <f>_xlfn.XLOOKUP(F35,Tab_Def_Processes[Process_Name],Tab_Def_Processes[Process_ID],,0,)</f>
        <v>01</v>
      </c>
      <c r="H35" s="138"/>
      <c r="I35" s="9" t="str">
        <f>_xlfn.XLOOKUP(H35,Tab_Def_Processes[Process_Name],Tab_Def_Processes[Process_ID],,0,)</f>
        <v>01</v>
      </c>
      <c r="J35" s="138" t="s">
        <v>5</v>
      </c>
      <c r="K35" s="138" t="s">
        <v>5</v>
      </c>
      <c r="L35" s="138" t="s">
        <v>5</v>
      </c>
      <c r="M35" s="138" t="s">
        <v>5</v>
      </c>
      <c r="N35" s="138" t="s">
        <v>5</v>
      </c>
      <c r="O35" s="138" t="s">
        <v>5</v>
      </c>
      <c r="P35" s="6" t="str">
        <f>Tab_Def_Flows[[#This Row],[Flow_ID]]&amp;"_E1"</f>
        <v>F_01_01_E1</v>
      </c>
      <c r="R35" s="13"/>
      <c r="S35" s="6" t="str">
        <f>Tab_Def_Flows[[#This Row],[Flow_ID]]&amp;"_E2"</f>
        <v>F_01_01_E2</v>
      </c>
      <c r="T35" s="135"/>
      <c r="U35" s="13"/>
      <c r="V35" s="6" t="str">
        <f>Tab_Def_Flows[[#This Row],[Flow_ID]]&amp;"_E3"</f>
        <v>F_01_01_E3</v>
      </c>
      <c r="W35" s="135"/>
      <c r="X35" s="13"/>
      <c r="Y35" s="6" t="str">
        <f>Tab_Def_Flows[[#This Row],[Flow_ID]]&amp;"_E4"</f>
        <v>F_01_01_E4</v>
      </c>
      <c r="Z35" s="135"/>
      <c r="AA35" s="13"/>
      <c r="AB35" s="6" t="str">
        <f>Tab_Def_Flows[[#This Row],[Flow_ID]]&amp;"_E5"</f>
        <v>F_01_01_E5</v>
      </c>
      <c r="AC35" s="140"/>
      <c r="AD35" s="13"/>
      <c r="AE35" s="6" t="str">
        <f>Tab_Def_Flows[[#This Row],[Flow_ID]]&amp;"_E6"</f>
        <v>F_01_01_E6</v>
      </c>
      <c r="AF35" s="140"/>
      <c r="AG35" s="13"/>
      <c r="AH35" s="194" t="b">
        <f>'0_Configuration'!$C$2</f>
        <v>1</v>
      </c>
      <c r="AI35" s="6"/>
      <c r="AJ35" s="194" t="b">
        <f>'0_Configuration'!$C$6</f>
        <v>0</v>
      </c>
      <c r="AK35" s="6" t="s">
        <v>1117</v>
      </c>
      <c r="AL35" s="194" t="b">
        <f>'0_Configuration'!$C$10</f>
        <v>0</v>
      </c>
      <c r="AM35" s="6" t="s">
        <v>1117</v>
      </c>
      <c r="AN35" s="194" t="b">
        <f>'0_Configuration'!$C$17</f>
        <v>0</v>
      </c>
      <c r="AO35" s="6">
        <f>_xlfn.XLOOKUP(Tab_Def_Flows[[#This Row],[ODYM_Good_Type]],Tab_Configuration[Value],Tab_Configuration[ODYM_ID],,0,)</f>
        <v>0</v>
      </c>
      <c r="AP35" s="194" t="b">
        <f>'0_Configuration'!$C$24</f>
        <v>0</v>
      </c>
      <c r="AQ35" s="6"/>
      <c r="AR35" s="194" t="b">
        <f>'0_Configuration'!$C$29</f>
        <v>1</v>
      </c>
      <c r="AS35" s="6" t="s">
        <v>1131</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F_01_01</v>
      </c>
      <c r="D36" s="7"/>
      <c r="E36" s="6"/>
      <c r="F36" s="138"/>
      <c r="G36" s="6" t="str">
        <f>_xlfn.XLOOKUP(F36,Tab_Def_Processes[Process_Name],Tab_Def_Processes[Process_ID],,0,)</f>
        <v>01</v>
      </c>
      <c r="H36" s="138"/>
      <c r="I36" s="9" t="str">
        <f>_xlfn.XLOOKUP(H36,Tab_Def_Processes[Process_Name],Tab_Def_Processes[Process_ID],,0,)</f>
        <v>01</v>
      </c>
      <c r="J36" s="138" t="s">
        <v>5</v>
      </c>
      <c r="K36" s="138" t="s">
        <v>5</v>
      </c>
      <c r="L36" s="138" t="s">
        <v>5</v>
      </c>
      <c r="M36" s="138" t="s">
        <v>5</v>
      </c>
      <c r="N36" s="138" t="s">
        <v>5</v>
      </c>
      <c r="O36" s="138" t="s">
        <v>5</v>
      </c>
      <c r="P36" s="6" t="str">
        <f>Tab_Def_Flows[[#This Row],[Flow_ID]]&amp;"_E1"</f>
        <v>F_01_01_E1</v>
      </c>
      <c r="R36" s="13"/>
      <c r="S36" s="6" t="str">
        <f>Tab_Def_Flows[[#This Row],[Flow_ID]]&amp;"_E2"</f>
        <v>F_01_01_E2</v>
      </c>
      <c r="T36" s="135"/>
      <c r="U36" s="13"/>
      <c r="V36" s="6" t="str">
        <f>Tab_Def_Flows[[#This Row],[Flow_ID]]&amp;"_E3"</f>
        <v>F_01_01_E3</v>
      </c>
      <c r="W36" s="135"/>
      <c r="X36" s="13"/>
      <c r="Y36" s="6" t="str">
        <f>Tab_Def_Flows[[#This Row],[Flow_ID]]&amp;"_E4"</f>
        <v>F_01_01_E4</v>
      </c>
      <c r="Z36" s="135"/>
      <c r="AA36" s="13"/>
      <c r="AB36" s="6" t="str">
        <f>Tab_Def_Flows[[#This Row],[Flow_ID]]&amp;"_E5"</f>
        <v>F_01_01_E5</v>
      </c>
      <c r="AC36" s="140"/>
      <c r="AD36" s="13"/>
      <c r="AE36" s="6" t="str">
        <f>Tab_Def_Flows[[#This Row],[Flow_ID]]&amp;"_E6"</f>
        <v>F_01_01_E6</v>
      </c>
      <c r="AF36" s="140"/>
      <c r="AG36" s="13"/>
      <c r="AH36" s="194" t="b">
        <f>'0_Configuration'!$C$2</f>
        <v>1</v>
      </c>
      <c r="AI36" s="6"/>
      <c r="AJ36" s="194" t="b">
        <f>'0_Configuration'!$C$6</f>
        <v>0</v>
      </c>
      <c r="AK36" s="6" t="s">
        <v>1117</v>
      </c>
      <c r="AL36" s="194" t="b">
        <f>'0_Configuration'!$C$10</f>
        <v>0</v>
      </c>
      <c r="AM36" s="6" t="s">
        <v>1117</v>
      </c>
      <c r="AN36" s="194" t="b">
        <f>'0_Configuration'!$C$17</f>
        <v>0</v>
      </c>
      <c r="AO36" s="6">
        <f>_xlfn.XLOOKUP(Tab_Def_Flows[[#This Row],[ODYM_Good_Type]],Tab_Configuration[Value],Tab_Configuration[ODYM_ID],,0,)</f>
        <v>0</v>
      </c>
      <c r="AP36" s="194" t="b">
        <f>'0_Configuration'!$C$24</f>
        <v>0</v>
      </c>
      <c r="AQ36" s="6"/>
      <c r="AR36" s="194" t="b">
        <f>'0_Configuration'!$C$29</f>
        <v>1</v>
      </c>
      <c r="AS36" s="6" t="s">
        <v>1131</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F_01_01</v>
      </c>
      <c r="D37" s="7"/>
      <c r="E37" s="6"/>
      <c r="F37" s="138"/>
      <c r="G37" s="6" t="str">
        <f>_xlfn.XLOOKUP(F37,Tab_Def_Processes[Process_Name],Tab_Def_Processes[Process_ID],,0,)</f>
        <v>01</v>
      </c>
      <c r="H37" s="138"/>
      <c r="I37" s="9" t="str">
        <f>_xlfn.XLOOKUP(H37,Tab_Def_Processes[Process_Name],Tab_Def_Processes[Process_ID],,0,)</f>
        <v>01</v>
      </c>
      <c r="J37" s="138" t="s">
        <v>5</v>
      </c>
      <c r="K37" s="138" t="s">
        <v>5</v>
      </c>
      <c r="L37" s="138" t="s">
        <v>5</v>
      </c>
      <c r="M37" s="138" t="s">
        <v>5</v>
      </c>
      <c r="N37" s="138" t="s">
        <v>5</v>
      </c>
      <c r="O37" s="138" t="s">
        <v>5</v>
      </c>
      <c r="P37" s="6" t="str">
        <f>Tab_Def_Flows[[#This Row],[Flow_ID]]&amp;"_E1"</f>
        <v>F_01_01_E1</v>
      </c>
      <c r="R37" s="13"/>
      <c r="S37" s="6" t="str">
        <f>Tab_Def_Flows[[#This Row],[Flow_ID]]&amp;"_E2"</f>
        <v>F_01_01_E2</v>
      </c>
      <c r="T37" s="135"/>
      <c r="U37" s="13"/>
      <c r="V37" s="6" t="str">
        <f>Tab_Def_Flows[[#This Row],[Flow_ID]]&amp;"_E3"</f>
        <v>F_01_01_E3</v>
      </c>
      <c r="W37" s="135"/>
      <c r="X37" s="13"/>
      <c r="Y37" s="6" t="str">
        <f>Tab_Def_Flows[[#This Row],[Flow_ID]]&amp;"_E4"</f>
        <v>F_01_01_E4</v>
      </c>
      <c r="Z37" s="135"/>
      <c r="AA37" s="13"/>
      <c r="AB37" s="6" t="str">
        <f>Tab_Def_Flows[[#This Row],[Flow_ID]]&amp;"_E5"</f>
        <v>F_01_01_E5</v>
      </c>
      <c r="AC37" s="140"/>
      <c r="AD37" s="13"/>
      <c r="AE37" s="6" t="str">
        <f>Tab_Def_Flows[[#This Row],[Flow_ID]]&amp;"_E6"</f>
        <v>F_01_01_E6</v>
      </c>
      <c r="AF37" s="140"/>
      <c r="AG37" s="13"/>
      <c r="AH37" s="194" t="b">
        <f>'0_Configuration'!$C$2</f>
        <v>1</v>
      </c>
      <c r="AI37" s="6"/>
      <c r="AJ37" s="194" t="b">
        <f>'0_Configuration'!$C$6</f>
        <v>0</v>
      </c>
      <c r="AK37" s="6" t="s">
        <v>1117</v>
      </c>
      <c r="AL37" s="194" t="b">
        <f>'0_Configuration'!$C$10</f>
        <v>0</v>
      </c>
      <c r="AM37" s="6" t="s">
        <v>1117</v>
      </c>
      <c r="AN37" s="194" t="b">
        <f>'0_Configuration'!$C$17</f>
        <v>0</v>
      </c>
      <c r="AO37" s="6">
        <f>_xlfn.XLOOKUP(Tab_Def_Flows[[#This Row],[ODYM_Good_Type]],Tab_Configuration[Value],Tab_Configuration[ODYM_ID],,0,)</f>
        <v>0</v>
      </c>
      <c r="AP37" s="194" t="b">
        <f>'0_Configuration'!$C$24</f>
        <v>0</v>
      </c>
      <c r="AQ37" s="6"/>
      <c r="AR37" s="194" t="b">
        <f>'0_Configuration'!$C$29</f>
        <v>1</v>
      </c>
      <c r="AS37" s="6" t="s">
        <v>1131</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F_01_01</v>
      </c>
      <c r="D38" s="7"/>
      <c r="E38" s="6"/>
      <c r="F38" s="138"/>
      <c r="G38" s="6" t="str">
        <f>_xlfn.XLOOKUP(F38,Tab_Def_Processes[Process_Name],Tab_Def_Processes[Process_ID],,0,)</f>
        <v>01</v>
      </c>
      <c r="H38" s="138"/>
      <c r="I38" s="9" t="str">
        <f>_xlfn.XLOOKUP(H38,Tab_Def_Processes[Process_Name],Tab_Def_Processes[Process_ID],,0,)</f>
        <v>01</v>
      </c>
      <c r="J38" s="138" t="s">
        <v>5</v>
      </c>
      <c r="K38" s="138" t="s">
        <v>5</v>
      </c>
      <c r="L38" s="138" t="s">
        <v>5</v>
      </c>
      <c r="M38" s="138" t="s">
        <v>5</v>
      </c>
      <c r="N38" s="138" t="s">
        <v>5</v>
      </c>
      <c r="O38" s="138" t="s">
        <v>5</v>
      </c>
      <c r="P38" s="6" t="str">
        <f>Tab_Def_Flows[[#This Row],[Flow_ID]]&amp;"_E1"</f>
        <v>F_01_01_E1</v>
      </c>
      <c r="R38" s="13"/>
      <c r="S38" s="6" t="str">
        <f>Tab_Def_Flows[[#This Row],[Flow_ID]]&amp;"_E2"</f>
        <v>F_01_01_E2</v>
      </c>
      <c r="T38" s="135"/>
      <c r="U38" s="13"/>
      <c r="V38" s="6" t="str">
        <f>Tab_Def_Flows[[#This Row],[Flow_ID]]&amp;"_E3"</f>
        <v>F_01_01_E3</v>
      </c>
      <c r="W38" s="135"/>
      <c r="X38" s="13"/>
      <c r="Y38" s="6" t="str">
        <f>Tab_Def_Flows[[#This Row],[Flow_ID]]&amp;"_E4"</f>
        <v>F_01_01_E4</v>
      </c>
      <c r="Z38" s="135"/>
      <c r="AA38" s="13"/>
      <c r="AB38" s="6" t="str">
        <f>Tab_Def_Flows[[#This Row],[Flow_ID]]&amp;"_E5"</f>
        <v>F_01_01_E5</v>
      </c>
      <c r="AC38" s="140"/>
      <c r="AD38" s="13"/>
      <c r="AE38" s="6" t="str">
        <f>Tab_Def_Flows[[#This Row],[Flow_ID]]&amp;"_E6"</f>
        <v>F_01_01_E6</v>
      </c>
      <c r="AF38" s="140"/>
      <c r="AG38" s="13"/>
      <c r="AH38" s="194" t="b">
        <f>'0_Configuration'!$C$2</f>
        <v>1</v>
      </c>
      <c r="AI38" s="6"/>
      <c r="AJ38" s="194" t="b">
        <f>'0_Configuration'!$C$6</f>
        <v>0</v>
      </c>
      <c r="AK38" s="6" t="s">
        <v>1117</v>
      </c>
      <c r="AL38" s="194" t="b">
        <f>'0_Configuration'!$C$10</f>
        <v>0</v>
      </c>
      <c r="AM38" s="6" t="s">
        <v>1117</v>
      </c>
      <c r="AN38" s="194" t="b">
        <f>'0_Configuration'!$C$17</f>
        <v>0</v>
      </c>
      <c r="AO38" s="6">
        <f>_xlfn.XLOOKUP(Tab_Def_Flows[[#This Row],[ODYM_Good_Type]],Tab_Configuration[Value],Tab_Configuration[ODYM_ID],,0,)</f>
        <v>0</v>
      </c>
      <c r="AP38" s="194" t="b">
        <f>'0_Configuration'!$C$24</f>
        <v>0</v>
      </c>
      <c r="AQ38" s="6"/>
      <c r="AR38" s="194" t="b">
        <f>'0_Configuration'!$C$29</f>
        <v>1</v>
      </c>
      <c r="AS38" s="6" t="s">
        <v>1131</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F_01_01</v>
      </c>
      <c r="D39" s="7"/>
      <c r="E39" s="6"/>
      <c r="F39" s="138"/>
      <c r="G39" s="6" t="str">
        <f>_xlfn.XLOOKUP(F39,Tab_Def_Processes[Process_Name],Tab_Def_Processes[Process_ID],,0,)</f>
        <v>01</v>
      </c>
      <c r="H39" s="138"/>
      <c r="I39" s="9" t="str">
        <f>_xlfn.XLOOKUP(H39,Tab_Def_Processes[Process_Name],Tab_Def_Processes[Process_ID],,0,)</f>
        <v>01</v>
      </c>
      <c r="J39" s="138" t="s">
        <v>5</v>
      </c>
      <c r="K39" s="138" t="s">
        <v>5</v>
      </c>
      <c r="L39" s="138" t="s">
        <v>5</v>
      </c>
      <c r="M39" s="138" t="s">
        <v>5</v>
      </c>
      <c r="N39" s="138" t="s">
        <v>5</v>
      </c>
      <c r="O39" s="138" t="s">
        <v>5</v>
      </c>
      <c r="P39" s="6" t="str">
        <f>Tab_Def_Flows[[#This Row],[Flow_ID]]&amp;"_E1"</f>
        <v>F_01_01_E1</v>
      </c>
      <c r="R39" s="13"/>
      <c r="S39" s="6" t="str">
        <f>Tab_Def_Flows[[#This Row],[Flow_ID]]&amp;"_E2"</f>
        <v>F_01_01_E2</v>
      </c>
      <c r="T39" s="135"/>
      <c r="U39" s="13"/>
      <c r="V39" s="6" t="str">
        <f>Tab_Def_Flows[[#This Row],[Flow_ID]]&amp;"_E3"</f>
        <v>F_01_01_E3</v>
      </c>
      <c r="W39" s="135"/>
      <c r="X39" s="13"/>
      <c r="Y39" s="6" t="str">
        <f>Tab_Def_Flows[[#This Row],[Flow_ID]]&amp;"_E4"</f>
        <v>F_01_01_E4</v>
      </c>
      <c r="Z39" s="135"/>
      <c r="AA39" s="13"/>
      <c r="AB39" s="6" t="str">
        <f>Tab_Def_Flows[[#This Row],[Flow_ID]]&amp;"_E5"</f>
        <v>F_01_01_E5</v>
      </c>
      <c r="AC39" s="140"/>
      <c r="AD39" s="13"/>
      <c r="AE39" s="6" t="str">
        <f>Tab_Def_Flows[[#This Row],[Flow_ID]]&amp;"_E6"</f>
        <v>F_01_01_E6</v>
      </c>
      <c r="AF39" s="140"/>
      <c r="AG39" s="13"/>
      <c r="AH39" s="194" t="b">
        <f>'0_Configuration'!$C$2</f>
        <v>1</v>
      </c>
      <c r="AI39" s="6"/>
      <c r="AJ39" s="194" t="b">
        <f>'0_Configuration'!$C$6</f>
        <v>0</v>
      </c>
      <c r="AK39" s="6" t="s">
        <v>1117</v>
      </c>
      <c r="AL39" s="194" t="b">
        <f>'0_Configuration'!$C$10</f>
        <v>0</v>
      </c>
      <c r="AM39" s="6" t="s">
        <v>1117</v>
      </c>
      <c r="AN39" s="194" t="b">
        <f>'0_Configuration'!$C$17</f>
        <v>0</v>
      </c>
      <c r="AO39" s="6">
        <f>_xlfn.XLOOKUP(Tab_Def_Flows[[#This Row],[ODYM_Good_Type]],Tab_Configuration[Value],Tab_Configuration[ODYM_ID],,0,)</f>
        <v>0</v>
      </c>
      <c r="AP39" s="194" t="b">
        <f>'0_Configuration'!$C$24</f>
        <v>0</v>
      </c>
      <c r="AQ39" s="6"/>
      <c r="AR39" s="194" t="b">
        <f>'0_Configuration'!$C$29</f>
        <v>1</v>
      </c>
      <c r="AS39" s="6" t="s">
        <v>1131</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F_01_01</v>
      </c>
      <c r="D40" s="188"/>
      <c r="E40" s="6"/>
      <c r="F40" s="138"/>
      <c r="G40" s="6" t="str">
        <f>_xlfn.XLOOKUP(F40,Tab_Def_Processes[Process_Name],Tab_Def_Processes[Process_ID],,0,)</f>
        <v>01</v>
      </c>
      <c r="H40" s="138"/>
      <c r="I40" s="9" t="str">
        <f>_xlfn.XLOOKUP(H40,Tab_Def_Processes[Process_Name],Tab_Def_Processes[Process_ID],,0,)</f>
        <v>01</v>
      </c>
      <c r="J40" s="138" t="s">
        <v>5</v>
      </c>
      <c r="K40" s="138" t="s">
        <v>5</v>
      </c>
      <c r="L40" s="138" t="s">
        <v>5</v>
      </c>
      <c r="M40" s="138" t="s">
        <v>5</v>
      </c>
      <c r="N40" s="138" t="s">
        <v>5</v>
      </c>
      <c r="O40" s="138" t="s">
        <v>5</v>
      </c>
      <c r="P40" s="6" t="str">
        <f>Tab_Def_Flows[[#This Row],[Flow_ID]]&amp;"_E1"</f>
        <v>F_01_01_E1</v>
      </c>
      <c r="R40" s="13"/>
      <c r="S40" s="6" t="str">
        <f>Tab_Def_Flows[[#This Row],[Flow_ID]]&amp;"_E2"</f>
        <v>F_01_01_E2</v>
      </c>
      <c r="T40" s="135"/>
      <c r="U40" s="13"/>
      <c r="V40" s="6" t="str">
        <f>Tab_Def_Flows[[#This Row],[Flow_ID]]&amp;"_E3"</f>
        <v>F_01_01_E3</v>
      </c>
      <c r="W40" s="135"/>
      <c r="X40" s="13"/>
      <c r="Y40" s="6" t="str">
        <f>Tab_Def_Flows[[#This Row],[Flow_ID]]&amp;"_E4"</f>
        <v>F_01_01_E4</v>
      </c>
      <c r="Z40" s="135"/>
      <c r="AA40" s="13"/>
      <c r="AB40" s="6" t="str">
        <f>Tab_Def_Flows[[#This Row],[Flow_ID]]&amp;"_E5"</f>
        <v>F_01_01_E5</v>
      </c>
      <c r="AC40" s="140"/>
      <c r="AD40" s="13"/>
      <c r="AE40" s="6" t="str">
        <f>Tab_Def_Flows[[#This Row],[Flow_ID]]&amp;"_E6"</f>
        <v>F_01_01_E6</v>
      </c>
      <c r="AF40" s="140"/>
      <c r="AG40" s="13"/>
      <c r="AH40" s="194" t="b">
        <f>'0_Configuration'!$C$2</f>
        <v>1</v>
      </c>
      <c r="AI40" s="6"/>
      <c r="AJ40" s="194" t="b">
        <f>'0_Configuration'!$C$6</f>
        <v>0</v>
      </c>
      <c r="AK40" s="6" t="s">
        <v>1117</v>
      </c>
      <c r="AL40" s="194" t="b">
        <f>'0_Configuration'!$C$10</f>
        <v>0</v>
      </c>
      <c r="AM40" s="6" t="s">
        <v>1117</v>
      </c>
      <c r="AN40" s="194" t="b">
        <f>'0_Configuration'!$C$17</f>
        <v>0</v>
      </c>
      <c r="AO40" s="6">
        <f>_xlfn.XLOOKUP(Tab_Def_Flows[[#This Row],[ODYM_Good_Type]],Tab_Configuration[Value],Tab_Configuration[ODYM_ID],,0,)</f>
        <v>0</v>
      </c>
      <c r="AP40" s="194" t="b">
        <f>'0_Configuration'!$C$24</f>
        <v>0</v>
      </c>
      <c r="AQ40" s="6"/>
      <c r="AR40" s="194" t="b">
        <f>'0_Configuration'!$C$29</f>
        <v>1</v>
      </c>
      <c r="AS40" s="6" t="s">
        <v>1131</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F_01_01</v>
      </c>
      <c r="D41" s="188"/>
      <c r="E41" s="6"/>
      <c r="F41" s="138"/>
      <c r="G41" s="6" t="str">
        <f>_xlfn.XLOOKUP(F41,Tab_Def_Processes[Process_Name],Tab_Def_Processes[Process_ID],,0,)</f>
        <v>01</v>
      </c>
      <c r="H41" s="138"/>
      <c r="I41" s="9" t="str">
        <f>_xlfn.XLOOKUP(H41,Tab_Def_Processes[Process_Name],Tab_Def_Processes[Process_ID],,0,)</f>
        <v>01</v>
      </c>
      <c r="J41" s="138" t="s">
        <v>5</v>
      </c>
      <c r="K41" s="138" t="s">
        <v>5</v>
      </c>
      <c r="L41" s="138" t="s">
        <v>5</v>
      </c>
      <c r="M41" s="138" t="s">
        <v>5</v>
      </c>
      <c r="N41" s="138" t="s">
        <v>5</v>
      </c>
      <c r="O41" s="138" t="s">
        <v>5</v>
      </c>
      <c r="P41" s="6" t="str">
        <f>Tab_Def_Flows[[#This Row],[Flow_ID]]&amp;"_E1"</f>
        <v>F_01_01_E1</v>
      </c>
      <c r="R41" s="13"/>
      <c r="S41" s="6" t="str">
        <f>Tab_Def_Flows[[#This Row],[Flow_ID]]&amp;"_E2"</f>
        <v>F_01_01_E2</v>
      </c>
      <c r="T41" s="135"/>
      <c r="U41" s="13"/>
      <c r="V41" s="6" t="str">
        <f>Tab_Def_Flows[[#This Row],[Flow_ID]]&amp;"_E3"</f>
        <v>F_01_01_E3</v>
      </c>
      <c r="W41" s="135"/>
      <c r="X41" s="13"/>
      <c r="Y41" s="6" t="str">
        <f>Tab_Def_Flows[[#This Row],[Flow_ID]]&amp;"_E4"</f>
        <v>F_01_01_E4</v>
      </c>
      <c r="Z41" s="135"/>
      <c r="AA41" s="13"/>
      <c r="AB41" s="6" t="str">
        <f>Tab_Def_Flows[[#This Row],[Flow_ID]]&amp;"_E5"</f>
        <v>F_01_01_E5</v>
      </c>
      <c r="AC41" s="140"/>
      <c r="AD41" s="13"/>
      <c r="AE41" s="6" t="str">
        <f>Tab_Def_Flows[[#This Row],[Flow_ID]]&amp;"_E6"</f>
        <v>F_01_01_E6</v>
      </c>
      <c r="AF41" s="140"/>
      <c r="AG41" s="13"/>
      <c r="AH41" s="194" t="b">
        <f>'0_Configuration'!$C$2</f>
        <v>1</v>
      </c>
      <c r="AI41" s="6"/>
      <c r="AJ41" s="194" t="b">
        <f>'0_Configuration'!$C$6</f>
        <v>0</v>
      </c>
      <c r="AK41" s="6" t="s">
        <v>1117</v>
      </c>
      <c r="AL41" s="194" t="b">
        <f>'0_Configuration'!$C$10</f>
        <v>0</v>
      </c>
      <c r="AM41" s="6" t="s">
        <v>1117</v>
      </c>
      <c r="AN41" s="194" t="b">
        <f>'0_Configuration'!$C$17</f>
        <v>0</v>
      </c>
      <c r="AO41" s="6">
        <f>_xlfn.XLOOKUP(Tab_Def_Flows[[#This Row],[ODYM_Good_Type]],Tab_Configuration[Value],Tab_Configuration[ODYM_ID],,0,)</f>
        <v>0</v>
      </c>
      <c r="AP41" s="194" t="b">
        <f>'0_Configuration'!$C$24</f>
        <v>0</v>
      </c>
      <c r="AQ41" s="6"/>
      <c r="AR41" s="194" t="b">
        <f>'0_Configuration'!$C$29</f>
        <v>1</v>
      </c>
      <c r="AS41" s="6" t="s">
        <v>1131</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F_01_01</v>
      </c>
      <c r="D42" s="188"/>
      <c r="E42" s="6"/>
      <c r="F42" s="138"/>
      <c r="G42" s="6" t="str">
        <f>_xlfn.XLOOKUP(F42,Tab_Def_Processes[Process_Name],Tab_Def_Processes[Process_ID],,0,)</f>
        <v>01</v>
      </c>
      <c r="H42" s="138"/>
      <c r="I42" s="9" t="str">
        <f>_xlfn.XLOOKUP(H42,Tab_Def_Processes[Process_Name],Tab_Def_Processes[Process_ID],,0,)</f>
        <v>01</v>
      </c>
      <c r="J42" s="138" t="s">
        <v>5</v>
      </c>
      <c r="K42" s="138" t="s">
        <v>5</v>
      </c>
      <c r="L42" s="138" t="s">
        <v>5</v>
      </c>
      <c r="M42" s="138" t="s">
        <v>5</v>
      </c>
      <c r="N42" s="138" t="s">
        <v>5</v>
      </c>
      <c r="O42" s="138" t="s">
        <v>5</v>
      </c>
      <c r="P42" s="6" t="str">
        <f>Tab_Def_Flows[[#This Row],[Flow_ID]]&amp;"_E1"</f>
        <v>F_01_01_E1</v>
      </c>
      <c r="R42" s="13"/>
      <c r="S42" s="6" t="str">
        <f>Tab_Def_Flows[[#This Row],[Flow_ID]]&amp;"_E2"</f>
        <v>F_01_01_E2</v>
      </c>
      <c r="T42" s="135"/>
      <c r="U42" s="13"/>
      <c r="V42" s="6" t="str">
        <f>Tab_Def_Flows[[#This Row],[Flow_ID]]&amp;"_E3"</f>
        <v>F_01_01_E3</v>
      </c>
      <c r="W42" s="135"/>
      <c r="X42" s="13"/>
      <c r="Y42" s="6" t="str">
        <f>Tab_Def_Flows[[#This Row],[Flow_ID]]&amp;"_E4"</f>
        <v>F_01_01_E4</v>
      </c>
      <c r="Z42" s="135"/>
      <c r="AA42" s="13"/>
      <c r="AB42" s="6" t="str">
        <f>Tab_Def_Flows[[#This Row],[Flow_ID]]&amp;"_E5"</f>
        <v>F_01_01_E5</v>
      </c>
      <c r="AC42" s="140"/>
      <c r="AD42" s="13"/>
      <c r="AE42" s="6" t="str">
        <f>Tab_Def_Flows[[#This Row],[Flow_ID]]&amp;"_E6"</f>
        <v>F_01_01_E6</v>
      </c>
      <c r="AF42" s="140"/>
      <c r="AG42" s="13"/>
      <c r="AH42" s="194" t="b">
        <f>'0_Configuration'!$C$2</f>
        <v>1</v>
      </c>
      <c r="AI42" s="6"/>
      <c r="AJ42" s="194" t="b">
        <f>'0_Configuration'!$C$6</f>
        <v>0</v>
      </c>
      <c r="AK42" s="6" t="s">
        <v>1117</v>
      </c>
      <c r="AL42" s="194" t="b">
        <f>'0_Configuration'!$C$10</f>
        <v>0</v>
      </c>
      <c r="AM42" s="6" t="s">
        <v>1117</v>
      </c>
      <c r="AN42" s="194" t="b">
        <f>'0_Configuration'!$C$17</f>
        <v>0</v>
      </c>
      <c r="AO42" s="6">
        <f>_xlfn.XLOOKUP(Tab_Def_Flows[[#This Row],[ODYM_Good_Type]],Tab_Configuration[Value],Tab_Configuration[ODYM_ID],,0,)</f>
        <v>0</v>
      </c>
      <c r="AP42" s="194" t="b">
        <f>'0_Configuration'!$C$24</f>
        <v>0</v>
      </c>
      <c r="AQ42" s="6"/>
      <c r="AR42" s="194" t="b">
        <f>'0_Configuration'!$C$29</f>
        <v>1</v>
      </c>
      <c r="AS42" s="6" t="s">
        <v>1131</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F_01_01</v>
      </c>
      <c r="D43" s="188"/>
      <c r="E43" s="6"/>
      <c r="F43" s="138"/>
      <c r="G43" s="6" t="str">
        <f>_xlfn.XLOOKUP(F43,Tab_Def_Processes[Process_Name],Tab_Def_Processes[Process_ID],,0,)</f>
        <v>01</v>
      </c>
      <c r="H43" s="138"/>
      <c r="I43" s="9" t="str">
        <f>_xlfn.XLOOKUP(H43,Tab_Def_Processes[Process_Name],Tab_Def_Processes[Process_ID],,0,)</f>
        <v>01</v>
      </c>
      <c r="J43" s="138" t="s">
        <v>5</v>
      </c>
      <c r="K43" s="138" t="s">
        <v>5</v>
      </c>
      <c r="L43" s="138" t="s">
        <v>5</v>
      </c>
      <c r="M43" s="138" t="s">
        <v>5</v>
      </c>
      <c r="N43" s="138" t="s">
        <v>5</v>
      </c>
      <c r="O43" s="138" t="s">
        <v>5</v>
      </c>
      <c r="P43" s="6" t="str">
        <f>Tab_Def_Flows[[#This Row],[Flow_ID]]&amp;"_E1"</f>
        <v>F_01_01_E1</v>
      </c>
      <c r="R43" s="13"/>
      <c r="S43" s="6" t="str">
        <f>Tab_Def_Flows[[#This Row],[Flow_ID]]&amp;"_E2"</f>
        <v>F_01_01_E2</v>
      </c>
      <c r="T43" s="135"/>
      <c r="U43" s="13"/>
      <c r="V43" s="6" t="str">
        <f>Tab_Def_Flows[[#This Row],[Flow_ID]]&amp;"_E3"</f>
        <v>F_01_01_E3</v>
      </c>
      <c r="W43" s="135"/>
      <c r="X43" s="13"/>
      <c r="Y43" s="6" t="str">
        <f>Tab_Def_Flows[[#This Row],[Flow_ID]]&amp;"_E4"</f>
        <v>F_01_01_E4</v>
      </c>
      <c r="Z43" s="135"/>
      <c r="AA43" s="13"/>
      <c r="AB43" s="6" t="str">
        <f>Tab_Def_Flows[[#This Row],[Flow_ID]]&amp;"_E5"</f>
        <v>F_01_01_E5</v>
      </c>
      <c r="AC43" s="140"/>
      <c r="AD43" s="13"/>
      <c r="AE43" s="6" t="str">
        <f>Tab_Def_Flows[[#This Row],[Flow_ID]]&amp;"_E6"</f>
        <v>F_01_01_E6</v>
      </c>
      <c r="AF43" s="140"/>
      <c r="AG43" s="13"/>
      <c r="AH43" s="194" t="b">
        <f>'0_Configuration'!$C$2</f>
        <v>1</v>
      </c>
      <c r="AI43" s="6"/>
      <c r="AJ43" s="194" t="b">
        <f>'0_Configuration'!$C$6</f>
        <v>0</v>
      </c>
      <c r="AK43" s="6" t="s">
        <v>1117</v>
      </c>
      <c r="AL43" s="194" t="b">
        <f>'0_Configuration'!$C$10</f>
        <v>0</v>
      </c>
      <c r="AM43" s="6" t="s">
        <v>1117</v>
      </c>
      <c r="AN43" s="194" t="b">
        <f>'0_Configuration'!$C$17</f>
        <v>0</v>
      </c>
      <c r="AO43" s="6">
        <f>_xlfn.XLOOKUP(Tab_Def_Flows[[#This Row],[ODYM_Good_Type]],Tab_Configuration[Value],Tab_Configuration[ODYM_ID],,0,)</f>
        <v>0</v>
      </c>
      <c r="AP43" s="194" t="b">
        <f>'0_Configuration'!$C$24</f>
        <v>0</v>
      </c>
      <c r="AQ43" s="6"/>
      <c r="AR43" s="194" t="b">
        <f>'0_Configuration'!$C$29</f>
        <v>1</v>
      </c>
      <c r="AS43" s="6" t="s">
        <v>1131</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F_01_01</v>
      </c>
      <c r="D44" s="188"/>
      <c r="E44" s="6"/>
      <c r="F44" s="138"/>
      <c r="G44" s="6" t="str">
        <f>_xlfn.XLOOKUP(F44,Tab_Def_Processes[Process_Name],Tab_Def_Processes[Process_ID],,0,)</f>
        <v>01</v>
      </c>
      <c r="H44" s="138"/>
      <c r="I44" s="9" t="str">
        <f>_xlfn.XLOOKUP(H44,Tab_Def_Processes[Process_Name],Tab_Def_Processes[Process_ID],,0,)</f>
        <v>01</v>
      </c>
      <c r="J44" s="138" t="s">
        <v>5</v>
      </c>
      <c r="K44" s="138" t="s">
        <v>5</v>
      </c>
      <c r="L44" s="138" t="s">
        <v>5</v>
      </c>
      <c r="M44" s="138" t="s">
        <v>5</v>
      </c>
      <c r="N44" s="138" t="s">
        <v>5</v>
      </c>
      <c r="O44" s="138" t="s">
        <v>5</v>
      </c>
      <c r="P44" s="6" t="str">
        <f>Tab_Def_Flows[[#This Row],[Flow_ID]]&amp;"_E1"</f>
        <v>F_01_01_E1</v>
      </c>
      <c r="R44" s="13"/>
      <c r="S44" s="6" t="str">
        <f>Tab_Def_Flows[[#This Row],[Flow_ID]]&amp;"_E2"</f>
        <v>F_01_01_E2</v>
      </c>
      <c r="T44" s="135"/>
      <c r="U44" s="13"/>
      <c r="V44" s="6" t="str">
        <f>Tab_Def_Flows[[#This Row],[Flow_ID]]&amp;"_E3"</f>
        <v>F_01_01_E3</v>
      </c>
      <c r="W44" s="135"/>
      <c r="X44" s="13"/>
      <c r="Y44" s="6" t="str">
        <f>Tab_Def_Flows[[#This Row],[Flow_ID]]&amp;"_E4"</f>
        <v>F_01_01_E4</v>
      </c>
      <c r="Z44" s="135"/>
      <c r="AA44" s="13"/>
      <c r="AB44" s="6" t="str">
        <f>Tab_Def_Flows[[#This Row],[Flow_ID]]&amp;"_E5"</f>
        <v>F_01_01_E5</v>
      </c>
      <c r="AC44" s="140"/>
      <c r="AD44" s="13"/>
      <c r="AE44" s="6" t="str">
        <f>Tab_Def_Flows[[#This Row],[Flow_ID]]&amp;"_E6"</f>
        <v>F_01_01_E6</v>
      </c>
      <c r="AF44" s="140"/>
      <c r="AG44" s="13"/>
      <c r="AH44" s="194" t="b">
        <f>'0_Configuration'!$C$2</f>
        <v>1</v>
      </c>
      <c r="AI44" s="6"/>
      <c r="AJ44" s="194" t="b">
        <f>'0_Configuration'!$C$6</f>
        <v>0</v>
      </c>
      <c r="AK44" s="6" t="s">
        <v>1117</v>
      </c>
      <c r="AL44" s="194" t="b">
        <f>'0_Configuration'!$C$10</f>
        <v>0</v>
      </c>
      <c r="AM44" s="6" t="s">
        <v>1117</v>
      </c>
      <c r="AN44" s="194" t="b">
        <f>'0_Configuration'!$C$17</f>
        <v>0</v>
      </c>
      <c r="AO44" s="6">
        <f>_xlfn.XLOOKUP(Tab_Def_Flows[[#This Row],[ODYM_Good_Type]],Tab_Configuration[Value],Tab_Configuration[ODYM_ID],,0,)</f>
        <v>0</v>
      </c>
      <c r="AP44" s="194" t="b">
        <f>'0_Configuration'!$C$24</f>
        <v>0</v>
      </c>
      <c r="AQ44" s="6"/>
      <c r="AR44" s="194" t="b">
        <f>'0_Configuration'!$C$29</f>
        <v>1</v>
      </c>
      <c r="AS44" s="6" t="s">
        <v>1131</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F_01_01</v>
      </c>
      <c r="D45" s="188"/>
      <c r="E45" s="6"/>
      <c r="F45" s="138"/>
      <c r="G45" s="6" t="str">
        <f>_xlfn.XLOOKUP(F45,Tab_Def_Processes[Process_Name],Tab_Def_Processes[Process_ID],,0,)</f>
        <v>01</v>
      </c>
      <c r="H45" s="138"/>
      <c r="I45" s="9" t="str">
        <f>_xlfn.XLOOKUP(H45,Tab_Def_Processes[Process_Name],Tab_Def_Processes[Process_ID],,0,)</f>
        <v>01</v>
      </c>
      <c r="J45" s="138" t="s">
        <v>5</v>
      </c>
      <c r="K45" s="138" t="s">
        <v>5</v>
      </c>
      <c r="L45" s="138" t="s">
        <v>5</v>
      </c>
      <c r="M45" s="138" t="s">
        <v>5</v>
      </c>
      <c r="N45" s="138" t="s">
        <v>5</v>
      </c>
      <c r="O45" s="138" t="s">
        <v>5</v>
      </c>
      <c r="P45" s="6" t="str">
        <f>Tab_Def_Flows[[#This Row],[Flow_ID]]&amp;"_E1"</f>
        <v>F_01_01_E1</v>
      </c>
      <c r="R45" s="13"/>
      <c r="S45" s="6" t="str">
        <f>Tab_Def_Flows[[#This Row],[Flow_ID]]&amp;"_E2"</f>
        <v>F_01_01_E2</v>
      </c>
      <c r="T45" s="135"/>
      <c r="U45" s="13"/>
      <c r="V45" s="6" t="str">
        <f>Tab_Def_Flows[[#This Row],[Flow_ID]]&amp;"_E3"</f>
        <v>F_01_01_E3</v>
      </c>
      <c r="W45" s="135"/>
      <c r="X45" s="13"/>
      <c r="Y45" s="6" t="str">
        <f>Tab_Def_Flows[[#This Row],[Flow_ID]]&amp;"_E4"</f>
        <v>F_01_01_E4</v>
      </c>
      <c r="Z45" s="135"/>
      <c r="AA45" s="13"/>
      <c r="AB45" s="6" t="str">
        <f>Tab_Def_Flows[[#This Row],[Flow_ID]]&amp;"_E5"</f>
        <v>F_01_01_E5</v>
      </c>
      <c r="AC45" s="140"/>
      <c r="AD45" s="13"/>
      <c r="AE45" s="6" t="str">
        <f>Tab_Def_Flows[[#This Row],[Flow_ID]]&amp;"_E6"</f>
        <v>F_01_01_E6</v>
      </c>
      <c r="AF45" s="140"/>
      <c r="AG45" s="13"/>
      <c r="AH45" s="194" t="b">
        <f>'0_Configuration'!$C$2</f>
        <v>1</v>
      </c>
      <c r="AI45" s="6"/>
      <c r="AJ45" s="194" t="b">
        <f>'0_Configuration'!$C$6</f>
        <v>0</v>
      </c>
      <c r="AK45" s="6" t="s">
        <v>1117</v>
      </c>
      <c r="AL45" s="194" t="b">
        <f>'0_Configuration'!$C$10</f>
        <v>0</v>
      </c>
      <c r="AM45" s="6" t="s">
        <v>1117</v>
      </c>
      <c r="AN45" s="194" t="b">
        <f>'0_Configuration'!$C$17</f>
        <v>0</v>
      </c>
      <c r="AO45" s="6">
        <f>_xlfn.XLOOKUP(Tab_Def_Flows[[#This Row],[ODYM_Good_Type]],Tab_Configuration[Value],Tab_Configuration[ODYM_ID],,0,)</f>
        <v>0</v>
      </c>
      <c r="AP45" s="194" t="b">
        <f>'0_Configuration'!$C$24</f>
        <v>0</v>
      </c>
      <c r="AQ45" s="6"/>
      <c r="AR45" s="194" t="b">
        <f>'0_Configuration'!$C$29</f>
        <v>1</v>
      </c>
      <c r="AS45" s="6" t="s">
        <v>1131</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F_01_01</v>
      </c>
      <c r="D46" s="188"/>
      <c r="E46" s="6"/>
      <c r="F46" s="138"/>
      <c r="G46" s="6" t="str">
        <f>_xlfn.XLOOKUP(F46,Tab_Def_Processes[Process_Name],Tab_Def_Processes[Process_ID],,0,)</f>
        <v>01</v>
      </c>
      <c r="H46" s="138"/>
      <c r="I46" s="9" t="str">
        <f>_xlfn.XLOOKUP(H46,Tab_Def_Processes[Process_Name],Tab_Def_Processes[Process_ID],,0,)</f>
        <v>01</v>
      </c>
      <c r="J46" s="138" t="s">
        <v>5</v>
      </c>
      <c r="K46" s="138" t="s">
        <v>5</v>
      </c>
      <c r="L46" s="138" t="s">
        <v>5</v>
      </c>
      <c r="M46" s="138" t="s">
        <v>5</v>
      </c>
      <c r="N46" s="138" t="s">
        <v>5</v>
      </c>
      <c r="O46" s="138" t="s">
        <v>5</v>
      </c>
      <c r="P46" s="6" t="str">
        <f>Tab_Def_Flows[[#This Row],[Flow_ID]]&amp;"_E1"</f>
        <v>F_01_01_E1</v>
      </c>
      <c r="R46" s="13"/>
      <c r="S46" s="6" t="str">
        <f>Tab_Def_Flows[[#This Row],[Flow_ID]]&amp;"_E2"</f>
        <v>F_01_01_E2</v>
      </c>
      <c r="T46" s="135"/>
      <c r="U46" s="13"/>
      <c r="V46" s="6" t="str">
        <f>Tab_Def_Flows[[#This Row],[Flow_ID]]&amp;"_E3"</f>
        <v>F_01_01_E3</v>
      </c>
      <c r="W46" s="135"/>
      <c r="X46" s="13"/>
      <c r="Y46" s="6" t="str">
        <f>Tab_Def_Flows[[#This Row],[Flow_ID]]&amp;"_E4"</f>
        <v>F_01_01_E4</v>
      </c>
      <c r="Z46" s="135"/>
      <c r="AA46" s="13"/>
      <c r="AB46" s="6" t="str">
        <f>Tab_Def_Flows[[#This Row],[Flow_ID]]&amp;"_E5"</f>
        <v>F_01_01_E5</v>
      </c>
      <c r="AC46" s="140"/>
      <c r="AD46" s="13"/>
      <c r="AE46" s="6" t="str">
        <f>Tab_Def_Flows[[#This Row],[Flow_ID]]&amp;"_E6"</f>
        <v>F_01_01_E6</v>
      </c>
      <c r="AF46" s="140"/>
      <c r="AG46" s="13"/>
      <c r="AH46" s="194" t="b">
        <f>'0_Configuration'!$C$2</f>
        <v>1</v>
      </c>
      <c r="AI46" s="6"/>
      <c r="AJ46" s="194" t="b">
        <f>'0_Configuration'!$C$6</f>
        <v>0</v>
      </c>
      <c r="AK46" s="6" t="s">
        <v>1117</v>
      </c>
      <c r="AL46" s="194" t="b">
        <f>'0_Configuration'!$C$10</f>
        <v>0</v>
      </c>
      <c r="AM46" s="6" t="s">
        <v>1117</v>
      </c>
      <c r="AN46" s="194" t="b">
        <f>'0_Configuration'!$C$17</f>
        <v>0</v>
      </c>
      <c r="AO46" s="6">
        <f>_xlfn.XLOOKUP(Tab_Def_Flows[[#This Row],[ODYM_Good_Type]],Tab_Configuration[Value],Tab_Configuration[ODYM_ID],,0,)</f>
        <v>0</v>
      </c>
      <c r="AP46" s="194" t="b">
        <f>'0_Configuration'!$C$24</f>
        <v>0</v>
      </c>
      <c r="AQ46" s="6"/>
      <c r="AR46" s="194" t="b">
        <f>'0_Configuration'!$C$29</f>
        <v>1</v>
      </c>
      <c r="AS46" s="6" t="s">
        <v>1131</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F_01_01</v>
      </c>
      <c r="D47" s="188"/>
      <c r="E47" s="6"/>
      <c r="F47" s="138"/>
      <c r="G47" s="6" t="str">
        <f>_xlfn.XLOOKUP(F47,Tab_Def_Processes[Process_Name],Tab_Def_Processes[Process_ID],,0,)</f>
        <v>01</v>
      </c>
      <c r="H47" s="138"/>
      <c r="I47" s="9" t="str">
        <f>_xlfn.XLOOKUP(H47,Tab_Def_Processes[Process_Name],Tab_Def_Processes[Process_ID],,0,)</f>
        <v>01</v>
      </c>
      <c r="J47" s="138" t="s">
        <v>5</v>
      </c>
      <c r="K47" s="138" t="s">
        <v>5</v>
      </c>
      <c r="L47" s="138" t="s">
        <v>5</v>
      </c>
      <c r="M47" s="138" t="s">
        <v>5</v>
      </c>
      <c r="N47" s="138" t="s">
        <v>5</v>
      </c>
      <c r="O47" s="138" t="s">
        <v>5</v>
      </c>
      <c r="P47" s="6" t="str">
        <f>Tab_Def_Flows[[#This Row],[Flow_ID]]&amp;"_E1"</f>
        <v>F_01_01_E1</v>
      </c>
      <c r="R47" s="13"/>
      <c r="S47" s="6" t="str">
        <f>Tab_Def_Flows[[#This Row],[Flow_ID]]&amp;"_E2"</f>
        <v>F_01_01_E2</v>
      </c>
      <c r="T47" s="135"/>
      <c r="U47" s="13"/>
      <c r="V47" s="6" t="str">
        <f>Tab_Def_Flows[[#This Row],[Flow_ID]]&amp;"_E3"</f>
        <v>F_01_01_E3</v>
      </c>
      <c r="W47" s="135"/>
      <c r="X47" s="13"/>
      <c r="Y47" s="6" t="str">
        <f>Tab_Def_Flows[[#This Row],[Flow_ID]]&amp;"_E4"</f>
        <v>F_01_01_E4</v>
      </c>
      <c r="Z47" s="135"/>
      <c r="AA47" s="13"/>
      <c r="AB47" s="6" t="str">
        <f>Tab_Def_Flows[[#This Row],[Flow_ID]]&amp;"_E5"</f>
        <v>F_01_01_E5</v>
      </c>
      <c r="AC47" s="140"/>
      <c r="AD47" s="13"/>
      <c r="AE47" s="6" t="str">
        <f>Tab_Def_Flows[[#This Row],[Flow_ID]]&amp;"_E6"</f>
        <v>F_01_01_E6</v>
      </c>
      <c r="AF47" s="140"/>
      <c r="AG47" s="13"/>
      <c r="AH47" s="194" t="b">
        <f>'0_Configuration'!$C$2</f>
        <v>1</v>
      </c>
      <c r="AI47" s="6"/>
      <c r="AJ47" s="194" t="b">
        <f>'0_Configuration'!$C$6</f>
        <v>0</v>
      </c>
      <c r="AK47" s="6" t="s">
        <v>1117</v>
      </c>
      <c r="AL47" s="194" t="b">
        <f>'0_Configuration'!$C$10</f>
        <v>0</v>
      </c>
      <c r="AM47" s="6" t="s">
        <v>1117</v>
      </c>
      <c r="AN47" s="194" t="b">
        <f>'0_Configuration'!$C$17</f>
        <v>0</v>
      </c>
      <c r="AO47" s="6">
        <f>_xlfn.XLOOKUP(Tab_Def_Flows[[#This Row],[ODYM_Good_Type]],Tab_Configuration[Value],Tab_Configuration[ODYM_ID],,0,)</f>
        <v>0</v>
      </c>
      <c r="AP47" s="194" t="b">
        <f>'0_Configuration'!$C$24</f>
        <v>0</v>
      </c>
      <c r="AQ47" s="6"/>
      <c r="AR47" s="194" t="b">
        <f>'0_Configuration'!$C$29</f>
        <v>1</v>
      </c>
      <c r="AS47" s="6" t="s">
        <v>1131</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F_01_01</v>
      </c>
      <c r="D48" s="188"/>
      <c r="E48" s="6"/>
      <c r="F48" s="138"/>
      <c r="G48" s="6" t="str">
        <f>_xlfn.XLOOKUP(F48,Tab_Def_Processes[Process_Name],Tab_Def_Processes[Process_ID],,0,)</f>
        <v>01</v>
      </c>
      <c r="H48" s="138"/>
      <c r="I48" s="9" t="str">
        <f>_xlfn.XLOOKUP(H48,Tab_Def_Processes[Process_Name],Tab_Def_Processes[Process_ID],,0,)</f>
        <v>01</v>
      </c>
      <c r="J48" s="138" t="s">
        <v>5</v>
      </c>
      <c r="K48" s="138" t="s">
        <v>5</v>
      </c>
      <c r="L48" s="138" t="s">
        <v>5</v>
      </c>
      <c r="M48" s="138" t="s">
        <v>5</v>
      </c>
      <c r="N48" s="138" t="s">
        <v>5</v>
      </c>
      <c r="O48" s="138" t="s">
        <v>5</v>
      </c>
      <c r="P48" s="6" t="str">
        <f>Tab_Def_Flows[[#This Row],[Flow_ID]]&amp;"_E1"</f>
        <v>F_01_01_E1</v>
      </c>
      <c r="R48" s="13"/>
      <c r="S48" s="6" t="str">
        <f>Tab_Def_Flows[[#This Row],[Flow_ID]]&amp;"_E2"</f>
        <v>F_01_01_E2</v>
      </c>
      <c r="T48" s="135"/>
      <c r="U48" s="13"/>
      <c r="V48" s="6" t="str">
        <f>Tab_Def_Flows[[#This Row],[Flow_ID]]&amp;"_E3"</f>
        <v>F_01_01_E3</v>
      </c>
      <c r="W48" s="135"/>
      <c r="X48" s="13"/>
      <c r="Y48" s="6" t="str">
        <f>Tab_Def_Flows[[#This Row],[Flow_ID]]&amp;"_E4"</f>
        <v>F_01_01_E4</v>
      </c>
      <c r="Z48" s="135"/>
      <c r="AA48" s="13"/>
      <c r="AB48" s="6" t="str">
        <f>Tab_Def_Flows[[#This Row],[Flow_ID]]&amp;"_E5"</f>
        <v>F_01_01_E5</v>
      </c>
      <c r="AC48" s="140"/>
      <c r="AD48" s="13"/>
      <c r="AE48" s="6" t="str">
        <f>Tab_Def_Flows[[#This Row],[Flow_ID]]&amp;"_E6"</f>
        <v>F_01_01_E6</v>
      </c>
      <c r="AF48" s="140"/>
      <c r="AG48" s="13"/>
      <c r="AH48" s="194" t="b">
        <f>'0_Configuration'!$C$2</f>
        <v>1</v>
      </c>
      <c r="AI48" s="6"/>
      <c r="AJ48" s="194" t="b">
        <f>'0_Configuration'!$C$6</f>
        <v>0</v>
      </c>
      <c r="AK48" s="6" t="s">
        <v>1117</v>
      </c>
      <c r="AL48" s="194" t="b">
        <f>'0_Configuration'!$C$10</f>
        <v>0</v>
      </c>
      <c r="AM48" s="6" t="s">
        <v>1117</v>
      </c>
      <c r="AN48" s="194" t="b">
        <f>'0_Configuration'!$C$17</f>
        <v>0</v>
      </c>
      <c r="AO48" s="6">
        <f>_xlfn.XLOOKUP(Tab_Def_Flows[[#This Row],[ODYM_Good_Type]],Tab_Configuration[Value],Tab_Configuration[ODYM_ID],,0,)</f>
        <v>0</v>
      </c>
      <c r="AP48" s="194" t="b">
        <f>'0_Configuration'!$C$24</f>
        <v>0</v>
      </c>
      <c r="AQ48" s="6"/>
      <c r="AR48" s="194" t="b">
        <f>'0_Configuration'!$C$29</f>
        <v>1</v>
      </c>
      <c r="AS48" s="6" t="s">
        <v>1131</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F_01_01</v>
      </c>
      <c r="D49" s="188"/>
      <c r="E49" s="6"/>
      <c r="F49" s="138"/>
      <c r="G49" s="6" t="str">
        <f>_xlfn.XLOOKUP(F49,Tab_Def_Processes[Process_Name],Tab_Def_Processes[Process_ID],,0,)</f>
        <v>01</v>
      </c>
      <c r="H49" s="138"/>
      <c r="I49" s="9" t="str">
        <f>_xlfn.XLOOKUP(H49,Tab_Def_Processes[Process_Name],Tab_Def_Processes[Process_ID],,0,)</f>
        <v>01</v>
      </c>
      <c r="J49" s="138" t="s">
        <v>5</v>
      </c>
      <c r="K49" s="138" t="s">
        <v>5</v>
      </c>
      <c r="L49" s="138" t="s">
        <v>5</v>
      </c>
      <c r="M49" s="138" t="s">
        <v>5</v>
      </c>
      <c r="N49" s="138" t="s">
        <v>5</v>
      </c>
      <c r="O49" s="138" t="s">
        <v>5</v>
      </c>
      <c r="P49" s="6" t="str">
        <f>Tab_Def_Flows[[#This Row],[Flow_ID]]&amp;"_E1"</f>
        <v>F_01_01_E1</v>
      </c>
      <c r="R49" s="13"/>
      <c r="S49" s="6" t="str">
        <f>Tab_Def_Flows[[#This Row],[Flow_ID]]&amp;"_E2"</f>
        <v>F_01_01_E2</v>
      </c>
      <c r="T49" s="135"/>
      <c r="U49" s="13"/>
      <c r="V49" s="6" t="str">
        <f>Tab_Def_Flows[[#This Row],[Flow_ID]]&amp;"_E3"</f>
        <v>F_01_01_E3</v>
      </c>
      <c r="W49" s="135"/>
      <c r="X49" s="13"/>
      <c r="Y49" s="6" t="str">
        <f>Tab_Def_Flows[[#This Row],[Flow_ID]]&amp;"_E4"</f>
        <v>F_01_01_E4</v>
      </c>
      <c r="Z49" s="135"/>
      <c r="AA49" s="13"/>
      <c r="AB49" s="6" t="str">
        <f>Tab_Def_Flows[[#This Row],[Flow_ID]]&amp;"_E5"</f>
        <v>F_01_01_E5</v>
      </c>
      <c r="AC49" s="140"/>
      <c r="AD49" s="13"/>
      <c r="AE49" s="6" t="str">
        <f>Tab_Def_Flows[[#This Row],[Flow_ID]]&amp;"_E6"</f>
        <v>F_01_01_E6</v>
      </c>
      <c r="AF49" s="140"/>
      <c r="AG49" s="13"/>
      <c r="AH49" s="194" t="b">
        <f>'0_Configuration'!$C$2</f>
        <v>1</v>
      </c>
      <c r="AI49" s="6"/>
      <c r="AJ49" s="194" t="b">
        <f>'0_Configuration'!$C$6</f>
        <v>0</v>
      </c>
      <c r="AK49" s="6" t="s">
        <v>1117</v>
      </c>
      <c r="AL49" s="194" t="b">
        <f>'0_Configuration'!$C$10</f>
        <v>0</v>
      </c>
      <c r="AM49" s="6" t="s">
        <v>1117</v>
      </c>
      <c r="AN49" s="194" t="b">
        <f>'0_Configuration'!$C$17</f>
        <v>0</v>
      </c>
      <c r="AO49" s="6">
        <f>_xlfn.XLOOKUP(Tab_Def_Flows[[#This Row],[ODYM_Good_Type]],Tab_Configuration[Value],Tab_Configuration[ODYM_ID],,0,)</f>
        <v>0</v>
      </c>
      <c r="AP49" s="194" t="b">
        <f>'0_Configuration'!$C$24</f>
        <v>0</v>
      </c>
      <c r="AQ49" s="6"/>
      <c r="AR49" s="194" t="b">
        <f>'0_Configuration'!$C$29</f>
        <v>1</v>
      </c>
      <c r="AS49" s="6" t="s">
        <v>1131</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F_01_01</v>
      </c>
      <c r="D50" s="188"/>
      <c r="E50" s="6"/>
      <c r="F50" s="138"/>
      <c r="G50" s="6" t="str">
        <f>_xlfn.XLOOKUP(F50,Tab_Def_Processes[Process_Name],Tab_Def_Processes[Process_ID],,0,)</f>
        <v>01</v>
      </c>
      <c r="H50" s="138"/>
      <c r="I50" s="9" t="str">
        <f>_xlfn.XLOOKUP(H50,Tab_Def_Processes[Process_Name],Tab_Def_Processes[Process_ID],,0,)</f>
        <v>01</v>
      </c>
      <c r="J50" s="138" t="s">
        <v>5</v>
      </c>
      <c r="K50" s="138" t="s">
        <v>5</v>
      </c>
      <c r="L50" s="138" t="s">
        <v>5</v>
      </c>
      <c r="M50" s="138" t="s">
        <v>5</v>
      </c>
      <c r="N50" s="138" t="s">
        <v>5</v>
      </c>
      <c r="O50" s="138" t="s">
        <v>5</v>
      </c>
      <c r="P50" s="6" t="str">
        <f>Tab_Def_Flows[[#This Row],[Flow_ID]]&amp;"_E1"</f>
        <v>F_01_01_E1</v>
      </c>
      <c r="R50" s="13"/>
      <c r="S50" s="6" t="str">
        <f>Tab_Def_Flows[[#This Row],[Flow_ID]]&amp;"_E2"</f>
        <v>F_01_01_E2</v>
      </c>
      <c r="T50" s="135"/>
      <c r="U50" s="13"/>
      <c r="V50" s="6" t="str">
        <f>Tab_Def_Flows[[#This Row],[Flow_ID]]&amp;"_E3"</f>
        <v>F_01_01_E3</v>
      </c>
      <c r="W50" s="135"/>
      <c r="X50" s="13"/>
      <c r="Y50" s="6" t="str">
        <f>Tab_Def_Flows[[#This Row],[Flow_ID]]&amp;"_E4"</f>
        <v>F_01_01_E4</v>
      </c>
      <c r="Z50" s="135"/>
      <c r="AA50" s="13"/>
      <c r="AB50" s="6" t="str">
        <f>Tab_Def_Flows[[#This Row],[Flow_ID]]&amp;"_E5"</f>
        <v>F_01_01_E5</v>
      </c>
      <c r="AC50" s="140"/>
      <c r="AD50" s="13"/>
      <c r="AE50" s="6" t="str">
        <f>Tab_Def_Flows[[#This Row],[Flow_ID]]&amp;"_E6"</f>
        <v>F_01_01_E6</v>
      </c>
      <c r="AF50" s="140"/>
      <c r="AG50" s="13"/>
      <c r="AH50" s="194" t="b">
        <f>'0_Configuration'!$C$2</f>
        <v>1</v>
      </c>
      <c r="AI50" s="6"/>
      <c r="AJ50" s="194" t="b">
        <f>'0_Configuration'!$C$6</f>
        <v>0</v>
      </c>
      <c r="AK50" s="6" t="s">
        <v>1117</v>
      </c>
      <c r="AL50" s="194" t="b">
        <f>'0_Configuration'!$C$10</f>
        <v>0</v>
      </c>
      <c r="AM50" s="6" t="s">
        <v>1117</v>
      </c>
      <c r="AN50" s="194" t="b">
        <f>'0_Configuration'!$C$17</f>
        <v>0</v>
      </c>
      <c r="AO50" s="6">
        <f>_xlfn.XLOOKUP(Tab_Def_Flows[[#This Row],[ODYM_Good_Type]],Tab_Configuration[Value],Tab_Configuration[ODYM_ID],,0,)</f>
        <v>0</v>
      </c>
      <c r="AP50" s="194" t="b">
        <f>'0_Configuration'!$C$24</f>
        <v>0</v>
      </c>
      <c r="AQ50" s="6"/>
      <c r="AR50" s="194" t="b">
        <f>'0_Configuration'!$C$29</f>
        <v>1</v>
      </c>
      <c r="AS50" s="6" t="s">
        <v>1131</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F_01_01</v>
      </c>
      <c r="D51" s="188"/>
      <c r="E51" s="6"/>
      <c r="F51" s="138"/>
      <c r="G51" s="6" t="str">
        <f>_xlfn.XLOOKUP(F51,Tab_Def_Processes[Process_Name],Tab_Def_Processes[Process_ID],,0,)</f>
        <v>01</v>
      </c>
      <c r="H51" s="138"/>
      <c r="I51" s="9" t="str">
        <f>_xlfn.XLOOKUP(H51,Tab_Def_Processes[Process_Name],Tab_Def_Processes[Process_ID],,0,)</f>
        <v>01</v>
      </c>
      <c r="J51" s="138" t="s">
        <v>5</v>
      </c>
      <c r="K51" s="138" t="s">
        <v>5</v>
      </c>
      <c r="L51" s="138" t="s">
        <v>5</v>
      </c>
      <c r="M51" s="138" t="s">
        <v>5</v>
      </c>
      <c r="N51" s="138" t="s">
        <v>5</v>
      </c>
      <c r="O51" s="138" t="s">
        <v>5</v>
      </c>
      <c r="P51" s="6" t="str">
        <f>Tab_Def_Flows[[#This Row],[Flow_ID]]&amp;"_E1"</f>
        <v>F_01_01_E1</v>
      </c>
      <c r="R51" s="13"/>
      <c r="S51" s="6" t="str">
        <f>Tab_Def_Flows[[#This Row],[Flow_ID]]&amp;"_E2"</f>
        <v>F_01_01_E2</v>
      </c>
      <c r="T51" s="135"/>
      <c r="U51" s="13"/>
      <c r="V51" s="6" t="str">
        <f>Tab_Def_Flows[[#This Row],[Flow_ID]]&amp;"_E3"</f>
        <v>F_01_01_E3</v>
      </c>
      <c r="W51" s="135"/>
      <c r="X51" s="13"/>
      <c r="Y51" s="6" t="str">
        <f>Tab_Def_Flows[[#This Row],[Flow_ID]]&amp;"_E4"</f>
        <v>F_01_01_E4</v>
      </c>
      <c r="Z51" s="135"/>
      <c r="AA51" s="13"/>
      <c r="AB51" s="6" t="str">
        <f>Tab_Def_Flows[[#This Row],[Flow_ID]]&amp;"_E5"</f>
        <v>F_01_01_E5</v>
      </c>
      <c r="AC51" s="140"/>
      <c r="AD51" s="13"/>
      <c r="AE51" s="6" t="str">
        <f>Tab_Def_Flows[[#This Row],[Flow_ID]]&amp;"_E6"</f>
        <v>F_01_01_E6</v>
      </c>
      <c r="AF51" s="140"/>
      <c r="AG51" s="13"/>
      <c r="AH51" s="194" t="b">
        <f>'0_Configuration'!$C$2</f>
        <v>1</v>
      </c>
      <c r="AI51" s="6"/>
      <c r="AJ51" s="194" t="b">
        <f>'0_Configuration'!$C$6</f>
        <v>0</v>
      </c>
      <c r="AK51" s="6" t="s">
        <v>1117</v>
      </c>
      <c r="AL51" s="194" t="b">
        <f>'0_Configuration'!$C$10</f>
        <v>0</v>
      </c>
      <c r="AM51" s="6" t="s">
        <v>1117</v>
      </c>
      <c r="AN51" s="194" t="b">
        <f>'0_Configuration'!$C$17</f>
        <v>0</v>
      </c>
      <c r="AO51" s="6">
        <f>_xlfn.XLOOKUP(Tab_Def_Flows[[#This Row],[ODYM_Good_Type]],Tab_Configuration[Value],Tab_Configuration[ODYM_ID],,0,)</f>
        <v>0</v>
      </c>
      <c r="AP51" s="194" t="b">
        <f>'0_Configuration'!$C$24</f>
        <v>0</v>
      </c>
      <c r="AQ51" s="6"/>
      <c r="AR51" s="194" t="b">
        <f>'0_Configuration'!$C$29</f>
        <v>1</v>
      </c>
      <c r="AS51" s="6" t="s">
        <v>1131</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F_01_01</v>
      </c>
      <c r="D52" s="188"/>
      <c r="E52" s="6"/>
      <c r="F52" s="138"/>
      <c r="G52" s="6" t="str">
        <f>_xlfn.XLOOKUP(F52,Tab_Def_Processes[Process_Name],Tab_Def_Processes[Process_ID],,0,)</f>
        <v>01</v>
      </c>
      <c r="H52" s="138"/>
      <c r="I52" s="9" t="str">
        <f>_xlfn.XLOOKUP(H52,Tab_Def_Processes[Process_Name],Tab_Def_Processes[Process_ID],,0,)</f>
        <v>01</v>
      </c>
      <c r="J52" s="138" t="s">
        <v>5</v>
      </c>
      <c r="K52" s="138" t="s">
        <v>5</v>
      </c>
      <c r="L52" s="138" t="s">
        <v>5</v>
      </c>
      <c r="M52" s="138" t="s">
        <v>5</v>
      </c>
      <c r="N52" s="138" t="s">
        <v>5</v>
      </c>
      <c r="O52" s="138" t="s">
        <v>5</v>
      </c>
      <c r="P52" s="6" t="str">
        <f>Tab_Def_Flows[[#This Row],[Flow_ID]]&amp;"_E1"</f>
        <v>F_01_01_E1</v>
      </c>
      <c r="R52" s="13"/>
      <c r="S52" s="6" t="str">
        <f>Tab_Def_Flows[[#This Row],[Flow_ID]]&amp;"_E2"</f>
        <v>F_01_01_E2</v>
      </c>
      <c r="T52" s="135"/>
      <c r="U52" s="13"/>
      <c r="V52" s="6" t="str">
        <f>Tab_Def_Flows[[#This Row],[Flow_ID]]&amp;"_E3"</f>
        <v>F_01_01_E3</v>
      </c>
      <c r="W52" s="135"/>
      <c r="X52" s="13"/>
      <c r="Y52" s="6" t="str">
        <f>Tab_Def_Flows[[#This Row],[Flow_ID]]&amp;"_E4"</f>
        <v>F_01_01_E4</v>
      </c>
      <c r="Z52" s="135"/>
      <c r="AA52" s="13"/>
      <c r="AB52" s="6" t="str">
        <f>Tab_Def_Flows[[#This Row],[Flow_ID]]&amp;"_E5"</f>
        <v>F_01_01_E5</v>
      </c>
      <c r="AC52" s="140"/>
      <c r="AD52" s="13"/>
      <c r="AE52" s="6" t="str">
        <f>Tab_Def_Flows[[#This Row],[Flow_ID]]&amp;"_E6"</f>
        <v>F_01_01_E6</v>
      </c>
      <c r="AF52" s="140"/>
      <c r="AG52" s="13"/>
      <c r="AH52" s="194" t="b">
        <f>'0_Configuration'!$C$2</f>
        <v>1</v>
      </c>
      <c r="AI52" s="6"/>
      <c r="AJ52" s="194" t="b">
        <f>'0_Configuration'!$C$6</f>
        <v>0</v>
      </c>
      <c r="AK52" s="6" t="s">
        <v>1117</v>
      </c>
      <c r="AL52" s="194" t="b">
        <f>'0_Configuration'!$C$10</f>
        <v>0</v>
      </c>
      <c r="AM52" s="6" t="s">
        <v>1117</v>
      </c>
      <c r="AN52" s="194" t="b">
        <f>'0_Configuration'!$C$17</f>
        <v>0</v>
      </c>
      <c r="AO52" s="6">
        <f>_xlfn.XLOOKUP(Tab_Def_Flows[[#This Row],[ODYM_Good_Type]],Tab_Configuration[Value],Tab_Configuration[ODYM_ID],,0,)</f>
        <v>0</v>
      </c>
      <c r="AP52" s="194" t="b">
        <f>'0_Configuration'!$C$24</f>
        <v>0</v>
      </c>
      <c r="AQ52" s="6"/>
      <c r="AR52" s="194" t="b">
        <f>'0_Configuration'!$C$29</f>
        <v>1</v>
      </c>
      <c r="AS52" s="6" t="s">
        <v>1131</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F_01_01</v>
      </c>
      <c r="D53" s="188"/>
      <c r="E53" s="6"/>
      <c r="F53" s="138"/>
      <c r="G53" s="6" t="str">
        <f>_xlfn.XLOOKUP(F53,Tab_Def_Processes[Process_Name],Tab_Def_Processes[Process_ID],,0,)</f>
        <v>01</v>
      </c>
      <c r="H53" s="138"/>
      <c r="I53" s="9" t="str">
        <f>_xlfn.XLOOKUP(H53,Tab_Def_Processes[Process_Name],Tab_Def_Processes[Process_ID],,0,)</f>
        <v>01</v>
      </c>
      <c r="J53" s="138" t="s">
        <v>5</v>
      </c>
      <c r="K53" s="138" t="s">
        <v>5</v>
      </c>
      <c r="L53" s="138" t="s">
        <v>5</v>
      </c>
      <c r="M53" s="138" t="s">
        <v>5</v>
      </c>
      <c r="N53" s="138" t="s">
        <v>5</v>
      </c>
      <c r="O53" s="138" t="s">
        <v>5</v>
      </c>
      <c r="P53" s="6" t="str">
        <f>Tab_Def_Flows[[#This Row],[Flow_ID]]&amp;"_E1"</f>
        <v>F_01_01_E1</v>
      </c>
      <c r="R53" s="13"/>
      <c r="S53" s="6" t="str">
        <f>Tab_Def_Flows[[#This Row],[Flow_ID]]&amp;"_E2"</f>
        <v>F_01_01_E2</v>
      </c>
      <c r="T53" s="135"/>
      <c r="U53" s="13"/>
      <c r="V53" s="6" t="str">
        <f>Tab_Def_Flows[[#This Row],[Flow_ID]]&amp;"_E3"</f>
        <v>F_01_01_E3</v>
      </c>
      <c r="W53" s="135"/>
      <c r="X53" s="13"/>
      <c r="Y53" s="6" t="str">
        <f>Tab_Def_Flows[[#This Row],[Flow_ID]]&amp;"_E4"</f>
        <v>F_01_01_E4</v>
      </c>
      <c r="Z53" s="135"/>
      <c r="AA53" s="13"/>
      <c r="AB53" s="6" t="str">
        <f>Tab_Def_Flows[[#This Row],[Flow_ID]]&amp;"_E5"</f>
        <v>F_01_01_E5</v>
      </c>
      <c r="AC53" s="140"/>
      <c r="AD53" s="13"/>
      <c r="AE53" s="6" t="str">
        <f>Tab_Def_Flows[[#This Row],[Flow_ID]]&amp;"_E6"</f>
        <v>F_01_01_E6</v>
      </c>
      <c r="AF53" s="140"/>
      <c r="AG53" s="13"/>
      <c r="AH53" s="194" t="b">
        <f>'0_Configuration'!$C$2</f>
        <v>1</v>
      </c>
      <c r="AI53" s="6"/>
      <c r="AJ53" s="194" t="b">
        <f>'0_Configuration'!$C$6</f>
        <v>0</v>
      </c>
      <c r="AK53" s="6" t="s">
        <v>1117</v>
      </c>
      <c r="AL53" s="194" t="b">
        <f>'0_Configuration'!$C$10</f>
        <v>0</v>
      </c>
      <c r="AM53" s="6" t="s">
        <v>1117</v>
      </c>
      <c r="AN53" s="194" t="b">
        <f>'0_Configuration'!$C$17</f>
        <v>0</v>
      </c>
      <c r="AO53" s="6">
        <f>_xlfn.XLOOKUP(Tab_Def_Flows[[#This Row],[ODYM_Good_Type]],Tab_Configuration[Value],Tab_Configuration[ODYM_ID],,0,)</f>
        <v>0</v>
      </c>
      <c r="AP53" s="194" t="b">
        <f>'0_Configuration'!$C$24</f>
        <v>0</v>
      </c>
      <c r="AQ53" s="6"/>
      <c r="AR53" s="194" t="b">
        <f>'0_Configuration'!$C$29</f>
        <v>1</v>
      </c>
      <c r="AS53" s="6" t="s">
        <v>1131</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F_01_01</v>
      </c>
      <c r="D54" s="188"/>
      <c r="E54" s="6"/>
      <c r="F54" s="138"/>
      <c r="G54" s="6" t="str">
        <f>_xlfn.XLOOKUP(F54,Tab_Def_Processes[Process_Name],Tab_Def_Processes[Process_ID],,0,)</f>
        <v>01</v>
      </c>
      <c r="H54" s="138"/>
      <c r="I54" s="9" t="str">
        <f>_xlfn.XLOOKUP(H54,Tab_Def_Processes[Process_Name],Tab_Def_Processes[Process_ID],,0,)</f>
        <v>01</v>
      </c>
      <c r="J54" s="138" t="s">
        <v>5</v>
      </c>
      <c r="K54" s="138" t="s">
        <v>5</v>
      </c>
      <c r="L54" s="138" t="s">
        <v>5</v>
      </c>
      <c r="M54" s="138" t="s">
        <v>5</v>
      </c>
      <c r="N54" s="138" t="s">
        <v>5</v>
      </c>
      <c r="O54" s="138" t="s">
        <v>5</v>
      </c>
      <c r="P54" s="6" t="str">
        <f>Tab_Def_Flows[[#This Row],[Flow_ID]]&amp;"_E1"</f>
        <v>F_01_01_E1</v>
      </c>
      <c r="R54" s="13"/>
      <c r="S54" s="6" t="str">
        <f>Tab_Def_Flows[[#This Row],[Flow_ID]]&amp;"_E2"</f>
        <v>F_01_01_E2</v>
      </c>
      <c r="T54" s="135"/>
      <c r="U54" s="13"/>
      <c r="V54" s="6" t="str">
        <f>Tab_Def_Flows[[#This Row],[Flow_ID]]&amp;"_E3"</f>
        <v>F_01_01_E3</v>
      </c>
      <c r="W54" s="135"/>
      <c r="X54" s="13"/>
      <c r="Y54" s="6" t="str">
        <f>Tab_Def_Flows[[#This Row],[Flow_ID]]&amp;"_E4"</f>
        <v>F_01_01_E4</v>
      </c>
      <c r="Z54" s="135"/>
      <c r="AA54" s="13"/>
      <c r="AB54" s="6" t="str">
        <f>Tab_Def_Flows[[#This Row],[Flow_ID]]&amp;"_E5"</f>
        <v>F_01_01_E5</v>
      </c>
      <c r="AC54" s="140"/>
      <c r="AD54" s="13"/>
      <c r="AE54" s="6" t="str">
        <f>Tab_Def_Flows[[#This Row],[Flow_ID]]&amp;"_E6"</f>
        <v>F_01_01_E6</v>
      </c>
      <c r="AF54" s="140"/>
      <c r="AG54" s="13"/>
      <c r="AH54" s="194" t="b">
        <f>'0_Configuration'!$C$2</f>
        <v>1</v>
      </c>
      <c r="AI54" s="6"/>
      <c r="AJ54" s="194" t="b">
        <f>'0_Configuration'!$C$6</f>
        <v>0</v>
      </c>
      <c r="AK54" s="6" t="s">
        <v>1117</v>
      </c>
      <c r="AL54" s="194" t="b">
        <f>'0_Configuration'!$C$10</f>
        <v>0</v>
      </c>
      <c r="AM54" s="6" t="s">
        <v>1117</v>
      </c>
      <c r="AN54" s="194" t="b">
        <f>'0_Configuration'!$C$17</f>
        <v>0</v>
      </c>
      <c r="AO54" s="6">
        <f>_xlfn.XLOOKUP(Tab_Def_Flows[[#This Row],[ODYM_Good_Type]],Tab_Configuration[Value],Tab_Configuration[ODYM_ID],,0,)</f>
        <v>0</v>
      </c>
      <c r="AP54" s="194" t="b">
        <f>'0_Configuration'!$C$24</f>
        <v>0</v>
      </c>
      <c r="AQ54" s="6"/>
      <c r="AR54" s="194" t="b">
        <f>'0_Configuration'!$C$29</f>
        <v>1</v>
      </c>
      <c r="AS54" s="6" t="s">
        <v>1131</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F_01_01</v>
      </c>
      <c r="D55" s="188"/>
      <c r="E55" s="6"/>
      <c r="F55" s="138"/>
      <c r="G55" s="6" t="str">
        <f>_xlfn.XLOOKUP(F55,Tab_Def_Processes[Process_Name],Tab_Def_Processes[Process_ID],,0,)</f>
        <v>01</v>
      </c>
      <c r="H55" s="138"/>
      <c r="I55" s="9" t="str">
        <f>_xlfn.XLOOKUP(H55,Tab_Def_Processes[Process_Name],Tab_Def_Processes[Process_ID],,0,)</f>
        <v>01</v>
      </c>
      <c r="J55" s="138" t="s">
        <v>5</v>
      </c>
      <c r="K55" s="138" t="s">
        <v>5</v>
      </c>
      <c r="L55" s="138" t="s">
        <v>5</v>
      </c>
      <c r="M55" s="138" t="s">
        <v>5</v>
      </c>
      <c r="N55" s="138" t="s">
        <v>5</v>
      </c>
      <c r="O55" s="138" t="s">
        <v>5</v>
      </c>
      <c r="P55" s="6" t="str">
        <f>Tab_Def_Flows[[#This Row],[Flow_ID]]&amp;"_E1"</f>
        <v>F_01_01_E1</v>
      </c>
      <c r="R55" s="13"/>
      <c r="S55" s="6" t="str">
        <f>Tab_Def_Flows[[#This Row],[Flow_ID]]&amp;"_E2"</f>
        <v>F_01_01_E2</v>
      </c>
      <c r="T55" s="135"/>
      <c r="U55" s="13"/>
      <c r="V55" s="6" t="str">
        <f>Tab_Def_Flows[[#This Row],[Flow_ID]]&amp;"_E3"</f>
        <v>F_01_01_E3</v>
      </c>
      <c r="W55" s="135"/>
      <c r="X55" s="13"/>
      <c r="Y55" s="6" t="str">
        <f>Tab_Def_Flows[[#This Row],[Flow_ID]]&amp;"_E4"</f>
        <v>F_01_01_E4</v>
      </c>
      <c r="Z55" s="135"/>
      <c r="AA55" s="13"/>
      <c r="AB55" s="6" t="str">
        <f>Tab_Def_Flows[[#This Row],[Flow_ID]]&amp;"_E5"</f>
        <v>F_01_01_E5</v>
      </c>
      <c r="AC55" s="140"/>
      <c r="AD55" s="13"/>
      <c r="AE55" s="6" t="str">
        <f>Tab_Def_Flows[[#This Row],[Flow_ID]]&amp;"_E6"</f>
        <v>F_01_01_E6</v>
      </c>
      <c r="AF55" s="140"/>
      <c r="AG55" s="13"/>
      <c r="AH55" s="194" t="b">
        <f>'0_Configuration'!$C$2</f>
        <v>1</v>
      </c>
      <c r="AI55" s="6"/>
      <c r="AJ55" s="194" t="b">
        <f>'0_Configuration'!$C$6</f>
        <v>0</v>
      </c>
      <c r="AK55" s="6" t="s">
        <v>1117</v>
      </c>
      <c r="AL55" s="194" t="b">
        <f>'0_Configuration'!$C$10</f>
        <v>0</v>
      </c>
      <c r="AM55" s="6" t="s">
        <v>1117</v>
      </c>
      <c r="AN55" s="194" t="b">
        <f>'0_Configuration'!$C$17</f>
        <v>0</v>
      </c>
      <c r="AO55" s="6">
        <f>_xlfn.XLOOKUP(Tab_Def_Flows[[#This Row],[ODYM_Good_Type]],Tab_Configuration[Value],Tab_Configuration[ODYM_ID],,0,)</f>
        <v>0</v>
      </c>
      <c r="AP55" s="194" t="b">
        <f>'0_Configuration'!$C$24</f>
        <v>0</v>
      </c>
      <c r="AQ55" s="6"/>
      <c r="AR55" s="194" t="b">
        <f>'0_Configuration'!$C$29</f>
        <v>1</v>
      </c>
      <c r="AS55" s="6" t="s">
        <v>1131</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F_01_01</v>
      </c>
      <c r="D56" s="188"/>
      <c r="E56" s="6"/>
      <c r="F56" s="138"/>
      <c r="G56" s="6" t="str">
        <f>_xlfn.XLOOKUP(F56,Tab_Def_Processes[Process_Name],Tab_Def_Processes[Process_ID],,0,)</f>
        <v>01</v>
      </c>
      <c r="H56" s="138"/>
      <c r="I56" s="9" t="str">
        <f>_xlfn.XLOOKUP(H56,Tab_Def_Processes[Process_Name],Tab_Def_Processes[Process_ID],,0,)</f>
        <v>01</v>
      </c>
      <c r="J56" s="138" t="s">
        <v>5</v>
      </c>
      <c r="K56" s="138" t="s">
        <v>5</v>
      </c>
      <c r="L56" s="138" t="s">
        <v>5</v>
      </c>
      <c r="M56" s="138" t="s">
        <v>5</v>
      </c>
      <c r="N56" s="138" t="s">
        <v>5</v>
      </c>
      <c r="O56" s="138" t="s">
        <v>5</v>
      </c>
      <c r="P56" s="6" t="str">
        <f>Tab_Def_Flows[[#This Row],[Flow_ID]]&amp;"_E1"</f>
        <v>F_01_01_E1</v>
      </c>
      <c r="R56" s="13"/>
      <c r="S56" s="6" t="str">
        <f>Tab_Def_Flows[[#This Row],[Flow_ID]]&amp;"_E2"</f>
        <v>F_01_01_E2</v>
      </c>
      <c r="T56" s="135"/>
      <c r="U56" s="13"/>
      <c r="V56" s="6" t="str">
        <f>Tab_Def_Flows[[#This Row],[Flow_ID]]&amp;"_E3"</f>
        <v>F_01_01_E3</v>
      </c>
      <c r="W56" s="135"/>
      <c r="X56" s="13"/>
      <c r="Y56" s="6" t="str">
        <f>Tab_Def_Flows[[#This Row],[Flow_ID]]&amp;"_E4"</f>
        <v>F_01_01_E4</v>
      </c>
      <c r="Z56" s="135"/>
      <c r="AA56" s="13"/>
      <c r="AB56" s="6" t="str">
        <f>Tab_Def_Flows[[#This Row],[Flow_ID]]&amp;"_E5"</f>
        <v>F_01_01_E5</v>
      </c>
      <c r="AC56" s="140"/>
      <c r="AD56" s="13"/>
      <c r="AE56" s="6" t="str">
        <f>Tab_Def_Flows[[#This Row],[Flow_ID]]&amp;"_E6"</f>
        <v>F_01_01_E6</v>
      </c>
      <c r="AF56" s="140"/>
      <c r="AG56" s="13"/>
      <c r="AH56" s="194" t="b">
        <f>'0_Configuration'!$C$2</f>
        <v>1</v>
      </c>
      <c r="AI56" s="6"/>
      <c r="AJ56" s="194" t="b">
        <f>'0_Configuration'!$C$6</f>
        <v>0</v>
      </c>
      <c r="AK56" s="6" t="s">
        <v>1117</v>
      </c>
      <c r="AL56" s="194" t="b">
        <f>'0_Configuration'!$C$10</f>
        <v>0</v>
      </c>
      <c r="AM56" s="6" t="s">
        <v>1117</v>
      </c>
      <c r="AN56" s="194" t="b">
        <f>'0_Configuration'!$C$17</f>
        <v>0</v>
      </c>
      <c r="AO56" s="6">
        <f>_xlfn.XLOOKUP(Tab_Def_Flows[[#This Row],[ODYM_Good_Type]],Tab_Configuration[Value],Tab_Configuration[ODYM_ID],,0,)</f>
        <v>0</v>
      </c>
      <c r="AP56" s="194" t="b">
        <f>'0_Configuration'!$C$24</f>
        <v>0</v>
      </c>
      <c r="AQ56" s="6"/>
      <c r="AR56" s="194" t="b">
        <f>'0_Configuration'!$C$29</f>
        <v>1</v>
      </c>
      <c r="AS56" s="6" t="s">
        <v>1131</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F_01_01</v>
      </c>
      <c r="D57" s="188"/>
      <c r="E57" s="6"/>
      <c r="F57" s="138"/>
      <c r="G57" s="6" t="str">
        <f>_xlfn.XLOOKUP(F57,Tab_Def_Processes[Process_Name],Tab_Def_Processes[Process_ID],,0,)</f>
        <v>01</v>
      </c>
      <c r="H57" s="138"/>
      <c r="I57" s="9" t="str">
        <f>_xlfn.XLOOKUP(H57,Tab_Def_Processes[Process_Name],Tab_Def_Processes[Process_ID],,0,)</f>
        <v>01</v>
      </c>
      <c r="J57" s="138" t="s">
        <v>5</v>
      </c>
      <c r="K57" s="138" t="s">
        <v>5</v>
      </c>
      <c r="L57" s="138" t="s">
        <v>5</v>
      </c>
      <c r="M57" s="138" t="s">
        <v>5</v>
      </c>
      <c r="N57" s="138" t="s">
        <v>5</v>
      </c>
      <c r="O57" s="138" t="s">
        <v>5</v>
      </c>
      <c r="P57" s="6" t="str">
        <f>Tab_Def_Flows[[#This Row],[Flow_ID]]&amp;"_E1"</f>
        <v>F_01_01_E1</v>
      </c>
      <c r="R57" s="13"/>
      <c r="S57" s="6" t="str">
        <f>Tab_Def_Flows[[#This Row],[Flow_ID]]&amp;"_E2"</f>
        <v>F_01_01_E2</v>
      </c>
      <c r="T57" s="135"/>
      <c r="U57" s="13"/>
      <c r="V57" s="6" t="str">
        <f>Tab_Def_Flows[[#This Row],[Flow_ID]]&amp;"_E3"</f>
        <v>F_01_01_E3</v>
      </c>
      <c r="W57" s="135"/>
      <c r="X57" s="13"/>
      <c r="Y57" s="6" t="str">
        <f>Tab_Def_Flows[[#This Row],[Flow_ID]]&amp;"_E4"</f>
        <v>F_01_01_E4</v>
      </c>
      <c r="Z57" s="135"/>
      <c r="AA57" s="13"/>
      <c r="AB57" s="6" t="str">
        <f>Tab_Def_Flows[[#This Row],[Flow_ID]]&amp;"_E5"</f>
        <v>F_01_01_E5</v>
      </c>
      <c r="AC57" s="140"/>
      <c r="AD57" s="13"/>
      <c r="AE57" s="6" t="str">
        <f>Tab_Def_Flows[[#This Row],[Flow_ID]]&amp;"_E6"</f>
        <v>F_01_01_E6</v>
      </c>
      <c r="AF57" s="140"/>
      <c r="AG57" s="13"/>
      <c r="AH57" s="194" t="b">
        <f>'0_Configuration'!$C$2</f>
        <v>1</v>
      </c>
      <c r="AI57" s="6"/>
      <c r="AJ57" s="194" t="b">
        <f>'0_Configuration'!$C$6</f>
        <v>0</v>
      </c>
      <c r="AK57" s="6" t="s">
        <v>1117</v>
      </c>
      <c r="AL57" s="194" t="b">
        <f>'0_Configuration'!$C$10</f>
        <v>0</v>
      </c>
      <c r="AM57" s="6" t="s">
        <v>1117</v>
      </c>
      <c r="AN57" s="194" t="b">
        <f>'0_Configuration'!$C$17</f>
        <v>0</v>
      </c>
      <c r="AO57" s="6">
        <f>_xlfn.XLOOKUP(Tab_Def_Flows[[#This Row],[ODYM_Good_Type]],Tab_Configuration[Value],Tab_Configuration[ODYM_ID],,0,)</f>
        <v>0</v>
      </c>
      <c r="AP57" s="194" t="b">
        <f>'0_Configuration'!$C$24</f>
        <v>0</v>
      </c>
      <c r="AQ57" s="6"/>
      <c r="AR57" s="194" t="b">
        <f>'0_Configuration'!$C$29</f>
        <v>1</v>
      </c>
      <c r="AS57" s="6" t="s">
        <v>1131</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F_01_01</v>
      </c>
      <c r="D58" s="188"/>
      <c r="E58" s="6"/>
      <c r="F58" s="138"/>
      <c r="G58" s="6" t="str">
        <f>_xlfn.XLOOKUP(F58,Tab_Def_Processes[Process_Name],Tab_Def_Processes[Process_ID],,0,)</f>
        <v>01</v>
      </c>
      <c r="H58" s="138"/>
      <c r="I58" s="9" t="str">
        <f>_xlfn.XLOOKUP(H58,Tab_Def_Processes[Process_Name],Tab_Def_Processes[Process_ID],,0,)</f>
        <v>01</v>
      </c>
      <c r="J58" s="138" t="s">
        <v>5</v>
      </c>
      <c r="K58" s="138" t="s">
        <v>5</v>
      </c>
      <c r="L58" s="138" t="s">
        <v>5</v>
      </c>
      <c r="M58" s="138" t="s">
        <v>5</v>
      </c>
      <c r="N58" s="138" t="s">
        <v>5</v>
      </c>
      <c r="O58" s="138" t="s">
        <v>5</v>
      </c>
      <c r="P58" s="6" t="str">
        <f>Tab_Def_Flows[[#This Row],[Flow_ID]]&amp;"_E1"</f>
        <v>F_01_01_E1</v>
      </c>
      <c r="R58" s="13"/>
      <c r="S58" s="6" t="str">
        <f>Tab_Def_Flows[[#This Row],[Flow_ID]]&amp;"_E2"</f>
        <v>F_01_01_E2</v>
      </c>
      <c r="T58" s="135"/>
      <c r="U58" s="13"/>
      <c r="V58" s="6" t="str">
        <f>Tab_Def_Flows[[#This Row],[Flow_ID]]&amp;"_E3"</f>
        <v>F_01_01_E3</v>
      </c>
      <c r="W58" s="135"/>
      <c r="X58" s="13"/>
      <c r="Y58" s="6" t="str">
        <f>Tab_Def_Flows[[#This Row],[Flow_ID]]&amp;"_E4"</f>
        <v>F_01_01_E4</v>
      </c>
      <c r="Z58" s="135"/>
      <c r="AA58" s="13"/>
      <c r="AB58" s="6" t="str">
        <f>Tab_Def_Flows[[#This Row],[Flow_ID]]&amp;"_E5"</f>
        <v>F_01_01_E5</v>
      </c>
      <c r="AC58" s="140"/>
      <c r="AD58" s="13"/>
      <c r="AE58" s="6" t="str">
        <f>Tab_Def_Flows[[#This Row],[Flow_ID]]&amp;"_E6"</f>
        <v>F_01_01_E6</v>
      </c>
      <c r="AF58" s="140"/>
      <c r="AG58" s="13"/>
      <c r="AH58" s="194" t="b">
        <f>'0_Configuration'!$C$2</f>
        <v>1</v>
      </c>
      <c r="AI58" s="6"/>
      <c r="AJ58" s="194" t="b">
        <f>'0_Configuration'!$C$6</f>
        <v>0</v>
      </c>
      <c r="AK58" s="6" t="s">
        <v>1117</v>
      </c>
      <c r="AL58" s="194" t="b">
        <f>'0_Configuration'!$C$10</f>
        <v>0</v>
      </c>
      <c r="AM58" s="6" t="s">
        <v>1117</v>
      </c>
      <c r="AN58" s="194" t="b">
        <f>'0_Configuration'!$C$17</f>
        <v>0</v>
      </c>
      <c r="AO58" s="6">
        <f>_xlfn.XLOOKUP(Tab_Def_Flows[[#This Row],[ODYM_Good_Type]],Tab_Configuration[Value],Tab_Configuration[ODYM_ID],,0,)</f>
        <v>0</v>
      </c>
      <c r="AP58" s="194" t="b">
        <f>'0_Configuration'!$C$24</f>
        <v>0</v>
      </c>
      <c r="AQ58" s="6"/>
      <c r="AR58" s="194" t="b">
        <f>'0_Configuration'!$C$29</f>
        <v>1</v>
      </c>
      <c r="AS58" s="6" t="s">
        <v>1131</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F_01_01</v>
      </c>
      <c r="D59" s="188"/>
      <c r="E59" s="6"/>
      <c r="F59" s="138"/>
      <c r="G59" s="6" t="str">
        <f>_xlfn.XLOOKUP(F59,Tab_Def_Processes[Process_Name],Tab_Def_Processes[Process_ID],,0,)</f>
        <v>01</v>
      </c>
      <c r="H59" s="138"/>
      <c r="I59" s="9" t="str">
        <f>_xlfn.XLOOKUP(H59,Tab_Def_Processes[Process_Name],Tab_Def_Processes[Process_ID],,0,)</f>
        <v>01</v>
      </c>
      <c r="J59" s="138" t="s">
        <v>5</v>
      </c>
      <c r="K59" s="138" t="s">
        <v>5</v>
      </c>
      <c r="L59" s="138" t="s">
        <v>5</v>
      </c>
      <c r="M59" s="138" t="s">
        <v>5</v>
      </c>
      <c r="N59" s="138" t="s">
        <v>5</v>
      </c>
      <c r="O59" s="138" t="s">
        <v>5</v>
      </c>
      <c r="P59" s="6" t="str">
        <f>Tab_Def_Flows[[#This Row],[Flow_ID]]&amp;"_E1"</f>
        <v>F_01_01_E1</v>
      </c>
      <c r="R59" s="13"/>
      <c r="S59" s="6" t="str">
        <f>Tab_Def_Flows[[#This Row],[Flow_ID]]&amp;"_E2"</f>
        <v>F_01_01_E2</v>
      </c>
      <c r="T59" s="135"/>
      <c r="U59" s="13"/>
      <c r="V59" s="6" t="str">
        <f>Tab_Def_Flows[[#This Row],[Flow_ID]]&amp;"_E3"</f>
        <v>F_01_01_E3</v>
      </c>
      <c r="W59" s="135"/>
      <c r="X59" s="13"/>
      <c r="Y59" s="6" t="str">
        <f>Tab_Def_Flows[[#This Row],[Flow_ID]]&amp;"_E4"</f>
        <v>F_01_01_E4</v>
      </c>
      <c r="Z59" s="135"/>
      <c r="AA59" s="13"/>
      <c r="AB59" s="6" t="str">
        <f>Tab_Def_Flows[[#This Row],[Flow_ID]]&amp;"_E5"</f>
        <v>F_01_01_E5</v>
      </c>
      <c r="AC59" s="140"/>
      <c r="AD59" s="13"/>
      <c r="AE59" s="6" t="str">
        <f>Tab_Def_Flows[[#This Row],[Flow_ID]]&amp;"_E6"</f>
        <v>F_01_01_E6</v>
      </c>
      <c r="AF59" s="140"/>
      <c r="AG59" s="13"/>
      <c r="AH59" s="194" t="b">
        <f>'0_Configuration'!$C$2</f>
        <v>1</v>
      </c>
      <c r="AI59" s="6"/>
      <c r="AJ59" s="194" t="b">
        <f>'0_Configuration'!$C$6</f>
        <v>0</v>
      </c>
      <c r="AK59" s="6" t="s">
        <v>1117</v>
      </c>
      <c r="AL59" s="194" t="b">
        <f>'0_Configuration'!$C$10</f>
        <v>0</v>
      </c>
      <c r="AM59" s="6" t="s">
        <v>1117</v>
      </c>
      <c r="AN59" s="194" t="b">
        <f>'0_Configuration'!$C$17</f>
        <v>0</v>
      </c>
      <c r="AO59" s="6">
        <f>_xlfn.XLOOKUP(Tab_Def_Flows[[#This Row],[ODYM_Good_Type]],Tab_Configuration[Value],Tab_Configuration[ODYM_ID],,0,)</f>
        <v>0</v>
      </c>
      <c r="AP59" s="194" t="b">
        <f>'0_Configuration'!$C$24</f>
        <v>0</v>
      </c>
      <c r="AQ59" s="6"/>
      <c r="AR59" s="194" t="b">
        <f>'0_Configuration'!$C$29</f>
        <v>1</v>
      </c>
      <c r="AS59" s="6" t="s">
        <v>1131</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F_01_01</v>
      </c>
      <c r="D60" s="188"/>
      <c r="E60" s="6"/>
      <c r="F60" s="138"/>
      <c r="G60" s="6" t="str">
        <f>_xlfn.XLOOKUP(F60,Tab_Def_Processes[Process_Name],Tab_Def_Processes[Process_ID],,0,)</f>
        <v>01</v>
      </c>
      <c r="H60" s="138"/>
      <c r="I60" s="9" t="str">
        <f>_xlfn.XLOOKUP(H60,Tab_Def_Processes[Process_Name],Tab_Def_Processes[Process_ID],,0,)</f>
        <v>01</v>
      </c>
      <c r="J60" s="138" t="s">
        <v>5</v>
      </c>
      <c r="K60" s="138" t="s">
        <v>5</v>
      </c>
      <c r="L60" s="138" t="s">
        <v>5</v>
      </c>
      <c r="M60" s="138" t="s">
        <v>5</v>
      </c>
      <c r="N60" s="138" t="s">
        <v>5</v>
      </c>
      <c r="O60" s="138" t="s">
        <v>5</v>
      </c>
      <c r="P60" s="6" t="str">
        <f>Tab_Def_Flows[[#This Row],[Flow_ID]]&amp;"_E1"</f>
        <v>F_01_01_E1</v>
      </c>
      <c r="R60" s="13"/>
      <c r="S60" s="6" t="str">
        <f>Tab_Def_Flows[[#This Row],[Flow_ID]]&amp;"_E2"</f>
        <v>F_01_01_E2</v>
      </c>
      <c r="T60" s="135"/>
      <c r="U60" s="13"/>
      <c r="V60" s="6" t="str">
        <f>Tab_Def_Flows[[#This Row],[Flow_ID]]&amp;"_E3"</f>
        <v>F_01_01_E3</v>
      </c>
      <c r="W60" s="135"/>
      <c r="X60" s="13"/>
      <c r="Y60" s="6" t="str">
        <f>Tab_Def_Flows[[#This Row],[Flow_ID]]&amp;"_E4"</f>
        <v>F_01_01_E4</v>
      </c>
      <c r="Z60" s="135"/>
      <c r="AA60" s="13"/>
      <c r="AB60" s="6" t="str">
        <f>Tab_Def_Flows[[#This Row],[Flow_ID]]&amp;"_E5"</f>
        <v>F_01_01_E5</v>
      </c>
      <c r="AC60" s="140"/>
      <c r="AD60" s="13"/>
      <c r="AE60" s="6" t="str">
        <f>Tab_Def_Flows[[#This Row],[Flow_ID]]&amp;"_E6"</f>
        <v>F_01_01_E6</v>
      </c>
      <c r="AF60" s="140"/>
      <c r="AG60" s="13"/>
      <c r="AH60" s="194" t="b">
        <f>'0_Configuration'!$C$2</f>
        <v>1</v>
      </c>
      <c r="AI60" s="6"/>
      <c r="AJ60" s="194" t="b">
        <f>'0_Configuration'!$C$6</f>
        <v>0</v>
      </c>
      <c r="AK60" s="6" t="s">
        <v>1117</v>
      </c>
      <c r="AL60" s="194" t="b">
        <f>'0_Configuration'!$C$10</f>
        <v>0</v>
      </c>
      <c r="AM60" s="6" t="s">
        <v>1117</v>
      </c>
      <c r="AN60" s="194" t="b">
        <f>'0_Configuration'!$C$17</f>
        <v>0</v>
      </c>
      <c r="AO60" s="6">
        <f>_xlfn.XLOOKUP(Tab_Def_Flows[[#This Row],[ODYM_Good_Type]],Tab_Configuration[Value],Tab_Configuration[ODYM_ID],,0,)</f>
        <v>0</v>
      </c>
      <c r="AP60" s="194" t="b">
        <f>'0_Configuration'!$C$24</f>
        <v>0</v>
      </c>
      <c r="AQ60" s="6"/>
      <c r="AR60" s="194" t="b">
        <f>'0_Configuration'!$C$29</f>
        <v>1</v>
      </c>
      <c r="AS60" s="6" t="s">
        <v>1131</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F_01_01</v>
      </c>
      <c r="D61" s="188"/>
      <c r="E61" s="6"/>
      <c r="F61" s="138"/>
      <c r="G61" s="6" t="str">
        <f>_xlfn.XLOOKUP(F61,Tab_Def_Processes[Process_Name],Tab_Def_Processes[Process_ID],,0,)</f>
        <v>01</v>
      </c>
      <c r="H61" s="138"/>
      <c r="I61" s="9" t="str">
        <f>_xlfn.XLOOKUP(H61,Tab_Def_Processes[Process_Name],Tab_Def_Processes[Process_ID],,0,)</f>
        <v>01</v>
      </c>
      <c r="J61" s="138" t="s">
        <v>5</v>
      </c>
      <c r="K61" s="138" t="s">
        <v>5</v>
      </c>
      <c r="L61" s="138" t="s">
        <v>5</v>
      </c>
      <c r="M61" s="138" t="s">
        <v>5</v>
      </c>
      <c r="N61" s="138" t="s">
        <v>5</v>
      </c>
      <c r="O61" s="138" t="s">
        <v>5</v>
      </c>
      <c r="P61" s="6" t="str">
        <f>Tab_Def_Flows[[#This Row],[Flow_ID]]&amp;"_E1"</f>
        <v>F_01_01_E1</v>
      </c>
      <c r="R61" s="13"/>
      <c r="S61" s="6" t="str">
        <f>Tab_Def_Flows[[#This Row],[Flow_ID]]&amp;"_E2"</f>
        <v>F_01_01_E2</v>
      </c>
      <c r="T61" s="135"/>
      <c r="U61" s="13"/>
      <c r="V61" s="6" t="str">
        <f>Tab_Def_Flows[[#This Row],[Flow_ID]]&amp;"_E3"</f>
        <v>F_01_01_E3</v>
      </c>
      <c r="W61" s="135"/>
      <c r="X61" s="13"/>
      <c r="Y61" s="6" t="str">
        <f>Tab_Def_Flows[[#This Row],[Flow_ID]]&amp;"_E4"</f>
        <v>F_01_01_E4</v>
      </c>
      <c r="Z61" s="135"/>
      <c r="AA61" s="13"/>
      <c r="AB61" s="6" t="str">
        <f>Tab_Def_Flows[[#This Row],[Flow_ID]]&amp;"_E5"</f>
        <v>F_01_01_E5</v>
      </c>
      <c r="AC61" s="140"/>
      <c r="AD61" s="13"/>
      <c r="AE61" s="6" t="str">
        <f>Tab_Def_Flows[[#This Row],[Flow_ID]]&amp;"_E6"</f>
        <v>F_01_01_E6</v>
      </c>
      <c r="AF61" s="140"/>
      <c r="AG61" s="13"/>
      <c r="AH61" s="194" t="b">
        <f>'0_Configuration'!$C$2</f>
        <v>1</v>
      </c>
      <c r="AI61" s="6"/>
      <c r="AJ61" s="194" t="b">
        <f>'0_Configuration'!$C$6</f>
        <v>0</v>
      </c>
      <c r="AK61" s="6" t="s">
        <v>1117</v>
      </c>
      <c r="AL61" s="194" t="b">
        <f>'0_Configuration'!$C$10</f>
        <v>0</v>
      </c>
      <c r="AM61" s="6" t="s">
        <v>1117</v>
      </c>
      <c r="AN61" s="194" t="b">
        <f>'0_Configuration'!$C$17</f>
        <v>0</v>
      </c>
      <c r="AO61" s="6">
        <f>_xlfn.XLOOKUP(Tab_Def_Flows[[#This Row],[ODYM_Good_Type]],Tab_Configuration[Value],Tab_Configuration[ODYM_ID],,0,)</f>
        <v>0</v>
      </c>
      <c r="AP61" s="194" t="b">
        <f>'0_Configuration'!$C$24</f>
        <v>0</v>
      </c>
      <c r="AQ61" s="6"/>
      <c r="AR61" s="194" t="b">
        <f>'0_Configuration'!$C$29</f>
        <v>1</v>
      </c>
      <c r="AS61" s="6" t="s">
        <v>1131</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F_01_01</v>
      </c>
      <c r="D62" s="188"/>
      <c r="E62" s="6"/>
      <c r="F62" s="138"/>
      <c r="G62" s="6" t="str">
        <f>_xlfn.XLOOKUP(F62,Tab_Def_Processes[Process_Name],Tab_Def_Processes[Process_ID],,0,)</f>
        <v>01</v>
      </c>
      <c r="H62" s="138"/>
      <c r="I62" s="9" t="str">
        <f>_xlfn.XLOOKUP(H62,Tab_Def_Processes[Process_Name],Tab_Def_Processes[Process_ID],,0,)</f>
        <v>01</v>
      </c>
      <c r="J62" s="138" t="s">
        <v>5</v>
      </c>
      <c r="K62" s="138" t="s">
        <v>5</v>
      </c>
      <c r="L62" s="138" t="s">
        <v>5</v>
      </c>
      <c r="M62" s="138" t="s">
        <v>5</v>
      </c>
      <c r="N62" s="138" t="s">
        <v>5</v>
      </c>
      <c r="O62" s="138" t="s">
        <v>5</v>
      </c>
      <c r="P62" s="6" t="str">
        <f>Tab_Def_Flows[[#This Row],[Flow_ID]]&amp;"_E1"</f>
        <v>F_01_01_E1</v>
      </c>
      <c r="R62" s="13"/>
      <c r="S62" s="6" t="str">
        <f>Tab_Def_Flows[[#This Row],[Flow_ID]]&amp;"_E2"</f>
        <v>F_01_01_E2</v>
      </c>
      <c r="T62" s="135"/>
      <c r="U62" s="13"/>
      <c r="V62" s="6" t="str">
        <f>Tab_Def_Flows[[#This Row],[Flow_ID]]&amp;"_E3"</f>
        <v>F_01_01_E3</v>
      </c>
      <c r="W62" s="135"/>
      <c r="X62" s="13"/>
      <c r="Y62" s="6" t="str">
        <f>Tab_Def_Flows[[#This Row],[Flow_ID]]&amp;"_E4"</f>
        <v>F_01_01_E4</v>
      </c>
      <c r="Z62" s="135"/>
      <c r="AA62" s="13"/>
      <c r="AB62" s="6" t="str">
        <f>Tab_Def_Flows[[#This Row],[Flow_ID]]&amp;"_E5"</f>
        <v>F_01_01_E5</v>
      </c>
      <c r="AC62" s="140"/>
      <c r="AD62" s="13"/>
      <c r="AE62" s="6" t="str">
        <f>Tab_Def_Flows[[#This Row],[Flow_ID]]&amp;"_E6"</f>
        <v>F_01_01_E6</v>
      </c>
      <c r="AF62" s="140"/>
      <c r="AG62" s="13"/>
      <c r="AH62" s="194" t="b">
        <f>'0_Configuration'!$C$2</f>
        <v>1</v>
      </c>
      <c r="AI62" s="6"/>
      <c r="AJ62" s="194" t="b">
        <f>'0_Configuration'!$C$6</f>
        <v>0</v>
      </c>
      <c r="AK62" s="6" t="s">
        <v>1117</v>
      </c>
      <c r="AL62" s="194" t="b">
        <f>'0_Configuration'!$C$10</f>
        <v>0</v>
      </c>
      <c r="AM62" s="6" t="s">
        <v>1117</v>
      </c>
      <c r="AN62" s="194" t="b">
        <f>'0_Configuration'!$C$17</f>
        <v>0</v>
      </c>
      <c r="AO62" s="6">
        <f>_xlfn.XLOOKUP(Tab_Def_Flows[[#This Row],[ODYM_Good_Type]],Tab_Configuration[Value],Tab_Configuration[ODYM_ID],,0,)</f>
        <v>0</v>
      </c>
      <c r="AP62" s="194" t="b">
        <f>'0_Configuration'!$C$24</f>
        <v>0</v>
      </c>
      <c r="AQ62" s="6"/>
      <c r="AR62" s="194" t="b">
        <f>'0_Configuration'!$C$29</f>
        <v>1</v>
      </c>
      <c r="AS62" s="6" t="s">
        <v>1131</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F_01_01</v>
      </c>
      <c r="D63" s="188"/>
      <c r="E63" s="6"/>
      <c r="F63" s="138"/>
      <c r="G63" s="6" t="str">
        <f>_xlfn.XLOOKUP(F63,Tab_Def_Processes[Process_Name],Tab_Def_Processes[Process_ID],,0,)</f>
        <v>01</v>
      </c>
      <c r="H63" s="138"/>
      <c r="I63" s="9" t="str">
        <f>_xlfn.XLOOKUP(H63,Tab_Def_Processes[Process_Name],Tab_Def_Processes[Process_ID],,0,)</f>
        <v>01</v>
      </c>
      <c r="J63" s="138" t="s">
        <v>5</v>
      </c>
      <c r="K63" s="138" t="s">
        <v>5</v>
      </c>
      <c r="L63" s="138" t="s">
        <v>5</v>
      </c>
      <c r="M63" s="138" t="s">
        <v>5</v>
      </c>
      <c r="N63" s="138" t="s">
        <v>5</v>
      </c>
      <c r="O63" s="138" t="s">
        <v>5</v>
      </c>
      <c r="P63" s="6" t="str">
        <f>Tab_Def_Flows[[#This Row],[Flow_ID]]&amp;"_E1"</f>
        <v>F_01_01_E1</v>
      </c>
      <c r="R63" s="13"/>
      <c r="S63" s="6" t="str">
        <f>Tab_Def_Flows[[#This Row],[Flow_ID]]&amp;"_E2"</f>
        <v>F_01_01_E2</v>
      </c>
      <c r="T63" s="135"/>
      <c r="U63" s="13"/>
      <c r="V63" s="6" t="str">
        <f>Tab_Def_Flows[[#This Row],[Flow_ID]]&amp;"_E3"</f>
        <v>F_01_01_E3</v>
      </c>
      <c r="W63" s="135"/>
      <c r="X63" s="13"/>
      <c r="Y63" s="6" t="str">
        <f>Tab_Def_Flows[[#This Row],[Flow_ID]]&amp;"_E4"</f>
        <v>F_01_01_E4</v>
      </c>
      <c r="Z63" s="135"/>
      <c r="AA63" s="13"/>
      <c r="AB63" s="6" t="str">
        <f>Tab_Def_Flows[[#This Row],[Flow_ID]]&amp;"_E5"</f>
        <v>F_01_01_E5</v>
      </c>
      <c r="AC63" s="140"/>
      <c r="AD63" s="13"/>
      <c r="AE63" s="6" t="str">
        <f>Tab_Def_Flows[[#This Row],[Flow_ID]]&amp;"_E6"</f>
        <v>F_01_01_E6</v>
      </c>
      <c r="AF63" s="140"/>
      <c r="AG63" s="13"/>
      <c r="AH63" s="194" t="b">
        <f>'0_Configuration'!$C$2</f>
        <v>1</v>
      </c>
      <c r="AI63" s="6"/>
      <c r="AJ63" s="194" t="b">
        <f>'0_Configuration'!$C$6</f>
        <v>0</v>
      </c>
      <c r="AK63" s="6" t="s">
        <v>1117</v>
      </c>
      <c r="AL63" s="194" t="b">
        <f>'0_Configuration'!$C$10</f>
        <v>0</v>
      </c>
      <c r="AM63" s="6" t="s">
        <v>1117</v>
      </c>
      <c r="AN63" s="194" t="b">
        <f>'0_Configuration'!$C$17</f>
        <v>0</v>
      </c>
      <c r="AO63" s="6">
        <f>_xlfn.XLOOKUP(Tab_Def_Flows[[#This Row],[ODYM_Good_Type]],Tab_Configuration[Value],Tab_Configuration[ODYM_ID],,0,)</f>
        <v>0</v>
      </c>
      <c r="AP63" s="194" t="b">
        <f>'0_Configuration'!$C$24</f>
        <v>0</v>
      </c>
      <c r="AQ63" s="6"/>
      <c r="AR63" s="194" t="b">
        <f>'0_Configuration'!$C$29</f>
        <v>1</v>
      </c>
      <c r="AS63" s="6" t="s">
        <v>1131</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F_01_01</v>
      </c>
      <c r="D64" s="188"/>
      <c r="E64" s="6"/>
      <c r="F64" s="138"/>
      <c r="G64" s="6" t="str">
        <f>_xlfn.XLOOKUP(F64,Tab_Def_Processes[Process_Name],Tab_Def_Processes[Process_ID],,0,)</f>
        <v>01</v>
      </c>
      <c r="H64" s="138"/>
      <c r="I64" s="9" t="str">
        <f>_xlfn.XLOOKUP(H64,Tab_Def_Processes[Process_Name],Tab_Def_Processes[Process_ID],,0,)</f>
        <v>01</v>
      </c>
      <c r="J64" s="138" t="s">
        <v>5</v>
      </c>
      <c r="K64" s="138" t="s">
        <v>5</v>
      </c>
      <c r="L64" s="138" t="s">
        <v>5</v>
      </c>
      <c r="M64" s="138" t="s">
        <v>5</v>
      </c>
      <c r="N64" s="138" t="s">
        <v>5</v>
      </c>
      <c r="O64" s="138" t="s">
        <v>5</v>
      </c>
      <c r="P64" s="6" t="str">
        <f>Tab_Def_Flows[[#This Row],[Flow_ID]]&amp;"_E1"</f>
        <v>F_01_01_E1</v>
      </c>
      <c r="R64" s="13"/>
      <c r="S64" s="6" t="str">
        <f>Tab_Def_Flows[[#This Row],[Flow_ID]]&amp;"_E2"</f>
        <v>F_01_01_E2</v>
      </c>
      <c r="T64" s="135"/>
      <c r="U64" s="13"/>
      <c r="V64" s="6" t="str">
        <f>Tab_Def_Flows[[#This Row],[Flow_ID]]&amp;"_E3"</f>
        <v>F_01_01_E3</v>
      </c>
      <c r="W64" s="135"/>
      <c r="X64" s="13"/>
      <c r="Y64" s="6" t="str">
        <f>Tab_Def_Flows[[#This Row],[Flow_ID]]&amp;"_E4"</f>
        <v>F_01_01_E4</v>
      </c>
      <c r="Z64" s="135"/>
      <c r="AA64" s="13"/>
      <c r="AB64" s="6" t="str">
        <f>Tab_Def_Flows[[#This Row],[Flow_ID]]&amp;"_E5"</f>
        <v>F_01_01_E5</v>
      </c>
      <c r="AC64" s="140"/>
      <c r="AD64" s="13"/>
      <c r="AE64" s="6" t="str">
        <f>Tab_Def_Flows[[#This Row],[Flow_ID]]&amp;"_E6"</f>
        <v>F_01_01_E6</v>
      </c>
      <c r="AF64" s="140"/>
      <c r="AG64" s="13"/>
      <c r="AH64" s="194" t="b">
        <f>'0_Configuration'!$C$2</f>
        <v>1</v>
      </c>
      <c r="AI64" s="6"/>
      <c r="AJ64" s="194" t="b">
        <f>'0_Configuration'!$C$6</f>
        <v>0</v>
      </c>
      <c r="AK64" s="6" t="s">
        <v>1117</v>
      </c>
      <c r="AL64" s="194" t="b">
        <f>'0_Configuration'!$C$10</f>
        <v>0</v>
      </c>
      <c r="AM64" s="6" t="s">
        <v>1117</v>
      </c>
      <c r="AN64" s="194" t="b">
        <f>'0_Configuration'!$C$17</f>
        <v>0</v>
      </c>
      <c r="AO64" s="6">
        <f>_xlfn.XLOOKUP(Tab_Def_Flows[[#This Row],[ODYM_Good_Type]],Tab_Configuration[Value],Tab_Configuration[ODYM_ID],,0,)</f>
        <v>0</v>
      </c>
      <c r="AP64" s="194" t="b">
        <f>'0_Configuration'!$C$24</f>
        <v>0</v>
      </c>
      <c r="AQ64" s="6"/>
      <c r="AR64" s="194" t="b">
        <f>'0_Configuration'!$C$29</f>
        <v>1</v>
      </c>
      <c r="AS64" s="6" t="s">
        <v>1131</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F_01_01</v>
      </c>
      <c r="D65" s="188"/>
      <c r="E65" s="6"/>
      <c r="F65" s="138"/>
      <c r="G65" s="6" t="str">
        <f>_xlfn.XLOOKUP(F65,Tab_Def_Processes[Process_Name],Tab_Def_Processes[Process_ID],,0,)</f>
        <v>01</v>
      </c>
      <c r="H65" s="138"/>
      <c r="I65" s="9" t="str">
        <f>_xlfn.XLOOKUP(H65,Tab_Def_Processes[Process_Name],Tab_Def_Processes[Process_ID],,0,)</f>
        <v>01</v>
      </c>
      <c r="J65" s="138" t="s">
        <v>5</v>
      </c>
      <c r="K65" s="138" t="s">
        <v>5</v>
      </c>
      <c r="L65" s="138" t="s">
        <v>5</v>
      </c>
      <c r="M65" s="138" t="s">
        <v>5</v>
      </c>
      <c r="N65" s="138" t="s">
        <v>5</v>
      </c>
      <c r="O65" s="138" t="s">
        <v>5</v>
      </c>
      <c r="P65" s="6" t="str">
        <f>Tab_Def_Flows[[#This Row],[Flow_ID]]&amp;"_E1"</f>
        <v>F_01_01_E1</v>
      </c>
      <c r="R65" s="13"/>
      <c r="S65" s="6" t="str">
        <f>Tab_Def_Flows[[#This Row],[Flow_ID]]&amp;"_E2"</f>
        <v>F_01_01_E2</v>
      </c>
      <c r="T65" s="135"/>
      <c r="U65" s="13"/>
      <c r="V65" s="6" t="str">
        <f>Tab_Def_Flows[[#This Row],[Flow_ID]]&amp;"_E3"</f>
        <v>F_01_01_E3</v>
      </c>
      <c r="W65" s="135"/>
      <c r="X65" s="13"/>
      <c r="Y65" s="6" t="str">
        <f>Tab_Def_Flows[[#This Row],[Flow_ID]]&amp;"_E4"</f>
        <v>F_01_01_E4</v>
      </c>
      <c r="Z65" s="135"/>
      <c r="AA65" s="13"/>
      <c r="AB65" s="6" t="str">
        <f>Tab_Def_Flows[[#This Row],[Flow_ID]]&amp;"_E5"</f>
        <v>F_01_01_E5</v>
      </c>
      <c r="AC65" s="140"/>
      <c r="AD65" s="13"/>
      <c r="AE65" s="6" t="str">
        <f>Tab_Def_Flows[[#This Row],[Flow_ID]]&amp;"_E6"</f>
        <v>F_01_01_E6</v>
      </c>
      <c r="AF65" s="140"/>
      <c r="AG65" s="13"/>
      <c r="AH65" s="194" t="b">
        <f>'0_Configuration'!$C$2</f>
        <v>1</v>
      </c>
      <c r="AI65" s="6"/>
      <c r="AJ65" s="194" t="b">
        <f>'0_Configuration'!$C$6</f>
        <v>0</v>
      </c>
      <c r="AK65" s="6" t="s">
        <v>1117</v>
      </c>
      <c r="AL65" s="194" t="b">
        <f>'0_Configuration'!$C$10</f>
        <v>0</v>
      </c>
      <c r="AM65" s="6" t="s">
        <v>1117</v>
      </c>
      <c r="AN65" s="194" t="b">
        <f>'0_Configuration'!$C$17</f>
        <v>0</v>
      </c>
      <c r="AO65" s="6">
        <f>_xlfn.XLOOKUP(Tab_Def_Flows[[#This Row],[ODYM_Good_Type]],Tab_Configuration[Value],Tab_Configuration[ODYM_ID],,0,)</f>
        <v>0</v>
      </c>
      <c r="AP65" s="194" t="b">
        <f>'0_Configuration'!$C$24</f>
        <v>0</v>
      </c>
      <c r="AQ65" s="6"/>
      <c r="AR65" s="194" t="b">
        <f>'0_Configuration'!$C$29</f>
        <v>1</v>
      </c>
      <c r="AS65" s="6" t="s">
        <v>1131</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F_01_01</v>
      </c>
      <c r="D66" s="188"/>
      <c r="E66" s="6"/>
      <c r="F66" s="138"/>
      <c r="G66" s="6" t="str">
        <f>_xlfn.XLOOKUP(F66,Tab_Def_Processes[Process_Name],Tab_Def_Processes[Process_ID],,0,)</f>
        <v>01</v>
      </c>
      <c r="H66" s="138"/>
      <c r="I66" s="9" t="str">
        <f>_xlfn.XLOOKUP(H66,Tab_Def_Processes[Process_Name],Tab_Def_Processes[Process_ID],,0,)</f>
        <v>01</v>
      </c>
      <c r="J66" s="138" t="s">
        <v>5</v>
      </c>
      <c r="K66" s="138" t="s">
        <v>5</v>
      </c>
      <c r="L66" s="138" t="s">
        <v>5</v>
      </c>
      <c r="M66" s="138" t="s">
        <v>5</v>
      </c>
      <c r="N66" s="138" t="s">
        <v>5</v>
      </c>
      <c r="O66" s="138" t="s">
        <v>5</v>
      </c>
      <c r="P66" s="6" t="str">
        <f>Tab_Def_Flows[[#This Row],[Flow_ID]]&amp;"_E1"</f>
        <v>F_01_01_E1</v>
      </c>
      <c r="R66" s="13"/>
      <c r="S66" s="6" t="str">
        <f>Tab_Def_Flows[[#This Row],[Flow_ID]]&amp;"_E2"</f>
        <v>F_01_01_E2</v>
      </c>
      <c r="T66" s="135"/>
      <c r="U66" s="13"/>
      <c r="V66" s="6" t="str">
        <f>Tab_Def_Flows[[#This Row],[Flow_ID]]&amp;"_E3"</f>
        <v>F_01_01_E3</v>
      </c>
      <c r="W66" s="135"/>
      <c r="X66" s="13"/>
      <c r="Y66" s="6" t="str">
        <f>Tab_Def_Flows[[#This Row],[Flow_ID]]&amp;"_E4"</f>
        <v>F_01_01_E4</v>
      </c>
      <c r="Z66" s="135"/>
      <c r="AA66" s="13"/>
      <c r="AB66" s="6" t="str">
        <f>Tab_Def_Flows[[#This Row],[Flow_ID]]&amp;"_E5"</f>
        <v>F_01_01_E5</v>
      </c>
      <c r="AC66" s="140"/>
      <c r="AD66" s="13"/>
      <c r="AE66" s="6" t="str">
        <f>Tab_Def_Flows[[#This Row],[Flow_ID]]&amp;"_E6"</f>
        <v>F_01_01_E6</v>
      </c>
      <c r="AF66" s="140"/>
      <c r="AG66" s="13"/>
      <c r="AH66" s="194" t="b">
        <f>'0_Configuration'!$C$2</f>
        <v>1</v>
      </c>
      <c r="AI66" s="6"/>
      <c r="AJ66" s="194" t="b">
        <f>'0_Configuration'!$C$6</f>
        <v>0</v>
      </c>
      <c r="AK66" s="6" t="s">
        <v>1117</v>
      </c>
      <c r="AL66" s="194" t="b">
        <f>'0_Configuration'!$C$10</f>
        <v>0</v>
      </c>
      <c r="AM66" s="6" t="s">
        <v>1117</v>
      </c>
      <c r="AN66" s="194" t="b">
        <f>'0_Configuration'!$C$17</f>
        <v>0</v>
      </c>
      <c r="AO66" s="6">
        <f>_xlfn.XLOOKUP(Tab_Def_Flows[[#This Row],[ODYM_Good_Type]],Tab_Configuration[Value],Tab_Configuration[ODYM_ID],,0,)</f>
        <v>0</v>
      </c>
      <c r="AP66" s="194" t="b">
        <f>'0_Configuration'!$C$24</f>
        <v>0</v>
      </c>
      <c r="AQ66" s="6"/>
      <c r="AR66" s="194" t="b">
        <f>'0_Configuration'!$C$29</f>
        <v>1</v>
      </c>
      <c r="AS66" s="6" t="s">
        <v>1131</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F_01_01</v>
      </c>
      <c r="D67" s="188"/>
      <c r="E67" s="6"/>
      <c r="F67" s="138"/>
      <c r="G67" s="6" t="str">
        <f>_xlfn.XLOOKUP(F67,Tab_Def_Processes[Process_Name],Tab_Def_Processes[Process_ID],,0,)</f>
        <v>01</v>
      </c>
      <c r="H67" s="138"/>
      <c r="I67" s="9" t="str">
        <f>_xlfn.XLOOKUP(H67,Tab_Def_Processes[Process_Name],Tab_Def_Processes[Process_ID],,0,)</f>
        <v>01</v>
      </c>
      <c r="J67" s="138" t="s">
        <v>5</v>
      </c>
      <c r="K67" s="138" t="s">
        <v>5</v>
      </c>
      <c r="L67" s="138" t="s">
        <v>5</v>
      </c>
      <c r="M67" s="138" t="s">
        <v>5</v>
      </c>
      <c r="N67" s="138" t="s">
        <v>5</v>
      </c>
      <c r="O67" s="138" t="s">
        <v>5</v>
      </c>
      <c r="P67" s="6" t="str">
        <f>Tab_Def_Flows[[#This Row],[Flow_ID]]&amp;"_E1"</f>
        <v>F_01_01_E1</v>
      </c>
      <c r="R67" s="13"/>
      <c r="S67" s="6" t="str">
        <f>Tab_Def_Flows[[#This Row],[Flow_ID]]&amp;"_E2"</f>
        <v>F_01_01_E2</v>
      </c>
      <c r="T67" s="135"/>
      <c r="U67" s="13"/>
      <c r="V67" s="6" t="str">
        <f>Tab_Def_Flows[[#This Row],[Flow_ID]]&amp;"_E3"</f>
        <v>F_01_01_E3</v>
      </c>
      <c r="W67" s="135"/>
      <c r="X67" s="13"/>
      <c r="Y67" s="6" t="str">
        <f>Tab_Def_Flows[[#This Row],[Flow_ID]]&amp;"_E4"</f>
        <v>F_01_01_E4</v>
      </c>
      <c r="Z67" s="135"/>
      <c r="AA67" s="13"/>
      <c r="AB67" s="6" t="str">
        <f>Tab_Def_Flows[[#This Row],[Flow_ID]]&amp;"_E5"</f>
        <v>F_01_01_E5</v>
      </c>
      <c r="AC67" s="140"/>
      <c r="AD67" s="13"/>
      <c r="AE67" s="6" t="str">
        <f>Tab_Def_Flows[[#This Row],[Flow_ID]]&amp;"_E6"</f>
        <v>F_01_01_E6</v>
      </c>
      <c r="AF67" s="140"/>
      <c r="AG67" s="13"/>
      <c r="AH67" s="194" t="b">
        <f>'0_Configuration'!$C$2</f>
        <v>1</v>
      </c>
      <c r="AI67" s="6"/>
      <c r="AJ67" s="194" t="b">
        <f>'0_Configuration'!$C$6</f>
        <v>0</v>
      </c>
      <c r="AK67" s="6" t="s">
        <v>1117</v>
      </c>
      <c r="AL67" s="194" t="b">
        <f>'0_Configuration'!$C$10</f>
        <v>0</v>
      </c>
      <c r="AM67" s="6" t="s">
        <v>1117</v>
      </c>
      <c r="AN67" s="194" t="b">
        <f>'0_Configuration'!$C$17</f>
        <v>0</v>
      </c>
      <c r="AO67" s="6">
        <f>_xlfn.XLOOKUP(Tab_Def_Flows[[#This Row],[ODYM_Good_Type]],Tab_Configuration[Value],Tab_Configuration[ODYM_ID],,0,)</f>
        <v>0</v>
      </c>
      <c r="AP67" s="194" t="b">
        <f>'0_Configuration'!$C$24</f>
        <v>0</v>
      </c>
      <c r="AQ67" s="6"/>
      <c r="AR67" s="194" t="b">
        <f>'0_Configuration'!$C$29</f>
        <v>1</v>
      </c>
      <c r="AS67" s="6" t="s">
        <v>1131</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F_01_01</v>
      </c>
      <c r="D68" s="188"/>
      <c r="E68" s="6"/>
      <c r="F68" s="138"/>
      <c r="G68" s="6" t="str">
        <f>_xlfn.XLOOKUP(F68,Tab_Def_Processes[Process_Name],Tab_Def_Processes[Process_ID],,0,)</f>
        <v>01</v>
      </c>
      <c r="H68" s="138"/>
      <c r="I68" s="9" t="str">
        <f>_xlfn.XLOOKUP(H68,Tab_Def_Processes[Process_Name],Tab_Def_Processes[Process_ID],,0,)</f>
        <v>01</v>
      </c>
      <c r="J68" s="138" t="s">
        <v>5</v>
      </c>
      <c r="K68" s="138" t="s">
        <v>5</v>
      </c>
      <c r="L68" s="138" t="s">
        <v>5</v>
      </c>
      <c r="M68" s="138" t="s">
        <v>5</v>
      </c>
      <c r="N68" s="138" t="s">
        <v>5</v>
      </c>
      <c r="O68" s="138" t="s">
        <v>5</v>
      </c>
      <c r="P68" s="6" t="str">
        <f>Tab_Def_Flows[[#This Row],[Flow_ID]]&amp;"_E1"</f>
        <v>F_01_01_E1</v>
      </c>
      <c r="R68" s="13"/>
      <c r="S68" s="6" t="str">
        <f>Tab_Def_Flows[[#This Row],[Flow_ID]]&amp;"_E2"</f>
        <v>F_01_01_E2</v>
      </c>
      <c r="T68" s="135"/>
      <c r="U68" s="13"/>
      <c r="V68" s="6" t="str">
        <f>Tab_Def_Flows[[#This Row],[Flow_ID]]&amp;"_E3"</f>
        <v>F_01_01_E3</v>
      </c>
      <c r="W68" s="135"/>
      <c r="X68" s="13"/>
      <c r="Y68" s="6" t="str">
        <f>Tab_Def_Flows[[#This Row],[Flow_ID]]&amp;"_E4"</f>
        <v>F_01_01_E4</v>
      </c>
      <c r="Z68" s="135"/>
      <c r="AA68" s="13"/>
      <c r="AB68" s="6" t="str">
        <f>Tab_Def_Flows[[#This Row],[Flow_ID]]&amp;"_E5"</f>
        <v>F_01_01_E5</v>
      </c>
      <c r="AC68" s="140"/>
      <c r="AD68" s="13"/>
      <c r="AE68" s="6" t="str">
        <f>Tab_Def_Flows[[#This Row],[Flow_ID]]&amp;"_E6"</f>
        <v>F_01_01_E6</v>
      </c>
      <c r="AF68" s="140"/>
      <c r="AG68" s="13"/>
      <c r="AH68" s="194" t="b">
        <f>'0_Configuration'!$C$2</f>
        <v>1</v>
      </c>
      <c r="AI68" s="6"/>
      <c r="AJ68" s="194" t="b">
        <f>'0_Configuration'!$C$6</f>
        <v>0</v>
      </c>
      <c r="AK68" s="6" t="s">
        <v>1117</v>
      </c>
      <c r="AL68" s="194" t="b">
        <f>'0_Configuration'!$C$10</f>
        <v>0</v>
      </c>
      <c r="AM68" s="6" t="s">
        <v>1117</v>
      </c>
      <c r="AN68" s="194" t="b">
        <f>'0_Configuration'!$C$17</f>
        <v>0</v>
      </c>
      <c r="AO68" s="6">
        <f>_xlfn.XLOOKUP(Tab_Def_Flows[[#This Row],[ODYM_Good_Type]],Tab_Configuration[Value],Tab_Configuration[ODYM_ID],,0,)</f>
        <v>0</v>
      </c>
      <c r="AP68" s="194" t="b">
        <f>'0_Configuration'!$C$24</f>
        <v>0</v>
      </c>
      <c r="AQ68" s="6"/>
      <c r="AR68" s="194" t="b">
        <f>'0_Configuration'!$C$29</f>
        <v>1</v>
      </c>
      <c r="AS68" s="6" t="s">
        <v>1131</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F_01_01</v>
      </c>
      <c r="D69" s="188"/>
      <c r="E69" s="6"/>
      <c r="F69" s="138"/>
      <c r="G69" s="6" t="str">
        <f>_xlfn.XLOOKUP(F69,Tab_Def_Processes[Process_Name],Tab_Def_Processes[Process_ID],,0,)</f>
        <v>01</v>
      </c>
      <c r="H69" s="138"/>
      <c r="I69" s="9" t="str">
        <f>_xlfn.XLOOKUP(H69,Tab_Def_Processes[Process_Name],Tab_Def_Processes[Process_ID],,0,)</f>
        <v>01</v>
      </c>
      <c r="J69" s="138" t="s">
        <v>5</v>
      </c>
      <c r="K69" s="138" t="s">
        <v>5</v>
      </c>
      <c r="L69" s="138" t="s">
        <v>5</v>
      </c>
      <c r="M69" s="138" t="s">
        <v>5</v>
      </c>
      <c r="N69" s="138" t="s">
        <v>5</v>
      </c>
      <c r="O69" s="138" t="s">
        <v>5</v>
      </c>
      <c r="P69" s="6" t="str">
        <f>Tab_Def_Flows[[#This Row],[Flow_ID]]&amp;"_E1"</f>
        <v>F_01_01_E1</v>
      </c>
      <c r="R69" s="13"/>
      <c r="S69" s="6" t="str">
        <f>Tab_Def_Flows[[#This Row],[Flow_ID]]&amp;"_E2"</f>
        <v>F_01_01_E2</v>
      </c>
      <c r="T69" s="135"/>
      <c r="U69" s="13"/>
      <c r="V69" s="6" t="str">
        <f>Tab_Def_Flows[[#This Row],[Flow_ID]]&amp;"_E3"</f>
        <v>F_01_01_E3</v>
      </c>
      <c r="W69" s="135"/>
      <c r="X69" s="13"/>
      <c r="Y69" s="6" t="str">
        <f>Tab_Def_Flows[[#This Row],[Flow_ID]]&amp;"_E4"</f>
        <v>F_01_01_E4</v>
      </c>
      <c r="Z69" s="135"/>
      <c r="AA69" s="13"/>
      <c r="AB69" s="6" t="str">
        <f>Tab_Def_Flows[[#This Row],[Flow_ID]]&amp;"_E5"</f>
        <v>F_01_01_E5</v>
      </c>
      <c r="AC69" s="140"/>
      <c r="AD69" s="13"/>
      <c r="AE69" s="6" t="str">
        <f>Tab_Def_Flows[[#This Row],[Flow_ID]]&amp;"_E6"</f>
        <v>F_01_01_E6</v>
      </c>
      <c r="AF69" s="140"/>
      <c r="AG69" s="13"/>
      <c r="AH69" s="194" t="b">
        <f>'0_Configuration'!$C$2</f>
        <v>1</v>
      </c>
      <c r="AI69" s="6"/>
      <c r="AJ69" s="194" t="b">
        <f>'0_Configuration'!$C$6</f>
        <v>0</v>
      </c>
      <c r="AK69" s="6" t="s">
        <v>1117</v>
      </c>
      <c r="AL69" s="194" t="b">
        <f>'0_Configuration'!$C$10</f>
        <v>0</v>
      </c>
      <c r="AM69" s="6" t="s">
        <v>1117</v>
      </c>
      <c r="AN69" s="194" t="b">
        <f>'0_Configuration'!$C$17</f>
        <v>0</v>
      </c>
      <c r="AO69" s="6">
        <f>_xlfn.XLOOKUP(Tab_Def_Flows[[#This Row],[ODYM_Good_Type]],Tab_Configuration[Value],Tab_Configuration[ODYM_ID],,0,)</f>
        <v>0</v>
      </c>
      <c r="AP69" s="194" t="b">
        <f>'0_Configuration'!$C$24</f>
        <v>0</v>
      </c>
      <c r="AQ69" s="6"/>
      <c r="AR69" s="194" t="b">
        <f>'0_Configuration'!$C$29</f>
        <v>1</v>
      </c>
      <c r="AS69" s="6" t="s">
        <v>1131</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F_01_01</v>
      </c>
      <c r="D70" s="188"/>
      <c r="E70" s="6"/>
      <c r="F70" s="138"/>
      <c r="G70" s="6" t="str">
        <f>_xlfn.XLOOKUP(F70,Tab_Def_Processes[Process_Name],Tab_Def_Processes[Process_ID],,0,)</f>
        <v>01</v>
      </c>
      <c r="H70" s="138"/>
      <c r="I70" s="9" t="str">
        <f>_xlfn.XLOOKUP(H70,Tab_Def_Processes[Process_Name],Tab_Def_Processes[Process_ID],,0,)</f>
        <v>01</v>
      </c>
      <c r="J70" s="138" t="s">
        <v>5</v>
      </c>
      <c r="K70" s="138" t="s">
        <v>5</v>
      </c>
      <c r="L70" s="138" t="s">
        <v>5</v>
      </c>
      <c r="M70" s="138" t="s">
        <v>5</v>
      </c>
      <c r="N70" s="138" t="s">
        <v>5</v>
      </c>
      <c r="O70" s="138" t="s">
        <v>5</v>
      </c>
      <c r="P70" s="6" t="str">
        <f>Tab_Def_Flows[[#This Row],[Flow_ID]]&amp;"_E1"</f>
        <v>F_01_01_E1</v>
      </c>
      <c r="R70" s="13"/>
      <c r="S70" s="6" t="str">
        <f>Tab_Def_Flows[[#This Row],[Flow_ID]]&amp;"_E2"</f>
        <v>F_01_01_E2</v>
      </c>
      <c r="T70" s="135"/>
      <c r="U70" s="13"/>
      <c r="V70" s="6" t="str">
        <f>Tab_Def_Flows[[#This Row],[Flow_ID]]&amp;"_E3"</f>
        <v>F_01_01_E3</v>
      </c>
      <c r="W70" s="135"/>
      <c r="X70" s="13"/>
      <c r="Y70" s="6" t="str">
        <f>Tab_Def_Flows[[#This Row],[Flow_ID]]&amp;"_E4"</f>
        <v>F_01_01_E4</v>
      </c>
      <c r="Z70" s="135"/>
      <c r="AA70" s="13"/>
      <c r="AB70" s="6" t="str">
        <f>Tab_Def_Flows[[#This Row],[Flow_ID]]&amp;"_E5"</f>
        <v>F_01_01_E5</v>
      </c>
      <c r="AC70" s="140"/>
      <c r="AD70" s="13"/>
      <c r="AE70" s="6" t="str">
        <f>Tab_Def_Flows[[#This Row],[Flow_ID]]&amp;"_E6"</f>
        <v>F_01_01_E6</v>
      </c>
      <c r="AF70" s="140"/>
      <c r="AG70" s="13"/>
      <c r="AH70" s="194" t="b">
        <f>'0_Configuration'!$C$2</f>
        <v>1</v>
      </c>
      <c r="AI70" s="6"/>
      <c r="AJ70" s="194" t="b">
        <f>'0_Configuration'!$C$6</f>
        <v>0</v>
      </c>
      <c r="AK70" s="6" t="s">
        <v>1117</v>
      </c>
      <c r="AL70" s="194" t="b">
        <f>'0_Configuration'!$C$10</f>
        <v>0</v>
      </c>
      <c r="AM70" s="6" t="s">
        <v>1117</v>
      </c>
      <c r="AN70" s="194" t="b">
        <f>'0_Configuration'!$C$17</f>
        <v>0</v>
      </c>
      <c r="AO70" s="6">
        <f>_xlfn.XLOOKUP(Tab_Def_Flows[[#This Row],[ODYM_Good_Type]],Tab_Configuration[Value],Tab_Configuration[ODYM_ID],,0,)</f>
        <v>0</v>
      </c>
      <c r="AP70" s="194" t="b">
        <f>'0_Configuration'!$C$24</f>
        <v>0</v>
      </c>
      <c r="AQ70" s="6"/>
      <c r="AR70" s="194" t="b">
        <f>'0_Configuration'!$C$29</f>
        <v>1</v>
      </c>
      <c r="AS70" s="6" t="s">
        <v>1131</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F_01_01</v>
      </c>
      <c r="D71" s="188"/>
      <c r="E71" s="6"/>
      <c r="F71" s="138"/>
      <c r="G71" s="6" t="str">
        <f>_xlfn.XLOOKUP(F71,Tab_Def_Processes[Process_Name],Tab_Def_Processes[Process_ID],,0,)</f>
        <v>01</v>
      </c>
      <c r="H71" s="138"/>
      <c r="I71" s="9" t="str">
        <f>_xlfn.XLOOKUP(H71,Tab_Def_Processes[Process_Name],Tab_Def_Processes[Process_ID],,0,)</f>
        <v>01</v>
      </c>
      <c r="J71" s="138" t="s">
        <v>5</v>
      </c>
      <c r="K71" s="138" t="s">
        <v>5</v>
      </c>
      <c r="L71" s="138" t="s">
        <v>5</v>
      </c>
      <c r="M71" s="138" t="s">
        <v>5</v>
      </c>
      <c r="N71" s="138" t="s">
        <v>5</v>
      </c>
      <c r="O71" s="138" t="s">
        <v>5</v>
      </c>
      <c r="P71" s="6" t="str">
        <f>Tab_Def_Flows[[#This Row],[Flow_ID]]&amp;"_E1"</f>
        <v>F_01_01_E1</v>
      </c>
      <c r="R71" s="13"/>
      <c r="S71" s="6" t="str">
        <f>Tab_Def_Flows[[#This Row],[Flow_ID]]&amp;"_E2"</f>
        <v>F_01_01_E2</v>
      </c>
      <c r="T71" s="135"/>
      <c r="U71" s="13"/>
      <c r="V71" s="6" t="str">
        <f>Tab_Def_Flows[[#This Row],[Flow_ID]]&amp;"_E3"</f>
        <v>F_01_01_E3</v>
      </c>
      <c r="W71" s="135"/>
      <c r="X71" s="13"/>
      <c r="Y71" s="6" t="str">
        <f>Tab_Def_Flows[[#This Row],[Flow_ID]]&amp;"_E4"</f>
        <v>F_01_01_E4</v>
      </c>
      <c r="Z71" s="135"/>
      <c r="AA71" s="13"/>
      <c r="AB71" s="6" t="str">
        <f>Tab_Def_Flows[[#This Row],[Flow_ID]]&amp;"_E5"</f>
        <v>F_01_01_E5</v>
      </c>
      <c r="AC71" s="140"/>
      <c r="AD71" s="13"/>
      <c r="AE71" s="6" t="str">
        <f>Tab_Def_Flows[[#This Row],[Flow_ID]]&amp;"_E6"</f>
        <v>F_01_01_E6</v>
      </c>
      <c r="AF71" s="140"/>
      <c r="AG71" s="13"/>
      <c r="AH71" s="194" t="b">
        <f>'0_Configuration'!$C$2</f>
        <v>1</v>
      </c>
      <c r="AI71" s="6"/>
      <c r="AJ71" s="194" t="b">
        <f>'0_Configuration'!$C$6</f>
        <v>0</v>
      </c>
      <c r="AK71" s="6" t="s">
        <v>1117</v>
      </c>
      <c r="AL71" s="194" t="b">
        <f>'0_Configuration'!$C$10</f>
        <v>0</v>
      </c>
      <c r="AM71" s="6" t="s">
        <v>1117</v>
      </c>
      <c r="AN71" s="194" t="b">
        <f>'0_Configuration'!$C$17</f>
        <v>0</v>
      </c>
      <c r="AO71" s="6">
        <f>_xlfn.XLOOKUP(Tab_Def_Flows[[#This Row],[ODYM_Good_Type]],Tab_Configuration[Value],Tab_Configuration[ODYM_ID],,0,)</f>
        <v>0</v>
      </c>
      <c r="AP71" s="194" t="b">
        <f>'0_Configuration'!$C$24</f>
        <v>0</v>
      </c>
      <c r="AQ71" s="6"/>
      <c r="AR71" s="194" t="b">
        <f>'0_Configuration'!$C$29</f>
        <v>1</v>
      </c>
      <c r="AS71" s="6" t="s">
        <v>1131</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F_01_01</v>
      </c>
      <c r="D72" s="188"/>
      <c r="E72" s="6"/>
      <c r="F72" s="138"/>
      <c r="G72" s="6" t="str">
        <f>_xlfn.XLOOKUP(F72,Tab_Def_Processes[Process_Name],Tab_Def_Processes[Process_ID],,0,)</f>
        <v>01</v>
      </c>
      <c r="H72" s="138"/>
      <c r="I72" s="9" t="str">
        <f>_xlfn.XLOOKUP(H72,Tab_Def_Processes[Process_Name],Tab_Def_Processes[Process_ID],,0,)</f>
        <v>01</v>
      </c>
      <c r="J72" s="138" t="s">
        <v>5</v>
      </c>
      <c r="K72" s="138" t="s">
        <v>5</v>
      </c>
      <c r="L72" s="138" t="s">
        <v>5</v>
      </c>
      <c r="M72" s="138" t="s">
        <v>5</v>
      </c>
      <c r="N72" s="138" t="s">
        <v>5</v>
      </c>
      <c r="O72" s="138" t="s">
        <v>5</v>
      </c>
      <c r="P72" s="6" t="str">
        <f>Tab_Def_Flows[[#This Row],[Flow_ID]]&amp;"_E1"</f>
        <v>F_01_01_E1</v>
      </c>
      <c r="R72" s="13"/>
      <c r="S72" s="6" t="str">
        <f>Tab_Def_Flows[[#This Row],[Flow_ID]]&amp;"_E2"</f>
        <v>F_01_01_E2</v>
      </c>
      <c r="T72" s="135"/>
      <c r="U72" s="13"/>
      <c r="V72" s="6" t="str">
        <f>Tab_Def_Flows[[#This Row],[Flow_ID]]&amp;"_E3"</f>
        <v>F_01_01_E3</v>
      </c>
      <c r="W72" s="135"/>
      <c r="X72" s="13"/>
      <c r="Y72" s="6" t="str">
        <f>Tab_Def_Flows[[#This Row],[Flow_ID]]&amp;"_E4"</f>
        <v>F_01_01_E4</v>
      </c>
      <c r="Z72" s="135"/>
      <c r="AA72" s="13"/>
      <c r="AB72" s="6" t="str">
        <f>Tab_Def_Flows[[#This Row],[Flow_ID]]&amp;"_E5"</f>
        <v>F_01_01_E5</v>
      </c>
      <c r="AC72" s="140"/>
      <c r="AD72" s="13"/>
      <c r="AE72" s="6" t="str">
        <f>Tab_Def_Flows[[#This Row],[Flow_ID]]&amp;"_E6"</f>
        <v>F_01_01_E6</v>
      </c>
      <c r="AF72" s="140"/>
      <c r="AG72" s="13"/>
      <c r="AH72" s="194" t="b">
        <f>'0_Configuration'!$C$2</f>
        <v>1</v>
      </c>
      <c r="AI72" s="6"/>
      <c r="AJ72" s="194" t="b">
        <f>'0_Configuration'!$C$6</f>
        <v>0</v>
      </c>
      <c r="AK72" s="6" t="s">
        <v>1117</v>
      </c>
      <c r="AL72" s="194" t="b">
        <f>'0_Configuration'!$C$10</f>
        <v>0</v>
      </c>
      <c r="AM72" s="6" t="s">
        <v>1117</v>
      </c>
      <c r="AN72" s="194" t="b">
        <f>'0_Configuration'!$C$17</f>
        <v>0</v>
      </c>
      <c r="AO72" s="6">
        <f>_xlfn.XLOOKUP(Tab_Def_Flows[[#This Row],[ODYM_Good_Type]],Tab_Configuration[Value],Tab_Configuration[ODYM_ID],,0,)</f>
        <v>0</v>
      </c>
      <c r="AP72" s="194" t="b">
        <f>'0_Configuration'!$C$24</f>
        <v>0</v>
      </c>
      <c r="AQ72" s="6"/>
      <c r="AR72" s="194" t="b">
        <f>'0_Configuration'!$C$29</f>
        <v>1</v>
      </c>
      <c r="AS72" s="6" t="s">
        <v>1131</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F_01_01</v>
      </c>
      <c r="D73" s="188"/>
      <c r="E73" s="6"/>
      <c r="F73" s="138"/>
      <c r="G73" s="6" t="str">
        <f>_xlfn.XLOOKUP(F73,Tab_Def_Processes[Process_Name],Tab_Def_Processes[Process_ID],,0,)</f>
        <v>01</v>
      </c>
      <c r="H73" s="138"/>
      <c r="I73" s="9" t="str">
        <f>_xlfn.XLOOKUP(H73,Tab_Def_Processes[Process_Name],Tab_Def_Processes[Process_ID],,0,)</f>
        <v>01</v>
      </c>
      <c r="J73" s="138" t="s">
        <v>5</v>
      </c>
      <c r="K73" s="138" t="s">
        <v>5</v>
      </c>
      <c r="L73" s="138" t="s">
        <v>5</v>
      </c>
      <c r="M73" s="138" t="s">
        <v>5</v>
      </c>
      <c r="N73" s="138" t="s">
        <v>5</v>
      </c>
      <c r="O73" s="138" t="s">
        <v>5</v>
      </c>
      <c r="P73" s="6" t="str">
        <f>Tab_Def_Flows[[#This Row],[Flow_ID]]&amp;"_E1"</f>
        <v>F_01_01_E1</v>
      </c>
      <c r="R73" s="13"/>
      <c r="S73" s="6" t="str">
        <f>Tab_Def_Flows[[#This Row],[Flow_ID]]&amp;"_E2"</f>
        <v>F_01_01_E2</v>
      </c>
      <c r="T73" s="135"/>
      <c r="U73" s="13"/>
      <c r="V73" s="6" t="str">
        <f>Tab_Def_Flows[[#This Row],[Flow_ID]]&amp;"_E3"</f>
        <v>F_01_01_E3</v>
      </c>
      <c r="W73" s="135"/>
      <c r="X73" s="13"/>
      <c r="Y73" s="6" t="str">
        <f>Tab_Def_Flows[[#This Row],[Flow_ID]]&amp;"_E4"</f>
        <v>F_01_01_E4</v>
      </c>
      <c r="Z73" s="135"/>
      <c r="AA73" s="13"/>
      <c r="AB73" s="6" t="str">
        <f>Tab_Def_Flows[[#This Row],[Flow_ID]]&amp;"_E5"</f>
        <v>F_01_01_E5</v>
      </c>
      <c r="AC73" s="140"/>
      <c r="AD73" s="13"/>
      <c r="AE73" s="6" t="str">
        <f>Tab_Def_Flows[[#This Row],[Flow_ID]]&amp;"_E6"</f>
        <v>F_01_01_E6</v>
      </c>
      <c r="AF73" s="140"/>
      <c r="AG73" s="13"/>
      <c r="AH73" s="194" t="b">
        <f>'0_Configuration'!$C$2</f>
        <v>1</v>
      </c>
      <c r="AI73" s="6"/>
      <c r="AJ73" s="194" t="b">
        <f>'0_Configuration'!$C$6</f>
        <v>0</v>
      </c>
      <c r="AK73" s="6" t="s">
        <v>1117</v>
      </c>
      <c r="AL73" s="194" t="b">
        <f>'0_Configuration'!$C$10</f>
        <v>0</v>
      </c>
      <c r="AM73" s="6" t="s">
        <v>1117</v>
      </c>
      <c r="AN73" s="194" t="b">
        <f>'0_Configuration'!$C$17</f>
        <v>0</v>
      </c>
      <c r="AO73" s="6">
        <f>_xlfn.XLOOKUP(Tab_Def_Flows[[#This Row],[ODYM_Good_Type]],Tab_Configuration[Value],Tab_Configuration[ODYM_ID],,0,)</f>
        <v>0</v>
      </c>
      <c r="AP73" s="194" t="b">
        <f>'0_Configuration'!$C$24</f>
        <v>0</v>
      </c>
      <c r="AQ73" s="6"/>
      <c r="AR73" s="194" t="b">
        <f>'0_Configuration'!$C$29</f>
        <v>1</v>
      </c>
      <c r="AS73" s="6" t="s">
        <v>1131</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F_01_01</v>
      </c>
      <c r="D74" s="7"/>
      <c r="E74" s="6"/>
      <c r="F74" s="138"/>
      <c r="G74" s="6" t="str">
        <f>_xlfn.XLOOKUP(F74,Tab_Def_Processes[Process_Name],Tab_Def_Processes[Process_ID],,0,)</f>
        <v>01</v>
      </c>
      <c r="H74" s="138"/>
      <c r="I74" s="9" t="str">
        <f>_xlfn.XLOOKUP(H74,Tab_Def_Processes[Process_Name],Tab_Def_Processes[Process_ID],,0,)</f>
        <v>01</v>
      </c>
      <c r="J74" s="138" t="s">
        <v>5</v>
      </c>
      <c r="K74" s="138" t="s">
        <v>5</v>
      </c>
      <c r="L74" s="138" t="s">
        <v>5</v>
      </c>
      <c r="M74" s="138" t="s">
        <v>5</v>
      </c>
      <c r="N74" s="138" t="s">
        <v>5</v>
      </c>
      <c r="O74" s="138" t="s">
        <v>5</v>
      </c>
      <c r="P74" s="6" t="str">
        <f>Tab_Def_Flows[[#This Row],[Flow_ID]]&amp;"_E1"</f>
        <v>F_01_01_E1</v>
      </c>
      <c r="R74" s="13"/>
      <c r="S74" s="6" t="str">
        <f>Tab_Def_Flows[[#This Row],[Flow_ID]]&amp;"_E2"</f>
        <v>F_01_01_E2</v>
      </c>
      <c r="T74" s="135"/>
      <c r="U74" s="13"/>
      <c r="V74" s="6" t="str">
        <f>Tab_Def_Flows[[#This Row],[Flow_ID]]&amp;"_E3"</f>
        <v>F_01_01_E3</v>
      </c>
      <c r="W74" s="135"/>
      <c r="X74" s="13"/>
      <c r="Y74" s="6" t="str">
        <f>Tab_Def_Flows[[#This Row],[Flow_ID]]&amp;"_E4"</f>
        <v>F_01_01_E4</v>
      </c>
      <c r="Z74" s="135"/>
      <c r="AA74" s="13"/>
      <c r="AB74" s="6" t="str">
        <f>Tab_Def_Flows[[#This Row],[Flow_ID]]&amp;"_E5"</f>
        <v>F_01_01_E5</v>
      </c>
      <c r="AC74" s="140"/>
      <c r="AD74" s="13"/>
      <c r="AE74" s="6" t="str">
        <f>Tab_Def_Flows[[#This Row],[Flow_ID]]&amp;"_E6"</f>
        <v>F_01_01_E6</v>
      </c>
      <c r="AF74" s="140"/>
      <c r="AG74" s="13"/>
      <c r="AH74" s="194" t="b">
        <f>'0_Configuration'!$C$2</f>
        <v>1</v>
      </c>
      <c r="AI74" s="6"/>
      <c r="AJ74" s="194" t="b">
        <f>'0_Configuration'!$C$6</f>
        <v>0</v>
      </c>
      <c r="AK74" s="6" t="s">
        <v>1117</v>
      </c>
      <c r="AL74" s="194" t="b">
        <f>'0_Configuration'!$C$10</f>
        <v>0</v>
      </c>
      <c r="AM74" s="6" t="s">
        <v>1117</v>
      </c>
      <c r="AN74" s="194" t="b">
        <f>'0_Configuration'!$C$17</f>
        <v>0</v>
      </c>
      <c r="AO74" s="6">
        <f>_xlfn.XLOOKUP(Tab_Def_Flows[[#This Row],[ODYM_Good_Type]],Tab_Configuration[Value],Tab_Configuration[ODYM_ID],,0,)</f>
        <v>0</v>
      </c>
      <c r="AP74" s="194" t="b">
        <f>'0_Configuration'!$C$24</f>
        <v>0</v>
      </c>
      <c r="AQ74" s="6"/>
      <c r="AR74" s="194" t="b">
        <f>'0_Configuration'!$C$29</f>
        <v>1</v>
      </c>
      <c r="AS74" s="6" t="s">
        <v>1131</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F_01_01</v>
      </c>
      <c r="D75" s="7"/>
      <c r="E75" s="6"/>
      <c r="F75" s="138"/>
      <c r="G75" s="6" t="str">
        <f>_xlfn.XLOOKUP(F75,Tab_Def_Processes[Process_Name],Tab_Def_Processes[Process_ID],,0,)</f>
        <v>01</v>
      </c>
      <c r="H75" s="138"/>
      <c r="I75" s="9" t="str">
        <f>_xlfn.XLOOKUP(H75,Tab_Def_Processes[Process_Name],Tab_Def_Processes[Process_ID],,0,)</f>
        <v>01</v>
      </c>
      <c r="J75" s="138" t="s">
        <v>5</v>
      </c>
      <c r="K75" s="138" t="s">
        <v>5</v>
      </c>
      <c r="L75" s="138" t="s">
        <v>5</v>
      </c>
      <c r="M75" s="138" t="s">
        <v>5</v>
      </c>
      <c r="N75" s="138" t="s">
        <v>5</v>
      </c>
      <c r="O75" s="138" t="s">
        <v>5</v>
      </c>
      <c r="P75" s="6" t="str">
        <f>Tab_Def_Flows[[#This Row],[Flow_ID]]&amp;"_E1"</f>
        <v>F_01_01_E1</v>
      </c>
      <c r="R75" s="13"/>
      <c r="S75" s="6" t="str">
        <f>Tab_Def_Flows[[#This Row],[Flow_ID]]&amp;"_E2"</f>
        <v>F_01_01_E2</v>
      </c>
      <c r="T75" s="135"/>
      <c r="U75" s="13"/>
      <c r="V75" s="6" t="str">
        <f>Tab_Def_Flows[[#This Row],[Flow_ID]]&amp;"_E3"</f>
        <v>F_01_01_E3</v>
      </c>
      <c r="W75" s="135"/>
      <c r="X75" s="13"/>
      <c r="Y75" s="6" t="str">
        <f>Tab_Def_Flows[[#This Row],[Flow_ID]]&amp;"_E4"</f>
        <v>F_01_01_E4</v>
      </c>
      <c r="Z75" s="135"/>
      <c r="AA75" s="13"/>
      <c r="AB75" s="6" t="str">
        <f>Tab_Def_Flows[[#This Row],[Flow_ID]]&amp;"_E5"</f>
        <v>F_01_01_E5</v>
      </c>
      <c r="AC75" s="140"/>
      <c r="AD75" s="13"/>
      <c r="AE75" s="6" t="str">
        <f>Tab_Def_Flows[[#This Row],[Flow_ID]]&amp;"_E6"</f>
        <v>F_01_01_E6</v>
      </c>
      <c r="AF75" s="140"/>
      <c r="AG75" s="13"/>
      <c r="AH75" s="194" t="b">
        <f>'0_Configuration'!$C$2</f>
        <v>1</v>
      </c>
      <c r="AI75" s="6"/>
      <c r="AJ75" s="194" t="b">
        <f>'0_Configuration'!$C$6</f>
        <v>0</v>
      </c>
      <c r="AK75" s="6" t="s">
        <v>1117</v>
      </c>
      <c r="AL75" s="194" t="b">
        <f>'0_Configuration'!$C$10</f>
        <v>0</v>
      </c>
      <c r="AM75" s="6" t="s">
        <v>1117</v>
      </c>
      <c r="AN75" s="194" t="b">
        <f>'0_Configuration'!$C$17</f>
        <v>0</v>
      </c>
      <c r="AO75" s="6">
        <f>_xlfn.XLOOKUP(Tab_Def_Flows[[#This Row],[ODYM_Good_Type]],Tab_Configuration[Value],Tab_Configuration[ODYM_ID],,0,)</f>
        <v>0</v>
      </c>
      <c r="AP75" s="194" t="b">
        <f>'0_Configuration'!$C$24</f>
        <v>0</v>
      </c>
      <c r="AQ75" s="6"/>
      <c r="AR75" s="194" t="b">
        <f>'0_Configuration'!$C$29</f>
        <v>1</v>
      </c>
      <c r="AS75" s="6" t="s">
        <v>1131</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F_01_01</v>
      </c>
      <c r="D76" s="7"/>
      <c r="E76" s="6"/>
      <c r="F76" s="138"/>
      <c r="G76" s="6" t="str">
        <f>_xlfn.XLOOKUP(F76,Tab_Def_Processes[Process_Name],Tab_Def_Processes[Process_ID],,0,)</f>
        <v>01</v>
      </c>
      <c r="H76" s="138"/>
      <c r="I76" s="9" t="str">
        <f>_xlfn.XLOOKUP(H76,Tab_Def_Processes[Process_Name],Tab_Def_Processes[Process_ID],,0,)</f>
        <v>01</v>
      </c>
      <c r="J76" s="138" t="s">
        <v>5</v>
      </c>
      <c r="K76" s="138" t="s">
        <v>5</v>
      </c>
      <c r="L76" s="138" t="s">
        <v>5</v>
      </c>
      <c r="M76" s="138" t="s">
        <v>5</v>
      </c>
      <c r="N76" s="138" t="s">
        <v>5</v>
      </c>
      <c r="O76" s="138" t="s">
        <v>5</v>
      </c>
      <c r="P76" s="6" t="str">
        <f>Tab_Def_Flows[[#This Row],[Flow_ID]]&amp;"_E1"</f>
        <v>F_01_01_E1</v>
      </c>
      <c r="R76" s="13"/>
      <c r="S76" s="6" t="str">
        <f>Tab_Def_Flows[[#This Row],[Flow_ID]]&amp;"_E2"</f>
        <v>F_01_01_E2</v>
      </c>
      <c r="T76" s="135"/>
      <c r="U76" s="13"/>
      <c r="V76" s="6" t="str">
        <f>Tab_Def_Flows[[#This Row],[Flow_ID]]&amp;"_E3"</f>
        <v>F_01_01_E3</v>
      </c>
      <c r="W76" s="135"/>
      <c r="X76" s="13"/>
      <c r="Y76" s="6" t="str">
        <f>Tab_Def_Flows[[#This Row],[Flow_ID]]&amp;"_E4"</f>
        <v>F_01_01_E4</v>
      </c>
      <c r="Z76" s="135"/>
      <c r="AA76" s="13"/>
      <c r="AB76" s="6" t="str">
        <f>Tab_Def_Flows[[#This Row],[Flow_ID]]&amp;"_E5"</f>
        <v>F_01_01_E5</v>
      </c>
      <c r="AC76" s="140"/>
      <c r="AD76" s="13"/>
      <c r="AE76" s="6" t="str">
        <f>Tab_Def_Flows[[#This Row],[Flow_ID]]&amp;"_E6"</f>
        <v>F_01_01_E6</v>
      </c>
      <c r="AF76" s="140"/>
      <c r="AG76" s="13"/>
      <c r="AH76" s="194" t="b">
        <f>'0_Configuration'!$C$2</f>
        <v>1</v>
      </c>
      <c r="AI76" s="6"/>
      <c r="AJ76" s="194" t="b">
        <f>'0_Configuration'!$C$6</f>
        <v>0</v>
      </c>
      <c r="AK76" s="6" t="s">
        <v>1117</v>
      </c>
      <c r="AL76" s="194" t="b">
        <f>'0_Configuration'!$C$10</f>
        <v>0</v>
      </c>
      <c r="AM76" s="6" t="s">
        <v>1117</v>
      </c>
      <c r="AN76" s="194" t="b">
        <f>'0_Configuration'!$C$17</f>
        <v>0</v>
      </c>
      <c r="AO76" s="6">
        <f>_xlfn.XLOOKUP(Tab_Def_Flows[[#This Row],[ODYM_Good_Type]],Tab_Configuration[Value],Tab_Configuration[ODYM_ID],,0,)</f>
        <v>0</v>
      </c>
      <c r="AP76" s="194" t="b">
        <f>'0_Configuration'!$C$24</f>
        <v>0</v>
      </c>
      <c r="AQ76" s="6"/>
      <c r="AR76" s="194" t="b">
        <f>'0_Configuration'!$C$29</f>
        <v>1</v>
      </c>
      <c r="AS76" s="6" t="s">
        <v>1131</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F_01_01</v>
      </c>
      <c r="D77" s="7"/>
      <c r="E77" s="6"/>
      <c r="F77" s="138"/>
      <c r="G77" s="6" t="str">
        <f>_xlfn.XLOOKUP(F77,Tab_Def_Processes[Process_Name],Tab_Def_Processes[Process_ID],,0,)</f>
        <v>01</v>
      </c>
      <c r="H77" s="138"/>
      <c r="I77" s="9" t="str">
        <f>_xlfn.XLOOKUP(H77,Tab_Def_Processes[Process_Name],Tab_Def_Processes[Process_ID],,0,)</f>
        <v>01</v>
      </c>
      <c r="J77" s="138" t="s">
        <v>5</v>
      </c>
      <c r="K77" s="138" t="s">
        <v>5</v>
      </c>
      <c r="L77" s="138" t="s">
        <v>5</v>
      </c>
      <c r="M77" s="138" t="s">
        <v>5</v>
      </c>
      <c r="N77" s="138" t="s">
        <v>5</v>
      </c>
      <c r="O77" s="138" t="s">
        <v>5</v>
      </c>
      <c r="P77" s="6" t="str">
        <f>Tab_Def_Flows[[#This Row],[Flow_ID]]&amp;"_E1"</f>
        <v>F_01_01_E1</v>
      </c>
      <c r="R77" s="13"/>
      <c r="S77" s="6" t="str">
        <f>Tab_Def_Flows[[#This Row],[Flow_ID]]&amp;"_E2"</f>
        <v>F_01_01_E2</v>
      </c>
      <c r="T77" s="135"/>
      <c r="U77" s="13"/>
      <c r="V77" s="6" t="str">
        <f>Tab_Def_Flows[[#This Row],[Flow_ID]]&amp;"_E3"</f>
        <v>F_01_01_E3</v>
      </c>
      <c r="W77" s="135"/>
      <c r="X77" s="13"/>
      <c r="Y77" s="6" t="str">
        <f>Tab_Def_Flows[[#This Row],[Flow_ID]]&amp;"_E4"</f>
        <v>F_01_01_E4</v>
      </c>
      <c r="Z77" s="135"/>
      <c r="AA77" s="13"/>
      <c r="AB77" s="6" t="str">
        <f>Tab_Def_Flows[[#This Row],[Flow_ID]]&amp;"_E5"</f>
        <v>F_01_01_E5</v>
      </c>
      <c r="AC77" s="140"/>
      <c r="AD77" s="13"/>
      <c r="AE77" s="6" t="str">
        <f>Tab_Def_Flows[[#This Row],[Flow_ID]]&amp;"_E6"</f>
        <v>F_01_01_E6</v>
      </c>
      <c r="AF77" s="140"/>
      <c r="AG77" s="13"/>
      <c r="AH77" s="194" t="b">
        <f>'0_Configuration'!$C$2</f>
        <v>1</v>
      </c>
      <c r="AI77" s="6"/>
      <c r="AJ77" s="194" t="b">
        <f>'0_Configuration'!$C$6</f>
        <v>0</v>
      </c>
      <c r="AK77" s="6" t="s">
        <v>1117</v>
      </c>
      <c r="AL77" s="194" t="b">
        <f>'0_Configuration'!$C$10</f>
        <v>0</v>
      </c>
      <c r="AM77" s="6" t="s">
        <v>1117</v>
      </c>
      <c r="AN77" s="194" t="b">
        <f>'0_Configuration'!$C$17</f>
        <v>0</v>
      </c>
      <c r="AO77" s="6">
        <f>_xlfn.XLOOKUP(Tab_Def_Flows[[#This Row],[ODYM_Good_Type]],Tab_Configuration[Value],Tab_Configuration[ODYM_ID],,0,)</f>
        <v>0</v>
      </c>
      <c r="AP77" s="194" t="b">
        <f>'0_Configuration'!$C$24</f>
        <v>0</v>
      </c>
      <c r="AQ77" s="6"/>
      <c r="AR77" s="194" t="b">
        <f>'0_Configuration'!$C$29</f>
        <v>1</v>
      </c>
      <c r="AS77" s="6" t="s">
        <v>1131</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F_01_01</v>
      </c>
      <c r="D78" s="7"/>
      <c r="E78" s="6"/>
      <c r="F78" s="138"/>
      <c r="G78" s="6" t="str">
        <f>_xlfn.XLOOKUP(F78,Tab_Def_Processes[Process_Name],Tab_Def_Processes[Process_ID],,0,)</f>
        <v>01</v>
      </c>
      <c r="H78" s="138"/>
      <c r="I78" s="9" t="str">
        <f>_xlfn.XLOOKUP(H78,Tab_Def_Processes[Process_Name],Tab_Def_Processes[Process_ID],,0,)</f>
        <v>01</v>
      </c>
      <c r="J78" s="138" t="s">
        <v>5</v>
      </c>
      <c r="K78" s="138" t="s">
        <v>5</v>
      </c>
      <c r="L78" s="138" t="s">
        <v>5</v>
      </c>
      <c r="M78" s="138" t="s">
        <v>5</v>
      </c>
      <c r="N78" s="138" t="s">
        <v>5</v>
      </c>
      <c r="O78" s="138" t="s">
        <v>5</v>
      </c>
      <c r="P78" s="6" t="str">
        <f>Tab_Def_Flows[[#This Row],[Flow_ID]]&amp;"_E1"</f>
        <v>F_01_01_E1</v>
      </c>
      <c r="R78" s="13"/>
      <c r="S78" s="6" t="str">
        <f>Tab_Def_Flows[[#This Row],[Flow_ID]]&amp;"_E2"</f>
        <v>F_01_01_E2</v>
      </c>
      <c r="T78" s="135"/>
      <c r="U78" s="13"/>
      <c r="V78" s="6" t="str">
        <f>Tab_Def_Flows[[#This Row],[Flow_ID]]&amp;"_E3"</f>
        <v>F_01_01_E3</v>
      </c>
      <c r="W78" s="135"/>
      <c r="X78" s="13"/>
      <c r="Y78" s="6" t="str">
        <f>Tab_Def_Flows[[#This Row],[Flow_ID]]&amp;"_E4"</f>
        <v>F_01_01_E4</v>
      </c>
      <c r="Z78" s="135"/>
      <c r="AA78" s="13"/>
      <c r="AB78" s="6" t="str">
        <f>Tab_Def_Flows[[#This Row],[Flow_ID]]&amp;"_E5"</f>
        <v>F_01_01_E5</v>
      </c>
      <c r="AC78" s="140"/>
      <c r="AD78" s="13"/>
      <c r="AE78" s="6" t="str">
        <f>Tab_Def_Flows[[#This Row],[Flow_ID]]&amp;"_E6"</f>
        <v>F_01_01_E6</v>
      </c>
      <c r="AF78" s="140"/>
      <c r="AG78" s="13"/>
      <c r="AH78" s="194" t="b">
        <f>'0_Configuration'!$C$2</f>
        <v>1</v>
      </c>
      <c r="AI78" s="6"/>
      <c r="AJ78" s="194" t="b">
        <f>'0_Configuration'!$C$6</f>
        <v>0</v>
      </c>
      <c r="AK78" s="6" t="s">
        <v>1117</v>
      </c>
      <c r="AL78" s="194" t="b">
        <f>'0_Configuration'!$C$10</f>
        <v>0</v>
      </c>
      <c r="AM78" s="6" t="s">
        <v>1117</v>
      </c>
      <c r="AN78" s="194" t="b">
        <f>'0_Configuration'!$C$17</f>
        <v>0</v>
      </c>
      <c r="AO78" s="6">
        <f>_xlfn.XLOOKUP(Tab_Def_Flows[[#This Row],[ODYM_Good_Type]],Tab_Configuration[Value],Tab_Configuration[ODYM_ID],,0,)</f>
        <v>0</v>
      </c>
      <c r="AP78" s="194" t="b">
        <f>'0_Configuration'!$C$24</f>
        <v>0</v>
      </c>
      <c r="AQ78" s="6"/>
      <c r="AR78" s="194" t="b">
        <f>'0_Configuration'!$C$29</f>
        <v>1</v>
      </c>
      <c r="AS78" s="6" t="s">
        <v>1131</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F_01_01</v>
      </c>
      <c r="D79" s="7"/>
      <c r="E79" s="6"/>
      <c r="F79" s="138"/>
      <c r="G79" s="6" t="str">
        <f>_xlfn.XLOOKUP(F79,Tab_Def_Processes[Process_Name],Tab_Def_Processes[Process_ID],,0,)</f>
        <v>01</v>
      </c>
      <c r="H79" s="138"/>
      <c r="I79" s="9" t="str">
        <f>_xlfn.XLOOKUP(H79,Tab_Def_Processes[Process_Name],Tab_Def_Processes[Process_ID],,0,)</f>
        <v>01</v>
      </c>
      <c r="J79" s="138" t="s">
        <v>5</v>
      </c>
      <c r="K79" s="138" t="s">
        <v>5</v>
      </c>
      <c r="L79" s="138" t="s">
        <v>5</v>
      </c>
      <c r="M79" s="138" t="s">
        <v>5</v>
      </c>
      <c r="N79" s="138" t="s">
        <v>5</v>
      </c>
      <c r="O79" s="138" t="s">
        <v>5</v>
      </c>
      <c r="P79" s="6" t="str">
        <f>Tab_Def_Flows[[#This Row],[Flow_ID]]&amp;"_E1"</f>
        <v>F_01_01_E1</v>
      </c>
      <c r="R79" s="13"/>
      <c r="S79" s="6" t="str">
        <f>Tab_Def_Flows[[#This Row],[Flow_ID]]&amp;"_E2"</f>
        <v>F_01_01_E2</v>
      </c>
      <c r="T79" s="135"/>
      <c r="U79" s="13"/>
      <c r="V79" s="6" t="str">
        <f>Tab_Def_Flows[[#This Row],[Flow_ID]]&amp;"_E3"</f>
        <v>F_01_01_E3</v>
      </c>
      <c r="W79" s="135"/>
      <c r="X79" s="13"/>
      <c r="Y79" s="6" t="str">
        <f>Tab_Def_Flows[[#This Row],[Flow_ID]]&amp;"_E4"</f>
        <v>F_01_01_E4</v>
      </c>
      <c r="Z79" s="135"/>
      <c r="AA79" s="13"/>
      <c r="AB79" s="6" t="str">
        <f>Tab_Def_Flows[[#This Row],[Flow_ID]]&amp;"_E5"</f>
        <v>F_01_01_E5</v>
      </c>
      <c r="AC79" s="140"/>
      <c r="AD79" s="13"/>
      <c r="AE79" s="6" t="str">
        <f>Tab_Def_Flows[[#This Row],[Flow_ID]]&amp;"_E6"</f>
        <v>F_01_01_E6</v>
      </c>
      <c r="AF79" s="140"/>
      <c r="AG79" s="13"/>
      <c r="AH79" s="194" t="b">
        <f>'0_Configuration'!$C$2</f>
        <v>1</v>
      </c>
      <c r="AI79" s="6"/>
      <c r="AJ79" s="194" t="b">
        <f>'0_Configuration'!$C$6</f>
        <v>0</v>
      </c>
      <c r="AK79" s="6" t="s">
        <v>1117</v>
      </c>
      <c r="AL79" s="194" t="b">
        <f>'0_Configuration'!$C$10</f>
        <v>0</v>
      </c>
      <c r="AM79" s="6" t="s">
        <v>1117</v>
      </c>
      <c r="AN79" s="194" t="b">
        <f>'0_Configuration'!$C$17</f>
        <v>0</v>
      </c>
      <c r="AO79" s="6">
        <f>_xlfn.XLOOKUP(Tab_Def_Flows[[#This Row],[ODYM_Good_Type]],Tab_Configuration[Value],Tab_Configuration[ODYM_ID],,0,)</f>
        <v>0</v>
      </c>
      <c r="AP79" s="194" t="b">
        <f>'0_Configuration'!$C$24</f>
        <v>0</v>
      </c>
      <c r="AQ79" s="6"/>
      <c r="AR79" s="194" t="b">
        <f>'0_Configuration'!$C$29</f>
        <v>1</v>
      </c>
      <c r="AS79" s="6" t="s">
        <v>1131</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F_01_01</v>
      </c>
      <c r="D80" s="7"/>
      <c r="E80" s="6"/>
      <c r="F80" s="138"/>
      <c r="G80" s="6" t="str">
        <f>_xlfn.XLOOKUP(F80,Tab_Def_Processes[Process_Name],Tab_Def_Processes[Process_ID],,0,)</f>
        <v>01</v>
      </c>
      <c r="H80" s="138"/>
      <c r="I80" s="9" t="str">
        <f>_xlfn.XLOOKUP(H80,Tab_Def_Processes[Process_Name],Tab_Def_Processes[Process_ID],,0,)</f>
        <v>01</v>
      </c>
      <c r="J80" s="138" t="s">
        <v>5</v>
      </c>
      <c r="K80" s="138" t="s">
        <v>5</v>
      </c>
      <c r="L80" s="138" t="s">
        <v>5</v>
      </c>
      <c r="M80" s="138" t="s">
        <v>5</v>
      </c>
      <c r="N80" s="138" t="s">
        <v>5</v>
      </c>
      <c r="O80" s="138" t="s">
        <v>5</v>
      </c>
      <c r="P80" s="6" t="str">
        <f>Tab_Def_Flows[[#This Row],[Flow_ID]]&amp;"_E1"</f>
        <v>F_01_01_E1</v>
      </c>
      <c r="R80" s="13"/>
      <c r="S80" s="6" t="str">
        <f>Tab_Def_Flows[[#This Row],[Flow_ID]]&amp;"_E2"</f>
        <v>F_01_01_E2</v>
      </c>
      <c r="T80" s="135"/>
      <c r="U80" s="13"/>
      <c r="V80" s="6" t="str">
        <f>Tab_Def_Flows[[#This Row],[Flow_ID]]&amp;"_E3"</f>
        <v>F_01_01_E3</v>
      </c>
      <c r="W80" s="135"/>
      <c r="X80" s="13"/>
      <c r="Y80" s="6" t="str">
        <f>Tab_Def_Flows[[#This Row],[Flow_ID]]&amp;"_E4"</f>
        <v>F_01_01_E4</v>
      </c>
      <c r="Z80" s="135"/>
      <c r="AA80" s="13"/>
      <c r="AB80" s="6" t="str">
        <f>Tab_Def_Flows[[#This Row],[Flow_ID]]&amp;"_E5"</f>
        <v>F_01_01_E5</v>
      </c>
      <c r="AC80" s="140"/>
      <c r="AD80" s="13"/>
      <c r="AE80" s="6" t="str">
        <f>Tab_Def_Flows[[#This Row],[Flow_ID]]&amp;"_E6"</f>
        <v>F_01_01_E6</v>
      </c>
      <c r="AF80" s="140"/>
      <c r="AG80" s="13"/>
      <c r="AH80" s="194" t="b">
        <f>'0_Configuration'!$C$2</f>
        <v>1</v>
      </c>
      <c r="AI80" s="6"/>
      <c r="AJ80" s="194" t="b">
        <f>'0_Configuration'!$C$6</f>
        <v>0</v>
      </c>
      <c r="AK80" s="6" t="s">
        <v>1117</v>
      </c>
      <c r="AL80" s="194" t="b">
        <f>'0_Configuration'!$C$10</f>
        <v>0</v>
      </c>
      <c r="AM80" s="6" t="s">
        <v>1117</v>
      </c>
      <c r="AN80" s="194" t="b">
        <f>'0_Configuration'!$C$17</f>
        <v>0</v>
      </c>
      <c r="AO80" s="6">
        <f>_xlfn.XLOOKUP(Tab_Def_Flows[[#This Row],[ODYM_Good_Type]],Tab_Configuration[Value],Tab_Configuration[ODYM_ID],,0,)</f>
        <v>0</v>
      </c>
      <c r="AP80" s="194" t="b">
        <f>'0_Configuration'!$C$24</f>
        <v>0</v>
      </c>
      <c r="AQ80" s="6"/>
      <c r="AR80" s="194" t="b">
        <f>'0_Configuration'!$C$29</f>
        <v>1</v>
      </c>
      <c r="AS80" s="6" t="s">
        <v>1131</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F_01_01</v>
      </c>
      <c r="D81" s="7"/>
      <c r="E81" s="6"/>
      <c r="F81" s="138"/>
      <c r="G81" s="6" t="str">
        <f>_xlfn.XLOOKUP(F81,Tab_Def_Processes[Process_Name],Tab_Def_Processes[Process_ID],,0,)</f>
        <v>01</v>
      </c>
      <c r="H81" s="138"/>
      <c r="I81" s="9" t="str">
        <f>_xlfn.XLOOKUP(H81,Tab_Def_Processes[Process_Name],Tab_Def_Processes[Process_ID],,0,)</f>
        <v>01</v>
      </c>
      <c r="J81" s="138" t="s">
        <v>5</v>
      </c>
      <c r="K81" s="138" t="s">
        <v>5</v>
      </c>
      <c r="L81" s="138" t="s">
        <v>5</v>
      </c>
      <c r="M81" s="138" t="s">
        <v>5</v>
      </c>
      <c r="N81" s="138" t="s">
        <v>5</v>
      </c>
      <c r="O81" s="138" t="s">
        <v>5</v>
      </c>
      <c r="P81" s="6" t="str">
        <f>Tab_Def_Flows[[#This Row],[Flow_ID]]&amp;"_E1"</f>
        <v>F_01_01_E1</v>
      </c>
      <c r="R81" s="13"/>
      <c r="S81" s="6" t="str">
        <f>Tab_Def_Flows[[#This Row],[Flow_ID]]&amp;"_E2"</f>
        <v>F_01_01_E2</v>
      </c>
      <c r="T81" s="135"/>
      <c r="U81" s="13"/>
      <c r="V81" s="6" t="str">
        <f>Tab_Def_Flows[[#This Row],[Flow_ID]]&amp;"_E3"</f>
        <v>F_01_01_E3</v>
      </c>
      <c r="W81" s="135"/>
      <c r="X81" s="13"/>
      <c r="Y81" s="6" t="str">
        <f>Tab_Def_Flows[[#This Row],[Flow_ID]]&amp;"_E4"</f>
        <v>F_01_01_E4</v>
      </c>
      <c r="Z81" s="135"/>
      <c r="AA81" s="13"/>
      <c r="AB81" s="6" t="str">
        <f>Tab_Def_Flows[[#This Row],[Flow_ID]]&amp;"_E5"</f>
        <v>F_01_01_E5</v>
      </c>
      <c r="AC81" s="140"/>
      <c r="AD81" s="13"/>
      <c r="AE81" s="6" t="str">
        <f>Tab_Def_Flows[[#This Row],[Flow_ID]]&amp;"_E6"</f>
        <v>F_01_01_E6</v>
      </c>
      <c r="AF81" s="140"/>
      <c r="AG81" s="13"/>
      <c r="AH81" s="194" t="b">
        <f>'0_Configuration'!$C$2</f>
        <v>1</v>
      </c>
      <c r="AI81" s="6"/>
      <c r="AJ81" s="194" t="b">
        <f>'0_Configuration'!$C$6</f>
        <v>0</v>
      </c>
      <c r="AK81" s="6" t="s">
        <v>1117</v>
      </c>
      <c r="AL81" s="194" t="b">
        <f>'0_Configuration'!$C$10</f>
        <v>0</v>
      </c>
      <c r="AM81" s="6" t="s">
        <v>1117</v>
      </c>
      <c r="AN81" s="194" t="b">
        <f>'0_Configuration'!$C$17</f>
        <v>0</v>
      </c>
      <c r="AO81" s="6">
        <f>_xlfn.XLOOKUP(Tab_Def_Flows[[#This Row],[ODYM_Good_Type]],Tab_Configuration[Value],Tab_Configuration[ODYM_ID],,0,)</f>
        <v>0</v>
      </c>
      <c r="AP81" s="194" t="b">
        <f>'0_Configuration'!$C$24</f>
        <v>0</v>
      </c>
      <c r="AQ81" s="6"/>
      <c r="AR81" s="194" t="b">
        <f>'0_Configuration'!$C$29</f>
        <v>1</v>
      </c>
      <c r="AS81" s="6" t="s">
        <v>1131</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F_01_01</v>
      </c>
      <c r="D82" s="188"/>
      <c r="E82" s="6"/>
      <c r="F82" s="138"/>
      <c r="G82" s="6" t="str">
        <f>_xlfn.XLOOKUP(F82,Tab_Def_Processes[Process_Name],Tab_Def_Processes[Process_ID],,0,)</f>
        <v>01</v>
      </c>
      <c r="H82" s="138"/>
      <c r="I82" s="9" t="str">
        <f>_xlfn.XLOOKUP(H82,Tab_Def_Processes[Process_Name],Tab_Def_Processes[Process_ID],,0,)</f>
        <v>01</v>
      </c>
      <c r="J82" s="138" t="s">
        <v>5</v>
      </c>
      <c r="K82" s="138" t="s">
        <v>5</v>
      </c>
      <c r="L82" s="138" t="s">
        <v>5</v>
      </c>
      <c r="M82" s="138" t="s">
        <v>5</v>
      </c>
      <c r="N82" s="138" t="s">
        <v>5</v>
      </c>
      <c r="O82" s="138" t="s">
        <v>5</v>
      </c>
      <c r="P82" s="6" t="str">
        <f>Tab_Def_Flows[[#This Row],[Flow_ID]]&amp;"_E1"</f>
        <v>F_01_01_E1</v>
      </c>
      <c r="R82" s="13"/>
      <c r="S82" s="6" t="str">
        <f>Tab_Def_Flows[[#This Row],[Flow_ID]]&amp;"_E2"</f>
        <v>F_01_01_E2</v>
      </c>
      <c r="T82" s="135"/>
      <c r="U82" s="13"/>
      <c r="V82" s="6" t="str">
        <f>Tab_Def_Flows[[#This Row],[Flow_ID]]&amp;"_E3"</f>
        <v>F_01_01_E3</v>
      </c>
      <c r="W82" s="135"/>
      <c r="X82" s="13"/>
      <c r="Y82" s="6" t="str">
        <f>Tab_Def_Flows[[#This Row],[Flow_ID]]&amp;"_E4"</f>
        <v>F_01_01_E4</v>
      </c>
      <c r="Z82" s="135"/>
      <c r="AA82" s="13"/>
      <c r="AB82" s="6" t="str">
        <f>Tab_Def_Flows[[#This Row],[Flow_ID]]&amp;"_E5"</f>
        <v>F_01_01_E5</v>
      </c>
      <c r="AC82" s="140"/>
      <c r="AD82" s="13"/>
      <c r="AE82" s="6" t="str">
        <f>Tab_Def_Flows[[#This Row],[Flow_ID]]&amp;"_E6"</f>
        <v>F_01_01_E6</v>
      </c>
      <c r="AF82" s="140"/>
      <c r="AG82" s="13"/>
      <c r="AH82" s="194" t="b">
        <f>'0_Configuration'!$C$2</f>
        <v>1</v>
      </c>
      <c r="AI82" s="6"/>
      <c r="AJ82" s="194" t="b">
        <f>'0_Configuration'!$C$6</f>
        <v>0</v>
      </c>
      <c r="AK82" s="6" t="s">
        <v>1117</v>
      </c>
      <c r="AL82" s="194" t="b">
        <f>'0_Configuration'!$C$10</f>
        <v>0</v>
      </c>
      <c r="AM82" s="6" t="s">
        <v>1117</v>
      </c>
      <c r="AN82" s="194" t="b">
        <f>'0_Configuration'!$C$17</f>
        <v>0</v>
      </c>
      <c r="AO82" s="6">
        <f>_xlfn.XLOOKUP(Tab_Def_Flows[[#This Row],[ODYM_Good_Type]],Tab_Configuration[Value],Tab_Configuration[ODYM_ID],,0,)</f>
        <v>0</v>
      </c>
      <c r="AP82" s="194" t="b">
        <f>'0_Configuration'!$C$24</f>
        <v>0</v>
      </c>
      <c r="AQ82" s="6"/>
      <c r="AR82" s="194" t="b">
        <f>'0_Configuration'!$C$29</f>
        <v>1</v>
      </c>
      <c r="AS82" s="6" t="s">
        <v>1131</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F_01_01</v>
      </c>
      <c r="D83" s="188"/>
      <c r="E83" s="6"/>
      <c r="F83" s="138"/>
      <c r="G83" s="6" t="str">
        <f>_xlfn.XLOOKUP(F83,Tab_Def_Processes[Process_Name],Tab_Def_Processes[Process_ID],,0,)</f>
        <v>01</v>
      </c>
      <c r="H83" s="138"/>
      <c r="I83" s="9" t="str">
        <f>_xlfn.XLOOKUP(H83,Tab_Def_Processes[Process_Name],Tab_Def_Processes[Process_ID],,0,)</f>
        <v>01</v>
      </c>
      <c r="J83" s="138" t="s">
        <v>5</v>
      </c>
      <c r="K83" s="138" t="s">
        <v>5</v>
      </c>
      <c r="L83" s="138" t="s">
        <v>5</v>
      </c>
      <c r="M83" s="138" t="s">
        <v>5</v>
      </c>
      <c r="N83" s="138" t="s">
        <v>5</v>
      </c>
      <c r="O83" s="138" t="s">
        <v>5</v>
      </c>
      <c r="P83" s="6" t="str">
        <f>Tab_Def_Flows[[#This Row],[Flow_ID]]&amp;"_E1"</f>
        <v>F_01_01_E1</v>
      </c>
      <c r="R83" s="13"/>
      <c r="S83" s="6" t="str">
        <f>Tab_Def_Flows[[#This Row],[Flow_ID]]&amp;"_E2"</f>
        <v>F_01_01_E2</v>
      </c>
      <c r="T83" s="135"/>
      <c r="U83" s="13"/>
      <c r="V83" s="6" t="str">
        <f>Tab_Def_Flows[[#This Row],[Flow_ID]]&amp;"_E3"</f>
        <v>F_01_01_E3</v>
      </c>
      <c r="W83" s="135"/>
      <c r="X83" s="13"/>
      <c r="Y83" s="6" t="str">
        <f>Tab_Def_Flows[[#This Row],[Flow_ID]]&amp;"_E4"</f>
        <v>F_01_01_E4</v>
      </c>
      <c r="Z83" s="135"/>
      <c r="AA83" s="13"/>
      <c r="AB83" s="6" t="str">
        <f>Tab_Def_Flows[[#This Row],[Flow_ID]]&amp;"_E5"</f>
        <v>F_01_01_E5</v>
      </c>
      <c r="AC83" s="140"/>
      <c r="AD83" s="13"/>
      <c r="AE83" s="6" t="str">
        <f>Tab_Def_Flows[[#This Row],[Flow_ID]]&amp;"_E6"</f>
        <v>F_01_01_E6</v>
      </c>
      <c r="AF83" s="140"/>
      <c r="AG83" s="13"/>
      <c r="AH83" s="194" t="b">
        <f>'0_Configuration'!$C$2</f>
        <v>1</v>
      </c>
      <c r="AI83" s="6"/>
      <c r="AJ83" s="194" t="b">
        <f>'0_Configuration'!$C$6</f>
        <v>0</v>
      </c>
      <c r="AK83" s="6" t="s">
        <v>1117</v>
      </c>
      <c r="AL83" s="194" t="b">
        <f>'0_Configuration'!$C$10</f>
        <v>0</v>
      </c>
      <c r="AM83" s="6" t="s">
        <v>1117</v>
      </c>
      <c r="AN83" s="194" t="b">
        <f>'0_Configuration'!$C$17</f>
        <v>0</v>
      </c>
      <c r="AO83" s="6">
        <f>_xlfn.XLOOKUP(Tab_Def_Flows[[#This Row],[ODYM_Good_Type]],Tab_Configuration[Value],Tab_Configuration[ODYM_ID],,0,)</f>
        <v>0</v>
      </c>
      <c r="AP83" s="194" t="b">
        <f>'0_Configuration'!$C$24</f>
        <v>0</v>
      </c>
      <c r="AQ83" s="6"/>
      <c r="AR83" s="194" t="b">
        <f>'0_Configuration'!$C$29</f>
        <v>1</v>
      </c>
      <c r="AS83" s="6" t="s">
        <v>1131</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F_01_01</v>
      </c>
      <c r="D84" s="188"/>
      <c r="E84" s="6"/>
      <c r="F84" s="138"/>
      <c r="G84" s="6" t="str">
        <f>_xlfn.XLOOKUP(F84,Tab_Def_Processes[Process_Name],Tab_Def_Processes[Process_ID],,0,)</f>
        <v>01</v>
      </c>
      <c r="H84" s="138"/>
      <c r="I84" s="9" t="str">
        <f>_xlfn.XLOOKUP(H84,Tab_Def_Processes[Process_Name],Tab_Def_Processes[Process_ID],,0,)</f>
        <v>01</v>
      </c>
      <c r="J84" s="138" t="s">
        <v>5</v>
      </c>
      <c r="K84" s="138" t="s">
        <v>5</v>
      </c>
      <c r="L84" s="138" t="s">
        <v>5</v>
      </c>
      <c r="M84" s="138" t="s">
        <v>5</v>
      </c>
      <c r="N84" s="138" t="s">
        <v>5</v>
      </c>
      <c r="O84" s="138" t="s">
        <v>5</v>
      </c>
      <c r="P84" s="6" t="str">
        <f>Tab_Def_Flows[[#This Row],[Flow_ID]]&amp;"_E1"</f>
        <v>F_01_01_E1</v>
      </c>
      <c r="R84" s="13"/>
      <c r="S84" s="6" t="str">
        <f>Tab_Def_Flows[[#This Row],[Flow_ID]]&amp;"_E2"</f>
        <v>F_01_01_E2</v>
      </c>
      <c r="T84" s="135"/>
      <c r="U84" s="13"/>
      <c r="V84" s="6" t="str">
        <f>Tab_Def_Flows[[#This Row],[Flow_ID]]&amp;"_E3"</f>
        <v>F_01_01_E3</v>
      </c>
      <c r="W84" s="135"/>
      <c r="X84" s="13"/>
      <c r="Y84" s="6" t="str">
        <f>Tab_Def_Flows[[#This Row],[Flow_ID]]&amp;"_E4"</f>
        <v>F_01_01_E4</v>
      </c>
      <c r="Z84" s="135"/>
      <c r="AA84" s="13"/>
      <c r="AB84" s="6" t="str">
        <f>Tab_Def_Flows[[#This Row],[Flow_ID]]&amp;"_E5"</f>
        <v>F_01_01_E5</v>
      </c>
      <c r="AC84" s="140"/>
      <c r="AD84" s="13"/>
      <c r="AE84" s="6" t="str">
        <f>Tab_Def_Flows[[#This Row],[Flow_ID]]&amp;"_E6"</f>
        <v>F_01_01_E6</v>
      </c>
      <c r="AF84" s="140"/>
      <c r="AG84" s="13"/>
      <c r="AH84" s="194" t="b">
        <f>'0_Configuration'!$C$2</f>
        <v>1</v>
      </c>
      <c r="AI84" s="6"/>
      <c r="AJ84" s="194" t="b">
        <f>'0_Configuration'!$C$6</f>
        <v>0</v>
      </c>
      <c r="AK84" s="6" t="s">
        <v>1117</v>
      </c>
      <c r="AL84" s="194" t="b">
        <f>'0_Configuration'!$C$10</f>
        <v>0</v>
      </c>
      <c r="AM84" s="6" t="s">
        <v>1117</v>
      </c>
      <c r="AN84" s="194" t="b">
        <f>'0_Configuration'!$C$17</f>
        <v>0</v>
      </c>
      <c r="AO84" s="6">
        <f>_xlfn.XLOOKUP(Tab_Def_Flows[[#This Row],[ODYM_Good_Type]],Tab_Configuration[Value],Tab_Configuration[ODYM_ID],,0,)</f>
        <v>0</v>
      </c>
      <c r="AP84" s="194" t="b">
        <f>'0_Configuration'!$C$24</f>
        <v>0</v>
      </c>
      <c r="AQ84" s="6"/>
      <c r="AR84" s="194" t="b">
        <f>'0_Configuration'!$C$29</f>
        <v>1</v>
      </c>
      <c r="AS84" s="6" t="s">
        <v>1131</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F_01_01</v>
      </c>
      <c r="D85" s="188"/>
      <c r="E85" s="6"/>
      <c r="F85" s="138"/>
      <c r="G85" s="6" t="str">
        <f>_xlfn.XLOOKUP(F85,Tab_Def_Processes[Process_Name],Tab_Def_Processes[Process_ID],,0,)</f>
        <v>01</v>
      </c>
      <c r="H85" s="138"/>
      <c r="I85" s="9" t="str">
        <f>_xlfn.XLOOKUP(H85,Tab_Def_Processes[Process_Name],Tab_Def_Processes[Process_ID],,0,)</f>
        <v>01</v>
      </c>
      <c r="J85" s="138" t="s">
        <v>5</v>
      </c>
      <c r="K85" s="138" t="s">
        <v>5</v>
      </c>
      <c r="L85" s="138" t="s">
        <v>5</v>
      </c>
      <c r="M85" s="138" t="s">
        <v>5</v>
      </c>
      <c r="N85" s="138" t="s">
        <v>5</v>
      </c>
      <c r="O85" s="138" t="s">
        <v>5</v>
      </c>
      <c r="P85" s="6" t="str">
        <f>Tab_Def_Flows[[#This Row],[Flow_ID]]&amp;"_E1"</f>
        <v>F_01_01_E1</v>
      </c>
      <c r="R85" s="13"/>
      <c r="S85" s="6" t="str">
        <f>Tab_Def_Flows[[#This Row],[Flow_ID]]&amp;"_E2"</f>
        <v>F_01_01_E2</v>
      </c>
      <c r="T85" s="135"/>
      <c r="U85" s="13"/>
      <c r="V85" s="6" t="str">
        <f>Tab_Def_Flows[[#This Row],[Flow_ID]]&amp;"_E3"</f>
        <v>F_01_01_E3</v>
      </c>
      <c r="W85" s="135"/>
      <c r="X85" s="13"/>
      <c r="Y85" s="6" t="str">
        <f>Tab_Def_Flows[[#This Row],[Flow_ID]]&amp;"_E4"</f>
        <v>F_01_01_E4</v>
      </c>
      <c r="Z85" s="135"/>
      <c r="AA85" s="13"/>
      <c r="AB85" s="6" t="str">
        <f>Tab_Def_Flows[[#This Row],[Flow_ID]]&amp;"_E5"</f>
        <v>F_01_01_E5</v>
      </c>
      <c r="AC85" s="140"/>
      <c r="AD85" s="13"/>
      <c r="AE85" s="6" t="str">
        <f>Tab_Def_Flows[[#This Row],[Flow_ID]]&amp;"_E6"</f>
        <v>F_01_01_E6</v>
      </c>
      <c r="AF85" s="140"/>
      <c r="AG85" s="13"/>
      <c r="AH85" s="194" t="b">
        <f>'0_Configuration'!$C$2</f>
        <v>1</v>
      </c>
      <c r="AI85" s="6"/>
      <c r="AJ85" s="194" t="b">
        <f>'0_Configuration'!$C$6</f>
        <v>0</v>
      </c>
      <c r="AK85" s="6" t="s">
        <v>1117</v>
      </c>
      <c r="AL85" s="194" t="b">
        <f>'0_Configuration'!$C$10</f>
        <v>0</v>
      </c>
      <c r="AM85" s="6" t="s">
        <v>1117</v>
      </c>
      <c r="AN85" s="194" t="b">
        <f>'0_Configuration'!$C$17</f>
        <v>0</v>
      </c>
      <c r="AO85" s="6">
        <f>_xlfn.XLOOKUP(Tab_Def_Flows[[#This Row],[ODYM_Good_Type]],Tab_Configuration[Value],Tab_Configuration[ODYM_ID],,0,)</f>
        <v>0</v>
      </c>
      <c r="AP85" s="194" t="b">
        <f>'0_Configuration'!$C$24</f>
        <v>0</v>
      </c>
      <c r="AQ85" s="6"/>
      <c r="AR85" s="194" t="b">
        <f>'0_Configuration'!$C$29</f>
        <v>1</v>
      </c>
      <c r="AS85" s="6" t="s">
        <v>1131</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F_01_01</v>
      </c>
      <c r="D86" s="188"/>
      <c r="E86" s="6"/>
      <c r="F86" s="138"/>
      <c r="G86" s="6" t="str">
        <f>_xlfn.XLOOKUP(F86,Tab_Def_Processes[Process_Name],Tab_Def_Processes[Process_ID],,0,)</f>
        <v>01</v>
      </c>
      <c r="H86" s="138"/>
      <c r="I86" s="9" t="str">
        <f>_xlfn.XLOOKUP(H86,Tab_Def_Processes[Process_Name],Tab_Def_Processes[Process_ID],,0,)</f>
        <v>01</v>
      </c>
      <c r="J86" s="138" t="s">
        <v>5</v>
      </c>
      <c r="K86" s="138" t="s">
        <v>5</v>
      </c>
      <c r="L86" s="138" t="s">
        <v>5</v>
      </c>
      <c r="M86" s="138" t="s">
        <v>5</v>
      </c>
      <c r="N86" s="138" t="s">
        <v>5</v>
      </c>
      <c r="O86" s="138" t="s">
        <v>5</v>
      </c>
      <c r="P86" s="6" t="str">
        <f>Tab_Def_Flows[[#This Row],[Flow_ID]]&amp;"_E1"</f>
        <v>F_01_01_E1</v>
      </c>
      <c r="R86" s="13"/>
      <c r="S86" s="6" t="str">
        <f>Tab_Def_Flows[[#This Row],[Flow_ID]]&amp;"_E2"</f>
        <v>F_01_01_E2</v>
      </c>
      <c r="T86" s="135"/>
      <c r="U86" s="13"/>
      <c r="V86" s="6" t="str">
        <f>Tab_Def_Flows[[#This Row],[Flow_ID]]&amp;"_E3"</f>
        <v>F_01_01_E3</v>
      </c>
      <c r="W86" s="135"/>
      <c r="X86" s="13"/>
      <c r="Y86" s="6" t="str">
        <f>Tab_Def_Flows[[#This Row],[Flow_ID]]&amp;"_E4"</f>
        <v>F_01_01_E4</v>
      </c>
      <c r="Z86" s="135"/>
      <c r="AA86" s="13"/>
      <c r="AB86" s="6" t="str">
        <f>Tab_Def_Flows[[#This Row],[Flow_ID]]&amp;"_E5"</f>
        <v>F_01_01_E5</v>
      </c>
      <c r="AC86" s="140"/>
      <c r="AD86" s="13"/>
      <c r="AE86" s="6" t="str">
        <f>Tab_Def_Flows[[#This Row],[Flow_ID]]&amp;"_E6"</f>
        <v>F_01_01_E6</v>
      </c>
      <c r="AF86" s="140"/>
      <c r="AG86" s="13"/>
      <c r="AH86" s="194" t="b">
        <f>'0_Configuration'!$C$2</f>
        <v>1</v>
      </c>
      <c r="AI86" s="6"/>
      <c r="AJ86" s="194" t="b">
        <f>'0_Configuration'!$C$6</f>
        <v>0</v>
      </c>
      <c r="AK86" s="6" t="s">
        <v>1117</v>
      </c>
      <c r="AL86" s="194" t="b">
        <f>'0_Configuration'!$C$10</f>
        <v>0</v>
      </c>
      <c r="AM86" s="6" t="s">
        <v>1117</v>
      </c>
      <c r="AN86" s="194" t="b">
        <f>'0_Configuration'!$C$17</f>
        <v>0</v>
      </c>
      <c r="AO86" s="6">
        <f>_xlfn.XLOOKUP(Tab_Def_Flows[[#This Row],[ODYM_Good_Type]],Tab_Configuration[Value],Tab_Configuration[ODYM_ID],,0,)</f>
        <v>0</v>
      </c>
      <c r="AP86" s="194" t="b">
        <f>'0_Configuration'!$C$24</f>
        <v>0</v>
      </c>
      <c r="AQ86" s="6"/>
      <c r="AR86" s="194" t="b">
        <f>'0_Configuration'!$C$29</f>
        <v>1</v>
      </c>
      <c r="AS86" s="6" t="s">
        <v>1131</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F_01_01</v>
      </c>
      <c r="D87" s="188"/>
      <c r="E87" s="6"/>
      <c r="F87" s="138"/>
      <c r="G87" s="6" t="str">
        <f>_xlfn.XLOOKUP(F87,Tab_Def_Processes[Process_Name],Tab_Def_Processes[Process_ID],,0,)</f>
        <v>01</v>
      </c>
      <c r="H87" s="138"/>
      <c r="I87" s="9" t="str">
        <f>_xlfn.XLOOKUP(H87,Tab_Def_Processes[Process_Name],Tab_Def_Processes[Process_ID],,0,)</f>
        <v>01</v>
      </c>
      <c r="J87" s="138" t="s">
        <v>5</v>
      </c>
      <c r="K87" s="138" t="s">
        <v>5</v>
      </c>
      <c r="L87" s="138" t="s">
        <v>5</v>
      </c>
      <c r="M87" s="138" t="s">
        <v>5</v>
      </c>
      <c r="N87" s="138" t="s">
        <v>5</v>
      </c>
      <c r="O87" s="138" t="s">
        <v>5</v>
      </c>
      <c r="P87" s="6" t="str">
        <f>Tab_Def_Flows[[#This Row],[Flow_ID]]&amp;"_E1"</f>
        <v>F_01_01_E1</v>
      </c>
      <c r="R87" s="13"/>
      <c r="S87" s="6" t="str">
        <f>Tab_Def_Flows[[#This Row],[Flow_ID]]&amp;"_E2"</f>
        <v>F_01_01_E2</v>
      </c>
      <c r="T87" s="135"/>
      <c r="U87" s="13"/>
      <c r="V87" s="6" t="str">
        <f>Tab_Def_Flows[[#This Row],[Flow_ID]]&amp;"_E3"</f>
        <v>F_01_01_E3</v>
      </c>
      <c r="W87" s="135"/>
      <c r="X87" s="13"/>
      <c r="Y87" s="6" t="str">
        <f>Tab_Def_Flows[[#This Row],[Flow_ID]]&amp;"_E4"</f>
        <v>F_01_01_E4</v>
      </c>
      <c r="Z87" s="135"/>
      <c r="AA87" s="13"/>
      <c r="AB87" s="6" t="str">
        <f>Tab_Def_Flows[[#This Row],[Flow_ID]]&amp;"_E5"</f>
        <v>F_01_01_E5</v>
      </c>
      <c r="AC87" s="140"/>
      <c r="AD87" s="13"/>
      <c r="AE87" s="6" t="str">
        <f>Tab_Def_Flows[[#This Row],[Flow_ID]]&amp;"_E6"</f>
        <v>F_01_01_E6</v>
      </c>
      <c r="AF87" s="140"/>
      <c r="AG87" s="13"/>
      <c r="AH87" s="194" t="b">
        <f>'0_Configuration'!$C$2</f>
        <v>1</v>
      </c>
      <c r="AI87" s="6"/>
      <c r="AJ87" s="194" t="b">
        <f>'0_Configuration'!$C$6</f>
        <v>0</v>
      </c>
      <c r="AK87" s="6" t="s">
        <v>1117</v>
      </c>
      <c r="AL87" s="194" t="b">
        <f>'0_Configuration'!$C$10</f>
        <v>0</v>
      </c>
      <c r="AM87" s="6" t="s">
        <v>1117</v>
      </c>
      <c r="AN87" s="194" t="b">
        <f>'0_Configuration'!$C$17</f>
        <v>0</v>
      </c>
      <c r="AO87" s="6">
        <f>_xlfn.XLOOKUP(Tab_Def_Flows[[#This Row],[ODYM_Good_Type]],Tab_Configuration[Value],Tab_Configuration[ODYM_ID],,0,)</f>
        <v>0</v>
      </c>
      <c r="AP87" s="194" t="b">
        <f>'0_Configuration'!$C$24</f>
        <v>0</v>
      </c>
      <c r="AQ87" s="6"/>
      <c r="AR87" s="194" t="b">
        <f>'0_Configuration'!$C$29</f>
        <v>1</v>
      </c>
      <c r="AS87" s="6" t="s">
        <v>1131</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F_01_01</v>
      </c>
      <c r="D88" s="188"/>
      <c r="E88" s="6"/>
      <c r="F88" s="138"/>
      <c r="G88" s="6" t="str">
        <f>_xlfn.XLOOKUP(F88,Tab_Def_Processes[Process_Name],Tab_Def_Processes[Process_ID],,0,)</f>
        <v>01</v>
      </c>
      <c r="H88" s="138"/>
      <c r="I88" s="9" t="str">
        <f>_xlfn.XLOOKUP(H88,Tab_Def_Processes[Process_Name],Tab_Def_Processes[Process_ID],,0,)</f>
        <v>01</v>
      </c>
      <c r="J88" s="138" t="s">
        <v>5</v>
      </c>
      <c r="K88" s="138" t="s">
        <v>5</v>
      </c>
      <c r="L88" s="138" t="s">
        <v>5</v>
      </c>
      <c r="M88" s="138" t="s">
        <v>5</v>
      </c>
      <c r="N88" s="138" t="s">
        <v>5</v>
      </c>
      <c r="O88" s="138" t="s">
        <v>5</v>
      </c>
      <c r="P88" s="6" t="str">
        <f>Tab_Def_Flows[[#This Row],[Flow_ID]]&amp;"_E1"</f>
        <v>F_01_01_E1</v>
      </c>
      <c r="R88" s="13"/>
      <c r="S88" s="6" t="str">
        <f>Tab_Def_Flows[[#This Row],[Flow_ID]]&amp;"_E2"</f>
        <v>F_01_01_E2</v>
      </c>
      <c r="T88" s="135"/>
      <c r="U88" s="13"/>
      <c r="V88" s="6" t="str">
        <f>Tab_Def_Flows[[#This Row],[Flow_ID]]&amp;"_E3"</f>
        <v>F_01_01_E3</v>
      </c>
      <c r="W88" s="135"/>
      <c r="X88" s="13"/>
      <c r="Y88" s="6" t="str">
        <f>Tab_Def_Flows[[#This Row],[Flow_ID]]&amp;"_E4"</f>
        <v>F_01_01_E4</v>
      </c>
      <c r="Z88" s="135"/>
      <c r="AA88" s="13"/>
      <c r="AB88" s="6" t="str">
        <f>Tab_Def_Flows[[#This Row],[Flow_ID]]&amp;"_E5"</f>
        <v>F_01_01_E5</v>
      </c>
      <c r="AC88" s="140"/>
      <c r="AD88" s="13"/>
      <c r="AE88" s="6" t="str">
        <f>Tab_Def_Flows[[#This Row],[Flow_ID]]&amp;"_E6"</f>
        <v>F_01_01_E6</v>
      </c>
      <c r="AF88" s="140"/>
      <c r="AG88" s="13"/>
      <c r="AH88" s="194" t="b">
        <f>'0_Configuration'!$C$2</f>
        <v>1</v>
      </c>
      <c r="AI88" s="6"/>
      <c r="AJ88" s="194" t="b">
        <f>'0_Configuration'!$C$6</f>
        <v>0</v>
      </c>
      <c r="AK88" s="6" t="s">
        <v>1117</v>
      </c>
      <c r="AL88" s="194" t="b">
        <f>'0_Configuration'!$C$10</f>
        <v>0</v>
      </c>
      <c r="AM88" s="6" t="s">
        <v>1117</v>
      </c>
      <c r="AN88" s="194" t="b">
        <f>'0_Configuration'!$C$17</f>
        <v>0</v>
      </c>
      <c r="AO88" s="6">
        <f>_xlfn.XLOOKUP(Tab_Def_Flows[[#This Row],[ODYM_Good_Type]],Tab_Configuration[Value],Tab_Configuration[ODYM_ID],,0,)</f>
        <v>0</v>
      </c>
      <c r="AP88" s="194" t="b">
        <f>'0_Configuration'!$C$24</f>
        <v>0</v>
      </c>
      <c r="AQ88" s="6"/>
      <c r="AR88" s="194" t="b">
        <f>'0_Configuration'!$C$29</f>
        <v>1</v>
      </c>
      <c r="AS88" s="6" t="s">
        <v>1131</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F_01_01</v>
      </c>
      <c r="D89" s="7"/>
      <c r="E89" s="6"/>
      <c r="F89" s="138"/>
      <c r="G89" s="6" t="str">
        <f>_xlfn.XLOOKUP(F89,Tab_Def_Processes[Process_Name],Tab_Def_Processes[Process_ID],,0,)</f>
        <v>01</v>
      </c>
      <c r="H89" s="138"/>
      <c r="I89" s="9" t="str">
        <f>_xlfn.XLOOKUP(H89,Tab_Def_Processes[Process_Name],Tab_Def_Processes[Process_ID],,0,)</f>
        <v>01</v>
      </c>
      <c r="J89" s="138" t="s">
        <v>5</v>
      </c>
      <c r="K89" s="138" t="s">
        <v>5</v>
      </c>
      <c r="L89" s="138" t="s">
        <v>5</v>
      </c>
      <c r="M89" s="138" t="s">
        <v>5</v>
      </c>
      <c r="N89" s="138" t="s">
        <v>5</v>
      </c>
      <c r="O89" s="138" t="s">
        <v>5</v>
      </c>
      <c r="P89" s="6" t="str">
        <f>Tab_Def_Flows[[#This Row],[Flow_ID]]&amp;"_E1"</f>
        <v>F_01_01_E1</v>
      </c>
      <c r="R89" s="13"/>
      <c r="S89" s="6" t="str">
        <f>Tab_Def_Flows[[#This Row],[Flow_ID]]&amp;"_E2"</f>
        <v>F_01_01_E2</v>
      </c>
      <c r="T89" s="135"/>
      <c r="U89" s="13"/>
      <c r="V89" s="6" t="str">
        <f>Tab_Def_Flows[[#This Row],[Flow_ID]]&amp;"_E3"</f>
        <v>F_01_01_E3</v>
      </c>
      <c r="W89" s="135"/>
      <c r="X89" s="13"/>
      <c r="Y89" s="6" t="str">
        <f>Tab_Def_Flows[[#This Row],[Flow_ID]]&amp;"_E4"</f>
        <v>F_01_01_E4</v>
      </c>
      <c r="Z89" s="135"/>
      <c r="AA89" s="13"/>
      <c r="AB89" s="6" t="str">
        <f>Tab_Def_Flows[[#This Row],[Flow_ID]]&amp;"_E5"</f>
        <v>F_01_01_E5</v>
      </c>
      <c r="AC89" s="140"/>
      <c r="AD89" s="13"/>
      <c r="AE89" s="6" t="str">
        <f>Tab_Def_Flows[[#This Row],[Flow_ID]]&amp;"_E6"</f>
        <v>F_01_01_E6</v>
      </c>
      <c r="AF89" s="140"/>
      <c r="AG89" s="13"/>
      <c r="AH89" s="194" t="b">
        <f>'0_Configuration'!$C$2</f>
        <v>1</v>
      </c>
      <c r="AI89" s="6"/>
      <c r="AJ89" s="194" t="b">
        <f>'0_Configuration'!$C$6</f>
        <v>0</v>
      </c>
      <c r="AK89" s="6" t="s">
        <v>1117</v>
      </c>
      <c r="AL89" s="194" t="b">
        <f>'0_Configuration'!$C$10</f>
        <v>0</v>
      </c>
      <c r="AM89" s="6" t="s">
        <v>1117</v>
      </c>
      <c r="AN89" s="194" t="b">
        <f>'0_Configuration'!$C$17</f>
        <v>0</v>
      </c>
      <c r="AO89" s="6">
        <f>_xlfn.XLOOKUP(Tab_Def_Flows[[#This Row],[ODYM_Good_Type]],Tab_Configuration[Value],Tab_Configuration[ODYM_ID],,0,)</f>
        <v>0</v>
      </c>
      <c r="AP89" s="194" t="b">
        <f>'0_Configuration'!$C$24</f>
        <v>0</v>
      </c>
      <c r="AQ89" s="6"/>
      <c r="AR89" s="194" t="b">
        <f>'0_Configuration'!$C$29</f>
        <v>1</v>
      </c>
      <c r="AS89" s="6" t="s">
        <v>1131</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F_01_01</v>
      </c>
      <c r="D90" s="7"/>
      <c r="E90" s="6"/>
      <c r="F90" s="138"/>
      <c r="G90" s="6" t="str">
        <f>_xlfn.XLOOKUP(F90,Tab_Def_Processes[Process_Name],Tab_Def_Processes[Process_ID],,0,)</f>
        <v>01</v>
      </c>
      <c r="H90" s="138"/>
      <c r="I90" s="9" t="str">
        <f>_xlfn.XLOOKUP(H90,Tab_Def_Processes[Process_Name],Tab_Def_Processes[Process_ID],,0,)</f>
        <v>01</v>
      </c>
      <c r="J90" s="138" t="s">
        <v>5</v>
      </c>
      <c r="K90" s="138" t="s">
        <v>5</v>
      </c>
      <c r="L90" s="138" t="s">
        <v>5</v>
      </c>
      <c r="M90" s="138" t="s">
        <v>5</v>
      </c>
      <c r="N90" s="138" t="s">
        <v>5</v>
      </c>
      <c r="O90" s="138" t="s">
        <v>5</v>
      </c>
      <c r="P90" s="6" t="str">
        <f>Tab_Def_Flows[[#This Row],[Flow_ID]]&amp;"_E1"</f>
        <v>F_01_01_E1</v>
      </c>
      <c r="R90" s="13"/>
      <c r="S90" s="6" t="str">
        <f>Tab_Def_Flows[[#This Row],[Flow_ID]]&amp;"_E2"</f>
        <v>F_01_01_E2</v>
      </c>
      <c r="T90" s="135"/>
      <c r="U90" s="13"/>
      <c r="V90" s="6" t="str">
        <f>Tab_Def_Flows[[#This Row],[Flow_ID]]&amp;"_E3"</f>
        <v>F_01_01_E3</v>
      </c>
      <c r="W90" s="135"/>
      <c r="X90" s="13"/>
      <c r="Y90" s="6" t="str">
        <f>Tab_Def_Flows[[#This Row],[Flow_ID]]&amp;"_E4"</f>
        <v>F_01_01_E4</v>
      </c>
      <c r="Z90" s="135"/>
      <c r="AA90" s="13"/>
      <c r="AB90" s="6" t="str">
        <f>Tab_Def_Flows[[#This Row],[Flow_ID]]&amp;"_E5"</f>
        <v>F_01_01_E5</v>
      </c>
      <c r="AC90" s="140"/>
      <c r="AD90" s="13"/>
      <c r="AE90" s="6" t="str">
        <f>Tab_Def_Flows[[#This Row],[Flow_ID]]&amp;"_E6"</f>
        <v>F_01_01_E6</v>
      </c>
      <c r="AF90" s="140"/>
      <c r="AG90" s="13"/>
      <c r="AH90" s="194" t="b">
        <f>'0_Configuration'!$C$2</f>
        <v>1</v>
      </c>
      <c r="AI90" s="6"/>
      <c r="AJ90" s="194" t="b">
        <f>'0_Configuration'!$C$6</f>
        <v>0</v>
      </c>
      <c r="AK90" s="6" t="s">
        <v>1117</v>
      </c>
      <c r="AL90" s="194" t="b">
        <f>'0_Configuration'!$C$10</f>
        <v>0</v>
      </c>
      <c r="AM90" s="6" t="s">
        <v>1117</v>
      </c>
      <c r="AN90" s="194" t="b">
        <f>'0_Configuration'!$C$17</f>
        <v>0</v>
      </c>
      <c r="AO90" s="6">
        <f>_xlfn.XLOOKUP(Tab_Def_Flows[[#This Row],[ODYM_Good_Type]],Tab_Configuration[Value],Tab_Configuration[ODYM_ID],,0,)</f>
        <v>0</v>
      </c>
      <c r="AP90" s="194" t="b">
        <f>'0_Configuration'!$C$24</f>
        <v>0</v>
      </c>
      <c r="AQ90" s="6"/>
      <c r="AR90" s="194" t="b">
        <f>'0_Configuration'!$C$29</f>
        <v>1</v>
      </c>
      <c r="AS90" s="6" t="s">
        <v>1131</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F_01_01</v>
      </c>
      <c r="D91" s="7"/>
      <c r="E91" s="6"/>
      <c r="F91" s="138"/>
      <c r="G91" s="6" t="str">
        <f>_xlfn.XLOOKUP(F91,Tab_Def_Processes[Process_Name],Tab_Def_Processes[Process_ID],,0,)</f>
        <v>01</v>
      </c>
      <c r="H91" s="138"/>
      <c r="I91" s="9" t="str">
        <f>_xlfn.XLOOKUP(H91,Tab_Def_Processes[Process_Name],Tab_Def_Processes[Process_ID],,0,)</f>
        <v>01</v>
      </c>
      <c r="J91" s="138" t="s">
        <v>5</v>
      </c>
      <c r="K91" s="138" t="s">
        <v>5</v>
      </c>
      <c r="L91" s="138" t="s">
        <v>5</v>
      </c>
      <c r="M91" s="138" t="s">
        <v>5</v>
      </c>
      <c r="N91" s="138" t="s">
        <v>5</v>
      </c>
      <c r="O91" s="138" t="s">
        <v>5</v>
      </c>
      <c r="P91" s="6" t="str">
        <f>Tab_Def_Flows[[#This Row],[Flow_ID]]&amp;"_E1"</f>
        <v>F_01_01_E1</v>
      </c>
      <c r="R91" s="13"/>
      <c r="S91" s="6" t="str">
        <f>Tab_Def_Flows[[#This Row],[Flow_ID]]&amp;"_E2"</f>
        <v>F_01_01_E2</v>
      </c>
      <c r="T91" s="135"/>
      <c r="U91" s="13"/>
      <c r="V91" s="6" t="str">
        <f>Tab_Def_Flows[[#This Row],[Flow_ID]]&amp;"_E3"</f>
        <v>F_01_01_E3</v>
      </c>
      <c r="W91" s="135"/>
      <c r="X91" s="13"/>
      <c r="Y91" s="6" t="str">
        <f>Tab_Def_Flows[[#This Row],[Flow_ID]]&amp;"_E4"</f>
        <v>F_01_01_E4</v>
      </c>
      <c r="Z91" s="135"/>
      <c r="AA91" s="13"/>
      <c r="AB91" s="6" t="str">
        <f>Tab_Def_Flows[[#This Row],[Flow_ID]]&amp;"_E5"</f>
        <v>F_01_01_E5</v>
      </c>
      <c r="AC91" s="140"/>
      <c r="AD91" s="13"/>
      <c r="AE91" s="6" t="str">
        <f>Tab_Def_Flows[[#This Row],[Flow_ID]]&amp;"_E6"</f>
        <v>F_01_01_E6</v>
      </c>
      <c r="AF91" s="140"/>
      <c r="AG91" s="13"/>
      <c r="AH91" s="194" t="b">
        <f>'0_Configuration'!$C$2</f>
        <v>1</v>
      </c>
      <c r="AI91" s="6"/>
      <c r="AJ91" s="194" t="b">
        <f>'0_Configuration'!$C$6</f>
        <v>0</v>
      </c>
      <c r="AK91" s="6" t="s">
        <v>1117</v>
      </c>
      <c r="AL91" s="194" t="b">
        <f>'0_Configuration'!$C$10</f>
        <v>0</v>
      </c>
      <c r="AM91" s="6" t="s">
        <v>1117</v>
      </c>
      <c r="AN91" s="194" t="b">
        <f>'0_Configuration'!$C$17</f>
        <v>0</v>
      </c>
      <c r="AO91" s="6">
        <f>_xlfn.XLOOKUP(Tab_Def_Flows[[#This Row],[ODYM_Good_Type]],Tab_Configuration[Value],Tab_Configuration[ODYM_ID],,0,)</f>
        <v>0</v>
      </c>
      <c r="AP91" s="194" t="b">
        <f>'0_Configuration'!$C$24</f>
        <v>0</v>
      </c>
      <c r="AQ91" s="6"/>
      <c r="AR91" s="194" t="b">
        <f>'0_Configuration'!$C$29</f>
        <v>1</v>
      </c>
      <c r="AS91" s="6" t="s">
        <v>1131</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F_01_01</v>
      </c>
      <c r="D92" s="7"/>
      <c r="E92" s="6"/>
      <c r="F92" s="138"/>
      <c r="G92" s="6" t="str">
        <f>_xlfn.XLOOKUP(F92,Tab_Def_Processes[Process_Name],Tab_Def_Processes[Process_ID],,0,)</f>
        <v>01</v>
      </c>
      <c r="H92" s="138"/>
      <c r="I92" s="9" t="str">
        <f>_xlfn.XLOOKUP(H92,Tab_Def_Processes[Process_Name],Tab_Def_Processes[Process_ID],,0,)</f>
        <v>01</v>
      </c>
      <c r="J92" s="138" t="s">
        <v>5</v>
      </c>
      <c r="K92" s="138" t="s">
        <v>5</v>
      </c>
      <c r="L92" s="138" t="s">
        <v>5</v>
      </c>
      <c r="M92" s="138" t="s">
        <v>5</v>
      </c>
      <c r="N92" s="138" t="s">
        <v>5</v>
      </c>
      <c r="O92" s="138" t="s">
        <v>5</v>
      </c>
      <c r="P92" s="6" t="str">
        <f>Tab_Def_Flows[[#This Row],[Flow_ID]]&amp;"_E1"</f>
        <v>F_01_01_E1</v>
      </c>
      <c r="R92" s="13"/>
      <c r="S92" s="6" t="str">
        <f>Tab_Def_Flows[[#This Row],[Flow_ID]]&amp;"_E2"</f>
        <v>F_01_01_E2</v>
      </c>
      <c r="T92" s="135"/>
      <c r="U92" s="13"/>
      <c r="V92" s="6" t="str">
        <f>Tab_Def_Flows[[#This Row],[Flow_ID]]&amp;"_E3"</f>
        <v>F_01_01_E3</v>
      </c>
      <c r="W92" s="135"/>
      <c r="X92" s="13"/>
      <c r="Y92" s="6" t="str">
        <f>Tab_Def_Flows[[#This Row],[Flow_ID]]&amp;"_E4"</f>
        <v>F_01_01_E4</v>
      </c>
      <c r="Z92" s="135"/>
      <c r="AA92" s="13"/>
      <c r="AB92" s="6" t="str">
        <f>Tab_Def_Flows[[#This Row],[Flow_ID]]&amp;"_E5"</f>
        <v>F_01_01_E5</v>
      </c>
      <c r="AC92" s="140"/>
      <c r="AD92" s="13"/>
      <c r="AE92" s="6" t="str">
        <f>Tab_Def_Flows[[#This Row],[Flow_ID]]&amp;"_E6"</f>
        <v>F_01_01_E6</v>
      </c>
      <c r="AF92" s="140"/>
      <c r="AG92" s="13"/>
      <c r="AH92" s="194" t="b">
        <f>'0_Configuration'!$C$2</f>
        <v>1</v>
      </c>
      <c r="AI92" s="6"/>
      <c r="AJ92" s="194" t="b">
        <f>'0_Configuration'!$C$6</f>
        <v>0</v>
      </c>
      <c r="AK92" s="6" t="s">
        <v>1117</v>
      </c>
      <c r="AL92" s="194" t="b">
        <f>'0_Configuration'!$C$10</f>
        <v>0</v>
      </c>
      <c r="AM92" s="6" t="s">
        <v>1117</v>
      </c>
      <c r="AN92" s="194" t="b">
        <f>'0_Configuration'!$C$17</f>
        <v>0</v>
      </c>
      <c r="AO92" s="6">
        <f>_xlfn.XLOOKUP(Tab_Def_Flows[[#This Row],[ODYM_Good_Type]],Tab_Configuration[Value],Tab_Configuration[ODYM_ID],,0,)</f>
        <v>0</v>
      </c>
      <c r="AP92" s="194" t="b">
        <f>'0_Configuration'!$C$24</f>
        <v>0</v>
      </c>
      <c r="AQ92" s="6"/>
      <c r="AR92" s="194" t="b">
        <f>'0_Configuration'!$C$29</f>
        <v>1</v>
      </c>
      <c r="AS92" s="6" t="s">
        <v>1131</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F_01_01</v>
      </c>
      <c r="D93" s="7"/>
      <c r="E93" s="6"/>
      <c r="F93" s="138"/>
      <c r="G93" s="6" t="str">
        <f>_xlfn.XLOOKUP(F93,Tab_Def_Processes[Process_Name],Tab_Def_Processes[Process_ID],,0,)</f>
        <v>01</v>
      </c>
      <c r="H93" s="138"/>
      <c r="I93" s="9" t="str">
        <f>_xlfn.XLOOKUP(H93,Tab_Def_Processes[Process_Name],Tab_Def_Processes[Process_ID],,0,)</f>
        <v>01</v>
      </c>
      <c r="J93" s="138" t="s">
        <v>5</v>
      </c>
      <c r="K93" s="138" t="s">
        <v>5</v>
      </c>
      <c r="L93" s="138" t="s">
        <v>5</v>
      </c>
      <c r="M93" s="138" t="s">
        <v>5</v>
      </c>
      <c r="N93" s="138" t="s">
        <v>5</v>
      </c>
      <c r="O93" s="138" t="s">
        <v>5</v>
      </c>
      <c r="P93" s="6" t="str">
        <f>Tab_Def_Flows[[#This Row],[Flow_ID]]&amp;"_E1"</f>
        <v>F_01_01_E1</v>
      </c>
      <c r="R93" s="13"/>
      <c r="S93" s="6" t="str">
        <f>Tab_Def_Flows[[#This Row],[Flow_ID]]&amp;"_E2"</f>
        <v>F_01_01_E2</v>
      </c>
      <c r="T93" s="135"/>
      <c r="U93" s="13"/>
      <c r="V93" s="6" t="str">
        <f>Tab_Def_Flows[[#This Row],[Flow_ID]]&amp;"_E3"</f>
        <v>F_01_01_E3</v>
      </c>
      <c r="W93" s="135"/>
      <c r="X93" s="13"/>
      <c r="Y93" s="6" t="str">
        <f>Tab_Def_Flows[[#This Row],[Flow_ID]]&amp;"_E4"</f>
        <v>F_01_01_E4</v>
      </c>
      <c r="Z93" s="135"/>
      <c r="AA93" s="13"/>
      <c r="AB93" s="6" t="str">
        <f>Tab_Def_Flows[[#This Row],[Flow_ID]]&amp;"_E5"</f>
        <v>F_01_01_E5</v>
      </c>
      <c r="AC93" s="140"/>
      <c r="AD93" s="13"/>
      <c r="AE93" s="6" t="str">
        <f>Tab_Def_Flows[[#This Row],[Flow_ID]]&amp;"_E6"</f>
        <v>F_01_01_E6</v>
      </c>
      <c r="AF93" s="140"/>
      <c r="AG93" s="13"/>
      <c r="AH93" s="194" t="b">
        <f>'0_Configuration'!$C$2</f>
        <v>1</v>
      </c>
      <c r="AI93" s="6"/>
      <c r="AJ93" s="194" t="b">
        <f>'0_Configuration'!$C$6</f>
        <v>0</v>
      </c>
      <c r="AK93" s="6" t="s">
        <v>1117</v>
      </c>
      <c r="AL93" s="194" t="b">
        <f>'0_Configuration'!$C$10</f>
        <v>0</v>
      </c>
      <c r="AM93" s="6" t="s">
        <v>1117</v>
      </c>
      <c r="AN93" s="194" t="b">
        <f>'0_Configuration'!$C$17</f>
        <v>0</v>
      </c>
      <c r="AO93" s="6">
        <f>_xlfn.XLOOKUP(Tab_Def_Flows[[#This Row],[ODYM_Good_Type]],Tab_Configuration[Value],Tab_Configuration[ODYM_ID],,0,)</f>
        <v>0</v>
      </c>
      <c r="AP93" s="194" t="b">
        <f>'0_Configuration'!$C$24</f>
        <v>0</v>
      </c>
      <c r="AQ93" s="6"/>
      <c r="AR93" s="194" t="b">
        <f>'0_Configuration'!$C$29</f>
        <v>1</v>
      </c>
      <c r="AS93" s="6" t="s">
        <v>1131</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6"/>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1117</v>
      </c>
      <c r="AL94" s="194" t="b">
        <f>'0_Configuration'!$C$10</f>
        <v>0</v>
      </c>
      <c r="AM94" s="6" t="s">
        <v>1117</v>
      </c>
      <c r="AN94" s="194" t="b">
        <f>'0_Configuration'!$C$17</f>
        <v>0</v>
      </c>
      <c r="AO94" s="6">
        <f>_xlfn.XLOOKUP(Tab_Def_Flows[[#This Row],[ODYM_Good_Type]],Tab_Configuration[Value],Tab_Configuration[ODYM_ID],,0,)</f>
        <v>0</v>
      </c>
      <c r="AP94" s="194" t="b">
        <f>'0_Configuration'!$C$24</f>
        <v>0</v>
      </c>
      <c r="AQ94" s="6"/>
      <c r="AR94" s="194" t="b">
        <f>'0_Configuration'!$C$29</f>
        <v>1</v>
      </c>
      <c r="AS94" s="6" t="s">
        <v>1131</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E35" zoomScale="130" zoomScaleNormal="130" workbookViewId="0">
      <selection activeCell="M48" sqref="L48:M4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416</v>
      </c>
      <c r="D1" s="141" t="s">
        <v>1180</v>
      </c>
      <c r="E1" s="141" t="s">
        <v>1179</v>
      </c>
      <c r="F1" s="141" t="s">
        <v>1178</v>
      </c>
      <c r="G1" s="141" t="s">
        <v>1177</v>
      </c>
      <c r="H1" s="141" t="s">
        <v>1176</v>
      </c>
      <c r="I1" s="141" t="s">
        <v>1195</v>
      </c>
      <c r="J1" s="141" t="s">
        <v>405</v>
      </c>
      <c r="K1" s="141" t="s">
        <v>406</v>
      </c>
      <c r="L1" s="141" t="s">
        <v>21</v>
      </c>
      <c r="M1" s="141" t="s">
        <v>483</v>
      </c>
      <c r="N1" s="141" t="s">
        <v>459</v>
      </c>
      <c r="O1" s="141" t="s">
        <v>484</v>
      </c>
      <c r="P1" s="141" t="s">
        <v>485</v>
      </c>
      <c r="Q1" s="141" t="s">
        <v>486</v>
      </c>
      <c r="R1" s="141" t="s">
        <v>18</v>
      </c>
      <c r="S1" s="141" t="s">
        <v>19</v>
      </c>
      <c r="T1" s="141" t="s">
        <v>20</v>
      </c>
      <c r="U1" s="141" t="s">
        <v>1148</v>
      </c>
      <c r="V1" s="141" t="s">
        <v>1149</v>
      </c>
      <c r="W1" s="141" t="s">
        <v>1150</v>
      </c>
      <c r="X1" s="141" t="s">
        <v>1151</v>
      </c>
      <c r="Y1" s="141" t="s">
        <v>1152</v>
      </c>
      <c r="Z1" s="141" t="s">
        <v>1153</v>
      </c>
      <c r="AA1" s="141" t="s">
        <v>1154</v>
      </c>
      <c r="AB1" s="141" t="s">
        <v>1155</v>
      </c>
      <c r="AC1" s="141" t="s">
        <v>1156</v>
      </c>
      <c r="AD1" s="141" t="s">
        <v>1157</v>
      </c>
      <c r="AE1" s="141" t="s">
        <v>1158</v>
      </c>
      <c r="AF1" s="141" t="s">
        <v>1159</v>
      </c>
      <c r="AG1" s="141" t="s">
        <v>1160</v>
      </c>
      <c r="AH1" s="141" t="s">
        <v>1161</v>
      </c>
      <c r="AI1" s="141" t="s">
        <v>1162</v>
      </c>
      <c r="AJ1" s="141" t="s">
        <v>1194</v>
      </c>
      <c r="AK1" s="141" t="s">
        <v>1193</v>
      </c>
      <c r="AL1" s="141" t="s">
        <v>1192</v>
      </c>
    </row>
    <row r="2" spans="1:38"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c r="K2" s="189"/>
      <c r="L2" s="6" t="str">
        <f>'0_Configuration'!$C$41</f>
        <v>Mg</v>
      </c>
      <c r="M2" s="13"/>
      <c r="N2" s="13"/>
      <c r="O2" s="13"/>
      <c r="P2" s="13"/>
      <c r="Q2" s="13"/>
      <c r="R2" s="7" t="s">
        <v>6</v>
      </c>
      <c r="S2" s="14"/>
      <c r="T2" s="7"/>
      <c r="U2" s="6">
        <f>_xlfn.XLOOKUP(Tab_Data_Flows[[#This Row],[Flow_Name]],Tab_Def_Flows[Flow_Name],Tab_Def_Flows[Flow_E1_Fraction'[%']],"N.A.",0,1)</f>
        <v>0</v>
      </c>
      <c r="V2" s="12">
        <f t="shared" ref="V2:V33" si="0">IF(R2="no",K2,K2*S2)</f>
        <v>0</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0</v>
      </c>
      <c r="AB2" s="6">
        <f>IF(E2="Yes",AA2*Tab_Data_Flows[[#This Row],[E1_value]],"N.A.")</f>
        <v>0</v>
      </c>
      <c r="AC2" s="6" t="str">
        <f>Tab_Data_Flows[[#This Row],[E1_UoM]]</f>
        <v>Mg</v>
      </c>
      <c r="AD2" s="139">
        <f>_xlfn.XLOOKUP(Tab_Data_Flows[[#This Row],[Flow_Name]],Tab_Def_Flows[Flow_Name],Tab_Def_Flows[Flow_E4_Fraction'[%']],"N.A.",0,1)</f>
        <v>0</v>
      </c>
      <c r="AE2" s="6">
        <f>IF(H2="Yes",Tab_Data_Flows[[#This Row],[E4_Fraction'[%']]]*Tab_Data_Flows[[#This Row],[E1_value]],"N.A.")</f>
        <v>0</v>
      </c>
      <c r="AF2" s="6" t="str">
        <f>Tab_Data_Flows[[#This Row],[E1_UoM]]</f>
        <v>Mg</v>
      </c>
      <c r="AG2" s="139">
        <f>_xlfn.XLOOKUP(Tab_Data_Flows[[#This Row],[Flow_Name]],Tab_Def_Flows[Flow_Name],Tab_Def_Flows[Flow_E5_Fraction'[%']],"N.A.",0,1)</f>
        <v>0</v>
      </c>
      <c r="AH2" s="6">
        <f>IF(H2="Yes",Tab_Data_Flows[[#This Row],[E5_Fraction'[%']]]*Tab_Data_Flows[[#This Row],[E1_value]],"N.A.")</f>
        <v>0</v>
      </c>
      <c r="AI2" s="6" t="str">
        <f>Tab_Data_Flows[[#This Row],[E1_UoM]]</f>
        <v>Mg</v>
      </c>
      <c r="AJ2" s="139">
        <f>_xlfn.XLOOKUP(Tab_Data_Flows[[#This Row],[Flow_Name]],Tab_Def_Flows[Flow_Name],Tab_Def_Flows[Flow_E6_Fraction'[%']],"N.A.",0,1)</f>
        <v>0</v>
      </c>
      <c r="AK2" s="6">
        <f>IF(Tab_Data_Flows[[#This Row],[Use_E6]]="Yes",Tab_Data_Flows[[#This Row],[E6_Fraction'[%']]]*Tab_Data_Flows[[#This Row],[E1_value]],"N.A.")</f>
        <v>0</v>
      </c>
      <c r="AL2" s="6" t="str">
        <f>Tab_Data_Flows[[#This Row],[E1_UoM]]</f>
        <v>Mg</v>
      </c>
    </row>
    <row r="3" spans="1:38"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c r="K3" s="189"/>
      <c r="L3" s="6" t="str">
        <f>'0_Configuration'!$C$41</f>
        <v>Mg</v>
      </c>
      <c r="M3" s="13"/>
      <c r="N3" s="13"/>
      <c r="O3" s="13"/>
      <c r="P3" s="13"/>
      <c r="Q3" s="13"/>
      <c r="R3" s="7" t="s">
        <v>6</v>
      </c>
      <c r="S3" s="14"/>
      <c r="T3" s="7"/>
      <c r="U3" s="6">
        <f>_xlfn.XLOOKUP(Tab_Data_Flows[[#This Row],[Flow_Name]],Tab_Def_Flows[Flow_Name],Tab_Def_Flows[Flow_E1_Fraction'[%']],"N.A.",0,1)</f>
        <v>0</v>
      </c>
      <c r="V3" s="12">
        <f t="shared" si="0"/>
        <v>0</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0</v>
      </c>
      <c r="AB3" s="6">
        <f>IF(E3="Yes",AA3*Tab_Data_Flows[[#This Row],[E1_value]],"N.A.")</f>
        <v>0</v>
      </c>
      <c r="AC3" s="6" t="str">
        <f>Tab_Data_Flows[[#This Row],[E1_UoM]]</f>
        <v>Mg</v>
      </c>
      <c r="AD3" s="139">
        <f>_xlfn.XLOOKUP(Tab_Data_Flows[[#This Row],[Flow_Name]],Tab_Def_Flows[Flow_Name],Tab_Def_Flows[Flow_E4_Fraction'[%']],"N.A.",0,1)</f>
        <v>0</v>
      </c>
      <c r="AE3" s="6">
        <f>IF(H3="Yes",Tab_Data_Flows[[#This Row],[E4_Fraction'[%']]]*Tab_Data_Flows[[#This Row],[E1_value]],"N.A.")</f>
        <v>0</v>
      </c>
      <c r="AF3" s="6" t="str">
        <f>Tab_Data_Flows[[#This Row],[E1_UoM]]</f>
        <v>Mg</v>
      </c>
      <c r="AG3" s="139">
        <f>_xlfn.XLOOKUP(Tab_Data_Flows[[#This Row],[Flow_Name]],Tab_Def_Flows[Flow_Name],Tab_Def_Flows[Flow_E5_Fraction'[%']],"N.A.",0,1)</f>
        <v>0</v>
      </c>
      <c r="AH3" s="6">
        <f>IF(H3="Yes",Tab_Data_Flows[[#This Row],[E5_Fraction'[%']]]*Tab_Data_Flows[[#This Row],[E1_value]],"N.A.")</f>
        <v>0</v>
      </c>
      <c r="AI3" s="6" t="str">
        <f>Tab_Data_Flows[[#This Row],[E1_UoM]]</f>
        <v>Mg</v>
      </c>
      <c r="AJ3" s="139">
        <f>_xlfn.XLOOKUP(Tab_Data_Flows[[#This Row],[Flow_Name]],Tab_Def_Flows[Flow_Name],Tab_Def_Flows[Flow_E6_Fraction'[%']],"N.A.",0,1)</f>
        <v>0</v>
      </c>
      <c r="AK3" s="6">
        <f>IF(Tab_Data_Flows[[#This Row],[Use_E6]]="Yes",Tab_Data_Flows[[#This Row],[E6_Fraction'[%']]]*Tab_Data_Flows[[#This Row],[E1_value]],"N.A.")</f>
        <v>0</v>
      </c>
      <c r="AL3" s="6" t="str">
        <f>Tab_Data_Flows[[#This Row],[E1_UoM]]</f>
        <v>Mg</v>
      </c>
    </row>
    <row r="4" spans="1:38"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c r="K4" s="189"/>
      <c r="L4" s="6" t="str">
        <f>'0_Configuration'!$C$41</f>
        <v>Mg</v>
      </c>
      <c r="M4" s="13"/>
      <c r="N4" s="13"/>
      <c r="O4" s="13"/>
      <c r="P4" s="13"/>
      <c r="Q4" s="13"/>
      <c r="R4" s="7" t="s">
        <v>6</v>
      </c>
      <c r="S4" s="14"/>
      <c r="T4" s="7"/>
      <c r="U4" s="6">
        <f>_xlfn.XLOOKUP(Tab_Data_Flows[[#This Row],[Flow_Name]],Tab_Def_Flows[Flow_Name],Tab_Def_Flows[Flow_E1_Fraction'[%']],"N.A.",0,1)</f>
        <v>0</v>
      </c>
      <c r="V4" s="12">
        <f t="shared" si="0"/>
        <v>0</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0</v>
      </c>
      <c r="AB4" s="6">
        <f>IF(E4="Yes",AA4*Tab_Data_Flows[[#This Row],[E1_value]],"N.A.")</f>
        <v>0</v>
      </c>
      <c r="AC4" s="6" t="str">
        <f>Tab_Data_Flows[[#This Row],[E1_UoM]]</f>
        <v>Mg</v>
      </c>
      <c r="AD4" s="139">
        <f>_xlfn.XLOOKUP(Tab_Data_Flows[[#This Row],[Flow_Name]],Tab_Def_Flows[Flow_Name],Tab_Def_Flows[Flow_E4_Fraction'[%']],"N.A.",0,1)</f>
        <v>0</v>
      </c>
      <c r="AE4" s="6">
        <f>IF(H4="Yes",Tab_Data_Flows[[#This Row],[E4_Fraction'[%']]]*Tab_Data_Flows[[#This Row],[E1_value]],"N.A.")</f>
        <v>0</v>
      </c>
      <c r="AF4" s="6" t="str">
        <f>Tab_Data_Flows[[#This Row],[E1_UoM]]</f>
        <v>Mg</v>
      </c>
      <c r="AG4" s="139">
        <f>_xlfn.XLOOKUP(Tab_Data_Flows[[#This Row],[Flow_Name]],Tab_Def_Flows[Flow_Name],Tab_Def_Flows[Flow_E5_Fraction'[%']],"N.A.",0,1)</f>
        <v>0</v>
      </c>
      <c r="AH4" s="6">
        <f>IF(H4="Yes",Tab_Data_Flows[[#This Row],[E5_Fraction'[%']]]*Tab_Data_Flows[[#This Row],[E1_value]],"N.A.")</f>
        <v>0</v>
      </c>
      <c r="AI4" s="6" t="str">
        <f>Tab_Data_Flows[[#This Row],[E1_UoM]]</f>
        <v>Mg</v>
      </c>
      <c r="AJ4" s="139">
        <f>_xlfn.XLOOKUP(Tab_Data_Flows[[#This Row],[Flow_Name]],Tab_Def_Flows[Flow_Name],Tab_Def_Flows[Flow_E6_Fraction'[%']],"N.A.",0,1)</f>
        <v>0</v>
      </c>
      <c r="AK4" s="6">
        <f>IF(Tab_Data_Flows[[#This Row],[Use_E6]]="Yes",Tab_Data_Flows[[#This Row],[E6_Fraction'[%']]]*Tab_Data_Flows[[#This Row],[E1_value]],"N.A.")</f>
        <v>0</v>
      </c>
      <c r="AL4" s="6" t="str">
        <f>Tab_Data_Flows[[#This Row],[E1_UoM]]</f>
        <v>Mg</v>
      </c>
    </row>
    <row r="5" spans="1:38"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c r="K5" s="189"/>
      <c r="L5" s="6" t="str">
        <f>'0_Configuration'!$C$41</f>
        <v>Mg</v>
      </c>
      <c r="M5" s="13"/>
      <c r="N5" s="13"/>
      <c r="O5" s="13"/>
      <c r="P5" s="13"/>
      <c r="Q5" s="13"/>
      <c r="R5" s="7" t="s">
        <v>6</v>
      </c>
      <c r="S5" s="14"/>
      <c r="T5" s="7"/>
      <c r="U5" s="6">
        <f>_xlfn.XLOOKUP(Tab_Data_Flows[[#This Row],[Flow_Name]],Tab_Def_Flows[Flow_Name],Tab_Def_Flows[Flow_E1_Fraction'[%']],"N.A.",0,1)</f>
        <v>0</v>
      </c>
      <c r="V5" s="12">
        <f t="shared" si="0"/>
        <v>0</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0</v>
      </c>
      <c r="AB5" s="6">
        <f>IF(E5="Yes",AA5*Tab_Data_Flows[[#This Row],[E1_value]],"N.A.")</f>
        <v>0</v>
      </c>
      <c r="AC5" s="6" t="str">
        <f>Tab_Data_Flows[[#This Row],[E1_UoM]]</f>
        <v>Mg</v>
      </c>
      <c r="AD5" s="139">
        <f>_xlfn.XLOOKUP(Tab_Data_Flows[[#This Row],[Flow_Name]],Tab_Def_Flows[Flow_Name],Tab_Def_Flows[Flow_E4_Fraction'[%']],"N.A.",0,1)</f>
        <v>0</v>
      </c>
      <c r="AE5" s="6">
        <f>IF(H5="Yes",Tab_Data_Flows[[#This Row],[E4_Fraction'[%']]]*Tab_Data_Flows[[#This Row],[E1_value]],"N.A.")</f>
        <v>0</v>
      </c>
      <c r="AF5" s="6" t="str">
        <f>Tab_Data_Flows[[#This Row],[E1_UoM]]</f>
        <v>Mg</v>
      </c>
      <c r="AG5" s="139">
        <f>_xlfn.XLOOKUP(Tab_Data_Flows[[#This Row],[Flow_Name]],Tab_Def_Flows[Flow_Name],Tab_Def_Flows[Flow_E5_Fraction'[%']],"N.A.",0,1)</f>
        <v>0</v>
      </c>
      <c r="AH5" s="6">
        <f>IF(H5="Yes",Tab_Data_Flows[[#This Row],[E5_Fraction'[%']]]*Tab_Data_Flows[[#This Row],[E1_value]],"N.A.")</f>
        <v>0</v>
      </c>
      <c r="AI5" s="6" t="str">
        <f>Tab_Data_Flows[[#This Row],[E1_UoM]]</f>
        <v>Mg</v>
      </c>
      <c r="AJ5" s="139">
        <f>_xlfn.XLOOKUP(Tab_Data_Flows[[#This Row],[Flow_Name]],Tab_Def_Flows[Flow_Name],Tab_Def_Flows[Flow_E6_Fraction'[%']],"N.A.",0,1)</f>
        <v>0</v>
      </c>
      <c r="AK5" s="6">
        <f>IF(Tab_Data_Flows[[#This Row],[Use_E6]]="Yes",Tab_Data_Flows[[#This Row],[E6_Fraction'[%']]]*Tab_Data_Flows[[#This Row],[E1_value]],"N.A.")</f>
        <v>0</v>
      </c>
      <c r="AL5" s="6" t="str">
        <f>Tab_Data_Flows[[#This Row],[E1_UoM]]</f>
        <v>Mg</v>
      </c>
    </row>
    <row r="6" spans="1:38"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c r="K6" s="189"/>
      <c r="L6" s="6" t="str">
        <f>'0_Configuration'!$C$41</f>
        <v>Mg</v>
      </c>
      <c r="M6" s="13"/>
      <c r="N6" s="13"/>
      <c r="O6" s="13"/>
      <c r="P6" s="13"/>
      <c r="Q6" s="13"/>
      <c r="R6" s="7" t="s">
        <v>6</v>
      </c>
      <c r="S6" s="14"/>
      <c r="T6" s="7"/>
      <c r="U6" s="6">
        <f>_xlfn.XLOOKUP(Tab_Data_Flows[[#This Row],[Flow_Name]],Tab_Def_Flows[Flow_Name],Tab_Def_Flows[Flow_E1_Fraction'[%']],"N.A.",0,1)</f>
        <v>0</v>
      </c>
      <c r="V6" s="12">
        <f t="shared" si="0"/>
        <v>0</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0</v>
      </c>
      <c r="AB6" s="6">
        <f>IF(E6="Yes",AA6*Tab_Data_Flows[[#This Row],[E1_value]],"N.A.")</f>
        <v>0</v>
      </c>
      <c r="AC6" s="6" t="str">
        <f>Tab_Data_Flows[[#This Row],[E1_UoM]]</f>
        <v>Mg</v>
      </c>
      <c r="AD6" s="139">
        <f>_xlfn.XLOOKUP(Tab_Data_Flows[[#This Row],[Flow_Name]],Tab_Def_Flows[Flow_Name],Tab_Def_Flows[Flow_E4_Fraction'[%']],"N.A.",0,1)</f>
        <v>0</v>
      </c>
      <c r="AE6" s="6">
        <f>IF(H6="Yes",Tab_Data_Flows[[#This Row],[E4_Fraction'[%']]]*Tab_Data_Flows[[#This Row],[E1_value]],"N.A.")</f>
        <v>0</v>
      </c>
      <c r="AF6" s="6" t="str">
        <f>Tab_Data_Flows[[#This Row],[E1_UoM]]</f>
        <v>Mg</v>
      </c>
      <c r="AG6" s="139">
        <f>_xlfn.XLOOKUP(Tab_Data_Flows[[#This Row],[Flow_Name]],Tab_Def_Flows[Flow_Name],Tab_Def_Flows[Flow_E5_Fraction'[%']],"N.A.",0,1)</f>
        <v>0</v>
      </c>
      <c r="AH6" s="6">
        <f>IF(H6="Yes",Tab_Data_Flows[[#This Row],[E5_Fraction'[%']]]*Tab_Data_Flows[[#This Row],[E1_value]],"N.A.")</f>
        <v>0</v>
      </c>
      <c r="AI6" s="6" t="str">
        <f>Tab_Data_Flows[[#This Row],[E1_UoM]]</f>
        <v>Mg</v>
      </c>
      <c r="AJ6" s="139">
        <f>_xlfn.XLOOKUP(Tab_Data_Flows[[#This Row],[Flow_Name]],Tab_Def_Flows[Flow_Name],Tab_Def_Flows[Flow_E6_Fraction'[%']],"N.A.",0,1)</f>
        <v>0</v>
      </c>
      <c r="AK6" s="6">
        <f>IF(Tab_Data_Flows[[#This Row],[Use_E6]]="Yes",Tab_Data_Flows[[#This Row],[E6_Fraction'[%']]]*Tab_Data_Flows[[#This Row],[E1_value]],"N.A.")</f>
        <v>0</v>
      </c>
      <c r="AL6" s="6" t="str">
        <f>Tab_Data_Flows[[#This Row],[E1_UoM]]</f>
        <v>Mg</v>
      </c>
    </row>
    <row r="7" spans="1:38"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c r="K7" s="189"/>
      <c r="L7" s="6" t="str">
        <f>'0_Configuration'!$C$41</f>
        <v>Mg</v>
      </c>
      <c r="M7" s="13"/>
      <c r="N7" s="13"/>
      <c r="O7" s="13"/>
      <c r="P7" s="13"/>
      <c r="Q7" s="13"/>
      <c r="R7" s="7" t="s">
        <v>6</v>
      </c>
      <c r="S7" s="14"/>
      <c r="T7" s="7"/>
      <c r="U7" s="6">
        <f>_xlfn.XLOOKUP(Tab_Data_Flows[[#This Row],[Flow_Name]],Tab_Def_Flows[Flow_Name],Tab_Def_Flows[Flow_E1_Fraction'[%']],"N.A.",0,1)</f>
        <v>0</v>
      </c>
      <c r="V7" s="12">
        <f t="shared" si="0"/>
        <v>0</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0</v>
      </c>
      <c r="AB7" s="6">
        <f>IF(E7="Yes",AA7*Tab_Data_Flows[[#This Row],[E1_value]],"N.A.")</f>
        <v>0</v>
      </c>
      <c r="AC7" s="6" t="str">
        <f>Tab_Data_Flows[[#This Row],[E1_UoM]]</f>
        <v>Mg</v>
      </c>
      <c r="AD7" s="139">
        <f>_xlfn.XLOOKUP(Tab_Data_Flows[[#This Row],[Flow_Name]],Tab_Def_Flows[Flow_Name],Tab_Def_Flows[Flow_E4_Fraction'[%']],"N.A.",0,1)</f>
        <v>0</v>
      </c>
      <c r="AE7" s="6">
        <f>IF(H7="Yes",Tab_Data_Flows[[#This Row],[E4_Fraction'[%']]]*Tab_Data_Flows[[#This Row],[E1_value]],"N.A.")</f>
        <v>0</v>
      </c>
      <c r="AF7" s="6" t="str">
        <f>Tab_Data_Flows[[#This Row],[E1_UoM]]</f>
        <v>Mg</v>
      </c>
      <c r="AG7" s="139">
        <f>_xlfn.XLOOKUP(Tab_Data_Flows[[#This Row],[Flow_Name]],Tab_Def_Flows[Flow_Name],Tab_Def_Flows[Flow_E5_Fraction'[%']],"N.A.",0,1)</f>
        <v>0</v>
      </c>
      <c r="AH7" s="6">
        <f>IF(H7="Yes",Tab_Data_Flows[[#This Row],[E5_Fraction'[%']]]*Tab_Data_Flows[[#This Row],[E1_value]],"N.A.")</f>
        <v>0</v>
      </c>
      <c r="AI7" s="6" t="str">
        <f>Tab_Data_Flows[[#This Row],[E1_UoM]]</f>
        <v>Mg</v>
      </c>
      <c r="AJ7" s="139">
        <f>_xlfn.XLOOKUP(Tab_Data_Flows[[#This Row],[Flow_Name]],Tab_Def_Flows[Flow_Name],Tab_Def_Flows[Flow_E6_Fraction'[%']],"N.A.",0,1)</f>
        <v>0</v>
      </c>
      <c r="AK7" s="6">
        <f>IF(Tab_Data_Flows[[#This Row],[Use_E6]]="Yes",Tab_Data_Flows[[#This Row],[E6_Fraction'[%']]]*Tab_Data_Flows[[#This Row],[E1_value]],"N.A.")</f>
        <v>0</v>
      </c>
      <c r="AL7" s="6" t="str">
        <f>Tab_Data_Flows[[#This Row],[E1_UoM]]</f>
        <v>Mg</v>
      </c>
    </row>
    <row r="8" spans="1:38"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c r="K8" s="189"/>
      <c r="L8" s="6" t="str">
        <f>'0_Configuration'!$C$41</f>
        <v>Mg</v>
      </c>
      <c r="M8" s="13"/>
      <c r="N8" s="13"/>
      <c r="O8" s="13"/>
      <c r="P8" s="13"/>
      <c r="Q8" s="13"/>
      <c r="R8" s="7" t="s">
        <v>6</v>
      </c>
      <c r="S8" s="14"/>
      <c r="T8" s="7"/>
      <c r="U8" s="6">
        <f>_xlfn.XLOOKUP(Tab_Data_Flows[[#This Row],[Flow_Name]],Tab_Def_Flows[Flow_Name],Tab_Def_Flows[Flow_E1_Fraction'[%']],"N.A.",0,1)</f>
        <v>0</v>
      </c>
      <c r="V8" s="12">
        <f t="shared" si="0"/>
        <v>0</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0</v>
      </c>
      <c r="AB8" s="6">
        <f>IF(E8="Yes",AA8*Tab_Data_Flows[[#This Row],[E1_value]],"N.A.")</f>
        <v>0</v>
      </c>
      <c r="AC8" s="6" t="str">
        <f>Tab_Data_Flows[[#This Row],[E1_UoM]]</f>
        <v>Mg</v>
      </c>
      <c r="AD8" s="139">
        <f>_xlfn.XLOOKUP(Tab_Data_Flows[[#This Row],[Flow_Name]],Tab_Def_Flows[Flow_Name],Tab_Def_Flows[Flow_E4_Fraction'[%']],"N.A.",0,1)</f>
        <v>0</v>
      </c>
      <c r="AE8" s="6">
        <f>IF(H8="Yes",Tab_Data_Flows[[#This Row],[E4_Fraction'[%']]]*Tab_Data_Flows[[#This Row],[E1_value]],"N.A.")</f>
        <v>0</v>
      </c>
      <c r="AF8" s="6" t="str">
        <f>Tab_Data_Flows[[#This Row],[E1_UoM]]</f>
        <v>Mg</v>
      </c>
      <c r="AG8" s="139">
        <f>_xlfn.XLOOKUP(Tab_Data_Flows[[#This Row],[Flow_Name]],Tab_Def_Flows[Flow_Name],Tab_Def_Flows[Flow_E5_Fraction'[%']],"N.A.",0,1)</f>
        <v>0</v>
      </c>
      <c r="AH8" s="6">
        <f>IF(H8="Yes",Tab_Data_Flows[[#This Row],[E5_Fraction'[%']]]*Tab_Data_Flows[[#This Row],[E1_value]],"N.A.")</f>
        <v>0</v>
      </c>
      <c r="AI8" s="6" t="str">
        <f>Tab_Data_Flows[[#This Row],[E1_UoM]]</f>
        <v>Mg</v>
      </c>
      <c r="AJ8" s="139">
        <f>_xlfn.XLOOKUP(Tab_Data_Flows[[#This Row],[Flow_Name]],Tab_Def_Flows[Flow_Name],Tab_Def_Flows[Flow_E6_Fraction'[%']],"N.A.",0,1)</f>
        <v>0</v>
      </c>
      <c r="AK8" s="6">
        <f>IF(Tab_Data_Flows[[#This Row],[Use_E6]]="Yes",Tab_Data_Flows[[#This Row],[E6_Fraction'[%']]]*Tab_Data_Flows[[#This Row],[E1_value]],"N.A.")</f>
        <v>0</v>
      </c>
      <c r="AL8" s="6" t="str">
        <f>Tab_Data_Flows[[#This Row],[E1_UoM]]</f>
        <v>Mg</v>
      </c>
    </row>
    <row r="9" spans="1:38"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c r="K9" s="189"/>
      <c r="L9" s="6" t="str">
        <f>'0_Configuration'!$C$41</f>
        <v>Mg</v>
      </c>
      <c r="M9" s="13"/>
      <c r="N9" s="13"/>
      <c r="O9" s="13"/>
      <c r="P9" s="13"/>
      <c r="Q9" s="13"/>
      <c r="R9" s="7" t="s">
        <v>6</v>
      </c>
      <c r="S9" s="7"/>
      <c r="T9" s="7"/>
      <c r="U9" s="6">
        <f>_xlfn.XLOOKUP(Tab_Data_Flows[[#This Row],[Flow_Name]],Tab_Def_Flows[Flow_Name],Tab_Def_Flows[Flow_E1_Fraction'[%']],"N.A.",0,1)</f>
        <v>0</v>
      </c>
      <c r="V9" s="12">
        <f t="shared" si="0"/>
        <v>0</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0</v>
      </c>
      <c r="AB9" s="6">
        <f>IF(E9="Yes",AA9*Tab_Data_Flows[[#This Row],[E1_value]],"N.A.")</f>
        <v>0</v>
      </c>
      <c r="AC9" s="6" t="str">
        <f>Tab_Data_Flows[[#This Row],[E1_UoM]]</f>
        <v>Mg</v>
      </c>
      <c r="AD9" s="139">
        <f>_xlfn.XLOOKUP(Tab_Data_Flows[[#This Row],[Flow_Name]],Tab_Def_Flows[Flow_Name],Tab_Def_Flows[Flow_E4_Fraction'[%']],"N.A.",0,1)</f>
        <v>0</v>
      </c>
      <c r="AE9" s="6">
        <f>IF(H9="Yes",Tab_Data_Flows[[#This Row],[E4_Fraction'[%']]]*Tab_Data_Flows[[#This Row],[E1_value]],"N.A.")</f>
        <v>0</v>
      </c>
      <c r="AF9" s="6" t="str">
        <f>Tab_Data_Flows[[#This Row],[E1_UoM]]</f>
        <v>Mg</v>
      </c>
      <c r="AG9" s="139">
        <f>_xlfn.XLOOKUP(Tab_Data_Flows[[#This Row],[Flow_Name]],Tab_Def_Flows[Flow_Name],Tab_Def_Flows[Flow_E5_Fraction'[%']],"N.A.",0,1)</f>
        <v>0</v>
      </c>
      <c r="AH9" s="6">
        <f>IF(H9="Yes",Tab_Data_Flows[[#This Row],[E5_Fraction'[%']]]*Tab_Data_Flows[[#This Row],[E1_value]],"N.A.")</f>
        <v>0</v>
      </c>
      <c r="AI9" s="6" t="str">
        <f>Tab_Data_Flows[[#This Row],[E1_UoM]]</f>
        <v>Mg</v>
      </c>
      <c r="AJ9" s="139">
        <f>_xlfn.XLOOKUP(Tab_Data_Flows[[#This Row],[Flow_Name]],Tab_Def_Flows[Flow_Name],Tab_Def_Flows[Flow_E6_Fraction'[%']],"N.A.",0,1)</f>
        <v>0</v>
      </c>
      <c r="AK9" s="6">
        <f>IF(Tab_Data_Flows[[#This Row],[Use_E6]]="Yes",Tab_Data_Flows[[#This Row],[E6_Fraction'[%']]]*Tab_Data_Flows[[#This Row],[E1_value]],"N.A.")</f>
        <v>0</v>
      </c>
      <c r="AL9" s="6" t="str">
        <f>Tab_Data_Flows[[#This Row],[E1_UoM]]</f>
        <v>Mg</v>
      </c>
    </row>
    <row r="10" spans="1:38"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c r="K10" s="189"/>
      <c r="L10" s="6" t="str">
        <f>'0_Configuration'!$C$41</f>
        <v>Mg</v>
      </c>
      <c r="M10" s="13"/>
      <c r="N10" s="13"/>
      <c r="O10" s="13"/>
      <c r="P10" s="13"/>
      <c r="Q10" s="13"/>
      <c r="R10" s="7" t="s">
        <v>6</v>
      </c>
      <c r="S10" s="7"/>
      <c r="T10" s="7"/>
      <c r="U10" s="6">
        <f>_xlfn.XLOOKUP(Tab_Data_Flows[[#This Row],[Flow_Name]],Tab_Def_Flows[Flow_Name],Tab_Def_Flows[Flow_E1_Fraction'[%']],"N.A.",0,1)</f>
        <v>0</v>
      </c>
      <c r="V10" s="12">
        <f t="shared" si="0"/>
        <v>0</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0</v>
      </c>
      <c r="AB10" s="6">
        <f>IF(E10="Yes",AA10*Tab_Data_Flows[[#This Row],[E1_value]],"N.A.")</f>
        <v>0</v>
      </c>
      <c r="AC10" s="6" t="str">
        <f>Tab_Data_Flows[[#This Row],[E1_UoM]]</f>
        <v>Mg</v>
      </c>
      <c r="AD10" s="139">
        <f>_xlfn.XLOOKUP(Tab_Data_Flows[[#This Row],[Flow_Name]],Tab_Def_Flows[Flow_Name],Tab_Def_Flows[Flow_E4_Fraction'[%']],"N.A.",0,1)</f>
        <v>0</v>
      </c>
      <c r="AE10" s="6">
        <f>IF(H10="Yes",Tab_Data_Flows[[#This Row],[E4_Fraction'[%']]]*Tab_Data_Flows[[#This Row],[E1_value]],"N.A.")</f>
        <v>0</v>
      </c>
      <c r="AF10" s="6" t="str">
        <f>Tab_Data_Flows[[#This Row],[E1_UoM]]</f>
        <v>Mg</v>
      </c>
      <c r="AG10" s="139">
        <f>_xlfn.XLOOKUP(Tab_Data_Flows[[#This Row],[Flow_Name]],Tab_Def_Flows[Flow_Name],Tab_Def_Flows[Flow_E5_Fraction'[%']],"N.A.",0,1)</f>
        <v>0</v>
      </c>
      <c r="AH10" s="6">
        <f>IF(H10="Yes",Tab_Data_Flows[[#This Row],[E5_Fraction'[%']]]*Tab_Data_Flows[[#This Row],[E1_value]],"N.A.")</f>
        <v>0</v>
      </c>
      <c r="AI10" s="6" t="str">
        <f>Tab_Data_Flows[[#This Row],[E1_UoM]]</f>
        <v>Mg</v>
      </c>
      <c r="AJ10" s="139">
        <f>_xlfn.XLOOKUP(Tab_Data_Flows[[#This Row],[Flow_Name]],Tab_Def_Flows[Flow_Name],Tab_Def_Flows[Flow_E6_Fraction'[%']],"N.A.",0,1)</f>
        <v>0</v>
      </c>
      <c r="AK10" s="6">
        <f>IF(Tab_Data_Flows[[#This Row],[Use_E6]]="Yes",Tab_Data_Flows[[#This Row],[E6_Fraction'[%']]]*Tab_Data_Flows[[#This Row],[E1_value]],"N.A.")</f>
        <v>0</v>
      </c>
      <c r="AL10" s="6" t="str">
        <f>Tab_Data_Flows[[#This Row],[E1_UoM]]</f>
        <v>Mg</v>
      </c>
    </row>
    <row r="11" spans="1:38"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c r="K11" s="189"/>
      <c r="L11" s="6" t="str">
        <f>'0_Configuration'!$C$41</f>
        <v>Mg</v>
      </c>
      <c r="M11" s="13"/>
      <c r="N11" s="13"/>
      <c r="O11" s="13"/>
      <c r="P11" s="13"/>
      <c r="Q11" s="13"/>
      <c r="R11" s="7" t="s">
        <v>6</v>
      </c>
      <c r="S11" s="7"/>
      <c r="T11" s="7"/>
      <c r="U11" s="6">
        <f>_xlfn.XLOOKUP(Tab_Data_Flows[[#This Row],[Flow_Name]],Tab_Def_Flows[Flow_Name],Tab_Def_Flows[Flow_E1_Fraction'[%']],"N.A.",0,1)</f>
        <v>0</v>
      </c>
      <c r="V11" s="12">
        <f t="shared" si="0"/>
        <v>0</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0</v>
      </c>
      <c r="AB11" s="6">
        <f>IF(E11="Yes",AA11*Tab_Data_Flows[[#This Row],[E1_value]],"N.A.")</f>
        <v>0</v>
      </c>
      <c r="AC11" s="6" t="str">
        <f>Tab_Data_Flows[[#This Row],[E1_UoM]]</f>
        <v>Mg</v>
      </c>
      <c r="AD11" s="139">
        <f>_xlfn.XLOOKUP(Tab_Data_Flows[[#This Row],[Flow_Name]],Tab_Def_Flows[Flow_Name],Tab_Def_Flows[Flow_E4_Fraction'[%']],"N.A.",0,1)</f>
        <v>0</v>
      </c>
      <c r="AE11" s="6">
        <f>IF(H11="Yes",Tab_Data_Flows[[#This Row],[E4_Fraction'[%']]]*Tab_Data_Flows[[#This Row],[E1_value]],"N.A.")</f>
        <v>0</v>
      </c>
      <c r="AF11" s="6" t="str">
        <f>Tab_Data_Flows[[#This Row],[E1_UoM]]</f>
        <v>Mg</v>
      </c>
      <c r="AG11" s="139">
        <f>_xlfn.XLOOKUP(Tab_Data_Flows[[#This Row],[Flow_Name]],Tab_Def_Flows[Flow_Name],Tab_Def_Flows[Flow_E5_Fraction'[%']],"N.A.",0,1)</f>
        <v>0</v>
      </c>
      <c r="AH11" s="6">
        <f>IF(H11="Yes",Tab_Data_Flows[[#This Row],[E5_Fraction'[%']]]*Tab_Data_Flows[[#This Row],[E1_value]],"N.A.")</f>
        <v>0</v>
      </c>
      <c r="AI11" s="6" t="str">
        <f>Tab_Data_Flows[[#This Row],[E1_UoM]]</f>
        <v>Mg</v>
      </c>
      <c r="AJ11" s="139">
        <f>_xlfn.XLOOKUP(Tab_Data_Flows[[#This Row],[Flow_Name]],Tab_Def_Flows[Flow_Name],Tab_Def_Flows[Flow_E6_Fraction'[%']],"N.A.",0,1)</f>
        <v>0</v>
      </c>
      <c r="AK11" s="6">
        <f>IF(Tab_Data_Flows[[#This Row],[Use_E6]]="Yes",Tab_Data_Flows[[#This Row],[E6_Fraction'[%']]]*Tab_Data_Flows[[#This Row],[E1_value]],"N.A.")</f>
        <v>0</v>
      </c>
      <c r="AL11" s="6" t="str">
        <f>Tab_Data_Flows[[#This Row],[E1_UoM]]</f>
        <v>Mg</v>
      </c>
    </row>
    <row r="12" spans="1:38"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c r="K12" s="189"/>
      <c r="L12" s="6" t="str">
        <f>'0_Configuration'!$C$41</f>
        <v>Mg</v>
      </c>
      <c r="M12" s="13"/>
      <c r="N12" s="13"/>
      <c r="O12" s="13"/>
      <c r="P12" s="13"/>
      <c r="Q12" s="13"/>
      <c r="R12" s="7" t="s">
        <v>6</v>
      </c>
      <c r="S12" s="7"/>
      <c r="T12" s="7"/>
      <c r="U12" s="6">
        <f>_xlfn.XLOOKUP(Tab_Data_Flows[[#This Row],[Flow_Name]],Tab_Def_Flows[Flow_Name],Tab_Def_Flows[Flow_E1_Fraction'[%']],"N.A.",0,1)</f>
        <v>0</v>
      </c>
      <c r="V12" s="12">
        <f t="shared" si="0"/>
        <v>0</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0</v>
      </c>
      <c r="AB12" s="6">
        <f>IF(E12="Yes",AA12*Tab_Data_Flows[[#This Row],[E1_value]],"N.A.")</f>
        <v>0</v>
      </c>
      <c r="AC12" s="6" t="str">
        <f>Tab_Data_Flows[[#This Row],[E1_UoM]]</f>
        <v>Mg</v>
      </c>
      <c r="AD12" s="139">
        <f>_xlfn.XLOOKUP(Tab_Data_Flows[[#This Row],[Flow_Name]],Tab_Def_Flows[Flow_Name],Tab_Def_Flows[Flow_E4_Fraction'[%']],"N.A.",0,1)</f>
        <v>0</v>
      </c>
      <c r="AE12" s="6">
        <f>IF(H12="Yes",Tab_Data_Flows[[#This Row],[E4_Fraction'[%']]]*Tab_Data_Flows[[#This Row],[E1_value]],"N.A.")</f>
        <v>0</v>
      </c>
      <c r="AF12" s="6" t="str">
        <f>Tab_Data_Flows[[#This Row],[E1_UoM]]</f>
        <v>Mg</v>
      </c>
      <c r="AG12" s="139">
        <f>_xlfn.XLOOKUP(Tab_Data_Flows[[#This Row],[Flow_Name]],Tab_Def_Flows[Flow_Name],Tab_Def_Flows[Flow_E5_Fraction'[%']],"N.A.",0,1)</f>
        <v>0</v>
      </c>
      <c r="AH12" s="6">
        <f>IF(H12="Yes",Tab_Data_Flows[[#This Row],[E5_Fraction'[%']]]*Tab_Data_Flows[[#This Row],[E1_value]],"N.A.")</f>
        <v>0</v>
      </c>
      <c r="AI12" s="6" t="str">
        <f>Tab_Data_Flows[[#This Row],[E1_UoM]]</f>
        <v>Mg</v>
      </c>
      <c r="AJ12" s="139">
        <f>_xlfn.XLOOKUP(Tab_Data_Flows[[#This Row],[Flow_Name]],Tab_Def_Flows[Flow_Name],Tab_Def_Flows[Flow_E6_Fraction'[%']],"N.A.",0,1)</f>
        <v>0</v>
      </c>
      <c r="AK12" s="6">
        <f>IF(Tab_Data_Flows[[#This Row],[Use_E6]]="Yes",Tab_Data_Flows[[#This Row],[E6_Fraction'[%']]]*Tab_Data_Flows[[#This Row],[E1_value]],"N.A.")</f>
        <v>0</v>
      </c>
      <c r="AL12" s="6" t="str">
        <f>Tab_Data_Flows[[#This Row],[E1_UoM]]</f>
        <v>Mg</v>
      </c>
    </row>
    <row r="13" spans="1:38"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c r="K13" s="189"/>
      <c r="L13" s="6" t="str">
        <f>'0_Configuration'!$C$41</f>
        <v>Mg</v>
      </c>
      <c r="M13" s="13"/>
      <c r="N13" s="13"/>
      <c r="O13" s="13"/>
      <c r="P13" s="13"/>
      <c r="Q13" s="13"/>
      <c r="R13" s="7" t="s">
        <v>6</v>
      </c>
      <c r="S13" s="7"/>
      <c r="T13" s="7"/>
      <c r="U13" s="6">
        <f>_xlfn.XLOOKUP(Tab_Data_Flows[[#This Row],[Flow_Name]],Tab_Def_Flows[Flow_Name],Tab_Def_Flows[Flow_E1_Fraction'[%']],"N.A.",0,1)</f>
        <v>0</v>
      </c>
      <c r="V13" s="12">
        <f t="shared" si="0"/>
        <v>0</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0</v>
      </c>
      <c r="AB13" s="6">
        <f>IF(E13="Yes",AA13*Tab_Data_Flows[[#This Row],[E1_value]],"N.A.")</f>
        <v>0</v>
      </c>
      <c r="AC13" s="6" t="str">
        <f>Tab_Data_Flows[[#This Row],[E1_UoM]]</f>
        <v>Mg</v>
      </c>
      <c r="AD13" s="139">
        <f>_xlfn.XLOOKUP(Tab_Data_Flows[[#This Row],[Flow_Name]],Tab_Def_Flows[Flow_Name],Tab_Def_Flows[Flow_E4_Fraction'[%']],"N.A.",0,1)</f>
        <v>0</v>
      </c>
      <c r="AE13" s="6">
        <f>IF(H13="Yes",Tab_Data_Flows[[#This Row],[E4_Fraction'[%']]]*Tab_Data_Flows[[#This Row],[E1_value]],"N.A.")</f>
        <v>0</v>
      </c>
      <c r="AF13" s="6" t="str">
        <f>Tab_Data_Flows[[#This Row],[E1_UoM]]</f>
        <v>Mg</v>
      </c>
      <c r="AG13" s="139">
        <f>_xlfn.XLOOKUP(Tab_Data_Flows[[#This Row],[Flow_Name]],Tab_Def_Flows[Flow_Name],Tab_Def_Flows[Flow_E5_Fraction'[%']],"N.A.",0,1)</f>
        <v>0</v>
      </c>
      <c r="AH13" s="6">
        <f>IF(H13="Yes",Tab_Data_Flows[[#This Row],[E5_Fraction'[%']]]*Tab_Data_Flows[[#This Row],[E1_value]],"N.A.")</f>
        <v>0</v>
      </c>
      <c r="AI13" s="6" t="str">
        <f>Tab_Data_Flows[[#This Row],[E1_UoM]]</f>
        <v>Mg</v>
      </c>
      <c r="AJ13" s="139">
        <f>_xlfn.XLOOKUP(Tab_Data_Flows[[#This Row],[Flow_Name]],Tab_Def_Flows[Flow_Name],Tab_Def_Flows[Flow_E6_Fraction'[%']],"N.A.",0,1)</f>
        <v>0</v>
      </c>
      <c r="AK13" s="6">
        <f>IF(Tab_Data_Flows[[#This Row],[Use_E6]]="Yes",Tab_Data_Flows[[#This Row],[E6_Fraction'[%']]]*Tab_Data_Flows[[#This Row],[E1_value]],"N.A.")</f>
        <v>0</v>
      </c>
      <c r="AL13" s="6" t="str">
        <f>Tab_Data_Flows[[#This Row],[E1_UoM]]</f>
        <v>Mg</v>
      </c>
    </row>
    <row r="14" spans="1:38"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c r="K14" s="189"/>
      <c r="L14" s="6" t="str">
        <f>'0_Configuration'!$C$41</f>
        <v>Mg</v>
      </c>
      <c r="M14" s="13"/>
      <c r="N14" s="13"/>
      <c r="O14" s="13"/>
      <c r="P14" s="13"/>
      <c r="Q14" s="13"/>
      <c r="R14" s="7" t="s">
        <v>6</v>
      </c>
      <c r="S14" s="7"/>
      <c r="T14" s="7"/>
      <c r="U14" s="6">
        <f>_xlfn.XLOOKUP(Tab_Data_Flows[[#This Row],[Flow_Name]],Tab_Def_Flows[Flow_Name],Tab_Def_Flows[Flow_E1_Fraction'[%']],"N.A.",0,1)</f>
        <v>0</v>
      </c>
      <c r="V14" s="12">
        <f t="shared" si="0"/>
        <v>0</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0</v>
      </c>
      <c r="AB14" s="6">
        <f>IF(E14="Yes",AA14*Tab_Data_Flows[[#This Row],[E1_value]],"N.A.")</f>
        <v>0</v>
      </c>
      <c r="AC14" s="6" t="str">
        <f>Tab_Data_Flows[[#This Row],[E1_UoM]]</f>
        <v>Mg</v>
      </c>
      <c r="AD14" s="139">
        <f>_xlfn.XLOOKUP(Tab_Data_Flows[[#This Row],[Flow_Name]],Tab_Def_Flows[Flow_Name],Tab_Def_Flows[Flow_E4_Fraction'[%']],"N.A.",0,1)</f>
        <v>0</v>
      </c>
      <c r="AE14" s="6">
        <f>IF(H14="Yes",Tab_Data_Flows[[#This Row],[E4_Fraction'[%']]]*Tab_Data_Flows[[#This Row],[E1_value]],"N.A.")</f>
        <v>0</v>
      </c>
      <c r="AF14" s="6" t="str">
        <f>Tab_Data_Flows[[#This Row],[E1_UoM]]</f>
        <v>Mg</v>
      </c>
      <c r="AG14" s="139">
        <f>_xlfn.XLOOKUP(Tab_Data_Flows[[#This Row],[Flow_Name]],Tab_Def_Flows[Flow_Name],Tab_Def_Flows[Flow_E5_Fraction'[%']],"N.A.",0,1)</f>
        <v>0</v>
      </c>
      <c r="AH14" s="6">
        <f>IF(H14="Yes",Tab_Data_Flows[[#This Row],[E5_Fraction'[%']]]*Tab_Data_Flows[[#This Row],[E1_value]],"N.A.")</f>
        <v>0</v>
      </c>
      <c r="AI14" s="6" t="str">
        <f>Tab_Data_Flows[[#This Row],[E1_UoM]]</f>
        <v>Mg</v>
      </c>
      <c r="AJ14" s="139">
        <f>_xlfn.XLOOKUP(Tab_Data_Flows[[#This Row],[Flow_Name]],Tab_Def_Flows[Flow_Name],Tab_Def_Flows[Flow_E6_Fraction'[%']],"N.A.",0,1)</f>
        <v>0</v>
      </c>
      <c r="AK14" s="6">
        <f>IF(Tab_Data_Flows[[#This Row],[Use_E6]]="Yes",Tab_Data_Flows[[#This Row],[E6_Fraction'[%']]]*Tab_Data_Flows[[#This Row],[E1_value]],"N.A.")</f>
        <v>0</v>
      </c>
      <c r="AL14" s="6" t="str">
        <f>Tab_Data_Flows[[#This Row],[E1_UoM]]</f>
        <v>Mg</v>
      </c>
    </row>
    <row r="15" spans="1:38"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c r="K15" s="189"/>
      <c r="L15" s="6" t="str">
        <f>'0_Configuration'!$C$41</f>
        <v>Mg</v>
      </c>
      <c r="M15" s="13"/>
      <c r="N15" s="13"/>
      <c r="O15" s="13"/>
      <c r="P15" s="13"/>
      <c r="Q15" s="13"/>
      <c r="R15" s="7" t="s">
        <v>6</v>
      </c>
      <c r="S15" s="7"/>
      <c r="T15" s="7"/>
      <c r="U15" s="6">
        <f>_xlfn.XLOOKUP(Tab_Data_Flows[[#This Row],[Flow_Name]],Tab_Def_Flows[Flow_Name],Tab_Def_Flows[Flow_E1_Fraction'[%']],"N.A.",0,1)</f>
        <v>0</v>
      </c>
      <c r="V15" s="12">
        <f t="shared" si="0"/>
        <v>0</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0</v>
      </c>
      <c r="AB15" s="6">
        <f>IF(E15="Yes",AA15*Tab_Data_Flows[[#This Row],[E1_value]],"N.A.")</f>
        <v>0</v>
      </c>
      <c r="AC15" s="6" t="str">
        <f>Tab_Data_Flows[[#This Row],[E1_UoM]]</f>
        <v>Mg</v>
      </c>
      <c r="AD15" s="139">
        <f>_xlfn.XLOOKUP(Tab_Data_Flows[[#This Row],[Flow_Name]],Tab_Def_Flows[Flow_Name],Tab_Def_Flows[Flow_E4_Fraction'[%']],"N.A.",0,1)</f>
        <v>0</v>
      </c>
      <c r="AE15" s="6">
        <f>IF(H15="Yes",Tab_Data_Flows[[#This Row],[E4_Fraction'[%']]]*Tab_Data_Flows[[#This Row],[E1_value]],"N.A.")</f>
        <v>0</v>
      </c>
      <c r="AF15" s="6" t="str">
        <f>Tab_Data_Flows[[#This Row],[E1_UoM]]</f>
        <v>Mg</v>
      </c>
      <c r="AG15" s="139">
        <f>_xlfn.XLOOKUP(Tab_Data_Flows[[#This Row],[Flow_Name]],Tab_Def_Flows[Flow_Name],Tab_Def_Flows[Flow_E5_Fraction'[%']],"N.A.",0,1)</f>
        <v>0</v>
      </c>
      <c r="AH15" s="6">
        <f>IF(H15="Yes",Tab_Data_Flows[[#This Row],[E5_Fraction'[%']]]*Tab_Data_Flows[[#This Row],[E1_value]],"N.A.")</f>
        <v>0</v>
      </c>
      <c r="AI15" s="6" t="str">
        <f>Tab_Data_Flows[[#This Row],[E1_UoM]]</f>
        <v>Mg</v>
      </c>
      <c r="AJ15" s="139">
        <f>_xlfn.XLOOKUP(Tab_Data_Flows[[#This Row],[Flow_Name]],Tab_Def_Flows[Flow_Name],Tab_Def_Flows[Flow_E6_Fraction'[%']],"N.A.",0,1)</f>
        <v>0</v>
      </c>
      <c r="AK15" s="6">
        <f>IF(Tab_Data_Flows[[#This Row],[Use_E6]]="Yes",Tab_Data_Flows[[#This Row],[E6_Fraction'[%']]]*Tab_Data_Flows[[#This Row],[E1_value]],"N.A.")</f>
        <v>0</v>
      </c>
      <c r="AL15" s="6" t="str">
        <f>Tab_Data_Flows[[#This Row],[E1_UoM]]</f>
        <v>Mg</v>
      </c>
    </row>
    <row r="16" spans="1:38"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c r="K16" s="189"/>
      <c r="L16" s="6" t="str">
        <f>'0_Configuration'!$C$41</f>
        <v>Mg</v>
      </c>
      <c r="M16" s="13"/>
      <c r="N16" s="13"/>
      <c r="O16" s="13"/>
      <c r="P16" s="13"/>
      <c r="Q16" s="13"/>
      <c r="R16" s="7" t="s">
        <v>6</v>
      </c>
      <c r="S16" s="7"/>
      <c r="T16" s="7"/>
      <c r="U16" s="6">
        <f>_xlfn.XLOOKUP(Tab_Data_Flows[[#This Row],[Flow_Name]],Tab_Def_Flows[Flow_Name],Tab_Def_Flows[Flow_E1_Fraction'[%']],"N.A.",0,1)</f>
        <v>0</v>
      </c>
      <c r="V16" s="12">
        <f t="shared" si="0"/>
        <v>0</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0</v>
      </c>
      <c r="AB16" s="6">
        <f>IF(E16="Yes",AA16*Tab_Data_Flows[[#This Row],[E1_value]],"N.A.")</f>
        <v>0</v>
      </c>
      <c r="AC16" s="6" t="str">
        <f>Tab_Data_Flows[[#This Row],[E1_UoM]]</f>
        <v>Mg</v>
      </c>
      <c r="AD16" s="139">
        <f>_xlfn.XLOOKUP(Tab_Data_Flows[[#This Row],[Flow_Name]],Tab_Def_Flows[Flow_Name],Tab_Def_Flows[Flow_E4_Fraction'[%']],"N.A.",0,1)</f>
        <v>0</v>
      </c>
      <c r="AE16" s="6">
        <f>IF(H16="Yes",Tab_Data_Flows[[#This Row],[E4_Fraction'[%']]]*Tab_Data_Flows[[#This Row],[E1_value]],"N.A.")</f>
        <v>0</v>
      </c>
      <c r="AF16" s="6" t="str">
        <f>Tab_Data_Flows[[#This Row],[E1_UoM]]</f>
        <v>Mg</v>
      </c>
      <c r="AG16" s="139">
        <f>_xlfn.XLOOKUP(Tab_Data_Flows[[#This Row],[Flow_Name]],Tab_Def_Flows[Flow_Name],Tab_Def_Flows[Flow_E5_Fraction'[%']],"N.A.",0,1)</f>
        <v>0</v>
      </c>
      <c r="AH16" s="6">
        <f>IF(H16="Yes",Tab_Data_Flows[[#This Row],[E5_Fraction'[%']]]*Tab_Data_Flows[[#This Row],[E1_value]],"N.A.")</f>
        <v>0</v>
      </c>
      <c r="AI16" s="6" t="str">
        <f>Tab_Data_Flows[[#This Row],[E1_UoM]]</f>
        <v>Mg</v>
      </c>
      <c r="AJ16" s="139">
        <f>_xlfn.XLOOKUP(Tab_Data_Flows[[#This Row],[Flow_Name]],Tab_Def_Flows[Flow_Name],Tab_Def_Flows[Flow_E6_Fraction'[%']],"N.A.",0,1)</f>
        <v>0</v>
      </c>
      <c r="AK16" s="6">
        <f>IF(Tab_Data_Flows[[#This Row],[Use_E6]]="Yes",Tab_Data_Flows[[#This Row],[E6_Fraction'[%']]]*Tab_Data_Flows[[#This Row],[E1_value]],"N.A.")</f>
        <v>0</v>
      </c>
      <c r="AL16" s="6" t="str">
        <f>Tab_Data_Flows[[#This Row],[E1_UoM]]</f>
        <v>Mg</v>
      </c>
    </row>
    <row r="17" spans="1:38"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c r="K17" s="189"/>
      <c r="L17" s="6" t="str">
        <f>'0_Configuration'!$C$41</f>
        <v>Mg</v>
      </c>
      <c r="M17" s="13"/>
      <c r="N17" s="13"/>
      <c r="O17" s="13"/>
      <c r="P17" s="13"/>
      <c r="Q17" s="13"/>
      <c r="R17" s="7" t="s">
        <v>6</v>
      </c>
      <c r="S17" s="7"/>
      <c r="T17" s="7"/>
      <c r="U17" s="6">
        <f>_xlfn.XLOOKUP(Tab_Data_Flows[[#This Row],[Flow_Name]],Tab_Def_Flows[Flow_Name],Tab_Def_Flows[Flow_E1_Fraction'[%']],"N.A.",0,1)</f>
        <v>0</v>
      </c>
      <c r="V17" s="12">
        <f t="shared" si="0"/>
        <v>0</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0</v>
      </c>
      <c r="AB17" s="6">
        <f>IF(E17="Yes",AA17*Tab_Data_Flows[[#This Row],[E1_value]],"N.A.")</f>
        <v>0</v>
      </c>
      <c r="AC17" s="6" t="str">
        <f>Tab_Data_Flows[[#This Row],[E1_UoM]]</f>
        <v>Mg</v>
      </c>
      <c r="AD17" s="139">
        <f>_xlfn.XLOOKUP(Tab_Data_Flows[[#This Row],[Flow_Name]],Tab_Def_Flows[Flow_Name],Tab_Def_Flows[Flow_E4_Fraction'[%']],"N.A.",0,1)</f>
        <v>0</v>
      </c>
      <c r="AE17" s="6">
        <f>IF(H17="Yes",Tab_Data_Flows[[#This Row],[E4_Fraction'[%']]]*Tab_Data_Flows[[#This Row],[E1_value]],"N.A.")</f>
        <v>0</v>
      </c>
      <c r="AF17" s="6" t="str">
        <f>Tab_Data_Flows[[#This Row],[E1_UoM]]</f>
        <v>Mg</v>
      </c>
      <c r="AG17" s="139">
        <f>_xlfn.XLOOKUP(Tab_Data_Flows[[#This Row],[Flow_Name]],Tab_Def_Flows[Flow_Name],Tab_Def_Flows[Flow_E5_Fraction'[%']],"N.A.",0,1)</f>
        <v>0</v>
      </c>
      <c r="AH17" s="6">
        <f>IF(H17="Yes",Tab_Data_Flows[[#This Row],[E5_Fraction'[%']]]*Tab_Data_Flows[[#This Row],[E1_value]],"N.A.")</f>
        <v>0</v>
      </c>
      <c r="AI17" s="6" t="str">
        <f>Tab_Data_Flows[[#This Row],[E1_UoM]]</f>
        <v>Mg</v>
      </c>
      <c r="AJ17" s="139">
        <f>_xlfn.XLOOKUP(Tab_Data_Flows[[#This Row],[Flow_Name]],Tab_Def_Flows[Flow_Name],Tab_Def_Flows[Flow_E6_Fraction'[%']],"N.A.",0,1)</f>
        <v>0</v>
      </c>
      <c r="AK17" s="6">
        <f>IF(Tab_Data_Flows[[#This Row],[Use_E6]]="Yes",Tab_Data_Flows[[#This Row],[E6_Fraction'[%']]]*Tab_Data_Flows[[#This Row],[E1_value]],"N.A.")</f>
        <v>0</v>
      </c>
      <c r="AL17" s="6" t="str">
        <f>Tab_Data_Flows[[#This Row],[E1_UoM]]</f>
        <v>Mg</v>
      </c>
    </row>
    <row r="18" spans="1:38"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c r="K18" s="189"/>
      <c r="L18" s="6" t="str">
        <f>'0_Configuration'!$C$41</f>
        <v>Mg</v>
      </c>
      <c r="M18" s="13"/>
      <c r="N18" s="13"/>
      <c r="O18" s="13"/>
      <c r="P18" s="13"/>
      <c r="Q18" s="13"/>
      <c r="R18" s="7" t="s">
        <v>6</v>
      </c>
      <c r="S18" s="7"/>
      <c r="T18" s="7"/>
      <c r="U18" s="6">
        <f>_xlfn.XLOOKUP(Tab_Data_Flows[[#This Row],[Flow_Name]],Tab_Def_Flows[Flow_Name],Tab_Def_Flows[Flow_E1_Fraction'[%']],"N.A.",0,1)</f>
        <v>0</v>
      </c>
      <c r="V18" s="12">
        <f t="shared" si="0"/>
        <v>0</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0</v>
      </c>
      <c r="AB18" s="6">
        <f>IF(E18="Yes",AA18*Tab_Data_Flows[[#This Row],[E1_value]],"N.A.")</f>
        <v>0</v>
      </c>
      <c r="AC18" s="6" t="str">
        <f>Tab_Data_Flows[[#This Row],[E1_UoM]]</f>
        <v>Mg</v>
      </c>
      <c r="AD18" s="139">
        <f>_xlfn.XLOOKUP(Tab_Data_Flows[[#This Row],[Flow_Name]],Tab_Def_Flows[Flow_Name],Tab_Def_Flows[Flow_E4_Fraction'[%']],"N.A.",0,1)</f>
        <v>0</v>
      </c>
      <c r="AE18" s="6">
        <f>IF(H18="Yes",Tab_Data_Flows[[#This Row],[E4_Fraction'[%']]]*Tab_Data_Flows[[#This Row],[E1_value]],"N.A.")</f>
        <v>0</v>
      </c>
      <c r="AF18" s="6" t="str">
        <f>Tab_Data_Flows[[#This Row],[E1_UoM]]</f>
        <v>Mg</v>
      </c>
      <c r="AG18" s="139">
        <f>_xlfn.XLOOKUP(Tab_Data_Flows[[#This Row],[Flow_Name]],Tab_Def_Flows[Flow_Name],Tab_Def_Flows[Flow_E5_Fraction'[%']],"N.A.",0,1)</f>
        <v>0</v>
      </c>
      <c r="AH18" s="6">
        <f>IF(H18="Yes",Tab_Data_Flows[[#This Row],[E5_Fraction'[%']]]*Tab_Data_Flows[[#This Row],[E1_value]],"N.A.")</f>
        <v>0</v>
      </c>
      <c r="AI18" s="6" t="str">
        <f>Tab_Data_Flows[[#This Row],[E1_UoM]]</f>
        <v>Mg</v>
      </c>
      <c r="AJ18" s="139">
        <f>_xlfn.XLOOKUP(Tab_Data_Flows[[#This Row],[Flow_Name]],Tab_Def_Flows[Flow_Name],Tab_Def_Flows[Flow_E6_Fraction'[%']],"N.A.",0,1)</f>
        <v>0</v>
      </c>
      <c r="AK18" s="6">
        <f>IF(Tab_Data_Flows[[#This Row],[Use_E6]]="Yes",Tab_Data_Flows[[#This Row],[E6_Fraction'[%']]]*Tab_Data_Flows[[#This Row],[E1_value]],"N.A.")</f>
        <v>0</v>
      </c>
      <c r="AL18" s="6" t="str">
        <f>Tab_Data_Flows[[#This Row],[E1_UoM]]</f>
        <v>Mg</v>
      </c>
    </row>
    <row r="19" spans="1:38"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c r="K19" s="189"/>
      <c r="L19" s="6" t="str">
        <f>'0_Configuration'!$C$41</f>
        <v>Mg</v>
      </c>
      <c r="M19" s="13"/>
      <c r="N19" s="13"/>
      <c r="O19" s="13"/>
      <c r="P19" s="13"/>
      <c r="Q19" s="13"/>
      <c r="R19" s="7" t="s">
        <v>6</v>
      </c>
      <c r="S19" s="7"/>
      <c r="T19" s="7"/>
      <c r="U19" s="6">
        <f>_xlfn.XLOOKUP(Tab_Data_Flows[[#This Row],[Flow_Name]],Tab_Def_Flows[Flow_Name],Tab_Def_Flows[Flow_E1_Fraction'[%']],"N.A.",0,1)</f>
        <v>0</v>
      </c>
      <c r="V19" s="12">
        <f t="shared" si="0"/>
        <v>0</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0</v>
      </c>
      <c r="AB19" s="6">
        <f>IF(E19="Yes",AA19*Tab_Data_Flows[[#This Row],[E1_value]],"N.A.")</f>
        <v>0</v>
      </c>
      <c r="AC19" s="6" t="str">
        <f>Tab_Data_Flows[[#This Row],[E1_UoM]]</f>
        <v>Mg</v>
      </c>
      <c r="AD19" s="139">
        <f>_xlfn.XLOOKUP(Tab_Data_Flows[[#This Row],[Flow_Name]],Tab_Def_Flows[Flow_Name],Tab_Def_Flows[Flow_E4_Fraction'[%']],"N.A.",0,1)</f>
        <v>0</v>
      </c>
      <c r="AE19" s="6">
        <f>IF(H19="Yes",Tab_Data_Flows[[#This Row],[E4_Fraction'[%']]]*Tab_Data_Flows[[#This Row],[E1_value]],"N.A.")</f>
        <v>0</v>
      </c>
      <c r="AF19" s="6" t="str">
        <f>Tab_Data_Flows[[#This Row],[E1_UoM]]</f>
        <v>Mg</v>
      </c>
      <c r="AG19" s="139">
        <f>_xlfn.XLOOKUP(Tab_Data_Flows[[#This Row],[Flow_Name]],Tab_Def_Flows[Flow_Name],Tab_Def_Flows[Flow_E5_Fraction'[%']],"N.A.",0,1)</f>
        <v>0</v>
      </c>
      <c r="AH19" s="6">
        <f>IF(H19="Yes",Tab_Data_Flows[[#This Row],[E5_Fraction'[%']]]*Tab_Data_Flows[[#This Row],[E1_value]],"N.A.")</f>
        <v>0</v>
      </c>
      <c r="AI19" s="6" t="str">
        <f>Tab_Data_Flows[[#This Row],[E1_UoM]]</f>
        <v>Mg</v>
      </c>
      <c r="AJ19" s="139">
        <f>_xlfn.XLOOKUP(Tab_Data_Flows[[#This Row],[Flow_Name]],Tab_Def_Flows[Flow_Name],Tab_Def_Flows[Flow_E6_Fraction'[%']],"N.A.",0,1)</f>
        <v>0</v>
      </c>
      <c r="AK19" s="6">
        <f>IF(Tab_Data_Flows[[#This Row],[Use_E6]]="Yes",Tab_Data_Flows[[#This Row],[E6_Fraction'[%']]]*Tab_Data_Flows[[#This Row],[E1_value]],"N.A.")</f>
        <v>0</v>
      </c>
      <c r="AL19" s="6" t="str">
        <f>Tab_Data_Flows[[#This Row],[E1_UoM]]</f>
        <v>Mg</v>
      </c>
    </row>
    <row r="20" spans="1:38"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c r="K20" s="189"/>
      <c r="L20" s="6" t="str">
        <f>'0_Configuration'!$C$41</f>
        <v>Mg</v>
      </c>
      <c r="M20" s="13"/>
      <c r="N20" s="13"/>
      <c r="O20" s="13"/>
      <c r="P20" s="13"/>
      <c r="Q20" s="13"/>
      <c r="R20" s="7" t="s">
        <v>6</v>
      </c>
      <c r="S20" s="7"/>
      <c r="T20" s="7"/>
      <c r="U20" s="6">
        <f>_xlfn.XLOOKUP(Tab_Data_Flows[[#This Row],[Flow_Name]],Tab_Def_Flows[Flow_Name],Tab_Def_Flows[Flow_E1_Fraction'[%']],"N.A.",0,1)</f>
        <v>0</v>
      </c>
      <c r="V20" s="12">
        <f t="shared" si="0"/>
        <v>0</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0</v>
      </c>
      <c r="AB20" s="6">
        <f>IF(E20="Yes",AA20*Tab_Data_Flows[[#This Row],[E1_value]],"N.A.")</f>
        <v>0</v>
      </c>
      <c r="AC20" s="6" t="str">
        <f>Tab_Data_Flows[[#This Row],[E1_UoM]]</f>
        <v>Mg</v>
      </c>
      <c r="AD20" s="139">
        <f>_xlfn.XLOOKUP(Tab_Data_Flows[[#This Row],[Flow_Name]],Tab_Def_Flows[Flow_Name],Tab_Def_Flows[Flow_E4_Fraction'[%']],"N.A.",0,1)</f>
        <v>0</v>
      </c>
      <c r="AE20" s="6">
        <f>IF(H20="Yes",Tab_Data_Flows[[#This Row],[E4_Fraction'[%']]]*Tab_Data_Flows[[#This Row],[E1_value]],"N.A.")</f>
        <v>0</v>
      </c>
      <c r="AF20" s="6" t="str">
        <f>Tab_Data_Flows[[#This Row],[E1_UoM]]</f>
        <v>Mg</v>
      </c>
      <c r="AG20" s="139">
        <f>_xlfn.XLOOKUP(Tab_Data_Flows[[#This Row],[Flow_Name]],Tab_Def_Flows[Flow_Name],Tab_Def_Flows[Flow_E5_Fraction'[%']],"N.A.",0,1)</f>
        <v>0</v>
      </c>
      <c r="AH20" s="6">
        <f>IF(H20="Yes",Tab_Data_Flows[[#This Row],[E5_Fraction'[%']]]*Tab_Data_Flows[[#This Row],[E1_value]],"N.A.")</f>
        <v>0</v>
      </c>
      <c r="AI20" s="6" t="str">
        <f>Tab_Data_Flows[[#This Row],[E1_UoM]]</f>
        <v>Mg</v>
      </c>
      <c r="AJ20" s="139">
        <f>_xlfn.XLOOKUP(Tab_Data_Flows[[#This Row],[Flow_Name]],Tab_Def_Flows[Flow_Name],Tab_Def_Flows[Flow_E6_Fraction'[%']],"N.A.",0,1)</f>
        <v>0</v>
      </c>
      <c r="AK20" s="6">
        <f>IF(Tab_Data_Flows[[#This Row],[Use_E6]]="Yes",Tab_Data_Flows[[#This Row],[E6_Fraction'[%']]]*Tab_Data_Flows[[#This Row],[E1_value]],"N.A.")</f>
        <v>0</v>
      </c>
      <c r="AL20" s="6" t="str">
        <f>Tab_Data_Flows[[#This Row],[E1_UoM]]</f>
        <v>Mg</v>
      </c>
    </row>
    <row r="21" spans="1:38"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c r="K21" s="189"/>
      <c r="L21" s="6" t="str">
        <f>'0_Configuration'!$C$41</f>
        <v>Mg</v>
      </c>
      <c r="M21" s="13"/>
      <c r="N21" s="13"/>
      <c r="O21" s="13"/>
      <c r="P21" s="13"/>
      <c r="Q21" s="13"/>
      <c r="R21" s="7" t="s">
        <v>6</v>
      </c>
      <c r="S21" s="7"/>
      <c r="T21" s="7"/>
      <c r="U21" s="6">
        <f>_xlfn.XLOOKUP(Tab_Data_Flows[[#This Row],[Flow_Name]],Tab_Def_Flows[Flow_Name],Tab_Def_Flows[Flow_E1_Fraction'[%']],"N.A.",0,1)</f>
        <v>0</v>
      </c>
      <c r="V21" s="12">
        <f t="shared" si="0"/>
        <v>0</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0</v>
      </c>
      <c r="AB21" s="6">
        <f>IF(E21="Yes",AA21*Tab_Data_Flows[[#This Row],[E1_value]],"N.A.")</f>
        <v>0</v>
      </c>
      <c r="AC21" s="6" t="str">
        <f>Tab_Data_Flows[[#This Row],[E1_UoM]]</f>
        <v>Mg</v>
      </c>
      <c r="AD21" s="139">
        <f>_xlfn.XLOOKUP(Tab_Data_Flows[[#This Row],[Flow_Name]],Tab_Def_Flows[Flow_Name],Tab_Def_Flows[Flow_E4_Fraction'[%']],"N.A.",0,1)</f>
        <v>0</v>
      </c>
      <c r="AE21" s="6">
        <f>IF(H21="Yes",Tab_Data_Flows[[#This Row],[E4_Fraction'[%']]]*Tab_Data_Flows[[#This Row],[E1_value]],"N.A.")</f>
        <v>0</v>
      </c>
      <c r="AF21" s="6" t="str">
        <f>Tab_Data_Flows[[#This Row],[E1_UoM]]</f>
        <v>Mg</v>
      </c>
      <c r="AG21" s="139">
        <f>_xlfn.XLOOKUP(Tab_Data_Flows[[#This Row],[Flow_Name]],Tab_Def_Flows[Flow_Name],Tab_Def_Flows[Flow_E5_Fraction'[%']],"N.A.",0,1)</f>
        <v>0</v>
      </c>
      <c r="AH21" s="6">
        <f>IF(H21="Yes",Tab_Data_Flows[[#This Row],[E5_Fraction'[%']]]*Tab_Data_Flows[[#This Row],[E1_value]],"N.A.")</f>
        <v>0</v>
      </c>
      <c r="AI21" s="6" t="str">
        <f>Tab_Data_Flows[[#This Row],[E1_UoM]]</f>
        <v>Mg</v>
      </c>
      <c r="AJ21" s="139">
        <f>_xlfn.XLOOKUP(Tab_Data_Flows[[#This Row],[Flow_Name]],Tab_Def_Flows[Flow_Name],Tab_Def_Flows[Flow_E6_Fraction'[%']],"N.A.",0,1)</f>
        <v>0</v>
      </c>
      <c r="AK21" s="6">
        <f>IF(Tab_Data_Flows[[#This Row],[Use_E6]]="Yes",Tab_Data_Flows[[#This Row],[E6_Fraction'[%']]]*Tab_Data_Flows[[#This Row],[E1_value]],"N.A.")</f>
        <v>0</v>
      </c>
      <c r="AL21" s="6" t="str">
        <f>Tab_Data_Flows[[#This Row],[E1_UoM]]</f>
        <v>Mg</v>
      </c>
    </row>
    <row r="22" spans="1:38"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c r="K22" s="189"/>
      <c r="L22" s="6" t="str">
        <f>'0_Configuration'!$C$41</f>
        <v>Mg</v>
      </c>
      <c r="M22" s="13"/>
      <c r="N22" s="13"/>
      <c r="O22" s="13"/>
      <c r="P22" s="13"/>
      <c r="Q22" s="13"/>
      <c r="R22" s="7" t="s">
        <v>6</v>
      </c>
      <c r="S22" s="7"/>
      <c r="T22" s="7"/>
      <c r="U22" s="6">
        <f>_xlfn.XLOOKUP(Tab_Data_Flows[[#This Row],[Flow_Name]],Tab_Def_Flows[Flow_Name],Tab_Def_Flows[Flow_E1_Fraction'[%']],"N.A.",0,1)</f>
        <v>0</v>
      </c>
      <c r="V22" s="12">
        <f t="shared" si="0"/>
        <v>0</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0</v>
      </c>
      <c r="AB22" s="6">
        <f>IF(E22="Yes",AA22*Tab_Data_Flows[[#This Row],[E1_value]],"N.A.")</f>
        <v>0</v>
      </c>
      <c r="AC22" s="6" t="str">
        <f>Tab_Data_Flows[[#This Row],[E1_UoM]]</f>
        <v>Mg</v>
      </c>
      <c r="AD22" s="139">
        <f>_xlfn.XLOOKUP(Tab_Data_Flows[[#This Row],[Flow_Name]],Tab_Def_Flows[Flow_Name],Tab_Def_Flows[Flow_E4_Fraction'[%']],"N.A.",0,1)</f>
        <v>0</v>
      </c>
      <c r="AE22" s="6">
        <f>IF(H22="Yes",Tab_Data_Flows[[#This Row],[E4_Fraction'[%']]]*Tab_Data_Flows[[#This Row],[E1_value]],"N.A.")</f>
        <v>0</v>
      </c>
      <c r="AF22" s="6" t="str">
        <f>Tab_Data_Flows[[#This Row],[E1_UoM]]</f>
        <v>Mg</v>
      </c>
      <c r="AG22" s="139">
        <f>_xlfn.XLOOKUP(Tab_Data_Flows[[#This Row],[Flow_Name]],Tab_Def_Flows[Flow_Name],Tab_Def_Flows[Flow_E5_Fraction'[%']],"N.A.",0,1)</f>
        <v>0</v>
      </c>
      <c r="AH22" s="6">
        <f>IF(H22="Yes",Tab_Data_Flows[[#This Row],[E5_Fraction'[%']]]*Tab_Data_Flows[[#This Row],[E1_value]],"N.A.")</f>
        <v>0</v>
      </c>
      <c r="AI22" s="6" t="str">
        <f>Tab_Data_Flows[[#This Row],[E1_UoM]]</f>
        <v>Mg</v>
      </c>
      <c r="AJ22" s="139">
        <f>_xlfn.XLOOKUP(Tab_Data_Flows[[#This Row],[Flow_Name]],Tab_Def_Flows[Flow_Name],Tab_Def_Flows[Flow_E6_Fraction'[%']],"N.A.",0,1)</f>
        <v>0</v>
      </c>
      <c r="AK22" s="6">
        <f>IF(Tab_Data_Flows[[#This Row],[Use_E6]]="Yes",Tab_Data_Flows[[#This Row],[E6_Fraction'[%']]]*Tab_Data_Flows[[#This Row],[E1_value]],"N.A.")</f>
        <v>0</v>
      </c>
      <c r="AL22" s="6" t="str">
        <f>Tab_Data_Flows[[#This Row],[E1_UoM]]</f>
        <v>Mg</v>
      </c>
    </row>
    <row r="23" spans="1:38"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c r="K23" s="189"/>
      <c r="L23" s="6" t="str">
        <f>'0_Configuration'!$C$41</f>
        <v>Mg</v>
      </c>
      <c r="M23" s="13"/>
      <c r="N23" s="13"/>
      <c r="O23" s="13"/>
      <c r="P23" s="13"/>
      <c r="Q23" s="13"/>
      <c r="R23" s="7" t="s">
        <v>6</v>
      </c>
      <c r="S23" s="7"/>
      <c r="T23" s="7"/>
      <c r="U23" s="6">
        <f>_xlfn.XLOOKUP(Tab_Data_Flows[[#This Row],[Flow_Name]],Tab_Def_Flows[Flow_Name],Tab_Def_Flows[Flow_E1_Fraction'[%']],"N.A.",0,1)</f>
        <v>0</v>
      </c>
      <c r="V23" s="12">
        <f t="shared" si="0"/>
        <v>0</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0</v>
      </c>
      <c r="AB23" s="6">
        <f>IF(E23="Yes",AA23*Tab_Data_Flows[[#This Row],[E1_value]],"N.A.")</f>
        <v>0</v>
      </c>
      <c r="AC23" s="6" t="str">
        <f>Tab_Data_Flows[[#This Row],[E1_UoM]]</f>
        <v>Mg</v>
      </c>
      <c r="AD23" s="139">
        <f>_xlfn.XLOOKUP(Tab_Data_Flows[[#This Row],[Flow_Name]],Tab_Def_Flows[Flow_Name],Tab_Def_Flows[Flow_E4_Fraction'[%']],"N.A.",0,1)</f>
        <v>0</v>
      </c>
      <c r="AE23" s="6">
        <f>IF(H23="Yes",Tab_Data_Flows[[#This Row],[E4_Fraction'[%']]]*Tab_Data_Flows[[#This Row],[E1_value]],"N.A.")</f>
        <v>0</v>
      </c>
      <c r="AF23" s="6" t="str">
        <f>Tab_Data_Flows[[#This Row],[E1_UoM]]</f>
        <v>Mg</v>
      </c>
      <c r="AG23" s="139">
        <f>_xlfn.XLOOKUP(Tab_Data_Flows[[#This Row],[Flow_Name]],Tab_Def_Flows[Flow_Name],Tab_Def_Flows[Flow_E5_Fraction'[%']],"N.A.",0,1)</f>
        <v>0</v>
      </c>
      <c r="AH23" s="6">
        <f>IF(H23="Yes",Tab_Data_Flows[[#This Row],[E5_Fraction'[%']]]*Tab_Data_Flows[[#This Row],[E1_value]],"N.A.")</f>
        <v>0</v>
      </c>
      <c r="AI23" s="6" t="str">
        <f>Tab_Data_Flows[[#This Row],[E1_UoM]]</f>
        <v>Mg</v>
      </c>
      <c r="AJ23" s="139">
        <f>_xlfn.XLOOKUP(Tab_Data_Flows[[#This Row],[Flow_Name]],Tab_Def_Flows[Flow_Name],Tab_Def_Flows[Flow_E6_Fraction'[%']],"N.A.",0,1)</f>
        <v>0</v>
      </c>
      <c r="AK23" s="6">
        <f>IF(Tab_Data_Flows[[#This Row],[Use_E6]]="Yes",Tab_Data_Flows[[#This Row],[E6_Fraction'[%']]]*Tab_Data_Flows[[#This Row],[E1_value]],"N.A.")</f>
        <v>0</v>
      </c>
      <c r="AL23" s="6" t="str">
        <f>Tab_Data_Flows[[#This Row],[E1_UoM]]</f>
        <v>Mg</v>
      </c>
    </row>
    <row r="24" spans="1:38"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c r="K24" s="189"/>
      <c r="L24" s="6" t="str">
        <f>'0_Configuration'!$C$41</f>
        <v>Mg</v>
      </c>
      <c r="M24" s="13"/>
      <c r="N24" s="13"/>
      <c r="O24" s="13"/>
      <c r="P24" s="13"/>
      <c r="Q24" s="13"/>
      <c r="R24" s="7" t="s">
        <v>6</v>
      </c>
      <c r="S24" s="7"/>
      <c r="T24" s="7"/>
      <c r="U24" s="6">
        <f>_xlfn.XLOOKUP(Tab_Data_Flows[[#This Row],[Flow_Name]],Tab_Def_Flows[Flow_Name],Tab_Def_Flows[Flow_E1_Fraction'[%']],"N.A.",0,1)</f>
        <v>0</v>
      </c>
      <c r="V24" s="12">
        <f t="shared" si="0"/>
        <v>0</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0</v>
      </c>
      <c r="AB24" s="6">
        <f>IF(E24="Yes",AA24*Tab_Data_Flows[[#This Row],[E1_value]],"N.A.")</f>
        <v>0</v>
      </c>
      <c r="AC24" s="6" t="str">
        <f>Tab_Data_Flows[[#This Row],[E1_UoM]]</f>
        <v>Mg</v>
      </c>
      <c r="AD24" s="139">
        <f>_xlfn.XLOOKUP(Tab_Data_Flows[[#This Row],[Flow_Name]],Tab_Def_Flows[Flow_Name],Tab_Def_Flows[Flow_E4_Fraction'[%']],"N.A.",0,1)</f>
        <v>0</v>
      </c>
      <c r="AE24" s="6">
        <f>IF(H24="Yes",Tab_Data_Flows[[#This Row],[E4_Fraction'[%']]]*Tab_Data_Flows[[#This Row],[E1_value]],"N.A.")</f>
        <v>0</v>
      </c>
      <c r="AF24" s="6" t="str">
        <f>Tab_Data_Flows[[#This Row],[E1_UoM]]</f>
        <v>Mg</v>
      </c>
      <c r="AG24" s="139">
        <f>_xlfn.XLOOKUP(Tab_Data_Flows[[#This Row],[Flow_Name]],Tab_Def_Flows[Flow_Name],Tab_Def_Flows[Flow_E5_Fraction'[%']],"N.A.",0,1)</f>
        <v>0</v>
      </c>
      <c r="AH24" s="6">
        <f>IF(H24="Yes",Tab_Data_Flows[[#This Row],[E5_Fraction'[%']]]*Tab_Data_Flows[[#This Row],[E1_value]],"N.A.")</f>
        <v>0</v>
      </c>
      <c r="AI24" s="6" t="str">
        <f>Tab_Data_Flows[[#This Row],[E1_UoM]]</f>
        <v>Mg</v>
      </c>
      <c r="AJ24" s="139">
        <f>_xlfn.XLOOKUP(Tab_Data_Flows[[#This Row],[Flow_Name]],Tab_Def_Flows[Flow_Name],Tab_Def_Flows[Flow_E6_Fraction'[%']],"N.A.",0,1)</f>
        <v>0</v>
      </c>
      <c r="AK24" s="6">
        <f>IF(Tab_Data_Flows[[#This Row],[Use_E6]]="Yes",Tab_Data_Flows[[#This Row],[E6_Fraction'[%']]]*Tab_Data_Flows[[#This Row],[E1_value]],"N.A.")</f>
        <v>0</v>
      </c>
      <c r="AL24" s="6" t="str">
        <f>Tab_Data_Flows[[#This Row],[E1_UoM]]</f>
        <v>Mg</v>
      </c>
    </row>
    <row r="25" spans="1:38"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c r="K25" s="189"/>
      <c r="L25" s="6" t="str">
        <f>'0_Configuration'!$C$41</f>
        <v>Mg</v>
      </c>
      <c r="M25" s="13"/>
      <c r="N25" s="13"/>
      <c r="O25" s="13"/>
      <c r="P25" s="13"/>
      <c r="Q25" s="13"/>
      <c r="R25" s="7" t="s">
        <v>6</v>
      </c>
      <c r="S25" s="7"/>
      <c r="T25" s="7"/>
      <c r="U25" s="6">
        <f>_xlfn.XLOOKUP(Tab_Data_Flows[[#This Row],[Flow_Name]],Tab_Def_Flows[Flow_Name],Tab_Def_Flows[Flow_E1_Fraction'[%']],"N.A.",0,1)</f>
        <v>0</v>
      </c>
      <c r="V25" s="12">
        <f t="shared" si="0"/>
        <v>0</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0</v>
      </c>
      <c r="AB25" s="6">
        <f>IF(E25="Yes",AA25*Tab_Data_Flows[[#This Row],[E1_value]],"N.A.")</f>
        <v>0</v>
      </c>
      <c r="AC25" s="6" t="str">
        <f>Tab_Data_Flows[[#This Row],[E1_UoM]]</f>
        <v>Mg</v>
      </c>
      <c r="AD25" s="139">
        <f>_xlfn.XLOOKUP(Tab_Data_Flows[[#This Row],[Flow_Name]],Tab_Def_Flows[Flow_Name],Tab_Def_Flows[Flow_E4_Fraction'[%']],"N.A.",0,1)</f>
        <v>0</v>
      </c>
      <c r="AE25" s="6">
        <f>IF(H25="Yes",Tab_Data_Flows[[#This Row],[E4_Fraction'[%']]]*Tab_Data_Flows[[#This Row],[E1_value]],"N.A.")</f>
        <v>0</v>
      </c>
      <c r="AF25" s="6" t="str">
        <f>Tab_Data_Flows[[#This Row],[E1_UoM]]</f>
        <v>Mg</v>
      </c>
      <c r="AG25" s="139">
        <f>_xlfn.XLOOKUP(Tab_Data_Flows[[#This Row],[Flow_Name]],Tab_Def_Flows[Flow_Name],Tab_Def_Flows[Flow_E5_Fraction'[%']],"N.A.",0,1)</f>
        <v>0</v>
      </c>
      <c r="AH25" s="6">
        <f>IF(H25="Yes",Tab_Data_Flows[[#This Row],[E5_Fraction'[%']]]*Tab_Data_Flows[[#This Row],[E1_value]],"N.A.")</f>
        <v>0</v>
      </c>
      <c r="AI25" s="6" t="str">
        <f>Tab_Data_Flows[[#This Row],[E1_UoM]]</f>
        <v>Mg</v>
      </c>
      <c r="AJ25" s="139">
        <f>_xlfn.XLOOKUP(Tab_Data_Flows[[#This Row],[Flow_Name]],Tab_Def_Flows[Flow_Name],Tab_Def_Flows[Flow_E6_Fraction'[%']],"N.A.",0,1)</f>
        <v>0</v>
      </c>
      <c r="AK25" s="6">
        <f>IF(Tab_Data_Flows[[#This Row],[Use_E6]]="Yes",Tab_Data_Flows[[#This Row],[E6_Fraction'[%']]]*Tab_Data_Flows[[#This Row],[E1_value]],"N.A.")</f>
        <v>0</v>
      </c>
      <c r="AL25" s="6" t="str">
        <f>Tab_Data_Flows[[#This Row],[E1_UoM]]</f>
        <v>Mg</v>
      </c>
    </row>
    <row r="26" spans="1:38"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c r="K26" s="189"/>
      <c r="L26" s="6" t="str">
        <f>'0_Configuration'!$C$41</f>
        <v>Mg</v>
      </c>
      <c r="M26" s="13"/>
      <c r="N26" s="13"/>
      <c r="O26" s="13"/>
      <c r="P26" s="13"/>
      <c r="Q26" s="13"/>
      <c r="R26" s="7" t="s">
        <v>6</v>
      </c>
      <c r="S26" s="7"/>
      <c r="T26" s="7"/>
      <c r="U26" s="6">
        <f>_xlfn.XLOOKUP(Tab_Data_Flows[[#This Row],[Flow_Name]],Tab_Def_Flows[Flow_Name],Tab_Def_Flows[Flow_E1_Fraction'[%']],"N.A.",0,1)</f>
        <v>0</v>
      </c>
      <c r="V26" s="12">
        <f t="shared" si="0"/>
        <v>0</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0</v>
      </c>
      <c r="AB26" s="6">
        <f>IF(E26="Yes",AA26*Tab_Data_Flows[[#This Row],[E1_value]],"N.A.")</f>
        <v>0</v>
      </c>
      <c r="AC26" s="6" t="str">
        <f>Tab_Data_Flows[[#This Row],[E1_UoM]]</f>
        <v>Mg</v>
      </c>
      <c r="AD26" s="139">
        <f>_xlfn.XLOOKUP(Tab_Data_Flows[[#This Row],[Flow_Name]],Tab_Def_Flows[Flow_Name],Tab_Def_Flows[Flow_E4_Fraction'[%']],"N.A.",0,1)</f>
        <v>0</v>
      </c>
      <c r="AE26" s="6">
        <f>IF(H26="Yes",Tab_Data_Flows[[#This Row],[E4_Fraction'[%']]]*Tab_Data_Flows[[#This Row],[E1_value]],"N.A.")</f>
        <v>0</v>
      </c>
      <c r="AF26" s="6" t="str">
        <f>Tab_Data_Flows[[#This Row],[E1_UoM]]</f>
        <v>Mg</v>
      </c>
      <c r="AG26" s="139">
        <f>_xlfn.XLOOKUP(Tab_Data_Flows[[#This Row],[Flow_Name]],Tab_Def_Flows[Flow_Name],Tab_Def_Flows[Flow_E5_Fraction'[%']],"N.A.",0,1)</f>
        <v>0</v>
      </c>
      <c r="AH26" s="6">
        <f>IF(H26="Yes",Tab_Data_Flows[[#This Row],[E5_Fraction'[%']]]*Tab_Data_Flows[[#This Row],[E1_value]],"N.A.")</f>
        <v>0</v>
      </c>
      <c r="AI26" s="6" t="str">
        <f>Tab_Data_Flows[[#This Row],[E1_UoM]]</f>
        <v>Mg</v>
      </c>
      <c r="AJ26" s="139">
        <f>_xlfn.XLOOKUP(Tab_Data_Flows[[#This Row],[Flow_Name]],Tab_Def_Flows[Flow_Name],Tab_Def_Flows[Flow_E6_Fraction'[%']],"N.A.",0,1)</f>
        <v>0</v>
      </c>
      <c r="AK26" s="6">
        <f>IF(Tab_Data_Flows[[#This Row],[Use_E6]]="Yes",Tab_Data_Flows[[#This Row],[E6_Fraction'[%']]]*Tab_Data_Flows[[#This Row],[E1_value]],"N.A.")</f>
        <v>0</v>
      </c>
      <c r="AL26" s="6" t="str">
        <f>Tab_Data_Flows[[#This Row],[E1_UoM]]</f>
        <v>Mg</v>
      </c>
    </row>
    <row r="27" spans="1:38"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c r="K27" s="189"/>
      <c r="L27" s="6" t="str">
        <f>'0_Configuration'!$C$41</f>
        <v>Mg</v>
      </c>
      <c r="M27" s="13"/>
      <c r="N27" s="13"/>
      <c r="O27" s="13"/>
      <c r="P27" s="13"/>
      <c r="Q27" s="13"/>
      <c r="R27" s="7" t="s">
        <v>6</v>
      </c>
      <c r="S27" s="7"/>
      <c r="T27" s="7"/>
      <c r="U27" s="6">
        <f>_xlfn.XLOOKUP(Tab_Data_Flows[[#This Row],[Flow_Name]],Tab_Def_Flows[Flow_Name],Tab_Def_Flows[Flow_E1_Fraction'[%']],"N.A.",0,1)</f>
        <v>0</v>
      </c>
      <c r="V27" s="12">
        <f t="shared" si="0"/>
        <v>0</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0</v>
      </c>
      <c r="AB27" s="6">
        <f>IF(E27="Yes",AA27*Tab_Data_Flows[[#This Row],[E1_value]],"N.A.")</f>
        <v>0</v>
      </c>
      <c r="AC27" s="6" t="str">
        <f>Tab_Data_Flows[[#This Row],[E1_UoM]]</f>
        <v>Mg</v>
      </c>
      <c r="AD27" s="139">
        <f>_xlfn.XLOOKUP(Tab_Data_Flows[[#This Row],[Flow_Name]],Tab_Def_Flows[Flow_Name],Tab_Def_Flows[Flow_E4_Fraction'[%']],"N.A.",0,1)</f>
        <v>0</v>
      </c>
      <c r="AE27" s="6">
        <f>IF(H27="Yes",Tab_Data_Flows[[#This Row],[E4_Fraction'[%']]]*Tab_Data_Flows[[#This Row],[E1_value]],"N.A.")</f>
        <v>0</v>
      </c>
      <c r="AF27" s="6" t="str">
        <f>Tab_Data_Flows[[#This Row],[E1_UoM]]</f>
        <v>Mg</v>
      </c>
      <c r="AG27" s="139">
        <f>_xlfn.XLOOKUP(Tab_Data_Flows[[#This Row],[Flow_Name]],Tab_Def_Flows[Flow_Name],Tab_Def_Flows[Flow_E5_Fraction'[%']],"N.A.",0,1)</f>
        <v>0</v>
      </c>
      <c r="AH27" s="6">
        <f>IF(H27="Yes",Tab_Data_Flows[[#This Row],[E5_Fraction'[%']]]*Tab_Data_Flows[[#This Row],[E1_value]],"N.A.")</f>
        <v>0</v>
      </c>
      <c r="AI27" s="6" t="str">
        <f>Tab_Data_Flows[[#This Row],[E1_UoM]]</f>
        <v>Mg</v>
      </c>
      <c r="AJ27" s="139">
        <f>_xlfn.XLOOKUP(Tab_Data_Flows[[#This Row],[Flow_Name]],Tab_Def_Flows[Flow_Name],Tab_Def_Flows[Flow_E6_Fraction'[%']],"N.A.",0,1)</f>
        <v>0</v>
      </c>
      <c r="AK27" s="6">
        <f>IF(Tab_Data_Flows[[#This Row],[Use_E6]]="Yes",Tab_Data_Flows[[#This Row],[E6_Fraction'[%']]]*Tab_Data_Flows[[#This Row],[E1_value]],"N.A.")</f>
        <v>0</v>
      </c>
      <c r="AL27" s="6" t="str">
        <f>Tab_Data_Flows[[#This Row],[E1_UoM]]</f>
        <v>Mg</v>
      </c>
    </row>
    <row r="28" spans="1:38"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c r="K28" s="189"/>
      <c r="L28" s="6" t="str">
        <f>'0_Configuration'!$C$41</f>
        <v>Mg</v>
      </c>
      <c r="M28" s="13"/>
      <c r="N28" s="13"/>
      <c r="O28" s="13"/>
      <c r="P28" s="13"/>
      <c r="Q28" s="13"/>
      <c r="R28" s="7" t="s">
        <v>6</v>
      </c>
      <c r="S28" s="7"/>
      <c r="T28" s="7"/>
      <c r="U28" s="6">
        <f>_xlfn.XLOOKUP(Tab_Data_Flows[[#This Row],[Flow_Name]],Tab_Def_Flows[Flow_Name],Tab_Def_Flows[Flow_E1_Fraction'[%']],"N.A.",0,1)</f>
        <v>0</v>
      </c>
      <c r="V28" s="12">
        <f t="shared" si="0"/>
        <v>0</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0</v>
      </c>
      <c r="AB28" s="6">
        <f>IF(E28="Yes",AA28*Tab_Data_Flows[[#This Row],[E1_value]],"N.A.")</f>
        <v>0</v>
      </c>
      <c r="AC28" s="6" t="str">
        <f>Tab_Data_Flows[[#This Row],[E1_UoM]]</f>
        <v>Mg</v>
      </c>
      <c r="AD28" s="139">
        <f>_xlfn.XLOOKUP(Tab_Data_Flows[[#This Row],[Flow_Name]],Tab_Def_Flows[Flow_Name],Tab_Def_Flows[Flow_E4_Fraction'[%']],"N.A.",0,1)</f>
        <v>0</v>
      </c>
      <c r="AE28" s="6">
        <f>IF(H28="Yes",Tab_Data_Flows[[#This Row],[E4_Fraction'[%']]]*Tab_Data_Flows[[#This Row],[E1_value]],"N.A.")</f>
        <v>0</v>
      </c>
      <c r="AF28" s="6" t="str">
        <f>Tab_Data_Flows[[#This Row],[E1_UoM]]</f>
        <v>Mg</v>
      </c>
      <c r="AG28" s="139">
        <f>_xlfn.XLOOKUP(Tab_Data_Flows[[#This Row],[Flow_Name]],Tab_Def_Flows[Flow_Name],Tab_Def_Flows[Flow_E5_Fraction'[%']],"N.A.",0,1)</f>
        <v>0</v>
      </c>
      <c r="AH28" s="6">
        <f>IF(H28="Yes",Tab_Data_Flows[[#This Row],[E5_Fraction'[%']]]*Tab_Data_Flows[[#This Row],[E1_value]],"N.A.")</f>
        <v>0</v>
      </c>
      <c r="AI28" s="6" t="str">
        <f>Tab_Data_Flows[[#This Row],[E1_UoM]]</f>
        <v>Mg</v>
      </c>
      <c r="AJ28" s="139">
        <f>_xlfn.XLOOKUP(Tab_Data_Flows[[#This Row],[Flow_Name]],Tab_Def_Flows[Flow_Name],Tab_Def_Flows[Flow_E6_Fraction'[%']],"N.A.",0,1)</f>
        <v>0</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c r="K29" s="189"/>
      <c r="L29" s="6" t="str">
        <f>'0_Configuration'!$C$41</f>
        <v>Mg</v>
      </c>
      <c r="M29" s="13"/>
      <c r="N29" s="13"/>
      <c r="O29" s="13"/>
      <c r="P29" s="13"/>
      <c r="Q29" s="13"/>
      <c r="R29" s="7" t="s">
        <v>6</v>
      </c>
      <c r="S29" s="7"/>
      <c r="T29" s="7"/>
      <c r="U29" s="6">
        <f>_xlfn.XLOOKUP(Tab_Data_Flows[[#This Row],[Flow_Name]],Tab_Def_Flows[Flow_Name],Tab_Def_Flows[Flow_E1_Fraction'[%']],"N.A.",0,1)</f>
        <v>0</v>
      </c>
      <c r="V29" s="12">
        <f t="shared" si="0"/>
        <v>0</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0</v>
      </c>
      <c r="AB29" s="6">
        <f>IF(E29="Yes",AA29*Tab_Data_Flows[[#This Row],[E1_value]],"N.A.")</f>
        <v>0</v>
      </c>
      <c r="AC29" s="6" t="str">
        <f>Tab_Data_Flows[[#This Row],[E1_UoM]]</f>
        <v>Mg</v>
      </c>
      <c r="AD29" s="139">
        <f>_xlfn.XLOOKUP(Tab_Data_Flows[[#This Row],[Flow_Name]],Tab_Def_Flows[Flow_Name],Tab_Def_Flows[Flow_E4_Fraction'[%']],"N.A.",0,1)</f>
        <v>0</v>
      </c>
      <c r="AE29" s="6">
        <f>IF(H29="Yes",Tab_Data_Flows[[#This Row],[E4_Fraction'[%']]]*Tab_Data_Flows[[#This Row],[E1_value]],"N.A.")</f>
        <v>0</v>
      </c>
      <c r="AF29" s="6" t="str">
        <f>Tab_Data_Flows[[#This Row],[E1_UoM]]</f>
        <v>Mg</v>
      </c>
      <c r="AG29" s="139">
        <f>_xlfn.XLOOKUP(Tab_Data_Flows[[#This Row],[Flow_Name]],Tab_Def_Flows[Flow_Name],Tab_Def_Flows[Flow_E5_Fraction'[%']],"N.A.",0,1)</f>
        <v>0</v>
      </c>
      <c r="AH29" s="6">
        <f>IF(H29="Yes",Tab_Data_Flows[[#This Row],[E5_Fraction'[%']]]*Tab_Data_Flows[[#This Row],[E1_value]],"N.A.")</f>
        <v>0</v>
      </c>
      <c r="AI29" s="6" t="str">
        <f>Tab_Data_Flows[[#This Row],[E1_UoM]]</f>
        <v>Mg</v>
      </c>
      <c r="AJ29" s="139">
        <f>_xlfn.XLOOKUP(Tab_Data_Flows[[#This Row],[Flow_Name]],Tab_Def_Flows[Flow_Name],Tab_Def_Flows[Flow_E6_Fraction'[%']],"N.A.",0,1)</f>
        <v>0</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c r="K30" s="189"/>
      <c r="L30" s="6" t="str">
        <f>'0_Configuration'!$C$41</f>
        <v>Mg</v>
      </c>
      <c r="M30" s="13"/>
      <c r="N30" s="13"/>
      <c r="O30" s="13"/>
      <c r="P30" s="13"/>
      <c r="Q30" s="13"/>
      <c r="R30" s="7" t="s">
        <v>6</v>
      </c>
      <c r="S30" s="7"/>
      <c r="T30" s="7"/>
      <c r="U30" s="6">
        <f>_xlfn.XLOOKUP(Tab_Data_Flows[[#This Row],[Flow_Name]],Tab_Def_Flows[Flow_Name],Tab_Def_Flows[Flow_E1_Fraction'[%']],"N.A.",0,1)</f>
        <v>0</v>
      </c>
      <c r="V30" s="12">
        <f t="shared" si="0"/>
        <v>0</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0</v>
      </c>
      <c r="AB30" s="6">
        <f>IF(E30="Yes",AA30*Tab_Data_Flows[[#This Row],[E1_value]],"N.A.")</f>
        <v>0</v>
      </c>
      <c r="AC30" s="6" t="str">
        <f>Tab_Data_Flows[[#This Row],[E1_UoM]]</f>
        <v>Mg</v>
      </c>
      <c r="AD30" s="139">
        <f>_xlfn.XLOOKUP(Tab_Data_Flows[[#This Row],[Flow_Name]],Tab_Def_Flows[Flow_Name],Tab_Def_Flows[Flow_E4_Fraction'[%']],"N.A.",0,1)</f>
        <v>0</v>
      </c>
      <c r="AE30" s="6">
        <f>IF(H30="Yes",Tab_Data_Flows[[#This Row],[E4_Fraction'[%']]]*Tab_Data_Flows[[#This Row],[E1_value]],"N.A.")</f>
        <v>0</v>
      </c>
      <c r="AF30" s="6" t="str">
        <f>Tab_Data_Flows[[#This Row],[E1_UoM]]</f>
        <v>Mg</v>
      </c>
      <c r="AG30" s="139">
        <f>_xlfn.XLOOKUP(Tab_Data_Flows[[#This Row],[Flow_Name]],Tab_Def_Flows[Flow_Name],Tab_Def_Flows[Flow_E5_Fraction'[%']],"N.A.",0,1)</f>
        <v>0</v>
      </c>
      <c r="AH30" s="6">
        <f>IF(H30="Yes",Tab_Data_Flows[[#This Row],[E5_Fraction'[%']]]*Tab_Data_Flows[[#This Row],[E1_value]],"N.A.")</f>
        <v>0</v>
      </c>
      <c r="AI30" s="6" t="str">
        <f>Tab_Data_Flows[[#This Row],[E1_UoM]]</f>
        <v>Mg</v>
      </c>
      <c r="AJ30" s="139">
        <f>_xlfn.XLOOKUP(Tab_Data_Flows[[#This Row],[Flow_Name]],Tab_Def_Flows[Flow_Name],Tab_Def_Flows[Flow_E6_Fraction'[%']],"N.A.",0,1)</f>
        <v>0</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c r="K31" s="189"/>
      <c r="L31" s="6" t="str">
        <f>'0_Configuration'!$C$41</f>
        <v>Mg</v>
      </c>
      <c r="M31" s="13"/>
      <c r="N31" s="13"/>
      <c r="O31" s="13"/>
      <c r="P31" s="13"/>
      <c r="Q31" s="13"/>
      <c r="R31" s="7" t="s">
        <v>6</v>
      </c>
      <c r="S31" s="14"/>
      <c r="T31" s="7"/>
      <c r="U31" s="6">
        <f>_xlfn.XLOOKUP(Tab_Data_Flows[[#This Row],[Flow_Name]],Tab_Def_Flows[Flow_Name],Tab_Def_Flows[Flow_E1_Fraction'[%']],"N.A.",0,1)</f>
        <v>0</v>
      </c>
      <c r="V31" s="12">
        <f t="shared" si="0"/>
        <v>0</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0</v>
      </c>
      <c r="AB31" s="6">
        <f>IF(E31="Yes",AA31*Tab_Data_Flows[[#This Row],[E1_value]],"N.A.")</f>
        <v>0</v>
      </c>
      <c r="AC31" s="6" t="str">
        <f>Tab_Data_Flows[[#This Row],[E1_UoM]]</f>
        <v>Mg</v>
      </c>
      <c r="AD31" s="139">
        <f>_xlfn.XLOOKUP(Tab_Data_Flows[[#This Row],[Flow_Name]],Tab_Def_Flows[Flow_Name],Tab_Def_Flows[Flow_E4_Fraction'[%']],"N.A.",0,1)</f>
        <v>0</v>
      </c>
      <c r="AE31" s="6">
        <f>IF(H31="Yes",Tab_Data_Flows[[#This Row],[E4_Fraction'[%']]]*Tab_Data_Flows[[#This Row],[E1_value]],"N.A.")</f>
        <v>0</v>
      </c>
      <c r="AF31" s="6" t="str">
        <f>Tab_Data_Flows[[#This Row],[E1_UoM]]</f>
        <v>Mg</v>
      </c>
      <c r="AG31" s="139">
        <f>_xlfn.XLOOKUP(Tab_Data_Flows[[#This Row],[Flow_Name]],Tab_Def_Flows[Flow_Name],Tab_Def_Flows[Flow_E5_Fraction'[%']],"N.A.",0,1)</f>
        <v>0</v>
      </c>
      <c r="AH31" s="6">
        <f>IF(H31="Yes",Tab_Data_Flows[[#This Row],[E5_Fraction'[%']]]*Tab_Data_Flows[[#This Row],[E1_value]],"N.A.")</f>
        <v>0</v>
      </c>
      <c r="AI31" s="6" t="str">
        <f>Tab_Data_Flows[[#This Row],[E1_UoM]]</f>
        <v>Mg</v>
      </c>
      <c r="AJ31" s="139">
        <f>_xlfn.XLOOKUP(Tab_Data_Flows[[#This Row],[Flow_Name]],Tab_Def_Flows[Flow_Name],Tab_Def_Flows[Flow_E6_Fraction'[%']],"N.A.",0,1)</f>
        <v>0</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c r="K32" s="189"/>
      <c r="L32" s="6" t="str">
        <f>'0_Configuration'!$C$41</f>
        <v>Mg</v>
      </c>
      <c r="M32" s="13"/>
      <c r="N32" s="13"/>
      <c r="O32" s="13"/>
      <c r="P32" s="13"/>
      <c r="Q32" s="13"/>
      <c r="R32" s="7" t="s">
        <v>6</v>
      </c>
      <c r="S32" s="14"/>
      <c r="T32" s="7"/>
      <c r="U32" s="6">
        <f>_xlfn.XLOOKUP(Tab_Data_Flows[[#This Row],[Flow_Name]],Tab_Def_Flows[Flow_Name],Tab_Def_Flows[Flow_E1_Fraction'[%']],"N.A.",0,1)</f>
        <v>0</v>
      </c>
      <c r="V32" s="12">
        <f t="shared" si="0"/>
        <v>0</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0</v>
      </c>
      <c r="AB32" s="6">
        <f>IF(E32="Yes",AA32*Tab_Data_Flows[[#This Row],[E1_value]],"N.A.")</f>
        <v>0</v>
      </c>
      <c r="AC32" s="6" t="str">
        <f>Tab_Data_Flows[[#This Row],[E1_UoM]]</f>
        <v>Mg</v>
      </c>
      <c r="AD32" s="139">
        <f>_xlfn.XLOOKUP(Tab_Data_Flows[[#This Row],[Flow_Name]],Tab_Def_Flows[Flow_Name],Tab_Def_Flows[Flow_E4_Fraction'[%']],"N.A.",0,1)</f>
        <v>0</v>
      </c>
      <c r="AE32" s="6">
        <f>IF(H32="Yes",Tab_Data_Flows[[#This Row],[E4_Fraction'[%']]]*Tab_Data_Flows[[#This Row],[E1_value]],"N.A.")</f>
        <v>0</v>
      </c>
      <c r="AF32" s="6" t="str">
        <f>Tab_Data_Flows[[#This Row],[E1_UoM]]</f>
        <v>Mg</v>
      </c>
      <c r="AG32" s="139">
        <f>_xlfn.XLOOKUP(Tab_Data_Flows[[#This Row],[Flow_Name]],Tab_Def_Flows[Flow_Name],Tab_Def_Flows[Flow_E5_Fraction'[%']],"N.A.",0,1)</f>
        <v>0</v>
      </c>
      <c r="AH32" s="6">
        <f>IF(H32="Yes",Tab_Data_Flows[[#This Row],[E5_Fraction'[%']]]*Tab_Data_Flows[[#This Row],[E1_value]],"N.A.")</f>
        <v>0</v>
      </c>
      <c r="AI32" s="6" t="str">
        <f>Tab_Data_Flows[[#This Row],[E1_UoM]]</f>
        <v>Mg</v>
      </c>
      <c r="AJ32" s="139">
        <f>_xlfn.XLOOKUP(Tab_Data_Flows[[#This Row],[Flow_Name]],Tab_Def_Flows[Flow_Name],Tab_Def_Flows[Flow_E6_Fraction'[%']],"N.A.",0,1)</f>
        <v>0</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c r="K33" s="189"/>
      <c r="L33" s="6" t="str">
        <f>'0_Configuration'!$C$41</f>
        <v>Mg</v>
      </c>
      <c r="M33" s="13"/>
      <c r="N33" s="13"/>
      <c r="O33" s="13"/>
      <c r="P33" s="13"/>
      <c r="Q33" s="13"/>
      <c r="R33" s="7" t="s">
        <v>6</v>
      </c>
      <c r="S33" s="14"/>
      <c r="T33" s="7"/>
      <c r="U33" s="6">
        <f>_xlfn.XLOOKUP(Tab_Data_Flows[[#This Row],[Flow_Name]],Tab_Def_Flows[Flow_Name],Tab_Def_Flows[Flow_E1_Fraction'[%']],"N.A.",0,1)</f>
        <v>0</v>
      </c>
      <c r="V33" s="12">
        <f t="shared" si="0"/>
        <v>0</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0</v>
      </c>
      <c r="AB33" s="6">
        <f>IF(E33="Yes",AA33*Tab_Data_Flows[[#This Row],[E1_value]],"N.A.")</f>
        <v>0</v>
      </c>
      <c r="AC33" s="6" t="str">
        <f>Tab_Data_Flows[[#This Row],[E1_UoM]]</f>
        <v>Mg</v>
      </c>
      <c r="AD33" s="139">
        <f>_xlfn.XLOOKUP(Tab_Data_Flows[[#This Row],[Flow_Name]],Tab_Def_Flows[Flow_Name],Tab_Def_Flows[Flow_E4_Fraction'[%']],"N.A.",0,1)</f>
        <v>0</v>
      </c>
      <c r="AE33" s="6">
        <f>IF(H33="Yes",Tab_Data_Flows[[#This Row],[E4_Fraction'[%']]]*Tab_Data_Flows[[#This Row],[E1_value]],"N.A.")</f>
        <v>0</v>
      </c>
      <c r="AF33" s="6" t="str">
        <f>Tab_Data_Flows[[#This Row],[E1_UoM]]</f>
        <v>Mg</v>
      </c>
      <c r="AG33" s="139">
        <f>_xlfn.XLOOKUP(Tab_Data_Flows[[#This Row],[Flow_Name]],Tab_Def_Flows[Flow_Name],Tab_Def_Flows[Flow_E5_Fraction'[%']],"N.A.",0,1)</f>
        <v>0</v>
      </c>
      <c r="AH33" s="6">
        <f>IF(H33="Yes",Tab_Data_Flows[[#This Row],[E5_Fraction'[%']]]*Tab_Data_Flows[[#This Row],[E1_value]],"N.A.")</f>
        <v>0</v>
      </c>
      <c r="AI33" s="6" t="str">
        <f>Tab_Data_Flows[[#This Row],[E1_UoM]]</f>
        <v>Mg</v>
      </c>
      <c r="AJ33" s="139">
        <f>_xlfn.XLOOKUP(Tab_Data_Flows[[#This Row],[Flow_Name]],Tab_Def_Flows[Flow_Name],Tab_Def_Flows[Flow_E6_Fraction'[%']],"N.A.",0,1)</f>
        <v>0</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c r="K34" s="189"/>
      <c r="L34" s="6" t="str">
        <f>'0_Configuration'!$C$41</f>
        <v>Mg</v>
      </c>
      <c r="M34" s="13"/>
      <c r="N34" s="13"/>
      <c r="O34" s="13"/>
      <c r="P34" s="13"/>
      <c r="Q34" s="13"/>
      <c r="R34" s="7" t="s">
        <v>6</v>
      </c>
      <c r="S34" s="14"/>
      <c r="T34" s="7"/>
      <c r="U34" s="6">
        <f>_xlfn.XLOOKUP(Tab_Data_Flows[[#This Row],[Flow_Name]],Tab_Def_Flows[Flow_Name],Tab_Def_Flows[Flow_E1_Fraction'[%']],"N.A.",0,1)</f>
        <v>0</v>
      </c>
      <c r="V34" s="12">
        <f t="shared" ref="V34:V65" si="2">IF(R34="no",K34,K34*S34)</f>
        <v>0</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0</v>
      </c>
      <c r="AB34" s="6">
        <f>IF(E34="Yes",AA34*Tab_Data_Flows[[#This Row],[E1_value]],"N.A.")</f>
        <v>0</v>
      </c>
      <c r="AC34" s="6" t="str">
        <f>Tab_Data_Flows[[#This Row],[E1_UoM]]</f>
        <v>Mg</v>
      </c>
      <c r="AD34" s="139">
        <f>_xlfn.XLOOKUP(Tab_Data_Flows[[#This Row],[Flow_Name]],Tab_Def_Flows[Flow_Name],Tab_Def_Flows[Flow_E4_Fraction'[%']],"N.A.",0,1)</f>
        <v>0</v>
      </c>
      <c r="AE34" s="6">
        <f>IF(H34="Yes",Tab_Data_Flows[[#This Row],[E4_Fraction'[%']]]*Tab_Data_Flows[[#This Row],[E1_value]],"N.A.")</f>
        <v>0</v>
      </c>
      <c r="AF34" s="6" t="str">
        <f>Tab_Data_Flows[[#This Row],[E1_UoM]]</f>
        <v>Mg</v>
      </c>
      <c r="AG34" s="139">
        <f>_xlfn.XLOOKUP(Tab_Data_Flows[[#This Row],[Flow_Name]],Tab_Def_Flows[Flow_Name],Tab_Def_Flows[Flow_E5_Fraction'[%']],"N.A.",0,1)</f>
        <v>0</v>
      </c>
      <c r="AH34" s="6">
        <f>IF(H34="Yes",Tab_Data_Flows[[#This Row],[E5_Fraction'[%']]]*Tab_Data_Flows[[#This Row],[E1_value]],"N.A.")</f>
        <v>0</v>
      </c>
      <c r="AI34" s="6" t="str">
        <f>Tab_Data_Flows[[#This Row],[E1_UoM]]</f>
        <v>Mg</v>
      </c>
      <c r="AJ34" s="139">
        <f>_xlfn.XLOOKUP(Tab_Data_Flows[[#This Row],[Flow_Name]],Tab_Def_Flows[Flow_Name],Tab_Def_Flows[Flow_E6_Fraction'[%']],"N.A.",0,1)</f>
        <v>0</v>
      </c>
      <c r="AK34" s="6">
        <f>IF(Tab_Data_Flows[[#This Row],[Use_E6]]="Yes",Tab_Data_Flows[[#This Row],[E6_Fraction'[%']]]*Tab_Data_Flows[[#This Row],[E1_value]],"N.A.")</f>
        <v>0</v>
      </c>
      <c r="AL34" s="6" t="str">
        <f>Tab_Data_Flows[[#This Row],[E1_UoM]]</f>
        <v>Mg</v>
      </c>
    </row>
    <row r="35" spans="1:38" x14ac:dyDescent="0.25">
      <c r="A35" s="8">
        <f t="shared" si="1"/>
        <v>34</v>
      </c>
      <c r="B35" s="6" t="str">
        <f>_xlfn.XLOOKUP(C35,Tab_Def_Flows[Flow_Name],Tab_Def_Flows[Flow_ID],,0,)</f>
        <v>F__</v>
      </c>
      <c r="C35" s="138" t="s">
        <v>8</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c r="K35" s="189"/>
      <c r="L35" s="6" t="str">
        <f>'0_Configuration'!$C$41</f>
        <v>Mg</v>
      </c>
      <c r="M35" s="13"/>
      <c r="N35" s="13"/>
      <c r="O35" s="13"/>
      <c r="P35" s="13"/>
      <c r="Q35" s="13"/>
      <c r="R35" s="7" t="s">
        <v>6</v>
      </c>
      <c r="S35" s="14"/>
      <c r="T35" s="7"/>
      <c r="U35" s="6">
        <f>_xlfn.XLOOKUP(Tab_Data_Flows[[#This Row],[Flow_Name]],Tab_Def_Flows[Flow_Name],Tab_Def_Flows[Flow_E1_Fraction'[%']],"N.A.",0,1)</f>
        <v>0</v>
      </c>
      <c r="V35" s="12">
        <f t="shared" si="2"/>
        <v>0</v>
      </c>
      <c r="W35" s="6" t="str">
        <f>Tab_Data_Flows[[#This Row],[UoM_Source]]</f>
        <v>Mg</v>
      </c>
      <c r="X35" s="139">
        <f>_xlfn.XLOOKUP(Tab_Data_Flows[[#This Row],[Flow_Name]],Tab_Def_Flows[Flow_Name],Tab_Def_Flows[Flow_E2_Fraction'[%']],"N.A.",0,1)</f>
        <v>0</v>
      </c>
      <c r="Y35" s="6">
        <f>IF(D35="Yes",V35*Tab_Data_Flows[[#This Row],[E2_Fraction'[%']]],"N.A.")</f>
        <v>0</v>
      </c>
      <c r="Z35" s="6" t="str">
        <f>Tab_Data_Flows[[#This Row],[E1_UoM]]</f>
        <v>Mg</v>
      </c>
      <c r="AA35" s="139">
        <f>_xlfn.XLOOKUP(Tab_Data_Flows[[#This Row],[Flow_Name]],Tab_Def_Flows[Flow_Name],Tab_Def_Flows[Flow_E3_Fraction'[%']],"N.A.",0,1)</f>
        <v>0</v>
      </c>
      <c r="AB35" s="6">
        <f>IF(E35="Yes",AA35*Tab_Data_Flows[[#This Row],[E1_value]],"N.A.")</f>
        <v>0</v>
      </c>
      <c r="AC35" s="6" t="str">
        <f>Tab_Data_Flows[[#This Row],[E1_UoM]]</f>
        <v>Mg</v>
      </c>
      <c r="AD35" s="139">
        <f>_xlfn.XLOOKUP(Tab_Data_Flows[[#This Row],[Flow_Name]],Tab_Def_Flows[Flow_Name],Tab_Def_Flows[Flow_E4_Fraction'[%']],"N.A.",0,1)</f>
        <v>0</v>
      </c>
      <c r="AE35" s="6">
        <f>IF(H35="Yes",Tab_Data_Flows[[#This Row],[E4_Fraction'[%']]]*Tab_Data_Flows[[#This Row],[E1_value]],"N.A.")</f>
        <v>0</v>
      </c>
      <c r="AF35" s="6" t="str">
        <f>Tab_Data_Flows[[#This Row],[E1_UoM]]</f>
        <v>Mg</v>
      </c>
      <c r="AG35" s="139">
        <f>_xlfn.XLOOKUP(Tab_Data_Flows[[#This Row],[Flow_Name]],Tab_Def_Flows[Flow_Name],Tab_Def_Flows[Flow_E5_Fraction'[%']],"N.A.",0,1)</f>
        <v>0</v>
      </c>
      <c r="AH35" s="6">
        <f>IF(H35="Yes",Tab_Data_Flows[[#This Row],[E5_Fraction'[%']]]*Tab_Data_Flows[[#This Row],[E1_value]],"N.A.")</f>
        <v>0</v>
      </c>
      <c r="AI35" s="6" t="str">
        <f>Tab_Data_Flows[[#This Row],[E1_UoM]]</f>
        <v>Mg</v>
      </c>
      <c r="AJ35" s="139">
        <f>_xlfn.XLOOKUP(Tab_Data_Flows[[#This Row],[Flow_Name]],Tab_Def_Flows[Flow_Name],Tab_Def_Flows[Flow_E6_Fraction'[%']],"N.A.",0,1)</f>
        <v>0</v>
      </c>
      <c r="AK35" s="6">
        <f>IF(Tab_Data_Flows[[#This Row],[Use_E6]]="Yes",Tab_Data_Flows[[#This Row],[E6_Fraction'[%']]]*Tab_Data_Flows[[#This Row],[E1_value]],"N.A.")</f>
        <v>0</v>
      </c>
      <c r="AL35" s="6" t="str">
        <f>Tab_Data_Flows[[#This Row],[E1_UoM]]</f>
        <v>Mg</v>
      </c>
    </row>
    <row r="36" spans="1:38" x14ac:dyDescent="0.25">
      <c r="A36" s="8">
        <f t="shared" si="1"/>
        <v>35</v>
      </c>
      <c r="B36" s="6" t="str">
        <f>_xlfn.XLOOKUP(C36,Tab_Def_Flows[Flow_Name],Tab_Def_Flows[Flow_ID],,0,)</f>
        <v>F__</v>
      </c>
      <c r="C36" s="138" t="s">
        <v>8</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c r="K36" s="189"/>
      <c r="L36" s="6" t="str">
        <f>'0_Configuration'!$C$41</f>
        <v>Mg</v>
      </c>
      <c r="M36" s="13"/>
      <c r="N36" s="13"/>
      <c r="O36" s="13"/>
      <c r="P36" s="13"/>
      <c r="Q36" s="13"/>
      <c r="R36" s="7" t="s">
        <v>6</v>
      </c>
      <c r="S36" s="14"/>
      <c r="T36" s="7"/>
      <c r="U36" s="6">
        <f>_xlfn.XLOOKUP(Tab_Data_Flows[[#This Row],[Flow_Name]],Tab_Def_Flows[Flow_Name],Tab_Def_Flows[Flow_E1_Fraction'[%']],"N.A.",0,1)</f>
        <v>0</v>
      </c>
      <c r="V36" s="12">
        <f t="shared" si="2"/>
        <v>0</v>
      </c>
      <c r="W36" s="6" t="str">
        <f>Tab_Data_Flows[[#This Row],[UoM_Source]]</f>
        <v>Mg</v>
      </c>
      <c r="X36" s="139">
        <f>_xlfn.XLOOKUP(Tab_Data_Flows[[#This Row],[Flow_Name]],Tab_Def_Flows[Flow_Name],Tab_Def_Flows[Flow_E2_Fraction'[%']],"N.A.",0,1)</f>
        <v>0</v>
      </c>
      <c r="Y36" s="6">
        <f>IF(D36="Yes",V36*Tab_Data_Flows[[#This Row],[E2_Fraction'[%']]],"N.A.")</f>
        <v>0</v>
      </c>
      <c r="Z36" s="6" t="str">
        <f>Tab_Data_Flows[[#This Row],[E1_UoM]]</f>
        <v>Mg</v>
      </c>
      <c r="AA36" s="139">
        <f>_xlfn.XLOOKUP(Tab_Data_Flows[[#This Row],[Flow_Name]],Tab_Def_Flows[Flow_Name],Tab_Def_Flows[Flow_E3_Fraction'[%']],"N.A.",0,1)</f>
        <v>0</v>
      </c>
      <c r="AB36" s="6">
        <f>IF(E36="Yes",AA36*Tab_Data_Flows[[#This Row],[E1_value]],"N.A.")</f>
        <v>0</v>
      </c>
      <c r="AC36" s="6" t="str">
        <f>Tab_Data_Flows[[#This Row],[E1_UoM]]</f>
        <v>Mg</v>
      </c>
      <c r="AD36" s="139">
        <f>_xlfn.XLOOKUP(Tab_Data_Flows[[#This Row],[Flow_Name]],Tab_Def_Flows[Flow_Name],Tab_Def_Flows[Flow_E4_Fraction'[%']],"N.A.",0,1)</f>
        <v>0</v>
      </c>
      <c r="AE36" s="6">
        <f>IF(H36="Yes",Tab_Data_Flows[[#This Row],[E4_Fraction'[%']]]*Tab_Data_Flows[[#This Row],[E1_value]],"N.A.")</f>
        <v>0</v>
      </c>
      <c r="AF36" s="6" t="str">
        <f>Tab_Data_Flows[[#This Row],[E1_UoM]]</f>
        <v>Mg</v>
      </c>
      <c r="AG36" s="139">
        <f>_xlfn.XLOOKUP(Tab_Data_Flows[[#This Row],[Flow_Name]],Tab_Def_Flows[Flow_Name],Tab_Def_Flows[Flow_E5_Fraction'[%']],"N.A.",0,1)</f>
        <v>0</v>
      </c>
      <c r="AH36" s="6">
        <f>IF(H36="Yes",Tab_Data_Flows[[#This Row],[E5_Fraction'[%']]]*Tab_Data_Flows[[#This Row],[E1_value]],"N.A.")</f>
        <v>0</v>
      </c>
      <c r="AI36" s="6" t="str">
        <f>Tab_Data_Flows[[#This Row],[E1_UoM]]</f>
        <v>Mg</v>
      </c>
      <c r="AJ36" s="139">
        <f>_xlfn.XLOOKUP(Tab_Data_Flows[[#This Row],[Flow_Name]],Tab_Def_Flows[Flow_Name],Tab_Def_Flows[Flow_E6_Fraction'[%']],"N.A.",0,1)</f>
        <v>0</v>
      </c>
      <c r="AK36" s="6">
        <f>IF(Tab_Data_Flows[[#This Row],[Use_E6]]="Yes",Tab_Data_Flows[[#This Row],[E6_Fraction'[%']]]*Tab_Data_Flows[[#This Row],[E1_value]],"N.A.")</f>
        <v>0</v>
      </c>
      <c r="AL36" s="6" t="str">
        <f>Tab_Data_Flows[[#This Row],[E1_UoM]]</f>
        <v>Mg</v>
      </c>
    </row>
    <row r="37" spans="1:38" x14ac:dyDescent="0.25">
      <c r="A37" s="8">
        <f t="shared" si="1"/>
        <v>36</v>
      </c>
      <c r="B37" s="6" t="str">
        <f>_xlfn.XLOOKUP(C37,Tab_Def_Flows[Flow_Name],Tab_Def_Flows[Flow_ID],,0,)</f>
        <v>F__</v>
      </c>
      <c r="C37" s="138" t="s">
        <v>8</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c r="K37" s="189"/>
      <c r="L37" s="6" t="str">
        <f>'0_Configuration'!$C$41</f>
        <v>Mg</v>
      </c>
      <c r="M37" s="13"/>
      <c r="N37" s="13"/>
      <c r="O37" s="13"/>
      <c r="P37" s="13"/>
      <c r="Q37" s="13"/>
      <c r="R37" s="7" t="s">
        <v>6</v>
      </c>
      <c r="S37" s="14"/>
      <c r="T37" s="7"/>
      <c r="U37" s="6">
        <f>_xlfn.XLOOKUP(Tab_Data_Flows[[#This Row],[Flow_Name]],Tab_Def_Flows[Flow_Name],Tab_Def_Flows[Flow_E1_Fraction'[%']],"N.A.",0,1)</f>
        <v>0</v>
      </c>
      <c r="V37" s="12">
        <f t="shared" si="2"/>
        <v>0</v>
      </c>
      <c r="W37" s="6" t="str">
        <f>Tab_Data_Flows[[#This Row],[UoM_Source]]</f>
        <v>Mg</v>
      </c>
      <c r="X37" s="139">
        <f>_xlfn.XLOOKUP(Tab_Data_Flows[[#This Row],[Flow_Name]],Tab_Def_Flows[Flow_Name],Tab_Def_Flows[Flow_E2_Fraction'[%']],"N.A.",0,1)</f>
        <v>0</v>
      </c>
      <c r="Y37" s="6">
        <f>IF(D37="Yes",V37*Tab_Data_Flows[[#This Row],[E2_Fraction'[%']]],"N.A.")</f>
        <v>0</v>
      </c>
      <c r="Z37" s="6" t="str">
        <f>Tab_Data_Flows[[#This Row],[E1_UoM]]</f>
        <v>Mg</v>
      </c>
      <c r="AA37" s="139">
        <f>_xlfn.XLOOKUP(Tab_Data_Flows[[#This Row],[Flow_Name]],Tab_Def_Flows[Flow_Name],Tab_Def_Flows[Flow_E3_Fraction'[%']],"N.A.",0,1)</f>
        <v>0</v>
      </c>
      <c r="AB37" s="6">
        <f>IF(E37="Yes",AA37*Tab_Data_Flows[[#This Row],[E1_value]],"N.A.")</f>
        <v>0</v>
      </c>
      <c r="AC37" s="6" t="str">
        <f>Tab_Data_Flows[[#This Row],[E1_UoM]]</f>
        <v>Mg</v>
      </c>
      <c r="AD37" s="139">
        <f>_xlfn.XLOOKUP(Tab_Data_Flows[[#This Row],[Flow_Name]],Tab_Def_Flows[Flow_Name],Tab_Def_Flows[Flow_E4_Fraction'[%']],"N.A.",0,1)</f>
        <v>0</v>
      </c>
      <c r="AE37" s="6">
        <f>IF(H37="Yes",Tab_Data_Flows[[#This Row],[E4_Fraction'[%']]]*Tab_Data_Flows[[#This Row],[E1_value]],"N.A.")</f>
        <v>0</v>
      </c>
      <c r="AF37" s="6" t="str">
        <f>Tab_Data_Flows[[#This Row],[E1_UoM]]</f>
        <v>Mg</v>
      </c>
      <c r="AG37" s="139">
        <f>_xlfn.XLOOKUP(Tab_Data_Flows[[#This Row],[Flow_Name]],Tab_Def_Flows[Flow_Name],Tab_Def_Flows[Flow_E5_Fraction'[%']],"N.A.",0,1)</f>
        <v>0</v>
      </c>
      <c r="AH37" s="6">
        <f>IF(H37="Yes",Tab_Data_Flows[[#This Row],[E5_Fraction'[%']]]*Tab_Data_Flows[[#This Row],[E1_value]],"N.A.")</f>
        <v>0</v>
      </c>
      <c r="AI37" s="6" t="str">
        <f>Tab_Data_Flows[[#This Row],[E1_UoM]]</f>
        <v>Mg</v>
      </c>
      <c r="AJ37" s="139">
        <f>_xlfn.XLOOKUP(Tab_Data_Flows[[#This Row],[Flow_Name]],Tab_Def_Flows[Flow_Name],Tab_Def_Flows[Flow_E6_Fraction'[%']],"N.A.",0,1)</f>
        <v>0</v>
      </c>
      <c r="AK37" s="6">
        <f>IF(Tab_Data_Flows[[#This Row],[Use_E6]]="Yes",Tab_Data_Flows[[#This Row],[E6_Fraction'[%']]]*Tab_Data_Flows[[#This Row],[E1_value]],"N.A.")</f>
        <v>0</v>
      </c>
      <c r="AL37" s="6" t="str">
        <f>Tab_Data_Flows[[#This Row],[E1_UoM]]</f>
        <v>Mg</v>
      </c>
    </row>
    <row r="38" spans="1:38" x14ac:dyDescent="0.25">
      <c r="A38" s="8">
        <f t="shared" si="1"/>
        <v>37</v>
      </c>
      <c r="B38" s="6" t="str">
        <f>_xlfn.XLOOKUP(C38,Tab_Def_Flows[Flow_Name],Tab_Def_Flows[Flow_ID],,0,)</f>
        <v>F__</v>
      </c>
      <c r="C38" s="138" t="s">
        <v>8</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c r="K38" s="189"/>
      <c r="L38" s="6" t="str">
        <f>'0_Configuration'!$C$41</f>
        <v>Mg</v>
      </c>
      <c r="M38" s="13"/>
      <c r="N38" s="13"/>
      <c r="O38" s="13"/>
      <c r="P38" s="13"/>
      <c r="Q38" s="13"/>
      <c r="R38" s="7" t="s">
        <v>6</v>
      </c>
      <c r="S38" s="7"/>
      <c r="T38" s="7"/>
      <c r="U38" s="6">
        <f>_xlfn.XLOOKUP(Tab_Data_Flows[[#This Row],[Flow_Name]],Tab_Def_Flows[Flow_Name],Tab_Def_Flows[Flow_E1_Fraction'[%']],"N.A.",0,1)</f>
        <v>0</v>
      </c>
      <c r="V38" s="12">
        <f t="shared" si="2"/>
        <v>0</v>
      </c>
      <c r="W38" s="6" t="str">
        <f>Tab_Data_Flows[[#This Row],[UoM_Source]]</f>
        <v>Mg</v>
      </c>
      <c r="X38" s="139">
        <f>_xlfn.XLOOKUP(Tab_Data_Flows[[#This Row],[Flow_Name]],Tab_Def_Flows[Flow_Name],Tab_Def_Flows[Flow_E2_Fraction'[%']],"N.A.",0,1)</f>
        <v>0</v>
      </c>
      <c r="Y38" s="6">
        <f>IF(D38="Yes",V38*Tab_Data_Flows[[#This Row],[E2_Fraction'[%']]],"N.A.")</f>
        <v>0</v>
      </c>
      <c r="Z38" s="6" t="str">
        <f>Tab_Data_Flows[[#This Row],[E1_UoM]]</f>
        <v>Mg</v>
      </c>
      <c r="AA38" s="139">
        <f>_xlfn.XLOOKUP(Tab_Data_Flows[[#This Row],[Flow_Name]],Tab_Def_Flows[Flow_Name],Tab_Def_Flows[Flow_E3_Fraction'[%']],"N.A.",0,1)</f>
        <v>0</v>
      </c>
      <c r="AB38" s="6">
        <f>IF(E38="Yes",AA38*Tab_Data_Flows[[#This Row],[E1_value]],"N.A.")</f>
        <v>0</v>
      </c>
      <c r="AC38" s="6" t="str">
        <f>Tab_Data_Flows[[#This Row],[E1_UoM]]</f>
        <v>Mg</v>
      </c>
      <c r="AD38" s="139">
        <f>_xlfn.XLOOKUP(Tab_Data_Flows[[#This Row],[Flow_Name]],Tab_Def_Flows[Flow_Name],Tab_Def_Flows[Flow_E4_Fraction'[%']],"N.A.",0,1)</f>
        <v>0</v>
      </c>
      <c r="AE38" s="6">
        <f>IF(H38="Yes",Tab_Data_Flows[[#This Row],[E4_Fraction'[%']]]*Tab_Data_Flows[[#This Row],[E1_value]],"N.A.")</f>
        <v>0</v>
      </c>
      <c r="AF38" s="6" t="str">
        <f>Tab_Data_Flows[[#This Row],[E1_UoM]]</f>
        <v>Mg</v>
      </c>
      <c r="AG38" s="139">
        <f>_xlfn.XLOOKUP(Tab_Data_Flows[[#This Row],[Flow_Name]],Tab_Def_Flows[Flow_Name],Tab_Def_Flows[Flow_E5_Fraction'[%']],"N.A.",0,1)</f>
        <v>0</v>
      </c>
      <c r="AH38" s="6">
        <f>IF(H38="Yes",Tab_Data_Flows[[#This Row],[E5_Fraction'[%']]]*Tab_Data_Flows[[#This Row],[E1_value]],"N.A.")</f>
        <v>0</v>
      </c>
      <c r="AI38" s="6" t="str">
        <f>Tab_Data_Flows[[#This Row],[E1_UoM]]</f>
        <v>Mg</v>
      </c>
      <c r="AJ38" s="139">
        <f>_xlfn.XLOOKUP(Tab_Data_Flows[[#This Row],[Flow_Name]],Tab_Def_Flows[Flow_Name],Tab_Def_Flows[Flow_E6_Fraction'[%']],"N.A.",0,1)</f>
        <v>0</v>
      </c>
      <c r="AK38" s="6">
        <f>IF(Tab_Data_Flows[[#This Row],[Use_E6]]="Yes",Tab_Data_Flows[[#This Row],[E6_Fraction'[%']]]*Tab_Data_Flows[[#This Row],[E1_value]],"N.A.")</f>
        <v>0</v>
      </c>
      <c r="AL38" s="6" t="str">
        <f>Tab_Data_Flows[[#This Row],[E1_UoM]]</f>
        <v>Mg</v>
      </c>
    </row>
    <row r="39" spans="1:38" x14ac:dyDescent="0.25">
      <c r="A39" s="8">
        <f t="shared" si="1"/>
        <v>38</v>
      </c>
      <c r="B39" s="6" t="str">
        <f>_xlfn.XLOOKUP(C39,Tab_Def_Flows[Flow_Name],Tab_Def_Flows[Flow_ID],,0,)</f>
        <v>F__</v>
      </c>
      <c r="C39" s="138" t="s">
        <v>8</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c r="K39" s="189"/>
      <c r="L39" s="6" t="str">
        <f>'0_Configuration'!$C$41</f>
        <v>Mg</v>
      </c>
      <c r="M39" s="13"/>
      <c r="N39" s="13"/>
      <c r="O39" s="13"/>
      <c r="P39" s="13"/>
      <c r="Q39" s="13"/>
      <c r="R39" s="7" t="s">
        <v>6</v>
      </c>
      <c r="S39" s="7"/>
      <c r="T39" s="7"/>
      <c r="U39" s="6">
        <f>_xlfn.XLOOKUP(Tab_Data_Flows[[#This Row],[Flow_Name]],Tab_Def_Flows[Flow_Name],Tab_Def_Flows[Flow_E1_Fraction'[%']],"N.A.",0,1)</f>
        <v>0</v>
      </c>
      <c r="V39" s="12">
        <f t="shared" si="2"/>
        <v>0</v>
      </c>
      <c r="W39" s="6" t="str">
        <f>Tab_Data_Flows[[#This Row],[UoM_Source]]</f>
        <v>Mg</v>
      </c>
      <c r="X39" s="139">
        <f>_xlfn.XLOOKUP(Tab_Data_Flows[[#This Row],[Flow_Name]],Tab_Def_Flows[Flow_Name],Tab_Def_Flows[Flow_E2_Fraction'[%']],"N.A.",0,1)</f>
        <v>0</v>
      </c>
      <c r="Y39" s="6">
        <f>IF(D39="Yes",V39*Tab_Data_Flows[[#This Row],[E2_Fraction'[%']]],"N.A.")</f>
        <v>0</v>
      </c>
      <c r="Z39" s="6" t="str">
        <f>Tab_Data_Flows[[#This Row],[E1_UoM]]</f>
        <v>Mg</v>
      </c>
      <c r="AA39" s="139">
        <f>_xlfn.XLOOKUP(Tab_Data_Flows[[#This Row],[Flow_Name]],Tab_Def_Flows[Flow_Name],Tab_Def_Flows[Flow_E3_Fraction'[%']],"N.A.",0,1)</f>
        <v>0</v>
      </c>
      <c r="AB39" s="6">
        <f>IF(E39="Yes",AA39*Tab_Data_Flows[[#This Row],[E1_value]],"N.A.")</f>
        <v>0</v>
      </c>
      <c r="AC39" s="6" t="str">
        <f>Tab_Data_Flows[[#This Row],[E1_UoM]]</f>
        <v>Mg</v>
      </c>
      <c r="AD39" s="139">
        <f>_xlfn.XLOOKUP(Tab_Data_Flows[[#This Row],[Flow_Name]],Tab_Def_Flows[Flow_Name],Tab_Def_Flows[Flow_E4_Fraction'[%']],"N.A.",0,1)</f>
        <v>0</v>
      </c>
      <c r="AE39" s="6">
        <f>IF(H39="Yes",Tab_Data_Flows[[#This Row],[E4_Fraction'[%']]]*Tab_Data_Flows[[#This Row],[E1_value]],"N.A.")</f>
        <v>0</v>
      </c>
      <c r="AF39" s="6" t="str">
        <f>Tab_Data_Flows[[#This Row],[E1_UoM]]</f>
        <v>Mg</v>
      </c>
      <c r="AG39" s="139">
        <f>_xlfn.XLOOKUP(Tab_Data_Flows[[#This Row],[Flow_Name]],Tab_Def_Flows[Flow_Name],Tab_Def_Flows[Flow_E5_Fraction'[%']],"N.A.",0,1)</f>
        <v>0</v>
      </c>
      <c r="AH39" s="6">
        <f>IF(H39="Yes",Tab_Data_Flows[[#This Row],[E5_Fraction'[%']]]*Tab_Data_Flows[[#This Row],[E1_value]],"N.A.")</f>
        <v>0</v>
      </c>
      <c r="AI39" s="6" t="str">
        <f>Tab_Data_Flows[[#This Row],[E1_UoM]]</f>
        <v>Mg</v>
      </c>
      <c r="AJ39" s="139">
        <f>_xlfn.XLOOKUP(Tab_Data_Flows[[#This Row],[Flow_Name]],Tab_Def_Flows[Flow_Name],Tab_Def_Flows[Flow_E6_Fraction'[%']],"N.A.",0,1)</f>
        <v>0</v>
      </c>
      <c r="AK39" s="6">
        <f>IF(Tab_Data_Flows[[#This Row],[Use_E6]]="Yes",Tab_Data_Flows[[#This Row],[E6_Fraction'[%']]]*Tab_Data_Flows[[#This Row],[E1_value]],"N.A.")</f>
        <v>0</v>
      </c>
      <c r="AL39" s="6" t="str">
        <f>Tab_Data_Flows[[#This Row],[E1_UoM]]</f>
        <v>Mg</v>
      </c>
    </row>
    <row r="40" spans="1:38" x14ac:dyDescent="0.25">
      <c r="A40" s="8">
        <f t="shared" si="1"/>
        <v>39</v>
      </c>
      <c r="B40" s="6" t="str">
        <f>_xlfn.XLOOKUP(C40,Tab_Def_Flows[Flow_Name],Tab_Def_Flows[Flow_ID],,0,)</f>
        <v>F__</v>
      </c>
      <c r="C40" s="138" t="s">
        <v>8</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c r="K40" s="189"/>
      <c r="L40" s="6" t="str">
        <f>'0_Configuration'!$C$41</f>
        <v>Mg</v>
      </c>
      <c r="M40" s="13"/>
      <c r="N40" s="13"/>
      <c r="O40" s="13"/>
      <c r="P40" s="13"/>
      <c r="Q40" s="13"/>
      <c r="R40" s="7" t="s">
        <v>6</v>
      </c>
      <c r="S40" s="7"/>
      <c r="T40" s="7"/>
      <c r="U40" s="6">
        <f>_xlfn.XLOOKUP(Tab_Data_Flows[[#This Row],[Flow_Name]],Tab_Def_Flows[Flow_Name],Tab_Def_Flows[Flow_E1_Fraction'[%']],"N.A.",0,1)</f>
        <v>0</v>
      </c>
      <c r="V40" s="12">
        <f t="shared" si="2"/>
        <v>0</v>
      </c>
      <c r="W40" s="6" t="str">
        <f>Tab_Data_Flows[[#This Row],[UoM_Source]]</f>
        <v>Mg</v>
      </c>
      <c r="X40" s="139">
        <f>_xlfn.XLOOKUP(Tab_Data_Flows[[#This Row],[Flow_Name]],Tab_Def_Flows[Flow_Name],Tab_Def_Flows[Flow_E2_Fraction'[%']],"N.A.",0,1)</f>
        <v>0</v>
      </c>
      <c r="Y40" s="6">
        <f>IF(D40="Yes",V40*Tab_Data_Flows[[#This Row],[E2_Fraction'[%']]],"N.A.")</f>
        <v>0</v>
      </c>
      <c r="Z40" s="6" t="str">
        <f>Tab_Data_Flows[[#This Row],[E1_UoM]]</f>
        <v>Mg</v>
      </c>
      <c r="AA40" s="139">
        <f>_xlfn.XLOOKUP(Tab_Data_Flows[[#This Row],[Flow_Name]],Tab_Def_Flows[Flow_Name],Tab_Def_Flows[Flow_E3_Fraction'[%']],"N.A.",0,1)</f>
        <v>0</v>
      </c>
      <c r="AB40" s="6">
        <f>IF(E40="Yes",AA40*Tab_Data_Flows[[#This Row],[E1_value]],"N.A.")</f>
        <v>0</v>
      </c>
      <c r="AC40" s="6" t="str">
        <f>Tab_Data_Flows[[#This Row],[E1_UoM]]</f>
        <v>Mg</v>
      </c>
      <c r="AD40" s="139">
        <f>_xlfn.XLOOKUP(Tab_Data_Flows[[#This Row],[Flow_Name]],Tab_Def_Flows[Flow_Name],Tab_Def_Flows[Flow_E4_Fraction'[%']],"N.A.",0,1)</f>
        <v>0</v>
      </c>
      <c r="AE40" s="6">
        <f>IF(H40="Yes",Tab_Data_Flows[[#This Row],[E4_Fraction'[%']]]*Tab_Data_Flows[[#This Row],[E1_value]],"N.A.")</f>
        <v>0</v>
      </c>
      <c r="AF40" s="6" t="str">
        <f>Tab_Data_Flows[[#This Row],[E1_UoM]]</f>
        <v>Mg</v>
      </c>
      <c r="AG40" s="139">
        <f>_xlfn.XLOOKUP(Tab_Data_Flows[[#This Row],[Flow_Name]],Tab_Def_Flows[Flow_Name],Tab_Def_Flows[Flow_E5_Fraction'[%']],"N.A.",0,1)</f>
        <v>0</v>
      </c>
      <c r="AH40" s="6">
        <f>IF(H40="Yes",Tab_Data_Flows[[#This Row],[E5_Fraction'[%']]]*Tab_Data_Flows[[#This Row],[E1_value]],"N.A.")</f>
        <v>0</v>
      </c>
      <c r="AI40" s="6" t="str">
        <f>Tab_Data_Flows[[#This Row],[E1_UoM]]</f>
        <v>Mg</v>
      </c>
      <c r="AJ40" s="139">
        <f>_xlfn.XLOOKUP(Tab_Data_Flows[[#This Row],[Flow_Name]],Tab_Def_Flows[Flow_Name],Tab_Def_Flows[Flow_E6_Fraction'[%']],"N.A.",0,1)</f>
        <v>0</v>
      </c>
      <c r="AK40" s="6">
        <f>IF(Tab_Data_Flows[[#This Row],[Use_E6]]="Yes",Tab_Data_Flows[[#This Row],[E6_Fraction'[%']]]*Tab_Data_Flows[[#This Row],[E1_value]],"N.A.")</f>
        <v>0</v>
      </c>
      <c r="AL40" s="6" t="str">
        <f>Tab_Data_Flows[[#This Row],[E1_UoM]]</f>
        <v>Mg</v>
      </c>
    </row>
    <row r="41" spans="1:38" x14ac:dyDescent="0.25">
      <c r="A41" s="8">
        <f t="shared" si="1"/>
        <v>40</v>
      </c>
      <c r="B41" s="6" t="str">
        <f>_xlfn.XLOOKUP(C41,Tab_Def_Flows[Flow_Name],Tab_Def_Flows[Flow_ID],,0,)</f>
        <v>F__</v>
      </c>
      <c r="C41" s="138" t="s">
        <v>8</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c r="K41" s="189"/>
      <c r="L41" s="6" t="str">
        <f>'0_Configuration'!$C$41</f>
        <v>Mg</v>
      </c>
      <c r="M41" s="13"/>
      <c r="N41" s="13"/>
      <c r="O41" s="13"/>
      <c r="P41" s="13"/>
      <c r="Q41" s="13"/>
      <c r="R41" s="7" t="s">
        <v>6</v>
      </c>
      <c r="S41" s="7"/>
      <c r="T41" s="7"/>
      <c r="U41" s="6">
        <f>_xlfn.XLOOKUP(Tab_Data_Flows[[#This Row],[Flow_Name]],Tab_Def_Flows[Flow_Name],Tab_Def_Flows[Flow_E1_Fraction'[%']],"N.A.",0,1)</f>
        <v>0</v>
      </c>
      <c r="V41" s="12">
        <f t="shared" si="2"/>
        <v>0</v>
      </c>
      <c r="W41" s="6" t="str">
        <f>Tab_Data_Flows[[#This Row],[UoM_Source]]</f>
        <v>Mg</v>
      </c>
      <c r="X41" s="139">
        <f>_xlfn.XLOOKUP(Tab_Data_Flows[[#This Row],[Flow_Name]],Tab_Def_Flows[Flow_Name],Tab_Def_Flows[Flow_E2_Fraction'[%']],"N.A.",0,1)</f>
        <v>0</v>
      </c>
      <c r="Y41" s="6">
        <f>IF(D41="Yes",V41*Tab_Data_Flows[[#This Row],[E2_Fraction'[%']]],"N.A.")</f>
        <v>0</v>
      </c>
      <c r="Z41" s="6" t="str">
        <f>Tab_Data_Flows[[#This Row],[E1_UoM]]</f>
        <v>Mg</v>
      </c>
      <c r="AA41" s="139">
        <f>_xlfn.XLOOKUP(Tab_Data_Flows[[#This Row],[Flow_Name]],Tab_Def_Flows[Flow_Name],Tab_Def_Flows[Flow_E3_Fraction'[%']],"N.A.",0,1)</f>
        <v>0</v>
      </c>
      <c r="AB41" s="6">
        <f>IF(E41="Yes",AA41*Tab_Data_Flows[[#This Row],[E1_value]],"N.A.")</f>
        <v>0</v>
      </c>
      <c r="AC41" s="6" t="str">
        <f>Tab_Data_Flows[[#This Row],[E1_UoM]]</f>
        <v>Mg</v>
      </c>
      <c r="AD41" s="139">
        <f>_xlfn.XLOOKUP(Tab_Data_Flows[[#This Row],[Flow_Name]],Tab_Def_Flows[Flow_Name],Tab_Def_Flows[Flow_E4_Fraction'[%']],"N.A.",0,1)</f>
        <v>0</v>
      </c>
      <c r="AE41" s="6">
        <f>IF(H41="Yes",Tab_Data_Flows[[#This Row],[E4_Fraction'[%']]]*Tab_Data_Flows[[#This Row],[E1_value]],"N.A.")</f>
        <v>0</v>
      </c>
      <c r="AF41" s="6" t="str">
        <f>Tab_Data_Flows[[#This Row],[E1_UoM]]</f>
        <v>Mg</v>
      </c>
      <c r="AG41" s="139">
        <f>_xlfn.XLOOKUP(Tab_Data_Flows[[#This Row],[Flow_Name]],Tab_Def_Flows[Flow_Name],Tab_Def_Flows[Flow_E5_Fraction'[%']],"N.A.",0,1)</f>
        <v>0</v>
      </c>
      <c r="AH41" s="6">
        <f>IF(H41="Yes",Tab_Data_Flows[[#This Row],[E5_Fraction'[%']]]*Tab_Data_Flows[[#This Row],[E1_value]],"N.A.")</f>
        <v>0</v>
      </c>
      <c r="AI41" s="6" t="str">
        <f>Tab_Data_Flows[[#This Row],[E1_UoM]]</f>
        <v>Mg</v>
      </c>
      <c r="AJ41" s="139">
        <f>_xlfn.XLOOKUP(Tab_Data_Flows[[#This Row],[Flow_Name]],Tab_Def_Flows[Flow_Name],Tab_Def_Flows[Flow_E6_Fraction'[%']],"N.A.",0,1)</f>
        <v>0</v>
      </c>
      <c r="AK41" s="6">
        <f>IF(Tab_Data_Flows[[#This Row],[Use_E6]]="Yes",Tab_Data_Flows[[#This Row],[E6_Fraction'[%']]]*Tab_Data_Flows[[#This Row],[E1_value]],"N.A.")</f>
        <v>0</v>
      </c>
      <c r="AL41" s="6" t="str">
        <f>Tab_Data_Flows[[#This Row],[E1_UoM]]</f>
        <v>Mg</v>
      </c>
    </row>
    <row r="42" spans="1:38" x14ac:dyDescent="0.25">
      <c r="A42" s="8">
        <f t="shared" si="1"/>
        <v>41</v>
      </c>
      <c r="B42" s="6" t="str">
        <f>_xlfn.XLOOKUP(C42,Tab_Def_Flows[Flow_Name],Tab_Def_Flows[Flow_ID],,0,)</f>
        <v>F__</v>
      </c>
      <c r="C42" s="138" t="s">
        <v>8</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c r="K42" s="189"/>
      <c r="L42" s="6" t="str">
        <f>'0_Configuration'!$C$41</f>
        <v>Mg</v>
      </c>
      <c r="M42" s="13"/>
      <c r="N42" s="13"/>
      <c r="O42" s="13"/>
      <c r="P42" s="13"/>
      <c r="Q42" s="13"/>
      <c r="R42" s="7" t="s">
        <v>6</v>
      </c>
      <c r="S42" s="7"/>
      <c r="T42" s="7"/>
      <c r="U42" s="6">
        <f>_xlfn.XLOOKUP(Tab_Data_Flows[[#This Row],[Flow_Name]],Tab_Def_Flows[Flow_Name],Tab_Def_Flows[Flow_E1_Fraction'[%']],"N.A.",0,1)</f>
        <v>0</v>
      </c>
      <c r="V42" s="12">
        <f t="shared" si="2"/>
        <v>0</v>
      </c>
      <c r="W42" s="6" t="str">
        <f>Tab_Data_Flows[[#This Row],[UoM_Source]]</f>
        <v>Mg</v>
      </c>
      <c r="X42" s="139">
        <f>_xlfn.XLOOKUP(Tab_Data_Flows[[#This Row],[Flow_Name]],Tab_Def_Flows[Flow_Name],Tab_Def_Flows[Flow_E2_Fraction'[%']],"N.A.",0,1)</f>
        <v>0</v>
      </c>
      <c r="Y42" s="6">
        <f>IF(D42="Yes",V42*Tab_Data_Flows[[#This Row],[E2_Fraction'[%']]],"N.A.")</f>
        <v>0</v>
      </c>
      <c r="Z42" s="6" t="str">
        <f>Tab_Data_Flows[[#This Row],[E1_UoM]]</f>
        <v>Mg</v>
      </c>
      <c r="AA42" s="139">
        <f>_xlfn.XLOOKUP(Tab_Data_Flows[[#This Row],[Flow_Name]],Tab_Def_Flows[Flow_Name],Tab_Def_Flows[Flow_E3_Fraction'[%']],"N.A.",0,1)</f>
        <v>0</v>
      </c>
      <c r="AB42" s="6">
        <f>IF(E42="Yes",AA42*Tab_Data_Flows[[#This Row],[E1_value]],"N.A.")</f>
        <v>0</v>
      </c>
      <c r="AC42" s="6" t="str">
        <f>Tab_Data_Flows[[#This Row],[E1_UoM]]</f>
        <v>Mg</v>
      </c>
      <c r="AD42" s="139">
        <f>_xlfn.XLOOKUP(Tab_Data_Flows[[#This Row],[Flow_Name]],Tab_Def_Flows[Flow_Name],Tab_Def_Flows[Flow_E4_Fraction'[%']],"N.A.",0,1)</f>
        <v>0</v>
      </c>
      <c r="AE42" s="6">
        <f>IF(H42="Yes",Tab_Data_Flows[[#This Row],[E4_Fraction'[%']]]*Tab_Data_Flows[[#This Row],[E1_value]],"N.A.")</f>
        <v>0</v>
      </c>
      <c r="AF42" s="6" t="str">
        <f>Tab_Data_Flows[[#This Row],[E1_UoM]]</f>
        <v>Mg</v>
      </c>
      <c r="AG42" s="139">
        <f>_xlfn.XLOOKUP(Tab_Data_Flows[[#This Row],[Flow_Name]],Tab_Def_Flows[Flow_Name],Tab_Def_Flows[Flow_E5_Fraction'[%']],"N.A.",0,1)</f>
        <v>0</v>
      </c>
      <c r="AH42" s="6">
        <f>IF(H42="Yes",Tab_Data_Flows[[#This Row],[E5_Fraction'[%']]]*Tab_Data_Flows[[#This Row],[E1_value]],"N.A.")</f>
        <v>0</v>
      </c>
      <c r="AI42" s="6" t="str">
        <f>Tab_Data_Flows[[#This Row],[E1_UoM]]</f>
        <v>Mg</v>
      </c>
      <c r="AJ42" s="139">
        <f>_xlfn.XLOOKUP(Tab_Data_Flows[[#This Row],[Flow_Name]],Tab_Def_Flows[Flow_Name],Tab_Def_Flows[Flow_E6_Fraction'[%']],"N.A.",0,1)</f>
        <v>0</v>
      </c>
      <c r="AK42" s="6">
        <f>IF(Tab_Data_Flows[[#This Row],[Use_E6]]="Yes",Tab_Data_Flows[[#This Row],[E6_Fraction'[%']]]*Tab_Data_Flows[[#This Row],[E1_value]],"N.A.")</f>
        <v>0</v>
      </c>
      <c r="AL42" s="6" t="str">
        <f>Tab_Data_Flows[[#This Row],[E1_UoM]]</f>
        <v>Mg</v>
      </c>
    </row>
    <row r="43" spans="1:38" x14ac:dyDescent="0.25">
      <c r="A43" s="8">
        <f t="shared" si="1"/>
        <v>42</v>
      </c>
      <c r="B43" s="6" t="str">
        <f>_xlfn.XLOOKUP(C43,Tab_Def_Flows[Flow_Name],Tab_Def_Flows[Flow_ID],,0,)</f>
        <v>F__</v>
      </c>
      <c r="C43" s="138" t="s">
        <v>8</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c r="K43" s="189"/>
      <c r="L43" s="6" t="str">
        <f>'0_Configuration'!$C$41</f>
        <v>Mg</v>
      </c>
      <c r="M43" s="13"/>
      <c r="N43" s="13"/>
      <c r="O43" s="13"/>
      <c r="P43" s="13"/>
      <c r="Q43" s="13"/>
      <c r="R43" s="7" t="s">
        <v>6</v>
      </c>
      <c r="S43" s="7"/>
      <c r="T43" s="7"/>
      <c r="U43" s="6">
        <f>_xlfn.XLOOKUP(Tab_Data_Flows[[#This Row],[Flow_Name]],Tab_Def_Flows[Flow_Name],Tab_Def_Flows[Flow_E1_Fraction'[%']],"N.A.",0,1)</f>
        <v>0</v>
      </c>
      <c r="V43" s="12">
        <f t="shared" si="2"/>
        <v>0</v>
      </c>
      <c r="W43" s="6" t="str">
        <f>Tab_Data_Flows[[#This Row],[UoM_Source]]</f>
        <v>Mg</v>
      </c>
      <c r="X43" s="139">
        <f>_xlfn.XLOOKUP(Tab_Data_Flows[[#This Row],[Flow_Name]],Tab_Def_Flows[Flow_Name],Tab_Def_Flows[Flow_E2_Fraction'[%']],"N.A.",0,1)</f>
        <v>0</v>
      </c>
      <c r="Y43" s="6">
        <f>IF(D43="Yes",V43*Tab_Data_Flows[[#This Row],[E2_Fraction'[%']]],"N.A.")</f>
        <v>0</v>
      </c>
      <c r="Z43" s="6" t="str">
        <f>Tab_Data_Flows[[#This Row],[E1_UoM]]</f>
        <v>Mg</v>
      </c>
      <c r="AA43" s="139">
        <f>_xlfn.XLOOKUP(Tab_Data_Flows[[#This Row],[Flow_Name]],Tab_Def_Flows[Flow_Name],Tab_Def_Flows[Flow_E3_Fraction'[%']],"N.A.",0,1)</f>
        <v>0</v>
      </c>
      <c r="AB43" s="6">
        <f>IF(E43="Yes",AA43*Tab_Data_Flows[[#This Row],[E1_value]],"N.A.")</f>
        <v>0</v>
      </c>
      <c r="AC43" s="6" t="str">
        <f>Tab_Data_Flows[[#This Row],[E1_UoM]]</f>
        <v>Mg</v>
      </c>
      <c r="AD43" s="139">
        <f>_xlfn.XLOOKUP(Tab_Data_Flows[[#This Row],[Flow_Name]],Tab_Def_Flows[Flow_Name],Tab_Def_Flows[Flow_E4_Fraction'[%']],"N.A.",0,1)</f>
        <v>0</v>
      </c>
      <c r="AE43" s="6">
        <f>IF(H43="Yes",Tab_Data_Flows[[#This Row],[E4_Fraction'[%']]]*Tab_Data_Flows[[#This Row],[E1_value]],"N.A.")</f>
        <v>0</v>
      </c>
      <c r="AF43" s="6" t="str">
        <f>Tab_Data_Flows[[#This Row],[E1_UoM]]</f>
        <v>Mg</v>
      </c>
      <c r="AG43" s="139">
        <f>_xlfn.XLOOKUP(Tab_Data_Flows[[#This Row],[Flow_Name]],Tab_Def_Flows[Flow_Name],Tab_Def_Flows[Flow_E5_Fraction'[%']],"N.A.",0,1)</f>
        <v>0</v>
      </c>
      <c r="AH43" s="6">
        <f>IF(H43="Yes",Tab_Data_Flows[[#This Row],[E5_Fraction'[%']]]*Tab_Data_Flows[[#This Row],[E1_value]],"N.A.")</f>
        <v>0</v>
      </c>
      <c r="AI43" s="6" t="str">
        <f>Tab_Data_Flows[[#This Row],[E1_UoM]]</f>
        <v>Mg</v>
      </c>
      <c r="AJ43" s="139">
        <f>_xlfn.XLOOKUP(Tab_Data_Flows[[#This Row],[Flow_Name]],Tab_Def_Flows[Flow_Name],Tab_Def_Flows[Flow_E6_Fraction'[%']],"N.A.",0,1)</f>
        <v>0</v>
      </c>
      <c r="AK43" s="6">
        <f>IF(Tab_Data_Flows[[#This Row],[Use_E6]]="Yes",Tab_Data_Flows[[#This Row],[E6_Fraction'[%']]]*Tab_Data_Flows[[#This Row],[E1_value]],"N.A.")</f>
        <v>0</v>
      </c>
      <c r="AL43" s="6" t="str">
        <f>Tab_Data_Flows[[#This Row],[E1_UoM]]</f>
        <v>Mg</v>
      </c>
    </row>
    <row r="44" spans="1:38" x14ac:dyDescent="0.25">
      <c r="A44" s="8">
        <f t="shared" si="1"/>
        <v>43</v>
      </c>
      <c r="B44" s="6" t="str">
        <f>_xlfn.XLOOKUP(C44,Tab_Def_Flows[Flow_Name],Tab_Def_Flows[Flow_ID],,0,)</f>
        <v>F__</v>
      </c>
      <c r="C44" s="138" t="s">
        <v>8</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c r="K44" s="189"/>
      <c r="L44" s="6" t="str">
        <f>'0_Configuration'!$C$41</f>
        <v>Mg</v>
      </c>
      <c r="M44" s="13"/>
      <c r="N44" s="13"/>
      <c r="O44" s="13"/>
      <c r="P44" s="13"/>
      <c r="Q44" s="13"/>
      <c r="R44" s="7" t="s">
        <v>6</v>
      </c>
      <c r="S44" s="7"/>
      <c r="T44" s="7"/>
      <c r="U44" s="6">
        <f>_xlfn.XLOOKUP(Tab_Data_Flows[[#This Row],[Flow_Name]],Tab_Def_Flows[Flow_Name],Tab_Def_Flows[Flow_E1_Fraction'[%']],"N.A.",0,1)</f>
        <v>0</v>
      </c>
      <c r="V44" s="12">
        <f t="shared" si="2"/>
        <v>0</v>
      </c>
      <c r="W44" s="6" t="str">
        <f>Tab_Data_Flows[[#This Row],[UoM_Source]]</f>
        <v>Mg</v>
      </c>
      <c r="X44" s="139">
        <f>_xlfn.XLOOKUP(Tab_Data_Flows[[#This Row],[Flow_Name]],Tab_Def_Flows[Flow_Name],Tab_Def_Flows[Flow_E2_Fraction'[%']],"N.A.",0,1)</f>
        <v>0</v>
      </c>
      <c r="Y44" s="6">
        <f>IF(D44="Yes",V44*Tab_Data_Flows[[#This Row],[E2_Fraction'[%']]],"N.A.")</f>
        <v>0</v>
      </c>
      <c r="Z44" s="6" t="str">
        <f>Tab_Data_Flows[[#This Row],[E1_UoM]]</f>
        <v>Mg</v>
      </c>
      <c r="AA44" s="139">
        <f>_xlfn.XLOOKUP(Tab_Data_Flows[[#This Row],[Flow_Name]],Tab_Def_Flows[Flow_Name],Tab_Def_Flows[Flow_E3_Fraction'[%']],"N.A.",0,1)</f>
        <v>0</v>
      </c>
      <c r="AB44" s="6">
        <f>IF(E44="Yes",AA44*Tab_Data_Flows[[#This Row],[E1_value]],"N.A.")</f>
        <v>0</v>
      </c>
      <c r="AC44" s="6" t="str">
        <f>Tab_Data_Flows[[#This Row],[E1_UoM]]</f>
        <v>Mg</v>
      </c>
      <c r="AD44" s="139">
        <f>_xlfn.XLOOKUP(Tab_Data_Flows[[#This Row],[Flow_Name]],Tab_Def_Flows[Flow_Name],Tab_Def_Flows[Flow_E4_Fraction'[%']],"N.A.",0,1)</f>
        <v>0</v>
      </c>
      <c r="AE44" s="6">
        <f>IF(H44="Yes",Tab_Data_Flows[[#This Row],[E4_Fraction'[%']]]*Tab_Data_Flows[[#This Row],[E1_value]],"N.A.")</f>
        <v>0</v>
      </c>
      <c r="AF44" s="6" t="str">
        <f>Tab_Data_Flows[[#This Row],[E1_UoM]]</f>
        <v>Mg</v>
      </c>
      <c r="AG44" s="139">
        <f>_xlfn.XLOOKUP(Tab_Data_Flows[[#This Row],[Flow_Name]],Tab_Def_Flows[Flow_Name],Tab_Def_Flows[Flow_E5_Fraction'[%']],"N.A.",0,1)</f>
        <v>0</v>
      </c>
      <c r="AH44" s="6">
        <f>IF(H44="Yes",Tab_Data_Flows[[#This Row],[E5_Fraction'[%']]]*Tab_Data_Flows[[#This Row],[E1_value]],"N.A.")</f>
        <v>0</v>
      </c>
      <c r="AI44" s="6" t="str">
        <f>Tab_Data_Flows[[#This Row],[E1_UoM]]</f>
        <v>Mg</v>
      </c>
      <c r="AJ44" s="139">
        <f>_xlfn.XLOOKUP(Tab_Data_Flows[[#This Row],[Flow_Name]],Tab_Def_Flows[Flow_Name],Tab_Def_Flows[Flow_E6_Fraction'[%']],"N.A.",0,1)</f>
        <v>0</v>
      </c>
      <c r="AK44" s="6">
        <f>IF(Tab_Data_Flows[[#This Row],[Use_E6]]="Yes",Tab_Data_Flows[[#This Row],[E6_Fraction'[%']]]*Tab_Data_Flows[[#This Row],[E1_value]],"N.A.")</f>
        <v>0</v>
      </c>
      <c r="AL44" s="6" t="str">
        <f>Tab_Data_Flows[[#This Row],[E1_UoM]]</f>
        <v>Mg</v>
      </c>
    </row>
    <row r="45" spans="1:38" x14ac:dyDescent="0.25">
      <c r="A45" s="8">
        <f t="shared" si="1"/>
        <v>44</v>
      </c>
      <c r="B45" s="6" t="str">
        <f>_xlfn.XLOOKUP(C45,Tab_Def_Flows[Flow_Name],Tab_Def_Flows[Flow_ID],,0,)</f>
        <v>F__</v>
      </c>
      <c r="C45" s="138" t="s">
        <v>8</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c r="K45" s="189"/>
      <c r="L45" s="6" t="str">
        <f>'0_Configuration'!$C$41</f>
        <v>Mg</v>
      </c>
      <c r="M45" s="13"/>
      <c r="N45" s="13"/>
      <c r="O45" s="13"/>
      <c r="P45" s="13"/>
      <c r="Q45" s="13"/>
      <c r="R45" s="7" t="s">
        <v>6</v>
      </c>
      <c r="S45" s="7"/>
      <c r="T45" s="7"/>
      <c r="U45" s="6">
        <f>_xlfn.XLOOKUP(Tab_Data_Flows[[#This Row],[Flow_Name]],Tab_Def_Flows[Flow_Name],Tab_Def_Flows[Flow_E1_Fraction'[%']],"N.A.",0,1)</f>
        <v>0</v>
      </c>
      <c r="V45" s="12">
        <f t="shared" si="2"/>
        <v>0</v>
      </c>
      <c r="W45" s="6" t="str">
        <f>Tab_Data_Flows[[#This Row],[UoM_Source]]</f>
        <v>Mg</v>
      </c>
      <c r="X45" s="139">
        <f>_xlfn.XLOOKUP(Tab_Data_Flows[[#This Row],[Flow_Name]],Tab_Def_Flows[Flow_Name],Tab_Def_Flows[Flow_E2_Fraction'[%']],"N.A.",0,1)</f>
        <v>0</v>
      </c>
      <c r="Y45" s="6">
        <f>IF(D45="Yes",V45*Tab_Data_Flows[[#This Row],[E2_Fraction'[%']]],"N.A.")</f>
        <v>0</v>
      </c>
      <c r="Z45" s="6" t="str">
        <f>Tab_Data_Flows[[#This Row],[E1_UoM]]</f>
        <v>Mg</v>
      </c>
      <c r="AA45" s="139">
        <f>_xlfn.XLOOKUP(Tab_Data_Flows[[#This Row],[Flow_Name]],Tab_Def_Flows[Flow_Name],Tab_Def_Flows[Flow_E3_Fraction'[%']],"N.A.",0,1)</f>
        <v>0</v>
      </c>
      <c r="AB45" s="6">
        <f>IF(E45="Yes",AA45*Tab_Data_Flows[[#This Row],[E1_value]],"N.A.")</f>
        <v>0</v>
      </c>
      <c r="AC45" s="6" t="str">
        <f>Tab_Data_Flows[[#This Row],[E1_UoM]]</f>
        <v>Mg</v>
      </c>
      <c r="AD45" s="139">
        <f>_xlfn.XLOOKUP(Tab_Data_Flows[[#This Row],[Flow_Name]],Tab_Def_Flows[Flow_Name],Tab_Def_Flows[Flow_E4_Fraction'[%']],"N.A.",0,1)</f>
        <v>0</v>
      </c>
      <c r="AE45" s="6">
        <f>IF(H45="Yes",Tab_Data_Flows[[#This Row],[E4_Fraction'[%']]]*Tab_Data_Flows[[#This Row],[E1_value]],"N.A.")</f>
        <v>0</v>
      </c>
      <c r="AF45" s="6" t="str">
        <f>Tab_Data_Flows[[#This Row],[E1_UoM]]</f>
        <v>Mg</v>
      </c>
      <c r="AG45" s="139">
        <f>_xlfn.XLOOKUP(Tab_Data_Flows[[#This Row],[Flow_Name]],Tab_Def_Flows[Flow_Name],Tab_Def_Flows[Flow_E5_Fraction'[%']],"N.A.",0,1)</f>
        <v>0</v>
      </c>
      <c r="AH45" s="6">
        <f>IF(H45="Yes",Tab_Data_Flows[[#This Row],[E5_Fraction'[%']]]*Tab_Data_Flows[[#This Row],[E1_value]],"N.A.")</f>
        <v>0</v>
      </c>
      <c r="AI45" s="6" t="str">
        <f>Tab_Data_Flows[[#This Row],[E1_UoM]]</f>
        <v>Mg</v>
      </c>
      <c r="AJ45" s="139">
        <f>_xlfn.XLOOKUP(Tab_Data_Flows[[#This Row],[Flow_Name]],Tab_Def_Flows[Flow_Name],Tab_Def_Flows[Flow_E6_Fraction'[%']],"N.A.",0,1)</f>
        <v>0</v>
      </c>
      <c r="AK45" s="6">
        <f>IF(Tab_Data_Flows[[#This Row],[Use_E6]]="Yes",Tab_Data_Flows[[#This Row],[E6_Fraction'[%']]]*Tab_Data_Flows[[#This Row],[E1_value]],"N.A.")</f>
        <v>0</v>
      </c>
      <c r="AL45" s="6" t="str">
        <f>Tab_Data_Flows[[#This Row],[E1_UoM]]</f>
        <v>Mg</v>
      </c>
    </row>
    <row r="46" spans="1:38" x14ac:dyDescent="0.25">
      <c r="A46" s="8">
        <f t="shared" si="1"/>
        <v>45</v>
      </c>
      <c r="B46" s="6" t="str">
        <f>_xlfn.XLOOKUP(C46,Tab_Def_Flows[Flow_Name],Tab_Def_Flows[Flow_ID],,0,)</f>
        <v>F__</v>
      </c>
      <c r="C46" s="138" t="s">
        <v>8</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c r="K46" s="189"/>
      <c r="L46" s="6" t="str">
        <f>'0_Configuration'!$C$41</f>
        <v>Mg</v>
      </c>
      <c r="M46" s="13"/>
      <c r="N46" s="13"/>
      <c r="O46" s="13"/>
      <c r="P46" s="13"/>
      <c r="Q46" s="13"/>
      <c r="R46" s="7" t="s">
        <v>6</v>
      </c>
      <c r="S46" s="7"/>
      <c r="T46" s="7"/>
      <c r="U46" s="6">
        <f>_xlfn.XLOOKUP(Tab_Data_Flows[[#This Row],[Flow_Name]],Tab_Def_Flows[Flow_Name],Tab_Def_Flows[Flow_E1_Fraction'[%']],"N.A.",0,1)</f>
        <v>0</v>
      </c>
      <c r="V46" s="12">
        <f t="shared" si="2"/>
        <v>0</v>
      </c>
      <c r="W46" s="6" t="str">
        <f>Tab_Data_Flows[[#This Row],[UoM_Source]]</f>
        <v>Mg</v>
      </c>
      <c r="X46" s="139">
        <f>_xlfn.XLOOKUP(Tab_Data_Flows[[#This Row],[Flow_Name]],Tab_Def_Flows[Flow_Name],Tab_Def_Flows[Flow_E2_Fraction'[%']],"N.A.",0,1)</f>
        <v>0</v>
      </c>
      <c r="Y46" s="6">
        <f>IF(D46="Yes",V46*Tab_Data_Flows[[#This Row],[E2_Fraction'[%']]],"N.A.")</f>
        <v>0</v>
      </c>
      <c r="Z46" s="6" t="str">
        <f>Tab_Data_Flows[[#This Row],[E1_UoM]]</f>
        <v>Mg</v>
      </c>
      <c r="AA46" s="139">
        <f>_xlfn.XLOOKUP(Tab_Data_Flows[[#This Row],[Flow_Name]],Tab_Def_Flows[Flow_Name],Tab_Def_Flows[Flow_E3_Fraction'[%']],"N.A.",0,1)</f>
        <v>0</v>
      </c>
      <c r="AB46" s="6">
        <f>IF(E46="Yes",AA46*Tab_Data_Flows[[#This Row],[E1_value]],"N.A.")</f>
        <v>0</v>
      </c>
      <c r="AC46" s="6" t="str">
        <f>Tab_Data_Flows[[#This Row],[E1_UoM]]</f>
        <v>Mg</v>
      </c>
      <c r="AD46" s="139">
        <f>_xlfn.XLOOKUP(Tab_Data_Flows[[#This Row],[Flow_Name]],Tab_Def_Flows[Flow_Name],Tab_Def_Flows[Flow_E4_Fraction'[%']],"N.A.",0,1)</f>
        <v>0</v>
      </c>
      <c r="AE46" s="6">
        <f>IF(H46="Yes",Tab_Data_Flows[[#This Row],[E4_Fraction'[%']]]*Tab_Data_Flows[[#This Row],[E1_value]],"N.A.")</f>
        <v>0</v>
      </c>
      <c r="AF46" s="6" t="str">
        <f>Tab_Data_Flows[[#This Row],[E1_UoM]]</f>
        <v>Mg</v>
      </c>
      <c r="AG46" s="139">
        <f>_xlfn.XLOOKUP(Tab_Data_Flows[[#This Row],[Flow_Name]],Tab_Def_Flows[Flow_Name],Tab_Def_Flows[Flow_E5_Fraction'[%']],"N.A.",0,1)</f>
        <v>0</v>
      </c>
      <c r="AH46" s="6">
        <f>IF(H46="Yes",Tab_Data_Flows[[#This Row],[E5_Fraction'[%']]]*Tab_Data_Flows[[#This Row],[E1_value]],"N.A.")</f>
        <v>0</v>
      </c>
      <c r="AI46" s="6" t="str">
        <f>Tab_Data_Flows[[#This Row],[E1_UoM]]</f>
        <v>Mg</v>
      </c>
      <c r="AJ46" s="139">
        <f>_xlfn.XLOOKUP(Tab_Data_Flows[[#This Row],[Flow_Name]],Tab_Def_Flows[Flow_Name],Tab_Def_Flows[Flow_E6_Fraction'[%']],"N.A.",0,1)</f>
        <v>0</v>
      </c>
      <c r="AK46" s="6">
        <f>IF(Tab_Data_Flows[[#This Row],[Use_E6]]="Yes",Tab_Data_Flows[[#This Row],[E6_Fraction'[%']]]*Tab_Data_Flows[[#This Row],[E1_value]],"N.A.")</f>
        <v>0</v>
      </c>
      <c r="AL46" s="6" t="str">
        <f>Tab_Data_Flows[[#This Row],[E1_UoM]]</f>
        <v>Mg</v>
      </c>
    </row>
    <row r="47" spans="1:38" x14ac:dyDescent="0.25">
      <c r="A47" s="8">
        <f t="shared" si="1"/>
        <v>46</v>
      </c>
      <c r="B47" s="6" t="str">
        <f>_xlfn.XLOOKUP(C47,Tab_Def_Flows[Flow_Name],Tab_Def_Flows[Flow_ID],,0,)</f>
        <v>F__</v>
      </c>
      <c r="C47" s="138" t="s">
        <v>8</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c r="K47" s="189"/>
      <c r="L47" s="6" t="str">
        <f>'0_Configuration'!$C$41</f>
        <v>Mg</v>
      </c>
      <c r="M47" s="13"/>
      <c r="N47" s="13"/>
      <c r="O47" s="13"/>
      <c r="P47" s="13"/>
      <c r="Q47" s="13"/>
      <c r="R47" s="7" t="s">
        <v>6</v>
      </c>
      <c r="S47" s="7"/>
      <c r="T47" s="7"/>
      <c r="U47" s="6">
        <f>_xlfn.XLOOKUP(Tab_Data_Flows[[#This Row],[Flow_Name]],Tab_Def_Flows[Flow_Name],Tab_Def_Flows[Flow_E1_Fraction'[%']],"N.A.",0,1)</f>
        <v>0</v>
      </c>
      <c r="V47" s="12">
        <f t="shared" si="2"/>
        <v>0</v>
      </c>
      <c r="W47" s="6" t="str">
        <f>Tab_Data_Flows[[#This Row],[UoM_Source]]</f>
        <v>Mg</v>
      </c>
      <c r="X47" s="139">
        <f>_xlfn.XLOOKUP(Tab_Data_Flows[[#This Row],[Flow_Name]],Tab_Def_Flows[Flow_Name],Tab_Def_Flows[Flow_E2_Fraction'[%']],"N.A.",0,1)</f>
        <v>0</v>
      </c>
      <c r="Y47" s="6">
        <f>IF(D47="Yes",V47*Tab_Data_Flows[[#This Row],[E2_Fraction'[%']]],"N.A.")</f>
        <v>0</v>
      </c>
      <c r="Z47" s="6" t="str">
        <f>Tab_Data_Flows[[#This Row],[E1_UoM]]</f>
        <v>Mg</v>
      </c>
      <c r="AA47" s="139">
        <f>_xlfn.XLOOKUP(Tab_Data_Flows[[#This Row],[Flow_Name]],Tab_Def_Flows[Flow_Name],Tab_Def_Flows[Flow_E3_Fraction'[%']],"N.A.",0,1)</f>
        <v>0</v>
      </c>
      <c r="AB47" s="6">
        <f>IF(E47="Yes",AA47*Tab_Data_Flows[[#This Row],[E1_value]],"N.A.")</f>
        <v>0</v>
      </c>
      <c r="AC47" s="6" t="str">
        <f>Tab_Data_Flows[[#This Row],[E1_UoM]]</f>
        <v>Mg</v>
      </c>
      <c r="AD47" s="139">
        <f>_xlfn.XLOOKUP(Tab_Data_Flows[[#This Row],[Flow_Name]],Tab_Def_Flows[Flow_Name],Tab_Def_Flows[Flow_E4_Fraction'[%']],"N.A.",0,1)</f>
        <v>0</v>
      </c>
      <c r="AE47" s="6">
        <f>IF(H47="Yes",Tab_Data_Flows[[#This Row],[E4_Fraction'[%']]]*Tab_Data_Flows[[#This Row],[E1_value]],"N.A.")</f>
        <v>0</v>
      </c>
      <c r="AF47" s="6" t="str">
        <f>Tab_Data_Flows[[#This Row],[E1_UoM]]</f>
        <v>Mg</v>
      </c>
      <c r="AG47" s="139">
        <f>_xlfn.XLOOKUP(Tab_Data_Flows[[#This Row],[Flow_Name]],Tab_Def_Flows[Flow_Name],Tab_Def_Flows[Flow_E5_Fraction'[%']],"N.A.",0,1)</f>
        <v>0</v>
      </c>
      <c r="AH47" s="6">
        <f>IF(H47="Yes",Tab_Data_Flows[[#This Row],[E5_Fraction'[%']]]*Tab_Data_Flows[[#This Row],[E1_value]],"N.A.")</f>
        <v>0</v>
      </c>
      <c r="AI47" s="6" t="str">
        <f>Tab_Data_Flows[[#This Row],[E1_UoM]]</f>
        <v>Mg</v>
      </c>
      <c r="AJ47" s="139">
        <f>_xlfn.XLOOKUP(Tab_Data_Flows[[#This Row],[Flow_Name]],Tab_Def_Flows[Flow_Name],Tab_Def_Flows[Flow_E6_Fraction'[%']],"N.A.",0,1)</f>
        <v>0</v>
      </c>
      <c r="AK47" s="6">
        <f>IF(Tab_Data_Flows[[#This Row],[Use_E6]]="Yes",Tab_Data_Flows[[#This Row],[E6_Fraction'[%']]]*Tab_Data_Flows[[#This Row],[E1_value]],"N.A.")</f>
        <v>0</v>
      </c>
      <c r="AL47" s="6" t="str">
        <f>Tab_Data_Flows[[#This Row],[E1_UoM]]</f>
        <v>Mg</v>
      </c>
    </row>
    <row r="48" spans="1:38" x14ac:dyDescent="0.25">
      <c r="A48" s="8">
        <f t="shared" si="1"/>
        <v>47</v>
      </c>
      <c r="B48" s="6" t="str">
        <f>_xlfn.XLOOKUP(C48,Tab_Def_Flows[Flow_Name],Tab_Def_Flows[Flow_ID],,0,)</f>
        <v>F__</v>
      </c>
      <c r="C48" s="138" t="s">
        <v>8</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c r="K48" s="189"/>
      <c r="L48" s="6" t="str">
        <f>'0_Configuration'!$C$41</f>
        <v>Mg</v>
      </c>
      <c r="M48" s="13"/>
      <c r="N48" s="13"/>
      <c r="O48" s="13"/>
      <c r="P48" s="13"/>
      <c r="Q48" s="13"/>
      <c r="R48" s="7" t="s">
        <v>6</v>
      </c>
      <c r="S48" s="7"/>
      <c r="T48" s="7"/>
      <c r="U48" s="6">
        <f>_xlfn.XLOOKUP(Tab_Data_Flows[[#This Row],[Flow_Name]],Tab_Def_Flows[Flow_Name],Tab_Def_Flows[Flow_E1_Fraction'[%']],"N.A.",0,1)</f>
        <v>0</v>
      </c>
      <c r="V48" s="12">
        <f t="shared" si="2"/>
        <v>0</v>
      </c>
      <c r="W48" s="6" t="str">
        <f>Tab_Data_Flows[[#This Row],[UoM_Source]]</f>
        <v>Mg</v>
      </c>
      <c r="X48" s="139">
        <f>_xlfn.XLOOKUP(Tab_Data_Flows[[#This Row],[Flow_Name]],Tab_Def_Flows[Flow_Name],Tab_Def_Flows[Flow_E2_Fraction'[%']],"N.A.",0,1)</f>
        <v>0</v>
      </c>
      <c r="Y48" s="6">
        <f>IF(D48="Yes",V48*Tab_Data_Flows[[#This Row],[E2_Fraction'[%']]],"N.A.")</f>
        <v>0</v>
      </c>
      <c r="Z48" s="6" t="str">
        <f>Tab_Data_Flows[[#This Row],[E1_UoM]]</f>
        <v>Mg</v>
      </c>
      <c r="AA48" s="139">
        <f>_xlfn.XLOOKUP(Tab_Data_Flows[[#This Row],[Flow_Name]],Tab_Def_Flows[Flow_Name],Tab_Def_Flows[Flow_E3_Fraction'[%']],"N.A.",0,1)</f>
        <v>0</v>
      </c>
      <c r="AB48" s="6">
        <f>IF(E48="Yes",AA48*Tab_Data_Flows[[#This Row],[E1_value]],"N.A.")</f>
        <v>0</v>
      </c>
      <c r="AC48" s="6" t="str">
        <f>Tab_Data_Flows[[#This Row],[E1_UoM]]</f>
        <v>Mg</v>
      </c>
      <c r="AD48" s="139">
        <f>_xlfn.XLOOKUP(Tab_Data_Flows[[#This Row],[Flow_Name]],Tab_Def_Flows[Flow_Name],Tab_Def_Flows[Flow_E4_Fraction'[%']],"N.A.",0,1)</f>
        <v>0</v>
      </c>
      <c r="AE48" s="6">
        <f>IF(H48="Yes",Tab_Data_Flows[[#This Row],[E4_Fraction'[%']]]*Tab_Data_Flows[[#This Row],[E1_value]],"N.A.")</f>
        <v>0</v>
      </c>
      <c r="AF48" s="6" t="str">
        <f>Tab_Data_Flows[[#This Row],[E1_UoM]]</f>
        <v>Mg</v>
      </c>
      <c r="AG48" s="139">
        <f>_xlfn.XLOOKUP(Tab_Data_Flows[[#This Row],[Flow_Name]],Tab_Def_Flows[Flow_Name],Tab_Def_Flows[Flow_E5_Fraction'[%']],"N.A.",0,1)</f>
        <v>0</v>
      </c>
      <c r="AH48" s="6">
        <f>IF(H48="Yes",Tab_Data_Flows[[#This Row],[E5_Fraction'[%']]]*Tab_Data_Flows[[#This Row],[E1_value]],"N.A.")</f>
        <v>0</v>
      </c>
      <c r="AI48" s="6" t="str">
        <f>Tab_Data_Flows[[#This Row],[E1_UoM]]</f>
        <v>Mg</v>
      </c>
      <c r="AJ48" s="139">
        <f>_xlfn.XLOOKUP(Tab_Data_Flows[[#This Row],[Flow_Name]],Tab_Def_Flows[Flow_Name],Tab_Def_Flows[Flow_E6_Fraction'[%']],"N.A.",0,1)</f>
        <v>0</v>
      </c>
      <c r="AK48" s="6">
        <f>IF(Tab_Data_Flows[[#This Row],[Use_E6]]="Yes",Tab_Data_Flows[[#This Row],[E6_Fraction'[%']]]*Tab_Data_Flows[[#This Row],[E1_value]],"N.A.")</f>
        <v>0</v>
      </c>
      <c r="AL48" s="6" t="str">
        <f>Tab_Data_Flows[[#This Row],[E1_UoM]]</f>
        <v>Mg</v>
      </c>
    </row>
    <row r="49" spans="1:38" x14ac:dyDescent="0.25">
      <c r="A49" s="8">
        <f t="shared" si="1"/>
        <v>48</v>
      </c>
      <c r="B49" s="6" t="str">
        <f>_xlfn.XLOOKUP(C49,Tab_Def_Flows[Flow_Name],Tab_Def_Flows[Flow_ID],,0,)</f>
        <v>F__</v>
      </c>
      <c r="C49" s="138" t="s">
        <v>8</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c r="K49" s="189"/>
      <c r="L49" s="6" t="str">
        <f>'0_Configuration'!$C$41</f>
        <v>Mg</v>
      </c>
      <c r="M49" s="13"/>
      <c r="N49" s="13"/>
      <c r="O49" s="13"/>
      <c r="P49" s="13"/>
      <c r="Q49" s="13"/>
      <c r="R49" s="7" t="s">
        <v>6</v>
      </c>
      <c r="S49" s="7"/>
      <c r="T49" s="7"/>
      <c r="U49" s="6">
        <f>_xlfn.XLOOKUP(Tab_Data_Flows[[#This Row],[Flow_Name]],Tab_Def_Flows[Flow_Name],Tab_Def_Flows[Flow_E1_Fraction'[%']],"N.A.",0,1)</f>
        <v>0</v>
      </c>
      <c r="V49" s="12">
        <f t="shared" si="2"/>
        <v>0</v>
      </c>
      <c r="W49" s="6" t="str">
        <f>Tab_Data_Flows[[#This Row],[UoM_Source]]</f>
        <v>Mg</v>
      </c>
      <c r="X49" s="139">
        <f>_xlfn.XLOOKUP(Tab_Data_Flows[[#This Row],[Flow_Name]],Tab_Def_Flows[Flow_Name],Tab_Def_Flows[Flow_E2_Fraction'[%']],"N.A.",0,1)</f>
        <v>0</v>
      </c>
      <c r="Y49" s="6">
        <f>IF(D49="Yes",V49*Tab_Data_Flows[[#This Row],[E2_Fraction'[%']]],"N.A.")</f>
        <v>0</v>
      </c>
      <c r="Z49" s="6" t="str">
        <f>Tab_Data_Flows[[#This Row],[E1_UoM]]</f>
        <v>Mg</v>
      </c>
      <c r="AA49" s="139">
        <f>_xlfn.XLOOKUP(Tab_Data_Flows[[#This Row],[Flow_Name]],Tab_Def_Flows[Flow_Name],Tab_Def_Flows[Flow_E3_Fraction'[%']],"N.A.",0,1)</f>
        <v>0</v>
      </c>
      <c r="AB49" s="6">
        <f>IF(E49="Yes",AA49*Tab_Data_Flows[[#This Row],[E1_value]],"N.A.")</f>
        <v>0</v>
      </c>
      <c r="AC49" s="6" t="str">
        <f>Tab_Data_Flows[[#This Row],[E1_UoM]]</f>
        <v>Mg</v>
      </c>
      <c r="AD49" s="139">
        <f>_xlfn.XLOOKUP(Tab_Data_Flows[[#This Row],[Flow_Name]],Tab_Def_Flows[Flow_Name],Tab_Def_Flows[Flow_E4_Fraction'[%']],"N.A.",0,1)</f>
        <v>0</v>
      </c>
      <c r="AE49" s="6">
        <f>IF(H49="Yes",Tab_Data_Flows[[#This Row],[E4_Fraction'[%']]]*Tab_Data_Flows[[#This Row],[E1_value]],"N.A.")</f>
        <v>0</v>
      </c>
      <c r="AF49" s="6" t="str">
        <f>Tab_Data_Flows[[#This Row],[E1_UoM]]</f>
        <v>Mg</v>
      </c>
      <c r="AG49" s="139">
        <f>_xlfn.XLOOKUP(Tab_Data_Flows[[#This Row],[Flow_Name]],Tab_Def_Flows[Flow_Name],Tab_Def_Flows[Flow_E5_Fraction'[%']],"N.A.",0,1)</f>
        <v>0</v>
      </c>
      <c r="AH49" s="6">
        <f>IF(H49="Yes",Tab_Data_Flows[[#This Row],[E5_Fraction'[%']]]*Tab_Data_Flows[[#This Row],[E1_value]],"N.A.")</f>
        <v>0</v>
      </c>
      <c r="AI49" s="6" t="str">
        <f>Tab_Data_Flows[[#This Row],[E1_UoM]]</f>
        <v>Mg</v>
      </c>
      <c r="AJ49" s="139">
        <f>_xlfn.XLOOKUP(Tab_Data_Flows[[#This Row],[Flow_Name]],Tab_Def_Flows[Flow_Name],Tab_Def_Flows[Flow_E6_Fraction'[%']],"N.A.",0,1)</f>
        <v>0</v>
      </c>
      <c r="AK49" s="6">
        <f>IF(Tab_Data_Flows[[#This Row],[Use_E6]]="Yes",Tab_Data_Flows[[#This Row],[E6_Fraction'[%']]]*Tab_Data_Flows[[#This Row],[E1_value]],"N.A.")</f>
        <v>0</v>
      </c>
      <c r="AL49" s="6" t="str">
        <f>Tab_Data_Flows[[#This Row],[E1_UoM]]</f>
        <v>Mg</v>
      </c>
    </row>
    <row r="50" spans="1:38" x14ac:dyDescent="0.25">
      <c r="A50" s="8">
        <f t="shared" si="1"/>
        <v>49</v>
      </c>
      <c r="B50" s="6" t="str">
        <f>_xlfn.XLOOKUP(C50,Tab_Def_Flows[Flow_Name],Tab_Def_Flows[Flow_ID],,0,)</f>
        <v>F__</v>
      </c>
      <c r="C50" s="138" t="s">
        <v>8</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c r="K50" s="189"/>
      <c r="L50" s="6" t="str">
        <f>'0_Configuration'!$C$41</f>
        <v>Mg</v>
      </c>
      <c r="M50" s="13"/>
      <c r="N50" s="13"/>
      <c r="O50" s="13"/>
      <c r="P50" s="13"/>
      <c r="Q50" s="13"/>
      <c r="R50" s="7" t="s">
        <v>6</v>
      </c>
      <c r="S50" s="7"/>
      <c r="T50" s="7"/>
      <c r="U50" s="6">
        <f>_xlfn.XLOOKUP(Tab_Data_Flows[[#This Row],[Flow_Name]],Tab_Def_Flows[Flow_Name],Tab_Def_Flows[Flow_E1_Fraction'[%']],"N.A.",0,1)</f>
        <v>0</v>
      </c>
      <c r="V50" s="12">
        <f t="shared" si="2"/>
        <v>0</v>
      </c>
      <c r="W50" s="6" t="str">
        <f>Tab_Data_Flows[[#This Row],[UoM_Source]]</f>
        <v>Mg</v>
      </c>
      <c r="X50" s="139">
        <f>_xlfn.XLOOKUP(Tab_Data_Flows[[#This Row],[Flow_Name]],Tab_Def_Flows[Flow_Name],Tab_Def_Flows[Flow_E2_Fraction'[%']],"N.A.",0,1)</f>
        <v>0</v>
      </c>
      <c r="Y50" s="6">
        <f>IF(D50="Yes",V50*Tab_Data_Flows[[#This Row],[E2_Fraction'[%']]],"N.A.")</f>
        <v>0</v>
      </c>
      <c r="Z50" s="6" t="str">
        <f>Tab_Data_Flows[[#This Row],[E1_UoM]]</f>
        <v>Mg</v>
      </c>
      <c r="AA50" s="139">
        <f>_xlfn.XLOOKUP(Tab_Data_Flows[[#This Row],[Flow_Name]],Tab_Def_Flows[Flow_Name],Tab_Def_Flows[Flow_E3_Fraction'[%']],"N.A.",0,1)</f>
        <v>0</v>
      </c>
      <c r="AB50" s="6">
        <f>IF(E50="Yes",AA50*Tab_Data_Flows[[#This Row],[E1_value]],"N.A.")</f>
        <v>0</v>
      </c>
      <c r="AC50" s="6" t="str">
        <f>Tab_Data_Flows[[#This Row],[E1_UoM]]</f>
        <v>Mg</v>
      </c>
      <c r="AD50" s="139">
        <f>_xlfn.XLOOKUP(Tab_Data_Flows[[#This Row],[Flow_Name]],Tab_Def_Flows[Flow_Name],Tab_Def_Flows[Flow_E4_Fraction'[%']],"N.A.",0,1)</f>
        <v>0</v>
      </c>
      <c r="AE50" s="6">
        <f>IF(H50="Yes",Tab_Data_Flows[[#This Row],[E4_Fraction'[%']]]*Tab_Data_Flows[[#This Row],[E1_value]],"N.A.")</f>
        <v>0</v>
      </c>
      <c r="AF50" s="6" t="str">
        <f>Tab_Data_Flows[[#This Row],[E1_UoM]]</f>
        <v>Mg</v>
      </c>
      <c r="AG50" s="139">
        <f>_xlfn.XLOOKUP(Tab_Data_Flows[[#This Row],[Flow_Name]],Tab_Def_Flows[Flow_Name],Tab_Def_Flows[Flow_E5_Fraction'[%']],"N.A.",0,1)</f>
        <v>0</v>
      </c>
      <c r="AH50" s="6">
        <f>IF(H50="Yes",Tab_Data_Flows[[#This Row],[E5_Fraction'[%']]]*Tab_Data_Flows[[#This Row],[E1_value]],"N.A.")</f>
        <v>0</v>
      </c>
      <c r="AI50" s="6" t="str">
        <f>Tab_Data_Flows[[#This Row],[E1_UoM]]</f>
        <v>Mg</v>
      </c>
      <c r="AJ50" s="139">
        <f>_xlfn.XLOOKUP(Tab_Data_Flows[[#This Row],[Flow_Name]],Tab_Def_Flows[Flow_Name],Tab_Def_Flows[Flow_E6_Fraction'[%']],"N.A.",0,1)</f>
        <v>0</v>
      </c>
      <c r="AK50" s="6">
        <f>IF(Tab_Data_Flows[[#This Row],[Use_E6]]="Yes",Tab_Data_Flows[[#This Row],[E6_Fraction'[%']]]*Tab_Data_Flows[[#This Row],[E1_value]],"N.A.")</f>
        <v>0</v>
      </c>
      <c r="AL50" s="6" t="str">
        <f>Tab_Data_Flows[[#This Row],[E1_UoM]]</f>
        <v>Mg</v>
      </c>
    </row>
    <row r="51" spans="1:38" x14ac:dyDescent="0.25">
      <c r="A51" s="8">
        <f t="shared" si="1"/>
        <v>50</v>
      </c>
      <c r="B51" s="6" t="str">
        <f>_xlfn.XLOOKUP(C51,Tab_Def_Flows[Flow_Name],Tab_Def_Flows[Flow_ID],,0,)</f>
        <v>F__</v>
      </c>
      <c r="C51" s="138" t="s">
        <v>8</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c r="K51" s="189"/>
      <c r="L51" s="6" t="str">
        <f>'0_Configuration'!$C$41</f>
        <v>Mg</v>
      </c>
      <c r="M51" s="13"/>
      <c r="N51" s="13"/>
      <c r="O51" s="13"/>
      <c r="P51" s="13"/>
      <c r="Q51" s="13"/>
      <c r="R51" s="7" t="s">
        <v>6</v>
      </c>
      <c r="S51" s="7"/>
      <c r="T51" s="7"/>
      <c r="U51" s="6">
        <f>_xlfn.XLOOKUP(Tab_Data_Flows[[#This Row],[Flow_Name]],Tab_Def_Flows[Flow_Name],Tab_Def_Flows[Flow_E1_Fraction'[%']],"N.A.",0,1)</f>
        <v>0</v>
      </c>
      <c r="V51" s="12">
        <f t="shared" si="2"/>
        <v>0</v>
      </c>
      <c r="W51" s="6" t="str">
        <f>Tab_Data_Flows[[#This Row],[UoM_Source]]</f>
        <v>Mg</v>
      </c>
      <c r="X51" s="139">
        <f>_xlfn.XLOOKUP(Tab_Data_Flows[[#This Row],[Flow_Name]],Tab_Def_Flows[Flow_Name],Tab_Def_Flows[Flow_E2_Fraction'[%']],"N.A.",0,1)</f>
        <v>0</v>
      </c>
      <c r="Y51" s="6">
        <f>IF(D51="Yes",V51*Tab_Data_Flows[[#This Row],[E2_Fraction'[%']]],"N.A.")</f>
        <v>0</v>
      </c>
      <c r="Z51" s="6" t="str">
        <f>Tab_Data_Flows[[#This Row],[E1_UoM]]</f>
        <v>Mg</v>
      </c>
      <c r="AA51" s="139">
        <f>_xlfn.XLOOKUP(Tab_Data_Flows[[#This Row],[Flow_Name]],Tab_Def_Flows[Flow_Name],Tab_Def_Flows[Flow_E3_Fraction'[%']],"N.A.",0,1)</f>
        <v>0</v>
      </c>
      <c r="AB51" s="6">
        <f>IF(E51="Yes",AA51*Tab_Data_Flows[[#This Row],[E1_value]],"N.A.")</f>
        <v>0</v>
      </c>
      <c r="AC51" s="6" t="str">
        <f>Tab_Data_Flows[[#This Row],[E1_UoM]]</f>
        <v>Mg</v>
      </c>
      <c r="AD51" s="139">
        <f>_xlfn.XLOOKUP(Tab_Data_Flows[[#This Row],[Flow_Name]],Tab_Def_Flows[Flow_Name],Tab_Def_Flows[Flow_E4_Fraction'[%']],"N.A.",0,1)</f>
        <v>0</v>
      </c>
      <c r="AE51" s="6">
        <f>IF(H51="Yes",Tab_Data_Flows[[#This Row],[E4_Fraction'[%']]]*Tab_Data_Flows[[#This Row],[E1_value]],"N.A.")</f>
        <v>0</v>
      </c>
      <c r="AF51" s="6" t="str">
        <f>Tab_Data_Flows[[#This Row],[E1_UoM]]</f>
        <v>Mg</v>
      </c>
      <c r="AG51" s="139">
        <f>_xlfn.XLOOKUP(Tab_Data_Flows[[#This Row],[Flow_Name]],Tab_Def_Flows[Flow_Name],Tab_Def_Flows[Flow_E5_Fraction'[%']],"N.A.",0,1)</f>
        <v>0</v>
      </c>
      <c r="AH51" s="6">
        <f>IF(H51="Yes",Tab_Data_Flows[[#This Row],[E5_Fraction'[%']]]*Tab_Data_Flows[[#This Row],[E1_value]],"N.A.")</f>
        <v>0</v>
      </c>
      <c r="AI51" s="6" t="str">
        <f>Tab_Data_Flows[[#This Row],[E1_UoM]]</f>
        <v>Mg</v>
      </c>
      <c r="AJ51" s="139">
        <f>_xlfn.XLOOKUP(Tab_Data_Flows[[#This Row],[Flow_Name]],Tab_Def_Flows[Flow_Name],Tab_Def_Flows[Flow_E6_Fraction'[%']],"N.A.",0,1)</f>
        <v>0</v>
      </c>
      <c r="AK51" s="6">
        <f>IF(Tab_Data_Flows[[#This Row],[Use_E6]]="Yes",Tab_Data_Flows[[#This Row],[E6_Fraction'[%']]]*Tab_Data_Flows[[#This Row],[E1_value]],"N.A.")</f>
        <v>0</v>
      </c>
      <c r="AL51" s="6" t="str">
        <f>Tab_Data_Flows[[#This Row],[E1_UoM]]</f>
        <v>Mg</v>
      </c>
    </row>
    <row r="52" spans="1:38" x14ac:dyDescent="0.25">
      <c r="A52" s="8">
        <f t="shared" si="1"/>
        <v>51</v>
      </c>
      <c r="B52" s="6" t="str">
        <f>_xlfn.XLOOKUP(C52,Tab_Def_Flows[Flow_Name],Tab_Def_Flows[Flow_ID],,0,)</f>
        <v>F__</v>
      </c>
      <c r="C52" s="138" t="s">
        <v>8</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c r="K52" s="189"/>
      <c r="L52" s="6" t="str">
        <f>'0_Configuration'!$C$41</f>
        <v>Mg</v>
      </c>
      <c r="M52" s="13"/>
      <c r="N52" s="13"/>
      <c r="O52" s="13"/>
      <c r="P52" s="13"/>
      <c r="Q52" s="13"/>
      <c r="R52" s="7" t="s">
        <v>6</v>
      </c>
      <c r="S52" s="7"/>
      <c r="T52" s="7"/>
      <c r="U52" s="6">
        <f>_xlfn.XLOOKUP(Tab_Data_Flows[[#This Row],[Flow_Name]],Tab_Def_Flows[Flow_Name],Tab_Def_Flows[Flow_E1_Fraction'[%']],"N.A.",0,1)</f>
        <v>0</v>
      </c>
      <c r="V52" s="12">
        <f t="shared" si="2"/>
        <v>0</v>
      </c>
      <c r="W52" s="6" t="str">
        <f>Tab_Data_Flows[[#This Row],[UoM_Source]]</f>
        <v>Mg</v>
      </c>
      <c r="X52" s="139">
        <f>_xlfn.XLOOKUP(Tab_Data_Flows[[#This Row],[Flow_Name]],Tab_Def_Flows[Flow_Name],Tab_Def_Flows[Flow_E2_Fraction'[%']],"N.A.",0,1)</f>
        <v>0</v>
      </c>
      <c r="Y52" s="6">
        <f>IF(D52="Yes",V52*Tab_Data_Flows[[#This Row],[E2_Fraction'[%']]],"N.A.")</f>
        <v>0</v>
      </c>
      <c r="Z52" s="6" t="str">
        <f>Tab_Data_Flows[[#This Row],[E1_UoM]]</f>
        <v>Mg</v>
      </c>
      <c r="AA52" s="139">
        <f>_xlfn.XLOOKUP(Tab_Data_Flows[[#This Row],[Flow_Name]],Tab_Def_Flows[Flow_Name],Tab_Def_Flows[Flow_E3_Fraction'[%']],"N.A.",0,1)</f>
        <v>0</v>
      </c>
      <c r="AB52" s="6">
        <f>IF(E52="Yes",AA52*Tab_Data_Flows[[#This Row],[E1_value]],"N.A.")</f>
        <v>0</v>
      </c>
      <c r="AC52" s="6" t="str">
        <f>Tab_Data_Flows[[#This Row],[E1_UoM]]</f>
        <v>Mg</v>
      </c>
      <c r="AD52" s="139">
        <f>_xlfn.XLOOKUP(Tab_Data_Flows[[#This Row],[Flow_Name]],Tab_Def_Flows[Flow_Name],Tab_Def_Flows[Flow_E4_Fraction'[%']],"N.A.",0,1)</f>
        <v>0</v>
      </c>
      <c r="AE52" s="6">
        <f>IF(H52="Yes",Tab_Data_Flows[[#This Row],[E4_Fraction'[%']]]*Tab_Data_Flows[[#This Row],[E1_value]],"N.A.")</f>
        <v>0</v>
      </c>
      <c r="AF52" s="6" t="str">
        <f>Tab_Data_Flows[[#This Row],[E1_UoM]]</f>
        <v>Mg</v>
      </c>
      <c r="AG52" s="139">
        <f>_xlfn.XLOOKUP(Tab_Data_Flows[[#This Row],[Flow_Name]],Tab_Def_Flows[Flow_Name],Tab_Def_Flows[Flow_E5_Fraction'[%']],"N.A.",0,1)</f>
        <v>0</v>
      </c>
      <c r="AH52" s="6">
        <f>IF(H52="Yes",Tab_Data_Flows[[#This Row],[E5_Fraction'[%']]]*Tab_Data_Flows[[#This Row],[E1_value]],"N.A.")</f>
        <v>0</v>
      </c>
      <c r="AI52" s="6" t="str">
        <f>Tab_Data_Flows[[#This Row],[E1_UoM]]</f>
        <v>Mg</v>
      </c>
      <c r="AJ52" s="139">
        <f>_xlfn.XLOOKUP(Tab_Data_Flows[[#This Row],[Flow_Name]],Tab_Def_Flows[Flow_Name],Tab_Def_Flows[Flow_E6_Fraction'[%']],"N.A.",0,1)</f>
        <v>0</v>
      </c>
      <c r="AK52" s="6">
        <f>IF(Tab_Data_Flows[[#This Row],[Use_E6]]="Yes",Tab_Data_Flows[[#This Row],[E6_Fraction'[%']]]*Tab_Data_Flows[[#This Row],[E1_value]],"N.A.")</f>
        <v>0</v>
      </c>
      <c r="AL52" s="6" t="str">
        <f>Tab_Data_Flows[[#This Row],[E1_UoM]]</f>
        <v>Mg</v>
      </c>
    </row>
    <row r="53" spans="1:38" x14ac:dyDescent="0.25">
      <c r="A53" s="8">
        <f t="shared" si="1"/>
        <v>52</v>
      </c>
      <c r="B53" s="6" t="str">
        <f>_xlfn.XLOOKUP(C53,Tab_Def_Flows[Flow_Name],Tab_Def_Flows[Flow_ID],,0,)</f>
        <v>F__</v>
      </c>
      <c r="C53" s="138" t="s">
        <v>8</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c r="K53" s="189"/>
      <c r="L53" s="6" t="str">
        <f>'0_Configuration'!$C$41</f>
        <v>Mg</v>
      </c>
      <c r="M53" s="13"/>
      <c r="N53" s="13"/>
      <c r="O53" s="13"/>
      <c r="P53" s="13"/>
      <c r="Q53" s="13"/>
      <c r="R53" s="7" t="s">
        <v>6</v>
      </c>
      <c r="S53" s="7"/>
      <c r="T53" s="7"/>
      <c r="U53" s="6">
        <f>_xlfn.XLOOKUP(Tab_Data_Flows[[#This Row],[Flow_Name]],Tab_Def_Flows[Flow_Name],Tab_Def_Flows[Flow_E1_Fraction'[%']],"N.A.",0,1)</f>
        <v>0</v>
      </c>
      <c r="V53" s="12">
        <f t="shared" si="2"/>
        <v>0</v>
      </c>
      <c r="W53" s="6" t="str">
        <f>Tab_Data_Flows[[#This Row],[UoM_Source]]</f>
        <v>Mg</v>
      </c>
      <c r="X53" s="139">
        <f>_xlfn.XLOOKUP(Tab_Data_Flows[[#This Row],[Flow_Name]],Tab_Def_Flows[Flow_Name],Tab_Def_Flows[Flow_E2_Fraction'[%']],"N.A.",0,1)</f>
        <v>0</v>
      </c>
      <c r="Y53" s="6">
        <f>IF(D53="Yes",V53*Tab_Data_Flows[[#This Row],[E2_Fraction'[%']]],"N.A.")</f>
        <v>0</v>
      </c>
      <c r="Z53" s="6" t="str">
        <f>Tab_Data_Flows[[#This Row],[E1_UoM]]</f>
        <v>Mg</v>
      </c>
      <c r="AA53" s="139">
        <f>_xlfn.XLOOKUP(Tab_Data_Flows[[#This Row],[Flow_Name]],Tab_Def_Flows[Flow_Name],Tab_Def_Flows[Flow_E3_Fraction'[%']],"N.A.",0,1)</f>
        <v>0</v>
      </c>
      <c r="AB53" s="6">
        <f>IF(E53="Yes",AA53*Tab_Data_Flows[[#This Row],[E1_value]],"N.A.")</f>
        <v>0</v>
      </c>
      <c r="AC53" s="6" t="str">
        <f>Tab_Data_Flows[[#This Row],[E1_UoM]]</f>
        <v>Mg</v>
      </c>
      <c r="AD53" s="139">
        <f>_xlfn.XLOOKUP(Tab_Data_Flows[[#This Row],[Flow_Name]],Tab_Def_Flows[Flow_Name],Tab_Def_Flows[Flow_E4_Fraction'[%']],"N.A.",0,1)</f>
        <v>0</v>
      </c>
      <c r="AE53" s="6">
        <f>IF(H53="Yes",Tab_Data_Flows[[#This Row],[E4_Fraction'[%']]]*Tab_Data_Flows[[#This Row],[E1_value]],"N.A.")</f>
        <v>0</v>
      </c>
      <c r="AF53" s="6" t="str">
        <f>Tab_Data_Flows[[#This Row],[E1_UoM]]</f>
        <v>Mg</v>
      </c>
      <c r="AG53" s="139">
        <f>_xlfn.XLOOKUP(Tab_Data_Flows[[#This Row],[Flow_Name]],Tab_Def_Flows[Flow_Name],Tab_Def_Flows[Flow_E5_Fraction'[%']],"N.A.",0,1)</f>
        <v>0</v>
      </c>
      <c r="AH53" s="6">
        <f>IF(H53="Yes",Tab_Data_Flows[[#This Row],[E5_Fraction'[%']]]*Tab_Data_Flows[[#This Row],[E1_value]],"N.A.")</f>
        <v>0</v>
      </c>
      <c r="AI53" s="6" t="str">
        <f>Tab_Data_Flows[[#This Row],[E1_UoM]]</f>
        <v>Mg</v>
      </c>
      <c r="AJ53" s="139">
        <f>_xlfn.XLOOKUP(Tab_Data_Flows[[#This Row],[Flow_Name]],Tab_Def_Flows[Flow_Name],Tab_Def_Flows[Flow_E6_Fraction'[%']],"N.A.",0,1)</f>
        <v>0</v>
      </c>
      <c r="AK53" s="6">
        <f>IF(Tab_Data_Flows[[#This Row],[Use_E6]]="Yes",Tab_Data_Flows[[#This Row],[E6_Fraction'[%']]]*Tab_Data_Flows[[#This Row],[E1_value]],"N.A.")</f>
        <v>0</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c r="K54" s="189"/>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c r="K55" s="189"/>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c r="K56" s="189"/>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c r="K57" s="189"/>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c r="K58" s="189"/>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c r="K59" s="189"/>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c r="K60" s="189"/>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c r="K61" s="189"/>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c r="K62" s="189"/>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c r="K63" s="189"/>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c r="K64" s="189"/>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c r="K65" s="189"/>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c r="K66" s="189"/>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c r="K67" s="189"/>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c r="K68" s="189"/>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c r="K69" s="189"/>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c r="K70" s="189"/>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c r="K71" s="189"/>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c r="K72" s="189"/>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c r="K73" s="189"/>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c r="K74" s="189"/>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c r="K75" s="189"/>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c r="K76" s="189"/>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c r="K77" s="189"/>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c r="K78" s="189"/>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c r="K79" s="189"/>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c r="K80" s="189"/>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c r="K81" s="189"/>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c r="K82" s="189"/>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c r="K83" s="189"/>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c r="K84" s="189"/>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c r="K85" s="189"/>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c r="K86" s="189"/>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c r="K87" s="189"/>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c r="K88" s="189"/>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c r="K89" s="189"/>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c r="K90" s="189"/>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c r="K91" s="189"/>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c r="K92" s="189"/>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c r="K93" s="189"/>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c r="K94" s="189"/>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c r="K95" s="189"/>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c r="K96" s="189"/>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c r="K97" s="189"/>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c r="K98" s="189"/>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c r="K99" s="189"/>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c r="K100" s="189"/>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c r="K101" s="189"/>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c r="K102" s="189"/>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c r="K103" s="189"/>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c r="K104" s="189"/>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c r="K105" s="189"/>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c r="K106" s="189"/>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c r="K107" s="189"/>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c r="K108" s="189"/>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c r="K109" s="189"/>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c r="K110" s="189"/>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c r="K111" s="189"/>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c r="K112" s="189"/>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c r="K113" s="189"/>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c r="K114" s="189"/>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c r="K115" s="189"/>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c r="K116" s="189"/>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c r="K117" s="189"/>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c r="K118" s="189"/>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c r="K119" s="189"/>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c r="K120" s="189"/>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G6" sqref="G6"/>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424</v>
      </c>
      <c r="E1" s="141" t="s">
        <v>1127</v>
      </c>
      <c r="F1" s="141" t="s">
        <v>1126</v>
      </c>
      <c r="G1" s="141" t="s">
        <v>4</v>
      </c>
      <c r="H1" s="141" t="s">
        <v>389</v>
      </c>
      <c r="I1" s="141" t="s">
        <v>452</v>
      </c>
      <c r="J1" s="141" t="s">
        <v>453</v>
      </c>
      <c r="K1" s="141" t="s">
        <v>482</v>
      </c>
      <c r="L1" s="141" t="s">
        <v>1120</v>
      </c>
      <c r="M1" s="141" t="s">
        <v>1111</v>
      </c>
      <c r="N1" s="141" t="s">
        <v>1121</v>
      </c>
      <c r="O1" s="141" t="s">
        <v>1112</v>
      </c>
      <c r="P1" s="141" t="s">
        <v>1122</v>
      </c>
      <c r="Q1" s="141" t="s">
        <v>1116</v>
      </c>
      <c r="R1" s="141" t="s">
        <v>1119</v>
      </c>
      <c r="S1" s="141" t="s">
        <v>1113</v>
      </c>
      <c r="T1" s="141" t="s">
        <v>1123</v>
      </c>
      <c r="U1" s="141" t="s">
        <v>1114</v>
      </c>
      <c r="V1" s="141" t="s">
        <v>1124</v>
      </c>
      <c r="W1" s="141" t="s">
        <v>1115</v>
      </c>
      <c r="X1" s="141" t="s">
        <v>1118</v>
      </c>
      <c r="Y1" s="141" t="s">
        <v>1128</v>
      </c>
    </row>
    <row r="2" spans="1:25" x14ac:dyDescent="0.25">
      <c r="A2" s="142" t="b">
        <v>0</v>
      </c>
      <c r="B2" s="16" t="s">
        <v>51</v>
      </c>
      <c r="C2" s="6" t="str">
        <f>LEFT(B2,2)</f>
        <v>00</v>
      </c>
      <c r="D2" s="7" t="s">
        <v>1198</v>
      </c>
      <c r="E2" s="188"/>
      <c r="F2" s="188"/>
      <c r="G2" s="13"/>
      <c r="H2" s="138"/>
      <c r="I2" s="138"/>
      <c r="J2" s="138"/>
      <c r="K2" s="138"/>
      <c r="L2" s="194" t="b">
        <f>'0_Configuration'!$C$2</f>
        <v>1</v>
      </c>
      <c r="M2" s="6" t="s">
        <v>1117</v>
      </c>
      <c r="N2" s="194" t="b">
        <f>'0_Configuration'!$C$6</f>
        <v>0</v>
      </c>
      <c r="O2" s="6" t="s">
        <v>1117</v>
      </c>
      <c r="P2" s="194" t="b">
        <f>'0_Configuration'!$C$10</f>
        <v>0</v>
      </c>
      <c r="Q2" s="6" t="s">
        <v>1117</v>
      </c>
      <c r="R2" s="194" t="b">
        <f>'0_Configuration'!$C$17</f>
        <v>0</v>
      </c>
      <c r="S2" s="6">
        <f>_xlfn.XLOOKUP(Tab_Def_Flows[[#This Row],[ODYM_Good_Type]],Tab_Configuration[Value],Tab_Configuration[ODYM_ID],,0,)</f>
        <v>0</v>
      </c>
      <c r="T2" s="194" t="b">
        <f>'0_Configuration'!$C$24</f>
        <v>0</v>
      </c>
      <c r="U2" s="6" t="s">
        <v>1117</v>
      </c>
      <c r="V2" s="194" t="b">
        <f>'0_Configuration'!$C$29</f>
        <v>1</v>
      </c>
      <c r="W2" s="6" t="s">
        <v>1117</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c r="E3" s="188"/>
      <c r="F3" s="188"/>
      <c r="G3" s="13"/>
      <c r="H3" s="138"/>
      <c r="I3" s="138"/>
      <c r="J3" s="138"/>
      <c r="K3" s="138"/>
      <c r="L3" s="194" t="b">
        <f>'0_Configuration'!$C$2</f>
        <v>1</v>
      </c>
      <c r="M3" s="6" t="s">
        <v>1117</v>
      </c>
      <c r="N3" s="194" t="b">
        <f>'0_Configuration'!$C$6</f>
        <v>0</v>
      </c>
      <c r="O3" s="6" t="s">
        <v>1117</v>
      </c>
      <c r="P3" s="194" t="b">
        <f>'0_Configuration'!$C$10</f>
        <v>0</v>
      </c>
      <c r="Q3" s="6" t="s">
        <v>1117</v>
      </c>
      <c r="R3" s="194" t="b">
        <f>'0_Configuration'!$C$17</f>
        <v>0</v>
      </c>
      <c r="S3" s="6">
        <f>_xlfn.XLOOKUP(Tab_Def_Flows[[#This Row],[ODYM_Good_Type]],Tab_Configuration[Value],Tab_Configuration[ODYM_ID],,0,)</f>
        <v>0</v>
      </c>
      <c r="T3" s="194" t="b">
        <f>'0_Configuration'!$C$24</f>
        <v>0</v>
      </c>
      <c r="U3" s="6" t="s">
        <v>1117</v>
      </c>
      <c r="V3" s="194" t="b">
        <f>'0_Configuration'!$C$29</f>
        <v>1</v>
      </c>
      <c r="W3" s="6" t="s">
        <v>1117</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c r="E4" s="188"/>
      <c r="F4" s="188"/>
      <c r="G4" s="13"/>
      <c r="H4" s="138"/>
      <c r="I4" s="138"/>
      <c r="J4" s="138"/>
      <c r="K4" s="138"/>
      <c r="L4" s="194" t="b">
        <f>'0_Configuration'!$C$2</f>
        <v>1</v>
      </c>
      <c r="M4" s="6" t="s">
        <v>1117</v>
      </c>
      <c r="N4" s="194" t="b">
        <f>'0_Configuration'!$C$6</f>
        <v>0</v>
      </c>
      <c r="O4" s="6" t="s">
        <v>1117</v>
      </c>
      <c r="P4" s="194" t="b">
        <f>'0_Configuration'!$C$10</f>
        <v>0</v>
      </c>
      <c r="Q4" s="6" t="s">
        <v>1117</v>
      </c>
      <c r="R4" s="194" t="b">
        <f>'0_Configuration'!$C$17</f>
        <v>0</v>
      </c>
      <c r="S4" s="6">
        <f>_xlfn.XLOOKUP(Tab_Def_Flows[[#This Row],[ODYM_Good_Type]],Tab_Configuration[Value],Tab_Configuration[ODYM_ID],,0,)</f>
        <v>0</v>
      </c>
      <c r="T4" s="194" t="b">
        <f>'0_Configuration'!$C$24</f>
        <v>0</v>
      </c>
      <c r="U4" s="6" t="s">
        <v>1117</v>
      </c>
      <c r="V4" s="194" t="b">
        <f>'0_Configuration'!$C$29</f>
        <v>1</v>
      </c>
      <c r="W4" s="6" t="s">
        <v>1117</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c r="E5" s="188"/>
      <c r="F5" s="188"/>
      <c r="G5" s="13"/>
      <c r="H5" s="138"/>
      <c r="I5" s="138"/>
      <c r="J5" s="138"/>
      <c r="K5" s="138"/>
      <c r="L5" s="194" t="b">
        <f>'0_Configuration'!$C$2</f>
        <v>1</v>
      </c>
      <c r="M5" s="6" t="s">
        <v>1117</v>
      </c>
      <c r="N5" s="194" t="b">
        <f>'0_Configuration'!$C$6</f>
        <v>0</v>
      </c>
      <c r="O5" s="6" t="s">
        <v>1117</v>
      </c>
      <c r="P5" s="194" t="b">
        <f>'0_Configuration'!$C$10</f>
        <v>0</v>
      </c>
      <c r="Q5" s="6" t="s">
        <v>1117</v>
      </c>
      <c r="R5" s="194" t="b">
        <f>'0_Configuration'!$C$17</f>
        <v>0</v>
      </c>
      <c r="S5" s="6">
        <f>_xlfn.XLOOKUP(Tab_Def_Flows[[#This Row],[ODYM_Good_Type]],Tab_Configuration[Value],Tab_Configuration[ODYM_ID],,0,)</f>
        <v>0</v>
      </c>
      <c r="T5" s="194" t="b">
        <f>'0_Configuration'!$C$24</f>
        <v>0</v>
      </c>
      <c r="U5" s="6" t="s">
        <v>1117</v>
      </c>
      <c r="V5" s="194" t="b">
        <f>'0_Configuration'!$C$29</f>
        <v>1</v>
      </c>
      <c r="W5" s="6" t="s">
        <v>1117</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c r="E6" s="188"/>
      <c r="F6" s="188"/>
      <c r="G6" s="13"/>
      <c r="H6" s="138"/>
      <c r="I6" s="138"/>
      <c r="J6" s="138"/>
      <c r="K6" s="138"/>
      <c r="L6" s="194" t="b">
        <f>'0_Configuration'!$C$2</f>
        <v>1</v>
      </c>
      <c r="M6" s="6" t="s">
        <v>1117</v>
      </c>
      <c r="N6" s="194" t="b">
        <f>'0_Configuration'!$C$6</f>
        <v>0</v>
      </c>
      <c r="O6" s="6" t="s">
        <v>1117</v>
      </c>
      <c r="P6" s="194" t="b">
        <f>'0_Configuration'!$C$10</f>
        <v>0</v>
      </c>
      <c r="Q6" s="6" t="s">
        <v>1117</v>
      </c>
      <c r="R6" s="194" t="b">
        <f>'0_Configuration'!$C$17</f>
        <v>0</v>
      </c>
      <c r="S6" s="6">
        <f>_xlfn.XLOOKUP(Tab_Def_Flows[[#This Row],[ODYM_Good_Type]],Tab_Configuration[Value],Tab_Configuration[ODYM_ID],,0,)</f>
        <v>0</v>
      </c>
      <c r="T6" s="194" t="b">
        <f>'0_Configuration'!$C$24</f>
        <v>0</v>
      </c>
      <c r="U6" s="6" t="s">
        <v>1117</v>
      </c>
      <c r="V6" s="194" t="b">
        <f>'0_Configuration'!$C$29</f>
        <v>1</v>
      </c>
      <c r="W6" s="6" t="s">
        <v>1117</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c r="E7" s="188"/>
      <c r="F7" s="188"/>
      <c r="G7" s="13"/>
      <c r="H7" s="138"/>
      <c r="I7" s="138"/>
      <c r="J7" s="138"/>
      <c r="K7" s="138"/>
      <c r="L7" s="194" t="b">
        <f>'0_Configuration'!$C$2</f>
        <v>1</v>
      </c>
      <c r="M7" s="6" t="s">
        <v>1117</v>
      </c>
      <c r="N7" s="194" t="b">
        <f>'0_Configuration'!$C$6</f>
        <v>0</v>
      </c>
      <c r="O7" s="6" t="s">
        <v>1117</v>
      </c>
      <c r="P7" s="194" t="b">
        <f>'0_Configuration'!$C$10</f>
        <v>0</v>
      </c>
      <c r="Q7" s="6" t="s">
        <v>1117</v>
      </c>
      <c r="R7" s="194" t="b">
        <f>'0_Configuration'!$C$17</f>
        <v>0</v>
      </c>
      <c r="S7" s="6">
        <f>_xlfn.XLOOKUP(Tab_Def_Flows[[#This Row],[ODYM_Good_Type]],Tab_Configuration[Value],Tab_Configuration[ODYM_ID],,0,)</f>
        <v>0</v>
      </c>
      <c r="T7" s="194" t="b">
        <f>'0_Configuration'!$C$24</f>
        <v>0</v>
      </c>
      <c r="U7" s="6" t="s">
        <v>1117</v>
      </c>
      <c r="V7" s="194" t="b">
        <f>'0_Configuration'!$C$29</f>
        <v>1</v>
      </c>
      <c r="W7" s="6" t="s">
        <v>1117</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c r="E8" s="188"/>
      <c r="F8" s="188"/>
      <c r="G8" s="13"/>
      <c r="H8" s="138"/>
      <c r="I8" s="138"/>
      <c r="J8" s="138"/>
      <c r="K8" s="138"/>
      <c r="L8" s="194" t="b">
        <f>'0_Configuration'!$C$2</f>
        <v>1</v>
      </c>
      <c r="M8" s="6" t="s">
        <v>1117</v>
      </c>
      <c r="N8" s="194" t="b">
        <f>'0_Configuration'!$C$6</f>
        <v>0</v>
      </c>
      <c r="O8" s="6" t="s">
        <v>1117</v>
      </c>
      <c r="P8" s="194" t="b">
        <f>'0_Configuration'!$C$10</f>
        <v>0</v>
      </c>
      <c r="Q8" s="6" t="s">
        <v>1117</v>
      </c>
      <c r="R8" s="194" t="b">
        <f>'0_Configuration'!$C$17</f>
        <v>0</v>
      </c>
      <c r="S8" s="6">
        <f>_xlfn.XLOOKUP(Tab_Def_Flows[[#This Row],[ODYM_Good_Type]],Tab_Configuration[Value],Tab_Configuration[ODYM_ID],,0,)</f>
        <v>0</v>
      </c>
      <c r="T8" s="194" t="b">
        <f>'0_Configuration'!$C$24</f>
        <v>0</v>
      </c>
      <c r="U8" s="6" t="s">
        <v>1117</v>
      </c>
      <c r="V8" s="194" t="b">
        <f>'0_Configuration'!$C$29</f>
        <v>1</v>
      </c>
      <c r="W8" s="6" t="s">
        <v>1117</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c r="E9" s="188"/>
      <c r="F9" s="188"/>
      <c r="G9" s="13"/>
      <c r="H9" s="138"/>
      <c r="I9" s="138"/>
      <c r="J9" s="138"/>
      <c r="K9" s="138"/>
      <c r="L9" s="194" t="b">
        <f>'0_Configuration'!$C$2</f>
        <v>1</v>
      </c>
      <c r="M9" s="6" t="s">
        <v>1117</v>
      </c>
      <c r="N9" s="194" t="b">
        <f>'0_Configuration'!$C$6</f>
        <v>0</v>
      </c>
      <c r="O9" s="6" t="s">
        <v>1117</v>
      </c>
      <c r="P9" s="194" t="b">
        <f>'0_Configuration'!$C$10</f>
        <v>0</v>
      </c>
      <c r="Q9" s="6" t="s">
        <v>1117</v>
      </c>
      <c r="R9" s="194" t="b">
        <f>'0_Configuration'!$C$17</f>
        <v>0</v>
      </c>
      <c r="S9" s="6">
        <f>_xlfn.XLOOKUP(Tab_Def_Flows[[#This Row],[ODYM_Good_Type]],Tab_Configuration[Value],Tab_Configuration[ODYM_ID],,0,)</f>
        <v>0</v>
      </c>
      <c r="T9" s="194" t="b">
        <f>'0_Configuration'!$C$24</f>
        <v>0</v>
      </c>
      <c r="U9" s="6" t="s">
        <v>1117</v>
      </c>
      <c r="V9" s="194" t="b">
        <f>'0_Configuration'!$C$29</f>
        <v>1</v>
      </c>
      <c r="W9" s="6" t="s">
        <v>1117</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c r="E10" s="188"/>
      <c r="F10" s="188"/>
      <c r="G10" s="13"/>
      <c r="H10" s="138"/>
      <c r="I10" s="138"/>
      <c r="J10" s="138"/>
      <c r="K10" s="138"/>
      <c r="L10" s="194" t="b">
        <f>'0_Configuration'!$C$2</f>
        <v>1</v>
      </c>
      <c r="M10" s="6" t="s">
        <v>1117</v>
      </c>
      <c r="N10" s="194" t="b">
        <f>'0_Configuration'!$C$6</f>
        <v>0</v>
      </c>
      <c r="O10" s="6" t="s">
        <v>1117</v>
      </c>
      <c r="P10" s="194" t="b">
        <f>'0_Configuration'!$C$10</f>
        <v>0</v>
      </c>
      <c r="Q10" s="6" t="s">
        <v>1117</v>
      </c>
      <c r="R10" s="194" t="b">
        <f>'0_Configuration'!$C$17</f>
        <v>0</v>
      </c>
      <c r="S10" s="6">
        <f>_xlfn.XLOOKUP(Tab_Def_Flows[[#This Row],[ODYM_Good_Type]],Tab_Configuration[Value],Tab_Configuration[ODYM_ID],,0,)</f>
        <v>0</v>
      </c>
      <c r="T10" s="194" t="b">
        <f>'0_Configuration'!$C$24</f>
        <v>0</v>
      </c>
      <c r="U10" s="6" t="s">
        <v>1117</v>
      </c>
      <c r="V10" s="194" t="b">
        <f>'0_Configuration'!$C$29</f>
        <v>1</v>
      </c>
      <c r="W10" s="6" t="s">
        <v>1117</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c r="E11" s="188"/>
      <c r="F11" s="188"/>
      <c r="G11" s="13"/>
      <c r="H11" s="138"/>
      <c r="I11" s="138"/>
      <c r="J11" s="138"/>
      <c r="K11" s="138"/>
      <c r="L11" s="194" t="b">
        <f>'0_Configuration'!$C$2</f>
        <v>1</v>
      </c>
      <c r="M11" s="6" t="s">
        <v>1117</v>
      </c>
      <c r="N11" s="194" t="b">
        <f>'0_Configuration'!$C$6</f>
        <v>0</v>
      </c>
      <c r="O11" s="6" t="s">
        <v>1117</v>
      </c>
      <c r="P11" s="194" t="b">
        <f>'0_Configuration'!$C$10</f>
        <v>0</v>
      </c>
      <c r="Q11" s="6" t="s">
        <v>1117</v>
      </c>
      <c r="R11" s="194" t="b">
        <f>'0_Configuration'!$C$17</f>
        <v>0</v>
      </c>
      <c r="S11" s="6">
        <f>_xlfn.XLOOKUP(Tab_Def_Flows[[#This Row],[ODYM_Good_Type]],Tab_Configuration[Value],Tab_Configuration[ODYM_ID],,0,)</f>
        <v>0</v>
      </c>
      <c r="T11" s="194" t="b">
        <f>'0_Configuration'!$C$24</f>
        <v>0</v>
      </c>
      <c r="U11" s="6" t="s">
        <v>1117</v>
      </c>
      <c r="V11" s="194" t="b">
        <f>'0_Configuration'!$C$29</f>
        <v>1</v>
      </c>
      <c r="W11" s="6" t="s">
        <v>1117</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c r="E12" s="188"/>
      <c r="F12" s="188"/>
      <c r="G12" s="13"/>
      <c r="H12" s="138"/>
      <c r="I12" s="138"/>
      <c r="J12" s="138"/>
      <c r="K12" s="138"/>
      <c r="L12" s="194" t="b">
        <f>'0_Configuration'!$C$2</f>
        <v>1</v>
      </c>
      <c r="M12" s="6" t="s">
        <v>1117</v>
      </c>
      <c r="N12" s="194" t="b">
        <f>'0_Configuration'!$C$6</f>
        <v>0</v>
      </c>
      <c r="O12" s="6" t="s">
        <v>1117</v>
      </c>
      <c r="P12" s="194" t="b">
        <f>'0_Configuration'!$C$10</f>
        <v>0</v>
      </c>
      <c r="Q12" s="6" t="s">
        <v>1117</v>
      </c>
      <c r="R12" s="194" t="b">
        <f>'0_Configuration'!$C$17</f>
        <v>0</v>
      </c>
      <c r="S12" s="6">
        <f>_xlfn.XLOOKUP(Tab_Def_Flows[[#This Row],[ODYM_Good_Type]],Tab_Configuration[Value],Tab_Configuration[ODYM_ID],,0,)</f>
        <v>0</v>
      </c>
      <c r="T12" s="194" t="b">
        <f>'0_Configuration'!$C$24</f>
        <v>0</v>
      </c>
      <c r="U12" s="6" t="s">
        <v>1117</v>
      </c>
      <c r="V12" s="194" t="b">
        <f>'0_Configuration'!$C$29</f>
        <v>1</v>
      </c>
      <c r="W12" s="6" t="s">
        <v>1117</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88"/>
      <c r="F13" s="188"/>
      <c r="G13" s="13"/>
      <c r="H13" s="138"/>
      <c r="I13" s="138"/>
      <c r="J13" s="138"/>
      <c r="K13" s="138"/>
      <c r="L13" s="194" t="b">
        <f>'0_Configuration'!$C$2</f>
        <v>1</v>
      </c>
      <c r="M13" s="6" t="s">
        <v>1117</v>
      </c>
      <c r="N13" s="194" t="b">
        <f>'0_Configuration'!$C$6</f>
        <v>0</v>
      </c>
      <c r="O13" s="6" t="s">
        <v>1117</v>
      </c>
      <c r="P13" s="194" t="b">
        <f>'0_Configuration'!$C$10</f>
        <v>0</v>
      </c>
      <c r="Q13" s="6" t="s">
        <v>1117</v>
      </c>
      <c r="R13" s="194" t="b">
        <f>'0_Configuration'!$C$17</f>
        <v>0</v>
      </c>
      <c r="S13" s="6">
        <f>_xlfn.XLOOKUP(Tab_Def_Flows[[#This Row],[ODYM_Good_Type]],Tab_Configuration[Value],Tab_Configuration[ODYM_ID],,0,)</f>
        <v>0</v>
      </c>
      <c r="T13" s="194" t="b">
        <f>'0_Configuration'!$C$24</f>
        <v>0</v>
      </c>
      <c r="U13" s="6" t="s">
        <v>1117</v>
      </c>
      <c r="V13" s="194" t="b">
        <f>'0_Configuration'!$C$29</f>
        <v>1</v>
      </c>
      <c r="W13" s="6" t="s">
        <v>1117</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88"/>
      <c r="F14" s="188"/>
      <c r="G14" s="13"/>
      <c r="H14" s="138"/>
      <c r="I14" s="138"/>
      <c r="J14" s="138"/>
      <c r="K14" s="138"/>
      <c r="L14" s="194" t="b">
        <f>'0_Configuration'!$C$2</f>
        <v>1</v>
      </c>
      <c r="M14" s="6" t="s">
        <v>1117</v>
      </c>
      <c r="N14" s="194" t="b">
        <f>'0_Configuration'!$C$6</f>
        <v>0</v>
      </c>
      <c r="O14" s="6" t="s">
        <v>1117</v>
      </c>
      <c r="P14" s="194" t="b">
        <f>'0_Configuration'!$C$10</f>
        <v>0</v>
      </c>
      <c r="Q14" s="6" t="s">
        <v>1117</v>
      </c>
      <c r="R14" s="194" t="b">
        <f>'0_Configuration'!$C$17</f>
        <v>0</v>
      </c>
      <c r="S14" s="6">
        <f>_xlfn.XLOOKUP(Tab_Def_Flows[[#This Row],[ODYM_Good_Type]],Tab_Configuration[Value],Tab_Configuration[ODYM_ID],,0,)</f>
        <v>0</v>
      </c>
      <c r="T14" s="194" t="b">
        <f>'0_Configuration'!$C$24</f>
        <v>0</v>
      </c>
      <c r="U14" s="6" t="s">
        <v>1117</v>
      </c>
      <c r="V14" s="194" t="b">
        <f>'0_Configuration'!$C$29</f>
        <v>1</v>
      </c>
      <c r="W14" s="6" t="s">
        <v>1117</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1117</v>
      </c>
      <c r="N15" s="194" t="b">
        <f>'0_Configuration'!$C$6</f>
        <v>0</v>
      </c>
      <c r="O15" s="6" t="s">
        <v>1117</v>
      </c>
      <c r="P15" s="194" t="b">
        <f>'0_Configuration'!$C$10</f>
        <v>0</v>
      </c>
      <c r="Q15" s="6" t="s">
        <v>1117</v>
      </c>
      <c r="R15" s="194" t="b">
        <f>'0_Configuration'!$C$17</f>
        <v>0</v>
      </c>
      <c r="S15" s="6">
        <f>_xlfn.XLOOKUP(Tab_Def_Flows[[#This Row],[ODYM_Good_Type]],Tab_Configuration[Value],Tab_Configuration[ODYM_ID],,0,)</f>
        <v>0</v>
      </c>
      <c r="T15" s="194" t="b">
        <f>'0_Configuration'!$C$24</f>
        <v>0</v>
      </c>
      <c r="U15" s="6" t="s">
        <v>1117</v>
      </c>
      <c r="V15" s="194" t="b">
        <f>'0_Configuration'!$C$29</f>
        <v>1</v>
      </c>
      <c r="W15" s="6" t="s">
        <v>1117</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1117</v>
      </c>
      <c r="N16" s="194" t="b">
        <f>'0_Configuration'!$C$6</f>
        <v>0</v>
      </c>
      <c r="O16" s="6" t="s">
        <v>1117</v>
      </c>
      <c r="P16" s="194" t="b">
        <f>'0_Configuration'!$C$10</f>
        <v>0</v>
      </c>
      <c r="Q16" s="6" t="s">
        <v>1117</v>
      </c>
      <c r="R16" s="194" t="b">
        <f>'0_Configuration'!$C$17</f>
        <v>0</v>
      </c>
      <c r="S16" s="6">
        <f>_xlfn.XLOOKUP(Tab_Def_Flows[[#This Row],[ODYM_Good_Type]],Tab_Configuration[Value],Tab_Configuration[ODYM_ID],,0,)</f>
        <v>0</v>
      </c>
      <c r="T16" s="194" t="b">
        <f>'0_Configuration'!$C$24</f>
        <v>0</v>
      </c>
      <c r="U16" s="6" t="s">
        <v>1117</v>
      </c>
      <c r="V16" s="194" t="b">
        <f>'0_Configuration'!$C$29</f>
        <v>1</v>
      </c>
      <c r="W16" s="6" t="s">
        <v>1117</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1117</v>
      </c>
      <c r="N17" s="194" t="b">
        <f>'0_Configuration'!$C$6</f>
        <v>0</v>
      </c>
      <c r="O17" s="6" t="s">
        <v>1117</v>
      </c>
      <c r="P17" s="194" t="b">
        <f>'0_Configuration'!$C$10</f>
        <v>0</v>
      </c>
      <c r="Q17" s="6" t="s">
        <v>1117</v>
      </c>
      <c r="R17" s="194" t="b">
        <f>'0_Configuration'!$C$17</f>
        <v>0</v>
      </c>
      <c r="S17" s="6">
        <f>_xlfn.XLOOKUP(Tab_Def_Flows[[#This Row],[ODYM_Good_Type]],Tab_Configuration[Value],Tab_Configuration[ODYM_ID],,0,)</f>
        <v>0</v>
      </c>
      <c r="T17" s="194" t="b">
        <f>'0_Configuration'!$C$24</f>
        <v>0</v>
      </c>
      <c r="U17" s="6" t="s">
        <v>1117</v>
      </c>
      <c r="V17" s="194" t="b">
        <f>'0_Configuration'!$C$29</f>
        <v>1</v>
      </c>
      <c r="W17" s="6" t="s">
        <v>1117</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1117</v>
      </c>
      <c r="N18" s="194" t="b">
        <f>'0_Configuration'!$C$6</f>
        <v>0</v>
      </c>
      <c r="O18" s="6" t="s">
        <v>1117</v>
      </c>
      <c r="P18" s="194" t="b">
        <f>'0_Configuration'!$C$10</f>
        <v>0</v>
      </c>
      <c r="Q18" s="6" t="s">
        <v>1117</v>
      </c>
      <c r="R18" s="194" t="b">
        <f>'0_Configuration'!$C$17</f>
        <v>0</v>
      </c>
      <c r="S18" s="6">
        <f>_xlfn.XLOOKUP(Tab_Def_Flows[[#This Row],[ODYM_Good_Type]],Tab_Configuration[Value],Tab_Configuration[ODYM_ID],,0,)</f>
        <v>0</v>
      </c>
      <c r="T18" s="194" t="b">
        <f>'0_Configuration'!$C$24</f>
        <v>0</v>
      </c>
      <c r="U18" s="6" t="s">
        <v>1117</v>
      </c>
      <c r="V18" s="194" t="b">
        <f>'0_Configuration'!$C$29</f>
        <v>1</v>
      </c>
      <c r="W18" s="6" t="s">
        <v>1117</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1117</v>
      </c>
      <c r="N19" s="194" t="b">
        <f>'0_Configuration'!$C$6</f>
        <v>0</v>
      </c>
      <c r="O19" s="6" t="s">
        <v>1117</v>
      </c>
      <c r="P19" s="194" t="b">
        <f>'0_Configuration'!$C$10</f>
        <v>0</v>
      </c>
      <c r="Q19" s="6" t="s">
        <v>1117</v>
      </c>
      <c r="R19" s="194" t="b">
        <f>'0_Configuration'!$C$17</f>
        <v>0</v>
      </c>
      <c r="S19" s="6">
        <f>_xlfn.XLOOKUP(Tab_Def_Flows[[#This Row],[ODYM_Good_Type]],Tab_Configuration[Value],Tab_Configuration[ODYM_ID],,0,)</f>
        <v>0</v>
      </c>
      <c r="T19" s="194" t="b">
        <f>'0_Configuration'!$C$24</f>
        <v>0</v>
      </c>
      <c r="U19" s="6" t="s">
        <v>1117</v>
      </c>
      <c r="V19" s="194" t="b">
        <f>'0_Configuration'!$C$29</f>
        <v>1</v>
      </c>
      <c r="W19" s="6" t="s">
        <v>1117</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1117</v>
      </c>
      <c r="N20" s="194" t="b">
        <f>'0_Configuration'!$C$6</f>
        <v>0</v>
      </c>
      <c r="O20" s="6" t="s">
        <v>1117</v>
      </c>
      <c r="P20" s="194" t="b">
        <f>'0_Configuration'!$C$10</f>
        <v>0</v>
      </c>
      <c r="Q20" s="6" t="s">
        <v>1117</v>
      </c>
      <c r="R20" s="194" t="b">
        <f>'0_Configuration'!$C$17</f>
        <v>0</v>
      </c>
      <c r="S20" s="6">
        <f>_xlfn.XLOOKUP(Tab_Def_Flows[[#This Row],[ODYM_Good_Type]],Tab_Configuration[Value],Tab_Configuration[ODYM_ID],,0,)</f>
        <v>0</v>
      </c>
      <c r="T20" s="194" t="b">
        <f>'0_Configuration'!$C$24</f>
        <v>0</v>
      </c>
      <c r="U20" s="6" t="s">
        <v>1117</v>
      </c>
      <c r="V20" s="194" t="b">
        <f>'0_Configuration'!$C$29</f>
        <v>1</v>
      </c>
      <c r="W20" s="6" t="s">
        <v>1117</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1117</v>
      </c>
      <c r="N21" s="194" t="b">
        <f>'0_Configuration'!$C$6</f>
        <v>0</v>
      </c>
      <c r="O21" s="6" t="s">
        <v>1117</v>
      </c>
      <c r="P21" s="194" t="b">
        <f>'0_Configuration'!$C$10</f>
        <v>0</v>
      </c>
      <c r="Q21" s="6" t="s">
        <v>1117</v>
      </c>
      <c r="R21" s="194" t="b">
        <f>'0_Configuration'!$C$17</f>
        <v>0</v>
      </c>
      <c r="S21" s="6">
        <f>_xlfn.XLOOKUP(Tab_Def_Flows[[#This Row],[ODYM_Good_Type]],Tab_Configuration[Value],Tab_Configuration[ODYM_ID],,0,)</f>
        <v>0</v>
      </c>
      <c r="T21" s="194" t="b">
        <f>'0_Configuration'!$C$24</f>
        <v>0</v>
      </c>
      <c r="U21" s="6" t="s">
        <v>1117</v>
      </c>
      <c r="V21" s="194" t="b">
        <f>'0_Configuration'!$C$29</f>
        <v>1</v>
      </c>
      <c r="W21" s="6" t="s">
        <v>1117</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1117</v>
      </c>
      <c r="N22" s="194" t="b">
        <f>'0_Configuration'!$C$6</f>
        <v>0</v>
      </c>
      <c r="O22" s="6" t="s">
        <v>1117</v>
      </c>
      <c r="P22" s="194" t="b">
        <f>'0_Configuration'!$C$10</f>
        <v>0</v>
      </c>
      <c r="Q22" s="6" t="s">
        <v>1117</v>
      </c>
      <c r="R22" s="194" t="b">
        <f>'0_Configuration'!$C$17</f>
        <v>0</v>
      </c>
      <c r="S22" s="6">
        <f>_xlfn.XLOOKUP(Tab_Def_Flows[[#This Row],[ODYM_Good_Type]],Tab_Configuration[Value],Tab_Configuration[ODYM_ID],,0,)</f>
        <v>0</v>
      </c>
      <c r="T22" s="194" t="b">
        <f>'0_Configuration'!$C$24</f>
        <v>0</v>
      </c>
      <c r="U22" s="6" t="s">
        <v>1117</v>
      </c>
      <c r="V22" s="194" t="b">
        <f>'0_Configuration'!$C$29</f>
        <v>1</v>
      </c>
      <c r="W22" s="6" t="s">
        <v>1117</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1117</v>
      </c>
      <c r="N23" s="194" t="b">
        <f>'0_Configuration'!$C$6</f>
        <v>0</v>
      </c>
      <c r="O23" s="6" t="s">
        <v>1117</v>
      </c>
      <c r="P23" s="194" t="b">
        <f>'0_Configuration'!$C$10</f>
        <v>0</v>
      </c>
      <c r="Q23" s="6" t="s">
        <v>1117</v>
      </c>
      <c r="R23" s="194" t="b">
        <f>'0_Configuration'!$C$17</f>
        <v>0</v>
      </c>
      <c r="S23" s="6">
        <f>_xlfn.XLOOKUP(Tab_Def_Flows[[#This Row],[ODYM_Good_Type]],Tab_Configuration[Value],Tab_Configuration[ODYM_ID],,0,)</f>
        <v>0</v>
      </c>
      <c r="T23" s="194" t="b">
        <f>'0_Configuration'!$C$24</f>
        <v>0</v>
      </c>
      <c r="U23" s="6" t="s">
        <v>1117</v>
      </c>
      <c r="V23" s="194" t="b">
        <f>'0_Configuration'!$C$29</f>
        <v>1</v>
      </c>
      <c r="W23" s="6" t="s">
        <v>1117</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1117</v>
      </c>
      <c r="N24" s="194" t="b">
        <f>'0_Configuration'!$C$6</f>
        <v>0</v>
      </c>
      <c r="O24" s="6" t="s">
        <v>1117</v>
      </c>
      <c r="P24" s="194" t="b">
        <f>'0_Configuration'!$C$10</f>
        <v>0</v>
      </c>
      <c r="Q24" s="6" t="s">
        <v>1117</v>
      </c>
      <c r="R24" s="194" t="b">
        <f>'0_Configuration'!$C$17</f>
        <v>0</v>
      </c>
      <c r="S24" s="6">
        <f>_xlfn.XLOOKUP(Tab_Def_Flows[[#This Row],[ODYM_Good_Type]],Tab_Configuration[Value],Tab_Configuration[ODYM_ID],,0,)</f>
        <v>0</v>
      </c>
      <c r="T24" s="194" t="b">
        <f>'0_Configuration'!$C$24</f>
        <v>0</v>
      </c>
      <c r="U24" s="6" t="s">
        <v>1117</v>
      </c>
      <c r="V24" s="194" t="b">
        <f>'0_Configuration'!$C$29</f>
        <v>1</v>
      </c>
      <c r="W24" s="6" t="s">
        <v>1117</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1117</v>
      </c>
      <c r="N25" s="194" t="b">
        <f>'0_Configuration'!$C$6</f>
        <v>0</v>
      </c>
      <c r="O25" s="6" t="s">
        <v>1117</v>
      </c>
      <c r="P25" s="194" t="b">
        <f>'0_Configuration'!$C$10</f>
        <v>0</v>
      </c>
      <c r="Q25" s="6" t="s">
        <v>1117</v>
      </c>
      <c r="R25" s="194" t="b">
        <f>'0_Configuration'!$C$17</f>
        <v>0</v>
      </c>
      <c r="S25" s="6">
        <f>_xlfn.XLOOKUP(Tab_Def_Flows[[#This Row],[ODYM_Good_Type]],Tab_Configuration[Value],Tab_Configuration[ODYM_ID],,0,)</f>
        <v>0</v>
      </c>
      <c r="T25" s="194" t="b">
        <f>'0_Configuration'!$C$24</f>
        <v>0</v>
      </c>
      <c r="U25" s="6" t="s">
        <v>1117</v>
      </c>
      <c r="V25" s="194" t="b">
        <f>'0_Configuration'!$C$29</f>
        <v>1</v>
      </c>
      <c r="W25" s="6" t="s">
        <v>1117</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1117</v>
      </c>
      <c r="N26" s="194" t="b">
        <f>'0_Configuration'!$C$6</f>
        <v>0</v>
      </c>
      <c r="O26" s="6" t="s">
        <v>1117</v>
      </c>
      <c r="P26" s="194" t="b">
        <f>'0_Configuration'!$C$10</f>
        <v>0</v>
      </c>
      <c r="Q26" s="6" t="s">
        <v>1117</v>
      </c>
      <c r="R26" s="194" t="b">
        <f>'0_Configuration'!$C$17</f>
        <v>0</v>
      </c>
      <c r="S26" s="6">
        <f>_xlfn.XLOOKUP(Tab_Def_Flows[[#This Row],[ODYM_Good_Type]],Tab_Configuration[Value],Tab_Configuration[ODYM_ID],,0,)</f>
        <v>0</v>
      </c>
      <c r="T26" s="194" t="b">
        <f>'0_Configuration'!$C$24</f>
        <v>0</v>
      </c>
      <c r="U26" s="6" t="s">
        <v>1117</v>
      </c>
      <c r="V26" s="194" t="b">
        <f>'0_Configuration'!$C$29</f>
        <v>1</v>
      </c>
      <c r="W26" s="6" t="s">
        <v>1117</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1117</v>
      </c>
      <c r="N27" s="194" t="b">
        <f>'0_Configuration'!$C$6</f>
        <v>0</v>
      </c>
      <c r="O27" s="6" t="s">
        <v>1117</v>
      </c>
      <c r="P27" s="194" t="b">
        <f>'0_Configuration'!$C$10</f>
        <v>0</v>
      </c>
      <c r="Q27" s="6" t="s">
        <v>1117</v>
      </c>
      <c r="R27" s="194" t="b">
        <f>'0_Configuration'!$C$17</f>
        <v>0</v>
      </c>
      <c r="S27" s="6">
        <f>_xlfn.XLOOKUP(Tab_Def_Flows[[#This Row],[ODYM_Good_Type]],Tab_Configuration[Value],Tab_Configuration[ODYM_ID],,0,)</f>
        <v>0</v>
      </c>
      <c r="T27" s="194" t="b">
        <f>'0_Configuration'!$C$24</f>
        <v>0</v>
      </c>
      <c r="U27" s="6" t="s">
        <v>1117</v>
      </c>
      <c r="V27" s="194" t="b">
        <f>'0_Configuration'!$C$29</f>
        <v>1</v>
      </c>
      <c r="W27" s="6" t="s">
        <v>1117</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1117</v>
      </c>
      <c r="N28" s="194" t="b">
        <f>'0_Configuration'!$C$6</f>
        <v>0</v>
      </c>
      <c r="O28" s="6" t="s">
        <v>1117</v>
      </c>
      <c r="P28" s="194" t="b">
        <f>'0_Configuration'!$C$10</f>
        <v>0</v>
      </c>
      <c r="Q28" s="6" t="s">
        <v>1117</v>
      </c>
      <c r="R28" s="194" t="b">
        <f>'0_Configuration'!$C$17</f>
        <v>0</v>
      </c>
      <c r="S28" s="6">
        <f>_xlfn.XLOOKUP(Tab_Def_Flows[[#This Row],[ODYM_Good_Type]],Tab_Configuration[Value],Tab_Configuration[ODYM_ID],,0,)</f>
        <v>0</v>
      </c>
      <c r="T28" s="194" t="b">
        <f>'0_Configuration'!$C$24</f>
        <v>0</v>
      </c>
      <c r="U28" s="6" t="s">
        <v>1117</v>
      </c>
      <c r="V28" s="194" t="b">
        <f>'0_Configuration'!$C$29</f>
        <v>1</v>
      </c>
      <c r="W28" s="6" t="s">
        <v>1117</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1117</v>
      </c>
      <c r="N29" s="194" t="b">
        <f>'0_Configuration'!$C$6</f>
        <v>0</v>
      </c>
      <c r="O29" s="6" t="s">
        <v>1117</v>
      </c>
      <c r="P29" s="194" t="b">
        <f>'0_Configuration'!$C$10</f>
        <v>0</v>
      </c>
      <c r="Q29" s="6" t="s">
        <v>1117</v>
      </c>
      <c r="R29" s="194" t="b">
        <f>'0_Configuration'!$C$17</f>
        <v>0</v>
      </c>
      <c r="S29" s="6">
        <f>_xlfn.XLOOKUP(Tab_Def_Flows[[#This Row],[ODYM_Good_Type]],Tab_Configuration[Value],Tab_Configuration[ODYM_ID],,0,)</f>
        <v>0</v>
      </c>
      <c r="T29" s="194" t="b">
        <f>'0_Configuration'!$C$24</f>
        <v>0</v>
      </c>
      <c r="U29" s="6" t="s">
        <v>1117</v>
      </c>
      <c r="V29" s="194" t="b">
        <f>'0_Configuration'!$C$29</f>
        <v>1</v>
      </c>
      <c r="W29" s="6" t="s">
        <v>1117</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1117</v>
      </c>
      <c r="N30" s="194" t="b">
        <f>'0_Configuration'!$C$6</f>
        <v>0</v>
      </c>
      <c r="O30" s="6" t="s">
        <v>1117</v>
      </c>
      <c r="P30" s="194" t="b">
        <f>'0_Configuration'!$C$10</f>
        <v>0</v>
      </c>
      <c r="Q30" s="6" t="s">
        <v>1117</v>
      </c>
      <c r="R30" s="194" t="b">
        <f>'0_Configuration'!$C$17</f>
        <v>0</v>
      </c>
      <c r="S30" s="6">
        <f>_xlfn.XLOOKUP(Tab_Def_Flows[[#This Row],[ODYM_Good_Type]],Tab_Configuration[Value],Tab_Configuration[ODYM_ID],,0,)</f>
        <v>0</v>
      </c>
      <c r="T30" s="194" t="b">
        <f>'0_Configuration'!$C$24</f>
        <v>0</v>
      </c>
      <c r="U30" s="6" t="s">
        <v>1117</v>
      </c>
      <c r="V30" s="194" t="b">
        <f>'0_Configuration'!$C$29</f>
        <v>1</v>
      </c>
      <c r="W30" s="6" t="s">
        <v>1117</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1117</v>
      </c>
      <c r="N31" s="194" t="b">
        <f>'0_Configuration'!$C$6</f>
        <v>0</v>
      </c>
      <c r="O31" s="6" t="s">
        <v>1117</v>
      </c>
      <c r="P31" s="194" t="b">
        <f>'0_Configuration'!$C$10</f>
        <v>0</v>
      </c>
      <c r="Q31" s="6" t="s">
        <v>1117</v>
      </c>
      <c r="R31" s="194" t="b">
        <f>'0_Configuration'!$C$17</f>
        <v>0</v>
      </c>
      <c r="S31" s="6">
        <f>_xlfn.XLOOKUP(Tab_Def_Flows[[#This Row],[ODYM_Good_Type]],Tab_Configuration[Value],Tab_Configuration[ODYM_ID],,0,)</f>
        <v>0</v>
      </c>
      <c r="T31" s="194" t="b">
        <f>'0_Configuration'!$C$24</f>
        <v>0</v>
      </c>
      <c r="U31" s="6" t="s">
        <v>1117</v>
      </c>
      <c r="V31" s="194" t="b">
        <f>'0_Configuration'!$C$29</f>
        <v>1</v>
      </c>
      <c r="W31" s="6" t="s">
        <v>1117</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1117</v>
      </c>
      <c r="N32" s="194" t="b">
        <f>'0_Configuration'!$C$6</f>
        <v>0</v>
      </c>
      <c r="O32" s="6" t="s">
        <v>1117</v>
      </c>
      <c r="P32" s="194" t="b">
        <f>'0_Configuration'!$C$10</f>
        <v>0</v>
      </c>
      <c r="Q32" s="6" t="s">
        <v>1117</v>
      </c>
      <c r="R32" s="194" t="b">
        <f>'0_Configuration'!$C$17</f>
        <v>0</v>
      </c>
      <c r="S32" s="6">
        <f>_xlfn.XLOOKUP(Tab_Def_Flows[[#This Row],[ODYM_Good_Type]],Tab_Configuration[Value],Tab_Configuration[ODYM_ID],,0,)</f>
        <v>0</v>
      </c>
      <c r="T32" s="194" t="b">
        <f>'0_Configuration'!$C$24</f>
        <v>0</v>
      </c>
      <c r="U32" s="6" t="s">
        <v>1117</v>
      </c>
      <c r="V32" s="194" t="b">
        <f>'0_Configuration'!$C$29</f>
        <v>1</v>
      </c>
      <c r="W32" s="6" t="s">
        <v>1117</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1117</v>
      </c>
      <c r="N33" s="194" t="b">
        <f>'0_Configuration'!$C$6</f>
        <v>0</v>
      </c>
      <c r="O33" s="6" t="s">
        <v>1117</v>
      </c>
      <c r="P33" s="194" t="b">
        <f>'0_Configuration'!$C$10</f>
        <v>0</v>
      </c>
      <c r="Q33" s="6" t="s">
        <v>1117</v>
      </c>
      <c r="R33" s="194" t="b">
        <f>'0_Configuration'!$C$17</f>
        <v>0</v>
      </c>
      <c r="S33" s="6">
        <f>_xlfn.XLOOKUP(Tab_Def_Flows[[#This Row],[ODYM_Good_Type]],Tab_Configuration[Value],Tab_Configuration[ODYM_ID],,0,)</f>
        <v>0</v>
      </c>
      <c r="T33" s="194" t="b">
        <f>'0_Configuration'!$C$24</f>
        <v>0</v>
      </c>
      <c r="U33" s="6" t="s">
        <v>1117</v>
      </c>
      <c r="V33" s="194" t="b">
        <f>'0_Configuration'!$C$29</f>
        <v>1</v>
      </c>
      <c r="W33" s="6" t="s">
        <v>1117</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1117</v>
      </c>
      <c r="N34" s="194" t="b">
        <f>'0_Configuration'!$C$6</f>
        <v>0</v>
      </c>
      <c r="O34" s="6" t="s">
        <v>1117</v>
      </c>
      <c r="P34" s="194" t="b">
        <f>'0_Configuration'!$C$10</f>
        <v>0</v>
      </c>
      <c r="Q34" s="6" t="s">
        <v>1117</v>
      </c>
      <c r="R34" s="194" t="b">
        <f>'0_Configuration'!$C$17</f>
        <v>0</v>
      </c>
      <c r="S34" s="6">
        <f>_xlfn.XLOOKUP(Tab_Def_Flows[[#This Row],[ODYM_Good_Type]],Tab_Configuration[Value],Tab_Configuration[ODYM_ID],,0,)</f>
        <v>0</v>
      </c>
      <c r="T34" s="194" t="b">
        <f>'0_Configuration'!$C$24</f>
        <v>0</v>
      </c>
      <c r="U34" s="6" t="s">
        <v>1117</v>
      </c>
      <c r="V34" s="194" t="b">
        <f>'0_Configuration'!$C$29</f>
        <v>1</v>
      </c>
      <c r="W34" s="6" t="s">
        <v>1117</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1117</v>
      </c>
      <c r="N35" s="194" t="b">
        <f>'0_Configuration'!$C$6</f>
        <v>0</v>
      </c>
      <c r="O35" s="6" t="s">
        <v>1117</v>
      </c>
      <c r="P35" s="194" t="b">
        <f>'0_Configuration'!$C$10</f>
        <v>0</v>
      </c>
      <c r="Q35" s="6" t="s">
        <v>1117</v>
      </c>
      <c r="R35" s="194" t="b">
        <f>'0_Configuration'!$C$17</f>
        <v>0</v>
      </c>
      <c r="S35" s="6">
        <f>_xlfn.XLOOKUP(Tab_Def_Flows[[#This Row],[ODYM_Good_Type]],Tab_Configuration[Value],Tab_Configuration[ODYM_ID],,0,)</f>
        <v>0</v>
      </c>
      <c r="T35" s="194" t="b">
        <f>'0_Configuration'!$C$24</f>
        <v>0</v>
      </c>
      <c r="U35" s="6" t="s">
        <v>1117</v>
      </c>
      <c r="V35" s="194" t="b">
        <f>'0_Configuration'!$C$29</f>
        <v>1</v>
      </c>
      <c r="W35" s="6" t="s">
        <v>1117</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1117</v>
      </c>
      <c r="N36" s="194" t="b">
        <f>'0_Configuration'!$C$6</f>
        <v>0</v>
      </c>
      <c r="O36" s="6" t="s">
        <v>1117</v>
      </c>
      <c r="P36" s="194" t="b">
        <f>'0_Configuration'!$C$10</f>
        <v>0</v>
      </c>
      <c r="Q36" s="6" t="s">
        <v>1117</v>
      </c>
      <c r="R36" s="194" t="b">
        <f>'0_Configuration'!$C$17</f>
        <v>0</v>
      </c>
      <c r="S36" s="6">
        <f>_xlfn.XLOOKUP(Tab_Def_Flows[[#This Row],[ODYM_Good_Type]],Tab_Configuration[Value],Tab_Configuration[ODYM_ID],,0,)</f>
        <v>0</v>
      </c>
      <c r="T36" s="194" t="b">
        <f>'0_Configuration'!$C$24</f>
        <v>0</v>
      </c>
      <c r="U36" s="6" t="s">
        <v>1117</v>
      </c>
      <c r="V36" s="194" t="b">
        <f>'0_Configuration'!$C$29</f>
        <v>1</v>
      </c>
      <c r="W36" s="6" t="s">
        <v>1117</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1117</v>
      </c>
      <c r="N37" s="194" t="b">
        <f>'0_Configuration'!$C$6</f>
        <v>0</v>
      </c>
      <c r="O37" s="6" t="s">
        <v>1117</v>
      </c>
      <c r="P37" s="194" t="b">
        <f>'0_Configuration'!$C$10</f>
        <v>0</v>
      </c>
      <c r="Q37" s="6" t="s">
        <v>1117</v>
      </c>
      <c r="R37" s="194" t="b">
        <f>'0_Configuration'!$C$17</f>
        <v>0</v>
      </c>
      <c r="S37" s="6">
        <f>_xlfn.XLOOKUP(Tab_Def_Flows[[#This Row],[ODYM_Good_Type]],Tab_Configuration[Value],Tab_Configuration[ODYM_ID],,0,)</f>
        <v>0</v>
      </c>
      <c r="T37" s="194" t="b">
        <f>'0_Configuration'!$C$24</f>
        <v>0</v>
      </c>
      <c r="U37" s="6" t="s">
        <v>1117</v>
      </c>
      <c r="V37" s="194" t="b">
        <f>'0_Configuration'!$C$29</f>
        <v>1</v>
      </c>
      <c r="W37" s="6" t="s">
        <v>1117</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1117</v>
      </c>
      <c r="N38" s="194" t="b">
        <f>'0_Configuration'!$C$6</f>
        <v>0</v>
      </c>
      <c r="O38" s="6" t="s">
        <v>1117</v>
      </c>
      <c r="P38" s="194" t="b">
        <f>'0_Configuration'!$C$10</f>
        <v>0</v>
      </c>
      <c r="Q38" s="6" t="s">
        <v>1117</v>
      </c>
      <c r="R38" s="194" t="b">
        <f>'0_Configuration'!$C$17</f>
        <v>0</v>
      </c>
      <c r="S38" s="6">
        <f>_xlfn.XLOOKUP(Tab_Def_Flows[[#This Row],[ODYM_Good_Type]],Tab_Configuration[Value],Tab_Configuration[ODYM_ID],,0,)</f>
        <v>0</v>
      </c>
      <c r="T38" s="194" t="b">
        <f>'0_Configuration'!$C$24</f>
        <v>0</v>
      </c>
      <c r="U38" s="6" t="s">
        <v>1117</v>
      </c>
      <c r="V38" s="194" t="b">
        <f>'0_Configuration'!$C$29</f>
        <v>1</v>
      </c>
      <c r="W38" s="6" t="s">
        <v>1117</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1117</v>
      </c>
      <c r="N39" s="194" t="b">
        <f>'0_Configuration'!$C$6</f>
        <v>0</v>
      </c>
      <c r="O39" s="6" t="s">
        <v>1117</v>
      </c>
      <c r="P39" s="194" t="b">
        <f>'0_Configuration'!$C$10</f>
        <v>0</v>
      </c>
      <c r="Q39" s="6" t="s">
        <v>1117</v>
      </c>
      <c r="R39" s="194" t="b">
        <f>'0_Configuration'!$C$17</f>
        <v>0</v>
      </c>
      <c r="S39" s="6">
        <f>_xlfn.XLOOKUP(Tab_Def_Flows[[#This Row],[ODYM_Good_Type]],Tab_Configuration[Value],Tab_Configuration[ODYM_ID],,0,)</f>
        <v>0</v>
      </c>
      <c r="T39" s="194" t="b">
        <f>'0_Configuration'!$C$24</f>
        <v>0</v>
      </c>
      <c r="U39" s="6" t="s">
        <v>1117</v>
      </c>
      <c r="V39" s="194" t="b">
        <f>'0_Configuration'!$C$29</f>
        <v>1</v>
      </c>
      <c r="W39" s="6" t="s">
        <v>1117</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1117</v>
      </c>
      <c r="N40" s="194" t="b">
        <f>'0_Configuration'!$C$6</f>
        <v>0</v>
      </c>
      <c r="O40" s="6" t="s">
        <v>1117</v>
      </c>
      <c r="P40" s="194" t="b">
        <f>'0_Configuration'!$C$10</f>
        <v>0</v>
      </c>
      <c r="Q40" s="6" t="s">
        <v>1117</v>
      </c>
      <c r="R40" s="194" t="b">
        <f>'0_Configuration'!$C$17</f>
        <v>0</v>
      </c>
      <c r="S40" s="6">
        <f>_xlfn.XLOOKUP(Tab_Def_Flows[[#This Row],[ODYM_Good_Type]],Tab_Configuration[Value],Tab_Configuration[ODYM_ID],,0,)</f>
        <v>0</v>
      </c>
      <c r="T40" s="194" t="b">
        <f>'0_Configuration'!$C$24</f>
        <v>0</v>
      </c>
      <c r="U40" s="6" t="s">
        <v>1117</v>
      </c>
      <c r="V40" s="194" t="b">
        <f>'0_Configuration'!$C$29</f>
        <v>1</v>
      </c>
      <c r="W40" s="6" t="s">
        <v>1117</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1117</v>
      </c>
      <c r="N41" s="194" t="b">
        <f>'0_Configuration'!$C$6</f>
        <v>0</v>
      </c>
      <c r="O41" s="6" t="s">
        <v>1117</v>
      </c>
      <c r="P41" s="194" t="b">
        <f>'0_Configuration'!$C$10</f>
        <v>0</v>
      </c>
      <c r="Q41" s="6" t="s">
        <v>1117</v>
      </c>
      <c r="R41" s="194" t="b">
        <f>'0_Configuration'!$C$17</f>
        <v>0</v>
      </c>
      <c r="S41" s="6">
        <f>_xlfn.XLOOKUP(Tab_Def_Flows[[#This Row],[ODYM_Good_Type]],Tab_Configuration[Value],Tab_Configuration[ODYM_ID],,0,)</f>
        <v>0</v>
      </c>
      <c r="T41" s="194" t="b">
        <f>'0_Configuration'!$C$24</f>
        <v>0</v>
      </c>
      <c r="U41" s="6" t="s">
        <v>1117</v>
      </c>
      <c r="V41" s="194" t="b">
        <f>'0_Configuration'!$C$29</f>
        <v>1</v>
      </c>
      <c r="W41" s="6" t="s">
        <v>1117</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1117</v>
      </c>
      <c r="N42" s="194" t="b">
        <f>'0_Configuration'!$C$6</f>
        <v>0</v>
      </c>
      <c r="O42" s="6" t="s">
        <v>1117</v>
      </c>
      <c r="P42" s="194" t="b">
        <f>'0_Configuration'!$C$10</f>
        <v>0</v>
      </c>
      <c r="Q42" s="6" t="s">
        <v>1117</v>
      </c>
      <c r="R42" s="194" t="b">
        <f>'0_Configuration'!$C$17</f>
        <v>0</v>
      </c>
      <c r="S42" s="6">
        <f>_xlfn.XLOOKUP(Tab_Def_Flows[[#This Row],[ODYM_Good_Type]],Tab_Configuration[Value],Tab_Configuration[ODYM_ID],,0,)</f>
        <v>0</v>
      </c>
      <c r="T42" s="194" t="b">
        <f>'0_Configuration'!$C$24</f>
        <v>0</v>
      </c>
      <c r="U42" s="6" t="s">
        <v>1117</v>
      </c>
      <c r="V42" s="194" t="b">
        <f>'0_Configuration'!$C$29</f>
        <v>1</v>
      </c>
      <c r="W42" s="6" t="s">
        <v>1117</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1117</v>
      </c>
      <c r="N43" s="194" t="b">
        <f>'0_Configuration'!$C$6</f>
        <v>0</v>
      </c>
      <c r="O43" s="6" t="s">
        <v>1117</v>
      </c>
      <c r="P43" s="194" t="b">
        <f>'0_Configuration'!$C$10</f>
        <v>0</v>
      </c>
      <c r="Q43" s="6" t="s">
        <v>1117</v>
      </c>
      <c r="R43" s="194" t="b">
        <f>'0_Configuration'!$C$17</f>
        <v>0</v>
      </c>
      <c r="S43" s="6">
        <f>_xlfn.XLOOKUP(Tab_Def_Flows[[#This Row],[ODYM_Good_Type]],Tab_Configuration[Value],Tab_Configuration[ODYM_ID],,0,)</f>
        <v>0</v>
      </c>
      <c r="T43" s="194" t="b">
        <f>'0_Configuration'!$C$24</f>
        <v>0</v>
      </c>
      <c r="U43" s="6" t="s">
        <v>1117</v>
      </c>
      <c r="V43" s="194" t="b">
        <f>'0_Configuration'!$C$29</f>
        <v>1</v>
      </c>
      <c r="W43" s="6" t="s">
        <v>1117</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1117</v>
      </c>
      <c r="N44" s="194" t="b">
        <f>'0_Configuration'!$C$6</f>
        <v>0</v>
      </c>
      <c r="O44" s="6" t="s">
        <v>1117</v>
      </c>
      <c r="P44" s="194" t="b">
        <f>'0_Configuration'!$C$10</f>
        <v>0</v>
      </c>
      <c r="Q44" s="6" t="s">
        <v>1117</v>
      </c>
      <c r="R44" s="194" t="b">
        <f>'0_Configuration'!$C$17</f>
        <v>0</v>
      </c>
      <c r="S44" s="6">
        <f>_xlfn.XLOOKUP(Tab_Def_Flows[[#This Row],[ODYM_Good_Type]],Tab_Configuration[Value],Tab_Configuration[ODYM_ID],,0,)</f>
        <v>0</v>
      </c>
      <c r="T44" s="194" t="b">
        <f>'0_Configuration'!$C$24</f>
        <v>0</v>
      </c>
      <c r="U44" s="6" t="s">
        <v>1117</v>
      </c>
      <c r="V44" s="194" t="b">
        <f>'0_Configuration'!$C$29</f>
        <v>1</v>
      </c>
      <c r="W44" s="6" t="s">
        <v>1117</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1117</v>
      </c>
      <c r="N45" s="194" t="b">
        <f>'0_Configuration'!$C$6</f>
        <v>0</v>
      </c>
      <c r="O45" s="6" t="s">
        <v>1117</v>
      </c>
      <c r="P45" s="194" t="b">
        <f>'0_Configuration'!$C$10</f>
        <v>0</v>
      </c>
      <c r="Q45" s="6" t="s">
        <v>1117</v>
      </c>
      <c r="R45" s="194" t="b">
        <f>'0_Configuration'!$C$17</f>
        <v>0</v>
      </c>
      <c r="S45" s="6">
        <f>_xlfn.XLOOKUP(Tab_Def_Flows[[#This Row],[ODYM_Good_Type]],Tab_Configuration[Value],Tab_Configuration[ODYM_ID],,0,)</f>
        <v>0</v>
      </c>
      <c r="T45" s="194" t="b">
        <f>'0_Configuration'!$C$24</f>
        <v>0</v>
      </c>
      <c r="U45" s="6" t="s">
        <v>1117</v>
      </c>
      <c r="V45" s="194" t="b">
        <f>'0_Configuration'!$C$29</f>
        <v>1</v>
      </c>
      <c r="W45" s="6" t="s">
        <v>1117</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1117</v>
      </c>
      <c r="N46" s="194" t="b">
        <f>'0_Configuration'!$C$6</f>
        <v>0</v>
      </c>
      <c r="O46" s="6" t="s">
        <v>1117</v>
      </c>
      <c r="P46" s="194" t="b">
        <f>'0_Configuration'!$C$10</f>
        <v>0</v>
      </c>
      <c r="Q46" s="6" t="s">
        <v>1117</v>
      </c>
      <c r="R46" s="194" t="b">
        <f>'0_Configuration'!$C$17</f>
        <v>0</v>
      </c>
      <c r="S46" s="6">
        <f>_xlfn.XLOOKUP(Tab_Def_Flows[[#This Row],[ODYM_Good_Type]],Tab_Configuration[Value],Tab_Configuration[ODYM_ID],,0,)</f>
        <v>0</v>
      </c>
      <c r="T46" s="194" t="b">
        <f>'0_Configuration'!$C$24</f>
        <v>0</v>
      </c>
      <c r="U46" s="6" t="s">
        <v>1117</v>
      </c>
      <c r="V46" s="194" t="b">
        <f>'0_Configuration'!$C$29</f>
        <v>1</v>
      </c>
      <c r="W46" s="6" t="s">
        <v>1117</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E1" activePane="topRight" state="frozen"/>
      <selection pane="topRight" activeCell="I30" sqref="I30"/>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424</v>
      </c>
      <c r="E1" s="141" t="s">
        <v>389</v>
      </c>
      <c r="F1" s="141" t="s">
        <v>452</v>
      </c>
      <c r="G1" s="141" t="s">
        <v>453</v>
      </c>
      <c r="H1" s="141" t="s">
        <v>482</v>
      </c>
      <c r="I1" s="141" t="s">
        <v>164</v>
      </c>
      <c r="J1" s="141" t="s">
        <v>11</v>
      </c>
      <c r="K1" s="141" t="s">
        <v>1163</v>
      </c>
      <c r="L1" s="141" t="s">
        <v>1165</v>
      </c>
      <c r="M1" s="141" t="s">
        <v>1164</v>
      </c>
      <c r="N1" s="141" t="s">
        <v>1166</v>
      </c>
      <c r="O1" s="141" t="s">
        <v>1167</v>
      </c>
      <c r="P1" s="141" t="s">
        <v>1168</v>
      </c>
      <c r="Q1" s="141" t="s">
        <v>1169</v>
      </c>
      <c r="R1" s="141" t="s">
        <v>1170</v>
      </c>
      <c r="S1" s="141" t="s">
        <v>1171</v>
      </c>
      <c r="T1" s="141" t="s">
        <v>1172</v>
      </c>
      <c r="U1" s="141" t="s">
        <v>1196</v>
      </c>
      <c r="V1" s="141" t="s">
        <v>1197</v>
      </c>
      <c r="W1" s="141" t="s">
        <v>483</v>
      </c>
      <c r="X1" s="141" t="s">
        <v>459</v>
      </c>
      <c r="Y1" s="141" t="s">
        <v>484</v>
      </c>
      <c r="Z1" s="141" t="s">
        <v>485</v>
      </c>
      <c r="AA1" s="141" t="s">
        <v>486</v>
      </c>
    </row>
    <row r="2" spans="1:27" x14ac:dyDescent="0.25">
      <c r="A2" s="142" t="b">
        <v>0</v>
      </c>
      <c r="B2" s="6">
        <f t="shared" ref="B2" si="0">ROW()-1</f>
        <v>1</v>
      </c>
      <c r="C2" s="20" t="str">
        <f>_xlfn.XLOOKUP($D2,Tab_Def_Processes[Process_Name],Tab_Def_Processes[ID],,0,)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F_01_01</v>
      </c>
      <c r="K2" s="15" t="str">
        <f>"TC_E1"&amp;"_"&amp;RIGHT(J2,5)</f>
        <v>TC_E1_01_01</v>
      </c>
      <c r="L2" s="140"/>
      <c r="M2" s="15" t="str">
        <f>"TC_E2"&amp;"_"&amp;RIGHT(J2,5)</f>
        <v>TC_E2_01_01</v>
      </c>
      <c r="N2" s="140"/>
      <c r="O2" s="15" t="str">
        <f>"TC_E3"&amp;"_"&amp;RIGHT(J2,5)</f>
        <v>TC_E3_01_01</v>
      </c>
      <c r="P2" s="140"/>
      <c r="Q2" s="6" t="str">
        <f>"TC_E4"&amp;"_"&amp;RIGHT(J2,5)</f>
        <v>TC_E4_01_01</v>
      </c>
      <c r="R2" s="140"/>
      <c r="S2" s="6" t="str">
        <f>"TC_E5"&amp;"_"&amp;RIGHT(J2,5)</f>
        <v>TC_E5_01_01</v>
      </c>
      <c r="T2" s="140"/>
      <c r="U2" s="6" t="str">
        <f>"TC_E5"&amp;"_"&amp;RIGHT(J2,5)</f>
        <v>TC_E5_01_01</v>
      </c>
      <c r="V2" s="140"/>
      <c r="W2" s="13"/>
      <c r="X2" s="13"/>
      <c r="Y2" s="13"/>
      <c r="Z2" s="13"/>
      <c r="AA2" s="13"/>
    </row>
    <row r="3" spans="1:27" x14ac:dyDescent="0.25">
      <c r="A3" s="142" t="b">
        <v>0</v>
      </c>
      <c r="B3" s="6">
        <f t="shared" ref="B3:B51" si="1">ROW()-1</f>
        <v>2</v>
      </c>
      <c r="C3" s="20" t="str">
        <f>_xlfn.XLOOKUP($D3,Tab_Def_Processes[Process_Name],Tab_Def_Processes[ID],,0,)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F_01_01</v>
      </c>
      <c r="K3" s="15" t="str">
        <f t="shared" ref="K3:K51" si="2">"TC_E1"&amp;"_"&amp;RIGHT(J3,5)</f>
        <v>TC_E1_01_01</v>
      </c>
      <c r="L3" s="140"/>
      <c r="M3" s="15" t="str">
        <f t="shared" ref="M3:M51" si="3">"TC_E2"&amp;"_"&amp;RIGHT(J3,5)</f>
        <v>TC_E2_01_01</v>
      </c>
      <c r="N3" s="140"/>
      <c r="O3" s="15" t="str">
        <f t="shared" ref="O3:O51" si="4">"TC_E3"&amp;"_"&amp;RIGHT(J3,5)</f>
        <v>TC_E3_01_01</v>
      </c>
      <c r="P3" s="140"/>
      <c r="Q3" s="6" t="str">
        <f t="shared" ref="Q3:Q51" si="5">"TC_E4"&amp;"_"&amp;RIGHT(J3,5)</f>
        <v>TC_E4_01_01</v>
      </c>
      <c r="R3" s="140"/>
      <c r="S3" s="6" t="str">
        <f t="shared" ref="S3:S51" si="6">"TC_E5"&amp;"_"&amp;RIGHT(J3,5)</f>
        <v>TC_E5_01_01</v>
      </c>
      <c r="T3" s="140"/>
      <c r="U3" s="6" t="str">
        <f t="shared" ref="U3:U51" si="7">"TC_E5"&amp;"_"&amp;RIGHT(J3,5)</f>
        <v>TC_E5_01_01</v>
      </c>
      <c r="V3" s="140"/>
      <c r="W3" s="13"/>
      <c r="X3" s="13"/>
      <c r="Y3" s="13"/>
      <c r="Z3" s="13"/>
      <c r="AA3" s="13"/>
    </row>
    <row r="4" spans="1:27" x14ac:dyDescent="0.25">
      <c r="A4" s="142" t="b">
        <v>0</v>
      </c>
      <c r="B4" s="6">
        <f t="shared" si="1"/>
        <v>3</v>
      </c>
      <c r="C4" s="20" t="str">
        <f>_xlfn.XLOOKUP($D4,Tab_Def_Processes[Process_Name],Tab_Def_Processes[ID],,0,)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F_01_01</v>
      </c>
      <c r="K4" s="15" t="str">
        <f t="shared" si="2"/>
        <v>TC_E1_01_01</v>
      </c>
      <c r="L4" s="140"/>
      <c r="M4" s="15" t="str">
        <f t="shared" si="3"/>
        <v>TC_E2_01_01</v>
      </c>
      <c r="N4" s="140"/>
      <c r="O4" s="15" t="str">
        <f t="shared" si="4"/>
        <v>TC_E3_01_01</v>
      </c>
      <c r="P4" s="140"/>
      <c r="Q4" s="6" t="str">
        <f t="shared" si="5"/>
        <v>TC_E4_01_01</v>
      </c>
      <c r="R4" s="140"/>
      <c r="S4" s="6" t="str">
        <f t="shared" si="6"/>
        <v>TC_E5_01_01</v>
      </c>
      <c r="T4" s="140"/>
      <c r="U4" s="6" t="str">
        <f t="shared" si="7"/>
        <v>TC_E5_01_01</v>
      </c>
      <c r="V4" s="140"/>
      <c r="W4" s="13"/>
      <c r="X4" s="13"/>
      <c r="Y4" s="13"/>
      <c r="Z4" s="13"/>
      <c r="AA4" s="13"/>
    </row>
    <row r="5" spans="1:27" x14ac:dyDescent="0.25">
      <c r="A5" s="142" t="b">
        <v>0</v>
      </c>
      <c r="B5" s="6">
        <f>ROW()-1</f>
        <v>4</v>
      </c>
      <c r="C5" s="20" t="str">
        <f>_xlfn.XLOOKUP($D5,Tab_Def_Processes[Process_Name],Tab_Def_Processes[ID],,0,)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F_01_01</v>
      </c>
      <c r="K5" s="15" t="str">
        <f t="shared" si="2"/>
        <v>TC_E1_01_01</v>
      </c>
      <c r="L5" s="140"/>
      <c r="M5" s="15" t="str">
        <f t="shared" si="3"/>
        <v>TC_E2_01_01</v>
      </c>
      <c r="N5" s="140"/>
      <c r="O5" s="15" t="str">
        <f t="shared" si="4"/>
        <v>TC_E3_01_01</v>
      </c>
      <c r="P5" s="140"/>
      <c r="Q5" s="6" t="str">
        <f t="shared" si="5"/>
        <v>TC_E4_01_01</v>
      </c>
      <c r="R5" s="140"/>
      <c r="S5" s="6" t="str">
        <f t="shared" si="6"/>
        <v>TC_E5_01_01</v>
      </c>
      <c r="T5" s="140"/>
      <c r="U5" s="6" t="str">
        <f t="shared" si="7"/>
        <v>TC_E5_01_01</v>
      </c>
      <c r="V5" s="140"/>
      <c r="W5" s="13"/>
      <c r="X5" s="13"/>
      <c r="Y5" s="13"/>
      <c r="Z5" s="13"/>
      <c r="AA5" s="13"/>
    </row>
    <row r="6" spans="1:27" x14ac:dyDescent="0.25">
      <c r="A6" s="142" t="b">
        <v>0</v>
      </c>
      <c r="B6" s="6">
        <f t="shared" si="1"/>
        <v>5</v>
      </c>
      <c r="C6" s="20" t="str">
        <f>_xlfn.XLOOKUP($D6,Tab_Def_Processes[Process_Name],Tab_Def_Processes[ID],,0,)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F_01_01</v>
      </c>
      <c r="K6" s="15" t="str">
        <f t="shared" si="2"/>
        <v>TC_E1_01_01</v>
      </c>
      <c r="L6" s="140"/>
      <c r="M6" s="15" t="str">
        <f t="shared" si="3"/>
        <v>TC_E2_01_01</v>
      </c>
      <c r="N6" s="140"/>
      <c r="O6" s="15" t="str">
        <f t="shared" si="4"/>
        <v>TC_E3_01_01</v>
      </c>
      <c r="P6" s="140"/>
      <c r="Q6" s="6" t="str">
        <f t="shared" si="5"/>
        <v>TC_E4_01_01</v>
      </c>
      <c r="R6" s="140"/>
      <c r="S6" s="6" t="str">
        <f t="shared" si="6"/>
        <v>TC_E5_01_01</v>
      </c>
      <c r="T6" s="140"/>
      <c r="U6" s="6" t="str">
        <f t="shared" si="7"/>
        <v>TC_E5_01_01</v>
      </c>
      <c r="V6" s="140"/>
      <c r="W6" s="13"/>
      <c r="X6" s="13"/>
      <c r="Y6" s="13"/>
      <c r="Z6" s="13"/>
      <c r="AA6" s="13"/>
    </row>
    <row r="7" spans="1:27" x14ac:dyDescent="0.25">
      <c r="A7" s="142" t="b">
        <v>0</v>
      </c>
      <c r="B7" s="6">
        <f t="shared" si="1"/>
        <v>6</v>
      </c>
      <c r="C7" s="20" t="str">
        <f>_xlfn.XLOOKUP($D7,Tab_Def_Processes[Process_Name],Tab_Def_Processes[ID],,0,)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F_01_01</v>
      </c>
      <c r="K7" s="15" t="str">
        <f t="shared" si="2"/>
        <v>TC_E1_01_01</v>
      </c>
      <c r="L7" s="140"/>
      <c r="M7" s="15" t="str">
        <f t="shared" si="3"/>
        <v>TC_E2_01_01</v>
      </c>
      <c r="N7" s="140"/>
      <c r="O7" s="15" t="str">
        <f t="shared" si="4"/>
        <v>TC_E3_01_01</v>
      </c>
      <c r="P7" s="140"/>
      <c r="Q7" s="6" t="str">
        <f t="shared" si="5"/>
        <v>TC_E4_01_01</v>
      </c>
      <c r="R7" s="140"/>
      <c r="S7" s="6" t="str">
        <f t="shared" si="6"/>
        <v>TC_E5_01_01</v>
      </c>
      <c r="T7" s="140"/>
      <c r="U7" s="6" t="str">
        <f t="shared" si="7"/>
        <v>TC_E5_01_01</v>
      </c>
      <c r="V7" s="140"/>
      <c r="W7" s="13"/>
      <c r="X7" s="13"/>
      <c r="Y7" s="13"/>
      <c r="Z7" s="13"/>
      <c r="AA7" s="13"/>
    </row>
    <row r="8" spans="1:27" x14ac:dyDescent="0.25">
      <c r="A8" s="142" t="b">
        <v>0</v>
      </c>
      <c r="B8" s="6">
        <f t="shared" si="1"/>
        <v>7</v>
      </c>
      <c r="C8" s="20" t="str">
        <f>_xlfn.XLOOKUP($D8,Tab_Def_Processes[Process_Name],Tab_Def_Processes[ID],,0,)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F_01_01</v>
      </c>
      <c r="K8" s="15" t="str">
        <f t="shared" si="2"/>
        <v>TC_E1_01_01</v>
      </c>
      <c r="L8" s="140"/>
      <c r="M8" s="15" t="str">
        <f t="shared" si="3"/>
        <v>TC_E2_01_01</v>
      </c>
      <c r="N8" s="140"/>
      <c r="O8" s="15" t="str">
        <f t="shared" si="4"/>
        <v>TC_E3_01_01</v>
      </c>
      <c r="P8" s="140"/>
      <c r="Q8" s="6" t="str">
        <f t="shared" si="5"/>
        <v>TC_E4_01_01</v>
      </c>
      <c r="R8" s="140"/>
      <c r="S8" s="6" t="str">
        <f t="shared" si="6"/>
        <v>TC_E5_01_01</v>
      </c>
      <c r="T8" s="140"/>
      <c r="U8" s="6" t="str">
        <f t="shared" si="7"/>
        <v>TC_E5_01_01</v>
      </c>
      <c r="V8" s="140"/>
      <c r="W8" s="13"/>
      <c r="X8" s="13"/>
      <c r="Y8" s="13"/>
      <c r="Z8" s="13"/>
      <c r="AA8" s="13"/>
    </row>
    <row r="9" spans="1:27" x14ac:dyDescent="0.25">
      <c r="A9" s="142" t="b">
        <v>0</v>
      </c>
      <c r="B9" s="6">
        <f t="shared" si="1"/>
        <v>8</v>
      </c>
      <c r="C9" s="20" t="str">
        <f>_xlfn.XLOOKUP($D9,Tab_Def_Processes[Process_Name],Tab_Def_Processes[ID],,0,)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F_01_01</v>
      </c>
      <c r="K9" s="15" t="str">
        <f t="shared" si="2"/>
        <v>TC_E1_01_01</v>
      </c>
      <c r="L9" s="140"/>
      <c r="M9" s="15" t="str">
        <f t="shared" si="3"/>
        <v>TC_E2_01_01</v>
      </c>
      <c r="N9" s="140"/>
      <c r="O9" s="15" t="str">
        <f t="shared" si="4"/>
        <v>TC_E3_01_01</v>
      </c>
      <c r="P9" s="140"/>
      <c r="Q9" s="6" t="str">
        <f t="shared" si="5"/>
        <v>TC_E4_01_01</v>
      </c>
      <c r="R9" s="140"/>
      <c r="S9" s="6" t="str">
        <f t="shared" si="6"/>
        <v>TC_E5_01_01</v>
      </c>
      <c r="T9" s="140"/>
      <c r="U9" s="6" t="str">
        <f t="shared" si="7"/>
        <v>TC_E5_01_01</v>
      </c>
      <c r="V9" s="140"/>
      <c r="W9" s="13"/>
      <c r="X9" s="13"/>
      <c r="Y9" s="13"/>
      <c r="Z9" s="13"/>
      <c r="AA9" s="13"/>
    </row>
    <row r="10" spans="1:27" x14ac:dyDescent="0.25">
      <c r="A10" s="142" t="b">
        <v>0</v>
      </c>
      <c r="B10" s="6">
        <f t="shared" si="1"/>
        <v>9</v>
      </c>
      <c r="C10" s="20" t="str">
        <f>_xlfn.XLOOKUP($D10,Tab_Def_Processes[Process_Name],Tab_Def_Processes[ID],,0,)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F_01_01</v>
      </c>
      <c r="K10" s="15" t="str">
        <f t="shared" si="2"/>
        <v>TC_E1_01_01</v>
      </c>
      <c r="L10" s="140"/>
      <c r="M10" s="15" t="str">
        <f t="shared" si="3"/>
        <v>TC_E2_01_01</v>
      </c>
      <c r="N10" s="140"/>
      <c r="O10" s="15" t="str">
        <f t="shared" si="4"/>
        <v>TC_E3_01_01</v>
      </c>
      <c r="P10" s="140"/>
      <c r="Q10" s="6" t="str">
        <f t="shared" si="5"/>
        <v>TC_E4_01_01</v>
      </c>
      <c r="R10" s="140"/>
      <c r="S10" s="6" t="str">
        <f t="shared" si="6"/>
        <v>TC_E5_01_01</v>
      </c>
      <c r="T10" s="140"/>
      <c r="U10" s="6" t="str">
        <f t="shared" si="7"/>
        <v>TC_E5_01_01</v>
      </c>
      <c r="V10" s="140"/>
      <c r="W10" s="13"/>
      <c r="X10" s="13"/>
      <c r="Y10" s="13"/>
      <c r="Z10" s="13"/>
      <c r="AA10" s="13"/>
    </row>
    <row r="11" spans="1:27" x14ac:dyDescent="0.25">
      <c r="A11" s="142" t="b">
        <v>0</v>
      </c>
      <c r="B11" s="6">
        <f t="shared" si="1"/>
        <v>10</v>
      </c>
      <c r="C11" s="20" t="str">
        <f>_xlfn.XLOOKUP($D11,Tab_Def_Processes[Process_Name],Tab_Def_Processes[ID],,0,)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F_01_01</v>
      </c>
      <c r="K11" s="15" t="str">
        <f t="shared" si="2"/>
        <v>TC_E1_01_01</v>
      </c>
      <c r="L11" s="140"/>
      <c r="M11" s="15" t="str">
        <f t="shared" si="3"/>
        <v>TC_E2_01_01</v>
      </c>
      <c r="N11" s="140"/>
      <c r="O11" s="15" t="str">
        <f t="shared" si="4"/>
        <v>TC_E3_01_01</v>
      </c>
      <c r="P11" s="140"/>
      <c r="Q11" s="6" t="str">
        <f t="shared" si="5"/>
        <v>TC_E4_01_01</v>
      </c>
      <c r="R11" s="140"/>
      <c r="S11" s="6" t="str">
        <f t="shared" si="6"/>
        <v>TC_E5_01_01</v>
      </c>
      <c r="T11" s="140"/>
      <c r="U11" s="6" t="str">
        <f t="shared" si="7"/>
        <v>TC_E5_01_01</v>
      </c>
      <c r="V11" s="140"/>
      <c r="W11" s="13"/>
      <c r="X11" s="13"/>
      <c r="Y11" s="13"/>
      <c r="Z11" s="13"/>
      <c r="AA11" s="13"/>
    </row>
    <row r="12" spans="1:27" x14ac:dyDescent="0.25">
      <c r="A12" s="142" t="b">
        <v>0</v>
      </c>
      <c r="B12" s="6">
        <f t="shared" si="1"/>
        <v>11</v>
      </c>
      <c r="C12" s="20" t="str">
        <f>_xlfn.XLOOKUP($D12,Tab_Def_Processes[Process_Name],Tab_Def_Processes[ID],,0,)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F_01_01</v>
      </c>
      <c r="K12" s="15" t="str">
        <f t="shared" si="2"/>
        <v>TC_E1_01_01</v>
      </c>
      <c r="L12" s="140"/>
      <c r="M12" s="15" t="str">
        <f t="shared" si="3"/>
        <v>TC_E2_01_01</v>
      </c>
      <c r="N12" s="140"/>
      <c r="O12" s="15" t="str">
        <f t="shared" si="4"/>
        <v>TC_E3_01_01</v>
      </c>
      <c r="P12" s="140"/>
      <c r="Q12" s="6" t="str">
        <f t="shared" si="5"/>
        <v>TC_E4_01_01</v>
      </c>
      <c r="R12" s="140"/>
      <c r="S12" s="6" t="str">
        <f t="shared" si="6"/>
        <v>TC_E5_01_01</v>
      </c>
      <c r="T12" s="140"/>
      <c r="U12" s="6" t="str">
        <f t="shared" si="7"/>
        <v>TC_E5_01_01</v>
      </c>
      <c r="V12" s="140"/>
      <c r="W12" s="13"/>
      <c r="X12" s="13"/>
      <c r="Y12" s="13"/>
      <c r="Z12" s="13"/>
      <c r="AA12" s="13"/>
    </row>
    <row r="13" spans="1:27" x14ac:dyDescent="0.25">
      <c r="A13" s="142" t="b">
        <v>0</v>
      </c>
      <c r="B13" s="6">
        <f>ROW()-1</f>
        <v>12</v>
      </c>
      <c r="C13" s="20" t="str">
        <f>_xlfn.XLOOKUP($D13,Tab_Def_Processes[Process_Name],Tab_Def_Processes[ID],,0,)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F_01_01</v>
      </c>
      <c r="K13" s="15" t="str">
        <f t="shared" si="2"/>
        <v>TC_E1_01_01</v>
      </c>
      <c r="L13" s="140"/>
      <c r="M13" s="15" t="str">
        <f t="shared" si="3"/>
        <v>TC_E2_01_01</v>
      </c>
      <c r="N13" s="140"/>
      <c r="O13" s="15" t="str">
        <f t="shared" si="4"/>
        <v>TC_E3_01_01</v>
      </c>
      <c r="P13" s="140"/>
      <c r="Q13" s="6" t="str">
        <f t="shared" si="5"/>
        <v>TC_E4_01_01</v>
      </c>
      <c r="R13" s="140"/>
      <c r="S13" s="6" t="str">
        <f t="shared" si="6"/>
        <v>TC_E5_01_01</v>
      </c>
      <c r="T13" s="140"/>
      <c r="U13" s="6" t="str">
        <f t="shared" si="7"/>
        <v>TC_E5_01_01</v>
      </c>
      <c r="V13" s="140"/>
      <c r="W13" s="13"/>
      <c r="X13" s="13"/>
      <c r="Y13" s="13"/>
      <c r="Z13" s="13"/>
      <c r="AA13" s="13"/>
    </row>
    <row r="14" spans="1:27" x14ac:dyDescent="0.25">
      <c r="A14" s="142" t="b">
        <v>0</v>
      </c>
      <c r="B14" s="6">
        <f t="shared" si="1"/>
        <v>13</v>
      </c>
      <c r="C14" s="20" t="str">
        <f>_xlfn.XLOOKUP($D14,Tab_Def_Processes[Process_Name],Tab_Def_Processes[ID],,0,)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F_01_01</v>
      </c>
      <c r="K14" s="15" t="str">
        <f t="shared" si="2"/>
        <v>TC_E1_01_01</v>
      </c>
      <c r="L14" s="140"/>
      <c r="M14" s="15" t="str">
        <f t="shared" si="3"/>
        <v>TC_E2_01_01</v>
      </c>
      <c r="N14" s="140"/>
      <c r="O14" s="15" t="str">
        <f t="shared" si="4"/>
        <v>TC_E3_01_01</v>
      </c>
      <c r="P14" s="140"/>
      <c r="Q14" s="6" t="str">
        <f t="shared" si="5"/>
        <v>TC_E4_01_01</v>
      </c>
      <c r="R14" s="140"/>
      <c r="S14" s="6" t="str">
        <f t="shared" si="6"/>
        <v>TC_E5_01_01</v>
      </c>
      <c r="T14" s="140"/>
      <c r="U14" s="6" t="str">
        <f t="shared" si="7"/>
        <v>TC_E5_01_01</v>
      </c>
      <c r="V14" s="140"/>
      <c r="W14" s="13"/>
      <c r="X14" s="13"/>
      <c r="Y14" s="13"/>
      <c r="Z14" s="13"/>
      <c r="AA14" s="13"/>
    </row>
    <row r="15" spans="1:27" x14ac:dyDescent="0.25">
      <c r="A15" s="142" t="b">
        <v>0</v>
      </c>
      <c r="B15" s="6">
        <f t="shared" si="1"/>
        <v>14</v>
      </c>
      <c r="C15" s="20" t="str">
        <f>_xlfn.XLOOKUP($D15,Tab_Def_Processes[Process_Name],Tab_Def_Processes[ID],,0,)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F_01_01</v>
      </c>
      <c r="K15" s="15" t="str">
        <f t="shared" si="2"/>
        <v>TC_E1_01_01</v>
      </c>
      <c r="L15" s="140"/>
      <c r="M15" s="15" t="str">
        <f t="shared" si="3"/>
        <v>TC_E2_01_01</v>
      </c>
      <c r="N15" s="140"/>
      <c r="O15" s="15" t="str">
        <f t="shared" si="4"/>
        <v>TC_E3_01_01</v>
      </c>
      <c r="P15" s="140"/>
      <c r="Q15" s="6" t="str">
        <f t="shared" si="5"/>
        <v>TC_E4_01_01</v>
      </c>
      <c r="R15" s="140"/>
      <c r="S15" s="6" t="str">
        <f t="shared" si="6"/>
        <v>TC_E5_01_01</v>
      </c>
      <c r="T15" s="140"/>
      <c r="U15" s="6" t="str">
        <f t="shared" si="7"/>
        <v>TC_E5_01_01</v>
      </c>
      <c r="V15" s="140"/>
      <c r="W15" s="13"/>
      <c r="X15" s="13"/>
      <c r="Y15" s="13"/>
      <c r="Z15" s="13"/>
      <c r="AA15" s="13"/>
    </row>
    <row r="16" spans="1:27" x14ac:dyDescent="0.25">
      <c r="A16" s="142" t="b">
        <v>0</v>
      </c>
      <c r="B16" s="6">
        <f t="shared" si="1"/>
        <v>15</v>
      </c>
      <c r="C16" s="20" t="str">
        <f>_xlfn.XLOOKUP($D16,Tab_Def_Processes[Process_Name],Tab_Def_Processes[ID],,0,)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F_01_01</v>
      </c>
      <c r="K16" s="15" t="str">
        <f t="shared" si="2"/>
        <v>TC_E1_01_01</v>
      </c>
      <c r="L16" s="140"/>
      <c r="M16" s="15" t="str">
        <f t="shared" si="3"/>
        <v>TC_E2_01_01</v>
      </c>
      <c r="N16" s="140"/>
      <c r="O16" s="15" t="str">
        <f t="shared" si="4"/>
        <v>TC_E3_01_01</v>
      </c>
      <c r="P16" s="140"/>
      <c r="Q16" s="6" t="str">
        <f t="shared" si="5"/>
        <v>TC_E4_01_01</v>
      </c>
      <c r="R16" s="140"/>
      <c r="S16" s="6" t="str">
        <f t="shared" si="6"/>
        <v>TC_E5_01_01</v>
      </c>
      <c r="T16" s="140"/>
      <c r="U16" s="6" t="str">
        <f t="shared" si="7"/>
        <v>TC_E5_01_01</v>
      </c>
      <c r="V16" s="140"/>
      <c r="W16" s="13"/>
      <c r="X16" s="13"/>
      <c r="Y16" s="13"/>
      <c r="Z16" s="13"/>
      <c r="AA16" s="13"/>
    </row>
    <row r="17" spans="1:27" x14ac:dyDescent="0.25">
      <c r="A17" s="142" t="b">
        <v>0</v>
      </c>
      <c r="B17" s="6">
        <f t="shared" si="1"/>
        <v>16</v>
      </c>
      <c r="C17" s="20" t="str">
        <f>_xlfn.XLOOKUP($D17,Tab_Def_Processes[Process_Name],Tab_Def_Processes[ID],,0,)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F_01_01</v>
      </c>
      <c r="K17" s="15" t="str">
        <f t="shared" si="2"/>
        <v>TC_E1_01_01</v>
      </c>
      <c r="L17" s="140"/>
      <c r="M17" s="15" t="str">
        <f t="shared" si="3"/>
        <v>TC_E2_01_01</v>
      </c>
      <c r="N17" s="140"/>
      <c r="O17" s="15" t="str">
        <f t="shared" si="4"/>
        <v>TC_E3_01_01</v>
      </c>
      <c r="P17" s="140"/>
      <c r="Q17" s="6" t="str">
        <f t="shared" si="5"/>
        <v>TC_E4_01_01</v>
      </c>
      <c r="R17" s="140"/>
      <c r="S17" s="6" t="str">
        <f t="shared" si="6"/>
        <v>TC_E5_01_01</v>
      </c>
      <c r="T17" s="140"/>
      <c r="U17" s="6" t="str">
        <f t="shared" si="7"/>
        <v>TC_E5_01_01</v>
      </c>
      <c r="V17" s="140"/>
      <c r="W17" s="13"/>
      <c r="X17" s="13"/>
      <c r="Y17" s="13"/>
      <c r="Z17" s="13"/>
      <c r="AA17" s="13"/>
    </row>
    <row r="18" spans="1:27" x14ac:dyDescent="0.25">
      <c r="A18" s="142" t="b">
        <v>0</v>
      </c>
      <c r="B18" s="6">
        <f t="shared" si="1"/>
        <v>17</v>
      </c>
      <c r="C18" s="20" t="str">
        <f>_xlfn.XLOOKUP($D18,Tab_Def_Processes[Process_Name],Tab_Def_Processes[ID],,0,)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F_01_01</v>
      </c>
      <c r="K18" s="15" t="str">
        <f t="shared" si="2"/>
        <v>TC_E1_01_01</v>
      </c>
      <c r="L18" s="140"/>
      <c r="M18" s="15" t="str">
        <f t="shared" si="3"/>
        <v>TC_E2_01_01</v>
      </c>
      <c r="N18" s="140"/>
      <c r="O18" s="15" t="str">
        <f t="shared" si="4"/>
        <v>TC_E3_01_01</v>
      </c>
      <c r="P18" s="140"/>
      <c r="Q18" s="6" t="str">
        <f t="shared" si="5"/>
        <v>TC_E4_01_01</v>
      </c>
      <c r="R18" s="140"/>
      <c r="S18" s="6" t="str">
        <f t="shared" si="6"/>
        <v>TC_E5_01_01</v>
      </c>
      <c r="T18" s="140"/>
      <c r="U18" s="6" t="str">
        <f t="shared" si="7"/>
        <v>TC_E5_01_01</v>
      </c>
      <c r="V18" s="140"/>
      <c r="W18" s="191"/>
      <c r="X18" s="13"/>
      <c r="Y18" s="13"/>
      <c r="Z18" s="13"/>
      <c r="AA18" s="13"/>
    </row>
    <row r="19" spans="1:27" x14ac:dyDescent="0.25">
      <c r="A19" s="142" t="b">
        <v>0</v>
      </c>
      <c r="B19" s="6">
        <f t="shared" si="1"/>
        <v>18</v>
      </c>
      <c r="C19" s="20" t="str">
        <f>_xlfn.XLOOKUP($D19,Tab_Def_Processes[Process_Name],Tab_Def_Processes[ID],,0,)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F_01_01</v>
      </c>
      <c r="K19" s="15" t="str">
        <f t="shared" si="2"/>
        <v>TC_E1_01_01</v>
      </c>
      <c r="L19" s="140"/>
      <c r="M19" s="15" t="str">
        <f t="shared" si="3"/>
        <v>TC_E2_01_01</v>
      </c>
      <c r="N19" s="140"/>
      <c r="O19" s="15" t="str">
        <f t="shared" si="4"/>
        <v>TC_E3_01_01</v>
      </c>
      <c r="P19" s="140"/>
      <c r="Q19" s="6" t="str">
        <f t="shared" si="5"/>
        <v>TC_E4_01_01</v>
      </c>
      <c r="R19" s="140"/>
      <c r="S19" s="6" t="str">
        <f t="shared" si="6"/>
        <v>TC_E5_01_01</v>
      </c>
      <c r="T19" s="140"/>
      <c r="U19" s="6" t="str">
        <f t="shared" si="7"/>
        <v>TC_E5_01_01</v>
      </c>
      <c r="V19" s="140"/>
      <c r="W19" s="13"/>
      <c r="X19" s="13"/>
      <c r="Y19" s="13"/>
      <c r="Z19" s="13"/>
      <c r="AA19" s="13"/>
    </row>
    <row r="20" spans="1:27" x14ac:dyDescent="0.25">
      <c r="A20" s="142" t="b">
        <v>0</v>
      </c>
      <c r="B20" s="6">
        <f t="shared" si="1"/>
        <v>19</v>
      </c>
      <c r="C20" s="20" t="str">
        <f>_xlfn.XLOOKUP($D20,Tab_Def_Processes[Process_Name],Tab_Def_Processes[ID],,0,)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F_01_01</v>
      </c>
      <c r="K20" s="15" t="str">
        <f t="shared" si="2"/>
        <v>TC_E1_01_01</v>
      </c>
      <c r="L20" s="140"/>
      <c r="M20" s="15" t="str">
        <f t="shared" si="3"/>
        <v>TC_E2_01_01</v>
      </c>
      <c r="N20" s="140"/>
      <c r="O20" s="15" t="str">
        <f t="shared" si="4"/>
        <v>TC_E3_01_01</v>
      </c>
      <c r="P20" s="140"/>
      <c r="Q20" s="6" t="str">
        <f t="shared" si="5"/>
        <v>TC_E4_01_01</v>
      </c>
      <c r="R20" s="140"/>
      <c r="S20" s="6" t="str">
        <f t="shared" si="6"/>
        <v>TC_E5_01_01</v>
      </c>
      <c r="T20" s="140"/>
      <c r="U20" s="6" t="str">
        <f t="shared" si="7"/>
        <v>TC_E5_01_01</v>
      </c>
      <c r="V20" s="140"/>
      <c r="W20" s="13"/>
      <c r="X20" s="13"/>
      <c r="Y20" s="13"/>
      <c r="Z20" s="13"/>
      <c r="AA20" s="13"/>
    </row>
    <row r="21" spans="1:27" x14ac:dyDescent="0.25">
      <c r="A21" s="142" t="b">
        <v>0</v>
      </c>
      <c r="B21" s="6">
        <f t="shared" si="1"/>
        <v>20</v>
      </c>
      <c r="C21" s="20" t="str">
        <f>_xlfn.XLOOKUP($D21,Tab_Def_Processes[Process_Name],Tab_Def_Processes[ID],,0,)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F_01_01</v>
      </c>
      <c r="K21" s="15" t="str">
        <f t="shared" si="2"/>
        <v>TC_E1_01_01</v>
      </c>
      <c r="L21" s="140"/>
      <c r="M21" s="15" t="str">
        <f t="shared" si="3"/>
        <v>TC_E2_01_01</v>
      </c>
      <c r="N21" s="140"/>
      <c r="O21" s="15" t="str">
        <f t="shared" si="4"/>
        <v>TC_E3_01_01</v>
      </c>
      <c r="P21" s="140"/>
      <c r="Q21" s="6" t="str">
        <f t="shared" si="5"/>
        <v>TC_E4_01_01</v>
      </c>
      <c r="R21" s="140"/>
      <c r="S21" s="6" t="str">
        <f t="shared" si="6"/>
        <v>TC_E5_01_01</v>
      </c>
      <c r="T21" s="140"/>
      <c r="U21" s="6" t="str">
        <f t="shared" si="7"/>
        <v>TC_E5_01_01</v>
      </c>
      <c r="V21" s="140"/>
      <c r="W21" s="13"/>
      <c r="X21" s="13"/>
      <c r="Y21" s="13"/>
      <c r="Z21" s="13"/>
      <c r="AA21" s="13"/>
    </row>
    <row r="22" spans="1:27" x14ac:dyDescent="0.25">
      <c r="A22" s="142" t="b">
        <v>0</v>
      </c>
      <c r="B22" s="6">
        <f t="shared" si="1"/>
        <v>21</v>
      </c>
      <c r="C22" s="20" t="str">
        <f>_xlfn.XLOOKUP($D22,Tab_Def_Processes[Process_Name],Tab_Def_Processes[ID],,0,)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F_01_01</v>
      </c>
      <c r="K22" s="15" t="str">
        <f t="shared" si="2"/>
        <v>TC_E1_01_01</v>
      </c>
      <c r="L22" s="140"/>
      <c r="M22" s="15" t="str">
        <f t="shared" si="3"/>
        <v>TC_E2_01_01</v>
      </c>
      <c r="N22" s="140"/>
      <c r="O22" s="15" t="str">
        <f t="shared" si="4"/>
        <v>TC_E3_01_01</v>
      </c>
      <c r="P22" s="140"/>
      <c r="Q22" s="6" t="str">
        <f t="shared" si="5"/>
        <v>TC_E4_01_01</v>
      </c>
      <c r="R22" s="140"/>
      <c r="S22" s="6" t="str">
        <f t="shared" si="6"/>
        <v>TC_E5_01_01</v>
      </c>
      <c r="T22" s="140"/>
      <c r="U22" s="6" t="str">
        <f t="shared" si="7"/>
        <v>TC_E5_01_01</v>
      </c>
      <c r="V22" s="140"/>
      <c r="W22" s="13"/>
      <c r="X22" s="13"/>
      <c r="Y22" s="13"/>
      <c r="Z22" s="13"/>
      <c r="AA22" s="13"/>
    </row>
    <row r="23" spans="1:27" x14ac:dyDescent="0.25">
      <c r="A23" s="142" t="b">
        <v>0</v>
      </c>
      <c r="B23" s="6">
        <f t="shared" si="1"/>
        <v>22</v>
      </c>
      <c r="C23" s="20" t="str">
        <f>_xlfn.XLOOKUP($D23,Tab_Def_Processes[Process_Name],Tab_Def_Processes[ID],,0,)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F_01_01</v>
      </c>
      <c r="K23" s="15" t="str">
        <f t="shared" si="2"/>
        <v>TC_E1_01_01</v>
      </c>
      <c r="L23" s="140"/>
      <c r="M23" s="15" t="str">
        <f t="shared" si="3"/>
        <v>TC_E2_01_01</v>
      </c>
      <c r="N23" s="140"/>
      <c r="O23" s="15" t="str">
        <f t="shared" si="4"/>
        <v>TC_E3_01_01</v>
      </c>
      <c r="P23" s="140"/>
      <c r="Q23" s="6" t="str">
        <f t="shared" si="5"/>
        <v>TC_E4_01_01</v>
      </c>
      <c r="R23" s="140"/>
      <c r="S23" s="6" t="str">
        <f t="shared" si="6"/>
        <v>TC_E5_01_01</v>
      </c>
      <c r="T23" s="140"/>
      <c r="U23" s="6" t="str">
        <f t="shared" si="7"/>
        <v>TC_E5_01_01</v>
      </c>
      <c r="V23" s="140"/>
      <c r="W23" s="13"/>
      <c r="X23" s="13"/>
      <c r="Y23" s="13"/>
      <c r="Z23" s="13"/>
      <c r="AA23" s="13"/>
    </row>
    <row r="24" spans="1:27" x14ac:dyDescent="0.25">
      <c r="A24" s="142" t="b">
        <v>0</v>
      </c>
      <c r="B24" s="6">
        <f t="shared" si="1"/>
        <v>23</v>
      </c>
      <c r="C24" s="20" t="str">
        <f>_xlfn.XLOOKUP($D24,Tab_Def_Processes[Process_Name],Tab_Def_Processes[ID],,0,)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F_01_01</v>
      </c>
      <c r="K24" s="15" t="str">
        <f t="shared" si="2"/>
        <v>TC_E1_01_01</v>
      </c>
      <c r="L24" s="140"/>
      <c r="M24" s="15" t="str">
        <f t="shared" si="3"/>
        <v>TC_E2_01_01</v>
      </c>
      <c r="N24" s="140"/>
      <c r="O24" s="15" t="str">
        <f t="shared" si="4"/>
        <v>TC_E3_01_01</v>
      </c>
      <c r="P24" s="140"/>
      <c r="Q24" s="6" t="str">
        <f t="shared" si="5"/>
        <v>TC_E4_01_01</v>
      </c>
      <c r="R24" s="140"/>
      <c r="S24" s="6" t="str">
        <f t="shared" si="6"/>
        <v>TC_E5_01_01</v>
      </c>
      <c r="T24" s="140"/>
      <c r="U24" s="6" t="str">
        <f t="shared" si="7"/>
        <v>TC_E5_01_01</v>
      </c>
      <c r="V24" s="140"/>
      <c r="W24" s="13"/>
      <c r="X24" s="13"/>
      <c r="Y24" s="13"/>
      <c r="Z24" s="13"/>
      <c r="AA24" s="13"/>
    </row>
    <row r="25" spans="1:27" x14ac:dyDescent="0.25">
      <c r="A25" s="142" t="b">
        <v>0</v>
      </c>
      <c r="B25" s="6">
        <f>ROW()-1</f>
        <v>24</v>
      </c>
      <c r="C25" s="20" t="str">
        <f>_xlfn.XLOOKUP($D25,Tab_Def_Processes[Process_Name],Tab_Def_Processes[ID],,0,)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F_01_01</v>
      </c>
      <c r="K25" s="15" t="str">
        <f t="shared" si="2"/>
        <v>TC_E1_01_01</v>
      </c>
      <c r="L25" s="140"/>
      <c r="M25" s="15" t="str">
        <f t="shared" si="3"/>
        <v>TC_E2_01_01</v>
      </c>
      <c r="N25" s="140"/>
      <c r="O25" s="15" t="str">
        <f t="shared" si="4"/>
        <v>TC_E3_01_01</v>
      </c>
      <c r="P25" s="140"/>
      <c r="Q25" s="6" t="str">
        <f t="shared" si="5"/>
        <v>TC_E4_01_01</v>
      </c>
      <c r="R25" s="140"/>
      <c r="S25" s="6" t="str">
        <f t="shared" si="6"/>
        <v>TC_E5_01_01</v>
      </c>
      <c r="T25" s="140"/>
      <c r="U25" s="6" t="str">
        <f t="shared" si="7"/>
        <v>TC_E5_01_01</v>
      </c>
      <c r="V25" s="140"/>
      <c r="W25" s="13"/>
      <c r="X25" s="13"/>
      <c r="Y25" s="13"/>
      <c r="Z25" s="13"/>
      <c r="AA25" s="13"/>
    </row>
    <row r="26" spans="1:27" x14ac:dyDescent="0.25">
      <c r="A26" s="142" t="b">
        <v>0</v>
      </c>
      <c r="B26" s="6">
        <f t="shared" si="1"/>
        <v>25</v>
      </c>
      <c r="C26" s="20" t="str">
        <f>_xlfn.XLOOKUP($D26,Tab_Def_Processes[Process_Name],Tab_Def_Processes[ID],,0,)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F_01_01</v>
      </c>
      <c r="K26" s="15" t="str">
        <f t="shared" si="2"/>
        <v>TC_E1_01_01</v>
      </c>
      <c r="L26" s="140"/>
      <c r="M26" s="15" t="str">
        <f t="shared" si="3"/>
        <v>TC_E2_01_01</v>
      </c>
      <c r="N26" s="140"/>
      <c r="O26" s="15" t="str">
        <f t="shared" si="4"/>
        <v>TC_E3_01_01</v>
      </c>
      <c r="P26" s="140"/>
      <c r="Q26" s="6" t="str">
        <f t="shared" si="5"/>
        <v>TC_E4_01_01</v>
      </c>
      <c r="R26" s="140"/>
      <c r="S26" s="6" t="str">
        <f t="shared" si="6"/>
        <v>TC_E5_01_01</v>
      </c>
      <c r="T26" s="140"/>
      <c r="U26" s="6" t="str">
        <f t="shared" si="7"/>
        <v>TC_E5_01_01</v>
      </c>
      <c r="V26" s="140"/>
      <c r="W26" s="13"/>
      <c r="X26" s="13"/>
      <c r="Y26" s="13"/>
      <c r="Z26" s="13"/>
      <c r="AA26" s="13"/>
    </row>
    <row r="27" spans="1:27" x14ac:dyDescent="0.25">
      <c r="A27" s="142" t="b">
        <v>0</v>
      </c>
      <c r="B27" s="6">
        <f t="shared" si="1"/>
        <v>26</v>
      </c>
      <c r="C27" s="20" t="str">
        <f>_xlfn.XLOOKUP($D27,Tab_Def_Processes[Process_Name],Tab_Def_Processes[ID],,0,)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F_01_01</v>
      </c>
      <c r="K27" s="15" t="str">
        <f t="shared" si="2"/>
        <v>TC_E1_01_01</v>
      </c>
      <c r="L27" s="140"/>
      <c r="M27" s="15" t="str">
        <f t="shared" si="3"/>
        <v>TC_E2_01_01</v>
      </c>
      <c r="N27" s="140"/>
      <c r="O27" s="15" t="str">
        <f t="shared" si="4"/>
        <v>TC_E3_01_01</v>
      </c>
      <c r="P27" s="140"/>
      <c r="Q27" s="6" t="str">
        <f t="shared" si="5"/>
        <v>TC_E4_01_01</v>
      </c>
      <c r="R27" s="140"/>
      <c r="S27" s="6" t="str">
        <f t="shared" si="6"/>
        <v>TC_E5_01_01</v>
      </c>
      <c r="T27" s="140"/>
      <c r="U27" s="6" t="str">
        <f t="shared" si="7"/>
        <v>TC_E5_01_01</v>
      </c>
      <c r="V27" s="140"/>
      <c r="W27" s="13"/>
      <c r="X27" s="13"/>
      <c r="Y27" s="13"/>
      <c r="Z27" s="13"/>
      <c r="AA27" s="13"/>
    </row>
    <row r="28" spans="1:27" x14ac:dyDescent="0.25">
      <c r="A28" s="142" t="b">
        <v>0</v>
      </c>
      <c r="B28" s="6">
        <f t="shared" si="1"/>
        <v>27</v>
      </c>
      <c r="C28" s="20" t="str">
        <f>_xlfn.XLOOKUP($D28,Tab_Def_Processes[Process_Name],Tab_Def_Processes[ID],,0,)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F_01_01</v>
      </c>
      <c r="K28" s="15" t="str">
        <f t="shared" si="2"/>
        <v>TC_E1_01_01</v>
      </c>
      <c r="L28" s="140"/>
      <c r="M28" s="15" t="str">
        <f t="shared" si="3"/>
        <v>TC_E2_01_01</v>
      </c>
      <c r="N28" s="140"/>
      <c r="O28" s="15" t="str">
        <f t="shared" si="4"/>
        <v>TC_E3_01_01</v>
      </c>
      <c r="P28" s="140"/>
      <c r="Q28" s="6" t="str">
        <f t="shared" si="5"/>
        <v>TC_E4_01_01</v>
      </c>
      <c r="R28" s="140"/>
      <c r="S28" s="6" t="str">
        <f t="shared" si="6"/>
        <v>TC_E5_01_01</v>
      </c>
      <c r="T28" s="140"/>
      <c r="U28" s="6" t="str">
        <f t="shared" si="7"/>
        <v>TC_E5_01_01</v>
      </c>
      <c r="V28" s="140"/>
      <c r="W28" s="13"/>
      <c r="X28" s="13"/>
      <c r="Y28" s="13"/>
      <c r="Z28" s="13"/>
      <c r="AA28" s="13"/>
    </row>
    <row r="29" spans="1:27" x14ac:dyDescent="0.25">
      <c r="A29" s="142" t="b">
        <v>0</v>
      </c>
      <c r="B29" s="6">
        <f t="shared" si="1"/>
        <v>28</v>
      </c>
      <c r="C29" s="20" t="str">
        <f>_xlfn.XLOOKUP($D29,Tab_Def_Processes[Process_Name],Tab_Def_Processes[ID],,0,)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F_01_01</v>
      </c>
      <c r="K29" s="15" t="str">
        <f t="shared" si="2"/>
        <v>TC_E1_01_01</v>
      </c>
      <c r="L29" s="140"/>
      <c r="M29" s="15" t="str">
        <f t="shared" si="3"/>
        <v>TC_E2_01_01</v>
      </c>
      <c r="N29" s="140"/>
      <c r="O29" s="15" t="str">
        <f t="shared" si="4"/>
        <v>TC_E3_01_01</v>
      </c>
      <c r="P29" s="140"/>
      <c r="Q29" s="6" t="str">
        <f t="shared" si="5"/>
        <v>TC_E4_01_01</v>
      </c>
      <c r="R29" s="140"/>
      <c r="S29" s="6" t="str">
        <f t="shared" si="6"/>
        <v>TC_E5_01_01</v>
      </c>
      <c r="T29" s="140"/>
      <c r="U29" s="6" t="str">
        <f t="shared" si="7"/>
        <v>TC_E5_01_01</v>
      </c>
      <c r="V29" s="140"/>
      <c r="W29" s="13"/>
      <c r="X29" s="13"/>
      <c r="Y29" s="13"/>
      <c r="Z29" s="13"/>
      <c r="AA29" s="13"/>
    </row>
    <row r="30" spans="1:27" x14ac:dyDescent="0.25">
      <c r="A30" s="142" t="b">
        <v>0</v>
      </c>
      <c r="B30" s="6">
        <f t="shared" si="1"/>
        <v>29</v>
      </c>
      <c r="C30" s="20" t="str">
        <f>_xlfn.XLOOKUP($D30,Tab_Def_Processes[Process_Name],Tab_Def_Processes[ID],,0,)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F_01_01</v>
      </c>
      <c r="K30" s="15" t="str">
        <f t="shared" si="2"/>
        <v>TC_E1_01_01</v>
      </c>
      <c r="L30" s="140"/>
      <c r="M30" s="15" t="str">
        <f t="shared" si="3"/>
        <v>TC_E2_01_01</v>
      </c>
      <c r="N30" s="140"/>
      <c r="O30" s="15" t="str">
        <f t="shared" si="4"/>
        <v>TC_E3_01_01</v>
      </c>
      <c r="P30" s="140"/>
      <c r="Q30" s="6" t="str">
        <f t="shared" si="5"/>
        <v>TC_E4_01_01</v>
      </c>
      <c r="R30" s="140"/>
      <c r="S30" s="6" t="str">
        <f t="shared" si="6"/>
        <v>TC_E5_01_01</v>
      </c>
      <c r="T30" s="140"/>
      <c r="U30" s="6" t="str">
        <f t="shared" si="7"/>
        <v>TC_E5_01_01</v>
      </c>
      <c r="V30" s="140"/>
      <c r="W30" s="13"/>
      <c r="X30" s="13"/>
      <c r="Y30" s="13"/>
      <c r="Z30" s="13"/>
      <c r="AA30" s="13"/>
    </row>
    <row r="31" spans="1:27" x14ac:dyDescent="0.25">
      <c r="A31" s="142" t="b">
        <v>0</v>
      </c>
      <c r="B31" s="6">
        <f t="shared" si="1"/>
        <v>30</v>
      </c>
      <c r="C31" s="20" t="str">
        <f>_xlfn.XLOOKUP($D31,Tab_Def_Processes[Process_Name],Tab_Def_Processes[ID],,0,)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F_01_01</v>
      </c>
      <c r="K31" s="15" t="str">
        <f t="shared" si="2"/>
        <v>TC_E1_01_01</v>
      </c>
      <c r="L31" s="140"/>
      <c r="M31" s="15" t="str">
        <f t="shared" si="3"/>
        <v>TC_E2_01_01</v>
      </c>
      <c r="N31" s="140"/>
      <c r="O31" s="15" t="str">
        <f t="shared" si="4"/>
        <v>TC_E3_01_01</v>
      </c>
      <c r="P31" s="140"/>
      <c r="Q31" s="6" t="str">
        <f t="shared" si="5"/>
        <v>TC_E4_01_01</v>
      </c>
      <c r="R31" s="140"/>
      <c r="S31" s="6" t="str">
        <f t="shared" si="6"/>
        <v>TC_E5_01_01</v>
      </c>
      <c r="T31" s="140"/>
      <c r="U31" s="6" t="str">
        <f t="shared" si="7"/>
        <v>TC_E5_01_01</v>
      </c>
      <c r="V31" s="140"/>
      <c r="W31" s="13"/>
      <c r="X31" s="13"/>
      <c r="Y31" s="13"/>
      <c r="Z31" s="13"/>
      <c r="AA31" s="13"/>
    </row>
    <row r="32" spans="1:27" x14ac:dyDescent="0.25">
      <c r="A32" s="142" t="b">
        <v>0</v>
      </c>
      <c r="B32" s="6">
        <f t="shared" si="1"/>
        <v>31</v>
      </c>
      <c r="C32" s="20" t="str">
        <f>_xlfn.XLOOKUP($D32,Tab_Def_Processes[Process_Name],Tab_Def_Processes[ID],,0,)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F_01_01</v>
      </c>
      <c r="K32" s="15" t="str">
        <f t="shared" si="2"/>
        <v>TC_E1_01_01</v>
      </c>
      <c r="L32" s="140"/>
      <c r="M32" s="15" t="str">
        <f t="shared" si="3"/>
        <v>TC_E2_01_01</v>
      </c>
      <c r="N32" s="140"/>
      <c r="O32" s="15" t="str">
        <f t="shared" si="4"/>
        <v>TC_E3_01_01</v>
      </c>
      <c r="P32" s="140"/>
      <c r="Q32" s="6" t="str">
        <f t="shared" si="5"/>
        <v>TC_E4_01_01</v>
      </c>
      <c r="R32" s="140"/>
      <c r="S32" s="6" t="str">
        <f t="shared" si="6"/>
        <v>TC_E5_01_01</v>
      </c>
      <c r="T32" s="140"/>
      <c r="U32" s="6" t="str">
        <f t="shared" si="7"/>
        <v>TC_E5_01_01</v>
      </c>
      <c r="V32" s="140"/>
      <c r="W32" s="13"/>
      <c r="X32" s="13"/>
      <c r="Y32" s="13"/>
      <c r="Z32" s="13"/>
      <c r="AA32" s="13"/>
    </row>
    <row r="33" spans="1:27" x14ac:dyDescent="0.25">
      <c r="A33" s="142" t="b">
        <v>0</v>
      </c>
      <c r="B33" s="6">
        <f t="shared" si="1"/>
        <v>32</v>
      </c>
      <c r="C33" s="20" t="str">
        <f>_xlfn.XLOOKUP($D33,Tab_Def_Processes[Process_Name],Tab_Def_Processes[ID],,0,)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F_01_01</v>
      </c>
      <c r="K33" s="15" t="str">
        <f t="shared" si="2"/>
        <v>TC_E1_01_01</v>
      </c>
      <c r="L33" s="140"/>
      <c r="M33" s="15" t="str">
        <f t="shared" si="3"/>
        <v>TC_E2_01_01</v>
      </c>
      <c r="N33" s="140"/>
      <c r="O33" s="15" t="str">
        <f t="shared" si="4"/>
        <v>TC_E3_01_01</v>
      </c>
      <c r="P33" s="140"/>
      <c r="Q33" s="6" t="str">
        <f t="shared" si="5"/>
        <v>TC_E4_01_01</v>
      </c>
      <c r="R33" s="140"/>
      <c r="S33" s="6" t="str">
        <f t="shared" si="6"/>
        <v>TC_E5_01_01</v>
      </c>
      <c r="T33" s="140"/>
      <c r="U33" s="6" t="str">
        <f t="shared" si="7"/>
        <v>TC_E5_01_01</v>
      </c>
      <c r="V33" s="140"/>
      <c r="W33" s="13"/>
      <c r="X33" s="13"/>
      <c r="Y33" s="13"/>
      <c r="Z33" s="13"/>
      <c r="AA33" s="13"/>
    </row>
    <row r="34" spans="1:27" x14ac:dyDescent="0.25">
      <c r="A34" s="142" t="b">
        <v>0</v>
      </c>
      <c r="B34" s="6">
        <f t="shared" si="1"/>
        <v>33</v>
      </c>
      <c r="C34" s="20" t="str">
        <f>_xlfn.XLOOKUP($D34,Tab_Def_Processes[Process_Name],Tab_Def_Processes[ID],,0,)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F_01_01</v>
      </c>
      <c r="K34" s="15" t="str">
        <f t="shared" si="2"/>
        <v>TC_E1_01_01</v>
      </c>
      <c r="L34" s="140"/>
      <c r="M34" s="15" t="str">
        <f t="shared" si="3"/>
        <v>TC_E2_01_01</v>
      </c>
      <c r="N34" s="140"/>
      <c r="O34" s="15" t="str">
        <f t="shared" si="4"/>
        <v>TC_E3_01_01</v>
      </c>
      <c r="P34" s="140"/>
      <c r="Q34" s="6" t="str">
        <f t="shared" si="5"/>
        <v>TC_E4_01_01</v>
      </c>
      <c r="R34" s="140"/>
      <c r="S34" s="6" t="str">
        <f t="shared" si="6"/>
        <v>TC_E5_01_01</v>
      </c>
      <c r="T34" s="140"/>
      <c r="U34" s="6" t="str">
        <f t="shared" si="7"/>
        <v>TC_E5_01_01</v>
      </c>
      <c r="V34" s="140"/>
      <c r="W34" s="13"/>
      <c r="X34" s="13"/>
      <c r="Y34" s="13"/>
      <c r="Z34" s="13"/>
      <c r="AA34" s="13"/>
    </row>
    <row r="35" spans="1:27" x14ac:dyDescent="0.25">
      <c r="A35" s="142" t="b">
        <v>0</v>
      </c>
      <c r="B35" s="6">
        <f t="shared" si="1"/>
        <v>34</v>
      </c>
      <c r="C35" s="20" t="str">
        <f>_xlfn.XLOOKUP($D35,Tab_Def_Processes[Process_Name],Tab_Def_Processes[ID],,0,)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F_01_01</v>
      </c>
      <c r="K35" s="15" t="str">
        <f t="shared" si="2"/>
        <v>TC_E1_01_01</v>
      </c>
      <c r="L35" s="140"/>
      <c r="M35" s="15" t="str">
        <f t="shared" si="3"/>
        <v>TC_E2_01_01</v>
      </c>
      <c r="N35" s="140"/>
      <c r="O35" s="15" t="str">
        <f t="shared" si="4"/>
        <v>TC_E3_01_01</v>
      </c>
      <c r="P35" s="140"/>
      <c r="Q35" s="6" t="str">
        <f t="shared" si="5"/>
        <v>TC_E4_01_01</v>
      </c>
      <c r="R35" s="140"/>
      <c r="S35" s="6" t="str">
        <f t="shared" si="6"/>
        <v>TC_E5_01_01</v>
      </c>
      <c r="T35" s="140"/>
      <c r="U35" s="6" t="str">
        <f t="shared" si="7"/>
        <v>TC_E5_01_01</v>
      </c>
      <c r="V35" s="140"/>
      <c r="W35" s="13"/>
      <c r="X35" s="13"/>
      <c r="Y35" s="13"/>
      <c r="Z35" s="13"/>
      <c r="AA35" s="13"/>
    </row>
    <row r="36" spans="1:27" x14ac:dyDescent="0.25">
      <c r="A36" s="142" t="b">
        <v>0</v>
      </c>
      <c r="B36" s="6">
        <f t="shared" si="1"/>
        <v>35</v>
      </c>
      <c r="C36" s="20" t="str">
        <f>_xlfn.XLOOKUP($D36,Tab_Def_Processes[Process_Name],Tab_Def_Processes[ID],,0,)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F_01_01</v>
      </c>
      <c r="K36" s="15" t="str">
        <f t="shared" si="2"/>
        <v>TC_E1_01_01</v>
      </c>
      <c r="L36" s="140"/>
      <c r="M36" s="15" t="str">
        <f t="shared" si="3"/>
        <v>TC_E2_01_01</v>
      </c>
      <c r="N36" s="140"/>
      <c r="O36" s="15" t="str">
        <f t="shared" si="4"/>
        <v>TC_E3_01_01</v>
      </c>
      <c r="P36" s="140"/>
      <c r="Q36" s="6" t="str">
        <f t="shared" si="5"/>
        <v>TC_E4_01_01</v>
      </c>
      <c r="R36" s="140"/>
      <c r="S36" s="6" t="str">
        <f t="shared" si="6"/>
        <v>TC_E5_01_01</v>
      </c>
      <c r="T36" s="140"/>
      <c r="U36" s="6" t="str">
        <f t="shared" si="7"/>
        <v>TC_E5_01_01</v>
      </c>
      <c r="V36" s="140"/>
      <c r="W36" s="13"/>
      <c r="X36" s="13"/>
      <c r="Y36" s="13"/>
      <c r="Z36" s="13"/>
      <c r="AA36" s="13"/>
    </row>
    <row r="37" spans="1:27" x14ac:dyDescent="0.25">
      <c r="A37" s="142" t="b">
        <v>0</v>
      </c>
      <c r="B37" s="6">
        <f t="shared" si="1"/>
        <v>36</v>
      </c>
      <c r="C37" s="20" t="str">
        <f>_xlfn.XLOOKUP($D37,Tab_Def_Processes[Process_Name],Tab_Def_Processes[ID],,0,)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F_01_01</v>
      </c>
      <c r="K37" s="15" t="str">
        <f t="shared" si="2"/>
        <v>TC_E1_01_01</v>
      </c>
      <c r="L37" s="140"/>
      <c r="M37" s="15" t="str">
        <f t="shared" si="3"/>
        <v>TC_E2_01_01</v>
      </c>
      <c r="N37" s="140"/>
      <c r="O37" s="15" t="str">
        <f t="shared" si="4"/>
        <v>TC_E3_01_01</v>
      </c>
      <c r="P37" s="140"/>
      <c r="Q37" s="6" t="str">
        <f t="shared" si="5"/>
        <v>TC_E4_01_01</v>
      </c>
      <c r="R37" s="140"/>
      <c r="S37" s="6" t="str">
        <f t="shared" si="6"/>
        <v>TC_E5_01_01</v>
      </c>
      <c r="T37" s="140"/>
      <c r="U37" s="6" t="str">
        <f t="shared" si="7"/>
        <v>TC_E5_01_01</v>
      </c>
      <c r="V37" s="140"/>
      <c r="W37" s="13"/>
      <c r="X37" s="13"/>
      <c r="Y37" s="13"/>
      <c r="Z37" s="13"/>
      <c r="AA37" s="13"/>
    </row>
    <row r="38" spans="1:27" x14ac:dyDescent="0.25">
      <c r="A38" s="142" t="b">
        <v>0</v>
      </c>
      <c r="B38" s="6">
        <f t="shared" si="1"/>
        <v>37</v>
      </c>
      <c r="C38" s="20" t="str">
        <f>_xlfn.XLOOKUP($D38,Tab_Def_Processes[Process_Name],Tab_Def_Processes[ID],,0,)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F_01_01</v>
      </c>
      <c r="K38" s="15" t="str">
        <f t="shared" si="2"/>
        <v>TC_E1_01_01</v>
      </c>
      <c r="L38" s="140"/>
      <c r="M38" s="15" t="str">
        <f t="shared" si="3"/>
        <v>TC_E2_01_01</v>
      </c>
      <c r="N38" s="140"/>
      <c r="O38" s="15" t="str">
        <f t="shared" si="4"/>
        <v>TC_E3_01_01</v>
      </c>
      <c r="P38" s="140"/>
      <c r="Q38" s="6" t="str">
        <f t="shared" si="5"/>
        <v>TC_E4_01_01</v>
      </c>
      <c r="R38" s="140"/>
      <c r="S38" s="6" t="str">
        <f t="shared" si="6"/>
        <v>TC_E5_01_01</v>
      </c>
      <c r="T38" s="140"/>
      <c r="U38" s="6" t="str">
        <f t="shared" si="7"/>
        <v>TC_E5_01_01</v>
      </c>
      <c r="V38" s="140"/>
      <c r="W38" s="13"/>
      <c r="X38" s="13"/>
      <c r="Y38" s="13"/>
      <c r="Z38" s="13"/>
      <c r="AA38" s="13"/>
    </row>
    <row r="39" spans="1:27" x14ac:dyDescent="0.25">
      <c r="A39" s="142" t="b">
        <v>0</v>
      </c>
      <c r="B39" s="6">
        <f t="shared" si="1"/>
        <v>38</v>
      </c>
      <c r="C39" s="20" t="str">
        <f>_xlfn.XLOOKUP($D39,Tab_Def_Processes[Process_Name],Tab_Def_Processes[ID],,0,)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F_01_01</v>
      </c>
      <c r="K39" s="15" t="str">
        <f t="shared" si="2"/>
        <v>TC_E1_01_01</v>
      </c>
      <c r="L39" s="140"/>
      <c r="M39" s="15" t="str">
        <f t="shared" si="3"/>
        <v>TC_E2_01_01</v>
      </c>
      <c r="N39" s="140"/>
      <c r="O39" s="15" t="str">
        <f t="shared" si="4"/>
        <v>TC_E3_01_01</v>
      </c>
      <c r="P39" s="140"/>
      <c r="Q39" s="6" t="str">
        <f t="shared" si="5"/>
        <v>TC_E4_01_01</v>
      </c>
      <c r="R39" s="140"/>
      <c r="S39" s="6" t="str">
        <f t="shared" si="6"/>
        <v>TC_E5_01_01</v>
      </c>
      <c r="T39" s="140"/>
      <c r="U39" s="6" t="str">
        <f t="shared" si="7"/>
        <v>TC_E5_01_01</v>
      </c>
      <c r="V39" s="140"/>
      <c r="W39" s="13"/>
      <c r="X39" s="13"/>
      <c r="Y39" s="13"/>
      <c r="Z39" s="13"/>
      <c r="AA39" s="13"/>
    </row>
    <row r="40" spans="1:27" x14ac:dyDescent="0.25">
      <c r="A40" s="142" t="b">
        <v>0</v>
      </c>
      <c r="B40" s="6">
        <f t="shared" si="1"/>
        <v>39</v>
      </c>
      <c r="C40" s="20" t="str">
        <f>_xlfn.XLOOKUP($D40,Tab_Def_Processes[Process_Name],Tab_Def_Processes[ID],,0,)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F_01_01</v>
      </c>
      <c r="K40" s="15" t="str">
        <f t="shared" si="2"/>
        <v>TC_E1_01_01</v>
      </c>
      <c r="L40" s="140"/>
      <c r="M40" s="15" t="str">
        <f t="shared" si="3"/>
        <v>TC_E2_01_01</v>
      </c>
      <c r="N40" s="140"/>
      <c r="O40" s="15" t="str">
        <f t="shared" si="4"/>
        <v>TC_E3_01_01</v>
      </c>
      <c r="P40" s="140"/>
      <c r="Q40" s="6" t="str">
        <f t="shared" si="5"/>
        <v>TC_E4_01_01</v>
      </c>
      <c r="R40" s="140"/>
      <c r="S40" s="6" t="str">
        <f t="shared" si="6"/>
        <v>TC_E5_01_01</v>
      </c>
      <c r="T40" s="140"/>
      <c r="U40" s="6" t="str">
        <f t="shared" si="7"/>
        <v>TC_E5_01_01</v>
      </c>
      <c r="V40" s="140"/>
      <c r="W40" s="13"/>
      <c r="X40" s="13"/>
      <c r="Y40" s="13"/>
      <c r="Z40" s="13"/>
      <c r="AA40" s="13"/>
    </row>
    <row r="41" spans="1:27" x14ac:dyDescent="0.25">
      <c r="A41" s="142" t="b">
        <v>0</v>
      </c>
      <c r="B41" s="6">
        <f t="shared" si="1"/>
        <v>40</v>
      </c>
      <c r="C41" s="20" t="str">
        <f>_xlfn.XLOOKUP($D41,Tab_Def_Processes[Process_Name],Tab_Def_Processes[ID],,0,)</f>
        <v>01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F_01_01</v>
      </c>
      <c r="K41" s="15" t="str">
        <f t="shared" si="2"/>
        <v>TC_E1_01_01</v>
      </c>
      <c r="L41" s="140"/>
      <c r="M41" s="15" t="str">
        <f t="shared" si="3"/>
        <v>TC_E2_01_01</v>
      </c>
      <c r="N41" s="140"/>
      <c r="O41" s="15" t="str">
        <f t="shared" si="4"/>
        <v>TC_E3_01_01</v>
      </c>
      <c r="P41" s="140"/>
      <c r="Q41" s="6" t="str">
        <f t="shared" si="5"/>
        <v>TC_E4_01_01</v>
      </c>
      <c r="R41" s="140"/>
      <c r="S41" s="6" t="str">
        <f t="shared" si="6"/>
        <v>TC_E5_01_01</v>
      </c>
      <c r="T41" s="140"/>
      <c r="U41" s="6" t="str">
        <f t="shared" si="7"/>
        <v>TC_E5_01_01</v>
      </c>
      <c r="V41" s="140"/>
      <c r="W41" s="13"/>
      <c r="X41" s="13"/>
      <c r="Y41" s="13"/>
      <c r="Z41" s="13"/>
      <c r="AA41" s="13"/>
    </row>
    <row r="42" spans="1:27" x14ac:dyDescent="0.25">
      <c r="A42" s="142" t="b">
        <v>0</v>
      </c>
      <c r="B42" s="6">
        <f t="shared" si="1"/>
        <v>41</v>
      </c>
      <c r="C42" s="20" t="str">
        <f>_xlfn.XLOOKUP($D42,Tab_Def_Processes[Process_Name],Tab_Def_Processes[ID],,0,)</f>
        <v>01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F_01_01</v>
      </c>
      <c r="K42" s="15" t="str">
        <f t="shared" si="2"/>
        <v>TC_E1_01_01</v>
      </c>
      <c r="L42" s="140"/>
      <c r="M42" s="15" t="str">
        <f t="shared" si="3"/>
        <v>TC_E2_01_01</v>
      </c>
      <c r="N42" s="140"/>
      <c r="O42" s="15" t="str">
        <f t="shared" si="4"/>
        <v>TC_E3_01_01</v>
      </c>
      <c r="P42" s="140"/>
      <c r="Q42" s="6" t="str">
        <f t="shared" si="5"/>
        <v>TC_E4_01_01</v>
      </c>
      <c r="R42" s="140"/>
      <c r="S42" s="6" t="str">
        <f t="shared" si="6"/>
        <v>TC_E5_01_01</v>
      </c>
      <c r="T42" s="140"/>
      <c r="U42" s="6" t="str">
        <f t="shared" si="7"/>
        <v>TC_E5_01_01</v>
      </c>
      <c r="V42" s="140"/>
      <c r="W42" s="13"/>
      <c r="X42" s="13"/>
      <c r="Y42" s="13"/>
      <c r="Z42" s="13"/>
      <c r="AA42" s="13"/>
    </row>
    <row r="43" spans="1:27" x14ac:dyDescent="0.25">
      <c r="A43" s="142" t="b">
        <v>0</v>
      </c>
      <c r="B43" s="6">
        <f t="shared" si="1"/>
        <v>42</v>
      </c>
      <c r="C43" s="20" t="str">
        <f>_xlfn.XLOOKUP($D43,Tab_Def_Processes[Process_Name],Tab_Def_Processes[ID],,0,)</f>
        <v>01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F_01_01</v>
      </c>
      <c r="K43" s="15" t="str">
        <f t="shared" si="2"/>
        <v>TC_E1_01_01</v>
      </c>
      <c r="L43" s="140"/>
      <c r="M43" s="15" t="str">
        <f t="shared" si="3"/>
        <v>TC_E2_01_01</v>
      </c>
      <c r="N43" s="140"/>
      <c r="O43" s="15" t="str">
        <f t="shared" si="4"/>
        <v>TC_E3_01_01</v>
      </c>
      <c r="P43" s="140"/>
      <c r="Q43" s="6" t="str">
        <f t="shared" si="5"/>
        <v>TC_E4_01_01</v>
      </c>
      <c r="R43" s="140"/>
      <c r="S43" s="6" t="str">
        <f t="shared" si="6"/>
        <v>TC_E5_01_01</v>
      </c>
      <c r="T43" s="140"/>
      <c r="U43" s="6" t="str">
        <f t="shared" si="7"/>
        <v>TC_E5_01_01</v>
      </c>
      <c r="V43" s="140"/>
      <c r="W43" s="13"/>
      <c r="X43" s="13"/>
      <c r="Y43" s="13"/>
      <c r="Z43" s="13"/>
      <c r="AA43" s="13"/>
    </row>
    <row r="44" spans="1:27" x14ac:dyDescent="0.25">
      <c r="A44" s="142" t="b">
        <v>0</v>
      </c>
      <c r="B44" s="6">
        <f t="shared" si="1"/>
        <v>43</v>
      </c>
      <c r="C44" s="20" t="str">
        <f>_xlfn.XLOOKUP($D44,Tab_Def_Processes[Process_Name],Tab_Def_Processes[ID],,0,)</f>
        <v>01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F_01_01</v>
      </c>
      <c r="K44" s="15" t="str">
        <f t="shared" si="2"/>
        <v>TC_E1_01_01</v>
      </c>
      <c r="L44" s="140"/>
      <c r="M44" s="15" t="str">
        <f t="shared" si="3"/>
        <v>TC_E2_01_01</v>
      </c>
      <c r="N44" s="140"/>
      <c r="O44" s="15" t="str">
        <f t="shared" si="4"/>
        <v>TC_E3_01_01</v>
      </c>
      <c r="P44" s="140"/>
      <c r="Q44" s="6" t="str">
        <f t="shared" si="5"/>
        <v>TC_E4_01_01</v>
      </c>
      <c r="R44" s="140"/>
      <c r="S44" s="6" t="str">
        <f t="shared" si="6"/>
        <v>TC_E5_01_01</v>
      </c>
      <c r="T44" s="140"/>
      <c r="U44" s="6" t="str">
        <f t="shared" si="7"/>
        <v>TC_E5_01_01</v>
      </c>
      <c r="V44" s="140"/>
      <c r="W44" s="13"/>
      <c r="X44" s="13"/>
      <c r="Y44" s="13"/>
      <c r="Z44" s="13"/>
      <c r="AA44" s="13"/>
    </row>
    <row r="45" spans="1:27" x14ac:dyDescent="0.25">
      <c r="A45" s="142" t="b">
        <v>0</v>
      </c>
      <c r="B45" s="6">
        <f t="shared" si="1"/>
        <v>44</v>
      </c>
      <c r="C45" s="20" t="str">
        <f>_xlfn.XLOOKUP($D45,Tab_Def_Processes[Process_Name],Tab_Def_Processes[ID],,0,)</f>
        <v>01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F_01_01</v>
      </c>
      <c r="K45" s="15" t="str">
        <f t="shared" si="2"/>
        <v>TC_E1_01_01</v>
      </c>
      <c r="L45" s="140"/>
      <c r="M45" s="15" t="str">
        <f t="shared" si="3"/>
        <v>TC_E2_01_01</v>
      </c>
      <c r="N45" s="140"/>
      <c r="O45" s="15" t="str">
        <f t="shared" si="4"/>
        <v>TC_E3_01_01</v>
      </c>
      <c r="P45" s="140"/>
      <c r="Q45" s="6" t="str">
        <f t="shared" si="5"/>
        <v>TC_E4_01_01</v>
      </c>
      <c r="R45" s="140"/>
      <c r="S45" s="6" t="str">
        <f t="shared" si="6"/>
        <v>TC_E5_01_01</v>
      </c>
      <c r="T45" s="140"/>
      <c r="U45" s="6" t="str">
        <f t="shared" si="7"/>
        <v>TC_E5_01_01</v>
      </c>
      <c r="V45" s="140"/>
      <c r="W45" s="13"/>
      <c r="X45" s="13"/>
      <c r="Y45" s="13"/>
      <c r="Z45" s="13"/>
      <c r="AA45" s="13"/>
    </row>
    <row r="46" spans="1:27" x14ac:dyDescent="0.25">
      <c r="A46" s="142" t="b">
        <v>0</v>
      </c>
      <c r="B46" s="6">
        <f t="shared" si="1"/>
        <v>45</v>
      </c>
      <c r="C46" s="20" t="str">
        <f>_xlfn.XLOOKUP($D46,Tab_Def_Processes[Process_Name],Tab_Def_Processes[ID],,0,)</f>
        <v>01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F_01_01</v>
      </c>
      <c r="K46" s="15" t="str">
        <f t="shared" si="2"/>
        <v>TC_E1_01_01</v>
      </c>
      <c r="L46" s="140"/>
      <c r="M46" s="15" t="str">
        <f t="shared" si="3"/>
        <v>TC_E2_01_01</v>
      </c>
      <c r="N46" s="140"/>
      <c r="O46" s="15" t="str">
        <f t="shared" si="4"/>
        <v>TC_E3_01_01</v>
      </c>
      <c r="P46" s="140"/>
      <c r="Q46" s="6" t="str">
        <f t="shared" si="5"/>
        <v>TC_E4_01_01</v>
      </c>
      <c r="R46" s="140"/>
      <c r="S46" s="6" t="str">
        <f t="shared" si="6"/>
        <v>TC_E5_01_01</v>
      </c>
      <c r="T46" s="140"/>
      <c r="U46" s="6" t="str">
        <f t="shared" si="7"/>
        <v>TC_E5_01_01</v>
      </c>
      <c r="V46" s="140"/>
      <c r="W46" s="13"/>
      <c r="X46" s="13"/>
      <c r="Y46" s="13"/>
      <c r="Z46" s="13"/>
      <c r="AA46" s="13"/>
    </row>
    <row r="47" spans="1:27" x14ac:dyDescent="0.25">
      <c r="A47" s="142" t="b">
        <v>0</v>
      </c>
      <c r="B47" s="6">
        <f t="shared" si="1"/>
        <v>46</v>
      </c>
      <c r="C47" s="20" t="str">
        <f>_xlfn.XLOOKUP($D47,Tab_Def_Processes[Process_Name],Tab_Def_Processes[ID],,0,)</f>
        <v>01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F_01_01</v>
      </c>
      <c r="K47" s="15" t="str">
        <f t="shared" si="2"/>
        <v>TC_E1_01_01</v>
      </c>
      <c r="L47" s="140"/>
      <c r="M47" s="15" t="str">
        <f t="shared" si="3"/>
        <v>TC_E2_01_01</v>
      </c>
      <c r="N47" s="140"/>
      <c r="O47" s="15" t="str">
        <f t="shared" si="4"/>
        <v>TC_E3_01_01</v>
      </c>
      <c r="P47" s="140"/>
      <c r="Q47" s="6" t="str">
        <f t="shared" si="5"/>
        <v>TC_E4_01_01</v>
      </c>
      <c r="R47" s="140"/>
      <c r="S47" s="6" t="str">
        <f t="shared" si="6"/>
        <v>TC_E5_01_01</v>
      </c>
      <c r="T47" s="140"/>
      <c r="U47" s="6" t="str">
        <f t="shared" si="7"/>
        <v>TC_E5_01_01</v>
      </c>
      <c r="V47" s="140"/>
      <c r="W47" s="13"/>
      <c r="X47" s="13"/>
      <c r="Y47" s="13"/>
      <c r="Z47" s="13"/>
      <c r="AA47" s="13"/>
    </row>
    <row r="48" spans="1:27" x14ac:dyDescent="0.25">
      <c r="A48" s="142" t="b">
        <v>0</v>
      </c>
      <c r="B48" s="6">
        <f t="shared" si="1"/>
        <v>47</v>
      </c>
      <c r="C48" s="20" t="str">
        <f>_xlfn.XLOOKUP($D48,Tab_Def_Processes[Process_Name],Tab_Def_Processes[ID],,0,)</f>
        <v>01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F_01_01</v>
      </c>
      <c r="K48" s="15" t="str">
        <f t="shared" si="2"/>
        <v>TC_E1_01_01</v>
      </c>
      <c r="L48" s="140"/>
      <c r="M48" s="15" t="str">
        <f t="shared" si="3"/>
        <v>TC_E2_01_01</v>
      </c>
      <c r="N48" s="140"/>
      <c r="O48" s="15" t="str">
        <f t="shared" si="4"/>
        <v>TC_E3_01_01</v>
      </c>
      <c r="P48" s="140"/>
      <c r="Q48" s="6" t="str">
        <f t="shared" si="5"/>
        <v>TC_E4_01_01</v>
      </c>
      <c r="R48" s="140"/>
      <c r="S48" s="6" t="str">
        <f t="shared" si="6"/>
        <v>TC_E5_01_01</v>
      </c>
      <c r="T48" s="140"/>
      <c r="U48" s="6" t="str">
        <f t="shared" si="7"/>
        <v>TC_E5_01_01</v>
      </c>
      <c r="V48" s="140"/>
      <c r="W48" s="13"/>
      <c r="X48" s="13"/>
      <c r="Y48" s="13"/>
      <c r="Z48" s="13"/>
      <c r="AA48" s="13"/>
    </row>
    <row r="49" spans="1:27" x14ac:dyDescent="0.25">
      <c r="A49" s="142" t="b">
        <v>0</v>
      </c>
      <c r="B49" s="6">
        <f t="shared" si="1"/>
        <v>48</v>
      </c>
      <c r="C49" s="20" t="str">
        <f>_xlfn.XLOOKUP($D49,Tab_Def_Processes[Process_Name],Tab_Def_Processes[ID],,0,)</f>
        <v>01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F_01_01</v>
      </c>
      <c r="K49" s="15" t="str">
        <f t="shared" si="2"/>
        <v>TC_E1_01_01</v>
      </c>
      <c r="L49" s="140"/>
      <c r="M49" s="15" t="str">
        <f t="shared" si="3"/>
        <v>TC_E2_01_01</v>
      </c>
      <c r="N49" s="140"/>
      <c r="O49" s="15" t="str">
        <f t="shared" si="4"/>
        <v>TC_E3_01_01</v>
      </c>
      <c r="P49" s="140"/>
      <c r="Q49" s="6" t="str">
        <f t="shared" si="5"/>
        <v>TC_E4_01_01</v>
      </c>
      <c r="R49" s="140"/>
      <c r="S49" s="6" t="str">
        <f t="shared" si="6"/>
        <v>TC_E5_01_01</v>
      </c>
      <c r="T49" s="140"/>
      <c r="U49" s="6" t="str">
        <f t="shared" si="7"/>
        <v>TC_E5_01_01</v>
      </c>
      <c r="V49" s="140"/>
      <c r="W49" s="13"/>
      <c r="X49" s="13"/>
      <c r="Y49" s="13"/>
      <c r="Z49" s="13"/>
      <c r="AA49" s="13"/>
    </row>
    <row r="50" spans="1:27" x14ac:dyDescent="0.25">
      <c r="A50" s="142" t="b">
        <v>0</v>
      </c>
      <c r="B50" s="6">
        <f t="shared" si="1"/>
        <v>49</v>
      </c>
      <c r="C50" s="20" t="str">
        <f>_xlfn.XLOOKUP($D50,Tab_Def_Processes[Process_Name],Tab_Def_Processes[ID],,0,)</f>
        <v>01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F_01_01</v>
      </c>
      <c r="K50" s="15" t="str">
        <f t="shared" si="2"/>
        <v>TC_E1_01_01</v>
      </c>
      <c r="L50" s="140"/>
      <c r="M50" s="15" t="str">
        <f t="shared" si="3"/>
        <v>TC_E2_01_01</v>
      </c>
      <c r="N50" s="140"/>
      <c r="O50" s="15" t="str">
        <f t="shared" si="4"/>
        <v>TC_E3_01_01</v>
      </c>
      <c r="P50" s="140"/>
      <c r="Q50" s="6" t="str">
        <f t="shared" si="5"/>
        <v>TC_E4_01_01</v>
      </c>
      <c r="R50" s="140"/>
      <c r="S50" s="6" t="str">
        <f t="shared" si="6"/>
        <v>TC_E5_01_01</v>
      </c>
      <c r="T50" s="140"/>
      <c r="U50" s="6" t="str">
        <f t="shared" si="7"/>
        <v>TC_E5_01_01</v>
      </c>
      <c r="V50" s="140"/>
      <c r="W50" s="13"/>
      <c r="X50" s="13"/>
      <c r="Y50" s="13"/>
      <c r="Z50" s="13"/>
      <c r="AA50" s="13"/>
    </row>
    <row r="51" spans="1:27" x14ac:dyDescent="0.25">
      <c r="A51" s="142" t="b">
        <v>0</v>
      </c>
      <c r="B51" s="6">
        <f t="shared" si="1"/>
        <v>50</v>
      </c>
      <c r="C51" s="20" t="str">
        <f>_xlfn.XLOOKUP($D51,Tab_Def_Processes[Process_Name],Tab_Def_Processes[ID],,0,)</f>
        <v>01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F_01_01</v>
      </c>
      <c r="K51" s="15" t="str">
        <f t="shared" si="2"/>
        <v>TC_E1_01_01</v>
      </c>
      <c r="L51" s="140"/>
      <c r="M51" s="15" t="str">
        <f t="shared" si="3"/>
        <v>TC_E2_01_01</v>
      </c>
      <c r="N51" s="140"/>
      <c r="O51" s="15" t="str">
        <f t="shared" si="4"/>
        <v>TC_E3_01_01</v>
      </c>
      <c r="P51" s="140"/>
      <c r="Q51" s="6" t="str">
        <f t="shared" si="5"/>
        <v>TC_E4_01_01</v>
      </c>
      <c r="R51" s="140"/>
      <c r="S51" s="6" t="str">
        <f t="shared" si="6"/>
        <v>TC_E5_01_01</v>
      </c>
      <c r="T51" s="140"/>
      <c r="U51" s="6" t="str">
        <f t="shared" si="7"/>
        <v>TC_E5_01_01</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4" topLeftCell="E1" activePane="topRight" state="frozen"/>
      <selection pane="topRight" activeCell="I21" sqref="I21"/>
    </sheetView>
  </sheetViews>
  <sheetFormatPr defaultColWidth="10.85546875" defaultRowHeight="15" x14ac:dyDescent="0.25"/>
  <cols>
    <col min="2" max="2" width="16.5703125" customWidth="1"/>
    <col min="4" max="4" width="24" style="19"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424</v>
      </c>
      <c r="E1" s="141" t="s">
        <v>389</v>
      </c>
      <c r="F1" s="141" t="s">
        <v>452</v>
      </c>
      <c r="G1" s="141" t="s">
        <v>453</v>
      </c>
      <c r="H1" s="141" t="s">
        <v>482</v>
      </c>
      <c r="I1" s="141" t="s">
        <v>164</v>
      </c>
      <c r="J1" s="141" t="s">
        <v>11</v>
      </c>
      <c r="K1" s="141" t="s">
        <v>0</v>
      </c>
      <c r="L1" s="141" t="s">
        <v>1163</v>
      </c>
      <c r="M1" s="141" t="s">
        <v>1165</v>
      </c>
      <c r="N1" s="141" t="s">
        <v>1164</v>
      </c>
      <c r="O1" s="141" t="s">
        <v>1166</v>
      </c>
      <c r="P1" s="141" t="s">
        <v>1167</v>
      </c>
      <c r="Q1" s="141" t="s">
        <v>1168</v>
      </c>
      <c r="R1" s="141" t="s">
        <v>1169</v>
      </c>
      <c r="S1" s="141" t="s">
        <v>1170</v>
      </c>
      <c r="T1" s="141" t="s">
        <v>1171</v>
      </c>
      <c r="U1" s="141" t="s">
        <v>1172</v>
      </c>
      <c r="V1" s="141" t="s">
        <v>1196</v>
      </c>
      <c r="W1" s="141" t="s">
        <v>1197</v>
      </c>
      <c r="X1" s="141" t="s">
        <v>483</v>
      </c>
      <c r="Y1" s="141" t="s">
        <v>459</v>
      </c>
      <c r="Z1" s="141" t="s">
        <v>484</v>
      </c>
      <c r="AA1" s="141" t="s">
        <v>485</v>
      </c>
      <c r="AB1" s="141" t="s">
        <v>486</v>
      </c>
    </row>
    <row r="2" spans="1:28" x14ac:dyDescent="0.25">
      <c r="A2" s="142" t="b">
        <v>0</v>
      </c>
      <c r="B2" s="6">
        <f t="shared" ref="B2:B31" si="0">ROW()-1</f>
        <v>1</v>
      </c>
      <c r="C2" s="20" t="e">
        <f>_xlfn.XLOOKUP($D2,Tab_Def_Processes[Process_Name],Tab_Def_Processes[Process_ID],,0,)</f>
        <v>#N/A</v>
      </c>
      <c r="D2" s="138" t="s">
        <v>8</v>
      </c>
      <c r="E2" s="20" t="e">
        <f>_xlfn.XLOOKUP($D2,Tab_Def_Processes[Process_Name],Tab_Def_Processes[Process_Logic],,0,)</f>
        <v>#N/A</v>
      </c>
      <c r="F2" s="20" t="e">
        <f>_xlfn.XLOOKUP($D2,Tab_Def_Processes[Process_Name],Tab_Def_Processes[TC_Configuration],,0,)</f>
        <v>#N/A</v>
      </c>
      <c r="G2" s="20" t="e">
        <f>_xlfn.XLOOKUP($D2,Tab_Def_Processes[Process_Name],Tab_Def_Processes[Stock_Configuration],,0,)</f>
        <v>#N/A</v>
      </c>
      <c r="H2" s="20" t="e">
        <f>_xlfn.XLOOKUP($D2,Tab_Def_Processes[Process_Name],Tab_Def_Processes[Outflow_count],,0,)</f>
        <v>#N/A</v>
      </c>
      <c r="I2" s="138" t="s">
        <v>8</v>
      </c>
      <c r="J2" s="6" t="str">
        <f>_xlfn.XLOOKUP($I2,Tab_Def_Flows[Flow_Name],Tab_Def_Flows[Flow_ID],,0,1)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T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20" t="e">
        <f>_xlfn.XLOOKUP($D3,Tab_Def_Processes[Process_Name],Tab_Def_Processes[Process_Logic],,0,)</f>
        <v>#N/A</v>
      </c>
      <c r="F3" s="20" t="e">
        <f>_xlfn.XLOOKUP($D3,Tab_Def_Processes[Process_Name],Tab_Def_Processes[TC_Configuration],,0,)</f>
        <v>#N/A</v>
      </c>
      <c r="G3" s="20" t="e">
        <f>_xlfn.XLOOKUP($D3,Tab_Def_Processes[Process_Name],Tab_Def_Processes[Stock_Configuration],,0,)</f>
        <v>#N/A</v>
      </c>
      <c r="H3" s="20" t="e">
        <f>_xlfn.XLOOKUP($D3,Tab_Def_Processes[Process_Name],Tab_Def_Processes[Outflow_count],,0,)</f>
        <v>#N/A</v>
      </c>
      <c r="I3" s="138" t="s">
        <v>8</v>
      </c>
      <c r="J3" s="6" t="str">
        <f>_xlfn.XLOOKUP($I3,Tab_Def_Flows[Flow_Name],Tab_Def_Flows[Flow_ID],,0,1)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20" t="e">
        <f>_xlfn.XLOOKUP($D4,Tab_Def_Processes[Process_Name],Tab_Def_Processes[Process_Logic],,0,)</f>
        <v>#N/A</v>
      </c>
      <c r="F4" s="20" t="e">
        <f>_xlfn.XLOOKUP($D4,Tab_Def_Processes[Process_Name],Tab_Def_Processes[TC_Configuration],,0,)</f>
        <v>#N/A</v>
      </c>
      <c r="G4" s="20" t="e">
        <f>_xlfn.XLOOKUP($D4,Tab_Def_Processes[Process_Name],Tab_Def_Processes[Stock_Configuration],,0,)</f>
        <v>#N/A</v>
      </c>
      <c r="H4" s="20" t="e">
        <f>_xlfn.XLOOKUP($D4,Tab_Def_Processes[Process_Name],Tab_Def_Processes[Outflow_count],,0,)</f>
        <v>#N/A</v>
      </c>
      <c r="I4" s="138" t="s">
        <v>8</v>
      </c>
      <c r="J4" s="6" t="str">
        <f>_xlfn.XLOOKUP($I4,Tab_Def_Flows[Flow_Name],Tab_Def_Flows[Flow_ID],,0,1)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20" t="e">
        <f>_xlfn.XLOOKUP($D5,Tab_Def_Processes[Process_Name],Tab_Def_Processes[Process_Logic],,0,)</f>
        <v>#N/A</v>
      </c>
      <c r="F5" s="20" t="e">
        <f>_xlfn.XLOOKUP($D5,Tab_Def_Processes[Process_Name],Tab_Def_Processes[TC_Configuration],,0,)</f>
        <v>#N/A</v>
      </c>
      <c r="G5" s="20" t="e">
        <f>_xlfn.XLOOKUP($D5,Tab_Def_Processes[Process_Name],Tab_Def_Processes[Stock_Configuration],,0,)</f>
        <v>#N/A</v>
      </c>
      <c r="H5" s="20" t="e">
        <f>_xlfn.XLOOKUP($D5,Tab_Def_Processes[Process_Name],Tab_Def_Processes[Outflow_count],,0,)</f>
        <v>#N/A</v>
      </c>
      <c r="I5" s="138" t="s">
        <v>8</v>
      </c>
      <c r="J5" s="6" t="str">
        <f>_xlfn.XLOOKUP($I5,Tab_Def_Flows[Flow_Name],Tab_Def_Flows[Flow_ID],,0,1)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20" t="e">
        <f>_xlfn.XLOOKUP($D6,Tab_Def_Processes[Process_Name],Tab_Def_Processes[Process_Logic],,0,)</f>
        <v>#N/A</v>
      </c>
      <c r="F6" s="20" t="e">
        <f>_xlfn.XLOOKUP($D6,Tab_Def_Processes[Process_Name],Tab_Def_Processes[TC_Configuration],,0,)</f>
        <v>#N/A</v>
      </c>
      <c r="G6" s="20" t="e">
        <f>_xlfn.XLOOKUP($D6,Tab_Def_Processes[Process_Name],Tab_Def_Processes[Stock_Configuration],,0,)</f>
        <v>#N/A</v>
      </c>
      <c r="H6" s="20" t="e">
        <f>_xlfn.XLOOKUP($D6,Tab_Def_Processes[Process_Name],Tab_Def_Processes[Outflow_count],,0,)</f>
        <v>#N/A</v>
      </c>
      <c r="I6" s="138" t="s">
        <v>8</v>
      </c>
      <c r="J6" s="6" t="str">
        <f>_xlfn.XLOOKUP($I6,Tab_Def_Flows[Flow_Name],Tab_Def_Flows[Flow_ID],,0,1)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20" t="e">
        <f>_xlfn.XLOOKUP($D7,Tab_Def_Processes[Process_Name],Tab_Def_Processes[Process_Logic],,0,)</f>
        <v>#N/A</v>
      </c>
      <c r="F7" s="20" t="e">
        <f>_xlfn.XLOOKUP($D7,Tab_Def_Processes[Process_Name],Tab_Def_Processes[TC_Configuration],,0,)</f>
        <v>#N/A</v>
      </c>
      <c r="G7" s="20" t="e">
        <f>_xlfn.XLOOKUP($D7,Tab_Def_Processes[Process_Name],Tab_Def_Processes[Stock_Configuration],,0,)</f>
        <v>#N/A</v>
      </c>
      <c r="H7" s="20" t="e">
        <f>_xlfn.XLOOKUP($D7,Tab_Def_Processes[Process_Name],Tab_Def_Processes[Outflow_count],,0,)</f>
        <v>#N/A</v>
      </c>
      <c r="I7" s="138" t="s">
        <v>8</v>
      </c>
      <c r="J7" s="6" t="str">
        <f>_xlfn.XLOOKUP($I7,Tab_Def_Flows[Flow_Name],Tab_Def_Flows[Flow_ID],,0,1)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20" t="e">
        <f>_xlfn.XLOOKUP($D8,Tab_Def_Processes[Process_Name],Tab_Def_Processes[Process_Logic],,0,)</f>
        <v>#N/A</v>
      </c>
      <c r="F8" s="20" t="e">
        <f>_xlfn.XLOOKUP($D8,Tab_Def_Processes[Process_Name],Tab_Def_Processes[TC_Configuration],,0,)</f>
        <v>#N/A</v>
      </c>
      <c r="G8" s="20" t="e">
        <f>_xlfn.XLOOKUP($D8,Tab_Def_Processes[Process_Name],Tab_Def_Processes[Stock_Configuration],,0,)</f>
        <v>#N/A</v>
      </c>
      <c r="H8" s="20" t="e">
        <f>_xlfn.XLOOKUP($D8,Tab_Def_Processes[Process_Name],Tab_Def_Processes[Outflow_count],,0,)</f>
        <v>#N/A</v>
      </c>
      <c r="I8" s="138" t="s">
        <v>8</v>
      </c>
      <c r="J8" s="6" t="str">
        <f>_xlfn.XLOOKUP($I8,Tab_Def_Flows[Flow_Name],Tab_Def_Flows[Flow_ID],,0,1)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20" t="e">
        <f>_xlfn.XLOOKUP($D9,Tab_Def_Processes[Process_Name],Tab_Def_Processes[Process_Logic],,0,)</f>
        <v>#N/A</v>
      </c>
      <c r="F9" s="20" t="e">
        <f>_xlfn.XLOOKUP($D9,Tab_Def_Processes[Process_Name],Tab_Def_Processes[TC_Configuration],,0,)</f>
        <v>#N/A</v>
      </c>
      <c r="G9" s="20" t="e">
        <f>_xlfn.XLOOKUP($D9,Tab_Def_Processes[Process_Name],Tab_Def_Processes[Stock_Configuration],,0,)</f>
        <v>#N/A</v>
      </c>
      <c r="H9" s="20" t="e">
        <f>_xlfn.XLOOKUP($D9,Tab_Def_Processes[Process_Name],Tab_Def_Processes[Outflow_count],,0,)</f>
        <v>#N/A</v>
      </c>
      <c r="I9" s="138" t="s">
        <v>8</v>
      </c>
      <c r="J9" s="6" t="str">
        <f>_xlfn.XLOOKUP($I9,Tab_Def_Flows[Flow_Name],Tab_Def_Flows[Flow_ID],,0,1)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20" t="e">
        <f>_xlfn.XLOOKUP($D10,Tab_Def_Processes[Process_Name],Tab_Def_Processes[Process_Logic],,0,)</f>
        <v>#N/A</v>
      </c>
      <c r="F10" s="20" t="e">
        <f>_xlfn.XLOOKUP($D10,Tab_Def_Processes[Process_Name],Tab_Def_Processes[TC_Configuration],,0,)</f>
        <v>#N/A</v>
      </c>
      <c r="G10" s="20" t="e">
        <f>_xlfn.XLOOKUP($D10,Tab_Def_Processes[Process_Name],Tab_Def_Processes[Stock_Configuration],,0,)</f>
        <v>#N/A</v>
      </c>
      <c r="H10" s="20" t="e">
        <f>_xlfn.XLOOKUP($D10,Tab_Def_Processes[Process_Name],Tab_Def_Processes[Outflow_count],,0,)</f>
        <v>#N/A</v>
      </c>
      <c r="I10" s="138" t="s">
        <v>8</v>
      </c>
      <c r="J10" s="6" t="str">
        <f>_xlfn.XLOOKUP($I10,Tab_Def_Flows[Flow_Name],Tab_Def_Flows[Flow_ID],,0,1)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20" t="e">
        <f>_xlfn.XLOOKUP($D11,Tab_Def_Processes[Process_Name],Tab_Def_Processes[Process_Logic],,0,)</f>
        <v>#N/A</v>
      </c>
      <c r="F11" s="20" t="e">
        <f>_xlfn.XLOOKUP($D11,Tab_Def_Processes[Process_Name],Tab_Def_Processes[TC_Configuration],,0,)</f>
        <v>#N/A</v>
      </c>
      <c r="G11" s="20" t="e">
        <f>_xlfn.XLOOKUP($D11,Tab_Def_Processes[Process_Name],Tab_Def_Processes[Stock_Configuration],,0,)</f>
        <v>#N/A</v>
      </c>
      <c r="H11" s="20" t="e">
        <f>_xlfn.XLOOKUP($D11,Tab_Def_Processes[Process_Name],Tab_Def_Processes[Outflow_count],,0,)</f>
        <v>#N/A</v>
      </c>
      <c r="I11" s="138" t="s">
        <v>8</v>
      </c>
      <c r="J11" s="6" t="str">
        <f>_xlfn.XLOOKUP($I11,Tab_Def_Flows[Flow_Name],Tab_Def_Flows[Flow_ID],,0,1)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20" t="e">
        <f>_xlfn.XLOOKUP($D12,Tab_Def_Processes[Process_Name],Tab_Def_Processes[Process_Logic],,0,)</f>
        <v>#N/A</v>
      </c>
      <c r="F12" s="20" t="e">
        <f>_xlfn.XLOOKUP($D12,Tab_Def_Processes[Process_Name],Tab_Def_Processes[TC_Configuration],,0,)</f>
        <v>#N/A</v>
      </c>
      <c r="G12" s="20" t="e">
        <f>_xlfn.XLOOKUP($D12,Tab_Def_Processes[Process_Name],Tab_Def_Processes[Stock_Configuration],,0,)</f>
        <v>#N/A</v>
      </c>
      <c r="H12" s="20" t="e">
        <f>_xlfn.XLOOKUP($D12,Tab_Def_Processes[Process_Name],Tab_Def_Processes[Outflow_count],,0,)</f>
        <v>#N/A</v>
      </c>
      <c r="I12" s="138" t="s">
        <v>8</v>
      </c>
      <c r="J12" s="6" t="str">
        <f>_xlfn.XLOOKUP($I12,Tab_Def_Flows[Flow_Name],Tab_Def_Flows[Flow_ID],,0,1)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20" t="e">
        <f>_xlfn.XLOOKUP($D13,Tab_Def_Processes[Process_Name],Tab_Def_Processes[Process_Logic],,0,)</f>
        <v>#N/A</v>
      </c>
      <c r="F13" s="20" t="e">
        <f>_xlfn.XLOOKUP($D13,Tab_Def_Processes[Process_Name],Tab_Def_Processes[TC_Configuration],,0,)</f>
        <v>#N/A</v>
      </c>
      <c r="G13" s="20" t="e">
        <f>_xlfn.XLOOKUP($D13,Tab_Def_Processes[Process_Name],Tab_Def_Processes[Stock_Configuration],,0,)</f>
        <v>#N/A</v>
      </c>
      <c r="H13" s="20" t="e">
        <f>_xlfn.XLOOKUP($D13,Tab_Def_Processes[Process_Name],Tab_Def_Processes[Outflow_count],,0,)</f>
        <v>#N/A</v>
      </c>
      <c r="I13" s="138" t="s">
        <v>8</v>
      </c>
      <c r="J13" s="6" t="str">
        <f>_xlfn.XLOOKUP($I13,Tab_Def_Flows[Flow_Name],Tab_Def_Flows[Flow_ID],,0,1)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20" t="e">
        <f>_xlfn.XLOOKUP($D14,Tab_Def_Processes[Process_Name],Tab_Def_Processes[Process_Logic],,0,)</f>
        <v>#N/A</v>
      </c>
      <c r="F14" s="20" t="e">
        <f>_xlfn.XLOOKUP($D14,Tab_Def_Processes[Process_Name],Tab_Def_Processes[TC_Configuration],,0,)</f>
        <v>#N/A</v>
      </c>
      <c r="G14" s="20" t="e">
        <f>_xlfn.XLOOKUP($D14,Tab_Def_Processes[Process_Name],Tab_Def_Processes[Stock_Configuration],,0,)</f>
        <v>#N/A</v>
      </c>
      <c r="H14" s="20" t="e">
        <f>_xlfn.XLOOKUP($D14,Tab_Def_Processes[Process_Name],Tab_Def_Processes[Outflow_count],,0,)</f>
        <v>#N/A</v>
      </c>
      <c r="I14" s="138" t="s">
        <v>8</v>
      </c>
      <c r="J14" s="6" t="str">
        <f>_xlfn.XLOOKUP($I14,Tab_Def_Flows[Flow_Name],Tab_Def_Flows[Flow_ID],,0,1)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20" t="e">
        <f>_xlfn.XLOOKUP($D15,Tab_Def_Processes[Process_Name],Tab_Def_Processes[Process_Logic],,0,)</f>
        <v>#N/A</v>
      </c>
      <c r="F15" s="20" t="e">
        <f>_xlfn.XLOOKUP($D15,Tab_Def_Processes[Process_Name],Tab_Def_Processes[TC_Configuration],,0,)</f>
        <v>#N/A</v>
      </c>
      <c r="G15" s="20" t="e">
        <f>_xlfn.XLOOKUP($D15,Tab_Def_Processes[Process_Name],Tab_Def_Processes[Stock_Configuration],,0,)</f>
        <v>#N/A</v>
      </c>
      <c r="H15" s="20" t="e">
        <f>_xlfn.XLOOKUP($D15,Tab_Def_Processes[Process_Name],Tab_Def_Processes[Outflow_count],,0,)</f>
        <v>#N/A</v>
      </c>
      <c r="I15" s="138" t="s">
        <v>8</v>
      </c>
      <c r="J15" s="6" t="str">
        <f>_xlfn.XLOOKUP($I15,Tab_Def_Flows[Flow_Name],Tab_Def_Flows[Flow_ID],,0,1)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20" t="e">
        <f>_xlfn.XLOOKUP($D16,Tab_Def_Processes[Process_Name],Tab_Def_Processes[Process_Logic],,0,)</f>
        <v>#N/A</v>
      </c>
      <c r="F16" s="20" t="e">
        <f>_xlfn.XLOOKUP($D16,Tab_Def_Processes[Process_Name],Tab_Def_Processes[TC_Configuration],,0,)</f>
        <v>#N/A</v>
      </c>
      <c r="G16" s="20" t="e">
        <f>_xlfn.XLOOKUP($D16,Tab_Def_Processes[Process_Name],Tab_Def_Processes[Stock_Configuration],,0,)</f>
        <v>#N/A</v>
      </c>
      <c r="H16" s="20" t="e">
        <f>_xlfn.XLOOKUP($D16,Tab_Def_Processes[Process_Name],Tab_Def_Processes[Outflow_count],,0,)</f>
        <v>#N/A</v>
      </c>
      <c r="I16" s="138" t="s">
        <v>8</v>
      </c>
      <c r="J16" s="6" t="str">
        <f>_xlfn.XLOOKUP($I16,Tab_Def_Flows[Flow_Name],Tab_Def_Flows[Flow_ID],,0,1)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20" t="e">
        <f>_xlfn.XLOOKUP($D17,Tab_Def_Processes[Process_Name],Tab_Def_Processes[Process_Logic],,0,)</f>
        <v>#N/A</v>
      </c>
      <c r="F17" s="20" t="e">
        <f>_xlfn.XLOOKUP($D17,Tab_Def_Processes[Process_Name],Tab_Def_Processes[TC_Configuration],,0,)</f>
        <v>#N/A</v>
      </c>
      <c r="G17" s="20" t="e">
        <f>_xlfn.XLOOKUP($D17,Tab_Def_Processes[Process_Name],Tab_Def_Processes[Stock_Configuration],,0,)</f>
        <v>#N/A</v>
      </c>
      <c r="H17" s="20" t="e">
        <f>_xlfn.XLOOKUP($D17,Tab_Def_Processes[Process_Name],Tab_Def_Processes[Outflow_count],,0,)</f>
        <v>#N/A</v>
      </c>
      <c r="I17" s="138" t="s">
        <v>8</v>
      </c>
      <c r="J17" s="6" t="str">
        <f>_xlfn.XLOOKUP($I17,Tab_Def_Flows[Flow_Name],Tab_Def_Flows[Flow_ID],,0,1)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20" t="e">
        <f>_xlfn.XLOOKUP($D18,Tab_Def_Processes[Process_Name],Tab_Def_Processes[Process_Logic],,0,)</f>
        <v>#N/A</v>
      </c>
      <c r="F18" s="20" t="e">
        <f>_xlfn.XLOOKUP($D18,Tab_Def_Processes[Process_Name],Tab_Def_Processes[TC_Configuration],,0,)</f>
        <v>#N/A</v>
      </c>
      <c r="G18" s="20" t="e">
        <f>_xlfn.XLOOKUP($D18,Tab_Def_Processes[Process_Name],Tab_Def_Processes[Stock_Configuration],,0,)</f>
        <v>#N/A</v>
      </c>
      <c r="H18" s="20" t="e">
        <f>_xlfn.XLOOKUP($D18,Tab_Def_Processes[Process_Name],Tab_Def_Processes[Outflow_count],,0,)</f>
        <v>#N/A</v>
      </c>
      <c r="I18" s="138" t="s">
        <v>8</v>
      </c>
      <c r="J18" s="6" t="str">
        <f>_xlfn.XLOOKUP($I18,Tab_Def_Flows[Flow_Name],Tab_Def_Flows[Flow_ID],,0,1)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20" t="e">
        <f>_xlfn.XLOOKUP($D19,Tab_Def_Processes[Process_Name],Tab_Def_Processes[Process_Logic],,0,)</f>
        <v>#N/A</v>
      </c>
      <c r="F19" s="20" t="e">
        <f>_xlfn.XLOOKUP($D19,Tab_Def_Processes[Process_Name],Tab_Def_Processes[TC_Configuration],,0,)</f>
        <v>#N/A</v>
      </c>
      <c r="G19" s="20" t="e">
        <f>_xlfn.XLOOKUP($D19,Tab_Def_Processes[Process_Name],Tab_Def_Processes[Stock_Configuration],,0,)</f>
        <v>#N/A</v>
      </c>
      <c r="H19" s="20" t="e">
        <f>_xlfn.XLOOKUP($D19,Tab_Def_Processes[Process_Name],Tab_Def_Processes[Outflow_count],,0,)</f>
        <v>#N/A</v>
      </c>
      <c r="I19" s="138" t="s">
        <v>8</v>
      </c>
      <c r="J19" s="6" t="str">
        <f>_xlfn.XLOOKUP($I19,Tab_Def_Flows[Flow_Name],Tab_Def_Flows[Flow_ID],,0,1)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20" t="e">
        <f>_xlfn.XLOOKUP($D20,Tab_Def_Processes[Process_Name],Tab_Def_Processes[Process_Logic],,0,)</f>
        <v>#N/A</v>
      </c>
      <c r="F20" s="20" t="e">
        <f>_xlfn.XLOOKUP($D20,Tab_Def_Processes[Process_Name],Tab_Def_Processes[TC_Configuration],,0,)</f>
        <v>#N/A</v>
      </c>
      <c r="G20" s="20" t="e">
        <f>_xlfn.XLOOKUP($D20,Tab_Def_Processes[Process_Name],Tab_Def_Processes[Stock_Configuration],,0,)</f>
        <v>#N/A</v>
      </c>
      <c r="H20" s="20" t="e">
        <f>_xlfn.XLOOKUP($D20,Tab_Def_Processes[Process_Name],Tab_Def_Processes[Outflow_count],,0,)</f>
        <v>#N/A</v>
      </c>
      <c r="I20" s="138" t="s">
        <v>8</v>
      </c>
      <c r="J20" s="6" t="str">
        <f>_xlfn.XLOOKUP($I20,Tab_Def_Flows[Flow_Name],Tab_Def_Flows[Flow_ID],,0,1)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20" t="e">
        <f>_xlfn.XLOOKUP($D21,Tab_Def_Processes[Process_Name],Tab_Def_Processes[Process_Logic],,0,)</f>
        <v>#N/A</v>
      </c>
      <c r="F21" s="20" t="e">
        <f>_xlfn.XLOOKUP($D21,Tab_Def_Processes[Process_Name],Tab_Def_Processes[TC_Configuration],,0,)</f>
        <v>#N/A</v>
      </c>
      <c r="G21" s="20" t="e">
        <f>_xlfn.XLOOKUP($D21,Tab_Def_Processes[Process_Name],Tab_Def_Processes[Stock_Configuration],,0,)</f>
        <v>#N/A</v>
      </c>
      <c r="H21" s="20" t="e">
        <f>_xlfn.XLOOKUP($D21,Tab_Def_Processes[Process_Name],Tab_Def_Processes[Outflow_count],,0,)</f>
        <v>#N/A</v>
      </c>
      <c r="I21" s="138" t="s">
        <v>8</v>
      </c>
      <c r="J21" s="6" t="str">
        <f>_xlfn.XLOOKUP($I21,Tab_Def_Flows[Flow_Name],Tab_Def_Flows[Flow_ID],,0,1)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20" t="e">
        <f>_xlfn.XLOOKUP($D22,Tab_Def_Processes[Process_Name],Tab_Def_Processes[Process_Logic],,0,)</f>
        <v>#N/A</v>
      </c>
      <c r="F22" s="20" t="e">
        <f>_xlfn.XLOOKUP($D22,Tab_Def_Processes[Process_Name],Tab_Def_Processes[TC_Configuration],,0,)</f>
        <v>#N/A</v>
      </c>
      <c r="G22" s="20" t="e">
        <f>_xlfn.XLOOKUP($D22,Tab_Def_Processes[Process_Name],Tab_Def_Processes[Stock_Configuration],,0,)</f>
        <v>#N/A</v>
      </c>
      <c r="H22" s="20" t="e">
        <f>_xlfn.XLOOKUP($D22,Tab_Def_Processes[Process_Name],Tab_Def_Processes[Outflow_count],,0,)</f>
        <v>#N/A</v>
      </c>
      <c r="I22" s="138" t="s">
        <v>8</v>
      </c>
      <c r="J22" s="6" t="str">
        <f>_xlfn.XLOOKUP($I22,Tab_Def_Flows[Flow_Name],Tab_Def_Flows[Flow_ID],,0,1)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20" t="e">
        <f>_xlfn.XLOOKUP($D23,Tab_Def_Processes[Process_Name],Tab_Def_Processes[Process_Logic],,0,)</f>
        <v>#N/A</v>
      </c>
      <c r="F23" s="20" t="e">
        <f>_xlfn.XLOOKUP($D23,Tab_Def_Processes[Process_Name],Tab_Def_Processes[TC_Configuration],,0,)</f>
        <v>#N/A</v>
      </c>
      <c r="G23" s="20" t="e">
        <f>_xlfn.XLOOKUP($D23,Tab_Def_Processes[Process_Name],Tab_Def_Processes[Stock_Configuration],,0,)</f>
        <v>#N/A</v>
      </c>
      <c r="H23" s="20" t="e">
        <f>_xlfn.XLOOKUP($D23,Tab_Def_Processes[Process_Name],Tab_Def_Processes[Outflow_count],,0,)</f>
        <v>#N/A</v>
      </c>
      <c r="I23" s="138" t="s">
        <v>8</v>
      </c>
      <c r="J23" s="6" t="str">
        <f>_xlfn.XLOOKUP($I23,Tab_Def_Flows[Flow_Name],Tab_Def_Flows[Flow_ID],,0,1)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20" t="e">
        <f>_xlfn.XLOOKUP($D24,Tab_Def_Processes[Process_Name],Tab_Def_Processes[Process_Logic],,0,)</f>
        <v>#N/A</v>
      </c>
      <c r="F24" s="20" t="e">
        <f>_xlfn.XLOOKUP($D24,Tab_Def_Processes[Process_Name],Tab_Def_Processes[TC_Configuration],,0,)</f>
        <v>#N/A</v>
      </c>
      <c r="G24" s="20" t="e">
        <f>_xlfn.XLOOKUP($D24,Tab_Def_Processes[Process_Name],Tab_Def_Processes[Stock_Configuration],,0,)</f>
        <v>#N/A</v>
      </c>
      <c r="H24" s="20" t="e">
        <f>_xlfn.XLOOKUP($D24,Tab_Def_Processes[Process_Name],Tab_Def_Processes[Outflow_count],,0,)</f>
        <v>#N/A</v>
      </c>
      <c r="I24" s="138" t="s">
        <v>8</v>
      </c>
      <c r="J24" s="6" t="str">
        <f>_xlfn.XLOOKUP($I24,Tab_Def_Flows[Flow_Name],Tab_Def_Flows[Flow_ID],,0,1)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20" t="e">
        <f>_xlfn.XLOOKUP($D25,Tab_Def_Processes[Process_Name],Tab_Def_Processes[Process_Logic],,0,)</f>
        <v>#N/A</v>
      </c>
      <c r="F25" s="20" t="e">
        <f>_xlfn.XLOOKUP($D25,Tab_Def_Processes[Process_Name],Tab_Def_Processes[TC_Configuration],,0,)</f>
        <v>#N/A</v>
      </c>
      <c r="G25" s="20" t="e">
        <f>_xlfn.XLOOKUP($D25,Tab_Def_Processes[Process_Name],Tab_Def_Processes[Stock_Configuration],,0,)</f>
        <v>#N/A</v>
      </c>
      <c r="H25" s="20" t="e">
        <f>_xlfn.XLOOKUP($D25,Tab_Def_Processes[Process_Name],Tab_Def_Processes[Outflow_count],,0,)</f>
        <v>#N/A</v>
      </c>
      <c r="I25" s="138" t="s">
        <v>8</v>
      </c>
      <c r="J25" s="6" t="str">
        <f>_xlfn.XLOOKUP($I25,Tab_Def_Flows[Flow_Name],Tab_Def_Flows[Flow_ID],,0,1)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20" t="e">
        <f>_xlfn.XLOOKUP($D26,Tab_Def_Processes[Process_Name],Tab_Def_Processes[Process_Logic],,0,)</f>
        <v>#N/A</v>
      </c>
      <c r="F26" s="20" t="e">
        <f>_xlfn.XLOOKUP($D26,Tab_Def_Processes[Process_Name],Tab_Def_Processes[TC_Configuration],,0,)</f>
        <v>#N/A</v>
      </c>
      <c r="G26" s="20" t="e">
        <f>_xlfn.XLOOKUP($D26,Tab_Def_Processes[Process_Name],Tab_Def_Processes[Stock_Configuration],,0,)</f>
        <v>#N/A</v>
      </c>
      <c r="H26" s="20" t="e">
        <f>_xlfn.XLOOKUP($D26,Tab_Def_Processes[Process_Name],Tab_Def_Processes[Outflow_count],,0,)</f>
        <v>#N/A</v>
      </c>
      <c r="I26" s="138" t="s">
        <v>8</v>
      </c>
      <c r="J26" s="6" t="str">
        <f>_xlfn.XLOOKUP($I26,Tab_Def_Flows[Flow_Name],Tab_Def_Flows[Flow_ID],,0,1)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20" t="e">
        <f>_xlfn.XLOOKUP($D27,Tab_Def_Processes[Process_Name],Tab_Def_Processes[Process_Logic],,0,)</f>
        <v>#N/A</v>
      </c>
      <c r="F27" s="20" t="e">
        <f>_xlfn.XLOOKUP($D27,Tab_Def_Processes[Process_Name],Tab_Def_Processes[TC_Configuration],,0,)</f>
        <v>#N/A</v>
      </c>
      <c r="G27" s="20" t="e">
        <f>_xlfn.XLOOKUP($D27,Tab_Def_Processes[Process_Name],Tab_Def_Processes[Stock_Configuration],,0,)</f>
        <v>#N/A</v>
      </c>
      <c r="H27" s="20" t="e">
        <f>_xlfn.XLOOKUP($D27,Tab_Def_Processes[Process_Name],Tab_Def_Processes[Outflow_count],,0,)</f>
        <v>#N/A</v>
      </c>
      <c r="I27" s="138" t="s">
        <v>8</v>
      </c>
      <c r="J27" s="6" t="str">
        <f>_xlfn.XLOOKUP($I27,Tab_Def_Flows[Flow_Name],Tab_Def_Flows[Flow_ID],,0,1)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20" t="e">
        <f>_xlfn.XLOOKUP($D28,Tab_Def_Processes[Process_Name],Tab_Def_Processes[Process_Logic],,0,)</f>
        <v>#N/A</v>
      </c>
      <c r="F28" s="20" t="e">
        <f>_xlfn.XLOOKUP($D28,Tab_Def_Processes[Process_Name],Tab_Def_Processes[TC_Configuration],,0,)</f>
        <v>#N/A</v>
      </c>
      <c r="G28" s="20" t="e">
        <f>_xlfn.XLOOKUP($D28,Tab_Def_Processes[Process_Name],Tab_Def_Processes[Stock_Configuration],,0,)</f>
        <v>#N/A</v>
      </c>
      <c r="H28" s="20" t="e">
        <f>_xlfn.XLOOKUP($D28,Tab_Def_Processes[Process_Name],Tab_Def_Processes[Outflow_count],,0,)</f>
        <v>#N/A</v>
      </c>
      <c r="I28" s="138" t="s">
        <v>8</v>
      </c>
      <c r="J28" s="6" t="str">
        <f>_xlfn.XLOOKUP($I28,Tab_Def_Flows[Flow_Name],Tab_Def_Flows[Flow_ID],,0,1)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20" t="e">
        <f>_xlfn.XLOOKUP($D29,Tab_Def_Processes[Process_Name],Tab_Def_Processes[Process_Logic],,0,)</f>
        <v>#N/A</v>
      </c>
      <c r="F29" s="20" t="e">
        <f>_xlfn.XLOOKUP($D29,Tab_Def_Processes[Process_Name],Tab_Def_Processes[TC_Configuration],,0,)</f>
        <v>#N/A</v>
      </c>
      <c r="G29" s="20" t="e">
        <f>_xlfn.XLOOKUP($D29,Tab_Def_Processes[Process_Name],Tab_Def_Processes[Stock_Configuration],,0,)</f>
        <v>#N/A</v>
      </c>
      <c r="H29" s="20" t="e">
        <f>_xlfn.XLOOKUP($D29,Tab_Def_Processes[Process_Name],Tab_Def_Processes[Outflow_count],,0,)</f>
        <v>#N/A</v>
      </c>
      <c r="I29" s="138" t="s">
        <v>8</v>
      </c>
      <c r="J29" s="6" t="str">
        <f>_xlfn.XLOOKUP($I29,Tab_Def_Flows[Flow_Name],Tab_Def_Flows[Flow_ID],,0,1)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20" t="e">
        <f>_xlfn.XLOOKUP($D30,Tab_Def_Processes[Process_Name],Tab_Def_Processes[Process_Logic],,0,)</f>
        <v>#N/A</v>
      </c>
      <c r="F30" s="20" t="e">
        <f>_xlfn.XLOOKUP($D30,Tab_Def_Processes[Process_Name],Tab_Def_Processes[TC_Configuration],,0,)</f>
        <v>#N/A</v>
      </c>
      <c r="G30" s="20" t="e">
        <f>_xlfn.XLOOKUP($D30,Tab_Def_Processes[Process_Name],Tab_Def_Processes[Stock_Configuration],,0,)</f>
        <v>#N/A</v>
      </c>
      <c r="H30" s="20" t="e">
        <f>_xlfn.XLOOKUP($D30,Tab_Def_Processes[Process_Name],Tab_Def_Processes[Outflow_count],,0,)</f>
        <v>#N/A</v>
      </c>
      <c r="I30" s="138" t="s">
        <v>8</v>
      </c>
      <c r="J30" s="6" t="str">
        <f>_xlfn.XLOOKUP($I30,Tab_Def_Flows[Flow_Name],Tab_Def_Flows[Flow_ID],,0,1)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20" t="e">
        <f>_xlfn.XLOOKUP($D31,Tab_Def_Processes[Process_Name],Tab_Def_Processes[Process_Logic],,0,)</f>
        <v>#N/A</v>
      </c>
      <c r="F31" s="20" t="e">
        <f>_xlfn.XLOOKUP($D31,Tab_Def_Processes[Process_Name],Tab_Def_Processes[TC_Configuration],,0,)</f>
        <v>#N/A</v>
      </c>
      <c r="G31" s="20" t="e">
        <f>_xlfn.XLOOKUP($D31,Tab_Def_Processes[Process_Name],Tab_Def_Processes[Stock_Configuration],,0,)</f>
        <v>#N/A</v>
      </c>
      <c r="H31" s="20" t="e">
        <f>_xlfn.XLOOKUP($D31,Tab_Def_Processes[Process_Name],Tab_Def_Processes[Outflow_count],,0,)</f>
        <v>#N/A</v>
      </c>
      <c r="I31" s="138" t="s">
        <v>8</v>
      </c>
      <c r="J31" s="6" t="str">
        <f>_xlfn.XLOOKUP($I31,Tab_Def_Flows[Flow_Name],Tab_Def_Flows[Flow_ID],,0,1)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20" t="e">
        <f>_xlfn.XLOOKUP($D32,Tab_Def_Processes[Process_Name],Tab_Def_Processes[Process_Logic],,0,)</f>
        <v>#N/A</v>
      </c>
      <c r="F32" s="20" t="e">
        <f>_xlfn.XLOOKUP($D32,Tab_Def_Processes[Process_Name],Tab_Def_Processes[TC_Configuration],,0,)</f>
        <v>#N/A</v>
      </c>
      <c r="G32" s="20" t="e">
        <f>_xlfn.XLOOKUP($D32,Tab_Def_Processes[Process_Name],Tab_Def_Processes[Stock_Configuration],,0,)</f>
        <v>#N/A</v>
      </c>
      <c r="H32" s="20" t="e">
        <f>_xlfn.XLOOKUP($D32,Tab_Def_Processes[Process_Name],Tab_Def_Processes[Outflow_count],,0,)</f>
        <v>#N/A</v>
      </c>
      <c r="I32" s="138" t="s">
        <v>8</v>
      </c>
      <c r="J32" s="6" t="str">
        <f>_xlfn.XLOOKUP($I32,Tab_Def_Flows[Flow_Name],Tab_Def_Flows[Flow_ID],,0,1)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20" t="e">
        <f>_xlfn.XLOOKUP($D33,Tab_Def_Processes[Process_Name],Tab_Def_Processes[Process_Logic],,0,)</f>
        <v>#N/A</v>
      </c>
      <c r="F33" s="20" t="e">
        <f>_xlfn.XLOOKUP($D33,Tab_Def_Processes[Process_Name],Tab_Def_Processes[TC_Configuration],,0,)</f>
        <v>#N/A</v>
      </c>
      <c r="G33" s="20" t="e">
        <f>_xlfn.XLOOKUP($D33,Tab_Def_Processes[Process_Name],Tab_Def_Processes[Stock_Configuration],,0,)</f>
        <v>#N/A</v>
      </c>
      <c r="H33" s="20" t="e">
        <f>_xlfn.XLOOKUP($D33,Tab_Def_Processes[Process_Name],Tab_Def_Processes[Outflow_count],,0,)</f>
        <v>#N/A</v>
      </c>
      <c r="I33" s="138" t="s">
        <v>8</v>
      </c>
      <c r="J33" s="6" t="str">
        <f>_xlfn.XLOOKUP($I33,Tab_Def_Flows[Flow_Name],Tab_Def_Flows[Flow_ID],,0,1)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20" t="e">
        <f>_xlfn.XLOOKUP($D34,Tab_Def_Processes[Process_Name],Tab_Def_Processes[Process_Logic],,0,)</f>
        <v>#N/A</v>
      </c>
      <c r="F34" s="20" t="e">
        <f>_xlfn.XLOOKUP($D34,Tab_Def_Processes[Process_Name],Tab_Def_Processes[TC_Configuration],,0,)</f>
        <v>#N/A</v>
      </c>
      <c r="G34" s="20" t="e">
        <f>_xlfn.XLOOKUP($D34,Tab_Def_Processes[Process_Name],Tab_Def_Processes[Stock_Configuration],,0,)</f>
        <v>#N/A</v>
      </c>
      <c r="H34" s="20" t="e">
        <f>_xlfn.XLOOKUP($D34,Tab_Def_Processes[Process_Name],Tab_Def_Processes[Outflow_count],,0,)</f>
        <v>#N/A</v>
      </c>
      <c r="I34" s="138" t="s">
        <v>8</v>
      </c>
      <c r="J34" s="6" t="str">
        <f>_xlfn.XLOOKUP($I34,Tab_Def_Flows[Flow_Name],Tab_Def_Flows[Flow_ID],,0,1)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20" t="e">
        <f>_xlfn.XLOOKUP($D35,Tab_Def_Processes[Process_Name],Tab_Def_Processes[Process_Logic],,0,)</f>
        <v>#N/A</v>
      </c>
      <c r="F35" s="20" t="e">
        <f>_xlfn.XLOOKUP($D35,Tab_Def_Processes[Process_Name],Tab_Def_Processes[TC_Configuration],,0,)</f>
        <v>#N/A</v>
      </c>
      <c r="G35" s="20" t="e">
        <f>_xlfn.XLOOKUP($D35,Tab_Def_Processes[Process_Name],Tab_Def_Processes[Stock_Configuration],,0,)</f>
        <v>#N/A</v>
      </c>
      <c r="H35" s="20" t="e">
        <f>_xlfn.XLOOKUP($D35,Tab_Def_Processes[Process_Name],Tab_Def_Processes[Outflow_count],,0,)</f>
        <v>#N/A</v>
      </c>
      <c r="I35" s="138" t="s">
        <v>8</v>
      </c>
      <c r="J35" s="6" t="str">
        <f>_xlfn.XLOOKUP($I35,Tab_Def_Flows[Flow_Name],Tab_Def_Flows[Flow_ID],,0,1)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20" t="e">
        <f>_xlfn.XLOOKUP($D36,Tab_Def_Processes[Process_Name],Tab_Def_Processes[Process_Logic],,0,)</f>
        <v>#N/A</v>
      </c>
      <c r="F36" s="20" t="e">
        <f>_xlfn.XLOOKUP($D36,Tab_Def_Processes[Process_Name],Tab_Def_Processes[TC_Configuration],,0,)</f>
        <v>#N/A</v>
      </c>
      <c r="G36" s="20" t="e">
        <f>_xlfn.XLOOKUP($D36,Tab_Def_Processes[Process_Name],Tab_Def_Processes[Stock_Configuration],,0,)</f>
        <v>#N/A</v>
      </c>
      <c r="H36" s="20" t="e">
        <f>_xlfn.XLOOKUP($D36,Tab_Def_Processes[Process_Name],Tab_Def_Processes[Outflow_count],,0,)</f>
        <v>#N/A</v>
      </c>
      <c r="I36" s="138" t="s">
        <v>8</v>
      </c>
      <c r="J36" s="6" t="str">
        <f>_xlfn.XLOOKUP($I36,Tab_Def_Flows[Flow_Name],Tab_Def_Flows[Flow_ID],,0,1)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20" t="e">
        <f>_xlfn.XLOOKUP($D37,Tab_Def_Processes[Process_Name],Tab_Def_Processes[Process_Logic],,0,)</f>
        <v>#N/A</v>
      </c>
      <c r="F37" s="20" t="e">
        <f>_xlfn.XLOOKUP($D37,Tab_Def_Processes[Process_Name],Tab_Def_Processes[TC_Configuration],,0,)</f>
        <v>#N/A</v>
      </c>
      <c r="G37" s="20" t="e">
        <f>_xlfn.XLOOKUP($D37,Tab_Def_Processes[Process_Name],Tab_Def_Processes[Stock_Configuration],,0,)</f>
        <v>#N/A</v>
      </c>
      <c r="H37" s="20" t="e">
        <f>_xlfn.XLOOKUP($D37,Tab_Def_Processes[Process_Name],Tab_Def_Processes[Outflow_count],,0,)</f>
        <v>#N/A</v>
      </c>
      <c r="I37" s="138" t="s">
        <v>8</v>
      </c>
      <c r="J37" s="6" t="str">
        <f>_xlfn.XLOOKUP($I37,Tab_Def_Flows[Flow_Name],Tab_Def_Flows[Flow_ID],,0,1)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20" t="e">
        <f>_xlfn.XLOOKUP($D38,Tab_Def_Processes[Process_Name],Tab_Def_Processes[Process_Logic],,0,)</f>
        <v>#N/A</v>
      </c>
      <c r="F38" s="20" t="e">
        <f>_xlfn.XLOOKUP($D38,Tab_Def_Processes[Process_Name],Tab_Def_Processes[TC_Configuration],,0,)</f>
        <v>#N/A</v>
      </c>
      <c r="G38" s="20" t="e">
        <f>_xlfn.XLOOKUP($D38,Tab_Def_Processes[Process_Name],Tab_Def_Processes[Stock_Configuration],,0,)</f>
        <v>#N/A</v>
      </c>
      <c r="H38" s="20" t="e">
        <f>_xlfn.XLOOKUP($D38,Tab_Def_Processes[Process_Name],Tab_Def_Processes[Outflow_count],,0,)</f>
        <v>#N/A</v>
      </c>
      <c r="I38" s="138" t="s">
        <v>8</v>
      </c>
      <c r="J38" s="6" t="str">
        <f>_xlfn.XLOOKUP($I38,Tab_Def_Flows[Flow_Name],Tab_Def_Flows[Flow_ID],,0,1)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20" t="e">
        <f>_xlfn.XLOOKUP($D39,Tab_Def_Processes[Process_Name],Tab_Def_Processes[Process_Logic],,0,)</f>
        <v>#N/A</v>
      </c>
      <c r="F39" s="20" t="e">
        <f>_xlfn.XLOOKUP($D39,Tab_Def_Processes[Process_Name],Tab_Def_Processes[TC_Configuration],,0,)</f>
        <v>#N/A</v>
      </c>
      <c r="G39" s="20" t="e">
        <f>_xlfn.XLOOKUP($D39,Tab_Def_Processes[Process_Name],Tab_Def_Processes[Stock_Configuration],,0,)</f>
        <v>#N/A</v>
      </c>
      <c r="H39" s="20" t="e">
        <f>_xlfn.XLOOKUP($D39,Tab_Def_Processes[Process_Name],Tab_Def_Processes[Outflow_count],,0,)</f>
        <v>#N/A</v>
      </c>
      <c r="I39" s="138" t="s">
        <v>8</v>
      </c>
      <c r="J39" s="6" t="str">
        <f>_xlfn.XLOOKUP($I39,Tab_Def_Flows[Flow_Name],Tab_Def_Flows[Flow_ID],,0,1)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20" t="e">
        <f>_xlfn.XLOOKUP($D40,Tab_Def_Processes[Process_Name],Tab_Def_Processes[Process_Logic],,0,)</f>
        <v>#N/A</v>
      </c>
      <c r="F40" s="20" t="e">
        <f>_xlfn.XLOOKUP($D40,Tab_Def_Processes[Process_Name],Tab_Def_Processes[TC_Configuration],,0,)</f>
        <v>#N/A</v>
      </c>
      <c r="G40" s="20" t="e">
        <f>_xlfn.XLOOKUP($D40,Tab_Def_Processes[Process_Name],Tab_Def_Processes[Stock_Configuration],,0,)</f>
        <v>#N/A</v>
      </c>
      <c r="H40" s="20" t="e">
        <f>_xlfn.XLOOKUP($D40,Tab_Def_Processes[Process_Name],Tab_Def_Processes[Outflow_count],,0,)</f>
        <v>#N/A</v>
      </c>
      <c r="I40" s="138" t="s">
        <v>8</v>
      </c>
      <c r="J40" s="6" t="str">
        <f>_xlfn.XLOOKUP($I40,Tab_Def_Flows[Flow_Name],Tab_Def_Flows[Flow_ID],,0,1)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20" t="e">
        <f>_xlfn.XLOOKUP($D41,Tab_Def_Processes[Process_Name],Tab_Def_Processes[Process_Logic],,0,)</f>
        <v>#N/A</v>
      </c>
      <c r="F41" s="20" t="e">
        <f>_xlfn.XLOOKUP($D41,Tab_Def_Processes[Process_Name],Tab_Def_Processes[TC_Configuration],,0,)</f>
        <v>#N/A</v>
      </c>
      <c r="G41" s="20" t="e">
        <f>_xlfn.XLOOKUP($D41,Tab_Def_Processes[Process_Name],Tab_Def_Processes[Stock_Configuration],,0,)</f>
        <v>#N/A</v>
      </c>
      <c r="H41" s="20" t="e">
        <f>_xlfn.XLOOKUP($D41,Tab_Def_Processes[Process_Name],Tab_Def_Processes[Outflow_count],,0,)</f>
        <v>#N/A</v>
      </c>
      <c r="I41" s="138" t="s">
        <v>8</v>
      </c>
      <c r="J41" s="6" t="str">
        <f>_xlfn.XLOOKUP($I41,Tab_Def_Flows[Flow_Name],Tab_Def_Flows[Flow_ID],,0,1)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20" t="e">
        <f>_xlfn.XLOOKUP($D42,Tab_Def_Processes[Process_Name],Tab_Def_Processes[Process_Logic],,0,)</f>
        <v>#N/A</v>
      </c>
      <c r="F42" s="20" t="e">
        <f>_xlfn.XLOOKUP($D42,Tab_Def_Processes[Process_Name],Tab_Def_Processes[TC_Configuration],,0,)</f>
        <v>#N/A</v>
      </c>
      <c r="G42" s="20" t="e">
        <f>_xlfn.XLOOKUP($D42,Tab_Def_Processes[Process_Name],Tab_Def_Processes[Stock_Configuration],,0,)</f>
        <v>#N/A</v>
      </c>
      <c r="H42" s="20" t="e">
        <f>_xlfn.XLOOKUP($D42,Tab_Def_Processes[Process_Name],Tab_Def_Processes[Outflow_count],,0,)</f>
        <v>#N/A</v>
      </c>
      <c r="I42" s="138" t="s">
        <v>8</v>
      </c>
      <c r="J42" s="6" t="str">
        <f>_xlfn.XLOOKUP($I42,Tab_Def_Flows[Flow_Name],Tab_Def_Flows[Flow_ID],,0,1)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20" t="e">
        <f>_xlfn.XLOOKUP($D43,Tab_Def_Processes[Process_Name],Tab_Def_Processes[Process_Logic],,0,)</f>
        <v>#N/A</v>
      </c>
      <c r="F43" s="20" t="e">
        <f>_xlfn.XLOOKUP($D43,Tab_Def_Processes[Process_Name],Tab_Def_Processes[TC_Configuration],,0,)</f>
        <v>#N/A</v>
      </c>
      <c r="G43" s="20" t="e">
        <f>_xlfn.XLOOKUP($D43,Tab_Def_Processes[Process_Name],Tab_Def_Processes[Stock_Configuration],,0,)</f>
        <v>#N/A</v>
      </c>
      <c r="H43" s="20" t="e">
        <f>_xlfn.XLOOKUP($D43,Tab_Def_Processes[Process_Name],Tab_Def_Processes[Outflow_count],,0,)</f>
        <v>#N/A</v>
      </c>
      <c r="I43" s="138" t="s">
        <v>8</v>
      </c>
      <c r="J43" s="6" t="str">
        <f>_xlfn.XLOOKUP($I43,Tab_Def_Flows[Flow_Name],Tab_Def_Flows[Flow_ID],,0,1)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20" t="e">
        <f>_xlfn.XLOOKUP($D44,Tab_Def_Processes[Process_Name],Tab_Def_Processes[Process_Logic],,0,)</f>
        <v>#N/A</v>
      </c>
      <c r="F44" s="20" t="e">
        <f>_xlfn.XLOOKUP($D44,Tab_Def_Processes[Process_Name],Tab_Def_Processes[TC_Configuration],,0,)</f>
        <v>#N/A</v>
      </c>
      <c r="G44" s="20" t="e">
        <f>_xlfn.XLOOKUP($D44,Tab_Def_Processes[Process_Name],Tab_Def_Processes[Stock_Configuration],,0,)</f>
        <v>#N/A</v>
      </c>
      <c r="H44" s="20" t="e">
        <f>_xlfn.XLOOKUP($D44,Tab_Def_Processes[Process_Name],Tab_Def_Processes[Outflow_count],,0,)</f>
        <v>#N/A</v>
      </c>
      <c r="I44" s="138" t="s">
        <v>8</v>
      </c>
      <c r="J44" s="6" t="str">
        <f>_xlfn.XLOOKUP($I44,Tab_Def_Flows[Flow_Name],Tab_Def_Flows[Flow_ID],,0,1)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20" t="e">
        <f>_xlfn.XLOOKUP($D45,Tab_Def_Processes[Process_Name],Tab_Def_Processes[Process_Logic],,0,)</f>
        <v>#N/A</v>
      </c>
      <c r="F45" s="20" t="e">
        <f>_xlfn.XLOOKUP($D45,Tab_Def_Processes[Process_Name],Tab_Def_Processes[TC_Configuration],,0,)</f>
        <v>#N/A</v>
      </c>
      <c r="G45" s="20" t="e">
        <f>_xlfn.XLOOKUP($D45,Tab_Def_Processes[Process_Name],Tab_Def_Processes[Stock_Configuration],,0,)</f>
        <v>#N/A</v>
      </c>
      <c r="H45" s="20" t="e">
        <f>_xlfn.XLOOKUP($D45,Tab_Def_Processes[Process_Name],Tab_Def_Processes[Outflow_count],,0,)</f>
        <v>#N/A</v>
      </c>
      <c r="I45" s="138" t="s">
        <v>8</v>
      </c>
      <c r="J45" s="6" t="str">
        <f>_xlfn.XLOOKUP($I45,Tab_Def_Flows[Flow_Name],Tab_Def_Flows[Flow_ID],,0,1)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20" t="e">
        <f>_xlfn.XLOOKUP($D46,Tab_Def_Processes[Process_Name],Tab_Def_Processes[Process_Logic],,0,)</f>
        <v>#N/A</v>
      </c>
      <c r="F46" s="20" t="e">
        <f>_xlfn.XLOOKUP($D46,Tab_Def_Processes[Process_Name],Tab_Def_Processes[TC_Configuration],,0,)</f>
        <v>#N/A</v>
      </c>
      <c r="G46" s="20" t="e">
        <f>_xlfn.XLOOKUP($D46,Tab_Def_Processes[Process_Name],Tab_Def_Processes[Stock_Configuration],,0,)</f>
        <v>#N/A</v>
      </c>
      <c r="H46" s="20" t="e">
        <f>_xlfn.XLOOKUP($D46,Tab_Def_Processes[Process_Name],Tab_Def_Processes[Outflow_count],,0,)</f>
        <v>#N/A</v>
      </c>
      <c r="I46" s="138" t="s">
        <v>8</v>
      </c>
      <c r="J46" s="6" t="str">
        <f>_xlfn.XLOOKUP($I46,Tab_Def_Flows[Flow_Name],Tab_Def_Flows[Flow_ID],,0,1)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20" t="e">
        <f>_xlfn.XLOOKUP($D47,Tab_Def_Processes[Process_Name],Tab_Def_Processes[Process_Logic],,0,)</f>
        <v>#N/A</v>
      </c>
      <c r="F47" s="20" t="e">
        <f>_xlfn.XLOOKUP($D47,Tab_Def_Processes[Process_Name],Tab_Def_Processes[TC_Configuration],,0,)</f>
        <v>#N/A</v>
      </c>
      <c r="G47" s="20" t="e">
        <f>_xlfn.XLOOKUP($D47,Tab_Def_Processes[Process_Name],Tab_Def_Processes[Stock_Configuration],,0,)</f>
        <v>#N/A</v>
      </c>
      <c r="H47" s="20" t="e">
        <f>_xlfn.XLOOKUP($D47,Tab_Def_Processes[Process_Name],Tab_Def_Processes[Outflow_count],,0,)</f>
        <v>#N/A</v>
      </c>
      <c r="I47" s="138" t="s">
        <v>8</v>
      </c>
      <c r="J47" s="6" t="str">
        <f>_xlfn.XLOOKUP($I47,Tab_Def_Flows[Flow_Name],Tab_Def_Flows[Flow_ID],,0,1)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20" t="e">
        <f>_xlfn.XLOOKUP($D48,Tab_Def_Processes[Process_Name],Tab_Def_Processes[Process_Logic],,0,)</f>
        <v>#N/A</v>
      </c>
      <c r="F48" s="20" t="e">
        <f>_xlfn.XLOOKUP($D48,Tab_Def_Processes[Process_Name],Tab_Def_Processes[TC_Configuration],,0,)</f>
        <v>#N/A</v>
      </c>
      <c r="G48" s="20" t="e">
        <f>_xlfn.XLOOKUP($D48,Tab_Def_Processes[Process_Name],Tab_Def_Processes[Stock_Configuration],,0,)</f>
        <v>#N/A</v>
      </c>
      <c r="H48" s="20" t="e">
        <f>_xlfn.XLOOKUP($D48,Tab_Def_Processes[Process_Name],Tab_Def_Processes[Outflow_count],,0,)</f>
        <v>#N/A</v>
      </c>
      <c r="I48" s="138" t="s">
        <v>8</v>
      </c>
      <c r="J48" s="6" t="str">
        <f>_xlfn.XLOOKUP($I48,Tab_Def_Flows[Flow_Name],Tab_Def_Flows[Flow_ID],,0,1)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20" t="e">
        <f>_xlfn.XLOOKUP($D49,Tab_Def_Processes[Process_Name],Tab_Def_Processes[Process_Logic],,0,)</f>
        <v>#N/A</v>
      </c>
      <c r="F49" s="20" t="e">
        <f>_xlfn.XLOOKUP($D49,Tab_Def_Processes[Process_Name],Tab_Def_Processes[TC_Configuration],,0,)</f>
        <v>#N/A</v>
      </c>
      <c r="G49" s="20" t="e">
        <f>_xlfn.XLOOKUP($D49,Tab_Def_Processes[Process_Name],Tab_Def_Processes[Stock_Configuration],,0,)</f>
        <v>#N/A</v>
      </c>
      <c r="H49" s="20" t="e">
        <f>_xlfn.XLOOKUP($D49,Tab_Def_Processes[Process_Name],Tab_Def_Processes[Outflow_count],,0,)</f>
        <v>#N/A</v>
      </c>
      <c r="I49" s="138" t="s">
        <v>8</v>
      </c>
      <c r="J49" s="6" t="str">
        <f>_xlfn.XLOOKUP($I49,Tab_Def_Flows[Flow_Name],Tab_Def_Flows[Flow_ID],,0,1)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20" t="e">
        <f>_xlfn.XLOOKUP($D50,Tab_Def_Processes[Process_Name],Tab_Def_Processes[Process_Logic],,0,)</f>
        <v>#N/A</v>
      </c>
      <c r="F50" s="20" t="e">
        <f>_xlfn.XLOOKUP($D50,Tab_Def_Processes[Process_Name],Tab_Def_Processes[TC_Configuration],,0,)</f>
        <v>#N/A</v>
      </c>
      <c r="G50" s="20" t="e">
        <f>_xlfn.XLOOKUP($D50,Tab_Def_Processes[Process_Name],Tab_Def_Processes[Stock_Configuration],,0,)</f>
        <v>#N/A</v>
      </c>
      <c r="H50" s="20" t="e">
        <f>_xlfn.XLOOKUP($D50,Tab_Def_Processes[Process_Name],Tab_Def_Processes[Outflow_count],,0,)</f>
        <v>#N/A</v>
      </c>
      <c r="I50" s="138" t="s">
        <v>8</v>
      </c>
      <c r="J50" s="6" t="str">
        <f>_xlfn.XLOOKUP($I50,Tab_Def_Flows[Flow_Name],Tab_Def_Flows[Flow_ID],,0,1)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20" t="e">
        <f>_xlfn.XLOOKUP($D51,Tab_Def_Processes[Process_Name],Tab_Def_Processes[Process_Logic],,0,)</f>
        <v>#N/A</v>
      </c>
      <c r="F51" s="20" t="e">
        <f>_xlfn.XLOOKUP($D51,Tab_Def_Processes[Process_Name],Tab_Def_Processes[TC_Configuration],,0,)</f>
        <v>#N/A</v>
      </c>
      <c r="G51" s="20" t="e">
        <f>_xlfn.XLOOKUP($D51,Tab_Def_Processes[Process_Name],Tab_Def_Processes[Stock_Configuration],,0,)</f>
        <v>#N/A</v>
      </c>
      <c r="H51" s="20" t="e">
        <f>_xlfn.XLOOKUP($D51,Tab_Def_Processes[Process_Name],Tab_Def_Processes[Outflow_count],,0,)</f>
        <v>#N/A</v>
      </c>
      <c r="I51" s="138" t="s">
        <v>8</v>
      </c>
      <c r="J51" s="6" t="str">
        <f>_xlfn.XLOOKUP($I51,Tab_Def_Flows[Flow_Name],Tab_Def_Flows[Flow_ID],,0,1)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20" t="e">
        <f>_xlfn.XLOOKUP($D52,Tab_Def_Processes[Process_Name],Tab_Def_Processes[Process_Logic],,0,)</f>
        <v>#N/A</v>
      </c>
      <c r="F52" s="20" t="e">
        <f>_xlfn.XLOOKUP($D52,Tab_Def_Processes[Process_Name],Tab_Def_Processes[TC_Configuration],,0,)</f>
        <v>#N/A</v>
      </c>
      <c r="G52" s="20" t="e">
        <f>_xlfn.XLOOKUP($D52,Tab_Def_Processes[Process_Name],Tab_Def_Processes[Stock_Configuration],,0,)</f>
        <v>#N/A</v>
      </c>
      <c r="H52" s="20" t="e">
        <f>_xlfn.XLOOKUP($D52,Tab_Def_Processes[Process_Name],Tab_Def_Processes[Outflow_count],,0,)</f>
        <v>#N/A</v>
      </c>
      <c r="I52" s="138" t="s">
        <v>8</v>
      </c>
      <c r="J52" s="6" t="str">
        <f>_xlfn.XLOOKUP($I52,Tab_Def_Flows[Flow_Name],Tab_Def_Flows[Flow_ID],,0,1)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20" t="e">
        <f>_xlfn.XLOOKUP($D53,Tab_Def_Processes[Process_Name],Tab_Def_Processes[Process_Logic],,0,)</f>
        <v>#N/A</v>
      </c>
      <c r="F53" s="20" t="e">
        <f>_xlfn.XLOOKUP($D53,Tab_Def_Processes[Process_Name],Tab_Def_Processes[TC_Configuration],,0,)</f>
        <v>#N/A</v>
      </c>
      <c r="G53" s="20" t="e">
        <f>_xlfn.XLOOKUP($D53,Tab_Def_Processes[Process_Name],Tab_Def_Processes[Stock_Configuration],,0,)</f>
        <v>#N/A</v>
      </c>
      <c r="H53" s="20" t="e">
        <f>_xlfn.XLOOKUP($D53,Tab_Def_Processes[Process_Name],Tab_Def_Processes[Outflow_count],,0,)</f>
        <v>#N/A</v>
      </c>
      <c r="I53" s="138" t="s">
        <v>8</v>
      </c>
      <c r="J53" s="6" t="str">
        <f>_xlfn.XLOOKUP($I53,Tab_Def_Flows[Flow_Name],Tab_Def_Flows[Flow_ID],,0,1)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20" t="e">
        <f>_xlfn.XLOOKUP($D54,Tab_Def_Processes[Process_Name],Tab_Def_Processes[Process_Logic],,0,)</f>
        <v>#N/A</v>
      </c>
      <c r="F54" s="20" t="e">
        <f>_xlfn.XLOOKUP($D54,Tab_Def_Processes[Process_Name],Tab_Def_Processes[TC_Configuration],,0,)</f>
        <v>#N/A</v>
      </c>
      <c r="G54" s="20" t="e">
        <f>_xlfn.XLOOKUP($D54,Tab_Def_Processes[Process_Name],Tab_Def_Processes[Stock_Configuration],,0,)</f>
        <v>#N/A</v>
      </c>
      <c r="H54" s="20" t="e">
        <f>_xlfn.XLOOKUP($D54,Tab_Def_Processes[Process_Name],Tab_Def_Processes[Outflow_count],,0,)</f>
        <v>#N/A</v>
      </c>
      <c r="I54" s="138" t="s">
        <v>8</v>
      </c>
      <c r="J54" s="6" t="str">
        <f>_xlfn.XLOOKUP($I54,Tab_Def_Flows[Flow_Name],Tab_Def_Flows[Flow_ID],,0,1)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20" t="e">
        <f>_xlfn.XLOOKUP($D55,Tab_Def_Processes[Process_Name],Tab_Def_Processes[Process_Logic],,0,)</f>
        <v>#N/A</v>
      </c>
      <c r="F55" s="20" t="e">
        <f>_xlfn.XLOOKUP($D55,Tab_Def_Processes[Process_Name],Tab_Def_Processes[TC_Configuration],,0,)</f>
        <v>#N/A</v>
      </c>
      <c r="G55" s="20" t="e">
        <f>_xlfn.XLOOKUP($D55,Tab_Def_Processes[Process_Name],Tab_Def_Processes[Stock_Configuration],,0,)</f>
        <v>#N/A</v>
      </c>
      <c r="H55" s="20" t="e">
        <f>_xlfn.XLOOKUP($D55,Tab_Def_Processes[Process_Name],Tab_Def_Processes[Outflow_count],,0,)</f>
        <v>#N/A</v>
      </c>
      <c r="I55" s="138" t="s">
        <v>8</v>
      </c>
      <c r="J55" s="6" t="str">
        <f>_xlfn.XLOOKUP($I55,Tab_Def_Flows[Flow_Name],Tab_Def_Flows[Flow_ID],,0,1)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20" t="e">
        <f>_xlfn.XLOOKUP($D56,Tab_Def_Processes[Process_Name],Tab_Def_Processes[Process_Logic],,0,)</f>
        <v>#N/A</v>
      </c>
      <c r="F56" s="20" t="e">
        <f>_xlfn.XLOOKUP($D56,Tab_Def_Processes[Process_Name],Tab_Def_Processes[TC_Configuration],,0,)</f>
        <v>#N/A</v>
      </c>
      <c r="G56" s="20" t="e">
        <f>_xlfn.XLOOKUP($D56,Tab_Def_Processes[Process_Name],Tab_Def_Processes[Stock_Configuration],,0,)</f>
        <v>#N/A</v>
      </c>
      <c r="H56" s="20" t="e">
        <f>_xlfn.XLOOKUP($D56,Tab_Def_Processes[Process_Name],Tab_Def_Processes[Outflow_count],,0,)</f>
        <v>#N/A</v>
      </c>
      <c r="I56" s="138" t="s">
        <v>8</v>
      </c>
      <c r="J56" s="6" t="str">
        <f>_xlfn.XLOOKUP($I56,Tab_Def_Flows[Flow_Name],Tab_Def_Flows[Flow_ID],,0,1)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20" t="e">
        <f>_xlfn.XLOOKUP($D57,Tab_Def_Processes[Process_Name],Tab_Def_Processes[Process_Logic],,0,)</f>
        <v>#N/A</v>
      </c>
      <c r="F57" s="20" t="e">
        <f>_xlfn.XLOOKUP($D57,Tab_Def_Processes[Process_Name],Tab_Def_Processes[TC_Configuration],,0,)</f>
        <v>#N/A</v>
      </c>
      <c r="G57" s="20" t="e">
        <f>_xlfn.XLOOKUP($D57,Tab_Def_Processes[Process_Name],Tab_Def_Processes[Stock_Configuration],,0,)</f>
        <v>#N/A</v>
      </c>
      <c r="H57" s="20" t="e">
        <f>_xlfn.XLOOKUP($D57,Tab_Def_Processes[Process_Name],Tab_Def_Processes[Outflow_count],,0,)</f>
        <v>#N/A</v>
      </c>
      <c r="I57" s="138" t="s">
        <v>8</v>
      </c>
      <c r="J57" s="6" t="str">
        <f>_xlfn.XLOOKUP($I57,Tab_Def_Flows[Flow_Name],Tab_Def_Flows[Flow_ID],,0,1)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20" t="e">
        <f>_xlfn.XLOOKUP($D58,Tab_Def_Processes[Process_Name],Tab_Def_Processes[Process_Logic],,0,)</f>
        <v>#N/A</v>
      </c>
      <c r="F58" s="20" t="e">
        <f>_xlfn.XLOOKUP($D58,Tab_Def_Processes[Process_Name],Tab_Def_Processes[TC_Configuration],,0,)</f>
        <v>#N/A</v>
      </c>
      <c r="G58" s="20" t="e">
        <f>_xlfn.XLOOKUP($D58,Tab_Def_Processes[Process_Name],Tab_Def_Processes[Stock_Configuration],,0,)</f>
        <v>#N/A</v>
      </c>
      <c r="H58" s="20" t="e">
        <f>_xlfn.XLOOKUP($D58,Tab_Def_Processes[Process_Name],Tab_Def_Processes[Outflow_count],,0,)</f>
        <v>#N/A</v>
      </c>
      <c r="I58" s="138" t="s">
        <v>8</v>
      </c>
      <c r="J58" s="6" t="str">
        <f>_xlfn.XLOOKUP($I58,Tab_Def_Flows[Flow_Name],Tab_Def_Flows[Flow_ID],,0,1)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20" t="e">
        <f>_xlfn.XLOOKUP($D59,Tab_Def_Processes[Process_Name],Tab_Def_Processes[Process_Logic],,0,)</f>
        <v>#N/A</v>
      </c>
      <c r="F59" s="20" t="e">
        <f>_xlfn.XLOOKUP($D59,Tab_Def_Processes[Process_Name],Tab_Def_Processes[TC_Configuration],,0,)</f>
        <v>#N/A</v>
      </c>
      <c r="G59" s="20" t="e">
        <f>_xlfn.XLOOKUP($D59,Tab_Def_Processes[Process_Name],Tab_Def_Processes[Stock_Configuration],,0,)</f>
        <v>#N/A</v>
      </c>
      <c r="H59" s="20" t="e">
        <f>_xlfn.XLOOKUP($D59,Tab_Def_Processes[Process_Name],Tab_Def_Processes[Outflow_count],,0,)</f>
        <v>#N/A</v>
      </c>
      <c r="I59" s="138" t="s">
        <v>8</v>
      </c>
      <c r="J59" s="6" t="str">
        <f>_xlfn.XLOOKUP($I59,Tab_Def_Flows[Flow_Name],Tab_Def_Flows[Flow_ID],,0,1)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20" t="e">
        <f>_xlfn.XLOOKUP($D60,Tab_Def_Processes[Process_Name],Tab_Def_Processes[Process_Logic],,0,)</f>
        <v>#N/A</v>
      </c>
      <c r="F60" s="20" t="e">
        <f>_xlfn.XLOOKUP($D60,Tab_Def_Processes[Process_Name],Tab_Def_Processes[TC_Configuration],,0,)</f>
        <v>#N/A</v>
      </c>
      <c r="G60" s="20" t="e">
        <f>_xlfn.XLOOKUP($D60,Tab_Def_Processes[Process_Name],Tab_Def_Processes[Stock_Configuration],,0,)</f>
        <v>#N/A</v>
      </c>
      <c r="H60" s="20" t="e">
        <f>_xlfn.XLOOKUP($D60,Tab_Def_Processes[Process_Name],Tab_Def_Processes[Outflow_count],,0,)</f>
        <v>#N/A</v>
      </c>
      <c r="I60" s="138" t="s">
        <v>8</v>
      </c>
      <c r="J60" s="6" t="str">
        <f>_xlfn.XLOOKUP($I60,Tab_Def_Flows[Flow_Name],Tab_Def_Flows[Flow_ID],,0,1)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20" t="e">
        <f>_xlfn.XLOOKUP($D61,Tab_Def_Processes[Process_Name],Tab_Def_Processes[Process_Logic],,0,)</f>
        <v>#N/A</v>
      </c>
      <c r="F61" s="20" t="e">
        <f>_xlfn.XLOOKUP($D61,Tab_Def_Processes[Process_Name],Tab_Def_Processes[TC_Configuration],,0,)</f>
        <v>#N/A</v>
      </c>
      <c r="G61" s="20" t="e">
        <f>_xlfn.XLOOKUP($D61,Tab_Def_Processes[Process_Name],Tab_Def_Processes[Stock_Configuration],,0,)</f>
        <v>#N/A</v>
      </c>
      <c r="H61" s="20" t="e">
        <f>_xlfn.XLOOKUP($D61,Tab_Def_Processes[Process_Name],Tab_Def_Processes[Outflow_count],,0,)</f>
        <v>#N/A</v>
      </c>
      <c r="I61" s="138" t="s">
        <v>8</v>
      </c>
      <c r="J61" s="6" t="str">
        <f>_xlfn.XLOOKUP($I61,Tab_Def_Flows[Flow_Name],Tab_Def_Flows[Flow_ID],,0,1)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20" t="e">
        <f>_xlfn.XLOOKUP($D62,Tab_Def_Processes[Process_Name],Tab_Def_Processes[Process_Logic],,0,)</f>
        <v>#N/A</v>
      </c>
      <c r="F62" s="20" t="e">
        <f>_xlfn.XLOOKUP($D62,Tab_Def_Processes[Process_Name],Tab_Def_Processes[TC_Configuration],,0,)</f>
        <v>#N/A</v>
      </c>
      <c r="G62" s="20" t="e">
        <f>_xlfn.XLOOKUP($D62,Tab_Def_Processes[Process_Name],Tab_Def_Processes[Stock_Configuration],,0,)</f>
        <v>#N/A</v>
      </c>
      <c r="H62" s="20" t="e">
        <f>_xlfn.XLOOKUP($D62,Tab_Def_Processes[Process_Name],Tab_Def_Processes[Outflow_count],,0,)</f>
        <v>#N/A</v>
      </c>
      <c r="I62" s="138" t="s">
        <v>8</v>
      </c>
      <c r="J62" s="6" t="str">
        <f>_xlfn.XLOOKUP($I62,Tab_Def_Flows[Flow_Name],Tab_Def_Flows[Flow_ID],,0,1)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20" t="e">
        <f>_xlfn.XLOOKUP($D63,Tab_Def_Processes[Process_Name],Tab_Def_Processes[Process_Logic],,0,)</f>
        <v>#N/A</v>
      </c>
      <c r="F63" s="20" t="e">
        <f>_xlfn.XLOOKUP($D63,Tab_Def_Processes[Process_Name],Tab_Def_Processes[TC_Configuration],,0,)</f>
        <v>#N/A</v>
      </c>
      <c r="G63" s="20" t="e">
        <f>_xlfn.XLOOKUP($D63,Tab_Def_Processes[Process_Name],Tab_Def_Processes[Stock_Configuration],,0,)</f>
        <v>#N/A</v>
      </c>
      <c r="H63" s="20" t="e">
        <f>_xlfn.XLOOKUP($D63,Tab_Def_Processes[Process_Name],Tab_Def_Processes[Outflow_count],,0,)</f>
        <v>#N/A</v>
      </c>
      <c r="I63" s="138" t="s">
        <v>8</v>
      </c>
      <c r="J63" s="6" t="str">
        <f>_xlfn.XLOOKUP($I63,Tab_Def_Flows[Flow_Name],Tab_Def_Flows[Flow_ID],,0,1)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20" t="e">
        <f>_xlfn.XLOOKUP($D64,Tab_Def_Processes[Process_Name],Tab_Def_Processes[Process_Logic],,0,)</f>
        <v>#N/A</v>
      </c>
      <c r="F64" s="20" t="e">
        <f>_xlfn.XLOOKUP($D64,Tab_Def_Processes[Process_Name],Tab_Def_Processes[TC_Configuration],,0,)</f>
        <v>#N/A</v>
      </c>
      <c r="G64" s="20" t="e">
        <f>_xlfn.XLOOKUP($D64,Tab_Def_Processes[Process_Name],Tab_Def_Processes[Stock_Configuration],,0,)</f>
        <v>#N/A</v>
      </c>
      <c r="H64" s="20" t="e">
        <f>_xlfn.XLOOKUP($D64,Tab_Def_Processes[Process_Name],Tab_Def_Processes[Outflow_count],,0,)</f>
        <v>#N/A</v>
      </c>
      <c r="I64" s="138" t="s">
        <v>8</v>
      </c>
      <c r="J64" s="6" t="str">
        <f>_xlfn.XLOOKUP($I64,Tab_Def_Flows[Flow_Name],Tab_Def_Flows[Flow_ID],,0,1)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20" t="e">
        <f>_xlfn.XLOOKUP($D65,Tab_Def_Processes[Process_Name],Tab_Def_Processes[Process_Logic],,0,)</f>
        <v>#N/A</v>
      </c>
      <c r="F65" s="20" t="e">
        <f>_xlfn.XLOOKUP($D65,Tab_Def_Processes[Process_Name],Tab_Def_Processes[TC_Configuration],,0,)</f>
        <v>#N/A</v>
      </c>
      <c r="G65" s="20" t="e">
        <f>_xlfn.XLOOKUP($D65,Tab_Def_Processes[Process_Name],Tab_Def_Processes[Stock_Configuration],,0,)</f>
        <v>#N/A</v>
      </c>
      <c r="H65" s="20" t="e">
        <f>_xlfn.XLOOKUP($D65,Tab_Def_Processes[Process_Name],Tab_Def_Processes[Outflow_count],,0,)</f>
        <v>#N/A</v>
      </c>
      <c r="I65" s="138" t="s">
        <v>8</v>
      </c>
      <c r="J65" s="6" t="str">
        <f>_xlfn.XLOOKUP($I65,Tab_Def_Flows[Flow_Name],Tab_Def_Flows[Flow_ID],,0,1)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20" t="e">
        <f>_xlfn.XLOOKUP($D66,Tab_Def_Processes[Process_Name],Tab_Def_Processes[Process_Logic],,0,)</f>
        <v>#N/A</v>
      </c>
      <c r="F66" s="20" t="e">
        <f>_xlfn.XLOOKUP($D66,Tab_Def_Processes[Process_Name],Tab_Def_Processes[TC_Configuration],,0,)</f>
        <v>#N/A</v>
      </c>
      <c r="G66" s="20" t="e">
        <f>_xlfn.XLOOKUP($D66,Tab_Def_Processes[Process_Name],Tab_Def_Processes[Stock_Configuration],,0,)</f>
        <v>#N/A</v>
      </c>
      <c r="H66" s="20" t="e">
        <f>_xlfn.XLOOKUP($D66,Tab_Def_Processes[Process_Name],Tab_Def_Processes[Outflow_count],,0,)</f>
        <v>#N/A</v>
      </c>
      <c r="I66" s="138" t="s">
        <v>8</v>
      </c>
      <c r="J66" s="6" t="str">
        <f>_xlfn.XLOOKUP($I66,Tab_Def_Flows[Flow_Name],Tab_Def_Flows[Flow_ID],,0,1)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20" t="e">
        <f>_xlfn.XLOOKUP($D67,Tab_Def_Processes[Process_Name],Tab_Def_Processes[Process_Logic],,0,)</f>
        <v>#N/A</v>
      </c>
      <c r="F67" s="20" t="e">
        <f>_xlfn.XLOOKUP($D67,Tab_Def_Processes[Process_Name],Tab_Def_Processes[TC_Configuration],,0,)</f>
        <v>#N/A</v>
      </c>
      <c r="G67" s="20" t="e">
        <f>_xlfn.XLOOKUP($D67,Tab_Def_Processes[Process_Name],Tab_Def_Processes[Stock_Configuration],,0,)</f>
        <v>#N/A</v>
      </c>
      <c r="H67" s="20" t="e">
        <f>_xlfn.XLOOKUP($D67,Tab_Def_Processes[Process_Name],Tab_Def_Processes[Outflow_count],,0,)</f>
        <v>#N/A</v>
      </c>
      <c r="I67" s="138" t="s">
        <v>8</v>
      </c>
      <c r="J67" s="6" t="str">
        <f>_xlfn.XLOOKUP($I67,Tab_Def_Flows[Flow_Name],Tab_Def_Flows[Flow_ID],,0,1)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20" t="e">
        <f>_xlfn.XLOOKUP($D68,Tab_Def_Processes[Process_Name],Tab_Def_Processes[Process_Logic],,0,)</f>
        <v>#N/A</v>
      </c>
      <c r="F68" s="20" t="e">
        <f>_xlfn.XLOOKUP($D68,Tab_Def_Processes[Process_Name],Tab_Def_Processes[TC_Configuration],,0,)</f>
        <v>#N/A</v>
      </c>
      <c r="G68" s="20" t="e">
        <f>_xlfn.XLOOKUP($D68,Tab_Def_Processes[Process_Name],Tab_Def_Processes[Stock_Configuration],,0,)</f>
        <v>#N/A</v>
      </c>
      <c r="H68" s="20" t="e">
        <f>_xlfn.XLOOKUP($D68,Tab_Def_Processes[Process_Name],Tab_Def_Processes[Outflow_count],,0,)</f>
        <v>#N/A</v>
      </c>
      <c r="I68" s="138" t="s">
        <v>8</v>
      </c>
      <c r="J68" s="6" t="str">
        <f>_xlfn.XLOOKUP($I68,Tab_Def_Flows[Flow_Name],Tab_Def_Flows[Flow_ID],,0,1)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20" t="e">
        <f>_xlfn.XLOOKUP($D69,Tab_Def_Processes[Process_Name],Tab_Def_Processes[Process_Logic],,0,)</f>
        <v>#N/A</v>
      </c>
      <c r="F69" s="20" t="e">
        <f>_xlfn.XLOOKUP($D69,Tab_Def_Processes[Process_Name],Tab_Def_Processes[TC_Configuration],,0,)</f>
        <v>#N/A</v>
      </c>
      <c r="G69" s="20" t="e">
        <f>_xlfn.XLOOKUP($D69,Tab_Def_Processes[Process_Name],Tab_Def_Processes[Stock_Configuration],,0,)</f>
        <v>#N/A</v>
      </c>
      <c r="H69" s="20" t="e">
        <f>_xlfn.XLOOKUP($D69,Tab_Def_Processes[Process_Name],Tab_Def_Processes[Outflow_count],,0,)</f>
        <v>#N/A</v>
      </c>
      <c r="I69" s="138" t="s">
        <v>8</v>
      </c>
      <c r="J69" s="6" t="str">
        <f>_xlfn.XLOOKUP($I69,Tab_Def_Flows[Flow_Name],Tab_Def_Flows[Flow_ID],,0,1)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20" t="e">
        <f>_xlfn.XLOOKUP($D70,Tab_Def_Processes[Process_Name],Tab_Def_Processes[Process_Logic],,0,)</f>
        <v>#N/A</v>
      </c>
      <c r="F70" s="20" t="e">
        <f>_xlfn.XLOOKUP($D70,Tab_Def_Processes[Process_Name],Tab_Def_Processes[TC_Configuration],,0,)</f>
        <v>#N/A</v>
      </c>
      <c r="G70" s="20" t="e">
        <f>_xlfn.XLOOKUP($D70,Tab_Def_Processes[Process_Name],Tab_Def_Processes[Stock_Configuration],,0,)</f>
        <v>#N/A</v>
      </c>
      <c r="H70" s="20" t="e">
        <f>_xlfn.XLOOKUP($D70,Tab_Def_Processes[Process_Name],Tab_Def_Processes[Outflow_count],,0,)</f>
        <v>#N/A</v>
      </c>
      <c r="I70" s="138" t="s">
        <v>8</v>
      </c>
      <c r="J70" s="6" t="str">
        <f>_xlfn.XLOOKUP($I70,Tab_Def_Flows[Flow_Name],Tab_Def_Flows[Flow_ID],,0,1)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20" t="e">
        <f>_xlfn.XLOOKUP($D71,Tab_Def_Processes[Process_Name],Tab_Def_Processes[Process_Logic],,0,)</f>
        <v>#N/A</v>
      </c>
      <c r="F71" s="20" t="e">
        <f>_xlfn.XLOOKUP($D71,Tab_Def_Processes[Process_Name],Tab_Def_Processes[TC_Configuration],,0,)</f>
        <v>#N/A</v>
      </c>
      <c r="G71" s="20" t="e">
        <f>_xlfn.XLOOKUP($D71,Tab_Def_Processes[Process_Name],Tab_Def_Processes[Stock_Configuration],,0,)</f>
        <v>#N/A</v>
      </c>
      <c r="H71" s="20" t="e">
        <f>_xlfn.XLOOKUP($D71,Tab_Def_Processes[Process_Name],Tab_Def_Processes[Outflow_count],,0,)</f>
        <v>#N/A</v>
      </c>
      <c r="I71" s="138" t="s">
        <v>8</v>
      </c>
      <c r="J71" s="6" t="str">
        <f>_xlfn.XLOOKUP($I71,Tab_Def_Flows[Flow_Name],Tab_Def_Flows[Flow_ID],,0,1)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20" t="e">
        <f>_xlfn.XLOOKUP($D72,Tab_Def_Processes[Process_Name],Tab_Def_Processes[Process_Logic],,0,)</f>
        <v>#N/A</v>
      </c>
      <c r="F72" s="20" t="e">
        <f>_xlfn.XLOOKUP($D72,Tab_Def_Processes[Process_Name],Tab_Def_Processes[TC_Configuration],,0,)</f>
        <v>#N/A</v>
      </c>
      <c r="G72" s="20" t="e">
        <f>_xlfn.XLOOKUP($D72,Tab_Def_Processes[Process_Name],Tab_Def_Processes[Stock_Configuration],,0,)</f>
        <v>#N/A</v>
      </c>
      <c r="H72" s="20" t="e">
        <f>_xlfn.XLOOKUP($D72,Tab_Def_Processes[Process_Name],Tab_Def_Processes[Outflow_count],,0,)</f>
        <v>#N/A</v>
      </c>
      <c r="I72" s="138" t="s">
        <v>8</v>
      </c>
      <c r="J72" s="6" t="str">
        <f>_xlfn.XLOOKUP($I72,Tab_Def_Flows[Flow_Name],Tab_Def_Flows[Flow_ID],,0,1)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20" t="e">
        <f>_xlfn.XLOOKUP($D73,Tab_Def_Processes[Process_Name],Tab_Def_Processes[Process_Logic],,0,)</f>
        <v>#N/A</v>
      </c>
      <c r="F73" s="20" t="e">
        <f>_xlfn.XLOOKUP($D73,Tab_Def_Processes[Process_Name],Tab_Def_Processes[TC_Configuration],,0,)</f>
        <v>#N/A</v>
      </c>
      <c r="G73" s="20" t="e">
        <f>_xlfn.XLOOKUP($D73,Tab_Def_Processes[Process_Name],Tab_Def_Processes[Stock_Configuration],,0,)</f>
        <v>#N/A</v>
      </c>
      <c r="H73" s="20" t="e">
        <f>_xlfn.XLOOKUP($D73,Tab_Def_Processes[Process_Name],Tab_Def_Processes[Outflow_count],,0,)</f>
        <v>#N/A</v>
      </c>
      <c r="I73" s="138" t="s">
        <v>8</v>
      </c>
      <c r="J73" s="6" t="str">
        <f>_xlfn.XLOOKUP($I73,Tab_Def_Flows[Flow_Name],Tab_Def_Flows[Flow_ID],,0,1)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20" t="e">
        <f>_xlfn.XLOOKUP($D74,Tab_Def_Processes[Process_Name],Tab_Def_Processes[Process_Logic],,0,)</f>
        <v>#N/A</v>
      </c>
      <c r="F74" s="20" t="e">
        <f>_xlfn.XLOOKUP($D74,Tab_Def_Processes[Process_Name],Tab_Def_Processes[TC_Configuration],,0,)</f>
        <v>#N/A</v>
      </c>
      <c r="G74" s="20" t="e">
        <f>_xlfn.XLOOKUP($D74,Tab_Def_Processes[Process_Name],Tab_Def_Processes[Stock_Configuration],,0,)</f>
        <v>#N/A</v>
      </c>
      <c r="H74" s="20" t="e">
        <f>_xlfn.XLOOKUP($D74,Tab_Def_Processes[Process_Name],Tab_Def_Processes[Outflow_count],,0,)</f>
        <v>#N/A</v>
      </c>
      <c r="I74" s="138" t="s">
        <v>8</v>
      </c>
      <c r="J74" s="6" t="str">
        <f>_xlfn.XLOOKUP($I74,Tab_Def_Flows[Flow_Name],Tab_Def_Flows[Flow_ID],,0,1)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20" t="e">
        <f>_xlfn.XLOOKUP($D75,Tab_Def_Processes[Process_Name],Tab_Def_Processes[Process_Logic],,0,)</f>
        <v>#N/A</v>
      </c>
      <c r="F75" s="20" t="e">
        <f>_xlfn.XLOOKUP($D75,Tab_Def_Processes[Process_Name],Tab_Def_Processes[TC_Configuration],,0,)</f>
        <v>#N/A</v>
      </c>
      <c r="G75" s="20" t="e">
        <f>_xlfn.XLOOKUP($D75,Tab_Def_Processes[Process_Name],Tab_Def_Processes[Stock_Configuration],,0,)</f>
        <v>#N/A</v>
      </c>
      <c r="H75" s="20" t="e">
        <f>_xlfn.XLOOKUP($D75,Tab_Def_Processes[Process_Name],Tab_Def_Processes[Outflow_count],,0,)</f>
        <v>#N/A</v>
      </c>
      <c r="I75" s="138" t="s">
        <v>8</v>
      </c>
      <c r="J75" s="6" t="str">
        <f>_xlfn.XLOOKUP($I75,Tab_Def_Flows[Flow_Name],Tab_Def_Flows[Flow_ID],,0,1)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20" t="e">
        <f>_xlfn.XLOOKUP($D76,Tab_Def_Processes[Process_Name],Tab_Def_Processes[Process_Logic],,0,)</f>
        <v>#N/A</v>
      </c>
      <c r="F76" s="20" t="e">
        <f>_xlfn.XLOOKUP($D76,Tab_Def_Processes[Process_Name],Tab_Def_Processes[TC_Configuration],,0,)</f>
        <v>#N/A</v>
      </c>
      <c r="G76" s="20" t="e">
        <f>_xlfn.XLOOKUP($D76,Tab_Def_Processes[Process_Name],Tab_Def_Processes[Stock_Configuration],,0,)</f>
        <v>#N/A</v>
      </c>
      <c r="H76" s="20" t="e">
        <f>_xlfn.XLOOKUP($D76,Tab_Def_Processes[Process_Name],Tab_Def_Processes[Outflow_count],,0,)</f>
        <v>#N/A</v>
      </c>
      <c r="I76" s="138" t="s">
        <v>8</v>
      </c>
      <c r="J76" s="6" t="str">
        <f>_xlfn.XLOOKUP($I76,Tab_Def_Flows[Flow_Name],Tab_Def_Flows[Flow_ID],,0,1)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20" t="e">
        <f>_xlfn.XLOOKUP($D77,Tab_Def_Processes[Process_Name],Tab_Def_Processes[Process_Logic],,0,)</f>
        <v>#N/A</v>
      </c>
      <c r="F77" s="20" t="e">
        <f>_xlfn.XLOOKUP($D77,Tab_Def_Processes[Process_Name],Tab_Def_Processes[TC_Configuration],,0,)</f>
        <v>#N/A</v>
      </c>
      <c r="G77" s="20" t="e">
        <f>_xlfn.XLOOKUP($D77,Tab_Def_Processes[Process_Name],Tab_Def_Processes[Stock_Configuration],,0,)</f>
        <v>#N/A</v>
      </c>
      <c r="H77" s="20" t="e">
        <f>_xlfn.XLOOKUP($D77,Tab_Def_Processes[Process_Name],Tab_Def_Processes[Outflow_count],,0,)</f>
        <v>#N/A</v>
      </c>
      <c r="I77" s="138" t="s">
        <v>8</v>
      </c>
      <c r="J77" s="6" t="str">
        <f>_xlfn.XLOOKUP($I77,Tab_Def_Flows[Flow_Name],Tab_Def_Flows[Flow_ID],,0,1)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20" t="e">
        <f>_xlfn.XLOOKUP($D78,Tab_Def_Processes[Process_Name],Tab_Def_Processes[Process_Logic],,0,)</f>
        <v>#N/A</v>
      </c>
      <c r="F78" s="20" t="e">
        <f>_xlfn.XLOOKUP($D78,Tab_Def_Processes[Process_Name],Tab_Def_Processes[TC_Configuration],,0,)</f>
        <v>#N/A</v>
      </c>
      <c r="G78" s="20" t="e">
        <f>_xlfn.XLOOKUP($D78,Tab_Def_Processes[Process_Name],Tab_Def_Processes[Stock_Configuration],,0,)</f>
        <v>#N/A</v>
      </c>
      <c r="H78" s="20" t="e">
        <f>_xlfn.XLOOKUP($D78,Tab_Def_Processes[Process_Name],Tab_Def_Processes[Outflow_count],,0,)</f>
        <v>#N/A</v>
      </c>
      <c r="I78" s="138" t="s">
        <v>8</v>
      </c>
      <c r="J78" s="6" t="str">
        <f>_xlfn.XLOOKUP($I78,Tab_Def_Flows[Flow_Name],Tab_Def_Flows[Flow_ID],,0,1)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20" t="e">
        <f>_xlfn.XLOOKUP($D79,Tab_Def_Processes[Process_Name],Tab_Def_Processes[Process_Logic],,0,)</f>
        <v>#N/A</v>
      </c>
      <c r="F79" s="20" t="e">
        <f>_xlfn.XLOOKUP($D79,Tab_Def_Processes[Process_Name],Tab_Def_Processes[TC_Configuration],,0,)</f>
        <v>#N/A</v>
      </c>
      <c r="G79" s="20" t="e">
        <f>_xlfn.XLOOKUP($D79,Tab_Def_Processes[Process_Name],Tab_Def_Processes[Stock_Configuration],,0,)</f>
        <v>#N/A</v>
      </c>
      <c r="H79" s="20" t="e">
        <f>_xlfn.XLOOKUP($D79,Tab_Def_Processes[Process_Name],Tab_Def_Processes[Outflow_count],,0,)</f>
        <v>#N/A</v>
      </c>
      <c r="I79" s="138" t="s">
        <v>8</v>
      </c>
      <c r="J79" s="6" t="str">
        <f>_xlfn.XLOOKUP($I79,Tab_Def_Flows[Flow_Name],Tab_Def_Flows[Flow_ID],,0,1)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20" t="e">
        <f>_xlfn.XLOOKUP($D80,Tab_Def_Processes[Process_Name],Tab_Def_Processes[Process_Logic],,0,)</f>
        <v>#N/A</v>
      </c>
      <c r="F80" s="20" t="e">
        <f>_xlfn.XLOOKUP($D80,Tab_Def_Processes[Process_Name],Tab_Def_Processes[TC_Configuration],,0,)</f>
        <v>#N/A</v>
      </c>
      <c r="G80" s="20" t="e">
        <f>_xlfn.XLOOKUP($D80,Tab_Def_Processes[Process_Name],Tab_Def_Processes[Stock_Configuration],,0,)</f>
        <v>#N/A</v>
      </c>
      <c r="H80" s="20" t="e">
        <f>_xlfn.XLOOKUP($D80,Tab_Def_Processes[Process_Name],Tab_Def_Processes[Outflow_count],,0,)</f>
        <v>#N/A</v>
      </c>
      <c r="I80" s="138" t="s">
        <v>8</v>
      </c>
      <c r="J80" s="6" t="str">
        <f>_xlfn.XLOOKUP($I80,Tab_Def_Flows[Flow_Name],Tab_Def_Flows[Flow_ID],,0,1)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20" t="e">
        <f>_xlfn.XLOOKUP($D81,Tab_Def_Processes[Process_Name],Tab_Def_Processes[Process_Logic],,0,)</f>
        <v>#N/A</v>
      </c>
      <c r="F81" s="20" t="e">
        <f>_xlfn.XLOOKUP($D81,Tab_Def_Processes[Process_Name],Tab_Def_Processes[TC_Configuration],,0,)</f>
        <v>#N/A</v>
      </c>
      <c r="G81" s="20" t="e">
        <f>_xlfn.XLOOKUP($D81,Tab_Def_Processes[Process_Name],Tab_Def_Processes[Stock_Configuration],,0,)</f>
        <v>#N/A</v>
      </c>
      <c r="H81" s="20" t="e">
        <f>_xlfn.XLOOKUP($D81,Tab_Def_Processes[Process_Name],Tab_Def_Processes[Outflow_count],,0,)</f>
        <v>#N/A</v>
      </c>
      <c r="I81" s="138" t="s">
        <v>8</v>
      </c>
      <c r="J81" s="6" t="str">
        <f>_xlfn.XLOOKUP($I81,Tab_Def_Flows[Flow_Name],Tab_Def_Flows[Flow_ID],,0,1)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20" t="e">
        <f>_xlfn.XLOOKUP($D82,Tab_Def_Processes[Process_Name],Tab_Def_Processes[Process_Logic],,0,)</f>
        <v>#N/A</v>
      </c>
      <c r="F82" s="20" t="e">
        <f>_xlfn.XLOOKUP($D82,Tab_Def_Processes[Process_Name],Tab_Def_Processes[TC_Configuration],,0,)</f>
        <v>#N/A</v>
      </c>
      <c r="G82" s="20" t="e">
        <f>_xlfn.XLOOKUP($D82,Tab_Def_Processes[Process_Name],Tab_Def_Processes[Stock_Configuration],,0,)</f>
        <v>#N/A</v>
      </c>
      <c r="H82" s="20" t="e">
        <f>_xlfn.XLOOKUP($D82,Tab_Def_Processes[Process_Name],Tab_Def_Processes[Outflow_count],,0,)</f>
        <v>#N/A</v>
      </c>
      <c r="I82" s="138" t="s">
        <v>8</v>
      </c>
      <c r="J82" s="6" t="str">
        <f>_xlfn.XLOOKUP($I82,Tab_Def_Flows[Flow_Name],Tab_Def_Flows[Flow_ID],,0,1)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20" t="e">
        <f>_xlfn.XLOOKUP($D83,Tab_Def_Processes[Process_Name],Tab_Def_Processes[Process_Logic],,0,)</f>
        <v>#N/A</v>
      </c>
      <c r="F83" s="20" t="e">
        <f>_xlfn.XLOOKUP($D83,Tab_Def_Processes[Process_Name],Tab_Def_Processes[TC_Configuration],,0,)</f>
        <v>#N/A</v>
      </c>
      <c r="G83" s="20" t="e">
        <f>_xlfn.XLOOKUP($D83,Tab_Def_Processes[Process_Name],Tab_Def_Processes[Stock_Configuration],,0,)</f>
        <v>#N/A</v>
      </c>
      <c r="H83" s="20" t="e">
        <f>_xlfn.XLOOKUP($D83,Tab_Def_Processes[Process_Name],Tab_Def_Processes[Outflow_count],,0,)</f>
        <v>#N/A</v>
      </c>
      <c r="I83" s="138" t="s">
        <v>8</v>
      </c>
      <c r="J83" s="6" t="str">
        <f>_xlfn.XLOOKUP($I83,Tab_Def_Flows[Flow_Name],Tab_Def_Flows[Flow_ID],,0,1)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20" t="e">
        <f>_xlfn.XLOOKUP($D84,Tab_Def_Processes[Process_Name],Tab_Def_Processes[Process_Logic],,0,)</f>
        <v>#N/A</v>
      </c>
      <c r="F84" s="20" t="e">
        <f>_xlfn.XLOOKUP($D84,Tab_Def_Processes[Process_Name],Tab_Def_Processes[TC_Configuration],,0,)</f>
        <v>#N/A</v>
      </c>
      <c r="G84" s="20" t="e">
        <f>_xlfn.XLOOKUP($D84,Tab_Def_Processes[Process_Name],Tab_Def_Processes[Stock_Configuration],,0,)</f>
        <v>#N/A</v>
      </c>
      <c r="H84" s="20" t="e">
        <f>_xlfn.XLOOKUP($D84,Tab_Def_Processes[Process_Name],Tab_Def_Processes[Outflow_count],,0,)</f>
        <v>#N/A</v>
      </c>
      <c r="I84" s="138" t="s">
        <v>8</v>
      </c>
      <c r="J84" s="6" t="str">
        <f>_xlfn.XLOOKUP($I84,Tab_Def_Flows[Flow_Name],Tab_Def_Flows[Flow_ID],,0,1)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20" t="e">
        <f>_xlfn.XLOOKUP($D85,Tab_Def_Processes[Process_Name],Tab_Def_Processes[Process_Logic],,0,)</f>
        <v>#N/A</v>
      </c>
      <c r="F85" s="20" t="e">
        <f>_xlfn.XLOOKUP($D85,Tab_Def_Processes[Process_Name],Tab_Def_Processes[TC_Configuration],,0,)</f>
        <v>#N/A</v>
      </c>
      <c r="G85" s="20" t="e">
        <f>_xlfn.XLOOKUP($D85,Tab_Def_Processes[Process_Name],Tab_Def_Processes[Stock_Configuration],,0,)</f>
        <v>#N/A</v>
      </c>
      <c r="H85" s="20" t="e">
        <f>_xlfn.XLOOKUP($D85,Tab_Def_Processes[Process_Name],Tab_Def_Processes[Outflow_count],,0,)</f>
        <v>#N/A</v>
      </c>
      <c r="I85" s="138" t="s">
        <v>8</v>
      </c>
      <c r="J85" s="6" t="str">
        <f>_xlfn.XLOOKUP($I85,Tab_Def_Flows[Flow_Name],Tab_Def_Flows[Flow_ID],,0,1)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20" t="e">
        <f>_xlfn.XLOOKUP($D86,Tab_Def_Processes[Process_Name],Tab_Def_Processes[Process_Logic],,0,)</f>
        <v>#N/A</v>
      </c>
      <c r="F86" s="20" t="e">
        <f>_xlfn.XLOOKUP($D86,Tab_Def_Processes[Process_Name],Tab_Def_Processes[TC_Configuration],,0,)</f>
        <v>#N/A</v>
      </c>
      <c r="G86" s="20" t="e">
        <f>_xlfn.XLOOKUP($D86,Tab_Def_Processes[Process_Name],Tab_Def_Processes[Stock_Configuration],,0,)</f>
        <v>#N/A</v>
      </c>
      <c r="H86" s="20" t="e">
        <f>_xlfn.XLOOKUP($D86,Tab_Def_Processes[Process_Name],Tab_Def_Processes[Outflow_count],,0,)</f>
        <v>#N/A</v>
      </c>
      <c r="I86" s="138" t="s">
        <v>8</v>
      </c>
      <c r="J86" s="6" t="str">
        <f>_xlfn.XLOOKUP($I86,Tab_Def_Flows[Flow_Name],Tab_Def_Flows[Flow_ID],,0,1)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20" t="e">
        <f>_xlfn.XLOOKUP($D87,Tab_Def_Processes[Process_Name],Tab_Def_Processes[Process_Logic],,0,)</f>
        <v>#N/A</v>
      </c>
      <c r="F87" s="20" t="e">
        <f>_xlfn.XLOOKUP($D87,Tab_Def_Processes[Process_Name],Tab_Def_Processes[TC_Configuration],,0,)</f>
        <v>#N/A</v>
      </c>
      <c r="G87" s="20" t="e">
        <f>_xlfn.XLOOKUP($D87,Tab_Def_Processes[Process_Name],Tab_Def_Processes[Stock_Configuration],,0,)</f>
        <v>#N/A</v>
      </c>
      <c r="H87" s="20" t="e">
        <f>_xlfn.XLOOKUP($D87,Tab_Def_Processes[Process_Name],Tab_Def_Processes[Outflow_count],,0,)</f>
        <v>#N/A</v>
      </c>
      <c r="I87" s="138" t="s">
        <v>8</v>
      </c>
      <c r="J87" s="6" t="str">
        <f>_xlfn.XLOOKUP($I87,Tab_Def_Flows[Flow_Name],Tab_Def_Flows[Flow_ID],,0,1)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20" t="e">
        <f>_xlfn.XLOOKUP($D88,Tab_Def_Processes[Process_Name],Tab_Def_Processes[Process_Logic],,0,)</f>
        <v>#N/A</v>
      </c>
      <c r="F88" s="20" t="e">
        <f>_xlfn.XLOOKUP($D88,Tab_Def_Processes[Process_Name],Tab_Def_Processes[TC_Configuration],,0,)</f>
        <v>#N/A</v>
      </c>
      <c r="G88" s="20" t="e">
        <f>_xlfn.XLOOKUP($D88,Tab_Def_Processes[Process_Name],Tab_Def_Processes[Stock_Configuration],,0,)</f>
        <v>#N/A</v>
      </c>
      <c r="H88" s="20" t="e">
        <f>_xlfn.XLOOKUP($D88,Tab_Def_Processes[Process_Name],Tab_Def_Processes[Outflow_count],,0,)</f>
        <v>#N/A</v>
      </c>
      <c r="I88" s="138" t="s">
        <v>8</v>
      </c>
      <c r="J88" s="6" t="str">
        <f>_xlfn.XLOOKUP($I88,Tab_Def_Flows[Flow_Name],Tab_Def_Flows[Flow_ID],,0,1)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20" t="e">
        <f>_xlfn.XLOOKUP($D89,Tab_Def_Processes[Process_Name],Tab_Def_Processes[Process_Logic],,0,)</f>
        <v>#N/A</v>
      </c>
      <c r="F89" s="20" t="e">
        <f>_xlfn.XLOOKUP($D89,Tab_Def_Processes[Process_Name],Tab_Def_Processes[TC_Configuration],,0,)</f>
        <v>#N/A</v>
      </c>
      <c r="G89" s="20" t="e">
        <f>_xlfn.XLOOKUP($D89,Tab_Def_Processes[Process_Name],Tab_Def_Processes[Stock_Configuration],,0,)</f>
        <v>#N/A</v>
      </c>
      <c r="H89" s="20" t="e">
        <f>_xlfn.XLOOKUP($D89,Tab_Def_Processes[Process_Name],Tab_Def_Processes[Outflow_count],,0,)</f>
        <v>#N/A</v>
      </c>
      <c r="I89" s="138" t="s">
        <v>8</v>
      </c>
      <c r="J89" s="6" t="str">
        <f>_xlfn.XLOOKUP($I89,Tab_Def_Flows[Flow_Name],Tab_Def_Flows[Flow_ID],,0,1)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20" t="e">
        <f>_xlfn.XLOOKUP($D90,Tab_Def_Processes[Process_Name],Tab_Def_Processes[Process_Logic],,0,)</f>
        <v>#N/A</v>
      </c>
      <c r="F90" s="20" t="e">
        <f>_xlfn.XLOOKUP($D90,Tab_Def_Processes[Process_Name],Tab_Def_Processes[TC_Configuration],,0,)</f>
        <v>#N/A</v>
      </c>
      <c r="G90" s="20" t="e">
        <f>_xlfn.XLOOKUP($D90,Tab_Def_Processes[Process_Name],Tab_Def_Processes[Stock_Configuration],,0,)</f>
        <v>#N/A</v>
      </c>
      <c r="H90" s="20" t="e">
        <f>_xlfn.XLOOKUP($D90,Tab_Def_Processes[Process_Name],Tab_Def_Processes[Outflow_count],,0,)</f>
        <v>#N/A</v>
      </c>
      <c r="I90" s="138" t="s">
        <v>8</v>
      </c>
      <c r="J90" s="6" t="str">
        <f>_xlfn.XLOOKUP($I90,Tab_Def_Flows[Flow_Name],Tab_Def_Flows[Flow_ID],,0,1)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20" t="e">
        <f>_xlfn.XLOOKUP($D91,Tab_Def_Processes[Process_Name],Tab_Def_Processes[Process_Logic],,0,)</f>
        <v>#N/A</v>
      </c>
      <c r="F91" s="20" t="e">
        <f>_xlfn.XLOOKUP($D91,Tab_Def_Processes[Process_Name],Tab_Def_Processes[TC_Configuration],,0,)</f>
        <v>#N/A</v>
      </c>
      <c r="G91" s="20" t="e">
        <f>_xlfn.XLOOKUP($D91,Tab_Def_Processes[Process_Name],Tab_Def_Processes[Stock_Configuration],,0,)</f>
        <v>#N/A</v>
      </c>
      <c r="H91" s="20" t="e">
        <f>_xlfn.XLOOKUP($D91,Tab_Def_Processes[Process_Name],Tab_Def_Processes[Outflow_count],,0,)</f>
        <v>#N/A</v>
      </c>
      <c r="I91" s="138" t="s">
        <v>8</v>
      </c>
      <c r="J91" s="6" t="str">
        <f>_xlfn.XLOOKUP($I91,Tab_Def_Flows[Flow_Name],Tab_Def_Flows[Flow_ID],,0,1)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20" t="e">
        <f>_xlfn.XLOOKUP($D92,Tab_Def_Processes[Process_Name],Tab_Def_Processes[Process_Logic],,0,)</f>
        <v>#N/A</v>
      </c>
      <c r="F92" s="20" t="e">
        <f>_xlfn.XLOOKUP($D92,Tab_Def_Processes[Process_Name],Tab_Def_Processes[TC_Configuration],,0,)</f>
        <v>#N/A</v>
      </c>
      <c r="G92" s="20" t="e">
        <f>_xlfn.XLOOKUP($D92,Tab_Def_Processes[Process_Name],Tab_Def_Processes[Stock_Configuration],,0,)</f>
        <v>#N/A</v>
      </c>
      <c r="H92" s="20" t="e">
        <f>_xlfn.XLOOKUP($D92,Tab_Def_Processes[Process_Name],Tab_Def_Processes[Outflow_count],,0,)</f>
        <v>#N/A</v>
      </c>
      <c r="I92" s="138" t="s">
        <v>8</v>
      </c>
      <c r="J92" s="6" t="str">
        <f>_xlfn.XLOOKUP($I92,Tab_Def_Flows[Flow_Name],Tab_Def_Flows[Flow_ID],,0,1)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20" t="e">
        <f>_xlfn.XLOOKUP($D93,Tab_Def_Processes[Process_Name],Tab_Def_Processes[Process_Logic],,0,)</f>
        <v>#N/A</v>
      </c>
      <c r="F93" s="20" t="e">
        <f>_xlfn.XLOOKUP($D93,Tab_Def_Processes[Process_Name],Tab_Def_Processes[TC_Configuration],,0,)</f>
        <v>#N/A</v>
      </c>
      <c r="G93" s="20" t="e">
        <f>_xlfn.XLOOKUP($D93,Tab_Def_Processes[Process_Name],Tab_Def_Processes[Stock_Configuration],,0,)</f>
        <v>#N/A</v>
      </c>
      <c r="H93" s="20" t="e">
        <f>_xlfn.XLOOKUP($D93,Tab_Def_Processes[Process_Name],Tab_Def_Processes[Outflow_count],,0,)</f>
        <v>#N/A</v>
      </c>
      <c r="I93" s="138" t="s">
        <v>8</v>
      </c>
      <c r="J93" s="6" t="str">
        <f>_xlfn.XLOOKUP($I93,Tab_Def_Flows[Flow_Name],Tab_Def_Flows[Flow_ID],,0,1)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20" t="e">
        <f>_xlfn.XLOOKUP($D94,Tab_Def_Processes[Process_Name],Tab_Def_Processes[Process_Logic],,0,)</f>
        <v>#N/A</v>
      </c>
      <c r="F94" s="20" t="e">
        <f>_xlfn.XLOOKUP($D94,Tab_Def_Processes[Process_Name],Tab_Def_Processes[TC_Configuration],,0,)</f>
        <v>#N/A</v>
      </c>
      <c r="G94" s="20" t="e">
        <f>_xlfn.XLOOKUP($D94,Tab_Def_Processes[Process_Name],Tab_Def_Processes[Stock_Configuration],,0,)</f>
        <v>#N/A</v>
      </c>
      <c r="H94" s="20" t="e">
        <f>_xlfn.XLOOKUP($D94,Tab_Def_Processes[Process_Name],Tab_Def_Processes[Outflow_count],,0,)</f>
        <v>#N/A</v>
      </c>
      <c r="I94" s="138" t="s">
        <v>8</v>
      </c>
      <c r="J94" s="6" t="str">
        <f>_xlfn.XLOOKUP($I94,Tab_Def_Flows[Flow_Name],Tab_Def_Flows[Flow_ID],,0,1)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20" t="e">
        <f>_xlfn.XLOOKUP($D95,Tab_Def_Processes[Process_Name],Tab_Def_Processes[Process_Logic],,0,)</f>
        <v>#N/A</v>
      </c>
      <c r="F95" s="20" t="e">
        <f>_xlfn.XLOOKUP($D95,Tab_Def_Processes[Process_Name],Tab_Def_Processes[TC_Configuration],,0,)</f>
        <v>#N/A</v>
      </c>
      <c r="G95" s="20" t="e">
        <f>_xlfn.XLOOKUP($D95,Tab_Def_Processes[Process_Name],Tab_Def_Processes[Stock_Configuration],,0,)</f>
        <v>#N/A</v>
      </c>
      <c r="H95" s="20" t="e">
        <f>_xlfn.XLOOKUP($D95,Tab_Def_Processes[Process_Name],Tab_Def_Processes[Outflow_count],,0,)</f>
        <v>#N/A</v>
      </c>
      <c r="I95" s="138" t="s">
        <v>8</v>
      </c>
      <c r="J95" s="6" t="str">
        <f>_xlfn.XLOOKUP($I95,Tab_Def_Flows[Flow_Name],Tab_Def_Flows[Flow_ID],,0,1)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20" t="e">
        <f>_xlfn.XLOOKUP($D96,Tab_Def_Processes[Process_Name],Tab_Def_Processes[Process_Logic],,0,)</f>
        <v>#N/A</v>
      </c>
      <c r="F96" s="20" t="e">
        <f>_xlfn.XLOOKUP($D96,Tab_Def_Processes[Process_Name],Tab_Def_Processes[TC_Configuration],,0,)</f>
        <v>#N/A</v>
      </c>
      <c r="G96" s="20" t="e">
        <f>_xlfn.XLOOKUP($D96,Tab_Def_Processes[Process_Name],Tab_Def_Processes[Stock_Configuration],,0,)</f>
        <v>#N/A</v>
      </c>
      <c r="H96" s="20" t="e">
        <f>_xlfn.XLOOKUP($D96,Tab_Def_Processes[Process_Name],Tab_Def_Processes[Outflow_count],,0,)</f>
        <v>#N/A</v>
      </c>
      <c r="I96" s="138" t="s">
        <v>8</v>
      </c>
      <c r="J96" s="6" t="str">
        <f>_xlfn.XLOOKUP($I96,Tab_Def_Flows[Flow_Name],Tab_Def_Flows[Flow_ID],,0,1)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20" t="e">
        <f>_xlfn.XLOOKUP($D97,Tab_Def_Processes[Process_Name],Tab_Def_Processes[Process_Logic],,0,)</f>
        <v>#N/A</v>
      </c>
      <c r="F97" s="20" t="e">
        <f>_xlfn.XLOOKUP($D97,Tab_Def_Processes[Process_Name],Tab_Def_Processes[TC_Configuration],,0,)</f>
        <v>#N/A</v>
      </c>
      <c r="G97" s="20" t="e">
        <f>_xlfn.XLOOKUP($D97,Tab_Def_Processes[Process_Name],Tab_Def_Processes[Stock_Configuration],,0,)</f>
        <v>#N/A</v>
      </c>
      <c r="H97" s="20" t="e">
        <f>_xlfn.XLOOKUP($D97,Tab_Def_Processes[Process_Name],Tab_Def_Processes[Outflow_count],,0,)</f>
        <v>#N/A</v>
      </c>
      <c r="I97" s="138" t="s">
        <v>8</v>
      </c>
      <c r="J97" s="6" t="str">
        <f>_xlfn.XLOOKUP($I97,Tab_Def_Flows[Flow_Name],Tab_Def_Flows[Flow_ID],,0,1)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20" t="e">
        <f>_xlfn.XLOOKUP($D98,Tab_Def_Processes[Process_Name],Tab_Def_Processes[Process_Logic],,0,)</f>
        <v>#N/A</v>
      </c>
      <c r="F98" s="20" t="e">
        <f>_xlfn.XLOOKUP($D98,Tab_Def_Processes[Process_Name],Tab_Def_Processes[TC_Configuration],,0,)</f>
        <v>#N/A</v>
      </c>
      <c r="G98" s="20" t="e">
        <f>_xlfn.XLOOKUP($D98,Tab_Def_Processes[Process_Name],Tab_Def_Processes[Stock_Configuration],,0,)</f>
        <v>#N/A</v>
      </c>
      <c r="H98" s="20" t="e">
        <f>_xlfn.XLOOKUP($D98,Tab_Def_Processes[Process_Name],Tab_Def_Processes[Outflow_count],,0,)</f>
        <v>#N/A</v>
      </c>
      <c r="I98" s="138" t="s">
        <v>8</v>
      </c>
      <c r="J98" s="6" t="str">
        <f>_xlfn.XLOOKUP($I98,Tab_Def_Flows[Flow_Name],Tab_Def_Flows[Flow_ID],,0,1)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20" t="e">
        <f>_xlfn.XLOOKUP($D99,Tab_Def_Processes[Process_Name],Tab_Def_Processes[Process_Logic],,0,)</f>
        <v>#N/A</v>
      </c>
      <c r="F99" s="20" t="e">
        <f>_xlfn.XLOOKUP($D99,Tab_Def_Processes[Process_Name],Tab_Def_Processes[TC_Configuration],,0,)</f>
        <v>#N/A</v>
      </c>
      <c r="G99" s="20" t="e">
        <f>_xlfn.XLOOKUP($D99,Tab_Def_Processes[Process_Name],Tab_Def_Processes[Stock_Configuration],,0,)</f>
        <v>#N/A</v>
      </c>
      <c r="H99" s="20" t="e">
        <f>_xlfn.XLOOKUP($D99,Tab_Def_Processes[Process_Name],Tab_Def_Processes[Outflow_count],,0,)</f>
        <v>#N/A</v>
      </c>
      <c r="I99" s="138" t="s">
        <v>8</v>
      </c>
      <c r="J99" s="6" t="str">
        <f>_xlfn.XLOOKUP($I99,Tab_Def_Flows[Flow_Name],Tab_Def_Flows[Flow_ID],,0,1)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20" t="e">
        <f>_xlfn.XLOOKUP($D100,Tab_Def_Processes[Process_Name],Tab_Def_Processes[Process_Logic],,0,)</f>
        <v>#N/A</v>
      </c>
      <c r="F100" s="20" t="e">
        <f>_xlfn.XLOOKUP($D100,Tab_Def_Processes[Process_Name],Tab_Def_Processes[TC_Configuration],,0,)</f>
        <v>#N/A</v>
      </c>
      <c r="G100" s="20" t="e">
        <f>_xlfn.XLOOKUP($D100,Tab_Def_Processes[Process_Name],Tab_Def_Processes[Stock_Configuration],,0,)</f>
        <v>#N/A</v>
      </c>
      <c r="H100" s="20" t="e">
        <f>_xlfn.XLOOKUP($D100,Tab_Def_Processes[Process_Name],Tab_Def_Processes[Outflow_count],,0,)</f>
        <v>#N/A</v>
      </c>
      <c r="I100" s="138" t="s">
        <v>8</v>
      </c>
      <c r="J100" s="6" t="str">
        <f>_xlfn.XLOOKUP($I100,Tab_Def_Flows[Flow_Name],Tab_Def_Flows[Flow_ID],,0,1)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20" t="e">
        <f>_xlfn.XLOOKUP($D101,Tab_Def_Processes[Process_Name],Tab_Def_Processes[Process_Logic],,0,)</f>
        <v>#N/A</v>
      </c>
      <c r="F101" s="20" t="e">
        <f>_xlfn.XLOOKUP($D101,Tab_Def_Processes[Process_Name],Tab_Def_Processes[TC_Configuration],,0,)</f>
        <v>#N/A</v>
      </c>
      <c r="G101" s="20" t="e">
        <f>_xlfn.XLOOKUP($D101,Tab_Def_Processes[Process_Name],Tab_Def_Processes[Stock_Configuration],,0,)</f>
        <v>#N/A</v>
      </c>
      <c r="H101" s="20" t="e">
        <f>_xlfn.XLOOKUP($D101,Tab_Def_Processes[Process_Name],Tab_Def_Processes[Outflow_count],,0,)</f>
        <v>#N/A</v>
      </c>
      <c r="I101" s="138" t="s">
        <v>8</v>
      </c>
      <c r="J101" s="6" t="str">
        <f>_xlfn.XLOOKUP($I101,Tab_Def_Flows[Flow_Name],Tab_Def_Flows[Flow_ID],,0,1)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20" t="e">
        <f>_xlfn.XLOOKUP($D102,Tab_Def_Processes[Process_Name],Tab_Def_Processes[Process_Logic],,0,)</f>
        <v>#N/A</v>
      </c>
      <c r="F102" s="20" t="e">
        <f>_xlfn.XLOOKUP($D102,Tab_Def_Processes[Process_Name],Tab_Def_Processes[TC_Configuration],,0,)</f>
        <v>#N/A</v>
      </c>
      <c r="G102" s="20" t="e">
        <f>_xlfn.XLOOKUP($D102,Tab_Def_Processes[Process_Name],Tab_Def_Processes[Stock_Configuration],,0,)</f>
        <v>#N/A</v>
      </c>
      <c r="H102" s="20" t="e">
        <f>_xlfn.XLOOKUP($D102,Tab_Def_Processes[Process_Name],Tab_Def_Processes[Outflow_count],,0,)</f>
        <v>#N/A</v>
      </c>
      <c r="I102" s="138" t="s">
        <v>8</v>
      </c>
      <c r="J102" s="6" t="str">
        <f>_xlfn.XLOOKUP($I102,Tab_Def_Flows[Flow_Name],Tab_Def_Flows[Flow_ID],,0,1)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20" t="e">
        <f>_xlfn.XLOOKUP($D103,Tab_Def_Processes[Process_Name],Tab_Def_Processes[Process_Logic],,0,)</f>
        <v>#N/A</v>
      </c>
      <c r="F103" s="20" t="e">
        <f>_xlfn.XLOOKUP($D103,Tab_Def_Processes[Process_Name],Tab_Def_Processes[TC_Configuration],,0,)</f>
        <v>#N/A</v>
      </c>
      <c r="G103" s="20" t="e">
        <f>_xlfn.XLOOKUP($D103,Tab_Def_Processes[Process_Name],Tab_Def_Processes[Stock_Configuration],,0,)</f>
        <v>#N/A</v>
      </c>
      <c r="H103" s="20" t="e">
        <f>_xlfn.XLOOKUP($D103,Tab_Def_Processes[Process_Name],Tab_Def_Processes[Outflow_count],,0,)</f>
        <v>#N/A</v>
      </c>
      <c r="I103" s="138" t="s">
        <v>8</v>
      </c>
      <c r="J103" s="6" t="str">
        <f>_xlfn.XLOOKUP($I103,Tab_Def_Flows[Flow_Name],Tab_Def_Flows[Flow_ID],,0,1)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20" t="e">
        <f>_xlfn.XLOOKUP($D104,Tab_Def_Processes[Process_Name],Tab_Def_Processes[Process_Logic],,0,)</f>
        <v>#N/A</v>
      </c>
      <c r="F104" s="20" t="e">
        <f>_xlfn.XLOOKUP($D104,Tab_Def_Processes[Process_Name],Tab_Def_Processes[TC_Configuration],,0,)</f>
        <v>#N/A</v>
      </c>
      <c r="G104" s="20" t="e">
        <f>_xlfn.XLOOKUP($D104,Tab_Def_Processes[Process_Name],Tab_Def_Processes[Stock_Configuration],,0,)</f>
        <v>#N/A</v>
      </c>
      <c r="H104" s="20" t="e">
        <f>_xlfn.XLOOKUP($D104,Tab_Def_Processes[Process_Name],Tab_Def_Processes[Outflow_count],,0,)</f>
        <v>#N/A</v>
      </c>
      <c r="I104" s="138" t="s">
        <v>8</v>
      </c>
      <c r="J104" s="6" t="str">
        <f>_xlfn.XLOOKUP($I104,Tab_Def_Flows[Flow_Name],Tab_Def_Flows[Flow_ID],,0,1)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20" t="e">
        <f>_xlfn.XLOOKUP($D105,Tab_Def_Processes[Process_Name],Tab_Def_Processes[Process_Logic],,0,)</f>
        <v>#N/A</v>
      </c>
      <c r="F105" s="20" t="e">
        <f>_xlfn.XLOOKUP($D105,Tab_Def_Processes[Process_Name],Tab_Def_Processes[TC_Configuration],,0,)</f>
        <v>#N/A</v>
      </c>
      <c r="G105" s="20" t="e">
        <f>_xlfn.XLOOKUP($D105,Tab_Def_Processes[Process_Name],Tab_Def_Processes[Stock_Configuration],,0,)</f>
        <v>#N/A</v>
      </c>
      <c r="H105" s="20" t="e">
        <f>_xlfn.XLOOKUP($D105,Tab_Def_Processes[Process_Name],Tab_Def_Processes[Outflow_count],,0,)</f>
        <v>#N/A</v>
      </c>
      <c r="I105" s="138" t="s">
        <v>8</v>
      </c>
      <c r="J105" s="6" t="str">
        <f>_xlfn.XLOOKUP($I105,Tab_Def_Flows[Flow_Name],Tab_Def_Flows[Flow_ID],,0,1)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20" t="e">
        <f>_xlfn.XLOOKUP($D106,Tab_Def_Processes[Process_Name],Tab_Def_Processes[Process_Logic],,0,)</f>
        <v>#N/A</v>
      </c>
      <c r="F106" s="20" t="e">
        <f>_xlfn.XLOOKUP($D106,Tab_Def_Processes[Process_Name],Tab_Def_Processes[TC_Configuration],,0,)</f>
        <v>#N/A</v>
      </c>
      <c r="G106" s="20" t="e">
        <f>_xlfn.XLOOKUP($D106,Tab_Def_Processes[Process_Name],Tab_Def_Processes[Stock_Configuration],,0,)</f>
        <v>#N/A</v>
      </c>
      <c r="H106" s="20" t="e">
        <f>_xlfn.XLOOKUP($D106,Tab_Def_Processes[Process_Name],Tab_Def_Processes[Outflow_count],,0,)</f>
        <v>#N/A</v>
      </c>
      <c r="I106" s="138" t="s">
        <v>8</v>
      </c>
      <c r="J106" s="6" t="str">
        <f>_xlfn.XLOOKUP($I106,Tab_Def_Flows[Flow_Name],Tab_Def_Flows[Flow_ID],,0,1)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20" t="e">
        <f>_xlfn.XLOOKUP($D107,Tab_Def_Processes[Process_Name],Tab_Def_Processes[Process_Logic],,0,)</f>
        <v>#N/A</v>
      </c>
      <c r="F107" s="20" t="e">
        <f>_xlfn.XLOOKUP($D107,Tab_Def_Processes[Process_Name],Tab_Def_Processes[TC_Configuration],,0,)</f>
        <v>#N/A</v>
      </c>
      <c r="G107" s="20" t="e">
        <f>_xlfn.XLOOKUP($D107,Tab_Def_Processes[Process_Name],Tab_Def_Processes[Stock_Configuration],,0,)</f>
        <v>#N/A</v>
      </c>
      <c r="H107" s="20" t="e">
        <f>_xlfn.XLOOKUP($D107,Tab_Def_Processes[Process_Name],Tab_Def_Processes[Outflow_count],,0,)</f>
        <v>#N/A</v>
      </c>
      <c r="I107" s="138" t="s">
        <v>8</v>
      </c>
      <c r="J107" s="6" t="str">
        <f>_xlfn.XLOOKUP($I107,Tab_Def_Flows[Flow_Name],Tab_Def_Flows[Flow_ID],,0,1)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20" t="e">
        <f>_xlfn.XLOOKUP($D108,Tab_Def_Processes[Process_Name],Tab_Def_Processes[Process_Logic],,0,)</f>
        <v>#N/A</v>
      </c>
      <c r="F108" s="20" t="e">
        <f>_xlfn.XLOOKUP($D108,Tab_Def_Processes[Process_Name],Tab_Def_Processes[TC_Configuration],,0,)</f>
        <v>#N/A</v>
      </c>
      <c r="G108" s="20" t="e">
        <f>_xlfn.XLOOKUP($D108,Tab_Def_Processes[Process_Name],Tab_Def_Processes[Stock_Configuration],,0,)</f>
        <v>#N/A</v>
      </c>
      <c r="H108" s="20" t="e">
        <f>_xlfn.XLOOKUP($D108,Tab_Def_Processes[Process_Name],Tab_Def_Processes[Outflow_count],,0,)</f>
        <v>#N/A</v>
      </c>
      <c r="I108" s="138" t="s">
        <v>8</v>
      </c>
      <c r="J108" s="6" t="str">
        <f>_xlfn.XLOOKUP($I108,Tab_Def_Flows[Flow_Name],Tab_Def_Flows[Flow_ID],,0,1)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20" t="e">
        <f>_xlfn.XLOOKUP($D109,Tab_Def_Processes[Process_Name],Tab_Def_Processes[Process_Logic],,0,)</f>
        <v>#N/A</v>
      </c>
      <c r="F109" s="20" t="e">
        <f>_xlfn.XLOOKUP($D109,Tab_Def_Processes[Process_Name],Tab_Def_Processes[TC_Configuration],,0,)</f>
        <v>#N/A</v>
      </c>
      <c r="G109" s="20" t="e">
        <f>_xlfn.XLOOKUP($D109,Tab_Def_Processes[Process_Name],Tab_Def_Processes[Stock_Configuration],,0,)</f>
        <v>#N/A</v>
      </c>
      <c r="H109" s="20" t="e">
        <f>_xlfn.XLOOKUP($D109,Tab_Def_Processes[Process_Name],Tab_Def_Processes[Outflow_count],,0,)</f>
        <v>#N/A</v>
      </c>
      <c r="I109" s="138" t="s">
        <v>8</v>
      </c>
      <c r="J109" s="6" t="str">
        <f>_xlfn.XLOOKUP($I109,Tab_Def_Flows[Flow_Name],Tab_Def_Flows[Flow_ID],,0,1)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20" t="e">
        <f>_xlfn.XLOOKUP($D110,Tab_Def_Processes[Process_Name],Tab_Def_Processes[Process_Logic],,0,)</f>
        <v>#N/A</v>
      </c>
      <c r="F110" s="20" t="e">
        <f>_xlfn.XLOOKUP($D110,Tab_Def_Processes[Process_Name],Tab_Def_Processes[TC_Configuration],,0,)</f>
        <v>#N/A</v>
      </c>
      <c r="G110" s="20" t="e">
        <f>_xlfn.XLOOKUP($D110,Tab_Def_Processes[Process_Name],Tab_Def_Processes[Stock_Configuration],,0,)</f>
        <v>#N/A</v>
      </c>
      <c r="H110" s="20" t="e">
        <f>_xlfn.XLOOKUP($D110,Tab_Def_Processes[Process_Name],Tab_Def_Processes[Outflow_count],,0,)</f>
        <v>#N/A</v>
      </c>
      <c r="I110" s="138" t="s">
        <v>8</v>
      </c>
      <c r="J110" s="6" t="str">
        <f>_xlfn.XLOOKUP($I110,Tab_Def_Flows[Flow_Name],Tab_Def_Flows[Flow_ID],,0,1)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20" t="e">
        <f>_xlfn.XLOOKUP($D111,Tab_Def_Processes[Process_Name],Tab_Def_Processes[Process_Logic],,0,)</f>
        <v>#N/A</v>
      </c>
      <c r="F111" s="20" t="e">
        <f>_xlfn.XLOOKUP($D111,Tab_Def_Processes[Process_Name],Tab_Def_Processes[TC_Configuration],,0,)</f>
        <v>#N/A</v>
      </c>
      <c r="G111" s="20" t="e">
        <f>_xlfn.XLOOKUP($D111,Tab_Def_Processes[Process_Name],Tab_Def_Processes[Stock_Configuration],,0,)</f>
        <v>#N/A</v>
      </c>
      <c r="H111" s="20" t="e">
        <f>_xlfn.XLOOKUP($D111,Tab_Def_Processes[Process_Name],Tab_Def_Processes[Outflow_count],,0,)</f>
        <v>#N/A</v>
      </c>
      <c r="I111" s="138" t="s">
        <v>8</v>
      </c>
      <c r="J111" s="6" t="str">
        <f>_xlfn.XLOOKUP($I111,Tab_Def_Flows[Flow_Name],Tab_Def_Flows[Flow_ID],,0,1)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20" t="e">
        <f>_xlfn.XLOOKUP($D112,Tab_Def_Processes[Process_Name],Tab_Def_Processes[Process_Logic],,0,)</f>
        <v>#N/A</v>
      </c>
      <c r="F112" s="20" t="e">
        <f>_xlfn.XLOOKUP($D112,Tab_Def_Processes[Process_Name],Tab_Def_Processes[TC_Configuration],,0,)</f>
        <v>#N/A</v>
      </c>
      <c r="G112" s="20" t="e">
        <f>_xlfn.XLOOKUP($D112,Tab_Def_Processes[Process_Name],Tab_Def_Processes[Stock_Configuration],,0,)</f>
        <v>#N/A</v>
      </c>
      <c r="H112" s="20" t="e">
        <f>_xlfn.XLOOKUP($D112,Tab_Def_Processes[Process_Name],Tab_Def_Processes[Outflow_count],,0,)</f>
        <v>#N/A</v>
      </c>
      <c r="I112" s="138" t="s">
        <v>8</v>
      </c>
      <c r="J112" s="6" t="str">
        <f>_xlfn.XLOOKUP($I112,Tab_Def_Flows[Flow_Name],Tab_Def_Flows[Flow_ID],,0,1)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20" t="e">
        <f>_xlfn.XLOOKUP($D113,Tab_Def_Processes[Process_Name],Tab_Def_Processes[Process_Logic],,0,)</f>
        <v>#N/A</v>
      </c>
      <c r="F113" s="20" t="e">
        <f>_xlfn.XLOOKUP($D113,Tab_Def_Processes[Process_Name],Tab_Def_Processes[TC_Configuration],,0,)</f>
        <v>#N/A</v>
      </c>
      <c r="G113" s="20" t="e">
        <f>_xlfn.XLOOKUP($D113,Tab_Def_Processes[Process_Name],Tab_Def_Processes[Stock_Configuration],,0,)</f>
        <v>#N/A</v>
      </c>
      <c r="H113" s="20" t="e">
        <f>_xlfn.XLOOKUP($D113,Tab_Def_Processes[Process_Name],Tab_Def_Processes[Outflow_count],,0,)</f>
        <v>#N/A</v>
      </c>
      <c r="I113" s="138" t="s">
        <v>8</v>
      </c>
      <c r="J113" s="6" t="str">
        <f>_xlfn.XLOOKUP($I113,Tab_Def_Flows[Flow_Name],Tab_Def_Flows[Flow_ID],,0,1)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20" t="e">
        <f>_xlfn.XLOOKUP($D114,Tab_Def_Processes[Process_Name],Tab_Def_Processes[Process_Logic],,0,)</f>
        <v>#N/A</v>
      </c>
      <c r="F114" s="20" t="e">
        <f>_xlfn.XLOOKUP($D114,Tab_Def_Processes[Process_Name],Tab_Def_Processes[TC_Configuration],,0,)</f>
        <v>#N/A</v>
      </c>
      <c r="G114" s="20" t="e">
        <f>_xlfn.XLOOKUP($D114,Tab_Def_Processes[Process_Name],Tab_Def_Processes[Stock_Configuration],,0,)</f>
        <v>#N/A</v>
      </c>
      <c r="H114" s="20" t="e">
        <f>_xlfn.XLOOKUP($D114,Tab_Def_Processes[Process_Name],Tab_Def_Processes[Outflow_count],,0,)</f>
        <v>#N/A</v>
      </c>
      <c r="I114" s="138" t="s">
        <v>8</v>
      </c>
      <c r="J114" s="6" t="str">
        <f>_xlfn.XLOOKUP($I114,Tab_Def_Flows[Flow_Name],Tab_Def_Flows[Flow_ID],,0,1)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20" t="e">
        <f>_xlfn.XLOOKUP($D115,Tab_Def_Processes[Process_Name],Tab_Def_Processes[Process_Logic],,0,)</f>
        <v>#N/A</v>
      </c>
      <c r="F115" s="20" t="e">
        <f>_xlfn.XLOOKUP($D115,Tab_Def_Processes[Process_Name],Tab_Def_Processes[TC_Configuration],,0,)</f>
        <v>#N/A</v>
      </c>
      <c r="G115" s="20" t="e">
        <f>_xlfn.XLOOKUP($D115,Tab_Def_Processes[Process_Name],Tab_Def_Processes[Stock_Configuration],,0,)</f>
        <v>#N/A</v>
      </c>
      <c r="H115" s="20" t="e">
        <f>_xlfn.XLOOKUP($D115,Tab_Def_Processes[Process_Name],Tab_Def_Processes[Outflow_count],,0,)</f>
        <v>#N/A</v>
      </c>
      <c r="I115" s="138" t="s">
        <v>8</v>
      </c>
      <c r="J115" s="6" t="str">
        <f>_xlfn.XLOOKUP($I115,Tab_Def_Flows[Flow_Name],Tab_Def_Flows[Flow_ID],,0,1)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20" t="e">
        <f>_xlfn.XLOOKUP($D116,Tab_Def_Processes[Process_Name],Tab_Def_Processes[Process_Logic],,0,)</f>
        <v>#N/A</v>
      </c>
      <c r="F116" s="20" t="e">
        <f>_xlfn.XLOOKUP($D116,Tab_Def_Processes[Process_Name],Tab_Def_Processes[TC_Configuration],,0,)</f>
        <v>#N/A</v>
      </c>
      <c r="G116" s="20" t="e">
        <f>_xlfn.XLOOKUP($D116,Tab_Def_Processes[Process_Name],Tab_Def_Processes[Stock_Configuration],,0,)</f>
        <v>#N/A</v>
      </c>
      <c r="H116" s="20" t="e">
        <f>_xlfn.XLOOKUP($D116,Tab_Def_Processes[Process_Name],Tab_Def_Processes[Outflow_count],,0,)</f>
        <v>#N/A</v>
      </c>
      <c r="I116" s="138" t="s">
        <v>8</v>
      </c>
      <c r="J116" s="6" t="str">
        <f>_xlfn.XLOOKUP($I116,Tab_Def_Flows[Flow_Name],Tab_Def_Flows[Flow_ID],,0,1)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20" t="e">
        <f>_xlfn.XLOOKUP($D117,Tab_Def_Processes[Process_Name],Tab_Def_Processes[Process_Logic],,0,)</f>
        <v>#N/A</v>
      </c>
      <c r="F117" s="20" t="e">
        <f>_xlfn.XLOOKUP($D117,Tab_Def_Processes[Process_Name],Tab_Def_Processes[TC_Configuration],,0,)</f>
        <v>#N/A</v>
      </c>
      <c r="G117" s="20" t="e">
        <f>_xlfn.XLOOKUP($D117,Tab_Def_Processes[Process_Name],Tab_Def_Processes[Stock_Configuration],,0,)</f>
        <v>#N/A</v>
      </c>
      <c r="H117" s="20" t="e">
        <f>_xlfn.XLOOKUP($D117,Tab_Def_Processes[Process_Name],Tab_Def_Processes[Outflow_count],,0,)</f>
        <v>#N/A</v>
      </c>
      <c r="I117" s="138" t="s">
        <v>8</v>
      </c>
      <c r="J117" s="6" t="str">
        <f>_xlfn.XLOOKUP($I117,Tab_Def_Flows[Flow_Name],Tab_Def_Flows[Flow_ID],,0,1)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20" t="e">
        <f>_xlfn.XLOOKUP($D118,Tab_Def_Processes[Process_Name],Tab_Def_Processes[Process_Logic],,0,)</f>
        <v>#N/A</v>
      </c>
      <c r="F118" s="20" t="e">
        <f>_xlfn.XLOOKUP($D118,Tab_Def_Processes[Process_Name],Tab_Def_Processes[TC_Configuration],,0,)</f>
        <v>#N/A</v>
      </c>
      <c r="G118" s="20" t="e">
        <f>_xlfn.XLOOKUP($D118,Tab_Def_Processes[Process_Name],Tab_Def_Processes[Stock_Configuration],,0,)</f>
        <v>#N/A</v>
      </c>
      <c r="H118" s="20" t="e">
        <f>_xlfn.XLOOKUP($D118,Tab_Def_Processes[Process_Name],Tab_Def_Processes[Outflow_count],,0,)</f>
        <v>#N/A</v>
      </c>
      <c r="I118" s="138" t="s">
        <v>8</v>
      </c>
      <c r="J118" s="6" t="str">
        <f>_xlfn.XLOOKUP($I118,Tab_Def_Flows[Flow_Name],Tab_Def_Flows[Flow_ID],,0,1)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20" t="e">
        <f>_xlfn.XLOOKUP($D119,Tab_Def_Processes[Process_Name],Tab_Def_Processes[Process_Logic],,0,)</f>
        <v>#N/A</v>
      </c>
      <c r="F119" s="20" t="e">
        <f>_xlfn.XLOOKUP($D119,Tab_Def_Processes[Process_Name],Tab_Def_Processes[TC_Configuration],,0,)</f>
        <v>#N/A</v>
      </c>
      <c r="G119" s="20" t="e">
        <f>_xlfn.XLOOKUP($D119,Tab_Def_Processes[Process_Name],Tab_Def_Processes[Stock_Configuration],,0,)</f>
        <v>#N/A</v>
      </c>
      <c r="H119" s="20" t="e">
        <f>_xlfn.XLOOKUP($D119,Tab_Def_Processes[Process_Name],Tab_Def_Processes[Outflow_count],,0,)</f>
        <v>#N/A</v>
      </c>
      <c r="I119" s="138" t="s">
        <v>8</v>
      </c>
      <c r="J119" s="6" t="str">
        <f>_xlfn.XLOOKUP($I119,Tab_Def_Flows[Flow_Name],Tab_Def_Flows[Flow_ID],,0,1)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20" t="e">
        <f>_xlfn.XLOOKUP($D120,Tab_Def_Processes[Process_Name],Tab_Def_Processes[Process_Logic],,0,)</f>
        <v>#N/A</v>
      </c>
      <c r="F120" s="20" t="e">
        <f>_xlfn.XLOOKUP($D120,Tab_Def_Processes[Process_Name],Tab_Def_Processes[TC_Configuration],,0,)</f>
        <v>#N/A</v>
      </c>
      <c r="G120" s="20" t="e">
        <f>_xlfn.XLOOKUP($D120,Tab_Def_Processes[Process_Name],Tab_Def_Processes[Stock_Configuration],,0,)</f>
        <v>#N/A</v>
      </c>
      <c r="H120" s="20" t="e">
        <f>_xlfn.XLOOKUP($D120,Tab_Def_Processes[Process_Name],Tab_Def_Processes[Outflow_count],,0,)</f>
        <v>#N/A</v>
      </c>
      <c r="I120" s="138" t="s">
        <v>8</v>
      </c>
      <c r="J120" s="6" t="str">
        <f>_xlfn.XLOOKUP($I120,Tab_Def_Flows[Flow_Name],Tab_Def_Flows[Flow_ID],,0,1)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20" t="e">
        <f>_xlfn.XLOOKUP($D121,Tab_Def_Processes[Process_Name],Tab_Def_Processes[Process_Logic],,0,)</f>
        <v>#N/A</v>
      </c>
      <c r="F121" s="20" t="e">
        <f>_xlfn.XLOOKUP($D121,Tab_Def_Processes[Process_Name],Tab_Def_Processes[TC_Configuration],,0,)</f>
        <v>#N/A</v>
      </c>
      <c r="G121" s="20" t="e">
        <f>_xlfn.XLOOKUP($D121,Tab_Def_Processes[Process_Name],Tab_Def_Processes[Stock_Configuration],,0,)</f>
        <v>#N/A</v>
      </c>
      <c r="H121" s="20" t="e">
        <f>_xlfn.XLOOKUP($D121,Tab_Def_Processes[Process_Name],Tab_Def_Processes[Outflow_count],,0,)</f>
        <v>#N/A</v>
      </c>
      <c r="I121" s="138" t="s">
        <v>8</v>
      </c>
      <c r="J121" s="6" t="str">
        <f>_xlfn.XLOOKUP($I121,Tab_Def_Flows[Flow_Name],Tab_Def_Flows[Flow_ID],,0,1)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20" t="e">
        <f>_xlfn.XLOOKUP($D122,Tab_Def_Processes[Process_Name],Tab_Def_Processes[Process_Logic],,0,)</f>
        <v>#N/A</v>
      </c>
      <c r="F122" s="20" t="e">
        <f>_xlfn.XLOOKUP($D122,Tab_Def_Processes[Process_Name],Tab_Def_Processes[TC_Configuration],,0,)</f>
        <v>#N/A</v>
      </c>
      <c r="G122" s="20" t="e">
        <f>_xlfn.XLOOKUP($D122,Tab_Def_Processes[Process_Name],Tab_Def_Processes[Stock_Configuration],,0,)</f>
        <v>#N/A</v>
      </c>
      <c r="H122" s="20" t="e">
        <f>_xlfn.XLOOKUP($D122,Tab_Def_Processes[Process_Name],Tab_Def_Processes[Outflow_count],,0,)</f>
        <v>#N/A</v>
      </c>
      <c r="I122" s="138" t="s">
        <v>8</v>
      </c>
      <c r="J122" s="6" t="str">
        <f>_xlfn.XLOOKUP($I122,Tab_Def_Flows[Flow_Name],Tab_Def_Flows[Flow_ID],,0,1)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20" t="e">
        <f>_xlfn.XLOOKUP($D123,Tab_Def_Processes[Process_Name],Tab_Def_Processes[Process_Logic],,0,)</f>
        <v>#N/A</v>
      </c>
      <c r="F123" s="20" t="e">
        <f>_xlfn.XLOOKUP($D123,Tab_Def_Processes[Process_Name],Tab_Def_Processes[TC_Configuration],,0,)</f>
        <v>#N/A</v>
      </c>
      <c r="G123" s="20" t="e">
        <f>_xlfn.XLOOKUP($D123,Tab_Def_Processes[Process_Name],Tab_Def_Processes[Stock_Configuration],,0,)</f>
        <v>#N/A</v>
      </c>
      <c r="H123" s="20" t="e">
        <f>_xlfn.XLOOKUP($D123,Tab_Def_Processes[Process_Name],Tab_Def_Processes[Outflow_count],,0,)</f>
        <v>#N/A</v>
      </c>
      <c r="I123" s="138" t="s">
        <v>8</v>
      </c>
      <c r="J123" s="6" t="str">
        <f>_xlfn.XLOOKUP($I123,Tab_Def_Flows[Flow_Name],Tab_Def_Flows[Flow_ID],,0,1)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20" t="e">
        <f>_xlfn.XLOOKUP($D124,Tab_Def_Processes[Process_Name],Tab_Def_Processes[Process_Logic],,0,)</f>
        <v>#N/A</v>
      </c>
      <c r="F124" s="20" t="e">
        <f>_xlfn.XLOOKUP($D124,Tab_Def_Processes[Process_Name],Tab_Def_Processes[TC_Configuration],,0,)</f>
        <v>#N/A</v>
      </c>
      <c r="G124" s="20" t="e">
        <f>_xlfn.XLOOKUP($D124,Tab_Def_Processes[Process_Name],Tab_Def_Processes[Stock_Configuration],,0,)</f>
        <v>#N/A</v>
      </c>
      <c r="H124" s="20" t="e">
        <f>_xlfn.XLOOKUP($D124,Tab_Def_Processes[Process_Name],Tab_Def_Processes[Outflow_count],,0,)</f>
        <v>#N/A</v>
      </c>
      <c r="I124" s="138" t="s">
        <v>8</v>
      </c>
      <c r="J124" s="6" t="str">
        <f>_xlfn.XLOOKUP($I124,Tab_Def_Flows[Flow_Name],Tab_Def_Flows[Flow_ID],,0,1)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20" t="e">
        <f>_xlfn.XLOOKUP($D125,Tab_Def_Processes[Process_Name],Tab_Def_Processes[Process_Logic],,0,)</f>
        <v>#N/A</v>
      </c>
      <c r="F125" s="20" t="e">
        <f>_xlfn.XLOOKUP($D125,Tab_Def_Processes[Process_Name],Tab_Def_Processes[TC_Configuration],,0,)</f>
        <v>#N/A</v>
      </c>
      <c r="G125" s="20" t="e">
        <f>_xlfn.XLOOKUP($D125,Tab_Def_Processes[Process_Name],Tab_Def_Processes[Stock_Configuration],,0,)</f>
        <v>#N/A</v>
      </c>
      <c r="H125" s="20" t="e">
        <f>_xlfn.XLOOKUP($D125,Tab_Def_Processes[Process_Name],Tab_Def_Processes[Outflow_count],,0,)</f>
        <v>#N/A</v>
      </c>
      <c r="I125" s="138" t="s">
        <v>8</v>
      </c>
      <c r="J125" s="6" t="str">
        <f>_xlfn.XLOOKUP($I125,Tab_Def_Flows[Flow_Name],Tab_Def_Flows[Flow_ID],,0,1)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20" t="e">
        <f>_xlfn.XLOOKUP($D126,Tab_Def_Processes[Process_Name],Tab_Def_Processes[Process_Logic],,0,)</f>
        <v>#N/A</v>
      </c>
      <c r="F126" s="20" t="e">
        <f>_xlfn.XLOOKUP($D126,Tab_Def_Processes[Process_Name],Tab_Def_Processes[TC_Configuration],,0,)</f>
        <v>#N/A</v>
      </c>
      <c r="G126" s="20" t="e">
        <f>_xlfn.XLOOKUP($D126,Tab_Def_Processes[Process_Name],Tab_Def_Processes[Stock_Configuration],,0,)</f>
        <v>#N/A</v>
      </c>
      <c r="H126" s="20" t="e">
        <f>_xlfn.XLOOKUP($D126,Tab_Def_Processes[Process_Name],Tab_Def_Processes[Outflow_count],,0,)</f>
        <v>#N/A</v>
      </c>
      <c r="I126" s="138" t="s">
        <v>8</v>
      </c>
      <c r="J126" s="6" t="str">
        <f>_xlfn.XLOOKUP($I126,Tab_Def_Flows[Flow_Name],Tab_Def_Flows[Flow_ID],,0,1)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20" t="e">
        <f>_xlfn.XLOOKUP($D127,Tab_Def_Processes[Process_Name],Tab_Def_Processes[Process_Logic],,0,)</f>
        <v>#N/A</v>
      </c>
      <c r="F127" s="20" t="e">
        <f>_xlfn.XLOOKUP($D127,Tab_Def_Processes[Process_Name],Tab_Def_Processes[TC_Configuration],,0,)</f>
        <v>#N/A</v>
      </c>
      <c r="G127" s="20" t="e">
        <f>_xlfn.XLOOKUP($D127,Tab_Def_Processes[Process_Name],Tab_Def_Processes[Stock_Configuration],,0,)</f>
        <v>#N/A</v>
      </c>
      <c r="H127" s="20" t="e">
        <f>_xlfn.XLOOKUP($D127,Tab_Def_Processes[Process_Name],Tab_Def_Processes[Outflow_count],,0,)</f>
        <v>#N/A</v>
      </c>
      <c r="I127" s="138" t="s">
        <v>8</v>
      </c>
      <c r="J127" s="6" t="str">
        <f>_xlfn.XLOOKUP($I127,Tab_Def_Flows[Flow_Name],Tab_Def_Flows[Flow_ID],,0,1)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20" t="e">
        <f>_xlfn.XLOOKUP($D128,Tab_Def_Processes[Process_Name],Tab_Def_Processes[Process_Logic],,0,)</f>
        <v>#N/A</v>
      </c>
      <c r="F128" s="20" t="e">
        <f>_xlfn.XLOOKUP($D128,Tab_Def_Processes[Process_Name],Tab_Def_Processes[TC_Configuration],,0,)</f>
        <v>#N/A</v>
      </c>
      <c r="G128" s="20" t="e">
        <f>_xlfn.XLOOKUP($D128,Tab_Def_Processes[Process_Name],Tab_Def_Processes[Stock_Configuration],,0,)</f>
        <v>#N/A</v>
      </c>
      <c r="H128" s="20" t="e">
        <f>_xlfn.XLOOKUP($D128,Tab_Def_Processes[Process_Name],Tab_Def_Processes[Outflow_count],,0,)</f>
        <v>#N/A</v>
      </c>
      <c r="I128" s="138" t="s">
        <v>8</v>
      </c>
      <c r="J128" s="6" t="str">
        <f>_xlfn.XLOOKUP($I128,Tab_Def_Flows[Flow_Name],Tab_Def_Flows[Flow_ID],,0,1)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20" t="e">
        <f>_xlfn.XLOOKUP($D129,Tab_Def_Processes[Process_Name],Tab_Def_Processes[Process_Logic],,0,)</f>
        <v>#N/A</v>
      </c>
      <c r="F129" s="20" t="e">
        <f>_xlfn.XLOOKUP($D129,Tab_Def_Processes[Process_Name],Tab_Def_Processes[TC_Configuration],,0,)</f>
        <v>#N/A</v>
      </c>
      <c r="G129" s="20" t="e">
        <f>_xlfn.XLOOKUP($D129,Tab_Def_Processes[Process_Name],Tab_Def_Processes[Stock_Configuration],,0,)</f>
        <v>#N/A</v>
      </c>
      <c r="H129" s="20" t="e">
        <f>_xlfn.XLOOKUP($D129,Tab_Def_Processes[Process_Name],Tab_Def_Processes[Outflow_count],,0,)</f>
        <v>#N/A</v>
      </c>
      <c r="I129" s="138" t="s">
        <v>8</v>
      </c>
      <c r="J129" s="6" t="str">
        <f>_xlfn.XLOOKUP($I129,Tab_Def_Flows[Flow_Name],Tab_Def_Flows[Flow_ID],,0,1)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20" t="e">
        <f>_xlfn.XLOOKUP($D130,Tab_Def_Processes[Process_Name],Tab_Def_Processes[Process_Logic],,0,)</f>
        <v>#N/A</v>
      </c>
      <c r="F130" s="20" t="e">
        <f>_xlfn.XLOOKUP($D130,Tab_Def_Processes[Process_Name],Tab_Def_Processes[TC_Configuration],,0,)</f>
        <v>#N/A</v>
      </c>
      <c r="G130" s="20" t="e">
        <f>_xlfn.XLOOKUP($D130,Tab_Def_Processes[Process_Name],Tab_Def_Processes[Stock_Configuration],,0,)</f>
        <v>#N/A</v>
      </c>
      <c r="H130" s="20" t="e">
        <f>_xlfn.XLOOKUP($D130,Tab_Def_Processes[Process_Name],Tab_Def_Processes[Outflow_count],,0,)</f>
        <v>#N/A</v>
      </c>
      <c r="I130" s="138" t="s">
        <v>8</v>
      </c>
      <c r="J130" s="6" t="str">
        <f>_xlfn.XLOOKUP($I130,Tab_Def_Flows[Flow_Name],Tab_Def_Flows[Flow_ID],,0,1)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20" t="e">
        <f>_xlfn.XLOOKUP($D131,Tab_Def_Processes[Process_Name],Tab_Def_Processes[Process_Logic],,0,)</f>
        <v>#N/A</v>
      </c>
      <c r="F131" s="20" t="e">
        <f>_xlfn.XLOOKUP($D131,Tab_Def_Processes[Process_Name],Tab_Def_Processes[TC_Configuration],,0,)</f>
        <v>#N/A</v>
      </c>
      <c r="G131" s="20" t="e">
        <f>_xlfn.XLOOKUP($D131,Tab_Def_Processes[Process_Name],Tab_Def_Processes[Stock_Configuration],,0,)</f>
        <v>#N/A</v>
      </c>
      <c r="H131" s="20" t="e">
        <f>_xlfn.XLOOKUP($D131,Tab_Def_Processes[Process_Name],Tab_Def_Processes[Outflow_count],,0,)</f>
        <v>#N/A</v>
      </c>
      <c r="I131" s="138" t="s">
        <v>8</v>
      </c>
      <c r="J131" s="6" t="str">
        <f>_xlfn.XLOOKUP($I131,Tab_Def_Flows[Flow_Name],Tab_Def_Flows[Flow_ID],,0,1)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20" t="e">
        <f>_xlfn.XLOOKUP($D132,Tab_Def_Processes[Process_Name],Tab_Def_Processes[Process_Logic],,0,)</f>
        <v>#N/A</v>
      </c>
      <c r="F132" s="20" t="e">
        <f>_xlfn.XLOOKUP($D132,Tab_Def_Processes[Process_Name],Tab_Def_Processes[TC_Configuration],,0,)</f>
        <v>#N/A</v>
      </c>
      <c r="G132" s="20" t="e">
        <f>_xlfn.XLOOKUP($D132,Tab_Def_Processes[Process_Name],Tab_Def_Processes[Stock_Configuration],,0,)</f>
        <v>#N/A</v>
      </c>
      <c r="H132" s="20" t="e">
        <f>_xlfn.XLOOKUP($D132,Tab_Def_Processes[Process_Name],Tab_Def_Processes[Outflow_count],,0,)</f>
        <v>#N/A</v>
      </c>
      <c r="I132" s="138" t="s">
        <v>8</v>
      </c>
      <c r="J132" s="6" t="str">
        <f>_xlfn.XLOOKUP($I132,Tab_Def_Flows[Flow_Name],Tab_Def_Flows[Flow_ID],,0,1)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20" t="e">
        <f>_xlfn.XLOOKUP($D133,Tab_Def_Processes[Process_Name],Tab_Def_Processes[Process_Logic],,0,)</f>
        <v>#N/A</v>
      </c>
      <c r="F133" s="20" t="e">
        <f>_xlfn.XLOOKUP($D133,Tab_Def_Processes[Process_Name],Tab_Def_Processes[TC_Configuration],,0,)</f>
        <v>#N/A</v>
      </c>
      <c r="G133" s="20" t="e">
        <f>_xlfn.XLOOKUP($D133,Tab_Def_Processes[Process_Name],Tab_Def_Processes[Stock_Configuration],,0,)</f>
        <v>#N/A</v>
      </c>
      <c r="H133" s="20" t="e">
        <f>_xlfn.XLOOKUP($D133,Tab_Def_Processes[Process_Name],Tab_Def_Processes[Outflow_count],,0,)</f>
        <v>#N/A</v>
      </c>
      <c r="I133" s="138" t="s">
        <v>8</v>
      </c>
      <c r="J133" s="6" t="str">
        <f>_xlfn.XLOOKUP($I133,Tab_Def_Flows[Flow_Name],Tab_Def_Flows[Flow_ID],,0,1)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20" t="e">
        <f>_xlfn.XLOOKUP($D134,Tab_Def_Processes[Process_Name],Tab_Def_Processes[Process_Logic],,0,)</f>
        <v>#N/A</v>
      </c>
      <c r="F134" s="20" t="e">
        <f>_xlfn.XLOOKUP($D134,Tab_Def_Processes[Process_Name],Tab_Def_Processes[TC_Configuration],,0,)</f>
        <v>#N/A</v>
      </c>
      <c r="G134" s="20" t="e">
        <f>_xlfn.XLOOKUP($D134,Tab_Def_Processes[Process_Name],Tab_Def_Processes[Stock_Configuration],,0,)</f>
        <v>#N/A</v>
      </c>
      <c r="H134" s="20" t="e">
        <f>_xlfn.XLOOKUP($D134,Tab_Def_Processes[Process_Name],Tab_Def_Processes[Outflow_count],,0,)</f>
        <v>#N/A</v>
      </c>
      <c r="I134" s="138" t="s">
        <v>8</v>
      </c>
      <c r="J134" s="6" t="str">
        <f>_xlfn.XLOOKUP($I134,Tab_Def_Flows[Flow_Name],Tab_Def_Flows[Flow_ID],,0,1)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20" t="e">
        <f>_xlfn.XLOOKUP($D135,Tab_Def_Processes[Process_Name],Tab_Def_Processes[Process_Logic],,0,)</f>
        <v>#N/A</v>
      </c>
      <c r="F135" s="20" t="e">
        <f>_xlfn.XLOOKUP($D135,Tab_Def_Processes[Process_Name],Tab_Def_Processes[TC_Configuration],,0,)</f>
        <v>#N/A</v>
      </c>
      <c r="G135" s="20" t="e">
        <f>_xlfn.XLOOKUP($D135,Tab_Def_Processes[Process_Name],Tab_Def_Processes[Stock_Configuration],,0,)</f>
        <v>#N/A</v>
      </c>
      <c r="H135" s="20" t="e">
        <f>_xlfn.XLOOKUP($D135,Tab_Def_Processes[Process_Name],Tab_Def_Processes[Outflow_count],,0,)</f>
        <v>#N/A</v>
      </c>
      <c r="I135" s="138" t="s">
        <v>8</v>
      </c>
      <c r="J135" s="6" t="str">
        <f>_xlfn.XLOOKUP($I135,Tab_Def_Flows[Flow_Name],Tab_Def_Flows[Flow_ID],,0,1)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20" t="e">
        <f>_xlfn.XLOOKUP($D136,Tab_Def_Processes[Process_Name],Tab_Def_Processes[Process_Logic],,0,)</f>
        <v>#N/A</v>
      </c>
      <c r="F136" s="20" t="e">
        <f>_xlfn.XLOOKUP($D136,Tab_Def_Processes[Process_Name],Tab_Def_Processes[TC_Configuration],,0,)</f>
        <v>#N/A</v>
      </c>
      <c r="G136" s="20" t="e">
        <f>_xlfn.XLOOKUP($D136,Tab_Def_Processes[Process_Name],Tab_Def_Processes[Stock_Configuration],,0,)</f>
        <v>#N/A</v>
      </c>
      <c r="H136" s="20" t="e">
        <f>_xlfn.XLOOKUP($D136,Tab_Def_Processes[Process_Name],Tab_Def_Processes[Outflow_count],,0,)</f>
        <v>#N/A</v>
      </c>
      <c r="I136" s="138" t="s">
        <v>8</v>
      </c>
      <c r="J136" s="6" t="str">
        <f>_xlfn.XLOOKUP($I136,Tab_Def_Flows[Flow_Name],Tab_Def_Flows[Flow_ID],,0,1)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20" t="e">
        <f>_xlfn.XLOOKUP($D137,Tab_Def_Processes[Process_Name],Tab_Def_Processes[Process_Logic],,0,)</f>
        <v>#N/A</v>
      </c>
      <c r="F137" s="20" t="e">
        <f>_xlfn.XLOOKUP($D137,Tab_Def_Processes[Process_Name],Tab_Def_Processes[TC_Configuration],,0,)</f>
        <v>#N/A</v>
      </c>
      <c r="G137" s="20" t="e">
        <f>_xlfn.XLOOKUP($D137,Tab_Def_Processes[Process_Name],Tab_Def_Processes[Stock_Configuration],,0,)</f>
        <v>#N/A</v>
      </c>
      <c r="H137" s="20" t="e">
        <f>_xlfn.XLOOKUP($D137,Tab_Def_Processes[Process_Name],Tab_Def_Processes[Outflow_count],,0,)</f>
        <v>#N/A</v>
      </c>
      <c r="I137" s="138" t="s">
        <v>8</v>
      </c>
      <c r="J137" s="6" t="str">
        <f>_xlfn.XLOOKUP($I137,Tab_Def_Flows[Flow_Name],Tab_Def_Flows[Flow_ID],,0,1)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20" t="e">
        <f>_xlfn.XLOOKUP($D138,Tab_Def_Processes[Process_Name],Tab_Def_Processes[Process_Logic],,0,)</f>
        <v>#N/A</v>
      </c>
      <c r="F138" s="20" t="e">
        <f>_xlfn.XLOOKUP($D138,Tab_Def_Processes[Process_Name],Tab_Def_Processes[TC_Configuration],,0,)</f>
        <v>#N/A</v>
      </c>
      <c r="G138" s="20" t="e">
        <f>_xlfn.XLOOKUP($D138,Tab_Def_Processes[Process_Name],Tab_Def_Processes[Stock_Configuration],,0,)</f>
        <v>#N/A</v>
      </c>
      <c r="H138" s="20" t="e">
        <f>_xlfn.XLOOKUP($D138,Tab_Def_Processes[Process_Name],Tab_Def_Processes[Outflow_count],,0,)</f>
        <v>#N/A</v>
      </c>
      <c r="I138" s="138" t="s">
        <v>8</v>
      </c>
      <c r="J138" s="6" t="str">
        <f>_xlfn.XLOOKUP($I138,Tab_Def_Flows[Flow_Name],Tab_Def_Flows[Flow_ID],,0,1)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20" t="e">
        <f>_xlfn.XLOOKUP($D139,Tab_Def_Processes[Process_Name],Tab_Def_Processes[Process_Logic],,0,)</f>
        <v>#N/A</v>
      </c>
      <c r="F139" s="20" t="e">
        <f>_xlfn.XLOOKUP($D139,Tab_Def_Processes[Process_Name],Tab_Def_Processes[TC_Configuration],,0,)</f>
        <v>#N/A</v>
      </c>
      <c r="G139" s="20" t="e">
        <f>_xlfn.XLOOKUP($D139,Tab_Def_Processes[Process_Name],Tab_Def_Processes[Stock_Configuration],,0,)</f>
        <v>#N/A</v>
      </c>
      <c r="H139" s="20" t="e">
        <f>_xlfn.XLOOKUP($D139,Tab_Def_Processes[Process_Name],Tab_Def_Processes[Outflow_count],,0,)</f>
        <v>#N/A</v>
      </c>
      <c r="I139" s="138" t="s">
        <v>8</v>
      </c>
      <c r="J139" s="6" t="str">
        <f>_xlfn.XLOOKUP($I139,Tab_Def_Flows[Flow_Name],Tab_Def_Flows[Flow_ID],,0,1)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20" t="e">
        <f>_xlfn.XLOOKUP($D140,Tab_Def_Processes[Process_Name],Tab_Def_Processes[Process_Logic],,0,)</f>
        <v>#N/A</v>
      </c>
      <c r="F140" s="20" t="e">
        <f>_xlfn.XLOOKUP($D140,Tab_Def_Processes[Process_Name],Tab_Def_Processes[TC_Configuration],,0,)</f>
        <v>#N/A</v>
      </c>
      <c r="G140" s="20" t="e">
        <f>_xlfn.XLOOKUP($D140,Tab_Def_Processes[Process_Name],Tab_Def_Processes[Stock_Configuration],,0,)</f>
        <v>#N/A</v>
      </c>
      <c r="H140" s="20" t="e">
        <f>_xlfn.XLOOKUP($D140,Tab_Def_Processes[Process_Name],Tab_Def_Processes[Outflow_count],,0,)</f>
        <v>#N/A</v>
      </c>
      <c r="I140" s="138" t="s">
        <v>8</v>
      </c>
      <c r="J140" s="6" t="str">
        <f>_xlfn.XLOOKUP($I140,Tab_Def_Flows[Flow_Name],Tab_Def_Flows[Flow_ID],,0,1)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20" t="e">
        <f>_xlfn.XLOOKUP($D141,Tab_Def_Processes[Process_Name],Tab_Def_Processes[Process_Logic],,0,)</f>
        <v>#N/A</v>
      </c>
      <c r="F141" s="20" t="e">
        <f>_xlfn.XLOOKUP($D141,Tab_Def_Processes[Process_Name],Tab_Def_Processes[TC_Configuration],,0,)</f>
        <v>#N/A</v>
      </c>
      <c r="G141" s="20" t="e">
        <f>_xlfn.XLOOKUP($D141,Tab_Def_Processes[Process_Name],Tab_Def_Processes[Stock_Configuration],,0,)</f>
        <v>#N/A</v>
      </c>
      <c r="H141" s="20" t="e">
        <f>_xlfn.XLOOKUP($D141,Tab_Def_Processes[Process_Name],Tab_Def_Processes[Outflow_count],,0,)</f>
        <v>#N/A</v>
      </c>
      <c r="I141" s="138" t="s">
        <v>8</v>
      </c>
      <c r="J141" s="6" t="str">
        <f>_xlfn.XLOOKUP($I141,Tab_Def_Flows[Flow_Name],Tab_Def_Flows[Flow_ID],,0,1)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20" t="e">
        <f>_xlfn.XLOOKUP($D142,Tab_Def_Processes[Process_Name],Tab_Def_Processes[Process_Logic],,0,)</f>
        <v>#N/A</v>
      </c>
      <c r="F142" s="20" t="e">
        <f>_xlfn.XLOOKUP($D142,Tab_Def_Processes[Process_Name],Tab_Def_Processes[TC_Configuration],,0,)</f>
        <v>#N/A</v>
      </c>
      <c r="G142" s="20" t="e">
        <f>_xlfn.XLOOKUP($D142,Tab_Def_Processes[Process_Name],Tab_Def_Processes[Stock_Configuration],,0,)</f>
        <v>#N/A</v>
      </c>
      <c r="H142" s="20" t="e">
        <f>_xlfn.XLOOKUP($D142,Tab_Def_Processes[Process_Name],Tab_Def_Processes[Outflow_count],,0,)</f>
        <v>#N/A</v>
      </c>
      <c r="I142" s="138" t="s">
        <v>8</v>
      </c>
      <c r="J142" s="6" t="str">
        <f>_xlfn.XLOOKUP($I142,Tab_Def_Flows[Flow_Name],Tab_Def_Flows[Flow_ID],,0,1)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20" t="e">
        <f>_xlfn.XLOOKUP($D143,Tab_Def_Processes[Process_Name],Tab_Def_Processes[Process_Logic],,0,)</f>
        <v>#N/A</v>
      </c>
      <c r="F143" s="20" t="e">
        <f>_xlfn.XLOOKUP($D143,Tab_Def_Processes[Process_Name],Tab_Def_Processes[TC_Configuration],,0,)</f>
        <v>#N/A</v>
      </c>
      <c r="G143" s="20" t="e">
        <f>_xlfn.XLOOKUP($D143,Tab_Def_Processes[Process_Name],Tab_Def_Processes[Stock_Configuration],,0,)</f>
        <v>#N/A</v>
      </c>
      <c r="H143" s="20" t="e">
        <f>_xlfn.XLOOKUP($D143,Tab_Def_Processes[Process_Name],Tab_Def_Processes[Outflow_count],,0,)</f>
        <v>#N/A</v>
      </c>
      <c r="I143" s="138" t="s">
        <v>8</v>
      </c>
      <c r="J143" s="6" t="str">
        <f>_xlfn.XLOOKUP($I143,Tab_Def_Flows[Flow_Name],Tab_Def_Flows[Flow_ID],,0,1)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20" t="e">
        <f>_xlfn.XLOOKUP($D144,Tab_Def_Processes[Process_Name],Tab_Def_Processes[Process_Logic],,0,)</f>
        <v>#N/A</v>
      </c>
      <c r="F144" s="20" t="e">
        <f>_xlfn.XLOOKUP($D144,Tab_Def_Processes[Process_Name],Tab_Def_Processes[TC_Configuration],,0,)</f>
        <v>#N/A</v>
      </c>
      <c r="G144" s="20" t="e">
        <f>_xlfn.XLOOKUP($D144,Tab_Def_Processes[Process_Name],Tab_Def_Processes[Stock_Configuration],,0,)</f>
        <v>#N/A</v>
      </c>
      <c r="H144" s="20" t="e">
        <f>_xlfn.XLOOKUP($D144,Tab_Def_Processes[Process_Name],Tab_Def_Processes[Outflow_count],,0,)</f>
        <v>#N/A</v>
      </c>
      <c r="I144" s="138" t="s">
        <v>8</v>
      </c>
      <c r="J144" s="6" t="str">
        <f>_xlfn.XLOOKUP($I144,Tab_Def_Flows[Flow_Name],Tab_Def_Flows[Flow_ID],,0,1)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20" t="e">
        <f>_xlfn.XLOOKUP($D145,Tab_Def_Processes[Process_Name],Tab_Def_Processes[Process_Logic],,0,)</f>
        <v>#N/A</v>
      </c>
      <c r="F145" s="20" t="e">
        <f>_xlfn.XLOOKUP($D145,Tab_Def_Processes[Process_Name],Tab_Def_Processes[TC_Configuration],,0,)</f>
        <v>#N/A</v>
      </c>
      <c r="G145" s="20" t="e">
        <f>_xlfn.XLOOKUP($D145,Tab_Def_Processes[Process_Name],Tab_Def_Processes[Stock_Configuration],,0,)</f>
        <v>#N/A</v>
      </c>
      <c r="H145" s="20" t="e">
        <f>_xlfn.XLOOKUP($D145,Tab_Def_Processes[Process_Name],Tab_Def_Processes[Outflow_count],,0,)</f>
        <v>#N/A</v>
      </c>
      <c r="I145" s="138" t="s">
        <v>8</v>
      </c>
      <c r="J145" s="6" t="str">
        <f>_xlfn.XLOOKUP($I145,Tab_Def_Flows[Flow_Name],Tab_Def_Flows[Flow_ID],,0,1)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20" t="e">
        <f>_xlfn.XLOOKUP($D146,Tab_Def_Processes[Process_Name],Tab_Def_Processes[Process_Logic],,0,)</f>
        <v>#N/A</v>
      </c>
      <c r="F146" s="20" t="e">
        <f>_xlfn.XLOOKUP($D146,Tab_Def_Processes[Process_Name],Tab_Def_Processes[TC_Configuration],,0,)</f>
        <v>#N/A</v>
      </c>
      <c r="G146" s="20" t="e">
        <f>_xlfn.XLOOKUP($D146,Tab_Def_Processes[Process_Name],Tab_Def_Processes[Stock_Configuration],,0,)</f>
        <v>#N/A</v>
      </c>
      <c r="H146" s="20" t="e">
        <f>_xlfn.XLOOKUP($D146,Tab_Def_Processes[Process_Name],Tab_Def_Processes[Outflow_count],,0,)</f>
        <v>#N/A</v>
      </c>
      <c r="I146" s="138" t="s">
        <v>8</v>
      </c>
      <c r="J146" s="6" t="str">
        <f>_xlfn.XLOOKUP($I146,Tab_Def_Flows[Flow_Name],Tab_Def_Flows[Flow_ID],,0,1)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20" t="e">
        <f>_xlfn.XLOOKUP($D147,Tab_Def_Processes[Process_Name],Tab_Def_Processes[Process_Logic],,0,)</f>
        <v>#N/A</v>
      </c>
      <c r="F147" s="20" t="e">
        <f>_xlfn.XLOOKUP($D147,Tab_Def_Processes[Process_Name],Tab_Def_Processes[TC_Configuration],,0,)</f>
        <v>#N/A</v>
      </c>
      <c r="G147" s="20" t="e">
        <f>_xlfn.XLOOKUP($D147,Tab_Def_Processes[Process_Name],Tab_Def_Processes[Stock_Configuration],,0,)</f>
        <v>#N/A</v>
      </c>
      <c r="H147" s="20" t="e">
        <f>_xlfn.XLOOKUP($D147,Tab_Def_Processes[Process_Name],Tab_Def_Processes[Outflow_count],,0,)</f>
        <v>#N/A</v>
      </c>
      <c r="I147" s="138" t="s">
        <v>8</v>
      </c>
      <c r="J147" s="6" t="str">
        <f>_xlfn.XLOOKUP($I147,Tab_Def_Flows[Flow_Name],Tab_Def_Flows[Flow_ID],,0,1)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20" t="e">
        <f>_xlfn.XLOOKUP($D148,Tab_Def_Processes[Process_Name],Tab_Def_Processes[Process_Logic],,0,)</f>
        <v>#N/A</v>
      </c>
      <c r="F148" s="20" t="e">
        <f>_xlfn.XLOOKUP($D148,Tab_Def_Processes[Process_Name],Tab_Def_Processes[TC_Configuration],,0,)</f>
        <v>#N/A</v>
      </c>
      <c r="G148" s="20" t="e">
        <f>_xlfn.XLOOKUP($D148,Tab_Def_Processes[Process_Name],Tab_Def_Processes[Stock_Configuration],,0,)</f>
        <v>#N/A</v>
      </c>
      <c r="H148" s="20" t="e">
        <f>_xlfn.XLOOKUP($D148,Tab_Def_Processes[Process_Name],Tab_Def_Processes[Outflow_count],,0,)</f>
        <v>#N/A</v>
      </c>
      <c r="I148" s="138" t="s">
        <v>8</v>
      </c>
      <c r="J148" s="6" t="str">
        <f>_xlfn.XLOOKUP($I148,Tab_Def_Flows[Flow_Name],Tab_Def_Flows[Flow_ID],,0,1)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20" t="e">
        <f>_xlfn.XLOOKUP($D149,Tab_Def_Processes[Process_Name],Tab_Def_Processes[Process_Logic],,0,)</f>
        <v>#N/A</v>
      </c>
      <c r="F149" s="20" t="e">
        <f>_xlfn.XLOOKUP($D149,Tab_Def_Processes[Process_Name],Tab_Def_Processes[TC_Configuration],,0,)</f>
        <v>#N/A</v>
      </c>
      <c r="G149" s="20" t="e">
        <f>_xlfn.XLOOKUP($D149,Tab_Def_Processes[Process_Name],Tab_Def_Processes[Stock_Configuration],,0,)</f>
        <v>#N/A</v>
      </c>
      <c r="H149" s="20" t="e">
        <f>_xlfn.XLOOKUP($D149,Tab_Def_Processes[Process_Name],Tab_Def_Processes[Outflow_count],,0,)</f>
        <v>#N/A</v>
      </c>
      <c r="I149" s="138" t="s">
        <v>8</v>
      </c>
      <c r="J149" s="6" t="str">
        <f>_xlfn.XLOOKUP($I149,Tab_Def_Flows[Flow_Name],Tab_Def_Flows[Flow_ID],,0,1)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I2:I149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424</v>
      </c>
      <c r="F1" s="141" t="s">
        <v>389</v>
      </c>
      <c r="G1" s="141" t="s">
        <v>452</v>
      </c>
      <c r="H1" s="141" t="s">
        <v>453</v>
      </c>
      <c r="I1" s="141" t="s">
        <v>482</v>
      </c>
      <c r="J1" s="141" t="s">
        <v>1047</v>
      </c>
      <c r="K1" s="141" t="s">
        <v>1046</v>
      </c>
      <c r="L1" s="141" t="s">
        <v>1051</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424</v>
      </c>
      <c r="E1" s="141" t="s">
        <v>389</v>
      </c>
      <c r="F1" s="141" t="s">
        <v>452</v>
      </c>
      <c r="G1" s="141" t="s">
        <v>453</v>
      </c>
      <c r="H1" s="141" t="s">
        <v>482</v>
      </c>
      <c r="I1" s="141" t="s">
        <v>862</v>
      </c>
      <c r="J1" s="141" t="s">
        <v>438</v>
      </c>
      <c r="K1" s="141" t="s">
        <v>890</v>
      </c>
      <c r="L1" s="141" t="s">
        <v>440</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7" sqref="D1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424</v>
      </c>
      <c r="E1" s="141" t="s">
        <v>389</v>
      </c>
      <c r="F1" s="141" t="s">
        <v>452</v>
      </c>
      <c r="G1" s="141" t="s">
        <v>453</v>
      </c>
      <c r="H1" s="141" t="s">
        <v>482</v>
      </c>
      <c r="I1" s="141" t="s">
        <v>891</v>
      </c>
      <c r="J1" s="141" t="s">
        <v>889</v>
      </c>
      <c r="K1" s="141" t="s">
        <v>888</v>
      </c>
    </row>
    <row r="2" spans="1:11" x14ac:dyDescent="0.25">
      <c r="A2" s="142" t="b">
        <v>0</v>
      </c>
      <c r="B2" s="6">
        <f t="shared" ref="B2:B41" si="0">ROW()-1</f>
        <v>1</v>
      </c>
      <c r="C2" s="6" t="str">
        <f>_xlfn.XLOOKUP($D2,Tab_Def_Processes[Process_Name],Tab_Def_Processes[Process_ID],,0,)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P01_</v>
      </c>
      <c r="J2" s="138"/>
      <c r="K2" s="7"/>
    </row>
    <row r="3" spans="1:11" x14ac:dyDescent="0.25">
      <c r="A3" s="142" t="b">
        <v>0</v>
      </c>
      <c r="B3" s="6">
        <f t="shared" si="0"/>
        <v>2</v>
      </c>
      <c r="C3" s="6" t="str">
        <f>_xlfn.XLOOKUP($D3,Tab_Def_Processes[Process_Name],Tab_Def_Processes[Process_ID],,0,)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P01_</v>
      </c>
      <c r="J3" s="138"/>
      <c r="K3" s="7"/>
    </row>
    <row r="4" spans="1:11" x14ac:dyDescent="0.25">
      <c r="A4" s="142" t="b">
        <v>0</v>
      </c>
      <c r="B4" s="6">
        <f t="shared" si="0"/>
        <v>3</v>
      </c>
      <c r="C4" s="6" t="str">
        <f>_xlfn.XLOOKUP($D4,Tab_Def_Processes[Process_Name],Tab_Def_Processes[Process_ID],,0,)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P01_</v>
      </c>
      <c r="J4" s="138"/>
      <c r="K4" s="7"/>
    </row>
    <row r="5" spans="1:11" x14ac:dyDescent="0.25">
      <c r="A5" s="142" t="b">
        <v>0</v>
      </c>
      <c r="B5" s="6">
        <f t="shared" si="0"/>
        <v>4</v>
      </c>
      <c r="C5" s="6" t="str">
        <f>_xlfn.XLOOKUP($D5,Tab_Def_Processes[Process_Name],Tab_Def_Processes[Process_ID],,0,)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P01_</v>
      </c>
      <c r="J5" s="138"/>
      <c r="K5" s="7"/>
    </row>
    <row r="6" spans="1:11" x14ac:dyDescent="0.25">
      <c r="A6" s="142" t="b">
        <v>0</v>
      </c>
      <c r="B6" s="6">
        <f t="shared" si="0"/>
        <v>5</v>
      </c>
      <c r="C6" s="6" t="str">
        <f>_xlfn.XLOOKUP($D6,Tab_Def_Processes[Process_Name],Tab_Def_Processes[Process_ID],,0,)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P01_</v>
      </c>
      <c r="J6" s="138"/>
      <c r="K6" s="7"/>
    </row>
    <row r="7" spans="1:11" x14ac:dyDescent="0.25">
      <c r="A7" s="142" t="b">
        <v>0</v>
      </c>
      <c r="B7" s="6">
        <f t="shared" si="0"/>
        <v>6</v>
      </c>
      <c r="C7" s="6" t="str">
        <f>_xlfn.XLOOKUP($D7,Tab_Def_Processes[Process_Name],Tab_Def_Processes[Process_ID],,0,)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P01_</v>
      </c>
      <c r="J7" s="138"/>
      <c r="K7" s="7"/>
    </row>
    <row r="8" spans="1:11" x14ac:dyDescent="0.25">
      <c r="A8" s="142" t="b">
        <v>0</v>
      </c>
      <c r="B8" s="6">
        <f t="shared" si="0"/>
        <v>7</v>
      </c>
      <c r="C8" s="6" t="str">
        <f>_xlfn.XLOOKUP($D8,Tab_Def_Processes[Process_Name],Tab_Def_Processes[Process_ID],,0,)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P01_</v>
      </c>
      <c r="J8" s="138"/>
      <c r="K8" s="7"/>
    </row>
    <row r="9" spans="1:11" x14ac:dyDescent="0.25">
      <c r="A9" s="142" t="b">
        <v>0</v>
      </c>
      <c r="B9" s="6">
        <f t="shared" si="0"/>
        <v>8</v>
      </c>
      <c r="C9" s="6" t="str">
        <f>_xlfn.XLOOKUP($D9,Tab_Def_Processes[Process_Name],Tab_Def_Processes[Process_ID],,0,)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P01_</v>
      </c>
      <c r="J9" s="138"/>
      <c r="K9" s="7"/>
    </row>
    <row r="10" spans="1:11" x14ac:dyDescent="0.25">
      <c r="A10" s="142" t="b">
        <v>0</v>
      </c>
      <c r="B10" s="6">
        <f t="shared" si="0"/>
        <v>9</v>
      </c>
      <c r="C10" s="6" t="str">
        <f>_xlfn.XLOOKUP($D10,Tab_Def_Processes[Process_Name],Tab_Def_Processes[Process_ID],,0,)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P01_</v>
      </c>
      <c r="J10" s="138"/>
      <c r="K10" s="7"/>
    </row>
    <row r="11" spans="1:11" x14ac:dyDescent="0.25">
      <c r="A11" s="142" t="b">
        <v>0</v>
      </c>
      <c r="B11" s="6">
        <f t="shared" si="0"/>
        <v>10</v>
      </c>
      <c r="C11" s="6" t="str">
        <f>_xlfn.XLOOKUP($D11,Tab_Def_Processes[Process_Name],Tab_Def_Processes[Process_ID],,0,)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P01_</v>
      </c>
      <c r="J11" s="138"/>
      <c r="K11" s="7"/>
    </row>
    <row r="12" spans="1:11" x14ac:dyDescent="0.25">
      <c r="A12" s="142" t="b">
        <v>0</v>
      </c>
      <c r="B12" s="6">
        <f t="shared" si="0"/>
        <v>11</v>
      </c>
      <c r="C12" s="6" t="str">
        <f>_xlfn.XLOOKUP($D12,Tab_Def_Processes[Process_Name],Tab_Def_Processes[Process_ID],,0,)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P01_</v>
      </c>
      <c r="J12" s="138"/>
      <c r="K12" s="7"/>
    </row>
    <row r="13" spans="1:11" x14ac:dyDescent="0.25">
      <c r="A13" s="142" t="b">
        <v>0</v>
      </c>
      <c r="B13" s="6">
        <f t="shared" si="0"/>
        <v>12</v>
      </c>
      <c r="C13" s="6" t="str">
        <f>_xlfn.XLOOKUP($D13,Tab_Def_Processes[Process_Name],Tab_Def_Processes[Process_ID],,0,)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P01_</v>
      </c>
      <c r="J13" s="138"/>
      <c r="K13" s="7"/>
    </row>
    <row r="14" spans="1:11" x14ac:dyDescent="0.25">
      <c r="A14" s="142" t="b">
        <v>0</v>
      </c>
      <c r="B14" s="6">
        <f t="shared" si="0"/>
        <v>13</v>
      </c>
      <c r="C14" s="6" t="str">
        <f>_xlfn.XLOOKUP($D14,Tab_Def_Processes[Process_Name],Tab_Def_Processes[Process_ID],,0,)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P01_</v>
      </c>
      <c r="J14" s="138"/>
      <c r="K14" s="7"/>
    </row>
    <row r="15" spans="1:11" x14ac:dyDescent="0.25">
      <c r="A15" s="142" t="b">
        <v>0</v>
      </c>
      <c r="B15" s="6">
        <f t="shared" si="0"/>
        <v>14</v>
      </c>
      <c r="C15" s="6" t="str">
        <f>_xlfn.XLOOKUP($D15,Tab_Def_Processes[Process_Name],Tab_Def_Processes[Process_ID],,0,)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P01_</v>
      </c>
      <c r="J15" s="138"/>
      <c r="K15" s="7"/>
    </row>
    <row r="16" spans="1:11" x14ac:dyDescent="0.25">
      <c r="A16" s="142" t="b">
        <v>0</v>
      </c>
      <c r="B16" s="6">
        <f t="shared" si="0"/>
        <v>15</v>
      </c>
      <c r="C16" s="6" t="str">
        <f>_xlfn.XLOOKUP($D16,Tab_Def_Processes[Process_Name],Tab_Def_Processes[Process_ID],,0,)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P01_</v>
      </c>
      <c r="J16" s="138"/>
      <c r="K16" s="7"/>
    </row>
    <row r="17" spans="1:11" x14ac:dyDescent="0.25">
      <c r="A17" s="142" t="b">
        <v>0</v>
      </c>
      <c r="B17" s="6">
        <f t="shared" si="0"/>
        <v>16</v>
      </c>
      <c r="C17" s="6" t="str">
        <f>_xlfn.XLOOKUP($D17,Tab_Def_Processes[Process_Name],Tab_Def_Processes[Process_ID],,0,)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P01_</v>
      </c>
      <c r="J17" s="138"/>
      <c r="K17" s="7"/>
    </row>
    <row r="18" spans="1:11" x14ac:dyDescent="0.25">
      <c r="A18" s="142" t="b">
        <v>0</v>
      </c>
      <c r="B18" s="6">
        <f t="shared" si="0"/>
        <v>17</v>
      </c>
      <c r="C18" s="6" t="str">
        <f>_xlfn.XLOOKUP($D18,Tab_Def_Processes[Process_Name],Tab_Def_Processes[Process_ID],,0,)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P01_</v>
      </c>
      <c r="J18" s="138"/>
      <c r="K18" s="7"/>
    </row>
    <row r="19" spans="1:11" x14ac:dyDescent="0.25">
      <c r="A19" s="142" t="b">
        <v>0</v>
      </c>
      <c r="B19" s="6">
        <f t="shared" si="0"/>
        <v>18</v>
      </c>
      <c r="C19" s="6" t="str">
        <f>_xlfn.XLOOKUP($D19,Tab_Def_Processes[Process_Name],Tab_Def_Processes[Process_ID],,0,)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P01_</v>
      </c>
      <c r="J19" s="138"/>
      <c r="K19" s="7"/>
    </row>
    <row r="20" spans="1:11" x14ac:dyDescent="0.25">
      <c r="A20" s="142" t="b">
        <v>0</v>
      </c>
      <c r="B20" s="6">
        <f t="shared" si="0"/>
        <v>19</v>
      </c>
      <c r="C20" s="6" t="str">
        <f>_xlfn.XLOOKUP($D20,Tab_Def_Processes[Process_Name],Tab_Def_Processes[Process_ID],,0,)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P01_</v>
      </c>
      <c r="J20" s="138"/>
      <c r="K20" s="7"/>
    </row>
    <row r="21" spans="1:11" x14ac:dyDescent="0.25">
      <c r="A21" s="142" t="b">
        <v>0</v>
      </c>
      <c r="B21" s="6">
        <f t="shared" si="0"/>
        <v>20</v>
      </c>
      <c r="C21" s="6" t="str">
        <f>_xlfn.XLOOKUP($D21,Tab_Def_Processes[Process_Name],Tab_Def_Processes[Process_ID],,0,)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P01_</v>
      </c>
      <c r="J21" s="138"/>
      <c r="K21" s="7"/>
    </row>
    <row r="22" spans="1:11" x14ac:dyDescent="0.25">
      <c r="A22" s="142" t="b">
        <v>0</v>
      </c>
      <c r="B22" s="6">
        <f t="shared" si="0"/>
        <v>21</v>
      </c>
      <c r="C22" s="6" t="str">
        <f>_xlfn.XLOOKUP($D22,Tab_Def_Processes[Process_Name],Tab_Def_Processes[Process_ID],,0,)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P01_</v>
      </c>
      <c r="J22" s="138"/>
      <c r="K22" s="7"/>
    </row>
    <row r="23" spans="1:11" x14ac:dyDescent="0.25">
      <c r="A23" s="142" t="b">
        <v>0</v>
      </c>
      <c r="B23" s="6">
        <f t="shared" si="0"/>
        <v>22</v>
      </c>
      <c r="C23" s="6" t="str">
        <f>_xlfn.XLOOKUP($D23,Tab_Def_Processes[Process_Name],Tab_Def_Processes[Process_ID],,0,)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P01_</v>
      </c>
      <c r="J23" s="138"/>
      <c r="K23" s="7"/>
    </row>
    <row r="24" spans="1:11" x14ac:dyDescent="0.25">
      <c r="A24" s="142" t="b">
        <v>0</v>
      </c>
      <c r="B24" s="6">
        <f t="shared" si="0"/>
        <v>23</v>
      </c>
      <c r="C24" s="6" t="str">
        <f>_xlfn.XLOOKUP($D24,Tab_Def_Processes[Process_Name],Tab_Def_Processes[Process_ID],,0,)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P01_</v>
      </c>
      <c r="J24" s="138"/>
      <c r="K24" s="7"/>
    </row>
    <row r="25" spans="1:11" x14ac:dyDescent="0.25">
      <c r="A25" s="142" t="b">
        <v>0</v>
      </c>
      <c r="B25" s="6">
        <f t="shared" si="0"/>
        <v>24</v>
      </c>
      <c r="C25" s="6" t="str">
        <f>_xlfn.XLOOKUP($D25,Tab_Def_Processes[Process_Name],Tab_Def_Processes[Process_ID],,0,)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P01_</v>
      </c>
      <c r="J25" s="138"/>
      <c r="K25" s="7"/>
    </row>
    <row r="26" spans="1:11" x14ac:dyDescent="0.25">
      <c r="A26" s="142" t="b">
        <v>0</v>
      </c>
      <c r="B26" s="6">
        <f t="shared" si="0"/>
        <v>25</v>
      </c>
      <c r="C26" s="6" t="str">
        <f>_xlfn.XLOOKUP($D26,Tab_Def_Processes[Process_Name],Tab_Def_Processes[Process_ID],,0,)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P01_</v>
      </c>
      <c r="J26" s="138"/>
      <c r="K26" s="7"/>
    </row>
    <row r="27" spans="1:11" x14ac:dyDescent="0.25">
      <c r="A27" s="142" t="b">
        <v>0</v>
      </c>
      <c r="B27" s="6">
        <f t="shared" si="0"/>
        <v>26</v>
      </c>
      <c r="C27" s="6" t="str">
        <f>_xlfn.XLOOKUP($D27,Tab_Def_Processes[Process_Name],Tab_Def_Processes[Process_ID],,0,)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P01_</v>
      </c>
      <c r="J27" s="138"/>
      <c r="K27" s="7"/>
    </row>
    <row r="28" spans="1:11" x14ac:dyDescent="0.25">
      <c r="A28" s="142" t="b">
        <v>0</v>
      </c>
      <c r="B28" s="6">
        <f t="shared" si="0"/>
        <v>27</v>
      </c>
      <c r="C28" s="6" t="str">
        <f>_xlfn.XLOOKUP($D28,Tab_Def_Processes[Process_Name],Tab_Def_Processes[Process_ID],,0,)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P01_</v>
      </c>
      <c r="J28" s="138"/>
      <c r="K28" s="7"/>
    </row>
    <row r="29" spans="1:11" x14ac:dyDescent="0.25">
      <c r="A29" s="142" t="b">
        <v>0</v>
      </c>
      <c r="B29" s="6">
        <f t="shared" si="0"/>
        <v>28</v>
      </c>
      <c r="C29" s="6" t="str">
        <f>_xlfn.XLOOKUP($D29,Tab_Def_Processes[Process_Name],Tab_Def_Processes[Process_ID],,0,)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P01_</v>
      </c>
      <c r="J29" s="138"/>
      <c r="K29" s="7"/>
    </row>
    <row r="30" spans="1:11" x14ac:dyDescent="0.25">
      <c r="A30" s="142" t="b">
        <v>0</v>
      </c>
      <c r="B30" s="6">
        <f t="shared" si="0"/>
        <v>29</v>
      </c>
      <c r="C30" s="6" t="str">
        <f>_xlfn.XLOOKUP($D30,Tab_Def_Processes[Process_Name],Tab_Def_Processes[Process_ID],,0,)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P01_</v>
      </c>
      <c r="J30" s="138"/>
      <c r="K30" s="7"/>
    </row>
    <row r="31" spans="1:11" x14ac:dyDescent="0.25">
      <c r="A31" s="142" t="b">
        <v>0</v>
      </c>
      <c r="B31" s="6">
        <f t="shared" si="0"/>
        <v>30</v>
      </c>
      <c r="C31" s="6" t="str">
        <f>_xlfn.XLOOKUP($D31,Tab_Def_Processes[Process_Name],Tab_Def_Processes[Process_ID],,0,)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P01_</v>
      </c>
      <c r="J31" s="138"/>
      <c r="K31" s="7"/>
    </row>
    <row r="32" spans="1:11" x14ac:dyDescent="0.25">
      <c r="A32" s="142" t="b">
        <v>0</v>
      </c>
      <c r="B32" s="6">
        <f t="shared" si="0"/>
        <v>31</v>
      </c>
      <c r="C32" s="6" t="str">
        <f>_xlfn.XLOOKUP($D32,Tab_Def_Processes[Process_Name],Tab_Def_Processes[Process_ID],,0,)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P01_</v>
      </c>
      <c r="J32" s="138"/>
      <c r="K32" s="7"/>
    </row>
    <row r="33" spans="1:11" x14ac:dyDescent="0.25">
      <c r="A33" s="142" t="b">
        <v>0</v>
      </c>
      <c r="B33" s="6">
        <f t="shared" si="0"/>
        <v>32</v>
      </c>
      <c r="C33" s="6" t="str">
        <f>_xlfn.XLOOKUP($D33,Tab_Def_Processes[Process_Name],Tab_Def_Processes[Process_ID],,0,)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P01_</v>
      </c>
      <c r="J33" s="138"/>
      <c r="K33" s="7"/>
    </row>
    <row r="34" spans="1:11" x14ac:dyDescent="0.25">
      <c r="A34" s="142" t="b">
        <v>0</v>
      </c>
      <c r="B34" s="6">
        <f t="shared" si="0"/>
        <v>33</v>
      </c>
      <c r="C34" s="6" t="str">
        <f>_xlfn.XLOOKUP($D34,Tab_Def_Processes[Process_Name],Tab_Def_Processes[Process_ID],,0,)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P01_</v>
      </c>
      <c r="J34" s="138"/>
      <c r="K34" s="7"/>
    </row>
    <row r="35" spans="1:11" x14ac:dyDescent="0.25">
      <c r="A35" s="142" t="b">
        <v>0</v>
      </c>
      <c r="B35" s="6">
        <f t="shared" si="0"/>
        <v>34</v>
      </c>
      <c r="C35" s="6" t="str">
        <f>_xlfn.XLOOKUP($D35,Tab_Def_Processes[Process_Name],Tab_Def_Processes[Process_ID],,0,)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P01_</v>
      </c>
      <c r="J35" s="138"/>
      <c r="K35" s="7"/>
    </row>
    <row r="36" spans="1:11" x14ac:dyDescent="0.25">
      <c r="A36" s="142" t="b">
        <v>0</v>
      </c>
      <c r="B36" s="6">
        <f t="shared" si="0"/>
        <v>35</v>
      </c>
      <c r="C36" s="6" t="str">
        <f>_xlfn.XLOOKUP($D36,Tab_Def_Processes[Process_Name],Tab_Def_Processes[Process_ID],,0,)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P01_</v>
      </c>
      <c r="J36" s="138"/>
      <c r="K36" s="7"/>
    </row>
    <row r="37" spans="1:11" x14ac:dyDescent="0.25">
      <c r="A37" s="142" t="b">
        <v>0</v>
      </c>
      <c r="B37" s="6">
        <f t="shared" si="0"/>
        <v>36</v>
      </c>
      <c r="C37" s="6" t="str">
        <f>_xlfn.XLOOKUP($D37,Tab_Def_Processes[Process_Name],Tab_Def_Processes[Process_ID],,0,)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P01_</v>
      </c>
      <c r="J37" s="138"/>
      <c r="K37" s="7"/>
    </row>
    <row r="38" spans="1:11" x14ac:dyDescent="0.25">
      <c r="A38" s="142" t="b">
        <v>0</v>
      </c>
      <c r="B38" s="6">
        <f t="shared" si="0"/>
        <v>37</v>
      </c>
      <c r="C38" s="6" t="str">
        <f>_xlfn.XLOOKUP($D38,Tab_Def_Processes[Process_Name],Tab_Def_Processes[Process_ID],,0,)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P01_</v>
      </c>
      <c r="J38" s="138"/>
      <c r="K38" s="7"/>
    </row>
    <row r="39" spans="1:11" x14ac:dyDescent="0.25">
      <c r="A39" s="142" t="b">
        <v>0</v>
      </c>
      <c r="B39" s="6">
        <f t="shared" si="0"/>
        <v>38</v>
      </c>
      <c r="C39" s="6" t="str">
        <f>_xlfn.XLOOKUP($D39,Tab_Def_Processes[Process_Name],Tab_Def_Processes[Process_ID],,0,)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P01_</v>
      </c>
      <c r="J39" s="138"/>
      <c r="K39" s="7"/>
    </row>
    <row r="40" spans="1:11" x14ac:dyDescent="0.25">
      <c r="A40" s="142" t="b">
        <v>0</v>
      </c>
      <c r="B40" s="6">
        <f t="shared" si="0"/>
        <v>39</v>
      </c>
      <c r="C40" s="6" t="str">
        <f>_xlfn.XLOOKUP($D40,Tab_Def_Processes[Process_Name],Tab_Def_Processes[Process_ID],,0,)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P01_</v>
      </c>
      <c r="J40" s="138"/>
      <c r="K40" s="7"/>
    </row>
    <row r="41" spans="1:11" x14ac:dyDescent="0.25">
      <c r="A41" s="142" t="b">
        <v>0</v>
      </c>
      <c r="B41" s="136">
        <f t="shared" si="0"/>
        <v>40</v>
      </c>
      <c r="C41" s="136" t="str">
        <f>_xlfn.XLOOKUP($D41,Tab_Def_Processes[Process_Name],Tab_Def_Processes[Process_ID],,0,)</f>
        <v>01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980</v>
      </c>
      <c r="C1" s="141" t="s">
        <v>187</v>
      </c>
      <c r="D1" s="141" t="s">
        <v>172</v>
      </c>
      <c r="E1" s="141" t="s">
        <v>987</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979</v>
      </c>
      <c r="D1" s="141" t="s">
        <v>187</v>
      </c>
      <c r="E1" s="141" t="s">
        <v>172</v>
      </c>
      <c r="F1" s="141" t="s">
        <v>209</v>
      </c>
      <c r="G1" s="141" t="s">
        <v>188</v>
      </c>
      <c r="H1" s="141" t="s">
        <v>425</v>
      </c>
      <c r="I1" s="141" t="s">
        <v>426</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D7" zoomScale="145" zoomScaleNormal="145" workbookViewId="0">
      <selection activeCell="F27" sqref="F27"/>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360</v>
      </c>
      <c r="F1" s="141" t="s">
        <v>244</v>
      </c>
      <c r="G1" s="141" t="s">
        <v>245</v>
      </c>
      <c r="H1" s="141" t="s">
        <v>380</v>
      </c>
      <c r="I1" s="141" t="s">
        <v>381</v>
      </c>
      <c r="J1" s="141" t="s">
        <v>382</v>
      </c>
      <c r="K1" s="141" t="s">
        <v>385</v>
      </c>
      <c r="L1" s="141" t="s">
        <v>383</v>
      </c>
      <c r="M1" s="141" t="s">
        <v>386</v>
      </c>
      <c r="N1" s="141" t="s">
        <v>384</v>
      </c>
      <c r="O1" s="141" t="s">
        <v>387</v>
      </c>
      <c r="P1" s="141" t="s">
        <v>4</v>
      </c>
    </row>
    <row r="2" spans="1:16" x14ac:dyDescent="0.25">
      <c r="A2" s="154" t="b">
        <v>0</v>
      </c>
      <c r="B2" s="6">
        <f t="shared" ref="B2:B47" si="0">ROW()-1</f>
        <v>1</v>
      </c>
      <c r="C2" s="20" t="str">
        <f>_xlfn.XLOOKUP($D2,Tab_Def_Processes[Process_Name],Tab_Def_Processes[ID],,0,)</f>
        <v>00</v>
      </c>
      <c r="D2" s="6" t="str">
        <f>Tab_Def_Processes[[#This Row],[Process_Name]]</f>
        <v>sadsad</v>
      </c>
      <c r="E2" s="155" t="s">
        <v>271</v>
      </c>
      <c r="F2" s="155" t="s">
        <v>272</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e">
        <f>_xlfn.XLOOKUP($D3,Tab_Def_Processes[Process_Name],Tab_Def_Processes[ID],,0,)</f>
        <v>#N/A</v>
      </c>
      <c r="D3" s="6">
        <f>Tab_Def_Processes[[#This Row],[Process_Name]]</f>
        <v>0</v>
      </c>
      <c r="E3" s="155" t="s">
        <v>271</v>
      </c>
      <c r="F3" s="155" t="s">
        <v>288</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e">
        <f>_xlfn.XLOOKUP($D4,Tab_Def_Processes[Process_Name],Tab_Def_Processes[ID],,0,)</f>
        <v>#N/A</v>
      </c>
      <c r="D4" s="6">
        <f>Tab_Def_Processes[[#This Row],[Process_Name]]</f>
        <v>0</v>
      </c>
      <c r="E4" s="155" t="s">
        <v>271</v>
      </c>
      <c r="F4" s="155" t="s">
        <v>288</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e">
        <f>_xlfn.XLOOKUP($D5,Tab_Def_Processes[Process_Name],Tab_Def_Processes[ID],,0,)</f>
        <v>#N/A</v>
      </c>
      <c r="D5" s="6">
        <f>Tab_Def_Processes[[#This Row],[Process_Name]]</f>
        <v>0</v>
      </c>
      <c r="E5" s="155" t="s">
        <v>271</v>
      </c>
      <c r="F5" s="155" t="s">
        <v>288</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e">
        <f>_xlfn.XLOOKUP($D6,Tab_Def_Processes[Process_Name],Tab_Def_Processes[ID],,0,)</f>
        <v>#N/A</v>
      </c>
      <c r="D6" s="6">
        <f>Tab_Def_Processes[[#This Row],[Process_Name]]</f>
        <v>0</v>
      </c>
      <c r="E6" s="155" t="s">
        <v>271</v>
      </c>
      <c r="F6" s="155" t="s">
        <v>288</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e">
        <f>_xlfn.XLOOKUP($D7,Tab_Def_Processes[Process_Name],Tab_Def_Processes[ID],,0,)</f>
        <v>#N/A</v>
      </c>
      <c r="D7" s="6">
        <f>Tab_Def_Processes[[#This Row],[Process_Name]]</f>
        <v>0</v>
      </c>
      <c r="E7" s="155" t="s">
        <v>271</v>
      </c>
      <c r="F7" s="155" t="s">
        <v>288</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e">
        <f>_xlfn.XLOOKUP($D8,Tab_Def_Processes[Process_Name],Tab_Def_Processes[ID],,0,)</f>
        <v>#N/A</v>
      </c>
      <c r="D8" s="6">
        <f>Tab_Def_Processes[[#This Row],[Process_Name]]</f>
        <v>0</v>
      </c>
      <c r="E8" s="155" t="s">
        <v>271</v>
      </c>
      <c r="F8" s="155" t="s">
        <v>288</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e">
        <f>_xlfn.XLOOKUP($D9,Tab_Def_Processes[Process_Name],Tab_Def_Processes[ID],,0,)</f>
        <v>#N/A</v>
      </c>
      <c r="D9" s="6">
        <f>Tab_Def_Processes[[#This Row],[Process_Name]]</f>
        <v>0</v>
      </c>
      <c r="E9" s="155" t="s">
        <v>271</v>
      </c>
      <c r="F9" s="155" t="s">
        <v>284</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e">
        <f>_xlfn.XLOOKUP($D10,Tab_Def_Processes[Process_Name],Tab_Def_Processes[ID],,0,)</f>
        <v>#N/A</v>
      </c>
      <c r="D10" s="6">
        <f>Tab_Def_Processes[[#This Row],[Process_Name]]</f>
        <v>0</v>
      </c>
      <c r="E10" s="155" t="s">
        <v>271</v>
      </c>
      <c r="F10" s="155" t="s">
        <v>288</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e">
        <f>_xlfn.XLOOKUP($D11,Tab_Def_Processes[Process_Name],Tab_Def_Processes[ID],,0,)</f>
        <v>#N/A</v>
      </c>
      <c r="D11" s="6">
        <f>Tab_Def_Processes[[#This Row],[Process_Name]]</f>
        <v>0</v>
      </c>
      <c r="E11" s="155" t="s">
        <v>271</v>
      </c>
      <c r="F11" s="155" t="s">
        <v>305</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e">
        <f>_xlfn.XLOOKUP($D12,Tab_Def_Processes[Process_Name],Tab_Def_Processes[ID],,0,)</f>
        <v>#N/A</v>
      </c>
      <c r="D12" s="6">
        <f>Tab_Def_Processes[[#This Row],[Process_Name]]</f>
        <v>0</v>
      </c>
      <c r="E12" s="155" t="s">
        <v>271</v>
      </c>
      <c r="F12" s="155" t="s">
        <v>284</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e">
        <f>_xlfn.XLOOKUP($D13,Tab_Def_Processes[Process_Name],Tab_Def_Processes[ID],,0,)</f>
        <v>#N/A</v>
      </c>
      <c r="D13" s="6">
        <f>Tab_Def_Processes[[#This Row],[Process_Name]]</f>
        <v>0</v>
      </c>
      <c r="E13" s="155" t="s">
        <v>326</v>
      </c>
      <c r="F13" s="155" t="s">
        <v>284</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e">
        <f>_xlfn.XLOOKUP($D14,Tab_Def_Processes[Process_Name],Tab_Def_Processes[ID],,0,)</f>
        <v>#N/A</v>
      </c>
      <c r="D14" s="6">
        <f>Tab_Def_Processes[[#This Row],[Process_Name]]</f>
        <v>0</v>
      </c>
      <c r="E14" s="155" t="s">
        <v>326</v>
      </c>
      <c r="F14" s="155" t="s">
        <v>284</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t="s">
        <v>326</v>
      </c>
      <c r="F15" s="155" t="s">
        <v>284</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t="s">
        <v>326</v>
      </c>
      <c r="F16" s="155" t="s">
        <v>284</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e">
        <f>_xlfn.XLOOKUP($D17,Tab_Def_Processes[Process_Name],Tab_Def_Processes[ID],,0,)</f>
        <v>#N/A</v>
      </c>
      <c r="D17" s="6">
        <f>Tab_Def_Processes[[#This Row],[Process_Name]]</f>
        <v>0</v>
      </c>
      <c r="E17" s="155" t="s">
        <v>326</v>
      </c>
      <c r="F17" s="155" t="s">
        <v>284</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e">
        <f>_xlfn.XLOOKUP($D18,Tab_Def_Processes[Process_Name],Tab_Def_Processes[ID],,0,)</f>
        <v>#N/A</v>
      </c>
      <c r="D18" s="6">
        <f>Tab_Def_Processes[[#This Row],[Process_Name]]</f>
        <v>0</v>
      </c>
      <c r="E18" s="155" t="s">
        <v>326</v>
      </c>
      <c r="F18" s="155" t="s">
        <v>284</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e">
        <f>_xlfn.XLOOKUP($D19,Tab_Def_Processes[Process_Name],Tab_Def_Processes[ID],,0,)</f>
        <v>#N/A</v>
      </c>
      <c r="D19" s="6">
        <f>Tab_Def_Processes[[#This Row],[Process_Name]]</f>
        <v>0</v>
      </c>
      <c r="E19" s="155" t="s">
        <v>326</v>
      </c>
      <c r="F19" s="155" t="s">
        <v>284</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e">
        <f>_xlfn.XLOOKUP($D20,Tab_Def_Processes[Process_Name],Tab_Def_Processes[ID],,0,)</f>
        <v>#N/A</v>
      </c>
      <c r="D20" s="6">
        <f>Tab_Def_Processes[[#This Row],[Process_Name]]</f>
        <v>0</v>
      </c>
      <c r="E20" s="155" t="s">
        <v>326</v>
      </c>
      <c r="F20" s="155" t="s">
        <v>284</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e">
        <f>_xlfn.XLOOKUP($D21,Tab_Def_Processes[Process_Name],Tab_Def_Processes[ID],,0,)</f>
        <v>#N/A</v>
      </c>
      <c r="D21" s="6">
        <f>Tab_Def_Processes[[#This Row],[Process_Name]]</f>
        <v>0</v>
      </c>
      <c r="E21" s="155" t="s">
        <v>326</v>
      </c>
      <c r="F21" s="155" t="s">
        <v>284</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e">
        <f>_xlfn.XLOOKUP($D22,Tab_Def_Processes[Process_Name],Tab_Def_Processes[ID],,0,)</f>
        <v>#N/A</v>
      </c>
      <c r="D22" s="6">
        <f>Tab_Def_Processes[[#This Row],[Process_Name]]</f>
        <v>0</v>
      </c>
      <c r="E22" s="155" t="s">
        <v>326</v>
      </c>
      <c r="F22" s="155" t="s">
        <v>284</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e">
        <f>_xlfn.XLOOKUP($D23,Tab_Def_Processes[Process_Name],Tab_Def_Processes[ID],,0,)</f>
        <v>#N/A</v>
      </c>
      <c r="D23" s="6">
        <f>Tab_Def_Processes[[#This Row],[Process_Name]]</f>
        <v>0</v>
      </c>
      <c r="E23" s="155" t="s">
        <v>326</v>
      </c>
      <c r="F23" s="155" t="s">
        <v>284</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e">
        <f>_xlfn.XLOOKUP($D24,Tab_Def_Processes[Process_Name],Tab_Def_Processes[ID],,0,)</f>
        <v>#N/A</v>
      </c>
      <c r="D24" s="6">
        <f>Tab_Def_Processes[[#This Row],[Process_Name]]</f>
        <v>0</v>
      </c>
      <c r="E24" s="155" t="s">
        <v>326</v>
      </c>
      <c r="F24" s="155" t="s">
        <v>284</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tabSelected="1" workbookViewId="0">
      <selection activeCell="O44" sqref="O4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246</v>
      </c>
      <c r="E1" s="141" t="s">
        <v>361</v>
      </c>
      <c r="F1" s="141" t="s">
        <v>4</v>
      </c>
    </row>
    <row r="2" spans="1:6" x14ac:dyDescent="0.25">
      <c r="A2" s="8">
        <f>ROW()-1</f>
        <v>1</v>
      </c>
      <c r="B2" s="6" t="e">
        <f>_xlfn.XLOOKUP(C2,Tab_Def_Flows[Flow_Name],Tab_Def_Flows[Flow_ID],,0,)</f>
        <v>#N/A</v>
      </c>
      <c r="C2" s="6">
        <f>Tab_Def_Flows[[#This Row],[Flow_Name]]</f>
        <v>0</v>
      </c>
      <c r="D2" s="138"/>
      <c r="E2" s="6" t="e">
        <f>_xlfn.XLOOKUP($D2,Table32[Color_Name],Table32[Hex_Code],,0,)</f>
        <v>#N/A</v>
      </c>
      <c r="F2" s="13"/>
    </row>
    <row r="3" spans="1:6" x14ac:dyDescent="0.25">
      <c r="A3" s="8">
        <f t="shared" ref="A3:A51" si="0">ROW()-1</f>
        <v>2</v>
      </c>
      <c r="B3" s="6" t="e">
        <f>_xlfn.XLOOKUP(C3,Tab_Def_Flows[Flow_Name],Tab_Def_Flows[Flow_ID],,0,)</f>
        <v>#N/A</v>
      </c>
      <c r="C3" s="6">
        <f>Tab_Def_Flows[[#This Row],[Flow_Name]]</f>
        <v>0</v>
      </c>
      <c r="D3" s="138"/>
      <c r="E3" s="6" t="e">
        <f>_xlfn.XLOOKUP($D3,Table32[Color_Name],Table32[Hex_Code],,0,)</f>
        <v>#N/A</v>
      </c>
      <c r="F3" s="13"/>
    </row>
    <row r="4" spans="1:6" x14ac:dyDescent="0.25">
      <c r="A4" s="8">
        <f t="shared" si="0"/>
        <v>3</v>
      </c>
      <c r="B4" s="6" t="e">
        <f>_xlfn.XLOOKUP(C4,Tab_Def_Flows[Flow_Name],Tab_Def_Flows[Flow_ID],,0,)</f>
        <v>#N/A</v>
      </c>
      <c r="C4" s="6">
        <f>Tab_Def_Flows[[#This Row],[Flow_Name]]</f>
        <v>0</v>
      </c>
      <c r="D4" s="138"/>
      <c r="E4" s="6" t="e">
        <f>_xlfn.XLOOKUP($D4,Table32[Color_Name],Table32[Hex_Code],,0,)</f>
        <v>#N/A</v>
      </c>
      <c r="F4" s="13"/>
    </row>
    <row r="5" spans="1:6" x14ac:dyDescent="0.25">
      <c r="A5" s="8">
        <f t="shared" si="0"/>
        <v>4</v>
      </c>
      <c r="B5" s="6" t="e">
        <f>_xlfn.XLOOKUP(C5,Tab_Def_Flows[Flow_Name],Tab_Def_Flows[Flow_ID],,0,)</f>
        <v>#N/A</v>
      </c>
      <c r="C5" s="6">
        <f>Tab_Def_Flows[[#This Row],[Flow_Name]]</f>
        <v>0</v>
      </c>
      <c r="D5" s="138"/>
      <c r="E5" s="6" t="e">
        <f>_xlfn.XLOOKUP($D5,Table32[Color_Name],Table32[Hex_Code],,0,)</f>
        <v>#N/A</v>
      </c>
      <c r="F5" s="13"/>
    </row>
    <row r="6" spans="1:6" x14ac:dyDescent="0.25">
      <c r="A6" s="8">
        <f t="shared" si="0"/>
        <v>5</v>
      </c>
      <c r="B6" s="6" t="e">
        <f>_xlfn.XLOOKUP(C6,Tab_Def_Flows[Flow_Name],Tab_Def_Flows[Flow_ID],,0,)</f>
        <v>#N/A</v>
      </c>
      <c r="C6" s="6">
        <f>Tab_Def_Flows[[#This Row],[Flow_Name]]</f>
        <v>0</v>
      </c>
      <c r="D6" s="138"/>
      <c r="E6" s="6" t="e">
        <f>_xlfn.XLOOKUP($D6,Table32[Color_Name],Table32[Hex_Code],,0,)</f>
        <v>#N/A</v>
      </c>
      <c r="F6" s="13"/>
    </row>
    <row r="7" spans="1:6" x14ac:dyDescent="0.25">
      <c r="A7" s="8">
        <f t="shared" si="0"/>
        <v>6</v>
      </c>
      <c r="B7" s="6" t="e">
        <f>_xlfn.XLOOKUP(C7,Tab_Def_Flows[Flow_Name],Tab_Def_Flows[Flow_ID],,0,)</f>
        <v>#N/A</v>
      </c>
      <c r="C7" s="6">
        <f>Tab_Def_Flows[[#This Row],[Flow_Name]]</f>
        <v>0</v>
      </c>
      <c r="D7" s="138"/>
      <c r="E7" s="6" t="e">
        <f>_xlfn.XLOOKUP($D7,Table32[Color_Name],Table32[Hex_Code],,0,)</f>
        <v>#N/A</v>
      </c>
      <c r="F7" s="13"/>
    </row>
    <row r="8" spans="1:6" x14ac:dyDescent="0.25">
      <c r="A8" s="8">
        <f t="shared" si="0"/>
        <v>7</v>
      </c>
      <c r="B8" s="6" t="e">
        <f>_xlfn.XLOOKUP(C8,Tab_Def_Flows[Flow_Name],Tab_Def_Flows[Flow_ID],,0,)</f>
        <v>#N/A</v>
      </c>
      <c r="C8" s="6">
        <f>Tab_Def_Flows[[#This Row],[Flow_Name]]</f>
        <v>0</v>
      </c>
      <c r="D8" s="138"/>
      <c r="E8" s="6" t="e">
        <f>_xlfn.XLOOKUP($D8,Table32[Color_Name],Table32[Hex_Code],,0,)</f>
        <v>#N/A</v>
      </c>
      <c r="F8" s="13"/>
    </row>
    <row r="9" spans="1:6" x14ac:dyDescent="0.25">
      <c r="A9" s="8">
        <f t="shared" si="0"/>
        <v>8</v>
      </c>
      <c r="B9" s="6" t="e">
        <f>_xlfn.XLOOKUP(C9,Tab_Def_Flows[Flow_Name],Tab_Def_Flows[Flow_ID],,0,)</f>
        <v>#N/A</v>
      </c>
      <c r="C9" s="6">
        <f>Tab_Def_Flows[[#This Row],[Flow_Name]]</f>
        <v>0</v>
      </c>
      <c r="D9" s="138"/>
      <c r="E9" s="6" t="e">
        <f>_xlfn.XLOOKUP($D9,Table32[Color_Name],Table32[Hex_Code],,0,)</f>
        <v>#N/A</v>
      </c>
      <c r="F9" s="13"/>
    </row>
    <row r="10" spans="1:6" x14ac:dyDescent="0.25">
      <c r="A10" s="8">
        <f t="shared" si="0"/>
        <v>9</v>
      </c>
      <c r="B10" s="6" t="e">
        <f>_xlfn.XLOOKUP(C10,Tab_Def_Flows[Flow_Name],Tab_Def_Flows[Flow_ID],,0,)</f>
        <v>#N/A</v>
      </c>
      <c r="C10" s="6">
        <f>Tab_Def_Flows[[#This Row],[Flow_Name]]</f>
        <v>0</v>
      </c>
      <c r="D10" s="138"/>
      <c r="E10" s="6" t="e">
        <f>_xlfn.XLOOKUP($D10,Table32[Color_Name],Table32[Hex_Code],,0,)</f>
        <v>#N/A</v>
      </c>
      <c r="F10" s="13"/>
    </row>
    <row r="11" spans="1:6" x14ac:dyDescent="0.25">
      <c r="A11" s="8">
        <f t="shared" si="0"/>
        <v>10</v>
      </c>
      <c r="B11" s="6" t="e">
        <f>_xlfn.XLOOKUP(C11,Tab_Def_Flows[Flow_Name],Tab_Def_Flows[Flow_ID],,0,)</f>
        <v>#N/A</v>
      </c>
      <c r="C11" s="6">
        <f>Tab_Def_Flows[[#This Row],[Flow_Name]]</f>
        <v>0</v>
      </c>
      <c r="D11" s="138"/>
      <c r="E11" s="6" t="e">
        <f>_xlfn.XLOOKUP($D11,Table32[Color_Name],Table32[Hex_Code],,0,)</f>
        <v>#N/A</v>
      </c>
      <c r="F11" s="13"/>
    </row>
    <row r="12" spans="1:6" x14ac:dyDescent="0.25">
      <c r="A12" s="8">
        <f t="shared" si="0"/>
        <v>11</v>
      </c>
      <c r="B12" s="6" t="e">
        <f>_xlfn.XLOOKUP(C12,Tab_Def_Flows[Flow_Name],Tab_Def_Flows[Flow_ID],,0,)</f>
        <v>#N/A</v>
      </c>
      <c r="C12" s="6">
        <f>Tab_Def_Flows[[#This Row],[Flow_Name]]</f>
        <v>0</v>
      </c>
      <c r="D12" s="138"/>
      <c r="E12" s="6" t="e">
        <f>_xlfn.XLOOKUP($D12,Table32[Color_Name],Table32[Hex_Code],,0,)</f>
        <v>#N/A</v>
      </c>
      <c r="F12" s="13"/>
    </row>
    <row r="13" spans="1:6" x14ac:dyDescent="0.25">
      <c r="A13" s="8">
        <f t="shared" si="0"/>
        <v>12</v>
      </c>
      <c r="B13" s="6" t="e">
        <f>_xlfn.XLOOKUP(C13,Tab_Def_Flows[Flow_Name],Tab_Def_Flows[Flow_ID],,0,)</f>
        <v>#N/A</v>
      </c>
      <c r="C13" s="6">
        <f>Tab_Def_Flows[[#This Row],[Flow_Name]]</f>
        <v>0</v>
      </c>
      <c r="D13" s="138"/>
      <c r="E13" s="6" t="e">
        <f>_xlfn.XLOOKUP($D13,Table32[Color_Name],Table32[Hex_Code],,0,)</f>
        <v>#N/A</v>
      </c>
      <c r="F13" s="13"/>
    </row>
    <row r="14" spans="1:6" x14ac:dyDescent="0.25">
      <c r="A14" s="8">
        <f t="shared" si="0"/>
        <v>13</v>
      </c>
      <c r="B14" s="6" t="e">
        <f>_xlfn.XLOOKUP(C14,Tab_Def_Flows[Flow_Name],Tab_Def_Flows[Flow_ID],,0,)</f>
        <v>#N/A</v>
      </c>
      <c r="C14" s="6">
        <f>Tab_Def_Flows[[#This Row],[Flow_Name]]</f>
        <v>0</v>
      </c>
      <c r="D14" s="138"/>
      <c r="E14" s="6" t="e">
        <f>_xlfn.XLOOKUP($D14,Table32[Color_Name],Table32[Hex_Code],,0,)</f>
        <v>#N/A</v>
      </c>
      <c r="F14" s="13"/>
    </row>
    <row r="15" spans="1:6" x14ac:dyDescent="0.25">
      <c r="A15" s="8">
        <f t="shared" si="0"/>
        <v>14</v>
      </c>
      <c r="B15" s="6" t="e">
        <f>_xlfn.XLOOKUP(C15,Tab_Def_Flows[Flow_Name],Tab_Def_Flows[Flow_ID],,0,)</f>
        <v>#N/A</v>
      </c>
      <c r="C15" s="6">
        <f>Tab_Def_Flows[[#This Row],[Flow_Name]]</f>
        <v>0</v>
      </c>
      <c r="D15" s="138"/>
      <c r="E15" s="6" t="e">
        <f>_xlfn.XLOOKUP($D15,Table32[Color_Name],Table32[Hex_Code],,0,)</f>
        <v>#N/A</v>
      </c>
      <c r="F15" s="13"/>
    </row>
    <row r="16" spans="1:6" x14ac:dyDescent="0.25">
      <c r="A16" s="8">
        <f t="shared" si="0"/>
        <v>15</v>
      </c>
      <c r="B16" s="6" t="e">
        <f>_xlfn.XLOOKUP(C16,Tab_Def_Flows[Flow_Name],Tab_Def_Flows[Flow_ID],,0,)</f>
        <v>#N/A</v>
      </c>
      <c r="C16" s="6">
        <f>Tab_Def_Flows[[#This Row],[Flow_Name]]</f>
        <v>0</v>
      </c>
      <c r="D16" s="138"/>
      <c r="E16" s="6" t="e">
        <f>_xlfn.XLOOKUP($D16,Table32[Color_Name],Table32[Hex_Code],,0,)</f>
        <v>#N/A</v>
      </c>
      <c r="F16" s="13"/>
    </row>
    <row r="17" spans="1:6" x14ac:dyDescent="0.25">
      <c r="A17" s="8">
        <f t="shared" si="0"/>
        <v>16</v>
      </c>
      <c r="B17" s="6" t="e">
        <f>_xlfn.XLOOKUP(C17,Tab_Def_Flows[Flow_Name],Tab_Def_Flows[Flow_ID],,0,)</f>
        <v>#N/A</v>
      </c>
      <c r="C17" s="6">
        <f>Tab_Def_Flows[[#This Row],[Flow_Name]]</f>
        <v>0</v>
      </c>
      <c r="D17" s="138"/>
      <c r="E17" s="6" t="e">
        <f>_xlfn.XLOOKUP($D17,Table32[Color_Name],Table32[Hex_Code],,0,)</f>
        <v>#N/A</v>
      </c>
      <c r="F17" s="13"/>
    </row>
    <row r="18" spans="1:6" x14ac:dyDescent="0.25">
      <c r="A18" s="8">
        <f t="shared" si="0"/>
        <v>17</v>
      </c>
      <c r="B18" s="6" t="e">
        <f>_xlfn.XLOOKUP(C18,Tab_Def_Flows[Flow_Name],Tab_Def_Flows[Flow_ID],,0,)</f>
        <v>#N/A</v>
      </c>
      <c r="C18" s="6">
        <f>Tab_Def_Flows[[#This Row],[Flow_Name]]</f>
        <v>0</v>
      </c>
      <c r="D18" s="138"/>
      <c r="E18" s="6" t="e">
        <f>_xlfn.XLOOKUP($D18,Table32[Color_Name],Table32[Hex_Code],,0,)</f>
        <v>#N/A</v>
      </c>
      <c r="F18" s="13"/>
    </row>
    <row r="19" spans="1:6" x14ac:dyDescent="0.25">
      <c r="A19" s="8">
        <f t="shared" si="0"/>
        <v>18</v>
      </c>
      <c r="B19" s="6" t="e">
        <f>_xlfn.XLOOKUP(C19,Tab_Def_Flows[Flow_Name],Tab_Def_Flows[Flow_ID],,0,)</f>
        <v>#N/A</v>
      </c>
      <c r="C19" s="6">
        <f>Tab_Def_Flows[[#This Row],[Flow_Name]]</f>
        <v>0</v>
      </c>
      <c r="D19" s="138"/>
      <c r="E19" s="6" t="e">
        <f>_xlfn.XLOOKUP($D19,Table32[Color_Name],Table32[Hex_Code],,0,)</f>
        <v>#N/A</v>
      </c>
      <c r="F19" s="13"/>
    </row>
    <row r="20" spans="1:6" x14ac:dyDescent="0.25">
      <c r="A20" s="8">
        <f t="shared" si="0"/>
        <v>19</v>
      </c>
      <c r="B20" s="6" t="e">
        <f>_xlfn.XLOOKUP(C20,Tab_Def_Flows[Flow_Name],Tab_Def_Flows[Flow_ID],,0,)</f>
        <v>#N/A</v>
      </c>
      <c r="C20" s="6">
        <f>Tab_Def_Flows[[#This Row],[Flow_Name]]</f>
        <v>0</v>
      </c>
      <c r="D20" s="138"/>
      <c r="E20" s="6" t="e">
        <f>_xlfn.XLOOKUP($D20,Table32[Color_Name],Table32[Hex_Code],,0,)</f>
        <v>#N/A</v>
      </c>
      <c r="F20" s="13"/>
    </row>
    <row r="21" spans="1:6" x14ac:dyDescent="0.25">
      <c r="A21" s="8">
        <f t="shared" si="0"/>
        <v>20</v>
      </c>
      <c r="B21" s="6" t="e">
        <f>_xlfn.XLOOKUP(C21,Tab_Def_Flows[Flow_Name],Tab_Def_Flows[Flow_ID],,0,)</f>
        <v>#N/A</v>
      </c>
      <c r="C21" s="6">
        <f>Tab_Def_Flows[[#This Row],[Flow_Name]]</f>
        <v>0</v>
      </c>
      <c r="D21" s="138"/>
      <c r="E21" s="6" t="e">
        <f>_xlfn.XLOOKUP($D21,Table32[Color_Name],Table32[Hex_Code],,0,)</f>
        <v>#N/A</v>
      </c>
      <c r="F21" s="13"/>
    </row>
    <row r="22" spans="1:6" x14ac:dyDescent="0.25">
      <c r="A22" s="8">
        <f t="shared" si="0"/>
        <v>21</v>
      </c>
      <c r="B22" s="6" t="e">
        <f>_xlfn.XLOOKUP(C22,Tab_Def_Flows[Flow_Name],Tab_Def_Flows[Flow_ID],,0,)</f>
        <v>#N/A</v>
      </c>
      <c r="C22" s="6">
        <f>Tab_Def_Flows[[#This Row],[Flow_Name]]</f>
        <v>0</v>
      </c>
      <c r="D22" s="138"/>
      <c r="E22" s="6" t="e">
        <f>_xlfn.XLOOKUP($D22,Table32[Color_Name],Table32[Hex_Code],,0,)</f>
        <v>#N/A</v>
      </c>
      <c r="F22" s="13"/>
    </row>
    <row r="23" spans="1:6" x14ac:dyDescent="0.25">
      <c r="A23" s="8">
        <f t="shared" si="0"/>
        <v>22</v>
      </c>
      <c r="B23" s="6" t="e">
        <f>_xlfn.XLOOKUP(C23,Tab_Def_Flows[Flow_Name],Tab_Def_Flows[Flow_ID],,0,)</f>
        <v>#N/A</v>
      </c>
      <c r="C23" s="6">
        <f>Tab_Def_Flows[[#This Row],[Flow_Name]]</f>
        <v>0</v>
      </c>
      <c r="D23" s="138"/>
      <c r="E23" s="6" t="e">
        <f>_xlfn.XLOOKUP($D23,Table32[Color_Name],Table32[Hex_Code],,0,)</f>
        <v>#N/A</v>
      </c>
      <c r="F23" s="13"/>
    </row>
    <row r="24" spans="1:6" x14ac:dyDescent="0.25">
      <c r="A24" s="8">
        <f t="shared" si="0"/>
        <v>23</v>
      </c>
      <c r="B24" s="6" t="e">
        <f>_xlfn.XLOOKUP(C24,Tab_Def_Flows[Flow_Name],Tab_Def_Flows[Flow_ID],,0,)</f>
        <v>#N/A</v>
      </c>
      <c r="C24" s="6">
        <f>Tab_Def_Flows[[#This Row],[Flow_Name]]</f>
        <v>0</v>
      </c>
      <c r="D24" s="138"/>
      <c r="E24" s="6" t="e">
        <f>_xlfn.XLOOKUP($D24,Table32[Color_Name],Table32[Hex_Code],,0,)</f>
        <v>#N/A</v>
      </c>
      <c r="F24" s="13"/>
    </row>
    <row r="25" spans="1:6" x14ac:dyDescent="0.25">
      <c r="A25" s="8">
        <f t="shared" si="0"/>
        <v>24</v>
      </c>
      <c r="B25" s="6" t="e">
        <f>_xlfn.XLOOKUP(C25,Tab_Def_Flows[Flow_Name],Tab_Def_Flows[Flow_ID],,0,)</f>
        <v>#N/A</v>
      </c>
      <c r="C25" s="6">
        <f>Tab_Def_Flows[[#This Row],[Flow_Name]]</f>
        <v>0</v>
      </c>
      <c r="D25" s="138"/>
      <c r="E25" s="6" t="e">
        <f>_xlfn.XLOOKUP($D25,Table32[Color_Name],Table32[Hex_Code],,0,)</f>
        <v>#N/A</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247</v>
      </c>
      <c r="B1" s="141" t="s">
        <v>165</v>
      </c>
      <c r="C1" s="141" t="s">
        <v>4</v>
      </c>
      <c r="D1" s="141" t="s">
        <v>248</v>
      </c>
      <c r="E1" s="141" t="s">
        <v>161</v>
      </c>
    </row>
    <row r="2" spans="1:5" x14ac:dyDescent="0.25">
      <c r="A2" s="6" t="s">
        <v>249</v>
      </c>
      <c r="B2" s="7">
        <v>0.5</v>
      </c>
      <c r="C2" s="13" t="s">
        <v>250</v>
      </c>
      <c r="D2" s="13" t="s">
        <v>251</v>
      </c>
      <c r="E2" s="13"/>
    </row>
    <row r="3" spans="1:5" x14ac:dyDescent="0.25">
      <c r="A3" s="6" t="s">
        <v>252</v>
      </c>
      <c r="B3" s="7">
        <v>0.5</v>
      </c>
      <c r="C3" s="13" t="s">
        <v>253</v>
      </c>
      <c r="D3" s="13" t="s">
        <v>251</v>
      </c>
      <c r="E3" s="13"/>
    </row>
    <row r="4" spans="1:5" x14ac:dyDescent="0.25">
      <c r="A4" s="6" t="s">
        <v>254</v>
      </c>
      <c r="B4" s="7">
        <v>0.3</v>
      </c>
      <c r="C4" s="13" t="s">
        <v>255</v>
      </c>
      <c r="D4" s="13" t="s">
        <v>256</v>
      </c>
      <c r="E4" s="13"/>
    </row>
    <row r="5" spans="1:5" x14ac:dyDescent="0.25">
      <c r="A5" s="6" t="s">
        <v>257</v>
      </c>
      <c r="B5" s="7" t="s">
        <v>388</v>
      </c>
      <c r="C5" s="13" t="s">
        <v>258</v>
      </c>
      <c r="D5" s="13" t="s">
        <v>259</v>
      </c>
      <c r="E5" s="13"/>
    </row>
    <row r="6" spans="1:5" x14ac:dyDescent="0.25">
      <c r="A6" s="6" t="s">
        <v>260</v>
      </c>
      <c r="B6" s="7" t="s">
        <v>261</v>
      </c>
      <c r="C6" s="13" t="s">
        <v>262</v>
      </c>
      <c r="D6" s="13" t="s">
        <v>263</v>
      </c>
      <c r="E6" s="13"/>
    </row>
    <row r="7" spans="1:5" x14ac:dyDescent="0.25">
      <c r="A7" s="6" t="s">
        <v>264</v>
      </c>
      <c r="B7" s="7" t="s">
        <v>265</v>
      </c>
      <c r="C7" s="13" t="s">
        <v>266</v>
      </c>
      <c r="D7" s="13" t="s">
        <v>263</v>
      </c>
      <c r="E7" s="13"/>
    </row>
    <row r="8" spans="1:5" x14ac:dyDescent="0.25">
      <c r="A8" s="6" t="s">
        <v>362</v>
      </c>
      <c r="B8" s="7">
        <v>1600</v>
      </c>
      <c r="C8" s="13" t="s">
        <v>363</v>
      </c>
      <c r="D8" s="13"/>
      <c r="E8" s="13"/>
    </row>
    <row r="9" spans="1:5" x14ac:dyDescent="0.25">
      <c r="A9" s="6" t="s">
        <v>365</v>
      </c>
      <c r="B9" s="7">
        <v>1200</v>
      </c>
      <c r="C9" s="13" t="s">
        <v>366</v>
      </c>
      <c r="D9" s="13"/>
      <c r="E9" s="13"/>
    </row>
    <row r="10" spans="1:5" x14ac:dyDescent="0.25">
      <c r="A10" s="6" t="s">
        <v>367</v>
      </c>
      <c r="B10" s="7">
        <v>1</v>
      </c>
      <c r="C10" s="13" t="s">
        <v>368</v>
      </c>
      <c r="D10" s="13" t="s">
        <v>369</v>
      </c>
      <c r="E10" s="13" t="s">
        <v>364</v>
      </c>
    </row>
    <row r="11" spans="1:5" x14ac:dyDescent="0.25">
      <c r="A11" s="6" t="s">
        <v>370</v>
      </c>
      <c r="B11" s="7">
        <v>1</v>
      </c>
      <c r="C11" s="13" t="s">
        <v>371</v>
      </c>
      <c r="D11" s="13" t="s">
        <v>369</v>
      </c>
      <c r="E11" s="13" t="s">
        <v>364</v>
      </c>
    </row>
    <row r="12" spans="1:5" x14ac:dyDescent="0.25">
      <c r="A12" s="6" t="s">
        <v>372</v>
      </c>
      <c r="B12" s="7" t="b">
        <v>1</v>
      </c>
      <c r="C12" s="13" t="s">
        <v>373</v>
      </c>
      <c r="D12" s="13" t="s">
        <v>369</v>
      </c>
      <c r="E12" s="13" t="s">
        <v>364</v>
      </c>
    </row>
    <row r="13" spans="1:5" x14ac:dyDescent="0.25">
      <c r="A13" s="6" t="s">
        <v>374</v>
      </c>
      <c r="B13" s="7">
        <v>0.3</v>
      </c>
      <c r="C13" s="13" t="s">
        <v>375</v>
      </c>
      <c r="D13" s="13" t="s">
        <v>369</v>
      </c>
      <c r="E13" s="13" t="s">
        <v>364</v>
      </c>
    </row>
    <row r="14" spans="1:5" x14ac:dyDescent="0.25">
      <c r="A14" s="6" t="s">
        <v>376</v>
      </c>
      <c r="B14" s="7">
        <v>3</v>
      </c>
      <c r="C14" s="13" t="s">
        <v>377</v>
      </c>
      <c r="D14" s="13" t="s">
        <v>369</v>
      </c>
      <c r="E14" s="13" t="s">
        <v>364</v>
      </c>
    </row>
    <row r="15" spans="1:5" x14ac:dyDescent="0.25">
      <c r="A15" s="6" t="s">
        <v>378</v>
      </c>
      <c r="B15" s="7" t="s">
        <v>388</v>
      </c>
      <c r="C15" s="13" t="s">
        <v>379</v>
      </c>
      <c r="D15" s="13" t="s">
        <v>369</v>
      </c>
      <c r="E15" s="13" t="s">
        <v>364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3" t="s">
        <v>466</v>
      </c>
      <c r="E2" s="223"/>
      <c r="F2" s="145" t="s">
        <v>465</v>
      </c>
      <c r="G2" s="226" t="s">
        <v>465</v>
      </c>
      <c r="H2" s="226"/>
      <c r="I2" s="226"/>
    </row>
    <row r="3" spans="1:9" x14ac:dyDescent="0.25">
      <c r="A3" t="s">
        <v>7</v>
      </c>
      <c r="B3" t="s">
        <v>476</v>
      </c>
      <c r="C3" t="s">
        <v>475</v>
      </c>
      <c r="D3" s="159" t="s">
        <v>467</v>
      </c>
      <c r="E3" s="159" t="s">
        <v>468</v>
      </c>
      <c r="F3" s="159" t="s">
        <v>479</v>
      </c>
      <c r="G3" s="165" t="s">
        <v>462</v>
      </c>
      <c r="H3" s="165" t="s">
        <v>463</v>
      </c>
      <c r="I3" s="165" t="s">
        <v>464</v>
      </c>
    </row>
    <row r="4" spans="1:9" ht="90" hidden="1" x14ac:dyDescent="0.25">
      <c r="A4">
        <v>124</v>
      </c>
      <c r="B4" s="162" t="s">
        <v>856</v>
      </c>
      <c r="C4" s="141" t="s">
        <v>183</v>
      </c>
      <c r="D4" t="s">
        <v>620</v>
      </c>
      <c r="E4" t="s">
        <v>621</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773</v>
      </c>
      <c r="H4" s="1" t="s">
        <v>697</v>
      </c>
      <c r="I4" s="1" t="s">
        <v>698</v>
      </c>
    </row>
    <row r="5" spans="1:9" ht="90" hidden="1" x14ac:dyDescent="0.25">
      <c r="A5">
        <v>86</v>
      </c>
      <c r="B5" t="s">
        <v>854</v>
      </c>
      <c r="C5" s="141" t="s">
        <v>2</v>
      </c>
      <c r="D5" t="s">
        <v>602</v>
      </c>
      <c r="E5" t="s">
        <v>603</v>
      </c>
      <c r="F5" s="1" t="str">
        <f t="shared" si="0"/>
        <v>PURPOSE: Data field for Type_of_the_Study in 2_3_static_TCs
ACTION: Enter appropriate value for Type_of_the_Study
NOTE: Please refer to BioDYM documentation for specific requirements.</v>
      </c>
      <c r="G5" s="1" t="s">
        <v>798</v>
      </c>
      <c r="H5" s="1" t="s">
        <v>605</v>
      </c>
      <c r="I5" s="1" t="s">
        <v>719</v>
      </c>
    </row>
    <row r="6" spans="1:9" ht="98.25" hidden="1" customHeight="1" x14ac:dyDescent="0.25">
      <c r="A6">
        <v>36</v>
      </c>
      <c r="B6" t="s">
        <v>469</v>
      </c>
      <c r="C6" s="141" t="s">
        <v>16</v>
      </c>
      <c r="D6" t="s">
        <v>532</v>
      </c>
      <c r="E6" t="s">
        <v>533</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744</v>
      </c>
      <c r="H6" s="1" t="s">
        <v>745</v>
      </c>
      <c r="I6" s="1" t="s">
        <v>746</v>
      </c>
    </row>
    <row r="7" spans="1:9" ht="105" hidden="1" x14ac:dyDescent="0.25">
      <c r="A7">
        <v>33</v>
      </c>
      <c r="B7" t="s">
        <v>469</v>
      </c>
      <c r="C7" s="141" t="s">
        <v>9</v>
      </c>
      <c r="D7" t="s">
        <v>526</v>
      </c>
      <c r="E7" t="s">
        <v>527</v>
      </c>
      <c r="F7" s="1" t="str">
        <f t="shared" si="0"/>
        <v>PURPOSE: Data field for Titel_Source in 1_2_Data_Flows
ACTION: Enter appropriate value for Titel_Source
NOTE: Please refer to BioDYM documentation for specific requirements.</v>
      </c>
      <c r="G7" s="1" t="s">
        <v>739</v>
      </c>
      <c r="H7" s="1" t="s">
        <v>529</v>
      </c>
      <c r="I7" s="1" t="s">
        <v>719</v>
      </c>
    </row>
    <row r="8" spans="1:9" ht="75" x14ac:dyDescent="0.25">
      <c r="A8">
        <v>1</v>
      </c>
      <c r="B8" t="s">
        <v>461</v>
      </c>
      <c r="C8" s="141" t="s">
        <v>24</v>
      </c>
      <c r="D8" t="s">
        <v>477</v>
      </c>
      <c r="E8" t="s">
        <v>478</v>
      </c>
      <c r="F8" s="1" t="str">
        <f t="shared" si="0"/>
        <v>PURPOSE: Unique identifier for data row
ACTION: Automatically assigned
NOTE: This field is generated automatically. No manual input required. Used for system identification and linking.</v>
      </c>
      <c r="G8" s="1" t="s">
        <v>696</v>
      </c>
      <c r="H8" s="1" t="s">
        <v>697</v>
      </c>
      <c r="I8" s="1" t="s">
        <v>698</v>
      </c>
    </row>
    <row r="9" spans="1:9" ht="75" x14ac:dyDescent="0.25">
      <c r="A9">
        <v>2</v>
      </c>
      <c r="B9" t="s">
        <v>461</v>
      </c>
      <c r="C9" s="141" t="s">
        <v>7</v>
      </c>
      <c r="D9" t="s">
        <v>873</v>
      </c>
      <c r="E9" t="s">
        <v>488</v>
      </c>
      <c r="F9" s="1" t="str">
        <f t="shared" si="0"/>
        <v>PURPOSE: Unique identifier for material flow
ACTION: Automatically assigned
NOTE: This field is generated automatically. No manual input required. Used for system identification and linking.</v>
      </c>
      <c r="G9" s="1" t="s">
        <v>699</v>
      </c>
      <c r="H9" s="1" t="s">
        <v>697</v>
      </c>
      <c r="I9" s="1" t="s">
        <v>698</v>
      </c>
    </row>
    <row r="10" spans="1:9" ht="75" hidden="1" x14ac:dyDescent="0.25">
      <c r="A10">
        <v>28</v>
      </c>
      <c r="B10" t="s">
        <v>469</v>
      </c>
      <c r="C10" s="141" t="s">
        <v>28</v>
      </c>
      <c r="D10" t="s">
        <v>496</v>
      </c>
      <c r="E10" t="s">
        <v>497</v>
      </c>
      <c r="F10" s="1" t="str">
        <f t="shared" si="0"/>
        <v>PURPOSE: Defines the Data Year for temporal data organization
ACTION: Enter year (e.g., 2020, 2021, 2022)
NOTE: Must be consistent with analysis time period. Used for time-series data organization.</v>
      </c>
      <c r="G10" s="1" t="s">
        <v>732</v>
      </c>
      <c r="H10" s="1" t="s">
        <v>733</v>
      </c>
      <c r="I10" s="1" t="s">
        <v>734</v>
      </c>
    </row>
    <row r="11" spans="1:9" ht="90" hidden="1" x14ac:dyDescent="0.25">
      <c r="A11">
        <v>53</v>
      </c>
      <c r="B11" t="s">
        <v>469</v>
      </c>
      <c r="C11" s="141" t="s">
        <v>34</v>
      </c>
      <c r="D11" t="s">
        <v>566</v>
      </c>
      <c r="E11" t="s">
        <v>511</v>
      </c>
      <c r="F11" s="1" t="str">
        <f t="shared" si="0"/>
        <v>PURPOSE: Data field for Flow_CC_year_ID in 1_2_Data_Flows
ACTION: Enter appropriate value for Flow_CC_year_ID
NOTE: Please refer to BioDYM documentation for specific requirements.</v>
      </c>
      <c r="G11" s="1" t="s">
        <v>767</v>
      </c>
      <c r="H11" s="1" t="s">
        <v>568</v>
      </c>
      <c r="I11" s="1" t="s">
        <v>719</v>
      </c>
    </row>
    <row r="12" spans="1:9" ht="75" x14ac:dyDescent="0.25">
      <c r="A12">
        <v>3</v>
      </c>
      <c r="B12" t="s">
        <v>461</v>
      </c>
      <c r="C12" s="141" t="s">
        <v>11</v>
      </c>
      <c r="D12" t="s">
        <v>874</v>
      </c>
      <c r="E12" t="s">
        <v>488</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700</v>
      </c>
      <c r="H12" s="1" t="s">
        <v>701</v>
      </c>
      <c r="I12" s="1" t="s">
        <v>702</v>
      </c>
    </row>
    <row r="13" spans="1:9" ht="75" hidden="1" x14ac:dyDescent="0.25">
      <c r="A13">
        <v>55</v>
      </c>
      <c r="B13" t="s">
        <v>469</v>
      </c>
      <c r="C13" s="141" t="s">
        <v>39</v>
      </c>
      <c r="D13" t="s">
        <v>569</v>
      </c>
      <c r="E13" t="s">
        <v>570</v>
      </c>
      <c r="F13" s="1" t="str">
        <f t="shared" si="0"/>
        <v>PURPOSE: Data field for UoM_CC_Flow_Py in 1_2_Data_Flows
ACTION: Enter appropriate value for UoM_CC_Flow_Py
NOTE: Please refer to BioDYM documentation for specific requirements.</v>
      </c>
      <c r="G13" s="1" t="s">
        <v>769</v>
      </c>
      <c r="H13" s="1" t="s">
        <v>572</v>
      </c>
      <c r="I13" s="1" t="s">
        <v>719</v>
      </c>
    </row>
    <row r="14" spans="1:9" ht="90" x14ac:dyDescent="0.25">
      <c r="A14">
        <v>4</v>
      </c>
      <c r="B14" t="s">
        <v>461</v>
      </c>
      <c r="C14" s="141" t="s">
        <v>416</v>
      </c>
      <c r="D14" t="s">
        <v>490</v>
      </c>
      <c r="E14" t="s">
        <v>875</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703</v>
      </c>
      <c r="H14" s="1" t="s">
        <v>704</v>
      </c>
      <c r="I14" s="1" t="s">
        <v>702</v>
      </c>
    </row>
    <row r="15" spans="1:9" ht="75" hidden="1" x14ac:dyDescent="0.25">
      <c r="A15">
        <v>40</v>
      </c>
      <c r="B15" t="s">
        <v>469</v>
      </c>
      <c r="C15" s="141" t="s">
        <v>19</v>
      </c>
      <c r="D15" t="s">
        <v>540</v>
      </c>
      <c r="E15" t="s">
        <v>541</v>
      </c>
      <c r="F15" s="1" t="str">
        <f t="shared" si="0"/>
        <v>PURPOSE: Data field for Name_CF in 1_2_Data_Flows
ACTION: Enter appropriate value for Name_CF
NOTE: Please refer to BioDYM documentation for specific requirements.</v>
      </c>
      <c r="G15" s="1" t="s">
        <v>750</v>
      </c>
      <c r="H15" s="1" t="s">
        <v>543</v>
      </c>
      <c r="I15" s="1" t="s">
        <v>719</v>
      </c>
    </row>
    <row r="16" spans="1:9" ht="75" hidden="1" x14ac:dyDescent="0.25">
      <c r="A16">
        <v>39</v>
      </c>
      <c r="B16" t="s">
        <v>469</v>
      </c>
      <c r="C16" s="141" t="s">
        <v>18</v>
      </c>
      <c r="D16" t="s">
        <v>538</v>
      </c>
      <c r="E16" t="s">
        <v>539</v>
      </c>
      <c r="F16" s="1" t="str">
        <f t="shared" si="0"/>
        <v>PURPOSE: Data field for CF in 1_2_Data_Flows
ACTION: Enter appropriate value for CF
NOTE: Please refer to BioDYM documentation for specific requirements.</v>
      </c>
      <c r="G16" s="1" t="s">
        <v>749</v>
      </c>
      <c r="H16" s="1" t="s">
        <v>541</v>
      </c>
      <c r="I16" s="1" t="s">
        <v>719</v>
      </c>
    </row>
    <row r="17" spans="1:9" ht="75" hidden="1" x14ac:dyDescent="0.25">
      <c r="A17">
        <v>173</v>
      </c>
      <c r="B17" t="s">
        <v>480</v>
      </c>
      <c r="C17" s="141" t="s">
        <v>360</v>
      </c>
      <c r="D17" t="s">
        <v>670</v>
      </c>
      <c r="E17" t="s">
        <v>671</v>
      </c>
      <c r="F17" s="1" t="str">
        <f t="shared" si="0"/>
        <v>PURPOSE: Data field for Node_Color in 6_1_Visualization_Processes
ACTION: Enter appropriate value for Node_Color
NOTE: Please refer to BioDYM documentation for specific requirements.</v>
      </c>
      <c r="G17" s="1" t="s">
        <v>841</v>
      </c>
      <c r="H17" s="1" t="s">
        <v>673</v>
      </c>
      <c r="I17" s="1" t="s">
        <v>719</v>
      </c>
    </row>
    <row r="18" spans="1:9" ht="75" hidden="1" x14ac:dyDescent="0.25">
      <c r="A18">
        <v>168</v>
      </c>
      <c r="B18" t="s">
        <v>473</v>
      </c>
      <c r="C18" s="141" t="s">
        <v>12</v>
      </c>
      <c r="D18" t="s">
        <v>666</v>
      </c>
      <c r="E18" t="s">
        <v>667</v>
      </c>
      <c r="F18" s="1" t="str">
        <f t="shared" si="0"/>
        <v>PURPOSE: Flag this row as 100% complete for reporting and filtering purposes
ACTION: Click to select
NOTE: This input is optional. Leave blank if the process is ongoing. Used for progress tracking.</v>
      </c>
      <c r="G18" s="1" t="s">
        <v>770</v>
      </c>
      <c r="H18" s="1" t="s">
        <v>771</v>
      </c>
      <c r="I18" s="1" t="s">
        <v>772</v>
      </c>
    </row>
    <row r="19" spans="1:9" ht="90" x14ac:dyDescent="0.25">
      <c r="A19">
        <v>5</v>
      </c>
      <c r="B19" t="s">
        <v>461</v>
      </c>
      <c r="C19" s="141" t="s">
        <v>421</v>
      </c>
      <c r="D19" t="s">
        <v>876</v>
      </c>
      <c r="E19" t="s">
        <v>877</v>
      </c>
      <c r="F19" s="1" t="str">
        <f t="shared" si="0"/>
        <v>PURPOSE: Unique identifier for output process
ACTION: Automatically assigned
NOTE: This field is generated automatically. No manual input required. Used for system identification and linking.</v>
      </c>
      <c r="G19" s="1" t="s">
        <v>705</v>
      </c>
      <c r="H19" s="1" t="s">
        <v>697</v>
      </c>
      <c r="I19" s="1" t="s">
        <v>698</v>
      </c>
    </row>
    <row r="20" spans="1:9" ht="90" hidden="1" x14ac:dyDescent="0.25">
      <c r="A20">
        <v>57</v>
      </c>
      <c r="B20" t="s">
        <v>470</v>
      </c>
      <c r="C20" s="141" t="s">
        <v>24</v>
      </c>
      <c r="D20" t="s">
        <v>573</v>
      </c>
      <c r="E20" t="s">
        <v>574</v>
      </c>
      <c r="F20" s="1" t="str">
        <f t="shared" si="0"/>
        <v>PURPOSE: Unique identifier for data row
ACTION: Automatically assigned
NOTE: This field is generated automatically. No manual input required. Used for system identification and linking.</v>
      </c>
      <c r="G20" s="1" t="s">
        <v>696</v>
      </c>
      <c r="H20" s="1" t="s">
        <v>697</v>
      </c>
      <c r="I20" s="1" t="s">
        <v>698</v>
      </c>
    </row>
    <row r="21" spans="1:9" ht="90" hidden="1" x14ac:dyDescent="0.25">
      <c r="A21">
        <v>66</v>
      </c>
      <c r="B21" t="s">
        <v>854</v>
      </c>
      <c r="C21" s="141" t="s">
        <v>24</v>
      </c>
      <c r="D21" t="s">
        <v>573</v>
      </c>
      <c r="E21" t="s">
        <v>574</v>
      </c>
      <c r="F21" s="1" t="str">
        <f t="shared" si="0"/>
        <v>PURPOSE: Unique identifier for data row
ACTION: Automatically assigned
NOTE: This field is generated automatically. No manual input required. Used for system identification and linking.</v>
      </c>
      <c r="G21" s="1" t="s">
        <v>696</v>
      </c>
      <c r="H21" s="1" t="s">
        <v>697</v>
      </c>
      <c r="I21" s="1" t="s">
        <v>698</v>
      </c>
    </row>
    <row r="22" spans="1:9" ht="75" hidden="1" x14ac:dyDescent="0.25">
      <c r="A22">
        <v>89</v>
      </c>
      <c r="B22" s="162" t="s">
        <v>855</v>
      </c>
      <c r="C22" s="141" t="s">
        <v>24</v>
      </c>
      <c r="D22" t="s">
        <v>573</v>
      </c>
      <c r="E22" t="s">
        <v>574</v>
      </c>
      <c r="F22" s="1" t="str">
        <f t="shared" si="0"/>
        <v>PURPOSE: Unique identifier for data row
ACTION: Automatically assigned
NOTE: This field is generated automatically. No manual input required. Used for system identification and linking.</v>
      </c>
      <c r="G22" s="1" t="s">
        <v>696</v>
      </c>
      <c r="H22" s="1" t="s">
        <v>697</v>
      </c>
      <c r="I22" s="1" t="s">
        <v>698</v>
      </c>
    </row>
    <row r="23" spans="1:9" ht="75" hidden="1" x14ac:dyDescent="0.25">
      <c r="A23">
        <v>106</v>
      </c>
      <c r="B23" s="162" t="s">
        <v>856</v>
      </c>
      <c r="C23" s="141" t="s">
        <v>24</v>
      </c>
      <c r="D23" t="s">
        <v>573</v>
      </c>
      <c r="E23" t="s">
        <v>574</v>
      </c>
      <c r="F23" s="1" t="str">
        <f t="shared" si="0"/>
        <v>PURPOSE: Unique identifier for data row
ACTION: Automatically assigned
NOTE: This field is generated automatically. No manual input required. Used for system identification and linking.</v>
      </c>
      <c r="G23" s="1" t="s">
        <v>696</v>
      </c>
      <c r="H23" s="1" t="s">
        <v>697</v>
      </c>
      <c r="I23" s="1" t="s">
        <v>698</v>
      </c>
    </row>
    <row r="24" spans="1:9" ht="75" hidden="1" x14ac:dyDescent="0.25">
      <c r="A24">
        <v>136</v>
      </c>
      <c r="B24" t="s">
        <v>472</v>
      </c>
      <c r="C24" s="141" t="s">
        <v>24</v>
      </c>
      <c r="D24" t="s">
        <v>573</v>
      </c>
      <c r="E24" t="s">
        <v>574</v>
      </c>
      <c r="F24" s="1" t="str">
        <f t="shared" si="0"/>
        <v>PURPOSE: Unique identifier for data row
ACTION: Automatically assigned
NOTE: This field is generated automatically. No manual input required. Used for system identification and linking.</v>
      </c>
      <c r="G24" s="1" t="s">
        <v>696</v>
      </c>
      <c r="H24" s="1" t="s">
        <v>697</v>
      </c>
      <c r="I24" s="1" t="s">
        <v>698</v>
      </c>
    </row>
    <row r="25" spans="1:9" ht="90" hidden="1" x14ac:dyDescent="0.25">
      <c r="A25">
        <v>169</v>
      </c>
      <c r="B25" t="s">
        <v>480</v>
      </c>
      <c r="C25" s="141" t="s">
        <v>24</v>
      </c>
      <c r="D25" t="s">
        <v>573</v>
      </c>
      <c r="E25" t="s">
        <v>574</v>
      </c>
      <c r="F25" s="1" t="str">
        <f t="shared" si="0"/>
        <v>PURPOSE: Unique identifier for data row
ACTION: Automatically assigned
NOTE: This field is generated automatically. No manual input required. Used for system identification and linking.</v>
      </c>
      <c r="G25" s="1" t="s">
        <v>696</v>
      </c>
      <c r="H25" s="1" t="s">
        <v>697</v>
      </c>
      <c r="I25" s="1" t="s">
        <v>698</v>
      </c>
    </row>
    <row r="26" spans="1:9" ht="90" hidden="1" x14ac:dyDescent="0.25">
      <c r="A26">
        <v>61</v>
      </c>
      <c r="B26" t="s">
        <v>470</v>
      </c>
      <c r="C26" s="141" t="s">
        <v>4</v>
      </c>
      <c r="D26" t="s">
        <v>869</v>
      </c>
      <c r="E26" t="s">
        <v>870</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778</v>
      </c>
      <c r="H26" s="1" t="s">
        <v>779</v>
      </c>
      <c r="I26" s="1" t="s">
        <v>780</v>
      </c>
    </row>
    <row r="27" spans="1:9" ht="105" hidden="1" x14ac:dyDescent="0.25">
      <c r="A27">
        <v>178</v>
      </c>
      <c r="B27" t="s">
        <v>480</v>
      </c>
      <c r="C27" s="141" t="s">
        <v>4</v>
      </c>
      <c r="D27" t="s">
        <v>680</v>
      </c>
      <c r="E27" t="s">
        <v>681</v>
      </c>
      <c r="F27" s="1" t="str">
        <f t="shared" si="0"/>
        <v>PURPOSE: Data field for Y_Position_WC in 6_1_Visualization_Processes
ACTION: Enter appropriate value for Y_Position_WC
NOTE: Please refer to BioDYM documentation for specific requirements.</v>
      </c>
      <c r="G27" s="1" t="s">
        <v>846</v>
      </c>
      <c r="H27" s="1" t="s">
        <v>683</v>
      </c>
      <c r="I27" s="1" t="s">
        <v>719</v>
      </c>
    </row>
    <row r="28" spans="1:9" ht="90" hidden="1" x14ac:dyDescent="0.25">
      <c r="A28">
        <v>178</v>
      </c>
      <c r="B28" t="s">
        <v>481</v>
      </c>
      <c r="C28" s="141" t="s">
        <v>4</v>
      </c>
      <c r="D28" t="s">
        <v>682</v>
      </c>
      <c r="E28" t="s">
        <v>683</v>
      </c>
      <c r="F28" s="1" t="str">
        <f t="shared" si="0"/>
        <v>PURPOSE: Data field for X_Position_DM in 6_1_Visualization_Processes
ACTION: Enter appropriate value for X_Position_DM
NOTE: Please refer to BioDYM documentation for specific requirements.</v>
      </c>
      <c r="G28" s="1" t="s">
        <v>847</v>
      </c>
      <c r="H28" s="1" t="s">
        <v>685</v>
      </c>
      <c r="I28" s="1" t="s">
        <v>719</v>
      </c>
    </row>
    <row r="29" spans="1:9" ht="90" hidden="1" x14ac:dyDescent="0.25">
      <c r="A29">
        <v>121</v>
      </c>
      <c r="B29" s="162" t="s">
        <v>856</v>
      </c>
      <c r="C29" s="141" t="s">
        <v>184</v>
      </c>
      <c r="D29" t="s">
        <v>618</v>
      </c>
      <c r="E29" t="s">
        <v>871</v>
      </c>
      <c r="F29" s="1" t="str">
        <f t="shared" si="0"/>
        <v>PURPOSE: Unique identifier for material flow
ACTION: Automatically assigned
NOTE: This field is generated automatically. No manual input required. Used for system identification and linking.</v>
      </c>
      <c r="G29" s="1" t="s">
        <v>699</v>
      </c>
      <c r="H29" s="1" t="s">
        <v>697</v>
      </c>
      <c r="I29" s="1" t="s">
        <v>698</v>
      </c>
    </row>
    <row r="30" spans="1:9" ht="90" hidden="1" x14ac:dyDescent="0.25">
      <c r="A30">
        <v>120</v>
      </c>
      <c r="B30" s="162" t="s">
        <v>856</v>
      </c>
      <c r="C30" s="141" t="s">
        <v>185</v>
      </c>
      <c r="D30" t="s">
        <v>616</v>
      </c>
      <c r="E30" t="s">
        <v>872</v>
      </c>
      <c r="F30" s="1" t="str">
        <f t="shared" si="0"/>
        <v>PURPOSE: Data field for Destination_Flow in 2_5_Initial_Stock
ACTION: Enter appropriate value for Destination_Flow
NOTE: Please refer to BioDYM documentation for specific requirements.</v>
      </c>
      <c r="G30" s="1" t="s">
        <v>810</v>
      </c>
      <c r="H30" s="1" t="s">
        <v>619</v>
      </c>
      <c r="I30" s="1" t="s">
        <v>719</v>
      </c>
    </row>
    <row r="31" spans="1:9" ht="75" hidden="1" x14ac:dyDescent="0.25">
      <c r="A31">
        <v>119</v>
      </c>
      <c r="B31" s="162" t="s">
        <v>856</v>
      </c>
      <c r="C31" s="141" t="s">
        <v>186</v>
      </c>
      <c r="E31" t="s">
        <v>615</v>
      </c>
      <c r="F31" s="1" t="str">
        <f t="shared" si="0"/>
        <v>PURPOSE: Data field for Destination_Process in 2_5_Initial_Stock
ACTION: Enter appropriate value for Destination_Process
NOTE: Please refer to BioDYM documentation for specific requirements.</v>
      </c>
      <c r="G31" s="1" t="s">
        <v>809</v>
      </c>
      <c r="H31" s="1" t="s">
        <v>617</v>
      </c>
      <c r="I31" s="1" t="s">
        <v>719</v>
      </c>
    </row>
    <row r="32" spans="1:9" ht="75" hidden="1" x14ac:dyDescent="0.25">
      <c r="A32">
        <v>153</v>
      </c>
      <c r="B32" t="s">
        <v>474</v>
      </c>
      <c r="C32" s="141" t="s">
        <v>173</v>
      </c>
      <c r="D32" t="s">
        <v>644</v>
      </c>
      <c r="E32" t="s">
        <v>645</v>
      </c>
      <c r="F32" s="1" t="str">
        <f t="shared" si="0"/>
        <v>PURPOSE: Data field for Mean in 4_1_Uncertainty_Parameters
ACTION: Enter appropriate value for Mean
NOTE: Please refer to BioDYM documentation for specific requirements.</v>
      </c>
      <c r="G32" s="1" t="s">
        <v>825</v>
      </c>
      <c r="H32" s="1" t="s">
        <v>647</v>
      </c>
      <c r="I32" s="1" t="s">
        <v>719</v>
      </c>
    </row>
    <row r="33" spans="1:9" ht="90" x14ac:dyDescent="0.25">
      <c r="A33">
        <v>6</v>
      </c>
      <c r="B33" t="s">
        <v>461</v>
      </c>
      <c r="C33" s="141" t="s">
        <v>422</v>
      </c>
      <c r="D33" t="s">
        <v>488</v>
      </c>
      <c r="E33" t="s">
        <v>488</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706</v>
      </c>
      <c r="H33" s="1" t="s">
        <v>707</v>
      </c>
      <c r="I33" s="1" t="s">
        <v>702</v>
      </c>
    </row>
    <row r="34" spans="1:9" ht="90" hidden="1" x14ac:dyDescent="0.25">
      <c r="A34">
        <v>27</v>
      </c>
      <c r="B34" t="s">
        <v>469</v>
      </c>
      <c r="C34" s="141" t="s">
        <v>29</v>
      </c>
      <c r="D34" t="s">
        <v>494</v>
      </c>
      <c r="E34" t="s">
        <v>495</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715</v>
      </c>
      <c r="H34" s="1" t="s">
        <v>716</v>
      </c>
      <c r="I34" s="1" t="s">
        <v>717</v>
      </c>
    </row>
    <row r="35" spans="1:9" ht="75" hidden="1" x14ac:dyDescent="0.25">
      <c r="A35">
        <v>49</v>
      </c>
      <c r="B35" t="s">
        <v>469</v>
      </c>
      <c r="C35" s="141" t="s">
        <v>32</v>
      </c>
      <c r="D35" t="s">
        <v>558</v>
      </c>
      <c r="E35" t="s">
        <v>559</v>
      </c>
      <c r="F35" s="1" t="str">
        <f t="shared" si="0"/>
        <v>PURPOSE: Data field for Flow_DM_year_ID in 1_2_Data_Flows
ACTION: Enter appropriate value for Flow_DM_year_ID
NOTE: Please refer to BioDYM documentation for specific requirements.</v>
      </c>
      <c r="G35" s="1" t="s">
        <v>763</v>
      </c>
      <c r="H35" s="1" t="s">
        <v>561</v>
      </c>
      <c r="I35" s="1" t="s">
        <v>719</v>
      </c>
    </row>
    <row r="36" spans="1:9" ht="75" hidden="1" x14ac:dyDescent="0.25">
      <c r="A36">
        <v>51</v>
      </c>
      <c r="B36" t="s">
        <v>469</v>
      </c>
      <c r="C36" s="141" t="s">
        <v>415</v>
      </c>
      <c r="D36" t="s">
        <v>562</v>
      </c>
      <c r="E36" t="s">
        <v>563</v>
      </c>
      <c r="F36" s="1" t="str">
        <f t="shared" si="0"/>
        <v>PURPOSE: Data field for UoM_DM_Flow_Py in 1_2_Data_Flows
ACTION: Enter appropriate value for UoM_DM_Flow_Py
NOTE: Please refer to BioDYM documentation for specific requirements.</v>
      </c>
      <c r="G36" s="1" t="s">
        <v>765</v>
      </c>
      <c r="H36" s="1" t="s">
        <v>565</v>
      </c>
      <c r="I36" s="1" t="s">
        <v>719</v>
      </c>
    </row>
    <row r="37" spans="1:9" ht="75" x14ac:dyDescent="0.25">
      <c r="A37">
        <v>7</v>
      </c>
      <c r="B37" t="s">
        <v>461</v>
      </c>
      <c r="C37" s="141" t="s">
        <v>423</v>
      </c>
      <c r="D37" t="s">
        <v>878</v>
      </c>
      <c r="E37" t="s">
        <v>879</v>
      </c>
      <c r="F37" s="1" t="str">
        <f t="shared" si="0"/>
        <v>PURPOSE: Unique identifier for input process
ACTION: Automatically assigned
NOTE: This field is generated automatically. No manual input required. Used for system identification and linking.</v>
      </c>
      <c r="G37" s="1" t="s">
        <v>708</v>
      </c>
      <c r="H37" s="1" t="s">
        <v>697</v>
      </c>
      <c r="I37" s="1" t="s">
        <v>698</v>
      </c>
    </row>
    <row r="38" spans="1:9" ht="75" hidden="1" x14ac:dyDescent="0.25">
      <c r="A38">
        <v>131</v>
      </c>
      <c r="B38" t="s">
        <v>471</v>
      </c>
      <c r="C38" s="141" t="s">
        <v>431</v>
      </c>
      <c r="D38" t="s">
        <v>622</v>
      </c>
      <c r="E38" t="s">
        <v>623</v>
      </c>
      <c r="F38" s="1" t="str">
        <f t="shared" si="0"/>
        <v>PURPOSE: Data field for DSM_Parameter_typ in 3_1_Definition_DSM
ACTION: Enter appropriate value for DSM_Parameter_typ
NOTE: Please refer to BioDYM documentation for specific requirements.</v>
      </c>
      <c r="G38" s="1" t="s">
        <v>813</v>
      </c>
      <c r="H38" s="1" t="s">
        <v>625</v>
      </c>
      <c r="I38" s="1" t="s">
        <v>719</v>
      </c>
    </row>
    <row r="39" spans="1:9" ht="90" hidden="1" x14ac:dyDescent="0.25">
      <c r="A39">
        <v>134</v>
      </c>
      <c r="B39" t="s">
        <v>471</v>
      </c>
      <c r="C39" s="141" t="s">
        <v>437</v>
      </c>
      <c r="D39" t="s">
        <v>628</v>
      </c>
      <c r="E39" t="s">
        <v>629</v>
      </c>
      <c r="F39" s="1" t="str">
        <f t="shared" si="0"/>
        <v>PURPOSE: Data field for DSM_Value in 3_1_Definition_DSM
ACTION: Enter appropriate value for DSM_Value
NOTE: Please refer to BioDYM documentation for specific requirements.</v>
      </c>
      <c r="G39" s="1" t="s">
        <v>816</v>
      </c>
      <c r="H39" s="1" t="s">
        <v>631</v>
      </c>
      <c r="I39" s="1" t="s">
        <v>719</v>
      </c>
    </row>
    <row r="40" spans="1:9" ht="75" hidden="1" x14ac:dyDescent="0.25">
      <c r="A40">
        <v>132</v>
      </c>
      <c r="B40" t="s">
        <v>471</v>
      </c>
      <c r="C40" s="141" t="s">
        <v>439</v>
      </c>
      <c r="D40" t="s">
        <v>624</v>
      </c>
      <c r="E40" t="s">
        <v>625</v>
      </c>
      <c r="F40" s="1" t="str">
        <f t="shared" si="0"/>
        <v>PURPOSE: Data field for DSM_Parameter_type in 3_1_Definition_DSM
ACTION: Enter appropriate value for DSM_Parameter_type
NOTE: Please refer to BioDYM documentation for specific requirements.</v>
      </c>
      <c r="G40" s="1" t="s">
        <v>814</v>
      </c>
      <c r="H40" s="1" t="s">
        <v>627</v>
      </c>
      <c r="I40" s="1" t="s">
        <v>719</v>
      </c>
    </row>
    <row r="41" spans="1:9" ht="75" hidden="1" x14ac:dyDescent="0.25">
      <c r="A41">
        <v>133</v>
      </c>
      <c r="B41" t="s">
        <v>471</v>
      </c>
      <c r="C41" s="141" t="s">
        <v>438</v>
      </c>
      <c r="D41" t="s">
        <v>626</v>
      </c>
      <c r="E41" t="s">
        <v>627</v>
      </c>
      <c r="F41" s="1" t="str">
        <f t="shared" si="0"/>
        <v>PURPOSE: Data field for DSM_Parameter in 3_1_Definition_DSM
ACTION: Enter appropriate value for DSM_Parameter
NOTE: Please refer to BioDYM documentation for specific requirements.</v>
      </c>
      <c r="G41" s="1" t="s">
        <v>815</v>
      </c>
      <c r="H41" s="1" t="s">
        <v>629</v>
      </c>
      <c r="I41" s="1" t="s">
        <v>719</v>
      </c>
    </row>
    <row r="42" spans="1:9" ht="75" hidden="1" x14ac:dyDescent="0.25">
      <c r="A42">
        <v>135</v>
      </c>
      <c r="B42" t="s">
        <v>471</v>
      </c>
      <c r="C42" s="141" t="s">
        <v>440</v>
      </c>
      <c r="D42" t="s">
        <v>630</v>
      </c>
      <c r="E42" t="s">
        <v>631</v>
      </c>
      <c r="F42" s="1" t="str">
        <f t="shared" si="0"/>
        <v>PURPOSE: Flag this row as 100% complete for reporting and filtering purposes
ACTION: Click to select
NOTE: This input is optional. Leave blank if the process is ongoing. Used for progress tracking.</v>
      </c>
      <c r="G42" s="1" t="s">
        <v>770</v>
      </c>
      <c r="H42" s="1" t="s">
        <v>771</v>
      </c>
      <c r="I42" s="1" t="s">
        <v>772</v>
      </c>
    </row>
    <row r="43" spans="1:9" ht="75" hidden="1" x14ac:dyDescent="0.25">
      <c r="A43">
        <v>167</v>
      </c>
      <c r="B43" s="2" t="s">
        <v>473</v>
      </c>
      <c r="C43" s="141" t="s">
        <v>426</v>
      </c>
      <c r="D43" t="s">
        <v>664</v>
      </c>
      <c r="E43" t="s">
        <v>665</v>
      </c>
      <c r="F43" s="1" t="str">
        <f t="shared" si="0"/>
        <v>PURPOSE: Data field for Comment in 5_1_Scenario_Manager
ACTION: Enter appropriate value for Comment
NOTE: Please refer to BioDYM documentation for specific requirements.</v>
      </c>
      <c r="G43" s="1" t="s">
        <v>838</v>
      </c>
      <c r="H43" s="1" t="s">
        <v>667</v>
      </c>
      <c r="I43" s="1" t="s">
        <v>719</v>
      </c>
    </row>
    <row r="44" spans="1:9" ht="75" hidden="1" x14ac:dyDescent="0.25">
      <c r="A44">
        <v>30</v>
      </c>
      <c r="B44" t="s">
        <v>469</v>
      </c>
      <c r="C44" s="141" t="s">
        <v>406</v>
      </c>
      <c r="D44" t="s">
        <v>520</v>
      </c>
      <c r="E44" t="s">
        <v>521</v>
      </c>
      <c r="F44" s="1" t="str">
        <f t="shared" si="0"/>
        <v>PURPOSE: Data field for UoM_Source in 1_2_Data_Flows
ACTION: Enter appropriate value for UoM_Source
NOTE: Please refer to BioDYM documentation for specific requirements.</v>
      </c>
      <c r="G44" s="1" t="s">
        <v>736</v>
      </c>
      <c r="H44" s="1" t="s">
        <v>523</v>
      </c>
      <c r="I44" s="1" t="s">
        <v>719</v>
      </c>
    </row>
    <row r="45" spans="1:9" ht="75" x14ac:dyDescent="0.25">
      <c r="A45">
        <v>8</v>
      </c>
      <c r="B45" t="s">
        <v>461</v>
      </c>
      <c r="C45" s="141" t="s">
        <v>420</v>
      </c>
      <c r="D45" t="s">
        <v>488</v>
      </c>
      <c r="E45" t="s">
        <v>488</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709</v>
      </c>
      <c r="H45" s="1" t="s">
        <v>710</v>
      </c>
      <c r="I45" s="1" t="s">
        <v>711</v>
      </c>
    </row>
    <row r="46" spans="1:9" ht="90" x14ac:dyDescent="0.25">
      <c r="A46">
        <v>9</v>
      </c>
      <c r="B46" t="s">
        <v>461</v>
      </c>
      <c r="C46" s="141" t="s">
        <v>27</v>
      </c>
      <c r="D46" t="s">
        <v>880</v>
      </c>
      <c r="E46" t="s">
        <v>881</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712</v>
      </c>
      <c r="H46" s="1" t="s">
        <v>713</v>
      </c>
      <c r="I46" s="1" t="s">
        <v>714</v>
      </c>
    </row>
    <row r="47" spans="1:9" ht="75" hidden="1" x14ac:dyDescent="0.25">
      <c r="A47">
        <v>54</v>
      </c>
      <c r="B47" t="s">
        <v>469</v>
      </c>
      <c r="C47" s="141" t="s">
        <v>411</v>
      </c>
      <c r="D47" t="s">
        <v>567</v>
      </c>
      <c r="E47" t="s">
        <v>568</v>
      </c>
      <c r="F47" s="1" t="str">
        <f t="shared" si="0"/>
        <v>PURPOSE: Data field for CC_Flow_Py in 1_2_Data_Flows
ACTION: Enter appropriate value for CC_Flow_Py
NOTE: Please refer to BioDYM documentation for specific requirements.</v>
      </c>
      <c r="G47" s="1" t="s">
        <v>768</v>
      </c>
      <c r="H47" s="1" t="s">
        <v>570</v>
      </c>
      <c r="I47" s="1" t="s">
        <v>719</v>
      </c>
    </row>
    <row r="48" spans="1:9" ht="75" hidden="1" x14ac:dyDescent="0.25">
      <c r="A48">
        <v>178</v>
      </c>
      <c r="B48" t="s">
        <v>481</v>
      </c>
      <c r="C48" s="141" t="s">
        <v>246</v>
      </c>
      <c r="D48" t="s">
        <v>684</v>
      </c>
      <c r="E48" t="s">
        <v>685</v>
      </c>
      <c r="F48" s="1" t="str">
        <f t="shared" si="0"/>
        <v>PURPOSE: Data field for Y_Position_DM in 6_1_Visualization_Processes
ACTION: Enter appropriate value for Y_Position_DM
NOTE: Please refer to BioDYM documentation for specific requirements.</v>
      </c>
      <c r="G48" s="1" t="s">
        <v>848</v>
      </c>
      <c r="H48" s="1" t="s">
        <v>687</v>
      </c>
      <c r="I48" s="1" t="s">
        <v>719</v>
      </c>
    </row>
    <row r="49" spans="1:9" ht="75" hidden="1" x14ac:dyDescent="0.25">
      <c r="A49">
        <v>178</v>
      </c>
      <c r="B49" t="s">
        <v>481</v>
      </c>
      <c r="C49" s="141" t="s">
        <v>361</v>
      </c>
      <c r="D49" t="s">
        <v>686</v>
      </c>
      <c r="E49" t="s">
        <v>687</v>
      </c>
      <c r="F49" s="1" t="str">
        <f t="shared" si="0"/>
        <v>PURPOSE: Data field for X_Position_CC in 6_1_Visualization_Processes
ACTION: Enter appropriate value for X_Position_CC
NOTE: Please refer to BioDYM documentation for specific requirements.</v>
      </c>
      <c r="G49" s="1" t="s">
        <v>849</v>
      </c>
      <c r="H49" s="1" t="s">
        <v>689</v>
      </c>
      <c r="I49" s="1" t="s">
        <v>719</v>
      </c>
    </row>
    <row r="50" spans="1:9" ht="75" hidden="1" x14ac:dyDescent="0.25">
      <c r="A50">
        <v>29</v>
      </c>
      <c r="B50" t="s">
        <v>469</v>
      </c>
      <c r="C50" s="141" t="s">
        <v>405</v>
      </c>
      <c r="D50" t="s">
        <v>518</v>
      </c>
      <c r="E50" t="s">
        <v>519</v>
      </c>
      <c r="F50" s="1" t="str">
        <f t="shared" si="0"/>
        <v>PURPOSE: Data field for Flow in 1_2_Data_Flows
ACTION: Enter appropriate value for Flow
NOTE: Please refer to BioDYM documentation for specific requirements.</v>
      </c>
      <c r="G50" s="1" t="s">
        <v>735</v>
      </c>
      <c r="H50" s="1" t="s">
        <v>521</v>
      </c>
      <c r="I50" s="1" t="s">
        <v>719</v>
      </c>
    </row>
    <row r="51" spans="1:9" ht="75" x14ac:dyDescent="0.25">
      <c r="A51">
        <v>10</v>
      </c>
      <c r="B51" t="s">
        <v>461</v>
      </c>
      <c r="C51" s="141" t="s">
        <v>29</v>
      </c>
      <c r="D51" t="s">
        <v>882</v>
      </c>
      <c r="E51" t="s">
        <v>883</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715</v>
      </c>
      <c r="H51" s="1" t="s">
        <v>716</v>
      </c>
      <c r="I51" s="1" t="s">
        <v>717</v>
      </c>
    </row>
    <row r="52" spans="1:9" ht="75" x14ac:dyDescent="0.25">
      <c r="A52">
        <v>11</v>
      </c>
      <c r="B52" t="s">
        <v>461</v>
      </c>
      <c r="C52" s="141" t="s">
        <v>28</v>
      </c>
      <c r="D52" t="s">
        <v>884</v>
      </c>
      <c r="E52" t="s">
        <v>885</v>
      </c>
      <c r="F52" s="1" t="str">
        <f t="shared" si="0"/>
        <v>PURPOSE: Data field for Flow_WC_ID  in 1_1_Definition_Flows
ACTION: Enter appropriate value for Flow_WC_ID 
NOTE: Please refer to BioDYM documentation for specific requirements.</v>
      </c>
      <c r="G52" s="1" t="s">
        <v>718</v>
      </c>
      <c r="H52" s="1" t="s">
        <v>498</v>
      </c>
      <c r="I52" s="1" t="s">
        <v>719</v>
      </c>
    </row>
    <row r="53" spans="1:9" ht="75" hidden="1" x14ac:dyDescent="0.25">
      <c r="A53">
        <v>50</v>
      </c>
      <c r="B53" t="s">
        <v>469</v>
      </c>
      <c r="C53" s="141" t="s">
        <v>410</v>
      </c>
      <c r="D53" t="s">
        <v>560</v>
      </c>
      <c r="E53" t="s">
        <v>561</v>
      </c>
      <c r="F53" s="1" t="str">
        <f t="shared" si="0"/>
        <v>PURPOSE: Data field for DM_Flow_Py in 1_2_Data_Flows
ACTION: Enter appropriate value for DM_Flow_Py
NOTE: Please refer to BioDYM documentation for specific requirements.</v>
      </c>
      <c r="G53" s="1" t="s">
        <v>764</v>
      </c>
      <c r="H53" s="1" t="s">
        <v>563</v>
      </c>
      <c r="I53" s="1" t="s">
        <v>719</v>
      </c>
    </row>
    <row r="54" spans="1:9" ht="105" x14ac:dyDescent="0.25">
      <c r="A54">
        <v>12</v>
      </c>
      <c r="B54" t="s">
        <v>461</v>
      </c>
      <c r="C54" s="141" t="s">
        <v>412</v>
      </c>
      <c r="D54" t="s">
        <v>488</v>
      </c>
      <c r="E54" t="s">
        <v>488</v>
      </c>
      <c r="F54" s="1" t="str">
        <f t="shared" si="0"/>
        <v>PURPOSE: Data field for Flow_WC in 1_1_Definition_Flows
ACTION: Enter appropriate value for Flow_WC
NOTE: Please refer to BioDYM documentation for specific requirements.</v>
      </c>
      <c r="G54" s="1" t="s">
        <v>720</v>
      </c>
      <c r="H54" s="1" t="s">
        <v>500</v>
      </c>
      <c r="I54" s="1" t="s">
        <v>719</v>
      </c>
    </row>
    <row r="55" spans="1:9" ht="105" hidden="1" x14ac:dyDescent="0.25">
      <c r="A55">
        <v>24</v>
      </c>
      <c r="B55" t="s">
        <v>469</v>
      </c>
      <c r="C55" s="141" t="s">
        <v>11</v>
      </c>
      <c r="D55" t="s">
        <v>489</v>
      </c>
      <c r="E55" t="s">
        <v>488</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700</v>
      </c>
      <c r="H55" s="1" t="s">
        <v>701</v>
      </c>
      <c r="I55" s="1" t="s">
        <v>702</v>
      </c>
    </row>
    <row r="56" spans="1:9" ht="75" hidden="1" x14ac:dyDescent="0.25">
      <c r="A56">
        <v>75</v>
      </c>
      <c r="B56" t="s">
        <v>854</v>
      </c>
      <c r="C56" s="141" t="s">
        <v>11</v>
      </c>
      <c r="D56" t="s">
        <v>489</v>
      </c>
      <c r="E56" t="s">
        <v>488</v>
      </c>
      <c r="F56" s="1" t="str">
        <f t="shared" si="0"/>
        <v>PURPOSE: Unique identifier for transfer coefficient material
ACTION: Automatically assigned
NOTE: This field is generated automatically. No manual input required. Used for system identification and linking.</v>
      </c>
      <c r="G56" s="1" t="s">
        <v>789</v>
      </c>
      <c r="H56" s="1" t="s">
        <v>697</v>
      </c>
      <c r="I56" s="1" t="s">
        <v>698</v>
      </c>
    </row>
    <row r="57" spans="1:9" ht="75" hidden="1" x14ac:dyDescent="0.25">
      <c r="A57">
        <v>96</v>
      </c>
      <c r="B57" s="162" t="s">
        <v>855</v>
      </c>
      <c r="C57" s="141" t="s">
        <v>11</v>
      </c>
      <c r="D57" t="s">
        <v>489</v>
      </c>
      <c r="E57" t="s">
        <v>488</v>
      </c>
      <c r="F57" s="1" t="str">
        <f t="shared" si="0"/>
        <v>PURPOSE: Defines the Year (Dynamic TCs) for temporal data organization
ACTION: Enter year (e.g., 2020, 2021, 2022)
NOTE: Must be consistent with analysis time period. Used for time-series data organization.</v>
      </c>
      <c r="G57" s="1" t="s">
        <v>801</v>
      </c>
      <c r="H57" s="1" t="s">
        <v>733</v>
      </c>
      <c r="I57" s="1" t="s">
        <v>734</v>
      </c>
    </row>
    <row r="58" spans="1:9" ht="75" hidden="1" x14ac:dyDescent="0.25">
      <c r="A58">
        <v>122</v>
      </c>
      <c r="B58" s="162" t="s">
        <v>856</v>
      </c>
      <c r="C58" s="141" t="s">
        <v>11</v>
      </c>
      <c r="D58" t="s">
        <v>489</v>
      </c>
      <c r="E58" t="s">
        <v>488</v>
      </c>
      <c r="F58" s="1" t="str">
        <f t="shared" si="0"/>
        <v>PURPOSE: Defines the {field_type} for calculations
ACTION: Enter numerical value in specified unit
NOTE: Required for system calculations. Must be positive value. Used in MFA calculations.</v>
      </c>
      <c r="G58" s="1" t="s">
        <v>787</v>
      </c>
      <c r="H58" s="1" t="s">
        <v>753</v>
      </c>
      <c r="I58" s="1" t="s">
        <v>754</v>
      </c>
    </row>
    <row r="59" spans="1:9" ht="75" hidden="1" x14ac:dyDescent="0.25">
      <c r="A59">
        <v>178</v>
      </c>
      <c r="B59" t="s">
        <v>481</v>
      </c>
      <c r="C59" s="141" t="s">
        <v>11</v>
      </c>
      <c r="D59" t="s">
        <v>688</v>
      </c>
      <c r="E59" t="s">
        <v>689</v>
      </c>
      <c r="F59" s="1" t="str">
        <f t="shared" si="0"/>
        <v>PURPOSE: Data field for Y_Position_CC in 6_1_Visualization_Processes
ACTION: Enter appropriate value for Y_Position_CC
NOTE: Please refer to BioDYM documentation for specific requirements.</v>
      </c>
      <c r="G59" s="1" t="s">
        <v>850</v>
      </c>
      <c r="H59" s="1" t="s">
        <v>691</v>
      </c>
      <c r="I59" s="1" t="s">
        <v>719</v>
      </c>
    </row>
    <row r="60" spans="1:9" ht="90" x14ac:dyDescent="0.25">
      <c r="A60">
        <v>13</v>
      </c>
      <c r="B60" t="s">
        <v>461</v>
      </c>
      <c r="C60" s="141" t="s">
        <v>417</v>
      </c>
      <c r="D60" t="s">
        <v>499</v>
      </c>
      <c r="E60" t="s">
        <v>500</v>
      </c>
      <c r="F60" s="1" t="str">
        <f t="shared" si="0"/>
        <v>PURPOSE: Data field for WC_source in 1_1_Definition_Flows
ACTION: Enter appropriate value for WC_source
NOTE: Please refer to BioDYM documentation for specific requirements.</v>
      </c>
      <c r="G60" s="1" t="s">
        <v>721</v>
      </c>
      <c r="H60" s="1" t="s">
        <v>501</v>
      </c>
      <c r="I60" s="1" t="s">
        <v>719</v>
      </c>
    </row>
    <row r="61" spans="1:9" ht="75" hidden="1" x14ac:dyDescent="0.25">
      <c r="A61">
        <v>43</v>
      </c>
      <c r="B61" t="s">
        <v>469</v>
      </c>
      <c r="C61" s="141" t="s">
        <v>407</v>
      </c>
      <c r="D61" t="s">
        <v>546</v>
      </c>
      <c r="E61" t="s">
        <v>547</v>
      </c>
      <c r="F61" s="1" t="str">
        <f t="shared" si="0"/>
        <v>PURPOSE: Data field for UoM_Flow_Py in 1_2_Data_Flows
ACTION: Enter appropriate value for UoM_Flow_Py
NOTE: Please refer to BioDYM documentation for specific requirements.</v>
      </c>
      <c r="G61" s="1" t="s">
        <v>755</v>
      </c>
      <c r="H61" s="1" t="s">
        <v>549</v>
      </c>
      <c r="I61" s="1" t="s">
        <v>719</v>
      </c>
    </row>
    <row r="62" spans="1:9" ht="105" hidden="1" x14ac:dyDescent="0.25">
      <c r="A62">
        <v>42</v>
      </c>
      <c r="B62" t="s">
        <v>469</v>
      </c>
      <c r="C62" s="141" t="s">
        <v>408</v>
      </c>
      <c r="D62" t="s">
        <v>544</v>
      </c>
      <c r="E62" t="s">
        <v>545</v>
      </c>
      <c r="F62" s="1" t="str">
        <f t="shared" si="0"/>
        <v>PURPOSE: Defines the Material Flow Amount for calculations
ACTION: Enter numerical value in specified unit
NOTE: Required for system calculations. Must be positive value. Used in MFA calculations.</v>
      </c>
      <c r="G62" s="1" t="s">
        <v>752</v>
      </c>
      <c r="H62" s="1" t="s">
        <v>753</v>
      </c>
      <c r="I62" s="1" t="s">
        <v>754</v>
      </c>
    </row>
    <row r="63" spans="1:9" ht="105" x14ac:dyDescent="0.25">
      <c r="A63">
        <v>14</v>
      </c>
      <c r="B63" t="s">
        <v>461</v>
      </c>
      <c r="C63" s="141" t="s">
        <v>31</v>
      </c>
      <c r="D63" t="s">
        <v>31</v>
      </c>
      <c r="E63" t="s">
        <v>886</v>
      </c>
      <c r="F63" s="1" t="str">
        <f t="shared" si="0"/>
        <v>PURPOSE: Data field for Flow_DM_ID in 1_1_Definition_Flows
ACTION: Enter appropriate value for Flow_DM_ID
NOTE: Please refer to BioDYM documentation for specific requirements.</v>
      </c>
      <c r="G63" s="1" t="s">
        <v>722</v>
      </c>
      <c r="H63" s="1" t="s">
        <v>503</v>
      </c>
      <c r="I63" s="1" t="s">
        <v>719</v>
      </c>
    </row>
    <row r="64" spans="1:9" ht="90" hidden="1" x14ac:dyDescent="0.25">
      <c r="A64">
        <v>25</v>
      </c>
      <c r="B64" t="s">
        <v>469</v>
      </c>
      <c r="C64" s="141" t="s">
        <v>416</v>
      </c>
      <c r="D64" t="s">
        <v>490</v>
      </c>
      <c r="E64" t="s">
        <v>491</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709</v>
      </c>
      <c r="H64" s="1" t="s">
        <v>710</v>
      </c>
      <c r="I64" s="1" t="s">
        <v>711</v>
      </c>
    </row>
    <row r="65" spans="1:9" ht="90" x14ac:dyDescent="0.25">
      <c r="A65">
        <v>15</v>
      </c>
      <c r="B65" t="s">
        <v>461</v>
      </c>
      <c r="C65" s="141" t="s">
        <v>413</v>
      </c>
      <c r="D65" t="s">
        <v>502</v>
      </c>
      <c r="E65" t="s">
        <v>503</v>
      </c>
      <c r="F65" s="1" t="str">
        <f t="shared" si="0"/>
        <v>PURPOSE: Data field for Flow_DM in 1_1_Definition_Flows
ACTION: Enter appropriate value for Flow_DM
NOTE: Please refer to BioDYM documentation for specific requirements.</v>
      </c>
      <c r="G65" s="1" t="s">
        <v>723</v>
      </c>
      <c r="H65" s="1" t="s">
        <v>505</v>
      </c>
      <c r="I65" s="1" t="s">
        <v>719</v>
      </c>
    </row>
    <row r="66" spans="1:9" ht="105" x14ac:dyDescent="0.25">
      <c r="A66">
        <v>16</v>
      </c>
      <c r="B66" t="s">
        <v>461</v>
      </c>
      <c r="C66" s="141" t="s">
        <v>418</v>
      </c>
      <c r="D66" t="s">
        <v>504</v>
      </c>
      <c r="E66" t="s">
        <v>505</v>
      </c>
      <c r="F66" s="1" t="str">
        <f t="shared" si="0"/>
        <v>PURPOSE: Data field for DM_source in 1_1_Definition_Flows
ACTION: Enter appropriate value for DM_source
NOTE: Please refer to BioDYM documentation for specific requirements.</v>
      </c>
      <c r="G66" s="1" t="s">
        <v>724</v>
      </c>
      <c r="H66" s="1" t="s">
        <v>507</v>
      </c>
      <c r="I66" s="1" t="s">
        <v>719</v>
      </c>
    </row>
    <row r="67" spans="1:9" ht="75" x14ac:dyDescent="0.25">
      <c r="A67">
        <v>17</v>
      </c>
      <c r="B67" t="s">
        <v>461</v>
      </c>
      <c r="C67" s="141" t="s">
        <v>33</v>
      </c>
      <c r="D67" t="s">
        <v>506</v>
      </c>
      <c r="E67" t="s">
        <v>507</v>
      </c>
      <c r="F67" s="1" t="str">
        <f t="shared" si="0"/>
        <v>PURPOSE: Data field for Flow_CC_ID in 1_1_Definition_Flows
ACTION: Enter appropriate value for Flow_CC_ID
NOTE: Please refer to BioDYM documentation for specific requirements.</v>
      </c>
      <c r="G67" s="1" t="s">
        <v>725</v>
      </c>
      <c r="H67" s="1" t="s">
        <v>509</v>
      </c>
      <c r="I67" s="1" t="s">
        <v>719</v>
      </c>
    </row>
    <row r="68" spans="1:9" ht="75.75" thickBot="1" x14ac:dyDescent="0.3">
      <c r="A68">
        <v>18</v>
      </c>
      <c r="B68" t="s">
        <v>461</v>
      </c>
      <c r="C68" s="141" t="s">
        <v>414</v>
      </c>
      <c r="D68" t="s">
        <v>508</v>
      </c>
      <c r="E68" t="s">
        <v>509</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726</v>
      </c>
      <c r="H68" s="1" t="s">
        <v>727</v>
      </c>
      <c r="I68" s="1" t="s">
        <v>728</v>
      </c>
    </row>
    <row r="69" spans="1:9" ht="75.75" hidden="1" thickBot="1" x14ac:dyDescent="0.3">
      <c r="A69">
        <v>46</v>
      </c>
      <c r="B69" t="s">
        <v>469</v>
      </c>
      <c r="C69" s="160" t="s">
        <v>409</v>
      </c>
      <c r="D69" t="s">
        <v>552</v>
      </c>
      <c r="E69" t="s">
        <v>553</v>
      </c>
      <c r="F69" s="1" t="str">
        <f t="shared" si="1"/>
        <v>PURPOSE: Data field for WC_Flow_Py in 1_2_Data_Flows
ACTION: Enter appropriate value for WC_Flow_Py
NOTE: Please refer to BioDYM documentation for specific requirements.</v>
      </c>
      <c r="G69" s="1" t="s">
        <v>759</v>
      </c>
      <c r="H69" s="1" t="s">
        <v>555</v>
      </c>
      <c r="I69" s="1" t="s">
        <v>719</v>
      </c>
    </row>
    <row r="70" spans="1:9" ht="90" x14ac:dyDescent="0.25">
      <c r="A70">
        <v>19</v>
      </c>
      <c r="B70" t="s">
        <v>461</v>
      </c>
      <c r="C70" s="161" t="s">
        <v>419</v>
      </c>
      <c r="D70" t="s">
        <v>510</v>
      </c>
      <c r="E70" t="s">
        <v>511</v>
      </c>
      <c r="F70" s="1" t="str">
        <f t="shared" si="1"/>
        <v>PURPOSE: Data field for CC_DM_source in 1_1_Definition_Flows
ACTION: Enter appropriate value for CC_DM_source
NOTE: Please refer to BioDYM documentation for specific requirements.</v>
      </c>
      <c r="G70" s="1" t="s">
        <v>729</v>
      </c>
      <c r="H70" s="1" t="s">
        <v>513</v>
      </c>
      <c r="I70" s="1" t="s">
        <v>719</v>
      </c>
    </row>
    <row r="71" spans="1:9" ht="90" hidden="1" x14ac:dyDescent="0.25">
      <c r="A71">
        <v>23</v>
      </c>
      <c r="B71" t="s">
        <v>469</v>
      </c>
      <c r="C71" s="161" t="s">
        <v>7</v>
      </c>
      <c r="D71" t="s">
        <v>487</v>
      </c>
      <c r="E71" t="s">
        <v>488</v>
      </c>
      <c r="F71" s="1" t="str">
        <f t="shared" si="1"/>
        <v>PURPOSE: Unique identifier for material flow
ACTION: Automatically assigned
NOTE: This field is generated automatically. No manual input required. Used for system identification and linking.</v>
      </c>
      <c r="G71" s="1" t="s">
        <v>699</v>
      </c>
      <c r="H71" s="1" t="s">
        <v>697</v>
      </c>
      <c r="I71" s="1" t="s">
        <v>698</v>
      </c>
    </row>
    <row r="72" spans="1:9" ht="90" hidden="1" x14ac:dyDescent="0.25">
      <c r="A72">
        <v>58</v>
      </c>
      <c r="B72" t="s">
        <v>470</v>
      </c>
      <c r="C72" s="161" t="s">
        <v>7</v>
      </c>
      <c r="D72" t="s">
        <v>487</v>
      </c>
      <c r="E72" t="s">
        <v>488</v>
      </c>
      <c r="F72" s="1" t="str">
        <f t="shared" si="1"/>
        <v>PURPOSE: Unique identifier for process
ACTION: Automatically assigned
NOTE: This field is generated automatically. No manual input required. Used for system identification and linking.</v>
      </c>
      <c r="G72" s="1" t="s">
        <v>773</v>
      </c>
      <c r="H72" s="1" t="s">
        <v>697</v>
      </c>
      <c r="I72" s="1" t="s">
        <v>698</v>
      </c>
    </row>
    <row r="73" spans="1:9" ht="90" hidden="1" x14ac:dyDescent="0.25">
      <c r="A73">
        <v>67</v>
      </c>
      <c r="B73" t="s">
        <v>854</v>
      </c>
      <c r="C73" s="141" t="s">
        <v>7</v>
      </c>
      <c r="D73" t="s">
        <v>487</v>
      </c>
      <c r="E73" t="s">
        <v>488</v>
      </c>
      <c r="F73" s="1" t="str">
        <f t="shared" si="1"/>
        <v>PURPOSE: Unique identifier for process
ACTION: Automatically assigned
NOTE: This field is generated automatically. No manual input required. Used for system identification and linking.</v>
      </c>
      <c r="G73" s="1" t="s">
        <v>773</v>
      </c>
      <c r="H73" s="1" t="s">
        <v>697</v>
      </c>
      <c r="I73" s="1" t="s">
        <v>698</v>
      </c>
    </row>
    <row r="74" spans="1:9" ht="90" hidden="1" x14ac:dyDescent="0.25">
      <c r="A74">
        <v>90</v>
      </c>
      <c r="B74" s="162" t="s">
        <v>855</v>
      </c>
      <c r="C74" s="141" t="s">
        <v>7</v>
      </c>
      <c r="D74" t="s">
        <v>487</v>
      </c>
      <c r="E74" t="s">
        <v>488</v>
      </c>
      <c r="F74" s="1" t="str">
        <f t="shared" si="1"/>
        <v>PURPOSE: Unique identifier for process
ACTION: Automatically assigned
NOTE: This field is generated automatically. No manual input required. Used for system identification and linking.</v>
      </c>
      <c r="G74" s="1" t="s">
        <v>773</v>
      </c>
      <c r="H74" s="1" t="s">
        <v>697</v>
      </c>
      <c r="I74" s="1" t="s">
        <v>698</v>
      </c>
    </row>
    <row r="75" spans="1:9" ht="90" hidden="1" x14ac:dyDescent="0.25">
      <c r="A75">
        <v>107</v>
      </c>
      <c r="B75" s="162" t="s">
        <v>856</v>
      </c>
      <c r="C75" s="141" t="s">
        <v>7</v>
      </c>
      <c r="D75" t="s">
        <v>487</v>
      </c>
      <c r="E75" t="s">
        <v>488</v>
      </c>
      <c r="F75" s="1" t="str">
        <f t="shared" si="1"/>
        <v>PURPOSE: Unique identifier for {context}
ACTION: Automatically assigned
NOTE: This field is generated automatically. No manual input required. Used for system identification and linking.</v>
      </c>
      <c r="G75" s="1" t="s">
        <v>791</v>
      </c>
      <c r="H75" s="1" t="s">
        <v>697</v>
      </c>
      <c r="I75" s="1" t="s">
        <v>698</v>
      </c>
    </row>
    <row r="76" spans="1:9" ht="90" hidden="1" x14ac:dyDescent="0.25">
      <c r="A76">
        <v>137</v>
      </c>
      <c r="B76" t="s">
        <v>472</v>
      </c>
      <c r="C76" s="141" t="s">
        <v>7</v>
      </c>
      <c r="D76" t="s">
        <v>487</v>
      </c>
      <c r="E76" t="s">
        <v>488</v>
      </c>
      <c r="F76" s="1" t="str">
        <f t="shared" si="1"/>
        <v>PURPOSE: Unique identifier for process
ACTION: Automatically assigned
NOTE: This field is generated automatically. No manual input required. Used for system identification and linking.</v>
      </c>
      <c r="G76" s="1" t="s">
        <v>773</v>
      </c>
      <c r="H76" s="1" t="s">
        <v>697</v>
      </c>
      <c r="I76" s="1" t="s">
        <v>698</v>
      </c>
    </row>
    <row r="77" spans="1:9" ht="75" hidden="1" x14ac:dyDescent="0.25">
      <c r="A77">
        <v>149</v>
      </c>
      <c r="B77" t="s">
        <v>474</v>
      </c>
      <c r="C77" s="141" t="s">
        <v>7</v>
      </c>
      <c r="D77" t="s">
        <v>487</v>
      </c>
      <c r="E77" t="s">
        <v>488</v>
      </c>
      <c r="F77" s="1" t="str">
        <f t="shared" si="1"/>
        <v>PURPOSE: Data field for Parameter in 4_1_Uncertainty_Parameters
ACTION: Enter appropriate value for Parameter
NOTE: Please refer to BioDYM documentation for specific requirements.</v>
      </c>
      <c r="G77" s="1" t="s">
        <v>821</v>
      </c>
      <c r="H77" s="1" t="s">
        <v>641</v>
      </c>
      <c r="I77" s="1" t="s">
        <v>719</v>
      </c>
    </row>
    <row r="78" spans="1:9" ht="75" hidden="1" x14ac:dyDescent="0.25">
      <c r="A78">
        <v>159</v>
      </c>
      <c r="B78" s="2" t="s">
        <v>473</v>
      </c>
      <c r="C78" s="141" t="s">
        <v>7</v>
      </c>
      <c r="D78" t="s">
        <v>487</v>
      </c>
      <c r="E78" t="s">
        <v>488</v>
      </c>
      <c r="F78" s="1" t="str">
        <f t="shared" si="1"/>
        <v>PURPOSE: Data field for Scenario_Name in 5_1_Scenario_Manager
ACTION: Enter appropriate value for Scenario_Name
NOTE: Please refer to BioDYM documentation for specific requirements.</v>
      </c>
      <c r="G78" s="1" t="s">
        <v>830</v>
      </c>
      <c r="H78" s="1" t="s">
        <v>657</v>
      </c>
      <c r="I78" s="1" t="s">
        <v>719</v>
      </c>
    </row>
    <row r="79" spans="1:9" ht="90" hidden="1" x14ac:dyDescent="0.25">
      <c r="A79">
        <v>170</v>
      </c>
      <c r="B79" t="s">
        <v>480</v>
      </c>
      <c r="C79" s="141" t="s">
        <v>7</v>
      </c>
      <c r="D79" t="s">
        <v>487</v>
      </c>
      <c r="E79" t="s">
        <v>488</v>
      </c>
      <c r="F79" s="1" t="str">
        <f t="shared" si="1"/>
        <v>PURPOSE: Unique identifier for process
ACTION: Automatically assigned
NOTE: This field is generated automatically. No manual input required. Used for system identification and linking.</v>
      </c>
      <c r="G79" s="1" t="s">
        <v>773</v>
      </c>
      <c r="H79" s="1" t="s">
        <v>697</v>
      </c>
      <c r="I79" s="1" t="s">
        <v>698</v>
      </c>
    </row>
    <row r="80" spans="1:9" ht="105" hidden="1" x14ac:dyDescent="0.25">
      <c r="A80">
        <v>178</v>
      </c>
      <c r="B80" t="s">
        <v>481</v>
      </c>
      <c r="C80" s="141" t="s">
        <v>7</v>
      </c>
      <c r="D80" t="s">
        <v>690</v>
      </c>
      <c r="E80" t="s">
        <v>691</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776</v>
      </c>
      <c r="H80" s="1" t="s">
        <v>777</v>
      </c>
      <c r="I80" s="1" t="s">
        <v>702</v>
      </c>
    </row>
    <row r="81" spans="1:9" ht="90" hidden="1" x14ac:dyDescent="0.25">
      <c r="A81">
        <v>118</v>
      </c>
      <c r="B81" s="162" t="s">
        <v>856</v>
      </c>
      <c r="C81" s="141" t="s">
        <v>169</v>
      </c>
      <c r="D81" t="s">
        <v>614</v>
      </c>
      <c r="E81" t="s">
        <v>511</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807</v>
      </c>
      <c r="H81" s="1" t="s">
        <v>808</v>
      </c>
      <c r="I81" s="1" t="s">
        <v>702</v>
      </c>
    </row>
    <row r="82" spans="1:9" ht="90" hidden="1" x14ac:dyDescent="0.25">
      <c r="A82">
        <v>117</v>
      </c>
      <c r="B82" s="162" t="s">
        <v>856</v>
      </c>
      <c r="C82" s="141" t="s">
        <v>168</v>
      </c>
      <c r="D82" t="s">
        <v>613</v>
      </c>
      <c r="E82" t="s">
        <v>559</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726</v>
      </c>
      <c r="H82" s="1" t="s">
        <v>727</v>
      </c>
      <c r="I82" s="1" t="s">
        <v>806</v>
      </c>
    </row>
    <row r="83" spans="1:9" ht="75" hidden="1" x14ac:dyDescent="0.25">
      <c r="A83">
        <v>114</v>
      </c>
      <c r="B83" s="162" t="s">
        <v>856</v>
      </c>
      <c r="C83" s="141" t="s">
        <v>166</v>
      </c>
      <c r="D83" t="s">
        <v>608</v>
      </c>
      <c r="E83" t="s">
        <v>609</v>
      </c>
      <c r="F83" s="1" t="str">
        <f t="shared" si="1"/>
        <v>PURPOSE: Data field for UoM in 2_5_Initial_Stock
ACTION: Enter appropriate value for UoM
NOTE: Please refer to BioDYM documentation for specific requirements.</v>
      </c>
      <c r="G83" s="1" t="s">
        <v>803</v>
      </c>
      <c r="H83" s="1" t="s">
        <v>611</v>
      </c>
      <c r="I83" s="1" t="s">
        <v>719</v>
      </c>
    </row>
    <row r="84" spans="1:9" ht="90" hidden="1" x14ac:dyDescent="0.25">
      <c r="A84">
        <v>116</v>
      </c>
      <c r="B84" s="162" t="s">
        <v>856</v>
      </c>
      <c r="C84" s="141" t="s">
        <v>167</v>
      </c>
      <c r="D84" t="s">
        <v>612</v>
      </c>
      <c r="E84" t="s">
        <v>551</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761</v>
      </c>
      <c r="H84" s="1" t="s">
        <v>727</v>
      </c>
      <c r="I84" s="1" t="s">
        <v>805</v>
      </c>
    </row>
    <row r="85" spans="1:9" ht="75" x14ac:dyDescent="0.25">
      <c r="A85">
        <v>20</v>
      </c>
      <c r="B85" t="s">
        <v>461</v>
      </c>
      <c r="C85" s="141" t="s">
        <v>50</v>
      </c>
      <c r="D85" t="s">
        <v>512</v>
      </c>
      <c r="E85" t="s">
        <v>513</v>
      </c>
      <c r="F85" s="1" t="str">
        <f t="shared" si="1"/>
        <v>PURPOSE: Data field for CC in 1_1_Definition_Flows
ACTION: Enter appropriate value for CC
NOTE: Please refer to BioDYM documentation for specific requirements.</v>
      </c>
      <c r="G85" s="1" t="s">
        <v>730</v>
      </c>
      <c r="H85" s="1" t="s">
        <v>515</v>
      </c>
      <c r="I85" s="1" t="s">
        <v>719</v>
      </c>
    </row>
    <row r="86" spans="1:9" ht="75" hidden="1" x14ac:dyDescent="0.25">
      <c r="A86">
        <v>157</v>
      </c>
      <c r="B86" t="s">
        <v>474</v>
      </c>
      <c r="C86" s="141" t="s">
        <v>177</v>
      </c>
      <c r="D86" t="s">
        <v>652</v>
      </c>
      <c r="E86" t="s">
        <v>653</v>
      </c>
      <c r="F86" s="1" t="str">
        <f t="shared" si="1"/>
        <v>PURPOSE: Data field for Mode in 4_1_Uncertainty_Parameters
ACTION: Enter appropriate value for Mode
NOTE: Please refer to BioDYM documentation for specific requirements.</v>
      </c>
      <c r="G86" s="1" t="s">
        <v>829</v>
      </c>
      <c r="H86" s="1" t="s">
        <v>655</v>
      </c>
      <c r="I86" s="1" t="s">
        <v>719</v>
      </c>
    </row>
    <row r="87" spans="1:9" ht="75" hidden="1" x14ac:dyDescent="0.25">
      <c r="A87">
        <v>154</v>
      </c>
      <c r="B87" t="s">
        <v>474</v>
      </c>
      <c r="C87" s="141" t="s">
        <v>174</v>
      </c>
      <c r="D87" t="s">
        <v>646</v>
      </c>
      <c r="E87" t="s">
        <v>647</v>
      </c>
      <c r="F87" s="1" t="str">
        <f t="shared" si="1"/>
        <v>PURPOSE: Data field for StdDev in 4_1_Uncertainty_Parameters
ACTION: Enter appropriate value for StdDev
NOTE: Please refer to BioDYM documentation for specific requirements.</v>
      </c>
      <c r="G87" s="1" t="s">
        <v>826</v>
      </c>
      <c r="H87" s="1" t="s">
        <v>649</v>
      </c>
      <c r="I87" s="1" t="s">
        <v>719</v>
      </c>
    </row>
    <row r="88" spans="1:9" ht="75" hidden="1" x14ac:dyDescent="0.25">
      <c r="A88">
        <v>156</v>
      </c>
      <c r="B88" t="s">
        <v>474</v>
      </c>
      <c r="C88" s="141" t="s">
        <v>176</v>
      </c>
      <c r="D88" t="s">
        <v>650</v>
      </c>
      <c r="E88" t="s">
        <v>651</v>
      </c>
      <c r="F88" s="1" t="str">
        <f t="shared" si="1"/>
        <v>PURPOSE: Data field for Max in 4_1_Uncertainty_Parameters
ACTION: Enter appropriate value for Max
NOTE: Please refer to BioDYM documentation for specific requirements.</v>
      </c>
      <c r="G88" s="1" t="s">
        <v>828</v>
      </c>
      <c r="H88" s="1" t="s">
        <v>653</v>
      </c>
      <c r="I88" s="1" t="s">
        <v>719</v>
      </c>
    </row>
    <row r="89" spans="1:9" ht="90" hidden="1" x14ac:dyDescent="0.25">
      <c r="A89">
        <v>158</v>
      </c>
      <c r="B89" t="s">
        <v>474</v>
      </c>
      <c r="C89" s="141" t="s">
        <v>178</v>
      </c>
      <c r="D89" t="s">
        <v>654</v>
      </c>
      <c r="E89" t="s">
        <v>655</v>
      </c>
      <c r="F89" s="1" t="str">
        <f t="shared" si="1"/>
        <v>PURPOSE: Unique identifier for data row
ACTION: Automatically assigned
NOTE: This field is generated automatically. No manual input required. Used for system identification and linking.</v>
      </c>
      <c r="G89" s="1" t="s">
        <v>696</v>
      </c>
      <c r="H89" s="1" t="s">
        <v>697</v>
      </c>
      <c r="I89" s="1" t="s">
        <v>698</v>
      </c>
    </row>
    <row r="90" spans="1:9" ht="75" hidden="1" x14ac:dyDescent="0.25">
      <c r="A90">
        <v>172</v>
      </c>
      <c r="B90" t="s">
        <v>480</v>
      </c>
      <c r="C90" s="141" t="s">
        <v>26</v>
      </c>
      <c r="D90" t="s">
        <v>668</v>
      </c>
      <c r="E90" t="s">
        <v>669</v>
      </c>
      <c r="F90" s="1" t="str">
        <f t="shared" si="1"/>
        <v>PURPOSE: Data field for Color_Category in 6_1_Visualization_Processes
ACTION: Enter appropriate value for Color_Category
NOTE: Please refer to BioDYM documentation for specific requirements.</v>
      </c>
      <c r="G90" s="1" t="s">
        <v>840</v>
      </c>
      <c r="H90" s="1" t="s">
        <v>671</v>
      </c>
      <c r="I90" s="1" t="s">
        <v>719</v>
      </c>
    </row>
    <row r="91" spans="1:9" ht="90" hidden="1" x14ac:dyDescent="0.25">
      <c r="A91">
        <v>178</v>
      </c>
      <c r="B91" t="s">
        <v>481</v>
      </c>
      <c r="C91" s="141" t="s">
        <v>26</v>
      </c>
      <c r="D91" t="s">
        <v>578</v>
      </c>
      <c r="E91" t="s">
        <v>579</v>
      </c>
      <c r="F91" s="1" t="str">
        <f t="shared" si="1"/>
        <v>PURPOSE: Unique identifier for data row
ACTION: Automatically assigned
NOTE: This field is generated automatically. No manual input required. Used for system identification and linking.</v>
      </c>
      <c r="G91" s="1" t="s">
        <v>696</v>
      </c>
      <c r="H91" s="1" t="s">
        <v>697</v>
      </c>
      <c r="I91" s="1" t="s">
        <v>698</v>
      </c>
    </row>
    <row r="92" spans="1:9" ht="75" hidden="1" x14ac:dyDescent="0.25">
      <c r="A92">
        <v>41</v>
      </c>
      <c r="B92" t="s">
        <v>469</v>
      </c>
      <c r="C92" s="160" t="s">
        <v>20</v>
      </c>
      <c r="D92" t="s">
        <v>542</v>
      </c>
      <c r="E92" t="s">
        <v>543</v>
      </c>
      <c r="F92" s="1" t="str">
        <f t="shared" si="1"/>
        <v>PURPOSE: Data field for Flow_material_year_ID in 1_2_Data_Flows
ACTION: Enter appropriate value for Flow_material_year_ID
NOTE: Please refer to BioDYM documentation for specific requirements.</v>
      </c>
      <c r="G92" s="1" t="s">
        <v>751</v>
      </c>
      <c r="H92" s="1" t="s">
        <v>545</v>
      </c>
      <c r="I92" s="1" t="s">
        <v>719</v>
      </c>
    </row>
    <row r="93" spans="1:9" ht="75" hidden="1" x14ac:dyDescent="0.25">
      <c r="A93">
        <v>32</v>
      </c>
      <c r="B93" t="s">
        <v>469</v>
      </c>
      <c r="C93" s="161" t="s">
        <v>13</v>
      </c>
      <c r="D93" t="s">
        <v>524</v>
      </c>
      <c r="E93" t="s">
        <v>525</v>
      </c>
      <c r="F93" s="1" t="str">
        <f t="shared" si="1"/>
        <v>PURPOSE: Data field for AVV in 1_2_Data_Flows
ACTION: Enter appropriate value for AVV
NOTE: Please refer to BioDYM documentation for specific requirements.</v>
      </c>
      <c r="G93" s="1" t="s">
        <v>738</v>
      </c>
      <c r="H93" s="1" t="s">
        <v>527</v>
      </c>
      <c r="I93" s="1" t="s">
        <v>719</v>
      </c>
    </row>
    <row r="94" spans="1:9" ht="75" hidden="1" x14ac:dyDescent="0.25">
      <c r="A94">
        <v>165</v>
      </c>
      <c r="B94" s="2" t="s">
        <v>473</v>
      </c>
      <c r="C94" s="161" t="s">
        <v>188</v>
      </c>
      <c r="D94" t="s">
        <v>660</v>
      </c>
      <c r="E94" t="s">
        <v>661</v>
      </c>
      <c r="F94" s="1" t="str">
        <f t="shared" si="1"/>
        <v>PURPOSE: Data field for start_year in 5_1_Scenario_Manager
ACTION: Enter appropriate value for start_year
NOTE: Please refer to BioDYM documentation for specific requirements.</v>
      </c>
      <c r="G94" s="1" t="s">
        <v>836</v>
      </c>
      <c r="H94" s="1" t="s">
        <v>663</v>
      </c>
      <c r="I94" s="1" t="s">
        <v>719</v>
      </c>
    </row>
    <row r="95" spans="1:9" ht="75" hidden="1" x14ac:dyDescent="0.25">
      <c r="A95">
        <v>174</v>
      </c>
      <c r="B95" t="s">
        <v>480</v>
      </c>
      <c r="C95" s="161" t="s">
        <v>244</v>
      </c>
      <c r="D95" t="s">
        <v>672</v>
      </c>
      <c r="E95" t="s">
        <v>673</v>
      </c>
      <c r="F95" s="1" t="str">
        <f t="shared" si="1"/>
        <v>PURPOSE: Data field for Node_Color_# in 6_1_Visualization_Processes
ACTION: Enter appropriate value for Node_Color_#
NOTE: Please refer to BioDYM documentation for specific requirements.</v>
      </c>
      <c r="G95" s="1" t="s">
        <v>842</v>
      </c>
      <c r="H95" s="1" t="s">
        <v>675</v>
      </c>
      <c r="I95" s="1" t="s">
        <v>719</v>
      </c>
    </row>
    <row r="96" spans="1:9" ht="75" hidden="1" x14ac:dyDescent="0.25">
      <c r="A96">
        <v>175</v>
      </c>
      <c r="B96" t="s">
        <v>480</v>
      </c>
      <c r="C96" s="161" t="s">
        <v>245</v>
      </c>
      <c r="D96" t="s">
        <v>674</v>
      </c>
      <c r="E96" t="s">
        <v>675</v>
      </c>
      <c r="F96" s="1" t="str">
        <f t="shared" si="1"/>
        <v>PURPOSE: Data field for X_Position_Material in 6_1_Visualization_Processes
ACTION: Enter appropriate value for X_Position_Material
NOTE: Please refer to BioDYM documentation for specific requirements.</v>
      </c>
      <c r="G96" s="1" t="s">
        <v>843</v>
      </c>
      <c r="H96" s="1" t="s">
        <v>677</v>
      </c>
      <c r="I96" s="1" t="s">
        <v>719</v>
      </c>
    </row>
    <row r="97" spans="1:9" ht="75" hidden="1" x14ac:dyDescent="0.25">
      <c r="A97">
        <v>65</v>
      </c>
      <c r="B97" t="s">
        <v>470</v>
      </c>
      <c r="C97" s="141" t="s">
        <v>179</v>
      </c>
      <c r="D97" t="s">
        <v>530</v>
      </c>
      <c r="E97" t="s">
        <v>586</v>
      </c>
      <c r="F97" s="1" t="str">
        <f t="shared" si="1"/>
        <v>PURPOSE: Flag this row as 100% complete for reporting and filtering purposes
ACTION: Click to select
NOTE: This input is optional. Leave blank if the process is ongoing. Used for progress tracking.</v>
      </c>
      <c r="G97" s="1" t="s">
        <v>770</v>
      </c>
      <c r="H97" s="1" t="s">
        <v>771</v>
      </c>
      <c r="I97" s="1" t="s">
        <v>772</v>
      </c>
    </row>
    <row r="98" spans="1:9" ht="75" hidden="1" x14ac:dyDescent="0.25">
      <c r="A98">
        <v>130</v>
      </c>
      <c r="B98" t="s">
        <v>471</v>
      </c>
      <c r="C98" s="141" t="s">
        <v>179</v>
      </c>
      <c r="D98" t="s">
        <v>530</v>
      </c>
      <c r="E98" t="s">
        <v>586</v>
      </c>
      <c r="F98" s="1" t="str">
        <f t="shared" si="1"/>
        <v>PURPOSE: Data field for DSM_Category_Nr. in 3_1_Definition_DSM
ACTION: Enter appropriate value for DSM_Category_Nr.
NOTE: Please refer to BioDYM documentation for specific requirements.</v>
      </c>
      <c r="G98" s="1" t="s">
        <v>812</v>
      </c>
      <c r="H98" s="1" t="s">
        <v>623</v>
      </c>
      <c r="I98" s="1" t="s">
        <v>719</v>
      </c>
    </row>
    <row r="99" spans="1:9" ht="75" hidden="1" x14ac:dyDescent="0.25">
      <c r="A99">
        <v>143</v>
      </c>
      <c r="B99" t="s">
        <v>472</v>
      </c>
      <c r="C99" s="141" t="s">
        <v>179</v>
      </c>
      <c r="D99" t="s">
        <v>530</v>
      </c>
      <c r="E99" t="s">
        <v>586</v>
      </c>
      <c r="F99" s="1" t="str">
        <f t="shared" si="1"/>
        <v>PURPOSE: Data field for Nr._Decay_Pools in 3_2_Definition_FOMP
ACTION: Enter appropriate value for Nr._Decay_Pools
NOTE: Please refer to BioDYM documentation for specific requirements.</v>
      </c>
      <c r="G99" s="1" t="s">
        <v>817</v>
      </c>
      <c r="H99" s="1" t="s">
        <v>633</v>
      </c>
      <c r="I99" s="1" t="s">
        <v>719</v>
      </c>
    </row>
    <row r="100" spans="1:9" ht="75" hidden="1" x14ac:dyDescent="0.25">
      <c r="A100">
        <v>73</v>
      </c>
      <c r="B100" t="s">
        <v>854</v>
      </c>
      <c r="C100" s="141" t="s">
        <v>180</v>
      </c>
      <c r="D100" t="s">
        <v>530</v>
      </c>
      <c r="E100" t="s">
        <v>586</v>
      </c>
      <c r="F100" s="1" t="str">
        <f t="shared" si="1"/>
        <v>PURPOSE: Data field for Output_Flow in 2_3_static_TCs
ACTION: Enter appropriate value for Output_Flow
NOTE: Please refer to BioDYM documentation for specific requirements.</v>
      </c>
      <c r="G100" s="1" t="s">
        <v>788</v>
      </c>
      <c r="H100" s="1" t="s">
        <v>588</v>
      </c>
      <c r="I100" s="1" t="s">
        <v>719</v>
      </c>
    </row>
    <row r="101" spans="1:9" ht="75" hidden="1" x14ac:dyDescent="0.25">
      <c r="A101">
        <v>144</v>
      </c>
      <c r="B101" t="s">
        <v>472</v>
      </c>
      <c r="C101" s="141" t="s">
        <v>195</v>
      </c>
      <c r="D101" t="s">
        <v>632</v>
      </c>
      <c r="E101" t="s">
        <v>633</v>
      </c>
      <c r="F101" s="1" t="str">
        <f t="shared" si="1"/>
        <v>PURPOSE: Data field for Pool in 3_2_Definition_FOMP
ACTION: Enter appropriate value for Pool
NOTE: Please refer to BioDYM documentation for specific requirements.</v>
      </c>
      <c r="G101" s="1" t="s">
        <v>818</v>
      </c>
      <c r="H101" s="1" t="s">
        <v>635</v>
      </c>
      <c r="I101" s="1" t="s">
        <v>719</v>
      </c>
    </row>
    <row r="102" spans="1:9" ht="75" hidden="1" x14ac:dyDescent="0.25">
      <c r="A102">
        <v>164</v>
      </c>
      <c r="B102" t="s">
        <v>473</v>
      </c>
      <c r="C102" s="141" t="s">
        <v>209</v>
      </c>
      <c r="D102" t="s">
        <v>658</v>
      </c>
      <c r="E102" t="s">
        <v>659</v>
      </c>
      <c r="F102" s="1" t="str">
        <f t="shared" si="1"/>
        <v>PURPOSE: Data field for New_Value in 5_1_Scenario_Manager
ACTION: Enter appropriate value for New_Value
NOTE: Please refer to BioDYM documentation for specific requirements.</v>
      </c>
      <c r="G102" s="1" t="s">
        <v>835</v>
      </c>
      <c r="H102" s="1" t="s">
        <v>661</v>
      </c>
      <c r="I102" s="1" t="s">
        <v>719</v>
      </c>
    </row>
    <row r="103" spans="1:9" ht="90" hidden="1" x14ac:dyDescent="0.25">
      <c r="A103">
        <v>74</v>
      </c>
      <c r="B103" t="s">
        <v>854</v>
      </c>
      <c r="C103" s="141" t="s">
        <v>164</v>
      </c>
      <c r="D103" t="s">
        <v>587</v>
      </c>
      <c r="E103" t="s">
        <v>588</v>
      </c>
      <c r="F103" s="1" t="str">
        <f t="shared" si="1"/>
        <v>PURPOSE: Unique identifier for material flow
ACTION: Automatically assigned
NOTE: This field is generated automatically. No manual input required. Used for system identification and linking.</v>
      </c>
      <c r="G103" s="1" t="s">
        <v>699</v>
      </c>
      <c r="H103" s="1" t="s">
        <v>697</v>
      </c>
      <c r="I103" s="1" t="s">
        <v>698</v>
      </c>
    </row>
    <row r="104" spans="1:9" ht="90" hidden="1" x14ac:dyDescent="0.25">
      <c r="A104">
        <v>93</v>
      </c>
      <c r="B104" s="162" t="s">
        <v>855</v>
      </c>
      <c r="C104" s="141" t="s">
        <v>164</v>
      </c>
      <c r="D104" t="s">
        <v>587</v>
      </c>
      <c r="E104" t="s">
        <v>588</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781</v>
      </c>
      <c r="H104" s="1" t="s">
        <v>782</v>
      </c>
      <c r="I104" s="1" t="s">
        <v>783</v>
      </c>
    </row>
    <row r="105" spans="1:9" ht="75" hidden="1" x14ac:dyDescent="0.25">
      <c r="A105">
        <v>150</v>
      </c>
      <c r="B105" t="s">
        <v>474</v>
      </c>
      <c r="C105" s="141" t="s">
        <v>116</v>
      </c>
      <c r="D105" t="s">
        <v>640</v>
      </c>
      <c r="E105" t="s">
        <v>641</v>
      </c>
      <c r="F105" s="1" t="str">
        <f t="shared" si="1"/>
        <v>PURPOSE: Data field for Parameter_Selection in 4_1_Uncertainty_Parameters
ACTION: Enter appropriate value for Parameter_Selection
NOTE: Please refer to BioDYM documentation for specific requirements.</v>
      </c>
      <c r="G105" s="1" t="s">
        <v>822</v>
      </c>
      <c r="H105" s="1" t="s">
        <v>643</v>
      </c>
      <c r="I105" s="1" t="s">
        <v>719</v>
      </c>
    </row>
    <row r="106" spans="1:9" ht="75" hidden="1" x14ac:dyDescent="0.25">
      <c r="A106">
        <v>161</v>
      </c>
      <c r="B106" s="2" t="s">
        <v>473</v>
      </c>
      <c r="C106" s="141" t="s">
        <v>116</v>
      </c>
      <c r="D106" t="s">
        <v>640</v>
      </c>
      <c r="E106" t="s">
        <v>641</v>
      </c>
      <c r="F106" s="1" t="str">
        <f t="shared" si="1"/>
        <v>PURPOSE: Data field for Parameter_Selection in 5_1_Scenario_Manager
ACTION: Enter appropriate value for Parameter_Selection
NOTE: Please refer to BioDYM documentation for specific requirements.</v>
      </c>
      <c r="G106" s="1" t="s">
        <v>832</v>
      </c>
      <c r="H106" s="1" t="s">
        <v>643</v>
      </c>
      <c r="I106" s="1" t="s">
        <v>719</v>
      </c>
    </row>
    <row r="107" spans="1:9" ht="75" hidden="1" x14ac:dyDescent="0.25">
      <c r="A107">
        <v>147</v>
      </c>
      <c r="B107" t="s">
        <v>472</v>
      </c>
      <c r="C107" s="141" t="s">
        <v>172</v>
      </c>
      <c r="D107" t="s">
        <v>636</v>
      </c>
      <c r="E107" t="s">
        <v>637</v>
      </c>
      <c r="F107" s="1" t="str">
        <f t="shared" si="1"/>
        <v>PURPOSE: Data field for Value in 3_2_Definition_FOMP
ACTION: Enter appropriate value for Value
NOTE: Please refer to BioDYM documentation for specific requirements.</v>
      </c>
      <c r="G107" s="1" t="s">
        <v>820</v>
      </c>
      <c r="H107" s="1" t="s">
        <v>639</v>
      </c>
      <c r="I107" s="1" t="s">
        <v>719</v>
      </c>
    </row>
    <row r="108" spans="1:9" ht="75" hidden="1" x14ac:dyDescent="0.25">
      <c r="A108">
        <v>152</v>
      </c>
      <c r="B108" t="s">
        <v>474</v>
      </c>
      <c r="C108" s="141" t="s">
        <v>172</v>
      </c>
      <c r="D108" t="s">
        <v>636</v>
      </c>
      <c r="E108" t="s">
        <v>637</v>
      </c>
      <c r="F108" s="1" t="str">
        <f t="shared" si="1"/>
        <v>PURPOSE: Data field for Distribution in 4_1_Uncertainty_Parameters
ACTION: Enter appropriate value for Distribution
NOTE: Please refer to BioDYM documentation for specific requirements.</v>
      </c>
      <c r="G108" s="1" t="s">
        <v>824</v>
      </c>
      <c r="H108" s="1" t="s">
        <v>645</v>
      </c>
      <c r="I108" s="1" t="s">
        <v>719</v>
      </c>
    </row>
    <row r="109" spans="1:9" ht="75" hidden="1" x14ac:dyDescent="0.25">
      <c r="A109">
        <v>163</v>
      </c>
      <c r="B109" s="2" t="s">
        <v>473</v>
      </c>
      <c r="C109" s="160" t="s">
        <v>172</v>
      </c>
      <c r="D109" t="s">
        <v>636</v>
      </c>
      <c r="E109" t="s">
        <v>637</v>
      </c>
      <c r="F109" s="1" t="str">
        <f t="shared" si="1"/>
        <v>PURPOSE: Data field for Operation in 5_1_Scenario_Manager
ACTION: Enter appropriate value for Operation
NOTE: Please refer to BioDYM documentation for specific requirements.</v>
      </c>
      <c r="G109" s="1" t="s">
        <v>834</v>
      </c>
      <c r="H109" s="1" t="s">
        <v>659</v>
      </c>
      <c r="I109" s="1" t="s">
        <v>719</v>
      </c>
    </row>
    <row r="110" spans="1:9" ht="75" hidden="1" x14ac:dyDescent="0.25">
      <c r="A110">
        <v>151</v>
      </c>
      <c r="B110" t="s">
        <v>474</v>
      </c>
      <c r="C110" s="161" t="s">
        <v>187</v>
      </c>
      <c r="D110" t="s">
        <v>642</v>
      </c>
      <c r="E110" t="s">
        <v>643</v>
      </c>
      <c r="F110" s="1" t="str">
        <f t="shared" si="1"/>
        <v>PURPOSE: Data field for Parameter_Name in 4_1_Uncertainty_Parameters
ACTION: Enter appropriate value for Parameter_Name
NOTE: Please refer to BioDYM documentation for specific requirements.</v>
      </c>
      <c r="G110" s="1" t="s">
        <v>823</v>
      </c>
      <c r="H110" s="1" t="s">
        <v>637</v>
      </c>
      <c r="I110" s="1" t="s">
        <v>719</v>
      </c>
    </row>
    <row r="111" spans="1:9" ht="75" hidden="1" x14ac:dyDescent="0.25">
      <c r="A111">
        <v>162</v>
      </c>
      <c r="B111" t="s">
        <v>473</v>
      </c>
      <c r="C111" s="161" t="s">
        <v>187</v>
      </c>
      <c r="D111" t="s">
        <v>642</v>
      </c>
      <c r="E111" t="s">
        <v>643</v>
      </c>
      <c r="F111" s="1" t="str">
        <f t="shared" si="1"/>
        <v>PURPOSE: Data field for Parameter_Name in 5_1_Scenario_Manager
ACTION: Enter appropriate value for Parameter_Name
NOTE: Please refer to BioDYM documentation for specific requirements.</v>
      </c>
      <c r="G111" s="1" t="s">
        <v>833</v>
      </c>
      <c r="H111" s="1" t="s">
        <v>637</v>
      </c>
      <c r="I111" s="1" t="s">
        <v>719</v>
      </c>
    </row>
    <row r="112" spans="1:9" ht="90" hidden="1" x14ac:dyDescent="0.25">
      <c r="A112">
        <v>145</v>
      </c>
      <c r="B112" t="s">
        <v>472</v>
      </c>
      <c r="C112" s="161" t="s">
        <v>201</v>
      </c>
      <c r="D112" t="s">
        <v>634</v>
      </c>
      <c r="E112" t="s">
        <v>635</v>
      </c>
      <c r="F112" s="1" t="str">
        <f t="shared" si="1"/>
        <v>PURPOSE: Unique identifier for {context}
ACTION: Automatically assigned
NOTE: This field is generated automatically. No manual input required. Used for system identification and linking.</v>
      </c>
      <c r="G112" s="1" t="s">
        <v>791</v>
      </c>
      <c r="H112" s="1" t="s">
        <v>697</v>
      </c>
      <c r="I112" s="1" t="s">
        <v>698</v>
      </c>
    </row>
    <row r="113" spans="1:9" ht="75" hidden="1" x14ac:dyDescent="0.25">
      <c r="A113">
        <v>146</v>
      </c>
      <c r="B113" t="s">
        <v>472</v>
      </c>
      <c r="C113" s="161" t="s">
        <v>198</v>
      </c>
      <c r="D113" t="s">
        <v>530</v>
      </c>
      <c r="E113" t="s">
        <v>488</v>
      </c>
      <c r="F113" s="1" t="str">
        <f t="shared" si="1"/>
        <v>PURPOSE: Data field for Parameter_Name in 3_2_Definition_FOMP
ACTION: Enter appropriate value for Parameter_Name
NOTE: Please refer to BioDYM documentation for specific requirements.</v>
      </c>
      <c r="G113" s="1" t="s">
        <v>819</v>
      </c>
      <c r="H113" s="1" t="s">
        <v>637</v>
      </c>
      <c r="I113" s="1" t="s">
        <v>719</v>
      </c>
    </row>
    <row r="114" spans="1:9" ht="105" hidden="1" x14ac:dyDescent="0.25">
      <c r="A114">
        <v>59</v>
      </c>
      <c r="B114" t="s">
        <v>470</v>
      </c>
      <c r="C114" s="161" t="s">
        <v>23</v>
      </c>
      <c r="D114" t="s">
        <v>575</v>
      </c>
      <c r="E114" t="s">
        <v>488</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774</v>
      </c>
      <c r="H114" s="1" t="s">
        <v>775</v>
      </c>
      <c r="I114" s="1" t="s">
        <v>702</v>
      </c>
    </row>
    <row r="115" spans="1:9" ht="105" hidden="1" x14ac:dyDescent="0.25">
      <c r="A115">
        <v>68</v>
      </c>
      <c r="B115" t="s">
        <v>854</v>
      </c>
      <c r="C115" s="141" t="s">
        <v>23</v>
      </c>
      <c r="D115" t="s">
        <v>575</v>
      </c>
      <c r="E115" t="s">
        <v>488</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774</v>
      </c>
      <c r="H115" s="1" t="s">
        <v>775</v>
      </c>
      <c r="I115" s="1" t="s">
        <v>702</v>
      </c>
    </row>
    <row r="116" spans="1:9" ht="105" hidden="1" x14ac:dyDescent="0.25">
      <c r="A116">
        <v>91</v>
      </c>
      <c r="B116" s="162" t="s">
        <v>855</v>
      </c>
      <c r="C116" s="141" t="s">
        <v>23</v>
      </c>
      <c r="D116" t="s">
        <v>575</v>
      </c>
      <c r="E116" t="s">
        <v>488</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774</v>
      </c>
      <c r="H116" s="1" t="s">
        <v>775</v>
      </c>
      <c r="I116" s="1" t="s">
        <v>702</v>
      </c>
    </row>
    <row r="117" spans="1:9" ht="105" hidden="1" x14ac:dyDescent="0.25">
      <c r="A117">
        <v>109</v>
      </c>
      <c r="B117" s="162" t="s">
        <v>856</v>
      </c>
      <c r="C117" s="141" t="s">
        <v>23</v>
      </c>
      <c r="D117" t="s">
        <v>575</v>
      </c>
      <c r="E117" t="s">
        <v>488</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774</v>
      </c>
      <c r="H117" s="1" t="s">
        <v>775</v>
      </c>
      <c r="I117" s="1" t="s">
        <v>702</v>
      </c>
    </row>
    <row r="118" spans="1:9" ht="105" hidden="1" x14ac:dyDescent="0.25">
      <c r="A118">
        <v>125</v>
      </c>
      <c r="B118" t="s">
        <v>471</v>
      </c>
      <c r="C118" s="141" t="s">
        <v>23</v>
      </c>
      <c r="D118" t="s">
        <v>575</v>
      </c>
      <c r="E118" t="s">
        <v>488</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774</v>
      </c>
      <c r="H118" s="1" t="s">
        <v>775</v>
      </c>
      <c r="I118" s="1" t="s">
        <v>702</v>
      </c>
    </row>
    <row r="119" spans="1:9" ht="105" hidden="1" x14ac:dyDescent="0.25">
      <c r="A119">
        <v>138</v>
      </c>
      <c r="B119" t="s">
        <v>472</v>
      </c>
      <c r="C119" s="141" t="s">
        <v>23</v>
      </c>
      <c r="D119" t="s">
        <v>575</v>
      </c>
      <c r="E119" t="s">
        <v>488</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774</v>
      </c>
      <c r="H119" s="1" t="s">
        <v>775</v>
      </c>
      <c r="I119" s="1" t="s">
        <v>702</v>
      </c>
    </row>
    <row r="120" spans="1:9" ht="75" hidden="1" x14ac:dyDescent="0.25">
      <c r="A120">
        <v>171</v>
      </c>
      <c r="B120" t="s">
        <v>480</v>
      </c>
      <c r="C120" s="141" t="s">
        <v>23</v>
      </c>
      <c r="D120" t="s">
        <v>575</v>
      </c>
      <c r="E120" t="s">
        <v>488</v>
      </c>
      <c r="F120" s="1" t="str">
        <f t="shared" si="1"/>
        <v>PURPOSE: Data field for Name(EN) in 6_1_Visualization_Processes
ACTION: Enter appropriate value for Name(EN)
NOTE: Please refer to BioDYM documentation for specific requirements.</v>
      </c>
      <c r="G120" s="1" t="s">
        <v>839</v>
      </c>
      <c r="H120" s="1" t="s">
        <v>669</v>
      </c>
      <c r="I120" s="1" t="s">
        <v>719</v>
      </c>
    </row>
    <row r="121" spans="1:9" ht="90" hidden="1" x14ac:dyDescent="0.25">
      <c r="A121">
        <v>62</v>
      </c>
      <c r="B121" t="s">
        <v>470</v>
      </c>
      <c r="C121" s="141" t="s">
        <v>389</v>
      </c>
      <c r="D121" t="s">
        <v>580</v>
      </c>
      <c r="E121" t="s">
        <v>581</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781</v>
      </c>
      <c r="H121" s="1" t="s">
        <v>782</v>
      </c>
      <c r="I121" s="1" t="s">
        <v>783</v>
      </c>
    </row>
    <row r="122" spans="1:9" ht="90" hidden="1" x14ac:dyDescent="0.25">
      <c r="A122">
        <v>70</v>
      </c>
      <c r="B122" t="s">
        <v>854</v>
      </c>
      <c r="C122" s="141" t="s">
        <v>389</v>
      </c>
      <c r="D122" t="s">
        <v>580</v>
      </c>
      <c r="E122" t="s">
        <v>581</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781</v>
      </c>
      <c r="H122" s="1" t="s">
        <v>782</v>
      </c>
      <c r="I122" s="1" t="s">
        <v>783</v>
      </c>
    </row>
    <row r="123" spans="1:9" ht="90" hidden="1" x14ac:dyDescent="0.25">
      <c r="A123">
        <v>95</v>
      </c>
      <c r="B123" s="162" t="s">
        <v>855</v>
      </c>
      <c r="C123" s="141" t="s">
        <v>389</v>
      </c>
      <c r="D123" t="s">
        <v>580</v>
      </c>
      <c r="E123" t="s">
        <v>581</v>
      </c>
      <c r="F123" s="1" t="str">
        <f t="shared" si="1"/>
        <v>PURPOSE: Unique identifier for material flow
ACTION: Automatically assigned
NOTE: This field is generated automatically. No manual input required. Used for system identification and linking.</v>
      </c>
      <c r="G123" s="1" t="s">
        <v>699</v>
      </c>
      <c r="H123" s="1" t="s">
        <v>697</v>
      </c>
      <c r="I123" s="1" t="s">
        <v>698</v>
      </c>
    </row>
    <row r="124" spans="1:9" ht="90" hidden="1" x14ac:dyDescent="0.25">
      <c r="A124">
        <v>111</v>
      </c>
      <c r="B124" s="162" t="s">
        <v>856</v>
      </c>
      <c r="C124" s="141" t="s">
        <v>389</v>
      </c>
      <c r="D124" t="s">
        <v>580</v>
      </c>
      <c r="E124" t="s">
        <v>581</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781</v>
      </c>
      <c r="H124" s="1" t="s">
        <v>782</v>
      </c>
      <c r="I124" s="1" t="s">
        <v>783</v>
      </c>
    </row>
    <row r="125" spans="1:9" ht="90" hidden="1" x14ac:dyDescent="0.25">
      <c r="A125">
        <v>127</v>
      </c>
      <c r="B125" t="s">
        <v>471</v>
      </c>
      <c r="C125" s="141" t="s">
        <v>389</v>
      </c>
      <c r="D125" t="s">
        <v>580</v>
      </c>
      <c r="E125" t="s">
        <v>581</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781</v>
      </c>
      <c r="H125" s="1" t="s">
        <v>782</v>
      </c>
      <c r="I125" s="1" t="s">
        <v>783</v>
      </c>
    </row>
    <row r="126" spans="1:9" ht="90" hidden="1" x14ac:dyDescent="0.25">
      <c r="A126">
        <v>140</v>
      </c>
      <c r="B126" t="s">
        <v>472</v>
      </c>
      <c r="C126" s="141" t="s">
        <v>389</v>
      </c>
      <c r="D126" t="s">
        <v>580</v>
      </c>
      <c r="E126" t="s">
        <v>581</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781</v>
      </c>
      <c r="H126" s="1" t="s">
        <v>782</v>
      </c>
      <c r="I126" s="1" t="s">
        <v>783</v>
      </c>
    </row>
    <row r="127" spans="1:9" ht="105" hidden="1" x14ac:dyDescent="0.25">
      <c r="A127">
        <v>60</v>
      </c>
      <c r="B127" t="s">
        <v>470</v>
      </c>
      <c r="C127" s="141" t="s">
        <v>424</v>
      </c>
      <c r="D127" t="s">
        <v>576</v>
      </c>
      <c r="E127" t="s">
        <v>577</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776</v>
      </c>
      <c r="H127" s="1" t="s">
        <v>777</v>
      </c>
      <c r="I127" s="1" t="s">
        <v>702</v>
      </c>
    </row>
    <row r="128" spans="1:9" ht="105" hidden="1" x14ac:dyDescent="0.25">
      <c r="A128">
        <v>69</v>
      </c>
      <c r="B128" t="s">
        <v>854</v>
      </c>
      <c r="C128" s="161" t="s">
        <v>424</v>
      </c>
      <c r="D128" t="s">
        <v>576</v>
      </c>
      <c r="E128" t="s">
        <v>577</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778</v>
      </c>
      <c r="H128" s="1" t="s">
        <v>779</v>
      </c>
      <c r="I128" s="1" t="s">
        <v>780</v>
      </c>
    </row>
    <row r="129" spans="1:9" ht="75" hidden="1" x14ac:dyDescent="0.25">
      <c r="A129">
        <v>92</v>
      </c>
      <c r="B129" s="162" t="s">
        <v>855</v>
      </c>
      <c r="C129" s="161" t="s">
        <v>424</v>
      </c>
      <c r="D129" t="s">
        <v>576</v>
      </c>
      <c r="E129" t="s">
        <v>577</v>
      </c>
      <c r="F129" s="1" t="str">
        <f t="shared" si="1"/>
        <v>PURPOSE: Data field for Output_Flow in 2_4_dynamic_TCs
ACTION: Enter appropriate value for Output_Flow
NOTE: Please refer to BioDYM documentation for specific requirements.</v>
      </c>
      <c r="G129" s="1" t="s">
        <v>800</v>
      </c>
      <c r="H129" s="1" t="s">
        <v>588</v>
      </c>
      <c r="I129" s="1" t="s">
        <v>719</v>
      </c>
    </row>
    <row r="130" spans="1:9" ht="105" hidden="1" x14ac:dyDescent="0.25">
      <c r="A130">
        <v>110</v>
      </c>
      <c r="B130" s="162" t="s">
        <v>856</v>
      </c>
      <c r="C130" s="161" t="s">
        <v>424</v>
      </c>
      <c r="D130" t="s">
        <v>576</v>
      </c>
      <c r="E130" t="s">
        <v>577</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778</v>
      </c>
      <c r="H130" s="1" t="s">
        <v>779</v>
      </c>
      <c r="I130" s="1" t="s">
        <v>780</v>
      </c>
    </row>
    <row r="131" spans="1:9" ht="105" hidden="1" x14ac:dyDescent="0.25">
      <c r="A131">
        <v>126</v>
      </c>
      <c r="B131" t="s">
        <v>471</v>
      </c>
      <c r="C131" s="161" t="s">
        <v>424</v>
      </c>
      <c r="D131" t="s">
        <v>576</v>
      </c>
      <c r="E131" t="s">
        <v>577</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778</v>
      </c>
      <c r="H131" s="1" t="s">
        <v>779</v>
      </c>
      <c r="I131" s="1" t="s">
        <v>780</v>
      </c>
    </row>
    <row r="132" spans="1:9" ht="105" hidden="1" x14ac:dyDescent="0.25">
      <c r="A132">
        <v>139</v>
      </c>
      <c r="B132" t="s">
        <v>472</v>
      </c>
      <c r="C132" s="161" t="s">
        <v>424</v>
      </c>
      <c r="D132" t="s">
        <v>576</v>
      </c>
      <c r="E132" t="s">
        <v>577</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778</v>
      </c>
      <c r="H132" s="1" t="s">
        <v>779</v>
      </c>
      <c r="I132" s="1" t="s">
        <v>780</v>
      </c>
    </row>
    <row r="133" spans="1:9" ht="75" hidden="1" x14ac:dyDescent="0.25">
      <c r="A133">
        <v>160</v>
      </c>
      <c r="B133" t="s">
        <v>473</v>
      </c>
      <c r="C133" s="161" t="s">
        <v>214</v>
      </c>
      <c r="D133" t="s">
        <v>656</v>
      </c>
      <c r="E133" t="s">
        <v>657</v>
      </c>
      <c r="F133" s="1" t="str">
        <f t="shared" si="2"/>
        <v>PURPOSE: Data field for Parameter in 5_1_Scenario_Manager
ACTION: Enter appropriate value for Parameter
NOTE: Please refer to BioDYM documentation for specific requirements.</v>
      </c>
      <c r="G133" s="1" t="s">
        <v>831</v>
      </c>
      <c r="H133" s="1" t="s">
        <v>641</v>
      </c>
      <c r="I133" s="1" t="s">
        <v>719</v>
      </c>
    </row>
    <row r="134" spans="1:9" ht="75" hidden="1" x14ac:dyDescent="0.25">
      <c r="A134">
        <v>166</v>
      </c>
      <c r="B134" t="s">
        <v>473</v>
      </c>
      <c r="C134" s="161" t="s">
        <v>425</v>
      </c>
      <c r="D134" t="s">
        <v>662</v>
      </c>
      <c r="E134" t="s">
        <v>663</v>
      </c>
      <c r="F134" s="1" t="str">
        <f t="shared" si="2"/>
        <v>PURPOSE: Data field for end_year in 5_1_Scenario_Manager
ACTION: Enter appropriate value for end_year
NOTE: Please refer to BioDYM documentation for specific requirements.</v>
      </c>
      <c r="G134" s="1" t="s">
        <v>837</v>
      </c>
      <c r="H134" s="1" t="s">
        <v>665</v>
      </c>
      <c r="I134" s="1" t="s">
        <v>719</v>
      </c>
    </row>
    <row r="135" spans="1:9" ht="75" hidden="1" x14ac:dyDescent="0.25">
      <c r="A135">
        <v>155</v>
      </c>
      <c r="B135" t="s">
        <v>474</v>
      </c>
      <c r="C135" s="141" t="s">
        <v>175</v>
      </c>
      <c r="D135" t="s">
        <v>648</v>
      </c>
      <c r="E135" t="s">
        <v>649</v>
      </c>
      <c r="F135" s="1" t="str">
        <f t="shared" si="2"/>
        <v>PURPOSE: Data field for Min in 4_1_Uncertainty_Parameters
ACTION: Enter appropriate value for Min
NOTE: Please refer to BioDYM documentation for specific requirements.</v>
      </c>
      <c r="G135" s="1" t="s">
        <v>827</v>
      </c>
      <c r="H135" s="1" t="s">
        <v>651</v>
      </c>
      <c r="I135" s="1" t="s">
        <v>719</v>
      </c>
    </row>
    <row r="136" spans="1:9" ht="75" hidden="1" x14ac:dyDescent="0.25">
      <c r="A136">
        <v>64</v>
      </c>
      <c r="B136" t="s">
        <v>470</v>
      </c>
      <c r="C136" s="141" t="s">
        <v>453</v>
      </c>
      <c r="D136" t="s">
        <v>584</v>
      </c>
      <c r="E136" t="s">
        <v>585</v>
      </c>
      <c r="F136" s="1" t="str">
        <f t="shared" si="2"/>
        <v>PURPOSE: Defines the {field_type} for calculations
ACTION: Enter numerical value in specified unit
NOTE: Required for system calculations. Must be positive value. Used in MFA calculations.</v>
      </c>
      <c r="G136" s="1" t="s">
        <v>787</v>
      </c>
      <c r="H136" s="1" t="s">
        <v>753</v>
      </c>
      <c r="I136" s="1" t="s">
        <v>754</v>
      </c>
    </row>
    <row r="137" spans="1:9" ht="75" hidden="1" x14ac:dyDescent="0.25">
      <c r="A137">
        <v>72</v>
      </c>
      <c r="B137" t="s">
        <v>854</v>
      </c>
      <c r="C137" s="141" t="s">
        <v>453</v>
      </c>
      <c r="D137" t="s">
        <v>584</v>
      </c>
      <c r="E137" t="s">
        <v>585</v>
      </c>
      <c r="F137" s="1" t="str">
        <f t="shared" si="2"/>
        <v>PURPOSE: Defines the {field_type} for calculations
ACTION: Enter numerical value in specified unit
NOTE: Required for system calculations. Must be positive value. Used in MFA calculations.</v>
      </c>
      <c r="G137" s="1" t="s">
        <v>787</v>
      </c>
      <c r="H137" s="1" t="s">
        <v>753</v>
      </c>
      <c r="I137" s="1" t="s">
        <v>754</v>
      </c>
    </row>
    <row r="138" spans="1:9" ht="75" hidden="1" x14ac:dyDescent="0.25">
      <c r="A138">
        <v>113</v>
      </c>
      <c r="B138" s="162" t="s">
        <v>856</v>
      </c>
      <c r="C138" s="141" t="s">
        <v>453</v>
      </c>
      <c r="D138" t="s">
        <v>584</v>
      </c>
      <c r="E138" t="s">
        <v>585</v>
      </c>
      <c r="F138" s="1" t="str">
        <f t="shared" si="2"/>
        <v>PURPOSE: Defines the Initial Stock Material Amount for calculations
ACTION: Enter numerical value in specified unit
NOTE: Required for system calculations. Must be positive value. Used in MFA calculations.</v>
      </c>
      <c r="G138" s="1" t="s">
        <v>802</v>
      </c>
      <c r="H138" s="1" t="s">
        <v>753</v>
      </c>
      <c r="I138" s="1" t="s">
        <v>754</v>
      </c>
    </row>
    <row r="139" spans="1:9" ht="75" hidden="1" x14ac:dyDescent="0.25">
      <c r="A139">
        <v>129</v>
      </c>
      <c r="B139" t="s">
        <v>471</v>
      </c>
      <c r="C139" s="160" t="s">
        <v>453</v>
      </c>
      <c r="D139" t="s">
        <v>584</v>
      </c>
      <c r="E139" t="s">
        <v>585</v>
      </c>
      <c r="F139" s="1" t="str">
        <f t="shared" si="2"/>
        <v>PURPOSE: Defines the {field_type} for calculations
ACTION: Enter numerical value in specified unit
NOTE: Required for system calculations. Must be positive value. Used in MFA calculations.</v>
      </c>
      <c r="G139" s="1" t="s">
        <v>787</v>
      </c>
      <c r="H139" s="1" t="s">
        <v>753</v>
      </c>
      <c r="I139" s="1" t="s">
        <v>754</v>
      </c>
    </row>
    <row r="140" spans="1:9" ht="75" hidden="1" x14ac:dyDescent="0.25">
      <c r="A140">
        <v>142</v>
      </c>
      <c r="B140" t="s">
        <v>472</v>
      </c>
      <c r="C140" s="161" t="s">
        <v>453</v>
      </c>
      <c r="D140" t="s">
        <v>584</v>
      </c>
      <c r="E140" t="s">
        <v>585</v>
      </c>
      <c r="F140" s="1" t="str">
        <f t="shared" si="2"/>
        <v>PURPOSE: Defines the {field_type} for calculations
ACTION: Enter numerical value in specified unit
NOTE: Required for system calculations. Must be positive value. Used in MFA calculations.</v>
      </c>
      <c r="G140" s="1" t="s">
        <v>787</v>
      </c>
      <c r="H140" s="1" t="s">
        <v>753</v>
      </c>
      <c r="I140" s="1" t="s">
        <v>754</v>
      </c>
    </row>
    <row r="141" spans="1:9" ht="90" hidden="1" x14ac:dyDescent="0.25">
      <c r="A141">
        <v>108</v>
      </c>
      <c r="B141" s="162" t="s">
        <v>856</v>
      </c>
      <c r="C141" s="161" t="s">
        <v>25</v>
      </c>
      <c r="D141" t="s">
        <v>530</v>
      </c>
      <c r="E141" t="s">
        <v>488</v>
      </c>
      <c r="F141" s="1" t="str">
        <f t="shared" si="2"/>
        <v>PURPOSE: Unique identifier for process
ACTION: Automatically assigned
NOTE: This field is generated automatically. No manual input required. Used for system identification and linking.</v>
      </c>
      <c r="G141" s="1" t="s">
        <v>773</v>
      </c>
      <c r="H141" s="1" t="s">
        <v>697</v>
      </c>
      <c r="I141" s="1" t="s">
        <v>698</v>
      </c>
    </row>
    <row r="142" spans="1:9" ht="75" hidden="1" x14ac:dyDescent="0.25">
      <c r="A142">
        <v>123</v>
      </c>
      <c r="B142" s="162" t="s">
        <v>856</v>
      </c>
      <c r="C142" s="161" t="s">
        <v>182</v>
      </c>
      <c r="D142" t="s">
        <v>530</v>
      </c>
      <c r="E142" t="s">
        <v>586</v>
      </c>
      <c r="F142" s="1" t="str">
        <f t="shared" si="2"/>
        <v>PURPOSE: Data field for Annual_Consumption_Rate in 2_5_Initial_Stock
ACTION: Enter appropriate value for Annual_Consumption_Rate
NOTE: Please refer to BioDYM documentation for specific requirements.</v>
      </c>
      <c r="G142" s="1" t="s">
        <v>811</v>
      </c>
      <c r="H142" s="1" t="s">
        <v>621</v>
      </c>
      <c r="I142" s="1" t="s">
        <v>719</v>
      </c>
    </row>
    <row r="143" spans="1:9" ht="75" hidden="1" x14ac:dyDescent="0.25">
      <c r="A143">
        <v>82</v>
      </c>
      <c r="B143" t="s">
        <v>854</v>
      </c>
      <c r="C143" s="161" t="s">
        <v>404</v>
      </c>
      <c r="D143" t="s">
        <v>530</v>
      </c>
      <c r="E143" t="s">
        <v>488</v>
      </c>
      <c r="F143" s="1" t="str">
        <f t="shared" si="2"/>
        <v>PURPOSE: Defines the Carbon Content Transfer Coefficient for calculations
ACTION: Enter numerical value in specified unit
NOTE: Required for system calculations. Must be positive value. Used in MFA calculations.</v>
      </c>
      <c r="G143" s="1" t="s">
        <v>794</v>
      </c>
      <c r="H143" s="1" t="s">
        <v>753</v>
      </c>
      <c r="I143" s="1" t="s">
        <v>754</v>
      </c>
    </row>
    <row r="144" spans="1:9" ht="75" hidden="1" x14ac:dyDescent="0.25">
      <c r="A144">
        <v>104</v>
      </c>
      <c r="B144" s="162" t="s">
        <v>855</v>
      </c>
      <c r="C144" s="161" t="s">
        <v>404</v>
      </c>
      <c r="D144" t="s">
        <v>530</v>
      </c>
      <c r="E144" t="s">
        <v>488</v>
      </c>
      <c r="F144" s="1" t="str">
        <f t="shared" si="2"/>
        <v>PURPOSE: Defines the Carbon Content Transfer Coefficient for calculations
ACTION: Enter numerical value in specified unit
NOTE: Required for system calculations. Must be positive value. Used in MFA calculations.</v>
      </c>
      <c r="G144" s="1" t="s">
        <v>794</v>
      </c>
      <c r="H144" s="1" t="s">
        <v>753</v>
      </c>
      <c r="I144" s="1" t="s">
        <v>754</v>
      </c>
    </row>
    <row r="145" spans="1:12" ht="90" hidden="1" x14ac:dyDescent="0.25">
      <c r="A145">
        <v>63</v>
      </c>
      <c r="B145" t="s">
        <v>470</v>
      </c>
      <c r="C145" s="161" t="s">
        <v>452</v>
      </c>
      <c r="D145" t="s">
        <v>582</v>
      </c>
      <c r="E145" t="s">
        <v>583</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784</v>
      </c>
      <c r="H145" s="1" t="s">
        <v>785</v>
      </c>
      <c r="I145" s="1" t="s">
        <v>786</v>
      </c>
    </row>
    <row r="146" spans="1:12" ht="75" hidden="1" x14ac:dyDescent="0.25">
      <c r="A146">
        <v>71</v>
      </c>
      <c r="B146" t="s">
        <v>854</v>
      </c>
      <c r="C146" s="161" t="s">
        <v>452</v>
      </c>
      <c r="D146" t="s">
        <v>582</v>
      </c>
      <c r="E146" t="s">
        <v>583</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784</v>
      </c>
      <c r="H146" s="1" t="s">
        <v>785</v>
      </c>
      <c r="I146" s="1" t="s">
        <v>786</v>
      </c>
    </row>
    <row r="147" spans="1:12" ht="75" hidden="1" x14ac:dyDescent="0.25">
      <c r="A147">
        <v>94</v>
      </c>
      <c r="B147" s="162" t="s">
        <v>855</v>
      </c>
      <c r="C147" s="141" t="s">
        <v>452</v>
      </c>
      <c r="D147" t="s">
        <v>582</v>
      </c>
      <c r="E147" t="s">
        <v>583</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778</v>
      </c>
      <c r="H147" s="1" t="s">
        <v>779</v>
      </c>
      <c r="I147" s="1" t="s">
        <v>780</v>
      </c>
    </row>
    <row r="148" spans="1:12" ht="90" hidden="1" x14ac:dyDescent="0.25">
      <c r="A148">
        <v>112</v>
      </c>
      <c r="B148" s="162" t="s">
        <v>856</v>
      </c>
      <c r="C148" s="141" t="s">
        <v>452</v>
      </c>
      <c r="D148" t="s">
        <v>582</v>
      </c>
      <c r="E148" t="s">
        <v>583</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784</v>
      </c>
      <c r="H148" s="1" t="s">
        <v>785</v>
      </c>
      <c r="I148" s="1" t="s">
        <v>786</v>
      </c>
    </row>
    <row r="149" spans="1:12" ht="75" hidden="1" x14ac:dyDescent="0.25">
      <c r="A149">
        <v>128</v>
      </c>
      <c r="B149" t="s">
        <v>471</v>
      </c>
      <c r="C149" s="141" t="s">
        <v>452</v>
      </c>
      <c r="D149" t="s">
        <v>582</v>
      </c>
      <c r="E149" t="s">
        <v>583</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784</v>
      </c>
      <c r="H149" s="1" t="s">
        <v>785</v>
      </c>
      <c r="I149" s="1" t="s">
        <v>786</v>
      </c>
    </row>
    <row r="150" spans="1:12" ht="75" hidden="1" x14ac:dyDescent="0.25">
      <c r="A150">
        <v>141</v>
      </c>
      <c r="B150" t="s">
        <v>472</v>
      </c>
      <c r="C150" s="141" t="s">
        <v>452</v>
      </c>
      <c r="D150" t="s">
        <v>582</v>
      </c>
      <c r="E150" t="s">
        <v>583</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784</v>
      </c>
      <c r="H150" s="1" t="s">
        <v>785</v>
      </c>
      <c r="I150" s="1" t="s">
        <v>786</v>
      </c>
    </row>
    <row r="151" spans="1:12" ht="90" hidden="1" x14ac:dyDescent="0.25">
      <c r="A151">
        <v>80</v>
      </c>
      <c r="B151" t="s">
        <v>854</v>
      </c>
      <c r="C151" s="141" t="s">
        <v>403</v>
      </c>
      <c r="D151" t="s">
        <v>530</v>
      </c>
      <c r="E151" t="s">
        <v>488</v>
      </c>
      <c r="F151" s="1" t="str">
        <f t="shared" si="2"/>
        <v>PURPOSE: Defines the Dry Matter Transfer Coefficient for calculations
ACTION: Enter numerical value in specified unit
NOTE: Required for system calculations. Must be positive value. Used in MFA calculations.</v>
      </c>
      <c r="G151" s="1" t="s">
        <v>793</v>
      </c>
      <c r="H151" s="1" t="s">
        <v>753</v>
      </c>
      <c r="I151" s="1" t="s">
        <v>754</v>
      </c>
    </row>
    <row r="152" spans="1:12" ht="75" hidden="1" x14ac:dyDescent="0.25">
      <c r="A152">
        <v>102</v>
      </c>
      <c r="B152" s="162" t="s">
        <v>855</v>
      </c>
      <c r="C152" s="141" t="s">
        <v>403</v>
      </c>
      <c r="D152" t="s">
        <v>530</v>
      </c>
      <c r="E152" t="s">
        <v>488</v>
      </c>
      <c r="F152" s="1" t="str">
        <f t="shared" si="2"/>
        <v>PURPOSE: Defines the Dry Matter Transfer Coefficient for calculations
ACTION: Enter numerical value in specified unit
NOTE: Required for system calculations. Must be positive value. Used in MFA calculations.</v>
      </c>
      <c r="G152" s="1" t="s">
        <v>793</v>
      </c>
      <c r="H152" s="1" t="s">
        <v>753</v>
      </c>
      <c r="I152" s="1" t="s">
        <v>754</v>
      </c>
    </row>
    <row r="153" spans="1:12" ht="75" hidden="1" x14ac:dyDescent="0.25">
      <c r="A153">
        <v>76</v>
      </c>
      <c r="B153" t="s">
        <v>854</v>
      </c>
      <c r="C153" s="141" t="s">
        <v>401</v>
      </c>
      <c r="D153" t="s">
        <v>589</v>
      </c>
      <c r="E153" t="s">
        <v>488</v>
      </c>
      <c r="F153" s="1" t="str">
        <f t="shared" si="2"/>
        <v>PURPOSE: Defines the Transfer Coefficient Value for calculations
ACTION: Enter numerical value in specified unit
NOTE: Required for system calculations. Must be positive value. Used in MFA calculations.</v>
      </c>
      <c r="G153" s="1" t="s">
        <v>790</v>
      </c>
      <c r="H153" s="1" t="s">
        <v>753</v>
      </c>
      <c r="I153" s="1" t="s">
        <v>754</v>
      </c>
    </row>
    <row r="154" spans="1:12" ht="75" hidden="1" x14ac:dyDescent="0.25">
      <c r="A154">
        <v>98</v>
      </c>
      <c r="B154" s="162" t="s">
        <v>855</v>
      </c>
      <c r="C154" s="141" t="s">
        <v>401</v>
      </c>
      <c r="D154" t="s">
        <v>589</v>
      </c>
      <c r="E154" t="s">
        <v>488</v>
      </c>
      <c r="F154" s="1" t="str">
        <f t="shared" si="2"/>
        <v>PURPOSE: Defines the Transfer Coefficient Value for calculations
ACTION: Enter numerical value in specified unit
NOTE: Required for system calculations. Must be positive value. Used in MFA calculations.</v>
      </c>
      <c r="G154" s="1" t="s">
        <v>790</v>
      </c>
      <c r="H154" s="1" t="s">
        <v>753</v>
      </c>
      <c r="I154" s="1" t="s">
        <v>754</v>
      </c>
    </row>
    <row r="155" spans="1:12" ht="75" hidden="1" x14ac:dyDescent="0.25">
      <c r="A155">
        <v>83</v>
      </c>
      <c r="B155" t="s">
        <v>854</v>
      </c>
      <c r="C155" s="141" t="s">
        <v>394</v>
      </c>
      <c r="D155" t="s">
        <v>596</v>
      </c>
      <c r="E155" t="s">
        <v>597</v>
      </c>
      <c r="F155" s="1" t="str">
        <f t="shared" si="2"/>
        <v>PURPOSE: Data field for Titel in 2_3_static_TCs
ACTION: Enter appropriate value for Titel
NOTE: Please refer to BioDYM documentation for specific requirements.</v>
      </c>
      <c r="G155" s="1" t="s">
        <v>795</v>
      </c>
      <c r="H155" s="1" t="s">
        <v>599</v>
      </c>
      <c r="I155" s="1" t="s">
        <v>719</v>
      </c>
    </row>
    <row r="156" spans="1:12" ht="75" hidden="1" x14ac:dyDescent="0.25">
      <c r="A156">
        <v>105</v>
      </c>
      <c r="B156" s="162" t="s">
        <v>855</v>
      </c>
      <c r="C156" s="141" t="s">
        <v>394</v>
      </c>
      <c r="D156" t="s">
        <v>596</v>
      </c>
      <c r="E156" t="s">
        <v>597</v>
      </c>
      <c r="F156" s="1" t="str">
        <f t="shared" si="2"/>
        <v>PURPOSE: Flag this row as 100% complete for reporting and filtering purposes
ACTION: Click to select
NOTE: This input is optional. Leave blank if the process is ongoing. Used for progress tracking.</v>
      </c>
      <c r="G156" s="1" t="s">
        <v>770</v>
      </c>
      <c r="H156" s="1" t="s">
        <v>771</v>
      </c>
      <c r="I156" s="1" t="s">
        <v>772</v>
      </c>
      <c r="L156" s="164" t="s">
        <v>24</v>
      </c>
    </row>
    <row r="157" spans="1:12" ht="75" hidden="1" x14ac:dyDescent="0.25">
      <c r="A157">
        <v>81</v>
      </c>
      <c r="B157" t="s">
        <v>854</v>
      </c>
      <c r="C157" s="141" t="s">
        <v>393</v>
      </c>
      <c r="D157" t="s">
        <v>594</v>
      </c>
      <c r="E157" t="s">
        <v>595</v>
      </c>
      <c r="F157" s="1" t="str">
        <f t="shared" si="2"/>
        <v>PURPOSE: Unique identifier for {context}
ACTION: Automatically assigned
NOTE: This field is generated automatically. No manual input required. Used for system identification and linking.</v>
      </c>
      <c r="G157" s="1" t="s">
        <v>791</v>
      </c>
      <c r="H157" s="1" t="s">
        <v>697</v>
      </c>
      <c r="I157" s="1" t="s">
        <v>698</v>
      </c>
      <c r="L157" s="141" t="s">
        <v>7</v>
      </c>
    </row>
    <row r="158" spans="1:12" ht="75" hidden="1" x14ac:dyDescent="0.25">
      <c r="A158">
        <v>103</v>
      </c>
      <c r="B158" s="162" t="s">
        <v>855</v>
      </c>
      <c r="C158" s="141" t="s">
        <v>393</v>
      </c>
      <c r="D158" t="s">
        <v>594</v>
      </c>
      <c r="E158" t="s">
        <v>595</v>
      </c>
      <c r="F158" s="1" t="str">
        <f t="shared" si="2"/>
        <v>PURPOSE: Unique identifier for {context}
ACTION: Automatically assigned
NOTE: This field is generated automatically. No manual input required. Used for system identification and linking.</v>
      </c>
      <c r="G158" s="1" t="s">
        <v>791</v>
      </c>
      <c r="H158" s="1" t="s">
        <v>697</v>
      </c>
      <c r="I158" s="1" t="s">
        <v>698</v>
      </c>
      <c r="L158" s="141" t="s">
        <v>23</v>
      </c>
    </row>
    <row r="159" spans="1:12" ht="75" hidden="1" x14ac:dyDescent="0.25">
      <c r="A159">
        <v>77</v>
      </c>
      <c r="B159" t="s">
        <v>854</v>
      </c>
      <c r="C159" s="141" t="s">
        <v>397</v>
      </c>
      <c r="D159" t="s">
        <v>590</v>
      </c>
      <c r="E159" t="s">
        <v>591</v>
      </c>
      <c r="F159" s="1" t="str">
        <f t="shared" si="2"/>
        <v>PURPOSE: Unique identifier for {context}
ACTION: Automatically assigned
NOTE: This field is generated automatically. No manual input required. Used for system identification and linking.</v>
      </c>
      <c r="G159" s="1" t="s">
        <v>791</v>
      </c>
      <c r="H159" s="1" t="s">
        <v>697</v>
      </c>
      <c r="I159" s="1" t="s">
        <v>698</v>
      </c>
      <c r="L159" s="141" t="s">
        <v>26</v>
      </c>
    </row>
    <row r="160" spans="1:12" ht="75" hidden="1" x14ac:dyDescent="0.25">
      <c r="A160">
        <v>99</v>
      </c>
      <c r="B160" s="162" t="s">
        <v>855</v>
      </c>
      <c r="C160" s="141" t="s">
        <v>397</v>
      </c>
      <c r="D160" t="s">
        <v>590</v>
      </c>
      <c r="E160" t="s">
        <v>591</v>
      </c>
      <c r="F160" s="1" t="str">
        <f t="shared" si="2"/>
        <v>PURPOSE: Unique identifier for {context}
ACTION: Automatically assigned
NOTE: This field is generated automatically. No manual input required. Used for system identification and linking.</v>
      </c>
      <c r="G160" s="1" t="s">
        <v>791</v>
      </c>
      <c r="H160" s="1" t="s">
        <v>697</v>
      </c>
      <c r="I160" s="1" t="s">
        <v>698</v>
      </c>
      <c r="L160" s="141" t="s">
        <v>360</v>
      </c>
    </row>
    <row r="161" spans="1:12" ht="90" hidden="1" x14ac:dyDescent="0.25">
      <c r="A161">
        <v>79</v>
      </c>
      <c r="B161" t="s">
        <v>854</v>
      </c>
      <c r="C161" s="141" t="s">
        <v>392</v>
      </c>
      <c r="D161" t="s">
        <v>592</v>
      </c>
      <c r="E161" t="s">
        <v>593</v>
      </c>
      <c r="F161" s="1" t="str">
        <f t="shared" si="2"/>
        <v>PURPOSE: Unique identifier for {context}
ACTION: Automatically assigned
NOTE: This field is generated automatically. No manual input required. Used for system identification and linking.</v>
      </c>
      <c r="G161" s="1" t="s">
        <v>791</v>
      </c>
      <c r="H161" s="1" t="s">
        <v>697</v>
      </c>
      <c r="I161" s="1" t="s">
        <v>698</v>
      </c>
      <c r="L161" s="141" t="s">
        <v>244</v>
      </c>
    </row>
    <row r="162" spans="1:12" ht="75" hidden="1" x14ac:dyDescent="0.25">
      <c r="A162">
        <v>101</v>
      </c>
      <c r="B162" s="162" t="s">
        <v>855</v>
      </c>
      <c r="C162" s="141" t="s">
        <v>392</v>
      </c>
      <c r="D162" t="s">
        <v>592</v>
      </c>
      <c r="E162" t="s">
        <v>593</v>
      </c>
      <c r="F162" s="1" t="str">
        <f t="shared" si="2"/>
        <v>PURPOSE: Unique identifier for {context}
ACTION: Automatically assigned
NOTE: This field is generated automatically. No manual input required. Used for system identification and linking.</v>
      </c>
      <c r="G162" s="1" t="s">
        <v>791</v>
      </c>
      <c r="H162" s="1" t="s">
        <v>697</v>
      </c>
      <c r="I162" s="1" t="s">
        <v>698</v>
      </c>
      <c r="L162" s="141" t="s">
        <v>245</v>
      </c>
    </row>
    <row r="163" spans="1:12" ht="75" hidden="1" x14ac:dyDescent="0.25">
      <c r="A163">
        <v>78</v>
      </c>
      <c r="B163" t="s">
        <v>854</v>
      </c>
      <c r="C163" s="141" t="s">
        <v>402</v>
      </c>
      <c r="D163" t="s">
        <v>530</v>
      </c>
      <c r="E163" t="s">
        <v>488</v>
      </c>
      <c r="F163" s="1" t="str">
        <f t="shared" si="2"/>
        <v>PURPOSE: Defines the Water Content Transfer Coefficient for calculations
ACTION: Enter numerical value in specified unit
NOTE: Required for system calculations. Must be positive value. Used in MFA calculations.</v>
      </c>
      <c r="G163" s="1" t="s">
        <v>792</v>
      </c>
      <c r="H163" s="1" t="s">
        <v>753</v>
      </c>
      <c r="I163" s="1" t="s">
        <v>754</v>
      </c>
      <c r="L163" s="141" t="s">
        <v>380</v>
      </c>
    </row>
    <row r="164" spans="1:12" ht="75" hidden="1" x14ac:dyDescent="0.25">
      <c r="A164">
        <v>100</v>
      </c>
      <c r="B164" s="162" t="s">
        <v>855</v>
      </c>
      <c r="C164" s="141" t="s">
        <v>402</v>
      </c>
      <c r="D164" t="s">
        <v>530</v>
      </c>
      <c r="E164" t="s">
        <v>488</v>
      </c>
      <c r="F164" s="1" t="str">
        <f t="shared" si="2"/>
        <v>PURPOSE: Defines the Water Content Transfer Coefficient for calculations
ACTION: Enter numerical value in specified unit
NOTE: Required for system calculations. Must be positive value. Used in MFA calculations.</v>
      </c>
      <c r="G164" s="1" t="s">
        <v>792</v>
      </c>
      <c r="H164" s="1" t="s">
        <v>753</v>
      </c>
      <c r="I164" s="1" t="s">
        <v>754</v>
      </c>
      <c r="L164" s="141" t="s">
        <v>381</v>
      </c>
    </row>
    <row r="165" spans="1:12" ht="75" hidden="1" x14ac:dyDescent="0.25">
      <c r="A165">
        <v>84</v>
      </c>
      <c r="B165" t="s">
        <v>854</v>
      </c>
      <c r="C165" s="141" t="s">
        <v>10</v>
      </c>
      <c r="D165" t="s">
        <v>598</v>
      </c>
      <c r="E165" t="s">
        <v>599</v>
      </c>
      <c r="F165" s="1" t="str">
        <f t="shared" si="2"/>
        <v>PURPOSE: Data field for Year_publication in 2_3_static_TCs
ACTION: Enter appropriate value for Year_publication
NOTE: Please refer to BioDYM documentation for specific requirements.</v>
      </c>
      <c r="G165" s="1" t="s">
        <v>796</v>
      </c>
      <c r="H165" s="1" t="s">
        <v>601</v>
      </c>
      <c r="I165" s="1" t="s">
        <v>719</v>
      </c>
      <c r="L165" s="141" t="s">
        <v>382</v>
      </c>
    </row>
    <row r="166" spans="1:12" ht="75" hidden="1" x14ac:dyDescent="0.25">
      <c r="A166">
        <v>34</v>
      </c>
      <c r="B166" t="s">
        <v>469</v>
      </c>
      <c r="C166" s="141" t="s">
        <v>14</v>
      </c>
      <c r="D166" t="s">
        <v>528</v>
      </c>
      <c r="E166" t="s">
        <v>529</v>
      </c>
      <c r="F166" s="1" t="str">
        <f t="shared" si="2"/>
        <v>PURPOSE: Defines the {field_type} for temporal data organization
ACTION: Enter year (e.g., 2020, 2021, 2022)
NOTE: Must be consistent with analysis time period. Used for time-series data organization.</v>
      </c>
      <c r="G166" s="1" t="s">
        <v>740</v>
      </c>
      <c r="H166" s="1" t="s">
        <v>733</v>
      </c>
      <c r="I166" s="1" t="s">
        <v>734</v>
      </c>
      <c r="L166" s="141" t="s">
        <v>385</v>
      </c>
    </row>
    <row r="167" spans="1:12" ht="75" hidden="1" x14ac:dyDescent="0.25">
      <c r="A167">
        <v>87</v>
      </c>
      <c r="B167" t="s">
        <v>854</v>
      </c>
      <c r="C167" s="141" t="s">
        <v>460</v>
      </c>
      <c r="D167" t="s">
        <v>604</v>
      </c>
      <c r="E167" t="s">
        <v>605</v>
      </c>
      <c r="F167" s="1" t="str">
        <f t="shared" si="2"/>
        <v>PURPOSE: Data field for URL in 2_3_static_TCs
ACTION: Enter appropriate value for URL
NOTE: Please refer to BioDYM documentation for specific requirements.</v>
      </c>
      <c r="G167" s="1" t="s">
        <v>799</v>
      </c>
      <c r="H167" s="1" t="s">
        <v>537</v>
      </c>
      <c r="I167" s="1" t="s">
        <v>719</v>
      </c>
      <c r="L167" s="141" t="s">
        <v>383</v>
      </c>
    </row>
    <row r="168" spans="1:12" ht="75" hidden="1" x14ac:dyDescent="0.25">
      <c r="A168">
        <v>37</v>
      </c>
      <c r="B168" t="s">
        <v>469</v>
      </c>
      <c r="C168" s="141" t="s">
        <v>17</v>
      </c>
      <c r="D168" t="s">
        <v>534</v>
      </c>
      <c r="E168" t="s">
        <v>535</v>
      </c>
      <c r="F168" s="1" t="str">
        <f t="shared" si="2"/>
        <v>PURPOSE: Data field for URL in 1_2_Data_Flows
ACTION: Enter appropriate value for URL
NOTE: Please refer to BioDYM documentation for specific requirements.</v>
      </c>
      <c r="G168" s="1" t="s">
        <v>747</v>
      </c>
      <c r="H168" s="1" t="s">
        <v>537</v>
      </c>
      <c r="I168" s="1" t="s">
        <v>719</v>
      </c>
      <c r="L168" s="141" t="s">
        <v>386</v>
      </c>
    </row>
    <row r="169" spans="1:12" ht="75" hidden="1" x14ac:dyDescent="0.25">
      <c r="A169">
        <v>115</v>
      </c>
      <c r="B169" s="162" t="s">
        <v>856</v>
      </c>
      <c r="C169" s="141" t="s">
        <v>1</v>
      </c>
      <c r="D169" t="s">
        <v>610</v>
      </c>
      <c r="E169" t="s">
        <v>611</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756</v>
      </c>
      <c r="H169" s="1" t="s">
        <v>727</v>
      </c>
      <c r="I169" s="1" t="s">
        <v>804</v>
      </c>
      <c r="L169" s="141" t="s">
        <v>384</v>
      </c>
    </row>
    <row r="170" spans="1:12" ht="75" hidden="1" x14ac:dyDescent="0.25">
      <c r="A170">
        <v>56</v>
      </c>
      <c r="B170" t="s">
        <v>469</v>
      </c>
      <c r="C170" s="141" t="s">
        <v>36</v>
      </c>
      <c r="D170" t="s">
        <v>571</v>
      </c>
      <c r="E170" t="s">
        <v>572</v>
      </c>
      <c r="F170" s="1" t="str">
        <f t="shared" si="2"/>
        <v>PURPOSE: Flag this row as 100% complete for reporting and filtering purposes
ACTION: Click to select
NOTE: This input is optional. Leave blank if the process is ongoing. Used for progress tracking.</v>
      </c>
      <c r="G170" s="1" t="s">
        <v>770</v>
      </c>
      <c r="H170" s="1" t="s">
        <v>771</v>
      </c>
      <c r="I170" s="1" t="s">
        <v>772</v>
      </c>
      <c r="L170" s="141" t="s">
        <v>387</v>
      </c>
    </row>
    <row r="171" spans="1:12" ht="75" hidden="1" x14ac:dyDescent="0.25">
      <c r="A171">
        <v>52</v>
      </c>
      <c r="B171" t="s">
        <v>469</v>
      </c>
      <c r="C171" s="141" t="s">
        <v>37</v>
      </c>
      <c r="D171" t="s">
        <v>564</v>
      </c>
      <c r="E171" t="s">
        <v>565</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726</v>
      </c>
      <c r="H171" s="1" t="s">
        <v>727</v>
      </c>
      <c r="I171" s="1" t="s">
        <v>766</v>
      </c>
      <c r="L171" s="141" t="s">
        <v>4</v>
      </c>
    </row>
    <row r="172" spans="1:12" ht="90" hidden="1" x14ac:dyDescent="0.25">
      <c r="A172">
        <v>44</v>
      </c>
      <c r="B172" t="s">
        <v>469</v>
      </c>
      <c r="C172" s="164" t="s">
        <v>22</v>
      </c>
      <c r="D172" t="s">
        <v>548</v>
      </c>
      <c r="E172" t="s">
        <v>549</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756</v>
      </c>
      <c r="H172" s="1" t="s">
        <v>727</v>
      </c>
      <c r="I172" s="1" t="s">
        <v>757</v>
      </c>
    </row>
    <row r="173" spans="1:12" ht="90" hidden="1" x14ac:dyDescent="0.25">
      <c r="A173">
        <v>31</v>
      </c>
      <c r="B173" t="s">
        <v>469</v>
      </c>
      <c r="C173" s="141" t="s">
        <v>21</v>
      </c>
      <c r="D173" t="s">
        <v>522</v>
      </c>
      <c r="E173" t="s">
        <v>523</v>
      </c>
      <c r="F173" s="1" t="str">
        <f t="shared" si="2"/>
        <v>PURPOSE: Data field for Name_Source in 1_2_Data_Flows
ACTION: Enter appropriate value for Name_Source
NOTE: Please refer to BioDYM documentation for specific requirements.</v>
      </c>
      <c r="G173" s="1" t="s">
        <v>737</v>
      </c>
      <c r="H173" s="1" t="s">
        <v>525</v>
      </c>
      <c r="I173" s="1" t="s">
        <v>719</v>
      </c>
    </row>
    <row r="174" spans="1:12" ht="75" hidden="1" x14ac:dyDescent="0.25">
      <c r="A174">
        <v>48</v>
      </c>
      <c r="B174" t="s">
        <v>469</v>
      </c>
      <c r="C174" s="141" t="s">
        <v>38</v>
      </c>
      <c r="D174" t="s">
        <v>556</v>
      </c>
      <c r="E174" t="s">
        <v>557</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761</v>
      </c>
      <c r="H174" s="1" t="s">
        <v>727</v>
      </c>
      <c r="I174" s="1" t="s">
        <v>762</v>
      </c>
    </row>
    <row r="175" spans="1:12" ht="75" hidden="1" x14ac:dyDescent="0.25">
      <c r="A175">
        <v>38</v>
      </c>
      <c r="B175" t="s">
        <v>469</v>
      </c>
      <c r="C175" s="141" t="s">
        <v>3</v>
      </c>
      <c r="D175" t="s">
        <v>536</v>
      </c>
      <c r="E175" t="s">
        <v>537</v>
      </c>
      <c r="F175" s="1" t="str">
        <f t="shared" si="2"/>
        <v>PURPOSE: Data field for CF_required? in 1_2_Data_Flows
ACTION: Enter appropriate value for CF_required?
NOTE: Please refer to BioDYM documentation for specific requirements.</v>
      </c>
      <c r="G175" s="1" t="s">
        <v>748</v>
      </c>
      <c r="H175" s="1" t="s">
        <v>539</v>
      </c>
      <c r="I175" s="1" t="s">
        <v>719</v>
      </c>
    </row>
    <row r="176" spans="1:12" ht="75" hidden="1" x14ac:dyDescent="0.25">
      <c r="A176">
        <v>88</v>
      </c>
      <c r="B176" t="s">
        <v>854</v>
      </c>
      <c r="C176" s="141" t="s">
        <v>3</v>
      </c>
      <c r="D176" t="s">
        <v>536</v>
      </c>
      <c r="E176" t="s">
        <v>537</v>
      </c>
      <c r="F176" s="1" t="str">
        <f t="shared" si="2"/>
        <v>PURPOSE: Flag this row as 100% complete for reporting and filtering purposes
ACTION: Click to select
NOTE: This input is optional. Leave blank if the process is ongoing. Used for progress tracking.</v>
      </c>
      <c r="G176" s="1" t="s">
        <v>770</v>
      </c>
      <c r="H176" s="1" t="s">
        <v>771</v>
      </c>
      <c r="I176" s="1" t="s">
        <v>772</v>
      </c>
    </row>
    <row r="177" spans="1:11" ht="75" hidden="1" x14ac:dyDescent="0.25">
      <c r="A177">
        <v>148</v>
      </c>
      <c r="B177" t="s">
        <v>472</v>
      </c>
      <c r="C177" s="141" t="s">
        <v>165</v>
      </c>
      <c r="D177" t="s">
        <v>638</v>
      </c>
      <c r="E177" t="s">
        <v>639</v>
      </c>
      <c r="F177" s="1" t="str">
        <f t="shared" si="2"/>
        <v>PURPOSE: Unique identifier for data row
ACTION: Automatically assigned
NOTE: This field is generated automatically. No manual input required. Used for system identification and linking.</v>
      </c>
      <c r="G177" s="1" t="s">
        <v>696</v>
      </c>
      <c r="H177" s="1" t="s">
        <v>697</v>
      </c>
      <c r="I177" s="1" t="s">
        <v>698</v>
      </c>
    </row>
    <row r="178" spans="1:11" ht="75" x14ac:dyDescent="0.25">
      <c r="A178">
        <v>21</v>
      </c>
      <c r="B178" t="s">
        <v>461</v>
      </c>
      <c r="C178" s="141" t="s">
        <v>89</v>
      </c>
      <c r="D178" t="s">
        <v>514</v>
      </c>
      <c r="E178" t="s">
        <v>515</v>
      </c>
      <c r="F178" s="1" t="str">
        <f t="shared" si="2"/>
        <v>PURPOSE: Data field for CC_FM_source in 1_1_Definition_Flows
ACTION: Enter appropriate value for CC_FM_source
NOTE: Please refer to BioDYM documentation for specific requirements.</v>
      </c>
      <c r="G178" s="1" t="s">
        <v>731</v>
      </c>
      <c r="H178" s="1" t="s">
        <v>517</v>
      </c>
      <c r="I178" s="1" t="s">
        <v>719</v>
      </c>
    </row>
    <row r="179" spans="1:11" ht="90" hidden="1" x14ac:dyDescent="0.25">
      <c r="A179">
        <v>26</v>
      </c>
      <c r="B179" t="s">
        <v>469</v>
      </c>
      <c r="C179" s="141" t="s">
        <v>27</v>
      </c>
      <c r="D179" t="s">
        <v>492</v>
      </c>
      <c r="E179" t="s">
        <v>493</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712</v>
      </c>
      <c r="H179" s="1" t="s">
        <v>713</v>
      </c>
      <c r="I179" s="1" t="s">
        <v>714</v>
      </c>
    </row>
    <row r="180" spans="1:11" ht="75" hidden="1" x14ac:dyDescent="0.25">
      <c r="A180">
        <v>45</v>
      </c>
      <c r="B180" t="s">
        <v>469</v>
      </c>
      <c r="C180" s="141" t="s">
        <v>30</v>
      </c>
      <c r="D180" t="s">
        <v>550</v>
      </c>
      <c r="E180" t="s">
        <v>551</v>
      </c>
      <c r="F180" s="1" t="str">
        <f t="shared" si="2"/>
        <v>PURPOSE: Data field for Flow_WC_year_ID in 1_2_Data_Flows
ACTION: Enter appropriate value for Flow_WC_year_ID
NOTE: Please refer to BioDYM documentation for specific requirements.</v>
      </c>
      <c r="G180" s="1" t="s">
        <v>758</v>
      </c>
      <c r="H180" s="1" t="s">
        <v>553</v>
      </c>
      <c r="I180" s="1" t="s">
        <v>719</v>
      </c>
    </row>
    <row r="181" spans="1:11" ht="75" hidden="1" x14ac:dyDescent="0.25">
      <c r="A181">
        <v>47</v>
      </c>
      <c r="B181" t="s">
        <v>469</v>
      </c>
      <c r="C181" s="141" t="s">
        <v>35</v>
      </c>
      <c r="D181" t="s">
        <v>554</v>
      </c>
      <c r="E181" t="s">
        <v>555</v>
      </c>
      <c r="F181" s="1" t="str">
        <f t="shared" si="2"/>
        <v>PURPOSE: Data field for UoM_WC_Flow_Py in 1_2_Data_Flows
ACTION: Enter appropriate value for UoM_WC_Flow_Py
NOTE: Please refer to BioDYM documentation for specific requirements.</v>
      </c>
      <c r="G181" s="1" t="s">
        <v>760</v>
      </c>
      <c r="H181" s="1" t="s">
        <v>557</v>
      </c>
      <c r="I181" s="1" t="s">
        <v>719</v>
      </c>
    </row>
    <row r="182" spans="1:11" ht="90" x14ac:dyDescent="0.25">
      <c r="A182">
        <v>22</v>
      </c>
      <c r="B182" t="s">
        <v>461</v>
      </c>
      <c r="C182" s="141" t="s">
        <v>49</v>
      </c>
      <c r="D182" t="s">
        <v>516</v>
      </c>
      <c r="E182" t="s">
        <v>517</v>
      </c>
      <c r="F182" s="1" t="str">
        <f t="shared" si="2"/>
        <v>PURPOSE: Unique identifier for data row
ACTION: Automatically assigned
NOTE: This field is generated automatically. No manual input required. Used for system identification and linking.</v>
      </c>
      <c r="G182" s="1" t="s">
        <v>696</v>
      </c>
      <c r="H182" s="1" t="s">
        <v>697</v>
      </c>
      <c r="I182" s="1" t="s">
        <v>698</v>
      </c>
    </row>
    <row r="183" spans="1:11" ht="90" hidden="1" x14ac:dyDescent="0.25">
      <c r="A183">
        <v>178</v>
      </c>
      <c r="B183" t="s">
        <v>480</v>
      </c>
      <c r="C183" s="141" t="s">
        <v>384</v>
      </c>
      <c r="D183" t="s">
        <v>487</v>
      </c>
      <c r="E183" t="s">
        <v>488</v>
      </c>
      <c r="F183" s="1" t="str">
        <f t="shared" si="2"/>
        <v>PURPOSE: Unique identifier for material flow
ACTION: Automatically assigned
NOTE: This field is generated automatically. No manual input required. Used for system identification and linking.</v>
      </c>
      <c r="G183" s="1" t="s">
        <v>699</v>
      </c>
      <c r="H183" s="1" t="s">
        <v>697</v>
      </c>
      <c r="I183" s="1" t="s">
        <v>698</v>
      </c>
    </row>
    <row r="184" spans="1:11" ht="75" hidden="1" x14ac:dyDescent="0.25">
      <c r="A184">
        <v>178</v>
      </c>
      <c r="B184" t="s">
        <v>480</v>
      </c>
      <c r="C184" s="141" t="s">
        <v>383</v>
      </c>
      <c r="D184" t="s">
        <v>489</v>
      </c>
      <c r="E184" t="s">
        <v>488</v>
      </c>
      <c r="F184" s="1" t="str">
        <f t="shared" si="2"/>
        <v>PURPOSE: Data field for Name(EN) in 6_2_Visualization_Flows
ACTION: Enter appropriate value for Name(EN)
NOTE: Please refer to BioDYM documentation for specific requirements.</v>
      </c>
      <c r="G184" s="1" t="s">
        <v>851</v>
      </c>
      <c r="H184" s="1" t="s">
        <v>669</v>
      </c>
      <c r="I184" s="1" t="s">
        <v>719</v>
      </c>
    </row>
    <row r="185" spans="1:11" ht="75" hidden="1" x14ac:dyDescent="0.25">
      <c r="A185">
        <v>176</v>
      </c>
      <c r="B185" t="s">
        <v>480</v>
      </c>
      <c r="C185" s="141" t="s">
        <v>380</v>
      </c>
      <c r="D185" t="s">
        <v>676</v>
      </c>
      <c r="E185" t="s">
        <v>677</v>
      </c>
      <c r="F185" s="1" t="str">
        <f t="shared" si="2"/>
        <v>PURPOSE: Data field for Y_Position_Material in 6_1_Visualization_Processes
ACTION: Enter appropriate value for Y_Position_Material
NOTE: Please refer to BioDYM documentation for specific requirements.</v>
      </c>
      <c r="G185" s="1" t="s">
        <v>844</v>
      </c>
      <c r="H185" s="1" t="s">
        <v>679</v>
      </c>
      <c r="I185" s="1" t="s">
        <v>719</v>
      </c>
    </row>
    <row r="186" spans="1:11" ht="105" hidden="1" x14ac:dyDescent="0.25">
      <c r="A186">
        <v>178</v>
      </c>
      <c r="B186" t="s">
        <v>480</v>
      </c>
      <c r="C186" s="141" t="s">
        <v>382</v>
      </c>
      <c r="D186" t="s">
        <v>668</v>
      </c>
      <c r="E186" t="s">
        <v>669</v>
      </c>
      <c r="F186" s="1" t="str">
        <f t="shared" si="2"/>
        <v>PURPOSE: Data field for Flow_Color in 6_2_Visualization_Flows
ACTION: Enter appropriate value for Flow_Color
NOTE: Please refer to BioDYM documentation for specific requirements.</v>
      </c>
      <c r="G186" s="1" t="s">
        <v>852</v>
      </c>
      <c r="H186" s="1" t="s">
        <v>693</v>
      </c>
      <c r="I186" s="1" t="s">
        <v>719</v>
      </c>
      <c r="K186" s="141"/>
    </row>
    <row r="187" spans="1:11" ht="90" hidden="1" x14ac:dyDescent="0.25">
      <c r="A187">
        <v>178</v>
      </c>
      <c r="B187" t="s">
        <v>480</v>
      </c>
      <c r="C187" s="141" t="s">
        <v>387</v>
      </c>
      <c r="D187" t="s">
        <v>692</v>
      </c>
      <c r="E187" t="s">
        <v>693</v>
      </c>
      <c r="F187" s="1" t="str">
        <f t="shared" si="2"/>
        <v>PURPOSE: Data field for Flow_Color_# in 6_2_Visualization_Flows
ACTION: Enter appropriate value for Flow_Color_#
NOTE: Please refer to BioDYM documentation for specific requirements.</v>
      </c>
      <c r="G187" s="1" t="s">
        <v>853</v>
      </c>
      <c r="H187" s="1" t="s">
        <v>695</v>
      </c>
      <c r="I187" s="1" t="s">
        <v>719</v>
      </c>
      <c r="K187" s="141"/>
    </row>
    <row r="188" spans="1:11" ht="90" hidden="1" x14ac:dyDescent="0.25">
      <c r="A188">
        <v>178</v>
      </c>
      <c r="B188" t="s">
        <v>480</v>
      </c>
      <c r="C188" s="141" t="s">
        <v>386</v>
      </c>
      <c r="D188" t="s">
        <v>694</v>
      </c>
      <c r="E188" t="s">
        <v>695</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776</v>
      </c>
      <c r="H188" s="1" t="s">
        <v>777</v>
      </c>
      <c r="I188" s="1" t="s">
        <v>702</v>
      </c>
      <c r="K188" s="141"/>
    </row>
    <row r="189" spans="1:11" ht="75" hidden="1" x14ac:dyDescent="0.25">
      <c r="A189">
        <v>177</v>
      </c>
      <c r="B189" t="s">
        <v>480</v>
      </c>
      <c r="C189" s="141" t="s">
        <v>381</v>
      </c>
      <c r="D189" t="s">
        <v>678</v>
      </c>
      <c r="E189" t="s">
        <v>679</v>
      </c>
      <c r="F189" s="1" t="str">
        <f t="shared" si="2"/>
        <v>PURPOSE: Data field for X_Position_WC in 6_1_Visualization_Processes
ACTION: Enter appropriate value for X_Position_WC
NOTE: Please refer to BioDYM documentation for specific requirements.</v>
      </c>
      <c r="G189" s="1" t="s">
        <v>845</v>
      </c>
      <c r="H189" s="1" t="s">
        <v>681</v>
      </c>
      <c r="I189" s="1" t="s">
        <v>719</v>
      </c>
      <c r="K189" s="141"/>
    </row>
    <row r="190" spans="1:11" ht="75" hidden="1" x14ac:dyDescent="0.25">
      <c r="A190">
        <v>178</v>
      </c>
      <c r="B190" t="s">
        <v>480</v>
      </c>
      <c r="C190" s="141" t="s">
        <v>385</v>
      </c>
      <c r="D190" t="s">
        <v>578</v>
      </c>
      <c r="E190" t="s">
        <v>579</v>
      </c>
      <c r="F190" s="1" t="str">
        <f t="shared" si="2"/>
        <v xml:space="preserve">PURPOSE: 
ACTION: 
NOTE: </v>
      </c>
      <c r="K190" s="141"/>
    </row>
    <row r="191" spans="1:11" ht="75" hidden="1" x14ac:dyDescent="0.25">
      <c r="A191">
        <v>97</v>
      </c>
      <c r="B191" s="162" t="s">
        <v>855</v>
      </c>
      <c r="C191" s="141" t="s">
        <v>0</v>
      </c>
      <c r="D191" t="s">
        <v>606</v>
      </c>
      <c r="E191" t="s">
        <v>607</v>
      </c>
      <c r="F191" s="1" t="str">
        <f t="shared" si="2"/>
        <v>PURPOSE: Unique identifier for transfer coefficient material
ACTION: Automatically assigned
NOTE: This field is generated automatically. No manual input required. Used for system identification and linking.</v>
      </c>
      <c r="G191" s="1" t="s">
        <v>789</v>
      </c>
      <c r="H191" s="1" t="s">
        <v>697</v>
      </c>
      <c r="I191" s="1" t="s">
        <v>698</v>
      </c>
      <c r="K191" s="141"/>
    </row>
    <row r="192" spans="1:11" ht="105" hidden="1" x14ac:dyDescent="0.25">
      <c r="A192">
        <v>85</v>
      </c>
      <c r="B192" t="s">
        <v>854</v>
      </c>
      <c r="C192" s="141" t="s">
        <v>459</v>
      </c>
      <c r="D192" t="s">
        <v>600</v>
      </c>
      <c r="E192" t="s">
        <v>601</v>
      </c>
      <c r="F192" s="1" t="str">
        <f t="shared" si="2"/>
        <v>PURPOSE: Data field for Author in 2_3_static_TCs
ACTION: Enter appropriate value for Author
NOTE: Please refer to BioDYM documentation for specific requirements.</v>
      </c>
      <c r="G192" s="1" t="s">
        <v>797</v>
      </c>
      <c r="H192" s="1" t="s">
        <v>603</v>
      </c>
      <c r="I192" s="1" t="s">
        <v>719</v>
      </c>
    </row>
    <row r="193" spans="1:9" ht="75" hidden="1" x14ac:dyDescent="0.25">
      <c r="A193">
        <v>35</v>
      </c>
      <c r="B193" t="s">
        <v>469</v>
      </c>
      <c r="C193" s="141" t="s">
        <v>15</v>
      </c>
      <c r="D193" t="s">
        <v>530</v>
      </c>
      <c r="E193" t="s">
        <v>531</v>
      </c>
      <c r="F193" s="1" t="str">
        <f t="shared" si="2"/>
        <v>PURPOSE: Defines the Data Source Author for data traceability
ACTION: Enter author or organization information
NOTE: Required for data quality assessment and traceability. Include author, publication, or data source.</v>
      </c>
      <c r="G193" s="1" t="s">
        <v>741</v>
      </c>
      <c r="H193" s="1" t="s">
        <v>742</v>
      </c>
      <c r="I193" s="1" t="s">
        <v>743</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155" zoomScaleNormal="100" workbookViewId="0">
      <selection activeCell="C173" sqref="C173"/>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3" t="s">
        <v>867</v>
      </c>
      <c r="B1" s="223"/>
      <c r="C1" s="223"/>
    </row>
    <row r="2" spans="1:3" x14ac:dyDescent="0.25">
      <c r="A2" s="11" t="s">
        <v>7</v>
      </c>
      <c r="B2" s="11" t="s">
        <v>866</v>
      </c>
      <c r="C2" s="11" t="s">
        <v>4</v>
      </c>
    </row>
    <row r="3" spans="1:3" x14ac:dyDescent="0.25">
      <c r="A3">
        <v>1</v>
      </c>
      <c r="B3" t="s">
        <v>5</v>
      </c>
    </row>
    <row r="4" spans="1:3" x14ac:dyDescent="0.25">
      <c r="A4">
        <v>2</v>
      </c>
      <c r="B4" t="s">
        <v>6</v>
      </c>
    </row>
    <row r="5" spans="1:3" x14ac:dyDescent="0.25">
      <c r="A5" t="s">
        <v>857</v>
      </c>
      <c r="C5">
        <f>SUBTOTAL(103,CL_YesNo[Description])</f>
        <v>0</v>
      </c>
    </row>
    <row r="8" spans="1:3" x14ac:dyDescent="0.25">
      <c r="A8" s="11" t="s">
        <v>7</v>
      </c>
      <c r="B8" s="11" t="s">
        <v>1030</v>
      </c>
      <c r="C8" s="11" t="s">
        <v>4</v>
      </c>
    </row>
    <row r="9" spans="1:3" x14ac:dyDescent="0.25">
      <c r="A9">
        <v>1</v>
      </c>
      <c r="B9" t="s">
        <v>1031</v>
      </c>
      <c r="C9" s="1"/>
    </row>
    <row r="10" spans="1:3" x14ac:dyDescent="0.25">
      <c r="A10">
        <v>2</v>
      </c>
      <c r="B10" t="s">
        <v>1032</v>
      </c>
      <c r="C10" s="1"/>
    </row>
    <row r="11" spans="1:3" x14ac:dyDescent="0.25">
      <c r="A11">
        <v>3</v>
      </c>
      <c r="B11" t="s">
        <v>1033</v>
      </c>
    </row>
    <row r="12" spans="1:3" x14ac:dyDescent="0.25">
      <c r="A12">
        <v>4</v>
      </c>
      <c r="B12" t="s">
        <v>163</v>
      </c>
    </row>
    <row r="13" spans="1:3" x14ac:dyDescent="0.25">
      <c r="A13">
        <v>5</v>
      </c>
      <c r="B13" t="s">
        <v>1034</v>
      </c>
    </row>
    <row r="14" spans="1:3" x14ac:dyDescent="0.25">
      <c r="A14">
        <v>6</v>
      </c>
    </row>
    <row r="15" spans="1:3" x14ac:dyDescent="0.25">
      <c r="A15">
        <v>7</v>
      </c>
    </row>
    <row r="16" spans="1:3" x14ac:dyDescent="0.25">
      <c r="A16" t="s">
        <v>857</v>
      </c>
      <c r="C16">
        <f>SUBTOTAL(103,CL_Process_Logic3[Description])</f>
        <v>0</v>
      </c>
    </row>
    <row r="24" spans="1:3" x14ac:dyDescent="0.25">
      <c r="A24" s="229" t="s">
        <v>861</v>
      </c>
      <c r="B24" s="229"/>
      <c r="C24" s="229"/>
    </row>
    <row r="26" spans="1:3" x14ac:dyDescent="0.25">
      <c r="A26" s="227" t="s">
        <v>858</v>
      </c>
      <c r="B26" s="227"/>
      <c r="C26" s="227"/>
    </row>
    <row r="27" spans="1:3" x14ac:dyDescent="0.25">
      <c r="A27" s="11" t="s">
        <v>7</v>
      </c>
      <c r="B27" s="11" t="s">
        <v>389</v>
      </c>
      <c r="C27" s="11" t="s">
        <v>4</v>
      </c>
    </row>
    <row r="28" spans="1:3" ht="60" x14ac:dyDescent="0.25">
      <c r="A28">
        <v>1</v>
      </c>
      <c r="B28" t="s">
        <v>390</v>
      </c>
      <c r="C28" s="1" t="s">
        <v>395</v>
      </c>
    </row>
    <row r="29" spans="1:3" ht="90" x14ac:dyDescent="0.25">
      <c r="A29">
        <v>2</v>
      </c>
      <c r="B29" t="s">
        <v>391</v>
      </c>
      <c r="C29" s="1" t="s">
        <v>396</v>
      </c>
    </row>
    <row r="30" spans="1:3" x14ac:dyDescent="0.25">
      <c r="A30">
        <v>3</v>
      </c>
      <c r="B30" t="s">
        <v>450</v>
      </c>
    </row>
    <row r="31" spans="1:3" x14ac:dyDescent="0.25">
      <c r="A31">
        <v>4</v>
      </c>
      <c r="B31" t="s">
        <v>451</v>
      </c>
    </row>
    <row r="32" spans="1:3" x14ac:dyDescent="0.25">
      <c r="A32">
        <v>5</v>
      </c>
      <c r="B32" t="s">
        <v>241</v>
      </c>
    </row>
    <row r="33" spans="1:3" x14ac:dyDescent="0.25">
      <c r="A33">
        <v>6</v>
      </c>
      <c r="B33" t="s">
        <v>113</v>
      </c>
    </row>
    <row r="34" spans="1:3" x14ac:dyDescent="0.25">
      <c r="A34">
        <v>7</v>
      </c>
      <c r="B34" t="s">
        <v>112</v>
      </c>
    </row>
    <row r="35" spans="1:3" x14ac:dyDescent="0.25">
      <c r="A35" t="s">
        <v>857</v>
      </c>
      <c r="C35">
        <f>SUBTOTAL(103,CL_Process_Logic[Description])</f>
        <v>2</v>
      </c>
    </row>
    <row r="37" spans="1:3" x14ac:dyDescent="0.25">
      <c r="A37" s="227" t="s">
        <v>859</v>
      </c>
      <c r="B37" s="227"/>
      <c r="C37" s="227"/>
    </row>
    <row r="38" spans="1:3" x14ac:dyDescent="0.25">
      <c r="A38" t="s">
        <v>7</v>
      </c>
      <c r="B38" t="s">
        <v>452</v>
      </c>
      <c r="C38" t="s">
        <v>4</v>
      </c>
    </row>
    <row r="39" spans="1:3" x14ac:dyDescent="0.25">
      <c r="A39">
        <v>1</v>
      </c>
      <c r="B39" t="s">
        <v>430</v>
      </c>
    </row>
    <row r="40" spans="1:3" x14ac:dyDescent="0.25">
      <c r="A40">
        <v>2</v>
      </c>
      <c r="B40" t="s">
        <v>428</v>
      </c>
    </row>
    <row r="41" spans="1:3" x14ac:dyDescent="0.25">
      <c r="A41">
        <v>3</v>
      </c>
      <c r="B41" t="s">
        <v>429</v>
      </c>
    </row>
    <row r="42" spans="1:3" x14ac:dyDescent="0.25">
      <c r="A42" t="s">
        <v>857</v>
      </c>
      <c r="C42">
        <f>SUBTOTAL(103,CL_TC_Configuration[Description])</f>
        <v>0</v>
      </c>
    </row>
    <row r="44" spans="1:3" x14ac:dyDescent="0.25">
      <c r="A44" s="227" t="s">
        <v>454</v>
      </c>
      <c r="B44" s="227"/>
      <c r="C44" s="227"/>
    </row>
    <row r="45" spans="1:3" x14ac:dyDescent="0.25">
      <c r="A45" t="s">
        <v>7</v>
      </c>
      <c r="B45" t="s">
        <v>453</v>
      </c>
      <c r="C45" t="s">
        <v>4</v>
      </c>
    </row>
    <row r="46" spans="1:3" x14ac:dyDescent="0.25">
      <c r="A46">
        <v>1</v>
      </c>
      <c r="B46" t="s">
        <v>456</v>
      </c>
    </row>
    <row r="47" spans="1:3" x14ac:dyDescent="0.25">
      <c r="A47">
        <v>2</v>
      </c>
      <c r="B47" t="s">
        <v>457</v>
      </c>
    </row>
    <row r="48" spans="1:3" x14ac:dyDescent="0.25">
      <c r="A48">
        <v>3</v>
      </c>
      <c r="B48" t="s">
        <v>455</v>
      </c>
    </row>
    <row r="49" spans="1:10" x14ac:dyDescent="0.25">
      <c r="A49" t="s">
        <v>857</v>
      </c>
      <c r="C49">
        <f>SUBTOTAL(103,CL_Stock_Configuration[Description])</f>
        <v>0</v>
      </c>
    </row>
    <row r="51" spans="1:10" x14ac:dyDescent="0.25">
      <c r="A51" s="227" t="s">
        <v>860</v>
      </c>
      <c r="B51" s="227"/>
      <c r="C51" s="227"/>
    </row>
    <row r="52" spans="1:10" x14ac:dyDescent="0.25">
      <c r="A52" t="s">
        <v>7</v>
      </c>
      <c r="B52" t="s">
        <v>482</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857</v>
      </c>
      <c r="C63">
        <f>SUBTOTAL(103,Table35[Description])</f>
        <v>0</v>
      </c>
      <c r="E63" s="159"/>
      <c r="F63" s="159"/>
      <c r="G63" s="159"/>
      <c r="I63" s="145"/>
      <c r="J63" s="159"/>
    </row>
    <row r="64" spans="1:10" x14ac:dyDescent="0.25">
      <c r="E64" s="159"/>
      <c r="F64" s="159"/>
      <c r="G64" s="159"/>
      <c r="I64" s="145"/>
      <c r="J64" s="159"/>
    </row>
    <row r="65" spans="1:10" x14ac:dyDescent="0.25">
      <c r="A65" s="227" t="s">
        <v>1048</v>
      </c>
      <c r="B65" s="227"/>
      <c r="C65" s="227"/>
      <c r="E65" s="159"/>
      <c r="F65" s="159"/>
      <c r="G65" s="159"/>
      <c r="I65" s="145"/>
      <c r="J65" s="159"/>
    </row>
    <row r="66" spans="1:10" x14ac:dyDescent="0.25">
      <c r="A66" t="s">
        <v>7</v>
      </c>
      <c r="B66" t="s">
        <v>1046</v>
      </c>
      <c r="C66" t="s">
        <v>4</v>
      </c>
      <c r="E66" s="159"/>
      <c r="F66" s="159"/>
      <c r="G66" s="159"/>
      <c r="I66" s="145"/>
      <c r="J66" s="159"/>
    </row>
    <row r="67" spans="1:10" x14ac:dyDescent="0.25">
      <c r="A67">
        <v>1</v>
      </c>
      <c r="B67" t="s">
        <v>1049</v>
      </c>
      <c r="E67" s="159"/>
      <c r="F67" s="159"/>
      <c r="G67" s="159"/>
      <c r="I67" s="145"/>
      <c r="J67" s="159"/>
    </row>
    <row r="68" spans="1:10" x14ac:dyDescent="0.25">
      <c r="A68">
        <v>2</v>
      </c>
      <c r="B68" t="s">
        <v>1035</v>
      </c>
      <c r="E68" s="159"/>
      <c r="F68" s="159"/>
      <c r="G68" s="159"/>
      <c r="I68" s="145"/>
      <c r="J68" s="159"/>
    </row>
    <row r="69" spans="1:10" x14ac:dyDescent="0.25">
      <c r="A69">
        <v>3</v>
      </c>
      <c r="B69" t="s">
        <v>1036</v>
      </c>
      <c r="E69" s="159"/>
      <c r="F69" s="159"/>
      <c r="G69" s="159"/>
      <c r="I69" s="145"/>
      <c r="J69" s="159"/>
    </row>
    <row r="70" spans="1:10" x14ac:dyDescent="0.25">
      <c r="A70">
        <v>4</v>
      </c>
      <c r="B70" t="s">
        <v>1037</v>
      </c>
      <c r="E70" s="159"/>
      <c r="F70" s="159"/>
      <c r="G70" s="159"/>
      <c r="I70" s="145"/>
      <c r="J70" s="159"/>
    </row>
    <row r="71" spans="1:10" x14ac:dyDescent="0.25">
      <c r="A71">
        <v>5</v>
      </c>
      <c r="B71" t="s">
        <v>1050</v>
      </c>
      <c r="E71" s="159"/>
      <c r="F71" s="159"/>
      <c r="G71" s="159"/>
      <c r="I71" s="145"/>
      <c r="J71" s="159"/>
    </row>
    <row r="72" spans="1:10" x14ac:dyDescent="0.25">
      <c r="A72">
        <v>6</v>
      </c>
      <c r="B72" t="s">
        <v>1038</v>
      </c>
      <c r="E72" s="159"/>
      <c r="F72" s="159"/>
      <c r="G72" s="159"/>
      <c r="I72" s="145"/>
      <c r="J72" s="159"/>
    </row>
    <row r="73" spans="1:10" x14ac:dyDescent="0.25">
      <c r="A73">
        <v>7</v>
      </c>
      <c r="B73" t="s">
        <v>1039</v>
      </c>
      <c r="E73" s="159"/>
      <c r="F73" s="159"/>
      <c r="G73" s="159"/>
      <c r="I73" s="145"/>
      <c r="J73" s="159"/>
    </row>
    <row r="74" spans="1:10" x14ac:dyDescent="0.25">
      <c r="A74">
        <v>8</v>
      </c>
      <c r="B74" t="s">
        <v>1040</v>
      </c>
      <c r="E74" s="159"/>
      <c r="F74" s="159"/>
      <c r="G74" s="159"/>
      <c r="I74" s="145"/>
      <c r="J74" s="159"/>
    </row>
    <row r="75" spans="1:10" x14ac:dyDescent="0.25">
      <c r="A75">
        <v>9</v>
      </c>
      <c r="B75" t="s">
        <v>1041</v>
      </c>
      <c r="E75" s="159"/>
      <c r="F75" s="159"/>
      <c r="G75" s="159"/>
      <c r="I75" s="145"/>
      <c r="J75" s="159"/>
    </row>
    <row r="76" spans="1:10" x14ac:dyDescent="0.25">
      <c r="A76">
        <v>10</v>
      </c>
      <c r="B76" t="s">
        <v>1042</v>
      </c>
      <c r="E76" s="159"/>
      <c r="F76" s="159"/>
      <c r="G76" s="159"/>
      <c r="I76" s="145"/>
      <c r="J76" s="159"/>
    </row>
    <row r="77" spans="1:10" x14ac:dyDescent="0.25">
      <c r="A77">
        <v>11</v>
      </c>
      <c r="B77" t="s">
        <v>1043</v>
      </c>
      <c r="E77" s="159"/>
      <c r="F77" s="159"/>
      <c r="G77" s="159"/>
      <c r="I77" s="145"/>
      <c r="J77" s="159"/>
    </row>
    <row r="78" spans="1:10" x14ac:dyDescent="0.25">
      <c r="A78">
        <v>12</v>
      </c>
      <c r="B78" t="s">
        <v>1044</v>
      </c>
      <c r="E78" s="159"/>
      <c r="F78" s="159"/>
      <c r="G78" s="159"/>
      <c r="I78" s="145"/>
      <c r="J78" s="159"/>
    </row>
    <row r="79" spans="1:10" x14ac:dyDescent="0.25">
      <c r="A79">
        <v>13</v>
      </c>
      <c r="B79" t="s">
        <v>1045</v>
      </c>
      <c r="E79" s="159"/>
      <c r="F79" s="159"/>
      <c r="G79" s="159"/>
      <c r="I79" s="145"/>
      <c r="J79" s="159"/>
    </row>
    <row r="80" spans="1:10" x14ac:dyDescent="0.25">
      <c r="A80" t="s">
        <v>857</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7" t="s">
        <v>863</v>
      </c>
      <c r="B84" s="227"/>
      <c r="C84" s="227"/>
    </row>
    <row r="85" spans="1:10" x14ac:dyDescent="0.25">
      <c r="A85" t="s">
        <v>7</v>
      </c>
      <c r="B85" t="s">
        <v>862</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3"/>
      <c r="F93" s="223"/>
      <c r="G93" s="223"/>
    </row>
    <row r="94" spans="1:10" x14ac:dyDescent="0.25">
      <c r="A94">
        <v>9</v>
      </c>
      <c r="B94">
        <v>9</v>
      </c>
      <c r="E94" s="145"/>
      <c r="F94" s="145"/>
      <c r="G94" s="145"/>
    </row>
    <row r="95" spans="1:10" x14ac:dyDescent="0.25">
      <c r="A95" t="s">
        <v>857</v>
      </c>
      <c r="C95">
        <f>SUBTOTAL(103,CL_DSM_material_count[Description])</f>
        <v>0</v>
      </c>
      <c r="E95" s="145"/>
      <c r="F95" s="145"/>
      <c r="G95" s="145"/>
    </row>
    <row r="96" spans="1:10" x14ac:dyDescent="0.25">
      <c r="E96" s="145"/>
      <c r="F96" s="145"/>
      <c r="G96" s="145"/>
    </row>
    <row r="97" spans="1:7" x14ac:dyDescent="0.25">
      <c r="A97" s="227" t="s">
        <v>864</v>
      </c>
      <c r="B97" s="227"/>
      <c r="C97" s="227"/>
      <c r="E97" s="145"/>
      <c r="F97" s="145"/>
      <c r="G97" s="145"/>
    </row>
    <row r="98" spans="1:7" x14ac:dyDescent="0.25">
      <c r="A98" t="s">
        <v>7</v>
      </c>
      <c r="B98" t="s">
        <v>438</v>
      </c>
      <c r="C98" t="s">
        <v>4</v>
      </c>
      <c r="E98" s="145"/>
      <c r="F98" s="145"/>
      <c r="G98" s="145"/>
    </row>
    <row r="99" spans="1:7" x14ac:dyDescent="0.25">
      <c r="A99">
        <v>1</v>
      </c>
      <c r="B99" t="s">
        <v>432</v>
      </c>
      <c r="C99" t="s">
        <v>210</v>
      </c>
      <c r="E99" s="145"/>
      <c r="F99" s="145"/>
      <c r="G99" s="145"/>
    </row>
    <row r="100" spans="1:7" ht="45" x14ac:dyDescent="0.25">
      <c r="A100">
        <v>2</v>
      </c>
      <c r="B100" t="s">
        <v>433</v>
      </c>
      <c r="C100" s="1" t="s">
        <v>211</v>
      </c>
      <c r="E100" s="145"/>
      <c r="F100" s="145"/>
      <c r="G100" s="145"/>
    </row>
    <row r="101" spans="1:7" x14ac:dyDescent="0.25">
      <c r="A101">
        <v>3</v>
      </c>
      <c r="B101" t="s">
        <v>434</v>
      </c>
      <c r="C101" s="1" t="s">
        <v>213</v>
      </c>
      <c r="E101" s="145"/>
      <c r="F101" s="145"/>
      <c r="G101" s="145"/>
    </row>
    <row r="102" spans="1:7" x14ac:dyDescent="0.25">
      <c r="A102">
        <v>4</v>
      </c>
      <c r="B102" t="s">
        <v>435</v>
      </c>
      <c r="E102" s="145"/>
      <c r="F102" s="145"/>
      <c r="G102" s="145"/>
    </row>
    <row r="103" spans="1:7" x14ac:dyDescent="0.25">
      <c r="A103">
        <v>5</v>
      </c>
      <c r="B103" t="s">
        <v>436</v>
      </c>
      <c r="E103" s="145"/>
      <c r="F103" s="145"/>
      <c r="G103" s="145"/>
    </row>
    <row r="104" spans="1:7" x14ac:dyDescent="0.25">
      <c r="A104">
        <v>6</v>
      </c>
      <c r="B104" t="s">
        <v>441</v>
      </c>
      <c r="E104" s="145"/>
      <c r="F104" s="145"/>
      <c r="G104" s="145"/>
    </row>
    <row r="105" spans="1:7" x14ac:dyDescent="0.25">
      <c r="A105">
        <v>7</v>
      </c>
      <c r="B105" t="s">
        <v>442</v>
      </c>
      <c r="E105" s="145"/>
      <c r="F105" s="145"/>
      <c r="G105" s="145"/>
    </row>
    <row r="106" spans="1:7" x14ac:dyDescent="0.25">
      <c r="A106">
        <v>8</v>
      </c>
      <c r="B106" t="s">
        <v>443</v>
      </c>
      <c r="E106" s="145"/>
      <c r="F106" s="145"/>
      <c r="G106" s="145"/>
    </row>
    <row r="107" spans="1:7" x14ac:dyDescent="0.25">
      <c r="A107">
        <v>9</v>
      </c>
      <c r="B107" t="s">
        <v>444</v>
      </c>
      <c r="E107" s="145"/>
      <c r="F107" s="145"/>
      <c r="G107" s="145"/>
    </row>
    <row r="108" spans="1:7" x14ac:dyDescent="0.25">
      <c r="A108">
        <v>10</v>
      </c>
      <c r="B108" t="s">
        <v>445</v>
      </c>
      <c r="E108" s="145"/>
      <c r="F108" s="145"/>
      <c r="G108" s="145"/>
    </row>
    <row r="109" spans="1:7" x14ac:dyDescent="0.25">
      <c r="A109">
        <v>11</v>
      </c>
      <c r="B109" t="s">
        <v>446</v>
      </c>
      <c r="E109" s="145"/>
      <c r="F109" s="145"/>
      <c r="G109" s="145"/>
    </row>
    <row r="110" spans="1:7" x14ac:dyDescent="0.25">
      <c r="A110">
        <v>12</v>
      </c>
      <c r="B110" t="s">
        <v>447</v>
      </c>
      <c r="E110" s="145"/>
      <c r="F110" s="145"/>
      <c r="G110" s="145"/>
    </row>
    <row r="111" spans="1:7" x14ac:dyDescent="0.25">
      <c r="A111">
        <v>13</v>
      </c>
      <c r="B111" t="s">
        <v>448</v>
      </c>
      <c r="E111" s="145"/>
      <c r="F111" s="145"/>
      <c r="G111" s="145"/>
    </row>
    <row r="112" spans="1:7" x14ac:dyDescent="0.25">
      <c r="A112">
        <v>14</v>
      </c>
      <c r="B112" t="s">
        <v>449</v>
      </c>
      <c r="E112" s="145"/>
      <c r="F112" s="145"/>
      <c r="G112" s="145"/>
    </row>
    <row r="113" spans="1:7" x14ac:dyDescent="0.25">
      <c r="A113" t="s">
        <v>857</v>
      </c>
      <c r="C113">
        <f>SUBTOTAL(103,CL_DSM_Parameter_type[Description])</f>
        <v>3</v>
      </c>
      <c r="E113" s="145"/>
      <c r="F113" s="145"/>
      <c r="G113" s="145"/>
    </row>
    <row r="114" spans="1:7" x14ac:dyDescent="0.25">
      <c r="E114" s="145"/>
      <c r="F114" s="145"/>
      <c r="G114" s="145"/>
    </row>
    <row r="115" spans="1:7" x14ac:dyDescent="0.25">
      <c r="A115" s="227" t="s">
        <v>865</v>
      </c>
      <c r="B115" s="227"/>
      <c r="C115" s="227"/>
      <c r="E115" s="145"/>
      <c r="F115" s="145"/>
      <c r="G115" s="145"/>
    </row>
    <row r="116" spans="1:7" x14ac:dyDescent="0.25">
      <c r="A116" t="s">
        <v>7</v>
      </c>
      <c r="B116" t="s">
        <v>889</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3"/>
      <c r="B126" s="223"/>
      <c r="C126" s="223"/>
    </row>
    <row r="129" spans="1:9" x14ac:dyDescent="0.25">
      <c r="I129" s="145"/>
    </row>
    <row r="130" spans="1:9" x14ac:dyDescent="0.25">
      <c r="I130" s="159"/>
    </row>
    <row r="141" spans="1:9" x14ac:dyDescent="0.25">
      <c r="F141" s="223"/>
      <c r="G141" s="223"/>
      <c r="H141" s="223"/>
    </row>
    <row r="142" spans="1:9" x14ac:dyDescent="0.25">
      <c r="A142" s="228" t="s">
        <v>887</v>
      </c>
      <c r="B142" s="228"/>
      <c r="C142" s="228"/>
    </row>
    <row r="144" spans="1:9" x14ac:dyDescent="0.25">
      <c r="A144" s="227" t="s">
        <v>868</v>
      </c>
      <c r="B144" s="227"/>
      <c r="C144" s="227"/>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857</v>
      </c>
      <c r="C149">
        <f>SUBTOTAL(103,CL_Operation[Description])</f>
        <v>3</v>
      </c>
    </row>
    <row r="151" spans="1:10" x14ac:dyDescent="0.25">
      <c r="A151" s="227" t="s">
        <v>986</v>
      </c>
      <c r="B151" s="227"/>
      <c r="C151" s="227"/>
    </row>
    <row r="152" spans="1:10" x14ac:dyDescent="0.25">
      <c r="A152" t="s">
        <v>7</v>
      </c>
      <c r="B152" t="s">
        <v>987</v>
      </c>
      <c r="C152" t="s">
        <v>4</v>
      </c>
    </row>
    <row r="153" spans="1:10" x14ac:dyDescent="0.25">
      <c r="A153">
        <v>1</v>
      </c>
      <c r="B153" t="s">
        <v>171</v>
      </c>
      <c r="C153" t="s">
        <v>981</v>
      </c>
    </row>
    <row r="154" spans="1:10" x14ac:dyDescent="0.25">
      <c r="A154">
        <v>2</v>
      </c>
      <c r="B154" t="s">
        <v>982</v>
      </c>
      <c r="C154" t="s">
        <v>983</v>
      </c>
    </row>
    <row r="155" spans="1:10" x14ac:dyDescent="0.25">
      <c r="A155">
        <v>3</v>
      </c>
      <c r="B155" t="s">
        <v>984</v>
      </c>
      <c r="C155" t="s">
        <v>985</v>
      </c>
    </row>
    <row r="156" spans="1:10" x14ac:dyDescent="0.25">
      <c r="A156">
        <v>4</v>
      </c>
    </row>
    <row r="160" spans="1:10" x14ac:dyDescent="0.25">
      <c r="A160" t="s">
        <v>170</v>
      </c>
      <c r="B160" t="s">
        <v>1027</v>
      </c>
      <c r="C160" t="s">
        <v>1025</v>
      </c>
      <c r="D160" t="s">
        <v>1024</v>
      </c>
      <c r="E160" t="s">
        <v>189</v>
      </c>
      <c r="F160" t="s">
        <v>190</v>
      </c>
      <c r="G160" t="s">
        <v>192</v>
      </c>
      <c r="H160" t="s">
        <v>1023</v>
      </c>
      <c r="I160" t="s">
        <v>191</v>
      </c>
      <c r="J160" t="s">
        <v>1026</v>
      </c>
    </row>
    <row r="161" spans="1:10" x14ac:dyDescent="0.25">
      <c r="A161">
        <v>1</v>
      </c>
      <c r="B161" t="s">
        <v>1025</v>
      </c>
      <c r="C161" t="s">
        <v>1199</v>
      </c>
      <c r="D161" t="s">
        <v>1199</v>
      </c>
      <c r="E161" t="s">
        <v>196</v>
      </c>
      <c r="G161" t="s">
        <v>87</v>
      </c>
      <c r="I161" t="s">
        <v>432</v>
      </c>
      <c r="J161" t="s">
        <v>1028</v>
      </c>
    </row>
    <row r="162" spans="1:10" x14ac:dyDescent="0.25">
      <c r="A162">
        <v>2</v>
      </c>
      <c r="B162" t="s">
        <v>1024</v>
      </c>
      <c r="C162" t="s">
        <v>1200</v>
      </c>
      <c r="D162" t="s">
        <v>1200</v>
      </c>
      <c r="E162" t="s">
        <v>203</v>
      </c>
      <c r="G162" t="s">
        <v>88</v>
      </c>
      <c r="I162" t="s">
        <v>433</v>
      </c>
    </row>
    <row r="163" spans="1:10" x14ac:dyDescent="0.25">
      <c r="A163">
        <v>3</v>
      </c>
      <c r="B163" t="s">
        <v>189</v>
      </c>
      <c r="C163" t="s">
        <v>1201</v>
      </c>
      <c r="D163" t="s">
        <v>1201</v>
      </c>
      <c r="E163" t="s">
        <v>205</v>
      </c>
      <c r="G163" t="s">
        <v>89</v>
      </c>
      <c r="I163" t="s">
        <v>434</v>
      </c>
    </row>
    <row r="164" spans="1:10" x14ac:dyDescent="0.25">
      <c r="A164">
        <v>4</v>
      </c>
      <c r="B164" t="s">
        <v>190</v>
      </c>
      <c r="C164" t="s">
        <v>1202</v>
      </c>
      <c r="D164" t="s">
        <v>1202</v>
      </c>
      <c r="E164" t="s">
        <v>204</v>
      </c>
      <c r="I164" t="s">
        <v>435</v>
      </c>
    </row>
    <row r="165" spans="1:10" x14ac:dyDescent="0.25">
      <c r="A165">
        <v>5</v>
      </c>
      <c r="B165" t="s">
        <v>192</v>
      </c>
      <c r="C165" t="s">
        <v>1203</v>
      </c>
      <c r="D165" t="s">
        <v>1203</v>
      </c>
      <c r="E165" t="s">
        <v>206</v>
      </c>
      <c r="I165" t="s">
        <v>436</v>
      </c>
    </row>
    <row r="166" spans="1:10" x14ac:dyDescent="0.25">
      <c r="A166">
        <v>6</v>
      </c>
      <c r="B166" t="s">
        <v>1026</v>
      </c>
      <c r="C166" t="s">
        <v>1204</v>
      </c>
      <c r="D166" t="s">
        <v>1204</v>
      </c>
      <c r="E166" t="s">
        <v>199</v>
      </c>
      <c r="I166" t="s">
        <v>441</v>
      </c>
    </row>
    <row r="167" spans="1:10" x14ac:dyDescent="0.25">
      <c r="A167">
        <v>7</v>
      </c>
      <c r="B167" t="s">
        <v>191</v>
      </c>
      <c r="E167" t="s">
        <v>202</v>
      </c>
      <c r="I167" t="s">
        <v>442</v>
      </c>
    </row>
    <row r="168" spans="1:10" x14ac:dyDescent="0.25">
      <c r="A168">
        <v>8</v>
      </c>
      <c r="B168" t="s">
        <v>1023</v>
      </c>
      <c r="E168" t="s">
        <v>200</v>
      </c>
      <c r="I168" t="s">
        <v>443</v>
      </c>
    </row>
    <row r="169" spans="1:10" x14ac:dyDescent="0.25">
      <c r="A169">
        <v>9</v>
      </c>
      <c r="I169" t="s">
        <v>444</v>
      </c>
    </row>
    <row r="170" spans="1:10" x14ac:dyDescent="0.25">
      <c r="A170">
        <v>10</v>
      </c>
      <c r="I170" t="s">
        <v>445</v>
      </c>
    </row>
    <row r="171" spans="1:10" x14ac:dyDescent="0.25">
      <c r="A171">
        <v>11</v>
      </c>
      <c r="I171" t="s">
        <v>446</v>
      </c>
    </row>
    <row r="172" spans="1:10" x14ac:dyDescent="0.25">
      <c r="A172">
        <v>12</v>
      </c>
      <c r="I172" t="s">
        <v>447</v>
      </c>
    </row>
    <row r="173" spans="1:10" x14ac:dyDescent="0.25">
      <c r="A173">
        <v>13</v>
      </c>
      <c r="I173" t="s">
        <v>448</v>
      </c>
    </row>
    <row r="174" spans="1:10" x14ac:dyDescent="0.25">
      <c r="A174">
        <v>14</v>
      </c>
      <c r="I174" t="s">
        <v>449</v>
      </c>
    </row>
    <row r="175" spans="1:10" x14ac:dyDescent="0.25">
      <c r="A175">
        <v>15</v>
      </c>
    </row>
    <row r="176" spans="1:10" x14ac:dyDescent="0.25">
      <c r="A176">
        <v>16</v>
      </c>
    </row>
    <row r="180" spans="1:5" x14ac:dyDescent="0.25">
      <c r="A180" t="s">
        <v>244</v>
      </c>
      <c r="B180" t="s">
        <v>245</v>
      </c>
    </row>
    <row r="181" spans="1:5" x14ac:dyDescent="0.25">
      <c r="A181" s="156" t="s">
        <v>216</v>
      </c>
      <c r="B181" s="156" t="s">
        <v>267</v>
      </c>
      <c r="C181" s="156" t="s">
        <v>268</v>
      </c>
      <c r="D181" s="156" t="s">
        <v>269</v>
      </c>
      <c r="E181" s="156" t="s">
        <v>270</v>
      </c>
    </row>
    <row r="182" spans="1:5" x14ac:dyDescent="0.25">
      <c r="A182" t="s">
        <v>271</v>
      </c>
      <c r="B182" t="s">
        <v>272</v>
      </c>
      <c r="C182" t="s">
        <v>273</v>
      </c>
      <c r="D182" t="s">
        <v>274</v>
      </c>
      <c r="E182" t="s">
        <v>275</v>
      </c>
    </row>
    <row r="183" spans="1:5" x14ac:dyDescent="0.25">
      <c r="A183" t="s">
        <v>271</v>
      </c>
      <c r="B183" t="s">
        <v>276</v>
      </c>
      <c r="C183" t="s">
        <v>277</v>
      </c>
      <c r="D183" t="s">
        <v>278</v>
      </c>
      <c r="E183" t="s">
        <v>279</v>
      </c>
    </row>
    <row r="184" spans="1:5" x14ac:dyDescent="0.25">
      <c r="A184" t="s">
        <v>271</v>
      </c>
      <c r="B184" t="s">
        <v>280</v>
      </c>
      <c r="C184" t="s">
        <v>281</v>
      </c>
      <c r="D184" t="s">
        <v>282</v>
      </c>
      <c r="E184" t="s">
        <v>283</v>
      </c>
    </row>
    <row r="185" spans="1:5" x14ac:dyDescent="0.25">
      <c r="A185" t="s">
        <v>271</v>
      </c>
      <c r="B185" t="s">
        <v>284</v>
      </c>
      <c r="C185" t="s">
        <v>285</v>
      </c>
      <c r="D185" t="s">
        <v>286</v>
      </c>
      <c r="E185" t="s">
        <v>287</v>
      </c>
    </row>
    <row r="186" spans="1:5" x14ac:dyDescent="0.25">
      <c r="A186" t="s">
        <v>271</v>
      </c>
      <c r="B186" t="s">
        <v>288</v>
      </c>
      <c r="C186" t="s">
        <v>289</v>
      </c>
      <c r="D186" t="s">
        <v>290</v>
      </c>
      <c r="E186" t="s">
        <v>291</v>
      </c>
    </row>
    <row r="187" spans="1:5" x14ac:dyDescent="0.25">
      <c r="A187" t="s">
        <v>292</v>
      </c>
      <c r="B187" t="s">
        <v>293</v>
      </c>
      <c r="C187" t="s">
        <v>294</v>
      </c>
      <c r="D187" t="s">
        <v>295</v>
      </c>
      <c r="E187" t="s">
        <v>296</v>
      </c>
    </row>
    <row r="188" spans="1:5" x14ac:dyDescent="0.25">
      <c r="A188" t="s">
        <v>292</v>
      </c>
      <c r="B188" t="s">
        <v>297</v>
      </c>
      <c r="C188" t="s">
        <v>298</v>
      </c>
      <c r="D188" t="s">
        <v>299</v>
      </c>
      <c r="E188" t="s">
        <v>300</v>
      </c>
    </row>
    <row r="189" spans="1:5" x14ac:dyDescent="0.25">
      <c r="A189" t="s">
        <v>292</v>
      </c>
      <c r="B189" t="s">
        <v>301</v>
      </c>
      <c r="C189" t="s">
        <v>302</v>
      </c>
      <c r="D189" t="s">
        <v>303</v>
      </c>
      <c r="E189" t="s">
        <v>304</v>
      </c>
    </row>
    <row r="190" spans="1:5" x14ac:dyDescent="0.25">
      <c r="A190" t="s">
        <v>292</v>
      </c>
      <c r="B190" t="s">
        <v>305</v>
      </c>
      <c r="C190" t="s">
        <v>306</v>
      </c>
      <c r="D190" t="s">
        <v>307</v>
      </c>
      <c r="E190" t="s">
        <v>308</v>
      </c>
    </row>
    <row r="191" spans="1:5" x14ac:dyDescent="0.25">
      <c r="A191" t="s">
        <v>309</v>
      </c>
      <c r="B191" t="s">
        <v>310</v>
      </c>
      <c r="C191" t="s">
        <v>311</v>
      </c>
      <c r="D191" t="s">
        <v>312</v>
      </c>
      <c r="E191" t="s">
        <v>313</v>
      </c>
    </row>
    <row r="192" spans="1:5" x14ac:dyDescent="0.25">
      <c r="A192" t="s">
        <v>309</v>
      </c>
      <c r="B192" t="s">
        <v>314</v>
      </c>
      <c r="C192" t="s">
        <v>315</v>
      </c>
      <c r="D192" t="s">
        <v>316</v>
      </c>
      <c r="E192" t="s">
        <v>317</v>
      </c>
    </row>
    <row r="193" spans="1:5" x14ac:dyDescent="0.25">
      <c r="A193" t="s">
        <v>309</v>
      </c>
      <c r="B193" t="s">
        <v>318</v>
      </c>
      <c r="C193" t="s">
        <v>319</v>
      </c>
      <c r="D193" t="s">
        <v>320</v>
      </c>
      <c r="E193" t="s">
        <v>321</v>
      </c>
    </row>
    <row r="194" spans="1:5" x14ac:dyDescent="0.25">
      <c r="A194" t="s">
        <v>309</v>
      </c>
      <c r="B194" t="s">
        <v>322</v>
      </c>
      <c r="C194" t="s">
        <v>323</v>
      </c>
      <c r="D194" t="s">
        <v>324</v>
      </c>
      <c r="E194" t="s">
        <v>325</v>
      </c>
    </row>
    <row r="195" spans="1:5" x14ac:dyDescent="0.25">
      <c r="A195" t="s">
        <v>326</v>
      </c>
      <c r="B195" t="s">
        <v>327</v>
      </c>
      <c r="C195" t="s">
        <v>328</v>
      </c>
      <c r="D195" t="s">
        <v>329</v>
      </c>
      <c r="E195" t="s">
        <v>330</v>
      </c>
    </row>
    <row r="196" spans="1:5" x14ac:dyDescent="0.25">
      <c r="A196" t="s">
        <v>326</v>
      </c>
      <c r="B196" t="s">
        <v>331</v>
      </c>
      <c r="C196" t="s">
        <v>332</v>
      </c>
      <c r="D196" t="s">
        <v>333</v>
      </c>
      <c r="E196" t="s">
        <v>334</v>
      </c>
    </row>
    <row r="197" spans="1:5" x14ac:dyDescent="0.25">
      <c r="A197" t="s">
        <v>326</v>
      </c>
      <c r="B197" t="s">
        <v>335</v>
      </c>
      <c r="C197" t="s">
        <v>336</v>
      </c>
      <c r="D197" t="s">
        <v>337</v>
      </c>
      <c r="E197" t="s">
        <v>338</v>
      </c>
    </row>
    <row r="198" spans="1:5" x14ac:dyDescent="0.25">
      <c r="A198" t="s">
        <v>326</v>
      </c>
      <c r="B198" t="s">
        <v>339</v>
      </c>
      <c r="C198" t="s">
        <v>340</v>
      </c>
      <c r="D198" t="s">
        <v>341</v>
      </c>
      <c r="E198" t="s">
        <v>342</v>
      </c>
    </row>
    <row r="199" spans="1:5" x14ac:dyDescent="0.25">
      <c r="A199" t="s">
        <v>343</v>
      </c>
      <c r="B199" t="s">
        <v>344</v>
      </c>
      <c r="C199" t="s">
        <v>345</v>
      </c>
      <c r="D199" t="s">
        <v>346</v>
      </c>
      <c r="E199" t="s">
        <v>347</v>
      </c>
    </row>
    <row r="200" spans="1:5" x14ac:dyDescent="0.25">
      <c r="A200" t="s">
        <v>343</v>
      </c>
      <c r="B200" t="s">
        <v>348</v>
      </c>
      <c r="C200" t="s">
        <v>349</v>
      </c>
      <c r="D200" t="s">
        <v>350</v>
      </c>
      <c r="E200" t="s">
        <v>351</v>
      </c>
    </row>
    <row r="201" spans="1:5" x14ac:dyDescent="0.25">
      <c r="A201" t="s">
        <v>343</v>
      </c>
      <c r="B201" t="s">
        <v>352</v>
      </c>
      <c r="C201" t="s">
        <v>353</v>
      </c>
      <c r="D201" t="s">
        <v>354</v>
      </c>
      <c r="E201" t="s">
        <v>355</v>
      </c>
    </row>
    <row r="202" spans="1:5" x14ac:dyDescent="0.25">
      <c r="A202" t="s">
        <v>343</v>
      </c>
      <c r="B202" t="s">
        <v>356</v>
      </c>
      <c r="C202" t="s">
        <v>357</v>
      </c>
      <c r="D202" t="s">
        <v>358</v>
      </c>
      <c r="E202" t="s">
        <v>359</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77" t="str">
        <f>'2_1_Definition_Processes'!D2</f>
        <v>sadsad</v>
      </c>
      <c r="C1" s="277"/>
      <c r="D1" s="277"/>
      <c r="E1" s="277"/>
      <c r="F1" s="277"/>
      <c r="G1" s="277"/>
      <c r="H1" s="277"/>
      <c r="I1" s="118" t="s">
        <v>159</v>
      </c>
      <c r="J1" s="278" t="s">
        <v>41</v>
      </c>
      <c r="K1" s="278"/>
      <c r="L1" s="278"/>
      <c r="M1" s="278"/>
    </row>
    <row r="2" spans="1:22" ht="16.5" thickBot="1" x14ac:dyDescent="0.3">
      <c r="A2" s="268" t="s">
        <v>158</v>
      </c>
      <c r="B2" s="269"/>
      <c r="C2" s="269"/>
      <c r="D2" s="269"/>
      <c r="E2" s="269"/>
      <c r="F2" s="269"/>
      <c r="G2" s="269"/>
      <c r="H2" s="269"/>
      <c r="I2" s="269"/>
      <c r="J2" s="269"/>
      <c r="K2" s="269"/>
      <c r="L2" s="269"/>
      <c r="M2" s="270"/>
    </row>
    <row r="3" spans="1:22" ht="126.75" customHeight="1" thickBot="1" x14ac:dyDescent="0.3">
      <c r="A3" s="279"/>
      <c r="B3" s="280"/>
      <c r="C3" s="280"/>
      <c r="D3" s="280"/>
      <c r="E3" s="280"/>
      <c r="F3" s="280"/>
      <c r="G3" s="280"/>
      <c r="H3" s="280"/>
      <c r="I3" s="280"/>
      <c r="J3" s="280"/>
      <c r="K3" s="280"/>
      <c r="L3" s="280"/>
      <c r="M3" s="281"/>
    </row>
    <row r="4" spans="1:22" ht="31.5" customHeight="1" x14ac:dyDescent="0.25">
      <c r="A4" s="117" t="s">
        <v>157</v>
      </c>
      <c r="B4" s="282"/>
      <c r="C4" s="283"/>
      <c r="D4" s="284"/>
      <c r="E4" s="285" t="s">
        <v>156</v>
      </c>
      <c r="F4" s="286"/>
      <c r="G4" s="122"/>
      <c r="H4" s="122"/>
      <c r="I4" s="116"/>
      <c r="J4" s="116"/>
      <c r="K4" s="116"/>
      <c r="L4" s="116"/>
      <c r="M4" s="116"/>
    </row>
    <row r="5" spans="1:22" ht="16.5" customHeight="1" x14ac:dyDescent="0.25">
      <c r="A5" s="119" t="s">
        <v>155</v>
      </c>
      <c r="B5" s="271" t="s">
        <v>193</v>
      </c>
      <c r="C5" s="271"/>
      <c r="D5" s="272"/>
      <c r="E5" s="119" t="s">
        <v>155</v>
      </c>
      <c r="F5" s="273" t="e">
        <f>_xlfn.XLOOKUP(J1,Tab_Def_Processes[Process_ID],#REF!,"No_flow.",0,1)</f>
        <v>#REF!</v>
      </c>
      <c r="G5" s="273"/>
      <c r="H5" s="274"/>
      <c r="I5" s="120"/>
      <c r="J5" s="115"/>
      <c r="K5" s="115"/>
      <c r="L5" s="115"/>
      <c r="M5" s="112"/>
    </row>
    <row r="6" spans="1:22" ht="16.5" customHeight="1" x14ac:dyDescent="0.25">
      <c r="A6" s="119" t="s">
        <v>154</v>
      </c>
      <c r="B6" s="273" t="s">
        <v>194</v>
      </c>
      <c r="C6" s="273"/>
      <c r="D6" s="274"/>
      <c r="E6" s="119" t="s">
        <v>154</v>
      </c>
      <c r="F6" s="273" t="e">
        <f>_xlfn.XLOOKUP(J1,Tab_Def_Processes[Process_ID],#REF!,"No_flow.",0,1)</f>
        <v>#REF!</v>
      </c>
      <c r="G6" s="273"/>
      <c r="H6" s="274"/>
      <c r="I6" s="120"/>
      <c r="J6" s="115"/>
      <c r="K6" s="115"/>
      <c r="L6" s="115"/>
      <c r="M6" s="112"/>
    </row>
    <row r="7" spans="1:22" ht="16.5" customHeight="1" x14ac:dyDescent="0.25">
      <c r="A7" s="114" t="s">
        <v>153</v>
      </c>
      <c r="B7" s="273" t="e">
        <f>_xlfn.XLOOKUP(J1,Tab_Def_Processes[Process_ID],#REF!,"No_flow.",0,1)</f>
        <v>#REF!</v>
      </c>
      <c r="C7" s="273"/>
      <c r="D7" s="274"/>
      <c r="E7" s="114" t="s">
        <v>153</v>
      </c>
      <c r="F7" s="273" t="e">
        <f>_xlfn.XLOOKUP(J1,Tab_Def_Processes[Process_ID],#REF!,"No_flow.",0,1)</f>
        <v>#REF!</v>
      </c>
      <c r="G7" s="273"/>
      <c r="H7" s="274"/>
      <c r="I7" s="121"/>
      <c r="J7" s="113"/>
      <c r="K7" s="113"/>
      <c r="L7" s="113"/>
      <c r="M7" s="112"/>
    </row>
    <row r="8" spans="1:22" ht="16.5" customHeight="1" x14ac:dyDescent="0.25">
      <c r="A8" s="114" t="s">
        <v>152</v>
      </c>
      <c r="B8" s="273" t="e">
        <f>_xlfn.XLOOKUP(J1,Tab_Def_Processes[Process_ID],#REF!,"No_flow.",0,1)</f>
        <v>#REF!</v>
      </c>
      <c r="C8" s="273"/>
      <c r="D8" s="274"/>
      <c r="E8" s="114" t="s">
        <v>152</v>
      </c>
      <c r="F8" s="273" t="e">
        <f>_xlfn.XLOOKUP(J1,Tab_Def_Processes[Process_ID],#REF!,"No_flow.",0,1)</f>
        <v>#REF!</v>
      </c>
      <c r="G8" s="273"/>
      <c r="H8" s="274"/>
      <c r="I8" s="121"/>
      <c r="J8" s="113"/>
      <c r="K8" s="113"/>
      <c r="L8" s="113"/>
      <c r="M8" s="112"/>
    </row>
    <row r="9" spans="1:22" ht="16.5" customHeight="1" x14ac:dyDescent="0.25">
      <c r="A9" s="114" t="s">
        <v>151</v>
      </c>
      <c r="B9" s="273" t="e">
        <f>_xlfn.XLOOKUP(J1,Tab_Def_Processes[Process_ID],#REF!,"No_flow.",0,1)</f>
        <v>#REF!</v>
      </c>
      <c r="C9" s="273"/>
      <c r="D9" s="274"/>
      <c r="E9" s="114" t="s">
        <v>151</v>
      </c>
      <c r="F9" s="273" t="e">
        <f>_xlfn.XLOOKUP(J1,Tab_Def_Processes[Process_ID],#REF!,"No_flow.",0,1)</f>
        <v>#REF!</v>
      </c>
      <c r="G9" s="273"/>
      <c r="H9" s="274"/>
      <c r="I9" s="121"/>
      <c r="J9" s="113"/>
      <c r="K9" s="113"/>
      <c r="L9" s="113"/>
      <c r="M9" s="112"/>
    </row>
    <row r="10" spans="1:22" ht="16.5" customHeight="1" thickBot="1" x14ac:dyDescent="0.3">
      <c r="A10" s="123" t="s">
        <v>150</v>
      </c>
      <c r="B10" s="275"/>
      <c r="C10" s="275"/>
      <c r="D10" s="276"/>
      <c r="E10" s="123" t="s">
        <v>150</v>
      </c>
      <c r="F10" s="275"/>
      <c r="G10" s="275"/>
      <c r="H10" s="276"/>
      <c r="I10" s="121"/>
      <c r="J10" s="113"/>
      <c r="K10" s="113"/>
      <c r="L10" s="113"/>
      <c r="M10" s="112"/>
    </row>
    <row r="11" spans="1:22" ht="16.5" thickBot="1" x14ac:dyDescent="0.3">
      <c r="A11" s="268" t="s">
        <v>149</v>
      </c>
      <c r="B11" s="269"/>
      <c r="C11" s="269"/>
      <c r="D11" s="269"/>
      <c r="E11" s="269"/>
      <c r="F11" s="269"/>
      <c r="G11" s="269"/>
      <c r="H11" s="269"/>
      <c r="I11" s="269"/>
      <c r="J11" s="269"/>
      <c r="K11" s="269"/>
      <c r="L11" s="269"/>
      <c r="M11" s="270"/>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3" t="s">
        <v>147</v>
      </c>
      <c r="B13" s="244"/>
      <c r="C13" s="244"/>
      <c r="D13" s="244"/>
      <c r="E13" s="244"/>
      <c r="F13" s="244"/>
      <c r="G13" s="244"/>
      <c r="H13" s="244"/>
      <c r="I13" s="244"/>
      <c r="J13" s="244"/>
      <c r="K13" s="244"/>
      <c r="L13" s="244"/>
      <c r="M13" s="245"/>
    </row>
    <row r="14" spans="1:22" ht="16.5" thickBot="1" x14ac:dyDescent="0.3">
      <c r="A14" s="69" t="s">
        <v>133</v>
      </c>
      <c r="B14" s="247" t="s">
        <v>145</v>
      </c>
      <c r="C14" s="248"/>
      <c r="D14" s="249"/>
      <c r="E14" s="250" t="s">
        <v>144</v>
      </c>
      <c r="F14" s="251"/>
      <c r="G14" s="251"/>
      <c r="H14" s="252"/>
      <c r="I14" s="253" t="s">
        <v>143</v>
      </c>
      <c r="J14" s="254"/>
      <c r="K14" s="254"/>
      <c r="L14" s="254"/>
      <c r="M14" s="255"/>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30" t="s">
        <v>132</v>
      </c>
      <c r="C23" s="231"/>
      <c r="D23" s="231"/>
      <c r="E23" s="231"/>
      <c r="F23" s="231"/>
      <c r="G23" s="231"/>
      <c r="H23" s="232"/>
      <c r="I23" s="233" t="s">
        <v>131</v>
      </c>
      <c r="J23" s="234"/>
      <c r="K23" s="234"/>
      <c r="L23" s="234"/>
      <c r="M23" s="235"/>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6" t="s">
        <v>146</v>
      </c>
      <c r="B32" s="257"/>
      <c r="C32" s="257"/>
      <c r="D32" s="257"/>
      <c r="E32" s="257"/>
      <c r="F32" s="257"/>
      <c r="G32" s="257"/>
      <c r="H32" s="257"/>
      <c r="I32" s="257"/>
      <c r="J32" s="257"/>
      <c r="K32" s="257"/>
      <c r="L32" s="257"/>
      <c r="M32" s="258"/>
    </row>
    <row r="33" spans="1:18" ht="16.5" customHeight="1" thickBot="1" x14ac:dyDescent="0.3">
      <c r="A33" s="69" t="s">
        <v>133</v>
      </c>
      <c r="B33" s="259" t="s">
        <v>145</v>
      </c>
      <c r="C33" s="260"/>
      <c r="D33" s="261"/>
      <c r="E33" s="262" t="s">
        <v>144</v>
      </c>
      <c r="F33" s="263"/>
      <c r="G33" s="263"/>
      <c r="H33" s="264"/>
      <c r="I33" s="265" t="s">
        <v>143</v>
      </c>
      <c r="J33" s="266"/>
      <c r="K33" s="266"/>
      <c r="L33" s="266"/>
      <c r="M33" s="267"/>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30" t="s">
        <v>132</v>
      </c>
      <c r="C42" s="231"/>
      <c r="D42" s="231"/>
      <c r="E42" s="231"/>
      <c r="F42" s="231"/>
      <c r="G42" s="231"/>
      <c r="H42" s="232"/>
      <c r="I42" s="233" t="s">
        <v>131</v>
      </c>
      <c r="J42" s="234"/>
      <c r="K42" s="234"/>
      <c r="L42" s="234"/>
      <c r="M42" s="235"/>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6" t="s">
        <v>118</v>
      </c>
      <c r="B51" s="237"/>
      <c r="C51" s="237"/>
      <c r="D51" s="237"/>
      <c r="E51" s="238"/>
      <c r="F51" s="239" t="s">
        <v>117</v>
      </c>
      <c r="G51" s="240"/>
      <c r="H51" s="240"/>
      <c r="I51" s="240"/>
      <c r="J51" s="240"/>
      <c r="K51" s="240"/>
      <c r="L51" s="240"/>
      <c r="M51" s="241"/>
    </row>
    <row r="52" spans="1:17" ht="16.5" thickBot="1" x14ac:dyDescent="0.3">
      <c r="A52" s="3" t="s">
        <v>116</v>
      </c>
      <c r="B52" s="43" t="s">
        <v>115</v>
      </c>
      <c r="C52" s="42" t="s">
        <v>88</v>
      </c>
      <c r="D52" s="41" t="s">
        <v>87</v>
      </c>
      <c r="E52" s="40" t="s">
        <v>114</v>
      </c>
      <c r="F52" s="226"/>
      <c r="G52" s="226"/>
      <c r="H52" s="226"/>
      <c r="I52" s="226"/>
      <c r="J52" s="226"/>
      <c r="K52" s="226"/>
      <c r="L52" s="226"/>
      <c r="M52" s="242"/>
    </row>
    <row r="53" spans="1:17" ht="15.75" x14ac:dyDescent="0.25">
      <c r="A53" s="4" t="s">
        <v>113</v>
      </c>
      <c r="B53" s="39">
        <f>B22</f>
        <v>721668.05</v>
      </c>
      <c r="C53" s="38">
        <f>F22</f>
        <v>101033.52700000002</v>
      </c>
      <c r="D53" s="37">
        <f>J22</f>
        <v>620634.52299999993</v>
      </c>
      <c r="E53" s="36">
        <f>C31</f>
        <v>297904.57</v>
      </c>
      <c r="F53" s="226"/>
      <c r="G53" s="226"/>
      <c r="H53" s="226"/>
      <c r="I53" s="226"/>
      <c r="J53" s="226"/>
      <c r="K53" s="226"/>
      <c r="L53" s="226"/>
      <c r="M53" s="242"/>
    </row>
    <row r="54" spans="1:17" ht="16.5" thickBot="1" x14ac:dyDescent="0.3">
      <c r="A54" s="4" t="s">
        <v>112</v>
      </c>
      <c r="B54" s="39">
        <f>B41</f>
        <v>721668.05</v>
      </c>
      <c r="C54" s="38">
        <f>F41</f>
        <v>101033.52700000002</v>
      </c>
      <c r="D54" s="37">
        <f>J41</f>
        <v>620634.52300000004</v>
      </c>
      <c r="E54" s="36">
        <f>C50</f>
        <v>297904.57104000001</v>
      </c>
      <c r="F54" s="226"/>
      <c r="G54" s="226"/>
      <c r="H54" s="226"/>
      <c r="I54" s="226"/>
      <c r="J54" s="226"/>
      <c r="K54" s="226"/>
      <c r="L54" s="226"/>
      <c r="M54" s="242"/>
    </row>
    <row r="55" spans="1:17" ht="15.75" x14ac:dyDescent="0.25">
      <c r="A55" s="3" t="s">
        <v>111</v>
      </c>
      <c r="B55" s="128">
        <f>B53-B54</f>
        <v>0</v>
      </c>
      <c r="C55" s="129">
        <f>C53-C54</f>
        <v>0</v>
      </c>
      <c r="D55" s="130">
        <f>D53-D54</f>
        <v>0</v>
      </c>
      <c r="E55" s="131">
        <f>E53-E54</f>
        <v>-1.0400000028312206E-3</v>
      </c>
      <c r="F55" s="226"/>
      <c r="G55" s="226"/>
      <c r="H55" s="226"/>
      <c r="I55" s="226"/>
      <c r="J55" s="226"/>
      <c r="K55" s="226"/>
      <c r="L55" s="226"/>
      <c r="M55" s="242"/>
    </row>
    <row r="56" spans="1:17" ht="16.5" thickBot="1" x14ac:dyDescent="0.3">
      <c r="A56" s="5" t="s">
        <v>110</v>
      </c>
      <c r="B56" s="35">
        <f>B53/B54</f>
        <v>1</v>
      </c>
      <c r="C56" s="33">
        <f>C53/C54</f>
        <v>1</v>
      </c>
      <c r="D56" s="32">
        <f>D53/D54</f>
        <v>0.99999999999999978</v>
      </c>
      <c r="E56" s="31">
        <f>E53/E54</f>
        <v>0.99999999650894911</v>
      </c>
      <c r="F56" s="226"/>
      <c r="G56" s="226"/>
      <c r="H56" s="226"/>
      <c r="I56" s="226"/>
      <c r="J56" s="226"/>
      <c r="K56" s="226"/>
      <c r="L56" s="226"/>
      <c r="M56" s="242"/>
    </row>
    <row r="57" spans="1:17" ht="15.75" thickBot="1" x14ac:dyDescent="0.3">
      <c r="A57" s="236" t="s">
        <v>109</v>
      </c>
      <c r="B57" s="237"/>
      <c r="C57" s="237"/>
      <c r="D57" s="237"/>
      <c r="E57" s="238"/>
      <c r="F57" s="226"/>
      <c r="G57" s="226"/>
      <c r="H57" s="226"/>
      <c r="I57" s="226"/>
      <c r="J57" s="226"/>
      <c r="K57" s="226"/>
      <c r="L57" s="226"/>
      <c r="M57" s="242"/>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6"/>
      <c r="G58" s="226"/>
      <c r="H58" s="226"/>
      <c r="I58" s="226"/>
      <c r="J58" s="226"/>
      <c r="K58" s="226"/>
      <c r="L58" s="226"/>
      <c r="M58" s="242"/>
    </row>
    <row r="59" spans="1:17" ht="16.5" thickBot="1" x14ac:dyDescent="0.3">
      <c r="A59" s="5" t="e">
        <f t="shared" si="35"/>
        <v>#REF!</v>
      </c>
      <c r="B59" s="34">
        <f t="shared" si="36"/>
        <v>0</v>
      </c>
      <c r="C59" s="33">
        <f>(E36*B36)/($B$22*$E$22)</f>
        <v>0</v>
      </c>
      <c r="D59" s="32">
        <f t="shared" si="37"/>
        <v>0</v>
      </c>
      <c r="E59" s="31" t="e">
        <f t="shared" si="38"/>
        <v>#DIV/0!</v>
      </c>
      <c r="F59" s="226"/>
      <c r="G59" s="226"/>
      <c r="H59" s="226"/>
      <c r="I59" s="226"/>
      <c r="J59" s="226"/>
      <c r="K59" s="226"/>
      <c r="L59" s="226"/>
      <c r="M59" s="242"/>
    </row>
    <row r="60" spans="1:17" ht="16.5" thickBot="1" x14ac:dyDescent="0.3">
      <c r="A60" s="5" t="e">
        <f t="shared" si="35"/>
        <v>#REF!</v>
      </c>
      <c r="B60" s="34">
        <f t="shared" si="36"/>
        <v>0</v>
      </c>
      <c r="C60" s="33">
        <f>(E37*B37)/($B$22*$E$22)</f>
        <v>0</v>
      </c>
      <c r="D60" s="32">
        <f t="shared" si="37"/>
        <v>0</v>
      </c>
      <c r="E60" s="31" t="e">
        <f t="shared" si="38"/>
        <v>#DIV/0!</v>
      </c>
      <c r="F60" s="226"/>
      <c r="G60" s="226"/>
      <c r="H60" s="226"/>
      <c r="I60" s="226"/>
      <c r="J60" s="226"/>
      <c r="K60" s="226"/>
      <c r="L60" s="226"/>
      <c r="M60" s="242"/>
    </row>
    <row r="61" spans="1:17" ht="16.5" thickBot="1" x14ac:dyDescent="0.3">
      <c r="A61" s="5" t="e">
        <f t="shared" si="35"/>
        <v>#REF!</v>
      </c>
      <c r="B61" s="34">
        <f t="shared" si="36"/>
        <v>0</v>
      </c>
      <c r="C61" s="33">
        <f>($G$41*F38)/($B$22*$E$22)</f>
        <v>0</v>
      </c>
      <c r="D61" s="32">
        <f t="shared" si="37"/>
        <v>0</v>
      </c>
      <c r="E61" s="31" t="e">
        <f t="shared" si="38"/>
        <v>#DIV/0!</v>
      </c>
      <c r="F61" s="226"/>
      <c r="G61" s="226"/>
      <c r="H61" s="226"/>
      <c r="I61" s="226"/>
      <c r="J61" s="226"/>
      <c r="K61" s="226"/>
      <c r="L61" s="226"/>
      <c r="M61" s="242"/>
    </row>
    <row r="62" spans="1:17" ht="16.5" thickBot="1" x14ac:dyDescent="0.3">
      <c r="A62" s="5" t="e">
        <f t="shared" si="35"/>
        <v>#REF!</v>
      </c>
      <c r="B62" s="34">
        <f t="shared" si="36"/>
        <v>0</v>
      </c>
      <c r="C62" s="33">
        <f>(B39*E39)/($B$22*$E$22)</f>
        <v>0</v>
      </c>
      <c r="D62" s="32">
        <f t="shared" si="37"/>
        <v>0</v>
      </c>
      <c r="E62" s="31" t="e">
        <f t="shared" si="38"/>
        <v>#DIV/0!</v>
      </c>
      <c r="F62" s="226"/>
      <c r="G62" s="226"/>
      <c r="H62" s="226"/>
      <c r="I62" s="226"/>
      <c r="J62" s="226"/>
      <c r="K62" s="226"/>
      <c r="L62" s="226"/>
      <c r="M62" s="242"/>
    </row>
    <row r="63" spans="1:17" ht="16.5" thickBot="1" x14ac:dyDescent="0.3">
      <c r="A63" s="5">
        <f t="shared" si="35"/>
        <v>0</v>
      </c>
      <c r="B63" s="34">
        <f t="shared" si="36"/>
        <v>0</v>
      </c>
      <c r="C63" s="33">
        <f>(B40*E40)/($B$22*$E$22)</f>
        <v>0</v>
      </c>
      <c r="D63" s="32">
        <f t="shared" si="37"/>
        <v>0</v>
      </c>
      <c r="E63" s="31" t="e">
        <f t="shared" si="38"/>
        <v>#DIV/0!</v>
      </c>
      <c r="F63" s="226"/>
      <c r="G63" s="226"/>
      <c r="H63" s="226"/>
      <c r="I63" s="226"/>
      <c r="J63" s="226"/>
      <c r="K63" s="226"/>
      <c r="L63" s="226"/>
      <c r="M63" s="242"/>
    </row>
    <row r="64" spans="1:17" ht="16.5" thickBot="1" x14ac:dyDescent="0.3">
      <c r="A64" s="3" t="s">
        <v>108</v>
      </c>
      <c r="B64" s="124">
        <f>SUM(B58:B63)</f>
        <v>1</v>
      </c>
      <c r="C64" s="125">
        <f>SUM(C58:C63)</f>
        <v>1</v>
      </c>
      <c r="D64" s="126">
        <f>SUM(D58:D63)</f>
        <v>1.0000000000000002</v>
      </c>
      <c r="E64" s="127" t="e">
        <f>SUM(E58:E63)</f>
        <v>#DIV/0!</v>
      </c>
      <c r="F64" s="226"/>
      <c r="G64" s="226"/>
      <c r="H64" s="226"/>
      <c r="I64" s="226"/>
      <c r="J64" s="226"/>
      <c r="K64" s="226"/>
      <c r="L64" s="226"/>
      <c r="M64" s="242"/>
    </row>
    <row r="65" spans="1:13" ht="16.5" thickBot="1" x14ac:dyDescent="0.3">
      <c r="A65" s="243" t="s">
        <v>107</v>
      </c>
      <c r="B65" s="244"/>
      <c r="C65" s="244"/>
      <c r="D65" s="244"/>
      <c r="E65" s="244"/>
      <c r="F65" s="244"/>
      <c r="G65" s="244"/>
      <c r="H65" s="244"/>
      <c r="I65" s="244"/>
      <c r="J65" s="244"/>
      <c r="K65" s="244"/>
      <c r="L65" s="244"/>
      <c r="M65" s="245"/>
    </row>
    <row r="66" spans="1:13" x14ac:dyDescent="0.25">
      <c r="A66" s="4" t="s">
        <v>106</v>
      </c>
      <c r="B66" s="246" t="s">
        <v>105</v>
      </c>
      <c r="C66" s="246"/>
      <c r="D66" s="246"/>
      <c r="E66" s="246"/>
      <c r="F66" s="246"/>
      <c r="G66" s="4" t="s">
        <v>104</v>
      </c>
      <c r="M66" s="25"/>
    </row>
    <row r="67" spans="1:13" ht="18.75" customHeight="1" x14ac:dyDescent="0.25">
      <c r="A67" s="4" t="s">
        <v>103</v>
      </c>
      <c r="B67" s="226" t="s">
        <v>90</v>
      </c>
      <c r="C67" s="226"/>
      <c r="D67" s="226"/>
      <c r="E67" s="226"/>
      <c r="F67" s="226"/>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2025-11-20T19:06:55Z</dcterms:modified>
</cp:coreProperties>
</file>