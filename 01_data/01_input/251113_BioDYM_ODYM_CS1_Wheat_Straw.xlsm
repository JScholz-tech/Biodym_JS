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EDDC8586-CF7D-4CFA-8C83-73D6B07E0316}" xr6:coauthVersionLast="47" xr6:coauthVersionMax="47" xr10:uidLastSave="{00000000-0000-0000-0000-000000000000}"/>
  <bookViews>
    <workbookView xWindow="4200" yWindow="4200" windowWidth="28800" windowHeight="15225" tabRatio="840" firstSheet="1" activeTab="1" xr2:uid="{00000000-000D-0000-FFFF-FFFF00000000}"/>
  </bookViews>
  <sheets>
    <sheet name="BioDYM_README" sheetId="55" r:id="rId1"/>
    <sheet name="0_Configuration" sheetId="40" r:id="rId2"/>
    <sheet name="bioDYM_Aspects" sheetId="58" r:id="rId3"/>
    <sheet name="1_1_Definition_Flows" sheetId="15" r:id="rId4"/>
    <sheet name="1_2_Data_Flows" sheetId="2" r:id="rId5"/>
    <sheet name="2_1_Definition_Processes" sheetId="16" r:id="rId6"/>
    <sheet name="2_2_static_TCs" sheetId="39" r:id="rId7"/>
    <sheet name="2_3_dynamic_TCs" sheetId="33" r:id="rId8"/>
    <sheet name="2_4_Initial_Stock" sheetId="21" r:id="rId9"/>
    <sheet name="3_1_Definition_DSM" sheetId="35" r:id="rId10"/>
    <sheet name="3_2_Definition_FOMP" sheetId="37" r:id="rId11"/>
    <sheet name="4_1_Uncertainty_Parameters" sheetId="38" r:id="rId12"/>
    <sheet name="5_1_Scenario_Manager" sheetId="42" r:id="rId13"/>
    <sheet name="6_1_Visualization_Processes" sheetId="44" r:id="rId14"/>
    <sheet name="6_2_Visualization_Flows" sheetId="46" r:id="rId15"/>
    <sheet name="6_3_Layout_Configuration" sheetId="47" r:id="rId16"/>
    <sheet name="7_1_Comments_Validation" sheetId="51" r:id="rId17"/>
    <sheet name="7_2_Codelists" sheetId="17" r:id="rId18"/>
    <sheet name="Sheet1" sheetId="56" r:id="rId19"/>
    <sheet name="PX - Template" sheetId="27" r:id="rId20"/>
  </sheets>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7">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37" l="1"/>
  <c r="L3" i="37"/>
  <c r="A20" i="38" l="1"/>
  <c r="A21" i="38"/>
  <c r="A22" i="38"/>
  <c r="A23" i="38"/>
  <c r="A24" i="38"/>
  <c r="A25" i="38"/>
  <c r="A13" i="38" l="1"/>
  <c r="A14" i="38"/>
  <c r="A15" i="38"/>
  <c r="A16" i="38"/>
  <c r="A17" i="38"/>
  <c r="A18" i="38"/>
  <c r="A19" i="38"/>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AD3" i="2"/>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AK61" i="2" s="1"/>
  <c r="I62" i="2"/>
  <c r="I63" i="2"/>
  <c r="AK63" i="2" s="1"/>
  <c r="I64" i="2"/>
  <c r="AK64" i="2" s="1"/>
  <c r="I65" i="2"/>
  <c r="AK65" i="2" s="1"/>
  <c r="I66" i="2"/>
  <c r="AK66" i="2" s="1"/>
  <c r="I67" i="2"/>
  <c r="AK67" i="2" s="1"/>
  <c r="I68" i="2"/>
  <c r="I69" i="2"/>
  <c r="I70" i="2"/>
  <c r="I71" i="2"/>
  <c r="I72" i="2"/>
  <c r="I73" i="2"/>
  <c r="AK73" i="2" s="1"/>
  <c r="I74" i="2"/>
  <c r="I75" i="2"/>
  <c r="AK75" i="2" s="1"/>
  <c r="I76" i="2"/>
  <c r="AK76" i="2" s="1"/>
  <c r="I77" i="2"/>
  <c r="AK77" i="2" s="1"/>
  <c r="I78" i="2"/>
  <c r="AK78" i="2" s="1"/>
  <c r="I79" i="2"/>
  <c r="AK79" i="2" s="1"/>
  <c r="I80" i="2"/>
  <c r="I81" i="2"/>
  <c r="I82" i="2"/>
  <c r="I83" i="2"/>
  <c r="I84" i="2"/>
  <c r="I85" i="2"/>
  <c r="AK85" i="2" s="1"/>
  <c r="I86" i="2"/>
  <c r="I87" i="2"/>
  <c r="AK87" i="2" s="1"/>
  <c r="I88" i="2"/>
  <c r="AK88" i="2" s="1"/>
  <c r="I89" i="2"/>
  <c r="AK89" i="2" s="1"/>
  <c r="I90" i="2"/>
  <c r="AK90" i="2" s="1"/>
  <c r="I91" i="2"/>
  <c r="AK91" i="2" s="1"/>
  <c r="I92" i="2"/>
  <c r="I93" i="2"/>
  <c r="I94" i="2"/>
  <c r="I95" i="2"/>
  <c r="I96" i="2"/>
  <c r="I97" i="2"/>
  <c r="AK97" i="2" s="1"/>
  <c r="I98" i="2"/>
  <c r="I99" i="2"/>
  <c r="AK99" i="2" s="1"/>
  <c r="I100" i="2"/>
  <c r="AK100" i="2" s="1"/>
  <c r="I101" i="2"/>
  <c r="AK101" i="2" s="1"/>
  <c r="I102" i="2"/>
  <c r="AK102" i="2" s="1"/>
  <c r="I103" i="2"/>
  <c r="AK103" i="2" s="1"/>
  <c r="I104" i="2"/>
  <c r="I105" i="2"/>
  <c r="I106" i="2"/>
  <c r="I107" i="2"/>
  <c r="I108" i="2"/>
  <c r="I109" i="2"/>
  <c r="AK109" i="2" s="1"/>
  <c r="I110" i="2"/>
  <c r="I111" i="2"/>
  <c r="AK111" i="2" s="1"/>
  <c r="I112" i="2"/>
  <c r="AK112" i="2" s="1"/>
  <c r="I113" i="2"/>
  <c r="AK113" i="2" s="1"/>
  <c r="I114" i="2"/>
  <c r="AK114" i="2" s="1"/>
  <c r="I115" i="2"/>
  <c r="AK115" i="2" s="1"/>
  <c r="I116" i="2"/>
  <c r="I117" i="2"/>
  <c r="I118" i="2"/>
  <c r="I119" i="2"/>
  <c r="I120" i="2"/>
  <c r="I121" i="2"/>
  <c r="AK121" i="2" s="1"/>
  <c r="I122" i="2"/>
  <c r="I123" i="2"/>
  <c r="AK123" i="2" s="1"/>
  <c r="I124" i="2"/>
  <c r="AK124" i="2" s="1"/>
  <c r="I125" i="2"/>
  <c r="AK125" i="2" s="1"/>
  <c r="I126" i="2"/>
  <c r="AK126" i="2" s="1"/>
  <c r="I127" i="2"/>
  <c r="AK127" i="2" s="1"/>
  <c r="I128" i="2"/>
  <c r="I129" i="2"/>
  <c r="I130" i="2"/>
  <c r="I131" i="2"/>
  <c r="I132" i="2"/>
  <c r="I133" i="2"/>
  <c r="AK133" i="2" s="1"/>
  <c r="I134" i="2"/>
  <c r="I135" i="2"/>
  <c r="AK135" i="2" s="1"/>
  <c r="I136" i="2"/>
  <c r="AK136" i="2" s="1"/>
  <c r="I137" i="2"/>
  <c r="AK137" i="2" s="1"/>
  <c r="I138" i="2"/>
  <c r="AK138" i="2" s="1"/>
  <c r="I139" i="2"/>
  <c r="AK139" i="2" s="1"/>
  <c r="I140" i="2"/>
  <c r="I141" i="2"/>
  <c r="I142" i="2"/>
  <c r="I143" i="2"/>
  <c r="I144" i="2"/>
  <c r="I145" i="2"/>
  <c r="AK145" i="2" s="1"/>
  <c r="I146" i="2"/>
  <c r="AK146" i="2" s="1"/>
  <c r="I147" i="2"/>
  <c r="AK147" i="2" s="1"/>
  <c r="I148" i="2"/>
  <c r="AK148" i="2" s="1"/>
  <c r="I149" i="2"/>
  <c r="AK149" i="2" s="1"/>
  <c r="I150" i="2"/>
  <c r="AK150" i="2" s="1"/>
  <c r="I151" i="2"/>
  <c r="AK151" i="2" s="1"/>
  <c r="I152" i="2"/>
  <c r="I153" i="2"/>
  <c r="I154" i="2"/>
  <c r="I155" i="2"/>
  <c r="I156" i="2"/>
  <c r="I157" i="2"/>
  <c r="AK157" i="2" s="1"/>
  <c r="I158" i="2"/>
  <c r="I159" i="2"/>
  <c r="AK159" i="2" s="1"/>
  <c r="I160" i="2"/>
  <c r="AK160" i="2" s="1"/>
  <c r="I161" i="2"/>
  <c r="AK161" i="2" s="1"/>
  <c r="I162" i="2"/>
  <c r="AK162" i="2" s="1"/>
  <c r="I163" i="2"/>
  <c r="AK163" i="2" s="1"/>
  <c r="I164" i="2"/>
  <c r="I165" i="2"/>
  <c r="I166" i="2"/>
  <c r="I167" i="2"/>
  <c r="I168" i="2"/>
  <c r="I169" i="2"/>
  <c r="AK169" i="2" s="1"/>
  <c r="I170" i="2"/>
  <c r="I171" i="2"/>
  <c r="AK171" i="2" s="1"/>
  <c r="I172" i="2"/>
  <c r="AK172" i="2" s="1"/>
  <c r="I173" i="2"/>
  <c r="AK173" i="2" s="1"/>
  <c r="I174" i="2"/>
  <c r="AK174" i="2" s="1"/>
  <c r="I175" i="2"/>
  <c r="AK175" i="2" s="1"/>
  <c r="I176" i="2"/>
  <c r="I177" i="2"/>
  <c r="I178" i="2"/>
  <c r="I179" i="2"/>
  <c r="I180" i="2"/>
  <c r="I181" i="2"/>
  <c r="AK181" i="2" s="1"/>
  <c r="I182" i="2"/>
  <c r="I183" i="2"/>
  <c r="AK183" i="2" s="1"/>
  <c r="I184" i="2"/>
  <c r="AK184" i="2" s="1"/>
  <c r="I185" i="2"/>
  <c r="AK185" i="2" s="1"/>
  <c r="I186" i="2"/>
  <c r="AK186" i="2" s="1"/>
  <c r="I187" i="2"/>
  <c r="AK187" i="2" s="1"/>
  <c r="I188" i="2"/>
  <c r="I189" i="2"/>
  <c r="I190" i="2"/>
  <c r="I191" i="2"/>
  <c r="I192" i="2"/>
  <c r="I193" i="2"/>
  <c r="AK193" i="2" s="1"/>
  <c r="I194" i="2"/>
  <c r="I195" i="2"/>
  <c r="AK195" i="2" s="1"/>
  <c r="I196" i="2"/>
  <c r="AK196" i="2" s="1"/>
  <c r="I197" i="2"/>
  <c r="AK197" i="2" s="1"/>
  <c r="I198" i="2"/>
  <c r="AK198" i="2" s="1"/>
  <c r="I199" i="2"/>
  <c r="AK199" i="2" s="1"/>
  <c r="I200" i="2"/>
  <c r="I201" i="2"/>
  <c r="I202" i="2"/>
  <c r="I203" i="2"/>
  <c r="I204" i="2"/>
  <c r="I205" i="2"/>
  <c r="AK205" i="2" s="1"/>
  <c r="I206" i="2"/>
  <c r="I207" i="2"/>
  <c r="AK207" i="2" s="1"/>
  <c r="I208" i="2"/>
  <c r="AK208" i="2" s="1"/>
  <c r="I209" i="2"/>
  <c r="AK209" i="2" s="1"/>
  <c r="I210" i="2"/>
  <c r="AK210" i="2" s="1"/>
  <c r="I211" i="2"/>
  <c r="AK211" i="2" s="1"/>
  <c r="I212" i="2"/>
  <c r="I213" i="2"/>
  <c r="I214" i="2"/>
  <c r="I215" i="2"/>
  <c r="I216" i="2"/>
  <c r="I217" i="2"/>
  <c r="AK217" i="2" s="1"/>
  <c r="I218" i="2"/>
  <c r="I219" i="2"/>
  <c r="AK219" i="2" s="1"/>
  <c r="I220" i="2"/>
  <c r="AK220" i="2" s="1"/>
  <c r="I221" i="2"/>
  <c r="AK221" i="2" s="1"/>
  <c r="I222" i="2"/>
  <c r="AK222" i="2" s="1"/>
  <c r="I223" i="2"/>
  <c r="AK223" i="2" s="1"/>
  <c r="I224" i="2"/>
  <c r="I225" i="2"/>
  <c r="I226" i="2"/>
  <c r="I227" i="2"/>
  <c r="I228" i="2"/>
  <c r="I229" i="2"/>
  <c r="AK229" i="2" s="1"/>
  <c r="I230" i="2"/>
  <c r="I231" i="2"/>
  <c r="AK231" i="2" s="1"/>
  <c r="I232" i="2"/>
  <c r="AK232" i="2" s="1"/>
  <c r="I233" i="2"/>
  <c r="AK233" i="2" s="1"/>
  <c r="I234" i="2"/>
  <c r="AK234" i="2" s="1"/>
  <c r="I235" i="2"/>
  <c r="AK235" i="2" s="1"/>
  <c r="I236" i="2"/>
  <c r="I237" i="2"/>
  <c r="I238" i="2"/>
  <c r="I239" i="2"/>
  <c r="I240" i="2"/>
  <c r="I241" i="2"/>
  <c r="AK241" i="2" s="1"/>
  <c r="I242" i="2"/>
  <c r="I243" i="2"/>
  <c r="AK243" i="2" s="1"/>
  <c r="I244" i="2"/>
  <c r="AK244" i="2" s="1"/>
  <c r="I245" i="2"/>
  <c r="AK245" i="2" s="1"/>
  <c r="I246" i="2"/>
  <c r="AK246" i="2" s="1"/>
  <c r="I247" i="2"/>
  <c r="AK247" i="2" s="1"/>
  <c r="I248" i="2"/>
  <c r="I249" i="2"/>
  <c r="I250" i="2"/>
  <c r="I251" i="2"/>
  <c r="I252" i="2"/>
  <c r="I253" i="2"/>
  <c r="AK253" i="2" s="1"/>
  <c r="I254" i="2"/>
  <c r="I255" i="2"/>
  <c r="AK255" i="2" s="1"/>
  <c r="I256" i="2"/>
  <c r="AK256" i="2" s="1"/>
  <c r="I257" i="2"/>
  <c r="AK257" i="2" s="1"/>
  <c r="I258" i="2"/>
  <c r="AK258" i="2" s="1"/>
  <c r="I259" i="2"/>
  <c r="AK259" i="2" s="1"/>
  <c r="I260" i="2"/>
  <c r="I261" i="2"/>
  <c r="I262" i="2"/>
  <c r="I263" i="2"/>
  <c r="I264" i="2"/>
  <c r="I265" i="2"/>
  <c r="AK265" i="2" s="1"/>
  <c r="I266" i="2"/>
  <c r="I267" i="2"/>
  <c r="AK267" i="2" s="1"/>
  <c r="I268" i="2"/>
  <c r="AK268" i="2" s="1"/>
  <c r="I269" i="2"/>
  <c r="AK269" i="2" s="1"/>
  <c r="I270" i="2"/>
  <c r="AK270" i="2" s="1"/>
  <c r="I271" i="2"/>
  <c r="AK271" i="2" s="1"/>
  <c r="I272" i="2"/>
  <c r="I273" i="2"/>
  <c r="I274" i="2"/>
  <c r="I275" i="2"/>
  <c r="I276" i="2"/>
  <c r="I277" i="2"/>
  <c r="AK277" i="2" s="1"/>
  <c r="I278" i="2"/>
  <c r="I279" i="2"/>
  <c r="AK279" i="2" s="1"/>
  <c r="I280" i="2"/>
  <c r="AK280" i="2" s="1"/>
  <c r="I281" i="2"/>
  <c r="AK281" i="2" s="1"/>
  <c r="I282" i="2"/>
  <c r="AK282" i="2" s="1"/>
  <c r="I283" i="2"/>
  <c r="AK283" i="2" s="1"/>
  <c r="I284" i="2"/>
  <c r="I285" i="2"/>
  <c r="I286" i="2"/>
  <c r="I287" i="2"/>
  <c r="I288" i="2"/>
  <c r="I289" i="2"/>
  <c r="AK289" i="2" s="1"/>
  <c r="I290" i="2"/>
  <c r="I291" i="2"/>
  <c r="AK291" i="2" s="1"/>
  <c r="I292" i="2"/>
  <c r="AK292" i="2" s="1"/>
  <c r="I293" i="2"/>
  <c r="I294" i="2"/>
  <c r="AK294" i="2" s="1"/>
  <c r="I295" i="2"/>
  <c r="AK295" i="2" s="1"/>
  <c r="I296" i="2"/>
  <c r="I297" i="2"/>
  <c r="I298" i="2"/>
  <c r="I299" i="2"/>
  <c r="I300" i="2"/>
  <c r="I301" i="2"/>
  <c r="AK301" i="2" s="1"/>
  <c r="I302" i="2"/>
  <c r="I303" i="2"/>
  <c r="AK303" i="2" s="1"/>
  <c r="I304" i="2"/>
  <c r="AK304" i="2" s="1"/>
  <c r="I305" i="2"/>
  <c r="I306" i="2"/>
  <c r="AK306" i="2" s="1"/>
  <c r="I307" i="2"/>
  <c r="AK307" i="2" s="1"/>
  <c r="I308" i="2"/>
  <c r="I309" i="2"/>
  <c r="I310" i="2"/>
  <c r="I311" i="2"/>
  <c r="I312" i="2"/>
  <c r="I313" i="2"/>
  <c r="AK313" i="2" s="1"/>
  <c r="I314" i="2"/>
  <c r="I315" i="2"/>
  <c r="AK315" i="2" s="1"/>
  <c r="I316" i="2"/>
  <c r="AK316" i="2" s="1"/>
  <c r="I317" i="2"/>
  <c r="I318" i="2"/>
  <c r="AK318" i="2" s="1"/>
  <c r="I319" i="2"/>
  <c r="AK319" i="2" s="1"/>
  <c r="I320" i="2"/>
  <c r="AK320" i="2" s="1"/>
  <c r="I321" i="2"/>
  <c r="I322" i="2"/>
  <c r="I323" i="2"/>
  <c r="I324" i="2"/>
  <c r="I325" i="2"/>
  <c r="AK325" i="2" s="1"/>
  <c r="I326" i="2"/>
  <c r="I327" i="2"/>
  <c r="AK327" i="2" s="1"/>
  <c r="I328" i="2"/>
  <c r="AK328" i="2" s="1"/>
  <c r="I329" i="2"/>
  <c r="I330" i="2"/>
  <c r="AK330" i="2" s="1"/>
  <c r="I331" i="2"/>
  <c r="AK331" i="2" s="1"/>
  <c r="I332" i="2"/>
  <c r="AK332" i="2" s="1"/>
  <c r="I333" i="2"/>
  <c r="I334" i="2"/>
  <c r="I335" i="2"/>
  <c r="I336" i="2"/>
  <c r="I337" i="2"/>
  <c r="AK337" i="2" s="1"/>
  <c r="I338" i="2"/>
  <c r="I339" i="2"/>
  <c r="AK339" i="2" s="1"/>
  <c r="I340" i="2"/>
  <c r="AK340" i="2" s="1"/>
  <c r="I341" i="2"/>
  <c r="I342" i="2"/>
  <c r="AK342" i="2" s="1"/>
  <c r="I343" i="2"/>
  <c r="AK343" i="2" s="1"/>
  <c r="I344" i="2"/>
  <c r="AK344" i="2" s="1"/>
  <c r="I345" i="2"/>
  <c r="I346" i="2"/>
  <c r="I347" i="2"/>
  <c r="I348" i="2"/>
  <c r="I349" i="2"/>
  <c r="AK349" i="2" s="1"/>
  <c r="I350" i="2"/>
  <c r="I2" i="2"/>
  <c r="AG2" i="2"/>
  <c r="AA2" i="2"/>
  <c r="AJ2" i="2"/>
  <c r="AD2" i="2"/>
  <c r="AK218" i="2" l="1"/>
  <c r="AK74" i="2"/>
  <c r="AK350" i="2"/>
  <c r="AK338" i="2"/>
  <c r="AK326" i="2"/>
  <c r="AK314" i="2"/>
  <c r="AK302" i="2"/>
  <c r="AK290" i="2"/>
  <c r="AK278" i="2"/>
  <c r="AK266" i="2"/>
  <c r="AK254" i="2"/>
  <c r="AK242" i="2"/>
  <c r="AK230" i="2"/>
  <c r="AK206" i="2"/>
  <c r="AK194" i="2"/>
  <c r="AK182" i="2"/>
  <c r="AK170" i="2"/>
  <c r="AK158" i="2"/>
  <c r="AK134" i="2"/>
  <c r="AK122" i="2"/>
  <c r="AK110" i="2"/>
  <c r="AK98" i="2"/>
  <c r="AK86" i="2"/>
  <c r="AK62" i="2"/>
  <c r="AK348" i="2"/>
  <c r="AK312" i="2"/>
  <c r="AK276" i="2"/>
  <c r="AK240" i="2"/>
  <c r="AK216" i="2"/>
  <c r="AK180" i="2"/>
  <c r="AK144" i="2"/>
  <c r="AK108" i="2"/>
  <c r="AK72" i="2"/>
  <c r="AK60" i="2"/>
  <c r="AK336" i="2"/>
  <c r="AK324" i="2"/>
  <c r="AK300" i="2"/>
  <c r="AK288" i="2"/>
  <c r="AK264" i="2"/>
  <c r="AK252" i="2"/>
  <c r="AK228" i="2"/>
  <c r="AK204" i="2"/>
  <c r="AK192" i="2"/>
  <c r="AK168" i="2"/>
  <c r="AK156" i="2"/>
  <c r="AK132" i="2"/>
  <c r="AK120" i="2"/>
  <c r="AK96" i="2"/>
  <c r="AK84"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34" i="2"/>
  <c r="AK322" i="2"/>
  <c r="AK310" i="2"/>
  <c r="AK298" i="2"/>
  <c r="AK286" i="2"/>
  <c r="AK274" i="2"/>
  <c r="AK262" i="2"/>
  <c r="AK250" i="2"/>
  <c r="AK238" i="2"/>
  <c r="AK226" i="2"/>
  <c r="AK214" i="2"/>
  <c r="AK202" i="2"/>
  <c r="AK190" i="2"/>
  <c r="AK178" i="2"/>
  <c r="AK166" i="2"/>
  <c r="AK154" i="2"/>
  <c r="AK142" i="2"/>
  <c r="AK130" i="2"/>
  <c r="AK118" i="2"/>
  <c r="AK106" i="2"/>
  <c r="AK94" i="2"/>
  <c r="AK82" i="2"/>
  <c r="AK70" i="2"/>
  <c r="AK58" i="2"/>
  <c r="AK346" i="2"/>
  <c r="AK345" i="2"/>
  <c r="AK333" i="2"/>
  <c r="AK321" i="2"/>
  <c r="AK309" i="2"/>
  <c r="AK297" i="2"/>
  <c r="AK285" i="2"/>
  <c r="AK273" i="2"/>
  <c r="AK261" i="2"/>
  <c r="AK249" i="2"/>
  <c r="AK237" i="2"/>
  <c r="AK225" i="2"/>
  <c r="AK213" i="2"/>
  <c r="AK201" i="2"/>
  <c r="AK189" i="2"/>
  <c r="AK177" i="2"/>
  <c r="AK165" i="2"/>
  <c r="AK153" i="2"/>
  <c r="AK141" i="2"/>
  <c r="AK129" i="2"/>
  <c r="AK117" i="2"/>
  <c r="AK105" i="2"/>
  <c r="AK93" i="2"/>
  <c r="AK81" i="2"/>
  <c r="AK69" i="2"/>
  <c r="AK57" i="2"/>
  <c r="AK308" i="2"/>
  <c r="AK296" i="2"/>
  <c r="AK284" i="2"/>
  <c r="AK272" i="2"/>
  <c r="AK260" i="2"/>
  <c r="AK248" i="2"/>
  <c r="AK236" i="2"/>
  <c r="AK224" i="2"/>
  <c r="AK212" i="2"/>
  <c r="AK200" i="2"/>
  <c r="AK188" i="2"/>
  <c r="AK176" i="2"/>
  <c r="AK164" i="2"/>
  <c r="AK152" i="2"/>
  <c r="AK140" i="2"/>
  <c r="AK128" i="2"/>
  <c r="AK116" i="2"/>
  <c r="AK104" i="2"/>
  <c r="AK92" i="2"/>
  <c r="AK80" i="2"/>
  <c r="AK68" i="2"/>
  <c r="AK56"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K2" i="2" l="1"/>
  <c r="AE2" i="2"/>
  <c r="AB2" i="2"/>
  <c r="Y2" i="2"/>
  <c r="AH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2" i="33"/>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B18" i="15"/>
  <c r="C94" i="15"/>
  <c r="B13" i="15"/>
  <c r="AK12" i="2" l="1"/>
  <c r="AE12" i="2"/>
  <c r="AB94" i="15"/>
  <c r="AE94" i="15"/>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J24" i="33"/>
  <c r="V24" i="33" s="1"/>
  <c r="B25" i="33"/>
  <c r="J25" i="33"/>
  <c r="V25" i="33" s="1"/>
  <c r="B26" i="33"/>
  <c r="J26" i="33"/>
  <c r="V26" i="33" s="1"/>
  <c r="B27" i="33"/>
  <c r="J27" i="33"/>
  <c r="V27" i="33" s="1"/>
  <c r="B28" i="33"/>
  <c r="J28" i="33"/>
  <c r="V28" i="33" s="1"/>
  <c r="B29" i="33"/>
  <c r="J29" i="33"/>
  <c r="V29" i="33" s="1"/>
  <c r="B30" i="33"/>
  <c r="J30" i="33"/>
  <c r="V30" i="33" s="1"/>
  <c r="B31" i="33"/>
  <c r="J31" i="33"/>
  <c r="V31" i="33" s="1"/>
  <c r="B32" i="33"/>
  <c r="J32" i="33"/>
  <c r="V32" i="33" s="1"/>
  <c r="B33" i="33"/>
  <c r="J33" i="33"/>
  <c r="V33" i="33" s="1"/>
  <c r="B34" i="33"/>
  <c r="J34" i="33"/>
  <c r="V34" i="33" s="1"/>
  <c r="B35" i="33"/>
  <c r="J35" i="33"/>
  <c r="V35" i="33" s="1"/>
  <c r="B36" i="33"/>
  <c r="J36" i="33"/>
  <c r="V36" i="33" s="1"/>
  <c r="B37" i="33"/>
  <c r="J37" i="33"/>
  <c r="V37" i="33" s="1"/>
  <c r="B38" i="33"/>
  <c r="J38" i="33"/>
  <c r="V38" i="33" s="1"/>
  <c r="B39" i="33"/>
  <c r="J39" i="33"/>
  <c r="V39" i="33" s="1"/>
  <c r="B40" i="33"/>
  <c r="J40" i="33"/>
  <c r="V40" i="33" s="1"/>
  <c r="B41" i="33"/>
  <c r="J41" i="33"/>
  <c r="V41" i="33" s="1"/>
  <c r="B42" i="33"/>
  <c r="J42" i="33"/>
  <c r="V42" i="33" s="1"/>
  <c r="B43" i="33"/>
  <c r="J43" i="33"/>
  <c r="V43" i="33" s="1"/>
  <c r="B44" i="33"/>
  <c r="J44" i="33"/>
  <c r="V44" i="33" s="1"/>
  <c r="B45" i="33"/>
  <c r="J45" i="33"/>
  <c r="V45" i="33" s="1"/>
  <c r="B46" i="33"/>
  <c r="J46" i="33"/>
  <c r="V46" i="33" s="1"/>
  <c r="B47" i="33"/>
  <c r="J47" i="33"/>
  <c r="V47" i="33" s="1"/>
  <c r="B48" i="33"/>
  <c r="J48" i="33"/>
  <c r="V48" i="33" s="1"/>
  <c r="B49" i="33"/>
  <c r="J49" i="33"/>
  <c r="V49" i="33" s="1"/>
  <c r="B50" i="33"/>
  <c r="J50" i="33"/>
  <c r="V50" i="33" s="1"/>
  <c r="B51" i="33"/>
  <c r="J51" i="33"/>
  <c r="V51" i="33" s="1"/>
  <c r="B52" i="33"/>
  <c r="J52" i="33"/>
  <c r="V52" i="33" s="1"/>
  <c r="B53" i="33"/>
  <c r="J53" i="33"/>
  <c r="V53" i="33" s="1"/>
  <c r="B54" i="33"/>
  <c r="J54" i="33"/>
  <c r="V54" i="33" s="1"/>
  <c r="B55" i="33"/>
  <c r="J55" i="33"/>
  <c r="V55" i="33" s="1"/>
  <c r="B56" i="33"/>
  <c r="J56" i="33"/>
  <c r="V56" i="33" s="1"/>
  <c r="B57" i="33"/>
  <c r="J57" i="33"/>
  <c r="V57" i="33" s="1"/>
  <c r="B58" i="33"/>
  <c r="J58" i="33"/>
  <c r="V58" i="33" s="1"/>
  <c r="B59" i="33"/>
  <c r="J59" i="33"/>
  <c r="V59" i="33" s="1"/>
  <c r="B60" i="33"/>
  <c r="J60" i="33"/>
  <c r="V60" i="33" s="1"/>
  <c r="B61" i="33"/>
  <c r="J61" i="33"/>
  <c r="V61" i="33" s="1"/>
  <c r="B62" i="33"/>
  <c r="J62" i="33"/>
  <c r="V62" i="33" s="1"/>
  <c r="B63" i="33"/>
  <c r="J63" i="33"/>
  <c r="V63" i="33" s="1"/>
  <c r="B64" i="33"/>
  <c r="J64" i="33"/>
  <c r="V64" i="33" s="1"/>
  <c r="B65" i="33"/>
  <c r="J65" i="33"/>
  <c r="V65" i="33" s="1"/>
  <c r="B66" i="33"/>
  <c r="J66" i="33"/>
  <c r="V66" i="33" s="1"/>
  <c r="B67" i="33"/>
  <c r="J67" i="33"/>
  <c r="V67" i="33" s="1"/>
  <c r="B68" i="33"/>
  <c r="J68" i="33"/>
  <c r="V68" i="33" s="1"/>
  <c r="B69" i="33"/>
  <c r="J69" i="33"/>
  <c r="V69" i="33" s="1"/>
  <c r="B70" i="33"/>
  <c r="J70" i="33"/>
  <c r="V70" i="33" s="1"/>
  <c r="B71" i="33"/>
  <c r="J71" i="33"/>
  <c r="V71" i="33" s="1"/>
  <c r="B72" i="33"/>
  <c r="J72" i="33"/>
  <c r="V72" i="33" s="1"/>
  <c r="B73" i="33"/>
  <c r="J73" i="33"/>
  <c r="V73" i="33" s="1"/>
  <c r="B74" i="33"/>
  <c r="J74" i="33"/>
  <c r="V74" i="33" s="1"/>
  <c r="B75" i="33"/>
  <c r="J75" i="33"/>
  <c r="V75" i="33" s="1"/>
  <c r="B76" i="33"/>
  <c r="J76" i="33"/>
  <c r="V76" i="33" s="1"/>
  <c r="B77" i="33"/>
  <c r="J77" i="33"/>
  <c r="V77" i="33" s="1"/>
  <c r="B78" i="33"/>
  <c r="J78" i="33"/>
  <c r="V78" i="33" s="1"/>
  <c r="B79" i="33"/>
  <c r="J79" i="33"/>
  <c r="V79" i="33" s="1"/>
  <c r="B80" i="33"/>
  <c r="J80" i="33"/>
  <c r="V80" i="33" s="1"/>
  <c r="B81" i="33"/>
  <c r="J81" i="33"/>
  <c r="V81" i="33" s="1"/>
  <c r="B82" i="33"/>
  <c r="J82" i="33"/>
  <c r="V82" i="33" s="1"/>
  <c r="B83" i="33"/>
  <c r="J83" i="33"/>
  <c r="V83" i="33" s="1"/>
  <c r="B84" i="33"/>
  <c r="J84" i="33"/>
  <c r="V84" i="33" s="1"/>
  <c r="B85" i="33"/>
  <c r="J85" i="33"/>
  <c r="V85" i="33" s="1"/>
  <c r="B86" i="33"/>
  <c r="J86" i="33"/>
  <c r="V86" i="33" s="1"/>
  <c r="B87" i="33"/>
  <c r="J87" i="33"/>
  <c r="V87" i="33" s="1"/>
  <c r="B88" i="33"/>
  <c r="J88" i="33"/>
  <c r="V88" i="33" s="1"/>
  <c r="B89" i="33"/>
  <c r="J89" i="33"/>
  <c r="V89" i="33" s="1"/>
  <c r="B90" i="33"/>
  <c r="J90" i="33"/>
  <c r="V90" i="33" s="1"/>
  <c r="B91" i="33"/>
  <c r="J91" i="33"/>
  <c r="V91" i="33" s="1"/>
  <c r="B92" i="33"/>
  <c r="J92" i="33"/>
  <c r="V92" i="33" s="1"/>
  <c r="B93" i="33"/>
  <c r="J93" i="33"/>
  <c r="V93" i="33" s="1"/>
  <c r="B94" i="33"/>
  <c r="J94" i="33"/>
  <c r="V94" i="33" s="1"/>
  <c r="B95" i="33"/>
  <c r="J95" i="33"/>
  <c r="V95" i="33" s="1"/>
  <c r="B96" i="33"/>
  <c r="J96" i="33"/>
  <c r="V96" i="33" s="1"/>
  <c r="B97" i="33"/>
  <c r="J97" i="33"/>
  <c r="V97" i="33" s="1"/>
  <c r="B98" i="33"/>
  <c r="J98" i="33"/>
  <c r="V98" i="33" s="1"/>
  <c r="B99" i="33"/>
  <c r="J99" i="33"/>
  <c r="V99" i="33" s="1"/>
  <c r="B100" i="33"/>
  <c r="J100" i="33"/>
  <c r="V100" i="33" s="1"/>
  <c r="B101" i="33"/>
  <c r="J101" i="33"/>
  <c r="V101" i="33" s="1"/>
  <c r="B102" i="33"/>
  <c r="J102" i="33"/>
  <c r="V102" i="33" s="1"/>
  <c r="B103" i="33"/>
  <c r="J103" i="33"/>
  <c r="V103" i="33" s="1"/>
  <c r="B104" i="33"/>
  <c r="J104" i="33"/>
  <c r="V104" i="33" s="1"/>
  <c r="B105" i="33"/>
  <c r="J105" i="33"/>
  <c r="V105" i="33" s="1"/>
  <c r="B106" i="33"/>
  <c r="J106" i="33"/>
  <c r="V106" i="33" s="1"/>
  <c r="B107" i="33"/>
  <c r="J107" i="33"/>
  <c r="V107" i="33" s="1"/>
  <c r="B108" i="33"/>
  <c r="J108" i="33"/>
  <c r="V108" i="33" s="1"/>
  <c r="B109" i="33"/>
  <c r="J109" i="33"/>
  <c r="V109" i="33" s="1"/>
  <c r="B110" i="33"/>
  <c r="J110" i="33"/>
  <c r="V110" i="33" s="1"/>
  <c r="B111" i="33"/>
  <c r="J111" i="33"/>
  <c r="V111" i="33" s="1"/>
  <c r="B112" i="33"/>
  <c r="J112" i="33"/>
  <c r="V112" i="33" s="1"/>
  <c r="B113" i="33"/>
  <c r="J113" i="33"/>
  <c r="V113" i="33" s="1"/>
  <c r="B114" i="33"/>
  <c r="J114" i="33"/>
  <c r="V114" i="33" s="1"/>
  <c r="B115" i="33"/>
  <c r="J115" i="33"/>
  <c r="V115" i="33" s="1"/>
  <c r="B116" i="33"/>
  <c r="J116" i="33"/>
  <c r="V116" i="33" s="1"/>
  <c r="B117" i="33"/>
  <c r="J117" i="33"/>
  <c r="V117" i="33" s="1"/>
  <c r="B118" i="33"/>
  <c r="J118" i="33"/>
  <c r="V118" i="33" s="1"/>
  <c r="B119" i="33"/>
  <c r="J119" i="33"/>
  <c r="V119" i="33" s="1"/>
  <c r="B120" i="33"/>
  <c r="J120" i="33"/>
  <c r="V120" i="33" s="1"/>
  <c r="B121" i="33"/>
  <c r="J121" i="33"/>
  <c r="V121" i="33" s="1"/>
  <c r="B122" i="33"/>
  <c r="J122" i="33"/>
  <c r="V122" i="33" s="1"/>
  <c r="B123" i="33"/>
  <c r="J123" i="33"/>
  <c r="V123" i="33" s="1"/>
  <c r="B124" i="33"/>
  <c r="J124" i="33"/>
  <c r="V124" i="33" s="1"/>
  <c r="B125" i="33"/>
  <c r="J125" i="33"/>
  <c r="V125" i="33" s="1"/>
  <c r="B126" i="33"/>
  <c r="J126" i="33"/>
  <c r="V126" i="33" s="1"/>
  <c r="B127" i="33"/>
  <c r="J127" i="33"/>
  <c r="V127" i="33" s="1"/>
  <c r="B128" i="33"/>
  <c r="J128" i="33"/>
  <c r="V128" i="33" s="1"/>
  <c r="B129" i="33"/>
  <c r="J129" i="33"/>
  <c r="V129" i="33" s="1"/>
  <c r="B130" i="33"/>
  <c r="J130" i="33"/>
  <c r="V130" i="33" s="1"/>
  <c r="B131" i="33"/>
  <c r="J131" i="33"/>
  <c r="V131" i="33" s="1"/>
  <c r="B132" i="33"/>
  <c r="J132" i="33"/>
  <c r="V132" i="33" s="1"/>
  <c r="B133" i="33"/>
  <c r="J133" i="33"/>
  <c r="V133" i="33" s="1"/>
  <c r="B134" i="33"/>
  <c r="J134" i="33"/>
  <c r="V134" i="33" s="1"/>
  <c r="B135" i="33"/>
  <c r="J135" i="33"/>
  <c r="V135" i="33" s="1"/>
  <c r="B136" i="33"/>
  <c r="J136" i="33"/>
  <c r="V136" i="33" s="1"/>
  <c r="B137" i="33"/>
  <c r="J137" i="33"/>
  <c r="V137" i="33" s="1"/>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J20" i="33"/>
  <c r="V20" i="33" s="1"/>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J19" i="33"/>
  <c r="V19" i="33" s="1"/>
  <c r="J23" i="33"/>
  <c r="V23" i="33" s="1"/>
  <c r="J7" i="33"/>
  <c r="V7" i="33" s="1"/>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H349" i="2"/>
  <c r="AH348" i="2"/>
  <c r="AH347" i="2"/>
  <c r="AH346" i="2"/>
  <c r="Y350" i="2"/>
  <c r="AB350" i="2"/>
  <c r="Y349" i="2"/>
  <c r="AB349" i="2"/>
  <c r="AB348" i="2"/>
  <c r="Y348" i="2"/>
  <c r="Y347" i="2"/>
  <c r="AB347" i="2"/>
  <c r="Y346" i="2"/>
  <c r="AB346" i="2"/>
  <c r="V60" i="2"/>
  <c r="AE60" i="2" s="1"/>
  <c r="AH60" i="2" l="1"/>
  <c r="Y60" i="2"/>
  <c r="AB60" i="2"/>
  <c r="V280" i="2"/>
  <c r="V274" i="2"/>
  <c r="V273" i="2"/>
  <c r="V269" i="2"/>
  <c r="V268" i="2"/>
  <c r="V259" i="2"/>
  <c r="V255" i="2"/>
  <c r="V254" i="2"/>
  <c r="V253" i="2"/>
  <c r="V251" i="2"/>
  <c r="V247" i="2"/>
  <c r="V243" i="2"/>
  <c r="V242" i="2"/>
  <c r="V241" i="2"/>
  <c r="V239" i="2"/>
  <c r="V235" i="2"/>
  <c r="V31" i="2"/>
  <c r="V89" i="2"/>
  <c r="AE89" i="2" s="1"/>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AE61" i="2" s="1"/>
  <c r="Z61" i="2"/>
  <c r="AC61" i="2"/>
  <c r="AF61" i="2"/>
  <c r="Z62" i="2"/>
  <c r="AC62" i="2"/>
  <c r="AF62" i="2"/>
  <c r="Z63" i="2"/>
  <c r="AC63" i="2"/>
  <c r="AF63" i="2"/>
  <c r="Z64" i="2"/>
  <c r="AC64" i="2"/>
  <c r="AF64" i="2"/>
  <c r="Z65" i="2"/>
  <c r="AC65" i="2"/>
  <c r="AF65" i="2"/>
  <c r="Z66" i="2"/>
  <c r="AC66" i="2"/>
  <c r="AF66" i="2"/>
  <c r="Z89" i="2"/>
  <c r="AC89" i="2"/>
  <c r="AF89" i="2"/>
  <c r="V90" i="2"/>
  <c r="AE90" i="2" s="1"/>
  <c r="Z90" i="2"/>
  <c r="AC90" i="2"/>
  <c r="AF90" i="2"/>
  <c r="Z91" i="2"/>
  <c r="AC91" i="2"/>
  <c r="AF91" i="2"/>
  <c r="Z92" i="2"/>
  <c r="AC92" i="2"/>
  <c r="AF92" i="2"/>
  <c r="Z93" i="2"/>
  <c r="AC93" i="2"/>
  <c r="AF93" i="2"/>
  <c r="Z94" i="2"/>
  <c r="AC94" i="2"/>
  <c r="AF94" i="2"/>
  <c r="Z95" i="2"/>
  <c r="AC95" i="2"/>
  <c r="AF95" i="2"/>
  <c r="AK33" i="2" l="1"/>
  <c r="AE33" i="2"/>
  <c r="AK31" i="2"/>
  <c r="AE31" i="2"/>
  <c r="AH252" i="2"/>
  <c r="AH259" i="2"/>
  <c r="AH31" i="2"/>
  <c r="AH266" i="2"/>
  <c r="AH248" i="2"/>
  <c r="AH235" i="2"/>
  <c r="AH269" i="2"/>
  <c r="AH271" i="2"/>
  <c r="AH268" i="2"/>
  <c r="AH61" i="2"/>
  <c r="AH265" i="2"/>
  <c r="AH246" i="2"/>
  <c r="AH239" i="2"/>
  <c r="AH273" i="2"/>
  <c r="AH272" i="2"/>
  <c r="AH249" i="2"/>
  <c r="AH264" i="2"/>
  <c r="AH245" i="2"/>
  <c r="AH241" i="2"/>
  <c r="AH274" i="2"/>
  <c r="AH254" i="2"/>
  <c r="AH255" i="2"/>
  <c r="AH89" i="2"/>
  <c r="AH279" i="2"/>
  <c r="AH262" i="2"/>
  <c r="AH244" i="2"/>
  <c r="AH242" i="2"/>
  <c r="AH280" i="2"/>
  <c r="AH33" i="2"/>
  <c r="AH205" i="2"/>
  <c r="AH278" i="2"/>
  <c r="AH261" i="2"/>
  <c r="AH240" i="2"/>
  <c r="AH243" i="2"/>
  <c r="AH250" i="2"/>
  <c r="AH277" i="2"/>
  <c r="AH260" i="2"/>
  <c r="AH238" i="2"/>
  <c r="AH247" i="2"/>
  <c r="AH234" i="2"/>
  <c r="AH90" i="2"/>
  <c r="AH276" i="2"/>
  <c r="AH258" i="2"/>
  <c r="AH237" i="2"/>
  <c r="AH251" i="2"/>
  <c r="AH256" i="2"/>
  <c r="AH270" i="2"/>
  <c r="AH267" i="2"/>
  <c r="AH275" i="2"/>
  <c r="AH257" i="2"/>
  <c r="AH236"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V3" i="2"/>
  <c r="V62" i="2"/>
  <c r="AE62" i="2" s="1"/>
  <c r="V34" i="2"/>
  <c r="V4" i="2"/>
  <c r="V91" i="2"/>
  <c r="AE91" i="2" s="1"/>
  <c r="AK34" i="2" l="1"/>
  <c r="AE34" i="2"/>
  <c r="AK3" i="2"/>
  <c r="AE3" i="2"/>
  <c r="AK32" i="2"/>
  <c r="AE32" i="2"/>
  <c r="AK4" i="2"/>
  <c r="AE4" i="2"/>
  <c r="AH34" i="2"/>
  <c r="AH91" i="2"/>
  <c r="AH4" i="2"/>
  <c r="AH62" i="2"/>
  <c r="AH3" i="2"/>
  <c r="AH32" i="2"/>
  <c r="Y34" i="2"/>
  <c r="AB34" i="2"/>
  <c r="Y62" i="2"/>
  <c r="AB62" i="2"/>
  <c r="Y32" i="2"/>
  <c r="AB32" i="2"/>
  <c r="Y91" i="2"/>
  <c r="AB91" i="2"/>
  <c r="V63" i="2"/>
  <c r="AE63" i="2" s="1"/>
  <c r="V92" i="2"/>
  <c r="AE92" i="2" s="1"/>
  <c r="V35" i="2"/>
  <c r="V5" i="2"/>
  <c r="AK5" i="2" l="1"/>
  <c r="AE5" i="2"/>
  <c r="AK35" i="2"/>
  <c r="AE35" i="2"/>
  <c r="AH92" i="2"/>
  <c r="AH5" i="2"/>
  <c r="AH35" i="2"/>
  <c r="AH63" i="2"/>
  <c r="Y35" i="2"/>
  <c r="AB35" i="2"/>
  <c r="Y63" i="2"/>
  <c r="AB63" i="2"/>
  <c r="Y92" i="2"/>
  <c r="AB92" i="2"/>
  <c r="V64" i="2"/>
  <c r="AE64" i="2" s="1"/>
  <c r="V93" i="2"/>
  <c r="AE93" i="2" s="1"/>
  <c r="V6" i="2"/>
  <c r="V36" i="2"/>
  <c r="AK36" i="2" l="1"/>
  <c r="AE36" i="2"/>
  <c r="AK6" i="2"/>
  <c r="AE6" i="2"/>
  <c r="AH6" i="2"/>
  <c r="AH93" i="2"/>
  <c r="AH36" i="2"/>
  <c r="AH64" i="2"/>
  <c r="Y36" i="2"/>
  <c r="AB36" i="2"/>
  <c r="Y93" i="2"/>
  <c r="AB93" i="2"/>
  <c r="Y64" i="2"/>
  <c r="AB64" i="2"/>
  <c r="V65" i="2"/>
  <c r="AE65" i="2" s="1"/>
  <c r="V7" i="2"/>
  <c r="V94" i="2"/>
  <c r="AE94" i="2" s="1"/>
  <c r="AK7" i="2" l="1"/>
  <c r="AE7" i="2"/>
  <c r="AH94" i="2"/>
  <c r="AH7" i="2"/>
  <c r="AH65" i="2"/>
  <c r="Y94" i="2"/>
  <c r="AB94" i="2"/>
  <c r="Y65" i="2"/>
  <c r="AB65" i="2"/>
  <c r="V8" i="2"/>
  <c r="V37" i="2"/>
  <c r="AK37" i="2" l="1"/>
  <c r="AE37" i="2"/>
  <c r="AK8" i="2"/>
  <c r="AE8" i="2"/>
  <c r="AH37" i="2"/>
  <c r="AH8" i="2"/>
  <c r="Y37" i="2"/>
  <c r="AB37" i="2"/>
  <c r="V9" i="2"/>
  <c r="V38" i="2"/>
  <c r="V66" i="2"/>
  <c r="AE66" i="2" s="1"/>
  <c r="V95" i="2"/>
  <c r="AE95" i="2" s="1"/>
  <c r="AK9" i="2" l="1"/>
  <c r="AE9" i="2"/>
  <c r="AK38" i="2"/>
  <c r="AE38" i="2"/>
  <c r="AH38" i="2"/>
  <c r="AH95" i="2"/>
  <c r="AH66" i="2"/>
  <c r="AH9" i="2"/>
  <c r="Y95" i="2"/>
  <c r="AB95" i="2"/>
  <c r="Y66" i="2"/>
  <c r="AB66" i="2"/>
  <c r="Y38" i="2"/>
  <c r="AB38" i="2"/>
  <c r="V10" i="2"/>
  <c r="V39" i="2"/>
  <c r="V67" i="2"/>
  <c r="AE67" i="2" s="1"/>
  <c r="V96" i="2"/>
  <c r="AE96" i="2" s="1"/>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K39" i="2" l="1"/>
  <c r="AE39" i="2"/>
  <c r="AK10" i="2"/>
  <c r="AE10" i="2"/>
  <c r="AH96" i="2"/>
  <c r="AH67" i="2"/>
  <c r="AH39" i="2"/>
  <c r="AH10" i="2"/>
  <c r="Y96" i="2"/>
  <c r="AB96" i="2"/>
  <c r="Y67" i="2"/>
  <c r="AB67" i="2"/>
  <c r="Y39" i="2"/>
  <c r="AB39" i="2"/>
  <c r="V207" i="2"/>
  <c r="V206" i="2"/>
  <c r="V11" i="2"/>
  <c r="V40" i="2"/>
  <c r="V68" i="2"/>
  <c r="AE68" i="2" s="1"/>
  <c r="V97" i="2"/>
  <c r="AE97" i="2" s="1"/>
  <c r="AK40" i="2" l="1"/>
  <c r="AE40" i="2"/>
  <c r="AK11" i="2"/>
  <c r="AE11" i="2"/>
  <c r="AH40" i="2"/>
  <c r="AH206" i="2"/>
  <c r="AH97" i="2"/>
  <c r="AH68" i="2"/>
  <c r="AH11" i="2"/>
  <c r="AH207" i="2"/>
  <c r="Y40" i="2"/>
  <c r="AB40" i="2"/>
  <c r="Y206" i="2"/>
  <c r="AB206" i="2"/>
  <c r="Y97" i="2"/>
  <c r="AB97" i="2"/>
  <c r="Y68" i="2"/>
  <c r="AB68" i="2"/>
  <c r="Y207" i="2"/>
  <c r="AB207" i="2"/>
  <c r="V41" i="2"/>
  <c r="V69" i="2"/>
  <c r="AE69" i="2" s="1"/>
  <c r="V98" i="2"/>
  <c r="AE98" i="2" s="1"/>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K41" i="2" l="1"/>
  <c r="AE41" i="2"/>
  <c r="AH69" i="2"/>
  <c r="AH41" i="2"/>
  <c r="AH208" i="2"/>
  <c r="AH98" i="2"/>
  <c r="Y98" i="2"/>
  <c r="AB98" i="2"/>
  <c r="Y69" i="2"/>
  <c r="AB69" i="2"/>
  <c r="Y41" i="2"/>
  <c r="AB41" i="2"/>
  <c r="Y208" i="2"/>
  <c r="AB208" i="2"/>
  <c r="C12" i="15"/>
  <c r="J5" i="33" s="1"/>
  <c r="V5" i="33" s="1"/>
  <c r="I19" i="15"/>
  <c r="C19" i="15" s="1"/>
  <c r="I2" i="15"/>
  <c r="C2" i="15" s="1"/>
  <c r="I9" i="15"/>
  <c r="C9" i="15" s="1"/>
  <c r="V13" i="2"/>
  <c r="V42" i="2"/>
  <c r="V70" i="2"/>
  <c r="AE70" i="2" s="1"/>
  <c r="V99" i="2"/>
  <c r="AE99" i="2" s="1"/>
  <c r="V209" i="2"/>
  <c r="AK13" i="2" l="1"/>
  <c r="AE13" i="2"/>
  <c r="AK42" i="2"/>
  <c r="AE42" i="2"/>
  <c r="J25" i="39"/>
  <c r="J28" i="39"/>
  <c r="R5" i="33"/>
  <c r="N5" i="33"/>
  <c r="P5" i="33"/>
  <c r="T5" i="33"/>
  <c r="L5" i="33"/>
  <c r="AH99" i="2"/>
  <c r="AH13" i="2"/>
  <c r="AH70" i="2"/>
  <c r="AH42" i="2"/>
  <c r="AH209" i="2"/>
  <c r="AB9" i="15"/>
  <c r="AE9" i="15"/>
  <c r="AB2" i="15"/>
  <c r="AE2" i="15"/>
  <c r="AB19" i="15"/>
  <c r="AE19" i="15"/>
  <c r="AB12" i="15"/>
  <c r="AE12" i="15"/>
  <c r="P2" i="15"/>
  <c r="V2" i="15"/>
  <c r="S2" i="15"/>
  <c r="Y2" i="15"/>
  <c r="Y19" i="15"/>
  <c r="P19" i="15"/>
  <c r="S19" i="15"/>
  <c r="V19" i="15"/>
  <c r="V9" i="15"/>
  <c r="P9" i="15"/>
  <c r="Y9" i="15"/>
  <c r="S9" i="15"/>
  <c r="Y12" i="15"/>
  <c r="P12" i="15"/>
  <c r="V12" i="15"/>
  <c r="S12" i="15"/>
  <c r="J16" i="33"/>
  <c r="V16" i="33" s="1"/>
  <c r="J15" i="33"/>
  <c r="V15" i="33" s="1"/>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7" i="33"/>
  <c r="V17" i="33" s="1"/>
  <c r="V14" i="2"/>
  <c r="V43" i="2"/>
  <c r="V71" i="2"/>
  <c r="AE71" i="2" s="1"/>
  <c r="V100" i="2"/>
  <c r="AE100" i="2" s="1"/>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AK43" i="2" l="1"/>
  <c r="AE43" i="2"/>
  <c r="AK14" i="2"/>
  <c r="AE14" i="2"/>
  <c r="U28" i="39"/>
  <c r="S28" i="39"/>
  <c r="K28" i="39"/>
  <c r="O28" i="39"/>
  <c r="M28" i="39"/>
  <c r="Q28" i="39"/>
  <c r="O25" i="39"/>
  <c r="U25" i="39"/>
  <c r="M25" i="39"/>
  <c r="Q25" i="39"/>
  <c r="K25" i="39"/>
  <c r="S25" i="39"/>
  <c r="AH323" i="2"/>
  <c r="AH296" i="2"/>
  <c r="AH335" i="2"/>
  <c r="AH334" i="2"/>
  <c r="AH297" i="2"/>
  <c r="AH295" i="2"/>
  <c r="AH283" i="2"/>
  <c r="AH299" i="2"/>
  <c r="AH345" i="2"/>
  <c r="AH330" i="2"/>
  <c r="AH311" i="2"/>
  <c r="AH322" i="2"/>
  <c r="AH333" i="2"/>
  <c r="AH332" i="2"/>
  <c r="AH343" i="2"/>
  <c r="AH294" i="2"/>
  <c r="AH341" i="2"/>
  <c r="AH293" i="2"/>
  <c r="AH340" i="2"/>
  <c r="AH328" i="2"/>
  <c r="AH316" i="2"/>
  <c r="AH304" i="2"/>
  <c r="AH292" i="2"/>
  <c r="AH210" i="2"/>
  <c r="AH287" i="2"/>
  <c r="AH298" i="2"/>
  <c r="AH309" i="2"/>
  <c r="AH308" i="2"/>
  <c r="AH282" i="2"/>
  <c r="AH305" i="2"/>
  <c r="AH281" i="2"/>
  <c r="AH339" i="2"/>
  <c r="AH327" i="2"/>
  <c r="AH315" i="2"/>
  <c r="AH303" i="2"/>
  <c r="AH291" i="2"/>
  <c r="AH100" i="2"/>
  <c r="AH286" i="2"/>
  <c r="AH284" i="2"/>
  <c r="AH307" i="2"/>
  <c r="AH318" i="2"/>
  <c r="AH338" i="2"/>
  <c r="AH302" i="2"/>
  <c r="AH71" i="2"/>
  <c r="AH310" i="2"/>
  <c r="AH321" i="2"/>
  <c r="AH320" i="2"/>
  <c r="AH331" i="2"/>
  <c r="AH306" i="2"/>
  <c r="AH329" i="2"/>
  <c r="AH326" i="2"/>
  <c r="AH325" i="2"/>
  <c r="AH313" i="2"/>
  <c r="AH301" i="2"/>
  <c r="AH289" i="2"/>
  <c r="AH43" i="2"/>
  <c r="AH285" i="2"/>
  <c r="AH344" i="2"/>
  <c r="AH319" i="2"/>
  <c r="AH342" i="2"/>
  <c r="AH317" i="2"/>
  <c r="AH314" i="2"/>
  <c r="AH290" i="2"/>
  <c r="AH337" i="2"/>
  <c r="AH336" i="2"/>
  <c r="AH324" i="2"/>
  <c r="AH312" i="2"/>
  <c r="AH300" i="2"/>
  <c r="AH288" i="2"/>
  <c r="AH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J9" i="33"/>
  <c r="V9" i="33" s="1"/>
  <c r="J21" i="33"/>
  <c r="V21" i="33" s="1"/>
  <c r="J22" i="33"/>
  <c r="V22" i="33" s="1"/>
  <c r="J18" i="33"/>
  <c r="V18" i="33" s="1"/>
  <c r="J14" i="33"/>
  <c r="V14" i="33" s="1"/>
  <c r="A26" i="27"/>
  <c r="A27" i="27"/>
  <c r="A25" i="27"/>
  <c r="A29" i="27"/>
  <c r="A28" i="27"/>
  <c r="V15" i="2"/>
  <c r="V44" i="2"/>
  <c r="V72" i="2"/>
  <c r="AE72" i="2" s="1"/>
  <c r="V101" i="2"/>
  <c r="AE101" i="2" s="1"/>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K44" i="2" l="1"/>
  <c r="AE44" i="2"/>
  <c r="AK15" i="2"/>
  <c r="AE15" i="2"/>
  <c r="AH211" i="2"/>
  <c r="AH72" i="2"/>
  <c r="AH44" i="2"/>
  <c r="AH101" i="2"/>
  <c r="AH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V45" i="2"/>
  <c r="V73" i="2"/>
  <c r="AE73" i="2" s="1"/>
  <c r="V102" i="2"/>
  <c r="AE102" i="2" s="1"/>
  <c r="V212" i="2"/>
  <c r="I25" i="15"/>
  <c r="C25" i="15" s="1"/>
  <c r="AK45" i="2" l="1"/>
  <c r="AE45" i="2"/>
  <c r="AK16" i="2"/>
  <c r="AE16" i="2"/>
  <c r="AH45" i="2"/>
  <c r="AH73" i="2"/>
  <c r="AH212" i="2"/>
  <c r="AH16" i="2"/>
  <c r="AH102" i="2"/>
  <c r="AB25" i="15"/>
  <c r="AE25" i="15"/>
  <c r="Y25" i="15"/>
  <c r="V25" i="15"/>
  <c r="P25" i="15"/>
  <c r="S25" i="15"/>
  <c r="B29" i="46"/>
  <c r="B26" i="46"/>
  <c r="J4" i="39"/>
  <c r="U4" i="39" s="1"/>
  <c r="J2" i="39"/>
  <c r="J4" i="33"/>
  <c r="V4" i="33" s="1"/>
  <c r="J8" i="33"/>
  <c r="V8" i="33" s="1"/>
  <c r="Y73" i="2"/>
  <c r="AB73" i="2"/>
  <c r="Y45" i="2"/>
  <c r="AB45" i="2"/>
  <c r="Y212" i="2"/>
  <c r="AB212" i="2"/>
  <c r="Y102" i="2"/>
  <c r="AB102" i="2"/>
  <c r="Y16" i="2"/>
  <c r="AB16" i="2"/>
  <c r="V17" i="2"/>
  <c r="V46" i="2"/>
  <c r="V74" i="2"/>
  <c r="AE74" i="2" s="1"/>
  <c r="V103" i="2"/>
  <c r="AE103" i="2" s="1"/>
  <c r="V213" i="2"/>
  <c r="AK46" i="2" l="1"/>
  <c r="AE46" i="2"/>
  <c r="AK17" i="2"/>
  <c r="AE17" i="2"/>
  <c r="K2" i="39"/>
  <c r="U2" i="39"/>
  <c r="AH74" i="2"/>
  <c r="AH46" i="2"/>
  <c r="AH103" i="2"/>
  <c r="AH17" i="2"/>
  <c r="AH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V47" i="2"/>
  <c r="V75" i="2"/>
  <c r="AE75" i="2" s="1"/>
  <c r="V104" i="2"/>
  <c r="AE104" i="2" s="1"/>
  <c r="V214" i="2"/>
  <c r="AK47" i="2" l="1"/>
  <c r="AE47" i="2"/>
  <c r="AK18" i="2"/>
  <c r="AE18" i="2"/>
  <c r="AH75" i="2"/>
  <c r="AH104" i="2"/>
  <c r="AH18" i="2"/>
  <c r="AH214" i="2"/>
  <c r="AH47" i="2"/>
  <c r="Y75" i="2"/>
  <c r="AB75" i="2"/>
  <c r="Y214" i="2"/>
  <c r="AB214" i="2"/>
  <c r="Y18" i="2"/>
  <c r="AB18" i="2"/>
  <c r="Y47" i="2"/>
  <c r="AB47" i="2"/>
  <c r="Y104" i="2"/>
  <c r="AB104" i="2"/>
  <c r="V19" i="2"/>
  <c r="V48" i="2"/>
  <c r="V76" i="2"/>
  <c r="AE76" i="2" s="1"/>
  <c r="V105" i="2"/>
  <c r="AE105" i="2" s="1"/>
  <c r="V215" i="2"/>
  <c r="AK48" i="2" l="1"/>
  <c r="AE48" i="2"/>
  <c r="AK19" i="2"/>
  <c r="AE19" i="2"/>
  <c r="AH76" i="2"/>
  <c r="AH19" i="2"/>
  <c r="AH105" i="2"/>
  <c r="AH48" i="2"/>
  <c r="AH215" i="2"/>
  <c r="Y105" i="2"/>
  <c r="AB105" i="2"/>
  <c r="Y215" i="2"/>
  <c r="AB215" i="2"/>
  <c r="Y76" i="2"/>
  <c r="AB76" i="2"/>
  <c r="Y19" i="2"/>
  <c r="AB19" i="2"/>
  <c r="Y48" i="2"/>
  <c r="AB48" i="2"/>
  <c r="V20" i="2"/>
  <c r="V49" i="2"/>
  <c r="V77" i="2"/>
  <c r="AE77" i="2" s="1"/>
  <c r="V106" i="2"/>
  <c r="AE106" i="2" s="1"/>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K49" i="2" l="1"/>
  <c r="AE49" i="2"/>
  <c r="AK20" i="2"/>
  <c r="AE20" i="2"/>
  <c r="AH49" i="2"/>
  <c r="AH20" i="2"/>
  <c r="AH106" i="2"/>
  <c r="AH77" i="2"/>
  <c r="AH216" i="2"/>
  <c r="Y216" i="2"/>
  <c r="AB216" i="2"/>
  <c r="Y106" i="2"/>
  <c r="AB106" i="2"/>
  <c r="Y77" i="2"/>
  <c r="AB77" i="2"/>
  <c r="Y49" i="2"/>
  <c r="AB49" i="2"/>
  <c r="Y20" i="2"/>
  <c r="AB20" i="2"/>
  <c r="J140" i="33"/>
  <c r="V140" i="33" s="1"/>
  <c r="J143" i="33"/>
  <c r="V143" i="33" s="1"/>
  <c r="J146" i="33"/>
  <c r="V146" i="33" s="1"/>
  <c r="V21" i="2"/>
  <c r="V50" i="2"/>
  <c r="V78" i="2"/>
  <c r="AE78" i="2" s="1"/>
  <c r="V107" i="2"/>
  <c r="AE107" i="2" s="1"/>
  <c r="V217" i="2"/>
  <c r="C2" i="21"/>
  <c r="J2" i="21" s="1"/>
  <c r="D4" i="21"/>
  <c r="C4" i="21" s="1"/>
  <c r="J4" i="21" s="1"/>
  <c r="D5" i="21"/>
  <c r="C5" i="21" s="1"/>
  <c r="J5" i="21" s="1"/>
  <c r="D3" i="21"/>
  <c r="C3" i="21" s="1"/>
  <c r="J3" i="21" s="1"/>
  <c r="AK50" i="2" l="1"/>
  <c r="AE50" i="2"/>
  <c r="AK21" i="2"/>
  <c r="AE21" i="2"/>
  <c r="AH107" i="2"/>
  <c r="AH21" i="2"/>
  <c r="AH217" i="2"/>
  <c r="AH78"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V51" i="2"/>
  <c r="V79" i="2"/>
  <c r="AE79" i="2" s="1"/>
  <c r="V108" i="2"/>
  <c r="AE108" i="2" s="1"/>
  <c r="V218" i="2"/>
  <c r="B15" i="46"/>
  <c r="I26" i="15"/>
  <c r="C26" i="15" s="1"/>
  <c r="AK51" i="2" l="1"/>
  <c r="AE51" i="2"/>
  <c r="AK22" i="2"/>
  <c r="AE22" i="2"/>
  <c r="AH108" i="2"/>
  <c r="AH22" i="2"/>
  <c r="AH218" i="2"/>
  <c r="AH79" i="2"/>
  <c r="AH51" i="2"/>
  <c r="AB26" i="15"/>
  <c r="AE26" i="15"/>
  <c r="V26" i="15"/>
  <c r="Y26" i="15"/>
  <c r="S26" i="15"/>
  <c r="P26" i="15"/>
  <c r="B30" i="46"/>
  <c r="B27" i="46"/>
  <c r="J5" i="39"/>
  <c r="U5" i="39" s="1"/>
  <c r="B28" i="46"/>
  <c r="B18" i="46"/>
  <c r="J3" i="39"/>
  <c r="U3" i="39" s="1"/>
  <c r="J6" i="33"/>
  <c r="V6" i="33" s="1"/>
  <c r="J10" i="33"/>
  <c r="V10" i="33" s="1"/>
  <c r="Y218" i="2"/>
  <c r="AB218" i="2"/>
  <c r="Y22" i="2"/>
  <c r="AB22" i="2"/>
  <c r="Y108" i="2"/>
  <c r="AB108" i="2"/>
  <c r="Y79" i="2"/>
  <c r="AB79" i="2"/>
  <c r="Y51" i="2"/>
  <c r="AB51" i="2"/>
  <c r="B25" i="46"/>
  <c r="B24" i="46"/>
  <c r="B23" i="46"/>
  <c r="B20" i="46"/>
  <c r="B22" i="46"/>
  <c r="B13" i="46"/>
  <c r="B21" i="46"/>
  <c r="B12" i="46"/>
  <c r="B19" i="46"/>
  <c r="V23" i="2"/>
  <c r="V52" i="2"/>
  <c r="V80" i="2"/>
  <c r="AE80" i="2" s="1"/>
  <c r="V109" i="2"/>
  <c r="AE109" i="2" s="1"/>
  <c r="V219" i="2"/>
  <c r="B16" i="46"/>
  <c r="B7" i="46"/>
  <c r="AK52" i="2" l="1"/>
  <c r="AE52" i="2"/>
  <c r="AK23" i="2"/>
  <c r="AE23" i="2"/>
  <c r="AH109" i="2"/>
  <c r="AH52" i="2"/>
  <c r="AH219" i="2"/>
  <c r="AH80" i="2"/>
  <c r="AH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J3" i="33"/>
  <c r="V3" i="33" s="1"/>
  <c r="J13" i="33"/>
  <c r="V13" i="33" s="1"/>
  <c r="J11" i="33"/>
  <c r="V11" i="33" s="1"/>
  <c r="J12" i="33"/>
  <c r="V12" i="33" s="1"/>
  <c r="J149" i="33"/>
  <c r="V149" i="33" s="1"/>
  <c r="J148" i="33"/>
  <c r="V148" i="33" s="1"/>
  <c r="J147" i="33"/>
  <c r="V147" i="33" s="1"/>
  <c r="J2" i="33"/>
  <c r="V2" i="33" s="1"/>
  <c r="J139" i="33"/>
  <c r="V139" i="33" s="1"/>
  <c r="J142" i="33"/>
  <c r="V142" i="33" s="1"/>
  <c r="J145" i="33"/>
  <c r="V145" i="33" s="1"/>
  <c r="J138" i="33"/>
  <c r="V138" i="33" s="1"/>
  <c r="J141" i="33"/>
  <c r="V141" i="33" s="1"/>
  <c r="J144" i="33"/>
  <c r="V144" i="33" s="1"/>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V53" i="2"/>
  <c r="V81" i="2"/>
  <c r="AE81" i="2" s="1"/>
  <c r="V110" i="2"/>
  <c r="AE110" i="2" s="1"/>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K53" i="2" l="1"/>
  <c r="AE53" i="2"/>
  <c r="AK24" i="2"/>
  <c r="AE24" i="2"/>
  <c r="AH220" i="2"/>
  <c r="AH110" i="2"/>
  <c r="AH81" i="2"/>
  <c r="AH53"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V54" i="2"/>
  <c r="V82" i="2"/>
  <c r="AE82" i="2" s="1"/>
  <c r="V111" i="2"/>
  <c r="AE111" i="2" s="1"/>
  <c r="V221" i="2"/>
  <c r="AK25" i="2" l="1"/>
  <c r="AE25" i="2"/>
  <c r="AK54" i="2"/>
  <c r="AE54" i="2"/>
  <c r="AH111" i="2"/>
  <c r="AH221" i="2"/>
  <c r="AH82" i="2"/>
  <c r="AH54" i="2"/>
  <c r="AH25" i="2"/>
  <c r="Y221" i="2"/>
  <c r="AB221" i="2"/>
  <c r="Y111" i="2"/>
  <c r="AB111" i="2"/>
  <c r="Y82" i="2"/>
  <c r="AB82" i="2"/>
  <c r="Y54" i="2"/>
  <c r="AB54" i="2"/>
  <c r="Y25" i="2"/>
  <c r="AB25" i="2"/>
  <c r="V26" i="2"/>
  <c r="V55" i="2"/>
  <c r="V83" i="2"/>
  <c r="AE83" i="2" s="1"/>
  <c r="V112" i="2"/>
  <c r="AE112" i="2" s="1"/>
  <c r="V222" i="2"/>
  <c r="AK55" i="2" l="1"/>
  <c r="AE55" i="2"/>
  <c r="AK26" i="2"/>
  <c r="AE26" i="2"/>
  <c r="AH83" i="2"/>
  <c r="AH55" i="2"/>
  <c r="AH112" i="2"/>
  <c r="AH26" i="2"/>
  <c r="AH222" i="2"/>
  <c r="Y83" i="2"/>
  <c r="AB83" i="2"/>
  <c r="Y222" i="2"/>
  <c r="AB222" i="2"/>
  <c r="Y55" i="2"/>
  <c r="AB55" i="2"/>
  <c r="Y112" i="2"/>
  <c r="AB112" i="2"/>
  <c r="Y26" i="2"/>
  <c r="AB26" i="2"/>
  <c r="V27" i="2"/>
  <c r="V56" i="2"/>
  <c r="AE56" i="2" s="1"/>
  <c r="V84" i="2"/>
  <c r="AE84" i="2" s="1"/>
  <c r="V113" i="2"/>
  <c r="AE113" i="2" s="1"/>
  <c r="V223" i="2"/>
  <c r="AK27" i="2" l="1"/>
  <c r="AE27" i="2"/>
  <c r="AH56" i="2"/>
  <c r="AH113" i="2"/>
  <c r="AH84" i="2"/>
  <c r="AH27" i="2"/>
  <c r="AH223" i="2"/>
  <c r="Y223" i="2"/>
  <c r="AB223" i="2"/>
  <c r="Y56" i="2"/>
  <c r="AB56" i="2"/>
  <c r="Y113" i="2"/>
  <c r="AB113" i="2"/>
  <c r="Y27" i="2"/>
  <c r="AB27" i="2"/>
  <c r="Y84" i="2"/>
  <c r="AB84" i="2"/>
  <c r="V28" i="2"/>
  <c r="V57" i="2"/>
  <c r="AE57" i="2" s="1"/>
  <c r="V85" i="2"/>
  <c r="AE85" i="2" s="1"/>
  <c r="V114" i="2"/>
  <c r="AE114" i="2" s="1"/>
  <c r="V224" i="2"/>
  <c r="AK28" i="2" l="1"/>
  <c r="AE28" i="2"/>
  <c r="AH85" i="2"/>
  <c r="AH57" i="2"/>
  <c r="AH114" i="2"/>
  <c r="AH28" i="2"/>
  <c r="AH224" i="2"/>
  <c r="Y114" i="2"/>
  <c r="AB114" i="2"/>
  <c r="Y57" i="2"/>
  <c r="AB57" i="2"/>
  <c r="Y224" i="2"/>
  <c r="AB224" i="2"/>
  <c r="Y85" i="2"/>
  <c r="AB85" i="2"/>
  <c r="Y28" i="2"/>
  <c r="AB28" i="2"/>
  <c r="V30" i="2"/>
  <c r="V29" i="2"/>
  <c r="V59" i="2"/>
  <c r="AE59" i="2" s="1"/>
  <c r="V58" i="2"/>
  <c r="AE58" i="2" s="1"/>
  <c r="V86" i="2"/>
  <c r="AE86" i="2" s="1"/>
  <c r="V115" i="2"/>
  <c r="AE115" i="2" s="1"/>
  <c r="V225" i="2"/>
  <c r="AK29" i="2" l="1"/>
  <c r="AE29" i="2"/>
  <c r="AK30" i="2"/>
  <c r="AE30" i="2"/>
  <c r="AH58" i="2"/>
  <c r="AH29" i="2"/>
  <c r="AH30" i="2"/>
  <c r="AH59" i="2"/>
  <c r="AH225" i="2"/>
  <c r="AH115" i="2"/>
  <c r="AH86" i="2"/>
  <c r="Y86" i="2"/>
  <c r="AB86" i="2"/>
  <c r="Y225" i="2"/>
  <c r="AB225" i="2"/>
  <c r="Y29" i="2"/>
  <c r="AB29" i="2"/>
  <c r="Y30" i="2"/>
  <c r="AB30" i="2"/>
  <c r="Y115" i="2"/>
  <c r="AB115" i="2"/>
  <c r="Y58" i="2"/>
  <c r="AB58" i="2"/>
  <c r="Y59" i="2"/>
  <c r="AB59" i="2"/>
  <c r="V88" i="2"/>
  <c r="AE88" i="2" s="1"/>
  <c r="V87" i="2"/>
  <c r="AE87" i="2" s="1"/>
  <c r="V117" i="2"/>
  <c r="AE117" i="2" s="1"/>
  <c r="V116" i="2"/>
  <c r="AE116" i="2" s="1"/>
  <c r="V226" i="2"/>
  <c r="AH117" i="2" l="1"/>
  <c r="AH88" i="2"/>
  <c r="AH116" i="2"/>
  <c r="AH87" i="2"/>
  <c r="AH226" i="2"/>
  <c r="Y88" i="2"/>
  <c r="AB88" i="2"/>
  <c r="Y87" i="2"/>
  <c r="AB87" i="2"/>
  <c r="Y226" i="2"/>
  <c r="AB226" i="2"/>
  <c r="Y117" i="2"/>
  <c r="AB117" i="2"/>
  <c r="Y116" i="2"/>
  <c r="AB116" i="2"/>
  <c r="V227" i="2"/>
  <c r="AH227" i="2" l="1"/>
  <c r="Y227" i="2"/>
  <c r="AB227" i="2"/>
  <c r="V228" i="2"/>
  <c r="AH228" i="2" l="1"/>
  <c r="Y228" i="2"/>
  <c r="AB228" i="2"/>
  <c r="V229" i="2"/>
  <c r="AH229" i="2" l="1"/>
  <c r="Y229" i="2"/>
  <c r="AB229" i="2"/>
  <c r="V230" i="2"/>
  <c r="AH230" i="2" l="1"/>
  <c r="Y230" i="2"/>
  <c r="AB230" i="2"/>
  <c r="V231" i="2"/>
  <c r="AH231" i="2" l="1"/>
  <c r="Y231" i="2"/>
  <c r="AB231" i="2"/>
  <c r="V233" i="2"/>
  <c r="V232" i="2"/>
  <c r="AH232" i="2" l="1"/>
  <c r="AH233" i="2"/>
  <c r="Y233" i="2"/>
  <c r="AB233" i="2"/>
  <c r="Y232" i="2"/>
  <c r="AB232" i="2"/>
  <c r="V118" i="2"/>
  <c r="AE118" i="2" s="1"/>
  <c r="V119" i="2"/>
  <c r="AE119" i="2" s="1"/>
  <c r="AH118" i="2" l="1"/>
  <c r="AH119" i="2"/>
  <c r="Y119" i="2"/>
  <c r="AB119" i="2"/>
  <c r="Y118" i="2"/>
  <c r="AB118" i="2"/>
  <c r="V121" i="2"/>
  <c r="AE121" i="2" s="1"/>
  <c r="V120" i="2"/>
  <c r="AE120" i="2" s="1"/>
  <c r="AH120" i="2" l="1"/>
  <c r="AH121" i="2"/>
  <c r="Y121" i="2"/>
  <c r="AB121" i="2"/>
  <c r="Y120" i="2"/>
  <c r="AB120" i="2"/>
  <c r="V122" i="2"/>
  <c r="AE122" i="2" s="1"/>
  <c r="AH122" i="2" l="1"/>
  <c r="Y122" i="2"/>
  <c r="AB122" i="2"/>
  <c r="V123" i="2"/>
  <c r="AE123" i="2" s="1"/>
  <c r="AH123" i="2" l="1"/>
  <c r="Y123" i="2"/>
  <c r="AB123" i="2"/>
  <c r="V124" i="2"/>
  <c r="AE124" i="2" s="1"/>
  <c r="AH124" i="2" l="1"/>
  <c r="Y124" i="2"/>
  <c r="AB124" i="2"/>
  <c r="V125" i="2"/>
  <c r="AE125" i="2" s="1"/>
  <c r="AH125" i="2" l="1"/>
  <c r="Y125" i="2"/>
  <c r="AB125" i="2"/>
  <c r="V126" i="2"/>
  <c r="AE126" i="2" s="1"/>
  <c r="AH126" i="2" l="1"/>
  <c r="Y126" i="2"/>
  <c r="AB126" i="2"/>
  <c r="V127" i="2"/>
  <c r="AE127" i="2" s="1"/>
  <c r="AH127" i="2" l="1"/>
  <c r="Y127" i="2"/>
  <c r="AB127" i="2"/>
  <c r="V128" i="2"/>
  <c r="AE128" i="2" s="1"/>
  <c r="AH128" i="2" l="1"/>
  <c r="Y128" i="2"/>
  <c r="AB128" i="2"/>
  <c r="V129" i="2"/>
  <c r="AE129" i="2" s="1"/>
  <c r="AH129" i="2" l="1"/>
  <c r="Y129" i="2"/>
  <c r="AB129" i="2"/>
  <c r="V130" i="2"/>
  <c r="AE130" i="2" s="1"/>
  <c r="AH130" i="2" l="1"/>
  <c r="Y130" i="2"/>
  <c r="AB130" i="2"/>
  <c r="V131" i="2"/>
  <c r="AE131" i="2" s="1"/>
  <c r="AH131" i="2" l="1"/>
  <c r="Y131" i="2"/>
  <c r="AB131" i="2"/>
  <c r="V132" i="2"/>
  <c r="AE132" i="2" s="1"/>
  <c r="AH132" i="2" l="1"/>
  <c r="Y132" i="2"/>
  <c r="AB132" i="2"/>
  <c r="V133" i="2"/>
  <c r="AE133" i="2" s="1"/>
  <c r="AH133" i="2" l="1"/>
  <c r="Y133" i="2"/>
  <c r="AB133" i="2"/>
  <c r="V134" i="2"/>
  <c r="AE134" i="2" s="1"/>
  <c r="AH134" i="2" l="1"/>
  <c r="Y134" i="2"/>
  <c r="AB134" i="2"/>
  <c r="V135" i="2"/>
  <c r="AE135" i="2" s="1"/>
  <c r="AH135" i="2" l="1"/>
  <c r="Y135" i="2"/>
  <c r="AB135" i="2"/>
  <c r="V136" i="2"/>
  <c r="AE136" i="2" s="1"/>
  <c r="AH136" i="2" l="1"/>
  <c r="Y136" i="2"/>
  <c r="AB136" i="2"/>
  <c r="V137" i="2"/>
  <c r="AE137" i="2" s="1"/>
  <c r="AH137" i="2" l="1"/>
  <c r="Y137" i="2"/>
  <c r="AB137" i="2"/>
  <c r="V138" i="2"/>
  <c r="AE138" i="2" s="1"/>
  <c r="AH138" i="2" l="1"/>
  <c r="Y138" i="2"/>
  <c r="AB138" i="2"/>
  <c r="V139" i="2"/>
  <c r="AE139" i="2" s="1"/>
  <c r="AH139" i="2" l="1"/>
  <c r="Y139" i="2"/>
  <c r="AB139" i="2"/>
  <c r="V140" i="2"/>
  <c r="AE140" i="2" s="1"/>
  <c r="AH140" i="2" l="1"/>
  <c r="Y140" i="2"/>
  <c r="AB140" i="2"/>
  <c r="V141" i="2"/>
  <c r="AE141" i="2" s="1"/>
  <c r="AH141" i="2" l="1"/>
  <c r="Y141" i="2"/>
  <c r="AB141" i="2"/>
  <c r="V142" i="2"/>
  <c r="AE142" i="2" s="1"/>
  <c r="AH142" i="2" l="1"/>
  <c r="Y142" i="2"/>
  <c r="AB142" i="2"/>
  <c r="V143" i="2"/>
  <c r="AE143" i="2" s="1"/>
  <c r="AH143" i="2" l="1"/>
  <c r="Y143" i="2"/>
  <c r="AB143" i="2"/>
  <c r="V144" i="2"/>
  <c r="AE144" i="2" s="1"/>
  <c r="AH144" i="2" l="1"/>
  <c r="Y144" i="2"/>
  <c r="AB144" i="2"/>
  <c r="V145" i="2"/>
  <c r="AE145" i="2" s="1"/>
  <c r="V146" i="2"/>
  <c r="AE146" i="2" s="1"/>
  <c r="AH145" i="2" l="1"/>
  <c r="AH146" i="2"/>
  <c r="Y146" i="2"/>
  <c r="AB146" i="2"/>
  <c r="Y145" i="2"/>
  <c r="AB145" i="2"/>
  <c r="V147" i="2"/>
  <c r="AE147" i="2" s="1"/>
  <c r="V149" i="2"/>
  <c r="AE149" i="2" s="1"/>
  <c r="AH147" i="2" l="1"/>
  <c r="AH149" i="2"/>
  <c r="Y147" i="2"/>
  <c r="AB147" i="2"/>
  <c r="Y149" i="2"/>
  <c r="AB149" i="2"/>
  <c r="V148" i="2"/>
  <c r="AE148" i="2" s="1"/>
  <c r="AH148" i="2" l="1"/>
  <c r="Y148" i="2"/>
  <c r="AB148" i="2"/>
  <c r="V150" i="2"/>
  <c r="AE150" i="2" s="1"/>
  <c r="AH150" i="2" l="1"/>
  <c r="Y150" i="2"/>
  <c r="AB150" i="2"/>
  <c r="V151" i="2"/>
  <c r="AE151" i="2" s="1"/>
  <c r="AH151" i="2" l="1"/>
  <c r="Y151" i="2"/>
  <c r="AB151" i="2"/>
  <c r="V152" i="2"/>
  <c r="AE152" i="2" s="1"/>
  <c r="AH152" i="2" l="1"/>
  <c r="Y152" i="2"/>
  <c r="AB152" i="2"/>
  <c r="V153" i="2"/>
  <c r="AE153" i="2" s="1"/>
  <c r="AH153" i="2" l="1"/>
  <c r="Y153" i="2"/>
  <c r="AB153" i="2"/>
  <c r="V154" i="2"/>
  <c r="AE154" i="2" s="1"/>
  <c r="AH154" i="2" l="1"/>
  <c r="Y154" i="2"/>
  <c r="AB154" i="2"/>
  <c r="V155" i="2"/>
  <c r="AE155" i="2" s="1"/>
  <c r="AH155" i="2" l="1"/>
  <c r="Y155" i="2"/>
  <c r="AB155" i="2"/>
  <c r="V156" i="2"/>
  <c r="AE156" i="2" s="1"/>
  <c r="AH156" i="2" l="1"/>
  <c r="Y156" i="2"/>
  <c r="AB156" i="2"/>
  <c r="V157" i="2"/>
  <c r="AE157" i="2" s="1"/>
  <c r="AH157" i="2" l="1"/>
  <c r="Y157" i="2"/>
  <c r="AB157" i="2"/>
  <c r="V158" i="2"/>
  <c r="AE158" i="2" s="1"/>
  <c r="AH158" i="2" l="1"/>
  <c r="Y158" i="2"/>
  <c r="AB158" i="2"/>
  <c r="V159" i="2"/>
  <c r="AE159" i="2" s="1"/>
  <c r="AH159" i="2" l="1"/>
  <c r="Y159" i="2"/>
  <c r="AB159" i="2"/>
  <c r="V160" i="2"/>
  <c r="AE160" i="2" s="1"/>
  <c r="AH160" i="2" l="1"/>
  <c r="Y160" i="2"/>
  <c r="AB160" i="2"/>
  <c r="V161" i="2"/>
  <c r="AE161" i="2" s="1"/>
  <c r="AH161" i="2" l="1"/>
  <c r="Y161" i="2"/>
  <c r="AB161" i="2"/>
  <c r="V162" i="2"/>
  <c r="AE162" i="2" s="1"/>
  <c r="AH162" i="2" l="1"/>
  <c r="Y162" i="2"/>
  <c r="AB162" i="2"/>
  <c r="V163" i="2"/>
  <c r="AE163" i="2" s="1"/>
  <c r="AH163" i="2" l="1"/>
  <c r="Y163" i="2"/>
  <c r="AB163" i="2"/>
  <c r="V164" i="2"/>
  <c r="AE164" i="2" s="1"/>
  <c r="AH164" i="2" l="1"/>
  <c r="Y164" i="2"/>
  <c r="AB164" i="2"/>
  <c r="V165" i="2"/>
  <c r="AE165" i="2" s="1"/>
  <c r="AH165" i="2" l="1"/>
  <c r="Y165" i="2"/>
  <c r="AB165" i="2"/>
  <c r="V166" i="2"/>
  <c r="AE166" i="2" s="1"/>
  <c r="AH166" i="2" l="1"/>
  <c r="Y166" i="2"/>
  <c r="AB166" i="2"/>
  <c r="V167" i="2"/>
  <c r="AE167" i="2" s="1"/>
  <c r="AH167" i="2" l="1"/>
  <c r="Y167" i="2"/>
  <c r="AB167" i="2"/>
  <c r="V168" i="2"/>
  <c r="AE168" i="2" s="1"/>
  <c r="AH168" i="2" l="1"/>
  <c r="Y168" i="2"/>
  <c r="AB168" i="2"/>
  <c r="V169" i="2"/>
  <c r="AE169" i="2" s="1"/>
  <c r="AH169" i="2" l="1"/>
  <c r="Y169" i="2"/>
  <c r="AB169" i="2"/>
  <c r="V170" i="2"/>
  <c r="AE170" i="2" s="1"/>
  <c r="AH170" i="2" l="1"/>
  <c r="Y170" i="2"/>
  <c r="AB170" i="2"/>
  <c r="V171" i="2"/>
  <c r="AE171" i="2" s="1"/>
  <c r="AH171" i="2" l="1"/>
  <c r="Y171" i="2"/>
  <c r="AB171" i="2"/>
  <c r="V172" i="2"/>
  <c r="AE172" i="2" s="1"/>
  <c r="AH172" i="2" l="1"/>
  <c r="Y172" i="2"/>
  <c r="AB172" i="2"/>
  <c r="V173" i="2"/>
  <c r="AE173" i="2" s="1"/>
  <c r="AH173" i="2" l="1"/>
  <c r="Y173" i="2"/>
  <c r="AB173" i="2"/>
  <c r="V174" i="2"/>
  <c r="AE174" i="2" s="1"/>
  <c r="V175" i="2"/>
  <c r="AE175" i="2" s="1"/>
  <c r="AH175" i="2" l="1"/>
  <c r="AH174" i="2"/>
  <c r="Y174" i="2"/>
  <c r="AB174" i="2"/>
  <c r="Y175" i="2"/>
  <c r="AB175" i="2"/>
  <c r="V263" i="2"/>
  <c r="AH263" i="2" l="1"/>
  <c r="Y263" i="2"/>
  <c r="AB263" i="2"/>
  <c r="V176" i="2"/>
  <c r="AE176" i="2" s="1"/>
  <c r="V177" i="2"/>
  <c r="AE177" i="2" s="1"/>
  <c r="AH176" i="2" l="1"/>
  <c r="AH177" i="2"/>
  <c r="Y177" i="2"/>
  <c r="AB177" i="2"/>
  <c r="Y176" i="2"/>
  <c r="AB176" i="2"/>
  <c r="V179" i="2"/>
  <c r="AE179" i="2" s="1"/>
  <c r="V178" i="2"/>
  <c r="AE178" i="2" s="1"/>
  <c r="AH178" i="2" l="1"/>
  <c r="AH179" i="2"/>
  <c r="Y178" i="2"/>
  <c r="AB178" i="2"/>
  <c r="Y179" i="2"/>
  <c r="AB179" i="2"/>
  <c r="V180" i="2"/>
  <c r="AE180" i="2" s="1"/>
  <c r="AH180" i="2" l="1"/>
  <c r="Y180" i="2"/>
  <c r="AB180" i="2"/>
  <c r="V181" i="2"/>
  <c r="AE181" i="2" s="1"/>
  <c r="AH181" i="2" l="1"/>
  <c r="Y181" i="2"/>
  <c r="AB181" i="2"/>
  <c r="V182" i="2"/>
  <c r="AE182" i="2" s="1"/>
  <c r="AH182" i="2" l="1"/>
  <c r="Y182" i="2"/>
  <c r="AB182" i="2"/>
  <c r="V183" i="2"/>
  <c r="AE183" i="2" s="1"/>
  <c r="AH183" i="2" l="1"/>
  <c r="Y183" i="2"/>
  <c r="AB183" i="2"/>
  <c r="V184" i="2"/>
  <c r="AE184" i="2" s="1"/>
  <c r="AH184" i="2" l="1"/>
  <c r="Y184" i="2"/>
  <c r="AB184" i="2"/>
  <c r="V185" i="2"/>
  <c r="AE185" i="2" s="1"/>
  <c r="AH185" i="2" l="1"/>
  <c r="Y185" i="2"/>
  <c r="AB185" i="2"/>
  <c r="V186" i="2"/>
  <c r="AE186" i="2" s="1"/>
  <c r="AH186" i="2" l="1"/>
  <c r="Y186" i="2"/>
  <c r="AB186" i="2"/>
  <c r="V187" i="2"/>
  <c r="AE187" i="2" s="1"/>
  <c r="AH187" i="2" l="1"/>
  <c r="Y187" i="2"/>
  <c r="AB187" i="2"/>
  <c r="V188" i="2"/>
  <c r="AE188" i="2" s="1"/>
  <c r="AH188" i="2" l="1"/>
  <c r="Y188" i="2"/>
  <c r="AB188" i="2"/>
  <c r="V189" i="2"/>
  <c r="AE189" i="2" s="1"/>
  <c r="AH189" i="2" l="1"/>
  <c r="Y189" i="2"/>
  <c r="AB189" i="2"/>
  <c r="V190" i="2"/>
  <c r="AE190" i="2" s="1"/>
  <c r="AH190" i="2" l="1"/>
  <c r="Y190" i="2"/>
  <c r="AB190" i="2"/>
  <c r="V191" i="2"/>
  <c r="AE191" i="2" s="1"/>
  <c r="AH191" i="2" l="1"/>
  <c r="Y191" i="2"/>
  <c r="AB191" i="2"/>
  <c r="V192" i="2"/>
  <c r="AE192" i="2" s="1"/>
  <c r="AH192" i="2" l="1"/>
  <c r="Y192" i="2"/>
  <c r="AB192" i="2"/>
  <c r="V193" i="2"/>
  <c r="AE193" i="2" s="1"/>
  <c r="AH193" i="2" l="1"/>
  <c r="Y193" i="2"/>
  <c r="AB193" i="2"/>
  <c r="V194" i="2"/>
  <c r="AE194" i="2" s="1"/>
  <c r="AH194" i="2" l="1"/>
  <c r="Y194" i="2"/>
  <c r="AB194" i="2"/>
  <c r="V195" i="2"/>
  <c r="AE195" i="2" s="1"/>
  <c r="AH195" i="2" l="1"/>
  <c r="Y195" i="2"/>
  <c r="AB195" i="2"/>
  <c r="V196" i="2"/>
  <c r="AE196" i="2" s="1"/>
  <c r="AH196" i="2" l="1"/>
  <c r="Y196" i="2"/>
  <c r="AB196" i="2"/>
  <c r="V197" i="2"/>
  <c r="AE197" i="2" s="1"/>
  <c r="AH197" i="2" l="1"/>
  <c r="Y197" i="2"/>
  <c r="AB197" i="2"/>
  <c r="V198" i="2"/>
  <c r="AE198" i="2" s="1"/>
  <c r="AH198" i="2" l="1"/>
  <c r="Y198" i="2"/>
  <c r="AB198" i="2"/>
  <c r="V199" i="2"/>
  <c r="AE199" i="2" s="1"/>
  <c r="AH199" i="2" l="1"/>
  <c r="Y199" i="2"/>
  <c r="AB199" i="2"/>
  <c r="V200" i="2"/>
  <c r="AE200" i="2" s="1"/>
  <c r="AH200" i="2" l="1"/>
  <c r="Y200" i="2"/>
  <c r="AB200" i="2"/>
  <c r="V201" i="2"/>
  <c r="AE201" i="2" s="1"/>
  <c r="AH201" i="2" l="1"/>
  <c r="Y201" i="2"/>
  <c r="AB201" i="2"/>
  <c r="V202" i="2"/>
  <c r="AE202" i="2" s="1"/>
  <c r="AH202" i="2" l="1"/>
  <c r="Y202" i="2"/>
  <c r="AB202" i="2"/>
  <c r="V204" i="2"/>
  <c r="V203" i="2"/>
  <c r="AE203" i="2" s="1"/>
  <c r="AH203" i="2" l="1"/>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Y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N1" authorId="0" shapeId="0" xr:uid="{A8ADA3F3-B875-4F16-A95D-AB340CE35EED}">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 ref="M1" authorId="0" shapeId="0" xr:uid="{2AF0E1DA-D468-4D93-8C23-4240765673C0}">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<sst xmlns="http://schemas.openxmlformats.org/spreadsheetml/2006/main" count="5830" uniqueCount="1491">
  <si>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</si>
  <si>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</si>
  <si>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</si>
  <si>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</si>
  <si>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</si>
  <si>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</si>
  <si>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</si>
  <si>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</si>
  <si>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</si>
  <si>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</si>
  <si>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</si>
  <si>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</si>
  <si>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</si>
  <si>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</si>
  <si>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</si>
  <si>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</si>
  <si>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</si>
  <si>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</si>
  <si>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</si>
  <si>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</si>
  <si>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</si>
  <si>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</si>
  <si>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</si>
  <si>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</si>
  <si>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</si>
  <si>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</si>
  <si>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</si>
  <si>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</si>
  <si>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</si>
  <si>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</si>
  <si>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</si>
  <si>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</si>
  <si>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</si>
  <si>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</si>
  <si>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</si>
  <si>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</si>
  <si>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</si>
  <si>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</si>
  <si>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</si>
  <si>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</si>
  <si>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</si>
  <si>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</si>
  <si>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</si>
  <si>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</si>
  <si>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</si>
  <si>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</si>
  <si>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</si>
  <si>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</si>
  <si>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</si>
  <si>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</si>
  <si>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</si>
  <si>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</si>
  <si>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</si>
  <si>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</si>
  <si>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</si>
  <si>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</si>
  <si>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</si>
  <si>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</si>
  <si>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</si>
  <si>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</si>
  <si>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</si>
  <si>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</si>
  <si>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</si>
  <si>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</si>
  <si>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</si>
  <si>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</si>
  <si>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</si>
  <si>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</si>
  <si>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</si>
  <si>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</si>
  <si>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</si>
  <si>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</si>
  <si>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</si>
  <si>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</si>
  <si>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</si>
  <si>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</si>
  <si>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</si>
  <si>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</si>
  <si>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</si>
  <si>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</si>
  <si>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</si>
  <si>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</si>
  <si>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</si>
  <si>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</si>
  <si>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</si>
  <si>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</si>
  <si>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</si>
  <si>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</si>
  <si>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</si>
  <si>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</si>
  <si>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</si>
  <si>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</si>
  <si>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</si>
  <si>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</si>
  <si>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</si>
  <si>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</si>
  <si>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</si>
  <si>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</si>
  <si>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</si>
  <si>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</si>
  <si>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</si>
  <si>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</si>
  <si>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</si>
  <si>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</si>
  <si>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</si>
  <si>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</si>
  <si>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</si>
  <si>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</si>
  <si>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</si>
  <si>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</si>
  <si>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</si>
  <si>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</si>
  <si>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</si>
  <si>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</si>
  <si>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</si>
  <si>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</si>
  <si>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</si>
  <si>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</si>
  <si>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</si>
  <si>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</si>
  <si>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</si>
  <si>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</si>
  <si>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</si>
  <si>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</si>
  <si>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</si>
  <si>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</si>
  <si>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</si>
  <si>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</si>
  <si>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</si>
  <si>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</si>
  <si>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</si>
  <si>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</si>
  <si>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</si>
  <si>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</si>
  <si>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</si>
  <si>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</si>
  <si>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</si>
  <si>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</si>
  <si>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</si>
  <si>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</si>
  <si>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</si>
  <si>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</si>
  <si>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</si>
  <si>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</si>
  <si>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</si>
  <si>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</si>
  <si>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</si>
  <si>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</si>
  <si>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</si>
  <si>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</si>
  <si>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</si>
  <si>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</si>
  <si>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</si>
  <si>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</si>
  <si>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</si>
  <si>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</si>
  <si>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</si>
  <si>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</si>
  <si>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</si>
  <si>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</si>
  <si>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</si>
  <si>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</si>
  <si>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</si>
  <si>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</si>
  <si>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</si>
  <si>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</si>
  <si>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</si>
  <si>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</si>
  <si>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</si>
  <si>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</si>
  <si>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</si>
  <si>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</si>
  <si>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</si>
  <si>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</si>
  <si>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</si>
  <si>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</si>
  <si>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</si>
  <si>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</si>
  <si>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</si>
  <si>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</si>
  <si>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</si>
  <si>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</si>
  <si>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</si>
  <si>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</si>
  <si>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</si>
  <si>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</si>
  <si>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</si>
  <si>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</si>
  <si>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</si>
  <si>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</si>
  <si>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</si>
  <si>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</si>
  <si>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</si>
  <si>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</si>
  <si>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</si>
  <si>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</si>
  <si>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</si>
  <si>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</si>
  <si>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</si>
  <si>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</si>
  <si>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</si>
  <si>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</si>
  <si>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</si>
  <si>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</si>
  <si>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</si>
  <si>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</si>
  <si>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</si>
  <si>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</si>
  <si>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</si>
  <si>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</si>
  <si>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</si>
  <si>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</si>
  <si>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</si>
  <si>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</si>
  <si>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</si>
  <si>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</si>
  <si>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</si>
  <si>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</si>
  <si>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</si>
  <si>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</si>
  <si>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</si>
  <si>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</si>
  <si>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</si>
  <si>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</si>
  <si>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</si>
  <si>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</si>
  <si>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</si>
  <si>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</si>
  <si>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</si>
  <si>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</si>
  <si>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</si>
  <si>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</si>
  <si>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</si>
  <si>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</si>
  <si>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</si>
  <si>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</si>
  <si>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</si>
  <si>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</si>
  <si>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</si>
  <si>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</si>
  <si>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</si>
  <si>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</si>
  <si>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</si>
  <si>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</si>
  <si>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</si>
  <si>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</si>
  <si>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</si>
  <si>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</si>
  <si>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</si>
  <si>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</si>
  <si>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</si>
  <si>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</si>
  <si>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</si>
  <si>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</si>
  <si>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</si>
  <si>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</si>
  <si>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</si>
  <si>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</si>
  <si>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</si>
  <si>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</si>
  <si>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</si>
  <si>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</si>
  <si>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</si>
  <si>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</si>
  <si>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</si>
  <si>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</si>
  <si>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</si>
  <si>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</si>
  <si>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</si>
  <si>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</si>
  <si>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</si>
  <si>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</si>
  <si>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</si>
  <si>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</si>
  <si>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</si>
  <si>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</si>
  <si>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</si>
  <si>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</si>
  <si>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</si>
  <si>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</si>
  <si>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</si>
  <si>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</si>
  <si>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</si>
  <si>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</si>
  <si>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</si>
  <si>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</si>
  <si>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</si>
  <si>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</si>
  <si>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</si>
  <si>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</si>
  <si>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</si>
  <si>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</si>
  <si>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</si>
  <si>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</si>
  <si>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</si>
  <si>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</si>
  <si>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</si>
  <si>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</si>
  <si>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</si>
  <si>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</si>
  <si>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</si>
  <si>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</si>
  <si>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</si>
  <si>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</si>
  <si>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</si>
  <si>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</si>
  <si>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</si>
  <si>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</si>
  <si>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</si>
  <si>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</si>
  <si>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</si>
  <si>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</si>
  <si>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</si>
  <si>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</si>
  <si>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</si>
  <si>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</si>
  <si>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</si>
  <si>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</si>
  <si>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</si>
  <si>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</si>
  <si>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</si>
  <si>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</si>
  <si>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</si>
  <si>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</si>
  <si>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</si>
  <si>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</si>
  <si>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</si>
  <si>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</si>
  <si>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</si>
  <si>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</si>
  <si>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</si>
  <si>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</si>
  <si>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</si>
  <si>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</si>
  <si>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</si>
  <si>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</si>
  <si>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</si>
  <si>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</si>
  <si>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</si>
  <si>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</si>
  <si>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</si>
  <si>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</si>
  <si>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</si>
  <si>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</si>
  <si>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</si>
  <si>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</si>
  <si>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</si>
  <si>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</si>
  <si>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</si>
  <si>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</si>
  <si>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</si>
  <si>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</si>
  <si>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</si>
  <si>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</si>
  <si>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</si>
  <si>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</si>
  <si>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</si>
  <si>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</si>
  <si>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</si>
  <si>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</si>
  <si>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</si>
  <si>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</si>
  <si>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</si>
  <si>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</si>
  <si>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</si>
  <si>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</si>
  <si>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</si>
  <si>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</si>
  <si>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</si>
  <si>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</si>
  <si>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</si>
  <si>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</si>
  <si>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</si>
  <si>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</si>
  <si>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</si>
  <si>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</si>
  <si>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</si>
  <si>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</si>
  <si>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</si>
  <si>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</si>
  <si>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</si>
  <si>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</si>
  <si>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</si>
  <si>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</si>
  <si>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</si>
  <si>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</si>
  <si>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</si>
  <si>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</si>
  <si>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</si>
  <si>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</si>
  <si>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</si>
  <si>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</si>
  <si>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</si>
  <si>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</si>
  <si>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</si>
  <si>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</si>
  <si>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</si>
  <si>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</si>
  <si>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</si>
  <si>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</si>
  <si>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</si>
  <si>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</si>
  <si>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</si>
  <si>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</si>
  <si>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</si>
  <si>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</si>
  <si>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</si>
  <si>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</si>
  <si>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</si>
  <si>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</si>
  <si>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</si>
  <si>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</si>
  <si>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</si>
  <si>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</si>
  <si>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</si>
  <si>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</si>
  <si>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</si>
  <si>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</si>
  <si>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</si>
  <si>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</si>
  <si>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</si>
  <si>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</si>
  <si>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</si>
  <si>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</si>
  <si>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</si>
  <si>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</si>
  <si>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</si>
  <si>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</si>
  <si>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</si>
  <si>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</si>
  <si>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</si>
  <si>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</si>
  <si>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</si>
  <si>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</si>
  <si>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</si>
  <si>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</si>
  <si>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</si>
  <si>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</si>
  <si>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</si>
  <si>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</si>
  <si>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</si>
  <si>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</si>
  <si>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</si>
  <si>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</si>
  <si>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</si>
  <si>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</si>
  <si>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</si>
  <si>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</si>
  <si>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</si>
  <si>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</si>
  <si>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</si>
  <si>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</si>
  <si>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</si>
  <si>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</si>
  <si>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</si>
  <si>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</si>
  <si>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</si>
  <si>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</si>
  <si>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</si>
  <si>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</si>
  <si>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</si>
  <si>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</si>
  <si>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</si>
  <si>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</si>
  <si>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</si>
  <si>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</si>
  <si>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</si>
  <si>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</si>
  <si>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</si>
  <si>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</si>
  <si>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</si>
  <si>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</si>
  <si>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</si>
  <si>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</si>
  <si>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</si>
  <si>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</si>
  <si>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</si>
  <si>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</si>
  <si>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</si>
  <si>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</si>
  <si>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</si>
  <si>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</si>
  <si>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</si>
  <si>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</si>
  <si>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</si>
  <si>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</si>
  <si>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</si>
  <si>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</si>
  <si>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</si>
  <si>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</si>
  <si>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</si>
  <si>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</si>
  <si>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</si>
  <si>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</si>
  <si>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</si>
  <si>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</si>
  <si>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</si>
  <si>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</si>
  <si>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</si>
  <si>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</si>
  <si>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</si>
  <si>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</si>
  <si>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</si>
  <si>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</si>
  <si>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</si>
  <si>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</si>
  <si>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</si>
  <si>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</si>
  <si>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</si>
  <si>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</si>
  <si>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</si>
  <si>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</si>
  <si>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</si>
  <si>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</si>
  <si>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</si>
  <si>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</si>
  <si>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</si>
  <si>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</si>
  <si>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</si>
  <si>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</si>
  <si>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</si>
  <si>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</si>
  <si>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</si>
  <si>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</si>
  <si>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</si>
  <si>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</si>
  <si>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</si>
  <si>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</si>
  <si>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</si>
  <si>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</si>
  <si>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</si>
  <si>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</si>
  <si>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</si>
  <si>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</si>
  <si>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</si>
  <si>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</si>
  <si>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</si>
  <si>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</si>
  <si>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</si>
  <si>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</si>
  <si>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</si>
  <si>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</si>
  <si>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</si>
  <si>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</si>
  <si>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</si>
  <si>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</si>
  <si>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</si>
  <si>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</si>
  <si>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</si>
  <si>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</si>
  <si>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</si>
  <si>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</si>
  <si>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</si>
  <si>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</si>
  <si>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</si>
  <si>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</si>
  <si>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</si>
  <si>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</si>
  <si>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</si>
  <si>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</si>
  <si>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</si>
  <si>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</si>
  <si>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</si>
  <si>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</si>
  <si>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</si>
  <si>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</si>
  <si>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</si>
  <si>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</si>
  <si>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</si>
  <si>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</si>
  <si>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</si>
  <si>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</si>
  <si>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</si>
  <si>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</si>
  <si>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</si>
  <si>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</si>
  <si>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</si>
  <si>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</si>
  <si>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</si>
  <si>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</si>
  <si>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</si>
  <si>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</si>
  <si>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</si>
  <si>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</si>
  <si>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</si>
  <si>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</si>
  <si>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</si>
  <si>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</si>
  <si>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</si>
  <si>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</si>
  <si>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</si>
  <si>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</si>
  <si>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</si>
  <si>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</si>
  <si>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</si>
  <si>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</si>
  <si>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</si>
  <si>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</si>
  <si>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</si>
  <si>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</si>
  <si>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</si>
  <si>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</si>
  <si>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</si>
  <si>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</si>
  <si>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</si>
  <si>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</si>
  <si>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</si>
  <si>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</si>
  <si>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</si>
  <si>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</si>
  <si>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</si>
  <si>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</si>
  <si>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</si>
  <si>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</si>
  <si>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</si>
  <si>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</si>
  <si>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</si>
  <si>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</si>
  <si>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</si>
  <si>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</si>
  <si>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</si>
  <si>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</si>
  <si>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</si>
  <si>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</si>
  <si>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</si>
  <si>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</si>
  <si>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</si>
  <si>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</si>
  <si>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</si>
  <si>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</si>
  <si>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</si>
  <si>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</si>
  <si>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</si>
  <si>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</si>
  <si>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</si>
  <si>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</si>
  <si>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</si>
  <si>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</si>
  <si>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</si>
  <si>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</si>
  <si>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</si>
  <si>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</si>
  <si>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</si>
  <si>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</si>
  <si>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</si>
  <si>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</si>
  <si>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</si>
  <si>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</si>
  <si>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</si>
  <si>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</si>
  <si>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</si>
  <si>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</si>
  <si>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</si>
  <si>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</si>
  <si>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</si>
  <si>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</si>
  <si>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</si>
  <si>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</si>
  <si>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</si>
  <si>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</si>
  <si>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</si>
  <si>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</si>
  <si>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</si>
  <si>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</si>
  <si>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</si>
  <si>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</si>
  <si>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</si>
  <si>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</si>
  <si>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</si>
  <si>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</si>
  <si>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</si>
  <si>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</si>
  <si>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</si>
  <si>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</si>
  <si>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</si>
  <si>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</si>
  <si>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</si>
  <si>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</si>
  <si>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</si>
  <si>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</si>
  <si>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</si>
  <si>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</si>
  <si>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</si>
  <si>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</si>
  <si>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</si>
  <si>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</si>
  <si>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</si>
  <si>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</si>
  <si>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</si>
  <si>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</si>
  <si>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</si>
  <si>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</si>
  <si>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</si>
  <si>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</si>
  <si>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</si>
  <si>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</si>
  <si>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</si>
  <si>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</si>
  <si>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</si>
  <si>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</si>
  <si>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</si>
  <si>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</si>
  <si>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</si>
  <si>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</si>
  <si>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</si>
  <si>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</si>
  <si>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</si>
  <si>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</si>
  <si>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</si>
  <si>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</si>
  <si>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</si>
  <si>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</si>
  <si>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</si>
  <si>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</si>
  <si>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</si>
  <si>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</si>
  <si>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</si>
  <si>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</si>
  <si>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</si>
  <si>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</si>
  <si>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</si>
  <si>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</si>
  <si>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</si>
  <si>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</si>
  <si>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</si>
  <si>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</si>
  <si>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</si>
  <si>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</si>
  <si>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</si>
  <si>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</si>
  <si>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</si>
  <si>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</si>
  <si>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</si>
  <si>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</si>
  <si>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</si>
  <si>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</si>
  <si>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</si>
  <si>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</si>
  <si>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</si>
  <si>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</si>
  <si>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</si>
  <si>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</si>
  <si>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</si>
  <si>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</si>
  <si>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</si>
  <si>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</si>
  <si>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</si>
  <si>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</si>
  <si>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</si>
  <si>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</si>
  <si>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</si>
  <si>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</si>
  <si>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</si>
  <si>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</si>
  <si>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</si>
  <si>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</si>
  <si>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</si>
  <si>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</si>
  <si>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</si>
  <si>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</si>
  <si>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</si>
  <si>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</si>
  <si>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</si>
  <si>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</si>
  <si>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</si>
  <si>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</si>
  <si>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</si>
  <si>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</si>
  <si>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</si>
  <si>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</si>
  <si>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</si>
  <si>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</si>
  <si>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</si>
  <si>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</si>
  <si>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</si>
  <si>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</si>
  <si>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</si>
  <si>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</si>
  <si>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</si>
  <si>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</si>
  <si>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</si>
  <si>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</si>
  <si>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</si>
  <si>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</si>
  <si>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</si>
  <si>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</si>
  <si>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</si>
  <si>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</si>
  <si>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</si>
  <si>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</si>
  <si>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</si>
  <si>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</si>
  <si>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</si>
  <si>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</si>
  <si>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</si>
  <si>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</si>
  <si>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</si>
  <si>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</si>
  <si>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</si>
  <si>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</si>
  <si>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</si>
  <si>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</si>
  <si>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</si>
  <si>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</si>
  <si>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</si>
  <si>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</si>
  <si>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</si>
  <si>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</si>
  <si>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</si>
  <si>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</si>
  <si>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</si>
  <si>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</si>
  <si>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</si>
  <si>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</si>
  <si>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</si>
  <si>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</si>
  <si>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</si>
  <si>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</si>
  <si>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</si>
  <si>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</si>
  <si>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</si>
  <si>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</si>
  <si>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</si>
  <si>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</si>
  <si>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</si>
  <si>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</si>
  <si>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</si>
  <si>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</si>
  <si>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</si>
  <si>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</si>
  <si>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</si>
  <si>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</si>
  <si>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</si>
  <si>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</si>
  <si>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</si>
  <si>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</si>
  <si>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</si>
  <si>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</si>
  <si>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</si>
  <si>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</si>
  <si>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</si>
  <si>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</si>
  <si>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</si>
  <si>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</si>
  <si>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</si>
  <si>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</si>
  <si>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</si>
  <si>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</si>
  <si>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</si>
  <si>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</si>
  <si>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</si>
  <si>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</si>
  <si>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</si>
  <si>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</si>
  <si>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</si>
  <si>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</si>
  <si>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</si>
  <si>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</si>
  <si>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</si>
  <si>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</si>
  <si>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</si>
  <si>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</si>
  <si>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</si>
  <si>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</si>
  <si>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</si>
  <si>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</si>
  <si>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</si>
  <si>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</si>
  <si>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</si>
  <si>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</si>
  <si>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</si>
  <si>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</si>
  <si>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</si>
  <si>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</si>
  <si>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</si>
  <si>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</si>
  <si>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</si>
  <si>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</si>
  <si>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</si>
  <si>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</si>
  <si>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</si>
  <si>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</si>
  <si>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</si>
  <si>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</si>
  <si>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</si>
  <si>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</si>
  <si>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</si>
  <si>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</si>
  <si>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</si>
  <si>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</si>
  <si>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</si>
  <si>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</si>
  <si>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</si>
  <si>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</si>
  <si>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</si>
  <si>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</si>
  <si>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</si>
  <si>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</si>
  <si>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</si>
  <si>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</si>
  <si>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</si>
  <si>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</si>
  <si>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</si>
  <si>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</si>
  <si>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</si>
  <si>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</si>
  <si>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</si>
  <si>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</si>
  <si>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</si>
  <si>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</si>
  <si>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</si>
  <si>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</si>
  <si>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</si>
  <si>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</si>
  <si>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</si>
  <si>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</si>
  <si>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</si>
  <si>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</si>
  <si>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</si>
  <si>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</si>
  <si>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</si>
  <si>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</si>
  <si>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</si>
  <si>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</si>
  <si>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</si>
  <si>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</si>
  <si>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</si>
  <si>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</si>
  <si>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</si>
  <si>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</si>
  <si>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</si>
  <si>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</si>
  <si>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</si>
  <si>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</si>
  <si>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</si>
  <si>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</si>
  <si>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</si>
  <si>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</si>
  <si>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</si>
  <si>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</si>
  <si>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</si>
  <si>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</si>
  <si>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</si>
  <si>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</si>
  <si>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</si>
  <si>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</si>
  <si>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</si>
  <si>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</si>
  <si>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</si>
  <si>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</si>
  <si>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</si>
  <si>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</si>
  <si>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</si>
  <si>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</si>
  <si>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</si>
  <si>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</si>
  <si>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</si>
  <si>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</si>
  <si>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</si>
  <si>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</si>
  <si>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</si>
  <si>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</si>
  <si>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</si>
  <si>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</si>
  <si>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</si>
  <si>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</si>
  <si>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</si>
  <si>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</si>
  <si>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</si>
  <si>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</si>
  <si>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</si>
  <si>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</si>
  <si>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</si>
  <si>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</si>
  <si>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</si>
  <si>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</si>
  <si>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</si>
  <si>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</si>
  <si>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</si>
  <si>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</si>
  <si>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</si>
  <si>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</si>
  <si>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</si>
  <si>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</si>
  <si>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</si>
  <si>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</si>
  <si>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</si>
  <si>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</si>
  <si>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</si>
  <si>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</si>
  <si>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</si>
  <si>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</si>
  <si>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</si>
  <si>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</si>
  <si>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</si>
  <si>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</si>
  <si>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</si>
  <si>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</si>
  <si>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</si>
  <si>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</si>
  <si>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</si>
  <si>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</si>
  <si>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</si>
  <si>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</si>
  <si>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</si>
  <si>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</si>
  <si>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</si>
  <si>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</si>
  <si>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</si>
  <si>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</si>
  <si>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</si>
  <si>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</si>
  <si>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</si>
  <si>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</si>
  <si>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</si>
  <si>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</si>
  <si>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</si>
  <si>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</si>
  <si>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</si>
  <si>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</si>
  <si>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</si>
  <si>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</si>
  <si>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</si>
  <si>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</si>
  <si>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</si>
  <si>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</si>
  <si>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</si>
  <si>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</si>
  <si>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</si>
  <si>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</si>
  <si>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</si>
  <si>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</si>
  <si>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</si>
  <si>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</si>
  <si>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</si>
  <si>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</si>
  <si>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</si>
  <si>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</si>
  <si>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</si>
  <si>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</si>
  <si>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</si>
  <si>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</si>
  <si>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</si>
  <si>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</si>
  <si>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</si>
  <si>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</si>
  <si>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</si>
  <si>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</si>
  <si>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</si>
  <si>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</si>
  <si>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</si>
  <si>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</si>
  <si>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</si>
  <si>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</si>
  <si>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</si>
  <si>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</si>
  <si>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</si>
  <si>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</si>
  <si>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</si>
  <si>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</si>
  <si>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</si>
  <si>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</si>
  <si>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</si>
  <si>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</si>
  <si>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</si>
  <si>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</si>
  <si>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</si>
  <si>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</si>
  <si>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</si>
  <si>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</si>
  <si>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</si>
  <si>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</si>
  <si>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</si>
  <si>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</si>
  <si>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</si>
  <si>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</si>
  <si>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</si>
  <si>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</si>
  <si>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</si>
  <si>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</si>
  <si>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</si>
  <si>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</si>
  <si>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</si>
  <si>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</si>
  <si>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</si>
  <si>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</si>
  <si>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</si>
  <si>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</si>
  <si>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</si>
  <si>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</si>
  <si>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</si>
  <si>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</si>
  <si>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</si>
  <si>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</si>
  <si>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</si>
  <si>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</si>
  <si>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</si>
  <si>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</si>
  <si>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</si>
  <si>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</si>
  <si>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</si>
  <si>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</si>
  <si>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</si>
  <si>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</si>
  <si>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</si>
  <si>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</si>
  <si>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</si>
  <si>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</si>
  <si>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</si>
  <si>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</si>
  <si>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</si>
  <si>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</si>
  <si>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</si>
  <si>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</si>
  <si>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</si>
  <si>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</si>
  <si>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</si>
  <si>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</si>
  <si>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</si>
  <si>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</si>
  <si>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</si>
  <si>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</si>
  <si>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</si>
  <si>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</si>
  <si>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</si>
  <si>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</si>
  <si>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</si>
  <si>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</si>
  <si>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</si>
  <si>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</si>
  <si>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</si>
  <si>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</si>
  <si>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</si>
  <si>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</si>
  <si>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</si>
  <si>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</si>
  <si>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</si>
  <si>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</si>
  <si>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</si>
  <si>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</si>
  <si>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</si>
  <si>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</si>
  <si>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</si>
  <si>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</si>
  <si>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</si>
  <si>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</si>
  <si>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</si>
  <si>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</si>
  <si>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</si>
  <si>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</si>
  <si>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</si>
  <si>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</si>
  <si>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</si>
  <si>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</si>
  <si>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</si>
  <si>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</si>
  <si>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</si>
  <si>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</si>
  <si>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</si>
  <si>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</si>
  <si>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</si>
  <si>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</si>
  <si>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</si>
  <si>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</si>
  <si>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</si>
  <si>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</si>
  <si>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</si>
  <si>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</si>
  <si>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</si>
  <si>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</si>
  <si>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</si>
  <si>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</si>
  <si>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</si>
  <si>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</si>
  <si>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</si>
  <si>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</si>
  <si>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</si>
  <si>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</si>
  <si>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</si>
  <si>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</si>
  <si>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</si>
  <si>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</si>
  <si>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</si>
  <si>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</si>
  <si>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</si>
  <si>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</si>
  <si>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</si>
  <si>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</si>
  <si>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</si>
  <si>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</si>
  <si>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</si>
  <si>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</si>
  <si>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</si>
  <si>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</si>
  <si>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</si>
  <si>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</si>
  <si>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E6_UoM</t>
  </si>
  <si>
    <t>E6_value</t>
  </si>
  <si>
    <t>E6_Fraction[%]</t>
  </si>
  <si>
    <t>Use_E6</t>
  </si>
  <si>
    <t>E6_TC_ID</t>
  </si>
  <si>
    <t>E6_TC_Value[%]</t>
  </si>
  <si>
    <t>Region</t>
  </si>
  <si>
    <t>Processes</t>
  </si>
  <si>
    <t>Scenario 2</t>
  </si>
  <si>
    <t>Atmosphere</t>
  </si>
  <si>
    <t>Environment</t>
  </si>
  <si>
    <t>Cultivation</t>
  </si>
  <si>
    <t>Harvest</t>
  </si>
  <si>
    <t>Grain Processing &amp; Consumption</t>
  </si>
  <si>
    <t>Straw Collection &amp; Distribution</t>
  </si>
  <si>
    <t>Direct Incorporation</t>
  </si>
  <si>
    <t>Lithosphere (P&amp;I)</t>
  </si>
  <si>
    <t>Lithosphere (I)</t>
  </si>
  <si>
    <t>Composting &amp; Incorporation</t>
  </si>
  <si>
    <t>Lithosphere (C&amp;I)</t>
  </si>
  <si>
    <t>Water_Composting</t>
  </si>
  <si>
    <t>Pyrolysis</t>
  </si>
  <si>
    <t>Grain</t>
  </si>
  <si>
    <t>Straw</t>
  </si>
  <si>
    <t>Straw_incorperation</t>
  </si>
  <si>
    <t>Straw_Pyrolisis</t>
  </si>
  <si>
    <t>Straw_Compost</t>
  </si>
  <si>
    <t>Food_Emissions_C</t>
  </si>
  <si>
    <t>Food_Emissions_E</t>
  </si>
  <si>
    <t>Pyrolisis_Emissions_C</t>
  </si>
  <si>
    <t>Pyrolisis_Emissions_E</t>
  </si>
  <si>
    <t>Pyrochar</t>
  </si>
  <si>
    <t>Compost_Emissions_C</t>
  </si>
  <si>
    <t>Compost_Emissions_E</t>
  </si>
  <si>
    <t>Compost_lithosphere</t>
  </si>
  <si>
    <t>Wheat Plant</t>
  </si>
  <si>
    <t>Straw_lithosphere</t>
  </si>
  <si>
    <t>Atmosphere_Input_C</t>
  </si>
  <si>
    <t>Environment_Input_E</t>
  </si>
  <si>
    <t>Lithosphere(I)_Emissions_C</t>
  </si>
  <si>
    <t>Lithosphere(I)_Emissions_E</t>
  </si>
  <si>
    <t>Lithosphere(CI)_Emissions_C</t>
  </si>
  <si>
    <t>Lithosphere(CI)_Emissions_E</t>
  </si>
  <si>
    <t>Water Compost</t>
  </si>
  <si>
    <t>Lithosphere(P&amp;I)_Emissions_C</t>
  </si>
  <si>
    <t>Lithosphere(P&amp;I)_Emissions_E</t>
  </si>
  <si>
    <t>F_08_00</t>
  </si>
  <si>
    <t>F_08_01</t>
  </si>
  <si>
    <t>F_10_00</t>
  </si>
  <si>
    <t>F_10_01</t>
  </si>
  <si>
    <t>F_07_00</t>
  </si>
  <si>
    <t>F_07_01</t>
  </si>
  <si>
    <t>P08_Inflow_fraction_f (Labile pool)</t>
  </si>
  <si>
    <t>P08_decay_k1 (Labile pool)</t>
  </si>
  <si>
    <t>P08_Inflow_fraction_f (Recalcitrant pool)</t>
  </si>
  <si>
    <t>P08_decay_k2 (Recalcitrant pool)</t>
  </si>
  <si>
    <t>P10_Inflow_fraction_f (Labile pool)</t>
  </si>
  <si>
    <t>P10_decay_k1 (Labile pool)</t>
  </si>
  <si>
    <t>P10_Inflow_fraction_f (Recalcitrant pool)</t>
  </si>
  <si>
    <t>P10_decay_k2 (Recalcitrant pool)</t>
  </si>
  <si>
    <t>P07_Inflow_fraction_f (Labile pool)</t>
  </si>
  <si>
    <t>P07_decay_k1 (Labile pool)</t>
  </si>
  <si>
    <t>P07_Inflow_fraction_f (Recalcitrant pool)</t>
  </si>
  <si>
    <t>P07_decay_k2 (Recalcitrant pool)</t>
  </si>
  <si>
    <t>DeStatis</t>
  </si>
  <si>
    <t>Statistic</t>
  </si>
  <si>
    <t>https://www-genesis.destatis.de/datenbank/online/statistic/41241/table/41241-0005</t>
  </si>
  <si>
    <t>Yield Projection based on statistical Data. Detailed Methodology explained in Paper and SI.</t>
  </si>
  <si>
    <t>https://www-genesis.destatis.de/datenbank/online/statistic/41241/table/41241-0006</t>
  </si>
  <si>
    <t>https://www-genesis.destatis.de/datenbank/online/statistic/41241/table/41241-0007</t>
  </si>
  <si>
    <t>https://www-genesis.destatis.de/datenbank/online/statistic/41241/table/41241-0008</t>
  </si>
  <si>
    <t>https://www-genesis.destatis.de/datenbank/online/statistic/41241/table/41241-0009</t>
  </si>
  <si>
    <t>https://www-genesis.destatis.de/datenbank/online/statistic/41241/table/41241-0010</t>
  </si>
  <si>
    <t>https://www-genesis.destatis.de/datenbank/online/statistic/41241/table/41241-0011</t>
  </si>
  <si>
    <t>https://www-genesis.destatis.de/datenbank/online/statistic/41241/table/41241-0012</t>
  </si>
  <si>
    <t>https://www-genesis.destatis.de/datenbank/online/statistic/41241/table/41241-0013</t>
  </si>
  <si>
    <t>https://www-genesis.destatis.de/datenbank/online/statistic/41241/table/41241-0014</t>
  </si>
  <si>
    <t>https://www-genesis.destatis.de/datenbank/online/statistic/41241/table/41241-0015</t>
  </si>
  <si>
    <t>https://www-genesis.destatis.de/datenbank/online/statistic/41241/table/41241-0016</t>
  </si>
  <si>
    <t>https://www-genesis.destatis.de/datenbank/online/statistic/41241/table/41241-0017</t>
  </si>
  <si>
    <t>https://www-genesis.destatis.de/datenbank/online/statistic/41241/table/41241-0018</t>
  </si>
  <si>
    <t>https://www-genesis.destatis.de/datenbank/online/statistic/41241/table/41241-0019</t>
  </si>
  <si>
    <t>https://www-genesis.destatis.de/datenbank/online/statistic/41241/table/41241-0020</t>
  </si>
  <si>
    <t>https://www-genesis.destatis.de/datenbank/online/statistic/41241/table/41241-0021</t>
  </si>
  <si>
    <t>https://www-genesis.destatis.de/datenbank/online/statistic/41241/table/41241-0022</t>
  </si>
  <si>
    <t>https://www-genesis.destatis.de/datenbank/online/statistic/41241/table/41241-0023</t>
  </si>
  <si>
    <t>https://www-genesis.destatis.de/datenbank/online/statistic/41241/table/41241-0024</t>
  </si>
  <si>
    <t>https://www-genesis.destatis.de/datenbank/online/statistic/41241/table/41241-0025</t>
  </si>
  <si>
    <t>https://www-genesis.destatis.de/datenbank/online/statistic/41241/table/41241-0026</t>
  </si>
  <si>
    <t>https://www-genesis.destatis.de/datenbank/online/statistic/41241/table/41241-0027</t>
  </si>
  <si>
    <t>https://www-genesis.destatis.de/datenbank/online/statistic/41241/table/41241-0028</t>
  </si>
  <si>
    <t>https://www-genesis.destatis.de/datenbank/online/statistic/41241/table/41241-0029</t>
  </si>
  <si>
    <t>https://www-genesis.destatis.de/datenbank/online/statistic/41241/table/41241-0030</t>
  </si>
  <si>
    <t>https://www-genesis.destatis.de/datenbank/online/statistic/41241/table/41241-0031</t>
  </si>
  <si>
    <t>https://www-genesis.destatis.de/datenbank/online/statistic/41241/table/41241-0032</t>
  </si>
  <si>
    <t>https://www-genesis.destatis.de/datenbank/online/statistic/41241/table/41241-0033</t>
  </si>
  <si>
    <t>https://www-genesis.destatis.de/datenbank/online/statistic/41241/table/41241-0034</t>
  </si>
  <si>
    <t>https://www-genesis.destatis.de/datenbank/online/statistic/41241/table/41241-0035</t>
  </si>
  <si>
    <t>https://www-genesis.destatis.de/datenbank/online/statistic/41241/table/41241-0036</t>
  </si>
  <si>
    <t>https://www-genesis.destatis.de/datenbank/online/statistic/41241/table/41241-0037</t>
  </si>
  <si>
    <t>https://www-genesis.destatis.de/datenbank/online/statistic/41241/table/41241-0038</t>
  </si>
  <si>
    <t>https://www-genesis.destatis.de/datenbank/online/statistic/41241/table/41241-0039</t>
  </si>
  <si>
    <t>https://www-genesis.destatis.de/datenbank/online/statistic/41241/table/41241-0040</t>
  </si>
  <si>
    <t>https://www-genesis.destatis.de/datenbank/online/statistic/41241/table/41241-0041</t>
  </si>
  <si>
    <t>https://www-genesis.destatis.de/datenbank/online/statistic/41241/table/41241-0042</t>
  </si>
  <si>
    <t>https://www-genesis.destatis.de/datenbank/online/statistic/41241/table/41241-0043</t>
  </si>
  <si>
    <t>https://www-genesis.destatis.de/datenbank/online/statistic/41241/table/41241-0044</t>
  </si>
  <si>
    <t>https://www-genesis.destatis.de/datenbank/online/statistic/41241/table/41241-0045</t>
  </si>
  <si>
    <t>https://www-genesis.destatis.de/datenbank/online/statistic/41241/table/41241-0046</t>
  </si>
  <si>
    <t>https://www-genesis.destatis.de/datenbank/online/statistic/41241/table/41241-0047</t>
  </si>
  <si>
    <t>https://www-genesis.destatis.de/datenbank/online/statistic/41241/table/41241-0048</t>
  </si>
  <si>
    <t>https://www-genesis.destatis.de/datenbank/online/statistic/41241/table/41241-0049</t>
  </si>
  <si>
    <t>https://www-genesis.destatis.de/datenbank/online/statistic/41241/table/41241-0050</t>
  </si>
  <si>
    <t>https://www-genesis.destatis.de/datenbank/online/statistic/41241/table/41241-0051</t>
  </si>
  <si>
    <t>https://www-genesis.destatis.de/datenbank/online/statistic/41241/table/41241-0052</t>
  </si>
  <si>
    <t>https://www-genesis.destatis.de/datenbank/online/statistic/41241/table/41241-0053</t>
  </si>
  <si>
    <t>https://www-genesis.destatis.de/datenbank/online/statistic/41241/table/41241-0054</t>
  </si>
  <si>
    <t>https://www-genesis.destatis.de/datenbank/online/statistic/41241/table/41241-0055</t>
  </si>
  <si>
    <t>https://www-genesis.destatis.de/datenbank/online/statistic/41241/table/41241-0056</t>
  </si>
  <si>
    <t>https://www-genesis.destatis.de/datenbank/online/statistic/41241/table/41241-0057</t>
  </si>
  <si>
    <t>https://www-genesis.destatis.de/datenbank/online/statistic/41241/table/41241-0058</t>
  </si>
  <si>
    <t>https://www-genesis.destatis.de/datenbank/online/statistic/41241/table/41241-0059</t>
  </si>
  <si>
    <t>https://www-genesis.destatis.de/datenbank/online/statistic/41241/table/41241-0060</t>
  </si>
  <si>
    <t>https://www-genesis.destatis.de/datenbank/online/statistic/41241/table/41241-0061</t>
  </si>
  <si>
    <t>https://www-genesis.destatis.de/datenbank/online/statistic/41241/table/41241-0062</t>
  </si>
  <si>
    <t>https://www-genesis.destatis.de/datenbank/online/statistic/41241/table/41241-0063</t>
  </si>
  <si>
    <t>https://www-genesis.destatis.de/datenbank/online/statistic/41241/table/41241-0064</t>
  </si>
  <si>
    <t>https://www-genesis.destatis.de/datenbank/online/statistic/41241/table/41241-0065</t>
  </si>
  <si>
    <t>https://www-genesis.destatis.de/datenbank/online/statistic/41241/table/41241-0066</t>
  </si>
  <si>
    <t>https://www-genesis.destatis.de/datenbank/online/statistic/41241/table/41241-0067</t>
  </si>
  <si>
    <t>https://www-genesis.destatis.de/datenbank/online/statistic/41241/table/41241-0068</t>
  </si>
  <si>
    <t>https://www-genesis.destatis.de/datenbank/online/statistic/41241/table/41241-0069</t>
  </si>
  <si>
    <t>https://www-genesis.destatis.de/datenbank/online/statistic/41241/table/41241-0070</t>
  </si>
  <si>
    <t>https://www-genesis.destatis.de/datenbank/online/statistic/41241/table/41241-0071</t>
  </si>
  <si>
    <t>https://www-genesis.destatis.de/datenbank/online/statistic/41241/table/41241-0072</t>
  </si>
  <si>
    <t>https://www-genesis.destatis.de/datenbank/online/statistic/41241/table/41241-0073</t>
  </si>
  <si>
    <t>https://www-genesis.destatis.de/datenbank/online/statistic/41241/table/41241-0074</t>
  </si>
  <si>
    <t>https://www-genesis.destatis.de/datenbank/online/statistic/41241/table/41241-0075</t>
  </si>
  <si>
    <t>https://www-genesis.destatis.de/datenbank/online/statistic/41241/table/41241-0076</t>
  </si>
  <si>
    <t>https://www-genesis.destatis.de/datenbank/online/statistic/41241/table/41241-0077</t>
  </si>
  <si>
    <t>https://www-genesis.destatis.de/datenbank/online/statistic/41241/table/41241-0078</t>
  </si>
  <si>
    <t>https://www-genesis.destatis.de/datenbank/online/statistic/41241/table/41241-0079</t>
  </si>
  <si>
    <t>https://www-genesis.destatis.de/datenbank/online/statistic/41241/table/41241-0080</t>
  </si>
  <si>
    <t>https://www-genesis.destatis.de/datenbank/online/statistic/41241/table/41241-0081</t>
  </si>
  <si>
    <t>https://www-genesis.destatis.de/datenbank/online/statistic/41241/table/41241-0082</t>
  </si>
  <si>
    <t>https://www-genesis.destatis.de/datenbank/online/statistic/41241/table/41241-0083</t>
  </si>
  <si>
    <t>https://www-genesis.destatis.de/datenbank/online/statistic/41241/table/41241-0084</t>
  </si>
  <si>
    <t>https://www-genesis.destatis.de/datenbank/online/statistic/41241/table/41241-0085</t>
  </si>
  <si>
    <t>https://www-genesis.destatis.de/datenbank/online/statistic/41241/table/41241-0086</t>
  </si>
  <si>
    <t>https://www-genesis.destatis.de/datenbank/online/statistic/41241/table/41241-0087</t>
  </si>
  <si>
    <t>https://www-genesis.destatis.de/datenbank/online/statistic/41241/table/41241-0088</t>
  </si>
  <si>
    <t>https://www-genesis.destatis.de/datenbank/online/statistic/41241/table/41241-0089</t>
  </si>
  <si>
    <t>https://www-genesis.destatis.de/datenbank/online/statistic/41241/table/41241-0090</t>
  </si>
  <si>
    <t>https://www-genesis.destatis.de/datenbank/online/statistic/41241/table/41241-0091</t>
  </si>
  <si>
    <t>https://www-genesis.destatis.de/datenbank/online/statistic/41241/table/41241-0092</t>
  </si>
  <si>
    <t>https://www-genesis.destatis.de/datenbank/online/statistic/41241/table/41241-0093</t>
  </si>
  <si>
    <t>https://www-genesis.destatis.de/datenbank/online/statistic/41241/table/41241-0094</t>
  </si>
  <si>
    <t>https://www-genesis.destatis.de/datenbank/online/statistic/41241/table/41241-0095</t>
  </si>
  <si>
    <t>https://www-genesis.destatis.de/datenbank/online/statistic/41241/table/41241-0096</t>
  </si>
  <si>
    <t>https://www-genesis.destatis.de/datenbank/online/statistic/41241/table/41241-0097</t>
  </si>
  <si>
    <t>https://www-genesis.destatis.de/datenbank/online/statistic/41241/table/41241-0098</t>
  </si>
  <si>
    <t>https://www-genesis.destatis.de/datenbank/online/statistic/41241/table/41241-0099</t>
  </si>
  <si>
    <t>https://www-genesis.destatis.de/datenbank/online/statistic/41241/table/41241-0100</t>
  </si>
  <si>
    <t>https://www-genesis.destatis.de/datenbank/online/statistic/41241/table/41241-0101</t>
  </si>
  <si>
    <t>https://www-genesis.destatis.de/datenbank/online/statistic/41241/table/41241-0102</t>
  </si>
  <si>
    <t>https://www-genesis.destatis.de/datenbank/online/statistic/41241/table/41241-0103</t>
  </si>
  <si>
    <t>https://www-genesis.destatis.de/datenbank/online/statistic/41241/table/41241-0104</t>
  </si>
  <si>
    <t>https://www-genesis.destatis.de/datenbank/online/statistic/41241/table/41241-0105</t>
  </si>
  <si>
    <t>https://www-genesis.destatis.de/datenbank/online/statistic/41241/table/41241-0106</t>
  </si>
  <si>
    <t>https://www-genesis.destatis.de/datenbank/online/statistic/41241/table/41241-0107</t>
  </si>
  <si>
    <t>https://www-genesis.destatis.de/datenbank/online/statistic/41241/table/41241-0108</t>
  </si>
  <si>
    <t>https://www-genesis.destatis.de/datenbank/online/statistic/41241/table/41241-0109</t>
  </si>
  <si>
    <t>https://www-genesis.destatis.de/datenbank/online/statistic/41241/table/41241-0110</t>
  </si>
  <si>
    <t>https://www-genesis.destatis.de/datenbank/online/statistic/41241/table/41241-0111</t>
  </si>
  <si>
    <t>https://www-genesis.destatis.de/datenbank/online/statistic/41241/table/41241-0112</t>
  </si>
  <si>
    <t>https://www-genesis.destatis.de/datenbank/online/statistic/41241/table/41241-0113</t>
  </si>
  <si>
    <t>https://www-genesis.destatis.de/datenbank/online/statistic/41241/table/41241-0114</t>
  </si>
  <si>
    <t>https://www-genesis.destatis.de/datenbank/online/statistic/41241/table/41241-0115</t>
  </si>
  <si>
    <t>https://www-genesis.destatis.de/datenbank/online/statistic/41241/table/41241-0116</t>
  </si>
  <si>
    <t>https://www-genesis.destatis.de/datenbank/online/statistic/41241/table/41241-0117</t>
  </si>
  <si>
    <t>https://www-genesis.destatis.de/datenbank/online/statistic/41241/table/41241-0118</t>
  </si>
  <si>
    <t>https://www-genesis.destatis.de/datenbank/online/statistic/41241/table/41241-0119</t>
  </si>
  <si>
    <t>https://www-genesis.destatis.de/datenbank/online/statistic/41241/table/41241-0120</t>
  </si>
  <si>
    <t>https://www-genesis.destatis.de/datenbank/online/statistic/41241/table/41241-0121</t>
  </si>
  <si>
    <t>https://www-genesis.destatis.de/datenbank/online/statistic/41241/table/41241-0122</t>
  </si>
  <si>
    <t>https://www-genesis.destatis.de/datenbank/online/statistic/41241/table/41241-0123</t>
  </si>
  <si>
    <t>https://www-genesis.destatis.de/datenbank/online/statistic/41241/table/41241-0124</t>
  </si>
  <si>
    <t>https://www-genesis.destatis.de/datenbank/online/statistic/41241/table/41241-0125</t>
  </si>
  <si>
    <t>https://www-genesis.destatis.de/datenbank/online/statistic/41241/table/41241-0126</t>
  </si>
  <si>
    <t>https://www-genesis.destatis.de/datenbank/online/statistic/41241/table/41241-0127</t>
  </si>
  <si>
    <t>https://www-genesis.destatis.de/datenbank/online/statistic/41241/table/41241-0128</t>
  </si>
  <si>
    <t>https://www-genesis.destatis.de/datenbank/online/statistic/41241/table/41241-0129</t>
  </si>
  <si>
    <t>https://www-genesis.destatis.de/datenbank/online/statistic/41241/table/41241-0130</t>
  </si>
  <si>
    <t>https://www-genesis.destatis.de/datenbank/online/statistic/41241/table/41241-0131</t>
  </si>
  <si>
    <t>https://www-genesis.destatis.de/datenbank/online/statistic/41241/table/41241-0132</t>
  </si>
  <si>
    <t>https://www-genesis.destatis.de/datenbank/online/statistic/41241/table/41241-0133</t>
  </si>
  <si>
    <t>https://www-genesis.destatis.de/datenbank/online/statistic/41241/table/41241-0134</t>
  </si>
  <si>
    <t>https://www-genesis.destatis.de/datenbank/online/statistic/41241/table/41241-0135</t>
  </si>
  <si>
    <t>https://www-genesis.destatis.de/datenbank/online/statistic/41241/table/41241-0136</t>
  </si>
  <si>
    <t>https://www-genesis.destatis.de/datenbank/online/statistic/41241/table/41241-0137</t>
  </si>
  <si>
    <t>https://www-genesis.destatis.de/datenbank/online/statistic/41241/table/41241-0138</t>
  </si>
  <si>
    <t>https://www-genesis.destatis.de/datenbank/online/statistic/41241/table/41241-0139</t>
  </si>
  <si>
    <t>https://www-genesis.destatis.de/datenbank/online/statistic/41241/table/41241-0140</t>
  </si>
  <si>
    <t>https://www-genesis.destatis.de/datenbank/online/statistic/41241/table/41241-0141</t>
  </si>
  <si>
    <t>https://www-genesis.destatis.de/datenbank/online/statistic/41241/table/41241-0142</t>
  </si>
  <si>
    <t>https://www-genesis.destatis.de/datenbank/online/statistic/41241/table/41241-0143</t>
  </si>
  <si>
    <t>https://www-genesis.destatis.de/datenbank/online/statistic/41241/table/41241-0144</t>
  </si>
  <si>
    <t>https://www-genesis.destatis.de/datenbank/online/statistic/41241/table/41241-0145</t>
  </si>
  <si>
    <t>https://www-genesis.destatis.de/datenbank/online/statistic/41241/table/41241-0146</t>
  </si>
  <si>
    <t>https://www-genesis.destatis.de/datenbank/online/statistic/41241/table/41241-0147</t>
  </si>
  <si>
    <t>https://www-genesis.destatis.de/datenbank/online/statistic/41241/table/41241-0148</t>
  </si>
  <si>
    <t>https://www-genesis.destatis.de/datenbank/online/statistic/41241/table/41241-0149</t>
  </si>
  <si>
    <t>https://www-genesis.destatis.de/datenbank/online/statistic/41241/table/41241-0150</t>
  </si>
  <si>
    <t>https://www-genesis.destatis.de/datenbank/online/statistic/41241/table/41241-0151</t>
  </si>
  <si>
    <t>https://www-genesis.destatis.de/datenbank/online/statistic/41241/table/41241-0152</t>
  </si>
  <si>
    <t>https://www-genesis.destatis.de/datenbank/online/statistic/41241/table/41241-0153</t>
  </si>
  <si>
    <t>https://www-genesis.destatis.de/datenbank/online/statistic/41241/table/41241-0154</t>
  </si>
  <si>
    <t>https://www-genesis.destatis.de/datenbank/online/statistic/41241/table/41241-0155</t>
  </si>
  <si>
    <t>https://www-genesis.destatis.de/datenbank/online/statistic/41241/table/41241-0156</t>
  </si>
  <si>
    <t>https://www-genesis.destatis.de/datenbank/online/statistic/41241/table/41241-0157</t>
  </si>
  <si>
    <t>https://www-genesis.destatis.de/datenbank/online/statistic/41241/table/41241-0158</t>
  </si>
  <si>
    <t>https://www-genesis.destatis.de/datenbank/online/statistic/41241/table/41241-0159</t>
  </si>
  <si>
    <t>https://www-genesis.destatis.de/datenbank/online/statistic/41241/table/41241-0160</t>
  </si>
  <si>
    <t>https://www-genesis.destatis.de/datenbank/online/statistic/41241/table/41241-0161</t>
  </si>
  <si>
    <t>https://www-genesis.destatis.de/datenbank/online/statistic/41241/table/41241-0162</t>
  </si>
  <si>
    <t>https://www-genesis.destatis.de/datenbank/online/statistic/41241/table/41241-0163</t>
  </si>
  <si>
    <t>https://www-genesis.destatis.de/datenbank/online/statistic/41241/table/41241-0164</t>
  </si>
  <si>
    <t>https://www-genesis.destatis.de/datenbank/online/statistic/41241/table/41241-0165</t>
  </si>
  <si>
    <t>https://www-genesis.destatis.de/datenbank/online/statistic/41241/table/41241-0166</t>
  </si>
  <si>
    <t>https://www-genesis.destatis.de/datenbank/online/statistic/41241/table/41241-0167</t>
  </si>
  <si>
    <t>https://www-genesis.destatis.de/datenbank/online/statistic/41241/table/41241-0168</t>
  </si>
  <si>
    <t>https://www-genesis.destatis.de/datenbank/online/statistic/41241/table/41241-0169</t>
  </si>
  <si>
    <t>https://www-genesis.destatis.de/datenbank/online/statistic/41241/table/41241-0170</t>
  </si>
  <si>
    <t>https://www-genesis.destatis.de/datenbank/online/statistic/41241/table/41241-0171</t>
  </si>
  <si>
    <t>https://www-genesis.destatis.de/datenbank/online/statistic/41241/table/41241-0172</t>
  </si>
  <si>
    <t>https://www-genesis.destatis.de/datenbank/online/statistic/41241/table/41241-0173</t>
  </si>
  <si>
    <t>https://www-genesis.destatis.de/datenbank/online/statistic/41241/table/41241-0174</t>
  </si>
  <si>
    <t>https://www-genesis.destatis.de/datenbank/online/statistic/41241/table/41241-0175</t>
  </si>
  <si>
    <t>https://www-genesis.destatis.de/datenbank/online/statistic/41241/table/41241-0176</t>
  </si>
  <si>
    <t>https://www-genesis.destatis.de/datenbank/online/statistic/41241/table/41241-0177</t>
  </si>
  <si>
    <t>https://www-genesis.destatis.de/datenbank/online/statistic/41241/table/41241-0178</t>
  </si>
  <si>
    <t>https://www-genesis.destatis.de/datenbank/online/statistic/41241/table/41241-0179</t>
  </si>
  <si>
    <t>https://www-genesis.destatis.de/datenbank/online/statistic/41241/table/41241-0180</t>
  </si>
  <si>
    <t>https://www-genesis.destatis.de/datenbank/online/statistic/41241/table/41241-0181</t>
  </si>
  <si>
    <t>https://www-genesis.destatis.de/datenbank/online/statistic/41241/table/41241-0182</t>
  </si>
  <si>
    <t>https://www-genesis.destatis.de/datenbank/online/statistic/41241/table/41241-0183</t>
  </si>
  <si>
    <t>https://www-genesis.destatis.de/datenbank/online/statistic/41241/table/41241-0184</t>
  </si>
  <si>
    <t>https://www-genesis.destatis.de/datenbank/online/statistic/41241/table/41241-0185</t>
  </si>
  <si>
    <t>https://www-genesis.destatis.de/datenbank/online/statistic/41241/table/41241-0186</t>
  </si>
  <si>
    <t>https://www-genesis.destatis.de/datenbank/online/statistic/41241/table/41241-0187</t>
  </si>
  <si>
    <t>https://www-genesis.destatis.de/datenbank/online/statistic/41241/table/41241-0188</t>
  </si>
  <si>
    <t>https://www-genesis.destatis.de/datenbank/online/statistic/41241/table/41241-0189</t>
  </si>
  <si>
    <t>https://www-genesis.destatis.de/datenbank/online/statistic/41241/table/41241-0190</t>
  </si>
  <si>
    <t>https://www-genesis.destatis.de/datenbank/online/statistic/41241/table/41241-0191</t>
  </si>
  <si>
    <t>https://www-genesis.destatis.de/datenbank/online/statistic/41241/table/41241-0192</t>
  </si>
  <si>
    <t>https://www-genesis.destatis.de/datenbank/online/statistic/41241/table/41241-0193</t>
  </si>
  <si>
    <t>https://www-genesis.destatis.de/datenbank/online/statistic/41241/table/41241-0194</t>
  </si>
  <si>
    <t>https://www-genesis.destatis.de/datenbank/online/statistic/41241/table/41241-0195</t>
  </si>
  <si>
    <t>https://www-genesis.destatis.de/datenbank/online/statistic/41241/table/41241-0196</t>
  </si>
  <si>
    <t>https://www-genesis.destatis.de/datenbank/online/statistic/41241/table/41241-0197</t>
  </si>
  <si>
    <t>https://www-genesis.destatis.de/datenbank/online/statistic/41241/table/41241-0198</t>
  </si>
  <si>
    <t>https://www-genesis.destatis.de/datenbank/online/statistic/41241/table/41241-0199</t>
  </si>
  <si>
    <t>https://www-genesis.destatis.de/datenbank/online/statistic/41241/table/41241-0200</t>
  </si>
  <si>
    <t>https://www-genesis.destatis.de/datenbank/online/statistic/41241/table/41241-0201</t>
  </si>
  <si>
    <t>https://www-genesis.destatis.de/datenbank/online/statistic/41241/table/41241-0202</t>
  </si>
  <si>
    <t>https://www-genesis.destatis.de/datenbank/online/statistic/41241/table/41241-0203</t>
  </si>
  <si>
    <t>https://www-genesis.destatis.de/datenbank/online/statistic/41241/table/41241-0204</t>
  </si>
  <si>
    <t>https://www-genesis.destatis.de/datenbank/online/statistic/41241/table/41241-0205</t>
  </si>
  <si>
    <t>https://www-genesis.destatis.de/datenbank/online/statistic/41241/table/41241-0206</t>
  </si>
  <si>
    <t>Material Flow = 100%</t>
  </si>
  <si>
    <t>Carbon Flow has no WC</t>
  </si>
  <si>
    <t>Calculated WC</t>
  </si>
  <si>
    <t>Calculated DM Content</t>
  </si>
  <si>
    <t>No CC in the environmental Flow</t>
  </si>
  <si>
    <t>100% DM as Carbon</t>
  </si>
  <si>
    <t>100% DM as carbon</t>
  </si>
  <si>
    <t>Straw/ Grain Ratio</t>
  </si>
  <si>
    <t>Explaination</t>
  </si>
  <si>
    <t>Model Assumption</t>
  </si>
  <si>
    <t>Model Assumptio</t>
  </si>
  <si>
    <t>Pyrochar production:</t>
  </si>
  <si>
    <t>Pyrocharproduction:</t>
  </si>
  <si>
    <t>TC_E2_12_00</t>
  </si>
  <si>
    <t>TC_E2_12_01</t>
  </si>
  <si>
    <t>TC_E2_12_07</t>
  </si>
  <si>
    <t>TC_E3_12_00</t>
  </si>
  <si>
    <t>TC_E3_12_01</t>
  </si>
  <si>
    <t>TC_E3_12_07</t>
  </si>
  <si>
    <t>TC_E4_12_00</t>
  </si>
  <si>
    <t>TC_E4_12_01</t>
  </si>
  <si>
    <t>TC_E4_12_07</t>
  </si>
  <si>
    <t>10.1021/acs.est.1c02425</t>
  </si>
  <si>
    <t>Bioenergy by-products as soil amendments? Implications for carbon sequestration and greenhouse gas emissions</t>
  </si>
  <si>
    <t>DOI</t>
  </si>
  <si>
    <t>https://doi.org/10.1111/j.1757-1707.2010.01055.x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</si>
</sst>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
    <numFmt numFmtId="166" formatCode="0.00000000"/>
    <numFmt numFmtId="167" formatCode="0.000%"/>
    <numFmt numFmtId="168" formatCode="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90">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3" fillId="5" borderId="10" xfId="4" applyFont="1">
      <protection locked="0"/>
    </xf>
    <xf numFmtId="0" fontId="5" fillId="5" borderId="32" xfId="4" applyBorder="1">
      <protection locked="0"/>
    </xf>
    <xf numFmtId="0" fontId="5" fillId="35" borderId="38" xfId="3" applyBorder="1" applyAlignment="1">
      <alignment textRotation="90" wrapText="1"/>
    </xf>
    <xf numFmtId="0" fontId="5" fillId="6" borderId="32" xfId="7" applyBorder="1">
      <protection locked="0"/>
    </xf>
    <xf numFmtId="2" fontId="5" fillId="5" borderId="10" xfId="1" applyNumberFormat="1" applyFont="1" applyFill="1" applyBorder="1" applyProtection="1">
      <protection locked="0"/>
    </xf>
    <xf numFmtId="168" fontId="5" fillId="5" borderId="10" xfId="1" applyNumberFormat="1" applyFont="1" applyFill="1" applyBorder="1" applyProtection="1">
      <protection locked="0"/>
    </xf>
    <xf numFmtId="9" fontId="5" fillId="5" borderId="10" xfId="4" applyNumberForma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2">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22" xr3:uid="{ABA27704-56CF-4C30-88CB-BB6E944F7F08}" name="E2_Fraction_source" dataCellStyle="04_Comments"/>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Percent">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IF(G2="Yes",Tab_Data_Flows[[#This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B51" totalsRowShown="0" tableBorderDxfId="83" headerRowCellStyle="05_Header">
  <autoFilter ref="A1:AB51" xr:uid="{7602A998-85E6-499A-B1A3-C584F22BB41F}"/>
  <tableColumns count="28">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15" xr3:uid="{C5F51DDE-C14F-48DD-89B8-78A43816C014}" name="Explaination" dataCellStyle="04_Comments"/>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9" headerRowBorderDxfId="78" tableBorderDxfId="77">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Q41" totalsRowShown="0" dataDxfId="54" tableBorderDxfId="53" headerRowCellStyle="05_Header">
  <autoFilter ref="A1:Q41" xr:uid="{258723AD-03F6-4700-9C12-0435A55E108D}"/>
  <tableColumns count="17">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B043A41C-F99E-44FB-818E-9F85FD667DD8}" name="Explaination" dataCellStyle="04_Comments"/>
    <tableColumn id="8" xr3:uid="{E023CCD4-C445-4BEE-9DBB-BBA402652F63}" name="Titel_source" dataCellStyle="04_Comments"/>
    <tableColumn id="10" xr3:uid="{D93257D8-CC18-4ABC-B17D-724D8E56F7DE}" name="DOI" dataCellStyle="04_Comments"/>
    <tableColumn id="11" xr3:uid="{3C6B3AB6-E1E3-4357-BE6E-0EC25D74B48B}" name="Author_source" dataCellStyle="04_Comments"/>
    <tableColumn id="14" xr3:uid="{76F77716-5422-4129-9A51-E434A3902587}" name="Type_source" dataCellStyle="04_Comments"/>
    <tableColumn id="16" xr3:uid="{10DD2B8D-363B-4B6D-B7B0-AF75310448D9}" name="URL_source" dataCellStyle="04_Comments"/>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26" totalsRowShown="0" headerRowCellStyle="05_Header">
  <autoFilter ref="A1:J26"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9" headerRowBorderDxfId="8" tableBorderDxfId="7">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7" t="s">
        <v>1025</v>
      </c>
      <c r="C17" s="228"/>
      <c r="D17" s="228"/>
      <c r="E17" s="176"/>
    </row>
    <row r="18" spans="1:5" x14ac:dyDescent="0.25">
      <c r="B18" s="1" t="s">
        <v>990</v>
      </c>
      <c r="C18" s="1" t="s">
        <v>991</v>
      </c>
      <c r="E18" s="176"/>
    </row>
    <row r="19" spans="1:5" x14ac:dyDescent="0.25">
      <c r="B19" s="1" t="s">
        <v>992</v>
      </c>
      <c r="C19" s="178">
        <v>45944</v>
      </c>
      <c r="E19" s="176"/>
    </row>
    <row r="20" spans="1:5" x14ac:dyDescent="0.25">
      <c r="B20" s="1" t="s">
        <v>1032</v>
      </c>
      <c r="C20" s="1" t="s">
        <v>993</v>
      </c>
      <c r="E20" s="176"/>
    </row>
    <row r="21" spans="1:5" x14ac:dyDescent="0.25">
      <c r="C21" s="1" t="s">
        <v>162</v>
      </c>
      <c r="E21" s="176"/>
    </row>
    <row r="22" spans="1:5" x14ac:dyDescent="0.25">
      <c r="B22" s="1" t="s">
        <v>994</v>
      </c>
      <c r="C22" s="179" t="s">
        <v>995</v>
      </c>
      <c r="E22" s="176"/>
    </row>
    <row r="23" spans="1:5" x14ac:dyDescent="0.25">
      <c r="E23" s="176"/>
    </row>
    <row r="24" spans="1:5" x14ac:dyDescent="0.25">
      <c r="E24" s="176"/>
    </row>
    <row r="25" spans="1:5" ht="31.5" customHeight="1" x14ac:dyDescent="0.5">
      <c r="A25" s="225" t="s">
        <v>905</v>
      </c>
      <c r="B25" s="225"/>
      <c r="C25" s="225"/>
      <c r="D25" s="225"/>
      <c r="E25" s="176"/>
    </row>
    <row r="26" spans="1:5" x14ac:dyDescent="0.25">
      <c r="A26" s="185" t="s">
        <v>7</v>
      </c>
      <c r="B26" s="185" t="s">
        <v>1002</v>
      </c>
      <c r="C26" s="185" t="s">
        <v>1003</v>
      </c>
      <c r="D26" s="185" t="s">
        <v>1004</v>
      </c>
      <c r="E26" s="176"/>
    </row>
    <row r="27" spans="1:5" x14ac:dyDescent="0.25">
      <c r="A27" s="1">
        <v>1</v>
      </c>
      <c r="B27" s="1" t="s">
        <v>1008</v>
      </c>
      <c r="C27" s="1" t="s">
        <v>1009</v>
      </c>
      <c r="D27" s="1" t="s">
        <v>1010</v>
      </c>
      <c r="E27" s="176"/>
    </row>
    <row r="28" spans="1:5" ht="30" x14ac:dyDescent="0.25">
      <c r="A28" s="1">
        <v>2</v>
      </c>
      <c r="B28" s="1" t="s">
        <v>1007</v>
      </c>
      <c r="C28" s="1" t="s">
        <v>975</v>
      </c>
      <c r="D28" s="1" t="s">
        <v>976</v>
      </c>
      <c r="E28" s="176"/>
    </row>
    <row r="29" spans="1:5" ht="30" x14ac:dyDescent="0.25">
      <c r="A29" s="1">
        <v>3</v>
      </c>
      <c r="B29" s="1" t="s">
        <v>1005</v>
      </c>
      <c r="C29" s="1" t="s">
        <v>977</v>
      </c>
      <c r="D29" s="1" t="s">
        <v>978</v>
      </c>
      <c r="E29" s="176"/>
    </row>
    <row r="30" spans="1:5" ht="30" x14ac:dyDescent="0.25">
      <c r="A30" s="1">
        <v>4</v>
      </c>
      <c r="B30" s="1" t="s">
        <v>1006</v>
      </c>
      <c r="C30" s="1" t="s">
        <v>979</v>
      </c>
      <c r="D30" s="1" t="s">
        <v>980</v>
      </c>
      <c r="E30" s="176"/>
    </row>
    <row r="31" spans="1:5" x14ac:dyDescent="0.25">
      <c r="A31" s="226"/>
      <c r="B31" s="226"/>
      <c r="C31" s="226"/>
      <c r="D31" s="226"/>
      <c r="E31" s="176"/>
    </row>
    <row r="32" spans="1:5" x14ac:dyDescent="0.25">
      <c r="A32" t="s">
        <v>7</v>
      </c>
      <c r="B32" s="1" t="s">
        <v>1011</v>
      </c>
      <c r="C32" s="1" t="s">
        <v>1012</v>
      </c>
      <c r="D32" s="1" t="s">
        <v>904</v>
      </c>
      <c r="E32" s="176"/>
    </row>
    <row r="33" spans="1:5" x14ac:dyDescent="0.25">
      <c r="A33" s="180">
        <v>1</v>
      </c>
      <c r="B33" s="180" t="s">
        <v>1013</v>
      </c>
      <c r="C33" s="180" t="s">
        <v>1017</v>
      </c>
      <c r="D33" s="180" t="s">
        <v>1021</v>
      </c>
      <c r="E33" s="176"/>
    </row>
    <row r="34" spans="1:5" x14ac:dyDescent="0.25">
      <c r="A34" s="181">
        <v>2</v>
      </c>
      <c r="B34" s="181" t="s">
        <v>1014</v>
      </c>
      <c r="C34" s="181" t="s">
        <v>1018</v>
      </c>
      <c r="D34" s="181" t="s">
        <v>1022</v>
      </c>
      <c r="E34" s="176"/>
    </row>
    <row r="35" spans="1:5" x14ac:dyDescent="0.25">
      <c r="A35" s="182">
        <v>3</v>
      </c>
      <c r="B35" s="182" t="s">
        <v>1015</v>
      </c>
      <c r="C35" s="182" t="s">
        <v>1019</v>
      </c>
      <c r="D35" s="182" t="s">
        <v>1023</v>
      </c>
      <c r="E35" s="176"/>
    </row>
    <row r="36" spans="1:5" x14ac:dyDescent="0.25">
      <c r="A36" s="183">
        <v>4</v>
      </c>
      <c r="B36" s="183" t="s">
        <v>1016</v>
      </c>
      <c r="C36" s="183" t="s">
        <v>1020</v>
      </c>
      <c r="D36" s="183" t="s">
        <v>1024</v>
      </c>
      <c r="E36" s="176"/>
    </row>
    <row r="37" spans="1:5" ht="31.5" customHeight="1" x14ac:dyDescent="0.5">
      <c r="A37" s="225" t="s">
        <v>1001</v>
      </c>
      <c r="B37" s="225"/>
      <c r="C37" s="225"/>
      <c r="D37" s="225"/>
      <c r="E37" s="176"/>
    </row>
    <row r="38" spans="1:5" x14ac:dyDescent="0.25">
      <c r="A38" s="1" t="s">
        <v>7</v>
      </c>
      <c r="B38" s="1" t="s">
        <v>906</v>
      </c>
      <c r="C38" s="1" t="s">
        <v>907</v>
      </c>
      <c r="D38" s="165" t="s">
        <v>918</v>
      </c>
      <c r="E38" s="177"/>
    </row>
    <row r="39" spans="1:5" ht="30" x14ac:dyDescent="0.25">
      <c r="A39" s="1"/>
      <c r="B39" s="1" t="s">
        <v>996</v>
      </c>
      <c r="C39" s="1" t="s">
        <v>909</v>
      </c>
      <c r="D39" s="1" t="s">
        <v>908</v>
      </c>
      <c r="E39" s="177"/>
    </row>
    <row r="40" spans="1:5" ht="30" x14ac:dyDescent="0.25">
      <c r="A40" s="1"/>
      <c r="B40" s="1" t="s">
        <v>997</v>
      </c>
      <c r="C40" s="1" t="s">
        <v>911</v>
      </c>
      <c r="D40" s="1" t="s">
        <v>910</v>
      </c>
      <c r="E40" s="177"/>
    </row>
    <row r="41" spans="1:5" ht="30" x14ac:dyDescent="0.25">
      <c r="A41" s="1"/>
      <c r="B41" s="1" t="s">
        <v>998</v>
      </c>
      <c r="C41" s="1" t="s">
        <v>913</v>
      </c>
      <c r="D41" s="1" t="s">
        <v>912</v>
      </c>
      <c r="E41" s="177"/>
    </row>
    <row r="42" spans="1:5" ht="30" x14ac:dyDescent="0.25">
      <c r="A42" s="1"/>
      <c r="B42" s="1" t="s">
        <v>999</v>
      </c>
      <c r="C42" s="1" t="s">
        <v>915</v>
      </c>
      <c r="D42" s="1" t="s">
        <v>914</v>
      </c>
      <c r="E42" s="177"/>
    </row>
    <row r="43" spans="1:5" ht="30" x14ac:dyDescent="0.25">
      <c r="A43" s="1"/>
      <c r="B43" s="1" t="s">
        <v>1000</v>
      </c>
      <c r="C43" s="1" t="s">
        <v>916</v>
      </c>
      <c r="D43" s="1" t="s">
        <v>894</v>
      </c>
      <c r="E43" s="176"/>
    </row>
    <row r="44" spans="1:5" ht="31.5" x14ac:dyDescent="0.5">
      <c r="A44" s="225" t="s">
        <v>917</v>
      </c>
      <c r="B44" s="225"/>
      <c r="C44" s="225"/>
      <c r="D44" s="225"/>
      <c r="E44" s="176"/>
    </row>
    <row r="45" spans="1:5" x14ac:dyDescent="0.25">
      <c r="A45" s="1" t="s">
        <v>7</v>
      </c>
      <c r="B45" s="1" t="s">
        <v>895</v>
      </c>
      <c r="C45" s="1" t="s">
        <v>896</v>
      </c>
      <c r="D45" s="1" t="s">
        <v>918</v>
      </c>
      <c r="E45" s="176"/>
    </row>
    <row r="46" spans="1:5" x14ac:dyDescent="0.25">
      <c r="A46" s="1"/>
      <c r="B46" s="1" t="s">
        <v>463</v>
      </c>
      <c r="C46" s="1" t="s">
        <v>919</v>
      </c>
      <c r="E46" s="176"/>
    </row>
    <row r="47" spans="1:5" x14ac:dyDescent="0.25">
      <c r="A47" s="1"/>
      <c r="B47" s="1" t="s">
        <v>471</v>
      </c>
      <c r="C47" s="1" t="s">
        <v>920</v>
      </c>
      <c r="E47" s="176"/>
    </row>
    <row r="48" spans="1:5" x14ac:dyDescent="0.25">
      <c r="A48" s="1"/>
      <c r="B48" s="1" t="s">
        <v>472</v>
      </c>
      <c r="C48" s="1" t="s">
        <v>921</v>
      </c>
      <c r="E48" s="176"/>
    </row>
    <row r="49" spans="1:5" x14ac:dyDescent="0.25">
      <c r="A49" s="1"/>
      <c r="B49" s="1" t="s">
        <v>856</v>
      </c>
      <c r="C49" s="1" t="s">
        <v>922</v>
      </c>
      <c r="E49" s="176"/>
    </row>
    <row r="50" spans="1:5" x14ac:dyDescent="0.25">
      <c r="A50" s="1"/>
      <c r="B50" s="1" t="s">
        <v>857</v>
      </c>
      <c r="C50" s="1" t="s">
        <v>923</v>
      </c>
      <c r="E50" s="176"/>
    </row>
    <row r="51" spans="1:5" x14ac:dyDescent="0.25">
      <c r="A51" s="1"/>
      <c r="B51" s="1" t="s">
        <v>858</v>
      </c>
      <c r="C51" s="1" t="s">
        <v>924</v>
      </c>
      <c r="E51" s="176"/>
    </row>
    <row r="52" spans="1:5" x14ac:dyDescent="0.25">
      <c r="A52" s="1"/>
      <c r="B52" s="1" t="s">
        <v>473</v>
      </c>
      <c r="C52" s="1" t="s">
        <v>925</v>
      </c>
      <c r="E52" s="176"/>
    </row>
    <row r="53" spans="1:5" x14ac:dyDescent="0.25">
      <c r="A53" s="1"/>
      <c r="B53" s="1" t="s">
        <v>474</v>
      </c>
      <c r="C53" s="1" t="s">
        <v>926</v>
      </c>
      <c r="E53" s="176"/>
    </row>
    <row r="54" spans="1:5" x14ac:dyDescent="0.25">
      <c r="A54" s="1"/>
      <c r="B54" s="1" t="s">
        <v>476</v>
      </c>
      <c r="C54" s="1" t="s">
        <v>927</v>
      </c>
      <c r="E54" s="176"/>
    </row>
    <row r="55" spans="1:5" x14ac:dyDescent="0.25">
      <c r="A55" s="1"/>
      <c r="B55" s="1" t="s">
        <v>897</v>
      </c>
      <c r="C55" s="1" t="s">
        <v>928</v>
      </c>
      <c r="E55" s="176"/>
    </row>
    <row r="56" spans="1:5" x14ac:dyDescent="0.25">
      <c r="A56" s="1"/>
      <c r="B56" s="1" t="s">
        <v>482</v>
      </c>
      <c r="E56" s="176"/>
    </row>
    <row r="57" spans="1:5" x14ac:dyDescent="0.25">
      <c r="A57" s="1"/>
      <c r="B57" s="1" t="s">
        <v>898</v>
      </c>
      <c r="C57" s="1" t="s">
        <v>929</v>
      </c>
      <c r="E57" s="176"/>
    </row>
    <row r="58" spans="1:5" x14ac:dyDescent="0.25">
      <c r="E58" s="176"/>
    </row>
    <row r="59" spans="1:5" ht="31.5" customHeight="1" x14ac:dyDescent="0.5">
      <c r="A59" s="225" t="s">
        <v>930</v>
      </c>
      <c r="B59" s="225"/>
      <c r="C59" s="225"/>
      <c r="D59" s="225"/>
      <c r="E59" s="176"/>
    </row>
    <row r="60" spans="1:5" ht="30" x14ac:dyDescent="0.25">
      <c r="A60" s="1" t="s">
        <v>161</v>
      </c>
      <c r="B60" s="1" t="s">
        <v>931</v>
      </c>
      <c r="C60" s="1" t="s">
        <v>932</v>
      </c>
      <c r="D60" s="1" t="s">
        <v>904</v>
      </c>
      <c r="E60" s="176"/>
    </row>
    <row r="61" spans="1:5" ht="30" x14ac:dyDescent="0.25">
      <c r="A61" s="1"/>
      <c r="B61" s="1" t="s">
        <v>933</v>
      </c>
      <c r="C61" s="1" t="s">
        <v>934</v>
      </c>
      <c r="D61" s="1" t="s">
        <v>935</v>
      </c>
      <c r="E61" s="176"/>
    </row>
    <row r="62" spans="1:5" x14ac:dyDescent="0.25">
      <c r="A62" s="1"/>
      <c r="B62" s="1" t="s">
        <v>408</v>
      </c>
      <c r="C62" s="1" t="s">
        <v>936</v>
      </c>
      <c r="D62" s="1" t="s">
        <v>937</v>
      </c>
      <c r="E62" s="176"/>
    </row>
    <row r="63" spans="1:5" ht="30" x14ac:dyDescent="0.25">
      <c r="A63" s="1"/>
      <c r="B63" s="1" t="s">
        <v>391</v>
      </c>
      <c r="C63" s="1" t="s">
        <v>938</v>
      </c>
      <c r="D63" s="1" t="s">
        <v>939</v>
      </c>
      <c r="E63" s="176"/>
    </row>
    <row r="64" spans="1:5" ht="30" x14ac:dyDescent="0.25">
      <c r="A64" s="1"/>
      <c r="B64" s="1" t="s">
        <v>940</v>
      </c>
      <c r="C64" s="1" t="s">
        <v>941</v>
      </c>
      <c r="D64" s="1" t="s">
        <v>942</v>
      </c>
      <c r="E64" s="176"/>
    </row>
    <row r="65" spans="1:9" ht="30" x14ac:dyDescent="0.25">
      <c r="A65" s="1"/>
      <c r="B65" s="1" t="s">
        <v>943</v>
      </c>
      <c r="C65" s="1" t="s">
        <v>944</v>
      </c>
      <c r="D65" s="1" t="s">
        <v>945</v>
      </c>
      <c r="E65" s="176"/>
    </row>
    <row r="66" spans="1:9" ht="45" x14ac:dyDescent="0.25">
      <c r="A66" s="1"/>
      <c r="B66" s="1" t="s">
        <v>946</v>
      </c>
      <c r="C66" s="1" t="s">
        <v>947</v>
      </c>
      <c r="D66" s="1" t="s">
        <v>948</v>
      </c>
      <c r="E66" s="177" t="s">
        <v>894</v>
      </c>
      <c r="F66" s="174" t="s">
        <v>894</v>
      </c>
      <c r="G66" s="174" t="s">
        <v>894</v>
      </c>
      <c r="H66" s="174" t="s">
        <v>894</v>
      </c>
      <c r="I66" s="175" t="s">
        <v>894</v>
      </c>
    </row>
    <row r="67" spans="1:9" ht="31.5" customHeight="1" x14ac:dyDescent="0.5">
      <c r="A67" s="225" t="s">
        <v>949</v>
      </c>
      <c r="B67" s="225"/>
      <c r="C67" s="225"/>
      <c r="D67" s="225"/>
      <c r="E67" s="177" t="s">
        <v>894</v>
      </c>
      <c r="F67" s="174" t="s">
        <v>894</v>
      </c>
      <c r="G67" s="174" t="s">
        <v>894</v>
      </c>
      <c r="H67" s="174" t="s">
        <v>894</v>
      </c>
      <c r="I67" s="175" t="s">
        <v>894</v>
      </c>
    </row>
    <row r="68" spans="1:9" x14ac:dyDescent="0.25">
      <c r="A68" s="1" t="s">
        <v>7</v>
      </c>
      <c r="B68" s="1" t="s">
        <v>900</v>
      </c>
      <c r="C68" s="1" t="s">
        <v>901</v>
      </c>
      <c r="D68" s="1" t="s">
        <v>899</v>
      </c>
      <c r="E68" s="177" t="s">
        <v>894</v>
      </c>
      <c r="F68" s="174" t="s">
        <v>894</v>
      </c>
      <c r="G68" s="174" t="s">
        <v>894</v>
      </c>
      <c r="H68" s="174" t="s">
        <v>894</v>
      </c>
      <c r="I68" s="175" t="s">
        <v>894</v>
      </c>
    </row>
    <row r="69" spans="1:9" ht="30" x14ac:dyDescent="0.25">
      <c r="A69" s="1"/>
      <c r="B69" s="1" t="s">
        <v>950</v>
      </c>
      <c r="C69" s="1" t="s">
        <v>951</v>
      </c>
      <c r="D69" s="1" t="s">
        <v>952</v>
      </c>
      <c r="E69" s="177" t="s">
        <v>894</v>
      </c>
      <c r="F69" s="174" t="s">
        <v>894</v>
      </c>
      <c r="G69" s="174" t="s">
        <v>894</v>
      </c>
      <c r="H69" s="174" t="s">
        <v>894</v>
      </c>
      <c r="I69" s="175" t="s">
        <v>894</v>
      </c>
    </row>
    <row r="70" spans="1:9" ht="30" x14ac:dyDescent="0.25">
      <c r="A70" s="1"/>
      <c r="B70" s="1" t="s">
        <v>953</v>
      </c>
      <c r="C70" s="1" t="s">
        <v>954</v>
      </c>
      <c r="D70" s="1" t="s">
        <v>955</v>
      </c>
      <c r="E70" s="177" t="s">
        <v>894</v>
      </c>
      <c r="F70" s="174" t="s">
        <v>894</v>
      </c>
      <c r="G70" s="174" t="s">
        <v>894</v>
      </c>
      <c r="H70" s="174" t="s">
        <v>894</v>
      </c>
      <c r="I70" s="175" t="s">
        <v>894</v>
      </c>
    </row>
    <row r="71" spans="1:9" ht="30" x14ac:dyDescent="0.25">
      <c r="A71" s="1"/>
      <c r="B71" s="1" t="s">
        <v>956</v>
      </c>
      <c r="C71" s="1" t="s">
        <v>957</v>
      </c>
      <c r="D71" s="1" t="s">
        <v>958</v>
      </c>
      <c r="E71" s="177" t="s">
        <v>894</v>
      </c>
      <c r="F71" s="174" t="s">
        <v>894</v>
      </c>
      <c r="G71" s="174" t="s">
        <v>894</v>
      </c>
      <c r="H71" s="174" t="s">
        <v>894</v>
      </c>
      <c r="I71" s="175" t="s">
        <v>894</v>
      </c>
    </row>
    <row r="72" spans="1:9" ht="30" x14ac:dyDescent="0.25">
      <c r="A72" s="1"/>
      <c r="B72" s="1" t="s">
        <v>959</v>
      </c>
      <c r="C72" s="1" t="s">
        <v>960</v>
      </c>
      <c r="D72" s="1" t="s">
        <v>961</v>
      </c>
      <c r="E72" s="176"/>
    </row>
    <row r="73" spans="1:9" ht="31.5" customHeight="1" x14ac:dyDescent="0.5">
      <c r="A73" s="225" t="s">
        <v>962</v>
      </c>
      <c r="B73" s="225"/>
      <c r="C73" s="225"/>
      <c r="D73" s="225"/>
      <c r="E73" s="176"/>
    </row>
    <row r="74" spans="1:9" x14ac:dyDescent="0.25">
      <c r="A74" s="1" t="s">
        <v>7</v>
      </c>
      <c r="B74" s="1" t="s">
        <v>902</v>
      </c>
      <c r="C74" s="1" t="s">
        <v>903</v>
      </c>
      <c r="D74" s="1" t="s">
        <v>161</v>
      </c>
      <c r="E74" s="176"/>
    </row>
    <row r="75" spans="1:9" ht="30" x14ac:dyDescent="0.25">
      <c r="A75" s="1"/>
      <c r="B75" s="1" t="s">
        <v>963</v>
      </c>
      <c r="C75" s="1" t="s">
        <v>964</v>
      </c>
      <c r="D75" s="1" t="s">
        <v>965</v>
      </c>
      <c r="E75" s="176"/>
    </row>
    <row r="76" spans="1:9" ht="30" x14ac:dyDescent="0.25">
      <c r="A76" s="1"/>
      <c r="B76" s="1" t="s">
        <v>966</v>
      </c>
      <c r="C76" s="1" t="s">
        <v>967</v>
      </c>
      <c r="D76" s="1" t="s">
        <v>968</v>
      </c>
      <c r="E76" s="176"/>
    </row>
    <row r="77" spans="1:9" ht="30" x14ac:dyDescent="0.25">
      <c r="A77" s="1"/>
      <c r="B77" s="1" t="s">
        <v>969</v>
      </c>
      <c r="C77" s="1" t="s">
        <v>970</v>
      </c>
      <c r="D77" s="1" t="s">
        <v>971</v>
      </c>
      <c r="E77" s="176"/>
    </row>
    <row r="78" spans="1:9" ht="12" customHeight="1" x14ac:dyDescent="0.25">
      <c r="A78" s="1"/>
      <c r="B78" s="1" t="s">
        <v>972</v>
      </c>
      <c r="C78" s="1" t="s">
        <v>973</v>
      </c>
      <c r="D78" s="1" t="s">
        <v>974</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abSelected="1" zoomScale="130" zoomScaleNormal="130" workbookViewId="0">
      <selection activeCell="C5" sqref="C5"/>
    </sheetView>
  </sheetViews>
  <sheetFormatPr defaultRowHeight="15" x14ac:dyDescent="0.25"/>
  <cols>
    <col min="1" max="1" width="27.85546875" customWidth="1"/>
    <col min="2" max="2" width="35" customWidth="1"/>
    <col min="3" max="3" width="31.28515625" customWidth="1"/>
    <col min="4" max="4" width="12.140625" customWidth="1"/>
    <col min="5" max="5" width="13.85546875" customWidth="1"/>
    <col min="6" max="6" width="43.42578125" customWidth="1"/>
    <col min="7" max="7" width="17" customWidth="1"/>
    <col min="8" max="8" width="20.5703125" customWidth="1"/>
  </cols>
  <sheetData>
    <row r="1" spans="1:7" ht="15.75" thickBot="1" x14ac:dyDescent="0.3">
      <c r="A1" t="s">
        <v>244</v>
      </c>
      <c r="B1" t="s">
        <v>460</v>
      </c>
      <c r="C1" t="s">
        <v>165</v>
      </c>
      <c r="D1" t="s">
        <v>1115</v>
      </c>
      <c r="E1" t="s">
        <v>4</v>
      </c>
      <c r="F1" t="s">
        <v>216</v>
      </c>
      <c r="G1" t="s">
        <v>217</v>
      </c>
    </row>
    <row r="2" spans="1:7" ht="40.5" customHeight="1" x14ac:dyDescent="0.25">
      <c r="A2" s="195" t="s">
        <v>1069</v>
      </c>
      <c r="B2" s="196" t="s">
        <v>1058</v>
      </c>
      <c r="C2" s="197" t="b">
        <v>1</v>
      </c>
      <c r="D2" s="150"/>
      <c r="E2" s="216" t="s">
        <v>1093</v>
      </c>
      <c r="F2" s="152"/>
      <c r="G2" s="198"/>
    </row>
    <row r="3" spans="1:7" ht="15" customHeight="1" x14ac:dyDescent="0.25">
      <c r="A3" s="8"/>
      <c r="B3" s="6" t="s">
        <v>1060</v>
      </c>
      <c r="C3" s="6" t="s">
        <v>1061</v>
      </c>
      <c r="D3" s="6"/>
      <c r="E3" s="13" t="s">
        <v>1094</v>
      </c>
      <c r="F3" s="13"/>
      <c r="G3" s="199"/>
    </row>
    <row r="4" spans="1:7" ht="15" customHeight="1" x14ac:dyDescent="0.25">
      <c r="A4" s="8"/>
      <c r="B4" s="15" t="s">
        <v>218</v>
      </c>
      <c r="C4" s="193">
        <v>2025</v>
      </c>
      <c r="D4" s="6"/>
      <c r="E4" s="13" t="s">
        <v>1095</v>
      </c>
      <c r="F4" s="13"/>
      <c r="G4" s="199"/>
    </row>
    <row r="5" spans="1:7" ht="15" customHeight="1" thickBot="1" x14ac:dyDescent="0.3">
      <c r="A5" s="200"/>
      <c r="B5" s="10" t="s">
        <v>221</v>
      </c>
      <c r="C5" s="143">
        <v>2125</v>
      </c>
      <c r="D5" s="6"/>
      <c r="E5" s="153" t="s">
        <v>1096</v>
      </c>
      <c r="F5" s="153"/>
      <c r="G5" s="201"/>
    </row>
    <row r="6" spans="1:7" ht="40.5" customHeight="1" x14ac:dyDescent="0.25">
      <c r="A6" s="195" t="s">
        <v>1080</v>
      </c>
      <c r="B6" s="150" t="s">
        <v>1064</v>
      </c>
      <c r="C6" s="194" t="b">
        <v>0</v>
      </c>
      <c r="D6" s="6"/>
      <c r="E6" s="216" t="s">
        <v>1099</v>
      </c>
      <c r="F6" s="152"/>
      <c r="G6" s="198"/>
    </row>
    <row r="7" spans="1:7" ht="15" customHeight="1" x14ac:dyDescent="0.25">
      <c r="A7" s="8"/>
      <c r="B7" s="6" t="s">
        <v>1067</v>
      </c>
      <c r="C7" s="6" t="s">
        <v>1097</v>
      </c>
      <c r="D7" s="6"/>
      <c r="E7" s="13" t="s">
        <v>1098</v>
      </c>
      <c r="F7" s="13"/>
      <c r="G7" s="199"/>
    </row>
    <row r="8" spans="1:7" ht="15" customHeight="1" x14ac:dyDescent="0.25">
      <c r="A8" s="8"/>
      <c r="B8" s="6" t="s">
        <v>1068</v>
      </c>
      <c r="C8" s="7"/>
      <c r="D8" s="7"/>
      <c r="E8" s="13"/>
      <c r="F8" s="13"/>
      <c r="G8" s="199"/>
    </row>
    <row r="9" spans="1:7" ht="15" customHeight="1" thickBot="1" x14ac:dyDescent="0.3">
      <c r="A9" s="210"/>
      <c r="B9" s="136" t="s">
        <v>1114</v>
      </c>
      <c r="C9" s="211"/>
      <c r="D9" s="211"/>
      <c r="E9" s="151"/>
      <c r="F9" s="151"/>
      <c r="G9" s="212"/>
    </row>
    <row r="10" spans="1:7" ht="44.25" customHeight="1" thickBot="1" x14ac:dyDescent="0.3">
      <c r="A10" s="203" t="s">
        <v>1079</v>
      </c>
      <c r="B10" s="204" t="s">
        <v>1065</v>
      </c>
      <c r="C10" s="213" t="b">
        <v>0</v>
      </c>
      <c r="D10" s="204"/>
      <c r="E10" s="207" t="s">
        <v>1085</v>
      </c>
      <c r="F10" s="205"/>
      <c r="G10" s="206"/>
    </row>
    <row r="11" spans="1:7" ht="21.75" customHeight="1" x14ac:dyDescent="0.25">
      <c r="A11" s="6"/>
      <c r="B11" s="6" t="s">
        <v>1108</v>
      </c>
      <c r="C11" s="7"/>
      <c r="D11" s="7">
        <v>1</v>
      </c>
      <c r="E11" s="208"/>
      <c r="F11" s="13"/>
      <c r="G11" s="13"/>
    </row>
    <row r="12" spans="1:7" ht="21.75" customHeight="1" x14ac:dyDescent="0.25">
      <c r="A12" s="6"/>
      <c r="B12" s="6" t="s">
        <v>1109</v>
      </c>
      <c r="C12" s="7"/>
      <c r="D12" s="7">
        <v>2</v>
      </c>
      <c r="E12" s="208"/>
      <c r="F12" s="13"/>
      <c r="G12" s="13"/>
    </row>
    <row r="13" spans="1:7" ht="21.75" customHeight="1" x14ac:dyDescent="0.25">
      <c r="A13" s="6"/>
      <c r="B13" s="6" t="s">
        <v>1110</v>
      </c>
      <c r="C13" s="7"/>
      <c r="D13" s="7">
        <v>3</v>
      </c>
      <c r="E13" s="208"/>
      <c r="F13" s="13"/>
      <c r="G13" s="13"/>
    </row>
    <row r="14" spans="1:7" ht="21.75" customHeight="1" x14ac:dyDescent="0.25">
      <c r="A14" s="6"/>
      <c r="B14" s="6" t="s">
        <v>1111</v>
      </c>
      <c r="C14" s="7"/>
      <c r="D14" s="7">
        <v>4</v>
      </c>
      <c r="E14" s="208"/>
      <c r="F14" s="13"/>
      <c r="G14" s="13"/>
    </row>
    <row r="15" spans="1:7" ht="21.75" customHeight="1" x14ac:dyDescent="0.25">
      <c r="A15" s="6"/>
      <c r="B15" s="6" t="s">
        <v>1112</v>
      </c>
      <c r="C15" s="7"/>
      <c r="D15" s="7">
        <v>5</v>
      </c>
      <c r="E15" s="208"/>
      <c r="F15" s="13"/>
      <c r="G15" s="13"/>
    </row>
    <row r="16" spans="1:7" ht="21.75" customHeight="1" thickBot="1" x14ac:dyDescent="0.3">
      <c r="A16" s="6"/>
      <c r="B16" s="6" t="s">
        <v>1113</v>
      </c>
      <c r="C16" s="7"/>
      <c r="D16" s="7">
        <v>6</v>
      </c>
      <c r="E16" s="208"/>
      <c r="F16" s="13"/>
      <c r="G16" s="13"/>
    </row>
    <row r="17" spans="1:7" ht="42.75" customHeight="1" thickBot="1" x14ac:dyDescent="0.3">
      <c r="A17" s="203" t="s">
        <v>1070</v>
      </c>
      <c r="B17" s="204" t="s">
        <v>1066</v>
      </c>
      <c r="C17" s="213" t="b">
        <v>0</v>
      </c>
      <c r="D17" s="204"/>
      <c r="E17" s="207" t="s">
        <v>1084</v>
      </c>
      <c r="F17" s="205"/>
      <c r="G17" s="206"/>
    </row>
    <row r="18" spans="1:7" ht="20.25" customHeight="1" x14ac:dyDescent="0.25">
      <c r="A18" s="6"/>
      <c r="B18" s="6" t="s">
        <v>1102</v>
      </c>
      <c r="C18" s="7"/>
      <c r="D18" s="7">
        <v>1</v>
      </c>
      <c r="E18" s="208"/>
      <c r="F18" s="13"/>
      <c r="G18" s="13"/>
    </row>
    <row r="19" spans="1:7" ht="20.25" customHeight="1" x14ac:dyDescent="0.25">
      <c r="A19" s="6"/>
      <c r="B19" s="6" t="s">
        <v>1103</v>
      </c>
      <c r="C19" s="7"/>
      <c r="D19" s="7">
        <v>2</v>
      </c>
      <c r="E19" s="208"/>
      <c r="F19" s="13"/>
      <c r="G19" s="13"/>
    </row>
    <row r="20" spans="1:7" ht="20.25" customHeight="1" x14ac:dyDescent="0.25">
      <c r="A20" s="6"/>
      <c r="B20" s="6" t="s">
        <v>1104</v>
      </c>
      <c r="C20" s="7"/>
      <c r="D20" s="7">
        <v>3</v>
      </c>
      <c r="E20" s="208"/>
      <c r="F20" s="13"/>
      <c r="G20" s="13"/>
    </row>
    <row r="21" spans="1:7" ht="20.25" customHeight="1" x14ac:dyDescent="0.25">
      <c r="A21" s="6"/>
      <c r="B21" s="6" t="s">
        <v>1105</v>
      </c>
      <c r="C21" s="7"/>
      <c r="D21" s="7">
        <v>4</v>
      </c>
      <c r="E21" s="208"/>
      <c r="F21" s="13"/>
      <c r="G21" s="13"/>
    </row>
    <row r="22" spans="1:7" ht="20.25" customHeight="1" x14ac:dyDescent="0.25">
      <c r="A22" s="6"/>
      <c r="B22" s="6" t="s">
        <v>1106</v>
      </c>
      <c r="C22" s="7"/>
      <c r="D22" s="7">
        <v>5</v>
      </c>
      <c r="E22" s="208"/>
      <c r="F22" s="13"/>
      <c r="G22" s="13"/>
    </row>
    <row r="23" spans="1:7" ht="20.25" customHeight="1" thickBot="1" x14ac:dyDescent="0.3">
      <c r="A23" s="6"/>
      <c r="B23" s="6" t="s">
        <v>1107</v>
      </c>
      <c r="C23" s="7"/>
      <c r="D23" s="7">
        <v>6</v>
      </c>
      <c r="E23" s="208"/>
      <c r="F23" s="13"/>
      <c r="G23" s="13"/>
    </row>
    <row r="24" spans="1:7" ht="52.5" customHeight="1" x14ac:dyDescent="0.25">
      <c r="A24" s="195" t="s">
        <v>1071</v>
      </c>
      <c r="B24" s="150" t="s">
        <v>1063</v>
      </c>
      <c r="C24" s="197" t="b">
        <v>0</v>
      </c>
      <c r="D24" s="196"/>
      <c r="E24" s="209" t="s">
        <v>1086</v>
      </c>
      <c r="F24" s="152"/>
      <c r="G24" s="198"/>
    </row>
    <row r="25" spans="1:7" ht="15" customHeight="1" x14ac:dyDescent="0.25">
      <c r="A25" s="214"/>
      <c r="B25" s="6" t="s">
        <v>1091</v>
      </c>
      <c r="C25" s="7"/>
      <c r="D25" s="193">
        <v>1</v>
      </c>
      <c r="E25" s="192"/>
      <c r="F25" s="13"/>
      <c r="G25" s="199"/>
    </row>
    <row r="26" spans="1:7" ht="15" customHeight="1" x14ac:dyDescent="0.25">
      <c r="A26" s="214"/>
      <c r="B26" s="6" t="s">
        <v>1092</v>
      </c>
      <c r="C26" s="7"/>
      <c r="D26" s="193">
        <v>2</v>
      </c>
      <c r="E26" s="192"/>
      <c r="F26" s="13"/>
      <c r="G26" s="199"/>
    </row>
    <row r="27" spans="1:7" ht="15" customHeight="1" x14ac:dyDescent="0.25">
      <c r="A27" s="158"/>
      <c r="B27" s="6" t="s">
        <v>1100</v>
      </c>
      <c r="C27" s="7"/>
      <c r="D27" s="7">
        <v>3</v>
      </c>
      <c r="E27" s="13"/>
      <c r="F27" s="13"/>
      <c r="G27" s="13"/>
    </row>
    <row r="28" spans="1:7" ht="15" customHeight="1" thickBot="1" x14ac:dyDescent="0.3">
      <c r="A28" s="158"/>
      <c r="B28" s="6" t="s">
        <v>1101</v>
      </c>
      <c r="C28" s="7"/>
      <c r="D28" s="7">
        <v>4</v>
      </c>
      <c r="E28" s="13"/>
      <c r="F28" s="13"/>
      <c r="G28" s="13"/>
    </row>
    <row r="29" spans="1:7" ht="55.5" customHeight="1" x14ac:dyDescent="0.25">
      <c r="A29" s="195" t="s">
        <v>1083</v>
      </c>
      <c r="B29" s="150" t="s">
        <v>1062</v>
      </c>
      <c r="C29" s="194" t="b">
        <v>1</v>
      </c>
      <c r="D29" s="6"/>
      <c r="E29" s="216" t="s">
        <v>1089</v>
      </c>
      <c r="F29" s="152"/>
      <c r="G29" s="198"/>
    </row>
    <row r="30" spans="1:7" ht="15" customHeight="1" x14ac:dyDescent="0.25">
      <c r="A30" s="214"/>
      <c r="B30" s="6" t="s">
        <v>1137</v>
      </c>
      <c r="C30" s="6" t="s">
        <v>1134</v>
      </c>
      <c r="D30" s="6">
        <v>1</v>
      </c>
      <c r="E30" s="13" t="s">
        <v>1135</v>
      </c>
      <c r="F30" s="13"/>
      <c r="G30" s="199"/>
    </row>
    <row r="31" spans="1:7" ht="15" customHeight="1" x14ac:dyDescent="0.25">
      <c r="A31" s="214"/>
      <c r="B31" s="6" t="s">
        <v>1139</v>
      </c>
      <c r="C31" s="7" t="s">
        <v>87</v>
      </c>
      <c r="D31" s="7">
        <v>2</v>
      </c>
      <c r="E31" s="13" t="s">
        <v>1087</v>
      </c>
      <c r="F31" s="13"/>
      <c r="G31" s="199"/>
    </row>
    <row r="32" spans="1:7" ht="15" customHeight="1" x14ac:dyDescent="0.25">
      <c r="A32" s="158"/>
      <c r="B32" s="6" t="s">
        <v>1140</v>
      </c>
      <c r="C32" s="7" t="s">
        <v>1134</v>
      </c>
      <c r="D32" s="7"/>
      <c r="E32" s="13"/>
      <c r="F32" s="13"/>
      <c r="G32" s="13"/>
    </row>
    <row r="33" spans="1:7" ht="15" customHeight="1" x14ac:dyDescent="0.25">
      <c r="A33" s="214"/>
      <c r="B33" s="6" t="s">
        <v>1138</v>
      </c>
      <c r="C33" s="7" t="s">
        <v>88</v>
      </c>
      <c r="D33" s="7">
        <v>3</v>
      </c>
      <c r="E33" s="13" t="s">
        <v>1088</v>
      </c>
      <c r="F33" s="13"/>
      <c r="G33" s="199"/>
    </row>
    <row r="34" spans="1:7" ht="15" customHeight="1" x14ac:dyDescent="0.25">
      <c r="A34" s="158"/>
      <c r="B34" s="6" t="s">
        <v>1141</v>
      </c>
      <c r="C34" s="7" t="s">
        <v>1134</v>
      </c>
      <c r="D34" s="7"/>
      <c r="E34" s="13"/>
      <c r="F34" s="13"/>
      <c r="G34" s="13"/>
    </row>
    <row r="35" spans="1:7" ht="15" customHeight="1" x14ac:dyDescent="0.25">
      <c r="A35" s="214"/>
      <c r="B35" s="6" t="s">
        <v>1145</v>
      </c>
      <c r="C35" s="7" t="s">
        <v>89</v>
      </c>
      <c r="D35" s="7">
        <v>4</v>
      </c>
      <c r="E35" s="13" t="s">
        <v>1090</v>
      </c>
      <c r="F35" s="13"/>
      <c r="G35" s="199"/>
    </row>
    <row r="36" spans="1:7" ht="15" customHeight="1" x14ac:dyDescent="0.25">
      <c r="A36" s="158"/>
      <c r="B36" s="6" t="s">
        <v>1142</v>
      </c>
      <c r="C36" s="7" t="s">
        <v>88</v>
      </c>
      <c r="D36" s="7"/>
      <c r="E36" s="13"/>
      <c r="F36" s="13"/>
      <c r="G36" s="13"/>
    </row>
    <row r="37" spans="1:7" ht="15" customHeight="1" x14ac:dyDescent="0.25">
      <c r="A37" s="214"/>
      <c r="B37" s="6" t="s">
        <v>1144</v>
      </c>
      <c r="C37" s="7"/>
      <c r="D37" s="7">
        <v>5</v>
      </c>
      <c r="E37" s="13"/>
      <c r="F37" s="13"/>
      <c r="G37" s="199"/>
    </row>
    <row r="38" spans="1:7" ht="15" customHeight="1" x14ac:dyDescent="0.25">
      <c r="A38" s="214"/>
      <c r="B38" s="6" t="s">
        <v>1143</v>
      </c>
      <c r="C38" s="7"/>
      <c r="D38" s="7"/>
      <c r="E38" s="13"/>
      <c r="F38" s="13"/>
      <c r="G38" s="199"/>
    </row>
    <row r="39" spans="1:7" ht="15" customHeight="1" x14ac:dyDescent="0.25">
      <c r="A39" s="158"/>
      <c r="B39" s="6" t="s">
        <v>1194</v>
      </c>
      <c r="C39" s="7"/>
      <c r="D39" s="7">
        <v>6</v>
      </c>
      <c r="E39" s="13"/>
      <c r="F39" s="13"/>
      <c r="G39" s="13"/>
    </row>
    <row r="40" spans="1:7" ht="15" customHeight="1" thickBot="1" x14ac:dyDescent="0.3">
      <c r="A40" s="217"/>
      <c r="B40" s="136" t="s">
        <v>1195</v>
      </c>
      <c r="C40" s="211"/>
      <c r="D40" s="211"/>
      <c r="E40" s="151"/>
      <c r="F40" s="151"/>
      <c r="G40" s="151"/>
    </row>
    <row r="41" spans="1:7" ht="15" customHeight="1" x14ac:dyDescent="0.25">
      <c r="A41" s="220"/>
      <c r="B41" s="150" t="s">
        <v>1033</v>
      </c>
      <c r="C41" s="221" t="s">
        <v>163</v>
      </c>
      <c r="D41" s="221"/>
      <c r="E41" s="152"/>
      <c r="F41" s="152"/>
      <c r="G41" s="198"/>
    </row>
    <row r="42" spans="1:7" x14ac:dyDescent="0.25">
      <c r="A42" s="214"/>
      <c r="B42" s="6" t="s">
        <v>222</v>
      </c>
      <c r="C42" s="6" t="s">
        <v>223</v>
      </c>
      <c r="D42" s="6"/>
      <c r="E42" s="13" t="s">
        <v>224</v>
      </c>
      <c r="F42" s="13" t="s">
        <v>219</v>
      </c>
      <c r="G42" s="199" t="s">
        <v>220</v>
      </c>
    </row>
    <row r="43" spans="1:7" ht="15.75" thickBot="1" x14ac:dyDescent="0.3">
      <c r="A43" s="215"/>
      <c r="B43" s="10" t="s">
        <v>225</v>
      </c>
      <c r="C43" s="10" t="s">
        <v>181</v>
      </c>
      <c r="D43" s="10"/>
      <c r="E43" s="153" t="s">
        <v>226</v>
      </c>
      <c r="F43" s="153" t="s">
        <v>219</v>
      </c>
      <c r="G43" s="201" t="s">
        <v>220</v>
      </c>
    </row>
    <row r="44" spans="1:7" x14ac:dyDescent="0.25">
      <c r="A44" s="195" t="s">
        <v>227</v>
      </c>
      <c r="B44" s="150" t="s">
        <v>228</v>
      </c>
      <c r="C44" s="202" t="b">
        <v>0</v>
      </c>
      <c r="D44" s="219"/>
      <c r="E44" s="152" t="s">
        <v>229</v>
      </c>
      <c r="F44" s="152" t="s">
        <v>230</v>
      </c>
      <c r="G44" s="198" t="s">
        <v>220</v>
      </c>
    </row>
    <row r="45" spans="1:7" ht="15" customHeight="1" x14ac:dyDescent="0.25">
      <c r="A45" s="8"/>
      <c r="B45" s="6" t="s">
        <v>231</v>
      </c>
      <c r="C45" s="171" t="b">
        <v>1</v>
      </c>
      <c r="D45" s="7"/>
      <c r="E45" s="13" t="s">
        <v>232</v>
      </c>
      <c r="F45" s="13" t="s">
        <v>230</v>
      </c>
      <c r="G45" s="199" t="s">
        <v>220</v>
      </c>
    </row>
    <row r="46" spans="1:7" x14ac:dyDescent="0.25">
      <c r="A46" s="8"/>
      <c r="B46" s="6" t="s">
        <v>245</v>
      </c>
      <c r="C46" s="171" t="b">
        <v>1</v>
      </c>
      <c r="D46" s="7"/>
      <c r="E46" s="13" t="s">
        <v>233</v>
      </c>
      <c r="F46" s="13" t="s">
        <v>230</v>
      </c>
      <c r="G46" s="199" t="s">
        <v>234</v>
      </c>
    </row>
    <row r="47" spans="1:7" ht="15.75" thickBot="1" x14ac:dyDescent="0.3">
      <c r="A47" s="200"/>
      <c r="B47" s="10" t="s">
        <v>235</v>
      </c>
      <c r="C47" s="143">
        <v>10</v>
      </c>
      <c r="D47" s="143"/>
      <c r="E47" s="153" t="s">
        <v>236</v>
      </c>
      <c r="F47" s="153" t="s">
        <v>230</v>
      </c>
      <c r="G47" s="201" t="s">
        <v>234</v>
      </c>
    </row>
    <row r="48" spans="1:7" ht="15" customHeight="1" x14ac:dyDescent="0.25">
      <c r="A48" s="150" t="s">
        <v>237</v>
      </c>
      <c r="B48" s="150" t="s">
        <v>215</v>
      </c>
      <c r="C48" s="171" t="b">
        <v>1</v>
      </c>
      <c r="D48" s="7"/>
      <c r="E48" s="152" t="s">
        <v>238</v>
      </c>
      <c r="F48" s="152" t="s">
        <v>239</v>
      </c>
      <c r="G48" s="152" t="s">
        <v>234</v>
      </c>
    </row>
    <row r="49" spans="1:7" x14ac:dyDescent="0.25">
      <c r="A49" s="6"/>
      <c r="B49" s="6" t="s">
        <v>400</v>
      </c>
      <c r="C49" s="7" t="s">
        <v>1055</v>
      </c>
      <c r="D49" s="7"/>
      <c r="E49" s="13" t="s">
        <v>240</v>
      </c>
      <c r="F49" s="13" t="s">
        <v>239</v>
      </c>
      <c r="G49" s="13" t="s">
        <v>234</v>
      </c>
    </row>
    <row r="50" spans="1:7" x14ac:dyDescent="0.25">
      <c r="A50" s="6"/>
      <c r="B50" s="6" t="s">
        <v>402</v>
      </c>
      <c r="C50" s="7" t="s">
        <v>1204</v>
      </c>
      <c r="D50" s="7"/>
      <c r="E50" s="13" t="s">
        <v>241</v>
      </c>
      <c r="F50" s="13" t="s">
        <v>239</v>
      </c>
      <c r="G50" s="13" t="s">
        <v>234</v>
      </c>
    </row>
    <row r="51" spans="1:7" x14ac:dyDescent="0.25">
      <c r="A51" s="6"/>
      <c r="B51" s="6" t="s">
        <v>401</v>
      </c>
      <c r="C51" s="7" t="s">
        <v>1057</v>
      </c>
      <c r="D51" s="7"/>
      <c r="E51" s="13"/>
      <c r="F51" s="13"/>
      <c r="G51" s="13"/>
    </row>
    <row r="52" spans="1:7" x14ac:dyDescent="0.25">
      <c r="A52" s="136"/>
      <c r="B52" s="136" t="s">
        <v>429</v>
      </c>
      <c r="C52" s="7" t="s">
        <v>1056</v>
      </c>
      <c r="D52" s="7"/>
      <c r="E52" s="151" t="s">
        <v>242</v>
      </c>
      <c r="F52" s="151" t="s">
        <v>239</v>
      </c>
      <c r="G52" s="151" t="s">
        <v>234</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33" sqref="G33"/>
    </sheetView>
  </sheetViews>
  <sheetFormatPr defaultRowHeight="15" x14ac:dyDescent="0.25"/>
  <cols>
    <col min="1" max="1" width="17.140625" customWidth="1"/>
    <col min="2" max="2" width="16.5703125" customWidth="1"/>
    <col min="4" max="4" width="27.28515625" customWidth="1"/>
    <col min="5" max="5" width="15.85546875" customWidth="1"/>
    <col min="6" max="6" width="25.7109375" customWidth="1"/>
  </cols>
  <sheetData>
    <row r="1" spans="1:6" x14ac:dyDescent="0.25">
      <c r="A1" t="s">
        <v>1072</v>
      </c>
      <c r="B1" t="s">
        <v>4</v>
      </c>
      <c r="C1" t="s">
        <v>1078</v>
      </c>
      <c r="D1" t="s">
        <v>1073</v>
      </c>
      <c r="E1" t="s">
        <v>1074</v>
      </c>
      <c r="F1" t="s">
        <v>1075</v>
      </c>
    </row>
    <row r="2" spans="1:6" x14ac:dyDescent="0.25">
      <c r="A2" t="s">
        <v>1058</v>
      </c>
      <c r="C2" t="s">
        <v>1058</v>
      </c>
    </row>
    <row r="3" spans="1:6" x14ac:dyDescent="0.25">
      <c r="A3" t="s">
        <v>1076</v>
      </c>
      <c r="C3" t="s">
        <v>1058</v>
      </c>
    </row>
    <row r="4" spans="1:6" x14ac:dyDescent="0.25">
      <c r="A4" t="s">
        <v>1077</v>
      </c>
      <c r="C4" t="s">
        <v>1077</v>
      </c>
    </row>
    <row r="5" spans="1:6" x14ac:dyDescent="0.25">
      <c r="A5" t="s">
        <v>1202</v>
      </c>
      <c r="C5" t="s">
        <v>1059</v>
      </c>
    </row>
    <row r="6" spans="1:6" x14ac:dyDescent="0.25">
      <c r="A6" t="s">
        <v>1203</v>
      </c>
    </row>
    <row r="7" spans="1:6" x14ac:dyDescent="0.25">
      <c r="A7" t="s">
        <v>239</v>
      </c>
    </row>
    <row r="8" spans="1:6" x14ac:dyDescent="0.25">
      <c r="A8" t="s">
        <v>1082</v>
      </c>
      <c r="B8" t="s">
        <v>1072</v>
      </c>
    </row>
    <row r="9" spans="1:6" x14ac:dyDescent="0.25">
      <c r="A9" t="s">
        <v>1081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O1" zoomScale="130" zoomScaleNormal="130" workbookViewId="0">
      <selection activeCell="X25" sqref="P25:X25"/>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418</v>
      </c>
      <c r="E1" s="141" t="s">
        <v>1130</v>
      </c>
      <c r="F1" s="141" t="s">
        <v>423</v>
      </c>
      <c r="G1" s="141" t="s">
        <v>424</v>
      </c>
      <c r="H1" s="141" t="s">
        <v>425</v>
      </c>
      <c r="I1" s="141" t="s">
        <v>422</v>
      </c>
      <c r="J1" s="141" t="s">
        <v>1185</v>
      </c>
      <c r="K1" s="141" t="s">
        <v>1184</v>
      </c>
      <c r="L1" s="141" t="s">
        <v>1183</v>
      </c>
      <c r="M1" s="141" t="s">
        <v>1182</v>
      </c>
      <c r="N1" s="141" t="s">
        <v>1181</v>
      </c>
      <c r="O1" s="141" t="s">
        <v>1199</v>
      </c>
      <c r="P1" s="141" t="s">
        <v>1186</v>
      </c>
      <c r="Q1" s="141" t="s">
        <v>1150</v>
      </c>
      <c r="R1" s="141" t="s">
        <v>1180</v>
      </c>
      <c r="S1" s="141" t="s">
        <v>1187</v>
      </c>
      <c r="T1" s="141" t="s">
        <v>1151</v>
      </c>
      <c r="U1" s="141" t="s">
        <v>1146</v>
      </c>
      <c r="V1" s="141" t="s">
        <v>1188</v>
      </c>
      <c r="W1" s="141" t="s">
        <v>1152</v>
      </c>
      <c r="X1" s="141" t="s">
        <v>1147</v>
      </c>
      <c r="Y1" s="141" t="s">
        <v>1189</v>
      </c>
      <c r="Z1" s="141" t="s">
        <v>1148</v>
      </c>
      <c r="AA1" s="141" t="s">
        <v>1178</v>
      </c>
      <c r="AB1" s="141" t="s">
        <v>1190</v>
      </c>
      <c r="AC1" s="141" t="s">
        <v>1149</v>
      </c>
      <c r="AD1" s="141" t="s">
        <v>1179</v>
      </c>
      <c r="AE1" s="141" t="s">
        <v>1191</v>
      </c>
      <c r="AF1" s="141" t="s">
        <v>1192</v>
      </c>
      <c r="AG1" s="141" t="s">
        <v>1193</v>
      </c>
      <c r="AH1" s="141" t="s">
        <v>1125</v>
      </c>
      <c r="AI1" s="141" t="s">
        <v>1116</v>
      </c>
      <c r="AJ1" s="141" t="s">
        <v>1126</v>
      </c>
      <c r="AK1" s="141" t="s">
        <v>1117</v>
      </c>
      <c r="AL1" s="141" t="s">
        <v>1127</v>
      </c>
      <c r="AM1" s="141" t="s">
        <v>1121</v>
      </c>
      <c r="AN1" s="141" t="s">
        <v>1124</v>
      </c>
      <c r="AO1" s="141" t="s">
        <v>1118</v>
      </c>
      <c r="AP1" s="141" t="s">
        <v>1128</v>
      </c>
      <c r="AQ1" s="141" t="s">
        <v>1119</v>
      </c>
      <c r="AR1" s="141" t="s">
        <v>1129</v>
      </c>
      <c r="AS1" s="141" t="s">
        <v>1120</v>
      </c>
      <c r="AT1" s="141" t="s">
        <v>1123</v>
      </c>
      <c r="AU1" s="141" t="s">
        <v>1133</v>
      </c>
    </row>
    <row r="2" spans="1:49" x14ac:dyDescent="0.25">
      <c r="A2" s="142" t="b">
        <v>0</v>
      </c>
      <c r="B2" s="16">
        <f t="shared" ref="B2:B76" si="0">ROW()-1</f>
        <v>1</v>
      </c>
      <c r="C2" s="6" t="str">
        <f>"F_"&amp;LEFT(G2,2)&amp;"_"&amp;LEFT(I2,2)</f>
        <v>F_00_02</v>
      </c>
      <c r="D2" s="218" t="s">
        <v>1233</v>
      </c>
      <c r="E2" s="138"/>
      <c r="F2" s="138" t="s">
        <v>1205</v>
      </c>
      <c r="G2" s="6" t="str">
        <f>_xlfn.XLOOKUP(F2,Tab_Def_Processes[Process_Name],Tab_Def_Processes[Process_ID],,0,)</f>
        <v>00</v>
      </c>
      <c r="H2" s="138" t="s">
        <v>1207</v>
      </c>
      <c r="I2" s="9" t="str">
        <f>_xlfn.XLOOKUP(H2,Tab_Def_Processes[Process_Name],Tab_Def_Processes[Process_ID],,0,)</f>
        <v>02</v>
      </c>
      <c r="J2" s="138" t="s">
        <v>5</v>
      </c>
      <c r="K2" s="138" t="s">
        <v>5</v>
      </c>
      <c r="L2" s="138" t="s">
        <v>5</v>
      </c>
      <c r="M2" s="138" t="s">
        <v>5</v>
      </c>
      <c r="N2" s="138" t="s">
        <v>6</v>
      </c>
      <c r="O2" s="138" t="s">
        <v>6</v>
      </c>
      <c r="P2" s="6" t="str">
        <f>Tab_Def_Flows[[#This Row],[Flow_ID]]&amp;"_E1"</f>
        <v>F_00_02_E1</v>
      </c>
      <c r="Q2" s="140">
        <v>1</v>
      </c>
      <c r="R2" s="13" t="s">
        <v>1465</v>
      </c>
      <c r="S2" s="6" t="str">
        <f>Tab_Def_Flows[[#This Row],[Flow_ID]]&amp;"_E2"</f>
        <v>F_00_02_E2</v>
      </c>
      <c r="T2" s="135">
        <v>0</v>
      </c>
      <c r="U2" s="157" t="s">
        <v>1466</v>
      </c>
      <c r="V2" s="6" t="str">
        <f>Tab_Def_Flows[[#This Row],[Flow_ID]]&amp;"_E3"</f>
        <v>F_00_02_E3</v>
      </c>
      <c r="W2" s="135">
        <v>1</v>
      </c>
      <c r="X2" s="157" t="s">
        <v>1470</v>
      </c>
      <c r="Y2" s="6" t="str">
        <f>Tab_Def_Flows[[#This Row],[Flow_ID]]&amp;"_E4"</f>
        <v>F_00_02_E4</v>
      </c>
      <c r="Z2" s="135">
        <v>1</v>
      </c>
      <c r="AA2" s="13" t="s">
        <v>1471</v>
      </c>
      <c r="AB2" s="6" t="str">
        <f>Tab_Def_Flows[[#This Row],[Flow_ID]]&amp;"_E5"</f>
        <v>F_00_02_E5</v>
      </c>
      <c r="AC2" s="140"/>
      <c r="AD2" s="13"/>
      <c r="AE2" s="6" t="str">
        <f>Tab_Def_Flows[[#This Row],[Flow_ID]]&amp;"_E6"</f>
        <v>F_00_02_E6</v>
      </c>
      <c r="AF2" s="140"/>
      <c r="AG2" s="13"/>
      <c r="AH2" s="194" t="b">
        <f>'0_Configuration'!$C$2</f>
        <v>1</v>
      </c>
      <c r="AI2" s="6"/>
      <c r="AJ2" s="194" t="b">
        <f>'0_Configuration'!$C$6</f>
        <v>0</v>
      </c>
      <c r="AK2" s="6" t="s">
        <v>1122</v>
      </c>
      <c r="AL2" s="194" t="b">
        <f>'0_Configuration'!$C$10</f>
        <v>0</v>
      </c>
      <c r="AM2" s="6" t="s">
        <v>1122</v>
      </c>
      <c r="AN2" s="194" t="b">
        <f>'0_Configuration'!$C$17</f>
        <v>0</v>
      </c>
      <c r="AO2" s="6">
        <f>_xlfn.XLOOKUP(Tab_Def_Flows[[#This Row],[ODYM_Good_Type]],Tab_Configuration[Value],Tab_Configuration[ODYM_ID],,0,)</f>
        <v>0</v>
      </c>
      <c r="AP2" s="194" t="b">
        <f>'0_Configuration'!$C$24</f>
        <v>0</v>
      </c>
      <c r="AQ2" s="6"/>
      <c r="AR2" s="194" t="b">
        <f>'0_Configuration'!$C$29</f>
        <v>1</v>
      </c>
      <c r="AS2" s="6" t="s">
        <v>1136</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F_01_02</v>
      </c>
      <c r="D3" s="218" t="s">
        <v>1234</v>
      </c>
      <c r="E3" s="138"/>
      <c r="F3" s="138" t="s">
        <v>1206</v>
      </c>
      <c r="G3" s="6" t="str">
        <f>_xlfn.XLOOKUP(F3,Tab_Def_Processes[Process_Name],Tab_Def_Processes[Process_ID],,0,)</f>
        <v>01</v>
      </c>
      <c r="H3" s="138" t="s">
        <v>1207</v>
      </c>
      <c r="I3" s="9" t="str">
        <f>_xlfn.XLOOKUP(H3,Tab_Def_Processes[Process_Name],Tab_Def_Processes[Process_ID],,0,)</f>
        <v>02</v>
      </c>
      <c r="J3" s="138" t="s">
        <v>5</v>
      </c>
      <c r="K3" s="138" t="s">
        <v>5</v>
      </c>
      <c r="L3" s="138" t="s">
        <v>5</v>
      </c>
      <c r="M3" s="138" t="s">
        <v>5</v>
      </c>
      <c r="N3" s="138" t="s">
        <v>6</v>
      </c>
      <c r="O3" s="138" t="s">
        <v>6</v>
      </c>
      <c r="P3" s="6" t="str">
        <f>Tab_Def_Flows[[#This Row],[Flow_ID]]&amp;"_E1"</f>
        <v>F_01_02_E1</v>
      </c>
      <c r="Q3" s="140">
        <v>1</v>
      </c>
      <c r="R3" s="13" t="s">
        <v>1465</v>
      </c>
      <c r="S3" s="6" t="str">
        <f>Tab_Def_Flows[[#This Row],[Flow_ID]]&amp;"_E2"</f>
        <v>F_01_02_E2</v>
      </c>
      <c r="T3" s="135">
        <v>0.22838499184339317</v>
      </c>
      <c r="U3" s="13" t="s">
        <v>1467</v>
      </c>
      <c r="V3" s="6" t="str">
        <f>Tab_Def_Flows[[#This Row],[Flow_ID]]&amp;"_E3"</f>
        <v>F_01_02_E3</v>
      </c>
      <c r="W3" s="135">
        <v>0.77161500815660689</v>
      </c>
      <c r="X3" s="13" t="s">
        <v>1468</v>
      </c>
      <c r="Y3" s="6" t="str">
        <f>Tab_Def_Flows[[#This Row],[Flow_ID]]&amp;"_E4"</f>
        <v>F_01_02_E4</v>
      </c>
      <c r="Z3" s="135">
        <v>0</v>
      </c>
      <c r="AA3" s="13" t="s">
        <v>1469</v>
      </c>
      <c r="AB3" s="6" t="str">
        <f>Tab_Def_Flows[[#This Row],[Flow_ID]]&amp;"_E5"</f>
        <v>F_01_02_E5</v>
      </c>
      <c r="AC3" s="140"/>
      <c r="AD3" s="13"/>
      <c r="AE3" s="6" t="str">
        <f>Tab_Def_Flows[[#This Row],[Flow_ID]]&amp;"_E6"</f>
        <v>F_01_02_E6</v>
      </c>
      <c r="AF3" s="140"/>
      <c r="AG3" s="13"/>
      <c r="AH3" s="194" t="b">
        <f>'0_Configuration'!$C$2</f>
        <v>1</v>
      </c>
      <c r="AI3" s="6"/>
      <c r="AJ3" s="194" t="b">
        <f>'0_Configuration'!$C$6</f>
        <v>0</v>
      </c>
      <c r="AK3" s="6" t="s">
        <v>1122</v>
      </c>
      <c r="AL3" s="194" t="b">
        <f>'0_Configuration'!$C$10</f>
        <v>0</v>
      </c>
      <c r="AM3" s="6" t="s">
        <v>1122</v>
      </c>
      <c r="AN3" s="194" t="b">
        <f>'0_Configuration'!$C$17</f>
        <v>0</v>
      </c>
      <c r="AO3" s="6">
        <f>_xlfn.XLOOKUP(Tab_Def_Flows[[#This Row],[ODYM_Good_Type]],Tab_Configuration[Value],Tab_Configuration[ODYM_ID],,0,)</f>
        <v>0</v>
      </c>
      <c r="AP3" s="194" t="b">
        <f>'0_Configuration'!$C$24</f>
        <v>0</v>
      </c>
      <c r="AQ3" s="6"/>
      <c r="AR3" s="194" t="b">
        <f>'0_Configuration'!$C$29</f>
        <v>1</v>
      </c>
      <c r="AS3" s="6" t="s">
        <v>1136</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F_02_03</v>
      </c>
      <c r="D4" s="218" t="s">
        <v>1231</v>
      </c>
      <c r="E4" s="138"/>
      <c r="F4" s="138" t="s">
        <v>1207</v>
      </c>
      <c r="G4" s="6" t="str">
        <f>_xlfn.XLOOKUP(F4,Tab_Def_Processes[Process_Name],Tab_Def_Processes[Process_ID],,0,)</f>
        <v>02</v>
      </c>
      <c r="H4" s="138" t="s">
        <v>1208</v>
      </c>
      <c r="I4" s="9" t="str">
        <f>_xlfn.XLOOKUP(H4,Tab_Def_Processes[Process_Name],Tab_Def_Processes[Process_ID],,0,)</f>
        <v>03</v>
      </c>
      <c r="J4" s="138" t="s">
        <v>5</v>
      </c>
      <c r="K4" s="138" t="s">
        <v>5</v>
      </c>
      <c r="L4" s="138" t="s">
        <v>5</v>
      </c>
      <c r="M4" s="138" t="s">
        <v>5</v>
      </c>
      <c r="N4" s="138" t="s">
        <v>6</v>
      </c>
      <c r="O4" s="138" t="s">
        <v>6</v>
      </c>
      <c r="P4" s="6" t="str">
        <f>Tab_Def_Flows[[#This Row],[Flow_ID]]&amp;"_E1"</f>
        <v>F_02_03_E1</v>
      </c>
      <c r="R4" s="13"/>
      <c r="S4" s="6" t="str">
        <f>Tab_Def_Flows[[#This Row],[Flow_ID]]&amp;"_E2"</f>
        <v>F_02_03_E2</v>
      </c>
      <c r="T4" s="135"/>
      <c r="U4" s="13"/>
      <c r="V4" s="6" t="str">
        <f>Tab_Def_Flows[[#This Row],[Flow_ID]]&amp;"_E3"</f>
        <v>F_02_03_E3</v>
      </c>
      <c r="W4" s="135"/>
      <c r="X4" s="13"/>
      <c r="Y4" s="6" t="str">
        <f>Tab_Def_Flows[[#This Row],[Flow_ID]]&amp;"_E4"</f>
        <v>F_02_03_E4</v>
      </c>
      <c r="Z4" s="135"/>
      <c r="AA4" s="13"/>
      <c r="AB4" s="6" t="str">
        <f>Tab_Def_Flows[[#This Row],[Flow_ID]]&amp;"_E5"</f>
        <v>F_02_03_E5</v>
      </c>
      <c r="AC4" s="140"/>
      <c r="AD4" s="13"/>
      <c r="AE4" s="6" t="str">
        <f>Tab_Def_Flows[[#This Row],[Flow_ID]]&amp;"_E6"</f>
        <v>F_02_03_E6</v>
      </c>
      <c r="AF4" s="140"/>
      <c r="AG4" s="13"/>
      <c r="AH4" s="194" t="b">
        <f>'0_Configuration'!$C$2</f>
        <v>1</v>
      </c>
      <c r="AI4" s="6"/>
      <c r="AJ4" s="194" t="b">
        <f>'0_Configuration'!$C$6</f>
        <v>0</v>
      </c>
      <c r="AK4" s="6" t="s">
        <v>1122</v>
      </c>
      <c r="AL4" s="194" t="b">
        <f>'0_Configuration'!$C$10</f>
        <v>0</v>
      </c>
      <c r="AM4" s="6" t="s">
        <v>1122</v>
      </c>
      <c r="AN4" s="194" t="b">
        <f>'0_Configuration'!$C$17</f>
        <v>0</v>
      </c>
      <c r="AO4" s="6">
        <f>_xlfn.XLOOKUP(Tab_Def_Flows[[#This Row],[ODYM_Good_Type]],Tab_Configuration[Value],Tab_Configuration[ODYM_ID],,0,)</f>
        <v>0</v>
      </c>
      <c r="AP4" s="194" t="b">
        <f>'0_Configuration'!$C$24</f>
        <v>0</v>
      </c>
      <c r="AQ4" s="6"/>
      <c r="AR4" s="194" t="b">
        <f>'0_Configuration'!$C$29</f>
        <v>1</v>
      </c>
      <c r="AS4" s="6" t="s">
        <v>1136</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F_03_04</v>
      </c>
      <c r="D5" s="218" t="s">
        <v>1218</v>
      </c>
      <c r="E5" s="138"/>
      <c r="F5" s="138" t="s">
        <v>1208</v>
      </c>
      <c r="G5" s="6" t="str">
        <f>_xlfn.XLOOKUP(F5,Tab_Def_Processes[Process_Name],Tab_Def_Processes[Process_ID],,0,)</f>
        <v>03</v>
      </c>
      <c r="H5" s="138" t="s">
        <v>1209</v>
      </c>
      <c r="I5" s="9" t="str">
        <f>_xlfn.XLOOKUP(H5,Tab_Def_Processes[Process_Name],Tab_Def_Processes[Process_ID],,0,)</f>
        <v>04</v>
      </c>
      <c r="J5" s="138" t="s">
        <v>5</v>
      </c>
      <c r="K5" s="138" t="s">
        <v>5</v>
      </c>
      <c r="L5" s="138" t="s">
        <v>5</v>
      </c>
      <c r="M5" s="138" t="s">
        <v>5</v>
      </c>
      <c r="N5" s="138" t="s">
        <v>6</v>
      </c>
      <c r="O5" s="138" t="s">
        <v>6</v>
      </c>
      <c r="P5" s="6" t="str">
        <f>Tab_Def_Flows[[#This Row],[Flow_ID]]&amp;"_E1"</f>
        <v>F_03_04_E1</v>
      </c>
      <c r="R5" s="13"/>
      <c r="S5" s="6" t="str">
        <f>Tab_Def_Flows[[#This Row],[Flow_ID]]&amp;"_E2"</f>
        <v>F_03_04_E2</v>
      </c>
      <c r="T5" s="135"/>
      <c r="U5" s="13"/>
      <c r="V5" s="6" t="str">
        <f>Tab_Def_Flows[[#This Row],[Flow_ID]]&amp;"_E3"</f>
        <v>F_03_04_E3</v>
      </c>
      <c r="W5" s="135"/>
      <c r="X5" s="13"/>
      <c r="Y5" s="6" t="str">
        <f>Tab_Def_Flows[[#This Row],[Flow_ID]]&amp;"_E4"</f>
        <v>F_03_04_E4</v>
      </c>
      <c r="Z5" s="135"/>
      <c r="AA5" s="13"/>
      <c r="AB5" s="6" t="str">
        <f>Tab_Def_Flows[[#This Row],[Flow_ID]]&amp;"_E5"</f>
        <v>F_03_04_E5</v>
      </c>
      <c r="AC5" s="140"/>
      <c r="AD5" s="13"/>
      <c r="AE5" s="6" t="str">
        <f>Tab_Def_Flows[[#This Row],[Flow_ID]]&amp;"_E6"</f>
        <v>F_03_04_E6</v>
      </c>
      <c r="AF5" s="140"/>
      <c r="AG5" s="13"/>
      <c r="AH5" s="194" t="b">
        <f>'0_Configuration'!$C$2</f>
        <v>1</v>
      </c>
      <c r="AI5" s="6"/>
      <c r="AJ5" s="194" t="b">
        <f>'0_Configuration'!$C$6</f>
        <v>0</v>
      </c>
      <c r="AK5" s="6" t="s">
        <v>1122</v>
      </c>
      <c r="AL5" s="194" t="b">
        <f>'0_Configuration'!$C$10</f>
        <v>0</v>
      </c>
      <c r="AM5" s="6" t="s">
        <v>1122</v>
      </c>
      <c r="AN5" s="194" t="b">
        <f>'0_Configuration'!$C$17</f>
        <v>0</v>
      </c>
      <c r="AO5" s="6">
        <f>_xlfn.XLOOKUP(Tab_Def_Flows[[#This Row],[ODYM_Good_Type]],Tab_Configuration[Value],Tab_Configuration[ODYM_ID],,0,)</f>
        <v>0</v>
      </c>
      <c r="AP5" s="194" t="b">
        <f>'0_Configuration'!$C$24</f>
        <v>0</v>
      </c>
      <c r="AQ5" s="6"/>
      <c r="AR5" s="194" t="b">
        <f>'0_Configuration'!$C$29</f>
        <v>1</v>
      </c>
      <c r="AS5" s="6" t="s">
        <v>1136</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F_03_05</v>
      </c>
      <c r="D6" s="218" t="s">
        <v>1219</v>
      </c>
      <c r="E6" s="138"/>
      <c r="F6" s="138" t="s">
        <v>1208</v>
      </c>
      <c r="G6" s="6" t="str">
        <f>_xlfn.XLOOKUP(F6,Tab_Def_Processes[Process_Name],Tab_Def_Processes[Process_ID],,0,)</f>
        <v>03</v>
      </c>
      <c r="H6" s="138" t="s">
        <v>1210</v>
      </c>
      <c r="I6" s="9" t="str">
        <f>_xlfn.XLOOKUP(H6,Tab_Def_Processes[Process_Name],Tab_Def_Processes[Process_ID],,0,)</f>
        <v>05</v>
      </c>
      <c r="J6" s="138" t="s">
        <v>5</v>
      </c>
      <c r="K6" s="138" t="s">
        <v>5</v>
      </c>
      <c r="L6" s="138" t="s">
        <v>5</v>
      </c>
      <c r="M6" s="138" t="s">
        <v>5</v>
      </c>
      <c r="N6" s="138" t="s">
        <v>6</v>
      </c>
      <c r="O6" s="138" t="s">
        <v>6</v>
      </c>
      <c r="P6" s="6" t="str">
        <f>Tab_Def_Flows[[#This Row],[Flow_ID]]&amp;"_E1"</f>
        <v>F_03_05_E1</v>
      </c>
      <c r="R6" s="13"/>
      <c r="S6" s="6" t="str">
        <f>Tab_Def_Flows[[#This Row],[Flow_ID]]&amp;"_E2"</f>
        <v>F_03_05_E2</v>
      </c>
      <c r="T6" s="135"/>
      <c r="U6" s="13"/>
      <c r="V6" s="6" t="str">
        <f>Tab_Def_Flows[[#This Row],[Flow_ID]]&amp;"_E3"</f>
        <v>F_03_05_E3</v>
      </c>
      <c r="W6" s="135"/>
      <c r="X6" s="13"/>
      <c r="Y6" s="6" t="str">
        <f>Tab_Def_Flows[[#This Row],[Flow_ID]]&amp;"_E4"</f>
        <v>F_03_05_E4</v>
      </c>
      <c r="Z6" s="135"/>
      <c r="AA6" s="13"/>
      <c r="AB6" s="6" t="str">
        <f>Tab_Def_Flows[[#This Row],[Flow_ID]]&amp;"_E5"</f>
        <v>F_03_05_E5</v>
      </c>
      <c r="AC6" s="140"/>
      <c r="AD6" s="13"/>
      <c r="AE6" s="6" t="str">
        <f>Tab_Def_Flows[[#This Row],[Flow_ID]]&amp;"_E6"</f>
        <v>F_03_05_E6</v>
      </c>
      <c r="AF6" s="140"/>
      <c r="AG6" s="13"/>
      <c r="AH6" s="194" t="b">
        <f>'0_Configuration'!$C$2</f>
        <v>1</v>
      </c>
      <c r="AI6" s="6"/>
      <c r="AJ6" s="194" t="b">
        <f>'0_Configuration'!$C$6</f>
        <v>0</v>
      </c>
      <c r="AK6" s="6" t="s">
        <v>1122</v>
      </c>
      <c r="AL6" s="194" t="b">
        <f>'0_Configuration'!$C$10</f>
        <v>0</v>
      </c>
      <c r="AM6" s="6" t="s">
        <v>1122</v>
      </c>
      <c r="AN6" s="194" t="b">
        <f>'0_Configuration'!$C$17</f>
        <v>0</v>
      </c>
      <c r="AO6" s="6">
        <f>_xlfn.XLOOKUP(Tab_Def_Flows[[#This Row],[ODYM_Good_Type]],Tab_Configuration[Value],Tab_Configuration[ODYM_ID],,0,)</f>
        <v>0</v>
      </c>
      <c r="AP6" s="194" t="b">
        <f>'0_Configuration'!$C$24</f>
        <v>0</v>
      </c>
      <c r="AQ6" s="6"/>
      <c r="AR6" s="194" t="b">
        <f>'0_Configuration'!$C$29</f>
        <v>1</v>
      </c>
      <c r="AS6" s="6" t="s">
        <v>1136</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F_04_00</v>
      </c>
      <c r="D7" s="218" t="s">
        <v>1223</v>
      </c>
      <c r="E7" s="138"/>
      <c r="F7" s="138" t="s">
        <v>1209</v>
      </c>
      <c r="G7" s="6" t="str">
        <f>_xlfn.XLOOKUP(F7,Tab_Def_Processes[Process_Name],Tab_Def_Processes[Process_ID],,0,)</f>
        <v>04</v>
      </c>
      <c r="H7" s="138" t="s">
        <v>1205</v>
      </c>
      <c r="I7" s="9" t="str">
        <f>_xlfn.XLOOKUP(H7,Tab_Def_Processes[Process_Name],Tab_Def_Processes[Process_ID],,0,)</f>
        <v>00</v>
      </c>
      <c r="J7" s="138" t="s">
        <v>5</v>
      </c>
      <c r="K7" s="138" t="s">
        <v>5</v>
      </c>
      <c r="L7" s="138" t="s">
        <v>5</v>
      </c>
      <c r="M7" s="138" t="s">
        <v>5</v>
      </c>
      <c r="N7" s="138" t="s">
        <v>6</v>
      </c>
      <c r="O7" s="138" t="s">
        <v>6</v>
      </c>
      <c r="P7" s="6" t="str">
        <f>Tab_Def_Flows[[#This Row],[Flow_ID]]&amp;"_E1"</f>
        <v>F_04_00_E1</v>
      </c>
      <c r="R7" s="13"/>
      <c r="S7" s="6" t="str">
        <f>Tab_Def_Flows[[#This Row],[Flow_ID]]&amp;"_E2"</f>
        <v>F_04_00_E2</v>
      </c>
      <c r="T7" s="135"/>
      <c r="U7" s="13"/>
      <c r="V7" s="6" t="str">
        <f>Tab_Def_Flows[[#This Row],[Flow_ID]]&amp;"_E3"</f>
        <v>F_04_00_E3</v>
      </c>
      <c r="W7" s="135"/>
      <c r="X7" s="13"/>
      <c r="Y7" s="6" t="str">
        <f>Tab_Def_Flows[[#This Row],[Flow_ID]]&amp;"_E4"</f>
        <v>F_04_00_E4</v>
      </c>
      <c r="Z7" s="135"/>
      <c r="AA7" s="13"/>
      <c r="AB7" s="6" t="str">
        <f>Tab_Def_Flows[[#This Row],[Flow_ID]]&amp;"_E5"</f>
        <v>F_04_00_E5</v>
      </c>
      <c r="AC7" s="140"/>
      <c r="AD7" s="13"/>
      <c r="AE7" s="6" t="str">
        <f>Tab_Def_Flows[[#This Row],[Flow_ID]]&amp;"_E6"</f>
        <v>F_04_00_E6</v>
      </c>
      <c r="AF7" s="140"/>
      <c r="AG7" s="13"/>
      <c r="AH7" s="194" t="b">
        <f>'0_Configuration'!$C$2</f>
        <v>1</v>
      </c>
      <c r="AI7" s="6"/>
      <c r="AJ7" s="194" t="b">
        <f>'0_Configuration'!$C$6</f>
        <v>0</v>
      </c>
      <c r="AK7" s="6" t="s">
        <v>1122</v>
      </c>
      <c r="AL7" s="194" t="b">
        <f>'0_Configuration'!$C$10</f>
        <v>0</v>
      </c>
      <c r="AM7" s="6" t="s">
        <v>1122</v>
      </c>
      <c r="AN7" s="194" t="b">
        <f>'0_Configuration'!$C$17</f>
        <v>0</v>
      </c>
      <c r="AO7" s="6">
        <f>_xlfn.XLOOKUP(Tab_Def_Flows[[#This Row],[ODYM_Good_Type]],Tab_Configuration[Value],Tab_Configuration[ODYM_ID],,0,)</f>
        <v>0</v>
      </c>
      <c r="AP7" s="194" t="b">
        <f>'0_Configuration'!$C$24</f>
        <v>0</v>
      </c>
      <c r="AQ7" s="6"/>
      <c r="AR7" s="194" t="b">
        <f>'0_Configuration'!$C$29</f>
        <v>1</v>
      </c>
      <c r="AS7" s="6" t="s">
        <v>1136</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F_04_01</v>
      </c>
      <c r="D8" s="218" t="s">
        <v>1224</v>
      </c>
      <c r="E8" s="138"/>
      <c r="F8" s="138" t="s">
        <v>1209</v>
      </c>
      <c r="G8" s="6" t="str">
        <f>_xlfn.XLOOKUP(F8,Tab_Def_Processes[Process_Name],Tab_Def_Processes[Process_ID],,0,)</f>
        <v>04</v>
      </c>
      <c r="H8" s="138" t="s">
        <v>1206</v>
      </c>
      <c r="I8" s="9" t="str">
        <f>_xlfn.XLOOKUP(H8,Tab_Def_Processes[Process_Name],Tab_Def_Processes[Process_ID],,0,)</f>
        <v>01</v>
      </c>
      <c r="J8" s="138" t="s">
        <v>5</v>
      </c>
      <c r="K8" s="138" t="s">
        <v>5</v>
      </c>
      <c r="L8" s="138" t="s">
        <v>5</v>
      </c>
      <c r="M8" s="138" t="s">
        <v>5</v>
      </c>
      <c r="N8" s="138" t="s">
        <v>6</v>
      </c>
      <c r="O8" s="138" t="s">
        <v>6</v>
      </c>
      <c r="P8" s="6" t="str">
        <f>Tab_Def_Flows[[#This Row],[Flow_ID]]&amp;"_E1"</f>
        <v>F_04_01_E1</v>
      </c>
      <c r="R8" s="13"/>
      <c r="S8" s="6" t="str">
        <f>Tab_Def_Flows[[#This Row],[Flow_ID]]&amp;"_E2"</f>
        <v>F_04_01_E2</v>
      </c>
      <c r="T8" s="135"/>
      <c r="U8" s="13"/>
      <c r="V8" s="6" t="str">
        <f>Tab_Def_Flows[[#This Row],[Flow_ID]]&amp;"_E3"</f>
        <v>F_04_01_E3</v>
      </c>
      <c r="W8" s="135"/>
      <c r="X8" s="13"/>
      <c r="Y8" s="6" t="str">
        <f>Tab_Def_Flows[[#This Row],[Flow_ID]]&amp;"_E4"</f>
        <v>F_04_01_E4</v>
      </c>
      <c r="Z8" s="135"/>
      <c r="AA8" s="13"/>
      <c r="AB8" s="6" t="str">
        <f>Tab_Def_Flows[[#This Row],[Flow_ID]]&amp;"_E5"</f>
        <v>F_04_01_E5</v>
      </c>
      <c r="AC8" s="140"/>
      <c r="AD8" s="13"/>
      <c r="AE8" s="6" t="str">
        <f>Tab_Def_Flows[[#This Row],[Flow_ID]]&amp;"_E6"</f>
        <v>F_04_01_E6</v>
      </c>
      <c r="AF8" s="140"/>
      <c r="AG8" s="13"/>
      <c r="AH8" s="194" t="b">
        <f>'0_Configuration'!$C$2</f>
        <v>1</v>
      </c>
      <c r="AI8" s="6"/>
      <c r="AJ8" s="194" t="b">
        <f>'0_Configuration'!$C$6</f>
        <v>0</v>
      </c>
      <c r="AK8" s="6" t="s">
        <v>1122</v>
      </c>
      <c r="AL8" s="194" t="b">
        <f>'0_Configuration'!$C$10</f>
        <v>0</v>
      </c>
      <c r="AM8" s="6" t="s">
        <v>1122</v>
      </c>
      <c r="AN8" s="194" t="b">
        <f>'0_Configuration'!$C$17</f>
        <v>0</v>
      </c>
      <c r="AO8" s="6">
        <f>_xlfn.XLOOKUP(Tab_Def_Flows[[#This Row],[ODYM_Good_Type]],Tab_Configuration[Value],Tab_Configuration[ODYM_ID],,0,)</f>
        <v>0</v>
      </c>
      <c r="AP8" s="194" t="b">
        <f>'0_Configuration'!$C$24</f>
        <v>0</v>
      </c>
      <c r="AQ8" s="6"/>
      <c r="AR8" s="194" t="b">
        <f>'0_Configuration'!$C$29</f>
        <v>1</v>
      </c>
      <c r="AS8" s="6" t="s">
        <v>1136</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F_05_06</v>
      </c>
      <c r="D9" s="218" t="s">
        <v>1220</v>
      </c>
      <c r="E9" s="138"/>
      <c r="F9" s="138" t="s">
        <v>1210</v>
      </c>
      <c r="G9" s="6" t="str">
        <f>_xlfn.XLOOKUP(F9,Tab_Def_Processes[Process_Name],Tab_Def_Processes[Process_ID],,0,)</f>
        <v>05</v>
      </c>
      <c r="H9" s="138" t="s">
        <v>1211</v>
      </c>
      <c r="I9" s="9" t="str">
        <f>_xlfn.XLOOKUP(H9,Tab_Def_Processes[Process_Name],Tab_Def_Processes[Process_ID],,0,)</f>
        <v>06</v>
      </c>
      <c r="J9" s="138" t="s">
        <v>5</v>
      </c>
      <c r="K9" s="138" t="s">
        <v>5</v>
      </c>
      <c r="L9" s="138" t="s">
        <v>5</v>
      </c>
      <c r="M9" s="138" t="s">
        <v>5</v>
      </c>
      <c r="N9" s="138" t="s">
        <v>6</v>
      </c>
      <c r="O9" s="138" t="s">
        <v>6</v>
      </c>
      <c r="P9" s="6" t="str">
        <f>Tab_Def_Flows[[#This Row],[Flow_ID]]&amp;"_E1"</f>
        <v>F_05_06_E1</v>
      </c>
      <c r="R9" s="13"/>
      <c r="S9" s="6" t="str">
        <f>Tab_Def_Flows[[#This Row],[Flow_ID]]&amp;"_E2"</f>
        <v>F_05_06_E2</v>
      </c>
      <c r="T9" s="135"/>
      <c r="U9" s="157"/>
      <c r="V9" s="6" t="str">
        <f>Tab_Def_Flows[[#This Row],[Flow_ID]]&amp;"_E3"</f>
        <v>F_05_06_E3</v>
      </c>
      <c r="W9" s="135"/>
      <c r="X9" s="157"/>
      <c r="Y9" s="6" t="str">
        <f>Tab_Def_Flows[[#This Row],[Flow_ID]]&amp;"_E4"</f>
        <v>F_05_06_E4</v>
      </c>
      <c r="Z9" s="135"/>
      <c r="AA9" s="13"/>
      <c r="AB9" s="6" t="str">
        <f>Tab_Def_Flows[[#This Row],[Flow_ID]]&amp;"_E5"</f>
        <v>F_05_06_E5</v>
      </c>
      <c r="AC9" s="140"/>
      <c r="AD9" s="13"/>
      <c r="AE9" s="6" t="str">
        <f>Tab_Def_Flows[[#This Row],[Flow_ID]]&amp;"_E6"</f>
        <v>F_05_06_E6</v>
      </c>
      <c r="AF9" s="140"/>
      <c r="AG9" s="13"/>
      <c r="AH9" s="194" t="b">
        <f>'0_Configuration'!$C$2</f>
        <v>1</v>
      </c>
      <c r="AI9" s="6"/>
      <c r="AJ9" s="194" t="b">
        <f>'0_Configuration'!$C$6</f>
        <v>0</v>
      </c>
      <c r="AK9" s="6" t="s">
        <v>1122</v>
      </c>
      <c r="AL9" s="194" t="b">
        <f>'0_Configuration'!$C$10</f>
        <v>0</v>
      </c>
      <c r="AM9" s="6" t="s">
        <v>1122</v>
      </c>
      <c r="AN9" s="194" t="b">
        <f>'0_Configuration'!$C$17</f>
        <v>0</v>
      </c>
      <c r="AO9" s="6">
        <f>_xlfn.XLOOKUP(Tab_Def_Flows[[#This Row],[ODYM_Good_Type]],Tab_Configuration[Value],Tab_Configuration[ODYM_ID],,0,)</f>
        <v>0</v>
      </c>
      <c r="AP9" s="194" t="b">
        <f>'0_Configuration'!$C$24</f>
        <v>0</v>
      </c>
      <c r="AQ9" s="6"/>
      <c r="AR9" s="194" t="b">
        <f>'0_Configuration'!$C$29</f>
        <v>1</v>
      </c>
      <c r="AS9" s="6" t="s">
        <v>1136</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F_06_08</v>
      </c>
      <c r="D10" s="218" t="s">
        <v>1232</v>
      </c>
      <c r="E10" s="138"/>
      <c r="F10" s="138" t="s">
        <v>1211</v>
      </c>
      <c r="G10" s="6" t="str">
        <f>_xlfn.XLOOKUP(F10,Tab_Def_Processes[Process_Name],Tab_Def_Processes[Process_ID],,0,)</f>
        <v>06</v>
      </c>
      <c r="H10" s="138" t="s">
        <v>1213</v>
      </c>
      <c r="I10" s="9" t="str">
        <f>_xlfn.XLOOKUP(H10,Tab_Def_Processes[Process_Name],Tab_Def_Processes[Process_ID],,0,)</f>
        <v>08</v>
      </c>
      <c r="J10" s="138" t="s">
        <v>5</v>
      </c>
      <c r="K10" s="138" t="s">
        <v>5</v>
      </c>
      <c r="L10" s="138" t="s">
        <v>5</v>
      </c>
      <c r="M10" s="138" t="s">
        <v>5</v>
      </c>
      <c r="N10" s="138" t="s">
        <v>6</v>
      </c>
      <c r="O10" s="138" t="s">
        <v>6</v>
      </c>
      <c r="P10" s="6" t="str">
        <f>Tab_Def_Flows[[#This Row],[Flow_ID]]&amp;"_E1"</f>
        <v>F_06_08_E1</v>
      </c>
      <c r="R10" s="13"/>
      <c r="S10" s="6" t="str">
        <f>Tab_Def_Flows[[#This Row],[Flow_ID]]&amp;"_E2"</f>
        <v>F_06_08_E2</v>
      </c>
      <c r="T10" s="135"/>
      <c r="U10" s="13"/>
      <c r="V10" s="6" t="str">
        <f>Tab_Def_Flows[[#This Row],[Flow_ID]]&amp;"_E3"</f>
        <v>F_06_08_E3</v>
      </c>
      <c r="W10" s="135"/>
      <c r="X10" s="13"/>
      <c r="Y10" s="6" t="str">
        <f>Tab_Def_Flows[[#This Row],[Flow_ID]]&amp;"_E4"</f>
        <v>F_06_08_E4</v>
      </c>
      <c r="Z10" s="135"/>
      <c r="AA10" s="13"/>
      <c r="AB10" s="6" t="str">
        <f>Tab_Def_Flows[[#This Row],[Flow_ID]]&amp;"_E5"</f>
        <v>F_06_08_E5</v>
      </c>
      <c r="AC10" s="140"/>
      <c r="AD10" s="13"/>
      <c r="AE10" s="6" t="str">
        <f>Tab_Def_Flows[[#This Row],[Flow_ID]]&amp;"_E6"</f>
        <v>F_06_08_E6</v>
      </c>
      <c r="AF10" s="140"/>
      <c r="AG10" s="13"/>
      <c r="AH10" s="194" t="b">
        <f>'0_Configuration'!$C$2</f>
        <v>1</v>
      </c>
      <c r="AI10" s="6"/>
      <c r="AJ10" s="194" t="b">
        <f>'0_Configuration'!$C$6</f>
        <v>0</v>
      </c>
      <c r="AK10" s="6" t="s">
        <v>1122</v>
      </c>
      <c r="AL10" s="194" t="b">
        <f>'0_Configuration'!$C$10</f>
        <v>0</v>
      </c>
      <c r="AM10" s="6" t="s">
        <v>1122</v>
      </c>
      <c r="AN10" s="194" t="b">
        <f>'0_Configuration'!$C$17</f>
        <v>0</v>
      </c>
      <c r="AO10" s="6">
        <f>_xlfn.XLOOKUP(Tab_Def_Flows[[#This Row],[ODYM_Good_Type]],Tab_Configuration[Value],Tab_Configuration[ODYM_ID],,0,)</f>
        <v>0</v>
      </c>
      <c r="AP10" s="194" t="b">
        <f>'0_Configuration'!$C$24</f>
        <v>0</v>
      </c>
      <c r="AQ10" s="6"/>
      <c r="AR10" s="194" t="b">
        <f>'0_Configuration'!$C$29</f>
        <v>1</v>
      </c>
      <c r="AS10" s="6" t="s">
        <v>1136</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F_05_12</v>
      </c>
      <c r="D11" s="218" t="s">
        <v>1221</v>
      </c>
      <c r="E11" s="138"/>
      <c r="F11" s="138" t="s">
        <v>1210</v>
      </c>
      <c r="G11" s="6" t="str">
        <f>_xlfn.XLOOKUP(F11,Tab_Def_Processes[Process_Name],Tab_Def_Processes[Process_ID],,0,)</f>
        <v>05</v>
      </c>
      <c r="H11" s="138" t="s">
        <v>1217</v>
      </c>
      <c r="I11" s="9" t="str">
        <f>_xlfn.XLOOKUP(H11,Tab_Def_Processes[Process_Name],Tab_Def_Processes[Process_ID],,0,)</f>
        <v>12</v>
      </c>
      <c r="J11" s="138" t="s">
        <v>5</v>
      </c>
      <c r="K11" s="138" t="s">
        <v>5</v>
      </c>
      <c r="L11" s="138" t="s">
        <v>5</v>
      </c>
      <c r="M11" s="138" t="s">
        <v>5</v>
      </c>
      <c r="N11" s="138" t="s">
        <v>6</v>
      </c>
      <c r="O11" s="138" t="s">
        <v>6</v>
      </c>
      <c r="P11" s="6" t="str">
        <f>Tab_Def_Flows[[#This Row],[Flow_ID]]&amp;"_E1"</f>
        <v>F_05_12_E1</v>
      </c>
      <c r="R11" s="13"/>
      <c r="S11" s="6" t="str">
        <f>Tab_Def_Flows[[#This Row],[Flow_ID]]&amp;"_E2"</f>
        <v>F_05_12_E2</v>
      </c>
      <c r="T11" s="135"/>
      <c r="U11" s="13"/>
      <c r="V11" s="6" t="str">
        <f>Tab_Def_Flows[[#This Row],[Flow_ID]]&amp;"_E3"</f>
        <v>F_05_12_E3</v>
      </c>
      <c r="W11" s="135"/>
      <c r="X11" s="13"/>
      <c r="Y11" s="6" t="str">
        <f>Tab_Def_Flows[[#This Row],[Flow_ID]]&amp;"_E4"</f>
        <v>F_05_12_E4</v>
      </c>
      <c r="Z11" s="135"/>
      <c r="AA11" s="13"/>
      <c r="AB11" s="6" t="str">
        <f>Tab_Def_Flows[[#This Row],[Flow_ID]]&amp;"_E5"</f>
        <v>F_05_12_E5</v>
      </c>
      <c r="AC11" s="140"/>
      <c r="AD11" s="13"/>
      <c r="AE11" s="6" t="str">
        <f>Tab_Def_Flows[[#This Row],[Flow_ID]]&amp;"_E6"</f>
        <v>F_05_12_E6</v>
      </c>
      <c r="AF11" s="140"/>
      <c r="AG11" s="13"/>
      <c r="AH11" s="194" t="b">
        <f>'0_Configuration'!$C$2</f>
        <v>1</v>
      </c>
      <c r="AI11" s="6"/>
      <c r="AJ11" s="194" t="b">
        <f>'0_Configuration'!$C$6</f>
        <v>0</v>
      </c>
      <c r="AK11" s="6" t="s">
        <v>1122</v>
      </c>
      <c r="AL11" s="194" t="b">
        <f>'0_Configuration'!$C$10</f>
        <v>0</v>
      </c>
      <c r="AM11" s="6" t="s">
        <v>1122</v>
      </c>
      <c r="AN11" s="194" t="b">
        <f>'0_Configuration'!$C$17</f>
        <v>0</v>
      </c>
      <c r="AO11" s="6">
        <f>_xlfn.XLOOKUP(Tab_Def_Flows[[#This Row],[ODYM_Good_Type]],Tab_Configuration[Value],Tab_Configuration[ODYM_ID],,0,)</f>
        <v>0</v>
      </c>
      <c r="AP11" s="194" t="b">
        <f>'0_Configuration'!$C$24</f>
        <v>0</v>
      </c>
      <c r="AQ11" s="6"/>
      <c r="AR11" s="194" t="b">
        <f>'0_Configuration'!$C$29</f>
        <v>1</v>
      </c>
      <c r="AS11" s="6" t="s">
        <v>1136</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F_12_00</v>
      </c>
      <c r="D12" s="218" t="s">
        <v>1225</v>
      </c>
      <c r="E12" s="138"/>
      <c r="F12" s="138" t="s">
        <v>1217</v>
      </c>
      <c r="G12" s="6" t="str">
        <f>_xlfn.XLOOKUP(F12,Tab_Def_Processes[Process_Name],Tab_Def_Processes[Process_ID],,0,)</f>
        <v>12</v>
      </c>
      <c r="H12" s="138" t="s">
        <v>1205</v>
      </c>
      <c r="I12" s="9" t="str">
        <f>_xlfn.XLOOKUP(H12,Tab_Def_Processes[Process_Name],Tab_Def_Processes[Process_ID],,0,)</f>
        <v>00</v>
      </c>
      <c r="J12" s="138" t="s">
        <v>5</v>
      </c>
      <c r="K12" s="138" t="s">
        <v>5</v>
      </c>
      <c r="L12" s="138" t="s">
        <v>5</v>
      </c>
      <c r="M12" s="138" t="s">
        <v>5</v>
      </c>
      <c r="N12" s="138" t="s">
        <v>6</v>
      </c>
      <c r="O12" s="138" t="s">
        <v>6</v>
      </c>
      <c r="P12" s="6" t="str">
        <f>Tab_Def_Flows[[#This Row],[Flow_ID]]&amp;"_E1"</f>
        <v>F_12_00_E1</v>
      </c>
      <c r="R12" s="13"/>
      <c r="S12" s="6" t="str">
        <f>Tab_Def_Flows[[#This Row],[Flow_ID]]&amp;"_E2"</f>
        <v>F_12_00_E2</v>
      </c>
      <c r="T12" s="135"/>
      <c r="U12" s="13"/>
      <c r="V12" s="6" t="str">
        <f>Tab_Def_Flows[[#This Row],[Flow_ID]]&amp;"_E3"</f>
        <v>F_12_00_E3</v>
      </c>
      <c r="W12" s="135"/>
      <c r="X12" s="13"/>
      <c r="Y12" s="6" t="str">
        <f>Tab_Def_Flows[[#This Row],[Flow_ID]]&amp;"_E4"</f>
        <v>F_12_00_E4</v>
      </c>
      <c r="Z12" s="135"/>
      <c r="AA12" s="13"/>
      <c r="AB12" s="6" t="str">
        <f>Tab_Def_Flows[[#This Row],[Flow_ID]]&amp;"_E5"</f>
        <v>F_12_00_E5</v>
      </c>
      <c r="AC12" s="140"/>
      <c r="AD12" s="13"/>
      <c r="AE12" s="6" t="str">
        <f>Tab_Def_Flows[[#This Row],[Flow_ID]]&amp;"_E6"</f>
        <v>F_12_00_E6</v>
      </c>
      <c r="AF12" s="140"/>
      <c r="AG12" s="13"/>
      <c r="AH12" s="194" t="b">
        <f>'0_Configuration'!$C$2</f>
        <v>1</v>
      </c>
      <c r="AI12" s="6"/>
      <c r="AJ12" s="194" t="b">
        <f>'0_Configuration'!$C$6</f>
        <v>0</v>
      </c>
      <c r="AK12" s="6" t="s">
        <v>1122</v>
      </c>
      <c r="AL12" s="194" t="b">
        <f>'0_Configuration'!$C$10</f>
        <v>0</v>
      </c>
      <c r="AM12" s="6" t="s">
        <v>1122</v>
      </c>
      <c r="AN12" s="194" t="b">
        <f>'0_Configuration'!$C$17</f>
        <v>0</v>
      </c>
      <c r="AO12" s="6">
        <f>_xlfn.XLOOKUP(Tab_Def_Flows[[#This Row],[ODYM_Good_Type]],Tab_Configuration[Value],Tab_Configuration[ODYM_ID],,0,)</f>
        <v>0</v>
      </c>
      <c r="AP12" s="194" t="b">
        <f>'0_Configuration'!$C$24</f>
        <v>0</v>
      </c>
      <c r="AQ12" s="6"/>
      <c r="AR12" s="194" t="b">
        <f>'0_Configuration'!$C$29</f>
        <v>1</v>
      </c>
      <c r="AS12" s="6" t="s">
        <v>1136</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F_12_01</v>
      </c>
      <c r="D13" s="218" t="s">
        <v>1226</v>
      </c>
      <c r="E13" s="138"/>
      <c r="F13" s="138" t="s">
        <v>1217</v>
      </c>
      <c r="G13" s="6" t="str">
        <f>_xlfn.XLOOKUP(F13,Tab_Def_Processes[Process_Name],Tab_Def_Processes[Process_ID],,0,)</f>
        <v>12</v>
      </c>
      <c r="H13" s="138" t="s">
        <v>1206</v>
      </c>
      <c r="I13" s="9" t="str">
        <f>_xlfn.XLOOKUP(H13,Tab_Def_Processes[Process_Name],Tab_Def_Processes[Process_ID],,0,)</f>
        <v>01</v>
      </c>
      <c r="J13" s="138" t="s">
        <v>5</v>
      </c>
      <c r="K13" s="138" t="s">
        <v>5</v>
      </c>
      <c r="L13" s="138" t="s">
        <v>5</v>
      </c>
      <c r="M13" s="138" t="s">
        <v>5</v>
      </c>
      <c r="N13" s="138" t="s">
        <v>6</v>
      </c>
      <c r="O13" s="138" t="s">
        <v>6</v>
      </c>
      <c r="P13" s="6" t="str">
        <f>Tab_Def_Flows[[#This Row],[Flow_ID]]&amp;"_E1"</f>
        <v>F_12_01_E1</v>
      </c>
      <c r="R13" s="13"/>
      <c r="S13" s="6" t="str">
        <f>Tab_Def_Flows[[#This Row],[Flow_ID]]&amp;"_E2"</f>
        <v>F_12_01_E2</v>
      </c>
      <c r="T13" s="135"/>
      <c r="U13" s="13"/>
      <c r="V13" s="6" t="str">
        <f>Tab_Def_Flows[[#This Row],[Flow_ID]]&amp;"_E3"</f>
        <v>F_12_01_E3</v>
      </c>
      <c r="W13" s="135"/>
      <c r="X13" s="13"/>
      <c r="Y13" s="6" t="str">
        <f>Tab_Def_Flows[[#This Row],[Flow_ID]]&amp;"_E4"</f>
        <v>F_12_01_E4</v>
      </c>
      <c r="Z13" s="135"/>
      <c r="AA13" s="13"/>
      <c r="AB13" s="6" t="str">
        <f>Tab_Def_Flows[[#This Row],[Flow_ID]]&amp;"_E5"</f>
        <v>F_12_01_E5</v>
      </c>
      <c r="AC13" s="140"/>
      <c r="AD13" s="13"/>
      <c r="AE13" s="6" t="str">
        <f>Tab_Def_Flows[[#This Row],[Flow_ID]]&amp;"_E6"</f>
        <v>F_12_01_E6</v>
      </c>
      <c r="AF13" s="140"/>
      <c r="AG13" s="13"/>
      <c r="AH13" s="194" t="b">
        <f>'0_Configuration'!$C$2</f>
        <v>1</v>
      </c>
      <c r="AI13" s="6"/>
      <c r="AJ13" s="194" t="b">
        <f>'0_Configuration'!$C$6</f>
        <v>0</v>
      </c>
      <c r="AK13" s="6" t="s">
        <v>1122</v>
      </c>
      <c r="AL13" s="194" t="b">
        <f>'0_Configuration'!$C$10</f>
        <v>0</v>
      </c>
      <c r="AM13" s="6" t="s">
        <v>1122</v>
      </c>
      <c r="AN13" s="194" t="b">
        <f>'0_Configuration'!$C$17</f>
        <v>0</v>
      </c>
      <c r="AO13" s="6">
        <f>_xlfn.XLOOKUP(Tab_Def_Flows[[#This Row],[ODYM_Good_Type]],Tab_Configuration[Value],Tab_Configuration[ODYM_ID],,0,)</f>
        <v>0</v>
      </c>
      <c r="AP13" s="194" t="b">
        <f>'0_Configuration'!$C$24</f>
        <v>0</v>
      </c>
      <c r="AQ13" s="6"/>
      <c r="AR13" s="194" t="b">
        <f>'0_Configuration'!$C$29</f>
        <v>1</v>
      </c>
      <c r="AS13" s="6" t="s">
        <v>1136</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F_08_00</v>
      </c>
      <c r="D14" s="218" t="s">
        <v>1235</v>
      </c>
      <c r="E14" s="138"/>
      <c r="F14" s="138" t="s">
        <v>1213</v>
      </c>
      <c r="G14" s="6" t="str">
        <f>_xlfn.XLOOKUP(F14,Tab_Def_Processes[Process_Name],Tab_Def_Processes[Process_ID],,0,)</f>
        <v>08</v>
      </c>
      <c r="H14" s="138" t="s">
        <v>1205</v>
      </c>
      <c r="I14" s="9" t="str">
        <f>_xlfn.XLOOKUP(H14,Tab_Def_Processes[Process_Name],Tab_Def_Processes[Process_ID],,0,)</f>
        <v>00</v>
      </c>
      <c r="J14" s="138" t="s">
        <v>5</v>
      </c>
      <c r="K14" s="138" t="s">
        <v>5</v>
      </c>
      <c r="L14" s="138" t="s">
        <v>5</v>
      </c>
      <c r="M14" s="138" t="s">
        <v>5</v>
      </c>
      <c r="N14" s="138" t="s">
        <v>6</v>
      </c>
      <c r="O14" s="138" t="s">
        <v>6</v>
      </c>
      <c r="P14" s="6" t="str">
        <f>Tab_Def_Flows[[#This Row],[Flow_ID]]&amp;"_E1"</f>
        <v>F_08_00_E1</v>
      </c>
      <c r="R14" s="13"/>
      <c r="S14" s="6" t="str">
        <f>Tab_Def_Flows[[#This Row],[Flow_ID]]&amp;"_E2"</f>
        <v>F_08_00_E2</v>
      </c>
      <c r="T14" s="135"/>
      <c r="U14" s="13"/>
      <c r="V14" s="6" t="str">
        <f>Tab_Def_Flows[[#This Row],[Flow_ID]]&amp;"_E3"</f>
        <v>F_08_00_E3</v>
      </c>
      <c r="W14" s="135"/>
      <c r="X14" s="13"/>
      <c r="Y14" s="6" t="str">
        <f>Tab_Def_Flows[[#This Row],[Flow_ID]]&amp;"_E4"</f>
        <v>F_08_00_E4</v>
      </c>
      <c r="Z14" s="135"/>
      <c r="AA14" s="13"/>
      <c r="AB14" s="6" t="str">
        <f>Tab_Def_Flows[[#This Row],[Flow_ID]]&amp;"_E5"</f>
        <v>F_08_00_E5</v>
      </c>
      <c r="AC14" s="140"/>
      <c r="AD14" s="13"/>
      <c r="AE14" s="6" t="str">
        <f>Tab_Def_Flows[[#This Row],[Flow_ID]]&amp;"_E6"</f>
        <v>F_08_00_E6</v>
      </c>
      <c r="AF14" s="140"/>
      <c r="AG14" s="13"/>
      <c r="AH14" s="194" t="b">
        <f>'0_Configuration'!$C$2</f>
        <v>1</v>
      </c>
      <c r="AI14" s="6"/>
      <c r="AJ14" s="194" t="b">
        <f>'0_Configuration'!$C$6</f>
        <v>0</v>
      </c>
      <c r="AK14" s="6" t="s">
        <v>1122</v>
      </c>
      <c r="AL14" s="194" t="b">
        <f>'0_Configuration'!$C$10</f>
        <v>0</v>
      </c>
      <c r="AM14" s="6" t="s">
        <v>1122</v>
      </c>
      <c r="AN14" s="194" t="b">
        <f>'0_Configuration'!$C$17</f>
        <v>0</v>
      </c>
      <c r="AO14" s="6">
        <f>_xlfn.XLOOKUP(Tab_Def_Flows[[#This Row],[ODYM_Good_Type]],Tab_Configuration[Value],Tab_Configuration[ODYM_ID],,0,)</f>
        <v>0</v>
      </c>
      <c r="AP14" s="194" t="b">
        <f>'0_Configuration'!$C$24</f>
        <v>0</v>
      </c>
      <c r="AQ14" s="6"/>
      <c r="AR14" s="194" t="b">
        <f>'0_Configuration'!$C$29</f>
        <v>1</v>
      </c>
      <c r="AS14" s="6" t="s">
        <v>1136</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F_08_01</v>
      </c>
      <c r="D15" s="218" t="s">
        <v>1236</v>
      </c>
      <c r="E15" s="138"/>
      <c r="F15" s="138" t="s">
        <v>1213</v>
      </c>
      <c r="G15" s="6" t="str">
        <f>_xlfn.XLOOKUP(F15,Tab_Def_Processes[Process_Name],Tab_Def_Processes[Process_ID],,0,)</f>
        <v>08</v>
      </c>
      <c r="H15" s="138" t="s">
        <v>1206</v>
      </c>
      <c r="I15" s="9" t="str">
        <f>_xlfn.XLOOKUP(H15,Tab_Def_Processes[Process_Name],Tab_Def_Processes[Process_ID],,0,)</f>
        <v>01</v>
      </c>
      <c r="J15" s="138" t="s">
        <v>5</v>
      </c>
      <c r="K15" s="138" t="s">
        <v>5</v>
      </c>
      <c r="L15" s="138" t="s">
        <v>5</v>
      </c>
      <c r="M15" s="138" t="s">
        <v>5</v>
      </c>
      <c r="N15" s="138" t="s">
        <v>6</v>
      </c>
      <c r="O15" s="138" t="s">
        <v>6</v>
      </c>
      <c r="P15" s="6" t="str">
        <f>Tab_Def_Flows[[#This Row],[Flow_ID]]&amp;"_E1"</f>
        <v>F_08_01_E1</v>
      </c>
      <c r="R15" s="13"/>
      <c r="S15" s="6" t="str">
        <f>Tab_Def_Flows[[#This Row],[Flow_ID]]&amp;"_E2"</f>
        <v>F_08_01_E2</v>
      </c>
      <c r="T15" s="135"/>
      <c r="U15" s="13"/>
      <c r="V15" s="6" t="str">
        <f>Tab_Def_Flows[[#This Row],[Flow_ID]]&amp;"_E3"</f>
        <v>F_08_01_E3</v>
      </c>
      <c r="W15" s="135"/>
      <c r="X15" s="13"/>
      <c r="Y15" s="6" t="str">
        <f>Tab_Def_Flows[[#This Row],[Flow_ID]]&amp;"_E4"</f>
        <v>F_08_01_E4</v>
      </c>
      <c r="Z15" s="135"/>
      <c r="AA15" s="13"/>
      <c r="AB15" s="6" t="str">
        <f>Tab_Def_Flows[[#This Row],[Flow_ID]]&amp;"_E5"</f>
        <v>F_08_01_E5</v>
      </c>
      <c r="AC15" s="140"/>
      <c r="AD15" s="13"/>
      <c r="AE15" s="6" t="str">
        <f>Tab_Def_Flows[[#This Row],[Flow_ID]]&amp;"_E6"</f>
        <v>F_08_01_E6</v>
      </c>
      <c r="AF15" s="140"/>
      <c r="AG15" s="13"/>
      <c r="AH15" s="194" t="b">
        <f>'0_Configuration'!$C$2</f>
        <v>1</v>
      </c>
      <c r="AI15" s="6"/>
      <c r="AJ15" s="194" t="b">
        <f>'0_Configuration'!$C$6</f>
        <v>0</v>
      </c>
      <c r="AK15" s="6" t="s">
        <v>1122</v>
      </c>
      <c r="AL15" s="194" t="b">
        <f>'0_Configuration'!$C$10</f>
        <v>0</v>
      </c>
      <c r="AM15" s="6" t="s">
        <v>1122</v>
      </c>
      <c r="AN15" s="194" t="b">
        <f>'0_Configuration'!$C$17</f>
        <v>0</v>
      </c>
      <c r="AO15" s="6">
        <f>_xlfn.XLOOKUP(Tab_Def_Flows[[#This Row],[ODYM_Good_Type]],Tab_Configuration[Value],Tab_Configuration[ODYM_ID],,0,)</f>
        <v>0</v>
      </c>
      <c r="AP15" s="194" t="b">
        <f>'0_Configuration'!$C$24</f>
        <v>0</v>
      </c>
      <c r="AQ15" s="6"/>
      <c r="AR15" s="194" t="b">
        <f>'0_Configuration'!$C$29</f>
        <v>1</v>
      </c>
      <c r="AS15" s="6" t="s">
        <v>1136</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F_05_09</v>
      </c>
      <c r="D16" s="218" t="s">
        <v>1222</v>
      </c>
      <c r="E16" s="138"/>
      <c r="F16" s="138" t="s">
        <v>1210</v>
      </c>
      <c r="G16" s="6" t="str">
        <f>_xlfn.XLOOKUP(F16,Tab_Def_Processes[Process_Name],Tab_Def_Processes[Process_ID],,0,)</f>
        <v>05</v>
      </c>
      <c r="H16" s="138" t="s">
        <v>1214</v>
      </c>
      <c r="I16" s="9" t="str">
        <f>_xlfn.XLOOKUP(H16,Tab_Def_Processes[Process_Name],Tab_Def_Processes[Process_ID],,0,)</f>
        <v>09</v>
      </c>
      <c r="J16" s="138" t="s">
        <v>5</v>
      </c>
      <c r="K16" s="138" t="s">
        <v>5</v>
      </c>
      <c r="L16" s="138" t="s">
        <v>5</v>
      </c>
      <c r="M16" s="138" t="s">
        <v>5</v>
      </c>
      <c r="N16" s="138" t="s">
        <v>6</v>
      </c>
      <c r="O16" s="138" t="s">
        <v>6</v>
      </c>
      <c r="P16" s="6" t="str">
        <f>Tab_Def_Flows[[#This Row],[Flow_ID]]&amp;"_E1"</f>
        <v>F_05_09_E1</v>
      </c>
      <c r="R16" s="13"/>
      <c r="S16" s="6" t="str">
        <f>Tab_Def_Flows[[#This Row],[Flow_ID]]&amp;"_E2"</f>
        <v>F_05_09_E2</v>
      </c>
      <c r="T16" s="135"/>
      <c r="U16" s="13"/>
      <c r="V16" s="6" t="str">
        <f>Tab_Def_Flows[[#This Row],[Flow_ID]]&amp;"_E3"</f>
        <v>F_05_09_E3</v>
      </c>
      <c r="W16" s="135"/>
      <c r="X16" s="13"/>
      <c r="Y16" s="6" t="str">
        <f>Tab_Def_Flows[[#This Row],[Flow_ID]]&amp;"_E4"</f>
        <v>F_05_09_E4</v>
      </c>
      <c r="Z16" s="135"/>
      <c r="AA16" s="13"/>
      <c r="AB16" s="6" t="str">
        <f>Tab_Def_Flows[[#This Row],[Flow_ID]]&amp;"_E5"</f>
        <v>F_05_09_E5</v>
      </c>
      <c r="AC16" s="140"/>
      <c r="AD16" s="13"/>
      <c r="AE16" s="6" t="str">
        <f>Tab_Def_Flows[[#This Row],[Flow_ID]]&amp;"_E6"</f>
        <v>F_05_09_E6</v>
      </c>
      <c r="AF16" s="140"/>
      <c r="AG16" s="13"/>
      <c r="AH16" s="194" t="b">
        <f>'0_Configuration'!$C$2</f>
        <v>1</v>
      </c>
      <c r="AI16" s="6"/>
      <c r="AJ16" s="194" t="b">
        <f>'0_Configuration'!$C$6</f>
        <v>0</v>
      </c>
      <c r="AK16" s="6" t="s">
        <v>1122</v>
      </c>
      <c r="AL16" s="194" t="b">
        <f>'0_Configuration'!$C$10</f>
        <v>0</v>
      </c>
      <c r="AM16" s="6" t="s">
        <v>1122</v>
      </c>
      <c r="AN16" s="194" t="b">
        <f>'0_Configuration'!$C$17</f>
        <v>0</v>
      </c>
      <c r="AO16" s="6">
        <f>_xlfn.XLOOKUP(Tab_Def_Flows[[#This Row],[ODYM_Good_Type]],Tab_Configuration[Value],Tab_Configuration[ODYM_ID],,0,)</f>
        <v>0</v>
      </c>
      <c r="AP16" s="194" t="b">
        <f>'0_Configuration'!$C$24</f>
        <v>0</v>
      </c>
      <c r="AQ16" s="6"/>
      <c r="AR16" s="194" t="b">
        <f>'0_Configuration'!$C$29</f>
        <v>1</v>
      </c>
      <c r="AS16" s="6" t="s">
        <v>1136</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F_09_00</v>
      </c>
      <c r="D17" s="218" t="s">
        <v>1228</v>
      </c>
      <c r="E17" s="138"/>
      <c r="F17" s="138" t="s">
        <v>1214</v>
      </c>
      <c r="G17" s="6" t="str">
        <f>_xlfn.XLOOKUP(F17,Tab_Def_Processes[Process_Name],Tab_Def_Processes[Process_ID],,0,)</f>
        <v>09</v>
      </c>
      <c r="H17" s="138" t="s">
        <v>1205</v>
      </c>
      <c r="I17" s="9" t="str">
        <f>_xlfn.XLOOKUP(H17,Tab_Def_Processes[Process_Name],Tab_Def_Processes[Process_ID],,0,)</f>
        <v>00</v>
      </c>
      <c r="J17" s="138" t="s">
        <v>5</v>
      </c>
      <c r="K17" s="138" t="s">
        <v>5</v>
      </c>
      <c r="L17" s="138" t="s">
        <v>5</v>
      </c>
      <c r="M17" s="138" t="s">
        <v>5</v>
      </c>
      <c r="N17" s="138" t="s">
        <v>6</v>
      </c>
      <c r="O17" s="138" t="s">
        <v>6</v>
      </c>
      <c r="P17" s="6" t="str">
        <f>Tab_Def_Flows[[#This Row],[Flow_ID]]&amp;"_E1"</f>
        <v>F_09_00_E1</v>
      </c>
      <c r="R17" s="13"/>
      <c r="S17" s="6" t="str">
        <f>Tab_Def_Flows[[#This Row],[Flow_ID]]&amp;"_E2"</f>
        <v>F_09_00_E2</v>
      </c>
      <c r="T17" s="135"/>
      <c r="U17" s="13"/>
      <c r="V17" s="6" t="str">
        <f>Tab_Def_Flows[[#This Row],[Flow_ID]]&amp;"_E3"</f>
        <v>F_09_00_E3</v>
      </c>
      <c r="W17" s="135"/>
      <c r="X17" s="13"/>
      <c r="Y17" s="6" t="str">
        <f>Tab_Def_Flows[[#This Row],[Flow_ID]]&amp;"_E4"</f>
        <v>F_09_00_E4</v>
      </c>
      <c r="Z17" s="135"/>
      <c r="AA17" s="13"/>
      <c r="AB17" s="6" t="str">
        <f>Tab_Def_Flows[[#This Row],[Flow_ID]]&amp;"_E5"</f>
        <v>F_09_00_E5</v>
      </c>
      <c r="AC17" s="140"/>
      <c r="AD17" s="13"/>
      <c r="AE17" s="6" t="str">
        <f>Tab_Def_Flows[[#This Row],[Flow_ID]]&amp;"_E6"</f>
        <v>F_09_00_E6</v>
      </c>
      <c r="AF17" s="140"/>
      <c r="AG17" s="13"/>
      <c r="AH17" s="194" t="b">
        <f>'0_Configuration'!$C$2</f>
        <v>1</v>
      </c>
      <c r="AI17" s="6"/>
      <c r="AJ17" s="194" t="b">
        <f>'0_Configuration'!$C$6</f>
        <v>0</v>
      </c>
      <c r="AK17" s="6" t="s">
        <v>1122</v>
      </c>
      <c r="AL17" s="194" t="b">
        <f>'0_Configuration'!$C$10</f>
        <v>0</v>
      </c>
      <c r="AM17" s="6" t="s">
        <v>1122</v>
      </c>
      <c r="AN17" s="194" t="b">
        <f>'0_Configuration'!$C$17</f>
        <v>0</v>
      </c>
      <c r="AO17" s="6">
        <f>_xlfn.XLOOKUP(Tab_Def_Flows[[#This Row],[ODYM_Good_Type]],Tab_Configuration[Value],Tab_Configuration[ODYM_ID],,0,)</f>
        <v>0</v>
      </c>
      <c r="AP17" s="194" t="b">
        <f>'0_Configuration'!$C$24</f>
        <v>0</v>
      </c>
      <c r="AQ17" s="6"/>
      <c r="AR17" s="194" t="b">
        <f>'0_Configuration'!$C$29</f>
        <v>1</v>
      </c>
      <c r="AS17" s="6" t="s">
        <v>1136</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F_09_01</v>
      </c>
      <c r="D18" s="218" t="s">
        <v>1229</v>
      </c>
      <c r="E18" s="138"/>
      <c r="F18" s="138" t="s">
        <v>1214</v>
      </c>
      <c r="G18" s="6" t="str">
        <f>_xlfn.XLOOKUP(F18,Tab_Def_Processes[Process_Name],Tab_Def_Processes[Process_ID],,0,)</f>
        <v>09</v>
      </c>
      <c r="H18" s="138" t="s">
        <v>1206</v>
      </c>
      <c r="I18" s="9" t="str">
        <f>_xlfn.XLOOKUP(H18,Tab_Def_Processes[Process_Name],Tab_Def_Processes[Process_ID],,0,)</f>
        <v>01</v>
      </c>
      <c r="J18" s="138" t="s">
        <v>5</v>
      </c>
      <c r="K18" s="138" t="s">
        <v>5</v>
      </c>
      <c r="L18" s="138" t="s">
        <v>5</v>
      </c>
      <c r="M18" s="138" t="s">
        <v>5</v>
      </c>
      <c r="N18" s="138" t="s">
        <v>6</v>
      </c>
      <c r="O18" s="138" t="s">
        <v>6</v>
      </c>
      <c r="P18" s="6" t="str">
        <f>Tab_Def_Flows[[#This Row],[Flow_ID]]&amp;"_E1"</f>
        <v>F_09_01_E1</v>
      </c>
      <c r="R18" s="13"/>
      <c r="S18" s="6" t="str">
        <f>Tab_Def_Flows[[#This Row],[Flow_ID]]&amp;"_E2"</f>
        <v>F_09_01_E2</v>
      </c>
      <c r="T18" s="135"/>
      <c r="U18" s="13"/>
      <c r="V18" s="6" t="str">
        <f>Tab_Def_Flows[[#This Row],[Flow_ID]]&amp;"_E3"</f>
        <v>F_09_01_E3</v>
      </c>
      <c r="W18" s="135"/>
      <c r="X18" s="13"/>
      <c r="Y18" s="6" t="str">
        <f>Tab_Def_Flows[[#This Row],[Flow_ID]]&amp;"_E4"</f>
        <v>F_09_01_E4</v>
      </c>
      <c r="Z18" s="135"/>
      <c r="AA18" s="13"/>
      <c r="AB18" s="6" t="str">
        <f>Tab_Def_Flows[[#This Row],[Flow_ID]]&amp;"_E5"</f>
        <v>F_09_01_E5</v>
      </c>
      <c r="AC18" s="140"/>
      <c r="AD18" s="13"/>
      <c r="AE18" s="6" t="str">
        <f>Tab_Def_Flows[[#This Row],[Flow_ID]]&amp;"_E6"</f>
        <v>F_09_01_E6</v>
      </c>
      <c r="AF18" s="140"/>
      <c r="AG18" s="13"/>
      <c r="AH18" s="194" t="b">
        <f>'0_Configuration'!$C$2</f>
        <v>1</v>
      </c>
      <c r="AI18" s="6"/>
      <c r="AJ18" s="194" t="b">
        <f>'0_Configuration'!$C$6</f>
        <v>0</v>
      </c>
      <c r="AK18" s="6" t="s">
        <v>1122</v>
      </c>
      <c r="AL18" s="194" t="b">
        <f>'0_Configuration'!$C$10</f>
        <v>0</v>
      </c>
      <c r="AM18" s="6" t="s">
        <v>1122</v>
      </c>
      <c r="AN18" s="194" t="b">
        <f>'0_Configuration'!$C$17</f>
        <v>0</v>
      </c>
      <c r="AO18" s="6">
        <f>_xlfn.XLOOKUP(Tab_Def_Flows[[#This Row],[ODYM_Good_Type]],Tab_Configuration[Value],Tab_Configuration[ODYM_ID],,0,)</f>
        <v>0</v>
      </c>
      <c r="AP18" s="194" t="b">
        <f>'0_Configuration'!$C$24</f>
        <v>0</v>
      </c>
      <c r="AQ18" s="6"/>
      <c r="AR18" s="194" t="b">
        <f>'0_Configuration'!$C$29</f>
        <v>1</v>
      </c>
      <c r="AS18" s="6" t="s">
        <v>1136</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F_10_00</v>
      </c>
      <c r="D19" s="218" t="s">
        <v>1237</v>
      </c>
      <c r="E19" s="138"/>
      <c r="F19" s="138" t="s">
        <v>1215</v>
      </c>
      <c r="G19" s="6" t="str">
        <f>_xlfn.XLOOKUP(F19,Tab_Def_Processes[Process_Name],Tab_Def_Processes[Process_ID],,0,)</f>
        <v>10</v>
      </c>
      <c r="H19" s="138" t="s">
        <v>1205</v>
      </c>
      <c r="I19" s="9" t="str">
        <f>_xlfn.XLOOKUP(H19,Tab_Def_Processes[Process_Name],Tab_Def_Processes[Process_ID],,0,)</f>
        <v>00</v>
      </c>
      <c r="J19" s="138" t="s">
        <v>5</v>
      </c>
      <c r="K19" s="138" t="s">
        <v>5</v>
      </c>
      <c r="L19" s="138" t="s">
        <v>5</v>
      </c>
      <c r="M19" s="138" t="s">
        <v>5</v>
      </c>
      <c r="N19" s="138" t="s">
        <v>6</v>
      </c>
      <c r="O19" s="138" t="s">
        <v>6</v>
      </c>
      <c r="P19" s="6" t="str">
        <f>Tab_Def_Flows[[#This Row],[Flow_ID]]&amp;"_E1"</f>
        <v>F_10_00_E1</v>
      </c>
      <c r="R19" s="13"/>
      <c r="S19" s="6" t="str">
        <f>Tab_Def_Flows[[#This Row],[Flow_ID]]&amp;"_E2"</f>
        <v>F_10_00_E2</v>
      </c>
      <c r="T19" s="135"/>
      <c r="U19" s="13"/>
      <c r="V19" s="6" t="str">
        <f>Tab_Def_Flows[[#This Row],[Flow_ID]]&amp;"_E3"</f>
        <v>F_10_00_E3</v>
      </c>
      <c r="W19" s="135"/>
      <c r="X19" s="13"/>
      <c r="Y19" s="6" t="str">
        <f>Tab_Def_Flows[[#This Row],[Flow_ID]]&amp;"_E4"</f>
        <v>F_10_00_E4</v>
      </c>
      <c r="Z19" s="135"/>
      <c r="AA19" s="13"/>
      <c r="AB19" s="6" t="str">
        <f>Tab_Def_Flows[[#This Row],[Flow_ID]]&amp;"_E5"</f>
        <v>F_10_00_E5</v>
      </c>
      <c r="AC19" s="140"/>
      <c r="AD19" s="13"/>
      <c r="AE19" s="6" t="str">
        <f>Tab_Def_Flows[[#This Row],[Flow_ID]]&amp;"_E6"</f>
        <v>F_10_00_E6</v>
      </c>
      <c r="AF19" s="140"/>
      <c r="AG19" s="13"/>
      <c r="AH19" s="194" t="b">
        <f>'0_Configuration'!$C$2</f>
        <v>1</v>
      </c>
      <c r="AI19" s="6"/>
      <c r="AJ19" s="194" t="b">
        <f>'0_Configuration'!$C$6</f>
        <v>0</v>
      </c>
      <c r="AK19" s="6" t="s">
        <v>1122</v>
      </c>
      <c r="AL19" s="194" t="b">
        <f>'0_Configuration'!$C$10</f>
        <v>0</v>
      </c>
      <c r="AM19" s="6" t="s">
        <v>1122</v>
      </c>
      <c r="AN19" s="194" t="b">
        <f>'0_Configuration'!$C$17</f>
        <v>0</v>
      </c>
      <c r="AO19" s="6">
        <f>_xlfn.XLOOKUP(Tab_Def_Flows[[#This Row],[ODYM_Good_Type]],Tab_Configuration[Value],Tab_Configuration[ODYM_ID],,0,)</f>
        <v>0</v>
      </c>
      <c r="AP19" s="194" t="b">
        <f>'0_Configuration'!$C$24</f>
        <v>0</v>
      </c>
      <c r="AQ19" s="6"/>
      <c r="AR19" s="194" t="b">
        <f>'0_Configuration'!$C$29</f>
        <v>1</v>
      </c>
      <c r="AS19" s="6" t="s">
        <v>1136</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F_10_01</v>
      </c>
      <c r="D20" s="218" t="s">
        <v>1238</v>
      </c>
      <c r="E20" s="138"/>
      <c r="F20" s="138" t="s">
        <v>1215</v>
      </c>
      <c r="G20" s="6" t="str">
        <f>_xlfn.XLOOKUP(F20,Tab_Def_Processes[Process_Name],Tab_Def_Processes[Process_ID],,0,)</f>
        <v>10</v>
      </c>
      <c r="H20" s="138" t="s">
        <v>1206</v>
      </c>
      <c r="I20" s="9" t="str">
        <f>_xlfn.XLOOKUP(H20,Tab_Def_Processes[Process_Name],Tab_Def_Processes[Process_ID],,0,)</f>
        <v>01</v>
      </c>
      <c r="J20" s="138" t="s">
        <v>5</v>
      </c>
      <c r="K20" s="138" t="s">
        <v>5</v>
      </c>
      <c r="L20" s="138" t="s">
        <v>5</v>
      </c>
      <c r="M20" s="138" t="s">
        <v>5</v>
      </c>
      <c r="N20" s="138" t="s">
        <v>6</v>
      </c>
      <c r="O20" s="138" t="s">
        <v>6</v>
      </c>
      <c r="P20" s="6" t="str">
        <f>Tab_Def_Flows[[#This Row],[Flow_ID]]&amp;"_E1"</f>
        <v>F_10_01_E1</v>
      </c>
      <c r="R20" s="13"/>
      <c r="S20" s="6" t="str">
        <f>Tab_Def_Flows[[#This Row],[Flow_ID]]&amp;"_E2"</f>
        <v>F_10_01_E2</v>
      </c>
      <c r="T20" s="135"/>
      <c r="U20" s="13"/>
      <c r="V20" s="6" t="str">
        <f>Tab_Def_Flows[[#This Row],[Flow_ID]]&amp;"_E3"</f>
        <v>F_10_01_E3</v>
      </c>
      <c r="W20" s="135"/>
      <c r="X20" s="13"/>
      <c r="Y20" s="6" t="str">
        <f>Tab_Def_Flows[[#This Row],[Flow_ID]]&amp;"_E4"</f>
        <v>F_10_01_E4</v>
      </c>
      <c r="Z20" s="135"/>
      <c r="AA20" s="13"/>
      <c r="AB20" s="6" t="str">
        <f>Tab_Def_Flows[[#This Row],[Flow_ID]]&amp;"_E5"</f>
        <v>F_10_01_E5</v>
      </c>
      <c r="AC20" s="140"/>
      <c r="AD20" s="13"/>
      <c r="AE20" s="6" t="str">
        <f>Tab_Def_Flows[[#This Row],[Flow_ID]]&amp;"_E6"</f>
        <v>F_10_01_E6</v>
      </c>
      <c r="AF20" s="140"/>
      <c r="AG20" s="13"/>
      <c r="AH20" s="194" t="b">
        <f>'0_Configuration'!$C$2</f>
        <v>1</v>
      </c>
      <c r="AI20" s="6"/>
      <c r="AJ20" s="194" t="b">
        <f>'0_Configuration'!$C$6</f>
        <v>0</v>
      </c>
      <c r="AK20" s="6" t="s">
        <v>1122</v>
      </c>
      <c r="AL20" s="194" t="b">
        <f>'0_Configuration'!$C$10</f>
        <v>0</v>
      </c>
      <c r="AM20" s="6" t="s">
        <v>1122</v>
      </c>
      <c r="AN20" s="194" t="b">
        <f>'0_Configuration'!$C$17</f>
        <v>0</v>
      </c>
      <c r="AO20" s="6">
        <f>_xlfn.XLOOKUP(Tab_Def_Flows[[#This Row],[ODYM_Good_Type]],Tab_Configuration[Value],Tab_Configuration[ODYM_ID],,0,)</f>
        <v>0</v>
      </c>
      <c r="AP20" s="194" t="b">
        <f>'0_Configuration'!$C$24</f>
        <v>0</v>
      </c>
      <c r="AQ20" s="6"/>
      <c r="AR20" s="194" t="b">
        <f>'0_Configuration'!$C$29</f>
        <v>1</v>
      </c>
      <c r="AS20" s="6" t="s">
        <v>1136</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F_09_10</v>
      </c>
      <c r="D21" s="218" t="s">
        <v>1230</v>
      </c>
      <c r="E21" s="138"/>
      <c r="F21" s="138" t="s">
        <v>1214</v>
      </c>
      <c r="G21" s="6" t="str">
        <f>_xlfn.XLOOKUP(F21,Tab_Def_Processes[Process_Name],Tab_Def_Processes[Process_ID],,0,)</f>
        <v>09</v>
      </c>
      <c r="H21" s="138" t="s">
        <v>1215</v>
      </c>
      <c r="I21" s="9" t="str">
        <f>_xlfn.XLOOKUP(H21,Tab_Def_Processes[Process_Name],Tab_Def_Processes[Process_ID],,0,)</f>
        <v>10</v>
      </c>
      <c r="J21" s="138" t="s">
        <v>5</v>
      </c>
      <c r="K21" s="138" t="s">
        <v>5</v>
      </c>
      <c r="L21" s="138" t="s">
        <v>5</v>
      </c>
      <c r="M21" s="138" t="s">
        <v>5</v>
      </c>
      <c r="N21" s="138" t="s">
        <v>6</v>
      </c>
      <c r="O21" s="138" t="s">
        <v>6</v>
      </c>
      <c r="P21" s="6" t="str">
        <f>Tab_Def_Flows[[#This Row],[Flow_ID]]&amp;"_E1"</f>
        <v>F_09_10_E1</v>
      </c>
      <c r="R21" s="13"/>
      <c r="S21" s="6" t="str">
        <f>Tab_Def_Flows[[#This Row],[Flow_ID]]&amp;"_E2"</f>
        <v>F_09_10_E2</v>
      </c>
      <c r="T21" s="135"/>
      <c r="U21" s="13"/>
      <c r="V21" s="6" t="str">
        <f>Tab_Def_Flows[[#This Row],[Flow_ID]]&amp;"_E3"</f>
        <v>F_09_10_E3</v>
      </c>
      <c r="W21" s="135"/>
      <c r="X21" s="13"/>
      <c r="Y21" s="6" t="str">
        <f>Tab_Def_Flows[[#This Row],[Flow_ID]]&amp;"_E4"</f>
        <v>F_09_10_E4</v>
      </c>
      <c r="Z21" s="135"/>
      <c r="AA21" s="13"/>
      <c r="AB21" s="6" t="str">
        <f>Tab_Def_Flows[[#This Row],[Flow_ID]]&amp;"_E5"</f>
        <v>F_09_10_E5</v>
      </c>
      <c r="AC21" s="140"/>
      <c r="AD21" s="13"/>
      <c r="AE21" s="6" t="str">
        <f>Tab_Def_Flows[[#This Row],[Flow_ID]]&amp;"_E6"</f>
        <v>F_09_10_E6</v>
      </c>
      <c r="AF21" s="140"/>
      <c r="AG21" s="13"/>
      <c r="AH21" s="194" t="b">
        <f>'0_Configuration'!$C$2</f>
        <v>1</v>
      </c>
      <c r="AI21" s="6"/>
      <c r="AJ21" s="194" t="b">
        <f>'0_Configuration'!$C$6</f>
        <v>0</v>
      </c>
      <c r="AK21" s="6" t="s">
        <v>1122</v>
      </c>
      <c r="AL21" s="194" t="b">
        <f>'0_Configuration'!$C$10</f>
        <v>0</v>
      </c>
      <c r="AM21" s="6" t="s">
        <v>1122</v>
      </c>
      <c r="AN21" s="194" t="b">
        <f>'0_Configuration'!$C$17</f>
        <v>0</v>
      </c>
      <c r="AO21" s="6">
        <f>_xlfn.XLOOKUP(Tab_Def_Flows[[#This Row],[ODYM_Good_Type]],Tab_Configuration[Value],Tab_Configuration[ODYM_ID],,0,)</f>
        <v>0</v>
      </c>
      <c r="AP21" s="194" t="b">
        <f>'0_Configuration'!$C$24</f>
        <v>0</v>
      </c>
      <c r="AQ21" s="6"/>
      <c r="AR21" s="194" t="b">
        <f>'0_Configuration'!$C$29</f>
        <v>1</v>
      </c>
      <c r="AS21" s="6" t="s">
        <v>1136</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F_01_09</v>
      </c>
      <c r="D22" s="218" t="s">
        <v>1239</v>
      </c>
      <c r="E22" s="138"/>
      <c r="F22" s="138" t="s">
        <v>1206</v>
      </c>
      <c r="G22" s="6" t="str">
        <f>_xlfn.XLOOKUP(F22,Tab_Def_Processes[Process_Name],Tab_Def_Processes[Process_ID],,0,)</f>
        <v>01</v>
      </c>
      <c r="H22" s="138" t="s">
        <v>1214</v>
      </c>
      <c r="I22" s="9" t="str">
        <f>_xlfn.XLOOKUP(H22,Tab_Def_Processes[Process_Name],Tab_Def_Processes[Process_ID],,0,)</f>
        <v>09</v>
      </c>
      <c r="J22" s="138" t="s">
        <v>5</v>
      </c>
      <c r="K22" s="138" t="s">
        <v>5</v>
      </c>
      <c r="L22" s="138" t="s">
        <v>5</v>
      </c>
      <c r="M22" s="138" t="s">
        <v>5</v>
      </c>
      <c r="N22" s="138" t="s">
        <v>6</v>
      </c>
      <c r="O22" s="138" t="s">
        <v>6</v>
      </c>
      <c r="P22" s="6" t="str">
        <f>Tab_Def_Flows[[#This Row],[Flow_ID]]&amp;"_E1"</f>
        <v>F_01_09_E1</v>
      </c>
      <c r="Q22" s="140">
        <v>1</v>
      </c>
      <c r="R22" s="13"/>
      <c r="S22" s="6" t="str">
        <f>Tab_Def_Flows[[#This Row],[Flow_ID]]&amp;"_E2"</f>
        <v>F_01_09_E2</v>
      </c>
      <c r="T22" s="135">
        <v>1</v>
      </c>
      <c r="U22" s="13"/>
      <c r="V22" s="6" t="str">
        <f>Tab_Def_Flows[[#This Row],[Flow_ID]]&amp;"_E3"</f>
        <v>F_01_09_E3</v>
      </c>
      <c r="W22" s="135">
        <v>0</v>
      </c>
      <c r="X22" s="13"/>
      <c r="Y22" s="6" t="str">
        <f>Tab_Def_Flows[[#This Row],[Flow_ID]]&amp;"_E4"</f>
        <v>F_01_09_E4</v>
      </c>
      <c r="Z22" s="135">
        <v>0</v>
      </c>
      <c r="AA22" s="13"/>
      <c r="AB22" s="6" t="str">
        <f>Tab_Def_Flows[[#This Row],[Flow_ID]]&amp;"_E5"</f>
        <v>F_01_09_E5</v>
      </c>
      <c r="AC22" s="140"/>
      <c r="AD22" s="13"/>
      <c r="AE22" s="6" t="str">
        <f>Tab_Def_Flows[[#This Row],[Flow_ID]]&amp;"_E6"</f>
        <v>F_01_09_E6</v>
      </c>
      <c r="AF22" s="140"/>
      <c r="AG22" s="13"/>
      <c r="AH22" s="194" t="b">
        <f>'0_Configuration'!$C$2</f>
        <v>1</v>
      </c>
      <c r="AI22" s="6"/>
      <c r="AJ22" s="194" t="b">
        <f>'0_Configuration'!$C$6</f>
        <v>0</v>
      </c>
      <c r="AK22" s="6" t="s">
        <v>1122</v>
      </c>
      <c r="AL22" s="194" t="b">
        <f>'0_Configuration'!$C$10</f>
        <v>0</v>
      </c>
      <c r="AM22" s="6" t="s">
        <v>1122</v>
      </c>
      <c r="AN22" s="194" t="b">
        <f>'0_Configuration'!$C$17</f>
        <v>0</v>
      </c>
      <c r="AO22" s="6">
        <f>_xlfn.XLOOKUP(Tab_Def_Flows[[#This Row],[ODYM_Good_Type]],Tab_Configuration[Value],Tab_Configuration[ODYM_ID],,0,)</f>
        <v>0</v>
      </c>
      <c r="AP22" s="194" t="b">
        <f>'0_Configuration'!$C$24</f>
        <v>0</v>
      </c>
      <c r="AQ22" s="6"/>
      <c r="AR22" s="194" t="b">
        <f>'0_Configuration'!$C$29</f>
        <v>1</v>
      </c>
      <c r="AS22" s="6" t="s">
        <v>1136</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F_12_07</v>
      </c>
      <c r="D23" s="218" t="s">
        <v>1227</v>
      </c>
      <c r="E23" s="138"/>
      <c r="F23" s="138" t="s">
        <v>1217</v>
      </c>
      <c r="G23" s="6" t="str">
        <f>_xlfn.XLOOKUP(F23,Tab_Def_Processes[Process_Name],Tab_Def_Processes[Process_ID],,0,)</f>
        <v>12</v>
      </c>
      <c r="H23" s="138" t="s">
        <v>1212</v>
      </c>
      <c r="I23" s="9" t="str">
        <f>_xlfn.XLOOKUP(H23,Tab_Def_Processes[Process_Name],Tab_Def_Processes[Process_ID],,0,)</f>
        <v>07</v>
      </c>
      <c r="J23" s="138" t="s">
        <v>5</v>
      </c>
      <c r="K23" s="138" t="s">
        <v>5</v>
      </c>
      <c r="L23" s="138" t="s">
        <v>5</v>
      </c>
      <c r="M23" s="138" t="s">
        <v>5</v>
      </c>
      <c r="N23" s="138" t="s">
        <v>6</v>
      </c>
      <c r="O23" s="138" t="s">
        <v>6</v>
      </c>
      <c r="P23" s="6" t="str">
        <f>Tab_Def_Flows[[#This Row],[Flow_ID]]&amp;"_E1"</f>
        <v>F_12_07_E1</v>
      </c>
      <c r="R23" s="13"/>
      <c r="S23" s="6" t="str">
        <f>Tab_Def_Flows[[#This Row],[Flow_ID]]&amp;"_E2"</f>
        <v>F_12_07_E2</v>
      </c>
      <c r="T23" s="135"/>
      <c r="U23" s="13"/>
      <c r="V23" s="6" t="str">
        <f>Tab_Def_Flows[[#This Row],[Flow_ID]]&amp;"_E3"</f>
        <v>F_12_07_E3</v>
      </c>
      <c r="W23" s="135"/>
      <c r="X23" s="13"/>
      <c r="Y23" s="6" t="str">
        <f>Tab_Def_Flows[[#This Row],[Flow_ID]]&amp;"_E4"</f>
        <v>F_12_07_E4</v>
      </c>
      <c r="Z23" s="135"/>
      <c r="AA23" s="13"/>
      <c r="AB23" s="6" t="str">
        <f>Tab_Def_Flows[[#This Row],[Flow_ID]]&amp;"_E5"</f>
        <v>F_12_07_E5</v>
      </c>
      <c r="AC23" s="140"/>
      <c r="AD23" s="13"/>
      <c r="AE23" s="6" t="str">
        <f>Tab_Def_Flows[[#This Row],[Flow_ID]]&amp;"_E6"</f>
        <v>F_12_07_E6</v>
      </c>
      <c r="AF23" s="140"/>
      <c r="AG23" s="13"/>
      <c r="AH23" s="194" t="b">
        <f>'0_Configuration'!$C$2</f>
        <v>1</v>
      </c>
      <c r="AI23" s="6"/>
      <c r="AJ23" s="194" t="b">
        <f>'0_Configuration'!$C$6</f>
        <v>0</v>
      </c>
      <c r="AK23" s="6" t="s">
        <v>1122</v>
      </c>
      <c r="AL23" s="194" t="b">
        <f>'0_Configuration'!$C$10</f>
        <v>0</v>
      </c>
      <c r="AM23" s="6" t="s">
        <v>1122</v>
      </c>
      <c r="AN23" s="194" t="b">
        <f>'0_Configuration'!$C$17</f>
        <v>0</v>
      </c>
      <c r="AO23" s="6">
        <f>_xlfn.XLOOKUP(Tab_Def_Flows[[#This Row],[ODYM_Good_Type]],Tab_Configuration[Value],Tab_Configuration[ODYM_ID],,0,)</f>
        <v>0</v>
      </c>
      <c r="AP23" s="194" t="b">
        <f>'0_Configuration'!$C$24</f>
        <v>0</v>
      </c>
      <c r="AQ23" s="6"/>
      <c r="AR23" s="194" t="b">
        <f>'0_Configuration'!$C$29</f>
        <v>1</v>
      </c>
      <c r="AS23" s="6" t="s">
        <v>1136</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F_07_00</v>
      </c>
      <c r="D24" s="218" t="s">
        <v>1240</v>
      </c>
      <c r="E24" s="138"/>
      <c r="F24" s="138" t="s">
        <v>1212</v>
      </c>
      <c r="G24" s="6" t="str">
        <f>_xlfn.XLOOKUP(F24,Tab_Def_Processes[Process_Name],Tab_Def_Processes[Process_ID],,0,)</f>
        <v>07</v>
      </c>
      <c r="H24" s="138" t="s">
        <v>1205</v>
      </c>
      <c r="I24" s="9" t="str">
        <f>_xlfn.XLOOKUP(H24,Tab_Def_Processes[Process_Name],Tab_Def_Processes[Process_ID],,0,)</f>
        <v>00</v>
      </c>
      <c r="J24" s="138" t="s">
        <v>5</v>
      </c>
      <c r="K24" s="138" t="s">
        <v>5</v>
      </c>
      <c r="L24" s="138" t="s">
        <v>5</v>
      </c>
      <c r="M24" s="138" t="s">
        <v>5</v>
      </c>
      <c r="N24" s="138" t="s">
        <v>6</v>
      </c>
      <c r="O24" s="138" t="s">
        <v>6</v>
      </c>
      <c r="P24" s="6" t="str">
        <f>Tab_Def_Flows[[#This Row],[Flow_ID]]&amp;"_E1"</f>
        <v>F_07_00_E1</v>
      </c>
      <c r="R24" s="13"/>
      <c r="S24" s="6" t="str">
        <f>Tab_Def_Flows[[#This Row],[Flow_ID]]&amp;"_E2"</f>
        <v>F_07_00_E2</v>
      </c>
      <c r="T24" s="135"/>
      <c r="U24" s="13"/>
      <c r="V24" s="6" t="str">
        <f>Tab_Def_Flows[[#This Row],[Flow_ID]]&amp;"_E3"</f>
        <v>F_07_00_E3</v>
      </c>
      <c r="W24" s="135"/>
      <c r="X24" s="13"/>
      <c r="Y24" s="6" t="str">
        <f>Tab_Def_Flows[[#This Row],[Flow_ID]]&amp;"_E4"</f>
        <v>F_07_00_E4</v>
      </c>
      <c r="Z24" s="135"/>
      <c r="AA24" s="13"/>
      <c r="AB24" s="6" t="str">
        <f>Tab_Def_Flows[[#This Row],[Flow_ID]]&amp;"_E5"</f>
        <v>F_07_00_E5</v>
      </c>
      <c r="AC24" s="140"/>
      <c r="AD24" s="13"/>
      <c r="AE24" s="6" t="str">
        <f>Tab_Def_Flows[[#This Row],[Flow_ID]]&amp;"_E6"</f>
        <v>F_07_00_E6</v>
      </c>
      <c r="AF24" s="140"/>
      <c r="AG24" s="13"/>
      <c r="AH24" s="194" t="b">
        <f>'0_Configuration'!$C$2</f>
        <v>1</v>
      </c>
      <c r="AI24" s="6"/>
      <c r="AJ24" s="194" t="b">
        <f>'0_Configuration'!$C$6</f>
        <v>0</v>
      </c>
      <c r="AK24" s="6" t="s">
        <v>1122</v>
      </c>
      <c r="AL24" s="194" t="b">
        <f>'0_Configuration'!$C$10</f>
        <v>0</v>
      </c>
      <c r="AM24" s="6" t="s">
        <v>1122</v>
      </c>
      <c r="AN24" s="194" t="b">
        <f>'0_Configuration'!$C$17</f>
        <v>0</v>
      </c>
      <c r="AO24" s="6">
        <f>_xlfn.XLOOKUP(Tab_Def_Flows[[#This Row],[ODYM_Good_Type]],Tab_Configuration[Value],Tab_Configuration[ODYM_ID],,0,)</f>
        <v>0</v>
      </c>
      <c r="AP24" s="194" t="b">
        <f>'0_Configuration'!$C$24</f>
        <v>0</v>
      </c>
      <c r="AQ24" s="6"/>
      <c r="AR24" s="194" t="b">
        <f>'0_Configuration'!$C$29</f>
        <v>1</v>
      </c>
      <c r="AS24" s="6" t="s">
        <v>1136</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F_07_01</v>
      </c>
      <c r="D25" s="218" t="s">
        <v>1241</v>
      </c>
      <c r="E25" s="138"/>
      <c r="F25" s="138" t="s">
        <v>1212</v>
      </c>
      <c r="G25" s="6" t="str">
        <f>_xlfn.XLOOKUP(F25,Tab_Def_Processes[Process_Name],Tab_Def_Processes[Process_ID],,0,)</f>
        <v>07</v>
      </c>
      <c r="H25" s="138" t="s">
        <v>1206</v>
      </c>
      <c r="I25" s="9" t="str">
        <f>_xlfn.XLOOKUP(H25,Tab_Def_Processes[Process_Name],Tab_Def_Processes[Process_ID],,0,)</f>
        <v>01</v>
      </c>
      <c r="J25" s="138" t="s">
        <v>5</v>
      </c>
      <c r="K25" s="138" t="s">
        <v>5</v>
      </c>
      <c r="L25" s="138" t="s">
        <v>5</v>
      </c>
      <c r="M25" s="138" t="s">
        <v>5</v>
      </c>
      <c r="N25" s="138" t="s">
        <v>6</v>
      </c>
      <c r="O25" s="138" t="s">
        <v>6</v>
      </c>
      <c r="P25" s="6" t="str">
        <f>Tab_Def_Flows[[#This Row],[Flow_ID]]&amp;"_E1"</f>
        <v>F_07_01_E1</v>
      </c>
      <c r="R25" s="13"/>
      <c r="S25" s="6" t="str">
        <f>Tab_Def_Flows[[#This Row],[Flow_ID]]&amp;"_E2"</f>
        <v>F_07_01_E2</v>
      </c>
      <c r="T25" s="135"/>
      <c r="U25" s="13"/>
      <c r="V25" s="6" t="str">
        <f>Tab_Def_Flows[[#This Row],[Flow_ID]]&amp;"_E3"</f>
        <v>F_07_01_E3</v>
      </c>
      <c r="W25" s="135"/>
      <c r="X25" s="13"/>
      <c r="Y25" s="6" t="str">
        <f>Tab_Def_Flows[[#This Row],[Flow_ID]]&amp;"_E4"</f>
        <v>F_07_01_E4</v>
      </c>
      <c r="Z25" s="135"/>
      <c r="AA25" s="13"/>
      <c r="AB25" s="6" t="str">
        <f>Tab_Def_Flows[[#This Row],[Flow_ID]]&amp;"_E5"</f>
        <v>F_07_01_E5</v>
      </c>
      <c r="AC25" s="140"/>
      <c r="AD25" s="13"/>
      <c r="AE25" s="6" t="str">
        <f>Tab_Def_Flows[[#This Row],[Flow_ID]]&amp;"_E6"</f>
        <v>F_07_01_E6</v>
      </c>
      <c r="AF25" s="140"/>
      <c r="AG25" s="13"/>
      <c r="AH25" s="194" t="b">
        <f>'0_Configuration'!$C$2</f>
        <v>1</v>
      </c>
      <c r="AI25" s="6"/>
      <c r="AJ25" s="194" t="b">
        <f>'0_Configuration'!$C$6</f>
        <v>0</v>
      </c>
      <c r="AK25" s="6" t="s">
        <v>1122</v>
      </c>
      <c r="AL25" s="194" t="b">
        <f>'0_Configuration'!$C$10</f>
        <v>0</v>
      </c>
      <c r="AM25" s="6" t="s">
        <v>1122</v>
      </c>
      <c r="AN25" s="194" t="b">
        <f>'0_Configuration'!$C$17</f>
        <v>0</v>
      </c>
      <c r="AO25" s="6">
        <f>_xlfn.XLOOKUP(Tab_Def_Flows[[#This Row],[ODYM_Good_Type]],Tab_Configuration[Value],Tab_Configuration[ODYM_ID],,0,)</f>
        <v>0</v>
      </c>
      <c r="AP25" s="194" t="b">
        <f>'0_Configuration'!$C$24</f>
        <v>0</v>
      </c>
      <c r="AQ25" s="6"/>
      <c r="AR25" s="194" t="b">
        <f>'0_Configuration'!$C$29</f>
        <v>1</v>
      </c>
      <c r="AS25" s="6" t="s">
        <v>1136</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F_13_13</v>
      </c>
      <c r="D26" s="7"/>
      <c r="E26" s="138"/>
      <c r="F26" s="138"/>
      <c r="G26" s="6" t="str">
        <f>_xlfn.XLOOKUP(F26,Tab_Def_Processes[Process_Name],Tab_Def_Processes[Process_ID],,0,)</f>
        <v>13</v>
      </c>
      <c r="H26" s="138"/>
      <c r="I26" s="9" t="str">
        <f>_xlfn.XLOOKUP(H26,Tab_Def_Processes[Process_Name],Tab_Def_Processes[Process_ID],,0,)</f>
        <v>13</v>
      </c>
      <c r="J26" s="138" t="s">
        <v>5</v>
      </c>
      <c r="K26" s="138" t="s">
        <v>5</v>
      </c>
      <c r="L26" s="138" t="s">
        <v>5</v>
      </c>
      <c r="M26" s="138" t="s">
        <v>5</v>
      </c>
      <c r="N26" s="138" t="s">
        <v>6</v>
      </c>
      <c r="O26" s="138" t="s">
        <v>6</v>
      </c>
      <c r="P26" s="6" t="str">
        <f>Tab_Def_Flows[[#This Row],[Flow_ID]]&amp;"_E1"</f>
        <v>F_13_13_E1</v>
      </c>
      <c r="R26" s="13"/>
      <c r="S26" s="6" t="str">
        <f>Tab_Def_Flows[[#This Row],[Flow_ID]]&amp;"_E2"</f>
        <v>F_13_13_E2</v>
      </c>
      <c r="T26" s="135"/>
      <c r="U26" s="13"/>
      <c r="V26" s="6" t="str">
        <f>Tab_Def_Flows[[#This Row],[Flow_ID]]&amp;"_E3"</f>
        <v>F_13_13_E3</v>
      </c>
      <c r="W26" s="135"/>
      <c r="X26" s="13"/>
      <c r="Y26" s="6" t="str">
        <f>Tab_Def_Flows[[#This Row],[Flow_ID]]&amp;"_E4"</f>
        <v>F_13_13_E4</v>
      </c>
      <c r="Z26" s="135"/>
      <c r="AA26" s="13"/>
      <c r="AB26" s="6" t="str">
        <f>Tab_Def_Flows[[#This Row],[Flow_ID]]&amp;"_E5"</f>
        <v>F_13_13_E5</v>
      </c>
      <c r="AC26" s="140"/>
      <c r="AD26" s="13"/>
      <c r="AE26" s="6" t="str">
        <f>Tab_Def_Flows[[#This Row],[Flow_ID]]&amp;"_E6"</f>
        <v>F_13_13_E6</v>
      </c>
      <c r="AF26" s="140"/>
      <c r="AG26" s="13"/>
      <c r="AH26" s="194" t="b">
        <f>'0_Configuration'!$C$2</f>
        <v>1</v>
      </c>
      <c r="AI26" s="6"/>
      <c r="AJ26" s="194" t="b">
        <f>'0_Configuration'!$C$6</f>
        <v>0</v>
      </c>
      <c r="AK26" s="6" t="s">
        <v>1122</v>
      </c>
      <c r="AL26" s="194" t="b">
        <f>'0_Configuration'!$C$10</f>
        <v>0</v>
      </c>
      <c r="AM26" s="6" t="s">
        <v>1122</v>
      </c>
      <c r="AN26" s="194" t="b">
        <f>'0_Configuration'!$C$17</f>
        <v>0</v>
      </c>
      <c r="AO26" s="6">
        <f>_xlfn.XLOOKUP(Tab_Def_Flows[[#This Row],[ODYM_Good_Type]],Tab_Configuration[Value],Tab_Configuration[ODYM_ID],,0,)</f>
        <v>0</v>
      </c>
      <c r="AP26" s="194" t="b">
        <f>'0_Configuration'!$C$24</f>
        <v>0</v>
      </c>
      <c r="AQ26" s="6"/>
      <c r="AR26" s="194" t="b">
        <f>'0_Configuration'!$C$29</f>
        <v>1</v>
      </c>
      <c r="AS26" s="6" t="s">
        <v>1136</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F_13_13</v>
      </c>
      <c r="D27" s="7"/>
      <c r="E27" s="138"/>
      <c r="F27" s="138"/>
      <c r="G27" s="6" t="str">
        <f>_xlfn.XLOOKUP(F27,Tab_Def_Processes[Process_Name],Tab_Def_Processes[Process_ID],,0,)</f>
        <v>13</v>
      </c>
      <c r="H27" s="138"/>
      <c r="I27" s="9" t="str">
        <f>_xlfn.XLOOKUP(H27,Tab_Def_Processes[Process_Name],Tab_Def_Processes[Process_ID],,0,)</f>
        <v>13</v>
      </c>
      <c r="J27" s="138" t="s">
        <v>5</v>
      </c>
      <c r="K27" s="138" t="s">
        <v>5</v>
      </c>
      <c r="L27" s="138" t="s">
        <v>5</v>
      </c>
      <c r="M27" s="138" t="s">
        <v>5</v>
      </c>
      <c r="N27" s="138" t="s">
        <v>6</v>
      </c>
      <c r="O27" s="138" t="s">
        <v>6</v>
      </c>
      <c r="P27" s="6" t="str">
        <f>Tab_Def_Flows[[#This Row],[Flow_ID]]&amp;"_E1"</f>
        <v>F_13_13_E1</v>
      </c>
      <c r="R27" s="13"/>
      <c r="S27" s="6" t="str">
        <f>Tab_Def_Flows[[#This Row],[Flow_ID]]&amp;"_E2"</f>
        <v>F_13_13_E2</v>
      </c>
      <c r="T27" s="135"/>
      <c r="U27" s="13"/>
      <c r="V27" s="6" t="str">
        <f>Tab_Def_Flows[[#This Row],[Flow_ID]]&amp;"_E3"</f>
        <v>F_13_13_E3</v>
      </c>
      <c r="W27" s="135"/>
      <c r="X27" s="13"/>
      <c r="Y27" s="6" t="str">
        <f>Tab_Def_Flows[[#This Row],[Flow_ID]]&amp;"_E4"</f>
        <v>F_13_13_E4</v>
      </c>
      <c r="Z27" s="135"/>
      <c r="AA27" s="13"/>
      <c r="AB27" s="6" t="str">
        <f>Tab_Def_Flows[[#This Row],[Flow_ID]]&amp;"_E5"</f>
        <v>F_13_13_E5</v>
      </c>
      <c r="AC27" s="140"/>
      <c r="AD27" s="13"/>
      <c r="AE27" s="6" t="str">
        <f>Tab_Def_Flows[[#This Row],[Flow_ID]]&amp;"_E6"</f>
        <v>F_13_13_E6</v>
      </c>
      <c r="AF27" s="140"/>
      <c r="AG27" s="13"/>
      <c r="AH27" s="194" t="b">
        <f>'0_Configuration'!$C$2</f>
        <v>1</v>
      </c>
      <c r="AI27" s="6"/>
      <c r="AJ27" s="194" t="b">
        <f>'0_Configuration'!$C$6</f>
        <v>0</v>
      </c>
      <c r="AK27" s="6" t="s">
        <v>1122</v>
      </c>
      <c r="AL27" s="194" t="b">
        <f>'0_Configuration'!$C$10</f>
        <v>0</v>
      </c>
      <c r="AM27" s="6" t="s">
        <v>1122</v>
      </c>
      <c r="AN27" s="194" t="b">
        <f>'0_Configuration'!$C$17</f>
        <v>0</v>
      </c>
      <c r="AO27" s="6">
        <f>_xlfn.XLOOKUP(Tab_Def_Flows[[#This Row],[ODYM_Good_Type]],Tab_Configuration[Value],Tab_Configuration[ODYM_ID],,0,)</f>
        <v>0</v>
      </c>
      <c r="AP27" s="194" t="b">
        <f>'0_Configuration'!$C$24</f>
        <v>0</v>
      </c>
      <c r="AQ27" s="6"/>
      <c r="AR27" s="194" t="b">
        <f>'0_Configuration'!$C$29</f>
        <v>1</v>
      </c>
      <c r="AS27" s="6" t="s">
        <v>1136</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F_13_13</v>
      </c>
      <c r="D28" s="7"/>
      <c r="E28" s="138"/>
      <c r="F28" s="138"/>
      <c r="G28" s="6" t="str">
        <f>_xlfn.XLOOKUP(F28,Tab_Def_Processes[Process_Name],Tab_Def_Processes[Process_ID],,0,)</f>
        <v>13</v>
      </c>
      <c r="H28" s="138"/>
      <c r="I28" s="9" t="str">
        <f>_xlfn.XLOOKUP(H28,Tab_Def_Processes[Process_Name],Tab_Def_Processes[Process_ID],,0,)</f>
        <v>13</v>
      </c>
      <c r="J28" s="138" t="s">
        <v>5</v>
      </c>
      <c r="K28" s="138" t="s">
        <v>5</v>
      </c>
      <c r="L28" s="138" t="s">
        <v>5</v>
      </c>
      <c r="M28" s="138" t="s">
        <v>5</v>
      </c>
      <c r="N28" s="138" t="s">
        <v>6</v>
      </c>
      <c r="O28" s="138" t="s">
        <v>6</v>
      </c>
      <c r="P28" s="6" t="str">
        <f>Tab_Def_Flows[[#This Row],[Flow_ID]]&amp;"_E1"</f>
        <v>F_13_13_E1</v>
      </c>
      <c r="R28" s="13"/>
      <c r="S28" s="6" t="str">
        <f>Tab_Def_Flows[[#This Row],[Flow_ID]]&amp;"_E2"</f>
        <v>F_13_13_E2</v>
      </c>
      <c r="T28" s="135"/>
      <c r="U28" s="13"/>
      <c r="V28" s="6" t="str">
        <f>Tab_Def_Flows[[#This Row],[Flow_ID]]&amp;"_E3"</f>
        <v>F_13_13_E3</v>
      </c>
      <c r="W28" s="135"/>
      <c r="X28" s="13"/>
      <c r="Y28" s="6" t="str">
        <f>Tab_Def_Flows[[#This Row],[Flow_ID]]&amp;"_E4"</f>
        <v>F_13_13_E4</v>
      </c>
      <c r="Z28" s="135"/>
      <c r="AA28" s="13"/>
      <c r="AB28" s="6" t="str">
        <f>Tab_Def_Flows[[#This Row],[Flow_ID]]&amp;"_E5"</f>
        <v>F_13_13_E5</v>
      </c>
      <c r="AC28" s="140"/>
      <c r="AD28" s="13"/>
      <c r="AE28" s="6" t="str">
        <f>Tab_Def_Flows[[#This Row],[Flow_ID]]&amp;"_E6"</f>
        <v>F_13_13_E6</v>
      </c>
      <c r="AF28" s="140"/>
      <c r="AG28" s="13"/>
      <c r="AH28" s="194" t="b">
        <f>'0_Configuration'!$C$2</f>
        <v>1</v>
      </c>
      <c r="AI28" s="6"/>
      <c r="AJ28" s="194" t="b">
        <f>'0_Configuration'!$C$6</f>
        <v>0</v>
      </c>
      <c r="AK28" s="6" t="s">
        <v>1122</v>
      </c>
      <c r="AL28" s="194" t="b">
        <f>'0_Configuration'!$C$10</f>
        <v>0</v>
      </c>
      <c r="AM28" s="6" t="s">
        <v>1122</v>
      </c>
      <c r="AN28" s="194" t="b">
        <f>'0_Configuration'!$C$17</f>
        <v>0</v>
      </c>
      <c r="AO28" s="6">
        <f>_xlfn.XLOOKUP(Tab_Def_Flows[[#This Row],[ODYM_Good_Type]],Tab_Configuration[Value],Tab_Configuration[ODYM_ID],,0,)</f>
        <v>0</v>
      </c>
      <c r="AP28" s="194" t="b">
        <f>'0_Configuration'!$C$24</f>
        <v>0</v>
      </c>
      <c r="AQ28" s="6"/>
      <c r="AR28" s="194" t="b">
        <f>'0_Configuration'!$C$29</f>
        <v>1</v>
      </c>
      <c r="AS28" s="6" t="s">
        <v>1136</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F_13_13</v>
      </c>
      <c r="D29" s="7"/>
      <c r="E29" s="138"/>
      <c r="F29" s="138"/>
      <c r="G29" s="6" t="str">
        <f>_xlfn.XLOOKUP(F29,Tab_Def_Processes[Process_Name],Tab_Def_Processes[Process_ID],,0,)</f>
        <v>13</v>
      </c>
      <c r="H29" s="138"/>
      <c r="I29" s="9" t="str">
        <f>_xlfn.XLOOKUP(H29,Tab_Def_Processes[Process_Name],Tab_Def_Processes[Process_ID],,0,)</f>
        <v>13</v>
      </c>
      <c r="J29" s="138" t="s">
        <v>5</v>
      </c>
      <c r="K29" s="138" t="s">
        <v>5</v>
      </c>
      <c r="L29" s="138" t="s">
        <v>5</v>
      </c>
      <c r="M29" s="138" t="s">
        <v>5</v>
      </c>
      <c r="N29" s="138" t="s">
        <v>6</v>
      </c>
      <c r="O29" s="138" t="s">
        <v>6</v>
      </c>
      <c r="P29" s="6" t="str">
        <f>Tab_Def_Flows[[#This Row],[Flow_ID]]&amp;"_E1"</f>
        <v>F_13_13_E1</v>
      </c>
      <c r="R29" s="13"/>
      <c r="S29" s="6" t="str">
        <f>Tab_Def_Flows[[#This Row],[Flow_ID]]&amp;"_E2"</f>
        <v>F_13_13_E2</v>
      </c>
      <c r="T29" s="135"/>
      <c r="U29" s="13"/>
      <c r="V29" s="6" t="str">
        <f>Tab_Def_Flows[[#This Row],[Flow_ID]]&amp;"_E3"</f>
        <v>F_13_13_E3</v>
      </c>
      <c r="W29" s="135"/>
      <c r="X29" s="13"/>
      <c r="Y29" s="6" t="str">
        <f>Tab_Def_Flows[[#This Row],[Flow_ID]]&amp;"_E4"</f>
        <v>F_13_13_E4</v>
      </c>
      <c r="Z29" s="135"/>
      <c r="AA29" s="13"/>
      <c r="AB29" s="6" t="str">
        <f>Tab_Def_Flows[[#This Row],[Flow_ID]]&amp;"_E5"</f>
        <v>F_13_13_E5</v>
      </c>
      <c r="AC29" s="140"/>
      <c r="AD29" s="13"/>
      <c r="AE29" s="6" t="str">
        <f>Tab_Def_Flows[[#This Row],[Flow_ID]]&amp;"_E6"</f>
        <v>F_13_13_E6</v>
      </c>
      <c r="AF29" s="140"/>
      <c r="AG29" s="13"/>
      <c r="AH29" s="194" t="b">
        <f>'0_Configuration'!$C$2</f>
        <v>1</v>
      </c>
      <c r="AI29" s="6"/>
      <c r="AJ29" s="194" t="b">
        <f>'0_Configuration'!$C$6</f>
        <v>0</v>
      </c>
      <c r="AK29" s="6" t="s">
        <v>1122</v>
      </c>
      <c r="AL29" s="194" t="b">
        <f>'0_Configuration'!$C$10</f>
        <v>0</v>
      </c>
      <c r="AM29" s="6" t="s">
        <v>1122</v>
      </c>
      <c r="AN29" s="194" t="b">
        <f>'0_Configuration'!$C$17</f>
        <v>0</v>
      </c>
      <c r="AO29" s="6">
        <f>_xlfn.XLOOKUP(Tab_Def_Flows[[#This Row],[ODYM_Good_Type]],Tab_Configuration[Value],Tab_Configuration[ODYM_ID],,0,)</f>
        <v>0</v>
      </c>
      <c r="AP29" s="194" t="b">
        <f>'0_Configuration'!$C$24</f>
        <v>0</v>
      </c>
      <c r="AQ29" s="6"/>
      <c r="AR29" s="194" t="b">
        <f>'0_Configuration'!$C$29</f>
        <v>1</v>
      </c>
      <c r="AS29" s="6" t="s">
        <v>1136</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F_13_13</v>
      </c>
      <c r="D30" s="7"/>
      <c r="E30" s="138"/>
      <c r="F30" s="138"/>
      <c r="G30" s="6" t="str">
        <f>_xlfn.XLOOKUP(F30,Tab_Def_Processes[Process_Name],Tab_Def_Processes[Process_ID],,0,)</f>
        <v>13</v>
      </c>
      <c r="H30" s="138"/>
      <c r="I30" s="9" t="str">
        <f>_xlfn.XLOOKUP(H30,Tab_Def_Processes[Process_Name],Tab_Def_Processes[Process_ID],,0,)</f>
        <v>13</v>
      </c>
      <c r="J30" s="138" t="s">
        <v>5</v>
      </c>
      <c r="K30" s="138" t="s">
        <v>5</v>
      </c>
      <c r="L30" s="138" t="s">
        <v>5</v>
      </c>
      <c r="M30" s="138" t="s">
        <v>5</v>
      </c>
      <c r="N30" s="138" t="s">
        <v>6</v>
      </c>
      <c r="O30" s="138" t="s">
        <v>6</v>
      </c>
      <c r="P30" s="6" t="str">
        <f>Tab_Def_Flows[[#This Row],[Flow_ID]]&amp;"_E1"</f>
        <v>F_13_13_E1</v>
      </c>
      <c r="R30" s="13"/>
      <c r="S30" s="6" t="str">
        <f>Tab_Def_Flows[[#This Row],[Flow_ID]]&amp;"_E2"</f>
        <v>F_13_13_E2</v>
      </c>
      <c r="T30" s="135"/>
      <c r="U30" s="13"/>
      <c r="V30" s="6" t="str">
        <f>Tab_Def_Flows[[#This Row],[Flow_ID]]&amp;"_E3"</f>
        <v>F_13_13_E3</v>
      </c>
      <c r="W30" s="135"/>
      <c r="X30" s="13"/>
      <c r="Y30" s="6" t="str">
        <f>Tab_Def_Flows[[#This Row],[Flow_ID]]&amp;"_E4"</f>
        <v>F_13_13_E4</v>
      </c>
      <c r="Z30" s="135"/>
      <c r="AA30" s="13"/>
      <c r="AB30" s="6" t="str">
        <f>Tab_Def_Flows[[#This Row],[Flow_ID]]&amp;"_E5"</f>
        <v>F_13_13_E5</v>
      </c>
      <c r="AC30" s="140"/>
      <c r="AD30" s="13"/>
      <c r="AE30" s="6" t="str">
        <f>Tab_Def_Flows[[#This Row],[Flow_ID]]&amp;"_E6"</f>
        <v>F_13_13_E6</v>
      </c>
      <c r="AF30" s="140"/>
      <c r="AG30" s="13"/>
      <c r="AH30" s="194" t="b">
        <f>'0_Configuration'!$C$2</f>
        <v>1</v>
      </c>
      <c r="AI30" s="6"/>
      <c r="AJ30" s="194" t="b">
        <f>'0_Configuration'!$C$6</f>
        <v>0</v>
      </c>
      <c r="AK30" s="6" t="s">
        <v>1122</v>
      </c>
      <c r="AL30" s="194" t="b">
        <f>'0_Configuration'!$C$10</f>
        <v>0</v>
      </c>
      <c r="AM30" s="6" t="s">
        <v>1122</v>
      </c>
      <c r="AN30" s="194" t="b">
        <f>'0_Configuration'!$C$17</f>
        <v>0</v>
      </c>
      <c r="AO30" s="6">
        <f>_xlfn.XLOOKUP(Tab_Def_Flows[[#This Row],[ODYM_Good_Type]],Tab_Configuration[Value],Tab_Configuration[ODYM_ID],,0,)</f>
        <v>0</v>
      </c>
      <c r="AP30" s="194" t="b">
        <f>'0_Configuration'!$C$24</f>
        <v>0</v>
      </c>
      <c r="AQ30" s="6"/>
      <c r="AR30" s="194" t="b">
        <f>'0_Configuration'!$C$29</f>
        <v>1</v>
      </c>
      <c r="AS30" s="6" t="s">
        <v>1136</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F_13_13</v>
      </c>
      <c r="D31" s="7"/>
      <c r="E31" s="138"/>
      <c r="F31" s="138"/>
      <c r="G31" s="6" t="str">
        <f>_xlfn.XLOOKUP(F31,Tab_Def_Processes[Process_Name],Tab_Def_Processes[Process_ID],,0,)</f>
        <v>13</v>
      </c>
      <c r="H31" s="138"/>
      <c r="I31" s="9" t="str">
        <f>_xlfn.XLOOKUP(H31,Tab_Def_Processes[Process_Name],Tab_Def_Processes[Process_ID],,0,)</f>
        <v>13</v>
      </c>
      <c r="J31" s="138" t="s">
        <v>5</v>
      </c>
      <c r="K31" s="138" t="s">
        <v>5</v>
      </c>
      <c r="L31" s="138" t="s">
        <v>5</v>
      </c>
      <c r="M31" s="138" t="s">
        <v>5</v>
      </c>
      <c r="N31" s="138" t="s">
        <v>6</v>
      </c>
      <c r="O31" s="138" t="s">
        <v>6</v>
      </c>
      <c r="P31" s="6" t="str">
        <f>Tab_Def_Flows[[#This Row],[Flow_ID]]&amp;"_E1"</f>
        <v>F_13_13_E1</v>
      </c>
      <c r="R31" s="13"/>
      <c r="S31" s="6" t="str">
        <f>Tab_Def_Flows[[#This Row],[Flow_ID]]&amp;"_E2"</f>
        <v>F_13_13_E2</v>
      </c>
      <c r="T31" s="135"/>
      <c r="U31" s="13"/>
      <c r="V31" s="6" t="str">
        <f>Tab_Def_Flows[[#This Row],[Flow_ID]]&amp;"_E3"</f>
        <v>F_13_13_E3</v>
      </c>
      <c r="W31" s="135"/>
      <c r="X31" s="13"/>
      <c r="Y31" s="6" t="str">
        <f>Tab_Def_Flows[[#This Row],[Flow_ID]]&amp;"_E4"</f>
        <v>F_13_13_E4</v>
      </c>
      <c r="Z31" s="135"/>
      <c r="AA31" s="13"/>
      <c r="AB31" s="6" t="str">
        <f>Tab_Def_Flows[[#This Row],[Flow_ID]]&amp;"_E5"</f>
        <v>F_13_13_E5</v>
      </c>
      <c r="AC31" s="140"/>
      <c r="AD31" s="13"/>
      <c r="AE31" s="6" t="str">
        <f>Tab_Def_Flows[[#This Row],[Flow_ID]]&amp;"_E6"</f>
        <v>F_13_13_E6</v>
      </c>
      <c r="AF31" s="140"/>
      <c r="AG31" s="13"/>
      <c r="AH31" s="194" t="b">
        <f>'0_Configuration'!$C$2</f>
        <v>1</v>
      </c>
      <c r="AI31" s="6"/>
      <c r="AJ31" s="194" t="b">
        <f>'0_Configuration'!$C$6</f>
        <v>0</v>
      </c>
      <c r="AK31" s="6" t="s">
        <v>1122</v>
      </c>
      <c r="AL31" s="194" t="b">
        <f>'0_Configuration'!$C$10</f>
        <v>0</v>
      </c>
      <c r="AM31" s="6" t="s">
        <v>1122</v>
      </c>
      <c r="AN31" s="194" t="b">
        <f>'0_Configuration'!$C$17</f>
        <v>0</v>
      </c>
      <c r="AO31" s="6">
        <f>_xlfn.XLOOKUP(Tab_Def_Flows[[#This Row],[ODYM_Good_Type]],Tab_Configuration[Value],Tab_Configuration[ODYM_ID],,0,)</f>
        <v>0</v>
      </c>
      <c r="AP31" s="194" t="b">
        <f>'0_Configuration'!$C$24</f>
        <v>0</v>
      </c>
      <c r="AQ31" s="6"/>
      <c r="AR31" s="194" t="b">
        <f>'0_Configuration'!$C$29</f>
        <v>1</v>
      </c>
      <c r="AS31" s="6" t="s">
        <v>1136</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F_13_13</v>
      </c>
      <c r="D32" s="7"/>
      <c r="E32" s="138"/>
      <c r="F32" s="138"/>
      <c r="G32" s="6" t="str">
        <f>_xlfn.XLOOKUP(F32,Tab_Def_Processes[Process_Name],Tab_Def_Processes[Process_ID],,0,)</f>
        <v>13</v>
      </c>
      <c r="H32" s="138"/>
      <c r="I32" s="9" t="str">
        <f>_xlfn.XLOOKUP(H32,Tab_Def_Processes[Process_Name],Tab_Def_Processes[Process_ID],,0,)</f>
        <v>13</v>
      </c>
      <c r="J32" s="138" t="s">
        <v>5</v>
      </c>
      <c r="K32" s="138" t="s">
        <v>5</v>
      </c>
      <c r="L32" s="138" t="s">
        <v>5</v>
      </c>
      <c r="M32" s="138" t="s">
        <v>5</v>
      </c>
      <c r="N32" s="138" t="s">
        <v>6</v>
      </c>
      <c r="O32" s="138" t="s">
        <v>6</v>
      </c>
      <c r="P32" s="6" t="str">
        <f>Tab_Def_Flows[[#This Row],[Flow_ID]]&amp;"_E1"</f>
        <v>F_13_13_E1</v>
      </c>
      <c r="R32" s="13"/>
      <c r="S32" s="6" t="str">
        <f>Tab_Def_Flows[[#This Row],[Flow_ID]]&amp;"_E2"</f>
        <v>F_13_13_E2</v>
      </c>
      <c r="T32" s="135"/>
      <c r="U32" s="13"/>
      <c r="V32" s="6" t="str">
        <f>Tab_Def_Flows[[#This Row],[Flow_ID]]&amp;"_E3"</f>
        <v>F_13_13_E3</v>
      </c>
      <c r="W32" s="135"/>
      <c r="X32" s="13"/>
      <c r="Y32" s="6" t="str">
        <f>Tab_Def_Flows[[#This Row],[Flow_ID]]&amp;"_E4"</f>
        <v>F_13_13_E4</v>
      </c>
      <c r="Z32" s="135"/>
      <c r="AA32" s="13"/>
      <c r="AB32" s="6" t="str">
        <f>Tab_Def_Flows[[#This Row],[Flow_ID]]&amp;"_E5"</f>
        <v>F_13_13_E5</v>
      </c>
      <c r="AC32" s="140"/>
      <c r="AD32" s="13"/>
      <c r="AE32" s="6" t="str">
        <f>Tab_Def_Flows[[#This Row],[Flow_ID]]&amp;"_E6"</f>
        <v>F_13_13_E6</v>
      </c>
      <c r="AF32" s="140"/>
      <c r="AG32" s="13"/>
      <c r="AH32" s="194" t="b">
        <f>'0_Configuration'!$C$2</f>
        <v>1</v>
      </c>
      <c r="AI32" s="6"/>
      <c r="AJ32" s="194" t="b">
        <f>'0_Configuration'!$C$6</f>
        <v>0</v>
      </c>
      <c r="AK32" s="6" t="s">
        <v>1122</v>
      </c>
      <c r="AL32" s="194" t="b">
        <f>'0_Configuration'!$C$10</f>
        <v>0</v>
      </c>
      <c r="AM32" s="6" t="s">
        <v>1122</v>
      </c>
      <c r="AN32" s="194" t="b">
        <f>'0_Configuration'!$C$17</f>
        <v>0</v>
      </c>
      <c r="AO32" s="6">
        <f>_xlfn.XLOOKUP(Tab_Def_Flows[[#This Row],[ODYM_Good_Type]],Tab_Configuration[Value],Tab_Configuration[ODYM_ID],,0,)</f>
        <v>0</v>
      </c>
      <c r="AP32" s="194" t="b">
        <f>'0_Configuration'!$C$24</f>
        <v>0</v>
      </c>
      <c r="AQ32" s="6"/>
      <c r="AR32" s="194" t="b">
        <f>'0_Configuration'!$C$29</f>
        <v>1</v>
      </c>
      <c r="AS32" s="6" t="s">
        <v>1136</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F_13_13</v>
      </c>
      <c r="D33" s="7"/>
      <c r="E33" s="138"/>
      <c r="F33" s="138"/>
      <c r="G33" s="6" t="str">
        <f>_xlfn.XLOOKUP(F33,Tab_Def_Processes[Process_Name],Tab_Def_Processes[Process_ID],,0,)</f>
        <v>13</v>
      </c>
      <c r="H33" s="138"/>
      <c r="I33" s="9" t="str">
        <f>_xlfn.XLOOKUP(H33,Tab_Def_Processes[Process_Name],Tab_Def_Processes[Process_ID],,0,)</f>
        <v>13</v>
      </c>
      <c r="J33" s="138" t="s">
        <v>5</v>
      </c>
      <c r="K33" s="138" t="s">
        <v>5</v>
      </c>
      <c r="L33" s="138" t="s">
        <v>5</v>
      </c>
      <c r="M33" s="138" t="s">
        <v>5</v>
      </c>
      <c r="N33" s="138" t="s">
        <v>6</v>
      </c>
      <c r="O33" s="138" t="s">
        <v>6</v>
      </c>
      <c r="P33" s="6" t="str">
        <f>Tab_Def_Flows[[#This Row],[Flow_ID]]&amp;"_E1"</f>
        <v>F_13_13_E1</v>
      </c>
      <c r="R33" s="13"/>
      <c r="S33" s="6" t="str">
        <f>Tab_Def_Flows[[#This Row],[Flow_ID]]&amp;"_E2"</f>
        <v>F_13_13_E2</v>
      </c>
      <c r="T33" s="135"/>
      <c r="U33" s="13"/>
      <c r="V33" s="6" t="str">
        <f>Tab_Def_Flows[[#This Row],[Flow_ID]]&amp;"_E3"</f>
        <v>F_13_13_E3</v>
      </c>
      <c r="W33" s="135"/>
      <c r="X33" s="13"/>
      <c r="Y33" s="6" t="str">
        <f>Tab_Def_Flows[[#This Row],[Flow_ID]]&amp;"_E4"</f>
        <v>F_13_13_E4</v>
      </c>
      <c r="Z33" s="135"/>
      <c r="AA33" s="13"/>
      <c r="AB33" s="6" t="str">
        <f>Tab_Def_Flows[[#This Row],[Flow_ID]]&amp;"_E5"</f>
        <v>F_13_13_E5</v>
      </c>
      <c r="AC33" s="140"/>
      <c r="AD33" s="13"/>
      <c r="AE33" s="6" t="str">
        <f>Tab_Def_Flows[[#This Row],[Flow_ID]]&amp;"_E6"</f>
        <v>F_13_13_E6</v>
      </c>
      <c r="AF33" s="140"/>
      <c r="AG33" s="13"/>
      <c r="AH33" s="194" t="b">
        <f>'0_Configuration'!$C$2</f>
        <v>1</v>
      </c>
      <c r="AI33" s="6"/>
      <c r="AJ33" s="194" t="b">
        <f>'0_Configuration'!$C$6</f>
        <v>0</v>
      </c>
      <c r="AK33" s="6" t="s">
        <v>1122</v>
      </c>
      <c r="AL33" s="194" t="b">
        <f>'0_Configuration'!$C$10</f>
        <v>0</v>
      </c>
      <c r="AM33" s="6" t="s">
        <v>1122</v>
      </c>
      <c r="AN33" s="194" t="b">
        <f>'0_Configuration'!$C$17</f>
        <v>0</v>
      </c>
      <c r="AO33" s="6">
        <f>_xlfn.XLOOKUP(Tab_Def_Flows[[#This Row],[ODYM_Good_Type]],Tab_Configuration[Value],Tab_Configuration[ODYM_ID],,0,)</f>
        <v>0</v>
      </c>
      <c r="AP33" s="194" t="b">
        <f>'0_Configuration'!$C$24</f>
        <v>0</v>
      </c>
      <c r="AQ33" s="6"/>
      <c r="AR33" s="194" t="b">
        <f>'0_Configuration'!$C$29</f>
        <v>1</v>
      </c>
      <c r="AS33" s="6" t="s">
        <v>1136</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F_13_13</v>
      </c>
      <c r="D34" s="7"/>
      <c r="E34" s="138"/>
      <c r="F34" s="138"/>
      <c r="G34" s="6" t="str">
        <f>_xlfn.XLOOKUP(F34,Tab_Def_Processes[Process_Name],Tab_Def_Processes[Process_ID],,0,)</f>
        <v>13</v>
      </c>
      <c r="H34" s="138"/>
      <c r="I34" s="9" t="str">
        <f>_xlfn.XLOOKUP(H34,Tab_Def_Processes[Process_Name],Tab_Def_Processes[Process_ID],,0,)</f>
        <v>13</v>
      </c>
      <c r="J34" s="138" t="s">
        <v>5</v>
      </c>
      <c r="K34" s="138" t="s">
        <v>5</v>
      </c>
      <c r="L34" s="138" t="s">
        <v>5</v>
      </c>
      <c r="M34" s="138" t="s">
        <v>5</v>
      </c>
      <c r="N34" s="138" t="s">
        <v>6</v>
      </c>
      <c r="O34" s="138" t="s">
        <v>6</v>
      </c>
      <c r="P34" s="6" t="str">
        <f>Tab_Def_Flows[[#This Row],[Flow_ID]]&amp;"_E1"</f>
        <v>F_13_13_E1</v>
      </c>
      <c r="R34" s="13"/>
      <c r="S34" s="6" t="str">
        <f>Tab_Def_Flows[[#This Row],[Flow_ID]]&amp;"_E2"</f>
        <v>F_13_13_E2</v>
      </c>
      <c r="T34" s="135"/>
      <c r="U34" s="13"/>
      <c r="V34" s="6" t="str">
        <f>Tab_Def_Flows[[#This Row],[Flow_ID]]&amp;"_E3"</f>
        <v>F_13_13_E3</v>
      </c>
      <c r="W34" s="135"/>
      <c r="X34" s="13"/>
      <c r="Y34" s="6" t="str">
        <f>Tab_Def_Flows[[#This Row],[Flow_ID]]&amp;"_E4"</f>
        <v>F_13_13_E4</v>
      </c>
      <c r="Z34" s="135"/>
      <c r="AA34" s="13"/>
      <c r="AB34" s="6" t="str">
        <f>Tab_Def_Flows[[#This Row],[Flow_ID]]&amp;"_E5"</f>
        <v>F_13_13_E5</v>
      </c>
      <c r="AC34" s="140"/>
      <c r="AD34" s="13"/>
      <c r="AE34" s="6" t="str">
        <f>Tab_Def_Flows[[#This Row],[Flow_ID]]&amp;"_E6"</f>
        <v>F_13_13_E6</v>
      </c>
      <c r="AF34" s="140"/>
      <c r="AG34" s="13"/>
      <c r="AH34" s="194" t="b">
        <f>'0_Configuration'!$C$2</f>
        <v>1</v>
      </c>
      <c r="AI34" s="6"/>
      <c r="AJ34" s="194" t="b">
        <f>'0_Configuration'!$C$6</f>
        <v>0</v>
      </c>
      <c r="AK34" s="6" t="s">
        <v>1122</v>
      </c>
      <c r="AL34" s="194" t="b">
        <f>'0_Configuration'!$C$10</f>
        <v>0</v>
      </c>
      <c r="AM34" s="6" t="s">
        <v>1122</v>
      </c>
      <c r="AN34" s="194" t="b">
        <f>'0_Configuration'!$C$17</f>
        <v>0</v>
      </c>
      <c r="AO34" s="6">
        <f>_xlfn.XLOOKUP(Tab_Def_Flows[[#This Row],[ODYM_Good_Type]],Tab_Configuration[Value],Tab_Configuration[ODYM_ID],,0,)</f>
        <v>0</v>
      </c>
      <c r="AP34" s="194" t="b">
        <f>'0_Configuration'!$C$24</f>
        <v>0</v>
      </c>
      <c r="AQ34" s="6"/>
      <c r="AR34" s="194" t="b">
        <f>'0_Configuration'!$C$29</f>
        <v>1</v>
      </c>
      <c r="AS34" s="6" t="s">
        <v>1136</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F_13_13</v>
      </c>
      <c r="D35" s="7"/>
      <c r="E35" s="138"/>
      <c r="F35" s="138"/>
      <c r="G35" s="6" t="str">
        <f>_xlfn.XLOOKUP(F35,Tab_Def_Processes[Process_Name],Tab_Def_Processes[Process_ID],,0,)</f>
        <v>13</v>
      </c>
      <c r="H35" s="138"/>
      <c r="I35" s="9" t="str">
        <f>_xlfn.XLOOKUP(H35,Tab_Def_Processes[Process_Name],Tab_Def_Processes[Process_ID],,0,)</f>
        <v>13</v>
      </c>
      <c r="J35" s="138" t="s">
        <v>5</v>
      </c>
      <c r="K35" s="138" t="s">
        <v>5</v>
      </c>
      <c r="L35" s="138" t="s">
        <v>5</v>
      </c>
      <c r="M35" s="138" t="s">
        <v>5</v>
      </c>
      <c r="N35" s="138" t="s">
        <v>6</v>
      </c>
      <c r="O35" s="138" t="s">
        <v>6</v>
      </c>
      <c r="P35" s="6" t="str">
        <f>Tab_Def_Flows[[#This Row],[Flow_ID]]&amp;"_E1"</f>
        <v>F_13_13_E1</v>
      </c>
      <c r="R35" s="13"/>
      <c r="S35" s="6" t="str">
        <f>Tab_Def_Flows[[#This Row],[Flow_ID]]&amp;"_E2"</f>
        <v>F_13_13_E2</v>
      </c>
      <c r="T35" s="135"/>
      <c r="U35" s="13"/>
      <c r="V35" s="6" t="str">
        <f>Tab_Def_Flows[[#This Row],[Flow_ID]]&amp;"_E3"</f>
        <v>F_13_13_E3</v>
      </c>
      <c r="W35" s="135"/>
      <c r="X35" s="13"/>
      <c r="Y35" s="6" t="str">
        <f>Tab_Def_Flows[[#This Row],[Flow_ID]]&amp;"_E4"</f>
        <v>F_13_13_E4</v>
      </c>
      <c r="Z35" s="135"/>
      <c r="AA35" s="13"/>
      <c r="AB35" s="6" t="str">
        <f>Tab_Def_Flows[[#This Row],[Flow_ID]]&amp;"_E5"</f>
        <v>F_13_13_E5</v>
      </c>
      <c r="AC35" s="140"/>
      <c r="AD35" s="13"/>
      <c r="AE35" s="6" t="str">
        <f>Tab_Def_Flows[[#This Row],[Flow_ID]]&amp;"_E6"</f>
        <v>F_13_13_E6</v>
      </c>
      <c r="AF35" s="140"/>
      <c r="AG35" s="13"/>
      <c r="AH35" s="194" t="b">
        <f>'0_Configuration'!$C$2</f>
        <v>1</v>
      </c>
      <c r="AI35" s="6"/>
      <c r="AJ35" s="194" t="b">
        <f>'0_Configuration'!$C$6</f>
        <v>0</v>
      </c>
      <c r="AK35" s="6" t="s">
        <v>1122</v>
      </c>
      <c r="AL35" s="194" t="b">
        <f>'0_Configuration'!$C$10</f>
        <v>0</v>
      </c>
      <c r="AM35" s="6" t="s">
        <v>1122</v>
      </c>
      <c r="AN35" s="194" t="b">
        <f>'0_Configuration'!$C$17</f>
        <v>0</v>
      </c>
      <c r="AO35" s="6">
        <f>_xlfn.XLOOKUP(Tab_Def_Flows[[#This Row],[ODYM_Good_Type]],Tab_Configuration[Value],Tab_Configuration[ODYM_ID],,0,)</f>
        <v>0</v>
      </c>
      <c r="AP35" s="194" t="b">
        <f>'0_Configuration'!$C$24</f>
        <v>0</v>
      </c>
      <c r="AQ35" s="6"/>
      <c r="AR35" s="194" t="b">
        <f>'0_Configuration'!$C$29</f>
        <v>1</v>
      </c>
      <c r="AS35" s="6" t="s">
        <v>1136</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F_13_13</v>
      </c>
      <c r="D36" s="7"/>
      <c r="E36" s="138"/>
      <c r="F36" s="138"/>
      <c r="G36" s="6" t="str">
        <f>_xlfn.XLOOKUP(F36,Tab_Def_Processes[Process_Name],Tab_Def_Processes[Process_ID],,0,)</f>
        <v>13</v>
      </c>
      <c r="H36" s="138"/>
      <c r="I36" s="9" t="str">
        <f>_xlfn.XLOOKUP(H36,Tab_Def_Processes[Process_Name],Tab_Def_Processes[Process_ID],,0,)</f>
        <v>13</v>
      </c>
      <c r="J36" s="138" t="s">
        <v>5</v>
      </c>
      <c r="K36" s="138" t="s">
        <v>5</v>
      </c>
      <c r="L36" s="138" t="s">
        <v>5</v>
      </c>
      <c r="M36" s="138" t="s">
        <v>5</v>
      </c>
      <c r="N36" s="138" t="s">
        <v>6</v>
      </c>
      <c r="O36" s="138" t="s">
        <v>6</v>
      </c>
      <c r="P36" s="6" t="str">
        <f>Tab_Def_Flows[[#This Row],[Flow_ID]]&amp;"_E1"</f>
        <v>F_13_13_E1</v>
      </c>
      <c r="R36" s="13"/>
      <c r="S36" s="6" t="str">
        <f>Tab_Def_Flows[[#This Row],[Flow_ID]]&amp;"_E2"</f>
        <v>F_13_13_E2</v>
      </c>
      <c r="T36" s="135"/>
      <c r="U36" s="13"/>
      <c r="V36" s="6" t="str">
        <f>Tab_Def_Flows[[#This Row],[Flow_ID]]&amp;"_E3"</f>
        <v>F_13_13_E3</v>
      </c>
      <c r="W36" s="135"/>
      <c r="X36" s="13"/>
      <c r="Y36" s="6" t="str">
        <f>Tab_Def_Flows[[#This Row],[Flow_ID]]&amp;"_E4"</f>
        <v>F_13_13_E4</v>
      </c>
      <c r="Z36" s="135"/>
      <c r="AA36" s="13"/>
      <c r="AB36" s="6" t="str">
        <f>Tab_Def_Flows[[#This Row],[Flow_ID]]&amp;"_E5"</f>
        <v>F_13_13_E5</v>
      </c>
      <c r="AC36" s="140"/>
      <c r="AD36" s="13"/>
      <c r="AE36" s="6" t="str">
        <f>Tab_Def_Flows[[#This Row],[Flow_ID]]&amp;"_E6"</f>
        <v>F_13_13_E6</v>
      </c>
      <c r="AF36" s="140"/>
      <c r="AG36" s="13"/>
      <c r="AH36" s="194" t="b">
        <f>'0_Configuration'!$C$2</f>
        <v>1</v>
      </c>
      <c r="AI36" s="6"/>
      <c r="AJ36" s="194" t="b">
        <f>'0_Configuration'!$C$6</f>
        <v>0</v>
      </c>
      <c r="AK36" s="6" t="s">
        <v>1122</v>
      </c>
      <c r="AL36" s="194" t="b">
        <f>'0_Configuration'!$C$10</f>
        <v>0</v>
      </c>
      <c r="AM36" s="6" t="s">
        <v>1122</v>
      </c>
      <c r="AN36" s="194" t="b">
        <f>'0_Configuration'!$C$17</f>
        <v>0</v>
      </c>
      <c r="AO36" s="6">
        <f>_xlfn.XLOOKUP(Tab_Def_Flows[[#This Row],[ODYM_Good_Type]],Tab_Configuration[Value],Tab_Configuration[ODYM_ID],,0,)</f>
        <v>0</v>
      </c>
      <c r="AP36" s="194" t="b">
        <f>'0_Configuration'!$C$24</f>
        <v>0</v>
      </c>
      <c r="AQ36" s="6"/>
      <c r="AR36" s="194" t="b">
        <f>'0_Configuration'!$C$29</f>
        <v>1</v>
      </c>
      <c r="AS36" s="6" t="s">
        <v>1136</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F_13_13</v>
      </c>
      <c r="D37" s="7"/>
      <c r="E37" s="138"/>
      <c r="F37" s="138"/>
      <c r="G37" s="6" t="str">
        <f>_xlfn.XLOOKUP(F37,Tab_Def_Processes[Process_Name],Tab_Def_Processes[Process_ID],,0,)</f>
        <v>13</v>
      </c>
      <c r="H37" s="138"/>
      <c r="I37" s="9" t="str">
        <f>_xlfn.XLOOKUP(H37,Tab_Def_Processes[Process_Name],Tab_Def_Processes[Process_ID],,0,)</f>
        <v>13</v>
      </c>
      <c r="J37" s="138" t="s">
        <v>5</v>
      </c>
      <c r="K37" s="138" t="s">
        <v>5</v>
      </c>
      <c r="L37" s="138" t="s">
        <v>5</v>
      </c>
      <c r="M37" s="138" t="s">
        <v>5</v>
      </c>
      <c r="N37" s="138" t="s">
        <v>6</v>
      </c>
      <c r="O37" s="138" t="s">
        <v>6</v>
      </c>
      <c r="P37" s="6" t="str">
        <f>Tab_Def_Flows[[#This Row],[Flow_ID]]&amp;"_E1"</f>
        <v>F_13_13_E1</v>
      </c>
      <c r="R37" s="13"/>
      <c r="S37" s="6" t="str">
        <f>Tab_Def_Flows[[#This Row],[Flow_ID]]&amp;"_E2"</f>
        <v>F_13_13_E2</v>
      </c>
      <c r="T37" s="135"/>
      <c r="U37" s="13"/>
      <c r="V37" s="6" t="str">
        <f>Tab_Def_Flows[[#This Row],[Flow_ID]]&amp;"_E3"</f>
        <v>F_13_13_E3</v>
      </c>
      <c r="W37" s="135"/>
      <c r="X37" s="13"/>
      <c r="Y37" s="6" t="str">
        <f>Tab_Def_Flows[[#This Row],[Flow_ID]]&amp;"_E4"</f>
        <v>F_13_13_E4</v>
      </c>
      <c r="Z37" s="135"/>
      <c r="AA37" s="13"/>
      <c r="AB37" s="6" t="str">
        <f>Tab_Def_Flows[[#This Row],[Flow_ID]]&amp;"_E5"</f>
        <v>F_13_13_E5</v>
      </c>
      <c r="AC37" s="140"/>
      <c r="AD37" s="13"/>
      <c r="AE37" s="6" t="str">
        <f>Tab_Def_Flows[[#This Row],[Flow_ID]]&amp;"_E6"</f>
        <v>F_13_13_E6</v>
      </c>
      <c r="AF37" s="140"/>
      <c r="AG37" s="13"/>
      <c r="AH37" s="194" t="b">
        <f>'0_Configuration'!$C$2</f>
        <v>1</v>
      </c>
      <c r="AI37" s="6"/>
      <c r="AJ37" s="194" t="b">
        <f>'0_Configuration'!$C$6</f>
        <v>0</v>
      </c>
      <c r="AK37" s="6" t="s">
        <v>1122</v>
      </c>
      <c r="AL37" s="194" t="b">
        <f>'0_Configuration'!$C$10</f>
        <v>0</v>
      </c>
      <c r="AM37" s="6" t="s">
        <v>1122</v>
      </c>
      <c r="AN37" s="194" t="b">
        <f>'0_Configuration'!$C$17</f>
        <v>0</v>
      </c>
      <c r="AO37" s="6">
        <f>_xlfn.XLOOKUP(Tab_Def_Flows[[#This Row],[ODYM_Good_Type]],Tab_Configuration[Value],Tab_Configuration[ODYM_ID],,0,)</f>
        <v>0</v>
      </c>
      <c r="AP37" s="194" t="b">
        <f>'0_Configuration'!$C$24</f>
        <v>0</v>
      </c>
      <c r="AQ37" s="6"/>
      <c r="AR37" s="194" t="b">
        <f>'0_Configuration'!$C$29</f>
        <v>1</v>
      </c>
      <c r="AS37" s="6" t="s">
        <v>1136</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F_13_13</v>
      </c>
      <c r="D38" s="7"/>
      <c r="E38" s="138"/>
      <c r="F38" s="138"/>
      <c r="G38" s="6" t="str">
        <f>_xlfn.XLOOKUP(F38,Tab_Def_Processes[Process_Name],Tab_Def_Processes[Process_ID],,0,)</f>
        <v>13</v>
      </c>
      <c r="H38" s="138"/>
      <c r="I38" s="9" t="str">
        <f>_xlfn.XLOOKUP(H38,Tab_Def_Processes[Process_Name],Tab_Def_Processes[Process_ID],,0,)</f>
        <v>13</v>
      </c>
      <c r="J38" s="138" t="s">
        <v>5</v>
      </c>
      <c r="K38" s="138" t="s">
        <v>5</v>
      </c>
      <c r="L38" s="138" t="s">
        <v>5</v>
      </c>
      <c r="M38" s="138" t="s">
        <v>5</v>
      </c>
      <c r="N38" s="138" t="s">
        <v>6</v>
      </c>
      <c r="O38" s="138" t="s">
        <v>6</v>
      </c>
      <c r="P38" s="6" t="str">
        <f>Tab_Def_Flows[[#This Row],[Flow_ID]]&amp;"_E1"</f>
        <v>F_13_13_E1</v>
      </c>
      <c r="R38" s="13"/>
      <c r="S38" s="6" t="str">
        <f>Tab_Def_Flows[[#This Row],[Flow_ID]]&amp;"_E2"</f>
        <v>F_13_13_E2</v>
      </c>
      <c r="T38" s="135"/>
      <c r="U38" s="13"/>
      <c r="V38" s="6" t="str">
        <f>Tab_Def_Flows[[#This Row],[Flow_ID]]&amp;"_E3"</f>
        <v>F_13_13_E3</v>
      </c>
      <c r="W38" s="135"/>
      <c r="X38" s="13"/>
      <c r="Y38" s="6" t="str">
        <f>Tab_Def_Flows[[#This Row],[Flow_ID]]&amp;"_E4"</f>
        <v>F_13_13_E4</v>
      </c>
      <c r="Z38" s="135"/>
      <c r="AA38" s="13"/>
      <c r="AB38" s="6" t="str">
        <f>Tab_Def_Flows[[#This Row],[Flow_ID]]&amp;"_E5"</f>
        <v>F_13_13_E5</v>
      </c>
      <c r="AC38" s="140"/>
      <c r="AD38" s="13"/>
      <c r="AE38" s="6" t="str">
        <f>Tab_Def_Flows[[#This Row],[Flow_ID]]&amp;"_E6"</f>
        <v>F_13_13_E6</v>
      </c>
      <c r="AF38" s="140"/>
      <c r="AG38" s="13"/>
      <c r="AH38" s="194" t="b">
        <f>'0_Configuration'!$C$2</f>
        <v>1</v>
      </c>
      <c r="AI38" s="6"/>
      <c r="AJ38" s="194" t="b">
        <f>'0_Configuration'!$C$6</f>
        <v>0</v>
      </c>
      <c r="AK38" s="6" t="s">
        <v>1122</v>
      </c>
      <c r="AL38" s="194" t="b">
        <f>'0_Configuration'!$C$10</f>
        <v>0</v>
      </c>
      <c r="AM38" s="6" t="s">
        <v>1122</v>
      </c>
      <c r="AN38" s="194" t="b">
        <f>'0_Configuration'!$C$17</f>
        <v>0</v>
      </c>
      <c r="AO38" s="6">
        <f>_xlfn.XLOOKUP(Tab_Def_Flows[[#This Row],[ODYM_Good_Type]],Tab_Configuration[Value],Tab_Configuration[ODYM_ID],,0,)</f>
        <v>0</v>
      </c>
      <c r="AP38" s="194" t="b">
        <f>'0_Configuration'!$C$24</f>
        <v>0</v>
      </c>
      <c r="AQ38" s="6"/>
      <c r="AR38" s="194" t="b">
        <f>'0_Configuration'!$C$29</f>
        <v>1</v>
      </c>
      <c r="AS38" s="6" t="s">
        <v>1136</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F_13_13</v>
      </c>
      <c r="D39" s="7"/>
      <c r="E39" s="138"/>
      <c r="F39" s="138"/>
      <c r="G39" s="6" t="str">
        <f>_xlfn.XLOOKUP(F39,Tab_Def_Processes[Process_Name],Tab_Def_Processes[Process_ID],,0,)</f>
        <v>13</v>
      </c>
      <c r="H39" s="138"/>
      <c r="I39" s="9" t="str">
        <f>_xlfn.XLOOKUP(H39,Tab_Def_Processes[Process_Name],Tab_Def_Processes[Process_ID],,0,)</f>
        <v>13</v>
      </c>
      <c r="J39" s="138" t="s">
        <v>5</v>
      </c>
      <c r="K39" s="138" t="s">
        <v>5</v>
      </c>
      <c r="L39" s="138" t="s">
        <v>5</v>
      </c>
      <c r="M39" s="138" t="s">
        <v>5</v>
      </c>
      <c r="N39" s="138" t="s">
        <v>6</v>
      </c>
      <c r="O39" s="138" t="s">
        <v>6</v>
      </c>
      <c r="P39" s="6" t="str">
        <f>Tab_Def_Flows[[#This Row],[Flow_ID]]&amp;"_E1"</f>
        <v>F_13_13_E1</v>
      </c>
      <c r="R39" s="13"/>
      <c r="S39" s="6" t="str">
        <f>Tab_Def_Flows[[#This Row],[Flow_ID]]&amp;"_E2"</f>
        <v>F_13_13_E2</v>
      </c>
      <c r="T39" s="135"/>
      <c r="U39" s="13"/>
      <c r="V39" s="6" t="str">
        <f>Tab_Def_Flows[[#This Row],[Flow_ID]]&amp;"_E3"</f>
        <v>F_13_13_E3</v>
      </c>
      <c r="W39" s="135"/>
      <c r="X39" s="13"/>
      <c r="Y39" s="6" t="str">
        <f>Tab_Def_Flows[[#This Row],[Flow_ID]]&amp;"_E4"</f>
        <v>F_13_13_E4</v>
      </c>
      <c r="Z39" s="135"/>
      <c r="AA39" s="13"/>
      <c r="AB39" s="6" t="str">
        <f>Tab_Def_Flows[[#This Row],[Flow_ID]]&amp;"_E5"</f>
        <v>F_13_13_E5</v>
      </c>
      <c r="AC39" s="140"/>
      <c r="AD39" s="13"/>
      <c r="AE39" s="6" t="str">
        <f>Tab_Def_Flows[[#This Row],[Flow_ID]]&amp;"_E6"</f>
        <v>F_13_13_E6</v>
      </c>
      <c r="AF39" s="140"/>
      <c r="AG39" s="13"/>
      <c r="AH39" s="194" t="b">
        <f>'0_Configuration'!$C$2</f>
        <v>1</v>
      </c>
      <c r="AI39" s="6"/>
      <c r="AJ39" s="194" t="b">
        <f>'0_Configuration'!$C$6</f>
        <v>0</v>
      </c>
      <c r="AK39" s="6" t="s">
        <v>1122</v>
      </c>
      <c r="AL39" s="194" t="b">
        <f>'0_Configuration'!$C$10</f>
        <v>0</v>
      </c>
      <c r="AM39" s="6" t="s">
        <v>1122</v>
      </c>
      <c r="AN39" s="194" t="b">
        <f>'0_Configuration'!$C$17</f>
        <v>0</v>
      </c>
      <c r="AO39" s="6">
        <f>_xlfn.XLOOKUP(Tab_Def_Flows[[#This Row],[ODYM_Good_Type]],Tab_Configuration[Value],Tab_Configuration[ODYM_ID],,0,)</f>
        <v>0</v>
      </c>
      <c r="AP39" s="194" t="b">
        <f>'0_Configuration'!$C$24</f>
        <v>0</v>
      </c>
      <c r="AQ39" s="6"/>
      <c r="AR39" s="194" t="b">
        <f>'0_Configuration'!$C$29</f>
        <v>1</v>
      </c>
      <c r="AS39" s="6" t="s">
        <v>1136</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F_13_13</v>
      </c>
      <c r="D40" s="188"/>
      <c r="E40" s="138"/>
      <c r="F40" s="138"/>
      <c r="G40" s="6" t="str">
        <f>_xlfn.XLOOKUP(F40,Tab_Def_Processes[Process_Name],Tab_Def_Processes[Process_ID],,0,)</f>
        <v>13</v>
      </c>
      <c r="H40" s="138"/>
      <c r="I40" s="9" t="str">
        <f>_xlfn.XLOOKUP(H40,Tab_Def_Processes[Process_Name],Tab_Def_Processes[Process_ID],,0,)</f>
        <v>13</v>
      </c>
      <c r="J40" s="138" t="s">
        <v>5</v>
      </c>
      <c r="K40" s="138" t="s">
        <v>5</v>
      </c>
      <c r="L40" s="138" t="s">
        <v>5</v>
      </c>
      <c r="M40" s="138" t="s">
        <v>5</v>
      </c>
      <c r="N40" s="138" t="s">
        <v>6</v>
      </c>
      <c r="O40" s="138" t="s">
        <v>6</v>
      </c>
      <c r="P40" s="6" t="str">
        <f>Tab_Def_Flows[[#This Row],[Flow_ID]]&amp;"_E1"</f>
        <v>F_13_13_E1</v>
      </c>
      <c r="R40" s="13"/>
      <c r="S40" s="6" t="str">
        <f>Tab_Def_Flows[[#This Row],[Flow_ID]]&amp;"_E2"</f>
        <v>F_13_13_E2</v>
      </c>
      <c r="T40" s="135"/>
      <c r="U40" s="13"/>
      <c r="V40" s="6" t="str">
        <f>Tab_Def_Flows[[#This Row],[Flow_ID]]&amp;"_E3"</f>
        <v>F_13_13_E3</v>
      </c>
      <c r="W40" s="135"/>
      <c r="X40" s="13"/>
      <c r="Y40" s="6" t="str">
        <f>Tab_Def_Flows[[#This Row],[Flow_ID]]&amp;"_E4"</f>
        <v>F_13_13_E4</v>
      </c>
      <c r="Z40" s="135"/>
      <c r="AA40" s="13"/>
      <c r="AB40" s="6" t="str">
        <f>Tab_Def_Flows[[#This Row],[Flow_ID]]&amp;"_E5"</f>
        <v>F_13_13_E5</v>
      </c>
      <c r="AC40" s="140"/>
      <c r="AD40" s="13"/>
      <c r="AE40" s="6" t="str">
        <f>Tab_Def_Flows[[#This Row],[Flow_ID]]&amp;"_E6"</f>
        <v>F_13_13_E6</v>
      </c>
      <c r="AF40" s="140"/>
      <c r="AG40" s="13"/>
      <c r="AH40" s="194" t="b">
        <f>'0_Configuration'!$C$2</f>
        <v>1</v>
      </c>
      <c r="AI40" s="6"/>
      <c r="AJ40" s="194" t="b">
        <f>'0_Configuration'!$C$6</f>
        <v>0</v>
      </c>
      <c r="AK40" s="6" t="s">
        <v>1122</v>
      </c>
      <c r="AL40" s="194" t="b">
        <f>'0_Configuration'!$C$10</f>
        <v>0</v>
      </c>
      <c r="AM40" s="6" t="s">
        <v>1122</v>
      </c>
      <c r="AN40" s="194" t="b">
        <f>'0_Configuration'!$C$17</f>
        <v>0</v>
      </c>
      <c r="AO40" s="6">
        <f>_xlfn.XLOOKUP(Tab_Def_Flows[[#This Row],[ODYM_Good_Type]],Tab_Configuration[Value],Tab_Configuration[ODYM_ID],,0,)</f>
        <v>0</v>
      </c>
      <c r="AP40" s="194" t="b">
        <f>'0_Configuration'!$C$24</f>
        <v>0</v>
      </c>
      <c r="AQ40" s="6"/>
      <c r="AR40" s="194" t="b">
        <f>'0_Configuration'!$C$29</f>
        <v>1</v>
      </c>
      <c r="AS40" s="6" t="s">
        <v>1136</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F_13_13</v>
      </c>
      <c r="D41" s="188"/>
      <c r="E41" s="138"/>
      <c r="F41" s="138"/>
      <c r="G41" s="6" t="str">
        <f>_xlfn.XLOOKUP(F41,Tab_Def_Processes[Process_Name],Tab_Def_Processes[Process_ID],,0,)</f>
        <v>13</v>
      </c>
      <c r="H41" s="138"/>
      <c r="I41" s="9" t="str">
        <f>_xlfn.XLOOKUP(H41,Tab_Def_Processes[Process_Name],Tab_Def_Processes[Process_ID],,0,)</f>
        <v>13</v>
      </c>
      <c r="J41" s="138" t="s">
        <v>5</v>
      </c>
      <c r="K41" s="138" t="s">
        <v>5</v>
      </c>
      <c r="L41" s="138" t="s">
        <v>5</v>
      </c>
      <c r="M41" s="138" t="s">
        <v>5</v>
      </c>
      <c r="N41" s="138" t="s">
        <v>6</v>
      </c>
      <c r="O41" s="138" t="s">
        <v>6</v>
      </c>
      <c r="P41" s="6" t="str">
        <f>Tab_Def_Flows[[#This Row],[Flow_ID]]&amp;"_E1"</f>
        <v>F_13_13_E1</v>
      </c>
      <c r="R41" s="13"/>
      <c r="S41" s="6" t="str">
        <f>Tab_Def_Flows[[#This Row],[Flow_ID]]&amp;"_E2"</f>
        <v>F_13_13_E2</v>
      </c>
      <c r="T41" s="135"/>
      <c r="U41" s="13"/>
      <c r="V41" s="6" t="str">
        <f>Tab_Def_Flows[[#This Row],[Flow_ID]]&amp;"_E3"</f>
        <v>F_13_13_E3</v>
      </c>
      <c r="W41" s="135"/>
      <c r="X41" s="13"/>
      <c r="Y41" s="6" t="str">
        <f>Tab_Def_Flows[[#This Row],[Flow_ID]]&amp;"_E4"</f>
        <v>F_13_13_E4</v>
      </c>
      <c r="Z41" s="135"/>
      <c r="AA41" s="13"/>
      <c r="AB41" s="6" t="str">
        <f>Tab_Def_Flows[[#This Row],[Flow_ID]]&amp;"_E5"</f>
        <v>F_13_13_E5</v>
      </c>
      <c r="AC41" s="140"/>
      <c r="AD41" s="13"/>
      <c r="AE41" s="6" t="str">
        <f>Tab_Def_Flows[[#This Row],[Flow_ID]]&amp;"_E6"</f>
        <v>F_13_13_E6</v>
      </c>
      <c r="AF41" s="140"/>
      <c r="AG41" s="13"/>
      <c r="AH41" s="194" t="b">
        <f>'0_Configuration'!$C$2</f>
        <v>1</v>
      </c>
      <c r="AI41" s="6"/>
      <c r="AJ41" s="194" t="b">
        <f>'0_Configuration'!$C$6</f>
        <v>0</v>
      </c>
      <c r="AK41" s="6" t="s">
        <v>1122</v>
      </c>
      <c r="AL41" s="194" t="b">
        <f>'0_Configuration'!$C$10</f>
        <v>0</v>
      </c>
      <c r="AM41" s="6" t="s">
        <v>1122</v>
      </c>
      <c r="AN41" s="194" t="b">
        <f>'0_Configuration'!$C$17</f>
        <v>0</v>
      </c>
      <c r="AO41" s="6">
        <f>_xlfn.XLOOKUP(Tab_Def_Flows[[#This Row],[ODYM_Good_Type]],Tab_Configuration[Value],Tab_Configuration[ODYM_ID],,0,)</f>
        <v>0</v>
      </c>
      <c r="AP41" s="194" t="b">
        <f>'0_Configuration'!$C$24</f>
        <v>0</v>
      </c>
      <c r="AQ41" s="6"/>
      <c r="AR41" s="194" t="b">
        <f>'0_Configuration'!$C$29</f>
        <v>1</v>
      </c>
      <c r="AS41" s="6" t="s">
        <v>1136</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F_13_13</v>
      </c>
      <c r="D42" s="188"/>
      <c r="E42" s="138"/>
      <c r="F42" s="138"/>
      <c r="G42" s="6" t="str">
        <f>_xlfn.XLOOKUP(F42,Tab_Def_Processes[Process_Name],Tab_Def_Processes[Process_ID],,0,)</f>
        <v>13</v>
      </c>
      <c r="H42" s="138"/>
      <c r="I42" s="9" t="str">
        <f>_xlfn.XLOOKUP(H42,Tab_Def_Processes[Process_Name],Tab_Def_Processes[Process_ID],,0,)</f>
        <v>13</v>
      </c>
      <c r="J42" s="138" t="s">
        <v>5</v>
      </c>
      <c r="K42" s="138" t="s">
        <v>5</v>
      </c>
      <c r="L42" s="138" t="s">
        <v>5</v>
      </c>
      <c r="M42" s="138" t="s">
        <v>5</v>
      </c>
      <c r="N42" s="138" t="s">
        <v>6</v>
      </c>
      <c r="O42" s="138" t="s">
        <v>6</v>
      </c>
      <c r="P42" s="6" t="str">
        <f>Tab_Def_Flows[[#This Row],[Flow_ID]]&amp;"_E1"</f>
        <v>F_13_13_E1</v>
      </c>
      <c r="R42" s="13"/>
      <c r="S42" s="6" t="str">
        <f>Tab_Def_Flows[[#This Row],[Flow_ID]]&amp;"_E2"</f>
        <v>F_13_13_E2</v>
      </c>
      <c r="T42" s="135"/>
      <c r="U42" s="13"/>
      <c r="V42" s="6" t="str">
        <f>Tab_Def_Flows[[#This Row],[Flow_ID]]&amp;"_E3"</f>
        <v>F_13_13_E3</v>
      </c>
      <c r="W42" s="135"/>
      <c r="X42" s="13"/>
      <c r="Y42" s="6" t="str">
        <f>Tab_Def_Flows[[#This Row],[Flow_ID]]&amp;"_E4"</f>
        <v>F_13_13_E4</v>
      </c>
      <c r="Z42" s="135"/>
      <c r="AA42" s="13"/>
      <c r="AB42" s="6" t="str">
        <f>Tab_Def_Flows[[#This Row],[Flow_ID]]&amp;"_E5"</f>
        <v>F_13_13_E5</v>
      </c>
      <c r="AC42" s="140"/>
      <c r="AD42" s="13"/>
      <c r="AE42" s="6" t="str">
        <f>Tab_Def_Flows[[#This Row],[Flow_ID]]&amp;"_E6"</f>
        <v>F_13_13_E6</v>
      </c>
      <c r="AF42" s="140"/>
      <c r="AG42" s="13"/>
      <c r="AH42" s="194" t="b">
        <f>'0_Configuration'!$C$2</f>
        <v>1</v>
      </c>
      <c r="AI42" s="6"/>
      <c r="AJ42" s="194" t="b">
        <f>'0_Configuration'!$C$6</f>
        <v>0</v>
      </c>
      <c r="AK42" s="6" t="s">
        <v>1122</v>
      </c>
      <c r="AL42" s="194" t="b">
        <f>'0_Configuration'!$C$10</f>
        <v>0</v>
      </c>
      <c r="AM42" s="6" t="s">
        <v>1122</v>
      </c>
      <c r="AN42" s="194" t="b">
        <f>'0_Configuration'!$C$17</f>
        <v>0</v>
      </c>
      <c r="AO42" s="6">
        <f>_xlfn.XLOOKUP(Tab_Def_Flows[[#This Row],[ODYM_Good_Type]],Tab_Configuration[Value],Tab_Configuration[ODYM_ID],,0,)</f>
        <v>0</v>
      </c>
      <c r="AP42" s="194" t="b">
        <f>'0_Configuration'!$C$24</f>
        <v>0</v>
      </c>
      <c r="AQ42" s="6"/>
      <c r="AR42" s="194" t="b">
        <f>'0_Configuration'!$C$29</f>
        <v>1</v>
      </c>
      <c r="AS42" s="6" t="s">
        <v>1136</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F_13_13</v>
      </c>
      <c r="D43" s="188"/>
      <c r="E43" s="138"/>
      <c r="F43" s="138"/>
      <c r="G43" s="6" t="str">
        <f>_xlfn.XLOOKUP(F43,Tab_Def_Processes[Process_Name],Tab_Def_Processes[Process_ID],,0,)</f>
        <v>13</v>
      </c>
      <c r="H43" s="138"/>
      <c r="I43" s="9" t="str">
        <f>_xlfn.XLOOKUP(H43,Tab_Def_Processes[Process_Name],Tab_Def_Processes[Process_ID],,0,)</f>
        <v>13</v>
      </c>
      <c r="J43" s="138" t="s">
        <v>5</v>
      </c>
      <c r="K43" s="138" t="s">
        <v>5</v>
      </c>
      <c r="L43" s="138" t="s">
        <v>5</v>
      </c>
      <c r="M43" s="138" t="s">
        <v>5</v>
      </c>
      <c r="N43" s="138" t="s">
        <v>6</v>
      </c>
      <c r="O43" s="138" t="s">
        <v>6</v>
      </c>
      <c r="P43" s="6" t="str">
        <f>Tab_Def_Flows[[#This Row],[Flow_ID]]&amp;"_E1"</f>
        <v>F_13_13_E1</v>
      </c>
      <c r="R43" s="13"/>
      <c r="S43" s="6" t="str">
        <f>Tab_Def_Flows[[#This Row],[Flow_ID]]&amp;"_E2"</f>
        <v>F_13_13_E2</v>
      </c>
      <c r="T43" s="135"/>
      <c r="U43" s="13"/>
      <c r="V43" s="6" t="str">
        <f>Tab_Def_Flows[[#This Row],[Flow_ID]]&amp;"_E3"</f>
        <v>F_13_13_E3</v>
      </c>
      <c r="W43" s="135"/>
      <c r="X43" s="13"/>
      <c r="Y43" s="6" t="str">
        <f>Tab_Def_Flows[[#This Row],[Flow_ID]]&amp;"_E4"</f>
        <v>F_13_13_E4</v>
      </c>
      <c r="Z43" s="135"/>
      <c r="AA43" s="13"/>
      <c r="AB43" s="6" t="str">
        <f>Tab_Def_Flows[[#This Row],[Flow_ID]]&amp;"_E5"</f>
        <v>F_13_13_E5</v>
      </c>
      <c r="AC43" s="140"/>
      <c r="AD43" s="13"/>
      <c r="AE43" s="6" t="str">
        <f>Tab_Def_Flows[[#This Row],[Flow_ID]]&amp;"_E6"</f>
        <v>F_13_13_E6</v>
      </c>
      <c r="AF43" s="140"/>
      <c r="AG43" s="13"/>
      <c r="AH43" s="194" t="b">
        <f>'0_Configuration'!$C$2</f>
        <v>1</v>
      </c>
      <c r="AI43" s="6"/>
      <c r="AJ43" s="194" t="b">
        <f>'0_Configuration'!$C$6</f>
        <v>0</v>
      </c>
      <c r="AK43" s="6" t="s">
        <v>1122</v>
      </c>
      <c r="AL43" s="194" t="b">
        <f>'0_Configuration'!$C$10</f>
        <v>0</v>
      </c>
      <c r="AM43" s="6" t="s">
        <v>1122</v>
      </c>
      <c r="AN43" s="194" t="b">
        <f>'0_Configuration'!$C$17</f>
        <v>0</v>
      </c>
      <c r="AO43" s="6">
        <f>_xlfn.XLOOKUP(Tab_Def_Flows[[#This Row],[ODYM_Good_Type]],Tab_Configuration[Value],Tab_Configuration[ODYM_ID],,0,)</f>
        <v>0</v>
      </c>
      <c r="AP43" s="194" t="b">
        <f>'0_Configuration'!$C$24</f>
        <v>0</v>
      </c>
      <c r="AQ43" s="6"/>
      <c r="AR43" s="194" t="b">
        <f>'0_Configuration'!$C$29</f>
        <v>1</v>
      </c>
      <c r="AS43" s="6" t="s">
        <v>1136</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F_13_13</v>
      </c>
      <c r="D44" s="188"/>
      <c r="E44" s="138"/>
      <c r="F44" s="138"/>
      <c r="G44" s="6" t="str">
        <f>_xlfn.XLOOKUP(F44,Tab_Def_Processes[Process_Name],Tab_Def_Processes[Process_ID],,0,)</f>
        <v>13</v>
      </c>
      <c r="H44" s="138"/>
      <c r="I44" s="9" t="str">
        <f>_xlfn.XLOOKUP(H44,Tab_Def_Processes[Process_Name],Tab_Def_Processes[Process_ID],,0,)</f>
        <v>13</v>
      </c>
      <c r="J44" s="138" t="s">
        <v>5</v>
      </c>
      <c r="K44" s="138" t="s">
        <v>5</v>
      </c>
      <c r="L44" s="138" t="s">
        <v>5</v>
      </c>
      <c r="M44" s="138" t="s">
        <v>5</v>
      </c>
      <c r="N44" s="138" t="s">
        <v>6</v>
      </c>
      <c r="O44" s="138" t="s">
        <v>6</v>
      </c>
      <c r="P44" s="6" t="str">
        <f>Tab_Def_Flows[[#This Row],[Flow_ID]]&amp;"_E1"</f>
        <v>F_13_13_E1</v>
      </c>
      <c r="R44" s="13"/>
      <c r="S44" s="6" t="str">
        <f>Tab_Def_Flows[[#This Row],[Flow_ID]]&amp;"_E2"</f>
        <v>F_13_13_E2</v>
      </c>
      <c r="T44" s="135"/>
      <c r="U44" s="13"/>
      <c r="V44" s="6" t="str">
        <f>Tab_Def_Flows[[#This Row],[Flow_ID]]&amp;"_E3"</f>
        <v>F_13_13_E3</v>
      </c>
      <c r="W44" s="135"/>
      <c r="X44" s="13"/>
      <c r="Y44" s="6" t="str">
        <f>Tab_Def_Flows[[#This Row],[Flow_ID]]&amp;"_E4"</f>
        <v>F_13_13_E4</v>
      </c>
      <c r="Z44" s="135"/>
      <c r="AA44" s="13"/>
      <c r="AB44" s="6" t="str">
        <f>Tab_Def_Flows[[#This Row],[Flow_ID]]&amp;"_E5"</f>
        <v>F_13_13_E5</v>
      </c>
      <c r="AC44" s="140"/>
      <c r="AD44" s="13"/>
      <c r="AE44" s="6" t="str">
        <f>Tab_Def_Flows[[#This Row],[Flow_ID]]&amp;"_E6"</f>
        <v>F_13_13_E6</v>
      </c>
      <c r="AF44" s="140"/>
      <c r="AG44" s="13"/>
      <c r="AH44" s="194" t="b">
        <f>'0_Configuration'!$C$2</f>
        <v>1</v>
      </c>
      <c r="AI44" s="6"/>
      <c r="AJ44" s="194" t="b">
        <f>'0_Configuration'!$C$6</f>
        <v>0</v>
      </c>
      <c r="AK44" s="6" t="s">
        <v>1122</v>
      </c>
      <c r="AL44" s="194" t="b">
        <f>'0_Configuration'!$C$10</f>
        <v>0</v>
      </c>
      <c r="AM44" s="6" t="s">
        <v>1122</v>
      </c>
      <c r="AN44" s="194" t="b">
        <f>'0_Configuration'!$C$17</f>
        <v>0</v>
      </c>
      <c r="AO44" s="6">
        <f>_xlfn.XLOOKUP(Tab_Def_Flows[[#This Row],[ODYM_Good_Type]],Tab_Configuration[Value],Tab_Configuration[ODYM_ID],,0,)</f>
        <v>0</v>
      </c>
      <c r="AP44" s="194" t="b">
        <f>'0_Configuration'!$C$24</f>
        <v>0</v>
      </c>
      <c r="AQ44" s="6"/>
      <c r="AR44" s="194" t="b">
        <f>'0_Configuration'!$C$29</f>
        <v>1</v>
      </c>
      <c r="AS44" s="6" t="s">
        <v>1136</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F_13_13</v>
      </c>
      <c r="D45" s="188"/>
      <c r="E45" s="138"/>
      <c r="F45" s="138"/>
      <c r="G45" s="6" t="str">
        <f>_xlfn.XLOOKUP(F45,Tab_Def_Processes[Process_Name],Tab_Def_Processes[Process_ID],,0,)</f>
        <v>13</v>
      </c>
      <c r="H45" s="138"/>
      <c r="I45" s="9" t="str">
        <f>_xlfn.XLOOKUP(H45,Tab_Def_Processes[Process_Name],Tab_Def_Processes[Process_ID],,0,)</f>
        <v>13</v>
      </c>
      <c r="J45" s="138" t="s">
        <v>5</v>
      </c>
      <c r="K45" s="138" t="s">
        <v>5</v>
      </c>
      <c r="L45" s="138" t="s">
        <v>5</v>
      </c>
      <c r="M45" s="138" t="s">
        <v>5</v>
      </c>
      <c r="N45" s="138" t="s">
        <v>6</v>
      </c>
      <c r="O45" s="138" t="s">
        <v>6</v>
      </c>
      <c r="P45" s="6" t="str">
        <f>Tab_Def_Flows[[#This Row],[Flow_ID]]&amp;"_E1"</f>
        <v>F_13_13_E1</v>
      </c>
      <c r="R45" s="13"/>
      <c r="S45" s="6" t="str">
        <f>Tab_Def_Flows[[#This Row],[Flow_ID]]&amp;"_E2"</f>
        <v>F_13_13_E2</v>
      </c>
      <c r="T45" s="135"/>
      <c r="U45" s="13"/>
      <c r="V45" s="6" t="str">
        <f>Tab_Def_Flows[[#This Row],[Flow_ID]]&amp;"_E3"</f>
        <v>F_13_13_E3</v>
      </c>
      <c r="W45" s="135"/>
      <c r="X45" s="13"/>
      <c r="Y45" s="6" t="str">
        <f>Tab_Def_Flows[[#This Row],[Flow_ID]]&amp;"_E4"</f>
        <v>F_13_13_E4</v>
      </c>
      <c r="Z45" s="135"/>
      <c r="AA45" s="13"/>
      <c r="AB45" s="6" t="str">
        <f>Tab_Def_Flows[[#This Row],[Flow_ID]]&amp;"_E5"</f>
        <v>F_13_13_E5</v>
      </c>
      <c r="AC45" s="140"/>
      <c r="AD45" s="13"/>
      <c r="AE45" s="6" t="str">
        <f>Tab_Def_Flows[[#This Row],[Flow_ID]]&amp;"_E6"</f>
        <v>F_13_13_E6</v>
      </c>
      <c r="AF45" s="140"/>
      <c r="AG45" s="13"/>
      <c r="AH45" s="194" t="b">
        <f>'0_Configuration'!$C$2</f>
        <v>1</v>
      </c>
      <c r="AI45" s="6"/>
      <c r="AJ45" s="194" t="b">
        <f>'0_Configuration'!$C$6</f>
        <v>0</v>
      </c>
      <c r="AK45" s="6" t="s">
        <v>1122</v>
      </c>
      <c r="AL45" s="194" t="b">
        <f>'0_Configuration'!$C$10</f>
        <v>0</v>
      </c>
      <c r="AM45" s="6" t="s">
        <v>1122</v>
      </c>
      <c r="AN45" s="194" t="b">
        <f>'0_Configuration'!$C$17</f>
        <v>0</v>
      </c>
      <c r="AO45" s="6">
        <f>_xlfn.XLOOKUP(Tab_Def_Flows[[#This Row],[ODYM_Good_Type]],Tab_Configuration[Value],Tab_Configuration[ODYM_ID],,0,)</f>
        <v>0</v>
      </c>
      <c r="AP45" s="194" t="b">
        <f>'0_Configuration'!$C$24</f>
        <v>0</v>
      </c>
      <c r="AQ45" s="6"/>
      <c r="AR45" s="194" t="b">
        <f>'0_Configuration'!$C$29</f>
        <v>1</v>
      </c>
      <c r="AS45" s="6" t="s">
        <v>1136</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F_13_13</v>
      </c>
      <c r="D46" s="188"/>
      <c r="E46" s="138"/>
      <c r="F46" s="138"/>
      <c r="G46" s="6" t="str">
        <f>_xlfn.XLOOKUP(F46,Tab_Def_Processes[Process_Name],Tab_Def_Processes[Process_ID],,0,)</f>
        <v>13</v>
      </c>
      <c r="H46" s="138"/>
      <c r="I46" s="9" t="str">
        <f>_xlfn.XLOOKUP(H46,Tab_Def_Processes[Process_Name],Tab_Def_Processes[Process_ID],,0,)</f>
        <v>13</v>
      </c>
      <c r="J46" s="138" t="s">
        <v>5</v>
      </c>
      <c r="K46" s="138" t="s">
        <v>5</v>
      </c>
      <c r="L46" s="138" t="s">
        <v>5</v>
      </c>
      <c r="M46" s="138" t="s">
        <v>5</v>
      </c>
      <c r="N46" s="138" t="s">
        <v>6</v>
      </c>
      <c r="O46" s="138" t="s">
        <v>6</v>
      </c>
      <c r="P46" s="6" t="str">
        <f>Tab_Def_Flows[[#This Row],[Flow_ID]]&amp;"_E1"</f>
        <v>F_13_13_E1</v>
      </c>
      <c r="R46" s="13"/>
      <c r="S46" s="6" t="str">
        <f>Tab_Def_Flows[[#This Row],[Flow_ID]]&amp;"_E2"</f>
        <v>F_13_13_E2</v>
      </c>
      <c r="T46" s="135"/>
      <c r="U46" s="13"/>
      <c r="V46" s="6" t="str">
        <f>Tab_Def_Flows[[#This Row],[Flow_ID]]&amp;"_E3"</f>
        <v>F_13_13_E3</v>
      </c>
      <c r="W46" s="135"/>
      <c r="X46" s="13"/>
      <c r="Y46" s="6" t="str">
        <f>Tab_Def_Flows[[#This Row],[Flow_ID]]&amp;"_E4"</f>
        <v>F_13_13_E4</v>
      </c>
      <c r="Z46" s="135"/>
      <c r="AA46" s="13"/>
      <c r="AB46" s="6" t="str">
        <f>Tab_Def_Flows[[#This Row],[Flow_ID]]&amp;"_E5"</f>
        <v>F_13_13_E5</v>
      </c>
      <c r="AC46" s="140"/>
      <c r="AD46" s="13"/>
      <c r="AE46" s="6" t="str">
        <f>Tab_Def_Flows[[#This Row],[Flow_ID]]&amp;"_E6"</f>
        <v>F_13_13_E6</v>
      </c>
      <c r="AF46" s="140"/>
      <c r="AG46" s="13"/>
      <c r="AH46" s="194" t="b">
        <f>'0_Configuration'!$C$2</f>
        <v>1</v>
      </c>
      <c r="AI46" s="6"/>
      <c r="AJ46" s="194" t="b">
        <f>'0_Configuration'!$C$6</f>
        <v>0</v>
      </c>
      <c r="AK46" s="6" t="s">
        <v>1122</v>
      </c>
      <c r="AL46" s="194" t="b">
        <f>'0_Configuration'!$C$10</f>
        <v>0</v>
      </c>
      <c r="AM46" s="6" t="s">
        <v>1122</v>
      </c>
      <c r="AN46" s="194" t="b">
        <f>'0_Configuration'!$C$17</f>
        <v>0</v>
      </c>
      <c r="AO46" s="6">
        <f>_xlfn.XLOOKUP(Tab_Def_Flows[[#This Row],[ODYM_Good_Type]],Tab_Configuration[Value],Tab_Configuration[ODYM_ID],,0,)</f>
        <v>0</v>
      </c>
      <c r="AP46" s="194" t="b">
        <f>'0_Configuration'!$C$24</f>
        <v>0</v>
      </c>
      <c r="AQ46" s="6"/>
      <c r="AR46" s="194" t="b">
        <f>'0_Configuration'!$C$29</f>
        <v>1</v>
      </c>
      <c r="AS46" s="6" t="s">
        <v>1136</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F_13_13</v>
      </c>
      <c r="D47" s="188"/>
      <c r="E47" s="138"/>
      <c r="F47" s="138"/>
      <c r="G47" s="6" t="str">
        <f>_xlfn.XLOOKUP(F47,Tab_Def_Processes[Process_Name],Tab_Def_Processes[Process_ID],,0,)</f>
        <v>13</v>
      </c>
      <c r="H47" s="138"/>
      <c r="I47" s="9" t="str">
        <f>_xlfn.XLOOKUP(H47,Tab_Def_Processes[Process_Name],Tab_Def_Processes[Process_ID],,0,)</f>
        <v>13</v>
      </c>
      <c r="J47" s="138" t="s">
        <v>5</v>
      </c>
      <c r="K47" s="138" t="s">
        <v>5</v>
      </c>
      <c r="L47" s="138" t="s">
        <v>5</v>
      </c>
      <c r="M47" s="138" t="s">
        <v>5</v>
      </c>
      <c r="N47" s="138" t="s">
        <v>6</v>
      </c>
      <c r="O47" s="138" t="s">
        <v>6</v>
      </c>
      <c r="P47" s="6" t="str">
        <f>Tab_Def_Flows[[#This Row],[Flow_ID]]&amp;"_E1"</f>
        <v>F_13_13_E1</v>
      </c>
      <c r="R47" s="13"/>
      <c r="S47" s="6" t="str">
        <f>Tab_Def_Flows[[#This Row],[Flow_ID]]&amp;"_E2"</f>
        <v>F_13_13_E2</v>
      </c>
      <c r="T47" s="135"/>
      <c r="U47" s="13"/>
      <c r="V47" s="6" t="str">
        <f>Tab_Def_Flows[[#This Row],[Flow_ID]]&amp;"_E3"</f>
        <v>F_13_13_E3</v>
      </c>
      <c r="W47" s="135"/>
      <c r="X47" s="13"/>
      <c r="Y47" s="6" t="str">
        <f>Tab_Def_Flows[[#This Row],[Flow_ID]]&amp;"_E4"</f>
        <v>F_13_13_E4</v>
      </c>
      <c r="Z47" s="135"/>
      <c r="AA47" s="13"/>
      <c r="AB47" s="6" t="str">
        <f>Tab_Def_Flows[[#This Row],[Flow_ID]]&amp;"_E5"</f>
        <v>F_13_13_E5</v>
      </c>
      <c r="AC47" s="140"/>
      <c r="AD47" s="13"/>
      <c r="AE47" s="6" t="str">
        <f>Tab_Def_Flows[[#This Row],[Flow_ID]]&amp;"_E6"</f>
        <v>F_13_13_E6</v>
      </c>
      <c r="AF47" s="140"/>
      <c r="AG47" s="13"/>
      <c r="AH47" s="194" t="b">
        <f>'0_Configuration'!$C$2</f>
        <v>1</v>
      </c>
      <c r="AI47" s="6"/>
      <c r="AJ47" s="194" t="b">
        <f>'0_Configuration'!$C$6</f>
        <v>0</v>
      </c>
      <c r="AK47" s="6" t="s">
        <v>1122</v>
      </c>
      <c r="AL47" s="194" t="b">
        <f>'0_Configuration'!$C$10</f>
        <v>0</v>
      </c>
      <c r="AM47" s="6" t="s">
        <v>1122</v>
      </c>
      <c r="AN47" s="194" t="b">
        <f>'0_Configuration'!$C$17</f>
        <v>0</v>
      </c>
      <c r="AO47" s="6">
        <f>_xlfn.XLOOKUP(Tab_Def_Flows[[#This Row],[ODYM_Good_Type]],Tab_Configuration[Value],Tab_Configuration[ODYM_ID],,0,)</f>
        <v>0</v>
      </c>
      <c r="AP47" s="194" t="b">
        <f>'0_Configuration'!$C$24</f>
        <v>0</v>
      </c>
      <c r="AQ47" s="6"/>
      <c r="AR47" s="194" t="b">
        <f>'0_Configuration'!$C$29</f>
        <v>1</v>
      </c>
      <c r="AS47" s="6" t="s">
        <v>1136</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F_13_13</v>
      </c>
      <c r="D48" s="188"/>
      <c r="E48" s="138"/>
      <c r="F48" s="138"/>
      <c r="G48" s="6" t="str">
        <f>_xlfn.XLOOKUP(F48,Tab_Def_Processes[Process_Name],Tab_Def_Processes[Process_ID],,0,)</f>
        <v>13</v>
      </c>
      <c r="H48" s="138"/>
      <c r="I48" s="9" t="str">
        <f>_xlfn.XLOOKUP(H48,Tab_Def_Processes[Process_Name],Tab_Def_Processes[Process_ID],,0,)</f>
        <v>13</v>
      </c>
      <c r="J48" s="138" t="s">
        <v>5</v>
      </c>
      <c r="K48" s="138" t="s">
        <v>5</v>
      </c>
      <c r="L48" s="138" t="s">
        <v>5</v>
      </c>
      <c r="M48" s="138" t="s">
        <v>5</v>
      </c>
      <c r="N48" s="138" t="s">
        <v>6</v>
      </c>
      <c r="O48" s="138" t="s">
        <v>6</v>
      </c>
      <c r="P48" s="6" t="str">
        <f>Tab_Def_Flows[[#This Row],[Flow_ID]]&amp;"_E1"</f>
        <v>F_13_13_E1</v>
      </c>
      <c r="R48" s="13"/>
      <c r="S48" s="6" t="str">
        <f>Tab_Def_Flows[[#This Row],[Flow_ID]]&amp;"_E2"</f>
        <v>F_13_13_E2</v>
      </c>
      <c r="T48" s="135"/>
      <c r="U48" s="13"/>
      <c r="V48" s="6" t="str">
        <f>Tab_Def_Flows[[#This Row],[Flow_ID]]&amp;"_E3"</f>
        <v>F_13_13_E3</v>
      </c>
      <c r="W48" s="135"/>
      <c r="X48" s="13"/>
      <c r="Y48" s="6" t="str">
        <f>Tab_Def_Flows[[#This Row],[Flow_ID]]&amp;"_E4"</f>
        <v>F_13_13_E4</v>
      </c>
      <c r="Z48" s="135"/>
      <c r="AA48" s="13"/>
      <c r="AB48" s="6" t="str">
        <f>Tab_Def_Flows[[#This Row],[Flow_ID]]&amp;"_E5"</f>
        <v>F_13_13_E5</v>
      </c>
      <c r="AC48" s="140"/>
      <c r="AD48" s="13"/>
      <c r="AE48" s="6" t="str">
        <f>Tab_Def_Flows[[#This Row],[Flow_ID]]&amp;"_E6"</f>
        <v>F_13_13_E6</v>
      </c>
      <c r="AF48" s="140"/>
      <c r="AG48" s="13"/>
      <c r="AH48" s="194" t="b">
        <f>'0_Configuration'!$C$2</f>
        <v>1</v>
      </c>
      <c r="AI48" s="6"/>
      <c r="AJ48" s="194" t="b">
        <f>'0_Configuration'!$C$6</f>
        <v>0</v>
      </c>
      <c r="AK48" s="6" t="s">
        <v>1122</v>
      </c>
      <c r="AL48" s="194" t="b">
        <f>'0_Configuration'!$C$10</f>
        <v>0</v>
      </c>
      <c r="AM48" s="6" t="s">
        <v>1122</v>
      </c>
      <c r="AN48" s="194" t="b">
        <f>'0_Configuration'!$C$17</f>
        <v>0</v>
      </c>
      <c r="AO48" s="6">
        <f>_xlfn.XLOOKUP(Tab_Def_Flows[[#This Row],[ODYM_Good_Type]],Tab_Configuration[Value],Tab_Configuration[ODYM_ID],,0,)</f>
        <v>0</v>
      </c>
      <c r="AP48" s="194" t="b">
        <f>'0_Configuration'!$C$24</f>
        <v>0</v>
      </c>
      <c r="AQ48" s="6"/>
      <c r="AR48" s="194" t="b">
        <f>'0_Configuration'!$C$29</f>
        <v>1</v>
      </c>
      <c r="AS48" s="6" t="s">
        <v>1136</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F_13_13</v>
      </c>
      <c r="D49" s="188"/>
      <c r="E49" s="138"/>
      <c r="F49" s="138"/>
      <c r="G49" s="6" t="str">
        <f>_xlfn.XLOOKUP(F49,Tab_Def_Processes[Process_Name],Tab_Def_Processes[Process_ID],,0,)</f>
        <v>13</v>
      </c>
      <c r="H49" s="138"/>
      <c r="I49" s="9" t="str">
        <f>_xlfn.XLOOKUP(H49,Tab_Def_Processes[Process_Name],Tab_Def_Processes[Process_ID],,0,)</f>
        <v>13</v>
      </c>
      <c r="J49" s="138" t="s">
        <v>5</v>
      </c>
      <c r="K49" s="138" t="s">
        <v>5</v>
      </c>
      <c r="L49" s="138" t="s">
        <v>5</v>
      </c>
      <c r="M49" s="138" t="s">
        <v>5</v>
      </c>
      <c r="N49" s="138" t="s">
        <v>6</v>
      </c>
      <c r="O49" s="138" t="s">
        <v>6</v>
      </c>
      <c r="P49" s="6" t="str">
        <f>Tab_Def_Flows[[#This Row],[Flow_ID]]&amp;"_E1"</f>
        <v>F_13_13_E1</v>
      </c>
      <c r="R49" s="13"/>
      <c r="S49" s="6" t="str">
        <f>Tab_Def_Flows[[#This Row],[Flow_ID]]&amp;"_E2"</f>
        <v>F_13_13_E2</v>
      </c>
      <c r="T49" s="135"/>
      <c r="U49" s="13"/>
      <c r="V49" s="6" t="str">
        <f>Tab_Def_Flows[[#This Row],[Flow_ID]]&amp;"_E3"</f>
        <v>F_13_13_E3</v>
      </c>
      <c r="W49" s="135"/>
      <c r="X49" s="13"/>
      <c r="Y49" s="6" t="str">
        <f>Tab_Def_Flows[[#This Row],[Flow_ID]]&amp;"_E4"</f>
        <v>F_13_13_E4</v>
      </c>
      <c r="Z49" s="135"/>
      <c r="AA49" s="13"/>
      <c r="AB49" s="6" t="str">
        <f>Tab_Def_Flows[[#This Row],[Flow_ID]]&amp;"_E5"</f>
        <v>F_13_13_E5</v>
      </c>
      <c r="AC49" s="140"/>
      <c r="AD49" s="13"/>
      <c r="AE49" s="6" t="str">
        <f>Tab_Def_Flows[[#This Row],[Flow_ID]]&amp;"_E6"</f>
        <v>F_13_13_E6</v>
      </c>
      <c r="AF49" s="140"/>
      <c r="AG49" s="13"/>
      <c r="AH49" s="194" t="b">
        <f>'0_Configuration'!$C$2</f>
        <v>1</v>
      </c>
      <c r="AI49" s="6"/>
      <c r="AJ49" s="194" t="b">
        <f>'0_Configuration'!$C$6</f>
        <v>0</v>
      </c>
      <c r="AK49" s="6" t="s">
        <v>1122</v>
      </c>
      <c r="AL49" s="194" t="b">
        <f>'0_Configuration'!$C$10</f>
        <v>0</v>
      </c>
      <c r="AM49" s="6" t="s">
        <v>1122</v>
      </c>
      <c r="AN49" s="194" t="b">
        <f>'0_Configuration'!$C$17</f>
        <v>0</v>
      </c>
      <c r="AO49" s="6">
        <f>_xlfn.XLOOKUP(Tab_Def_Flows[[#This Row],[ODYM_Good_Type]],Tab_Configuration[Value],Tab_Configuration[ODYM_ID],,0,)</f>
        <v>0</v>
      </c>
      <c r="AP49" s="194" t="b">
        <f>'0_Configuration'!$C$24</f>
        <v>0</v>
      </c>
      <c r="AQ49" s="6"/>
      <c r="AR49" s="194" t="b">
        <f>'0_Configuration'!$C$29</f>
        <v>1</v>
      </c>
      <c r="AS49" s="6" t="s">
        <v>1136</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F_13_13</v>
      </c>
      <c r="D50" s="188"/>
      <c r="E50" s="138"/>
      <c r="F50" s="138"/>
      <c r="G50" s="6" t="str">
        <f>_xlfn.XLOOKUP(F50,Tab_Def_Processes[Process_Name],Tab_Def_Processes[Process_ID],,0,)</f>
        <v>13</v>
      </c>
      <c r="H50" s="138"/>
      <c r="I50" s="9" t="str">
        <f>_xlfn.XLOOKUP(H50,Tab_Def_Processes[Process_Name],Tab_Def_Processes[Process_ID],,0,)</f>
        <v>13</v>
      </c>
      <c r="J50" s="138" t="s">
        <v>5</v>
      </c>
      <c r="K50" s="138" t="s">
        <v>5</v>
      </c>
      <c r="L50" s="138" t="s">
        <v>5</v>
      </c>
      <c r="M50" s="138" t="s">
        <v>5</v>
      </c>
      <c r="N50" s="138" t="s">
        <v>6</v>
      </c>
      <c r="O50" s="138" t="s">
        <v>6</v>
      </c>
      <c r="P50" s="6" t="str">
        <f>Tab_Def_Flows[[#This Row],[Flow_ID]]&amp;"_E1"</f>
        <v>F_13_13_E1</v>
      </c>
      <c r="R50" s="13"/>
      <c r="S50" s="6" t="str">
        <f>Tab_Def_Flows[[#This Row],[Flow_ID]]&amp;"_E2"</f>
        <v>F_13_13_E2</v>
      </c>
      <c r="T50" s="135"/>
      <c r="U50" s="13"/>
      <c r="V50" s="6" t="str">
        <f>Tab_Def_Flows[[#This Row],[Flow_ID]]&amp;"_E3"</f>
        <v>F_13_13_E3</v>
      </c>
      <c r="W50" s="135"/>
      <c r="X50" s="13"/>
      <c r="Y50" s="6" t="str">
        <f>Tab_Def_Flows[[#This Row],[Flow_ID]]&amp;"_E4"</f>
        <v>F_13_13_E4</v>
      </c>
      <c r="Z50" s="135"/>
      <c r="AA50" s="13"/>
      <c r="AB50" s="6" t="str">
        <f>Tab_Def_Flows[[#This Row],[Flow_ID]]&amp;"_E5"</f>
        <v>F_13_13_E5</v>
      </c>
      <c r="AC50" s="140"/>
      <c r="AD50" s="13"/>
      <c r="AE50" s="6" t="str">
        <f>Tab_Def_Flows[[#This Row],[Flow_ID]]&amp;"_E6"</f>
        <v>F_13_13_E6</v>
      </c>
      <c r="AF50" s="140"/>
      <c r="AG50" s="13"/>
      <c r="AH50" s="194" t="b">
        <f>'0_Configuration'!$C$2</f>
        <v>1</v>
      </c>
      <c r="AI50" s="6"/>
      <c r="AJ50" s="194" t="b">
        <f>'0_Configuration'!$C$6</f>
        <v>0</v>
      </c>
      <c r="AK50" s="6" t="s">
        <v>1122</v>
      </c>
      <c r="AL50" s="194" t="b">
        <f>'0_Configuration'!$C$10</f>
        <v>0</v>
      </c>
      <c r="AM50" s="6" t="s">
        <v>1122</v>
      </c>
      <c r="AN50" s="194" t="b">
        <f>'0_Configuration'!$C$17</f>
        <v>0</v>
      </c>
      <c r="AO50" s="6">
        <f>_xlfn.XLOOKUP(Tab_Def_Flows[[#This Row],[ODYM_Good_Type]],Tab_Configuration[Value],Tab_Configuration[ODYM_ID],,0,)</f>
        <v>0</v>
      </c>
      <c r="AP50" s="194" t="b">
        <f>'0_Configuration'!$C$24</f>
        <v>0</v>
      </c>
      <c r="AQ50" s="6"/>
      <c r="AR50" s="194" t="b">
        <f>'0_Configuration'!$C$29</f>
        <v>1</v>
      </c>
      <c r="AS50" s="6" t="s">
        <v>1136</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F_13_13</v>
      </c>
      <c r="D51" s="188"/>
      <c r="E51" s="138"/>
      <c r="F51" s="138"/>
      <c r="G51" s="6" t="str">
        <f>_xlfn.XLOOKUP(F51,Tab_Def_Processes[Process_Name],Tab_Def_Processes[Process_ID],,0,)</f>
        <v>13</v>
      </c>
      <c r="H51" s="138"/>
      <c r="I51" s="9" t="str">
        <f>_xlfn.XLOOKUP(H51,Tab_Def_Processes[Process_Name],Tab_Def_Processes[Process_ID],,0,)</f>
        <v>13</v>
      </c>
      <c r="J51" s="138" t="s">
        <v>5</v>
      </c>
      <c r="K51" s="138" t="s">
        <v>5</v>
      </c>
      <c r="L51" s="138" t="s">
        <v>5</v>
      </c>
      <c r="M51" s="138" t="s">
        <v>5</v>
      </c>
      <c r="N51" s="138" t="s">
        <v>6</v>
      </c>
      <c r="O51" s="138" t="s">
        <v>6</v>
      </c>
      <c r="P51" s="6" t="str">
        <f>Tab_Def_Flows[[#This Row],[Flow_ID]]&amp;"_E1"</f>
        <v>F_13_13_E1</v>
      </c>
      <c r="R51" s="13"/>
      <c r="S51" s="6" t="str">
        <f>Tab_Def_Flows[[#This Row],[Flow_ID]]&amp;"_E2"</f>
        <v>F_13_13_E2</v>
      </c>
      <c r="T51" s="135"/>
      <c r="U51" s="13"/>
      <c r="V51" s="6" t="str">
        <f>Tab_Def_Flows[[#This Row],[Flow_ID]]&amp;"_E3"</f>
        <v>F_13_13_E3</v>
      </c>
      <c r="W51" s="135"/>
      <c r="X51" s="13"/>
      <c r="Y51" s="6" t="str">
        <f>Tab_Def_Flows[[#This Row],[Flow_ID]]&amp;"_E4"</f>
        <v>F_13_13_E4</v>
      </c>
      <c r="Z51" s="135"/>
      <c r="AA51" s="13"/>
      <c r="AB51" s="6" t="str">
        <f>Tab_Def_Flows[[#This Row],[Flow_ID]]&amp;"_E5"</f>
        <v>F_13_13_E5</v>
      </c>
      <c r="AC51" s="140"/>
      <c r="AD51" s="13"/>
      <c r="AE51" s="6" t="str">
        <f>Tab_Def_Flows[[#This Row],[Flow_ID]]&amp;"_E6"</f>
        <v>F_13_13_E6</v>
      </c>
      <c r="AF51" s="140"/>
      <c r="AG51" s="13"/>
      <c r="AH51" s="194" t="b">
        <f>'0_Configuration'!$C$2</f>
        <v>1</v>
      </c>
      <c r="AI51" s="6"/>
      <c r="AJ51" s="194" t="b">
        <f>'0_Configuration'!$C$6</f>
        <v>0</v>
      </c>
      <c r="AK51" s="6" t="s">
        <v>1122</v>
      </c>
      <c r="AL51" s="194" t="b">
        <f>'0_Configuration'!$C$10</f>
        <v>0</v>
      </c>
      <c r="AM51" s="6" t="s">
        <v>1122</v>
      </c>
      <c r="AN51" s="194" t="b">
        <f>'0_Configuration'!$C$17</f>
        <v>0</v>
      </c>
      <c r="AO51" s="6">
        <f>_xlfn.XLOOKUP(Tab_Def_Flows[[#This Row],[ODYM_Good_Type]],Tab_Configuration[Value],Tab_Configuration[ODYM_ID],,0,)</f>
        <v>0</v>
      </c>
      <c r="AP51" s="194" t="b">
        <f>'0_Configuration'!$C$24</f>
        <v>0</v>
      </c>
      <c r="AQ51" s="6"/>
      <c r="AR51" s="194" t="b">
        <f>'0_Configuration'!$C$29</f>
        <v>1</v>
      </c>
      <c r="AS51" s="6" t="s">
        <v>1136</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F_13_13</v>
      </c>
      <c r="D52" s="188"/>
      <c r="E52" s="138"/>
      <c r="F52" s="138"/>
      <c r="G52" s="6" t="str">
        <f>_xlfn.XLOOKUP(F52,Tab_Def_Processes[Process_Name],Tab_Def_Processes[Process_ID],,0,)</f>
        <v>13</v>
      </c>
      <c r="H52" s="138"/>
      <c r="I52" s="9" t="str">
        <f>_xlfn.XLOOKUP(H52,Tab_Def_Processes[Process_Name],Tab_Def_Processes[Process_ID],,0,)</f>
        <v>13</v>
      </c>
      <c r="J52" s="138" t="s">
        <v>5</v>
      </c>
      <c r="K52" s="138" t="s">
        <v>5</v>
      </c>
      <c r="L52" s="138" t="s">
        <v>5</v>
      </c>
      <c r="M52" s="138" t="s">
        <v>5</v>
      </c>
      <c r="N52" s="138" t="s">
        <v>6</v>
      </c>
      <c r="O52" s="138" t="s">
        <v>6</v>
      </c>
      <c r="P52" s="6" t="str">
        <f>Tab_Def_Flows[[#This Row],[Flow_ID]]&amp;"_E1"</f>
        <v>F_13_13_E1</v>
      </c>
      <c r="R52" s="13"/>
      <c r="S52" s="6" t="str">
        <f>Tab_Def_Flows[[#This Row],[Flow_ID]]&amp;"_E2"</f>
        <v>F_13_13_E2</v>
      </c>
      <c r="T52" s="135"/>
      <c r="U52" s="13"/>
      <c r="V52" s="6" t="str">
        <f>Tab_Def_Flows[[#This Row],[Flow_ID]]&amp;"_E3"</f>
        <v>F_13_13_E3</v>
      </c>
      <c r="W52" s="135"/>
      <c r="X52" s="13"/>
      <c r="Y52" s="6" t="str">
        <f>Tab_Def_Flows[[#This Row],[Flow_ID]]&amp;"_E4"</f>
        <v>F_13_13_E4</v>
      </c>
      <c r="Z52" s="135"/>
      <c r="AA52" s="13"/>
      <c r="AB52" s="6" t="str">
        <f>Tab_Def_Flows[[#This Row],[Flow_ID]]&amp;"_E5"</f>
        <v>F_13_13_E5</v>
      </c>
      <c r="AC52" s="140"/>
      <c r="AD52" s="13"/>
      <c r="AE52" s="6" t="str">
        <f>Tab_Def_Flows[[#This Row],[Flow_ID]]&amp;"_E6"</f>
        <v>F_13_13_E6</v>
      </c>
      <c r="AF52" s="140"/>
      <c r="AG52" s="13"/>
      <c r="AH52" s="194" t="b">
        <f>'0_Configuration'!$C$2</f>
        <v>1</v>
      </c>
      <c r="AI52" s="6"/>
      <c r="AJ52" s="194" t="b">
        <f>'0_Configuration'!$C$6</f>
        <v>0</v>
      </c>
      <c r="AK52" s="6" t="s">
        <v>1122</v>
      </c>
      <c r="AL52" s="194" t="b">
        <f>'0_Configuration'!$C$10</f>
        <v>0</v>
      </c>
      <c r="AM52" s="6" t="s">
        <v>1122</v>
      </c>
      <c r="AN52" s="194" t="b">
        <f>'0_Configuration'!$C$17</f>
        <v>0</v>
      </c>
      <c r="AO52" s="6">
        <f>_xlfn.XLOOKUP(Tab_Def_Flows[[#This Row],[ODYM_Good_Type]],Tab_Configuration[Value],Tab_Configuration[ODYM_ID],,0,)</f>
        <v>0</v>
      </c>
      <c r="AP52" s="194" t="b">
        <f>'0_Configuration'!$C$24</f>
        <v>0</v>
      </c>
      <c r="AQ52" s="6"/>
      <c r="AR52" s="194" t="b">
        <f>'0_Configuration'!$C$29</f>
        <v>1</v>
      </c>
      <c r="AS52" s="6" t="s">
        <v>1136</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F_13_13</v>
      </c>
      <c r="D53" s="188"/>
      <c r="E53" s="138"/>
      <c r="F53" s="138"/>
      <c r="G53" s="6" t="str">
        <f>_xlfn.XLOOKUP(F53,Tab_Def_Processes[Process_Name],Tab_Def_Processes[Process_ID],,0,)</f>
        <v>13</v>
      </c>
      <c r="H53" s="138"/>
      <c r="I53" s="9" t="str">
        <f>_xlfn.XLOOKUP(H53,Tab_Def_Processes[Process_Name],Tab_Def_Processes[Process_ID],,0,)</f>
        <v>13</v>
      </c>
      <c r="J53" s="138" t="s">
        <v>5</v>
      </c>
      <c r="K53" s="138" t="s">
        <v>5</v>
      </c>
      <c r="L53" s="138" t="s">
        <v>5</v>
      </c>
      <c r="M53" s="138" t="s">
        <v>5</v>
      </c>
      <c r="N53" s="138" t="s">
        <v>6</v>
      </c>
      <c r="O53" s="138" t="s">
        <v>6</v>
      </c>
      <c r="P53" s="6" t="str">
        <f>Tab_Def_Flows[[#This Row],[Flow_ID]]&amp;"_E1"</f>
        <v>F_13_13_E1</v>
      </c>
      <c r="R53" s="13"/>
      <c r="S53" s="6" t="str">
        <f>Tab_Def_Flows[[#This Row],[Flow_ID]]&amp;"_E2"</f>
        <v>F_13_13_E2</v>
      </c>
      <c r="T53" s="135"/>
      <c r="U53" s="13"/>
      <c r="V53" s="6" t="str">
        <f>Tab_Def_Flows[[#This Row],[Flow_ID]]&amp;"_E3"</f>
        <v>F_13_13_E3</v>
      </c>
      <c r="W53" s="135"/>
      <c r="X53" s="13"/>
      <c r="Y53" s="6" t="str">
        <f>Tab_Def_Flows[[#This Row],[Flow_ID]]&amp;"_E4"</f>
        <v>F_13_13_E4</v>
      </c>
      <c r="Z53" s="135"/>
      <c r="AA53" s="13"/>
      <c r="AB53" s="6" t="str">
        <f>Tab_Def_Flows[[#This Row],[Flow_ID]]&amp;"_E5"</f>
        <v>F_13_13_E5</v>
      </c>
      <c r="AC53" s="140"/>
      <c r="AD53" s="13"/>
      <c r="AE53" s="6" t="str">
        <f>Tab_Def_Flows[[#This Row],[Flow_ID]]&amp;"_E6"</f>
        <v>F_13_13_E6</v>
      </c>
      <c r="AF53" s="140"/>
      <c r="AG53" s="13"/>
      <c r="AH53" s="194" t="b">
        <f>'0_Configuration'!$C$2</f>
        <v>1</v>
      </c>
      <c r="AI53" s="6"/>
      <c r="AJ53" s="194" t="b">
        <f>'0_Configuration'!$C$6</f>
        <v>0</v>
      </c>
      <c r="AK53" s="6" t="s">
        <v>1122</v>
      </c>
      <c r="AL53" s="194" t="b">
        <f>'0_Configuration'!$C$10</f>
        <v>0</v>
      </c>
      <c r="AM53" s="6" t="s">
        <v>1122</v>
      </c>
      <c r="AN53" s="194" t="b">
        <f>'0_Configuration'!$C$17</f>
        <v>0</v>
      </c>
      <c r="AO53" s="6">
        <f>_xlfn.XLOOKUP(Tab_Def_Flows[[#This Row],[ODYM_Good_Type]],Tab_Configuration[Value],Tab_Configuration[ODYM_ID],,0,)</f>
        <v>0</v>
      </c>
      <c r="AP53" s="194" t="b">
        <f>'0_Configuration'!$C$24</f>
        <v>0</v>
      </c>
      <c r="AQ53" s="6"/>
      <c r="AR53" s="194" t="b">
        <f>'0_Configuration'!$C$29</f>
        <v>1</v>
      </c>
      <c r="AS53" s="6" t="s">
        <v>1136</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F_13_13</v>
      </c>
      <c r="D54" s="188"/>
      <c r="E54" s="138"/>
      <c r="F54" s="138"/>
      <c r="G54" s="6" t="str">
        <f>_xlfn.XLOOKUP(F54,Tab_Def_Processes[Process_Name],Tab_Def_Processes[Process_ID],,0,)</f>
        <v>13</v>
      </c>
      <c r="H54" s="138"/>
      <c r="I54" s="9" t="str">
        <f>_xlfn.XLOOKUP(H54,Tab_Def_Processes[Process_Name],Tab_Def_Processes[Process_ID],,0,)</f>
        <v>13</v>
      </c>
      <c r="J54" s="138" t="s">
        <v>5</v>
      </c>
      <c r="K54" s="138" t="s">
        <v>5</v>
      </c>
      <c r="L54" s="138" t="s">
        <v>5</v>
      </c>
      <c r="M54" s="138" t="s">
        <v>5</v>
      </c>
      <c r="N54" s="138" t="s">
        <v>6</v>
      </c>
      <c r="O54" s="138" t="s">
        <v>6</v>
      </c>
      <c r="P54" s="6" t="str">
        <f>Tab_Def_Flows[[#This Row],[Flow_ID]]&amp;"_E1"</f>
        <v>F_13_13_E1</v>
      </c>
      <c r="R54" s="13"/>
      <c r="S54" s="6" t="str">
        <f>Tab_Def_Flows[[#This Row],[Flow_ID]]&amp;"_E2"</f>
        <v>F_13_13_E2</v>
      </c>
      <c r="T54" s="135"/>
      <c r="U54" s="13"/>
      <c r="V54" s="6" t="str">
        <f>Tab_Def_Flows[[#This Row],[Flow_ID]]&amp;"_E3"</f>
        <v>F_13_13_E3</v>
      </c>
      <c r="W54" s="135"/>
      <c r="X54" s="13"/>
      <c r="Y54" s="6" t="str">
        <f>Tab_Def_Flows[[#This Row],[Flow_ID]]&amp;"_E4"</f>
        <v>F_13_13_E4</v>
      </c>
      <c r="Z54" s="135"/>
      <c r="AA54" s="13"/>
      <c r="AB54" s="6" t="str">
        <f>Tab_Def_Flows[[#This Row],[Flow_ID]]&amp;"_E5"</f>
        <v>F_13_13_E5</v>
      </c>
      <c r="AC54" s="140"/>
      <c r="AD54" s="13"/>
      <c r="AE54" s="6" t="str">
        <f>Tab_Def_Flows[[#This Row],[Flow_ID]]&amp;"_E6"</f>
        <v>F_13_13_E6</v>
      </c>
      <c r="AF54" s="140"/>
      <c r="AG54" s="13"/>
      <c r="AH54" s="194" t="b">
        <f>'0_Configuration'!$C$2</f>
        <v>1</v>
      </c>
      <c r="AI54" s="6"/>
      <c r="AJ54" s="194" t="b">
        <f>'0_Configuration'!$C$6</f>
        <v>0</v>
      </c>
      <c r="AK54" s="6" t="s">
        <v>1122</v>
      </c>
      <c r="AL54" s="194" t="b">
        <f>'0_Configuration'!$C$10</f>
        <v>0</v>
      </c>
      <c r="AM54" s="6" t="s">
        <v>1122</v>
      </c>
      <c r="AN54" s="194" t="b">
        <f>'0_Configuration'!$C$17</f>
        <v>0</v>
      </c>
      <c r="AO54" s="6">
        <f>_xlfn.XLOOKUP(Tab_Def_Flows[[#This Row],[ODYM_Good_Type]],Tab_Configuration[Value],Tab_Configuration[ODYM_ID],,0,)</f>
        <v>0</v>
      </c>
      <c r="AP54" s="194" t="b">
        <f>'0_Configuration'!$C$24</f>
        <v>0</v>
      </c>
      <c r="AQ54" s="6"/>
      <c r="AR54" s="194" t="b">
        <f>'0_Configuration'!$C$29</f>
        <v>1</v>
      </c>
      <c r="AS54" s="6" t="s">
        <v>1136</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F_13_13</v>
      </c>
      <c r="D55" s="188"/>
      <c r="E55" s="138"/>
      <c r="F55" s="138"/>
      <c r="G55" s="6" t="str">
        <f>_xlfn.XLOOKUP(F55,Tab_Def_Processes[Process_Name],Tab_Def_Processes[Process_ID],,0,)</f>
        <v>13</v>
      </c>
      <c r="H55" s="138"/>
      <c r="I55" s="9" t="str">
        <f>_xlfn.XLOOKUP(H55,Tab_Def_Processes[Process_Name],Tab_Def_Processes[Process_ID],,0,)</f>
        <v>13</v>
      </c>
      <c r="J55" s="138" t="s">
        <v>5</v>
      </c>
      <c r="K55" s="138" t="s">
        <v>5</v>
      </c>
      <c r="L55" s="138" t="s">
        <v>5</v>
      </c>
      <c r="M55" s="138" t="s">
        <v>5</v>
      </c>
      <c r="N55" s="138" t="s">
        <v>6</v>
      </c>
      <c r="O55" s="138" t="s">
        <v>6</v>
      </c>
      <c r="P55" s="6" t="str">
        <f>Tab_Def_Flows[[#This Row],[Flow_ID]]&amp;"_E1"</f>
        <v>F_13_13_E1</v>
      </c>
      <c r="R55" s="13"/>
      <c r="S55" s="6" t="str">
        <f>Tab_Def_Flows[[#This Row],[Flow_ID]]&amp;"_E2"</f>
        <v>F_13_13_E2</v>
      </c>
      <c r="T55" s="135"/>
      <c r="U55" s="13"/>
      <c r="V55" s="6" t="str">
        <f>Tab_Def_Flows[[#This Row],[Flow_ID]]&amp;"_E3"</f>
        <v>F_13_13_E3</v>
      </c>
      <c r="W55" s="135"/>
      <c r="X55" s="13"/>
      <c r="Y55" s="6" t="str">
        <f>Tab_Def_Flows[[#This Row],[Flow_ID]]&amp;"_E4"</f>
        <v>F_13_13_E4</v>
      </c>
      <c r="Z55" s="135"/>
      <c r="AA55" s="13"/>
      <c r="AB55" s="6" t="str">
        <f>Tab_Def_Flows[[#This Row],[Flow_ID]]&amp;"_E5"</f>
        <v>F_13_13_E5</v>
      </c>
      <c r="AC55" s="140"/>
      <c r="AD55" s="13"/>
      <c r="AE55" s="6" t="str">
        <f>Tab_Def_Flows[[#This Row],[Flow_ID]]&amp;"_E6"</f>
        <v>F_13_13_E6</v>
      </c>
      <c r="AF55" s="140"/>
      <c r="AG55" s="13"/>
      <c r="AH55" s="194" t="b">
        <f>'0_Configuration'!$C$2</f>
        <v>1</v>
      </c>
      <c r="AI55" s="6"/>
      <c r="AJ55" s="194" t="b">
        <f>'0_Configuration'!$C$6</f>
        <v>0</v>
      </c>
      <c r="AK55" s="6" t="s">
        <v>1122</v>
      </c>
      <c r="AL55" s="194" t="b">
        <f>'0_Configuration'!$C$10</f>
        <v>0</v>
      </c>
      <c r="AM55" s="6" t="s">
        <v>1122</v>
      </c>
      <c r="AN55" s="194" t="b">
        <f>'0_Configuration'!$C$17</f>
        <v>0</v>
      </c>
      <c r="AO55" s="6">
        <f>_xlfn.XLOOKUP(Tab_Def_Flows[[#This Row],[ODYM_Good_Type]],Tab_Configuration[Value],Tab_Configuration[ODYM_ID],,0,)</f>
        <v>0</v>
      </c>
      <c r="AP55" s="194" t="b">
        <f>'0_Configuration'!$C$24</f>
        <v>0</v>
      </c>
      <c r="AQ55" s="6"/>
      <c r="AR55" s="194" t="b">
        <f>'0_Configuration'!$C$29</f>
        <v>1</v>
      </c>
      <c r="AS55" s="6" t="s">
        <v>1136</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F_13_13</v>
      </c>
      <c r="D56" s="188"/>
      <c r="E56" s="138"/>
      <c r="F56" s="138"/>
      <c r="G56" s="6" t="str">
        <f>_xlfn.XLOOKUP(F56,Tab_Def_Processes[Process_Name],Tab_Def_Processes[Process_ID],,0,)</f>
        <v>13</v>
      </c>
      <c r="H56" s="138"/>
      <c r="I56" s="9" t="str">
        <f>_xlfn.XLOOKUP(H56,Tab_Def_Processes[Process_Name],Tab_Def_Processes[Process_ID],,0,)</f>
        <v>13</v>
      </c>
      <c r="J56" s="138" t="s">
        <v>5</v>
      </c>
      <c r="K56" s="138" t="s">
        <v>5</v>
      </c>
      <c r="L56" s="138" t="s">
        <v>5</v>
      </c>
      <c r="M56" s="138" t="s">
        <v>5</v>
      </c>
      <c r="N56" s="138" t="s">
        <v>6</v>
      </c>
      <c r="O56" s="138" t="s">
        <v>6</v>
      </c>
      <c r="P56" s="6" t="str">
        <f>Tab_Def_Flows[[#This Row],[Flow_ID]]&amp;"_E1"</f>
        <v>F_13_13_E1</v>
      </c>
      <c r="R56" s="13"/>
      <c r="S56" s="6" t="str">
        <f>Tab_Def_Flows[[#This Row],[Flow_ID]]&amp;"_E2"</f>
        <v>F_13_13_E2</v>
      </c>
      <c r="T56" s="135"/>
      <c r="U56" s="13"/>
      <c r="V56" s="6" t="str">
        <f>Tab_Def_Flows[[#This Row],[Flow_ID]]&amp;"_E3"</f>
        <v>F_13_13_E3</v>
      </c>
      <c r="W56" s="135"/>
      <c r="X56" s="13"/>
      <c r="Y56" s="6" t="str">
        <f>Tab_Def_Flows[[#This Row],[Flow_ID]]&amp;"_E4"</f>
        <v>F_13_13_E4</v>
      </c>
      <c r="Z56" s="135"/>
      <c r="AA56" s="13"/>
      <c r="AB56" s="6" t="str">
        <f>Tab_Def_Flows[[#This Row],[Flow_ID]]&amp;"_E5"</f>
        <v>F_13_13_E5</v>
      </c>
      <c r="AC56" s="140"/>
      <c r="AD56" s="13"/>
      <c r="AE56" s="6" t="str">
        <f>Tab_Def_Flows[[#This Row],[Flow_ID]]&amp;"_E6"</f>
        <v>F_13_13_E6</v>
      </c>
      <c r="AF56" s="140"/>
      <c r="AG56" s="13"/>
      <c r="AH56" s="194" t="b">
        <f>'0_Configuration'!$C$2</f>
        <v>1</v>
      </c>
      <c r="AI56" s="6"/>
      <c r="AJ56" s="194" t="b">
        <f>'0_Configuration'!$C$6</f>
        <v>0</v>
      </c>
      <c r="AK56" s="6" t="s">
        <v>1122</v>
      </c>
      <c r="AL56" s="194" t="b">
        <f>'0_Configuration'!$C$10</f>
        <v>0</v>
      </c>
      <c r="AM56" s="6" t="s">
        <v>1122</v>
      </c>
      <c r="AN56" s="194" t="b">
        <f>'0_Configuration'!$C$17</f>
        <v>0</v>
      </c>
      <c r="AO56" s="6">
        <f>_xlfn.XLOOKUP(Tab_Def_Flows[[#This Row],[ODYM_Good_Type]],Tab_Configuration[Value],Tab_Configuration[ODYM_ID],,0,)</f>
        <v>0</v>
      </c>
      <c r="AP56" s="194" t="b">
        <f>'0_Configuration'!$C$24</f>
        <v>0</v>
      </c>
      <c r="AQ56" s="6"/>
      <c r="AR56" s="194" t="b">
        <f>'0_Configuration'!$C$29</f>
        <v>1</v>
      </c>
      <c r="AS56" s="6" t="s">
        <v>1136</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F_13_13</v>
      </c>
      <c r="D57" s="188"/>
      <c r="E57" s="138"/>
      <c r="F57" s="138"/>
      <c r="G57" s="6" t="str">
        <f>_xlfn.XLOOKUP(F57,Tab_Def_Processes[Process_Name],Tab_Def_Processes[Process_ID],,0,)</f>
        <v>13</v>
      </c>
      <c r="H57" s="138"/>
      <c r="I57" s="9" t="str">
        <f>_xlfn.XLOOKUP(H57,Tab_Def_Processes[Process_Name],Tab_Def_Processes[Process_ID],,0,)</f>
        <v>13</v>
      </c>
      <c r="J57" s="138" t="s">
        <v>5</v>
      </c>
      <c r="K57" s="138" t="s">
        <v>5</v>
      </c>
      <c r="L57" s="138" t="s">
        <v>5</v>
      </c>
      <c r="M57" s="138" t="s">
        <v>5</v>
      </c>
      <c r="N57" s="138" t="s">
        <v>6</v>
      </c>
      <c r="O57" s="138" t="s">
        <v>6</v>
      </c>
      <c r="P57" s="6" t="str">
        <f>Tab_Def_Flows[[#This Row],[Flow_ID]]&amp;"_E1"</f>
        <v>F_13_13_E1</v>
      </c>
      <c r="R57" s="13"/>
      <c r="S57" s="6" t="str">
        <f>Tab_Def_Flows[[#This Row],[Flow_ID]]&amp;"_E2"</f>
        <v>F_13_13_E2</v>
      </c>
      <c r="T57" s="135"/>
      <c r="U57" s="13"/>
      <c r="V57" s="6" t="str">
        <f>Tab_Def_Flows[[#This Row],[Flow_ID]]&amp;"_E3"</f>
        <v>F_13_13_E3</v>
      </c>
      <c r="W57" s="135"/>
      <c r="X57" s="13"/>
      <c r="Y57" s="6" t="str">
        <f>Tab_Def_Flows[[#This Row],[Flow_ID]]&amp;"_E4"</f>
        <v>F_13_13_E4</v>
      </c>
      <c r="Z57" s="135"/>
      <c r="AA57" s="13"/>
      <c r="AB57" s="6" t="str">
        <f>Tab_Def_Flows[[#This Row],[Flow_ID]]&amp;"_E5"</f>
        <v>F_13_13_E5</v>
      </c>
      <c r="AC57" s="140"/>
      <c r="AD57" s="13"/>
      <c r="AE57" s="6" t="str">
        <f>Tab_Def_Flows[[#This Row],[Flow_ID]]&amp;"_E6"</f>
        <v>F_13_13_E6</v>
      </c>
      <c r="AF57" s="140"/>
      <c r="AG57" s="13"/>
      <c r="AH57" s="194" t="b">
        <f>'0_Configuration'!$C$2</f>
        <v>1</v>
      </c>
      <c r="AI57" s="6"/>
      <c r="AJ57" s="194" t="b">
        <f>'0_Configuration'!$C$6</f>
        <v>0</v>
      </c>
      <c r="AK57" s="6" t="s">
        <v>1122</v>
      </c>
      <c r="AL57" s="194" t="b">
        <f>'0_Configuration'!$C$10</f>
        <v>0</v>
      </c>
      <c r="AM57" s="6" t="s">
        <v>1122</v>
      </c>
      <c r="AN57" s="194" t="b">
        <f>'0_Configuration'!$C$17</f>
        <v>0</v>
      </c>
      <c r="AO57" s="6">
        <f>_xlfn.XLOOKUP(Tab_Def_Flows[[#This Row],[ODYM_Good_Type]],Tab_Configuration[Value],Tab_Configuration[ODYM_ID],,0,)</f>
        <v>0</v>
      </c>
      <c r="AP57" s="194" t="b">
        <f>'0_Configuration'!$C$24</f>
        <v>0</v>
      </c>
      <c r="AQ57" s="6"/>
      <c r="AR57" s="194" t="b">
        <f>'0_Configuration'!$C$29</f>
        <v>1</v>
      </c>
      <c r="AS57" s="6" t="s">
        <v>1136</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F_13_13</v>
      </c>
      <c r="D58" s="188"/>
      <c r="E58" s="138"/>
      <c r="F58" s="138"/>
      <c r="G58" s="6" t="str">
        <f>_xlfn.XLOOKUP(F58,Tab_Def_Processes[Process_Name],Tab_Def_Processes[Process_ID],,0,)</f>
        <v>13</v>
      </c>
      <c r="H58" s="138"/>
      <c r="I58" s="9" t="str">
        <f>_xlfn.XLOOKUP(H58,Tab_Def_Processes[Process_Name],Tab_Def_Processes[Process_ID],,0,)</f>
        <v>13</v>
      </c>
      <c r="J58" s="138" t="s">
        <v>5</v>
      </c>
      <c r="K58" s="138" t="s">
        <v>5</v>
      </c>
      <c r="L58" s="138" t="s">
        <v>5</v>
      </c>
      <c r="M58" s="138" t="s">
        <v>5</v>
      </c>
      <c r="N58" s="138" t="s">
        <v>6</v>
      </c>
      <c r="O58" s="138" t="s">
        <v>6</v>
      </c>
      <c r="P58" s="6" t="str">
        <f>Tab_Def_Flows[[#This Row],[Flow_ID]]&amp;"_E1"</f>
        <v>F_13_13_E1</v>
      </c>
      <c r="R58" s="13"/>
      <c r="S58" s="6" t="str">
        <f>Tab_Def_Flows[[#This Row],[Flow_ID]]&amp;"_E2"</f>
        <v>F_13_13_E2</v>
      </c>
      <c r="T58" s="135"/>
      <c r="U58" s="13"/>
      <c r="V58" s="6" t="str">
        <f>Tab_Def_Flows[[#This Row],[Flow_ID]]&amp;"_E3"</f>
        <v>F_13_13_E3</v>
      </c>
      <c r="W58" s="135"/>
      <c r="X58" s="13"/>
      <c r="Y58" s="6" t="str">
        <f>Tab_Def_Flows[[#This Row],[Flow_ID]]&amp;"_E4"</f>
        <v>F_13_13_E4</v>
      </c>
      <c r="Z58" s="135"/>
      <c r="AA58" s="13"/>
      <c r="AB58" s="6" t="str">
        <f>Tab_Def_Flows[[#This Row],[Flow_ID]]&amp;"_E5"</f>
        <v>F_13_13_E5</v>
      </c>
      <c r="AC58" s="140"/>
      <c r="AD58" s="13"/>
      <c r="AE58" s="6" t="str">
        <f>Tab_Def_Flows[[#This Row],[Flow_ID]]&amp;"_E6"</f>
        <v>F_13_13_E6</v>
      </c>
      <c r="AF58" s="140"/>
      <c r="AG58" s="13"/>
      <c r="AH58" s="194" t="b">
        <f>'0_Configuration'!$C$2</f>
        <v>1</v>
      </c>
      <c r="AI58" s="6"/>
      <c r="AJ58" s="194" t="b">
        <f>'0_Configuration'!$C$6</f>
        <v>0</v>
      </c>
      <c r="AK58" s="6" t="s">
        <v>1122</v>
      </c>
      <c r="AL58" s="194" t="b">
        <f>'0_Configuration'!$C$10</f>
        <v>0</v>
      </c>
      <c r="AM58" s="6" t="s">
        <v>1122</v>
      </c>
      <c r="AN58" s="194" t="b">
        <f>'0_Configuration'!$C$17</f>
        <v>0</v>
      </c>
      <c r="AO58" s="6">
        <f>_xlfn.XLOOKUP(Tab_Def_Flows[[#This Row],[ODYM_Good_Type]],Tab_Configuration[Value],Tab_Configuration[ODYM_ID],,0,)</f>
        <v>0</v>
      </c>
      <c r="AP58" s="194" t="b">
        <f>'0_Configuration'!$C$24</f>
        <v>0</v>
      </c>
      <c r="AQ58" s="6"/>
      <c r="AR58" s="194" t="b">
        <f>'0_Configuration'!$C$29</f>
        <v>1</v>
      </c>
      <c r="AS58" s="6" t="s">
        <v>1136</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F_13_13</v>
      </c>
      <c r="D59" s="188"/>
      <c r="E59" s="138"/>
      <c r="F59" s="138"/>
      <c r="G59" s="6" t="str">
        <f>_xlfn.XLOOKUP(F59,Tab_Def_Processes[Process_Name],Tab_Def_Processes[Process_ID],,0,)</f>
        <v>13</v>
      </c>
      <c r="H59" s="138"/>
      <c r="I59" s="9" t="str">
        <f>_xlfn.XLOOKUP(H59,Tab_Def_Processes[Process_Name],Tab_Def_Processes[Process_ID],,0,)</f>
        <v>13</v>
      </c>
      <c r="J59" s="138" t="s">
        <v>5</v>
      </c>
      <c r="K59" s="138" t="s">
        <v>5</v>
      </c>
      <c r="L59" s="138" t="s">
        <v>5</v>
      </c>
      <c r="M59" s="138" t="s">
        <v>5</v>
      </c>
      <c r="N59" s="138" t="s">
        <v>6</v>
      </c>
      <c r="O59" s="138" t="s">
        <v>6</v>
      </c>
      <c r="P59" s="6" t="str">
        <f>Tab_Def_Flows[[#This Row],[Flow_ID]]&amp;"_E1"</f>
        <v>F_13_13_E1</v>
      </c>
      <c r="R59" s="13"/>
      <c r="S59" s="6" t="str">
        <f>Tab_Def_Flows[[#This Row],[Flow_ID]]&amp;"_E2"</f>
        <v>F_13_13_E2</v>
      </c>
      <c r="T59" s="135"/>
      <c r="U59" s="13"/>
      <c r="V59" s="6" t="str">
        <f>Tab_Def_Flows[[#This Row],[Flow_ID]]&amp;"_E3"</f>
        <v>F_13_13_E3</v>
      </c>
      <c r="W59" s="135"/>
      <c r="X59" s="13"/>
      <c r="Y59" s="6" t="str">
        <f>Tab_Def_Flows[[#This Row],[Flow_ID]]&amp;"_E4"</f>
        <v>F_13_13_E4</v>
      </c>
      <c r="Z59" s="135"/>
      <c r="AA59" s="13"/>
      <c r="AB59" s="6" t="str">
        <f>Tab_Def_Flows[[#This Row],[Flow_ID]]&amp;"_E5"</f>
        <v>F_13_13_E5</v>
      </c>
      <c r="AC59" s="140"/>
      <c r="AD59" s="13"/>
      <c r="AE59" s="6" t="str">
        <f>Tab_Def_Flows[[#This Row],[Flow_ID]]&amp;"_E6"</f>
        <v>F_13_13_E6</v>
      </c>
      <c r="AF59" s="140"/>
      <c r="AG59" s="13"/>
      <c r="AH59" s="194" t="b">
        <f>'0_Configuration'!$C$2</f>
        <v>1</v>
      </c>
      <c r="AI59" s="6"/>
      <c r="AJ59" s="194" t="b">
        <f>'0_Configuration'!$C$6</f>
        <v>0</v>
      </c>
      <c r="AK59" s="6" t="s">
        <v>1122</v>
      </c>
      <c r="AL59" s="194" t="b">
        <f>'0_Configuration'!$C$10</f>
        <v>0</v>
      </c>
      <c r="AM59" s="6" t="s">
        <v>1122</v>
      </c>
      <c r="AN59" s="194" t="b">
        <f>'0_Configuration'!$C$17</f>
        <v>0</v>
      </c>
      <c r="AO59" s="6">
        <f>_xlfn.XLOOKUP(Tab_Def_Flows[[#This Row],[ODYM_Good_Type]],Tab_Configuration[Value],Tab_Configuration[ODYM_ID],,0,)</f>
        <v>0</v>
      </c>
      <c r="AP59" s="194" t="b">
        <f>'0_Configuration'!$C$24</f>
        <v>0</v>
      </c>
      <c r="AQ59" s="6"/>
      <c r="AR59" s="194" t="b">
        <f>'0_Configuration'!$C$29</f>
        <v>1</v>
      </c>
      <c r="AS59" s="6" t="s">
        <v>1136</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F_13_13</v>
      </c>
      <c r="D60" s="188"/>
      <c r="E60" s="138"/>
      <c r="F60" s="138"/>
      <c r="G60" s="6" t="str">
        <f>_xlfn.XLOOKUP(F60,Tab_Def_Processes[Process_Name],Tab_Def_Processes[Process_ID],,0,)</f>
        <v>13</v>
      </c>
      <c r="H60" s="138"/>
      <c r="I60" s="9" t="str">
        <f>_xlfn.XLOOKUP(H60,Tab_Def_Processes[Process_Name],Tab_Def_Processes[Process_ID],,0,)</f>
        <v>13</v>
      </c>
      <c r="J60" s="138" t="s">
        <v>5</v>
      </c>
      <c r="K60" s="138" t="s">
        <v>5</v>
      </c>
      <c r="L60" s="138" t="s">
        <v>5</v>
      </c>
      <c r="M60" s="138" t="s">
        <v>5</v>
      </c>
      <c r="N60" s="138" t="s">
        <v>6</v>
      </c>
      <c r="O60" s="138" t="s">
        <v>6</v>
      </c>
      <c r="P60" s="6" t="str">
        <f>Tab_Def_Flows[[#This Row],[Flow_ID]]&amp;"_E1"</f>
        <v>F_13_13_E1</v>
      </c>
      <c r="R60" s="13"/>
      <c r="S60" s="6" t="str">
        <f>Tab_Def_Flows[[#This Row],[Flow_ID]]&amp;"_E2"</f>
        <v>F_13_13_E2</v>
      </c>
      <c r="T60" s="135"/>
      <c r="U60" s="13"/>
      <c r="V60" s="6" t="str">
        <f>Tab_Def_Flows[[#This Row],[Flow_ID]]&amp;"_E3"</f>
        <v>F_13_13_E3</v>
      </c>
      <c r="W60" s="135"/>
      <c r="X60" s="13"/>
      <c r="Y60" s="6" t="str">
        <f>Tab_Def_Flows[[#This Row],[Flow_ID]]&amp;"_E4"</f>
        <v>F_13_13_E4</v>
      </c>
      <c r="Z60" s="135"/>
      <c r="AA60" s="13"/>
      <c r="AB60" s="6" t="str">
        <f>Tab_Def_Flows[[#This Row],[Flow_ID]]&amp;"_E5"</f>
        <v>F_13_13_E5</v>
      </c>
      <c r="AC60" s="140"/>
      <c r="AD60" s="13"/>
      <c r="AE60" s="6" t="str">
        <f>Tab_Def_Flows[[#This Row],[Flow_ID]]&amp;"_E6"</f>
        <v>F_13_13_E6</v>
      </c>
      <c r="AF60" s="140"/>
      <c r="AG60" s="13"/>
      <c r="AH60" s="194" t="b">
        <f>'0_Configuration'!$C$2</f>
        <v>1</v>
      </c>
      <c r="AI60" s="6"/>
      <c r="AJ60" s="194" t="b">
        <f>'0_Configuration'!$C$6</f>
        <v>0</v>
      </c>
      <c r="AK60" s="6" t="s">
        <v>1122</v>
      </c>
      <c r="AL60" s="194" t="b">
        <f>'0_Configuration'!$C$10</f>
        <v>0</v>
      </c>
      <c r="AM60" s="6" t="s">
        <v>1122</v>
      </c>
      <c r="AN60" s="194" t="b">
        <f>'0_Configuration'!$C$17</f>
        <v>0</v>
      </c>
      <c r="AO60" s="6">
        <f>_xlfn.XLOOKUP(Tab_Def_Flows[[#This Row],[ODYM_Good_Type]],Tab_Configuration[Value],Tab_Configuration[ODYM_ID],,0,)</f>
        <v>0</v>
      </c>
      <c r="AP60" s="194" t="b">
        <f>'0_Configuration'!$C$24</f>
        <v>0</v>
      </c>
      <c r="AQ60" s="6"/>
      <c r="AR60" s="194" t="b">
        <f>'0_Configuration'!$C$29</f>
        <v>1</v>
      </c>
      <c r="AS60" s="6" t="s">
        <v>1136</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F_13_13</v>
      </c>
      <c r="D61" s="188"/>
      <c r="E61" s="138"/>
      <c r="F61" s="138"/>
      <c r="G61" s="6" t="str">
        <f>_xlfn.XLOOKUP(F61,Tab_Def_Processes[Process_Name],Tab_Def_Processes[Process_ID],,0,)</f>
        <v>13</v>
      </c>
      <c r="H61" s="138"/>
      <c r="I61" s="9" t="str">
        <f>_xlfn.XLOOKUP(H61,Tab_Def_Processes[Process_Name],Tab_Def_Processes[Process_ID],,0,)</f>
        <v>13</v>
      </c>
      <c r="J61" s="138" t="s">
        <v>5</v>
      </c>
      <c r="K61" s="138" t="s">
        <v>5</v>
      </c>
      <c r="L61" s="138" t="s">
        <v>5</v>
      </c>
      <c r="M61" s="138" t="s">
        <v>5</v>
      </c>
      <c r="N61" s="138" t="s">
        <v>6</v>
      </c>
      <c r="O61" s="138" t="s">
        <v>6</v>
      </c>
      <c r="P61" s="6" t="str">
        <f>Tab_Def_Flows[[#This Row],[Flow_ID]]&amp;"_E1"</f>
        <v>F_13_13_E1</v>
      </c>
      <c r="R61" s="13"/>
      <c r="S61" s="6" t="str">
        <f>Tab_Def_Flows[[#This Row],[Flow_ID]]&amp;"_E2"</f>
        <v>F_13_13_E2</v>
      </c>
      <c r="T61" s="135"/>
      <c r="U61" s="13"/>
      <c r="V61" s="6" t="str">
        <f>Tab_Def_Flows[[#This Row],[Flow_ID]]&amp;"_E3"</f>
        <v>F_13_13_E3</v>
      </c>
      <c r="W61" s="135"/>
      <c r="X61" s="13"/>
      <c r="Y61" s="6" t="str">
        <f>Tab_Def_Flows[[#This Row],[Flow_ID]]&amp;"_E4"</f>
        <v>F_13_13_E4</v>
      </c>
      <c r="Z61" s="135"/>
      <c r="AA61" s="13"/>
      <c r="AB61" s="6" t="str">
        <f>Tab_Def_Flows[[#This Row],[Flow_ID]]&amp;"_E5"</f>
        <v>F_13_13_E5</v>
      </c>
      <c r="AC61" s="140"/>
      <c r="AD61" s="13"/>
      <c r="AE61" s="6" t="str">
        <f>Tab_Def_Flows[[#This Row],[Flow_ID]]&amp;"_E6"</f>
        <v>F_13_13_E6</v>
      </c>
      <c r="AF61" s="140"/>
      <c r="AG61" s="13"/>
      <c r="AH61" s="194" t="b">
        <f>'0_Configuration'!$C$2</f>
        <v>1</v>
      </c>
      <c r="AI61" s="6"/>
      <c r="AJ61" s="194" t="b">
        <f>'0_Configuration'!$C$6</f>
        <v>0</v>
      </c>
      <c r="AK61" s="6" t="s">
        <v>1122</v>
      </c>
      <c r="AL61" s="194" t="b">
        <f>'0_Configuration'!$C$10</f>
        <v>0</v>
      </c>
      <c r="AM61" s="6" t="s">
        <v>1122</v>
      </c>
      <c r="AN61" s="194" t="b">
        <f>'0_Configuration'!$C$17</f>
        <v>0</v>
      </c>
      <c r="AO61" s="6">
        <f>_xlfn.XLOOKUP(Tab_Def_Flows[[#This Row],[ODYM_Good_Type]],Tab_Configuration[Value],Tab_Configuration[ODYM_ID],,0,)</f>
        <v>0</v>
      </c>
      <c r="AP61" s="194" t="b">
        <f>'0_Configuration'!$C$24</f>
        <v>0</v>
      </c>
      <c r="AQ61" s="6"/>
      <c r="AR61" s="194" t="b">
        <f>'0_Configuration'!$C$29</f>
        <v>1</v>
      </c>
      <c r="AS61" s="6" t="s">
        <v>1136</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F_13_13</v>
      </c>
      <c r="D62" s="188"/>
      <c r="E62" s="138"/>
      <c r="F62" s="138"/>
      <c r="G62" s="6" t="str">
        <f>_xlfn.XLOOKUP(F62,Tab_Def_Processes[Process_Name],Tab_Def_Processes[Process_ID],,0,)</f>
        <v>13</v>
      </c>
      <c r="H62" s="138"/>
      <c r="I62" s="9" t="str">
        <f>_xlfn.XLOOKUP(H62,Tab_Def_Processes[Process_Name],Tab_Def_Processes[Process_ID],,0,)</f>
        <v>13</v>
      </c>
      <c r="J62" s="138" t="s">
        <v>5</v>
      </c>
      <c r="K62" s="138" t="s">
        <v>5</v>
      </c>
      <c r="L62" s="138" t="s">
        <v>5</v>
      </c>
      <c r="M62" s="138" t="s">
        <v>5</v>
      </c>
      <c r="N62" s="138" t="s">
        <v>6</v>
      </c>
      <c r="O62" s="138" t="s">
        <v>6</v>
      </c>
      <c r="P62" s="6" t="str">
        <f>Tab_Def_Flows[[#This Row],[Flow_ID]]&amp;"_E1"</f>
        <v>F_13_13_E1</v>
      </c>
      <c r="R62" s="13"/>
      <c r="S62" s="6" t="str">
        <f>Tab_Def_Flows[[#This Row],[Flow_ID]]&amp;"_E2"</f>
        <v>F_13_13_E2</v>
      </c>
      <c r="T62" s="135"/>
      <c r="U62" s="13"/>
      <c r="V62" s="6" t="str">
        <f>Tab_Def_Flows[[#This Row],[Flow_ID]]&amp;"_E3"</f>
        <v>F_13_13_E3</v>
      </c>
      <c r="W62" s="135"/>
      <c r="X62" s="13"/>
      <c r="Y62" s="6" t="str">
        <f>Tab_Def_Flows[[#This Row],[Flow_ID]]&amp;"_E4"</f>
        <v>F_13_13_E4</v>
      </c>
      <c r="Z62" s="135"/>
      <c r="AA62" s="13"/>
      <c r="AB62" s="6" t="str">
        <f>Tab_Def_Flows[[#This Row],[Flow_ID]]&amp;"_E5"</f>
        <v>F_13_13_E5</v>
      </c>
      <c r="AC62" s="140"/>
      <c r="AD62" s="13"/>
      <c r="AE62" s="6" t="str">
        <f>Tab_Def_Flows[[#This Row],[Flow_ID]]&amp;"_E6"</f>
        <v>F_13_13_E6</v>
      </c>
      <c r="AF62" s="140"/>
      <c r="AG62" s="13"/>
      <c r="AH62" s="194" t="b">
        <f>'0_Configuration'!$C$2</f>
        <v>1</v>
      </c>
      <c r="AI62" s="6"/>
      <c r="AJ62" s="194" t="b">
        <f>'0_Configuration'!$C$6</f>
        <v>0</v>
      </c>
      <c r="AK62" s="6" t="s">
        <v>1122</v>
      </c>
      <c r="AL62" s="194" t="b">
        <f>'0_Configuration'!$C$10</f>
        <v>0</v>
      </c>
      <c r="AM62" s="6" t="s">
        <v>1122</v>
      </c>
      <c r="AN62" s="194" t="b">
        <f>'0_Configuration'!$C$17</f>
        <v>0</v>
      </c>
      <c r="AO62" s="6">
        <f>_xlfn.XLOOKUP(Tab_Def_Flows[[#This Row],[ODYM_Good_Type]],Tab_Configuration[Value],Tab_Configuration[ODYM_ID],,0,)</f>
        <v>0</v>
      </c>
      <c r="AP62" s="194" t="b">
        <f>'0_Configuration'!$C$24</f>
        <v>0</v>
      </c>
      <c r="AQ62" s="6"/>
      <c r="AR62" s="194" t="b">
        <f>'0_Configuration'!$C$29</f>
        <v>1</v>
      </c>
      <c r="AS62" s="6" t="s">
        <v>1136</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F_13_13</v>
      </c>
      <c r="D63" s="188"/>
      <c r="E63" s="138"/>
      <c r="F63" s="138"/>
      <c r="G63" s="6" t="str">
        <f>_xlfn.XLOOKUP(F63,Tab_Def_Processes[Process_Name],Tab_Def_Processes[Process_ID],,0,)</f>
        <v>13</v>
      </c>
      <c r="H63" s="138"/>
      <c r="I63" s="9" t="str">
        <f>_xlfn.XLOOKUP(H63,Tab_Def_Processes[Process_Name],Tab_Def_Processes[Process_ID],,0,)</f>
        <v>13</v>
      </c>
      <c r="J63" s="138" t="s">
        <v>5</v>
      </c>
      <c r="K63" s="138" t="s">
        <v>5</v>
      </c>
      <c r="L63" s="138" t="s">
        <v>5</v>
      </c>
      <c r="M63" s="138" t="s">
        <v>5</v>
      </c>
      <c r="N63" s="138" t="s">
        <v>6</v>
      </c>
      <c r="O63" s="138" t="s">
        <v>6</v>
      </c>
      <c r="P63" s="6" t="str">
        <f>Tab_Def_Flows[[#This Row],[Flow_ID]]&amp;"_E1"</f>
        <v>F_13_13_E1</v>
      </c>
      <c r="R63" s="13"/>
      <c r="S63" s="6" t="str">
        <f>Tab_Def_Flows[[#This Row],[Flow_ID]]&amp;"_E2"</f>
        <v>F_13_13_E2</v>
      </c>
      <c r="T63" s="135"/>
      <c r="U63" s="13"/>
      <c r="V63" s="6" t="str">
        <f>Tab_Def_Flows[[#This Row],[Flow_ID]]&amp;"_E3"</f>
        <v>F_13_13_E3</v>
      </c>
      <c r="W63" s="135"/>
      <c r="X63" s="13"/>
      <c r="Y63" s="6" t="str">
        <f>Tab_Def_Flows[[#This Row],[Flow_ID]]&amp;"_E4"</f>
        <v>F_13_13_E4</v>
      </c>
      <c r="Z63" s="135"/>
      <c r="AA63" s="13"/>
      <c r="AB63" s="6" t="str">
        <f>Tab_Def_Flows[[#This Row],[Flow_ID]]&amp;"_E5"</f>
        <v>F_13_13_E5</v>
      </c>
      <c r="AC63" s="140"/>
      <c r="AD63" s="13"/>
      <c r="AE63" s="6" t="str">
        <f>Tab_Def_Flows[[#This Row],[Flow_ID]]&amp;"_E6"</f>
        <v>F_13_13_E6</v>
      </c>
      <c r="AF63" s="140"/>
      <c r="AG63" s="13"/>
      <c r="AH63" s="194" t="b">
        <f>'0_Configuration'!$C$2</f>
        <v>1</v>
      </c>
      <c r="AI63" s="6"/>
      <c r="AJ63" s="194" t="b">
        <f>'0_Configuration'!$C$6</f>
        <v>0</v>
      </c>
      <c r="AK63" s="6" t="s">
        <v>1122</v>
      </c>
      <c r="AL63" s="194" t="b">
        <f>'0_Configuration'!$C$10</f>
        <v>0</v>
      </c>
      <c r="AM63" s="6" t="s">
        <v>1122</v>
      </c>
      <c r="AN63" s="194" t="b">
        <f>'0_Configuration'!$C$17</f>
        <v>0</v>
      </c>
      <c r="AO63" s="6">
        <f>_xlfn.XLOOKUP(Tab_Def_Flows[[#This Row],[ODYM_Good_Type]],Tab_Configuration[Value],Tab_Configuration[ODYM_ID],,0,)</f>
        <v>0</v>
      </c>
      <c r="AP63" s="194" t="b">
        <f>'0_Configuration'!$C$24</f>
        <v>0</v>
      </c>
      <c r="AQ63" s="6"/>
      <c r="AR63" s="194" t="b">
        <f>'0_Configuration'!$C$29</f>
        <v>1</v>
      </c>
      <c r="AS63" s="6" t="s">
        <v>1136</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F_13_13</v>
      </c>
      <c r="D64" s="188"/>
      <c r="E64" s="138"/>
      <c r="F64" s="138"/>
      <c r="G64" s="6" t="str">
        <f>_xlfn.XLOOKUP(F64,Tab_Def_Processes[Process_Name],Tab_Def_Processes[Process_ID],,0,)</f>
        <v>13</v>
      </c>
      <c r="H64" s="138"/>
      <c r="I64" s="9" t="str">
        <f>_xlfn.XLOOKUP(H64,Tab_Def_Processes[Process_Name],Tab_Def_Processes[Process_ID],,0,)</f>
        <v>13</v>
      </c>
      <c r="J64" s="138" t="s">
        <v>5</v>
      </c>
      <c r="K64" s="138" t="s">
        <v>5</v>
      </c>
      <c r="L64" s="138" t="s">
        <v>5</v>
      </c>
      <c r="M64" s="138" t="s">
        <v>5</v>
      </c>
      <c r="N64" s="138" t="s">
        <v>6</v>
      </c>
      <c r="O64" s="138" t="s">
        <v>6</v>
      </c>
      <c r="P64" s="6" t="str">
        <f>Tab_Def_Flows[[#This Row],[Flow_ID]]&amp;"_E1"</f>
        <v>F_13_13_E1</v>
      </c>
      <c r="R64" s="13"/>
      <c r="S64" s="6" t="str">
        <f>Tab_Def_Flows[[#This Row],[Flow_ID]]&amp;"_E2"</f>
        <v>F_13_13_E2</v>
      </c>
      <c r="T64" s="135"/>
      <c r="U64" s="13"/>
      <c r="V64" s="6" t="str">
        <f>Tab_Def_Flows[[#This Row],[Flow_ID]]&amp;"_E3"</f>
        <v>F_13_13_E3</v>
      </c>
      <c r="W64" s="135"/>
      <c r="X64" s="13"/>
      <c r="Y64" s="6" t="str">
        <f>Tab_Def_Flows[[#This Row],[Flow_ID]]&amp;"_E4"</f>
        <v>F_13_13_E4</v>
      </c>
      <c r="Z64" s="135"/>
      <c r="AA64" s="13"/>
      <c r="AB64" s="6" t="str">
        <f>Tab_Def_Flows[[#This Row],[Flow_ID]]&amp;"_E5"</f>
        <v>F_13_13_E5</v>
      </c>
      <c r="AC64" s="140"/>
      <c r="AD64" s="13"/>
      <c r="AE64" s="6" t="str">
        <f>Tab_Def_Flows[[#This Row],[Flow_ID]]&amp;"_E6"</f>
        <v>F_13_13_E6</v>
      </c>
      <c r="AF64" s="140"/>
      <c r="AG64" s="13"/>
      <c r="AH64" s="194" t="b">
        <f>'0_Configuration'!$C$2</f>
        <v>1</v>
      </c>
      <c r="AI64" s="6"/>
      <c r="AJ64" s="194" t="b">
        <f>'0_Configuration'!$C$6</f>
        <v>0</v>
      </c>
      <c r="AK64" s="6" t="s">
        <v>1122</v>
      </c>
      <c r="AL64" s="194" t="b">
        <f>'0_Configuration'!$C$10</f>
        <v>0</v>
      </c>
      <c r="AM64" s="6" t="s">
        <v>1122</v>
      </c>
      <c r="AN64" s="194" t="b">
        <f>'0_Configuration'!$C$17</f>
        <v>0</v>
      </c>
      <c r="AO64" s="6">
        <f>_xlfn.XLOOKUP(Tab_Def_Flows[[#This Row],[ODYM_Good_Type]],Tab_Configuration[Value],Tab_Configuration[ODYM_ID],,0,)</f>
        <v>0</v>
      </c>
      <c r="AP64" s="194" t="b">
        <f>'0_Configuration'!$C$24</f>
        <v>0</v>
      </c>
      <c r="AQ64" s="6"/>
      <c r="AR64" s="194" t="b">
        <f>'0_Configuration'!$C$29</f>
        <v>1</v>
      </c>
      <c r="AS64" s="6" t="s">
        <v>1136</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F_13_13</v>
      </c>
      <c r="D65" s="188"/>
      <c r="E65" s="138"/>
      <c r="F65" s="138"/>
      <c r="G65" s="6" t="str">
        <f>_xlfn.XLOOKUP(F65,Tab_Def_Processes[Process_Name],Tab_Def_Processes[Process_ID],,0,)</f>
        <v>13</v>
      </c>
      <c r="H65" s="138"/>
      <c r="I65" s="9" t="str">
        <f>_xlfn.XLOOKUP(H65,Tab_Def_Processes[Process_Name],Tab_Def_Processes[Process_ID],,0,)</f>
        <v>13</v>
      </c>
      <c r="J65" s="138" t="s">
        <v>5</v>
      </c>
      <c r="K65" s="138" t="s">
        <v>5</v>
      </c>
      <c r="L65" s="138" t="s">
        <v>5</v>
      </c>
      <c r="M65" s="138" t="s">
        <v>5</v>
      </c>
      <c r="N65" s="138" t="s">
        <v>6</v>
      </c>
      <c r="O65" s="138" t="s">
        <v>6</v>
      </c>
      <c r="P65" s="6" t="str">
        <f>Tab_Def_Flows[[#This Row],[Flow_ID]]&amp;"_E1"</f>
        <v>F_13_13_E1</v>
      </c>
      <c r="R65" s="13"/>
      <c r="S65" s="6" t="str">
        <f>Tab_Def_Flows[[#This Row],[Flow_ID]]&amp;"_E2"</f>
        <v>F_13_13_E2</v>
      </c>
      <c r="T65" s="135"/>
      <c r="U65" s="13"/>
      <c r="V65" s="6" t="str">
        <f>Tab_Def_Flows[[#This Row],[Flow_ID]]&amp;"_E3"</f>
        <v>F_13_13_E3</v>
      </c>
      <c r="W65" s="135"/>
      <c r="X65" s="13"/>
      <c r="Y65" s="6" t="str">
        <f>Tab_Def_Flows[[#This Row],[Flow_ID]]&amp;"_E4"</f>
        <v>F_13_13_E4</v>
      </c>
      <c r="Z65" s="135"/>
      <c r="AA65" s="13"/>
      <c r="AB65" s="6" t="str">
        <f>Tab_Def_Flows[[#This Row],[Flow_ID]]&amp;"_E5"</f>
        <v>F_13_13_E5</v>
      </c>
      <c r="AC65" s="140"/>
      <c r="AD65" s="13"/>
      <c r="AE65" s="6" t="str">
        <f>Tab_Def_Flows[[#This Row],[Flow_ID]]&amp;"_E6"</f>
        <v>F_13_13_E6</v>
      </c>
      <c r="AF65" s="140"/>
      <c r="AG65" s="13"/>
      <c r="AH65" s="194" t="b">
        <f>'0_Configuration'!$C$2</f>
        <v>1</v>
      </c>
      <c r="AI65" s="6"/>
      <c r="AJ65" s="194" t="b">
        <f>'0_Configuration'!$C$6</f>
        <v>0</v>
      </c>
      <c r="AK65" s="6" t="s">
        <v>1122</v>
      </c>
      <c r="AL65" s="194" t="b">
        <f>'0_Configuration'!$C$10</f>
        <v>0</v>
      </c>
      <c r="AM65" s="6" t="s">
        <v>1122</v>
      </c>
      <c r="AN65" s="194" t="b">
        <f>'0_Configuration'!$C$17</f>
        <v>0</v>
      </c>
      <c r="AO65" s="6">
        <f>_xlfn.XLOOKUP(Tab_Def_Flows[[#This Row],[ODYM_Good_Type]],Tab_Configuration[Value],Tab_Configuration[ODYM_ID],,0,)</f>
        <v>0</v>
      </c>
      <c r="AP65" s="194" t="b">
        <f>'0_Configuration'!$C$24</f>
        <v>0</v>
      </c>
      <c r="AQ65" s="6"/>
      <c r="AR65" s="194" t="b">
        <f>'0_Configuration'!$C$29</f>
        <v>1</v>
      </c>
      <c r="AS65" s="6" t="s">
        <v>1136</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F_13_13</v>
      </c>
      <c r="D66" s="188"/>
      <c r="E66" s="138"/>
      <c r="F66" s="138"/>
      <c r="G66" s="6" t="str">
        <f>_xlfn.XLOOKUP(F66,Tab_Def_Processes[Process_Name],Tab_Def_Processes[Process_ID],,0,)</f>
        <v>13</v>
      </c>
      <c r="H66" s="138"/>
      <c r="I66" s="9" t="str">
        <f>_xlfn.XLOOKUP(H66,Tab_Def_Processes[Process_Name],Tab_Def_Processes[Process_ID],,0,)</f>
        <v>13</v>
      </c>
      <c r="J66" s="138" t="s">
        <v>5</v>
      </c>
      <c r="K66" s="138" t="s">
        <v>5</v>
      </c>
      <c r="L66" s="138" t="s">
        <v>5</v>
      </c>
      <c r="M66" s="138" t="s">
        <v>5</v>
      </c>
      <c r="N66" s="138" t="s">
        <v>6</v>
      </c>
      <c r="O66" s="138" t="s">
        <v>6</v>
      </c>
      <c r="P66" s="6" t="str">
        <f>Tab_Def_Flows[[#This Row],[Flow_ID]]&amp;"_E1"</f>
        <v>F_13_13_E1</v>
      </c>
      <c r="R66" s="13"/>
      <c r="S66" s="6" t="str">
        <f>Tab_Def_Flows[[#This Row],[Flow_ID]]&amp;"_E2"</f>
        <v>F_13_13_E2</v>
      </c>
      <c r="T66" s="135"/>
      <c r="U66" s="13"/>
      <c r="V66" s="6" t="str">
        <f>Tab_Def_Flows[[#This Row],[Flow_ID]]&amp;"_E3"</f>
        <v>F_13_13_E3</v>
      </c>
      <c r="W66" s="135"/>
      <c r="X66" s="13"/>
      <c r="Y66" s="6" t="str">
        <f>Tab_Def_Flows[[#This Row],[Flow_ID]]&amp;"_E4"</f>
        <v>F_13_13_E4</v>
      </c>
      <c r="Z66" s="135"/>
      <c r="AA66" s="13"/>
      <c r="AB66" s="6" t="str">
        <f>Tab_Def_Flows[[#This Row],[Flow_ID]]&amp;"_E5"</f>
        <v>F_13_13_E5</v>
      </c>
      <c r="AC66" s="140"/>
      <c r="AD66" s="13"/>
      <c r="AE66" s="6" t="str">
        <f>Tab_Def_Flows[[#This Row],[Flow_ID]]&amp;"_E6"</f>
        <v>F_13_13_E6</v>
      </c>
      <c r="AF66" s="140"/>
      <c r="AG66" s="13"/>
      <c r="AH66" s="194" t="b">
        <f>'0_Configuration'!$C$2</f>
        <v>1</v>
      </c>
      <c r="AI66" s="6"/>
      <c r="AJ66" s="194" t="b">
        <f>'0_Configuration'!$C$6</f>
        <v>0</v>
      </c>
      <c r="AK66" s="6" t="s">
        <v>1122</v>
      </c>
      <c r="AL66" s="194" t="b">
        <f>'0_Configuration'!$C$10</f>
        <v>0</v>
      </c>
      <c r="AM66" s="6" t="s">
        <v>1122</v>
      </c>
      <c r="AN66" s="194" t="b">
        <f>'0_Configuration'!$C$17</f>
        <v>0</v>
      </c>
      <c r="AO66" s="6">
        <f>_xlfn.XLOOKUP(Tab_Def_Flows[[#This Row],[ODYM_Good_Type]],Tab_Configuration[Value],Tab_Configuration[ODYM_ID],,0,)</f>
        <v>0</v>
      </c>
      <c r="AP66" s="194" t="b">
        <f>'0_Configuration'!$C$24</f>
        <v>0</v>
      </c>
      <c r="AQ66" s="6"/>
      <c r="AR66" s="194" t="b">
        <f>'0_Configuration'!$C$29</f>
        <v>1</v>
      </c>
      <c r="AS66" s="6" t="s">
        <v>1136</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F_13_13</v>
      </c>
      <c r="D67" s="188"/>
      <c r="E67" s="138"/>
      <c r="F67" s="138"/>
      <c r="G67" s="6" t="str">
        <f>_xlfn.XLOOKUP(F67,Tab_Def_Processes[Process_Name],Tab_Def_Processes[Process_ID],,0,)</f>
        <v>13</v>
      </c>
      <c r="H67" s="138"/>
      <c r="I67" s="9" t="str">
        <f>_xlfn.XLOOKUP(H67,Tab_Def_Processes[Process_Name],Tab_Def_Processes[Process_ID],,0,)</f>
        <v>13</v>
      </c>
      <c r="J67" s="138" t="s">
        <v>5</v>
      </c>
      <c r="K67" s="138" t="s">
        <v>5</v>
      </c>
      <c r="L67" s="138" t="s">
        <v>5</v>
      </c>
      <c r="M67" s="138" t="s">
        <v>5</v>
      </c>
      <c r="N67" s="138" t="s">
        <v>6</v>
      </c>
      <c r="O67" s="138" t="s">
        <v>6</v>
      </c>
      <c r="P67" s="6" t="str">
        <f>Tab_Def_Flows[[#This Row],[Flow_ID]]&amp;"_E1"</f>
        <v>F_13_13_E1</v>
      </c>
      <c r="R67" s="13"/>
      <c r="S67" s="6" t="str">
        <f>Tab_Def_Flows[[#This Row],[Flow_ID]]&amp;"_E2"</f>
        <v>F_13_13_E2</v>
      </c>
      <c r="T67" s="135"/>
      <c r="U67" s="13"/>
      <c r="V67" s="6" t="str">
        <f>Tab_Def_Flows[[#This Row],[Flow_ID]]&amp;"_E3"</f>
        <v>F_13_13_E3</v>
      </c>
      <c r="W67" s="135"/>
      <c r="X67" s="13"/>
      <c r="Y67" s="6" t="str">
        <f>Tab_Def_Flows[[#This Row],[Flow_ID]]&amp;"_E4"</f>
        <v>F_13_13_E4</v>
      </c>
      <c r="Z67" s="135"/>
      <c r="AA67" s="13"/>
      <c r="AB67" s="6" t="str">
        <f>Tab_Def_Flows[[#This Row],[Flow_ID]]&amp;"_E5"</f>
        <v>F_13_13_E5</v>
      </c>
      <c r="AC67" s="140"/>
      <c r="AD67" s="13"/>
      <c r="AE67" s="6" t="str">
        <f>Tab_Def_Flows[[#This Row],[Flow_ID]]&amp;"_E6"</f>
        <v>F_13_13_E6</v>
      </c>
      <c r="AF67" s="140"/>
      <c r="AG67" s="13"/>
      <c r="AH67" s="194" t="b">
        <f>'0_Configuration'!$C$2</f>
        <v>1</v>
      </c>
      <c r="AI67" s="6"/>
      <c r="AJ67" s="194" t="b">
        <f>'0_Configuration'!$C$6</f>
        <v>0</v>
      </c>
      <c r="AK67" s="6" t="s">
        <v>1122</v>
      </c>
      <c r="AL67" s="194" t="b">
        <f>'0_Configuration'!$C$10</f>
        <v>0</v>
      </c>
      <c r="AM67" s="6" t="s">
        <v>1122</v>
      </c>
      <c r="AN67" s="194" t="b">
        <f>'0_Configuration'!$C$17</f>
        <v>0</v>
      </c>
      <c r="AO67" s="6">
        <f>_xlfn.XLOOKUP(Tab_Def_Flows[[#This Row],[ODYM_Good_Type]],Tab_Configuration[Value],Tab_Configuration[ODYM_ID],,0,)</f>
        <v>0</v>
      </c>
      <c r="AP67" s="194" t="b">
        <f>'0_Configuration'!$C$24</f>
        <v>0</v>
      </c>
      <c r="AQ67" s="6"/>
      <c r="AR67" s="194" t="b">
        <f>'0_Configuration'!$C$29</f>
        <v>1</v>
      </c>
      <c r="AS67" s="6" t="s">
        <v>1136</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F_13_13</v>
      </c>
      <c r="D68" s="188"/>
      <c r="E68" s="138"/>
      <c r="F68" s="138"/>
      <c r="G68" s="6" t="str">
        <f>_xlfn.XLOOKUP(F68,Tab_Def_Processes[Process_Name],Tab_Def_Processes[Process_ID],,0,)</f>
        <v>13</v>
      </c>
      <c r="H68" s="138"/>
      <c r="I68" s="9" t="str">
        <f>_xlfn.XLOOKUP(H68,Tab_Def_Processes[Process_Name],Tab_Def_Processes[Process_ID],,0,)</f>
        <v>13</v>
      </c>
      <c r="J68" s="138" t="s">
        <v>5</v>
      </c>
      <c r="K68" s="138" t="s">
        <v>5</v>
      </c>
      <c r="L68" s="138" t="s">
        <v>5</v>
      </c>
      <c r="M68" s="138" t="s">
        <v>5</v>
      </c>
      <c r="N68" s="138" t="s">
        <v>6</v>
      </c>
      <c r="O68" s="138" t="s">
        <v>6</v>
      </c>
      <c r="P68" s="6" t="str">
        <f>Tab_Def_Flows[[#This Row],[Flow_ID]]&amp;"_E1"</f>
        <v>F_13_13_E1</v>
      </c>
      <c r="R68" s="13"/>
      <c r="S68" s="6" t="str">
        <f>Tab_Def_Flows[[#This Row],[Flow_ID]]&amp;"_E2"</f>
        <v>F_13_13_E2</v>
      </c>
      <c r="T68" s="135"/>
      <c r="U68" s="13"/>
      <c r="V68" s="6" t="str">
        <f>Tab_Def_Flows[[#This Row],[Flow_ID]]&amp;"_E3"</f>
        <v>F_13_13_E3</v>
      </c>
      <c r="W68" s="135"/>
      <c r="X68" s="13"/>
      <c r="Y68" s="6" t="str">
        <f>Tab_Def_Flows[[#This Row],[Flow_ID]]&amp;"_E4"</f>
        <v>F_13_13_E4</v>
      </c>
      <c r="Z68" s="135"/>
      <c r="AA68" s="13"/>
      <c r="AB68" s="6" t="str">
        <f>Tab_Def_Flows[[#This Row],[Flow_ID]]&amp;"_E5"</f>
        <v>F_13_13_E5</v>
      </c>
      <c r="AC68" s="140"/>
      <c r="AD68" s="13"/>
      <c r="AE68" s="6" t="str">
        <f>Tab_Def_Flows[[#This Row],[Flow_ID]]&amp;"_E6"</f>
        <v>F_13_13_E6</v>
      </c>
      <c r="AF68" s="140"/>
      <c r="AG68" s="13"/>
      <c r="AH68" s="194" t="b">
        <f>'0_Configuration'!$C$2</f>
        <v>1</v>
      </c>
      <c r="AI68" s="6"/>
      <c r="AJ68" s="194" t="b">
        <f>'0_Configuration'!$C$6</f>
        <v>0</v>
      </c>
      <c r="AK68" s="6" t="s">
        <v>1122</v>
      </c>
      <c r="AL68" s="194" t="b">
        <f>'0_Configuration'!$C$10</f>
        <v>0</v>
      </c>
      <c r="AM68" s="6" t="s">
        <v>1122</v>
      </c>
      <c r="AN68" s="194" t="b">
        <f>'0_Configuration'!$C$17</f>
        <v>0</v>
      </c>
      <c r="AO68" s="6">
        <f>_xlfn.XLOOKUP(Tab_Def_Flows[[#This Row],[ODYM_Good_Type]],Tab_Configuration[Value],Tab_Configuration[ODYM_ID],,0,)</f>
        <v>0</v>
      </c>
      <c r="AP68" s="194" t="b">
        <f>'0_Configuration'!$C$24</f>
        <v>0</v>
      </c>
      <c r="AQ68" s="6"/>
      <c r="AR68" s="194" t="b">
        <f>'0_Configuration'!$C$29</f>
        <v>1</v>
      </c>
      <c r="AS68" s="6" t="s">
        <v>1136</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F_13_13</v>
      </c>
      <c r="D69" s="188"/>
      <c r="E69" s="138"/>
      <c r="F69" s="138"/>
      <c r="G69" s="6" t="str">
        <f>_xlfn.XLOOKUP(F69,Tab_Def_Processes[Process_Name],Tab_Def_Processes[Process_ID],,0,)</f>
        <v>13</v>
      </c>
      <c r="H69" s="138"/>
      <c r="I69" s="9" t="str">
        <f>_xlfn.XLOOKUP(H69,Tab_Def_Processes[Process_Name],Tab_Def_Processes[Process_ID],,0,)</f>
        <v>13</v>
      </c>
      <c r="J69" s="138" t="s">
        <v>5</v>
      </c>
      <c r="K69" s="138" t="s">
        <v>5</v>
      </c>
      <c r="L69" s="138" t="s">
        <v>5</v>
      </c>
      <c r="M69" s="138" t="s">
        <v>5</v>
      </c>
      <c r="N69" s="138" t="s">
        <v>6</v>
      </c>
      <c r="O69" s="138" t="s">
        <v>6</v>
      </c>
      <c r="P69" s="6" t="str">
        <f>Tab_Def_Flows[[#This Row],[Flow_ID]]&amp;"_E1"</f>
        <v>F_13_13_E1</v>
      </c>
      <c r="R69" s="13"/>
      <c r="S69" s="6" t="str">
        <f>Tab_Def_Flows[[#This Row],[Flow_ID]]&amp;"_E2"</f>
        <v>F_13_13_E2</v>
      </c>
      <c r="T69" s="135"/>
      <c r="U69" s="13"/>
      <c r="V69" s="6" t="str">
        <f>Tab_Def_Flows[[#This Row],[Flow_ID]]&amp;"_E3"</f>
        <v>F_13_13_E3</v>
      </c>
      <c r="W69" s="135"/>
      <c r="X69" s="13"/>
      <c r="Y69" s="6" t="str">
        <f>Tab_Def_Flows[[#This Row],[Flow_ID]]&amp;"_E4"</f>
        <v>F_13_13_E4</v>
      </c>
      <c r="Z69" s="135"/>
      <c r="AA69" s="13"/>
      <c r="AB69" s="6" t="str">
        <f>Tab_Def_Flows[[#This Row],[Flow_ID]]&amp;"_E5"</f>
        <v>F_13_13_E5</v>
      </c>
      <c r="AC69" s="140"/>
      <c r="AD69" s="13"/>
      <c r="AE69" s="6" t="str">
        <f>Tab_Def_Flows[[#This Row],[Flow_ID]]&amp;"_E6"</f>
        <v>F_13_13_E6</v>
      </c>
      <c r="AF69" s="140"/>
      <c r="AG69" s="13"/>
      <c r="AH69" s="194" t="b">
        <f>'0_Configuration'!$C$2</f>
        <v>1</v>
      </c>
      <c r="AI69" s="6"/>
      <c r="AJ69" s="194" t="b">
        <f>'0_Configuration'!$C$6</f>
        <v>0</v>
      </c>
      <c r="AK69" s="6" t="s">
        <v>1122</v>
      </c>
      <c r="AL69" s="194" t="b">
        <f>'0_Configuration'!$C$10</f>
        <v>0</v>
      </c>
      <c r="AM69" s="6" t="s">
        <v>1122</v>
      </c>
      <c r="AN69" s="194" t="b">
        <f>'0_Configuration'!$C$17</f>
        <v>0</v>
      </c>
      <c r="AO69" s="6">
        <f>_xlfn.XLOOKUP(Tab_Def_Flows[[#This Row],[ODYM_Good_Type]],Tab_Configuration[Value],Tab_Configuration[ODYM_ID],,0,)</f>
        <v>0</v>
      </c>
      <c r="AP69" s="194" t="b">
        <f>'0_Configuration'!$C$24</f>
        <v>0</v>
      </c>
      <c r="AQ69" s="6"/>
      <c r="AR69" s="194" t="b">
        <f>'0_Configuration'!$C$29</f>
        <v>1</v>
      </c>
      <c r="AS69" s="6" t="s">
        <v>1136</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F_13_13</v>
      </c>
      <c r="D70" s="188"/>
      <c r="E70" s="138"/>
      <c r="F70" s="138"/>
      <c r="G70" s="6" t="str">
        <f>_xlfn.XLOOKUP(F70,Tab_Def_Processes[Process_Name],Tab_Def_Processes[Process_ID],,0,)</f>
        <v>13</v>
      </c>
      <c r="H70" s="138"/>
      <c r="I70" s="9" t="str">
        <f>_xlfn.XLOOKUP(H70,Tab_Def_Processes[Process_Name],Tab_Def_Processes[Process_ID],,0,)</f>
        <v>13</v>
      </c>
      <c r="J70" s="138" t="s">
        <v>5</v>
      </c>
      <c r="K70" s="138" t="s">
        <v>5</v>
      </c>
      <c r="L70" s="138" t="s">
        <v>5</v>
      </c>
      <c r="M70" s="138" t="s">
        <v>5</v>
      </c>
      <c r="N70" s="138" t="s">
        <v>6</v>
      </c>
      <c r="O70" s="138" t="s">
        <v>6</v>
      </c>
      <c r="P70" s="6" t="str">
        <f>Tab_Def_Flows[[#This Row],[Flow_ID]]&amp;"_E1"</f>
        <v>F_13_13_E1</v>
      </c>
      <c r="R70" s="13"/>
      <c r="S70" s="6" t="str">
        <f>Tab_Def_Flows[[#This Row],[Flow_ID]]&amp;"_E2"</f>
        <v>F_13_13_E2</v>
      </c>
      <c r="T70" s="135"/>
      <c r="U70" s="13"/>
      <c r="V70" s="6" t="str">
        <f>Tab_Def_Flows[[#This Row],[Flow_ID]]&amp;"_E3"</f>
        <v>F_13_13_E3</v>
      </c>
      <c r="W70" s="135"/>
      <c r="X70" s="13"/>
      <c r="Y70" s="6" t="str">
        <f>Tab_Def_Flows[[#This Row],[Flow_ID]]&amp;"_E4"</f>
        <v>F_13_13_E4</v>
      </c>
      <c r="Z70" s="135"/>
      <c r="AA70" s="13"/>
      <c r="AB70" s="6" t="str">
        <f>Tab_Def_Flows[[#This Row],[Flow_ID]]&amp;"_E5"</f>
        <v>F_13_13_E5</v>
      </c>
      <c r="AC70" s="140"/>
      <c r="AD70" s="13"/>
      <c r="AE70" s="6" t="str">
        <f>Tab_Def_Flows[[#This Row],[Flow_ID]]&amp;"_E6"</f>
        <v>F_13_13_E6</v>
      </c>
      <c r="AF70" s="140"/>
      <c r="AG70" s="13"/>
      <c r="AH70" s="194" t="b">
        <f>'0_Configuration'!$C$2</f>
        <v>1</v>
      </c>
      <c r="AI70" s="6"/>
      <c r="AJ70" s="194" t="b">
        <f>'0_Configuration'!$C$6</f>
        <v>0</v>
      </c>
      <c r="AK70" s="6" t="s">
        <v>1122</v>
      </c>
      <c r="AL70" s="194" t="b">
        <f>'0_Configuration'!$C$10</f>
        <v>0</v>
      </c>
      <c r="AM70" s="6" t="s">
        <v>1122</v>
      </c>
      <c r="AN70" s="194" t="b">
        <f>'0_Configuration'!$C$17</f>
        <v>0</v>
      </c>
      <c r="AO70" s="6">
        <f>_xlfn.XLOOKUP(Tab_Def_Flows[[#This Row],[ODYM_Good_Type]],Tab_Configuration[Value],Tab_Configuration[ODYM_ID],,0,)</f>
        <v>0</v>
      </c>
      <c r="AP70" s="194" t="b">
        <f>'0_Configuration'!$C$24</f>
        <v>0</v>
      </c>
      <c r="AQ70" s="6"/>
      <c r="AR70" s="194" t="b">
        <f>'0_Configuration'!$C$29</f>
        <v>1</v>
      </c>
      <c r="AS70" s="6" t="s">
        <v>1136</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F_13_13</v>
      </c>
      <c r="D71" s="188"/>
      <c r="E71" s="138"/>
      <c r="F71" s="138"/>
      <c r="G71" s="6" t="str">
        <f>_xlfn.XLOOKUP(F71,Tab_Def_Processes[Process_Name],Tab_Def_Processes[Process_ID],,0,)</f>
        <v>13</v>
      </c>
      <c r="H71" s="138"/>
      <c r="I71" s="9" t="str">
        <f>_xlfn.XLOOKUP(H71,Tab_Def_Processes[Process_Name],Tab_Def_Processes[Process_ID],,0,)</f>
        <v>13</v>
      </c>
      <c r="J71" s="138" t="s">
        <v>5</v>
      </c>
      <c r="K71" s="138" t="s">
        <v>5</v>
      </c>
      <c r="L71" s="138" t="s">
        <v>5</v>
      </c>
      <c r="M71" s="138" t="s">
        <v>5</v>
      </c>
      <c r="N71" s="138" t="s">
        <v>6</v>
      </c>
      <c r="O71" s="138" t="s">
        <v>6</v>
      </c>
      <c r="P71" s="6" t="str">
        <f>Tab_Def_Flows[[#This Row],[Flow_ID]]&amp;"_E1"</f>
        <v>F_13_13_E1</v>
      </c>
      <c r="R71" s="13"/>
      <c r="S71" s="6" t="str">
        <f>Tab_Def_Flows[[#This Row],[Flow_ID]]&amp;"_E2"</f>
        <v>F_13_13_E2</v>
      </c>
      <c r="T71" s="135"/>
      <c r="U71" s="13"/>
      <c r="V71" s="6" t="str">
        <f>Tab_Def_Flows[[#This Row],[Flow_ID]]&amp;"_E3"</f>
        <v>F_13_13_E3</v>
      </c>
      <c r="W71" s="135"/>
      <c r="X71" s="13"/>
      <c r="Y71" s="6" t="str">
        <f>Tab_Def_Flows[[#This Row],[Flow_ID]]&amp;"_E4"</f>
        <v>F_13_13_E4</v>
      </c>
      <c r="Z71" s="135"/>
      <c r="AA71" s="13"/>
      <c r="AB71" s="6" t="str">
        <f>Tab_Def_Flows[[#This Row],[Flow_ID]]&amp;"_E5"</f>
        <v>F_13_13_E5</v>
      </c>
      <c r="AC71" s="140"/>
      <c r="AD71" s="13"/>
      <c r="AE71" s="6" t="str">
        <f>Tab_Def_Flows[[#This Row],[Flow_ID]]&amp;"_E6"</f>
        <v>F_13_13_E6</v>
      </c>
      <c r="AF71" s="140"/>
      <c r="AG71" s="13"/>
      <c r="AH71" s="194" t="b">
        <f>'0_Configuration'!$C$2</f>
        <v>1</v>
      </c>
      <c r="AI71" s="6"/>
      <c r="AJ71" s="194" t="b">
        <f>'0_Configuration'!$C$6</f>
        <v>0</v>
      </c>
      <c r="AK71" s="6" t="s">
        <v>1122</v>
      </c>
      <c r="AL71" s="194" t="b">
        <f>'0_Configuration'!$C$10</f>
        <v>0</v>
      </c>
      <c r="AM71" s="6" t="s">
        <v>1122</v>
      </c>
      <c r="AN71" s="194" t="b">
        <f>'0_Configuration'!$C$17</f>
        <v>0</v>
      </c>
      <c r="AO71" s="6">
        <f>_xlfn.XLOOKUP(Tab_Def_Flows[[#This Row],[ODYM_Good_Type]],Tab_Configuration[Value],Tab_Configuration[ODYM_ID],,0,)</f>
        <v>0</v>
      </c>
      <c r="AP71" s="194" t="b">
        <f>'0_Configuration'!$C$24</f>
        <v>0</v>
      </c>
      <c r="AQ71" s="6"/>
      <c r="AR71" s="194" t="b">
        <f>'0_Configuration'!$C$29</f>
        <v>1</v>
      </c>
      <c r="AS71" s="6" t="s">
        <v>1136</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F_13_13</v>
      </c>
      <c r="D72" s="188"/>
      <c r="E72" s="138"/>
      <c r="F72" s="138"/>
      <c r="G72" s="6" t="str">
        <f>_xlfn.XLOOKUP(F72,Tab_Def_Processes[Process_Name],Tab_Def_Processes[Process_ID],,0,)</f>
        <v>13</v>
      </c>
      <c r="H72" s="138"/>
      <c r="I72" s="9" t="str">
        <f>_xlfn.XLOOKUP(H72,Tab_Def_Processes[Process_Name],Tab_Def_Processes[Process_ID],,0,)</f>
        <v>13</v>
      </c>
      <c r="J72" s="138" t="s">
        <v>5</v>
      </c>
      <c r="K72" s="138" t="s">
        <v>5</v>
      </c>
      <c r="L72" s="138" t="s">
        <v>5</v>
      </c>
      <c r="M72" s="138" t="s">
        <v>5</v>
      </c>
      <c r="N72" s="138" t="s">
        <v>6</v>
      </c>
      <c r="O72" s="138" t="s">
        <v>6</v>
      </c>
      <c r="P72" s="6" t="str">
        <f>Tab_Def_Flows[[#This Row],[Flow_ID]]&amp;"_E1"</f>
        <v>F_13_13_E1</v>
      </c>
      <c r="R72" s="13"/>
      <c r="S72" s="6" t="str">
        <f>Tab_Def_Flows[[#This Row],[Flow_ID]]&amp;"_E2"</f>
        <v>F_13_13_E2</v>
      </c>
      <c r="T72" s="135"/>
      <c r="U72" s="13"/>
      <c r="V72" s="6" t="str">
        <f>Tab_Def_Flows[[#This Row],[Flow_ID]]&amp;"_E3"</f>
        <v>F_13_13_E3</v>
      </c>
      <c r="W72" s="135"/>
      <c r="X72" s="13"/>
      <c r="Y72" s="6" t="str">
        <f>Tab_Def_Flows[[#This Row],[Flow_ID]]&amp;"_E4"</f>
        <v>F_13_13_E4</v>
      </c>
      <c r="Z72" s="135"/>
      <c r="AA72" s="13"/>
      <c r="AB72" s="6" t="str">
        <f>Tab_Def_Flows[[#This Row],[Flow_ID]]&amp;"_E5"</f>
        <v>F_13_13_E5</v>
      </c>
      <c r="AC72" s="140"/>
      <c r="AD72" s="13"/>
      <c r="AE72" s="6" t="str">
        <f>Tab_Def_Flows[[#This Row],[Flow_ID]]&amp;"_E6"</f>
        <v>F_13_13_E6</v>
      </c>
      <c r="AF72" s="140"/>
      <c r="AG72" s="13"/>
      <c r="AH72" s="194" t="b">
        <f>'0_Configuration'!$C$2</f>
        <v>1</v>
      </c>
      <c r="AI72" s="6"/>
      <c r="AJ72" s="194" t="b">
        <f>'0_Configuration'!$C$6</f>
        <v>0</v>
      </c>
      <c r="AK72" s="6" t="s">
        <v>1122</v>
      </c>
      <c r="AL72" s="194" t="b">
        <f>'0_Configuration'!$C$10</f>
        <v>0</v>
      </c>
      <c r="AM72" s="6" t="s">
        <v>1122</v>
      </c>
      <c r="AN72" s="194" t="b">
        <f>'0_Configuration'!$C$17</f>
        <v>0</v>
      </c>
      <c r="AO72" s="6">
        <f>_xlfn.XLOOKUP(Tab_Def_Flows[[#This Row],[ODYM_Good_Type]],Tab_Configuration[Value],Tab_Configuration[ODYM_ID],,0,)</f>
        <v>0</v>
      </c>
      <c r="AP72" s="194" t="b">
        <f>'0_Configuration'!$C$24</f>
        <v>0</v>
      </c>
      <c r="AQ72" s="6"/>
      <c r="AR72" s="194" t="b">
        <f>'0_Configuration'!$C$29</f>
        <v>1</v>
      </c>
      <c r="AS72" s="6" t="s">
        <v>1136</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F_13_13</v>
      </c>
      <c r="D73" s="188"/>
      <c r="E73" s="138"/>
      <c r="F73" s="138"/>
      <c r="G73" s="6" t="str">
        <f>_xlfn.XLOOKUP(F73,Tab_Def_Processes[Process_Name],Tab_Def_Processes[Process_ID],,0,)</f>
        <v>13</v>
      </c>
      <c r="H73" s="138"/>
      <c r="I73" s="9" t="str">
        <f>_xlfn.XLOOKUP(H73,Tab_Def_Processes[Process_Name],Tab_Def_Processes[Process_ID],,0,)</f>
        <v>13</v>
      </c>
      <c r="J73" s="138" t="s">
        <v>5</v>
      </c>
      <c r="K73" s="138" t="s">
        <v>5</v>
      </c>
      <c r="L73" s="138" t="s">
        <v>5</v>
      </c>
      <c r="M73" s="138" t="s">
        <v>5</v>
      </c>
      <c r="N73" s="138" t="s">
        <v>6</v>
      </c>
      <c r="O73" s="138" t="s">
        <v>6</v>
      </c>
      <c r="P73" s="6" t="str">
        <f>Tab_Def_Flows[[#This Row],[Flow_ID]]&amp;"_E1"</f>
        <v>F_13_13_E1</v>
      </c>
      <c r="R73" s="13"/>
      <c r="S73" s="6" t="str">
        <f>Tab_Def_Flows[[#This Row],[Flow_ID]]&amp;"_E2"</f>
        <v>F_13_13_E2</v>
      </c>
      <c r="T73" s="135"/>
      <c r="U73" s="13"/>
      <c r="V73" s="6" t="str">
        <f>Tab_Def_Flows[[#This Row],[Flow_ID]]&amp;"_E3"</f>
        <v>F_13_13_E3</v>
      </c>
      <c r="W73" s="135"/>
      <c r="X73" s="13"/>
      <c r="Y73" s="6" t="str">
        <f>Tab_Def_Flows[[#This Row],[Flow_ID]]&amp;"_E4"</f>
        <v>F_13_13_E4</v>
      </c>
      <c r="Z73" s="135"/>
      <c r="AA73" s="13"/>
      <c r="AB73" s="6" t="str">
        <f>Tab_Def_Flows[[#This Row],[Flow_ID]]&amp;"_E5"</f>
        <v>F_13_13_E5</v>
      </c>
      <c r="AC73" s="140"/>
      <c r="AD73" s="13"/>
      <c r="AE73" s="6" t="str">
        <f>Tab_Def_Flows[[#This Row],[Flow_ID]]&amp;"_E6"</f>
        <v>F_13_13_E6</v>
      </c>
      <c r="AF73" s="140"/>
      <c r="AG73" s="13"/>
      <c r="AH73" s="194" t="b">
        <f>'0_Configuration'!$C$2</f>
        <v>1</v>
      </c>
      <c r="AI73" s="6"/>
      <c r="AJ73" s="194" t="b">
        <f>'0_Configuration'!$C$6</f>
        <v>0</v>
      </c>
      <c r="AK73" s="6" t="s">
        <v>1122</v>
      </c>
      <c r="AL73" s="194" t="b">
        <f>'0_Configuration'!$C$10</f>
        <v>0</v>
      </c>
      <c r="AM73" s="6" t="s">
        <v>1122</v>
      </c>
      <c r="AN73" s="194" t="b">
        <f>'0_Configuration'!$C$17</f>
        <v>0</v>
      </c>
      <c r="AO73" s="6">
        <f>_xlfn.XLOOKUP(Tab_Def_Flows[[#This Row],[ODYM_Good_Type]],Tab_Configuration[Value],Tab_Configuration[ODYM_ID],,0,)</f>
        <v>0</v>
      </c>
      <c r="AP73" s="194" t="b">
        <f>'0_Configuration'!$C$24</f>
        <v>0</v>
      </c>
      <c r="AQ73" s="6"/>
      <c r="AR73" s="194" t="b">
        <f>'0_Configuration'!$C$29</f>
        <v>1</v>
      </c>
      <c r="AS73" s="6" t="s">
        <v>1136</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F_13_13</v>
      </c>
      <c r="D74" s="7"/>
      <c r="E74" s="138"/>
      <c r="F74" s="138"/>
      <c r="G74" s="6" t="str">
        <f>_xlfn.XLOOKUP(F74,Tab_Def_Processes[Process_Name],Tab_Def_Processes[Process_ID],,0,)</f>
        <v>13</v>
      </c>
      <c r="H74" s="138"/>
      <c r="I74" s="9" t="str">
        <f>_xlfn.XLOOKUP(H74,Tab_Def_Processes[Process_Name],Tab_Def_Processes[Process_ID],,0,)</f>
        <v>13</v>
      </c>
      <c r="J74" s="138" t="s">
        <v>5</v>
      </c>
      <c r="K74" s="138" t="s">
        <v>5</v>
      </c>
      <c r="L74" s="138" t="s">
        <v>5</v>
      </c>
      <c r="M74" s="138" t="s">
        <v>5</v>
      </c>
      <c r="N74" s="138" t="s">
        <v>6</v>
      </c>
      <c r="O74" s="138" t="s">
        <v>6</v>
      </c>
      <c r="P74" s="6" t="str">
        <f>Tab_Def_Flows[[#This Row],[Flow_ID]]&amp;"_E1"</f>
        <v>F_13_13_E1</v>
      </c>
      <c r="R74" s="13"/>
      <c r="S74" s="6" t="str">
        <f>Tab_Def_Flows[[#This Row],[Flow_ID]]&amp;"_E2"</f>
        <v>F_13_13_E2</v>
      </c>
      <c r="T74" s="135"/>
      <c r="U74" s="13"/>
      <c r="V74" s="6" t="str">
        <f>Tab_Def_Flows[[#This Row],[Flow_ID]]&amp;"_E3"</f>
        <v>F_13_13_E3</v>
      </c>
      <c r="W74" s="135"/>
      <c r="X74" s="13"/>
      <c r="Y74" s="6" t="str">
        <f>Tab_Def_Flows[[#This Row],[Flow_ID]]&amp;"_E4"</f>
        <v>F_13_13_E4</v>
      </c>
      <c r="Z74" s="135"/>
      <c r="AA74" s="13"/>
      <c r="AB74" s="6" t="str">
        <f>Tab_Def_Flows[[#This Row],[Flow_ID]]&amp;"_E5"</f>
        <v>F_13_13_E5</v>
      </c>
      <c r="AC74" s="140"/>
      <c r="AD74" s="13"/>
      <c r="AE74" s="6" t="str">
        <f>Tab_Def_Flows[[#This Row],[Flow_ID]]&amp;"_E6"</f>
        <v>F_13_13_E6</v>
      </c>
      <c r="AF74" s="140"/>
      <c r="AG74" s="13"/>
      <c r="AH74" s="194" t="b">
        <f>'0_Configuration'!$C$2</f>
        <v>1</v>
      </c>
      <c r="AI74" s="6"/>
      <c r="AJ74" s="194" t="b">
        <f>'0_Configuration'!$C$6</f>
        <v>0</v>
      </c>
      <c r="AK74" s="6" t="s">
        <v>1122</v>
      </c>
      <c r="AL74" s="194" t="b">
        <f>'0_Configuration'!$C$10</f>
        <v>0</v>
      </c>
      <c r="AM74" s="6" t="s">
        <v>1122</v>
      </c>
      <c r="AN74" s="194" t="b">
        <f>'0_Configuration'!$C$17</f>
        <v>0</v>
      </c>
      <c r="AO74" s="6">
        <f>_xlfn.XLOOKUP(Tab_Def_Flows[[#This Row],[ODYM_Good_Type]],Tab_Configuration[Value],Tab_Configuration[ODYM_ID],,0,)</f>
        <v>0</v>
      </c>
      <c r="AP74" s="194" t="b">
        <f>'0_Configuration'!$C$24</f>
        <v>0</v>
      </c>
      <c r="AQ74" s="6"/>
      <c r="AR74" s="194" t="b">
        <f>'0_Configuration'!$C$29</f>
        <v>1</v>
      </c>
      <c r="AS74" s="6" t="s">
        <v>1136</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F_13_13</v>
      </c>
      <c r="D75" s="7"/>
      <c r="E75" s="138"/>
      <c r="F75" s="138"/>
      <c r="G75" s="6" t="str">
        <f>_xlfn.XLOOKUP(F75,Tab_Def_Processes[Process_Name],Tab_Def_Processes[Process_ID],,0,)</f>
        <v>13</v>
      </c>
      <c r="H75" s="138"/>
      <c r="I75" s="9" t="str">
        <f>_xlfn.XLOOKUP(H75,Tab_Def_Processes[Process_Name],Tab_Def_Processes[Process_ID],,0,)</f>
        <v>13</v>
      </c>
      <c r="J75" s="138" t="s">
        <v>5</v>
      </c>
      <c r="K75" s="138" t="s">
        <v>5</v>
      </c>
      <c r="L75" s="138" t="s">
        <v>5</v>
      </c>
      <c r="M75" s="138" t="s">
        <v>5</v>
      </c>
      <c r="N75" s="138" t="s">
        <v>6</v>
      </c>
      <c r="O75" s="138" t="s">
        <v>6</v>
      </c>
      <c r="P75" s="6" t="str">
        <f>Tab_Def_Flows[[#This Row],[Flow_ID]]&amp;"_E1"</f>
        <v>F_13_13_E1</v>
      </c>
      <c r="R75" s="13"/>
      <c r="S75" s="6" t="str">
        <f>Tab_Def_Flows[[#This Row],[Flow_ID]]&amp;"_E2"</f>
        <v>F_13_13_E2</v>
      </c>
      <c r="T75" s="135"/>
      <c r="U75" s="13"/>
      <c r="V75" s="6" t="str">
        <f>Tab_Def_Flows[[#This Row],[Flow_ID]]&amp;"_E3"</f>
        <v>F_13_13_E3</v>
      </c>
      <c r="W75" s="135"/>
      <c r="X75" s="13"/>
      <c r="Y75" s="6" t="str">
        <f>Tab_Def_Flows[[#This Row],[Flow_ID]]&amp;"_E4"</f>
        <v>F_13_13_E4</v>
      </c>
      <c r="Z75" s="135"/>
      <c r="AA75" s="13"/>
      <c r="AB75" s="6" t="str">
        <f>Tab_Def_Flows[[#This Row],[Flow_ID]]&amp;"_E5"</f>
        <v>F_13_13_E5</v>
      </c>
      <c r="AC75" s="140"/>
      <c r="AD75" s="13"/>
      <c r="AE75" s="6" t="str">
        <f>Tab_Def_Flows[[#This Row],[Flow_ID]]&amp;"_E6"</f>
        <v>F_13_13_E6</v>
      </c>
      <c r="AF75" s="140"/>
      <c r="AG75" s="13"/>
      <c r="AH75" s="194" t="b">
        <f>'0_Configuration'!$C$2</f>
        <v>1</v>
      </c>
      <c r="AI75" s="6"/>
      <c r="AJ75" s="194" t="b">
        <f>'0_Configuration'!$C$6</f>
        <v>0</v>
      </c>
      <c r="AK75" s="6" t="s">
        <v>1122</v>
      </c>
      <c r="AL75" s="194" t="b">
        <f>'0_Configuration'!$C$10</f>
        <v>0</v>
      </c>
      <c r="AM75" s="6" t="s">
        <v>1122</v>
      </c>
      <c r="AN75" s="194" t="b">
        <f>'0_Configuration'!$C$17</f>
        <v>0</v>
      </c>
      <c r="AO75" s="6">
        <f>_xlfn.XLOOKUP(Tab_Def_Flows[[#This Row],[ODYM_Good_Type]],Tab_Configuration[Value],Tab_Configuration[ODYM_ID],,0,)</f>
        <v>0</v>
      </c>
      <c r="AP75" s="194" t="b">
        <f>'0_Configuration'!$C$24</f>
        <v>0</v>
      </c>
      <c r="AQ75" s="6"/>
      <c r="AR75" s="194" t="b">
        <f>'0_Configuration'!$C$29</f>
        <v>1</v>
      </c>
      <c r="AS75" s="6" t="s">
        <v>1136</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F_13_13</v>
      </c>
      <c r="D76" s="7"/>
      <c r="E76" s="138"/>
      <c r="F76" s="138"/>
      <c r="G76" s="6" t="str">
        <f>_xlfn.XLOOKUP(F76,Tab_Def_Processes[Process_Name],Tab_Def_Processes[Process_ID],,0,)</f>
        <v>13</v>
      </c>
      <c r="H76" s="138"/>
      <c r="I76" s="9" t="str">
        <f>_xlfn.XLOOKUP(H76,Tab_Def_Processes[Process_Name],Tab_Def_Processes[Process_ID],,0,)</f>
        <v>13</v>
      </c>
      <c r="J76" s="138" t="s">
        <v>5</v>
      </c>
      <c r="K76" s="138" t="s">
        <v>5</v>
      </c>
      <c r="L76" s="138" t="s">
        <v>5</v>
      </c>
      <c r="M76" s="138" t="s">
        <v>5</v>
      </c>
      <c r="N76" s="138" t="s">
        <v>6</v>
      </c>
      <c r="O76" s="138" t="s">
        <v>6</v>
      </c>
      <c r="P76" s="6" t="str">
        <f>Tab_Def_Flows[[#This Row],[Flow_ID]]&amp;"_E1"</f>
        <v>F_13_13_E1</v>
      </c>
      <c r="R76" s="13"/>
      <c r="S76" s="6" t="str">
        <f>Tab_Def_Flows[[#This Row],[Flow_ID]]&amp;"_E2"</f>
        <v>F_13_13_E2</v>
      </c>
      <c r="T76" s="135"/>
      <c r="U76" s="13"/>
      <c r="V76" s="6" t="str">
        <f>Tab_Def_Flows[[#This Row],[Flow_ID]]&amp;"_E3"</f>
        <v>F_13_13_E3</v>
      </c>
      <c r="W76" s="135"/>
      <c r="X76" s="13"/>
      <c r="Y76" s="6" t="str">
        <f>Tab_Def_Flows[[#This Row],[Flow_ID]]&amp;"_E4"</f>
        <v>F_13_13_E4</v>
      </c>
      <c r="Z76" s="135"/>
      <c r="AA76" s="13"/>
      <c r="AB76" s="6" t="str">
        <f>Tab_Def_Flows[[#This Row],[Flow_ID]]&amp;"_E5"</f>
        <v>F_13_13_E5</v>
      </c>
      <c r="AC76" s="140"/>
      <c r="AD76" s="13"/>
      <c r="AE76" s="6" t="str">
        <f>Tab_Def_Flows[[#This Row],[Flow_ID]]&amp;"_E6"</f>
        <v>F_13_13_E6</v>
      </c>
      <c r="AF76" s="140"/>
      <c r="AG76" s="13"/>
      <c r="AH76" s="194" t="b">
        <f>'0_Configuration'!$C$2</f>
        <v>1</v>
      </c>
      <c r="AI76" s="6"/>
      <c r="AJ76" s="194" t="b">
        <f>'0_Configuration'!$C$6</f>
        <v>0</v>
      </c>
      <c r="AK76" s="6" t="s">
        <v>1122</v>
      </c>
      <c r="AL76" s="194" t="b">
        <f>'0_Configuration'!$C$10</f>
        <v>0</v>
      </c>
      <c r="AM76" s="6" t="s">
        <v>1122</v>
      </c>
      <c r="AN76" s="194" t="b">
        <f>'0_Configuration'!$C$17</f>
        <v>0</v>
      </c>
      <c r="AO76" s="6">
        <f>_xlfn.XLOOKUP(Tab_Def_Flows[[#This Row],[ODYM_Good_Type]],Tab_Configuration[Value],Tab_Configuration[ODYM_ID],,0,)</f>
        <v>0</v>
      </c>
      <c r="AP76" s="194" t="b">
        <f>'0_Configuration'!$C$24</f>
        <v>0</v>
      </c>
      <c r="AQ76" s="6"/>
      <c r="AR76" s="194" t="b">
        <f>'0_Configuration'!$C$29</f>
        <v>1</v>
      </c>
      <c r="AS76" s="6" t="s">
        <v>1136</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F_13_13</v>
      </c>
      <c r="D77" s="7"/>
      <c r="E77" s="138"/>
      <c r="F77" s="138"/>
      <c r="G77" s="6" t="str">
        <f>_xlfn.XLOOKUP(F77,Tab_Def_Processes[Process_Name],Tab_Def_Processes[Process_ID],,0,)</f>
        <v>13</v>
      </c>
      <c r="H77" s="138"/>
      <c r="I77" s="9" t="str">
        <f>_xlfn.XLOOKUP(H77,Tab_Def_Processes[Process_Name],Tab_Def_Processes[Process_ID],,0,)</f>
        <v>13</v>
      </c>
      <c r="J77" s="138" t="s">
        <v>5</v>
      </c>
      <c r="K77" s="138" t="s">
        <v>5</v>
      </c>
      <c r="L77" s="138" t="s">
        <v>5</v>
      </c>
      <c r="M77" s="138" t="s">
        <v>5</v>
      </c>
      <c r="N77" s="138" t="s">
        <v>6</v>
      </c>
      <c r="O77" s="138" t="s">
        <v>6</v>
      </c>
      <c r="P77" s="6" t="str">
        <f>Tab_Def_Flows[[#This Row],[Flow_ID]]&amp;"_E1"</f>
        <v>F_13_13_E1</v>
      </c>
      <c r="R77" s="13"/>
      <c r="S77" s="6" t="str">
        <f>Tab_Def_Flows[[#This Row],[Flow_ID]]&amp;"_E2"</f>
        <v>F_13_13_E2</v>
      </c>
      <c r="T77" s="135"/>
      <c r="U77" s="13"/>
      <c r="V77" s="6" t="str">
        <f>Tab_Def_Flows[[#This Row],[Flow_ID]]&amp;"_E3"</f>
        <v>F_13_13_E3</v>
      </c>
      <c r="W77" s="135"/>
      <c r="X77" s="13"/>
      <c r="Y77" s="6" t="str">
        <f>Tab_Def_Flows[[#This Row],[Flow_ID]]&amp;"_E4"</f>
        <v>F_13_13_E4</v>
      </c>
      <c r="Z77" s="135"/>
      <c r="AA77" s="13"/>
      <c r="AB77" s="6" t="str">
        <f>Tab_Def_Flows[[#This Row],[Flow_ID]]&amp;"_E5"</f>
        <v>F_13_13_E5</v>
      </c>
      <c r="AC77" s="140"/>
      <c r="AD77" s="13"/>
      <c r="AE77" s="6" t="str">
        <f>Tab_Def_Flows[[#This Row],[Flow_ID]]&amp;"_E6"</f>
        <v>F_13_13_E6</v>
      </c>
      <c r="AF77" s="140"/>
      <c r="AG77" s="13"/>
      <c r="AH77" s="194" t="b">
        <f>'0_Configuration'!$C$2</f>
        <v>1</v>
      </c>
      <c r="AI77" s="6"/>
      <c r="AJ77" s="194" t="b">
        <f>'0_Configuration'!$C$6</f>
        <v>0</v>
      </c>
      <c r="AK77" s="6" t="s">
        <v>1122</v>
      </c>
      <c r="AL77" s="194" t="b">
        <f>'0_Configuration'!$C$10</f>
        <v>0</v>
      </c>
      <c r="AM77" s="6" t="s">
        <v>1122</v>
      </c>
      <c r="AN77" s="194" t="b">
        <f>'0_Configuration'!$C$17</f>
        <v>0</v>
      </c>
      <c r="AO77" s="6">
        <f>_xlfn.XLOOKUP(Tab_Def_Flows[[#This Row],[ODYM_Good_Type]],Tab_Configuration[Value],Tab_Configuration[ODYM_ID],,0,)</f>
        <v>0</v>
      </c>
      <c r="AP77" s="194" t="b">
        <f>'0_Configuration'!$C$24</f>
        <v>0</v>
      </c>
      <c r="AQ77" s="6"/>
      <c r="AR77" s="194" t="b">
        <f>'0_Configuration'!$C$29</f>
        <v>1</v>
      </c>
      <c r="AS77" s="6" t="s">
        <v>1136</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F_13_13</v>
      </c>
      <c r="D78" s="7"/>
      <c r="E78" s="138"/>
      <c r="F78" s="138"/>
      <c r="G78" s="6" t="str">
        <f>_xlfn.XLOOKUP(F78,Tab_Def_Processes[Process_Name],Tab_Def_Processes[Process_ID],,0,)</f>
        <v>13</v>
      </c>
      <c r="H78" s="138"/>
      <c r="I78" s="9" t="str">
        <f>_xlfn.XLOOKUP(H78,Tab_Def_Processes[Process_Name],Tab_Def_Processes[Process_ID],,0,)</f>
        <v>13</v>
      </c>
      <c r="J78" s="138" t="s">
        <v>5</v>
      </c>
      <c r="K78" s="138" t="s">
        <v>5</v>
      </c>
      <c r="L78" s="138" t="s">
        <v>5</v>
      </c>
      <c r="M78" s="138" t="s">
        <v>5</v>
      </c>
      <c r="N78" s="138" t="s">
        <v>6</v>
      </c>
      <c r="O78" s="138" t="s">
        <v>6</v>
      </c>
      <c r="P78" s="6" t="str">
        <f>Tab_Def_Flows[[#This Row],[Flow_ID]]&amp;"_E1"</f>
        <v>F_13_13_E1</v>
      </c>
      <c r="R78" s="13"/>
      <c r="S78" s="6" t="str">
        <f>Tab_Def_Flows[[#This Row],[Flow_ID]]&amp;"_E2"</f>
        <v>F_13_13_E2</v>
      </c>
      <c r="T78" s="135"/>
      <c r="U78" s="13"/>
      <c r="V78" s="6" t="str">
        <f>Tab_Def_Flows[[#This Row],[Flow_ID]]&amp;"_E3"</f>
        <v>F_13_13_E3</v>
      </c>
      <c r="W78" s="135"/>
      <c r="X78" s="13"/>
      <c r="Y78" s="6" t="str">
        <f>Tab_Def_Flows[[#This Row],[Flow_ID]]&amp;"_E4"</f>
        <v>F_13_13_E4</v>
      </c>
      <c r="Z78" s="135"/>
      <c r="AA78" s="13"/>
      <c r="AB78" s="6" t="str">
        <f>Tab_Def_Flows[[#This Row],[Flow_ID]]&amp;"_E5"</f>
        <v>F_13_13_E5</v>
      </c>
      <c r="AC78" s="140"/>
      <c r="AD78" s="13"/>
      <c r="AE78" s="6" t="str">
        <f>Tab_Def_Flows[[#This Row],[Flow_ID]]&amp;"_E6"</f>
        <v>F_13_13_E6</v>
      </c>
      <c r="AF78" s="140"/>
      <c r="AG78" s="13"/>
      <c r="AH78" s="194" t="b">
        <f>'0_Configuration'!$C$2</f>
        <v>1</v>
      </c>
      <c r="AI78" s="6"/>
      <c r="AJ78" s="194" t="b">
        <f>'0_Configuration'!$C$6</f>
        <v>0</v>
      </c>
      <c r="AK78" s="6" t="s">
        <v>1122</v>
      </c>
      <c r="AL78" s="194" t="b">
        <f>'0_Configuration'!$C$10</f>
        <v>0</v>
      </c>
      <c r="AM78" s="6" t="s">
        <v>1122</v>
      </c>
      <c r="AN78" s="194" t="b">
        <f>'0_Configuration'!$C$17</f>
        <v>0</v>
      </c>
      <c r="AO78" s="6">
        <f>_xlfn.XLOOKUP(Tab_Def_Flows[[#This Row],[ODYM_Good_Type]],Tab_Configuration[Value],Tab_Configuration[ODYM_ID],,0,)</f>
        <v>0</v>
      </c>
      <c r="AP78" s="194" t="b">
        <f>'0_Configuration'!$C$24</f>
        <v>0</v>
      </c>
      <c r="AQ78" s="6"/>
      <c r="AR78" s="194" t="b">
        <f>'0_Configuration'!$C$29</f>
        <v>1</v>
      </c>
      <c r="AS78" s="6" t="s">
        <v>1136</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F_13_13</v>
      </c>
      <c r="D79" s="7"/>
      <c r="E79" s="138"/>
      <c r="F79" s="138"/>
      <c r="G79" s="6" t="str">
        <f>_xlfn.XLOOKUP(F79,Tab_Def_Processes[Process_Name],Tab_Def_Processes[Process_ID],,0,)</f>
        <v>13</v>
      </c>
      <c r="H79" s="138"/>
      <c r="I79" s="9" t="str">
        <f>_xlfn.XLOOKUP(H79,Tab_Def_Processes[Process_Name],Tab_Def_Processes[Process_ID],,0,)</f>
        <v>13</v>
      </c>
      <c r="J79" s="138" t="s">
        <v>5</v>
      </c>
      <c r="K79" s="138" t="s">
        <v>5</v>
      </c>
      <c r="L79" s="138" t="s">
        <v>5</v>
      </c>
      <c r="M79" s="138" t="s">
        <v>5</v>
      </c>
      <c r="N79" s="138" t="s">
        <v>6</v>
      </c>
      <c r="O79" s="138" t="s">
        <v>6</v>
      </c>
      <c r="P79" s="6" t="str">
        <f>Tab_Def_Flows[[#This Row],[Flow_ID]]&amp;"_E1"</f>
        <v>F_13_13_E1</v>
      </c>
      <c r="R79" s="13"/>
      <c r="S79" s="6" t="str">
        <f>Tab_Def_Flows[[#This Row],[Flow_ID]]&amp;"_E2"</f>
        <v>F_13_13_E2</v>
      </c>
      <c r="T79" s="135"/>
      <c r="U79" s="13"/>
      <c r="V79" s="6" t="str">
        <f>Tab_Def_Flows[[#This Row],[Flow_ID]]&amp;"_E3"</f>
        <v>F_13_13_E3</v>
      </c>
      <c r="W79" s="135"/>
      <c r="X79" s="13"/>
      <c r="Y79" s="6" t="str">
        <f>Tab_Def_Flows[[#This Row],[Flow_ID]]&amp;"_E4"</f>
        <v>F_13_13_E4</v>
      </c>
      <c r="Z79" s="135"/>
      <c r="AA79" s="13"/>
      <c r="AB79" s="6" t="str">
        <f>Tab_Def_Flows[[#This Row],[Flow_ID]]&amp;"_E5"</f>
        <v>F_13_13_E5</v>
      </c>
      <c r="AC79" s="140"/>
      <c r="AD79" s="13"/>
      <c r="AE79" s="6" t="str">
        <f>Tab_Def_Flows[[#This Row],[Flow_ID]]&amp;"_E6"</f>
        <v>F_13_13_E6</v>
      </c>
      <c r="AF79" s="140"/>
      <c r="AG79" s="13"/>
      <c r="AH79" s="194" t="b">
        <f>'0_Configuration'!$C$2</f>
        <v>1</v>
      </c>
      <c r="AI79" s="6"/>
      <c r="AJ79" s="194" t="b">
        <f>'0_Configuration'!$C$6</f>
        <v>0</v>
      </c>
      <c r="AK79" s="6" t="s">
        <v>1122</v>
      </c>
      <c r="AL79" s="194" t="b">
        <f>'0_Configuration'!$C$10</f>
        <v>0</v>
      </c>
      <c r="AM79" s="6" t="s">
        <v>1122</v>
      </c>
      <c r="AN79" s="194" t="b">
        <f>'0_Configuration'!$C$17</f>
        <v>0</v>
      </c>
      <c r="AO79" s="6">
        <f>_xlfn.XLOOKUP(Tab_Def_Flows[[#This Row],[ODYM_Good_Type]],Tab_Configuration[Value],Tab_Configuration[ODYM_ID],,0,)</f>
        <v>0</v>
      </c>
      <c r="AP79" s="194" t="b">
        <f>'0_Configuration'!$C$24</f>
        <v>0</v>
      </c>
      <c r="AQ79" s="6"/>
      <c r="AR79" s="194" t="b">
        <f>'0_Configuration'!$C$29</f>
        <v>1</v>
      </c>
      <c r="AS79" s="6" t="s">
        <v>1136</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F_13_13</v>
      </c>
      <c r="D80" s="7"/>
      <c r="E80" s="138"/>
      <c r="F80" s="138"/>
      <c r="G80" s="6" t="str">
        <f>_xlfn.XLOOKUP(F80,Tab_Def_Processes[Process_Name],Tab_Def_Processes[Process_ID],,0,)</f>
        <v>13</v>
      </c>
      <c r="H80" s="138"/>
      <c r="I80" s="9" t="str">
        <f>_xlfn.XLOOKUP(H80,Tab_Def_Processes[Process_Name],Tab_Def_Processes[Process_ID],,0,)</f>
        <v>13</v>
      </c>
      <c r="J80" s="138" t="s">
        <v>5</v>
      </c>
      <c r="K80" s="138" t="s">
        <v>5</v>
      </c>
      <c r="L80" s="138" t="s">
        <v>5</v>
      </c>
      <c r="M80" s="138" t="s">
        <v>5</v>
      </c>
      <c r="N80" s="138" t="s">
        <v>6</v>
      </c>
      <c r="O80" s="138" t="s">
        <v>6</v>
      </c>
      <c r="P80" s="6" t="str">
        <f>Tab_Def_Flows[[#This Row],[Flow_ID]]&amp;"_E1"</f>
        <v>F_13_13_E1</v>
      </c>
      <c r="R80" s="13"/>
      <c r="S80" s="6" t="str">
        <f>Tab_Def_Flows[[#This Row],[Flow_ID]]&amp;"_E2"</f>
        <v>F_13_13_E2</v>
      </c>
      <c r="T80" s="135"/>
      <c r="U80" s="13"/>
      <c r="V80" s="6" t="str">
        <f>Tab_Def_Flows[[#This Row],[Flow_ID]]&amp;"_E3"</f>
        <v>F_13_13_E3</v>
      </c>
      <c r="W80" s="135"/>
      <c r="X80" s="13"/>
      <c r="Y80" s="6" t="str">
        <f>Tab_Def_Flows[[#This Row],[Flow_ID]]&amp;"_E4"</f>
        <v>F_13_13_E4</v>
      </c>
      <c r="Z80" s="135"/>
      <c r="AA80" s="13"/>
      <c r="AB80" s="6" t="str">
        <f>Tab_Def_Flows[[#This Row],[Flow_ID]]&amp;"_E5"</f>
        <v>F_13_13_E5</v>
      </c>
      <c r="AC80" s="140"/>
      <c r="AD80" s="13"/>
      <c r="AE80" s="6" t="str">
        <f>Tab_Def_Flows[[#This Row],[Flow_ID]]&amp;"_E6"</f>
        <v>F_13_13_E6</v>
      </c>
      <c r="AF80" s="140"/>
      <c r="AG80" s="13"/>
      <c r="AH80" s="194" t="b">
        <f>'0_Configuration'!$C$2</f>
        <v>1</v>
      </c>
      <c r="AI80" s="6"/>
      <c r="AJ80" s="194" t="b">
        <f>'0_Configuration'!$C$6</f>
        <v>0</v>
      </c>
      <c r="AK80" s="6" t="s">
        <v>1122</v>
      </c>
      <c r="AL80" s="194" t="b">
        <f>'0_Configuration'!$C$10</f>
        <v>0</v>
      </c>
      <c r="AM80" s="6" t="s">
        <v>1122</v>
      </c>
      <c r="AN80" s="194" t="b">
        <f>'0_Configuration'!$C$17</f>
        <v>0</v>
      </c>
      <c r="AO80" s="6">
        <f>_xlfn.XLOOKUP(Tab_Def_Flows[[#This Row],[ODYM_Good_Type]],Tab_Configuration[Value],Tab_Configuration[ODYM_ID],,0,)</f>
        <v>0</v>
      </c>
      <c r="AP80" s="194" t="b">
        <f>'0_Configuration'!$C$24</f>
        <v>0</v>
      </c>
      <c r="AQ80" s="6"/>
      <c r="AR80" s="194" t="b">
        <f>'0_Configuration'!$C$29</f>
        <v>1</v>
      </c>
      <c r="AS80" s="6" t="s">
        <v>1136</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F_13_13</v>
      </c>
      <c r="D81" s="7"/>
      <c r="E81" s="138"/>
      <c r="F81" s="138"/>
      <c r="G81" s="6" t="str">
        <f>_xlfn.XLOOKUP(F81,Tab_Def_Processes[Process_Name],Tab_Def_Processes[Process_ID],,0,)</f>
        <v>13</v>
      </c>
      <c r="H81" s="138"/>
      <c r="I81" s="9" t="str">
        <f>_xlfn.XLOOKUP(H81,Tab_Def_Processes[Process_Name],Tab_Def_Processes[Process_ID],,0,)</f>
        <v>13</v>
      </c>
      <c r="J81" s="138" t="s">
        <v>5</v>
      </c>
      <c r="K81" s="138" t="s">
        <v>5</v>
      </c>
      <c r="L81" s="138" t="s">
        <v>5</v>
      </c>
      <c r="M81" s="138" t="s">
        <v>5</v>
      </c>
      <c r="N81" s="138" t="s">
        <v>6</v>
      </c>
      <c r="O81" s="138" t="s">
        <v>6</v>
      </c>
      <c r="P81" s="6" t="str">
        <f>Tab_Def_Flows[[#This Row],[Flow_ID]]&amp;"_E1"</f>
        <v>F_13_13_E1</v>
      </c>
      <c r="R81" s="13"/>
      <c r="S81" s="6" t="str">
        <f>Tab_Def_Flows[[#This Row],[Flow_ID]]&amp;"_E2"</f>
        <v>F_13_13_E2</v>
      </c>
      <c r="T81" s="135"/>
      <c r="U81" s="13"/>
      <c r="V81" s="6" t="str">
        <f>Tab_Def_Flows[[#This Row],[Flow_ID]]&amp;"_E3"</f>
        <v>F_13_13_E3</v>
      </c>
      <c r="W81" s="135"/>
      <c r="X81" s="13"/>
      <c r="Y81" s="6" t="str">
        <f>Tab_Def_Flows[[#This Row],[Flow_ID]]&amp;"_E4"</f>
        <v>F_13_13_E4</v>
      </c>
      <c r="Z81" s="135"/>
      <c r="AA81" s="13"/>
      <c r="AB81" s="6" t="str">
        <f>Tab_Def_Flows[[#This Row],[Flow_ID]]&amp;"_E5"</f>
        <v>F_13_13_E5</v>
      </c>
      <c r="AC81" s="140"/>
      <c r="AD81" s="13"/>
      <c r="AE81" s="6" t="str">
        <f>Tab_Def_Flows[[#This Row],[Flow_ID]]&amp;"_E6"</f>
        <v>F_13_13_E6</v>
      </c>
      <c r="AF81" s="140"/>
      <c r="AG81" s="13"/>
      <c r="AH81" s="194" t="b">
        <f>'0_Configuration'!$C$2</f>
        <v>1</v>
      </c>
      <c r="AI81" s="6"/>
      <c r="AJ81" s="194" t="b">
        <f>'0_Configuration'!$C$6</f>
        <v>0</v>
      </c>
      <c r="AK81" s="6" t="s">
        <v>1122</v>
      </c>
      <c r="AL81" s="194" t="b">
        <f>'0_Configuration'!$C$10</f>
        <v>0</v>
      </c>
      <c r="AM81" s="6" t="s">
        <v>1122</v>
      </c>
      <c r="AN81" s="194" t="b">
        <f>'0_Configuration'!$C$17</f>
        <v>0</v>
      </c>
      <c r="AO81" s="6">
        <f>_xlfn.XLOOKUP(Tab_Def_Flows[[#This Row],[ODYM_Good_Type]],Tab_Configuration[Value],Tab_Configuration[ODYM_ID],,0,)</f>
        <v>0</v>
      </c>
      <c r="AP81" s="194" t="b">
        <f>'0_Configuration'!$C$24</f>
        <v>0</v>
      </c>
      <c r="AQ81" s="6"/>
      <c r="AR81" s="194" t="b">
        <f>'0_Configuration'!$C$29</f>
        <v>1</v>
      </c>
      <c r="AS81" s="6" t="s">
        <v>1136</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F_13_13</v>
      </c>
      <c r="D82" s="188"/>
      <c r="E82" s="138"/>
      <c r="F82" s="138"/>
      <c r="G82" s="6" t="str">
        <f>_xlfn.XLOOKUP(F82,Tab_Def_Processes[Process_Name],Tab_Def_Processes[Process_ID],,0,)</f>
        <v>13</v>
      </c>
      <c r="H82" s="138"/>
      <c r="I82" s="9" t="str">
        <f>_xlfn.XLOOKUP(H82,Tab_Def_Processes[Process_Name],Tab_Def_Processes[Process_ID],,0,)</f>
        <v>13</v>
      </c>
      <c r="J82" s="138" t="s">
        <v>5</v>
      </c>
      <c r="K82" s="138" t="s">
        <v>5</v>
      </c>
      <c r="L82" s="138" t="s">
        <v>5</v>
      </c>
      <c r="M82" s="138" t="s">
        <v>5</v>
      </c>
      <c r="N82" s="138" t="s">
        <v>6</v>
      </c>
      <c r="O82" s="138" t="s">
        <v>6</v>
      </c>
      <c r="P82" s="6" t="str">
        <f>Tab_Def_Flows[[#This Row],[Flow_ID]]&amp;"_E1"</f>
        <v>F_13_13_E1</v>
      </c>
      <c r="R82" s="13"/>
      <c r="S82" s="6" t="str">
        <f>Tab_Def_Flows[[#This Row],[Flow_ID]]&amp;"_E2"</f>
        <v>F_13_13_E2</v>
      </c>
      <c r="T82" s="135"/>
      <c r="U82" s="13"/>
      <c r="V82" s="6" t="str">
        <f>Tab_Def_Flows[[#This Row],[Flow_ID]]&amp;"_E3"</f>
        <v>F_13_13_E3</v>
      </c>
      <c r="W82" s="135"/>
      <c r="X82" s="13"/>
      <c r="Y82" s="6" t="str">
        <f>Tab_Def_Flows[[#This Row],[Flow_ID]]&amp;"_E4"</f>
        <v>F_13_13_E4</v>
      </c>
      <c r="Z82" s="135"/>
      <c r="AA82" s="13"/>
      <c r="AB82" s="6" t="str">
        <f>Tab_Def_Flows[[#This Row],[Flow_ID]]&amp;"_E5"</f>
        <v>F_13_13_E5</v>
      </c>
      <c r="AC82" s="140"/>
      <c r="AD82" s="13"/>
      <c r="AE82" s="6" t="str">
        <f>Tab_Def_Flows[[#This Row],[Flow_ID]]&amp;"_E6"</f>
        <v>F_13_13_E6</v>
      </c>
      <c r="AF82" s="140"/>
      <c r="AG82" s="13"/>
      <c r="AH82" s="194" t="b">
        <f>'0_Configuration'!$C$2</f>
        <v>1</v>
      </c>
      <c r="AI82" s="6"/>
      <c r="AJ82" s="194" t="b">
        <f>'0_Configuration'!$C$6</f>
        <v>0</v>
      </c>
      <c r="AK82" s="6" t="s">
        <v>1122</v>
      </c>
      <c r="AL82" s="194" t="b">
        <f>'0_Configuration'!$C$10</f>
        <v>0</v>
      </c>
      <c r="AM82" s="6" t="s">
        <v>1122</v>
      </c>
      <c r="AN82" s="194" t="b">
        <f>'0_Configuration'!$C$17</f>
        <v>0</v>
      </c>
      <c r="AO82" s="6">
        <f>_xlfn.XLOOKUP(Tab_Def_Flows[[#This Row],[ODYM_Good_Type]],Tab_Configuration[Value],Tab_Configuration[ODYM_ID],,0,)</f>
        <v>0</v>
      </c>
      <c r="AP82" s="194" t="b">
        <f>'0_Configuration'!$C$24</f>
        <v>0</v>
      </c>
      <c r="AQ82" s="6"/>
      <c r="AR82" s="194" t="b">
        <f>'0_Configuration'!$C$29</f>
        <v>1</v>
      </c>
      <c r="AS82" s="6" t="s">
        <v>1136</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F_13_13</v>
      </c>
      <c r="D83" s="188"/>
      <c r="E83" s="138"/>
      <c r="F83" s="138"/>
      <c r="G83" s="6" t="str">
        <f>_xlfn.XLOOKUP(F83,Tab_Def_Processes[Process_Name],Tab_Def_Processes[Process_ID],,0,)</f>
        <v>13</v>
      </c>
      <c r="H83" s="138"/>
      <c r="I83" s="9" t="str">
        <f>_xlfn.XLOOKUP(H83,Tab_Def_Processes[Process_Name],Tab_Def_Processes[Process_ID],,0,)</f>
        <v>13</v>
      </c>
      <c r="J83" s="138" t="s">
        <v>5</v>
      </c>
      <c r="K83" s="138" t="s">
        <v>5</v>
      </c>
      <c r="L83" s="138" t="s">
        <v>5</v>
      </c>
      <c r="M83" s="138" t="s">
        <v>5</v>
      </c>
      <c r="N83" s="138" t="s">
        <v>6</v>
      </c>
      <c r="O83" s="138" t="s">
        <v>6</v>
      </c>
      <c r="P83" s="6" t="str">
        <f>Tab_Def_Flows[[#This Row],[Flow_ID]]&amp;"_E1"</f>
        <v>F_13_13_E1</v>
      </c>
      <c r="R83" s="13"/>
      <c r="S83" s="6" t="str">
        <f>Tab_Def_Flows[[#This Row],[Flow_ID]]&amp;"_E2"</f>
        <v>F_13_13_E2</v>
      </c>
      <c r="T83" s="135"/>
      <c r="U83" s="13"/>
      <c r="V83" s="6" t="str">
        <f>Tab_Def_Flows[[#This Row],[Flow_ID]]&amp;"_E3"</f>
        <v>F_13_13_E3</v>
      </c>
      <c r="W83" s="135"/>
      <c r="X83" s="13"/>
      <c r="Y83" s="6" t="str">
        <f>Tab_Def_Flows[[#This Row],[Flow_ID]]&amp;"_E4"</f>
        <v>F_13_13_E4</v>
      </c>
      <c r="Z83" s="135"/>
      <c r="AA83" s="13"/>
      <c r="AB83" s="6" t="str">
        <f>Tab_Def_Flows[[#This Row],[Flow_ID]]&amp;"_E5"</f>
        <v>F_13_13_E5</v>
      </c>
      <c r="AC83" s="140"/>
      <c r="AD83" s="13"/>
      <c r="AE83" s="6" t="str">
        <f>Tab_Def_Flows[[#This Row],[Flow_ID]]&amp;"_E6"</f>
        <v>F_13_13_E6</v>
      </c>
      <c r="AF83" s="140"/>
      <c r="AG83" s="13"/>
      <c r="AH83" s="194" t="b">
        <f>'0_Configuration'!$C$2</f>
        <v>1</v>
      </c>
      <c r="AI83" s="6"/>
      <c r="AJ83" s="194" t="b">
        <f>'0_Configuration'!$C$6</f>
        <v>0</v>
      </c>
      <c r="AK83" s="6" t="s">
        <v>1122</v>
      </c>
      <c r="AL83" s="194" t="b">
        <f>'0_Configuration'!$C$10</f>
        <v>0</v>
      </c>
      <c r="AM83" s="6" t="s">
        <v>1122</v>
      </c>
      <c r="AN83" s="194" t="b">
        <f>'0_Configuration'!$C$17</f>
        <v>0</v>
      </c>
      <c r="AO83" s="6">
        <f>_xlfn.XLOOKUP(Tab_Def_Flows[[#This Row],[ODYM_Good_Type]],Tab_Configuration[Value],Tab_Configuration[ODYM_ID],,0,)</f>
        <v>0</v>
      </c>
      <c r="AP83" s="194" t="b">
        <f>'0_Configuration'!$C$24</f>
        <v>0</v>
      </c>
      <c r="AQ83" s="6"/>
      <c r="AR83" s="194" t="b">
        <f>'0_Configuration'!$C$29</f>
        <v>1</v>
      </c>
      <c r="AS83" s="6" t="s">
        <v>1136</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F_13_13</v>
      </c>
      <c r="D84" s="188"/>
      <c r="E84" s="138"/>
      <c r="F84" s="138"/>
      <c r="G84" s="6" t="str">
        <f>_xlfn.XLOOKUP(F84,Tab_Def_Processes[Process_Name],Tab_Def_Processes[Process_ID],,0,)</f>
        <v>13</v>
      </c>
      <c r="H84" s="138"/>
      <c r="I84" s="9" t="str">
        <f>_xlfn.XLOOKUP(H84,Tab_Def_Processes[Process_Name],Tab_Def_Processes[Process_ID],,0,)</f>
        <v>13</v>
      </c>
      <c r="J84" s="138" t="s">
        <v>5</v>
      </c>
      <c r="K84" s="138" t="s">
        <v>5</v>
      </c>
      <c r="L84" s="138" t="s">
        <v>5</v>
      </c>
      <c r="M84" s="138" t="s">
        <v>5</v>
      </c>
      <c r="N84" s="138" t="s">
        <v>6</v>
      </c>
      <c r="O84" s="138" t="s">
        <v>6</v>
      </c>
      <c r="P84" s="6" t="str">
        <f>Tab_Def_Flows[[#This Row],[Flow_ID]]&amp;"_E1"</f>
        <v>F_13_13_E1</v>
      </c>
      <c r="R84" s="13"/>
      <c r="S84" s="6" t="str">
        <f>Tab_Def_Flows[[#This Row],[Flow_ID]]&amp;"_E2"</f>
        <v>F_13_13_E2</v>
      </c>
      <c r="T84" s="135"/>
      <c r="U84" s="13"/>
      <c r="V84" s="6" t="str">
        <f>Tab_Def_Flows[[#This Row],[Flow_ID]]&amp;"_E3"</f>
        <v>F_13_13_E3</v>
      </c>
      <c r="W84" s="135"/>
      <c r="X84" s="13"/>
      <c r="Y84" s="6" t="str">
        <f>Tab_Def_Flows[[#This Row],[Flow_ID]]&amp;"_E4"</f>
        <v>F_13_13_E4</v>
      </c>
      <c r="Z84" s="135"/>
      <c r="AA84" s="13"/>
      <c r="AB84" s="6" t="str">
        <f>Tab_Def_Flows[[#This Row],[Flow_ID]]&amp;"_E5"</f>
        <v>F_13_13_E5</v>
      </c>
      <c r="AC84" s="140"/>
      <c r="AD84" s="13"/>
      <c r="AE84" s="6" t="str">
        <f>Tab_Def_Flows[[#This Row],[Flow_ID]]&amp;"_E6"</f>
        <v>F_13_13_E6</v>
      </c>
      <c r="AF84" s="140"/>
      <c r="AG84" s="13"/>
      <c r="AH84" s="194" t="b">
        <f>'0_Configuration'!$C$2</f>
        <v>1</v>
      </c>
      <c r="AI84" s="6"/>
      <c r="AJ84" s="194" t="b">
        <f>'0_Configuration'!$C$6</f>
        <v>0</v>
      </c>
      <c r="AK84" s="6" t="s">
        <v>1122</v>
      </c>
      <c r="AL84" s="194" t="b">
        <f>'0_Configuration'!$C$10</f>
        <v>0</v>
      </c>
      <c r="AM84" s="6" t="s">
        <v>1122</v>
      </c>
      <c r="AN84" s="194" t="b">
        <f>'0_Configuration'!$C$17</f>
        <v>0</v>
      </c>
      <c r="AO84" s="6">
        <f>_xlfn.XLOOKUP(Tab_Def_Flows[[#This Row],[ODYM_Good_Type]],Tab_Configuration[Value],Tab_Configuration[ODYM_ID],,0,)</f>
        <v>0</v>
      </c>
      <c r="AP84" s="194" t="b">
        <f>'0_Configuration'!$C$24</f>
        <v>0</v>
      </c>
      <c r="AQ84" s="6"/>
      <c r="AR84" s="194" t="b">
        <f>'0_Configuration'!$C$29</f>
        <v>1</v>
      </c>
      <c r="AS84" s="6" t="s">
        <v>1136</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F_13_13</v>
      </c>
      <c r="D85" s="188"/>
      <c r="E85" s="138"/>
      <c r="F85" s="138"/>
      <c r="G85" s="6" t="str">
        <f>_xlfn.XLOOKUP(F85,Tab_Def_Processes[Process_Name],Tab_Def_Processes[Process_ID],,0,)</f>
        <v>13</v>
      </c>
      <c r="H85" s="138"/>
      <c r="I85" s="9" t="str">
        <f>_xlfn.XLOOKUP(H85,Tab_Def_Processes[Process_Name],Tab_Def_Processes[Process_ID],,0,)</f>
        <v>13</v>
      </c>
      <c r="J85" s="138" t="s">
        <v>5</v>
      </c>
      <c r="K85" s="138" t="s">
        <v>5</v>
      </c>
      <c r="L85" s="138" t="s">
        <v>5</v>
      </c>
      <c r="M85" s="138" t="s">
        <v>5</v>
      </c>
      <c r="N85" s="138" t="s">
        <v>6</v>
      </c>
      <c r="O85" s="138" t="s">
        <v>6</v>
      </c>
      <c r="P85" s="6" t="str">
        <f>Tab_Def_Flows[[#This Row],[Flow_ID]]&amp;"_E1"</f>
        <v>F_13_13_E1</v>
      </c>
      <c r="R85" s="13"/>
      <c r="S85" s="6" t="str">
        <f>Tab_Def_Flows[[#This Row],[Flow_ID]]&amp;"_E2"</f>
        <v>F_13_13_E2</v>
      </c>
      <c r="T85" s="135"/>
      <c r="U85" s="13"/>
      <c r="V85" s="6" t="str">
        <f>Tab_Def_Flows[[#This Row],[Flow_ID]]&amp;"_E3"</f>
        <v>F_13_13_E3</v>
      </c>
      <c r="W85" s="135"/>
      <c r="X85" s="13"/>
      <c r="Y85" s="6" t="str">
        <f>Tab_Def_Flows[[#This Row],[Flow_ID]]&amp;"_E4"</f>
        <v>F_13_13_E4</v>
      </c>
      <c r="Z85" s="135"/>
      <c r="AA85" s="13"/>
      <c r="AB85" s="6" t="str">
        <f>Tab_Def_Flows[[#This Row],[Flow_ID]]&amp;"_E5"</f>
        <v>F_13_13_E5</v>
      </c>
      <c r="AC85" s="140"/>
      <c r="AD85" s="13"/>
      <c r="AE85" s="6" t="str">
        <f>Tab_Def_Flows[[#This Row],[Flow_ID]]&amp;"_E6"</f>
        <v>F_13_13_E6</v>
      </c>
      <c r="AF85" s="140"/>
      <c r="AG85" s="13"/>
      <c r="AH85" s="194" t="b">
        <f>'0_Configuration'!$C$2</f>
        <v>1</v>
      </c>
      <c r="AI85" s="6"/>
      <c r="AJ85" s="194" t="b">
        <f>'0_Configuration'!$C$6</f>
        <v>0</v>
      </c>
      <c r="AK85" s="6" t="s">
        <v>1122</v>
      </c>
      <c r="AL85" s="194" t="b">
        <f>'0_Configuration'!$C$10</f>
        <v>0</v>
      </c>
      <c r="AM85" s="6" t="s">
        <v>1122</v>
      </c>
      <c r="AN85" s="194" t="b">
        <f>'0_Configuration'!$C$17</f>
        <v>0</v>
      </c>
      <c r="AO85" s="6">
        <f>_xlfn.XLOOKUP(Tab_Def_Flows[[#This Row],[ODYM_Good_Type]],Tab_Configuration[Value],Tab_Configuration[ODYM_ID],,0,)</f>
        <v>0</v>
      </c>
      <c r="AP85" s="194" t="b">
        <f>'0_Configuration'!$C$24</f>
        <v>0</v>
      </c>
      <c r="AQ85" s="6"/>
      <c r="AR85" s="194" t="b">
        <f>'0_Configuration'!$C$29</f>
        <v>1</v>
      </c>
      <c r="AS85" s="6" t="s">
        <v>1136</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F_13_13</v>
      </c>
      <c r="D86" s="188"/>
      <c r="E86" s="138"/>
      <c r="F86" s="138"/>
      <c r="G86" s="6" t="str">
        <f>_xlfn.XLOOKUP(F86,Tab_Def_Processes[Process_Name],Tab_Def_Processes[Process_ID],,0,)</f>
        <v>13</v>
      </c>
      <c r="H86" s="138"/>
      <c r="I86" s="9" t="str">
        <f>_xlfn.XLOOKUP(H86,Tab_Def_Processes[Process_Name],Tab_Def_Processes[Process_ID],,0,)</f>
        <v>13</v>
      </c>
      <c r="J86" s="138" t="s">
        <v>5</v>
      </c>
      <c r="K86" s="138" t="s">
        <v>5</v>
      </c>
      <c r="L86" s="138" t="s">
        <v>5</v>
      </c>
      <c r="M86" s="138" t="s">
        <v>5</v>
      </c>
      <c r="N86" s="138" t="s">
        <v>6</v>
      </c>
      <c r="O86" s="138" t="s">
        <v>6</v>
      </c>
      <c r="P86" s="6" t="str">
        <f>Tab_Def_Flows[[#This Row],[Flow_ID]]&amp;"_E1"</f>
        <v>F_13_13_E1</v>
      </c>
      <c r="R86" s="13"/>
      <c r="S86" s="6" t="str">
        <f>Tab_Def_Flows[[#This Row],[Flow_ID]]&amp;"_E2"</f>
        <v>F_13_13_E2</v>
      </c>
      <c r="T86" s="135"/>
      <c r="U86" s="13"/>
      <c r="V86" s="6" t="str">
        <f>Tab_Def_Flows[[#This Row],[Flow_ID]]&amp;"_E3"</f>
        <v>F_13_13_E3</v>
      </c>
      <c r="W86" s="135"/>
      <c r="X86" s="13"/>
      <c r="Y86" s="6" t="str">
        <f>Tab_Def_Flows[[#This Row],[Flow_ID]]&amp;"_E4"</f>
        <v>F_13_13_E4</v>
      </c>
      <c r="Z86" s="135"/>
      <c r="AA86" s="13"/>
      <c r="AB86" s="6" t="str">
        <f>Tab_Def_Flows[[#This Row],[Flow_ID]]&amp;"_E5"</f>
        <v>F_13_13_E5</v>
      </c>
      <c r="AC86" s="140"/>
      <c r="AD86" s="13"/>
      <c r="AE86" s="6" t="str">
        <f>Tab_Def_Flows[[#This Row],[Flow_ID]]&amp;"_E6"</f>
        <v>F_13_13_E6</v>
      </c>
      <c r="AF86" s="140"/>
      <c r="AG86" s="13"/>
      <c r="AH86" s="194" t="b">
        <f>'0_Configuration'!$C$2</f>
        <v>1</v>
      </c>
      <c r="AI86" s="6"/>
      <c r="AJ86" s="194" t="b">
        <f>'0_Configuration'!$C$6</f>
        <v>0</v>
      </c>
      <c r="AK86" s="6" t="s">
        <v>1122</v>
      </c>
      <c r="AL86" s="194" t="b">
        <f>'0_Configuration'!$C$10</f>
        <v>0</v>
      </c>
      <c r="AM86" s="6" t="s">
        <v>1122</v>
      </c>
      <c r="AN86" s="194" t="b">
        <f>'0_Configuration'!$C$17</f>
        <v>0</v>
      </c>
      <c r="AO86" s="6">
        <f>_xlfn.XLOOKUP(Tab_Def_Flows[[#This Row],[ODYM_Good_Type]],Tab_Configuration[Value],Tab_Configuration[ODYM_ID],,0,)</f>
        <v>0</v>
      </c>
      <c r="AP86" s="194" t="b">
        <f>'0_Configuration'!$C$24</f>
        <v>0</v>
      </c>
      <c r="AQ86" s="6"/>
      <c r="AR86" s="194" t="b">
        <f>'0_Configuration'!$C$29</f>
        <v>1</v>
      </c>
      <c r="AS86" s="6" t="s">
        <v>1136</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F_13_13</v>
      </c>
      <c r="D87" s="188"/>
      <c r="E87" s="138"/>
      <c r="F87" s="138"/>
      <c r="G87" s="6" t="str">
        <f>_xlfn.XLOOKUP(F87,Tab_Def_Processes[Process_Name],Tab_Def_Processes[Process_ID],,0,)</f>
        <v>13</v>
      </c>
      <c r="H87" s="138"/>
      <c r="I87" s="9" t="str">
        <f>_xlfn.XLOOKUP(H87,Tab_Def_Processes[Process_Name],Tab_Def_Processes[Process_ID],,0,)</f>
        <v>13</v>
      </c>
      <c r="J87" s="138" t="s">
        <v>5</v>
      </c>
      <c r="K87" s="138" t="s">
        <v>5</v>
      </c>
      <c r="L87" s="138" t="s">
        <v>5</v>
      </c>
      <c r="M87" s="138" t="s">
        <v>5</v>
      </c>
      <c r="N87" s="138" t="s">
        <v>6</v>
      </c>
      <c r="O87" s="138" t="s">
        <v>6</v>
      </c>
      <c r="P87" s="6" t="str">
        <f>Tab_Def_Flows[[#This Row],[Flow_ID]]&amp;"_E1"</f>
        <v>F_13_13_E1</v>
      </c>
      <c r="R87" s="13"/>
      <c r="S87" s="6" t="str">
        <f>Tab_Def_Flows[[#This Row],[Flow_ID]]&amp;"_E2"</f>
        <v>F_13_13_E2</v>
      </c>
      <c r="T87" s="135"/>
      <c r="U87" s="13"/>
      <c r="V87" s="6" t="str">
        <f>Tab_Def_Flows[[#This Row],[Flow_ID]]&amp;"_E3"</f>
        <v>F_13_13_E3</v>
      </c>
      <c r="W87" s="135"/>
      <c r="X87" s="13"/>
      <c r="Y87" s="6" t="str">
        <f>Tab_Def_Flows[[#This Row],[Flow_ID]]&amp;"_E4"</f>
        <v>F_13_13_E4</v>
      </c>
      <c r="Z87" s="135"/>
      <c r="AA87" s="13"/>
      <c r="AB87" s="6" t="str">
        <f>Tab_Def_Flows[[#This Row],[Flow_ID]]&amp;"_E5"</f>
        <v>F_13_13_E5</v>
      </c>
      <c r="AC87" s="140"/>
      <c r="AD87" s="13"/>
      <c r="AE87" s="6" t="str">
        <f>Tab_Def_Flows[[#This Row],[Flow_ID]]&amp;"_E6"</f>
        <v>F_13_13_E6</v>
      </c>
      <c r="AF87" s="140"/>
      <c r="AG87" s="13"/>
      <c r="AH87" s="194" t="b">
        <f>'0_Configuration'!$C$2</f>
        <v>1</v>
      </c>
      <c r="AI87" s="6"/>
      <c r="AJ87" s="194" t="b">
        <f>'0_Configuration'!$C$6</f>
        <v>0</v>
      </c>
      <c r="AK87" s="6" t="s">
        <v>1122</v>
      </c>
      <c r="AL87" s="194" t="b">
        <f>'0_Configuration'!$C$10</f>
        <v>0</v>
      </c>
      <c r="AM87" s="6" t="s">
        <v>1122</v>
      </c>
      <c r="AN87" s="194" t="b">
        <f>'0_Configuration'!$C$17</f>
        <v>0</v>
      </c>
      <c r="AO87" s="6">
        <f>_xlfn.XLOOKUP(Tab_Def_Flows[[#This Row],[ODYM_Good_Type]],Tab_Configuration[Value],Tab_Configuration[ODYM_ID],,0,)</f>
        <v>0</v>
      </c>
      <c r="AP87" s="194" t="b">
        <f>'0_Configuration'!$C$24</f>
        <v>0</v>
      </c>
      <c r="AQ87" s="6"/>
      <c r="AR87" s="194" t="b">
        <f>'0_Configuration'!$C$29</f>
        <v>1</v>
      </c>
      <c r="AS87" s="6" t="s">
        <v>1136</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F_13_13</v>
      </c>
      <c r="D88" s="188"/>
      <c r="E88" s="138"/>
      <c r="F88" s="138"/>
      <c r="G88" s="6" t="str">
        <f>_xlfn.XLOOKUP(F88,Tab_Def_Processes[Process_Name],Tab_Def_Processes[Process_ID],,0,)</f>
        <v>13</v>
      </c>
      <c r="H88" s="138"/>
      <c r="I88" s="9" t="str">
        <f>_xlfn.XLOOKUP(H88,Tab_Def_Processes[Process_Name],Tab_Def_Processes[Process_ID],,0,)</f>
        <v>13</v>
      </c>
      <c r="J88" s="138" t="s">
        <v>5</v>
      </c>
      <c r="K88" s="138" t="s">
        <v>5</v>
      </c>
      <c r="L88" s="138" t="s">
        <v>5</v>
      </c>
      <c r="M88" s="138" t="s">
        <v>5</v>
      </c>
      <c r="N88" s="138" t="s">
        <v>6</v>
      </c>
      <c r="O88" s="138" t="s">
        <v>6</v>
      </c>
      <c r="P88" s="6" t="str">
        <f>Tab_Def_Flows[[#This Row],[Flow_ID]]&amp;"_E1"</f>
        <v>F_13_13_E1</v>
      </c>
      <c r="R88" s="13"/>
      <c r="S88" s="6" t="str">
        <f>Tab_Def_Flows[[#This Row],[Flow_ID]]&amp;"_E2"</f>
        <v>F_13_13_E2</v>
      </c>
      <c r="T88" s="135"/>
      <c r="U88" s="13"/>
      <c r="V88" s="6" t="str">
        <f>Tab_Def_Flows[[#This Row],[Flow_ID]]&amp;"_E3"</f>
        <v>F_13_13_E3</v>
      </c>
      <c r="W88" s="135"/>
      <c r="X88" s="13"/>
      <c r="Y88" s="6" t="str">
        <f>Tab_Def_Flows[[#This Row],[Flow_ID]]&amp;"_E4"</f>
        <v>F_13_13_E4</v>
      </c>
      <c r="Z88" s="135"/>
      <c r="AA88" s="13"/>
      <c r="AB88" s="6" t="str">
        <f>Tab_Def_Flows[[#This Row],[Flow_ID]]&amp;"_E5"</f>
        <v>F_13_13_E5</v>
      </c>
      <c r="AC88" s="140"/>
      <c r="AD88" s="13"/>
      <c r="AE88" s="6" t="str">
        <f>Tab_Def_Flows[[#This Row],[Flow_ID]]&amp;"_E6"</f>
        <v>F_13_13_E6</v>
      </c>
      <c r="AF88" s="140"/>
      <c r="AG88" s="13"/>
      <c r="AH88" s="194" t="b">
        <f>'0_Configuration'!$C$2</f>
        <v>1</v>
      </c>
      <c r="AI88" s="6"/>
      <c r="AJ88" s="194" t="b">
        <f>'0_Configuration'!$C$6</f>
        <v>0</v>
      </c>
      <c r="AK88" s="6" t="s">
        <v>1122</v>
      </c>
      <c r="AL88" s="194" t="b">
        <f>'0_Configuration'!$C$10</f>
        <v>0</v>
      </c>
      <c r="AM88" s="6" t="s">
        <v>1122</v>
      </c>
      <c r="AN88" s="194" t="b">
        <f>'0_Configuration'!$C$17</f>
        <v>0</v>
      </c>
      <c r="AO88" s="6">
        <f>_xlfn.XLOOKUP(Tab_Def_Flows[[#This Row],[ODYM_Good_Type]],Tab_Configuration[Value],Tab_Configuration[ODYM_ID],,0,)</f>
        <v>0</v>
      </c>
      <c r="AP88" s="194" t="b">
        <f>'0_Configuration'!$C$24</f>
        <v>0</v>
      </c>
      <c r="AQ88" s="6"/>
      <c r="AR88" s="194" t="b">
        <f>'0_Configuration'!$C$29</f>
        <v>1</v>
      </c>
      <c r="AS88" s="6" t="s">
        <v>1136</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F_13_13</v>
      </c>
      <c r="D89" s="7"/>
      <c r="E89" s="138"/>
      <c r="F89" s="138"/>
      <c r="G89" s="6" t="str">
        <f>_xlfn.XLOOKUP(F89,Tab_Def_Processes[Process_Name],Tab_Def_Processes[Process_ID],,0,)</f>
        <v>13</v>
      </c>
      <c r="H89" s="138"/>
      <c r="I89" s="9" t="str">
        <f>_xlfn.XLOOKUP(H89,Tab_Def_Processes[Process_Name],Tab_Def_Processes[Process_ID],,0,)</f>
        <v>13</v>
      </c>
      <c r="J89" s="138" t="s">
        <v>5</v>
      </c>
      <c r="K89" s="138" t="s">
        <v>5</v>
      </c>
      <c r="L89" s="138" t="s">
        <v>5</v>
      </c>
      <c r="M89" s="138" t="s">
        <v>5</v>
      </c>
      <c r="N89" s="138" t="s">
        <v>6</v>
      </c>
      <c r="O89" s="138" t="s">
        <v>6</v>
      </c>
      <c r="P89" s="6" t="str">
        <f>Tab_Def_Flows[[#This Row],[Flow_ID]]&amp;"_E1"</f>
        <v>F_13_13_E1</v>
      </c>
      <c r="R89" s="13"/>
      <c r="S89" s="6" t="str">
        <f>Tab_Def_Flows[[#This Row],[Flow_ID]]&amp;"_E2"</f>
        <v>F_13_13_E2</v>
      </c>
      <c r="T89" s="135"/>
      <c r="U89" s="13"/>
      <c r="V89" s="6" t="str">
        <f>Tab_Def_Flows[[#This Row],[Flow_ID]]&amp;"_E3"</f>
        <v>F_13_13_E3</v>
      </c>
      <c r="W89" s="135"/>
      <c r="X89" s="13"/>
      <c r="Y89" s="6" t="str">
        <f>Tab_Def_Flows[[#This Row],[Flow_ID]]&amp;"_E4"</f>
        <v>F_13_13_E4</v>
      </c>
      <c r="Z89" s="135"/>
      <c r="AA89" s="13"/>
      <c r="AB89" s="6" t="str">
        <f>Tab_Def_Flows[[#This Row],[Flow_ID]]&amp;"_E5"</f>
        <v>F_13_13_E5</v>
      </c>
      <c r="AC89" s="140"/>
      <c r="AD89" s="13"/>
      <c r="AE89" s="6" t="str">
        <f>Tab_Def_Flows[[#This Row],[Flow_ID]]&amp;"_E6"</f>
        <v>F_13_13_E6</v>
      </c>
      <c r="AF89" s="140"/>
      <c r="AG89" s="13"/>
      <c r="AH89" s="194" t="b">
        <f>'0_Configuration'!$C$2</f>
        <v>1</v>
      </c>
      <c r="AI89" s="6"/>
      <c r="AJ89" s="194" t="b">
        <f>'0_Configuration'!$C$6</f>
        <v>0</v>
      </c>
      <c r="AK89" s="6" t="s">
        <v>1122</v>
      </c>
      <c r="AL89" s="194" t="b">
        <f>'0_Configuration'!$C$10</f>
        <v>0</v>
      </c>
      <c r="AM89" s="6" t="s">
        <v>1122</v>
      </c>
      <c r="AN89" s="194" t="b">
        <f>'0_Configuration'!$C$17</f>
        <v>0</v>
      </c>
      <c r="AO89" s="6">
        <f>_xlfn.XLOOKUP(Tab_Def_Flows[[#This Row],[ODYM_Good_Type]],Tab_Configuration[Value],Tab_Configuration[ODYM_ID],,0,)</f>
        <v>0</v>
      </c>
      <c r="AP89" s="194" t="b">
        <f>'0_Configuration'!$C$24</f>
        <v>0</v>
      </c>
      <c r="AQ89" s="6"/>
      <c r="AR89" s="194" t="b">
        <f>'0_Configuration'!$C$29</f>
        <v>1</v>
      </c>
      <c r="AS89" s="6" t="s">
        <v>1136</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F_13_13</v>
      </c>
      <c r="D90" s="7"/>
      <c r="E90" s="138"/>
      <c r="F90" s="138"/>
      <c r="G90" s="6" t="str">
        <f>_xlfn.XLOOKUP(F90,Tab_Def_Processes[Process_Name],Tab_Def_Processes[Process_ID],,0,)</f>
        <v>13</v>
      </c>
      <c r="H90" s="138"/>
      <c r="I90" s="9" t="str">
        <f>_xlfn.XLOOKUP(H90,Tab_Def_Processes[Process_Name],Tab_Def_Processes[Process_ID],,0,)</f>
        <v>13</v>
      </c>
      <c r="J90" s="138" t="s">
        <v>5</v>
      </c>
      <c r="K90" s="138" t="s">
        <v>5</v>
      </c>
      <c r="L90" s="138" t="s">
        <v>5</v>
      </c>
      <c r="M90" s="138" t="s">
        <v>5</v>
      </c>
      <c r="N90" s="138" t="s">
        <v>6</v>
      </c>
      <c r="O90" s="138" t="s">
        <v>6</v>
      </c>
      <c r="P90" s="6" t="str">
        <f>Tab_Def_Flows[[#This Row],[Flow_ID]]&amp;"_E1"</f>
        <v>F_13_13_E1</v>
      </c>
      <c r="R90" s="13"/>
      <c r="S90" s="6" t="str">
        <f>Tab_Def_Flows[[#This Row],[Flow_ID]]&amp;"_E2"</f>
        <v>F_13_13_E2</v>
      </c>
      <c r="T90" s="135"/>
      <c r="U90" s="13"/>
      <c r="V90" s="6" t="str">
        <f>Tab_Def_Flows[[#This Row],[Flow_ID]]&amp;"_E3"</f>
        <v>F_13_13_E3</v>
      </c>
      <c r="W90" s="135"/>
      <c r="X90" s="13"/>
      <c r="Y90" s="6" t="str">
        <f>Tab_Def_Flows[[#This Row],[Flow_ID]]&amp;"_E4"</f>
        <v>F_13_13_E4</v>
      </c>
      <c r="Z90" s="135"/>
      <c r="AA90" s="13"/>
      <c r="AB90" s="6" t="str">
        <f>Tab_Def_Flows[[#This Row],[Flow_ID]]&amp;"_E5"</f>
        <v>F_13_13_E5</v>
      </c>
      <c r="AC90" s="140"/>
      <c r="AD90" s="13"/>
      <c r="AE90" s="6" t="str">
        <f>Tab_Def_Flows[[#This Row],[Flow_ID]]&amp;"_E6"</f>
        <v>F_13_13_E6</v>
      </c>
      <c r="AF90" s="140"/>
      <c r="AG90" s="13"/>
      <c r="AH90" s="194" t="b">
        <f>'0_Configuration'!$C$2</f>
        <v>1</v>
      </c>
      <c r="AI90" s="6"/>
      <c r="AJ90" s="194" t="b">
        <f>'0_Configuration'!$C$6</f>
        <v>0</v>
      </c>
      <c r="AK90" s="6" t="s">
        <v>1122</v>
      </c>
      <c r="AL90" s="194" t="b">
        <f>'0_Configuration'!$C$10</f>
        <v>0</v>
      </c>
      <c r="AM90" s="6" t="s">
        <v>1122</v>
      </c>
      <c r="AN90" s="194" t="b">
        <f>'0_Configuration'!$C$17</f>
        <v>0</v>
      </c>
      <c r="AO90" s="6">
        <f>_xlfn.XLOOKUP(Tab_Def_Flows[[#This Row],[ODYM_Good_Type]],Tab_Configuration[Value],Tab_Configuration[ODYM_ID],,0,)</f>
        <v>0</v>
      </c>
      <c r="AP90" s="194" t="b">
        <f>'0_Configuration'!$C$24</f>
        <v>0</v>
      </c>
      <c r="AQ90" s="6"/>
      <c r="AR90" s="194" t="b">
        <f>'0_Configuration'!$C$29</f>
        <v>1</v>
      </c>
      <c r="AS90" s="6" t="s">
        <v>1136</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F_13_13</v>
      </c>
      <c r="D91" s="7"/>
      <c r="E91" s="138"/>
      <c r="F91" s="138"/>
      <c r="G91" s="6" t="str">
        <f>_xlfn.XLOOKUP(F91,Tab_Def_Processes[Process_Name],Tab_Def_Processes[Process_ID],,0,)</f>
        <v>13</v>
      </c>
      <c r="H91" s="138"/>
      <c r="I91" s="9" t="str">
        <f>_xlfn.XLOOKUP(H91,Tab_Def_Processes[Process_Name],Tab_Def_Processes[Process_ID],,0,)</f>
        <v>13</v>
      </c>
      <c r="J91" s="138" t="s">
        <v>5</v>
      </c>
      <c r="K91" s="138" t="s">
        <v>5</v>
      </c>
      <c r="L91" s="138" t="s">
        <v>5</v>
      </c>
      <c r="M91" s="138" t="s">
        <v>5</v>
      </c>
      <c r="N91" s="138" t="s">
        <v>6</v>
      </c>
      <c r="O91" s="138" t="s">
        <v>6</v>
      </c>
      <c r="P91" s="6" t="str">
        <f>Tab_Def_Flows[[#This Row],[Flow_ID]]&amp;"_E1"</f>
        <v>F_13_13_E1</v>
      </c>
      <c r="R91" s="13"/>
      <c r="S91" s="6" t="str">
        <f>Tab_Def_Flows[[#This Row],[Flow_ID]]&amp;"_E2"</f>
        <v>F_13_13_E2</v>
      </c>
      <c r="T91" s="135"/>
      <c r="U91" s="13"/>
      <c r="V91" s="6" t="str">
        <f>Tab_Def_Flows[[#This Row],[Flow_ID]]&amp;"_E3"</f>
        <v>F_13_13_E3</v>
      </c>
      <c r="W91" s="135"/>
      <c r="X91" s="13"/>
      <c r="Y91" s="6" t="str">
        <f>Tab_Def_Flows[[#This Row],[Flow_ID]]&amp;"_E4"</f>
        <v>F_13_13_E4</v>
      </c>
      <c r="Z91" s="135"/>
      <c r="AA91" s="13"/>
      <c r="AB91" s="6" t="str">
        <f>Tab_Def_Flows[[#This Row],[Flow_ID]]&amp;"_E5"</f>
        <v>F_13_13_E5</v>
      </c>
      <c r="AC91" s="140"/>
      <c r="AD91" s="13"/>
      <c r="AE91" s="6" t="str">
        <f>Tab_Def_Flows[[#This Row],[Flow_ID]]&amp;"_E6"</f>
        <v>F_13_13_E6</v>
      </c>
      <c r="AF91" s="140"/>
      <c r="AG91" s="13"/>
      <c r="AH91" s="194" t="b">
        <f>'0_Configuration'!$C$2</f>
        <v>1</v>
      </c>
      <c r="AI91" s="6"/>
      <c r="AJ91" s="194" t="b">
        <f>'0_Configuration'!$C$6</f>
        <v>0</v>
      </c>
      <c r="AK91" s="6" t="s">
        <v>1122</v>
      </c>
      <c r="AL91" s="194" t="b">
        <f>'0_Configuration'!$C$10</f>
        <v>0</v>
      </c>
      <c r="AM91" s="6" t="s">
        <v>1122</v>
      </c>
      <c r="AN91" s="194" t="b">
        <f>'0_Configuration'!$C$17</f>
        <v>0</v>
      </c>
      <c r="AO91" s="6">
        <f>_xlfn.XLOOKUP(Tab_Def_Flows[[#This Row],[ODYM_Good_Type]],Tab_Configuration[Value],Tab_Configuration[ODYM_ID],,0,)</f>
        <v>0</v>
      </c>
      <c r="AP91" s="194" t="b">
        <f>'0_Configuration'!$C$24</f>
        <v>0</v>
      </c>
      <c r="AQ91" s="6"/>
      <c r="AR91" s="194" t="b">
        <f>'0_Configuration'!$C$29</f>
        <v>1</v>
      </c>
      <c r="AS91" s="6" t="s">
        <v>1136</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F_13_13</v>
      </c>
      <c r="D92" s="7"/>
      <c r="E92" s="138"/>
      <c r="F92" s="138"/>
      <c r="G92" s="6" t="str">
        <f>_xlfn.XLOOKUP(F92,Tab_Def_Processes[Process_Name],Tab_Def_Processes[Process_ID],,0,)</f>
        <v>13</v>
      </c>
      <c r="H92" s="138"/>
      <c r="I92" s="9" t="str">
        <f>_xlfn.XLOOKUP(H92,Tab_Def_Processes[Process_Name],Tab_Def_Processes[Process_ID],,0,)</f>
        <v>13</v>
      </c>
      <c r="J92" s="138" t="s">
        <v>5</v>
      </c>
      <c r="K92" s="138" t="s">
        <v>5</v>
      </c>
      <c r="L92" s="138" t="s">
        <v>5</v>
      </c>
      <c r="M92" s="138" t="s">
        <v>5</v>
      </c>
      <c r="N92" s="138" t="s">
        <v>6</v>
      </c>
      <c r="O92" s="138" t="s">
        <v>6</v>
      </c>
      <c r="P92" s="6" t="str">
        <f>Tab_Def_Flows[[#This Row],[Flow_ID]]&amp;"_E1"</f>
        <v>F_13_13_E1</v>
      </c>
      <c r="R92" s="13"/>
      <c r="S92" s="6" t="str">
        <f>Tab_Def_Flows[[#This Row],[Flow_ID]]&amp;"_E2"</f>
        <v>F_13_13_E2</v>
      </c>
      <c r="T92" s="135"/>
      <c r="U92" s="13"/>
      <c r="V92" s="6" t="str">
        <f>Tab_Def_Flows[[#This Row],[Flow_ID]]&amp;"_E3"</f>
        <v>F_13_13_E3</v>
      </c>
      <c r="W92" s="135"/>
      <c r="X92" s="13"/>
      <c r="Y92" s="6" t="str">
        <f>Tab_Def_Flows[[#This Row],[Flow_ID]]&amp;"_E4"</f>
        <v>F_13_13_E4</v>
      </c>
      <c r="Z92" s="135"/>
      <c r="AA92" s="13"/>
      <c r="AB92" s="6" t="str">
        <f>Tab_Def_Flows[[#This Row],[Flow_ID]]&amp;"_E5"</f>
        <v>F_13_13_E5</v>
      </c>
      <c r="AC92" s="140"/>
      <c r="AD92" s="13"/>
      <c r="AE92" s="6" t="str">
        <f>Tab_Def_Flows[[#This Row],[Flow_ID]]&amp;"_E6"</f>
        <v>F_13_13_E6</v>
      </c>
      <c r="AF92" s="140"/>
      <c r="AG92" s="13"/>
      <c r="AH92" s="194" t="b">
        <f>'0_Configuration'!$C$2</f>
        <v>1</v>
      </c>
      <c r="AI92" s="6"/>
      <c r="AJ92" s="194" t="b">
        <f>'0_Configuration'!$C$6</f>
        <v>0</v>
      </c>
      <c r="AK92" s="6" t="s">
        <v>1122</v>
      </c>
      <c r="AL92" s="194" t="b">
        <f>'0_Configuration'!$C$10</f>
        <v>0</v>
      </c>
      <c r="AM92" s="6" t="s">
        <v>1122</v>
      </c>
      <c r="AN92" s="194" t="b">
        <f>'0_Configuration'!$C$17</f>
        <v>0</v>
      </c>
      <c r="AO92" s="6">
        <f>_xlfn.XLOOKUP(Tab_Def_Flows[[#This Row],[ODYM_Good_Type]],Tab_Configuration[Value],Tab_Configuration[ODYM_ID],,0,)</f>
        <v>0</v>
      </c>
      <c r="AP92" s="194" t="b">
        <f>'0_Configuration'!$C$24</f>
        <v>0</v>
      </c>
      <c r="AQ92" s="6"/>
      <c r="AR92" s="194" t="b">
        <f>'0_Configuration'!$C$29</f>
        <v>1</v>
      </c>
      <c r="AS92" s="6" t="s">
        <v>1136</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F_13_13</v>
      </c>
      <c r="D93" s="7"/>
      <c r="E93" s="138"/>
      <c r="F93" s="138"/>
      <c r="G93" s="6" t="str">
        <f>_xlfn.XLOOKUP(F93,Tab_Def_Processes[Process_Name],Tab_Def_Processes[Process_ID],,0,)</f>
        <v>13</v>
      </c>
      <c r="H93" s="138"/>
      <c r="I93" s="9" t="str">
        <f>_xlfn.XLOOKUP(H93,Tab_Def_Processes[Process_Name],Tab_Def_Processes[Process_ID],,0,)</f>
        <v>13</v>
      </c>
      <c r="J93" s="138" t="s">
        <v>5</v>
      </c>
      <c r="K93" s="138" t="s">
        <v>5</v>
      </c>
      <c r="L93" s="138" t="s">
        <v>5</v>
      </c>
      <c r="M93" s="138" t="s">
        <v>5</v>
      </c>
      <c r="N93" s="138" t="s">
        <v>6</v>
      </c>
      <c r="O93" s="138" t="s">
        <v>6</v>
      </c>
      <c r="P93" s="6" t="str">
        <f>Tab_Def_Flows[[#This Row],[Flow_ID]]&amp;"_E1"</f>
        <v>F_13_13_E1</v>
      </c>
      <c r="R93" s="13"/>
      <c r="S93" s="6" t="str">
        <f>Tab_Def_Flows[[#This Row],[Flow_ID]]&amp;"_E2"</f>
        <v>F_13_13_E2</v>
      </c>
      <c r="T93" s="135"/>
      <c r="U93" s="13"/>
      <c r="V93" s="6" t="str">
        <f>Tab_Def_Flows[[#This Row],[Flow_ID]]&amp;"_E3"</f>
        <v>F_13_13_E3</v>
      </c>
      <c r="W93" s="135"/>
      <c r="X93" s="13"/>
      <c r="Y93" s="6" t="str">
        <f>Tab_Def_Flows[[#This Row],[Flow_ID]]&amp;"_E4"</f>
        <v>F_13_13_E4</v>
      </c>
      <c r="Z93" s="135"/>
      <c r="AA93" s="13"/>
      <c r="AB93" s="6" t="str">
        <f>Tab_Def_Flows[[#This Row],[Flow_ID]]&amp;"_E5"</f>
        <v>F_13_13_E5</v>
      </c>
      <c r="AC93" s="140"/>
      <c r="AD93" s="13"/>
      <c r="AE93" s="6" t="str">
        <f>Tab_Def_Flows[[#This Row],[Flow_ID]]&amp;"_E6"</f>
        <v>F_13_13_E6</v>
      </c>
      <c r="AF93" s="140"/>
      <c r="AG93" s="13"/>
      <c r="AH93" s="194" t="b">
        <f>'0_Configuration'!$C$2</f>
        <v>1</v>
      </c>
      <c r="AI93" s="6"/>
      <c r="AJ93" s="194" t="b">
        <f>'0_Configuration'!$C$6</f>
        <v>0</v>
      </c>
      <c r="AK93" s="6" t="s">
        <v>1122</v>
      </c>
      <c r="AL93" s="194" t="b">
        <f>'0_Configuration'!$C$10</f>
        <v>0</v>
      </c>
      <c r="AM93" s="6" t="s">
        <v>1122</v>
      </c>
      <c r="AN93" s="194" t="b">
        <f>'0_Configuration'!$C$17</f>
        <v>0</v>
      </c>
      <c r="AO93" s="6">
        <f>_xlfn.XLOOKUP(Tab_Def_Flows[[#This Row],[ODYM_Good_Type]],Tab_Configuration[Value],Tab_Configuration[ODYM_ID],,0,)</f>
        <v>0</v>
      </c>
      <c r="AP93" s="194" t="b">
        <f>'0_Configuration'!$C$24</f>
        <v>0</v>
      </c>
      <c r="AQ93" s="6"/>
      <c r="AR93" s="194" t="b">
        <f>'0_Configuration'!$C$29</f>
        <v>1</v>
      </c>
      <c r="AS93" s="6" t="s">
        <v>1136</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138"/>
      <c r="F94" s="138"/>
      <c r="G94" s="6"/>
      <c r="H94" s="138"/>
      <c r="I94" s="9"/>
      <c r="J94" s="138" t="s">
        <v>5</v>
      </c>
      <c r="K94" s="138" t="s">
        <v>5</v>
      </c>
      <c r="L94" s="138" t="s">
        <v>5</v>
      </c>
      <c r="M94" s="138" t="s">
        <v>5</v>
      </c>
      <c r="N94" s="138" t="s">
        <v>6</v>
      </c>
      <c r="O94" s="138" t="s">
        <v>6</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1122</v>
      </c>
      <c r="AL94" s="194" t="b">
        <f>'0_Configuration'!$C$10</f>
        <v>0</v>
      </c>
      <c r="AM94" s="6" t="s">
        <v>1122</v>
      </c>
      <c r="AN94" s="194" t="b">
        <f>'0_Configuration'!$C$17</f>
        <v>0</v>
      </c>
      <c r="AO94" s="6">
        <f>_xlfn.XLOOKUP(Tab_Def_Flows[[#This Row],[ODYM_Good_Type]],Tab_Configuration[Value],Tab_Configuration[ODYM_ID],,0,)</f>
        <v>0</v>
      </c>
      <c r="AP94" s="194" t="b">
        <f>'0_Configuration'!$C$24</f>
        <v>0</v>
      </c>
      <c r="AQ94" s="6"/>
      <c r="AR94" s="194" t="b">
        <f>'0_Configuration'!$C$29</f>
        <v>1</v>
      </c>
      <c r="AS94" s="6" t="s">
        <v>1136</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P1" zoomScale="130" zoomScaleNormal="130" workbookViewId="0">
      <selection activeCell="T11" sqref="T11"/>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418</v>
      </c>
      <c r="D1" s="141" t="s">
        <v>1185</v>
      </c>
      <c r="E1" s="141" t="s">
        <v>1184</v>
      </c>
      <c r="F1" s="141" t="s">
        <v>1183</v>
      </c>
      <c r="G1" s="141" t="s">
        <v>1182</v>
      </c>
      <c r="H1" s="141" t="s">
        <v>1181</v>
      </c>
      <c r="I1" s="141" t="s">
        <v>1199</v>
      </c>
      <c r="J1" s="141" t="s">
        <v>407</v>
      </c>
      <c r="K1" s="141" t="s">
        <v>408</v>
      </c>
      <c r="L1" s="141" t="s">
        <v>21</v>
      </c>
      <c r="M1" s="141" t="s">
        <v>485</v>
      </c>
      <c r="N1" s="141" t="s">
        <v>461</v>
      </c>
      <c r="O1" s="141" t="s">
        <v>486</v>
      </c>
      <c r="P1" s="141" t="s">
        <v>487</v>
      </c>
      <c r="Q1" s="141" t="s">
        <v>488</v>
      </c>
      <c r="R1" s="141" t="s">
        <v>18</v>
      </c>
      <c r="S1" s="141" t="s">
        <v>19</v>
      </c>
      <c r="T1" s="141" t="s">
        <v>20</v>
      </c>
      <c r="U1" s="141" t="s">
        <v>1153</v>
      </c>
      <c r="V1" s="141" t="s">
        <v>1154</v>
      </c>
      <c r="W1" s="141" t="s">
        <v>1155</v>
      </c>
      <c r="X1" s="141" t="s">
        <v>1156</v>
      </c>
      <c r="Y1" s="141" t="s">
        <v>1157</v>
      </c>
      <c r="Z1" s="141" t="s">
        <v>1158</v>
      </c>
      <c r="AA1" s="141" t="s">
        <v>1159</v>
      </c>
      <c r="AB1" s="141" t="s">
        <v>1160</v>
      </c>
      <c r="AC1" s="141" t="s">
        <v>1161</v>
      </c>
      <c r="AD1" s="141" t="s">
        <v>1162</v>
      </c>
      <c r="AE1" s="141" t="s">
        <v>1163</v>
      </c>
      <c r="AF1" s="141" t="s">
        <v>1164</v>
      </c>
      <c r="AG1" s="141" t="s">
        <v>1165</v>
      </c>
      <c r="AH1" s="141" t="s">
        <v>1166</v>
      </c>
      <c r="AI1" s="141" t="s">
        <v>1167</v>
      </c>
      <c r="AJ1" s="141" t="s">
        <v>1198</v>
      </c>
      <c r="AK1" s="141" t="s">
        <v>1197</v>
      </c>
      <c r="AL1" s="141" t="s">
        <v>1196</v>
      </c>
    </row>
    <row r="2" spans="1:38" x14ac:dyDescent="0.25">
      <c r="A2" s="8">
        <f>ROW()-1</f>
        <v>1</v>
      </c>
      <c r="B2" s="6" t="str">
        <f>_xlfn.XLOOKUP(C2,Tab_Def_Flows[Flow_Name],Tab_Def_Flows[Flow_ID],,0,)</f>
        <v>F_01_02</v>
      </c>
      <c r="C2" s="138" t="s">
        <v>1234</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No</v>
      </c>
      <c r="I2" s="9" t="str">
        <f>_xlfn.XLOOKUP(C2,Tab_Def_Flows[Flow_Name],Tab_Def_Flows[Use_E6],,0,)</f>
        <v>No</v>
      </c>
      <c r="J2" s="188">
        <v>2025</v>
      </c>
      <c r="K2" s="189">
        <v>813224.12990196072</v>
      </c>
      <c r="L2" s="6" t="str">
        <f>'0_Configuration'!$C$41</f>
        <v>Mg</v>
      </c>
      <c r="M2" s="13" t="s">
        <v>1263</v>
      </c>
      <c r="N2" s="13">
        <v>2025</v>
      </c>
      <c r="O2" s="13" t="s">
        <v>1260</v>
      </c>
      <c r="P2" s="13" t="s">
        <v>1261</v>
      </c>
      <c r="Q2" s="13" t="s">
        <v>1262</v>
      </c>
      <c r="R2" s="7" t="s">
        <v>6</v>
      </c>
      <c r="S2" s="14"/>
      <c r="T2" s="7"/>
      <c r="U2" s="139">
        <f>_xlfn.XLOOKUP(Tab_Data_Flows[[#This Row],[Flow_Name]],Tab_Def_Flows[Flow_Name],Tab_Def_Flows[Flow_E1_Fraction'[%']],"N.A.",0,1)</f>
        <v>1</v>
      </c>
      <c r="V2" s="12">
        <f t="shared" ref="V2:V33" si="0">IF(R2="no",K2,K2*S2)</f>
        <v>813224.12990196072</v>
      </c>
      <c r="W2" s="6" t="str">
        <f>Tab_Data_Flows[[#This Row],[UoM_Source]]</f>
        <v>Mg</v>
      </c>
      <c r="X2" s="139">
        <f>_xlfn.XLOOKUP(Tab_Data_Flows[[#This Row],[Flow_Name]],Tab_Def_Flows[Flow_Name],Tab_Def_Flows[Flow_E2_Fraction'[%']],"N.A.",0,1)</f>
        <v>0.22838499184339317</v>
      </c>
      <c r="Y2" s="6">
        <f>IF(E2="Yes",V2*Tab_Data_Flows[[#This Row],[E2_Fraction'[%']]],"N.A.")</f>
        <v>185728.18627450982</v>
      </c>
      <c r="Z2" s="6" t="str">
        <f>Tab_Data_Flows[[#This Row],[E1_UoM]]</f>
        <v>Mg</v>
      </c>
      <c r="AA2" s="139">
        <f>_xlfn.XLOOKUP(Tab_Data_Flows[[#This Row],[Flow_Name]],Tab_Def_Flows[Flow_Name],Tab_Def_Flows[Flow_E3_Fraction'[%']],"N.A.",0,1)</f>
        <v>0.77161500815660689</v>
      </c>
      <c r="AB2" s="6">
        <f>IF(E2="Yes",AA2*Tab_Data_Flows[[#This Row],[E1_value]],"N.A.")</f>
        <v>627495.94362745096</v>
      </c>
      <c r="AC2" s="6" t="str">
        <f>Tab_Data_Flows[[#This Row],[E1_UoM]]</f>
        <v>Mg</v>
      </c>
      <c r="AD2" s="139">
        <f>_xlfn.XLOOKUP(Tab_Data_Flows[[#This Row],[Flow_Name]],Tab_Def_Flows[Flow_Name],Tab_Def_Flows[Flow_E4_Fraction'[%']],"N.A.",0,1)</f>
        <v>0</v>
      </c>
      <c r="AE2" s="6">
        <f>IF(G2="Yes",Tab_Data_Flows[[#This Row],[E4_Fraction'[%']]]*Tab_Data_Flows[[#This Row],[E1_value]],"N.A.")</f>
        <v>0</v>
      </c>
      <c r="AF2" s="6" t="str">
        <f>Tab_Data_Flows[[#This Row],[E1_UoM]]</f>
        <v>Mg</v>
      </c>
      <c r="AG2" s="139">
        <f>_xlfn.XLOOKUP(Tab_Data_Flows[[#This Row],[Flow_Name]],Tab_Def_Flows[Flow_Name],Tab_Def_Flows[Flow_E5_Fraction'[%']],"N.A.",0,1)</f>
        <v>0</v>
      </c>
      <c r="AH2" s="6" t="str">
        <f>IF(H2="Yes",Tab_Data_Flows[[#This Row],[E5_Fraction'[%']]]*Tab_Data_Flows[[#This Row],[E1_value]],"N.A.")</f>
        <v>N.A.</v>
      </c>
      <c r="AI2" s="6" t="str">
        <f>Tab_Data_Flows[[#This Row],[E1_UoM]]</f>
        <v>Mg</v>
      </c>
      <c r="AJ2" s="139">
        <f>_xlfn.XLOOKUP(Tab_Data_Flows[[#This Row],[Flow_Name]],Tab_Def_Flows[Flow_Name],Tab_Def_Flows[Flow_E6_Fraction'[%']],"N.A.",0,1)</f>
        <v>0</v>
      </c>
      <c r="AK2" s="6" t="str">
        <f>IF(Tab_Data_Flows[[#This Row],[Use_E6]]="Yes",Tab_Data_Flows[[#This Row],[E6_Fraction'[%']]]*Tab_Data_Flows[[#This Row],[E1_value]],"N.A.")</f>
        <v>N.A.</v>
      </c>
      <c r="AL2" s="6" t="str">
        <f>Tab_Data_Flows[[#This Row],[E1_UoM]]</f>
        <v>Mg</v>
      </c>
    </row>
    <row r="3" spans="1:38" x14ac:dyDescent="0.25">
      <c r="A3" s="8">
        <f t="shared" ref="A3:A66" si="1">ROW()-1</f>
        <v>2</v>
      </c>
      <c r="B3" s="6" t="str">
        <f>_xlfn.XLOOKUP(C3,Tab_Def_Flows[Flow_Name],Tab_Def_Flows[Flow_ID],,0,)</f>
        <v>F_01_02</v>
      </c>
      <c r="C3" s="138" t="s">
        <v>1234</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No</v>
      </c>
      <c r="I3" s="9" t="str">
        <f>_xlfn.XLOOKUP(C3,Tab_Def_Flows[Flow_Name],Tab_Def_Flows[Use_E6],,0,)</f>
        <v>No</v>
      </c>
      <c r="J3" s="188">
        <v>2026</v>
      </c>
      <c r="K3" s="189">
        <v>792756.55270588223</v>
      </c>
      <c r="L3" s="6" t="str">
        <f>'0_Configuration'!$C$41</f>
        <v>Mg</v>
      </c>
      <c r="M3" s="13" t="s">
        <v>1263</v>
      </c>
      <c r="N3" s="13">
        <v>2025</v>
      </c>
      <c r="O3" s="13" t="s">
        <v>1260</v>
      </c>
      <c r="P3" s="13" t="s">
        <v>1261</v>
      </c>
      <c r="Q3" s="13" t="s">
        <v>1264</v>
      </c>
      <c r="R3" s="7" t="s">
        <v>6</v>
      </c>
      <c r="S3" s="14"/>
      <c r="T3" s="7"/>
      <c r="U3" s="139">
        <f>_xlfn.XLOOKUP(Tab_Data_Flows[[#This Row],[Flow_Name]],Tab_Def_Flows[Flow_Name],Tab_Def_Flows[Flow_E1_Fraction'[%']],"N.A.",0,1)</f>
        <v>1</v>
      </c>
      <c r="V3" s="12">
        <f t="shared" si="0"/>
        <v>792756.55270588223</v>
      </c>
      <c r="W3" s="6" t="str">
        <f>Tab_Data_Flows[[#This Row],[UoM_Source]]</f>
        <v>Mg</v>
      </c>
      <c r="X3" s="139">
        <f>_xlfn.XLOOKUP(Tab_Data_Flows[[#This Row],[Flow_Name]],Tab_Def_Flows[Flow_Name],Tab_Def_Flows[Flow_E2_Fraction'[%']],"N.A.",0,1)</f>
        <v>0.22838499184339317</v>
      </c>
      <c r="Y3" s="6">
        <f>IF(D3="Yes",V3*Tab_Data_Flows[[#This Row],[E2_Fraction'[%']]],"N.A.")</f>
        <v>181053.69882352941</v>
      </c>
      <c r="Z3" s="6" t="str">
        <f>Tab_Data_Flows[[#This Row],[E1_UoM]]</f>
        <v>Mg</v>
      </c>
      <c r="AA3" s="139">
        <f>_xlfn.XLOOKUP(Tab_Data_Flows[[#This Row],[Flow_Name]],Tab_Def_Flows[Flow_Name],Tab_Def_Flows[Flow_E3_Fraction'[%']],"N.A.",0,1)</f>
        <v>0.77161500815660689</v>
      </c>
      <c r="AB3" s="6">
        <f>IF(E3="Yes",AA3*Tab_Data_Flows[[#This Row],[E1_value]],"N.A.")</f>
        <v>611702.85388235282</v>
      </c>
      <c r="AC3" s="6" t="str">
        <f>Tab_Data_Flows[[#This Row],[E1_UoM]]</f>
        <v>Mg</v>
      </c>
      <c r="AD3" s="139">
        <f>_xlfn.XLOOKUP(Tab_Data_Flows[[#This Row],[Flow_Name]],Tab_Def_Flows[Flow_Name],Tab_Def_Flows[Flow_E4_Fraction'[%']],"N.A.",0,1)</f>
        <v>0</v>
      </c>
      <c r="AE3" s="6">
        <f>IF(G3="Yes",Tab_Data_Flows[[#This Row],[E4_Fraction'[%']]]*Tab_Data_Flows[[#This Row],[E1_value]],"N.A.")</f>
        <v>0</v>
      </c>
      <c r="AF3" s="6" t="str">
        <f>Tab_Data_Flows[[#This Row],[E1_UoM]]</f>
        <v>Mg</v>
      </c>
      <c r="AG3" s="139">
        <f>_xlfn.XLOOKUP(Tab_Data_Flows[[#This Row],[Flow_Name]],Tab_Def_Flows[Flow_Name],Tab_Def_Flows[Flow_E5_Fraction'[%']],"N.A.",0,1)</f>
        <v>0</v>
      </c>
      <c r="AH3" s="6" t="str">
        <f>IF(H3="Yes",Tab_Data_Flows[[#This Row],[E5_Fraction'[%']]]*Tab_Data_Flows[[#This Row],[E1_value]],"N.A.")</f>
        <v>N.A.</v>
      </c>
      <c r="AI3" s="6" t="str">
        <f>Tab_Data_Flows[[#This Row],[E1_UoM]]</f>
        <v>Mg</v>
      </c>
      <c r="AJ3" s="139">
        <f>_xlfn.XLOOKUP(Tab_Data_Flows[[#This Row],[Flow_Name]],Tab_Def_Flows[Flow_Name],Tab_Def_Flows[Flow_E6_Fraction'[%']],"N.A.",0,1)</f>
        <v>0</v>
      </c>
      <c r="AK3" s="6" t="str">
        <f>IF(Tab_Data_Flows[[#This Row],[Use_E6]]="Yes",Tab_Data_Flows[[#This Row],[E6_Fraction'[%']]]*Tab_Data_Flows[[#This Row],[E1_value]],"N.A.")</f>
        <v>N.A.</v>
      </c>
      <c r="AL3" s="6" t="str">
        <f>Tab_Data_Flows[[#This Row],[E1_UoM]]</f>
        <v>Mg</v>
      </c>
    </row>
    <row r="4" spans="1:38" x14ac:dyDescent="0.25">
      <c r="A4" s="8">
        <f t="shared" si="1"/>
        <v>3</v>
      </c>
      <c r="B4" s="6" t="str">
        <f>_xlfn.XLOOKUP(C4,Tab_Def_Flows[Flow_Name],Tab_Def_Flows[Flow_ID],,0,)</f>
        <v>F_01_02</v>
      </c>
      <c r="C4" s="138" t="s">
        <v>1234</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No</v>
      </c>
      <c r="I4" s="9" t="str">
        <f>_xlfn.XLOOKUP(C4,Tab_Def_Flows[Flow_Name],Tab_Def_Flows[Use_E6],,0,)</f>
        <v>No</v>
      </c>
      <c r="J4" s="188">
        <v>2027</v>
      </c>
      <c r="K4" s="189">
        <v>805754.58066666662</v>
      </c>
      <c r="L4" s="6" t="str">
        <f>'0_Configuration'!$C$41</f>
        <v>Mg</v>
      </c>
      <c r="M4" s="13" t="s">
        <v>1263</v>
      </c>
      <c r="N4" s="13">
        <v>2025</v>
      </c>
      <c r="O4" s="13" t="s">
        <v>1260</v>
      </c>
      <c r="P4" s="13" t="s">
        <v>1261</v>
      </c>
      <c r="Q4" s="13" t="s">
        <v>1265</v>
      </c>
      <c r="R4" s="7" t="s">
        <v>6</v>
      </c>
      <c r="S4" s="14"/>
      <c r="T4" s="7"/>
      <c r="U4" s="139">
        <f>_xlfn.XLOOKUP(Tab_Data_Flows[[#This Row],[Flow_Name]],Tab_Def_Flows[Flow_Name],Tab_Def_Flows[Flow_E1_Fraction'[%']],"N.A.",0,1)</f>
        <v>1</v>
      </c>
      <c r="V4" s="12">
        <f t="shared" si="0"/>
        <v>805754.58066666662</v>
      </c>
      <c r="W4" s="6" t="str">
        <f>Tab_Data_Flows[[#This Row],[UoM_Source]]</f>
        <v>Mg</v>
      </c>
      <c r="X4" s="139">
        <f>_xlfn.XLOOKUP(Tab_Data_Flows[[#This Row],[Flow_Name]],Tab_Def_Flows[Flow_Name],Tab_Def_Flows[Flow_E2_Fraction'[%']],"N.A.",0,1)</f>
        <v>0.22838499184339317</v>
      </c>
      <c r="Y4" s="6">
        <f>IF(D4="Yes",V4*Tab_Data_Flows[[#This Row],[E2_Fraction'[%']]],"N.A.")</f>
        <v>184022.25333333333</v>
      </c>
      <c r="Z4" s="6" t="str">
        <f>Tab_Data_Flows[[#This Row],[E1_UoM]]</f>
        <v>Mg</v>
      </c>
      <c r="AA4" s="139">
        <f>_xlfn.XLOOKUP(Tab_Data_Flows[[#This Row],[Flow_Name]],Tab_Def_Flows[Flow_Name],Tab_Def_Flows[Flow_E3_Fraction'[%']],"N.A.",0,1)</f>
        <v>0.77161500815660689</v>
      </c>
      <c r="AB4" s="6">
        <f>IF(E4="Yes",AA4*Tab_Data_Flows[[#This Row],[E1_value]],"N.A.")</f>
        <v>621732.32733333332</v>
      </c>
      <c r="AC4" s="6" t="str">
        <f>Tab_Data_Flows[[#This Row],[E1_UoM]]</f>
        <v>Mg</v>
      </c>
      <c r="AD4" s="139">
        <f>_xlfn.XLOOKUP(Tab_Data_Flows[[#This Row],[Flow_Name]],Tab_Def_Flows[Flow_Name],Tab_Def_Flows[Flow_E4_Fraction'[%']],"N.A.",0,1)</f>
        <v>0</v>
      </c>
      <c r="AE4" s="6">
        <f>IF(G4="Yes",Tab_Data_Flows[[#This Row],[E4_Fraction'[%']]]*Tab_Data_Flows[[#This Row],[E1_value]],"N.A.")</f>
        <v>0</v>
      </c>
      <c r="AF4" s="6" t="str">
        <f>Tab_Data_Flows[[#This Row],[E1_UoM]]</f>
        <v>Mg</v>
      </c>
      <c r="AG4" s="139">
        <f>_xlfn.XLOOKUP(Tab_Data_Flows[[#This Row],[Flow_Name]],Tab_Def_Flows[Flow_Name],Tab_Def_Flows[Flow_E5_Fraction'[%']],"N.A.",0,1)</f>
        <v>0</v>
      </c>
      <c r="AH4" s="6" t="str">
        <f>IF(H4="Yes",Tab_Data_Flows[[#This Row],[E5_Fraction'[%']]]*Tab_Data_Flows[[#This Row],[E1_value]],"N.A.")</f>
        <v>N.A.</v>
      </c>
      <c r="AI4" s="6" t="str">
        <f>Tab_Data_Flows[[#This Row],[E1_UoM]]</f>
        <v>Mg</v>
      </c>
      <c r="AJ4" s="139">
        <f>_xlfn.XLOOKUP(Tab_Data_Flows[[#This Row],[Flow_Name]],Tab_Def_Flows[Flow_Name],Tab_Def_Flows[Flow_E6_Fraction'[%']],"N.A.",0,1)</f>
        <v>0</v>
      </c>
      <c r="AK4" s="6" t="str">
        <f>IF(Tab_Data_Flows[[#This Row],[Use_E6]]="Yes",Tab_Data_Flows[[#This Row],[E6_Fraction'[%']]]*Tab_Data_Flows[[#This Row],[E1_value]],"N.A.")</f>
        <v>N.A.</v>
      </c>
      <c r="AL4" s="6" t="str">
        <f>Tab_Data_Flows[[#This Row],[E1_UoM]]</f>
        <v>Mg</v>
      </c>
    </row>
    <row r="5" spans="1:38" x14ac:dyDescent="0.25">
      <c r="A5" s="8">
        <f t="shared" si="1"/>
        <v>4</v>
      </c>
      <c r="B5" s="6" t="str">
        <f>_xlfn.XLOOKUP(C5,Tab_Def_Flows[Flow_Name],Tab_Def_Flows[Flow_ID],,0,)</f>
        <v>F_01_02</v>
      </c>
      <c r="C5" s="138" t="s">
        <v>1234</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No</v>
      </c>
      <c r="I5" s="9" t="str">
        <f>_xlfn.XLOOKUP(C5,Tab_Def_Flows[Flow_Name],Tab_Def_Flows[Use_E6],,0,)</f>
        <v>No</v>
      </c>
      <c r="J5" s="188">
        <v>2028</v>
      </c>
      <c r="K5" s="189">
        <v>904407.21882352931</v>
      </c>
      <c r="L5" s="6" t="str">
        <f>'0_Configuration'!$C$41</f>
        <v>Mg</v>
      </c>
      <c r="M5" s="13" t="s">
        <v>1263</v>
      </c>
      <c r="N5" s="13">
        <v>2025</v>
      </c>
      <c r="O5" s="13" t="s">
        <v>1260</v>
      </c>
      <c r="P5" s="13" t="s">
        <v>1261</v>
      </c>
      <c r="Q5" s="13" t="s">
        <v>1266</v>
      </c>
      <c r="R5" s="7" t="s">
        <v>6</v>
      </c>
      <c r="S5" s="14"/>
      <c r="T5" s="7"/>
      <c r="U5" s="139">
        <f>_xlfn.XLOOKUP(Tab_Data_Flows[[#This Row],[Flow_Name]],Tab_Def_Flows[Flow_Name],Tab_Def_Flows[Flow_E1_Fraction'[%']],"N.A.",0,1)</f>
        <v>1</v>
      </c>
      <c r="V5" s="12">
        <f t="shared" si="0"/>
        <v>904407.21882352931</v>
      </c>
      <c r="W5" s="6" t="str">
        <f>Tab_Data_Flows[[#This Row],[UoM_Source]]</f>
        <v>Mg</v>
      </c>
      <c r="X5" s="139">
        <f>_xlfn.XLOOKUP(Tab_Data_Flows[[#This Row],[Flow_Name]],Tab_Def_Flows[Flow_Name],Tab_Def_Flows[Flow_E2_Fraction'[%']],"N.A.",0,1)</f>
        <v>0.22838499184339317</v>
      </c>
      <c r="Y5" s="6">
        <f>IF(D5="Yes",V5*Tab_Data_Flows[[#This Row],[E2_Fraction'[%']]],"N.A.")</f>
        <v>206553.03529411764</v>
      </c>
      <c r="Z5" s="6" t="str">
        <f>Tab_Data_Flows[[#This Row],[E1_UoM]]</f>
        <v>Mg</v>
      </c>
      <c r="AA5" s="139">
        <f>_xlfn.XLOOKUP(Tab_Data_Flows[[#This Row],[Flow_Name]],Tab_Def_Flows[Flow_Name],Tab_Def_Flows[Flow_E3_Fraction'[%']],"N.A.",0,1)</f>
        <v>0.77161500815660689</v>
      </c>
      <c r="AB5" s="6">
        <f>IF(E5="Yes",AA5*Tab_Data_Flows[[#This Row],[E1_value]],"N.A.")</f>
        <v>697854.18352941168</v>
      </c>
      <c r="AC5" s="6" t="str">
        <f>Tab_Data_Flows[[#This Row],[E1_UoM]]</f>
        <v>Mg</v>
      </c>
      <c r="AD5" s="139">
        <f>_xlfn.XLOOKUP(Tab_Data_Flows[[#This Row],[Flow_Name]],Tab_Def_Flows[Flow_Name],Tab_Def_Flows[Flow_E4_Fraction'[%']],"N.A.",0,1)</f>
        <v>0</v>
      </c>
      <c r="AE5" s="6">
        <f>IF(G5="Yes",Tab_Data_Flows[[#This Row],[E4_Fraction'[%']]]*Tab_Data_Flows[[#This Row],[E1_value]],"N.A.")</f>
        <v>0</v>
      </c>
      <c r="AF5" s="6" t="str">
        <f>Tab_Data_Flows[[#This Row],[E1_UoM]]</f>
        <v>Mg</v>
      </c>
      <c r="AG5" s="139">
        <f>_xlfn.XLOOKUP(Tab_Data_Flows[[#This Row],[Flow_Name]],Tab_Def_Flows[Flow_Name],Tab_Def_Flows[Flow_E5_Fraction'[%']],"N.A.",0,1)</f>
        <v>0</v>
      </c>
      <c r="AH5" s="6" t="str">
        <f>IF(H5="Yes",Tab_Data_Flows[[#This Row],[E5_Fraction'[%']]]*Tab_Data_Flows[[#This Row],[E1_value]],"N.A.")</f>
        <v>N.A.</v>
      </c>
      <c r="AI5" s="6" t="str">
        <f>Tab_Data_Flows[[#This Row],[E1_UoM]]</f>
        <v>Mg</v>
      </c>
      <c r="AJ5" s="139">
        <f>_xlfn.XLOOKUP(Tab_Data_Flows[[#This Row],[Flow_Name]],Tab_Def_Flows[Flow_Name],Tab_Def_Flows[Flow_E6_Fraction'[%']],"N.A.",0,1)</f>
        <v>0</v>
      </c>
      <c r="AK5" s="6" t="str">
        <f>IF(Tab_Data_Flows[[#This Row],[Use_E6]]="Yes",Tab_Data_Flows[[#This Row],[E6_Fraction'[%']]]*Tab_Data_Flows[[#This Row],[E1_value]],"N.A.")</f>
        <v>N.A.</v>
      </c>
      <c r="AL5" s="6" t="str">
        <f>Tab_Data_Flows[[#This Row],[E1_UoM]]</f>
        <v>Mg</v>
      </c>
    </row>
    <row r="6" spans="1:38" x14ac:dyDescent="0.25">
      <c r="A6" s="8">
        <f t="shared" si="1"/>
        <v>5</v>
      </c>
      <c r="B6" s="6" t="str">
        <f>_xlfn.XLOOKUP(C6,Tab_Def_Flows[Flow_Name],Tab_Def_Flows[Flow_ID],,0,)</f>
        <v>F_01_02</v>
      </c>
      <c r="C6" s="138" t="s">
        <v>1234</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No</v>
      </c>
      <c r="I6" s="9" t="str">
        <f>_xlfn.XLOOKUP(C6,Tab_Def_Flows[Flow_Name],Tab_Def_Flows[Use_E6],,0,)</f>
        <v>No</v>
      </c>
      <c r="J6" s="188">
        <v>2029</v>
      </c>
      <c r="K6" s="189">
        <v>861596.28443137254</v>
      </c>
      <c r="L6" s="6" t="str">
        <f>'0_Configuration'!$C$41</f>
        <v>Mg</v>
      </c>
      <c r="M6" s="13" t="s">
        <v>1263</v>
      </c>
      <c r="N6" s="13">
        <v>2025</v>
      </c>
      <c r="O6" s="13" t="s">
        <v>1260</v>
      </c>
      <c r="P6" s="13" t="s">
        <v>1261</v>
      </c>
      <c r="Q6" s="13" t="s">
        <v>1267</v>
      </c>
      <c r="R6" s="7" t="s">
        <v>6</v>
      </c>
      <c r="S6" s="14"/>
      <c r="T6" s="7"/>
      <c r="U6" s="139">
        <f>_xlfn.XLOOKUP(Tab_Data_Flows[[#This Row],[Flow_Name]],Tab_Def_Flows[Flow_Name],Tab_Def_Flows[Flow_E1_Fraction'[%']],"N.A.",0,1)</f>
        <v>1</v>
      </c>
      <c r="V6" s="12">
        <f t="shared" si="0"/>
        <v>861596.28443137254</v>
      </c>
      <c r="W6" s="6" t="str">
        <f>Tab_Data_Flows[[#This Row],[UoM_Source]]</f>
        <v>Mg</v>
      </c>
      <c r="X6" s="139">
        <f>_xlfn.XLOOKUP(Tab_Data_Flows[[#This Row],[Flow_Name]],Tab_Def_Flows[Flow_Name],Tab_Def_Flows[Flow_E2_Fraction'[%']],"N.A.",0,1)</f>
        <v>0.22838499184339317</v>
      </c>
      <c r="Y6" s="6">
        <f>IF(D6="Yes",V6*Tab_Data_Flows[[#This Row],[E2_Fraction'[%']]],"N.A.")</f>
        <v>196775.66039215689</v>
      </c>
      <c r="Z6" s="6" t="str">
        <f>Tab_Data_Flows[[#This Row],[E1_UoM]]</f>
        <v>Mg</v>
      </c>
      <c r="AA6" s="139">
        <f>_xlfn.XLOOKUP(Tab_Data_Flows[[#This Row],[Flow_Name]],Tab_Def_Flows[Flow_Name],Tab_Def_Flows[Flow_E3_Fraction'[%']],"N.A.",0,1)</f>
        <v>0.77161500815660689</v>
      </c>
      <c r="AB6" s="6">
        <f>IF(E6="Yes",AA6*Tab_Data_Flows[[#This Row],[E1_value]],"N.A.")</f>
        <v>664820.62403921573</v>
      </c>
      <c r="AC6" s="6" t="str">
        <f>Tab_Data_Flows[[#This Row],[E1_UoM]]</f>
        <v>Mg</v>
      </c>
      <c r="AD6" s="139">
        <f>_xlfn.XLOOKUP(Tab_Data_Flows[[#This Row],[Flow_Name]],Tab_Def_Flows[Flow_Name],Tab_Def_Flows[Flow_E4_Fraction'[%']],"N.A.",0,1)</f>
        <v>0</v>
      </c>
      <c r="AE6" s="6">
        <f>IF(G6="Yes",Tab_Data_Flows[[#This Row],[E4_Fraction'[%']]]*Tab_Data_Flows[[#This Row],[E1_value]],"N.A.")</f>
        <v>0</v>
      </c>
      <c r="AF6" s="6" t="str">
        <f>Tab_Data_Flows[[#This Row],[E1_UoM]]</f>
        <v>Mg</v>
      </c>
      <c r="AG6" s="139">
        <f>_xlfn.XLOOKUP(Tab_Data_Flows[[#This Row],[Flow_Name]],Tab_Def_Flows[Flow_Name],Tab_Def_Flows[Flow_E5_Fraction'[%']],"N.A.",0,1)</f>
        <v>0</v>
      </c>
      <c r="AH6" s="6" t="str">
        <f>IF(H6="Yes",Tab_Data_Flows[[#This Row],[E5_Fraction'[%']]]*Tab_Data_Flows[[#This Row],[E1_value]],"N.A.")</f>
        <v>N.A.</v>
      </c>
      <c r="AI6" s="6" t="str">
        <f>Tab_Data_Flows[[#This Row],[E1_UoM]]</f>
        <v>Mg</v>
      </c>
      <c r="AJ6" s="139">
        <f>_xlfn.XLOOKUP(Tab_Data_Flows[[#This Row],[Flow_Name]],Tab_Def_Flows[Flow_Name],Tab_Def_Flows[Flow_E6_Fraction'[%']],"N.A.",0,1)</f>
        <v>0</v>
      </c>
      <c r="AK6" s="6" t="str">
        <f>IF(Tab_Data_Flows[[#This Row],[Use_E6]]="Yes",Tab_Data_Flows[[#This Row],[E6_Fraction'[%']]]*Tab_Data_Flows[[#This Row],[E1_value]],"N.A.")</f>
        <v>N.A.</v>
      </c>
      <c r="AL6" s="6" t="str">
        <f>Tab_Data_Flows[[#This Row],[E1_UoM]]</f>
        <v>Mg</v>
      </c>
    </row>
    <row r="7" spans="1:38" x14ac:dyDescent="0.25">
      <c r="A7" s="8">
        <f t="shared" si="1"/>
        <v>6</v>
      </c>
      <c r="B7" s="6" t="str">
        <f>_xlfn.XLOOKUP(C7,Tab_Def_Flows[Flow_Name],Tab_Def_Flows[Flow_ID],,0,)</f>
        <v>F_01_02</v>
      </c>
      <c r="C7" s="138" t="s">
        <v>1234</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No</v>
      </c>
      <c r="I7" s="9" t="str">
        <f>_xlfn.XLOOKUP(C7,Tab_Def_Flows[Flow_Name],Tab_Def_Flows[Use_E6],,0,)</f>
        <v>No</v>
      </c>
      <c r="J7" s="188">
        <v>2030</v>
      </c>
      <c r="K7" s="189">
        <v>818351.49027450976</v>
      </c>
      <c r="L7" s="6" t="str">
        <f>'0_Configuration'!$C$41</f>
        <v>Mg</v>
      </c>
      <c r="M7" s="13" t="s">
        <v>1263</v>
      </c>
      <c r="N7" s="13">
        <v>2025</v>
      </c>
      <c r="O7" s="13" t="s">
        <v>1260</v>
      </c>
      <c r="P7" s="13" t="s">
        <v>1261</v>
      </c>
      <c r="Q7" s="13" t="s">
        <v>1268</v>
      </c>
      <c r="R7" s="7" t="s">
        <v>6</v>
      </c>
      <c r="S7" s="14"/>
      <c r="T7" s="7"/>
      <c r="U7" s="139">
        <f>_xlfn.XLOOKUP(Tab_Data_Flows[[#This Row],[Flow_Name]],Tab_Def_Flows[Flow_Name],Tab_Def_Flows[Flow_E1_Fraction'[%']],"N.A.",0,1)</f>
        <v>1</v>
      </c>
      <c r="V7" s="12">
        <f t="shared" si="0"/>
        <v>818351.49027450976</v>
      </c>
      <c r="W7" s="6" t="str">
        <f>Tab_Data_Flows[[#This Row],[UoM_Source]]</f>
        <v>Mg</v>
      </c>
      <c r="X7" s="139">
        <f>_xlfn.XLOOKUP(Tab_Data_Flows[[#This Row],[Flow_Name]],Tab_Def_Flows[Flow_Name],Tab_Def_Flows[Flow_E2_Fraction'[%']],"N.A.",0,1)</f>
        <v>0.22838499184339317</v>
      </c>
      <c r="Y7" s="6">
        <f>IF(D7="Yes",V7*Tab_Data_Flows[[#This Row],[E2_Fraction'[%']]],"N.A.")</f>
        <v>186899.19843137256</v>
      </c>
      <c r="Z7" s="6" t="str">
        <f>Tab_Data_Flows[[#This Row],[E1_UoM]]</f>
        <v>Mg</v>
      </c>
      <c r="AA7" s="139">
        <f>_xlfn.XLOOKUP(Tab_Data_Flows[[#This Row],[Flow_Name]],Tab_Def_Flows[Flow_Name],Tab_Def_Flows[Flow_E3_Fraction'[%']],"N.A.",0,1)</f>
        <v>0.77161500815660689</v>
      </c>
      <c r="AB7" s="6">
        <f>IF(E7="Yes",AA7*Tab_Data_Flows[[#This Row],[E1_value]],"N.A.")</f>
        <v>631452.29184313724</v>
      </c>
      <c r="AC7" s="6" t="str">
        <f>Tab_Data_Flows[[#This Row],[E1_UoM]]</f>
        <v>Mg</v>
      </c>
      <c r="AD7" s="139">
        <f>_xlfn.XLOOKUP(Tab_Data_Flows[[#This Row],[Flow_Name]],Tab_Def_Flows[Flow_Name],Tab_Def_Flows[Flow_E4_Fraction'[%']],"N.A.",0,1)</f>
        <v>0</v>
      </c>
      <c r="AE7" s="6">
        <f>IF(G7="Yes",Tab_Data_Flows[[#This Row],[E4_Fraction'[%']]]*Tab_Data_Flows[[#This Row],[E1_value]],"N.A.")</f>
        <v>0</v>
      </c>
      <c r="AF7" s="6" t="str">
        <f>Tab_Data_Flows[[#This Row],[E1_UoM]]</f>
        <v>Mg</v>
      </c>
      <c r="AG7" s="139">
        <f>_xlfn.XLOOKUP(Tab_Data_Flows[[#This Row],[Flow_Name]],Tab_Def_Flows[Flow_Name],Tab_Def_Flows[Flow_E5_Fraction'[%']],"N.A.",0,1)</f>
        <v>0</v>
      </c>
      <c r="AH7" s="6" t="str">
        <f>IF(H7="Yes",Tab_Data_Flows[[#This Row],[E5_Fraction'[%']]]*Tab_Data_Flows[[#This Row],[E1_value]],"N.A.")</f>
        <v>N.A.</v>
      </c>
      <c r="AI7" s="6" t="str">
        <f>Tab_Data_Flows[[#This Row],[E1_UoM]]</f>
        <v>Mg</v>
      </c>
      <c r="AJ7" s="139">
        <f>_xlfn.XLOOKUP(Tab_Data_Flows[[#This Row],[Flow_Name]],Tab_Def_Flows[Flow_Name],Tab_Def_Flows[Flow_E6_Fraction'[%']],"N.A.",0,1)</f>
        <v>0</v>
      </c>
      <c r="AK7" s="6" t="str">
        <f>IF(Tab_Data_Flows[[#This Row],[Use_E6]]="Yes",Tab_Data_Flows[[#This Row],[E6_Fraction'[%']]]*Tab_Data_Flows[[#This Row],[E1_value]],"N.A.")</f>
        <v>N.A.</v>
      </c>
      <c r="AL7" s="6" t="str">
        <f>Tab_Data_Flows[[#This Row],[E1_UoM]]</f>
        <v>Mg</v>
      </c>
    </row>
    <row r="8" spans="1:38" x14ac:dyDescent="0.25">
      <c r="A8" s="8">
        <f t="shared" si="1"/>
        <v>7</v>
      </c>
      <c r="B8" s="6" t="str">
        <f>_xlfn.XLOOKUP(C8,Tab_Def_Flows[Flow_Name],Tab_Def_Flows[Flow_ID],,0,)</f>
        <v>F_01_02</v>
      </c>
      <c r="C8" s="138" t="s">
        <v>1234</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No</v>
      </c>
      <c r="I8" s="9" t="str">
        <f>_xlfn.XLOOKUP(C8,Tab_Def_Flows[Flow_Name],Tab_Def_Flows[Use_E6],,0,)</f>
        <v>No</v>
      </c>
      <c r="J8" s="188">
        <v>2031</v>
      </c>
      <c r="K8" s="189">
        <v>917815.68033333332</v>
      </c>
      <c r="L8" s="6" t="str">
        <f>'0_Configuration'!$C$41</f>
        <v>Mg</v>
      </c>
      <c r="M8" s="13" t="s">
        <v>1263</v>
      </c>
      <c r="N8" s="13">
        <v>2025</v>
      </c>
      <c r="O8" s="13" t="s">
        <v>1260</v>
      </c>
      <c r="P8" s="13" t="s">
        <v>1261</v>
      </c>
      <c r="Q8" s="13" t="s">
        <v>1269</v>
      </c>
      <c r="R8" s="7" t="s">
        <v>6</v>
      </c>
      <c r="S8" s="14"/>
      <c r="T8" s="7"/>
      <c r="U8" s="139">
        <f>_xlfn.XLOOKUP(Tab_Data_Flows[[#This Row],[Flow_Name]],Tab_Def_Flows[Flow_Name],Tab_Def_Flows[Flow_E1_Fraction'[%']],"N.A.",0,1)</f>
        <v>1</v>
      </c>
      <c r="V8" s="12">
        <f t="shared" si="0"/>
        <v>917815.68033333332</v>
      </c>
      <c r="W8" s="6" t="str">
        <f>Tab_Data_Flows[[#This Row],[UoM_Source]]</f>
        <v>Mg</v>
      </c>
      <c r="X8" s="139">
        <f>_xlfn.XLOOKUP(Tab_Data_Flows[[#This Row],[Flow_Name]],Tab_Def_Flows[Flow_Name],Tab_Def_Flows[Flow_E2_Fraction'[%']],"N.A.",0,1)</f>
        <v>0.22838499184339317</v>
      </c>
      <c r="Y8" s="6">
        <f>IF(D8="Yes",V8*Tab_Data_Flows[[#This Row],[E2_Fraction'[%']]],"N.A.")</f>
        <v>209615.32666666669</v>
      </c>
      <c r="Z8" s="6" t="str">
        <f>Tab_Data_Flows[[#This Row],[E1_UoM]]</f>
        <v>Mg</v>
      </c>
      <c r="AA8" s="139">
        <f>_xlfn.XLOOKUP(Tab_Data_Flows[[#This Row],[Flow_Name]],Tab_Def_Flows[Flow_Name],Tab_Def_Flows[Flow_E3_Fraction'[%']],"N.A.",0,1)</f>
        <v>0.77161500815660689</v>
      </c>
      <c r="AB8" s="6">
        <f>IF(E8="Yes",AA8*Tab_Data_Flows[[#This Row],[E1_value]],"N.A.")</f>
        <v>708200.35366666666</v>
      </c>
      <c r="AC8" s="6" t="str">
        <f>Tab_Data_Flows[[#This Row],[E1_UoM]]</f>
        <v>Mg</v>
      </c>
      <c r="AD8" s="139">
        <f>_xlfn.XLOOKUP(Tab_Data_Flows[[#This Row],[Flow_Name]],Tab_Def_Flows[Flow_Name],Tab_Def_Flows[Flow_E4_Fraction'[%']],"N.A.",0,1)</f>
        <v>0</v>
      </c>
      <c r="AE8" s="6">
        <f>IF(G8="Yes",Tab_Data_Flows[[#This Row],[E4_Fraction'[%']]]*Tab_Data_Flows[[#This Row],[E1_value]],"N.A.")</f>
        <v>0</v>
      </c>
      <c r="AF8" s="6" t="str">
        <f>Tab_Data_Flows[[#This Row],[E1_UoM]]</f>
        <v>Mg</v>
      </c>
      <c r="AG8" s="139">
        <f>_xlfn.XLOOKUP(Tab_Data_Flows[[#This Row],[Flow_Name]],Tab_Def_Flows[Flow_Name],Tab_Def_Flows[Flow_E5_Fraction'[%']],"N.A.",0,1)</f>
        <v>0</v>
      </c>
      <c r="AH8" s="6" t="str">
        <f>IF(H8="Yes",Tab_Data_Flows[[#This Row],[E5_Fraction'[%']]]*Tab_Data_Flows[[#This Row],[E1_value]],"N.A.")</f>
        <v>N.A.</v>
      </c>
      <c r="AI8" s="6" t="str">
        <f>Tab_Data_Flows[[#This Row],[E1_UoM]]</f>
        <v>Mg</v>
      </c>
      <c r="AJ8" s="139">
        <f>_xlfn.XLOOKUP(Tab_Data_Flows[[#This Row],[Flow_Name]],Tab_Def_Flows[Flow_Name],Tab_Def_Flows[Flow_E6_Fraction'[%']],"N.A.",0,1)</f>
        <v>0</v>
      </c>
      <c r="AK8" s="6" t="str">
        <f>IF(Tab_Data_Flows[[#This Row],[Use_E6]]="Yes",Tab_Data_Flows[[#This Row],[E6_Fraction'[%']]]*Tab_Data_Flows[[#This Row],[E1_value]],"N.A.")</f>
        <v>N.A.</v>
      </c>
      <c r="AL8" s="6" t="str">
        <f>Tab_Data_Flows[[#This Row],[E1_UoM]]</f>
        <v>Mg</v>
      </c>
    </row>
    <row r="9" spans="1:38" x14ac:dyDescent="0.25">
      <c r="A9" s="8">
        <f t="shared" si="1"/>
        <v>8</v>
      </c>
      <c r="B9" s="6" t="str">
        <f>_xlfn.XLOOKUP(C9,Tab_Def_Flows[Flow_Name],Tab_Def_Flows[Flow_ID],,0,)</f>
        <v>F_01_02</v>
      </c>
      <c r="C9" s="138" t="s">
        <v>1234</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No</v>
      </c>
      <c r="I9" s="9" t="str">
        <f>_xlfn.XLOOKUP(C9,Tab_Def_Flows[Flow_Name],Tab_Def_Flows[Use_E6],,0,)</f>
        <v>No</v>
      </c>
      <c r="J9" s="188">
        <v>2032</v>
      </c>
      <c r="K9" s="189">
        <v>887154.69441176485</v>
      </c>
      <c r="L9" s="6" t="str">
        <f>'0_Configuration'!$C$41</f>
        <v>Mg</v>
      </c>
      <c r="M9" s="13" t="s">
        <v>1263</v>
      </c>
      <c r="N9" s="13">
        <v>2025</v>
      </c>
      <c r="O9" s="13" t="s">
        <v>1260</v>
      </c>
      <c r="P9" s="13" t="s">
        <v>1261</v>
      </c>
      <c r="Q9" s="13" t="s">
        <v>1270</v>
      </c>
      <c r="R9" s="7" t="s">
        <v>6</v>
      </c>
      <c r="S9" s="7"/>
      <c r="T9" s="7"/>
      <c r="U9" s="139">
        <f>_xlfn.XLOOKUP(Tab_Data_Flows[[#This Row],[Flow_Name]],Tab_Def_Flows[Flow_Name],Tab_Def_Flows[Flow_E1_Fraction'[%']],"N.A.",0,1)</f>
        <v>1</v>
      </c>
      <c r="V9" s="12">
        <f t="shared" si="0"/>
        <v>887154.69441176485</v>
      </c>
      <c r="W9" s="6" t="str">
        <f>Tab_Data_Flows[[#This Row],[UoM_Source]]</f>
        <v>Mg</v>
      </c>
      <c r="X9" s="139">
        <f>_xlfn.XLOOKUP(Tab_Data_Flows[[#This Row],[Flow_Name]],Tab_Def_Flows[Flow_Name],Tab_Def_Flows[Flow_E2_Fraction'[%']],"N.A.",0,1)</f>
        <v>0.22838499184339317</v>
      </c>
      <c r="Y9" s="6">
        <f>IF(D9="Yes",V9*Tab_Data_Flows[[#This Row],[E2_Fraction'[%']]],"N.A.")</f>
        <v>202612.81764705887</v>
      </c>
      <c r="Z9" s="6" t="str">
        <f>Tab_Data_Flows[[#This Row],[E1_UoM]]</f>
        <v>Mg</v>
      </c>
      <c r="AA9" s="139">
        <f>_xlfn.XLOOKUP(Tab_Data_Flows[[#This Row],[Flow_Name]],Tab_Def_Flows[Flow_Name],Tab_Def_Flows[Flow_E3_Fraction'[%']],"N.A.",0,1)</f>
        <v>0.77161500815660689</v>
      </c>
      <c r="AB9" s="6">
        <f>IF(E9="Yes",AA9*Tab_Data_Flows[[#This Row],[E1_value]],"N.A.")</f>
        <v>684541.87676470599</v>
      </c>
      <c r="AC9" s="6" t="str">
        <f>Tab_Data_Flows[[#This Row],[E1_UoM]]</f>
        <v>Mg</v>
      </c>
      <c r="AD9" s="139">
        <f>_xlfn.XLOOKUP(Tab_Data_Flows[[#This Row],[Flow_Name]],Tab_Def_Flows[Flow_Name],Tab_Def_Flows[Flow_E4_Fraction'[%']],"N.A.",0,1)</f>
        <v>0</v>
      </c>
      <c r="AE9" s="6">
        <f>IF(G9="Yes",Tab_Data_Flows[[#This Row],[E4_Fraction'[%']]]*Tab_Data_Flows[[#This Row],[E1_value]],"N.A.")</f>
        <v>0</v>
      </c>
      <c r="AF9" s="6" t="str">
        <f>Tab_Data_Flows[[#This Row],[E1_UoM]]</f>
        <v>Mg</v>
      </c>
      <c r="AG9" s="139">
        <f>_xlfn.XLOOKUP(Tab_Data_Flows[[#This Row],[Flow_Name]],Tab_Def_Flows[Flow_Name],Tab_Def_Flows[Flow_E5_Fraction'[%']],"N.A.",0,1)</f>
        <v>0</v>
      </c>
      <c r="AH9" s="6" t="str">
        <f>IF(H9="Yes",Tab_Data_Flows[[#This Row],[E5_Fraction'[%']]]*Tab_Data_Flows[[#This Row],[E1_value]],"N.A.")</f>
        <v>N.A.</v>
      </c>
      <c r="AI9" s="6" t="str">
        <f>Tab_Data_Flows[[#This Row],[E1_UoM]]</f>
        <v>Mg</v>
      </c>
      <c r="AJ9" s="139">
        <f>_xlfn.XLOOKUP(Tab_Data_Flows[[#This Row],[Flow_Name]],Tab_Def_Flows[Flow_Name],Tab_Def_Flows[Flow_E6_Fraction'[%']],"N.A.",0,1)</f>
        <v>0</v>
      </c>
      <c r="AK9" s="6" t="str">
        <f>IF(Tab_Data_Flows[[#This Row],[Use_E6]]="Yes",Tab_Data_Flows[[#This Row],[E6_Fraction'[%']]]*Tab_Data_Flows[[#This Row],[E1_value]],"N.A.")</f>
        <v>N.A.</v>
      </c>
      <c r="AL9" s="6" t="str">
        <f>Tab_Data_Flows[[#This Row],[E1_UoM]]</f>
        <v>Mg</v>
      </c>
    </row>
    <row r="10" spans="1:38" x14ac:dyDescent="0.25">
      <c r="A10" s="8">
        <f t="shared" si="1"/>
        <v>9</v>
      </c>
      <c r="B10" s="6" t="str">
        <f>_xlfn.XLOOKUP(C10,Tab_Def_Flows[Flow_Name],Tab_Def_Flows[Flow_ID],,0,)</f>
        <v>F_01_02</v>
      </c>
      <c r="C10" s="138" t="s">
        <v>1234</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No</v>
      </c>
      <c r="I10" s="9" t="str">
        <f>_xlfn.XLOOKUP(C10,Tab_Def_Flows[Flow_Name],Tab_Def_Flows[Use_E6],,0,)</f>
        <v>No</v>
      </c>
      <c r="J10" s="188">
        <v>2033</v>
      </c>
      <c r="K10" s="189">
        <v>932334.44109803939</v>
      </c>
      <c r="L10" s="6" t="str">
        <f>'0_Configuration'!$C$41</f>
        <v>Mg</v>
      </c>
      <c r="M10" s="13" t="s">
        <v>1263</v>
      </c>
      <c r="N10" s="13">
        <v>2025</v>
      </c>
      <c r="O10" s="13" t="s">
        <v>1260</v>
      </c>
      <c r="P10" s="13" t="s">
        <v>1261</v>
      </c>
      <c r="Q10" s="13" t="s">
        <v>1271</v>
      </c>
      <c r="R10" s="7" t="s">
        <v>6</v>
      </c>
      <c r="S10" s="7"/>
      <c r="T10" s="7"/>
      <c r="U10" s="139">
        <f>_xlfn.XLOOKUP(Tab_Data_Flows[[#This Row],[Flow_Name]],Tab_Def_Flows[Flow_Name],Tab_Def_Flows[Flow_E1_Fraction'[%']],"N.A.",0,1)</f>
        <v>1</v>
      </c>
      <c r="V10" s="12">
        <f t="shared" si="0"/>
        <v>932334.44109803939</v>
      </c>
      <c r="W10" s="6" t="str">
        <f>Tab_Data_Flows[[#This Row],[UoM_Source]]</f>
        <v>Mg</v>
      </c>
      <c r="X10" s="139">
        <f>_xlfn.XLOOKUP(Tab_Data_Flows[[#This Row],[Flow_Name]],Tab_Def_Flows[Flow_Name],Tab_Def_Flows[Flow_E2_Fraction'[%']],"N.A.",0,1)</f>
        <v>0.22838499184339317</v>
      </c>
      <c r="Y10" s="6">
        <f>IF(D10="Yes",V10*Tab_Data_Flows[[#This Row],[E2_Fraction'[%']]],"N.A.")</f>
        <v>212931.19372549024</v>
      </c>
      <c r="Z10" s="6" t="str">
        <f>Tab_Data_Flows[[#This Row],[E1_UoM]]</f>
        <v>Mg</v>
      </c>
      <c r="AA10" s="139">
        <f>_xlfn.XLOOKUP(Tab_Data_Flows[[#This Row],[Flow_Name]],Tab_Def_Flows[Flow_Name],Tab_Def_Flows[Flow_E3_Fraction'[%']],"N.A.",0,1)</f>
        <v>0.77161500815660689</v>
      </c>
      <c r="AB10" s="6">
        <f>IF(E10="Yes",AA10*Tab_Data_Flows[[#This Row],[E1_value]],"N.A.")</f>
        <v>719403.24737254914</v>
      </c>
      <c r="AC10" s="6" t="str">
        <f>Tab_Data_Flows[[#This Row],[E1_UoM]]</f>
        <v>Mg</v>
      </c>
      <c r="AD10" s="139">
        <f>_xlfn.XLOOKUP(Tab_Data_Flows[[#This Row],[Flow_Name]],Tab_Def_Flows[Flow_Name],Tab_Def_Flows[Flow_E4_Fraction'[%']],"N.A.",0,1)</f>
        <v>0</v>
      </c>
      <c r="AE10" s="6">
        <f>IF(G10="Yes",Tab_Data_Flows[[#This Row],[E4_Fraction'[%']]]*Tab_Data_Flows[[#This Row],[E1_value]],"N.A.")</f>
        <v>0</v>
      </c>
      <c r="AF10" s="6" t="str">
        <f>Tab_Data_Flows[[#This Row],[E1_UoM]]</f>
        <v>Mg</v>
      </c>
      <c r="AG10" s="139">
        <f>_xlfn.XLOOKUP(Tab_Data_Flows[[#This Row],[Flow_Name]],Tab_Def_Flows[Flow_Name],Tab_Def_Flows[Flow_E5_Fraction'[%']],"N.A.",0,1)</f>
        <v>0</v>
      </c>
      <c r="AH10" s="6" t="str">
        <f>IF(H10="Yes",Tab_Data_Flows[[#This Row],[E5_Fraction'[%']]]*Tab_Data_Flows[[#This Row],[E1_value]],"N.A.")</f>
        <v>N.A.</v>
      </c>
      <c r="AI10" s="6" t="str">
        <f>Tab_Data_Flows[[#This Row],[E1_UoM]]</f>
        <v>Mg</v>
      </c>
      <c r="AJ10" s="139">
        <f>_xlfn.XLOOKUP(Tab_Data_Flows[[#This Row],[Flow_Name]],Tab_Def_Flows[Flow_Name],Tab_Def_Flows[Flow_E6_Fraction'[%']],"N.A.",0,1)</f>
        <v>0</v>
      </c>
      <c r="AK10" s="6" t="str">
        <f>IF(Tab_Data_Flows[[#This Row],[Use_E6]]="Yes",Tab_Data_Flows[[#This Row],[E6_Fraction'[%']]]*Tab_Data_Flows[[#This Row],[E1_value]],"N.A.")</f>
        <v>N.A.</v>
      </c>
      <c r="AL10" s="6" t="str">
        <f>Tab_Data_Flows[[#This Row],[E1_UoM]]</f>
        <v>Mg</v>
      </c>
    </row>
    <row r="11" spans="1:38" x14ac:dyDescent="0.25">
      <c r="A11" s="8">
        <f t="shared" si="1"/>
        <v>10</v>
      </c>
      <c r="B11" s="6" t="str">
        <f>_xlfn.XLOOKUP(C11,Tab_Def_Flows[Flow_Name],Tab_Def_Flows[Flow_ID],,0,)</f>
        <v>F_01_02</v>
      </c>
      <c r="C11" s="138" t="s">
        <v>1234</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No</v>
      </c>
      <c r="I11" s="9" t="str">
        <f>_xlfn.XLOOKUP(C11,Tab_Def_Flows[Flow_Name],Tab_Def_Flows[Use_E6],,0,)</f>
        <v>No</v>
      </c>
      <c r="J11" s="188">
        <v>2034</v>
      </c>
      <c r="K11" s="189">
        <v>830218.20870588231</v>
      </c>
      <c r="L11" s="6" t="str">
        <f>'0_Configuration'!$C$41</f>
        <v>Mg</v>
      </c>
      <c r="M11" s="13" t="s">
        <v>1263</v>
      </c>
      <c r="N11" s="13">
        <v>2025</v>
      </c>
      <c r="O11" s="13" t="s">
        <v>1260</v>
      </c>
      <c r="P11" s="13" t="s">
        <v>1261</v>
      </c>
      <c r="Q11" s="13" t="s">
        <v>1272</v>
      </c>
      <c r="R11" s="7" t="s">
        <v>6</v>
      </c>
      <c r="S11" s="7"/>
      <c r="T11" s="7"/>
      <c r="U11" s="139">
        <f>_xlfn.XLOOKUP(Tab_Data_Flows[[#This Row],[Flow_Name]],Tab_Def_Flows[Flow_Name],Tab_Def_Flows[Flow_E1_Fraction'[%']],"N.A.",0,1)</f>
        <v>1</v>
      </c>
      <c r="V11" s="12">
        <f t="shared" si="0"/>
        <v>830218.20870588231</v>
      </c>
      <c r="W11" s="6" t="str">
        <f>Tab_Data_Flows[[#This Row],[UoM_Source]]</f>
        <v>Mg</v>
      </c>
      <c r="X11" s="139">
        <f>_xlfn.XLOOKUP(Tab_Data_Flows[[#This Row],[Flow_Name]],Tab_Def_Flows[Flow_Name],Tab_Def_Flows[Flow_E2_Fraction'[%']],"N.A.",0,1)</f>
        <v>0.22838499184339317</v>
      </c>
      <c r="Y11" s="6">
        <f>IF(D11="Yes",V11*Tab_Data_Flows[[#This Row],[E2_Fraction'[%']]],"N.A.")</f>
        <v>189609.37882352943</v>
      </c>
      <c r="Z11" s="6" t="str">
        <f>Tab_Data_Flows[[#This Row],[E1_UoM]]</f>
        <v>Mg</v>
      </c>
      <c r="AA11" s="139">
        <f>_xlfn.XLOOKUP(Tab_Data_Flows[[#This Row],[Flow_Name]],Tab_Def_Flows[Flow_Name],Tab_Def_Flows[Flow_E3_Fraction'[%']],"N.A.",0,1)</f>
        <v>0.77161500815660689</v>
      </c>
      <c r="AB11" s="6">
        <f>IF(E11="Yes",AA11*Tab_Data_Flows[[#This Row],[E1_value]],"N.A.")</f>
        <v>640608.82988235296</v>
      </c>
      <c r="AC11" s="6" t="str">
        <f>Tab_Data_Flows[[#This Row],[E1_UoM]]</f>
        <v>Mg</v>
      </c>
      <c r="AD11" s="139">
        <f>_xlfn.XLOOKUP(Tab_Data_Flows[[#This Row],[Flow_Name]],Tab_Def_Flows[Flow_Name],Tab_Def_Flows[Flow_E4_Fraction'[%']],"N.A.",0,1)</f>
        <v>0</v>
      </c>
      <c r="AE11" s="6">
        <f>IF(G11="Yes",Tab_Data_Flows[[#This Row],[E4_Fraction'[%']]]*Tab_Data_Flows[[#This Row],[E1_value]],"N.A.")</f>
        <v>0</v>
      </c>
      <c r="AF11" s="6" t="str">
        <f>Tab_Data_Flows[[#This Row],[E1_UoM]]</f>
        <v>Mg</v>
      </c>
      <c r="AG11" s="139">
        <f>_xlfn.XLOOKUP(Tab_Data_Flows[[#This Row],[Flow_Name]],Tab_Def_Flows[Flow_Name],Tab_Def_Flows[Flow_E5_Fraction'[%']],"N.A.",0,1)</f>
        <v>0</v>
      </c>
      <c r="AH11" s="6" t="str">
        <f>IF(H11="Yes",Tab_Data_Flows[[#This Row],[E5_Fraction'[%']]]*Tab_Data_Flows[[#This Row],[E1_value]],"N.A.")</f>
        <v>N.A.</v>
      </c>
      <c r="AI11" s="6" t="str">
        <f>Tab_Data_Flows[[#This Row],[E1_UoM]]</f>
        <v>Mg</v>
      </c>
      <c r="AJ11" s="139">
        <f>_xlfn.XLOOKUP(Tab_Data_Flows[[#This Row],[Flow_Name]],Tab_Def_Flows[Flow_Name],Tab_Def_Flows[Flow_E6_Fraction'[%']],"N.A.",0,1)</f>
        <v>0</v>
      </c>
      <c r="AK11" s="6" t="str">
        <f>IF(Tab_Data_Flows[[#This Row],[Use_E6]]="Yes",Tab_Data_Flows[[#This Row],[E6_Fraction'[%']]]*Tab_Data_Flows[[#This Row],[E1_value]],"N.A.")</f>
        <v>N.A.</v>
      </c>
      <c r="AL11" s="6" t="str">
        <f>Tab_Data_Flows[[#This Row],[E1_UoM]]</f>
        <v>Mg</v>
      </c>
    </row>
    <row r="12" spans="1:38" x14ac:dyDescent="0.25">
      <c r="A12" s="8">
        <f t="shared" si="1"/>
        <v>11</v>
      </c>
      <c r="B12" s="6" t="str">
        <f>_xlfn.XLOOKUP(C12,Tab_Def_Flows[Flow_Name],Tab_Def_Flows[Flow_ID],,0,)</f>
        <v>F_01_02</v>
      </c>
      <c r="C12" s="138" t="s">
        <v>1234</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No</v>
      </c>
      <c r="I12" s="9" t="str">
        <f>_xlfn.XLOOKUP(C12,Tab_Def_Flows[Flow_Name],Tab_Def_Flows[Use_E6],,0,)</f>
        <v>No</v>
      </c>
      <c r="J12" s="188">
        <v>2035</v>
      </c>
      <c r="K12" s="189">
        <v>903658.70976470585</v>
      </c>
      <c r="L12" s="6" t="str">
        <f>'0_Configuration'!$C$41</f>
        <v>Mg</v>
      </c>
      <c r="M12" s="13" t="s">
        <v>1263</v>
      </c>
      <c r="N12" s="13">
        <v>2025</v>
      </c>
      <c r="O12" s="13" t="s">
        <v>1260</v>
      </c>
      <c r="P12" s="13" t="s">
        <v>1261</v>
      </c>
      <c r="Q12" s="13" t="s">
        <v>1273</v>
      </c>
      <c r="R12" s="7" t="s">
        <v>6</v>
      </c>
      <c r="S12" s="7"/>
      <c r="T12" s="7"/>
      <c r="U12" s="139">
        <f>_xlfn.XLOOKUP(Tab_Data_Flows[[#This Row],[Flow_Name]],Tab_Def_Flows[Flow_Name],Tab_Def_Flows[Flow_E1_Fraction'[%']],"N.A.",0,1)</f>
        <v>1</v>
      </c>
      <c r="V12" s="12">
        <f t="shared" si="0"/>
        <v>903658.70976470585</v>
      </c>
      <c r="W12" s="6" t="str">
        <f>Tab_Data_Flows[[#This Row],[UoM_Source]]</f>
        <v>Mg</v>
      </c>
      <c r="X12" s="139">
        <f>_xlfn.XLOOKUP(Tab_Data_Flows[[#This Row],[Flow_Name]],Tab_Def_Flows[Flow_Name],Tab_Def_Flows[Flow_E2_Fraction'[%']],"N.A.",0,1)</f>
        <v>0.22838499184339317</v>
      </c>
      <c r="Y12" s="6">
        <f>IF(D12="Yes",V12*Tab_Data_Flows[[#This Row],[E2_Fraction'[%']]],"N.A.")</f>
        <v>206382.08705882356</v>
      </c>
      <c r="Z12" s="6" t="str">
        <f>Tab_Data_Flows[[#This Row],[E1_UoM]]</f>
        <v>Mg</v>
      </c>
      <c r="AA12" s="139">
        <f>_xlfn.XLOOKUP(Tab_Data_Flows[[#This Row],[Flow_Name]],Tab_Def_Flows[Flow_Name],Tab_Def_Flows[Flow_E3_Fraction'[%']],"N.A.",0,1)</f>
        <v>0.77161500815660689</v>
      </c>
      <c r="AB12" s="6">
        <f>IF(E12="Yes",AA12*Tab_Data_Flows[[#This Row],[E1_value]],"N.A.")</f>
        <v>697276.62270588242</v>
      </c>
      <c r="AC12" s="6" t="str">
        <f>Tab_Data_Flows[[#This Row],[E1_UoM]]</f>
        <v>Mg</v>
      </c>
      <c r="AD12" s="139">
        <f>_xlfn.XLOOKUP(Tab_Data_Flows[[#This Row],[Flow_Name]],Tab_Def_Flows[Flow_Name],Tab_Def_Flows[Flow_E4_Fraction'[%']],"N.A.",0,1)</f>
        <v>0</v>
      </c>
      <c r="AE12" s="6">
        <f>IF(G12="Yes",Tab_Data_Flows[[#This Row],[E4_Fraction'[%']]]*Tab_Data_Flows[[#This Row],[E1_value]],"N.A.")</f>
        <v>0</v>
      </c>
      <c r="AF12" s="6" t="str">
        <f>Tab_Data_Flows[[#This Row],[E1_UoM]]</f>
        <v>Mg</v>
      </c>
      <c r="AG12" s="139">
        <f>_xlfn.XLOOKUP(Tab_Data_Flows[[#This Row],[Flow_Name]],Tab_Def_Flows[Flow_Name],Tab_Def_Flows[Flow_E5_Fraction'[%']],"N.A.",0,1)</f>
        <v>0</v>
      </c>
      <c r="AH12" s="6" t="str">
        <f>IF(H12="Yes",Tab_Data_Flows[[#This Row],[E5_Fraction'[%']]]*Tab_Data_Flows[[#This Row],[E1_value]],"N.A.")</f>
        <v>N.A.</v>
      </c>
      <c r="AI12" s="6" t="str">
        <f>Tab_Data_Flows[[#This Row],[E1_UoM]]</f>
        <v>Mg</v>
      </c>
      <c r="AJ12" s="139">
        <f>_xlfn.XLOOKUP(Tab_Data_Flows[[#This Row],[Flow_Name]],Tab_Def_Flows[Flow_Name],Tab_Def_Flows[Flow_E6_Fraction'[%']],"N.A.",0,1)</f>
        <v>0</v>
      </c>
      <c r="AK12" s="6" t="str">
        <f>IF(Tab_Data_Flows[[#This Row],[Use_E6]]="Yes",Tab_Data_Flows[[#This Row],[E6_Fraction'[%']]]*Tab_Data_Flows[[#This Row],[E1_value]],"N.A.")</f>
        <v>N.A.</v>
      </c>
      <c r="AL12" s="6" t="str">
        <f>Tab_Data_Flows[[#This Row],[E1_UoM]]</f>
        <v>Mg</v>
      </c>
    </row>
    <row r="13" spans="1:38" x14ac:dyDescent="0.25">
      <c r="A13" s="8">
        <f t="shared" si="1"/>
        <v>12</v>
      </c>
      <c r="B13" s="6" t="str">
        <f>_xlfn.XLOOKUP(C13,Tab_Def_Flows[Flow_Name],Tab_Def_Flows[Flow_ID],,0,)</f>
        <v>F_01_02</v>
      </c>
      <c r="C13" s="138" t="s">
        <v>1234</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No</v>
      </c>
      <c r="I13" s="9" t="str">
        <f>_xlfn.XLOOKUP(C13,Tab_Def_Flows[Flow_Name],Tab_Def_Flows[Use_E6],,0,)</f>
        <v>No</v>
      </c>
      <c r="J13" s="188">
        <v>2036</v>
      </c>
      <c r="K13" s="189">
        <v>896415.77821568632</v>
      </c>
      <c r="L13" s="6" t="str">
        <f>'0_Configuration'!$C$41</f>
        <v>Mg</v>
      </c>
      <c r="M13" s="13" t="s">
        <v>1263</v>
      </c>
      <c r="N13" s="13">
        <v>2025</v>
      </c>
      <c r="O13" s="13" t="s">
        <v>1260</v>
      </c>
      <c r="P13" s="13" t="s">
        <v>1261</v>
      </c>
      <c r="Q13" s="13" t="s">
        <v>1274</v>
      </c>
      <c r="R13" s="7" t="s">
        <v>6</v>
      </c>
      <c r="S13" s="7"/>
      <c r="T13" s="7"/>
      <c r="U13" s="139">
        <f>_xlfn.XLOOKUP(Tab_Data_Flows[[#This Row],[Flow_Name]],Tab_Def_Flows[Flow_Name],Tab_Def_Flows[Flow_E1_Fraction'[%']],"N.A.",0,1)</f>
        <v>1</v>
      </c>
      <c r="V13" s="12">
        <f t="shared" si="0"/>
        <v>896415.77821568632</v>
      </c>
      <c r="W13" s="6" t="str">
        <f>Tab_Data_Flows[[#This Row],[UoM_Source]]</f>
        <v>Mg</v>
      </c>
      <c r="X13" s="139">
        <f>_xlfn.XLOOKUP(Tab_Data_Flows[[#This Row],[Flow_Name]],Tab_Def_Flows[Flow_Name],Tab_Def_Flows[Flow_E2_Fraction'[%']],"N.A.",0,1)</f>
        <v>0.22838499184339317</v>
      </c>
      <c r="Y13" s="6">
        <f>IF(D13="Yes",V13*Tab_Data_Flows[[#This Row],[E2_Fraction'[%']]],"N.A.")</f>
        <v>204727.91019607848</v>
      </c>
      <c r="Z13" s="6" t="str">
        <f>Tab_Data_Flows[[#This Row],[E1_UoM]]</f>
        <v>Mg</v>
      </c>
      <c r="AA13" s="139">
        <f>_xlfn.XLOOKUP(Tab_Data_Flows[[#This Row],[Flow_Name]],Tab_Def_Flows[Flow_Name],Tab_Def_Flows[Flow_E3_Fraction'[%']],"N.A.",0,1)</f>
        <v>0.77161500815660689</v>
      </c>
      <c r="AB13" s="6">
        <f>IF(E13="Yes",AA13*Tab_Data_Flows[[#This Row],[E1_value]],"N.A.")</f>
        <v>691687.86801960797</v>
      </c>
      <c r="AC13" s="6" t="str">
        <f>Tab_Data_Flows[[#This Row],[E1_UoM]]</f>
        <v>Mg</v>
      </c>
      <c r="AD13" s="139">
        <f>_xlfn.XLOOKUP(Tab_Data_Flows[[#This Row],[Flow_Name]],Tab_Def_Flows[Flow_Name],Tab_Def_Flows[Flow_E4_Fraction'[%']],"N.A.",0,1)</f>
        <v>0</v>
      </c>
      <c r="AE13" s="6">
        <f>IF(G13="Yes",Tab_Data_Flows[[#This Row],[E4_Fraction'[%']]]*Tab_Data_Flows[[#This Row],[E1_value]],"N.A.")</f>
        <v>0</v>
      </c>
      <c r="AF13" s="6" t="str">
        <f>Tab_Data_Flows[[#This Row],[E1_UoM]]</f>
        <v>Mg</v>
      </c>
      <c r="AG13" s="139">
        <f>_xlfn.XLOOKUP(Tab_Data_Flows[[#This Row],[Flow_Name]],Tab_Def_Flows[Flow_Name],Tab_Def_Flows[Flow_E5_Fraction'[%']],"N.A.",0,1)</f>
        <v>0</v>
      </c>
      <c r="AH13" s="6" t="str">
        <f>IF(H13="Yes",Tab_Data_Flows[[#This Row],[E5_Fraction'[%']]]*Tab_Data_Flows[[#This Row],[E1_value]],"N.A.")</f>
        <v>N.A.</v>
      </c>
      <c r="AI13" s="6" t="str">
        <f>Tab_Data_Flows[[#This Row],[E1_UoM]]</f>
        <v>Mg</v>
      </c>
      <c r="AJ13" s="139">
        <f>_xlfn.XLOOKUP(Tab_Data_Flows[[#This Row],[Flow_Name]],Tab_Def_Flows[Flow_Name],Tab_Def_Flows[Flow_E6_Fraction'[%']],"N.A.",0,1)</f>
        <v>0</v>
      </c>
      <c r="AK13" s="6" t="str">
        <f>IF(Tab_Data_Flows[[#This Row],[Use_E6]]="Yes",Tab_Data_Flows[[#This Row],[E6_Fraction'[%']]]*Tab_Data_Flows[[#This Row],[E1_value]],"N.A.")</f>
        <v>N.A.</v>
      </c>
      <c r="AL13" s="6" t="str">
        <f>Tab_Data_Flows[[#This Row],[E1_UoM]]</f>
        <v>Mg</v>
      </c>
    </row>
    <row r="14" spans="1:38" x14ac:dyDescent="0.25">
      <c r="A14" s="8">
        <f t="shared" si="1"/>
        <v>13</v>
      </c>
      <c r="B14" s="6" t="str">
        <f>_xlfn.XLOOKUP(C14,Tab_Def_Flows[Flow_Name],Tab_Def_Flows[Flow_ID],,0,)</f>
        <v>F_01_02</v>
      </c>
      <c r="C14" s="138" t="s">
        <v>1234</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No</v>
      </c>
      <c r="I14" s="9" t="str">
        <f>_xlfn.XLOOKUP(C14,Tab_Def_Flows[Flow_Name],Tab_Def_Flows[Use_E6],,0,)</f>
        <v>No</v>
      </c>
      <c r="J14" s="188">
        <v>2037</v>
      </c>
      <c r="K14" s="189">
        <v>890822.09311764711</v>
      </c>
      <c r="L14" s="6" t="str">
        <f>'0_Configuration'!$C$41</f>
        <v>Mg</v>
      </c>
      <c r="M14" s="13" t="s">
        <v>1263</v>
      </c>
      <c r="N14" s="13">
        <v>2025</v>
      </c>
      <c r="O14" s="13" t="s">
        <v>1260</v>
      </c>
      <c r="P14" s="13" t="s">
        <v>1261</v>
      </c>
      <c r="Q14" s="13" t="s">
        <v>1275</v>
      </c>
      <c r="R14" s="7" t="s">
        <v>6</v>
      </c>
      <c r="S14" s="7"/>
      <c r="T14" s="7"/>
      <c r="U14" s="139">
        <f>_xlfn.XLOOKUP(Tab_Data_Flows[[#This Row],[Flow_Name]],Tab_Def_Flows[Flow_Name],Tab_Def_Flows[Flow_E1_Fraction'[%']],"N.A.",0,1)</f>
        <v>1</v>
      </c>
      <c r="V14" s="12">
        <f t="shared" si="0"/>
        <v>890822.09311764711</v>
      </c>
      <c r="W14" s="6" t="str">
        <f>Tab_Data_Flows[[#This Row],[UoM_Source]]</f>
        <v>Mg</v>
      </c>
      <c r="X14" s="139">
        <f>_xlfn.XLOOKUP(Tab_Data_Flows[[#This Row],[Flow_Name]],Tab_Def_Flows[Flow_Name],Tab_Def_Flows[Flow_E2_Fraction'[%']],"N.A.",0,1)</f>
        <v>0.22838499184339317</v>
      </c>
      <c r="Y14" s="6">
        <f>IF(D14="Yes",V14*Tab_Data_Flows[[#This Row],[E2_Fraction'[%']]],"N.A.")</f>
        <v>203450.39647058825</v>
      </c>
      <c r="Z14" s="6" t="str">
        <f>Tab_Data_Flows[[#This Row],[E1_UoM]]</f>
        <v>Mg</v>
      </c>
      <c r="AA14" s="139">
        <f>_xlfn.XLOOKUP(Tab_Data_Flows[[#This Row],[Flow_Name]],Tab_Def_Flows[Flow_Name],Tab_Def_Flows[Flow_E3_Fraction'[%']],"N.A.",0,1)</f>
        <v>0.77161500815660689</v>
      </c>
      <c r="AB14" s="6">
        <f>IF(E14="Yes",AA14*Tab_Data_Flows[[#This Row],[E1_value]],"N.A.")</f>
        <v>687371.69664705894</v>
      </c>
      <c r="AC14" s="6" t="str">
        <f>Tab_Data_Flows[[#This Row],[E1_UoM]]</f>
        <v>Mg</v>
      </c>
      <c r="AD14" s="139">
        <f>_xlfn.XLOOKUP(Tab_Data_Flows[[#This Row],[Flow_Name]],Tab_Def_Flows[Flow_Name],Tab_Def_Flows[Flow_E4_Fraction'[%']],"N.A.",0,1)</f>
        <v>0</v>
      </c>
      <c r="AE14" s="6">
        <f>IF(G14="Yes",Tab_Data_Flows[[#This Row],[E4_Fraction'[%']]]*Tab_Data_Flows[[#This Row],[E1_value]],"N.A.")</f>
        <v>0</v>
      </c>
      <c r="AF14" s="6" t="str">
        <f>Tab_Data_Flows[[#This Row],[E1_UoM]]</f>
        <v>Mg</v>
      </c>
      <c r="AG14" s="139">
        <f>_xlfn.XLOOKUP(Tab_Data_Flows[[#This Row],[Flow_Name]],Tab_Def_Flows[Flow_Name],Tab_Def_Flows[Flow_E5_Fraction'[%']],"N.A.",0,1)</f>
        <v>0</v>
      </c>
      <c r="AH14" s="6" t="str">
        <f>IF(H14="Yes",Tab_Data_Flows[[#This Row],[E5_Fraction'[%']]]*Tab_Data_Flows[[#This Row],[E1_value]],"N.A.")</f>
        <v>N.A.</v>
      </c>
      <c r="AI14" s="6" t="str">
        <f>Tab_Data_Flows[[#This Row],[E1_UoM]]</f>
        <v>Mg</v>
      </c>
      <c r="AJ14" s="139">
        <f>_xlfn.XLOOKUP(Tab_Data_Flows[[#This Row],[Flow_Name]],Tab_Def_Flows[Flow_Name],Tab_Def_Flows[Flow_E6_Fraction'[%']],"N.A.",0,1)</f>
        <v>0</v>
      </c>
      <c r="AK14" s="6" t="str">
        <f>IF(Tab_Data_Flows[[#This Row],[Use_E6]]="Yes",Tab_Data_Flows[[#This Row],[E6_Fraction'[%']]]*Tab_Data_Flows[[#This Row],[E1_value]],"N.A.")</f>
        <v>N.A.</v>
      </c>
      <c r="AL14" s="6" t="str">
        <f>Tab_Data_Flows[[#This Row],[E1_UoM]]</f>
        <v>Mg</v>
      </c>
    </row>
    <row r="15" spans="1:38" x14ac:dyDescent="0.25">
      <c r="A15" s="8">
        <f t="shared" si="1"/>
        <v>14</v>
      </c>
      <c r="B15" s="6" t="str">
        <f>_xlfn.XLOOKUP(C15,Tab_Def_Flows[Flow_Name],Tab_Def_Flows[Flow_ID],,0,)</f>
        <v>F_01_02</v>
      </c>
      <c r="C15" s="138" t="s">
        <v>1234</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No</v>
      </c>
      <c r="I15" s="9" t="str">
        <f>_xlfn.XLOOKUP(C15,Tab_Def_Flows[Flow_Name],Tab_Def_Flows[Use_E6],,0,)</f>
        <v>No</v>
      </c>
      <c r="J15" s="188">
        <v>2038</v>
      </c>
      <c r="K15" s="189">
        <v>743583.19515686273</v>
      </c>
      <c r="L15" s="6" t="str">
        <f>'0_Configuration'!$C$41</f>
        <v>Mg</v>
      </c>
      <c r="M15" s="13" t="s">
        <v>1263</v>
      </c>
      <c r="N15" s="13">
        <v>2025</v>
      </c>
      <c r="O15" s="13" t="s">
        <v>1260</v>
      </c>
      <c r="P15" s="13" t="s">
        <v>1261</v>
      </c>
      <c r="Q15" s="13" t="s">
        <v>1276</v>
      </c>
      <c r="R15" s="7" t="s">
        <v>6</v>
      </c>
      <c r="S15" s="7"/>
      <c r="T15" s="7"/>
      <c r="U15" s="139">
        <f>_xlfn.XLOOKUP(Tab_Data_Flows[[#This Row],[Flow_Name]],Tab_Def_Flows[Flow_Name],Tab_Def_Flows[Flow_E1_Fraction'[%']],"N.A.",0,1)</f>
        <v>1</v>
      </c>
      <c r="V15" s="12">
        <f t="shared" si="0"/>
        <v>743583.19515686273</v>
      </c>
      <c r="W15" s="6" t="str">
        <f>Tab_Data_Flows[[#This Row],[UoM_Source]]</f>
        <v>Mg</v>
      </c>
      <c r="X15" s="139">
        <f>_xlfn.XLOOKUP(Tab_Data_Flows[[#This Row],[Flow_Name]],Tab_Def_Flows[Flow_Name],Tab_Def_Flows[Flow_E2_Fraction'[%']],"N.A.",0,1)</f>
        <v>0.22838499184339317</v>
      </c>
      <c r="Y15" s="6">
        <f>IF(D15="Yes",V15*Tab_Data_Flows[[#This Row],[E2_Fraction'[%']]],"N.A.")</f>
        <v>169823.24196078433</v>
      </c>
      <c r="Z15" s="6" t="str">
        <f>Tab_Data_Flows[[#This Row],[E1_UoM]]</f>
        <v>Mg</v>
      </c>
      <c r="AA15" s="139">
        <f>_xlfn.XLOOKUP(Tab_Data_Flows[[#This Row],[Flow_Name]],Tab_Def_Flows[Flow_Name],Tab_Def_Flows[Flow_E3_Fraction'[%']],"N.A.",0,1)</f>
        <v>0.77161500815660689</v>
      </c>
      <c r="AB15" s="6">
        <f>IF(E15="Yes",AA15*Tab_Data_Flows[[#This Row],[E1_value]],"N.A.")</f>
        <v>573759.95319607842</v>
      </c>
      <c r="AC15" s="6" t="str">
        <f>Tab_Data_Flows[[#This Row],[E1_UoM]]</f>
        <v>Mg</v>
      </c>
      <c r="AD15" s="139">
        <f>_xlfn.XLOOKUP(Tab_Data_Flows[[#This Row],[Flow_Name]],Tab_Def_Flows[Flow_Name],Tab_Def_Flows[Flow_E4_Fraction'[%']],"N.A.",0,1)</f>
        <v>0</v>
      </c>
      <c r="AE15" s="6">
        <f>IF(G15="Yes",Tab_Data_Flows[[#This Row],[E4_Fraction'[%']]]*Tab_Data_Flows[[#This Row],[E1_value]],"N.A.")</f>
        <v>0</v>
      </c>
      <c r="AF15" s="6" t="str">
        <f>Tab_Data_Flows[[#This Row],[E1_UoM]]</f>
        <v>Mg</v>
      </c>
      <c r="AG15" s="139">
        <f>_xlfn.XLOOKUP(Tab_Data_Flows[[#This Row],[Flow_Name]],Tab_Def_Flows[Flow_Name],Tab_Def_Flows[Flow_E5_Fraction'[%']],"N.A.",0,1)</f>
        <v>0</v>
      </c>
      <c r="AH15" s="6" t="str">
        <f>IF(H15="Yes",Tab_Data_Flows[[#This Row],[E5_Fraction'[%']]]*Tab_Data_Flows[[#This Row],[E1_value]],"N.A.")</f>
        <v>N.A.</v>
      </c>
      <c r="AI15" s="6" t="str">
        <f>Tab_Data_Flows[[#This Row],[E1_UoM]]</f>
        <v>Mg</v>
      </c>
      <c r="AJ15" s="139">
        <f>_xlfn.XLOOKUP(Tab_Data_Flows[[#This Row],[Flow_Name]],Tab_Def_Flows[Flow_Name],Tab_Def_Flows[Flow_E6_Fraction'[%']],"N.A.",0,1)</f>
        <v>0</v>
      </c>
      <c r="AK15" s="6" t="str">
        <f>IF(Tab_Data_Flows[[#This Row],[Use_E6]]="Yes",Tab_Data_Flows[[#This Row],[E6_Fraction'[%']]]*Tab_Data_Flows[[#This Row],[E1_value]],"N.A.")</f>
        <v>N.A.</v>
      </c>
      <c r="AL15" s="6" t="str">
        <f>Tab_Data_Flows[[#This Row],[E1_UoM]]</f>
        <v>Mg</v>
      </c>
    </row>
    <row r="16" spans="1:38" x14ac:dyDescent="0.25">
      <c r="A16" s="8">
        <f t="shared" si="1"/>
        <v>15</v>
      </c>
      <c r="B16" s="6" t="str">
        <f>_xlfn.XLOOKUP(C16,Tab_Def_Flows[Flow_Name],Tab_Def_Flows[Flow_ID],,0,)</f>
        <v>F_01_02</v>
      </c>
      <c r="C16" s="138" t="s">
        <v>1234</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No</v>
      </c>
      <c r="I16" s="9" t="str">
        <f>_xlfn.XLOOKUP(C16,Tab_Def_Flows[Flow_Name],Tab_Def_Flows[Use_E6],,0,)</f>
        <v>No</v>
      </c>
      <c r="J16" s="188">
        <v>2039</v>
      </c>
      <c r="K16" s="189">
        <v>933722.7779215686</v>
      </c>
      <c r="L16" s="6" t="str">
        <f>'0_Configuration'!$C$41</f>
        <v>Mg</v>
      </c>
      <c r="M16" s="13" t="s">
        <v>1263</v>
      </c>
      <c r="N16" s="13">
        <v>2025</v>
      </c>
      <c r="O16" s="13" t="s">
        <v>1260</v>
      </c>
      <c r="P16" s="13" t="s">
        <v>1261</v>
      </c>
      <c r="Q16" s="13" t="s">
        <v>1277</v>
      </c>
      <c r="R16" s="7" t="s">
        <v>6</v>
      </c>
      <c r="S16" s="7"/>
      <c r="T16" s="7"/>
      <c r="U16" s="139">
        <f>_xlfn.XLOOKUP(Tab_Data_Flows[[#This Row],[Flow_Name]],Tab_Def_Flows[Flow_Name],Tab_Def_Flows[Flow_E1_Fraction'[%']],"N.A.",0,1)</f>
        <v>1</v>
      </c>
      <c r="V16" s="12">
        <f t="shared" si="0"/>
        <v>933722.7779215686</v>
      </c>
      <c r="W16" s="6" t="str">
        <f>Tab_Data_Flows[[#This Row],[UoM_Source]]</f>
        <v>Mg</v>
      </c>
      <c r="X16" s="139">
        <f>_xlfn.XLOOKUP(Tab_Data_Flows[[#This Row],[Flow_Name]],Tab_Def_Flows[Flow_Name],Tab_Def_Flows[Flow_E2_Fraction'[%']],"N.A.",0,1)</f>
        <v>0.22838499184339317</v>
      </c>
      <c r="Y16" s="6">
        <f>IF(D16="Yes",V16*Tab_Data_Flows[[#This Row],[E2_Fraction'[%']]],"N.A.")</f>
        <v>213248.26901960786</v>
      </c>
      <c r="Z16" s="6" t="str">
        <f>Tab_Data_Flows[[#This Row],[E1_UoM]]</f>
        <v>Mg</v>
      </c>
      <c r="AA16" s="139">
        <f>_xlfn.XLOOKUP(Tab_Data_Flows[[#This Row],[Flow_Name]],Tab_Def_Flows[Flow_Name],Tab_Def_Flows[Flow_E3_Fraction'[%']],"N.A.",0,1)</f>
        <v>0.77161500815660689</v>
      </c>
      <c r="AB16" s="6">
        <f>IF(E16="Yes",AA16*Tab_Data_Flows[[#This Row],[E1_value]],"N.A.")</f>
        <v>720474.5089019608</v>
      </c>
      <c r="AC16" s="6" t="str">
        <f>Tab_Data_Flows[[#This Row],[E1_UoM]]</f>
        <v>Mg</v>
      </c>
      <c r="AD16" s="139">
        <f>_xlfn.XLOOKUP(Tab_Data_Flows[[#This Row],[Flow_Name]],Tab_Def_Flows[Flow_Name],Tab_Def_Flows[Flow_E4_Fraction'[%']],"N.A.",0,1)</f>
        <v>0</v>
      </c>
      <c r="AE16" s="6">
        <f>IF(G16="Yes",Tab_Data_Flows[[#This Row],[E4_Fraction'[%']]]*Tab_Data_Flows[[#This Row],[E1_value]],"N.A.")</f>
        <v>0</v>
      </c>
      <c r="AF16" s="6" t="str">
        <f>Tab_Data_Flows[[#This Row],[E1_UoM]]</f>
        <v>Mg</v>
      </c>
      <c r="AG16" s="139">
        <f>_xlfn.XLOOKUP(Tab_Data_Flows[[#This Row],[Flow_Name]],Tab_Def_Flows[Flow_Name],Tab_Def_Flows[Flow_E5_Fraction'[%']],"N.A.",0,1)</f>
        <v>0</v>
      </c>
      <c r="AH16" s="6" t="str">
        <f>IF(H16="Yes",Tab_Data_Flows[[#This Row],[E5_Fraction'[%']]]*Tab_Data_Flows[[#This Row],[E1_value]],"N.A.")</f>
        <v>N.A.</v>
      </c>
      <c r="AI16" s="6" t="str">
        <f>Tab_Data_Flows[[#This Row],[E1_UoM]]</f>
        <v>Mg</v>
      </c>
      <c r="AJ16" s="139">
        <f>_xlfn.XLOOKUP(Tab_Data_Flows[[#This Row],[Flow_Name]],Tab_Def_Flows[Flow_Name],Tab_Def_Flows[Flow_E6_Fraction'[%']],"N.A.",0,1)</f>
        <v>0</v>
      </c>
      <c r="AK16" s="6" t="str">
        <f>IF(Tab_Data_Flows[[#This Row],[Use_E6]]="Yes",Tab_Data_Flows[[#This Row],[E6_Fraction'[%']]]*Tab_Data_Flows[[#This Row],[E1_value]],"N.A.")</f>
        <v>N.A.</v>
      </c>
      <c r="AL16" s="6" t="str">
        <f>Tab_Data_Flows[[#This Row],[E1_UoM]]</f>
        <v>Mg</v>
      </c>
    </row>
    <row r="17" spans="1:38" x14ac:dyDescent="0.25">
      <c r="A17" s="8">
        <f t="shared" si="1"/>
        <v>16</v>
      </c>
      <c r="B17" s="6" t="str">
        <f>_xlfn.XLOOKUP(C17,Tab_Def_Flows[Flow_Name],Tab_Def_Flows[Flow_ID],,0,)</f>
        <v>F_01_02</v>
      </c>
      <c r="C17" s="138" t="s">
        <v>1234</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No</v>
      </c>
      <c r="I17" s="9" t="str">
        <f>_xlfn.XLOOKUP(C17,Tab_Def_Flows[Flow_Name],Tab_Def_Flows[Use_E6],,0,)</f>
        <v>No</v>
      </c>
      <c r="J17" s="188">
        <v>2040</v>
      </c>
      <c r="K17" s="189">
        <v>963132.97941176477</v>
      </c>
      <c r="L17" s="6" t="str">
        <f>'0_Configuration'!$C$41</f>
        <v>Mg</v>
      </c>
      <c r="M17" s="13" t="s">
        <v>1263</v>
      </c>
      <c r="N17" s="13">
        <v>2025</v>
      </c>
      <c r="O17" s="13" t="s">
        <v>1260</v>
      </c>
      <c r="P17" s="13" t="s">
        <v>1261</v>
      </c>
      <c r="Q17" s="13" t="s">
        <v>1278</v>
      </c>
      <c r="R17" s="7" t="s">
        <v>6</v>
      </c>
      <c r="S17" s="7"/>
      <c r="T17" s="7"/>
      <c r="U17" s="139">
        <f>_xlfn.XLOOKUP(Tab_Data_Flows[[#This Row],[Flow_Name]],Tab_Def_Flows[Flow_Name],Tab_Def_Flows[Flow_E1_Fraction'[%']],"N.A.",0,1)</f>
        <v>1</v>
      </c>
      <c r="V17" s="12">
        <f t="shared" si="0"/>
        <v>963132.97941176477</v>
      </c>
      <c r="W17" s="6" t="str">
        <f>Tab_Data_Flows[[#This Row],[UoM_Source]]</f>
        <v>Mg</v>
      </c>
      <c r="X17" s="139">
        <f>_xlfn.XLOOKUP(Tab_Data_Flows[[#This Row],[Flow_Name]],Tab_Def_Flows[Flow_Name],Tab_Def_Flows[Flow_E2_Fraction'[%']],"N.A.",0,1)</f>
        <v>0.22838499184339317</v>
      </c>
      <c r="Y17" s="6">
        <f>IF(D17="Yes",V17*Tab_Data_Flows[[#This Row],[E2_Fraction'[%']]],"N.A.")</f>
        <v>219965.11764705885</v>
      </c>
      <c r="Z17" s="6" t="str">
        <f>Tab_Data_Flows[[#This Row],[E1_UoM]]</f>
        <v>Mg</v>
      </c>
      <c r="AA17" s="139">
        <f>_xlfn.XLOOKUP(Tab_Data_Flows[[#This Row],[Flow_Name]],Tab_Def_Flows[Flow_Name],Tab_Def_Flows[Flow_E3_Fraction'[%']],"N.A.",0,1)</f>
        <v>0.77161500815660689</v>
      </c>
      <c r="AB17" s="6">
        <f>IF(E17="Yes",AA17*Tab_Data_Flows[[#This Row],[E1_value]],"N.A.")</f>
        <v>743167.86176470597</v>
      </c>
      <c r="AC17" s="6" t="str">
        <f>Tab_Data_Flows[[#This Row],[E1_UoM]]</f>
        <v>Mg</v>
      </c>
      <c r="AD17" s="139">
        <f>_xlfn.XLOOKUP(Tab_Data_Flows[[#This Row],[Flow_Name]],Tab_Def_Flows[Flow_Name],Tab_Def_Flows[Flow_E4_Fraction'[%']],"N.A.",0,1)</f>
        <v>0</v>
      </c>
      <c r="AE17" s="6">
        <f>IF(G17="Yes",Tab_Data_Flows[[#This Row],[E4_Fraction'[%']]]*Tab_Data_Flows[[#This Row],[E1_value]],"N.A.")</f>
        <v>0</v>
      </c>
      <c r="AF17" s="6" t="str">
        <f>Tab_Data_Flows[[#This Row],[E1_UoM]]</f>
        <v>Mg</v>
      </c>
      <c r="AG17" s="139">
        <f>_xlfn.XLOOKUP(Tab_Data_Flows[[#This Row],[Flow_Name]],Tab_Def_Flows[Flow_Name],Tab_Def_Flows[Flow_E5_Fraction'[%']],"N.A.",0,1)</f>
        <v>0</v>
      </c>
      <c r="AH17" s="6" t="str">
        <f>IF(H17="Yes",Tab_Data_Flows[[#This Row],[E5_Fraction'[%']]]*Tab_Data_Flows[[#This Row],[E1_value]],"N.A.")</f>
        <v>N.A.</v>
      </c>
      <c r="AI17" s="6" t="str">
        <f>Tab_Data_Flows[[#This Row],[E1_UoM]]</f>
        <v>Mg</v>
      </c>
      <c r="AJ17" s="139">
        <f>_xlfn.XLOOKUP(Tab_Data_Flows[[#This Row],[Flow_Name]],Tab_Def_Flows[Flow_Name],Tab_Def_Flows[Flow_E6_Fraction'[%']],"N.A.",0,1)</f>
        <v>0</v>
      </c>
      <c r="AK17" s="6" t="str">
        <f>IF(Tab_Data_Flows[[#This Row],[Use_E6]]="Yes",Tab_Data_Flows[[#This Row],[E6_Fraction'[%']]]*Tab_Data_Flows[[#This Row],[E1_value]],"N.A.")</f>
        <v>N.A.</v>
      </c>
      <c r="AL17" s="6" t="str">
        <f>Tab_Data_Flows[[#This Row],[E1_UoM]]</f>
        <v>Mg</v>
      </c>
    </row>
    <row r="18" spans="1:38" x14ac:dyDescent="0.25">
      <c r="A18" s="8">
        <f t="shared" si="1"/>
        <v>17</v>
      </c>
      <c r="B18" s="6" t="str">
        <f>_xlfn.XLOOKUP(C18,Tab_Def_Flows[Flow_Name],Tab_Def_Flows[Flow_ID],,0,)</f>
        <v>F_01_02</v>
      </c>
      <c r="C18" s="138" t="s">
        <v>1234</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No</v>
      </c>
      <c r="I18" s="9" t="str">
        <f>_xlfn.XLOOKUP(C18,Tab_Def_Flows[Flow_Name],Tab_Def_Flows[Use_E6],,0,)</f>
        <v>No</v>
      </c>
      <c r="J18" s="188">
        <v>2041</v>
      </c>
      <c r="K18" s="189">
        <v>921603.65974509786</v>
      </c>
      <c r="L18" s="6" t="str">
        <f>'0_Configuration'!$C$41</f>
        <v>Mg</v>
      </c>
      <c r="M18" s="13" t="s">
        <v>1263</v>
      </c>
      <c r="N18" s="13">
        <v>2025</v>
      </c>
      <c r="O18" s="13" t="s">
        <v>1260</v>
      </c>
      <c r="P18" s="13" t="s">
        <v>1261</v>
      </c>
      <c r="Q18" s="13" t="s">
        <v>1279</v>
      </c>
      <c r="R18" s="7" t="s">
        <v>6</v>
      </c>
      <c r="S18" s="7"/>
      <c r="T18" s="7"/>
      <c r="U18" s="139">
        <f>_xlfn.XLOOKUP(Tab_Data_Flows[[#This Row],[Flow_Name]],Tab_Def_Flows[Flow_Name],Tab_Def_Flows[Flow_E1_Fraction'[%']],"N.A.",0,1)</f>
        <v>1</v>
      </c>
      <c r="V18" s="12">
        <f t="shared" si="0"/>
        <v>921603.65974509786</v>
      </c>
      <c r="W18" s="6" t="str">
        <f>Tab_Data_Flows[[#This Row],[UoM_Source]]</f>
        <v>Mg</v>
      </c>
      <c r="X18" s="139">
        <f>_xlfn.XLOOKUP(Tab_Data_Flows[[#This Row],[Flow_Name]],Tab_Def_Flows[Flow_Name],Tab_Def_Flows[Flow_E2_Fraction'[%']],"N.A.",0,1)</f>
        <v>0.22838499184339317</v>
      </c>
      <c r="Y18" s="6">
        <f>IF(D18="Yes",V18*Tab_Data_Flows[[#This Row],[E2_Fraction'[%']]],"N.A.")</f>
        <v>210480.44431372546</v>
      </c>
      <c r="Z18" s="6" t="str">
        <f>Tab_Data_Flows[[#This Row],[E1_UoM]]</f>
        <v>Mg</v>
      </c>
      <c r="AA18" s="139">
        <f>_xlfn.XLOOKUP(Tab_Data_Flows[[#This Row],[Flow_Name]],Tab_Def_Flows[Flow_Name],Tab_Def_Flows[Flow_E3_Fraction'[%']],"N.A.",0,1)</f>
        <v>0.77161500815660689</v>
      </c>
      <c r="AB18" s="6">
        <f>IF(E18="Yes",AA18*Tab_Data_Flows[[#This Row],[E1_value]],"N.A.")</f>
        <v>711123.2154313724</v>
      </c>
      <c r="AC18" s="6" t="str">
        <f>Tab_Data_Flows[[#This Row],[E1_UoM]]</f>
        <v>Mg</v>
      </c>
      <c r="AD18" s="139">
        <f>_xlfn.XLOOKUP(Tab_Data_Flows[[#This Row],[Flow_Name]],Tab_Def_Flows[Flow_Name],Tab_Def_Flows[Flow_E4_Fraction'[%']],"N.A.",0,1)</f>
        <v>0</v>
      </c>
      <c r="AE18" s="6">
        <f>IF(G18="Yes",Tab_Data_Flows[[#This Row],[E4_Fraction'[%']]]*Tab_Data_Flows[[#This Row],[E1_value]],"N.A.")</f>
        <v>0</v>
      </c>
      <c r="AF18" s="6" t="str">
        <f>Tab_Data_Flows[[#This Row],[E1_UoM]]</f>
        <v>Mg</v>
      </c>
      <c r="AG18" s="139">
        <f>_xlfn.XLOOKUP(Tab_Data_Flows[[#This Row],[Flow_Name]],Tab_Def_Flows[Flow_Name],Tab_Def_Flows[Flow_E5_Fraction'[%']],"N.A.",0,1)</f>
        <v>0</v>
      </c>
      <c r="AH18" s="6" t="str">
        <f>IF(H18="Yes",Tab_Data_Flows[[#This Row],[E5_Fraction'[%']]]*Tab_Data_Flows[[#This Row],[E1_value]],"N.A.")</f>
        <v>N.A.</v>
      </c>
      <c r="AI18" s="6" t="str">
        <f>Tab_Data_Flows[[#This Row],[E1_UoM]]</f>
        <v>Mg</v>
      </c>
      <c r="AJ18" s="139">
        <f>_xlfn.XLOOKUP(Tab_Data_Flows[[#This Row],[Flow_Name]],Tab_Def_Flows[Flow_Name],Tab_Def_Flows[Flow_E6_Fraction'[%']],"N.A.",0,1)</f>
        <v>0</v>
      </c>
      <c r="AK18" s="6" t="str">
        <f>IF(Tab_Data_Flows[[#This Row],[Use_E6]]="Yes",Tab_Data_Flows[[#This Row],[E6_Fraction'[%']]]*Tab_Data_Flows[[#This Row],[E1_value]],"N.A.")</f>
        <v>N.A.</v>
      </c>
      <c r="AL18" s="6" t="str">
        <f>Tab_Data_Flows[[#This Row],[E1_UoM]]</f>
        <v>Mg</v>
      </c>
    </row>
    <row r="19" spans="1:38" x14ac:dyDescent="0.25">
      <c r="A19" s="8">
        <f t="shared" si="1"/>
        <v>18</v>
      </c>
      <c r="B19" s="6" t="str">
        <f>_xlfn.XLOOKUP(C19,Tab_Def_Flows[Flow_Name],Tab_Def_Flows[Flow_ID],,0,)</f>
        <v>F_01_02</v>
      </c>
      <c r="C19" s="138" t="s">
        <v>1234</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No</v>
      </c>
      <c r="I19" s="9" t="str">
        <f>_xlfn.XLOOKUP(C19,Tab_Def_Flows[Flow_Name],Tab_Def_Flows[Use_E6],,0,)</f>
        <v>No</v>
      </c>
      <c r="J19" s="188">
        <v>2042</v>
      </c>
      <c r="K19" s="189">
        <v>896286.36309803929</v>
      </c>
      <c r="L19" s="6" t="str">
        <f>'0_Configuration'!$C$41</f>
        <v>Mg</v>
      </c>
      <c r="M19" s="13" t="s">
        <v>1263</v>
      </c>
      <c r="N19" s="13">
        <v>2025</v>
      </c>
      <c r="O19" s="13" t="s">
        <v>1260</v>
      </c>
      <c r="P19" s="13" t="s">
        <v>1261</v>
      </c>
      <c r="Q19" s="13" t="s">
        <v>1280</v>
      </c>
      <c r="R19" s="7" t="s">
        <v>6</v>
      </c>
      <c r="S19" s="7"/>
      <c r="T19" s="7"/>
      <c r="U19" s="139">
        <f>_xlfn.XLOOKUP(Tab_Data_Flows[[#This Row],[Flow_Name]],Tab_Def_Flows[Flow_Name],Tab_Def_Flows[Flow_E1_Fraction'[%']],"N.A.",0,1)</f>
        <v>1</v>
      </c>
      <c r="V19" s="12">
        <f t="shared" si="0"/>
        <v>896286.36309803929</v>
      </c>
      <c r="W19" s="6" t="str">
        <f>Tab_Data_Flows[[#This Row],[UoM_Source]]</f>
        <v>Mg</v>
      </c>
      <c r="X19" s="139">
        <f>_xlfn.XLOOKUP(Tab_Data_Flows[[#This Row],[Flow_Name]],Tab_Def_Flows[Flow_Name],Tab_Def_Flows[Flow_E2_Fraction'[%']],"N.A.",0,1)</f>
        <v>0.22838499184339317</v>
      </c>
      <c r="Y19" s="6">
        <f>IF(D19="Yes",V19*Tab_Data_Flows[[#This Row],[E2_Fraction'[%']]],"N.A.")</f>
        <v>204698.35372549022</v>
      </c>
      <c r="Z19" s="6" t="str">
        <f>Tab_Data_Flows[[#This Row],[E1_UoM]]</f>
        <v>Mg</v>
      </c>
      <c r="AA19" s="139">
        <f>_xlfn.XLOOKUP(Tab_Data_Flows[[#This Row],[Flow_Name]],Tab_Def_Flows[Flow_Name],Tab_Def_Flows[Flow_E3_Fraction'[%']],"N.A.",0,1)</f>
        <v>0.77161500815660689</v>
      </c>
      <c r="AB19" s="6">
        <f>IF(E19="Yes",AA19*Tab_Data_Flows[[#This Row],[E1_value]],"N.A.")</f>
        <v>691588.00937254913</v>
      </c>
      <c r="AC19" s="6" t="str">
        <f>Tab_Data_Flows[[#This Row],[E1_UoM]]</f>
        <v>Mg</v>
      </c>
      <c r="AD19" s="139">
        <f>_xlfn.XLOOKUP(Tab_Data_Flows[[#This Row],[Flow_Name]],Tab_Def_Flows[Flow_Name],Tab_Def_Flows[Flow_E4_Fraction'[%']],"N.A.",0,1)</f>
        <v>0</v>
      </c>
      <c r="AE19" s="6">
        <f>IF(G19="Yes",Tab_Data_Flows[[#This Row],[E4_Fraction'[%']]]*Tab_Data_Flows[[#This Row],[E1_value]],"N.A.")</f>
        <v>0</v>
      </c>
      <c r="AF19" s="6" t="str">
        <f>Tab_Data_Flows[[#This Row],[E1_UoM]]</f>
        <v>Mg</v>
      </c>
      <c r="AG19" s="139">
        <f>_xlfn.XLOOKUP(Tab_Data_Flows[[#This Row],[Flow_Name]],Tab_Def_Flows[Flow_Name],Tab_Def_Flows[Flow_E5_Fraction'[%']],"N.A.",0,1)</f>
        <v>0</v>
      </c>
      <c r="AH19" s="6" t="str">
        <f>IF(H19="Yes",Tab_Data_Flows[[#This Row],[E5_Fraction'[%']]]*Tab_Data_Flows[[#This Row],[E1_value]],"N.A.")</f>
        <v>N.A.</v>
      </c>
      <c r="AI19" s="6" t="str">
        <f>Tab_Data_Flows[[#This Row],[E1_UoM]]</f>
        <v>Mg</v>
      </c>
      <c r="AJ19" s="139">
        <f>_xlfn.XLOOKUP(Tab_Data_Flows[[#This Row],[Flow_Name]],Tab_Def_Flows[Flow_Name],Tab_Def_Flows[Flow_E6_Fraction'[%']],"N.A.",0,1)</f>
        <v>0</v>
      </c>
      <c r="AK19" s="6" t="str">
        <f>IF(Tab_Data_Flows[[#This Row],[Use_E6]]="Yes",Tab_Data_Flows[[#This Row],[E6_Fraction'[%']]]*Tab_Data_Flows[[#This Row],[E1_value]],"N.A.")</f>
        <v>N.A.</v>
      </c>
      <c r="AL19" s="6" t="str">
        <f>Tab_Data_Flows[[#This Row],[E1_UoM]]</f>
        <v>Mg</v>
      </c>
    </row>
    <row r="20" spans="1:38" x14ac:dyDescent="0.25">
      <c r="A20" s="8">
        <f t="shared" si="1"/>
        <v>19</v>
      </c>
      <c r="B20" s="6" t="str">
        <f>_xlfn.XLOOKUP(C20,Tab_Def_Flows[Flow_Name],Tab_Def_Flows[Flow_ID],,0,)</f>
        <v>F_01_02</v>
      </c>
      <c r="C20" s="138" t="s">
        <v>1234</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No</v>
      </c>
      <c r="I20" s="9" t="str">
        <f>_xlfn.XLOOKUP(C20,Tab_Def_Flows[Flow_Name],Tab_Def_Flows[Use_E6],,0,)</f>
        <v>No</v>
      </c>
      <c r="J20" s="188">
        <v>2043</v>
      </c>
      <c r="K20" s="189">
        <v>827121.7533921568</v>
      </c>
      <c r="L20" s="6" t="str">
        <f>'0_Configuration'!$C$41</f>
        <v>Mg</v>
      </c>
      <c r="M20" s="13" t="s">
        <v>1263</v>
      </c>
      <c r="N20" s="13">
        <v>2025</v>
      </c>
      <c r="O20" s="13" t="s">
        <v>1260</v>
      </c>
      <c r="P20" s="13" t="s">
        <v>1261</v>
      </c>
      <c r="Q20" s="13" t="s">
        <v>1281</v>
      </c>
      <c r="R20" s="7" t="s">
        <v>6</v>
      </c>
      <c r="S20" s="7"/>
      <c r="T20" s="7"/>
      <c r="U20" s="139">
        <f>_xlfn.XLOOKUP(Tab_Data_Flows[[#This Row],[Flow_Name]],Tab_Def_Flows[Flow_Name],Tab_Def_Flows[Flow_E1_Fraction'[%']],"N.A.",0,1)</f>
        <v>1</v>
      </c>
      <c r="V20" s="12">
        <f t="shared" si="0"/>
        <v>827121.7533921568</v>
      </c>
      <c r="W20" s="6" t="str">
        <f>Tab_Data_Flows[[#This Row],[UoM_Source]]</f>
        <v>Mg</v>
      </c>
      <c r="X20" s="139">
        <f>_xlfn.XLOOKUP(Tab_Data_Flows[[#This Row],[Flow_Name]],Tab_Def_Flows[Flow_Name],Tab_Def_Flows[Flow_E2_Fraction'[%']],"N.A.",0,1)</f>
        <v>0.22838499184339317</v>
      </c>
      <c r="Y20" s="6">
        <f>IF(D20="Yes",V20*Tab_Data_Flows[[#This Row],[E2_Fraction'[%']]],"N.A.")</f>
        <v>188902.19490196079</v>
      </c>
      <c r="Z20" s="6" t="str">
        <f>Tab_Data_Flows[[#This Row],[E1_UoM]]</f>
        <v>Mg</v>
      </c>
      <c r="AA20" s="139">
        <f>_xlfn.XLOOKUP(Tab_Data_Flows[[#This Row],[Flow_Name]],Tab_Def_Flows[Flow_Name],Tab_Def_Flows[Flow_E3_Fraction'[%']],"N.A.",0,1)</f>
        <v>0.77161500815660689</v>
      </c>
      <c r="AB20" s="6">
        <f>IF(E20="Yes",AA20*Tab_Data_Flows[[#This Row],[E1_value]],"N.A.")</f>
        <v>638219.55849019601</v>
      </c>
      <c r="AC20" s="6" t="str">
        <f>Tab_Data_Flows[[#This Row],[E1_UoM]]</f>
        <v>Mg</v>
      </c>
      <c r="AD20" s="139">
        <f>_xlfn.XLOOKUP(Tab_Data_Flows[[#This Row],[Flow_Name]],Tab_Def_Flows[Flow_Name],Tab_Def_Flows[Flow_E4_Fraction'[%']],"N.A.",0,1)</f>
        <v>0</v>
      </c>
      <c r="AE20" s="6">
        <f>IF(G20="Yes",Tab_Data_Flows[[#This Row],[E4_Fraction'[%']]]*Tab_Data_Flows[[#This Row],[E1_value]],"N.A.")</f>
        <v>0</v>
      </c>
      <c r="AF20" s="6" t="str">
        <f>Tab_Data_Flows[[#This Row],[E1_UoM]]</f>
        <v>Mg</v>
      </c>
      <c r="AG20" s="139">
        <f>_xlfn.XLOOKUP(Tab_Data_Flows[[#This Row],[Flow_Name]],Tab_Def_Flows[Flow_Name],Tab_Def_Flows[Flow_E5_Fraction'[%']],"N.A.",0,1)</f>
        <v>0</v>
      </c>
      <c r="AH20" s="6" t="str">
        <f>IF(H20="Yes",Tab_Data_Flows[[#This Row],[E5_Fraction'[%']]]*Tab_Data_Flows[[#This Row],[E1_value]],"N.A.")</f>
        <v>N.A.</v>
      </c>
      <c r="AI20" s="6" t="str">
        <f>Tab_Data_Flows[[#This Row],[E1_UoM]]</f>
        <v>Mg</v>
      </c>
      <c r="AJ20" s="139">
        <f>_xlfn.XLOOKUP(Tab_Data_Flows[[#This Row],[Flow_Name]],Tab_Def_Flows[Flow_Name],Tab_Def_Flows[Flow_E6_Fraction'[%']],"N.A.",0,1)</f>
        <v>0</v>
      </c>
      <c r="AK20" s="6" t="str">
        <f>IF(Tab_Data_Flows[[#This Row],[Use_E6]]="Yes",Tab_Data_Flows[[#This Row],[E6_Fraction'[%']]]*Tab_Data_Flows[[#This Row],[E1_value]],"N.A.")</f>
        <v>N.A.</v>
      </c>
      <c r="AL20" s="6" t="str">
        <f>Tab_Data_Flows[[#This Row],[E1_UoM]]</f>
        <v>Mg</v>
      </c>
    </row>
    <row r="21" spans="1:38" x14ac:dyDescent="0.25">
      <c r="A21" s="8">
        <f t="shared" si="1"/>
        <v>20</v>
      </c>
      <c r="B21" s="6" t="str">
        <f>_xlfn.XLOOKUP(C21,Tab_Def_Flows[Flow_Name],Tab_Def_Flows[Flow_ID],,0,)</f>
        <v>F_01_02</v>
      </c>
      <c r="C21" s="138" t="s">
        <v>1234</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No</v>
      </c>
      <c r="I21" s="9" t="str">
        <f>_xlfn.XLOOKUP(C21,Tab_Def_Flows[Flow_Name],Tab_Def_Flows[Use_E6],,0,)</f>
        <v>No</v>
      </c>
      <c r="J21" s="188">
        <v>2044</v>
      </c>
      <c r="K21" s="189">
        <v>843207.6787058824</v>
      </c>
      <c r="L21" s="6" t="str">
        <f>'0_Configuration'!$C$41</f>
        <v>Mg</v>
      </c>
      <c r="M21" s="13" t="s">
        <v>1263</v>
      </c>
      <c r="N21" s="13">
        <v>2025</v>
      </c>
      <c r="O21" s="13" t="s">
        <v>1260</v>
      </c>
      <c r="P21" s="13" t="s">
        <v>1261</v>
      </c>
      <c r="Q21" s="13" t="s">
        <v>1282</v>
      </c>
      <c r="R21" s="7" t="s">
        <v>6</v>
      </c>
      <c r="S21" s="7"/>
      <c r="T21" s="7"/>
      <c r="U21" s="139">
        <f>_xlfn.XLOOKUP(Tab_Data_Flows[[#This Row],[Flow_Name]],Tab_Def_Flows[Flow_Name],Tab_Def_Flows[Flow_E1_Fraction'[%']],"N.A.",0,1)</f>
        <v>1</v>
      </c>
      <c r="V21" s="12">
        <f t="shared" si="0"/>
        <v>843207.6787058824</v>
      </c>
      <c r="W21" s="6" t="str">
        <f>Tab_Data_Flows[[#This Row],[UoM_Source]]</f>
        <v>Mg</v>
      </c>
      <c r="X21" s="139">
        <f>_xlfn.XLOOKUP(Tab_Data_Flows[[#This Row],[Flow_Name]],Tab_Def_Flows[Flow_Name],Tab_Def_Flows[Flow_E2_Fraction'[%']],"N.A.",0,1)</f>
        <v>0.22838499184339317</v>
      </c>
      <c r="Y21" s="6">
        <f>IF(D21="Yes",V21*Tab_Data_Flows[[#This Row],[E2_Fraction'[%']]],"N.A.")</f>
        <v>192575.97882352944</v>
      </c>
      <c r="Z21" s="6" t="str">
        <f>Tab_Data_Flows[[#This Row],[E1_UoM]]</f>
        <v>Mg</v>
      </c>
      <c r="AA21" s="139">
        <f>_xlfn.XLOOKUP(Tab_Data_Flows[[#This Row],[Flow_Name]],Tab_Def_Flows[Flow_Name],Tab_Def_Flows[Flow_E3_Fraction'[%']],"N.A.",0,1)</f>
        <v>0.77161500815660689</v>
      </c>
      <c r="AB21" s="6">
        <f>IF(E21="Yes",AA21*Tab_Data_Flows[[#This Row],[E1_value]],"N.A.")</f>
        <v>650631.69988235296</v>
      </c>
      <c r="AC21" s="6" t="str">
        <f>Tab_Data_Flows[[#This Row],[E1_UoM]]</f>
        <v>Mg</v>
      </c>
      <c r="AD21" s="139">
        <f>_xlfn.XLOOKUP(Tab_Data_Flows[[#This Row],[Flow_Name]],Tab_Def_Flows[Flow_Name],Tab_Def_Flows[Flow_E4_Fraction'[%']],"N.A.",0,1)</f>
        <v>0</v>
      </c>
      <c r="AE21" s="6">
        <f>IF(G21="Yes",Tab_Data_Flows[[#This Row],[E4_Fraction'[%']]]*Tab_Data_Flows[[#This Row],[E1_value]],"N.A.")</f>
        <v>0</v>
      </c>
      <c r="AF21" s="6" t="str">
        <f>Tab_Data_Flows[[#This Row],[E1_UoM]]</f>
        <v>Mg</v>
      </c>
      <c r="AG21" s="139">
        <f>_xlfn.XLOOKUP(Tab_Data_Flows[[#This Row],[Flow_Name]],Tab_Def_Flows[Flow_Name],Tab_Def_Flows[Flow_E5_Fraction'[%']],"N.A.",0,1)</f>
        <v>0</v>
      </c>
      <c r="AH21" s="6" t="str">
        <f>IF(H21="Yes",Tab_Data_Flows[[#This Row],[E5_Fraction'[%']]]*Tab_Data_Flows[[#This Row],[E1_value]],"N.A.")</f>
        <v>N.A.</v>
      </c>
      <c r="AI21" s="6" t="str">
        <f>Tab_Data_Flows[[#This Row],[E1_UoM]]</f>
        <v>Mg</v>
      </c>
      <c r="AJ21" s="139">
        <f>_xlfn.XLOOKUP(Tab_Data_Flows[[#This Row],[Flow_Name]],Tab_Def_Flows[Flow_Name],Tab_Def_Flows[Flow_E6_Fraction'[%']],"N.A.",0,1)</f>
        <v>0</v>
      </c>
      <c r="AK21" s="6" t="str">
        <f>IF(Tab_Data_Flows[[#This Row],[Use_E6]]="Yes",Tab_Data_Flows[[#This Row],[E6_Fraction'[%']]]*Tab_Data_Flows[[#This Row],[E1_value]],"N.A.")</f>
        <v>N.A.</v>
      </c>
      <c r="AL21" s="6" t="str">
        <f>Tab_Data_Flows[[#This Row],[E1_UoM]]</f>
        <v>Mg</v>
      </c>
    </row>
    <row r="22" spans="1:38" x14ac:dyDescent="0.25">
      <c r="A22" s="8">
        <f t="shared" si="1"/>
        <v>21</v>
      </c>
      <c r="B22" s="6" t="str">
        <f>_xlfn.XLOOKUP(C22,Tab_Def_Flows[Flow_Name],Tab_Def_Flows[Flow_ID],,0,)</f>
        <v>F_01_02</v>
      </c>
      <c r="C22" s="138" t="s">
        <v>1234</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No</v>
      </c>
      <c r="I22" s="9" t="str">
        <f>_xlfn.XLOOKUP(C22,Tab_Def_Flows[Flow_Name],Tab_Def_Flows[Use_E6],,0,)</f>
        <v>No</v>
      </c>
      <c r="J22" s="188">
        <v>2045</v>
      </c>
      <c r="K22" s="189">
        <v>927875.46707843139</v>
      </c>
      <c r="L22" s="6" t="str">
        <f>'0_Configuration'!$C$41</f>
        <v>Mg</v>
      </c>
      <c r="M22" s="13" t="s">
        <v>1263</v>
      </c>
      <c r="N22" s="13">
        <v>2025</v>
      </c>
      <c r="O22" s="13" t="s">
        <v>1260</v>
      </c>
      <c r="P22" s="13" t="s">
        <v>1261</v>
      </c>
      <c r="Q22" s="13" t="s">
        <v>1283</v>
      </c>
      <c r="R22" s="7" t="s">
        <v>6</v>
      </c>
      <c r="S22" s="7"/>
      <c r="T22" s="7"/>
      <c r="U22" s="139">
        <f>_xlfn.XLOOKUP(Tab_Data_Flows[[#This Row],[Flow_Name]],Tab_Def_Flows[Flow_Name],Tab_Def_Flows[Flow_E1_Fraction'[%']],"N.A.",0,1)</f>
        <v>1</v>
      </c>
      <c r="V22" s="12">
        <f t="shared" si="0"/>
        <v>927875.46707843139</v>
      </c>
      <c r="W22" s="6" t="str">
        <f>Tab_Data_Flows[[#This Row],[UoM_Source]]</f>
        <v>Mg</v>
      </c>
      <c r="X22" s="139">
        <f>_xlfn.XLOOKUP(Tab_Data_Flows[[#This Row],[Flow_Name]],Tab_Def_Flows[Flow_Name],Tab_Def_Flows[Flow_E2_Fraction'[%']],"N.A.",0,1)</f>
        <v>0.22838499184339317</v>
      </c>
      <c r="Y22" s="6">
        <f>IF(D22="Yes",V22*Tab_Data_Flows[[#This Row],[E2_Fraction'[%']]],"N.A.")</f>
        <v>211912.83098039217</v>
      </c>
      <c r="Z22" s="6" t="str">
        <f>Tab_Data_Flows[[#This Row],[E1_UoM]]</f>
        <v>Mg</v>
      </c>
      <c r="AA22" s="139">
        <f>_xlfn.XLOOKUP(Tab_Data_Flows[[#This Row],[Flow_Name]],Tab_Def_Flows[Flow_Name],Tab_Def_Flows[Flow_E3_Fraction'[%']],"N.A.",0,1)</f>
        <v>0.77161500815660689</v>
      </c>
      <c r="AB22" s="6">
        <f>IF(E22="Yes",AA22*Tab_Data_Flows[[#This Row],[E1_value]],"N.A.")</f>
        <v>715962.63609803922</v>
      </c>
      <c r="AC22" s="6" t="str">
        <f>Tab_Data_Flows[[#This Row],[E1_UoM]]</f>
        <v>Mg</v>
      </c>
      <c r="AD22" s="139">
        <f>_xlfn.XLOOKUP(Tab_Data_Flows[[#This Row],[Flow_Name]],Tab_Def_Flows[Flow_Name],Tab_Def_Flows[Flow_E4_Fraction'[%']],"N.A.",0,1)</f>
        <v>0</v>
      </c>
      <c r="AE22" s="6">
        <f>IF(G22="Yes",Tab_Data_Flows[[#This Row],[E4_Fraction'[%']]]*Tab_Data_Flows[[#This Row],[E1_value]],"N.A.")</f>
        <v>0</v>
      </c>
      <c r="AF22" s="6" t="str">
        <f>Tab_Data_Flows[[#This Row],[E1_UoM]]</f>
        <v>Mg</v>
      </c>
      <c r="AG22" s="139">
        <f>_xlfn.XLOOKUP(Tab_Data_Flows[[#This Row],[Flow_Name]],Tab_Def_Flows[Flow_Name],Tab_Def_Flows[Flow_E5_Fraction'[%']],"N.A.",0,1)</f>
        <v>0</v>
      </c>
      <c r="AH22" s="6" t="str">
        <f>IF(H22="Yes",Tab_Data_Flows[[#This Row],[E5_Fraction'[%']]]*Tab_Data_Flows[[#This Row],[E1_value]],"N.A.")</f>
        <v>N.A.</v>
      </c>
      <c r="AI22" s="6" t="str">
        <f>Tab_Data_Flows[[#This Row],[E1_UoM]]</f>
        <v>Mg</v>
      </c>
      <c r="AJ22" s="139">
        <f>_xlfn.XLOOKUP(Tab_Data_Flows[[#This Row],[Flow_Name]],Tab_Def_Flows[Flow_Name],Tab_Def_Flows[Flow_E6_Fraction'[%']],"N.A.",0,1)</f>
        <v>0</v>
      </c>
      <c r="AK22" s="6" t="str">
        <f>IF(Tab_Data_Flows[[#This Row],[Use_E6]]="Yes",Tab_Data_Flows[[#This Row],[E6_Fraction'[%']]]*Tab_Data_Flows[[#This Row],[E1_value]],"N.A.")</f>
        <v>N.A.</v>
      </c>
      <c r="AL22" s="6" t="str">
        <f>Tab_Data_Flows[[#This Row],[E1_UoM]]</f>
        <v>Mg</v>
      </c>
    </row>
    <row r="23" spans="1:38" x14ac:dyDescent="0.25">
      <c r="A23" s="8">
        <f t="shared" si="1"/>
        <v>22</v>
      </c>
      <c r="B23" s="6" t="str">
        <f>_xlfn.XLOOKUP(C23,Tab_Def_Flows[Flow_Name],Tab_Def_Flows[Flow_ID],,0,)</f>
        <v>F_01_02</v>
      </c>
      <c r="C23" s="138" t="s">
        <v>1234</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No</v>
      </c>
      <c r="I23" s="9" t="str">
        <f>_xlfn.XLOOKUP(C23,Tab_Def_Flows[Flow_Name],Tab_Def_Flows[Use_E6],,0,)</f>
        <v>No</v>
      </c>
      <c r="J23" s="188">
        <v>2046</v>
      </c>
      <c r="K23" s="189">
        <v>947364.26356862742</v>
      </c>
      <c r="L23" s="6" t="str">
        <f>'0_Configuration'!$C$41</f>
        <v>Mg</v>
      </c>
      <c r="M23" s="13" t="s">
        <v>1263</v>
      </c>
      <c r="N23" s="13">
        <v>2025</v>
      </c>
      <c r="O23" s="13" t="s">
        <v>1260</v>
      </c>
      <c r="P23" s="13" t="s">
        <v>1261</v>
      </c>
      <c r="Q23" s="13" t="s">
        <v>1284</v>
      </c>
      <c r="R23" s="7" t="s">
        <v>6</v>
      </c>
      <c r="S23" s="7"/>
      <c r="T23" s="7"/>
      <c r="U23" s="139">
        <f>_xlfn.XLOOKUP(Tab_Data_Flows[[#This Row],[Flow_Name]],Tab_Def_Flows[Flow_Name],Tab_Def_Flows[Flow_E1_Fraction'[%']],"N.A.",0,1)</f>
        <v>1</v>
      </c>
      <c r="V23" s="12">
        <f t="shared" si="0"/>
        <v>947364.26356862742</v>
      </c>
      <c r="W23" s="6" t="str">
        <f>Tab_Data_Flows[[#This Row],[UoM_Source]]</f>
        <v>Mg</v>
      </c>
      <c r="X23" s="139">
        <f>_xlfn.XLOOKUP(Tab_Data_Flows[[#This Row],[Flow_Name]],Tab_Def_Flows[Flow_Name],Tab_Def_Flows[Flow_E2_Fraction'[%']],"N.A.",0,1)</f>
        <v>0.22838499184339317</v>
      </c>
      <c r="Y23" s="6">
        <f>IF(D23="Yes",V23*Tab_Data_Flows[[#This Row],[E2_Fraction'[%']]],"N.A.")</f>
        <v>216363.77960784314</v>
      </c>
      <c r="Z23" s="6" t="str">
        <f>Tab_Data_Flows[[#This Row],[E1_UoM]]</f>
        <v>Mg</v>
      </c>
      <c r="AA23" s="139">
        <f>_xlfn.XLOOKUP(Tab_Data_Flows[[#This Row],[Flow_Name]],Tab_Def_Flows[Flow_Name],Tab_Def_Flows[Flow_E3_Fraction'[%']],"N.A.",0,1)</f>
        <v>0.77161500815660689</v>
      </c>
      <c r="AB23" s="6">
        <f>IF(E23="Yes",AA23*Tab_Data_Flows[[#This Row],[E1_value]],"N.A.")</f>
        <v>731000.48396078427</v>
      </c>
      <c r="AC23" s="6" t="str">
        <f>Tab_Data_Flows[[#This Row],[E1_UoM]]</f>
        <v>Mg</v>
      </c>
      <c r="AD23" s="139">
        <f>_xlfn.XLOOKUP(Tab_Data_Flows[[#This Row],[Flow_Name]],Tab_Def_Flows[Flow_Name],Tab_Def_Flows[Flow_E4_Fraction'[%']],"N.A.",0,1)</f>
        <v>0</v>
      </c>
      <c r="AE23" s="6">
        <f>IF(G23="Yes",Tab_Data_Flows[[#This Row],[E4_Fraction'[%']]]*Tab_Data_Flows[[#This Row],[E1_value]],"N.A.")</f>
        <v>0</v>
      </c>
      <c r="AF23" s="6" t="str">
        <f>Tab_Data_Flows[[#This Row],[E1_UoM]]</f>
        <v>Mg</v>
      </c>
      <c r="AG23" s="139">
        <f>_xlfn.XLOOKUP(Tab_Data_Flows[[#This Row],[Flow_Name]],Tab_Def_Flows[Flow_Name],Tab_Def_Flows[Flow_E5_Fraction'[%']],"N.A.",0,1)</f>
        <v>0</v>
      </c>
      <c r="AH23" s="6" t="str">
        <f>IF(H23="Yes",Tab_Data_Flows[[#This Row],[E5_Fraction'[%']]]*Tab_Data_Flows[[#This Row],[E1_value]],"N.A.")</f>
        <v>N.A.</v>
      </c>
      <c r="AI23" s="6" t="str">
        <f>Tab_Data_Flows[[#This Row],[E1_UoM]]</f>
        <v>Mg</v>
      </c>
      <c r="AJ23" s="139">
        <f>_xlfn.XLOOKUP(Tab_Data_Flows[[#This Row],[Flow_Name]],Tab_Def_Flows[Flow_Name],Tab_Def_Flows[Flow_E6_Fraction'[%']],"N.A.",0,1)</f>
        <v>0</v>
      </c>
      <c r="AK23" s="6" t="str">
        <f>IF(Tab_Data_Flows[[#This Row],[Use_E6]]="Yes",Tab_Data_Flows[[#This Row],[E6_Fraction'[%']]]*Tab_Data_Flows[[#This Row],[E1_value]],"N.A.")</f>
        <v>N.A.</v>
      </c>
      <c r="AL23" s="6" t="str">
        <f>Tab_Data_Flows[[#This Row],[E1_UoM]]</f>
        <v>Mg</v>
      </c>
    </row>
    <row r="24" spans="1:38" x14ac:dyDescent="0.25">
      <c r="A24" s="8">
        <f t="shared" si="1"/>
        <v>23</v>
      </c>
      <c r="B24" s="6" t="str">
        <f>_xlfn.XLOOKUP(C24,Tab_Def_Flows[Flow_Name],Tab_Def_Flows[Flow_ID],,0,)</f>
        <v>F_01_02</v>
      </c>
      <c r="C24" s="138" t="s">
        <v>1234</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No</v>
      </c>
      <c r="I24" s="9" t="str">
        <f>_xlfn.XLOOKUP(C24,Tab_Def_Flows[Flow_Name],Tab_Def_Flows[Use_E6],,0,)</f>
        <v>No</v>
      </c>
      <c r="J24" s="188">
        <v>2047</v>
      </c>
      <c r="K24" s="189">
        <v>857484.25639215682</v>
      </c>
      <c r="L24" s="6" t="str">
        <f>'0_Configuration'!$C$41</f>
        <v>Mg</v>
      </c>
      <c r="M24" s="13" t="s">
        <v>1263</v>
      </c>
      <c r="N24" s="13">
        <v>2025</v>
      </c>
      <c r="O24" s="13" t="s">
        <v>1260</v>
      </c>
      <c r="P24" s="13" t="s">
        <v>1261</v>
      </c>
      <c r="Q24" s="13" t="s">
        <v>1285</v>
      </c>
      <c r="R24" s="7" t="s">
        <v>6</v>
      </c>
      <c r="S24" s="7"/>
      <c r="T24" s="7"/>
      <c r="U24" s="139">
        <f>_xlfn.XLOOKUP(Tab_Data_Flows[[#This Row],[Flow_Name]],Tab_Def_Flows[Flow_Name],Tab_Def_Flows[Flow_E1_Fraction'[%']],"N.A.",0,1)</f>
        <v>1</v>
      </c>
      <c r="V24" s="12">
        <f t="shared" si="0"/>
        <v>857484.25639215682</v>
      </c>
      <c r="W24" s="6" t="str">
        <f>Tab_Data_Flows[[#This Row],[UoM_Source]]</f>
        <v>Mg</v>
      </c>
      <c r="X24" s="139">
        <f>_xlfn.XLOOKUP(Tab_Data_Flows[[#This Row],[Flow_Name]],Tab_Def_Flows[Flow_Name],Tab_Def_Flows[Flow_E2_Fraction'[%']],"N.A.",0,1)</f>
        <v>0.22838499184339317</v>
      </c>
      <c r="Y24" s="6">
        <f>IF(D24="Yes",V24*Tab_Data_Flows[[#This Row],[E2_Fraction'[%']]],"N.A.")</f>
        <v>195836.53490196078</v>
      </c>
      <c r="Z24" s="6" t="str">
        <f>Tab_Data_Flows[[#This Row],[E1_UoM]]</f>
        <v>Mg</v>
      </c>
      <c r="AA24" s="139">
        <f>_xlfn.XLOOKUP(Tab_Data_Flows[[#This Row],[Flow_Name]],Tab_Def_Flows[Flow_Name],Tab_Def_Flows[Flow_E3_Fraction'[%']],"N.A.",0,1)</f>
        <v>0.77161500815660689</v>
      </c>
      <c r="AB24" s="6">
        <f>IF(E24="Yes",AA24*Tab_Data_Flows[[#This Row],[E1_value]],"N.A.")</f>
        <v>661647.72149019607</v>
      </c>
      <c r="AC24" s="6" t="str">
        <f>Tab_Data_Flows[[#This Row],[E1_UoM]]</f>
        <v>Mg</v>
      </c>
      <c r="AD24" s="139">
        <f>_xlfn.XLOOKUP(Tab_Data_Flows[[#This Row],[Flow_Name]],Tab_Def_Flows[Flow_Name],Tab_Def_Flows[Flow_E4_Fraction'[%']],"N.A.",0,1)</f>
        <v>0</v>
      </c>
      <c r="AE24" s="6">
        <f>IF(G24="Yes",Tab_Data_Flows[[#This Row],[E4_Fraction'[%']]]*Tab_Data_Flows[[#This Row],[E1_value]],"N.A.")</f>
        <v>0</v>
      </c>
      <c r="AF24" s="6" t="str">
        <f>Tab_Data_Flows[[#This Row],[E1_UoM]]</f>
        <v>Mg</v>
      </c>
      <c r="AG24" s="139">
        <f>_xlfn.XLOOKUP(Tab_Data_Flows[[#This Row],[Flow_Name]],Tab_Def_Flows[Flow_Name],Tab_Def_Flows[Flow_E5_Fraction'[%']],"N.A.",0,1)</f>
        <v>0</v>
      </c>
      <c r="AH24" s="6" t="str">
        <f>IF(H24="Yes",Tab_Data_Flows[[#This Row],[E5_Fraction'[%']]]*Tab_Data_Flows[[#This Row],[E1_value]],"N.A.")</f>
        <v>N.A.</v>
      </c>
      <c r="AI24" s="6" t="str">
        <f>Tab_Data_Flows[[#This Row],[E1_UoM]]</f>
        <v>Mg</v>
      </c>
      <c r="AJ24" s="139">
        <f>_xlfn.XLOOKUP(Tab_Data_Flows[[#This Row],[Flow_Name]],Tab_Def_Flows[Flow_Name],Tab_Def_Flows[Flow_E6_Fraction'[%']],"N.A.",0,1)</f>
        <v>0</v>
      </c>
      <c r="AK24" s="6" t="str">
        <f>IF(Tab_Data_Flows[[#This Row],[Use_E6]]="Yes",Tab_Data_Flows[[#This Row],[E6_Fraction'[%']]]*Tab_Data_Flows[[#This Row],[E1_value]],"N.A.")</f>
        <v>N.A.</v>
      </c>
      <c r="AL24" s="6" t="str">
        <f>Tab_Data_Flows[[#This Row],[E1_UoM]]</f>
        <v>Mg</v>
      </c>
    </row>
    <row r="25" spans="1:38" x14ac:dyDescent="0.25">
      <c r="A25" s="8">
        <f t="shared" si="1"/>
        <v>24</v>
      </c>
      <c r="B25" s="6" t="str">
        <f>_xlfn.XLOOKUP(C25,Tab_Def_Flows[Flow_Name],Tab_Def_Flows[Flow_ID],,0,)</f>
        <v>F_01_02</v>
      </c>
      <c r="C25" s="138" t="s">
        <v>1234</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No</v>
      </c>
      <c r="I25" s="9" t="str">
        <f>_xlfn.XLOOKUP(C25,Tab_Def_Flows[Flow_Name],Tab_Def_Flows[Use_E6],,0,)</f>
        <v>No</v>
      </c>
      <c r="J25" s="188">
        <v>2048</v>
      </c>
      <c r="K25" s="189">
        <v>946937.12276470603</v>
      </c>
      <c r="L25" s="6" t="str">
        <f>'0_Configuration'!$C$41</f>
        <v>Mg</v>
      </c>
      <c r="M25" s="13" t="s">
        <v>1263</v>
      </c>
      <c r="N25" s="13">
        <v>2025</v>
      </c>
      <c r="O25" s="13" t="s">
        <v>1260</v>
      </c>
      <c r="P25" s="13" t="s">
        <v>1261</v>
      </c>
      <c r="Q25" s="13" t="s">
        <v>1286</v>
      </c>
      <c r="R25" s="7" t="s">
        <v>6</v>
      </c>
      <c r="S25" s="7"/>
      <c r="T25" s="7"/>
      <c r="U25" s="139">
        <f>_xlfn.XLOOKUP(Tab_Data_Flows[[#This Row],[Flow_Name]],Tab_Def_Flows[Flow_Name],Tab_Def_Flows[Flow_E1_Fraction'[%']],"N.A.",0,1)</f>
        <v>1</v>
      </c>
      <c r="V25" s="12">
        <f t="shared" si="0"/>
        <v>946937.12276470603</v>
      </c>
      <c r="W25" s="6" t="str">
        <f>Tab_Data_Flows[[#This Row],[UoM_Source]]</f>
        <v>Mg</v>
      </c>
      <c r="X25" s="139">
        <f>_xlfn.XLOOKUP(Tab_Data_Flows[[#This Row],[Flow_Name]],Tab_Def_Flows[Flow_Name],Tab_Def_Flows[Flow_E2_Fraction'[%']],"N.A.",0,1)</f>
        <v>0.22838499184339317</v>
      </c>
      <c r="Y25" s="6">
        <f>IF(D25="Yes",V25*Tab_Data_Flows[[#This Row],[E2_Fraction'[%']]],"N.A.")</f>
        <v>216266.22705882357</v>
      </c>
      <c r="Z25" s="6" t="str">
        <f>Tab_Data_Flows[[#This Row],[E1_UoM]]</f>
        <v>Mg</v>
      </c>
      <c r="AA25" s="139">
        <f>_xlfn.XLOOKUP(Tab_Data_Flows[[#This Row],[Flow_Name]],Tab_Def_Flows[Flow_Name],Tab_Def_Flows[Flow_E3_Fraction'[%']],"N.A.",0,1)</f>
        <v>0.77161500815660689</v>
      </c>
      <c r="AB25" s="6">
        <f>IF(E25="Yes",AA25*Tab_Data_Flows[[#This Row],[E1_value]],"N.A.")</f>
        <v>730670.89570588246</v>
      </c>
      <c r="AC25" s="6" t="str">
        <f>Tab_Data_Flows[[#This Row],[E1_UoM]]</f>
        <v>Mg</v>
      </c>
      <c r="AD25" s="139">
        <f>_xlfn.XLOOKUP(Tab_Data_Flows[[#This Row],[Flow_Name]],Tab_Def_Flows[Flow_Name],Tab_Def_Flows[Flow_E4_Fraction'[%']],"N.A.",0,1)</f>
        <v>0</v>
      </c>
      <c r="AE25" s="6">
        <f>IF(G25="Yes",Tab_Data_Flows[[#This Row],[E4_Fraction'[%']]]*Tab_Data_Flows[[#This Row],[E1_value]],"N.A.")</f>
        <v>0</v>
      </c>
      <c r="AF25" s="6" t="str">
        <f>Tab_Data_Flows[[#This Row],[E1_UoM]]</f>
        <v>Mg</v>
      </c>
      <c r="AG25" s="139">
        <f>_xlfn.XLOOKUP(Tab_Data_Flows[[#This Row],[Flow_Name]],Tab_Def_Flows[Flow_Name],Tab_Def_Flows[Flow_E5_Fraction'[%']],"N.A.",0,1)</f>
        <v>0</v>
      </c>
      <c r="AH25" s="6" t="str">
        <f>IF(H25="Yes",Tab_Data_Flows[[#This Row],[E5_Fraction'[%']]]*Tab_Data_Flows[[#This Row],[E1_value]],"N.A.")</f>
        <v>N.A.</v>
      </c>
      <c r="AI25" s="6" t="str">
        <f>Tab_Data_Flows[[#This Row],[E1_UoM]]</f>
        <v>Mg</v>
      </c>
      <c r="AJ25" s="139">
        <f>_xlfn.XLOOKUP(Tab_Data_Flows[[#This Row],[Flow_Name]],Tab_Def_Flows[Flow_Name],Tab_Def_Flows[Flow_E6_Fraction'[%']],"N.A.",0,1)</f>
        <v>0</v>
      </c>
      <c r="AK25" s="6" t="str">
        <f>IF(Tab_Data_Flows[[#This Row],[Use_E6]]="Yes",Tab_Data_Flows[[#This Row],[E6_Fraction'[%']]]*Tab_Data_Flows[[#This Row],[E1_value]],"N.A.")</f>
        <v>N.A.</v>
      </c>
      <c r="AL25" s="6" t="str">
        <f>Tab_Data_Flows[[#This Row],[E1_UoM]]</f>
        <v>Mg</v>
      </c>
    </row>
    <row r="26" spans="1:38" x14ac:dyDescent="0.25">
      <c r="A26" s="8">
        <f t="shared" si="1"/>
        <v>25</v>
      </c>
      <c r="B26" s="6" t="str">
        <f>_xlfn.XLOOKUP(C26,Tab_Def_Flows[Flow_Name],Tab_Def_Flows[Flow_ID],,0,)</f>
        <v>F_01_02</v>
      </c>
      <c r="C26" s="138" t="s">
        <v>1234</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No</v>
      </c>
      <c r="I26" s="9" t="str">
        <f>_xlfn.XLOOKUP(C26,Tab_Def_Flows[Flow_Name],Tab_Def_Flows[Use_E6],,0,)</f>
        <v>No</v>
      </c>
      <c r="J26" s="188">
        <v>2049</v>
      </c>
      <c r="K26" s="189">
        <v>792051.56664705882</v>
      </c>
      <c r="L26" s="6" t="str">
        <f>'0_Configuration'!$C$41</f>
        <v>Mg</v>
      </c>
      <c r="M26" s="13" t="s">
        <v>1263</v>
      </c>
      <c r="N26" s="13">
        <v>2025</v>
      </c>
      <c r="O26" s="13" t="s">
        <v>1260</v>
      </c>
      <c r="P26" s="13" t="s">
        <v>1261</v>
      </c>
      <c r="Q26" s="13" t="s">
        <v>1287</v>
      </c>
      <c r="R26" s="7" t="s">
        <v>6</v>
      </c>
      <c r="S26" s="7"/>
      <c r="T26" s="7"/>
      <c r="U26" s="139">
        <f>_xlfn.XLOOKUP(Tab_Data_Flows[[#This Row],[Flow_Name]],Tab_Def_Flows[Flow_Name],Tab_Def_Flows[Flow_E1_Fraction'[%']],"N.A.",0,1)</f>
        <v>1</v>
      </c>
      <c r="V26" s="12">
        <f t="shared" si="0"/>
        <v>792051.56664705882</v>
      </c>
      <c r="W26" s="6" t="str">
        <f>Tab_Data_Flows[[#This Row],[UoM_Source]]</f>
        <v>Mg</v>
      </c>
      <c r="X26" s="139">
        <f>_xlfn.XLOOKUP(Tab_Data_Flows[[#This Row],[Flow_Name]],Tab_Def_Flows[Flow_Name],Tab_Def_Flows[Flow_E2_Fraction'[%']],"N.A.",0,1)</f>
        <v>0.22838499184339317</v>
      </c>
      <c r="Y26" s="6">
        <f>IF(D26="Yes",V26*Tab_Data_Flows[[#This Row],[E2_Fraction'[%']]],"N.A.")</f>
        <v>180892.6905882353</v>
      </c>
      <c r="Z26" s="6" t="str">
        <f>Tab_Data_Flows[[#This Row],[E1_UoM]]</f>
        <v>Mg</v>
      </c>
      <c r="AA26" s="139">
        <f>_xlfn.XLOOKUP(Tab_Data_Flows[[#This Row],[Flow_Name]],Tab_Def_Flows[Flow_Name],Tab_Def_Flows[Flow_E3_Fraction'[%']],"N.A.",0,1)</f>
        <v>0.77161500815660689</v>
      </c>
      <c r="AB26" s="6">
        <f>IF(E26="Yes",AA26*Tab_Data_Flows[[#This Row],[E1_value]],"N.A.")</f>
        <v>611158.87605882355</v>
      </c>
      <c r="AC26" s="6" t="str">
        <f>Tab_Data_Flows[[#This Row],[E1_UoM]]</f>
        <v>Mg</v>
      </c>
      <c r="AD26" s="139">
        <f>_xlfn.XLOOKUP(Tab_Data_Flows[[#This Row],[Flow_Name]],Tab_Def_Flows[Flow_Name],Tab_Def_Flows[Flow_E4_Fraction'[%']],"N.A.",0,1)</f>
        <v>0</v>
      </c>
      <c r="AE26" s="6">
        <f>IF(G26="Yes",Tab_Data_Flows[[#This Row],[E4_Fraction'[%']]]*Tab_Data_Flows[[#This Row],[E1_value]],"N.A.")</f>
        <v>0</v>
      </c>
      <c r="AF26" s="6" t="str">
        <f>Tab_Data_Flows[[#This Row],[E1_UoM]]</f>
        <v>Mg</v>
      </c>
      <c r="AG26" s="139">
        <f>_xlfn.XLOOKUP(Tab_Data_Flows[[#This Row],[Flow_Name]],Tab_Def_Flows[Flow_Name],Tab_Def_Flows[Flow_E5_Fraction'[%']],"N.A.",0,1)</f>
        <v>0</v>
      </c>
      <c r="AH26" s="6" t="str">
        <f>IF(H26="Yes",Tab_Data_Flows[[#This Row],[E5_Fraction'[%']]]*Tab_Data_Flows[[#This Row],[E1_value]],"N.A.")</f>
        <v>N.A.</v>
      </c>
      <c r="AI26" s="6" t="str">
        <f>Tab_Data_Flows[[#This Row],[E1_UoM]]</f>
        <v>Mg</v>
      </c>
      <c r="AJ26" s="139">
        <f>_xlfn.XLOOKUP(Tab_Data_Flows[[#This Row],[Flow_Name]],Tab_Def_Flows[Flow_Name],Tab_Def_Flows[Flow_E6_Fraction'[%']],"N.A.",0,1)</f>
        <v>0</v>
      </c>
      <c r="AK26" s="6" t="str">
        <f>IF(Tab_Data_Flows[[#This Row],[Use_E6]]="Yes",Tab_Data_Flows[[#This Row],[E6_Fraction'[%']]]*Tab_Data_Flows[[#This Row],[E1_value]],"N.A.")</f>
        <v>N.A.</v>
      </c>
      <c r="AL26" s="6" t="str">
        <f>Tab_Data_Flows[[#This Row],[E1_UoM]]</f>
        <v>Mg</v>
      </c>
    </row>
    <row r="27" spans="1:38" x14ac:dyDescent="0.25">
      <c r="A27" s="8">
        <f t="shared" si="1"/>
        <v>26</v>
      </c>
      <c r="B27" s="6" t="str">
        <f>_xlfn.XLOOKUP(C27,Tab_Def_Flows[Flow_Name],Tab_Def_Flows[Flow_ID],,0,)</f>
        <v>F_01_02</v>
      </c>
      <c r="C27" s="138" t="s">
        <v>1234</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No</v>
      </c>
      <c r="I27" s="9" t="str">
        <f>_xlfn.XLOOKUP(C27,Tab_Def_Flows[Flow_Name],Tab_Def_Flows[Use_E6],,0,)</f>
        <v>No</v>
      </c>
      <c r="J27" s="188">
        <v>2050</v>
      </c>
      <c r="K27" s="189">
        <v>1006857.7886274511</v>
      </c>
      <c r="L27" s="6" t="str">
        <f>'0_Configuration'!$C$41</f>
        <v>Mg</v>
      </c>
      <c r="M27" s="13" t="s">
        <v>1263</v>
      </c>
      <c r="N27" s="13">
        <v>2025</v>
      </c>
      <c r="O27" s="13" t="s">
        <v>1260</v>
      </c>
      <c r="P27" s="13" t="s">
        <v>1261</v>
      </c>
      <c r="Q27" s="13" t="s">
        <v>1288</v>
      </c>
      <c r="R27" s="7" t="s">
        <v>6</v>
      </c>
      <c r="S27" s="7"/>
      <c r="T27" s="7"/>
      <c r="U27" s="139">
        <f>_xlfn.XLOOKUP(Tab_Data_Flows[[#This Row],[Flow_Name]],Tab_Def_Flows[Flow_Name],Tab_Def_Flows[Flow_E1_Fraction'[%']],"N.A.",0,1)</f>
        <v>1</v>
      </c>
      <c r="V27" s="12">
        <f t="shared" si="0"/>
        <v>1006857.7886274511</v>
      </c>
      <c r="W27" s="6" t="str">
        <f>Tab_Data_Flows[[#This Row],[UoM_Source]]</f>
        <v>Mg</v>
      </c>
      <c r="X27" s="139">
        <f>_xlfn.XLOOKUP(Tab_Data_Flows[[#This Row],[Flow_Name]],Tab_Def_Flows[Flow_Name],Tab_Def_Flows[Flow_E2_Fraction'[%']],"N.A.",0,1)</f>
        <v>0.22838499184339317</v>
      </c>
      <c r="Y27" s="6">
        <f>IF(D27="Yes",V27*Tab_Data_Flows[[#This Row],[E2_Fraction'[%']]],"N.A.")</f>
        <v>229951.20784313729</v>
      </c>
      <c r="Z27" s="6" t="str">
        <f>Tab_Data_Flows[[#This Row],[E1_UoM]]</f>
        <v>Mg</v>
      </c>
      <c r="AA27" s="139">
        <f>_xlfn.XLOOKUP(Tab_Data_Flows[[#This Row],[Flow_Name]],Tab_Def_Flows[Flow_Name],Tab_Def_Flows[Flow_E3_Fraction'[%']],"N.A.",0,1)</f>
        <v>0.77161500815660689</v>
      </c>
      <c r="AB27" s="6">
        <f>IF(E27="Yes",AA27*Tab_Data_Flows[[#This Row],[E1_value]],"N.A.")</f>
        <v>776906.58078431385</v>
      </c>
      <c r="AC27" s="6" t="str">
        <f>Tab_Data_Flows[[#This Row],[E1_UoM]]</f>
        <v>Mg</v>
      </c>
      <c r="AD27" s="139">
        <f>_xlfn.XLOOKUP(Tab_Data_Flows[[#This Row],[Flow_Name]],Tab_Def_Flows[Flow_Name],Tab_Def_Flows[Flow_E4_Fraction'[%']],"N.A.",0,1)</f>
        <v>0</v>
      </c>
      <c r="AE27" s="6">
        <f>IF(G27="Yes",Tab_Data_Flows[[#This Row],[E4_Fraction'[%']]]*Tab_Data_Flows[[#This Row],[E1_value]],"N.A.")</f>
        <v>0</v>
      </c>
      <c r="AF27" s="6" t="str">
        <f>Tab_Data_Flows[[#This Row],[E1_UoM]]</f>
        <v>Mg</v>
      </c>
      <c r="AG27" s="139">
        <f>_xlfn.XLOOKUP(Tab_Data_Flows[[#This Row],[Flow_Name]],Tab_Def_Flows[Flow_Name],Tab_Def_Flows[Flow_E5_Fraction'[%']],"N.A.",0,1)</f>
        <v>0</v>
      </c>
      <c r="AH27" s="6" t="str">
        <f>IF(H27="Yes",Tab_Data_Flows[[#This Row],[E5_Fraction'[%']]]*Tab_Data_Flows[[#This Row],[E1_value]],"N.A.")</f>
        <v>N.A.</v>
      </c>
      <c r="AI27" s="6" t="str">
        <f>Tab_Data_Flows[[#This Row],[E1_UoM]]</f>
        <v>Mg</v>
      </c>
      <c r="AJ27" s="139">
        <f>_xlfn.XLOOKUP(Tab_Data_Flows[[#This Row],[Flow_Name]],Tab_Def_Flows[Flow_Name],Tab_Def_Flows[Flow_E6_Fraction'[%']],"N.A.",0,1)</f>
        <v>0</v>
      </c>
      <c r="AK27" s="6" t="str">
        <f>IF(Tab_Data_Flows[[#This Row],[Use_E6]]="Yes",Tab_Data_Flows[[#This Row],[E6_Fraction'[%']]]*Tab_Data_Flows[[#This Row],[E1_value]],"N.A.")</f>
        <v>N.A.</v>
      </c>
      <c r="AL27" s="6" t="str">
        <f>Tab_Data_Flows[[#This Row],[E1_UoM]]</f>
        <v>Mg</v>
      </c>
    </row>
    <row r="28" spans="1:38" x14ac:dyDescent="0.25">
      <c r="A28" s="8">
        <f t="shared" si="1"/>
        <v>27</v>
      </c>
      <c r="B28" s="6" t="str">
        <f>_xlfn.XLOOKUP(C28,Tab_Def_Flows[Flow_Name],Tab_Def_Flows[Flow_ID],,0,)</f>
        <v>F_01_02</v>
      </c>
      <c r="C28" s="138" t="s">
        <v>1234</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No</v>
      </c>
      <c r="I28" s="9" t="str">
        <f>_xlfn.XLOOKUP(C28,Tab_Def_Flows[Flow_Name],Tab_Def_Flows[Use_E6],,0,)</f>
        <v>No</v>
      </c>
      <c r="J28" s="188">
        <v>2051</v>
      </c>
      <c r="K28" s="189">
        <v>973541.37084313715</v>
      </c>
      <c r="L28" s="6" t="str">
        <f>'0_Configuration'!$C$41</f>
        <v>Mg</v>
      </c>
      <c r="M28" s="13" t="s">
        <v>1263</v>
      </c>
      <c r="N28" s="13">
        <v>2025</v>
      </c>
      <c r="O28" s="13" t="s">
        <v>1260</v>
      </c>
      <c r="P28" s="13" t="s">
        <v>1261</v>
      </c>
      <c r="Q28" s="13" t="s">
        <v>1289</v>
      </c>
      <c r="R28" s="7" t="s">
        <v>6</v>
      </c>
      <c r="S28" s="7"/>
      <c r="T28" s="7"/>
      <c r="U28" s="139">
        <f>_xlfn.XLOOKUP(Tab_Data_Flows[[#This Row],[Flow_Name]],Tab_Def_Flows[Flow_Name],Tab_Def_Flows[Flow_E1_Fraction'[%']],"N.A.",0,1)</f>
        <v>1</v>
      </c>
      <c r="V28" s="12">
        <f t="shared" si="0"/>
        <v>973541.37084313715</v>
      </c>
      <c r="W28" s="6" t="str">
        <f>Tab_Data_Flows[[#This Row],[UoM_Source]]</f>
        <v>Mg</v>
      </c>
      <c r="X28" s="139">
        <f>_xlfn.XLOOKUP(Tab_Data_Flows[[#This Row],[Flow_Name]],Tab_Def_Flows[Flow_Name],Tab_Def_Flows[Flow_E2_Fraction'[%']],"N.A.",0,1)</f>
        <v>0.22838499184339317</v>
      </c>
      <c r="Y28" s="6">
        <f>IF(D28="Yes",V28*Tab_Data_Flows[[#This Row],[E2_Fraction'[%']]],"N.A.")</f>
        <v>222342.23803921568</v>
      </c>
      <c r="Z28" s="6" t="str">
        <f>Tab_Data_Flows[[#This Row],[E1_UoM]]</f>
        <v>Mg</v>
      </c>
      <c r="AA28" s="139">
        <f>_xlfn.XLOOKUP(Tab_Data_Flows[[#This Row],[Flow_Name]],Tab_Def_Flows[Flow_Name],Tab_Def_Flows[Flow_E3_Fraction'[%']],"N.A.",0,1)</f>
        <v>0.77161500815660689</v>
      </c>
      <c r="AB28" s="6">
        <f>IF(E28="Yes",AA28*Tab_Data_Flows[[#This Row],[E1_value]],"N.A.")</f>
        <v>751199.13280392147</v>
      </c>
      <c r="AC28" s="6" t="str">
        <f>Tab_Data_Flows[[#This Row],[E1_UoM]]</f>
        <v>Mg</v>
      </c>
      <c r="AD28" s="139">
        <f>_xlfn.XLOOKUP(Tab_Data_Flows[[#This Row],[Flow_Name]],Tab_Def_Flows[Flow_Name],Tab_Def_Flows[Flow_E4_Fraction'[%']],"N.A.",0,1)</f>
        <v>0</v>
      </c>
      <c r="AE28" s="6">
        <f>IF(G28="Yes",Tab_Data_Flows[[#This Row],[E4_Fraction'[%']]]*Tab_Data_Flows[[#This Row],[E1_value]],"N.A.")</f>
        <v>0</v>
      </c>
      <c r="AF28" s="6" t="str">
        <f>Tab_Data_Flows[[#This Row],[E1_UoM]]</f>
        <v>Mg</v>
      </c>
      <c r="AG28" s="139">
        <f>_xlfn.XLOOKUP(Tab_Data_Flows[[#This Row],[Flow_Name]],Tab_Def_Flows[Flow_Name],Tab_Def_Flows[Flow_E5_Fraction'[%']],"N.A.",0,1)</f>
        <v>0</v>
      </c>
      <c r="AH28" s="6" t="str">
        <f>IF(H28="Yes",Tab_Data_Flows[[#This Row],[E5_Fraction'[%']]]*Tab_Data_Flows[[#This Row],[E1_value]],"N.A.")</f>
        <v>N.A.</v>
      </c>
      <c r="AI28" s="6" t="str">
        <f>Tab_Data_Flows[[#This Row],[E1_UoM]]</f>
        <v>Mg</v>
      </c>
      <c r="AJ28" s="139">
        <f>_xlfn.XLOOKUP(Tab_Data_Flows[[#This Row],[Flow_Name]],Tab_Def_Flows[Flow_Name],Tab_Def_Flows[Flow_E6_Fraction'[%']],"N.A.",0,1)</f>
        <v>0</v>
      </c>
      <c r="AK28" s="6" t="str">
        <f>IF(Tab_Data_Flows[[#This Row],[Use_E6]]="Yes",Tab_Data_Flows[[#This Row],[E6_Fraction'[%']]]*Tab_Data_Flows[[#This Row],[E1_value]],"N.A.")</f>
        <v>N.A.</v>
      </c>
      <c r="AL28" s="6" t="str">
        <f>Tab_Data_Flows[[#This Row],[E1_UoM]]</f>
        <v>Mg</v>
      </c>
    </row>
    <row r="29" spans="1:38" x14ac:dyDescent="0.25">
      <c r="A29" s="8">
        <f t="shared" si="1"/>
        <v>28</v>
      </c>
      <c r="B29" s="6" t="str">
        <f>_xlfn.XLOOKUP(C29,Tab_Def_Flows[Flow_Name],Tab_Def_Flows[Flow_ID],,0,)</f>
        <v>F_01_02</v>
      </c>
      <c r="C29" s="138" t="s">
        <v>1234</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No</v>
      </c>
      <c r="I29" s="9" t="str">
        <f>_xlfn.XLOOKUP(C29,Tab_Def_Flows[Flow_Name],Tab_Def_Flows[Use_E6],,0,)</f>
        <v>No</v>
      </c>
      <c r="J29" s="188">
        <v>2052</v>
      </c>
      <c r="K29" s="189">
        <v>1003948.4305294118</v>
      </c>
      <c r="L29" s="6" t="str">
        <f>'0_Configuration'!$C$41</f>
        <v>Mg</v>
      </c>
      <c r="M29" s="13" t="s">
        <v>1263</v>
      </c>
      <c r="N29" s="13">
        <v>2025</v>
      </c>
      <c r="O29" s="13" t="s">
        <v>1260</v>
      </c>
      <c r="P29" s="13" t="s">
        <v>1261</v>
      </c>
      <c r="Q29" s="13" t="s">
        <v>1290</v>
      </c>
      <c r="R29" s="7" t="s">
        <v>6</v>
      </c>
      <c r="S29" s="7"/>
      <c r="T29" s="7"/>
      <c r="U29" s="139">
        <f>_xlfn.XLOOKUP(Tab_Data_Flows[[#This Row],[Flow_Name]],Tab_Def_Flows[Flow_Name],Tab_Def_Flows[Flow_E1_Fraction'[%']],"N.A.",0,1)</f>
        <v>1</v>
      </c>
      <c r="V29" s="12">
        <f t="shared" si="0"/>
        <v>1003948.4305294118</v>
      </c>
      <c r="W29" s="6" t="str">
        <f>Tab_Data_Flows[[#This Row],[UoM_Source]]</f>
        <v>Mg</v>
      </c>
      <c r="X29" s="139">
        <f>_xlfn.XLOOKUP(Tab_Data_Flows[[#This Row],[Flow_Name]],Tab_Def_Flows[Flow_Name],Tab_Def_Flows[Flow_E2_Fraction'[%']],"N.A.",0,1)</f>
        <v>0.22838499184339317</v>
      </c>
      <c r="Y29" s="6">
        <f>IF(D29="Yes",V29*Tab_Data_Flows[[#This Row],[E2_Fraction'[%']]],"N.A.")</f>
        <v>229286.75411764707</v>
      </c>
      <c r="Z29" s="6" t="str">
        <f>Tab_Data_Flows[[#This Row],[E1_UoM]]</f>
        <v>Mg</v>
      </c>
      <c r="AA29" s="139">
        <f>_xlfn.XLOOKUP(Tab_Data_Flows[[#This Row],[Flow_Name]],Tab_Def_Flows[Flow_Name],Tab_Def_Flows[Flow_E3_Fraction'[%']],"N.A.",0,1)</f>
        <v>0.77161500815660689</v>
      </c>
      <c r="AB29" s="6">
        <f>IF(E29="Yes",AA29*Tab_Data_Flows[[#This Row],[E1_value]],"N.A.")</f>
        <v>774661.6764117647</v>
      </c>
      <c r="AC29" s="6" t="str">
        <f>Tab_Data_Flows[[#This Row],[E1_UoM]]</f>
        <v>Mg</v>
      </c>
      <c r="AD29" s="139">
        <f>_xlfn.XLOOKUP(Tab_Data_Flows[[#This Row],[Flow_Name]],Tab_Def_Flows[Flow_Name],Tab_Def_Flows[Flow_E4_Fraction'[%']],"N.A.",0,1)</f>
        <v>0</v>
      </c>
      <c r="AE29" s="6">
        <f>IF(G29="Yes",Tab_Data_Flows[[#This Row],[E4_Fraction'[%']]]*Tab_Data_Flows[[#This Row],[E1_value]],"N.A.")</f>
        <v>0</v>
      </c>
      <c r="AF29" s="6" t="str">
        <f>Tab_Data_Flows[[#This Row],[E1_UoM]]</f>
        <v>Mg</v>
      </c>
      <c r="AG29" s="139">
        <f>_xlfn.XLOOKUP(Tab_Data_Flows[[#This Row],[Flow_Name]],Tab_Def_Flows[Flow_Name],Tab_Def_Flows[Flow_E5_Fraction'[%']],"N.A.",0,1)</f>
        <v>0</v>
      </c>
      <c r="AH29" s="6" t="str">
        <f>IF(H29="Yes",Tab_Data_Flows[[#This Row],[E5_Fraction'[%']]]*Tab_Data_Flows[[#This Row],[E1_value]],"N.A.")</f>
        <v>N.A.</v>
      </c>
      <c r="AI29" s="6" t="str">
        <f>Tab_Data_Flows[[#This Row],[E1_UoM]]</f>
        <v>Mg</v>
      </c>
      <c r="AJ29" s="139">
        <f>_xlfn.XLOOKUP(Tab_Data_Flows[[#This Row],[Flow_Name]],Tab_Def_Flows[Flow_Name],Tab_Def_Flows[Flow_E6_Fraction'[%']],"N.A.",0,1)</f>
        <v>0</v>
      </c>
      <c r="AK29" s="6" t="str">
        <f>IF(Tab_Data_Flows[[#This Row],[Use_E6]]="Yes",Tab_Data_Flows[[#This Row],[E6_Fraction'[%']]]*Tab_Data_Flows[[#This Row],[E1_value]],"N.A.")</f>
        <v>N.A.</v>
      </c>
      <c r="AL29" s="6" t="str">
        <f>Tab_Data_Flows[[#This Row],[E1_UoM]]</f>
        <v>Mg</v>
      </c>
    </row>
    <row r="30" spans="1:38" x14ac:dyDescent="0.25">
      <c r="A30" s="8">
        <f t="shared" si="1"/>
        <v>29</v>
      </c>
      <c r="B30" s="6" t="str">
        <f>_xlfn.XLOOKUP(C30,Tab_Def_Flows[Flow_Name],Tab_Def_Flows[Flow_ID],,0,)</f>
        <v>F_01_02</v>
      </c>
      <c r="C30" s="138" t="s">
        <v>1234</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No</v>
      </c>
      <c r="I30" s="9" t="str">
        <f>_xlfn.XLOOKUP(C30,Tab_Def_Flows[Flow_Name],Tab_Def_Flows[Use_E6],,0,)</f>
        <v>No</v>
      </c>
      <c r="J30" s="188">
        <v>2053</v>
      </c>
      <c r="K30" s="189">
        <v>818417.22550980386</v>
      </c>
      <c r="L30" s="6" t="str">
        <f>'0_Configuration'!$C$41</f>
        <v>Mg</v>
      </c>
      <c r="M30" s="13" t="s">
        <v>1263</v>
      </c>
      <c r="N30" s="13">
        <v>2025</v>
      </c>
      <c r="O30" s="13" t="s">
        <v>1260</v>
      </c>
      <c r="P30" s="13" t="s">
        <v>1261</v>
      </c>
      <c r="Q30" s="13" t="s">
        <v>1291</v>
      </c>
      <c r="R30" s="7" t="s">
        <v>6</v>
      </c>
      <c r="S30" s="7"/>
      <c r="T30" s="7"/>
      <c r="U30" s="139">
        <f>_xlfn.XLOOKUP(Tab_Data_Flows[[#This Row],[Flow_Name]],Tab_Def_Flows[Flow_Name],Tab_Def_Flows[Flow_E1_Fraction'[%']],"N.A.",0,1)</f>
        <v>1</v>
      </c>
      <c r="V30" s="12">
        <f t="shared" si="0"/>
        <v>818417.22550980386</v>
      </c>
      <c r="W30" s="6" t="str">
        <f>Tab_Data_Flows[[#This Row],[UoM_Source]]</f>
        <v>Mg</v>
      </c>
      <c r="X30" s="139">
        <f>_xlfn.XLOOKUP(Tab_Data_Flows[[#This Row],[Flow_Name]],Tab_Def_Flows[Flow_Name],Tab_Def_Flows[Flow_E2_Fraction'[%']],"N.A.",0,1)</f>
        <v>0.22838499184339317</v>
      </c>
      <c r="Y30" s="6">
        <f>IF(D30="Yes",V30*Tab_Data_Flows[[#This Row],[E2_Fraction'[%']]],"N.A.")</f>
        <v>186914.21137254903</v>
      </c>
      <c r="Z30" s="6" t="str">
        <f>Tab_Data_Flows[[#This Row],[E1_UoM]]</f>
        <v>Mg</v>
      </c>
      <c r="AA30" s="139">
        <f>_xlfn.XLOOKUP(Tab_Data_Flows[[#This Row],[Flow_Name]],Tab_Def_Flows[Flow_Name],Tab_Def_Flows[Flow_E3_Fraction'[%']],"N.A.",0,1)</f>
        <v>0.77161500815660689</v>
      </c>
      <c r="AB30" s="6">
        <f>IF(E30="Yes",AA30*Tab_Data_Flows[[#This Row],[E1_value]],"N.A.")</f>
        <v>631503.01413725491</v>
      </c>
      <c r="AC30" s="6" t="str">
        <f>Tab_Data_Flows[[#This Row],[E1_UoM]]</f>
        <v>Mg</v>
      </c>
      <c r="AD30" s="139">
        <f>_xlfn.XLOOKUP(Tab_Data_Flows[[#This Row],[Flow_Name]],Tab_Def_Flows[Flow_Name],Tab_Def_Flows[Flow_E4_Fraction'[%']],"N.A.",0,1)</f>
        <v>0</v>
      </c>
      <c r="AE30" s="6">
        <f>IF(G30="Yes",Tab_Data_Flows[[#This Row],[E4_Fraction'[%']]]*Tab_Data_Flows[[#This Row],[E1_value]],"N.A.")</f>
        <v>0</v>
      </c>
      <c r="AF30" s="6" t="str">
        <f>Tab_Data_Flows[[#This Row],[E1_UoM]]</f>
        <v>Mg</v>
      </c>
      <c r="AG30" s="139">
        <f>_xlfn.XLOOKUP(Tab_Data_Flows[[#This Row],[Flow_Name]],Tab_Def_Flows[Flow_Name],Tab_Def_Flows[Flow_E5_Fraction'[%']],"N.A.",0,1)</f>
        <v>0</v>
      </c>
      <c r="AH30" s="6" t="str">
        <f>IF(H30="Yes",Tab_Data_Flows[[#This Row],[E5_Fraction'[%']]]*Tab_Data_Flows[[#This Row],[E1_value]],"N.A.")</f>
        <v>N.A.</v>
      </c>
      <c r="AI30" s="6" t="str">
        <f>Tab_Data_Flows[[#This Row],[E1_UoM]]</f>
        <v>Mg</v>
      </c>
      <c r="AJ30" s="139">
        <f>_xlfn.XLOOKUP(Tab_Data_Flows[[#This Row],[Flow_Name]],Tab_Def_Flows[Flow_Name],Tab_Def_Flows[Flow_E6_Fraction'[%']],"N.A.",0,1)</f>
        <v>0</v>
      </c>
      <c r="AK30" s="6" t="str">
        <f>IF(Tab_Data_Flows[[#This Row],[Use_E6]]="Yes",Tab_Data_Flows[[#This Row],[E6_Fraction'[%']]]*Tab_Data_Flows[[#This Row],[E1_value]],"N.A.")</f>
        <v>N.A.</v>
      </c>
      <c r="AL30" s="6" t="str">
        <f>Tab_Data_Flows[[#This Row],[E1_UoM]]</f>
        <v>Mg</v>
      </c>
    </row>
    <row r="31" spans="1:38" x14ac:dyDescent="0.25">
      <c r="A31" s="8">
        <f t="shared" si="1"/>
        <v>30</v>
      </c>
      <c r="B31" s="6" t="str">
        <f>_xlfn.XLOOKUP(C31,Tab_Def_Flows[Flow_Name],Tab_Def_Flows[Flow_ID],,0,)</f>
        <v>F_01_02</v>
      </c>
      <c r="C31" s="138" t="s">
        <v>1234</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No</v>
      </c>
      <c r="I31" s="9" t="str">
        <f>_xlfn.XLOOKUP(C31,Tab_Def_Flows[Flow_Name],Tab_Def_Flows[Use_E6],,0,)</f>
        <v>No</v>
      </c>
      <c r="J31" s="188">
        <v>2054</v>
      </c>
      <c r="K31" s="189">
        <v>945575.68582352938</v>
      </c>
      <c r="L31" s="6" t="str">
        <f>'0_Configuration'!$C$41</f>
        <v>Mg</v>
      </c>
      <c r="M31" s="13" t="s">
        <v>1263</v>
      </c>
      <c r="N31" s="13">
        <v>2025</v>
      </c>
      <c r="O31" s="13" t="s">
        <v>1260</v>
      </c>
      <c r="P31" s="13" t="s">
        <v>1261</v>
      </c>
      <c r="Q31" s="13" t="s">
        <v>1292</v>
      </c>
      <c r="R31" s="7" t="s">
        <v>6</v>
      </c>
      <c r="S31" s="14"/>
      <c r="T31" s="7"/>
      <c r="U31" s="139">
        <f>_xlfn.XLOOKUP(Tab_Data_Flows[[#This Row],[Flow_Name]],Tab_Def_Flows[Flow_Name],Tab_Def_Flows[Flow_E1_Fraction'[%']],"N.A.",0,1)</f>
        <v>1</v>
      </c>
      <c r="V31" s="12">
        <f t="shared" si="0"/>
        <v>945575.68582352938</v>
      </c>
      <c r="W31" s="6" t="str">
        <f>Tab_Data_Flows[[#This Row],[UoM_Source]]</f>
        <v>Mg</v>
      </c>
      <c r="X31" s="139">
        <f>_xlfn.XLOOKUP(Tab_Data_Flows[[#This Row],[Flow_Name]],Tab_Def_Flows[Flow_Name],Tab_Def_Flows[Flow_E2_Fraction'[%']],"N.A.",0,1)</f>
        <v>0.22838499184339317</v>
      </c>
      <c r="Y31" s="6">
        <f>IF(D31="Yes",V31*Tab_Data_Flows[[#This Row],[E2_Fraction'[%']]],"N.A.")</f>
        <v>215955.29529411765</v>
      </c>
      <c r="Z31" s="6" t="str">
        <f>Tab_Data_Flows[[#This Row],[E1_UoM]]</f>
        <v>Mg</v>
      </c>
      <c r="AA31" s="139">
        <f>_xlfn.XLOOKUP(Tab_Data_Flows[[#This Row],[Flow_Name]],Tab_Def_Flows[Flow_Name],Tab_Def_Flows[Flow_E3_Fraction'[%']],"N.A.",0,1)</f>
        <v>0.77161500815660689</v>
      </c>
      <c r="AB31" s="6">
        <f>IF(E31="Yes",AA31*Tab_Data_Flows[[#This Row],[E1_value]],"N.A.")</f>
        <v>729620.39052941173</v>
      </c>
      <c r="AC31" s="6" t="str">
        <f>Tab_Data_Flows[[#This Row],[E1_UoM]]</f>
        <v>Mg</v>
      </c>
      <c r="AD31" s="139">
        <f>_xlfn.XLOOKUP(Tab_Data_Flows[[#This Row],[Flow_Name]],Tab_Def_Flows[Flow_Name],Tab_Def_Flows[Flow_E4_Fraction'[%']],"N.A.",0,1)</f>
        <v>0</v>
      </c>
      <c r="AE31" s="6">
        <f>IF(G31="Yes",Tab_Data_Flows[[#This Row],[E4_Fraction'[%']]]*Tab_Data_Flows[[#This Row],[E1_value]],"N.A.")</f>
        <v>0</v>
      </c>
      <c r="AF31" s="6" t="str">
        <f>Tab_Data_Flows[[#This Row],[E1_UoM]]</f>
        <v>Mg</v>
      </c>
      <c r="AG31" s="139">
        <f>_xlfn.XLOOKUP(Tab_Data_Flows[[#This Row],[Flow_Name]],Tab_Def_Flows[Flow_Name],Tab_Def_Flows[Flow_E5_Fraction'[%']],"N.A.",0,1)</f>
        <v>0</v>
      </c>
      <c r="AH31" s="6" t="str">
        <f>IF(H31="Yes",Tab_Data_Flows[[#This Row],[E5_Fraction'[%']]]*Tab_Data_Flows[[#This Row],[E1_value]],"N.A.")</f>
        <v>N.A.</v>
      </c>
      <c r="AI31" s="6" t="str">
        <f>Tab_Data_Flows[[#This Row],[E1_UoM]]</f>
        <v>Mg</v>
      </c>
      <c r="AJ31" s="139">
        <f>_xlfn.XLOOKUP(Tab_Data_Flows[[#This Row],[Flow_Name]],Tab_Def_Flows[Flow_Name],Tab_Def_Flows[Flow_E6_Fraction'[%']],"N.A.",0,1)</f>
        <v>0</v>
      </c>
      <c r="AK31" s="6" t="str">
        <f>IF(Tab_Data_Flows[[#This Row],[Use_E6]]="Yes",Tab_Data_Flows[[#This Row],[E6_Fraction'[%']]]*Tab_Data_Flows[[#This Row],[E1_value]],"N.A.")</f>
        <v>N.A.</v>
      </c>
      <c r="AL31" s="6" t="str">
        <f>Tab_Data_Flows[[#This Row],[E1_UoM]]</f>
        <v>Mg</v>
      </c>
    </row>
    <row r="32" spans="1:38" x14ac:dyDescent="0.25">
      <c r="A32" s="8">
        <f t="shared" si="1"/>
        <v>31</v>
      </c>
      <c r="B32" s="6" t="str">
        <f>_xlfn.XLOOKUP(C32,Tab_Def_Flows[Flow_Name],Tab_Def_Flows[Flow_ID],,0,)</f>
        <v>F_01_02</v>
      </c>
      <c r="C32" s="138" t="s">
        <v>1234</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No</v>
      </c>
      <c r="I32" s="9" t="str">
        <f>_xlfn.XLOOKUP(C32,Tab_Def_Flows[Flow_Name],Tab_Def_Flows[Use_E6],,0,)</f>
        <v>No</v>
      </c>
      <c r="J32" s="188">
        <v>2055</v>
      </c>
      <c r="K32" s="189">
        <v>830445.79998039198</v>
      </c>
      <c r="L32" s="6" t="str">
        <f>'0_Configuration'!$C$41</f>
        <v>Mg</v>
      </c>
      <c r="M32" s="13" t="s">
        <v>1263</v>
      </c>
      <c r="N32" s="13">
        <v>2025</v>
      </c>
      <c r="O32" s="13" t="s">
        <v>1260</v>
      </c>
      <c r="P32" s="13" t="s">
        <v>1261</v>
      </c>
      <c r="Q32" s="13" t="s">
        <v>1293</v>
      </c>
      <c r="R32" s="7" t="s">
        <v>6</v>
      </c>
      <c r="S32" s="14"/>
      <c r="T32" s="7"/>
      <c r="U32" s="139">
        <f>_xlfn.XLOOKUP(Tab_Data_Flows[[#This Row],[Flow_Name]],Tab_Def_Flows[Flow_Name],Tab_Def_Flows[Flow_E1_Fraction'[%']],"N.A.",0,1)</f>
        <v>1</v>
      </c>
      <c r="V32" s="12">
        <f t="shared" si="0"/>
        <v>830445.79998039198</v>
      </c>
      <c r="W32" s="6" t="str">
        <f>Tab_Data_Flows[[#This Row],[UoM_Source]]</f>
        <v>Mg</v>
      </c>
      <c r="X32" s="139">
        <f>_xlfn.XLOOKUP(Tab_Data_Flows[[#This Row],[Flow_Name]],Tab_Def_Flows[Flow_Name],Tab_Def_Flows[Flow_E2_Fraction'[%']],"N.A.",0,1)</f>
        <v>0.22838499184339317</v>
      </c>
      <c r="Y32" s="6">
        <f>IF(D32="Yes",V32*Tab_Data_Flows[[#This Row],[E2_Fraction'[%']]],"N.A.")</f>
        <v>189661.35725490193</v>
      </c>
      <c r="Z32" s="6" t="str">
        <f>Tab_Data_Flows[[#This Row],[E1_UoM]]</f>
        <v>Mg</v>
      </c>
      <c r="AA32" s="139">
        <f>_xlfn.XLOOKUP(Tab_Data_Flows[[#This Row],[Flow_Name]],Tab_Def_Flows[Flow_Name],Tab_Def_Flows[Flow_E3_Fraction'[%']],"N.A.",0,1)</f>
        <v>0.77161500815660689</v>
      </c>
      <c r="AB32" s="6">
        <f>IF(E32="Yes",AA32*Tab_Data_Flows[[#This Row],[E1_value]],"N.A.")</f>
        <v>640784.44272549008</v>
      </c>
      <c r="AC32" s="6" t="str">
        <f>Tab_Data_Flows[[#This Row],[E1_UoM]]</f>
        <v>Mg</v>
      </c>
      <c r="AD32" s="139">
        <f>_xlfn.XLOOKUP(Tab_Data_Flows[[#This Row],[Flow_Name]],Tab_Def_Flows[Flow_Name],Tab_Def_Flows[Flow_E4_Fraction'[%']],"N.A.",0,1)</f>
        <v>0</v>
      </c>
      <c r="AE32" s="6">
        <f>IF(G32="Yes",Tab_Data_Flows[[#This Row],[E4_Fraction'[%']]]*Tab_Data_Flows[[#This Row],[E1_value]],"N.A.")</f>
        <v>0</v>
      </c>
      <c r="AF32" s="6" t="str">
        <f>Tab_Data_Flows[[#This Row],[E1_UoM]]</f>
        <v>Mg</v>
      </c>
      <c r="AG32" s="139">
        <f>_xlfn.XLOOKUP(Tab_Data_Flows[[#This Row],[Flow_Name]],Tab_Def_Flows[Flow_Name],Tab_Def_Flows[Flow_E5_Fraction'[%']],"N.A.",0,1)</f>
        <v>0</v>
      </c>
      <c r="AH32" s="6" t="str">
        <f>IF(H32="Yes",Tab_Data_Flows[[#This Row],[E5_Fraction'[%']]]*Tab_Data_Flows[[#This Row],[E1_value]],"N.A.")</f>
        <v>N.A.</v>
      </c>
      <c r="AI32" s="6" t="str">
        <f>Tab_Data_Flows[[#This Row],[E1_UoM]]</f>
        <v>Mg</v>
      </c>
      <c r="AJ32" s="139">
        <f>_xlfn.XLOOKUP(Tab_Data_Flows[[#This Row],[Flow_Name]],Tab_Def_Flows[Flow_Name],Tab_Def_Flows[Flow_E6_Fraction'[%']],"N.A.",0,1)</f>
        <v>0</v>
      </c>
      <c r="AK32" s="6" t="str">
        <f>IF(Tab_Data_Flows[[#This Row],[Use_E6]]="Yes",Tab_Data_Flows[[#This Row],[E6_Fraction'[%']]]*Tab_Data_Flows[[#This Row],[E1_value]],"N.A.")</f>
        <v>N.A.</v>
      </c>
      <c r="AL32" s="6" t="str">
        <f>Tab_Data_Flows[[#This Row],[E1_UoM]]</f>
        <v>Mg</v>
      </c>
    </row>
    <row r="33" spans="1:38" x14ac:dyDescent="0.25">
      <c r="A33" s="8">
        <f t="shared" si="1"/>
        <v>32</v>
      </c>
      <c r="B33" s="6" t="str">
        <f>_xlfn.XLOOKUP(C33,Tab_Def_Flows[Flow_Name],Tab_Def_Flows[Flow_ID],,0,)</f>
        <v>F_01_02</v>
      </c>
      <c r="C33" s="138" t="s">
        <v>1234</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No</v>
      </c>
      <c r="I33" s="9" t="str">
        <f>_xlfn.XLOOKUP(C33,Tab_Def_Flows[Flow_Name],Tab_Def_Flows[Use_E6],,0,)</f>
        <v>No</v>
      </c>
      <c r="J33" s="188">
        <v>2056</v>
      </c>
      <c r="K33" s="189">
        <v>979517.90449019603</v>
      </c>
      <c r="L33" s="6" t="str">
        <f>'0_Configuration'!$C$41</f>
        <v>Mg</v>
      </c>
      <c r="M33" s="13" t="s">
        <v>1263</v>
      </c>
      <c r="N33" s="13">
        <v>2025</v>
      </c>
      <c r="O33" s="13" t="s">
        <v>1260</v>
      </c>
      <c r="P33" s="13" t="s">
        <v>1261</v>
      </c>
      <c r="Q33" s="13" t="s">
        <v>1294</v>
      </c>
      <c r="R33" s="7" t="s">
        <v>6</v>
      </c>
      <c r="S33" s="14"/>
      <c r="T33" s="7"/>
      <c r="U33" s="139">
        <f>_xlfn.XLOOKUP(Tab_Data_Flows[[#This Row],[Flow_Name]],Tab_Def_Flows[Flow_Name],Tab_Def_Flows[Flow_E1_Fraction'[%']],"N.A.",0,1)</f>
        <v>1</v>
      </c>
      <c r="V33" s="12">
        <f t="shared" si="0"/>
        <v>979517.90449019603</v>
      </c>
      <c r="W33" s="6" t="str">
        <f>Tab_Data_Flows[[#This Row],[UoM_Source]]</f>
        <v>Mg</v>
      </c>
      <c r="X33" s="139">
        <f>_xlfn.XLOOKUP(Tab_Data_Flows[[#This Row],[Flow_Name]],Tab_Def_Flows[Flow_Name],Tab_Def_Flows[Flow_E2_Fraction'[%']],"N.A.",0,1)</f>
        <v>0.22838499184339317</v>
      </c>
      <c r="Y33" s="6">
        <f>IF(D33="Yes",V33*Tab_Data_Flows[[#This Row],[E2_Fraction'[%']]],"N.A.")</f>
        <v>223707.18862745099</v>
      </c>
      <c r="Z33" s="6" t="str">
        <f>Tab_Data_Flows[[#This Row],[E1_UoM]]</f>
        <v>Mg</v>
      </c>
      <c r="AA33" s="139">
        <f>_xlfn.XLOOKUP(Tab_Data_Flows[[#This Row],[Flow_Name]],Tab_Def_Flows[Flow_Name],Tab_Def_Flows[Flow_E3_Fraction'[%']],"N.A.",0,1)</f>
        <v>0.77161500815660689</v>
      </c>
      <c r="AB33" s="6">
        <f>IF(E33="Yes",AA33*Tab_Data_Flows[[#This Row],[E1_value]],"N.A.")</f>
        <v>755810.71586274507</v>
      </c>
      <c r="AC33" s="6" t="str">
        <f>Tab_Data_Flows[[#This Row],[E1_UoM]]</f>
        <v>Mg</v>
      </c>
      <c r="AD33" s="139">
        <f>_xlfn.XLOOKUP(Tab_Data_Flows[[#This Row],[Flow_Name]],Tab_Def_Flows[Flow_Name],Tab_Def_Flows[Flow_E4_Fraction'[%']],"N.A.",0,1)</f>
        <v>0</v>
      </c>
      <c r="AE33" s="6">
        <f>IF(G33="Yes",Tab_Data_Flows[[#This Row],[E4_Fraction'[%']]]*Tab_Data_Flows[[#This Row],[E1_value]],"N.A.")</f>
        <v>0</v>
      </c>
      <c r="AF33" s="6" t="str">
        <f>Tab_Data_Flows[[#This Row],[E1_UoM]]</f>
        <v>Mg</v>
      </c>
      <c r="AG33" s="139">
        <f>_xlfn.XLOOKUP(Tab_Data_Flows[[#This Row],[Flow_Name]],Tab_Def_Flows[Flow_Name],Tab_Def_Flows[Flow_E5_Fraction'[%']],"N.A.",0,1)</f>
        <v>0</v>
      </c>
      <c r="AH33" s="6" t="str">
        <f>IF(H33="Yes",Tab_Data_Flows[[#This Row],[E5_Fraction'[%']]]*Tab_Data_Flows[[#This Row],[E1_value]],"N.A.")</f>
        <v>N.A.</v>
      </c>
      <c r="AI33" s="6" t="str">
        <f>Tab_Data_Flows[[#This Row],[E1_UoM]]</f>
        <v>Mg</v>
      </c>
      <c r="AJ33" s="139">
        <f>_xlfn.XLOOKUP(Tab_Data_Flows[[#This Row],[Flow_Name]],Tab_Def_Flows[Flow_Name],Tab_Def_Flows[Flow_E6_Fraction'[%']],"N.A.",0,1)</f>
        <v>0</v>
      </c>
      <c r="AK33" s="6" t="str">
        <f>IF(Tab_Data_Flows[[#This Row],[Use_E6]]="Yes",Tab_Data_Flows[[#This Row],[E6_Fraction'[%']]]*Tab_Data_Flows[[#This Row],[E1_value]],"N.A.")</f>
        <v>N.A.</v>
      </c>
      <c r="AL33" s="6" t="str">
        <f>Tab_Data_Flows[[#This Row],[E1_UoM]]</f>
        <v>Mg</v>
      </c>
    </row>
    <row r="34" spans="1:38" x14ac:dyDescent="0.25">
      <c r="A34" s="8">
        <f t="shared" si="1"/>
        <v>33</v>
      </c>
      <c r="B34" s="6" t="str">
        <f>_xlfn.XLOOKUP(C34,Tab_Def_Flows[Flow_Name],Tab_Def_Flows[Flow_ID],,0,)</f>
        <v>F_01_02</v>
      </c>
      <c r="C34" s="138" t="s">
        <v>1234</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No</v>
      </c>
      <c r="I34" s="9" t="str">
        <f>_xlfn.XLOOKUP(C34,Tab_Def_Flows[Flow_Name],Tab_Def_Flows[Use_E6],,0,)</f>
        <v>No</v>
      </c>
      <c r="J34" s="188">
        <v>2057</v>
      </c>
      <c r="K34" s="189">
        <v>848949.34921568609</v>
      </c>
      <c r="L34" s="6" t="str">
        <f>'0_Configuration'!$C$41</f>
        <v>Mg</v>
      </c>
      <c r="M34" s="13" t="s">
        <v>1263</v>
      </c>
      <c r="N34" s="13">
        <v>2025</v>
      </c>
      <c r="O34" s="13" t="s">
        <v>1260</v>
      </c>
      <c r="P34" s="13" t="s">
        <v>1261</v>
      </c>
      <c r="Q34" s="13" t="s">
        <v>1295</v>
      </c>
      <c r="R34" s="7" t="s">
        <v>6</v>
      </c>
      <c r="S34" s="14"/>
      <c r="T34" s="7"/>
      <c r="U34" s="139">
        <f>_xlfn.XLOOKUP(Tab_Data_Flows[[#This Row],[Flow_Name]],Tab_Def_Flows[Flow_Name],Tab_Def_Flows[Flow_E1_Fraction'[%']],"N.A.",0,1)</f>
        <v>1</v>
      </c>
      <c r="V34" s="12">
        <f t="shared" ref="V34:V65" si="2">IF(R34="no",K34,K34*S34)</f>
        <v>848949.34921568609</v>
      </c>
      <c r="W34" s="6" t="str">
        <f>Tab_Data_Flows[[#This Row],[UoM_Source]]</f>
        <v>Mg</v>
      </c>
      <c r="X34" s="139">
        <f>_xlfn.XLOOKUP(Tab_Data_Flows[[#This Row],[Flow_Name]],Tab_Def_Flows[Flow_Name],Tab_Def_Flows[Flow_E2_Fraction'[%']],"N.A.",0,1)</f>
        <v>0.22838499184339317</v>
      </c>
      <c r="Y34" s="6">
        <f>IF(D34="Yes",V34*Tab_Data_Flows[[#This Row],[E2_Fraction'[%']]],"N.A.")</f>
        <v>193887.29019607839</v>
      </c>
      <c r="Z34" s="6" t="str">
        <f>Tab_Data_Flows[[#This Row],[E1_UoM]]</f>
        <v>Mg</v>
      </c>
      <c r="AA34" s="139">
        <f>_xlfn.XLOOKUP(Tab_Data_Flows[[#This Row],[Flow_Name]],Tab_Def_Flows[Flow_Name],Tab_Def_Flows[Flow_E3_Fraction'[%']],"N.A.",0,1)</f>
        <v>0.77161500815660689</v>
      </c>
      <c r="AB34" s="6">
        <f>IF(E34="Yes",AA34*Tab_Data_Flows[[#This Row],[E1_value]],"N.A.")</f>
        <v>655062.05901960772</v>
      </c>
      <c r="AC34" s="6" t="str">
        <f>Tab_Data_Flows[[#This Row],[E1_UoM]]</f>
        <v>Mg</v>
      </c>
      <c r="AD34" s="139">
        <f>_xlfn.XLOOKUP(Tab_Data_Flows[[#This Row],[Flow_Name]],Tab_Def_Flows[Flow_Name],Tab_Def_Flows[Flow_E4_Fraction'[%']],"N.A.",0,1)</f>
        <v>0</v>
      </c>
      <c r="AE34" s="6">
        <f>IF(G34="Yes",Tab_Data_Flows[[#This Row],[E4_Fraction'[%']]]*Tab_Data_Flows[[#This Row],[E1_value]],"N.A.")</f>
        <v>0</v>
      </c>
      <c r="AF34" s="6" t="str">
        <f>Tab_Data_Flows[[#This Row],[E1_UoM]]</f>
        <v>Mg</v>
      </c>
      <c r="AG34" s="139">
        <f>_xlfn.XLOOKUP(Tab_Data_Flows[[#This Row],[Flow_Name]],Tab_Def_Flows[Flow_Name],Tab_Def_Flows[Flow_E5_Fraction'[%']],"N.A.",0,1)</f>
        <v>0</v>
      </c>
      <c r="AH34" s="6" t="str">
        <f>IF(H34="Yes",Tab_Data_Flows[[#This Row],[E5_Fraction'[%']]]*Tab_Data_Flows[[#This Row],[E1_value]],"N.A.")</f>
        <v>N.A.</v>
      </c>
      <c r="AI34" s="6" t="str">
        <f>Tab_Data_Flows[[#This Row],[E1_UoM]]</f>
        <v>Mg</v>
      </c>
      <c r="AJ34" s="139">
        <f>_xlfn.XLOOKUP(Tab_Data_Flows[[#This Row],[Flow_Name]],Tab_Def_Flows[Flow_Name],Tab_Def_Flows[Flow_E6_Fraction'[%']],"N.A.",0,1)</f>
        <v>0</v>
      </c>
      <c r="AK34" s="6" t="str">
        <f>IF(Tab_Data_Flows[[#This Row],[Use_E6]]="Yes",Tab_Data_Flows[[#This Row],[E6_Fraction'[%']]]*Tab_Data_Flows[[#This Row],[E1_value]],"N.A.")</f>
        <v>N.A.</v>
      </c>
      <c r="AL34" s="6" t="str">
        <f>Tab_Data_Flows[[#This Row],[E1_UoM]]</f>
        <v>Mg</v>
      </c>
    </row>
    <row r="35" spans="1:38" x14ac:dyDescent="0.25">
      <c r="A35" s="8">
        <f t="shared" si="1"/>
        <v>34</v>
      </c>
      <c r="B35" s="6" t="str">
        <f>_xlfn.XLOOKUP(C35,Tab_Def_Flows[Flow_Name],Tab_Def_Flows[Flow_ID],,0,)</f>
        <v>F_01_02</v>
      </c>
      <c r="C35" s="138" t="s">
        <v>1234</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No</v>
      </c>
      <c r="I35" s="9" t="str">
        <f>_xlfn.XLOOKUP(C35,Tab_Def_Flows[Flow_Name],Tab_Def_Flows[Use_E6],,0,)</f>
        <v>No</v>
      </c>
      <c r="J35" s="188">
        <v>2058</v>
      </c>
      <c r="K35" s="189">
        <v>904331.36307843146</v>
      </c>
      <c r="L35" s="6" t="str">
        <f>'0_Configuration'!$C$41</f>
        <v>Mg</v>
      </c>
      <c r="M35" s="13" t="s">
        <v>1263</v>
      </c>
      <c r="N35" s="13">
        <v>2025</v>
      </c>
      <c r="O35" s="13" t="s">
        <v>1260</v>
      </c>
      <c r="P35" s="13" t="s">
        <v>1261</v>
      </c>
      <c r="Q35" s="13" t="s">
        <v>1296</v>
      </c>
      <c r="R35" s="7" t="s">
        <v>6</v>
      </c>
      <c r="S35" s="14"/>
      <c r="T35" s="7"/>
      <c r="U35" s="139">
        <f>_xlfn.XLOOKUP(Tab_Data_Flows[[#This Row],[Flow_Name]],Tab_Def_Flows[Flow_Name],Tab_Def_Flows[Flow_E1_Fraction'[%']],"N.A.",0,1)</f>
        <v>1</v>
      </c>
      <c r="V35" s="12">
        <f t="shared" si="2"/>
        <v>904331.36307843146</v>
      </c>
      <c r="W35" s="6" t="str">
        <f>Tab_Data_Flows[[#This Row],[UoM_Source]]</f>
        <v>Mg</v>
      </c>
      <c r="X35" s="139">
        <f>_xlfn.XLOOKUP(Tab_Data_Flows[[#This Row],[Flow_Name]],Tab_Def_Flows[Flow_Name],Tab_Def_Flows[Flow_E2_Fraction'[%']],"N.A.",0,1)</f>
        <v>0.22838499184339317</v>
      </c>
      <c r="Y35" s="6">
        <f>IF(D35="Yes",V35*Tab_Data_Flows[[#This Row],[E2_Fraction'[%']]],"N.A.")</f>
        <v>206535.71098039221</v>
      </c>
      <c r="Z35" s="6" t="str">
        <f>Tab_Data_Flows[[#This Row],[E1_UoM]]</f>
        <v>Mg</v>
      </c>
      <c r="AA35" s="139">
        <f>_xlfn.XLOOKUP(Tab_Data_Flows[[#This Row],[Flow_Name]],Tab_Def_Flows[Flow_Name],Tab_Def_Flows[Flow_E3_Fraction'[%']],"N.A.",0,1)</f>
        <v>0.77161500815660689</v>
      </c>
      <c r="AB35" s="6">
        <f>IF(E35="Yes",AA35*Tab_Data_Flows[[#This Row],[E1_value]],"N.A.")</f>
        <v>697795.65209803928</v>
      </c>
      <c r="AC35" s="6" t="str">
        <f>Tab_Data_Flows[[#This Row],[E1_UoM]]</f>
        <v>Mg</v>
      </c>
      <c r="AD35" s="139">
        <f>_xlfn.XLOOKUP(Tab_Data_Flows[[#This Row],[Flow_Name]],Tab_Def_Flows[Flow_Name],Tab_Def_Flows[Flow_E4_Fraction'[%']],"N.A.",0,1)</f>
        <v>0</v>
      </c>
      <c r="AE35" s="6">
        <f>IF(G35="Yes",Tab_Data_Flows[[#This Row],[E4_Fraction'[%']]]*Tab_Data_Flows[[#This Row],[E1_value]],"N.A.")</f>
        <v>0</v>
      </c>
      <c r="AF35" s="6" t="str">
        <f>Tab_Data_Flows[[#This Row],[E1_UoM]]</f>
        <v>Mg</v>
      </c>
      <c r="AG35" s="139">
        <f>_xlfn.XLOOKUP(Tab_Data_Flows[[#This Row],[Flow_Name]],Tab_Def_Flows[Flow_Name],Tab_Def_Flows[Flow_E5_Fraction'[%']],"N.A.",0,1)</f>
        <v>0</v>
      </c>
      <c r="AH35" s="6" t="str">
        <f>IF(H35="Yes",Tab_Data_Flows[[#This Row],[E5_Fraction'[%']]]*Tab_Data_Flows[[#This Row],[E1_value]],"N.A.")</f>
        <v>N.A.</v>
      </c>
      <c r="AI35" s="6" t="str">
        <f>Tab_Data_Flows[[#This Row],[E1_UoM]]</f>
        <v>Mg</v>
      </c>
      <c r="AJ35" s="139">
        <f>_xlfn.XLOOKUP(Tab_Data_Flows[[#This Row],[Flow_Name]],Tab_Def_Flows[Flow_Name],Tab_Def_Flows[Flow_E6_Fraction'[%']],"N.A.",0,1)</f>
        <v>0</v>
      </c>
      <c r="AK35" s="6" t="str">
        <f>IF(Tab_Data_Flows[[#This Row],[Use_E6]]="Yes",Tab_Data_Flows[[#This Row],[E6_Fraction'[%']]]*Tab_Data_Flows[[#This Row],[E1_value]],"N.A.")</f>
        <v>N.A.</v>
      </c>
      <c r="AL35" s="6" t="str">
        <f>Tab_Data_Flows[[#This Row],[E1_UoM]]</f>
        <v>Mg</v>
      </c>
    </row>
    <row r="36" spans="1:38" x14ac:dyDescent="0.25">
      <c r="A36" s="8">
        <f t="shared" si="1"/>
        <v>35</v>
      </c>
      <c r="B36" s="6" t="str">
        <f>_xlfn.XLOOKUP(C36,Tab_Def_Flows[Flow_Name],Tab_Def_Flows[Flow_ID],,0,)</f>
        <v>F_01_02</v>
      </c>
      <c r="C36" s="138" t="s">
        <v>1234</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No</v>
      </c>
      <c r="I36" s="9" t="str">
        <f>_xlfn.XLOOKUP(C36,Tab_Def_Flows[Flow_Name],Tab_Def_Flows[Use_E6],,0,)</f>
        <v>No</v>
      </c>
      <c r="J36" s="188">
        <v>2059</v>
      </c>
      <c r="K36" s="189">
        <v>996260.44896078436</v>
      </c>
      <c r="L36" s="6" t="str">
        <f>'0_Configuration'!$C$41</f>
        <v>Mg</v>
      </c>
      <c r="M36" s="13" t="s">
        <v>1263</v>
      </c>
      <c r="N36" s="13">
        <v>2025</v>
      </c>
      <c r="O36" s="13" t="s">
        <v>1260</v>
      </c>
      <c r="P36" s="13" t="s">
        <v>1261</v>
      </c>
      <c r="Q36" s="13" t="s">
        <v>1297</v>
      </c>
      <c r="R36" s="7" t="s">
        <v>6</v>
      </c>
      <c r="S36" s="14"/>
      <c r="T36" s="7"/>
      <c r="U36" s="139">
        <f>_xlfn.XLOOKUP(Tab_Data_Flows[[#This Row],[Flow_Name]],Tab_Def_Flows[Flow_Name],Tab_Def_Flows[Flow_E1_Fraction'[%']],"N.A.",0,1)</f>
        <v>1</v>
      </c>
      <c r="V36" s="12">
        <f t="shared" si="2"/>
        <v>996260.44896078436</v>
      </c>
      <c r="W36" s="6" t="str">
        <f>Tab_Data_Flows[[#This Row],[UoM_Source]]</f>
        <v>Mg</v>
      </c>
      <c r="X36" s="139">
        <f>_xlfn.XLOOKUP(Tab_Data_Flows[[#This Row],[Flow_Name]],Tab_Def_Flows[Flow_Name],Tab_Def_Flows[Flow_E2_Fraction'[%']],"N.A.",0,1)</f>
        <v>0.22838499184339317</v>
      </c>
      <c r="Y36" s="6">
        <f>IF(D36="Yes",V36*Tab_Data_Flows[[#This Row],[E2_Fraction'[%']]],"N.A.")</f>
        <v>227530.93450980395</v>
      </c>
      <c r="Z36" s="6" t="str">
        <f>Tab_Data_Flows[[#This Row],[E1_UoM]]</f>
        <v>Mg</v>
      </c>
      <c r="AA36" s="139">
        <f>_xlfn.XLOOKUP(Tab_Data_Flows[[#This Row],[Flow_Name]],Tab_Def_Flows[Flow_Name],Tab_Def_Flows[Flow_E3_Fraction'[%']],"N.A.",0,1)</f>
        <v>0.77161500815660689</v>
      </c>
      <c r="AB36" s="6">
        <f>IF(E36="Yes",AA36*Tab_Data_Flows[[#This Row],[E1_value]],"N.A.")</f>
        <v>768729.51445098047</v>
      </c>
      <c r="AC36" s="6" t="str">
        <f>Tab_Data_Flows[[#This Row],[E1_UoM]]</f>
        <v>Mg</v>
      </c>
      <c r="AD36" s="139">
        <f>_xlfn.XLOOKUP(Tab_Data_Flows[[#This Row],[Flow_Name]],Tab_Def_Flows[Flow_Name],Tab_Def_Flows[Flow_E4_Fraction'[%']],"N.A.",0,1)</f>
        <v>0</v>
      </c>
      <c r="AE36" s="6">
        <f>IF(G36="Yes",Tab_Data_Flows[[#This Row],[E4_Fraction'[%']]]*Tab_Data_Flows[[#This Row],[E1_value]],"N.A.")</f>
        <v>0</v>
      </c>
      <c r="AF36" s="6" t="str">
        <f>Tab_Data_Flows[[#This Row],[E1_UoM]]</f>
        <v>Mg</v>
      </c>
      <c r="AG36" s="139">
        <f>_xlfn.XLOOKUP(Tab_Data_Flows[[#This Row],[Flow_Name]],Tab_Def_Flows[Flow_Name],Tab_Def_Flows[Flow_E5_Fraction'[%']],"N.A.",0,1)</f>
        <v>0</v>
      </c>
      <c r="AH36" s="6" t="str">
        <f>IF(H36="Yes",Tab_Data_Flows[[#This Row],[E5_Fraction'[%']]]*Tab_Data_Flows[[#This Row],[E1_value]],"N.A.")</f>
        <v>N.A.</v>
      </c>
      <c r="AI36" s="6" t="str">
        <f>Tab_Data_Flows[[#This Row],[E1_UoM]]</f>
        <v>Mg</v>
      </c>
      <c r="AJ36" s="139">
        <f>_xlfn.XLOOKUP(Tab_Data_Flows[[#This Row],[Flow_Name]],Tab_Def_Flows[Flow_Name],Tab_Def_Flows[Flow_E6_Fraction'[%']],"N.A.",0,1)</f>
        <v>0</v>
      </c>
      <c r="AK36" s="6" t="str">
        <f>IF(Tab_Data_Flows[[#This Row],[Use_E6]]="Yes",Tab_Data_Flows[[#This Row],[E6_Fraction'[%']]]*Tab_Data_Flows[[#This Row],[E1_value]],"N.A.")</f>
        <v>N.A.</v>
      </c>
      <c r="AL36" s="6" t="str">
        <f>Tab_Data_Flows[[#This Row],[E1_UoM]]</f>
        <v>Mg</v>
      </c>
    </row>
    <row r="37" spans="1:38" x14ac:dyDescent="0.25">
      <c r="A37" s="8">
        <f t="shared" si="1"/>
        <v>36</v>
      </c>
      <c r="B37" s="6" t="str">
        <f>_xlfn.XLOOKUP(C37,Tab_Def_Flows[Flow_Name],Tab_Def_Flows[Flow_ID],,0,)</f>
        <v>F_01_02</v>
      </c>
      <c r="C37" s="138" t="s">
        <v>1234</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No</v>
      </c>
      <c r="I37" s="9" t="str">
        <f>_xlfn.XLOOKUP(C37,Tab_Def_Flows[Flow_Name],Tab_Def_Flows[Use_E6],,0,)</f>
        <v>No</v>
      </c>
      <c r="J37" s="188">
        <v>2060</v>
      </c>
      <c r="K37" s="189">
        <v>950844.51698039204</v>
      </c>
      <c r="L37" s="6" t="str">
        <f>'0_Configuration'!$C$41</f>
        <v>Mg</v>
      </c>
      <c r="M37" s="13" t="s">
        <v>1263</v>
      </c>
      <c r="N37" s="13">
        <v>2025</v>
      </c>
      <c r="O37" s="13" t="s">
        <v>1260</v>
      </c>
      <c r="P37" s="13" t="s">
        <v>1261</v>
      </c>
      <c r="Q37" s="13" t="s">
        <v>1298</v>
      </c>
      <c r="R37" s="7" t="s">
        <v>6</v>
      </c>
      <c r="S37" s="14"/>
      <c r="T37" s="7"/>
      <c r="U37" s="139">
        <f>_xlfn.XLOOKUP(Tab_Data_Flows[[#This Row],[Flow_Name]],Tab_Def_Flows[Flow_Name],Tab_Def_Flows[Flow_E1_Fraction'[%']],"N.A.",0,1)</f>
        <v>1</v>
      </c>
      <c r="V37" s="12">
        <f t="shared" si="2"/>
        <v>950844.51698039204</v>
      </c>
      <c r="W37" s="6" t="str">
        <f>Tab_Data_Flows[[#This Row],[UoM_Source]]</f>
        <v>Mg</v>
      </c>
      <c r="X37" s="139">
        <f>_xlfn.XLOOKUP(Tab_Data_Flows[[#This Row],[Flow_Name]],Tab_Def_Flows[Flow_Name],Tab_Def_Flows[Flow_E2_Fraction'[%']],"N.A.",0,1)</f>
        <v>0.22838499184339317</v>
      </c>
      <c r="Y37" s="6">
        <f>IF(D37="Yes",V37*Tab_Data_Flows[[#This Row],[E2_Fraction'[%']]],"N.A.")</f>
        <v>217158.61725490197</v>
      </c>
      <c r="Z37" s="6" t="str">
        <f>Tab_Data_Flows[[#This Row],[E1_UoM]]</f>
        <v>Mg</v>
      </c>
      <c r="AA37" s="139">
        <f>_xlfn.XLOOKUP(Tab_Data_Flows[[#This Row],[Flow_Name]],Tab_Def_Flows[Flow_Name],Tab_Def_Flows[Flow_E3_Fraction'[%']],"N.A.",0,1)</f>
        <v>0.77161500815660689</v>
      </c>
      <c r="AB37" s="6">
        <f>IF(E37="Yes",AA37*Tab_Data_Flows[[#This Row],[E1_value]],"N.A.")</f>
        <v>733685.89972549013</v>
      </c>
      <c r="AC37" s="6" t="str">
        <f>Tab_Data_Flows[[#This Row],[E1_UoM]]</f>
        <v>Mg</v>
      </c>
      <c r="AD37" s="139">
        <f>_xlfn.XLOOKUP(Tab_Data_Flows[[#This Row],[Flow_Name]],Tab_Def_Flows[Flow_Name],Tab_Def_Flows[Flow_E4_Fraction'[%']],"N.A.",0,1)</f>
        <v>0</v>
      </c>
      <c r="AE37" s="6">
        <f>IF(G37="Yes",Tab_Data_Flows[[#This Row],[E4_Fraction'[%']]]*Tab_Data_Flows[[#This Row],[E1_value]],"N.A.")</f>
        <v>0</v>
      </c>
      <c r="AF37" s="6" t="str">
        <f>Tab_Data_Flows[[#This Row],[E1_UoM]]</f>
        <v>Mg</v>
      </c>
      <c r="AG37" s="139">
        <f>_xlfn.XLOOKUP(Tab_Data_Flows[[#This Row],[Flow_Name]],Tab_Def_Flows[Flow_Name],Tab_Def_Flows[Flow_E5_Fraction'[%']],"N.A.",0,1)</f>
        <v>0</v>
      </c>
      <c r="AH37" s="6" t="str">
        <f>IF(H37="Yes",Tab_Data_Flows[[#This Row],[E5_Fraction'[%']]]*Tab_Data_Flows[[#This Row],[E1_value]],"N.A.")</f>
        <v>N.A.</v>
      </c>
      <c r="AI37" s="6" t="str">
        <f>Tab_Data_Flows[[#This Row],[E1_UoM]]</f>
        <v>Mg</v>
      </c>
      <c r="AJ37" s="139">
        <f>_xlfn.XLOOKUP(Tab_Data_Flows[[#This Row],[Flow_Name]],Tab_Def_Flows[Flow_Name],Tab_Def_Flows[Flow_E6_Fraction'[%']],"N.A.",0,1)</f>
        <v>0</v>
      </c>
      <c r="AK37" s="6" t="str">
        <f>IF(Tab_Data_Flows[[#This Row],[Use_E6]]="Yes",Tab_Data_Flows[[#This Row],[E6_Fraction'[%']]]*Tab_Data_Flows[[#This Row],[E1_value]],"N.A.")</f>
        <v>N.A.</v>
      </c>
      <c r="AL37" s="6" t="str">
        <f>Tab_Data_Flows[[#This Row],[E1_UoM]]</f>
        <v>Mg</v>
      </c>
    </row>
    <row r="38" spans="1:38" x14ac:dyDescent="0.25">
      <c r="A38" s="8">
        <f t="shared" si="1"/>
        <v>37</v>
      </c>
      <c r="B38" s="6" t="str">
        <f>_xlfn.XLOOKUP(C38,Tab_Def_Flows[Flow_Name],Tab_Def_Flows[Flow_ID],,0,)</f>
        <v>F_01_02</v>
      </c>
      <c r="C38" s="138" t="s">
        <v>1234</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No</v>
      </c>
      <c r="I38" s="9" t="str">
        <f>_xlfn.XLOOKUP(C38,Tab_Def_Flows[Flow_Name],Tab_Def_Flows[Use_E6],,0,)</f>
        <v>No</v>
      </c>
      <c r="J38" s="188">
        <v>2061</v>
      </c>
      <c r="K38" s="189">
        <v>1006817.2344705882</v>
      </c>
      <c r="L38" s="6" t="str">
        <f>'0_Configuration'!$C$41</f>
        <v>Mg</v>
      </c>
      <c r="M38" s="13" t="s">
        <v>1263</v>
      </c>
      <c r="N38" s="13">
        <v>2025</v>
      </c>
      <c r="O38" s="13" t="s">
        <v>1260</v>
      </c>
      <c r="P38" s="13" t="s">
        <v>1261</v>
      </c>
      <c r="Q38" s="13" t="s">
        <v>1299</v>
      </c>
      <c r="R38" s="7" t="s">
        <v>6</v>
      </c>
      <c r="S38" s="7"/>
      <c r="T38" s="7"/>
      <c r="U38" s="139">
        <f>_xlfn.XLOOKUP(Tab_Data_Flows[[#This Row],[Flow_Name]],Tab_Def_Flows[Flow_Name],Tab_Def_Flows[Flow_E1_Fraction'[%']],"N.A.",0,1)</f>
        <v>1</v>
      </c>
      <c r="V38" s="12">
        <f t="shared" si="2"/>
        <v>1006817.2344705882</v>
      </c>
      <c r="W38" s="6" t="str">
        <f>Tab_Data_Flows[[#This Row],[UoM_Source]]</f>
        <v>Mg</v>
      </c>
      <c r="X38" s="139">
        <f>_xlfn.XLOOKUP(Tab_Data_Flows[[#This Row],[Flow_Name]],Tab_Def_Flows[Flow_Name],Tab_Def_Flows[Flow_E2_Fraction'[%']],"N.A.",0,1)</f>
        <v>0.22838499184339317</v>
      </c>
      <c r="Y38" s="6">
        <f>IF(D38="Yes",V38*Tab_Data_Flows[[#This Row],[E2_Fraction'[%']]],"N.A.")</f>
        <v>229941.94588235294</v>
      </c>
      <c r="Z38" s="6" t="str">
        <f>Tab_Data_Flows[[#This Row],[E1_UoM]]</f>
        <v>Mg</v>
      </c>
      <c r="AA38" s="139">
        <f>_xlfn.XLOOKUP(Tab_Data_Flows[[#This Row],[Flow_Name]],Tab_Def_Flows[Flow_Name],Tab_Def_Flows[Flow_E3_Fraction'[%']],"N.A.",0,1)</f>
        <v>0.77161500815660689</v>
      </c>
      <c r="AB38" s="6">
        <f>IF(E38="Yes",AA38*Tab_Data_Flows[[#This Row],[E1_value]],"N.A.")</f>
        <v>776875.28858823527</v>
      </c>
      <c r="AC38" s="6" t="str">
        <f>Tab_Data_Flows[[#This Row],[E1_UoM]]</f>
        <v>Mg</v>
      </c>
      <c r="AD38" s="139">
        <f>_xlfn.XLOOKUP(Tab_Data_Flows[[#This Row],[Flow_Name]],Tab_Def_Flows[Flow_Name],Tab_Def_Flows[Flow_E4_Fraction'[%']],"N.A.",0,1)</f>
        <v>0</v>
      </c>
      <c r="AE38" s="6">
        <f>IF(G38="Yes",Tab_Data_Flows[[#This Row],[E4_Fraction'[%']]]*Tab_Data_Flows[[#This Row],[E1_value]],"N.A.")</f>
        <v>0</v>
      </c>
      <c r="AF38" s="6" t="str">
        <f>Tab_Data_Flows[[#This Row],[E1_UoM]]</f>
        <v>Mg</v>
      </c>
      <c r="AG38" s="139">
        <f>_xlfn.XLOOKUP(Tab_Data_Flows[[#This Row],[Flow_Name]],Tab_Def_Flows[Flow_Name],Tab_Def_Flows[Flow_E5_Fraction'[%']],"N.A.",0,1)</f>
        <v>0</v>
      </c>
      <c r="AH38" s="6" t="str">
        <f>IF(H38="Yes",Tab_Data_Flows[[#This Row],[E5_Fraction'[%']]]*Tab_Data_Flows[[#This Row],[E1_value]],"N.A.")</f>
        <v>N.A.</v>
      </c>
      <c r="AI38" s="6" t="str">
        <f>Tab_Data_Flows[[#This Row],[E1_UoM]]</f>
        <v>Mg</v>
      </c>
      <c r="AJ38" s="139">
        <f>_xlfn.XLOOKUP(Tab_Data_Flows[[#This Row],[Flow_Name]],Tab_Def_Flows[Flow_Name],Tab_Def_Flows[Flow_E6_Fraction'[%']],"N.A.",0,1)</f>
        <v>0</v>
      </c>
      <c r="AK38" s="6" t="str">
        <f>IF(Tab_Data_Flows[[#This Row],[Use_E6]]="Yes",Tab_Data_Flows[[#This Row],[E6_Fraction'[%']]]*Tab_Data_Flows[[#This Row],[E1_value]],"N.A.")</f>
        <v>N.A.</v>
      </c>
      <c r="AL38" s="6" t="str">
        <f>Tab_Data_Flows[[#This Row],[E1_UoM]]</f>
        <v>Mg</v>
      </c>
    </row>
    <row r="39" spans="1:38" x14ac:dyDescent="0.25">
      <c r="A39" s="8">
        <f t="shared" si="1"/>
        <v>38</v>
      </c>
      <c r="B39" s="6" t="str">
        <f>_xlfn.XLOOKUP(C39,Tab_Def_Flows[Flow_Name],Tab_Def_Flows[Flow_ID],,0,)</f>
        <v>F_01_02</v>
      </c>
      <c r="C39" s="138" t="s">
        <v>1234</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No</v>
      </c>
      <c r="I39" s="9" t="str">
        <f>_xlfn.XLOOKUP(C39,Tab_Def_Flows[Flow_Name],Tab_Def_Flows[Use_E6],,0,)</f>
        <v>No</v>
      </c>
      <c r="J39" s="188">
        <v>2062</v>
      </c>
      <c r="K39" s="189">
        <v>947930.29094117647</v>
      </c>
      <c r="L39" s="6" t="str">
        <f>'0_Configuration'!$C$41</f>
        <v>Mg</v>
      </c>
      <c r="M39" s="13" t="s">
        <v>1263</v>
      </c>
      <c r="N39" s="13">
        <v>2025</v>
      </c>
      <c r="O39" s="13" t="s">
        <v>1260</v>
      </c>
      <c r="P39" s="13" t="s">
        <v>1261</v>
      </c>
      <c r="Q39" s="13" t="s">
        <v>1300</v>
      </c>
      <c r="R39" s="7" t="s">
        <v>6</v>
      </c>
      <c r="S39" s="7"/>
      <c r="T39" s="7"/>
      <c r="U39" s="139">
        <f>_xlfn.XLOOKUP(Tab_Data_Flows[[#This Row],[Flow_Name]],Tab_Def_Flows[Flow_Name],Tab_Def_Flows[Flow_E1_Fraction'[%']],"N.A.",0,1)</f>
        <v>1</v>
      </c>
      <c r="V39" s="12">
        <f t="shared" si="2"/>
        <v>947930.29094117647</v>
      </c>
      <c r="W39" s="6" t="str">
        <f>Tab_Data_Flows[[#This Row],[UoM_Source]]</f>
        <v>Mg</v>
      </c>
      <c r="X39" s="139">
        <f>_xlfn.XLOOKUP(Tab_Data_Flows[[#This Row],[Flow_Name]],Tab_Def_Flows[Flow_Name],Tab_Def_Flows[Flow_E2_Fraction'[%']],"N.A.",0,1)</f>
        <v>0.22838499184339317</v>
      </c>
      <c r="Y39" s="6">
        <f>IF(D39="Yes",V39*Tab_Data_Flows[[#This Row],[E2_Fraction'[%']]],"N.A.")</f>
        <v>216493.05176470592</v>
      </c>
      <c r="Z39" s="6" t="str">
        <f>Tab_Data_Flows[[#This Row],[E1_UoM]]</f>
        <v>Mg</v>
      </c>
      <c r="AA39" s="139">
        <f>_xlfn.XLOOKUP(Tab_Data_Flows[[#This Row],[Flow_Name]],Tab_Def_Flows[Flow_Name],Tab_Def_Flows[Flow_E3_Fraction'[%']],"N.A.",0,1)</f>
        <v>0.77161500815660689</v>
      </c>
      <c r="AB39" s="6">
        <f>IF(E39="Yes",AA39*Tab_Data_Flows[[#This Row],[E1_value]],"N.A.")</f>
        <v>731437.23917647067</v>
      </c>
      <c r="AC39" s="6" t="str">
        <f>Tab_Data_Flows[[#This Row],[E1_UoM]]</f>
        <v>Mg</v>
      </c>
      <c r="AD39" s="139">
        <f>_xlfn.XLOOKUP(Tab_Data_Flows[[#This Row],[Flow_Name]],Tab_Def_Flows[Flow_Name],Tab_Def_Flows[Flow_E4_Fraction'[%']],"N.A.",0,1)</f>
        <v>0</v>
      </c>
      <c r="AE39" s="6">
        <f>IF(G39="Yes",Tab_Data_Flows[[#This Row],[E4_Fraction'[%']]]*Tab_Data_Flows[[#This Row],[E1_value]],"N.A.")</f>
        <v>0</v>
      </c>
      <c r="AF39" s="6" t="str">
        <f>Tab_Data_Flows[[#This Row],[E1_UoM]]</f>
        <v>Mg</v>
      </c>
      <c r="AG39" s="139">
        <f>_xlfn.XLOOKUP(Tab_Data_Flows[[#This Row],[Flow_Name]],Tab_Def_Flows[Flow_Name],Tab_Def_Flows[Flow_E5_Fraction'[%']],"N.A.",0,1)</f>
        <v>0</v>
      </c>
      <c r="AH39" s="6" t="str">
        <f>IF(H39="Yes",Tab_Data_Flows[[#This Row],[E5_Fraction'[%']]]*Tab_Data_Flows[[#This Row],[E1_value]],"N.A.")</f>
        <v>N.A.</v>
      </c>
      <c r="AI39" s="6" t="str">
        <f>Tab_Data_Flows[[#This Row],[E1_UoM]]</f>
        <v>Mg</v>
      </c>
      <c r="AJ39" s="139">
        <f>_xlfn.XLOOKUP(Tab_Data_Flows[[#This Row],[Flow_Name]],Tab_Def_Flows[Flow_Name],Tab_Def_Flows[Flow_E6_Fraction'[%']],"N.A.",0,1)</f>
        <v>0</v>
      </c>
      <c r="AK39" s="6" t="str">
        <f>IF(Tab_Data_Flows[[#This Row],[Use_E6]]="Yes",Tab_Data_Flows[[#This Row],[E6_Fraction'[%']]]*Tab_Data_Flows[[#This Row],[E1_value]],"N.A.")</f>
        <v>N.A.</v>
      </c>
      <c r="AL39" s="6" t="str">
        <f>Tab_Data_Flows[[#This Row],[E1_UoM]]</f>
        <v>Mg</v>
      </c>
    </row>
    <row r="40" spans="1:38" x14ac:dyDescent="0.25">
      <c r="A40" s="8">
        <f t="shared" si="1"/>
        <v>39</v>
      </c>
      <c r="B40" s="6" t="str">
        <f>_xlfn.XLOOKUP(C40,Tab_Def_Flows[Flow_Name],Tab_Def_Flows[Flow_ID],,0,)</f>
        <v>F_01_02</v>
      </c>
      <c r="C40" s="138" t="s">
        <v>1234</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No</v>
      </c>
      <c r="I40" s="9" t="str">
        <f>_xlfn.XLOOKUP(C40,Tab_Def_Flows[Flow_Name],Tab_Def_Flows[Use_E6],,0,)</f>
        <v>No</v>
      </c>
      <c r="J40" s="188">
        <v>2063</v>
      </c>
      <c r="K40" s="189">
        <v>1005598.5904705882</v>
      </c>
      <c r="L40" s="6" t="str">
        <f>'0_Configuration'!$C$41</f>
        <v>Mg</v>
      </c>
      <c r="M40" s="13" t="s">
        <v>1263</v>
      </c>
      <c r="N40" s="13">
        <v>2025</v>
      </c>
      <c r="O40" s="13" t="s">
        <v>1260</v>
      </c>
      <c r="P40" s="13" t="s">
        <v>1261</v>
      </c>
      <c r="Q40" s="13" t="s">
        <v>1301</v>
      </c>
      <c r="R40" s="7" t="s">
        <v>6</v>
      </c>
      <c r="S40" s="7"/>
      <c r="T40" s="7"/>
      <c r="U40" s="139">
        <f>_xlfn.XLOOKUP(Tab_Data_Flows[[#This Row],[Flow_Name]],Tab_Def_Flows[Flow_Name],Tab_Def_Flows[Flow_E1_Fraction'[%']],"N.A.",0,1)</f>
        <v>1</v>
      </c>
      <c r="V40" s="12">
        <f t="shared" si="2"/>
        <v>1005598.5904705882</v>
      </c>
      <c r="W40" s="6" t="str">
        <f>Tab_Data_Flows[[#This Row],[UoM_Source]]</f>
        <v>Mg</v>
      </c>
      <c r="X40" s="139">
        <f>_xlfn.XLOOKUP(Tab_Data_Flows[[#This Row],[Flow_Name]],Tab_Def_Flows[Flow_Name],Tab_Def_Flows[Flow_E2_Fraction'[%']],"N.A.",0,1)</f>
        <v>0.22838499184339317</v>
      </c>
      <c r="Y40" s="6">
        <f>IF(D40="Yes",V40*Tab_Data_Flows[[#This Row],[E2_Fraction'[%']]],"N.A.")</f>
        <v>229663.62588235296</v>
      </c>
      <c r="Z40" s="6" t="str">
        <f>Tab_Data_Flows[[#This Row],[E1_UoM]]</f>
        <v>Mg</v>
      </c>
      <c r="AA40" s="139">
        <f>_xlfn.XLOOKUP(Tab_Data_Flows[[#This Row],[Flow_Name]],Tab_Def_Flows[Flow_Name],Tab_Def_Flows[Flow_E3_Fraction'[%']],"N.A.",0,1)</f>
        <v>0.77161500815660689</v>
      </c>
      <c r="AB40" s="6">
        <f>IF(E40="Yes",AA40*Tab_Data_Flows[[#This Row],[E1_value]],"N.A.")</f>
        <v>775934.96458823525</v>
      </c>
      <c r="AC40" s="6" t="str">
        <f>Tab_Data_Flows[[#This Row],[E1_UoM]]</f>
        <v>Mg</v>
      </c>
      <c r="AD40" s="139">
        <f>_xlfn.XLOOKUP(Tab_Data_Flows[[#This Row],[Flow_Name]],Tab_Def_Flows[Flow_Name],Tab_Def_Flows[Flow_E4_Fraction'[%']],"N.A.",0,1)</f>
        <v>0</v>
      </c>
      <c r="AE40" s="6">
        <f>IF(G40="Yes",Tab_Data_Flows[[#This Row],[E4_Fraction'[%']]]*Tab_Data_Flows[[#This Row],[E1_value]],"N.A.")</f>
        <v>0</v>
      </c>
      <c r="AF40" s="6" t="str">
        <f>Tab_Data_Flows[[#This Row],[E1_UoM]]</f>
        <v>Mg</v>
      </c>
      <c r="AG40" s="139">
        <f>_xlfn.XLOOKUP(Tab_Data_Flows[[#This Row],[Flow_Name]],Tab_Def_Flows[Flow_Name],Tab_Def_Flows[Flow_E5_Fraction'[%']],"N.A.",0,1)</f>
        <v>0</v>
      </c>
      <c r="AH40" s="6" t="str">
        <f>IF(H40="Yes",Tab_Data_Flows[[#This Row],[E5_Fraction'[%']]]*Tab_Data_Flows[[#This Row],[E1_value]],"N.A.")</f>
        <v>N.A.</v>
      </c>
      <c r="AI40" s="6" t="str">
        <f>Tab_Data_Flows[[#This Row],[E1_UoM]]</f>
        <v>Mg</v>
      </c>
      <c r="AJ40" s="139">
        <f>_xlfn.XLOOKUP(Tab_Data_Flows[[#This Row],[Flow_Name]],Tab_Def_Flows[Flow_Name],Tab_Def_Flows[Flow_E6_Fraction'[%']],"N.A.",0,1)</f>
        <v>0</v>
      </c>
      <c r="AK40" s="6" t="str">
        <f>IF(Tab_Data_Flows[[#This Row],[Use_E6]]="Yes",Tab_Data_Flows[[#This Row],[E6_Fraction'[%']]]*Tab_Data_Flows[[#This Row],[E1_value]],"N.A.")</f>
        <v>N.A.</v>
      </c>
      <c r="AL40" s="6" t="str">
        <f>Tab_Data_Flows[[#This Row],[E1_UoM]]</f>
        <v>Mg</v>
      </c>
    </row>
    <row r="41" spans="1:38" x14ac:dyDescent="0.25">
      <c r="A41" s="8">
        <f t="shared" si="1"/>
        <v>40</v>
      </c>
      <c r="B41" s="6" t="str">
        <f>_xlfn.XLOOKUP(C41,Tab_Def_Flows[Flow_Name],Tab_Def_Flows[Flow_ID],,0,)</f>
        <v>F_01_02</v>
      </c>
      <c r="C41" s="138" t="s">
        <v>1234</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No</v>
      </c>
      <c r="I41" s="9" t="str">
        <f>_xlfn.XLOOKUP(C41,Tab_Def_Flows[Flow_Name],Tab_Def_Flows[Use_E6],,0,)</f>
        <v>No</v>
      </c>
      <c r="J41" s="188">
        <v>2064</v>
      </c>
      <c r="K41" s="189">
        <v>1085586.7007843137</v>
      </c>
      <c r="L41" s="6" t="str">
        <f>'0_Configuration'!$C$41</f>
        <v>Mg</v>
      </c>
      <c r="M41" s="13" t="s">
        <v>1263</v>
      </c>
      <c r="N41" s="13">
        <v>2025</v>
      </c>
      <c r="O41" s="13" t="s">
        <v>1260</v>
      </c>
      <c r="P41" s="13" t="s">
        <v>1261</v>
      </c>
      <c r="Q41" s="13" t="s">
        <v>1302</v>
      </c>
      <c r="R41" s="7" t="s">
        <v>6</v>
      </c>
      <c r="S41" s="7"/>
      <c r="T41" s="7"/>
      <c r="U41" s="139">
        <f>_xlfn.XLOOKUP(Tab_Data_Flows[[#This Row],[Flow_Name]],Tab_Def_Flows[Flow_Name],Tab_Def_Flows[Flow_E1_Fraction'[%']],"N.A.",0,1)</f>
        <v>1</v>
      </c>
      <c r="V41" s="12">
        <f t="shared" si="2"/>
        <v>1085586.7007843137</v>
      </c>
      <c r="W41" s="6" t="str">
        <f>Tab_Data_Flows[[#This Row],[UoM_Source]]</f>
        <v>Mg</v>
      </c>
      <c r="X41" s="139">
        <f>_xlfn.XLOOKUP(Tab_Data_Flows[[#This Row],[Flow_Name]],Tab_Def_Flows[Flow_Name],Tab_Def_Flows[Flow_E2_Fraction'[%']],"N.A.",0,1)</f>
        <v>0.22838499184339317</v>
      </c>
      <c r="Y41" s="6">
        <f>IF(D41="Yes",V41*Tab_Data_Flows[[#This Row],[E2_Fraction'[%']]],"N.A.")</f>
        <v>247931.70980392158</v>
      </c>
      <c r="Z41" s="6" t="str">
        <f>Tab_Data_Flows[[#This Row],[E1_UoM]]</f>
        <v>Mg</v>
      </c>
      <c r="AA41" s="139">
        <f>_xlfn.XLOOKUP(Tab_Data_Flows[[#This Row],[Flow_Name]],Tab_Def_Flows[Flow_Name],Tab_Def_Flows[Flow_E3_Fraction'[%']],"N.A.",0,1)</f>
        <v>0.77161500815660689</v>
      </c>
      <c r="AB41" s="6">
        <f>IF(E41="Yes",AA41*Tab_Data_Flows[[#This Row],[E1_value]],"N.A.")</f>
        <v>837654.99098039221</v>
      </c>
      <c r="AC41" s="6" t="str">
        <f>Tab_Data_Flows[[#This Row],[E1_UoM]]</f>
        <v>Mg</v>
      </c>
      <c r="AD41" s="139">
        <f>_xlfn.XLOOKUP(Tab_Data_Flows[[#This Row],[Flow_Name]],Tab_Def_Flows[Flow_Name],Tab_Def_Flows[Flow_E4_Fraction'[%']],"N.A.",0,1)</f>
        <v>0</v>
      </c>
      <c r="AE41" s="6">
        <f>IF(G41="Yes",Tab_Data_Flows[[#This Row],[E4_Fraction'[%']]]*Tab_Data_Flows[[#This Row],[E1_value]],"N.A.")</f>
        <v>0</v>
      </c>
      <c r="AF41" s="6" t="str">
        <f>Tab_Data_Flows[[#This Row],[E1_UoM]]</f>
        <v>Mg</v>
      </c>
      <c r="AG41" s="139">
        <f>_xlfn.XLOOKUP(Tab_Data_Flows[[#This Row],[Flow_Name]],Tab_Def_Flows[Flow_Name],Tab_Def_Flows[Flow_E5_Fraction'[%']],"N.A.",0,1)</f>
        <v>0</v>
      </c>
      <c r="AH41" s="6" t="str">
        <f>IF(H41="Yes",Tab_Data_Flows[[#This Row],[E5_Fraction'[%']]]*Tab_Data_Flows[[#This Row],[E1_value]],"N.A.")</f>
        <v>N.A.</v>
      </c>
      <c r="AI41" s="6" t="str">
        <f>Tab_Data_Flows[[#This Row],[E1_UoM]]</f>
        <v>Mg</v>
      </c>
      <c r="AJ41" s="139">
        <f>_xlfn.XLOOKUP(Tab_Data_Flows[[#This Row],[Flow_Name]],Tab_Def_Flows[Flow_Name],Tab_Def_Flows[Flow_E6_Fraction'[%']],"N.A.",0,1)</f>
        <v>0</v>
      </c>
      <c r="AK41" s="6" t="str">
        <f>IF(Tab_Data_Flows[[#This Row],[Use_E6]]="Yes",Tab_Data_Flows[[#This Row],[E6_Fraction'[%']]]*Tab_Data_Flows[[#This Row],[E1_value]],"N.A.")</f>
        <v>N.A.</v>
      </c>
      <c r="AL41" s="6" t="str">
        <f>Tab_Data_Flows[[#This Row],[E1_UoM]]</f>
        <v>Mg</v>
      </c>
    </row>
    <row r="42" spans="1:38" x14ac:dyDescent="0.25">
      <c r="A42" s="8">
        <f t="shared" si="1"/>
        <v>41</v>
      </c>
      <c r="B42" s="6" t="str">
        <f>_xlfn.XLOOKUP(C42,Tab_Def_Flows[Flow_Name],Tab_Def_Flows[Flow_ID],,0,)</f>
        <v>F_01_02</v>
      </c>
      <c r="C42" s="138" t="s">
        <v>1234</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No</v>
      </c>
      <c r="I42" s="9" t="str">
        <f>_xlfn.XLOOKUP(C42,Tab_Def_Flows[Flow_Name],Tab_Def_Flows[Use_E6],,0,)</f>
        <v>No</v>
      </c>
      <c r="J42" s="188">
        <v>2065</v>
      </c>
      <c r="K42" s="189">
        <v>1132042.653372549</v>
      </c>
      <c r="L42" s="6" t="str">
        <f>'0_Configuration'!$C$41</f>
        <v>Mg</v>
      </c>
      <c r="M42" s="13" t="s">
        <v>1263</v>
      </c>
      <c r="N42" s="13">
        <v>2025</v>
      </c>
      <c r="O42" s="13" t="s">
        <v>1260</v>
      </c>
      <c r="P42" s="13" t="s">
        <v>1261</v>
      </c>
      <c r="Q42" s="13" t="s">
        <v>1303</v>
      </c>
      <c r="R42" s="7" t="s">
        <v>6</v>
      </c>
      <c r="S42" s="7"/>
      <c r="T42" s="7"/>
      <c r="U42" s="139">
        <f>_xlfn.XLOOKUP(Tab_Data_Flows[[#This Row],[Flow_Name]],Tab_Def_Flows[Flow_Name],Tab_Def_Flows[Flow_E1_Fraction'[%']],"N.A.",0,1)</f>
        <v>1</v>
      </c>
      <c r="V42" s="12">
        <f t="shared" si="2"/>
        <v>1132042.653372549</v>
      </c>
      <c r="W42" s="6" t="str">
        <f>Tab_Data_Flows[[#This Row],[UoM_Source]]</f>
        <v>Mg</v>
      </c>
      <c r="X42" s="139">
        <f>_xlfn.XLOOKUP(Tab_Data_Flows[[#This Row],[Flow_Name]],Tab_Def_Flows[Flow_Name],Tab_Def_Flows[Flow_E2_Fraction'[%']],"N.A.",0,1)</f>
        <v>0.22838499184339317</v>
      </c>
      <c r="Y42" s="6">
        <f>IF(D42="Yes",V42*Tab_Data_Flows[[#This Row],[E2_Fraction'[%']]],"N.A.")</f>
        <v>258541.55215686277</v>
      </c>
      <c r="Z42" s="6" t="str">
        <f>Tab_Data_Flows[[#This Row],[E1_UoM]]</f>
        <v>Mg</v>
      </c>
      <c r="AA42" s="139">
        <f>_xlfn.XLOOKUP(Tab_Data_Flows[[#This Row],[Flow_Name]],Tab_Def_Flows[Flow_Name],Tab_Def_Flows[Flow_E3_Fraction'[%']],"N.A.",0,1)</f>
        <v>0.77161500815660689</v>
      </c>
      <c r="AB42" s="6">
        <f>IF(E42="Yes",AA42*Tab_Data_Flows[[#This Row],[E1_value]],"N.A.")</f>
        <v>873501.1012156863</v>
      </c>
      <c r="AC42" s="6" t="str">
        <f>Tab_Data_Flows[[#This Row],[E1_UoM]]</f>
        <v>Mg</v>
      </c>
      <c r="AD42" s="139">
        <f>_xlfn.XLOOKUP(Tab_Data_Flows[[#This Row],[Flow_Name]],Tab_Def_Flows[Flow_Name],Tab_Def_Flows[Flow_E4_Fraction'[%']],"N.A.",0,1)</f>
        <v>0</v>
      </c>
      <c r="AE42" s="6">
        <f>IF(G42="Yes",Tab_Data_Flows[[#This Row],[E4_Fraction'[%']]]*Tab_Data_Flows[[#This Row],[E1_value]],"N.A.")</f>
        <v>0</v>
      </c>
      <c r="AF42" s="6" t="str">
        <f>Tab_Data_Flows[[#This Row],[E1_UoM]]</f>
        <v>Mg</v>
      </c>
      <c r="AG42" s="139">
        <f>_xlfn.XLOOKUP(Tab_Data_Flows[[#This Row],[Flow_Name]],Tab_Def_Flows[Flow_Name],Tab_Def_Flows[Flow_E5_Fraction'[%']],"N.A.",0,1)</f>
        <v>0</v>
      </c>
      <c r="AH42" s="6" t="str">
        <f>IF(H42="Yes",Tab_Data_Flows[[#This Row],[E5_Fraction'[%']]]*Tab_Data_Flows[[#This Row],[E1_value]],"N.A.")</f>
        <v>N.A.</v>
      </c>
      <c r="AI42" s="6" t="str">
        <f>Tab_Data_Flows[[#This Row],[E1_UoM]]</f>
        <v>Mg</v>
      </c>
      <c r="AJ42" s="139">
        <f>_xlfn.XLOOKUP(Tab_Data_Flows[[#This Row],[Flow_Name]],Tab_Def_Flows[Flow_Name],Tab_Def_Flows[Flow_E6_Fraction'[%']],"N.A.",0,1)</f>
        <v>0</v>
      </c>
      <c r="AK42" s="6" t="str">
        <f>IF(Tab_Data_Flows[[#This Row],[Use_E6]]="Yes",Tab_Data_Flows[[#This Row],[E6_Fraction'[%']]]*Tab_Data_Flows[[#This Row],[E1_value]],"N.A.")</f>
        <v>N.A.</v>
      </c>
      <c r="AL42" s="6" t="str">
        <f>Tab_Data_Flows[[#This Row],[E1_UoM]]</f>
        <v>Mg</v>
      </c>
    </row>
    <row r="43" spans="1:38" x14ac:dyDescent="0.25">
      <c r="A43" s="8">
        <f t="shared" si="1"/>
        <v>42</v>
      </c>
      <c r="B43" s="6" t="str">
        <f>_xlfn.XLOOKUP(C43,Tab_Def_Flows[Flow_Name],Tab_Def_Flows[Flow_ID],,0,)</f>
        <v>F_01_02</v>
      </c>
      <c r="C43" s="138" t="s">
        <v>1234</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No</v>
      </c>
      <c r="I43" s="9" t="str">
        <f>_xlfn.XLOOKUP(C43,Tab_Def_Flows[Flow_Name],Tab_Def_Flows[Use_E6],,0,)</f>
        <v>No</v>
      </c>
      <c r="J43" s="188">
        <v>2066</v>
      </c>
      <c r="K43" s="189">
        <v>1010595.3457843137</v>
      </c>
      <c r="L43" s="6" t="str">
        <f>'0_Configuration'!$C$41</f>
        <v>Mg</v>
      </c>
      <c r="M43" s="13" t="s">
        <v>1263</v>
      </c>
      <c r="N43" s="13">
        <v>2025</v>
      </c>
      <c r="O43" s="13" t="s">
        <v>1260</v>
      </c>
      <c r="P43" s="13" t="s">
        <v>1261</v>
      </c>
      <c r="Q43" s="13" t="s">
        <v>1304</v>
      </c>
      <c r="R43" s="7" t="s">
        <v>6</v>
      </c>
      <c r="S43" s="7"/>
      <c r="T43" s="7"/>
      <c r="U43" s="139">
        <f>_xlfn.XLOOKUP(Tab_Data_Flows[[#This Row],[Flow_Name]],Tab_Def_Flows[Flow_Name],Tab_Def_Flows[Flow_E1_Fraction'[%']],"N.A.",0,1)</f>
        <v>1</v>
      </c>
      <c r="V43" s="12">
        <f t="shared" si="2"/>
        <v>1010595.3457843137</v>
      </c>
      <c r="W43" s="6" t="str">
        <f>Tab_Data_Flows[[#This Row],[UoM_Source]]</f>
        <v>Mg</v>
      </c>
      <c r="X43" s="139">
        <f>_xlfn.XLOOKUP(Tab_Data_Flows[[#This Row],[Flow_Name]],Tab_Def_Flows[Flow_Name],Tab_Def_Flows[Flow_E2_Fraction'[%']],"N.A.",0,1)</f>
        <v>0.22838499184339317</v>
      </c>
      <c r="Y43" s="6">
        <f>IF(D43="Yes",V43*Tab_Data_Flows[[#This Row],[E2_Fraction'[%']]],"N.A.")</f>
        <v>230804.80980392158</v>
      </c>
      <c r="Z43" s="6" t="str">
        <f>Tab_Data_Flows[[#This Row],[E1_UoM]]</f>
        <v>Mg</v>
      </c>
      <c r="AA43" s="139">
        <f>_xlfn.XLOOKUP(Tab_Data_Flows[[#This Row],[Flow_Name]],Tab_Def_Flows[Flow_Name],Tab_Def_Flows[Flow_E3_Fraction'[%']],"N.A.",0,1)</f>
        <v>0.77161500815660689</v>
      </c>
      <c r="AB43" s="6">
        <f>IF(E43="Yes",AA43*Tab_Data_Flows[[#This Row],[E1_value]],"N.A.")</f>
        <v>779790.53598039225</v>
      </c>
      <c r="AC43" s="6" t="str">
        <f>Tab_Data_Flows[[#This Row],[E1_UoM]]</f>
        <v>Mg</v>
      </c>
      <c r="AD43" s="139">
        <f>_xlfn.XLOOKUP(Tab_Data_Flows[[#This Row],[Flow_Name]],Tab_Def_Flows[Flow_Name],Tab_Def_Flows[Flow_E4_Fraction'[%']],"N.A.",0,1)</f>
        <v>0</v>
      </c>
      <c r="AE43" s="6">
        <f>IF(G43="Yes",Tab_Data_Flows[[#This Row],[E4_Fraction'[%']]]*Tab_Data_Flows[[#This Row],[E1_value]],"N.A.")</f>
        <v>0</v>
      </c>
      <c r="AF43" s="6" t="str">
        <f>Tab_Data_Flows[[#This Row],[E1_UoM]]</f>
        <v>Mg</v>
      </c>
      <c r="AG43" s="139">
        <f>_xlfn.XLOOKUP(Tab_Data_Flows[[#This Row],[Flow_Name]],Tab_Def_Flows[Flow_Name],Tab_Def_Flows[Flow_E5_Fraction'[%']],"N.A.",0,1)</f>
        <v>0</v>
      </c>
      <c r="AH43" s="6" t="str">
        <f>IF(H43="Yes",Tab_Data_Flows[[#This Row],[E5_Fraction'[%']]]*Tab_Data_Flows[[#This Row],[E1_value]],"N.A.")</f>
        <v>N.A.</v>
      </c>
      <c r="AI43" s="6" t="str">
        <f>Tab_Data_Flows[[#This Row],[E1_UoM]]</f>
        <v>Mg</v>
      </c>
      <c r="AJ43" s="139">
        <f>_xlfn.XLOOKUP(Tab_Data_Flows[[#This Row],[Flow_Name]],Tab_Def_Flows[Flow_Name],Tab_Def_Flows[Flow_E6_Fraction'[%']],"N.A.",0,1)</f>
        <v>0</v>
      </c>
      <c r="AK43" s="6" t="str">
        <f>IF(Tab_Data_Flows[[#This Row],[Use_E6]]="Yes",Tab_Data_Flows[[#This Row],[E6_Fraction'[%']]]*Tab_Data_Flows[[#This Row],[E1_value]],"N.A.")</f>
        <v>N.A.</v>
      </c>
      <c r="AL43" s="6" t="str">
        <f>Tab_Data_Flows[[#This Row],[E1_UoM]]</f>
        <v>Mg</v>
      </c>
    </row>
    <row r="44" spans="1:38" x14ac:dyDescent="0.25">
      <c r="A44" s="8">
        <f t="shared" si="1"/>
        <v>43</v>
      </c>
      <c r="B44" s="6" t="str">
        <f>_xlfn.XLOOKUP(C44,Tab_Def_Flows[Flow_Name],Tab_Def_Flows[Flow_ID],,0,)</f>
        <v>F_01_02</v>
      </c>
      <c r="C44" s="138" t="s">
        <v>1234</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No</v>
      </c>
      <c r="I44" s="9" t="str">
        <f>_xlfn.XLOOKUP(C44,Tab_Def_Flows[Flow_Name],Tab_Def_Flows[Use_E6],,0,)</f>
        <v>No</v>
      </c>
      <c r="J44" s="188">
        <v>2067</v>
      </c>
      <c r="K44" s="189">
        <v>868411.58237254922</v>
      </c>
      <c r="L44" s="6" t="str">
        <f>'0_Configuration'!$C$41</f>
        <v>Mg</v>
      </c>
      <c r="M44" s="13" t="s">
        <v>1263</v>
      </c>
      <c r="N44" s="13">
        <v>2025</v>
      </c>
      <c r="O44" s="13" t="s">
        <v>1260</v>
      </c>
      <c r="P44" s="13" t="s">
        <v>1261</v>
      </c>
      <c r="Q44" s="13" t="s">
        <v>1305</v>
      </c>
      <c r="R44" s="7" t="s">
        <v>6</v>
      </c>
      <c r="S44" s="7"/>
      <c r="T44" s="7"/>
      <c r="U44" s="139">
        <f>_xlfn.XLOOKUP(Tab_Data_Flows[[#This Row],[Flow_Name]],Tab_Def_Flows[Flow_Name],Tab_Def_Flows[Flow_E1_Fraction'[%']],"N.A.",0,1)</f>
        <v>1</v>
      </c>
      <c r="V44" s="12">
        <f t="shared" si="2"/>
        <v>868411.58237254922</v>
      </c>
      <c r="W44" s="6" t="str">
        <f>Tab_Data_Flows[[#This Row],[UoM_Source]]</f>
        <v>Mg</v>
      </c>
      <c r="X44" s="139">
        <f>_xlfn.XLOOKUP(Tab_Data_Flows[[#This Row],[Flow_Name]],Tab_Def_Flows[Flow_Name],Tab_Def_Flows[Flow_E2_Fraction'[%']],"N.A.",0,1)</f>
        <v>0.22838499184339317</v>
      </c>
      <c r="Y44" s="6">
        <f>IF(D44="Yes",V44*Tab_Data_Flows[[#This Row],[E2_Fraction'[%']]],"N.A.")</f>
        <v>198332.1721568628</v>
      </c>
      <c r="Z44" s="6" t="str">
        <f>Tab_Data_Flows[[#This Row],[E1_UoM]]</f>
        <v>Mg</v>
      </c>
      <c r="AA44" s="139">
        <f>_xlfn.XLOOKUP(Tab_Data_Flows[[#This Row],[Flow_Name]],Tab_Def_Flows[Flow_Name],Tab_Def_Flows[Flow_E3_Fraction'[%']],"N.A.",0,1)</f>
        <v>0.77161500815660689</v>
      </c>
      <c r="AB44" s="6">
        <f>IF(E44="Yes",AA44*Tab_Data_Flows[[#This Row],[E1_value]],"N.A.")</f>
        <v>670079.41021568642</v>
      </c>
      <c r="AC44" s="6" t="str">
        <f>Tab_Data_Flows[[#This Row],[E1_UoM]]</f>
        <v>Mg</v>
      </c>
      <c r="AD44" s="139">
        <f>_xlfn.XLOOKUP(Tab_Data_Flows[[#This Row],[Flow_Name]],Tab_Def_Flows[Flow_Name],Tab_Def_Flows[Flow_E4_Fraction'[%']],"N.A.",0,1)</f>
        <v>0</v>
      </c>
      <c r="AE44" s="6">
        <f>IF(G44="Yes",Tab_Data_Flows[[#This Row],[E4_Fraction'[%']]]*Tab_Data_Flows[[#This Row],[E1_value]],"N.A.")</f>
        <v>0</v>
      </c>
      <c r="AF44" s="6" t="str">
        <f>Tab_Data_Flows[[#This Row],[E1_UoM]]</f>
        <v>Mg</v>
      </c>
      <c r="AG44" s="139">
        <f>_xlfn.XLOOKUP(Tab_Data_Flows[[#This Row],[Flow_Name]],Tab_Def_Flows[Flow_Name],Tab_Def_Flows[Flow_E5_Fraction'[%']],"N.A.",0,1)</f>
        <v>0</v>
      </c>
      <c r="AH44" s="6" t="str">
        <f>IF(H44="Yes",Tab_Data_Flows[[#This Row],[E5_Fraction'[%']]]*Tab_Data_Flows[[#This Row],[E1_value]],"N.A.")</f>
        <v>N.A.</v>
      </c>
      <c r="AI44" s="6" t="str">
        <f>Tab_Data_Flows[[#This Row],[E1_UoM]]</f>
        <v>Mg</v>
      </c>
      <c r="AJ44" s="139">
        <f>_xlfn.XLOOKUP(Tab_Data_Flows[[#This Row],[Flow_Name]],Tab_Def_Flows[Flow_Name],Tab_Def_Flows[Flow_E6_Fraction'[%']],"N.A.",0,1)</f>
        <v>0</v>
      </c>
      <c r="AK44" s="6" t="str">
        <f>IF(Tab_Data_Flows[[#This Row],[Use_E6]]="Yes",Tab_Data_Flows[[#This Row],[E6_Fraction'[%']]]*Tab_Data_Flows[[#This Row],[E1_value]],"N.A.")</f>
        <v>N.A.</v>
      </c>
      <c r="AL44" s="6" t="str">
        <f>Tab_Data_Flows[[#This Row],[E1_UoM]]</f>
        <v>Mg</v>
      </c>
    </row>
    <row r="45" spans="1:38" x14ac:dyDescent="0.25">
      <c r="A45" s="8">
        <f t="shared" si="1"/>
        <v>44</v>
      </c>
      <c r="B45" s="6" t="str">
        <f>_xlfn.XLOOKUP(C45,Tab_Def_Flows[Flow_Name],Tab_Def_Flows[Flow_ID],,0,)</f>
        <v>F_01_02</v>
      </c>
      <c r="C45" s="138" t="s">
        <v>1234</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No</v>
      </c>
      <c r="I45" s="9" t="str">
        <f>_xlfn.XLOOKUP(C45,Tab_Def_Flows[Flow_Name],Tab_Def_Flows[Use_E6],,0,)</f>
        <v>No</v>
      </c>
      <c r="J45" s="188">
        <v>2068</v>
      </c>
      <c r="K45" s="189">
        <v>1004792.5315294119</v>
      </c>
      <c r="L45" s="6" t="str">
        <f>'0_Configuration'!$C$41</f>
        <v>Mg</v>
      </c>
      <c r="M45" s="13" t="s">
        <v>1263</v>
      </c>
      <c r="N45" s="13">
        <v>2025</v>
      </c>
      <c r="O45" s="13" t="s">
        <v>1260</v>
      </c>
      <c r="P45" s="13" t="s">
        <v>1261</v>
      </c>
      <c r="Q45" s="13" t="s">
        <v>1306</v>
      </c>
      <c r="R45" s="7" t="s">
        <v>6</v>
      </c>
      <c r="S45" s="7"/>
      <c r="T45" s="7"/>
      <c r="U45" s="139">
        <f>_xlfn.XLOOKUP(Tab_Data_Flows[[#This Row],[Flow_Name]],Tab_Def_Flows[Flow_Name],Tab_Def_Flows[Flow_E1_Fraction'[%']],"N.A.",0,1)</f>
        <v>1</v>
      </c>
      <c r="V45" s="12">
        <f t="shared" si="2"/>
        <v>1004792.5315294119</v>
      </c>
      <c r="W45" s="6" t="str">
        <f>Tab_Data_Flows[[#This Row],[UoM_Source]]</f>
        <v>Mg</v>
      </c>
      <c r="X45" s="139">
        <f>_xlfn.XLOOKUP(Tab_Data_Flows[[#This Row],[Flow_Name]],Tab_Def_Flows[Flow_Name],Tab_Def_Flows[Flow_E2_Fraction'[%']],"N.A.",0,1)</f>
        <v>0.22838499184339317</v>
      </c>
      <c r="Y45" s="6">
        <f>IF(D45="Yes",V45*Tab_Data_Flows[[#This Row],[E2_Fraction'[%']]],"N.A.")</f>
        <v>229479.53411764713</v>
      </c>
      <c r="Z45" s="6" t="str">
        <f>Tab_Data_Flows[[#This Row],[E1_UoM]]</f>
        <v>Mg</v>
      </c>
      <c r="AA45" s="139">
        <f>_xlfn.XLOOKUP(Tab_Data_Flows[[#This Row],[Flow_Name]],Tab_Def_Flows[Flow_Name],Tab_Def_Flows[Flow_E3_Fraction'[%']],"N.A.",0,1)</f>
        <v>0.77161500815660689</v>
      </c>
      <c r="AB45" s="6">
        <f>IF(E45="Yes",AA45*Tab_Data_Flows[[#This Row],[E1_value]],"N.A.")</f>
        <v>775312.99741176481</v>
      </c>
      <c r="AC45" s="6" t="str">
        <f>Tab_Data_Flows[[#This Row],[E1_UoM]]</f>
        <v>Mg</v>
      </c>
      <c r="AD45" s="139">
        <f>_xlfn.XLOOKUP(Tab_Data_Flows[[#This Row],[Flow_Name]],Tab_Def_Flows[Flow_Name],Tab_Def_Flows[Flow_E4_Fraction'[%']],"N.A.",0,1)</f>
        <v>0</v>
      </c>
      <c r="AE45" s="6">
        <f>IF(G45="Yes",Tab_Data_Flows[[#This Row],[E4_Fraction'[%']]]*Tab_Data_Flows[[#This Row],[E1_value]],"N.A.")</f>
        <v>0</v>
      </c>
      <c r="AF45" s="6" t="str">
        <f>Tab_Data_Flows[[#This Row],[E1_UoM]]</f>
        <v>Mg</v>
      </c>
      <c r="AG45" s="139">
        <f>_xlfn.XLOOKUP(Tab_Data_Flows[[#This Row],[Flow_Name]],Tab_Def_Flows[Flow_Name],Tab_Def_Flows[Flow_E5_Fraction'[%']],"N.A.",0,1)</f>
        <v>0</v>
      </c>
      <c r="AH45" s="6" t="str">
        <f>IF(H45="Yes",Tab_Data_Flows[[#This Row],[E5_Fraction'[%']]]*Tab_Data_Flows[[#This Row],[E1_value]],"N.A.")</f>
        <v>N.A.</v>
      </c>
      <c r="AI45" s="6" t="str">
        <f>Tab_Data_Flows[[#This Row],[E1_UoM]]</f>
        <v>Mg</v>
      </c>
      <c r="AJ45" s="139">
        <f>_xlfn.XLOOKUP(Tab_Data_Flows[[#This Row],[Flow_Name]],Tab_Def_Flows[Flow_Name],Tab_Def_Flows[Flow_E6_Fraction'[%']],"N.A.",0,1)</f>
        <v>0</v>
      </c>
      <c r="AK45" s="6" t="str">
        <f>IF(Tab_Data_Flows[[#This Row],[Use_E6]]="Yes",Tab_Data_Flows[[#This Row],[E6_Fraction'[%']]]*Tab_Data_Flows[[#This Row],[E1_value]],"N.A.")</f>
        <v>N.A.</v>
      </c>
      <c r="AL45" s="6" t="str">
        <f>Tab_Data_Flows[[#This Row],[E1_UoM]]</f>
        <v>Mg</v>
      </c>
    </row>
    <row r="46" spans="1:38" x14ac:dyDescent="0.25">
      <c r="A46" s="8">
        <f t="shared" si="1"/>
        <v>45</v>
      </c>
      <c r="B46" s="6" t="str">
        <f>_xlfn.XLOOKUP(C46,Tab_Def_Flows[Flow_Name],Tab_Def_Flows[Flow_ID],,0,)</f>
        <v>F_01_02</v>
      </c>
      <c r="C46" s="138" t="s">
        <v>1234</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No</v>
      </c>
      <c r="I46" s="9" t="str">
        <f>_xlfn.XLOOKUP(C46,Tab_Def_Flows[Flow_Name],Tab_Def_Flows[Use_E6],,0,)</f>
        <v>No</v>
      </c>
      <c r="J46" s="188">
        <v>2069</v>
      </c>
      <c r="K46" s="189">
        <v>1063069.1914901959</v>
      </c>
      <c r="L46" s="6" t="str">
        <f>'0_Configuration'!$C$41</f>
        <v>Mg</v>
      </c>
      <c r="M46" s="13" t="s">
        <v>1263</v>
      </c>
      <c r="N46" s="13">
        <v>2025</v>
      </c>
      <c r="O46" s="13" t="s">
        <v>1260</v>
      </c>
      <c r="P46" s="13" t="s">
        <v>1261</v>
      </c>
      <c r="Q46" s="13" t="s">
        <v>1307</v>
      </c>
      <c r="R46" s="7" t="s">
        <v>6</v>
      </c>
      <c r="S46" s="7"/>
      <c r="T46" s="7"/>
      <c r="U46" s="139">
        <f>_xlfn.XLOOKUP(Tab_Data_Flows[[#This Row],[Flow_Name]],Tab_Def_Flows[Flow_Name],Tab_Def_Flows[Flow_E1_Fraction'[%']],"N.A.",0,1)</f>
        <v>1</v>
      </c>
      <c r="V46" s="12">
        <f t="shared" si="2"/>
        <v>1063069.1914901959</v>
      </c>
      <c r="W46" s="6" t="str">
        <f>Tab_Data_Flows[[#This Row],[UoM_Source]]</f>
        <v>Mg</v>
      </c>
      <c r="X46" s="139">
        <f>_xlfn.XLOOKUP(Tab_Data_Flows[[#This Row],[Flow_Name]],Tab_Def_Flows[Flow_Name],Tab_Def_Flows[Flow_E2_Fraction'[%']],"N.A.",0,1)</f>
        <v>0.22838499184339317</v>
      </c>
      <c r="Y46" s="6">
        <f>IF(D46="Yes",V46*Tab_Data_Flows[[#This Row],[E2_Fraction'[%']]],"N.A.")</f>
        <v>242789.04862745097</v>
      </c>
      <c r="Z46" s="6" t="str">
        <f>Tab_Data_Flows[[#This Row],[E1_UoM]]</f>
        <v>Mg</v>
      </c>
      <c r="AA46" s="139">
        <f>_xlfn.XLOOKUP(Tab_Data_Flows[[#This Row],[Flow_Name]],Tab_Def_Flows[Flow_Name],Tab_Def_Flows[Flow_E3_Fraction'[%']],"N.A.",0,1)</f>
        <v>0.77161500815660689</v>
      </c>
      <c r="AB46" s="6">
        <f>IF(E46="Yes",AA46*Tab_Data_Flows[[#This Row],[E1_value]],"N.A.")</f>
        <v>820280.14286274498</v>
      </c>
      <c r="AC46" s="6" t="str">
        <f>Tab_Data_Flows[[#This Row],[E1_UoM]]</f>
        <v>Mg</v>
      </c>
      <c r="AD46" s="139">
        <f>_xlfn.XLOOKUP(Tab_Data_Flows[[#This Row],[Flow_Name]],Tab_Def_Flows[Flow_Name],Tab_Def_Flows[Flow_E4_Fraction'[%']],"N.A.",0,1)</f>
        <v>0</v>
      </c>
      <c r="AE46" s="6">
        <f>IF(G46="Yes",Tab_Data_Flows[[#This Row],[E4_Fraction'[%']]]*Tab_Data_Flows[[#This Row],[E1_value]],"N.A.")</f>
        <v>0</v>
      </c>
      <c r="AF46" s="6" t="str">
        <f>Tab_Data_Flows[[#This Row],[E1_UoM]]</f>
        <v>Mg</v>
      </c>
      <c r="AG46" s="139">
        <f>_xlfn.XLOOKUP(Tab_Data_Flows[[#This Row],[Flow_Name]],Tab_Def_Flows[Flow_Name],Tab_Def_Flows[Flow_E5_Fraction'[%']],"N.A.",0,1)</f>
        <v>0</v>
      </c>
      <c r="AH46" s="6" t="str">
        <f>IF(H46="Yes",Tab_Data_Flows[[#This Row],[E5_Fraction'[%']]]*Tab_Data_Flows[[#This Row],[E1_value]],"N.A.")</f>
        <v>N.A.</v>
      </c>
      <c r="AI46" s="6" t="str">
        <f>Tab_Data_Flows[[#This Row],[E1_UoM]]</f>
        <v>Mg</v>
      </c>
      <c r="AJ46" s="139">
        <f>_xlfn.XLOOKUP(Tab_Data_Flows[[#This Row],[Flow_Name]],Tab_Def_Flows[Flow_Name],Tab_Def_Flows[Flow_E6_Fraction'[%']],"N.A.",0,1)</f>
        <v>0</v>
      </c>
      <c r="AK46" s="6" t="str">
        <f>IF(Tab_Data_Flows[[#This Row],[Use_E6]]="Yes",Tab_Data_Flows[[#This Row],[E6_Fraction'[%']]]*Tab_Data_Flows[[#This Row],[E1_value]],"N.A.")</f>
        <v>N.A.</v>
      </c>
      <c r="AL46" s="6" t="str">
        <f>Tab_Data_Flows[[#This Row],[E1_UoM]]</f>
        <v>Mg</v>
      </c>
    </row>
    <row r="47" spans="1:38" x14ac:dyDescent="0.25">
      <c r="A47" s="8">
        <f t="shared" si="1"/>
        <v>46</v>
      </c>
      <c r="B47" s="6" t="str">
        <f>_xlfn.XLOOKUP(C47,Tab_Def_Flows[Flow_Name],Tab_Def_Flows[Flow_ID],,0,)</f>
        <v>F_01_02</v>
      </c>
      <c r="C47" s="138" t="s">
        <v>1234</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No</v>
      </c>
      <c r="I47" s="9" t="str">
        <f>_xlfn.XLOOKUP(C47,Tab_Def_Flows[Flow_Name],Tab_Def_Flows[Use_E6],,0,)</f>
        <v>No</v>
      </c>
      <c r="J47" s="188">
        <v>2070</v>
      </c>
      <c r="K47" s="189">
        <v>913139.89662745106</v>
      </c>
      <c r="L47" s="6" t="str">
        <f>'0_Configuration'!$C$41</f>
        <v>Mg</v>
      </c>
      <c r="M47" s="13" t="s">
        <v>1263</v>
      </c>
      <c r="N47" s="13">
        <v>2025</v>
      </c>
      <c r="O47" s="13" t="s">
        <v>1260</v>
      </c>
      <c r="P47" s="13" t="s">
        <v>1261</v>
      </c>
      <c r="Q47" s="13" t="s">
        <v>1308</v>
      </c>
      <c r="R47" s="7" t="s">
        <v>6</v>
      </c>
      <c r="S47" s="7"/>
      <c r="T47" s="7"/>
      <c r="U47" s="139">
        <f>_xlfn.XLOOKUP(Tab_Data_Flows[[#This Row],[Flow_Name]],Tab_Def_Flows[Flow_Name],Tab_Def_Flows[Flow_E1_Fraction'[%']],"N.A.",0,1)</f>
        <v>1</v>
      </c>
      <c r="V47" s="12">
        <f t="shared" si="2"/>
        <v>913139.89662745106</v>
      </c>
      <c r="W47" s="6" t="str">
        <f>Tab_Data_Flows[[#This Row],[UoM_Source]]</f>
        <v>Mg</v>
      </c>
      <c r="X47" s="139">
        <f>_xlfn.XLOOKUP(Tab_Data_Flows[[#This Row],[Flow_Name]],Tab_Def_Flows[Flow_Name],Tab_Def_Flows[Flow_E2_Fraction'[%']],"N.A.",0,1)</f>
        <v>0.22838499184339317</v>
      </c>
      <c r="Y47" s="6">
        <f>IF(D47="Yes",V47*Tab_Data_Flows[[#This Row],[E2_Fraction'[%']]],"N.A.")</f>
        <v>208547.44784313728</v>
      </c>
      <c r="Z47" s="6" t="str">
        <f>Tab_Data_Flows[[#This Row],[E1_UoM]]</f>
        <v>Mg</v>
      </c>
      <c r="AA47" s="139">
        <f>_xlfn.XLOOKUP(Tab_Data_Flows[[#This Row],[Flow_Name]],Tab_Def_Flows[Flow_Name],Tab_Def_Flows[Flow_E3_Fraction'[%']],"N.A.",0,1)</f>
        <v>0.77161500815660689</v>
      </c>
      <c r="AB47" s="6">
        <f>IF(E47="Yes",AA47*Tab_Data_Flows[[#This Row],[E1_value]],"N.A.")</f>
        <v>704592.44878431386</v>
      </c>
      <c r="AC47" s="6" t="str">
        <f>Tab_Data_Flows[[#This Row],[E1_UoM]]</f>
        <v>Mg</v>
      </c>
      <c r="AD47" s="139">
        <f>_xlfn.XLOOKUP(Tab_Data_Flows[[#This Row],[Flow_Name]],Tab_Def_Flows[Flow_Name],Tab_Def_Flows[Flow_E4_Fraction'[%']],"N.A.",0,1)</f>
        <v>0</v>
      </c>
      <c r="AE47" s="6">
        <f>IF(G47="Yes",Tab_Data_Flows[[#This Row],[E4_Fraction'[%']]]*Tab_Data_Flows[[#This Row],[E1_value]],"N.A.")</f>
        <v>0</v>
      </c>
      <c r="AF47" s="6" t="str">
        <f>Tab_Data_Flows[[#This Row],[E1_UoM]]</f>
        <v>Mg</v>
      </c>
      <c r="AG47" s="139">
        <f>_xlfn.XLOOKUP(Tab_Data_Flows[[#This Row],[Flow_Name]],Tab_Def_Flows[Flow_Name],Tab_Def_Flows[Flow_E5_Fraction'[%']],"N.A.",0,1)</f>
        <v>0</v>
      </c>
      <c r="AH47" s="6" t="str">
        <f>IF(H47="Yes",Tab_Data_Flows[[#This Row],[E5_Fraction'[%']]]*Tab_Data_Flows[[#This Row],[E1_value]],"N.A.")</f>
        <v>N.A.</v>
      </c>
      <c r="AI47" s="6" t="str">
        <f>Tab_Data_Flows[[#This Row],[E1_UoM]]</f>
        <v>Mg</v>
      </c>
      <c r="AJ47" s="139">
        <f>_xlfn.XLOOKUP(Tab_Data_Flows[[#This Row],[Flow_Name]],Tab_Def_Flows[Flow_Name],Tab_Def_Flows[Flow_E6_Fraction'[%']],"N.A.",0,1)</f>
        <v>0</v>
      </c>
      <c r="AK47" s="6" t="str">
        <f>IF(Tab_Data_Flows[[#This Row],[Use_E6]]="Yes",Tab_Data_Flows[[#This Row],[E6_Fraction'[%']]]*Tab_Data_Flows[[#This Row],[E1_value]],"N.A.")</f>
        <v>N.A.</v>
      </c>
      <c r="AL47" s="6" t="str">
        <f>Tab_Data_Flows[[#This Row],[E1_UoM]]</f>
        <v>Mg</v>
      </c>
    </row>
    <row r="48" spans="1:38" x14ac:dyDescent="0.25">
      <c r="A48" s="8">
        <f t="shared" si="1"/>
        <v>47</v>
      </c>
      <c r="B48" s="6" t="str">
        <f>_xlfn.XLOOKUP(C48,Tab_Def_Flows[Flow_Name],Tab_Def_Flows[Flow_ID],,0,)</f>
        <v>F_01_02</v>
      </c>
      <c r="C48" s="138" t="s">
        <v>1234</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No</v>
      </c>
      <c r="I48" s="9" t="str">
        <f>_xlfn.XLOOKUP(C48,Tab_Def_Flows[Flow_Name],Tab_Def_Flows[Use_E6],,0,)</f>
        <v>No</v>
      </c>
      <c r="J48" s="188">
        <v>2071</v>
      </c>
      <c r="K48" s="189">
        <v>939198.95933333342</v>
      </c>
      <c r="L48" s="6" t="str">
        <f>'0_Configuration'!$C$41</f>
        <v>Mg</v>
      </c>
      <c r="M48" s="13" t="s">
        <v>1263</v>
      </c>
      <c r="N48" s="13">
        <v>2025</v>
      </c>
      <c r="O48" s="13" t="s">
        <v>1260</v>
      </c>
      <c r="P48" s="13" t="s">
        <v>1261</v>
      </c>
      <c r="Q48" s="13" t="s">
        <v>1309</v>
      </c>
      <c r="R48" s="7" t="s">
        <v>6</v>
      </c>
      <c r="S48" s="7"/>
      <c r="T48" s="7"/>
      <c r="U48" s="139">
        <f>_xlfn.XLOOKUP(Tab_Data_Flows[[#This Row],[Flow_Name]],Tab_Def_Flows[Flow_Name],Tab_Def_Flows[Flow_E1_Fraction'[%']],"N.A.",0,1)</f>
        <v>1</v>
      </c>
      <c r="V48" s="12">
        <f t="shared" si="2"/>
        <v>939198.95933333342</v>
      </c>
      <c r="W48" s="6" t="str">
        <f>Tab_Data_Flows[[#This Row],[UoM_Source]]</f>
        <v>Mg</v>
      </c>
      <c r="X48" s="139">
        <f>_xlfn.XLOOKUP(Tab_Data_Flows[[#This Row],[Flow_Name]],Tab_Def_Flows[Flow_Name],Tab_Def_Flows[Flow_E2_Fraction'[%']],"N.A.",0,1)</f>
        <v>0.22838499184339317</v>
      </c>
      <c r="Y48" s="6">
        <f>IF(D48="Yes",V48*Tab_Data_Flows[[#This Row],[E2_Fraction'[%']]],"N.A.")</f>
        <v>214498.94666666671</v>
      </c>
      <c r="Z48" s="6" t="str">
        <f>Tab_Data_Flows[[#This Row],[E1_UoM]]</f>
        <v>Mg</v>
      </c>
      <c r="AA48" s="139">
        <f>_xlfn.XLOOKUP(Tab_Data_Flows[[#This Row],[Flow_Name]],Tab_Def_Flows[Flow_Name],Tab_Def_Flows[Flow_E3_Fraction'[%']],"N.A.",0,1)</f>
        <v>0.77161500815660689</v>
      </c>
      <c r="AB48" s="6">
        <f>IF(E48="Yes",AA48*Tab_Data_Flows[[#This Row],[E1_value]],"N.A.")</f>
        <v>724700.01266666676</v>
      </c>
      <c r="AC48" s="6" t="str">
        <f>Tab_Data_Flows[[#This Row],[E1_UoM]]</f>
        <v>Mg</v>
      </c>
      <c r="AD48" s="139">
        <f>_xlfn.XLOOKUP(Tab_Data_Flows[[#This Row],[Flow_Name]],Tab_Def_Flows[Flow_Name],Tab_Def_Flows[Flow_E4_Fraction'[%']],"N.A.",0,1)</f>
        <v>0</v>
      </c>
      <c r="AE48" s="6">
        <f>IF(G48="Yes",Tab_Data_Flows[[#This Row],[E4_Fraction'[%']]]*Tab_Data_Flows[[#This Row],[E1_value]],"N.A.")</f>
        <v>0</v>
      </c>
      <c r="AF48" s="6" t="str">
        <f>Tab_Data_Flows[[#This Row],[E1_UoM]]</f>
        <v>Mg</v>
      </c>
      <c r="AG48" s="139">
        <f>_xlfn.XLOOKUP(Tab_Data_Flows[[#This Row],[Flow_Name]],Tab_Def_Flows[Flow_Name],Tab_Def_Flows[Flow_E5_Fraction'[%']],"N.A.",0,1)</f>
        <v>0</v>
      </c>
      <c r="AH48" s="6" t="str">
        <f>IF(H48="Yes",Tab_Data_Flows[[#This Row],[E5_Fraction'[%']]]*Tab_Data_Flows[[#This Row],[E1_value]],"N.A.")</f>
        <v>N.A.</v>
      </c>
      <c r="AI48" s="6" t="str">
        <f>Tab_Data_Flows[[#This Row],[E1_UoM]]</f>
        <v>Mg</v>
      </c>
      <c r="AJ48" s="139">
        <f>_xlfn.XLOOKUP(Tab_Data_Flows[[#This Row],[Flow_Name]],Tab_Def_Flows[Flow_Name],Tab_Def_Flows[Flow_E6_Fraction'[%']],"N.A.",0,1)</f>
        <v>0</v>
      </c>
      <c r="AK48" s="6" t="str">
        <f>IF(Tab_Data_Flows[[#This Row],[Use_E6]]="Yes",Tab_Data_Flows[[#This Row],[E6_Fraction'[%']]]*Tab_Data_Flows[[#This Row],[E1_value]],"N.A.")</f>
        <v>N.A.</v>
      </c>
      <c r="AL48" s="6" t="str">
        <f>Tab_Data_Flows[[#This Row],[E1_UoM]]</f>
        <v>Mg</v>
      </c>
    </row>
    <row r="49" spans="1:38" x14ac:dyDescent="0.25">
      <c r="A49" s="8">
        <f t="shared" si="1"/>
        <v>48</v>
      </c>
      <c r="B49" s="6" t="str">
        <f>_xlfn.XLOOKUP(C49,Tab_Def_Flows[Flow_Name],Tab_Def_Flows[Flow_ID],,0,)</f>
        <v>F_01_02</v>
      </c>
      <c r="C49" s="138" t="s">
        <v>1234</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No</v>
      </c>
      <c r="I49" s="9" t="str">
        <f>_xlfn.XLOOKUP(C49,Tab_Def_Flows[Flow_Name],Tab_Def_Flows[Use_E6],,0,)</f>
        <v>No</v>
      </c>
      <c r="J49" s="188">
        <v>2072</v>
      </c>
      <c r="K49" s="189">
        <v>1057954.5959411764</v>
      </c>
      <c r="L49" s="6" t="str">
        <f>'0_Configuration'!$C$41</f>
        <v>Mg</v>
      </c>
      <c r="M49" s="13" t="s">
        <v>1263</v>
      </c>
      <c r="N49" s="13">
        <v>2025</v>
      </c>
      <c r="O49" s="13" t="s">
        <v>1260</v>
      </c>
      <c r="P49" s="13" t="s">
        <v>1261</v>
      </c>
      <c r="Q49" s="13" t="s">
        <v>1310</v>
      </c>
      <c r="R49" s="7" t="s">
        <v>6</v>
      </c>
      <c r="S49" s="7"/>
      <c r="T49" s="7"/>
      <c r="U49" s="139">
        <f>_xlfn.XLOOKUP(Tab_Data_Flows[[#This Row],[Flow_Name]],Tab_Def_Flows[Flow_Name],Tab_Def_Flows[Flow_E1_Fraction'[%']],"N.A.",0,1)</f>
        <v>1</v>
      </c>
      <c r="V49" s="12">
        <f t="shared" si="2"/>
        <v>1057954.5959411764</v>
      </c>
      <c r="W49" s="6" t="str">
        <f>Tab_Data_Flows[[#This Row],[UoM_Source]]</f>
        <v>Mg</v>
      </c>
      <c r="X49" s="139">
        <f>_xlfn.XLOOKUP(Tab_Data_Flows[[#This Row],[Flow_Name]],Tab_Def_Flows[Flow_Name],Tab_Def_Flows[Flow_E2_Fraction'[%']],"N.A.",0,1)</f>
        <v>0.22838499184339317</v>
      </c>
      <c r="Y49" s="6">
        <f>IF(D49="Yes",V49*Tab_Data_Flows[[#This Row],[E2_Fraction'[%']]],"N.A.")</f>
        <v>241620.95176470588</v>
      </c>
      <c r="Z49" s="6" t="str">
        <f>Tab_Data_Flows[[#This Row],[E1_UoM]]</f>
        <v>Mg</v>
      </c>
      <c r="AA49" s="139">
        <f>_xlfn.XLOOKUP(Tab_Data_Flows[[#This Row],[Flow_Name]],Tab_Def_Flows[Flow_Name],Tab_Def_Flows[Flow_E3_Fraction'[%']],"N.A.",0,1)</f>
        <v>0.77161500815660689</v>
      </c>
      <c r="AB49" s="6">
        <f>IF(E49="Yes",AA49*Tab_Data_Flows[[#This Row],[E1_value]],"N.A.")</f>
        <v>816333.64417647058</v>
      </c>
      <c r="AC49" s="6" t="str">
        <f>Tab_Data_Flows[[#This Row],[E1_UoM]]</f>
        <v>Mg</v>
      </c>
      <c r="AD49" s="139">
        <f>_xlfn.XLOOKUP(Tab_Data_Flows[[#This Row],[Flow_Name]],Tab_Def_Flows[Flow_Name],Tab_Def_Flows[Flow_E4_Fraction'[%']],"N.A.",0,1)</f>
        <v>0</v>
      </c>
      <c r="AE49" s="6">
        <f>IF(G49="Yes",Tab_Data_Flows[[#This Row],[E4_Fraction'[%']]]*Tab_Data_Flows[[#This Row],[E1_value]],"N.A.")</f>
        <v>0</v>
      </c>
      <c r="AF49" s="6" t="str">
        <f>Tab_Data_Flows[[#This Row],[E1_UoM]]</f>
        <v>Mg</v>
      </c>
      <c r="AG49" s="139">
        <f>_xlfn.XLOOKUP(Tab_Data_Flows[[#This Row],[Flow_Name]],Tab_Def_Flows[Flow_Name],Tab_Def_Flows[Flow_E5_Fraction'[%']],"N.A.",0,1)</f>
        <v>0</v>
      </c>
      <c r="AH49" s="6" t="str">
        <f>IF(H49="Yes",Tab_Data_Flows[[#This Row],[E5_Fraction'[%']]]*Tab_Data_Flows[[#This Row],[E1_value]],"N.A.")</f>
        <v>N.A.</v>
      </c>
      <c r="AI49" s="6" t="str">
        <f>Tab_Data_Flows[[#This Row],[E1_UoM]]</f>
        <v>Mg</v>
      </c>
      <c r="AJ49" s="139">
        <f>_xlfn.XLOOKUP(Tab_Data_Flows[[#This Row],[Flow_Name]],Tab_Def_Flows[Flow_Name],Tab_Def_Flows[Flow_E6_Fraction'[%']],"N.A.",0,1)</f>
        <v>0</v>
      </c>
      <c r="AK49" s="6" t="str">
        <f>IF(Tab_Data_Flows[[#This Row],[Use_E6]]="Yes",Tab_Data_Flows[[#This Row],[E6_Fraction'[%']]]*Tab_Data_Flows[[#This Row],[E1_value]],"N.A.")</f>
        <v>N.A.</v>
      </c>
      <c r="AL49" s="6" t="str">
        <f>Tab_Data_Flows[[#This Row],[E1_UoM]]</f>
        <v>Mg</v>
      </c>
    </row>
    <row r="50" spans="1:38" x14ac:dyDescent="0.25">
      <c r="A50" s="8">
        <f t="shared" si="1"/>
        <v>49</v>
      </c>
      <c r="B50" s="6" t="str">
        <f>_xlfn.XLOOKUP(C50,Tab_Def_Flows[Flow_Name],Tab_Def_Flows[Flow_ID],,0,)</f>
        <v>F_01_02</v>
      </c>
      <c r="C50" s="138" t="s">
        <v>1234</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No</v>
      </c>
      <c r="I50" s="9" t="str">
        <f>_xlfn.XLOOKUP(C50,Tab_Def_Flows[Flow_Name],Tab_Def_Flows[Use_E6],,0,)</f>
        <v>No</v>
      </c>
      <c r="J50" s="188">
        <v>2073</v>
      </c>
      <c r="K50" s="189">
        <v>1083544.1246862747</v>
      </c>
      <c r="L50" s="6" t="str">
        <f>'0_Configuration'!$C$41</f>
        <v>Mg</v>
      </c>
      <c r="M50" s="13" t="s">
        <v>1263</v>
      </c>
      <c r="N50" s="13">
        <v>2025</v>
      </c>
      <c r="O50" s="13" t="s">
        <v>1260</v>
      </c>
      <c r="P50" s="13" t="s">
        <v>1261</v>
      </c>
      <c r="Q50" s="13" t="s">
        <v>1311</v>
      </c>
      <c r="R50" s="7" t="s">
        <v>6</v>
      </c>
      <c r="S50" s="7"/>
      <c r="T50" s="7"/>
      <c r="U50" s="139">
        <f>_xlfn.XLOOKUP(Tab_Data_Flows[[#This Row],[Flow_Name]],Tab_Def_Flows[Flow_Name],Tab_Def_Flows[Flow_E1_Fraction'[%']],"N.A.",0,1)</f>
        <v>1</v>
      </c>
      <c r="V50" s="12">
        <f t="shared" si="2"/>
        <v>1083544.1246862747</v>
      </c>
      <c r="W50" s="6" t="str">
        <f>Tab_Data_Flows[[#This Row],[UoM_Source]]</f>
        <v>Mg</v>
      </c>
      <c r="X50" s="139">
        <f>_xlfn.XLOOKUP(Tab_Data_Flows[[#This Row],[Flow_Name]],Tab_Def_Flows[Flow_Name],Tab_Def_Flows[Flow_E2_Fraction'[%']],"N.A.",0,1)</f>
        <v>0.22838499184339317</v>
      </c>
      <c r="Y50" s="6">
        <f>IF(D50="Yes",V50*Tab_Data_Flows[[#This Row],[E2_Fraction'[%']]],"N.A.")</f>
        <v>247465.21607843143</v>
      </c>
      <c r="Z50" s="6" t="str">
        <f>Tab_Data_Flows[[#This Row],[E1_UoM]]</f>
        <v>Mg</v>
      </c>
      <c r="AA50" s="139">
        <f>_xlfn.XLOOKUP(Tab_Data_Flows[[#This Row],[Flow_Name]],Tab_Def_Flows[Flow_Name],Tab_Def_Flows[Flow_E3_Fraction'[%']],"N.A.",0,1)</f>
        <v>0.77161500815660689</v>
      </c>
      <c r="AB50" s="6">
        <f>IF(E50="Yes",AA50*Tab_Data_Flows[[#This Row],[E1_value]],"N.A.")</f>
        <v>836078.90860784333</v>
      </c>
      <c r="AC50" s="6" t="str">
        <f>Tab_Data_Flows[[#This Row],[E1_UoM]]</f>
        <v>Mg</v>
      </c>
      <c r="AD50" s="139">
        <f>_xlfn.XLOOKUP(Tab_Data_Flows[[#This Row],[Flow_Name]],Tab_Def_Flows[Flow_Name],Tab_Def_Flows[Flow_E4_Fraction'[%']],"N.A.",0,1)</f>
        <v>0</v>
      </c>
      <c r="AE50" s="6">
        <f>IF(G50="Yes",Tab_Data_Flows[[#This Row],[E4_Fraction'[%']]]*Tab_Data_Flows[[#This Row],[E1_value]],"N.A.")</f>
        <v>0</v>
      </c>
      <c r="AF50" s="6" t="str">
        <f>Tab_Data_Flows[[#This Row],[E1_UoM]]</f>
        <v>Mg</v>
      </c>
      <c r="AG50" s="139">
        <f>_xlfn.XLOOKUP(Tab_Data_Flows[[#This Row],[Flow_Name]],Tab_Def_Flows[Flow_Name],Tab_Def_Flows[Flow_E5_Fraction'[%']],"N.A.",0,1)</f>
        <v>0</v>
      </c>
      <c r="AH50" s="6" t="str">
        <f>IF(H50="Yes",Tab_Data_Flows[[#This Row],[E5_Fraction'[%']]]*Tab_Data_Flows[[#This Row],[E1_value]],"N.A.")</f>
        <v>N.A.</v>
      </c>
      <c r="AI50" s="6" t="str">
        <f>Tab_Data_Flows[[#This Row],[E1_UoM]]</f>
        <v>Mg</v>
      </c>
      <c r="AJ50" s="139">
        <f>_xlfn.XLOOKUP(Tab_Data_Flows[[#This Row],[Flow_Name]],Tab_Def_Flows[Flow_Name],Tab_Def_Flows[Flow_E6_Fraction'[%']],"N.A.",0,1)</f>
        <v>0</v>
      </c>
      <c r="AK50" s="6" t="str">
        <f>IF(Tab_Data_Flows[[#This Row],[Use_E6]]="Yes",Tab_Data_Flows[[#This Row],[E6_Fraction'[%']]]*Tab_Data_Flows[[#This Row],[E1_value]],"N.A.")</f>
        <v>N.A.</v>
      </c>
      <c r="AL50" s="6" t="str">
        <f>Tab_Data_Flows[[#This Row],[E1_UoM]]</f>
        <v>Mg</v>
      </c>
    </row>
    <row r="51" spans="1:38" x14ac:dyDescent="0.25">
      <c r="A51" s="8">
        <f t="shared" si="1"/>
        <v>50</v>
      </c>
      <c r="B51" s="6" t="str">
        <f>_xlfn.XLOOKUP(C51,Tab_Def_Flows[Flow_Name],Tab_Def_Flows[Flow_ID],,0,)</f>
        <v>F_01_02</v>
      </c>
      <c r="C51" s="138" t="s">
        <v>1234</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No</v>
      </c>
      <c r="I51" s="9" t="str">
        <f>_xlfn.XLOOKUP(C51,Tab_Def_Flows[Flow_Name],Tab_Def_Flows[Use_E6],,0,)</f>
        <v>No</v>
      </c>
      <c r="J51" s="188">
        <v>2074</v>
      </c>
      <c r="K51" s="189">
        <v>824644.17566666671</v>
      </c>
      <c r="L51" s="6" t="str">
        <f>'0_Configuration'!$C$41</f>
        <v>Mg</v>
      </c>
      <c r="M51" s="13" t="s">
        <v>1263</v>
      </c>
      <c r="N51" s="13">
        <v>2025</v>
      </c>
      <c r="O51" s="13" t="s">
        <v>1260</v>
      </c>
      <c r="P51" s="13" t="s">
        <v>1261</v>
      </c>
      <c r="Q51" s="13" t="s">
        <v>1312</v>
      </c>
      <c r="R51" s="7" t="s">
        <v>6</v>
      </c>
      <c r="S51" s="7"/>
      <c r="T51" s="7"/>
      <c r="U51" s="139">
        <f>_xlfn.XLOOKUP(Tab_Data_Flows[[#This Row],[Flow_Name]],Tab_Def_Flows[Flow_Name],Tab_Def_Flows[Flow_E1_Fraction'[%']],"N.A.",0,1)</f>
        <v>1</v>
      </c>
      <c r="V51" s="12">
        <f t="shared" si="2"/>
        <v>824644.17566666671</v>
      </c>
      <c r="W51" s="6" t="str">
        <f>Tab_Data_Flows[[#This Row],[UoM_Source]]</f>
        <v>Mg</v>
      </c>
      <c r="X51" s="139">
        <f>_xlfn.XLOOKUP(Tab_Data_Flows[[#This Row],[Flow_Name]],Tab_Def_Flows[Flow_Name],Tab_Def_Flows[Flow_E2_Fraction'[%']],"N.A.",0,1)</f>
        <v>0.22838499184339317</v>
      </c>
      <c r="Y51" s="6">
        <f>IF(D51="Yes",V51*Tab_Data_Flows[[#This Row],[E2_Fraction'[%']]],"N.A.")</f>
        <v>188336.35333333336</v>
      </c>
      <c r="Z51" s="6" t="str">
        <f>Tab_Data_Flows[[#This Row],[E1_UoM]]</f>
        <v>Mg</v>
      </c>
      <c r="AA51" s="139">
        <f>_xlfn.XLOOKUP(Tab_Data_Flows[[#This Row],[Flow_Name]],Tab_Def_Flows[Flow_Name],Tab_Def_Flows[Flow_E3_Fraction'[%']],"N.A.",0,1)</f>
        <v>0.77161500815660689</v>
      </c>
      <c r="AB51" s="6">
        <f>IF(E51="Yes",AA51*Tab_Data_Flows[[#This Row],[E1_value]],"N.A.")</f>
        <v>636307.82233333343</v>
      </c>
      <c r="AC51" s="6" t="str">
        <f>Tab_Data_Flows[[#This Row],[E1_UoM]]</f>
        <v>Mg</v>
      </c>
      <c r="AD51" s="139">
        <f>_xlfn.XLOOKUP(Tab_Data_Flows[[#This Row],[Flow_Name]],Tab_Def_Flows[Flow_Name],Tab_Def_Flows[Flow_E4_Fraction'[%']],"N.A.",0,1)</f>
        <v>0</v>
      </c>
      <c r="AE51" s="6">
        <f>IF(G51="Yes",Tab_Data_Flows[[#This Row],[E4_Fraction'[%']]]*Tab_Data_Flows[[#This Row],[E1_value]],"N.A.")</f>
        <v>0</v>
      </c>
      <c r="AF51" s="6" t="str">
        <f>Tab_Data_Flows[[#This Row],[E1_UoM]]</f>
        <v>Mg</v>
      </c>
      <c r="AG51" s="139">
        <f>_xlfn.XLOOKUP(Tab_Data_Flows[[#This Row],[Flow_Name]],Tab_Def_Flows[Flow_Name],Tab_Def_Flows[Flow_E5_Fraction'[%']],"N.A.",0,1)</f>
        <v>0</v>
      </c>
      <c r="AH51" s="6" t="str">
        <f>IF(H51="Yes",Tab_Data_Flows[[#This Row],[E5_Fraction'[%']]]*Tab_Data_Flows[[#This Row],[E1_value]],"N.A.")</f>
        <v>N.A.</v>
      </c>
      <c r="AI51" s="6" t="str">
        <f>Tab_Data_Flows[[#This Row],[E1_UoM]]</f>
        <v>Mg</v>
      </c>
      <c r="AJ51" s="139">
        <f>_xlfn.XLOOKUP(Tab_Data_Flows[[#This Row],[Flow_Name]],Tab_Def_Flows[Flow_Name],Tab_Def_Flows[Flow_E6_Fraction'[%']],"N.A.",0,1)</f>
        <v>0</v>
      </c>
      <c r="AK51" s="6" t="str">
        <f>IF(Tab_Data_Flows[[#This Row],[Use_E6]]="Yes",Tab_Data_Flows[[#This Row],[E6_Fraction'[%']]]*Tab_Data_Flows[[#This Row],[E1_value]],"N.A.")</f>
        <v>N.A.</v>
      </c>
      <c r="AL51" s="6" t="str">
        <f>Tab_Data_Flows[[#This Row],[E1_UoM]]</f>
        <v>Mg</v>
      </c>
    </row>
    <row r="52" spans="1:38" x14ac:dyDescent="0.25">
      <c r="A52" s="8">
        <f t="shared" si="1"/>
        <v>51</v>
      </c>
      <c r="B52" s="6" t="str">
        <f>_xlfn.XLOOKUP(C52,Tab_Def_Flows[Flow_Name],Tab_Def_Flows[Flow_ID],,0,)</f>
        <v>F_01_02</v>
      </c>
      <c r="C52" s="138" t="s">
        <v>1234</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No</v>
      </c>
      <c r="I52" s="9" t="str">
        <f>_xlfn.XLOOKUP(C52,Tab_Def_Flows[Flow_Name],Tab_Def_Flows[Use_E6],,0,)</f>
        <v>No</v>
      </c>
      <c r="J52" s="188">
        <v>2075</v>
      </c>
      <c r="K52" s="189">
        <v>954375.74554901954</v>
      </c>
      <c r="L52" s="6" t="str">
        <f>'0_Configuration'!$C$41</f>
        <v>Mg</v>
      </c>
      <c r="M52" s="13" t="s">
        <v>1263</v>
      </c>
      <c r="N52" s="13">
        <v>2025</v>
      </c>
      <c r="O52" s="13" t="s">
        <v>1260</v>
      </c>
      <c r="P52" s="13" t="s">
        <v>1261</v>
      </c>
      <c r="Q52" s="13" t="s">
        <v>1313</v>
      </c>
      <c r="R52" s="7" t="s">
        <v>6</v>
      </c>
      <c r="S52" s="7"/>
      <c r="T52" s="7"/>
      <c r="U52" s="139">
        <f>_xlfn.XLOOKUP(Tab_Data_Flows[[#This Row],[Flow_Name]],Tab_Def_Flows[Flow_Name],Tab_Def_Flows[Flow_E1_Fraction'[%']],"N.A.",0,1)</f>
        <v>1</v>
      </c>
      <c r="V52" s="12">
        <f t="shared" si="2"/>
        <v>954375.74554901954</v>
      </c>
      <c r="W52" s="6" t="str">
        <f>Tab_Data_Flows[[#This Row],[UoM_Source]]</f>
        <v>Mg</v>
      </c>
      <c r="X52" s="139">
        <f>_xlfn.XLOOKUP(Tab_Data_Flows[[#This Row],[Flow_Name]],Tab_Def_Flows[Flow_Name],Tab_Def_Flows[Flow_E2_Fraction'[%']],"N.A.",0,1)</f>
        <v>0.22838499184339317</v>
      </c>
      <c r="Y52" s="6">
        <f>IF(D52="Yes",V52*Tab_Data_Flows[[#This Row],[E2_Fraction'[%']]],"N.A.")</f>
        <v>217965.09686274509</v>
      </c>
      <c r="Z52" s="6" t="str">
        <f>Tab_Data_Flows[[#This Row],[E1_UoM]]</f>
        <v>Mg</v>
      </c>
      <c r="AA52" s="139">
        <f>_xlfn.XLOOKUP(Tab_Data_Flows[[#This Row],[Flow_Name]],Tab_Def_Flows[Flow_Name],Tab_Def_Flows[Flow_E3_Fraction'[%']],"N.A.",0,1)</f>
        <v>0.77161500815660689</v>
      </c>
      <c r="AB52" s="6">
        <f>IF(E52="Yes",AA52*Tab_Data_Flows[[#This Row],[E1_value]],"N.A.")</f>
        <v>736410.64868627454</v>
      </c>
      <c r="AC52" s="6" t="str">
        <f>Tab_Data_Flows[[#This Row],[E1_UoM]]</f>
        <v>Mg</v>
      </c>
      <c r="AD52" s="139">
        <f>_xlfn.XLOOKUP(Tab_Data_Flows[[#This Row],[Flow_Name]],Tab_Def_Flows[Flow_Name],Tab_Def_Flows[Flow_E4_Fraction'[%']],"N.A.",0,1)</f>
        <v>0</v>
      </c>
      <c r="AE52" s="6">
        <f>IF(G52="Yes",Tab_Data_Flows[[#This Row],[E4_Fraction'[%']]]*Tab_Data_Flows[[#This Row],[E1_value]],"N.A.")</f>
        <v>0</v>
      </c>
      <c r="AF52" s="6" t="str">
        <f>Tab_Data_Flows[[#This Row],[E1_UoM]]</f>
        <v>Mg</v>
      </c>
      <c r="AG52" s="139">
        <f>_xlfn.XLOOKUP(Tab_Data_Flows[[#This Row],[Flow_Name]],Tab_Def_Flows[Flow_Name],Tab_Def_Flows[Flow_E5_Fraction'[%']],"N.A.",0,1)</f>
        <v>0</v>
      </c>
      <c r="AH52" s="6" t="str">
        <f>IF(H52="Yes",Tab_Data_Flows[[#This Row],[E5_Fraction'[%']]]*Tab_Data_Flows[[#This Row],[E1_value]],"N.A.")</f>
        <v>N.A.</v>
      </c>
      <c r="AI52" s="6" t="str">
        <f>Tab_Data_Flows[[#This Row],[E1_UoM]]</f>
        <v>Mg</v>
      </c>
      <c r="AJ52" s="139">
        <f>_xlfn.XLOOKUP(Tab_Data_Flows[[#This Row],[Flow_Name]],Tab_Def_Flows[Flow_Name],Tab_Def_Flows[Flow_E6_Fraction'[%']],"N.A.",0,1)</f>
        <v>0</v>
      </c>
      <c r="AK52" s="6" t="str">
        <f>IF(Tab_Data_Flows[[#This Row],[Use_E6]]="Yes",Tab_Data_Flows[[#This Row],[E6_Fraction'[%']]]*Tab_Data_Flows[[#This Row],[E1_value]],"N.A.")</f>
        <v>N.A.</v>
      </c>
      <c r="AL52" s="6" t="str">
        <f>Tab_Data_Flows[[#This Row],[E1_UoM]]</f>
        <v>Mg</v>
      </c>
    </row>
    <row r="53" spans="1:38" x14ac:dyDescent="0.25">
      <c r="A53" s="8">
        <f t="shared" si="1"/>
        <v>52</v>
      </c>
      <c r="B53" s="6" t="str">
        <f>_xlfn.XLOOKUP(C53,Tab_Def_Flows[Flow_Name],Tab_Def_Flows[Flow_ID],,0,)</f>
        <v>F_01_02</v>
      </c>
      <c r="C53" s="138" t="s">
        <v>1234</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No</v>
      </c>
      <c r="I53" s="9" t="str">
        <f>_xlfn.XLOOKUP(C53,Tab_Def_Flows[Flow_Name],Tab_Def_Flows[Use_E6],,0,)</f>
        <v>No</v>
      </c>
      <c r="J53" s="188">
        <v>2076</v>
      </c>
      <c r="K53" s="189">
        <v>998018.72527450987</v>
      </c>
      <c r="L53" s="6" t="str">
        <f>'0_Configuration'!$C$41</f>
        <v>Mg</v>
      </c>
      <c r="M53" s="13" t="s">
        <v>1263</v>
      </c>
      <c r="N53" s="13">
        <v>2025</v>
      </c>
      <c r="O53" s="13" t="s">
        <v>1260</v>
      </c>
      <c r="P53" s="13" t="s">
        <v>1261</v>
      </c>
      <c r="Q53" s="13" t="s">
        <v>1314</v>
      </c>
      <c r="R53" s="7" t="s">
        <v>6</v>
      </c>
      <c r="S53" s="7"/>
      <c r="T53" s="7"/>
      <c r="U53" s="139">
        <f>_xlfn.XLOOKUP(Tab_Data_Flows[[#This Row],[Flow_Name]],Tab_Def_Flows[Flow_Name],Tab_Def_Flows[Flow_E1_Fraction'[%']],"N.A.",0,1)</f>
        <v>1</v>
      </c>
      <c r="V53" s="12">
        <f t="shared" si="2"/>
        <v>998018.72527450987</v>
      </c>
      <c r="W53" s="6" t="str">
        <f>Tab_Data_Flows[[#This Row],[UoM_Source]]</f>
        <v>Mg</v>
      </c>
      <c r="X53" s="139">
        <f>_xlfn.XLOOKUP(Tab_Data_Flows[[#This Row],[Flow_Name]],Tab_Def_Flows[Flow_Name],Tab_Def_Flows[Flow_E2_Fraction'[%']],"N.A.",0,1)</f>
        <v>0.22838499184339317</v>
      </c>
      <c r="Y53" s="6">
        <f>IF(D53="Yes",V53*Tab_Data_Flows[[#This Row],[E2_Fraction'[%']]],"N.A.")</f>
        <v>227932.49843137257</v>
      </c>
      <c r="Z53" s="6" t="str">
        <f>Tab_Data_Flows[[#This Row],[E1_UoM]]</f>
        <v>Mg</v>
      </c>
      <c r="AA53" s="139">
        <f>_xlfn.XLOOKUP(Tab_Data_Flows[[#This Row],[Flow_Name]],Tab_Def_Flows[Flow_Name],Tab_Def_Flows[Flow_E3_Fraction'[%']],"N.A.",0,1)</f>
        <v>0.77161500815660689</v>
      </c>
      <c r="AB53" s="6">
        <f>IF(E53="Yes",AA53*Tab_Data_Flows[[#This Row],[E1_value]],"N.A.")</f>
        <v>770086.22684313729</v>
      </c>
      <c r="AC53" s="6" t="str">
        <f>Tab_Data_Flows[[#This Row],[E1_UoM]]</f>
        <v>Mg</v>
      </c>
      <c r="AD53" s="139">
        <f>_xlfn.XLOOKUP(Tab_Data_Flows[[#This Row],[Flow_Name]],Tab_Def_Flows[Flow_Name],Tab_Def_Flows[Flow_E4_Fraction'[%']],"N.A.",0,1)</f>
        <v>0</v>
      </c>
      <c r="AE53" s="6">
        <f>IF(G53="Yes",Tab_Data_Flows[[#This Row],[E4_Fraction'[%']]]*Tab_Data_Flows[[#This Row],[E1_value]],"N.A.")</f>
        <v>0</v>
      </c>
      <c r="AF53" s="6" t="str">
        <f>Tab_Data_Flows[[#This Row],[E1_UoM]]</f>
        <v>Mg</v>
      </c>
      <c r="AG53" s="139">
        <f>_xlfn.XLOOKUP(Tab_Data_Flows[[#This Row],[Flow_Name]],Tab_Def_Flows[Flow_Name],Tab_Def_Flows[Flow_E5_Fraction'[%']],"N.A.",0,1)</f>
        <v>0</v>
      </c>
      <c r="AH53" s="6" t="str">
        <f>IF(H53="Yes",Tab_Data_Flows[[#This Row],[E5_Fraction'[%']]]*Tab_Data_Flows[[#This Row],[E1_value]],"N.A.")</f>
        <v>N.A.</v>
      </c>
      <c r="AI53" s="6" t="str">
        <f>Tab_Data_Flows[[#This Row],[E1_UoM]]</f>
        <v>Mg</v>
      </c>
      <c r="AJ53" s="139">
        <f>_xlfn.XLOOKUP(Tab_Data_Flows[[#This Row],[Flow_Name]],Tab_Def_Flows[Flow_Name],Tab_Def_Flows[Flow_E6_Fraction'[%']],"N.A.",0,1)</f>
        <v>0</v>
      </c>
      <c r="AK53" s="6" t="str">
        <f>IF(Tab_Data_Flows[[#This Row],[Use_E6]]="Yes",Tab_Data_Flows[[#This Row],[E6_Fraction'[%']]]*Tab_Data_Flows[[#This Row],[E1_value]],"N.A.")</f>
        <v>N.A.</v>
      </c>
      <c r="AL53" s="6" t="str">
        <f>Tab_Data_Flows[[#This Row],[E1_UoM]]</f>
        <v>Mg</v>
      </c>
    </row>
    <row r="54" spans="1:38" x14ac:dyDescent="0.25">
      <c r="A54" s="8">
        <f t="shared" si="1"/>
        <v>53</v>
      </c>
      <c r="B54" s="6" t="str">
        <f>_xlfn.XLOOKUP(C54,Tab_Def_Flows[Flow_Name],Tab_Def_Flows[Flow_ID],,0,)</f>
        <v>F_01_02</v>
      </c>
      <c r="C54" s="138" t="s">
        <v>1234</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No</v>
      </c>
      <c r="I54" s="9" t="str">
        <f>_xlfn.XLOOKUP(C54,Tab_Def_Flows[Flow_Name],Tab_Def_Flows[Use_E6],,0,)</f>
        <v>No</v>
      </c>
      <c r="J54" s="188">
        <v>2077</v>
      </c>
      <c r="K54" s="189">
        <v>1038627.895882353</v>
      </c>
      <c r="L54" s="6" t="str">
        <f>'0_Configuration'!$C$41</f>
        <v>Mg</v>
      </c>
      <c r="M54" s="13" t="s">
        <v>1263</v>
      </c>
      <c r="N54" s="13">
        <v>2025</v>
      </c>
      <c r="O54" s="13" t="s">
        <v>1260</v>
      </c>
      <c r="P54" s="13" t="s">
        <v>1261</v>
      </c>
      <c r="Q54" s="13" t="s">
        <v>1315</v>
      </c>
      <c r="R54" s="7" t="s">
        <v>6</v>
      </c>
      <c r="S54" s="7"/>
      <c r="T54" s="7"/>
      <c r="U54" s="139">
        <f>_xlfn.XLOOKUP(Tab_Data_Flows[[#This Row],[Flow_Name]],Tab_Def_Flows[Flow_Name],Tab_Def_Flows[Flow_E1_Fraction'[%']],"N.A.",0,1)</f>
        <v>1</v>
      </c>
      <c r="V54" s="12">
        <f t="shared" si="2"/>
        <v>1038627.895882353</v>
      </c>
      <c r="W54" s="6" t="str">
        <f>Tab_Data_Flows[[#This Row],[UoM_Source]]</f>
        <v>Mg</v>
      </c>
      <c r="X54" s="139">
        <f>_xlfn.XLOOKUP(Tab_Data_Flows[[#This Row],[Flow_Name]],Tab_Def_Flows[Flow_Name],Tab_Def_Flows[Flow_E2_Fraction'[%']],"N.A.",0,1)</f>
        <v>0.22838499184339317</v>
      </c>
      <c r="Y54" s="6">
        <f>IF(D54="Yes",V54*Tab_Data_Flows[[#This Row],[E2_Fraction'[%']]],"N.A.")</f>
        <v>237207.02352941179</v>
      </c>
      <c r="Z54" s="6" t="str">
        <f>Tab_Data_Flows[[#This Row],[E1_UoM]]</f>
        <v>Mg</v>
      </c>
      <c r="AA54" s="139">
        <f>_xlfn.XLOOKUP(Tab_Data_Flows[[#This Row],[Flow_Name]],Tab_Def_Flows[Flow_Name],Tab_Def_Flows[Flow_E3_Fraction'[%']],"N.A.",0,1)</f>
        <v>0.77161500815660689</v>
      </c>
      <c r="AB54" s="6">
        <f>IF(E54="Yes",AA54*Tab_Data_Flows[[#This Row],[E1_value]],"N.A.")</f>
        <v>801420.87235294119</v>
      </c>
      <c r="AC54" s="6" t="str">
        <f>Tab_Data_Flows[[#This Row],[E1_UoM]]</f>
        <v>Mg</v>
      </c>
      <c r="AD54" s="139">
        <f>_xlfn.XLOOKUP(Tab_Data_Flows[[#This Row],[Flow_Name]],Tab_Def_Flows[Flow_Name],Tab_Def_Flows[Flow_E4_Fraction'[%']],"N.A.",0,1)</f>
        <v>0</v>
      </c>
      <c r="AE54" s="6">
        <f>IF(G54="Yes",Tab_Data_Flows[[#This Row],[E4_Fraction'[%']]]*Tab_Data_Flows[[#This Row],[E1_value]],"N.A.")</f>
        <v>0</v>
      </c>
      <c r="AF54" s="6" t="str">
        <f>Tab_Data_Flows[[#This Row],[E1_UoM]]</f>
        <v>Mg</v>
      </c>
      <c r="AG54" s="139">
        <f>_xlfn.XLOOKUP(Tab_Data_Flows[[#This Row],[Flow_Name]],Tab_Def_Flows[Flow_Name],Tab_Def_Flows[Flow_E5_Fraction'[%']],"N.A.",0,1)</f>
        <v>0</v>
      </c>
      <c r="AH54" s="6" t="str">
        <f>IF(H54="Yes",Tab_Data_Flows[[#This Row],[E5_Fraction'[%']]]*Tab_Data_Flows[[#This Row],[E1_value]],"N.A.")</f>
        <v>N.A.</v>
      </c>
      <c r="AI54" s="6" t="str">
        <f>Tab_Data_Flows[[#This Row],[E1_UoM]]</f>
        <v>Mg</v>
      </c>
      <c r="AJ54" s="139">
        <f>_xlfn.XLOOKUP(Tab_Data_Flows[[#This Row],[Flow_Name]],Tab_Def_Flows[Flow_Name],Tab_Def_Flows[Flow_E6_Fraction'[%']],"N.A.",0,1)</f>
        <v>0</v>
      </c>
      <c r="AK54" s="6" t="str">
        <f>IF(Tab_Data_Flows[[#This Row],[Use_E6]]="Yes",Tab_Data_Flows[[#This Row],[E6_Fraction'[%']]]*Tab_Data_Flows[[#This Row],[E1_value]],"N.A.")</f>
        <v>N.A.</v>
      </c>
      <c r="AL54" s="6" t="str">
        <f>Tab_Data_Flows[[#This Row],[E1_UoM]]</f>
        <v>Mg</v>
      </c>
    </row>
    <row r="55" spans="1:38" x14ac:dyDescent="0.25">
      <c r="A55" s="8">
        <f t="shared" si="1"/>
        <v>54</v>
      </c>
      <c r="B55" s="6" t="str">
        <f>_xlfn.XLOOKUP(C55,Tab_Def_Flows[Flow_Name],Tab_Def_Flows[Flow_ID],,0,)</f>
        <v>F_01_02</v>
      </c>
      <c r="C55" s="138" t="s">
        <v>1234</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No</v>
      </c>
      <c r="I55" s="9" t="str">
        <f>_xlfn.XLOOKUP(C55,Tab_Def_Flows[Flow_Name],Tab_Def_Flows[Use_E6],,0,)</f>
        <v>No</v>
      </c>
      <c r="J55" s="188">
        <v>2078</v>
      </c>
      <c r="K55" s="189">
        <v>909594.29260784306</v>
      </c>
      <c r="L55" s="6" t="str">
        <f>'0_Configuration'!$C$41</f>
        <v>Mg</v>
      </c>
      <c r="M55" s="13" t="s">
        <v>1263</v>
      </c>
      <c r="N55" s="13">
        <v>2025</v>
      </c>
      <c r="O55" s="13" t="s">
        <v>1260</v>
      </c>
      <c r="P55" s="13" t="s">
        <v>1261</v>
      </c>
      <c r="Q55" s="13" t="s">
        <v>1316</v>
      </c>
      <c r="R55" s="7" t="s">
        <v>6</v>
      </c>
      <c r="S55" s="7"/>
      <c r="T55" s="7"/>
      <c r="U55" s="139">
        <f>_xlfn.XLOOKUP(Tab_Data_Flows[[#This Row],[Flow_Name]],Tab_Def_Flows[Flow_Name],Tab_Def_Flows[Flow_E1_Fraction'[%']],"N.A.",0,1)</f>
        <v>1</v>
      </c>
      <c r="V55" s="12">
        <f t="shared" si="2"/>
        <v>909594.29260784306</v>
      </c>
      <c r="W55" s="6" t="str">
        <f>Tab_Data_Flows[[#This Row],[UoM_Source]]</f>
        <v>Mg</v>
      </c>
      <c r="X55" s="139">
        <f>_xlfn.XLOOKUP(Tab_Data_Flows[[#This Row],[Flow_Name]],Tab_Def_Flows[Flow_Name],Tab_Def_Flows[Flow_E2_Fraction'[%']],"N.A.",0,1)</f>
        <v>0.22838499184339317</v>
      </c>
      <c r="Y55" s="6">
        <f>IF(D55="Yes",V55*Tab_Data_Flows[[#This Row],[E2_Fraction'[%']]],"N.A.")</f>
        <v>207737.68509803922</v>
      </c>
      <c r="Z55" s="6" t="str">
        <f>Tab_Data_Flows[[#This Row],[E1_UoM]]</f>
        <v>Mg</v>
      </c>
      <c r="AA55" s="139">
        <f>_xlfn.XLOOKUP(Tab_Data_Flows[[#This Row],[Flow_Name]],Tab_Def_Flows[Flow_Name],Tab_Def_Flows[Flow_E3_Fraction'[%']],"N.A.",0,1)</f>
        <v>0.77161500815660689</v>
      </c>
      <c r="AB55" s="6">
        <f>IF(E55="Yes",AA55*Tab_Data_Flows[[#This Row],[E1_value]],"N.A.")</f>
        <v>701856.60750980384</v>
      </c>
      <c r="AC55" s="6" t="str">
        <f>Tab_Data_Flows[[#This Row],[E1_UoM]]</f>
        <v>Mg</v>
      </c>
      <c r="AD55" s="139">
        <f>_xlfn.XLOOKUP(Tab_Data_Flows[[#This Row],[Flow_Name]],Tab_Def_Flows[Flow_Name],Tab_Def_Flows[Flow_E4_Fraction'[%']],"N.A.",0,1)</f>
        <v>0</v>
      </c>
      <c r="AE55" s="6">
        <f>IF(G55="Yes",Tab_Data_Flows[[#This Row],[E4_Fraction'[%']]]*Tab_Data_Flows[[#This Row],[E1_value]],"N.A.")</f>
        <v>0</v>
      </c>
      <c r="AF55" s="6" t="str">
        <f>Tab_Data_Flows[[#This Row],[E1_UoM]]</f>
        <v>Mg</v>
      </c>
      <c r="AG55" s="139">
        <f>_xlfn.XLOOKUP(Tab_Data_Flows[[#This Row],[Flow_Name]],Tab_Def_Flows[Flow_Name],Tab_Def_Flows[Flow_E5_Fraction'[%']],"N.A.",0,1)</f>
        <v>0</v>
      </c>
      <c r="AH55" s="6" t="str">
        <f>IF(H55="Yes",Tab_Data_Flows[[#This Row],[E5_Fraction'[%']]]*Tab_Data_Flows[[#This Row],[E1_value]],"N.A.")</f>
        <v>N.A.</v>
      </c>
      <c r="AI55" s="6" t="str">
        <f>Tab_Data_Flows[[#This Row],[E1_UoM]]</f>
        <v>Mg</v>
      </c>
      <c r="AJ55" s="139">
        <f>_xlfn.XLOOKUP(Tab_Data_Flows[[#This Row],[Flow_Name]],Tab_Def_Flows[Flow_Name],Tab_Def_Flows[Flow_E6_Fraction'[%']],"N.A.",0,1)</f>
        <v>0</v>
      </c>
      <c r="AK55" s="6" t="str">
        <f>IF(Tab_Data_Flows[[#This Row],[Use_E6]]="Yes",Tab_Data_Flows[[#This Row],[E6_Fraction'[%']]]*Tab_Data_Flows[[#This Row],[E1_value]],"N.A.")</f>
        <v>N.A.</v>
      </c>
      <c r="AL55" s="6" t="str">
        <f>Tab_Data_Flows[[#This Row],[E1_UoM]]</f>
        <v>Mg</v>
      </c>
    </row>
    <row r="56" spans="1:38" x14ac:dyDescent="0.25">
      <c r="A56" s="8">
        <f t="shared" si="1"/>
        <v>55</v>
      </c>
      <c r="B56" s="6" t="str">
        <f>_xlfn.XLOOKUP(C56,Tab_Def_Flows[Flow_Name],Tab_Def_Flows[Flow_ID],,0,)</f>
        <v>F_01_02</v>
      </c>
      <c r="C56" s="138" t="s">
        <v>1234</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No</v>
      </c>
      <c r="I56" s="9" t="str">
        <f>_xlfn.XLOOKUP(C56,Tab_Def_Flows[Flow_Name],Tab_Def_Flows[Use_E6],,0,)</f>
        <v>No</v>
      </c>
      <c r="J56" s="188">
        <v>2079</v>
      </c>
      <c r="K56" s="189">
        <v>1075808.6656666666</v>
      </c>
      <c r="L56" s="6" t="str">
        <f>'0_Configuration'!$C$41</f>
        <v>Mg</v>
      </c>
      <c r="M56" s="13" t="s">
        <v>1263</v>
      </c>
      <c r="N56" s="13">
        <v>2025</v>
      </c>
      <c r="O56" s="13" t="s">
        <v>1260</v>
      </c>
      <c r="P56" s="13" t="s">
        <v>1261</v>
      </c>
      <c r="Q56" s="13" t="s">
        <v>1317</v>
      </c>
      <c r="R56" s="7" t="s">
        <v>6</v>
      </c>
      <c r="S56" s="7"/>
      <c r="T56" s="7"/>
      <c r="U56" s="139">
        <f>_xlfn.XLOOKUP(Tab_Data_Flows[[#This Row],[Flow_Name]],Tab_Def_Flows[Flow_Name],Tab_Def_Flows[Flow_E1_Fraction'[%']],"N.A.",0,1)</f>
        <v>1</v>
      </c>
      <c r="V56" s="12">
        <f t="shared" si="2"/>
        <v>1075808.6656666666</v>
      </c>
      <c r="W56" s="6" t="str">
        <f>Tab_Data_Flows[[#This Row],[UoM_Source]]</f>
        <v>Mg</v>
      </c>
      <c r="X56" s="139">
        <f>_xlfn.XLOOKUP(Tab_Data_Flows[[#This Row],[Flow_Name]],Tab_Def_Flows[Flow_Name],Tab_Def_Flows[Flow_E2_Fraction'[%']],"N.A.",0,1)</f>
        <v>0.22838499184339317</v>
      </c>
      <c r="Y56" s="6">
        <f>IF(D56="Yes",V56*Tab_Data_Flows[[#This Row],[E2_Fraction'[%']]],"N.A.")</f>
        <v>245698.55333333334</v>
      </c>
      <c r="Z56" s="6" t="str">
        <f>Tab_Data_Flows[[#This Row],[E1_UoM]]</f>
        <v>Mg</v>
      </c>
      <c r="AA56" s="139">
        <f>_xlfn.XLOOKUP(Tab_Data_Flows[[#This Row],[Flow_Name]],Tab_Def_Flows[Flow_Name],Tab_Def_Flows[Flow_E3_Fraction'[%']],"N.A.",0,1)</f>
        <v>0.77161500815660689</v>
      </c>
      <c r="AB56" s="6">
        <f>IF(E56="Yes",AA56*Tab_Data_Flows[[#This Row],[E1_value]],"N.A.")</f>
        <v>830110.11233333335</v>
      </c>
      <c r="AC56" s="6" t="str">
        <f>Tab_Data_Flows[[#This Row],[E1_UoM]]</f>
        <v>Mg</v>
      </c>
      <c r="AD56" s="139">
        <f>_xlfn.XLOOKUP(Tab_Data_Flows[[#This Row],[Flow_Name]],Tab_Def_Flows[Flow_Name],Tab_Def_Flows[Flow_E4_Fraction'[%']],"N.A.",0,1)</f>
        <v>0</v>
      </c>
      <c r="AE56" s="6">
        <f>IF(G56="Yes",Tab_Data_Flows[[#This Row],[E4_Fraction'[%']]]*Tab_Data_Flows[[#This Row],[E1_value]],"N.A.")</f>
        <v>0</v>
      </c>
      <c r="AF56" s="6" t="str">
        <f>Tab_Data_Flows[[#This Row],[E1_UoM]]</f>
        <v>Mg</v>
      </c>
      <c r="AG56" s="139">
        <f>_xlfn.XLOOKUP(Tab_Data_Flows[[#This Row],[Flow_Name]],Tab_Def_Flows[Flow_Name],Tab_Def_Flows[Flow_E5_Fraction'[%']],"N.A.",0,1)</f>
        <v>0</v>
      </c>
      <c r="AH56" s="6" t="str">
        <f>IF(H56="Yes",Tab_Data_Flows[[#This Row],[E5_Fraction'[%']]]*Tab_Data_Flows[[#This Row],[E1_value]],"N.A.")</f>
        <v>N.A.</v>
      </c>
      <c r="AI56" s="6" t="str">
        <f>Tab_Data_Flows[[#This Row],[E1_UoM]]</f>
        <v>Mg</v>
      </c>
      <c r="AJ56" s="139">
        <f>_xlfn.XLOOKUP(Tab_Data_Flows[[#This Row],[Flow_Name]],Tab_Def_Flows[Flow_Name],Tab_Def_Flows[Flow_E6_Fraction'[%']],"N.A.",0,1)</f>
        <v>0</v>
      </c>
      <c r="AK56" s="6" t="str">
        <f>IF(Tab_Data_Flows[[#This Row],[Use_E6]]="Yes",Tab_Data_Flows[[#This Row],[E6_Fraction'[%']]]*Tab_Data_Flows[[#This Row],[E1_value]],"N.A.")</f>
        <v>N.A.</v>
      </c>
      <c r="AL56" s="6" t="str">
        <f>Tab_Data_Flows[[#This Row],[E1_UoM]]</f>
        <v>Mg</v>
      </c>
    </row>
    <row r="57" spans="1:38" x14ac:dyDescent="0.25">
      <c r="A57" s="8">
        <f t="shared" si="1"/>
        <v>56</v>
      </c>
      <c r="B57" s="6" t="str">
        <f>_xlfn.XLOOKUP(C57,Tab_Def_Flows[Flow_Name],Tab_Def_Flows[Flow_ID],,0,)</f>
        <v>F_01_02</v>
      </c>
      <c r="C57" s="138" t="s">
        <v>1234</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No</v>
      </c>
      <c r="I57" s="9" t="str">
        <f>_xlfn.XLOOKUP(C57,Tab_Def_Flows[Flow_Name],Tab_Def_Flows[Use_E6],,0,)</f>
        <v>No</v>
      </c>
      <c r="J57" s="188">
        <v>2080</v>
      </c>
      <c r="K57" s="189">
        <v>995909.06774509791</v>
      </c>
      <c r="L57" s="6" t="str">
        <f>'0_Configuration'!$C$41</f>
        <v>Mg</v>
      </c>
      <c r="M57" s="13" t="s">
        <v>1263</v>
      </c>
      <c r="N57" s="13">
        <v>2025</v>
      </c>
      <c r="O57" s="13" t="s">
        <v>1260</v>
      </c>
      <c r="P57" s="13" t="s">
        <v>1261</v>
      </c>
      <c r="Q57" s="13" t="s">
        <v>1318</v>
      </c>
      <c r="R57" s="7" t="s">
        <v>6</v>
      </c>
      <c r="S57" s="7"/>
      <c r="T57" s="7"/>
      <c r="U57" s="139">
        <f>_xlfn.XLOOKUP(Tab_Data_Flows[[#This Row],[Flow_Name]],Tab_Def_Flows[Flow_Name],Tab_Def_Flows[Flow_E1_Fraction'[%']],"N.A.",0,1)</f>
        <v>1</v>
      </c>
      <c r="V57" s="12">
        <f t="shared" si="2"/>
        <v>995909.06774509791</v>
      </c>
      <c r="W57" s="6" t="str">
        <f>Tab_Data_Flows[[#This Row],[UoM_Source]]</f>
        <v>Mg</v>
      </c>
      <c r="X57" s="139">
        <f>_xlfn.XLOOKUP(Tab_Data_Flows[[#This Row],[Flow_Name]],Tab_Def_Flows[Flow_Name],Tab_Def_Flows[Flow_E2_Fraction'[%']],"N.A.",0,1)</f>
        <v>0.22838499184339317</v>
      </c>
      <c r="Y57" s="6">
        <f>IF(D57="Yes",V57*Tab_Data_Flows[[#This Row],[E2_Fraction'[%']]],"N.A.")</f>
        <v>227450.68431372548</v>
      </c>
      <c r="Z57" s="6" t="str">
        <f>Tab_Data_Flows[[#This Row],[E1_UoM]]</f>
        <v>Mg</v>
      </c>
      <c r="AA57" s="139">
        <f>_xlfn.XLOOKUP(Tab_Data_Flows[[#This Row],[Flow_Name]],Tab_Def_Flows[Flow_Name],Tab_Def_Flows[Flow_E3_Fraction'[%']],"N.A.",0,1)</f>
        <v>0.77161500815660689</v>
      </c>
      <c r="AB57" s="6">
        <f>IF(E57="Yes",AA57*Tab_Data_Flows[[#This Row],[E1_value]],"N.A.")</f>
        <v>768458.38343137247</v>
      </c>
      <c r="AC57" s="6" t="str">
        <f>Tab_Data_Flows[[#This Row],[E1_UoM]]</f>
        <v>Mg</v>
      </c>
      <c r="AD57" s="139">
        <f>_xlfn.XLOOKUP(Tab_Data_Flows[[#This Row],[Flow_Name]],Tab_Def_Flows[Flow_Name],Tab_Def_Flows[Flow_E4_Fraction'[%']],"N.A.",0,1)</f>
        <v>0</v>
      </c>
      <c r="AE57" s="6">
        <f>IF(G57="Yes",Tab_Data_Flows[[#This Row],[E4_Fraction'[%']]]*Tab_Data_Flows[[#This Row],[E1_value]],"N.A.")</f>
        <v>0</v>
      </c>
      <c r="AF57" s="6" t="str">
        <f>Tab_Data_Flows[[#This Row],[E1_UoM]]</f>
        <v>Mg</v>
      </c>
      <c r="AG57" s="139">
        <f>_xlfn.XLOOKUP(Tab_Data_Flows[[#This Row],[Flow_Name]],Tab_Def_Flows[Flow_Name],Tab_Def_Flows[Flow_E5_Fraction'[%']],"N.A.",0,1)</f>
        <v>0</v>
      </c>
      <c r="AH57" s="6" t="str">
        <f>IF(H57="Yes",Tab_Data_Flows[[#This Row],[E5_Fraction'[%']]]*Tab_Data_Flows[[#This Row],[E1_value]],"N.A.")</f>
        <v>N.A.</v>
      </c>
      <c r="AI57" s="6" t="str">
        <f>Tab_Data_Flows[[#This Row],[E1_UoM]]</f>
        <v>Mg</v>
      </c>
      <c r="AJ57" s="139">
        <f>_xlfn.XLOOKUP(Tab_Data_Flows[[#This Row],[Flow_Name]],Tab_Def_Flows[Flow_Name],Tab_Def_Flows[Flow_E6_Fraction'[%']],"N.A.",0,1)</f>
        <v>0</v>
      </c>
      <c r="AK57" s="6" t="str">
        <f>IF(Tab_Data_Flows[[#This Row],[Use_E6]]="Yes",Tab_Data_Flows[[#This Row],[E6_Fraction'[%']]]*Tab_Data_Flows[[#This Row],[E1_value]],"N.A.")</f>
        <v>N.A.</v>
      </c>
      <c r="AL57" s="6" t="str">
        <f>Tab_Data_Flows[[#This Row],[E1_UoM]]</f>
        <v>Mg</v>
      </c>
    </row>
    <row r="58" spans="1:38" x14ac:dyDescent="0.25">
      <c r="A58" s="8">
        <f t="shared" si="1"/>
        <v>57</v>
      </c>
      <c r="B58" s="6" t="str">
        <f>_xlfn.XLOOKUP(C58,Tab_Def_Flows[Flow_Name],Tab_Def_Flows[Flow_ID],,0,)</f>
        <v>F_01_02</v>
      </c>
      <c r="C58" s="138" t="s">
        <v>1234</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No</v>
      </c>
      <c r="I58" s="9" t="str">
        <f>_xlfn.XLOOKUP(C58,Tab_Def_Flows[Flow_Name],Tab_Def_Flows[Use_E6],,0,)</f>
        <v>No</v>
      </c>
      <c r="J58" s="188">
        <v>2081</v>
      </c>
      <c r="K58" s="189">
        <v>1002701.179862745</v>
      </c>
      <c r="L58" s="6" t="str">
        <f>'0_Configuration'!$C$41</f>
        <v>Mg</v>
      </c>
      <c r="M58" s="13" t="s">
        <v>1263</v>
      </c>
      <c r="N58" s="13">
        <v>2025</v>
      </c>
      <c r="O58" s="13" t="s">
        <v>1260</v>
      </c>
      <c r="P58" s="13" t="s">
        <v>1261</v>
      </c>
      <c r="Q58" s="13" t="s">
        <v>1319</v>
      </c>
      <c r="R58" s="7" t="s">
        <v>6</v>
      </c>
      <c r="S58" s="7"/>
      <c r="T58" s="7"/>
      <c r="U58" s="139">
        <f>_xlfn.XLOOKUP(Tab_Data_Flows[[#This Row],[Flow_Name]],Tab_Def_Flows[Flow_Name],Tab_Def_Flows[Flow_E1_Fraction'[%']],"N.A.",0,1)</f>
        <v>1</v>
      </c>
      <c r="V58" s="12">
        <f t="shared" si="2"/>
        <v>1002701.179862745</v>
      </c>
      <c r="W58" s="6" t="str">
        <f>Tab_Data_Flows[[#This Row],[UoM_Source]]</f>
        <v>Mg</v>
      </c>
      <c r="X58" s="139">
        <f>_xlfn.XLOOKUP(Tab_Data_Flows[[#This Row],[Flow_Name]],Tab_Def_Flows[Flow_Name],Tab_Def_Flows[Flow_E2_Fraction'[%']],"N.A.",0,1)</f>
        <v>0.22838499184339317</v>
      </c>
      <c r="Y58" s="6">
        <f>IF(D58="Yes",V58*Tab_Data_Flows[[#This Row],[E2_Fraction'[%']]],"N.A.")</f>
        <v>229001.90078431374</v>
      </c>
      <c r="Z58" s="6" t="str">
        <f>Tab_Data_Flows[[#This Row],[E1_UoM]]</f>
        <v>Mg</v>
      </c>
      <c r="AA58" s="139">
        <f>_xlfn.XLOOKUP(Tab_Data_Flows[[#This Row],[Flow_Name]],Tab_Def_Flows[Flow_Name],Tab_Def_Flows[Flow_E3_Fraction'[%']],"N.A.",0,1)</f>
        <v>0.77161500815660689</v>
      </c>
      <c r="AB58" s="6">
        <f>IF(E58="Yes",AA58*Tab_Data_Flows[[#This Row],[E1_value]],"N.A.")</f>
        <v>773699.27907843131</v>
      </c>
      <c r="AC58" s="6" t="str">
        <f>Tab_Data_Flows[[#This Row],[E1_UoM]]</f>
        <v>Mg</v>
      </c>
      <c r="AD58" s="139">
        <f>_xlfn.XLOOKUP(Tab_Data_Flows[[#This Row],[Flow_Name]],Tab_Def_Flows[Flow_Name],Tab_Def_Flows[Flow_E4_Fraction'[%']],"N.A.",0,1)</f>
        <v>0</v>
      </c>
      <c r="AE58" s="6">
        <f>IF(G58="Yes",Tab_Data_Flows[[#This Row],[E4_Fraction'[%']]]*Tab_Data_Flows[[#This Row],[E1_value]],"N.A.")</f>
        <v>0</v>
      </c>
      <c r="AF58" s="6" t="str">
        <f>Tab_Data_Flows[[#This Row],[E1_UoM]]</f>
        <v>Mg</v>
      </c>
      <c r="AG58" s="139">
        <f>_xlfn.XLOOKUP(Tab_Data_Flows[[#This Row],[Flow_Name]],Tab_Def_Flows[Flow_Name],Tab_Def_Flows[Flow_E5_Fraction'[%']],"N.A.",0,1)</f>
        <v>0</v>
      </c>
      <c r="AH58" s="6" t="str">
        <f>IF(H58="Yes",Tab_Data_Flows[[#This Row],[E5_Fraction'[%']]]*Tab_Data_Flows[[#This Row],[E1_value]],"N.A.")</f>
        <v>N.A.</v>
      </c>
      <c r="AI58" s="6" t="str">
        <f>Tab_Data_Flows[[#This Row],[E1_UoM]]</f>
        <v>Mg</v>
      </c>
      <c r="AJ58" s="139">
        <f>_xlfn.XLOOKUP(Tab_Data_Flows[[#This Row],[Flow_Name]],Tab_Def_Flows[Flow_Name],Tab_Def_Flows[Flow_E6_Fraction'[%']],"N.A.",0,1)</f>
        <v>0</v>
      </c>
      <c r="AK58" s="6" t="str">
        <f>IF(Tab_Data_Flows[[#This Row],[Use_E6]]="Yes",Tab_Data_Flows[[#This Row],[E6_Fraction'[%']]]*Tab_Data_Flows[[#This Row],[E1_value]],"N.A.")</f>
        <v>N.A.</v>
      </c>
      <c r="AL58" s="6" t="str">
        <f>Tab_Data_Flows[[#This Row],[E1_UoM]]</f>
        <v>Mg</v>
      </c>
    </row>
    <row r="59" spans="1:38" x14ac:dyDescent="0.25">
      <c r="A59" s="8">
        <f t="shared" si="1"/>
        <v>58</v>
      </c>
      <c r="B59" s="6" t="str">
        <f>_xlfn.XLOOKUP(C59,Tab_Def_Flows[Flow_Name],Tab_Def_Flows[Flow_ID],,0,)</f>
        <v>F_01_02</v>
      </c>
      <c r="C59" s="138" t="s">
        <v>1234</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No</v>
      </c>
      <c r="I59" s="9" t="str">
        <f>_xlfn.XLOOKUP(C59,Tab_Def_Flows[Flow_Name],Tab_Def_Flows[Use_E6],,0,)</f>
        <v>No</v>
      </c>
      <c r="J59" s="188">
        <v>2082</v>
      </c>
      <c r="K59" s="189">
        <v>1077351.0578039214</v>
      </c>
      <c r="L59" s="6" t="str">
        <f>'0_Configuration'!$C$41</f>
        <v>Mg</v>
      </c>
      <c r="M59" s="13" t="s">
        <v>1263</v>
      </c>
      <c r="N59" s="13">
        <v>2025</v>
      </c>
      <c r="O59" s="13" t="s">
        <v>1260</v>
      </c>
      <c r="P59" s="13" t="s">
        <v>1261</v>
      </c>
      <c r="Q59" s="13" t="s">
        <v>1320</v>
      </c>
      <c r="R59" s="7" t="s">
        <v>6</v>
      </c>
      <c r="S59" s="7"/>
      <c r="T59" s="7"/>
      <c r="U59" s="139">
        <f>_xlfn.XLOOKUP(Tab_Data_Flows[[#This Row],[Flow_Name]],Tab_Def_Flows[Flow_Name],Tab_Def_Flows[Flow_E1_Fraction'[%']],"N.A.",0,1)</f>
        <v>1</v>
      </c>
      <c r="V59" s="12">
        <f t="shared" si="2"/>
        <v>1077351.0578039214</v>
      </c>
      <c r="W59" s="6" t="str">
        <f>Tab_Data_Flows[[#This Row],[UoM_Source]]</f>
        <v>Mg</v>
      </c>
      <c r="X59" s="139">
        <f>_xlfn.XLOOKUP(Tab_Data_Flows[[#This Row],[Flow_Name]],Tab_Def_Flows[Flow_Name],Tab_Def_Flows[Flow_E2_Fraction'[%']],"N.A.",0,1)</f>
        <v>0.22838499184339317</v>
      </c>
      <c r="Y59" s="6">
        <f>IF(D59="Yes",V59*Tab_Data_Flows[[#This Row],[E2_Fraction'[%']]],"N.A.")</f>
        <v>246050.81254901958</v>
      </c>
      <c r="Z59" s="6" t="str">
        <f>Tab_Data_Flows[[#This Row],[E1_UoM]]</f>
        <v>Mg</v>
      </c>
      <c r="AA59" s="139">
        <f>_xlfn.XLOOKUP(Tab_Data_Flows[[#This Row],[Flow_Name]],Tab_Def_Flows[Flow_Name],Tab_Def_Flows[Flow_E3_Fraction'[%']],"N.A.",0,1)</f>
        <v>0.77161500815660689</v>
      </c>
      <c r="AB59" s="6">
        <f>IF(E59="Yes",AA59*Tab_Data_Flows[[#This Row],[E1_value]],"N.A.")</f>
        <v>831300.24525490182</v>
      </c>
      <c r="AC59" s="6" t="str">
        <f>Tab_Data_Flows[[#This Row],[E1_UoM]]</f>
        <v>Mg</v>
      </c>
      <c r="AD59" s="139">
        <f>_xlfn.XLOOKUP(Tab_Data_Flows[[#This Row],[Flow_Name]],Tab_Def_Flows[Flow_Name],Tab_Def_Flows[Flow_E4_Fraction'[%']],"N.A.",0,1)</f>
        <v>0</v>
      </c>
      <c r="AE59" s="6">
        <f>IF(G59="Yes",Tab_Data_Flows[[#This Row],[E4_Fraction'[%']]]*Tab_Data_Flows[[#This Row],[E1_value]],"N.A.")</f>
        <v>0</v>
      </c>
      <c r="AF59" s="6" t="str">
        <f>Tab_Data_Flows[[#This Row],[E1_UoM]]</f>
        <v>Mg</v>
      </c>
      <c r="AG59" s="139">
        <f>_xlfn.XLOOKUP(Tab_Data_Flows[[#This Row],[Flow_Name]],Tab_Def_Flows[Flow_Name],Tab_Def_Flows[Flow_E5_Fraction'[%']],"N.A.",0,1)</f>
        <v>0</v>
      </c>
      <c r="AH59" s="6" t="str">
        <f>IF(H59="Yes",Tab_Data_Flows[[#This Row],[E5_Fraction'[%']]]*Tab_Data_Flows[[#This Row],[E1_value]],"N.A.")</f>
        <v>N.A.</v>
      </c>
      <c r="AI59" s="6" t="str">
        <f>Tab_Data_Flows[[#This Row],[E1_UoM]]</f>
        <v>Mg</v>
      </c>
      <c r="AJ59" s="139">
        <f>_xlfn.XLOOKUP(Tab_Data_Flows[[#This Row],[Flow_Name]],Tab_Def_Flows[Flow_Name],Tab_Def_Flows[Flow_E6_Fraction'[%']],"N.A.",0,1)</f>
        <v>0</v>
      </c>
      <c r="AK59" s="6" t="str">
        <f>IF(Tab_Data_Flows[[#This Row],[Use_E6]]="Yes",Tab_Data_Flows[[#This Row],[E6_Fraction'[%']]]*Tab_Data_Flows[[#This Row],[E1_value]],"N.A.")</f>
        <v>N.A.</v>
      </c>
      <c r="AL59" s="6" t="str">
        <f>Tab_Data_Flows[[#This Row],[E1_UoM]]</f>
        <v>Mg</v>
      </c>
    </row>
    <row r="60" spans="1:38" x14ac:dyDescent="0.25">
      <c r="A60" s="8">
        <f t="shared" si="1"/>
        <v>59</v>
      </c>
      <c r="B60" s="6" t="str">
        <f>_xlfn.XLOOKUP(C60,Tab_Def_Flows[Flow_Name],Tab_Def_Flows[Flow_ID],,0,)</f>
        <v>F_01_02</v>
      </c>
      <c r="C60" s="138" t="s">
        <v>1234</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No</v>
      </c>
      <c r="I60" s="9" t="str">
        <f>_xlfn.XLOOKUP(C60,Tab_Def_Flows[Flow_Name],Tab_Def_Flows[Use_E6],,0,)</f>
        <v>No</v>
      </c>
      <c r="J60" s="188">
        <v>2083</v>
      </c>
      <c r="K60" s="189">
        <v>972432.03315686272</v>
      </c>
      <c r="L60" s="6" t="str">
        <f>'0_Configuration'!$C$41</f>
        <v>Mg</v>
      </c>
      <c r="M60" s="13" t="s">
        <v>1263</v>
      </c>
      <c r="N60" s="13">
        <v>2025</v>
      </c>
      <c r="O60" s="13" t="s">
        <v>1260</v>
      </c>
      <c r="P60" s="13" t="s">
        <v>1261</v>
      </c>
      <c r="Q60" s="13" t="s">
        <v>1321</v>
      </c>
      <c r="R60" s="7" t="s">
        <v>6</v>
      </c>
      <c r="S60" s="14"/>
      <c r="T60" s="7"/>
      <c r="U60" s="139">
        <f>_xlfn.XLOOKUP(Tab_Data_Flows[[#This Row],[Flow_Name]],Tab_Def_Flows[Flow_Name],Tab_Def_Flows[Flow_E1_Fraction'[%']],"N.A.",0,1)</f>
        <v>1</v>
      </c>
      <c r="V60" s="12">
        <f t="shared" si="2"/>
        <v>972432.03315686272</v>
      </c>
      <c r="W60" s="6" t="str">
        <f>Tab_Data_Flows[[#This Row],[UoM_Source]]</f>
        <v>Mg</v>
      </c>
      <c r="X60" s="139">
        <f>_xlfn.XLOOKUP(Tab_Data_Flows[[#This Row],[Flow_Name]],Tab_Def_Flows[Flow_Name],Tab_Def_Flows[Flow_E2_Fraction'[%']],"N.A.",0,1)</f>
        <v>0.22838499184339317</v>
      </c>
      <c r="Y60" s="6">
        <f>IF(D60="Yes",V60*Tab_Data_Flows[[#This Row],[E2_Fraction'[%']]],"N.A.")</f>
        <v>222088.88196078432</v>
      </c>
      <c r="Z60" s="6" t="str">
        <f>Tab_Data_Flows[[#This Row],[E1_UoM]]</f>
        <v>Mg</v>
      </c>
      <c r="AA60" s="139">
        <f>_xlfn.XLOOKUP(Tab_Data_Flows[[#This Row],[Flow_Name]],Tab_Def_Flows[Flow_Name],Tab_Def_Flows[Flow_E3_Fraction'[%']],"N.A.",0,1)</f>
        <v>0.77161500815660689</v>
      </c>
      <c r="AB60" s="6">
        <f>IF(E60="Yes",AA60*Tab_Data_Flows[[#This Row],[E1_value]],"N.A.")</f>
        <v>750343.1511960784</v>
      </c>
      <c r="AC60" s="6" t="str">
        <f>Tab_Data_Flows[[#This Row],[E1_UoM]]</f>
        <v>Mg</v>
      </c>
      <c r="AD60" s="139">
        <f>_xlfn.XLOOKUP(Tab_Data_Flows[[#This Row],[Flow_Name]],Tab_Def_Flows[Flow_Name],Tab_Def_Flows[Flow_E4_Fraction'[%']],"N.A.",0,1)</f>
        <v>0</v>
      </c>
      <c r="AE60" s="6">
        <f>IF(G60="Yes",Tab_Data_Flows[[#This Row],[E4_Fraction'[%']]]*Tab_Data_Flows[[#This Row],[E1_value]],"N.A.")</f>
        <v>0</v>
      </c>
      <c r="AF60" s="6" t="str">
        <f>Tab_Data_Flows[[#This Row],[E1_UoM]]</f>
        <v>Mg</v>
      </c>
      <c r="AG60" s="139">
        <f>_xlfn.XLOOKUP(Tab_Data_Flows[[#This Row],[Flow_Name]],Tab_Def_Flows[Flow_Name],Tab_Def_Flows[Flow_E5_Fraction'[%']],"N.A.",0,1)</f>
        <v>0</v>
      </c>
      <c r="AH60" s="6" t="str">
        <f>IF(H60="Yes",Tab_Data_Flows[[#This Row],[E5_Fraction'[%']]]*Tab_Data_Flows[[#This Row],[E1_value]],"N.A.")</f>
        <v>N.A.</v>
      </c>
      <c r="AI60" s="6" t="str">
        <f>Tab_Data_Flows[[#This Row],[E1_UoM]]</f>
        <v>Mg</v>
      </c>
      <c r="AJ60" s="139">
        <f>_xlfn.XLOOKUP(Tab_Data_Flows[[#This Row],[Flow_Name]],Tab_Def_Flows[Flow_Name],Tab_Def_Flows[Flow_E6_Fraction'[%']],"N.A.",0,1)</f>
        <v>0</v>
      </c>
      <c r="AK60" s="6" t="str">
        <f>IF(Tab_Data_Flows[[#This Row],[Use_E6]]="Yes",Tab_Data_Flows[[#This Row],[E6_Fraction'[%']]]*Tab_Data_Flows[[#This Row],[E1_value]],"N.A.")</f>
        <v>N.A.</v>
      </c>
      <c r="AL60" s="6" t="str">
        <f>Tab_Data_Flows[[#This Row],[E1_UoM]]</f>
        <v>Mg</v>
      </c>
    </row>
    <row r="61" spans="1:38" x14ac:dyDescent="0.25">
      <c r="A61" s="8">
        <f t="shared" si="1"/>
        <v>60</v>
      </c>
      <c r="B61" s="6" t="str">
        <f>_xlfn.XLOOKUP(C61,Tab_Def_Flows[Flow_Name],Tab_Def_Flows[Flow_ID],,0,)</f>
        <v>F_01_02</v>
      </c>
      <c r="C61" s="138" t="s">
        <v>1234</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No</v>
      </c>
      <c r="I61" s="9" t="str">
        <f>_xlfn.XLOOKUP(C61,Tab_Def_Flows[Flow_Name],Tab_Def_Flows[Use_E6],,0,)</f>
        <v>No</v>
      </c>
      <c r="J61" s="188">
        <v>2084</v>
      </c>
      <c r="K61" s="189">
        <v>785507.03441176459</v>
      </c>
      <c r="L61" s="6" t="str">
        <f>'0_Configuration'!$C$41</f>
        <v>Mg</v>
      </c>
      <c r="M61" s="13" t="s">
        <v>1263</v>
      </c>
      <c r="N61" s="13">
        <v>2025</v>
      </c>
      <c r="O61" s="13" t="s">
        <v>1260</v>
      </c>
      <c r="P61" s="13" t="s">
        <v>1261</v>
      </c>
      <c r="Q61" s="13" t="s">
        <v>1322</v>
      </c>
      <c r="R61" s="7" t="s">
        <v>6</v>
      </c>
      <c r="S61" s="14"/>
      <c r="T61" s="7"/>
      <c r="U61" s="139">
        <f>_xlfn.XLOOKUP(Tab_Data_Flows[[#This Row],[Flow_Name]],Tab_Def_Flows[Flow_Name],Tab_Def_Flows[Flow_E1_Fraction'[%']],"N.A.",0,1)</f>
        <v>1</v>
      </c>
      <c r="V61" s="12">
        <f t="shared" si="2"/>
        <v>785507.03441176459</v>
      </c>
      <c r="W61" s="6" t="str">
        <f>Tab_Data_Flows[[#This Row],[UoM_Source]]</f>
        <v>Mg</v>
      </c>
      <c r="X61" s="139">
        <f>_xlfn.XLOOKUP(Tab_Data_Flows[[#This Row],[Flow_Name]],Tab_Def_Flows[Flow_Name],Tab_Def_Flows[Flow_E2_Fraction'[%']],"N.A.",0,1)</f>
        <v>0.22838499184339317</v>
      </c>
      <c r="Y61" s="6">
        <f>IF(D61="Yes",V61*Tab_Data_Flows[[#This Row],[E2_Fraction'[%']]],"N.A.")</f>
        <v>179398.01764705882</v>
      </c>
      <c r="Z61" s="6" t="str">
        <f>Tab_Data_Flows[[#This Row],[E1_UoM]]</f>
        <v>Mg</v>
      </c>
      <c r="AA61" s="139">
        <f>_xlfn.XLOOKUP(Tab_Data_Flows[[#This Row],[Flow_Name]],Tab_Def_Flows[Flow_Name],Tab_Def_Flows[Flow_E3_Fraction'[%']],"N.A.",0,1)</f>
        <v>0.77161500815660689</v>
      </c>
      <c r="AB61" s="6">
        <f>IF(E61="Yes",AA61*Tab_Data_Flows[[#This Row],[E1_value]],"N.A.")</f>
        <v>606109.01676470577</v>
      </c>
      <c r="AC61" s="6" t="str">
        <f>Tab_Data_Flows[[#This Row],[E1_UoM]]</f>
        <v>Mg</v>
      </c>
      <c r="AD61" s="139">
        <f>_xlfn.XLOOKUP(Tab_Data_Flows[[#This Row],[Flow_Name]],Tab_Def_Flows[Flow_Name],Tab_Def_Flows[Flow_E4_Fraction'[%']],"N.A.",0,1)</f>
        <v>0</v>
      </c>
      <c r="AE61" s="6">
        <f>IF(G61="Yes",Tab_Data_Flows[[#This Row],[E4_Fraction'[%']]]*Tab_Data_Flows[[#This Row],[E1_value]],"N.A.")</f>
        <v>0</v>
      </c>
      <c r="AF61" s="6" t="str">
        <f>Tab_Data_Flows[[#This Row],[E1_UoM]]</f>
        <v>Mg</v>
      </c>
      <c r="AG61" s="139">
        <f>_xlfn.XLOOKUP(Tab_Data_Flows[[#This Row],[Flow_Name]],Tab_Def_Flows[Flow_Name],Tab_Def_Flows[Flow_E5_Fraction'[%']],"N.A.",0,1)</f>
        <v>0</v>
      </c>
      <c r="AH61" s="6" t="str">
        <f>IF(H61="Yes",Tab_Data_Flows[[#This Row],[E5_Fraction'[%']]]*Tab_Data_Flows[[#This Row],[E1_value]],"N.A.")</f>
        <v>N.A.</v>
      </c>
      <c r="AI61" s="6" t="str">
        <f>Tab_Data_Flows[[#This Row],[E1_UoM]]</f>
        <v>Mg</v>
      </c>
      <c r="AJ61" s="139">
        <f>_xlfn.XLOOKUP(Tab_Data_Flows[[#This Row],[Flow_Name]],Tab_Def_Flows[Flow_Name],Tab_Def_Flows[Flow_E6_Fraction'[%']],"N.A.",0,1)</f>
        <v>0</v>
      </c>
      <c r="AK61" s="6" t="str">
        <f>IF(Tab_Data_Flows[[#This Row],[Use_E6]]="Yes",Tab_Data_Flows[[#This Row],[E6_Fraction'[%']]]*Tab_Data_Flows[[#This Row],[E1_value]],"N.A.")</f>
        <v>N.A.</v>
      </c>
      <c r="AL61" s="6" t="str">
        <f>Tab_Data_Flows[[#This Row],[E1_UoM]]</f>
        <v>Mg</v>
      </c>
    </row>
    <row r="62" spans="1:38" x14ac:dyDescent="0.25">
      <c r="A62" s="8">
        <f t="shared" si="1"/>
        <v>61</v>
      </c>
      <c r="B62" s="6" t="str">
        <f>_xlfn.XLOOKUP(C62,Tab_Def_Flows[Flow_Name],Tab_Def_Flows[Flow_ID],,0,)</f>
        <v>F_01_02</v>
      </c>
      <c r="C62" s="138" t="s">
        <v>1234</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No</v>
      </c>
      <c r="I62" s="9" t="str">
        <f>_xlfn.XLOOKUP(C62,Tab_Def_Flows[Flow_Name],Tab_Def_Flows[Use_E6],,0,)</f>
        <v>No</v>
      </c>
      <c r="J62" s="188">
        <v>2085</v>
      </c>
      <c r="K62" s="189">
        <v>1140194.7600784313</v>
      </c>
      <c r="L62" s="6" t="str">
        <f>'0_Configuration'!$C$41</f>
        <v>Mg</v>
      </c>
      <c r="M62" s="13" t="s">
        <v>1263</v>
      </c>
      <c r="N62" s="13">
        <v>2025</v>
      </c>
      <c r="O62" s="13" t="s">
        <v>1260</v>
      </c>
      <c r="P62" s="13" t="s">
        <v>1261</v>
      </c>
      <c r="Q62" s="13" t="s">
        <v>1323</v>
      </c>
      <c r="R62" s="7" t="s">
        <v>6</v>
      </c>
      <c r="S62" s="14"/>
      <c r="T62" s="7"/>
      <c r="U62" s="139">
        <f>_xlfn.XLOOKUP(Tab_Data_Flows[[#This Row],[Flow_Name]],Tab_Def_Flows[Flow_Name],Tab_Def_Flows[Flow_E1_Fraction'[%']],"N.A.",0,1)</f>
        <v>1</v>
      </c>
      <c r="V62" s="12">
        <f t="shared" si="2"/>
        <v>1140194.7600784313</v>
      </c>
      <c r="W62" s="6" t="str">
        <f>Tab_Data_Flows[[#This Row],[UoM_Source]]</f>
        <v>Mg</v>
      </c>
      <c r="X62" s="139">
        <f>_xlfn.XLOOKUP(Tab_Data_Flows[[#This Row],[Flow_Name]],Tab_Def_Flows[Flow_Name],Tab_Def_Flows[Flow_E2_Fraction'[%']],"N.A.",0,1)</f>
        <v>0.22838499184339317</v>
      </c>
      <c r="Y62" s="6">
        <f>IF(D62="Yes",V62*Tab_Data_Flows[[#This Row],[E2_Fraction'[%']]],"N.A.")</f>
        <v>260403.37098039218</v>
      </c>
      <c r="Z62" s="6" t="str">
        <f>Tab_Data_Flows[[#This Row],[E1_UoM]]</f>
        <v>Mg</v>
      </c>
      <c r="AA62" s="139">
        <f>_xlfn.XLOOKUP(Tab_Data_Flows[[#This Row],[Flow_Name]],Tab_Def_Flows[Flow_Name],Tab_Def_Flows[Flow_E3_Fraction'[%']],"N.A.",0,1)</f>
        <v>0.77161500815660689</v>
      </c>
      <c r="AB62" s="6">
        <f>IF(E62="Yes",AA62*Tab_Data_Flows[[#This Row],[E1_value]],"N.A.")</f>
        <v>879791.38909803925</v>
      </c>
      <c r="AC62" s="6" t="str">
        <f>Tab_Data_Flows[[#This Row],[E1_UoM]]</f>
        <v>Mg</v>
      </c>
      <c r="AD62" s="139">
        <f>_xlfn.XLOOKUP(Tab_Data_Flows[[#This Row],[Flow_Name]],Tab_Def_Flows[Flow_Name],Tab_Def_Flows[Flow_E4_Fraction'[%']],"N.A.",0,1)</f>
        <v>0</v>
      </c>
      <c r="AE62" s="6">
        <f>IF(G62="Yes",Tab_Data_Flows[[#This Row],[E4_Fraction'[%']]]*Tab_Data_Flows[[#This Row],[E1_value]],"N.A.")</f>
        <v>0</v>
      </c>
      <c r="AF62" s="6" t="str">
        <f>Tab_Data_Flows[[#This Row],[E1_UoM]]</f>
        <v>Mg</v>
      </c>
      <c r="AG62" s="139">
        <f>_xlfn.XLOOKUP(Tab_Data_Flows[[#This Row],[Flow_Name]],Tab_Def_Flows[Flow_Name],Tab_Def_Flows[Flow_E5_Fraction'[%']],"N.A.",0,1)</f>
        <v>0</v>
      </c>
      <c r="AH62" s="6" t="str">
        <f>IF(H62="Yes",Tab_Data_Flows[[#This Row],[E5_Fraction'[%']]]*Tab_Data_Flows[[#This Row],[E1_value]],"N.A.")</f>
        <v>N.A.</v>
      </c>
      <c r="AI62" s="6" t="str">
        <f>Tab_Data_Flows[[#This Row],[E1_UoM]]</f>
        <v>Mg</v>
      </c>
      <c r="AJ62" s="139">
        <f>_xlfn.XLOOKUP(Tab_Data_Flows[[#This Row],[Flow_Name]],Tab_Def_Flows[Flow_Name],Tab_Def_Flows[Flow_E6_Fraction'[%']],"N.A.",0,1)</f>
        <v>0</v>
      </c>
      <c r="AK62" s="6" t="str">
        <f>IF(Tab_Data_Flows[[#This Row],[Use_E6]]="Yes",Tab_Data_Flows[[#This Row],[E6_Fraction'[%']]]*Tab_Data_Flows[[#This Row],[E1_value]],"N.A.")</f>
        <v>N.A.</v>
      </c>
      <c r="AL62" s="6" t="str">
        <f>Tab_Data_Flows[[#This Row],[E1_UoM]]</f>
        <v>Mg</v>
      </c>
    </row>
    <row r="63" spans="1:38" x14ac:dyDescent="0.25">
      <c r="A63" s="8">
        <f t="shared" si="1"/>
        <v>62</v>
      </c>
      <c r="B63" s="6" t="str">
        <f>_xlfn.XLOOKUP(C63,Tab_Def_Flows[Flow_Name],Tab_Def_Flows[Flow_ID],,0,)</f>
        <v>F_01_02</v>
      </c>
      <c r="C63" s="138" t="s">
        <v>1234</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No</v>
      </c>
      <c r="I63" s="9" t="str">
        <f>_xlfn.XLOOKUP(C63,Tab_Def_Flows[Flow_Name],Tab_Def_Flows[Use_E6],,0,)</f>
        <v>No</v>
      </c>
      <c r="J63" s="188">
        <v>2086</v>
      </c>
      <c r="K63" s="189">
        <v>1026201.628647059</v>
      </c>
      <c r="L63" s="6" t="str">
        <f>'0_Configuration'!$C$41</f>
        <v>Mg</v>
      </c>
      <c r="M63" s="13" t="s">
        <v>1263</v>
      </c>
      <c r="N63" s="13">
        <v>2025</v>
      </c>
      <c r="O63" s="13" t="s">
        <v>1260</v>
      </c>
      <c r="P63" s="13" t="s">
        <v>1261</v>
      </c>
      <c r="Q63" s="13" t="s">
        <v>1324</v>
      </c>
      <c r="R63" s="7" t="s">
        <v>6</v>
      </c>
      <c r="S63" s="14"/>
      <c r="T63" s="7"/>
      <c r="U63" s="139">
        <f>_xlfn.XLOOKUP(Tab_Data_Flows[[#This Row],[Flow_Name]],Tab_Def_Flows[Flow_Name],Tab_Def_Flows[Flow_E1_Fraction'[%']],"N.A.",0,1)</f>
        <v>1</v>
      </c>
      <c r="V63" s="12">
        <f t="shared" si="2"/>
        <v>1026201.628647059</v>
      </c>
      <c r="W63" s="6" t="str">
        <f>Tab_Data_Flows[[#This Row],[UoM_Source]]</f>
        <v>Mg</v>
      </c>
      <c r="X63" s="139">
        <f>_xlfn.XLOOKUP(Tab_Data_Flows[[#This Row],[Flow_Name]],Tab_Def_Flows[Flow_Name],Tab_Def_Flows[Flow_E2_Fraction'[%']],"N.A.",0,1)</f>
        <v>0.22838499184339317</v>
      </c>
      <c r="Y63" s="6">
        <f>IF(D63="Yes",V63*Tab_Data_Flows[[#This Row],[E2_Fraction'[%']]],"N.A.")</f>
        <v>234369.05058823535</v>
      </c>
      <c r="Z63" s="6" t="str">
        <f>Tab_Data_Flows[[#This Row],[E1_UoM]]</f>
        <v>Mg</v>
      </c>
      <c r="AA63" s="139">
        <f>_xlfn.XLOOKUP(Tab_Data_Flows[[#This Row],[Flow_Name]],Tab_Def_Flows[Flow_Name],Tab_Def_Flows[Flow_E3_Fraction'[%']],"N.A.",0,1)</f>
        <v>0.77161500815660689</v>
      </c>
      <c r="AB63" s="6">
        <f>IF(E63="Yes",AA63*Tab_Data_Flows[[#This Row],[E1_value]],"N.A.")</f>
        <v>791832.57805882371</v>
      </c>
      <c r="AC63" s="6" t="str">
        <f>Tab_Data_Flows[[#This Row],[E1_UoM]]</f>
        <v>Mg</v>
      </c>
      <c r="AD63" s="139">
        <f>_xlfn.XLOOKUP(Tab_Data_Flows[[#This Row],[Flow_Name]],Tab_Def_Flows[Flow_Name],Tab_Def_Flows[Flow_E4_Fraction'[%']],"N.A.",0,1)</f>
        <v>0</v>
      </c>
      <c r="AE63" s="6">
        <f>IF(G63="Yes",Tab_Data_Flows[[#This Row],[E4_Fraction'[%']]]*Tab_Data_Flows[[#This Row],[E1_value]],"N.A.")</f>
        <v>0</v>
      </c>
      <c r="AF63" s="6" t="str">
        <f>Tab_Data_Flows[[#This Row],[E1_UoM]]</f>
        <v>Mg</v>
      </c>
      <c r="AG63" s="139">
        <f>_xlfn.XLOOKUP(Tab_Data_Flows[[#This Row],[Flow_Name]],Tab_Def_Flows[Flow_Name],Tab_Def_Flows[Flow_E5_Fraction'[%']],"N.A.",0,1)</f>
        <v>0</v>
      </c>
      <c r="AH63" s="6" t="str">
        <f>IF(H63="Yes",Tab_Data_Flows[[#This Row],[E5_Fraction'[%']]]*Tab_Data_Flows[[#This Row],[E1_value]],"N.A.")</f>
        <v>N.A.</v>
      </c>
      <c r="AI63" s="6" t="str">
        <f>Tab_Data_Flows[[#This Row],[E1_UoM]]</f>
        <v>Mg</v>
      </c>
      <c r="AJ63" s="139">
        <f>_xlfn.XLOOKUP(Tab_Data_Flows[[#This Row],[Flow_Name]],Tab_Def_Flows[Flow_Name],Tab_Def_Flows[Flow_E6_Fraction'[%']],"N.A.",0,1)</f>
        <v>0</v>
      </c>
      <c r="AK63" s="6" t="str">
        <f>IF(Tab_Data_Flows[[#This Row],[Use_E6]]="Yes",Tab_Data_Flows[[#This Row],[E6_Fraction'[%']]]*Tab_Data_Flows[[#This Row],[E1_value]],"N.A.")</f>
        <v>N.A.</v>
      </c>
      <c r="AL63" s="6" t="str">
        <f>Tab_Data_Flows[[#This Row],[E1_UoM]]</f>
        <v>Mg</v>
      </c>
    </row>
    <row r="64" spans="1:38" x14ac:dyDescent="0.25">
      <c r="A64" s="8">
        <f t="shared" si="1"/>
        <v>63</v>
      </c>
      <c r="B64" s="6" t="str">
        <f>_xlfn.XLOOKUP(C64,Tab_Def_Flows[Flow_Name],Tab_Def_Flows[Flow_ID],,0,)</f>
        <v>F_01_02</v>
      </c>
      <c r="C64" s="138" t="s">
        <v>1234</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No</v>
      </c>
      <c r="I64" s="9" t="str">
        <f>_xlfn.XLOOKUP(C64,Tab_Def_Flows[Flow_Name],Tab_Def_Flows[Use_E6],,0,)</f>
        <v>No</v>
      </c>
      <c r="J64" s="188">
        <v>2087</v>
      </c>
      <c r="K64" s="189">
        <v>1017356.9641568628</v>
      </c>
      <c r="L64" s="6" t="str">
        <f>'0_Configuration'!$C$41</f>
        <v>Mg</v>
      </c>
      <c r="M64" s="13" t="s">
        <v>1263</v>
      </c>
      <c r="N64" s="13">
        <v>2025</v>
      </c>
      <c r="O64" s="13" t="s">
        <v>1260</v>
      </c>
      <c r="P64" s="13" t="s">
        <v>1261</v>
      </c>
      <c r="Q64" s="13" t="s">
        <v>1325</v>
      </c>
      <c r="R64" s="7" t="s">
        <v>6</v>
      </c>
      <c r="S64" s="14"/>
      <c r="T64" s="7"/>
      <c r="U64" s="139">
        <f>_xlfn.XLOOKUP(Tab_Data_Flows[[#This Row],[Flow_Name]],Tab_Def_Flows[Flow_Name],Tab_Def_Flows[Flow_E1_Fraction'[%']],"N.A.",0,1)</f>
        <v>1</v>
      </c>
      <c r="V64" s="12">
        <f t="shared" si="2"/>
        <v>1017356.9641568628</v>
      </c>
      <c r="W64" s="6" t="str">
        <f>Tab_Data_Flows[[#This Row],[UoM_Source]]</f>
        <v>Mg</v>
      </c>
      <c r="X64" s="139">
        <f>_xlfn.XLOOKUP(Tab_Data_Flows[[#This Row],[Flow_Name]],Tab_Def_Flows[Flow_Name],Tab_Def_Flows[Flow_E2_Fraction'[%']],"N.A.",0,1)</f>
        <v>0.22838499184339317</v>
      </c>
      <c r="Y64" s="6">
        <f>IF(D64="Yes",V64*Tab_Data_Flows[[#This Row],[E2_Fraction'[%']]],"N.A.")</f>
        <v>232349.06196078434</v>
      </c>
      <c r="Z64" s="6" t="str">
        <f>Tab_Data_Flows[[#This Row],[E1_UoM]]</f>
        <v>Mg</v>
      </c>
      <c r="AA64" s="139">
        <f>_xlfn.XLOOKUP(Tab_Data_Flows[[#This Row],[Flow_Name]],Tab_Def_Flows[Flow_Name],Tab_Def_Flows[Flow_E3_Fraction'[%']],"N.A.",0,1)</f>
        <v>0.77161500815660689</v>
      </c>
      <c r="AB64" s="6">
        <f>IF(E64="Yes",AA64*Tab_Data_Flows[[#This Row],[E1_value]],"N.A.")</f>
        <v>785007.90219607856</v>
      </c>
      <c r="AC64" s="6" t="str">
        <f>Tab_Data_Flows[[#This Row],[E1_UoM]]</f>
        <v>Mg</v>
      </c>
      <c r="AD64" s="139">
        <f>_xlfn.XLOOKUP(Tab_Data_Flows[[#This Row],[Flow_Name]],Tab_Def_Flows[Flow_Name],Tab_Def_Flows[Flow_E4_Fraction'[%']],"N.A.",0,1)</f>
        <v>0</v>
      </c>
      <c r="AE64" s="6">
        <f>IF(G64="Yes",Tab_Data_Flows[[#This Row],[E4_Fraction'[%']]]*Tab_Data_Flows[[#This Row],[E1_value]],"N.A.")</f>
        <v>0</v>
      </c>
      <c r="AF64" s="6" t="str">
        <f>Tab_Data_Flows[[#This Row],[E1_UoM]]</f>
        <v>Mg</v>
      </c>
      <c r="AG64" s="139">
        <f>_xlfn.XLOOKUP(Tab_Data_Flows[[#This Row],[Flow_Name]],Tab_Def_Flows[Flow_Name],Tab_Def_Flows[Flow_E5_Fraction'[%']],"N.A.",0,1)</f>
        <v>0</v>
      </c>
      <c r="AH64" s="6" t="str">
        <f>IF(H64="Yes",Tab_Data_Flows[[#This Row],[E5_Fraction'[%']]]*Tab_Data_Flows[[#This Row],[E1_value]],"N.A.")</f>
        <v>N.A.</v>
      </c>
      <c r="AI64" s="6" t="str">
        <f>Tab_Data_Flows[[#This Row],[E1_UoM]]</f>
        <v>Mg</v>
      </c>
      <c r="AJ64" s="139">
        <f>_xlfn.XLOOKUP(Tab_Data_Flows[[#This Row],[Flow_Name]],Tab_Def_Flows[Flow_Name],Tab_Def_Flows[Flow_E6_Fraction'[%']],"N.A.",0,1)</f>
        <v>0</v>
      </c>
      <c r="AK64" s="6" t="str">
        <f>IF(Tab_Data_Flows[[#This Row],[Use_E6]]="Yes",Tab_Data_Flows[[#This Row],[E6_Fraction'[%']]]*Tab_Data_Flows[[#This Row],[E1_value]],"N.A.")</f>
        <v>N.A.</v>
      </c>
      <c r="AL64" s="6" t="str">
        <f>Tab_Data_Flows[[#This Row],[E1_UoM]]</f>
        <v>Mg</v>
      </c>
    </row>
    <row r="65" spans="1:38" x14ac:dyDescent="0.25">
      <c r="A65" s="8">
        <f t="shared" si="1"/>
        <v>64</v>
      </c>
      <c r="B65" s="6" t="str">
        <f>_xlfn.XLOOKUP(C65,Tab_Def_Flows[Flow_Name],Tab_Def_Flows[Flow_ID],,0,)</f>
        <v>F_01_02</v>
      </c>
      <c r="C65" s="138" t="s">
        <v>1234</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No</v>
      </c>
      <c r="I65" s="9" t="str">
        <f>_xlfn.XLOOKUP(C65,Tab_Def_Flows[Flow_Name],Tab_Def_Flows[Use_E6],,0,)</f>
        <v>No</v>
      </c>
      <c r="J65" s="188">
        <v>2088</v>
      </c>
      <c r="K65" s="189">
        <v>929055.35986274527</v>
      </c>
      <c r="L65" s="6" t="str">
        <f>'0_Configuration'!$C$41</f>
        <v>Mg</v>
      </c>
      <c r="M65" s="13" t="s">
        <v>1263</v>
      </c>
      <c r="N65" s="13">
        <v>2025</v>
      </c>
      <c r="O65" s="13" t="s">
        <v>1260</v>
      </c>
      <c r="P65" s="13" t="s">
        <v>1261</v>
      </c>
      <c r="Q65" s="13" t="s">
        <v>1326</v>
      </c>
      <c r="R65" s="7" t="s">
        <v>6</v>
      </c>
      <c r="S65" s="14"/>
      <c r="T65" s="7"/>
      <c r="U65" s="139">
        <f>_xlfn.XLOOKUP(Tab_Data_Flows[[#This Row],[Flow_Name]],Tab_Def_Flows[Flow_Name],Tab_Def_Flows[Flow_E1_Fraction'[%']],"N.A.",0,1)</f>
        <v>1</v>
      </c>
      <c r="V65" s="12">
        <f t="shared" si="2"/>
        <v>929055.35986274527</v>
      </c>
      <c r="W65" s="6" t="str">
        <f>Tab_Data_Flows[[#This Row],[UoM_Source]]</f>
        <v>Mg</v>
      </c>
      <c r="X65" s="139">
        <f>_xlfn.XLOOKUP(Tab_Data_Flows[[#This Row],[Flow_Name]],Tab_Def_Flows[Flow_Name],Tab_Def_Flows[Flow_E2_Fraction'[%']],"N.A.",0,1)</f>
        <v>0.22838499184339317</v>
      </c>
      <c r="Y65" s="6">
        <f>IF(D65="Yes",V65*Tab_Data_Flows[[#This Row],[E2_Fraction'[%']]],"N.A.")</f>
        <v>212182.30078431379</v>
      </c>
      <c r="Z65" s="6" t="str">
        <f>Tab_Data_Flows[[#This Row],[E1_UoM]]</f>
        <v>Mg</v>
      </c>
      <c r="AA65" s="139">
        <f>_xlfn.XLOOKUP(Tab_Data_Flows[[#This Row],[Flow_Name]],Tab_Def_Flows[Flow_Name],Tab_Def_Flows[Flow_E3_Fraction'[%']],"N.A.",0,1)</f>
        <v>0.77161500815660689</v>
      </c>
      <c r="AB65" s="6">
        <f>IF(E65="Yes",AA65*Tab_Data_Flows[[#This Row],[E1_value]],"N.A.")</f>
        <v>716873.05907843157</v>
      </c>
      <c r="AC65" s="6" t="str">
        <f>Tab_Data_Flows[[#This Row],[E1_UoM]]</f>
        <v>Mg</v>
      </c>
      <c r="AD65" s="139">
        <f>_xlfn.XLOOKUP(Tab_Data_Flows[[#This Row],[Flow_Name]],Tab_Def_Flows[Flow_Name],Tab_Def_Flows[Flow_E4_Fraction'[%']],"N.A.",0,1)</f>
        <v>0</v>
      </c>
      <c r="AE65" s="6">
        <f>IF(G65="Yes",Tab_Data_Flows[[#This Row],[E4_Fraction'[%']]]*Tab_Data_Flows[[#This Row],[E1_value]],"N.A.")</f>
        <v>0</v>
      </c>
      <c r="AF65" s="6" t="str">
        <f>Tab_Data_Flows[[#This Row],[E1_UoM]]</f>
        <v>Mg</v>
      </c>
      <c r="AG65" s="139">
        <f>_xlfn.XLOOKUP(Tab_Data_Flows[[#This Row],[Flow_Name]],Tab_Def_Flows[Flow_Name],Tab_Def_Flows[Flow_E5_Fraction'[%']],"N.A.",0,1)</f>
        <v>0</v>
      </c>
      <c r="AH65" s="6" t="str">
        <f>IF(H65="Yes",Tab_Data_Flows[[#This Row],[E5_Fraction'[%']]]*Tab_Data_Flows[[#This Row],[E1_value]],"N.A.")</f>
        <v>N.A.</v>
      </c>
      <c r="AI65" s="6" t="str">
        <f>Tab_Data_Flows[[#This Row],[E1_UoM]]</f>
        <v>Mg</v>
      </c>
      <c r="AJ65" s="139">
        <f>_xlfn.XLOOKUP(Tab_Data_Flows[[#This Row],[Flow_Name]],Tab_Def_Flows[Flow_Name],Tab_Def_Flows[Flow_E6_Fraction'[%']],"N.A.",0,1)</f>
        <v>0</v>
      </c>
      <c r="AK65" s="6" t="str">
        <f>IF(Tab_Data_Flows[[#This Row],[Use_E6]]="Yes",Tab_Data_Flows[[#This Row],[E6_Fraction'[%']]]*Tab_Data_Flows[[#This Row],[E1_value]],"N.A.")</f>
        <v>N.A.</v>
      </c>
      <c r="AL65" s="6" t="str">
        <f>Tab_Data_Flows[[#This Row],[E1_UoM]]</f>
        <v>Mg</v>
      </c>
    </row>
    <row r="66" spans="1:38" x14ac:dyDescent="0.25">
      <c r="A66" s="8">
        <f t="shared" si="1"/>
        <v>65</v>
      </c>
      <c r="B66" s="6" t="str">
        <f>_xlfn.XLOOKUP(C66,Tab_Def_Flows[Flow_Name],Tab_Def_Flows[Flow_ID],,0,)</f>
        <v>F_01_02</v>
      </c>
      <c r="C66" s="138" t="s">
        <v>1234</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No</v>
      </c>
      <c r="I66" s="9" t="str">
        <f>_xlfn.XLOOKUP(C66,Tab_Def_Flows[Flow_Name],Tab_Def_Flows[Use_E6],,0,)</f>
        <v>No</v>
      </c>
      <c r="J66" s="188">
        <v>2089</v>
      </c>
      <c r="K66" s="189">
        <v>1077134.9933333332</v>
      </c>
      <c r="L66" s="6" t="str">
        <f>'0_Configuration'!$C$41</f>
        <v>Mg</v>
      </c>
      <c r="M66" s="13" t="s">
        <v>1263</v>
      </c>
      <c r="N66" s="13">
        <v>2025</v>
      </c>
      <c r="O66" s="13" t="s">
        <v>1260</v>
      </c>
      <c r="P66" s="13" t="s">
        <v>1261</v>
      </c>
      <c r="Q66" s="13" t="s">
        <v>1327</v>
      </c>
      <c r="R66" s="7" t="s">
        <v>6</v>
      </c>
      <c r="S66" s="14"/>
      <c r="T66" s="7"/>
      <c r="U66" s="139">
        <f>_xlfn.XLOOKUP(Tab_Data_Flows[[#This Row],[Flow_Name]],Tab_Def_Flows[Flow_Name],Tab_Def_Flows[Flow_E1_Fraction'[%']],"N.A.",0,1)</f>
        <v>1</v>
      </c>
      <c r="V66" s="12">
        <f t="shared" ref="V66:V129" si="3">IF(R66="no",K66,K66*S66)</f>
        <v>1077134.9933333332</v>
      </c>
      <c r="W66" s="6" t="str">
        <f>Tab_Data_Flows[[#This Row],[UoM_Source]]</f>
        <v>Mg</v>
      </c>
      <c r="X66" s="139">
        <f>_xlfn.XLOOKUP(Tab_Data_Flows[[#This Row],[Flow_Name]],Tab_Def_Flows[Flow_Name],Tab_Def_Flows[Flow_E2_Fraction'[%']],"N.A.",0,1)</f>
        <v>0.22838499184339317</v>
      </c>
      <c r="Y66" s="6">
        <f>IF(D66="Yes",V66*Tab_Data_Flows[[#This Row],[E2_Fraction'[%']]],"N.A.")</f>
        <v>246001.46666666665</v>
      </c>
      <c r="Z66" s="6" t="str">
        <f>Tab_Data_Flows[[#This Row],[E1_UoM]]</f>
        <v>Mg</v>
      </c>
      <c r="AA66" s="139">
        <f>_xlfn.XLOOKUP(Tab_Data_Flows[[#This Row],[Flow_Name]],Tab_Def_Flows[Flow_Name],Tab_Def_Flows[Flow_E3_Fraction'[%']],"N.A.",0,1)</f>
        <v>0.77161500815660689</v>
      </c>
      <c r="AB66" s="6">
        <f>IF(E66="Yes",AA66*Tab_Data_Flows[[#This Row],[E1_value]],"N.A.")</f>
        <v>831133.52666666661</v>
      </c>
      <c r="AC66" s="6" t="str">
        <f>Tab_Data_Flows[[#This Row],[E1_UoM]]</f>
        <v>Mg</v>
      </c>
      <c r="AD66" s="139">
        <f>_xlfn.XLOOKUP(Tab_Data_Flows[[#This Row],[Flow_Name]],Tab_Def_Flows[Flow_Name],Tab_Def_Flows[Flow_E4_Fraction'[%']],"N.A.",0,1)</f>
        <v>0</v>
      </c>
      <c r="AE66" s="6">
        <f>IF(G66="Yes",Tab_Data_Flows[[#This Row],[E4_Fraction'[%']]]*Tab_Data_Flows[[#This Row],[E1_value]],"N.A.")</f>
        <v>0</v>
      </c>
      <c r="AF66" s="6" t="str">
        <f>Tab_Data_Flows[[#This Row],[E1_UoM]]</f>
        <v>Mg</v>
      </c>
      <c r="AG66" s="139">
        <f>_xlfn.XLOOKUP(Tab_Data_Flows[[#This Row],[Flow_Name]],Tab_Def_Flows[Flow_Name],Tab_Def_Flows[Flow_E5_Fraction'[%']],"N.A.",0,1)</f>
        <v>0</v>
      </c>
      <c r="AH66" s="6" t="str">
        <f>IF(H66="Yes",Tab_Data_Flows[[#This Row],[E5_Fraction'[%']]]*Tab_Data_Flows[[#This Row],[E1_value]],"N.A.")</f>
        <v>N.A.</v>
      </c>
      <c r="AI66" s="6" t="str">
        <f>Tab_Data_Flows[[#This Row],[E1_UoM]]</f>
        <v>Mg</v>
      </c>
      <c r="AJ66" s="139">
        <f>_xlfn.XLOOKUP(Tab_Data_Flows[[#This Row],[Flow_Name]],Tab_Def_Flows[Flow_Name],Tab_Def_Flows[Flow_E6_Fraction'[%']],"N.A.",0,1)</f>
        <v>0</v>
      </c>
      <c r="AK66" s="6" t="str">
        <f>IF(Tab_Data_Flows[[#This Row],[Use_E6]]="Yes",Tab_Data_Flows[[#This Row],[E6_Fraction'[%']]]*Tab_Data_Flows[[#This Row],[E1_value]],"N.A.")</f>
        <v>N.A.</v>
      </c>
      <c r="AL66" s="6" t="str">
        <f>Tab_Data_Flows[[#This Row],[E1_UoM]]</f>
        <v>Mg</v>
      </c>
    </row>
    <row r="67" spans="1:38" x14ac:dyDescent="0.25">
      <c r="A67" s="8">
        <f t="shared" ref="A67:A130" si="4">ROW()-1</f>
        <v>66</v>
      </c>
      <c r="B67" s="6" t="str">
        <f>_xlfn.XLOOKUP(C67,Tab_Def_Flows[Flow_Name],Tab_Def_Flows[Flow_ID],,0,)</f>
        <v>F_01_02</v>
      </c>
      <c r="C67" s="138" t="s">
        <v>1234</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No</v>
      </c>
      <c r="I67" s="9" t="str">
        <f>_xlfn.XLOOKUP(C67,Tab_Def_Flows[Flow_Name],Tab_Def_Flows[Use_E6],,0,)</f>
        <v>No</v>
      </c>
      <c r="J67" s="188">
        <v>2090</v>
      </c>
      <c r="K67" s="189">
        <v>935025.5471568628</v>
      </c>
      <c r="L67" s="6" t="str">
        <f>'0_Configuration'!$C$41</f>
        <v>Mg</v>
      </c>
      <c r="M67" s="13" t="s">
        <v>1263</v>
      </c>
      <c r="N67" s="13">
        <v>2025</v>
      </c>
      <c r="O67" s="13" t="s">
        <v>1260</v>
      </c>
      <c r="P67" s="13" t="s">
        <v>1261</v>
      </c>
      <c r="Q67" s="13" t="s">
        <v>1328</v>
      </c>
      <c r="R67" s="7" t="s">
        <v>6</v>
      </c>
      <c r="S67" s="7"/>
      <c r="T67" s="7"/>
      <c r="U67" s="139">
        <f>_xlfn.XLOOKUP(Tab_Data_Flows[[#This Row],[Flow_Name]],Tab_Def_Flows[Flow_Name],Tab_Def_Flows[Flow_E1_Fraction'[%']],"N.A.",0,1)</f>
        <v>1</v>
      </c>
      <c r="V67" s="12">
        <f t="shared" si="3"/>
        <v>935025.5471568628</v>
      </c>
      <c r="W67" s="6" t="str">
        <f>Tab_Data_Flows[[#This Row],[UoM_Source]]</f>
        <v>Mg</v>
      </c>
      <c r="X67" s="139">
        <f>_xlfn.XLOOKUP(Tab_Data_Flows[[#This Row],[Flow_Name]],Tab_Def_Flows[Flow_Name],Tab_Def_Flows[Flow_E2_Fraction'[%']],"N.A.",0,1)</f>
        <v>0.22838499184339317</v>
      </c>
      <c r="Y67" s="6">
        <f>IF(D67="Yes",V67*Tab_Data_Flows[[#This Row],[E2_Fraction'[%']]],"N.A.")</f>
        <v>213545.80196078436</v>
      </c>
      <c r="Z67" s="6" t="str">
        <f>Tab_Data_Flows[[#This Row],[E1_UoM]]</f>
        <v>Mg</v>
      </c>
      <c r="AA67" s="139">
        <f>_xlfn.XLOOKUP(Tab_Data_Flows[[#This Row],[Flow_Name]],Tab_Def_Flows[Flow_Name],Tab_Def_Flows[Flow_E3_Fraction'[%']],"N.A.",0,1)</f>
        <v>0.77161500815660689</v>
      </c>
      <c r="AB67" s="6">
        <f>IF(E67="Yes",AA67*Tab_Data_Flows[[#This Row],[E1_value]],"N.A.")</f>
        <v>721479.74519607855</v>
      </c>
      <c r="AC67" s="6" t="str">
        <f>Tab_Data_Flows[[#This Row],[E1_UoM]]</f>
        <v>Mg</v>
      </c>
      <c r="AD67" s="139">
        <f>_xlfn.XLOOKUP(Tab_Data_Flows[[#This Row],[Flow_Name]],Tab_Def_Flows[Flow_Name],Tab_Def_Flows[Flow_E4_Fraction'[%']],"N.A.",0,1)</f>
        <v>0</v>
      </c>
      <c r="AE67" s="6">
        <f>IF(G67="Yes",Tab_Data_Flows[[#This Row],[E4_Fraction'[%']]]*Tab_Data_Flows[[#This Row],[E1_value]],"N.A.")</f>
        <v>0</v>
      </c>
      <c r="AF67" s="6" t="str">
        <f>Tab_Data_Flows[[#This Row],[E1_UoM]]</f>
        <v>Mg</v>
      </c>
      <c r="AG67" s="139">
        <f>_xlfn.XLOOKUP(Tab_Data_Flows[[#This Row],[Flow_Name]],Tab_Def_Flows[Flow_Name],Tab_Def_Flows[Flow_E5_Fraction'[%']],"N.A.",0,1)</f>
        <v>0</v>
      </c>
      <c r="AH67" s="6" t="str">
        <f>IF(H67="Yes",Tab_Data_Flows[[#This Row],[E5_Fraction'[%']]]*Tab_Data_Flows[[#This Row],[E1_value]],"N.A.")</f>
        <v>N.A.</v>
      </c>
      <c r="AI67" s="6" t="str">
        <f>Tab_Data_Flows[[#This Row],[E1_UoM]]</f>
        <v>Mg</v>
      </c>
      <c r="AJ67" s="139">
        <f>_xlfn.XLOOKUP(Tab_Data_Flows[[#This Row],[Flow_Name]],Tab_Def_Flows[Flow_Name],Tab_Def_Flows[Flow_E6_Fraction'[%']],"N.A.",0,1)</f>
        <v>0</v>
      </c>
      <c r="AK67" s="6" t="str">
        <f>IF(Tab_Data_Flows[[#This Row],[Use_E6]]="Yes",Tab_Data_Flows[[#This Row],[E6_Fraction'[%']]]*Tab_Data_Flows[[#This Row],[E1_value]],"N.A.")</f>
        <v>N.A.</v>
      </c>
      <c r="AL67" s="6" t="str">
        <f>Tab_Data_Flows[[#This Row],[E1_UoM]]</f>
        <v>Mg</v>
      </c>
    </row>
    <row r="68" spans="1:38" x14ac:dyDescent="0.25">
      <c r="A68" s="8">
        <f t="shared" si="4"/>
        <v>67</v>
      </c>
      <c r="B68" s="6" t="str">
        <f>_xlfn.XLOOKUP(C68,Tab_Def_Flows[Flow_Name],Tab_Def_Flows[Flow_ID],,0,)</f>
        <v>F_01_02</v>
      </c>
      <c r="C68" s="138" t="s">
        <v>1234</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No</v>
      </c>
      <c r="I68" s="9" t="str">
        <f>_xlfn.XLOOKUP(C68,Tab_Def_Flows[Flow_Name],Tab_Def_Flows[Use_E6],,0,)</f>
        <v>No</v>
      </c>
      <c r="J68" s="188">
        <v>2091</v>
      </c>
      <c r="K68" s="189">
        <v>921169.03072549019</v>
      </c>
      <c r="L68" s="6" t="str">
        <f>'0_Configuration'!$C$41</f>
        <v>Mg</v>
      </c>
      <c r="M68" s="13" t="s">
        <v>1263</v>
      </c>
      <c r="N68" s="13">
        <v>2025</v>
      </c>
      <c r="O68" s="13" t="s">
        <v>1260</v>
      </c>
      <c r="P68" s="13" t="s">
        <v>1261</v>
      </c>
      <c r="Q68" s="13" t="s">
        <v>1329</v>
      </c>
      <c r="R68" s="7" t="s">
        <v>6</v>
      </c>
      <c r="S68" s="7"/>
      <c r="T68" s="7"/>
      <c r="U68" s="139">
        <f>_xlfn.XLOOKUP(Tab_Data_Flows[[#This Row],[Flow_Name]],Tab_Def_Flows[Flow_Name],Tab_Def_Flows[Flow_E1_Fraction'[%']],"N.A.",0,1)</f>
        <v>1</v>
      </c>
      <c r="V68" s="12">
        <f t="shared" si="3"/>
        <v>921169.03072549019</v>
      </c>
      <c r="W68" s="6" t="str">
        <f>Tab_Data_Flows[[#This Row],[UoM_Source]]</f>
        <v>Mg</v>
      </c>
      <c r="X68" s="139">
        <f>_xlfn.XLOOKUP(Tab_Data_Flows[[#This Row],[Flow_Name]],Tab_Def_Flows[Flow_Name],Tab_Def_Flows[Flow_E2_Fraction'[%']],"N.A.",0,1)</f>
        <v>0.22838499184339317</v>
      </c>
      <c r="Y68" s="6">
        <f>IF(D68="Yes",V68*Tab_Data_Flows[[#This Row],[E2_Fraction'[%']]],"N.A.")</f>
        <v>210381.18156862748</v>
      </c>
      <c r="Z68" s="6" t="str">
        <f>Tab_Data_Flows[[#This Row],[E1_UoM]]</f>
        <v>Mg</v>
      </c>
      <c r="AA68" s="139">
        <f>_xlfn.XLOOKUP(Tab_Data_Flows[[#This Row],[Flow_Name]],Tab_Def_Flows[Flow_Name],Tab_Def_Flows[Flow_E3_Fraction'[%']],"N.A.",0,1)</f>
        <v>0.77161500815660689</v>
      </c>
      <c r="AB68" s="6">
        <f>IF(E68="Yes",AA68*Tab_Data_Flows[[#This Row],[E1_value]],"N.A.")</f>
        <v>710787.84915686282</v>
      </c>
      <c r="AC68" s="6" t="str">
        <f>Tab_Data_Flows[[#This Row],[E1_UoM]]</f>
        <v>Mg</v>
      </c>
      <c r="AD68" s="139">
        <f>_xlfn.XLOOKUP(Tab_Data_Flows[[#This Row],[Flow_Name]],Tab_Def_Flows[Flow_Name],Tab_Def_Flows[Flow_E4_Fraction'[%']],"N.A.",0,1)</f>
        <v>0</v>
      </c>
      <c r="AE68" s="6">
        <f>IF(G68="Yes",Tab_Data_Flows[[#This Row],[E4_Fraction'[%']]]*Tab_Data_Flows[[#This Row],[E1_value]],"N.A.")</f>
        <v>0</v>
      </c>
      <c r="AF68" s="6" t="str">
        <f>Tab_Data_Flows[[#This Row],[E1_UoM]]</f>
        <v>Mg</v>
      </c>
      <c r="AG68" s="139">
        <f>_xlfn.XLOOKUP(Tab_Data_Flows[[#This Row],[Flow_Name]],Tab_Def_Flows[Flow_Name],Tab_Def_Flows[Flow_E5_Fraction'[%']],"N.A.",0,1)</f>
        <v>0</v>
      </c>
      <c r="AH68" s="6" t="str">
        <f>IF(H68="Yes",Tab_Data_Flows[[#This Row],[E5_Fraction'[%']]]*Tab_Data_Flows[[#This Row],[E1_value]],"N.A.")</f>
        <v>N.A.</v>
      </c>
      <c r="AI68" s="6" t="str">
        <f>Tab_Data_Flows[[#This Row],[E1_UoM]]</f>
        <v>Mg</v>
      </c>
      <c r="AJ68" s="139">
        <f>_xlfn.XLOOKUP(Tab_Data_Flows[[#This Row],[Flow_Name]],Tab_Def_Flows[Flow_Name],Tab_Def_Flows[Flow_E6_Fraction'[%']],"N.A.",0,1)</f>
        <v>0</v>
      </c>
      <c r="AK68" s="6" t="str">
        <f>IF(Tab_Data_Flows[[#This Row],[Use_E6]]="Yes",Tab_Data_Flows[[#This Row],[E6_Fraction'[%']]]*Tab_Data_Flows[[#This Row],[E1_value]],"N.A.")</f>
        <v>N.A.</v>
      </c>
      <c r="AL68" s="6" t="str">
        <f>Tab_Data_Flows[[#This Row],[E1_UoM]]</f>
        <v>Mg</v>
      </c>
    </row>
    <row r="69" spans="1:38" x14ac:dyDescent="0.25">
      <c r="A69" s="8">
        <f t="shared" si="4"/>
        <v>68</v>
      </c>
      <c r="B69" s="6" t="str">
        <f>_xlfn.XLOOKUP(C69,Tab_Def_Flows[Flow_Name],Tab_Def_Flows[Flow_ID],,0,)</f>
        <v>F_01_02</v>
      </c>
      <c r="C69" s="138" t="s">
        <v>1234</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No</v>
      </c>
      <c r="I69" s="9" t="str">
        <f>_xlfn.XLOOKUP(C69,Tab_Def_Flows[Flow_Name],Tab_Def_Flows[Use_E6],,0,)</f>
        <v>No</v>
      </c>
      <c r="J69" s="188">
        <v>2092</v>
      </c>
      <c r="K69" s="189">
        <v>1175195.4975294117</v>
      </c>
      <c r="L69" s="6" t="str">
        <f>'0_Configuration'!$C$41</f>
        <v>Mg</v>
      </c>
      <c r="M69" s="13" t="s">
        <v>1263</v>
      </c>
      <c r="N69" s="13">
        <v>2025</v>
      </c>
      <c r="O69" s="13" t="s">
        <v>1260</v>
      </c>
      <c r="P69" s="13" t="s">
        <v>1261</v>
      </c>
      <c r="Q69" s="13" t="s">
        <v>1330</v>
      </c>
      <c r="R69" s="7" t="s">
        <v>6</v>
      </c>
      <c r="S69" s="7"/>
      <c r="T69" s="7"/>
      <c r="U69" s="139">
        <f>_xlfn.XLOOKUP(Tab_Data_Flows[[#This Row],[Flow_Name]],Tab_Def_Flows[Flow_Name],Tab_Def_Flows[Flow_E1_Fraction'[%']],"N.A.",0,1)</f>
        <v>1</v>
      </c>
      <c r="V69" s="12">
        <f t="shared" si="3"/>
        <v>1175195.4975294117</v>
      </c>
      <c r="W69" s="6" t="str">
        <f>Tab_Data_Flows[[#This Row],[UoM_Source]]</f>
        <v>Mg</v>
      </c>
      <c r="X69" s="139">
        <f>_xlfn.XLOOKUP(Tab_Data_Flows[[#This Row],[Flow_Name]],Tab_Def_Flows[Flow_Name],Tab_Def_Flows[Flow_E2_Fraction'[%']],"N.A.",0,1)</f>
        <v>0.22838499184339317</v>
      </c>
      <c r="Y69" s="6">
        <f>IF(D69="Yes",V69*Tab_Data_Flows[[#This Row],[E2_Fraction'[%']]],"N.A.")</f>
        <v>268397.01411764708</v>
      </c>
      <c r="Z69" s="6" t="str">
        <f>Tab_Data_Flows[[#This Row],[E1_UoM]]</f>
        <v>Mg</v>
      </c>
      <c r="AA69" s="139">
        <f>_xlfn.XLOOKUP(Tab_Data_Flows[[#This Row],[Flow_Name]],Tab_Def_Flows[Flow_Name],Tab_Def_Flows[Flow_E3_Fraction'[%']],"N.A.",0,1)</f>
        <v>0.77161500815660689</v>
      </c>
      <c r="AB69" s="6">
        <f>IF(E69="Yes",AA69*Tab_Data_Flows[[#This Row],[E1_value]],"N.A.")</f>
        <v>906798.48341176473</v>
      </c>
      <c r="AC69" s="6" t="str">
        <f>Tab_Data_Flows[[#This Row],[E1_UoM]]</f>
        <v>Mg</v>
      </c>
      <c r="AD69" s="139">
        <f>_xlfn.XLOOKUP(Tab_Data_Flows[[#This Row],[Flow_Name]],Tab_Def_Flows[Flow_Name],Tab_Def_Flows[Flow_E4_Fraction'[%']],"N.A.",0,1)</f>
        <v>0</v>
      </c>
      <c r="AE69" s="6">
        <f>IF(G69="Yes",Tab_Data_Flows[[#This Row],[E4_Fraction'[%']]]*Tab_Data_Flows[[#This Row],[E1_value]],"N.A.")</f>
        <v>0</v>
      </c>
      <c r="AF69" s="6" t="str">
        <f>Tab_Data_Flows[[#This Row],[E1_UoM]]</f>
        <v>Mg</v>
      </c>
      <c r="AG69" s="139">
        <f>_xlfn.XLOOKUP(Tab_Data_Flows[[#This Row],[Flow_Name]],Tab_Def_Flows[Flow_Name],Tab_Def_Flows[Flow_E5_Fraction'[%']],"N.A.",0,1)</f>
        <v>0</v>
      </c>
      <c r="AH69" s="6" t="str">
        <f>IF(H69="Yes",Tab_Data_Flows[[#This Row],[E5_Fraction'[%']]]*Tab_Data_Flows[[#This Row],[E1_value]],"N.A.")</f>
        <v>N.A.</v>
      </c>
      <c r="AI69" s="6" t="str">
        <f>Tab_Data_Flows[[#This Row],[E1_UoM]]</f>
        <v>Mg</v>
      </c>
      <c r="AJ69" s="139">
        <f>_xlfn.XLOOKUP(Tab_Data_Flows[[#This Row],[Flow_Name]],Tab_Def_Flows[Flow_Name],Tab_Def_Flows[Flow_E6_Fraction'[%']],"N.A.",0,1)</f>
        <v>0</v>
      </c>
      <c r="AK69" s="6" t="str">
        <f>IF(Tab_Data_Flows[[#This Row],[Use_E6]]="Yes",Tab_Data_Flows[[#This Row],[E6_Fraction'[%']]]*Tab_Data_Flows[[#This Row],[E1_value]],"N.A.")</f>
        <v>N.A.</v>
      </c>
      <c r="AL69" s="6" t="str">
        <f>Tab_Data_Flows[[#This Row],[E1_UoM]]</f>
        <v>Mg</v>
      </c>
    </row>
    <row r="70" spans="1:38" x14ac:dyDescent="0.25">
      <c r="A70" s="8">
        <f t="shared" si="4"/>
        <v>69</v>
      </c>
      <c r="B70" s="6" t="str">
        <f>_xlfn.XLOOKUP(C70,Tab_Def_Flows[Flow_Name],Tab_Def_Flows[Flow_ID],,0,)</f>
        <v>F_01_02</v>
      </c>
      <c r="C70" s="138" t="s">
        <v>1234</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No</v>
      </c>
      <c r="I70" s="9" t="str">
        <f>_xlfn.XLOOKUP(C70,Tab_Def_Flows[Flow_Name],Tab_Def_Flows[Use_E6],,0,)</f>
        <v>No</v>
      </c>
      <c r="J70" s="188">
        <v>2093</v>
      </c>
      <c r="K70" s="189">
        <v>1082553.023882353</v>
      </c>
      <c r="L70" s="6" t="str">
        <f>'0_Configuration'!$C$41</f>
        <v>Mg</v>
      </c>
      <c r="M70" s="13" t="s">
        <v>1263</v>
      </c>
      <c r="N70" s="13">
        <v>2025</v>
      </c>
      <c r="O70" s="13" t="s">
        <v>1260</v>
      </c>
      <c r="P70" s="13" t="s">
        <v>1261</v>
      </c>
      <c r="Q70" s="13" t="s">
        <v>1331</v>
      </c>
      <c r="R70" s="7" t="s">
        <v>6</v>
      </c>
      <c r="S70" s="7"/>
      <c r="T70" s="7"/>
      <c r="U70" s="139">
        <f>_xlfn.XLOOKUP(Tab_Data_Flows[[#This Row],[Flow_Name]],Tab_Def_Flows[Flow_Name],Tab_Def_Flows[Flow_E1_Fraction'[%']],"N.A.",0,1)</f>
        <v>1</v>
      </c>
      <c r="V70" s="12">
        <f t="shared" si="3"/>
        <v>1082553.023882353</v>
      </c>
      <c r="W70" s="6" t="str">
        <f>Tab_Data_Flows[[#This Row],[UoM_Source]]</f>
        <v>Mg</v>
      </c>
      <c r="X70" s="139">
        <f>_xlfn.XLOOKUP(Tab_Data_Flows[[#This Row],[Flow_Name]],Tab_Def_Flows[Flow_Name],Tab_Def_Flows[Flow_E2_Fraction'[%']],"N.A.",0,1)</f>
        <v>0.22838499184339317</v>
      </c>
      <c r="Y70" s="6">
        <f>IF(D70="Yes",V70*Tab_Data_Flows[[#This Row],[E2_Fraction'[%']]],"N.A.")</f>
        <v>247238.86352941178</v>
      </c>
      <c r="Z70" s="6" t="str">
        <f>Tab_Data_Flows[[#This Row],[E1_UoM]]</f>
        <v>Mg</v>
      </c>
      <c r="AA70" s="139">
        <f>_xlfn.XLOOKUP(Tab_Data_Flows[[#This Row],[Flow_Name]],Tab_Def_Flows[Flow_Name],Tab_Def_Flows[Flow_E3_Fraction'[%']],"N.A.",0,1)</f>
        <v>0.77161500815660689</v>
      </c>
      <c r="AB70" s="6">
        <f>IF(E70="Yes",AA70*Tab_Data_Flows[[#This Row],[E1_value]],"N.A.")</f>
        <v>835314.16035294125</v>
      </c>
      <c r="AC70" s="6" t="str">
        <f>Tab_Data_Flows[[#This Row],[E1_UoM]]</f>
        <v>Mg</v>
      </c>
      <c r="AD70" s="139">
        <f>_xlfn.XLOOKUP(Tab_Data_Flows[[#This Row],[Flow_Name]],Tab_Def_Flows[Flow_Name],Tab_Def_Flows[Flow_E4_Fraction'[%']],"N.A.",0,1)</f>
        <v>0</v>
      </c>
      <c r="AE70" s="6">
        <f>IF(G70="Yes",Tab_Data_Flows[[#This Row],[E4_Fraction'[%']]]*Tab_Data_Flows[[#This Row],[E1_value]],"N.A.")</f>
        <v>0</v>
      </c>
      <c r="AF70" s="6" t="str">
        <f>Tab_Data_Flows[[#This Row],[E1_UoM]]</f>
        <v>Mg</v>
      </c>
      <c r="AG70" s="139">
        <f>_xlfn.XLOOKUP(Tab_Data_Flows[[#This Row],[Flow_Name]],Tab_Def_Flows[Flow_Name],Tab_Def_Flows[Flow_E5_Fraction'[%']],"N.A.",0,1)</f>
        <v>0</v>
      </c>
      <c r="AH70" s="6" t="str">
        <f>IF(H70="Yes",Tab_Data_Flows[[#This Row],[E5_Fraction'[%']]]*Tab_Data_Flows[[#This Row],[E1_value]],"N.A.")</f>
        <v>N.A.</v>
      </c>
      <c r="AI70" s="6" t="str">
        <f>Tab_Data_Flows[[#This Row],[E1_UoM]]</f>
        <v>Mg</v>
      </c>
      <c r="AJ70" s="139">
        <f>_xlfn.XLOOKUP(Tab_Data_Flows[[#This Row],[Flow_Name]],Tab_Def_Flows[Flow_Name],Tab_Def_Flows[Flow_E6_Fraction'[%']],"N.A.",0,1)</f>
        <v>0</v>
      </c>
      <c r="AK70" s="6" t="str">
        <f>IF(Tab_Data_Flows[[#This Row],[Use_E6]]="Yes",Tab_Data_Flows[[#This Row],[E6_Fraction'[%']]]*Tab_Data_Flows[[#This Row],[E1_value]],"N.A.")</f>
        <v>N.A.</v>
      </c>
      <c r="AL70" s="6" t="str">
        <f>Tab_Data_Flows[[#This Row],[E1_UoM]]</f>
        <v>Mg</v>
      </c>
    </row>
    <row r="71" spans="1:38" x14ac:dyDescent="0.25">
      <c r="A71" s="8">
        <f t="shared" si="4"/>
        <v>70</v>
      </c>
      <c r="B71" s="6" t="str">
        <f>_xlfn.XLOOKUP(C71,Tab_Def_Flows[Flow_Name],Tab_Def_Flows[Flow_ID],,0,)</f>
        <v>F_01_02</v>
      </c>
      <c r="C71" s="138" t="s">
        <v>1234</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No</v>
      </c>
      <c r="I71" s="9" t="str">
        <f>_xlfn.XLOOKUP(C71,Tab_Def_Flows[Flow_Name],Tab_Def_Flows[Use_E6],,0,)</f>
        <v>No</v>
      </c>
      <c r="J71" s="188">
        <v>2094</v>
      </c>
      <c r="K71" s="189">
        <v>850265.44819607842</v>
      </c>
      <c r="L71" s="6" t="str">
        <f>'0_Configuration'!$C$41</f>
        <v>Mg</v>
      </c>
      <c r="M71" s="13" t="s">
        <v>1263</v>
      </c>
      <c r="N71" s="13">
        <v>2025</v>
      </c>
      <c r="O71" s="13" t="s">
        <v>1260</v>
      </c>
      <c r="P71" s="13" t="s">
        <v>1261</v>
      </c>
      <c r="Q71" s="13" t="s">
        <v>1332</v>
      </c>
      <c r="R71" s="7" t="s">
        <v>6</v>
      </c>
      <c r="S71" s="7"/>
      <c r="T71" s="7"/>
      <c r="U71" s="139">
        <f>_xlfn.XLOOKUP(Tab_Data_Flows[[#This Row],[Flow_Name]],Tab_Def_Flows[Flow_Name],Tab_Def_Flows[Flow_E1_Fraction'[%']],"N.A.",0,1)</f>
        <v>1</v>
      </c>
      <c r="V71" s="12">
        <f t="shared" si="3"/>
        <v>850265.44819607842</v>
      </c>
      <c r="W71" s="6" t="str">
        <f>Tab_Data_Flows[[#This Row],[UoM_Source]]</f>
        <v>Mg</v>
      </c>
      <c r="X71" s="139">
        <f>_xlfn.XLOOKUP(Tab_Data_Flows[[#This Row],[Flow_Name]],Tab_Def_Flows[Flow_Name],Tab_Def_Flows[Flow_E2_Fraction'[%']],"N.A.",0,1)</f>
        <v>0.22838499184339317</v>
      </c>
      <c r="Y71" s="6">
        <f>IF(D71="Yes",V71*Tab_Data_Flows[[#This Row],[E2_Fraction'[%']]],"N.A.")</f>
        <v>194187.86745098041</v>
      </c>
      <c r="Z71" s="6" t="str">
        <f>Tab_Data_Flows[[#This Row],[E1_UoM]]</f>
        <v>Mg</v>
      </c>
      <c r="AA71" s="139">
        <f>_xlfn.XLOOKUP(Tab_Data_Flows[[#This Row],[Flow_Name]],Tab_Def_Flows[Flow_Name],Tab_Def_Flows[Flow_E3_Fraction'[%']],"N.A.",0,1)</f>
        <v>0.77161500815660689</v>
      </c>
      <c r="AB71" s="6">
        <f>IF(E71="Yes",AA71*Tab_Data_Flows[[#This Row],[E1_value]],"N.A.")</f>
        <v>656077.58074509806</v>
      </c>
      <c r="AC71" s="6" t="str">
        <f>Tab_Data_Flows[[#This Row],[E1_UoM]]</f>
        <v>Mg</v>
      </c>
      <c r="AD71" s="139">
        <f>_xlfn.XLOOKUP(Tab_Data_Flows[[#This Row],[Flow_Name]],Tab_Def_Flows[Flow_Name],Tab_Def_Flows[Flow_E4_Fraction'[%']],"N.A.",0,1)</f>
        <v>0</v>
      </c>
      <c r="AE71" s="6">
        <f>IF(G71="Yes",Tab_Data_Flows[[#This Row],[E4_Fraction'[%']]]*Tab_Data_Flows[[#This Row],[E1_value]],"N.A.")</f>
        <v>0</v>
      </c>
      <c r="AF71" s="6" t="str">
        <f>Tab_Data_Flows[[#This Row],[E1_UoM]]</f>
        <v>Mg</v>
      </c>
      <c r="AG71" s="139">
        <f>_xlfn.XLOOKUP(Tab_Data_Flows[[#This Row],[Flow_Name]],Tab_Def_Flows[Flow_Name],Tab_Def_Flows[Flow_E5_Fraction'[%']],"N.A.",0,1)</f>
        <v>0</v>
      </c>
      <c r="AH71" s="6" t="str">
        <f>IF(H71="Yes",Tab_Data_Flows[[#This Row],[E5_Fraction'[%']]]*Tab_Data_Flows[[#This Row],[E1_value]],"N.A.")</f>
        <v>N.A.</v>
      </c>
      <c r="AI71" s="6" t="str">
        <f>Tab_Data_Flows[[#This Row],[E1_UoM]]</f>
        <v>Mg</v>
      </c>
      <c r="AJ71" s="139">
        <f>_xlfn.XLOOKUP(Tab_Data_Flows[[#This Row],[Flow_Name]],Tab_Def_Flows[Flow_Name],Tab_Def_Flows[Flow_E6_Fraction'[%']],"N.A.",0,1)</f>
        <v>0</v>
      </c>
      <c r="AK71" s="6" t="str">
        <f>IF(Tab_Data_Flows[[#This Row],[Use_E6]]="Yes",Tab_Data_Flows[[#This Row],[E6_Fraction'[%']]]*Tab_Data_Flows[[#This Row],[E1_value]],"N.A.")</f>
        <v>N.A.</v>
      </c>
      <c r="AL71" s="6" t="str">
        <f>Tab_Data_Flows[[#This Row],[E1_UoM]]</f>
        <v>Mg</v>
      </c>
    </row>
    <row r="72" spans="1:38" x14ac:dyDescent="0.25">
      <c r="A72" s="8">
        <f t="shared" si="4"/>
        <v>71</v>
      </c>
      <c r="B72" s="6" t="str">
        <f>_xlfn.XLOOKUP(C72,Tab_Def_Flows[Flow_Name],Tab_Def_Flows[Flow_ID],,0,)</f>
        <v>F_01_02</v>
      </c>
      <c r="C72" s="138" t="s">
        <v>1234</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No</v>
      </c>
      <c r="I72" s="9" t="str">
        <f>_xlfn.XLOOKUP(C72,Tab_Def_Flows[Flow_Name],Tab_Def_Flows[Use_E6],,0,)</f>
        <v>No</v>
      </c>
      <c r="J72" s="188">
        <v>2095</v>
      </c>
      <c r="K72" s="189">
        <v>1131777.4527450982</v>
      </c>
      <c r="L72" s="6" t="str">
        <f>'0_Configuration'!$C$41</f>
        <v>Mg</v>
      </c>
      <c r="M72" s="13" t="s">
        <v>1263</v>
      </c>
      <c r="N72" s="13">
        <v>2025</v>
      </c>
      <c r="O72" s="13" t="s">
        <v>1260</v>
      </c>
      <c r="P72" s="13" t="s">
        <v>1261</v>
      </c>
      <c r="Q72" s="13" t="s">
        <v>1333</v>
      </c>
      <c r="R72" s="7" t="s">
        <v>6</v>
      </c>
      <c r="S72" s="7"/>
      <c r="T72" s="7"/>
      <c r="U72" s="139">
        <f>_xlfn.XLOOKUP(Tab_Data_Flows[[#This Row],[Flow_Name]],Tab_Def_Flows[Flow_Name],Tab_Def_Flows[Flow_E1_Fraction'[%']],"N.A.",0,1)</f>
        <v>1</v>
      </c>
      <c r="V72" s="12">
        <f t="shared" si="3"/>
        <v>1131777.4527450982</v>
      </c>
      <c r="W72" s="6" t="str">
        <f>Tab_Data_Flows[[#This Row],[UoM_Source]]</f>
        <v>Mg</v>
      </c>
      <c r="X72" s="139">
        <f>_xlfn.XLOOKUP(Tab_Data_Flows[[#This Row],[Flow_Name]],Tab_Def_Flows[Flow_Name],Tab_Def_Flows[Flow_E2_Fraction'[%']],"N.A.",0,1)</f>
        <v>0.22838499184339317</v>
      </c>
      <c r="Y72" s="6">
        <f>IF(D72="Yes",V72*Tab_Data_Flows[[#This Row],[E2_Fraction'[%']]],"N.A.")</f>
        <v>258480.98431372555</v>
      </c>
      <c r="Z72" s="6" t="str">
        <f>Tab_Data_Flows[[#This Row],[E1_UoM]]</f>
        <v>Mg</v>
      </c>
      <c r="AA72" s="139">
        <f>_xlfn.XLOOKUP(Tab_Data_Flows[[#This Row],[Flow_Name]],Tab_Def_Flows[Flow_Name],Tab_Def_Flows[Flow_E3_Fraction'[%']],"N.A.",0,1)</f>
        <v>0.77161500815660689</v>
      </c>
      <c r="AB72" s="6">
        <f>IF(E72="Yes",AA72*Tab_Data_Flows[[#This Row],[E1_value]],"N.A.")</f>
        <v>873296.46843137266</v>
      </c>
      <c r="AC72" s="6" t="str">
        <f>Tab_Data_Flows[[#This Row],[E1_UoM]]</f>
        <v>Mg</v>
      </c>
      <c r="AD72" s="139">
        <f>_xlfn.XLOOKUP(Tab_Data_Flows[[#This Row],[Flow_Name]],Tab_Def_Flows[Flow_Name],Tab_Def_Flows[Flow_E4_Fraction'[%']],"N.A.",0,1)</f>
        <v>0</v>
      </c>
      <c r="AE72" s="6">
        <f>IF(G72="Yes",Tab_Data_Flows[[#This Row],[E4_Fraction'[%']]]*Tab_Data_Flows[[#This Row],[E1_value]],"N.A.")</f>
        <v>0</v>
      </c>
      <c r="AF72" s="6" t="str">
        <f>Tab_Data_Flows[[#This Row],[E1_UoM]]</f>
        <v>Mg</v>
      </c>
      <c r="AG72" s="139">
        <f>_xlfn.XLOOKUP(Tab_Data_Flows[[#This Row],[Flow_Name]],Tab_Def_Flows[Flow_Name],Tab_Def_Flows[Flow_E5_Fraction'[%']],"N.A.",0,1)</f>
        <v>0</v>
      </c>
      <c r="AH72" s="6" t="str">
        <f>IF(H72="Yes",Tab_Data_Flows[[#This Row],[E5_Fraction'[%']]]*Tab_Data_Flows[[#This Row],[E1_value]],"N.A.")</f>
        <v>N.A.</v>
      </c>
      <c r="AI72" s="6" t="str">
        <f>Tab_Data_Flows[[#This Row],[E1_UoM]]</f>
        <v>Mg</v>
      </c>
      <c r="AJ72" s="139">
        <f>_xlfn.XLOOKUP(Tab_Data_Flows[[#This Row],[Flow_Name]],Tab_Def_Flows[Flow_Name],Tab_Def_Flows[Flow_E6_Fraction'[%']],"N.A.",0,1)</f>
        <v>0</v>
      </c>
      <c r="AK72" s="6" t="str">
        <f>IF(Tab_Data_Flows[[#This Row],[Use_E6]]="Yes",Tab_Data_Flows[[#This Row],[E6_Fraction'[%']]]*Tab_Data_Flows[[#This Row],[E1_value]],"N.A.")</f>
        <v>N.A.</v>
      </c>
      <c r="AL72" s="6" t="str">
        <f>Tab_Data_Flows[[#This Row],[E1_UoM]]</f>
        <v>Mg</v>
      </c>
    </row>
    <row r="73" spans="1:38" x14ac:dyDescent="0.25">
      <c r="A73" s="8">
        <f t="shared" si="4"/>
        <v>72</v>
      </c>
      <c r="B73" s="6" t="str">
        <f>_xlfn.XLOOKUP(C73,Tab_Def_Flows[Flow_Name],Tab_Def_Flows[Flow_ID],,0,)</f>
        <v>F_01_02</v>
      </c>
      <c r="C73" s="138" t="s">
        <v>1234</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No</v>
      </c>
      <c r="I73" s="9" t="str">
        <f>_xlfn.XLOOKUP(C73,Tab_Def_Flows[Flow_Name],Tab_Def_Flows[Use_E6],,0,)</f>
        <v>No</v>
      </c>
      <c r="J73" s="188">
        <v>2096</v>
      </c>
      <c r="K73" s="189">
        <v>1028658.4364901963</v>
      </c>
      <c r="L73" s="6" t="str">
        <f>'0_Configuration'!$C$41</f>
        <v>Mg</v>
      </c>
      <c r="M73" s="13" t="s">
        <v>1263</v>
      </c>
      <c r="N73" s="13">
        <v>2025</v>
      </c>
      <c r="O73" s="13" t="s">
        <v>1260</v>
      </c>
      <c r="P73" s="13" t="s">
        <v>1261</v>
      </c>
      <c r="Q73" s="13" t="s">
        <v>1334</v>
      </c>
      <c r="R73" s="7" t="s">
        <v>6</v>
      </c>
      <c r="S73" s="7"/>
      <c r="T73" s="7"/>
      <c r="U73" s="139">
        <f>_xlfn.XLOOKUP(Tab_Data_Flows[[#This Row],[Flow_Name]],Tab_Def_Flows[Flow_Name],Tab_Def_Flows[Flow_E1_Fraction'[%']],"N.A.",0,1)</f>
        <v>1</v>
      </c>
      <c r="V73" s="12">
        <f t="shared" si="3"/>
        <v>1028658.4364901963</v>
      </c>
      <c r="W73" s="6" t="str">
        <f>Tab_Data_Flows[[#This Row],[UoM_Source]]</f>
        <v>Mg</v>
      </c>
      <c r="X73" s="139">
        <f>_xlfn.XLOOKUP(Tab_Data_Flows[[#This Row],[Flow_Name]],Tab_Def_Flows[Flow_Name],Tab_Def_Flows[Flow_E2_Fraction'[%']],"N.A.",0,1)</f>
        <v>0.22838499184339317</v>
      </c>
      <c r="Y73" s="6">
        <f>IF(D73="Yes",V73*Tab_Data_Flows[[#This Row],[E2_Fraction'[%']]],"N.A.")</f>
        <v>234930.14862745104</v>
      </c>
      <c r="Z73" s="6" t="str">
        <f>Tab_Data_Flows[[#This Row],[E1_UoM]]</f>
        <v>Mg</v>
      </c>
      <c r="AA73" s="139">
        <f>_xlfn.XLOOKUP(Tab_Data_Flows[[#This Row],[Flow_Name]],Tab_Def_Flows[Flow_Name],Tab_Def_Flows[Flow_E3_Fraction'[%']],"N.A.",0,1)</f>
        <v>0.77161500815660689</v>
      </c>
      <c r="AB73" s="6">
        <f>IF(E73="Yes",AA73*Tab_Data_Flows[[#This Row],[E1_value]],"N.A.")</f>
        <v>793728.28786274523</v>
      </c>
      <c r="AC73" s="6" t="str">
        <f>Tab_Data_Flows[[#This Row],[E1_UoM]]</f>
        <v>Mg</v>
      </c>
      <c r="AD73" s="139">
        <f>_xlfn.XLOOKUP(Tab_Data_Flows[[#This Row],[Flow_Name]],Tab_Def_Flows[Flow_Name],Tab_Def_Flows[Flow_E4_Fraction'[%']],"N.A.",0,1)</f>
        <v>0</v>
      </c>
      <c r="AE73" s="6">
        <f>IF(G73="Yes",Tab_Data_Flows[[#This Row],[E4_Fraction'[%']]]*Tab_Data_Flows[[#This Row],[E1_value]],"N.A.")</f>
        <v>0</v>
      </c>
      <c r="AF73" s="6" t="str">
        <f>Tab_Data_Flows[[#This Row],[E1_UoM]]</f>
        <v>Mg</v>
      </c>
      <c r="AG73" s="139">
        <f>_xlfn.XLOOKUP(Tab_Data_Flows[[#This Row],[Flow_Name]],Tab_Def_Flows[Flow_Name],Tab_Def_Flows[Flow_E5_Fraction'[%']],"N.A.",0,1)</f>
        <v>0</v>
      </c>
      <c r="AH73" s="6" t="str">
        <f>IF(H73="Yes",Tab_Data_Flows[[#This Row],[E5_Fraction'[%']]]*Tab_Data_Flows[[#This Row],[E1_value]],"N.A.")</f>
        <v>N.A.</v>
      </c>
      <c r="AI73" s="6" t="str">
        <f>Tab_Data_Flows[[#This Row],[E1_UoM]]</f>
        <v>Mg</v>
      </c>
      <c r="AJ73" s="139">
        <f>_xlfn.XLOOKUP(Tab_Data_Flows[[#This Row],[Flow_Name]],Tab_Def_Flows[Flow_Name],Tab_Def_Flows[Flow_E6_Fraction'[%']],"N.A.",0,1)</f>
        <v>0</v>
      </c>
      <c r="AK73" s="6" t="str">
        <f>IF(Tab_Data_Flows[[#This Row],[Use_E6]]="Yes",Tab_Data_Flows[[#This Row],[E6_Fraction'[%']]]*Tab_Data_Flows[[#This Row],[E1_value]],"N.A.")</f>
        <v>N.A.</v>
      </c>
      <c r="AL73" s="6" t="str">
        <f>Tab_Data_Flows[[#This Row],[E1_UoM]]</f>
        <v>Mg</v>
      </c>
    </row>
    <row r="74" spans="1:38" x14ac:dyDescent="0.25">
      <c r="A74" s="8">
        <f t="shared" si="4"/>
        <v>73</v>
      </c>
      <c r="B74" s="6" t="str">
        <f>_xlfn.XLOOKUP(C74,Tab_Def_Flows[Flow_Name],Tab_Def_Flows[Flow_ID],,0,)</f>
        <v>F_01_02</v>
      </c>
      <c r="C74" s="138" t="s">
        <v>1234</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No</v>
      </c>
      <c r="I74" s="9" t="str">
        <f>_xlfn.XLOOKUP(C74,Tab_Def_Flows[Flow_Name],Tab_Def_Flows[Use_E6],,0,)</f>
        <v>No</v>
      </c>
      <c r="J74" s="188">
        <v>2097</v>
      </c>
      <c r="K74" s="189">
        <v>997268.24499999988</v>
      </c>
      <c r="L74" s="6" t="str">
        <f>'0_Configuration'!$C$41</f>
        <v>Mg</v>
      </c>
      <c r="M74" s="13" t="s">
        <v>1263</v>
      </c>
      <c r="N74" s="13">
        <v>2025</v>
      </c>
      <c r="O74" s="13" t="s">
        <v>1260</v>
      </c>
      <c r="P74" s="13" t="s">
        <v>1261</v>
      </c>
      <c r="Q74" s="13" t="s">
        <v>1335</v>
      </c>
      <c r="R74" s="7" t="s">
        <v>6</v>
      </c>
      <c r="S74" s="7"/>
      <c r="T74" s="7"/>
      <c r="U74" s="139">
        <f>_xlfn.XLOOKUP(Tab_Data_Flows[[#This Row],[Flow_Name]],Tab_Def_Flows[Flow_Name],Tab_Def_Flows[Flow_E1_Fraction'[%']],"N.A.",0,1)</f>
        <v>1</v>
      </c>
      <c r="V74" s="12">
        <f t="shared" si="3"/>
        <v>997268.24499999988</v>
      </c>
      <c r="W74" s="6" t="str">
        <f>Tab_Data_Flows[[#This Row],[UoM_Source]]</f>
        <v>Mg</v>
      </c>
      <c r="X74" s="139">
        <f>_xlfn.XLOOKUP(Tab_Data_Flows[[#This Row],[Flow_Name]],Tab_Def_Flows[Flow_Name],Tab_Def_Flows[Flow_E2_Fraction'[%']],"N.A.",0,1)</f>
        <v>0.22838499184339317</v>
      </c>
      <c r="Y74" s="6">
        <f>IF(D74="Yes",V74*Tab_Data_Flows[[#This Row],[E2_Fraction'[%']]],"N.A.")</f>
        <v>227761.1</v>
      </c>
      <c r="Z74" s="6" t="str">
        <f>Tab_Data_Flows[[#This Row],[E1_UoM]]</f>
        <v>Mg</v>
      </c>
      <c r="AA74" s="139">
        <f>_xlfn.XLOOKUP(Tab_Data_Flows[[#This Row],[Flow_Name]],Tab_Def_Flows[Flow_Name],Tab_Def_Flows[Flow_E3_Fraction'[%']],"N.A.",0,1)</f>
        <v>0.77161500815660689</v>
      </c>
      <c r="AB74" s="6">
        <f>IF(E74="Yes",AA74*Tab_Data_Flows[[#This Row],[E1_value]],"N.A.")</f>
        <v>769507.1449999999</v>
      </c>
      <c r="AC74" s="6" t="str">
        <f>Tab_Data_Flows[[#This Row],[E1_UoM]]</f>
        <v>Mg</v>
      </c>
      <c r="AD74" s="139">
        <f>_xlfn.XLOOKUP(Tab_Data_Flows[[#This Row],[Flow_Name]],Tab_Def_Flows[Flow_Name],Tab_Def_Flows[Flow_E4_Fraction'[%']],"N.A.",0,1)</f>
        <v>0</v>
      </c>
      <c r="AE74" s="6">
        <f>IF(G74="Yes",Tab_Data_Flows[[#This Row],[E4_Fraction'[%']]]*Tab_Data_Flows[[#This Row],[E1_value]],"N.A.")</f>
        <v>0</v>
      </c>
      <c r="AF74" s="6" t="str">
        <f>Tab_Data_Flows[[#This Row],[E1_UoM]]</f>
        <v>Mg</v>
      </c>
      <c r="AG74" s="139">
        <f>_xlfn.XLOOKUP(Tab_Data_Flows[[#This Row],[Flow_Name]],Tab_Def_Flows[Flow_Name],Tab_Def_Flows[Flow_E5_Fraction'[%']],"N.A.",0,1)</f>
        <v>0</v>
      </c>
      <c r="AH74" s="6" t="str">
        <f>IF(H74="Yes",Tab_Data_Flows[[#This Row],[E5_Fraction'[%']]]*Tab_Data_Flows[[#This Row],[E1_value]],"N.A.")</f>
        <v>N.A.</v>
      </c>
      <c r="AI74" s="6" t="str">
        <f>Tab_Data_Flows[[#This Row],[E1_UoM]]</f>
        <v>Mg</v>
      </c>
      <c r="AJ74" s="139">
        <f>_xlfn.XLOOKUP(Tab_Data_Flows[[#This Row],[Flow_Name]],Tab_Def_Flows[Flow_Name],Tab_Def_Flows[Flow_E6_Fraction'[%']],"N.A.",0,1)</f>
        <v>0</v>
      </c>
      <c r="AK74" s="6" t="str">
        <f>IF(Tab_Data_Flows[[#This Row],[Use_E6]]="Yes",Tab_Data_Flows[[#This Row],[E6_Fraction'[%']]]*Tab_Data_Flows[[#This Row],[E1_value]],"N.A.")</f>
        <v>N.A.</v>
      </c>
      <c r="AL74" s="6" t="str">
        <f>Tab_Data_Flows[[#This Row],[E1_UoM]]</f>
        <v>Mg</v>
      </c>
    </row>
    <row r="75" spans="1:38" x14ac:dyDescent="0.25">
      <c r="A75" s="8">
        <f t="shared" si="4"/>
        <v>74</v>
      </c>
      <c r="B75" s="6" t="str">
        <f>_xlfn.XLOOKUP(C75,Tab_Def_Flows[Flow_Name],Tab_Def_Flows[Flow_ID],,0,)</f>
        <v>F_01_02</v>
      </c>
      <c r="C75" s="138" t="s">
        <v>1234</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No</v>
      </c>
      <c r="I75" s="9" t="str">
        <f>_xlfn.XLOOKUP(C75,Tab_Def_Flows[Flow_Name],Tab_Def_Flows[Use_E6],,0,)</f>
        <v>No</v>
      </c>
      <c r="J75" s="188">
        <v>2098</v>
      </c>
      <c r="K75" s="189">
        <v>1130009.0078431373</v>
      </c>
      <c r="L75" s="6" t="str">
        <f>'0_Configuration'!$C$41</f>
        <v>Mg</v>
      </c>
      <c r="M75" s="13" t="s">
        <v>1263</v>
      </c>
      <c r="N75" s="13">
        <v>2025</v>
      </c>
      <c r="O75" s="13" t="s">
        <v>1260</v>
      </c>
      <c r="P75" s="13" t="s">
        <v>1261</v>
      </c>
      <c r="Q75" s="13" t="s">
        <v>1336</v>
      </c>
      <c r="R75" s="7" t="s">
        <v>6</v>
      </c>
      <c r="S75" s="7"/>
      <c r="T75" s="7"/>
      <c r="U75" s="139">
        <f>_xlfn.XLOOKUP(Tab_Data_Flows[[#This Row],[Flow_Name]],Tab_Def_Flows[Flow_Name],Tab_Def_Flows[Flow_E1_Fraction'[%']],"N.A.",0,1)</f>
        <v>1</v>
      </c>
      <c r="V75" s="12">
        <f t="shared" si="3"/>
        <v>1130009.0078431373</v>
      </c>
      <c r="W75" s="6" t="str">
        <f>Tab_Data_Flows[[#This Row],[UoM_Source]]</f>
        <v>Mg</v>
      </c>
      <c r="X75" s="139">
        <f>_xlfn.XLOOKUP(Tab_Data_Flows[[#This Row],[Flow_Name]],Tab_Def_Flows[Flow_Name],Tab_Def_Flows[Flow_E2_Fraction'[%']],"N.A.",0,1)</f>
        <v>0.22838499184339317</v>
      </c>
      <c r="Y75" s="6">
        <f>IF(D75="Yes",V75*Tab_Data_Flows[[#This Row],[E2_Fraction'[%']]],"N.A.")</f>
        <v>258077.09803921572</v>
      </c>
      <c r="Z75" s="6" t="str">
        <f>Tab_Data_Flows[[#This Row],[E1_UoM]]</f>
        <v>Mg</v>
      </c>
      <c r="AA75" s="139">
        <f>_xlfn.XLOOKUP(Tab_Data_Flows[[#This Row],[Flow_Name]],Tab_Def_Flows[Flow_Name],Tab_Def_Flows[Flow_E3_Fraction'[%']],"N.A.",0,1)</f>
        <v>0.77161500815660689</v>
      </c>
      <c r="AB75" s="6">
        <f>IF(E75="Yes",AA75*Tab_Data_Flows[[#This Row],[E1_value]],"N.A.")</f>
        <v>871931.90980392159</v>
      </c>
      <c r="AC75" s="6" t="str">
        <f>Tab_Data_Flows[[#This Row],[E1_UoM]]</f>
        <v>Mg</v>
      </c>
      <c r="AD75" s="139">
        <f>_xlfn.XLOOKUP(Tab_Data_Flows[[#This Row],[Flow_Name]],Tab_Def_Flows[Flow_Name],Tab_Def_Flows[Flow_E4_Fraction'[%']],"N.A.",0,1)</f>
        <v>0</v>
      </c>
      <c r="AE75" s="6">
        <f>IF(G75="Yes",Tab_Data_Flows[[#This Row],[E4_Fraction'[%']]]*Tab_Data_Flows[[#This Row],[E1_value]],"N.A.")</f>
        <v>0</v>
      </c>
      <c r="AF75" s="6" t="str">
        <f>Tab_Data_Flows[[#This Row],[E1_UoM]]</f>
        <v>Mg</v>
      </c>
      <c r="AG75" s="139">
        <f>_xlfn.XLOOKUP(Tab_Data_Flows[[#This Row],[Flow_Name]],Tab_Def_Flows[Flow_Name],Tab_Def_Flows[Flow_E5_Fraction'[%']],"N.A.",0,1)</f>
        <v>0</v>
      </c>
      <c r="AH75" s="6" t="str">
        <f>IF(H75="Yes",Tab_Data_Flows[[#This Row],[E5_Fraction'[%']]]*Tab_Data_Flows[[#This Row],[E1_value]],"N.A.")</f>
        <v>N.A.</v>
      </c>
      <c r="AI75" s="6" t="str">
        <f>Tab_Data_Flows[[#This Row],[E1_UoM]]</f>
        <v>Mg</v>
      </c>
      <c r="AJ75" s="139">
        <f>_xlfn.XLOOKUP(Tab_Data_Flows[[#This Row],[Flow_Name]],Tab_Def_Flows[Flow_Name],Tab_Def_Flows[Flow_E6_Fraction'[%']],"N.A.",0,1)</f>
        <v>0</v>
      </c>
      <c r="AK75" s="6" t="str">
        <f>IF(Tab_Data_Flows[[#This Row],[Use_E6]]="Yes",Tab_Data_Flows[[#This Row],[E6_Fraction'[%']]]*Tab_Data_Flows[[#This Row],[E1_value]],"N.A.")</f>
        <v>N.A.</v>
      </c>
      <c r="AL75" s="6" t="str">
        <f>Tab_Data_Flows[[#This Row],[E1_UoM]]</f>
        <v>Mg</v>
      </c>
    </row>
    <row r="76" spans="1:38" x14ac:dyDescent="0.25">
      <c r="A76" s="8">
        <f t="shared" si="4"/>
        <v>75</v>
      </c>
      <c r="B76" s="6" t="str">
        <f>_xlfn.XLOOKUP(C76,Tab_Def_Flows[Flow_Name],Tab_Def_Flows[Flow_ID],,0,)</f>
        <v>F_01_02</v>
      </c>
      <c r="C76" s="138" t="s">
        <v>1234</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No</v>
      </c>
      <c r="I76" s="9" t="str">
        <f>_xlfn.XLOOKUP(C76,Tab_Def_Flows[Flow_Name],Tab_Def_Flows[Use_E6],,0,)</f>
        <v>No</v>
      </c>
      <c r="J76" s="188">
        <v>2099</v>
      </c>
      <c r="K76" s="189">
        <v>1093589.6802156863</v>
      </c>
      <c r="L76" s="6" t="str">
        <f>'0_Configuration'!$C$41</f>
        <v>Mg</v>
      </c>
      <c r="M76" s="13" t="s">
        <v>1263</v>
      </c>
      <c r="N76" s="13">
        <v>2025</v>
      </c>
      <c r="O76" s="13" t="s">
        <v>1260</v>
      </c>
      <c r="P76" s="13" t="s">
        <v>1261</v>
      </c>
      <c r="Q76" s="13" t="s">
        <v>1337</v>
      </c>
      <c r="R76" s="7" t="s">
        <v>6</v>
      </c>
      <c r="S76" s="7"/>
      <c r="T76" s="7"/>
      <c r="U76" s="139">
        <f>_xlfn.XLOOKUP(Tab_Data_Flows[[#This Row],[Flow_Name]],Tab_Def_Flows[Flow_Name],Tab_Def_Flows[Flow_E1_Fraction'[%']],"N.A.",0,1)</f>
        <v>1</v>
      </c>
      <c r="V76" s="12">
        <f t="shared" si="3"/>
        <v>1093589.6802156863</v>
      </c>
      <c r="W76" s="6" t="str">
        <f>Tab_Data_Flows[[#This Row],[UoM_Source]]</f>
        <v>Mg</v>
      </c>
      <c r="X76" s="139">
        <f>_xlfn.XLOOKUP(Tab_Data_Flows[[#This Row],[Flow_Name]],Tab_Def_Flows[Flow_Name],Tab_Def_Flows[Flow_E2_Fraction'[%']],"N.A.",0,1)</f>
        <v>0.22838499184339317</v>
      </c>
      <c r="Y76" s="6">
        <f>IF(D76="Yes",V76*Tab_Data_Flows[[#This Row],[E2_Fraction'[%']]],"N.A.")</f>
        <v>249759.47019607847</v>
      </c>
      <c r="Z76" s="6" t="str">
        <f>Tab_Data_Flows[[#This Row],[E1_UoM]]</f>
        <v>Mg</v>
      </c>
      <c r="AA76" s="139">
        <f>_xlfn.XLOOKUP(Tab_Data_Flows[[#This Row],[Flow_Name]],Tab_Def_Flows[Flow_Name],Tab_Def_Flows[Flow_E3_Fraction'[%']],"N.A.",0,1)</f>
        <v>0.77161500815660689</v>
      </c>
      <c r="AB76" s="6">
        <f>IF(E76="Yes",AA76*Tab_Data_Flows[[#This Row],[E1_value]],"N.A.")</f>
        <v>843830.21001960791</v>
      </c>
      <c r="AC76" s="6" t="str">
        <f>Tab_Data_Flows[[#This Row],[E1_UoM]]</f>
        <v>Mg</v>
      </c>
      <c r="AD76" s="139">
        <f>_xlfn.XLOOKUP(Tab_Data_Flows[[#This Row],[Flow_Name]],Tab_Def_Flows[Flow_Name],Tab_Def_Flows[Flow_E4_Fraction'[%']],"N.A.",0,1)</f>
        <v>0</v>
      </c>
      <c r="AE76" s="6">
        <f>IF(G76="Yes",Tab_Data_Flows[[#This Row],[E4_Fraction'[%']]]*Tab_Data_Flows[[#This Row],[E1_value]],"N.A.")</f>
        <v>0</v>
      </c>
      <c r="AF76" s="6" t="str">
        <f>Tab_Data_Flows[[#This Row],[E1_UoM]]</f>
        <v>Mg</v>
      </c>
      <c r="AG76" s="139">
        <f>_xlfn.XLOOKUP(Tab_Data_Flows[[#This Row],[Flow_Name]],Tab_Def_Flows[Flow_Name],Tab_Def_Flows[Flow_E5_Fraction'[%']],"N.A.",0,1)</f>
        <v>0</v>
      </c>
      <c r="AH76" s="6" t="str">
        <f>IF(H76="Yes",Tab_Data_Flows[[#This Row],[E5_Fraction'[%']]]*Tab_Data_Flows[[#This Row],[E1_value]],"N.A.")</f>
        <v>N.A.</v>
      </c>
      <c r="AI76" s="6" t="str">
        <f>Tab_Data_Flows[[#This Row],[E1_UoM]]</f>
        <v>Mg</v>
      </c>
      <c r="AJ76" s="139">
        <f>_xlfn.XLOOKUP(Tab_Data_Flows[[#This Row],[Flow_Name]],Tab_Def_Flows[Flow_Name],Tab_Def_Flows[Flow_E6_Fraction'[%']],"N.A.",0,1)</f>
        <v>0</v>
      </c>
      <c r="AK76" s="6" t="str">
        <f>IF(Tab_Data_Flows[[#This Row],[Use_E6]]="Yes",Tab_Data_Flows[[#This Row],[E6_Fraction'[%']]]*Tab_Data_Flows[[#This Row],[E1_value]],"N.A.")</f>
        <v>N.A.</v>
      </c>
      <c r="AL76" s="6" t="str">
        <f>Tab_Data_Flows[[#This Row],[E1_UoM]]</f>
        <v>Mg</v>
      </c>
    </row>
    <row r="77" spans="1:38" x14ac:dyDescent="0.25">
      <c r="A77" s="8">
        <f t="shared" si="4"/>
        <v>76</v>
      </c>
      <c r="B77" s="6" t="str">
        <f>_xlfn.XLOOKUP(C77,Tab_Def_Flows[Flow_Name],Tab_Def_Flows[Flow_ID],,0,)</f>
        <v>F_01_02</v>
      </c>
      <c r="C77" s="138" t="s">
        <v>1234</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No</v>
      </c>
      <c r="I77" s="9" t="str">
        <f>_xlfn.XLOOKUP(C77,Tab_Def_Flows[Flow_Name],Tab_Def_Flows[Use_E6],,0,)</f>
        <v>No</v>
      </c>
      <c r="J77" s="188">
        <v>2100</v>
      </c>
      <c r="K77" s="189">
        <v>1056365.6398431372</v>
      </c>
      <c r="L77" s="6" t="str">
        <f>'0_Configuration'!$C$41</f>
        <v>Mg</v>
      </c>
      <c r="M77" s="13" t="s">
        <v>1263</v>
      </c>
      <c r="N77" s="13">
        <v>2025</v>
      </c>
      <c r="O77" s="13" t="s">
        <v>1260</v>
      </c>
      <c r="P77" s="13" t="s">
        <v>1261</v>
      </c>
      <c r="Q77" s="13" t="s">
        <v>1338</v>
      </c>
      <c r="R77" s="7" t="s">
        <v>6</v>
      </c>
      <c r="S77" s="7"/>
      <c r="T77" s="7"/>
      <c r="U77" s="139">
        <f>_xlfn.XLOOKUP(Tab_Data_Flows[[#This Row],[Flow_Name]],Tab_Def_Flows[Flow_Name],Tab_Def_Flows[Flow_E1_Fraction'[%']],"N.A.",0,1)</f>
        <v>1</v>
      </c>
      <c r="V77" s="12">
        <f t="shared" si="3"/>
        <v>1056365.6398431372</v>
      </c>
      <c r="W77" s="6" t="str">
        <f>Tab_Data_Flows[[#This Row],[UoM_Source]]</f>
        <v>Mg</v>
      </c>
      <c r="X77" s="139">
        <f>_xlfn.XLOOKUP(Tab_Data_Flows[[#This Row],[Flow_Name]],Tab_Def_Flows[Flow_Name],Tab_Def_Flows[Flow_E2_Fraction'[%']],"N.A.",0,1)</f>
        <v>0.22838499184339317</v>
      </c>
      <c r="Y77" s="6">
        <f>IF(D77="Yes",V77*Tab_Data_Flows[[#This Row],[E2_Fraction'[%']]],"N.A.")</f>
        <v>241258.05803921571</v>
      </c>
      <c r="Z77" s="6" t="str">
        <f>Tab_Data_Flows[[#This Row],[E1_UoM]]</f>
        <v>Mg</v>
      </c>
      <c r="AA77" s="139">
        <f>_xlfn.XLOOKUP(Tab_Data_Flows[[#This Row],[Flow_Name]],Tab_Def_Flows[Flow_Name],Tab_Def_Flows[Flow_E3_Fraction'[%']],"N.A.",0,1)</f>
        <v>0.77161500815660689</v>
      </c>
      <c r="AB77" s="6">
        <f>IF(E77="Yes",AA77*Tab_Data_Flows[[#This Row],[E1_value]],"N.A.")</f>
        <v>815107.58180392161</v>
      </c>
      <c r="AC77" s="6" t="str">
        <f>Tab_Data_Flows[[#This Row],[E1_UoM]]</f>
        <v>Mg</v>
      </c>
      <c r="AD77" s="139">
        <f>_xlfn.XLOOKUP(Tab_Data_Flows[[#This Row],[Flow_Name]],Tab_Def_Flows[Flow_Name],Tab_Def_Flows[Flow_E4_Fraction'[%']],"N.A.",0,1)</f>
        <v>0</v>
      </c>
      <c r="AE77" s="6">
        <f>IF(G77="Yes",Tab_Data_Flows[[#This Row],[E4_Fraction'[%']]]*Tab_Data_Flows[[#This Row],[E1_value]],"N.A.")</f>
        <v>0</v>
      </c>
      <c r="AF77" s="6" t="str">
        <f>Tab_Data_Flows[[#This Row],[E1_UoM]]</f>
        <v>Mg</v>
      </c>
      <c r="AG77" s="139">
        <f>_xlfn.XLOOKUP(Tab_Data_Flows[[#This Row],[Flow_Name]],Tab_Def_Flows[Flow_Name],Tab_Def_Flows[Flow_E5_Fraction'[%']],"N.A.",0,1)</f>
        <v>0</v>
      </c>
      <c r="AH77" s="6" t="str">
        <f>IF(H77="Yes",Tab_Data_Flows[[#This Row],[E5_Fraction'[%']]]*Tab_Data_Flows[[#This Row],[E1_value]],"N.A.")</f>
        <v>N.A.</v>
      </c>
      <c r="AI77" s="6" t="str">
        <f>Tab_Data_Flows[[#This Row],[E1_UoM]]</f>
        <v>Mg</v>
      </c>
      <c r="AJ77" s="139">
        <f>_xlfn.XLOOKUP(Tab_Data_Flows[[#This Row],[Flow_Name]],Tab_Def_Flows[Flow_Name],Tab_Def_Flows[Flow_E6_Fraction'[%']],"N.A.",0,1)</f>
        <v>0</v>
      </c>
      <c r="AK77" s="6" t="str">
        <f>IF(Tab_Data_Flows[[#This Row],[Use_E6]]="Yes",Tab_Data_Flows[[#This Row],[E6_Fraction'[%']]]*Tab_Data_Flows[[#This Row],[E1_value]],"N.A.")</f>
        <v>N.A.</v>
      </c>
      <c r="AL77" s="6" t="str">
        <f>Tab_Data_Flows[[#This Row],[E1_UoM]]</f>
        <v>Mg</v>
      </c>
    </row>
    <row r="78" spans="1:38" x14ac:dyDescent="0.25">
      <c r="A78" s="8">
        <f t="shared" si="4"/>
        <v>77</v>
      </c>
      <c r="B78" s="6" t="str">
        <f>_xlfn.XLOOKUP(C78,Tab_Def_Flows[Flow_Name],Tab_Def_Flows[Flow_ID],,0,)</f>
        <v>F_01_02</v>
      </c>
      <c r="C78" s="138" t="s">
        <v>1234</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No</v>
      </c>
      <c r="I78" s="9" t="str">
        <f>_xlfn.XLOOKUP(C78,Tab_Def_Flows[Flow_Name],Tab_Def_Flows[Use_E6],,0,)</f>
        <v>No</v>
      </c>
      <c r="J78" s="188">
        <v>2101</v>
      </c>
      <c r="K78" s="189">
        <v>1048119.2272941174</v>
      </c>
      <c r="L78" s="6" t="str">
        <f>'0_Configuration'!$C$41</f>
        <v>Mg</v>
      </c>
      <c r="M78" s="13" t="s">
        <v>1263</v>
      </c>
      <c r="N78" s="13">
        <v>2025</v>
      </c>
      <c r="O78" s="13" t="s">
        <v>1260</v>
      </c>
      <c r="P78" s="13" t="s">
        <v>1261</v>
      </c>
      <c r="Q78" s="13" t="s">
        <v>1339</v>
      </c>
      <c r="R78" s="7" t="s">
        <v>6</v>
      </c>
      <c r="S78" s="7"/>
      <c r="T78" s="7"/>
      <c r="U78" s="139">
        <f>_xlfn.XLOOKUP(Tab_Data_Flows[[#This Row],[Flow_Name]],Tab_Def_Flows[Flow_Name],Tab_Def_Flows[Flow_E1_Fraction'[%']],"N.A.",0,1)</f>
        <v>1</v>
      </c>
      <c r="V78" s="12">
        <f t="shared" si="3"/>
        <v>1048119.2272941174</v>
      </c>
      <c r="W78" s="6" t="str">
        <f>Tab_Data_Flows[[#This Row],[UoM_Source]]</f>
        <v>Mg</v>
      </c>
      <c r="X78" s="139">
        <f>_xlfn.XLOOKUP(Tab_Data_Flows[[#This Row],[Flow_Name]],Tab_Def_Flows[Flow_Name],Tab_Def_Flows[Flow_E2_Fraction'[%']],"N.A.",0,1)</f>
        <v>0.22838499184339317</v>
      </c>
      <c r="Y78" s="6">
        <f>IF(D78="Yes",V78*Tab_Data_Flows[[#This Row],[E2_Fraction'[%']]],"N.A.")</f>
        <v>239374.70117647055</v>
      </c>
      <c r="Z78" s="6" t="str">
        <f>Tab_Data_Flows[[#This Row],[E1_UoM]]</f>
        <v>Mg</v>
      </c>
      <c r="AA78" s="139">
        <f>_xlfn.XLOOKUP(Tab_Data_Flows[[#This Row],[Flow_Name]],Tab_Def_Flows[Flow_Name],Tab_Def_Flows[Flow_E3_Fraction'[%']],"N.A.",0,1)</f>
        <v>0.77161500815660689</v>
      </c>
      <c r="AB78" s="6">
        <f>IF(E78="Yes",AA78*Tab_Data_Flows[[#This Row],[E1_value]],"N.A.")</f>
        <v>808744.52611764695</v>
      </c>
      <c r="AC78" s="6" t="str">
        <f>Tab_Data_Flows[[#This Row],[E1_UoM]]</f>
        <v>Mg</v>
      </c>
      <c r="AD78" s="139">
        <f>_xlfn.XLOOKUP(Tab_Data_Flows[[#This Row],[Flow_Name]],Tab_Def_Flows[Flow_Name],Tab_Def_Flows[Flow_E4_Fraction'[%']],"N.A.",0,1)</f>
        <v>0</v>
      </c>
      <c r="AE78" s="6">
        <f>IF(G78="Yes",Tab_Data_Flows[[#This Row],[E4_Fraction'[%']]]*Tab_Data_Flows[[#This Row],[E1_value]],"N.A.")</f>
        <v>0</v>
      </c>
      <c r="AF78" s="6" t="str">
        <f>Tab_Data_Flows[[#This Row],[E1_UoM]]</f>
        <v>Mg</v>
      </c>
      <c r="AG78" s="139">
        <f>_xlfn.XLOOKUP(Tab_Data_Flows[[#This Row],[Flow_Name]],Tab_Def_Flows[Flow_Name],Tab_Def_Flows[Flow_E5_Fraction'[%']],"N.A.",0,1)</f>
        <v>0</v>
      </c>
      <c r="AH78" s="6" t="str">
        <f>IF(H78="Yes",Tab_Data_Flows[[#This Row],[E5_Fraction'[%']]]*Tab_Data_Flows[[#This Row],[E1_value]],"N.A.")</f>
        <v>N.A.</v>
      </c>
      <c r="AI78" s="6" t="str">
        <f>Tab_Data_Flows[[#This Row],[E1_UoM]]</f>
        <v>Mg</v>
      </c>
      <c r="AJ78" s="139">
        <f>_xlfn.XLOOKUP(Tab_Data_Flows[[#This Row],[Flow_Name]],Tab_Def_Flows[Flow_Name],Tab_Def_Flows[Flow_E6_Fraction'[%']],"N.A.",0,1)</f>
        <v>0</v>
      </c>
      <c r="AK78" s="6" t="str">
        <f>IF(Tab_Data_Flows[[#This Row],[Use_E6]]="Yes",Tab_Data_Flows[[#This Row],[E6_Fraction'[%']]]*Tab_Data_Flows[[#This Row],[E1_value]],"N.A.")</f>
        <v>N.A.</v>
      </c>
      <c r="AL78" s="6" t="str">
        <f>Tab_Data_Flows[[#This Row],[E1_UoM]]</f>
        <v>Mg</v>
      </c>
    </row>
    <row r="79" spans="1:38" x14ac:dyDescent="0.25">
      <c r="A79" s="8">
        <f t="shared" si="4"/>
        <v>78</v>
      </c>
      <c r="B79" s="6" t="str">
        <f>_xlfn.XLOOKUP(C79,Tab_Def_Flows[Flow_Name],Tab_Def_Flows[Flow_ID],,0,)</f>
        <v>F_01_02</v>
      </c>
      <c r="C79" s="138" t="s">
        <v>1234</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No</v>
      </c>
      <c r="I79" s="9" t="str">
        <f>_xlfn.XLOOKUP(C79,Tab_Def_Flows[Flow_Name],Tab_Def_Flows[Use_E6],,0,)</f>
        <v>No</v>
      </c>
      <c r="J79" s="188">
        <v>2102</v>
      </c>
      <c r="K79" s="189">
        <v>1052661.6895098039</v>
      </c>
      <c r="L79" s="6" t="str">
        <f>'0_Configuration'!$C$41</f>
        <v>Mg</v>
      </c>
      <c r="M79" s="13" t="s">
        <v>1263</v>
      </c>
      <c r="N79" s="13">
        <v>2025</v>
      </c>
      <c r="O79" s="13" t="s">
        <v>1260</v>
      </c>
      <c r="P79" s="13" t="s">
        <v>1261</v>
      </c>
      <c r="Q79" s="13" t="s">
        <v>1340</v>
      </c>
      <c r="R79" s="7" t="s">
        <v>6</v>
      </c>
      <c r="S79" s="7"/>
      <c r="T79" s="7"/>
      <c r="U79" s="139">
        <f>_xlfn.XLOOKUP(Tab_Data_Flows[[#This Row],[Flow_Name]],Tab_Def_Flows[Flow_Name],Tab_Def_Flows[Flow_E1_Fraction'[%']],"N.A.",0,1)</f>
        <v>1</v>
      </c>
      <c r="V79" s="12">
        <f t="shared" si="3"/>
        <v>1052661.6895098039</v>
      </c>
      <c r="W79" s="6" t="str">
        <f>Tab_Data_Flows[[#This Row],[UoM_Source]]</f>
        <v>Mg</v>
      </c>
      <c r="X79" s="139">
        <f>_xlfn.XLOOKUP(Tab_Data_Flows[[#This Row],[Flow_Name]],Tab_Def_Flows[Flow_Name],Tab_Def_Flows[Flow_E2_Fraction'[%']],"N.A.",0,1)</f>
        <v>0.22838499184339317</v>
      </c>
      <c r="Y79" s="6">
        <f>IF(D79="Yes",V79*Tab_Data_Flows[[#This Row],[E2_Fraction'[%']]],"N.A.")</f>
        <v>240412.13137254905</v>
      </c>
      <c r="Z79" s="6" t="str">
        <f>Tab_Data_Flows[[#This Row],[E1_UoM]]</f>
        <v>Mg</v>
      </c>
      <c r="AA79" s="139">
        <f>_xlfn.XLOOKUP(Tab_Data_Flows[[#This Row],[Flow_Name]],Tab_Def_Flows[Flow_Name],Tab_Def_Flows[Flow_E3_Fraction'[%']],"N.A.",0,1)</f>
        <v>0.77161500815660689</v>
      </c>
      <c r="AB79" s="6">
        <f>IF(E79="Yes",AA79*Tab_Data_Flows[[#This Row],[E1_value]],"N.A.")</f>
        <v>812249.55813725491</v>
      </c>
      <c r="AC79" s="6" t="str">
        <f>Tab_Data_Flows[[#This Row],[E1_UoM]]</f>
        <v>Mg</v>
      </c>
      <c r="AD79" s="139">
        <f>_xlfn.XLOOKUP(Tab_Data_Flows[[#This Row],[Flow_Name]],Tab_Def_Flows[Flow_Name],Tab_Def_Flows[Flow_E4_Fraction'[%']],"N.A.",0,1)</f>
        <v>0</v>
      </c>
      <c r="AE79" s="6">
        <f>IF(G79="Yes",Tab_Data_Flows[[#This Row],[E4_Fraction'[%']]]*Tab_Data_Flows[[#This Row],[E1_value]],"N.A.")</f>
        <v>0</v>
      </c>
      <c r="AF79" s="6" t="str">
        <f>Tab_Data_Flows[[#This Row],[E1_UoM]]</f>
        <v>Mg</v>
      </c>
      <c r="AG79" s="139">
        <f>_xlfn.XLOOKUP(Tab_Data_Flows[[#This Row],[Flow_Name]],Tab_Def_Flows[Flow_Name],Tab_Def_Flows[Flow_E5_Fraction'[%']],"N.A.",0,1)</f>
        <v>0</v>
      </c>
      <c r="AH79" s="6" t="str">
        <f>IF(H79="Yes",Tab_Data_Flows[[#This Row],[E5_Fraction'[%']]]*Tab_Data_Flows[[#This Row],[E1_value]],"N.A.")</f>
        <v>N.A.</v>
      </c>
      <c r="AI79" s="6" t="str">
        <f>Tab_Data_Flows[[#This Row],[E1_UoM]]</f>
        <v>Mg</v>
      </c>
      <c r="AJ79" s="139">
        <f>_xlfn.XLOOKUP(Tab_Data_Flows[[#This Row],[Flow_Name]],Tab_Def_Flows[Flow_Name],Tab_Def_Flows[Flow_E6_Fraction'[%']],"N.A.",0,1)</f>
        <v>0</v>
      </c>
      <c r="AK79" s="6" t="str">
        <f>IF(Tab_Data_Flows[[#This Row],[Use_E6]]="Yes",Tab_Data_Flows[[#This Row],[E6_Fraction'[%']]]*Tab_Data_Flows[[#This Row],[E1_value]],"N.A.")</f>
        <v>N.A.</v>
      </c>
      <c r="AL79" s="6" t="str">
        <f>Tab_Data_Flows[[#This Row],[E1_UoM]]</f>
        <v>Mg</v>
      </c>
    </row>
    <row r="80" spans="1:38" x14ac:dyDescent="0.25">
      <c r="A80" s="8">
        <f t="shared" si="4"/>
        <v>79</v>
      </c>
      <c r="B80" s="6" t="str">
        <f>_xlfn.XLOOKUP(C80,Tab_Def_Flows[Flow_Name],Tab_Def_Flows[Flow_ID],,0,)</f>
        <v>F_01_02</v>
      </c>
      <c r="C80" s="138" t="s">
        <v>1234</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No</v>
      </c>
      <c r="I80" s="9" t="str">
        <f>_xlfn.XLOOKUP(C80,Tab_Def_Flows[Flow_Name],Tab_Def_Flows[Use_E6],,0,)</f>
        <v>No</v>
      </c>
      <c r="J80" s="188">
        <v>2103</v>
      </c>
      <c r="K80" s="189">
        <v>1049796.3592352939</v>
      </c>
      <c r="L80" s="6" t="str">
        <f>'0_Configuration'!$C$41</f>
        <v>Mg</v>
      </c>
      <c r="M80" s="13" t="s">
        <v>1263</v>
      </c>
      <c r="N80" s="13">
        <v>2025</v>
      </c>
      <c r="O80" s="13" t="s">
        <v>1260</v>
      </c>
      <c r="P80" s="13" t="s">
        <v>1261</v>
      </c>
      <c r="Q80" s="13" t="s">
        <v>1341</v>
      </c>
      <c r="R80" s="7" t="s">
        <v>6</v>
      </c>
      <c r="S80" s="7"/>
      <c r="T80" s="7"/>
      <c r="U80" s="139">
        <f>_xlfn.XLOOKUP(Tab_Data_Flows[[#This Row],[Flow_Name]],Tab_Def_Flows[Flow_Name],Tab_Def_Flows[Flow_E1_Fraction'[%']],"N.A.",0,1)</f>
        <v>1</v>
      </c>
      <c r="V80" s="12">
        <f t="shared" si="3"/>
        <v>1049796.3592352939</v>
      </c>
      <c r="W80" s="6" t="str">
        <f>Tab_Data_Flows[[#This Row],[UoM_Source]]</f>
        <v>Mg</v>
      </c>
      <c r="X80" s="139">
        <f>_xlfn.XLOOKUP(Tab_Data_Flows[[#This Row],[Flow_Name]],Tab_Def_Flows[Flow_Name],Tab_Def_Flows[Flow_E2_Fraction'[%']],"N.A.",0,1)</f>
        <v>0.22838499184339317</v>
      </c>
      <c r="Y80" s="6">
        <f>IF(D80="Yes",V80*Tab_Data_Flows[[#This Row],[E2_Fraction'[%']]],"N.A.")</f>
        <v>239757.73294117645</v>
      </c>
      <c r="Z80" s="6" t="str">
        <f>Tab_Data_Flows[[#This Row],[E1_UoM]]</f>
        <v>Mg</v>
      </c>
      <c r="AA80" s="139">
        <f>_xlfn.XLOOKUP(Tab_Data_Flows[[#This Row],[Flow_Name]],Tab_Def_Flows[Flow_Name],Tab_Def_Flows[Flow_E3_Fraction'[%']],"N.A.",0,1)</f>
        <v>0.77161500815660689</v>
      </c>
      <c r="AB80" s="6">
        <f>IF(E80="Yes",AA80*Tab_Data_Flows[[#This Row],[E1_value]],"N.A.")</f>
        <v>810038.62629411754</v>
      </c>
      <c r="AC80" s="6" t="str">
        <f>Tab_Data_Flows[[#This Row],[E1_UoM]]</f>
        <v>Mg</v>
      </c>
      <c r="AD80" s="139">
        <f>_xlfn.XLOOKUP(Tab_Data_Flows[[#This Row],[Flow_Name]],Tab_Def_Flows[Flow_Name],Tab_Def_Flows[Flow_E4_Fraction'[%']],"N.A.",0,1)</f>
        <v>0</v>
      </c>
      <c r="AE80" s="6">
        <f>IF(G80="Yes",Tab_Data_Flows[[#This Row],[E4_Fraction'[%']]]*Tab_Data_Flows[[#This Row],[E1_value]],"N.A.")</f>
        <v>0</v>
      </c>
      <c r="AF80" s="6" t="str">
        <f>Tab_Data_Flows[[#This Row],[E1_UoM]]</f>
        <v>Mg</v>
      </c>
      <c r="AG80" s="139">
        <f>_xlfn.XLOOKUP(Tab_Data_Flows[[#This Row],[Flow_Name]],Tab_Def_Flows[Flow_Name],Tab_Def_Flows[Flow_E5_Fraction'[%']],"N.A.",0,1)</f>
        <v>0</v>
      </c>
      <c r="AH80" s="6" t="str">
        <f>IF(H80="Yes",Tab_Data_Flows[[#This Row],[E5_Fraction'[%']]]*Tab_Data_Flows[[#This Row],[E1_value]],"N.A.")</f>
        <v>N.A.</v>
      </c>
      <c r="AI80" s="6" t="str">
        <f>Tab_Data_Flows[[#This Row],[E1_UoM]]</f>
        <v>Mg</v>
      </c>
      <c r="AJ80" s="139">
        <f>_xlfn.XLOOKUP(Tab_Data_Flows[[#This Row],[Flow_Name]],Tab_Def_Flows[Flow_Name],Tab_Def_Flows[Flow_E6_Fraction'[%']],"N.A.",0,1)</f>
        <v>0</v>
      </c>
      <c r="AK80" s="6" t="str">
        <f>IF(Tab_Data_Flows[[#This Row],[Use_E6]]="Yes",Tab_Data_Flows[[#This Row],[E6_Fraction'[%']]]*Tab_Data_Flows[[#This Row],[E1_value]],"N.A.")</f>
        <v>N.A.</v>
      </c>
      <c r="AL80" s="6" t="str">
        <f>Tab_Data_Flows[[#This Row],[E1_UoM]]</f>
        <v>Mg</v>
      </c>
    </row>
    <row r="81" spans="1:38" x14ac:dyDescent="0.25">
      <c r="A81" s="8">
        <f t="shared" si="4"/>
        <v>80</v>
      </c>
      <c r="B81" s="6" t="str">
        <f>_xlfn.XLOOKUP(C81,Tab_Def_Flows[Flow_Name],Tab_Def_Flows[Flow_ID],,0,)</f>
        <v>F_01_02</v>
      </c>
      <c r="C81" s="138" t="s">
        <v>1234</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No</v>
      </c>
      <c r="I81" s="9" t="str">
        <f>_xlfn.XLOOKUP(C81,Tab_Def_Flows[Flow_Name],Tab_Def_Flows[Use_E6],,0,)</f>
        <v>No</v>
      </c>
      <c r="J81" s="188">
        <v>2104</v>
      </c>
      <c r="K81" s="189">
        <v>1131219.6347647058</v>
      </c>
      <c r="L81" s="6" t="str">
        <f>'0_Configuration'!$C$41</f>
        <v>Mg</v>
      </c>
      <c r="M81" s="13" t="s">
        <v>1263</v>
      </c>
      <c r="N81" s="13">
        <v>2025</v>
      </c>
      <c r="O81" s="13" t="s">
        <v>1260</v>
      </c>
      <c r="P81" s="13" t="s">
        <v>1261</v>
      </c>
      <c r="Q81" s="13" t="s">
        <v>1342</v>
      </c>
      <c r="R81" s="7" t="s">
        <v>6</v>
      </c>
      <c r="S81" s="7"/>
      <c r="T81" s="7"/>
      <c r="U81" s="139">
        <f>_xlfn.XLOOKUP(Tab_Data_Flows[[#This Row],[Flow_Name]],Tab_Def_Flows[Flow_Name],Tab_Def_Flows[Flow_E1_Fraction'[%']],"N.A.",0,1)</f>
        <v>1</v>
      </c>
      <c r="V81" s="12">
        <f t="shared" si="3"/>
        <v>1131219.6347647058</v>
      </c>
      <c r="W81" s="6" t="str">
        <f>Tab_Data_Flows[[#This Row],[UoM_Source]]</f>
        <v>Mg</v>
      </c>
      <c r="X81" s="139">
        <f>_xlfn.XLOOKUP(Tab_Data_Flows[[#This Row],[Flow_Name]],Tab_Def_Flows[Flow_Name],Tab_Def_Flows[Flow_E2_Fraction'[%']],"N.A.",0,1)</f>
        <v>0.22838499184339317</v>
      </c>
      <c r="Y81" s="6">
        <f>IF(D81="Yes",V81*Tab_Data_Flows[[#This Row],[E2_Fraction'[%']]],"N.A.")</f>
        <v>258353.58705882353</v>
      </c>
      <c r="Z81" s="6" t="str">
        <f>Tab_Data_Flows[[#This Row],[E1_UoM]]</f>
        <v>Mg</v>
      </c>
      <c r="AA81" s="139">
        <f>_xlfn.XLOOKUP(Tab_Data_Flows[[#This Row],[Flow_Name]],Tab_Def_Flows[Flow_Name],Tab_Def_Flows[Flow_E3_Fraction'[%']],"N.A.",0,1)</f>
        <v>0.77161500815660689</v>
      </c>
      <c r="AB81" s="6">
        <f>IF(E81="Yes",AA81*Tab_Data_Flows[[#This Row],[E1_value]],"N.A.")</f>
        <v>872866.04770588235</v>
      </c>
      <c r="AC81" s="6" t="str">
        <f>Tab_Data_Flows[[#This Row],[E1_UoM]]</f>
        <v>Mg</v>
      </c>
      <c r="AD81" s="139">
        <f>_xlfn.XLOOKUP(Tab_Data_Flows[[#This Row],[Flow_Name]],Tab_Def_Flows[Flow_Name],Tab_Def_Flows[Flow_E4_Fraction'[%']],"N.A.",0,1)</f>
        <v>0</v>
      </c>
      <c r="AE81" s="6">
        <f>IF(G81="Yes",Tab_Data_Flows[[#This Row],[E4_Fraction'[%']]]*Tab_Data_Flows[[#This Row],[E1_value]],"N.A.")</f>
        <v>0</v>
      </c>
      <c r="AF81" s="6" t="str">
        <f>Tab_Data_Flows[[#This Row],[E1_UoM]]</f>
        <v>Mg</v>
      </c>
      <c r="AG81" s="139">
        <f>_xlfn.XLOOKUP(Tab_Data_Flows[[#This Row],[Flow_Name]],Tab_Def_Flows[Flow_Name],Tab_Def_Flows[Flow_E5_Fraction'[%']],"N.A.",0,1)</f>
        <v>0</v>
      </c>
      <c r="AH81" s="6" t="str">
        <f>IF(H81="Yes",Tab_Data_Flows[[#This Row],[E5_Fraction'[%']]]*Tab_Data_Flows[[#This Row],[E1_value]],"N.A.")</f>
        <v>N.A.</v>
      </c>
      <c r="AI81" s="6" t="str">
        <f>Tab_Data_Flows[[#This Row],[E1_UoM]]</f>
        <v>Mg</v>
      </c>
      <c r="AJ81" s="139">
        <f>_xlfn.XLOOKUP(Tab_Data_Flows[[#This Row],[Flow_Name]],Tab_Def_Flows[Flow_Name],Tab_Def_Flows[Flow_E6_Fraction'[%']],"N.A.",0,1)</f>
        <v>0</v>
      </c>
      <c r="AK81" s="6" t="str">
        <f>IF(Tab_Data_Flows[[#This Row],[Use_E6]]="Yes",Tab_Data_Flows[[#This Row],[E6_Fraction'[%']]]*Tab_Data_Flows[[#This Row],[E1_value]],"N.A.")</f>
        <v>N.A.</v>
      </c>
      <c r="AL81" s="6" t="str">
        <f>Tab_Data_Flows[[#This Row],[E1_UoM]]</f>
        <v>Mg</v>
      </c>
    </row>
    <row r="82" spans="1:38" x14ac:dyDescent="0.25">
      <c r="A82" s="8">
        <f t="shared" si="4"/>
        <v>81</v>
      </c>
      <c r="B82" s="6" t="str">
        <f>_xlfn.XLOOKUP(C82,Tab_Def_Flows[Flow_Name],Tab_Def_Flows[Flow_ID],,0,)</f>
        <v>F_01_02</v>
      </c>
      <c r="C82" s="138" t="s">
        <v>1234</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No</v>
      </c>
      <c r="I82" s="9" t="str">
        <f>_xlfn.XLOOKUP(C82,Tab_Def_Flows[Flow_Name],Tab_Def_Flows[Use_E6],,0,)</f>
        <v>No</v>
      </c>
      <c r="J82" s="188">
        <v>2105</v>
      </c>
      <c r="K82" s="189">
        <v>1070323.3493529409</v>
      </c>
      <c r="L82" s="6" t="str">
        <f>'0_Configuration'!$C$41</f>
        <v>Mg</v>
      </c>
      <c r="M82" s="13" t="s">
        <v>1263</v>
      </c>
      <c r="N82" s="13">
        <v>2025</v>
      </c>
      <c r="O82" s="13" t="s">
        <v>1260</v>
      </c>
      <c r="P82" s="13" t="s">
        <v>1261</v>
      </c>
      <c r="Q82" s="13" t="s">
        <v>1343</v>
      </c>
      <c r="R82" s="7" t="s">
        <v>6</v>
      </c>
      <c r="S82" s="7"/>
      <c r="T82" s="7"/>
      <c r="U82" s="139">
        <f>_xlfn.XLOOKUP(Tab_Data_Flows[[#This Row],[Flow_Name]],Tab_Def_Flows[Flow_Name],Tab_Def_Flows[Flow_E1_Fraction'[%']],"N.A.",0,1)</f>
        <v>1</v>
      </c>
      <c r="V82" s="12">
        <f t="shared" si="3"/>
        <v>1070323.3493529409</v>
      </c>
      <c r="W82" s="6" t="str">
        <f>Tab_Data_Flows[[#This Row],[UoM_Source]]</f>
        <v>Mg</v>
      </c>
      <c r="X82" s="139">
        <f>_xlfn.XLOOKUP(Tab_Data_Flows[[#This Row],[Flow_Name]],Tab_Def_Flows[Flow_Name],Tab_Def_Flows[Flow_E2_Fraction'[%']],"N.A.",0,1)</f>
        <v>0.22838499184339317</v>
      </c>
      <c r="Y82" s="6">
        <f>IF(D82="Yes",V82*Tab_Data_Flows[[#This Row],[E2_Fraction'[%']]],"N.A.")</f>
        <v>244445.78941176468</v>
      </c>
      <c r="Z82" s="6" t="str">
        <f>Tab_Data_Flows[[#This Row],[E1_UoM]]</f>
        <v>Mg</v>
      </c>
      <c r="AA82" s="139">
        <f>_xlfn.XLOOKUP(Tab_Data_Flows[[#This Row],[Flow_Name]],Tab_Def_Flows[Flow_Name],Tab_Def_Flows[Flow_E3_Fraction'[%']],"N.A.",0,1)</f>
        <v>0.77161500815660689</v>
      </c>
      <c r="AB82" s="6">
        <f>IF(E82="Yes",AA82*Tab_Data_Flows[[#This Row],[E1_value]],"N.A.")</f>
        <v>825877.55994117633</v>
      </c>
      <c r="AC82" s="6" t="str">
        <f>Tab_Data_Flows[[#This Row],[E1_UoM]]</f>
        <v>Mg</v>
      </c>
      <c r="AD82" s="139">
        <f>_xlfn.XLOOKUP(Tab_Data_Flows[[#This Row],[Flow_Name]],Tab_Def_Flows[Flow_Name],Tab_Def_Flows[Flow_E4_Fraction'[%']],"N.A.",0,1)</f>
        <v>0</v>
      </c>
      <c r="AE82" s="6">
        <f>IF(G82="Yes",Tab_Data_Flows[[#This Row],[E4_Fraction'[%']]]*Tab_Data_Flows[[#This Row],[E1_value]],"N.A.")</f>
        <v>0</v>
      </c>
      <c r="AF82" s="6" t="str">
        <f>Tab_Data_Flows[[#This Row],[E1_UoM]]</f>
        <v>Mg</v>
      </c>
      <c r="AG82" s="139">
        <f>_xlfn.XLOOKUP(Tab_Data_Flows[[#This Row],[Flow_Name]],Tab_Def_Flows[Flow_Name],Tab_Def_Flows[Flow_E5_Fraction'[%']],"N.A.",0,1)</f>
        <v>0</v>
      </c>
      <c r="AH82" s="6" t="str">
        <f>IF(H82="Yes",Tab_Data_Flows[[#This Row],[E5_Fraction'[%']]]*Tab_Data_Flows[[#This Row],[E1_value]],"N.A.")</f>
        <v>N.A.</v>
      </c>
      <c r="AI82" s="6" t="str">
        <f>Tab_Data_Flows[[#This Row],[E1_UoM]]</f>
        <v>Mg</v>
      </c>
      <c r="AJ82" s="139">
        <f>_xlfn.XLOOKUP(Tab_Data_Flows[[#This Row],[Flow_Name]],Tab_Def_Flows[Flow_Name],Tab_Def_Flows[Flow_E6_Fraction'[%']],"N.A.",0,1)</f>
        <v>0</v>
      </c>
      <c r="AK82" s="6" t="str">
        <f>IF(Tab_Data_Flows[[#This Row],[Use_E6]]="Yes",Tab_Data_Flows[[#This Row],[E6_Fraction'[%']]]*Tab_Data_Flows[[#This Row],[E1_value]],"N.A.")</f>
        <v>N.A.</v>
      </c>
      <c r="AL82" s="6" t="str">
        <f>Tab_Data_Flows[[#This Row],[E1_UoM]]</f>
        <v>Mg</v>
      </c>
    </row>
    <row r="83" spans="1:38" x14ac:dyDescent="0.25">
      <c r="A83" s="8">
        <f t="shared" si="4"/>
        <v>82</v>
      </c>
      <c r="B83" s="6" t="str">
        <f>_xlfn.XLOOKUP(C83,Tab_Def_Flows[Flow_Name],Tab_Def_Flows[Flow_ID],,0,)</f>
        <v>F_01_02</v>
      </c>
      <c r="C83" s="138" t="s">
        <v>1234</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No</v>
      </c>
      <c r="I83" s="9" t="str">
        <f>_xlfn.XLOOKUP(C83,Tab_Def_Flows[Flow_Name],Tab_Def_Flows[Use_E6],,0,)</f>
        <v>No</v>
      </c>
      <c r="J83" s="188">
        <v>2106</v>
      </c>
      <c r="K83" s="189">
        <v>1157291.8829803923</v>
      </c>
      <c r="L83" s="6" t="str">
        <f>'0_Configuration'!$C$41</f>
        <v>Mg</v>
      </c>
      <c r="M83" s="13" t="s">
        <v>1263</v>
      </c>
      <c r="N83" s="13">
        <v>2025</v>
      </c>
      <c r="O83" s="13" t="s">
        <v>1260</v>
      </c>
      <c r="P83" s="13" t="s">
        <v>1261</v>
      </c>
      <c r="Q83" s="13" t="s">
        <v>1344</v>
      </c>
      <c r="R83" s="7" t="s">
        <v>6</v>
      </c>
      <c r="S83" s="7"/>
      <c r="T83" s="7"/>
      <c r="U83" s="139">
        <f>_xlfn.XLOOKUP(Tab_Data_Flows[[#This Row],[Flow_Name]],Tab_Def_Flows[Flow_Name],Tab_Def_Flows[Flow_E1_Fraction'[%']],"N.A.",0,1)</f>
        <v>1</v>
      </c>
      <c r="V83" s="12">
        <f t="shared" si="3"/>
        <v>1157291.8829803923</v>
      </c>
      <c r="W83" s="6" t="str">
        <f>Tab_Data_Flows[[#This Row],[UoM_Source]]</f>
        <v>Mg</v>
      </c>
      <c r="X83" s="139">
        <f>_xlfn.XLOOKUP(Tab_Data_Flows[[#This Row],[Flow_Name]],Tab_Def_Flows[Flow_Name],Tab_Def_Flows[Flow_E2_Fraction'[%']],"N.A.",0,1)</f>
        <v>0.22838499184339317</v>
      </c>
      <c r="Y83" s="6">
        <f>IF(D83="Yes",V83*Tab_Data_Flows[[#This Row],[E2_Fraction'[%']]],"N.A.")</f>
        <v>264308.09725490201</v>
      </c>
      <c r="Z83" s="6" t="str">
        <f>Tab_Data_Flows[[#This Row],[E1_UoM]]</f>
        <v>Mg</v>
      </c>
      <c r="AA83" s="139">
        <f>_xlfn.XLOOKUP(Tab_Data_Flows[[#This Row],[Flow_Name]],Tab_Def_Flows[Flow_Name],Tab_Def_Flows[Flow_E3_Fraction'[%']],"N.A.",0,1)</f>
        <v>0.77161500815660689</v>
      </c>
      <c r="AB83" s="6">
        <f>IF(E83="Yes",AA83*Tab_Data_Flows[[#This Row],[E1_value]],"N.A.")</f>
        <v>892983.78572549031</v>
      </c>
      <c r="AC83" s="6" t="str">
        <f>Tab_Data_Flows[[#This Row],[E1_UoM]]</f>
        <v>Mg</v>
      </c>
      <c r="AD83" s="139">
        <f>_xlfn.XLOOKUP(Tab_Data_Flows[[#This Row],[Flow_Name]],Tab_Def_Flows[Flow_Name],Tab_Def_Flows[Flow_E4_Fraction'[%']],"N.A.",0,1)</f>
        <v>0</v>
      </c>
      <c r="AE83" s="6">
        <f>IF(G83="Yes",Tab_Data_Flows[[#This Row],[E4_Fraction'[%']]]*Tab_Data_Flows[[#This Row],[E1_value]],"N.A.")</f>
        <v>0</v>
      </c>
      <c r="AF83" s="6" t="str">
        <f>Tab_Data_Flows[[#This Row],[E1_UoM]]</f>
        <v>Mg</v>
      </c>
      <c r="AG83" s="139">
        <f>_xlfn.XLOOKUP(Tab_Data_Flows[[#This Row],[Flow_Name]],Tab_Def_Flows[Flow_Name],Tab_Def_Flows[Flow_E5_Fraction'[%']],"N.A.",0,1)</f>
        <v>0</v>
      </c>
      <c r="AH83" s="6" t="str">
        <f>IF(H83="Yes",Tab_Data_Flows[[#This Row],[E5_Fraction'[%']]]*Tab_Data_Flows[[#This Row],[E1_value]],"N.A.")</f>
        <v>N.A.</v>
      </c>
      <c r="AI83" s="6" t="str">
        <f>Tab_Data_Flows[[#This Row],[E1_UoM]]</f>
        <v>Mg</v>
      </c>
      <c r="AJ83" s="139">
        <f>_xlfn.XLOOKUP(Tab_Data_Flows[[#This Row],[Flow_Name]],Tab_Def_Flows[Flow_Name],Tab_Def_Flows[Flow_E6_Fraction'[%']],"N.A.",0,1)</f>
        <v>0</v>
      </c>
      <c r="AK83" s="6" t="str">
        <f>IF(Tab_Data_Flows[[#This Row],[Use_E6]]="Yes",Tab_Data_Flows[[#This Row],[E6_Fraction'[%']]]*Tab_Data_Flows[[#This Row],[E1_value]],"N.A.")</f>
        <v>N.A.</v>
      </c>
      <c r="AL83" s="6" t="str">
        <f>Tab_Data_Flows[[#This Row],[E1_UoM]]</f>
        <v>Mg</v>
      </c>
    </row>
    <row r="84" spans="1:38" x14ac:dyDescent="0.25">
      <c r="A84" s="8">
        <f t="shared" si="4"/>
        <v>83</v>
      </c>
      <c r="B84" s="6" t="str">
        <f>_xlfn.XLOOKUP(C84,Tab_Def_Flows[Flow_Name],Tab_Def_Flows[Flow_ID],,0,)</f>
        <v>F_01_02</v>
      </c>
      <c r="C84" s="138" t="s">
        <v>1234</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No</v>
      </c>
      <c r="I84" s="9" t="str">
        <f>_xlfn.XLOOKUP(C84,Tab_Def_Flows[Flow_Name],Tab_Def_Flows[Use_E6],,0,)</f>
        <v>No</v>
      </c>
      <c r="J84" s="188">
        <v>2107</v>
      </c>
      <c r="K84" s="189">
        <v>1070531.0962549022</v>
      </c>
      <c r="L84" s="6" t="str">
        <f>'0_Configuration'!$C$41</f>
        <v>Mg</v>
      </c>
      <c r="M84" s="13" t="s">
        <v>1263</v>
      </c>
      <c r="N84" s="13">
        <v>2025</v>
      </c>
      <c r="O84" s="13" t="s">
        <v>1260</v>
      </c>
      <c r="P84" s="13" t="s">
        <v>1261</v>
      </c>
      <c r="Q84" s="13" t="s">
        <v>1345</v>
      </c>
      <c r="R84" s="7" t="s">
        <v>6</v>
      </c>
      <c r="S84" s="7"/>
      <c r="T84" s="7"/>
      <c r="U84" s="139">
        <f>_xlfn.XLOOKUP(Tab_Data_Flows[[#This Row],[Flow_Name]],Tab_Def_Flows[Flow_Name],Tab_Def_Flows[Flow_E1_Fraction'[%']],"N.A.",0,1)</f>
        <v>1</v>
      </c>
      <c r="V84" s="12">
        <f t="shared" si="3"/>
        <v>1070531.0962549022</v>
      </c>
      <c r="W84" s="6" t="str">
        <f>Tab_Data_Flows[[#This Row],[UoM_Source]]</f>
        <v>Mg</v>
      </c>
      <c r="X84" s="139">
        <f>_xlfn.XLOOKUP(Tab_Data_Flows[[#This Row],[Flow_Name]],Tab_Def_Flows[Flow_Name],Tab_Def_Flows[Flow_E2_Fraction'[%']],"N.A.",0,1)</f>
        <v>0.22838499184339317</v>
      </c>
      <c r="Y84" s="6">
        <f>IF(D84="Yes",V84*Tab_Data_Flows[[#This Row],[E2_Fraction'[%']]],"N.A.")</f>
        <v>244493.23568627459</v>
      </c>
      <c r="Z84" s="6" t="str">
        <f>Tab_Data_Flows[[#This Row],[E1_UoM]]</f>
        <v>Mg</v>
      </c>
      <c r="AA84" s="139">
        <f>_xlfn.XLOOKUP(Tab_Data_Flows[[#This Row],[Flow_Name]],Tab_Def_Flows[Flow_Name],Tab_Def_Flows[Flow_E3_Fraction'[%']],"N.A.",0,1)</f>
        <v>0.77161500815660689</v>
      </c>
      <c r="AB84" s="6">
        <f>IF(E84="Yes",AA84*Tab_Data_Flows[[#This Row],[E1_value]],"N.A.")</f>
        <v>826037.86056862772</v>
      </c>
      <c r="AC84" s="6" t="str">
        <f>Tab_Data_Flows[[#This Row],[E1_UoM]]</f>
        <v>Mg</v>
      </c>
      <c r="AD84" s="139">
        <f>_xlfn.XLOOKUP(Tab_Data_Flows[[#This Row],[Flow_Name]],Tab_Def_Flows[Flow_Name],Tab_Def_Flows[Flow_E4_Fraction'[%']],"N.A.",0,1)</f>
        <v>0</v>
      </c>
      <c r="AE84" s="6">
        <f>IF(G84="Yes",Tab_Data_Flows[[#This Row],[E4_Fraction'[%']]]*Tab_Data_Flows[[#This Row],[E1_value]],"N.A.")</f>
        <v>0</v>
      </c>
      <c r="AF84" s="6" t="str">
        <f>Tab_Data_Flows[[#This Row],[E1_UoM]]</f>
        <v>Mg</v>
      </c>
      <c r="AG84" s="139">
        <f>_xlfn.XLOOKUP(Tab_Data_Flows[[#This Row],[Flow_Name]],Tab_Def_Flows[Flow_Name],Tab_Def_Flows[Flow_E5_Fraction'[%']],"N.A.",0,1)</f>
        <v>0</v>
      </c>
      <c r="AH84" s="6" t="str">
        <f>IF(H84="Yes",Tab_Data_Flows[[#This Row],[E5_Fraction'[%']]]*Tab_Data_Flows[[#This Row],[E1_value]],"N.A.")</f>
        <v>N.A.</v>
      </c>
      <c r="AI84" s="6" t="str">
        <f>Tab_Data_Flows[[#This Row],[E1_UoM]]</f>
        <v>Mg</v>
      </c>
      <c r="AJ84" s="139">
        <f>_xlfn.XLOOKUP(Tab_Data_Flows[[#This Row],[Flow_Name]],Tab_Def_Flows[Flow_Name],Tab_Def_Flows[Flow_E6_Fraction'[%']],"N.A.",0,1)</f>
        <v>0</v>
      </c>
      <c r="AK84" s="6" t="str">
        <f>IF(Tab_Data_Flows[[#This Row],[Use_E6]]="Yes",Tab_Data_Flows[[#This Row],[E6_Fraction'[%']]]*Tab_Data_Flows[[#This Row],[E1_value]],"N.A.")</f>
        <v>N.A.</v>
      </c>
      <c r="AL84" s="6" t="str">
        <f>Tab_Data_Flows[[#This Row],[E1_UoM]]</f>
        <v>Mg</v>
      </c>
    </row>
    <row r="85" spans="1:38" x14ac:dyDescent="0.25">
      <c r="A85" s="8">
        <f t="shared" si="4"/>
        <v>84</v>
      </c>
      <c r="B85" s="6" t="str">
        <f>_xlfn.XLOOKUP(C85,Tab_Def_Flows[Flow_Name],Tab_Def_Flows[Flow_ID],,0,)</f>
        <v>F_01_02</v>
      </c>
      <c r="C85" s="138" t="s">
        <v>1234</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No</v>
      </c>
      <c r="I85" s="9" t="str">
        <f>_xlfn.XLOOKUP(C85,Tab_Def_Flows[Flow_Name],Tab_Def_Flows[Use_E6],,0,)</f>
        <v>No</v>
      </c>
      <c r="J85" s="188">
        <v>2108</v>
      </c>
      <c r="K85" s="189">
        <v>1099038.5170196078</v>
      </c>
      <c r="L85" s="6" t="str">
        <f>'0_Configuration'!$C$41</f>
        <v>Mg</v>
      </c>
      <c r="M85" s="13" t="s">
        <v>1263</v>
      </c>
      <c r="N85" s="13">
        <v>2025</v>
      </c>
      <c r="O85" s="13" t="s">
        <v>1260</v>
      </c>
      <c r="P85" s="13" t="s">
        <v>1261</v>
      </c>
      <c r="Q85" s="13" t="s">
        <v>1346</v>
      </c>
      <c r="R85" s="7" t="s">
        <v>6</v>
      </c>
      <c r="S85" s="7"/>
      <c r="T85" s="7"/>
      <c r="U85" s="139">
        <f>_xlfn.XLOOKUP(Tab_Data_Flows[[#This Row],[Flow_Name]],Tab_Def_Flows[Flow_Name],Tab_Def_Flows[Flow_E1_Fraction'[%']],"N.A.",0,1)</f>
        <v>1</v>
      </c>
      <c r="V85" s="12">
        <f t="shared" si="3"/>
        <v>1099038.5170196078</v>
      </c>
      <c r="W85" s="6" t="str">
        <f>Tab_Data_Flows[[#This Row],[UoM_Source]]</f>
        <v>Mg</v>
      </c>
      <c r="X85" s="139">
        <f>_xlfn.XLOOKUP(Tab_Data_Flows[[#This Row],[Flow_Name]],Tab_Def_Flows[Flow_Name],Tab_Def_Flows[Flow_E2_Fraction'[%']],"N.A.",0,1)</f>
        <v>0.22838499184339317</v>
      </c>
      <c r="Y85" s="6">
        <f>IF(D85="Yes",V85*Tab_Data_Flows[[#This Row],[E2_Fraction'[%']]],"N.A.")</f>
        <v>251003.90274509805</v>
      </c>
      <c r="Z85" s="6" t="str">
        <f>Tab_Data_Flows[[#This Row],[E1_UoM]]</f>
        <v>Mg</v>
      </c>
      <c r="AA85" s="139">
        <f>_xlfn.XLOOKUP(Tab_Data_Flows[[#This Row],[Flow_Name]],Tab_Def_Flows[Flow_Name],Tab_Def_Flows[Flow_E3_Fraction'[%']],"N.A.",0,1)</f>
        <v>0.77161500815660689</v>
      </c>
      <c r="AB85" s="6">
        <f>IF(E85="Yes",AA85*Tab_Data_Flows[[#This Row],[E1_value]],"N.A.")</f>
        <v>848034.61427450983</v>
      </c>
      <c r="AC85" s="6" t="str">
        <f>Tab_Data_Flows[[#This Row],[E1_UoM]]</f>
        <v>Mg</v>
      </c>
      <c r="AD85" s="139">
        <f>_xlfn.XLOOKUP(Tab_Data_Flows[[#This Row],[Flow_Name]],Tab_Def_Flows[Flow_Name],Tab_Def_Flows[Flow_E4_Fraction'[%']],"N.A.",0,1)</f>
        <v>0</v>
      </c>
      <c r="AE85" s="6">
        <f>IF(G85="Yes",Tab_Data_Flows[[#This Row],[E4_Fraction'[%']]]*Tab_Data_Flows[[#This Row],[E1_value]],"N.A.")</f>
        <v>0</v>
      </c>
      <c r="AF85" s="6" t="str">
        <f>Tab_Data_Flows[[#This Row],[E1_UoM]]</f>
        <v>Mg</v>
      </c>
      <c r="AG85" s="139">
        <f>_xlfn.XLOOKUP(Tab_Data_Flows[[#This Row],[Flow_Name]],Tab_Def_Flows[Flow_Name],Tab_Def_Flows[Flow_E5_Fraction'[%']],"N.A.",0,1)</f>
        <v>0</v>
      </c>
      <c r="AH85" s="6" t="str">
        <f>IF(H85="Yes",Tab_Data_Flows[[#This Row],[E5_Fraction'[%']]]*Tab_Data_Flows[[#This Row],[E1_value]],"N.A.")</f>
        <v>N.A.</v>
      </c>
      <c r="AI85" s="6" t="str">
        <f>Tab_Data_Flows[[#This Row],[E1_UoM]]</f>
        <v>Mg</v>
      </c>
      <c r="AJ85" s="139">
        <f>_xlfn.XLOOKUP(Tab_Data_Flows[[#This Row],[Flow_Name]],Tab_Def_Flows[Flow_Name],Tab_Def_Flows[Flow_E6_Fraction'[%']],"N.A.",0,1)</f>
        <v>0</v>
      </c>
      <c r="AK85" s="6" t="str">
        <f>IF(Tab_Data_Flows[[#This Row],[Use_E6]]="Yes",Tab_Data_Flows[[#This Row],[E6_Fraction'[%']]]*Tab_Data_Flows[[#This Row],[E1_value]],"N.A.")</f>
        <v>N.A.</v>
      </c>
      <c r="AL85" s="6" t="str">
        <f>Tab_Data_Flows[[#This Row],[E1_UoM]]</f>
        <v>Mg</v>
      </c>
    </row>
    <row r="86" spans="1:38" x14ac:dyDescent="0.25">
      <c r="A86" s="8">
        <f t="shared" si="4"/>
        <v>85</v>
      </c>
      <c r="B86" s="6" t="str">
        <f>_xlfn.XLOOKUP(C86,Tab_Def_Flows[Flow_Name],Tab_Def_Flows[Flow_ID],,0,)</f>
        <v>F_01_02</v>
      </c>
      <c r="C86" s="138" t="s">
        <v>1234</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No</v>
      </c>
      <c r="I86" s="9" t="str">
        <f>_xlfn.XLOOKUP(C86,Tab_Def_Flows[Flow_Name],Tab_Def_Flows[Use_E6],,0,)</f>
        <v>No</v>
      </c>
      <c r="J86" s="188">
        <v>2109</v>
      </c>
      <c r="K86" s="189">
        <v>1019357.6399019607</v>
      </c>
      <c r="L86" s="6" t="str">
        <f>'0_Configuration'!$C$41</f>
        <v>Mg</v>
      </c>
      <c r="M86" s="13" t="s">
        <v>1263</v>
      </c>
      <c r="N86" s="13">
        <v>2025</v>
      </c>
      <c r="O86" s="13" t="s">
        <v>1260</v>
      </c>
      <c r="P86" s="13" t="s">
        <v>1261</v>
      </c>
      <c r="Q86" s="13" t="s">
        <v>1347</v>
      </c>
      <c r="R86" s="7" t="s">
        <v>6</v>
      </c>
      <c r="S86" s="7"/>
      <c r="T86" s="7"/>
      <c r="U86" s="139">
        <f>_xlfn.XLOOKUP(Tab_Data_Flows[[#This Row],[Flow_Name]],Tab_Def_Flows[Flow_Name],Tab_Def_Flows[Flow_E1_Fraction'[%']],"N.A.",0,1)</f>
        <v>1</v>
      </c>
      <c r="V86" s="12">
        <f t="shared" si="3"/>
        <v>1019357.6399019607</v>
      </c>
      <c r="W86" s="6" t="str">
        <f>Tab_Data_Flows[[#This Row],[UoM_Source]]</f>
        <v>Mg</v>
      </c>
      <c r="X86" s="139">
        <f>_xlfn.XLOOKUP(Tab_Data_Flows[[#This Row],[Flow_Name]],Tab_Def_Flows[Flow_Name],Tab_Def_Flows[Flow_E2_Fraction'[%']],"N.A.",0,1)</f>
        <v>0.22838499184339317</v>
      </c>
      <c r="Y86" s="6">
        <f>IF(D86="Yes",V86*Tab_Data_Flows[[#This Row],[E2_Fraction'[%']]],"N.A.")</f>
        <v>232805.98627450981</v>
      </c>
      <c r="Z86" s="6" t="str">
        <f>Tab_Data_Flows[[#This Row],[E1_UoM]]</f>
        <v>Mg</v>
      </c>
      <c r="AA86" s="139">
        <f>_xlfn.XLOOKUP(Tab_Data_Flows[[#This Row],[Flow_Name]],Tab_Def_Flows[Flow_Name],Tab_Def_Flows[Flow_E3_Fraction'[%']],"N.A.",0,1)</f>
        <v>0.77161500815660689</v>
      </c>
      <c r="AB86" s="6">
        <f>IF(E86="Yes",AA86*Tab_Data_Flows[[#This Row],[E1_value]],"N.A.")</f>
        <v>786551.65362745093</v>
      </c>
      <c r="AC86" s="6" t="str">
        <f>Tab_Data_Flows[[#This Row],[E1_UoM]]</f>
        <v>Mg</v>
      </c>
      <c r="AD86" s="139">
        <f>_xlfn.XLOOKUP(Tab_Data_Flows[[#This Row],[Flow_Name]],Tab_Def_Flows[Flow_Name],Tab_Def_Flows[Flow_E4_Fraction'[%']],"N.A.",0,1)</f>
        <v>0</v>
      </c>
      <c r="AE86" s="6">
        <f>IF(G86="Yes",Tab_Data_Flows[[#This Row],[E4_Fraction'[%']]]*Tab_Data_Flows[[#This Row],[E1_value]],"N.A.")</f>
        <v>0</v>
      </c>
      <c r="AF86" s="6" t="str">
        <f>Tab_Data_Flows[[#This Row],[E1_UoM]]</f>
        <v>Mg</v>
      </c>
      <c r="AG86" s="139">
        <f>_xlfn.XLOOKUP(Tab_Data_Flows[[#This Row],[Flow_Name]],Tab_Def_Flows[Flow_Name],Tab_Def_Flows[Flow_E5_Fraction'[%']],"N.A.",0,1)</f>
        <v>0</v>
      </c>
      <c r="AH86" s="6" t="str">
        <f>IF(H86="Yes",Tab_Data_Flows[[#This Row],[E5_Fraction'[%']]]*Tab_Data_Flows[[#This Row],[E1_value]],"N.A.")</f>
        <v>N.A.</v>
      </c>
      <c r="AI86" s="6" t="str">
        <f>Tab_Data_Flows[[#This Row],[E1_UoM]]</f>
        <v>Mg</v>
      </c>
      <c r="AJ86" s="139">
        <f>_xlfn.XLOOKUP(Tab_Data_Flows[[#This Row],[Flow_Name]],Tab_Def_Flows[Flow_Name],Tab_Def_Flows[Flow_E6_Fraction'[%']],"N.A.",0,1)</f>
        <v>0</v>
      </c>
      <c r="AK86" s="6" t="str">
        <f>IF(Tab_Data_Flows[[#This Row],[Use_E6]]="Yes",Tab_Data_Flows[[#This Row],[E6_Fraction'[%']]]*Tab_Data_Flows[[#This Row],[E1_value]],"N.A.")</f>
        <v>N.A.</v>
      </c>
      <c r="AL86" s="6" t="str">
        <f>Tab_Data_Flows[[#This Row],[E1_UoM]]</f>
        <v>Mg</v>
      </c>
    </row>
    <row r="87" spans="1:38" x14ac:dyDescent="0.25">
      <c r="A87" s="8">
        <f t="shared" si="4"/>
        <v>86</v>
      </c>
      <c r="B87" s="6" t="str">
        <f>_xlfn.XLOOKUP(C87,Tab_Def_Flows[Flow_Name],Tab_Def_Flows[Flow_ID],,0,)</f>
        <v>F_01_02</v>
      </c>
      <c r="C87" s="138" t="s">
        <v>1234</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No</v>
      </c>
      <c r="I87" s="9" t="str">
        <f>_xlfn.XLOOKUP(C87,Tab_Def_Flows[Flow_Name],Tab_Def_Flows[Use_E6],,0,)</f>
        <v>No</v>
      </c>
      <c r="J87" s="188">
        <v>2110</v>
      </c>
      <c r="K87" s="189">
        <v>1088310.4641176469</v>
      </c>
      <c r="L87" s="6" t="str">
        <f>'0_Configuration'!$C$41</f>
        <v>Mg</v>
      </c>
      <c r="M87" s="13" t="s">
        <v>1263</v>
      </c>
      <c r="N87" s="13">
        <v>2025</v>
      </c>
      <c r="O87" s="13" t="s">
        <v>1260</v>
      </c>
      <c r="P87" s="13" t="s">
        <v>1261</v>
      </c>
      <c r="Q87" s="13" t="s">
        <v>1348</v>
      </c>
      <c r="R87" s="7" t="s">
        <v>6</v>
      </c>
      <c r="S87" s="7"/>
      <c r="T87" s="7"/>
      <c r="U87" s="139">
        <f>_xlfn.XLOOKUP(Tab_Data_Flows[[#This Row],[Flow_Name]],Tab_Def_Flows[Flow_Name],Tab_Def_Flows[Flow_E1_Fraction'[%']],"N.A.",0,1)</f>
        <v>1</v>
      </c>
      <c r="V87" s="12">
        <f t="shared" si="3"/>
        <v>1088310.4641176469</v>
      </c>
      <c r="W87" s="6" t="str">
        <f>Tab_Data_Flows[[#This Row],[UoM_Source]]</f>
        <v>Mg</v>
      </c>
      <c r="X87" s="139">
        <f>_xlfn.XLOOKUP(Tab_Data_Flows[[#This Row],[Flow_Name]],Tab_Def_Flows[Flow_Name],Tab_Def_Flows[Flow_E2_Fraction'[%']],"N.A.",0,1)</f>
        <v>0.22838499184339317</v>
      </c>
      <c r="Y87" s="6">
        <f>IF(D87="Yes",V87*Tab_Data_Flows[[#This Row],[E2_Fraction'[%']]],"N.A.")</f>
        <v>248553.77647058823</v>
      </c>
      <c r="Z87" s="6" t="str">
        <f>Tab_Data_Flows[[#This Row],[E1_UoM]]</f>
        <v>Mg</v>
      </c>
      <c r="AA87" s="139">
        <f>_xlfn.XLOOKUP(Tab_Data_Flows[[#This Row],[Flow_Name]],Tab_Def_Flows[Flow_Name],Tab_Def_Flows[Flow_E3_Fraction'[%']],"N.A.",0,1)</f>
        <v>0.77161500815660689</v>
      </c>
      <c r="AB87" s="6">
        <f>IF(E87="Yes",AA87*Tab_Data_Flows[[#This Row],[E1_value]],"N.A.")</f>
        <v>839756.68764705874</v>
      </c>
      <c r="AC87" s="6" t="str">
        <f>Tab_Data_Flows[[#This Row],[E1_UoM]]</f>
        <v>Mg</v>
      </c>
      <c r="AD87" s="139">
        <f>_xlfn.XLOOKUP(Tab_Data_Flows[[#This Row],[Flow_Name]],Tab_Def_Flows[Flow_Name],Tab_Def_Flows[Flow_E4_Fraction'[%']],"N.A.",0,1)</f>
        <v>0</v>
      </c>
      <c r="AE87" s="6">
        <f>IF(G87="Yes",Tab_Data_Flows[[#This Row],[E4_Fraction'[%']]]*Tab_Data_Flows[[#This Row],[E1_value]],"N.A.")</f>
        <v>0</v>
      </c>
      <c r="AF87" s="6" t="str">
        <f>Tab_Data_Flows[[#This Row],[E1_UoM]]</f>
        <v>Mg</v>
      </c>
      <c r="AG87" s="139">
        <f>_xlfn.XLOOKUP(Tab_Data_Flows[[#This Row],[Flow_Name]],Tab_Def_Flows[Flow_Name],Tab_Def_Flows[Flow_E5_Fraction'[%']],"N.A.",0,1)</f>
        <v>0</v>
      </c>
      <c r="AH87" s="6" t="str">
        <f>IF(H87="Yes",Tab_Data_Flows[[#This Row],[E5_Fraction'[%']]]*Tab_Data_Flows[[#This Row],[E1_value]],"N.A.")</f>
        <v>N.A.</v>
      </c>
      <c r="AI87" s="6" t="str">
        <f>Tab_Data_Flows[[#This Row],[E1_UoM]]</f>
        <v>Mg</v>
      </c>
      <c r="AJ87" s="139">
        <f>_xlfn.XLOOKUP(Tab_Data_Flows[[#This Row],[Flow_Name]],Tab_Def_Flows[Flow_Name],Tab_Def_Flows[Flow_E6_Fraction'[%']],"N.A.",0,1)</f>
        <v>0</v>
      </c>
      <c r="AK87" s="6" t="str">
        <f>IF(Tab_Data_Flows[[#This Row],[Use_E6]]="Yes",Tab_Data_Flows[[#This Row],[E6_Fraction'[%']]]*Tab_Data_Flows[[#This Row],[E1_value]],"N.A.")</f>
        <v>N.A.</v>
      </c>
      <c r="AL87" s="6" t="str">
        <f>Tab_Data_Flows[[#This Row],[E1_UoM]]</f>
        <v>Mg</v>
      </c>
    </row>
    <row r="88" spans="1:38" x14ac:dyDescent="0.25">
      <c r="A88" s="8">
        <f t="shared" si="4"/>
        <v>87</v>
      </c>
      <c r="B88" s="6" t="str">
        <f>_xlfn.XLOOKUP(C88,Tab_Def_Flows[Flow_Name],Tab_Def_Flows[Flow_ID],,0,)</f>
        <v>F_01_02</v>
      </c>
      <c r="C88" s="138" t="s">
        <v>1234</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No</v>
      </c>
      <c r="I88" s="9" t="str">
        <f>_xlfn.XLOOKUP(C88,Tab_Def_Flows[Flow_Name],Tab_Def_Flows[Use_E6],,0,)</f>
        <v>No</v>
      </c>
      <c r="J88" s="188">
        <v>2111</v>
      </c>
      <c r="K88" s="189">
        <v>1028161.1252156865</v>
      </c>
      <c r="L88" s="6" t="str">
        <f>'0_Configuration'!$C$41</f>
        <v>Mg</v>
      </c>
      <c r="M88" s="13" t="s">
        <v>1263</v>
      </c>
      <c r="N88" s="13">
        <v>2025</v>
      </c>
      <c r="O88" s="13" t="s">
        <v>1260</v>
      </c>
      <c r="P88" s="13" t="s">
        <v>1261</v>
      </c>
      <c r="Q88" s="13" t="s">
        <v>1349</v>
      </c>
      <c r="R88" s="7" t="s">
        <v>6</v>
      </c>
      <c r="S88" s="7"/>
      <c r="T88" s="7"/>
      <c r="U88" s="139">
        <f>_xlfn.XLOOKUP(Tab_Data_Flows[[#This Row],[Flow_Name]],Tab_Def_Flows[Flow_Name],Tab_Def_Flows[Flow_E1_Fraction'[%']],"N.A.",0,1)</f>
        <v>1</v>
      </c>
      <c r="V88" s="12">
        <f t="shared" si="3"/>
        <v>1028161.1252156865</v>
      </c>
      <c r="W88" s="6" t="str">
        <f>Tab_Data_Flows[[#This Row],[UoM_Source]]</f>
        <v>Mg</v>
      </c>
      <c r="X88" s="139">
        <f>_xlfn.XLOOKUP(Tab_Data_Flows[[#This Row],[Flow_Name]],Tab_Def_Flows[Flow_Name],Tab_Def_Flows[Flow_E2_Fraction'[%']],"N.A.",0,1)</f>
        <v>0.22838499184339317</v>
      </c>
      <c r="Y88" s="6">
        <f>IF(D88="Yes",V88*Tab_Data_Flows[[#This Row],[E2_Fraction'[%']]],"N.A.")</f>
        <v>234816.57019607851</v>
      </c>
      <c r="Z88" s="6" t="str">
        <f>Tab_Data_Flows[[#This Row],[E1_UoM]]</f>
        <v>Mg</v>
      </c>
      <c r="AA88" s="139">
        <f>_xlfn.XLOOKUP(Tab_Data_Flows[[#This Row],[Flow_Name]],Tab_Def_Flows[Flow_Name],Tab_Def_Flows[Flow_E3_Fraction'[%']],"N.A.",0,1)</f>
        <v>0.77161500815660689</v>
      </c>
      <c r="AB88" s="6">
        <f>IF(E88="Yes",AA88*Tab_Data_Flows[[#This Row],[E1_value]],"N.A.")</f>
        <v>793344.555019608</v>
      </c>
      <c r="AC88" s="6" t="str">
        <f>Tab_Data_Flows[[#This Row],[E1_UoM]]</f>
        <v>Mg</v>
      </c>
      <c r="AD88" s="139">
        <f>_xlfn.XLOOKUP(Tab_Data_Flows[[#This Row],[Flow_Name]],Tab_Def_Flows[Flow_Name],Tab_Def_Flows[Flow_E4_Fraction'[%']],"N.A.",0,1)</f>
        <v>0</v>
      </c>
      <c r="AE88" s="6">
        <f>IF(G88="Yes",Tab_Data_Flows[[#This Row],[E4_Fraction'[%']]]*Tab_Data_Flows[[#This Row],[E1_value]],"N.A.")</f>
        <v>0</v>
      </c>
      <c r="AF88" s="6" t="str">
        <f>Tab_Data_Flows[[#This Row],[E1_UoM]]</f>
        <v>Mg</v>
      </c>
      <c r="AG88" s="139">
        <f>_xlfn.XLOOKUP(Tab_Data_Flows[[#This Row],[Flow_Name]],Tab_Def_Flows[Flow_Name],Tab_Def_Flows[Flow_E5_Fraction'[%']],"N.A.",0,1)</f>
        <v>0</v>
      </c>
      <c r="AH88" s="6" t="str">
        <f>IF(H88="Yes",Tab_Data_Flows[[#This Row],[E5_Fraction'[%']]]*Tab_Data_Flows[[#This Row],[E1_value]],"N.A.")</f>
        <v>N.A.</v>
      </c>
      <c r="AI88" s="6" t="str">
        <f>Tab_Data_Flows[[#This Row],[E1_UoM]]</f>
        <v>Mg</v>
      </c>
      <c r="AJ88" s="139">
        <f>_xlfn.XLOOKUP(Tab_Data_Flows[[#This Row],[Flow_Name]],Tab_Def_Flows[Flow_Name],Tab_Def_Flows[Flow_E6_Fraction'[%']],"N.A.",0,1)</f>
        <v>0</v>
      </c>
      <c r="AK88" s="6" t="str">
        <f>IF(Tab_Data_Flows[[#This Row],[Use_E6]]="Yes",Tab_Data_Flows[[#This Row],[E6_Fraction'[%']]]*Tab_Data_Flows[[#This Row],[E1_value]],"N.A.")</f>
        <v>N.A.</v>
      </c>
      <c r="AL88" s="6" t="str">
        <f>Tab_Data_Flows[[#This Row],[E1_UoM]]</f>
        <v>Mg</v>
      </c>
    </row>
    <row r="89" spans="1:38" x14ac:dyDescent="0.25">
      <c r="A89" s="8">
        <f t="shared" si="4"/>
        <v>88</v>
      </c>
      <c r="B89" s="6" t="str">
        <f>_xlfn.XLOOKUP(C89,Tab_Def_Flows[Flow_Name],Tab_Def_Flows[Flow_ID],,0,)</f>
        <v>F_01_02</v>
      </c>
      <c r="C89" s="138" t="s">
        <v>1234</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No</v>
      </c>
      <c r="I89" s="9" t="str">
        <f>_xlfn.XLOOKUP(C89,Tab_Def_Flows[Flow_Name],Tab_Def_Flows[Use_E6],,0,)</f>
        <v>No</v>
      </c>
      <c r="J89" s="188">
        <v>2112</v>
      </c>
      <c r="K89" s="189">
        <v>1082387.501862745</v>
      </c>
      <c r="L89" s="6" t="str">
        <f>'0_Configuration'!$C$41</f>
        <v>Mg</v>
      </c>
      <c r="M89" s="13" t="s">
        <v>1263</v>
      </c>
      <c r="N89" s="13">
        <v>2025</v>
      </c>
      <c r="O89" s="13" t="s">
        <v>1260</v>
      </c>
      <c r="P89" s="13" t="s">
        <v>1261</v>
      </c>
      <c r="Q89" s="13" t="s">
        <v>1350</v>
      </c>
      <c r="R89" s="7" t="s">
        <v>6</v>
      </c>
      <c r="S89" s="14"/>
      <c r="T89" s="7"/>
      <c r="U89" s="139">
        <f>_xlfn.XLOOKUP(Tab_Data_Flows[[#This Row],[Flow_Name]],Tab_Def_Flows[Flow_Name],Tab_Def_Flows[Flow_E1_Fraction'[%']],"N.A.",0,1)</f>
        <v>1</v>
      </c>
      <c r="V89" s="12">
        <f t="shared" si="3"/>
        <v>1082387.501862745</v>
      </c>
      <c r="W89" s="6" t="str">
        <f>Tab_Data_Flows[[#This Row],[UoM_Source]]</f>
        <v>Mg</v>
      </c>
      <c r="X89" s="139">
        <f>_xlfn.XLOOKUP(Tab_Data_Flows[[#This Row],[Flow_Name]],Tab_Def_Flows[Flow_Name],Tab_Def_Flows[Flow_E2_Fraction'[%']],"N.A.",0,1)</f>
        <v>0.22838499184339317</v>
      </c>
      <c r="Y89" s="6">
        <f>IF(D89="Yes",V89*Tab_Data_Flows[[#This Row],[E2_Fraction'[%']]],"N.A.")</f>
        <v>247201.06078431374</v>
      </c>
      <c r="Z89" s="6" t="str">
        <f>Tab_Data_Flows[[#This Row],[E1_UoM]]</f>
        <v>Mg</v>
      </c>
      <c r="AA89" s="139">
        <f>_xlfn.XLOOKUP(Tab_Data_Flows[[#This Row],[Flow_Name]],Tab_Def_Flows[Flow_Name],Tab_Def_Flows[Flow_E3_Fraction'[%']],"N.A.",0,1)</f>
        <v>0.77161500815660689</v>
      </c>
      <c r="AB89" s="6">
        <f>IF(E89="Yes",AA89*Tab_Data_Flows[[#This Row],[E1_value]],"N.A.")</f>
        <v>835186.44107843132</v>
      </c>
      <c r="AC89" s="6" t="str">
        <f>Tab_Data_Flows[[#This Row],[E1_UoM]]</f>
        <v>Mg</v>
      </c>
      <c r="AD89" s="139">
        <f>_xlfn.XLOOKUP(Tab_Data_Flows[[#This Row],[Flow_Name]],Tab_Def_Flows[Flow_Name],Tab_Def_Flows[Flow_E4_Fraction'[%']],"N.A.",0,1)</f>
        <v>0</v>
      </c>
      <c r="AE89" s="6">
        <f>IF(G89="Yes",Tab_Data_Flows[[#This Row],[E4_Fraction'[%']]]*Tab_Data_Flows[[#This Row],[E1_value]],"N.A.")</f>
        <v>0</v>
      </c>
      <c r="AF89" s="6" t="str">
        <f>Tab_Data_Flows[[#This Row],[E1_UoM]]</f>
        <v>Mg</v>
      </c>
      <c r="AG89" s="139">
        <f>_xlfn.XLOOKUP(Tab_Data_Flows[[#This Row],[Flow_Name]],Tab_Def_Flows[Flow_Name],Tab_Def_Flows[Flow_E5_Fraction'[%']],"N.A.",0,1)</f>
        <v>0</v>
      </c>
      <c r="AH89" s="6" t="str">
        <f>IF(H89="Yes",Tab_Data_Flows[[#This Row],[E5_Fraction'[%']]]*Tab_Data_Flows[[#This Row],[E1_value]],"N.A.")</f>
        <v>N.A.</v>
      </c>
      <c r="AI89" s="6" t="str">
        <f>Tab_Data_Flows[[#This Row],[E1_UoM]]</f>
        <v>Mg</v>
      </c>
      <c r="AJ89" s="139">
        <f>_xlfn.XLOOKUP(Tab_Data_Flows[[#This Row],[Flow_Name]],Tab_Def_Flows[Flow_Name],Tab_Def_Flows[Flow_E6_Fraction'[%']],"N.A.",0,1)</f>
        <v>0</v>
      </c>
      <c r="AK89" s="6" t="str">
        <f>IF(Tab_Data_Flows[[#This Row],[Use_E6]]="Yes",Tab_Data_Flows[[#This Row],[E6_Fraction'[%']]]*Tab_Data_Flows[[#This Row],[E1_value]],"N.A.")</f>
        <v>N.A.</v>
      </c>
      <c r="AL89" s="6" t="str">
        <f>Tab_Data_Flows[[#This Row],[E1_UoM]]</f>
        <v>Mg</v>
      </c>
    </row>
    <row r="90" spans="1:38" x14ac:dyDescent="0.25">
      <c r="A90" s="8">
        <f t="shared" si="4"/>
        <v>89</v>
      </c>
      <c r="B90" s="6" t="str">
        <f>_xlfn.XLOOKUP(C90,Tab_Def_Flows[Flow_Name],Tab_Def_Flows[Flow_ID],,0,)</f>
        <v>F_01_02</v>
      </c>
      <c r="C90" s="138" t="s">
        <v>1234</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No</v>
      </c>
      <c r="I90" s="9" t="str">
        <f>_xlfn.XLOOKUP(C90,Tab_Def_Flows[Flow_Name],Tab_Def_Flows[Use_E6],,0,)</f>
        <v>No</v>
      </c>
      <c r="J90" s="188">
        <v>2113</v>
      </c>
      <c r="K90" s="189">
        <v>1157916.7222941176</v>
      </c>
      <c r="L90" s="6" t="str">
        <f>'0_Configuration'!$C$41</f>
        <v>Mg</v>
      </c>
      <c r="M90" s="13" t="s">
        <v>1263</v>
      </c>
      <c r="N90" s="13">
        <v>2025</v>
      </c>
      <c r="O90" s="13" t="s">
        <v>1260</v>
      </c>
      <c r="P90" s="13" t="s">
        <v>1261</v>
      </c>
      <c r="Q90" s="13" t="s">
        <v>1351</v>
      </c>
      <c r="R90" s="7" t="s">
        <v>6</v>
      </c>
      <c r="S90" s="14"/>
      <c r="T90" s="7"/>
      <c r="U90" s="139">
        <f>_xlfn.XLOOKUP(Tab_Data_Flows[[#This Row],[Flow_Name]],Tab_Def_Flows[Flow_Name],Tab_Def_Flows[Flow_E1_Fraction'[%']],"N.A.",0,1)</f>
        <v>1</v>
      </c>
      <c r="V90" s="12">
        <f t="shared" si="3"/>
        <v>1157916.7222941176</v>
      </c>
      <c r="W90" s="6" t="str">
        <f>Tab_Data_Flows[[#This Row],[UoM_Source]]</f>
        <v>Mg</v>
      </c>
      <c r="X90" s="139">
        <f>_xlfn.XLOOKUP(Tab_Data_Flows[[#This Row],[Flow_Name]],Tab_Def_Flows[Flow_Name],Tab_Def_Flows[Flow_E2_Fraction'[%']],"N.A.",0,1)</f>
        <v>0.22838499184339317</v>
      </c>
      <c r="Y90" s="6">
        <f>IF(D90="Yes",V90*Tab_Data_Flows[[#This Row],[E2_Fraction'[%']]],"N.A.")</f>
        <v>264450.80117647059</v>
      </c>
      <c r="Z90" s="6" t="str">
        <f>Tab_Data_Flows[[#This Row],[E1_UoM]]</f>
        <v>Mg</v>
      </c>
      <c r="AA90" s="139">
        <f>_xlfn.XLOOKUP(Tab_Data_Flows[[#This Row],[Flow_Name]],Tab_Def_Flows[Flow_Name],Tab_Def_Flows[Flow_E3_Fraction'[%']],"N.A.",0,1)</f>
        <v>0.77161500815660689</v>
      </c>
      <c r="AB90" s="6">
        <f>IF(E90="Yes",AA90*Tab_Data_Flows[[#This Row],[E1_value]],"N.A.")</f>
        <v>893465.92111764709</v>
      </c>
      <c r="AC90" s="6" t="str">
        <f>Tab_Data_Flows[[#This Row],[E1_UoM]]</f>
        <v>Mg</v>
      </c>
      <c r="AD90" s="139">
        <f>_xlfn.XLOOKUP(Tab_Data_Flows[[#This Row],[Flow_Name]],Tab_Def_Flows[Flow_Name],Tab_Def_Flows[Flow_E4_Fraction'[%']],"N.A.",0,1)</f>
        <v>0</v>
      </c>
      <c r="AE90" s="6">
        <f>IF(G90="Yes",Tab_Data_Flows[[#This Row],[E4_Fraction'[%']]]*Tab_Data_Flows[[#This Row],[E1_value]],"N.A.")</f>
        <v>0</v>
      </c>
      <c r="AF90" s="6" t="str">
        <f>Tab_Data_Flows[[#This Row],[E1_UoM]]</f>
        <v>Mg</v>
      </c>
      <c r="AG90" s="139">
        <f>_xlfn.XLOOKUP(Tab_Data_Flows[[#This Row],[Flow_Name]],Tab_Def_Flows[Flow_Name],Tab_Def_Flows[Flow_E5_Fraction'[%']],"N.A.",0,1)</f>
        <v>0</v>
      </c>
      <c r="AH90" s="6" t="str">
        <f>IF(H90="Yes",Tab_Data_Flows[[#This Row],[E5_Fraction'[%']]]*Tab_Data_Flows[[#This Row],[E1_value]],"N.A.")</f>
        <v>N.A.</v>
      </c>
      <c r="AI90" s="6" t="str">
        <f>Tab_Data_Flows[[#This Row],[E1_UoM]]</f>
        <v>Mg</v>
      </c>
      <c r="AJ90" s="139">
        <f>_xlfn.XLOOKUP(Tab_Data_Flows[[#This Row],[Flow_Name]],Tab_Def_Flows[Flow_Name],Tab_Def_Flows[Flow_E6_Fraction'[%']],"N.A.",0,1)</f>
        <v>0</v>
      </c>
      <c r="AK90" s="6" t="str">
        <f>IF(Tab_Data_Flows[[#This Row],[Use_E6]]="Yes",Tab_Data_Flows[[#This Row],[E6_Fraction'[%']]]*Tab_Data_Flows[[#This Row],[E1_value]],"N.A.")</f>
        <v>N.A.</v>
      </c>
      <c r="AL90" s="6" t="str">
        <f>Tab_Data_Flows[[#This Row],[E1_UoM]]</f>
        <v>Mg</v>
      </c>
    </row>
    <row r="91" spans="1:38" x14ac:dyDescent="0.25">
      <c r="A91" s="8">
        <f t="shared" si="4"/>
        <v>90</v>
      </c>
      <c r="B91" s="6" t="str">
        <f>_xlfn.XLOOKUP(C91,Tab_Def_Flows[Flow_Name],Tab_Def_Flows[Flow_ID],,0,)</f>
        <v>F_01_02</v>
      </c>
      <c r="C91" s="138" t="s">
        <v>1234</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No</v>
      </c>
      <c r="I91" s="9" t="str">
        <f>_xlfn.XLOOKUP(C91,Tab_Def_Flows[Flow_Name],Tab_Def_Flows[Use_E6],,0,)</f>
        <v>No</v>
      </c>
      <c r="J91" s="188">
        <v>2114</v>
      </c>
      <c r="K91" s="189">
        <v>1089269.1480392157</v>
      </c>
      <c r="L91" s="6" t="str">
        <f>'0_Configuration'!$C$41</f>
        <v>Mg</v>
      </c>
      <c r="M91" s="13" t="s">
        <v>1263</v>
      </c>
      <c r="N91" s="13">
        <v>2025</v>
      </c>
      <c r="O91" s="13" t="s">
        <v>1260</v>
      </c>
      <c r="P91" s="13" t="s">
        <v>1261</v>
      </c>
      <c r="Q91" s="13" t="s">
        <v>1352</v>
      </c>
      <c r="R91" s="7" t="s">
        <v>6</v>
      </c>
      <c r="S91" s="14"/>
      <c r="T91" s="7"/>
      <c r="U91" s="139">
        <f>_xlfn.XLOOKUP(Tab_Data_Flows[[#This Row],[Flow_Name]],Tab_Def_Flows[Flow_Name],Tab_Def_Flows[Flow_E1_Fraction'[%']],"N.A.",0,1)</f>
        <v>1</v>
      </c>
      <c r="V91" s="12">
        <f t="shared" si="3"/>
        <v>1089269.1480392157</v>
      </c>
      <c r="W91" s="6" t="str">
        <f>Tab_Data_Flows[[#This Row],[UoM_Source]]</f>
        <v>Mg</v>
      </c>
      <c r="X91" s="139">
        <f>_xlfn.XLOOKUP(Tab_Data_Flows[[#This Row],[Flow_Name]],Tab_Def_Flows[Flow_Name],Tab_Def_Flows[Flow_E2_Fraction'[%']],"N.A.",0,1)</f>
        <v>0.22838499184339317</v>
      </c>
      <c r="Y91" s="6">
        <f>IF(D91="Yes",V91*Tab_Data_Flows[[#This Row],[E2_Fraction'[%']]],"N.A.")</f>
        <v>248772.72549019611</v>
      </c>
      <c r="Z91" s="6" t="str">
        <f>Tab_Data_Flows[[#This Row],[E1_UoM]]</f>
        <v>Mg</v>
      </c>
      <c r="AA91" s="139">
        <f>_xlfn.XLOOKUP(Tab_Data_Flows[[#This Row],[Flow_Name]],Tab_Def_Flows[Flow_Name],Tab_Def_Flows[Flow_E3_Fraction'[%']],"N.A.",0,1)</f>
        <v>0.77161500815660689</v>
      </c>
      <c r="AB91" s="6">
        <f>IF(E91="Yes",AA91*Tab_Data_Flows[[#This Row],[E1_value]],"N.A.")</f>
        <v>840496.42254901968</v>
      </c>
      <c r="AC91" s="6" t="str">
        <f>Tab_Data_Flows[[#This Row],[E1_UoM]]</f>
        <v>Mg</v>
      </c>
      <c r="AD91" s="139">
        <f>_xlfn.XLOOKUP(Tab_Data_Flows[[#This Row],[Flow_Name]],Tab_Def_Flows[Flow_Name],Tab_Def_Flows[Flow_E4_Fraction'[%']],"N.A.",0,1)</f>
        <v>0</v>
      </c>
      <c r="AE91" s="6">
        <f>IF(G91="Yes",Tab_Data_Flows[[#This Row],[E4_Fraction'[%']]]*Tab_Data_Flows[[#This Row],[E1_value]],"N.A.")</f>
        <v>0</v>
      </c>
      <c r="AF91" s="6" t="str">
        <f>Tab_Data_Flows[[#This Row],[E1_UoM]]</f>
        <v>Mg</v>
      </c>
      <c r="AG91" s="139">
        <f>_xlfn.XLOOKUP(Tab_Data_Flows[[#This Row],[Flow_Name]],Tab_Def_Flows[Flow_Name],Tab_Def_Flows[Flow_E5_Fraction'[%']],"N.A.",0,1)</f>
        <v>0</v>
      </c>
      <c r="AH91" s="6" t="str">
        <f>IF(H91="Yes",Tab_Data_Flows[[#This Row],[E5_Fraction'[%']]]*Tab_Data_Flows[[#This Row],[E1_value]],"N.A.")</f>
        <v>N.A.</v>
      </c>
      <c r="AI91" s="6" t="str">
        <f>Tab_Data_Flows[[#This Row],[E1_UoM]]</f>
        <v>Mg</v>
      </c>
      <c r="AJ91" s="139">
        <f>_xlfn.XLOOKUP(Tab_Data_Flows[[#This Row],[Flow_Name]],Tab_Def_Flows[Flow_Name],Tab_Def_Flows[Flow_E6_Fraction'[%']],"N.A.",0,1)</f>
        <v>0</v>
      </c>
      <c r="AK91" s="6" t="str">
        <f>IF(Tab_Data_Flows[[#This Row],[Use_E6]]="Yes",Tab_Data_Flows[[#This Row],[E6_Fraction'[%']]]*Tab_Data_Flows[[#This Row],[E1_value]],"N.A.")</f>
        <v>N.A.</v>
      </c>
      <c r="AL91" s="6" t="str">
        <f>Tab_Data_Flows[[#This Row],[E1_UoM]]</f>
        <v>Mg</v>
      </c>
    </row>
    <row r="92" spans="1:38" x14ac:dyDescent="0.25">
      <c r="A92" s="8">
        <f t="shared" si="4"/>
        <v>91</v>
      </c>
      <c r="B92" s="6" t="str">
        <f>_xlfn.XLOOKUP(C92,Tab_Def_Flows[Flow_Name],Tab_Def_Flows[Flow_ID],,0,)</f>
        <v>F_01_02</v>
      </c>
      <c r="C92" s="138" t="s">
        <v>1234</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No</v>
      </c>
      <c r="I92" s="9" t="str">
        <f>_xlfn.XLOOKUP(C92,Tab_Def_Flows[Flow_Name],Tab_Def_Flows[Use_E6],,0,)</f>
        <v>No</v>
      </c>
      <c r="J92" s="188">
        <v>2115</v>
      </c>
      <c r="K92" s="189">
        <v>1036096.0496274509</v>
      </c>
      <c r="L92" s="6" t="str">
        <f>'0_Configuration'!$C$41</f>
        <v>Mg</v>
      </c>
      <c r="M92" s="13" t="s">
        <v>1263</v>
      </c>
      <c r="N92" s="13">
        <v>2025</v>
      </c>
      <c r="O92" s="13" t="s">
        <v>1260</v>
      </c>
      <c r="P92" s="13" t="s">
        <v>1261</v>
      </c>
      <c r="Q92" s="13" t="s">
        <v>1353</v>
      </c>
      <c r="R92" s="7" t="s">
        <v>6</v>
      </c>
      <c r="S92" s="14"/>
      <c r="T92" s="7"/>
      <c r="U92" s="139">
        <f>_xlfn.XLOOKUP(Tab_Data_Flows[[#This Row],[Flow_Name]],Tab_Def_Flows[Flow_Name],Tab_Def_Flows[Flow_E1_Fraction'[%']],"N.A.",0,1)</f>
        <v>1</v>
      </c>
      <c r="V92" s="12">
        <f t="shared" si="3"/>
        <v>1036096.0496274509</v>
      </c>
      <c r="W92" s="6" t="str">
        <f>Tab_Data_Flows[[#This Row],[UoM_Source]]</f>
        <v>Mg</v>
      </c>
      <c r="X92" s="139">
        <f>_xlfn.XLOOKUP(Tab_Data_Flows[[#This Row],[Flow_Name]],Tab_Def_Flows[Flow_Name],Tab_Def_Flows[Flow_E2_Fraction'[%']],"N.A.",0,1)</f>
        <v>0.22838499184339317</v>
      </c>
      <c r="Y92" s="6">
        <f>IF(D92="Yes",V92*Tab_Data_Flows[[#This Row],[E2_Fraction'[%']]],"N.A.")</f>
        <v>236628.78784313725</v>
      </c>
      <c r="Z92" s="6" t="str">
        <f>Tab_Data_Flows[[#This Row],[E1_UoM]]</f>
        <v>Mg</v>
      </c>
      <c r="AA92" s="139">
        <f>_xlfn.XLOOKUP(Tab_Data_Flows[[#This Row],[Flow_Name]],Tab_Def_Flows[Flow_Name],Tab_Def_Flows[Flow_E3_Fraction'[%']],"N.A.",0,1)</f>
        <v>0.77161500815660689</v>
      </c>
      <c r="AB92" s="6">
        <f>IF(E92="Yes",AA92*Tab_Data_Flows[[#This Row],[E1_value]],"N.A.")</f>
        <v>799467.26178431371</v>
      </c>
      <c r="AC92" s="6" t="str">
        <f>Tab_Data_Flows[[#This Row],[E1_UoM]]</f>
        <v>Mg</v>
      </c>
      <c r="AD92" s="139">
        <f>_xlfn.XLOOKUP(Tab_Data_Flows[[#This Row],[Flow_Name]],Tab_Def_Flows[Flow_Name],Tab_Def_Flows[Flow_E4_Fraction'[%']],"N.A.",0,1)</f>
        <v>0</v>
      </c>
      <c r="AE92" s="6">
        <f>IF(G92="Yes",Tab_Data_Flows[[#This Row],[E4_Fraction'[%']]]*Tab_Data_Flows[[#This Row],[E1_value]],"N.A.")</f>
        <v>0</v>
      </c>
      <c r="AF92" s="6" t="str">
        <f>Tab_Data_Flows[[#This Row],[E1_UoM]]</f>
        <v>Mg</v>
      </c>
      <c r="AG92" s="139">
        <f>_xlfn.XLOOKUP(Tab_Data_Flows[[#This Row],[Flow_Name]],Tab_Def_Flows[Flow_Name],Tab_Def_Flows[Flow_E5_Fraction'[%']],"N.A.",0,1)</f>
        <v>0</v>
      </c>
      <c r="AH92" s="6" t="str">
        <f>IF(H92="Yes",Tab_Data_Flows[[#This Row],[E5_Fraction'[%']]]*Tab_Data_Flows[[#This Row],[E1_value]],"N.A.")</f>
        <v>N.A.</v>
      </c>
      <c r="AI92" s="6" t="str">
        <f>Tab_Data_Flows[[#This Row],[E1_UoM]]</f>
        <v>Mg</v>
      </c>
      <c r="AJ92" s="139">
        <f>_xlfn.XLOOKUP(Tab_Data_Flows[[#This Row],[Flow_Name]],Tab_Def_Flows[Flow_Name],Tab_Def_Flows[Flow_E6_Fraction'[%']],"N.A.",0,1)</f>
        <v>0</v>
      </c>
      <c r="AK92" s="6" t="str">
        <f>IF(Tab_Data_Flows[[#This Row],[Use_E6]]="Yes",Tab_Data_Flows[[#This Row],[E6_Fraction'[%']]]*Tab_Data_Flows[[#This Row],[E1_value]],"N.A.")</f>
        <v>N.A.</v>
      </c>
      <c r="AL92" s="6" t="str">
        <f>Tab_Data_Flows[[#This Row],[E1_UoM]]</f>
        <v>Mg</v>
      </c>
    </row>
    <row r="93" spans="1:38" x14ac:dyDescent="0.25">
      <c r="A93" s="8">
        <f t="shared" si="4"/>
        <v>92</v>
      </c>
      <c r="B93" s="6" t="str">
        <f>_xlfn.XLOOKUP(C93,Tab_Def_Flows[Flow_Name],Tab_Def_Flows[Flow_ID],,0,)</f>
        <v>F_01_02</v>
      </c>
      <c r="C93" s="138" t="s">
        <v>1234</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No</v>
      </c>
      <c r="I93" s="9" t="str">
        <f>_xlfn.XLOOKUP(C93,Tab_Def_Flows[Flow_Name],Tab_Def_Flows[Use_E6],,0,)</f>
        <v>No</v>
      </c>
      <c r="J93" s="188">
        <v>2116</v>
      </c>
      <c r="K93" s="189">
        <v>1137380.2847647059</v>
      </c>
      <c r="L93" s="6" t="str">
        <f>'0_Configuration'!$C$41</f>
        <v>Mg</v>
      </c>
      <c r="M93" s="13" t="s">
        <v>1263</v>
      </c>
      <c r="N93" s="13">
        <v>2025</v>
      </c>
      <c r="O93" s="13" t="s">
        <v>1260</v>
      </c>
      <c r="P93" s="13" t="s">
        <v>1261</v>
      </c>
      <c r="Q93" s="13" t="s">
        <v>1354</v>
      </c>
      <c r="R93" s="7" t="s">
        <v>6</v>
      </c>
      <c r="S93" s="14"/>
      <c r="T93" s="7"/>
      <c r="U93" s="139">
        <f>_xlfn.XLOOKUP(Tab_Data_Flows[[#This Row],[Flow_Name]],Tab_Def_Flows[Flow_Name],Tab_Def_Flows[Flow_E1_Fraction'[%']],"N.A.",0,1)</f>
        <v>1</v>
      </c>
      <c r="V93" s="12">
        <f t="shared" si="3"/>
        <v>1137380.2847647059</v>
      </c>
      <c r="W93" s="6" t="str">
        <f>Tab_Data_Flows[[#This Row],[UoM_Source]]</f>
        <v>Mg</v>
      </c>
      <c r="X93" s="139">
        <f>_xlfn.XLOOKUP(Tab_Data_Flows[[#This Row],[Flow_Name]],Tab_Def_Flows[Flow_Name],Tab_Def_Flows[Flow_E2_Fraction'[%']],"N.A.",0,1)</f>
        <v>0.22838499184339317</v>
      </c>
      <c r="Y93" s="6">
        <f>IF(D93="Yes",V93*Tab_Data_Flows[[#This Row],[E2_Fraction'[%']]],"N.A.")</f>
        <v>259760.58705882356</v>
      </c>
      <c r="Z93" s="6" t="str">
        <f>Tab_Data_Flows[[#This Row],[E1_UoM]]</f>
        <v>Mg</v>
      </c>
      <c r="AA93" s="139">
        <f>_xlfn.XLOOKUP(Tab_Data_Flows[[#This Row],[Flow_Name]],Tab_Def_Flows[Flow_Name],Tab_Def_Flows[Flow_E3_Fraction'[%']],"N.A.",0,1)</f>
        <v>0.77161500815660689</v>
      </c>
      <c r="AB93" s="6">
        <f>IF(E93="Yes",AA93*Tab_Data_Flows[[#This Row],[E1_value]],"N.A.")</f>
        <v>877619.69770588237</v>
      </c>
      <c r="AC93" s="6" t="str">
        <f>Tab_Data_Flows[[#This Row],[E1_UoM]]</f>
        <v>Mg</v>
      </c>
      <c r="AD93" s="139">
        <f>_xlfn.XLOOKUP(Tab_Data_Flows[[#This Row],[Flow_Name]],Tab_Def_Flows[Flow_Name],Tab_Def_Flows[Flow_E4_Fraction'[%']],"N.A.",0,1)</f>
        <v>0</v>
      </c>
      <c r="AE93" s="6">
        <f>IF(G93="Yes",Tab_Data_Flows[[#This Row],[E4_Fraction'[%']]]*Tab_Data_Flows[[#This Row],[E1_value]],"N.A.")</f>
        <v>0</v>
      </c>
      <c r="AF93" s="6" t="str">
        <f>Tab_Data_Flows[[#This Row],[E1_UoM]]</f>
        <v>Mg</v>
      </c>
      <c r="AG93" s="139">
        <f>_xlfn.XLOOKUP(Tab_Data_Flows[[#This Row],[Flow_Name]],Tab_Def_Flows[Flow_Name],Tab_Def_Flows[Flow_E5_Fraction'[%']],"N.A.",0,1)</f>
        <v>0</v>
      </c>
      <c r="AH93" s="6" t="str">
        <f>IF(H93="Yes",Tab_Data_Flows[[#This Row],[E5_Fraction'[%']]]*Tab_Data_Flows[[#This Row],[E1_value]],"N.A.")</f>
        <v>N.A.</v>
      </c>
      <c r="AI93" s="6" t="str">
        <f>Tab_Data_Flows[[#This Row],[E1_UoM]]</f>
        <v>Mg</v>
      </c>
      <c r="AJ93" s="139">
        <f>_xlfn.XLOOKUP(Tab_Data_Flows[[#This Row],[Flow_Name]],Tab_Def_Flows[Flow_Name],Tab_Def_Flows[Flow_E6_Fraction'[%']],"N.A.",0,1)</f>
        <v>0</v>
      </c>
      <c r="AK93" s="6" t="str">
        <f>IF(Tab_Data_Flows[[#This Row],[Use_E6]]="Yes",Tab_Data_Flows[[#This Row],[E6_Fraction'[%']]]*Tab_Data_Flows[[#This Row],[E1_value]],"N.A.")</f>
        <v>N.A.</v>
      </c>
      <c r="AL93" s="6" t="str">
        <f>Tab_Data_Flows[[#This Row],[E1_UoM]]</f>
        <v>Mg</v>
      </c>
    </row>
    <row r="94" spans="1:38" x14ac:dyDescent="0.25">
      <c r="A94" s="8">
        <f t="shared" si="4"/>
        <v>93</v>
      </c>
      <c r="B94" s="6" t="str">
        <f>_xlfn.XLOOKUP(C94,Tab_Def_Flows[Flow_Name],Tab_Def_Flows[Flow_ID],,0,)</f>
        <v>F_01_02</v>
      </c>
      <c r="C94" s="138" t="s">
        <v>1234</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No</v>
      </c>
      <c r="I94" s="9" t="str">
        <f>_xlfn.XLOOKUP(C94,Tab_Def_Flows[Flow_Name],Tab_Def_Flows[Use_E6],,0,)</f>
        <v>No</v>
      </c>
      <c r="J94" s="188">
        <v>2117</v>
      </c>
      <c r="K94" s="189">
        <v>1146969.4197254903</v>
      </c>
      <c r="L94" s="6" t="str">
        <f>'0_Configuration'!$C$41</f>
        <v>Mg</v>
      </c>
      <c r="M94" s="13" t="s">
        <v>1263</v>
      </c>
      <c r="N94" s="13">
        <v>2025</v>
      </c>
      <c r="O94" s="13" t="s">
        <v>1260</v>
      </c>
      <c r="P94" s="13" t="s">
        <v>1261</v>
      </c>
      <c r="Q94" s="13" t="s">
        <v>1355</v>
      </c>
      <c r="R94" s="7" t="s">
        <v>6</v>
      </c>
      <c r="S94" s="14"/>
      <c r="T94" s="7"/>
      <c r="U94" s="139">
        <f>_xlfn.XLOOKUP(Tab_Data_Flows[[#This Row],[Flow_Name]],Tab_Def_Flows[Flow_Name],Tab_Def_Flows[Flow_E1_Fraction'[%']],"N.A.",0,1)</f>
        <v>1</v>
      </c>
      <c r="V94" s="12">
        <f t="shared" si="3"/>
        <v>1146969.4197254903</v>
      </c>
      <c r="W94" s="6" t="str">
        <f>Tab_Data_Flows[[#This Row],[UoM_Source]]</f>
        <v>Mg</v>
      </c>
      <c r="X94" s="139">
        <f>_xlfn.XLOOKUP(Tab_Data_Flows[[#This Row],[Flow_Name]],Tab_Def_Flows[Flow_Name],Tab_Def_Flows[Flow_E2_Fraction'[%']],"N.A.",0,1)</f>
        <v>0.22838499184339317</v>
      </c>
      <c r="Y94" s="6">
        <f>IF(D94="Yes",V94*Tab_Data_Flows[[#This Row],[E2_Fraction'[%']]],"N.A.")</f>
        <v>261950.60156862749</v>
      </c>
      <c r="Z94" s="6" t="str">
        <f>Tab_Data_Flows[[#This Row],[E1_UoM]]</f>
        <v>Mg</v>
      </c>
      <c r="AA94" s="139">
        <f>_xlfn.XLOOKUP(Tab_Data_Flows[[#This Row],[Flow_Name]],Tab_Def_Flows[Flow_Name],Tab_Def_Flows[Flow_E3_Fraction'[%']],"N.A.",0,1)</f>
        <v>0.77161500815660689</v>
      </c>
      <c r="AB94" s="6">
        <f>IF(E94="Yes",AA94*Tab_Data_Flows[[#This Row],[E1_value]],"N.A.")</f>
        <v>885018.81815686286</v>
      </c>
      <c r="AC94" s="6" t="str">
        <f>Tab_Data_Flows[[#This Row],[E1_UoM]]</f>
        <v>Mg</v>
      </c>
      <c r="AD94" s="139">
        <f>_xlfn.XLOOKUP(Tab_Data_Flows[[#This Row],[Flow_Name]],Tab_Def_Flows[Flow_Name],Tab_Def_Flows[Flow_E4_Fraction'[%']],"N.A.",0,1)</f>
        <v>0</v>
      </c>
      <c r="AE94" s="6">
        <f>IF(G94="Yes",Tab_Data_Flows[[#This Row],[E4_Fraction'[%']]]*Tab_Data_Flows[[#This Row],[E1_value]],"N.A.")</f>
        <v>0</v>
      </c>
      <c r="AF94" s="6" t="str">
        <f>Tab_Data_Flows[[#This Row],[E1_UoM]]</f>
        <v>Mg</v>
      </c>
      <c r="AG94" s="139">
        <f>_xlfn.XLOOKUP(Tab_Data_Flows[[#This Row],[Flow_Name]],Tab_Def_Flows[Flow_Name],Tab_Def_Flows[Flow_E5_Fraction'[%']],"N.A.",0,1)</f>
        <v>0</v>
      </c>
      <c r="AH94" s="6" t="str">
        <f>IF(H94="Yes",Tab_Data_Flows[[#This Row],[E5_Fraction'[%']]]*Tab_Data_Flows[[#This Row],[E1_value]],"N.A.")</f>
        <v>N.A.</v>
      </c>
      <c r="AI94" s="6" t="str">
        <f>Tab_Data_Flows[[#This Row],[E1_UoM]]</f>
        <v>Mg</v>
      </c>
      <c r="AJ94" s="139">
        <f>_xlfn.XLOOKUP(Tab_Data_Flows[[#This Row],[Flow_Name]],Tab_Def_Flows[Flow_Name],Tab_Def_Flows[Flow_E6_Fraction'[%']],"N.A.",0,1)</f>
        <v>0</v>
      </c>
      <c r="AK94" s="6" t="str">
        <f>IF(Tab_Data_Flows[[#This Row],[Use_E6]]="Yes",Tab_Data_Flows[[#This Row],[E6_Fraction'[%']]]*Tab_Data_Flows[[#This Row],[E1_value]],"N.A.")</f>
        <v>N.A.</v>
      </c>
      <c r="AL94" s="6" t="str">
        <f>Tab_Data_Flows[[#This Row],[E1_UoM]]</f>
        <v>Mg</v>
      </c>
    </row>
    <row r="95" spans="1:38" x14ac:dyDescent="0.25">
      <c r="A95" s="8">
        <f t="shared" si="4"/>
        <v>94</v>
      </c>
      <c r="B95" s="6" t="str">
        <f>_xlfn.XLOOKUP(C95,Tab_Def_Flows[Flow_Name],Tab_Def_Flows[Flow_ID],,0,)</f>
        <v>F_01_02</v>
      </c>
      <c r="C95" s="138" t="s">
        <v>1234</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No</v>
      </c>
      <c r="I95" s="9" t="str">
        <f>_xlfn.XLOOKUP(C95,Tab_Def_Flows[Flow_Name],Tab_Def_Flows[Use_E6],,0,)</f>
        <v>No</v>
      </c>
      <c r="J95" s="188">
        <v>2118</v>
      </c>
      <c r="K95" s="189">
        <v>1010512.9032941177</v>
      </c>
      <c r="L95" s="6" t="str">
        <f>'0_Configuration'!$C$41</f>
        <v>Mg</v>
      </c>
      <c r="M95" s="13" t="s">
        <v>1263</v>
      </c>
      <c r="N95" s="13">
        <v>2025</v>
      </c>
      <c r="O95" s="13" t="s">
        <v>1260</v>
      </c>
      <c r="P95" s="13" t="s">
        <v>1261</v>
      </c>
      <c r="Q95" s="13" t="s">
        <v>1356</v>
      </c>
      <c r="R95" s="7" t="s">
        <v>6</v>
      </c>
      <c r="S95" s="14"/>
      <c r="T95" s="7"/>
      <c r="U95" s="139">
        <f>_xlfn.XLOOKUP(Tab_Data_Flows[[#This Row],[Flow_Name]],Tab_Def_Flows[Flow_Name],Tab_Def_Flows[Flow_E1_Fraction'[%']],"N.A.",0,1)</f>
        <v>1</v>
      </c>
      <c r="V95" s="12">
        <f t="shared" si="3"/>
        <v>1010512.9032941177</v>
      </c>
      <c r="W95" s="6" t="str">
        <f>Tab_Data_Flows[[#This Row],[UoM_Source]]</f>
        <v>Mg</v>
      </c>
      <c r="X95" s="139">
        <f>_xlfn.XLOOKUP(Tab_Data_Flows[[#This Row],[Flow_Name]],Tab_Def_Flows[Flow_Name],Tab_Def_Flows[Flow_E2_Fraction'[%']],"N.A.",0,1)</f>
        <v>0.22838499184339317</v>
      </c>
      <c r="Y95" s="6">
        <f>IF(D95="Yes",V95*Tab_Data_Flows[[#This Row],[E2_Fraction'[%']]],"N.A.")</f>
        <v>230785.98117647061</v>
      </c>
      <c r="Z95" s="6" t="str">
        <f>Tab_Data_Flows[[#This Row],[E1_UoM]]</f>
        <v>Mg</v>
      </c>
      <c r="AA95" s="139">
        <f>_xlfn.XLOOKUP(Tab_Data_Flows[[#This Row],[Flow_Name]],Tab_Def_Flows[Flow_Name],Tab_Def_Flows[Flow_E3_Fraction'[%']],"N.A.",0,1)</f>
        <v>0.77161500815660689</v>
      </c>
      <c r="AB95" s="6">
        <f>IF(E95="Yes",AA95*Tab_Data_Flows[[#This Row],[E1_value]],"N.A.")</f>
        <v>779726.92211764713</v>
      </c>
      <c r="AC95" s="6" t="str">
        <f>Tab_Data_Flows[[#This Row],[E1_UoM]]</f>
        <v>Mg</v>
      </c>
      <c r="AD95" s="139">
        <f>_xlfn.XLOOKUP(Tab_Data_Flows[[#This Row],[Flow_Name]],Tab_Def_Flows[Flow_Name],Tab_Def_Flows[Flow_E4_Fraction'[%']],"N.A.",0,1)</f>
        <v>0</v>
      </c>
      <c r="AE95" s="6">
        <f>IF(G95="Yes",Tab_Data_Flows[[#This Row],[E4_Fraction'[%']]]*Tab_Data_Flows[[#This Row],[E1_value]],"N.A.")</f>
        <v>0</v>
      </c>
      <c r="AF95" s="6" t="str">
        <f>Tab_Data_Flows[[#This Row],[E1_UoM]]</f>
        <v>Mg</v>
      </c>
      <c r="AG95" s="139">
        <f>_xlfn.XLOOKUP(Tab_Data_Flows[[#This Row],[Flow_Name]],Tab_Def_Flows[Flow_Name],Tab_Def_Flows[Flow_E5_Fraction'[%']],"N.A.",0,1)</f>
        <v>0</v>
      </c>
      <c r="AH95" s="6" t="str">
        <f>IF(H95="Yes",Tab_Data_Flows[[#This Row],[E5_Fraction'[%']]]*Tab_Data_Flows[[#This Row],[E1_value]],"N.A.")</f>
        <v>N.A.</v>
      </c>
      <c r="AI95" s="6" t="str">
        <f>Tab_Data_Flows[[#This Row],[E1_UoM]]</f>
        <v>Mg</v>
      </c>
      <c r="AJ95" s="139">
        <f>_xlfn.XLOOKUP(Tab_Data_Flows[[#This Row],[Flow_Name]],Tab_Def_Flows[Flow_Name],Tab_Def_Flows[Flow_E6_Fraction'[%']],"N.A.",0,1)</f>
        <v>0</v>
      </c>
      <c r="AK95" s="6" t="str">
        <f>IF(Tab_Data_Flows[[#This Row],[Use_E6]]="Yes",Tab_Data_Flows[[#This Row],[E6_Fraction'[%']]]*Tab_Data_Flows[[#This Row],[E1_value]],"N.A.")</f>
        <v>N.A.</v>
      </c>
      <c r="AL95" s="6" t="str">
        <f>Tab_Data_Flows[[#This Row],[E1_UoM]]</f>
        <v>Mg</v>
      </c>
    </row>
    <row r="96" spans="1:38" x14ac:dyDescent="0.25">
      <c r="A96" s="8">
        <f t="shared" si="4"/>
        <v>95</v>
      </c>
      <c r="B96" s="6" t="str">
        <f>_xlfn.XLOOKUP(C96,Tab_Def_Flows[Flow_Name],Tab_Def_Flows[Flow_ID],,0,)</f>
        <v>F_01_02</v>
      </c>
      <c r="C96" s="138" t="s">
        <v>1234</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No</v>
      </c>
      <c r="I96" s="9" t="str">
        <f>_xlfn.XLOOKUP(C96,Tab_Def_Flows[Flow_Name],Tab_Def_Flows[Use_E6],,0,)</f>
        <v>No</v>
      </c>
      <c r="J96" s="188">
        <v>2119</v>
      </c>
      <c r="K96" s="189">
        <v>951638.592372549</v>
      </c>
      <c r="L96" s="6" t="str">
        <f>'0_Configuration'!$C$41</f>
        <v>Mg</v>
      </c>
      <c r="M96" s="13" t="s">
        <v>1263</v>
      </c>
      <c r="N96" s="13">
        <v>2025</v>
      </c>
      <c r="O96" s="13" t="s">
        <v>1260</v>
      </c>
      <c r="P96" s="13" t="s">
        <v>1261</v>
      </c>
      <c r="Q96" s="13" t="s">
        <v>1357</v>
      </c>
      <c r="R96" s="7" t="s">
        <v>6</v>
      </c>
      <c r="S96" s="7"/>
      <c r="T96" s="7"/>
      <c r="U96" s="139">
        <f>_xlfn.XLOOKUP(Tab_Data_Flows[[#This Row],[Flow_Name]],Tab_Def_Flows[Flow_Name],Tab_Def_Flows[Flow_E1_Fraction'[%']],"N.A.",0,1)</f>
        <v>1</v>
      </c>
      <c r="V96" s="12">
        <f t="shared" si="3"/>
        <v>951638.592372549</v>
      </c>
      <c r="W96" s="6" t="str">
        <f>Tab_Data_Flows[[#This Row],[UoM_Source]]</f>
        <v>Mg</v>
      </c>
      <c r="X96" s="139">
        <f>_xlfn.XLOOKUP(Tab_Data_Flows[[#This Row],[Flow_Name]],Tab_Def_Flows[Flow_Name],Tab_Def_Flows[Flow_E2_Fraction'[%']],"N.A.",0,1)</f>
        <v>0.22838499184339317</v>
      </c>
      <c r="Y96" s="6">
        <f>IF(D96="Yes",V96*Tab_Data_Flows[[#This Row],[E2_Fraction'[%']]],"N.A.")</f>
        <v>217339.97215686276</v>
      </c>
      <c r="Z96" s="6" t="str">
        <f>Tab_Data_Flows[[#This Row],[E1_UoM]]</f>
        <v>Mg</v>
      </c>
      <c r="AA96" s="139">
        <f>_xlfn.XLOOKUP(Tab_Data_Flows[[#This Row],[Flow_Name]],Tab_Def_Flows[Flow_Name],Tab_Def_Flows[Flow_E3_Fraction'[%']],"N.A.",0,1)</f>
        <v>0.77161500815660689</v>
      </c>
      <c r="AB96" s="6">
        <f>IF(E96="Yes",AA96*Tab_Data_Flows[[#This Row],[E1_value]],"N.A.")</f>
        <v>734298.62021568627</v>
      </c>
      <c r="AC96" s="6" t="str">
        <f>Tab_Data_Flows[[#This Row],[E1_UoM]]</f>
        <v>Mg</v>
      </c>
      <c r="AD96" s="139">
        <f>_xlfn.XLOOKUP(Tab_Data_Flows[[#This Row],[Flow_Name]],Tab_Def_Flows[Flow_Name],Tab_Def_Flows[Flow_E4_Fraction'[%']],"N.A.",0,1)</f>
        <v>0</v>
      </c>
      <c r="AE96" s="6">
        <f>IF(G96="Yes",Tab_Data_Flows[[#This Row],[E4_Fraction'[%']]]*Tab_Data_Flows[[#This Row],[E1_value]],"N.A.")</f>
        <v>0</v>
      </c>
      <c r="AF96" s="6" t="str">
        <f>Tab_Data_Flows[[#This Row],[E1_UoM]]</f>
        <v>Mg</v>
      </c>
      <c r="AG96" s="139">
        <f>_xlfn.XLOOKUP(Tab_Data_Flows[[#This Row],[Flow_Name]],Tab_Def_Flows[Flow_Name],Tab_Def_Flows[Flow_E5_Fraction'[%']],"N.A.",0,1)</f>
        <v>0</v>
      </c>
      <c r="AH96" s="6" t="str">
        <f>IF(H96="Yes",Tab_Data_Flows[[#This Row],[E5_Fraction'[%']]]*Tab_Data_Flows[[#This Row],[E1_value]],"N.A.")</f>
        <v>N.A.</v>
      </c>
      <c r="AI96" s="6" t="str">
        <f>Tab_Data_Flows[[#This Row],[E1_UoM]]</f>
        <v>Mg</v>
      </c>
      <c r="AJ96" s="139">
        <f>_xlfn.XLOOKUP(Tab_Data_Flows[[#This Row],[Flow_Name]],Tab_Def_Flows[Flow_Name],Tab_Def_Flows[Flow_E6_Fraction'[%']],"N.A.",0,1)</f>
        <v>0</v>
      </c>
      <c r="AK96" s="6" t="str">
        <f>IF(Tab_Data_Flows[[#This Row],[Use_E6]]="Yes",Tab_Data_Flows[[#This Row],[E6_Fraction'[%']]]*Tab_Data_Flows[[#This Row],[E1_value]],"N.A.")</f>
        <v>N.A.</v>
      </c>
      <c r="AL96" s="6" t="str">
        <f>Tab_Data_Flows[[#This Row],[E1_UoM]]</f>
        <v>Mg</v>
      </c>
    </row>
    <row r="97" spans="1:38" x14ac:dyDescent="0.25">
      <c r="A97" s="8">
        <f t="shared" si="4"/>
        <v>96</v>
      </c>
      <c r="B97" s="6" t="str">
        <f>_xlfn.XLOOKUP(C97,Tab_Def_Flows[Flow_Name],Tab_Def_Flows[Flow_ID],,0,)</f>
        <v>F_01_02</v>
      </c>
      <c r="C97" s="138" t="s">
        <v>1234</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No</v>
      </c>
      <c r="I97" s="9" t="str">
        <f>_xlfn.XLOOKUP(C97,Tab_Def_Flows[Flow_Name],Tab_Def_Flows[Use_E6],,0,)</f>
        <v>No</v>
      </c>
      <c r="J97" s="188">
        <v>2120</v>
      </c>
      <c r="K97" s="189">
        <v>1128169.9717843137</v>
      </c>
      <c r="L97" s="6" t="str">
        <f>'0_Configuration'!$C$41</f>
        <v>Mg</v>
      </c>
      <c r="M97" s="13" t="s">
        <v>1263</v>
      </c>
      <c r="N97" s="13">
        <v>2025</v>
      </c>
      <c r="O97" s="13" t="s">
        <v>1260</v>
      </c>
      <c r="P97" s="13" t="s">
        <v>1261</v>
      </c>
      <c r="Q97" s="13" t="s">
        <v>1358</v>
      </c>
      <c r="R97" s="7" t="s">
        <v>6</v>
      </c>
      <c r="S97" s="7"/>
      <c r="T97" s="7"/>
      <c r="U97" s="139">
        <f>_xlfn.XLOOKUP(Tab_Data_Flows[[#This Row],[Flow_Name]],Tab_Def_Flows[Flow_Name],Tab_Def_Flows[Flow_E1_Fraction'[%']],"N.A.",0,1)</f>
        <v>1</v>
      </c>
      <c r="V97" s="12">
        <f t="shared" si="3"/>
        <v>1128169.9717843137</v>
      </c>
      <c r="W97" s="6" t="str">
        <f>Tab_Data_Flows[[#This Row],[UoM_Source]]</f>
        <v>Mg</v>
      </c>
      <c r="X97" s="139">
        <f>_xlfn.XLOOKUP(Tab_Data_Flows[[#This Row],[Flow_Name]],Tab_Def_Flows[Flow_Name],Tab_Def_Flows[Flow_E2_Fraction'[%']],"N.A.",0,1)</f>
        <v>0.22838499184339317</v>
      </c>
      <c r="Y97" s="6">
        <f>IF(D97="Yes",V97*Tab_Data_Flows[[#This Row],[E2_Fraction'[%']]],"N.A.")</f>
        <v>257657.08980392158</v>
      </c>
      <c r="Z97" s="6" t="str">
        <f>Tab_Data_Flows[[#This Row],[E1_UoM]]</f>
        <v>Mg</v>
      </c>
      <c r="AA97" s="139">
        <f>_xlfn.XLOOKUP(Tab_Data_Flows[[#This Row],[Flow_Name]],Tab_Def_Flows[Flow_Name],Tab_Def_Flows[Flow_E3_Fraction'[%']],"N.A.",0,1)</f>
        <v>0.77161500815660689</v>
      </c>
      <c r="AB97" s="6">
        <f>IF(E97="Yes",AA97*Tab_Data_Flows[[#This Row],[E1_value]],"N.A.")</f>
        <v>870512.88198039215</v>
      </c>
      <c r="AC97" s="6" t="str">
        <f>Tab_Data_Flows[[#This Row],[E1_UoM]]</f>
        <v>Mg</v>
      </c>
      <c r="AD97" s="139">
        <f>_xlfn.XLOOKUP(Tab_Data_Flows[[#This Row],[Flow_Name]],Tab_Def_Flows[Flow_Name],Tab_Def_Flows[Flow_E4_Fraction'[%']],"N.A.",0,1)</f>
        <v>0</v>
      </c>
      <c r="AE97" s="6">
        <f>IF(G97="Yes",Tab_Data_Flows[[#This Row],[E4_Fraction'[%']]]*Tab_Data_Flows[[#This Row],[E1_value]],"N.A.")</f>
        <v>0</v>
      </c>
      <c r="AF97" s="6" t="str">
        <f>Tab_Data_Flows[[#This Row],[E1_UoM]]</f>
        <v>Mg</v>
      </c>
      <c r="AG97" s="139">
        <f>_xlfn.XLOOKUP(Tab_Data_Flows[[#This Row],[Flow_Name]],Tab_Def_Flows[Flow_Name],Tab_Def_Flows[Flow_E5_Fraction'[%']],"N.A.",0,1)</f>
        <v>0</v>
      </c>
      <c r="AH97" s="6" t="str">
        <f>IF(H97="Yes",Tab_Data_Flows[[#This Row],[E5_Fraction'[%']]]*Tab_Data_Flows[[#This Row],[E1_value]],"N.A.")</f>
        <v>N.A.</v>
      </c>
      <c r="AI97" s="6" t="str">
        <f>Tab_Data_Flows[[#This Row],[E1_UoM]]</f>
        <v>Mg</v>
      </c>
      <c r="AJ97" s="139">
        <f>_xlfn.XLOOKUP(Tab_Data_Flows[[#This Row],[Flow_Name]],Tab_Def_Flows[Flow_Name],Tab_Def_Flows[Flow_E6_Fraction'[%']],"N.A.",0,1)</f>
        <v>0</v>
      </c>
      <c r="AK97" s="6" t="str">
        <f>IF(Tab_Data_Flows[[#This Row],[Use_E6]]="Yes",Tab_Data_Flows[[#This Row],[E6_Fraction'[%']]]*Tab_Data_Flows[[#This Row],[E1_value]],"N.A.")</f>
        <v>N.A.</v>
      </c>
      <c r="AL97" s="6" t="str">
        <f>Tab_Data_Flows[[#This Row],[E1_UoM]]</f>
        <v>Mg</v>
      </c>
    </row>
    <row r="98" spans="1:38" x14ac:dyDescent="0.25">
      <c r="A98" s="8">
        <f t="shared" si="4"/>
        <v>97</v>
      </c>
      <c r="B98" s="6" t="str">
        <f>_xlfn.XLOOKUP(C98,Tab_Def_Flows[Flow_Name],Tab_Def_Flows[Flow_ID],,0,)</f>
        <v>F_01_02</v>
      </c>
      <c r="C98" s="138" t="s">
        <v>1234</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No</v>
      </c>
      <c r="I98" s="9" t="str">
        <f>_xlfn.XLOOKUP(C98,Tab_Def_Flows[Flow_Name],Tab_Def_Flows[Use_E6],,0,)</f>
        <v>No</v>
      </c>
      <c r="J98" s="188">
        <v>2121</v>
      </c>
      <c r="K98" s="189">
        <v>1108050.831</v>
      </c>
      <c r="L98" s="6" t="str">
        <f>'0_Configuration'!$C$41</f>
        <v>Mg</v>
      </c>
      <c r="M98" s="13" t="s">
        <v>1263</v>
      </c>
      <c r="N98" s="13">
        <v>2025</v>
      </c>
      <c r="O98" s="13" t="s">
        <v>1260</v>
      </c>
      <c r="P98" s="13" t="s">
        <v>1261</v>
      </c>
      <c r="Q98" s="13" t="s">
        <v>1359</v>
      </c>
      <c r="R98" s="7" t="s">
        <v>6</v>
      </c>
      <c r="S98" s="7"/>
      <c r="T98" s="7"/>
      <c r="U98" s="139">
        <f>_xlfn.XLOOKUP(Tab_Data_Flows[[#This Row],[Flow_Name]],Tab_Def_Flows[Flow_Name],Tab_Def_Flows[Flow_E1_Fraction'[%']],"N.A.",0,1)</f>
        <v>1</v>
      </c>
      <c r="V98" s="12">
        <f t="shared" si="3"/>
        <v>1108050.831</v>
      </c>
      <c r="W98" s="6" t="str">
        <f>Tab_Data_Flows[[#This Row],[UoM_Source]]</f>
        <v>Mg</v>
      </c>
      <c r="X98" s="139">
        <f>_xlfn.XLOOKUP(Tab_Data_Flows[[#This Row],[Flow_Name]],Tab_Def_Flows[Flow_Name],Tab_Def_Flows[Flow_E2_Fraction'[%']],"N.A.",0,1)</f>
        <v>0.22838499184339317</v>
      </c>
      <c r="Y98" s="6">
        <f>IF(D98="Yes",V98*Tab_Data_Flows[[#This Row],[E2_Fraction'[%']]],"N.A.")</f>
        <v>253062.18000000002</v>
      </c>
      <c r="Z98" s="6" t="str">
        <f>Tab_Data_Flows[[#This Row],[E1_UoM]]</f>
        <v>Mg</v>
      </c>
      <c r="AA98" s="139">
        <f>_xlfn.XLOOKUP(Tab_Data_Flows[[#This Row],[Flow_Name]],Tab_Def_Flows[Flow_Name],Tab_Def_Flows[Flow_E3_Fraction'[%']],"N.A.",0,1)</f>
        <v>0.77161500815660689</v>
      </c>
      <c r="AB98" s="6">
        <f>IF(E98="Yes",AA98*Tab_Data_Flows[[#This Row],[E1_value]],"N.A.")</f>
        <v>854988.65100000007</v>
      </c>
      <c r="AC98" s="6" t="str">
        <f>Tab_Data_Flows[[#This Row],[E1_UoM]]</f>
        <v>Mg</v>
      </c>
      <c r="AD98" s="139">
        <f>_xlfn.XLOOKUP(Tab_Data_Flows[[#This Row],[Flow_Name]],Tab_Def_Flows[Flow_Name],Tab_Def_Flows[Flow_E4_Fraction'[%']],"N.A.",0,1)</f>
        <v>0</v>
      </c>
      <c r="AE98" s="6">
        <f>IF(G98="Yes",Tab_Data_Flows[[#This Row],[E4_Fraction'[%']]]*Tab_Data_Flows[[#This Row],[E1_value]],"N.A.")</f>
        <v>0</v>
      </c>
      <c r="AF98" s="6" t="str">
        <f>Tab_Data_Flows[[#This Row],[E1_UoM]]</f>
        <v>Mg</v>
      </c>
      <c r="AG98" s="139">
        <f>_xlfn.XLOOKUP(Tab_Data_Flows[[#This Row],[Flow_Name]],Tab_Def_Flows[Flow_Name],Tab_Def_Flows[Flow_E5_Fraction'[%']],"N.A.",0,1)</f>
        <v>0</v>
      </c>
      <c r="AH98" s="6" t="str">
        <f>IF(H98="Yes",Tab_Data_Flows[[#This Row],[E5_Fraction'[%']]]*Tab_Data_Flows[[#This Row],[E1_value]],"N.A.")</f>
        <v>N.A.</v>
      </c>
      <c r="AI98" s="6" t="str">
        <f>Tab_Data_Flows[[#This Row],[E1_UoM]]</f>
        <v>Mg</v>
      </c>
      <c r="AJ98" s="139">
        <f>_xlfn.XLOOKUP(Tab_Data_Flows[[#This Row],[Flow_Name]],Tab_Def_Flows[Flow_Name],Tab_Def_Flows[Flow_E6_Fraction'[%']],"N.A.",0,1)</f>
        <v>0</v>
      </c>
      <c r="AK98" s="6" t="str">
        <f>IF(Tab_Data_Flows[[#This Row],[Use_E6]]="Yes",Tab_Data_Flows[[#This Row],[E6_Fraction'[%']]]*Tab_Data_Flows[[#This Row],[E1_value]],"N.A.")</f>
        <v>N.A.</v>
      </c>
      <c r="AL98" s="6" t="str">
        <f>Tab_Data_Flows[[#This Row],[E1_UoM]]</f>
        <v>Mg</v>
      </c>
    </row>
    <row r="99" spans="1:38" x14ac:dyDescent="0.25">
      <c r="A99" s="8">
        <f t="shared" si="4"/>
        <v>98</v>
      </c>
      <c r="B99" s="6" t="str">
        <f>_xlfn.XLOOKUP(C99,Tab_Def_Flows[Flow_Name],Tab_Def_Flows[Flow_ID],,0,)</f>
        <v>F_01_02</v>
      </c>
      <c r="C99" s="138" t="s">
        <v>1234</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No</v>
      </c>
      <c r="I99" s="9" t="str">
        <f>_xlfn.XLOOKUP(C99,Tab_Def_Flows[Flow_Name],Tab_Def_Flows[Use_E6],,0,)</f>
        <v>No</v>
      </c>
      <c r="J99" s="188">
        <v>2122</v>
      </c>
      <c r="K99" s="189">
        <v>1100716.4061960783</v>
      </c>
      <c r="L99" s="6" t="str">
        <f>'0_Configuration'!$C$41</f>
        <v>Mg</v>
      </c>
      <c r="M99" s="13" t="s">
        <v>1263</v>
      </c>
      <c r="N99" s="13">
        <v>2025</v>
      </c>
      <c r="O99" s="13" t="s">
        <v>1260</v>
      </c>
      <c r="P99" s="13" t="s">
        <v>1261</v>
      </c>
      <c r="Q99" s="13" t="s">
        <v>1360</v>
      </c>
      <c r="R99" s="7" t="s">
        <v>6</v>
      </c>
      <c r="S99" s="7"/>
      <c r="T99" s="7"/>
      <c r="U99" s="139">
        <f>_xlfn.XLOOKUP(Tab_Data_Flows[[#This Row],[Flow_Name]],Tab_Def_Flows[Flow_Name],Tab_Def_Flows[Flow_E1_Fraction'[%']],"N.A.",0,1)</f>
        <v>1</v>
      </c>
      <c r="V99" s="12">
        <f t="shared" si="3"/>
        <v>1100716.4061960783</v>
      </c>
      <c r="W99" s="6" t="str">
        <f>Tab_Data_Flows[[#This Row],[UoM_Source]]</f>
        <v>Mg</v>
      </c>
      <c r="X99" s="139">
        <f>_xlfn.XLOOKUP(Tab_Data_Flows[[#This Row],[Flow_Name]],Tab_Def_Flows[Flow_Name],Tab_Def_Flows[Flow_E2_Fraction'[%']],"N.A.",0,1)</f>
        <v>0.22838499184339317</v>
      </c>
      <c r="Y99" s="6">
        <f>IF(D99="Yes",V99*Tab_Data_Flows[[#This Row],[E2_Fraction'[%']]],"N.A.")</f>
        <v>251387.10745098037</v>
      </c>
      <c r="Z99" s="6" t="str">
        <f>Tab_Data_Flows[[#This Row],[E1_UoM]]</f>
        <v>Mg</v>
      </c>
      <c r="AA99" s="139">
        <f>_xlfn.XLOOKUP(Tab_Data_Flows[[#This Row],[Flow_Name]],Tab_Def_Flows[Flow_Name],Tab_Def_Flows[Flow_E3_Fraction'[%']],"N.A.",0,1)</f>
        <v>0.77161500815660689</v>
      </c>
      <c r="AB99" s="6">
        <f>IF(E99="Yes",AA99*Tab_Data_Flows[[#This Row],[E1_value]],"N.A.")</f>
        <v>849329.29874509794</v>
      </c>
      <c r="AC99" s="6" t="str">
        <f>Tab_Data_Flows[[#This Row],[E1_UoM]]</f>
        <v>Mg</v>
      </c>
      <c r="AD99" s="139">
        <f>_xlfn.XLOOKUP(Tab_Data_Flows[[#This Row],[Flow_Name]],Tab_Def_Flows[Flow_Name],Tab_Def_Flows[Flow_E4_Fraction'[%']],"N.A.",0,1)</f>
        <v>0</v>
      </c>
      <c r="AE99" s="6">
        <f>IF(G99="Yes",Tab_Data_Flows[[#This Row],[E4_Fraction'[%']]]*Tab_Data_Flows[[#This Row],[E1_value]],"N.A.")</f>
        <v>0</v>
      </c>
      <c r="AF99" s="6" t="str">
        <f>Tab_Data_Flows[[#This Row],[E1_UoM]]</f>
        <v>Mg</v>
      </c>
      <c r="AG99" s="139">
        <f>_xlfn.XLOOKUP(Tab_Data_Flows[[#This Row],[Flow_Name]],Tab_Def_Flows[Flow_Name],Tab_Def_Flows[Flow_E5_Fraction'[%']],"N.A.",0,1)</f>
        <v>0</v>
      </c>
      <c r="AH99" s="6" t="str">
        <f>IF(H99="Yes",Tab_Data_Flows[[#This Row],[E5_Fraction'[%']]]*Tab_Data_Flows[[#This Row],[E1_value]],"N.A.")</f>
        <v>N.A.</v>
      </c>
      <c r="AI99" s="6" t="str">
        <f>Tab_Data_Flows[[#This Row],[E1_UoM]]</f>
        <v>Mg</v>
      </c>
      <c r="AJ99" s="139">
        <f>_xlfn.XLOOKUP(Tab_Data_Flows[[#This Row],[Flow_Name]],Tab_Def_Flows[Flow_Name],Tab_Def_Flows[Flow_E6_Fraction'[%']],"N.A.",0,1)</f>
        <v>0</v>
      </c>
      <c r="AK99" s="6" t="str">
        <f>IF(Tab_Data_Flows[[#This Row],[Use_E6]]="Yes",Tab_Data_Flows[[#This Row],[E6_Fraction'[%']]]*Tab_Data_Flows[[#This Row],[E1_value]],"N.A.")</f>
        <v>N.A.</v>
      </c>
      <c r="AL99" s="6" t="str">
        <f>Tab_Data_Flows[[#This Row],[E1_UoM]]</f>
        <v>Mg</v>
      </c>
    </row>
    <row r="100" spans="1:38" x14ac:dyDescent="0.25">
      <c r="A100" s="8">
        <f t="shared" si="4"/>
        <v>99</v>
      </c>
      <c r="B100" s="6" t="str">
        <f>_xlfn.XLOOKUP(C100,Tab_Def_Flows[Flow_Name],Tab_Def_Flows[Flow_ID],,0,)</f>
        <v>F_01_02</v>
      </c>
      <c r="C100" s="138" t="s">
        <v>1234</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No</v>
      </c>
      <c r="I100" s="9" t="str">
        <f>_xlfn.XLOOKUP(C100,Tab_Def_Flows[Flow_Name],Tab_Def_Flows[Use_E6],,0,)</f>
        <v>No</v>
      </c>
      <c r="J100" s="188">
        <v>2123</v>
      </c>
      <c r="K100" s="189">
        <v>1183626.5072156861</v>
      </c>
      <c r="L100" s="6" t="str">
        <f>'0_Configuration'!$C$41</f>
        <v>Mg</v>
      </c>
      <c r="M100" s="13" t="s">
        <v>1263</v>
      </c>
      <c r="N100" s="13">
        <v>2025</v>
      </c>
      <c r="O100" s="13" t="s">
        <v>1260</v>
      </c>
      <c r="P100" s="13" t="s">
        <v>1261</v>
      </c>
      <c r="Q100" s="13" t="s">
        <v>1361</v>
      </c>
      <c r="R100" s="7" t="s">
        <v>6</v>
      </c>
      <c r="S100" s="7"/>
      <c r="T100" s="7"/>
      <c r="U100" s="139">
        <f>_xlfn.XLOOKUP(Tab_Data_Flows[[#This Row],[Flow_Name]],Tab_Def_Flows[Flow_Name],Tab_Def_Flows[Flow_E1_Fraction'[%']],"N.A.",0,1)</f>
        <v>1</v>
      </c>
      <c r="V100" s="12">
        <f t="shared" si="3"/>
        <v>1183626.5072156861</v>
      </c>
      <c r="W100" s="6" t="str">
        <f>Tab_Data_Flows[[#This Row],[UoM_Source]]</f>
        <v>Mg</v>
      </c>
      <c r="X100" s="139">
        <f>_xlfn.XLOOKUP(Tab_Data_Flows[[#This Row],[Flow_Name]],Tab_Def_Flows[Flow_Name],Tab_Def_Flows[Flow_E2_Fraction'[%']],"N.A.",0,1)</f>
        <v>0.22838499184339317</v>
      </c>
      <c r="Y100" s="6">
        <f>IF(D100="Yes",V100*Tab_Data_Flows[[#This Row],[E2_Fraction'[%']]],"N.A.")</f>
        <v>270322.53019607841</v>
      </c>
      <c r="Z100" s="6" t="str">
        <f>Tab_Data_Flows[[#This Row],[E1_UoM]]</f>
        <v>Mg</v>
      </c>
      <c r="AA100" s="139">
        <f>_xlfn.XLOOKUP(Tab_Data_Flows[[#This Row],[Flow_Name]],Tab_Def_Flows[Flow_Name],Tab_Def_Flows[Flow_E3_Fraction'[%']],"N.A.",0,1)</f>
        <v>0.77161500815660689</v>
      </c>
      <c r="AB100" s="6">
        <f>IF(E100="Yes",AA100*Tab_Data_Flows[[#This Row],[E1_value]],"N.A.")</f>
        <v>913303.97701960779</v>
      </c>
      <c r="AC100" s="6" t="str">
        <f>Tab_Data_Flows[[#This Row],[E1_UoM]]</f>
        <v>Mg</v>
      </c>
      <c r="AD100" s="139">
        <f>_xlfn.XLOOKUP(Tab_Data_Flows[[#This Row],[Flow_Name]],Tab_Def_Flows[Flow_Name],Tab_Def_Flows[Flow_E4_Fraction'[%']],"N.A.",0,1)</f>
        <v>0</v>
      </c>
      <c r="AE100" s="6">
        <f>IF(G100="Yes",Tab_Data_Flows[[#This Row],[E4_Fraction'[%']]]*Tab_Data_Flows[[#This Row],[E1_value]],"N.A.")</f>
        <v>0</v>
      </c>
      <c r="AF100" s="6" t="str">
        <f>Tab_Data_Flows[[#This Row],[E1_UoM]]</f>
        <v>Mg</v>
      </c>
      <c r="AG100" s="139">
        <f>_xlfn.XLOOKUP(Tab_Data_Flows[[#This Row],[Flow_Name]],Tab_Def_Flows[Flow_Name],Tab_Def_Flows[Flow_E5_Fraction'[%']],"N.A.",0,1)</f>
        <v>0</v>
      </c>
      <c r="AH100" s="6" t="str">
        <f>IF(H100="Yes",Tab_Data_Flows[[#This Row],[E5_Fraction'[%']]]*Tab_Data_Flows[[#This Row],[E1_value]],"N.A.")</f>
        <v>N.A.</v>
      </c>
      <c r="AI100" s="6" t="str">
        <f>Tab_Data_Flows[[#This Row],[E1_UoM]]</f>
        <v>Mg</v>
      </c>
      <c r="AJ100" s="139">
        <f>_xlfn.XLOOKUP(Tab_Data_Flows[[#This Row],[Flow_Name]],Tab_Def_Flows[Flow_Name],Tab_Def_Flows[Flow_E6_Fraction'[%']],"N.A.",0,1)</f>
        <v>0</v>
      </c>
      <c r="AK100" s="6" t="str">
        <f>IF(Tab_Data_Flows[[#This Row],[Use_E6]]="Yes",Tab_Data_Flows[[#This Row],[E6_Fraction'[%']]]*Tab_Data_Flows[[#This Row],[E1_value]],"N.A.")</f>
        <v>N.A.</v>
      </c>
      <c r="AL100" s="6" t="str">
        <f>Tab_Data_Flows[[#This Row],[E1_UoM]]</f>
        <v>Mg</v>
      </c>
    </row>
    <row r="101" spans="1:38" x14ac:dyDescent="0.25">
      <c r="A101" s="8">
        <f t="shared" si="4"/>
        <v>100</v>
      </c>
      <c r="B101" s="6" t="str">
        <f>_xlfn.XLOOKUP(C101,Tab_Def_Flows[Flow_Name],Tab_Def_Flows[Flow_ID],,0,)</f>
        <v>F_01_02</v>
      </c>
      <c r="C101" s="138" t="s">
        <v>1234</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No</v>
      </c>
      <c r="I101" s="9" t="str">
        <f>_xlfn.XLOOKUP(C101,Tab_Def_Flows[Flow_Name],Tab_Def_Flows[Use_E6],,0,)</f>
        <v>No</v>
      </c>
      <c r="J101" s="188">
        <v>2124</v>
      </c>
      <c r="K101" s="189">
        <v>1020353.897117647</v>
      </c>
      <c r="L101" s="6" t="str">
        <f>'0_Configuration'!$C$41</f>
        <v>Mg</v>
      </c>
      <c r="M101" s="13" t="s">
        <v>1263</v>
      </c>
      <c r="N101" s="13">
        <v>2025</v>
      </c>
      <c r="O101" s="13" t="s">
        <v>1260</v>
      </c>
      <c r="P101" s="13" t="s">
        <v>1261</v>
      </c>
      <c r="Q101" s="13" t="s">
        <v>1362</v>
      </c>
      <c r="R101" s="7" t="s">
        <v>6</v>
      </c>
      <c r="S101" s="7"/>
      <c r="T101" s="7"/>
      <c r="U101" s="139">
        <f>_xlfn.XLOOKUP(Tab_Data_Flows[[#This Row],[Flow_Name]],Tab_Def_Flows[Flow_Name],Tab_Def_Flows[Flow_E1_Fraction'[%']],"N.A.",0,1)</f>
        <v>1</v>
      </c>
      <c r="V101" s="12">
        <f t="shared" si="3"/>
        <v>1020353.897117647</v>
      </c>
      <c r="W101" s="6" t="str">
        <f>Tab_Data_Flows[[#This Row],[UoM_Source]]</f>
        <v>Mg</v>
      </c>
      <c r="X101" s="139">
        <f>_xlfn.XLOOKUP(Tab_Data_Flows[[#This Row],[Flow_Name]],Tab_Def_Flows[Flow_Name],Tab_Def_Flows[Flow_E2_Fraction'[%']],"N.A.",0,1)</f>
        <v>0.22838499184339317</v>
      </c>
      <c r="Y101" s="6">
        <f>IF(D101="Yes",V101*Tab_Data_Flows[[#This Row],[E2_Fraction'[%']]],"N.A.")</f>
        <v>233033.51647058825</v>
      </c>
      <c r="Z101" s="6" t="str">
        <f>Tab_Data_Flows[[#This Row],[E1_UoM]]</f>
        <v>Mg</v>
      </c>
      <c r="AA101" s="139">
        <f>_xlfn.XLOOKUP(Tab_Data_Flows[[#This Row],[Flow_Name]],Tab_Def_Flows[Flow_Name],Tab_Def_Flows[Flow_E3_Fraction'[%']],"N.A.",0,1)</f>
        <v>0.77161500815660689</v>
      </c>
      <c r="AB101" s="6">
        <f>IF(E101="Yes",AA101*Tab_Data_Flows[[#This Row],[E1_value]],"N.A.")</f>
        <v>787320.38064705883</v>
      </c>
      <c r="AC101" s="6" t="str">
        <f>Tab_Data_Flows[[#This Row],[E1_UoM]]</f>
        <v>Mg</v>
      </c>
      <c r="AD101" s="139">
        <f>_xlfn.XLOOKUP(Tab_Data_Flows[[#This Row],[Flow_Name]],Tab_Def_Flows[Flow_Name],Tab_Def_Flows[Flow_E4_Fraction'[%']],"N.A.",0,1)</f>
        <v>0</v>
      </c>
      <c r="AE101" s="6">
        <f>IF(G101="Yes",Tab_Data_Flows[[#This Row],[E4_Fraction'[%']]]*Tab_Data_Flows[[#This Row],[E1_value]],"N.A.")</f>
        <v>0</v>
      </c>
      <c r="AF101" s="6" t="str">
        <f>Tab_Data_Flows[[#This Row],[E1_UoM]]</f>
        <v>Mg</v>
      </c>
      <c r="AG101" s="139">
        <f>_xlfn.XLOOKUP(Tab_Data_Flows[[#This Row],[Flow_Name]],Tab_Def_Flows[Flow_Name],Tab_Def_Flows[Flow_E5_Fraction'[%']],"N.A.",0,1)</f>
        <v>0</v>
      </c>
      <c r="AH101" s="6" t="str">
        <f>IF(H101="Yes",Tab_Data_Flows[[#This Row],[E5_Fraction'[%']]]*Tab_Data_Flows[[#This Row],[E1_value]],"N.A.")</f>
        <v>N.A.</v>
      </c>
      <c r="AI101" s="6" t="str">
        <f>Tab_Data_Flows[[#This Row],[E1_UoM]]</f>
        <v>Mg</v>
      </c>
      <c r="AJ101" s="139">
        <f>_xlfn.XLOOKUP(Tab_Data_Flows[[#This Row],[Flow_Name]],Tab_Def_Flows[Flow_Name],Tab_Def_Flows[Flow_E6_Fraction'[%']],"N.A.",0,1)</f>
        <v>0</v>
      </c>
      <c r="AK101" s="6" t="str">
        <f>IF(Tab_Data_Flows[[#This Row],[Use_E6]]="Yes",Tab_Data_Flows[[#This Row],[E6_Fraction'[%']]]*Tab_Data_Flows[[#This Row],[E1_value]],"N.A.")</f>
        <v>N.A.</v>
      </c>
      <c r="AL101" s="6" t="str">
        <f>Tab_Data_Flows[[#This Row],[E1_UoM]]</f>
        <v>Mg</v>
      </c>
    </row>
    <row r="102" spans="1:38" x14ac:dyDescent="0.25">
      <c r="A102" s="8">
        <f t="shared" si="4"/>
        <v>101</v>
      </c>
      <c r="B102" s="6" t="str">
        <f>_xlfn.XLOOKUP(C102,Tab_Def_Flows[Flow_Name],Tab_Def_Flows[Flow_ID],,0,)</f>
        <v>F_01_02</v>
      </c>
      <c r="C102" s="138" t="s">
        <v>1234</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No</v>
      </c>
      <c r="I102" s="9" t="str">
        <f>_xlfn.XLOOKUP(C102,Tab_Def_Flows[Flow_Name],Tab_Def_Flows[Use_E6],,0,)</f>
        <v>No</v>
      </c>
      <c r="J102" s="188">
        <v>2125</v>
      </c>
      <c r="K102" s="189">
        <v>1102186.2720196077</v>
      </c>
      <c r="L102" s="6" t="str">
        <f>'0_Configuration'!$C$41</f>
        <v>Mg</v>
      </c>
      <c r="M102" s="13" t="s">
        <v>1263</v>
      </c>
      <c r="N102" s="13">
        <v>2025</v>
      </c>
      <c r="O102" s="13" t="s">
        <v>1260</v>
      </c>
      <c r="P102" s="13" t="s">
        <v>1261</v>
      </c>
      <c r="Q102" s="13" t="s">
        <v>1363</v>
      </c>
      <c r="R102" s="7" t="s">
        <v>6</v>
      </c>
      <c r="S102" s="7"/>
      <c r="T102" s="7"/>
      <c r="U102" s="139">
        <f>_xlfn.XLOOKUP(Tab_Data_Flows[[#This Row],[Flow_Name]],Tab_Def_Flows[Flow_Name],Tab_Def_Flows[Flow_E1_Fraction'[%']],"N.A.",0,1)</f>
        <v>1</v>
      </c>
      <c r="V102" s="12">
        <f t="shared" si="3"/>
        <v>1102186.2720196077</v>
      </c>
      <c r="W102" s="6" t="str">
        <f>Tab_Data_Flows[[#This Row],[UoM_Source]]</f>
        <v>Mg</v>
      </c>
      <c r="X102" s="139">
        <f>_xlfn.XLOOKUP(Tab_Data_Flows[[#This Row],[Flow_Name]],Tab_Def_Flows[Flow_Name],Tab_Def_Flows[Flow_E2_Fraction'[%']],"N.A.",0,1)</f>
        <v>0.22838499184339317</v>
      </c>
      <c r="Y102" s="6">
        <f>IF(D102="Yes",V102*Tab_Data_Flows[[#This Row],[E2_Fraction'[%']]],"N.A.")</f>
        <v>251722.80274509804</v>
      </c>
      <c r="Z102" s="6" t="str">
        <f>Tab_Data_Flows[[#This Row],[E1_UoM]]</f>
        <v>Mg</v>
      </c>
      <c r="AA102" s="139">
        <f>_xlfn.XLOOKUP(Tab_Data_Flows[[#This Row],[Flow_Name]],Tab_Def_Flows[Flow_Name],Tab_Def_Flows[Flow_E3_Fraction'[%']],"N.A.",0,1)</f>
        <v>0.77161500815660689</v>
      </c>
      <c r="AB102" s="6">
        <f>IF(E102="Yes",AA102*Tab_Data_Flows[[#This Row],[E1_value]],"N.A.")</f>
        <v>850463.4692745097</v>
      </c>
      <c r="AC102" s="6" t="str">
        <f>Tab_Data_Flows[[#This Row],[E1_UoM]]</f>
        <v>Mg</v>
      </c>
      <c r="AD102" s="139">
        <f>_xlfn.XLOOKUP(Tab_Data_Flows[[#This Row],[Flow_Name]],Tab_Def_Flows[Flow_Name],Tab_Def_Flows[Flow_E4_Fraction'[%']],"N.A.",0,1)</f>
        <v>0</v>
      </c>
      <c r="AE102" s="6">
        <f>IF(G102="Yes",Tab_Data_Flows[[#This Row],[E4_Fraction'[%']]]*Tab_Data_Flows[[#This Row],[E1_value]],"N.A.")</f>
        <v>0</v>
      </c>
      <c r="AF102" s="6" t="str">
        <f>Tab_Data_Flows[[#This Row],[E1_UoM]]</f>
        <v>Mg</v>
      </c>
      <c r="AG102" s="139">
        <f>_xlfn.XLOOKUP(Tab_Data_Flows[[#This Row],[Flow_Name]],Tab_Def_Flows[Flow_Name],Tab_Def_Flows[Flow_E5_Fraction'[%']],"N.A.",0,1)</f>
        <v>0</v>
      </c>
      <c r="AH102" s="6" t="str">
        <f>IF(H102="Yes",Tab_Data_Flows[[#This Row],[E5_Fraction'[%']]]*Tab_Data_Flows[[#This Row],[E1_value]],"N.A.")</f>
        <v>N.A.</v>
      </c>
      <c r="AI102" s="6" t="str">
        <f>Tab_Data_Flows[[#This Row],[E1_UoM]]</f>
        <v>Mg</v>
      </c>
      <c r="AJ102" s="139">
        <f>_xlfn.XLOOKUP(Tab_Data_Flows[[#This Row],[Flow_Name]],Tab_Def_Flows[Flow_Name],Tab_Def_Flows[Flow_E6_Fraction'[%']],"N.A.",0,1)</f>
        <v>0</v>
      </c>
      <c r="AK102" s="6" t="str">
        <f>IF(Tab_Data_Flows[[#This Row],[Use_E6]]="Yes",Tab_Data_Flows[[#This Row],[E6_Fraction'[%']]]*Tab_Data_Flows[[#This Row],[E1_value]],"N.A.")</f>
        <v>N.A.</v>
      </c>
      <c r="AL102" s="6" t="str">
        <f>Tab_Data_Flows[[#This Row],[E1_UoM]]</f>
        <v>Mg</v>
      </c>
    </row>
    <row r="103" spans="1:38" x14ac:dyDescent="0.25">
      <c r="A103" s="8">
        <f t="shared" si="4"/>
        <v>102</v>
      </c>
      <c r="B103" s="6" t="str">
        <f>_xlfn.XLOOKUP(C103,Tab_Def_Flows[Flow_Name],Tab_Def_Flows[Flow_ID],,0,)</f>
        <v>F_00_02</v>
      </c>
      <c r="C103" s="138" t="s">
        <v>1233</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No</v>
      </c>
      <c r="I103" s="9" t="str">
        <f>_xlfn.XLOOKUP(C103,Tab_Def_Flows[Flow_Name],Tab_Def_Flows[Use_E6],,0,)</f>
        <v>No</v>
      </c>
      <c r="J103" s="188">
        <v>2025</v>
      </c>
      <c r="K103" s="189">
        <v>513405.7720588235</v>
      </c>
      <c r="L103" s="6" t="str">
        <f>'0_Configuration'!$C$41</f>
        <v>Mg</v>
      </c>
      <c r="M103" s="13" t="s">
        <v>1263</v>
      </c>
      <c r="N103" s="13">
        <v>2025</v>
      </c>
      <c r="O103" s="13" t="s">
        <v>1260</v>
      </c>
      <c r="P103" s="13" t="s">
        <v>1261</v>
      </c>
      <c r="Q103" s="13" t="s">
        <v>1364</v>
      </c>
      <c r="R103" s="7" t="s">
        <v>6</v>
      </c>
      <c r="S103" s="7"/>
      <c r="T103" s="7"/>
      <c r="U103" s="139">
        <f>_xlfn.XLOOKUP(Tab_Data_Flows[[#This Row],[Flow_Name]],Tab_Def_Flows[Flow_Name],Tab_Def_Flows[Flow_E1_Fraction'[%']],"N.A.",0,1)</f>
        <v>1</v>
      </c>
      <c r="V103" s="12">
        <f t="shared" si="3"/>
        <v>513405.7720588235</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1</v>
      </c>
      <c r="AB103" s="6">
        <f>IF(E103="Yes",AA103*Tab_Data_Flows[[#This Row],[E1_value]],"N.A.")</f>
        <v>513405.7720588235</v>
      </c>
      <c r="AC103" s="6" t="str">
        <f>Tab_Data_Flows[[#This Row],[E1_UoM]]</f>
        <v>Mg</v>
      </c>
      <c r="AD103" s="139">
        <f>_xlfn.XLOOKUP(Tab_Data_Flows[[#This Row],[Flow_Name]],Tab_Def_Flows[Flow_Name],Tab_Def_Flows[Flow_E4_Fraction'[%']],"N.A.",0,1)</f>
        <v>1</v>
      </c>
      <c r="AE103" s="6">
        <f>IF(G103="Yes",Tab_Data_Flows[[#This Row],[E4_Fraction'[%']]]*Tab_Data_Flows[[#This Row],[E1_value]],"N.A.")</f>
        <v>513405.7720588235</v>
      </c>
      <c r="AF103" s="6" t="str">
        <f>Tab_Data_Flows[[#This Row],[E1_UoM]]</f>
        <v>Mg</v>
      </c>
      <c r="AG103" s="139">
        <f>_xlfn.XLOOKUP(Tab_Data_Flows[[#This Row],[Flow_Name]],Tab_Def_Flows[Flow_Name],Tab_Def_Flows[Flow_E5_Fraction'[%']],"N.A.",0,1)</f>
        <v>0</v>
      </c>
      <c r="AH103" s="6" t="str">
        <f>IF(H103="Yes",Tab_Data_Flows[[#This Row],[E5_Fraction'[%']]]*Tab_Data_Flows[[#This Row],[E1_value]],"N.A.")</f>
        <v>N.A.</v>
      </c>
      <c r="AI103" s="6" t="str">
        <f>Tab_Data_Flows[[#This Row],[E1_UoM]]</f>
        <v>Mg</v>
      </c>
      <c r="AJ103" s="139">
        <f>_xlfn.XLOOKUP(Tab_Data_Flows[[#This Row],[Flow_Name]],Tab_Def_Flows[Flow_Name],Tab_Def_Flows[Flow_E6_Fraction'[%']],"N.A.",0,1)</f>
        <v>0</v>
      </c>
      <c r="AK103" s="6" t="str">
        <f>IF(Tab_Data_Flows[[#This Row],[Use_E6]]="Yes",Tab_Data_Flows[[#This Row],[E6_Fraction'[%']]]*Tab_Data_Flows[[#This Row],[E1_value]],"N.A.")</f>
        <v>N.A.</v>
      </c>
      <c r="AL103" s="6" t="str">
        <f>Tab_Data_Flows[[#This Row],[E1_UoM]]</f>
        <v>Mg</v>
      </c>
    </row>
    <row r="104" spans="1:38" x14ac:dyDescent="0.25">
      <c r="A104" s="8">
        <f t="shared" si="4"/>
        <v>103</v>
      </c>
      <c r="B104" s="6" t="str">
        <f>_xlfn.XLOOKUP(C104,Tab_Def_Flows[Flow_Name],Tab_Def_Flows[Flow_ID],,0,)</f>
        <v>F_00_02</v>
      </c>
      <c r="C104" s="138" t="s">
        <v>1233</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No</v>
      </c>
      <c r="I104" s="9" t="str">
        <f>_xlfn.XLOOKUP(C104,Tab_Def_Flows[Flow_Name],Tab_Def_Flows[Use_E6],,0,)</f>
        <v>No</v>
      </c>
      <c r="J104" s="188">
        <v>2026</v>
      </c>
      <c r="K104" s="189">
        <v>500484.1531764706</v>
      </c>
      <c r="L104" s="6" t="str">
        <f>'0_Configuration'!$C$41</f>
        <v>Mg</v>
      </c>
      <c r="M104" s="13" t="s">
        <v>1263</v>
      </c>
      <c r="N104" s="13">
        <v>2025</v>
      </c>
      <c r="O104" s="13" t="s">
        <v>1260</v>
      </c>
      <c r="P104" s="13" t="s">
        <v>1261</v>
      </c>
      <c r="Q104" s="13" t="s">
        <v>1365</v>
      </c>
      <c r="R104" s="7" t="s">
        <v>6</v>
      </c>
      <c r="S104" s="7"/>
      <c r="T104" s="7"/>
      <c r="U104" s="139">
        <f>_xlfn.XLOOKUP(Tab_Data_Flows[[#This Row],[Flow_Name]],Tab_Def_Flows[Flow_Name],Tab_Def_Flows[Flow_E1_Fraction'[%']],"N.A.",0,1)</f>
        <v>1</v>
      </c>
      <c r="V104" s="12">
        <f t="shared" si="3"/>
        <v>500484.1531764706</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1</v>
      </c>
      <c r="AB104" s="6">
        <f>IF(E104="Yes",AA104*Tab_Data_Flows[[#This Row],[E1_value]],"N.A.")</f>
        <v>500484.1531764706</v>
      </c>
      <c r="AC104" s="6" t="str">
        <f>Tab_Data_Flows[[#This Row],[E1_UoM]]</f>
        <v>Mg</v>
      </c>
      <c r="AD104" s="139">
        <f>_xlfn.XLOOKUP(Tab_Data_Flows[[#This Row],[Flow_Name]],Tab_Def_Flows[Flow_Name],Tab_Def_Flows[Flow_E4_Fraction'[%']],"N.A.",0,1)</f>
        <v>1</v>
      </c>
      <c r="AE104" s="6">
        <f>IF(G104="Yes",Tab_Data_Flows[[#This Row],[E4_Fraction'[%']]]*Tab_Data_Flows[[#This Row],[E1_value]],"N.A.")</f>
        <v>500484.1531764706</v>
      </c>
      <c r="AF104" s="6" t="str">
        <f>Tab_Data_Flows[[#This Row],[E1_UoM]]</f>
        <v>Mg</v>
      </c>
      <c r="AG104" s="139">
        <f>_xlfn.XLOOKUP(Tab_Data_Flows[[#This Row],[Flow_Name]],Tab_Def_Flows[Flow_Name],Tab_Def_Flows[Flow_E5_Fraction'[%']],"N.A.",0,1)</f>
        <v>0</v>
      </c>
      <c r="AH104" s="6" t="str">
        <f>IF(H104="Yes",Tab_Data_Flows[[#This Row],[E5_Fraction'[%']]]*Tab_Data_Flows[[#This Row],[E1_value]],"N.A.")</f>
        <v>N.A.</v>
      </c>
      <c r="AI104" s="6" t="str">
        <f>Tab_Data_Flows[[#This Row],[E1_UoM]]</f>
        <v>Mg</v>
      </c>
      <c r="AJ104" s="139">
        <f>_xlfn.XLOOKUP(Tab_Data_Flows[[#This Row],[Flow_Name]],Tab_Def_Flows[Flow_Name],Tab_Def_Flows[Flow_E6_Fraction'[%']],"N.A.",0,1)</f>
        <v>0</v>
      </c>
      <c r="AK104" s="6" t="str">
        <f>IF(Tab_Data_Flows[[#This Row],[Use_E6]]="Yes",Tab_Data_Flows[[#This Row],[E6_Fraction'[%']]]*Tab_Data_Flows[[#This Row],[E1_value]],"N.A.")</f>
        <v>N.A.</v>
      </c>
      <c r="AL104" s="6" t="str">
        <f>Tab_Data_Flows[[#This Row],[E1_UoM]]</f>
        <v>Mg</v>
      </c>
    </row>
    <row r="105" spans="1:38" x14ac:dyDescent="0.25">
      <c r="A105" s="8">
        <f t="shared" si="4"/>
        <v>104</v>
      </c>
      <c r="B105" s="6" t="str">
        <f>_xlfn.XLOOKUP(C105,Tab_Def_Flows[Flow_Name],Tab_Def_Flows[Flow_ID],,0,)</f>
        <v>F_00_02</v>
      </c>
      <c r="C105" s="138" t="s">
        <v>1233</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No</v>
      </c>
      <c r="I105" s="9" t="str">
        <f>_xlfn.XLOOKUP(C105,Tab_Def_Flows[Flow_Name],Tab_Def_Flows[Use_E6],,0,)</f>
        <v>No</v>
      </c>
      <c r="J105" s="188">
        <v>2027</v>
      </c>
      <c r="K105" s="189">
        <v>508690.08600000001</v>
      </c>
      <c r="L105" s="6" t="str">
        <f>'0_Configuration'!$C$41</f>
        <v>Mg</v>
      </c>
      <c r="M105" s="13" t="s">
        <v>1263</v>
      </c>
      <c r="N105" s="13">
        <v>2025</v>
      </c>
      <c r="O105" s="13" t="s">
        <v>1260</v>
      </c>
      <c r="P105" s="13" t="s">
        <v>1261</v>
      </c>
      <c r="Q105" s="13" t="s">
        <v>1366</v>
      </c>
      <c r="R105" s="7" t="s">
        <v>6</v>
      </c>
      <c r="S105" s="7"/>
      <c r="T105" s="7"/>
      <c r="U105" s="139">
        <f>_xlfn.XLOOKUP(Tab_Data_Flows[[#This Row],[Flow_Name]],Tab_Def_Flows[Flow_Name],Tab_Def_Flows[Flow_E1_Fraction'[%']],"N.A.",0,1)</f>
        <v>1</v>
      </c>
      <c r="V105" s="12">
        <f t="shared" si="3"/>
        <v>508690.08600000001</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1</v>
      </c>
      <c r="AB105" s="6">
        <f>IF(E105="Yes",AA105*Tab_Data_Flows[[#This Row],[E1_value]],"N.A.")</f>
        <v>508690.08600000001</v>
      </c>
      <c r="AC105" s="6" t="str">
        <f>Tab_Data_Flows[[#This Row],[E1_UoM]]</f>
        <v>Mg</v>
      </c>
      <c r="AD105" s="139">
        <f>_xlfn.XLOOKUP(Tab_Data_Flows[[#This Row],[Flow_Name]],Tab_Def_Flows[Flow_Name],Tab_Def_Flows[Flow_E4_Fraction'[%']],"N.A.",0,1)</f>
        <v>1</v>
      </c>
      <c r="AE105" s="6">
        <f>IF(G105="Yes",Tab_Data_Flows[[#This Row],[E4_Fraction'[%']]]*Tab_Data_Flows[[#This Row],[E1_value]],"N.A.")</f>
        <v>508690.08600000001</v>
      </c>
      <c r="AF105" s="6" t="str">
        <f>Tab_Data_Flows[[#This Row],[E1_UoM]]</f>
        <v>Mg</v>
      </c>
      <c r="AG105" s="139">
        <f>_xlfn.XLOOKUP(Tab_Data_Flows[[#This Row],[Flow_Name]],Tab_Def_Flows[Flow_Name],Tab_Def_Flows[Flow_E5_Fraction'[%']],"N.A.",0,1)</f>
        <v>0</v>
      </c>
      <c r="AH105" s="6" t="str">
        <f>IF(H105="Yes",Tab_Data_Flows[[#This Row],[E5_Fraction'[%']]]*Tab_Data_Flows[[#This Row],[E1_value]],"N.A.")</f>
        <v>N.A.</v>
      </c>
      <c r="AI105" s="6" t="str">
        <f>Tab_Data_Flows[[#This Row],[E1_UoM]]</f>
        <v>Mg</v>
      </c>
      <c r="AJ105" s="139">
        <f>_xlfn.XLOOKUP(Tab_Data_Flows[[#This Row],[Flow_Name]],Tab_Def_Flows[Flow_Name],Tab_Def_Flows[Flow_E6_Fraction'[%']],"N.A.",0,1)</f>
        <v>0</v>
      </c>
      <c r="AK105" s="6" t="str">
        <f>IF(Tab_Data_Flows[[#This Row],[Use_E6]]="Yes",Tab_Data_Flows[[#This Row],[E6_Fraction'[%']]]*Tab_Data_Flows[[#This Row],[E1_value]],"N.A.")</f>
        <v>N.A.</v>
      </c>
      <c r="AL105" s="6" t="str">
        <f>Tab_Data_Flows[[#This Row],[E1_UoM]]</f>
        <v>Mg</v>
      </c>
    </row>
    <row r="106" spans="1:38" x14ac:dyDescent="0.25">
      <c r="A106" s="8">
        <f t="shared" si="4"/>
        <v>105</v>
      </c>
      <c r="B106" s="6" t="str">
        <f>_xlfn.XLOOKUP(C106,Tab_Def_Flows[Flow_Name],Tab_Def_Flows[Flow_ID],,0,)</f>
        <v>F_00_02</v>
      </c>
      <c r="C106" s="138" t="s">
        <v>1233</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No</v>
      </c>
      <c r="I106" s="9" t="str">
        <f>_xlfn.XLOOKUP(C106,Tab_Def_Flows[Flow_Name],Tab_Def_Flows[Use_E6],,0,)</f>
        <v>No</v>
      </c>
      <c r="J106" s="188">
        <v>2028</v>
      </c>
      <c r="K106" s="189">
        <v>570971.60470588226</v>
      </c>
      <c r="L106" s="6" t="str">
        <f>'0_Configuration'!$C$41</f>
        <v>Mg</v>
      </c>
      <c r="M106" s="13" t="s">
        <v>1263</v>
      </c>
      <c r="N106" s="13">
        <v>2025</v>
      </c>
      <c r="O106" s="13" t="s">
        <v>1260</v>
      </c>
      <c r="P106" s="13" t="s">
        <v>1261</v>
      </c>
      <c r="Q106" s="13" t="s">
        <v>1367</v>
      </c>
      <c r="R106" s="7" t="s">
        <v>6</v>
      </c>
      <c r="S106" s="7"/>
      <c r="T106" s="7"/>
      <c r="U106" s="139">
        <f>_xlfn.XLOOKUP(Tab_Data_Flows[[#This Row],[Flow_Name]],Tab_Def_Flows[Flow_Name],Tab_Def_Flows[Flow_E1_Fraction'[%']],"N.A.",0,1)</f>
        <v>1</v>
      </c>
      <c r="V106" s="12">
        <f t="shared" si="3"/>
        <v>570971.60470588226</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1</v>
      </c>
      <c r="AB106" s="6">
        <f>IF(E106="Yes",AA106*Tab_Data_Flows[[#This Row],[E1_value]],"N.A.")</f>
        <v>570971.60470588226</v>
      </c>
      <c r="AC106" s="6" t="str">
        <f>Tab_Data_Flows[[#This Row],[E1_UoM]]</f>
        <v>Mg</v>
      </c>
      <c r="AD106" s="139">
        <f>_xlfn.XLOOKUP(Tab_Data_Flows[[#This Row],[Flow_Name]],Tab_Def_Flows[Flow_Name],Tab_Def_Flows[Flow_E4_Fraction'[%']],"N.A.",0,1)</f>
        <v>1</v>
      </c>
      <c r="AE106" s="6">
        <f>IF(G106="Yes",Tab_Data_Flows[[#This Row],[E4_Fraction'[%']]]*Tab_Data_Flows[[#This Row],[E1_value]],"N.A.")</f>
        <v>570971.60470588226</v>
      </c>
      <c r="AF106" s="6" t="str">
        <f>Tab_Data_Flows[[#This Row],[E1_UoM]]</f>
        <v>Mg</v>
      </c>
      <c r="AG106" s="139">
        <f>_xlfn.XLOOKUP(Tab_Data_Flows[[#This Row],[Flow_Name]],Tab_Def_Flows[Flow_Name],Tab_Def_Flows[Flow_E5_Fraction'[%']],"N.A.",0,1)</f>
        <v>0</v>
      </c>
      <c r="AH106" s="6" t="str">
        <f>IF(H106="Yes",Tab_Data_Flows[[#This Row],[E5_Fraction'[%']]]*Tab_Data_Flows[[#This Row],[E1_value]],"N.A.")</f>
        <v>N.A.</v>
      </c>
      <c r="AI106" s="6" t="str">
        <f>Tab_Data_Flows[[#This Row],[E1_UoM]]</f>
        <v>Mg</v>
      </c>
      <c r="AJ106" s="139">
        <f>_xlfn.XLOOKUP(Tab_Data_Flows[[#This Row],[Flow_Name]],Tab_Def_Flows[Flow_Name],Tab_Def_Flows[Flow_E6_Fraction'[%']],"N.A.",0,1)</f>
        <v>0</v>
      </c>
      <c r="AK106" s="6" t="str">
        <f>IF(Tab_Data_Flows[[#This Row],[Use_E6]]="Yes",Tab_Data_Flows[[#This Row],[E6_Fraction'[%']]]*Tab_Data_Flows[[#This Row],[E1_value]],"N.A.")</f>
        <v>N.A.</v>
      </c>
      <c r="AL106" s="6" t="str">
        <f>Tab_Data_Flows[[#This Row],[E1_UoM]]</f>
        <v>Mg</v>
      </c>
    </row>
    <row r="107" spans="1:38" x14ac:dyDescent="0.25">
      <c r="A107" s="8">
        <f t="shared" si="4"/>
        <v>106</v>
      </c>
      <c r="B107" s="6" t="str">
        <f>_xlfn.XLOOKUP(C107,Tab_Def_Flows[Flow_Name],Tab_Def_Flows[Flow_ID],,0,)</f>
        <v>F_00_02</v>
      </c>
      <c r="C107" s="138" t="s">
        <v>1233</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No</v>
      </c>
      <c r="I107" s="9" t="str">
        <f>_xlfn.XLOOKUP(C107,Tab_Def_Flows[Flow_Name],Tab_Def_Flows[Use_E6],,0,)</f>
        <v>No</v>
      </c>
      <c r="J107" s="188">
        <v>2029</v>
      </c>
      <c r="K107" s="189">
        <v>543944.1469411765</v>
      </c>
      <c r="L107" s="6" t="str">
        <f>'0_Configuration'!$C$41</f>
        <v>Mg</v>
      </c>
      <c r="M107" s="13" t="s">
        <v>1263</v>
      </c>
      <c r="N107" s="13">
        <v>2025</v>
      </c>
      <c r="O107" s="13" t="s">
        <v>1260</v>
      </c>
      <c r="P107" s="13" t="s">
        <v>1261</v>
      </c>
      <c r="Q107" s="13" t="s">
        <v>1368</v>
      </c>
      <c r="R107" s="7" t="s">
        <v>6</v>
      </c>
      <c r="S107" s="7"/>
      <c r="T107" s="7"/>
      <c r="U107" s="139">
        <f>_xlfn.XLOOKUP(Tab_Data_Flows[[#This Row],[Flow_Name]],Tab_Def_Flows[Flow_Name],Tab_Def_Flows[Flow_E1_Fraction'[%']],"N.A.",0,1)</f>
        <v>1</v>
      </c>
      <c r="V107" s="12">
        <f t="shared" si="3"/>
        <v>543944.1469411765</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1</v>
      </c>
      <c r="AB107" s="6">
        <f>IF(E107="Yes",AA107*Tab_Data_Flows[[#This Row],[E1_value]],"N.A.")</f>
        <v>543944.1469411765</v>
      </c>
      <c r="AC107" s="6" t="str">
        <f>Tab_Data_Flows[[#This Row],[E1_UoM]]</f>
        <v>Mg</v>
      </c>
      <c r="AD107" s="139">
        <f>_xlfn.XLOOKUP(Tab_Data_Flows[[#This Row],[Flow_Name]],Tab_Def_Flows[Flow_Name],Tab_Def_Flows[Flow_E4_Fraction'[%']],"N.A.",0,1)</f>
        <v>1</v>
      </c>
      <c r="AE107" s="6">
        <f>IF(G107="Yes",Tab_Data_Flows[[#This Row],[E4_Fraction'[%']]]*Tab_Data_Flows[[#This Row],[E1_value]],"N.A.")</f>
        <v>543944.1469411765</v>
      </c>
      <c r="AF107" s="6" t="str">
        <f>Tab_Data_Flows[[#This Row],[E1_UoM]]</f>
        <v>Mg</v>
      </c>
      <c r="AG107" s="139">
        <f>_xlfn.XLOOKUP(Tab_Data_Flows[[#This Row],[Flow_Name]],Tab_Def_Flows[Flow_Name],Tab_Def_Flows[Flow_E5_Fraction'[%']],"N.A.",0,1)</f>
        <v>0</v>
      </c>
      <c r="AH107" s="6" t="str">
        <f>IF(H107="Yes",Tab_Data_Flows[[#This Row],[E5_Fraction'[%']]]*Tab_Data_Flows[[#This Row],[E1_value]],"N.A.")</f>
        <v>N.A.</v>
      </c>
      <c r="AI107" s="6" t="str">
        <f>Tab_Data_Flows[[#This Row],[E1_UoM]]</f>
        <v>Mg</v>
      </c>
      <c r="AJ107" s="139">
        <f>_xlfn.XLOOKUP(Tab_Data_Flows[[#This Row],[Flow_Name]],Tab_Def_Flows[Flow_Name],Tab_Def_Flows[Flow_E6_Fraction'[%']],"N.A.",0,1)</f>
        <v>0</v>
      </c>
      <c r="AK107" s="6" t="str">
        <f>IF(Tab_Data_Flows[[#This Row],[Use_E6]]="Yes",Tab_Data_Flows[[#This Row],[E6_Fraction'[%']]]*Tab_Data_Flows[[#This Row],[E1_value]],"N.A.")</f>
        <v>N.A.</v>
      </c>
      <c r="AL107" s="6" t="str">
        <f>Tab_Data_Flows[[#This Row],[E1_UoM]]</f>
        <v>Mg</v>
      </c>
    </row>
    <row r="108" spans="1:38" x14ac:dyDescent="0.25">
      <c r="A108" s="8">
        <f t="shared" si="4"/>
        <v>107</v>
      </c>
      <c r="B108" s="6" t="str">
        <f>_xlfn.XLOOKUP(C108,Tab_Def_Flows[Flow_Name],Tab_Def_Flows[Flow_ID],,0,)</f>
        <v>F_00_02</v>
      </c>
      <c r="C108" s="138" t="s">
        <v>1233</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No</v>
      </c>
      <c r="I108" s="9" t="str">
        <f>_xlfn.XLOOKUP(C108,Tab_Def_Flows[Flow_Name],Tab_Def_Flows[Use_E6],,0,)</f>
        <v>No</v>
      </c>
      <c r="J108" s="188">
        <v>2030</v>
      </c>
      <c r="K108" s="189">
        <v>516642.78423529404</v>
      </c>
      <c r="L108" s="6" t="str">
        <f>'0_Configuration'!$C$41</f>
        <v>Mg</v>
      </c>
      <c r="M108" s="13" t="s">
        <v>1263</v>
      </c>
      <c r="N108" s="13">
        <v>2025</v>
      </c>
      <c r="O108" s="13" t="s">
        <v>1260</v>
      </c>
      <c r="P108" s="13" t="s">
        <v>1261</v>
      </c>
      <c r="Q108" s="13" t="s">
        <v>1369</v>
      </c>
      <c r="R108" s="7" t="s">
        <v>6</v>
      </c>
      <c r="S108" s="7"/>
      <c r="T108" s="7"/>
      <c r="U108" s="139">
        <f>_xlfn.XLOOKUP(Tab_Data_Flows[[#This Row],[Flow_Name]],Tab_Def_Flows[Flow_Name],Tab_Def_Flows[Flow_E1_Fraction'[%']],"N.A.",0,1)</f>
        <v>1</v>
      </c>
      <c r="V108" s="12">
        <f t="shared" si="3"/>
        <v>516642.78423529404</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1</v>
      </c>
      <c r="AB108" s="6">
        <f>IF(E108="Yes",AA108*Tab_Data_Flows[[#This Row],[E1_value]],"N.A.")</f>
        <v>516642.78423529404</v>
      </c>
      <c r="AC108" s="6" t="str">
        <f>Tab_Data_Flows[[#This Row],[E1_UoM]]</f>
        <v>Mg</v>
      </c>
      <c r="AD108" s="139">
        <f>_xlfn.XLOOKUP(Tab_Data_Flows[[#This Row],[Flow_Name]],Tab_Def_Flows[Flow_Name],Tab_Def_Flows[Flow_E4_Fraction'[%']],"N.A.",0,1)</f>
        <v>1</v>
      </c>
      <c r="AE108" s="6">
        <f>IF(G108="Yes",Tab_Data_Flows[[#This Row],[E4_Fraction'[%']]]*Tab_Data_Flows[[#This Row],[E1_value]],"N.A.")</f>
        <v>516642.78423529404</v>
      </c>
      <c r="AF108" s="6" t="str">
        <f>Tab_Data_Flows[[#This Row],[E1_UoM]]</f>
        <v>Mg</v>
      </c>
      <c r="AG108" s="139">
        <f>_xlfn.XLOOKUP(Tab_Data_Flows[[#This Row],[Flow_Name]],Tab_Def_Flows[Flow_Name],Tab_Def_Flows[Flow_E5_Fraction'[%']],"N.A.",0,1)</f>
        <v>0</v>
      </c>
      <c r="AH108" s="6" t="str">
        <f>IF(H108="Yes",Tab_Data_Flows[[#This Row],[E5_Fraction'[%']]]*Tab_Data_Flows[[#This Row],[E1_value]],"N.A.")</f>
        <v>N.A.</v>
      </c>
      <c r="AI108" s="6" t="str">
        <f>Tab_Data_Flows[[#This Row],[E1_UoM]]</f>
        <v>Mg</v>
      </c>
      <c r="AJ108" s="139">
        <f>_xlfn.XLOOKUP(Tab_Data_Flows[[#This Row],[Flow_Name]],Tab_Def_Flows[Flow_Name],Tab_Def_Flows[Flow_E6_Fraction'[%']],"N.A.",0,1)</f>
        <v>0</v>
      </c>
      <c r="AK108" s="6" t="str">
        <f>IF(Tab_Data_Flows[[#This Row],[Use_E6]]="Yes",Tab_Data_Flows[[#This Row],[E6_Fraction'[%']]]*Tab_Data_Flows[[#This Row],[E1_value]],"N.A.")</f>
        <v>N.A.</v>
      </c>
      <c r="AL108" s="6" t="str">
        <f>Tab_Data_Flows[[#This Row],[E1_UoM]]</f>
        <v>Mg</v>
      </c>
    </row>
    <row r="109" spans="1:38" x14ac:dyDescent="0.25">
      <c r="A109" s="8">
        <f t="shared" si="4"/>
        <v>108</v>
      </c>
      <c r="B109" s="6" t="str">
        <f>_xlfn.XLOOKUP(C109,Tab_Def_Flows[Flow_Name],Tab_Def_Flows[Flow_ID],,0,)</f>
        <v>F_00_02</v>
      </c>
      <c r="C109" s="138" t="s">
        <v>1233</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No</v>
      </c>
      <c r="I109" s="9" t="str">
        <f>_xlfn.XLOOKUP(C109,Tab_Def_Flows[Flow_Name],Tab_Def_Flows[Use_E6],,0,)</f>
        <v>No</v>
      </c>
      <c r="J109" s="188">
        <v>2031</v>
      </c>
      <c r="K109" s="189">
        <v>579436.65299999993</v>
      </c>
      <c r="L109" s="6" t="str">
        <f>'0_Configuration'!$C$41</f>
        <v>Mg</v>
      </c>
      <c r="M109" s="13" t="s">
        <v>1263</v>
      </c>
      <c r="N109" s="13">
        <v>2025</v>
      </c>
      <c r="O109" s="13" t="s">
        <v>1260</v>
      </c>
      <c r="P109" s="13" t="s">
        <v>1261</v>
      </c>
      <c r="Q109" s="13" t="s">
        <v>1370</v>
      </c>
      <c r="R109" s="7" t="s">
        <v>6</v>
      </c>
      <c r="S109" s="7"/>
      <c r="T109" s="7"/>
      <c r="U109" s="139">
        <f>_xlfn.XLOOKUP(Tab_Data_Flows[[#This Row],[Flow_Name]],Tab_Def_Flows[Flow_Name],Tab_Def_Flows[Flow_E1_Fraction'[%']],"N.A.",0,1)</f>
        <v>1</v>
      </c>
      <c r="V109" s="12">
        <f t="shared" si="3"/>
        <v>579436.65299999993</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1</v>
      </c>
      <c r="AB109" s="6">
        <f>IF(E109="Yes",AA109*Tab_Data_Flows[[#This Row],[E1_value]],"N.A.")</f>
        <v>579436.65299999993</v>
      </c>
      <c r="AC109" s="6" t="str">
        <f>Tab_Data_Flows[[#This Row],[E1_UoM]]</f>
        <v>Mg</v>
      </c>
      <c r="AD109" s="139">
        <f>_xlfn.XLOOKUP(Tab_Data_Flows[[#This Row],[Flow_Name]],Tab_Def_Flows[Flow_Name],Tab_Def_Flows[Flow_E4_Fraction'[%']],"N.A.",0,1)</f>
        <v>1</v>
      </c>
      <c r="AE109" s="6">
        <f>IF(G109="Yes",Tab_Data_Flows[[#This Row],[E4_Fraction'[%']]]*Tab_Data_Flows[[#This Row],[E1_value]],"N.A.")</f>
        <v>579436.65299999993</v>
      </c>
      <c r="AF109" s="6" t="str">
        <f>Tab_Data_Flows[[#This Row],[E1_UoM]]</f>
        <v>Mg</v>
      </c>
      <c r="AG109" s="139">
        <f>_xlfn.XLOOKUP(Tab_Data_Flows[[#This Row],[Flow_Name]],Tab_Def_Flows[Flow_Name],Tab_Def_Flows[Flow_E5_Fraction'[%']],"N.A.",0,1)</f>
        <v>0</v>
      </c>
      <c r="AH109" s="6" t="str">
        <f>IF(H109="Yes",Tab_Data_Flows[[#This Row],[E5_Fraction'[%']]]*Tab_Data_Flows[[#This Row],[E1_value]],"N.A.")</f>
        <v>N.A.</v>
      </c>
      <c r="AI109" s="6" t="str">
        <f>Tab_Data_Flows[[#This Row],[E1_UoM]]</f>
        <v>Mg</v>
      </c>
      <c r="AJ109" s="139">
        <f>_xlfn.XLOOKUP(Tab_Data_Flows[[#This Row],[Flow_Name]],Tab_Def_Flows[Flow_Name],Tab_Def_Flows[Flow_E6_Fraction'[%']],"N.A.",0,1)</f>
        <v>0</v>
      </c>
      <c r="AK109" s="6" t="str">
        <f>IF(Tab_Data_Flows[[#This Row],[Use_E6]]="Yes",Tab_Data_Flows[[#This Row],[E6_Fraction'[%']]]*Tab_Data_Flows[[#This Row],[E1_value]],"N.A.")</f>
        <v>N.A.</v>
      </c>
      <c r="AL109" s="6" t="str">
        <f>Tab_Data_Flows[[#This Row],[E1_UoM]]</f>
        <v>Mg</v>
      </c>
    </row>
    <row r="110" spans="1:38" x14ac:dyDescent="0.25">
      <c r="A110" s="8">
        <f t="shared" si="4"/>
        <v>109</v>
      </c>
      <c r="B110" s="6" t="str">
        <f>_xlfn.XLOOKUP(C110,Tab_Def_Flows[Flow_Name],Tab_Def_Flows[Flow_ID],,0,)</f>
        <v>F_00_02</v>
      </c>
      <c r="C110" s="138" t="s">
        <v>1233</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No</v>
      </c>
      <c r="I110" s="9" t="str">
        <f>_xlfn.XLOOKUP(C110,Tab_Def_Flows[Flow_Name],Tab_Def_Flows[Use_E6],,0,)</f>
        <v>No</v>
      </c>
      <c r="J110" s="188">
        <v>2032</v>
      </c>
      <c r="K110" s="189">
        <v>560079.71735294128</v>
      </c>
      <c r="L110" s="6" t="str">
        <f>'0_Configuration'!$C$41</f>
        <v>Mg</v>
      </c>
      <c r="M110" s="13" t="s">
        <v>1263</v>
      </c>
      <c r="N110" s="13">
        <v>2025</v>
      </c>
      <c r="O110" s="13" t="s">
        <v>1260</v>
      </c>
      <c r="P110" s="13" t="s">
        <v>1261</v>
      </c>
      <c r="Q110" s="13" t="s">
        <v>1371</v>
      </c>
      <c r="R110" s="7" t="s">
        <v>6</v>
      </c>
      <c r="S110" s="7"/>
      <c r="T110" s="7"/>
      <c r="U110" s="139">
        <f>_xlfn.XLOOKUP(Tab_Data_Flows[[#This Row],[Flow_Name]],Tab_Def_Flows[Flow_Name],Tab_Def_Flows[Flow_E1_Fraction'[%']],"N.A.",0,1)</f>
        <v>1</v>
      </c>
      <c r="V110" s="12">
        <f t="shared" si="3"/>
        <v>560079.71735294128</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1</v>
      </c>
      <c r="AB110" s="6">
        <f>IF(E110="Yes",AA110*Tab_Data_Flows[[#This Row],[E1_value]],"N.A.")</f>
        <v>560079.71735294128</v>
      </c>
      <c r="AC110" s="6" t="str">
        <f>Tab_Data_Flows[[#This Row],[E1_UoM]]</f>
        <v>Mg</v>
      </c>
      <c r="AD110" s="139">
        <f>_xlfn.XLOOKUP(Tab_Data_Flows[[#This Row],[Flow_Name]],Tab_Def_Flows[Flow_Name],Tab_Def_Flows[Flow_E4_Fraction'[%']],"N.A.",0,1)</f>
        <v>1</v>
      </c>
      <c r="AE110" s="6">
        <f>IF(G110="Yes",Tab_Data_Flows[[#This Row],[E4_Fraction'[%']]]*Tab_Data_Flows[[#This Row],[E1_value]],"N.A.")</f>
        <v>560079.71735294128</v>
      </c>
      <c r="AF110" s="6" t="str">
        <f>Tab_Data_Flows[[#This Row],[E1_UoM]]</f>
        <v>Mg</v>
      </c>
      <c r="AG110" s="139">
        <f>_xlfn.XLOOKUP(Tab_Data_Flows[[#This Row],[Flow_Name]],Tab_Def_Flows[Flow_Name],Tab_Def_Flows[Flow_E5_Fraction'[%']],"N.A.",0,1)</f>
        <v>0</v>
      </c>
      <c r="AH110" s="6" t="str">
        <f>IF(H110="Yes",Tab_Data_Flows[[#This Row],[E5_Fraction'[%']]]*Tab_Data_Flows[[#This Row],[E1_value]],"N.A.")</f>
        <v>N.A.</v>
      </c>
      <c r="AI110" s="6" t="str">
        <f>Tab_Data_Flows[[#This Row],[E1_UoM]]</f>
        <v>Mg</v>
      </c>
      <c r="AJ110" s="139">
        <f>_xlfn.XLOOKUP(Tab_Data_Flows[[#This Row],[Flow_Name]],Tab_Def_Flows[Flow_Name],Tab_Def_Flows[Flow_E6_Fraction'[%']],"N.A.",0,1)</f>
        <v>0</v>
      </c>
      <c r="AK110" s="6" t="str">
        <f>IF(Tab_Data_Flows[[#This Row],[Use_E6]]="Yes",Tab_Data_Flows[[#This Row],[E6_Fraction'[%']]]*Tab_Data_Flows[[#This Row],[E1_value]],"N.A.")</f>
        <v>N.A.</v>
      </c>
      <c r="AL110" s="6" t="str">
        <f>Tab_Data_Flows[[#This Row],[E1_UoM]]</f>
        <v>Mg</v>
      </c>
    </row>
    <row r="111" spans="1:38" x14ac:dyDescent="0.25">
      <c r="A111" s="8">
        <f t="shared" si="4"/>
        <v>110</v>
      </c>
      <c r="B111" s="6" t="str">
        <f>_xlfn.XLOOKUP(C111,Tab_Def_Flows[Flow_Name],Tab_Def_Flows[Flow_ID],,0,)</f>
        <v>F_00_02</v>
      </c>
      <c r="C111" s="138" t="s">
        <v>1233</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No</v>
      </c>
      <c r="I111" s="9" t="str">
        <f>_xlfn.XLOOKUP(C111,Tab_Def_Flows[Flow_Name],Tab_Def_Flows[Use_E6],,0,)</f>
        <v>No</v>
      </c>
      <c r="J111" s="188">
        <v>2033</v>
      </c>
      <c r="K111" s="189">
        <v>588602.65694117651</v>
      </c>
      <c r="L111" s="6" t="str">
        <f>'0_Configuration'!$C$41</f>
        <v>Mg</v>
      </c>
      <c r="M111" s="13" t="s">
        <v>1263</v>
      </c>
      <c r="N111" s="13">
        <v>2025</v>
      </c>
      <c r="O111" s="13" t="s">
        <v>1260</v>
      </c>
      <c r="P111" s="13" t="s">
        <v>1261</v>
      </c>
      <c r="Q111" s="13" t="s">
        <v>1372</v>
      </c>
      <c r="R111" s="7" t="s">
        <v>6</v>
      </c>
      <c r="S111" s="7"/>
      <c r="T111" s="7"/>
      <c r="U111" s="139">
        <f>_xlfn.XLOOKUP(Tab_Data_Flows[[#This Row],[Flow_Name]],Tab_Def_Flows[Flow_Name],Tab_Def_Flows[Flow_E1_Fraction'[%']],"N.A.",0,1)</f>
        <v>1</v>
      </c>
      <c r="V111" s="12">
        <f t="shared" si="3"/>
        <v>588602.65694117651</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1</v>
      </c>
      <c r="AB111" s="6">
        <f>IF(E111="Yes",AA111*Tab_Data_Flows[[#This Row],[E1_value]],"N.A.")</f>
        <v>588602.65694117651</v>
      </c>
      <c r="AC111" s="6" t="str">
        <f>Tab_Data_Flows[[#This Row],[E1_UoM]]</f>
        <v>Mg</v>
      </c>
      <c r="AD111" s="139">
        <f>_xlfn.XLOOKUP(Tab_Data_Flows[[#This Row],[Flow_Name]],Tab_Def_Flows[Flow_Name],Tab_Def_Flows[Flow_E4_Fraction'[%']],"N.A.",0,1)</f>
        <v>1</v>
      </c>
      <c r="AE111" s="6">
        <f>IF(G111="Yes",Tab_Data_Flows[[#This Row],[E4_Fraction'[%']]]*Tab_Data_Flows[[#This Row],[E1_value]],"N.A.")</f>
        <v>588602.65694117651</v>
      </c>
      <c r="AF111" s="6" t="str">
        <f>Tab_Data_Flows[[#This Row],[E1_UoM]]</f>
        <v>Mg</v>
      </c>
      <c r="AG111" s="139">
        <f>_xlfn.XLOOKUP(Tab_Data_Flows[[#This Row],[Flow_Name]],Tab_Def_Flows[Flow_Name],Tab_Def_Flows[Flow_E5_Fraction'[%']],"N.A.",0,1)</f>
        <v>0</v>
      </c>
      <c r="AH111" s="6" t="str">
        <f>IF(H111="Yes",Tab_Data_Flows[[#This Row],[E5_Fraction'[%']]]*Tab_Data_Flows[[#This Row],[E1_value]],"N.A.")</f>
        <v>N.A.</v>
      </c>
      <c r="AI111" s="6" t="str">
        <f>Tab_Data_Flows[[#This Row],[E1_UoM]]</f>
        <v>Mg</v>
      </c>
      <c r="AJ111" s="139">
        <f>_xlfn.XLOOKUP(Tab_Data_Flows[[#This Row],[Flow_Name]],Tab_Def_Flows[Flow_Name],Tab_Def_Flows[Flow_E6_Fraction'[%']],"N.A.",0,1)</f>
        <v>0</v>
      </c>
      <c r="AK111" s="6" t="str">
        <f>IF(Tab_Data_Flows[[#This Row],[Use_E6]]="Yes",Tab_Data_Flows[[#This Row],[E6_Fraction'[%']]]*Tab_Data_Flows[[#This Row],[E1_value]],"N.A.")</f>
        <v>N.A.</v>
      </c>
      <c r="AL111" s="6" t="str">
        <f>Tab_Data_Flows[[#This Row],[E1_UoM]]</f>
        <v>Mg</v>
      </c>
    </row>
    <row r="112" spans="1:38" x14ac:dyDescent="0.25">
      <c r="A112" s="8">
        <f t="shared" si="4"/>
        <v>111</v>
      </c>
      <c r="B112" s="6" t="str">
        <f>_xlfn.XLOOKUP(C112,Tab_Def_Flows[Flow_Name],Tab_Def_Flows[Flow_ID],,0,)</f>
        <v>F_00_02</v>
      </c>
      <c r="C112" s="138" t="s">
        <v>1233</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No</v>
      </c>
      <c r="I112" s="9" t="str">
        <f>_xlfn.XLOOKUP(C112,Tab_Def_Flows[Flow_Name],Tab_Def_Flows[Use_E6],,0,)</f>
        <v>No</v>
      </c>
      <c r="J112" s="188">
        <v>2034</v>
      </c>
      <c r="K112" s="189">
        <v>524134.49717647053</v>
      </c>
      <c r="L112" s="6" t="str">
        <f>'0_Configuration'!$C$41</f>
        <v>Mg</v>
      </c>
      <c r="M112" s="13" t="s">
        <v>1263</v>
      </c>
      <c r="N112" s="13">
        <v>2025</v>
      </c>
      <c r="O112" s="13" t="s">
        <v>1260</v>
      </c>
      <c r="P112" s="13" t="s">
        <v>1261</v>
      </c>
      <c r="Q112" s="13" t="s">
        <v>1373</v>
      </c>
      <c r="R112" s="7" t="s">
        <v>6</v>
      </c>
      <c r="S112" s="7"/>
      <c r="T112" s="7"/>
      <c r="U112" s="139">
        <f>_xlfn.XLOOKUP(Tab_Data_Flows[[#This Row],[Flow_Name]],Tab_Def_Flows[Flow_Name],Tab_Def_Flows[Flow_E1_Fraction'[%']],"N.A.",0,1)</f>
        <v>1</v>
      </c>
      <c r="V112" s="12">
        <f t="shared" si="3"/>
        <v>524134.49717647053</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1</v>
      </c>
      <c r="AB112" s="6">
        <f>IF(E112="Yes",AA112*Tab_Data_Flows[[#This Row],[E1_value]],"N.A.")</f>
        <v>524134.49717647053</v>
      </c>
      <c r="AC112" s="6" t="str">
        <f>Tab_Data_Flows[[#This Row],[E1_UoM]]</f>
        <v>Mg</v>
      </c>
      <c r="AD112" s="139">
        <f>_xlfn.XLOOKUP(Tab_Data_Flows[[#This Row],[Flow_Name]],Tab_Def_Flows[Flow_Name],Tab_Def_Flows[Flow_E4_Fraction'[%']],"N.A.",0,1)</f>
        <v>1</v>
      </c>
      <c r="AE112" s="6">
        <f>IF(G112="Yes",Tab_Data_Flows[[#This Row],[E4_Fraction'[%']]]*Tab_Data_Flows[[#This Row],[E1_value]],"N.A.")</f>
        <v>524134.49717647053</v>
      </c>
      <c r="AF112" s="6" t="str">
        <f>Tab_Data_Flows[[#This Row],[E1_UoM]]</f>
        <v>Mg</v>
      </c>
      <c r="AG112" s="139">
        <f>_xlfn.XLOOKUP(Tab_Data_Flows[[#This Row],[Flow_Name]],Tab_Def_Flows[Flow_Name],Tab_Def_Flows[Flow_E5_Fraction'[%']],"N.A.",0,1)</f>
        <v>0</v>
      </c>
      <c r="AH112" s="6" t="str">
        <f>IF(H112="Yes",Tab_Data_Flows[[#This Row],[E5_Fraction'[%']]]*Tab_Data_Flows[[#This Row],[E1_value]],"N.A.")</f>
        <v>N.A.</v>
      </c>
      <c r="AI112" s="6" t="str">
        <f>Tab_Data_Flows[[#This Row],[E1_UoM]]</f>
        <v>Mg</v>
      </c>
      <c r="AJ112" s="139">
        <f>_xlfn.XLOOKUP(Tab_Data_Flows[[#This Row],[Flow_Name]],Tab_Def_Flows[Flow_Name],Tab_Def_Flows[Flow_E6_Fraction'[%']],"N.A.",0,1)</f>
        <v>0</v>
      </c>
      <c r="AK112" s="6" t="str">
        <f>IF(Tab_Data_Flows[[#This Row],[Use_E6]]="Yes",Tab_Data_Flows[[#This Row],[E6_Fraction'[%']]]*Tab_Data_Flows[[#This Row],[E1_value]],"N.A.")</f>
        <v>N.A.</v>
      </c>
      <c r="AL112" s="6" t="str">
        <f>Tab_Data_Flows[[#This Row],[E1_UoM]]</f>
        <v>Mg</v>
      </c>
    </row>
    <row r="113" spans="1:38" x14ac:dyDescent="0.25">
      <c r="A113" s="8">
        <f t="shared" si="4"/>
        <v>112</v>
      </c>
      <c r="B113" s="6" t="str">
        <f>_xlfn.XLOOKUP(C113,Tab_Def_Flows[Flow_Name],Tab_Def_Flows[Flow_ID],,0,)</f>
        <v>F_00_02</v>
      </c>
      <c r="C113" s="138" t="s">
        <v>1233</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No</v>
      </c>
      <c r="I113" s="9" t="str">
        <f>_xlfn.XLOOKUP(C113,Tab_Def_Flows[Flow_Name],Tab_Def_Flows[Use_E6],,0,)</f>
        <v>No</v>
      </c>
      <c r="J113" s="188">
        <v>2035</v>
      </c>
      <c r="K113" s="189">
        <v>570499.05494117655</v>
      </c>
      <c r="L113" s="6" t="str">
        <f>'0_Configuration'!$C$41</f>
        <v>Mg</v>
      </c>
      <c r="M113" s="13" t="s">
        <v>1263</v>
      </c>
      <c r="N113" s="13">
        <v>2025</v>
      </c>
      <c r="O113" s="13" t="s">
        <v>1260</v>
      </c>
      <c r="P113" s="13" t="s">
        <v>1261</v>
      </c>
      <c r="Q113" s="13" t="s">
        <v>1374</v>
      </c>
      <c r="R113" s="7" t="s">
        <v>6</v>
      </c>
      <c r="S113" s="7"/>
      <c r="T113" s="7"/>
      <c r="U113" s="139">
        <f>_xlfn.XLOOKUP(Tab_Data_Flows[[#This Row],[Flow_Name]],Tab_Def_Flows[Flow_Name],Tab_Def_Flows[Flow_E1_Fraction'[%']],"N.A.",0,1)</f>
        <v>1</v>
      </c>
      <c r="V113" s="12">
        <f t="shared" si="3"/>
        <v>570499.05494117655</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1</v>
      </c>
      <c r="AB113" s="6">
        <f>IF(E113="Yes",AA113*Tab_Data_Flows[[#This Row],[E1_value]],"N.A.")</f>
        <v>570499.05494117655</v>
      </c>
      <c r="AC113" s="6" t="str">
        <f>Tab_Data_Flows[[#This Row],[E1_UoM]]</f>
        <v>Mg</v>
      </c>
      <c r="AD113" s="139">
        <f>_xlfn.XLOOKUP(Tab_Data_Flows[[#This Row],[Flow_Name]],Tab_Def_Flows[Flow_Name],Tab_Def_Flows[Flow_E4_Fraction'[%']],"N.A.",0,1)</f>
        <v>1</v>
      </c>
      <c r="AE113" s="6">
        <f>IF(G113="Yes",Tab_Data_Flows[[#This Row],[E4_Fraction'[%']]]*Tab_Data_Flows[[#This Row],[E1_value]],"N.A.")</f>
        <v>570499.05494117655</v>
      </c>
      <c r="AF113" s="6" t="str">
        <f>Tab_Data_Flows[[#This Row],[E1_UoM]]</f>
        <v>Mg</v>
      </c>
      <c r="AG113" s="139">
        <f>_xlfn.XLOOKUP(Tab_Data_Flows[[#This Row],[Flow_Name]],Tab_Def_Flows[Flow_Name],Tab_Def_Flows[Flow_E5_Fraction'[%']],"N.A.",0,1)</f>
        <v>0</v>
      </c>
      <c r="AH113" s="6" t="str">
        <f>IF(H113="Yes",Tab_Data_Flows[[#This Row],[E5_Fraction'[%']]]*Tab_Data_Flows[[#This Row],[E1_value]],"N.A.")</f>
        <v>N.A.</v>
      </c>
      <c r="AI113" s="6" t="str">
        <f>Tab_Data_Flows[[#This Row],[E1_UoM]]</f>
        <v>Mg</v>
      </c>
      <c r="AJ113" s="139">
        <f>_xlfn.XLOOKUP(Tab_Data_Flows[[#This Row],[Flow_Name]],Tab_Def_Flows[Flow_Name],Tab_Def_Flows[Flow_E6_Fraction'[%']],"N.A.",0,1)</f>
        <v>0</v>
      </c>
      <c r="AK113" s="6" t="str">
        <f>IF(Tab_Data_Flows[[#This Row],[Use_E6]]="Yes",Tab_Data_Flows[[#This Row],[E6_Fraction'[%']]]*Tab_Data_Flows[[#This Row],[E1_value]],"N.A.")</f>
        <v>N.A.</v>
      </c>
      <c r="AL113" s="6" t="str">
        <f>Tab_Data_Flows[[#This Row],[E1_UoM]]</f>
        <v>Mg</v>
      </c>
    </row>
    <row r="114" spans="1:38" x14ac:dyDescent="0.25">
      <c r="A114" s="8">
        <f t="shared" si="4"/>
        <v>113</v>
      </c>
      <c r="B114" s="6" t="str">
        <f>_xlfn.XLOOKUP(C114,Tab_Def_Flows[Flow_Name],Tab_Def_Flows[Flow_ID],,0,)</f>
        <v>F_00_02</v>
      </c>
      <c r="C114" s="138" t="s">
        <v>1233</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No</v>
      </c>
      <c r="I114" s="9" t="str">
        <f>_xlfn.XLOOKUP(C114,Tab_Def_Flows[Flow_Name],Tab_Def_Flows[Use_E6],,0,)</f>
        <v>No</v>
      </c>
      <c r="J114" s="188">
        <v>2036</v>
      </c>
      <c r="K114" s="189">
        <v>565926.43747058837</v>
      </c>
      <c r="L114" s="6" t="str">
        <f>'0_Configuration'!$C$41</f>
        <v>Mg</v>
      </c>
      <c r="M114" s="13" t="s">
        <v>1263</v>
      </c>
      <c r="N114" s="13">
        <v>2025</v>
      </c>
      <c r="O114" s="13" t="s">
        <v>1260</v>
      </c>
      <c r="P114" s="13" t="s">
        <v>1261</v>
      </c>
      <c r="Q114" s="13" t="s">
        <v>1375</v>
      </c>
      <c r="R114" s="7" t="s">
        <v>6</v>
      </c>
      <c r="S114" s="7"/>
      <c r="T114" s="7"/>
      <c r="U114" s="139">
        <f>_xlfn.XLOOKUP(Tab_Data_Flows[[#This Row],[Flow_Name]],Tab_Def_Flows[Flow_Name],Tab_Def_Flows[Flow_E1_Fraction'[%']],"N.A.",0,1)</f>
        <v>1</v>
      </c>
      <c r="V114" s="12">
        <f t="shared" si="3"/>
        <v>565926.43747058837</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1</v>
      </c>
      <c r="AB114" s="6">
        <f>IF(E114="Yes",AA114*Tab_Data_Flows[[#This Row],[E1_value]],"N.A.")</f>
        <v>565926.43747058837</v>
      </c>
      <c r="AC114" s="6" t="str">
        <f>Tab_Data_Flows[[#This Row],[E1_UoM]]</f>
        <v>Mg</v>
      </c>
      <c r="AD114" s="139">
        <f>_xlfn.XLOOKUP(Tab_Data_Flows[[#This Row],[Flow_Name]],Tab_Def_Flows[Flow_Name],Tab_Def_Flows[Flow_E4_Fraction'[%']],"N.A.",0,1)</f>
        <v>1</v>
      </c>
      <c r="AE114" s="6">
        <f>IF(G114="Yes",Tab_Data_Flows[[#This Row],[E4_Fraction'[%']]]*Tab_Data_Flows[[#This Row],[E1_value]],"N.A.")</f>
        <v>565926.43747058837</v>
      </c>
      <c r="AF114" s="6" t="str">
        <f>Tab_Data_Flows[[#This Row],[E1_UoM]]</f>
        <v>Mg</v>
      </c>
      <c r="AG114" s="139">
        <f>_xlfn.XLOOKUP(Tab_Data_Flows[[#This Row],[Flow_Name]],Tab_Def_Flows[Flow_Name],Tab_Def_Flows[Flow_E5_Fraction'[%']],"N.A.",0,1)</f>
        <v>0</v>
      </c>
      <c r="AH114" s="6" t="str">
        <f>IF(H114="Yes",Tab_Data_Flows[[#This Row],[E5_Fraction'[%']]]*Tab_Data_Flows[[#This Row],[E1_value]],"N.A.")</f>
        <v>N.A.</v>
      </c>
      <c r="AI114" s="6" t="str">
        <f>Tab_Data_Flows[[#This Row],[E1_UoM]]</f>
        <v>Mg</v>
      </c>
      <c r="AJ114" s="139">
        <f>_xlfn.XLOOKUP(Tab_Data_Flows[[#This Row],[Flow_Name]],Tab_Def_Flows[Flow_Name],Tab_Def_Flows[Flow_E6_Fraction'[%']],"N.A.",0,1)</f>
        <v>0</v>
      </c>
      <c r="AK114" s="6" t="str">
        <f>IF(Tab_Data_Flows[[#This Row],[Use_E6]]="Yes",Tab_Data_Flows[[#This Row],[E6_Fraction'[%']]]*Tab_Data_Flows[[#This Row],[E1_value]],"N.A.")</f>
        <v>N.A.</v>
      </c>
      <c r="AL114" s="6" t="str">
        <f>Tab_Data_Flows[[#This Row],[E1_UoM]]</f>
        <v>Mg</v>
      </c>
    </row>
    <row r="115" spans="1:38" x14ac:dyDescent="0.25">
      <c r="A115" s="8">
        <f t="shared" si="4"/>
        <v>114</v>
      </c>
      <c r="B115" s="6" t="str">
        <f>_xlfn.XLOOKUP(C115,Tab_Def_Flows[Flow_Name],Tab_Def_Flows[Flow_ID],,0,)</f>
        <v>F_00_02</v>
      </c>
      <c r="C115" s="138" t="s">
        <v>1233</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No</v>
      </c>
      <c r="I115" s="9" t="str">
        <f>_xlfn.XLOOKUP(C115,Tab_Def_Flows[Flow_Name],Tab_Def_Flows[Use_E6],,0,)</f>
        <v>No</v>
      </c>
      <c r="J115" s="188">
        <v>2037</v>
      </c>
      <c r="K115" s="189">
        <v>562395.02452941181</v>
      </c>
      <c r="L115" s="6" t="str">
        <f>'0_Configuration'!$C$41</f>
        <v>Mg</v>
      </c>
      <c r="M115" s="13" t="s">
        <v>1263</v>
      </c>
      <c r="N115" s="13">
        <v>2025</v>
      </c>
      <c r="O115" s="13" t="s">
        <v>1260</v>
      </c>
      <c r="P115" s="13" t="s">
        <v>1261</v>
      </c>
      <c r="Q115" s="13" t="s">
        <v>1376</v>
      </c>
      <c r="R115" s="7" t="s">
        <v>6</v>
      </c>
      <c r="S115" s="7"/>
      <c r="T115" s="7"/>
      <c r="U115" s="139">
        <f>_xlfn.XLOOKUP(Tab_Data_Flows[[#This Row],[Flow_Name]],Tab_Def_Flows[Flow_Name],Tab_Def_Flows[Flow_E1_Fraction'[%']],"N.A.",0,1)</f>
        <v>1</v>
      </c>
      <c r="V115" s="12">
        <f t="shared" si="3"/>
        <v>562395.02452941181</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1</v>
      </c>
      <c r="AB115" s="6">
        <f>IF(E115="Yes",AA115*Tab_Data_Flows[[#This Row],[E1_value]],"N.A.")</f>
        <v>562395.02452941181</v>
      </c>
      <c r="AC115" s="6" t="str">
        <f>Tab_Data_Flows[[#This Row],[E1_UoM]]</f>
        <v>Mg</v>
      </c>
      <c r="AD115" s="139">
        <f>_xlfn.XLOOKUP(Tab_Data_Flows[[#This Row],[Flow_Name]],Tab_Def_Flows[Flow_Name],Tab_Def_Flows[Flow_E4_Fraction'[%']],"N.A.",0,1)</f>
        <v>1</v>
      </c>
      <c r="AE115" s="6">
        <f>IF(G115="Yes",Tab_Data_Flows[[#This Row],[E4_Fraction'[%']]]*Tab_Data_Flows[[#This Row],[E1_value]],"N.A.")</f>
        <v>562395.02452941181</v>
      </c>
      <c r="AF115" s="6" t="str">
        <f>Tab_Data_Flows[[#This Row],[E1_UoM]]</f>
        <v>Mg</v>
      </c>
      <c r="AG115" s="139">
        <f>_xlfn.XLOOKUP(Tab_Data_Flows[[#This Row],[Flow_Name]],Tab_Def_Flows[Flow_Name],Tab_Def_Flows[Flow_E5_Fraction'[%']],"N.A.",0,1)</f>
        <v>0</v>
      </c>
      <c r="AH115" s="6" t="str">
        <f>IF(H115="Yes",Tab_Data_Flows[[#This Row],[E5_Fraction'[%']]]*Tab_Data_Flows[[#This Row],[E1_value]],"N.A.")</f>
        <v>N.A.</v>
      </c>
      <c r="AI115" s="6" t="str">
        <f>Tab_Data_Flows[[#This Row],[E1_UoM]]</f>
        <v>Mg</v>
      </c>
      <c r="AJ115" s="139">
        <f>_xlfn.XLOOKUP(Tab_Data_Flows[[#This Row],[Flow_Name]],Tab_Def_Flows[Flow_Name],Tab_Def_Flows[Flow_E6_Fraction'[%']],"N.A.",0,1)</f>
        <v>0</v>
      </c>
      <c r="AK115" s="6" t="str">
        <f>IF(Tab_Data_Flows[[#This Row],[Use_E6]]="Yes",Tab_Data_Flows[[#This Row],[E6_Fraction'[%']]]*Tab_Data_Flows[[#This Row],[E1_value]],"N.A.")</f>
        <v>N.A.</v>
      </c>
      <c r="AL115" s="6" t="str">
        <f>Tab_Data_Flows[[#This Row],[E1_UoM]]</f>
        <v>Mg</v>
      </c>
    </row>
    <row r="116" spans="1:38" x14ac:dyDescent="0.25">
      <c r="A116" s="8">
        <f t="shared" si="4"/>
        <v>115</v>
      </c>
      <c r="B116" s="6" t="str">
        <f>_xlfn.XLOOKUP(C116,Tab_Def_Flows[Flow_Name],Tab_Def_Flows[Flow_ID],,0,)</f>
        <v>F_00_02</v>
      </c>
      <c r="C116" s="138" t="s">
        <v>1233</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No</v>
      </c>
      <c r="I116" s="9" t="str">
        <f>_xlfn.XLOOKUP(C116,Tab_Def_Flows[Flow_Name],Tab_Def_Flows[Use_E6],,0,)</f>
        <v>No</v>
      </c>
      <c r="J116" s="188">
        <v>2038</v>
      </c>
      <c r="K116" s="189">
        <v>469439.96170588234</v>
      </c>
      <c r="L116" s="6" t="str">
        <f>'0_Configuration'!$C$41</f>
        <v>Mg</v>
      </c>
      <c r="M116" s="13" t="s">
        <v>1263</v>
      </c>
      <c r="N116" s="13">
        <v>2025</v>
      </c>
      <c r="O116" s="13" t="s">
        <v>1260</v>
      </c>
      <c r="P116" s="13" t="s">
        <v>1261</v>
      </c>
      <c r="Q116" s="13" t="s">
        <v>1377</v>
      </c>
      <c r="R116" s="7" t="s">
        <v>6</v>
      </c>
      <c r="S116" s="7"/>
      <c r="T116" s="7"/>
      <c r="U116" s="139">
        <f>_xlfn.XLOOKUP(Tab_Data_Flows[[#This Row],[Flow_Name]],Tab_Def_Flows[Flow_Name],Tab_Def_Flows[Flow_E1_Fraction'[%']],"N.A.",0,1)</f>
        <v>1</v>
      </c>
      <c r="V116" s="12">
        <f t="shared" si="3"/>
        <v>469439.96170588234</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1</v>
      </c>
      <c r="AB116" s="6">
        <f>IF(E116="Yes",AA116*Tab_Data_Flows[[#This Row],[E1_value]],"N.A.")</f>
        <v>469439.96170588234</v>
      </c>
      <c r="AC116" s="6" t="str">
        <f>Tab_Data_Flows[[#This Row],[E1_UoM]]</f>
        <v>Mg</v>
      </c>
      <c r="AD116" s="139">
        <f>_xlfn.XLOOKUP(Tab_Data_Flows[[#This Row],[Flow_Name]],Tab_Def_Flows[Flow_Name],Tab_Def_Flows[Flow_E4_Fraction'[%']],"N.A.",0,1)</f>
        <v>1</v>
      </c>
      <c r="AE116" s="6">
        <f>IF(G116="Yes",Tab_Data_Flows[[#This Row],[E4_Fraction'[%']]]*Tab_Data_Flows[[#This Row],[E1_value]],"N.A.")</f>
        <v>469439.96170588234</v>
      </c>
      <c r="AF116" s="6" t="str">
        <f>Tab_Data_Flows[[#This Row],[E1_UoM]]</f>
        <v>Mg</v>
      </c>
      <c r="AG116" s="139">
        <f>_xlfn.XLOOKUP(Tab_Data_Flows[[#This Row],[Flow_Name]],Tab_Def_Flows[Flow_Name],Tab_Def_Flows[Flow_E5_Fraction'[%']],"N.A.",0,1)</f>
        <v>0</v>
      </c>
      <c r="AH116" s="6" t="str">
        <f>IF(H116="Yes",Tab_Data_Flows[[#This Row],[E5_Fraction'[%']]]*Tab_Data_Flows[[#This Row],[E1_value]],"N.A.")</f>
        <v>N.A.</v>
      </c>
      <c r="AI116" s="6" t="str">
        <f>Tab_Data_Flows[[#This Row],[E1_UoM]]</f>
        <v>Mg</v>
      </c>
      <c r="AJ116" s="139">
        <f>_xlfn.XLOOKUP(Tab_Data_Flows[[#This Row],[Flow_Name]],Tab_Def_Flows[Flow_Name],Tab_Def_Flows[Flow_E6_Fraction'[%']],"N.A.",0,1)</f>
        <v>0</v>
      </c>
      <c r="AK116" s="6" t="str">
        <f>IF(Tab_Data_Flows[[#This Row],[Use_E6]]="Yes",Tab_Data_Flows[[#This Row],[E6_Fraction'[%']]]*Tab_Data_Flows[[#This Row],[E1_value]],"N.A.")</f>
        <v>N.A.</v>
      </c>
      <c r="AL116" s="6" t="str">
        <f>Tab_Data_Flows[[#This Row],[E1_UoM]]</f>
        <v>Mg</v>
      </c>
    </row>
    <row r="117" spans="1:38" x14ac:dyDescent="0.25">
      <c r="A117" s="8">
        <f t="shared" si="4"/>
        <v>116</v>
      </c>
      <c r="B117" s="6" t="str">
        <f>_xlfn.XLOOKUP(C117,Tab_Def_Flows[Flow_Name],Tab_Def_Flows[Flow_ID],,0,)</f>
        <v>F_00_02</v>
      </c>
      <c r="C117" s="138" t="s">
        <v>1233</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No</v>
      </c>
      <c r="I117" s="9" t="str">
        <f>_xlfn.XLOOKUP(C117,Tab_Def_Flows[Flow_Name],Tab_Def_Flows[Use_E6],,0,)</f>
        <v>No</v>
      </c>
      <c r="J117" s="188">
        <v>2039</v>
      </c>
      <c r="K117" s="189">
        <v>589479.14364705887</v>
      </c>
      <c r="L117" s="6" t="str">
        <f>'0_Configuration'!$C$41</f>
        <v>Mg</v>
      </c>
      <c r="M117" s="13" t="s">
        <v>1263</v>
      </c>
      <c r="N117" s="13">
        <v>2025</v>
      </c>
      <c r="O117" s="13" t="s">
        <v>1260</v>
      </c>
      <c r="P117" s="13" t="s">
        <v>1261</v>
      </c>
      <c r="Q117" s="13" t="s">
        <v>1378</v>
      </c>
      <c r="R117" s="7" t="s">
        <v>6</v>
      </c>
      <c r="S117" s="7"/>
      <c r="T117" s="7"/>
      <c r="U117" s="139">
        <f>_xlfn.XLOOKUP(Tab_Data_Flows[[#This Row],[Flow_Name]],Tab_Def_Flows[Flow_Name],Tab_Def_Flows[Flow_E1_Fraction'[%']],"N.A.",0,1)</f>
        <v>1</v>
      </c>
      <c r="V117" s="12">
        <f t="shared" si="3"/>
        <v>589479.14364705887</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1</v>
      </c>
      <c r="AB117" s="6">
        <f>IF(E117="Yes",AA117*Tab_Data_Flows[[#This Row],[E1_value]],"N.A.")</f>
        <v>589479.14364705887</v>
      </c>
      <c r="AC117" s="6" t="str">
        <f>Tab_Data_Flows[[#This Row],[E1_UoM]]</f>
        <v>Mg</v>
      </c>
      <c r="AD117" s="139">
        <f>_xlfn.XLOOKUP(Tab_Data_Flows[[#This Row],[Flow_Name]],Tab_Def_Flows[Flow_Name],Tab_Def_Flows[Flow_E4_Fraction'[%']],"N.A.",0,1)</f>
        <v>1</v>
      </c>
      <c r="AE117" s="6">
        <f>IF(G117="Yes",Tab_Data_Flows[[#This Row],[E4_Fraction'[%']]]*Tab_Data_Flows[[#This Row],[E1_value]],"N.A.")</f>
        <v>589479.14364705887</v>
      </c>
      <c r="AF117" s="6" t="str">
        <f>Tab_Data_Flows[[#This Row],[E1_UoM]]</f>
        <v>Mg</v>
      </c>
      <c r="AG117" s="139">
        <f>_xlfn.XLOOKUP(Tab_Data_Flows[[#This Row],[Flow_Name]],Tab_Def_Flows[Flow_Name],Tab_Def_Flows[Flow_E5_Fraction'[%']],"N.A.",0,1)</f>
        <v>0</v>
      </c>
      <c r="AH117" s="6" t="str">
        <f>IF(H117="Yes",Tab_Data_Flows[[#This Row],[E5_Fraction'[%']]]*Tab_Data_Flows[[#This Row],[E1_value]],"N.A.")</f>
        <v>N.A.</v>
      </c>
      <c r="AI117" s="6" t="str">
        <f>Tab_Data_Flows[[#This Row],[E1_UoM]]</f>
        <v>Mg</v>
      </c>
      <c r="AJ117" s="139">
        <f>_xlfn.XLOOKUP(Tab_Data_Flows[[#This Row],[Flow_Name]],Tab_Def_Flows[Flow_Name],Tab_Def_Flows[Flow_E6_Fraction'[%']],"N.A.",0,1)</f>
        <v>0</v>
      </c>
      <c r="AK117" s="6" t="str">
        <f>IF(Tab_Data_Flows[[#This Row],[Use_E6]]="Yes",Tab_Data_Flows[[#This Row],[E6_Fraction'[%']]]*Tab_Data_Flows[[#This Row],[E1_value]],"N.A.")</f>
        <v>N.A.</v>
      </c>
      <c r="AL117" s="6" t="str">
        <f>Tab_Data_Flows[[#This Row],[E1_UoM]]</f>
        <v>Mg</v>
      </c>
    </row>
    <row r="118" spans="1:38" x14ac:dyDescent="0.25">
      <c r="A118" s="8">
        <f t="shared" si="4"/>
        <v>117</v>
      </c>
      <c r="B118" s="6" t="str">
        <f>_xlfn.XLOOKUP(C118,Tab_Def_Flows[Flow_Name],Tab_Def_Flows[Flow_ID],,0,)</f>
        <v>F_00_02</v>
      </c>
      <c r="C118" s="138" t="s">
        <v>1233</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No</v>
      </c>
      <c r="I118" s="9" t="str">
        <f>_xlfn.XLOOKUP(C118,Tab_Def_Flows[Flow_Name],Tab_Def_Flows[Use_E6],,0,)</f>
        <v>No</v>
      </c>
      <c r="J118" s="188">
        <v>2040</v>
      </c>
      <c r="K118" s="189">
        <v>608046.43235294125</v>
      </c>
      <c r="L118" s="6" t="str">
        <f>'0_Configuration'!$C$41</f>
        <v>Mg</v>
      </c>
      <c r="M118" s="13" t="s">
        <v>1263</v>
      </c>
      <c r="N118" s="13">
        <v>2025</v>
      </c>
      <c r="O118" s="13" t="s">
        <v>1260</v>
      </c>
      <c r="P118" s="13" t="s">
        <v>1261</v>
      </c>
      <c r="Q118" s="13" t="s">
        <v>1379</v>
      </c>
      <c r="R118" s="7" t="s">
        <v>6</v>
      </c>
      <c r="S118" s="14"/>
      <c r="T118" s="7"/>
      <c r="U118" s="139">
        <f>_xlfn.XLOOKUP(Tab_Data_Flows[[#This Row],[Flow_Name]],Tab_Def_Flows[Flow_Name],Tab_Def_Flows[Flow_E1_Fraction'[%']],"N.A.",0,1)</f>
        <v>1</v>
      </c>
      <c r="V118" s="12">
        <f t="shared" si="3"/>
        <v>608046.43235294125</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1</v>
      </c>
      <c r="AB118" s="6">
        <f>IF(E118="Yes",AA118*Tab_Data_Flows[[#This Row],[E1_value]],"N.A.")</f>
        <v>608046.43235294125</v>
      </c>
      <c r="AC118" s="6" t="str">
        <f>Tab_Data_Flows[[#This Row],[E1_UoM]]</f>
        <v>Mg</v>
      </c>
      <c r="AD118" s="139">
        <f>_xlfn.XLOOKUP(Tab_Data_Flows[[#This Row],[Flow_Name]],Tab_Def_Flows[Flow_Name],Tab_Def_Flows[Flow_E4_Fraction'[%']],"N.A.",0,1)</f>
        <v>1</v>
      </c>
      <c r="AE118" s="6">
        <f>IF(G118="Yes",Tab_Data_Flows[[#This Row],[E4_Fraction'[%']]]*Tab_Data_Flows[[#This Row],[E1_value]],"N.A.")</f>
        <v>608046.43235294125</v>
      </c>
      <c r="AF118" s="6" t="str">
        <f>Tab_Data_Flows[[#This Row],[E1_UoM]]</f>
        <v>Mg</v>
      </c>
      <c r="AG118" s="139">
        <f>_xlfn.XLOOKUP(Tab_Data_Flows[[#This Row],[Flow_Name]],Tab_Def_Flows[Flow_Name],Tab_Def_Flows[Flow_E5_Fraction'[%']],"N.A.",0,1)</f>
        <v>0</v>
      </c>
      <c r="AH118" s="6" t="str">
        <f>IF(H118="Yes",Tab_Data_Flows[[#This Row],[E5_Fraction'[%']]]*Tab_Data_Flows[[#This Row],[E1_value]],"N.A.")</f>
        <v>N.A.</v>
      </c>
      <c r="AI118" s="6" t="str">
        <f>Tab_Data_Flows[[#This Row],[E1_UoM]]</f>
        <v>Mg</v>
      </c>
      <c r="AJ118" s="139">
        <f>_xlfn.XLOOKUP(Tab_Data_Flows[[#This Row],[Flow_Name]],Tab_Def_Flows[Flow_Name],Tab_Def_Flows[Flow_E6_Fraction'[%']],"N.A.",0,1)</f>
        <v>0</v>
      </c>
      <c r="AK118" s="6" t="str">
        <f>IF(Tab_Data_Flows[[#This Row],[Use_E6]]="Yes",Tab_Data_Flows[[#This Row],[E6_Fraction'[%']]]*Tab_Data_Flows[[#This Row],[E1_value]],"N.A.")</f>
        <v>N.A.</v>
      </c>
      <c r="AL118" s="6" t="str">
        <f>Tab_Data_Flows[[#This Row],[E1_UoM]]</f>
        <v>Mg</v>
      </c>
    </row>
    <row r="119" spans="1:38" x14ac:dyDescent="0.25">
      <c r="A119" s="8">
        <f t="shared" si="4"/>
        <v>118</v>
      </c>
      <c r="B119" s="6" t="str">
        <f>_xlfn.XLOOKUP(C119,Tab_Def_Flows[Flow_Name],Tab_Def_Flows[Flow_ID],,0,)</f>
        <v>F_00_02</v>
      </c>
      <c r="C119" s="138" t="s">
        <v>1233</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No</v>
      </c>
      <c r="I119" s="9" t="str">
        <f>_xlfn.XLOOKUP(C119,Tab_Def_Flows[Flow_Name],Tab_Def_Flows[Use_E6],,0,)</f>
        <v>No</v>
      </c>
      <c r="J119" s="188">
        <v>2041</v>
      </c>
      <c r="K119" s="189">
        <v>581828.08535294118</v>
      </c>
      <c r="L119" s="6" t="str">
        <f>'0_Configuration'!$C$41</f>
        <v>Mg</v>
      </c>
      <c r="M119" s="13" t="s">
        <v>1263</v>
      </c>
      <c r="N119" s="13">
        <v>2025</v>
      </c>
      <c r="O119" s="13" t="s">
        <v>1260</v>
      </c>
      <c r="P119" s="13" t="s">
        <v>1261</v>
      </c>
      <c r="Q119" s="13" t="s">
        <v>1380</v>
      </c>
      <c r="R119" s="7" t="s">
        <v>6</v>
      </c>
      <c r="S119" s="14"/>
      <c r="T119" s="7"/>
      <c r="U119" s="139">
        <f>_xlfn.XLOOKUP(Tab_Data_Flows[[#This Row],[Flow_Name]],Tab_Def_Flows[Flow_Name],Tab_Def_Flows[Flow_E1_Fraction'[%']],"N.A.",0,1)</f>
        <v>1</v>
      </c>
      <c r="V119" s="12">
        <f t="shared" si="3"/>
        <v>581828.08535294118</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1</v>
      </c>
      <c r="AB119" s="6">
        <f>IF(E119="Yes",AA119*Tab_Data_Flows[[#This Row],[E1_value]],"N.A.")</f>
        <v>581828.08535294118</v>
      </c>
      <c r="AC119" s="6" t="str">
        <f>Tab_Data_Flows[[#This Row],[E1_UoM]]</f>
        <v>Mg</v>
      </c>
      <c r="AD119" s="139">
        <f>_xlfn.XLOOKUP(Tab_Data_Flows[[#This Row],[Flow_Name]],Tab_Def_Flows[Flow_Name],Tab_Def_Flows[Flow_E4_Fraction'[%']],"N.A.",0,1)</f>
        <v>1</v>
      </c>
      <c r="AE119" s="6">
        <f>IF(G119="Yes",Tab_Data_Flows[[#This Row],[E4_Fraction'[%']]]*Tab_Data_Flows[[#This Row],[E1_value]],"N.A.")</f>
        <v>581828.08535294118</v>
      </c>
      <c r="AF119" s="6" t="str">
        <f>Tab_Data_Flows[[#This Row],[E1_UoM]]</f>
        <v>Mg</v>
      </c>
      <c r="AG119" s="139">
        <f>_xlfn.XLOOKUP(Tab_Data_Flows[[#This Row],[Flow_Name]],Tab_Def_Flows[Flow_Name],Tab_Def_Flows[Flow_E5_Fraction'[%']],"N.A.",0,1)</f>
        <v>0</v>
      </c>
      <c r="AH119" s="6" t="str">
        <f>IF(H119="Yes",Tab_Data_Flows[[#This Row],[E5_Fraction'[%']]]*Tab_Data_Flows[[#This Row],[E1_value]],"N.A.")</f>
        <v>N.A.</v>
      </c>
      <c r="AI119" s="6" t="str">
        <f>Tab_Data_Flows[[#This Row],[E1_UoM]]</f>
        <v>Mg</v>
      </c>
      <c r="AJ119" s="139">
        <f>_xlfn.XLOOKUP(Tab_Data_Flows[[#This Row],[Flow_Name]],Tab_Def_Flows[Flow_Name],Tab_Def_Flows[Flow_E6_Fraction'[%']],"N.A.",0,1)</f>
        <v>0</v>
      </c>
      <c r="AK119" s="6" t="str">
        <f>IF(Tab_Data_Flows[[#This Row],[Use_E6]]="Yes",Tab_Data_Flows[[#This Row],[E6_Fraction'[%']]]*Tab_Data_Flows[[#This Row],[E1_value]],"N.A.")</f>
        <v>N.A.</v>
      </c>
      <c r="AL119" s="6" t="str">
        <f>Tab_Data_Flows[[#This Row],[E1_UoM]]</f>
        <v>Mg</v>
      </c>
    </row>
    <row r="120" spans="1:38" x14ac:dyDescent="0.25">
      <c r="A120" s="8">
        <f t="shared" si="4"/>
        <v>119</v>
      </c>
      <c r="B120" s="6" t="str">
        <f>_xlfn.XLOOKUP(C120,Tab_Def_Flows[Flow_Name],Tab_Def_Flows[Flow_ID],,0,)</f>
        <v>F_00_02</v>
      </c>
      <c r="C120" s="138" t="s">
        <v>1233</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No</v>
      </c>
      <c r="I120" s="9" t="str">
        <f>_xlfn.XLOOKUP(C120,Tab_Def_Flows[Flow_Name],Tab_Def_Flows[Use_E6],,0,)</f>
        <v>No</v>
      </c>
      <c r="J120" s="188">
        <v>2042</v>
      </c>
      <c r="K120" s="189">
        <v>565844.73494117649</v>
      </c>
      <c r="L120" s="6" t="str">
        <f>'0_Configuration'!$C$41</f>
        <v>Mg</v>
      </c>
      <c r="M120" s="13" t="s">
        <v>1263</v>
      </c>
      <c r="N120" s="13">
        <v>2025</v>
      </c>
      <c r="O120" s="13" t="s">
        <v>1260</v>
      </c>
      <c r="P120" s="13" t="s">
        <v>1261</v>
      </c>
      <c r="Q120" s="13" t="s">
        <v>1381</v>
      </c>
      <c r="R120" s="7" t="s">
        <v>6</v>
      </c>
      <c r="S120" s="14"/>
      <c r="T120" s="7"/>
      <c r="U120" s="139">
        <f>_xlfn.XLOOKUP(Tab_Data_Flows[[#This Row],[Flow_Name]],Tab_Def_Flows[Flow_Name],Tab_Def_Flows[Flow_E1_Fraction'[%']],"N.A.",0,1)</f>
        <v>1</v>
      </c>
      <c r="V120" s="12">
        <f t="shared" si="3"/>
        <v>565844.73494117649</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1</v>
      </c>
      <c r="AB120" s="6">
        <f>IF(E120="Yes",AA120*Tab_Data_Flows[[#This Row],[E1_value]],"N.A.")</f>
        <v>565844.73494117649</v>
      </c>
      <c r="AC120" s="6" t="str">
        <f>Tab_Data_Flows[[#This Row],[E1_UoM]]</f>
        <v>Mg</v>
      </c>
      <c r="AD120" s="139">
        <f>_xlfn.XLOOKUP(Tab_Data_Flows[[#This Row],[Flow_Name]],Tab_Def_Flows[Flow_Name],Tab_Def_Flows[Flow_E4_Fraction'[%']],"N.A.",0,1)</f>
        <v>1</v>
      </c>
      <c r="AE120" s="6">
        <f>IF(G120="Yes",Tab_Data_Flows[[#This Row],[E4_Fraction'[%']]]*Tab_Data_Flows[[#This Row],[E1_value]],"N.A.")</f>
        <v>565844.73494117649</v>
      </c>
      <c r="AF120" s="6" t="str">
        <f>Tab_Data_Flows[[#This Row],[E1_UoM]]</f>
        <v>Mg</v>
      </c>
      <c r="AG120" s="139">
        <f>_xlfn.XLOOKUP(Tab_Data_Flows[[#This Row],[Flow_Name]],Tab_Def_Flows[Flow_Name],Tab_Def_Flows[Flow_E5_Fraction'[%']],"N.A.",0,1)</f>
        <v>0</v>
      </c>
      <c r="AH120" s="6" t="str">
        <f>IF(H120="Yes",Tab_Data_Flows[[#This Row],[E5_Fraction'[%']]]*Tab_Data_Flows[[#This Row],[E1_value]],"N.A.")</f>
        <v>N.A.</v>
      </c>
      <c r="AI120" s="6" t="str">
        <f>Tab_Data_Flows[[#This Row],[E1_UoM]]</f>
        <v>Mg</v>
      </c>
      <c r="AJ120" s="139">
        <f>_xlfn.XLOOKUP(Tab_Data_Flows[[#This Row],[Flow_Name]],Tab_Def_Flows[Flow_Name],Tab_Def_Flows[Flow_E6_Fraction'[%']],"N.A.",0,1)</f>
        <v>0</v>
      </c>
      <c r="AK120" s="6" t="str">
        <f>IF(Tab_Data_Flows[[#This Row],[Use_E6]]="Yes",Tab_Data_Flows[[#This Row],[E6_Fraction'[%']]]*Tab_Data_Flows[[#This Row],[E1_value]],"N.A.")</f>
        <v>N.A.</v>
      </c>
      <c r="AL120" s="6" t="str">
        <f>Tab_Data_Flows[[#This Row],[E1_UoM]]</f>
        <v>Mg</v>
      </c>
    </row>
    <row r="121" spans="1:38" x14ac:dyDescent="0.25">
      <c r="A121" s="8">
        <f t="shared" si="4"/>
        <v>120</v>
      </c>
      <c r="B121" s="6" t="str">
        <f>_xlfn.XLOOKUP(C121,Tab_Def_Flows[Flow_Name],Tab_Def_Flows[Flow_ID],,0,)</f>
        <v>F_00_02</v>
      </c>
      <c r="C121" s="138" t="s">
        <v>1233</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No</v>
      </c>
      <c r="I121" s="9" t="str">
        <f>_xlfn.XLOOKUP(C121,Tab_Def_Flows[Flow_Name],Tab_Def_Flows[Use_E6],,0,)</f>
        <v>No</v>
      </c>
      <c r="J121" s="188">
        <v>2043</v>
      </c>
      <c r="K121" s="189">
        <v>522179.6387647058</v>
      </c>
      <c r="L121" s="6" t="str">
        <f>'0_Configuration'!$C$41</f>
        <v>Mg</v>
      </c>
      <c r="M121" s="13" t="s">
        <v>1263</v>
      </c>
      <c r="N121" s="13">
        <v>2025</v>
      </c>
      <c r="O121" s="13" t="s">
        <v>1260</v>
      </c>
      <c r="P121" s="13" t="s">
        <v>1261</v>
      </c>
      <c r="Q121" s="13" t="s">
        <v>1382</v>
      </c>
      <c r="R121" s="7" t="s">
        <v>6</v>
      </c>
      <c r="S121" s="14"/>
      <c r="T121" s="7"/>
      <c r="U121" s="139">
        <f>_xlfn.XLOOKUP(Tab_Data_Flows[[#This Row],[Flow_Name]],Tab_Def_Flows[Flow_Name],Tab_Def_Flows[Flow_E1_Fraction'[%']],"N.A.",0,1)</f>
        <v>1</v>
      </c>
      <c r="V121" s="12">
        <f t="shared" si="3"/>
        <v>522179.6387647058</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1</v>
      </c>
      <c r="AB121" s="6">
        <f>IF(E121="Yes",AA121*Tab_Data_Flows[[#This Row],[E1_value]],"N.A.")</f>
        <v>522179.6387647058</v>
      </c>
      <c r="AC121" s="6" t="str">
        <f>Tab_Data_Flows[[#This Row],[E1_UoM]]</f>
        <v>Mg</v>
      </c>
      <c r="AD121" s="139">
        <f>_xlfn.XLOOKUP(Tab_Data_Flows[[#This Row],[Flow_Name]],Tab_Def_Flows[Flow_Name],Tab_Def_Flows[Flow_E4_Fraction'[%']],"N.A.",0,1)</f>
        <v>1</v>
      </c>
      <c r="AE121" s="6">
        <f>IF(G121="Yes",Tab_Data_Flows[[#This Row],[E4_Fraction'[%']]]*Tab_Data_Flows[[#This Row],[E1_value]],"N.A.")</f>
        <v>522179.6387647058</v>
      </c>
      <c r="AF121" s="6" t="str">
        <f>Tab_Data_Flows[[#This Row],[E1_UoM]]</f>
        <v>Mg</v>
      </c>
      <c r="AG121" s="139">
        <f>_xlfn.XLOOKUP(Tab_Data_Flows[[#This Row],[Flow_Name]],Tab_Def_Flows[Flow_Name],Tab_Def_Flows[Flow_E5_Fraction'[%']],"N.A.",0,1)</f>
        <v>0</v>
      </c>
      <c r="AH121" s="6" t="str">
        <f>IF(H121="Yes",Tab_Data_Flows[[#This Row],[E5_Fraction'[%']]]*Tab_Data_Flows[[#This Row],[E1_value]],"N.A.")</f>
        <v>N.A.</v>
      </c>
      <c r="AI121" s="6" t="str">
        <f>Tab_Data_Flows[[#This Row],[E1_UoM]]</f>
        <v>Mg</v>
      </c>
      <c r="AJ121" s="139">
        <f>_xlfn.XLOOKUP(Tab_Data_Flows[[#This Row],[Flow_Name]],Tab_Def_Flows[Flow_Name],Tab_Def_Flows[Flow_E6_Fraction'[%']],"N.A.",0,1)</f>
        <v>0</v>
      </c>
      <c r="AK121" s="6" t="str">
        <f>IF(Tab_Data_Flows[[#This Row],[Use_E6]]="Yes",Tab_Data_Flows[[#This Row],[E6_Fraction'[%']]]*Tab_Data_Flows[[#This Row],[E1_value]],"N.A.")</f>
        <v>N.A.</v>
      </c>
      <c r="AL121" s="6" t="str">
        <f>Tab_Data_Flows[[#This Row],[E1_UoM]]</f>
        <v>Mg</v>
      </c>
    </row>
    <row r="122" spans="1:38" x14ac:dyDescent="0.25">
      <c r="A122" s="8">
        <f t="shared" si="4"/>
        <v>121</v>
      </c>
      <c r="B122" s="6" t="str">
        <f>_xlfn.XLOOKUP(C122,Tab_Def_Flows[Flow_Name],Tab_Def_Flows[Flow_ID],,0,)</f>
        <v>F_00_02</v>
      </c>
      <c r="C122" s="138" t="s">
        <v>1233</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No</v>
      </c>
      <c r="I122" s="9" t="str">
        <f>_xlfn.XLOOKUP(C122,Tab_Def_Flows[Flow_Name],Tab_Def_Flows[Use_E6],,0,)</f>
        <v>No</v>
      </c>
      <c r="J122" s="188">
        <v>2044</v>
      </c>
      <c r="K122" s="189">
        <v>532335.02717647073</v>
      </c>
      <c r="L122" s="6" t="str">
        <f>'0_Configuration'!$C$41</f>
        <v>Mg</v>
      </c>
      <c r="M122" s="13" t="s">
        <v>1263</v>
      </c>
      <c r="N122" s="13">
        <v>2025</v>
      </c>
      <c r="O122" s="13" t="s">
        <v>1260</v>
      </c>
      <c r="P122" s="13" t="s">
        <v>1261</v>
      </c>
      <c r="Q122" s="13" t="s">
        <v>1383</v>
      </c>
      <c r="R122" s="7" t="s">
        <v>6</v>
      </c>
      <c r="S122" s="14"/>
      <c r="T122" s="7"/>
      <c r="U122" s="139">
        <f>_xlfn.XLOOKUP(Tab_Data_Flows[[#This Row],[Flow_Name]],Tab_Def_Flows[Flow_Name],Tab_Def_Flows[Flow_E1_Fraction'[%']],"N.A.",0,1)</f>
        <v>1</v>
      </c>
      <c r="V122" s="12">
        <f t="shared" si="3"/>
        <v>532335.02717647073</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1</v>
      </c>
      <c r="AB122" s="6">
        <f>IF(E122="Yes",AA122*Tab_Data_Flows[[#This Row],[E1_value]],"N.A.")</f>
        <v>532335.02717647073</v>
      </c>
      <c r="AC122" s="6" t="str">
        <f>Tab_Data_Flows[[#This Row],[E1_UoM]]</f>
        <v>Mg</v>
      </c>
      <c r="AD122" s="139">
        <f>_xlfn.XLOOKUP(Tab_Data_Flows[[#This Row],[Flow_Name]],Tab_Def_Flows[Flow_Name],Tab_Def_Flows[Flow_E4_Fraction'[%']],"N.A.",0,1)</f>
        <v>1</v>
      </c>
      <c r="AE122" s="6">
        <f>IF(G122="Yes",Tab_Data_Flows[[#This Row],[E4_Fraction'[%']]]*Tab_Data_Flows[[#This Row],[E1_value]],"N.A.")</f>
        <v>532335.02717647073</v>
      </c>
      <c r="AF122" s="6" t="str">
        <f>Tab_Data_Flows[[#This Row],[E1_UoM]]</f>
        <v>Mg</v>
      </c>
      <c r="AG122" s="139">
        <f>_xlfn.XLOOKUP(Tab_Data_Flows[[#This Row],[Flow_Name]],Tab_Def_Flows[Flow_Name],Tab_Def_Flows[Flow_E5_Fraction'[%']],"N.A.",0,1)</f>
        <v>0</v>
      </c>
      <c r="AH122" s="6" t="str">
        <f>IF(H122="Yes",Tab_Data_Flows[[#This Row],[E5_Fraction'[%']]]*Tab_Data_Flows[[#This Row],[E1_value]],"N.A.")</f>
        <v>N.A.</v>
      </c>
      <c r="AI122" s="6" t="str">
        <f>Tab_Data_Flows[[#This Row],[E1_UoM]]</f>
        <v>Mg</v>
      </c>
      <c r="AJ122" s="139">
        <f>_xlfn.XLOOKUP(Tab_Data_Flows[[#This Row],[Flow_Name]],Tab_Def_Flows[Flow_Name],Tab_Def_Flows[Flow_E6_Fraction'[%']],"N.A.",0,1)</f>
        <v>0</v>
      </c>
      <c r="AK122" s="6" t="str">
        <f>IF(Tab_Data_Flows[[#This Row],[Use_E6]]="Yes",Tab_Data_Flows[[#This Row],[E6_Fraction'[%']]]*Tab_Data_Flows[[#This Row],[E1_value]],"N.A.")</f>
        <v>N.A.</v>
      </c>
      <c r="AL122" s="6" t="str">
        <f>Tab_Data_Flows[[#This Row],[E1_UoM]]</f>
        <v>Mg</v>
      </c>
    </row>
    <row r="123" spans="1:38" x14ac:dyDescent="0.25">
      <c r="A123" s="8">
        <f t="shared" si="4"/>
        <v>122</v>
      </c>
      <c r="B123" s="6" t="str">
        <f>_xlfn.XLOOKUP(C123,Tab_Def_Flows[Flow_Name],Tab_Def_Flows[Flow_ID],,0,)</f>
        <v>F_00_02</v>
      </c>
      <c r="C123" s="138" t="s">
        <v>1233</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No</v>
      </c>
      <c r="I123" s="9" t="str">
        <f>_xlfn.XLOOKUP(C123,Tab_Def_Flows[Flow_Name],Tab_Def_Flows[Use_E6],,0,)</f>
        <v>No</v>
      </c>
      <c r="J123" s="188">
        <v>2045</v>
      </c>
      <c r="K123" s="189">
        <v>585787.61135294114</v>
      </c>
      <c r="L123" s="6" t="str">
        <f>'0_Configuration'!$C$41</f>
        <v>Mg</v>
      </c>
      <c r="M123" s="13" t="s">
        <v>1263</v>
      </c>
      <c r="N123" s="13">
        <v>2025</v>
      </c>
      <c r="O123" s="13" t="s">
        <v>1260</v>
      </c>
      <c r="P123" s="13" t="s">
        <v>1261</v>
      </c>
      <c r="Q123" s="13" t="s">
        <v>1384</v>
      </c>
      <c r="R123" s="7" t="s">
        <v>6</v>
      </c>
      <c r="S123" s="14"/>
      <c r="T123" s="7"/>
      <c r="U123" s="139">
        <f>_xlfn.XLOOKUP(Tab_Data_Flows[[#This Row],[Flow_Name]],Tab_Def_Flows[Flow_Name],Tab_Def_Flows[Flow_E1_Fraction'[%']],"N.A.",0,1)</f>
        <v>1</v>
      </c>
      <c r="V123" s="12">
        <f t="shared" si="3"/>
        <v>585787.61135294114</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1</v>
      </c>
      <c r="AB123" s="6">
        <f>IF(E123="Yes",AA123*Tab_Data_Flows[[#This Row],[E1_value]],"N.A.")</f>
        <v>585787.61135294114</v>
      </c>
      <c r="AC123" s="6" t="str">
        <f>Tab_Data_Flows[[#This Row],[E1_UoM]]</f>
        <v>Mg</v>
      </c>
      <c r="AD123" s="139">
        <f>_xlfn.XLOOKUP(Tab_Data_Flows[[#This Row],[Flow_Name]],Tab_Def_Flows[Flow_Name],Tab_Def_Flows[Flow_E4_Fraction'[%']],"N.A.",0,1)</f>
        <v>1</v>
      </c>
      <c r="AE123" s="6">
        <f>IF(G123="Yes",Tab_Data_Flows[[#This Row],[E4_Fraction'[%']]]*Tab_Data_Flows[[#This Row],[E1_value]],"N.A.")</f>
        <v>585787.61135294114</v>
      </c>
      <c r="AF123" s="6" t="str">
        <f>Tab_Data_Flows[[#This Row],[E1_UoM]]</f>
        <v>Mg</v>
      </c>
      <c r="AG123" s="139">
        <f>_xlfn.XLOOKUP(Tab_Data_Flows[[#This Row],[Flow_Name]],Tab_Def_Flows[Flow_Name],Tab_Def_Flows[Flow_E5_Fraction'[%']],"N.A.",0,1)</f>
        <v>0</v>
      </c>
      <c r="AH123" s="6" t="str">
        <f>IF(H123="Yes",Tab_Data_Flows[[#This Row],[E5_Fraction'[%']]]*Tab_Data_Flows[[#This Row],[E1_value]],"N.A.")</f>
        <v>N.A.</v>
      </c>
      <c r="AI123" s="6" t="str">
        <f>Tab_Data_Flows[[#This Row],[E1_UoM]]</f>
        <v>Mg</v>
      </c>
      <c r="AJ123" s="139">
        <f>_xlfn.XLOOKUP(Tab_Data_Flows[[#This Row],[Flow_Name]],Tab_Def_Flows[Flow_Name],Tab_Def_Flows[Flow_E6_Fraction'[%']],"N.A.",0,1)</f>
        <v>0</v>
      </c>
      <c r="AK123" s="6" t="str">
        <f>IF(Tab_Data_Flows[[#This Row],[Use_E6]]="Yes",Tab_Data_Flows[[#This Row],[E6_Fraction'[%']]]*Tab_Data_Flows[[#This Row],[E1_value]],"N.A.")</f>
        <v>N.A.</v>
      </c>
      <c r="AL123" s="6" t="str">
        <f>Tab_Data_Flows[[#This Row],[E1_UoM]]</f>
        <v>Mg</v>
      </c>
    </row>
    <row r="124" spans="1:38" x14ac:dyDescent="0.25">
      <c r="A124" s="8">
        <f t="shared" si="4"/>
        <v>123</v>
      </c>
      <c r="B124" s="6" t="str">
        <f>_xlfn.XLOOKUP(C124,Tab_Def_Flows[Flow_Name],Tab_Def_Flows[Flow_ID],,0,)</f>
        <v>F_00_02</v>
      </c>
      <c r="C124" s="138" t="s">
        <v>1233</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No</v>
      </c>
      <c r="I124" s="9" t="str">
        <f>_xlfn.XLOOKUP(C124,Tab_Def_Flows[Flow_Name],Tab_Def_Flows[Use_E6],,0,)</f>
        <v>No</v>
      </c>
      <c r="J124" s="188">
        <v>2046</v>
      </c>
      <c r="K124" s="189">
        <v>598091.30505882343</v>
      </c>
      <c r="L124" s="6" t="str">
        <f>'0_Configuration'!$C$41</f>
        <v>Mg</v>
      </c>
      <c r="M124" s="13" t="s">
        <v>1263</v>
      </c>
      <c r="N124" s="13">
        <v>2025</v>
      </c>
      <c r="O124" s="13" t="s">
        <v>1260</v>
      </c>
      <c r="P124" s="13" t="s">
        <v>1261</v>
      </c>
      <c r="Q124" s="13" t="s">
        <v>1385</v>
      </c>
      <c r="R124" s="7" t="s">
        <v>6</v>
      </c>
      <c r="S124" s="14"/>
      <c r="T124" s="7"/>
      <c r="U124" s="139">
        <f>_xlfn.XLOOKUP(Tab_Data_Flows[[#This Row],[Flow_Name]],Tab_Def_Flows[Flow_Name],Tab_Def_Flows[Flow_E1_Fraction'[%']],"N.A.",0,1)</f>
        <v>1</v>
      </c>
      <c r="V124" s="12">
        <f t="shared" si="3"/>
        <v>598091.30505882343</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1</v>
      </c>
      <c r="AB124" s="6">
        <f>IF(E124="Yes",AA124*Tab_Data_Flows[[#This Row],[E1_value]],"N.A.")</f>
        <v>598091.30505882343</v>
      </c>
      <c r="AC124" s="6" t="str">
        <f>Tab_Data_Flows[[#This Row],[E1_UoM]]</f>
        <v>Mg</v>
      </c>
      <c r="AD124" s="139">
        <f>_xlfn.XLOOKUP(Tab_Data_Flows[[#This Row],[Flow_Name]],Tab_Def_Flows[Flow_Name],Tab_Def_Flows[Flow_E4_Fraction'[%']],"N.A.",0,1)</f>
        <v>1</v>
      </c>
      <c r="AE124" s="6">
        <f>IF(G124="Yes",Tab_Data_Flows[[#This Row],[E4_Fraction'[%']]]*Tab_Data_Flows[[#This Row],[E1_value]],"N.A.")</f>
        <v>598091.30505882343</v>
      </c>
      <c r="AF124" s="6" t="str">
        <f>Tab_Data_Flows[[#This Row],[E1_UoM]]</f>
        <v>Mg</v>
      </c>
      <c r="AG124" s="139">
        <f>_xlfn.XLOOKUP(Tab_Data_Flows[[#This Row],[Flow_Name]],Tab_Def_Flows[Flow_Name],Tab_Def_Flows[Flow_E5_Fraction'[%']],"N.A.",0,1)</f>
        <v>0</v>
      </c>
      <c r="AH124" s="6" t="str">
        <f>IF(H124="Yes",Tab_Data_Flows[[#This Row],[E5_Fraction'[%']]]*Tab_Data_Flows[[#This Row],[E1_value]],"N.A.")</f>
        <v>N.A.</v>
      </c>
      <c r="AI124" s="6" t="str">
        <f>Tab_Data_Flows[[#This Row],[E1_UoM]]</f>
        <v>Mg</v>
      </c>
      <c r="AJ124" s="139">
        <f>_xlfn.XLOOKUP(Tab_Data_Flows[[#This Row],[Flow_Name]],Tab_Def_Flows[Flow_Name],Tab_Def_Flows[Flow_E6_Fraction'[%']],"N.A.",0,1)</f>
        <v>0</v>
      </c>
      <c r="AK124" s="6" t="str">
        <f>IF(Tab_Data_Flows[[#This Row],[Use_E6]]="Yes",Tab_Data_Flows[[#This Row],[E6_Fraction'[%']]]*Tab_Data_Flows[[#This Row],[E1_value]],"N.A.")</f>
        <v>N.A.</v>
      </c>
      <c r="AL124" s="6" t="str">
        <f>Tab_Data_Flows[[#This Row],[E1_UoM]]</f>
        <v>Mg</v>
      </c>
    </row>
    <row r="125" spans="1:38" x14ac:dyDescent="0.25">
      <c r="A125" s="8">
        <f t="shared" si="4"/>
        <v>124</v>
      </c>
      <c r="B125" s="6" t="str">
        <f>_xlfn.XLOOKUP(C125,Tab_Def_Flows[Flow_Name],Tab_Def_Flows[Flow_ID],,0,)</f>
        <v>F_00_02</v>
      </c>
      <c r="C125" s="138" t="s">
        <v>1233</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No</v>
      </c>
      <c r="I125" s="9" t="str">
        <f>_xlfn.XLOOKUP(C125,Tab_Def_Flows[Flow_Name],Tab_Def_Flows[Use_E6],,0,)</f>
        <v>No</v>
      </c>
      <c r="J125" s="188">
        <v>2047</v>
      </c>
      <c r="K125" s="189">
        <v>541348.13576470583</v>
      </c>
      <c r="L125" s="6" t="str">
        <f>'0_Configuration'!$C$41</f>
        <v>Mg</v>
      </c>
      <c r="M125" s="13" t="s">
        <v>1263</v>
      </c>
      <c r="N125" s="13">
        <v>2025</v>
      </c>
      <c r="O125" s="13" t="s">
        <v>1260</v>
      </c>
      <c r="P125" s="13" t="s">
        <v>1261</v>
      </c>
      <c r="Q125" s="13" t="s">
        <v>1386</v>
      </c>
      <c r="R125" s="7" t="s">
        <v>6</v>
      </c>
      <c r="S125" s="7"/>
      <c r="T125" s="7"/>
      <c r="U125" s="139">
        <f>_xlfn.XLOOKUP(Tab_Data_Flows[[#This Row],[Flow_Name]],Tab_Def_Flows[Flow_Name],Tab_Def_Flows[Flow_E1_Fraction'[%']],"N.A.",0,1)</f>
        <v>1</v>
      </c>
      <c r="V125" s="12">
        <f t="shared" si="3"/>
        <v>541348.13576470583</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1</v>
      </c>
      <c r="AB125" s="6">
        <f>IF(E125="Yes",AA125*Tab_Data_Flows[[#This Row],[E1_value]],"N.A.")</f>
        <v>541348.13576470583</v>
      </c>
      <c r="AC125" s="6" t="str">
        <f>Tab_Data_Flows[[#This Row],[E1_UoM]]</f>
        <v>Mg</v>
      </c>
      <c r="AD125" s="139">
        <f>_xlfn.XLOOKUP(Tab_Data_Flows[[#This Row],[Flow_Name]],Tab_Def_Flows[Flow_Name],Tab_Def_Flows[Flow_E4_Fraction'[%']],"N.A.",0,1)</f>
        <v>1</v>
      </c>
      <c r="AE125" s="6">
        <f>IF(G125="Yes",Tab_Data_Flows[[#This Row],[E4_Fraction'[%']]]*Tab_Data_Flows[[#This Row],[E1_value]],"N.A.")</f>
        <v>541348.13576470583</v>
      </c>
      <c r="AF125" s="6" t="str">
        <f>Tab_Data_Flows[[#This Row],[E1_UoM]]</f>
        <v>Mg</v>
      </c>
      <c r="AG125" s="139">
        <f>_xlfn.XLOOKUP(Tab_Data_Flows[[#This Row],[Flow_Name]],Tab_Def_Flows[Flow_Name],Tab_Def_Flows[Flow_E5_Fraction'[%']],"N.A.",0,1)</f>
        <v>0</v>
      </c>
      <c r="AH125" s="6" t="str">
        <f>IF(H125="Yes",Tab_Data_Flows[[#This Row],[E5_Fraction'[%']]]*Tab_Data_Flows[[#This Row],[E1_value]],"N.A.")</f>
        <v>N.A.</v>
      </c>
      <c r="AI125" s="6" t="str">
        <f>Tab_Data_Flows[[#This Row],[E1_UoM]]</f>
        <v>Mg</v>
      </c>
      <c r="AJ125" s="139">
        <f>_xlfn.XLOOKUP(Tab_Data_Flows[[#This Row],[Flow_Name]],Tab_Def_Flows[Flow_Name],Tab_Def_Flows[Flow_E6_Fraction'[%']],"N.A.",0,1)</f>
        <v>0</v>
      </c>
      <c r="AK125" s="6" t="str">
        <f>IF(Tab_Data_Flows[[#This Row],[Use_E6]]="Yes",Tab_Data_Flows[[#This Row],[E6_Fraction'[%']]]*Tab_Data_Flows[[#This Row],[E1_value]],"N.A.")</f>
        <v>N.A.</v>
      </c>
      <c r="AL125" s="6" t="str">
        <f>Tab_Data_Flows[[#This Row],[E1_UoM]]</f>
        <v>Mg</v>
      </c>
    </row>
    <row r="126" spans="1:38" x14ac:dyDescent="0.25">
      <c r="A126" s="8">
        <f t="shared" si="4"/>
        <v>125</v>
      </c>
      <c r="B126" s="6" t="str">
        <f>_xlfn.XLOOKUP(C126,Tab_Def_Flows[Flow_Name],Tab_Def_Flows[Flow_ID],,0,)</f>
        <v>F_00_02</v>
      </c>
      <c r="C126" s="138" t="s">
        <v>1233</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No</v>
      </c>
      <c r="I126" s="9" t="str">
        <f>_xlfn.XLOOKUP(C126,Tab_Def_Flows[Flow_Name],Tab_Def_Flows[Use_E6],,0,)</f>
        <v>No</v>
      </c>
      <c r="J126" s="188">
        <v>2048</v>
      </c>
      <c r="K126" s="189">
        <v>597821.64194117649</v>
      </c>
      <c r="L126" s="6" t="str">
        <f>'0_Configuration'!$C$41</f>
        <v>Mg</v>
      </c>
      <c r="M126" s="13" t="s">
        <v>1263</v>
      </c>
      <c r="N126" s="13">
        <v>2025</v>
      </c>
      <c r="O126" s="13" t="s">
        <v>1260</v>
      </c>
      <c r="P126" s="13" t="s">
        <v>1261</v>
      </c>
      <c r="Q126" s="13" t="s">
        <v>1387</v>
      </c>
      <c r="R126" s="7" t="s">
        <v>6</v>
      </c>
      <c r="S126" s="7"/>
      <c r="T126" s="7"/>
      <c r="U126" s="139">
        <f>_xlfn.XLOOKUP(Tab_Data_Flows[[#This Row],[Flow_Name]],Tab_Def_Flows[Flow_Name],Tab_Def_Flows[Flow_E1_Fraction'[%']],"N.A.",0,1)</f>
        <v>1</v>
      </c>
      <c r="V126" s="12">
        <f t="shared" si="3"/>
        <v>597821.64194117649</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1</v>
      </c>
      <c r="AB126" s="6">
        <f>IF(E126="Yes",AA126*Tab_Data_Flows[[#This Row],[E1_value]],"N.A.")</f>
        <v>597821.64194117649</v>
      </c>
      <c r="AC126" s="6" t="str">
        <f>Tab_Data_Flows[[#This Row],[E1_UoM]]</f>
        <v>Mg</v>
      </c>
      <c r="AD126" s="139">
        <f>_xlfn.XLOOKUP(Tab_Data_Flows[[#This Row],[Flow_Name]],Tab_Def_Flows[Flow_Name],Tab_Def_Flows[Flow_E4_Fraction'[%']],"N.A.",0,1)</f>
        <v>1</v>
      </c>
      <c r="AE126" s="6">
        <f>IF(G126="Yes",Tab_Data_Flows[[#This Row],[E4_Fraction'[%']]]*Tab_Data_Flows[[#This Row],[E1_value]],"N.A.")</f>
        <v>597821.64194117649</v>
      </c>
      <c r="AF126" s="6" t="str">
        <f>Tab_Data_Flows[[#This Row],[E1_UoM]]</f>
        <v>Mg</v>
      </c>
      <c r="AG126" s="139">
        <f>_xlfn.XLOOKUP(Tab_Data_Flows[[#This Row],[Flow_Name]],Tab_Def_Flows[Flow_Name],Tab_Def_Flows[Flow_E5_Fraction'[%']],"N.A.",0,1)</f>
        <v>0</v>
      </c>
      <c r="AH126" s="6" t="str">
        <f>IF(H126="Yes",Tab_Data_Flows[[#This Row],[E5_Fraction'[%']]]*Tab_Data_Flows[[#This Row],[E1_value]],"N.A.")</f>
        <v>N.A.</v>
      </c>
      <c r="AI126" s="6" t="str">
        <f>Tab_Data_Flows[[#This Row],[E1_UoM]]</f>
        <v>Mg</v>
      </c>
      <c r="AJ126" s="139">
        <f>_xlfn.XLOOKUP(Tab_Data_Flows[[#This Row],[Flow_Name]],Tab_Def_Flows[Flow_Name],Tab_Def_Flows[Flow_E6_Fraction'[%']],"N.A.",0,1)</f>
        <v>0</v>
      </c>
      <c r="AK126" s="6" t="str">
        <f>IF(Tab_Data_Flows[[#This Row],[Use_E6]]="Yes",Tab_Data_Flows[[#This Row],[E6_Fraction'[%']]]*Tab_Data_Flows[[#This Row],[E1_value]],"N.A.")</f>
        <v>N.A.</v>
      </c>
      <c r="AL126" s="6" t="str">
        <f>Tab_Data_Flows[[#This Row],[E1_UoM]]</f>
        <v>Mg</v>
      </c>
    </row>
    <row r="127" spans="1:38" x14ac:dyDescent="0.25">
      <c r="A127" s="8">
        <f t="shared" si="4"/>
        <v>126</v>
      </c>
      <c r="B127" s="6" t="str">
        <f>_xlfn.XLOOKUP(C127,Tab_Def_Flows[Flow_Name],Tab_Def_Flows[Flow_ID],,0,)</f>
        <v>F_00_02</v>
      </c>
      <c r="C127" s="138" t="s">
        <v>1233</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No</v>
      </c>
      <c r="I127" s="9" t="str">
        <f>_xlfn.XLOOKUP(C127,Tab_Def_Flows[Flow_Name],Tab_Def_Flows[Use_E6],,0,)</f>
        <v>No</v>
      </c>
      <c r="J127" s="188">
        <v>2049</v>
      </c>
      <c r="K127" s="189">
        <v>500039.08041176473</v>
      </c>
      <c r="L127" s="6" t="str">
        <f>'0_Configuration'!$C$41</f>
        <v>Mg</v>
      </c>
      <c r="M127" s="13" t="s">
        <v>1263</v>
      </c>
      <c r="N127" s="13">
        <v>2025</v>
      </c>
      <c r="O127" s="13" t="s">
        <v>1260</v>
      </c>
      <c r="P127" s="13" t="s">
        <v>1261</v>
      </c>
      <c r="Q127" s="13" t="s">
        <v>1388</v>
      </c>
      <c r="R127" s="7" t="s">
        <v>6</v>
      </c>
      <c r="S127" s="7"/>
      <c r="T127" s="7"/>
      <c r="U127" s="139">
        <f>_xlfn.XLOOKUP(Tab_Data_Flows[[#This Row],[Flow_Name]],Tab_Def_Flows[Flow_Name],Tab_Def_Flows[Flow_E1_Fraction'[%']],"N.A.",0,1)</f>
        <v>1</v>
      </c>
      <c r="V127" s="12">
        <f t="shared" si="3"/>
        <v>500039.08041176473</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1</v>
      </c>
      <c r="AB127" s="6">
        <f>IF(E127="Yes",AA127*Tab_Data_Flows[[#This Row],[E1_value]],"N.A.")</f>
        <v>500039.08041176473</v>
      </c>
      <c r="AC127" s="6" t="str">
        <f>Tab_Data_Flows[[#This Row],[E1_UoM]]</f>
        <v>Mg</v>
      </c>
      <c r="AD127" s="139">
        <f>_xlfn.XLOOKUP(Tab_Data_Flows[[#This Row],[Flow_Name]],Tab_Def_Flows[Flow_Name],Tab_Def_Flows[Flow_E4_Fraction'[%']],"N.A.",0,1)</f>
        <v>1</v>
      </c>
      <c r="AE127" s="6">
        <f>IF(G127="Yes",Tab_Data_Flows[[#This Row],[E4_Fraction'[%']]]*Tab_Data_Flows[[#This Row],[E1_value]],"N.A.")</f>
        <v>500039.08041176473</v>
      </c>
      <c r="AF127" s="6" t="str">
        <f>Tab_Data_Flows[[#This Row],[E1_UoM]]</f>
        <v>Mg</v>
      </c>
      <c r="AG127" s="139">
        <f>_xlfn.XLOOKUP(Tab_Data_Flows[[#This Row],[Flow_Name]],Tab_Def_Flows[Flow_Name],Tab_Def_Flows[Flow_E5_Fraction'[%']],"N.A.",0,1)</f>
        <v>0</v>
      </c>
      <c r="AH127" s="6" t="str">
        <f>IF(H127="Yes",Tab_Data_Flows[[#This Row],[E5_Fraction'[%']]]*Tab_Data_Flows[[#This Row],[E1_value]],"N.A.")</f>
        <v>N.A.</v>
      </c>
      <c r="AI127" s="6" t="str">
        <f>Tab_Data_Flows[[#This Row],[E1_UoM]]</f>
        <v>Mg</v>
      </c>
      <c r="AJ127" s="139">
        <f>_xlfn.XLOOKUP(Tab_Data_Flows[[#This Row],[Flow_Name]],Tab_Def_Flows[Flow_Name],Tab_Def_Flows[Flow_E6_Fraction'[%']],"N.A.",0,1)</f>
        <v>0</v>
      </c>
      <c r="AK127" s="6" t="str">
        <f>IF(Tab_Data_Flows[[#This Row],[Use_E6]]="Yes",Tab_Data_Flows[[#This Row],[E6_Fraction'[%']]]*Tab_Data_Flows[[#This Row],[E1_value]],"N.A.")</f>
        <v>N.A.</v>
      </c>
      <c r="AL127" s="6" t="str">
        <f>Tab_Data_Flows[[#This Row],[E1_UoM]]</f>
        <v>Mg</v>
      </c>
    </row>
    <row r="128" spans="1:38" x14ac:dyDescent="0.25">
      <c r="A128" s="8">
        <f t="shared" si="4"/>
        <v>127</v>
      </c>
      <c r="B128" s="6" t="str">
        <f>_xlfn.XLOOKUP(C128,Tab_Def_Flows[Flow_Name],Tab_Def_Flows[Flow_ID],,0,)</f>
        <v>F_00_02</v>
      </c>
      <c r="C128" s="138" t="s">
        <v>1233</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No</v>
      </c>
      <c r="I128" s="9" t="str">
        <f>_xlfn.XLOOKUP(C128,Tab_Def_Flows[Flow_Name],Tab_Def_Flows[Use_E6],,0,)</f>
        <v>No</v>
      </c>
      <c r="J128" s="188">
        <v>2050</v>
      </c>
      <c r="K128" s="189">
        <v>635650.83882352954</v>
      </c>
      <c r="L128" s="6" t="str">
        <f>'0_Configuration'!$C$41</f>
        <v>Mg</v>
      </c>
      <c r="M128" s="13" t="s">
        <v>1263</v>
      </c>
      <c r="N128" s="13">
        <v>2025</v>
      </c>
      <c r="O128" s="13" t="s">
        <v>1260</v>
      </c>
      <c r="P128" s="13" t="s">
        <v>1261</v>
      </c>
      <c r="Q128" s="13" t="s">
        <v>1389</v>
      </c>
      <c r="R128" s="7" t="s">
        <v>6</v>
      </c>
      <c r="S128" s="7"/>
      <c r="T128" s="7"/>
      <c r="U128" s="139">
        <f>_xlfn.XLOOKUP(Tab_Data_Flows[[#This Row],[Flow_Name]],Tab_Def_Flows[Flow_Name],Tab_Def_Flows[Flow_E1_Fraction'[%']],"N.A.",0,1)</f>
        <v>1</v>
      </c>
      <c r="V128" s="12">
        <f t="shared" si="3"/>
        <v>635650.83882352954</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1</v>
      </c>
      <c r="AB128" s="6">
        <f>IF(E128="Yes",AA128*Tab_Data_Flows[[#This Row],[E1_value]],"N.A.")</f>
        <v>635650.83882352954</v>
      </c>
      <c r="AC128" s="6" t="str">
        <f>Tab_Data_Flows[[#This Row],[E1_UoM]]</f>
        <v>Mg</v>
      </c>
      <c r="AD128" s="139">
        <f>_xlfn.XLOOKUP(Tab_Data_Flows[[#This Row],[Flow_Name]],Tab_Def_Flows[Flow_Name],Tab_Def_Flows[Flow_E4_Fraction'[%']],"N.A.",0,1)</f>
        <v>1</v>
      </c>
      <c r="AE128" s="6">
        <f>IF(G128="Yes",Tab_Data_Flows[[#This Row],[E4_Fraction'[%']]]*Tab_Data_Flows[[#This Row],[E1_value]],"N.A.")</f>
        <v>635650.83882352954</v>
      </c>
      <c r="AF128" s="6" t="str">
        <f>Tab_Data_Flows[[#This Row],[E1_UoM]]</f>
        <v>Mg</v>
      </c>
      <c r="AG128" s="139">
        <f>_xlfn.XLOOKUP(Tab_Data_Flows[[#This Row],[Flow_Name]],Tab_Def_Flows[Flow_Name],Tab_Def_Flows[Flow_E5_Fraction'[%']],"N.A.",0,1)</f>
        <v>0</v>
      </c>
      <c r="AH128" s="6" t="str">
        <f>IF(H128="Yes",Tab_Data_Flows[[#This Row],[E5_Fraction'[%']]]*Tab_Data_Flows[[#This Row],[E1_value]],"N.A.")</f>
        <v>N.A.</v>
      </c>
      <c r="AI128" s="6" t="str">
        <f>Tab_Data_Flows[[#This Row],[E1_UoM]]</f>
        <v>Mg</v>
      </c>
      <c r="AJ128" s="139">
        <f>_xlfn.XLOOKUP(Tab_Data_Flows[[#This Row],[Flow_Name]],Tab_Def_Flows[Flow_Name],Tab_Def_Flows[Flow_E6_Fraction'[%']],"N.A.",0,1)</f>
        <v>0</v>
      </c>
      <c r="AK128" s="6" t="str">
        <f>IF(Tab_Data_Flows[[#This Row],[Use_E6]]="Yes",Tab_Data_Flows[[#This Row],[E6_Fraction'[%']]]*Tab_Data_Flows[[#This Row],[E1_value]],"N.A.")</f>
        <v>N.A.</v>
      </c>
      <c r="AL128" s="6" t="str">
        <f>Tab_Data_Flows[[#This Row],[E1_UoM]]</f>
        <v>Mg</v>
      </c>
    </row>
    <row r="129" spans="1:38" x14ac:dyDescent="0.25">
      <c r="A129" s="8">
        <f t="shared" si="4"/>
        <v>128</v>
      </c>
      <c r="B129" s="6" t="str">
        <f>_xlfn.XLOOKUP(C129,Tab_Def_Flows[Flow_Name],Tab_Def_Flows[Flow_ID],,0,)</f>
        <v>F_00_02</v>
      </c>
      <c r="C129" s="138" t="s">
        <v>1233</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No</v>
      </c>
      <c r="I129" s="9" t="str">
        <f>_xlfn.XLOOKUP(C129,Tab_Def_Flows[Flow_Name],Tab_Def_Flows[Use_E6],,0,)</f>
        <v>No</v>
      </c>
      <c r="J129" s="188">
        <v>2051</v>
      </c>
      <c r="K129" s="189">
        <v>614617.47229411767</v>
      </c>
      <c r="L129" s="6" t="str">
        <f>'0_Configuration'!$C$41</f>
        <v>Mg</v>
      </c>
      <c r="M129" s="13" t="s">
        <v>1263</v>
      </c>
      <c r="N129" s="13">
        <v>2025</v>
      </c>
      <c r="O129" s="13" t="s">
        <v>1260</v>
      </c>
      <c r="P129" s="13" t="s">
        <v>1261</v>
      </c>
      <c r="Q129" s="13" t="s">
        <v>1390</v>
      </c>
      <c r="R129" s="7" t="s">
        <v>6</v>
      </c>
      <c r="S129" s="7"/>
      <c r="T129" s="7"/>
      <c r="U129" s="139">
        <f>_xlfn.XLOOKUP(Tab_Data_Flows[[#This Row],[Flow_Name]],Tab_Def_Flows[Flow_Name],Tab_Def_Flows[Flow_E1_Fraction'[%']],"N.A.",0,1)</f>
        <v>1</v>
      </c>
      <c r="V129" s="12">
        <f t="shared" si="3"/>
        <v>614617.47229411767</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1</v>
      </c>
      <c r="AB129" s="6">
        <f>IF(E129="Yes",AA129*Tab_Data_Flows[[#This Row],[E1_value]],"N.A.")</f>
        <v>614617.47229411767</v>
      </c>
      <c r="AC129" s="6" t="str">
        <f>Tab_Data_Flows[[#This Row],[E1_UoM]]</f>
        <v>Mg</v>
      </c>
      <c r="AD129" s="139">
        <f>_xlfn.XLOOKUP(Tab_Data_Flows[[#This Row],[Flow_Name]],Tab_Def_Flows[Flow_Name],Tab_Def_Flows[Flow_E4_Fraction'[%']],"N.A.",0,1)</f>
        <v>1</v>
      </c>
      <c r="AE129" s="6">
        <f>IF(G129="Yes",Tab_Data_Flows[[#This Row],[E4_Fraction'[%']]]*Tab_Data_Flows[[#This Row],[E1_value]],"N.A.")</f>
        <v>614617.47229411767</v>
      </c>
      <c r="AF129" s="6" t="str">
        <f>Tab_Data_Flows[[#This Row],[E1_UoM]]</f>
        <v>Mg</v>
      </c>
      <c r="AG129" s="139">
        <f>_xlfn.XLOOKUP(Tab_Data_Flows[[#This Row],[Flow_Name]],Tab_Def_Flows[Flow_Name],Tab_Def_Flows[Flow_E5_Fraction'[%']],"N.A.",0,1)</f>
        <v>0</v>
      </c>
      <c r="AH129" s="6" t="str">
        <f>IF(H129="Yes",Tab_Data_Flows[[#This Row],[E5_Fraction'[%']]]*Tab_Data_Flows[[#This Row],[E1_value]],"N.A.")</f>
        <v>N.A.</v>
      </c>
      <c r="AI129" s="6" t="str">
        <f>Tab_Data_Flows[[#This Row],[E1_UoM]]</f>
        <v>Mg</v>
      </c>
      <c r="AJ129" s="139">
        <f>_xlfn.XLOOKUP(Tab_Data_Flows[[#This Row],[Flow_Name]],Tab_Def_Flows[Flow_Name],Tab_Def_Flows[Flow_E6_Fraction'[%']],"N.A.",0,1)</f>
        <v>0</v>
      </c>
      <c r="AK129" s="6" t="str">
        <f>IF(Tab_Data_Flows[[#This Row],[Use_E6]]="Yes",Tab_Data_Flows[[#This Row],[E6_Fraction'[%']]]*Tab_Data_Flows[[#This Row],[E1_value]],"N.A.")</f>
        <v>N.A.</v>
      </c>
      <c r="AL129" s="6" t="str">
        <f>Tab_Data_Flows[[#This Row],[E1_UoM]]</f>
        <v>Mg</v>
      </c>
    </row>
    <row r="130" spans="1:38" x14ac:dyDescent="0.25">
      <c r="A130" s="8">
        <f t="shared" si="4"/>
        <v>129</v>
      </c>
      <c r="B130" s="6" t="str">
        <f>_xlfn.XLOOKUP(C130,Tab_Def_Flows[Flow_Name],Tab_Def_Flows[Flow_ID],,0,)</f>
        <v>F_00_02</v>
      </c>
      <c r="C130" s="138" t="s">
        <v>1233</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No</v>
      </c>
      <c r="I130" s="9" t="str">
        <f>_xlfn.XLOOKUP(C130,Tab_Def_Flows[Flow_Name],Tab_Def_Flows[Use_E6],,0,)</f>
        <v>No</v>
      </c>
      <c r="J130" s="188">
        <v>2052</v>
      </c>
      <c r="K130" s="189">
        <v>633814.09888235293</v>
      </c>
      <c r="L130" s="6" t="str">
        <f>'0_Configuration'!$C$41</f>
        <v>Mg</v>
      </c>
      <c r="M130" s="13" t="s">
        <v>1263</v>
      </c>
      <c r="N130" s="13">
        <v>2025</v>
      </c>
      <c r="O130" s="13" t="s">
        <v>1260</v>
      </c>
      <c r="P130" s="13" t="s">
        <v>1261</v>
      </c>
      <c r="Q130" s="13" t="s">
        <v>1391</v>
      </c>
      <c r="R130" s="7" t="s">
        <v>6</v>
      </c>
      <c r="S130" s="7"/>
      <c r="T130" s="7"/>
      <c r="U130" s="139">
        <f>_xlfn.XLOOKUP(Tab_Data_Flows[[#This Row],[Flow_Name]],Tab_Def_Flows[Flow_Name],Tab_Def_Flows[Flow_E1_Fraction'[%']],"N.A.",0,1)</f>
        <v>1</v>
      </c>
      <c r="V130" s="12">
        <f t="shared" ref="V130:V193" si="5">IF(R130="no",K130,K130*S130)</f>
        <v>633814.09888235293</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1</v>
      </c>
      <c r="AB130" s="6">
        <f>IF(E130="Yes",AA130*Tab_Data_Flows[[#This Row],[E1_value]],"N.A.")</f>
        <v>633814.09888235293</v>
      </c>
      <c r="AC130" s="6" t="str">
        <f>Tab_Data_Flows[[#This Row],[E1_UoM]]</f>
        <v>Mg</v>
      </c>
      <c r="AD130" s="139">
        <f>_xlfn.XLOOKUP(Tab_Data_Flows[[#This Row],[Flow_Name]],Tab_Def_Flows[Flow_Name],Tab_Def_Flows[Flow_E4_Fraction'[%']],"N.A.",0,1)</f>
        <v>1</v>
      </c>
      <c r="AE130" s="6">
        <f>IF(G130="Yes",Tab_Data_Flows[[#This Row],[E4_Fraction'[%']]]*Tab_Data_Flows[[#This Row],[E1_value]],"N.A.")</f>
        <v>633814.09888235293</v>
      </c>
      <c r="AF130" s="6" t="str">
        <f>Tab_Data_Flows[[#This Row],[E1_UoM]]</f>
        <v>Mg</v>
      </c>
      <c r="AG130" s="139">
        <f>_xlfn.XLOOKUP(Tab_Data_Flows[[#This Row],[Flow_Name]],Tab_Def_Flows[Flow_Name],Tab_Def_Flows[Flow_E5_Fraction'[%']],"N.A.",0,1)</f>
        <v>0</v>
      </c>
      <c r="AH130" s="6" t="str">
        <f>IF(H130="Yes",Tab_Data_Flows[[#This Row],[E5_Fraction'[%']]]*Tab_Data_Flows[[#This Row],[E1_value]],"N.A.")</f>
        <v>N.A.</v>
      </c>
      <c r="AI130" s="6" t="str">
        <f>Tab_Data_Flows[[#This Row],[E1_UoM]]</f>
        <v>Mg</v>
      </c>
      <c r="AJ130" s="139">
        <f>_xlfn.XLOOKUP(Tab_Data_Flows[[#This Row],[Flow_Name]],Tab_Def_Flows[Flow_Name],Tab_Def_Flows[Flow_E6_Fraction'[%']],"N.A.",0,1)</f>
        <v>0</v>
      </c>
      <c r="AK130" s="6" t="str">
        <f>IF(Tab_Data_Flows[[#This Row],[Use_E6]]="Yes",Tab_Data_Flows[[#This Row],[E6_Fraction'[%']]]*Tab_Data_Flows[[#This Row],[E1_value]],"N.A.")</f>
        <v>N.A.</v>
      </c>
      <c r="AL130" s="6" t="str">
        <f>Tab_Data_Flows[[#This Row],[E1_UoM]]</f>
        <v>Mg</v>
      </c>
    </row>
    <row r="131" spans="1:38" x14ac:dyDescent="0.25">
      <c r="A131" s="8">
        <f t="shared" ref="A131:A194" si="6">ROW()-1</f>
        <v>130</v>
      </c>
      <c r="B131" s="6" t="str">
        <f>_xlfn.XLOOKUP(C131,Tab_Def_Flows[Flow_Name],Tab_Def_Flows[Flow_ID],,0,)</f>
        <v>F_00_02</v>
      </c>
      <c r="C131" s="138" t="s">
        <v>1233</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No</v>
      </c>
      <c r="I131" s="9" t="str">
        <f>_xlfn.XLOOKUP(C131,Tab_Def_Flows[Flow_Name],Tab_Def_Flows[Use_E6],,0,)</f>
        <v>No</v>
      </c>
      <c r="J131" s="188">
        <v>2053</v>
      </c>
      <c r="K131" s="189">
        <v>516684.28429411765</v>
      </c>
      <c r="L131" s="6" t="str">
        <f>'0_Configuration'!$C$41</f>
        <v>Mg</v>
      </c>
      <c r="M131" s="13" t="s">
        <v>1263</v>
      </c>
      <c r="N131" s="13">
        <v>2025</v>
      </c>
      <c r="O131" s="13" t="s">
        <v>1260</v>
      </c>
      <c r="P131" s="13" t="s">
        <v>1261</v>
      </c>
      <c r="Q131" s="13" t="s">
        <v>1392</v>
      </c>
      <c r="R131" s="7" t="s">
        <v>6</v>
      </c>
      <c r="S131" s="7"/>
      <c r="T131" s="7"/>
      <c r="U131" s="139">
        <f>_xlfn.XLOOKUP(Tab_Data_Flows[[#This Row],[Flow_Name]],Tab_Def_Flows[Flow_Name],Tab_Def_Flows[Flow_E1_Fraction'[%']],"N.A.",0,1)</f>
        <v>1</v>
      </c>
      <c r="V131" s="12">
        <f t="shared" si="5"/>
        <v>516684.28429411765</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1</v>
      </c>
      <c r="AB131" s="6">
        <f>IF(E131="Yes",AA131*Tab_Data_Flows[[#This Row],[E1_value]],"N.A.")</f>
        <v>516684.28429411765</v>
      </c>
      <c r="AC131" s="6" t="str">
        <f>Tab_Data_Flows[[#This Row],[E1_UoM]]</f>
        <v>Mg</v>
      </c>
      <c r="AD131" s="139">
        <f>_xlfn.XLOOKUP(Tab_Data_Flows[[#This Row],[Flow_Name]],Tab_Def_Flows[Flow_Name],Tab_Def_Flows[Flow_E4_Fraction'[%']],"N.A.",0,1)</f>
        <v>1</v>
      </c>
      <c r="AE131" s="6">
        <f>IF(G131="Yes",Tab_Data_Flows[[#This Row],[E4_Fraction'[%']]]*Tab_Data_Flows[[#This Row],[E1_value]],"N.A.")</f>
        <v>516684.28429411765</v>
      </c>
      <c r="AF131" s="6" t="str">
        <f>Tab_Data_Flows[[#This Row],[E1_UoM]]</f>
        <v>Mg</v>
      </c>
      <c r="AG131" s="139">
        <f>_xlfn.XLOOKUP(Tab_Data_Flows[[#This Row],[Flow_Name]],Tab_Def_Flows[Flow_Name],Tab_Def_Flows[Flow_E5_Fraction'[%']],"N.A.",0,1)</f>
        <v>0</v>
      </c>
      <c r="AH131" s="6" t="str">
        <f>IF(H131="Yes",Tab_Data_Flows[[#This Row],[E5_Fraction'[%']]]*Tab_Data_Flows[[#This Row],[E1_value]],"N.A.")</f>
        <v>N.A.</v>
      </c>
      <c r="AI131" s="6" t="str">
        <f>Tab_Data_Flows[[#This Row],[E1_UoM]]</f>
        <v>Mg</v>
      </c>
      <c r="AJ131" s="139">
        <f>_xlfn.XLOOKUP(Tab_Data_Flows[[#This Row],[Flow_Name]],Tab_Def_Flows[Flow_Name],Tab_Def_Flows[Flow_E6_Fraction'[%']],"N.A.",0,1)</f>
        <v>0</v>
      </c>
      <c r="AK131" s="6" t="str">
        <f>IF(Tab_Data_Flows[[#This Row],[Use_E6]]="Yes",Tab_Data_Flows[[#This Row],[E6_Fraction'[%']]]*Tab_Data_Flows[[#This Row],[E1_value]],"N.A.")</f>
        <v>N.A.</v>
      </c>
      <c r="AL131" s="6" t="str">
        <f>Tab_Data_Flows[[#This Row],[E1_UoM]]</f>
        <v>Mg</v>
      </c>
    </row>
    <row r="132" spans="1:38" x14ac:dyDescent="0.25">
      <c r="A132" s="8">
        <f t="shared" si="6"/>
        <v>131</v>
      </c>
      <c r="B132" s="6" t="str">
        <f>_xlfn.XLOOKUP(C132,Tab_Def_Flows[Flow_Name],Tab_Def_Flows[Flow_ID],,0,)</f>
        <v>F_00_02</v>
      </c>
      <c r="C132" s="138" t="s">
        <v>1233</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No</v>
      </c>
      <c r="I132" s="9" t="str">
        <f>_xlfn.XLOOKUP(C132,Tab_Def_Flows[Flow_Name],Tab_Def_Flows[Use_E6],,0,)</f>
        <v>No</v>
      </c>
      <c r="J132" s="188">
        <v>2054</v>
      </c>
      <c r="K132" s="189">
        <v>596962.13770588243</v>
      </c>
      <c r="L132" s="6" t="str">
        <f>'0_Configuration'!$C$41</f>
        <v>Mg</v>
      </c>
      <c r="M132" s="13" t="s">
        <v>1263</v>
      </c>
      <c r="N132" s="13">
        <v>2025</v>
      </c>
      <c r="O132" s="13" t="s">
        <v>1260</v>
      </c>
      <c r="P132" s="13" t="s">
        <v>1261</v>
      </c>
      <c r="Q132" s="13" t="s">
        <v>1393</v>
      </c>
      <c r="R132" s="7" t="s">
        <v>6</v>
      </c>
      <c r="S132" s="7"/>
      <c r="T132" s="7"/>
      <c r="U132" s="139">
        <f>_xlfn.XLOOKUP(Tab_Data_Flows[[#This Row],[Flow_Name]],Tab_Def_Flows[Flow_Name],Tab_Def_Flows[Flow_E1_Fraction'[%']],"N.A.",0,1)</f>
        <v>1</v>
      </c>
      <c r="V132" s="12">
        <f t="shared" si="5"/>
        <v>596962.13770588243</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1</v>
      </c>
      <c r="AB132" s="6">
        <f>IF(E132="Yes",AA132*Tab_Data_Flows[[#This Row],[E1_value]],"N.A.")</f>
        <v>596962.13770588243</v>
      </c>
      <c r="AC132" s="6" t="str">
        <f>Tab_Data_Flows[[#This Row],[E1_UoM]]</f>
        <v>Mg</v>
      </c>
      <c r="AD132" s="139">
        <f>_xlfn.XLOOKUP(Tab_Data_Flows[[#This Row],[Flow_Name]],Tab_Def_Flows[Flow_Name],Tab_Def_Flows[Flow_E4_Fraction'[%']],"N.A.",0,1)</f>
        <v>1</v>
      </c>
      <c r="AE132" s="6">
        <f>IF(G132="Yes",Tab_Data_Flows[[#This Row],[E4_Fraction'[%']]]*Tab_Data_Flows[[#This Row],[E1_value]],"N.A.")</f>
        <v>596962.13770588243</v>
      </c>
      <c r="AF132" s="6" t="str">
        <f>Tab_Data_Flows[[#This Row],[E1_UoM]]</f>
        <v>Mg</v>
      </c>
      <c r="AG132" s="139">
        <f>_xlfn.XLOOKUP(Tab_Data_Flows[[#This Row],[Flow_Name]],Tab_Def_Flows[Flow_Name],Tab_Def_Flows[Flow_E5_Fraction'[%']],"N.A.",0,1)</f>
        <v>0</v>
      </c>
      <c r="AH132" s="6" t="str">
        <f>IF(H132="Yes",Tab_Data_Flows[[#This Row],[E5_Fraction'[%']]]*Tab_Data_Flows[[#This Row],[E1_value]],"N.A.")</f>
        <v>N.A.</v>
      </c>
      <c r="AI132" s="6" t="str">
        <f>Tab_Data_Flows[[#This Row],[E1_UoM]]</f>
        <v>Mg</v>
      </c>
      <c r="AJ132" s="139">
        <f>_xlfn.XLOOKUP(Tab_Data_Flows[[#This Row],[Flow_Name]],Tab_Def_Flows[Flow_Name],Tab_Def_Flows[Flow_E6_Fraction'[%']],"N.A.",0,1)</f>
        <v>0</v>
      </c>
      <c r="AK132" s="6" t="str">
        <f>IF(Tab_Data_Flows[[#This Row],[Use_E6]]="Yes",Tab_Data_Flows[[#This Row],[E6_Fraction'[%']]]*Tab_Data_Flows[[#This Row],[E1_value]],"N.A.")</f>
        <v>N.A.</v>
      </c>
      <c r="AL132" s="6" t="str">
        <f>Tab_Data_Flows[[#This Row],[E1_UoM]]</f>
        <v>Mg</v>
      </c>
    </row>
    <row r="133" spans="1:38" x14ac:dyDescent="0.25">
      <c r="A133" s="8">
        <f t="shared" si="6"/>
        <v>132</v>
      </c>
      <c r="B133" s="6" t="str">
        <f>_xlfn.XLOOKUP(C133,Tab_Def_Flows[Flow_Name],Tab_Def_Flows[Flow_ID],,0,)</f>
        <v>F_00_02</v>
      </c>
      <c r="C133" s="138" t="s">
        <v>1233</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No</v>
      </c>
      <c r="I133" s="9" t="str">
        <f>_xlfn.XLOOKUP(C133,Tab_Def_Flows[Flow_Name],Tab_Def_Flows[Use_E6],,0,)</f>
        <v>No</v>
      </c>
      <c r="J133" s="188">
        <v>2055</v>
      </c>
      <c r="K133" s="189">
        <v>524278.18041176465</v>
      </c>
      <c r="L133" s="6" t="str">
        <f>'0_Configuration'!$C$41</f>
        <v>Mg</v>
      </c>
      <c r="M133" s="13" t="s">
        <v>1263</v>
      </c>
      <c r="N133" s="13">
        <v>2025</v>
      </c>
      <c r="O133" s="13" t="s">
        <v>1260</v>
      </c>
      <c r="P133" s="13" t="s">
        <v>1261</v>
      </c>
      <c r="Q133" s="13" t="s">
        <v>1394</v>
      </c>
      <c r="R133" s="7" t="s">
        <v>6</v>
      </c>
      <c r="S133" s="7"/>
      <c r="T133" s="7"/>
      <c r="U133" s="139">
        <f>_xlfn.XLOOKUP(Tab_Data_Flows[[#This Row],[Flow_Name]],Tab_Def_Flows[Flow_Name],Tab_Def_Flows[Flow_E1_Fraction'[%']],"N.A.",0,1)</f>
        <v>1</v>
      </c>
      <c r="V133" s="12">
        <f t="shared" si="5"/>
        <v>524278.18041176465</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1</v>
      </c>
      <c r="AB133" s="6">
        <f>IF(E133="Yes",AA133*Tab_Data_Flows[[#This Row],[E1_value]],"N.A.")</f>
        <v>524278.18041176465</v>
      </c>
      <c r="AC133" s="6" t="str">
        <f>Tab_Data_Flows[[#This Row],[E1_UoM]]</f>
        <v>Mg</v>
      </c>
      <c r="AD133" s="139">
        <f>_xlfn.XLOOKUP(Tab_Data_Flows[[#This Row],[Flow_Name]],Tab_Def_Flows[Flow_Name],Tab_Def_Flows[Flow_E4_Fraction'[%']],"N.A.",0,1)</f>
        <v>1</v>
      </c>
      <c r="AE133" s="6">
        <f>IF(G133="Yes",Tab_Data_Flows[[#This Row],[E4_Fraction'[%']]]*Tab_Data_Flows[[#This Row],[E1_value]],"N.A.")</f>
        <v>524278.18041176465</v>
      </c>
      <c r="AF133" s="6" t="str">
        <f>Tab_Data_Flows[[#This Row],[E1_UoM]]</f>
        <v>Mg</v>
      </c>
      <c r="AG133" s="139">
        <f>_xlfn.XLOOKUP(Tab_Data_Flows[[#This Row],[Flow_Name]],Tab_Def_Flows[Flow_Name],Tab_Def_Flows[Flow_E5_Fraction'[%']],"N.A.",0,1)</f>
        <v>0</v>
      </c>
      <c r="AH133" s="6" t="str">
        <f>IF(H133="Yes",Tab_Data_Flows[[#This Row],[E5_Fraction'[%']]]*Tab_Data_Flows[[#This Row],[E1_value]],"N.A.")</f>
        <v>N.A.</v>
      </c>
      <c r="AI133" s="6" t="str">
        <f>Tab_Data_Flows[[#This Row],[E1_UoM]]</f>
        <v>Mg</v>
      </c>
      <c r="AJ133" s="139">
        <f>_xlfn.XLOOKUP(Tab_Data_Flows[[#This Row],[Flow_Name]],Tab_Def_Flows[Flow_Name],Tab_Def_Flows[Flow_E6_Fraction'[%']],"N.A.",0,1)</f>
        <v>0</v>
      </c>
      <c r="AK133" s="6" t="str">
        <f>IF(Tab_Data_Flows[[#This Row],[Use_E6]]="Yes",Tab_Data_Flows[[#This Row],[E6_Fraction'[%']]]*Tab_Data_Flows[[#This Row],[E1_value]],"N.A.")</f>
        <v>N.A.</v>
      </c>
      <c r="AL133" s="6" t="str">
        <f>Tab_Data_Flows[[#This Row],[E1_UoM]]</f>
        <v>Mg</v>
      </c>
    </row>
    <row r="134" spans="1:38" x14ac:dyDescent="0.25">
      <c r="A134" s="8">
        <f t="shared" si="6"/>
        <v>133</v>
      </c>
      <c r="B134" s="6" t="str">
        <f>_xlfn.XLOOKUP(C134,Tab_Def_Flows[Flow_Name],Tab_Def_Flows[Flow_ID],,0,)</f>
        <v>F_00_02</v>
      </c>
      <c r="C134" s="138" t="s">
        <v>1233</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No</v>
      </c>
      <c r="I134" s="9" t="str">
        <f>_xlfn.XLOOKUP(C134,Tab_Def_Flows[Flow_Name],Tab_Def_Flows[Use_E6],,0,)</f>
        <v>No</v>
      </c>
      <c r="J134" s="188">
        <v>2056</v>
      </c>
      <c r="K134" s="189">
        <v>618390.58570588229</v>
      </c>
      <c r="L134" s="6" t="str">
        <f>'0_Configuration'!$C$41</f>
        <v>Mg</v>
      </c>
      <c r="M134" s="13" t="s">
        <v>1263</v>
      </c>
      <c r="N134" s="13">
        <v>2025</v>
      </c>
      <c r="O134" s="13" t="s">
        <v>1260</v>
      </c>
      <c r="P134" s="13" t="s">
        <v>1261</v>
      </c>
      <c r="Q134" s="13" t="s">
        <v>1395</v>
      </c>
      <c r="R134" s="7" t="s">
        <v>6</v>
      </c>
      <c r="S134" s="7"/>
      <c r="T134" s="7"/>
      <c r="U134" s="139">
        <f>_xlfn.XLOOKUP(Tab_Data_Flows[[#This Row],[Flow_Name]],Tab_Def_Flows[Flow_Name],Tab_Def_Flows[Flow_E1_Fraction'[%']],"N.A.",0,1)</f>
        <v>1</v>
      </c>
      <c r="V134" s="12">
        <f t="shared" si="5"/>
        <v>618390.58570588229</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1</v>
      </c>
      <c r="AB134" s="6">
        <f>IF(E134="Yes",AA134*Tab_Data_Flows[[#This Row],[E1_value]],"N.A.")</f>
        <v>618390.58570588229</v>
      </c>
      <c r="AC134" s="6" t="str">
        <f>Tab_Data_Flows[[#This Row],[E1_UoM]]</f>
        <v>Mg</v>
      </c>
      <c r="AD134" s="139">
        <f>_xlfn.XLOOKUP(Tab_Data_Flows[[#This Row],[Flow_Name]],Tab_Def_Flows[Flow_Name],Tab_Def_Flows[Flow_E4_Fraction'[%']],"N.A.",0,1)</f>
        <v>1</v>
      </c>
      <c r="AE134" s="6">
        <f>IF(G134="Yes",Tab_Data_Flows[[#This Row],[E4_Fraction'[%']]]*Tab_Data_Flows[[#This Row],[E1_value]],"N.A.")</f>
        <v>618390.58570588229</v>
      </c>
      <c r="AF134" s="6" t="str">
        <f>Tab_Data_Flows[[#This Row],[E1_UoM]]</f>
        <v>Mg</v>
      </c>
      <c r="AG134" s="139">
        <f>_xlfn.XLOOKUP(Tab_Data_Flows[[#This Row],[Flow_Name]],Tab_Def_Flows[Flow_Name],Tab_Def_Flows[Flow_E5_Fraction'[%']],"N.A.",0,1)</f>
        <v>0</v>
      </c>
      <c r="AH134" s="6" t="str">
        <f>IF(H134="Yes",Tab_Data_Flows[[#This Row],[E5_Fraction'[%']]]*Tab_Data_Flows[[#This Row],[E1_value]],"N.A.")</f>
        <v>N.A.</v>
      </c>
      <c r="AI134" s="6" t="str">
        <f>Tab_Data_Flows[[#This Row],[E1_UoM]]</f>
        <v>Mg</v>
      </c>
      <c r="AJ134" s="139">
        <f>_xlfn.XLOOKUP(Tab_Data_Flows[[#This Row],[Flow_Name]],Tab_Def_Flows[Flow_Name],Tab_Def_Flows[Flow_E6_Fraction'[%']],"N.A.",0,1)</f>
        <v>0</v>
      </c>
      <c r="AK134" s="6" t="str">
        <f>IF(Tab_Data_Flows[[#This Row],[Use_E6]]="Yes",Tab_Data_Flows[[#This Row],[E6_Fraction'[%']]]*Tab_Data_Flows[[#This Row],[E1_value]],"N.A.")</f>
        <v>N.A.</v>
      </c>
      <c r="AL134" s="6" t="str">
        <f>Tab_Data_Flows[[#This Row],[E1_UoM]]</f>
        <v>Mg</v>
      </c>
    </row>
    <row r="135" spans="1:38" x14ac:dyDescent="0.25">
      <c r="A135" s="8">
        <f t="shared" si="6"/>
        <v>134</v>
      </c>
      <c r="B135" s="6" t="str">
        <f>_xlfn.XLOOKUP(C135,Tab_Def_Flows[Flow_Name],Tab_Def_Flows[Flow_ID],,0,)</f>
        <v>F_00_02</v>
      </c>
      <c r="C135" s="138" t="s">
        <v>1233</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No</v>
      </c>
      <c r="I135" s="9" t="str">
        <f>_xlfn.XLOOKUP(C135,Tab_Def_Flows[Flow_Name],Tab_Def_Flows[Use_E6],,0,)</f>
        <v>No</v>
      </c>
      <c r="J135" s="188">
        <v>2057</v>
      </c>
      <c r="K135" s="189">
        <v>535959.86647058814</v>
      </c>
      <c r="L135" s="6" t="str">
        <f>'0_Configuration'!$C$41</f>
        <v>Mg</v>
      </c>
      <c r="M135" s="13" t="s">
        <v>1263</v>
      </c>
      <c r="N135" s="13">
        <v>2025</v>
      </c>
      <c r="O135" s="13" t="s">
        <v>1260</v>
      </c>
      <c r="P135" s="13" t="s">
        <v>1261</v>
      </c>
      <c r="Q135" s="13" t="s">
        <v>1396</v>
      </c>
      <c r="R135" s="7" t="s">
        <v>6</v>
      </c>
      <c r="S135" s="7"/>
      <c r="T135" s="7"/>
      <c r="U135" s="139">
        <f>_xlfn.XLOOKUP(Tab_Data_Flows[[#This Row],[Flow_Name]],Tab_Def_Flows[Flow_Name],Tab_Def_Flows[Flow_E1_Fraction'[%']],"N.A.",0,1)</f>
        <v>1</v>
      </c>
      <c r="V135" s="12">
        <f t="shared" si="5"/>
        <v>535959.86647058814</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1</v>
      </c>
      <c r="AB135" s="6">
        <f>IF(E135="Yes",AA135*Tab_Data_Flows[[#This Row],[E1_value]],"N.A.")</f>
        <v>535959.86647058814</v>
      </c>
      <c r="AC135" s="6" t="str">
        <f>Tab_Data_Flows[[#This Row],[E1_UoM]]</f>
        <v>Mg</v>
      </c>
      <c r="AD135" s="139">
        <f>_xlfn.XLOOKUP(Tab_Data_Flows[[#This Row],[Flow_Name]],Tab_Def_Flows[Flow_Name],Tab_Def_Flows[Flow_E4_Fraction'[%']],"N.A.",0,1)</f>
        <v>1</v>
      </c>
      <c r="AE135" s="6">
        <f>IF(G135="Yes",Tab_Data_Flows[[#This Row],[E4_Fraction'[%']]]*Tab_Data_Flows[[#This Row],[E1_value]],"N.A.")</f>
        <v>535959.86647058814</v>
      </c>
      <c r="AF135" s="6" t="str">
        <f>Tab_Data_Flows[[#This Row],[E1_UoM]]</f>
        <v>Mg</v>
      </c>
      <c r="AG135" s="139">
        <f>_xlfn.XLOOKUP(Tab_Data_Flows[[#This Row],[Flow_Name]],Tab_Def_Flows[Flow_Name],Tab_Def_Flows[Flow_E5_Fraction'[%']],"N.A.",0,1)</f>
        <v>0</v>
      </c>
      <c r="AH135" s="6" t="str">
        <f>IF(H135="Yes",Tab_Data_Flows[[#This Row],[E5_Fraction'[%']]]*Tab_Data_Flows[[#This Row],[E1_value]],"N.A.")</f>
        <v>N.A.</v>
      </c>
      <c r="AI135" s="6" t="str">
        <f>Tab_Data_Flows[[#This Row],[E1_UoM]]</f>
        <v>Mg</v>
      </c>
      <c r="AJ135" s="139">
        <f>_xlfn.XLOOKUP(Tab_Data_Flows[[#This Row],[Flow_Name]],Tab_Def_Flows[Flow_Name],Tab_Def_Flows[Flow_E6_Fraction'[%']],"N.A.",0,1)</f>
        <v>0</v>
      </c>
      <c r="AK135" s="6" t="str">
        <f>IF(Tab_Data_Flows[[#This Row],[Use_E6]]="Yes",Tab_Data_Flows[[#This Row],[E6_Fraction'[%']]]*Tab_Data_Flows[[#This Row],[E1_value]],"N.A.")</f>
        <v>N.A.</v>
      </c>
      <c r="AL135" s="6" t="str">
        <f>Tab_Data_Flows[[#This Row],[E1_UoM]]</f>
        <v>Mg</v>
      </c>
    </row>
    <row r="136" spans="1:38" x14ac:dyDescent="0.25">
      <c r="A136" s="8">
        <f t="shared" si="6"/>
        <v>135</v>
      </c>
      <c r="B136" s="6" t="str">
        <f>_xlfn.XLOOKUP(C136,Tab_Def_Flows[Flow_Name],Tab_Def_Flows[Flow_ID],,0,)</f>
        <v>F_00_02</v>
      </c>
      <c r="C136" s="138" t="s">
        <v>1233</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No</v>
      </c>
      <c r="I136" s="9" t="str">
        <f>_xlfn.XLOOKUP(C136,Tab_Def_Flows[Flow_Name],Tab_Def_Flows[Use_E6],,0,)</f>
        <v>No</v>
      </c>
      <c r="J136" s="188">
        <v>2058</v>
      </c>
      <c r="K136" s="189">
        <v>570923.71535294119</v>
      </c>
      <c r="L136" s="6" t="str">
        <f>'0_Configuration'!$C$41</f>
        <v>Mg</v>
      </c>
      <c r="M136" s="13" t="s">
        <v>1263</v>
      </c>
      <c r="N136" s="13">
        <v>2025</v>
      </c>
      <c r="O136" s="13" t="s">
        <v>1260</v>
      </c>
      <c r="P136" s="13" t="s">
        <v>1261</v>
      </c>
      <c r="Q136" s="13" t="s">
        <v>1397</v>
      </c>
      <c r="R136" s="7" t="s">
        <v>6</v>
      </c>
      <c r="S136" s="7"/>
      <c r="T136" s="7"/>
      <c r="U136" s="139">
        <f>_xlfn.XLOOKUP(Tab_Data_Flows[[#This Row],[Flow_Name]],Tab_Def_Flows[Flow_Name],Tab_Def_Flows[Flow_E1_Fraction'[%']],"N.A.",0,1)</f>
        <v>1</v>
      </c>
      <c r="V136" s="12">
        <f t="shared" si="5"/>
        <v>570923.71535294119</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1</v>
      </c>
      <c r="AB136" s="6">
        <f>IF(E136="Yes",AA136*Tab_Data_Flows[[#This Row],[E1_value]],"N.A.")</f>
        <v>570923.71535294119</v>
      </c>
      <c r="AC136" s="6" t="str">
        <f>Tab_Data_Flows[[#This Row],[E1_UoM]]</f>
        <v>Mg</v>
      </c>
      <c r="AD136" s="139">
        <f>_xlfn.XLOOKUP(Tab_Data_Flows[[#This Row],[Flow_Name]],Tab_Def_Flows[Flow_Name],Tab_Def_Flows[Flow_E4_Fraction'[%']],"N.A.",0,1)</f>
        <v>1</v>
      </c>
      <c r="AE136" s="6">
        <f>IF(G136="Yes",Tab_Data_Flows[[#This Row],[E4_Fraction'[%']]]*Tab_Data_Flows[[#This Row],[E1_value]],"N.A.")</f>
        <v>570923.71535294119</v>
      </c>
      <c r="AF136" s="6" t="str">
        <f>Tab_Data_Flows[[#This Row],[E1_UoM]]</f>
        <v>Mg</v>
      </c>
      <c r="AG136" s="139">
        <f>_xlfn.XLOOKUP(Tab_Data_Flows[[#This Row],[Flow_Name]],Tab_Def_Flows[Flow_Name],Tab_Def_Flows[Flow_E5_Fraction'[%']],"N.A.",0,1)</f>
        <v>0</v>
      </c>
      <c r="AH136" s="6" t="str">
        <f>IF(H136="Yes",Tab_Data_Flows[[#This Row],[E5_Fraction'[%']]]*Tab_Data_Flows[[#This Row],[E1_value]],"N.A.")</f>
        <v>N.A.</v>
      </c>
      <c r="AI136" s="6" t="str">
        <f>Tab_Data_Flows[[#This Row],[E1_UoM]]</f>
        <v>Mg</v>
      </c>
      <c r="AJ136" s="139">
        <f>_xlfn.XLOOKUP(Tab_Data_Flows[[#This Row],[Flow_Name]],Tab_Def_Flows[Flow_Name],Tab_Def_Flows[Flow_E6_Fraction'[%']],"N.A.",0,1)</f>
        <v>0</v>
      </c>
      <c r="AK136" s="6" t="str">
        <f>IF(Tab_Data_Flows[[#This Row],[Use_E6]]="Yes",Tab_Data_Flows[[#This Row],[E6_Fraction'[%']]]*Tab_Data_Flows[[#This Row],[E1_value]],"N.A.")</f>
        <v>N.A.</v>
      </c>
      <c r="AL136" s="6" t="str">
        <f>Tab_Data_Flows[[#This Row],[E1_UoM]]</f>
        <v>Mg</v>
      </c>
    </row>
    <row r="137" spans="1:38" x14ac:dyDescent="0.25">
      <c r="A137" s="8">
        <f t="shared" si="6"/>
        <v>136</v>
      </c>
      <c r="B137" s="6" t="str">
        <f>_xlfn.XLOOKUP(C137,Tab_Def_Flows[Flow_Name],Tab_Def_Flows[Flow_ID],,0,)</f>
        <v>F_00_02</v>
      </c>
      <c r="C137" s="138" t="s">
        <v>1233</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No</v>
      </c>
      <c r="I137" s="9" t="str">
        <f>_xlfn.XLOOKUP(C137,Tab_Def_Flows[Flow_Name],Tab_Def_Flows[Use_E6],,0,)</f>
        <v>No</v>
      </c>
      <c r="J137" s="188">
        <v>2059</v>
      </c>
      <c r="K137" s="189">
        <v>628960.51182352938</v>
      </c>
      <c r="L137" s="6" t="str">
        <f>'0_Configuration'!$C$41</f>
        <v>Mg</v>
      </c>
      <c r="M137" s="13" t="s">
        <v>1263</v>
      </c>
      <c r="N137" s="13">
        <v>2025</v>
      </c>
      <c r="O137" s="13" t="s">
        <v>1260</v>
      </c>
      <c r="P137" s="13" t="s">
        <v>1261</v>
      </c>
      <c r="Q137" s="13" t="s">
        <v>1398</v>
      </c>
      <c r="R137" s="7" t="s">
        <v>6</v>
      </c>
      <c r="S137" s="7"/>
      <c r="T137" s="7"/>
      <c r="U137" s="139">
        <f>_xlfn.XLOOKUP(Tab_Data_Flows[[#This Row],[Flow_Name]],Tab_Def_Flows[Flow_Name],Tab_Def_Flows[Flow_E1_Fraction'[%']],"N.A.",0,1)</f>
        <v>1</v>
      </c>
      <c r="V137" s="12">
        <f t="shared" si="5"/>
        <v>628960.51182352938</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1</v>
      </c>
      <c r="AB137" s="6">
        <f>IF(E137="Yes",AA137*Tab_Data_Flows[[#This Row],[E1_value]],"N.A.")</f>
        <v>628960.51182352938</v>
      </c>
      <c r="AC137" s="6" t="str">
        <f>Tab_Data_Flows[[#This Row],[E1_UoM]]</f>
        <v>Mg</v>
      </c>
      <c r="AD137" s="139">
        <f>_xlfn.XLOOKUP(Tab_Data_Flows[[#This Row],[Flow_Name]],Tab_Def_Flows[Flow_Name],Tab_Def_Flows[Flow_E4_Fraction'[%']],"N.A.",0,1)</f>
        <v>1</v>
      </c>
      <c r="AE137" s="6">
        <f>IF(G137="Yes",Tab_Data_Flows[[#This Row],[E4_Fraction'[%']]]*Tab_Data_Flows[[#This Row],[E1_value]],"N.A.")</f>
        <v>628960.51182352938</v>
      </c>
      <c r="AF137" s="6" t="str">
        <f>Tab_Data_Flows[[#This Row],[E1_UoM]]</f>
        <v>Mg</v>
      </c>
      <c r="AG137" s="139">
        <f>_xlfn.XLOOKUP(Tab_Data_Flows[[#This Row],[Flow_Name]],Tab_Def_Flows[Flow_Name],Tab_Def_Flows[Flow_E5_Fraction'[%']],"N.A.",0,1)</f>
        <v>0</v>
      </c>
      <c r="AH137" s="6" t="str">
        <f>IF(H137="Yes",Tab_Data_Flows[[#This Row],[E5_Fraction'[%']]]*Tab_Data_Flows[[#This Row],[E1_value]],"N.A.")</f>
        <v>N.A.</v>
      </c>
      <c r="AI137" s="6" t="str">
        <f>Tab_Data_Flows[[#This Row],[E1_UoM]]</f>
        <v>Mg</v>
      </c>
      <c r="AJ137" s="139">
        <f>_xlfn.XLOOKUP(Tab_Data_Flows[[#This Row],[Flow_Name]],Tab_Def_Flows[Flow_Name],Tab_Def_Flows[Flow_E6_Fraction'[%']],"N.A.",0,1)</f>
        <v>0</v>
      </c>
      <c r="AK137" s="6" t="str">
        <f>IF(Tab_Data_Flows[[#This Row],[Use_E6]]="Yes",Tab_Data_Flows[[#This Row],[E6_Fraction'[%']]]*Tab_Data_Flows[[#This Row],[E1_value]],"N.A.")</f>
        <v>N.A.</v>
      </c>
      <c r="AL137" s="6" t="str">
        <f>Tab_Data_Flows[[#This Row],[E1_UoM]]</f>
        <v>Mg</v>
      </c>
    </row>
    <row r="138" spans="1:38" x14ac:dyDescent="0.25">
      <c r="A138" s="8">
        <f t="shared" si="6"/>
        <v>137</v>
      </c>
      <c r="B138" s="6" t="str">
        <f>_xlfn.XLOOKUP(C138,Tab_Def_Flows[Flow_Name],Tab_Def_Flows[Flow_ID],,0,)</f>
        <v>F_00_02</v>
      </c>
      <c r="C138" s="138" t="s">
        <v>1233</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No</v>
      </c>
      <c r="I138" s="9" t="str">
        <f>_xlfn.XLOOKUP(C138,Tab_Def_Flows[Flow_Name],Tab_Def_Flows[Use_E6],,0,)</f>
        <v>No</v>
      </c>
      <c r="J138" s="188">
        <v>2060</v>
      </c>
      <c r="K138" s="189">
        <v>600288.46341176459</v>
      </c>
      <c r="L138" s="6" t="str">
        <f>'0_Configuration'!$C$41</f>
        <v>Mg</v>
      </c>
      <c r="M138" s="13" t="s">
        <v>1263</v>
      </c>
      <c r="N138" s="13">
        <v>2025</v>
      </c>
      <c r="O138" s="13" t="s">
        <v>1260</v>
      </c>
      <c r="P138" s="13" t="s">
        <v>1261</v>
      </c>
      <c r="Q138" s="13" t="s">
        <v>1399</v>
      </c>
      <c r="R138" s="7" t="s">
        <v>6</v>
      </c>
      <c r="S138" s="7"/>
      <c r="T138" s="7"/>
      <c r="U138" s="139">
        <f>_xlfn.XLOOKUP(Tab_Data_Flows[[#This Row],[Flow_Name]],Tab_Def_Flows[Flow_Name],Tab_Def_Flows[Flow_E1_Fraction'[%']],"N.A.",0,1)</f>
        <v>1</v>
      </c>
      <c r="V138" s="12">
        <f t="shared" si="5"/>
        <v>600288.46341176459</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1</v>
      </c>
      <c r="AB138" s="6">
        <f>IF(E138="Yes",AA138*Tab_Data_Flows[[#This Row],[E1_value]],"N.A.")</f>
        <v>600288.46341176459</v>
      </c>
      <c r="AC138" s="6" t="str">
        <f>Tab_Data_Flows[[#This Row],[E1_UoM]]</f>
        <v>Mg</v>
      </c>
      <c r="AD138" s="139">
        <f>_xlfn.XLOOKUP(Tab_Data_Flows[[#This Row],[Flow_Name]],Tab_Def_Flows[Flow_Name],Tab_Def_Flows[Flow_E4_Fraction'[%']],"N.A.",0,1)</f>
        <v>1</v>
      </c>
      <c r="AE138" s="6">
        <f>IF(G138="Yes",Tab_Data_Flows[[#This Row],[E4_Fraction'[%']]]*Tab_Data_Flows[[#This Row],[E1_value]],"N.A.")</f>
        <v>600288.46341176459</v>
      </c>
      <c r="AF138" s="6" t="str">
        <f>Tab_Data_Flows[[#This Row],[E1_UoM]]</f>
        <v>Mg</v>
      </c>
      <c r="AG138" s="139">
        <f>_xlfn.XLOOKUP(Tab_Data_Flows[[#This Row],[Flow_Name]],Tab_Def_Flows[Flow_Name],Tab_Def_Flows[Flow_E5_Fraction'[%']],"N.A.",0,1)</f>
        <v>0</v>
      </c>
      <c r="AH138" s="6" t="str">
        <f>IF(H138="Yes",Tab_Data_Flows[[#This Row],[E5_Fraction'[%']]]*Tab_Data_Flows[[#This Row],[E1_value]],"N.A.")</f>
        <v>N.A.</v>
      </c>
      <c r="AI138" s="6" t="str">
        <f>Tab_Data_Flows[[#This Row],[E1_UoM]]</f>
        <v>Mg</v>
      </c>
      <c r="AJ138" s="139">
        <f>_xlfn.XLOOKUP(Tab_Data_Flows[[#This Row],[Flow_Name]],Tab_Def_Flows[Flow_Name],Tab_Def_Flows[Flow_E6_Fraction'[%']],"N.A.",0,1)</f>
        <v>0</v>
      </c>
      <c r="AK138" s="6" t="str">
        <f>IF(Tab_Data_Flows[[#This Row],[Use_E6]]="Yes",Tab_Data_Flows[[#This Row],[E6_Fraction'[%']]]*Tab_Data_Flows[[#This Row],[E1_value]],"N.A.")</f>
        <v>N.A.</v>
      </c>
      <c r="AL138" s="6" t="str">
        <f>Tab_Data_Flows[[#This Row],[E1_UoM]]</f>
        <v>Mg</v>
      </c>
    </row>
    <row r="139" spans="1:38" x14ac:dyDescent="0.25">
      <c r="A139" s="8">
        <f t="shared" si="6"/>
        <v>138</v>
      </c>
      <c r="B139" s="6" t="str">
        <f>_xlfn.XLOOKUP(C139,Tab_Def_Flows[Flow_Name],Tab_Def_Flows[Flow_ID],,0,)</f>
        <v>F_00_02</v>
      </c>
      <c r="C139" s="138" t="s">
        <v>1233</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No</v>
      </c>
      <c r="I139" s="9" t="str">
        <f>_xlfn.XLOOKUP(C139,Tab_Def_Flows[Flow_Name],Tab_Def_Flows[Use_E6],,0,)</f>
        <v>No</v>
      </c>
      <c r="J139" s="188">
        <v>2061</v>
      </c>
      <c r="K139" s="189">
        <v>635625.23611764703</v>
      </c>
      <c r="L139" s="6" t="str">
        <f>'0_Configuration'!$C$41</f>
        <v>Mg</v>
      </c>
      <c r="M139" s="13" t="s">
        <v>1263</v>
      </c>
      <c r="N139" s="13">
        <v>2025</v>
      </c>
      <c r="O139" s="13" t="s">
        <v>1260</v>
      </c>
      <c r="P139" s="13" t="s">
        <v>1261</v>
      </c>
      <c r="Q139" s="13" t="s">
        <v>1400</v>
      </c>
      <c r="R139" s="7" t="s">
        <v>6</v>
      </c>
      <c r="S139" s="7"/>
      <c r="T139" s="7"/>
      <c r="U139" s="139">
        <f>_xlfn.XLOOKUP(Tab_Data_Flows[[#This Row],[Flow_Name]],Tab_Def_Flows[Flow_Name],Tab_Def_Flows[Flow_E1_Fraction'[%']],"N.A.",0,1)</f>
        <v>1</v>
      </c>
      <c r="V139" s="12">
        <f t="shared" si="5"/>
        <v>635625.23611764703</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1</v>
      </c>
      <c r="AB139" s="6">
        <f>IF(E139="Yes",AA139*Tab_Data_Flows[[#This Row],[E1_value]],"N.A.")</f>
        <v>635625.23611764703</v>
      </c>
      <c r="AC139" s="6" t="str">
        <f>Tab_Data_Flows[[#This Row],[E1_UoM]]</f>
        <v>Mg</v>
      </c>
      <c r="AD139" s="139">
        <f>_xlfn.XLOOKUP(Tab_Data_Flows[[#This Row],[Flow_Name]],Tab_Def_Flows[Flow_Name],Tab_Def_Flows[Flow_E4_Fraction'[%']],"N.A.",0,1)</f>
        <v>1</v>
      </c>
      <c r="AE139" s="6">
        <f>IF(G139="Yes",Tab_Data_Flows[[#This Row],[E4_Fraction'[%']]]*Tab_Data_Flows[[#This Row],[E1_value]],"N.A.")</f>
        <v>635625.23611764703</v>
      </c>
      <c r="AF139" s="6" t="str">
        <f>Tab_Data_Flows[[#This Row],[E1_UoM]]</f>
        <v>Mg</v>
      </c>
      <c r="AG139" s="139">
        <f>_xlfn.XLOOKUP(Tab_Data_Flows[[#This Row],[Flow_Name]],Tab_Def_Flows[Flow_Name],Tab_Def_Flows[Flow_E5_Fraction'[%']],"N.A.",0,1)</f>
        <v>0</v>
      </c>
      <c r="AH139" s="6" t="str">
        <f>IF(H139="Yes",Tab_Data_Flows[[#This Row],[E5_Fraction'[%']]]*Tab_Data_Flows[[#This Row],[E1_value]],"N.A.")</f>
        <v>N.A.</v>
      </c>
      <c r="AI139" s="6" t="str">
        <f>Tab_Data_Flows[[#This Row],[E1_UoM]]</f>
        <v>Mg</v>
      </c>
      <c r="AJ139" s="139">
        <f>_xlfn.XLOOKUP(Tab_Data_Flows[[#This Row],[Flow_Name]],Tab_Def_Flows[Flow_Name],Tab_Def_Flows[Flow_E6_Fraction'[%']],"N.A.",0,1)</f>
        <v>0</v>
      </c>
      <c r="AK139" s="6" t="str">
        <f>IF(Tab_Data_Flows[[#This Row],[Use_E6]]="Yes",Tab_Data_Flows[[#This Row],[E6_Fraction'[%']]]*Tab_Data_Flows[[#This Row],[E1_value]],"N.A.")</f>
        <v>N.A.</v>
      </c>
      <c r="AL139" s="6" t="str">
        <f>Tab_Data_Flows[[#This Row],[E1_UoM]]</f>
        <v>Mg</v>
      </c>
    </row>
    <row r="140" spans="1:38" x14ac:dyDescent="0.25">
      <c r="A140" s="8">
        <f t="shared" si="6"/>
        <v>139</v>
      </c>
      <c r="B140" s="6" t="str">
        <f>_xlfn.XLOOKUP(C140,Tab_Def_Flows[Flow_Name],Tab_Def_Flows[Flow_ID],,0,)</f>
        <v>F_00_02</v>
      </c>
      <c r="C140" s="138" t="s">
        <v>1233</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No</v>
      </c>
      <c r="I140" s="9" t="str">
        <f>_xlfn.XLOOKUP(C140,Tab_Def_Flows[Flow_Name],Tab_Def_Flows[Use_E6],,0,)</f>
        <v>No</v>
      </c>
      <c r="J140" s="188">
        <v>2062</v>
      </c>
      <c r="K140" s="189">
        <v>598448.65023529413</v>
      </c>
      <c r="L140" s="6" t="str">
        <f>'0_Configuration'!$C$41</f>
        <v>Mg</v>
      </c>
      <c r="M140" s="13" t="s">
        <v>1263</v>
      </c>
      <c r="N140" s="13">
        <v>2025</v>
      </c>
      <c r="O140" s="13" t="s">
        <v>1260</v>
      </c>
      <c r="P140" s="13" t="s">
        <v>1261</v>
      </c>
      <c r="Q140" s="13" t="s">
        <v>1401</v>
      </c>
      <c r="R140" s="7" t="s">
        <v>6</v>
      </c>
      <c r="S140" s="7"/>
      <c r="T140" s="7"/>
      <c r="U140" s="139">
        <f>_xlfn.XLOOKUP(Tab_Data_Flows[[#This Row],[Flow_Name]],Tab_Def_Flows[Flow_Name],Tab_Def_Flows[Flow_E1_Fraction'[%']],"N.A.",0,1)</f>
        <v>1</v>
      </c>
      <c r="V140" s="12">
        <f t="shared" si="5"/>
        <v>598448.65023529413</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1</v>
      </c>
      <c r="AB140" s="6">
        <f>IF(E140="Yes",AA140*Tab_Data_Flows[[#This Row],[E1_value]],"N.A.")</f>
        <v>598448.65023529413</v>
      </c>
      <c r="AC140" s="6" t="str">
        <f>Tab_Data_Flows[[#This Row],[E1_UoM]]</f>
        <v>Mg</v>
      </c>
      <c r="AD140" s="139">
        <f>_xlfn.XLOOKUP(Tab_Data_Flows[[#This Row],[Flow_Name]],Tab_Def_Flows[Flow_Name],Tab_Def_Flows[Flow_E4_Fraction'[%']],"N.A.",0,1)</f>
        <v>1</v>
      </c>
      <c r="AE140" s="6">
        <f>IF(G140="Yes",Tab_Data_Flows[[#This Row],[E4_Fraction'[%']]]*Tab_Data_Flows[[#This Row],[E1_value]],"N.A.")</f>
        <v>598448.65023529413</v>
      </c>
      <c r="AF140" s="6" t="str">
        <f>Tab_Data_Flows[[#This Row],[E1_UoM]]</f>
        <v>Mg</v>
      </c>
      <c r="AG140" s="139">
        <f>_xlfn.XLOOKUP(Tab_Data_Flows[[#This Row],[Flow_Name]],Tab_Def_Flows[Flow_Name],Tab_Def_Flows[Flow_E5_Fraction'[%']],"N.A.",0,1)</f>
        <v>0</v>
      </c>
      <c r="AH140" s="6" t="str">
        <f>IF(H140="Yes",Tab_Data_Flows[[#This Row],[E5_Fraction'[%']]]*Tab_Data_Flows[[#This Row],[E1_value]],"N.A.")</f>
        <v>N.A.</v>
      </c>
      <c r="AI140" s="6" t="str">
        <f>Tab_Data_Flows[[#This Row],[E1_UoM]]</f>
        <v>Mg</v>
      </c>
      <c r="AJ140" s="139">
        <f>_xlfn.XLOOKUP(Tab_Data_Flows[[#This Row],[Flow_Name]],Tab_Def_Flows[Flow_Name],Tab_Def_Flows[Flow_E6_Fraction'[%']],"N.A.",0,1)</f>
        <v>0</v>
      </c>
      <c r="AK140" s="6" t="str">
        <f>IF(Tab_Data_Flows[[#This Row],[Use_E6]]="Yes",Tab_Data_Flows[[#This Row],[E6_Fraction'[%']]]*Tab_Data_Flows[[#This Row],[E1_value]],"N.A.")</f>
        <v>N.A.</v>
      </c>
      <c r="AL140" s="6" t="str">
        <f>Tab_Data_Flows[[#This Row],[E1_UoM]]</f>
        <v>Mg</v>
      </c>
    </row>
    <row r="141" spans="1:38" x14ac:dyDescent="0.25">
      <c r="A141" s="8">
        <f t="shared" si="6"/>
        <v>140</v>
      </c>
      <c r="B141" s="6" t="str">
        <f>_xlfn.XLOOKUP(C141,Tab_Def_Flows[Flow_Name],Tab_Def_Flows[Flow_ID],,0,)</f>
        <v>F_00_02</v>
      </c>
      <c r="C141" s="138" t="s">
        <v>1233</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No</v>
      </c>
      <c r="I141" s="9" t="str">
        <f>_xlfn.XLOOKUP(C141,Tab_Def_Flows[Flow_Name],Tab_Def_Flows[Use_E6],,0,)</f>
        <v>No</v>
      </c>
      <c r="J141" s="188">
        <v>2063</v>
      </c>
      <c r="K141" s="189">
        <v>634855.880117647</v>
      </c>
      <c r="L141" s="6" t="str">
        <f>'0_Configuration'!$C$41</f>
        <v>Mg</v>
      </c>
      <c r="M141" s="13" t="s">
        <v>1263</v>
      </c>
      <c r="N141" s="13">
        <v>2025</v>
      </c>
      <c r="O141" s="13" t="s">
        <v>1260</v>
      </c>
      <c r="P141" s="13" t="s">
        <v>1261</v>
      </c>
      <c r="Q141" s="13" t="s">
        <v>1402</v>
      </c>
      <c r="R141" s="7" t="s">
        <v>6</v>
      </c>
      <c r="S141" s="7"/>
      <c r="T141" s="7"/>
      <c r="U141" s="139">
        <f>_xlfn.XLOOKUP(Tab_Data_Flows[[#This Row],[Flow_Name]],Tab_Def_Flows[Flow_Name],Tab_Def_Flows[Flow_E1_Fraction'[%']],"N.A.",0,1)</f>
        <v>1</v>
      </c>
      <c r="V141" s="12">
        <f t="shared" si="5"/>
        <v>634855.880117647</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1</v>
      </c>
      <c r="AB141" s="6">
        <f>IF(E141="Yes",AA141*Tab_Data_Flows[[#This Row],[E1_value]],"N.A.")</f>
        <v>634855.880117647</v>
      </c>
      <c r="AC141" s="6" t="str">
        <f>Tab_Data_Flows[[#This Row],[E1_UoM]]</f>
        <v>Mg</v>
      </c>
      <c r="AD141" s="139">
        <f>_xlfn.XLOOKUP(Tab_Data_Flows[[#This Row],[Flow_Name]],Tab_Def_Flows[Flow_Name],Tab_Def_Flows[Flow_E4_Fraction'[%']],"N.A.",0,1)</f>
        <v>1</v>
      </c>
      <c r="AE141" s="6">
        <f>IF(G141="Yes",Tab_Data_Flows[[#This Row],[E4_Fraction'[%']]]*Tab_Data_Flows[[#This Row],[E1_value]],"N.A.")</f>
        <v>634855.880117647</v>
      </c>
      <c r="AF141" s="6" t="str">
        <f>Tab_Data_Flows[[#This Row],[E1_UoM]]</f>
        <v>Mg</v>
      </c>
      <c r="AG141" s="139">
        <f>_xlfn.XLOOKUP(Tab_Data_Flows[[#This Row],[Flow_Name]],Tab_Def_Flows[Flow_Name],Tab_Def_Flows[Flow_E5_Fraction'[%']],"N.A.",0,1)</f>
        <v>0</v>
      </c>
      <c r="AH141" s="6" t="str">
        <f>IF(H141="Yes",Tab_Data_Flows[[#This Row],[E5_Fraction'[%']]]*Tab_Data_Flows[[#This Row],[E1_value]],"N.A.")</f>
        <v>N.A.</v>
      </c>
      <c r="AI141" s="6" t="str">
        <f>Tab_Data_Flows[[#This Row],[E1_UoM]]</f>
        <v>Mg</v>
      </c>
      <c r="AJ141" s="139">
        <f>_xlfn.XLOOKUP(Tab_Data_Flows[[#This Row],[Flow_Name]],Tab_Def_Flows[Flow_Name],Tab_Def_Flows[Flow_E6_Fraction'[%']],"N.A.",0,1)</f>
        <v>0</v>
      </c>
      <c r="AK141" s="6" t="str">
        <f>IF(Tab_Data_Flows[[#This Row],[Use_E6]]="Yes",Tab_Data_Flows[[#This Row],[E6_Fraction'[%']]]*Tab_Data_Flows[[#This Row],[E1_value]],"N.A.")</f>
        <v>N.A.</v>
      </c>
      <c r="AL141" s="6" t="str">
        <f>Tab_Data_Flows[[#This Row],[E1_UoM]]</f>
        <v>Mg</v>
      </c>
    </row>
    <row r="142" spans="1:38" x14ac:dyDescent="0.25">
      <c r="A142" s="8">
        <f t="shared" si="6"/>
        <v>141</v>
      </c>
      <c r="B142" s="6" t="str">
        <f>_xlfn.XLOOKUP(C142,Tab_Def_Flows[Flow_Name],Tab_Def_Flows[Flow_ID],,0,)</f>
        <v>F_00_02</v>
      </c>
      <c r="C142" s="138" t="s">
        <v>1233</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No</v>
      </c>
      <c r="I142" s="9" t="str">
        <f>_xlfn.XLOOKUP(C142,Tab_Def_Flows[Flow_Name],Tab_Def_Flows[Use_E6],,0,)</f>
        <v>No</v>
      </c>
      <c r="J142" s="188">
        <v>2064</v>
      </c>
      <c r="K142" s="189">
        <v>685354.08352941182</v>
      </c>
      <c r="L142" s="6" t="str">
        <f>'0_Configuration'!$C$41</f>
        <v>Mg</v>
      </c>
      <c r="M142" s="13" t="s">
        <v>1263</v>
      </c>
      <c r="N142" s="13">
        <v>2025</v>
      </c>
      <c r="O142" s="13" t="s">
        <v>1260</v>
      </c>
      <c r="P142" s="13" t="s">
        <v>1261</v>
      </c>
      <c r="Q142" s="13" t="s">
        <v>1403</v>
      </c>
      <c r="R142" s="7" t="s">
        <v>6</v>
      </c>
      <c r="S142" s="7"/>
      <c r="T142" s="7"/>
      <c r="U142" s="139">
        <f>_xlfn.XLOOKUP(Tab_Data_Flows[[#This Row],[Flow_Name]],Tab_Def_Flows[Flow_Name],Tab_Def_Flows[Flow_E1_Fraction'[%']],"N.A.",0,1)</f>
        <v>1</v>
      </c>
      <c r="V142" s="12">
        <f t="shared" si="5"/>
        <v>685354.08352941182</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1</v>
      </c>
      <c r="AB142" s="6">
        <f>IF(E142="Yes",AA142*Tab_Data_Flows[[#This Row],[E1_value]],"N.A.")</f>
        <v>685354.08352941182</v>
      </c>
      <c r="AC142" s="6" t="str">
        <f>Tab_Data_Flows[[#This Row],[E1_UoM]]</f>
        <v>Mg</v>
      </c>
      <c r="AD142" s="139">
        <f>_xlfn.XLOOKUP(Tab_Data_Flows[[#This Row],[Flow_Name]],Tab_Def_Flows[Flow_Name],Tab_Def_Flows[Flow_E4_Fraction'[%']],"N.A.",0,1)</f>
        <v>1</v>
      </c>
      <c r="AE142" s="6">
        <f>IF(G142="Yes",Tab_Data_Flows[[#This Row],[E4_Fraction'[%']]]*Tab_Data_Flows[[#This Row],[E1_value]],"N.A.")</f>
        <v>685354.08352941182</v>
      </c>
      <c r="AF142" s="6" t="str">
        <f>Tab_Data_Flows[[#This Row],[E1_UoM]]</f>
        <v>Mg</v>
      </c>
      <c r="AG142" s="139">
        <f>_xlfn.XLOOKUP(Tab_Data_Flows[[#This Row],[Flow_Name]],Tab_Def_Flows[Flow_Name],Tab_Def_Flows[Flow_E5_Fraction'[%']],"N.A.",0,1)</f>
        <v>0</v>
      </c>
      <c r="AH142" s="6" t="str">
        <f>IF(H142="Yes",Tab_Data_Flows[[#This Row],[E5_Fraction'[%']]]*Tab_Data_Flows[[#This Row],[E1_value]],"N.A.")</f>
        <v>N.A.</v>
      </c>
      <c r="AI142" s="6" t="str">
        <f>Tab_Data_Flows[[#This Row],[E1_UoM]]</f>
        <v>Mg</v>
      </c>
      <c r="AJ142" s="139">
        <f>_xlfn.XLOOKUP(Tab_Data_Flows[[#This Row],[Flow_Name]],Tab_Def_Flows[Flow_Name],Tab_Def_Flows[Flow_E6_Fraction'[%']],"N.A.",0,1)</f>
        <v>0</v>
      </c>
      <c r="AK142" s="6" t="str">
        <f>IF(Tab_Data_Flows[[#This Row],[Use_E6]]="Yes",Tab_Data_Flows[[#This Row],[E6_Fraction'[%']]]*Tab_Data_Flows[[#This Row],[E1_value]],"N.A.")</f>
        <v>N.A.</v>
      </c>
      <c r="AL142" s="6" t="str">
        <f>Tab_Data_Flows[[#This Row],[E1_UoM]]</f>
        <v>Mg</v>
      </c>
    </row>
    <row r="143" spans="1:38" x14ac:dyDescent="0.25">
      <c r="A143" s="8">
        <f t="shared" si="6"/>
        <v>142</v>
      </c>
      <c r="B143" s="6" t="str">
        <f>_xlfn.XLOOKUP(C143,Tab_Def_Flows[Flow_Name],Tab_Def_Flows[Flow_ID],,0,)</f>
        <v>F_00_02</v>
      </c>
      <c r="C143" s="138" t="s">
        <v>1233</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No</v>
      </c>
      <c r="I143" s="9" t="str">
        <f>_xlfn.XLOOKUP(C143,Tab_Def_Flows[Flow_Name],Tab_Def_Flows[Use_E6],,0,)</f>
        <v>No</v>
      </c>
      <c r="J143" s="188">
        <v>2065</v>
      </c>
      <c r="K143" s="189">
        <v>714682.71917647053</v>
      </c>
      <c r="L143" s="6" t="str">
        <f>'0_Configuration'!$C$41</f>
        <v>Mg</v>
      </c>
      <c r="M143" s="13" t="s">
        <v>1263</v>
      </c>
      <c r="N143" s="13">
        <v>2025</v>
      </c>
      <c r="O143" s="13" t="s">
        <v>1260</v>
      </c>
      <c r="P143" s="13" t="s">
        <v>1261</v>
      </c>
      <c r="Q143" s="13" t="s">
        <v>1404</v>
      </c>
      <c r="R143" s="7" t="s">
        <v>6</v>
      </c>
      <c r="S143" s="7"/>
      <c r="T143" s="7"/>
      <c r="U143" s="139">
        <f>_xlfn.XLOOKUP(Tab_Data_Flows[[#This Row],[Flow_Name]],Tab_Def_Flows[Flow_Name],Tab_Def_Flows[Flow_E1_Fraction'[%']],"N.A.",0,1)</f>
        <v>1</v>
      </c>
      <c r="V143" s="12">
        <f t="shared" si="5"/>
        <v>714682.71917647053</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1</v>
      </c>
      <c r="AB143" s="6">
        <f>IF(E143="Yes",AA143*Tab_Data_Flows[[#This Row],[E1_value]],"N.A.")</f>
        <v>714682.71917647053</v>
      </c>
      <c r="AC143" s="6" t="str">
        <f>Tab_Data_Flows[[#This Row],[E1_UoM]]</f>
        <v>Mg</v>
      </c>
      <c r="AD143" s="139">
        <f>_xlfn.XLOOKUP(Tab_Data_Flows[[#This Row],[Flow_Name]],Tab_Def_Flows[Flow_Name],Tab_Def_Flows[Flow_E4_Fraction'[%']],"N.A.",0,1)</f>
        <v>1</v>
      </c>
      <c r="AE143" s="6">
        <f>IF(G143="Yes",Tab_Data_Flows[[#This Row],[E4_Fraction'[%']]]*Tab_Data_Flows[[#This Row],[E1_value]],"N.A.")</f>
        <v>714682.71917647053</v>
      </c>
      <c r="AF143" s="6" t="str">
        <f>Tab_Data_Flows[[#This Row],[E1_UoM]]</f>
        <v>Mg</v>
      </c>
      <c r="AG143" s="139">
        <f>_xlfn.XLOOKUP(Tab_Data_Flows[[#This Row],[Flow_Name]],Tab_Def_Flows[Flow_Name],Tab_Def_Flows[Flow_E5_Fraction'[%']],"N.A.",0,1)</f>
        <v>0</v>
      </c>
      <c r="AH143" s="6" t="str">
        <f>IF(H143="Yes",Tab_Data_Flows[[#This Row],[E5_Fraction'[%']]]*Tab_Data_Flows[[#This Row],[E1_value]],"N.A.")</f>
        <v>N.A.</v>
      </c>
      <c r="AI143" s="6" t="str">
        <f>Tab_Data_Flows[[#This Row],[E1_UoM]]</f>
        <v>Mg</v>
      </c>
      <c r="AJ143" s="139">
        <f>_xlfn.XLOOKUP(Tab_Data_Flows[[#This Row],[Flow_Name]],Tab_Def_Flows[Flow_Name],Tab_Def_Flows[Flow_E6_Fraction'[%']],"N.A.",0,1)</f>
        <v>0</v>
      </c>
      <c r="AK143" s="6" t="str">
        <f>IF(Tab_Data_Flows[[#This Row],[Use_E6]]="Yes",Tab_Data_Flows[[#This Row],[E6_Fraction'[%']]]*Tab_Data_Flows[[#This Row],[E1_value]],"N.A.")</f>
        <v>N.A.</v>
      </c>
      <c r="AL143" s="6" t="str">
        <f>Tab_Data_Flows[[#This Row],[E1_UoM]]</f>
        <v>Mg</v>
      </c>
    </row>
    <row r="144" spans="1:38" x14ac:dyDescent="0.25">
      <c r="A144" s="8">
        <f t="shared" si="6"/>
        <v>143</v>
      </c>
      <c r="B144" s="6" t="str">
        <f>_xlfn.XLOOKUP(C144,Tab_Def_Flows[Flow_Name],Tab_Def_Flows[Flow_ID],,0,)</f>
        <v>F_00_02</v>
      </c>
      <c r="C144" s="138" t="s">
        <v>1233</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No</v>
      </c>
      <c r="I144" s="9" t="str">
        <f>_xlfn.XLOOKUP(C144,Tab_Def_Flows[Flow_Name],Tab_Def_Flows[Use_E6],,0,)</f>
        <v>No</v>
      </c>
      <c r="J144" s="188">
        <v>2066</v>
      </c>
      <c r="K144" s="189">
        <v>638010.43852941168</v>
      </c>
      <c r="L144" s="6" t="str">
        <f>'0_Configuration'!$C$41</f>
        <v>Mg</v>
      </c>
      <c r="M144" s="13" t="s">
        <v>1263</v>
      </c>
      <c r="N144" s="13">
        <v>2025</v>
      </c>
      <c r="O144" s="13" t="s">
        <v>1260</v>
      </c>
      <c r="P144" s="13" t="s">
        <v>1261</v>
      </c>
      <c r="Q144" s="13" t="s">
        <v>1405</v>
      </c>
      <c r="R144" s="7" t="s">
        <v>6</v>
      </c>
      <c r="S144" s="7"/>
      <c r="T144" s="7"/>
      <c r="U144" s="139">
        <f>_xlfn.XLOOKUP(Tab_Data_Flows[[#This Row],[Flow_Name]],Tab_Def_Flows[Flow_Name],Tab_Def_Flows[Flow_E1_Fraction'[%']],"N.A.",0,1)</f>
        <v>1</v>
      </c>
      <c r="V144" s="12">
        <f t="shared" si="5"/>
        <v>638010.43852941168</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1</v>
      </c>
      <c r="AB144" s="6">
        <f>IF(E144="Yes",AA144*Tab_Data_Flows[[#This Row],[E1_value]],"N.A.")</f>
        <v>638010.43852941168</v>
      </c>
      <c r="AC144" s="6" t="str">
        <f>Tab_Data_Flows[[#This Row],[E1_UoM]]</f>
        <v>Mg</v>
      </c>
      <c r="AD144" s="139">
        <f>_xlfn.XLOOKUP(Tab_Data_Flows[[#This Row],[Flow_Name]],Tab_Def_Flows[Flow_Name],Tab_Def_Flows[Flow_E4_Fraction'[%']],"N.A.",0,1)</f>
        <v>1</v>
      </c>
      <c r="AE144" s="6">
        <f>IF(G144="Yes",Tab_Data_Flows[[#This Row],[E4_Fraction'[%']]]*Tab_Data_Flows[[#This Row],[E1_value]],"N.A.")</f>
        <v>638010.43852941168</v>
      </c>
      <c r="AF144" s="6" t="str">
        <f>Tab_Data_Flows[[#This Row],[E1_UoM]]</f>
        <v>Mg</v>
      </c>
      <c r="AG144" s="139">
        <f>_xlfn.XLOOKUP(Tab_Data_Flows[[#This Row],[Flow_Name]],Tab_Def_Flows[Flow_Name],Tab_Def_Flows[Flow_E5_Fraction'[%']],"N.A.",0,1)</f>
        <v>0</v>
      </c>
      <c r="AH144" s="6" t="str">
        <f>IF(H144="Yes",Tab_Data_Flows[[#This Row],[E5_Fraction'[%']]]*Tab_Data_Flows[[#This Row],[E1_value]],"N.A.")</f>
        <v>N.A.</v>
      </c>
      <c r="AI144" s="6" t="str">
        <f>Tab_Data_Flows[[#This Row],[E1_UoM]]</f>
        <v>Mg</v>
      </c>
      <c r="AJ144" s="139">
        <f>_xlfn.XLOOKUP(Tab_Data_Flows[[#This Row],[Flow_Name]],Tab_Def_Flows[Flow_Name],Tab_Def_Flows[Flow_E6_Fraction'[%']],"N.A.",0,1)</f>
        <v>0</v>
      </c>
      <c r="AK144" s="6" t="str">
        <f>IF(Tab_Data_Flows[[#This Row],[Use_E6]]="Yes",Tab_Data_Flows[[#This Row],[E6_Fraction'[%']]]*Tab_Data_Flows[[#This Row],[E1_value]],"N.A.")</f>
        <v>N.A.</v>
      </c>
      <c r="AL144" s="6" t="str">
        <f>Tab_Data_Flows[[#This Row],[E1_UoM]]</f>
        <v>Mg</v>
      </c>
    </row>
    <row r="145" spans="1:38" x14ac:dyDescent="0.25">
      <c r="A145" s="8">
        <f t="shared" si="6"/>
        <v>144</v>
      </c>
      <c r="B145" s="6" t="str">
        <f>_xlfn.XLOOKUP(C145,Tab_Def_Flows[Flow_Name],Tab_Def_Flows[Flow_ID],,0,)</f>
        <v>F_00_02</v>
      </c>
      <c r="C145" s="138" t="s">
        <v>1233</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No</v>
      </c>
      <c r="I145" s="9" t="str">
        <f>_xlfn.XLOOKUP(C145,Tab_Def_Flows[Flow_Name],Tab_Def_Flows[Use_E6],,0,)</f>
        <v>No</v>
      </c>
      <c r="J145" s="188">
        <v>2067</v>
      </c>
      <c r="K145" s="189">
        <v>548246.79017647065</v>
      </c>
      <c r="L145" s="6" t="str">
        <f>'0_Configuration'!$C$41</f>
        <v>Mg</v>
      </c>
      <c r="M145" s="13" t="s">
        <v>1263</v>
      </c>
      <c r="N145" s="13">
        <v>2025</v>
      </c>
      <c r="O145" s="13" t="s">
        <v>1260</v>
      </c>
      <c r="P145" s="13" t="s">
        <v>1261</v>
      </c>
      <c r="Q145" s="13" t="s">
        <v>1406</v>
      </c>
      <c r="R145" s="7" t="s">
        <v>6</v>
      </c>
      <c r="S145" s="7"/>
      <c r="T145" s="7"/>
      <c r="U145" s="139">
        <f>_xlfn.XLOOKUP(Tab_Data_Flows[[#This Row],[Flow_Name]],Tab_Def_Flows[Flow_Name],Tab_Def_Flows[Flow_E1_Fraction'[%']],"N.A.",0,1)</f>
        <v>1</v>
      </c>
      <c r="V145" s="12">
        <f t="shared" si="5"/>
        <v>548246.79017647065</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1</v>
      </c>
      <c r="AB145" s="6">
        <f>IF(E145="Yes",AA145*Tab_Data_Flows[[#This Row],[E1_value]],"N.A.")</f>
        <v>548246.79017647065</v>
      </c>
      <c r="AC145" s="6" t="str">
        <f>Tab_Data_Flows[[#This Row],[E1_UoM]]</f>
        <v>Mg</v>
      </c>
      <c r="AD145" s="139">
        <f>_xlfn.XLOOKUP(Tab_Data_Flows[[#This Row],[Flow_Name]],Tab_Def_Flows[Flow_Name],Tab_Def_Flows[Flow_E4_Fraction'[%']],"N.A.",0,1)</f>
        <v>1</v>
      </c>
      <c r="AE145" s="6">
        <f>IF(G145="Yes",Tab_Data_Flows[[#This Row],[E4_Fraction'[%']]]*Tab_Data_Flows[[#This Row],[E1_value]],"N.A.")</f>
        <v>548246.79017647065</v>
      </c>
      <c r="AF145" s="6" t="str">
        <f>Tab_Data_Flows[[#This Row],[E1_UoM]]</f>
        <v>Mg</v>
      </c>
      <c r="AG145" s="139">
        <f>_xlfn.XLOOKUP(Tab_Data_Flows[[#This Row],[Flow_Name]],Tab_Def_Flows[Flow_Name],Tab_Def_Flows[Flow_E5_Fraction'[%']],"N.A.",0,1)</f>
        <v>0</v>
      </c>
      <c r="AH145" s="6" t="str">
        <f>IF(H145="Yes",Tab_Data_Flows[[#This Row],[E5_Fraction'[%']]]*Tab_Data_Flows[[#This Row],[E1_value]],"N.A.")</f>
        <v>N.A.</v>
      </c>
      <c r="AI145" s="6" t="str">
        <f>Tab_Data_Flows[[#This Row],[E1_UoM]]</f>
        <v>Mg</v>
      </c>
      <c r="AJ145" s="139">
        <f>_xlfn.XLOOKUP(Tab_Data_Flows[[#This Row],[Flow_Name]],Tab_Def_Flows[Flow_Name],Tab_Def_Flows[Flow_E6_Fraction'[%']],"N.A.",0,1)</f>
        <v>0</v>
      </c>
      <c r="AK145" s="6" t="str">
        <f>IF(Tab_Data_Flows[[#This Row],[Use_E6]]="Yes",Tab_Data_Flows[[#This Row],[E6_Fraction'[%']]]*Tab_Data_Flows[[#This Row],[E1_value]],"N.A.")</f>
        <v>N.A.</v>
      </c>
      <c r="AL145" s="6" t="str">
        <f>Tab_Data_Flows[[#This Row],[E1_UoM]]</f>
        <v>Mg</v>
      </c>
    </row>
    <row r="146" spans="1:38" x14ac:dyDescent="0.25">
      <c r="A146" s="8">
        <f t="shared" si="6"/>
        <v>145</v>
      </c>
      <c r="B146" s="6" t="str">
        <f>_xlfn.XLOOKUP(C146,Tab_Def_Flows[Flow_Name],Tab_Def_Flows[Flow_ID],,0,)</f>
        <v>F_00_02</v>
      </c>
      <c r="C146" s="138" t="s">
        <v>1233</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No</v>
      </c>
      <c r="I146" s="9" t="str">
        <f>_xlfn.XLOOKUP(C146,Tab_Def_Flows[Flow_Name],Tab_Def_Flows[Use_E6],,0,)</f>
        <v>No</v>
      </c>
      <c r="J146" s="188">
        <v>2068</v>
      </c>
      <c r="K146" s="189">
        <v>634346.99788235303</v>
      </c>
      <c r="L146" s="6" t="str">
        <f>'0_Configuration'!$C$41</f>
        <v>Mg</v>
      </c>
      <c r="M146" s="13" t="s">
        <v>1263</v>
      </c>
      <c r="N146" s="13">
        <v>2025</v>
      </c>
      <c r="O146" s="13" t="s">
        <v>1260</v>
      </c>
      <c r="P146" s="13" t="s">
        <v>1261</v>
      </c>
      <c r="Q146" s="13" t="s">
        <v>1407</v>
      </c>
      <c r="R146" s="7" t="s">
        <v>6</v>
      </c>
      <c r="S146" s="7"/>
      <c r="T146" s="7"/>
      <c r="U146" s="139">
        <f>_xlfn.XLOOKUP(Tab_Data_Flows[[#This Row],[Flow_Name]],Tab_Def_Flows[Flow_Name],Tab_Def_Flows[Flow_E1_Fraction'[%']],"N.A.",0,1)</f>
        <v>1</v>
      </c>
      <c r="V146" s="12">
        <f t="shared" si="5"/>
        <v>634346.99788235303</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1</v>
      </c>
      <c r="AB146" s="6">
        <f>IF(E146="Yes",AA146*Tab_Data_Flows[[#This Row],[E1_value]],"N.A.")</f>
        <v>634346.99788235303</v>
      </c>
      <c r="AC146" s="6" t="str">
        <f>Tab_Data_Flows[[#This Row],[E1_UoM]]</f>
        <v>Mg</v>
      </c>
      <c r="AD146" s="139">
        <f>_xlfn.XLOOKUP(Tab_Data_Flows[[#This Row],[Flow_Name]],Tab_Def_Flows[Flow_Name],Tab_Def_Flows[Flow_E4_Fraction'[%']],"N.A.",0,1)</f>
        <v>1</v>
      </c>
      <c r="AE146" s="6">
        <f>IF(G146="Yes",Tab_Data_Flows[[#This Row],[E4_Fraction'[%']]]*Tab_Data_Flows[[#This Row],[E1_value]],"N.A.")</f>
        <v>634346.99788235303</v>
      </c>
      <c r="AF146" s="6" t="str">
        <f>Tab_Data_Flows[[#This Row],[E1_UoM]]</f>
        <v>Mg</v>
      </c>
      <c r="AG146" s="139">
        <f>_xlfn.XLOOKUP(Tab_Data_Flows[[#This Row],[Flow_Name]],Tab_Def_Flows[Flow_Name],Tab_Def_Flows[Flow_E5_Fraction'[%']],"N.A.",0,1)</f>
        <v>0</v>
      </c>
      <c r="AH146" s="6" t="str">
        <f>IF(H146="Yes",Tab_Data_Flows[[#This Row],[E5_Fraction'[%']]]*Tab_Data_Flows[[#This Row],[E1_value]],"N.A.")</f>
        <v>N.A.</v>
      </c>
      <c r="AI146" s="6" t="str">
        <f>Tab_Data_Flows[[#This Row],[E1_UoM]]</f>
        <v>Mg</v>
      </c>
      <c r="AJ146" s="139">
        <f>_xlfn.XLOOKUP(Tab_Data_Flows[[#This Row],[Flow_Name]],Tab_Def_Flows[Flow_Name],Tab_Def_Flows[Flow_E6_Fraction'[%']],"N.A.",0,1)</f>
        <v>0</v>
      </c>
      <c r="AK146" s="6" t="str">
        <f>IF(Tab_Data_Flows[[#This Row],[Use_E6]]="Yes",Tab_Data_Flows[[#This Row],[E6_Fraction'[%']]]*Tab_Data_Flows[[#This Row],[E1_value]],"N.A.")</f>
        <v>N.A.</v>
      </c>
      <c r="AL146" s="6" t="str">
        <f>Tab_Data_Flows[[#This Row],[E1_UoM]]</f>
        <v>Mg</v>
      </c>
    </row>
    <row r="147" spans="1:38" x14ac:dyDescent="0.25">
      <c r="A147" s="8">
        <f t="shared" si="6"/>
        <v>146</v>
      </c>
      <c r="B147" s="6" t="str">
        <f>_xlfn.XLOOKUP(C147,Tab_Def_Flows[Flow_Name],Tab_Def_Flows[Flow_ID],,0,)</f>
        <v>F_00_02</v>
      </c>
      <c r="C147" s="138" t="s">
        <v>1233</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No</v>
      </c>
      <c r="I147" s="9" t="str">
        <f>_xlfn.XLOOKUP(C147,Tab_Def_Flows[Flow_Name],Tab_Def_Flows[Use_E6],,0,)</f>
        <v>No</v>
      </c>
      <c r="J147" s="188">
        <v>2069</v>
      </c>
      <c r="K147" s="189">
        <v>671138.29870588228</v>
      </c>
      <c r="L147" s="6" t="str">
        <f>'0_Configuration'!$C$41</f>
        <v>Mg</v>
      </c>
      <c r="M147" s="13" t="s">
        <v>1263</v>
      </c>
      <c r="N147" s="13">
        <v>2025</v>
      </c>
      <c r="O147" s="13" t="s">
        <v>1260</v>
      </c>
      <c r="P147" s="13" t="s">
        <v>1261</v>
      </c>
      <c r="Q147" s="13" t="s">
        <v>1408</v>
      </c>
      <c r="R147" s="7" t="s">
        <v>6</v>
      </c>
      <c r="S147" s="14"/>
      <c r="T147" s="7"/>
      <c r="U147" s="139">
        <f>_xlfn.XLOOKUP(Tab_Data_Flows[[#This Row],[Flow_Name]],Tab_Def_Flows[Flow_Name],Tab_Def_Flows[Flow_E1_Fraction'[%']],"N.A.",0,1)</f>
        <v>1</v>
      </c>
      <c r="V147" s="12">
        <f t="shared" si="5"/>
        <v>671138.29870588228</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1</v>
      </c>
      <c r="AB147" s="6">
        <f>IF(E147="Yes",AA147*Tab_Data_Flows[[#This Row],[E1_value]],"N.A.")</f>
        <v>671138.29870588228</v>
      </c>
      <c r="AC147" s="6" t="str">
        <f>Tab_Data_Flows[[#This Row],[E1_UoM]]</f>
        <v>Mg</v>
      </c>
      <c r="AD147" s="139">
        <f>_xlfn.XLOOKUP(Tab_Data_Flows[[#This Row],[Flow_Name]],Tab_Def_Flows[Flow_Name],Tab_Def_Flows[Flow_E4_Fraction'[%']],"N.A.",0,1)</f>
        <v>1</v>
      </c>
      <c r="AE147" s="6">
        <f>IF(G147="Yes",Tab_Data_Flows[[#This Row],[E4_Fraction'[%']]]*Tab_Data_Flows[[#This Row],[E1_value]],"N.A.")</f>
        <v>671138.29870588228</v>
      </c>
      <c r="AF147" s="6" t="str">
        <f>Tab_Data_Flows[[#This Row],[E1_UoM]]</f>
        <v>Mg</v>
      </c>
      <c r="AG147" s="139">
        <f>_xlfn.XLOOKUP(Tab_Data_Flows[[#This Row],[Flow_Name]],Tab_Def_Flows[Flow_Name],Tab_Def_Flows[Flow_E5_Fraction'[%']],"N.A.",0,1)</f>
        <v>0</v>
      </c>
      <c r="AH147" s="6" t="str">
        <f>IF(H147="Yes",Tab_Data_Flows[[#This Row],[E5_Fraction'[%']]]*Tab_Data_Flows[[#This Row],[E1_value]],"N.A.")</f>
        <v>N.A.</v>
      </c>
      <c r="AI147" s="6" t="str">
        <f>Tab_Data_Flows[[#This Row],[E1_UoM]]</f>
        <v>Mg</v>
      </c>
      <c r="AJ147" s="139">
        <f>_xlfn.XLOOKUP(Tab_Data_Flows[[#This Row],[Flow_Name]],Tab_Def_Flows[Flow_Name],Tab_Def_Flows[Flow_E6_Fraction'[%']],"N.A.",0,1)</f>
        <v>0</v>
      </c>
      <c r="AK147" s="6" t="str">
        <f>IF(Tab_Data_Flows[[#This Row],[Use_E6]]="Yes",Tab_Data_Flows[[#This Row],[E6_Fraction'[%']]]*Tab_Data_Flows[[#This Row],[E1_value]],"N.A.")</f>
        <v>N.A.</v>
      </c>
      <c r="AL147" s="6" t="str">
        <f>Tab_Data_Flows[[#This Row],[E1_UoM]]</f>
        <v>Mg</v>
      </c>
    </row>
    <row r="148" spans="1:38" x14ac:dyDescent="0.25">
      <c r="A148" s="8">
        <f t="shared" si="6"/>
        <v>147</v>
      </c>
      <c r="B148" s="6" t="str">
        <f>_xlfn.XLOOKUP(C148,Tab_Def_Flows[Flow_Name],Tab_Def_Flows[Flow_ID],,0,)</f>
        <v>F_00_02</v>
      </c>
      <c r="C148" s="138" t="s">
        <v>1233</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No</v>
      </c>
      <c r="I148" s="9" t="str">
        <f>_xlfn.XLOOKUP(C148,Tab_Def_Flows[Flow_Name],Tab_Def_Flows[Use_E6],,0,)</f>
        <v>No</v>
      </c>
      <c r="J148" s="188">
        <v>2070</v>
      </c>
      <c r="K148" s="189">
        <v>576484.73082352953</v>
      </c>
      <c r="L148" s="6" t="str">
        <f>'0_Configuration'!$C$41</f>
        <v>Mg</v>
      </c>
      <c r="M148" s="13" t="s">
        <v>1263</v>
      </c>
      <c r="N148" s="13">
        <v>2025</v>
      </c>
      <c r="O148" s="13" t="s">
        <v>1260</v>
      </c>
      <c r="P148" s="13" t="s">
        <v>1261</v>
      </c>
      <c r="Q148" s="13" t="s">
        <v>1409</v>
      </c>
      <c r="R148" s="7" t="s">
        <v>6</v>
      </c>
      <c r="S148" s="14"/>
      <c r="T148" s="7"/>
      <c r="U148" s="139">
        <f>_xlfn.XLOOKUP(Tab_Data_Flows[[#This Row],[Flow_Name]],Tab_Def_Flows[Flow_Name],Tab_Def_Flows[Flow_E1_Fraction'[%']],"N.A.",0,1)</f>
        <v>1</v>
      </c>
      <c r="V148" s="12">
        <f t="shared" si="5"/>
        <v>576484.73082352953</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1</v>
      </c>
      <c r="AB148" s="6">
        <f>IF(E148="Yes",AA148*Tab_Data_Flows[[#This Row],[E1_value]],"N.A.")</f>
        <v>576484.73082352953</v>
      </c>
      <c r="AC148" s="6" t="str">
        <f>Tab_Data_Flows[[#This Row],[E1_UoM]]</f>
        <v>Mg</v>
      </c>
      <c r="AD148" s="139">
        <f>_xlfn.XLOOKUP(Tab_Data_Flows[[#This Row],[Flow_Name]],Tab_Def_Flows[Flow_Name],Tab_Def_Flows[Flow_E4_Fraction'[%']],"N.A.",0,1)</f>
        <v>1</v>
      </c>
      <c r="AE148" s="6">
        <f>IF(G148="Yes",Tab_Data_Flows[[#This Row],[E4_Fraction'[%']]]*Tab_Data_Flows[[#This Row],[E1_value]],"N.A.")</f>
        <v>576484.73082352953</v>
      </c>
      <c r="AF148" s="6" t="str">
        <f>Tab_Data_Flows[[#This Row],[E1_UoM]]</f>
        <v>Mg</v>
      </c>
      <c r="AG148" s="139">
        <f>_xlfn.XLOOKUP(Tab_Data_Flows[[#This Row],[Flow_Name]],Tab_Def_Flows[Flow_Name],Tab_Def_Flows[Flow_E5_Fraction'[%']],"N.A.",0,1)</f>
        <v>0</v>
      </c>
      <c r="AH148" s="6" t="str">
        <f>IF(H148="Yes",Tab_Data_Flows[[#This Row],[E5_Fraction'[%']]]*Tab_Data_Flows[[#This Row],[E1_value]],"N.A.")</f>
        <v>N.A.</v>
      </c>
      <c r="AI148" s="6" t="str">
        <f>Tab_Data_Flows[[#This Row],[E1_UoM]]</f>
        <v>Mg</v>
      </c>
      <c r="AJ148" s="139">
        <f>_xlfn.XLOOKUP(Tab_Data_Flows[[#This Row],[Flow_Name]],Tab_Def_Flows[Flow_Name],Tab_Def_Flows[Flow_E6_Fraction'[%']],"N.A.",0,1)</f>
        <v>0</v>
      </c>
      <c r="AK148" s="6" t="str">
        <f>IF(Tab_Data_Flows[[#This Row],[Use_E6]]="Yes",Tab_Data_Flows[[#This Row],[E6_Fraction'[%']]]*Tab_Data_Flows[[#This Row],[E1_value]],"N.A.")</f>
        <v>N.A.</v>
      </c>
      <c r="AL148" s="6" t="str">
        <f>Tab_Data_Flows[[#This Row],[E1_UoM]]</f>
        <v>Mg</v>
      </c>
    </row>
    <row r="149" spans="1:38" x14ac:dyDescent="0.25">
      <c r="A149" s="8">
        <f t="shared" si="6"/>
        <v>148</v>
      </c>
      <c r="B149" s="6" t="str">
        <f>_xlfn.XLOOKUP(C149,Tab_Def_Flows[Flow_Name],Tab_Def_Flows[Flow_ID],,0,)</f>
        <v>F_00_02</v>
      </c>
      <c r="C149" s="138" t="s">
        <v>1233</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No</v>
      </c>
      <c r="I149" s="9" t="str">
        <f>_xlfn.XLOOKUP(C149,Tab_Def_Flows[Flow_Name],Tab_Def_Flows[Use_E6],,0,)</f>
        <v>No</v>
      </c>
      <c r="J149" s="188">
        <v>2071</v>
      </c>
      <c r="K149" s="189">
        <v>592936.37400000007</v>
      </c>
      <c r="L149" s="6" t="str">
        <f>'0_Configuration'!$C$41</f>
        <v>Mg</v>
      </c>
      <c r="M149" s="13" t="s">
        <v>1263</v>
      </c>
      <c r="N149" s="13">
        <v>2025</v>
      </c>
      <c r="O149" s="13" t="s">
        <v>1260</v>
      </c>
      <c r="P149" s="13" t="s">
        <v>1261</v>
      </c>
      <c r="Q149" s="13" t="s">
        <v>1410</v>
      </c>
      <c r="R149" s="7" t="s">
        <v>6</v>
      </c>
      <c r="S149" s="14"/>
      <c r="T149" s="7"/>
      <c r="U149" s="139">
        <f>_xlfn.XLOOKUP(Tab_Data_Flows[[#This Row],[Flow_Name]],Tab_Def_Flows[Flow_Name],Tab_Def_Flows[Flow_E1_Fraction'[%']],"N.A.",0,1)</f>
        <v>1</v>
      </c>
      <c r="V149" s="12">
        <f t="shared" si="5"/>
        <v>592936.37400000007</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1</v>
      </c>
      <c r="AB149" s="6">
        <f>IF(E149="Yes",AA149*Tab_Data_Flows[[#This Row],[E1_value]],"N.A.")</f>
        <v>592936.37400000007</v>
      </c>
      <c r="AC149" s="6" t="str">
        <f>Tab_Data_Flows[[#This Row],[E1_UoM]]</f>
        <v>Mg</v>
      </c>
      <c r="AD149" s="139">
        <f>_xlfn.XLOOKUP(Tab_Data_Flows[[#This Row],[Flow_Name]],Tab_Def_Flows[Flow_Name],Tab_Def_Flows[Flow_E4_Fraction'[%']],"N.A.",0,1)</f>
        <v>1</v>
      </c>
      <c r="AE149" s="6">
        <f>IF(G149="Yes",Tab_Data_Flows[[#This Row],[E4_Fraction'[%']]]*Tab_Data_Flows[[#This Row],[E1_value]],"N.A.")</f>
        <v>592936.37400000007</v>
      </c>
      <c r="AF149" s="6" t="str">
        <f>Tab_Data_Flows[[#This Row],[E1_UoM]]</f>
        <v>Mg</v>
      </c>
      <c r="AG149" s="139">
        <f>_xlfn.XLOOKUP(Tab_Data_Flows[[#This Row],[Flow_Name]],Tab_Def_Flows[Flow_Name],Tab_Def_Flows[Flow_E5_Fraction'[%']],"N.A.",0,1)</f>
        <v>0</v>
      </c>
      <c r="AH149" s="6" t="str">
        <f>IF(H149="Yes",Tab_Data_Flows[[#This Row],[E5_Fraction'[%']]]*Tab_Data_Flows[[#This Row],[E1_value]],"N.A.")</f>
        <v>N.A.</v>
      </c>
      <c r="AI149" s="6" t="str">
        <f>Tab_Data_Flows[[#This Row],[E1_UoM]]</f>
        <v>Mg</v>
      </c>
      <c r="AJ149" s="139">
        <f>_xlfn.XLOOKUP(Tab_Data_Flows[[#This Row],[Flow_Name]],Tab_Def_Flows[Flow_Name],Tab_Def_Flows[Flow_E6_Fraction'[%']],"N.A.",0,1)</f>
        <v>0</v>
      </c>
      <c r="AK149" s="6" t="str">
        <f>IF(Tab_Data_Flows[[#This Row],[Use_E6]]="Yes",Tab_Data_Flows[[#This Row],[E6_Fraction'[%']]]*Tab_Data_Flows[[#This Row],[E1_value]],"N.A.")</f>
        <v>N.A.</v>
      </c>
      <c r="AL149" s="6" t="str">
        <f>Tab_Data_Flows[[#This Row],[E1_UoM]]</f>
        <v>Mg</v>
      </c>
    </row>
    <row r="150" spans="1:38" x14ac:dyDescent="0.25">
      <c r="A150" s="8">
        <f t="shared" si="6"/>
        <v>149</v>
      </c>
      <c r="B150" s="6" t="str">
        <f>_xlfn.XLOOKUP(C150,Tab_Def_Flows[Flow_Name],Tab_Def_Flows[Flow_ID],,0,)</f>
        <v>F_00_02</v>
      </c>
      <c r="C150" s="138" t="s">
        <v>1233</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No</v>
      </c>
      <c r="I150" s="9" t="str">
        <f>_xlfn.XLOOKUP(C150,Tab_Def_Flows[Flow_Name],Tab_Def_Flows[Use_E6],,0,)</f>
        <v>No</v>
      </c>
      <c r="J150" s="188">
        <v>2072</v>
      </c>
      <c r="K150" s="189">
        <v>667909.3452352942</v>
      </c>
      <c r="L150" s="6" t="str">
        <f>'0_Configuration'!$C$41</f>
        <v>Mg</v>
      </c>
      <c r="M150" s="13" t="s">
        <v>1263</v>
      </c>
      <c r="N150" s="13">
        <v>2025</v>
      </c>
      <c r="O150" s="13" t="s">
        <v>1260</v>
      </c>
      <c r="P150" s="13" t="s">
        <v>1261</v>
      </c>
      <c r="Q150" s="13" t="s">
        <v>1411</v>
      </c>
      <c r="R150" s="7" t="s">
        <v>6</v>
      </c>
      <c r="S150" s="14"/>
      <c r="T150" s="7"/>
      <c r="U150" s="139">
        <f>_xlfn.XLOOKUP(Tab_Data_Flows[[#This Row],[Flow_Name]],Tab_Def_Flows[Flow_Name],Tab_Def_Flows[Flow_E1_Fraction'[%']],"N.A.",0,1)</f>
        <v>1</v>
      </c>
      <c r="V150" s="12">
        <f t="shared" si="5"/>
        <v>667909.3452352942</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1</v>
      </c>
      <c r="AB150" s="6">
        <f>IF(E150="Yes",AA150*Tab_Data_Flows[[#This Row],[E1_value]],"N.A.")</f>
        <v>667909.3452352942</v>
      </c>
      <c r="AC150" s="6" t="str">
        <f>Tab_Data_Flows[[#This Row],[E1_UoM]]</f>
        <v>Mg</v>
      </c>
      <c r="AD150" s="139">
        <f>_xlfn.XLOOKUP(Tab_Data_Flows[[#This Row],[Flow_Name]],Tab_Def_Flows[Flow_Name],Tab_Def_Flows[Flow_E4_Fraction'[%']],"N.A.",0,1)</f>
        <v>1</v>
      </c>
      <c r="AE150" s="6">
        <f>IF(G150="Yes",Tab_Data_Flows[[#This Row],[E4_Fraction'[%']]]*Tab_Data_Flows[[#This Row],[E1_value]],"N.A.")</f>
        <v>667909.3452352942</v>
      </c>
      <c r="AF150" s="6" t="str">
        <f>Tab_Data_Flows[[#This Row],[E1_UoM]]</f>
        <v>Mg</v>
      </c>
      <c r="AG150" s="139">
        <f>_xlfn.XLOOKUP(Tab_Data_Flows[[#This Row],[Flow_Name]],Tab_Def_Flows[Flow_Name],Tab_Def_Flows[Flow_E5_Fraction'[%']],"N.A.",0,1)</f>
        <v>0</v>
      </c>
      <c r="AH150" s="6" t="str">
        <f>IF(H150="Yes",Tab_Data_Flows[[#This Row],[E5_Fraction'[%']]]*Tab_Data_Flows[[#This Row],[E1_value]],"N.A.")</f>
        <v>N.A.</v>
      </c>
      <c r="AI150" s="6" t="str">
        <f>Tab_Data_Flows[[#This Row],[E1_UoM]]</f>
        <v>Mg</v>
      </c>
      <c r="AJ150" s="139">
        <f>_xlfn.XLOOKUP(Tab_Data_Flows[[#This Row],[Flow_Name]],Tab_Def_Flows[Flow_Name],Tab_Def_Flows[Flow_E6_Fraction'[%']],"N.A.",0,1)</f>
        <v>0</v>
      </c>
      <c r="AK150" s="6" t="str">
        <f>IF(Tab_Data_Flows[[#This Row],[Use_E6]]="Yes",Tab_Data_Flows[[#This Row],[E6_Fraction'[%']]]*Tab_Data_Flows[[#This Row],[E1_value]],"N.A.")</f>
        <v>N.A.</v>
      </c>
      <c r="AL150" s="6" t="str">
        <f>Tab_Data_Flows[[#This Row],[E1_UoM]]</f>
        <v>Mg</v>
      </c>
    </row>
    <row r="151" spans="1:38" x14ac:dyDescent="0.25">
      <c r="A151" s="8">
        <f t="shared" si="6"/>
        <v>150</v>
      </c>
      <c r="B151" s="6" t="str">
        <f>_xlfn.XLOOKUP(C151,Tab_Def_Flows[Flow_Name],Tab_Def_Flows[Flow_ID],,0,)</f>
        <v>F_00_02</v>
      </c>
      <c r="C151" s="138" t="s">
        <v>1233</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No</v>
      </c>
      <c r="I151" s="9" t="str">
        <f>_xlfn.XLOOKUP(C151,Tab_Def_Flows[Flow_Name],Tab_Def_Flows[Use_E6],,0,)</f>
        <v>No</v>
      </c>
      <c r="J151" s="188">
        <v>2073</v>
      </c>
      <c r="K151" s="189">
        <v>684064.56158823532</v>
      </c>
      <c r="L151" s="6" t="str">
        <f>'0_Configuration'!$C$41</f>
        <v>Mg</v>
      </c>
      <c r="M151" s="13" t="s">
        <v>1263</v>
      </c>
      <c r="N151" s="13">
        <v>2025</v>
      </c>
      <c r="O151" s="13" t="s">
        <v>1260</v>
      </c>
      <c r="P151" s="13" t="s">
        <v>1261</v>
      </c>
      <c r="Q151" s="13" t="s">
        <v>1412</v>
      </c>
      <c r="R151" s="7" t="s">
        <v>6</v>
      </c>
      <c r="S151" s="14"/>
      <c r="T151" s="7"/>
      <c r="U151" s="139">
        <f>_xlfn.XLOOKUP(Tab_Data_Flows[[#This Row],[Flow_Name]],Tab_Def_Flows[Flow_Name],Tab_Def_Flows[Flow_E1_Fraction'[%']],"N.A.",0,1)</f>
        <v>1</v>
      </c>
      <c r="V151" s="12">
        <f t="shared" si="5"/>
        <v>684064.56158823532</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1</v>
      </c>
      <c r="AB151" s="6">
        <f>IF(E151="Yes",AA151*Tab_Data_Flows[[#This Row],[E1_value]],"N.A.")</f>
        <v>684064.56158823532</v>
      </c>
      <c r="AC151" s="6" t="str">
        <f>Tab_Data_Flows[[#This Row],[E1_UoM]]</f>
        <v>Mg</v>
      </c>
      <c r="AD151" s="139">
        <f>_xlfn.XLOOKUP(Tab_Data_Flows[[#This Row],[Flow_Name]],Tab_Def_Flows[Flow_Name],Tab_Def_Flows[Flow_E4_Fraction'[%']],"N.A.",0,1)</f>
        <v>1</v>
      </c>
      <c r="AE151" s="6">
        <f>IF(G151="Yes",Tab_Data_Flows[[#This Row],[E4_Fraction'[%']]]*Tab_Data_Flows[[#This Row],[E1_value]],"N.A.")</f>
        <v>684064.56158823532</v>
      </c>
      <c r="AF151" s="6" t="str">
        <f>Tab_Data_Flows[[#This Row],[E1_UoM]]</f>
        <v>Mg</v>
      </c>
      <c r="AG151" s="139">
        <f>_xlfn.XLOOKUP(Tab_Data_Flows[[#This Row],[Flow_Name]],Tab_Def_Flows[Flow_Name],Tab_Def_Flows[Flow_E5_Fraction'[%']],"N.A.",0,1)</f>
        <v>0</v>
      </c>
      <c r="AH151" s="6" t="str">
        <f>IF(H151="Yes",Tab_Data_Flows[[#This Row],[E5_Fraction'[%']]]*Tab_Data_Flows[[#This Row],[E1_value]],"N.A.")</f>
        <v>N.A.</v>
      </c>
      <c r="AI151" s="6" t="str">
        <f>Tab_Data_Flows[[#This Row],[E1_UoM]]</f>
        <v>Mg</v>
      </c>
      <c r="AJ151" s="139">
        <f>_xlfn.XLOOKUP(Tab_Data_Flows[[#This Row],[Flow_Name]],Tab_Def_Flows[Flow_Name],Tab_Def_Flows[Flow_E6_Fraction'[%']],"N.A.",0,1)</f>
        <v>0</v>
      </c>
      <c r="AK151" s="6" t="str">
        <f>IF(Tab_Data_Flows[[#This Row],[Use_E6]]="Yes",Tab_Data_Flows[[#This Row],[E6_Fraction'[%']]]*Tab_Data_Flows[[#This Row],[E1_value]],"N.A.")</f>
        <v>N.A.</v>
      </c>
      <c r="AL151" s="6" t="str">
        <f>Tab_Data_Flows[[#This Row],[E1_UoM]]</f>
        <v>Mg</v>
      </c>
    </row>
    <row r="152" spans="1:38" x14ac:dyDescent="0.25">
      <c r="A152" s="8">
        <f t="shared" si="6"/>
        <v>151</v>
      </c>
      <c r="B152" s="6" t="str">
        <f>_xlfn.XLOOKUP(C152,Tab_Def_Flows[Flow_Name],Tab_Def_Flows[Flow_ID],,0,)</f>
        <v>F_00_02</v>
      </c>
      <c r="C152" s="138" t="s">
        <v>1233</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No</v>
      </c>
      <c r="I152" s="9" t="str">
        <f>_xlfn.XLOOKUP(C152,Tab_Def_Flows[Flow_Name],Tab_Def_Flows[Use_E6],,0,)</f>
        <v>No</v>
      </c>
      <c r="J152" s="188">
        <v>2074</v>
      </c>
      <c r="K152" s="189">
        <v>520615.4910000001</v>
      </c>
      <c r="L152" s="6" t="str">
        <f>'0_Configuration'!$C$41</f>
        <v>Mg</v>
      </c>
      <c r="M152" s="13" t="s">
        <v>1263</v>
      </c>
      <c r="N152" s="13">
        <v>2025</v>
      </c>
      <c r="O152" s="13" t="s">
        <v>1260</v>
      </c>
      <c r="P152" s="13" t="s">
        <v>1261</v>
      </c>
      <c r="Q152" s="13" t="s">
        <v>1413</v>
      </c>
      <c r="R152" s="7" t="s">
        <v>6</v>
      </c>
      <c r="S152" s="14"/>
      <c r="T152" s="7"/>
      <c r="U152" s="139">
        <f>_xlfn.XLOOKUP(Tab_Data_Flows[[#This Row],[Flow_Name]],Tab_Def_Flows[Flow_Name],Tab_Def_Flows[Flow_E1_Fraction'[%']],"N.A.",0,1)</f>
        <v>1</v>
      </c>
      <c r="V152" s="12">
        <f t="shared" si="5"/>
        <v>520615.4910000001</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1</v>
      </c>
      <c r="AB152" s="6">
        <f>IF(E152="Yes",AA152*Tab_Data_Flows[[#This Row],[E1_value]],"N.A.")</f>
        <v>520615.4910000001</v>
      </c>
      <c r="AC152" s="6" t="str">
        <f>Tab_Data_Flows[[#This Row],[E1_UoM]]</f>
        <v>Mg</v>
      </c>
      <c r="AD152" s="139">
        <f>_xlfn.XLOOKUP(Tab_Data_Flows[[#This Row],[Flow_Name]],Tab_Def_Flows[Flow_Name],Tab_Def_Flows[Flow_E4_Fraction'[%']],"N.A.",0,1)</f>
        <v>1</v>
      </c>
      <c r="AE152" s="6">
        <f>IF(G152="Yes",Tab_Data_Flows[[#This Row],[E4_Fraction'[%']]]*Tab_Data_Flows[[#This Row],[E1_value]],"N.A.")</f>
        <v>520615.4910000001</v>
      </c>
      <c r="AF152" s="6" t="str">
        <f>Tab_Data_Flows[[#This Row],[E1_UoM]]</f>
        <v>Mg</v>
      </c>
      <c r="AG152" s="139">
        <f>_xlfn.XLOOKUP(Tab_Data_Flows[[#This Row],[Flow_Name]],Tab_Def_Flows[Flow_Name],Tab_Def_Flows[Flow_E5_Fraction'[%']],"N.A.",0,1)</f>
        <v>0</v>
      </c>
      <c r="AH152" s="6" t="str">
        <f>IF(H152="Yes",Tab_Data_Flows[[#This Row],[E5_Fraction'[%']]]*Tab_Data_Flows[[#This Row],[E1_value]],"N.A.")</f>
        <v>N.A.</v>
      </c>
      <c r="AI152" s="6" t="str">
        <f>Tab_Data_Flows[[#This Row],[E1_UoM]]</f>
        <v>Mg</v>
      </c>
      <c r="AJ152" s="139">
        <f>_xlfn.XLOOKUP(Tab_Data_Flows[[#This Row],[Flow_Name]],Tab_Def_Flows[Flow_Name],Tab_Def_Flows[Flow_E6_Fraction'[%']],"N.A.",0,1)</f>
        <v>0</v>
      </c>
      <c r="AK152" s="6" t="str">
        <f>IF(Tab_Data_Flows[[#This Row],[Use_E6]]="Yes",Tab_Data_Flows[[#This Row],[E6_Fraction'[%']]]*Tab_Data_Flows[[#This Row],[E1_value]],"N.A.")</f>
        <v>N.A.</v>
      </c>
      <c r="AL152" s="6" t="str">
        <f>Tab_Data_Flows[[#This Row],[E1_UoM]]</f>
        <v>Mg</v>
      </c>
    </row>
    <row r="153" spans="1:38" x14ac:dyDescent="0.25">
      <c r="A153" s="8">
        <f t="shared" si="6"/>
        <v>152</v>
      </c>
      <c r="B153" s="6" t="str">
        <f>_xlfn.XLOOKUP(C153,Tab_Def_Flows[Flow_Name],Tab_Def_Flows[Flow_ID],,0,)</f>
        <v>F_00_02</v>
      </c>
      <c r="C153" s="138" t="s">
        <v>1233</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No</v>
      </c>
      <c r="I153" s="9" t="str">
        <f>_xlfn.XLOOKUP(C153,Tab_Def_Flows[Flow_Name],Tab_Def_Flows[Use_E6],,0,)</f>
        <v>No</v>
      </c>
      <c r="J153" s="188">
        <v>2075</v>
      </c>
      <c r="K153" s="189">
        <v>602517.80347058829</v>
      </c>
      <c r="L153" s="6" t="str">
        <f>'0_Configuration'!$C$41</f>
        <v>Mg</v>
      </c>
      <c r="M153" s="13" t="s">
        <v>1263</v>
      </c>
      <c r="N153" s="13">
        <v>2025</v>
      </c>
      <c r="O153" s="13" t="s">
        <v>1260</v>
      </c>
      <c r="P153" s="13" t="s">
        <v>1261</v>
      </c>
      <c r="Q153" s="13" t="s">
        <v>1414</v>
      </c>
      <c r="R153" s="7" t="s">
        <v>6</v>
      </c>
      <c r="S153" s="14"/>
      <c r="T153" s="7"/>
      <c r="U153" s="139">
        <f>_xlfn.XLOOKUP(Tab_Data_Flows[[#This Row],[Flow_Name]],Tab_Def_Flows[Flow_Name],Tab_Def_Flows[Flow_E1_Fraction'[%']],"N.A.",0,1)</f>
        <v>1</v>
      </c>
      <c r="V153" s="12">
        <f t="shared" si="5"/>
        <v>602517.80347058829</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1</v>
      </c>
      <c r="AB153" s="6">
        <f>IF(E153="Yes",AA153*Tab_Data_Flows[[#This Row],[E1_value]],"N.A.")</f>
        <v>602517.80347058829</v>
      </c>
      <c r="AC153" s="6" t="str">
        <f>Tab_Data_Flows[[#This Row],[E1_UoM]]</f>
        <v>Mg</v>
      </c>
      <c r="AD153" s="139">
        <f>_xlfn.XLOOKUP(Tab_Data_Flows[[#This Row],[Flow_Name]],Tab_Def_Flows[Flow_Name],Tab_Def_Flows[Flow_E4_Fraction'[%']],"N.A.",0,1)</f>
        <v>1</v>
      </c>
      <c r="AE153" s="6">
        <f>IF(G153="Yes",Tab_Data_Flows[[#This Row],[E4_Fraction'[%']]]*Tab_Data_Flows[[#This Row],[E1_value]],"N.A.")</f>
        <v>602517.80347058829</v>
      </c>
      <c r="AF153" s="6" t="str">
        <f>Tab_Data_Flows[[#This Row],[E1_UoM]]</f>
        <v>Mg</v>
      </c>
      <c r="AG153" s="139">
        <f>_xlfn.XLOOKUP(Tab_Data_Flows[[#This Row],[Flow_Name]],Tab_Def_Flows[Flow_Name],Tab_Def_Flows[Flow_E5_Fraction'[%']],"N.A.",0,1)</f>
        <v>0</v>
      </c>
      <c r="AH153" s="6" t="str">
        <f>IF(H153="Yes",Tab_Data_Flows[[#This Row],[E5_Fraction'[%']]]*Tab_Data_Flows[[#This Row],[E1_value]],"N.A.")</f>
        <v>N.A.</v>
      </c>
      <c r="AI153" s="6" t="str">
        <f>Tab_Data_Flows[[#This Row],[E1_UoM]]</f>
        <v>Mg</v>
      </c>
      <c r="AJ153" s="139">
        <f>_xlfn.XLOOKUP(Tab_Data_Flows[[#This Row],[Flow_Name]],Tab_Def_Flows[Flow_Name],Tab_Def_Flows[Flow_E6_Fraction'[%']],"N.A.",0,1)</f>
        <v>0</v>
      </c>
      <c r="AK153" s="6" t="str">
        <f>IF(Tab_Data_Flows[[#This Row],[Use_E6]]="Yes",Tab_Data_Flows[[#This Row],[E6_Fraction'[%']]]*Tab_Data_Flows[[#This Row],[E1_value]],"N.A.")</f>
        <v>N.A.</v>
      </c>
      <c r="AL153" s="6" t="str">
        <f>Tab_Data_Flows[[#This Row],[E1_UoM]]</f>
        <v>Mg</v>
      </c>
    </row>
    <row r="154" spans="1:38" x14ac:dyDescent="0.25">
      <c r="A154" s="8">
        <f t="shared" si="6"/>
        <v>153</v>
      </c>
      <c r="B154" s="6" t="str">
        <f>_xlfn.XLOOKUP(C154,Tab_Def_Flows[Flow_Name],Tab_Def_Flows[Flow_ID],,0,)</f>
        <v>F_00_02</v>
      </c>
      <c r="C154" s="138" t="s">
        <v>1233</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No</v>
      </c>
      <c r="I154" s="9" t="str">
        <f>_xlfn.XLOOKUP(C154,Tab_Def_Flows[Flow_Name],Tab_Def_Flows[Use_E6],,0,)</f>
        <v>No</v>
      </c>
      <c r="J154" s="188">
        <v>2076</v>
      </c>
      <c r="K154" s="189">
        <v>630070.54923529411</v>
      </c>
      <c r="L154" s="6" t="str">
        <f>'0_Configuration'!$C$41</f>
        <v>Mg</v>
      </c>
      <c r="M154" s="13" t="s">
        <v>1263</v>
      </c>
      <c r="N154" s="13">
        <v>2025</v>
      </c>
      <c r="O154" s="13" t="s">
        <v>1260</v>
      </c>
      <c r="P154" s="13" t="s">
        <v>1261</v>
      </c>
      <c r="Q154" s="13" t="s">
        <v>1415</v>
      </c>
      <c r="R154" s="7" t="s">
        <v>6</v>
      </c>
      <c r="S154" s="7"/>
      <c r="T154" s="7"/>
      <c r="U154" s="139">
        <f>_xlfn.XLOOKUP(Tab_Data_Flows[[#This Row],[Flow_Name]],Tab_Def_Flows[Flow_Name],Tab_Def_Flows[Flow_E1_Fraction'[%']],"N.A.",0,1)</f>
        <v>1</v>
      </c>
      <c r="V154" s="12">
        <f t="shared" si="5"/>
        <v>630070.54923529411</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1</v>
      </c>
      <c r="AB154" s="6">
        <f>IF(E154="Yes",AA154*Tab_Data_Flows[[#This Row],[E1_value]],"N.A.")</f>
        <v>630070.54923529411</v>
      </c>
      <c r="AC154" s="6" t="str">
        <f>Tab_Data_Flows[[#This Row],[E1_UoM]]</f>
        <v>Mg</v>
      </c>
      <c r="AD154" s="139">
        <f>_xlfn.XLOOKUP(Tab_Data_Flows[[#This Row],[Flow_Name]],Tab_Def_Flows[Flow_Name],Tab_Def_Flows[Flow_E4_Fraction'[%']],"N.A.",0,1)</f>
        <v>1</v>
      </c>
      <c r="AE154" s="6">
        <f>IF(G154="Yes",Tab_Data_Flows[[#This Row],[E4_Fraction'[%']]]*Tab_Data_Flows[[#This Row],[E1_value]],"N.A.")</f>
        <v>630070.54923529411</v>
      </c>
      <c r="AF154" s="6" t="str">
        <f>Tab_Data_Flows[[#This Row],[E1_UoM]]</f>
        <v>Mg</v>
      </c>
      <c r="AG154" s="139">
        <f>_xlfn.XLOOKUP(Tab_Data_Flows[[#This Row],[Flow_Name]],Tab_Def_Flows[Flow_Name],Tab_Def_Flows[Flow_E5_Fraction'[%']],"N.A.",0,1)</f>
        <v>0</v>
      </c>
      <c r="AH154" s="6" t="str">
        <f>IF(H154="Yes",Tab_Data_Flows[[#This Row],[E5_Fraction'[%']]]*Tab_Data_Flows[[#This Row],[E1_value]],"N.A.")</f>
        <v>N.A.</v>
      </c>
      <c r="AI154" s="6" t="str">
        <f>Tab_Data_Flows[[#This Row],[E1_UoM]]</f>
        <v>Mg</v>
      </c>
      <c r="AJ154" s="139">
        <f>_xlfn.XLOOKUP(Tab_Data_Flows[[#This Row],[Flow_Name]],Tab_Def_Flows[Flow_Name],Tab_Def_Flows[Flow_E6_Fraction'[%']],"N.A.",0,1)</f>
        <v>0</v>
      </c>
      <c r="AK154" s="6" t="str">
        <f>IF(Tab_Data_Flows[[#This Row],[Use_E6]]="Yes",Tab_Data_Flows[[#This Row],[E6_Fraction'[%']]]*Tab_Data_Flows[[#This Row],[E1_value]],"N.A.")</f>
        <v>N.A.</v>
      </c>
      <c r="AL154" s="6" t="str">
        <f>Tab_Data_Flows[[#This Row],[E1_UoM]]</f>
        <v>Mg</v>
      </c>
    </row>
    <row r="155" spans="1:38" x14ac:dyDescent="0.25">
      <c r="A155" s="8">
        <f t="shared" si="6"/>
        <v>154</v>
      </c>
      <c r="B155" s="6" t="str">
        <f>_xlfn.XLOOKUP(C155,Tab_Def_Flows[Flow_Name],Tab_Def_Flows[Flow_ID],,0,)</f>
        <v>F_00_02</v>
      </c>
      <c r="C155" s="138" t="s">
        <v>1233</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No</v>
      </c>
      <c r="I155" s="9" t="str">
        <f>_xlfn.XLOOKUP(C155,Tab_Def_Flows[Flow_Name],Tab_Def_Flows[Use_E6],,0,)</f>
        <v>No</v>
      </c>
      <c r="J155" s="188">
        <v>2077</v>
      </c>
      <c r="K155" s="189">
        <v>655707.98647058825</v>
      </c>
      <c r="L155" s="6" t="str">
        <f>'0_Configuration'!$C$41</f>
        <v>Mg</v>
      </c>
      <c r="M155" s="13" t="s">
        <v>1263</v>
      </c>
      <c r="N155" s="13">
        <v>2025</v>
      </c>
      <c r="O155" s="13" t="s">
        <v>1260</v>
      </c>
      <c r="P155" s="13" t="s">
        <v>1261</v>
      </c>
      <c r="Q155" s="13" t="s">
        <v>1416</v>
      </c>
      <c r="R155" s="7" t="s">
        <v>6</v>
      </c>
      <c r="S155" s="7"/>
      <c r="T155" s="7"/>
      <c r="U155" s="139">
        <f>_xlfn.XLOOKUP(Tab_Data_Flows[[#This Row],[Flow_Name]],Tab_Def_Flows[Flow_Name],Tab_Def_Flows[Flow_E1_Fraction'[%']],"N.A.",0,1)</f>
        <v>1</v>
      </c>
      <c r="V155" s="12">
        <f t="shared" si="5"/>
        <v>655707.98647058825</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1</v>
      </c>
      <c r="AB155" s="6">
        <f>IF(E155="Yes",AA155*Tab_Data_Flows[[#This Row],[E1_value]],"N.A.")</f>
        <v>655707.98647058825</v>
      </c>
      <c r="AC155" s="6" t="str">
        <f>Tab_Data_Flows[[#This Row],[E1_UoM]]</f>
        <v>Mg</v>
      </c>
      <c r="AD155" s="139">
        <f>_xlfn.XLOOKUP(Tab_Data_Flows[[#This Row],[Flow_Name]],Tab_Def_Flows[Flow_Name],Tab_Def_Flows[Flow_E4_Fraction'[%']],"N.A.",0,1)</f>
        <v>1</v>
      </c>
      <c r="AE155" s="6">
        <f>IF(G155="Yes",Tab_Data_Flows[[#This Row],[E4_Fraction'[%']]]*Tab_Data_Flows[[#This Row],[E1_value]],"N.A.")</f>
        <v>655707.98647058825</v>
      </c>
      <c r="AF155" s="6" t="str">
        <f>Tab_Data_Flows[[#This Row],[E1_UoM]]</f>
        <v>Mg</v>
      </c>
      <c r="AG155" s="139">
        <f>_xlfn.XLOOKUP(Tab_Data_Flows[[#This Row],[Flow_Name]],Tab_Def_Flows[Flow_Name],Tab_Def_Flows[Flow_E5_Fraction'[%']],"N.A.",0,1)</f>
        <v>0</v>
      </c>
      <c r="AH155" s="6" t="str">
        <f>IF(H155="Yes",Tab_Data_Flows[[#This Row],[E5_Fraction'[%']]]*Tab_Data_Flows[[#This Row],[E1_value]],"N.A.")</f>
        <v>N.A.</v>
      </c>
      <c r="AI155" s="6" t="str">
        <f>Tab_Data_Flows[[#This Row],[E1_UoM]]</f>
        <v>Mg</v>
      </c>
      <c r="AJ155" s="139">
        <f>_xlfn.XLOOKUP(Tab_Data_Flows[[#This Row],[Flow_Name]],Tab_Def_Flows[Flow_Name],Tab_Def_Flows[Flow_E6_Fraction'[%']],"N.A.",0,1)</f>
        <v>0</v>
      </c>
      <c r="AK155" s="6" t="str">
        <f>IF(Tab_Data_Flows[[#This Row],[Use_E6]]="Yes",Tab_Data_Flows[[#This Row],[E6_Fraction'[%']]]*Tab_Data_Flows[[#This Row],[E1_value]],"N.A.")</f>
        <v>N.A.</v>
      </c>
      <c r="AL155" s="6" t="str">
        <f>Tab_Data_Flows[[#This Row],[E1_UoM]]</f>
        <v>Mg</v>
      </c>
    </row>
    <row r="156" spans="1:38" x14ac:dyDescent="0.25">
      <c r="A156" s="8">
        <f t="shared" si="6"/>
        <v>155</v>
      </c>
      <c r="B156" s="6" t="str">
        <f>_xlfn.XLOOKUP(C156,Tab_Def_Flows[Flow_Name],Tab_Def_Flows[Flow_ID],,0,)</f>
        <v>F_00_02</v>
      </c>
      <c r="C156" s="138" t="s">
        <v>1233</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No</v>
      </c>
      <c r="I156" s="9" t="str">
        <f>_xlfn.XLOOKUP(C156,Tab_Def_Flows[Flow_Name],Tab_Def_Flows[Use_E6],,0,)</f>
        <v>No</v>
      </c>
      <c r="J156" s="188">
        <v>2078</v>
      </c>
      <c r="K156" s="189">
        <v>574246.31523529405</v>
      </c>
      <c r="L156" s="6" t="str">
        <f>'0_Configuration'!$C$41</f>
        <v>Mg</v>
      </c>
      <c r="M156" s="13" t="s">
        <v>1263</v>
      </c>
      <c r="N156" s="13">
        <v>2025</v>
      </c>
      <c r="O156" s="13" t="s">
        <v>1260</v>
      </c>
      <c r="P156" s="13" t="s">
        <v>1261</v>
      </c>
      <c r="Q156" s="13" t="s">
        <v>1417</v>
      </c>
      <c r="R156" s="7" t="s">
        <v>6</v>
      </c>
      <c r="S156" s="7"/>
      <c r="T156" s="7"/>
      <c r="U156" s="139">
        <f>_xlfn.XLOOKUP(Tab_Data_Flows[[#This Row],[Flow_Name]],Tab_Def_Flows[Flow_Name],Tab_Def_Flows[Flow_E1_Fraction'[%']],"N.A.",0,1)</f>
        <v>1</v>
      </c>
      <c r="V156" s="12">
        <f t="shared" si="5"/>
        <v>574246.31523529405</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1</v>
      </c>
      <c r="AB156" s="6">
        <f>IF(E156="Yes",AA156*Tab_Data_Flows[[#This Row],[E1_value]],"N.A.")</f>
        <v>574246.31523529405</v>
      </c>
      <c r="AC156" s="6" t="str">
        <f>Tab_Data_Flows[[#This Row],[E1_UoM]]</f>
        <v>Mg</v>
      </c>
      <c r="AD156" s="139">
        <f>_xlfn.XLOOKUP(Tab_Data_Flows[[#This Row],[Flow_Name]],Tab_Def_Flows[Flow_Name],Tab_Def_Flows[Flow_E4_Fraction'[%']],"N.A.",0,1)</f>
        <v>1</v>
      </c>
      <c r="AE156" s="6">
        <f>IF(G156="Yes",Tab_Data_Flows[[#This Row],[E4_Fraction'[%']]]*Tab_Data_Flows[[#This Row],[E1_value]],"N.A.")</f>
        <v>574246.31523529405</v>
      </c>
      <c r="AF156" s="6" t="str">
        <f>Tab_Data_Flows[[#This Row],[E1_UoM]]</f>
        <v>Mg</v>
      </c>
      <c r="AG156" s="139">
        <f>_xlfn.XLOOKUP(Tab_Data_Flows[[#This Row],[Flow_Name]],Tab_Def_Flows[Flow_Name],Tab_Def_Flows[Flow_E5_Fraction'[%']],"N.A.",0,1)</f>
        <v>0</v>
      </c>
      <c r="AH156" s="6" t="str">
        <f>IF(H156="Yes",Tab_Data_Flows[[#This Row],[E5_Fraction'[%']]]*Tab_Data_Flows[[#This Row],[E1_value]],"N.A.")</f>
        <v>N.A.</v>
      </c>
      <c r="AI156" s="6" t="str">
        <f>Tab_Data_Flows[[#This Row],[E1_UoM]]</f>
        <v>Mg</v>
      </c>
      <c r="AJ156" s="139">
        <f>_xlfn.XLOOKUP(Tab_Data_Flows[[#This Row],[Flow_Name]],Tab_Def_Flows[Flow_Name],Tab_Def_Flows[Flow_E6_Fraction'[%']],"N.A.",0,1)</f>
        <v>0</v>
      </c>
      <c r="AK156" s="6" t="str">
        <f>IF(Tab_Data_Flows[[#This Row],[Use_E6]]="Yes",Tab_Data_Flows[[#This Row],[E6_Fraction'[%']]]*Tab_Data_Flows[[#This Row],[E1_value]],"N.A.")</f>
        <v>N.A.</v>
      </c>
      <c r="AL156" s="6" t="str">
        <f>Tab_Data_Flows[[#This Row],[E1_UoM]]</f>
        <v>Mg</v>
      </c>
    </row>
    <row r="157" spans="1:38" x14ac:dyDescent="0.25">
      <c r="A157" s="8">
        <f t="shared" si="6"/>
        <v>156</v>
      </c>
      <c r="B157" s="6" t="str">
        <f>_xlfn.XLOOKUP(C157,Tab_Def_Flows[Flow_Name],Tab_Def_Flows[Flow_ID],,0,)</f>
        <v>F_00_02</v>
      </c>
      <c r="C157" s="138" t="s">
        <v>1233</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No</v>
      </c>
      <c r="I157" s="9" t="str">
        <f>_xlfn.XLOOKUP(C157,Tab_Def_Flows[Flow_Name],Tab_Def_Flows[Use_E6],,0,)</f>
        <v>No</v>
      </c>
      <c r="J157" s="188">
        <v>2079</v>
      </c>
      <c r="K157" s="189">
        <v>679181.00100000005</v>
      </c>
      <c r="L157" s="6" t="str">
        <f>'0_Configuration'!$C$41</f>
        <v>Mg</v>
      </c>
      <c r="M157" s="13" t="s">
        <v>1263</v>
      </c>
      <c r="N157" s="13">
        <v>2025</v>
      </c>
      <c r="O157" s="13" t="s">
        <v>1260</v>
      </c>
      <c r="P157" s="13" t="s">
        <v>1261</v>
      </c>
      <c r="Q157" s="13" t="s">
        <v>1418</v>
      </c>
      <c r="R157" s="7" t="s">
        <v>6</v>
      </c>
      <c r="S157" s="7"/>
      <c r="T157" s="7"/>
      <c r="U157" s="139">
        <f>_xlfn.XLOOKUP(Tab_Data_Flows[[#This Row],[Flow_Name]],Tab_Def_Flows[Flow_Name],Tab_Def_Flows[Flow_E1_Fraction'[%']],"N.A.",0,1)</f>
        <v>1</v>
      </c>
      <c r="V157" s="12">
        <f t="shared" si="5"/>
        <v>679181.00100000005</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1</v>
      </c>
      <c r="AB157" s="6">
        <f>IF(E157="Yes",AA157*Tab_Data_Flows[[#This Row],[E1_value]],"N.A.")</f>
        <v>679181.00100000005</v>
      </c>
      <c r="AC157" s="6" t="str">
        <f>Tab_Data_Flows[[#This Row],[E1_UoM]]</f>
        <v>Mg</v>
      </c>
      <c r="AD157" s="139">
        <f>_xlfn.XLOOKUP(Tab_Data_Flows[[#This Row],[Flow_Name]],Tab_Def_Flows[Flow_Name],Tab_Def_Flows[Flow_E4_Fraction'[%']],"N.A.",0,1)</f>
        <v>1</v>
      </c>
      <c r="AE157" s="6">
        <f>IF(G157="Yes",Tab_Data_Flows[[#This Row],[E4_Fraction'[%']]]*Tab_Data_Flows[[#This Row],[E1_value]],"N.A.")</f>
        <v>679181.00100000005</v>
      </c>
      <c r="AF157" s="6" t="str">
        <f>Tab_Data_Flows[[#This Row],[E1_UoM]]</f>
        <v>Mg</v>
      </c>
      <c r="AG157" s="139">
        <f>_xlfn.XLOOKUP(Tab_Data_Flows[[#This Row],[Flow_Name]],Tab_Def_Flows[Flow_Name],Tab_Def_Flows[Flow_E5_Fraction'[%']],"N.A.",0,1)</f>
        <v>0</v>
      </c>
      <c r="AH157" s="6" t="str">
        <f>IF(H157="Yes",Tab_Data_Flows[[#This Row],[E5_Fraction'[%']]]*Tab_Data_Flows[[#This Row],[E1_value]],"N.A.")</f>
        <v>N.A.</v>
      </c>
      <c r="AI157" s="6" t="str">
        <f>Tab_Data_Flows[[#This Row],[E1_UoM]]</f>
        <v>Mg</v>
      </c>
      <c r="AJ157" s="139">
        <f>_xlfn.XLOOKUP(Tab_Data_Flows[[#This Row],[Flow_Name]],Tab_Def_Flows[Flow_Name],Tab_Def_Flows[Flow_E6_Fraction'[%']],"N.A.",0,1)</f>
        <v>0</v>
      </c>
      <c r="AK157" s="6" t="str">
        <f>IF(Tab_Data_Flows[[#This Row],[Use_E6]]="Yes",Tab_Data_Flows[[#This Row],[E6_Fraction'[%']]]*Tab_Data_Flows[[#This Row],[E1_value]],"N.A.")</f>
        <v>N.A.</v>
      </c>
      <c r="AL157" s="6" t="str">
        <f>Tab_Data_Flows[[#This Row],[E1_UoM]]</f>
        <v>Mg</v>
      </c>
    </row>
    <row r="158" spans="1:38" x14ac:dyDescent="0.25">
      <c r="A158" s="8">
        <f t="shared" si="6"/>
        <v>157</v>
      </c>
      <c r="B158" s="6" t="str">
        <f>_xlfn.XLOOKUP(C158,Tab_Def_Flows[Flow_Name],Tab_Def_Flows[Flow_ID],,0,)</f>
        <v>F_00_02</v>
      </c>
      <c r="C158" s="138" t="s">
        <v>1233</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No</v>
      </c>
      <c r="I158" s="9" t="str">
        <f>_xlfn.XLOOKUP(C158,Tab_Def_Flows[Flow_Name],Tab_Def_Flows[Use_E6],,0,)</f>
        <v>No</v>
      </c>
      <c r="J158" s="188">
        <v>2080</v>
      </c>
      <c r="K158" s="189">
        <v>628738.67735294113</v>
      </c>
      <c r="L158" s="6" t="str">
        <f>'0_Configuration'!$C$41</f>
        <v>Mg</v>
      </c>
      <c r="M158" s="13" t="s">
        <v>1263</v>
      </c>
      <c r="N158" s="13">
        <v>2025</v>
      </c>
      <c r="O158" s="13" t="s">
        <v>1260</v>
      </c>
      <c r="P158" s="13" t="s">
        <v>1261</v>
      </c>
      <c r="Q158" s="13" t="s">
        <v>1419</v>
      </c>
      <c r="R158" s="7" t="s">
        <v>6</v>
      </c>
      <c r="S158" s="7"/>
      <c r="T158" s="7"/>
      <c r="U158" s="139">
        <f>_xlfn.XLOOKUP(Tab_Data_Flows[[#This Row],[Flow_Name]],Tab_Def_Flows[Flow_Name],Tab_Def_Flows[Flow_E1_Fraction'[%']],"N.A.",0,1)</f>
        <v>1</v>
      </c>
      <c r="V158" s="12">
        <f t="shared" si="5"/>
        <v>628738.67735294113</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1</v>
      </c>
      <c r="AB158" s="6">
        <f>IF(E158="Yes",AA158*Tab_Data_Flows[[#This Row],[E1_value]],"N.A.")</f>
        <v>628738.67735294113</v>
      </c>
      <c r="AC158" s="6" t="str">
        <f>Tab_Data_Flows[[#This Row],[E1_UoM]]</f>
        <v>Mg</v>
      </c>
      <c r="AD158" s="139">
        <f>_xlfn.XLOOKUP(Tab_Data_Flows[[#This Row],[Flow_Name]],Tab_Def_Flows[Flow_Name],Tab_Def_Flows[Flow_E4_Fraction'[%']],"N.A.",0,1)</f>
        <v>1</v>
      </c>
      <c r="AE158" s="6">
        <f>IF(G158="Yes",Tab_Data_Flows[[#This Row],[E4_Fraction'[%']]]*Tab_Data_Flows[[#This Row],[E1_value]],"N.A.")</f>
        <v>628738.67735294113</v>
      </c>
      <c r="AF158" s="6" t="str">
        <f>Tab_Data_Flows[[#This Row],[E1_UoM]]</f>
        <v>Mg</v>
      </c>
      <c r="AG158" s="139">
        <f>_xlfn.XLOOKUP(Tab_Data_Flows[[#This Row],[Flow_Name]],Tab_Def_Flows[Flow_Name],Tab_Def_Flows[Flow_E5_Fraction'[%']],"N.A.",0,1)</f>
        <v>0</v>
      </c>
      <c r="AH158" s="6" t="str">
        <f>IF(H158="Yes",Tab_Data_Flows[[#This Row],[E5_Fraction'[%']]]*Tab_Data_Flows[[#This Row],[E1_value]],"N.A.")</f>
        <v>N.A.</v>
      </c>
      <c r="AI158" s="6" t="str">
        <f>Tab_Data_Flows[[#This Row],[E1_UoM]]</f>
        <v>Mg</v>
      </c>
      <c r="AJ158" s="139">
        <f>_xlfn.XLOOKUP(Tab_Data_Flows[[#This Row],[Flow_Name]],Tab_Def_Flows[Flow_Name],Tab_Def_Flows[Flow_E6_Fraction'[%']],"N.A.",0,1)</f>
        <v>0</v>
      </c>
      <c r="AK158" s="6" t="str">
        <f>IF(Tab_Data_Flows[[#This Row],[Use_E6]]="Yes",Tab_Data_Flows[[#This Row],[E6_Fraction'[%']]]*Tab_Data_Flows[[#This Row],[E1_value]],"N.A.")</f>
        <v>N.A.</v>
      </c>
      <c r="AL158" s="6" t="str">
        <f>Tab_Data_Flows[[#This Row],[E1_UoM]]</f>
        <v>Mg</v>
      </c>
    </row>
    <row r="159" spans="1:38" x14ac:dyDescent="0.25">
      <c r="A159" s="8">
        <f t="shared" si="6"/>
        <v>158</v>
      </c>
      <c r="B159" s="6" t="str">
        <f>_xlfn.XLOOKUP(C159,Tab_Def_Flows[Flow_Name],Tab_Def_Flows[Flow_ID],,0,)</f>
        <v>F_00_02</v>
      </c>
      <c r="C159" s="138" t="s">
        <v>1233</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No</v>
      </c>
      <c r="I159" s="9" t="str">
        <f>_xlfn.XLOOKUP(C159,Tab_Def_Flows[Flow_Name],Tab_Def_Flows[Use_E6],,0,)</f>
        <v>No</v>
      </c>
      <c r="J159" s="188">
        <v>2081</v>
      </c>
      <c r="K159" s="189">
        <v>633026.68288235285</v>
      </c>
      <c r="L159" s="6" t="str">
        <f>'0_Configuration'!$C$41</f>
        <v>Mg</v>
      </c>
      <c r="M159" s="13" t="s">
        <v>1263</v>
      </c>
      <c r="N159" s="13">
        <v>2025</v>
      </c>
      <c r="O159" s="13" t="s">
        <v>1260</v>
      </c>
      <c r="P159" s="13" t="s">
        <v>1261</v>
      </c>
      <c r="Q159" s="13" t="s">
        <v>1420</v>
      </c>
      <c r="R159" s="7" t="s">
        <v>6</v>
      </c>
      <c r="S159" s="7"/>
      <c r="T159" s="7"/>
      <c r="U159" s="139">
        <f>_xlfn.XLOOKUP(Tab_Data_Flows[[#This Row],[Flow_Name]],Tab_Def_Flows[Flow_Name],Tab_Def_Flows[Flow_E1_Fraction'[%']],"N.A.",0,1)</f>
        <v>1</v>
      </c>
      <c r="V159" s="12">
        <f t="shared" si="5"/>
        <v>633026.68288235285</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1</v>
      </c>
      <c r="AB159" s="6">
        <f>IF(E159="Yes",AA159*Tab_Data_Flows[[#This Row],[E1_value]],"N.A.")</f>
        <v>633026.68288235285</v>
      </c>
      <c r="AC159" s="6" t="str">
        <f>Tab_Data_Flows[[#This Row],[E1_UoM]]</f>
        <v>Mg</v>
      </c>
      <c r="AD159" s="139">
        <f>_xlfn.XLOOKUP(Tab_Data_Flows[[#This Row],[Flow_Name]],Tab_Def_Flows[Flow_Name],Tab_Def_Flows[Flow_E4_Fraction'[%']],"N.A.",0,1)</f>
        <v>1</v>
      </c>
      <c r="AE159" s="6">
        <f>IF(G159="Yes",Tab_Data_Flows[[#This Row],[E4_Fraction'[%']]]*Tab_Data_Flows[[#This Row],[E1_value]],"N.A.")</f>
        <v>633026.68288235285</v>
      </c>
      <c r="AF159" s="6" t="str">
        <f>Tab_Data_Flows[[#This Row],[E1_UoM]]</f>
        <v>Mg</v>
      </c>
      <c r="AG159" s="139">
        <f>_xlfn.XLOOKUP(Tab_Data_Flows[[#This Row],[Flow_Name]],Tab_Def_Flows[Flow_Name],Tab_Def_Flows[Flow_E5_Fraction'[%']],"N.A.",0,1)</f>
        <v>0</v>
      </c>
      <c r="AH159" s="6" t="str">
        <f>IF(H159="Yes",Tab_Data_Flows[[#This Row],[E5_Fraction'[%']]]*Tab_Data_Flows[[#This Row],[E1_value]],"N.A.")</f>
        <v>N.A.</v>
      </c>
      <c r="AI159" s="6" t="str">
        <f>Tab_Data_Flows[[#This Row],[E1_UoM]]</f>
        <v>Mg</v>
      </c>
      <c r="AJ159" s="139">
        <f>_xlfn.XLOOKUP(Tab_Data_Flows[[#This Row],[Flow_Name]],Tab_Def_Flows[Flow_Name],Tab_Def_Flows[Flow_E6_Fraction'[%']],"N.A.",0,1)</f>
        <v>0</v>
      </c>
      <c r="AK159" s="6" t="str">
        <f>IF(Tab_Data_Flows[[#This Row],[Use_E6]]="Yes",Tab_Data_Flows[[#This Row],[E6_Fraction'[%']]]*Tab_Data_Flows[[#This Row],[E1_value]],"N.A.")</f>
        <v>N.A.</v>
      </c>
      <c r="AL159" s="6" t="str">
        <f>Tab_Data_Flows[[#This Row],[E1_UoM]]</f>
        <v>Mg</v>
      </c>
    </row>
    <row r="160" spans="1:38" x14ac:dyDescent="0.25">
      <c r="A160" s="8">
        <f t="shared" si="6"/>
        <v>159</v>
      </c>
      <c r="B160" s="6" t="str">
        <f>_xlfn.XLOOKUP(C160,Tab_Def_Flows[Flow_Name],Tab_Def_Flows[Flow_ID],,0,)</f>
        <v>F_00_02</v>
      </c>
      <c r="C160" s="138" t="s">
        <v>1233</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No</v>
      </c>
      <c r="I160" s="9" t="str">
        <f>_xlfn.XLOOKUP(C160,Tab_Def_Flows[Flow_Name],Tab_Def_Flows[Use_E6],,0,)</f>
        <v>No</v>
      </c>
      <c r="J160" s="188">
        <v>2082</v>
      </c>
      <c r="K160" s="189">
        <v>680154.74611764692</v>
      </c>
      <c r="L160" s="6" t="str">
        <f>'0_Configuration'!$C$41</f>
        <v>Mg</v>
      </c>
      <c r="M160" s="13" t="s">
        <v>1263</v>
      </c>
      <c r="N160" s="13">
        <v>2025</v>
      </c>
      <c r="O160" s="13" t="s">
        <v>1260</v>
      </c>
      <c r="P160" s="13" t="s">
        <v>1261</v>
      </c>
      <c r="Q160" s="13" t="s">
        <v>1421</v>
      </c>
      <c r="R160" s="7" t="s">
        <v>6</v>
      </c>
      <c r="S160" s="7"/>
      <c r="T160" s="7"/>
      <c r="U160" s="139">
        <f>_xlfn.XLOOKUP(Tab_Data_Flows[[#This Row],[Flow_Name]],Tab_Def_Flows[Flow_Name],Tab_Def_Flows[Flow_E1_Fraction'[%']],"N.A.",0,1)</f>
        <v>1</v>
      </c>
      <c r="V160" s="12">
        <f t="shared" si="5"/>
        <v>680154.74611764692</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1</v>
      </c>
      <c r="AB160" s="6">
        <f>IF(E160="Yes",AA160*Tab_Data_Flows[[#This Row],[E1_value]],"N.A.")</f>
        <v>680154.74611764692</v>
      </c>
      <c r="AC160" s="6" t="str">
        <f>Tab_Data_Flows[[#This Row],[E1_UoM]]</f>
        <v>Mg</v>
      </c>
      <c r="AD160" s="139">
        <f>_xlfn.XLOOKUP(Tab_Data_Flows[[#This Row],[Flow_Name]],Tab_Def_Flows[Flow_Name],Tab_Def_Flows[Flow_E4_Fraction'[%']],"N.A.",0,1)</f>
        <v>1</v>
      </c>
      <c r="AE160" s="6">
        <f>IF(G160="Yes",Tab_Data_Flows[[#This Row],[E4_Fraction'[%']]]*Tab_Data_Flows[[#This Row],[E1_value]],"N.A.")</f>
        <v>680154.74611764692</v>
      </c>
      <c r="AF160" s="6" t="str">
        <f>Tab_Data_Flows[[#This Row],[E1_UoM]]</f>
        <v>Mg</v>
      </c>
      <c r="AG160" s="139">
        <f>_xlfn.XLOOKUP(Tab_Data_Flows[[#This Row],[Flow_Name]],Tab_Def_Flows[Flow_Name],Tab_Def_Flows[Flow_E5_Fraction'[%']],"N.A.",0,1)</f>
        <v>0</v>
      </c>
      <c r="AH160" s="6" t="str">
        <f>IF(H160="Yes",Tab_Data_Flows[[#This Row],[E5_Fraction'[%']]]*Tab_Data_Flows[[#This Row],[E1_value]],"N.A.")</f>
        <v>N.A.</v>
      </c>
      <c r="AI160" s="6" t="str">
        <f>Tab_Data_Flows[[#This Row],[E1_UoM]]</f>
        <v>Mg</v>
      </c>
      <c r="AJ160" s="139">
        <f>_xlfn.XLOOKUP(Tab_Data_Flows[[#This Row],[Flow_Name]],Tab_Def_Flows[Flow_Name],Tab_Def_Flows[Flow_E6_Fraction'[%']],"N.A.",0,1)</f>
        <v>0</v>
      </c>
      <c r="AK160" s="6" t="str">
        <f>IF(Tab_Data_Flows[[#This Row],[Use_E6]]="Yes",Tab_Data_Flows[[#This Row],[E6_Fraction'[%']]]*Tab_Data_Flows[[#This Row],[E1_value]],"N.A.")</f>
        <v>N.A.</v>
      </c>
      <c r="AL160" s="6" t="str">
        <f>Tab_Data_Flows[[#This Row],[E1_UoM]]</f>
        <v>Mg</v>
      </c>
    </row>
    <row r="161" spans="1:38" x14ac:dyDescent="0.25">
      <c r="A161" s="8">
        <f t="shared" si="6"/>
        <v>160</v>
      </c>
      <c r="B161" s="6" t="str">
        <f>_xlfn.XLOOKUP(C161,Tab_Def_Flows[Flow_Name],Tab_Def_Flows[Flow_ID],,0,)</f>
        <v>F_00_02</v>
      </c>
      <c r="C161" s="138" t="s">
        <v>1233</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No</v>
      </c>
      <c r="I161" s="9" t="str">
        <f>_xlfn.XLOOKUP(C161,Tab_Def_Flows[Flow_Name],Tab_Def_Flows[Use_E6],,0,)</f>
        <v>No</v>
      </c>
      <c r="J161" s="188">
        <v>2083</v>
      </c>
      <c r="K161" s="189">
        <v>613917.12370588235</v>
      </c>
      <c r="L161" s="6" t="str">
        <f>'0_Configuration'!$C$41</f>
        <v>Mg</v>
      </c>
      <c r="M161" s="13" t="s">
        <v>1263</v>
      </c>
      <c r="N161" s="13">
        <v>2025</v>
      </c>
      <c r="O161" s="13" t="s">
        <v>1260</v>
      </c>
      <c r="P161" s="13" t="s">
        <v>1261</v>
      </c>
      <c r="Q161" s="13" t="s">
        <v>1422</v>
      </c>
      <c r="R161" s="7" t="s">
        <v>6</v>
      </c>
      <c r="S161" s="7"/>
      <c r="T161" s="7"/>
      <c r="U161" s="139">
        <f>_xlfn.XLOOKUP(Tab_Data_Flows[[#This Row],[Flow_Name]],Tab_Def_Flows[Flow_Name],Tab_Def_Flows[Flow_E1_Fraction'[%']],"N.A.",0,1)</f>
        <v>1</v>
      </c>
      <c r="V161" s="12">
        <f t="shared" si="5"/>
        <v>613917.12370588235</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1</v>
      </c>
      <c r="AB161" s="6">
        <f>IF(E161="Yes",AA161*Tab_Data_Flows[[#This Row],[E1_value]],"N.A.")</f>
        <v>613917.12370588235</v>
      </c>
      <c r="AC161" s="6" t="str">
        <f>Tab_Data_Flows[[#This Row],[E1_UoM]]</f>
        <v>Mg</v>
      </c>
      <c r="AD161" s="139">
        <f>_xlfn.XLOOKUP(Tab_Data_Flows[[#This Row],[Flow_Name]],Tab_Def_Flows[Flow_Name],Tab_Def_Flows[Flow_E4_Fraction'[%']],"N.A.",0,1)</f>
        <v>1</v>
      </c>
      <c r="AE161" s="6">
        <f>IF(G161="Yes",Tab_Data_Flows[[#This Row],[E4_Fraction'[%']]]*Tab_Data_Flows[[#This Row],[E1_value]],"N.A.")</f>
        <v>613917.12370588235</v>
      </c>
      <c r="AF161" s="6" t="str">
        <f>Tab_Data_Flows[[#This Row],[E1_UoM]]</f>
        <v>Mg</v>
      </c>
      <c r="AG161" s="139">
        <f>_xlfn.XLOOKUP(Tab_Data_Flows[[#This Row],[Flow_Name]],Tab_Def_Flows[Flow_Name],Tab_Def_Flows[Flow_E5_Fraction'[%']],"N.A.",0,1)</f>
        <v>0</v>
      </c>
      <c r="AH161" s="6" t="str">
        <f>IF(H161="Yes",Tab_Data_Flows[[#This Row],[E5_Fraction'[%']]]*Tab_Data_Flows[[#This Row],[E1_value]],"N.A.")</f>
        <v>N.A.</v>
      </c>
      <c r="AI161" s="6" t="str">
        <f>Tab_Data_Flows[[#This Row],[E1_UoM]]</f>
        <v>Mg</v>
      </c>
      <c r="AJ161" s="139">
        <f>_xlfn.XLOOKUP(Tab_Data_Flows[[#This Row],[Flow_Name]],Tab_Def_Flows[Flow_Name],Tab_Def_Flows[Flow_E6_Fraction'[%']],"N.A.",0,1)</f>
        <v>0</v>
      </c>
      <c r="AK161" s="6" t="str">
        <f>IF(Tab_Data_Flows[[#This Row],[Use_E6]]="Yes",Tab_Data_Flows[[#This Row],[E6_Fraction'[%']]]*Tab_Data_Flows[[#This Row],[E1_value]],"N.A.")</f>
        <v>N.A.</v>
      </c>
      <c r="AL161" s="6" t="str">
        <f>Tab_Data_Flows[[#This Row],[E1_UoM]]</f>
        <v>Mg</v>
      </c>
    </row>
    <row r="162" spans="1:38" x14ac:dyDescent="0.25">
      <c r="A162" s="8">
        <f t="shared" si="6"/>
        <v>161</v>
      </c>
      <c r="B162" s="6" t="str">
        <f>_xlfn.XLOOKUP(C162,Tab_Def_Flows[Flow_Name],Tab_Def_Flows[Flow_ID],,0,)</f>
        <v>F_00_02</v>
      </c>
      <c r="C162" s="138" t="s">
        <v>1233</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No</v>
      </c>
      <c r="I162" s="9" t="str">
        <f>_xlfn.XLOOKUP(C162,Tab_Def_Flows[Flow_Name],Tab_Def_Flows[Use_E6],,0,)</f>
        <v>No</v>
      </c>
      <c r="J162" s="188">
        <v>2084</v>
      </c>
      <c r="K162" s="189">
        <v>495907.37735294108</v>
      </c>
      <c r="L162" s="6" t="str">
        <f>'0_Configuration'!$C$41</f>
        <v>Mg</v>
      </c>
      <c r="M162" s="13" t="s">
        <v>1263</v>
      </c>
      <c r="N162" s="13">
        <v>2025</v>
      </c>
      <c r="O162" s="13" t="s">
        <v>1260</v>
      </c>
      <c r="P162" s="13" t="s">
        <v>1261</v>
      </c>
      <c r="Q162" s="13" t="s">
        <v>1423</v>
      </c>
      <c r="R162" s="7" t="s">
        <v>6</v>
      </c>
      <c r="S162" s="7"/>
      <c r="T162" s="7"/>
      <c r="U162" s="139">
        <f>_xlfn.XLOOKUP(Tab_Data_Flows[[#This Row],[Flow_Name]],Tab_Def_Flows[Flow_Name],Tab_Def_Flows[Flow_E1_Fraction'[%']],"N.A.",0,1)</f>
        <v>1</v>
      </c>
      <c r="V162" s="12">
        <f t="shared" si="5"/>
        <v>495907.37735294108</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1</v>
      </c>
      <c r="AB162" s="6">
        <f>IF(E162="Yes",AA162*Tab_Data_Flows[[#This Row],[E1_value]],"N.A.")</f>
        <v>495907.37735294108</v>
      </c>
      <c r="AC162" s="6" t="str">
        <f>Tab_Data_Flows[[#This Row],[E1_UoM]]</f>
        <v>Mg</v>
      </c>
      <c r="AD162" s="139">
        <f>_xlfn.XLOOKUP(Tab_Data_Flows[[#This Row],[Flow_Name]],Tab_Def_Flows[Flow_Name],Tab_Def_Flows[Flow_E4_Fraction'[%']],"N.A.",0,1)</f>
        <v>1</v>
      </c>
      <c r="AE162" s="6">
        <f>IF(G162="Yes",Tab_Data_Flows[[#This Row],[E4_Fraction'[%']]]*Tab_Data_Flows[[#This Row],[E1_value]],"N.A.")</f>
        <v>495907.37735294108</v>
      </c>
      <c r="AF162" s="6" t="str">
        <f>Tab_Data_Flows[[#This Row],[E1_UoM]]</f>
        <v>Mg</v>
      </c>
      <c r="AG162" s="139">
        <f>_xlfn.XLOOKUP(Tab_Data_Flows[[#This Row],[Flow_Name]],Tab_Def_Flows[Flow_Name],Tab_Def_Flows[Flow_E5_Fraction'[%']],"N.A.",0,1)</f>
        <v>0</v>
      </c>
      <c r="AH162" s="6" t="str">
        <f>IF(H162="Yes",Tab_Data_Flows[[#This Row],[E5_Fraction'[%']]]*Tab_Data_Flows[[#This Row],[E1_value]],"N.A.")</f>
        <v>N.A.</v>
      </c>
      <c r="AI162" s="6" t="str">
        <f>Tab_Data_Flows[[#This Row],[E1_UoM]]</f>
        <v>Mg</v>
      </c>
      <c r="AJ162" s="139">
        <f>_xlfn.XLOOKUP(Tab_Data_Flows[[#This Row],[Flow_Name]],Tab_Def_Flows[Flow_Name],Tab_Def_Flows[Flow_E6_Fraction'[%']],"N.A.",0,1)</f>
        <v>0</v>
      </c>
      <c r="AK162" s="6" t="str">
        <f>IF(Tab_Data_Flows[[#This Row],[Use_E6]]="Yes",Tab_Data_Flows[[#This Row],[E6_Fraction'[%']]]*Tab_Data_Flows[[#This Row],[E1_value]],"N.A.")</f>
        <v>N.A.</v>
      </c>
      <c r="AL162" s="6" t="str">
        <f>Tab_Data_Flows[[#This Row],[E1_UoM]]</f>
        <v>Mg</v>
      </c>
    </row>
    <row r="163" spans="1:38" x14ac:dyDescent="0.25">
      <c r="A163" s="8">
        <f t="shared" si="6"/>
        <v>162</v>
      </c>
      <c r="B163" s="6" t="str">
        <f>_xlfn.XLOOKUP(C163,Tab_Def_Flows[Flow_Name],Tab_Def_Flows[Flow_ID],,0,)</f>
        <v>F_00_02</v>
      </c>
      <c r="C163" s="138" t="s">
        <v>1233</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No</v>
      </c>
      <c r="I163" s="9" t="str">
        <f>_xlfn.XLOOKUP(C163,Tab_Def_Flows[Flow_Name],Tab_Def_Flows[Use_E6],,0,)</f>
        <v>No</v>
      </c>
      <c r="J163" s="188">
        <v>2085</v>
      </c>
      <c r="K163" s="189">
        <v>719829.31835294119</v>
      </c>
      <c r="L163" s="6" t="str">
        <f>'0_Configuration'!$C$41</f>
        <v>Mg</v>
      </c>
      <c r="M163" s="13" t="s">
        <v>1263</v>
      </c>
      <c r="N163" s="13">
        <v>2025</v>
      </c>
      <c r="O163" s="13" t="s">
        <v>1260</v>
      </c>
      <c r="P163" s="13" t="s">
        <v>1261</v>
      </c>
      <c r="Q163" s="13" t="s">
        <v>1424</v>
      </c>
      <c r="R163" s="7" t="s">
        <v>6</v>
      </c>
      <c r="S163" s="7"/>
      <c r="T163" s="7"/>
      <c r="U163" s="139">
        <f>_xlfn.XLOOKUP(Tab_Data_Flows[[#This Row],[Flow_Name]],Tab_Def_Flows[Flow_Name],Tab_Def_Flows[Flow_E1_Fraction'[%']],"N.A.",0,1)</f>
        <v>1</v>
      </c>
      <c r="V163" s="12">
        <f t="shared" si="5"/>
        <v>719829.31835294119</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1</v>
      </c>
      <c r="AB163" s="6">
        <f>IF(E163="Yes",AA163*Tab_Data_Flows[[#This Row],[E1_value]],"N.A.")</f>
        <v>719829.31835294119</v>
      </c>
      <c r="AC163" s="6" t="str">
        <f>Tab_Data_Flows[[#This Row],[E1_UoM]]</f>
        <v>Mg</v>
      </c>
      <c r="AD163" s="139">
        <f>_xlfn.XLOOKUP(Tab_Data_Flows[[#This Row],[Flow_Name]],Tab_Def_Flows[Flow_Name],Tab_Def_Flows[Flow_E4_Fraction'[%']],"N.A.",0,1)</f>
        <v>1</v>
      </c>
      <c r="AE163" s="6">
        <f>IF(G163="Yes",Tab_Data_Flows[[#This Row],[E4_Fraction'[%']]]*Tab_Data_Flows[[#This Row],[E1_value]],"N.A.")</f>
        <v>719829.31835294119</v>
      </c>
      <c r="AF163" s="6" t="str">
        <f>Tab_Data_Flows[[#This Row],[E1_UoM]]</f>
        <v>Mg</v>
      </c>
      <c r="AG163" s="139">
        <f>_xlfn.XLOOKUP(Tab_Data_Flows[[#This Row],[Flow_Name]],Tab_Def_Flows[Flow_Name],Tab_Def_Flows[Flow_E5_Fraction'[%']],"N.A.",0,1)</f>
        <v>0</v>
      </c>
      <c r="AH163" s="6" t="str">
        <f>IF(H163="Yes",Tab_Data_Flows[[#This Row],[E5_Fraction'[%']]]*Tab_Data_Flows[[#This Row],[E1_value]],"N.A.")</f>
        <v>N.A.</v>
      </c>
      <c r="AI163" s="6" t="str">
        <f>Tab_Data_Flows[[#This Row],[E1_UoM]]</f>
        <v>Mg</v>
      </c>
      <c r="AJ163" s="139">
        <f>_xlfn.XLOOKUP(Tab_Data_Flows[[#This Row],[Flow_Name]],Tab_Def_Flows[Flow_Name],Tab_Def_Flows[Flow_E6_Fraction'[%']],"N.A.",0,1)</f>
        <v>0</v>
      </c>
      <c r="AK163" s="6" t="str">
        <f>IF(Tab_Data_Flows[[#This Row],[Use_E6]]="Yes",Tab_Data_Flows[[#This Row],[E6_Fraction'[%']]]*Tab_Data_Flows[[#This Row],[E1_value]],"N.A.")</f>
        <v>N.A.</v>
      </c>
      <c r="AL163" s="6" t="str">
        <f>Tab_Data_Flows[[#This Row],[E1_UoM]]</f>
        <v>Mg</v>
      </c>
    </row>
    <row r="164" spans="1:38" x14ac:dyDescent="0.25">
      <c r="A164" s="8">
        <f t="shared" si="6"/>
        <v>163</v>
      </c>
      <c r="B164" s="6" t="str">
        <f>_xlfn.XLOOKUP(C164,Tab_Def_Flows[Flow_Name],Tab_Def_Flows[Flow_ID],,0,)</f>
        <v>F_00_02</v>
      </c>
      <c r="C164" s="138" t="s">
        <v>1233</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No</v>
      </c>
      <c r="I164" s="9" t="str">
        <f>_xlfn.XLOOKUP(C164,Tab_Def_Flows[Flow_Name],Tab_Def_Flows[Use_E6],,0,)</f>
        <v>No</v>
      </c>
      <c r="J164" s="188">
        <v>2086</v>
      </c>
      <c r="K164" s="189">
        <v>647863.01841176476</v>
      </c>
      <c r="L164" s="6" t="str">
        <f>'0_Configuration'!$C$41</f>
        <v>Mg</v>
      </c>
      <c r="M164" s="13" t="s">
        <v>1263</v>
      </c>
      <c r="N164" s="13">
        <v>2025</v>
      </c>
      <c r="O164" s="13" t="s">
        <v>1260</v>
      </c>
      <c r="P164" s="13" t="s">
        <v>1261</v>
      </c>
      <c r="Q164" s="13" t="s">
        <v>1425</v>
      </c>
      <c r="R164" s="7" t="s">
        <v>6</v>
      </c>
      <c r="S164" s="7"/>
      <c r="T164" s="7"/>
      <c r="U164" s="139">
        <f>_xlfn.XLOOKUP(Tab_Data_Flows[[#This Row],[Flow_Name]],Tab_Def_Flows[Flow_Name],Tab_Def_Flows[Flow_E1_Fraction'[%']],"N.A.",0,1)</f>
        <v>1</v>
      </c>
      <c r="V164" s="12">
        <f t="shared" si="5"/>
        <v>647863.01841176476</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1</v>
      </c>
      <c r="AB164" s="6">
        <f>IF(E164="Yes",AA164*Tab_Data_Flows[[#This Row],[E1_value]],"N.A.")</f>
        <v>647863.01841176476</v>
      </c>
      <c r="AC164" s="6" t="str">
        <f>Tab_Data_Flows[[#This Row],[E1_UoM]]</f>
        <v>Mg</v>
      </c>
      <c r="AD164" s="139">
        <f>_xlfn.XLOOKUP(Tab_Data_Flows[[#This Row],[Flow_Name]],Tab_Def_Flows[Flow_Name],Tab_Def_Flows[Flow_E4_Fraction'[%']],"N.A.",0,1)</f>
        <v>1</v>
      </c>
      <c r="AE164" s="6">
        <f>IF(G164="Yes",Tab_Data_Flows[[#This Row],[E4_Fraction'[%']]]*Tab_Data_Flows[[#This Row],[E1_value]],"N.A.")</f>
        <v>647863.01841176476</v>
      </c>
      <c r="AF164" s="6" t="str">
        <f>Tab_Data_Flows[[#This Row],[E1_UoM]]</f>
        <v>Mg</v>
      </c>
      <c r="AG164" s="139">
        <f>_xlfn.XLOOKUP(Tab_Data_Flows[[#This Row],[Flow_Name]],Tab_Def_Flows[Flow_Name],Tab_Def_Flows[Flow_E5_Fraction'[%']],"N.A.",0,1)</f>
        <v>0</v>
      </c>
      <c r="AH164" s="6" t="str">
        <f>IF(H164="Yes",Tab_Data_Flows[[#This Row],[E5_Fraction'[%']]]*Tab_Data_Flows[[#This Row],[E1_value]],"N.A.")</f>
        <v>N.A.</v>
      </c>
      <c r="AI164" s="6" t="str">
        <f>Tab_Data_Flows[[#This Row],[E1_UoM]]</f>
        <v>Mg</v>
      </c>
      <c r="AJ164" s="139">
        <f>_xlfn.XLOOKUP(Tab_Data_Flows[[#This Row],[Flow_Name]],Tab_Def_Flows[Flow_Name],Tab_Def_Flows[Flow_E6_Fraction'[%']],"N.A.",0,1)</f>
        <v>0</v>
      </c>
      <c r="AK164" s="6" t="str">
        <f>IF(Tab_Data_Flows[[#This Row],[Use_E6]]="Yes",Tab_Data_Flows[[#This Row],[E6_Fraction'[%']]]*Tab_Data_Flows[[#This Row],[E1_value]],"N.A.")</f>
        <v>N.A.</v>
      </c>
      <c r="AL164" s="6" t="str">
        <f>Tab_Data_Flows[[#This Row],[E1_UoM]]</f>
        <v>Mg</v>
      </c>
    </row>
    <row r="165" spans="1:38" x14ac:dyDescent="0.25">
      <c r="A165" s="8">
        <f t="shared" si="6"/>
        <v>164</v>
      </c>
      <c r="B165" s="6" t="str">
        <f>_xlfn.XLOOKUP(C165,Tab_Def_Flows[Flow_Name],Tab_Def_Flows[Flow_ID],,0,)</f>
        <v>F_00_02</v>
      </c>
      <c r="C165" s="138" t="s">
        <v>1233</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No</v>
      </c>
      <c r="I165" s="9" t="str">
        <f>_xlfn.XLOOKUP(C165,Tab_Def_Flows[Flow_Name],Tab_Def_Flows[Use_E6],,0,)</f>
        <v>No</v>
      </c>
      <c r="J165" s="188">
        <v>2087</v>
      </c>
      <c r="K165" s="189">
        <v>642279.19270588236</v>
      </c>
      <c r="L165" s="6" t="str">
        <f>'0_Configuration'!$C$41</f>
        <v>Mg</v>
      </c>
      <c r="M165" s="13" t="s">
        <v>1263</v>
      </c>
      <c r="N165" s="13">
        <v>2025</v>
      </c>
      <c r="O165" s="13" t="s">
        <v>1260</v>
      </c>
      <c r="P165" s="13" t="s">
        <v>1261</v>
      </c>
      <c r="Q165" s="13" t="s">
        <v>1426</v>
      </c>
      <c r="R165" s="7" t="s">
        <v>6</v>
      </c>
      <c r="S165" s="7"/>
      <c r="T165" s="7"/>
      <c r="U165" s="139">
        <f>_xlfn.XLOOKUP(Tab_Data_Flows[[#This Row],[Flow_Name]],Tab_Def_Flows[Flow_Name],Tab_Def_Flows[Flow_E1_Fraction'[%']],"N.A.",0,1)</f>
        <v>1</v>
      </c>
      <c r="V165" s="12">
        <f t="shared" si="5"/>
        <v>642279.19270588236</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1</v>
      </c>
      <c r="AB165" s="6">
        <f>IF(E165="Yes",AA165*Tab_Data_Flows[[#This Row],[E1_value]],"N.A.")</f>
        <v>642279.19270588236</v>
      </c>
      <c r="AC165" s="6" t="str">
        <f>Tab_Data_Flows[[#This Row],[E1_UoM]]</f>
        <v>Mg</v>
      </c>
      <c r="AD165" s="139">
        <f>_xlfn.XLOOKUP(Tab_Data_Flows[[#This Row],[Flow_Name]],Tab_Def_Flows[Flow_Name],Tab_Def_Flows[Flow_E4_Fraction'[%']],"N.A.",0,1)</f>
        <v>1</v>
      </c>
      <c r="AE165" s="6">
        <f>IF(G165="Yes",Tab_Data_Flows[[#This Row],[E4_Fraction'[%']]]*Tab_Data_Flows[[#This Row],[E1_value]],"N.A.")</f>
        <v>642279.19270588236</v>
      </c>
      <c r="AF165" s="6" t="str">
        <f>Tab_Data_Flows[[#This Row],[E1_UoM]]</f>
        <v>Mg</v>
      </c>
      <c r="AG165" s="139">
        <f>_xlfn.XLOOKUP(Tab_Data_Flows[[#This Row],[Flow_Name]],Tab_Def_Flows[Flow_Name],Tab_Def_Flows[Flow_E5_Fraction'[%']],"N.A.",0,1)</f>
        <v>0</v>
      </c>
      <c r="AH165" s="6" t="str">
        <f>IF(H165="Yes",Tab_Data_Flows[[#This Row],[E5_Fraction'[%']]]*Tab_Data_Flows[[#This Row],[E1_value]],"N.A.")</f>
        <v>N.A.</v>
      </c>
      <c r="AI165" s="6" t="str">
        <f>Tab_Data_Flows[[#This Row],[E1_UoM]]</f>
        <v>Mg</v>
      </c>
      <c r="AJ165" s="139">
        <f>_xlfn.XLOOKUP(Tab_Data_Flows[[#This Row],[Flow_Name]],Tab_Def_Flows[Flow_Name],Tab_Def_Flows[Flow_E6_Fraction'[%']],"N.A.",0,1)</f>
        <v>0</v>
      </c>
      <c r="AK165" s="6" t="str">
        <f>IF(Tab_Data_Flows[[#This Row],[Use_E6]]="Yes",Tab_Data_Flows[[#This Row],[E6_Fraction'[%']]]*Tab_Data_Flows[[#This Row],[E1_value]],"N.A.")</f>
        <v>N.A.</v>
      </c>
      <c r="AL165" s="6" t="str">
        <f>Tab_Data_Flows[[#This Row],[E1_UoM]]</f>
        <v>Mg</v>
      </c>
    </row>
    <row r="166" spans="1:38" x14ac:dyDescent="0.25">
      <c r="A166" s="8">
        <f t="shared" si="6"/>
        <v>165</v>
      </c>
      <c r="B166" s="6" t="str">
        <f>_xlfn.XLOOKUP(C166,Tab_Def_Flows[Flow_Name],Tab_Def_Flows[Flow_ID],,0,)</f>
        <v>F_00_02</v>
      </c>
      <c r="C166" s="138" t="s">
        <v>1233</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No</v>
      </c>
      <c r="I166" s="9" t="str">
        <f>_xlfn.XLOOKUP(C166,Tab_Def_Flows[Flow_Name],Tab_Def_Flows[Use_E6],,0,)</f>
        <v>No</v>
      </c>
      <c r="J166" s="188">
        <v>2088</v>
      </c>
      <c r="K166" s="189">
        <v>586532.50288235303</v>
      </c>
      <c r="L166" s="6" t="str">
        <f>'0_Configuration'!$C$41</f>
        <v>Mg</v>
      </c>
      <c r="M166" s="13" t="s">
        <v>1263</v>
      </c>
      <c r="N166" s="13">
        <v>2025</v>
      </c>
      <c r="O166" s="13" t="s">
        <v>1260</v>
      </c>
      <c r="P166" s="13" t="s">
        <v>1261</v>
      </c>
      <c r="Q166" s="13" t="s">
        <v>1427</v>
      </c>
      <c r="R166" s="7" t="s">
        <v>6</v>
      </c>
      <c r="S166" s="7"/>
      <c r="T166" s="7"/>
      <c r="U166" s="139">
        <f>_xlfn.XLOOKUP(Tab_Data_Flows[[#This Row],[Flow_Name]],Tab_Def_Flows[Flow_Name],Tab_Def_Flows[Flow_E1_Fraction'[%']],"N.A.",0,1)</f>
        <v>1</v>
      </c>
      <c r="V166" s="12">
        <f t="shared" si="5"/>
        <v>586532.50288235303</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1</v>
      </c>
      <c r="AB166" s="6">
        <f>IF(E166="Yes",AA166*Tab_Data_Flows[[#This Row],[E1_value]],"N.A.")</f>
        <v>586532.50288235303</v>
      </c>
      <c r="AC166" s="6" t="str">
        <f>Tab_Data_Flows[[#This Row],[E1_UoM]]</f>
        <v>Mg</v>
      </c>
      <c r="AD166" s="139">
        <f>_xlfn.XLOOKUP(Tab_Data_Flows[[#This Row],[Flow_Name]],Tab_Def_Flows[Flow_Name],Tab_Def_Flows[Flow_E4_Fraction'[%']],"N.A.",0,1)</f>
        <v>1</v>
      </c>
      <c r="AE166" s="6">
        <f>IF(G166="Yes",Tab_Data_Flows[[#This Row],[E4_Fraction'[%']]]*Tab_Data_Flows[[#This Row],[E1_value]],"N.A.")</f>
        <v>586532.50288235303</v>
      </c>
      <c r="AF166" s="6" t="str">
        <f>Tab_Data_Flows[[#This Row],[E1_UoM]]</f>
        <v>Mg</v>
      </c>
      <c r="AG166" s="139">
        <f>_xlfn.XLOOKUP(Tab_Data_Flows[[#This Row],[Flow_Name]],Tab_Def_Flows[Flow_Name],Tab_Def_Flows[Flow_E5_Fraction'[%']],"N.A.",0,1)</f>
        <v>0</v>
      </c>
      <c r="AH166" s="6" t="str">
        <f>IF(H166="Yes",Tab_Data_Flows[[#This Row],[E5_Fraction'[%']]]*Tab_Data_Flows[[#This Row],[E1_value]],"N.A.")</f>
        <v>N.A.</v>
      </c>
      <c r="AI166" s="6" t="str">
        <f>Tab_Data_Flows[[#This Row],[E1_UoM]]</f>
        <v>Mg</v>
      </c>
      <c r="AJ166" s="139">
        <f>_xlfn.XLOOKUP(Tab_Data_Flows[[#This Row],[Flow_Name]],Tab_Def_Flows[Flow_Name],Tab_Def_Flows[Flow_E6_Fraction'[%']],"N.A.",0,1)</f>
        <v>0</v>
      </c>
      <c r="AK166" s="6" t="str">
        <f>IF(Tab_Data_Flows[[#This Row],[Use_E6]]="Yes",Tab_Data_Flows[[#This Row],[E6_Fraction'[%']]]*Tab_Data_Flows[[#This Row],[E1_value]],"N.A.")</f>
        <v>N.A.</v>
      </c>
      <c r="AL166" s="6" t="str">
        <f>Tab_Data_Flows[[#This Row],[E1_UoM]]</f>
        <v>Mg</v>
      </c>
    </row>
    <row r="167" spans="1:38" x14ac:dyDescent="0.25">
      <c r="A167" s="8">
        <f t="shared" si="6"/>
        <v>166</v>
      </c>
      <c r="B167" s="6" t="str">
        <f>_xlfn.XLOOKUP(C167,Tab_Def_Flows[Flow_Name],Tab_Def_Flows[Flow_ID],,0,)</f>
        <v>F_00_02</v>
      </c>
      <c r="C167" s="138" t="s">
        <v>1233</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No</v>
      </c>
      <c r="I167" s="9" t="str">
        <f>_xlfn.XLOOKUP(C167,Tab_Def_Flows[Flow_Name],Tab_Def_Flows[Use_E6],,0,)</f>
        <v>No</v>
      </c>
      <c r="J167" s="188">
        <v>2089</v>
      </c>
      <c r="K167" s="189">
        <v>680018.34</v>
      </c>
      <c r="L167" s="6" t="str">
        <f>'0_Configuration'!$C$41</f>
        <v>Mg</v>
      </c>
      <c r="M167" s="13" t="s">
        <v>1263</v>
      </c>
      <c r="N167" s="13">
        <v>2025</v>
      </c>
      <c r="O167" s="13" t="s">
        <v>1260</v>
      </c>
      <c r="P167" s="13" t="s">
        <v>1261</v>
      </c>
      <c r="Q167" s="13" t="s">
        <v>1428</v>
      </c>
      <c r="R167" s="7" t="s">
        <v>6</v>
      </c>
      <c r="S167" s="7"/>
      <c r="T167" s="7"/>
      <c r="U167" s="139">
        <f>_xlfn.XLOOKUP(Tab_Data_Flows[[#This Row],[Flow_Name]],Tab_Def_Flows[Flow_Name],Tab_Def_Flows[Flow_E1_Fraction'[%']],"N.A.",0,1)</f>
        <v>1</v>
      </c>
      <c r="V167" s="12">
        <f t="shared" si="5"/>
        <v>680018.34</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1</v>
      </c>
      <c r="AB167" s="6">
        <f>IF(E167="Yes",AA167*Tab_Data_Flows[[#This Row],[E1_value]],"N.A.")</f>
        <v>680018.34</v>
      </c>
      <c r="AC167" s="6" t="str">
        <f>Tab_Data_Flows[[#This Row],[E1_UoM]]</f>
        <v>Mg</v>
      </c>
      <c r="AD167" s="139">
        <f>_xlfn.XLOOKUP(Tab_Data_Flows[[#This Row],[Flow_Name]],Tab_Def_Flows[Flow_Name],Tab_Def_Flows[Flow_E4_Fraction'[%']],"N.A.",0,1)</f>
        <v>1</v>
      </c>
      <c r="AE167" s="6">
        <f>IF(G167="Yes",Tab_Data_Flows[[#This Row],[E4_Fraction'[%']]]*Tab_Data_Flows[[#This Row],[E1_value]],"N.A.")</f>
        <v>680018.34</v>
      </c>
      <c r="AF167" s="6" t="str">
        <f>Tab_Data_Flows[[#This Row],[E1_UoM]]</f>
        <v>Mg</v>
      </c>
      <c r="AG167" s="139">
        <f>_xlfn.XLOOKUP(Tab_Data_Flows[[#This Row],[Flow_Name]],Tab_Def_Flows[Flow_Name],Tab_Def_Flows[Flow_E5_Fraction'[%']],"N.A.",0,1)</f>
        <v>0</v>
      </c>
      <c r="AH167" s="6" t="str">
        <f>IF(H167="Yes",Tab_Data_Flows[[#This Row],[E5_Fraction'[%']]]*Tab_Data_Flows[[#This Row],[E1_value]],"N.A.")</f>
        <v>N.A.</v>
      </c>
      <c r="AI167" s="6" t="str">
        <f>Tab_Data_Flows[[#This Row],[E1_UoM]]</f>
        <v>Mg</v>
      </c>
      <c r="AJ167" s="139">
        <f>_xlfn.XLOOKUP(Tab_Data_Flows[[#This Row],[Flow_Name]],Tab_Def_Flows[Flow_Name],Tab_Def_Flows[Flow_E6_Fraction'[%']],"N.A.",0,1)</f>
        <v>0</v>
      </c>
      <c r="AK167" s="6" t="str">
        <f>IF(Tab_Data_Flows[[#This Row],[Use_E6]]="Yes",Tab_Data_Flows[[#This Row],[E6_Fraction'[%']]]*Tab_Data_Flows[[#This Row],[E1_value]],"N.A.")</f>
        <v>N.A.</v>
      </c>
      <c r="AL167" s="6" t="str">
        <f>Tab_Data_Flows[[#This Row],[E1_UoM]]</f>
        <v>Mg</v>
      </c>
    </row>
    <row r="168" spans="1:38" x14ac:dyDescent="0.25">
      <c r="A168" s="8">
        <f t="shared" si="6"/>
        <v>167</v>
      </c>
      <c r="B168" s="6" t="str">
        <f>_xlfn.XLOOKUP(C168,Tab_Def_Flows[Flow_Name],Tab_Def_Flows[Flow_ID],,0,)</f>
        <v>F_00_02</v>
      </c>
      <c r="C168" s="138" t="s">
        <v>1233</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No</v>
      </c>
      <c r="I168" s="9" t="str">
        <f>_xlfn.XLOOKUP(C168,Tab_Def_Flows[Flow_Name],Tab_Def_Flows[Use_E6],,0,)</f>
        <v>No</v>
      </c>
      <c r="J168" s="188">
        <v>2090</v>
      </c>
      <c r="K168" s="189">
        <v>590301.60970588238</v>
      </c>
      <c r="L168" s="6" t="str">
        <f>'0_Configuration'!$C$41</f>
        <v>Mg</v>
      </c>
      <c r="M168" s="13" t="s">
        <v>1263</v>
      </c>
      <c r="N168" s="13">
        <v>2025</v>
      </c>
      <c r="O168" s="13" t="s">
        <v>1260</v>
      </c>
      <c r="P168" s="13" t="s">
        <v>1261</v>
      </c>
      <c r="Q168" s="13" t="s">
        <v>1429</v>
      </c>
      <c r="R168" s="7" t="s">
        <v>6</v>
      </c>
      <c r="S168" s="7"/>
      <c r="T168" s="7"/>
      <c r="U168" s="139">
        <f>_xlfn.XLOOKUP(Tab_Data_Flows[[#This Row],[Flow_Name]],Tab_Def_Flows[Flow_Name],Tab_Def_Flows[Flow_E1_Fraction'[%']],"N.A.",0,1)</f>
        <v>1</v>
      </c>
      <c r="V168" s="12">
        <f t="shared" si="5"/>
        <v>590301.60970588238</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1</v>
      </c>
      <c r="AB168" s="6">
        <f>IF(E168="Yes",AA168*Tab_Data_Flows[[#This Row],[E1_value]],"N.A.")</f>
        <v>590301.60970588238</v>
      </c>
      <c r="AC168" s="6" t="str">
        <f>Tab_Data_Flows[[#This Row],[E1_UoM]]</f>
        <v>Mg</v>
      </c>
      <c r="AD168" s="139">
        <f>_xlfn.XLOOKUP(Tab_Data_Flows[[#This Row],[Flow_Name]],Tab_Def_Flows[Flow_Name],Tab_Def_Flows[Flow_E4_Fraction'[%']],"N.A.",0,1)</f>
        <v>1</v>
      </c>
      <c r="AE168" s="6">
        <f>IF(G168="Yes",Tab_Data_Flows[[#This Row],[E4_Fraction'[%']]]*Tab_Data_Flows[[#This Row],[E1_value]],"N.A.")</f>
        <v>590301.60970588238</v>
      </c>
      <c r="AF168" s="6" t="str">
        <f>Tab_Data_Flows[[#This Row],[E1_UoM]]</f>
        <v>Mg</v>
      </c>
      <c r="AG168" s="139">
        <f>_xlfn.XLOOKUP(Tab_Data_Flows[[#This Row],[Flow_Name]],Tab_Def_Flows[Flow_Name],Tab_Def_Flows[Flow_E5_Fraction'[%']],"N.A.",0,1)</f>
        <v>0</v>
      </c>
      <c r="AH168" s="6" t="str">
        <f>IF(H168="Yes",Tab_Data_Flows[[#This Row],[E5_Fraction'[%']]]*Tab_Data_Flows[[#This Row],[E1_value]],"N.A.")</f>
        <v>N.A.</v>
      </c>
      <c r="AI168" s="6" t="str">
        <f>Tab_Data_Flows[[#This Row],[E1_UoM]]</f>
        <v>Mg</v>
      </c>
      <c r="AJ168" s="139">
        <f>_xlfn.XLOOKUP(Tab_Data_Flows[[#This Row],[Flow_Name]],Tab_Def_Flows[Flow_Name],Tab_Def_Flows[Flow_E6_Fraction'[%']],"N.A.",0,1)</f>
        <v>0</v>
      </c>
      <c r="AK168" s="6" t="str">
        <f>IF(Tab_Data_Flows[[#This Row],[Use_E6]]="Yes",Tab_Data_Flows[[#This Row],[E6_Fraction'[%']]]*Tab_Data_Flows[[#This Row],[E1_value]],"N.A.")</f>
        <v>N.A.</v>
      </c>
      <c r="AL168" s="6" t="str">
        <f>Tab_Data_Flows[[#This Row],[E1_UoM]]</f>
        <v>Mg</v>
      </c>
    </row>
    <row r="169" spans="1:38" x14ac:dyDescent="0.25">
      <c r="A169" s="8">
        <f t="shared" si="6"/>
        <v>168</v>
      </c>
      <c r="B169" s="6" t="str">
        <f>_xlfn.XLOOKUP(C169,Tab_Def_Flows[Flow_Name],Tab_Def_Flows[Flow_ID],,0,)</f>
        <v>F_00_02</v>
      </c>
      <c r="C169" s="138" t="s">
        <v>1233</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No</v>
      </c>
      <c r="I169" s="9" t="str">
        <f>_xlfn.XLOOKUP(C169,Tab_Def_Flows[Flow_Name],Tab_Def_Flows[Use_E6],,0,)</f>
        <v>No</v>
      </c>
      <c r="J169" s="188">
        <v>2091</v>
      </c>
      <c r="K169" s="189">
        <v>581553.69476470596</v>
      </c>
      <c r="L169" s="6" t="str">
        <f>'0_Configuration'!$C$41</f>
        <v>Mg</v>
      </c>
      <c r="M169" s="13" t="s">
        <v>1263</v>
      </c>
      <c r="N169" s="13">
        <v>2025</v>
      </c>
      <c r="O169" s="13" t="s">
        <v>1260</v>
      </c>
      <c r="P169" s="13" t="s">
        <v>1261</v>
      </c>
      <c r="Q169" s="13" t="s">
        <v>1430</v>
      </c>
      <c r="R169" s="7" t="s">
        <v>6</v>
      </c>
      <c r="S169" s="7"/>
      <c r="T169" s="7"/>
      <c r="U169" s="139">
        <f>_xlfn.XLOOKUP(Tab_Data_Flows[[#This Row],[Flow_Name]],Tab_Def_Flows[Flow_Name],Tab_Def_Flows[Flow_E1_Fraction'[%']],"N.A.",0,1)</f>
        <v>1</v>
      </c>
      <c r="V169" s="12">
        <f t="shared" si="5"/>
        <v>581553.69476470596</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1</v>
      </c>
      <c r="AB169" s="6">
        <f>IF(E169="Yes",AA169*Tab_Data_Flows[[#This Row],[E1_value]],"N.A.")</f>
        <v>581553.69476470596</v>
      </c>
      <c r="AC169" s="6" t="str">
        <f>Tab_Data_Flows[[#This Row],[E1_UoM]]</f>
        <v>Mg</v>
      </c>
      <c r="AD169" s="139">
        <f>_xlfn.XLOOKUP(Tab_Data_Flows[[#This Row],[Flow_Name]],Tab_Def_Flows[Flow_Name],Tab_Def_Flows[Flow_E4_Fraction'[%']],"N.A.",0,1)</f>
        <v>1</v>
      </c>
      <c r="AE169" s="6">
        <f>IF(G169="Yes",Tab_Data_Flows[[#This Row],[E4_Fraction'[%']]]*Tab_Data_Flows[[#This Row],[E1_value]],"N.A.")</f>
        <v>581553.69476470596</v>
      </c>
      <c r="AF169" s="6" t="str">
        <f>Tab_Data_Flows[[#This Row],[E1_UoM]]</f>
        <v>Mg</v>
      </c>
      <c r="AG169" s="139">
        <f>_xlfn.XLOOKUP(Tab_Data_Flows[[#This Row],[Flow_Name]],Tab_Def_Flows[Flow_Name],Tab_Def_Flows[Flow_E5_Fraction'[%']],"N.A.",0,1)</f>
        <v>0</v>
      </c>
      <c r="AH169" s="6" t="str">
        <f>IF(H169="Yes",Tab_Data_Flows[[#This Row],[E5_Fraction'[%']]]*Tab_Data_Flows[[#This Row],[E1_value]],"N.A.")</f>
        <v>N.A.</v>
      </c>
      <c r="AI169" s="6" t="str">
        <f>Tab_Data_Flows[[#This Row],[E1_UoM]]</f>
        <v>Mg</v>
      </c>
      <c r="AJ169" s="139">
        <f>_xlfn.XLOOKUP(Tab_Data_Flows[[#This Row],[Flow_Name]],Tab_Def_Flows[Flow_Name],Tab_Def_Flows[Flow_E6_Fraction'[%']],"N.A.",0,1)</f>
        <v>0</v>
      </c>
      <c r="AK169" s="6" t="str">
        <f>IF(Tab_Data_Flows[[#This Row],[Use_E6]]="Yes",Tab_Data_Flows[[#This Row],[E6_Fraction'[%']]]*Tab_Data_Flows[[#This Row],[E1_value]],"N.A.")</f>
        <v>N.A.</v>
      </c>
      <c r="AL169" s="6" t="str">
        <f>Tab_Data_Flows[[#This Row],[E1_UoM]]</f>
        <v>Mg</v>
      </c>
    </row>
    <row r="170" spans="1:38" x14ac:dyDescent="0.25">
      <c r="A170" s="8">
        <f t="shared" si="6"/>
        <v>169</v>
      </c>
      <c r="B170" s="6" t="str">
        <f>_xlfn.XLOOKUP(C170,Tab_Def_Flows[Flow_Name],Tab_Def_Flows[Flow_ID],,0,)</f>
        <v>F_00_02</v>
      </c>
      <c r="C170" s="138" t="s">
        <v>1233</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No</v>
      </c>
      <c r="I170" s="9" t="str">
        <f>_xlfn.XLOOKUP(C170,Tab_Def_Flows[Flow_Name],Tab_Def_Flows[Use_E6],,0,)</f>
        <v>No</v>
      </c>
      <c r="J170" s="188">
        <v>2092</v>
      </c>
      <c r="K170" s="189">
        <v>741926.03188235289</v>
      </c>
      <c r="L170" s="6" t="str">
        <f>'0_Configuration'!$C$41</f>
        <v>Mg</v>
      </c>
      <c r="M170" s="13" t="s">
        <v>1263</v>
      </c>
      <c r="N170" s="13">
        <v>2025</v>
      </c>
      <c r="O170" s="13" t="s">
        <v>1260</v>
      </c>
      <c r="P170" s="13" t="s">
        <v>1261</v>
      </c>
      <c r="Q170" s="13" t="s">
        <v>1431</v>
      </c>
      <c r="R170" s="7" t="s">
        <v>6</v>
      </c>
      <c r="S170" s="7"/>
      <c r="T170" s="7"/>
      <c r="U170" s="139">
        <f>_xlfn.XLOOKUP(Tab_Data_Flows[[#This Row],[Flow_Name]],Tab_Def_Flows[Flow_Name],Tab_Def_Flows[Flow_E1_Fraction'[%']],"N.A.",0,1)</f>
        <v>1</v>
      </c>
      <c r="V170" s="12">
        <f t="shared" si="5"/>
        <v>741926.03188235289</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1</v>
      </c>
      <c r="AB170" s="6">
        <f>IF(E170="Yes",AA170*Tab_Data_Flows[[#This Row],[E1_value]],"N.A.")</f>
        <v>741926.03188235289</v>
      </c>
      <c r="AC170" s="6" t="str">
        <f>Tab_Data_Flows[[#This Row],[E1_UoM]]</f>
        <v>Mg</v>
      </c>
      <c r="AD170" s="139">
        <f>_xlfn.XLOOKUP(Tab_Data_Flows[[#This Row],[Flow_Name]],Tab_Def_Flows[Flow_Name],Tab_Def_Flows[Flow_E4_Fraction'[%']],"N.A.",0,1)</f>
        <v>1</v>
      </c>
      <c r="AE170" s="6">
        <f>IF(G170="Yes",Tab_Data_Flows[[#This Row],[E4_Fraction'[%']]]*Tab_Data_Flows[[#This Row],[E1_value]],"N.A.")</f>
        <v>741926.03188235289</v>
      </c>
      <c r="AF170" s="6" t="str">
        <f>Tab_Data_Flows[[#This Row],[E1_UoM]]</f>
        <v>Mg</v>
      </c>
      <c r="AG170" s="139">
        <f>_xlfn.XLOOKUP(Tab_Data_Flows[[#This Row],[Flow_Name]],Tab_Def_Flows[Flow_Name],Tab_Def_Flows[Flow_E5_Fraction'[%']],"N.A.",0,1)</f>
        <v>0</v>
      </c>
      <c r="AH170" s="6" t="str">
        <f>IF(H170="Yes",Tab_Data_Flows[[#This Row],[E5_Fraction'[%']]]*Tab_Data_Flows[[#This Row],[E1_value]],"N.A.")</f>
        <v>N.A.</v>
      </c>
      <c r="AI170" s="6" t="str">
        <f>Tab_Data_Flows[[#This Row],[E1_UoM]]</f>
        <v>Mg</v>
      </c>
      <c r="AJ170" s="139">
        <f>_xlfn.XLOOKUP(Tab_Data_Flows[[#This Row],[Flow_Name]],Tab_Def_Flows[Flow_Name],Tab_Def_Flows[Flow_E6_Fraction'[%']],"N.A.",0,1)</f>
        <v>0</v>
      </c>
      <c r="AK170" s="6" t="str">
        <f>IF(Tab_Data_Flows[[#This Row],[Use_E6]]="Yes",Tab_Data_Flows[[#This Row],[E6_Fraction'[%']]]*Tab_Data_Flows[[#This Row],[E1_value]],"N.A.")</f>
        <v>N.A.</v>
      </c>
      <c r="AL170" s="6" t="str">
        <f>Tab_Data_Flows[[#This Row],[E1_UoM]]</f>
        <v>Mg</v>
      </c>
    </row>
    <row r="171" spans="1:38" x14ac:dyDescent="0.25">
      <c r="A171" s="8">
        <f t="shared" si="6"/>
        <v>170</v>
      </c>
      <c r="B171" s="6" t="str">
        <f>_xlfn.XLOOKUP(C171,Tab_Def_Flows[Flow_Name],Tab_Def_Flows[Flow_ID],,0,)</f>
        <v>F_00_02</v>
      </c>
      <c r="C171" s="138" t="s">
        <v>1233</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No</v>
      </c>
      <c r="I171" s="9" t="str">
        <f>_xlfn.XLOOKUP(C171,Tab_Def_Flows[Flow_Name],Tab_Def_Flows[Use_E6],,0,)</f>
        <v>No</v>
      </c>
      <c r="J171" s="188">
        <v>2093</v>
      </c>
      <c r="K171" s="189">
        <v>683438.85847058822</v>
      </c>
      <c r="L171" s="6" t="str">
        <f>'0_Configuration'!$C$41</f>
        <v>Mg</v>
      </c>
      <c r="M171" s="13" t="s">
        <v>1263</v>
      </c>
      <c r="N171" s="13">
        <v>2025</v>
      </c>
      <c r="O171" s="13" t="s">
        <v>1260</v>
      </c>
      <c r="P171" s="13" t="s">
        <v>1261</v>
      </c>
      <c r="Q171" s="13" t="s">
        <v>1432</v>
      </c>
      <c r="R171" s="7" t="s">
        <v>6</v>
      </c>
      <c r="S171" s="7"/>
      <c r="T171" s="7"/>
      <c r="U171" s="139">
        <f>_xlfn.XLOOKUP(Tab_Data_Flows[[#This Row],[Flow_Name]],Tab_Def_Flows[Flow_Name],Tab_Def_Flows[Flow_E1_Fraction'[%']],"N.A.",0,1)</f>
        <v>1</v>
      </c>
      <c r="V171" s="12">
        <f t="shared" si="5"/>
        <v>683438.85847058822</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1</v>
      </c>
      <c r="AB171" s="6">
        <f>IF(E171="Yes",AA171*Tab_Data_Flows[[#This Row],[E1_value]],"N.A.")</f>
        <v>683438.85847058822</v>
      </c>
      <c r="AC171" s="6" t="str">
        <f>Tab_Data_Flows[[#This Row],[E1_UoM]]</f>
        <v>Mg</v>
      </c>
      <c r="AD171" s="139">
        <f>_xlfn.XLOOKUP(Tab_Data_Flows[[#This Row],[Flow_Name]],Tab_Def_Flows[Flow_Name],Tab_Def_Flows[Flow_E4_Fraction'[%']],"N.A.",0,1)</f>
        <v>1</v>
      </c>
      <c r="AE171" s="6">
        <f>IF(G171="Yes",Tab_Data_Flows[[#This Row],[E4_Fraction'[%']]]*Tab_Data_Flows[[#This Row],[E1_value]],"N.A.")</f>
        <v>683438.85847058822</v>
      </c>
      <c r="AF171" s="6" t="str">
        <f>Tab_Data_Flows[[#This Row],[E1_UoM]]</f>
        <v>Mg</v>
      </c>
      <c r="AG171" s="139">
        <f>_xlfn.XLOOKUP(Tab_Data_Flows[[#This Row],[Flow_Name]],Tab_Def_Flows[Flow_Name],Tab_Def_Flows[Flow_E5_Fraction'[%']],"N.A.",0,1)</f>
        <v>0</v>
      </c>
      <c r="AH171" s="6" t="str">
        <f>IF(H171="Yes",Tab_Data_Flows[[#This Row],[E5_Fraction'[%']]]*Tab_Data_Flows[[#This Row],[E1_value]],"N.A.")</f>
        <v>N.A.</v>
      </c>
      <c r="AI171" s="6" t="str">
        <f>Tab_Data_Flows[[#This Row],[E1_UoM]]</f>
        <v>Mg</v>
      </c>
      <c r="AJ171" s="139">
        <f>_xlfn.XLOOKUP(Tab_Data_Flows[[#This Row],[Flow_Name]],Tab_Def_Flows[Flow_Name],Tab_Def_Flows[Flow_E6_Fraction'[%']],"N.A.",0,1)</f>
        <v>0</v>
      </c>
      <c r="AK171" s="6" t="str">
        <f>IF(Tab_Data_Flows[[#This Row],[Use_E6]]="Yes",Tab_Data_Flows[[#This Row],[E6_Fraction'[%']]]*Tab_Data_Flows[[#This Row],[E1_value]],"N.A.")</f>
        <v>N.A.</v>
      </c>
      <c r="AL171" s="6" t="str">
        <f>Tab_Data_Flows[[#This Row],[E1_UoM]]</f>
        <v>Mg</v>
      </c>
    </row>
    <row r="172" spans="1:38" x14ac:dyDescent="0.25">
      <c r="A172" s="8">
        <f t="shared" si="6"/>
        <v>171</v>
      </c>
      <c r="B172" s="6" t="str">
        <f>_xlfn.XLOOKUP(C172,Tab_Def_Flows[Flow_Name],Tab_Def_Flows[Flow_ID],,0,)</f>
        <v>F_00_02</v>
      </c>
      <c r="C172" s="138" t="s">
        <v>1233</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No</v>
      </c>
      <c r="I172" s="9" t="str">
        <f>_xlfn.XLOOKUP(C172,Tab_Def_Flows[Flow_Name],Tab_Def_Flows[Use_E6],,0,)</f>
        <v>No</v>
      </c>
      <c r="J172" s="188">
        <v>2094</v>
      </c>
      <c r="K172" s="189">
        <v>536790.74788235291</v>
      </c>
      <c r="L172" s="6" t="str">
        <f>'0_Configuration'!$C$41</f>
        <v>Mg</v>
      </c>
      <c r="M172" s="13" t="s">
        <v>1263</v>
      </c>
      <c r="N172" s="13">
        <v>2025</v>
      </c>
      <c r="O172" s="13" t="s">
        <v>1260</v>
      </c>
      <c r="P172" s="13" t="s">
        <v>1261</v>
      </c>
      <c r="Q172" s="13" t="s">
        <v>1433</v>
      </c>
      <c r="R172" s="7" t="s">
        <v>6</v>
      </c>
      <c r="S172" s="7"/>
      <c r="T172" s="7"/>
      <c r="U172" s="139">
        <f>_xlfn.XLOOKUP(Tab_Data_Flows[[#This Row],[Flow_Name]],Tab_Def_Flows[Flow_Name],Tab_Def_Flows[Flow_E1_Fraction'[%']],"N.A.",0,1)</f>
        <v>1</v>
      </c>
      <c r="V172" s="12">
        <f t="shared" si="5"/>
        <v>536790.74788235291</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1</v>
      </c>
      <c r="AB172" s="6">
        <f>IF(E172="Yes",AA172*Tab_Data_Flows[[#This Row],[E1_value]],"N.A.")</f>
        <v>536790.74788235291</v>
      </c>
      <c r="AC172" s="6" t="str">
        <f>Tab_Data_Flows[[#This Row],[E1_UoM]]</f>
        <v>Mg</v>
      </c>
      <c r="AD172" s="139">
        <f>_xlfn.XLOOKUP(Tab_Data_Flows[[#This Row],[Flow_Name]],Tab_Def_Flows[Flow_Name],Tab_Def_Flows[Flow_E4_Fraction'[%']],"N.A.",0,1)</f>
        <v>1</v>
      </c>
      <c r="AE172" s="6">
        <f>IF(G172="Yes",Tab_Data_Flows[[#This Row],[E4_Fraction'[%']]]*Tab_Data_Flows[[#This Row],[E1_value]],"N.A.")</f>
        <v>536790.74788235291</v>
      </c>
      <c r="AF172" s="6" t="str">
        <f>Tab_Data_Flows[[#This Row],[E1_UoM]]</f>
        <v>Mg</v>
      </c>
      <c r="AG172" s="139">
        <f>_xlfn.XLOOKUP(Tab_Data_Flows[[#This Row],[Flow_Name]],Tab_Def_Flows[Flow_Name],Tab_Def_Flows[Flow_E5_Fraction'[%']],"N.A.",0,1)</f>
        <v>0</v>
      </c>
      <c r="AH172" s="6" t="str">
        <f>IF(H172="Yes",Tab_Data_Flows[[#This Row],[E5_Fraction'[%']]]*Tab_Data_Flows[[#This Row],[E1_value]],"N.A.")</f>
        <v>N.A.</v>
      </c>
      <c r="AI172" s="6" t="str">
        <f>Tab_Data_Flows[[#This Row],[E1_UoM]]</f>
        <v>Mg</v>
      </c>
      <c r="AJ172" s="139">
        <f>_xlfn.XLOOKUP(Tab_Data_Flows[[#This Row],[Flow_Name]],Tab_Def_Flows[Flow_Name],Tab_Def_Flows[Flow_E6_Fraction'[%']],"N.A.",0,1)</f>
        <v>0</v>
      </c>
      <c r="AK172" s="6" t="str">
        <f>IF(Tab_Data_Flows[[#This Row],[Use_E6]]="Yes",Tab_Data_Flows[[#This Row],[E6_Fraction'[%']]]*Tab_Data_Flows[[#This Row],[E1_value]],"N.A.")</f>
        <v>N.A.</v>
      </c>
      <c r="AL172" s="6" t="str">
        <f>Tab_Data_Flows[[#This Row],[E1_UoM]]</f>
        <v>Mg</v>
      </c>
    </row>
    <row r="173" spans="1:38" x14ac:dyDescent="0.25">
      <c r="A173" s="8">
        <f t="shared" si="6"/>
        <v>172</v>
      </c>
      <c r="B173" s="6" t="str">
        <f>_xlfn.XLOOKUP(C173,Tab_Def_Flows[Flow_Name],Tab_Def_Flows[Flow_ID],,0,)</f>
        <v>F_00_02</v>
      </c>
      <c r="C173" s="138" t="s">
        <v>1233</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No</v>
      </c>
      <c r="I173" s="9" t="str">
        <f>_xlfn.XLOOKUP(C173,Tab_Def_Flows[Flow_Name],Tab_Def_Flows[Use_E6],,0,)</f>
        <v>No</v>
      </c>
      <c r="J173" s="188">
        <v>2095</v>
      </c>
      <c r="K173" s="189">
        <v>714515.29235294135</v>
      </c>
      <c r="L173" s="6" t="str">
        <f>'0_Configuration'!$C$41</f>
        <v>Mg</v>
      </c>
      <c r="M173" s="13" t="s">
        <v>1263</v>
      </c>
      <c r="N173" s="13">
        <v>2025</v>
      </c>
      <c r="O173" s="13" t="s">
        <v>1260</v>
      </c>
      <c r="P173" s="13" t="s">
        <v>1261</v>
      </c>
      <c r="Q173" s="13" t="s">
        <v>1434</v>
      </c>
      <c r="R173" s="7" t="s">
        <v>6</v>
      </c>
      <c r="S173" s="7"/>
      <c r="T173" s="7"/>
      <c r="U173" s="139">
        <f>_xlfn.XLOOKUP(Tab_Data_Flows[[#This Row],[Flow_Name]],Tab_Def_Flows[Flow_Name],Tab_Def_Flows[Flow_E1_Fraction'[%']],"N.A.",0,1)</f>
        <v>1</v>
      </c>
      <c r="V173" s="12">
        <f t="shared" si="5"/>
        <v>714515.29235294135</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1</v>
      </c>
      <c r="AB173" s="6">
        <f>IF(E173="Yes",AA173*Tab_Data_Flows[[#This Row],[E1_value]],"N.A.")</f>
        <v>714515.29235294135</v>
      </c>
      <c r="AC173" s="6" t="str">
        <f>Tab_Data_Flows[[#This Row],[E1_UoM]]</f>
        <v>Mg</v>
      </c>
      <c r="AD173" s="139">
        <f>_xlfn.XLOOKUP(Tab_Data_Flows[[#This Row],[Flow_Name]],Tab_Def_Flows[Flow_Name],Tab_Def_Flows[Flow_E4_Fraction'[%']],"N.A.",0,1)</f>
        <v>1</v>
      </c>
      <c r="AE173" s="6">
        <f>IF(G173="Yes",Tab_Data_Flows[[#This Row],[E4_Fraction'[%']]]*Tab_Data_Flows[[#This Row],[E1_value]],"N.A.")</f>
        <v>714515.29235294135</v>
      </c>
      <c r="AF173" s="6" t="str">
        <f>Tab_Data_Flows[[#This Row],[E1_UoM]]</f>
        <v>Mg</v>
      </c>
      <c r="AG173" s="139">
        <f>_xlfn.XLOOKUP(Tab_Data_Flows[[#This Row],[Flow_Name]],Tab_Def_Flows[Flow_Name],Tab_Def_Flows[Flow_E5_Fraction'[%']],"N.A.",0,1)</f>
        <v>0</v>
      </c>
      <c r="AH173" s="6" t="str">
        <f>IF(H173="Yes",Tab_Data_Flows[[#This Row],[E5_Fraction'[%']]]*Tab_Data_Flows[[#This Row],[E1_value]],"N.A.")</f>
        <v>N.A.</v>
      </c>
      <c r="AI173" s="6" t="str">
        <f>Tab_Data_Flows[[#This Row],[E1_UoM]]</f>
        <v>Mg</v>
      </c>
      <c r="AJ173" s="139">
        <f>_xlfn.XLOOKUP(Tab_Data_Flows[[#This Row],[Flow_Name]],Tab_Def_Flows[Flow_Name],Tab_Def_Flows[Flow_E6_Fraction'[%']],"N.A.",0,1)</f>
        <v>0</v>
      </c>
      <c r="AK173" s="6" t="str">
        <f>IF(Tab_Data_Flows[[#This Row],[Use_E6]]="Yes",Tab_Data_Flows[[#This Row],[E6_Fraction'[%']]]*Tab_Data_Flows[[#This Row],[E1_value]],"N.A.")</f>
        <v>N.A.</v>
      </c>
      <c r="AL173" s="6" t="str">
        <f>Tab_Data_Flows[[#This Row],[E1_UoM]]</f>
        <v>Mg</v>
      </c>
    </row>
    <row r="174" spans="1:38" x14ac:dyDescent="0.25">
      <c r="A174" s="8">
        <f t="shared" si="6"/>
        <v>173</v>
      </c>
      <c r="B174" s="6" t="str">
        <f>_xlfn.XLOOKUP(C174,Tab_Def_Flows[Flow_Name],Tab_Def_Flows[Flow_ID],,0,)</f>
        <v>F_00_02</v>
      </c>
      <c r="C174" s="138" t="s">
        <v>1233</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No</v>
      </c>
      <c r="I174" s="9" t="str">
        <f>_xlfn.XLOOKUP(C174,Tab_Def_Flows[Flow_Name],Tab_Def_Flows[Use_E6],,0,)</f>
        <v>No</v>
      </c>
      <c r="J174" s="188">
        <v>2096</v>
      </c>
      <c r="K174" s="189">
        <v>649414.0537058824</v>
      </c>
      <c r="L174" s="6" t="str">
        <f>'0_Configuration'!$C$41</f>
        <v>Mg</v>
      </c>
      <c r="M174" s="13" t="s">
        <v>1263</v>
      </c>
      <c r="N174" s="13">
        <v>2025</v>
      </c>
      <c r="O174" s="13" t="s">
        <v>1260</v>
      </c>
      <c r="P174" s="13" t="s">
        <v>1261</v>
      </c>
      <c r="Q174" s="13" t="s">
        <v>1435</v>
      </c>
      <c r="R174" s="7" t="s">
        <v>6</v>
      </c>
      <c r="S174" s="7"/>
      <c r="T174" s="7"/>
      <c r="U174" s="139">
        <f>_xlfn.XLOOKUP(Tab_Data_Flows[[#This Row],[Flow_Name]],Tab_Def_Flows[Flow_Name],Tab_Def_Flows[Flow_E1_Fraction'[%']],"N.A.",0,1)</f>
        <v>1</v>
      </c>
      <c r="V174" s="12">
        <f t="shared" si="5"/>
        <v>649414.0537058824</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1</v>
      </c>
      <c r="AB174" s="6">
        <f>IF(E174="Yes",AA174*Tab_Data_Flows[[#This Row],[E1_value]],"N.A.")</f>
        <v>649414.0537058824</v>
      </c>
      <c r="AC174" s="6" t="str">
        <f>Tab_Data_Flows[[#This Row],[E1_UoM]]</f>
        <v>Mg</v>
      </c>
      <c r="AD174" s="139">
        <f>_xlfn.XLOOKUP(Tab_Data_Flows[[#This Row],[Flow_Name]],Tab_Def_Flows[Flow_Name],Tab_Def_Flows[Flow_E4_Fraction'[%']],"N.A.",0,1)</f>
        <v>1</v>
      </c>
      <c r="AE174" s="6">
        <f>IF(G174="Yes",Tab_Data_Flows[[#This Row],[E4_Fraction'[%']]]*Tab_Data_Flows[[#This Row],[E1_value]],"N.A.")</f>
        <v>649414.0537058824</v>
      </c>
      <c r="AF174" s="6" t="str">
        <f>Tab_Data_Flows[[#This Row],[E1_UoM]]</f>
        <v>Mg</v>
      </c>
      <c r="AG174" s="139">
        <f>_xlfn.XLOOKUP(Tab_Data_Flows[[#This Row],[Flow_Name]],Tab_Def_Flows[Flow_Name],Tab_Def_Flows[Flow_E5_Fraction'[%']],"N.A.",0,1)</f>
        <v>0</v>
      </c>
      <c r="AH174" s="6" t="str">
        <f>IF(H174="Yes",Tab_Data_Flows[[#This Row],[E5_Fraction'[%']]]*Tab_Data_Flows[[#This Row],[E1_value]],"N.A.")</f>
        <v>N.A.</v>
      </c>
      <c r="AI174" s="6" t="str">
        <f>Tab_Data_Flows[[#This Row],[E1_UoM]]</f>
        <v>Mg</v>
      </c>
      <c r="AJ174" s="139">
        <f>_xlfn.XLOOKUP(Tab_Data_Flows[[#This Row],[Flow_Name]],Tab_Def_Flows[Flow_Name],Tab_Def_Flows[Flow_E6_Fraction'[%']],"N.A.",0,1)</f>
        <v>0</v>
      </c>
      <c r="AK174" s="6" t="str">
        <f>IF(Tab_Data_Flows[[#This Row],[Use_E6]]="Yes",Tab_Data_Flows[[#This Row],[E6_Fraction'[%']]]*Tab_Data_Flows[[#This Row],[E1_value]],"N.A.")</f>
        <v>N.A.</v>
      </c>
      <c r="AL174" s="6" t="str">
        <f>Tab_Data_Flows[[#This Row],[E1_UoM]]</f>
        <v>Mg</v>
      </c>
    </row>
    <row r="175" spans="1:38" x14ac:dyDescent="0.25">
      <c r="A175" s="8">
        <f t="shared" si="6"/>
        <v>174</v>
      </c>
      <c r="B175" s="6" t="str">
        <f>_xlfn.XLOOKUP(C175,Tab_Def_Flows[Flow_Name],Tab_Def_Flows[Flow_ID],,0,)</f>
        <v>F_00_02</v>
      </c>
      <c r="C175" s="138" t="s">
        <v>1233</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No</v>
      </c>
      <c r="I175" s="9" t="str">
        <f>_xlfn.XLOOKUP(C175,Tab_Def_Flows[Flow_Name],Tab_Def_Flows[Use_E6],,0,)</f>
        <v>No</v>
      </c>
      <c r="J175" s="188">
        <v>2097</v>
      </c>
      <c r="K175" s="189">
        <v>629596.755</v>
      </c>
      <c r="L175" s="6" t="str">
        <f>'0_Configuration'!$C$41</f>
        <v>Mg</v>
      </c>
      <c r="M175" s="13" t="s">
        <v>1263</v>
      </c>
      <c r="N175" s="13">
        <v>2025</v>
      </c>
      <c r="O175" s="13" t="s">
        <v>1260</v>
      </c>
      <c r="P175" s="13" t="s">
        <v>1261</v>
      </c>
      <c r="Q175" s="13" t="s">
        <v>1436</v>
      </c>
      <c r="R175" s="7" t="s">
        <v>6</v>
      </c>
      <c r="S175" s="7"/>
      <c r="T175" s="7"/>
      <c r="U175" s="139">
        <f>_xlfn.XLOOKUP(Tab_Data_Flows[[#This Row],[Flow_Name]],Tab_Def_Flows[Flow_Name],Tab_Def_Flows[Flow_E1_Fraction'[%']],"N.A.",0,1)</f>
        <v>1</v>
      </c>
      <c r="V175" s="12">
        <f t="shared" si="5"/>
        <v>629596.755</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1</v>
      </c>
      <c r="AB175" s="6">
        <f>IF(E175="Yes",AA175*Tab_Data_Flows[[#This Row],[E1_value]],"N.A.")</f>
        <v>629596.755</v>
      </c>
      <c r="AC175" s="6" t="str">
        <f>Tab_Data_Flows[[#This Row],[E1_UoM]]</f>
        <v>Mg</v>
      </c>
      <c r="AD175" s="139">
        <f>_xlfn.XLOOKUP(Tab_Data_Flows[[#This Row],[Flow_Name]],Tab_Def_Flows[Flow_Name],Tab_Def_Flows[Flow_E4_Fraction'[%']],"N.A.",0,1)</f>
        <v>1</v>
      </c>
      <c r="AE175" s="6">
        <f>IF(G175="Yes",Tab_Data_Flows[[#This Row],[E4_Fraction'[%']]]*Tab_Data_Flows[[#This Row],[E1_value]],"N.A.")</f>
        <v>629596.755</v>
      </c>
      <c r="AF175" s="6" t="str">
        <f>Tab_Data_Flows[[#This Row],[E1_UoM]]</f>
        <v>Mg</v>
      </c>
      <c r="AG175" s="139">
        <f>_xlfn.XLOOKUP(Tab_Data_Flows[[#This Row],[Flow_Name]],Tab_Def_Flows[Flow_Name],Tab_Def_Flows[Flow_E5_Fraction'[%']],"N.A.",0,1)</f>
        <v>0</v>
      </c>
      <c r="AH175" s="6" t="str">
        <f>IF(H175="Yes",Tab_Data_Flows[[#This Row],[E5_Fraction'[%']]]*Tab_Data_Flows[[#This Row],[E1_value]],"N.A.")</f>
        <v>N.A.</v>
      </c>
      <c r="AI175" s="6" t="str">
        <f>Tab_Data_Flows[[#This Row],[E1_UoM]]</f>
        <v>Mg</v>
      </c>
      <c r="AJ175" s="139">
        <f>_xlfn.XLOOKUP(Tab_Data_Flows[[#This Row],[Flow_Name]],Tab_Def_Flows[Flow_Name],Tab_Def_Flows[Flow_E6_Fraction'[%']],"N.A.",0,1)</f>
        <v>0</v>
      </c>
      <c r="AK175" s="6" t="str">
        <f>IF(Tab_Data_Flows[[#This Row],[Use_E6]]="Yes",Tab_Data_Flows[[#This Row],[E6_Fraction'[%']]]*Tab_Data_Flows[[#This Row],[E1_value]],"N.A.")</f>
        <v>N.A.</v>
      </c>
      <c r="AL175" s="6" t="str">
        <f>Tab_Data_Flows[[#This Row],[E1_UoM]]</f>
        <v>Mg</v>
      </c>
    </row>
    <row r="176" spans="1:38" x14ac:dyDescent="0.25">
      <c r="A176" s="8">
        <f t="shared" si="6"/>
        <v>175</v>
      </c>
      <c r="B176" s="6" t="str">
        <f>_xlfn.XLOOKUP(C176,Tab_Def_Flows[Flow_Name],Tab_Def_Flows[Flow_ID],,0,)</f>
        <v>F_00_02</v>
      </c>
      <c r="C176" s="138" t="s">
        <v>1233</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No</v>
      </c>
      <c r="I176" s="9" t="str">
        <f>_xlfn.XLOOKUP(C176,Tab_Def_Flows[Flow_Name],Tab_Def_Flows[Use_E6],,0,)</f>
        <v>No</v>
      </c>
      <c r="J176" s="188">
        <v>2098</v>
      </c>
      <c r="K176" s="189">
        <v>713398.83529411769</v>
      </c>
      <c r="L176" s="6" t="str">
        <f>'0_Configuration'!$C$41</f>
        <v>Mg</v>
      </c>
      <c r="M176" s="13" t="s">
        <v>1263</v>
      </c>
      <c r="N176" s="13">
        <v>2025</v>
      </c>
      <c r="O176" s="13" t="s">
        <v>1260</v>
      </c>
      <c r="P176" s="13" t="s">
        <v>1261</v>
      </c>
      <c r="Q176" s="13" t="s">
        <v>1437</v>
      </c>
      <c r="R176" s="7" t="s">
        <v>6</v>
      </c>
      <c r="S176" s="14"/>
      <c r="T176" s="7"/>
      <c r="U176" s="139">
        <f>_xlfn.XLOOKUP(Tab_Data_Flows[[#This Row],[Flow_Name]],Tab_Def_Flows[Flow_Name],Tab_Def_Flows[Flow_E1_Fraction'[%']],"N.A.",0,1)</f>
        <v>1</v>
      </c>
      <c r="V176" s="12">
        <f t="shared" si="5"/>
        <v>713398.83529411769</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1</v>
      </c>
      <c r="AB176" s="6">
        <f>IF(E176="Yes",AA176*Tab_Data_Flows[[#This Row],[E1_value]],"N.A.")</f>
        <v>713398.83529411769</v>
      </c>
      <c r="AC176" s="6" t="str">
        <f>Tab_Data_Flows[[#This Row],[E1_UoM]]</f>
        <v>Mg</v>
      </c>
      <c r="AD176" s="139">
        <f>_xlfn.XLOOKUP(Tab_Data_Flows[[#This Row],[Flow_Name]],Tab_Def_Flows[Flow_Name],Tab_Def_Flows[Flow_E4_Fraction'[%']],"N.A.",0,1)</f>
        <v>1</v>
      </c>
      <c r="AE176" s="6">
        <f>IF(G176="Yes",Tab_Data_Flows[[#This Row],[E4_Fraction'[%']]]*Tab_Data_Flows[[#This Row],[E1_value]],"N.A.")</f>
        <v>713398.83529411769</v>
      </c>
      <c r="AF176" s="6" t="str">
        <f>Tab_Data_Flows[[#This Row],[E1_UoM]]</f>
        <v>Mg</v>
      </c>
      <c r="AG176" s="139">
        <f>_xlfn.XLOOKUP(Tab_Data_Flows[[#This Row],[Flow_Name]],Tab_Def_Flows[Flow_Name],Tab_Def_Flows[Flow_E5_Fraction'[%']],"N.A.",0,1)</f>
        <v>0</v>
      </c>
      <c r="AH176" s="6" t="str">
        <f>IF(H176="Yes",Tab_Data_Flows[[#This Row],[E5_Fraction'[%']]]*Tab_Data_Flows[[#This Row],[E1_value]],"N.A.")</f>
        <v>N.A.</v>
      </c>
      <c r="AI176" s="6" t="str">
        <f>Tab_Data_Flows[[#This Row],[E1_UoM]]</f>
        <v>Mg</v>
      </c>
      <c r="AJ176" s="139">
        <f>_xlfn.XLOOKUP(Tab_Data_Flows[[#This Row],[Flow_Name]],Tab_Def_Flows[Flow_Name],Tab_Def_Flows[Flow_E6_Fraction'[%']],"N.A.",0,1)</f>
        <v>0</v>
      </c>
      <c r="AK176" s="6" t="str">
        <f>IF(Tab_Data_Flows[[#This Row],[Use_E6]]="Yes",Tab_Data_Flows[[#This Row],[E6_Fraction'[%']]]*Tab_Data_Flows[[#This Row],[E1_value]],"N.A.")</f>
        <v>N.A.</v>
      </c>
      <c r="AL176" s="6" t="str">
        <f>Tab_Data_Flows[[#This Row],[E1_UoM]]</f>
        <v>Mg</v>
      </c>
    </row>
    <row r="177" spans="1:38" x14ac:dyDescent="0.25">
      <c r="A177" s="8">
        <f t="shared" si="6"/>
        <v>176</v>
      </c>
      <c r="B177" s="6" t="str">
        <f>_xlfn.XLOOKUP(C177,Tab_Def_Flows[Flow_Name],Tab_Def_Flows[Flow_ID],,0,)</f>
        <v>F_00_02</v>
      </c>
      <c r="C177" s="138" t="s">
        <v>1233</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No</v>
      </c>
      <c r="I177" s="9" t="str">
        <f>_xlfn.XLOOKUP(C177,Tab_Def_Flows[Flow_Name],Tab_Def_Flows[Use_E6],,0,)</f>
        <v>No</v>
      </c>
      <c r="J177" s="188">
        <v>2099</v>
      </c>
      <c r="K177" s="189">
        <v>690406.53547058813</v>
      </c>
      <c r="L177" s="6" t="str">
        <f>'0_Configuration'!$C$41</f>
        <v>Mg</v>
      </c>
      <c r="M177" s="13" t="s">
        <v>1263</v>
      </c>
      <c r="N177" s="13">
        <v>2025</v>
      </c>
      <c r="O177" s="13" t="s">
        <v>1260</v>
      </c>
      <c r="P177" s="13" t="s">
        <v>1261</v>
      </c>
      <c r="Q177" s="13" t="s">
        <v>1438</v>
      </c>
      <c r="R177" s="7" t="s">
        <v>6</v>
      </c>
      <c r="S177" s="14"/>
      <c r="T177" s="7"/>
      <c r="U177" s="139">
        <f>_xlfn.XLOOKUP(Tab_Data_Flows[[#This Row],[Flow_Name]],Tab_Def_Flows[Flow_Name],Tab_Def_Flows[Flow_E1_Fraction'[%']],"N.A.",0,1)</f>
        <v>1</v>
      </c>
      <c r="V177" s="12">
        <f t="shared" si="5"/>
        <v>690406.53547058813</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1</v>
      </c>
      <c r="AB177" s="6">
        <f>IF(E177="Yes",AA177*Tab_Data_Flows[[#This Row],[E1_value]],"N.A.")</f>
        <v>690406.53547058813</v>
      </c>
      <c r="AC177" s="6" t="str">
        <f>Tab_Data_Flows[[#This Row],[E1_UoM]]</f>
        <v>Mg</v>
      </c>
      <c r="AD177" s="139">
        <f>_xlfn.XLOOKUP(Tab_Data_Flows[[#This Row],[Flow_Name]],Tab_Def_Flows[Flow_Name],Tab_Def_Flows[Flow_E4_Fraction'[%']],"N.A.",0,1)</f>
        <v>1</v>
      </c>
      <c r="AE177" s="6">
        <f>IF(G177="Yes",Tab_Data_Flows[[#This Row],[E4_Fraction'[%']]]*Tab_Data_Flows[[#This Row],[E1_value]],"N.A.")</f>
        <v>690406.53547058813</v>
      </c>
      <c r="AF177" s="6" t="str">
        <f>Tab_Data_Flows[[#This Row],[E1_UoM]]</f>
        <v>Mg</v>
      </c>
      <c r="AG177" s="139">
        <f>_xlfn.XLOOKUP(Tab_Data_Flows[[#This Row],[Flow_Name]],Tab_Def_Flows[Flow_Name],Tab_Def_Flows[Flow_E5_Fraction'[%']],"N.A.",0,1)</f>
        <v>0</v>
      </c>
      <c r="AH177" s="6" t="str">
        <f>IF(H177="Yes",Tab_Data_Flows[[#This Row],[E5_Fraction'[%']]]*Tab_Data_Flows[[#This Row],[E1_value]],"N.A.")</f>
        <v>N.A.</v>
      </c>
      <c r="AI177" s="6" t="str">
        <f>Tab_Data_Flows[[#This Row],[E1_UoM]]</f>
        <v>Mg</v>
      </c>
      <c r="AJ177" s="139">
        <f>_xlfn.XLOOKUP(Tab_Data_Flows[[#This Row],[Flow_Name]],Tab_Def_Flows[Flow_Name],Tab_Def_Flows[Flow_E6_Fraction'[%']],"N.A.",0,1)</f>
        <v>0</v>
      </c>
      <c r="AK177" s="6" t="str">
        <f>IF(Tab_Data_Flows[[#This Row],[Use_E6]]="Yes",Tab_Data_Flows[[#This Row],[E6_Fraction'[%']]]*Tab_Data_Flows[[#This Row],[E1_value]],"N.A.")</f>
        <v>N.A.</v>
      </c>
      <c r="AL177" s="6" t="str">
        <f>Tab_Data_Flows[[#This Row],[E1_UoM]]</f>
        <v>Mg</v>
      </c>
    </row>
    <row r="178" spans="1:38" x14ac:dyDescent="0.25">
      <c r="A178" s="8">
        <f t="shared" si="6"/>
        <v>177</v>
      </c>
      <c r="B178" s="6" t="str">
        <f>_xlfn.XLOOKUP(C178,Tab_Def_Flows[Flow_Name],Tab_Def_Flows[Flow_ID],,0,)</f>
        <v>F_00_02</v>
      </c>
      <c r="C178" s="138" t="s">
        <v>1233</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No</v>
      </c>
      <c r="I178" s="9" t="str">
        <f>_xlfn.XLOOKUP(C178,Tab_Def_Flows[Flow_Name],Tab_Def_Flows[Use_E6],,0,)</f>
        <v>No</v>
      </c>
      <c r="J178" s="188">
        <v>2100</v>
      </c>
      <c r="K178" s="189">
        <v>666906.2032941177</v>
      </c>
      <c r="L178" s="6" t="str">
        <f>'0_Configuration'!$C$41</f>
        <v>Mg</v>
      </c>
      <c r="M178" s="13" t="s">
        <v>1263</v>
      </c>
      <c r="N178" s="13">
        <v>2025</v>
      </c>
      <c r="O178" s="13" t="s">
        <v>1260</v>
      </c>
      <c r="P178" s="13" t="s">
        <v>1261</v>
      </c>
      <c r="Q178" s="13" t="s">
        <v>1439</v>
      </c>
      <c r="R178" s="7" t="s">
        <v>6</v>
      </c>
      <c r="S178" s="14"/>
      <c r="T178" s="7"/>
      <c r="U178" s="139">
        <f>_xlfn.XLOOKUP(Tab_Data_Flows[[#This Row],[Flow_Name]],Tab_Def_Flows[Flow_Name],Tab_Def_Flows[Flow_E1_Fraction'[%']],"N.A.",0,1)</f>
        <v>1</v>
      </c>
      <c r="V178" s="12">
        <f t="shared" si="5"/>
        <v>666906.2032941177</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1</v>
      </c>
      <c r="AB178" s="6">
        <f>IF(E178="Yes",AA178*Tab_Data_Flows[[#This Row],[E1_value]],"N.A.")</f>
        <v>666906.2032941177</v>
      </c>
      <c r="AC178" s="6" t="str">
        <f>Tab_Data_Flows[[#This Row],[E1_UoM]]</f>
        <v>Mg</v>
      </c>
      <c r="AD178" s="139">
        <f>_xlfn.XLOOKUP(Tab_Data_Flows[[#This Row],[Flow_Name]],Tab_Def_Flows[Flow_Name],Tab_Def_Flows[Flow_E4_Fraction'[%']],"N.A.",0,1)</f>
        <v>1</v>
      </c>
      <c r="AE178" s="6">
        <f>IF(G178="Yes",Tab_Data_Flows[[#This Row],[E4_Fraction'[%']]]*Tab_Data_Flows[[#This Row],[E1_value]],"N.A.")</f>
        <v>666906.2032941177</v>
      </c>
      <c r="AF178" s="6" t="str">
        <f>Tab_Data_Flows[[#This Row],[E1_UoM]]</f>
        <v>Mg</v>
      </c>
      <c r="AG178" s="139">
        <f>_xlfn.XLOOKUP(Tab_Data_Flows[[#This Row],[Flow_Name]],Tab_Def_Flows[Flow_Name],Tab_Def_Flows[Flow_E5_Fraction'[%']],"N.A.",0,1)</f>
        <v>0</v>
      </c>
      <c r="AH178" s="6" t="str">
        <f>IF(H178="Yes",Tab_Data_Flows[[#This Row],[E5_Fraction'[%']]]*Tab_Data_Flows[[#This Row],[E1_value]],"N.A.")</f>
        <v>N.A.</v>
      </c>
      <c r="AI178" s="6" t="str">
        <f>Tab_Data_Flows[[#This Row],[E1_UoM]]</f>
        <v>Mg</v>
      </c>
      <c r="AJ178" s="139">
        <f>_xlfn.XLOOKUP(Tab_Data_Flows[[#This Row],[Flow_Name]],Tab_Def_Flows[Flow_Name],Tab_Def_Flows[Flow_E6_Fraction'[%']],"N.A.",0,1)</f>
        <v>0</v>
      </c>
      <c r="AK178" s="6" t="str">
        <f>IF(Tab_Data_Flows[[#This Row],[Use_E6]]="Yes",Tab_Data_Flows[[#This Row],[E6_Fraction'[%']]]*Tab_Data_Flows[[#This Row],[E1_value]],"N.A.")</f>
        <v>N.A.</v>
      </c>
      <c r="AL178" s="6" t="str">
        <f>Tab_Data_Flows[[#This Row],[E1_UoM]]</f>
        <v>Mg</v>
      </c>
    </row>
    <row r="179" spans="1:38" x14ac:dyDescent="0.25">
      <c r="A179" s="8">
        <f t="shared" si="6"/>
        <v>178</v>
      </c>
      <c r="B179" s="6" t="str">
        <f>_xlfn.XLOOKUP(C179,Tab_Def_Flows[Flow_Name],Tab_Def_Flows[Flow_ID],,0,)</f>
        <v>F_00_02</v>
      </c>
      <c r="C179" s="138" t="s">
        <v>1233</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No</v>
      </c>
      <c r="I179" s="9" t="str">
        <f>_xlfn.XLOOKUP(C179,Tab_Def_Flows[Flow_Name],Tab_Def_Flows[Use_E6],,0,)</f>
        <v>No</v>
      </c>
      <c r="J179" s="188">
        <v>2101</v>
      </c>
      <c r="K179" s="189">
        <v>661700.06682352931</v>
      </c>
      <c r="L179" s="6" t="str">
        <f>'0_Configuration'!$C$41</f>
        <v>Mg</v>
      </c>
      <c r="M179" s="13" t="s">
        <v>1263</v>
      </c>
      <c r="N179" s="13">
        <v>2025</v>
      </c>
      <c r="O179" s="13" t="s">
        <v>1260</v>
      </c>
      <c r="P179" s="13" t="s">
        <v>1261</v>
      </c>
      <c r="Q179" s="13" t="s">
        <v>1440</v>
      </c>
      <c r="R179" s="7" t="s">
        <v>6</v>
      </c>
      <c r="S179" s="14"/>
      <c r="T179" s="7"/>
      <c r="U179" s="139">
        <f>_xlfn.XLOOKUP(Tab_Data_Flows[[#This Row],[Flow_Name]],Tab_Def_Flows[Flow_Name],Tab_Def_Flows[Flow_E1_Fraction'[%']],"N.A.",0,1)</f>
        <v>1</v>
      </c>
      <c r="V179" s="12">
        <f t="shared" si="5"/>
        <v>661700.06682352931</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1</v>
      </c>
      <c r="AB179" s="6">
        <f>IF(E179="Yes",AA179*Tab_Data_Flows[[#This Row],[E1_value]],"N.A.")</f>
        <v>661700.06682352931</v>
      </c>
      <c r="AC179" s="6" t="str">
        <f>Tab_Data_Flows[[#This Row],[E1_UoM]]</f>
        <v>Mg</v>
      </c>
      <c r="AD179" s="139">
        <f>_xlfn.XLOOKUP(Tab_Data_Flows[[#This Row],[Flow_Name]],Tab_Def_Flows[Flow_Name],Tab_Def_Flows[Flow_E4_Fraction'[%']],"N.A.",0,1)</f>
        <v>1</v>
      </c>
      <c r="AE179" s="6">
        <f>IF(G179="Yes",Tab_Data_Flows[[#This Row],[E4_Fraction'[%']]]*Tab_Data_Flows[[#This Row],[E1_value]],"N.A.")</f>
        <v>661700.06682352931</v>
      </c>
      <c r="AF179" s="6" t="str">
        <f>Tab_Data_Flows[[#This Row],[E1_UoM]]</f>
        <v>Mg</v>
      </c>
      <c r="AG179" s="139">
        <f>_xlfn.XLOOKUP(Tab_Data_Flows[[#This Row],[Flow_Name]],Tab_Def_Flows[Flow_Name],Tab_Def_Flows[Flow_E5_Fraction'[%']],"N.A.",0,1)</f>
        <v>0</v>
      </c>
      <c r="AH179" s="6" t="str">
        <f>IF(H179="Yes",Tab_Data_Flows[[#This Row],[E5_Fraction'[%']]]*Tab_Data_Flows[[#This Row],[E1_value]],"N.A.")</f>
        <v>N.A.</v>
      </c>
      <c r="AI179" s="6" t="str">
        <f>Tab_Data_Flows[[#This Row],[E1_UoM]]</f>
        <v>Mg</v>
      </c>
      <c r="AJ179" s="139">
        <f>_xlfn.XLOOKUP(Tab_Data_Flows[[#This Row],[Flow_Name]],Tab_Def_Flows[Flow_Name],Tab_Def_Flows[Flow_E6_Fraction'[%']],"N.A.",0,1)</f>
        <v>0</v>
      </c>
      <c r="AK179" s="6" t="str">
        <f>IF(Tab_Data_Flows[[#This Row],[Use_E6]]="Yes",Tab_Data_Flows[[#This Row],[E6_Fraction'[%']]]*Tab_Data_Flows[[#This Row],[E1_value]],"N.A.")</f>
        <v>N.A.</v>
      </c>
      <c r="AL179" s="6" t="str">
        <f>Tab_Data_Flows[[#This Row],[E1_UoM]]</f>
        <v>Mg</v>
      </c>
    </row>
    <row r="180" spans="1:38" x14ac:dyDescent="0.25">
      <c r="A180" s="8">
        <f t="shared" si="6"/>
        <v>179</v>
      </c>
      <c r="B180" s="6" t="str">
        <f>_xlfn.XLOOKUP(C180,Tab_Def_Flows[Flow_Name],Tab_Def_Flows[Flow_ID],,0,)</f>
        <v>F_00_02</v>
      </c>
      <c r="C180" s="138" t="s">
        <v>1233</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No</v>
      </c>
      <c r="I180" s="9" t="str">
        <f>_xlfn.XLOOKUP(C180,Tab_Def_Flows[Flow_Name],Tab_Def_Flows[Use_E6],,0,)</f>
        <v>No</v>
      </c>
      <c r="J180" s="188">
        <v>2102</v>
      </c>
      <c r="K180" s="189">
        <v>664567.82029411767</v>
      </c>
      <c r="L180" s="6" t="str">
        <f>'0_Configuration'!$C$41</f>
        <v>Mg</v>
      </c>
      <c r="M180" s="13" t="s">
        <v>1263</v>
      </c>
      <c r="N180" s="13">
        <v>2025</v>
      </c>
      <c r="O180" s="13" t="s">
        <v>1260</v>
      </c>
      <c r="P180" s="13" t="s">
        <v>1261</v>
      </c>
      <c r="Q180" s="13" t="s">
        <v>1441</v>
      </c>
      <c r="R180" s="7" t="s">
        <v>6</v>
      </c>
      <c r="S180" s="14"/>
      <c r="T180" s="7"/>
      <c r="U180" s="139">
        <f>_xlfn.XLOOKUP(Tab_Data_Flows[[#This Row],[Flow_Name]],Tab_Def_Flows[Flow_Name],Tab_Def_Flows[Flow_E1_Fraction'[%']],"N.A.",0,1)</f>
        <v>1</v>
      </c>
      <c r="V180" s="12">
        <f t="shared" si="5"/>
        <v>664567.82029411767</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1</v>
      </c>
      <c r="AB180" s="6">
        <f>IF(E180="Yes",AA180*Tab_Data_Flows[[#This Row],[E1_value]],"N.A.")</f>
        <v>664567.82029411767</v>
      </c>
      <c r="AC180" s="6" t="str">
        <f>Tab_Data_Flows[[#This Row],[E1_UoM]]</f>
        <v>Mg</v>
      </c>
      <c r="AD180" s="139">
        <f>_xlfn.XLOOKUP(Tab_Data_Flows[[#This Row],[Flow_Name]],Tab_Def_Flows[Flow_Name],Tab_Def_Flows[Flow_E4_Fraction'[%']],"N.A.",0,1)</f>
        <v>1</v>
      </c>
      <c r="AE180" s="6">
        <f>IF(G180="Yes",Tab_Data_Flows[[#This Row],[E4_Fraction'[%']]]*Tab_Data_Flows[[#This Row],[E1_value]],"N.A.")</f>
        <v>664567.82029411767</v>
      </c>
      <c r="AF180" s="6" t="str">
        <f>Tab_Data_Flows[[#This Row],[E1_UoM]]</f>
        <v>Mg</v>
      </c>
      <c r="AG180" s="139">
        <f>_xlfn.XLOOKUP(Tab_Data_Flows[[#This Row],[Flow_Name]],Tab_Def_Flows[Flow_Name],Tab_Def_Flows[Flow_E5_Fraction'[%']],"N.A.",0,1)</f>
        <v>0</v>
      </c>
      <c r="AH180" s="6" t="str">
        <f>IF(H180="Yes",Tab_Data_Flows[[#This Row],[E5_Fraction'[%']]]*Tab_Data_Flows[[#This Row],[E1_value]],"N.A.")</f>
        <v>N.A.</v>
      </c>
      <c r="AI180" s="6" t="str">
        <f>Tab_Data_Flows[[#This Row],[E1_UoM]]</f>
        <v>Mg</v>
      </c>
      <c r="AJ180" s="139">
        <f>_xlfn.XLOOKUP(Tab_Data_Flows[[#This Row],[Flow_Name]],Tab_Def_Flows[Flow_Name],Tab_Def_Flows[Flow_E6_Fraction'[%']],"N.A.",0,1)</f>
        <v>0</v>
      </c>
      <c r="AK180" s="6" t="str">
        <f>IF(Tab_Data_Flows[[#This Row],[Use_E6]]="Yes",Tab_Data_Flows[[#This Row],[E6_Fraction'[%']]]*Tab_Data_Flows[[#This Row],[E1_value]],"N.A.")</f>
        <v>N.A.</v>
      </c>
      <c r="AL180" s="6" t="str">
        <f>Tab_Data_Flows[[#This Row],[E1_UoM]]</f>
        <v>Mg</v>
      </c>
    </row>
    <row r="181" spans="1:38" x14ac:dyDescent="0.25">
      <c r="A181" s="8">
        <f t="shared" si="6"/>
        <v>180</v>
      </c>
      <c r="B181" s="6" t="str">
        <f>_xlfn.XLOOKUP(C181,Tab_Def_Flows[Flow_Name],Tab_Def_Flows[Flow_ID],,0,)</f>
        <v>F_00_02</v>
      </c>
      <c r="C181" s="138" t="s">
        <v>1233</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No</v>
      </c>
      <c r="I181" s="9" t="str">
        <f>_xlfn.XLOOKUP(C181,Tab_Def_Flows[Flow_Name],Tab_Def_Flows[Use_E6],,0,)</f>
        <v>No</v>
      </c>
      <c r="J181" s="188">
        <v>2103</v>
      </c>
      <c r="K181" s="189">
        <v>662758.87605882355</v>
      </c>
      <c r="L181" s="6" t="str">
        <f>'0_Configuration'!$C$41</f>
        <v>Mg</v>
      </c>
      <c r="M181" s="13" t="s">
        <v>1263</v>
      </c>
      <c r="N181" s="13">
        <v>2025</v>
      </c>
      <c r="O181" s="13" t="s">
        <v>1260</v>
      </c>
      <c r="P181" s="13" t="s">
        <v>1261</v>
      </c>
      <c r="Q181" s="13" t="s">
        <v>1442</v>
      </c>
      <c r="R181" s="7" t="s">
        <v>6</v>
      </c>
      <c r="S181" s="14"/>
      <c r="T181" s="7"/>
      <c r="U181" s="139">
        <f>_xlfn.XLOOKUP(Tab_Data_Flows[[#This Row],[Flow_Name]],Tab_Def_Flows[Flow_Name],Tab_Def_Flows[Flow_E1_Fraction'[%']],"N.A.",0,1)</f>
        <v>1</v>
      </c>
      <c r="V181" s="12">
        <f t="shared" si="5"/>
        <v>662758.87605882355</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1</v>
      </c>
      <c r="AB181" s="6">
        <f>IF(E181="Yes",AA181*Tab_Data_Flows[[#This Row],[E1_value]],"N.A.")</f>
        <v>662758.87605882355</v>
      </c>
      <c r="AC181" s="6" t="str">
        <f>Tab_Data_Flows[[#This Row],[E1_UoM]]</f>
        <v>Mg</v>
      </c>
      <c r="AD181" s="139">
        <f>_xlfn.XLOOKUP(Tab_Data_Flows[[#This Row],[Flow_Name]],Tab_Def_Flows[Flow_Name],Tab_Def_Flows[Flow_E4_Fraction'[%']],"N.A.",0,1)</f>
        <v>1</v>
      </c>
      <c r="AE181" s="6">
        <f>IF(G181="Yes",Tab_Data_Flows[[#This Row],[E4_Fraction'[%']]]*Tab_Data_Flows[[#This Row],[E1_value]],"N.A.")</f>
        <v>662758.87605882355</v>
      </c>
      <c r="AF181" s="6" t="str">
        <f>Tab_Data_Flows[[#This Row],[E1_UoM]]</f>
        <v>Mg</v>
      </c>
      <c r="AG181" s="139">
        <f>_xlfn.XLOOKUP(Tab_Data_Flows[[#This Row],[Flow_Name]],Tab_Def_Flows[Flow_Name],Tab_Def_Flows[Flow_E5_Fraction'[%']],"N.A.",0,1)</f>
        <v>0</v>
      </c>
      <c r="AH181" s="6" t="str">
        <f>IF(H181="Yes",Tab_Data_Flows[[#This Row],[E5_Fraction'[%']]]*Tab_Data_Flows[[#This Row],[E1_value]],"N.A.")</f>
        <v>N.A.</v>
      </c>
      <c r="AI181" s="6" t="str">
        <f>Tab_Data_Flows[[#This Row],[E1_UoM]]</f>
        <v>Mg</v>
      </c>
      <c r="AJ181" s="139">
        <f>_xlfn.XLOOKUP(Tab_Data_Flows[[#This Row],[Flow_Name]],Tab_Def_Flows[Flow_Name],Tab_Def_Flows[Flow_E6_Fraction'[%']],"N.A.",0,1)</f>
        <v>0</v>
      </c>
      <c r="AK181" s="6" t="str">
        <f>IF(Tab_Data_Flows[[#This Row],[Use_E6]]="Yes",Tab_Data_Flows[[#This Row],[E6_Fraction'[%']]]*Tab_Data_Flows[[#This Row],[E1_value]],"N.A.")</f>
        <v>N.A.</v>
      </c>
      <c r="AL181" s="6" t="str">
        <f>Tab_Data_Flows[[#This Row],[E1_UoM]]</f>
        <v>Mg</v>
      </c>
    </row>
    <row r="182" spans="1:38" x14ac:dyDescent="0.25">
      <c r="A182" s="8">
        <f t="shared" si="6"/>
        <v>181</v>
      </c>
      <c r="B182" s="6" t="str">
        <f>_xlfn.XLOOKUP(C182,Tab_Def_Flows[Flow_Name],Tab_Def_Flows[Flow_ID],,0,)</f>
        <v>F_00_02</v>
      </c>
      <c r="C182" s="138" t="s">
        <v>1233</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No</v>
      </c>
      <c r="I182" s="9" t="str">
        <f>_xlfn.XLOOKUP(C182,Tab_Def_Flows[Flow_Name],Tab_Def_Flows[Use_E6],,0,)</f>
        <v>No</v>
      </c>
      <c r="J182" s="188">
        <v>2104</v>
      </c>
      <c r="K182" s="189">
        <v>714163.12994117651</v>
      </c>
      <c r="L182" s="6" t="str">
        <f>'0_Configuration'!$C$41</f>
        <v>Mg</v>
      </c>
      <c r="M182" s="13" t="s">
        <v>1263</v>
      </c>
      <c r="N182" s="13">
        <v>2025</v>
      </c>
      <c r="O182" s="13" t="s">
        <v>1260</v>
      </c>
      <c r="P182" s="13" t="s">
        <v>1261</v>
      </c>
      <c r="Q182" s="13" t="s">
        <v>1443</v>
      </c>
      <c r="R182" s="7" t="s">
        <v>6</v>
      </c>
      <c r="S182" s="14"/>
      <c r="T182" s="7"/>
      <c r="U182" s="139">
        <f>_xlfn.XLOOKUP(Tab_Data_Flows[[#This Row],[Flow_Name]],Tab_Def_Flows[Flow_Name],Tab_Def_Flows[Flow_E1_Fraction'[%']],"N.A.",0,1)</f>
        <v>1</v>
      </c>
      <c r="V182" s="12">
        <f t="shared" si="5"/>
        <v>714163.12994117651</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1</v>
      </c>
      <c r="AB182" s="6">
        <f>IF(E182="Yes",AA182*Tab_Data_Flows[[#This Row],[E1_value]],"N.A.")</f>
        <v>714163.12994117651</v>
      </c>
      <c r="AC182" s="6" t="str">
        <f>Tab_Data_Flows[[#This Row],[E1_UoM]]</f>
        <v>Mg</v>
      </c>
      <c r="AD182" s="139">
        <f>_xlfn.XLOOKUP(Tab_Data_Flows[[#This Row],[Flow_Name]],Tab_Def_Flows[Flow_Name],Tab_Def_Flows[Flow_E4_Fraction'[%']],"N.A.",0,1)</f>
        <v>1</v>
      </c>
      <c r="AE182" s="6">
        <f>IF(G182="Yes",Tab_Data_Flows[[#This Row],[E4_Fraction'[%']]]*Tab_Data_Flows[[#This Row],[E1_value]],"N.A.")</f>
        <v>714163.12994117651</v>
      </c>
      <c r="AF182" s="6" t="str">
        <f>Tab_Data_Flows[[#This Row],[E1_UoM]]</f>
        <v>Mg</v>
      </c>
      <c r="AG182" s="139">
        <f>_xlfn.XLOOKUP(Tab_Data_Flows[[#This Row],[Flow_Name]],Tab_Def_Flows[Flow_Name],Tab_Def_Flows[Flow_E5_Fraction'[%']],"N.A.",0,1)</f>
        <v>0</v>
      </c>
      <c r="AH182" s="6" t="str">
        <f>IF(H182="Yes",Tab_Data_Flows[[#This Row],[E5_Fraction'[%']]]*Tab_Data_Flows[[#This Row],[E1_value]],"N.A.")</f>
        <v>N.A.</v>
      </c>
      <c r="AI182" s="6" t="str">
        <f>Tab_Data_Flows[[#This Row],[E1_UoM]]</f>
        <v>Mg</v>
      </c>
      <c r="AJ182" s="139">
        <f>_xlfn.XLOOKUP(Tab_Data_Flows[[#This Row],[Flow_Name]],Tab_Def_Flows[Flow_Name],Tab_Def_Flows[Flow_E6_Fraction'[%']],"N.A.",0,1)</f>
        <v>0</v>
      </c>
      <c r="AK182" s="6" t="str">
        <f>IF(Tab_Data_Flows[[#This Row],[Use_E6]]="Yes",Tab_Data_Flows[[#This Row],[E6_Fraction'[%']]]*Tab_Data_Flows[[#This Row],[E1_value]],"N.A.")</f>
        <v>N.A.</v>
      </c>
      <c r="AL182" s="6" t="str">
        <f>Tab_Data_Flows[[#This Row],[E1_UoM]]</f>
        <v>Mg</v>
      </c>
    </row>
    <row r="183" spans="1:38" x14ac:dyDescent="0.25">
      <c r="A183" s="8">
        <f t="shared" si="6"/>
        <v>182</v>
      </c>
      <c r="B183" s="6" t="str">
        <f>_xlfn.XLOOKUP(C183,Tab_Def_Flows[Flow_Name],Tab_Def_Flows[Flow_ID],,0,)</f>
        <v>F_00_02</v>
      </c>
      <c r="C183" s="138" t="s">
        <v>1233</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No</v>
      </c>
      <c r="I183" s="9" t="str">
        <f>_xlfn.XLOOKUP(C183,Tab_Def_Flows[Flow_Name],Tab_Def_Flows[Use_E6],,0,)</f>
        <v>No</v>
      </c>
      <c r="J183" s="188">
        <v>2105</v>
      </c>
      <c r="K183" s="189">
        <v>675718.00358823524</v>
      </c>
      <c r="L183" s="6" t="str">
        <f>'0_Configuration'!$C$41</f>
        <v>Mg</v>
      </c>
      <c r="M183" s="13" t="s">
        <v>1263</v>
      </c>
      <c r="N183" s="13">
        <v>2025</v>
      </c>
      <c r="O183" s="13" t="s">
        <v>1260</v>
      </c>
      <c r="P183" s="13" t="s">
        <v>1261</v>
      </c>
      <c r="Q183" s="13" t="s">
        <v>1444</v>
      </c>
      <c r="R183" s="7" t="s">
        <v>6</v>
      </c>
      <c r="S183" s="7"/>
      <c r="T183" s="7"/>
      <c r="U183" s="139">
        <f>_xlfn.XLOOKUP(Tab_Data_Flows[[#This Row],[Flow_Name]],Tab_Def_Flows[Flow_Name],Tab_Def_Flows[Flow_E1_Fraction'[%']],"N.A.",0,1)</f>
        <v>1</v>
      </c>
      <c r="V183" s="12">
        <f t="shared" si="5"/>
        <v>675718.00358823524</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1</v>
      </c>
      <c r="AB183" s="6">
        <f>IF(E183="Yes",AA183*Tab_Data_Flows[[#This Row],[E1_value]],"N.A.")</f>
        <v>675718.00358823524</v>
      </c>
      <c r="AC183" s="6" t="str">
        <f>Tab_Data_Flows[[#This Row],[E1_UoM]]</f>
        <v>Mg</v>
      </c>
      <c r="AD183" s="139">
        <f>_xlfn.XLOOKUP(Tab_Data_Flows[[#This Row],[Flow_Name]],Tab_Def_Flows[Flow_Name],Tab_Def_Flows[Flow_E4_Fraction'[%']],"N.A.",0,1)</f>
        <v>1</v>
      </c>
      <c r="AE183" s="6">
        <f>IF(G183="Yes",Tab_Data_Flows[[#This Row],[E4_Fraction'[%']]]*Tab_Data_Flows[[#This Row],[E1_value]],"N.A.")</f>
        <v>675718.00358823524</v>
      </c>
      <c r="AF183" s="6" t="str">
        <f>Tab_Data_Flows[[#This Row],[E1_UoM]]</f>
        <v>Mg</v>
      </c>
      <c r="AG183" s="139">
        <f>_xlfn.XLOOKUP(Tab_Data_Flows[[#This Row],[Flow_Name]],Tab_Def_Flows[Flow_Name],Tab_Def_Flows[Flow_E5_Fraction'[%']],"N.A.",0,1)</f>
        <v>0</v>
      </c>
      <c r="AH183" s="6" t="str">
        <f>IF(H183="Yes",Tab_Data_Flows[[#This Row],[E5_Fraction'[%']]]*Tab_Data_Flows[[#This Row],[E1_value]],"N.A.")</f>
        <v>N.A.</v>
      </c>
      <c r="AI183" s="6" t="str">
        <f>Tab_Data_Flows[[#This Row],[E1_UoM]]</f>
        <v>Mg</v>
      </c>
      <c r="AJ183" s="139">
        <f>_xlfn.XLOOKUP(Tab_Data_Flows[[#This Row],[Flow_Name]],Tab_Def_Flows[Flow_Name],Tab_Def_Flows[Flow_E6_Fraction'[%']],"N.A.",0,1)</f>
        <v>0</v>
      </c>
      <c r="AK183" s="6" t="str">
        <f>IF(Tab_Data_Flows[[#This Row],[Use_E6]]="Yes",Tab_Data_Flows[[#This Row],[E6_Fraction'[%']]]*Tab_Data_Flows[[#This Row],[E1_value]],"N.A.")</f>
        <v>N.A.</v>
      </c>
      <c r="AL183" s="6" t="str">
        <f>Tab_Data_Flows[[#This Row],[E1_UoM]]</f>
        <v>Mg</v>
      </c>
    </row>
    <row r="184" spans="1:38" x14ac:dyDescent="0.25">
      <c r="A184" s="8">
        <f t="shared" si="6"/>
        <v>183</v>
      </c>
      <c r="B184" s="6" t="str">
        <f>_xlfn.XLOOKUP(C184,Tab_Def_Flows[Flow_Name],Tab_Def_Flows[Flow_ID],,0,)</f>
        <v>F_00_02</v>
      </c>
      <c r="C184" s="138" t="s">
        <v>1233</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No</v>
      </c>
      <c r="I184" s="9" t="str">
        <f>_xlfn.XLOOKUP(C184,Tab_Def_Flows[Flow_Name],Tab_Def_Flows[Use_E6],,0,)</f>
        <v>No</v>
      </c>
      <c r="J184" s="7">
        <v>2106</v>
      </c>
      <c r="K184" s="21">
        <v>730623.09741176479</v>
      </c>
      <c r="L184" s="6" t="str">
        <f>'0_Configuration'!$C$41</f>
        <v>Mg</v>
      </c>
      <c r="M184" s="13" t="s">
        <v>1263</v>
      </c>
      <c r="N184" s="13">
        <v>2025</v>
      </c>
      <c r="O184" s="13" t="s">
        <v>1260</v>
      </c>
      <c r="P184" s="13" t="s">
        <v>1261</v>
      </c>
      <c r="Q184" s="13" t="s">
        <v>1445</v>
      </c>
      <c r="R184" s="7" t="s">
        <v>6</v>
      </c>
      <c r="S184" s="7"/>
      <c r="T184" s="7"/>
      <c r="U184" s="139">
        <f>_xlfn.XLOOKUP(Tab_Data_Flows[[#This Row],[Flow_Name]],Tab_Def_Flows[Flow_Name],Tab_Def_Flows[Flow_E1_Fraction'[%']],"N.A.",0,1)</f>
        <v>1</v>
      </c>
      <c r="V184" s="12">
        <f t="shared" si="5"/>
        <v>730623.09741176479</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1</v>
      </c>
      <c r="AB184" s="6">
        <f>IF(E184="Yes",AA184*Tab_Data_Flows[[#This Row],[E1_value]],"N.A.")</f>
        <v>730623.09741176479</v>
      </c>
      <c r="AC184" s="6" t="str">
        <f>Tab_Data_Flows[[#This Row],[E1_UoM]]</f>
        <v>Mg</v>
      </c>
      <c r="AD184" s="139">
        <f>_xlfn.XLOOKUP(Tab_Data_Flows[[#This Row],[Flow_Name]],Tab_Def_Flows[Flow_Name],Tab_Def_Flows[Flow_E4_Fraction'[%']],"N.A.",0,1)</f>
        <v>1</v>
      </c>
      <c r="AE184" s="6">
        <f>IF(G184="Yes",Tab_Data_Flows[[#This Row],[E4_Fraction'[%']]]*Tab_Data_Flows[[#This Row],[E1_value]],"N.A.")</f>
        <v>730623.09741176479</v>
      </c>
      <c r="AF184" s="6" t="str">
        <f>Tab_Data_Flows[[#This Row],[E1_UoM]]</f>
        <v>Mg</v>
      </c>
      <c r="AG184" s="139">
        <f>_xlfn.XLOOKUP(Tab_Data_Flows[[#This Row],[Flow_Name]],Tab_Def_Flows[Flow_Name],Tab_Def_Flows[Flow_E5_Fraction'[%']],"N.A.",0,1)</f>
        <v>0</v>
      </c>
      <c r="AH184" s="6" t="str">
        <f>IF(H184="Yes",Tab_Data_Flows[[#This Row],[E5_Fraction'[%']]]*Tab_Data_Flows[[#This Row],[E1_value]],"N.A.")</f>
        <v>N.A.</v>
      </c>
      <c r="AI184" s="6" t="str">
        <f>Tab_Data_Flows[[#This Row],[E1_UoM]]</f>
        <v>Mg</v>
      </c>
      <c r="AJ184" s="139">
        <f>_xlfn.XLOOKUP(Tab_Data_Flows[[#This Row],[Flow_Name]],Tab_Def_Flows[Flow_Name],Tab_Def_Flows[Flow_E6_Fraction'[%']],"N.A.",0,1)</f>
        <v>0</v>
      </c>
      <c r="AK184" s="6" t="str">
        <f>IF(Tab_Data_Flows[[#This Row],[Use_E6]]="Yes",Tab_Data_Flows[[#This Row],[E6_Fraction'[%']]]*Tab_Data_Flows[[#This Row],[E1_value]],"N.A.")</f>
        <v>N.A.</v>
      </c>
      <c r="AL184" s="6" t="str">
        <f>Tab_Data_Flows[[#This Row],[E1_UoM]]</f>
        <v>Mg</v>
      </c>
    </row>
    <row r="185" spans="1:38" x14ac:dyDescent="0.25">
      <c r="A185" s="8">
        <f t="shared" si="6"/>
        <v>184</v>
      </c>
      <c r="B185" s="6" t="str">
        <f>_xlfn.XLOOKUP(C185,Tab_Def_Flows[Flow_Name],Tab_Def_Flows[Flow_ID],,0,)</f>
        <v>F_00_02</v>
      </c>
      <c r="C185" s="138" t="s">
        <v>1233</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No</v>
      </c>
      <c r="I185" s="9" t="str">
        <f>_xlfn.XLOOKUP(C185,Tab_Def_Flows[Flow_Name],Tab_Def_Flows[Use_E6],,0,)</f>
        <v>No</v>
      </c>
      <c r="J185" s="7">
        <v>2107</v>
      </c>
      <c r="K185" s="21">
        <v>675849.15864705888</v>
      </c>
      <c r="L185" s="6" t="str">
        <f>'0_Configuration'!$C$41</f>
        <v>Mg</v>
      </c>
      <c r="M185" s="13" t="s">
        <v>1263</v>
      </c>
      <c r="N185" s="13">
        <v>2025</v>
      </c>
      <c r="O185" s="13" t="s">
        <v>1260</v>
      </c>
      <c r="P185" s="13" t="s">
        <v>1261</v>
      </c>
      <c r="Q185" s="13" t="s">
        <v>1446</v>
      </c>
      <c r="R185" s="7" t="s">
        <v>6</v>
      </c>
      <c r="S185" s="7"/>
      <c r="T185" s="7"/>
      <c r="U185" s="139">
        <f>_xlfn.XLOOKUP(Tab_Data_Flows[[#This Row],[Flow_Name]],Tab_Def_Flows[Flow_Name],Tab_Def_Flows[Flow_E1_Fraction'[%']],"N.A.",0,1)</f>
        <v>1</v>
      </c>
      <c r="V185" s="12">
        <f t="shared" si="5"/>
        <v>675849.15864705888</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1</v>
      </c>
      <c r="AB185" s="6">
        <f>IF(E185="Yes",AA185*Tab_Data_Flows[[#This Row],[E1_value]],"N.A.")</f>
        <v>675849.15864705888</v>
      </c>
      <c r="AC185" s="6" t="str">
        <f>Tab_Data_Flows[[#This Row],[E1_UoM]]</f>
        <v>Mg</v>
      </c>
      <c r="AD185" s="139">
        <f>_xlfn.XLOOKUP(Tab_Data_Flows[[#This Row],[Flow_Name]],Tab_Def_Flows[Flow_Name],Tab_Def_Flows[Flow_E4_Fraction'[%']],"N.A.",0,1)</f>
        <v>1</v>
      </c>
      <c r="AE185" s="6">
        <f>IF(G185="Yes",Tab_Data_Flows[[#This Row],[E4_Fraction'[%']]]*Tab_Data_Flows[[#This Row],[E1_value]],"N.A.")</f>
        <v>675849.15864705888</v>
      </c>
      <c r="AF185" s="6" t="str">
        <f>Tab_Data_Flows[[#This Row],[E1_UoM]]</f>
        <v>Mg</v>
      </c>
      <c r="AG185" s="139">
        <f>_xlfn.XLOOKUP(Tab_Data_Flows[[#This Row],[Flow_Name]],Tab_Def_Flows[Flow_Name],Tab_Def_Flows[Flow_E5_Fraction'[%']],"N.A.",0,1)</f>
        <v>0</v>
      </c>
      <c r="AH185" s="6" t="str">
        <f>IF(H185="Yes",Tab_Data_Flows[[#This Row],[E5_Fraction'[%']]]*Tab_Data_Flows[[#This Row],[E1_value]],"N.A.")</f>
        <v>N.A.</v>
      </c>
      <c r="AI185" s="6" t="str">
        <f>Tab_Data_Flows[[#This Row],[E1_UoM]]</f>
        <v>Mg</v>
      </c>
      <c r="AJ185" s="139">
        <f>_xlfn.XLOOKUP(Tab_Data_Flows[[#This Row],[Flow_Name]],Tab_Def_Flows[Flow_Name],Tab_Def_Flows[Flow_E6_Fraction'[%']],"N.A.",0,1)</f>
        <v>0</v>
      </c>
      <c r="AK185" s="6" t="str">
        <f>IF(Tab_Data_Flows[[#This Row],[Use_E6]]="Yes",Tab_Data_Flows[[#This Row],[E6_Fraction'[%']]]*Tab_Data_Flows[[#This Row],[E1_value]],"N.A.")</f>
        <v>N.A.</v>
      </c>
      <c r="AL185" s="6" t="str">
        <f>Tab_Data_Flows[[#This Row],[E1_UoM]]</f>
        <v>Mg</v>
      </c>
    </row>
    <row r="186" spans="1:38" x14ac:dyDescent="0.25">
      <c r="A186" s="8">
        <f t="shared" si="6"/>
        <v>185</v>
      </c>
      <c r="B186" s="6" t="str">
        <f>_xlfn.XLOOKUP(C186,Tab_Def_Flows[Flow_Name],Tab_Def_Flows[Flow_ID],,0,)</f>
        <v>F_00_02</v>
      </c>
      <c r="C186" s="138" t="s">
        <v>1233</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No</v>
      </c>
      <c r="I186" s="9" t="str">
        <f>_xlfn.XLOOKUP(C186,Tab_Def_Flows[Flow_Name],Tab_Def_Flows[Use_E6],,0,)</f>
        <v>No</v>
      </c>
      <c r="J186" s="7">
        <v>2108</v>
      </c>
      <c r="K186" s="21">
        <v>693846.50258823531</v>
      </c>
      <c r="L186" s="6" t="str">
        <f>'0_Configuration'!$C$41</f>
        <v>Mg</v>
      </c>
      <c r="M186" s="13" t="s">
        <v>1263</v>
      </c>
      <c r="N186" s="13">
        <v>2025</v>
      </c>
      <c r="O186" s="13" t="s">
        <v>1260</v>
      </c>
      <c r="P186" s="13" t="s">
        <v>1261</v>
      </c>
      <c r="Q186" s="13" t="s">
        <v>1447</v>
      </c>
      <c r="R186" s="7" t="s">
        <v>6</v>
      </c>
      <c r="S186" s="7"/>
      <c r="T186" s="7"/>
      <c r="U186" s="139">
        <f>_xlfn.XLOOKUP(Tab_Data_Flows[[#This Row],[Flow_Name]],Tab_Def_Flows[Flow_Name],Tab_Def_Flows[Flow_E1_Fraction'[%']],"N.A.",0,1)</f>
        <v>1</v>
      </c>
      <c r="V186" s="12">
        <f t="shared" si="5"/>
        <v>693846.50258823531</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1</v>
      </c>
      <c r="AB186" s="6">
        <f>IF(E186="Yes",AA186*Tab_Data_Flows[[#This Row],[E1_value]],"N.A.")</f>
        <v>693846.50258823531</v>
      </c>
      <c r="AC186" s="6" t="str">
        <f>Tab_Data_Flows[[#This Row],[E1_UoM]]</f>
        <v>Mg</v>
      </c>
      <c r="AD186" s="139">
        <f>_xlfn.XLOOKUP(Tab_Data_Flows[[#This Row],[Flow_Name]],Tab_Def_Flows[Flow_Name],Tab_Def_Flows[Flow_E4_Fraction'[%']],"N.A.",0,1)</f>
        <v>1</v>
      </c>
      <c r="AE186" s="6">
        <f>IF(G186="Yes",Tab_Data_Flows[[#This Row],[E4_Fraction'[%']]]*Tab_Data_Flows[[#This Row],[E1_value]],"N.A.")</f>
        <v>693846.50258823531</v>
      </c>
      <c r="AF186" s="6" t="str">
        <f>Tab_Data_Flows[[#This Row],[E1_UoM]]</f>
        <v>Mg</v>
      </c>
      <c r="AG186" s="139">
        <f>_xlfn.XLOOKUP(Tab_Data_Flows[[#This Row],[Flow_Name]],Tab_Def_Flows[Flow_Name],Tab_Def_Flows[Flow_E5_Fraction'[%']],"N.A.",0,1)</f>
        <v>0</v>
      </c>
      <c r="AH186" s="6" t="str">
        <f>IF(H186="Yes",Tab_Data_Flows[[#This Row],[E5_Fraction'[%']]]*Tab_Data_Flows[[#This Row],[E1_value]],"N.A.")</f>
        <v>N.A.</v>
      </c>
      <c r="AI186" s="6" t="str">
        <f>Tab_Data_Flows[[#This Row],[E1_UoM]]</f>
        <v>Mg</v>
      </c>
      <c r="AJ186" s="139">
        <f>_xlfn.XLOOKUP(Tab_Data_Flows[[#This Row],[Flow_Name]],Tab_Def_Flows[Flow_Name],Tab_Def_Flows[Flow_E6_Fraction'[%']],"N.A.",0,1)</f>
        <v>0</v>
      </c>
      <c r="AK186" s="6" t="str">
        <f>IF(Tab_Data_Flows[[#This Row],[Use_E6]]="Yes",Tab_Data_Flows[[#This Row],[E6_Fraction'[%']]]*Tab_Data_Flows[[#This Row],[E1_value]],"N.A.")</f>
        <v>N.A.</v>
      </c>
      <c r="AL186" s="6" t="str">
        <f>Tab_Data_Flows[[#This Row],[E1_UoM]]</f>
        <v>Mg</v>
      </c>
    </row>
    <row r="187" spans="1:38" x14ac:dyDescent="0.25">
      <c r="A187" s="8">
        <f t="shared" si="6"/>
        <v>186</v>
      </c>
      <c r="B187" s="6" t="str">
        <f>_xlfn.XLOOKUP(C187,Tab_Def_Flows[Flow_Name],Tab_Def_Flows[Flow_ID],,0,)</f>
        <v>F_00_02</v>
      </c>
      <c r="C187" s="138" t="s">
        <v>1233</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No</v>
      </c>
      <c r="I187" s="9" t="str">
        <f>_xlfn.XLOOKUP(C187,Tab_Def_Flows[Flow_Name],Tab_Def_Flows[Use_E6],,0,)</f>
        <v>No</v>
      </c>
      <c r="J187" s="7">
        <v>2109</v>
      </c>
      <c r="K187" s="21">
        <v>643542.26205882349</v>
      </c>
      <c r="L187" s="6" t="str">
        <f>'0_Configuration'!$C$41</f>
        <v>Mg</v>
      </c>
      <c r="M187" s="13" t="s">
        <v>1263</v>
      </c>
      <c r="N187" s="13">
        <v>2025</v>
      </c>
      <c r="O187" s="13" t="s">
        <v>1260</v>
      </c>
      <c r="P187" s="13" t="s">
        <v>1261</v>
      </c>
      <c r="Q187" s="13" t="s">
        <v>1448</v>
      </c>
      <c r="R187" s="7" t="s">
        <v>6</v>
      </c>
      <c r="S187" s="7"/>
      <c r="T187" s="7"/>
      <c r="U187" s="139">
        <f>_xlfn.XLOOKUP(Tab_Data_Flows[[#This Row],[Flow_Name]],Tab_Def_Flows[Flow_Name],Tab_Def_Flows[Flow_E1_Fraction'[%']],"N.A.",0,1)</f>
        <v>1</v>
      </c>
      <c r="V187" s="12">
        <f t="shared" si="5"/>
        <v>643542.26205882349</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1</v>
      </c>
      <c r="AB187" s="6">
        <f>IF(E187="Yes",AA187*Tab_Data_Flows[[#This Row],[E1_value]],"N.A.")</f>
        <v>643542.26205882349</v>
      </c>
      <c r="AC187" s="6" t="str">
        <f>Tab_Data_Flows[[#This Row],[E1_UoM]]</f>
        <v>Mg</v>
      </c>
      <c r="AD187" s="139">
        <f>_xlfn.XLOOKUP(Tab_Data_Flows[[#This Row],[Flow_Name]],Tab_Def_Flows[Flow_Name],Tab_Def_Flows[Flow_E4_Fraction'[%']],"N.A.",0,1)</f>
        <v>1</v>
      </c>
      <c r="AE187" s="6">
        <f>IF(G187="Yes",Tab_Data_Flows[[#This Row],[E4_Fraction'[%']]]*Tab_Data_Flows[[#This Row],[E1_value]],"N.A.")</f>
        <v>643542.26205882349</v>
      </c>
      <c r="AF187" s="6" t="str">
        <f>Tab_Data_Flows[[#This Row],[E1_UoM]]</f>
        <v>Mg</v>
      </c>
      <c r="AG187" s="139">
        <f>_xlfn.XLOOKUP(Tab_Data_Flows[[#This Row],[Flow_Name]],Tab_Def_Flows[Flow_Name],Tab_Def_Flows[Flow_E5_Fraction'[%']],"N.A.",0,1)</f>
        <v>0</v>
      </c>
      <c r="AH187" s="6" t="str">
        <f>IF(H187="Yes",Tab_Data_Flows[[#This Row],[E5_Fraction'[%']]]*Tab_Data_Flows[[#This Row],[E1_value]],"N.A.")</f>
        <v>N.A.</v>
      </c>
      <c r="AI187" s="6" t="str">
        <f>Tab_Data_Flows[[#This Row],[E1_UoM]]</f>
        <v>Mg</v>
      </c>
      <c r="AJ187" s="139">
        <f>_xlfn.XLOOKUP(Tab_Data_Flows[[#This Row],[Flow_Name]],Tab_Def_Flows[Flow_Name],Tab_Def_Flows[Flow_E6_Fraction'[%']],"N.A.",0,1)</f>
        <v>0</v>
      </c>
      <c r="AK187" s="6" t="str">
        <f>IF(Tab_Data_Flows[[#This Row],[Use_E6]]="Yes",Tab_Data_Flows[[#This Row],[E6_Fraction'[%']]]*Tab_Data_Flows[[#This Row],[E1_value]],"N.A.")</f>
        <v>N.A.</v>
      </c>
      <c r="AL187" s="6" t="str">
        <f>Tab_Data_Flows[[#This Row],[E1_UoM]]</f>
        <v>Mg</v>
      </c>
    </row>
    <row r="188" spans="1:38" x14ac:dyDescent="0.25">
      <c r="A188" s="8">
        <f t="shared" si="6"/>
        <v>187</v>
      </c>
      <c r="B188" s="6" t="str">
        <f>_xlfn.XLOOKUP(C188,Tab_Def_Flows[Flow_Name],Tab_Def_Flows[Flow_ID],,0,)</f>
        <v>F_00_02</v>
      </c>
      <c r="C188" s="138" t="s">
        <v>1233</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No</v>
      </c>
      <c r="I188" s="9" t="str">
        <f>_xlfn.XLOOKUP(C188,Tab_Def_Flows[Flow_Name],Tab_Def_Flows[Use_E6],,0,)</f>
        <v>No</v>
      </c>
      <c r="J188" s="7">
        <v>2110</v>
      </c>
      <c r="K188" s="21">
        <v>687073.65352941176</v>
      </c>
      <c r="L188" s="6" t="str">
        <f>'0_Configuration'!$C$41</f>
        <v>Mg</v>
      </c>
      <c r="M188" s="13" t="s">
        <v>1263</v>
      </c>
      <c r="N188" s="13">
        <v>2025</v>
      </c>
      <c r="O188" s="13" t="s">
        <v>1260</v>
      </c>
      <c r="P188" s="13" t="s">
        <v>1261</v>
      </c>
      <c r="Q188" s="13" t="s">
        <v>1449</v>
      </c>
      <c r="R188" s="7" t="s">
        <v>6</v>
      </c>
      <c r="S188" s="7"/>
      <c r="T188" s="7"/>
      <c r="U188" s="139">
        <f>_xlfn.XLOOKUP(Tab_Data_Flows[[#This Row],[Flow_Name]],Tab_Def_Flows[Flow_Name],Tab_Def_Flows[Flow_E1_Fraction'[%']],"N.A.",0,1)</f>
        <v>1</v>
      </c>
      <c r="V188" s="12">
        <f t="shared" si="5"/>
        <v>687073.65352941176</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1</v>
      </c>
      <c r="AB188" s="6">
        <f>IF(E188="Yes",AA188*Tab_Data_Flows[[#This Row],[E1_value]],"N.A.")</f>
        <v>687073.65352941176</v>
      </c>
      <c r="AC188" s="6" t="str">
        <f>Tab_Data_Flows[[#This Row],[E1_UoM]]</f>
        <v>Mg</v>
      </c>
      <c r="AD188" s="139">
        <f>_xlfn.XLOOKUP(Tab_Data_Flows[[#This Row],[Flow_Name]],Tab_Def_Flows[Flow_Name],Tab_Def_Flows[Flow_E4_Fraction'[%']],"N.A.",0,1)</f>
        <v>1</v>
      </c>
      <c r="AE188" s="6">
        <f>IF(G188="Yes",Tab_Data_Flows[[#This Row],[E4_Fraction'[%']]]*Tab_Data_Flows[[#This Row],[E1_value]],"N.A.")</f>
        <v>687073.65352941176</v>
      </c>
      <c r="AF188" s="6" t="str">
        <f>Tab_Data_Flows[[#This Row],[E1_UoM]]</f>
        <v>Mg</v>
      </c>
      <c r="AG188" s="139">
        <f>_xlfn.XLOOKUP(Tab_Data_Flows[[#This Row],[Flow_Name]],Tab_Def_Flows[Flow_Name],Tab_Def_Flows[Flow_E5_Fraction'[%']],"N.A.",0,1)</f>
        <v>0</v>
      </c>
      <c r="AH188" s="6" t="str">
        <f>IF(H188="Yes",Tab_Data_Flows[[#This Row],[E5_Fraction'[%']]]*Tab_Data_Flows[[#This Row],[E1_value]],"N.A.")</f>
        <v>N.A.</v>
      </c>
      <c r="AI188" s="6" t="str">
        <f>Tab_Data_Flows[[#This Row],[E1_UoM]]</f>
        <v>Mg</v>
      </c>
      <c r="AJ188" s="139">
        <f>_xlfn.XLOOKUP(Tab_Data_Flows[[#This Row],[Flow_Name]],Tab_Def_Flows[Flow_Name],Tab_Def_Flows[Flow_E6_Fraction'[%']],"N.A.",0,1)</f>
        <v>0</v>
      </c>
      <c r="AK188" s="6" t="str">
        <f>IF(Tab_Data_Flows[[#This Row],[Use_E6]]="Yes",Tab_Data_Flows[[#This Row],[E6_Fraction'[%']]]*Tab_Data_Flows[[#This Row],[E1_value]],"N.A.")</f>
        <v>N.A.</v>
      </c>
      <c r="AL188" s="6" t="str">
        <f>Tab_Data_Flows[[#This Row],[E1_UoM]]</f>
        <v>Mg</v>
      </c>
    </row>
    <row r="189" spans="1:38" x14ac:dyDescent="0.25">
      <c r="A189" s="8">
        <f t="shared" si="6"/>
        <v>188</v>
      </c>
      <c r="B189" s="6" t="str">
        <f>_xlfn.XLOOKUP(C189,Tab_Def_Flows[Flow_Name],Tab_Def_Flows[Flow_ID],,0,)</f>
        <v>F_00_02</v>
      </c>
      <c r="C189" s="138" t="s">
        <v>1233</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No</v>
      </c>
      <c r="I189" s="9" t="str">
        <f>_xlfn.XLOOKUP(C189,Tab_Def_Flows[Flow_Name],Tab_Def_Flows[Use_E6],,0,)</f>
        <v>No</v>
      </c>
      <c r="J189" s="7">
        <v>2111</v>
      </c>
      <c r="K189" s="21">
        <v>649100.0904705883</v>
      </c>
      <c r="L189" s="6" t="str">
        <f>'0_Configuration'!$C$41</f>
        <v>Mg</v>
      </c>
      <c r="M189" s="13" t="s">
        <v>1263</v>
      </c>
      <c r="N189" s="13">
        <v>2025</v>
      </c>
      <c r="O189" s="13" t="s">
        <v>1260</v>
      </c>
      <c r="P189" s="13" t="s">
        <v>1261</v>
      </c>
      <c r="Q189" s="13" t="s">
        <v>1450</v>
      </c>
      <c r="R189" s="7" t="s">
        <v>6</v>
      </c>
      <c r="S189" s="7"/>
      <c r="T189" s="7"/>
      <c r="U189" s="139">
        <f>_xlfn.XLOOKUP(Tab_Data_Flows[[#This Row],[Flow_Name]],Tab_Def_Flows[Flow_Name],Tab_Def_Flows[Flow_E1_Fraction'[%']],"N.A.",0,1)</f>
        <v>1</v>
      </c>
      <c r="V189" s="12">
        <f t="shared" si="5"/>
        <v>649100.0904705883</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1</v>
      </c>
      <c r="AB189" s="6">
        <f>IF(E189="Yes",AA189*Tab_Data_Flows[[#This Row],[E1_value]],"N.A.")</f>
        <v>649100.0904705883</v>
      </c>
      <c r="AC189" s="6" t="str">
        <f>Tab_Data_Flows[[#This Row],[E1_UoM]]</f>
        <v>Mg</v>
      </c>
      <c r="AD189" s="139">
        <f>_xlfn.XLOOKUP(Tab_Data_Flows[[#This Row],[Flow_Name]],Tab_Def_Flows[Flow_Name],Tab_Def_Flows[Flow_E4_Fraction'[%']],"N.A.",0,1)</f>
        <v>1</v>
      </c>
      <c r="AE189" s="6">
        <f>IF(G189="Yes",Tab_Data_Flows[[#This Row],[E4_Fraction'[%']]]*Tab_Data_Flows[[#This Row],[E1_value]],"N.A.")</f>
        <v>649100.0904705883</v>
      </c>
      <c r="AF189" s="6" t="str">
        <f>Tab_Data_Flows[[#This Row],[E1_UoM]]</f>
        <v>Mg</v>
      </c>
      <c r="AG189" s="139">
        <f>_xlfn.XLOOKUP(Tab_Data_Flows[[#This Row],[Flow_Name]],Tab_Def_Flows[Flow_Name],Tab_Def_Flows[Flow_E5_Fraction'[%']],"N.A.",0,1)</f>
        <v>0</v>
      </c>
      <c r="AH189" s="6" t="str">
        <f>IF(H189="Yes",Tab_Data_Flows[[#This Row],[E5_Fraction'[%']]]*Tab_Data_Flows[[#This Row],[E1_value]],"N.A.")</f>
        <v>N.A.</v>
      </c>
      <c r="AI189" s="6" t="str">
        <f>Tab_Data_Flows[[#This Row],[E1_UoM]]</f>
        <v>Mg</v>
      </c>
      <c r="AJ189" s="139">
        <f>_xlfn.XLOOKUP(Tab_Data_Flows[[#This Row],[Flow_Name]],Tab_Def_Flows[Flow_Name],Tab_Def_Flows[Flow_E6_Fraction'[%']],"N.A.",0,1)</f>
        <v>0</v>
      </c>
      <c r="AK189" s="6" t="str">
        <f>IF(Tab_Data_Flows[[#This Row],[Use_E6]]="Yes",Tab_Data_Flows[[#This Row],[E6_Fraction'[%']]]*Tab_Data_Flows[[#This Row],[E1_value]],"N.A.")</f>
        <v>N.A.</v>
      </c>
      <c r="AL189" s="6" t="str">
        <f>Tab_Data_Flows[[#This Row],[E1_UoM]]</f>
        <v>Mg</v>
      </c>
    </row>
    <row r="190" spans="1:38" x14ac:dyDescent="0.25">
      <c r="A190" s="8">
        <f t="shared" si="6"/>
        <v>189</v>
      </c>
      <c r="B190" s="6" t="str">
        <f>_xlfn.XLOOKUP(C190,Tab_Def_Flows[Flow_Name],Tab_Def_Flows[Flow_ID],,0,)</f>
        <v>F_00_02</v>
      </c>
      <c r="C190" s="138" t="s">
        <v>1233</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No</v>
      </c>
      <c r="I190" s="9" t="str">
        <f>_xlfn.XLOOKUP(C190,Tab_Def_Flows[Flow_Name],Tab_Def_Flows[Use_E6],,0,)</f>
        <v>No</v>
      </c>
      <c r="J190" s="7">
        <v>2112</v>
      </c>
      <c r="K190" s="21">
        <v>683334.36088235292</v>
      </c>
      <c r="L190" s="6" t="str">
        <f>'0_Configuration'!$C$41</f>
        <v>Mg</v>
      </c>
      <c r="M190" s="13" t="s">
        <v>1263</v>
      </c>
      <c r="N190" s="13">
        <v>2025</v>
      </c>
      <c r="O190" s="13" t="s">
        <v>1260</v>
      </c>
      <c r="P190" s="13" t="s">
        <v>1261</v>
      </c>
      <c r="Q190" s="13" t="s">
        <v>1451</v>
      </c>
      <c r="R190" s="7" t="s">
        <v>6</v>
      </c>
      <c r="S190" s="7"/>
      <c r="T190" s="7"/>
      <c r="U190" s="139">
        <f>_xlfn.XLOOKUP(Tab_Data_Flows[[#This Row],[Flow_Name]],Tab_Def_Flows[Flow_Name],Tab_Def_Flows[Flow_E1_Fraction'[%']],"N.A.",0,1)</f>
        <v>1</v>
      </c>
      <c r="V190" s="12">
        <f t="shared" si="5"/>
        <v>683334.36088235292</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1</v>
      </c>
      <c r="AB190" s="6">
        <f>IF(E190="Yes",AA190*Tab_Data_Flows[[#This Row],[E1_value]],"N.A.")</f>
        <v>683334.36088235292</v>
      </c>
      <c r="AC190" s="6" t="str">
        <f>Tab_Data_Flows[[#This Row],[E1_UoM]]</f>
        <v>Mg</v>
      </c>
      <c r="AD190" s="139">
        <f>_xlfn.XLOOKUP(Tab_Data_Flows[[#This Row],[Flow_Name]],Tab_Def_Flows[Flow_Name],Tab_Def_Flows[Flow_E4_Fraction'[%']],"N.A.",0,1)</f>
        <v>1</v>
      </c>
      <c r="AE190" s="6">
        <f>IF(G190="Yes",Tab_Data_Flows[[#This Row],[E4_Fraction'[%']]]*Tab_Data_Flows[[#This Row],[E1_value]],"N.A.")</f>
        <v>683334.36088235292</v>
      </c>
      <c r="AF190" s="6" t="str">
        <f>Tab_Data_Flows[[#This Row],[E1_UoM]]</f>
        <v>Mg</v>
      </c>
      <c r="AG190" s="139">
        <f>_xlfn.XLOOKUP(Tab_Data_Flows[[#This Row],[Flow_Name]],Tab_Def_Flows[Flow_Name],Tab_Def_Flows[Flow_E5_Fraction'[%']],"N.A.",0,1)</f>
        <v>0</v>
      </c>
      <c r="AH190" s="6" t="str">
        <f>IF(H190="Yes",Tab_Data_Flows[[#This Row],[E5_Fraction'[%']]]*Tab_Data_Flows[[#This Row],[E1_value]],"N.A.")</f>
        <v>N.A.</v>
      </c>
      <c r="AI190" s="6" t="str">
        <f>Tab_Data_Flows[[#This Row],[E1_UoM]]</f>
        <v>Mg</v>
      </c>
      <c r="AJ190" s="139">
        <f>_xlfn.XLOOKUP(Tab_Data_Flows[[#This Row],[Flow_Name]],Tab_Def_Flows[Flow_Name],Tab_Def_Flows[Flow_E6_Fraction'[%']],"N.A.",0,1)</f>
        <v>0</v>
      </c>
      <c r="AK190" s="6" t="str">
        <f>IF(Tab_Data_Flows[[#This Row],[Use_E6]]="Yes",Tab_Data_Flows[[#This Row],[E6_Fraction'[%']]]*Tab_Data_Flows[[#This Row],[E1_value]],"N.A.")</f>
        <v>N.A.</v>
      </c>
      <c r="AL190" s="6" t="str">
        <f>Tab_Data_Flows[[#This Row],[E1_UoM]]</f>
        <v>Mg</v>
      </c>
    </row>
    <row r="191" spans="1:38" x14ac:dyDescent="0.25">
      <c r="A191" s="8">
        <f t="shared" si="6"/>
        <v>190</v>
      </c>
      <c r="B191" s="6" t="str">
        <f>_xlfn.XLOOKUP(C191,Tab_Def_Flows[Flow_Name],Tab_Def_Flows[Flow_ID],,0,)</f>
        <v>F_00_02</v>
      </c>
      <c r="C191" s="138" t="s">
        <v>1233</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No</v>
      </c>
      <c r="I191" s="9" t="str">
        <f>_xlfn.XLOOKUP(C191,Tab_Def_Flows[Flow_Name],Tab_Def_Flows[Use_E6],,0,)</f>
        <v>No</v>
      </c>
      <c r="J191" s="7">
        <v>2113</v>
      </c>
      <c r="K191" s="21">
        <v>731017.57182352932</v>
      </c>
      <c r="L191" s="6" t="str">
        <f>'0_Configuration'!$C$41</f>
        <v>Mg</v>
      </c>
      <c r="M191" s="13" t="s">
        <v>1263</v>
      </c>
      <c r="N191" s="13">
        <v>2025</v>
      </c>
      <c r="O191" s="13" t="s">
        <v>1260</v>
      </c>
      <c r="P191" s="13" t="s">
        <v>1261</v>
      </c>
      <c r="Q191" s="13" t="s">
        <v>1452</v>
      </c>
      <c r="R191" s="7" t="s">
        <v>6</v>
      </c>
      <c r="S191" s="7"/>
      <c r="T191" s="7"/>
      <c r="U191" s="139">
        <f>_xlfn.XLOOKUP(Tab_Data_Flows[[#This Row],[Flow_Name]],Tab_Def_Flows[Flow_Name],Tab_Def_Flows[Flow_E1_Fraction'[%']],"N.A.",0,1)</f>
        <v>1</v>
      </c>
      <c r="V191" s="12">
        <f t="shared" si="5"/>
        <v>731017.57182352932</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1</v>
      </c>
      <c r="AB191" s="6">
        <f>IF(E191="Yes",AA191*Tab_Data_Flows[[#This Row],[E1_value]],"N.A.")</f>
        <v>731017.57182352932</v>
      </c>
      <c r="AC191" s="6" t="str">
        <f>Tab_Data_Flows[[#This Row],[E1_UoM]]</f>
        <v>Mg</v>
      </c>
      <c r="AD191" s="139">
        <f>_xlfn.XLOOKUP(Tab_Data_Flows[[#This Row],[Flow_Name]],Tab_Def_Flows[Flow_Name],Tab_Def_Flows[Flow_E4_Fraction'[%']],"N.A.",0,1)</f>
        <v>1</v>
      </c>
      <c r="AE191" s="6">
        <f>IF(G191="Yes",Tab_Data_Flows[[#This Row],[E4_Fraction'[%']]]*Tab_Data_Flows[[#This Row],[E1_value]],"N.A.")</f>
        <v>731017.57182352932</v>
      </c>
      <c r="AF191" s="6" t="str">
        <f>Tab_Data_Flows[[#This Row],[E1_UoM]]</f>
        <v>Mg</v>
      </c>
      <c r="AG191" s="139">
        <f>_xlfn.XLOOKUP(Tab_Data_Flows[[#This Row],[Flow_Name]],Tab_Def_Flows[Flow_Name],Tab_Def_Flows[Flow_E5_Fraction'[%']],"N.A.",0,1)</f>
        <v>0</v>
      </c>
      <c r="AH191" s="6" t="str">
        <f>IF(H191="Yes",Tab_Data_Flows[[#This Row],[E5_Fraction'[%']]]*Tab_Data_Flows[[#This Row],[E1_value]],"N.A.")</f>
        <v>N.A.</v>
      </c>
      <c r="AI191" s="6" t="str">
        <f>Tab_Data_Flows[[#This Row],[E1_UoM]]</f>
        <v>Mg</v>
      </c>
      <c r="AJ191" s="139">
        <f>_xlfn.XLOOKUP(Tab_Data_Flows[[#This Row],[Flow_Name]],Tab_Def_Flows[Flow_Name],Tab_Def_Flows[Flow_E6_Fraction'[%']],"N.A.",0,1)</f>
        <v>0</v>
      </c>
      <c r="AK191" s="6" t="str">
        <f>IF(Tab_Data_Flows[[#This Row],[Use_E6]]="Yes",Tab_Data_Flows[[#This Row],[E6_Fraction'[%']]]*Tab_Data_Flows[[#This Row],[E1_value]],"N.A.")</f>
        <v>N.A.</v>
      </c>
      <c r="AL191" s="6" t="str">
        <f>Tab_Data_Flows[[#This Row],[E1_UoM]]</f>
        <v>Mg</v>
      </c>
    </row>
    <row r="192" spans="1:38" x14ac:dyDescent="0.25">
      <c r="A192" s="8">
        <f t="shared" si="6"/>
        <v>191</v>
      </c>
      <c r="B192" s="6" t="str">
        <f>_xlfn.XLOOKUP(C192,Tab_Def_Flows[Flow_Name],Tab_Def_Flows[Flow_ID],,0,)</f>
        <v>F_00_02</v>
      </c>
      <c r="C192" s="138" t="s">
        <v>1233</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No</v>
      </c>
      <c r="I192" s="9" t="str">
        <f>_xlfn.XLOOKUP(C192,Tab_Def_Flows[Flow_Name],Tab_Def_Flows[Use_E6],,0,)</f>
        <v>No</v>
      </c>
      <c r="J192" s="7">
        <v>2114</v>
      </c>
      <c r="K192" s="21">
        <v>687678.89117647056</v>
      </c>
      <c r="L192" s="6" t="str">
        <f>'0_Configuration'!$C$41</f>
        <v>Mg</v>
      </c>
      <c r="M192" s="13" t="s">
        <v>1263</v>
      </c>
      <c r="N192" s="13">
        <v>2025</v>
      </c>
      <c r="O192" s="13" t="s">
        <v>1260</v>
      </c>
      <c r="P192" s="13" t="s">
        <v>1261</v>
      </c>
      <c r="Q192" s="13" t="s">
        <v>1453</v>
      </c>
      <c r="R192" s="7" t="s">
        <v>6</v>
      </c>
      <c r="S192" s="7"/>
      <c r="T192" s="7"/>
      <c r="U192" s="139">
        <f>_xlfn.XLOOKUP(Tab_Data_Flows[[#This Row],[Flow_Name]],Tab_Def_Flows[Flow_Name],Tab_Def_Flows[Flow_E1_Fraction'[%']],"N.A.",0,1)</f>
        <v>1</v>
      </c>
      <c r="V192" s="12">
        <f t="shared" si="5"/>
        <v>687678.89117647056</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1</v>
      </c>
      <c r="AB192" s="6">
        <f>IF(E192="Yes",AA192*Tab_Data_Flows[[#This Row],[E1_value]],"N.A.")</f>
        <v>687678.89117647056</v>
      </c>
      <c r="AC192" s="6" t="str">
        <f>Tab_Data_Flows[[#This Row],[E1_UoM]]</f>
        <v>Mg</v>
      </c>
      <c r="AD192" s="139">
        <f>_xlfn.XLOOKUP(Tab_Data_Flows[[#This Row],[Flow_Name]],Tab_Def_Flows[Flow_Name],Tab_Def_Flows[Flow_E4_Fraction'[%']],"N.A.",0,1)</f>
        <v>1</v>
      </c>
      <c r="AE192" s="6">
        <f>IF(G192="Yes",Tab_Data_Flows[[#This Row],[E4_Fraction'[%']]]*Tab_Data_Flows[[#This Row],[E1_value]],"N.A.")</f>
        <v>687678.89117647056</v>
      </c>
      <c r="AF192" s="6" t="str">
        <f>Tab_Data_Flows[[#This Row],[E1_UoM]]</f>
        <v>Mg</v>
      </c>
      <c r="AG192" s="139">
        <f>_xlfn.XLOOKUP(Tab_Data_Flows[[#This Row],[Flow_Name]],Tab_Def_Flows[Flow_Name],Tab_Def_Flows[Flow_E5_Fraction'[%']],"N.A.",0,1)</f>
        <v>0</v>
      </c>
      <c r="AH192" s="6" t="str">
        <f>IF(H192="Yes",Tab_Data_Flows[[#This Row],[E5_Fraction'[%']]]*Tab_Data_Flows[[#This Row],[E1_value]],"N.A.")</f>
        <v>N.A.</v>
      </c>
      <c r="AI192" s="6" t="str">
        <f>Tab_Data_Flows[[#This Row],[E1_UoM]]</f>
        <v>Mg</v>
      </c>
      <c r="AJ192" s="139">
        <f>_xlfn.XLOOKUP(Tab_Data_Flows[[#This Row],[Flow_Name]],Tab_Def_Flows[Flow_Name],Tab_Def_Flows[Flow_E6_Fraction'[%']],"N.A.",0,1)</f>
        <v>0</v>
      </c>
      <c r="AK192" s="6" t="str">
        <f>IF(Tab_Data_Flows[[#This Row],[Use_E6]]="Yes",Tab_Data_Flows[[#This Row],[E6_Fraction'[%']]]*Tab_Data_Flows[[#This Row],[E1_value]],"N.A.")</f>
        <v>N.A.</v>
      </c>
      <c r="AL192" s="6" t="str">
        <f>Tab_Data_Flows[[#This Row],[E1_UoM]]</f>
        <v>Mg</v>
      </c>
    </row>
    <row r="193" spans="1:38" x14ac:dyDescent="0.25">
      <c r="A193" s="8">
        <f t="shared" si="6"/>
        <v>192</v>
      </c>
      <c r="B193" s="6" t="str">
        <f>_xlfn.XLOOKUP(C193,Tab_Def_Flows[Flow_Name],Tab_Def_Flows[Flow_ID],,0,)</f>
        <v>F_00_02</v>
      </c>
      <c r="C193" s="138" t="s">
        <v>1233</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No</v>
      </c>
      <c r="I193" s="9" t="str">
        <f>_xlfn.XLOOKUP(C193,Tab_Def_Flows[Flow_Name],Tab_Def_Flows[Use_E6],,0,)</f>
        <v>No</v>
      </c>
      <c r="J193" s="7">
        <v>2115</v>
      </c>
      <c r="K193" s="21">
        <v>654109.57782352937</v>
      </c>
      <c r="L193" s="6" t="str">
        <f>'0_Configuration'!$C$41</f>
        <v>Mg</v>
      </c>
      <c r="M193" s="13" t="s">
        <v>1263</v>
      </c>
      <c r="N193" s="13">
        <v>2025</v>
      </c>
      <c r="O193" s="13" t="s">
        <v>1260</v>
      </c>
      <c r="P193" s="13" t="s">
        <v>1261</v>
      </c>
      <c r="Q193" s="13" t="s">
        <v>1454</v>
      </c>
      <c r="R193" s="7" t="s">
        <v>6</v>
      </c>
      <c r="S193" s="7"/>
      <c r="T193" s="7"/>
      <c r="U193" s="139">
        <f>_xlfn.XLOOKUP(Tab_Data_Flows[[#This Row],[Flow_Name]],Tab_Def_Flows[Flow_Name],Tab_Def_Flows[Flow_E1_Fraction'[%']],"N.A.",0,1)</f>
        <v>1</v>
      </c>
      <c r="V193" s="12">
        <f t="shared" si="5"/>
        <v>654109.57782352937</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1</v>
      </c>
      <c r="AB193" s="6">
        <f>IF(E193="Yes",AA193*Tab_Data_Flows[[#This Row],[E1_value]],"N.A.")</f>
        <v>654109.57782352937</v>
      </c>
      <c r="AC193" s="6" t="str">
        <f>Tab_Data_Flows[[#This Row],[E1_UoM]]</f>
        <v>Mg</v>
      </c>
      <c r="AD193" s="139">
        <f>_xlfn.XLOOKUP(Tab_Data_Flows[[#This Row],[Flow_Name]],Tab_Def_Flows[Flow_Name],Tab_Def_Flows[Flow_E4_Fraction'[%']],"N.A.",0,1)</f>
        <v>1</v>
      </c>
      <c r="AE193" s="6">
        <f>IF(G193="Yes",Tab_Data_Flows[[#This Row],[E4_Fraction'[%']]]*Tab_Data_Flows[[#This Row],[E1_value]],"N.A.")</f>
        <v>654109.57782352937</v>
      </c>
      <c r="AF193" s="6" t="str">
        <f>Tab_Data_Flows[[#This Row],[E1_UoM]]</f>
        <v>Mg</v>
      </c>
      <c r="AG193" s="139">
        <f>_xlfn.XLOOKUP(Tab_Data_Flows[[#This Row],[Flow_Name]],Tab_Def_Flows[Flow_Name],Tab_Def_Flows[Flow_E5_Fraction'[%']],"N.A.",0,1)</f>
        <v>0</v>
      </c>
      <c r="AH193" s="6" t="str">
        <f>IF(H193="Yes",Tab_Data_Flows[[#This Row],[E5_Fraction'[%']]]*Tab_Data_Flows[[#This Row],[E1_value]],"N.A.")</f>
        <v>N.A.</v>
      </c>
      <c r="AI193" s="6" t="str">
        <f>Tab_Data_Flows[[#This Row],[E1_UoM]]</f>
        <v>Mg</v>
      </c>
      <c r="AJ193" s="139">
        <f>_xlfn.XLOOKUP(Tab_Data_Flows[[#This Row],[Flow_Name]],Tab_Def_Flows[Flow_Name],Tab_Def_Flows[Flow_E6_Fraction'[%']],"N.A.",0,1)</f>
        <v>0</v>
      </c>
      <c r="AK193" s="6" t="str">
        <f>IF(Tab_Data_Flows[[#This Row],[Use_E6]]="Yes",Tab_Data_Flows[[#This Row],[E6_Fraction'[%']]]*Tab_Data_Flows[[#This Row],[E1_value]],"N.A.")</f>
        <v>N.A.</v>
      </c>
      <c r="AL193" s="6" t="str">
        <f>Tab_Data_Flows[[#This Row],[E1_UoM]]</f>
        <v>Mg</v>
      </c>
    </row>
    <row r="194" spans="1:38" x14ac:dyDescent="0.25">
      <c r="A194" s="8">
        <f t="shared" si="6"/>
        <v>193</v>
      </c>
      <c r="B194" s="6" t="str">
        <f>_xlfn.XLOOKUP(C194,Tab_Def_Flows[Flow_Name],Tab_Def_Flows[Flow_ID],,0,)</f>
        <v>F_00_02</v>
      </c>
      <c r="C194" s="138" t="s">
        <v>1233</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No</v>
      </c>
      <c r="I194" s="9" t="str">
        <f>_xlfn.XLOOKUP(C194,Tab_Def_Flows[Flow_Name],Tab_Def_Flows[Use_E6],,0,)</f>
        <v>No</v>
      </c>
      <c r="J194" s="7">
        <v>2116</v>
      </c>
      <c r="K194" s="21">
        <v>718052.47994117648</v>
      </c>
      <c r="L194" s="6" t="str">
        <f>'0_Configuration'!$C$41</f>
        <v>Mg</v>
      </c>
      <c r="M194" s="13" t="s">
        <v>1263</v>
      </c>
      <c r="N194" s="13">
        <v>2025</v>
      </c>
      <c r="O194" s="13" t="s">
        <v>1260</v>
      </c>
      <c r="P194" s="13" t="s">
        <v>1261</v>
      </c>
      <c r="Q194" s="13" t="s">
        <v>1455</v>
      </c>
      <c r="R194" s="7" t="s">
        <v>6</v>
      </c>
      <c r="S194" s="7"/>
      <c r="T194" s="7"/>
      <c r="U194" s="139">
        <f>_xlfn.XLOOKUP(Tab_Data_Flows[[#This Row],[Flow_Name]],Tab_Def_Flows[Flow_Name],Tab_Def_Flows[Flow_E1_Fraction'[%']],"N.A.",0,1)</f>
        <v>1</v>
      </c>
      <c r="V194" s="12">
        <f t="shared" ref="V194:V257" si="7">IF(R194="no",K194,K194*S194)</f>
        <v>718052.47994117648</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1</v>
      </c>
      <c r="AB194" s="6">
        <f>IF(E194="Yes",AA194*Tab_Data_Flows[[#This Row],[E1_value]],"N.A.")</f>
        <v>718052.47994117648</v>
      </c>
      <c r="AC194" s="6" t="str">
        <f>Tab_Data_Flows[[#This Row],[E1_UoM]]</f>
        <v>Mg</v>
      </c>
      <c r="AD194" s="139">
        <f>_xlfn.XLOOKUP(Tab_Data_Flows[[#This Row],[Flow_Name]],Tab_Def_Flows[Flow_Name],Tab_Def_Flows[Flow_E4_Fraction'[%']],"N.A.",0,1)</f>
        <v>1</v>
      </c>
      <c r="AE194" s="6">
        <f>IF(G194="Yes",Tab_Data_Flows[[#This Row],[E4_Fraction'[%']]]*Tab_Data_Flows[[#This Row],[E1_value]],"N.A.")</f>
        <v>718052.47994117648</v>
      </c>
      <c r="AF194" s="6" t="str">
        <f>Tab_Data_Flows[[#This Row],[E1_UoM]]</f>
        <v>Mg</v>
      </c>
      <c r="AG194" s="139">
        <f>_xlfn.XLOOKUP(Tab_Data_Flows[[#This Row],[Flow_Name]],Tab_Def_Flows[Flow_Name],Tab_Def_Flows[Flow_E5_Fraction'[%']],"N.A.",0,1)</f>
        <v>0</v>
      </c>
      <c r="AH194" s="6" t="str">
        <f>IF(H194="Yes",Tab_Data_Flows[[#This Row],[E5_Fraction'[%']]]*Tab_Data_Flows[[#This Row],[E1_value]],"N.A.")</f>
        <v>N.A.</v>
      </c>
      <c r="AI194" s="6" t="str">
        <f>Tab_Data_Flows[[#This Row],[E1_UoM]]</f>
        <v>Mg</v>
      </c>
      <c r="AJ194" s="139">
        <f>_xlfn.XLOOKUP(Tab_Data_Flows[[#This Row],[Flow_Name]],Tab_Def_Flows[Flow_Name],Tab_Def_Flows[Flow_E6_Fraction'[%']],"N.A.",0,1)</f>
        <v>0</v>
      </c>
      <c r="AK194" s="6" t="str">
        <f>IF(Tab_Data_Flows[[#This Row],[Use_E6]]="Yes",Tab_Data_Flows[[#This Row],[E6_Fraction'[%']]]*Tab_Data_Flows[[#This Row],[E1_value]],"N.A.")</f>
        <v>N.A.</v>
      </c>
      <c r="AL194" s="6" t="str">
        <f>Tab_Data_Flows[[#This Row],[E1_UoM]]</f>
        <v>Mg</v>
      </c>
    </row>
    <row r="195" spans="1:38" x14ac:dyDescent="0.25">
      <c r="A195" s="8">
        <f t="shared" ref="A195:A258" si="8">ROW()-1</f>
        <v>194</v>
      </c>
      <c r="B195" s="6" t="str">
        <f>_xlfn.XLOOKUP(C195,Tab_Def_Flows[Flow_Name],Tab_Def_Flows[Flow_ID],,0,)</f>
        <v>F_00_02</v>
      </c>
      <c r="C195" s="138" t="s">
        <v>1233</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No</v>
      </c>
      <c r="I195" s="9" t="str">
        <f>_xlfn.XLOOKUP(C195,Tab_Def_Flows[Flow_Name],Tab_Def_Flows[Use_E6],,0,)</f>
        <v>No</v>
      </c>
      <c r="J195" s="7">
        <v>2117</v>
      </c>
      <c r="K195" s="21">
        <v>724106.30576470599</v>
      </c>
      <c r="L195" s="6" t="str">
        <f>'0_Configuration'!$C$41</f>
        <v>Mg</v>
      </c>
      <c r="M195" s="13" t="s">
        <v>1263</v>
      </c>
      <c r="N195" s="13">
        <v>2025</v>
      </c>
      <c r="O195" s="13" t="s">
        <v>1260</v>
      </c>
      <c r="P195" s="13" t="s">
        <v>1261</v>
      </c>
      <c r="Q195" s="13" t="s">
        <v>1456</v>
      </c>
      <c r="R195" s="7" t="s">
        <v>6</v>
      </c>
      <c r="S195" s="7"/>
      <c r="T195" s="7"/>
      <c r="U195" s="139">
        <f>_xlfn.XLOOKUP(Tab_Data_Flows[[#This Row],[Flow_Name]],Tab_Def_Flows[Flow_Name],Tab_Def_Flows[Flow_E1_Fraction'[%']],"N.A.",0,1)</f>
        <v>1</v>
      </c>
      <c r="V195" s="12">
        <f t="shared" si="7"/>
        <v>724106.30576470599</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1</v>
      </c>
      <c r="AB195" s="6">
        <f>IF(E195="Yes",AA195*Tab_Data_Flows[[#This Row],[E1_value]],"N.A.")</f>
        <v>724106.30576470599</v>
      </c>
      <c r="AC195" s="6" t="str">
        <f>Tab_Data_Flows[[#This Row],[E1_UoM]]</f>
        <v>Mg</v>
      </c>
      <c r="AD195" s="139">
        <f>_xlfn.XLOOKUP(Tab_Data_Flows[[#This Row],[Flow_Name]],Tab_Def_Flows[Flow_Name],Tab_Def_Flows[Flow_E4_Fraction'[%']],"N.A.",0,1)</f>
        <v>1</v>
      </c>
      <c r="AE195" s="6">
        <f>IF(G195="Yes",Tab_Data_Flows[[#This Row],[E4_Fraction'[%']]]*Tab_Data_Flows[[#This Row],[E1_value]],"N.A.")</f>
        <v>724106.30576470599</v>
      </c>
      <c r="AF195" s="6" t="str">
        <f>Tab_Data_Flows[[#This Row],[E1_UoM]]</f>
        <v>Mg</v>
      </c>
      <c r="AG195" s="139">
        <f>_xlfn.XLOOKUP(Tab_Data_Flows[[#This Row],[Flow_Name]],Tab_Def_Flows[Flow_Name],Tab_Def_Flows[Flow_E5_Fraction'[%']],"N.A.",0,1)</f>
        <v>0</v>
      </c>
      <c r="AH195" s="6" t="str">
        <f>IF(H195="Yes",Tab_Data_Flows[[#This Row],[E5_Fraction'[%']]]*Tab_Data_Flows[[#This Row],[E1_value]],"N.A.")</f>
        <v>N.A.</v>
      </c>
      <c r="AI195" s="6" t="str">
        <f>Tab_Data_Flows[[#This Row],[E1_UoM]]</f>
        <v>Mg</v>
      </c>
      <c r="AJ195" s="139">
        <f>_xlfn.XLOOKUP(Tab_Data_Flows[[#This Row],[Flow_Name]],Tab_Def_Flows[Flow_Name],Tab_Def_Flows[Flow_E6_Fraction'[%']],"N.A.",0,1)</f>
        <v>0</v>
      </c>
      <c r="AK195" s="6" t="str">
        <f>IF(Tab_Data_Flows[[#This Row],[Use_E6]]="Yes",Tab_Data_Flows[[#This Row],[E6_Fraction'[%']]]*Tab_Data_Flows[[#This Row],[E1_value]],"N.A.")</f>
        <v>N.A.</v>
      </c>
      <c r="AL195" s="6" t="str">
        <f>Tab_Data_Flows[[#This Row],[E1_UoM]]</f>
        <v>Mg</v>
      </c>
    </row>
    <row r="196" spans="1:38" x14ac:dyDescent="0.25">
      <c r="A196" s="8">
        <f t="shared" si="8"/>
        <v>195</v>
      </c>
      <c r="B196" s="6" t="str">
        <f>_xlfn.XLOOKUP(C196,Tab_Def_Flows[Flow_Name],Tab_Def_Flows[Flow_ID],,0,)</f>
        <v>F_00_02</v>
      </c>
      <c r="C196" s="138" t="s">
        <v>1233</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No</v>
      </c>
      <c r="I196" s="9" t="str">
        <f>_xlfn.XLOOKUP(C196,Tab_Def_Flows[Flow_Name],Tab_Def_Flows[Use_E6],,0,)</f>
        <v>No</v>
      </c>
      <c r="J196" s="7">
        <v>2118</v>
      </c>
      <c r="K196" s="21">
        <v>637958.39082352933</v>
      </c>
      <c r="L196" s="6" t="str">
        <f>'0_Configuration'!$C$41</f>
        <v>Mg</v>
      </c>
      <c r="M196" s="13" t="s">
        <v>1263</v>
      </c>
      <c r="N196" s="13">
        <v>2025</v>
      </c>
      <c r="O196" s="13" t="s">
        <v>1260</v>
      </c>
      <c r="P196" s="13" t="s">
        <v>1261</v>
      </c>
      <c r="Q196" s="13" t="s">
        <v>1457</v>
      </c>
      <c r="R196" s="7" t="s">
        <v>6</v>
      </c>
      <c r="S196" s="7"/>
      <c r="T196" s="7"/>
      <c r="U196" s="139">
        <f>_xlfn.XLOOKUP(Tab_Data_Flows[[#This Row],[Flow_Name]],Tab_Def_Flows[Flow_Name],Tab_Def_Flows[Flow_E1_Fraction'[%']],"N.A.",0,1)</f>
        <v>1</v>
      </c>
      <c r="V196" s="12">
        <f t="shared" si="7"/>
        <v>637958.39082352933</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1</v>
      </c>
      <c r="AB196" s="6">
        <f>IF(E196="Yes",AA196*Tab_Data_Flows[[#This Row],[E1_value]],"N.A.")</f>
        <v>637958.39082352933</v>
      </c>
      <c r="AC196" s="6" t="str">
        <f>Tab_Data_Flows[[#This Row],[E1_UoM]]</f>
        <v>Mg</v>
      </c>
      <c r="AD196" s="139">
        <f>_xlfn.XLOOKUP(Tab_Data_Flows[[#This Row],[Flow_Name]],Tab_Def_Flows[Flow_Name],Tab_Def_Flows[Flow_E4_Fraction'[%']],"N.A.",0,1)</f>
        <v>1</v>
      </c>
      <c r="AE196" s="6">
        <f>IF(G196="Yes",Tab_Data_Flows[[#This Row],[E4_Fraction'[%']]]*Tab_Data_Flows[[#This Row],[E1_value]],"N.A.")</f>
        <v>637958.39082352933</v>
      </c>
      <c r="AF196" s="6" t="str">
        <f>Tab_Data_Flows[[#This Row],[E1_UoM]]</f>
        <v>Mg</v>
      </c>
      <c r="AG196" s="139">
        <f>_xlfn.XLOOKUP(Tab_Data_Flows[[#This Row],[Flow_Name]],Tab_Def_Flows[Flow_Name],Tab_Def_Flows[Flow_E5_Fraction'[%']],"N.A.",0,1)</f>
        <v>0</v>
      </c>
      <c r="AH196" s="6" t="str">
        <f>IF(H196="Yes",Tab_Data_Flows[[#This Row],[E5_Fraction'[%']]]*Tab_Data_Flows[[#This Row],[E1_value]],"N.A.")</f>
        <v>N.A.</v>
      </c>
      <c r="AI196" s="6" t="str">
        <f>Tab_Data_Flows[[#This Row],[E1_UoM]]</f>
        <v>Mg</v>
      </c>
      <c r="AJ196" s="139">
        <f>_xlfn.XLOOKUP(Tab_Data_Flows[[#This Row],[Flow_Name]],Tab_Def_Flows[Flow_Name],Tab_Def_Flows[Flow_E6_Fraction'[%']],"N.A.",0,1)</f>
        <v>0</v>
      </c>
      <c r="AK196" s="6" t="str">
        <f>IF(Tab_Data_Flows[[#This Row],[Use_E6]]="Yes",Tab_Data_Flows[[#This Row],[E6_Fraction'[%']]]*Tab_Data_Flows[[#This Row],[E1_value]],"N.A.")</f>
        <v>N.A.</v>
      </c>
      <c r="AL196" s="6" t="str">
        <f>Tab_Data_Flows[[#This Row],[E1_UoM]]</f>
        <v>Mg</v>
      </c>
    </row>
    <row r="197" spans="1:38" x14ac:dyDescent="0.25">
      <c r="A197" s="8">
        <f t="shared" si="8"/>
        <v>196</v>
      </c>
      <c r="B197" s="6" t="str">
        <f>_xlfn.XLOOKUP(C197,Tab_Def_Flows[Flow_Name],Tab_Def_Flows[Flow_ID],,0,)</f>
        <v>F_00_02</v>
      </c>
      <c r="C197" s="138" t="s">
        <v>1233</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No</v>
      </c>
      <c r="I197" s="9" t="str">
        <f>_xlfn.XLOOKUP(C197,Tab_Def_Flows[Flow_Name],Tab_Def_Flows[Use_E6],,0,)</f>
        <v>No</v>
      </c>
      <c r="J197" s="7">
        <v>2119</v>
      </c>
      <c r="K197" s="21">
        <v>600789.78017647052</v>
      </c>
      <c r="L197" s="6" t="str">
        <f>'0_Configuration'!$C$41</f>
        <v>Mg</v>
      </c>
      <c r="M197" s="13" t="s">
        <v>1263</v>
      </c>
      <c r="N197" s="13">
        <v>2025</v>
      </c>
      <c r="O197" s="13" t="s">
        <v>1260</v>
      </c>
      <c r="P197" s="13" t="s">
        <v>1261</v>
      </c>
      <c r="Q197" s="13" t="s">
        <v>1458</v>
      </c>
      <c r="R197" s="7" t="s">
        <v>6</v>
      </c>
      <c r="S197" s="7"/>
      <c r="T197" s="7"/>
      <c r="U197" s="139">
        <f>_xlfn.XLOOKUP(Tab_Data_Flows[[#This Row],[Flow_Name]],Tab_Def_Flows[Flow_Name],Tab_Def_Flows[Flow_E1_Fraction'[%']],"N.A.",0,1)</f>
        <v>1</v>
      </c>
      <c r="V197" s="12">
        <f t="shared" si="7"/>
        <v>600789.78017647052</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1</v>
      </c>
      <c r="AB197" s="6">
        <f>IF(E197="Yes",AA197*Tab_Data_Flows[[#This Row],[E1_value]],"N.A.")</f>
        <v>600789.78017647052</v>
      </c>
      <c r="AC197" s="6" t="str">
        <f>Tab_Data_Flows[[#This Row],[E1_UoM]]</f>
        <v>Mg</v>
      </c>
      <c r="AD197" s="139">
        <f>_xlfn.XLOOKUP(Tab_Data_Flows[[#This Row],[Flow_Name]],Tab_Def_Flows[Flow_Name],Tab_Def_Flows[Flow_E4_Fraction'[%']],"N.A.",0,1)</f>
        <v>1</v>
      </c>
      <c r="AE197" s="6">
        <f>IF(G197="Yes",Tab_Data_Flows[[#This Row],[E4_Fraction'[%']]]*Tab_Data_Flows[[#This Row],[E1_value]],"N.A.")</f>
        <v>600789.78017647052</v>
      </c>
      <c r="AF197" s="6" t="str">
        <f>Tab_Data_Flows[[#This Row],[E1_UoM]]</f>
        <v>Mg</v>
      </c>
      <c r="AG197" s="139">
        <f>_xlfn.XLOOKUP(Tab_Data_Flows[[#This Row],[Flow_Name]],Tab_Def_Flows[Flow_Name],Tab_Def_Flows[Flow_E5_Fraction'[%']],"N.A.",0,1)</f>
        <v>0</v>
      </c>
      <c r="AH197" s="6" t="str">
        <f>IF(H197="Yes",Tab_Data_Flows[[#This Row],[E5_Fraction'[%']]]*Tab_Data_Flows[[#This Row],[E1_value]],"N.A.")</f>
        <v>N.A.</v>
      </c>
      <c r="AI197" s="6" t="str">
        <f>Tab_Data_Flows[[#This Row],[E1_UoM]]</f>
        <v>Mg</v>
      </c>
      <c r="AJ197" s="139">
        <f>_xlfn.XLOOKUP(Tab_Data_Flows[[#This Row],[Flow_Name]],Tab_Def_Flows[Flow_Name],Tab_Def_Flows[Flow_E6_Fraction'[%']],"N.A.",0,1)</f>
        <v>0</v>
      </c>
      <c r="AK197" s="6" t="str">
        <f>IF(Tab_Data_Flows[[#This Row],[Use_E6]]="Yes",Tab_Data_Flows[[#This Row],[E6_Fraction'[%']]]*Tab_Data_Flows[[#This Row],[E1_value]],"N.A.")</f>
        <v>N.A.</v>
      </c>
      <c r="AL197" s="6" t="str">
        <f>Tab_Data_Flows[[#This Row],[E1_UoM]]</f>
        <v>Mg</v>
      </c>
    </row>
    <row r="198" spans="1:38" x14ac:dyDescent="0.25">
      <c r="A198" s="8">
        <f t="shared" si="8"/>
        <v>197</v>
      </c>
      <c r="B198" s="6" t="str">
        <f>_xlfn.XLOOKUP(C198,Tab_Def_Flows[Flow_Name],Tab_Def_Flows[Flow_ID],,0,)</f>
        <v>F_00_02</v>
      </c>
      <c r="C198" s="138" t="s">
        <v>1233</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No</v>
      </c>
      <c r="I198" s="9" t="str">
        <f>_xlfn.XLOOKUP(C198,Tab_Def_Flows[Flow_Name],Tab_Def_Flows[Use_E6],,0,)</f>
        <v>No</v>
      </c>
      <c r="J198" s="7">
        <v>2120</v>
      </c>
      <c r="K198" s="21">
        <v>712237.81252941175</v>
      </c>
      <c r="L198" s="6" t="str">
        <f>'0_Configuration'!$C$41</f>
        <v>Mg</v>
      </c>
      <c r="M198" s="13" t="s">
        <v>1263</v>
      </c>
      <c r="N198" s="13">
        <v>2025</v>
      </c>
      <c r="O198" s="13" t="s">
        <v>1260</v>
      </c>
      <c r="P198" s="13" t="s">
        <v>1261</v>
      </c>
      <c r="Q198" s="13" t="s">
        <v>1459</v>
      </c>
      <c r="R198" s="7" t="s">
        <v>6</v>
      </c>
      <c r="S198" s="7"/>
      <c r="T198" s="7"/>
      <c r="U198" s="139">
        <f>_xlfn.XLOOKUP(Tab_Data_Flows[[#This Row],[Flow_Name]],Tab_Def_Flows[Flow_Name],Tab_Def_Flows[Flow_E1_Fraction'[%']],"N.A.",0,1)</f>
        <v>1</v>
      </c>
      <c r="V198" s="12">
        <f t="shared" si="7"/>
        <v>712237.81252941175</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1</v>
      </c>
      <c r="AB198" s="6">
        <f>IF(E198="Yes",AA198*Tab_Data_Flows[[#This Row],[E1_value]],"N.A.")</f>
        <v>712237.81252941175</v>
      </c>
      <c r="AC198" s="6" t="str">
        <f>Tab_Data_Flows[[#This Row],[E1_UoM]]</f>
        <v>Mg</v>
      </c>
      <c r="AD198" s="139">
        <f>_xlfn.XLOOKUP(Tab_Data_Flows[[#This Row],[Flow_Name]],Tab_Def_Flows[Flow_Name],Tab_Def_Flows[Flow_E4_Fraction'[%']],"N.A.",0,1)</f>
        <v>1</v>
      </c>
      <c r="AE198" s="6">
        <f>IF(G198="Yes",Tab_Data_Flows[[#This Row],[E4_Fraction'[%']]]*Tab_Data_Flows[[#This Row],[E1_value]],"N.A.")</f>
        <v>712237.81252941175</v>
      </c>
      <c r="AF198" s="6" t="str">
        <f>Tab_Data_Flows[[#This Row],[E1_UoM]]</f>
        <v>Mg</v>
      </c>
      <c r="AG198" s="139">
        <f>_xlfn.XLOOKUP(Tab_Data_Flows[[#This Row],[Flow_Name]],Tab_Def_Flows[Flow_Name],Tab_Def_Flows[Flow_E5_Fraction'[%']],"N.A.",0,1)</f>
        <v>0</v>
      </c>
      <c r="AH198" s="6" t="str">
        <f>IF(H198="Yes",Tab_Data_Flows[[#This Row],[E5_Fraction'[%']]]*Tab_Data_Flows[[#This Row],[E1_value]],"N.A.")</f>
        <v>N.A.</v>
      </c>
      <c r="AI198" s="6" t="str">
        <f>Tab_Data_Flows[[#This Row],[E1_UoM]]</f>
        <v>Mg</v>
      </c>
      <c r="AJ198" s="139">
        <f>_xlfn.XLOOKUP(Tab_Data_Flows[[#This Row],[Flow_Name]],Tab_Def_Flows[Flow_Name],Tab_Def_Flows[Flow_E6_Fraction'[%']],"N.A.",0,1)</f>
        <v>0</v>
      </c>
      <c r="AK198" s="6" t="str">
        <f>IF(Tab_Data_Flows[[#This Row],[Use_E6]]="Yes",Tab_Data_Flows[[#This Row],[E6_Fraction'[%']]]*Tab_Data_Flows[[#This Row],[E1_value]],"N.A.")</f>
        <v>N.A.</v>
      </c>
      <c r="AL198" s="6" t="str">
        <f>Tab_Data_Flows[[#This Row],[E1_UoM]]</f>
        <v>Mg</v>
      </c>
    </row>
    <row r="199" spans="1:38" x14ac:dyDescent="0.25">
      <c r="A199" s="8">
        <f t="shared" si="8"/>
        <v>198</v>
      </c>
      <c r="B199" s="6" t="str">
        <f>_xlfn.XLOOKUP(C199,Tab_Def_Flows[Flow_Name],Tab_Def_Flows[Flow_ID],,0,)</f>
        <v>F_00_02</v>
      </c>
      <c r="C199" s="138" t="s">
        <v>1233</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No</v>
      </c>
      <c r="I199" s="9" t="str">
        <f>_xlfn.XLOOKUP(C199,Tab_Def_Flows[Flow_Name],Tab_Def_Flows[Use_E6],,0,)</f>
        <v>No</v>
      </c>
      <c r="J199" s="7">
        <v>2121</v>
      </c>
      <c r="K199" s="21">
        <v>699536.16899999999</v>
      </c>
      <c r="L199" s="6" t="str">
        <f>'0_Configuration'!$C$41</f>
        <v>Mg</v>
      </c>
      <c r="M199" s="13" t="s">
        <v>1263</v>
      </c>
      <c r="N199" s="13">
        <v>2025</v>
      </c>
      <c r="O199" s="13" t="s">
        <v>1260</v>
      </c>
      <c r="P199" s="13" t="s">
        <v>1261</v>
      </c>
      <c r="Q199" s="13" t="s">
        <v>1460</v>
      </c>
      <c r="R199" s="7" t="s">
        <v>6</v>
      </c>
      <c r="S199" s="7"/>
      <c r="T199" s="7"/>
      <c r="U199" s="139">
        <f>_xlfn.XLOOKUP(Tab_Data_Flows[[#This Row],[Flow_Name]],Tab_Def_Flows[Flow_Name],Tab_Def_Flows[Flow_E1_Fraction'[%']],"N.A.",0,1)</f>
        <v>1</v>
      </c>
      <c r="V199" s="12">
        <f t="shared" si="7"/>
        <v>699536.16899999999</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1</v>
      </c>
      <c r="AB199" s="6">
        <f>IF(E199="Yes",AA199*Tab_Data_Flows[[#This Row],[E1_value]],"N.A.")</f>
        <v>699536.16899999999</v>
      </c>
      <c r="AC199" s="6" t="str">
        <f>Tab_Data_Flows[[#This Row],[E1_UoM]]</f>
        <v>Mg</v>
      </c>
      <c r="AD199" s="139">
        <f>_xlfn.XLOOKUP(Tab_Data_Flows[[#This Row],[Flow_Name]],Tab_Def_Flows[Flow_Name],Tab_Def_Flows[Flow_E4_Fraction'[%']],"N.A.",0,1)</f>
        <v>1</v>
      </c>
      <c r="AE199" s="6">
        <f>IF(G199="Yes",Tab_Data_Flows[[#This Row],[E4_Fraction'[%']]]*Tab_Data_Flows[[#This Row],[E1_value]],"N.A.")</f>
        <v>699536.16899999999</v>
      </c>
      <c r="AF199" s="6" t="str">
        <f>Tab_Data_Flows[[#This Row],[E1_UoM]]</f>
        <v>Mg</v>
      </c>
      <c r="AG199" s="139">
        <f>_xlfn.XLOOKUP(Tab_Data_Flows[[#This Row],[Flow_Name]],Tab_Def_Flows[Flow_Name],Tab_Def_Flows[Flow_E5_Fraction'[%']],"N.A.",0,1)</f>
        <v>0</v>
      </c>
      <c r="AH199" s="6" t="str">
        <f>IF(H199="Yes",Tab_Data_Flows[[#This Row],[E5_Fraction'[%']]]*Tab_Data_Flows[[#This Row],[E1_value]],"N.A.")</f>
        <v>N.A.</v>
      </c>
      <c r="AI199" s="6" t="str">
        <f>Tab_Data_Flows[[#This Row],[E1_UoM]]</f>
        <v>Mg</v>
      </c>
      <c r="AJ199" s="139">
        <f>_xlfn.XLOOKUP(Tab_Data_Flows[[#This Row],[Flow_Name]],Tab_Def_Flows[Flow_Name],Tab_Def_Flows[Flow_E6_Fraction'[%']],"N.A.",0,1)</f>
        <v>0</v>
      </c>
      <c r="AK199" s="6" t="str">
        <f>IF(Tab_Data_Flows[[#This Row],[Use_E6]]="Yes",Tab_Data_Flows[[#This Row],[E6_Fraction'[%']]]*Tab_Data_Flows[[#This Row],[E1_value]],"N.A.")</f>
        <v>N.A.</v>
      </c>
      <c r="AL199" s="6" t="str">
        <f>Tab_Data_Flows[[#This Row],[E1_UoM]]</f>
        <v>Mg</v>
      </c>
    </row>
    <row r="200" spans="1:38" x14ac:dyDescent="0.25">
      <c r="A200" s="8">
        <f t="shared" si="8"/>
        <v>199</v>
      </c>
      <c r="B200" s="6" t="str">
        <f>_xlfn.XLOOKUP(C200,Tab_Def_Flows[Flow_Name],Tab_Def_Flows[Flow_ID],,0,)</f>
        <v>F_00_02</v>
      </c>
      <c r="C200" s="138" t="s">
        <v>1233</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No</v>
      </c>
      <c r="I200" s="9" t="str">
        <f>_xlfn.XLOOKUP(C200,Tab_Def_Flows[Flow_Name],Tab_Def_Flows[Use_E6],,0,)</f>
        <v>No</v>
      </c>
      <c r="J200" s="7">
        <v>2122</v>
      </c>
      <c r="K200" s="21">
        <v>694905.78988235292</v>
      </c>
      <c r="L200" s="6" t="str">
        <f>'0_Configuration'!$C$41</f>
        <v>Mg</v>
      </c>
      <c r="M200" s="13" t="s">
        <v>1263</v>
      </c>
      <c r="N200" s="13">
        <v>2025</v>
      </c>
      <c r="O200" s="13" t="s">
        <v>1260</v>
      </c>
      <c r="P200" s="13" t="s">
        <v>1261</v>
      </c>
      <c r="Q200" s="13" t="s">
        <v>1461</v>
      </c>
      <c r="R200" s="7" t="s">
        <v>6</v>
      </c>
      <c r="S200" s="7"/>
      <c r="T200" s="7"/>
      <c r="U200" s="139">
        <f>_xlfn.XLOOKUP(Tab_Data_Flows[[#This Row],[Flow_Name]],Tab_Def_Flows[Flow_Name],Tab_Def_Flows[Flow_E1_Fraction'[%']],"N.A.",0,1)</f>
        <v>1</v>
      </c>
      <c r="V200" s="12">
        <f t="shared" si="7"/>
        <v>694905.78988235292</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1</v>
      </c>
      <c r="AB200" s="6">
        <f>IF(E200="Yes",AA200*Tab_Data_Flows[[#This Row],[E1_value]],"N.A.")</f>
        <v>694905.78988235292</v>
      </c>
      <c r="AC200" s="6" t="str">
        <f>Tab_Data_Flows[[#This Row],[E1_UoM]]</f>
        <v>Mg</v>
      </c>
      <c r="AD200" s="139">
        <f>_xlfn.XLOOKUP(Tab_Data_Flows[[#This Row],[Flow_Name]],Tab_Def_Flows[Flow_Name],Tab_Def_Flows[Flow_E4_Fraction'[%']],"N.A.",0,1)</f>
        <v>1</v>
      </c>
      <c r="AE200" s="6">
        <f>IF(G200="Yes",Tab_Data_Flows[[#This Row],[E4_Fraction'[%']]]*Tab_Data_Flows[[#This Row],[E1_value]],"N.A.")</f>
        <v>694905.78988235292</v>
      </c>
      <c r="AF200" s="6" t="str">
        <f>Tab_Data_Flows[[#This Row],[E1_UoM]]</f>
        <v>Mg</v>
      </c>
      <c r="AG200" s="139">
        <f>_xlfn.XLOOKUP(Tab_Data_Flows[[#This Row],[Flow_Name]],Tab_Def_Flows[Flow_Name],Tab_Def_Flows[Flow_E5_Fraction'[%']],"N.A.",0,1)</f>
        <v>0</v>
      </c>
      <c r="AH200" s="6" t="str">
        <f>IF(H200="Yes",Tab_Data_Flows[[#This Row],[E5_Fraction'[%']]]*Tab_Data_Flows[[#This Row],[E1_value]],"N.A.")</f>
        <v>N.A.</v>
      </c>
      <c r="AI200" s="6" t="str">
        <f>Tab_Data_Flows[[#This Row],[E1_UoM]]</f>
        <v>Mg</v>
      </c>
      <c r="AJ200" s="139">
        <f>_xlfn.XLOOKUP(Tab_Data_Flows[[#This Row],[Flow_Name]],Tab_Def_Flows[Flow_Name],Tab_Def_Flows[Flow_E6_Fraction'[%']],"N.A.",0,1)</f>
        <v>0</v>
      </c>
      <c r="AK200" s="6" t="str">
        <f>IF(Tab_Data_Flows[[#This Row],[Use_E6]]="Yes",Tab_Data_Flows[[#This Row],[E6_Fraction'[%']]]*Tab_Data_Flows[[#This Row],[E1_value]],"N.A.")</f>
        <v>N.A.</v>
      </c>
      <c r="AL200" s="6" t="str">
        <f>Tab_Data_Flows[[#This Row],[E1_UoM]]</f>
        <v>Mg</v>
      </c>
    </row>
    <row r="201" spans="1:38" x14ac:dyDescent="0.25">
      <c r="A201" s="8">
        <f t="shared" si="8"/>
        <v>200</v>
      </c>
      <c r="B201" s="6" t="str">
        <f>_xlfn.XLOOKUP(C201,Tab_Def_Flows[Flow_Name],Tab_Def_Flows[Flow_ID],,0,)</f>
        <v>F_00_02</v>
      </c>
      <c r="C201" s="138" t="s">
        <v>1233</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No</v>
      </c>
      <c r="I201" s="9" t="str">
        <f>_xlfn.XLOOKUP(C201,Tab_Def_Flows[Flow_Name],Tab_Def_Flows[Use_E6],,0,)</f>
        <v>No</v>
      </c>
      <c r="J201" s="7">
        <v>2123</v>
      </c>
      <c r="K201" s="21">
        <v>747248.70847058832</v>
      </c>
      <c r="L201" s="6" t="str">
        <f>'0_Configuration'!$C$41</f>
        <v>Mg</v>
      </c>
      <c r="M201" s="13" t="s">
        <v>1263</v>
      </c>
      <c r="N201" s="13">
        <v>2025</v>
      </c>
      <c r="O201" s="13" t="s">
        <v>1260</v>
      </c>
      <c r="P201" s="13" t="s">
        <v>1261</v>
      </c>
      <c r="Q201" s="13" t="s">
        <v>1462</v>
      </c>
      <c r="R201" s="7" t="s">
        <v>6</v>
      </c>
      <c r="S201" s="7"/>
      <c r="T201" s="7"/>
      <c r="U201" s="139">
        <f>_xlfn.XLOOKUP(Tab_Data_Flows[[#This Row],[Flow_Name]],Tab_Def_Flows[Flow_Name],Tab_Def_Flows[Flow_E1_Fraction'[%']],"N.A.",0,1)</f>
        <v>1</v>
      </c>
      <c r="V201" s="12">
        <f t="shared" si="7"/>
        <v>747248.70847058832</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1</v>
      </c>
      <c r="AB201" s="6">
        <f>IF(E201="Yes",AA201*Tab_Data_Flows[[#This Row],[E1_value]],"N.A.")</f>
        <v>747248.70847058832</v>
      </c>
      <c r="AC201" s="6" t="str">
        <f>Tab_Data_Flows[[#This Row],[E1_UoM]]</f>
        <v>Mg</v>
      </c>
      <c r="AD201" s="139">
        <f>_xlfn.XLOOKUP(Tab_Data_Flows[[#This Row],[Flow_Name]],Tab_Def_Flows[Flow_Name],Tab_Def_Flows[Flow_E4_Fraction'[%']],"N.A.",0,1)</f>
        <v>1</v>
      </c>
      <c r="AE201" s="6">
        <f>IF(G201="Yes",Tab_Data_Flows[[#This Row],[E4_Fraction'[%']]]*Tab_Data_Flows[[#This Row],[E1_value]],"N.A.")</f>
        <v>747248.70847058832</v>
      </c>
      <c r="AF201" s="6" t="str">
        <f>Tab_Data_Flows[[#This Row],[E1_UoM]]</f>
        <v>Mg</v>
      </c>
      <c r="AG201" s="139">
        <f>_xlfn.XLOOKUP(Tab_Data_Flows[[#This Row],[Flow_Name]],Tab_Def_Flows[Flow_Name],Tab_Def_Flows[Flow_E5_Fraction'[%']],"N.A.",0,1)</f>
        <v>0</v>
      </c>
      <c r="AH201" s="6" t="str">
        <f>IF(H201="Yes",Tab_Data_Flows[[#This Row],[E5_Fraction'[%']]]*Tab_Data_Flows[[#This Row],[E1_value]],"N.A.")</f>
        <v>N.A.</v>
      </c>
      <c r="AI201" s="6" t="str">
        <f>Tab_Data_Flows[[#This Row],[E1_UoM]]</f>
        <v>Mg</v>
      </c>
      <c r="AJ201" s="139">
        <f>_xlfn.XLOOKUP(Tab_Data_Flows[[#This Row],[Flow_Name]],Tab_Def_Flows[Flow_Name],Tab_Def_Flows[Flow_E6_Fraction'[%']],"N.A.",0,1)</f>
        <v>0</v>
      </c>
      <c r="AK201" s="6" t="str">
        <f>IF(Tab_Data_Flows[[#This Row],[Use_E6]]="Yes",Tab_Data_Flows[[#This Row],[E6_Fraction'[%']]]*Tab_Data_Flows[[#This Row],[E1_value]],"N.A.")</f>
        <v>N.A.</v>
      </c>
      <c r="AL201" s="6" t="str">
        <f>Tab_Data_Flows[[#This Row],[E1_UoM]]</f>
        <v>Mg</v>
      </c>
    </row>
    <row r="202" spans="1:38" x14ac:dyDescent="0.25">
      <c r="A202" s="8">
        <f t="shared" si="8"/>
        <v>201</v>
      </c>
      <c r="B202" s="6" t="str">
        <f>_xlfn.XLOOKUP(C202,Tab_Def_Flows[Flow_Name],Tab_Def_Flows[Flow_ID],,0,)</f>
        <v>F_00_02</v>
      </c>
      <c r="C202" s="138" t="s">
        <v>1233</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No</v>
      </c>
      <c r="I202" s="9" t="str">
        <f>_xlfn.XLOOKUP(C202,Tab_Def_Flows[Flow_Name],Tab_Def_Flows[Use_E6],,0,)</f>
        <v>No</v>
      </c>
      <c r="J202" s="7">
        <v>2124</v>
      </c>
      <c r="K202" s="21">
        <v>644171.2205294118</v>
      </c>
      <c r="L202" s="6" t="str">
        <f>'0_Configuration'!$C$41</f>
        <v>Mg</v>
      </c>
      <c r="M202" s="13" t="s">
        <v>1263</v>
      </c>
      <c r="N202" s="13">
        <v>2025</v>
      </c>
      <c r="O202" s="13" t="s">
        <v>1260</v>
      </c>
      <c r="P202" s="13" t="s">
        <v>1261</v>
      </c>
      <c r="Q202" s="13" t="s">
        <v>1463</v>
      </c>
      <c r="R202" s="7" t="s">
        <v>6</v>
      </c>
      <c r="S202" s="7"/>
      <c r="T202" s="7"/>
      <c r="U202" s="139">
        <f>_xlfn.XLOOKUP(Tab_Data_Flows[[#This Row],[Flow_Name]],Tab_Def_Flows[Flow_Name],Tab_Def_Flows[Flow_E1_Fraction'[%']],"N.A.",0,1)</f>
        <v>1</v>
      </c>
      <c r="V202" s="12">
        <f t="shared" si="7"/>
        <v>644171.2205294118</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1</v>
      </c>
      <c r="AB202" s="6">
        <f>IF(E202="Yes",AA202*Tab_Data_Flows[[#This Row],[E1_value]],"N.A.")</f>
        <v>644171.2205294118</v>
      </c>
      <c r="AC202" s="6" t="str">
        <f>Tab_Data_Flows[[#This Row],[E1_UoM]]</f>
        <v>Mg</v>
      </c>
      <c r="AD202" s="139">
        <f>_xlfn.XLOOKUP(Tab_Data_Flows[[#This Row],[Flow_Name]],Tab_Def_Flows[Flow_Name],Tab_Def_Flows[Flow_E4_Fraction'[%']],"N.A.",0,1)</f>
        <v>1</v>
      </c>
      <c r="AE202" s="6">
        <f>IF(G202="Yes",Tab_Data_Flows[[#This Row],[E4_Fraction'[%']]]*Tab_Data_Flows[[#This Row],[E1_value]],"N.A.")</f>
        <v>644171.2205294118</v>
      </c>
      <c r="AF202" s="6" t="str">
        <f>Tab_Data_Flows[[#This Row],[E1_UoM]]</f>
        <v>Mg</v>
      </c>
      <c r="AG202" s="139">
        <f>_xlfn.XLOOKUP(Tab_Data_Flows[[#This Row],[Flow_Name]],Tab_Def_Flows[Flow_Name],Tab_Def_Flows[Flow_E5_Fraction'[%']],"N.A.",0,1)</f>
        <v>0</v>
      </c>
      <c r="AH202" s="6" t="str">
        <f>IF(H202="Yes",Tab_Data_Flows[[#This Row],[E5_Fraction'[%']]]*Tab_Data_Flows[[#This Row],[E1_value]],"N.A.")</f>
        <v>N.A.</v>
      </c>
      <c r="AI202" s="6" t="str">
        <f>Tab_Data_Flows[[#This Row],[E1_UoM]]</f>
        <v>Mg</v>
      </c>
      <c r="AJ202" s="139">
        <f>_xlfn.XLOOKUP(Tab_Data_Flows[[#This Row],[Flow_Name]],Tab_Def_Flows[Flow_Name],Tab_Def_Flows[Flow_E6_Fraction'[%']],"N.A.",0,1)</f>
        <v>0</v>
      </c>
      <c r="AK202" s="6" t="str">
        <f>IF(Tab_Data_Flows[[#This Row],[Use_E6]]="Yes",Tab_Data_Flows[[#This Row],[E6_Fraction'[%']]]*Tab_Data_Flows[[#This Row],[E1_value]],"N.A.")</f>
        <v>N.A.</v>
      </c>
      <c r="AL202" s="6" t="str">
        <f>Tab_Data_Flows[[#This Row],[E1_UoM]]</f>
        <v>Mg</v>
      </c>
    </row>
    <row r="203" spans="1:38" x14ac:dyDescent="0.25">
      <c r="A203" s="8">
        <f t="shared" si="8"/>
        <v>202</v>
      </c>
      <c r="B203" s="6" t="str">
        <f>_xlfn.XLOOKUP(C203,Tab_Def_Flows[Flow_Name],Tab_Def_Flows[Flow_ID],,0,)</f>
        <v>F_00_02</v>
      </c>
      <c r="C203" s="138" t="s">
        <v>1233</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No</v>
      </c>
      <c r="I203" s="9" t="str">
        <f>_xlfn.XLOOKUP(C203,Tab_Def_Flows[Flow_Name],Tab_Def_Flows[Use_E6],,0,)</f>
        <v>No</v>
      </c>
      <c r="J203" s="7">
        <v>2125</v>
      </c>
      <c r="K203" s="21">
        <v>695833.74758823519</v>
      </c>
      <c r="L203" s="6" t="str">
        <f>'0_Configuration'!$C$41</f>
        <v>Mg</v>
      </c>
      <c r="M203" s="13" t="s">
        <v>1263</v>
      </c>
      <c r="N203" s="13">
        <v>2025</v>
      </c>
      <c r="O203" s="13" t="s">
        <v>1260</v>
      </c>
      <c r="P203" s="13" t="s">
        <v>1261</v>
      </c>
      <c r="Q203" s="13" t="s">
        <v>1464</v>
      </c>
      <c r="R203" s="7" t="s">
        <v>6</v>
      </c>
      <c r="S203" s="7"/>
      <c r="T203" s="7"/>
      <c r="U203" s="139">
        <f>_xlfn.XLOOKUP(Tab_Data_Flows[[#This Row],[Flow_Name]],Tab_Def_Flows[Flow_Name],Tab_Def_Flows[Flow_E1_Fraction'[%']],"N.A.",0,1)</f>
        <v>1</v>
      </c>
      <c r="V203" s="12">
        <f t="shared" si="7"/>
        <v>695833.74758823519</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1</v>
      </c>
      <c r="AB203" s="6">
        <f>IF(E203="Yes",AA203*Tab_Data_Flows[[#This Row],[E1_value]],"N.A.")</f>
        <v>695833.74758823519</v>
      </c>
      <c r="AC203" s="6" t="str">
        <f>Tab_Data_Flows[[#This Row],[E1_UoM]]</f>
        <v>Mg</v>
      </c>
      <c r="AD203" s="139">
        <f>_xlfn.XLOOKUP(Tab_Data_Flows[[#This Row],[Flow_Name]],Tab_Def_Flows[Flow_Name],Tab_Def_Flows[Flow_E4_Fraction'[%']],"N.A.",0,1)</f>
        <v>1</v>
      </c>
      <c r="AE203" s="6">
        <f>IF(G203="Yes",Tab_Data_Flows[[#This Row],[E4_Fraction'[%']]]*Tab_Data_Flows[[#This Row],[E1_value]],"N.A.")</f>
        <v>695833.74758823519</v>
      </c>
      <c r="AF203" s="6" t="str">
        <f>Tab_Data_Flows[[#This Row],[E1_UoM]]</f>
        <v>Mg</v>
      </c>
      <c r="AG203" s="139">
        <f>_xlfn.XLOOKUP(Tab_Data_Flows[[#This Row],[Flow_Name]],Tab_Def_Flows[Flow_Name],Tab_Def_Flows[Flow_E5_Fraction'[%']],"N.A.",0,1)</f>
        <v>0</v>
      </c>
      <c r="AH203" s="6" t="str">
        <f>IF(H203="Yes",Tab_Data_Flows[[#This Row],[E5_Fraction'[%']]]*Tab_Data_Flows[[#This Row],[E1_value]],"N.A.")</f>
        <v>N.A.</v>
      </c>
      <c r="AI203" s="6" t="str">
        <f>Tab_Data_Flows[[#This Row],[E1_UoM]]</f>
        <v>Mg</v>
      </c>
      <c r="AJ203" s="139">
        <f>_xlfn.XLOOKUP(Tab_Data_Flows[[#This Row],[Flow_Name]],Tab_Def_Flows[Flow_Name],Tab_Def_Flows[Flow_E6_Fraction'[%']],"N.A.",0,1)</f>
        <v>0</v>
      </c>
      <c r="AK203" s="6" t="str">
        <f>IF(Tab_Data_Flows[[#This Row],[Use_E6]]="Yes",Tab_Data_Flows[[#This Row],[E6_Fraction'[%']]]*Tab_Data_Flows[[#This Row],[E1_value]],"N.A.")</f>
        <v>N.A.</v>
      </c>
      <c r="AL203" s="6" t="str">
        <f>Tab_Data_Flows[[#This Row],[E1_UoM]]</f>
        <v>Mg</v>
      </c>
    </row>
    <row r="204" spans="1:38" x14ac:dyDescent="0.25">
      <c r="A204" s="8">
        <f t="shared" si="8"/>
        <v>203</v>
      </c>
      <c r="B204" s="6" t="str">
        <f>_xlfn.XLOOKUP(C204,Tab_Def_Flows[Flow_Name],Tab_Def_Flows[Flow_ID],,0,)</f>
        <v>F_01_09</v>
      </c>
      <c r="C204" s="138" t="s">
        <v>1239</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No</v>
      </c>
      <c r="I204" s="9" t="str">
        <f>_xlfn.XLOOKUP(C204,Tab_Def_Flows[Flow_Name],Tab_Def_Flows[Use_E6],,0,)</f>
        <v>No</v>
      </c>
      <c r="J204" s="7">
        <v>2025</v>
      </c>
      <c r="K204" s="21">
        <v>10000</v>
      </c>
      <c r="L204" s="6" t="str">
        <f>'0_Configuration'!$C$41</f>
        <v>Mg</v>
      </c>
      <c r="M204" s="13"/>
      <c r="N204" s="13"/>
      <c r="O204" s="13"/>
      <c r="P204" s="13"/>
      <c r="Q204" s="13"/>
      <c r="R204" s="7" t="s">
        <v>6</v>
      </c>
      <c r="S204" s="7"/>
      <c r="T204" s="7"/>
      <c r="U204" s="139">
        <f>_xlfn.XLOOKUP(Tab_Data_Flows[[#This Row],[Flow_Name]],Tab_Def_Flows[Flow_Name],Tab_Def_Flows[Flow_E1_Fraction'[%']],"N.A.",0,1)</f>
        <v>1</v>
      </c>
      <c r="V204" s="12">
        <f t="shared" si="7"/>
        <v>10000</v>
      </c>
      <c r="W204" s="6" t="str">
        <f>Tab_Data_Flows[[#This Row],[UoM_Source]]</f>
        <v>Mg</v>
      </c>
      <c r="X204" s="139">
        <f>_xlfn.XLOOKUP(Tab_Data_Flows[[#This Row],[Flow_Name]],Tab_Def_Flows[Flow_Name],Tab_Def_Flows[Flow_E2_Fraction'[%']],"N.A.",0,1)</f>
        <v>1</v>
      </c>
      <c r="Y204" s="6">
        <f>IF(D204="Yes",V204*Tab_Data_Flows[[#This Row],[E2_Fraction'[%']]],"N.A.")</f>
        <v>10000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IF(G204="Yes",Tab_Data_Flows[[#This Row],[E4_Fraction'[%']]]*Tab_Data_Flows[[#This Row],[E1_value]],"N.A.")</f>
        <v>0</v>
      </c>
      <c r="AF204" s="6" t="str">
        <f>Tab_Data_Flows[[#This Row],[E1_UoM]]</f>
        <v>Mg</v>
      </c>
      <c r="AG204" s="139">
        <f>_xlfn.XLOOKUP(Tab_Data_Flows[[#This Row],[Flow_Name]],Tab_Def_Flows[Flow_Name],Tab_Def_Flows[Flow_E5_Fraction'[%']],"N.A.",0,1)</f>
        <v>0</v>
      </c>
      <c r="AH204" s="6" t="str">
        <f>IF(H204="Yes",Tab_Data_Flows[[#This Row],[E5_Fraction'[%']]]*Tab_Data_Flows[[#This Row],[E1_value]],"N.A.")</f>
        <v>N.A.</v>
      </c>
      <c r="AI204" s="6" t="str">
        <f>Tab_Data_Flows[[#This Row],[E1_UoM]]</f>
        <v>Mg</v>
      </c>
      <c r="AJ204" s="139">
        <f>_xlfn.XLOOKUP(Tab_Data_Flows[[#This Row],[Flow_Name]],Tab_Def_Flows[Flow_Name],Tab_Def_Flows[Flow_E6_Fraction'[%']],"N.A.",0,1)</f>
        <v>0</v>
      </c>
      <c r="AK204" s="6" t="str">
        <f>IF(Tab_Data_Flows[[#This Row],[Use_E6]]="Yes",Tab_Data_Flows[[#This Row],[E6_Fraction'[%']]]*Tab_Data_Flows[[#This Row],[E1_value]],"N.A.")</f>
        <v>N.A.</v>
      </c>
      <c r="AL204" s="6" t="str">
        <f>Tab_Data_Flows[[#This Row],[E1_UoM]]</f>
        <v>Mg</v>
      </c>
    </row>
    <row r="205" spans="1:38" x14ac:dyDescent="0.25">
      <c r="A205" s="8">
        <f t="shared" si="8"/>
        <v>204</v>
      </c>
      <c r="B205" s="6" t="str">
        <f>_xlfn.XLOOKUP(C205,Tab_Def_Flows[Flow_Name],Tab_Def_Flows[Flow_ID],,0,)</f>
        <v>F_01_09</v>
      </c>
      <c r="C205" s="138" t="s">
        <v>1239</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No</v>
      </c>
      <c r="I205" s="9" t="str">
        <f>_xlfn.XLOOKUP(C205,Tab_Def_Flows[Flow_Name],Tab_Def_Flows[Use_E6],,0,)</f>
        <v>No</v>
      </c>
      <c r="J205" s="7">
        <v>2026</v>
      </c>
      <c r="K205" s="21">
        <v>10000</v>
      </c>
      <c r="L205" s="6" t="str">
        <f>'0_Configuration'!$C$41</f>
        <v>Mg</v>
      </c>
      <c r="M205" s="13"/>
      <c r="N205" s="13"/>
      <c r="O205" s="13"/>
      <c r="P205" s="13"/>
      <c r="Q205" s="13"/>
      <c r="R205" s="7" t="s">
        <v>6</v>
      </c>
      <c r="S205" s="14"/>
      <c r="T205" s="7"/>
      <c r="U205" s="139">
        <f>_xlfn.XLOOKUP(Tab_Data_Flows[[#This Row],[Flow_Name]],Tab_Def_Flows[Flow_Name],Tab_Def_Flows[Flow_E1_Fraction'[%']],"N.A.",0,1)</f>
        <v>1</v>
      </c>
      <c r="V205" s="12">
        <f t="shared" si="7"/>
        <v>10000</v>
      </c>
      <c r="W205" s="6" t="str">
        <f>Tab_Data_Flows[[#This Row],[UoM_Source]]</f>
        <v>Mg</v>
      </c>
      <c r="X205" s="139">
        <f>_xlfn.XLOOKUP(Tab_Data_Flows[[#This Row],[Flow_Name]],Tab_Def_Flows[Flow_Name],Tab_Def_Flows[Flow_E2_Fraction'[%']],"N.A.",0,1)</f>
        <v>1</v>
      </c>
      <c r="Y205" s="6">
        <f>IF(D205="Yes",V205*Tab_Data_Flows[[#This Row],[E2_Fraction'[%']]],"N.A.")</f>
        <v>10000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IF(G205="Yes",Tab_Data_Flows[[#This Row],[E4_Fraction'[%']]]*Tab_Data_Flows[[#This Row],[E1_value]],"N.A.")</f>
        <v>0</v>
      </c>
      <c r="AF205" s="6" t="str">
        <f>Tab_Data_Flows[[#This Row],[E1_UoM]]</f>
        <v>Mg</v>
      </c>
      <c r="AG205" s="139">
        <f>_xlfn.XLOOKUP(Tab_Data_Flows[[#This Row],[Flow_Name]],Tab_Def_Flows[Flow_Name],Tab_Def_Flows[Flow_E5_Fraction'[%']],"N.A.",0,1)</f>
        <v>0</v>
      </c>
      <c r="AH205" s="6" t="str">
        <f>IF(H205="Yes",Tab_Data_Flows[[#This Row],[E5_Fraction'[%']]]*Tab_Data_Flows[[#This Row],[E1_value]],"N.A.")</f>
        <v>N.A.</v>
      </c>
      <c r="AI205" s="6" t="str">
        <f>Tab_Data_Flows[[#This Row],[E1_UoM]]</f>
        <v>Mg</v>
      </c>
      <c r="AJ205" s="139">
        <f>_xlfn.XLOOKUP(Tab_Data_Flows[[#This Row],[Flow_Name]],Tab_Def_Flows[Flow_Name],Tab_Def_Flows[Flow_E6_Fraction'[%']],"N.A.",0,1)</f>
        <v>0</v>
      </c>
      <c r="AK205" s="6" t="str">
        <f>IF(Tab_Data_Flows[[#This Row],[Use_E6]]="Yes",Tab_Data_Flows[[#This Row],[E6_Fraction'[%']]]*Tab_Data_Flows[[#This Row],[E1_value]],"N.A.")</f>
        <v>N.A.</v>
      </c>
      <c r="AL205" s="6" t="str">
        <f>Tab_Data_Flows[[#This Row],[E1_UoM]]</f>
        <v>Mg</v>
      </c>
    </row>
    <row r="206" spans="1:38" x14ac:dyDescent="0.25">
      <c r="A206" s="8">
        <f t="shared" si="8"/>
        <v>205</v>
      </c>
      <c r="B206" s="6" t="str">
        <f>_xlfn.XLOOKUP(C206,Tab_Def_Flows[Flow_Name],Tab_Def_Flows[Flow_ID],,0,)</f>
        <v>F_01_09</v>
      </c>
      <c r="C206" s="138" t="s">
        <v>1239</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No</v>
      </c>
      <c r="I206" s="9" t="str">
        <f>_xlfn.XLOOKUP(C206,Tab_Def_Flows[Flow_Name],Tab_Def_Flows[Use_E6],,0,)</f>
        <v>No</v>
      </c>
      <c r="J206" s="7">
        <v>2027</v>
      </c>
      <c r="K206" s="21">
        <v>10000</v>
      </c>
      <c r="L206" s="6" t="str">
        <f>'0_Configuration'!$C$41</f>
        <v>Mg</v>
      </c>
      <c r="M206" s="13"/>
      <c r="N206" s="13"/>
      <c r="O206" s="13"/>
      <c r="P206" s="13"/>
      <c r="Q206" s="13"/>
      <c r="R206" s="7" t="s">
        <v>6</v>
      </c>
      <c r="S206" s="14"/>
      <c r="T206" s="7"/>
      <c r="U206" s="139">
        <f>_xlfn.XLOOKUP(Tab_Data_Flows[[#This Row],[Flow_Name]],Tab_Def_Flows[Flow_Name],Tab_Def_Flows[Flow_E1_Fraction'[%']],"N.A.",0,1)</f>
        <v>1</v>
      </c>
      <c r="V206" s="12">
        <f t="shared" si="7"/>
        <v>10000</v>
      </c>
      <c r="W206" s="6" t="str">
        <f>Tab_Data_Flows[[#This Row],[UoM_Source]]</f>
        <v>Mg</v>
      </c>
      <c r="X206" s="139">
        <f>_xlfn.XLOOKUP(Tab_Data_Flows[[#This Row],[Flow_Name]],Tab_Def_Flows[Flow_Name],Tab_Def_Flows[Flow_E2_Fraction'[%']],"N.A.",0,1)</f>
        <v>1</v>
      </c>
      <c r="Y206" s="6">
        <f>IF(D206="Yes",V206*Tab_Data_Flows[[#This Row],[E2_Fraction'[%']]],"N.A.")</f>
        <v>10000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IF(G206="Yes",Tab_Data_Flows[[#This Row],[E4_Fraction'[%']]]*Tab_Data_Flows[[#This Row],[E1_value]],"N.A.")</f>
        <v>0</v>
      </c>
      <c r="AF206" s="6" t="str">
        <f>Tab_Data_Flows[[#This Row],[E1_UoM]]</f>
        <v>Mg</v>
      </c>
      <c r="AG206" s="139">
        <f>_xlfn.XLOOKUP(Tab_Data_Flows[[#This Row],[Flow_Name]],Tab_Def_Flows[Flow_Name],Tab_Def_Flows[Flow_E5_Fraction'[%']],"N.A.",0,1)</f>
        <v>0</v>
      </c>
      <c r="AH206" s="6" t="str">
        <f>IF(H206="Yes",Tab_Data_Flows[[#This Row],[E5_Fraction'[%']]]*Tab_Data_Flows[[#This Row],[E1_value]],"N.A.")</f>
        <v>N.A.</v>
      </c>
      <c r="AI206" s="6" t="str">
        <f>Tab_Data_Flows[[#This Row],[E1_UoM]]</f>
        <v>Mg</v>
      </c>
      <c r="AJ206" s="139">
        <f>_xlfn.XLOOKUP(Tab_Data_Flows[[#This Row],[Flow_Name]],Tab_Def_Flows[Flow_Name],Tab_Def_Flows[Flow_E6_Fraction'[%']],"N.A.",0,1)</f>
        <v>0</v>
      </c>
      <c r="AK206" s="6" t="str">
        <f>IF(Tab_Data_Flows[[#This Row],[Use_E6]]="Yes",Tab_Data_Flows[[#This Row],[E6_Fraction'[%']]]*Tab_Data_Flows[[#This Row],[E1_value]],"N.A.")</f>
        <v>N.A.</v>
      </c>
      <c r="AL206" s="6" t="str">
        <f>Tab_Data_Flows[[#This Row],[E1_UoM]]</f>
        <v>Mg</v>
      </c>
    </row>
    <row r="207" spans="1:38" x14ac:dyDescent="0.25">
      <c r="A207" s="8">
        <f t="shared" si="8"/>
        <v>206</v>
      </c>
      <c r="B207" s="6" t="str">
        <f>_xlfn.XLOOKUP(C207,Tab_Def_Flows[Flow_Name],Tab_Def_Flows[Flow_ID],,0,)</f>
        <v>F_01_09</v>
      </c>
      <c r="C207" s="138" t="s">
        <v>1239</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No</v>
      </c>
      <c r="I207" s="9" t="str">
        <f>_xlfn.XLOOKUP(C207,Tab_Def_Flows[Flow_Name],Tab_Def_Flows[Use_E6],,0,)</f>
        <v>No</v>
      </c>
      <c r="J207" s="7">
        <v>2028</v>
      </c>
      <c r="K207" s="21">
        <v>10000</v>
      </c>
      <c r="L207" s="6" t="str">
        <f>'0_Configuration'!$C$41</f>
        <v>Mg</v>
      </c>
      <c r="M207" s="13"/>
      <c r="N207" s="13"/>
      <c r="O207" s="13"/>
      <c r="P207" s="13"/>
      <c r="Q207" s="13"/>
      <c r="R207" s="7" t="s">
        <v>6</v>
      </c>
      <c r="S207" s="14"/>
      <c r="T207" s="7"/>
      <c r="U207" s="139">
        <f>_xlfn.XLOOKUP(Tab_Data_Flows[[#This Row],[Flow_Name]],Tab_Def_Flows[Flow_Name],Tab_Def_Flows[Flow_E1_Fraction'[%']],"N.A.",0,1)</f>
        <v>1</v>
      </c>
      <c r="V207" s="12">
        <f t="shared" si="7"/>
        <v>10000</v>
      </c>
      <c r="W207" s="6" t="str">
        <f>Tab_Data_Flows[[#This Row],[UoM_Source]]</f>
        <v>Mg</v>
      </c>
      <c r="X207" s="139">
        <f>_xlfn.XLOOKUP(Tab_Data_Flows[[#This Row],[Flow_Name]],Tab_Def_Flows[Flow_Name],Tab_Def_Flows[Flow_E2_Fraction'[%']],"N.A.",0,1)</f>
        <v>1</v>
      </c>
      <c r="Y207" s="6">
        <f>IF(D207="Yes",V207*Tab_Data_Flows[[#This Row],[E2_Fraction'[%']]],"N.A.")</f>
        <v>10000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IF(G207="Yes",Tab_Data_Flows[[#This Row],[E4_Fraction'[%']]]*Tab_Data_Flows[[#This Row],[E1_value]],"N.A.")</f>
        <v>0</v>
      </c>
      <c r="AF207" s="6" t="str">
        <f>Tab_Data_Flows[[#This Row],[E1_UoM]]</f>
        <v>Mg</v>
      </c>
      <c r="AG207" s="139">
        <f>_xlfn.XLOOKUP(Tab_Data_Flows[[#This Row],[Flow_Name]],Tab_Def_Flows[Flow_Name],Tab_Def_Flows[Flow_E5_Fraction'[%']],"N.A.",0,1)</f>
        <v>0</v>
      </c>
      <c r="AH207" s="6" t="str">
        <f>IF(H207="Yes",Tab_Data_Flows[[#This Row],[E5_Fraction'[%']]]*Tab_Data_Flows[[#This Row],[E1_value]],"N.A.")</f>
        <v>N.A.</v>
      </c>
      <c r="AI207" s="6" t="str">
        <f>Tab_Data_Flows[[#This Row],[E1_UoM]]</f>
        <v>Mg</v>
      </c>
      <c r="AJ207" s="139">
        <f>_xlfn.XLOOKUP(Tab_Data_Flows[[#This Row],[Flow_Name]],Tab_Def_Flows[Flow_Name],Tab_Def_Flows[Flow_E6_Fraction'[%']],"N.A.",0,1)</f>
        <v>0</v>
      </c>
      <c r="AK207" s="6" t="str">
        <f>IF(Tab_Data_Flows[[#This Row],[Use_E6]]="Yes",Tab_Data_Flows[[#This Row],[E6_Fraction'[%']]]*Tab_Data_Flows[[#This Row],[E1_value]],"N.A.")</f>
        <v>N.A.</v>
      </c>
      <c r="AL207" s="6" t="str">
        <f>Tab_Data_Flows[[#This Row],[E1_UoM]]</f>
        <v>Mg</v>
      </c>
    </row>
    <row r="208" spans="1:38" x14ac:dyDescent="0.25">
      <c r="A208" s="8">
        <f t="shared" si="8"/>
        <v>207</v>
      </c>
      <c r="B208" s="6" t="str">
        <f>_xlfn.XLOOKUP(C208,Tab_Def_Flows[Flow_Name],Tab_Def_Flows[Flow_ID],,0,)</f>
        <v>F_01_09</v>
      </c>
      <c r="C208" s="138" t="s">
        <v>1239</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No</v>
      </c>
      <c r="I208" s="9" t="str">
        <f>_xlfn.XLOOKUP(C208,Tab_Def_Flows[Flow_Name],Tab_Def_Flows[Use_E6],,0,)</f>
        <v>No</v>
      </c>
      <c r="J208" s="7">
        <v>2029</v>
      </c>
      <c r="K208" s="21">
        <v>10000</v>
      </c>
      <c r="L208" s="6" t="str">
        <f>'0_Configuration'!$C$41</f>
        <v>Mg</v>
      </c>
      <c r="M208" s="13"/>
      <c r="N208" s="13"/>
      <c r="O208" s="13"/>
      <c r="P208" s="13"/>
      <c r="Q208" s="13"/>
      <c r="R208" s="7" t="s">
        <v>6</v>
      </c>
      <c r="S208" s="14"/>
      <c r="T208" s="7"/>
      <c r="U208" s="139">
        <f>_xlfn.XLOOKUP(Tab_Data_Flows[[#This Row],[Flow_Name]],Tab_Def_Flows[Flow_Name],Tab_Def_Flows[Flow_E1_Fraction'[%']],"N.A.",0,1)</f>
        <v>1</v>
      </c>
      <c r="V208" s="12">
        <f t="shared" si="7"/>
        <v>10000</v>
      </c>
      <c r="W208" s="6" t="str">
        <f>Tab_Data_Flows[[#This Row],[UoM_Source]]</f>
        <v>Mg</v>
      </c>
      <c r="X208" s="139">
        <f>_xlfn.XLOOKUP(Tab_Data_Flows[[#This Row],[Flow_Name]],Tab_Def_Flows[Flow_Name],Tab_Def_Flows[Flow_E2_Fraction'[%']],"N.A.",0,1)</f>
        <v>1</v>
      </c>
      <c r="Y208" s="6">
        <f>IF(D208="Yes",V208*Tab_Data_Flows[[#This Row],[E2_Fraction'[%']]],"N.A.")</f>
        <v>10000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IF(G208="Yes",Tab_Data_Flows[[#This Row],[E4_Fraction'[%']]]*Tab_Data_Flows[[#This Row],[E1_value]],"N.A.")</f>
        <v>0</v>
      </c>
      <c r="AF208" s="6" t="str">
        <f>Tab_Data_Flows[[#This Row],[E1_UoM]]</f>
        <v>Mg</v>
      </c>
      <c r="AG208" s="139">
        <f>_xlfn.XLOOKUP(Tab_Data_Flows[[#This Row],[Flow_Name]],Tab_Def_Flows[Flow_Name],Tab_Def_Flows[Flow_E5_Fraction'[%']],"N.A.",0,1)</f>
        <v>0</v>
      </c>
      <c r="AH208" s="6" t="str">
        <f>IF(H208="Yes",Tab_Data_Flows[[#This Row],[E5_Fraction'[%']]]*Tab_Data_Flows[[#This Row],[E1_value]],"N.A.")</f>
        <v>N.A.</v>
      </c>
      <c r="AI208" s="6" t="str">
        <f>Tab_Data_Flows[[#This Row],[E1_UoM]]</f>
        <v>Mg</v>
      </c>
      <c r="AJ208" s="139">
        <f>_xlfn.XLOOKUP(Tab_Data_Flows[[#This Row],[Flow_Name]],Tab_Def_Flows[Flow_Name],Tab_Def_Flows[Flow_E6_Fraction'[%']],"N.A.",0,1)</f>
        <v>0</v>
      </c>
      <c r="AK208" s="6" t="str">
        <f>IF(Tab_Data_Flows[[#This Row],[Use_E6]]="Yes",Tab_Data_Flows[[#This Row],[E6_Fraction'[%']]]*Tab_Data_Flows[[#This Row],[E1_value]],"N.A.")</f>
        <v>N.A.</v>
      </c>
      <c r="AL208" s="6" t="str">
        <f>Tab_Data_Flows[[#This Row],[E1_UoM]]</f>
        <v>Mg</v>
      </c>
    </row>
    <row r="209" spans="1:38" x14ac:dyDescent="0.25">
      <c r="A209" s="8">
        <f t="shared" si="8"/>
        <v>208</v>
      </c>
      <c r="B209" s="6" t="str">
        <f>_xlfn.XLOOKUP(C209,Tab_Def_Flows[Flow_Name],Tab_Def_Flows[Flow_ID],,0,)</f>
        <v>F_01_09</v>
      </c>
      <c r="C209" s="138" t="s">
        <v>1239</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No</v>
      </c>
      <c r="I209" s="9" t="str">
        <f>_xlfn.XLOOKUP(C209,Tab_Def_Flows[Flow_Name],Tab_Def_Flows[Use_E6],,0,)</f>
        <v>No</v>
      </c>
      <c r="J209" s="7">
        <v>2030</v>
      </c>
      <c r="K209" s="21">
        <v>10000</v>
      </c>
      <c r="L209" s="6" t="str">
        <f>'0_Configuration'!$C$41</f>
        <v>Mg</v>
      </c>
      <c r="M209" s="13"/>
      <c r="N209" s="13"/>
      <c r="O209" s="13"/>
      <c r="P209" s="13"/>
      <c r="Q209" s="13"/>
      <c r="R209" s="7" t="s">
        <v>6</v>
      </c>
      <c r="S209" s="14"/>
      <c r="T209" s="7"/>
      <c r="U209" s="139">
        <f>_xlfn.XLOOKUP(Tab_Data_Flows[[#This Row],[Flow_Name]],Tab_Def_Flows[Flow_Name],Tab_Def_Flows[Flow_E1_Fraction'[%']],"N.A.",0,1)</f>
        <v>1</v>
      </c>
      <c r="V209" s="12">
        <f t="shared" si="7"/>
        <v>10000</v>
      </c>
      <c r="W209" s="6" t="str">
        <f>Tab_Data_Flows[[#This Row],[UoM_Source]]</f>
        <v>Mg</v>
      </c>
      <c r="X209" s="139">
        <f>_xlfn.XLOOKUP(Tab_Data_Flows[[#This Row],[Flow_Name]],Tab_Def_Flows[Flow_Name],Tab_Def_Flows[Flow_E2_Fraction'[%']],"N.A.",0,1)</f>
        <v>1</v>
      </c>
      <c r="Y209" s="6">
        <f>IF(D209="Yes",V209*Tab_Data_Flows[[#This Row],[E2_Fraction'[%']]],"N.A.")</f>
        <v>10000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IF(G209="Yes",Tab_Data_Flows[[#This Row],[E4_Fraction'[%']]]*Tab_Data_Flows[[#This Row],[E1_value]],"N.A.")</f>
        <v>0</v>
      </c>
      <c r="AF209" s="6" t="str">
        <f>Tab_Data_Flows[[#This Row],[E1_UoM]]</f>
        <v>Mg</v>
      </c>
      <c r="AG209" s="139">
        <f>_xlfn.XLOOKUP(Tab_Data_Flows[[#This Row],[Flow_Name]],Tab_Def_Flows[Flow_Name],Tab_Def_Flows[Flow_E5_Fraction'[%']],"N.A.",0,1)</f>
        <v>0</v>
      </c>
      <c r="AH209" s="6" t="str">
        <f>IF(H209="Yes",Tab_Data_Flows[[#This Row],[E5_Fraction'[%']]]*Tab_Data_Flows[[#This Row],[E1_value]],"N.A.")</f>
        <v>N.A.</v>
      </c>
      <c r="AI209" s="6" t="str">
        <f>Tab_Data_Flows[[#This Row],[E1_UoM]]</f>
        <v>Mg</v>
      </c>
      <c r="AJ209" s="139">
        <f>_xlfn.XLOOKUP(Tab_Data_Flows[[#This Row],[Flow_Name]],Tab_Def_Flows[Flow_Name],Tab_Def_Flows[Flow_E6_Fraction'[%']],"N.A.",0,1)</f>
        <v>0</v>
      </c>
      <c r="AK209" s="6" t="str">
        <f>IF(Tab_Data_Flows[[#This Row],[Use_E6]]="Yes",Tab_Data_Flows[[#This Row],[E6_Fraction'[%']]]*Tab_Data_Flows[[#This Row],[E1_value]],"N.A.")</f>
        <v>N.A.</v>
      </c>
      <c r="AL209" s="6" t="str">
        <f>Tab_Data_Flows[[#This Row],[E1_UoM]]</f>
        <v>Mg</v>
      </c>
    </row>
    <row r="210" spans="1:38" x14ac:dyDescent="0.25">
      <c r="A210" s="8">
        <f t="shared" si="8"/>
        <v>209</v>
      </c>
      <c r="B210" s="6" t="str">
        <f>_xlfn.XLOOKUP(C210,Tab_Def_Flows[Flow_Name],Tab_Def_Flows[Flow_ID],,0,)</f>
        <v>F_01_09</v>
      </c>
      <c r="C210" s="138" t="s">
        <v>1239</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No</v>
      </c>
      <c r="I210" s="9" t="str">
        <f>_xlfn.XLOOKUP(C210,Tab_Def_Flows[Flow_Name],Tab_Def_Flows[Use_E6],,0,)</f>
        <v>No</v>
      </c>
      <c r="J210" s="7">
        <v>2031</v>
      </c>
      <c r="K210" s="21">
        <v>10000</v>
      </c>
      <c r="L210" s="6" t="str">
        <f>'0_Configuration'!$C$41</f>
        <v>Mg</v>
      </c>
      <c r="M210" s="13"/>
      <c r="N210" s="13"/>
      <c r="O210" s="13"/>
      <c r="P210" s="13"/>
      <c r="Q210" s="13"/>
      <c r="R210" s="7" t="s">
        <v>6</v>
      </c>
      <c r="S210" s="14"/>
      <c r="T210" s="7"/>
      <c r="U210" s="139">
        <f>_xlfn.XLOOKUP(Tab_Data_Flows[[#This Row],[Flow_Name]],Tab_Def_Flows[Flow_Name],Tab_Def_Flows[Flow_E1_Fraction'[%']],"N.A.",0,1)</f>
        <v>1</v>
      </c>
      <c r="V210" s="12">
        <f t="shared" si="7"/>
        <v>10000</v>
      </c>
      <c r="W210" s="6" t="str">
        <f>Tab_Data_Flows[[#This Row],[UoM_Source]]</f>
        <v>Mg</v>
      </c>
      <c r="X210" s="139">
        <f>_xlfn.XLOOKUP(Tab_Data_Flows[[#This Row],[Flow_Name]],Tab_Def_Flows[Flow_Name],Tab_Def_Flows[Flow_E2_Fraction'[%']],"N.A.",0,1)</f>
        <v>1</v>
      </c>
      <c r="Y210" s="6">
        <f>IF(D210="Yes",V210*Tab_Data_Flows[[#This Row],[E2_Fraction'[%']]],"N.A.")</f>
        <v>10000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IF(G210="Yes",Tab_Data_Flows[[#This Row],[E4_Fraction'[%']]]*Tab_Data_Flows[[#This Row],[E1_value]],"N.A.")</f>
        <v>0</v>
      </c>
      <c r="AF210" s="6" t="str">
        <f>Tab_Data_Flows[[#This Row],[E1_UoM]]</f>
        <v>Mg</v>
      </c>
      <c r="AG210" s="139">
        <f>_xlfn.XLOOKUP(Tab_Data_Flows[[#This Row],[Flow_Name]],Tab_Def_Flows[Flow_Name],Tab_Def_Flows[Flow_E5_Fraction'[%']],"N.A.",0,1)</f>
        <v>0</v>
      </c>
      <c r="AH210" s="6" t="str">
        <f>IF(H210="Yes",Tab_Data_Flows[[#This Row],[E5_Fraction'[%']]]*Tab_Data_Flows[[#This Row],[E1_value]],"N.A.")</f>
        <v>N.A.</v>
      </c>
      <c r="AI210" s="6" t="str">
        <f>Tab_Data_Flows[[#This Row],[E1_UoM]]</f>
        <v>Mg</v>
      </c>
      <c r="AJ210" s="139">
        <f>_xlfn.XLOOKUP(Tab_Data_Flows[[#This Row],[Flow_Name]],Tab_Def_Flows[Flow_Name],Tab_Def_Flows[Flow_E6_Fraction'[%']],"N.A.",0,1)</f>
        <v>0</v>
      </c>
      <c r="AK210" s="6" t="str">
        <f>IF(Tab_Data_Flows[[#This Row],[Use_E6]]="Yes",Tab_Data_Flows[[#This Row],[E6_Fraction'[%']]]*Tab_Data_Flows[[#This Row],[E1_value]],"N.A.")</f>
        <v>N.A.</v>
      </c>
      <c r="AL210" s="6" t="str">
        <f>Tab_Data_Flows[[#This Row],[E1_UoM]]</f>
        <v>Mg</v>
      </c>
    </row>
    <row r="211" spans="1:38" x14ac:dyDescent="0.25">
      <c r="A211" s="8">
        <f t="shared" si="8"/>
        <v>210</v>
      </c>
      <c r="B211" s="6" t="str">
        <f>_xlfn.XLOOKUP(C211,Tab_Def_Flows[Flow_Name],Tab_Def_Flows[Flow_ID],,0,)</f>
        <v>F_01_09</v>
      </c>
      <c r="C211" s="138" t="s">
        <v>1239</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No</v>
      </c>
      <c r="I211" s="9" t="str">
        <f>_xlfn.XLOOKUP(C211,Tab_Def_Flows[Flow_Name],Tab_Def_Flows[Use_E6],,0,)</f>
        <v>No</v>
      </c>
      <c r="J211" s="7">
        <v>2032</v>
      </c>
      <c r="K211" s="21">
        <v>10000</v>
      </c>
      <c r="L211" s="6" t="str">
        <f>'0_Configuration'!$C$41</f>
        <v>Mg</v>
      </c>
      <c r="M211" s="13"/>
      <c r="N211" s="13"/>
      <c r="O211" s="13"/>
      <c r="P211" s="13"/>
      <c r="Q211" s="13"/>
      <c r="R211" s="7" t="s">
        <v>6</v>
      </c>
      <c r="S211" s="14"/>
      <c r="T211" s="7"/>
      <c r="U211" s="139">
        <f>_xlfn.XLOOKUP(Tab_Data_Flows[[#This Row],[Flow_Name]],Tab_Def_Flows[Flow_Name],Tab_Def_Flows[Flow_E1_Fraction'[%']],"N.A.",0,1)</f>
        <v>1</v>
      </c>
      <c r="V211" s="12">
        <f t="shared" si="7"/>
        <v>10000</v>
      </c>
      <c r="W211" s="6" t="str">
        <f>Tab_Data_Flows[[#This Row],[UoM_Source]]</f>
        <v>Mg</v>
      </c>
      <c r="X211" s="139">
        <f>_xlfn.XLOOKUP(Tab_Data_Flows[[#This Row],[Flow_Name]],Tab_Def_Flows[Flow_Name],Tab_Def_Flows[Flow_E2_Fraction'[%']],"N.A.",0,1)</f>
        <v>1</v>
      </c>
      <c r="Y211" s="6">
        <f>IF(D211="Yes",V211*Tab_Data_Flows[[#This Row],[E2_Fraction'[%']]],"N.A.")</f>
        <v>10000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IF(G211="Yes",Tab_Data_Flows[[#This Row],[E4_Fraction'[%']]]*Tab_Data_Flows[[#This Row],[E1_value]],"N.A.")</f>
        <v>0</v>
      </c>
      <c r="AF211" s="6" t="str">
        <f>Tab_Data_Flows[[#This Row],[E1_UoM]]</f>
        <v>Mg</v>
      </c>
      <c r="AG211" s="139">
        <f>_xlfn.XLOOKUP(Tab_Data_Flows[[#This Row],[Flow_Name]],Tab_Def_Flows[Flow_Name],Tab_Def_Flows[Flow_E5_Fraction'[%']],"N.A.",0,1)</f>
        <v>0</v>
      </c>
      <c r="AH211" s="6" t="str">
        <f>IF(H211="Yes",Tab_Data_Flows[[#This Row],[E5_Fraction'[%']]]*Tab_Data_Flows[[#This Row],[E1_value]],"N.A.")</f>
        <v>N.A.</v>
      </c>
      <c r="AI211" s="6" t="str">
        <f>Tab_Data_Flows[[#This Row],[E1_UoM]]</f>
        <v>Mg</v>
      </c>
      <c r="AJ211" s="139">
        <f>_xlfn.XLOOKUP(Tab_Data_Flows[[#This Row],[Flow_Name]],Tab_Def_Flows[Flow_Name],Tab_Def_Flows[Flow_E6_Fraction'[%']],"N.A.",0,1)</f>
        <v>0</v>
      </c>
      <c r="AK211" s="6" t="str">
        <f>IF(Tab_Data_Flows[[#This Row],[Use_E6]]="Yes",Tab_Data_Flows[[#This Row],[E6_Fraction'[%']]]*Tab_Data_Flows[[#This Row],[E1_value]],"N.A.")</f>
        <v>N.A.</v>
      </c>
      <c r="AL211" s="6" t="str">
        <f>Tab_Data_Flows[[#This Row],[E1_UoM]]</f>
        <v>Mg</v>
      </c>
    </row>
    <row r="212" spans="1:38" x14ac:dyDescent="0.25">
      <c r="A212" s="8">
        <f t="shared" si="8"/>
        <v>211</v>
      </c>
      <c r="B212" s="6" t="str">
        <f>_xlfn.XLOOKUP(C212,Tab_Def_Flows[Flow_Name],Tab_Def_Flows[Flow_ID],,0,)</f>
        <v>F_01_09</v>
      </c>
      <c r="C212" s="138" t="s">
        <v>1239</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No</v>
      </c>
      <c r="I212" s="9" t="str">
        <f>_xlfn.XLOOKUP(C212,Tab_Def_Flows[Flow_Name],Tab_Def_Flows[Use_E6],,0,)</f>
        <v>No</v>
      </c>
      <c r="J212" s="7">
        <v>2033</v>
      </c>
      <c r="K212" s="21">
        <v>10000</v>
      </c>
      <c r="L212" s="6" t="str">
        <f>'0_Configuration'!$C$41</f>
        <v>Mg</v>
      </c>
      <c r="M212" s="13"/>
      <c r="N212" s="13"/>
      <c r="O212" s="13"/>
      <c r="P212" s="13"/>
      <c r="Q212" s="13"/>
      <c r="R212" s="7" t="s">
        <v>6</v>
      </c>
      <c r="S212" s="14"/>
      <c r="T212" s="7"/>
      <c r="U212" s="139">
        <f>_xlfn.XLOOKUP(Tab_Data_Flows[[#This Row],[Flow_Name]],Tab_Def_Flows[Flow_Name],Tab_Def_Flows[Flow_E1_Fraction'[%']],"N.A.",0,1)</f>
        <v>1</v>
      </c>
      <c r="V212" s="12">
        <f t="shared" si="7"/>
        <v>10000</v>
      </c>
      <c r="W212" s="6" t="str">
        <f>Tab_Data_Flows[[#This Row],[UoM_Source]]</f>
        <v>Mg</v>
      </c>
      <c r="X212" s="139">
        <f>_xlfn.XLOOKUP(Tab_Data_Flows[[#This Row],[Flow_Name]],Tab_Def_Flows[Flow_Name],Tab_Def_Flows[Flow_E2_Fraction'[%']],"N.A.",0,1)</f>
        <v>1</v>
      </c>
      <c r="Y212" s="6">
        <f>IF(D212="Yes",V212*Tab_Data_Flows[[#This Row],[E2_Fraction'[%']]],"N.A.")</f>
        <v>10000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IF(G212="Yes",Tab_Data_Flows[[#This Row],[E4_Fraction'[%']]]*Tab_Data_Flows[[#This Row],[E1_value]],"N.A.")</f>
        <v>0</v>
      </c>
      <c r="AF212" s="6" t="str">
        <f>Tab_Data_Flows[[#This Row],[E1_UoM]]</f>
        <v>Mg</v>
      </c>
      <c r="AG212" s="139">
        <f>_xlfn.XLOOKUP(Tab_Data_Flows[[#This Row],[Flow_Name]],Tab_Def_Flows[Flow_Name],Tab_Def_Flows[Flow_E5_Fraction'[%']],"N.A.",0,1)</f>
        <v>0</v>
      </c>
      <c r="AH212" s="6" t="str">
        <f>IF(H212="Yes",Tab_Data_Flows[[#This Row],[E5_Fraction'[%']]]*Tab_Data_Flows[[#This Row],[E1_value]],"N.A.")</f>
        <v>N.A.</v>
      </c>
      <c r="AI212" s="6" t="str">
        <f>Tab_Data_Flows[[#This Row],[E1_UoM]]</f>
        <v>Mg</v>
      </c>
      <c r="AJ212" s="139">
        <f>_xlfn.XLOOKUP(Tab_Data_Flows[[#This Row],[Flow_Name]],Tab_Def_Flows[Flow_Name],Tab_Def_Flows[Flow_E6_Fraction'[%']],"N.A.",0,1)</f>
        <v>0</v>
      </c>
      <c r="AK212" s="6" t="str">
        <f>IF(Tab_Data_Flows[[#This Row],[Use_E6]]="Yes",Tab_Data_Flows[[#This Row],[E6_Fraction'[%']]]*Tab_Data_Flows[[#This Row],[E1_value]],"N.A.")</f>
        <v>N.A.</v>
      </c>
      <c r="AL212" s="6" t="str">
        <f>Tab_Data_Flows[[#This Row],[E1_UoM]]</f>
        <v>Mg</v>
      </c>
    </row>
    <row r="213" spans="1:38" x14ac:dyDescent="0.25">
      <c r="A213" s="8">
        <f t="shared" si="8"/>
        <v>212</v>
      </c>
      <c r="B213" s="6" t="str">
        <f>_xlfn.XLOOKUP(C213,Tab_Def_Flows[Flow_Name],Tab_Def_Flows[Flow_ID],,0,)</f>
        <v>F_01_09</v>
      </c>
      <c r="C213" s="138" t="s">
        <v>1239</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No</v>
      </c>
      <c r="I213" s="9" t="str">
        <f>_xlfn.XLOOKUP(C213,Tab_Def_Flows[Flow_Name],Tab_Def_Flows[Use_E6],,0,)</f>
        <v>No</v>
      </c>
      <c r="J213" s="7">
        <v>2034</v>
      </c>
      <c r="K213" s="21">
        <v>10000</v>
      </c>
      <c r="L213" s="6" t="str">
        <f>'0_Configuration'!$C$41</f>
        <v>Mg</v>
      </c>
      <c r="M213" s="13"/>
      <c r="N213" s="13"/>
      <c r="O213" s="13"/>
      <c r="P213" s="13"/>
      <c r="Q213" s="13"/>
      <c r="R213" s="7" t="s">
        <v>6</v>
      </c>
      <c r="S213" s="14"/>
      <c r="T213" s="7"/>
      <c r="U213" s="139">
        <f>_xlfn.XLOOKUP(Tab_Data_Flows[[#This Row],[Flow_Name]],Tab_Def_Flows[Flow_Name],Tab_Def_Flows[Flow_E1_Fraction'[%']],"N.A.",0,1)</f>
        <v>1</v>
      </c>
      <c r="V213" s="12">
        <f t="shared" si="7"/>
        <v>10000</v>
      </c>
      <c r="W213" s="6" t="str">
        <f>Tab_Data_Flows[[#This Row],[UoM_Source]]</f>
        <v>Mg</v>
      </c>
      <c r="X213" s="139">
        <f>_xlfn.XLOOKUP(Tab_Data_Flows[[#This Row],[Flow_Name]],Tab_Def_Flows[Flow_Name],Tab_Def_Flows[Flow_E2_Fraction'[%']],"N.A.",0,1)</f>
        <v>1</v>
      </c>
      <c r="Y213" s="6">
        <f>IF(D213="Yes",V213*Tab_Data_Flows[[#This Row],[E2_Fraction'[%']]],"N.A.")</f>
        <v>10000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IF(G213="Yes",Tab_Data_Flows[[#This Row],[E4_Fraction'[%']]]*Tab_Data_Flows[[#This Row],[E1_value]],"N.A.")</f>
        <v>0</v>
      </c>
      <c r="AF213" s="6" t="str">
        <f>Tab_Data_Flows[[#This Row],[E1_UoM]]</f>
        <v>Mg</v>
      </c>
      <c r="AG213" s="139">
        <f>_xlfn.XLOOKUP(Tab_Data_Flows[[#This Row],[Flow_Name]],Tab_Def_Flows[Flow_Name],Tab_Def_Flows[Flow_E5_Fraction'[%']],"N.A.",0,1)</f>
        <v>0</v>
      </c>
      <c r="AH213" s="6" t="str">
        <f>IF(H213="Yes",Tab_Data_Flows[[#This Row],[E5_Fraction'[%']]]*Tab_Data_Flows[[#This Row],[E1_value]],"N.A.")</f>
        <v>N.A.</v>
      </c>
      <c r="AI213" s="6" t="str">
        <f>Tab_Data_Flows[[#This Row],[E1_UoM]]</f>
        <v>Mg</v>
      </c>
      <c r="AJ213" s="139">
        <f>_xlfn.XLOOKUP(Tab_Data_Flows[[#This Row],[Flow_Name]],Tab_Def_Flows[Flow_Name],Tab_Def_Flows[Flow_E6_Fraction'[%']],"N.A.",0,1)</f>
        <v>0</v>
      </c>
      <c r="AK213" s="6" t="str">
        <f>IF(Tab_Data_Flows[[#This Row],[Use_E6]]="Yes",Tab_Data_Flows[[#This Row],[E6_Fraction'[%']]]*Tab_Data_Flows[[#This Row],[E1_value]],"N.A.")</f>
        <v>N.A.</v>
      </c>
      <c r="AL213" s="6" t="str">
        <f>Tab_Data_Flows[[#This Row],[E1_UoM]]</f>
        <v>Mg</v>
      </c>
    </row>
    <row r="214" spans="1:38" x14ac:dyDescent="0.25">
      <c r="A214" s="8">
        <f t="shared" si="8"/>
        <v>213</v>
      </c>
      <c r="B214" s="6" t="str">
        <f>_xlfn.XLOOKUP(C214,Tab_Def_Flows[Flow_Name],Tab_Def_Flows[Flow_ID],,0,)</f>
        <v>F_01_09</v>
      </c>
      <c r="C214" s="138" t="s">
        <v>1239</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No</v>
      </c>
      <c r="I214" s="9" t="str">
        <f>_xlfn.XLOOKUP(C214,Tab_Def_Flows[Flow_Name],Tab_Def_Flows[Use_E6],,0,)</f>
        <v>No</v>
      </c>
      <c r="J214" s="7">
        <v>2035</v>
      </c>
      <c r="K214" s="21">
        <v>10000</v>
      </c>
      <c r="L214" s="6" t="str">
        <f>'0_Configuration'!$C$41</f>
        <v>Mg</v>
      </c>
      <c r="M214" s="13"/>
      <c r="N214" s="13"/>
      <c r="O214" s="13"/>
      <c r="P214" s="13"/>
      <c r="Q214" s="13"/>
      <c r="R214" s="7" t="s">
        <v>6</v>
      </c>
      <c r="S214" s="14"/>
      <c r="T214" s="7"/>
      <c r="U214" s="139">
        <f>_xlfn.XLOOKUP(Tab_Data_Flows[[#This Row],[Flow_Name]],Tab_Def_Flows[Flow_Name],Tab_Def_Flows[Flow_E1_Fraction'[%']],"N.A.",0,1)</f>
        <v>1</v>
      </c>
      <c r="V214" s="12">
        <f t="shared" si="7"/>
        <v>10000</v>
      </c>
      <c r="W214" s="6" t="str">
        <f>Tab_Data_Flows[[#This Row],[UoM_Source]]</f>
        <v>Mg</v>
      </c>
      <c r="X214" s="139">
        <f>_xlfn.XLOOKUP(Tab_Data_Flows[[#This Row],[Flow_Name]],Tab_Def_Flows[Flow_Name],Tab_Def_Flows[Flow_E2_Fraction'[%']],"N.A.",0,1)</f>
        <v>1</v>
      </c>
      <c r="Y214" s="6">
        <f>IF(D214="Yes",V214*Tab_Data_Flows[[#This Row],[E2_Fraction'[%']]],"N.A.")</f>
        <v>10000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IF(G214="Yes",Tab_Data_Flows[[#This Row],[E4_Fraction'[%']]]*Tab_Data_Flows[[#This Row],[E1_value]],"N.A.")</f>
        <v>0</v>
      </c>
      <c r="AF214" s="6" t="str">
        <f>Tab_Data_Flows[[#This Row],[E1_UoM]]</f>
        <v>Mg</v>
      </c>
      <c r="AG214" s="139">
        <f>_xlfn.XLOOKUP(Tab_Data_Flows[[#This Row],[Flow_Name]],Tab_Def_Flows[Flow_Name],Tab_Def_Flows[Flow_E5_Fraction'[%']],"N.A.",0,1)</f>
        <v>0</v>
      </c>
      <c r="AH214" s="6" t="str">
        <f>IF(H214="Yes",Tab_Data_Flows[[#This Row],[E5_Fraction'[%']]]*Tab_Data_Flows[[#This Row],[E1_value]],"N.A.")</f>
        <v>N.A.</v>
      </c>
      <c r="AI214" s="6" t="str">
        <f>Tab_Data_Flows[[#This Row],[E1_UoM]]</f>
        <v>Mg</v>
      </c>
      <c r="AJ214" s="139">
        <f>_xlfn.XLOOKUP(Tab_Data_Flows[[#This Row],[Flow_Name]],Tab_Def_Flows[Flow_Name],Tab_Def_Flows[Flow_E6_Fraction'[%']],"N.A.",0,1)</f>
        <v>0</v>
      </c>
      <c r="AK214" s="6" t="str">
        <f>IF(Tab_Data_Flows[[#This Row],[Use_E6]]="Yes",Tab_Data_Flows[[#This Row],[E6_Fraction'[%']]]*Tab_Data_Flows[[#This Row],[E1_value]],"N.A.")</f>
        <v>N.A.</v>
      </c>
      <c r="AL214" s="6" t="str">
        <f>Tab_Data_Flows[[#This Row],[E1_UoM]]</f>
        <v>Mg</v>
      </c>
    </row>
    <row r="215" spans="1:38" x14ac:dyDescent="0.25">
      <c r="A215" s="8">
        <f t="shared" si="8"/>
        <v>214</v>
      </c>
      <c r="B215" s="6" t="str">
        <f>_xlfn.XLOOKUP(C215,Tab_Def_Flows[Flow_Name],Tab_Def_Flows[Flow_ID],,0,)</f>
        <v>F_01_09</v>
      </c>
      <c r="C215" s="138" t="s">
        <v>1239</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No</v>
      </c>
      <c r="I215" s="9" t="str">
        <f>_xlfn.XLOOKUP(C215,Tab_Def_Flows[Flow_Name],Tab_Def_Flows[Use_E6],,0,)</f>
        <v>No</v>
      </c>
      <c r="J215" s="7">
        <v>2036</v>
      </c>
      <c r="K215" s="21">
        <v>10000</v>
      </c>
      <c r="L215" s="6" t="str">
        <f>'0_Configuration'!$C$41</f>
        <v>Mg</v>
      </c>
      <c r="M215" s="13"/>
      <c r="N215" s="13"/>
      <c r="O215" s="13"/>
      <c r="P215" s="13"/>
      <c r="Q215" s="13"/>
      <c r="R215" s="7" t="s">
        <v>6</v>
      </c>
      <c r="S215" s="14"/>
      <c r="T215" s="7"/>
      <c r="U215" s="139">
        <f>_xlfn.XLOOKUP(Tab_Data_Flows[[#This Row],[Flow_Name]],Tab_Def_Flows[Flow_Name],Tab_Def_Flows[Flow_E1_Fraction'[%']],"N.A.",0,1)</f>
        <v>1</v>
      </c>
      <c r="V215" s="12">
        <f t="shared" si="7"/>
        <v>10000</v>
      </c>
      <c r="W215" s="6" t="str">
        <f>Tab_Data_Flows[[#This Row],[UoM_Source]]</f>
        <v>Mg</v>
      </c>
      <c r="X215" s="139">
        <f>_xlfn.XLOOKUP(Tab_Data_Flows[[#This Row],[Flow_Name]],Tab_Def_Flows[Flow_Name],Tab_Def_Flows[Flow_E2_Fraction'[%']],"N.A.",0,1)</f>
        <v>1</v>
      </c>
      <c r="Y215" s="6">
        <f>IF(D215="Yes",V215*Tab_Data_Flows[[#This Row],[E2_Fraction'[%']]],"N.A.")</f>
        <v>10000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IF(G215="Yes",Tab_Data_Flows[[#This Row],[E4_Fraction'[%']]]*Tab_Data_Flows[[#This Row],[E1_value]],"N.A.")</f>
        <v>0</v>
      </c>
      <c r="AF215" s="6" t="str">
        <f>Tab_Data_Flows[[#This Row],[E1_UoM]]</f>
        <v>Mg</v>
      </c>
      <c r="AG215" s="139">
        <f>_xlfn.XLOOKUP(Tab_Data_Flows[[#This Row],[Flow_Name]],Tab_Def_Flows[Flow_Name],Tab_Def_Flows[Flow_E5_Fraction'[%']],"N.A.",0,1)</f>
        <v>0</v>
      </c>
      <c r="AH215" s="6" t="str">
        <f>IF(H215="Yes",Tab_Data_Flows[[#This Row],[E5_Fraction'[%']]]*Tab_Data_Flows[[#This Row],[E1_value]],"N.A.")</f>
        <v>N.A.</v>
      </c>
      <c r="AI215" s="6" t="str">
        <f>Tab_Data_Flows[[#This Row],[E1_UoM]]</f>
        <v>Mg</v>
      </c>
      <c r="AJ215" s="139">
        <f>_xlfn.XLOOKUP(Tab_Data_Flows[[#This Row],[Flow_Name]],Tab_Def_Flows[Flow_Name],Tab_Def_Flows[Flow_E6_Fraction'[%']],"N.A.",0,1)</f>
        <v>0</v>
      </c>
      <c r="AK215" s="6" t="str">
        <f>IF(Tab_Data_Flows[[#This Row],[Use_E6]]="Yes",Tab_Data_Flows[[#This Row],[E6_Fraction'[%']]]*Tab_Data_Flows[[#This Row],[E1_value]],"N.A.")</f>
        <v>N.A.</v>
      </c>
      <c r="AL215" s="6" t="str">
        <f>Tab_Data_Flows[[#This Row],[E1_UoM]]</f>
        <v>Mg</v>
      </c>
    </row>
    <row r="216" spans="1:38" x14ac:dyDescent="0.25">
      <c r="A216" s="8">
        <f t="shared" si="8"/>
        <v>215</v>
      </c>
      <c r="B216" s="6" t="str">
        <f>_xlfn.XLOOKUP(C216,Tab_Def_Flows[Flow_Name],Tab_Def_Flows[Flow_ID],,0,)</f>
        <v>F_01_09</v>
      </c>
      <c r="C216" s="138" t="s">
        <v>1239</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No</v>
      </c>
      <c r="I216" s="9" t="str">
        <f>_xlfn.XLOOKUP(C216,Tab_Def_Flows[Flow_Name],Tab_Def_Flows[Use_E6],,0,)</f>
        <v>No</v>
      </c>
      <c r="J216" s="7">
        <v>2037</v>
      </c>
      <c r="K216" s="21">
        <v>10000</v>
      </c>
      <c r="L216" s="6" t="str">
        <f>'0_Configuration'!$C$41</f>
        <v>Mg</v>
      </c>
      <c r="M216" s="13"/>
      <c r="N216" s="13"/>
      <c r="O216" s="13"/>
      <c r="P216" s="13"/>
      <c r="Q216" s="13"/>
      <c r="R216" s="7" t="s">
        <v>6</v>
      </c>
      <c r="S216" s="14"/>
      <c r="T216" s="7"/>
      <c r="U216" s="139">
        <f>_xlfn.XLOOKUP(Tab_Data_Flows[[#This Row],[Flow_Name]],Tab_Def_Flows[Flow_Name],Tab_Def_Flows[Flow_E1_Fraction'[%']],"N.A.",0,1)</f>
        <v>1</v>
      </c>
      <c r="V216" s="12">
        <f t="shared" si="7"/>
        <v>10000</v>
      </c>
      <c r="W216" s="6" t="str">
        <f>Tab_Data_Flows[[#This Row],[UoM_Source]]</f>
        <v>Mg</v>
      </c>
      <c r="X216" s="139">
        <f>_xlfn.XLOOKUP(Tab_Data_Flows[[#This Row],[Flow_Name]],Tab_Def_Flows[Flow_Name],Tab_Def_Flows[Flow_E2_Fraction'[%']],"N.A.",0,1)</f>
        <v>1</v>
      </c>
      <c r="Y216" s="6">
        <f>IF(D216="Yes",V216*Tab_Data_Flows[[#This Row],[E2_Fraction'[%']]],"N.A.")</f>
        <v>10000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IF(G216="Yes",Tab_Data_Flows[[#This Row],[E4_Fraction'[%']]]*Tab_Data_Flows[[#This Row],[E1_value]],"N.A.")</f>
        <v>0</v>
      </c>
      <c r="AF216" s="6" t="str">
        <f>Tab_Data_Flows[[#This Row],[E1_UoM]]</f>
        <v>Mg</v>
      </c>
      <c r="AG216" s="139">
        <f>_xlfn.XLOOKUP(Tab_Data_Flows[[#This Row],[Flow_Name]],Tab_Def_Flows[Flow_Name],Tab_Def_Flows[Flow_E5_Fraction'[%']],"N.A.",0,1)</f>
        <v>0</v>
      </c>
      <c r="AH216" s="6" t="str">
        <f>IF(H216="Yes",Tab_Data_Flows[[#This Row],[E5_Fraction'[%']]]*Tab_Data_Flows[[#This Row],[E1_value]],"N.A.")</f>
        <v>N.A.</v>
      </c>
      <c r="AI216" s="6" t="str">
        <f>Tab_Data_Flows[[#This Row],[E1_UoM]]</f>
        <v>Mg</v>
      </c>
      <c r="AJ216" s="139">
        <f>_xlfn.XLOOKUP(Tab_Data_Flows[[#This Row],[Flow_Name]],Tab_Def_Flows[Flow_Name],Tab_Def_Flows[Flow_E6_Fraction'[%']],"N.A.",0,1)</f>
        <v>0</v>
      </c>
      <c r="AK216" s="6" t="str">
        <f>IF(Tab_Data_Flows[[#This Row],[Use_E6]]="Yes",Tab_Data_Flows[[#This Row],[E6_Fraction'[%']]]*Tab_Data_Flows[[#This Row],[E1_value]],"N.A.")</f>
        <v>N.A.</v>
      </c>
      <c r="AL216" s="6" t="str">
        <f>Tab_Data_Flows[[#This Row],[E1_UoM]]</f>
        <v>Mg</v>
      </c>
    </row>
    <row r="217" spans="1:38" x14ac:dyDescent="0.25">
      <c r="A217" s="8">
        <f t="shared" si="8"/>
        <v>216</v>
      </c>
      <c r="B217" s="6" t="str">
        <f>_xlfn.XLOOKUP(C217,Tab_Def_Flows[Flow_Name],Tab_Def_Flows[Flow_ID],,0,)</f>
        <v>F_01_09</v>
      </c>
      <c r="C217" s="138" t="s">
        <v>1239</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No</v>
      </c>
      <c r="I217" s="9" t="str">
        <f>_xlfn.XLOOKUP(C217,Tab_Def_Flows[Flow_Name],Tab_Def_Flows[Use_E6],,0,)</f>
        <v>No</v>
      </c>
      <c r="J217" s="7">
        <v>2038</v>
      </c>
      <c r="K217" s="21">
        <v>10000</v>
      </c>
      <c r="L217" s="6" t="str">
        <f>'0_Configuration'!$C$41</f>
        <v>Mg</v>
      </c>
      <c r="M217" s="13"/>
      <c r="N217" s="13"/>
      <c r="O217" s="13"/>
      <c r="P217" s="13"/>
      <c r="Q217" s="13"/>
      <c r="R217" s="7" t="s">
        <v>6</v>
      </c>
      <c r="S217" s="14"/>
      <c r="T217" s="7"/>
      <c r="U217" s="139">
        <f>_xlfn.XLOOKUP(Tab_Data_Flows[[#This Row],[Flow_Name]],Tab_Def_Flows[Flow_Name],Tab_Def_Flows[Flow_E1_Fraction'[%']],"N.A.",0,1)</f>
        <v>1</v>
      </c>
      <c r="V217" s="12">
        <f t="shared" si="7"/>
        <v>10000</v>
      </c>
      <c r="W217" s="6" t="str">
        <f>Tab_Data_Flows[[#This Row],[UoM_Source]]</f>
        <v>Mg</v>
      </c>
      <c r="X217" s="139">
        <f>_xlfn.XLOOKUP(Tab_Data_Flows[[#This Row],[Flow_Name]],Tab_Def_Flows[Flow_Name],Tab_Def_Flows[Flow_E2_Fraction'[%']],"N.A.",0,1)</f>
        <v>1</v>
      </c>
      <c r="Y217" s="6">
        <f>IF(D217="Yes",V217*Tab_Data_Flows[[#This Row],[E2_Fraction'[%']]],"N.A.")</f>
        <v>10000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IF(G217="Yes",Tab_Data_Flows[[#This Row],[E4_Fraction'[%']]]*Tab_Data_Flows[[#This Row],[E1_value]],"N.A.")</f>
        <v>0</v>
      </c>
      <c r="AF217" s="6" t="str">
        <f>Tab_Data_Flows[[#This Row],[E1_UoM]]</f>
        <v>Mg</v>
      </c>
      <c r="AG217" s="139">
        <f>_xlfn.XLOOKUP(Tab_Data_Flows[[#This Row],[Flow_Name]],Tab_Def_Flows[Flow_Name],Tab_Def_Flows[Flow_E5_Fraction'[%']],"N.A.",0,1)</f>
        <v>0</v>
      </c>
      <c r="AH217" s="6" t="str">
        <f>IF(H217="Yes",Tab_Data_Flows[[#This Row],[E5_Fraction'[%']]]*Tab_Data_Flows[[#This Row],[E1_value]],"N.A.")</f>
        <v>N.A.</v>
      </c>
      <c r="AI217" s="6" t="str">
        <f>Tab_Data_Flows[[#This Row],[E1_UoM]]</f>
        <v>Mg</v>
      </c>
      <c r="AJ217" s="139">
        <f>_xlfn.XLOOKUP(Tab_Data_Flows[[#This Row],[Flow_Name]],Tab_Def_Flows[Flow_Name],Tab_Def_Flows[Flow_E6_Fraction'[%']],"N.A.",0,1)</f>
        <v>0</v>
      </c>
      <c r="AK217" s="6" t="str">
        <f>IF(Tab_Data_Flows[[#This Row],[Use_E6]]="Yes",Tab_Data_Flows[[#This Row],[E6_Fraction'[%']]]*Tab_Data_Flows[[#This Row],[E1_value]],"N.A.")</f>
        <v>N.A.</v>
      </c>
      <c r="AL217" s="6" t="str">
        <f>Tab_Data_Flows[[#This Row],[E1_UoM]]</f>
        <v>Mg</v>
      </c>
    </row>
    <row r="218" spans="1:38" x14ac:dyDescent="0.25">
      <c r="A218" s="8">
        <f t="shared" si="8"/>
        <v>217</v>
      </c>
      <c r="B218" s="6" t="str">
        <f>_xlfn.XLOOKUP(C218,Tab_Def_Flows[Flow_Name],Tab_Def_Flows[Flow_ID],,0,)</f>
        <v>F_01_09</v>
      </c>
      <c r="C218" s="138" t="s">
        <v>1239</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No</v>
      </c>
      <c r="I218" s="9" t="str">
        <f>_xlfn.XLOOKUP(C218,Tab_Def_Flows[Flow_Name],Tab_Def_Flows[Use_E6],,0,)</f>
        <v>No</v>
      </c>
      <c r="J218" s="7">
        <v>2039</v>
      </c>
      <c r="K218" s="21">
        <v>10000</v>
      </c>
      <c r="L218" s="6" t="str">
        <f>'0_Configuration'!$C$41</f>
        <v>Mg</v>
      </c>
      <c r="M218" s="13"/>
      <c r="N218" s="13"/>
      <c r="O218" s="13"/>
      <c r="P218" s="13"/>
      <c r="Q218" s="13"/>
      <c r="R218" s="7" t="s">
        <v>6</v>
      </c>
      <c r="S218" s="14"/>
      <c r="T218" s="7"/>
      <c r="U218" s="139">
        <f>_xlfn.XLOOKUP(Tab_Data_Flows[[#This Row],[Flow_Name]],Tab_Def_Flows[Flow_Name],Tab_Def_Flows[Flow_E1_Fraction'[%']],"N.A.",0,1)</f>
        <v>1</v>
      </c>
      <c r="V218" s="12">
        <f t="shared" si="7"/>
        <v>10000</v>
      </c>
      <c r="W218" s="6" t="str">
        <f>Tab_Data_Flows[[#This Row],[UoM_Source]]</f>
        <v>Mg</v>
      </c>
      <c r="X218" s="139">
        <f>_xlfn.XLOOKUP(Tab_Data_Flows[[#This Row],[Flow_Name]],Tab_Def_Flows[Flow_Name],Tab_Def_Flows[Flow_E2_Fraction'[%']],"N.A.",0,1)</f>
        <v>1</v>
      </c>
      <c r="Y218" s="6">
        <f>IF(D218="Yes",V218*Tab_Data_Flows[[#This Row],[E2_Fraction'[%']]],"N.A.")</f>
        <v>10000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IF(G218="Yes",Tab_Data_Flows[[#This Row],[E4_Fraction'[%']]]*Tab_Data_Flows[[#This Row],[E1_value]],"N.A.")</f>
        <v>0</v>
      </c>
      <c r="AF218" s="6" t="str">
        <f>Tab_Data_Flows[[#This Row],[E1_UoM]]</f>
        <v>Mg</v>
      </c>
      <c r="AG218" s="139">
        <f>_xlfn.XLOOKUP(Tab_Data_Flows[[#This Row],[Flow_Name]],Tab_Def_Flows[Flow_Name],Tab_Def_Flows[Flow_E5_Fraction'[%']],"N.A.",0,1)</f>
        <v>0</v>
      </c>
      <c r="AH218" s="6" t="str">
        <f>IF(H218="Yes",Tab_Data_Flows[[#This Row],[E5_Fraction'[%']]]*Tab_Data_Flows[[#This Row],[E1_value]],"N.A.")</f>
        <v>N.A.</v>
      </c>
      <c r="AI218" s="6" t="str">
        <f>Tab_Data_Flows[[#This Row],[E1_UoM]]</f>
        <v>Mg</v>
      </c>
      <c r="AJ218" s="139">
        <f>_xlfn.XLOOKUP(Tab_Data_Flows[[#This Row],[Flow_Name]],Tab_Def_Flows[Flow_Name],Tab_Def_Flows[Flow_E6_Fraction'[%']],"N.A.",0,1)</f>
        <v>0</v>
      </c>
      <c r="AK218" s="6" t="str">
        <f>IF(Tab_Data_Flows[[#This Row],[Use_E6]]="Yes",Tab_Data_Flows[[#This Row],[E6_Fraction'[%']]]*Tab_Data_Flows[[#This Row],[E1_value]],"N.A.")</f>
        <v>N.A.</v>
      </c>
      <c r="AL218" s="6" t="str">
        <f>Tab_Data_Flows[[#This Row],[E1_UoM]]</f>
        <v>Mg</v>
      </c>
    </row>
    <row r="219" spans="1:38" x14ac:dyDescent="0.25">
      <c r="A219" s="8">
        <f t="shared" si="8"/>
        <v>218</v>
      </c>
      <c r="B219" s="6" t="str">
        <f>_xlfn.XLOOKUP(C219,Tab_Def_Flows[Flow_Name],Tab_Def_Flows[Flow_ID],,0,)</f>
        <v>F_01_09</v>
      </c>
      <c r="C219" s="138" t="s">
        <v>1239</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No</v>
      </c>
      <c r="I219" s="9" t="str">
        <f>_xlfn.XLOOKUP(C219,Tab_Def_Flows[Flow_Name],Tab_Def_Flows[Use_E6],,0,)</f>
        <v>No</v>
      </c>
      <c r="J219" s="7">
        <v>2040</v>
      </c>
      <c r="K219" s="21">
        <v>10000</v>
      </c>
      <c r="L219" s="6" t="str">
        <f>'0_Configuration'!$C$41</f>
        <v>Mg</v>
      </c>
      <c r="M219" s="13"/>
      <c r="N219" s="13"/>
      <c r="O219" s="13"/>
      <c r="P219" s="13"/>
      <c r="Q219" s="13"/>
      <c r="R219" s="7" t="s">
        <v>6</v>
      </c>
      <c r="S219" s="14"/>
      <c r="T219" s="7"/>
      <c r="U219" s="139">
        <f>_xlfn.XLOOKUP(Tab_Data_Flows[[#This Row],[Flow_Name]],Tab_Def_Flows[Flow_Name],Tab_Def_Flows[Flow_E1_Fraction'[%']],"N.A.",0,1)</f>
        <v>1</v>
      </c>
      <c r="V219" s="12">
        <f t="shared" si="7"/>
        <v>10000</v>
      </c>
      <c r="W219" s="6" t="str">
        <f>Tab_Data_Flows[[#This Row],[UoM_Source]]</f>
        <v>Mg</v>
      </c>
      <c r="X219" s="139">
        <f>_xlfn.XLOOKUP(Tab_Data_Flows[[#This Row],[Flow_Name]],Tab_Def_Flows[Flow_Name],Tab_Def_Flows[Flow_E2_Fraction'[%']],"N.A.",0,1)</f>
        <v>1</v>
      </c>
      <c r="Y219" s="6">
        <f>IF(D219="Yes",V219*Tab_Data_Flows[[#This Row],[E2_Fraction'[%']]],"N.A.")</f>
        <v>10000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IF(G219="Yes",Tab_Data_Flows[[#This Row],[E4_Fraction'[%']]]*Tab_Data_Flows[[#This Row],[E1_value]],"N.A.")</f>
        <v>0</v>
      </c>
      <c r="AF219" s="6" t="str">
        <f>Tab_Data_Flows[[#This Row],[E1_UoM]]</f>
        <v>Mg</v>
      </c>
      <c r="AG219" s="139">
        <f>_xlfn.XLOOKUP(Tab_Data_Flows[[#This Row],[Flow_Name]],Tab_Def_Flows[Flow_Name],Tab_Def_Flows[Flow_E5_Fraction'[%']],"N.A.",0,1)</f>
        <v>0</v>
      </c>
      <c r="AH219" s="6" t="str">
        <f>IF(H219="Yes",Tab_Data_Flows[[#This Row],[E5_Fraction'[%']]]*Tab_Data_Flows[[#This Row],[E1_value]],"N.A.")</f>
        <v>N.A.</v>
      </c>
      <c r="AI219" s="6" t="str">
        <f>Tab_Data_Flows[[#This Row],[E1_UoM]]</f>
        <v>Mg</v>
      </c>
      <c r="AJ219" s="139">
        <f>_xlfn.XLOOKUP(Tab_Data_Flows[[#This Row],[Flow_Name]],Tab_Def_Flows[Flow_Name],Tab_Def_Flows[Flow_E6_Fraction'[%']],"N.A.",0,1)</f>
        <v>0</v>
      </c>
      <c r="AK219" s="6" t="str">
        <f>IF(Tab_Data_Flows[[#This Row],[Use_E6]]="Yes",Tab_Data_Flows[[#This Row],[E6_Fraction'[%']]]*Tab_Data_Flows[[#This Row],[E1_value]],"N.A.")</f>
        <v>N.A.</v>
      </c>
      <c r="AL219" s="6" t="str">
        <f>Tab_Data_Flows[[#This Row],[E1_UoM]]</f>
        <v>Mg</v>
      </c>
    </row>
    <row r="220" spans="1:38" x14ac:dyDescent="0.25">
      <c r="A220" s="8">
        <f t="shared" si="8"/>
        <v>219</v>
      </c>
      <c r="B220" s="6" t="str">
        <f>_xlfn.XLOOKUP(C220,Tab_Def_Flows[Flow_Name],Tab_Def_Flows[Flow_ID],,0,)</f>
        <v>F_01_09</v>
      </c>
      <c r="C220" s="138" t="s">
        <v>1239</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No</v>
      </c>
      <c r="I220" s="9" t="str">
        <f>_xlfn.XLOOKUP(C220,Tab_Def_Flows[Flow_Name],Tab_Def_Flows[Use_E6],,0,)</f>
        <v>No</v>
      </c>
      <c r="J220" s="7">
        <v>2041</v>
      </c>
      <c r="K220" s="21">
        <v>10000</v>
      </c>
      <c r="L220" s="6" t="str">
        <f>'0_Configuration'!$C$41</f>
        <v>Mg</v>
      </c>
      <c r="M220" s="13"/>
      <c r="N220" s="13"/>
      <c r="O220" s="13"/>
      <c r="P220" s="13"/>
      <c r="Q220" s="13"/>
      <c r="R220" s="7" t="s">
        <v>6</v>
      </c>
      <c r="S220" s="14"/>
      <c r="T220" s="7"/>
      <c r="U220" s="139">
        <f>_xlfn.XLOOKUP(Tab_Data_Flows[[#This Row],[Flow_Name]],Tab_Def_Flows[Flow_Name],Tab_Def_Flows[Flow_E1_Fraction'[%']],"N.A.",0,1)</f>
        <v>1</v>
      </c>
      <c r="V220" s="12">
        <f t="shared" si="7"/>
        <v>10000</v>
      </c>
      <c r="W220" s="6" t="str">
        <f>Tab_Data_Flows[[#This Row],[UoM_Source]]</f>
        <v>Mg</v>
      </c>
      <c r="X220" s="139">
        <f>_xlfn.XLOOKUP(Tab_Data_Flows[[#This Row],[Flow_Name]],Tab_Def_Flows[Flow_Name],Tab_Def_Flows[Flow_E2_Fraction'[%']],"N.A.",0,1)</f>
        <v>1</v>
      </c>
      <c r="Y220" s="6">
        <f>IF(D220="Yes",V220*Tab_Data_Flows[[#This Row],[E2_Fraction'[%']]],"N.A.")</f>
        <v>10000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IF(G220="Yes",Tab_Data_Flows[[#This Row],[E4_Fraction'[%']]]*Tab_Data_Flows[[#This Row],[E1_value]],"N.A.")</f>
        <v>0</v>
      </c>
      <c r="AF220" s="6" t="str">
        <f>Tab_Data_Flows[[#This Row],[E1_UoM]]</f>
        <v>Mg</v>
      </c>
      <c r="AG220" s="139">
        <f>_xlfn.XLOOKUP(Tab_Data_Flows[[#This Row],[Flow_Name]],Tab_Def_Flows[Flow_Name],Tab_Def_Flows[Flow_E5_Fraction'[%']],"N.A.",0,1)</f>
        <v>0</v>
      </c>
      <c r="AH220" s="6" t="str">
        <f>IF(H220="Yes",Tab_Data_Flows[[#This Row],[E5_Fraction'[%']]]*Tab_Data_Flows[[#This Row],[E1_value]],"N.A.")</f>
        <v>N.A.</v>
      </c>
      <c r="AI220" s="6" t="str">
        <f>Tab_Data_Flows[[#This Row],[E1_UoM]]</f>
        <v>Mg</v>
      </c>
      <c r="AJ220" s="139">
        <f>_xlfn.XLOOKUP(Tab_Data_Flows[[#This Row],[Flow_Name]],Tab_Def_Flows[Flow_Name],Tab_Def_Flows[Flow_E6_Fraction'[%']],"N.A.",0,1)</f>
        <v>0</v>
      </c>
      <c r="AK220" s="6" t="str">
        <f>IF(Tab_Data_Flows[[#This Row],[Use_E6]]="Yes",Tab_Data_Flows[[#This Row],[E6_Fraction'[%']]]*Tab_Data_Flows[[#This Row],[E1_value]],"N.A.")</f>
        <v>N.A.</v>
      </c>
      <c r="AL220" s="6" t="str">
        <f>Tab_Data_Flows[[#This Row],[E1_UoM]]</f>
        <v>Mg</v>
      </c>
    </row>
    <row r="221" spans="1:38" x14ac:dyDescent="0.25">
      <c r="A221" s="8">
        <f t="shared" si="8"/>
        <v>220</v>
      </c>
      <c r="B221" s="6" t="str">
        <f>_xlfn.XLOOKUP(C221,Tab_Def_Flows[Flow_Name],Tab_Def_Flows[Flow_ID],,0,)</f>
        <v>F_01_09</v>
      </c>
      <c r="C221" s="138" t="s">
        <v>1239</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No</v>
      </c>
      <c r="I221" s="9" t="str">
        <f>_xlfn.XLOOKUP(C221,Tab_Def_Flows[Flow_Name],Tab_Def_Flows[Use_E6],,0,)</f>
        <v>No</v>
      </c>
      <c r="J221" s="7">
        <v>2042</v>
      </c>
      <c r="K221" s="21">
        <v>10000</v>
      </c>
      <c r="L221" s="6" t="str">
        <f>'0_Configuration'!$C$41</f>
        <v>Mg</v>
      </c>
      <c r="M221" s="13"/>
      <c r="N221" s="13"/>
      <c r="O221" s="13"/>
      <c r="P221" s="13"/>
      <c r="Q221" s="13"/>
      <c r="R221" s="7" t="s">
        <v>6</v>
      </c>
      <c r="S221" s="14"/>
      <c r="T221" s="7"/>
      <c r="U221" s="139">
        <f>_xlfn.XLOOKUP(Tab_Data_Flows[[#This Row],[Flow_Name]],Tab_Def_Flows[Flow_Name],Tab_Def_Flows[Flow_E1_Fraction'[%']],"N.A.",0,1)</f>
        <v>1</v>
      </c>
      <c r="V221" s="12">
        <f t="shared" si="7"/>
        <v>10000</v>
      </c>
      <c r="W221" s="6" t="str">
        <f>Tab_Data_Flows[[#This Row],[UoM_Source]]</f>
        <v>Mg</v>
      </c>
      <c r="X221" s="139">
        <f>_xlfn.XLOOKUP(Tab_Data_Flows[[#This Row],[Flow_Name]],Tab_Def_Flows[Flow_Name],Tab_Def_Flows[Flow_E2_Fraction'[%']],"N.A.",0,1)</f>
        <v>1</v>
      </c>
      <c r="Y221" s="6">
        <f>IF(D221="Yes",V221*Tab_Data_Flows[[#This Row],[E2_Fraction'[%']]],"N.A.")</f>
        <v>10000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IF(G221="Yes",Tab_Data_Flows[[#This Row],[E4_Fraction'[%']]]*Tab_Data_Flows[[#This Row],[E1_value]],"N.A.")</f>
        <v>0</v>
      </c>
      <c r="AF221" s="6" t="str">
        <f>Tab_Data_Flows[[#This Row],[E1_UoM]]</f>
        <v>Mg</v>
      </c>
      <c r="AG221" s="139">
        <f>_xlfn.XLOOKUP(Tab_Data_Flows[[#This Row],[Flow_Name]],Tab_Def_Flows[Flow_Name],Tab_Def_Flows[Flow_E5_Fraction'[%']],"N.A.",0,1)</f>
        <v>0</v>
      </c>
      <c r="AH221" s="6" t="str">
        <f>IF(H221="Yes",Tab_Data_Flows[[#This Row],[E5_Fraction'[%']]]*Tab_Data_Flows[[#This Row],[E1_value]],"N.A.")</f>
        <v>N.A.</v>
      </c>
      <c r="AI221" s="6" t="str">
        <f>Tab_Data_Flows[[#This Row],[E1_UoM]]</f>
        <v>Mg</v>
      </c>
      <c r="AJ221" s="139">
        <f>_xlfn.XLOOKUP(Tab_Data_Flows[[#This Row],[Flow_Name]],Tab_Def_Flows[Flow_Name],Tab_Def_Flows[Flow_E6_Fraction'[%']],"N.A.",0,1)</f>
        <v>0</v>
      </c>
      <c r="AK221" s="6" t="str">
        <f>IF(Tab_Data_Flows[[#This Row],[Use_E6]]="Yes",Tab_Data_Flows[[#This Row],[E6_Fraction'[%']]]*Tab_Data_Flows[[#This Row],[E1_value]],"N.A.")</f>
        <v>N.A.</v>
      </c>
      <c r="AL221" s="6" t="str">
        <f>Tab_Data_Flows[[#This Row],[E1_UoM]]</f>
        <v>Mg</v>
      </c>
    </row>
    <row r="222" spans="1:38" x14ac:dyDescent="0.25">
      <c r="A222" s="8">
        <f t="shared" si="8"/>
        <v>221</v>
      </c>
      <c r="B222" s="6" t="str">
        <f>_xlfn.XLOOKUP(C222,Tab_Def_Flows[Flow_Name],Tab_Def_Flows[Flow_ID],,0,)</f>
        <v>F_01_09</v>
      </c>
      <c r="C222" s="138" t="s">
        <v>1239</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No</v>
      </c>
      <c r="I222" s="9" t="str">
        <f>_xlfn.XLOOKUP(C222,Tab_Def_Flows[Flow_Name],Tab_Def_Flows[Use_E6],,0,)</f>
        <v>No</v>
      </c>
      <c r="J222" s="7">
        <v>2043</v>
      </c>
      <c r="K222" s="21">
        <v>10000</v>
      </c>
      <c r="L222" s="6" t="str">
        <f>'0_Configuration'!$C$41</f>
        <v>Mg</v>
      </c>
      <c r="M222" s="13"/>
      <c r="N222" s="13"/>
      <c r="O222" s="13"/>
      <c r="P222" s="13"/>
      <c r="Q222" s="13"/>
      <c r="R222" s="7" t="s">
        <v>6</v>
      </c>
      <c r="S222" s="14"/>
      <c r="T222" s="7"/>
      <c r="U222" s="139">
        <f>_xlfn.XLOOKUP(Tab_Data_Flows[[#This Row],[Flow_Name]],Tab_Def_Flows[Flow_Name],Tab_Def_Flows[Flow_E1_Fraction'[%']],"N.A.",0,1)</f>
        <v>1</v>
      </c>
      <c r="V222" s="12">
        <f t="shared" si="7"/>
        <v>10000</v>
      </c>
      <c r="W222" s="6" t="str">
        <f>Tab_Data_Flows[[#This Row],[UoM_Source]]</f>
        <v>Mg</v>
      </c>
      <c r="X222" s="139">
        <f>_xlfn.XLOOKUP(Tab_Data_Flows[[#This Row],[Flow_Name]],Tab_Def_Flows[Flow_Name],Tab_Def_Flows[Flow_E2_Fraction'[%']],"N.A.",0,1)</f>
        <v>1</v>
      </c>
      <c r="Y222" s="6">
        <f>IF(D222="Yes",V222*Tab_Data_Flows[[#This Row],[E2_Fraction'[%']]],"N.A.")</f>
        <v>10000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IF(G222="Yes",Tab_Data_Flows[[#This Row],[E4_Fraction'[%']]]*Tab_Data_Flows[[#This Row],[E1_value]],"N.A.")</f>
        <v>0</v>
      </c>
      <c r="AF222" s="6" t="str">
        <f>Tab_Data_Flows[[#This Row],[E1_UoM]]</f>
        <v>Mg</v>
      </c>
      <c r="AG222" s="139">
        <f>_xlfn.XLOOKUP(Tab_Data_Flows[[#This Row],[Flow_Name]],Tab_Def_Flows[Flow_Name],Tab_Def_Flows[Flow_E5_Fraction'[%']],"N.A.",0,1)</f>
        <v>0</v>
      </c>
      <c r="AH222" s="6" t="str">
        <f>IF(H222="Yes",Tab_Data_Flows[[#This Row],[E5_Fraction'[%']]]*Tab_Data_Flows[[#This Row],[E1_value]],"N.A.")</f>
        <v>N.A.</v>
      </c>
      <c r="AI222" s="6" t="str">
        <f>Tab_Data_Flows[[#This Row],[E1_UoM]]</f>
        <v>Mg</v>
      </c>
      <c r="AJ222" s="139">
        <f>_xlfn.XLOOKUP(Tab_Data_Flows[[#This Row],[Flow_Name]],Tab_Def_Flows[Flow_Name],Tab_Def_Flows[Flow_E6_Fraction'[%']],"N.A.",0,1)</f>
        <v>0</v>
      </c>
      <c r="AK222" s="6" t="str">
        <f>IF(Tab_Data_Flows[[#This Row],[Use_E6]]="Yes",Tab_Data_Flows[[#This Row],[E6_Fraction'[%']]]*Tab_Data_Flows[[#This Row],[E1_value]],"N.A.")</f>
        <v>N.A.</v>
      </c>
      <c r="AL222" s="6" t="str">
        <f>Tab_Data_Flows[[#This Row],[E1_UoM]]</f>
        <v>Mg</v>
      </c>
    </row>
    <row r="223" spans="1:38" x14ac:dyDescent="0.25">
      <c r="A223" s="8">
        <f t="shared" si="8"/>
        <v>222</v>
      </c>
      <c r="B223" s="6" t="str">
        <f>_xlfn.XLOOKUP(C223,Tab_Def_Flows[Flow_Name],Tab_Def_Flows[Flow_ID],,0,)</f>
        <v>F_01_09</v>
      </c>
      <c r="C223" s="138" t="s">
        <v>1239</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No</v>
      </c>
      <c r="I223" s="9" t="str">
        <f>_xlfn.XLOOKUP(C223,Tab_Def_Flows[Flow_Name],Tab_Def_Flows[Use_E6],,0,)</f>
        <v>No</v>
      </c>
      <c r="J223" s="7">
        <v>2044</v>
      </c>
      <c r="K223" s="21">
        <v>10000</v>
      </c>
      <c r="L223" s="6" t="str">
        <f>'0_Configuration'!$C$41</f>
        <v>Mg</v>
      </c>
      <c r="M223" s="13"/>
      <c r="N223" s="13"/>
      <c r="O223" s="13"/>
      <c r="P223" s="13"/>
      <c r="Q223" s="13"/>
      <c r="R223" s="7" t="s">
        <v>6</v>
      </c>
      <c r="S223" s="14"/>
      <c r="T223" s="7"/>
      <c r="U223" s="139">
        <f>_xlfn.XLOOKUP(Tab_Data_Flows[[#This Row],[Flow_Name]],Tab_Def_Flows[Flow_Name],Tab_Def_Flows[Flow_E1_Fraction'[%']],"N.A.",0,1)</f>
        <v>1</v>
      </c>
      <c r="V223" s="12">
        <f t="shared" si="7"/>
        <v>10000</v>
      </c>
      <c r="W223" s="6" t="str">
        <f>Tab_Data_Flows[[#This Row],[UoM_Source]]</f>
        <v>Mg</v>
      </c>
      <c r="X223" s="139">
        <f>_xlfn.XLOOKUP(Tab_Data_Flows[[#This Row],[Flow_Name]],Tab_Def_Flows[Flow_Name],Tab_Def_Flows[Flow_E2_Fraction'[%']],"N.A.",0,1)</f>
        <v>1</v>
      </c>
      <c r="Y223" s="6">
        <f>IF(D223="Yes",V223*Tab_Data_Flows[[#This Row],[E2_Fraction'[%']]],"N.A.")</f>
        <v>10000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IF(G223="Yes",Tab_Data_Flows[[#This Row],[E4_Fraction'[%']]]*Tab_Data_Flows[[#This Row],[E1_value]],"N.A.")</f>
        <v>0</v>
      </c>
      <c r="AF223" s="6" t="str">
        <f>Tab_Data_Flows[[#This Row],[E1_UoM]]</f>
        <v>Mg</v>
      </c>
      <c r="AG223" s="139">
        <f>_xlfn.XLOOKUP(Tab_Data_Flows[[#This Row],[Flow_Name]],Tab_Def_Flows[Flow_Name],Tab_Def_Flows[Flow_E5_Fraction'[%']],"N.A.",0,1)</f>
        <v>0</v>
      </c>
      <c r="AH223" s="6" t="str">
        <f>IF(H223="Yes",Tab_Data_Flows[[#This Row],[E5_Fraction'[%']]]*Tab_Data_Flows[[#This Row],[E1_value]],"N.A.")</f>
        <v>N.A.</v>
      </c>
      <c r="AI223" s="6" t="str">
        <f>Tab_Data_Flows[[#This Row],[E1_UoM]]</f>
        <v>Mg</v>
      </c>
      <c r="AJ223" s="139">
        <f>_xlfn.XLOOKUP(Tab_Data_Flows[[#This Row],[Flow_Name]],Tab_Def_Flows[Flow_Name],Tab_Def_Flows[Flow_E6_Fraction'[%']],"N.A.",0,1)</f>
        <v>0</v>
      </c>
      <c r="AK223" s="6" t="str">
        <f>IF(Tab_Data_Flows[[#This Row],[Use_E6]]="Yes",Tab_Data_Flows[[#This Row],[E6_Fraction'[%']]]*Tab_Data_Flows[[#This Row],[E1_value]],"N.A.")</f>
        <v>N.A.</v>
      </c>
      <c r="AL223" s="6" t="str">
        <f>Tab_Data_Flows[[#This Row],[E1_UoM]]</f>
        <v>Mg</v>
      </c>
    </row>
    <row r="224" spans="1:38" x14ac:dyDescent="0.25">
      <c r="A224" s="8">
        <f t="shared" si="8"/>
        <v>223</v>
      </c>
      <c r="B224" s="6" t="str">
        <f>_xlfn.XLOOKUP(C224,Tab_Def_Flows[Flow_Name],Tab_Def_Flows[Flow_ID],,0,)</f>
        <v>F_01_09</v>
      </c>
      <c r="C224" s="138" t="s">
        <v>1239</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No</v>
      </c>
      <c r="I224" s="9" t="str">
        <f>_xlfn.XLOOKUP(C224,Tab_Def_Flows[Flow_Name],Tab_Def_Flows[Use_E6],,0,)</f>
        <v>No</v>
      </c>
      <c r="J224" s="7">
        <v>2045</v>
      </c>
      <c r="K224" s="21">
        <v>10000</v>
      </c>
      <c r="L224" s="6" t="str">
        <f>'0_Configuration'!$C$41</f>
        <v>Mg</v>
      </c>
      <c r="M224" s="13"/>
      <c r="N224" s="13"/>
      <c r="O224" s="13"/>
      <c r="P224" s="13"/>
      <c r="Q224" s="13"/>
      <c r="R224" s="7" t="s">
        <v>6</v>
      </c>
      <c r="S224" s="14"/>
      <c r="T224" s="7"/>
      <c r="U224" s="139">
        <f>_xlfn.XLOOKUP(Tab_Data_Flows[[#This Row],[Flow_Name]],Tab_Def_Flows[Flow_Name],Tab_Def_Flows[Flow_E1_Fraction'[%']],"N.A.",0,1)</f>
        <v>1</v>
      </c>
      <c r="V224" s="12">
        <f t="shared" si="7"/>
        <v>10000</v>
      </c>
      <c r="W224" s="6" t="str">
        <f>Tab_Data_Flows[[#This Row],[UoM_Source]]</f>
        <v>Mg</v>
      </c>
      <c r="X224" s="139">
        <f>_xlfn.XLOOKUP(Tab_Data_Flows[[#This Row],[Flow_Name]],Tab_Def_Flows[Flow_Name],Tab_Def_Flows[Flow_E2_Fraction'[%']],"N.A.",0,1)</f>
        <v>1</v>
      </c>
      <c r="Y224" s="6">
        <f>IF(D224="Yes",V224*Tab_Data_Flows[[#This Row],[E2_Fraction'[%']]],"N.A.")</f>
        <v>10000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IF(G224="Yes",Tab_Data_Flows[[#This Row],[E4_Fraction'[%']]]*Tab_Data_Flows[[#This Row],[E1_value]],"N.A.")</f>
        <v>0</v>
      </c>
      <c r="AF224" s="6" t="str">
        <f>Tab_Data_Flows[[#This Row],[E1_UoM]]</f>
        <v>Mg</v>
      </c>
      <c r="AG224" s="139">
        <f>_xlfn.XLOOKUP(Tab_Data_Flows[[#This Row],[Flow_Name]],Tab_Def_Flows[Flow_Name],Tab_Def_Flows[Flow_E5_Fraction'[%']],"N.A.",0,1)</f>
        <v>0</v>
      </c>
      <c r="AH224" s="6" t="str">
        <f>IF(H224="Yes",Tab_Data_Flows[[#This Row],[E5_Fraction'[%']]]*Tab_Data_Flows[[#This Row],[E1_value]],"N.A.")</f>
        <v>N.A.</v>
      </c>
      <c r="AI224" s="6" t="str">
        <f>Tab_Data_Flows[[#This Row],[E1_UoM]]</f>
        <v>Mg</v>
      </c>
      <c r="AJ224" s="139">
        <f>_xlfn.XLOOKUP(Tab_Data_Flows[[#This Row],[Flow_Name]],Tab_Def_Flows[Flow_Name],Tab_Def_Flows[Flow_E6_Fraction'[%']],"N.A.",0,1)</f>
        <v>0</v>
      </c>
      <c r="AK224" s="6" t="str">
        <f>IF(Tab_Data_Flows[[#This Row],[Use_E6]]="Yes",Tab_Data_Flows[[#This Row],[E6_Fraction'[%']]]*Tab_Data_Flows[[#This Row],[E1_value]],"N.A.")</f>
        <v>N.A.</v>
      </c>
      <c r="AL224" s="6" t="str">
        <f>Tab_Data_Flows[[#This Row],[E1_UoM]]</f>
        <v>Mg</v>
      </c>
    </row>
    <row r="225" spans="1:38" x14ac:dyDescent="0.25">
      <c r="A225" s="8">
        <f t="shared" si="8"/>
        <v>224</v>
      </c>
      <c r="B225" s="6" t="str">
        <f>_xlfn.XLOOKUP(C225,Tab_Def_Flows[Flow_Name],Tab_Def_Flows[Flow_ID],,0,)</f>
        <v>F_01_09</v>
      </c>
      <c r="C225" s="138" t="s">
        <v>1239</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No</v>
      </c>
      <c r="I225" s="9" t="str">
        <f>_xlfn.XLOOKUP(C225,Tab_Def_Flows[Flow_Name],Tab_Def_Flows[Use_E6],,0,)</f>
        <v>No</v>
      </c>
      <c r="J225" s="7">
        <v>2046</v>
      </c>
      <c r="K225" s="21">
        <v>10000</v>
      </c>
      <c r="L225" s="6" t="str">
        <f>'0_Configuration'!$C$41</f>
        <v>Mg</v>
      </c>
      <c r="M225" s="13"/>
      <c r="N225" s="13"/>
      <c r="O225" s="13"/>
      <c r="P225" s="13"/>
      <c r="Q225" s="13"/>
      <c r="R225" s="7" t="s">
        <v>6</v>
      </c>
      <c r="S225" s="14"/>
      <c r="T225" s="7"/>
      <c r="U225" s="139">
        <f>_xlfn.XLOOKUP(Tab_Data_Flows[[#This Row],[Flow_Name]],Tab_Def_Flows[Flow_Name],Tab_Def_Flows[Flow_E1_Fraction'[%']],"N.A.",0,1)</f>
        <v>1</v>
      </c>
      <c r="V225" s="12">
        <f t="shared" si="7"/>
        <v>10000</v>
      </c>
      <c r="W225" s="6" t="str">
        <f>Tab_Data_Flows[[#This Row],[UoM_Source]]</f>
        <v>Mg</v>
      </c>
      <c r="X225" s="139">
        <f>_xlfn.XLOOKUP(Tab_Data_Flows[[#This Row],[Flow_Name]],Tab_Def_Flows[Flow_Name],Tab_Def_Flows[Flow_E2_Fraction'[%']],"N.A.",0,1)</f>
        <v>1</v>
      </c>
      <c r="Y225" s="6">
        <f>IF(D225="Yes",V225*Tab_Data_Flows[[#This Row],[E2_Fraction'[%']]],"N.A.")</f>
        <v>10000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IF(G225="Yes",Tab_Data_Flows[[#This Row],[E4_Fraction'[%']]]*Tab_Data_Flows[[#This Row],[E1_value]],"N.A.")</f>
        <v>0</v>
      </c>
      <c r="AF225" s="6" t="str">
        <f>Tab_Data_Flows[[#This Row],[E1_UoM]]</f>
        <v>Mg</v>
      </c>
      <c r="AG225" s="139">
        <f>_xlfn.XLOOKUP(Tab_Data_Flows[[#This Row],[Flow_Name]],Tab_Def_Flows[Flow_Name],Tab_Def_Flows[Flow_E5_Fraction'[%']],"N.A.",0,1)</f>
        <v>0</v>
      </c>
      <c r="AH225" s="6" t="str">
        <f>IF(H225="Yes",Tab_Data_Flows[[#This Row],[E5_Fraction'[%']]]*Tab_Data_Flows[[#This Row],[E1_value]],"N.A.")</f>
        <v>N.A.</v>
      </c>
      <c r="AI225" s="6" t="str">
        <f>Tab_Data_Flows[[#This Row],[E1_UoM]]</f>
        <v>Mg</v>
      </c>
      <c r="AJ225" s="139">
        <f>_xlfn.XLOOKUP(Tab_Data_Flows[[#This Row],[Flow_Name]],Tab_Def_Flows[Flow_Name],Tab_Def_Flows[Flow_E6_Fraction'[%']],"N.A.",0,1)</f>
        <v>0</v>
      </c>
      <c r="AK225" s="6" t="str">
        <f>IF(Tab_Data_Flows[[#This Row],[Use_E6]]="Yes",Tab_Data_Flows[[#This Row],[E6_Fraction'[%']]]*Tab_Data_Flows[[#This Row],[E1_value]],"N.A.")</f>
        <v>N.A.</v>
      </c>
      <c r="AL225" s="6" t="str">
        <f>Tab_Data_Flows[[#This Row],[E1_UoM]]</f>
        <v>Mg</v>
      </c>
    </row>
    <row r="226" spans="1:38" x14ac:dyDescent="0.25">
      <c r="A226" s="8">
        <f t="shared" si="8"/>
        <v>225</v>
      </c>
      <c r="B226" s="6" t="str">
        <f>_xlfn.XLOOKUP(C226,Tab_Def_Flows[Flow_Name],Tab_Def_Flows[Flow_ID],,0,)</f>
        <v>F_01_09</v>
      </c>
      <c r="C226" s="138" t="s">
        <v>1239</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No</v>
      </c>
      <c r="I226" s="9" t="str">
        <f>_xlfn.XLOOKUP(C226,Tab_Def_Flows[Flow_Name],Tab_Def_Flows[Use_E6],,0,)</f>
        <v>No</v>
      </c>
      <c r="J226" s="7">
        <v>2047</v>
      </c>
      <c r="K226" s="21">
        <v>10000</v>
      </c>
      <c r="L226" s="6" t="str">
        <f>'0_Configuration'!$C$41</f>
        <v>Mg</v>
      </c>
      <c r="M226" s="13"/>
      <c r="N226" s="13"/>
      <c r="O226" s="13"/>
      <c r="P226" s="13"/>
      <c r="Q226" s="13"/>
      <c r="R226" s="7" t="s">
        <v>6</v>
      </c>
      <c r="S226" s="14"/>
      <c r="T226" s="7"/>
      <c r="U226" s="139">
        <f>_xlfn.XLOOKUP(Tab_Data_Flows[[#This Row],[Flow_Name]],Tab_Def_Flows[Flow_Name],Tab_Def_Flows[Flow_E1_Fraction'[%']],"N.A.",0,1)</f>
        <v>1</v>
      </c>
      <c r="V226" s="12">
        <f t="shared" si="7"/>
        <v>10000</v>
      </c>
      <c r="W226" s="6" t="str">
        <f>Tab_Data_Flows[[#This Row],[UoM_Source]]</f>
        <v>Mg</v>
      </c>
      <c r="X226" s="139">
        <f>_xlfn.XLOOKUP(Tab_Data_Flows[[#This Row],[Flow_Name]],Tab_Def_Flows[Flow_Name],Tab_Def_Flows[Flow_E2_Fraction'[%']],"N.A.",0,1)</f>
        <v>1</v>
      </c>
      <c r="Y226" s="6">
        <f>IF(D226="Yes",V226*Tab_Data_Flows[[#This Row],[E2_Fraction'[%']]],"N.A.")</f>
        <v>10000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IF(G226="Yes",Tab_Data_Flows[[#This Row],[E4_Fraction'[%']]]*Tab_Data_Flows[[#This Row],[E1_value]],"N.A.")</f>
        <v>0</v>
      </c>
      <c r="AF226" s="6" t="str">
        <f>Tab_Data_Flows[[#This Row],[E1_UoM]]</f>
        <v>Mg</v>
      </c>
      <c r="AG226" s="139">
        <f>_xlfn.XLOOKUP(Tab_Data_Flows[[#This Row],[Flow_Name]],Tab_Def_Flows[Flow_Name],Tab_Def_Flows[Flow_E5_Fraction'[%']],"N.A.",0,1)</f>
        <v>0</v>
      </c>
      <c r="AH226" s="6" t="str">
        <f>IF(H226="Yes",Tab_Data_Flows[[#This Row],[E5_Fraction'[%']]]*Tab_Data_Flows[[#This Row],[E1_value]],"N.A.")</f>
        <v>N.A.</v>
      </c>
      <c r="AI226" s="6" t="str">
        <f>Tab_Data_Flows[[#This Row],[E1_UoM]]</f>
        <v>Mg</v>
      </c>
      <c r="AJ226" s="139">
        <f>_xlfn.XLOOKUP(Tab_Data_Flows[[#This Row],[Flow_Name]],Tab_Def_Flows[Flow_Name],Tab_Def_Flows[Flow_E6_Fraction'[%']],"N.A.",0,1)</f>
        <v>0</v>
      </c>
      <c r="AK226" s="6" t="str">
        <f>IF(Tab_Data_Flows[[#This Row],[Use_E6]]="Yes",Tab_Data_Flows[[#This Row],[E6_Fraction'[%']]]*Tab_Data_Flows[[#This Row],[E1_value]],"N.A.")</f>
        <v>N.A.</v>
      </c>
      <c r="AL226" s="6" t="str">
        <f>Tab_Data_Flows[[#This Row],[E1_UoM]]</f>
        <v>Mg</v>
      </c>
    </row>
    <row r="227" spans="1:38" x14ac:dyDescent="0.25">
      <c r="A227" s="8">
        <f t="shared" si="8"/>
        <v>226</v>
      </c>
      <c r="B227" s="6" t="str">
        <f>_xlfn.XLOOKUP(C227,Tab_Def_Flows[Flow_Name],Tab_Def_Flows[Flow_ID],,0,)</f>
        <v>F_01_09</v>
      </c>
      <c r="C227" s="138" t="s">
        <v>1239</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No</v>
      </c>
      <c r="I227" s="9" t="str">
        <f>_xlfn.XLOOKUP(C227,Tab_Def_Flows[Flow_Name],Tab_Def_Flows[Use_E6],,0,)</f>
        <v>No</v>
      </c>
      <c r="J227" s="7">
        <v>2048</v>
      </c>
      <c r="K227" s="21">
        <v>10000</v>
      </c>
      <c r="L227" s="6" t="str">
        <f>'0_Configuration'!$C$41</f>
        <v>Mg</v>
      </c>
      <c r="M227" s="13"/>
      <c r="N227" s="13"/>
      <c r="O227" s="13"/>
      <c r="P227" s="13"/>
      <c r="Q227" s="13"/>
      <c r="R227" s="7" t="s">
        <v>6</v>
      </c>
      <c r="S227" s="14"/>
      <c r="T227" s="7"/>
      <c r="U227" s="139">
        <f>_xlfn.XLOOKUP(Tab_Data_Flows[[#This Row],[Flow_Name]],Tab_Def_Flows[Flow_Name],Tab_Def_Flows[Flow_E1_Fraction'[%']],"N.A.",0,1)</f>
        <v>1</v>
      </c>
      <c r="V227" s="12">
        <f t="shared" si="7"/>
        <v>10000</v>
      </c>
      <c r="W227" s="6" t="str">
        <f>Tab_Data_Flows[[#This Row],[UoM_Source]]</f>
        <v>Mg</v>
      </c>
      <c r="X227" s="139">
        <f>_xlfn.XLOOKUP(Tab_Data_Flows[[#This Row],[Flow_Name]],Tab_Def_Flows[Flow_Name],Tab_Def_Flows[Flow_E2_Fraction'[%']],"N.A.",0,1)</f>
        <v>1</v>
      </c>
      <c r="Y227" s="6">
        <f>IF(D227="Yes",V227*Tab_Data_Flows[[#This Row],[E2_Fraction'[%']]],"N.A.")</f>
        <v>10000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IF(G227="Yes",Tab_Data_Flows[[#This Row],[E4_Fraction'[%']]]*Tab_Data_Flows[[#This Row],[E1_value]],"N.A.")</f>
        <v>0</v>
      </c>
      <c r="AF227" s="6" t="str">
        <f>Tab_Data_Flows[[#This Row],[E1_UoM]]</f>
        <v>Mg</v>
      </c>
      <c r="AG227" s="139">
        <f>_xlfn.XLOOKUP(Tab_Data_Flows[[#This Row],[Flow_Name]],Tab_Def_Flows[Flow_Name],Tab_Def_Flows[Flow_E5_Fraction'[%']],"N.A.",0,1)</f>
        <v>0</v>
      </c>
      <c r="AH227" s="6" t="str">
        <f>IF(H227="Yes",Tab_Data_Flows[[#This Row],[E5_Fraction'[%']]]*Tab_Data_Flows[[#This Row],[E1_value]],"N.A.")</f>
        <v>N.A.</v>
      </c>
      <c r="AI227" s="6" t="str">
        <f>Tab_Data_Flows[[#This Row],[E1_UoM]]</f>
        <v>Mg</v>
      </c>
      <c r="AJ227" s="139">
        <f>_xlfn.XLOOKUP(Tab_Data_Flows[[#This Row],[Flow_Name]],Tab_Def_Flows[Flow_Name],Tab_Def_Flows[Flow_E6_Fraction'[%']],"N.A.",0,1)</f>
        <v>0</v>
      </c>
      <c r="AK227" s="6" t="str">
        <f>IF(Tab_Data_Flows[[#This Row],[Use_E6]]="Yes",Tab_Data_Flows[[#This Row],[E6_Fraction'[%']]]*Tab_Data_Flows[[#This Row],[E1_value]],"N.A.")</f>
        <v>N.A.</v>
      </c>
      <c r="AL227" s="6" t="str">
        <f>Tab_Data_Flows[[#This Row],[E1_UoM]]</f>
        <v>Mg</v>
      </c>
    </row>
    <row r="228" spans="1:38" x14ac:dyDescent="0.25">
      <c r="A228" s="8">
        <f t="shared" si="8"/>
        <v>227</v>
      </c>
      <c r="B228" s="6" t="str">
        <f>_xlfn.XLOOKUP(C228,Tab_Def_Flows[Flow_Name],Tab_Def_Flows[Flow_ID],,0,)</f>
        <v>F_01_09</v>
      </c>
      <c r="C228" s="138" t="s">
        <v>1239</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No</v>
      </c>
      <c r="I228" s="9" t="str">
        <f>_xlfn.XLOOKUP(C228,Tab_Def_Flows[Flow_Name],Tab_Def_Flows[Use_E6],,0,)</f>
        <v>No</v>
      </c>
      <c r="J228" s="7">
        <v>2049</v>
      </c>
      <c r="K228" s="21">
        <v>10000</v>
      </c>
      <c r="L228" s="6" t="str">
        <f>'0_Configuration'!$C$41</f>
        <v>Mg</v>
      </c>
      <c r="M228" s="13"/>
      <c r="N228" s="13"/>
      <c r="O228" s="13"/>
      <c r="P228" s="13"/>
      <c r="Q228" s="13"/>
      <c r="R228" s="7" t="s">
        <v>6</v>
      </c>
      <c r="S228" s="14"/>
      <c r="T228" s="7"/>
      <c r="U228" s="139">
        <f>_xlfn.XLOOKUP(Tab_Data_Flows[[#This Row],[Flow_Name]],Tab_Def_Flows[Flow_Name],Tab_Def_Flows[Flow_E1_Fraction'[%']],"N.A.",0,1)</f>
        <v>1</v>
      </c>
      <c r="V228" s="12">
        <f t="shared" si="7"/>
        <v>10000</v>
      </c>
      <c r="W228" s="6" t="str">
        <f>Tab_Data_Flows[[#This Row],[UoM_Source]]</f>
        <v>Mg</v>
      </c>
      <c r="X228" s="139">
        <f>_xlfn.XLOOKUP(Tab_Data_Flows[[#This Row],[Flow_Name]],Tab_Def_Flows[Flow_Name],Tab_Def_Flows[Flow_E2_Fraction'[%']],"N.A.",0,1)</f>
        <v>1</v>
      </c>
      <c r="Y228" s="6">
        <f>IF(D228="Yes",V228*Tab_Data_Flows[[#This Row],[E2_Fraction'[%']]],"N.A.")</f>
        <v>10000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IF(G228="Yes",Tab_Data_Flows[[#This Row],[E4_Fraction'[%']]]*Tab_Data_Flows[[#This Row],[E1_value]],"N.A.")</f>
        <v>0</v>
      </c>
      <c r="AF228" s="6" t="str">
        <f>Tab_Data_Flows[[#This Row],[E1_UoM]]</f>
        <v>Mg</v>
      </c>
      <c r="AG228" s="139">
        <f>_xlfn.XLOOKUP(Tab_Data_Flows[[#This Row],[Flow_Name]],Tab_Def_Flows[Flow_Name],Tab_Def_Flows[Flow_E5_Fraction'[%']],"N.A.",0,1)</f>
        <v>0</v>
      </c>
      <c r="AH228" s="6" t="str">
        <f>IF(H228="Yes",Tab_Data_Flows[[#This Row],[E5_Fraction'[%']]]*Tab_Data_Flows[[#This Row],[E1_value]],"N.A.")</f>
        <v>N.A.</v>
      </c>
      <c r="AI228" s="6" t="str">
        <f>Tab_Data_Flows[[#This Row],[E1_UoM]]</f>
        <v>Mg</v>
      </c>
      <c r="AJ228" s="139">
        <f>_xlfn.XLOOKUP(Tab_Data_Flows[[#This Row],[Flow_Name]],Tab_Def_Flows[Flow_Name],Tab_Def_Flows[Flow_E6_Fraction'[%']],"N.A.",0,1)</f>
        <v>0</v>
      </c>
      <c r="AK228" s="6" t="str">
        <f>IF(Tab_Data_Flows[[#This Row],[Use_E6]]="Yes",Tab_Data_Flows[[#This Row],[E6_Fraction'[%']]]*Tab_Data_Flows[[#This Row],[E1_value]],"N.A.")</f>
        <v>N.A.</v>
      </c>
      <c r="AL228" s="6" t="str">
        <f>Tab_Data_Flows[[#This Row],[E1_UoM]]</f>
        <v>Mg</v>
      </c>
    </row>
    <row r="229" spans="1:38" x14ac:dyDescent="0.25">
      <c r="A229" s="8">
        <f t="shared" si="8"/>
        <v>228</v>
      </c>
      <c r="B229" s="6" t="str">
        <f>_xlfn.XLOOKUP(C229,Tab_Def_Flows[Flow_Name],Tab_Def_Flows[Flow_ID],,0,)</f>
        <v>F_01_09</v>
      </c>
      <c r="C229" s="138" t="s">
        <v>1239</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No</v>
      </c>
      <c r="I229" s="9" t="str">
        <f>_xlfn.XLOOKUP(C229,Tab_Def_Flows[Flow_Name],Tab_Def_Flows[Use_E6],,0,)</f>
        <v>No</v>
      </c>
      <c r="J229" s="7">
        <v>2050</v>
      </c>
      <c r="K229" s="21">
        <v>10000</v>
      </c>
      <c r="L229" s="6" t="str">
        <f>'0_Configuration'!$C$41</f>
        <v>Mg</v>
      </c>
      <c r="M229" s="13"/>
      <c r="N229" s="13"/>
      <c r="O229" s="13"/>
      <c r="P229" s="13"/>
      <c r="Q229" s="13"/>
      <c r="R229" s="7" t="s">
        <v>6</v>
      </c>
      <c r="S229" s="14"/>
      <c r="T229" s="7"/>
      <c r="U229" s="139">
        <f>_xlfn.XLOOKUP(Tab_Data_Flows[[#This Row],[Flow_Name]],Tab_Def_Flows[Flow_Name],Tab_Def_Flows[Flow_E1_Fraction'[%']],"N.A.",0,1)</f>
        <v>1</v>
      </c>
      <c r="V229" s="12">
        <f t="shared" si="7"/>
        <v>10000</v>
      </c>
      <c r="W229" s="6" t="str">
        <f>Tab_Data_Flows[[#This Row],[UoM_Source]]</f>
        <v>Mg</v>
      </c>
      <c r="X229" s="139">
        <f>_xlfn.XLOOKUP(Tab_Data_Flows[[#This Row],[Flow_Name]],Tab_Def_Flows[Flow_Name],Tab_Def_Flows[Flow_E2_Fraction'[%']],"N.A.",0,1)</f>
        <v>1</v>
      </c>
      <c r="Y229" s="6">
        <f>IF(D229="Yes",V229*Tab_Data_Flows[[#This Row],[E2_Fraction'[%']]],"N.A.")</f>
        <v>10000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IF(G229="Yes",Tab_Data_Flows[[#This Row],[E4_Fraction'[%']]]*Tab_Data_Flows[[#This Row],[E1_value]],"N.A.")</f>
        <v>0</v>
      </c>
      <c r="AF229" s="6" t="str">
        <f>Tab_Data_Flows[[#This Row],[E1_UoM]]</f>
        <v>Mg</v>
      </c>
      <c r="AG229" s="139">
        <f>_xlfn.XLOOKUP(Tab_Data_Flows[[#This Row],[Flow_Name]],Tab_Def_Flows[Flow_Name],Tab_Def_Flows[Flow_E5_Fraction'[%']],"N.A.",0,1)</f>
        <v>0</v>
      </c>
      <c r="AH229" s="6" t="str">
        <f>IF(H229="Yes",Tab_Data_Flows[[#This Row],[E5_Fraction'[%']]]*Tab_Data_Flows[[#This Row],[E1_value]],"N.A.")</f>
        <v>N.A.</v>
      </c>
      <c r="AI229" s="6" t="str">
        <f>Tab_Data_Flows[[#This Row],[E1_UoM]]</f>
        <v>Mg</v>
      </c>
      <c r="AJ229" s="139">
        <f>_xlfn.XLOOKUP(Tab_Data_Flows[[#This Row],[Flow_Name]],Tab_Def_Flows[Flow_Name],Tab_Def_Flows[Flow_E6_Fraction'[%']],"N.A.",0,1)</f>
        <v>0</v>
      </c>
      <c r="AK229" s="6" t="str">
        <f>IF(Tab_Data_Flows[[#This Row],[Use_E6]]="Yes",Tab_Data_Flows[[#This Row],[E6_Fraction'[%']]]*Tab_Data_Flows[[#This Row],[E1_value]],"N.A.")</f>
        <v>N.A.</v>
      </c>
      <c r="AL229" s="6" t="str">
        <f>Tab_Data_Flows[[#This Row],[E1_UoM]]</f>
        <v>Mg</v>
      </c>
    </row>
    <row r="230" spans="1:38" x14ac:dyDescent="0.25">
      <c r="A230" s="8">
        <f t="shared" si="8"/>
        <v>229</v>
      </c>
      <c r="B230" s="6" t="str">
        <f>_xlfn.XLOOKUP(C230,Tab_Def_Flows[Flow_Name],Tab_Def_Flows[Flow_ID],,0,)</f>
        <v>F_01_09</v>
      </c>
      <c r="C230" s="138" t="s">
        <v>1239</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No</v>
      </c>
      <c r="I230" s="9" t="str">
        <f>_xlfn.XLOOKUP(C230,Tab_Def_Flows[Flow_Name],Tab_Def_Flows[Use_E6],,0,)</f>
        <v>No</v>
      </c>
      <c r="J230" s="7">
        <v>2051</v>
      </c>
      <c r="K230" s="21">
        <v>10000</v>
      </c>
      <c r="L230" s="6" t="str">
        <f>'0_Configuration'!$C$41</f>
        <v>Mg</v>
      </c>
      <c r="M230" s="13"/>
      <c r="N230" s="13"/>
      <c r="O230" s="13"/>
      <c r="P230" s="13"/>
      <c r="Q230" s="13"/>
      <c r="R230" s="7" t="s">
        <v>6</v>
      </c>
      <c r="S230" s="14"/>
      <c r="T230" s="7"/>
      <c r="U230" s="139">
        <f>_xlfn.XLOOKUP(Tab_Data_Flows[[#This Row],[Flow_Name]],Tab_Def_Flows[Flow_Name],Tab_Def_Flows[Flow_E1_Fraction'[%']],"N.A.",0,1)</f>
        <v>1</v>
      </c>
      <c r="V230" s="12">
        <f t="shared" si="7"/>
        <v>10000</v>
      </c>
      <c r="W230" s="6" t="str">
        <f>Tab_Data_Flows[[#This Row],[UoM_Source]]</f>
        <v>Mg</v>
      </c>
      <c r="X230" s="139">
        <f>_xlfn.XLOOKUP(Tab_Data_Flows[[#This Row],[Flow_Name]],Tab_Def_Flows[Flow_Name],Tab_Def_Flows[Flow_E2_Fraction'[%']],"N.A.",0,1)</f>
        <v>1</v>
      </c>
      <c r="Y230" s="6">
        <f>IF(D230="Yes",V230*Tab_Data_Flows[[#This Row],[E2_Fraction'[%']]],"N.A.")</f>
        <v>10000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IF(G230="Yes",Tab_Data_Flows[[#This Row],[E4_Fraction'[%']]]*Tab_Data_Flows[[#This Row],[E1_value]],"N.A.")</f>
        <v>0</v>
      </c>
      <c r="AF230" s="6" t="str">
        <f>Tab_Data_Flows[[#This Row],[E1_UoM]]</f>
        <v>Mg</v>
      </c>
      <c r="AG230" s="139">
        <f>_xlfn.XLOOKUP(Tab_Data_Flows[[#This Row],[Flow_Name]],Tab_Def_Flows[Flow_Name],Tab_Def_Flows[Flow_E5_Fraction'[%']],"N.A.",0,1)</f>
        <v>0</v>
      </c>
      <c r="AH230" s="6" t="str">
        <f>IF(H230="Yes",Tab_Data_Flows[[#This Row],[E5_Fraction'[%']]]*Tab_Data_Flows[[#This Row],[E1_value]],"N.A.")</f>
        <v>N.A.</v>
      </c>
      <c r="AI230" s="6" t="str">
        <f>Tab_Data_Flows[[#This Row],[E1_UoM]]</f>
        <v>Mg</v>
      </c>
      <c r="AJ230" s="139">
        <f>_xlfn.XLOOKUP(Tab_Data_Flows[[#This Row],[Flow_Name]],Tab_Def_Flows[Flow_Name],Tab_Def_Flows[Flow_E6_Fraction'[%']],"N.A.",0,1)</f>
        <v>0</v>
      </c>
      <c r="AK230" s="6" t="str">
        <f>IF(Tab_Data_Flows[[#This Row],[Use_E6]]="Yes",Tab_Data_Flows[[#This Row],[E6_Fraction'[%']]]*Tab_Data_Flows[[#This Row],[E1_value]],"N.A.")</f>
        <v>N.A.</v>
      </c>
      <c r="AL230" s="6" t="str">
        <f>Tab_Data_Flows[[#This Row],[E1_UoM]]</f>
        <v>Mg</v>
      </c>
    </row>
    <row r="231" spans="1:38" x14ac:dyDescent="0.25">
      <c r="A231" s="8">
        <f t="shared" si="8"/>
        <v>230</v>
      </c>
      <c r="B231" s="6" t="str">
        <f>_xlfn.XLOOKUP(C231,Tab_Def_Flows[Flow_Name],Tab_Def_Flows[Flow_ID],,0,)</f>
        <v>F_01_09</v>
      </c>
      <c r="C231" s="138" t="s">
        <v>1239</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No</v>
      </c>
      <c r="I231" s="9" t="str">
        <f>_xlfn.XLOOKUP(C231,Tab_Def_Flows[Flow_Name],Tab_Def_Flows[Use_E6],,0,)</f>
        <v>No</v>
      </c>
      <c r="J231" s="7">
        <v>2052</v>
      </c>
      <c r="K231" s="21">
        <v>10000</v>
      </c>
      <c r="L231" s="6" t="str">
        <f>'0_Configuration'!$C$41</f>
        <v>Mg</v>
      </c>
      <c r="M231" s="13"/>
      <c r="N231" s="13"/>
      <c r="O231" s="13"/>
      <c r="P231" s="13"/>
      <c r="Q231" s="13"/>
      <c r="R231" s="7" t="s">
        <v>6</v>
      </c>
      <c r="S231" s="14"/>
      <c r="T231" s="7"/>
      <c r="U231" s="139">
        <f>_xlfn.XLOOKUP(Tab_Data_Flows[[#This Row],[Flow_Name]],Tab_Def_Flows[Flow_Name],Tab_Def_Flows[Flow_E1_Fraction'[%']],"N.A.",0,1)</f>
        <v>1</v>
      </c>
      <c r="V231" s="12">
        <f t="shared" si="7"/>
        <v>10000</v>
      </c>
      <c r="W231" s="6" t="str">
        <f>Tab_Data_Flows[[#This Row],[UoM_Source]]</f>
        <v>Mg</v>
      </c>
      <c r="X231" s="139">
        <f>_xlfn.XLOOKUP(Tab_Data_Flows[[#This Row],[Flow_Name]],Tab_Def_Flows[Flow_Name],Tab_Def_Flows[Flow_E2_Fraction'[%']],"N.A.",0,1)</f>
        <v>1</v>
      </c>
      <c r="Y231" s="6">
        <f>IF(D231="Yes",V231*Tab_Data_Flows[[#This Row],[E2_Fraction'[%']]],"N.A.")</f>
        <v>10000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IF(G231="Yes",Tab_Data_Flows[[#This Row],[E4_Fraction'[%']]]*Tab_Data_Flows[[#This Row],[E1_value]],"N.A.")</f>
        <v>0</v>
      </c>
      <c r="AF231" s="6" t="str">
        <f>Tab_Data_Flows[[#This Row],[E1_UoM]]</f>
        <v>Mg</v>
      </c>
      <c r="AG231" s="139">
        <f>_xlfn.XLOOKUP(Tab_Data_Flows[[#This Row],[Flow_Name]],Tab_Def_Flows[Flow_Name],Tab_Def_Flows[Flow_E5_Fraction'[%']],"N.A.",0,1)</f>
        <v>0</v>
      </c>
      <c r="AH231" s="6" t="str">
        <f>IF(H231="Yes",Tab_Data_Flows[[#This Row],[E5_Fraction'[%']]]*Tab_Data_Flows[[#This Row],[E1_value]],"N.A.")</f>
        <v>N.A.</v>
      </c>
      <c r="AI231" s="6" t="str">
        <f>Tab_Data_Flows[[#This Row],[E1_UoM]]</f>
        <v>Mg</v>
      </c>
      <c r="AJ231" s="139">
        <f>_xlfn.XLOOKUP(Tab_Data_Flows[[#This Row],[Flow_Name]],Tab_Def_Flows[Flow_Name],Tab_Def_Flows[Flow_E6_Fraction'[%']],"N.A.",0,1)</f>
        <v>0</v>
      </c>
      <c r="AK231" s="6" t="str">
        <f>IF(Tab_Data_Flows[[#This Row],[Use_E6]]="Yes",Tab_Data_Flows[[#This Row],[E6_Fraction'[%']]]*Tab_Data_Flows[[#This Row],[E1_value]],"N.A.")</f>
        <v>N.A.</v>
      </c>
      <c r="AL231" s="6" t="str">
        <f>Tab_Data_Flows[[#This Row],[E1_UoM]]</f>
        <v>Mg</v>
      </c>
    </row>
    <row r="232" spans="1:38" x14ac:dyDescent="0.25">
      <c r="A232" s="8">
        <f t="shared" si="8"/>
        <v>231</v>
      </c>
      <c r="B232" s="6" t="str">
        <f>_xlfn.XLOOKUP(C232,Tab_Def_Flows[Flow_Name],Tab_Def_Flows[Flow_ID],,0,)</f>
        <v>F_01_09</v>
      </c>
      <c r="C232" s="138" t="s">
        <v>1239</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No</v>
      </c>
      <c r="I232" s="9" t="str">
        <f>_xlfn.XLOOKUP(C232,Tab_Def_Flows[Flow_Name],Tab_Def_Flows[Use_E6],,0,)</f>
        <v>No</v>
      </c>
      <c r="J232" s="7">
        <v>2053</v>
      </c>
      <c r="K232" s="21">
        <v>10000</v>
      </c>
      <c r="L232" s="6" t="str">
        <f>'0_Configuration'!$C$41</f>
        <v>Mg</v>
      </c>
      <c r="M232" s="13"/>
      <c r="N232" s="13"/>
      <c r="O232" s="13"/>
      <c r="P232" s="13"/>
      <c r="Q232" s="13"/>
      <c r="R232" s="7" t="s">
        <v>6</v>
      </c>
      <c r="S232" s="14"/>
      <c r="T232" s="7"/>
      <c r="U232" s="139">
        <f>_xlfn.XLOOKUP(Tab_Data_Flows[[#This Row],[Flow_Name]],Tab_Def_Flows[Flow_Name],Tab_Def_Flows[Flow_E1_Fraction'[%']],"N.A.",0,1)</f>
        <v>1</v>
      </c>
      <c r="V232" s="12">
        <f t="shared" si="7"/>
        <v>10000</v>
      </c>
      <c r="W232" s="6" t="str">
        <f>Tab_Data_Flows[[#This Row],[UoM_Source]]</f>
        <v>Mg</v>
      </c>
      <c r="X232" s="139">
        <f>_xlfn.XLOOKUP(Tab_Data_Flows[[#This Row],[Flow_Name]],Tab_Def_Flows[Flow_Name],Tab_Def_Flows[Flow_E2_Fraction'[%']],"N.A.",0,1)</f>
        <v>1</v>
      </c>
      <c r="Y232" s="6">
        <f>IF(D232="Yes",V232*Tab_Data_Flows[[#This Row],[E2_Fraction'[%']]],"N.A.")</f>
        <v>10000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IF(G232="Yes",Tab_Data_Flows[[#This Row],[E4_Fraction'[%']]]*Tab_Data_Flows[[#This Row],[E1_value]],"N.A.")</f>
        <v>0</v>
      </c>
      <c r="AF232" s="6" t="str">
        <f>Tab_Data_Flows[[#This Row],[E1_UoM]]</f>
        <v>Mg</v>
      </c>
      <c r="AG232" s="139">
        <f>_xlfn.XLOOKUP(Tab_Data_Flows[[#This Row],[Flow_Name]],Tab_Def_Flows[Flow_Name],Tab_Def_Flows[Flow_E5_Fraction'[%']],"N.A.",0,1)</f>
        <v>0</v>
      </c>
      <c r="AH232" s="6" t="str">
        <f>IF(H232="Yes",Tab_Data_Flows[[#This Row],[E5_Fraction'[%']]]*Tab_Data_Flows[[#This Row],[E1_value]],"N.A.")</f>
        <v>N.A.</v>
      </c>
      <c r="AI232" s="6" t="str">
        <f>Tab_Data_Flows[[#This Row],[E1_UoM]]</f>
        <v>Mg</v>
      </c>
      <c r="AJ232" s="139">
        <f>_xlfn.XLOOKUP(Tab_Data_Flows[[#This Row],[Flow_Name]],Tab_Def_Flows[Flow_Name],Tab_Def_Flows[Flow_E6_Fraction'[%']],"N.A.",0,1)</f>
        <v>0</v>
      </c>
      <c r="AK232" s="6" t="str">
        <f>IF(Tab_Data_Flows[[#This Row],[Use_E6]]="Yes",Tab_Data_Flows[[#This Row],[E6_Fraction'[%']]]*Tab_Data_Flows[[#This Row],[E1_value]],"N.A.")</f>
        <v>N.A.</v>
      </c>
      <c r="AL232" s="6" t="str">
        <f>Tab_Data_Flows[[#This Row],[E1_UoM]]</f>
        <v>Mg</v>
      </c>
    </row>
    <row r="233" spans="1:38" x14ac:dyDescent="0.25">
      <c r="A233" s="8">
        <f t="shared" si="8"/>
        <v>232</v>
      </c>
      <c r="B233" s="6" t="str">
        <f>_xlfn.XLOOKUP(C233,Tab_Def_Flows[Flow_Name],Tab_Def_Flows[Flow_ID],,0,)</f>
        <v>F_01_09</v>
      </c>
      <c r="C233" s="138" t="s">
        <v>1239</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No</v>
      </c>
      <c r="I233" s="9" t="str">
        <f>_xlfn.XLOOKUP(C233,Tab_Def_Flows[Flow_Name],Tab_Def_Flows[Use_E6],,0,)</f>
        <v>No</v>
      </c>
      <c r="J233" s="7">
        <v>2054</v>
      </c>
      <c r="K233" s="21">
        <v>10000</v>
      </c>
      <c r="L233" s="6" t="str">
        <f>'0_Configuration'!$C$41</f>
        <v>Mg</v>
      </c>
      <c r="M233" s="13"/>
      <c r="N233" s="13"/>
      <c r="O233" s="13"/>
      <c r="P233" s="13"/>
      <c r="Q233" s="13"/>
      <c r="R233" s="7" t="s">
        <v>6</v>
      </c>
      <c r="S233" s="14"/>
      <c r="T233" s="7"/>
      <c r="U233" s="139">
        <f>_xlfn.XLOOKUP(Tab_Data_Flows[[#This Row],[Flow_Name]],Tab_Def_Flows[Flow_Name],Tab_Def_Flows[Flow_E1_Fraction'[%']],"N.A.",0,1)</f>
        <v>1</v>
      </c>
      <c r="V233" s="12">
        <f t="shared" si="7"/>
        <v>10000</v>
      </c>
      <c r="W233" s="6" t="str">
        <f>Tab_Data_Flows[[#This Row],[UoM_Source]]</f>
        <v>Mg</v>
      </c>
      <c r="X233" s="139">
        <f>_xlfn.XLOOKUP(Tab_Data_Flows[[#This Row],[Flow_Name]],Tab_Def_Flows[Flow_Name],Tab_Def_Flows[Flow_E2_Fraction'[%']],"N.A.",0,1)</f>
        <v>1</v>
      </c>
      <c r="Y233" s="6">
        <f>IF(D233="Yes",V233*Tab_Data_Flows[[#This Row],[E2_Fraction'[%']]],"N.A.")</f>
        <v>10000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IF(G233="Yes",Tab_Data_Flows[[#This Row],[E4_Fraction'[%']]]*Tab_Data_Flows[[#This Row],[E1_value]],"N.A.")</f>
        <v>0</v>
      </c>
      <c r="AF233" s="6" t="str">
        <f>Tab_Data_Flows[[#This Row],[E1_UoM]]</f>
        <v>Mg</v>
      </c>
      <c r="AG233" s="139">
        <f>_xlfn.XLOOKUP(Tab_Data_Flows[[#This Row],[Flow_Name]],Tab_Def_Flows[Flow_Name],Tab_Def_Flows[Flow_E5_Fraction'[%']],"N.A.",0,1)</f>
        <v>0</v>
      </c>
      <c r="AH233" s="6" t="str">
        <f>IF(H233="Yes",Tab_Data_Flows[[#This Row],[E5_Fraction'[%']]]*Tab_Data_Flows[[#This Row],[E1_value]],"N.A.")</f>
        <v>N.A.</v>
      </c>
      <c r="AI233" s="6" t="str">
        <f>Tab_Data_Flows[[#This Row],[E1_UoM]]</f>
        <v>Mg</v>
      </c>
      <c r="AJ233" s="139">
        <f>_xlfn.XLOOKUP(Tab_Data_Flows[[#This Row],[Flow_Name]],Tab_Def_Flows[Flow_Name],Tab_Def_Flows[Flow_E6_Fraction'[%']],"N.A.",0,1)</f>
        <v>0</v>
      </c>
      <c r="AK233" s="6" t="str">
        <f>IF(Tab_Data_Flows[[#This Row],[Use_E6]]="Yes",Tab_Data_Flows[[#This Row],[E6_Fraction'[%']]]*Tab_Data_Flows[[#This Row],[E1_value]],"N.A.")</f>
        <v>N.A.</v>
      </c>
      <c r="AL233" s="6" t="str">
        <f>Tab_Data_Flows[[#This Row],[E1_UoM]]</f>
        <v>Mg</v>
      </c>
    </row>
    <row r="234" spans="1:38" x14ac:dyDescent="0.25">
      <c r="A234" s="8">
        <f t="shared" si="8"/>
        <v>233</v>
      </c>
      <c r="B234" s="6" t="str">
        <f>_xlfn.XLOOKUP(C234,Tab_Def_Flows[Flow_Name],Tab_Def_Flows[Flow_ID],,0,)</f>
        <v>F_01_09</v>
      </c>
      <c r="C234" s="138" t="s">
        <v>1239</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No</v>
      </c>
      <c r="I234" s="9" t="str">
        <f>_xlfn.XLOOKUP(C234,Tab_Def_Flows[Flow_Name],Tab_Def_Flows[Use_E6],,0,)</f>
        <v>No</v>
      </c>
      <c r="J234" s="7">
        <v>2055</v>
      </c>
      <c r="K234" s="21">
        <v>10000</v>
      </c>
      <c r="L234" s="6" t="str">
        <f>'0_Configuration'!$C$41</f>
        <v>Mg</v>
      </c>
      <c r="M234" s="13"/>
      <c r="N234" s="13"/>
      <c r="O234" s="13"/>
      <c r="P234" s="13"/>
      <c r="Q234" s="13"/>
      <c r="R234" s="7" t="s">
        <v>6</v>
      </c>
      <c r="S234" s="14"/>
      <c r="T234" s="7"/>
      <c r="U234" s="139">
        <f>_xlfn.XLOOKUP(Tab_Data_Flows[[#This Row],[Flow_Name]],Tab_Def_Flows[Flow_Name],Tab_Def_Flows[Flow_E1_Fraction'[%']],"N.A.",0,1)</f>
        <v>1</v>
      </c>
      <c r="V234" s="12">
        <f t="shared" si="7"/>
        <v>10000</v>
      </c>
      <c r="W234" s="6" t="str">
        <f>Tab_Data_Flows[[#This Row],[UoM_Source]]</f>
        <v>Mg</v>
      </c>
      <c r="X234" s="139">
        <f>_xlfn.XLOOKUP(Tab_Data_Flows[[#This Row],[Flow_Name]],Tab_Def_Flows[Flow_Name],Tab_Def_Flows[Flow_E2_Fraction'[%']],"N.A.",0,1)</f>
        <v>1</v>
      </c>
      <c r="Y234" s="6">
        <f>IF(D234="Yes",V234*Tab_Data_Flows[[#This Row],[E2_Fraction'[%']]],"N.A.")</f>
        <v>10000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IF(G234="Yes",Tab_Data_Flows[[#This Row],[E4_Fraction'[%']]]*Tab_Data_Flows[[#This Row],[E1_value]],"N.A.")</f>
        <v>0</v>
      </c>
      <c r="AF234" s="6" t="str">
        <f>Tab_Data_Flows[[#This Row],[E1_UoM]]</f>
        <v>Mg</v>
      </c>
      <c r="AG234" s="139">
        <f>_xlfn.XLOOKUP(Tab_Data_Flows[[#This Row],[Flow_Name]],Tab_Def_Flows[Flow_Name],Tab_Def_Flows[Flow_E5_Fraction'[%']],"N.A.",0,1)</f>
        <v>0</v>
      </c>
      <c r="AH234" s="6" t="str">
        <f>IF(H234="Yes",Tab_Data_Flows[[#This Row],[E5_Fraction'[%']]]*Tab_Data_Flows[[#This Row],[E1_value]],"N.A.")</f>
        <v>N.A.</v>
      </c>
      <c r="AI234" s="6" t="str">
        <f>Tab_Data_Flows[[#This Row],[E1_UoM]]</f>
        <v>Mg</v>
      </c>
      <c r="AJ234" s="139">
        <f>_xlfn.XLOOKUP(Tab_Data_Flows[[#This Row],[Flow_Name]],Tab_Def_Flows[Flow_Name],Tab_Def_Flows[Flow_E6_Fraction'[%']],"N.A.",0,1)</f>
        <v>0</v>
      </c>
      <c r="AK234" s="6" t="str">
        <f>IF(Tab_Data_Flows[[#This Row],[Use_E6]]="Yes",Tab_Data_Flows[[#This Row],[E6_Fraction'[%']]]*Tab_Data_Flows[[#This Row],[E1_value]],"N.A.")</f>
        <v>N.A.</v>
      </c>
      <c r="AL234" s="6" t="str">
        <f>Tab_Data_Flows[[#This Row],[E1_UoM]]</f>
        <v>Mg</v>
      </c>
    </row>
    <row r="235" spans="1:38" x14ac:dyDescent="0.25">
      <c r="A235" s="8">
        <f t="shared" si="8"/>
        <v>234</v>
      </c>
      <c r="B235" s="6" t="str">
        <f>_xlfn.XLOOKUP(C235,Tab_Def_Flows[Flow_Name],Tab_Def_Flows[Flow_ID],,0,)</f>
        <v>F_01_09</v>
      </c>
      <c r="C235" s="138" t="s">
        <v>1239</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No</v>
      </c>
      <c r="I235" s="9" t="str">
        <f>_xlfn.XLOOKUP(C235,Tab_Def_Flows[Flow_Name],Tab_Def_Flows[Use_E6],,0,)</f>
        <v>No</v>
      </c>
      <c r="J235" s="7">
        <v>2056</v>
      </c>
      <c r="K235" s="21">
        <v>10000</v>
      </c>
      <c r="L235" s="6" t="str">
        <f>'0_Configuration'!$C$41</f>
        <v>Mg</v>
      </c>
      <c r="M235" s="13"/>
      <c r="N235" s="13"/>
      <c r="O235" s="13"/>
      <c r="P235" s="13"/>
      <c r="Q235" s="13"/>
      <c r="R235" s="7" t="s">
        <v>6</v>
      </c>
      <c r="S235" s="14"/>
      <c r="T235" s="7"/>
      <c r="U235" s="139">
        <f>_xlfn.XLOOKUP(Tab_Data_Flows[[#This Row],[Flow_Name]],Tab_Def_Flows[Flow_Name],Tab_Def_Flows[Flow_E1_Fraction'[%']],"N.A.",0,1)</f>
        <v>1</v>
      </c>
      <c r="V235" s="12">
        <f t="shared" si="7"/>
        <v>10000</v>
      </c>
      <c r="W235" s="6" t="str">
        <f>Tab_Data_Flows[[#This Row],[UoM_Source]]</f>
        <v>Mg</v>
      </c>
      <c r="X235" s="139">
        <f>_xlfn.XLOOKUP(Tab_Data_Flows[[#This Row],[Flow_Name]],Tab_Def_Flows[Flow_Name],Tab_Def_Flows[Flow_E2_Fraction'[%']],"N.A.",0,1)</f>
        <v>1</v>
      </c>
      <c r="Y235" s="6">
        <f>IF(D235="Yes",V235*Tab_Data_Flows[[#This Row],[E2_Fraction'[%']]],"N.A.")</f>
        <v>10000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IF(G235="Yes",Tab_Data_Flows[[#This Row],[E4_Fraction'[%']]]*Tab_Data_Flows[[#This Row],[E1_value]],"N.A.")</f>
        <v>0</v>
      </c>
      <c r="AF235" s="6" t="str">
        <f>Tab_Data_Flows[[#This Row],[E1_UoM]]</f>
        <v>Mg</v>
      </c>
      <c r="AG235" s="139">
        <f>_xlfn.XLOOKUP(Tab_Data_Flows[[#This Row],[Flow_Name]],Tab_Def_Flows[Flow_Name],Tab_Def_Flows[Flow_E5_Fraction'[%']],"N.A.",0,1)</f>
        <v>0</v>
      </c>
      <c r="AH235" s="6" t="str">
        <f>IF(H235="Yes",Tab_Data_Flows[[#This Row],[E5_Fraction'[%']]]*Tab_Data_Flows[[#This Row],[E1_value]],"N.A.")</f>
        <v>N.A.</v>
      </c>
      <c r="AI235" s="6" t="str">
        <f>Tab_Data_Flows[[#This Row],[E1_UoM]]</f>
        <v>Mg</v>
      </c>
      <c r="AJ235" s="139">
        <f>_xlfn.XLOOKUP(Tab_Data_Flows[[#This Row],[Flow_Name]],Tab_Def_Flows[Flow_Name],Tab_Def_Flows[Flow_E6_Fraction'[%']],"N.A.",0,1)</f>
        <v>0</v>
      </c>
      <c r="AK235" s="6" t="str">
        <f>IF(Tab_Data_Flows[[#This Row],[Use_E6]]="Yes",Tab_Data_Flows[[#This Row],[E6_Fraction'[%']]]*Tab_Data_Flows[[#This Row],[E1_value]],"N.A.")</f>
        <v>N.A.</v>
      </c>
      <c r="AL235" s="6" t="str">
        <f>Tab_Data_Flows[[#This Row],[E1_UoM]]</f>
        <v>Mg</v>
      </c>
    </row>
    <row r="236" spans="1:38" x14ac:dyDescent="0.25">
      <c r="A236" s="8">
        <f t="shared" si="8"/>
        <v>235</v>
      </c>
      <c r="B236" s="6" t="str">
        <f>_xlfn.XLOOKUP(C236,Tab_Def_Flows[Flow_Name],Tab_Def_Flows[Flow_ID],,0,)</f>
        <v>F_01_09</v>
      </c>
      <c r="C236" s="138" t="s">
        <v>1239</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No</v>
      </c>
      <c r="I236" s="9" t="str">
        <f>_xlfn.XLOOKUP(C236,Tab_Def_Flows[Flow_Name],Tab_Def_Flows[Use_E6],,0,)</f>
        <v>No</v>
      </c>
      <c r="J236" s="7">
        <v>2057</v>
      </c>
      <c r="K236" s="21">
        <v>10000</v>
      </c>
      <c r="L236" s="6" t="str">
        <f>'0_Configuration'!$C$41</f>
        <v>Mg</v>
      </c>
      <c r="M236" s="13"/>
      <c r="N236" s="13"/>
      <c r="O236" s="13"/>
      <c r="P236" s="13"/>
      <c r="Q236" s="13"/>
      <c r="R236" s="7" t="s">
        <v>6</v>
      </c>
      <c r="S236" s="14"/>
      <c r="T236" s="7"/>
      <c r="U236" s="139">
        <f>_xlfn.XLOOKUP(Tab_Data_Flows[[#This Row],[Flow_Name]],Tab_Def_Flows[Flow_Name],Tab_Def_Flows[Flow_E1_Fraction'[%']],"N.A.",0,1)</f>
        <v>1</v>
      </c>
      <c r="V236" s="12">
        <f t="shared" si="7"/>
        <v>10000</v>
      </c>
      <c r="W236" s="6" t="str">
        <f>Tab_Data_Flows[[#This Row],[UoM_Source]]</f>
        <v>Mg</v>
      </c>
      <c r="X236" s="139">
        <f>_xlfn.XLOOKUP(Tab_Data_Flows[[#This Row],[Flow_Name]],Tab_Def_Flows[Flow_Name],Tab_Def_Flows[Flow_E2_Fraction'[%']],"N.A.",0,1)</f>
        <v>1</v>
      </c>
      <c r="Y236" s="6">
        <f>IF(D236="Yes",V236*Tab_Data_Flows[[#This Row],[E2_Fraction'[%']]],"N.A.")</f>
        <v>10000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IF(G236="Yes",Tab_Data_Flows[[#This Row],[E4_Fraction'[%']]]*Tab_Data_Flows[[#This Row],[E1_value]],"N.A.")</f>
        <v>0</v>
      </c>
      <c r="AF236" s="6" t="str">
        <f>Tab_Data_Flows[[#This Row],[E1_UoM]]</f>
        <v>Mg</v>
      </c>
      <c r="AG236" s="139">
        <f>_xlfn.XLOOKUP(Tab_Data_Flows[[#This Row],[Flow_Name]],Tab_Def_Flows[Flow_Name],Tab_Def_Flows[Flow_E5_Fraction'[%']],"N.A.",0,1)</f>
        <v>0</v>
      </c>
      <c r="AH236" s="6" t="str">
        <f>IF(H236="Yes",Tab_Data_Flows[[#This Row],[E5_Fraction'[%']]]*Tab_Data_Flows[[#This Row],[E1_value]],"N.A.")</f>
        <v>N.A.</v>
      </c>
      <c r="AI236" s="6" t="str">
        <f>Tab_Data_Flows[[#This Row],[E1_UoM]]</f>
        <v>Mg</v>
      </c>
      <c r="AJ236" s="139">
        <f>_xlfn.XLOOKUP(Tab_Data_Flows[[#This Row],[Flow_Name]],Tab_Def_Flows[Flow_Name],Tab_Def_Flows[Flow_E6_Fraction'[%']],"N.A.",0,1)</f>
        <v>0</v>
      </c>
      <c r="AK236" s="6" t="str">
        <f>IF(Tab_Data_Flows[[#This Row],[Use_E6]]="Yes",Tab_Data_Flows[[#This Row],[E6_Fraction'[%']]]*Tab_Data_Flows[[#This Row],[E1_value]],"N.A.")</f>
        <v>N.A.</v>
      </c>
      <c r="AL236" s="6" t="str">
        <f>Tab_Data_Flows[[#This Row],[E1_UoM]]</f>
        <v>Mg</v>
      </c>
    </row>
    <row r="237" spans="1:38" x14ac:dyDescent="0.25">
      <c r="A237" s="8">
        <f t="shared" si="8"/>
        <v>236</v>
      </c>
      <c r="B237" s="6" t="str">
        <f>_xlfn.XLOOKUP(C237,Tab_Def_Flows[Flow_Name],Tab_Def_Flows[Flow_ID],,0,)</f>
        <v>F_01_09</v>
      </c>
      <c r="C237" s="138" t="s">
        <v>1239</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No</v>
      </c>
      <c r="I237" s="9" t="str">
        <f>_xlfn.XLOOKUP(C237,Tab_Def_Flows[Flow_Name],Tab_Def_Flows[Use_E6],,0,)</f>
        <v>No</v>
      </c>
      <c r="J237" s="7">
        <v>2058</v>
      </c>
      <c r="K237" s="21">
        <v>10000</v>
      </c>
      <c r="L237" s="6" t="str">
        <f>'0_Configuration'!$C$41</f>
        <v>Mg</v>
      </c>
      <c r="M237" s="13"/>
      <c r="N237" s="13"/>
      <c r="O237" s="13"/>
      <c r="P237" s="13"/>
      <c r="Q237" s="13"/>
      <c r="R237" s="7" t="s">
        <v>6</v>
      </c>
      <c r="S237" s="14"/>
      <c r="T237" s="7"/>
      <c r="U237" s="139">
        <f>_xlfn.XLOOKUP(Tab_Data_Flows[[#This Row],[Flow_Name]],Tab_Def_Flows[Flow_Name],Tab_Def_Flows[Flow_E1_Fraction'[%']],"N.A.",0,1)</f>
        <v>1</v>
      </c>
      <c r="V237" s="12">
        <f t="shared" si="7"/>
        <v>10000</v>
      </c>
      <c r="W237" s="6" t="str">
        <f>Tab_Data_Flows[[#This Row],[UoM_Source]]</f>
        <v>Mg</v>
      </c>
      <c r="X237" s="139">
        <f>_xlfn.XLOOKUP(Tab_Data_Flows[[#This Row],[Flow_Name]],Tab_Def_Flows[Flow_Name],Tab_Def_Flows[Flow_E2_Fraction'[%']],"N.A.",0,1)</f>
        <v>1</v>
      </c>
      <c r="Y237" s="6">
        <f>IF(D237="Yes",V237*Tab_Data_Flows[[#This Row],[E2_Fraction'[%']]],"N.A.")</f>
        <v>10000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IF(G237="Yes",Tab_Data_Flows[[#This Row],[E4_Fraction'[%']]]*Tab_Data_Flows[[#This Row],[E1_value]],"N.A.")</f>
        <v>0</v>
      </c>
      <c r="AF237" s="6" t="str">
        <f>Tab_Data_Flows[[#This Row],[E1_UoM]]</f>
        <v>Mg</v>
      </c>
      <c r="AG237" s="139">
        <f>_xlfn.XLOOKUP(Tab_Data_Flows[[#This Row],[Flow_Name]],Tab_Def_Flows[Flow_Name],Tab_Def_Flows[Flow_E5_Fraction'[%']],"N.A.",0,1)</f>
        <v>0</v>
      </c>
      <c r="AH237" s="6" t="str">
        <f>IF(H237="Yes",Tab_Data_Flows[[#This Row],[E5_Fraction'[%']]]*Tab_Data_Flows[[#This Row],[E1_value]],"N.A.")</f>
        <v>N.A.</v>
      </c>
      <c r="AI237" s="6" t="str">
        <f>Tab_Data_Flows[[#This Row],[E1_UoM]]</f>
        <v>Mg</v>
      </c>
      <c r="AJ237" s="139">
        <f>_xlfn.XLOOKUP(Tab_Data_Flows[[#This Row],[Flow_Name]],Tab_Def_Flows[Flow_Name],Tab_Def_Flows[Flow_E6_Fraction'[%']],"N.A.",0,1)</f>
        <v>0</v>
      </c>
      <c r="AK237" s="6" t="str">
        <f>IF(Tab_Data_Flows[[#This Row],[Use_E6]]="Yes",Tab_Data_Flows[[#This Row],[E6_Fraction'[%']]]*Tab_Data_Flows[[#This Row],[E1_value]],"N.A.")</f>
        <v>N.A.</v>
      </c>
      <c r="AL237" s="6" t="str">
        <f>Tab_Data_Flows[[#This Row],[E1_UoM]]</f>
        <v>Mg</v>
      </c>
    </row>
    <row r="238" spans="1:38" x14ac:dyDescent="0.25">
      <c r="A238" s="8">
        <f t="shared" si="8"/>
        <v>237</v>
      </c>
      <c r="B238" s="6" t="str">
        <f>_xlfn.XLOOKUP(C238,Tab_Def_Flows[Flow_Name],Tab_Def_Flows[Flow_ID],,0,)</f>
        <v>F_01_09</v>
      </c>
      <c r="C238" s="138" t="s">
        <v>1239</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No</v>
      </c>
      <c r="I238" s="9" t="str">
        <f>_xlfn.XLOOKUP(C238,Tab_Def_Flows[Flow_Name],Tab_Def_Flows[Use_E6],,0,)</f>
        <v>No</v>
      </c>
      <c r="J238" s="7">
        <v>2059</v>
      </c>
      <c r="K238" s="21">
        <v>10000</v>
      </c>
      <c r="L238" s="6" t="str">
        <f>'0_Configuration'!$C$41</f>
        <v>Mg</v>
      </c>
      <c r="M238" s="13"/>
      <c r="N238" s="13"/>
      <c r="O238" s="13"/>
      <c r="P238" s="13"/>
      <c r="Q238" s="13"/>
      <c r="R238" s="7" t="s">
        <v>6</v>
      </c>
      <c r="S238" s="14"/>
      <c r="T238" s="7"/>
      <c r="U238" s="139">
        <f>_xlfn.XLOOKUP(Tab_Data_Flows[[#This Row],[Flow_Name]],Tab_Def_Flows[Flow_Name],Tab_Def_Flows[Flow_E1_Fraction'[%']],"N.A.",0,1)</f>
        <v>1</v>
      </c>
      <c r="V238" s="12">
        <f t="shared" si="7"/>
        <v>10000</v>
      </c>
      <c r="W238" s="6" t="str">
        <f>Tab_Data_Flows[[#This Row],[UoM_Source]]</f>
        <v>Mg</v>
      </c>
      <c r="X238" s="139">
        <f>_xlfn.XLOOKUP(Tab_Data_Flows[[#This Row],[Flow_Name]],Tab_Def_Flows[Flow_Name],Tab_Def_Flows[Flow_E2_Fraction'[%']],"N.A.",0,1)</f>
        <v>1</v>
      </c>
      <c r="Y238" s="6">
        <f>IF(D238="Yes",V238*Tab_Data_Flows[[#This Row],[E2_Fraction'[%']]],"N.A.")</f>
        <v>10000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IF(G238="Yes",Tab_Data_Flows[[#This Row],[E4_Fraction'[%']]]*Tab_Data_Flows[[#This Row],[E1_value]],"N.A.")</f>
        <v>0</v>
      </c>
      <c r="AF238" s="6" t="str">
        <f>Tab_Data_Flows[[#This Row],[E1_UoM]]</f>
        <v>Mg</v>
      </c>
      <c r="AG238" s="139">
        <f>_xlfn.XLOOKUP(Tab_Data_Flows[[#This Row],[Flow_Name]],Tab_Def_Flows[Flow_Name],Tab_Def_Flows[Flow_E5_Fraction'[%']],"N.A.",0,1)</f>
        <v>0</v>
      </c>
      <c r="AH238" s="6" t="str">
        <f>IF(H238="Yes",Tab_Data_Flows[[#This Row],[E5_Fraction'[%']]]*Tab_Data_Flows[[#This Row],[E1_value]],"N.A.")</f>
        <v>N.A.</v>
      </c>
      <c r="AI238" s="6" t="str">
        <f>Tab_Data_Flows[[#This Row],[E1_UoM]]</f>
        <v>Mg</v>
      </c>
      <c r="AJ238" s="139">
        <f>_xlfn.XLOOKUP(Tab_Data_Flows[[#This Row],[Flow_Name]],Tab_Def_Flows[Flow_Name],Tab_Def_Flows[Flow_E6_Fraction'[%']],"N.A.",0,1)</f>
        <v>0</v>
      </c>
      <c r="AK238" s="6" t="str">
        <f>IF(Tab_Data_Flows[[#This Row],[Use_E6]]="Yes",Tab_Data_Flows[[#This Row],[E6_Fraction'[%']]]*Tab_Data_Flows[[#This Row],[E1_value]],"N.A.")</f>
        <v>N.A.</v>
      </c>
      <c r="AL238" s="6" t="str">
        <f>Tab_Data_Flows[[#This Row],[E1_UoM]]</f>
        <v>Mg</v>
      </c>
    </row>
    <row r="239" spans="1:38" x14ac:dyDescent="0.25">
      <c r="A239" s="8">
        <f t="shared" si="8"/>
        <v>238</v>
      </c>
      <c r="B239" s="6" t="str">
        <f>_xlfn.XLOOKUP(C239,Tab_Def_Flows[Flow_Name],Tab_Def_Flows[Flow_ID],,0,)</f>
        <v>F_01_09</v>
      </c>
      <c r="C239" s="138" t="s">
        <v>1239</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No</v>
      </c>
      <c r="I239" s="9" t="str">
        <f>_xlfn.XLOOKUP(C239,Tab_Def_Flows[Flow_Name],Tab_Def_Flows[Use_E6],,0,)</f>
        <v>No</v>
      </c>
      <c r="J239" s="7">
        <v>2060</v>
      </c>
      <c r="K239" s="21">
        <v>10000</v>
      </c>
      <c r="L239" s="6" t="str">
        <f>'0_Configuration'!$C$41</f>
        <v>Mg</v>
      </c>
      <c r="M239" s="13"/>
      <c r="N239" s="13"/>
      <c r="O239" s="13"/>
      <c r="P239" s="13"/>
      <c r="Q239" s="13"/>
      <c r="R239" s="7" t="s">
        <v>6</v>
      </c>
      <c r="S239" s="14"/>
      <c r="T239" s="7"/>
      <c r="U239" s="139">
        <f>_xlfn.XLOOKUP(Tab_Data_Flows[[#This Row],[Flow_Name]],Tab_Def_Flows[Flow_Name],Tab_Def_Flows[Flow_E1_Fraction'[%']],"N.A.",0,1)</f>
        <v>1</v>
      </c>
      <c r="V239" s="12">
        <f t="shared" si="7"/>
        <v>10000</v>
      </c>
      <c r="W239" s="6" t="str">
        <f>Tab_Data_Flows[[#This Row],[UoM_Source]]</f>
        <v>Mg</v>
      </c>
      <c r="X239" s="139">
        <f>_xlfn.XLOOKUP(Tab_Data_Flows[[#This Row],[Flow_Name]],Tab_Def_Flows[Flow_Name],Tab_Def_Flows[Flow_E2_Fraction'[%']],"N.A.",0,1)</f>
        <v>1</v>
      </c>
      <c r="Y239" s="6">
        <f>IF(D239="Yes",V239*Tab_Data_Flows[[#This Row],[E2_Fraction'[%']]],"N.A.")</f>
        <v>10000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IF(G239="Yes",Tab_Data_Flows[[#This Row],[E4_Fraction'[%']]]*Tab_Data_Flows[[#This Row],[E1_value]],"N.A.")</f>
        <v>0</v>
      </c>
      <c r="AF239" s="6" t="str">
        <f>Tab_Data_Flows[[#This Row],[E1_UoM]]</f>
        <v>Mg</v>
      </c>
      <c r="AG239" s="139">
        <f>_xlfn.XLOOKUP(Tab_Data_Flows[[#This Row],[Flow_Name]],Tab_Def_Flows[Flow_Name],Tab_Def_Flows[Flow_E5_Fraction'[%']],"N.A.",0,1)</f>
        <v>0</v>
      </c>
      <c r="AH239" s="6" t="str">
        <f>IF(H239="Yes",Tab_Data_Flows[[#This Row],[E5_Fraction'[%']]]*Tab_Data_Flows[[#This Row],[E1_value]],"N.A.")</f>
        <v>N.A.</v>
      </c>
      <c r="AI239" s="6" t="str">
        <f>Tab_Data_Flows[[#This Row],[E1_UoM]]</f>
        <v>Mg</v>
      </c>
      <c r="AJ239" s="139">
        <f>_xlfn.XLOOKUP(Tab_Data_Flows[[#This Row],[Flow_Name]],Tab_Def_Flows[Flow_Name],Tab_Def_Flows[Flow_E6_Fraction'[%']],"N.A.",0,1)</f>
        <v>0</v>
      </c>
      <c r="AK239" s="6" t="str">
        <f>IF(Tab_Data_Flows[[#This Row],[Use_E6]]="Yes",Tab_Data_Flows[[#This Row],[E6_Fraction'[%']]]*Tab_Data_Flows[[#This Row],[E1_value]],"N.A.")</f>
        <v>N.A.</v>
      </c>
      <c r="AL239" s="6" t="str">
        <f>Tab_Data_Flows[[#This Row],[E1_UoM]]</f>
        <v>Mg</v>
      </c>
    </row>
    <row r="240" spans="1:38" x14ac:dyDescent="0.25">
      <c r="A240" s="8">
        <f t="shared" si="8"/>
        <v>239</v>
      </c>
      <c r="B240" s="6" t="str">
        <f>_xlfn.XLOOKUP(C240,Tab_Def_Flows[Flow_Name],Tab_Def_Flows[Flow_ID],,0,)</f>
        <v>F_01_09</v>
      </c>
      <c r="C240" s="138" t="s">
        <v>1239</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No</v>
      </c>
      <c r="I240" s="9" t="str">
        <f>_xlfn.XLOOKUP(C240,Tab_Def_Flows[Flow_Name],Tab_Def_Flows[Use_E6],,0,)</f>
        <v>No</v>
      </c>
      <c r="J240" s="7">
        <v>2061</v>
      </c>
      <c r="K240" s="21">
        <v>10000</v>
      </c>
      <c r="L240" s="6" t="str">
        <f>'0_Configuration'!$C$41</f>
        <v>Mg</v>
      </c>
      <c r="M240" s="13"/>
      <c r="N240" s="13"/>
      <c r="O240" s="13"/>
      <c r="P240" s="13"/>
      <c r="Q240" s="13"/>
      <c r="R240" s="7" t="s">
        <v>6</v>
      </c>
      <c r="S240" s="14"/>
      <c r="T240" s="7"/>
      <c r="U240" s="139">
        <f>_xlfn.XLOOKUP(Tab_Data_Flows[[#This Row],[Flow_Name]],Tab_Def_Flows[Flow_Name],Tab_Def_Flows[Flow_E1_Fraction'[%']],"N.A.",0,1)</f>
        <v>1</v>
      </c>
      <c r="V240" s="12">
        <f t="shared" si="7"/>
        <v>10000</v>
      </c>
      <c r="W240" s="6" t="str">
        <f>Tab_Data_Flows[[#This Row],[UoM_Source]]</f>
        <v>Mg</v>
      </c>
      <c r="X240" s="139">
        <f>_xlfn.XLOOKUP(Tab_Data_Flows[[#This Row],[Flow_Name]],Tab_Def_Flows[Flow_Name],Tab_Def_Flows[Flow_E2_Fraction'[%']],"N.A.",0,1)</f>
        <v>1</v>
      </c>
      <c r="Y240" s="6">
        <f>IF(D240="Yes",V240*Tab_Data_Flows[[#This Row],[E2_Fraction'[%']]],"N.A.")</f>
        <v>10000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IF(G240="Yes",Tab_Data_Flows[[#This Row],[E4_Fraction'[%']]]*Tab_Data_Flows[[#This Row],[E1_value]],"N.A.")</f>
        <v>0</v>
      </c>
      <c r="AF240" s="6" t="str">
        <f>Tab_Data_Flows[[#This Row],[E1_UoM]]</f>
        <v>Mg</v>
      </c>
      <c r="AG240" s="139">
        <f>_xlfn.XLOOKUP(Tab_Data_Flows[[#This Row],[Flow_Name]],Tab_Def_Flows[Flow_Name],Tab_Def_Flows[Flow_E5_Fraction'[%']],"N.A.",0,1)</f>
        <v>0</v>
      </c>
      <c r="AH240" s="6" t="str">
        <f>IF(H240="Yes",Tab_Data_Flows[[#This Row],[E5_Fraction'[%']]]*Tab_Data_Flows[[#This Row],[E1_value]],"N.A.")</f>
        <v>N.A.</v>
      </c>
      <c r="AI240" s="6" t="str">
        <f>Tab_Data_Flows[[#This Row],[E1_UoM]]</f>
        <v>Mg</v>
      </c>
      <c r="AJ240" s="139">
        <f>_xlfn.XLOOKUP(Tab_Data_Flows[[#This Row],[Flow_Name]],Tab_Def_Flows[Flow_Name],Tab_Def_Flows[Flow_E6_Fraction'[%']],"N.A.",0,1)</f>
        <v>0</v>
      </c>
      <c r="AK240" s="6" t="str">
        <f>IF(Tab_Data_Flows[[#This Row],[Use_E6]]="Yes",Tab_Data_Flows[[#This Row],[E6_Fraction'[%']]]*Tab_Data_Flows[[#This Row],[E1_value]],"N.A.")</f>
        <v>N.A.</v>
      </c>
      <c r="AL240" s="6" t="str">
        <f>Tab_Data_Flows[[#This Row],[E1_UoM]]</f>
        <v>Mg</v>
      </c>
    </row>
    <row r="241" spans="1:38" x14ac:dyDescent="0.25">
      <c r="A241" s="8">
        <f t="shared" si="8"/>
        <v>240</v>
      </c>
      <c r="B241" s="6" t="str">
        <f>_xlfn.XLOOKUP(C241,Tab_Def_Flows[Flow_Name],Tab_Def_Flows[Flow_ID],,0,)</f>
        <v>F_01_09</v>
      </c>
      <c r="C241" s="138" t="s">
        <v>1239</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No</v>
      </c>
      <c r="I241" s="9" t="str">
        <f>_xlfn.XLOOKUP(C241,Tab_Def_Flows[Flow_Name],Tab_Def_Flows[Use_E6],,0,)</f>
        <v>No</v>
      </c>
      <c r="J241" s="7">
        <v>2062</v>
      </c>
      <c r="K241" s="21">
        <v>10000</v>
      </c>
      <c r="L241" s="6" t="str">
        <f>'0_Configuration'!$C$41</f>
        <v>Mg</v>
      </c>
      <c r="M241" s="13"/>
      <c r="N241" s="13"/>
      <c r="O241" s="13"/>
      <c r="P241" s="13"/>
      <c r="Q241" s="13"/>
      <c r="R241" s="7" t="s">
        <v>6</v>
      </c>
      <c r="S241" s="14"/>
      <c r="T241" s="7"/>
      <c r="U241" s="139">
        <f>_xlfn.XLOOKUP(Tab_Data_Flows[[#This Row],[Flow_Name]],Tab_Def_Flows[Flow_Name],Tab_Def_Flows[Flow_E1_Fraction'[%']],"N.A.",0,1)</f>
        <v>1</v>
      </c>
      <c r="V241" s="12">
        <f t="shared" si="7"/>
        <v>10000</v>
      </c>
      <c r="W241" s="6" t="str">
        <f>Tab_Data_Flows[[#This Row],[UoM_Source]]</f>
        <v>Mg</v>
      </c>
      <c r="X241" s="139">
        <f>_xlfn.XLOOKUP(Tab_Data_Flows[[#This Row],[Flow_Name]],Tab_Def_Flows[Flow_Name],Tab_Def_Flows[Flow_E2_Fraction'[%']],"N.A.",0,1)</f>
        <v>1</v>
      </c>
      <c r="Y241" s="6">
        <f>IF(D241="Yes",V241*Tab_Data_Flows[[#This Row],[E2_Fraction'[%']]],"N.A.")</f>
        <v>10000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IF(G241="Yes",Tab_Data_Flows[[#This Row],[E4_Fraction'[%']]]*Tab_Data_Flows[[#This Row],[E1_value]],"N.A.")</f>
        <v>0</v>
      </c>
      <c r="AF241" s="6" t="str">
        <f>Tab_Data_Flows[[#This Row],[E1_UoM]]</f>
        <v>Mg</v>
      </c>
      <c r="AG241" s="139">
        <f>_xlfn.XLOOKUP(Tab_Data_Flows[[#This Row],[Flow_Name]],Tab_Def_Flows[Flow_Name],Tab_Def_Flows[Flow_E5_Fraction'[%']],"N.A.",0,1)</f>
        <v>0</v>
      </c>
      <c r="AH241" s="6" t="str">
        <f>IF(H241="Yes",Tab_Data_Flows[[#This Row],[E5_Fraction'[%']]]*Tab_Data_Flows[[#This Row],[E1_value]],"N.A.")</f>
        <v>N.A.</v>
      </c>
      <c r="AI241" s="6" t="str">
        <f>Tab_Data_Flows[[#This Row],[E1_UoM]]</f>
        <v>Mg</v>
      </c>
      <c r="AJ241" s="139">
        <f>_xlfn.XLOOKUP(Tab_Data_Flows[[#This Row],[Flow_Name]],Tab_Def_Flows[Flow_Name],Tab_Def_Flows[Flow_E6_Fraction'[%']],"N.A.",0,1)</f>
        <v>0</v>
      </c>
      <c r="AK241" s="6" t="str">
        <f>IF(Tab_Data_Flows[[#This Row],[Use_E6]]="Yes",Tab_Data_Flows[[#This Row],[E6_Fraction'[%']]]*Tab_Data_Flows[[#This Row],[E1_value]],"N.A.")</f>
        <v>N.A.</v>
      </c>
      <c r="AL241" s="6" t="str">
        <f>Tab_Data_Flows[[#This Row],[E1_UoM]]</f>
        <v>Mg</v>
      </c>
    </row>
    <row r="242" spans="1:38" x14ac:dyDescent="0.25">
      <c r="A242" s="8">
        <f t="shared" si="8"/>
        <v>241</v>
      </c>
      <c r="B242" s="6" t="str">
        <f>_xlfn.XLOOKUP(C242,Tab_Def_Flows[Flow_Name],Tab_Def_Flows[Flow_ID],,0,)</f>
        <v>F_01_09</v>
      </c>
      <c r="C242" s="138" t="s">
        <v>1239</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No</v>
      </c>
      <c r="I242" s="9" t="str">
        <f>_xlfn.XLOOKUP(C242,Tab_Def_Flows[Flow_Name],Tab_Def_Flows[Use_E6],,0,)</f>
        <v>No</v>
      </c>
      <c r="J242" s="7">
        <v>2063</v>
      </c>
      <c r="K242" s="21">
        <v>10000</v>
      </c>
      <c r="L242" s="6" t="str">
        <f>'0_Configuration'!$C$41</f>
        <v>Mg</v>
      </c>
      <c r="M242" s="13"/>
      <c r="N242" s="13"/>
      <c r="O242" s="13"/>
      <c r="P242" s="13"/>
      <c r="Q242" s="13"/>
      <c r="R242" s="7" t="s">
        <v>6</v>
      </c>
      <c r="S242" s="14"/>
      <c r="T242" s="7"/>
      <c r="U242" s="139">
        <f>_xlfn.XLOOKUP(Tab_Data_Flows[[#This Row],[Flow_Name]],Tab_Def_Flows[Flow_Name],Tab_Def_Flows[Flow_E1_Fraction'[%']],"N.A.",0,1)</f>
        <v>1</v>
      </c>
      <c r="V242" s="12">
        <f t="shared" si="7"/>
        <v>10000</v>
      </c>
      <c r="W242" s="6" t="str">
        <f>Tab_Data_Flows[[#This Row],[UoM_Source]]</f>
        <v>Mg</v>
      </c>
      <c r="X242" s="139">
        <f>_xlfn.XLOOKUP(Tab_Data_Flows[[#This Row],[Flow_Name]],Tab_Def_Flows[Flow_Name],Tab_Def_Flows[Flow_E2_Fraction'[%']],"N.A.",0,1)</f>
        <v>1</v>
      </c>
      <c r="Y242" s="6">
        <f>IF(D242="Yes",V242*Tab_Data_Flows[[#This Row],[E2_Fraction'[%']]],"N.A.")</f>
        <v>10000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IF(G242="Yes",Tab_Data_Flows[[#This Row],[E4_Fraction'[%']]]*Tab_Data_Flows[[#This Row],[E1_value]],"N.A.")</f>
        <v>0</v>
      </c>
      <c r="AF242" s="6" t="str">
        <f>Tab_Data_Flows[[#This Row],[E1_UoM]]</f>
        <v>Mg</v>
      </c>
      <c r="AG242" s="139">
        <f>_xlfn.XLOOKUP(Tab_Data_Flows[[#This Row],[Flow_Name]],Tab_Def_Flows[Flow_Name],Tab_Def_Flows[Flow_E5_Fraction'[%']],"N.A.",0,1)</f>
        <v>0</v>
      </c>
      <c r="AH242" s="6" t="str">
        <f>IF(H242="Yes",Tab_Data_Flows[[#This Row],[E5_Fraction'[%']]]*Tab_Data_Flows[[#This Row],[E1_value]],"N.A.")</f>
        <v>N.A.</v>
      </c>
      <c r="AI242" s="6" t="str">
        <f>Tab_Data_Flows[[#This Row],[E1_UoM]]</f>
        <v>Mg</v>
      </c>
      <c r="AJ242" s="139">
        <f>_xlfn.XLOOKUP(Tab_Data_Flows[[#This Row],[Flow_Name]],Tab_Def_Flows[Flow_Name],Tab_Def_Flows[Flow_E6_Fraction'[%']],"N.A.",0,1)</f>
        <v>0</v>
      </c>
      <c r="AK242" s="6" t="str">
        <f>IF(Tab_Data_Flows[[#This Row],[Use_E6]]="Yes",Tab_Data_Flows[[#This Row],[E6_Fraction'[%']]]*Tab_Data_Flows[[#This Row],[E1_value]],"N.A.")</f>
        <v>N.A.</v>
      </c>
      <c r="AL242" s="6" t="str">
        <f>Tab_Data_Flows[[#This Row],[E1_UoM]]</f>
        <v>Mg</v>
      </c>
    </row>
    <row r="243" spans="1:38" x14ac:dyDescent="0.25">
      <c r="A243" s="8">
        <f t="shared" si="8"/>
        <v>242</v>
      </c>
      <c r="B243" s="6" t="str">
        <f>_xlfn.XLOOKUP(C243,Tab_Def_Flows[Flow_Name],Tab_Def_Flows[Flow_ID],,0,)</f>
        <v>F_01_09</v>
      </c>
      <c r="C243" s="138" t="s">
        <v>1239</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No</v>
      </c>
      <c r="I243" s="9" t="str">
        <f>_xlfn.XLOOKUP(C243,Tab_Def_Flows[Flow_Name],Tab_Def_Flows[Use_E6],,0,)</f>
        <v>No</v>
      </c>
      <c r="J243" s="7">
        <v>2064</v>
      </c>
      <c r="K243" s="21">
        <v>10000</v>
      </c>
      <c r="L243" s="6" t="str">
        <f>'0_Configuration'!$C$41</f>
        <v>Mg</v>
      </c>
      <c r="M243" s="13"/>
      <c r="N243" s="13"/>
      <c r="O243" s="13"/>
      <c r="P243" s="13"/>
      <c r="Q243" s="13"/>
      <c r="R243" s="7" t="s">
        <v>6</v>
      </c>
      <c r="S243" s="14"/>
      <c r="T243" s="7"/>
      <c r="U243" s="139">
        <f>_xlfn.XLOOKUP(Tab_Data_Flows[[#This Row],[Flow_Name]],Tab_Def_Flows[Flow_Name],Tab_Def_Flows[Flow_E1_Fraction'[%']],"N.A.",0,1)</f>
        <v>1</v>
      </c>
      <c r="V243" s="12">
        <f t="shared" si="7"/>
        <v>10000</v>
      </c>
      <c r="W243" s="6" t="str">
        <f>Tab_Data_Flows[[#This Row],[UoM_Source]]</f>
        <v>Mg</v>
      </c>
      <c r="X243" s="139">
        <f>_xlfn.XLOOKUP(Tab_Data_Flows[[#This Row],[Flow_Name]],Tab_Def_Flows[Flow_Name],Tab_Def_Flows[Flow_E2_Fraction'[%']],"N.A.",0,1)</f>
        <v>1</v>
      </c>
      <c r="Y243" s="6">
        <f>IF(D243="Yes",V243*Tab_Data_Flows[[#This Row],[E2_Fraction'[%']]],"N.A.")</f>
        <v>10000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IF(G243="Yes",Tab_Data_Flows[[#This Row],[E4_Fraction'[%']]]*Tab_Data_Flows[[#This Row],[E1_value]],"N.A.")</f>
        <v>0</v>
      </c>
      <c r="AF243" s="6" t="str">
        <f>Tab_Data_Flows[[#This Row],[E1_UoM]]</f>
        <v>Mg</v>
      </c>
      <c r="AG243" s="139">
        <f>_xlfn.XLOOKUP(Tab_Data_Flows[[#This Row],[Flow_Name]],Tab_Def_Flows[Flow_Name],Tab_Def_Flows[Flow_E5_Fraction'[%']],"N.A.",0,1)</f>
        <v>0</v>
      </c>
      <c r="AH243" s="6" t="str">
        <f>IF(H243="Yes",Tab_Data_Flows[[#This Row],[E5_Fraction'[%']]]*Tab_Data_Flows[[#This Row],[E1_value]],"N.A.")</f>
        <v>N.A.</v>
      </c>
      <c r="AI243" s="6" t="str">
        <f>Tab_Data_Flows[[#This Row],[E1_UoM]]</f>
        <v>Mg</v>
      </c>
      <c r="AJ243" s="139">
        <f>_xlfn.XLOOKUP(Tab_Data_Flows[[#This Row],[Flow_Name]],Tab_Def_Flows[Flow_Name],Tab_Def_Flows[Flow_E6_Fraction'[%']],"N.A.",0,1)</f>
        <v>0</v>
      </c>
      <c r="AK243" s="6" t="str">
        <f>IF(Tab_Data_Flows[[#This Row],[Use_E6]]="Yes",Tab_Data_Flows[[#This Row],[E6_Fraction'[%']]]*Tab_Data_Flows[[#This Row],[E1_value]],"N.A.")</f>
        <v>N.A.</v>
      </c>
      <c r="AL243" s="6" t="str">
        <f>Tab_Data_Flows[[#This Row],[E1_UoM]]</f>
        <v>Mg</v>
      </c>
    </row>
    <row r="244" spans="1:38" x14ac:dyDescent="0.25">
      <c r="A244" s="8">
        <f t="shared" si="8"/>
        <v>243</v>
      </c>
      <c r="B244" s="6" t="str">
        <f>_xlfn.XLOOKUP(C244,Tab_Def_Flows[Flow_Name],Tab_Def_Flows[Flow_ID],,0,)</f>
        <v>F_01_09</v>
      </c>
      <c r="C244" s="138" t="s">
        <v>1239</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No</v>
      </c>
      <c r="I244" s="9" t="str">
        <f>_xlfn.XLOOKUP(C244,Tab_Def_Flows[Flow_Name],Tab_Def_Flows[Use_E6],,0,)</f>
        <v>No</v>
      </c>
      <c r="J244" s="7">
        <v>2065</v>
      </c>
      <c r="K244" s="21">
        <v>10000</v>
      </c>
      <c r="L244" s="6" t="str">
        <f>'0_Configuration'!$C$41</f>
        <v>Mg</v>
      </c>
      <c r="M244" s="13"/>
      <c r="N244" s="13"/>
      <c r="O244" s="13"/>
      <c r="P244" s="13"/>
      <c r="Q244" s="13"/>
      <c r="R244" s="7" t="s">
        <v>6</v>
      </c>
      <c r="S244" s="14"/>
      <c r="T244" s="7"/>
      <c r="U244" s="139">
        <f>_xlfn.XLOOKUP(Tab_Data_Flows[[#This Row],[Flow_Name]],Tab_Def_Flows[Flow_Name],Tab_Def_Flows[Flow_E1_Fraction'[%']],"N.A.",0,1)</f>
        <v>1</v>
      </c>
      <c r="V244" s="12">
        <f t="shared" si="7"/>
        <v>10000</v>
      </c>
      <c r="W244" s="6" t="str">
        <f>Tab_Data_Flows[[#This Row],[UoM_Source]]</f>
        <v>Mg</v>
      </c>
      <c r="X244" s="139">
        <f>_xlfn.XLOOKUP(Tab_Data_Flows[[#This Row],[Flow_Name]],Tab_Def_Flows[Flow_Name],Tab_Def_Flows[Flow_E2_Fraction'[%']],"N.A.",0,1)</f>
        <v>1</v>
      </c>
      <c r="Y244" s="6">
        <f>IF(D244="Yes",V244*Tab_Data_Flows[[#This Row],[E2_Fraction'[%']]],"N.A.")</f>
        <v>10000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IF(G244="Yes",Tab_Data_Flows[[#This Row],[E4_Fraction'[%']]]*Tab_Data_Flows[[#This Row],[E1_value]],"N.A.")</f>
        <v>0</v>
      </c>
      <c r="AF244" s="6" t="str">
        <f>Tab_Data_Flows[[#This Row],[E1_UoM]]</f>
        <v>Mg</v>
      </c>
      <c r="AG244" s="139">
        <f>_xlfn.XLOOKUP(Tab_Data_Flows[[#This Row],[Flow_Name]],Tab_Def_Flows[Flow_Name],Tab_Def_Flows[Flow_E5_Fraction'[%']],"N.A.",0,1)</f>
        <v>0</v>
      </c>
      <c r="AH244" s="6" t="str">
        <f>IF(H244="Yes",Tab_Data_Flows[[#This Row],[E5_Fraction'[%']]]*Tab_Data_Flows[[#This Row],[E1_value]],"N.A.")</f>
        <v>N.A.</v>
      </c>
      <c r="AI244" s="6" t="str">
        <f>Tab_Data_Flows[[#This Row],[E1_UoM]]</f>
        <v>Mg</v>
      </c>
      <c r="AJ244" s="139">
        <f>_xlfn.XLOOKUP(Tab_Data_Flows[[#This Row],[Flow_Name]],Tab_Def_Flows[Flow_Name],Tab_Def_Flows[Flow_E6_Fraction'[%']],"N.A.",0,1)</f>
        <v>0</v>
      </c>
      <c r="AK244" s="6" t="str">
        <f>IF(Tab_Data_Flows[[#This Row],[Use_E6]]="Yes",Tab_Data_Flows[[#This Row],[E6_Fraction'[%']]]*Tab_Data_Flows[[#This Row],[E1_value]],"N.A.")</f>
        <v>N.A.</v>
      </c>
      <c r="AL244" s="6" t="str">
        <f>Tab_Data_Flows[[#This Row],[E1_UoM]]</f>
        <v>Mg</v>
      </c>
    </row>
    <row r="245" spans="1:38" x14ac:dyDescent="0.25">
      <c r="A245" s="8">
        <f t="shared" si="8"/>
        <v>244</v>
      </c>
      <c r="B245" s="6" t="str">
        <f>_xlfn.XLOOKUP(C245,Tab_Def_Flows[Flow_Name],Tab_Def_Flows[Flow_ID],,0,)</f>
        <v>F_01_09</v>
      </c>
      <c r="C245" s="138" t="s">
        <v>1239</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No</v>
      </c>
      <c r="I245" s="9" t="str">
        <f>_xlfn.XLOOKUP(C245,Tab_Def_Flows[Flow_Name],Tab_Def_Flows[Use_E6],,0,)</f>
        <v>No</v>
      </c>
      <c r="J245" s="7">
        <v>2066</v>
      </c>
      <c r="K245" s="21">
        <v>10000</v>
      </c>
      <c r="L245" s="6" t="str">
        <f>'0_Configuration'!$C$41</f>
        <v>Mg</v>
      </c>
      <c r="M245" s="13"/>
      <c r="N245" s="13"/>
      <c r="O245" s="13"/>
      <c r="P245" s="13"/>
      <c r="Q245" s="13"/>
      <c r="R245" s="7" t="s">
        <v>6</v>
      </c>
      <c r="S245" s="14"/>
      <c r="T245" s="7"/>
      <c r="U245" s="139">
        <f>_xlfn.XLOOKUP(Tab_Data_Flows[[#This Row],[Flow_Name]],Tab_Def_Flows[Flow_Name],Tab_Def_Flows[Flow_E1_Fraction'[%']],"N.A.",0,1)</f>
        <v>1</v>
      </c>
      <c r="V245" s="12">
        <f t="shared" si="7"/>
        <v>10000</v>
      </c>
      <c r="W245" s="6" t="str">
        <f>Tab_Data_Flows[[#This Row],[UoM_Source]]</f>
        <v>Mg</v>
      </c>
      <c r="X245" s="139">
        <f>_xlfn.XLOOKUP(Tab_Data_Flows[[#This Row],[Flow_Name]],Tab_Def_Flows[Flow_Name],Tab_Def_Flows[Flow_E2_Fraction'[%']],"N.A.",0,1)</f>
        <v>1</v>
      </c>
      <c r="Y245" s="6">
        <f>IF(D245="Yes",V245*Tab_Data_Flows[[#This Row],[E2_Fraction'[%']]],"N.A.")</f>
        <v>10000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IF(G245="Yes",Tab_Data_Flows[[#This Row],[E4_Fraction'[%']]]*Tab_Data_Flows[[#This Row],[E1_value]],"N.A.")</f>
        <v>0</v>
      </c>
      <c r="AF245" s="6" t="str">
        <f>Tab_Data_Flows[[#This Row],[E1_UoM]]</f>
        <v>Mg</v>
      </c>
      <c r="AG245" s="139">
        <f>_xlfn.XLOOKUP(Tab_Data_Flows[[#This Row],[Flow_Name]],Tab_Def_Flows[Flow_Name],Tab_Def_Flows[Flow_E5_Fraction'[%']],"N.A.",0,1)</f>
        <v>0</v>
      </c>
      <c r="AH245" s="6" t="str">
        <f>IF(H245="Yes",Tab_Data_Flows[[#This Row],[E5_Fraction'[%']]]*Tab_Data_Flows[[#This Row],[E1_value]],"N.A.")</f>
        <v>N.A.</v>
      </c>
      <c r="AI245" s="6" t="str">
        <f>Tab_Data_Flows[[#This Row],[E1_UoM]]</f>
        <v>Mg</v>
      </c>
      <c r="AJ245" s="139">
        <f>_xlfn.XLOOKUP(Tab_Data_Flows[[#This Row],[Flow_Name]],Tab_Def_Flows[Flow_Name],Tab_Def_Flows[Flow_E6_Fraction'[%']],"N.A.",0,1)</f>
        <v>0</v>
      </c>
      <c r="AK245" s="6" t="str">
        <f>IF(Tab_Data_Flows[[#This Row],[Use_E6]]="Yes",Tab_Data_Flows[[#This Row],[E6_Fraction'[%']]]*Tab_Data_Flows[[#This Row],[E1_value]],"N.A.")</f>
        <v>N.A.</v>
      </c>
      <c r="AL245" s="6" t="str">
        <f>Tab_Data_Flows[[#This Row],[E1_UoM]]</f>
        <v>Mg</v>
      </c>
    </row>
    <row r="246" spans="1:38" x14ac:dyDescent="0.25">
      <c r="A246" s="8">
        <f t="shared" si="8"/>
        <v>245</v>
      </c>
      <c r="B246" s="6" t="str">
        <f>_xlfn.XLOOKUP(C246,Tab_Def_Flows[Flow_Name],Tab_Def_Flows[Flow_ID],,0,)</f>
        <v>F_01_09</v>
      </c>
      <c r="C246" s="138" t="s">
        <v>1239</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No</v>
      </c>
      <c r="I246" s="9" t="str">
        <f>_xlfn.XLOOKUP(C246,Tab_Def_Flows[Flow_Name],Tab_Def_Flows[Use_E6],,0,)</f>
        <v>No</v>
      </c>
      <c r="J246" s="7">
        <v>2067</v>
      </c>
      <c r="K246" s="21">
        <v>10000</v>
      </c>
      <c r="L246" s="6" t="str">
        <f>'0_Configuration'!$C$41</f>
        <v>Mg</v>
      </c>
      <c r="M246" s="13"/>
      <c r="N246" s="13"/>
      <c r="O246" s="13"/>
      <c r="P246" s="13"/>
      <c r="Q246" s="13"/>
      <c r="R246" s="7" t="s">
        <v>6</v>
      </c>
      <c r="S246" s="14"/>
      <c r="T246" s="7"/>
      <c r="U246" s="139">
        <f>_xlfn.XLOOKUP(Tab_Data_Flows[[#This Row],[Flow_Name]],Tab_Def_Flows[Flow_Name],Tab_Def_Flows[Flow_E1_Fraction'[%']],"N.A.",0,1)</f>
        <v>1</v>
      </c>
      <c r="V246" s="12">
        <f t="shared" si="7"/>
        <v>10000</v>
      </c>
      <c r="W246" s="6" t="str">
        <f>Tab_Data_Flows[[#This Row],[UoM_Source]]</f>
        <v>Mg</v>
      </c>
      <c r="X246" s="139">
        <f>_xlfn.XLOOKUP(Tab_Data_Flows[[#This Row],[Flow_Name]],Tab_Def_Flows[Flow_Name],Tab_Def_Flows[Flow_E2_Fraction'[%']],"N.A.",0,1)</f>
        <v>1</v>
      </c>
      <c r="Y246" s="6">
        <f>IF(D246="Yes",V246*Tab_Data_Flows[[#This Row],[E2_Fraction'[%']]],"N.A.")</f>
        <v>10000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IF(G246="Yes",Tab_Data_Flows[[#This Row],[E4_Fraction'[%']]]*Tab_Data_Flows[[#This Row],[E1_value]],"N.A.")</f>
        <v>0</v>
      </c>
      <c r="AF246" s="6" t="str">
        <f>Tab_Data_Flows[[#This Row],[E1_UoM]]</f>
        <v>Mg</v>
      </c>
      <c r="AG246" s="139">
        <f>_xlfn.XLOOKUP(Tab_Data_Flows[[#This Row],[Flow_Name]],Tab_Def_Flows[Flow_Name],Tab_Def_Flows[Flow_E5_Fraction'[%']],"N.A.",0,1)</f>
        <v>0</v>
      </c>
      <c r="AH246" s="6" t="str">
        <f>IF(H246="Yes",Tab_Data_Flows[[#This Row],[E5_Fraction'[%']]]*Tab_Data_Flows[[#This Row],[E1_value]],"N.A.")</f>
        <v>N.A.</v>
      </c>
      <c r="AI246" s="6" t="str">
        <f>Tab_Data_Flows[[#This Row],[E1_UoM]]</f>
        <v>Mg</v>
      </c>
      <c r="AJ246" s="139">
        <f>_xlfn.XLOOKUP(Tab_Data_Flows[[#This Row],[Flow_Name]],Tab_Def_Flows[Flow_Name],Tab_Def_Flows[Flow_E6_Fraction'[%']],"N.A.",0,1)</f>
        <v>0</v>
      </c>
      <c r="AK246" s="6" t="str">
        <f>IF(Tab_Data_Flows[[#This Row],[Use_E6]]="Yes",Tab_Data_Flows[[#This Row],[E6_Fraction'[%']]]*Tab_Data_Flows[[#This Row],[E1_value]],"N.A.")</f>
        <v>N.A.</v>
      </c>
      <c r="AL246" s="6" t="str">
        <f>Tab_Data_Flows[[#This Row],[E1_UoM]]</f>
        <v>Mg</v>
      </c>
    </row>
    <row r="247" spans="1:38" x14ac:dyDescent="0.25">
      <c r="A247" s="8">
        <f t="shared" si="8"/>
        <v>246</v>
      </c>
      <c r="B247" s="6" t="str">
        <f>_xlfn.XLOOKUP(C247,Tab_Def_Flows[Flow_Name],Tab_Def_Flows[Flow_ID],,0,)</f>
        <v>F_01_09</v>
      </c>
      <c r="C247" s="138" t="s">
        <v>1239</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No</v>
      </c>
      <c r="I247" s="9" t="str">
        <f>_xlfn.XLOOKUP(C247,Tab_Def_Flows[Flow_Name],Tab_Def_Flows[Use_E6],,0,)</f>
        <v>No</v>
      </c>
      <c r="J247" s="7">
        <v>2068</v>
      </c>
      <c r="K247" s="21">
        <v>10000</v>
      </c>
      <c r="L247" s="6" t="str">
        <f>'0_Configuration'!$C$41</f>
        <v>Mg</v>
      </c>
      <c r="M247" s="13"/>
      <c r="N247" s="13"/>
      <c r="O247" s="13"/>
      <c r="P247" s="13"/>
      <c r="Q247" s="13"/>
      <c r="R247" s="7" t="s">
        <v>6</v>
      </c>
      <c r="S247" s="14"/>
      <c r="T247" s="7"/>
      <c r="U247" s="139">
        <f>_xlfn.XLOOKUP(Tab_Data_Flows[[#This Row],[Flow_Name]],Tab_Def_Flows[Flow_Name],Tab_Def_Flows[Flow_E1_Fraction'[%']],"N.A.",0,1)</f>
        <v>1</v>
      </c>
      <c r="V247" s="12">
        <f t="shared" si="7"/>
        <v>10000</v>
      </c>
      <c r="W247" s="6" t="str">
        <f>Tab_Data_Flows[[#This Row],[UoM_Source]]</f>
        <v>Mg</v>
      </c>
      <c r="X247" s="139">
        <f>_xlfn.XLOOKUP(Tab_Data_Flows[[#This Row],[Flow_Name]],Tab_Def_Flows[Flow_Name],Tab_Def_Flows[Flow_E2_Fraction'[%']],"N.A.",0,1)</f>
        <v>1</v>
      </c>
      <c r="Y247" s="6">
        <f>IF(D247="Yes",V247*Tab_Data_Flows[[#This Row],[E2_Fraction'[%']]],"N.A.")</f>
        <v>10000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IF(G247="Yes",Tab_Data_Flows[[#This Row],[E4_Fraction'[%']]]*Tab_Data_Flows[[#This Row],[E1_value]],"N.A.")</f>
        <v>0</v>
      </c>
      <c r="AF247" s="6" t="str">
        <f>Tab_Data_Flows[[#This Row],[E1_UoM]]</f>
        <v>Mg</v>
      </c>
      <c r="AG247" s="139">
        <f>_xlfn.XLOOKUP(Tab_Data_Flows[[#This Row],[Flow_Name]],Tab_Def_Flows[Flow_Name],Tab_Def_Flows[Flow_E5_Fraction'[%']],"N.A.",0,1)</f>
        <v>0</v>
      </c>
      <c r="AH247" s="6" t="str">
        <f>IF(H247="Yes",Tab_Data_Flows[[#This Row],[E5_Fraction'[%']]]*Tab_Data_Flows[[#This Row],[E1_value]],"N.A.")</f>
        <v>N.A.</v>
      </c>
      <c r="AI247" s="6" t="str">
        <f>Tab_Data_Flows[[#This Row],[E1_UoM]]</f>
        <v>Mg</v>
      </c>
      <c r="AJ247" s="139">
        <f>_xlfn.XLOOKUP(Tab_Data_Flows[[#This Row],[Flow_Name]],Tab_Def_Flows[Flow_Name],Tab_Def_Flows[Flow_E6_Fraction'[%']],"N.A.",0,1)</f>
        <v>0</v>
      </c>
      <c r="AK247" s="6" t="str">
        <f>IF(Tab_Data_Flows[[#This Row],[Use_E6]]="Yes",Tab_Data_Flows[[#This Row],[E6_Fraction'[%']]]*Tab_Data_Flows[[#This Row],[E1_value]],"N.A.")</f>
        <v>N.A.</v>
      </c>
      <c r="AL247" s="6" t="str">
        <f>Tab_Data_Flows[[#This Row],[E1_UoM]]</f>
        <v>Mg</v>
      </c>
    </row>
    <row r="248" spans="1:38" x14ac:dyDescent="0.25">
      <c r="A248" s="8">
        <f t="shared" si="8"/>
        <v>247</v>
      </c>
      <c r="B248" s="6" t="str">
        <f>_xlfn.XLOOKUP(C248,Tab_Def_Flows[Flow_Name],Tab_Def_Flows[Flow_ID],,0,)</f>
        <v>F_01_09</v>
      </c>
      <c r="C248" s="138" t="s">
        <v>1239</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No</v>
      </c>
      <c r="I248" s="9" t="str">
        <f>_xlfn.XLOOKUP(C248,Tab_Def_Flows[Flow_Name],Tab_Def_Flows[Use_E6],,0,)</f>
        <v>No</v>
      </c>
      <c r="J248" s="7">
        <v>2069</v>
      </c>
      <c r="K248" s="21">
        <v>10000</v>
      </c>
      <c r="L248" s="6" t="str">
        <f>'0_Configuration'!$C$41</f>
        <v>Mg</v>
      </c>
      <c r="M248" s="13"/>
      <c r="N248" s="13"/>
      <c r="O248" s="13"/>
      <c r="P248" s="13"/>
      <c r="Q248" s="13"/>
      <c r="R248" s="7" t="s">
        <v>6</v>
      </c>
      <c r="S248" s="14"/>
      <c r="T248" s="7"/>
      <c r="U248" s="139">
        <f>_xlfn.XLOOKUP(Tab_Data_Flows[[#This Row],[Flow_Name]],Tab_Def_Flows[Flow_Name],Tab_Def_Flows[Flow_E1_Fraction'[%']],"N.A.",0,1)</f>
        <v>1</v>
      </c>
      <c r="V248" s="12">
        <f t="shared" si="7"/>
        <v>10000</v>
      </c>
      <c r="W248" s="6" t="str">
        <f>Tab_Data_Flows[[#This Row],[UoM_Source]]</f>
        <v>Mg</v>
      </c>
      <c r="X248" s="139">
        <f>_xlfn.XLOOKUP(Tab_Data_Flows[[#This Row],[Flow_Name]],Tab_Def_Flows[Flow_Name],Tab_Def_Flows[Flow_E2_Fraction'[%']],"N.A.",0,1)</f>
        <v>1</v>
      </c>
      <c r="Y248" s="6">
        <f>IF(D248="Yes",V248*Tab_Data_Flows[[#This Row],[E2_Fraction'[%']]],"N.A.")</f>
        <v>10000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IF(G248="Yes",Tab_Data_Flows[[#This Row],[E4_Fraction'[%']]]*Tab_Data_Flows[[#This Row],[E1_value]],"N.A.")</f>
        <v>0</v>
      </c>
      <c r="AF248" s="6" t="str">
        <f>Tab_Data_Flows[[#This Row],[E1_UoM]]</f>
        <v>Mg</v>
      </c>
      <c r="AG248" s="139">
        <f>_xlfn.XLOOKUP(Tab_Data_Flows[[#This Row],[Flow_Name]],Tab_Def_Flows[Flow_Name],Tab_Def_Flows[Flow_E5_Fraction'[%']],"N.A.",0,1)</f>
        <v>0</v>
      </c>
      <c r="AH248" s="6" t="str">
        <f>IF(H248="Yes",Tab_Data_Flows[[#This Row],[E5_Fraction'[%']]]*Tab_Data_Flows[[#This Row],[E1_value]],"N.A.")</f>
        <v>N.A.</v>
      </c>
      <c r="AI248" s="6" t="str">
        <f>Tab_Data_Flows[[#This Row],[E1_UoM]]</f>
        <v>Mg</v>
      </c>
      <c r="AJ248" s="139">
        <f>_xlfn.XLOOKUP(Tab_Data_Flows[[#This Row],[Flow_Name]],Tab_Def_Flows[Flow_Name],Tab_Def_Flows[Flow_E6_Fraction'[%']],"N.A.",0,1)</f>
        <v>0</v>
      </c>
      <c r="AK248" s="6" t="str">
        <f>IF(Tab_Data_Flows[[#This Row],[Use_E6]]="Yes",Tab_Data_Flows[[#This Row],[E6_Fraction'[%']]]*Tab_Data_Flows[[#This Row],[E1_value]],"N.A.")</f>
        <v>N.A.</v>
      </c>
      <c r="AL248" s="6" t="str">
        <f>Tab_Data_Flows[[#This Row],[E1_UoM]]</f>
        <v>Mg</v>
      </c>
    </row>
    <row r="249" spans="1:38" x14ac:dyDescent="0.25">
      <c r="A249" s="8">
        <f t="shared" si="8"/>
        <v>248</v>
      </c>
      <c r="B249" s="6" t="str">
        <f>_xlfn.XLOOKUP(C249,Tab_Def_Flows[Flow_Name],Tab_Def_Flows[Flow_ID],,0,)</f>
        <v>F_01_09</v>
      </c>
      <c r="C249" s="138" t="s">
        <v>1239</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No</v>
      </c>
      <c r="I249" s="9" t="str">
        <f>_xlfn.XLOOKUP(C249,Tab_Def_Flows[Flow_Name],Tab_Def_Flows[Use_E6],,0,)</f>
        <v>No</v>
      </c>
      <c r="J249" s="7">
        <v>2070</v>
      </c>
      <c r="K249" s="21">
        <v>10000</v>
      </c>
      <c r="L249" s="6" t="str">
        <f>'0_Configuration'!$C$41</f>
        <v>Mg</v>
      </c>
      <c r="M249" s="13"/>
      <c r="N249" s="13"/>
      <c r="O249" s="13"/>
      <c r="P249" s="13"/>
      <c r="Q249" s="13"/>
      <c r="R249" s="7" t="s">
        <v>6</v>
      </c>
      <c r="S249" s="14"/>
      <c r="T249" s="7"/>
      <c r="U249" s="139">
        <f>_xlfn.XLOOKUP(Tab_Data_Flows[[#This Row],[Flow_Name]],Tab_Def_Flows[Flow_Name],Tab_Def_Flows[Flow_E1_Fraction'[%']],"N.A.",0,1)</f>
        <v>1</v>
      </c>
      <c r="V249" s="12">
        <f t="shared" si="7"/>
        <v>10000</v>
      </c>
      <c r="W249" s="6" t="str">
        <f>Tab_Data_Flows[[#This Row],[UoM_Source]]</f>
        <v>Mg</v>
      </c>
      <c r="X249" s="139">
        <f>_xlfn.XLOOKUP(Tab_Data_Flows[[#This Row],[Flow_Name]],Tab_Def_Flows[Flow_Name],Tab_Def_Flows[Flow_E2_Fraction'[%']],"N.A.",0,1)</f>
        <v>1</v>
      </c>
      <c r="Y249" s="6">
        <f>IF(D249="Yes",V249*Tab_Data_Flows[[#This Row],[E2_Fraction'[%']]],"N.A.")</f>
        <v>10000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IF(G249="Yes",Tab_Data_Flows[[#This Row],[E4_Fraction'[%']]]*Tab_Data_Flows[[#This Row],[E1_value]],"N.A.")</f>
        <v>0</v>
      </c>
      <c r="AF249" s="6" t="str">
        <f>Tab_Data_Flows[[#This Row],[E1_UoM]]</f>
        <v>Mg</v>
      </c>
      <c r="AG249" s="139">
        <f>_xlfn.XLOOKUP(Tab_Data_Flows[[#This Row],[Flow_Name]],Tab_Def_Flows[Flow_Name],Tab_Def_Flows[Flow_E5_Fraction'[%']],"N.A.",0,1)</f>
        <v>0</v>
      </c>
      <c r="AH249" s="6" t="str">
        <f>IF(H249="Yes",Tab_Data_Flows[[#This Row],[E5_Fraction'[%']]]*Tab_Data_Flows[[#This Row],[E1_value]],"N.A.")</f>
        <v>N.A.</v>
      </c>
      <c r="AI249" s="6" t="str">
        <f>Tab_Data_Flows[[#This Row],[E1_UoM]]</f>
        <v>Mg</v>
      </c>
      <c r="AJ249" s="139">
        <f>_xlfn.XLOOKUP(Tab_Data_Flows[[#This Row],[Flow_Name]],Tab_Def_Flows[Flow_Name],Tab_Def_Flows[Flow_E6_Fraction'[%']],"N.A.",0,1)</f>
        <v>0</v>
      </c>
      <c r="AK249" s="6" t="str">
        <f>IF(Tab_Data_Flows[[#This Row],[Use_E6]]="Yes",Tab_Data_Flows[[#This Row],[E6_Fraction'[%']]]*Tab_Data_Flows[[#This Row],[E1_value]],"N.A.")</f>
        <v>N.A.</v>
      </c>
      <c r="AL249" s="6" t="str">
        <f>Tab_Data_Flows[[#This Row],[E1_UoM]]</f>
        <v>Mg</v>
      </c>
    </row>
    <row r="250" spans="1:38" x14ac:dyDescent="0.25">
      <c r="A250" s="8">
        <f t="shared" si="8"/>
        <v>249</v>
      </c>
      <c r="B250" s="6" t="str">
        <f>_xlfn.XLOOKUP(C250,Tab_Def_Flows[Flow_Name],Tab_Def_Flows[Flow_ID],,0,)</f>
        <v>F_01_09</v>
      </c>
      <c r="C250" s="138" t="s">
        <v>1239</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No</v>
      </c>
      <c r="I250" s="9" t="str">
        <f>_xlfn.XLOOKUP(C250,Tab_Def_Flows[Flow_Name],Tab_Def_Flows[Use_E6],,0,)</f>
        <v>No</v>
      </c>
      <c r="J250" s="7">
        <v>2071</v>
      </c>
      <c r="K250" s="21">
        <v>10000</v>
      </c>
      <c r="L250" s="6" t="str">
        <f>'0_Configuration'!$C$41</f>
        <v>Mg</v>
      </c>
      <c r="M250" s="13"/>
      <c r="N250" s="13"/>
      <c r="O250" s="13"/>
      <c r="P250" s="13"/>
      <c r="Q250" s="13"/>
      <c r="R250" s="7" t="s">
        <v>6</v>
      </c>
      <c r="S250" s="14"/>
      <c r="T250" s="7"/>
      <c r="U250" s="139">
        <f>_xlfn.XLOOKUP(Tab_Data_Flows[[#This Row],[Flow_Name]],Tab_Def_Flows[Flow_Name],Tab_Def_Flows[Flow_E1_Fraction'[%']],"N.A.",0,1)</f>
        <v>1</v>
      </c>
      <c r="V250" s="12">
        <f t="shared" si="7"/>
        <v>10000</v>
      </c>
      <c r="W250" s="6" t="str">
        <f>Tab_Data_Flows[[#This Row],[UoM_Source]]</f>
        <v>Mg</v>
      </c>
      <c r="X250" s="139">
        <f>_xlfn.XLOOKUP(Tab_Data_Flows[[#This Row],[Flow_Name]],Tab_Def_Flows[Flow_Name],Tab_Def_Flows[Flow_E2_Fraction'[%']],"N.A.",0,1)</f>
        <v>1</v>
      </c>
      <c r="Y250" s="6">
        <f>IF(D250="Yes",V250*Tab_Data_Flows[[#This Row],[E2_Fraction'[%']]],"N.A.")</f>
        <v>10000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IF(G250="Yes",Tab_Data_Flows[[#This Row],[E4_Fraction'[%']]]*Tab_Data_Flows[[#This Row],[E1_value]],"N.A.")</f>
        <v>0</v>
      </c>
      <c r="AF250" s="6" t="str">
        <f>Tab_Data_Flows[[#This Row],[E1_UoM]]</f>
        <v>Mg</v>
      </c>
      <c r="AG250" s="139">
        <f>_xlfn.XLOOKUP(Tab_Data_Flows[[#This Row],[Flow_Name]],Tab_Def_Flows[Flow_Name],Tab_Def_Flows[Flow_E5_Fraction'[%']],"N.A.",0,1)</f>
        <v>0</v>
      </c>
      <c r="AH250" s="6" t="str">
        <f>IF(H250="Yes",Tab_Data_Flows[[#This Row],[E5_Fraction'[%']]]*Tab_Data_Flows[[#This Row],[E1_value]],"N.A.")</f>
        <v>N.A.</v>
      </c>
      <c r="AI250" s="6" t="str">
        <f>Tab_Data_Flows[[#This Row],[E1_UoM]]</f>
        <v>Mg</v>
      </c>
      <c r="AJ250" s="139">
        <f>_xlfn.XLOOKUP(Tab_Data_Flows[[#This Row],[Flow_Name]],Tab_Def_Flows[Flow_Name],Tab_Def_Flows[Flow_E6_Fraction'[%']],"N.A.",0,1)</f>
        <v>0</v>
      </c>
      <c r="AK250" s="6" t="str">
        <f>IF(Tab_Data_Flows[[#This Row],[Use_E6]]="Yes",Tab_Data_Flows[[#This Row],[E6_Fraction'[%']]]*Tab_Data_Flows[[#This Row],[E1_value]],"N.A.")</f>
        <v>N.A.</v>
      </c>
      <c r="AL250" s="6" t="str">
        <f>Tab_Data_Flows[[#This Row],[E1_UoM]]</f>
        <v>Mg</v>
      </c>
    </row>
    <row r="251" spans="1:38" x14ac:dyDescent="0.25">
      <c r="A251" s="8">
        <f t="shared" si="8"/>
        <v>250</v>
      </c>
      <c r="B251" s="6" t="str">
        <f>_xlfn.XLOOKUP(C251,Tab_Def_Flows[Flow_Name],Tab_Def_Flows[Flow_ID],,0,)</f>
        <v>F_01_09</v>
      </c>
      <c r="C251" s="138" t="s">
        <v>1239</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No</v>
      </c>
      <c r="I251" s="9" t="str">
        <f>_xlfn.XLOOKUP(C251,Tab_Def_Flows[Flow_Name],Tab_Def_Flows[Use_E6],,0,)</f>
        <v>No</v>
      </c>
      <c r="J251" s="7">
        <v>2072</v>
      </c>
      <c r="K251" s="21">
        <v>10000</v>
      </c>
      <c r="L251" s="6" t="str">
        <f>'0_Configuration'!$C$41</f>
        <v>Mg</v>
      </c>
      <c r="M251" s="13"/>
      <c r="N251" s="13"/>
      <c r="O251" s="13"/>
      <c r="P251" s="13"/>
      <c r="Q251" s="13"/>
      <c r="R251" s="7" t="s">
        <v>6</v>
      </c>
      <c r="S251" s="14"/>
      <c r="T251" s="7"/>
      <c r="U251" s="139">
        <f>_xlfn.XLOOKUP(Tab_Data_Flows[[#This Row],[Flow_Name]],Tab_Def_Flows[Flow_Name],Tab_Def_Flows[Flow_E1_Fraction'[%']],"N.A.",0,1)</f>
        <v>1</v>
      </c>
      <c r="V251" s="12">
        <f t="shared" si="7"/>
        <v>10000</v>
      </c>
      <c r="W251" s="6" t="str">
        <f>Tab_Data_Flows[[#This Row],[UoM_Source]]</f>
        <v>Mg</v>
      </c>
      <c r="X251" s="139">
        <f>_xlfn.XLOOKUP(Tab_Data_Flows[[#This Row],[Flow_Name]],Tab_Def_Flows[Flow_Name],Tab_Def_Flows[Flow_E2_Fraction'[%']],"N.A.",0,1)</f>
        <v>1</v>
      </c>
      <c r="Y251" s="6">
        <f>IF(D251="Yes",V251*Tab_Data_Flows[[#This Row],[E2_Fraction'[%']]],"N.A.")</f>
        <v>10000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IF(G251="Yes",Tab_Data_Flows[[#This Row],[E4_Fraction'[%']]]*Tab_Data_Flows[[#This Row],[E1_value]],"N.A.")</f>
        <v>0</v>
      </c>
      <c r="AF251" s="6" t="str">
        <f>Tab_Data_Flows[[#This Row],[E1_UoM]]</f>
        <v>Mg</v>
      </c>
      <c r="AG251" s="139">
        <f>_xlfn.XLOOKUP(Tab_Data_Flows[[#This Row],[Flow_Name]],Tab_Def_Flows[Flow_Name],Tab_Def_Flows[Flow_E5_Fraction'[%']],"N.A.",0,1)</f>
        <v>0</v>
      </c>
      <c r="AH251" s="6" t="str">
        <f>IF(H251="Yes",Tab_Data_Flows[[#This Row],[E5_Fraction'[%']]]*Tab_Data_Flows[[#This Row],[E1_value]],"N.A.")</f>
        <v>N.A.</v>
      </c>
      <c r="AI251" s="6" t="str">
        <f>Tab_Data_Flows[[#This Row],[E1_UoM]]</f>
        <v>Mg</v>
      </c>
      <c r="AJ251" s="139">
        <f>_xlfn.XLOOKUP(Tab_Data_Flows[[#This Row],[Flow_Name]],Tab_Def_Flows[Flow_Name],Tab_Def_Flows[Flow_E6_Fraction'[%']],"N.A.",0,1)</f>
        <v>0</v>
      </c>
      <c r="AK251" s="6" t="str">
        <f>IF(Tab_Data_Flows[[#This Row],[Use_E6]]="Yes",Tab_Data_Flows[[#This Row],[E6_Fraction'[%']]]*Tab_Data_Flows[[#This Row],[E1_value]],"N.A.")</f>
        <v>N.A.</v>
      </c>
      <c r="AL251" s="6" t="str">
        <f>Tab_Data_Flows[[#This Row],[E1_UoM]]</f>
        <v>Mg</v>
      </c>
    </row>
    <row r="252" spans="1:38" x14ac:dyDescent="0.25">
      <c r="A252" s="8">
        <f t="shared" si="8"/>
        <v>251</v>
      </c>
      <c r="B252" s="6" t="str">
        <f>_xlfn.XLOOKUP(C252,Tab_Def_Flows[Flow_Name],Tab_Def_Flows[Flow_ID],,0,)</f>
        <v>F_01_09</v>
      </c>
      <c r="C252" s="138" t="s">
        <v>1239</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No</v>
      </c>
      <c r="I252" s="9" t="str">
        <f>_xlfn.XLOOKUP(C252,Tab_Def_Flows[Flow_Name],Tab_Def_Flows[Use_E6],,0,)</f>
        <v>No</v>
      </c>
      <c r="J252" s="7">
        <v>2073</v>
      </c>
      <c r="K252" s="21">
        <v>10000</v>
      </c>
      <c r="L252" s="6" t="str">
        <f>'0_Configuration'!$C$41</f>
        <v>Mg</v>
      </c>
      <c r="M252" s="13"/>
      <c r="N252" s="13"/>
      <c r="O252" s="13"/>
      <c r="P252" s="13"/>
      <c r="Q252" s="13"/>
      <c r="R252" s="7" t="s">
        <v>6</v>
      </c>
      <c r="S252" s="14"/>
      <c r="T252" s="7"/>
      <c r="U252" s="139">
        <f>_xlfn.XLOOKUP(Tab_Data_Flows[[#This Row],[Flow_Name]],Tab_Def_Flows[Flow_Name],Tab_Def_Flows[Flow_E1_Fraction'[%']],"N.A.",0,1)</f>
        <v>1</v>
      </c>
      <c r="V252" s="12">
        <f t="shared" si="7"/>
        <v>10000</v>
      </c>
      <c r="W252" s="6" t="str">
        <f>Tab_Data_Flows[[#This Row],[UoM_Source]]</f>
        <v>Mg</v>
      </c>
      <c r="X252" s="139">
        <f>_xlfn.XLOOKUP(Tab_Data_Flows[[#This Row],[Flow_Name]],Tab_Def_Flows[Flow_Name],Tab_Def_Flows[Flow_E2_Fraction'[%']],"N.A.",0,1)</f>
        <v>1</v>
      </c>
      <c r="Y252" s="6">
        <f>IF(D252="Yes",V252*Tab_Data_Flows[[#This Row],[E2_Fraction'[%']]],"N.A.")</f>
        <v>10000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IF(G252="Yes",Tab_Data_Flows[[#This Row],[E4_Fraction'[%']]]*Tab_Data_Flows[[#This Row],[E1_value]],"N.A.")</f>
        <v>0</v>
      </c>
      <c r="AF252" s="6" t="str">
        <f>Tab_Data_Flows[[#This Row],[E1_UoM]]</f>
        <v>Mg</v>
      </c>
      <c r="AG252" s="139">
        <f>_xlfn.XLOOKUP(Tab_Data_Flows[[#This Row],[Flow_Name]],Tab_Def_Flows[Flow_Name],Tab_Def_Flows[Flow_E5_Fraction'[%']],"N.A.",0,1)</f>
        <v>0</v>
      </c>
      <c r="AH252" s="6" t="str">
        <f>IF(H252="Yes",Tab_Data_Flows[[#This Row],[E5_Fraction'[%']]]*Tab_Data_Flows[[#This Row],[E1_value]],"N.A.")</f>
        <v>N.A.</v>
      </c>
      <c r="AI252" s="6" t="str">
        <f>Tab_Data_Flows[[#This Row],[E1_UoM]]</f>
        <v>Mg</v>
      </c>
      <c r="AJ252" s="139">
        <f>_xlfn.XLOOKUP(Tab_Data_Flows[[#This Row],[Flow_Name]],Tab_Def_Flows[Flow_Name],Tab_Def_Flows[Flow_E6_Fraction'[%']],"N.A.",0,1)</f>
        <v>0</v>
      </c>
      <c r="AK252" s="6" t="str">
        <f>IF(Tab_Data_Flows[[#This Row],[Use_E6]]="Yes",Tab_Data_Flows[[#This Row],[E6_Fraction'[%']]]*Tab_Data_Flows[[#This Row],[E1_value]],"N.A.")</f>
        <v>N.A.</v>
      </c>
      <c r="AL252" s="6" t="str">
        <f>Tab_Data_Flows[[#This Row],[E1_UoM]]</f>
        <v>Mg</v>
      </c>
    </row>
    <row r="253" spans="1:38" x14ac:dyDescent="0.25">
      <c r="A253" s="8">
        <f t="shared" si="8"/>
        <v>252</v>
      </c>
      <c r="B253" s="6" t="str">
        <f>_xlfn.XLOOKUP(C253,Tab_Def_Flows[Flow_Name],Tab_Def_Flows[Flow_ID],,0,)</f>
        <v>F_01_09</v>
      </c>
      <c r="C253" s="138" t="s">
        <v>1239</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No</v>
      </c>
      <c r="I253" s="9" t="str">
        <f>_xlfn.XLOOKUP(C253,Tab_Def_Flows[Flow_Name],Tab_Def_Flows[Use_E6],,0,)</f>
        <v>No</v>
      </c>
      <c r="J253" s="7">
        <v>2074</v>
      </c>
      <c r="K253" s="21">
        <v>10000</v>
      </c>
      <c r="L253" s="6" t="str">
        <f>'0_Configuration'!$C$41</f>
        <v>Mg</v>
      </c>
      <c r="M253" s="13"/>
      <c r="N253" s="13"/>
      <c r="O253" s="13"/>
      <c r="P253" s="13"/>
      <c r="Q253" s="13"/>
      <c r="R253" s="7" t="s">
        <v>6</v>
      </c>
      <c r="S253" s="14"/>
      <c r="T253" s="7"/>
      <c r="U253" s="139">
        <f>_xlfn.XLOOKUP(Tab_Data_Flows[[#This Row],[Flow_Name]],Tab_Def_Flows[Flow_Name],Tab_Def_Flows[Flow_E1_Fraction'[%']],"N.A.",0,1)</f>
        <v>1</v>
      </c>
      <c r="V253" s="12">
        <f t="shared" si="7"/>
        <v>10000</v>
      </c>
      <c r="W253" s="6" t="str">
        <f>Tab_Data_Flows[[#This Row],[UoM_Source]]</f>
        <v>Mg</v>
      </c>
      <c r="X253" s="139">
        <f>_xlfn.XLOOKUP(Tab_Data_Flows[[#This Row],[Flow_Name]],Tab_Def_Flows[Flow_Name],Tab_Def_Flows[Flow_E2_Fraction'[%']],"N.A.",0,1)</f>
        <v>1</v>
      </c>
      <c r="Y253" s="6">
        <f>IF(D253="Yes",V253*Tab_Data_Flows[[#This Row],[E2_Fraction'[%']]],"N.A.")</f>
        <v>10000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IF(G253="Yes",Tab_Data_Flows[[#This Row],[E4_Fraction'[%']]]*Tab_Data_Flows[[#This Row],[E1_value]],"N.A.")</f>
        <v>0</v>
      </c>
      <c r="AF253" s="6" t="str">
        <f>Tab_Data_Flows[[#This Row],[E1_UoM]]</f>
        <v>Mg</v>
      </c>
      <c r="AG253" s="139">
        <f>_xlfn.XLOOKUP(Tab_Data_Flows[[#This Row],[Flow_Name]],Tab_Def_Flows[Flow_Name],Tab_Def_Flows[Flow_E5_Fraction'[%']],"N.A.",0,1)</f>
        <v>0</v>
      </c>
      <c r="AH253" s="6" t="str">
        <f>IF(H253="Yes",Tab_Data_Flows[[#This Row],[E5_Fraction'[%']]]*Tab_Data_Flows[[#This Row],[E1_value]],"N.A.")</f>
        <v>N.A.</v>
      </c>
      <c r="AI253" s="6" t="str">
        <f>Tab_Data_Flows[[#This Row],[E1_UoM]]</f>
        <v>Mg</v>
      </c>
      <c r="AJ253" s="139">
        <f>_xlfn.XLOOKUP(Tab_Data_Flows[[#This Row],[Flow_Name]],Tab_Def_Flows[Flow_Name],Tab_Def_Flows[Flow_E6_Fraction'[%']],"N.A.",0,1)</f>
        <v>0</v>
      </c>
      <c r="AK253" s="6" t="str">
        <f>IF(Tab_Data_Flows[[#This Row],[Use_E6]]="Yes",Tab_Data_Flows[[#This Row],[E6_Fraction'[%']]]*Tab_Data_Flows[[#This Row],[E1_value]],"N.A.")</f>
        <v>N.A.</v>
      </c>
      <c r="AL253" s="6" t="str">
        <f>Tab_Data_Flows[[#This Row],[E1_UoM]]</f>
        <v>Mg</v>
      </c>
    </row>
    <row r="254" spans="1:38" x14ac:dyDescent="0.25">
      <c r="A254" s="8">
        <f t="shared" si="8"/>
        <v>253</v>
      </c>
      <c r="B254" s="6" t="str">
        <f>_xlfn.XLOOKUP(C254,Tab_Def_Flows[Flow_Name],Tab_Def_Flows[Flow_ID],,0,)</f>
        <v>F_01_09</v>
      </c>
      <c r="C254" s="138" t="s">
        <v>1239</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No</v>
      </c>
      <c r="I254" s="9" t="str">
        <f>_xlfn.XLOOKUP(C254,Tab_Def_Flows[Flow_Name],Tab_Def_Flows[Use_E6],,0,)</f>
        <v>No</v>
      </c>
      <c r="J254" s="7">
        <v>2075</v>
      </c>
      <c r="K254" s="21">
        <v>10000</v>
      </c>
      <c r="L254" s="6" t="str">
        <f>'0_Configuration'!$C$41</f>
        <v>Mg</v>
      </c>
      <c r="M254" s="13"/>
      <c r="N254" s="13"/>
      <c r="O254" s="13"/>
      <c r="P254" s="13"/>
      <c r="Q254" s="13"/>
      <c r="R254" s="7" t="s">
        <v>6</v>
      </c>
      <c r="S254" s="14"/>
      <c r="T254" s="7"/>
      <c r="U254" s="139">
        <f>_xlfn.XLOOKUP(Tab_Data_Flows[[#This Row],[Flow_Name]],Tab_Def_Flows[Flow_Name],Tab_Def_Flows[Flow_E1_Fraction'[%']],"N.A.",0,1)</f>
        <v>1</v>
      </c>
      <c r="V254" s="12">
        <f t="shared" si="7"/>
        <v>10000</v>
      </c>
      <c r="W254" s="6" t="str">
        <f>Tab_Data_Flows[[#This Row],[UoM_Source]]</f>
        <v>Mg</v>
      </c>
      <c r="X254" s="139">
        <f>_xlfn.XLOOKUP(Tab_Data_Flows[[#This Row],[Flow_Name]],Tab_Def_Flows[Flow_Name],Tab_Def_Flows[Flow_E2_Fraction'[%']],"N.A.",0,1)</f>
        <v>1</v>
      </c>
      <c r="Y254" s="6">
        <f>IF(D254="Yes",V254*Tab_Data_Flows[[#This Row],[E2_Fraction'[%']]],"N.A.")</f>
        <v>10000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IF(G254="Yes",Tab_Data_Flows[[#This Row],[E4_Fraction'[%']]]*Tab_Data_Flows[[#This Row],[E1_value]],"N.A.")</f>
        <v>0</v>
      </c>
      <c r="AF254" s="6" t="str">
        <f>Tab_Data_Flows[[#This Row],[E1_UoM]]</f>
        <v>Mg</v>
      </c>
      <c r="AG254" s="139">
        <f>_xlfn.XLOOKUP(Tab_Data_Flows[[#This Row],[Flow_Name]],Tab_Def_Flows[Flow_Name],Tab_Def_Flows[Flow_E5_Fraction'[%']],"N.A.",0,1)</f>
        <v>0</v>
      </c>
      <c r="AH254" s="6" t="str">
        <f>IF(H254="Yes",Tab_Data_Flows[[#This Row],[E5_Fraction'[%']]]*Tab_Data_Flows[[#This Row],[E1_value]],"N.A.")</f>
        <v>N.A.</v>
      </c>
      <c r="AI254" s="6" t="str">
        <f>Tab_Data_Flows[[#This Row],[E1_UoM]]</f>
        <v>Mg</v>
      </c>
      <c r="AJ254" s="139">
        <f>_xlfn.XLOOKUP(Tab_Data_Flows[[#This Row],[Flow_Name]],Tab_Def_Flows[Flow_Name],Tab_Def_Flows[Flow_E6_Fraction'[%']],"N.A.",0,1)</f>
        <v>0</v>
      </c>
      <c r="AK254" s="6" t="str">
        <f>IF(Tab_Data_Flows[[#This Row],[Use_E6]]="Yes",Tab_Data_Flows[[#This Row],[E6_Fraction'[%']]]*Tab_Data_Flows[[#This Row],[E1_value]],"N.A.")</f>
        <v>N.A.</v>
      </c>
      <c r="AL254" s="6" t="str">
        <f>Tab_Data_Flows[[#This Row],[E1_UoM]]</f>
        <v>Mg</v>
      </c>
    </row>
    <row r="255" spans="1:38" x14ac:dyDescent="0.25">
      <c r="A255" s="8">
        <f t="shared" si="8"/>
        <v>254</v>
      </c>
      <c r="B255" s="6" t="str">
        <f>_xlfn.XLOOKUP(C255,Tab_Def_Flows[Flow_Name],Tab_Def_Flows[Flow_ID],,0,)</f>
        <v>F_01_09</v>
      </c>
      <c r="C255" s="138" t="s">
        <v>1239</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No</v>
      </c>
      <c r="I255" s="9" t="str">
        <f>_xlfn.XLOOKUP(C255,Tab_Def_Flows[Flow_Name],Tab_Def_Flows[Use_E6],,0,)</f>
        <v>No</v>
      </c>
      <c r="J255" s="7">
        <v>2076</v>
      </c>
      <c r="K255" s="21">
        <v>10000</v>
      </c>
      <c r="L255" s="6" t="str">
        <f>'0_Configuration'!$C$41</f>
        <v>Mg</v>
      </c>
      <c r="M255" s="13"/>
      <c r="N255" s="13"/>
      <c r="O255" s="13"/>
      <c r="P255" s="13"/>
      <c r="Q255" s="13"/>
      <c r="R255" s="7" t="s">
        <v>6</v>
      </c>
      <c r="S255" s="14"/>
      <c r="T255" s="7"/>
      <c r="U255" s="139">
        <f>_xlfn.XLOOKUP(Tab_Data_Flows[[#This Row],[Flow_Name]],Tab_Def_Flows[Flow_Name],Tab_Def_Flows[Flow_E1_Fraction'[%']],"N.A.",0,1)</f>
        <v>1</v>
      </c>
      <c r="V255" s="12">
        <f t="shared" si="7"/>
        <v>10000</v>
      </c>
      <c r="W255" s="6" t="str">
        <f>Tab_Data_Flows[[#This Row],[UoM_Source]]</f>
        <v>Mg</v>
      </c>
      <c r="X255" s="139">
        <f>_xlfn.XLOOKUP(Tab_Data_Flows[[#This Row],[Flow_Name]],Tab_Def_Flows[Flow_Name],Tab_Def_Flows[Flow_E2_Fraction'[%']],"N.A.",0,1)</f>
        <v>1</v>
      </c>
      <c r="Y255" s="6">
        <f>IF(D255="Yes",V255*Tab_Data_Flows[[#This Row],[E2_Fraction'[%']]],"N.A.")</f>
        <v>10000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IF(G255="Yes",Tab_Data_Flows[[#This Row],[E4_Fraction'[%']]]*Tab_Data_Flows[[#This Row],[E1_value]],"N.A.")</f>
        <v>0</v>
      </c>
      <c r="AF255" s="6" t="str">
        <f>Tab_Data_Flows[[#This Row],[E1_UoM]]</f>
        <v>Mg</v>
      </c>
      <c r="AG255" s="139">
        <f>_xlfn.XLOOKUP(Tab_Data_Flows[[#This Row],[Flow_Name]],Tab_Def_Flows[Flow_Name],Tab_Def_Flows[Flow_E5_Fraction'[%']],"N.A.",0,1)</f>
        <v>0</v>
      </c>
      <c r="AH255" s="6" t="str">
        <f>IF(H255="Yes",Tab_Data_Flows[[#This Row],[E5_Fraction'[%']]]*Tab_Data_Flows[[#This Row],[E1_value]],"N.A.")</f>
        <v>N.A.</v>
      </c>
      <c r="AI255" s="6" t="str">
        <f>Tab_Data_Flows[[#This Row],[E1_UoM]]</f>
        <v>Mg</v>
      </c>
      <c r="AJ255" s="139">
        <f>_xlfn.XLOOKUP(Tab_Data_Flows[[#This Row],[Flow_Name]],Tab_Def_Flows[Flow_Name],Tab_Def_Flows[Flow_E6_Fraction'[%']],"N.A.",0,1)</f>
        <v>0</v>
      </c>
      <c r="AK255" s="6" t="str">
        <f>IF(Tab_Data_Flows[[#This Row],[Use_E6]]="Yes",Tab_Data_Flows[[#This Row],[E6_Fraction'[%']]]*Tab_Data_Flows[[#This Row],[E1_value]],"N.A.")</f>
        <v>N.A.</v>
      </c>
      <c r="AL255" s="6" t="str">
        <f>Tab_Data_Flows[[#This Row],[E1_UoM]]</f>
        <v>Mg</v>
      </c>
    </row>
    <row r="256" spans="1:38" x14ac:dyDescent="0.25">
      <c r="A256" s="8">
        <f t="shared" si="8"/>
        <v>255</v>
      </c>
      <c r="B256" s="6" t="str">
        <f>_xlfn.XLOOKUP(C256,Tab_Def_Flows[Flow_Name],Tab_Def_Flows[Flow_ID],,0,)</f>
        <v>F_01_09</v>
      </c>
      <c r="C256" s="138" t="s">
        <v>1239</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No</v>
      </c>
      <c r="I256" s="9" t="str">
        <f>_xlfn.XLOOKUP(C256,Tab_Def_Flows[Flow_Name],Tab_Def_Flows[Use_E6],,0,)</f>
        <v>No</v>
      </c>
      <c r="J256" s="7">
        <v>2077</v>
      </c>
      <c r="K256" s="21">
        <v>10000</v>
      </c>
      <c r="L256" s="6" t="str">
        <f>'0_Configuration'!$C$41</f>
        <v>Mg</v>
      </c>
      <c r="M256" s="13"/>
      <c r="N256" s="13"/>
      <c r="O256" s="13"/>
      <c r="P256" s="13"/>
      <c r="Q256" s="13"/>
      <c r="R256" s="7" t="s">
        <v>6</v>
      </c>
      <c r="S256" s="14"/>
      <c r="T256" s="7"/>
      <c r="U256" s="139">
        <f>_xlfn.XLOOKUP(Tab_Data_Flows[[#This Row],[Flow_Name]],Tab_Def_Flows[Flow_Name],Tab_Def_Flows[Flow_E1_Fraction'[%']],"N.A.",0,1)</f>
        <v>1</v>
      </c>
      <c r="V256" s="12">
        <f t="shared" si="7"/>
        <v>10000</v>
      </c>
      <c r="W256" s="6" t="str">
        <f>Tab_Data_Flows[[#This Row],[UoM_Source]]</f>
        <v>Mg</v>
      </c>
      <c r="X256" s="139">
        <f>_xlfn.XLOOKUP(Tab_Data_Flows[[#This Row],[Flow_Name]],Tab_Def_Flows[Flow_Name],Tab_Def_Flows[Flow_E2_Fraction'[%']],"N.A.",0,1)</f>
        <v>1</v>
      </c>
      <c r="Y256" s="6">
        <f>IF(D256="Yes",V256*Tab_Data_Flows[[#This Row],[E2_Fraction'[%']]],"N.A.")</f>
        <v>10000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IF(G256="Yes",Tab_Data_Flows[[#This Row],[E4_Fraction'[%']]]*Tab_Data_Flows[[#This Row],[E1_value]],"N.A.")</f>
        <v>0</v>
      </c>
      <c r="AF256" s="6" t="str">
        <f>Tab_Data_Flows[[#This Row],[E1_UoM]]</f>
        <v>Mg</v>
      </c>
      <c r="AG256" s="139">
        <f>_xlfn.XLOOKUP(Tab_Data_Flows[[#This Row],[Flow_Name]],Tab_Def_Flows[Flow_Name],Tab_Def_Flows[Flow_E5_Fraction'[%']],"N.A.",0,1)</f>
        <v>0</v>
      </c>
      <c r="AH256" s="6" t="str">
        <f>IF(H256="Yes",Tab_Data_Flows[[#This Row],[E5_Fraction'[%']]]*Tab_Data_Flows[[#This Row],[E1_value]],"N.A.")</f>
        <v>N.A.</v>
      </c>
      <c r="AI256" s="6" t="str">
        <f>Tab_Data_Flows[[#This Row],[E1_UoM]]</f>
        <v>Mg</v>
      </c>
      <c r="AJ256" s="139">
        <f>_xlfn.XLOOKUP(Tab_Data_Flows[[#This Row],[Flow_Name]],Tab_Def_Flows[Flow_Name],Tab_Def_Flows[Flow_E6_Fraction'[%']],"N.A.",0,1)</f>
        <v>0</v>
      </c>
      <c r="AK256" s="6" t="str">
        <f>IF(Tab_Data_Flows[[#This Row],[Use_E6]]="Yes",Tab_Data_Flows[[#This Row],[E6_Fraction'[%']]]*Tab_Data_Flows[[#This Row],[E1_value]],"N.A.")</f>
        <v>N.A.</v>
      </c>
      <c r="AL256" s="6" t="str">
        <f>Tab_Data_Flows[[#This Row],[E1_UoM]]</f>
        <v>Mg</v>
      </c>
    </row>
    <row r="257" spans="1:38" x14ac:dyDescent="0.25">
      <c r="A257" s="8">
        <f t="shared" si="8"/>
        <v>256</v>
      </c>
      <c r="B257" s="6" t="str">
        <f>_xlfn.XLOOKUP(C257,Tab_Def_Flows[Flow_Name],Tab_Def_Flows[Flow_ID],,0,)</f>
        <v>F_01_09</v>
      </c>
      <c r="C257" s="138" t="s">
        <v>1239</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No</v>
      </c>
      <c r="I257" s="9" t="str">
        <f>_xlfn.XLOOKUP(C257,Tab_Def_Flows[Flow_Name],Tab_Def_Flows[Use_E6],,0,)</f>
        <v>No</v>
      </c>
      <c r="J257" s="7">
        <v>2078</v>
      </c>
      <c r="K257" s="21">
        <v>10000</v>
      </c>
      <c r="L257" s="6" t="str">
        <f>'0_Configuration'!$C$41</f>
        <v>Mg</v>
      </c>
      <c r="M257" s="13"/>
      <c r="N257" s="13"/>
      <c r="O257" s="13"/>
      <c r="P257" s="13"/>
      <c r="Q257" s="13"/>
      <c r="R257" s="7" t="s">
        <v>6</v>
      </c>
      <c r="S257" s="14"/>
      <c r="T257" s="7"/>
      <c r="U257" s="139">
        <f>_xlfn.XLOOKUP(Tab_Data_Flows[[#This Row],[Flow_Name]],Tab_Def_Flows[Flow_Name],Tab_Def_Flows[Flow_E1_Fraction'[%']],"N.A.",0,1)</f>
        <v>1</v>
      </c>
      <c r="V257" s="12">
        <f t="shared" si="7"/>
        <v>10000</v>
      </c>
      <c r="W257" s="6" t="str">
        <f>Tab_Data_Flows[[#This Row],[UoM_Source]]</f>
        <v>Mg</v>
      </c>
      <c r="X257" s="139">
        <f>_xlfn.XLOOKUP(Tab_Data_Flows[[#This Row],[Flow_Name]],Tab_Def_Flows[Flow_Name],Tab_Def_Flows[Flow_E2_Fraction'[%']],"N.A.",0,1)</f>
        <v>1</v>
      </c>
      <c r="Y257" s="6">
        <f>IF(D257="Yes",V257*Tab_Data_Flows[[#This Row],[E2_Fraction'[%']]],"N.A.")</f>
        <v>10000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IF(G257="Yes",Tab_Data_Flows[[#This Row],[E4_Fraction'[%']]]*Tab_Data_Flows[[#This Row],[E1_value]],"N.A.")</f>
        <v>0</v>
      </c>
      <c r="AF257" s="6" t="str">
        <f>Tab_Data_Flows[[#This Row],[E1_UoM]]</f>
        <v>Mg</v>
      </c>
      <c r="AG257" s="139">
        <f>_xlfn.XLOOKUP(Tab_Data_Flows[[#This Row],[Flow_Name]],Tab_Def_Flows[Flow_Name],Tab_Def_Flows[Flow_E5_Fraction'[%']],"N.A.",0,1)</f>
        <v>0</v>
      </c>
      <c r="AH257" s="6" t="str">
        <f>IF(H257="Yes",Tab_Data_Flows[[#This Row],[E5_Fraction'[%']]]*Tab_Data_Flows[[#This Row],[E1_value]],"N.A.")</f>
        <v>N.A.</v>
      </c>
      <c r="AI257" s="6" t="str">
        <f>Tab_Data_Flows[[#This Row],[E1_UoM]]</f>
        <v>Mg</v>
      </c>
      <c r="AJ257" s="139">
        <f>_xlfn.XLOOKUP(Tab_Data_Flows[[#This Row],[Flow_Name]],Tab_Def_Flows[Flow_Name],Tab_Def_Flows[Flow_E6_Fraction'[%']],"N.A.",0,1)</f>
        <v>0</v>
      </c>
      <c r="AK257" s="6" t="str">
        <f>IF(Tab_Data_Flows[[#This Row],[Use_E6]]="Yes",Tab_Data_Flows[[#This Row],[E6_Fraction'[%']]]*Tab_Data_Flows[[#This Row],[E1_value]],"N.A.")</f>
        <v>N.A.</v>
      </c>
      <c r="AL257" s="6" t="str">
        <f>Tab_Data_Flows[[#This Row],[E1_UoM]]</f>
        <v>Mg</v>
      </c>
    </row>
    <row r="258" spans="1:38" x14ac:dyDescent="0.25">
      <c r="A258" s="8">
        <f t="shared" si="8"/>
        <v>257</v>
      </c>
      <c r="B258" s="6" t="str">
        <f>_xlfn.XLOOKUP(C258,Tab_Def_Flows[Flow_Name],Tab_Def_Flows[Flow_ID],,0,)</f>
        <v>F_01_09</v>
      </c>
      <c r="C258" s="138" t="s">
        <v>1239</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No</v>
      </c>
      <c r="I258" s="9" t="str">
        <f>_xlfn.XLOOKUP(C258,Tab_Def_Flows[Flow_Name],Tab_Def_Flows[Use_E6],,0,)</f>
        <v>No</v>
      </c>
      <c r="J258" s="7">
        <v>2079</v>
      </c>
      <c r="K258" s="21">
        <v>10000</v>
      </c>
      <c r="L258" s="6" t="str">
        <f>'0_Configuration'!$C$41</f>
        <v>Mg</v>
      </c>
      <c r="M258" s="13"/>
      <c r="N258" s="13"/>
      <c r="O258" s="13"/>
      <c r="P258" s="13"/>
      <c r="Q258" s="13"/>
      <c r="R258" s="7" t="s">
        <v>6</v>
      </c>
      <c r="S258" s="14"/>
      <c r="T258" s="7"/>
      <c r="U258" s="139">
        <f>_xlfn.XLOOKUP(Tab_Data_Flows[[#This Row],[Flow_Name]],Tab_Def_Flows[Flow_Name],Tab_Def_Flows[Flow_E1_Fraction'[%']],"N.A.",0,1)</f>
        <v>1</v>
      </c>
      <c r="V258" s="12">
        <f t="shared" ref="V258:V321" si="9">IF(R258="no",K258,K258*S258)</f>
        <v>10000</v>
      </c>
      <c r="W258" s="6" t="str">
        <f>Tab_Data_Flows[[#This Row],[UoM_Source]]</f>
        <v>Mg</v>
      </c>
      <c r="X258" s="139">
        <f>_xlfn.XLOOKUP(Tab_Data_Flows[[#This Row],[Flow_Name]],Tab_Def_Flows[Flow_Name],Tab_Def_Flows[Flow_E2_Fraction'[%']],"N.A.",0,1)</f>
        <v>1</v>
      </c>
      <c r="Y258" s="6">
        <f>IF(D258="Yes",V258*Tab_Data_Flows[[#This Row],[E2_Fraction'[%']]],"N.A.")</f>
        <v>10000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IF(G258="Yes",Tab_Data_Flows[[#This Row],[E4_Fraction'[%']]]*Tab_Data_Flows[[#This Row],[E1_value]],"N.A.")</f>
        <v>0</v>
      </c>
      <c r="AF258" s="6" t="str">
        <f>Tab_Data_Flows[[#This Row],[E1_UoM]]</f>
        <v>Mg</v>
      </c>
      <c r="AG258" s="139">
        <f>_xlfn.XLOOKUP(Tab_Data_Flows[[#This Row],[Flow_Name]],Tab_Def_Flows[Flow_Name],Tab_Def_Flows[Flow_E5_Fraction'[%']],"N.A.",0,1)</f>
        <v>0</v>
      </c>
      <c r="AH258" s="6" t="str">
        <f>IF(H258="Yes",Tab_Data_Flows[[#This Row],[E5_Fraction'[%']]]*Tab_Data_Flows[[#This Row],[E1_value]],"N.A.")</f>
        <v>N.A.</v>
      </c>
      <c r="AI258" s="6" t="str">
        <f>Tab_Data_Flows[[#This Row],[E1_UoM]]</f>
        <v>Mg</v>
      </c>
      <c r="AJ258" s="139">
        <f>_xlfn.XLOOKUP(Tab_Data_Flows[[#This Row],[Flow_Name]],Tab_Def_Flows[Flow_Name],Tab_Def_Flows[Flow_E6_Fraction'[%']],"N.A.",0,1)</f>
        <v>0</v>
      </c>
      <c r="AK258" s="6" t="str">
        <f>IF(Tab_Data_Flows[[#This Row],[Use_E6]]="Yes",Tab_Data_Flows[[#This Row],[E6_Fraction'[%']]]*Tab_Data_Flows[[#This Row],[E1_value]],"N.A.")</f>
        <v>N.A.</v>
      </c>
      <c r="AL258" s="6" t="str">
        <f>Tab_Data_Flows[[#This Row],[E1_UoM]]</f>
        <v>Mg</v>
      </c>
    </row>
    <row r="259" spans="1:38" x14ac:dyDescent="0.25">
      <c r="A259" s="8">
        <f t="shared" ref="A259:A322" si="10">ROW()-1</f>
        <v>258</v>
      </c>
      <c r="B259" s="6" t="str">
        <f>_xlfn.XLOOKUP(C259,Tab_Def_Flows[Flow_Name],Tab_Def_Flows[Flow_ID],,0,)</f>
        <v>F_01_09</v>
      </c>
      <c r="C259" s="138" t="s">
        <v>1239</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No</v>
      </c>
      <c r="I259" s="9" t="str">
        <f>_xlfn.XLOOKUP(C259,Tab_Def_Flows[Flow_Name],Tab_Def_Flows[Use_E6],,0,)</f>
        <v>No</v>
      </c>
      <c r="J259" s="7">
        <v>2080</v>
      </c>
      <c r="K259" s="21">
        <v>10000</v>
      </c>
      <c r="L259" s="6" t="str">
        <f>'0_Configuration'!$C$41</f>
        <v>Mg</v>
      </c>
      <c r="M259" s="13"/>
      <c r="N259" s="13"/>
      <c r="O259" s="13"/>
      <c r="P259" s="13"/>
      <c r="Q259" s="13"/>
      <c r="R259" s="7" t="s">
        <v>6</v>
      </c>
      <c r="S259" s="14"/>
      <c r="T259" s="7"/>
      <c r="U259" s="139">
        <f>_xlfn.XLOOKUP(Tab_Data_Flows[[#This Row],[Flow_Name]],Tab_Def_Flows[Flow_Name],Tab_Def_Flows[Flow_E1_Fraction'[%']],"N.A.",0,1)</f>
        <v>1</v>
      </c>
      <c r="V259" s="12">
        <f t="shared" si="9"/>
        <v>10000</v>
      </c>
      <c r="W259" s="6" t="str">
        <f>Tab_Data_Flows[[#This Row],[UoM_Source]]</f>
        <v>Mg</v>
      </c>
      <c r="X259" s="139">
        <f>_xlfn.XLOOKUP(Tab_Data_Flows[[#This Row],[Flow_Name]],Tab_Def_Flows[Flow_Name],Tab_Def_Flows[Flow_E2_Fraction'[%']],"N.A.",0,1)</f>
        <v>1</v>
      </c>
      <c r="Y259" s="6">
        <f>IF(D259="Yes",V259*Tab_Data_Flows[[#This Row],[E2_Fraction'[%']]],"N.A.")</f>
        <v>10000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IF(G259="Yes",Tab_Data_Flows[[#This Row],[E4_Fraction'[%']]]*Tab_Data_Flows[[#This Row],[E1_value]],"N.A.")</f>
        <v>0</v>
      </c>
      <c r="AF259" s="6" t="str">
        <f>Tab_Data_Flows[[#This Row],[E1_UoM]]</f>
        <v>Mg</v>
      </c>
      <c r="AG259" s="139">
        <f>_xlfn.XLOOKUP(Tab_Data_Flows[[#This Row],[Flow_Name]],Tab_Def_Flows[Flow_Name],Tab_Def_Flows[Flow_E5_Fraction'[%']],"N.A.",0,1)</f>
        <v>0</v>
      </c>
      <c r="AH259" s="6" t="str">
        <f>IF(H259="Yes",Tab_Data_Flows[[#This Row],[E5_Fraction'[%']]]*Tab_Data_Flows[[#This Row],[E1_value]],"N.A.")</f>
        <v>N.A.</v>
      </c>
      <c r="AI259" s="6" t="str">
        <f>Tab_Data_Flows[[#This Row],[E1_UoM]]</f>
        <v>Mg</v>
      </c>
      <c r="AJ259" s="139">
        <f>_xlfn.XLOOKUP(Tab_Data_Flows[[#This Row],[Flow_Name]],Tab_Def_Flows[Flow_Name],Tab_Def_Flows[Flow_E6_Fraction'[%']],"N.A.",0,1)</f>
        <v>0</v>
      </c>
      <c r="AK259" s="6" t="str">
        <f>IF(Tab_Data_Flows[[#This Row],[Use_E6]]="Yes",Tab_Data_Flows[[#This Row],[E6_Fraction'[%']]]*Tab_Data_Flows[[#This Row],[E1_value]],"N.A.")</f>
        <v>N.A.</v>
      </c>
      <c r="AL259" s="6" t="str">
        <f>Tab_Data_Flows[[#This Row],[E1_UoM]]</f>
        <v>Mg</v>
      </c>
    </row>
    <row r="260" spans="1:38" x14ac:dyDescent="0.25">
      <c r="A260" s="8">
        <f t="shared" si="10"/>
        <v>259</v>
      </c>
      <c r="B260" s="6" t="str">
        <f>_xlfn.XLOOKUP(C260,Tab_Def_Flows[Flow_Name],Tab_Def_Flows[Flow_ID],,0,)</f>
        <v>F_01_09</v>
      </c>
      <c r="C260" s="138" t="s">
        <v>1239</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No</v>
      </c>
      <c r="I260" s="9" t="str">
        <f>_xlfn.XLOOKUP(C260,Tab_Def_Flows[Flow_Name],Tab_Def_Flows[Use_E6],,0,)</f>
        <v>No</v>
      </c>
      <c r="J260" s="7">
        <v>2081</v>
      </c>
      <c r="K260" s="21">
        <v>10000</v>
      </c>
      <c r="L260" s="6" t="str">
        <f>'0_Configuration'!$C$41</f>
        <v>Mg</v>
      </c>
      <c r="M260" s="13"/>
      <c r="N260" s="13"/>
      <c r="O260" s="13"/>
      <c r="P260" s="13"/>
      <c r="Q260" s="13"/>
      <c r="R260" s="7" t="s">
        <v>6</v>
      </c>
      <c r="S260" s="14"/>
      <c r="T260" s="7"/>
      <c r="U260" s="139">
        <f>_xlfn.XLOOKUP(Tab_Data_Flows[[#This Row],[Flow_Name]],Tab_Def_Flows[Flow_Name],Tab_Def_Flows[Flow_E1_Fraction'[%']],"N.A.",0,1)</f>
        <v>1</v>
      </c>
      <c r="V260" s="12">
        <f t="shared" si="9"/>
        <v>10000</v>
      </c>
      <c r="W260" s="6" t="str">
        <f>Tab_Data_Flows[[#This Row],[UoM_Source]]</f>
        <v>Mg</v>
      </c>
      <c r="X260" s="139">
        <f>_xlfn.XLOOKUP(Tab_Data_Flows[[#This Row],[Flow_Name]],Tab_Def_Flows[Flow_Name],Tab_Def_Flows[Flow_E2_Fraction'[%']],"N.A.",0,1)</f>
        <v>1</v>
      </c>
      <c r="Y260" s="6">
        <f>IF(D260="Yes",V260*Tab_Data_Flows[[#This Row],[E2_Fraction'[%']]],"N.A.")</f>
        <v>10000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IF(G260="Yes",Tab_Data_Flows[[#This Row],[E4_Fraction'[%']]]*Tab_Data_Flows[[#This Row],[E1_value]],"N.A.")</f>
        <v>0</v>
      </c>
      <c r="AF260" s="6" t="str">
        <f>Tab_Data_Flows[[#This Row],[E1_UoM]]</f>
        <v>Mg</v>
      </c>
      <c r="AG260" s="139">
        <f>_xlfn.XLOOKUP(Tab_Data_Flows[[#This Row],[Flow_Name]],Tab_Def_Flows[Flow_Name],Tab_Def_Flows[Flow_E5_Fraction'[%']],"N.A.",0,1)</f>
        <v>0</v>
      </c>
      <c r="AH260" s="6" t="str">
        <f>IF(H260="Yes",Tab_Data_Flows[[#This Row],[E5_Fraction'[%']]]*Tab_Data_Flows[[#This Row],[E1_value]],"N.A.")</f>
        <v>N.A.</v>
      </c>
      <c r="AI260" s="6" t="str">
        <f>Tab_Data_Flows[[#This Row],[E1_UoM]]</f>
        <v>Mg</v>
      </c>
      <c r="AJ260" s="139">
        <f>_xlfn.XLOOKUP(Tab_Data_Flows[[#This Row],[Flow_Name]],Tab_Def_Flows[Flow_Name],Tab_Def_Flows[Flow_E6_Fraction'[%']],"N.A.",0,1)</f>
        <v>0</v>
      </c>
      <c r="AK260" s="6" t="str">
        <f>IF(Tab_Data_Flows[[#This Row],[Use_E6]]="Yes",Tab_Data_Flows[[#This Row],[E6_Fraction'[%']]]*Tab_Data_Flows[[#This Row],[E1_value]],"N.A.")</f>
        <v>N.A.</v>
      </c>
      <c r="AL260" s="6" t="str">
        <f>Tab_Data_Flows[[#This Row],[E1_UoM]]</f>
        <v>Mg</v>
      </c>
    </row>
    <row r="261" spans="1:38" x14ac:dyDescent="0.25">
      <c r="A261" s="8">
        <f t="shared" si="10"/>
        <v>260</v>
      </c>
      <c r="B261" s="6" t="str">
        <f>_xlfn.XLOOKUP(C261,Tab_Def_Flows[Flow_Name],Tab_Def_Flows[Flow_ID],,0,)</f>
        <v>F_01_09</v>
      </c>
      <c r="C261" s="138" t="s">
        <v>1239</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No</v>
      </c>
      <c r="I261" s="9" t="str">
        <f>_xlfn.XLOOKUP(C261,Tab_Def_Flows[Flow_Name],Tab_Def_Flows[Use_E6],,0,)</f>
        <v>No</v>
      </c>
      <c r="J261" s="7">
        <v>2082</v>
      </c>
      <c r="K261" s="21">
        <v>10000</v>
      </c>
      <c r="L261" s="6" t="str">
        <f>'0_Configuration'!$C$41</f>
        <v>Mg</v>
      </c>
      <c r="M261" s="13"/>
      <c r="N261" s="13"/>
      <c r="O261" s="13"/>
      <c r="P261" s="13"/>
      <c r="Q261" s="13"/>
      <c r="R261" s="7" t="s">
        <v>6</v>
      </c>
      <c r="S261" s="14"/>
      <c r="T261" s="7"/>
      <c r="U261" s="139">
        <f>_xlfn.XLOOKUP(Tab_Data_Flows[[#This Row],[Flow_Name]],Tab_Def_Flows[Flow_Name],Tab_Def_Flows[Flow_E1_Fraction'[%']],"N.A.",0,1)</f>
        <v>1</v>
      </c>
      <c r="V261" s="12">
        <f t="shared" si="9"/>
        <v>10000</v>
      </c>
      <c r="W261" s="6" t="str">
        <f>Tab_Data_Flows[[#This Row],[UoM_Source]]</f>
        <v>Mg</v>
      </c>
      <c r="X261" s="139">
        <f>_xlfn.XLOOKUP(Tab_Data_Flows[[#This Row],[Flow_Name]],Tab_Def_Flows[Flow_Name],Tab_Def_Flows[Flow_E2_Fraction'[%']],"N.A.",0,1)</f>
        <v>1</v>
      </c>
      <c r="Y261" s="6">
        <f>IF(D261="Yes",V261*Tab_Data_Flows[[#This Row],[E2_Fraction'[%']]],"N.A.")</f>
        <v>10000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IF(G261="Yes",Tab_Data_Flows[[#This Row],[E4_Fraction'[%']]]*Tab_Data_Flows[[#This Row],[E1_value]],"N.A.")</f>
        <v>0</v>
      </c>
      <c r="AF261" s="6" t="str">
        <f>Tab_Data_Flows[[#This Row],[E1_UoM]]</f>
        <v>Mg</v>
      </c>
      <c r="AG261" s="139">
        <f>_xlfn.XLOOKUP(Tab_Data_Flows[[#This Row],[Flow_Name]],Tab_Def_Flows[Flow_Name],Tab_Def_Flows[Flow_E5_Fraction'[%']],"N.A.",0,1)</f>
        <v>0</v>
      </c>
      <c r="AH261" s="6" t="str">
        <f>IF(H261="Yes",Tab_Data_Flows[[#This Row],[E5_Fraction'[%']]]*Tab_Data_Flows[[#This Row],[E1_value]],"N.A.")</f>
        <v>N.A.</v>
      </c>
      <c r="AI261" s="6" t="str">
        <f>Tab_Data_Flows[[#This Row],[E1_UoM]]</f>
        <v>Mg</v>
      </c>
      <c r="AJ261" s="139">
        <f>_xlfn.XLOOKUP(Tab_Data_Flows[[#This Row],[Flow_Name]],Tab_Def_Flows[Flow_Name],Tab_Def_Flows[Flow_E6_Fraction'[%']],"N.A.",0,1)</f>
        <v>0</v>
      </c>
      <c r="AK261" s="6" t="str">
        <f>IF(Tab_Data_Flows[[#This Row],[Use_E6]]="Yes",Tab_Data_Flows[[#This Row],[E6_Fraction'[%']]]*Tab_Data_Flows[[#This Row],[E1_value]],"N.A.")</f>
        <v>N.A.</v>
      </c>
      <c r="AL261" s="6" t="str">
        <f>Tab_Data_Flows[[#This Row],[E1_UoM]]</f>
        <v>Mg</v>
      </c>
    </row>
    <row r="262" spans="1:38" x14ac:dyDescent="0.25">
      <c r="A262" s="8">
        <f t="shared" si="10"/>
        <v>261</v>
      </c>
      <c r="B262" s="6" t="str">
        <f>_xlfn.XLOOKUP(C262,Tab_Def_Flows[Flow_Name],Tab_Def_Flows[Flow_ID],,0,)</f>
        <v>F_01_09</v>
      </c>
      <c r="C262" s="138" t="s">
        <v>1239</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No</v>
      </c>
      <c r="I262" s="9" t="str">
        <f>_xlfn.XLOOKUP(C262,Tab_Def_Flows[Flow_Name],Tab_Def_Flows[Use_E6],,0,)</f>
        <v>No</v>
      </c>
      <c r="J262" s="7">
        <v>2083</v>
      </c>
      <c r="K262" s="21">
        <v>10000</v>
      </c>
      <c r="L262" s="6" t="str">
        <f>'0_Configuration'!$C$41</f>
        <v>Mg</v>
      </c>
      <c r="M262" s="13"/>
      <c r="N262" s="13"/>
      <c r="O262" s="13"/>
      <c r="P262" s="13"/>
      <c r="Q262" s="13"/>
      <c r="R262" s="7" t="s">
        <v>6</v>
      </c>
      <c r="S262" s="14"/>
      <c r="T262" s="7"/>
      <c r="U262" s="139">
        <f>_xlfn.XLOOKUP(Tab_Data_Flows[[#This Row],[Flow_Name]],Tab_Def_Flows[Flow_Name],Tab_Def_Flows[Flow_E1_Fraction'[%']],"N.A.",0,1)</f>
        <v>1</v>
      </c>
      <c r="V262" s="12">
        <f t="shared" si="9"/>
        <v>10000</v>
      </c>
      <c r="W262" s="6" t="str">
        <f>Tab_Data_Flows[[#This Row],[UoM_Source]]</f>
        <v>Mg</v>
      </c>
      <c r="X262" s="139">
        <f>_xlfn.XLOOKUP(Tab_Data_Flows[[#This Row],[Flow_Name]],Tab_Def_Flows[Flow_Name],Tab_Def_Flows[Flow_E2_Fraction'[%']],"N.A.",0,1)</f>
        <v>1</v>
      </c>
      <c r="Y262" s="6">
        <f>IF(D262="Yes",V262*Tab_Data_Flows[[#This Row],[E2_Fraction'[%']]],"N.A.")</f>
        <v>10000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IF(G262="Yes",Tab_Data_Flows[[#This Row],[E4_Fraction'[%']]]*Tab_Data_Flows[[#This Row],[E1_value]],"N.A.")</f>
        <v>0</v>
      </c>
      <c r="AF262" s="6" t="str">
        <f>Tab_Data_Flows[[#This Row],[E1_UoM]]</f>
        <v>Mg</v>
      </c>
      <c r="AG262" s="139">
        <f>_xlfn.XLOOKUP(Tab_Data_Flows[[#This Row],[Flow_Name]],Tab_Def_Flows[Flow_Name],Tab_Def_Flows[Flow_E5_Fraction'[%']],"N.A.",0,1)</f>
        <v>0</v>
      </c>
      <c r="AH262" s="6" t="str">
        <f>IF(H262="Yes",Tab_Data_Flows[[#This Row],[E5_Fraction'[%']]]*Tab_Data_Flows[[#This Row],[E1_value]],"N.A.")</f>
        <v>N.A.</v>
      </c>
      <c r="AI262" s="6" t="str">
        <f>Tab_Data_Flows[[#This Row],[E1_UoM]]</f>
        <v>Mg</v>
      </c>
      <c r="AJ262" s="139">
        <f>_xlfn.XLOOKUP(Tab_Data_Flows[[#This Row],[Flow_Name]],Tab_Def_Flows[Flow_Name],Tab_Def_Flows[Flow_E6_Fraction'[%']],"N.A.",0,1)</f>
        <v>0</v>
      </c>
      <c r="AK262" s="6" t="str">
        <f>IF(Tab_Data_Flows[[#This Row],[Use_E6]]="Yes",Tab_Data_Flows[[#This Row],[E6_Fraction'[%']]]*Tab_Data_Flows[[#This Row],[E1_value]],"N.A.")</f>
        <v>N.A.</v>
      </c>
      <c r="AL262" s="6" t="str">
        <f>Tab_Data_Flows[[#This Row],[E1_UoM]]</f>
        <v>Mg</v>
      </c>
    </row>
    <row r="263" spans="1:38" x14ac:dyDescent="0.25">
      <c r="A263" s="8">
        <f t="shared" si="10"/>
        <v>262</v>
      </c>
      <c r="B263" s="6" t="str">
        <f>_xlfn.XLOOKUP(C263,Tab_Def_Flows[Flow_Name],Tab_Def_Flows[Flow_ID],,0,)</f>
        <v>F_01_09</v>
      </c>
      <c r="C263" s="138" t="s">
        <v>1239</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No</v>
      </c>
      <c r="I263" s="9" t="str">
        <f>_xlfn.XLOOKUP(C263,Tab_Def_Flows[Flow_Name],Tab_Def_Flows[Use_E6],,0,)</f>
        <v>No</v>
      </c>
      <c r="J263" s="7">
        <v>2084</v>
      </c>
      <c r="K263" s="21">
        <v>10000</v>
      </c>
      <c r="L263" s="6" t="str">
        <f>'0_Configuration'!$C$41</f>
        <v>Mg</v>
      </c>
      <c r="M263" s="13"/>
      <c r="N263" s="13"/>
      <c r="O263" s="13"/>
      <c r="P263" s="13"/>
      <c r="Q263" s="13"/>
      <c r="R263" s="7" t="s">
        <v>6</v>
      </c>
      <c r="S263" s="14"/>
      <c r="T263" s="7"/>
      <c r="U263" s="139">
        <f>_xlfn.XLOOKUP(Tab_Data_Flows[[#This Row],[Flow_Name]],Tab_Def_Flows[Flow_Name],Tab_Def_Flows[Flow_E1_Fraction'[%']],"N.A.",0,1)</f>
        <v>1</v>
      </c>
      <c r="V263" s="12">
        <f t="shared" si="9"/>
        <v>10000</v>
      </c>
      <c r="W263" s="6" t="str">
        <f>Tab_Data_Flows[[#This Row],[UoM_Source]]</f>
        <v>Mg</v>
      </c>
      <c r="X263" s="139">
        <f>_xlfn.XLOOKUP(Tab_Data_Flows[[#This Row],[Flow_Name]],Tab_Def_Flows[Flow_Name],Tab_Def_Flows[Flow_E2_Fraction'[%']],"N.A.",0,1)</f>
        <v>1</v>
      </c>
      <c r="Y263" s="6">
        <f>IF(D263="Yes",V263*Tab_Data_Flows[[#This Row],[E2_Fraction'[%']]],"N.A.")</f>
        <v>10000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IF(G263="Yes",Tab_Data_Flows[[#This Row],[E4_Fraction'[%']]]*Tab_Data_Flows[[#This Row],[E1_value]],"N.A.")</f>
        <v>0</v>
      </c>
      <c r="AF263" s="6" t="str">
        <f>Tab_Data_Flows[[#This Row],[E1_UoM]]</f>
        <v>Mg</v>
      </c>
      <c r="AG263" s="139">
        <f>_xlfn.XLOOKUP(Tab_Data_Flows[[#This Row],[Flow_Name]],Tab_Def_Flows[Flow_Name],Tab_Def_Flows[Flow_E5_Fraction'[%']],"N.A.",0,1)</f>
        <v>0</v>
      </c>
      <c r="AH263" s="6" t="str">
        <f>IF(H263="Yes",Tab_Data_Flows[[#This Row],[E5_Fraction'[%']]]*Tab_Data_Flows[[#This Row],[E1_value]],"N.A.")</f>
        <v>N.A.</v>
      </c>
      <c r="AI263" s="6" t="str">
        <f>Tab_Data_Flows[[#This Row],[E1_UoM]]</f>
        <v>Mg</v>
      </c>
      <c r="AJ263" s="139">
        <f>_xlfn.XLOOKUP(Tab_Data_Flows[[#This Row],[Flow_Name]],Tab_Def_Flows[Flow_Name],Tab_Def_Flows[Flow_E6_Fraction'[%']],"N.A.",0,1)</f>
        <v>0</v>
      </c>
      <c r="AK263" s="6" t="str">
        <f>IF(Tab_Data_Flows[[#This Row],[Use_E6]]="Yes",Tab_Data_Flows[[#This Row],[E6_Fraction'[%']]]*Tab_Data_Flows[[#This Row],[E1_value]],"N.A.")</f>
        <v>N.A.</v>
      </c>
      <c r="AL263" s="6" t="str">
        <f>Tab_Data_Flows[[#This Row],[E1_UoM]]</f>
        <v>Mg</v>
      </c>
    </row>
    <row r="264" spans="1:38" x14ac:dyDescent="0.25">
      <c r="A264" s="8">
        <f t="shared" si="10"/>
        <v>263</v>
      </c>
      <c r="B264" s="6" t="str">
        <f>_xlfn.XLOOKUP(C264,Tab_Def_Flows[Flow_Name],Tab_Def_Flows[Flow_ID],,0,)</f>
        <v>F_01_09</v>
      </c>
      <c r="C264" s="138" t="s">
        <v>1239</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No</v>
      </c>
      <c r="I264" s="9" t="str">
        <f>_xlfn.XLOOKUP(C264,Tab_Def_Flows[Flow_Name],Tab_Def_Flows[Use_E6],,0,)</f>
        <v>No</v>
      </c>
      <c r="J264" s="7">
        <v>2085</v>
      </c>
      <c r="K264" s="21">
        <v>10000</v>
      </c>
      <c r="L264" s="6" t="str">
        <f>'0_Configuration'!$C$41</f>
        <v>Mg</v>
      </c>
      <c r="M264" s="13"/>
      <c r="N264" s="13"/>
      <c r="O264" s="13"/>
      <c r="P264" s="13"/>
      <c r="Q264" s="13"/>
      <c r="R264" s="7" t="s">
        <v>6</v>
      </c>
      <c r="S264" s="14"/>
      <c r="T264" s="7"/>
      <c r="U264" s="139">
        <f>_xlfn.XLOOKUP(Tab_Data_Flows[[#This Row],[Flow_Name]],Tab_Def_Flows[Flow_Name],Tab_Def_Flows[Flow_E1_Fraction'[%']],"N.A.",0,1)</f>
        <v>1</v>
      </c>
      <c r="V264" s="12">
        <f t="shared" si="9"/>
        <v>10000</v>
      </c>
      <c r="W264" s="6" t="str">
        <f>Tab_Data_Flows[[#This Row],[UoM_Source]]</f>
        <v>Mg</v>
      </c>
      <c r="X264" s="139">
        <f>_xlfn.XLOOKUP(Tab_Data_Flows[[#This Row],[Flow_Name]],Tab_Def_Flows[Flow_Name],Tab_Def_Flows[Flow_E2_Fraction'[%']],"N.A.",0,1)</f>
        <v>1</v>
      </c>
      <c r="Y264" s="6">
        <f>IF(D264="Yes",V264*Tab_Data_Flows[[#This Row],[E2_Fraction'[%']]],"N.A.")</f>
        <v>10000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IF(G264="Yes",Tab_Data_Flows[[#This Row],[E4_Fraction'[%']]]*Tab_Data_Flows[[#This Row],[E1_value]],"N.A.")</f>
        <v>0</v>
      </c>
      <c r="AF264" s="6" t="str">
        <f>Tab_Data_Flows[[#This Row],[E1_UoM]]</f>
        <v>Mg</v>
      </c>
      <c r="AG264" s="139">
        <f>_xlfn.XLOOKUP(Tab_Data_Flows[[#This Row],[Flow_Name]],Tab_Def_Flows[Flow_Name],Tab_Def_Flows[Flow_E5_Fraction'[%']],"N.A.",0,1)</f>
        <v>0</v>
      </c>
      <c r="AH264" s="6" t="str">
        <f>IF(H264="Yes",Tab_Data_Flows[[#This Row],[E5_Fraction'[%']]]*Tab_Data_Flows[[#This Row],[E1_value]],"N.A.")</f>
        <v>N.A.</v>
      </c>
      <c r="AI264" s="6" t="str">
        <f>Tab_Data_Flows[[#This Row],[E1_UoM]]</f>
        <v>Mg</v>
      </c>
      <c r="AJ264" s="139">
        <f>_xlfn.XLOOKUP(Tab_Data_Flows[[#This Row],[Flow_Name]],Tab_Def_Flows[Flow_Name],Tab_Def_Flows[Flow_E6_Fraction'[%']],"N.A.",0,1)</f>
        <v>0</v>
      </c>
      <c r="AK264" s="6" t="str">
        <f>IF(Tab_Data_Flows[[#This Row],[Use_E6]]="Yes",Tab_Data_Flows[[#This Row],[E6_Fraction'[%']]]*Tab_Data_Flows[[#This Row],[E1_value]],"N.A.")</f>
        <v>N.A.</v>
      </c>
      <c r="AL264" s="6" t="str">
        <f>Tab_Data_Flows[[#This Row],[E1_UoM]]</f>
        <v>Mg</v>
      </c>
    </row>
    <row r="265" spans="1:38" x14ac:dyDescent="0.25">
      <c r="A265" s="8">
        <f t="shared" si="10"/>
        <v>264</v>
      </c>
      <c r="B265" s="6" t="str">
        <f>_xlfn.XLOOKUP(C265,Tab_Def_Flows[Flow_Name],Tab_Def_Flows[Flow_ID],,0,)</f>
        <v>F_01_09</v>
      </c>
      <c r="C265" s="138" t="s">
        <v>1239</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No</v>
      </c>
      <c r="I265" s="9" t="str">
        <f>_xlfn.XLOOKUP(C265,Tab_Def_Flows[Flow_Name],Tab_Def_Flows[Use_E6],,0,)</f>
        <v>No</v>
      </c>
      <c r="J265" s="7">
        <v>2086</v>
      </c>
      <c r="K265" s="21">
        <v>10000</v>
      </c>
      <c r="L265" s="6" t="str">
        <f>'0_Configuration'!$C$41</f>
        <v>Mg</v>
      </c>
      <c r="M265" s="13"/>
      <c r="N265" s="13"/>
      <c r="O265" s="13"/>
      <c r="P265" s="13"/>
      <c r="Q265" s="13"/>
      <c r="R265" s="7" t="s">
        <v>6</v>
      </c>
      <c r="S265" s="14"/>
      <c r="T265" s="7"/>
      <c r="U265" s="139">
        <f>_xlfn.XLOOKUP(Tab_Data_Flows[[#This Row],[Flow_Name]],Tab_Def_Flows[Flow_Name],Tab_Def_Flows[Flow_E1_Fraction'[%']],"N.A.",0,1)</f>
        <v>1</v>
      </c>
      <c r="V265" s="12">
        <f t="shared" si="9"/>
        <v>10000</v>
      </c>
      <c r="W265" s="6" t="str">
        <f>Tab_Data_Flows[[#This Row],[UoM_Source]]</f>
        <v>Mg</v>
      </c>
      <c r="X265" s="139">
        <f>_xlfn.XLOOKUP(Tab_Data_Flows[[#This Row],[Flow_Name]],Tab_Def_Flows[Flow_Name],Tab_Def_Flows[Flow_E2_Fraction'[%']],"N.A.",0,1)</f>
        <v>1</v>
      </c>
      <c r="Y265" s="6">
        <f>IF(D265="Yes",V265*Tab_Data_Flows[[#This Row],[E2_Fraction'[%']]],"N.A.")</f>
        <v>10000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IF(G265="Yes",Tab_Data_Flows[[#This Row],[E4_Fraction'[%']]]*Tab_Data_Flows[[#This Row],[E1_value]],"N.A.")</f>
        <v>0</v>
      </c>
      <c r="AF265" s="6" t="str">
        <f>Tab_Data_Flows[[#This Row],[E1_UoM]]</f>
        <v>Mg</v>
      </c>
      <c r="AG265" s="139">
        <f>_xlfn.XLOOKUP(Tab_Data_Flows[[#This Row],[Flow_Name]],Tab_Def_Flows[Flow_Name],Tab_Def_Flows[Flow_E5_Fraction'[%']],"N.A.",0,1)</f>
        <v>0</v>
      </c>
      <c r="AH265" s="6" t="str">
        <f>IF(H265="Yes",Tab_Data_Flows[[#This Row],[E5_Fraction'[%']]]*Tab_Data_Flows[[#This Row],[E1_value]],"N.A.")</f>
        <v>N.A.</v>
      </c>
      <c r="AI265" s="6" t="str">
        <f>Tab_Data_Flows[[#This Row],[E1_UoM]]</f>
        <v>Mg</v>
      </c>
      <c r="AJ265" s="139">
        <f>_xlfn.XLOOKUP(Tab_Data_Flows[[#This Row],[Flow_Name]],Tab_Def_Flows[Flow_Name],Tab_Def_Flows[Flow_E6_Fraction'[%']],"N.A.",0,1)</f>
        <v>0</v>
      </c>
      <c r="AK265" s="6" t="str">
        <f>IF(Tab_Data_Flows[[#This Row],[Use_E6]]="Yes",Tab_Data_Flows[[#This Row],[E6_Fraction'[%']]]*Tab_Data_Flows[[#This Row],[E1_value]],"N.A.")</f>
        <v>N.A.</v>
      </c>
      <c r="AL265" s="6" t="str">
        <f>Tab_Data_Flows[[#This Row],[E1_UoM]]</f>
        <v>Mg</v>
      </c>
    </row>
    <row r="266" spans="1:38" x14ac:dyDescent="0.25">
      <c r="A266" s="8">
        <f t="shared" si="10"/>
        <v>265</v>
      </c>
      <c r="B266" s="6" t="str">
        <f>_xlfn.XLOOKUP(C266,Tab_Def_Flows[Flow_Name],Tab_Def_Flows[Flow_ID],,0,)</f>
        <v>F_01_09</v>
      </c>
      <c r="C266" s="138" t="s">
        <v>1239</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No</v>
      </c>
      <c r="I266" s="9" t="str">
        <f>_xlfn.XLOOKUP(C266,Tab_Def_Flows[Flow_Name],Tab_Def_Flows[Use_E6],,0,)</f>
        <v>No</v>
      </c>
      <c r="J266" s="7">
        <v>2087</v>
      </c>
      <c r="K266" s="21">
        <v>10000</v>
      </c>
      <c r="L266" s="6" t="str">
        <f>'0_Configuration'!$C$41</f>
        <v>Mg</v>
      </c>
      <c r="M266" s="13"/>
      <c r="N266" s="13"/>
      <c r="O266" s="13"/>
      <c r="P266" s="13"/>
      <c r="Q266" s="13"/>
      <c r="R266" s="7" t="s">
        <v>6</v>
      </c>
      <c r="S266" s="14"/>
      <c r="T266" s="7"/>
      <c r="U266" s="139">
        <f>_xlfn.XLOOKUP(Tab_Data_Flows[[#This Row],[Flow_Name]],Tab_Def_Flows[Flow_Name],Tab_Def_Flows[Flow_E1_Fraction'[%']],"N.A.",0,1)</f>
        <v>1</v>
      </c>
      <c r="V266" s="12">
        <f t="shared" si="9"/>
        <v>10000</v>
      </c>
      <c r="W266" s="6" t="str">
        <f>Tab_Data_Flows[[#This Row],[UoM_Source]]</f>
        <v>Mg</v>
      </c>
      <c r="X266" s="139">
        <f>_xlfn.XLOOKUP(Tab_Data_Flows[[#This Row],[Flow_Name]],Tab_Def_Flows[Flow_Name],Tab_Def_Flows[Flow_E2_Fraction'[%']],"N.A.",0,1)</f>
        <v>1</v>
      </c>
      <c r="Y266" s="6">
        <f>IF(D266="Yes",V266*Tab_Data_Flows[[#This Row],[E2_Fraction'[%']]],"N.A.")</f>
        <v>10000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IF(G266="Yes",Tab_Data_Flows[[#This Row],[E4_Fraction'[%']]]*Tab_Data_Flows[[#This Row],[E1_value]],"N.A.")</f>
        <v>0</v>
      </c>
      <c r="AF266" s="6" t="str">
        <f>Tab_Data_Flows[[#This Row],[E1_UoM]]</f>
        <v>Mg</v>
      </c>
      <c r="AG266" s="139">
        <f>_xlfn.XLOOKUP(Tab_Data_Flows[[#This Row],[Flow_Name]],Tab_Def_Flows[Flow_Name],Tab_Def_Flows[Flow_E5_Fraction'[%']],"N.A.",0,1)</f>
        <v>0</v>
      </c>
      <c r="AH266" s="6" t="str">
        <f>IF(H266="Yes",Tab_Data_Flows[[#This Row],[E5_Fraction'[%']]]*Tab_Data_Flows[[#This Row],[E1_value]],"N.A.")</f>
        <v>N.A.</v>
      </c>
      <c r="AI266" s="6" t="str">
        <f>Tab_Data_Flows[[#This Row],[E1_UoM]]</f>
        <v>Mg</v>
      </c>
      <c r="AJ266" s="139">
        <f>_xlfn.XLOOKUP(Tab_Data_Flows[[#This Row],[Flow_Name]],Tab_Def_Flows[Flow_Name],Tab_Def_Flows[Flow_E6_Fraction'[%']],"N.A.",0,1)</f>
        <v>0</v>
      </c>
      <c r="AK266" s="6" t="str">
        <f>IF(Tab_Data_Flows[[#This Row],[Use_E6]]="Yes",Tab_Data_Flows[[#This Row],[E6_Fraction'[%']]]*Tab_Data_Flows[[#This Row],[E1_value]],"N.A.")</f>
        <v>N.A.</v>
      </c>
      <c r="AL266" s="6" t="str">
        <f>Tab_Data_Flows[[#This Row],[E1_UoM]]</f>
        <v>Mg</v>
      </c>
    </row>
    <row r="267" spans="1:38" x14ac:dyDescent="0.25">
      <c r="A267" s="8">
        <f t="shared" si="10"/>
        <v>266</v>
      </c>
      <c r="B267" s="6" t="str">
        <f>_xlfn.XLOOKUP(C267,Tab_Def_Flows[Flow_Name],Tab_Def_Flows[Flow_ID],,0,)</f>
        <v>F_01_09</v>
      </c>
      <c r="C267" s="138" t="s">
        <v>1239</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No</v>
      </c>
      <c r="I267" s="9" t="str">
        <f>_xlfn.XLOOKUP(C267,Tab_Def_Flows[Flow_Name],Tab_Def_Flows[Use_E6],,0,)</f>
        <v>No</v>
      </c>
      <c r="J267" s="7">
        <v>2088</v>
      </c>
      <c r="K267" s="21">
        <v>10000</v>
      </c>
      <c r="L267" s="6" t="str">
        <f>'0_Configuration'!$C$41</f>
        <v>Mg</v>
      </c>
      <c r="M267" s="13"/>
      <c r="N267" s="13"/>
      <c r="O267" s="13"/>
      <c r="P267" s="13"/>
      <c r="Q267" s="13"/>
      <c r="R267" s="7" t="s">
        <v>6</v>
      </c>
      <c r="S267" s="14"/>
      <c r="T267" s="7"/>
      <c r="U267" s="139">
        <f>_xlfn.XLOOKUP(Tab_Data_Flows[[#This Row],[Flow_Name]],Tab_Def_Flows[Flow_Name],Tab_Def_Flows[Flow_E1_Fraction'[%']],"N.A.",0,1)</f>
        <v>1</v>
      </c>
      <c r="V267" s="12">
        <f t="shared" si="9"/>
        <v>10000</v>
      </c>
      <c r="W267" s="6" t="str">
        <f>Tab_Data_Flows[[#This Row],[UoM_Source]]</f>
        <v>Mg</v>
      </c>
      <c r="X267" s="139">
        <f>_xlfn.XLOOKUP(Tab_Data_Flows[[#This Row],[Flow_Name]],Tab_Def_Flows[Flow_Name],Tab_Def_Flows[Flow_E2_Fraction'[%']],"N.A.",0,1)</f>
        <v>1</v>
      </c>
      <c r="Y267" s="6">
        <f>IF(D267="Yes",V267*Tab_Data_Flows[[#This Row],[E2_Fraction'[%']]],"N.A.")</f>
        <v>10000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IF(G267="Yes",Tab_Data_Flows[[#This Row],[E4_Fraction'[%']]]*Tab_Data_Flows[[#This Row],[E1_value]],"N.A.")</f>
        <v>0</v>
      </c>
      <c r="AF267" s="6" t="str">
        <f>Tab_Data_Flows[[#This Row],[E1_UoM]]</f>
        <v>Mg</v>
      </c>
      <c r="AG267" s="139">
        <f>_xlfn.XLOOKUP(Tab_Data_Flows[[#This Row],[Flow_Name]],Tab_Def_Flows[Flow_Name],Tab_Def_Flows[Flow_E5_Fraction'[%']],"N.A.",0,1)</f>
        <v>0</v>
      </c>
      <c r="AH267" s="6" t="str">
        <f>IF(H267="Yes",Tab_Data_Flows[[#This Row],[E5_Fraction'[%']]]*Tab_Data_Flows[[#This Row],[E1_value]],"N.A.")</f>
        <v>N.A.</v>
      </c>
      <c r="AI267" s="6" t="str">
        <f>Tab_Data_Flows[[#This Row],[E1_UoM]]</f>
        <v>Mg</v>
      </c>
      <c r="AJ267" s="139">
        <f>_xlfn.XLOOKUP(Tab_Data_Flows[[#This Row],[Flow_Name]],Tab_Def_Flows[Flow_Name],Tab_Def_Flows[Flow_E6_Fraction'[%']],"N.A.",0,1)</f>
        <v>0</v>
      </c>
      <c r="AK267" s="6" t="str">
        <f>IF(Tab_Data_Flows[[#This Row],[Use_E6]]="Yes",Tab_Data_Flows[[#This Row],[E6_Fraction'[%']]]*Tab_Data_Flows[[#This Row],[E1_value]],"N.A.")</f>
        <v>N.A.</v>
      </c>
      <c r="AL267" s="6" t="str">
        <f>Tab_Data_Flows[[#This Row],[E1_UoM]]</f>
        <v>Mg</v>
      </c>
    </row>
    <row r="268" spans="1:38" x14ac:dyDescent="0.25">
      <c r="A268" s="8">
        <f t="shared" si="10"/>
        <v>267</v>
      </c>
      <c r="B268" s="6" t="str">
        <f>_xlfn.XLOOKUP(C268,Tab_Def_Flows[Flow_Name],Tab_Def_Flows[Flow_ID],,0,)</f>
        <v>F_01_09</v>
      </c>
      <c r="C268" s="138" t="s">
        <v>1239</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No</v>
      </c>
      <c r="I268" s="9" t="str">
        <f>_xlfn.XLOOKUP(C268,Tab_Def_Flows[Flow_Name],Tab_Def_Flows[Use_E6],,0,)</f>
        <v>No</v>
      </c>
      <c r="J268" s="7">
        <v>2089</v>
      </c>
      <c r="K268" s="21">
        <v>10000</v>
      </c>
      <c r="L268" s="6" t="str">
        <f>'0_Configuration'!$C$41</f>
        <v>Mg</v>
      </c>
      <c r="M268" s="13"/>
      <c r="N268" s="13"/>
      <c r="O268" s="13"/>
      <c r="P268" s="13"/>
      <c r="Q268" s="13"/>
      <c r="R268" s="7" t="s">
        <v>6</v>
      </c>
      <c r="S268" s="14"/>
      <c r="T268" s="7"/>
      <c r="U268" s="139">
        <f>_xlfn.XLOOKUP(Tab_Data_Flows[[#This Row],[Flow_Name]],Tab_Def_Flows[Flow_Name],Tab_Def_Flows[Flow_E1_Fraction'[%']],"N.A.",0,1)</f>
        <v>1</v>
      </c>
      <c r="V268" s="12">
        <f t="shared" si="9"/>
        <v>10000</v>
      </c>
      <c r="W268" s="6" t="str">
        <f>Tab_Data_Flows[[#This Row],[UoM_Source]]</f>
        <v>Mg</v>
      </c>
      <c r="X268" s="139">
        <f>_xlfn.XLOOKUP(Tab_Data_Flows[[#This Row],[Flow_Name]],Tab_Def_Flows[Flow_Name],Tab_Def_Flows[Flow_E2_Fraction'[%']],"N.A.",0,1)</f>
        <v>1</v>
      </c>
      <c r="Y268" s="6">
        <f>IF(D268="Yes",V268*Tab_Data_Flows[[#This Row],[E2_Fraction'[%']]],"N.A.")</f>
        <v>10000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IF(G268="Yes",Tab_Data_Flows[[#This Row],[E4_Fraction'[%']]]*Tab_Data_Flows[[#This Row],[E1_value]],"N.A.")</f>
        <v>0</v>
      </c>
      <c r="AF268" s="6" t="str">
        <f>Tab_Data_Flows[[#This Row],[E1_UoM]]</f>
        <v>Mg</v>
      </c>
      <c r="AG268" s="139">
        <f>_xlfn.XLOOKUP(Tab_Data_Flows[[#This Row],[Flow_Name]],Tab_Def_Flows[Flow_Name],Tab_Def_Flows[Flow_E5_Fraction'[%']],"N.A.",0,1)</f>
        <v>0</v>
      </c>
      <c r="AH268" s="6" t="str">
        <f>IF(H268="Yes",Tab_Data_Flows[[#This Row],[E5_Fraction'[%']]]*Tab_Data_Flows[[#This Row],[E1_value]],"N.A.")</f>
        <v>N.A.</v>
      </c>
      <c r="AI268" s="6" t="str">
        <f>Tab_Data_Flows[[#This Row],[E1_UoM]]</f>
        <v>Mg</v>
      </c>
      <c r="AJ268" s="139">
        <f>_xlfn.XLOOKUP(Tab_Data_Flows[[#This Row],[Flow_Name]],Tab_Def_Flows[Flow_Name],Tab_Def_Flows[Flow_E6_Fraction'[%']],"N.A.",0,1)</f>
        <v>0</v>
      </c>
      <c r="AK268" s="6" t="str">
        <f>IF(Tab_Data_Flows[[#This Row],[Use_E6]]="Yes",Tab_Data_Flows[[#This Row],[E6_Fraction'[%']]]*Tab_Data_Flows[[#This Row],[E1_value]],"N.A.")</f>
        <v>N.A.</v>
      </c>
      <c r="AL268" s="6" t="str">
        <f>Tab_Data_Flows[[#This Row],[E1_UoM]]</f>
        <v>Mg</v>
      </c>
    </row>
    <row r="269" spans="1:38" x14ac:dyDescent="0.25">
      <c r="A269" s="8">
        <f t="shared" si="10"/>
        <v>268</v>
      </c>
      <c r="B269" s="6" t="str">
        <f>_xlfn.XLOOKUP(C269,Tab_Def_Flows[Flow_Name],Tab_Def_Flows[Flow_ID],,0,)</f>
        <v>F_01_09</v>
      </c>
      <c r="C269" s="138" t="s">
        <v>1239</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No</v>
      </c>
      <c r="I269" s="9" t="str">
        <f>_xlfn.XLOOKUP(C269,Tab_Def_Flows[Flow_Name],Tab_Def_Flows[Use_E6],,0,)</f>
        <v>No</v>
      </c>
      <c r="J269" s="7">
        <v>2090</v>
      </c>
      <c r="K269" s="21">
        <v>10000</v>
      </c>
      <c r="L269" s="6" t="str">
        <f>'0_Configuration'!$C$41</f>
        <v>Mg</v>
      </c>
      <c r="M269" s="13"/>
      <c r="N269" s="13"/>
      <c r="O269" s="13"/>
      <c r="P269" s="13"/>
      <c r="Q269" s="13"/>
      <c r="R269" s="7" t="s">
        <v>6</v>
      </c>
      <c r="S269" s="14"/>
      <c r="T269" s="7"/>
      <c r="U269" s="139">
        <f>_xlfn.XLOOKUP(Tab_Data_Flows[[#This Row],[Flow_Name]],Tab_Def_Flows[Flow_Name],Tab_Def_Flows[Flow_E1_Fraction'[%']],"N.A.",0,1)</f>
        <v>1</v>
      </c>
      <c r="V269" s="12">
        <f t="shared" si="9"/>
        <v>10000</v>
      </c>
      <c r="W269" s="6" t="str">
        <f>Tab_Data_Flows[[#This Row],[UoM_Source]]</f>
        <v>Mg</v>
      </c>
      <c r="X269" s="139">
        <f>_xlfn.XLOOKUP(Tab_Data_Flows[[#This Row],[Flow_Name]],Tab_Def_Flows[Flow_Name],Tab_Def_Flows[Flow_E2_Fraction'[%']],"N.A.",0,1)</f>
        <v>1</v>
      </c>
      <c r="Y269" s="6">
        <f>IF(D269="Yes",V269*Tab_Data_Flows[[#This Row],[E2_Fraction'[%']]],"N.A.")</f>
        <v>10000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IF(G269="Yes",Tab_Data_Flows[[#This Row],[E4_Fraction'[%']]]*Tab_Data_Flows[[#This Row],[E1_value]],"N.A.")</f>
        <v>0</v>
      </c>
      <c r="AF269" s="6" t="str">
        <f>Tab_Data_Flows[[#This Row],[E1_UoM]]</f>
        <v>Mg</v>
      </c>
      <c r="AG269" s="139">
        <f>_xlfn.XLOOKUP(Tab_Data_Flows[[#This Row],[Flow_Name]],Tab_Def_Flows[Flow_Name],Tab_Def_Flows[Flow_E5_Fraction'[%']],"N.A.",0,1)</f>
        <v>0</v>
      </c>
      <c r="AH269" s="6" t="str">
        <f>IF(H269="Yes",Tab_Data_Flows[[#This Row],[E5_Fraction'[%']]]*Tab_Data_Flows[[#This Row],[E1_value]],"N.A.")</f>
        <v>N.A.</v>
      </c>
      <c r="AI269" s="6" t="str">
        <f>Tab_Data_Flows[[#This Row],[E1_UoM]]</f>
        <v>Mg</v>
      </c>
      <c r="AJ269" s="139">
        <f>_xlfn.XLOOKUP(Tab_Data_Flows[[#This Row],[Flow_Name]],Tab_Def_Flows[Flow_Name],Tab_Def_Flows[Flow_E6_Fraction'[%']],"N.A.",0,1)</f>
        <v>0</v>
      </c>
      <c r="AK269" s="6" t="str">
        <f>IF(Tab_Data_Flows[[#This Row],[Use_E6]]="Yes",Tab_Data_Flows[[#This Row],[E6_Fraction'[%']]]*Tab_Data_Flows[[#This Row],[E1_value]],"N.A.")</f>
        <v>N.A.</v>
      </c>
      <c r="AL269" s="6" t="str">
        <f>Tab_Data_Flows[[#This Row],[E1_UoM]]</f>
        <v>Mg</v>
      </c>
    </row>
    <row r="270" spans="1:38" x14ac:dyDescent="0.25">
      <c r="A270" s="8">
        <f t="shared" si="10"/>
        <v>269</v>
      </c>
      <c r="B270" s="6" t="str">
        <f>_xlfn.XLOOKUP(C270,Tab_Def_Flows[Flow_Name],Tab_Def_Flows[Flow_ID],,0,)</f>
        <v>F_01_09</v>
      </c>
      <c r="C270" s="138" t="s">
        <v>1239</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No</v>
      </c>
      <c r="I270" s="9" t="str">
        <f>_xlfn.XLOOKUP(C270,Tab_Def_Flows[Flow_Name],Tab_Def_Flows[Use_E6],,0,)</f>
        <v>No</v>
      </c>
      <c r="J270" s="7">
        <v>2091</v>
      </c>
      <c r="K270" s="21">
        <v>10000</v>
      </c>
      <c r="L270" s="6" t="str">
        <f>'0_Configuration'!$C$41</f>
        <v>Mg</v>
      </c>
      <c r="M270" s="13"/>
      <c r="N270" s="13"/>
      <c r="O270" s="13"/>
      <c r="P270" s="13"/>
      <c r="Q270" s="13"/>
      <c r="R270" s="7" t="s">
        <v>6</v>
      </c>
      <c r="S270" s="14"/>
      <c r="T270" s="7"/>
      <c r="U270" s="139">
        <f>_xlfn.XLOOKUP(Tab_Data_Flows[[#This Row],[Flow_Name]],Tab_Def_Flows[Flow_Name],Tab_Def_Flows[Flow_E1_Fraction'[%']],"N.A.",0,1)</f>
        <v>1</v>
      </c>
      <c r="V270" s="12">
        <f t="shared" si="9"/>
        <v>10000</v>
      </c>
      <c r="W270" s="6" t="str">
        <f>Tab_Data_Flows[[#This Row],[UoM_Source]]</f>
        <v>Mg</v>
      </c>
      <c r="X270" s="139">
        <f>_xlfn.XLOOKUP(Tab_Data_Flows[[#This Row],[Flow_Name]],Tab_Def_Flows[Flow_Name],Tab_Def_Flows[Flow_E2_Fraction'[%']],"N.A.",0,1)</f>
        <v>1</v>
      </c>
      <c r="Y270" s="6">
        <f>IF(D270="Yes",V270*Tab_Data_Flows[[#This Row],[E2_Fraction'[%']]],"N.A.")</f>
        <v>10000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IF(G270="Yes",Tab_Data_Flows[[#This Row],[E4_Fraction'[%']]]*Tab_Data_Flows[[#This Row],[E1_value]],"N.A.")</f>
        <v>0</v>
      </c>
      <c r="AF270" s="6" t="str">
        <f>Tab_Data_Flows[[#This Row],[E1_UoM]]</f>
        <v>Mg</v>
      </c>
      <c r="AG270" s="139">
        <f>_xlfn.XLOOKUP(Tab_Data_Flows[[#This Row],[Flow_Name]],Tab_Def_Flows[Flow_Name],Tab_Def_Flows[Flow_E5_Fraction'[%']],"N.A.",0,1)</f>
        <v>0</v>
      </c>
      <c r="AH270" s="6" t="str">
        <f>IF(H270="Yes",Tab_Data_Flows[[#This Row],[E5_Fraction'[%']]]*Tab_Data_Flows[[#This Row],[E1_value]],"N.A.")</f>
        <v>N.A.</v>
      </c>
      <c r="AI270" s="6" t="str">
        <f>Tab_Data_Flows[[#This Row],[E1_UoM]]</f>
        <v>Mg</v>
      </c>
      <c r="AJ270" s="139">
        <f>_xlfn.XLOOKUP(Tab_Data_Flows[[#This Row],[Flow_Name]],Tab_Def_Flows[Flow_Name],Tab_Def_Flows[Flow_E6_Fraction'[%']],"N.A.",0,1)</f>
        <v>0</v>
      </c>
      <c r="AK270" s="6" t="str">
        <f>IF(Tab_Data_Flows[[#This Row],[Use_E6]]="Yes",Tab_Data_Flows[[#This Row],[E6_Fraction'[%']]]*Tab_Data_Flows[[#This Row],[E1_value]],"N.A.")</f>
        <v>N.A.</v>
      </c>
      <c r="AL270" s="6" t="str">
        <f>Tab_Data_Flows[[#This Row],[E1_UoM]]</f>
        <v>Mg</v>
      </c>
    </row>
    <row r="271" spans="1:38" x14ac:dyDescent="0.25">
      <c r="A271" s="8">
        <f t="shared" si="10"/>
        <v>270</v>
      </c>
      <c r="B271" s="6" t="str">
        <f>_xlfn.XLOOKUP(C271,Tab_Def_Flows[Flow_Name],Tab_Def_Flows[Flow_ID],,0,)</f>
        <v>F_01_09</v>
      </c>
      <c r="C271" s="138" t="s">
        <v>1239</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No</v>
      </c>
      <c r="I271" s="9" t="str">
        <f>_xlfn.XLOOKUP(C271,Tab_Def_Flows[Flow_Name],Tab_Def_Flows[Use_E6],,0,)</f>
        <v>No</v>
      </c>
      <c r="J271" s="7">
        <v>2092</v>
      </c>
      <c r="K271" s="21">
        <v>10000</v>
      </c>
      <c r="L271" s="6" t="str">
        <f>'0_Configuration'!$C$41</f>
        <v>Mg</v>
      </c>
      <c r="M271" s="13"/>
      <c r="N271" s="13"/>
      <c r="O271" s="13"/>
      <c r="P271" s="13"/>
      <c r="Q271" s="13"/>
      <c r="R271" s="7" t="s">
        <v>6</v>
      </c>
      <c r="S271" s="14"/>
      <c r="T271" s="7"/>
      <c r="U271" s="139">
        <f>_xlfn.XLOOKUP(Tab_Data_Flows[[#This Row],[Flow_Name]],Tab_Def_Flows[Flow_Name],Tab_Def_Flows[Flow_E1_Fraction'[%']],"N.A.",0,1)</f>
        <v>1</v>
      </c>
      <c r="V271" s="12">
        <f t="shared" si="9"/>
        <v>10000</v>
      </c>
      <c r="W271" s="6" t="str">
        <f>Tab_Data_Flows[[#This Row],[UoM_Source]]</f>
        <v>Mg</v>
      </c>
      <c r="X271" s="139">
        <f>_xlfn.XLOOKUP(Tab_Data_Flows[[#This Row],[Flow_Name]],Tab_Def_Flows[Flow_Name],Tab_Def_Flows[Flow_E2_Fraction'[%']],"N.A.",0,1)</f>
        <v>1</v>
      </c>
      <c r="Y271" s="6">
        <f>IF(D271="Yes",V271*Tab_Data_Flows[[#This Row],[E2_Fraction'[%']]],"N.A.")</f>
        <v>10000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IF(G271="Yes",Tab_Data_Flows[[#This Row],[E4_Fraction'[%']]]*Tab_Data_Flows[[#This Row],[E1_value]],"N.A.")</f>
        <v>0</v>
      </c>
      <c r="AF271" s="6" t="str">
        <f>Tab_Data_Flows[[#This Row],[E1_UoM]]</f>
        <v>Mg</v>
      </c>
      <c r="AG271" s="139">
        <f>_xlfn.XLOOKUP(Tab_Data_Flows[[#This Row],[Flow_Name]],Tab_Def_Flows[Flow_Name],Tab_Def_Flows[Flow_E5_Fraction'[%']],"N.A.",0,1)</f>
        <v>0</v>
      </c>
      <c r="AH271" s="6" t="str">
        <f>IF(H271="Yes",Tab_Data_Flows[[#This Row],[E5_Fraction'[%']]]*Tab_Data_Flows[[#This Row],[E1_value]],"N.A.")</f>
        <v>N.A.</v>
      </c>
      <c r="AI271" s="6" t="str">
        <f>Tab_Data_Flows[[#This Row],[E1_UoM]]</f>
        <v>Mg</v>
      </c>
      <c r="AJ271" s="139">
        <f>_xlfn.XLOOKUP(Tab_Data_Flows[[#This Row],[Flow_Name]],Tab_Def_Flows[Flow_Name],Tab_Def_Flows[Flow_E6_Fraction'[%']],"N.A.",0,1)</f>
        <v>0</v>
      </c>
      <c r="AK271" s="6" t="str">
        <f>IF(Tab_Data_Flows[[#This Row],[Use_E6]]="Yes",Tab_Data_Flows[[#This Row],[E6_Fraction'[%']]]*Tab_Data_Flows[[#This Row],[E1_value]],"N.A.")</f>
        <v>N.A.</v>
      </c>
      <c r="AL271" s="6" t="str">
        <f>Tab_Data_Flows[[#This Row],[E1_UoM]]</f>
        <v>Mg</v>
      </c>
    </row>
    <row r="272" spans="1:38" x14ac:dyDescent="0.25">
      <c r="A272" s="8">
        <f t="shared" si="10"/>
        <v>271</v>
      </c>
      <c r="B272" s="6" t="str">
        <f>_xlfn.XLOOKUP(C272,Tab_Def_Flows[Flow_Name],Tab_Def_Flows[Flow_ID],,0,)</f>
        <v>F_01_09</v>
      </c>
      <c r="C272" s="138" t="s">
        <v>1239</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No</v>
      </c>
      <c r="I272" s="9" t="str">
        <f>_xlfn.XLOOKUP(C272,Tab_Def_Flows[Flow_Name],Tab_Def_Flows[Use_E6],,0,)</f>
        <v>No</v>
      </c>
      <c r="J272" s="7">
        <v>2093</v>
      </c>
      <c r="K272" s="21">
        <v>10000</v>
      </c>
      <c r="L272" s="6" t="str">
        <f>'0_Configuration'!$C$41</f>
        <v>Mg</v>
      </c>
      <c r="M272" s="13"/>
      <c r="N272" s="13"/>
      <c r="O272" s="13"/>
      <c r="P272" s="13"/>
      <c r="Q272" s="13"/>
      <c r="R272" s="7" t="s">
        <v>6</v>
      </c>
      <c r="S272" s="14"/>
      <c r="T272" s="7"/>
      <c r="U272" s="139">
        <f>_xlfn.XLOOKUP(Tab_Data_Flows[[#This Row],[Flow_Name]],Tab_Def_Flows[Flow_Name],Tab_Def_Flows[Flow_E1_Fraction'[%']],"N.A.",0,1)</f>
        <v>1</v>
      </c>
      <c r="V272" s="12">
        <f t="shared" si="9"/>
        <v>10000</v>
      </c>
      <c r="W272" s="6" t="str">
        <f>Tab_Data_Flows[[#This Row],[UoM_Source]]</f>
        <v>Mg</v>
      </c>
      <c r="X272" s="139">
        <f>_xlfn.XLOOKUP(Tab_Data_Flows[[#This Row],[Flow_Name]],Tab_Def_Flows[Flow_Name],Tab_Def_Flows[Flow_E2_Fraction'[%']],"N.A.",0,1)</f>
        <v>1</v>
      </c>
      <c r="Y272" s="6">
        <f>IF(D272="Yes",V272*Tab_Data_Flows[[#This Row],[E2_Fraction'[%']]],"N.A.")</f>
        <v>10000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IF(G272="Yes",Tab_Data_Flows[[#This Row],[E4_Fraction'[%']]]*Tab_Data_Flows[[#This Row],[E1_value]],"N.A.")</f>
        <v>0</v>
      </c>
      <c r="AF272" s="6" t="str">
        <f>Tab_Data_Flows[[#This Row],[E1_UoM]]</f>
        <v>Mg</v>
      </c>
      <c r="AG272" s="139">
        <f>_xlfn.XLOOKUP(Tab_Data_Flows[[#This Row],[Flow_Name]],Tab_Def_Flows[Flow_Name],Tab_Def_Flows[Flow_E5_Fraction'[%']],"N.A.",0,1)</f>
        <v>0</v>
      </c>
      <c r="AH272" s="6" t="str">
        <f>IF(H272="Yes",Tab_Data_Flows[[#This Row],[E5_Fraction'[%']]]*Tab_Data_Flows[[#This Row],[E1_value]],"N.A.")</f>
        <v>N.A.</v>
      </c>
      <c r="AI272" s="6" t="str">
        <f>Tab_Data_Flows[[#This Row],[E1_UoM]]</f>
        <v>Mg</v>
      </c>
      <c r="AJ272" s="139">
        <f>_xlfn.XLOOKUP(Tab_Data_Flows[[#This Row],[Flow_Name]],Tab_Def_Flows[Flow_Name],Tab_Def_Flows[Flow_E6_Fraction'[%']],"N.A.",0,1)</f>
        <v>0</v>
      </c>
      <c r="AK272" s="6" t="str">
        <f>IF(Tab_Data_Flows[[#This Row],[Use_E6]]="Yes",Tab_Data_Flows[[#This Row],[E6_Fraction'[%']]]*Tab_Data_Flows[[#This Row],[E1_value]],"N.A.")</f>
        <v>N.A.</v>
      </c>
      <c r="AL272" s="6" t="str">
        <f>Tab_Data_Flows[[#This Row],[E1_UoM]]</f>
        <v>Mg</v>
      </c>
    </row>
    <row r="273" spans="1:38" x14ac:dyDescent="0.25">
      <c r="A273" s="8">
        <f t="shared" si="10"/>
        <v>272</v>
      </c>
      <c r="B273" s="6" t="str">
        <f>_xlfn.XLOOKUP(C273,Tab_Def_Flows[Flow_Name],Tab_Def_Flows[Flow_ID],,0,)</f>
        <v>F_01_09</v>
      </c>
      <c r="C273" s="138" t="s">
        <v>1239</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No</v>
      </c>
      <c r="I273" s="9" t="str">
        <f>_xlfn.XLOOKUP(C273,Tab_Def_Flows[Flow_Name],Tab_Def_Flows[Use_E6],,0,)</f>
        <v>No</v>
      </c>
      <c r="J273" s="7">
        <v>2094</v>
      </c>
      <c r="K273" s="21">
        <v>10000</v>
      </c>
      <c r="L273" s="6" t="str">
        <f>'0_Configuration'!$C$41</f>
        <v>Mg</v>
      </c>
      <c r="M273" s="13"/>
      <c r="N273" s="13"/>
      <c r="O273" s="13"/>
      <c r="P273" s="13"/>
      <c r="Q273" s="13"/>
      <c r="R273" s="7" t="s">
        <v>6</v>
      </c>
      <c r="S273" s="14"/>
      <c r="T273" s="7"/>
      <c r="U273" s="139">
        <f>_xlfn.XLOOKUP(Tab_Data_Flows[[#This Row],[Flow_Name]],Tab_Def_Flows[Flow_Name],Tab_Def_Flows[Flow_E1_Fraction'[%']],"N.A.",0,1)</f>
        <v>1</v>
      </c>
      <c r="V273" s="12">
        <f t="shared" si="9"/>
        <v>10000</v>
      </c>
      <c r="W273" s="6" t="str">
        <f>Tab_Data_Flows[[#This Row],[UoM_Source]]</f>
        <v>Mg</v>
      </c>
      <c r="X273" s="139">
        <f>_xlfn.XLOOKUP(Tab_Data_Flows[[#This Row],[Flow_Name]],Tab_Def_Flows[Flow_Name],Tab_Def_Flows[Flow_E2_Fraction'[%']],"N.A.",0,1)</f>
        <v>1</v>
      </c>
      <c r="Y273" s="6">
        <f>IF(D273="Yes",V273*Tab_Data_Flows[[#This Row],[E2_Fraction'[%']]],"N.A.")</f>
        <v>10000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IF(G273="Yes",Tab_Data_Flows[[#This Row],[E4_Fraction'[%']]]*Tab_Data_Flows[[#This Row],[E1_value]],"N.A.")</f>
        <v>0</v>
      </c>
      <c r="AF273" s="6" t="str">
        <f>Tab_Data_Flows[[#This Row],[E1_UoM]]</f>
        <v>Mg</v>
      </c>
      <c r="AG273" s="139">
        <f>_xlfn.XLOOKUP(Tab_Data_Flows[[#This Row],[Flow_Name]],Tab_Def_Flows[Flow_Name],Tab_Def_Flows[Flow_E5_Fraction'[%']],"N.A.",0,1)</f>
        <v>0</v>
      </c>
      <c r="AH273" s="6" t="str">
        <f>IF(H273="Yes",Tab_Data_Flows[[#This Row],[E5_Fraction'[%']]]*Tab_Data_Flows[[#This Row],[E1_value]],"N.A.")</f>
        <v>N.A.</v>
      </c>
      <c r="AI273" s="6" t="str">
        <f>Tab_Data_Flows[[#This Row],[E1_UoM]]</f>
        <v>Mg</v>
      </c>
      <c r="AJ273" s="139">
        <f>_xlfn.XLOOKUP(Tab_Data_Flows[[#This Row],[Flow_Name]],Tab_Def_Flows[Flow_Name],Tab_Def_Flows[Flow_E6_Fraction'[%']],"N.A.",0,1)</f>
        <v>0</v>
      </c>
      <c r="AK273" s="6" t="str">
        <f>IF(Tab_Data_Flows[[#This Row],[Use_E6]]="Yes",Tab_Data_Flows[[#This Row],[E6_Fraction'[%']]]*Tab_Data_Flows[[#This Row],[E1_value]],"N.A.")</f>
        <v>N.A.</v>
      </c>
      <c r="AL273" s="6" t="str">
        <f>Tab_Data_Flows[[#This Row],[E1_UoM]]</f>
        <v>Mg</v>
      </c>
    </row>
    <row r="274" spans="1:38" x14ac:dyDescent="0.25">
      <c r="A274" s="8">
        <f t="shared" si="10"/>
        <v>273</v>
      </c>
      <c r="B274" s="6" t="str">
        <f>_xlfn.XLOOKUP(C274,Tab_Def_Flows[Flow_Name],Tab_Def_Flows[Flow_ID],,0,)</f>
        <v>F_01_09</v>
      </c>
      <c r="C274" s="138" t="s">
        <v>1239</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No</v>
      </c>
      <c r="I274" s="9" t="str">
        <f>_xlfn.XLOOKUP(C274,Tab_Def_Flows[Flow_Name],Tab_Def_Flows[Use_E6],,0,)</f>
        <v>No</v>
      </c>
      <c r="J274" s="7">
        <v>2095</v>
      </c>
      <c r="K274" s="21">
        <v>10000</v>
      </c>
      <c r="L274" s="6" t="str">
        <f>'0_Configuration'!$C$41</f>
        <v>Mg</v>
      </c>
      <c r="M274" s="13"/>
      <c r="N274" s="13"/>
      <c r="O274" s="13"/>
      <c r="P274" s="13"/>
      <c r="Q274" s="13"/>
      <c r="R274" s="7" t="s">
        <v>6</v>
      </c>
      <c r="S274" s="14"/>
      <c r="T274" s="7"/>
      <c r="U274" s="139">
        <f>_xlfn.XLOOKUP(Tab_Data_Flows[[#This Row],[Flow_Name]],Tab_Def_Flows[Flow_Name],Tab_Def_Flows[Flow_E1_Fraction'[%']],"N.A.",0,1)</f>
        <v>1</v>
      </c>
      <c r="V274" s="12">
        <f t="shared" si="9"/>
        <v>10000</v>
      </c>
      <c r="W274" s="6" t="str">
        <f>Tab_Data_Flows[[#This Row],[UoM_Source]]</f>
        <v>Mg</v>
      </c>
      <c r="X274" s="139">
        <f>_xlfn.XLOOKUP(Tab_Data_Flows[[#This Row],[Flow_Name]],Tab_Def_Flows[Flow_Name],Tab_Def_Flows[Flow_E2_Fraction'[%']],"N.A.",0,1)</f>
        <v>1</v>
      </c>
      <c r="Y274" s="6">
        <f>IF(D274="Yes",V274*Tab_Data_Flows[[#This Row],[E2_Fraction'[%']]],"N.A.")</f>
        <v>10000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IF(G274="Yes",Tab_Data_Flows[[#This Row],[E4_Fraction'[%']]]*Tab_Data_Flows[[#This Row],[E1_value]],"N.A.")</f>
        <v>0</v>
      </c>
      <c r="AF274" s="6" t="str">
        <f>Tab_Data_Flows[[#This Row],[E1_UoM]]</f>
        <v>Mg</v>
      </c>
      <c r="AG274" s="139">
        <f>_xlfn.XLOOKUP(Tab_Data_Flows[[#This Row],[Flow_Name]],Tab_Def_Flows[Flow_Name],Tab_Def_Flows[Flow_E5_Fraction'[%']],"N.A.",0,1)</f>
        <v>0</v>
      </c>
      <c r="AH274" s="6" t="str">
        <f>IF(H274="Yes",Tab_Data_Flows[[#This Row],[E5_Fraction'[%']]]*Tab_Data_Flows[[#This Row],[E1_value]],"N.A.")</f>
        <v>N.A.</v>
      </c>
      <c r="AI274" s="6" t="str">
        <f>Tab_Data_Flows[[#This Row],[E1_UoM]]</f>
        <v>Mg</v>
      </c>
      <c r="AJ274" s="139">
        <f>_xlfn.XLOOKUP(Tab_Data_Flows[[#This Row],[Flow_Name]],Tab_Def_Flows[Flow_Name],Tab_Def_Flows[Flow_E6_Fraction'[%']],"N.A.",0,1)</f>
        <v>0</v>
      </c>
      <c r="AK274" s="6" t="str">
        <f>IF(Tab_Data_Flows[[#This Row],[Use_E6]]="Yes",Tab_Data_Flows[[#This Row],[E6_Fraction'[%']]]*Tab_Data_Flows[[#This Row],[E1_value]],"N.A.")</f>
        <v>N.A.</v>
      </c>
      <c r="AL274" s="6" t="str">
        <f>Tab_Data_Flows[[#This Row],[E1_UoM]]</f>
        <v>Mg</v>
      </c>
    </row>
    <row r="275" spans="1:38" x14ac:dyDescent="0.25">
      <c r="A275" s="8">
        <f t="shared" si="10"/>
        <v>274</v>
      </c>
      <c r="B275" s="6" t="str">
        <f>_xlfn.XLOOKUP(C275,Tab_Def_Flows[Flow_Name],Tab_Def_Flows[Flow_ID],,0,)</f>
        <v>F_01_09</v>
      </c>
      <c r="C275" s="138" t="s">
        <v>1239</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No</v>
      </c>
      <c r="I275" s="9" t="str">
        <f>_xlfn.XLOOKUP(C275,Tab_Def_Flows[Flow_Name],Tab_Def_Flows[Use_E6],,0,)</f>
        <v>No</v>
      </c>
      <c r="J275" s="7">
        <v>2096</v>
      </c>
      <c r="K275" s="21">
        <v>10000</v>
      </c>
      <c r="L275" s="6" t="str">
        <f>'0_Configuration'!$C$41</f>
        <v>Mg</v>
      </c>
      <c r="M275" s="13"/>
      <c r="N275" s="13"/>
      <c r="O275" s="13"/>
      <c r="P275" s="13"/>
      <c r="Q275" s="13"/>
      <c r="R275" s="7" t="s">
        <v>6</v>
      </c>
      <c r="S275" s="14"/>
      <c r="T275" s="7"/>
      <c r="U275" s="139">
        <f>_xlfn.XLOOKUP(Tab_Data_Flows[[#This Row],[Flow_Name]],Tab_Def_Flows[Flow_Name],Tab_Def_Flows[Flow_E1_Fraction'[%']],"N.A.",0,1)</f>
        <v>1</v>
      </c>
      <c r="V275" s="12">
        <f t="shared" si="9"/>
        <v>10000</v>
      </c>
      <c r="W275" s="6" t="str">
        <f>Tab_Data_Flows[[#This Row],[UoM_Source]]</f>
        <v>Mg</v>
      </c>
      <c r="X275" s="139">
        <f>_xlfn.XLOOKUP(Tab_Data_Flows[[#This Row],[Flow_Name]],Tab_Def_Flows[Flow_Name],Tab_Def_Flows[Flow_E2_Fraction'[%']],"N.A.",0,1)</f>
        <v>1</v>
      </c>
      <c r="Y275" s="6">
        <f>IF(D275="Yes",V275*Tab_Data_Flows[[#This Row],[E2_Fraction'[%']]],"N.A.")</f>
        <v>10000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IF(G275="Yes",Tab_Data_Flows[[#This Row],[E4_Fraction'[%']]]*Tab_Data_Flows[[#This Row],[E1_value]],"N.A.")</f>
        <v>0</v>
      </c>
      <c r="AF275" s="6" t="str">
        <f>Tab_Data_Flows[[#This Row],[E1_UoM]]</f>
        <v>Mg</v>
      </c>
      <c r="AG275" s="139">
        <f>_xlfn.XLOOKUP(Tab_Data_Flows[[#This Row],[Flow_Name]],Tab_Def_Flows[Flow_Name],Tab_Def_Flows[Flow_E5_Fraction'[%']],"N.A.",0,1)</f>
        <v>0</v>
      </c>
      <c r="AH275" s="6" t="str">
        <f>IF(H275="Yes",Tab_Data_Flows[[#This Row],[E5_Fraction'[%']]]*Tab_Data_Flows[[#This Row],[E1_value]],"N.A.")</f>
        <v>N.A.</v>
      </c>
      <c r="AI275" s="6" t="str">
        <f>Tab_Data_Flows[[#This Row],[E1_UoM]]</f>
        <v>Mg</v>
      </c>
      <c r="AJ275" s="139">
        <f>_xlfn.XLOOKUP(Tab_Data_Flows[[#This Row],[Flow_Name]],Tab_Def_Flows[Flow_Name],Tab_Def_Flows[Flow_E6_Fraction'[%']],"N.A.",0,1)</f>
        <v>0</v>
      </c>
      <c r="AK275" s="6" t="str">
        <f>IF(Tab_Data_Flows[[#This Row],[Use_E6]]="Yes",Tab_Data_Flows[[#This Row],[E6_Fraction'[%']]]*Tab_Data_Flows[[#This Row],[E1_value]],"N.A.")</f>
        <v>N.A.</v>
      </c>
      <c r="AL275" s="6" t="str">
        <f>Tab_Data_Flows[[#This Row],[E1_UoM]]</f>
        <v>Mg</v>
      </c>
    </row>
    <row r="276" spans="1:38" x14ac:dyDescent="0.25">
      <c r="A276" s="8">
        <f t="shared" si="10"/>
        <v>275</v>
      </c>
      <c r="B276" s="6" t="str">
        <f>_xlfn.XLOOKUP(C276,Tab_Def_Flows[Flow_Name],Tab_Def_Flows[Flow_ID],,0,)</f>
        <v>F_01_09</v>
      </c>
      <c r="C276" s="138" t="s">
        <v>1239</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No</v>
      </c>
      <c r="I276" s="9" t="str">
        <f>_xlfn.XLOOKUP(C276,Tab_Def_Flows[Flow_Name],Tab_Def_Flows[Use_E6],,0,)</f>
        <v>No</v>
      </c>
      <c r="J276" s="7">
        <v>2097</v>
      </c>
      <c r="K276" s="21">
        <v>10000</v>
      </c>
      <c r="L276" s="6" t="str">
        <f>'0_Configuration'!$C$41</f>
        <v>Mg</v>
      </c>
      <c r="M276" s="13"/>
      <c r="N276" s="13"/>
      <c r="O276" s="13"/>
      <c r="P276" s="13"/>
      <c r="Q276" s="13"/>
      <c r="R276" s="7" t="s">
        <v>6</v>
      </c>
      <c r="S276" s="14"/>
      <c r="T276" s="7"/>
      <c r="U276" s="139">
        <f>_xlfn.XLOOKUP(Tab_Data_Flows[[#This Row],[Flow_Name]],Tab_Def_Flows[Flow_Name],Tab_Def_Flows[Flow_E1_Fraction'[%']],"N.A.",0,1)</f>
        <v>1</v>
      </c>
      <c r="V276" s="12">
        <f t="shared" si="9"/>
        <v>10000</v>
      </c>
      <c r="W276" s="6" t="str">
        <f>Tab_Data_Flows[[#This Row],[UoM_Source]]</f>
        <v>Mg</v>
      </c>
      <c r="X276" s="139">
        <f>_xlfn.XLOOKUP(Tab_Data_Flows[[#This Row],[Flow_Name]],Tab_Def_Flows[Flow_Name],Tab_Def_Flows[Flow_E2_Fraction'[%']],"N.A.",0,1)</f>
        <v>1</v>
      </c>
      <c r="Y276" s="6">
        <f>IF(D276="Yes",V276*Tab_Data_Flows[[#This Row],[E2_Fraction'[%']]],"N.A.")</f>
        <v>10000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IF(G276="Yes",Tab_Data_Flows[[#This Row],[E4_Fraction'[%']]]*Tab_Data_Flows[[#This Row],[E1_value]],"N.A.")</f>
        <v>0</v>
      </c>
      <c r="AF276" s="6" t="str">
        <f>Tab_Data_Flows[[#This Row],[E1_UoM]]</f>
        <v>Mg</v>
      </c>
      <c r="AG276" s="139">
        <f>_xlfn.XLOOKUP(Tab_Data_Flows[[#This Row],[Flow_Name]],Tab_Def_Flows[Flow_Name],Tab_Def_Flows[Flow_E5_Fraction'[%']],"N.A.",0,1)</f>
        <v>0</v>
      </c>
      <c r="AH276" s="6" t="str">
        <f>IF(H276="Yes",Tab_Data_Flows[[#This Row],[E5_Fraction'[%']]]*Tab_Data_Flows[[#This Row],[E1_value]],"N.A.")</f>
        <v>N.A.</v>
      </c>
      <c r="AI276" s="6" t="str">
        <f>Tab_Data_Flows[[#This Row],[E1_UoM]]</f>
        <v>Mg</v>
      </c>
      <c r="AJ276" s="139">
        <f>_xlfn.XLOOKUP(Tab_Data_Flows[[#This Row],[Flow_Name]],Tab_Def_Flows[Flow_Name],Tab_Def_Flows[Flow_E6_Fraction'[%']],"N.A.",0,1)</f>
        <v>0</v>
      </c>
      <c r="AK276" s="6" t="str">
        <f>IF(Tab_Data_Flows[[#This Row],[Use_E6]]="Yes",Tab_Data_Flows[[#This Row],[E6_Fraction'[%']]]*Tab_Data_Flows[[#This Row],[E1_value]],"N.A.")</f>
        <v>N.A.</v>
      </c>
      <c r="AL276" s="6" t="str">
        <f>Tab_Data_Flows[[#This Row],[E1_UoM]]</f>
        <v>Mg</v>
      </c>
    </row>
    <row r="277" spans="1:38" x14ac:dyDescent="0.25">
      <c r="A277" s="8">
        <f t="shared" si="10"/>
        <v>276</v>
      </c>
      <c r="B277" s="6" t="str">
        <f>_xlfn.XLOOKUP(C277,Tab_Def_Flows[Flow_Name],Tab_Def_Flows[Flow_ID],,0,)</f>
        <v>F_01_09</v>
      </c>
      <c r="C277" s="138" t="s">
        <v>1239</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No</v>
      </c>
      <c r="I277" s="9" t="str">
        <f>_xlfn.XLOOKUP(C277,Tab_Def_Flows[Flow_Name],Tab_Def_Flows[Use_E6],,0,)</f>
        <v>No</v>
      </c>
      <c r="J277" s="7">
        <v>2098</v>
      </c>
      <c r="K277" s="21">
        <v>10000</v>
      </c>
      <c r="L277" s="6" t="str">
        <f>'0_Configuration'!$C$41</f>
        <v>Mg</v>
      </c>
      <c r="M277" s="13"/>
      <c r="N277" s="13"/>
      <c r="O277" s="13"/>
      <c r="P277" s="13"/>
      <c r="Q277" s="13"/>
      <c r="R277" s="7" t="s">
        <v>6</v>
      </c>
      <c r="S277" s="14"/>
      <c r="T277" s="7"/>
      <c r="U277" s="139">
        <f>_xlfn.XLOOKUP(Tab_Data_Flows[[#This Row],[Flow_Name]],Tab_Def_Flows[Flow_Name],Tab_Def_Flows[Flow_E1_Fraction'[%']],"N.A.",0,1)</f>
        <v>1</v>
      </c>
      <c r="V277" s="12">
        <f t="shared" si="9"/>
        <v>10000</v>
      </c>
      <c r="W277" s="6" t="str">
        <f>Tab_Data_Flows[[#This Row],[UoM_Source]]</f>
        <v>Mg</v>
      </c>
      <c r="X277" s="139">
        <f>_xlfn.XLOOKUP(Tab_Data_Flows[[#This Row],[Flow_Name]],Tab_Def_Flows[Flow_Name],Tab_Def_Flows[Flow_E2_Fraction'[%']],"N.A.",0,1)</f>
        <v>1</v>
      </c>
      <c r="Y277" s="6">
        <f>IF(D277="Yes",V277*Tab_Data_Flows[[#This Row],[E2_Fraction'[%']]],"N.A.")</f>
        <v>10000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IF(G277="Yes",Tab_Data_Flows[[#This Row],[E4_Fraction'[%']]]*Tab_Data_Flows[[#This Row],[E1_value]],"N.A.")</f>
        <v>0</v>
      </c>
      <c r="AF277" s="6" t="str">
        <f>Tab_Data_Flows[[#This Row],[E1_UoM]]</f>
        <v>Mg</v>
      </c>
      <c r="AG277" s="139">
        <f>_xlfn.XLOOKUP(Tab_Data_Flows[[#This Row],[Flow_Name]],Tab_Def_Flows[Flow_Name],Tab_Def_Flows[Flow_E5_Fraction'[%']],"N.A.",0,1)</f>
        <v>0</v>
      </c>
      <c r="AH277" s="6" t="str">
        <f>IF(H277="Yes",Tab_Data_Flows[[#This Row],[E5_Fraction'[%']]]*Tab_Data_Flows[[#This Row],[E1_value]],"N.A.")</f>
        <v>N.A.</v>
      </c>
      <c r="AI277" s="6" t="str">
        <f>Tab_Data_Flows[[#This Row],[E1_UoM]]</f>
        <v>Mg</v>
      </c>
      <c r="AJ277" s="139">
        <f>_xlfn.XLOOKUP(Tab_Data_Flows[[#This Row],[Flow_Name]],Tab_Def_Flows[Flow_Name],Tab_Def_Flows[Flow_E6_Fraction'[%']],"N.A.",0,1)</f>
        <v>0</v>
      </c>
      <c r="AK277" s="6" t="str">
        <f>IF(Tab_Data_Flows[[#This Row],[Use_E6]]="Yes",Tab_Data_Flows[[#This Row],[E6_Fraction'[%']]]*Tab_Data_Flows[[#This Row],[E1_value]],"N.A.")</f>
        <v>N.A.</v>
      </c>
      <c r="AL277" s="6" t="str">
        <f>Tab_Data_Flows[[#This Row],[E1_UoM]]</f>
        <v>Mg</v>
      </c>
    </row>
    <row r="278" spans="1:38" x14ac:dyDescent="0.25">
      <c r="A278" s="8">
        <f t="shared" si="10"/>
        <v>277</v>
      </c>
      <c r="B278" s="6" t="str">
        <f>_xlfn.XLOOKUP(C278,Tab_Def_Flows[Flow_Name],Tab_Def_Flows[Flow_ID],,0,)</f>
        <v>F_01_09</v>
      </c>
      <c r="C278" s="138" t="s">
        <v>1239</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No</v>
      </c>
      <c r="I278" s="9" t="str">
        <f>_xlfn.XLOOKUP(C278,Tab_Def_Flows[Flow_Name],Tab_Def_Flows[Use_E6],,0,)</f>
        <v>No</v>
      </c>
      <c r="J278" s="7">
        <v>2099</v>
      </c>
      <c r="K278" s="21">
        <v>10000</v>
      </c>
      <c r="L278" s="6" t="str">
        <f>'0_Configuration'!$C$41</f>
        <v>Mg</v>
      </c>
      <c r="M278" s="13"/>
      <c r="N278" s="13"/>
      <c r="O278" s="13"/>
      <c r="P278" s="13"/>
      <c r="Q278" s="13"/>
      <c r="R278" s="7" t="s">
        <v>6</v>
      </c>
      <c r="S278" s="14"/>
      <c r="T278" s="7"/>
      <c r="U278" s="139">
        <f>_xlfn.XLOOKUP(Tab_Data_Flows[[#This Row],[Flow_Name]],Tab_Def_Flows[Flow_Name],Tab_Def_Flows[Flow_E1_Fraction'[%']],"N.A.",0,1)</f>
        <v>1</v>
      </c>
      <c r="V278" s="12">
        <f t="shared" si="9"/>
        <v>10000</v>
      </c>
      <c r="W278" s="6" t="str">
        <f>Tab_Data_Flows[[#This Row],[UoM_Source]]</f>
        <v>Mg</v>
      </c>
      <c r="X278" s="139">
        <f>_xlfn.XLOOKUP(Tab_Data_Flows[[#This Row],[Flow_Name]],Tab_Def_Flows[Flow_Name],Tab_Def_Flows[Flow_E2_Fraction'[%']],"N.A.",0,1)</f>
        <v>1</v>
      </c>
      <c r="Y278" s="6">
        <f>IF(D278="Yes",V278*Tab_Data_Flows[[#This Row],[E2_Fraction'[%']]],"N.A.")</f>
        <v>10000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IF(G278="Yes",Tab_Data_Flows[[#This Row],[E4_Fraction'[%']]]*Tab_Data_Flows[[#This Row],[E1_value]],"N.A.")</f>
        <v>0</v>
      </c>
      <c r="AF278" s="6" t="str">
        <f>Tab_Data_Flows[[#This Row],[E1_UoM]]</f>
        <v>Mg</v>
      </c>
      <c r="AG278" s="139">
        <f>_xlfn.XLOOKUP(Tab_Data_Flows[[#This Row],[Flow_Name]],Tab_Def_Flows[Flow_Name],Tab_Def_Flows[Flow_E5_Fraction'[%']],"N.A.",0,1)</f>
        <v>0</v>
      </c>
      <c r="AH278" s="6" t="str">
        <f>IF(H278="Yes",Tab_Data_Flows[[#This Row],[E5_Fraction'[%']]]*Tab_Data_Flows[[#This Row],[E1_value]],"N.A.")</f>
        <v>N.A.</v>
      </c>
      <c r="AI278" s="6" t="str">
        <f>Tab_Data_Flows[[#This Row],[E1_UoM]]</f>
        <v>Mg</v>
      </c>
      <c r="AJ278" s="139">
        <f>_xlfn.XLOOKUP(Tab_Data_Flows[[#This Row],[Flow_Name]],Tab_Def_Flows[Flow_Name],Tab_Def_Flows[Flow_E6_Fraction'[%']],"N.A.",0,1)</f>
        <v>0</v>
      </c>
      <c r="AK278" s="6" t="str">
        <f>IF(Tab_Data_Flows[[#This Row],[Use_E6]]="Yes",Tab_Data_Flows[[#This Row],[E6_Fraction'[%']]]*Tab_Data_Flows[[#This Row],[E1_value]],"N.A.")</f>
        <v>N.A.</v>
      </c>
      <c r="AL278" s="6" t="str">
        <f>Tab_Data_Flows[[#This Row],[E1_UoM]]</f>
        <v>Mg</v>
      </c>
    </row>
    <row r="279" spans="1:38" x14ac:dyDescent="0.25">
      <c r="A279" s="8">
        <f t="shared" si="10"/>
        <v>278</v>
      </c>
      <c r="B279" s="6" t="str">
        <f>_xlfn.XLOOKUP(C279,Tab_Def_Flows[Flow_Name],Tab_Def_Flows[Flow_ID],,0,)</f>
        <v>F_01_09</v>
      </c>
      <c r="C279" s="138" t="s">
        <v>1239</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No</v>
      </c>
      <c r="I279" s="9" t="str">
        <f>_xlfn.XLOOKUP(C279,Tab_Def_Flows[Flow_Name],Tab_Def_Flows[Use_E6],,0,)</f>
        <v>No</v>
      </c>
      <c r="J279" s="7">
        <v>2100</v>
      </c>
      <c r="K279" s="21">
        <v>10000</v>
      </c>
      <c r="L279" s="6" t="str">
        <f>'0_Configuration'!$C$41</f>
        <v>Mg</v>
      </c>
      <c r="M279" s="13"/>
      <c r="N279" s="13"/>
      <c r="O279" s="13"/>
      <c r="P279" s="13"/>
      <c r="Q279" s="13"/>
      <c r="R279" s="7" t="s">
        <v>6</v>
      </c>
      <c r="S279" s="14"/>
      <c r="T279" s="7"/>
      <c r="U279" s="139">
        <f>_xlfn.XLOOKUP(Tab_Data_Flows[[#This Row],[Flow_Name]],Tab_Def_Flows[Flow_Name],Tab_Def_Flows[Flow_E1_Fraction'[%']],"N.A.",0,1)</f>
        <v>1</v>
      </c>
      <c r="V279" s="12">
        <f t="shared" si="9"/>
        <v>10000</v>
      </c>
      <c r="W279" s="6" t="str">
        <f>Tab_Data_Flows[[#This Row],[UoM_Source]]</f>
        <v>Mg</v>
      </c>
      <c r="X279" s="139">
        <f>_xlfn.XLOOKUP(Tab_Data_Flows[[#This Row],[Flow_Name]],Tab_Def_Flows[Flow_Name],Tab_Def_Flows[Flow_E2_Fraction'[%']],"N.A.",0,1)</f>
        <v>1</v>
      </c>
      <c r="Y279" s="6">
        <f>IF(D279="Yes",V279*Tab_Data_Flows[[#This Row],[E2_Fraction'[%']]],"N.A.")</f>
        <v>10000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IF(G279="Yes",Tab_Data_Flows[[#This Row],[E4_Fraction'[%']]]*Tab_Data_Flows[[#This Row],[E1_value]],"N.A.")</f>
        <v>0</v>
      </c>
      <c r="AF279" s="6" t="str">
        <f>Tab_Data_Flows[[#This Row],[E1_UoM]]</f>
        <v>Mg</v>
      </c>
      <c r="AG279" s="139">
        <f>_xlfn.XLOOKUP(Tab_Data_Flows[[#This Row],[Flow_Name]],Tab_Def_Flows[Flow_Name],Tab_Def_Flows[Flow_E5_Fraction'[%']],"N.A.",0,1)</f>
        <v>0</v>
      </c>
      <c r="AH279" s="6" t="str">
        <f>IF(H279="Yes",Tab_Data_Flows[[#This Row],[E5_Fraction'[%']]]*Tab_Data_Flows[[#This Row],[E1_value]],"N.A.")</f>
        <v>N.A.</v>
      </c>
      <c r="AI279" s="6" t="str">
        <f>Tab_Data_Flows[[#This Row],[E1_UoM]]</f>
        <v>Mg</v>
      </c>
      <c r="AJ279" s="139">
        <f>_xlfn.XLOOKUP(Tab_Data_Flows[[#This Row],[Flow_Name]],Tab_Def_Flows[Flow_Name],Tab_Def_Flows[Flow_E6_Fraction'[%']],"N.A.",0,1)</f>
        <v>0</v>
      </c>
      <c r="AK279" s="6" t="str">
        <f>IF(Tab_Data_Flows[[#This Row],[Use_E6]]="Yes",Tab_Data_Flows[[#This Row],[E6_Fraction'[%']]]*Tab_Data_Flows[[#This Row],[E1_value]],"N.A.")</f>
        <v>N.A.</v>
      </c>
      <c r="AL279" s="6" t="str">
        <f>Tab_Data_Flows[[#This Row],[E1_UoM]]</f>
        <v>Mg</v>
      </c>
    </row>
    <row r="280" spans="1:38" x14ac:dyDescent="0.25">
      <c r="A280" s="8">
        <f t="shared" si="10"/>
        <v>279</v>
      </c>
      <c r="B280" s="6" t="str">
        <f>_xlfn.XLOOKUP(C280,Tab_Def_Flows[Flow_Name],Tab_Def_Flows[Flow_ID],,0,)</f>
        <v>F_01_09</v>
      </c>
      <c r="C280" s="138" t="s">
        <v>1239</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No</v>
      </c>
      <c r="I280" s="9" t="str">
        <f>_xlfn.XLOOKUP(C280,Tab_Def_Flows[Flow_Name],Tab_Def_Flows[Use_E6],,0,)</f>
        <v>No</v>
      </c>
      <c r="J280" s="7">
        <v>2101</v>
      </c>
      <c r="K280" s="21">
        <v>10000</v>
      </c>
      <c r="L280" s="6" t="str">
        <f>'0_Configuration'!$C$41</f>
        <v>Mg</v>
      </c>
      <c r="M280" s="13"/>
      <c r="N280" s="13"/>
      <c r="O280" s="13"/>
      <c r="P280" s="13"/>
      <c r="Q280" s="13"/>
      <c r="R280" s="7" t="s">
        <v>6</v>
      </c>
      <c r="S280" s="14"/>
      <c r="T280" s="7"/>
      <c r="U280" s="139">
        <f>_xlfn.XLOOKUP(Tab_Data_Flows[[#This Row],[Flow_Name]],Tab_Def_Flows[Flow_Name],Tab_Def_Flows[Flow_E1_Fraction'[%']],"N.A.",0,1)</f>
        <v>1</v>
      </c>
      <c r="V280" s="12">
        <f t="shared" si="9"/>
        <v>10000</v>
      </c>
      <c r="W280" s="6" t="str">
        <f>Tab_Data_Flows[[#This Row],[UoM_Source]]</f>
        <v>Mg</v>
      </c>
      <c r="X280" s="139">
        <f>_xlfn.XLOOKUP(Tab_Data_Flows[[#This Row],[Flow_Name]],Tab_Def_Flows[Flow_Name],Tab_Def_Flows[Flow_E2_Fraction'[%']],"N.A.",0,1)</f>
        <v>1</v>
      </c>
      <c r="Y280" s="6">
        <f>IF(D280="Yes",V280*Tab_Data_Flows[[#This Row],[E2_Fraction'[%']]],"N.A.")</f>
        <v>10000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IF(G280="Yes",Tab_Data_Flows[[#This Row],[E4_Fraction'[%']]]*Tab_Data_Flows[[#This Row],[E1_value]],"N.A.")</f>
        <v>0</v>
      </c>
      <c r="AF280" s="6" t="str">
        <f>Tab_Data_Flows[[#This Row],[E1_UoM]]</f>
        <v>Mg</v>
      </c>
      <c r="AG280" s="139">
        <f>_xlfn.XLOOKUP(Tab_Data_Flows[[#This Row],[Flow_Name]],Tab_Def_Flows[Flow_Name],Tab_Def_Flows[Flow_E5_Fraction'[%']],"N.A.",0,1)</f>
        <v>0</v>
      </c>
      <c r="AH280" s="6" t="str">
        <f>IF(H280="Yes",Tab_Data_Flows[[#This Row],[E5_Fraction'[%']]]*Tab_Data_Flows[[#This Row],[E1_value]],"N.A.")</f>
        <v>N.A.</v>
      </c>
      <c r="AI280" s="6" t="str">
        <f>Tab_Data_Flows[[#This Row],[E1_UoM]]</f>
        <v>Mg</v>
      </c>
      <c r="AJ280" s="139">
        <f>_xlfn.XLOOKUP(Tab_Data_Flows[[#This Row],[Flow_Name]],Tab_Def_Flows[Flow_Name],Tab_Def_Flows[Flow_E6_Fraction'[%']],"N.A.",0,1)</f>
        <v>0</v>
      </c>
      <c r="AK280" s="6" t="str">
        <f>IF(Tab_Data_Flows[[#This Row],[Use_E6]]="Yes",Tab_Data_Flows[[#This Row],[E6_Fraction'[%']]]*Tab_Data_Flows[[#This Row],[E1_value]],"N.A.")</f>
        <v>N.A.</v>
      </c>
      <c r="AL280" s="6" t="str">
        <f>Tab_Data_Flows[[#This Row],[E1_UoM]]</f>
        <v>Mg</v>
      </c>
    </row>
    <row r="281" spans="1:38" x14ac:dyDescent="0.25">
      <c r="A281" s="8">
        <f t="shared" si="10"/>
        <v>280</v>
      </c>
      <c r="B281" s="6" t="str">
        <f>_xlfn.XLOOKUP(C281,Tab_Def_Flows[Flow_Name],Tab_Def_Flows[Flow_ID],,0,)</f>
        <v>F_01_09</v>
      </c>
      <c r="C281" s="138" t="s">
        <v>1239</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No</v>
      </c>
      <c r="I281" s="9" t="str">
        <f>_xlfn.XLOOKUP(C281,Tab_Def_Flows[Flow_Name],Tab_Def_Flows[Use_E6],,0,)</f>
        <v>No</v>
      </c>
      <c r="J281" s="7">
        <v>2102</v>
      </c>
      <c r="K281" s="21">
        <v>10000</v>
      </c>
      <c r="L281" s="6" t="str">
        <f>'0_Configuration'!$C$41</f>
        <v>Mg</v>
      </c>
      <c r="M281" s="13"/>
      <c r="N281" s="13"/>
      <c r="O281" s="13"/>
      <c r="P281" s="13"/>
      <c r="Q281" s="13"/>
      <c r="R281" s="7" t="s">
        <v>6</v>
      </c>
      <c r="S281" s="14"/>
      <c r="T281" s="7"/>
      <c r="U281" s="139">
        <f>_xlfn.XLOOKUP(Tab_Data_Flows[[#This Row],[Flow_Name]],Tab_Def_Flows[Flow_Name],Tab_Def_Flows[Flow_E1_Fraction'[%']],"N.A.",0,1)</f>
        <v>1</v>
      </c>
      <c r="V281" s="12">
        <f t="shared" si="9"/>
        <v>10000</v>
      </c>
      <c r="W281" s="6" t="str">
        <f>Tab_Data_Flows[[#This Row],[UoM_Source]]</f>
        <v>Mg</v>
      </c>
      <c r="X281" s="139">
        <f>_xlfn.XLOOKUP(Tab_Data_Flows[[#This Row],[Flow_Name]],Tab_Def_Flows[Flow_Name],Tab_Def_Flows[Flow_E2_Fraction'[%']],"N.A.",0,1)</f>
        <v>1</v>
      </c>
      <c r="Y281" s="6">
        <f>IF(D281="Yes",V281*Tab_Data_Flows[[#This Row],[E2_Fraction'[%']]],"N.A.")</f>
        <v>10000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IF(G281="Yes",Tab_Data_Flows[[#This Row],[E4_Fraction'[%']]]*Tab_Data_Flows[[#This Row],[E1_value]],"N.A.")</f>
        <v>0</v>
      </c>
      <c r="AF281" s="6" t="str">
        <f>Tab_Data_Flows[[#This Row],[E1_UoM]]</f>
        <v>Mg</v>
      </c>
      <c r="AG281" s="139">
        <f>_xlfn.XLOOKUP(Tab_Data_Flows[[#This Row],[Flow_Name]],Tab_Def_Flows[Flow_Name],Tab_Def_Flows[Flow_E5_Fraction'[%']],"N.A.",0,1)</f>
        <v>0</v>
      </c>
      <c r="AH281" s="6" t="str">
        <f>IF(H281="Yes",Tab_Data_Flows[[#This Row],[E5_Fraction'[%']]]*Tab_Data_Flows[[#This Row],[E1_value]],"N.A.")</f>
        <v>N.A.</v>
      </c>
      <c r="AI281" s="6" t="str">
        <f>Tab_Data_Flows[[#This Row],[E1_UoM]]</f>
        <v>Mg</v>
      </c>
      <c r="AJ281" s="139">
        <f>_xlfn.XLOOKUP(Tab_Data_Flows[[#This Row],[Flow_Name]],Tab_Def_Flows[Flow_Name],Tab_Def_Flows[Flow_E6_Fraction'[%']],"N.A.",0,1)</f>
        <v>0</v>
      </c>
      <c r="AK281" s="6" t="str">
        <f>IF(Tab_Data_Flows[[#This Row],[Use_E6]]="Yes",Tab_Data_Flows[[#This Row],[E6_Fraction'[%']]]*Tab_Data_Flows[[#This Row],[E1_value]],"N.A.")</f>
        <v>N.A.</v>
      </c>
      <c r="AL281" s="6" t="str">
        <f>Tab_Data_Flows[[#This Row],[E1_UoM]]</f>
        <v>Mg</v>
      </c>
    </row>
    <row r="282" spans="1:38" x14ac:dyDescent="0.25">
      <c r="A282" s="8">
        <f t="shared" si="10"/>
        <v>281</v>
      </c>
      <c r="B282" s="6" t="str">
        <f>_xlfn.XLOOKUP(C282,Tab_Def_Flows[Flow_Name],Tab_Def_Flows[Flow_ID],,0,)</f>
        <v>F_01_09</v>
      </c>
      <c r="C282" s="138" t="s">
        <v>1239</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No</v>
      </c>
      <c r="I282" s="9" t="str">
        <f>_xlfn.XLOOKUP(C282,Tab_Def_Flows[Flow_Name],Tab_Def_Flows[Use_E6],,0,)</f>
        <v>No</v>
      </c>
      <c r="J282" s="7">
        <v>2103</v>
      </c>
      <c r="K282" s="21">
        <v>10000</v>
      </c>
      <c r="L282" s="6" t="str">
        <f>'0_Configuration'!$C$41</f>
        <v>Mg</v>
      </c>
      <c r="M282" s="13"/>
      <c r="N282" s="13"/>
      <c r="O282" s="13"/>
      <c r="P282" s="13"/>
      <c r="Q282" s="13"/>
      <c r="R282" s="7" t="s">
        <v>6</v>
      </c>
      <c r="S282" s="14"/>
      <c r="T282" s="7"/>
      <c r="U282" s="139">
        <f>_xlfn.XLOOKUP(Tab_Data_Flows[[#This Row],[Flow_Name]],Tab_Def_Flows[Flow_Name],Tab_Def_Flows[Flow_E1_Fraction'[%']],"N.A.",0,1)</f>
        <v>1</v>
      </c>
      <c r="V282" s="12">
        <f t="shared" si="9"/>
        <v>10000</v>
      </c>
      <c r="W282" s="6" t="str">
        <f>Tab_Data_Flows[[#This Row],[UoM_Source]]</f>
        <v>Mg</v>
      </c>
      <c r="X282" s="139">
        <f>_xlfn.XLOOKUP(Tab_Data_Flows[[#This Row],[Flow_Name]],Tab_Def_Flows[Flow_Name],Tab_Def_Flows[Flow_E2_Fraction'[%']],"N.A.",0,1)</f>
        <v>1</v>
      </c>
      <c r="Y282" s="6">
        <f>IF(D282="Yes",V282*Tab_Data_Flows[[#This Row],[E2_Fraction'[%']]],"N.A.")</f>
        <v>10000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IF(G282="Yes",Tab_Data_Flows[[#This Row],[E4_Fraction'[%']]]*Tab_Data_Flows[[#This Row],[E1_value]],"N.A.")</f>
        <v>0</v>
      </c>
      <c r="AF282" s="6" t="str">
        <f>Tab_Data_Flows[[#This Row],[E1_UoM]]</f>
        <v>Mg</v>
      </c>
      <c r="AG282" s="139">
        <f>_xlfn.XLOOKUP(Tab_Data_Flows[[#This Row],[Flow_Name]],Tab_Def_Flows[Flow_Name],Tab_Def_Flows[Flow_E5_Fraction'[%']],"N.A.",0,1)</f>
        <v>0</v>
      </c>
      <c r="AH282" s="6" t="str">
        <f>IF(H282="Yes",Tab_Data_Flows[[#This Row],[E5_Fraction'[%']]]*Tab_Data_Flows[[#This Row],[E1_value]],"N.A.")</f>
        <v>N.A.</v>
      </c>
      <c r="AI282" s="6" t="str">
        <f>Tab_Data_Flows[[#This Row],[E1_UoM]]</f>
        <v>Mg</v>
      </c>
      <c r="AJ282" s="139">
        <f>_xlfn.XLOOKUP(Tab_Data_Flows[[#This Row],[Flow_Name]],Tab_Def_Flows[Flow_Name],Tab_Def_Flows[Flow_E6_Fraction'[%']],"N.A.",0,1)</f>
        <v>0</v>
      </c>
      <c r="AK282" s="6" t="str">
        <f>IF(Tab_Data_Flows[[#This Row],[Use_E6]]="Yes",Tab_Data_Flows[[#This Row],[E6_Fraction'[%']]]*Tab_Data_Flows[[#This Row],[E1_value]],"N.A.")</f>
        <v>N.A.</v>
      </c>
      <c r="AL282" s="6" t="str">
        <f>Tab_Data_Flows[[#This Row],[E1_UoM]]</f>
        <v>Mg</v>
      </c>
    </row>
    <row r="283" spans="1:38" x14ac:dyDescent="0.25">
      <c r="A283" s="8">
        <f t="shared" si="10"/>
        <v>282</v>
      </c>
      <c r="B283" s="6" t="str">
        <f>_xlfn.XLOOKUP(C283,Tab_Def_Flows[Flow_Name],Tab_Def_Flows[Flow_ID],,0,)</f>
        <v>F_01_09</v>
      </c>
      <c r="C283" s="138" t="s">
        <v>1239</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No</v>
      </c>
      <c r="I283" s="9" t="str">
        <f>_xlfn.XLOOKUP(C283,Tab_Def_Flows[Flow_Name],Tab_Def_Flows[Use_E6],,0,)</f>
        <v>No</v>
      </c>
      <c r="J283" s="7">
        <v>2104</v>
      </c>
      <c r="K283" s="21">
        <v>10000</v>
      </c>
      <c r="L283" s="6" t="str">
        <f>'0_Configuration'!$C$41</f>
        <v>Mg</v>
      </c>
      <c r="M283" s="13"/>
      <c r="N283" s="13"/>
      <c r="O283" s="13"/>
      <c r="P283" s="13"/>
      <c r="Q283" s="13"/>
      <c r="R283" s="7" t="s">
        <v>6</v>
      </c>
      <c r="S283" s="14"/>
      <c r="T283" s="7"/>
      <c r="U283" s="139">
        <f>_xlfn.XLOOKUP(Tab_Data_Flows[[#This Row],[Flow_Name]],Tab_Def_Flows[Flow_Name],Tab_Def_Flows[Flow_E1_Fraction'[%']],"N.A.",0,1)</f>
        <v>1</v>
      </c>
      <c r="V283" s="12">
        <f t="shared" si="9"/>
        <v>10000</v>
      </c>
      <c r="W283" s="6" t="str">
        <f>Tab_Data_Flows[[#This Row],[UoM_Source]]</f>
        <v>Mg</v>
      </c>
      <c r="X283" s="139">
        <f>_xlfn.XLOOKUP(Tab_Data_Flows[[#This Row],[Flow_Name]],Tab_Def_Flows[Flow_Name],Tab_Def_Flows[Flow_E2_Fraction'[%']],"N.A.",0,1)</f>
        <v>1</v>
      </c>
      <c r="Y283" s="6">
        <f>IF(D283="Yes",V283*Tab_Data_Flows[[#This Row],[E2_Fraction'[%']]],"N.A.")</f>
        <v>10000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IF(G283="Yes",Tab_Data_Flows[[#This Row],[E4_Fraction'[%']]]*Tab_Data_Flows[[#This Row],[E1_value]],"N.A.")</f>
        <v>0</v>
      </c>
      <c r="AF283" s="6" t="str">
        <f>Tab_Data_Flows[[#This Row],[E1_UoM]]</f>
        <v>Mg</v>
      </c>
      <c r="AG283" s="139">
        <f>_xlfn.XLOOKUP(Tab_Data_Flows[[#This Row],[Flow_Name]],Tab_Def_Flows[Flow_Name],Tab_Def_Flows[Flow_E5_Fraction'[%']],"N.A.",0,1)</f>
        <v>0</v>
      </c>
      <c r="AH283" s="6" t="str">
        <f>IF(H283="Yes",Tab_Data_Flows[[#This Row],[E5_Fraction'[%']]]*Tab_Data_Flows[[#This Row],[E1_value]],"N.A.")</f>
        <v>N.A.</v>
      </c>
      <c r="AI283" s="6" t="str">
        <f>Tab_Data_Flows[[#This Row],[E1_UoM]]</f>
        <v>Mg</v>
      </c>
      <c r="AJ283" s="139">
        <f>_xlfn.XLOOKUP(Tab_Data_Flows[[#This Row],[Flow_Name]],Tab_Def_Flows[Flow_Name],Tab_Def_Flows[Flow_E6_Fraction'[%']],"N.A.",0,1)</f>
        <v>0</v>
      </c>
      <c r="AK283" s="6" t="str">
        <f>IF(Tab_Data_Flows[[#This Row],[Use_E6]]="Yes",Tab_Data_Flows[[#This Row],[E6_Fraction'[%']]]*Tab_Data_Flows[[#This Row],[E1_value]],"N.A.")</f>
        <v>N.A.</v>
      </c>
      <c r="AL283" s="6" t="str">
        <f>Tab_Data_Flows[[#This Row],[E1_UoM]]</f>
        <v>Mg</v>
      </c>
    </row>
    <row r="284" spans="1:38" x14ac:dyDescent="0.25">
      <c r="A284" s="8">
        <f t="shared" si="10"/>
        <v>283</v>
      </c>
      <c r="B284" s="6" t="str">
        <f>_xlfn.XLOOKUP(C284,Tab_Def_Flows[Flow_Name],Tab_Def_Flows[Flow_ID],,0,)</f>
        <v>F_01_09</v>
      </c>
      <c r="C284" s="138" t="s">
        <v>1239</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No</v>
      </c>
      <c r="I284" s="9" t="str">
        <f>_xlfn.XLOOKUP(C284,Tab_Def_Flows[Flow_Name],Tab_Def_Flows[Use_E6],,0,)</f>
        <v>No</v>
      </c>
      <c r="J284" s="7">
        <v>2105</v>
      </c>
      <c r="K284" s="21">
        <v>10000</v>
      </c>
      <c r="L284" s="6" t="str">
        <f>'0_Configuration'!$C$41</f>
        <v>Mg</v>
      </c>
      <c r="M284" s="13"/>
      <c r="N284" s="13"/>
      <c r="O284" s="13"/>
      <c r="P284" s="13"/>
      <c r="Q284" s="13"/>
      <c r="R284" s="7" t="s">
        <v>6</v>
      </c>
      <c r="S284" s="14"/>
      <c r="T284" s="7"/>
      <c r="U284" s="139">
        <f>_xlfn.XLOOKUP(Tab_Data_Flows[[#This Row],[Flow_Name]],Tab_Def_Flows[Flow_Name],Tab_Def_Flows[Flow_E1_Fraction'[%']],"N.A.",0,1)</f>
        <v>1</v>
      </c>
      <c r="V284" s="12">
        <f t="shared" si="9"/>
        <v>10000</v>
      </c>
      <c r="W284" s="6" t="str">
        <f>Tab_Data_Flows[[#This Row],[UoM_Source]]</f>
        <v>Mg</v>
      </c>
      <c r="X284" s="139">
        <f>_xlfn.XLOOKUP(Tab_Data_Flows[[#This Row],[Flow_Name]],Tab_Def_Flows[Flow_Name],Tab_Def_Flows[Flow_E2_Fraction'[%']],"N.A.",0,1)</f>
        <v>1</v>
      </c>
      <c r="Y284" s="6">
        <f>IF(D284="Yes",V284*Tab_Data_Flows[[#This Row],[E2_Fraction'[%']]],"N.A.")</f>
        <v>10000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IF(G284="Yes",Tab_Data_Flows[[#This Row],[E4_Fraction'[%']]]*Tab_Data_Flows[[#This Row],[E1_value]],"N.A.")</f>
        <v>0</v>
      </c>
      <c r="AF284" s="6" t="str">
        <f>Tab_Data_Flows[[#This Row],[E1_UoM]]</f>
        <v>Mg</v>
      </c>
      <c r="AG284" s="139">
        <f>_xlfn.XLOOKUP(Tab_Data_Flows[[#This Row],[Flow_Name]],Tab_Def_Flows[Flow_Name],Tab_Def_Flows[Flow_E5_Fraction'[%']],"N.A.",0,1)</f>
        <v>0</v>
      </c>
      <c r="AH284" s="6" t="str">
        <f>IF(H284="Yes",Tab_Data_Flows[[#This Row],[E5_Fraction'[%']]]*Tab_Data_Flows[[#This Row],[E1_value]],"N.A.")</f>
        <v>N.A.</v>
      </c>
      <c r="AI284" s="6" t="str">
        <f>Tab_Data_Flows[[#This Row],[E1_UoM]]</f>
        <v>Mg</v>
      </c>
      <c r="AJ284" s="139">
        <f>_xlfn.XLOOKUP(Tab_Data_Flows[[#This Row],[Flow_Name]],Tab_Def_Flows[Flow_Name],Tab_Def_Flows[Flow_E6_Fraction'[%']],"N.A.",0,1)</f>
        <v>0</v>
      </c>
      <c r="AK284" s="6" t="str">
        <f>IF(Tab_Data_Flows[[#This Row],[Use_E6]]="Yes",Tab_Data_Flows[[#This Row],[E6_Fraction'[%']]]*Tab_Data_Flows[[#This Row],[E1_value]],"N.A.")</f>
        <v>N.A.</v>
      </c>
      <c r="AL284" s="6" t="str">
        <f>Tab_Data_Flows[[#This Row],[E1_UoM]]</f>
        <v>Mg</v>
      </c>
    </row>
    <row r="285" spans="1:38" x14ac:dyDescent="0.25">
      <c r="A285" s="8">
        <f t="shared" si="10"/>
        <v>284</v>
      </c>
      <c r="B285" s="6" t="str">
        <f>_xlfn.XLOOKUP(C285,Tab_Def_Flows[Flow_Name],Tab_Def_Flows[Flow_ID],,0,)</f>
        <v>F_01_09</v>
      </c>
      <c r="C285" s="138" t="s">
        <v>1239</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No</v>
      </c>
      <c r="I285" s="9" t="str">
        <f>_xlfn.XLOOKUP(C285,Tab_Def_Flows[Flow_Name],Tab_Def_Flows[Use_E6],,0,)</f>
        <v>No</v>
      </c>
      <c r="J285" s="7">
        <v>2106</v>
      </c>
      <c r="K285" s="21">
        <v>10000</v>
      </c>
      <c r="L285" s="6" t="str">
        <f>'0_Configuration'!$C$41</f>
        <v>Mg</v>
      </c>
      <c r="M285" s="13"/>
      <c r="N285" s="13"/>
      <c r="O285" s="13"/>
      <c r="P285" s="13"/>
      <c r="Q285" s="13"/>
      <c r="R285" s="7" t="s">
        <v>6</v>
      </c>
      <c r="S285" s="14"/>
      <c r="T285" s="7"/>
      <c r="U285" s="139">
        <f>_xlfn.XLOOKUP(Tab_Data_Flows[[#This Row],[Flow_Name]],Tab_Def_Flows[Flow_Name],Tab_Def_Flows[Flow_E1_Fraction'[%']],"N.A.",0,1)</f>
        <v>1</v>
      </c>
      <c r="V285" s="12">
        <f t="shared" si="9"/>
        <v>10000</v>
      </c>
      <c r="W285" s="6" t="str">
        <f>Tab_Data_Flows[[#This Row],[UoM_Source]]</f>
        <v>Mg</v>
      </c>
      <c r="X285" s="139">
        <f>_xlfn.XLOOKUP(Tab_Data_Flows[[#This Row],[Flow_Name]],Tab_Def_Flows[Flow_Name],Tab_Def_Flows[Flow_E2_Fraction'[%']],"N.A.",0,1)</f>
        <v>1</v>
      </c>
      <c r="Y285" s="6">
        <f>IF(D285="Yes",V285*Tab_Data_Flows[[#This Row],[E2_Fraction'[%']]],"N.A.")</f>
        <v>10000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IF(G285="Yes",Tab_Data_Flows[[#This Row],[E4_Fraction'[%']]]*Tab_Data_Flows[[#This Row],[E1_value]],"N.A.")</f>
        <v>0</v>
      </c>
      <c r="AF285" s="6" t="str">
        <f>Tab_Data_Flows[[#This Row],[E1_UoM]]</f>
        <v>Mg</v>
      </c>
      <c r="AG285" s="139">
        <f>_xlfn.XLOOKUP(Tab_Data_Flows[[#This Row],[Flow_Name]],Tab_Def_Flows[Flow_Name],Tab_Def_Flows[Flow_E5_Fraction'[%']],"N.A.",0,1)</f>
        <v>0</v>
      </c>
      <c r="AH285" s="6" t="str">
        <f>IF(H285="Yes",Tab_Data_Flows[[#This Row],[E5_Fraction'[%']]]*Tab_Data_Flows[[#This Row],[E1_value]],"N.A.")</f>
        <v>N.A.</v>
      </c>
      <c r="AI285" s="6" t="str">
        <f>Tab_Data_Flows[[#This Row],[E1_UoM]]</f>
        <v>Mg</v>
      </c>
      <c r="AJ285" s="139">
        <f>_xlfn.XLOOKUP(Tab_Data_Flows[[#This Row],[Flow_Name]],Tab_Def_Flows[Flow_Name],Tab_Def_Flows[Flow_E6_Fraction'[%']],"N.A.",0,1)</f>
        <v>0</v>
      </c>
      <c r="AK285" s="6" t="str">
        <f>IF(Tab_Data_Flows[[#This Row],[Use_E6]]="Yes",Tab_Data_Flows[[#This Row],[E6_Fraction'[%']]]*Tab_Data_Flows[[#This Row],[E1_value]],"N.A.")</f>
        <v>N.A.</v>
      </c>
      <c r="AL285" s="6" t="str">
        <f>Tab_Data_Flows[[#This Row],[E1_UoM]]</f>
        <v>Mg</v>
      </c>
    </row>
    <row r="286" spans="1:38" x14ac:dyDescent="0.25">
      <c r="A286" s="8">
        <f t="shared" si="10"/>
        <v>285</v>
      </c>
      <c r="B286" s="6" t="str">
        <f>_xlfn.XLOOKUP(C286,Tab_Def_Flows[Flow_Name],Tab_Def_Flows[Flow_ID],,0,)</f>
        <v>F_01_09</v>
      </c>
      <c r="C286" s="138" t="s">
        <v>1239</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No</v>
      </c>
      <c r="I286" s="9" t="str">
        <f>_xlfn.XLOOKUP(C286,Tab_Def_Flows[Flow_Name],Tab_Def_Flows[Use_E6],,0,)</f>
        <v>No</v>
      </c>
      <c r="J286" s="7">
        <v>2107</v>
      </c>
      <c r="K286" s="21">
        <v>10000</v>
      </c>
      <c r="L286" s="6" t="str">
        <f>'0_Configuration'!$C$41</f>
        <v>Mg</v>
      </c>
      <c r="M286" s="13"/>
      <c r="N286" s="13"/>
      <c r="O286" s="13"/>
      <c r="P286" s="13"/>
      <c r="Q286" s="13"/>
      <c r="R286" s="7" t="s">
        <v>6</v>
      </c>
      <c r="S286" s="14"/>
      <c r="T286" s="7"/>
      <c r="U286" s="139">
        <f>_xlfn.XLOOKUP(Tab_Data_Flows[[#This Row],[Flow_Name]],Tab_Def_Flows[Flow_Name],Tab_Def_Flows[Flow_E1_Fraction'[%']],"N.A.",0,1)</f>
        <v>1</v>
      </c>
      <c r="V286" s="12">
        <f t="shared" si="9"/>
        <v>10000</v>
      </c>
      <c r="W286" s="6" t="str">
        <f>Tab_Data_Flows[[#This Row],[UoM_Source]]</f>
        <v>Mg</v>
      </c>
      <c r="X286" s="139">
        <f>_xlfn.XLOOKUP(Tab_Data_Flows[[#This Row],[Flow_Name]],Tab_Def_Flows[Flow_Name],Tab_Def_Flows[Flow_E2_Fraction'[%']],"N.A.",0,1)</f>
        <v>1</v>
      </c>
      <c r="Y286" s="6">
        <f>IF(D286="Yes",V286*Tab_Data_Flows[[#This Row],[E2_Fraction'[%']]],"N.A.")</f>
        <v>10000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IF(G286="Yes",Tab_Data_Flows[[#This Row],[E4_Fraction'[%']]]*Tab_Data_Flows[[#This Row],[E1_value]],"N.A.")</f>
        <v>0</v>
      </c>
      <c r="AF286" s="6" t="str">
        <f>Tab_Data_Flows[[#This Row],[E1_UoM]]</f>
        <v>Mg</v>
      </c>
      <c r="AG286" s="139">
        <f>_xlfn.XLOOKUP(Tab_Data_Flows[[#This Row],[Flow_Name]],Tab_Def_Flows[Flow_Name],Tab_Def_Flows[Flow_E5_Fraction'[%']],"N.A.",0,1)</f>
        <v>0</v>
      </c>
      <c r="AH286" s="6" t="str">
        <f>IF(H286="Yes",Tab_Data_Flows[[#This Row],[E5_Fraction'[%']]]*Tab_Data_Flows[[#This Row],[E1_value]],"N.A.")</f>
        <v>N.A.</v>
      </c>
      <c r="AI286" s="6" t="str">
        <f>Tab_Data_Flows[[#This Row],[E1_UoM]]</f>
        <v>Mg</v>
      </c>
      <c r="AJ286" s="139">
        <f>_xlfn.XLOOKUP(Tab_Data_Flows[[#This Row],[Flow_Name]],Tab_Def_Flows[Flow_Name],Tab_Def_Flows[Flow_E6_Fraction'[%']],"N.A.",0,1)</f>
        <v>0</v>
      </c>
      <c r="AK286" s="6" t="str">
        <f>IF(Tab_Data_Flows[[#This Row],[Use_E6]]="Yes",Tab_Data_Flows[[#This Row],[E6_Fraction'[%']]]*Tab_Data_Flows[[#This Row],[E1_value]],"N.A.")</f>
        <v>N.A.</v>
      </c>
      <c r="AL286" s="6" t="str">
        <f>Tab_Data_Flows[[#This Row],[E1_UoM]]</f>
        <v>Mg</v>
      </c>
    </row>
    <row r="287" spans="1:38" x14ac:dyDescent="0.25">
      <c r="A287" s="8">
        <f t="shared" si="10"/>
        <v>286</v>
      </c>
      <c r="B287" s="6" t="str">
        <f>_xlfn.XLOOKUP(C287,Tab_Def_Flows[Flow_Name],Tab_Def_Flows[Flow_ID],,0,)</f>
        <v>F_01_09</v>
      </c>
      <c r="C287" s="138" t="s">
        <v>1239</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No</v>
      </c>
      <c r="I287" s="9" t="str">
        <f>_xlfn.XLOOKUP(C287,Tab_Def_Flows[Flow_Name],Tab_Def_Flows[Use_E6],,0,)</f>
        <v>No</v>
      </c>
      <c r="J287" s="7">
        <v>2108</v>
      </c>
      <c r="K287" s="21">
        <v>10000</v>
      </c>
      <c r="L287" s="6" t="str">
        <f>'0_Configuration'!$C$41</f>
        <v>Mg</v>
      </c>
      <c r="M287" s="13"/>
      <c r="N287" s="13"/>
      <c r="O287" s="13"/>
      <c r="P287" s="13"/>
      <c r="Q287" s="13"/>
      <c r="R287" s="7" t="s">
        <v>6</v>
      </c>
      <c r="S287" s="14"/>
      <c r="T287" s="7"/>
      <c r="U287" s="139">
        <f>_xlfn.XLOOKUP(Tab_Data_Flows[[#This Row],[Flow_Name]],Tab_Def_Flows[Flow_Name],Tab_Def_Flows[Flow_E1_Fraction'[%']],"N.A.",0,1)</f>
        <v>1</v>
      </c>
      <c r="V287" s="12">
        <f t="shared" si="9"/>
        <v>10000</v>
      </c>
      <c r="W287" s="6" t="str">
        <f>Tab_Data_Flows[[#This Row],[UoM_Source]]</f>
        <v>Mg</v>
      </c>
      <c r="X287" s="139">
        <f>_xlfn.XLOOKUP(Tab_Data_Flows[[#This Row],[Flow_Name]],Tab_Def_Flows[Flow_Name],Tab_Def_Flows[Flow_E2_Fraction'[%']],"N.A.",0,1)</f>
        <v>1</v>
      </c>
      <c r="Y287" s="6">
        <f>IF(D287="Yes",V287*Tab_Data_Flows[[#This Row],[E2_Fraction'[%']]],"N.A.")</f>
        <v>10000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IF(G287="Yes",Tab_Data_Flows[[#This Row],[E4_Fraction'[%']]]*Tab_Data_Flows[[#This Row],[E1_value]],"N.A.")</f>
        <v>0</v>
      </c>
      <c r="AF287" s="6" t="str">
        <f>Tab_Data_Flows[[#This Row],[E1_UoM]]</f>
        <v>Mg</v>
      </c>
      <c r="AG287" s="139">
        <f>_xlfn.XLOOKUP(Tab_Data_Flows[[#This Row],[Flow_Name]],Tab_Def_Flows[Flow_Name],Tab_Def_Flows[Flow_E5_Fraction'[%']],"N.A.",0,1)</f>
        <v>0</v>
      </c>
      <c r="AH287" s="6" t="str">
        <f>IF(H287="Yes",Tab_Data_Flows[[#This Row],[E5_Fraction'[%']]]*Tab_Data_Flows[[#This Row],[E1_value]],"N.A.")</f>
        <v>N.A.</v>
      </c>
      <c r="AI287" s="6" t="str">
        <f>Tab_Data_Flows[[#This Row],[E1_UoM]]</f>
        <v>Mg</v>
      </c>
      <c r="AJ287" s="139">
        <f>_xlfn.XLOOKUP(Tab_Data_Flows[[#This Row],[Flow_Name]],Tab_Def_Flows[Flow_Name],Tab_Def_Flows[Flow_E6_Fraction'[%']],"N.A.",0,1)</f>
        <v>0</v>
      </c>
      <c r="AK287" s="6" t="str">
        <f>IF(Tab_Data_Flows[[#This Row],[Use_E6]]="Yes",Tab_Data_Flows[[#This Row],[E6_Fraction'[%']]]*Tab_Data_Flows[[#This Row],[E1_value]],"N.A.")</f>
        <v>N.A.</v>
      </c>
      <c r="AL287" s="6" t="str">
        <f>Tab_Data_Flows[[#This Row],[E1_UoM]]</f>
        <v>Mg</v>
      </c>
    </row>
    <row r="288" spans="1:38" x14ac:dyDescent="0.25">
      <c r="A288" s="8">
        <f t="shared" si="10"/>
        <v>287</v>
      </c>
      <c r="B288" s="6" t="str">
        <f>_xlfn.XLOOKUP(C288,Tab_Def_Flows[Flow_Name],Tab_Def_Flows[Flow_ID],,0,)</f>
        <v>F_01_09</v>
      </c>
      <c r="C288" s="138" t="s">
        <v>1239</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No</v>
      </c>
      <c r="I288" s="9" t="str">
        <f>_xlfn.XLOOKUP(C288,Tab_Def_Flows[Flow_Name],Tab_Def_Flows[Use_E6],,0,)</f>
        <v>No</v>
      </c>
      <c r="J288" s="7">
        <v>2109</v>
      </c>
      <c r="K288" s="21">
        <v>10000</v>
      </c>
      <c r="L288" s="6" t="str">
        <f>'0_Configuration'!$C$41</f>
        <v>Mg</v>
      </c>
      <c r="M288" s="13"/>
      <c r="N288" s="13"/>
      <c r="O288" s="13"/>
      <c r="P288" s="13"/>
      <c r="Q288" s="13"/>
      <c r="R288" s="7" t="s">
        <v>6</v>
      </c>
      <c r="S288" s="14"/>
      <c r="T288" s="7"/>
      <c r="U288" s="139">
        <f>_xlfn.XLOOKUP(Tab_Data_Flows[[#This Row],[Flow_Name]],Tab_Def_Flows[Flow_Name],Tab_Def_Flows[Flow_E1_Fraction'[%']],"N.A.",0,1)</f>
        <v>1</v>
      </c>
      <c r="V288" s="12">
        <f t="shared" si="9"/>
        <v>10000</v>
      </c>
      <c r="W288" s="6" t="str">
        <f>Tab_Data_Flows[[#This Row],[UoM_Source]]</f>
        <v>Mg</v>
      </c>
      <c r="X288" s="139">
        <f>_xlfn.XLOOKUP(Tab_Data_Flows[[#This Row],[Flow_Name]],Tab_Def_Flows[Flow_Name],Tab_Def_Flows[Flow_E2_Fraction'[%']],"N.A.",0,1)</f>
        <v>1</v>
      </c>
      <c r="Y288" s="6">
        <f>IF(D288="Yes",V288*Tab_Data_Flows[[#This Row],[E2_Fraction'[%']]],"N.A.")</f>
        <v>10000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IF(G288="Yes",Tab_Data_Flows[[#This Row],[E4_Fraction'[%']]]*Tab_Data_Flows[[#This Row],[E1_value]],"N.A.")</f>
        <v>0</v>
      </c>
      <c r="AF288" s="6" t="str">
        <f>Tab_Data_Flows[[#This Row],[E1_UoM]]</f>
        <v>Mg</v>
      </c>
      <c r="AG288" s="139">
        <f>_xlfn.XLOOKUP(Tab_Data_Flows[[#This Row],[Flow_Name]],Tab_Def_Flows[Flow_Name],Tab_Def_Flows[Flow_E5_Fraction'[%']],"N.A.",0,1)</f>
        <v>0</v>
      </c>
      <c r="AH288" s="6" t="str">
        <f>IF(H288="Yes",Tab_Data_Flows[[#This Row],[E5_Fraction'[%']]]*Tab_Data_Flows[[#This Row],[E1_value]],"N.A.")</f>
        <v>N.A.</v>
      </c>
      <c r="AI288" s="6" t="str">
        <f>Tab_Data_Flows[[#This Row],[E1_UoM]]</f>
        <v>Mg</v>
      </c>
      <c r="AJ288" s="139">
        <f>_xlfn.XLOOKUP(Tab_Data_Flows[[#This Row],[Flow_Name]],Tab_Def_Flows[Flow_Name],Tab_Def_Flows[Flow_E6_Fraction'[%']],"N.A.",0,1)</f>
        <v>0</v>
      </c>
      <c r="AK288" s="6" t="str">
        <f>IF(Tab_Data_Flows[[#This Row],[Use_E6]]="Yes",Tab_Data_Flows[[#This Row],[E6_Fraction'[%']]]*Tab_Data_Flows[[#This Row],[E1_value]],"N.A.")</f>
        <v>N.A.</v>
      </c>
      <c r="AL288" s="6" t="str">
        <f>Tab_Data_Flows[[#This Row],[E1_UoM]]</f>
        <v>Mg</v>
      </c>
    </row>
    <row r="289" spans="1:38" x14ac:dyDescent="0.25">
      <c r="A289" s="8">
        <f t="shared" si="10"/>
        <v>288</v>
      </c>
      <c r="B289" s="6" t="str">
        <f>_xlfn.XLOOKUP(C289,Tab_Def_Flows[Flow_Name],Tab_Def_Flows[Flow_ID],,0,)</f>
        <v>F_01_09</v>
      </c>
      <c r="C289" s="138" t="s">
        <v>1239</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No</v>
      </c>
      <c r="I289" s="9" t="str">
        <f>_xlfn.XLOOKUP(C289,Tab_Def_Flows[Flow_Name],Tab_Def_Flows[Use_E6],,0,)</f>
        <v>No</v>
      </c>
      <c r="J289" s="7">
        <v>2110</v>
      </c>
      <c r="K289" s="21">
        <v>10000</v>
      </c>
      <c r="L289" s="6" t="str">
        <f>'0_Configuration'!$C$41</f>
        <v>Mg</v>
      </c>
      <c r="M289" s="13"/>
      <c r="N289" s="13"/>
      <c r="O289" s="13"/>
      <c r="P289" s="13"/>
      <c r="Q289" s="13"/>
      <c r="R289" s="7" t="s">
        <v>6</v>
      </c>
      <c r="S289" s="14"/>
      <c r="T289" s="7"/>
      <c r="U289" s="139">
        <f>_xlfn.XLOOKUP(Tab_Data_Flows[[#This Row],[Flow_Name]],Tab_Def_Flows[Flow_Name],Tab_Def_Flows[Flow_E1_Fraction'[%']],"N.A.",0,1)</f>
        <v>1</v>
      </c>
      <c r="V289" s="12">
        <f t="shared" si="9"/>
        <v>10000</v>
      </c>
      <c r="W289" s="6" t="str">
        <f>Tab_Data_Flows[[#This Row],[UoM_Source]]</f>
        <v>Mg</v>
      </c>
      <c r="X289" s="139">
        <f>_xlfn.XLOOKUP(Tab_Data_Flows[[#This Row],[Flow_Name]],Tab_Def_Flows[Flow_Name],Tab_Def_Flows[Flow_E2_Fraction'[%']],"N.A.",0,1)</f>
        <v>1</v>
      </c>
      <c r="Y289" s="6">
        <f>IF(D289="Yes",V289*Tab_Data_Flows[[#This Row],[E2_Fraction'[%']]],"N.A.")</f>
        <v>10000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IF(G289="Yes",Tab_Data_Flows[[#This Row],[E4_Fraction'[%']]]*Tab_Data_Flows[[#This Row],[E1_value]],"N.A.")</f>
        <v>0</v>
      </c>
      <c r="AF289" s="6" t="str">
        <f>Tab_Data_Flows[[#This Row],[E1_UoM]]</f>
        <v>Mg</v>
      </c>
      <c r="AG289" s="139">
        <f>_xlfn.XLOOKUP(Tab_Data_Flows[[#This Row],[Flow_Name]],Tab_Def_Flows[Flow_Name],Tab_Def_Flows[Flow_E5_Fraction'[%']],"N.A.",0,1)</f>
        <v>0</v>
      </c>
      <c r="AH289" s="6" t="str">
        <f>IF(H289="Yes",Tab_Data_Flows[[#This Row],[E5_Fraction'[%']]]*Tab_Data_Flows[[#This Row],[E1_value]],"N.A.")</f>
        <v>N.A.</v>
      </c>
      <c r="AI289" s="6" t="str">
        <f>Tab_Data_Flows[[#This Row],[E1_UoM]]</f>
        <v>Mg</v>
      </c>
      <c r="AJ289" s="139">
        <f>_xlfn.XLOOKUP(Tab_Data_Flows[[#This Row],[Flow_Name]],Tab_Def_Flows[Flow_Name],Tab_Def_Flows[Flow_E6_Fraction'[%']],"N.A.",0,1)</f>
        <v>0</v>
      </c>
      <c r="AK289" s="6" t="str">
        <f>IF(Tab_Data_Flows[[#This Row],[Use_E6]]="Yes",Tab_Data_Flows[[#This Row],[E6_Fraction'[%']]]*Tab_Data_Flows[[#This Row],[E1_value]],"N.A.")</f>
        <v>N.A.</v>
      </c>
      <c r="AL289" s="6" t="str">
        <f>Tab_Data_Flows[[#This Row],[E1_UoM]]</f>
        <v>Mg</v>
      </c>
    </row>
    <row r="290" spans="1:38" x14ac:dyDescent="0.25">
      <c r="A290" s="8">
        <f t="shared" si="10"/>
        <v>289</v>
      </c>
      <c r="B290" s="6" t="str">
        <f>_xlfn.XLOOKUP(C290,Tab_Def_Flows[Flow_Name],Tab_Def_Flows[Flow_ID],,0,)</f>
        <v>F_01_09</v>
      </c>
      <c r="C290" s="138" t="s">
        <v>1239</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No</v>
      </c>
      <c r="I290" s="9" t="str">
        <f>_xlfn.XLOOKUP(C290,Tab_Def_Flows[Flow_Name],Tab_Def_Flows[Use_E6],,0,)</f>
        <v>No</v>
      </c>
      <c r="J290" s="7">
        <v>2111</v>
      </c>
      <c r="K290" s="21">
        <v>10000</v>
      </c>
      <c r="L290" s="6" t="str">
        <f>'0_Configuration'!$C$41</f>
        <v>Mg</v>
      </c>
      <c r="M290" s="13"/>
      <c r="N290" s="13"/>
      <c r="O290" s="13"/>
      <c r="P290" s="13"/>
      <c r="Q290" s="13"/>
      <c r="R290" s="7" t="s">
        <v>6</v>
      </c>
      <c r="S290" s="14"/>
      <c r="T290" s="7"/>
      <c r="U290" s="139">
        <f>_xlfn.XLOOKUP(Tab_Data_Flows[[#This Row],[Flow_Name]],Tab_Def_Flows[Flow_Name],Tab_Def_Flows[Flow_E1_Fraction'[%']],"N.A.",0,1)</f>
        <v>1</v>
      </c>
      <c r="V290" s="12">
        <f t="shared" si="9"/>
        <v>10000</v>
      </c>
      <c r="W290" s="6" t="str">
        <f>Tab_Data_Flows[[#This Row],[UoM_Source]]</f>
        <v>Mg</v>
      </c>
      <c r="X290" s="139">
        <f>_xlfn.XLOOKUP(Tab_Data_Flows[[#This Row],[Flow_Name]],Tab_Def_Flows[Flow_Name],Tab_Def_Flows[Flow_E2_Fraction'[%']],"N.A.",0,1)</f>
        <v>1</v>
      </c>
      <c r="Y290" s="6">
        <f>IF(D290="Yes",V290*Tab_Data_Flows[[#This Row],[E2_Fraction'[%']]],"N.A.")</f>
        <v>10000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IF(G290="Yes",Tab_Data_Flows[[#This Row],[E4_Fraction'[%']]]*Tab_Data_Flows[[#This Row],[E1_value]],"N.A.")</f>
        <v>0</v>
      </c>
      <c r="AF290" s="6" t="str">
        <f>Tab_Data_Flows[[#This Row],[E1_UoM]]</f>
        <v>Mg</v>
      </c>
      <c r="AG290" s="139">
        <f>_xlfn.XLOOKUP(Tab_Data_Flows[[#This Row],[Flow_Name]],Tab_Def_Flows[Flow_Name],Tab_Def_Flows[Flow_E5_Fraction'[%']],"N.A.",0,1)</f>
        <v>0</v>
      </c>
      <c r="AH290" s="6" t="str">
        <f>IF(H290="Yes",Tab_Data_Flows[[#This Row],[E5_Fraction'[%']]]*Tab_Data_Flows[[#This Row],[E1_value]],"N.A.")</f>
        <v>N.A.</v>
      </c>
      <c r="AI290" s="6" t="str">
        <f>Tab_Data_Flows[[#This Row],[E1_UoM]]</f>
        <v>Mg</v>
      </c>
      <c r="AJ290" s="139">
        <f>_xlfn.XLOOKUP(Tab_Data_Flows[[#This Row],[Flow_Name]],Tab_Def_Flows[Flow_Name],Tab_Def_Flows[Flow_E6_Fraction'[%']],"N.A.",0,1)</f>
        <v>0</v>
      </c>
      <c r="AK290" s="6" t="str">
        <f>IF(Tab_Data_Flows[[#This Row],[Use_E6]]="Yes",Tab_Data_Flows[[#This Row],[E6_Fraction'[%']]]*Tab_Data_Flows[[#This Row],[E1_value]],"N.A.")</f>
        <v>N.A.</v>
      </c>
      <c r="AL290" s="6" t="str">
        <f>Tab_Data_Flows[[#This Row],[E1_UoM]]</f>
        <v>Mg</v>
      </c>
    </row>
    <row r="291" spans="1:38" x14ac:dyDescent="0.25">
      <c r="A291" s="8">
        <f t="shared" si="10"/>
        <v>290</v>
      </c>
      <c r="B291" s="6" t="str">
        <f>_xlfn.XLOOKUP(C291,Tab_Def_Flows[Flow_Name],Tab_Def_Flows[Flow_ID],,0,)</f>
        <v>F_01_09</v>
      </c>
      <c r="C291" s="138" t="s">
        <v>1239</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No</v>
      </c>
      <c r="I291" s="9" t="str">
        <f>_xlfn.XLOOKUP(C291,Tab_Def_Flows[Flow_Name],Tab_Def_Flows[Use_E6],,0,)</f>
        <v>No</v>
      </c>
      <c r="J291" s="7">
        <v>2112</v>
      </c>
      <c r="K291" s="21">
        <v>10000</v>
      </c>
      <c r="L291" s="6" t="str">
        <f>'0_Configuration'!$C$41</f>
        <v>Mg</v>
      </c>
      <c r="M291" s="13"/>
      <c r="N291" s="13"/>
      <c r="O291" s="13"/>
      <c r="P291" s="13"/>
      <c r="Q291" s="13"/>
      <c r="R291" s="7" t="s">
        <v>6</v>
      </c>
      <c r="S291" s="14"/>
      <c r="T291" s="7"/>
      <c r="U291" s="139">
        <f>_xlfn.XLOOKUP(Tab_Data_Flows[[#This Row],[Flow_Name]],Tab_Def_Flows[Flow_Name],Tab_Def_Flows[Flow_E1_Fraction'[%']],"N.A.",0,1)</f>
        <v>1</v>
      </c>
      <c r="V291" s="12">
        <f t="shared" si="9"/>
        <v>10000</v>
      </c>
      <c r="W291" s="6" t="str">
        <f>Tab_Data_Flows[[#This Row],[UoM_Source]]</f>
        <v>Mg</v>
      </c>
      <c r="X291" s="139">
        <f>_xlfn.XLOOKUP(Tab_Data_Flows[[#This Row],[Flow_Name]],Tab_Def_Flows[Flow_Name],Tab_Def_Flows[Flow_E2_Fraction'[%']],"N.A.",0,1)</f>
        <v>1</v>
      </c>
      <c r="Y291" s="6">
        <f>IF(D291="Yes",V291*Tab_Data_Flows[[#This Row],[E2_Fraction'[%']]],"N.A.")</f>
        <v>10000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IF(G291="Yes",Tab_Data_Flows[[#This Row],[E4_Fraction'[%']]]*Tab_Data_Flows[[#This Row],[E1_value]],"N.A.")</f>
        <v>0</v>
      </c>
      <c r="AF291" s="6" t="str">
        <f>Tab_Data_Flows[[#This Row],[E1_UoM]]</f>
        <v>Mg</v>
      </c>
      <c r="AG291" s="139">
        <f>_xlfn.XLOOKUP(Tab_Data_Flows[[#This Row],[Flow_Name]],Tab_Def_Flows[Flow_Name],Tab_Def_Flows[Flow_E5_Fraction'[%']],"N.A.",0,1)</f>
        <v>0</v>
      </c>
      <c r="AH291" s="6" t="str">
        <f>IF(H291="Yes",Tab_Data_Flows[[#This Row],[E5_Fraction'[%']]]*Tab_Data_Flows[[#This Row],[E1_value]],"N.A.")</f>
        <v>N.A.</v>
      </c>
      <c r="AI291" s="6" t="str">
        <f>Tab_Data_Flows[[#This Row],[E1_UoM]]</f>
        <v>Mg</v>
      </c>
      <c r="AJ291" s="139">
        <f>_xlfn.XLOOKUP(Tab_Data_Flows[[#This Row],[Flow_Name]],Tab_Def_Flows[Flow_Name],Tab_Def_Flows[Flow_E6_Fraction'[%']],"N.A.",0,1)</f>
        <v>0</v>
      </c>
      <c r="AK291" s="6" t="str">
        <f>IF(Tab_Data_Flows[[#This Row],[Use_E6]]="Yes",Tab_Data_Flows[[#This Row],[E6_Fraction'[%']]]*Tab_Data_Flows[[#This Row],[E1_value]],"N.A.")</f>
        <v>N.A.</v>
      </c>
      <c r="AL291" s="6" t="str">
        <f>Tab_Data_Flows[[#This Row],[E1_UoM]]</f>
        <v>Mg</v>
      </c>
    </row>
    <row r="292" spans="1:38" x14ac:dyDescent="0.25">
      <c r="A292" s="8">
        <f t="shared" si="10"/>
        <v>291</v>
      </c>
      <c r="B292" s="6" t="str">
        <f>_xlfn.XLOOKUP(C292,Tab_Def_Flows[Flow_Name],Tab_Def_Flows[Flow_ID],,0,)</f>
        <v>F_01_09</v>
      </c>
      <c r="C292" s="138" t="s">
        <v>1239</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No</v>
      </c>
      <c r="I292" s="9" t="str">
        <f>_xlfn.XLOOKUP(C292,Tab_Def_Flows[Flow_Name],Tab_Def_Flows[Use_E6],,0,)</f>
        <v>No</v>
      </c>
      <c r="J292" s="7">
        <v>2113</v>
      </c>
      <c r="K292" s="21">
        <v>10000</v>
      </c>
      <c r="L292" s="6" t="str">
        <f>'0_Configuration'!$C$41</f>
        <v>Mg</v>
      </c>
      <c r="M292" s="13"/>
      <c r="N292" s="13"/>
      <c r="O292" s="13"/>
      <c r="P292" s="13"/>
      <c r="Q292" s="13"/>
      <c r="R292" s="7" t="s">
        <v>6</v>
      </c>
      <c r="S292" s="14"/>
      <c r="T292" s="7"/>
      <c r="U292" s="139">
        <f>_xlfn.XLOOKUP(Tab_Data_Flows[[#This Row],[Flow_Name]],Tab_Def_Flows[Flow_Name],Tab_Def_Flows[Flow_E1_Fraction'[%']],"N.A.",0,1)</f>
        <v>1</v>
      </c>
      <c r="V292" s="12">
        <f t="shared" si="9"/>
        <v>10000</v>
      </c>
      <c r="W292" s="6" t="str">
        <f>Tab_Data_Flows[[#This Row],[UoM_Source]]</f>
        <v>Mg</v>
      </c>
      <c r="X292" s="139">
        <f>_xlfn.XLOOKUP(Tab_Data_Flows[[#This Row],[Flow_Name]],Tab_Def_Flows[Flow_Name],Tab_Def_Flows[Flow_E2_Fraction'[%']],"N.A.",0,1)</f>
        <v>1</v>
      </c>
      <c r="Y292" s="6">
        <f>IF(D292="Yes",V292*Tab_Data_Flows[[#This Row],[E2_Fraction'[%']]],"N.A.")</f>
        <v>10000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IF(G292="Yes",Tab_Data_Flows[[#This Row],[E4_Fraction'[%']]]*Tab_Data_Flows[[#This Row],[E1_value]],"N.A.")</f>
        <v>0</v>
      </c>
      <c r="AF292" s="6" t="str">
        <f>Tab_Data_Flows[[#This Row],[E1_UoM]]</f>
        <v>Mg</v>
      </c>
      <c r="AG292" s="139">
        <f>_xlfn.XLOOKUP(Tab_Data_Flows[[#This Row],[Flow_Name]],Tab_Def_Flows[Flow_Name],Tab_Def_Flows[Flow_E5_Fraction'[%']],"N.A.",0,1)</f>
        <v>0</v>
      </c>
      <c r="AH292" s="6" t="str">
        <f>IF(H292="Yes",Tab_Data_Flows[[#This Row],[E5_Fraction'[%']]]*Tab_Data_Flows[[#This Row],[E1_value]],"N.A.")</f>
        <v>N.A.</v>
      </c>
      <c r="AI292" s="6" t="str">
        <f>Tab_Data_Flows[[#This Row],[E1_UoM]]</f>
        <v>Mg</v>
      </c>
      <c r="AJ292" s="139">
        <f>_xlfn.XLOOKUP(Tab_Data_Flows[[#This Row],[Flow_Name]],Tab_Def_Flows[Flow_Name],Tab_Def_Flows[Flow_E6_Fraction'[%']],"N.A.",0,1)</f>
        <v>0</v>
      </c>
      <c r="AK292" s="6" t="str">
        <f>IF(Tab_Data_Flows[[#This Row],[Use_E6]]="Yes",Tab_Data_Flows[[#This Row],[E6_Fraction'[%']]]*Tab_Data_Flows[[#This Row],[E1_value]],"N.A.")</f>
        <v>N.A.</v>
      </c>
      <c r="AL292" s="6" t="str">
        <f>Tab_Data_Flows[[#This Row],[E1_UoM]]</f>
        <v>Mg</v>
      </c>
    </row>
    <row r="293" spans="1:38" x14ac:dyDescent="0.25">
      <c r="A293" s="8">
        <f t="shared" si="10"/>
        <v>292</v>
      </c>
      <c r="B293" s="6" t="str">
        <f>_xlfn.XLOOKUP(C293,Tab_Def_Flows[Flow_Name],Tab_Def_Flows[Flow_ID],,0,)</f>
        <v>F_01_09</v>
      </c>
      <c r="C293" s="138" t="s">
        <v>1239</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No</v>
      </c>
      <c r="I293" s="9" t="str">
        <f>_xlfn.XLOOKUP(C293,Tab_Def_Flows[Flow_Name],Tab_Def_Flows[Use_E6],,0,)</f>
        <v>No</v>
      </c>
      <c r="J293" s="7">
        <v>2114</v>
      </c>
      <c r="K293" s="21">
        <v>10000</v>
      </c>
      <c r="L293" s="6" t="str">
        <f>'0_Configuration'!$C$41</f>
        <v>Mg</v>
      </c>
      <c r="M293" s="13"/>
      <c r="N293" s="13"/>
      <c r="O293" s="13"/>
      <c r="P293" s="13"/>
      <c r="Q293" s="13"/>
      <c r="R293" s="7" t="s">
        <v>6</v>
      </c>
      <c r="S293" s="14"/>
      <c r="T293" s="7"/>
      <c r="U293" s="139">
        <f>_xlfn.XLOOKUP(Tab_Data_Flows[[#This Row],[Flow_Name]],Tab_Def_Flows[Flow_Name],Tab_Def_Flows[Flow_E1_Fraction'[%']],"N.A.",0,1)</f>
        <v>1</v>
      </c>
      <c r="V293" s="12">
        <f t="shared" si="9"/>
        <v>10000</v>
      </c>
      <c r="W293" s="6" t="str">
        <f>Tab_Data_Flows[[#This Row],[UoM_Source]]</f>
        <v>Mg</v>
      </c>
      <c r="X293" s="139">
        <f>_xlfn.XLOOKUP(Tab_Data_Flows[[#This Row],[Flow_Name]],Tab_Def_Flows[Flow_Name],Tab_Def_Flows[Flow_E2_Fraction'[%']],"N.A.",0,1)</f>
        <v>1</v>
      </c>
      <c r="Y293" s="6">
        <f>IF(D293="Yes",V293*Tab_Data_Flows[[#This Row],[E2_Fraction'[%']]],"N.A.")</f>
        <v>10000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IF(G293="Yes",Tab_Data_Flows[[#This Row],[E4_Fraction'[%']]]*Tab_Data_Flows[[#This Row],[E1_value]],"N.A.")</f>
        <v>0</v>
      </c>
      <c r="AF293" s="6" t="str">
        <f>Tab_Data_Flows[[#This Row],[E1_UoM]]</f>
        <v>Mg</v>
      </c>
      <c r="AG293" s="139">
        <f>_xlfn.XLOOKUP(Tab_Data_Flows[[#This Row],[Flow_Name]],Tab_Def_Flows[Flow_Name],Tab_Def_Flows[Flow_E5_Fraction'[%']],"N.A.",0,1)</f>
        <v>0</v>
      </c>
      <c r="AH293" s="6" t="str">
        <f>IF(H293="Yes",Tab_Data_Flows[[#This Row],[E5_Fraction'[%']]]*Tab_Data_Flows[[#This Row],[E1_value]],"N.A.")</f>
        <v>N.A.</v>
      </c>
      <c r="AI293" s="6" t="str">
        <f>Tab_Data_Flows[[#This Row],[E1_UoM]]</f>
        <v>Mg</v>
      </c>
      <c r="AJ293" s="139">
        <f>_xlfn.XLOOKUP(Tab_Data_Flows[[#This Row],[Flow_Name]],Tab_Def_Flows[Flow_Name],Tab_Def_Flows[Flow_E6_Fraction'[%']],"N.A.",0,1)</f>
        <v>0</v>
      </c>
      <c r="AK293" s="6" t="str">
        <f>IF(Tab_Data_Flows[[#This Row],[Use_E6]]="Yes",Tab_Data_Flows[[#This Row],[E6_Fraction'[%']]]*Tab_Data_Flows[[#This Row],[E1_value]],"N.A.")</f>
        <v>N.A.</v>
      </c>
      <c r="AL293" s="6" t="str">
        <f>Tab_Data_Flows[[#This Row],[E1_UoM]]</f>
        <v>Mg</v>
      </c>
    </row>
    <row r="294" spans="1:38" x14ac:dyDescent="0.25">
      <c r="A294" s="8">
        <f t="shared" si="10"/>
        <v>293</v>
      </c>
      <c r="B294" s="6" t="str">
        <f>_xlfn.XLOOKUP(C294,Tab_Def_Flows[Flow_Name],Tab_Def_Flows[Flow_ID],,0,)</f>
        <v>F_01_09</v>
      </c>
      <c r="C294" s="138" t="s">
        <v>1239</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No</v>
      </c>
      <c r="I294" s="9" t="str">
        <f>_xlfn.XLOOKUP(C294,Tab_Def_Flows[Flow_Name],Tab_Def_Flows[Use_E6],,0,)</f>
        <v>No</v>
      </c>
      <c r="J294" s="7">
        <v>2115</v>
      </c>
      <c r="K294" s="21">
        <v>10000</v>
      </c>
      <c r="L294" s="6" t="str">
        <f>'0_Configuration'!$C$41</f>
        <v>Mg</v>
      </c>
      <c r="M294" s="13"/>
      <c r="N294" s="13"/>
      <c r="O294" s="13"/>
      <c r="P294" s="13"/>
      <c r="Q294" s="13"/>
      <c r="R294" s="7" t="s">
        <v>6</v>
      </c>
      <c r="S294" s="14"/>
      <c r="T294" s="7"/>
      <c r="U294" s="139">
        <f>_xlfn.XLOOKUP(Tab_Data_Flows[[#This Row],[Flow_Name]],Tab_Def_Flows[Flow_Name],Tab_Def_Flows[Flow_E1_Fraction'[%']],"N.A.",0,1)</f>
        <v>1</v>
      </c>
      <c r="V294" s="12">
        <f t="shared" si="9"/>
        <v>10000</v>
      </c>
      <c r="W294" s="6" t="str">
        <f>Tab_Data_Flows[[#This Row],[UoM_Source]]</f>
        <v>Mg</v>
      </c>
      <c r="X294" s="139">
        <f>_xlfn.XLOOKUP(Tab_Data_Flows[[#This Row],[Flow_Name]],Tab_Def_Flows[Flow_Name],Tab_Def_Flows[Flow_E2_Fraction'[%']],"N.A.",0,1)</f>
        <v>1</v>
      </c>
      <c r="Y294" s="6">
        <f>IF(D294="Yes",V294*Tab_Data_Flows[[#This Row],[E2_Fraction'[%']]],"N.A.")</f>
        <v>10000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IF(G294="Yes",Tab_Data_Flows[[#This Row],[E4_Fraction'[%']]]*Tab_Data_Flows[[#This Row],[E1_value]],"N.A.")</f>
        <v>0</v>
      </c>
      <c r="AF294" s="6" t="str">
        <f>Tab_Data_Flows[[#This Row],[E1_UoM]]</f>
        <v>Mg</v>
      </c>
      <c r="AG294" s="139">
        <f>_xlfn.XLOOKUP(Tab_Data_Flows[[#This Row],[Flow_Name]],Tab_Def_Flows[Flow_Name],Tab_Def_Flows[Flow_E5_Fraction'[%']],"N.A.",0,1)</f>
        <v>0</v>
      </c>
      <c r="AH294" s="6" t="str">
        <f>IF(H294="Yes",Tab_Data_Flows[[#This Row],[E5_Fraction'[%']]]*Tab_Data_Flows[[#This Row],[E1_value]],"N.A.")</f>
        <v>N.A.</v>
      </c>
      <c r="AI294" s="6" t="str">
        <f>Tab_Data_Flows[[#This Row],[E1_UoM]]</f>
        <v>Mg</v>
      </c>
      <c r="AJ294" s="139">
        <f>_xlfn.XLOOKUP(Tab_Data_Flows[[#This Row],[Flow_Name]],Tab_Def_Flows[Flow_Name],Tab_Def_Flows[Flow_E6_Fraction'[%']],"N.A.",0,1)</f>
        <v>0</v>
      </c>
      <c r="AK294" s="6" t="str">
        <f>IF(Tab_Data_Flows[[#This Row],[Use_E6]]="Yes",Tab_Data_Flows[[#This Row],[E6_Fraction'[%']]]*Tab_Data_Flows[[#This Row],[E1_value]],"N.A.")</f>
        <v>N.A.</v>
      </c>
      <c r="AL294" s="6" t="str">
        <f>Tab_Data_Flows[[#This Row],[E1_UoM]]</f>
        <v>Mg</v>
      </c>
    </row>
    <row r="295" spans="1:38" x14ac:dyDescent="0.25">
      <c r="A295" s="8">
        <f t="shared" si="10"/>
        <v>294</v>
      </c>
      <c r="B295" s="6" t="str">
        <f>_xlfn.XLOOKUP(C295,Tab_Def_Flows[Flow_Name],Tab_Def_Flows[Flow_ID],,0,)</f>
        <v>F_01_09</v>
      </c>
      <c r="C295" s="138" t="s">
        <v>1239</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No</v>
      </c>
      <c r="I295" s="9" t="str">
        <f>_xlfn.XLOOKUP(C295,Tab_Def_Flows[Flow_Name],Tab_Def_Flows[Use_E6],,0,)</f>
        <v>No</v>
      </c>
      <c r="J295" s="7">
        <v>2116</v>
      </c>
      <c r="K295" s="21">
        <v>10000</v>
      </c>
      <c r="L295" s="6" t="str">
        <f>'0_Configuration'!$C$41</f>
        <v>Mg</v>
      </c>
      <c r="M295" s="13"/>
      <c r="N295" s="13"/>
      <c r="O295" s="13"/>
      <c r="P295" s="13"/>
      <c r="Q295" s="13"/>
      <c r="R295" s="7" t="s">
        <v>6</v>
      </c>
      <c r="S295" s="14"/>
      <c r="T295" s="7"/>
      <c r="U295" s="139">
        <f>_xlfn.XLOOKUP(Tab_Data_Flows[[#This Row],[Flow_Name]],Tab_Def_Flows[Flow_Name],Tab_Def_Flows[Flow_E1_Fraction'[%']],"N.A.",0,1)</f>
        <v>1</v>
      </c>
      <c r="V295" s="12">
        <f t="shared" si="9"/>
        <v>10000</v>
      </c>
      <c r="W295" s="6" t="str">
        <f>Tab_Data_Flows[[#This Row],[UoM_Source]]</f>
        <v>Mg</v>
      </c>
      <c r="X295" s="139">
        <f>_xlfn.XLOOKUP(Tab_Data_Flows[[#This Row],[Flow_Name]],Tab_Def_Flows[Flow_Name],Tab_Def_Flows[Flow_E2_Fraction'[%']],"N.A.",0,1)</f>
        <v>1</v>
      </c>
      <c r="Y295" s="6">
        <f>IF(D295="Yes",V295*Tab_Data_Flows[[#This Row],[E2_Fraction'[%']]],"N.A.")</f>
        <v>10000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IF(G295="Yes",Tab_Data_Flows[[#This Row],[E4_Fraction'[%']]]*Tab_Data_Flows[[#This Row],[E1_value]],"N.A.")</f>
        <v>0</v>
      </c>
      <c r="AF295" s="6" t="str">
        <f>Tab_Data_Flows[[#This Row],[E1_UoM]]</f>
        <v>Mg</v>
      </c>
      <c r="AG295" s="139">
        <f>_xlfn.XLOOKUP(Tab_Data_Flows[[#This Row],[Flow_Name]],Tab_Def_Flows[Flow_Name],Tab_Def_Flows[Flow_E5_Fraction'[%']],"N.A.",0,1)</f>
        <v>0</v>
      </c>
      <c r="AH295" s="6" t="str">
        <f>IF(H295="Yes",Tab_Data_Flows[[#This Row],[E5_Fraction'[%']]]*Tab_Data_Flows[[#This Row],[E1_value]],"N.A.")</f>
        <v>N.A.</v>
      </c>
      <c r="AI295" s="6" t="str">
        <f>Tab_Data_Flows[[#This Row],[E1_UoM]]</f>
        <v>Mg</v>
      </c>
      <c r="AJ295" s="139">
        <f>_xlfn.XLOOKUP(Tab_Data_Flows[[#This Row],[Flow_Name]],Tab_Def_Flows[Flow_Name],Tab_Def_Flows[Flow_E6_Fraction'[%']],"N.A.",0,1)</f>
        <v>0</v>
      </c>
      <c r="AK295" s="6" t="str">
        <f>IF(Tab_Data_Flows[[#This Row],[Use_E6]]="Yes",Tab_Data_Flows[[#This Row],[E6_Fraction'[%']]]*Tab_Data_Flows[[#This Row],[E1_value]],"N.A.")</f>
        <v>N.A.</v>
      </c>
      <c r="AL295" s="6" t="str">
        <f>Tab_Data_Flows[[#This Row],[E1_UoM]]</f>
        <v>Mg</v>
      </c>
    </row>
    <row r="296" spans="1:38" x14ac:dyDescent="0.25">
      <c r="A296" s="8">
        <f t="shared" si="10"/>
        <v>295</v>
      </c>
      <c r="B296" s="6" t="str">
        <f>_xlfn.XLOOKUP(C296,Tab_Def_Flows[Flow_Name],Tab_Def_Flows[Flow_ID],,0,)</f>
        <v>F_01_09</v>
      </c>
      <c r="C296" s="138" t="s">
        <v>1239</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No</v>
      </c>
      <c r="I296" s="9" t="str">
        <f>_xlfn.XLOOKUP(C296,Tab_Def_Flows[Flow_Name],Tab_Def_Flows[Use_E6],,0,)</f>
        <v>No</v>
      </c>
      <c r="J296" s="7">
        <v>2117</v>
      </c>
      <c r="K296" s="21">
        <v>10000</v>
      </c>
      <c r="L296" s="6" t="str">
        <f>'0_Configuration'!$C$41</f>
        <v>Mg</v>
      </c>
      <c r="M296" s="13"/>
      <c r="N296" s="13"/>
      <c r="O296" s="13"/>
      <c r="P296" s="13"/>
      <c r="Q296" s="13"/>
      <c r="R296" s="7" t="s">
        <v>6</v>
      </c>
      <c r="S296" s="14"/>
      <c r="T296" s="7"/>
      <c r="U296" s="139">
        <f>_xlfn.XLOOKUP(Tab_Data_Flows[[#This Row],[Flow_Name]],Tab_Def_Flows[Flow_Name],Tab_Def_Flows[Flow_E1_Fraction'[%']],"N.A.",0,1)</f>
        <v>1</v>
      </c>
      <c r="V296" s="12">
        <f t="shared" si="9"/>
        <v>10000</v>
      </c>
      <c r="W296" s="6" t="str">
        <f>Tab_Data_Flows[[#This Row],[UoM_Source]]</f>
        <v>Mg</v>
      </c>
      <c r="X296" s="139">
        <f>_xlfn.XLOOKUP(Tab_Data_Flows[[#This Row],[Flow_Name]],Tab_Def_Flows[Flow_Name],Tab_Def_Flows[Flow_E2_Fraction'[%']],"N.A.",0,1)</f>
        <v>1</v>
      </c>
      <c r="Y296" s="6">
        <f>IF(D296="Yes",V296*Tab_Data_Flows[[#This Row],[E2_Fraction'[%']]],"N.A.")</f>
        <v>10000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IF(G296="Yes",Tab_Data_Flows[[#This Row],[E4_Fraction'[%']]]*Tab_Data_Flows[[#This Row],[E1_value]],"N.A.")</f>
        <v>0</v>
      </c>
      <c r="AF296" s="6" t="str">
        <f>Tab_Data_Flows[[#This Row],[E1_UoM]]</f>
        <v>Mg</v>
      </c>
      <c r="AG296" s="139">
        <f>_xlfn.XLOOKUP(Tab_Data_Flows[[#This Row],[Flow_Name]],Tab_Def_Flows[Flow_Name],Tab_Def_Flows[Flow_E5_Fraction'[%']],"N.A.",0,1)</f>
        <v>0</v>
      </c>
      <c r="AH296" s="6" t="str">
        <f>IF(H296="Yes",Tab_Data_Flows[[#This Row],[E5_Fraction'[%']]]*Tab_Data_Flows[[#This Row],[E1_value]],"N.A.")</f>
        <v>N.A.</v>
      </c>
      <c r="AI296" s="6" t="str">
        <f>Tab_Data_Flows[[#This Row],[E1_UoM]]</f>
        <v>Mg</v>
      </c>
      <c r="AJ296" s="139">
        <f>_xlfn.XLOOKUP(Tab_Data_Flows[[#This Row],[Flow_Name]],Tab_Def_Flows[Flow_Name],Tab_Def_Flows[Flow_E6_Fraction'[%']],"N.A.",0,1)</f>
        <v>0</v>
      </c>
      <c r="AK296" s="6" t="str">
        <f>IF(Tab_Data_Flows[[#This Row],[Use_E6]]="Yes",Tab_Data_Flows[[#This Row],[E6_Fraction'[%']]]*Tab_Data_Flows[[#This Row],[E1_value]],"N.A.")</f>
        <v>N.A.</v>
      </c>
      <c r="AL296" s="6" t="str">
        <f>Tab_Data_Flows[[#This Row],[E1_UoM]]</f>
        <v>Mg</v>
      </c>
    </row>
    <row r="297" spans="1:38" x14ac:dyDescent="0.25">
      <c r="A297" s="8">
        <f t="shared" si="10"/>
        <v>296</v>
      </c>
      <c r="B297" s="6" t="str">
        <f>_xlfn.XLOOKUP(C297,Tab_Def_Flows[Flow_Name],Tab_Def_Flows[Flow_ID],,0,)</f>
        <v>F_01_09</v>
      </c>
      <c r="C297" s="138" t="s">
        <v>1239</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No</v>
      </c>
      <c r="I297" s="9" t="str">
        <f>_xlfn.XLOOKUP(C297,Tab_Def_Flows[Flow_Name],Tab_Def_Flows[Use_E6],,0,)</f>
        <v>No</v>
      </c>
      <c r="J297" s="7">
        <v>2118</v>
      </c>
      <c r="K297" s="21">
        <v>10000</v>
      </c>
      <c r="L297" s="6" t="str">
        <f>'0_Configuration'!$C$41</f>
        <v>Mg</v>
      </c>
      <c r="M297" s="13"/>
      <c r="N297" s="13"/>
      <c r="O297" s="13"/>
      <c r="P297" s="13"/>
      <c r="Q297" s="13"/>
      <c r="R297" s="7" t="s">
        <v>6</v>
      </c>
      <c r="S297" s="14"/>
      <c r="T297" s="7"/>
      <c r="U297" s="139">
        <f>_xlfn.XLOOKUP(Tab_Data_Flows[[#This Row],[Flow_Name]],Tab_Def_Flows[Flow_Name],Tab_Def_Flows[Flow_E1_Fraction'[%']],"N.A.",0,1)</f>
        <v>1</v>
      </c>
      <c r="V297" s="12">
        <f t="shared" si="9"/>
        <v>10000</v>
      </c>
      <c r="W297" s="6" t="str">
        <f>Tab_Data_Flows[[#This Row],[UoM_Source]]</f>
        <v>Mg</v>
      </c>
      <c r="X297" s="139">
        <f>_xlfn.XLOOKUP(Tab_Data_Flows[[#This Row],[Flow_Name]],Tab_Def_Flows[Flow_Name],Tab_Def_Flows[Flow_E2_Fraction'[%']],"N.A.",0,1)</f>
        <v>1</v>
      </c>
      <c r="Y297" s="6">
        <f>IF(D297="Yes",V297*Tab_Data_Flows[[#This Row],[E2_Fraction'[%']]],"N.A.")</f>
        <v>10000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IF(G297="Yes",Tab_Data_Flows[[#This Row],[E4_Fraction'[%']]]*Tab_Data_Flows[[#This Row],[E1_value]],"N.A.")</f>
        <v>0</v>
      </c>
      <c r="AF297" s="6" t="str">
        <f>Tab_Data_Flows[[#This Row],[E1_UoM]]</f>
        <v>Mg</v>
      </c>
      <c r="AG297" s="139">
        <f>_xlfn.XLOOKUP(Tab_Data_Flows[[#This Row],[Flow_Name]],Tab_Def_Flows[Flow_Name],Tab_Def_Flows[Flow_E5_Fraction'[%']],"N.A.",0,1)</f>
        <v>0</v>
      </c>
      <c r="AH297" s="6" t="str">
        <f>IF(H297="Yes",Tab_Data_Flows[[#This Row],[E5_Fraction'[%']]]*Tab_Data_Flows[[#This Row],[E1_value]],"N.A.")</f>
        <v>N.A.</v>
      </c>
      <c r="AI297" s="6" t="str">
        <f>Tab_Data_Flows[[#This Row],[E1_UoM]]</f>
        <v>Mg</v>
      </c>
      <c r="AJ297" s="139">
        <f>_xlfn.XLOOKUP(Tab_Data_Flows[[#This Row],[Flow_Name]],Tab_Def_Flows[Flow_Name],Tab_Def_Flows[Flow_E6_Fraction'[%']],"N.A.",0,1)</f>
        <v>0</v>
      </c>
      <c r="AK297" s="6" t="str">
        <f>IF(Tab_Data_Flows[[#This Row],[Use_E6]]="Yes",Tab_Data_Flows[[#This Row],[E6_Fraction'[%']]]*Tab_Data_Flows[[#This Row],[E1_value]],"N.A.")</f>
        <v>N.A.</v>
      </c>
      <c r="AL297" s="6" t="str">
        <f>Tab_Data_Flows[[#This Row],[E1_UoM]]</f>
        <v>Mg</v>
      </c>
    </row>
    <row r="298" spans="1:38" x14ac:dyDescent="0.25">
      <c r="A298" s="8">
        <f t="shared" si="10"/>
        <v>297</v>
      </c>
      <c r="B298" s="6" t="str">
        <f>_xlfn.XLOOKUP(C298,Tab_Def_Flows[Flow_Name],Tab_Def_Flows[Flow_ID],,0,)</f>
        <v>F_01_09</v>
      </c>
      <c r="C298" s="138" t="s">
        <v>1239</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No</v>
      </c>
      <c r="I298" s="9" t="str">
        <f>_xlfn.XLOOKUP(C298,Tab_Def_Flows[Flow_Name],Tab_Def_Flows[Use_E6],,0,)</f>
        <v>No</v>
      </c>
      <c r="J298" s="7">
        <v>2119</v>
      </c>
      <c r="K298" s="21">
        <v>10000</v>
      </c>
      <c r="L298" s="6" t="str">
        <f>'0_Configuration'!$C$41</f>
        <v>Mg</v>
      </c>
      <c r="M298" s="13"/>
      <c r="N298" s="13"/>
      <c r="O298" s="13"/>
      <c r="P298" s="13"/>
      <c r="Q298" s="13"/>
      <c r="R298" s="7" t="s">
        <v>6</v>
      </c>
      <c r="S298" s="14"/>
      <c r="T298" s="7"/>
      <c r="U298" s="139">
        <f>_xlfn.XLOOKUP(Tab_Data_Flows[[#This Row],[Flow_Name]],Tab_Def_Flows[Flow_Name],Tab_Def_Flows[Flow_E1_Fraction'[%']],"N.A.",0,1)</f>
        <v>1</v>
      </c>
      <c r="V298" s="12">
        <f t="shared" si="9"/>
        <v>10000</v>
      </c>
      <c r="W298" s="6" t="str">
        <f>Tab_Data_Flows[[#This Row],[UoM_Source]]</f>
        <v>Mg</v>
      </c>
      <c r="X298" s="139">
        <f>_xlfn.XLOOKUP(Tab_Data_Flows[[#This Row],[Flow_Name]],Tab_Def_Flows[Flow_Name],Tab_Def_Flows[Flow_E2_Fraction'[%']],"N.A.",0,1)</f>
        <v>1</v>
      </c>
      <c r="Y298" s="6">
        <f>IF(D298="Yes",V298*Tab_Data_Flows[[#This Row],[E2_Fraction'[%']]],"N.A.")</f>
        <v>10000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IF(G298="Yes",Tab_Data_Flows[[#This Row],[E4_Fraction'[%']]]*Tab_Data_Flows[[#This Row],[E1_value]],"N.A.")</f>
        <v>0</v>
      </c>
      <c r="AF298" s="6" t="str">
        <f>Tab_Data_Flows[[#This Row],[E1_UoM]]</f>
        <v>Mg</v>
      </c>
      <c r="AG298" s="139">
        <f>_xlfn.XLOOKUP(Tab_Data_Flows[[#This Row],[Flow_Name]],Tab_Def_Flows[Flow_Name],Tab_Def_Flows[Flow_E5_Fraction'[%']],"N.A.",0,1)</f>
        <v>0</v>
      </c>
      <c r="AH298" s="6" t="str">
        <f>IF(H298="Yes",Tab_Data_Flows[[#This Row],[E5_Fraction'[%']]]*Tab_Data_Flows[[#This Row],[E1_value]],"N.A.")</f>
        <v>N.A.</v>
      </c>
      <c r="AI298" s="6" t="str">
        <f>Tab_Data_Flows[[#This Row],[E1_UoM]]</f>
        <v>Mg</v>
      </c>
      <c r="AJ298" s="139">
        <f>_xlfn.XLOOKUP(Tab_Data_Flows[[#This Row],[Flow_Name]],Tab_Def_Flows[Flow_Name],Tab_Def_Flows[Flow_E6_Fraction'[%']],"N.A.",0,1)</f>
        <v>0</v>
      </c>
      <c r="AK298" s="6" t="str">
        <f>IF(Tab_Data_Flows[[#This Row],[Use_E6]]="Yes",Tab_Data_Flows[[#This Row],[E6_Fraction'[%']]]*Tab_Data_Flows[[#This Row],[E1_value]],"N.A.")</f>
        <v>N.A.</v>
      </c>
      <c r="AL298" s="6" t="str">
        <f>Tab_Data_Flows[[#This Row],[E1_UoM]]</f>
        <v>Mg</v>
      </c>
    </row>
    <row r="299" spans="1:38" x14ac:dyDescent="0.25">
      <c r="A299" s="8">
        <f t="shared" si="10"/>
        <v>298</v>
      </c>
      <c r="B299" s="6" t="str">
        <f>_xlfn.XLOOKUP(C299,Tab_Def_Flows[Flow_Name],Tab_Def_Flows[Flow_ID],,0,)</f>
        <v>F_01_09</v>
      </c>
      <c r="C299" s="138" t="s">
        <v>1239</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No</v>
      </c>
      <c r="I299" s="9" t="str">
        <f>_xlfn.XLOOKUP(C299,Tab_Def_Flows[Flow_Name],Tab_Def_Flows[Use_E6],,0,)</f>
        <v>No</v>
      </c>
      <c r="J299" s="7">
        <v>2120</v>
      </c>
      <c r="K299" s="21">
        <v>10000</v>
      </c>
      <c r="L299" s="6" t="str">
        <f>'0_Configuration'!$C$41</f>
        <v>Mg</v>
      </c>
      <c r="M299" s="13"/>
      <c r="N299" s="13"/>
      <c r="O299" s="13"/>
      <c r="P299" s="13"/>
      <c r="Q299" s="13"/>
      <c r="R299" s="7" t="s">
        <v>6</v>
      </c>
      <c r="S299" s="14"/>
      <c r="T299" s="7"/>
      <c r="U299" s="139">
        <f>_xlfn.XLOOKUP(Tab_Data_Flows[[#This Row],[Flow_Name]],Tab_Def_Flows[Flow_Name],Tab_Def_Flows[Flow_E1_Fraction'[%']],"N.A.",0,1)</f>
        <v>1</v>
      </c>
      <c r="V299" s="12">
        <f t="shared" si="9"/>
        <v>10000</v>
      </c>
      <c r="W299" s="6" t="str">
        <f>Tab_Data_Flows[[#This Row],[UoM_Source]]</f>
        <v>Mg</v>
      </c>
      <c r="X299" s="139">
        <f>_xlfn.XLOOKUP(Tab_Data_Flows[[#This Row],[Flow_Name]],Tab_Def_Flows[Flow_Name],Tab_Def_Flows[Flow_E2_Fraction'[%']],"N.A.",0,1)</f>
        <v>1</v>
      </c>
      <c r="Y299" s="6">
        <f>IF(D299="Yes",V299*Tab_Data_Flows[[#This Row],[E2_Fraction'[%']]],"N.A.")</f>
        <v>10000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IF(G299="Yes",Tab_Data_Flows[[#This Row],[E4_Fraction'[%']]]*Tab_Data_Flows[[#This Row],[E1_value]],"N.A.")</f>
        <v>0</v>
      </c>
      <c r="AF299" s="6" t="str">
        <f>Tab_Data_Flows[[#This Row],[E1_UoM]]</f>
        <v>Mg</v>
      </c>
      <c r="AG299" s="139">
        <f>_xlfn.XLOOKUP(Tab_Data_Flows[[#This Row],[Flow_Name]],Tab_Def_Flows[Flow_Name],Tab_Def_Flows[Flow_E5_Fraction'[%']],"N.A.",0,1)</f>
        <v>0</v>
      </c>
      <c r="AH299" s="6" t="str">
        <f>IF(H299="Yes",Tab_Data_Flows[[#This Row],[E5_Fraction'[%']]]*Tab_Data_Flows[[#This Row],[E1_value]],"N.A.")</f>
        <v>N.A.</v>
      </c>
      <c r="AI299" s="6" t="str">
        <f>Tab_Data_Flows[[#This Row],[E1_UoM]]</f>
        <v>Mg</v>
      </c>
      <c r="AJ299" s="139">
        <f>_xlfn.XLOOKUP(Tab_Data_Flows[[#This Row],[Flow_Name]],Tab_Def_Flows[Flow_Name],Tab_Def_Flows[Flow_E6_Fraction'[%']],"N.A.",0,1)</f>
        <v>0</v>
      </c>
      <c r="AK299" s="6" t="str">
        <f>IF(Tab_Data_Flows[[#This Row],[Use_E6]]="Yes",Tab_Data_Flows[[#This Row],[E6_Fraction'[%']]]*Tab_Data_Flows[[#This Row],[E1_value]],"N.A.")</f>
        <v>N.A.</v>
      </c>
      <c r="AL299" s="6" t="str">
        <f>Tab_Data_Flows[[#This Row],[E1_UoM]]</f>
        <v>Mg</v>
      </c>
    </row>
    <row r="300" spans="1:38" x14ac:dyDescent="0.25">
      <c r="A300" s="8">
        <f t="shared" si="10"/>
        <v>299</v>
      </c>
      <c r="B300" s="6" t="str">
        <f>_xlfn.XLOOKUP(C300,Tab_Def_Flows[Flow_Name],Tab_Def_Flows[Flow_ID],,0,)</f>
        <v>F_01_09</v>
      </c>
      <c r="C300" s="138" t="s">
        <v>1239</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No</v>
      </c>
      <c r="I300" s="9" t="str">
        <f>_xlfn.XLOOKUP(C300,Tab_Def_Flows[Flow_Name],Tab_Def_Flows[Use_E6],,0,)</f>
        <v>No</v>
      </c>
      <c r="J300" s="7">
        <v>2121</v>
      </c>
      <c r="K300" s="21">
        <v>10000</v>
      </c>
      <c r="L300" s="6" t="str">
        <f>'0_Configuration'!$C$41</f>
        <v>Mg</v>
      </c>
      <c r="M300" s="13"/>
      <c r="N300" s="13"/>
      <c r="O300" s="13"/>
      <c r="P300" s="13"/>
      <c r="Q300" s="13"/>
      <c r="R300" s="7" t="s">
        <v>6</v>
      </c>
      <c r="S300" s="14"/>
      <c r="T300" s="7"/>
      <c r="U300" s="139">
        <f>_xlfn.XLOOKUP(Tab_Data_Flows[[#This Row],[Flow_Name]],Tab_Def_Flows[Flow_Name],Tab_Def_Flows[Flow_E1_Fraction'[%']],"N.A.",0,1)</f>
        <v>1</v>
      </c>
      <c r="V300" s="12">
        <f t="shared" si="9"/>
        <v>10000</v>
      </c>
      <c r="W300" s="6" t="str">
        <f>Tab_Data_Flows[[#This Row],[UoM_Source]]</f>
        <v>Mg</v>
      </c>
      <c r="X300" s="139">
        <f>_xlfn.XLOOKUP(Tab_Data_Flows[[#This Row],[Flow_Name]],Tab_Def_Flows[Flow_Name],Tab_Def_Flows[Flow_E2_Fraction'[%']],"N.A.",0,1)</f>
        <v>1</v>
      </c>
      <c r="Y300" s="6">
        <f>IF(D300="Yes",V300*Tab_Data_Flows[[#This Row],[E2_Fraction'[%']]],"N.A.")</f>
        <v>10000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IF(G300="Yes",Tab_Data_Flows[[#This Row],[E4_Fraction'[%']]]*Tab_Data_Flows[[#This Row],[E1_value]],"N.A.")</f>
        <v>0</v>
      </c>
      <c r="AF300" s="6" t="str">
        <f>Tab_Data_Flows[[#This Row],[E1_UoM]]</f>
        <v>Mg</v>
      </c>
      <c r="AG300" s="139">
        <f>_xlfn.XLOOKUP(Tab_Data_Flows[[#This Row],[Flow_Name]],Tab_Def_Flows[Flow_Name],Tab_Def_Flows[Flow_E5_Fraction'[%']],"N.A.",0,1)</f>
        <v>0</v>
      </c>
      <c r="AH300" s="6" t="str">
        <f>IF(H300="Yes",Tab_Data_Flows[[#This Row],[E5_Fraction'[%']]]*Tab_Data_Flows[[#This Row],[E1_value]],"N.A.")</f>
        <v>N.A.</v>
      </c>
      <c r="AI300" s="6" t="str">
        <f>Tab_Data_Flows[[#This Row],[E1_UoM]]</f>
        <v>Mg</v>
      </c>
      <c r="AJ300" s="139">
        <f>_xlfn.XLOOKUP(Tab_Data_Flows[[#This Row],[Flow_Name]],Tab_Def_Flows[Flow_Name],Tab_Def_Flows[Flow_E6_Fraction'[%']],"N.A.",0,1)</f>
        <v>0</v>
      </c>
      <c r="AK300" s="6" t="str">
        <f>IF(Tab_Data_Flows[[#This Row],[Use_E6]]="Yes",Tab_Data_Flows[[#This Row],[E6_Fraction'[%']]]*Tab_Data_Flows[[#This Row],[E1_value]],"N.A.")</f>
        <v>N.A.</v>
      </c>
      <c r="AL300" s="6" t="str">
        <f>Tab_Data_Flows[[#This Row],[E1_UoM]]</f>
        <v>Mg</v>
      </c>
    </row>
    <row r="301" spans="1:38" x14ac:dyDescent="0.25">
      <c r="A301" s="8">
        <f t="shared" si="10"/>
        <v>300</v>
      </c>
      <c r="B301" s="6" t="str">
        <f>_xlfn.XLOOKUP(C301,Tab_Def_Flows[Flow_Name],Tab_Def_Flows[Flow_ID],,0,)</f>
        <v>F_01_09</v>
      </c>
      <c r="C301" s="138" t="s">
        <v>1239</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No</v>
      </c>
      <c r="I301" s="9" t="str">
        <f>_xlfn.XLOOKUP(C301,Tab_Def_Flows[Flow_Name],Tab_Def_Flows[Use_E6],,0,)</f>
        <v>No</v>
      </c>
      <c r="J301" s="7">
        <v>2122</v>
      </c>
      <c r="K301" s="21">
        <v>10000</v>
      </c>
      <c r="L301" s="6" t="str">
        <f>'0_Configuration'!$C$41</f>
        <v>Mg</v>
      </c>
      <c r="M301" s="13"/>
      <c r="N301" s="13"/>
      <c r="O301" s="13"/>
      <c r="P301" s="13"/>
      <c r="Q301" s="13"/>
      <c r="R301" s="7" t="s">
        <v>6</v>
      </c>
      <c r="S301" s="14"/>
      <c r="T301" s="7"/>
      <c r="U301" s="139">
        <f>_xlfn.XLOOKUP(Tab_Data_Flows[[#This Row],[Flow_Name]],Tab_Def_Flows[Flow_Name],Tab_Def_Flows[Flow_E1_Fraction'[%']],"N.A.",0,1)</f>
        <v>1</v>
      </c>
      <c r="V301" s="12">
        <f t="shared" si="9"/>
        <v>10000</v>
      </c>
      <c r="W301" s="6" t="str">
        <f>Tab_Data_Flows[[#This Row],[UoM_Source]]</f>
        <v>Mg</v>
      </c>
      <c r="X301" s="139">
        <f>_xlfn.XLOOKUP(Tab_Data_Flows[[#This Row],[Flow_Name]],Tab_Def_Flows[Flow_Name],Tab_Def_Flows[Flow_E2_Fraction'[%']],"N.A.",0,1)</f>
        <v>1</v>
      </c>
      <c r="Y301" s="6">
        <f>IF(D301="Yes",V301*Tab_Data_Flows[[#This Row],[E2_Fraction'[%']]],"N.A.")</f>
        <v>10000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IF(G301="Yes",Tab_Data_Flows[[#This Row],[E4_Fraction'[%']]]*Tab_Data_Flows[[#This Row],[E1_value]],"N.A.")</f>
        <v>0</v>
      </c>
      <c r="AF301" s="6" t="str">
        <f>Tab_Data_Flows[[#This Row],[E1_UoM]]</f>
        <v>Mg</v>
      </c>
      <c r="AG301" s="139">
        <f>_xlfn.XLOOKUP(Tab_Data_Flows[[#This Row],[Flow_Name]],Tab_Def_Flows[Flow_Name],Tab_Def_Flows[Flow_E5_Fraction'[%']],"N.A.",0,1)</f>
        <v>0</v>
      </c>
      <c r="AH301" s="6" t="str">
        <f>IF(H301="Yes",Tab_Data_Flows[[#This Row],[E5_Fraction'[%']]]*Tab_Data_Flows[[#This Row],[E1_value]],"N.A.")</f>
        <v>N.A.</v>
      </c>
      <c r="AI301" s="6" t="str">
        <f>Tab_Data_Flows[[#This Row],[E1_UoM]]</f>
        <v>Mg</v>
      </c>
      <c r="AJ301" s="139">
        <f>_xlfn.XLOOKUP(Tab_Data_Flows[[#This Row],[Flow_Name]],Tab_Def_Flows[Flow_Name],Tab_Def_Flows[Flow_E6_Fraction'[%']],"N.A.",0,1)</f>
        <v>0</v>
      </c>
      <c r="AK301" s="6" t="str">
        <f>IF(Tab_Data_Flows[[#This Row],[Use_E6]]="Yes",Tab_Data_Flows[[#This Row],[E6_Fraction'[%']]]*Tab_Data_Flows[[#This Row],[E1_value]],"N.A.")</f>
        <v>N.A.</v>
      </c>
      <c r="AL301" s="6" t="str">
        <f>Tab_Data_Flows[[#This Row],[E1_UoM]]</f>
        <v>Mg</v>
      </c>
    </row>
    <row r="302" spans="1:38" x14ac:dyDescent="0.25">
      <c r="A302" s="8">
        <f t="shared" si="10"/>
        <v>301</v>
      </c>
      <c r="B302" s="6" t="str">
        <f>_xlfn.XLOOKUP(C302,Tab_Def_Flows[Flow_Name],Tab_Def_Flows[Flow_ID],,0,)</f>
        <v>F_01_09</v>
      </c>
      <c r="C302" s="138" t="s">
        <v>1239</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No</v>
      </c>
      <c r="I302" s="9" t="str">
        <f>_xlfn.XLOOKUP(C302,Tab_Def_Flows[Flow_Name],Tab_Def_Flows[Use_E6],,0,)</f>
        <v>No</v>
      </c>
      <c r="J302" s="7">
        <v>2123</v>
      </c>
      <c r="K302" s="21">
        <v>10000</v>
      </c>
      <c r="L302" s="6" t="str">
        <f>'0_Configuration'!$C$41</f>
        <v>Mg</v>
      </c>
      <c r="M302" s="13"/>
      <c r="N302" s="13"/>
      <c r="O302" s="13"/>
      <c r="P302" s="13"/>
      <c r="Q302" s="13"/>
      <c r="R302" s="7" t="s">
        <v>6</v>
      </c>
      <c r="S302" s="14"/>
      <c r="T302" s="7"/>
      <c r="U302" s="139">
        <f>_xlfn.XLOOKUP(Tab_Data_Flows[[#This Row],[Flow_Name]],Tab_Def_Flows[Flow_Name],Tab_Def_Flows[Flow_E1_Fraction'[%']],"N.A.",0,1)</f>
        <v>1</v>
      </c>
      <c r="V302" s="12">
        <f t="shared" si="9"/>
        <v>10000</v>
      </c>
      <c r="W302" s="6" t="str">
        <f>Tab_Data_Flows[[#This Row],[UoM_Source]]</f>
        <v>Mg</v>
      </c>
      <c r="X302" s="139">
        <f>_xlfn.XLOOKUP(Tab_Data_Flows[[#This Row],[Flow_Name]],Tab_Def_Flows[Flow_Name],Tab_Def_Flows[Flow_E2_Fraction'[%']],"N.A.",0,1)</f>
        <v>1</v>
      </c>
      <c r="Y302" s="6">
        <f>IF(D302="Yes",V302*Tab_Data_Flows[[#This Row],[E2_Fraction'[%']]],"N.A.")</f>
        <v>10000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IF(G302="Yes",Tab_Data_Flows[[#This Row],[E4_Fraction'[%']]]*Tab_Data_Flows[[#This Row],[E1_value]],"N.A.")</f>
        <v>0</v>
      </c>
      <c r="AF302" s="6" t="str">
        <f>Tab_Data_Flows[[#This Row],[E1_UoM]]</f>
        <v>Mg</v>
      </c>
      <c r="AG302" s="139">
        <f>_xlfn.XLOOKUP(Tab_Data_Flows[[#This Row],[Flow_Name]],Tab_Def_Flows[Flow_Name],Tab_Def_Flows[Flow_E5_Fraction'[%']],"N.A.",0,1)</f>
        <v>0</v>
      </c>
      <c r="AH302" s="6" t="str">
        <f>IF(H302="Yes",Tab_Data_Flows[[#This Row],[E5_Fraction'[%']]]*Tab_Data_Flows[[#This Row],[E1_value]],"N.A.")</f>
        <v>N.A.</v>
      </c>
      <c r="AI302" s="6" t="str">
        <f>Tab_Data_Flows[[#This Row],[E1_UoM]]</f>
        <v>Mg</v>
      </c>
      <c r="AJ302" s="139">
        <f>_xlfn.XLOOKUP(Tab_Data_Flows[[#This Row],[Flow_Name]],Tab_Def_Flows[Flow_Name],Tab_Def_Flows[Flow_E6_Fraction'[%']],"N.A.",0,1)</f>
        <v>0</v>
      </c>
      <c r="AK302" s="6" t="str">
        <f>IF(Tab_Data_Flows[[#This Row],[Use_E6]]="Yes",Tab_Data_Flows[[#This Row],[E6_Fraction'[%']]]*Tab_Data_Flows[[#This Row],[E1_value]],"N.A.")</f>
        <v>N.A.</v>
      </c>
      <c r="AL302" s="6" t="str">
        <f>Tab_Data_Flows[[#This Row],[E1_UoM]]</f>
        <v>Mg</v>
      </c>
    </row>
    <row r="303" spans="1:38" x14ac:dyDescent="0.25">
      <c r="A303" s="8">
        <f t="shared" si="10"/>
        <v>302</v>
      </c>
      <c r="B303" s="6" t="str">
        <f>_xlfn.XLOOKUP(C303,Tab_Def_Flows[Flow_Name],Tab_Def_Flows[Flow_ID],,0,)</f>
        <v>F_01_09</v>
      </c>
      <c r="C303" s="138" t="s">
        <v>1239</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No</v>
      </c>
      <c r="I303" s="9" t="str">
        <f>_xlfn.XLOOKUP(C303,Tab_Def_Flows[Flow_Name],Tab_Def_Flows[Use_E6],,0,)</f>
        <v>No</v>
      </c>
      <c r="J303" s="7">
        <v>2124</v>
      </c>
      <c r="K303" s="21">
        <v>10000</v>
      </c>
      <c r="L303" s="6" t="str">
        <f>'0_Configuration'!$C$41</f>
        <v>Mg</v>
      </c>
      <c r="M303" s="13"/>
      <c r="N303" s="13"/>
      <c r="O303" s="13"/>
      <c r="P303" s="13"/>
      <c r="Q303" s="13"/>
      <c r="R303" s="7" t="s">
        <v>6</v>
      </c>
      <c r="S303" s="14"/>
      <c r="T303" s="7"/>
      <c r="U303" s="139">
        <f>_xlfn.XLOOKUP(Tab_Data_Flows[[#This Row],[Flow_Name]],Tab_Def_Flows[Flow_Name],Tab_Def_Flows[Flow_E1_Fraction'[%']],"N.A.",0,1)</f>
        <v>1</v>
      </c>
      <c r="V303" s="12">
        <f t="shared" si="9"/>
        <v>10000</v>
      </c>
      <c r="W303" s="6" t="str">
        <f>Tab_Data_Flows[[#This Row],[UoM_Source]]</f>
        <v>Mg</v>
      </c>
      <c r="X303" s="139">
        <f>_xlfn.XLOOKUP(Tab_Data_Flows[[#This Row],[Flow_Name]],Tab_Def_Flows[Flow_Name],Tab_Def_Flows[Flow_E2_Fraction'[%']],"N.A.",0,1)</f>
        <v>1</v>
      </c>
      <c r="Y303" s="6">
        <f>IF(D303="Yes",V303*Tab_Data_Flows[[#This Row],[E2_Fraction'[%']]],"N.A.")</f>
        <v>10000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IF(G303="Yes",Tab_Data_Flows[[#This Row],[E4_Fraction'[%']]]*Tab_Data_Flows[[#This Row],[E1_value]],"N.A.")</f>
        <v>0</v>
      </c>
      <c r="AF303" s="6" t="str">
        <f>Tab_Data_Flows[[#This Row],[E1_UoM]]</f>
        <v>Mg</v>
      </c>
      <c r="AG303" s="139">
        <f>_xlfn.XLOOKUP(Tab_Data_Flows[[#This Row],[Flow_Name]],Tab_Def_Flows[Flow_Name],Tab_Def_Flows[Flow_E5_Fraction'[%']],"N.A.",0,1)</f>
        <v>0</v>
      </c>
      <c r="AH303" s="6" t="str">
        <f>IF(H303="Yes",Tab_Data_Flows[[#This Row],[E5_Fraction'[%']]]*Tab_Data_Flows[[#This Row],[E1_value]],"N.A.")</f>
        <v>N.A.</v>
      </c>
      <c r="AI303" s="6" t="str">
        <f>Tab_Data_Flows[[#This Row],[E1_UoM]]</f>
        <v>Mg</v>
      </c>
      <c r="AJ303" s="139">
        <f>_xlfn.XLOOKUP(Tab_Data_Flows[[#This Row],[Flow_Name]],Tab_Def_Flows[Flow_Name],Tab_Def_Flows[Flow_E6_Fraction'[%']],"N.A.",0,1)</f>
        <v>0</v>
      </c>
      <c r="AK303" s="6" t="str">
        <f>IF(Tab_Data_Flows[[#This Row],[Use_E6]]="Yes",Tab_Data_Flows[[#This Row],[E6_Fraction'[%']]]*Tab_Data_Flows[[#This Row],[E1_value]],"N.A.")</f>
        <v>N.A.</v>
      </c>
      <c r="AL303" s="6" t="str">
        <f>Tab_Data_Flows[[#This Row],[E1_UoM]]</f>
        <v>Mg</v>
      </c>
    </row>
    <row r="304" spans="1:38" x14ac:dyDescent="0.25">
      <c r="A304" s="8">
        <f t="shared" si="10"/>
        <v>303</v>
      </c>
      <c r="B304" s="6" t="str">
        <f>_xlfn.XLOOKUP(C304,Tab_Def_Flows[Flow_Name],Tab_Def_Flows[Flow_ID],,0,)</f>
        <v>F_01_09</v>
      </c>
      <c r="C304" s="138" t="s">
        <v>1239</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No</v>
      </c>
      <c r="I304" s="9" t="str">
        <f>_xlfn.XLOOKUP(C304,Tab_Def_Flows[Flow_Name],Tab_Def_Flows[Use_E6],,0,)</f>
        <v>No</v>
      </c>
      <c r="J304" s="7">
        <v>2125</v>
      </c>
      <c r="K304" s="21">
        <v>10000</v>
      </c>
      <c r="L304" s="6"/>
      <c r="M304" s="13"/>
      <c r="N304" s="13"/>
      <c r="O304" s="13"/>
      <c r="P304" s="13"/>
      <c r="Q304" s="13"/>
      <c r="R304" s="7" t="s">
        <v>6</v>
      </c>
      <c r="S304" s="14"/>
      <c r="T304" s="7"/>
      <c r="U304" s="139">
        <f>_xlfn.XLOOKUP(Tab_Data_Flows[[#This Row],[Flow_Name]],Tab_Def_Flows[Flow_Name],Tab_Def_Flows[Flow_E1_Fraction'[%']],"N.A.",0,1)</f>
        <v>1</v>
      </c>
      <c r="V304" s="12">
        <f t="shared" si="9"/>
        <v>10000</v>
      </c>
      <c r="W304" s="6">
        <f>Tab_Data_Flows[[#This Row],[UoM_Source]]</f>
        <v>0</v>
      </c>
      <c r="X304" s="139">
        <f>_xlfn.XLOOKUP(Tab_Data_Flows[[#This Row],[Flow_Name]],Tab_Def_Flows[Flow_Name],Tab_Def_Flows[Flow_E2_Fraction'[%']],"N.A.",0,1)</f>
        <v>1</v>
      </c>
      <c r="Y304" s="6">
        <f>IF(D304="Yes",V304*Tab_Data_Flows[[#This Row],[E2_Fraction'[%']]],"N.A.")</f>
        <v>10000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IF(G304="Yes",Tab_Data_Flows[[#This Row],[E4_Fraction'[%']]]*Tab_Data_Flows[[#This Row],[E1_value]],"N.A.")</f>
        <v>0</v>
      </c>
      <c r="AF304" s="6">
        <f>Tab_Data_Flows[[#This Row],[E1_UoM]]</f>
        <v>0</v>
      </c>
      <c r="AG304" s="139">
        <f>_xlfn.XLOOKUP(Tab_Data_Flows[[#This Row],[Flow_Name]],Tab_Def_Flows[Flow_Name],Tab_Def_Flows[Flow_E5_Fraction'[%']],"N.A.",0,1)</f>
        <v>0</v>
      </c>
      <c r="AH304" s="6" t="str">
        <f>IF(H304="Yes",Tab_Data_Flows[[#This Row],[E5_Fraction'[%']]]*Tab_Data_Flows[[#This Row],[E1_value]],"N.A.")</f>
        <v>N.A.</v>
      </c>
      <c r="AI304" s="6">
        <f>Tab_Data_Flows[[#This Row],[E1_UoM]]</f>
        <v>0</v>
      </c>
      <c r="AJ304" s="139">
        <f>_xlfn.XLOOKUP(Tab_Data_Flows[[#This Row],[Flow_Name]],Tab_Def_Flows[Flow_Name],Tab_Def_Flows[Flow_E6_Fraction'[%']],"N.A.",0,1)</f>
        <v>0</v>
      </c>
      <c r="AK304" s="6" t="str">
        <f>IF(Tab_Data_Flows[[#This Row],[Use_E6]]="Yes",Tab_Data_Flows[[#This Row],[E6_Fraction'[%']]]*Tab_Data_Flows[[#This Row],[E1_value]],"N.A.")</f>
        <v>N.A.</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No</v>
      </c>
      <c r="I305" s="9" t="str">
        <f>_xlfn.XLOOKUP(C305,Tab_Def_Flows[Flow_Name],Tab_Def_Flows[Use_E6],,0,)</f>
        <v>No</v>
      </c>
      <c r="J305" s="7"/>
      <c r="K305" s="21"/>
      <c r="L305" s="6"/>
      <c r="M305" s="13"/>
      <c r="N305" s="13"/>
      <c r="O305" s="13"/>
      <c r="P305" s="13"/>
      <c r="Q305" s="13"/>
      <c r="R305" s="7" t="s">
        <v>6</v>
      </c>
      <c r="S305" s="14"/>
      <c r="T305" s="7"/>
      <c r="U305" s="139">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IF(G305="Yes",Tab_Data_Flows[[#This Row],[E4_Fraction'[%']]]*Tab_Data_Flows[[#This Row],[E1_value]],"N.A.")</f>
        <v>0</v>
      </c>
      <c r="AF305" s="6">
        <f>Tab_Data_Flows[[#This Row],[E1_UoM]]</f>
        <v>0</v>
      </c>
      <c r="AG305" s="139">
        <f>_xlfn.XLOOKUP(Tab_Data_Flows[[#This Row],[Flow_Name]],Tab_Def_Flows[Flow_Name],Tab_Def_Flows[Flow_E5_Fraction'[%']],"N.A.",0,1)</f>
        <v>0</v>
      </c>
      <c r="AH305" s="6" t="str">
        <f>IF(H305="Yes",Tab_Data_Flows[[#This Row],[E5_Fraction'[%']]]*Tab_Data_Flows[[#This Row],[E1_value]],"N.A.")</f>
        <v>N.A.</v>
      </c>
      <c r="AI305" s="6">
        <f>Tab_Data_Flows[[#This Row],[E1_UoM]]</f>
        <v>0</v>
      </c>
      <c r="AJ305" s="139">
        <f>_xlfn.XLOOKUP(Tab_Data_Flows[[#This Row],[Flow_Name]],Tab_Def_Flows[Flow_Name],Tab_Def_Flows[Flow_E6_Fraction'[%']],"N.A.",0,1)</f>
        <v>0</v>
      </c>
      <c r="AK305" s="6" t="str">
        <f>IF(Tab_Data_Flows[[#This Row],[Use_E6]]="Yes",Tab_Data_Flows[[#This Row],[E6_Fraction'[%']]]*Tab_Data_Flows[[#This Row],[E1_value]],"N.A.")</f>
        <v>N.A.</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No</v>
      </c>
      <c r="I306" s="9" t="str">
        <f>_xlfn.XLOOKUP(C306,Tab_Def_Flows[Flow_Name],Tab_Def_Flows[Use_E6],,0,)</f>
        <v>No</v>
      </c>
      <c r="J306" s="7"/>
      <c r="K306" s="21"/>
      <c r="L306" s="6"/>
      <c r="M306" s="13"/>
      <c r="N306" s="13"/>
      <c r="O306" s="13"/>
      <c r="P306" s="13"/>
      <c r="Q306" s="13"/>
      <c r="R306" s="7" t="s">
        <v>6</v>
      </c>
      <c r="S306" s="14"/>
      <c r="T306" s="7"/>
      <c r="U306" s="139">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IF(G306="Yes",Tab_Data_Flows[[#This Row],[E4_Fraction'[%']]]*Tab_Data_Flows[[#This Row],[E1_value]],"N.A.")</f>
        <v>0</v>
      </c>
      <c r="AF306" s="6">
        <f>Tab_Data_Flows[[#This Row],[E1_UoM]]</f>
        <v>0</v>
      </c>
      <c r="AG306" s="139">
        <f>_xlfn.XLOOKUP(Tab_Data_Flows[[#This Row],[Flow_Name]],Tab_Def_Flows[Flow_Name],Tab_Def_Flows[Flow_E5_Fraction'[%']],"N.A.",0,1)</f>
        <v>0</v>
      </c>
      <c r="AH306" s="6" t="str">
        <f>IF(H306="Yes",Tab_Data_Flows[[#This Row],[E5_Fraction'[%']]]*Tab_Data_Flows[[#This Row],[E1_value]],"N.A.")</f>
        <v>N.A.</v>
      </c>
      <c r="AI306" s="6">
        <f>Tab_Data_Flows[[#This Row],[E1_UoM]]</f>
        <v>0</v>
      </c>
      <c r="AJ306" s="139">
        <f>_xlfn.XLOOKUP(Tab_Data_Flows[[#This Row],[Flow_Name]],Tab_Def_Flows[Flow_Name],Tab_Def_Flows[Flow_E6_Fraction'[%']],"N.A.",0,1)</f>
        <v>0</v>
      </c>
      <c r="AK306" s="6" t="str">
        <f>IF(Tab_Data_Flows[[#This Row],[Use_E6]]="Yes",Tab_Data_Flows[[#This Row],[E6_Fraction'[%']]]*Tab_Data_Flows[[#This Row],[E1_value]],"N.A.")</f>
        <v>N.A.</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No</v>
      </c>
      <c r="I307" s="9" t="str">
        <f>_xlfn.XLOOKUP(C307,Tab_Def_Flows[Flow_Name],Tab_Def_Flows[Use_E6],,0,)</f>
        <v>No</v>
      </c>
      <c r="J307" s="7"/>
      <c r="K307" s="21"/>
      <c r="L307" s="6"/>
      <c r="M307" s="13"/>
      <c r="N307" s="13"/>
      <c r="O307" s="13"/>
      <c r="P307" s="13"/>
      <c r="Q307" s="13"/>
      <c r="R307" s="7" t="s">
        <v>6</v>
      </c>
      <c r="S307" s="14"/>
      <c r="T307" s="7"/>
      <c r="U307" s="139">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IF(G307="Yes",Tab_Data_Flows[[#This Row],[E4_Fraction'[%']]]*Tab_Data_Flows[[#This Row],[E1_value]],"N.A.")</f>
        <v>0</v>
      </c>
      <c r="AF307" s="6">
        <f>Tab_Data_Flows[[#This Row],[E1_UoM]]</f>
        <v>0</v>
      </c>
      <c r="AG307" s="139">
        <f>_xlfn.XLOOKUP(Tab_Data_Flows[[#This Row],[Flow_Name]],Tab_Def_Flows[Flow_Name],Tab_Def_Flows[Flow_E5_Fraction'[%']],"N.A.",0,1)</f>
        <v>0</v>
      </c>
      <c r="AH307" s="6" t="str">
        <f>IF(H307="Yes",Tab_Data_Flows[[#This Row],[E5_Fraction'[%']]]*Tab_Data_Flows[[#This Row],[E1_value]],"N.A.")</f>
        <v>N.A.</v>
      </c>
      <c r="AI307" s="6">
        <f>Tab_Data_Flows[[#This Row],[E1_UoM]]</f>
        <v>0</v>
      </c>
      <c r="AJ307" s="139">
        <f>_xlfn.XLOOKUP(Tab_Data_Flows[[#This Row],[Flow_Name]],Tab_Def_Flows[Flow_Name],Tab_Def_Flows[Flow_E6_Fraction'[%']],"N.A.",0,1)</f>
        <v>0</v>
      </c>
      <c r="AK307" s="6" t="str">
        <f>IF(Tab_Data_Flows[[#This Row],[Use_E6]]="Yes",Tab_Data_Flows[[#This Row],[E6_Fraction'[%']]]*Tab_Data_Flows[[#This Row],[E1_value]],"N.A.")</f>
        <v>N.A.</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No</v>
      </c>
      <c r="I308" s="9" t="str">
        <f>_xlfn.XLOOKUP(C308,Tab_Def_Flows[Flow_Name],Tab_Def_Flows[Use_E6],,0,)</f>
        <v>No</v>
      </c>
      <c r="J308" s="7"/>
      <c r="K308" s="21"/>
      <c r="L308" s="6"/>
      <c r="M308" s="13"/>
      <c r="N308" s="13"/>
      <c r="O308" s="13"/>
      <c r="P308" s="13"/>
      <c r="Q308" s="13"/>
      <c r="R308" s="7" t="s">
        <v>6</v>
      </c>
      <c r="S308" s="14"/>
      <c r="T308" s="7"/>
      <c r="U308" s="139">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IF(G308="Yes",Tab_Data_Flows[[#This Row],[E4_Fraction'[%']]]*Tab_Data_Flows[[#This Row],[E1_value]],"N.A.")</f>
        <v>0</v>
      </c>
      <c r="AF308" s="6">
        <f>Tab_Data_Flows[[#This Row],[E1_UoM]]</f>
        <v>0</v>
      </c>
      <c r="AG308" s="139">
        <f>_xlfn.XLOOKUP(Tab_Data_Flows[[#This Row],[Flow_Name]],Tab_Def_Flows[Flow_Name],Tab_Def_Flows[Flow_E5_Fraction'[%']],"N.A.",0,1)</f>
        <v>0</v>
      </c>
      <c r="AH308" s="6" t="str">
        <f>IF(H308="Yes",Tab_Data_Flows[[#This Row],[E5_Fraction'[%']]]*Tab_Data_Flows[[#This Row],[E1_value]],"N.A.")</f>
        <v>N.A.</v>
      </c>
      <c r="AI308" s="6">
        <f>Tab_Data_Flows[[#This Row],[E1_UoM]]</f>
        <v>0</v>
      </c>
      <c r="AJ308" s="139">
        <f>_xlfn.XLOOKUP(Tab_Data_Flows[[#This Row],[Flow_Name]],Tab_Def_Flows[Flow_Name],Tab_Def_Flows[Flow_E6_Fraction'[%']],"N.A.",0,1)</f>
        <v>0</v>
      </c>
      <c r="AK308" s="6" t="str">
        <f>IF(Tab_Data_Flows[[#This Row],[Use_E6]]="Yes",Tab_Data_Flows[[#This Row],[E6_Fraction'[%']]]*Tab_Data_Flows[[#This Row],[E1_value]],"N.A.")</f>
        <v>N.A.</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No</v>
      </c>
      <c r="I309" s="9" t="str">
        <f>_xlfn.XLOOKUP(C309,Tab_Def_Flows[Flow_Name],Tab_Def_Flows[Use_E6],,0,)</f>
        <v>No</v>
      </c>
      <c r="J309" s="7"/>
      <c r="K309" s="21"/>
      <c r="L309" s="6"/>
      <c r="M309" s="13"/>
      <c r="N309" s="13"/>
      <c r="O309" s="13"/>
      <c r="P309" s="13"/>
      <c r="Q309" s="13"/>
      <c r="R309" s="7" t="s">
        <v>6</v>
      </c>
      <c r="S309" s="14"/>
      <c r="T309" s="7"/>
      <c r="U309" s="139">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IF(G309="Yes",Tab_Data_Flows[[#This Row],[E4_Fraction'[%']]]*Tab_Data_Flows[[#This Row],[E1_value]],"N.A.")</f>
        <v>0</v>
      </c>
      <c r="AF309" s="6">
        <f>Tab_Data_Flows[[#This Row],[E1_UoM]]</f>
        <v>0</v>
      </c>
      <c r="AG309" s="139">
        <f>_xlfn.XLOOKUP(Tab_Data_Flows[[#This Row],[Flow_Name]],Tab_Def_Flows[Flow_Name],Tab_Def_Flows[Flow_E5_Fraction'[%']],"N.A.",0,1)</f>
        <v>0</v>
      </c>
      <c r="AH309" s="6" t="str">
        <f>IF(H309="Yes",Tab_Data_Flows[[#This Row],[E5_Fraction'[%']]]*Tab_Data_Flows[[#This Row],[E1_value]],"N.A.")</f>
        <v>N.A.</v>
      </c>
      <c r="AI309" s="6">
        <f>Tab_Data_Flows[[#This Row],[E1_UoM]]</f>
        <v>0</v>
      </c>
      <c r="AJ309" s="139">
        <f>_xlfn.XLOOKUP(Tab_Data_Flows[[#This Row],[Flow_Name]],Tab_Def_Flows[Flow_Name],Tab_Def_Flows[Flow_E6_Fraction'[%']],"N.A.",0,1)</f>
        <v>0</v>
      </c>
      <c r="AK309" s="6" t="str">
        <f>IF(Tab_Data_Flows[[#This Row],[Use_E6]]="Yes",Tab_Data_Flows[[#This Row],[E6_Fraction'[%']]]*Tab_Data_Flows[[#This Row],[E1_value]],"N.A.")</f>
        <v>N.A.</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No</v>
      </c>
      <c r="I310" s="9" t="str">
        <f>_xlfn.XLOOKUP(C310,Tab_Def_Flows[Flow_Name],Tab_Def_Flows[Use_E6],,0,)</f>
        <v>No</v>
      </c>
      <c r="J310" s="7"/>
      <c r="K310" s="21"/>
      <c r="L310" s="6"/>
      <c r="M310" s="13"/>
      <c r="N310" s="13"/>
      <c r="O310" s="13"/>
      <c r="P310" s="13"/>
      <c r="Q310" s="13"/>
      <c r="R310" s="7" t="s">
        <v>6</v>
      </c>
      <c r="S310" s="14"/>
      <c r="T310" s="7"/>
      <c r="U310" s="139">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IF(G310="Yes",Tab_Data_Flows[[#This Row],[E4_Fraction'[%']]]*Tab_Data_Flows[[#This Row],[E1_value]],"N.A.")</f>
        <v>0</v>
      </c>
      <c r="AF310" s="6">
        <f>Tab_Data_Flows[[#This Row],[E1_UoM]]</f>
        <v>0</v>
      </c>
      <c r="AG310" s="139">
        <f>_xlfn.XLOOKUP(Tab_Data_Flows[[#This Row],[Flow_Name]],Tab_Def_Flows[Flow_Name],Tab_Def_Flows[Flow_E5_Fraction'[%']],"N.A.",0,1)</f>
        <v>0</v>
      </c>
      <c r="AH310" s="6" t="str">
        <f>IF(H310="Yes",Tab_Data_Flows[[#This Row],[E5_Fraction'[%']]]*Tab_Data_Flows[[#This Row],[E1_value]],"N.A.")</f>
        <v>N.A.</v>
      </c>
      <c r="AI310" s="6">
        <f>Tab_Data_Flows[[#This Row],[E1_UoM]]</f>
        <v>0</v>
      </c>
      <c r="AJ310" s="139">
        <f>_xlfn.XLOOKUP(Tab_Data_Flows[[#This Row],[Flow_Name]],Tab_Def_Flows[Flow_Name],Tab_Def_Flows[Flow_E6_Fraction'[%']],"N.A.",0,1)</f>
        <v>0</v>
      </c>
      <c r="AK310" s="6" t="str">
        <f>IF(Tab_Data_Flows[[#This Row],[Use_E6]]="Yes",Tab_Data_Flows[[#This Row],[E6_Fraction'[%']]]*Tab_Data_Flows[[#This Row],[E1_value]],"N.A.")</f>
        <v>N.A.</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No</v>
      </c>
      <c r="I311" s="9" t="str">
        <f>_xlfn.XLOOKUP(C311,Tab_Def_Flows[Flow_Name],Tab_Def_Flows[Use_E6],,0,)</f>
        <v>No</v>
      </c>
      <c r="J311" s="7"/>
      <c r="K311" s="21"/>
      <c r="L311" s="6"/>
      <c r="M311" s="13"/>
      <c r="N311" s="13"/>
      <c r="O311" s="13"/>
      <c r="P311" s="13"/>
      <c r="Q311" s="13"/>
      <c r="R311" s="7" t="s">
        <v>6</v>
      </c>
      <c r="S311" s="14"/>
      <c r="T311" s="7"/>
      <c r="U311" s="139">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IF(G311="Yes",Tab_Data_Flows[[#This Row],[E4_Fraction'[%']]]*Tab_Data_Flows[[#This Row],[E1_value]],"N.A.")</f>
        <v>0</v>
      </c>
      <c r="AF311" s="6">
        <f>Tab_Data_Flows[[#This Row],[E1_UoM]]</f>
        <v>0</v>
      </c>
      <c r="AG311" s="139">
        <f>_xlfn.XLOOKUP(Tab_Data_Flows[[#This Row],[Flow_Name]],Tab_Def_Flows[Flow_Name],Tab_Def_Flows[Flow_E5_Fraction'[%']],"N.A.",0,1)</f>
        <v>0</v>
      </c>
      <c r="AH311" s="6" t="str">
        <f>IF(H311="Yes",Tab_Data_Flows[[#This Row],[E5_Fraction'[%']]]*Tab_Data_Flows[[#This Row],[E1_value]],"N.A.")</f>
        <v>N.A.</v>
      </c>
      <c r="AI311" s="6">
        <f>Tab_Data_Flows[[#This Row],[E1_UoM]]</f>
        <v>0</v>
      </c>
      <c r="AJ311" s="139">
        <f>_xlfn.XLOOKUP(Tab_Data_Flows[[#This Row],[Flow_Name]],Tab_Def_Flows[Flow_Name],Tab_Def_Flows[Flow_E6_Fraction'[%']],"N.A.",0,1)</f>
        <v>0</v>
      </c>
      <c r="AK311" s="6" t="str">
        <f>IF(Tab_Data_Flows[[#This Row],[Use_E6]]="Yes",Tab_Data_Flows[[#This Row],[E6_Fraction'[%']]]*Tab_Data_Flows[[#This Row],[E1_value]],"N.A.")</f>
        <v>N.A.</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No</v>
      </c>
      <c r="I312" s="9" t="str">
        <f>_xlfn.XLOOKUP(C312,Tab_Def_Flows[Flow_Name],Tab_Def_Flows[Use_E6],,0,)</f>
        <v>No</v>
      </c>
      <c r="J312" s="7"/>
      <c r="K312" s="21"/>
      <c r="L312" s="6"/>
      <c r="M312" s="13"/>
      <c r="N312" s="13"/>
      <c r="O312" s="13"/>
      <c r="P312" s="13"/>
      <c r="Q312" s="13"/>
      <c r="R312" s="7" t="s">
        <v>6</v>
      </c>
      <c r="S312" s="14"/>
      <c r="T312" s="7"/>
      <c r="U312" s="139">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IF(G312="Yes",Tab_Data_Flows[[#This Row],[E4_Fraction'[%']]]*Tab_Data_Flows[[#This Row],[E1_value]],"N.A.")</f>
        <v>0</v>
      </c>
      <c r="AF312" s="6">
        <f>Tab_Data_Flows[[#This Row],[E1_UoM]]</f>
        <v>0</v>
      </c>
      <c r="AG312" s="139">
        <f>_xlfn.XLOOKUP(Tab_Data_Flows[[#This Row],[Flow_Name]],Tab_Def_Flows[Flow_Name],Tab_Def_Flows[Flow_E5_Fraction'[%']],"N.A.",0,1)</f>
        <v>0</v>
      </c>
      <c r="AH312" s="6" t="str">
        <f>IF(H312="Yes",Tab_Data_Flows[[#This Row],[E5_Fraction'[%']]]*Tab_Data_Flows[[#This Row],[E1_value]],"N.A.")</f>
        <v>N.A.</v>
      </c>
      <c r="AI312" s="6">
        <f>Tab_Data_Flows[[#This Row],[E1_UoM]]</f>
        <v>0</v>
      </c>
      <c r="AJ312" s="139">
        <f>_xlfn.XLOOKUP(Tab_Data_Flows[[#This Row],[Flow_Name]],Tab_Def_Flows[Flow_Name],Tab_Def_Flows[Flow_E6_Fraction'[%']],"N.A.",0,1)</f>
        <v>0</v>
      </c>
      <c r="AK312" s="6" t="str">
        <f>IF(Tab_Data_Flows[[#This Row],[Use_E6]]="Yes",Tab_Data_Flows[[#This Row],[E6_Fraction'[%']]]*Tab_Data_Flows[[#This Row],[E1_value]],"N.A.")</f>
        <v>N.A.</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No</v>
      </c>
      <c r="I313" s="9" t="str">
        <f>_xlfn.XLOOKUP(C313,Tab_Def_Flows[Flow_Name],Tab_Def_Flows[Use_E6],,0,)</f>
        <v>No</v>
      </c>
      <c r="J313" s="7"/>
      <c r="K313" s="21"/>
      <c r="L313" s="6"/>
      <c r="M313" s="13"/>
      <c r="N313" s="13"/>
      <c r="O313" s="13"/>
      <c r="P313" s="13"/>
      <c r="Q313" s="13"/>
      <c r="R313" s="7" t="s">
        <v>6</v>
      </c>
      <c r="S313" s="14"/>
      <c r="T313" s="7"/>
      <c r="U313" s="139">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IF(G313="Yes",Tab_Data_Flows[[#This Row],[E4_Fraction'[%']]]*Tab_Data_Flows[[#This Row],[E1_value]],"N.A.")</f>
        <v>0</v>
      </c>
      <c r="AF313" s="6">
        <f>Tab_Data_Flows[[#This Row],[E1_UoM]]</f>
        <v>0</v>
      </c>
      <c r="AG313" s="139">
        <f>_xlfn.XLOOKUP(Tab_Data_Flows[[#This Row],[Flow_Name]],Tab_Def_Flows[Flow_Name],Tab_Def_Flows[Flow_E5_Fraction'[%']],"N.A.",0,1)</f>
        <v>0</v>
      </c>
      <c r="AH313" s="6" t="str">
        <f>IF(H313="Yes",Tab_Data_Flows[[#This Row],[E5_Fraction'[%']]]*Tab_Data_Flows[[#This Row],[E1_value]],"N.A.")</f>
        <v>N.A.</v>
      </c>
      <c r="AI313" s="6">
        <f>Tab_Data_Flows[[#This Row],[E1_UoM]]</f>
        <v>0</v>
      </c>
      <c r="AJ313" s="139">
        <f>_xlfn.XLOOKUP(Tab_Data_Flows[[#This Row],[Flow_Name]],Tab_Def_Flows[Flow_Name],Tab_Def_Flows[Flow_E6_Fraction'[%']],"N.A.",0,1)</f>
        <v>0</v>
      </c>
      <c r="AK313" s="6" t="str">
        <f>IF(Tab_Data_Flows[[#This Row],[Use_E6]]="Yes",Tab_Data_Flows[[#This Row],[E6_Fraction'[%']]]*Tab_Data_Flows[[#This Row],[E1_value]],"N.A.")</f>
        <v>N.A.</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No</v>
      </c>
      <c r="I314" s="9" t="str">
        <f>_xlfn.XLOOKUP(C314,Tab_Def_Flows[Flow_Name],Tab_Def_Flows[Use_E6],,0,)</f>
        <v>No</v>
      </c>
      <c r="J314" s="7"/>
      <c r="K314" s="21"/>
      <c r="L314" s="6"/>
      <c r="M314" s="13"/>
      <c r="N314" s="13"/>
      <c r="O314" s="13"/>
      <c r="P314" s="13"/>
      <c r="Q314" s="13"/>
      <c r="R314" s="7" t="s">
        <v>6</v>
      </c>
      <c r="S314" s="14"/>
      <c r="T314" s="7"/>
      <c r="U314" s="139">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IF(G314="Yes",Tab_Data_Flows[[#This Row],[E4_Fraction'[%']]]*Tab_Data_Flows[[#This Row],[E1_value]],"N.A.")</f>
        <v>0</v>
      </c>
      <c r="AF314" s="6">
        <f>Tab_Data_Flows[[#This Row],[E1_UoM]]</f>
        <v>0</v>
      </c>
      <c r="AG314" s="139">
        <f>_xlfn.XLOOKUP(Tab_Data_Flows[[#This Row],[Flow_Name]],Tab_Def_Flows[Flow_Name],Tab_Def_Flows[Flow_E5_Fraction'[%']],"N.A.",0,1)</f>
        <v>0</v>
      </c>
      <c r="AH314" s="6" t="str">
        <f>IF(H314="Yes",Tab_Data_Flows[[#This Row],[E5_Fraction'[%']]]*Tab_Data_Flows[[#This Row],[E1_value]],"N.A.")</f>
        <v>N.A.</v>
      </c>
      <c r="AI314" s="6">
        <f>Tab_Data_Flows[[#This Row],[E1_UoM]]</f>
        <v>0</v>
      </c>
      <c r="AJ314" s="139">
        <f>_xlfn.XLOOKUP(Tab_Data_Flows[[#This Row],[Flow_Name]],Tab_Def_Flows[Flow_Name],Tab_Def_Flows[Flow_E6_Fraction'[%']],"N.A.",0,1)</f>
        <v>0</v>
      </c>
      <c r="AK314" s="6" t="str">
        <f>IF(Tab_Data_Flows[[#This Row],[Use_E6]]="Yes",Tab_Data_Flows[[#This Row],[E6_Fraction'[%']]]*Tab_Data_Flows[[#This Row],[E1_value]],"N.A.")</f>
        <v>N.A.</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No</v>
      </c>
      <c r="I315" s="9" t="str">
        <f>_xlfn.XLOOKUP(C315,Tab_Def_Flows[Flow_Name],Tab_Def_Flows[Use_E6],,0,)</f>
        <v>No</v>
      </c>
      <c r="J315" s="7"/>
      <c r="K315" s="21"/>
      <c r="L315" s="6"/>
      <c r="M315" s="13"/>
      <c r="N315" s="13"/>
      <c r="O315" s="13"/>
      <c r="P315" s="13"/>
      <c r="Q315" s="13"/>
      <c r="R315" s="7" t="s">
        <v>6</v>
      </c>
      <c r="S315" s="14"/>
      <c r="T315" s="7"/>
      <c r="U315" s="139">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IF(G315="Yes",Tab_Data_Flows[[#This Row],[E4_Fraction'[%']]]*Tab_Data_Flows[[#This Row],[E1_value]],"N.A.")</f>
        <v>0</v>
      </c>
      <c r="AF315" s="6">
        <f>Tab_Data_Flows[[#This Row],[E1_UoM]]</f>
        <v>0</v>
      </c>
      <c r="AG315" s="139">
        <f>_xlfn.XLOOKUP(Tab_Data_Flows[[#This Row],[Flow_Name]],Tab_Def_Flows[Flow_Name],Tab_Def_Flows[Flow_E5_Fraction'[%']],"N.A.",0,1)</f>
        <v>0</v>
      </c>
      <c r="AH315" s="6" t="str">
        <f>IF(H315="Yes",Tab_Data_Flows[[#This Row],[E5_Fraction'[%']]]*Tab_Data_Flows[[#This Row],[E1_value]],"N.A.")</f>
        <v>N.A.</v>
      </c>
      <c r="AI315" s="6">
        <f>Tab_Data_Flows[[#This Row],[E1_UoM]]</f>
        <v>0</v>
      </c>
      <c r="AJ315" s="139">
        <f>_xlfn.XLOOKUP(Tab_Data_Flows[[#This Row],[Flow_Name]],Tab_Def_Flows[Flow_Name],Tab_Def_Flows[Flow_E6_Fraction'[%']],"N.A.",0,1)</f>
        <v>0</v>
      </c>
      <c r="AK315" s="6" t="str">
        <f>IF(Tab_Data_Flows[[#This Row],[Use_E6]]="Yes",Tab_Data_Flows[[#This Row],[E6_Fraction'[%']]]*Tab_Data_Flows[[#This Row],[E1_value]],"N.A.")</f>
        <v>N.A.</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No</v>
      </c>
      <c r="I316" s="9" t="str">
        <f>_xlfn.XLOOKUP(C316,Tab_Def_Flows[Flow_Name],Tab_Def_Flows[Use_E6],,0,)</f>
        <v>No</v>
      </c>
      <c r="J316" s="7"/>
      <c r="K316" s="21"/>
      <c r="L316" s="6"/>
      <c r="M316" s="13"/>
      <c r="N316" s="13"/>
      <c r="O316" s="13"/>
      <c r="P316" s="13"/>
      <c r="Q316" s="13"/>
      <c r="R316" s="7" t="s">
        <v>6</v>
      </c>
      <c r="S316" s="14"/>
      <c r="T316" s="7"/>
      <c r="U316" s="139">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IF(G316="Yes",Tab_Data_Flows[[#This Row],[E4_Fraction'[%']]]*Tab_Data_Flows[[#This Row],[E1_value]],"N.A.")</f>
        <v>0</v>
      </c>
      <c r="AF316" s="6">
        <f>Tab_Data_Flows[[#This Row],[E1_UoM]]</f>
        <v>0</v>
      </c>
      <c r="AG316" s="139">
        <f>_xlfn.XLOOKUP(Tab_Data_Flows[[#This Row],[Flow_Name]],Tab_Def_Flows[Flow_Name],Tab_Def_Flows[Flow_E5_Fraction'[%']],"N.A.",0,1)</f>
        <v>0</v>
      </c>
      <c r="AH316" s="6" t="str">
        <f>IF(H316="Yes",Tab_Data_Flows[[#This Row],[E5_Fraction'[%']]]*Tab_Data_Flows[[#This Row],[E1_value]],"N.A.")</f>
        <v>N.A.</v>
      </c>
      <c r="AI316" s="6">
        <f>Tab_Data_Flows[[#This Row],[E1_UoM]]</f>
        <v>0</v>
      </c>
      <c r="AJ316" s="139">
        <f>_xlfn.XLOOKUP(Tab_Data_Flows[[#This Row],[Flow_Name]],Tab_Def_Flows[Flow_Name],Tab_Def_Flows[Flow_E6_Fraction'[%']],"N.A.",0,1)</f>
        <v>0</v>
      </c>
      <c r="AK316" s="6" t="str">
        <f>IF(Tab_Data_Flows[[#This Row],[Use_E6]]="Yes",Tab_Data_Flows[[#This Row],[E6_Fraction'[%']]]*Tab_Data_Flows[[#This Row],[E1_value]],"N.A.")</f>
        <v>N.A.</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No</v>
      </c>
      <c r="I317" s="9" t="str">
        <f>_xlfn.XLOOKUP(C317,Tab_Def_Flows[Flow_Name],Tab_Def_Flows[Use_E6],,0,)</f>
        <v>No</v>
      </c>
      <c r="J317" s="7"/>
      <c r="K317" s="21"/>
      <c r="L317" s="6"/>
      <c r="M317" s="13"/>
      <c r="N317" s="13"/>
      <c r="O317" s="13"/>
      <c r="P317" s="13"/>
      <c r="Q317" s="13"/>
      <c r="R317" s="7" t="s">
        <v>6</v>
      </c>
      <c r="S317" s="14"/>
      <c r="T317" s="7"/>
      <c r="U317" s="139">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IF(G317="Yes",Tab_Data_Flows[[#This Row],[E4_Fraction'[%']]]*Tab_Data_Flows[[#This Row],[E1_value]],"N.A.")</f>
        <v>0</v>
      </c>
      <c r="AF317" s="6">
        <f>Tab_Data_Flows[[#This Row],[E1_UoM]]</f>
        <v>0</v>
      </c>
      <c r="AG317" s="139">
        <f>_xlfn.XLOOKUP(Tab_Data_Flows[[#This Row],[Flow_Name]],Tab_Def_Flows[Flow_Name],Tab_Def_Flows[Flow_E5_Fraction'[%']],"N.A.",0,1)</f>
        <v>0</v>
      </c>
      <c r="AH317" s="6" t="str">
        <f>IF(H317="Yes",Tab_Data_Flows[[#This Row],[E5_Fraction'[%']]]*Tab_Data_Flows[[#This Row],[E1_value]],"N.A.")</f>
        <v>N.A.</v>
      </c>
      <c r="AI317" s="6">
        <f>Tab_Data_Flows[[#This Row],[E1_UoM]]</f>
        <v>0</v>
      </c>
      <c r="AJ317" s="139">
        <f>_xlfn.XLOOKUP(Tab_Data_Flows[[#This Row],[Flow_Name]],Tab_Def_Flows[Flow_Name],Tab_Def_Flows[Flow_E6_Fraction'[%']],"N.A.",0,1)</f>
        <v>0</v>
      </c>
      <c r="AK317" s="6" t="str">
        <f>IF(Tab_Data_Flows[[#This Row],[Use_E6]]="Yes",Tab_Data_Flows[[#This Row],[E6_Fraction'[%']]]*Tab_Data_Flows[[#This Row],[E1_value]],"N.A.")</f>
        <v>N.A.</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No</v>
      </c>
      <c r="I318" s="9" t="str">
        <f>_xlfn.XLOOKUP(C318,Tab_Def_Flows[Flow_Name],Tab_Def_Flows[Use_E6],,0,)</f>
        <v>No</v>
      </c>
      <c r="J318" s="7"/>
      <c r="K318" s="21"/>
      <c r="L318" s="6"/>
      <c r="M318" s="13"/>
      <c r="N318" s="13"/>
      <c r="O318" s="13"/>
      <c r="P318" s="13"/>
      <c r="Q318" s="13"/>
      <c r="R318" s="7" t="s">
        <v>6</v>
      </c>
      <c r="S318" s="14"/>
      <c r="T318" s="7"/>
      <c r="U318" s="139">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IF(G318="Yes",Tab_Data_Flows[[#This Row],[E4_Fraction'[%']]]*Tab_Data_Flows[[#This Row],[E1_value]],"N.A.")</f>
        <v>0</v>
      </c>
      <c r="AF318" s="6">
        <f>Tab_Data_Flows[[#This Row],[E1_UoM]]</f>
        <v>0</v>
      </c>
      <c r="AG318" s="139">
        <f>_xlfn.XLOOKUP(Tab_Data_Flows[[#This Row],[Flow_Name]],Tab_Def_Flows[Flow_Name],Tab_Def_Flows[Flow_E5_Fraction'[%']],"N.A.",0,1)</f>
        <v>0</v>
      </c>
      <c r="AH318" s="6" t="str">
        <f>IF(H318="Yes",Tab_Data_Flows[[#This Row],[E5_Fraction'[%']]]*Tab_Data_Flows[[#This Row],[E1_value]],"N.A.")</f>
        <v>N.A.</v>
      </c>
      <c r="AI318" s="6">
        <f>Tab_Data_Flows[[#This Row],[E1_UoM]]</f>
        <v>0</v>
      </c>
      <c r="AJ318" s="139">
        <f>_xlfn.XLOOKUP(Tab_Data_Flows[[#This Row],[Flow_Name]],Tab_Def_Flows[Flow_Name],Tab_Def_Flows[Flow_E6_Fraction'[%']],"N.A.",0,1)</f>
        <v>0</v>
      </c>
      <c r="AK318" s="6" t="str">
        <f>IF(Tab_Data_Flows[[#This Row],[Use_E6]]="Yes",Tab_Data_Flows[[#This Row],[E6_Fraction'[%']]]*Tab_Data_Flows[[#This Row],[E1_value]],"N.A.")</f>
        <v>N.A.</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No</v>
      </c>
      <c r="I319" s="9" t="str">
        <f>_xlfn.XLOOKUP(C319,Tab_Def_Flows[Flow_Name],Tab_Def_Flows[Use_E6],,0,)</f>
        <v>No</v>
      </c>
      <c r="J319" s="7"/>
      <c r="K319" s="21"/>
      <c r="L319" s="6"/>
      <c r="M319" s="13"/>
      <c r="N319" s="13"/>
      <c r="O319" s="13"/>
      <c r="P319" s="13"/>
      <c r="Q319" s="13"/>
      <c r="R319" s="7" t="s">
        <v>6</v>
      </c>
      <c r="S319" s="14"/>
      <c r="T319" s="7"/>
      <c r="U319" s="139">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IF(G319="Yes",Tab_Data_Flows[[#This Row],[E4_Fraction'[%']]]*Tab_Data_Flows[[#This Row],[E1_value]],"N.A.")</f>
        <v>0</v>
      </c>
      <c r="AF319" s="6">
        <f>Tab_Data_Flows[[#This Row],[E1_UoM]]</f>
        <v>0</v>
      </c>
      <c r="AG319" s="139">
        <f>_xlfn.XLOOKUP(Tab_Data_Flows[[#This Row],[Flow_Name]],Tab_Def_Flows[Flow_Name],Tab_Def_Flows[Flow_E5_Fraction'[%']],"N.A.",0,1)</f>
        <v>0</v>
      </c>
      <c r="AH319" s="6" t="str">
        <f>IF(H319="Yes",Tab_Data_Flows[[#This Row],[E5_Fraction'[%']]]*Tab_Data_Flows[[#This Row],[E1_value]],"N.A.")</f>
        <v>N.A.</v>
      </c>
      <c r="AI319" s="6">
        <f>Tab_Data_Flows[[#This Row],[E1_UoM]]</f>
        <v>0</v>
      </c>
      <c r="AJ319" s="139">
        <f>_xlfn.XLOOKUP(Tab_Data_Flows[[#This Row],[Flow_Name]],Tab_Def_Flows[Flow_Name],Tab_Def_Flows[Flow_E6_Fraction'[%']],"N.A.",0,1)</f>
        <v>0</v>
      </c>
      <c r="AK319" s="6" t="str">
        <f>IF(Tab_Data_Flows[[#This Row],[Use_E6]]="Yes",Tab_Data_Flows[[#This Row],[E6_Fraction'[%']]]*Tab_Data_Flows[[#This Row],[E1_value]],"N.A.")</f>
        <v>N.A.</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No</v>
      </c>
      <c r="I320" s="9" t="str">
        <f>_xlfn.XLOOKUP(C320,Tab_Def_Flows[Flow_Name],Tab_Def_Flows[Use_E6],,0,)</f>
        <v>No</v>
      </c>
      <c r="J320" s="7"/>
      <c r="K320" s="21"/>
      <c r="L320" s="6"/>
      <c r="M320" s="13"/>
      <c r="N320" s="13"/>
      <c r="O320" s="13"/>
      <c r="P320" s="13"/>
      <c r="Q320" s="13"/>
      <c r="R320" s="7" t="s">
        <v>6</v>
      </c>
      <c r="S320" s="14"/>
      <c r="T320" s="7"/>
      <c r="U320" s="139">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IF(G320="Yes",Tab_Data_Flows[[#This Row],[E4_Fraction'[%']]]*Tab_Data_Flows[[#This Row],[E1_value]],"N.A.")</f>
        <v>0</v>
      </c>
      <c r="AF320" s="6">
        <f>Tab_Data_Flows[[#This Row],[E1_UoM]]</f>
        <v>0</v>
      </c>
      <c r="AG320" s="139">
        <f>_xlfn.XLOOKUP(Tab_Data_Flows[[#This Row],[Flow_Name]],Tab_Def_Flows[Flow_Name],Tab_Def_Flows[Flow_E5_Fraction'[%']],"N.A.",0,1)</f>
        <v>0</v>
      </c>
      <c r="AH320" s="6" t="str">
        <f>IF(H320="Yes",Tab_Data_Flows[[#This Row],[E5_Fraction'[%']]]*Tab_Data_Flows[[#This Row],[E1_value]],"N.A.")</f>
        <v>N.A.</v>
      </c>
      <c r="AI320" s="6">
        <f>Tab_Data_Flows[[#This Row],[E1_UoM]]</f>
        <v>0</v>
      </c>
      <c r="AJ320" s="139">
        <f>_xlfn.XLOOKUP(Tab_Data_Flows[[#This Row],[Flow_Name]],Tab_Def_Flows[Flow_Name],Tab_Def_Flows[Flow_E6_Fraction'[%']],"N.A.",0,1)</f>
        <v>0</v>
      </c>
      <c r="AK320" s="6" t="str">
        <f>IF(Tab_Data_Flows[[#This Row],[Use_E6]]="Yes",Tab_Data_Flows[[#This Row],[E6_Fraction'[%']]]*Tab_Data_Flows[[#This Row],[E1_value]],"N.A.")</f>
        <v>N.A.</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No</v>
      </c>
      <c r="I321" s="9" t="str">
        <f>_xlfn.XLOOKUP(C321,Tab_Def_Flows[Flow_Name],Tab_Def_Flows[Use_E6],,0,)</f>
        <v>No</v>
      </c>
      <c r="J321" s="7"/>
      <c r="K321" s="21"/>
      <c r="L321" s="6"/>
      <c r="M321" s="13"/>
      <c r="N321" s="13"/>
      <c r="O321" s="13"/>
      <c r="P321" s="13"/>
      <c r="Q321" s="13"/>
      <c r="R321" s="7" t="s">
        <v>6</v>
      </c>
      <c r="S321" s="14"/>
      <c r="T321" s="7"/>
      <c r="U321" s="139">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IF(G321="Yes",Tab_Data_Flows[[#This Row],[E4_Fraction'[%']]]*Tab_Data_Flows[[#This Row],[E1_value]],"N.A.")</f>
        <v>0</v>
      </c>
      <c r="AF321" s="6">
        <f>Tab_Data_Flows[[#This Row],[E1_UoM]]</f>
        <v>0</v>
      </c>
      <c r="AG321" s="139">
        <f>_xlfn.XLOOKUP(Tab_Data_Flows[[#This Row],[Flow_Name]],Tab_Def_Flows[Flow_Name],Tab_Def_Flows[Flow_E5_Fraction'[%']],"N.A.",0,1)</f>
        <v>0</v>
      </c>
      <c r="AH321" s="6" t="str">
        <f>IF(H321="Yes",Tab_Data_Flows[[#This Row],[E5_Fraction'[%']]]*Tab_Data_Flows[[#This Row],[E1_value]],"N.A.")</f>
        <v>N.A.</v>
      </c>
      <c r="AI321" s="6">
        <f>Tab_Data_Flows[[#This Row],[E1_UoM]]</f>
        <v>0</v>
      </c>
      <c r="AJ321" s="139">
        <f>_xlfn.XLOOKUP(Tab_Data_Flows[[#This Row],[Flow_Name]],Tab_Def_Flows[Flow_Name],Tab_Def_Flows[Flow_E6_Fraction'[%']],"N.A.",0,1)</f>
        <v>0</v>
      </c>
      <c r="AK321" s="6" t="str">
        <f>IF(Tab_Data_Flows[[#This Row],[Use_E6]]="Yes",Tab_Data_Flows[[#This Row],[E6_Fraction'[%']]]*Tab_Data_Flows[[#This Row],[E1_value]],"N.A.")</f>
        <v>N.A.</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No</v>
      </c>
      <c r="I322" s="9" t="str">
        <f>_xlfn.XLOOKUP(C322,Tab_Def_Flows[Flow_Name],Tab_Def_Flows[Use_E6],,0,)</f>
        <v>No</v>
      </c>
      <c r="J322" s="7"/>
      <c r="K322" s="21"/>
      <c r="L322" s="6"/>
      <c r="M322" s="13"/>
      <c r="N322" s="13"/>
      <c r="O322" s="13"/>
      <c r="P322" s="13"/>
      <c r="Q322" s="13"/>
      <c r="R322" s="7" t="s">
        <v>6</v>
      </c>
      <c r="S322" s="14"/>
      <c r="T322" s="7"/>
      <c r="U322" s="139">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IF(G322="Yes",Tab_Data_Flows[[#This Row],[E4_Fraction'[%']]]*Tab_Data_Flows[[#This Row],[E1_value]],"N.A.")</f>
        <v>0</v>
      </c>
      <c r="AF322" s="6">
        <f>Tab_Data_Flows[[#This Row],[E1_UoM]]</f>
        <v>0</v>
      </c>
      <c r="AG322" s="139">
        <f>_xlfn.XLOOKUP(Tab_Data_Flows[[#This Row],[Flow_Name]],Tab_Def_Flows[Flow_Name],Tab_Def_Flows[Flow_E5_Fraction'[%']],"N.A.",0,1)</f>
        <v>0</v>
      </c>
      <c r="AH322" s="6" t="str">
        <f>IF(H322="Yes",Tab_Data_Flows[[#This Row],[E5_Fraction'[%']]]*Tab_Data_Flows[[#This Row],[E1_value]],"N.A.")</f>
        <v>N.A.</v>
      </c>
      <c r="AI322" s="6">
        <f>Tab_Data_Flows[[#This Row],[E1_UoM]]</f>
        <v>0</v>
      </c>
      <c r="AJ322" s="139">
        <f>_xlfn.XLOOKUP(Tab_Data_Flows[[#This Row],[Flow_Name]],Tab_Def_Flows[Flow_Name],Tab_Def_Flows[Flow_E6_Fraction'[%']],"N.A.",0,1)</f>
        <v>0</v>
      </c>
      <c r="AK322" s="6" t="str">
        <f>IF(Tab_Data_Flows[[#This Row],[Use_E6]]="Yes",Tab_Data_Flows[[#This Row],[E6_Fraction'[%']]]*Tab_Data_Flows[[#This Row],[E1_value]],"N.A.")</f>
        <v>N.A.</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No</v>
      </c>
      <c r="I323" s="9" t="str">
        <f>_xlfn.XLOOKUP(C323,Tab_Def_Flows[Flow_Name],Tab_Def_Flows[Use_E6],,0,)</f>
        <v>No</v>
      </c>
      <c r="J323" s="7"/>
      <c r="K323" s="21"/>
      <c r="L323" s="6"/>
      <c r="M323" s="13"/>
      <c r="N323" s="13"/>
      <c r="O323" s="13"/>
      <c r="P323" s="13"/>
      <c r="Q323" s="13"/>
      <c r="R323" s="7" t="s">
        <v>6</v>
      </c>
      <c r="S323" s="14"/>
      <c r="T323" s="7"/>
      <c r="U323" s="139">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IF(G323="Yes",Tab_Data_Flows[[#This Row],[E4_Fraction'[%']]]*Tab_Data_Flows[[#This Row],[E1_value]],"N.A.")</f>
        <v>0</v>
      </c>
      <c r="AF323" s="6">
        <f>Tab_Data_Flows[[#This Row],[E1_UoM]]</f>
        <v>0</v>
      </c>
      <c r="AG323" s="139">
        <f>_xlfn.XLOOKUP(Tab_Data_Flows[[#This Row],[Flow_Name]],Tab_Def_Flows[Flow_Name],Tab_Def_Flows[Flow_E5_Fraction'[%']],"N.A.",0,1)</f>
        <v>0</v>
      </c>
      <c r="AH323" s="6" t="str">
        <f>IF(H323="Yes",Tab_Data_Flows[[#This Row],[E5_Fraction'[%']]]*Tab_Data_Flows[[#This Row],[E1_value]],"N.A.")</f>
        <v>N.A.</v>
      </c>
      <c r="AI323" s="6">
        <f>Tab_Data_Flows[[#This Row],[E1_UoM]]</f>
        <v>0</v>
      </c>
      <c r="AJ323" s="139">
        <f>_xlfn.XLOOKUP(Tab_Data_Flows[[#This Row],[Flow_Name]],Tab_Def_Flows[Flow_Name],Tab_Def_Flows[Flow_E6_Fraction'[%']],"N.A.",0,1)</f>
        <v>0</v>
      </c>
      <c r="AK323" s="6" t="str">
        <f>IF(Tab_Data_Flows[[#This Row],[Use_E6]]="Yes",Tab_Data_Flows[[#This Row],[E6_Fraction'[%']]]*Tab_Data_Flows[[#This Row],[E1_value]],"N.A.")</f>
        <v>N.A.</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No</v>
      </c>
      <c r="I324" s="9" t="str">
        <f>_xlfn.XLOOKUP(C324,Tab_Def_Flows[Flow_Name],Tab_Def_Flows[Use_E6],,0,)</f>
        <v>No</v>
      </c>
      <c r="J324" s="7"/>
      <c r="K324" s="21"/>
      <c r="L324" s="6"/>
      <c r="M324" s="13"/>
      <c r="N324" s="13"/>
      <c r="O324" s="13"/>
      <c r="P324" s="13"/>
      <c r="Q324" s="13"/>
      <c r="R324" s="7" t="s">
        <v>6</v>
      </c>
      <c r="S324" s="14"/>
      <c r="T324" s="7"/>
      <c r="U324" s="139">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IF(G324="Yes",Tab_Data_Flows[[#This Row],[E4_Fraction'[%']]]*Tab_Data_Flows[[#This Row],[E1_value]],"N.A.")</f>
        <v>0</v>
      </c>
      <c r="AF324" s="6">
        <f>Tab_Data_Flows[[#This Row],[E1_UoM]]</f>
        <v>0</v>
      </c>
      <c r="AG324" s="139">
        <f>_xlfn.XLOOKUP(Tab_Data_Flows[[#This Row],[Flow_Name]],Tab_Def_Flows[Flow_Name],Tab_Def_Flows[Flow_E5_Fraction'[%']],"N.A.",0,1)</f>
        <v>0</v>
      </c>
      <c r="AH324" s="6" t="str">
        <f>IF(H324="Yes",Tab_Data_Flows[[#This Row],[E5_Fraction'[%']]]*Tab_Data_Flows[[#This Row],[E1_value]],"N.A.")</f>
        <v>N.A.</v>
      </c>
      <c r="AI324" s="6">
        <f>Tab_Data_Flows[[#This Row],[E1_UoM]]</f>
        <v>0</v>
      </c>
      <c r="AJ324" s="139">
        <f>_xlfn.XLOOKUP(Tab_Data_Flows[[#This Row],[Flow_Name]],Tab_Def_Flows[Flow_Name],Tab_Def_Flows[Flow_E6_Fraction'[%']],"N.A.",0,1)</f>
        <v>0</v>
      </c>
      <c r="AK324" s="6" t="str">
        <f>IF(Tab_Data_Flows[[#This Row],[Use_E6]]="Yes",Tab_Data_Flows[[#This Row],[E6_Fraction'[%']]]*Tab_Data_Flows[[#This Row],[E1_value]],"N.A.")</f>
        <v>N.A.</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No</v>
      </c>
      <c r="I325" s="9" t="str">
        <f>_xlfn.XLOOKUP(C325,Tab_Def_Flows[Flow_Name],Tab_Def_Flows[Use_E6],,0,)</f>
        <v>No</v>
      </c>
      <c r="J325" s="7"/>
      <c r="K325" s="21"/>
      <c r="L325" s="6"/>
      <c r="M325" s="13"/>
      <c r="N325" s="13"/>
      <c r="O325" s="13"/>
      <c r="P325" s="13"/>
      <c r="Q325" s="13"/>
      <c r="R325" s="7" t="s">
        <v>6</v>
      </c>
      <c r="S325" s="14"/>
      <c r="T325" s="7"/>
      <c r="U325" s="139">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IF(G325="Yes",Tab_Data_Flows[[#This Row],[E4_Fraction'[%']]]*Tab_Data_Flows[[#This Row],[E1_value]],"N.A.")</f>
        <v>0</v>
      </c>
      <c r="AF325" s="6">
        <f>Tab_Data_Flows[[#This Row],[E1_UoM]]</f>
        <v>0</v>
      </c>
      <c r="AG325" s="139">
        <f>_xlfn.XLOOKUP(Tab_Data_Flows[[#This Row],[Flow_Name]],Tab_Def_Flows[Flow_Name],Tab_Def_Flows[Flow_E5_Fraction'[%']],"N.A.",0,1)</f>
        <v>0</v>
      </c>
      <c r="AH325" s="6" t="str">
        <f>IF(H325="Yes",Tab_Data_Flows[[#This Row],[E5_Fraction'[%']]]*Tab_Data_Flows[[#This Row],[E1_value]],"N.A.")</f>
        <v>N.A.</v>
      </c>
      <c r="AI325" s="6">
        <f>Tab_Data_Flows[[#This Row],[E1_UoM]]</f>
        <v>0</v>
      </c>
      <c r="AJ325" s="139">
        <f>_xlfn.XLOOKUP(Tab_Data_Flows[[#This Row],[Flow_Name]],Tab_Def_Flows[Flow_Name],Tab_Def_Flows[Flow_E6_Fraction'[%']],"N.A.",0,1)</f>
        <v>0</v>
      </c>
      <c r="AK325" s="6" t="str">
        <f>IF(Tab_Data_Flows[[#This Row],[Use_E6]]="Yes",Tab_Data_Flows[[#This Row],[E6_Fraction'[%']]]*Tab_Data_Flows[[#This Row],[E1_value]],"N.A.")</f>
        <v>N.A.</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No</v>
      </c>
      <c r="I326" s="9" t="str">
        <f>_xlfn.XLOOKUP(C326,Tab_Def_Flows[Flow_Name],Tab_Def_Flows[Use_E6],,0,)</f>
        <v>No</v>
      </c>
      <c r="J326" s="7"/>
      <c r="K326" s="21"/>
      <c r="L326" s="6"/>
      <c r="M326" s="13"/>
      <c r="N326" s="13"/>
      <c r="O326" s="13"/>
      <c r="P326" s="13"/>
      <c r="Q326" s="13"/>
      <c r="R326" s="7" t="s">
        <v>6</v>
      </c>
      <c r="S326" s="14"/>
      <c r="T326" s="7"/>
      <c r="U326" s="139">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IF(G326="Yes",Tab_Data_Flows[[#This Row],[E4_Fraction'[%']]]*Tab_Data_Flows[[#This Row],[E1_value]],"N.A.")</f>
        <v>0</v>
      </c>
      <c r="AF326" s="6">
        <f>Tab_Data_Flows[[#This Row],[E1_UoM]]</f>
        <v>0</v>
      </c>
      <c r="AG326" s="139">
        <f>_xlfn.XLOOKUP(Tab_Data_Flows[[#This Row],[Flow_Name]],Tab_Def_Flows[Flow_Name],Tab_Def_Flows[Flow_E5_Fraction'[%']],"N.A.",0,1)</f>
        <v>0</v>
      </c>
      <c r="AH326" s="6" t="str">
        <f>IF(H326="Yes",Tab_Data_Flows[[#This Row],[E5_Fraction'[%']]]*Tab_Data_Flows[[#This Row],[E1_value]],"N.A.")</f>
        <v>N.A.</v>
      </c>
      <c r="AI326" s="6">
        <f>Tab_Data_Flows[[#This Row],[E1_UoM]]</f>
        <v>0</v>
      </c>
      <c r="AJ326" s="139">
        <f>_xlfn.XLOOKUP(Tab_Data_Flows[[#This Row],[Flow_Name]],Tab_Def_Flows[Flow_Name],Tab_Def_Flows[Flow_E6_Fraction'[%']],"N.A.",0,1)</f>
        <v>0</v>
      </c>
      <c r="AK326" s="6" t="str">
        <f>IF(Tab_Data_Flows[[#This Row],[Use_E6]]="Yes",Tab_Data_Flows[[#This Row],[E6_Fraction'[%']]]*Tab_Data_Flows[[#This Row],[E1_value]],"N.A.")</f>
        <v>N.A.</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No</v>
      </c>
      <c r="I327" s="9" t="str">
        <f>_xlfn.XLOOKUP(C327,Tab_Def_Flows[Flow_Name],Tab_Def_Flows[Use_E6],,0,)</f>
        <v>No</v>
      </c>
      <c r="J327" s="7"/>
      <c r="K327" s="21"/>
      <c r="L327" s="6"/>
      <c r="M327" s="13"/>
      <c r="N327" s="13"/>
      <c r="O327" s="13"/>
      <c r="P327" s="13"/>
      <c r="Q327" s="13"/>
      <c r="R327" s="7" t="s">
        <v>6</v>
      </c>
      <c r="S327" s="14"/>
      <c r="T327" s="7"/>
      <c r="U327" s="139">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IF(G327="Yes",Tab_Data_Flows[[#This Row],[E4_Fraction'[%']]]*Tab_Data_Flows[[#This Row],[E1_value]],"N.A.")</f>
        <v>0</v>
      </c>
      <c r="AF327" s="6">
        <f>Tab_Data_Flows[[#This Row],[E1_UoM]]</f>
        <v>0</v>
      </c>
      <c r="AG327" s="139">
        <f>_xlfn.XLOOKUP(Tab_Data_Flows[[#This Row],[Flow_Name]],Tab_Def_Flows[Flow_Name],Tab_Def_Flows[Flow_E5_Fraction'[%']],"N.A.",0,1)</f>
        <v>0</v>
      </c>
      <c r="AH327" s="6" t="str">
        <f>IF(H327="Yes",Tab_Data_Flows[[#This Row],[E5_Fraction'[%']]]*Tab_Data_Flows[[#This Row],[E1_value]],"N.A.")</f>
        <v>N.A.</v>
      </c>
      <c r="AI327" s="6">
        <f>Tab_Data_Flows[[#This Row],[E1_UoM]]</f>
        <v>0</v>
      </c>
      <c r="AJ327" s="139">
        <f>_xlfn.XLOOKUP(Tab_Data_Flows[[#This Row],[Flow_Name]],Tab_Def_Flows[Flow_Name],Tab_Def_Flows[Flow_E6_Fraction'[%']],"N.A.",0,1)</f>
        <v>0</v>
      </c>
      <c r="AK327" s="6" t="str">
        <f>IF(Tab_Data_Flows[[#This Row],[Use_E6]]="Yes",Tab_Data_Flows[[#This Row],[E6_Fraction'[%']]]*Tab_Data_Flows[[#This Row],[E1_value]],"N.A.")</f>
        <v>N.A.</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No</v>
      </c>
      <c r="I328" s="9" t="str">
        <f>_xlfn.XLOOKUP(C328,Tab_Def_Flows[Flow_Name],Tab_Def_Flows[Use_E6],,0,)</f>
        <v>No</v>
      </c>
      <c r="J328" s="7"/>
      <c r="K328" s="21"/>
      <c r="L328" s="6"/>
      <c r="M328" s="13"/>
      <c r="N328" s="13"/>
      <c r="O328" s="13"/>
      <c r="P328" s="13"/>
      <c r="Q328" s="13"/>
      <c r="R328" s="7" t="s">
        <v>6</v>
      </c>
      <c r="S328" s="14"/>
      <c r="T328" s="7"/>
      <c r="U328" s="139">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IF(G328="Yes",Tab_Data_Flows[[#This Row],[E4_Fraction'[%']]]*Tab_Data_Flows[[#This Row],[E1_value]],"N.A.")</f>
        <v>0</v>
      </c>
      <c r="AF328" s="6">
        <f>Tab_Data_Flows[[#This Row],[E1_UoM]]</f>
        <v>0</v>
      </c>
      <c r="AG328" s="139">
        <f>_xlfn.XLOOKUP(Tab_Data_Flows[[#This Row],[Flow_Name]],Tab_Def_Flows[Flow_Name],Tab_Def_Flows[Flow_E5_Fraction'[%']],"N.A.",0,1)</f>
        <v>0</v>
      </c>
      <c r="AH328" s="6" t="str">
        <f>IF(H328="Yes",Tab_Data_Flows[[#This Row],[E5_Fraction'[%']]]*Tab_Data_Flows[[#This Row],[E1_value]],"N.A.")</f>
        <v>N.A.</v>
      </c>
      <c r="AI328" s="6">
        <f>Tab_Data_Flows[[#This Row],[E1_UoM]]</f>
        <v>0</v>
      </c>
      <c r="AJ328" s="139">
        <f>_xlfn.XLOOKUP(Tab_Data_Flows[[#This Row],[Flow_Name]],Tab_Def_Flows[Flow_Name],Tab_Def_Flows[Flow_E6_Fraction'[%']],"N.A.",0,1)</f>
        <v>0</v>
      </c>
      <c r="AK328" s="6" t="str">
        <f>IF(Tab_Data_Flows[[#This Row],[Use_E6]]="Yes",Tab_Data_Flows[[#This Row],[E6_Fraction'[%']]]*Tab_Data_Flows[[#This Row],[E1_value]],"N.A.")</f>
        <v>N.A.</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No</v>
      </c>
      <c r="I329" s="9" t="str">
        <f>_xlfn.XLOOKUP(C329,Tab_Def_Flows[Flow_Name],Tab_Def_Flows[Use_E6],,0,)</f>
        <v>No</v>
      </c>
      <c r="J329" s="7"/>
      <c r="K329" s="21"/>
      <c r="L329" s="6"/>
      <c r="M329" s="13"/>
      <c r="N329" s="13"/>
      <c r="O329" s="13"/>
      <c r="P329" s="13"/>
      <c r="Q329" s="13"/>
      <c r="R329" s="7" t="s">
        <v>6</v>
      </c>
      <c r="S329" s="14"/>
      <c r="T329" s="7"/>
      <c r="U329" s="139">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IF(G329="Yes",Tab_Data_Flows[[#This Row],[E4_Fraction'[%']]]*Tab_Data_Flows[[#This Row],[E1_value]],"N.A.")</f>
        <v>0</v>
      </c>
      <c r="AF329" s="6">
        <f>Tab_Data_Flows[[#This Row],[E1_UoM]]</f>
        <v>0</v>
      </c>
      <c r="AG329" s="139">
        <f>_xlfn.XLOOKUP(Tab_Data_Flows[[#This Row],[Flow_Name]],Tab_Def_Flows[Flow_Name],Tab_Def_Flows[Flow_E5_Fraction'[%']],"N.A.",0,1)</f>
        <v>0</v>
      </c>
      <c r="AH329" s="6" t="str">
        <f>IF(H329="Yes",Tab_Data_Flows[[#This Row],[E5_Fraction'[%']]]*Tab_Data_Flows[[#This Row],[E1_value]],"N.A.")</f>
        <v>N.A.</v>
      </c>
      <c r="AI329" s="6">
        <f>Tab_Data_Flows[[#This Row],[E1_UoM]]</f>
        <v>0</v>
      </c>
      <c r="AJ329" s="139">
        <f>_xlfn.XLOOKUP(Tab_Data_Flows[[#This Row],[Flow_Name]],Tab_Def_Flows[Flow_Name],Tab_Def_Flows[Flow_E6_Fraction'[%']],"N.A.",0,1)</f>
        <v>0</v>
      </c>
      <c r="AK329" s="6" t="str">
        <f>IF(Tab_Data_Flows[[#This Row],[Use_E6]]="Yes",Tab_Data_Flows[[#This Row],[E6_Fraction'[%']]]*Tab_Data_Flows[[#This Row],[E1_value]],"N.A.")</f>
        <v>N.A.</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No</v>
      </c>
      <c r="I330" s="9" t="str">
        <f>_xlfn.XLOOKUP(C330,Tab_Def_Flows[Flow_Name],Tab_Def_Flows[Use_E6],,0,)</f>
        <v>No</v>
      </c>
      <c r="J330" s="7"/>
      <c r="K330" s="21"/>
      <c r="L330" s="6"/>
      <c r="M330" s="13"/>
      <c r="N330" s="13"/>
      <c r="O330" s="13"/>
      <c r="P330" s="13"/>
      <c r="Q330" s="13"/>
      <c r="R330" s="7" t="s">
        <v>6</v>
      </c>
      <c r="S330" s="14"/>
      <c r="T330" s="7"/>
      <c r="U330" s="139">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IF(G330="Yes",Tab_Data_Flows[[#This Row],[E4_Fraction'[%']]]*Tab_Data_Flows[[#This Row],[E1_value]],"N.A.")</f>
        <v>0</v>
      </c>
      <c r="AF330" s="6">
        <f>Tab_Data_Flows[[#This Row],[E1_UoM]]</f>
        <v>0</v>
      </c>
      <c r="AG330" s="139">
        <f>_xlfn.XLOOKUP(Tab_Data_Flows[[#This Row],[Flow_Name]],Tab_Def_Flows[Flow_Name],Tab_Def_Flows[Flow_E5_Fraction'[%']],"N.A.",0,1)</f>
        <v>0</v>
      </c>
      <c r="AH330" s="6" t="str">
        <f>IF(H330="Yes",Tab_Data_Flows[[#This Row],[E5_Fraction'[%']]]*Tab_Data_Flows[[#This Row],[E1_value]],"N.A.")</f>
        <v>N.A.</v>
      </c>
      <c r="AI330" s="6">
        <f>Tab_Data_Flows[[#This Row],[E1_UoM]]</f>
        <v>0</v>
      </c>
      <c r="AJ330" s="139">
        <f>_xlfn.XLOOKUP(Tab_Data_Flows[[#This Row],[Flow_Name]],Tab_Def_Flows[Flow_Name],Tab_Def_Flows[Flow_E6_Fraction'[%']],"N.A.",0,1)</f>
        <v>0</v>
      </c>
      <c r="AK330" s="6" t="str">
        <f>IF(Tab_Data_Flows[[#This Row],[Use_E6]]="Yes",Tab_Data_Flows[[#This Row],[E6_Fraction'[%']]]*Tab_Data_Flows[[#This Row],[E1_value]],"N.A.")</f>
        <v>N.A.</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No</v>
      </c>
      <c r="I331" s="9" t="str">
        <f>_xlfn.XLOOKUP(C331,Tab_Def_Flows[Flow_Name],Tab_Def_Flows[Use_E6],,0,)</f>
        <v>No</v>
      </c>
      <c r="J331" s="7"/>
      <c r="K331" s="21"/>
      <c r="L331" s="6"/>
      <c r="M331" s="13"/>
      <c r="N331" s="13"/>
      <c r="O331" s="13"/>
      <c r="P331" s="13"/>
      <c r="Q331" s="13"/>
      <c r="R331" s="7" t="s">
        <v>6</v>
      </c>
      <c r="S331" s="14"/>
      <c r="T331" s="7"/>
      <c r="U331" s="139">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IF(G331="Yes",Tab_Data_Flows[[#This Row],[E4_Fraction'[%']]]*Tab_Data_Flows[[#This Row],[E1_value]],"N.A.")</f>
        <v>0</v>
      </c>
      <c r="AF331" s="6">
        <f>Tab_Data_Flows[[#This Row],[E1_UoM]]</f>
        <v>0</v>
      </c>
      <c r="AG331" s="139">
        <f>_xlfn.XLOOKUP(Tab_Data_Flows[[#This Row],[Flow_Name]],Tab_Def_Flows[Flow_Name],Tab_Def_Flows[Flow_E5_Fraction'[%']],"N.A.",0,1)</f>
        <v>0</v>
      </c>
      <c r="AH331" s="6" t="str">
        <f>IF(H331="Yes",Tab_Data_Flows[[#This Row],[E5_Fraction'[%']]]*Tab_Data_Flows[[#This Row],[E1_value]],"N.A.")</f>
        <v>N.A.</v>
      </c>
      <c r="AI331" s="6">
        <f>Tab_Data_Flows[[#This Row],[E1_UoM]]</f>
        <v>0</v>
      </c>
      <c r="AJ331" s="139">
        <f>_xlfn.XLOOKUP(Tab_Data_Flows[[#This Row],[Flow_Name]],Tab_Def_Flows[Flow_Name],Tab_Def_Flows[Flow_E6_Fraction'[%']],"N.A.",0,1)</f>
        <v>0</v>
      </c>
      <c r="AK331" s="6" t="str">
        <f>IF(Tab_Data_Flows[[#This Row],[Use_E6]]="Yes",Tab_Data_Flows[[#This Row],[E6_Fraction'[%']]]*Tab_Data_Flows[[#This Row],[E1_value]],"N.A.")</f>
        <v>N.A.</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No</v>
      </c>
      <c r="I332" s="9" t="str">
        <f>_xlfn.XLOOKUP(C332,Tab_Def_Flows[Flow_Name],Tab_Def_Flows[Use_E6],,0,)</f>
        <v>No</v>
      </c>
      <c r="J332" s="7"/>
      <c r="K332" s="21"/>
      <c r="L332" s="6"/>
      <c r="M332" s="13"/>
      <c r="N332" s="13"/>
      <c r="O332" s="13"/>
      <c r="P332" s="13"/>
      <c r="Q332" s="13"/>
      <c r="R332" s="7" t="s">
        <v>6</v>
      </c>
      <c r="S332" s="14"/>
      <c r="T332" s="7"/>
      <c r="U332" s="139">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IF(G332="Yes",Tab_Data_Flows[[#This Row],[E4_Fraction'[%']]]*Tab_Data_Flows[[#This Row],[E1_value]],"N.A.")</f>
        <v>0</v>
      </c>
      <c r="AF332" s="6">
        <f>Tab_Data_Flows[[#This Row],[E1_UoM]]</f>
        <v>0</v>
      </c>
      <c r="AG332" s="139">
        <f>_xlfn.XLOOKUP(Tab_Data_Flows[[#This Row],[Flow_Name]],Tab_Def_Flows[Flow_Name],Tab_Def_Flows[Flow_E5_Fraction'[%']],"N.A.",0,1)</f>
        <v>0</v>
      </c>
      <c r="AH332" s="6" t="str">
        <f>IF(H332="Yes",Tab_Data_Flows[[#This Row],[E5_Fraction'[%']]]*Tab_Data_Flows[[#This Row],[E1_value]],"N.A.")</f>
        <v>N.A.</v>
      </c>
      <c r="AI332" s="6">
        <f>Tab_Data_Flows[[#This Row],[E1_UoM]]</f>
        <v>0</v>
      </c>
      <c r="AJ332" s="139">
        <f>_xlfn.XLOOKUP(Tab_Data_Flows[[#This Row],[Flow_Name]],Tab_Def_Flows[Flow_Name],Tab_Def_Flows[Flow_E6_Fraction'[%']],"N.A.",0,1)</f>
        <v>0</v>
      </c>
      <c r="AK332" s="6" t="str">
        <f>IF(Tab_Data_Flows[[#This Row],[Use_E6]]="Yes",Tab_Data_Flows[[#This Row],[E6_Fraction'[%']]]*Tab_Data_Flows[[#This Row],[E1_value]],"N.A.")</f>
        <v>N.A.</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No</v>
      </c>
      <c r="I333" s="9" t="str">
        <f>_xlfn.XLOOKUP(C333,Tab_Def_Flows[Flow_Name],Tab_Def_Flows[Use_E6],,0,)</f>
        <v>No</v>
      </c>
      <c r="J333" s="7"/>
      <c r="K333" s="21"/>
      <c r="L333" s="6"/>
      <c r="M333" s="13"/>
      <c r="N333" s="13"/>
      <c r="O333" s="13"/>
      <c r="P333" s="13"/>
      <c r="Q333" s="13"/>
      <c r="R333" s="7" t="s">
        <v>6</v>
      </c>
      <c r="S333" s="14"/>
      <c r="T333" s="7"/>
      <c r="U333" s="139">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IF(G333="Yes",Tab_Data_Flows[[#This Row],[E4_Fraction'[%']]]*Tab_Data_Flows[[#This Row],[E1_value]],"N.A.")</f>
        <v>0</v>
      </c>
      <c r="AF333" s="6">
        <f>Tab_Data_Flows[[#This Row],[E1_UoM]]</f>
        <v>0</v>
      </c>
      <c r="AG333" s="139">
        <f>_xlfn.XLOOKUP(Tab_Data_Flows[[#This Row],[Flow_Name]],Tab_Def_Flows[Flow_Name],Tab_Def_Flows[Flow_E5_Fraction'[%']],"N.A.",0,1)</f>
        <v>0</v>
      </c>
      <c r="AH333" s="6" t="str">
        <f>IF(H333="Yes",Tab_Data_Flows[[#This Row],[E5_Fraction'[%']]]*Tab_Data_Flows[[#This Row],[E1_value]],"N.A.")</f>
        <v>N.A.</v>
      </c>
      <c r="AI333" s="6">
        <f>Tab_Data_Flows[[#This Row],[E1_UoM]]</f>
        <v>0</v>
      </c>
      <c r="AJ333" s="139">
        <f>_xlfn.XLOOKUP(Tab_Data_Flows[[#This Row],[Flow_Name]],Tab_Def_Flows[Flow_Name],Tab_Def_Flows[Flow_E6_Fraction'[%']],"N.A.",0,1)</f>
        <v>0</v>
      </c>
      <c r="AK333" s="6" t="str">
        <f>IF(Tab_Data_Flows[[#This Row],[Use_E6]]="Yes",Tab_Data_Flows[[#This Row],[E6_Fraction'[%']]]*Tab_Data_Flows[[#This Row],[E1_value]],"N.A.")</f>
        <v>N.A.</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No</v>
      </c>
      <c r="I334" s="9" t="str">
        <f>_xlfn.XLOOKUP(C334,Tab_Def_Flows[Flow_Name],Tab_Def_Flows[Use_E6],,0,)</f>
        <v>No</v>
      </c>
      <c r="J334" s="7"/>
      <c r="K334" s="21"/>
      <c r="L334" s="6"/>
      <c r="M334" s="13"/>
      <c r="N334" s="13"/>
      <c r="O334" s="13"/>
      <c r="P334" s="13"/>
      <c r="Q334" s="13"/>
      <c r="R334" s="7" t="s">
        <v>6</v>
      </c>
      <c r="S334" s="7"/>
      <c r="T334" s="7"/>
      <c r="U334" s="139">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IF(G334="Yes",Tab_Data_Flows[[#This Row],[E4_Fraction'[%']]]*Tab_Data_Flows[[#This Row],[E1_value]],"N.A.")</f>
        <v>0</v>
      </c>
      <c r="AF334" s="6">
        <f>Tab_Data_Flows[[#This Row],[E1_UoM]]</f>
        <v>0</v>
      </c>
      <c r="AG334" s="139">
        <f>_xlfn.XLOOKUP(Tab_Data_Flows[[#This Row],[Flow_Name]],Tab_Def_Flows[Flow_Name],Tab_Def_Flows[Flow_E5_Fraction'[%']],"N.A.",0,1)</f>
        <v>0</v>
      </c>
      <c r="AH334" s="6" t="str">
        <f>IF(H334="Yes",Tab_Data_Flows[[#This Row],[E5_Fraction'[%']]]*Tab_Data_Flows[[#This Row],[E1_value]],"N.A.")</f>
        <v>N.A.</v>
      </c>
      <c r="AI334" s="6">
        <f>Tab_Data_Flows[[#This Row],[E1_UoM]]</f>
        <v>0</v>
      </c>
      <c r="AJ334" s="139">
        <f>_xlfn.XLOOKUP(Tab_Data_Flows[[#This Row],[Flow_Name]],Tab_Def_Flows[Flow_Name],Tab_Def_Flows[Flow_E6_Fraction'[%']],"N.A.",0,1)</f>
        <v>0</v>
      </c>
      <c r="AK334" s="6" t="str">
        <f>IF(Tab_Data_Flows[[#This Row],[Use_E6]]="Yes",Tab_Data_Flows[[#This Row],[E6_Fraction'[%']]]*Tab_Data_Flows[[#This Row],[E1_value]],"N.A.")</f>
        <v>N.A.</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No</v>
      </c>
      <c r="I335" s="9" t="str">
        <f>_xlfn.XLOOKUP(C335,Tab_Def_Flows[Flow_Name],Tab_Def_Flows[Use_E6],,0,)</f>
        <v>No</v>
      </c>
      <c r="J335" s="7"/>
      <c r="K335" s="21"/>
      <c r="L335" s="6"/>
      <c r="M335" s="13"/>
      <c r="N335" s="13"/>
      <c r="O335" s="13"/>
      <c r="P335" s="13"/>
      <c r="Q335" s="13"/>
      <c r="R335" s="7" t="s">
        <v>6</v>
      </c>
      <c r="S335" s="7"/>
      <c r="T335" s="7"/>
      <c r="U335" s="139">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IF(G335="Yes",Tab_Data_Flows[[#This Row],[E4_Fraction'[%']]]*Tab_Data_Flows[[#This Row],[E1_value]],"N.A.")</f>
        <v>0</v>
      </c>
      <c r="AF335" s="6">
        <f>Tab_Data_Flows[[#This Row],[E1_UoM]]</f>
        <v>0</v>
      </c>
      <c r="AG335" s="139">
        <f>_xlfn.XLOOKUP(Tab_Data_Flows[[#This Row],[Flow_Name]],Tab_Def_Flows[Flow_Name],Tab_Def_Flows[Flow_E5_Fraction'[%']],"N.A.",0,1)</f>
        <v>0</v>
      </c>
      <c r="AH335" s="6" t="str">
        <f>IF(H335="Yes",Tab_Data_Flows[[#This Row],[E5_Fraction'[%']]]*Tab_Data_Flows[[#This Row],[E1_value]],"N.A.")</f>
        <v>N.A.</v>
      </c>
      <c r="AI335" s="6">
        <f>Tab_Data_Flows[[#This Row],[E1_UoM]]</f>
        <v>0</v>
      </c>
      <c r="AJ335" s="139">
        <f>_xlfn.XLOOKUP(Tab_Data_Flows[[#This Row],[Flow_Name]],Tab_Def_Flows[Flow_Name],Tab_Def_Flows[Flow_E6_Fraction'[%']],"N.A.",0,1)</f>
        <v>0</v>
      </c>
      <c r="AK335" s="6" t="str">
        <f>IF(Tab_Data_Flows[[#This Row],[Use_E6]]="Yes",Tab_Data_Flows[[#This Row],[E6_Fraction'[%']]]*Tab_Data_Flows[[#This Row],[E1_value]],"N.A.")</f>
        <v>N.A.</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No</v>
      </c>
      <c r="I336" s="9" t="str">
        <f>_xlfn.XLOOKUP(C336,Tab_Def_Flows[Flow_Name],Tab_Def_Flows[Use_E6],,0,)</f>
        <v>No</v>
      </c>
      <c r="J336" s="7"/>
      <c r="K336" s="21"/>
      <c r="L336" s="6"/>
      <c r="M336" s="13"/>
      <c r="N336" s="13"/>
      <c r="O336" s="13"/>
      <c r="P336" s="13"/>
      <c r="Q336" s="13"/>
      <c r="R336" s="7" t="s">
        <v>6</v>
      </c>
      <c r="S336" s="7"/>
      <c r="T336" s="7"/>
      <c r="U336" s="139">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IF(G336="Yes",Tab_Data_Flows[[#This Row],[E4_Fraction'[%']]]*Tab_Data_Flows[[#This Row],[E1_value]],"N.A.")</f>
        <v>0</v>
      </c>
      <c r="AF336" s="6">
        <f>Tab_Data_Flows[[#This Row],[E1_UoM]]</f>
        <v>0</v>
      </c>
      <c r="AG336" s="139">
        <f>_xlfn.XLOOKUP(Tab_Data_Flows[[#This Row],[Flow_Name]],Tab_Def_Flows[Flow_Name],Tab_Def_Flows[Flow_E5_Fraction'[%']],"N.A.",0,1)</f>
        <v>0</v>
      </c>
      <c r="AH336" s="6" t="str">
        <f>IF(H336="Yes",Tab_Data_Flows[[#This Row],[E5_Fraction'[%']]]*Tab_Data_Flows[[#This Row],[E1_value]],"N.A.")</f>
        <v>N.A.</v>
      </c>
      <c r="AI336" s="6">
        <f>Tab_Data_Flows[[#This Row],[E1_UoM]]</f>
        <v>0</v>
      </c>
      <c r="AJ336" s="139">
        <f>_xlfn.XLOOKUP(Tab_Data_Flows[[#This Row],[Flow_Name]],Tab_Def_Flows[Flow_Name],Tab_Def_Flows[Flow_E6_Fraction'[%']],"N.A.",0,1)</f>
        <v>0</v>
      </c>
      <c r="AK336" s="6" t="str">
        <f>IF(Tab_Data_Flows[[#This Row],[Use_E6]]="Yes",Tab_Data_Flows[[#This Row],[E6_Fraction'[%']]]*Tab_Data_Flows[[#This Row],[E1_value]],"N.A.")</f>
        <v>N.A.</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No</v>
      </c>
      <c r="I337" s="9" t="str">
        <f>_xlfn.XLOOKUP(C337,Tab_Def_Flows[Flow_Name],Tab_Def_Flows[Use_E6],,0,)</f>
        <v>No</v>
      </c>
      <c r="J337" s="7"/>
      <c r="K337" s="21"/>
      <c r="L337" s="6"/>
      <c r="M337" s="13"/>
      <c r="N337" s="13"/>
      <c r="O337" s="13"/>
      <c r="P337" s="13"/>
      <c r="Q337" s="13"/>
      <c r="R337" s="7" t="s">
        <v>6</v>
      </c>
      <c r="S337" s="7"/>
      <c r="T337" s="7"/>
      <c r="U337" s="139">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IF(G337="Yes",Tab_Data_Flows[[#This Row],[E4_Fraction'[%']]]*Tab_Data_Flows[[#This Row],[E1_value]],"N.A.")</f>
        <v>0</v>
      </c>
      <c r="AF337" s="6">
        <f>Tab_Data_Flows[[#This Row],[E1_UoM]]</f>
        <v>0</v>
      </c>
      <c r="AG337" s="139">
        <f>_xlfn.XLOOKUP(Tab_Data_Flows[[#This Row],[Flow_Name]],Tab_Def_Flows[Flow_Name],Tab_Def_Flows[Flow_E5_Fraction'[%']],"N.A.",0,1)</f>
        <v>0</v>
      </c>
      <c r="AH337" s="6" t="str">
        <f>IF(H337="Yes",Tab_Data_Flows[[#This Row],[E5_Fraction'[%']]]*Tab_Data_Flows[[#This Row],[E1_value]],"N.A.")</f>
        <v>N.A.</v>
      </c>
      <c r="AI337" s="6">
        <f>Tab_Data_Flows[[#This Row],[E1_UoM]]</f>
        <v>0</v>
      </c>
      <c r="AJ337" s="139">
        <f>_xlfn.XLOOKUP(Tab_Data_Flows[[#This Row],[Flow_Name]],Tab_Def_Flows[Flow_Name],Tab_Def_Flows[Flow_E6_Fraction'[%']],"N.A.",0,1)</f>
        <v>0</v>
      </c>
      <c r="AK337" s="6" t="str">
        <f>IF(Tab_Data_Flows[[#This Row],[Use_E6]]="Yes",Tab_Data_Flows[[#This Row],[E6_Fraction'[%']]]*Tab_Data_Flows[[#This Row],[E1_value]],"N.A.")</f>
        <v>N.A.</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No</v>
      </c>
      <c r="I338" s="9" t="str">
        <f>_xlfn.XLOOKUP(C338,Tab_Def_Flows[Flow_Name],Tab_Def_Flows[Use_E6],,0,)</f>
        <v>No</v>
      </c>
      <c r="J338" s="7"/>
      <c r="K338" s="21"/>
      <c r="L338" s="6"/>
      <c r="M338" s="13"/>
      <c r="N338" s="13"/>
      <c r="O338" s="13"/>
      <c r="P338" s="13"/>
      <c r="Q338" s="13"/>
      <c r="R338" s="7" t="s">
        <v>6</v>
      </c>
      <c r="S338" s="7"/>
      <c r="T338" s="7"/>
      <c r="U338" s="139">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IF(G338="Yes",Tab_Data_Flows[[#This Row],[E4_Fraction'[%']]]*Tab_Data_Flows[[#This Row],[E1_value]],"N.A.")</f>
        <v>0</v>
      </c>
      <c r="AF338" s="6">
        <f>Tab_Data_Flows[[#This Row],[E1_UoM]]</f>
        <v>0</v>
      </c>
      <c r="AG338" s="139">
        <f>_xlfn.XLOOKUP(Tab_Data_Flows[[#This Row],[Flow_Name]],Tab_Def_Flows[Flow_Name],Tab_Def_Flows[Flow_E5_Fraction'[%']],"N.A.",0,1)</f>
        <v>0</v>
      </c>
      <c r="AH338" s="6" t="str">
        <f>IF(H338="Yes",Tab_Data_Flows[[#This Row],[E5_Fraction'[%']]]*Tab_Data_Flows[[#This Row],[E1_value]],"N.A.")</f>
        <v>N.A.</v>
      </c>
      <c r="AI338" s="6">
        <f>Tab_Data_Flows[[#This Row],[E1_UoM]]</f>
        <v>0</v>
      </c>
      <c r="AJ338" s="139">
        <f>_xlfn.XLOOKUP(Tab_Data_Flows[[#This Row],[Flow_Name]],Tab_Def_Flows[Flow_Name],Tab_Def_Flows[Flow_E6_Fraction'[%']],"N.A.",0,1)</f>
        <v>0</v>
      </c>
      <c r="AK338" s="6" t="str">
        <f>IF(Tab_Data_Flows[[#This Row],[Use_E6]]="Yes",Tab_Data_Flows[[#This Row],[E6_Fraction'[%']]]*Tab_Data_Flows[[#This Row],[E1_value]],"N.A.")</f>
        <v>N.A.</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No</v>
      </c>
      <c r="I339" s="9" t="str">
        <f>_xlfn.XLOOKUP(C339,Tab_Def_Flows[Flow_Name],Tab_Def_Flows[Use_E6],,0,)</f>
        <v>No</v>
      </c>
      <c r="J339" s="7"/>
      <c r="K339" s="21"/>
      <c r="L339" s="6"/>
      <c r="M339" s="13"/>
      <c r="N339" s="13"/>
      <c r="O339" s="13"/>
      <c r="P339" s="13"/>
      <c r="Q339" s="13"/>
      <c r="R339" s="7" t="s">
        <v>6</v>
      </c>
      <c r="S339" s="7"/>
      <c r="T339" s="7"/>
      <c r="U339" s="139">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IF(G339="Yes",Tab_Data_Flows[[#This Row],[E4_Fraction'[%']]]*Tab_Data_Flows[[#This Row],[E1_value]],"N.A.")</f>
        <v>0</v>
      </c>
      <c r="AF339" s="6">
        <f>Tab_Data_Flows[[#This Row],[E1_UoM]]</f>
        <v>0</v>
      </c>
      <c r="AG339" s="139">
        <f>_xlfn.XLOOKUP(Tab_Data_Flows[[#This Row],[Flow_Name]],Tab_Def_Flows[Flow_Name],Tab_Def_Flows[Flow_E5_Fraction'[%']],"N.A.",0,1)</f>
        <v>0</v>
      </c>
      <c r="AH339" s="6" t="str">
        <f>IF(H339="Yes",Tab_Data_Flows[[#This Row],[E5_Fraction'[%']]]*Tab_Data_Flows[[#This Row],[E1_value]],"N.A.")</f>
        <v>N.A.</v>
      </c>
      <c r="AI339" s="6">
        <f>Tab_Data_Flows[[#This Row],[E1_UoM]]</f>
        <v>0</v>
      </c>
      <c r="AJ339" s="139">
        <f>_xlfn.XLOOKUP(Tab_Data_Flows[[#This Row],[Flow_Name]],Tab_Def_Flows[Flow_Name],Tab_Def_Flows[Flow_E6_Fraction'[%']],"N.A.",0,1)</f>
        <v>0</v>
      </c>
      <c r="AK339" s="6" t="str">
        <f>IF(Tab_Data_Flows[[#This Row],[Use_E6]]="Yes",Tab_Data_Flows[[#This Row],[E6_Fraction'[%']]]*Tab_Data_Flows[[#This Row],[E1_value]],"N.A.")</f>
        <v>N.A.</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No</v>
      </c>
      <c r="I340" s="9" t="str">
        <f>_xlfn.XLOOKUP(C340,Tab_Def_Flows[Flow_Name],Tab_Def_Flows[Use_E6],,0,)</f>
        <v>No</v>
      </c>
      <c r="J340" s="7"/>
      <c r="K340" s="21"/>
      <c r="L340" s="6"/>
      <c r="M340" s="13"/>
      <c r="N340" s="13"/>
      <c r="O340" s="13"/>
      <c r="P340" s="13"/>
      <c r="Q340" s="13"/>
      <c r="R340" s="7" t="s">
        <v>6</v>
      </c>
      <c r="S340" s="7"/>
      <c r="T340" s="7"/>
      <c r="U340" s="139">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IF(G340="Yes",Tab_Data_Flows[[#This Row],[E4_Fraction'[%']]]*Tab_Data_Flows[[#This Row],[E1_value]],"N.A.")</f>
        <v>0</v>
      </c>
      <c r="AF340" s="6">
        <f>Tab_Data_Flows[[#This Row],[E1_UoM]]</f>
        <v>0</v>
      </c>
      <c r="AG340" s="139">
        <f>_xlfn.XLOOKUP(Tab_Data_Flows[[#This Row],[Flow_Name]],Tab_Def_Flows[Flow_Name],Tab_Def_Flows[Flow_E5_Fraction'[%']],"N.A.",0,1)</f>
        <v>0</v>
      </c>
      <c r="AH340" s="6" t="str">
        <f>IF(H340="Yes",Tab_Data_Flows[[#This Row],[E5_Fraction'[%']]]*Tab_Data_Flows[[#This Row],[E1_value]],"N.A.")</f>
        <v>N.A.</v>
      </c>
      <c r="AI340" s="6">
        <f>Tab_Data_Flows[[#This Row],[E1_UoM]]</f>
        <v>0</v>
      </c>
      <c r="AJ340" s="139">
        <f>_xlfn.XLOOKUP(Tab_Data_Flows[[#This Row],[Flow_Name]],Tab_Def_Flows[Flow_Name],Tab_Def_Flows[Flow_E6_Fraction'[%']],"N.A.",0,1)</f>
        <v>0</v>
      </c>
      <c r="AK340" s="6" t="str">
        <f>IF(Tab_Data_Flows[[#This Row],[Use_E6]]="Yes",Tab_Data_Flows[[#This Row],[E6_Fraction'[%']]]*Tab_Data_Flows[[#This Row],[E1_value]],"N.A.")</f>
        <v>N.A.</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No</v>
      </c>
      <c r="I341" s="9" t="str">
        <f>_xlfn.XLOOKUP(C341,Tab_Def_Flows[Flow_Name],Tab_Def_Flows[Use_E6],,0,)</f>
        <v>No</v>
      </c>
      <c r="J341" s="7"/>
      <c r="K341" s="21"/>
      <c r="L341" s="6"/>
      <c r="M341" s="13"/>
      <c r="N341" s="13"/>
      <c r="O341" s="13"/>
      <c r="P341" s="13"/>
      <c r="Q341" s="13"/>
      <c r="R341" s="7" t="s">
        <v>6</v>
      </c>
      <c r="S341" s="7"/>
      <c r="T341" s="7"/>
      <c r="U341" s="139">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IF(G341="Yes",Tab_Data_Flows[[#This Row],[E4_Fraction'[%']]]*Tab_Data_Flows[[#This Row],[E1_value]],"N.A.")</f>
        <v>0</v>
      </c>
      <c r="AF341" s="6">
        <f>Tab_Data_Flows[[#This Row],[E1_UoM]]</f>
        <v>0</v>
      </c>
      <c r="AG341" s="139">
        <f>_xlfn.XLOOKUP(Tab_Data_Flows[[#This Row],[Flow_Name]],Tab_Def_Flows[Flow_Name],Tab_Def_Flows[Flow_E5_Fraction'[%']],"N.A.",0,1)</f>
        <v>0</v>
      </c>
      <c r="AH341" s="6" t="str">
        <f>IF(H341="Yes",Tab_Data_Flows[[#This Row],[E5_Fraction'[%']]]*Tab_Data_Flows[[#This Row],[E1_value]],"N.A.")</f>
        <v>N.A.</v>
      </c>
      <c r="AI341" s="6">
        <f>Tab_Data_Flows[[#This Row],[E1_UoM]]</f>
        <v>0</v>
      </c>
      <c r="AJ341" s="139">
        <f>_xlfn.XLOOKUP(Tab_Data_Flows[[#This Row],[Flow_Name]],Tab_Def_Flows[Flow_Name],Tab_Def_Flows[Flow_E6_Fraction'[%']],"N.A.",0,1)</f>
        <v>0</v>
      </c>
      <c r="AK341" s="6" t="str">
        <f>IF(Tab_Data_Flows[[#This Row],[Use_E6]]="Yes",Tab_Data_Flows[[#This Row],[E6_Fraction'[%']]]*Tab_Data_Flows[[#This Row],[E1_value]],"N.A.")</f>
        <v>N.A.</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No</v>
      </c>
      <c r="I342" s="9" t="str">
        <f>_xlfn.XLOOKUP(C342,Tab_Def_Flows[Flow_Name],Tab_Def_Flows[Use_E6],,0,)</f>
        <v>No</v>
      </c>
      <c r="J342" s="7"/>
      <c r="K342" s="21"/>
      <c r="L342" s="6"/>
      <c r="M342" s="13"/>
      <c r="N342" s="13"/>
      <c r="O342" s="13"/>
      <c r="P342" s="13"/>
      <c r="Q342" s="13"/>
      <c r="R342" s="7" t="s">
        <v>6</v>
      </c>
      <c r="S342" s="7"/>
      <c r="T342" s="7"/>
      <c r="U342" s="139">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IF(G342="Yes",Tab_Data_Flows[[#This Row],[E4_Fraction'[%']]]*Tab_Data_Flows[[#This Row],[E1_value]],"N.A.")</f>
        <v>0</v>
      </c>
      <c r="AF342" s="6">
        <f>Tab_Data_Flows[[#This Row],[E1_UoM]]</f>
        <v>0</v>
      </c>
      <c r="AG342" s="139">
        <f>_xlfn.XLOOKUP(Tab_Data_Flows[[#This Row],[Flow_Name]],Tab_Def_Flows[Flow_Name],Tab_Def_Flows[Flow_E5_Fraction'[%']],"N.A.",0,1)</f>
        <v>0</v>
      </c>
      <c r="AH342" s="6" t="str">
        <f>IF(H342="Yes",Tab_Data_Flows[[#This Row],[E5_Fraction'[%']]]*Tab_Data_Flows[[#This Row],[E1_value]],"N.A.")</f>
        <v>N.A.</v>
      </c>
      <c r="AI342" s="6">
        <f>Tab_Data_Flows[[#This Row],[E1_UoM]]</f>
        <v>0</v>
      </c>
      <c r="AJ342" s="139">
        <f>_xlfn.XLOOKUP(Tab_Data_Flows[[#This Row],[Flow_Name]],Tab_Def_Flows[Flow_Name],Tab_Def_Flows[Flow_E6_Fraction'[%']],"N.A.",0,1)</f>
        <v>0</v>
      </c>
      <c r="AK342" s="6" t="str">
        <f>IF(Tab_Data_Flows[[#This Row],[Use_E6]]="Yes",Tab_Data_Flows[[#This Row],[E6_Fraction'[%']]]*Tab_Data_Flows[[#This Row],[E1_value]],"N.A.")</f>
        <v>N.A.</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No</v>
      </c>
      <c r="I343" s="9" t="str">
        <f>_xlfn.XLOOKUP(C343,Tab_Def_Flows[Flow_Name],Tab_Def_Flows[Use_E6],,0,)</f>
        <v>No</v>
      </c>
      <c r="J343" s="7"/>
      <c r="K343" s="21"/>
      <c r="L343" s="6"/>
      <c r="M343" s="13"/>
      <c r="N343" s="13"/>
      <c r="O343" s="13"/>
      <c r="P343" s="13"/>
      <c r="Q343" s="13"/>
      <c r="R343" s="7" t="s">
        <v>6</v>
      </c>
      <c r="S343" s="7"/>
      <c r="T343" s="7"/>
      <c r="U343" s="139">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IF(G343="Yes",Tab_Data_Flows[[#This Row],[E4_Fraction'[%']]]*Tab_Data_Flows[[#This Row],[E1_value]],"N.A.")</f>
        <v>0</v>
      </c>
      <c r="AF343" s="6">
        <f>Tab_Data_Flows[[#This Row],[E1_UoM]]</f>
        <v>0</v>
      </c>
      <c r="AG343" s="139">
        <f>_xlfn.XLOOKUP(Tab_Data_Flows[[#This Row],[Flow_Name]],Tab_Def_Flows[Flow_Name],Tab_Def_Flows[Flow_E5_Fraction'[%']],"N.A.",0,1)</f>
        <v>0</v>
      </c>
      <c r="AH343" s="6" t="str">
        <f>IF(H343="Yes",Tab_Data_Flows[[#This Row],[E5_Fraction'[%']]]*Tab_Data_Flows[[#This Row],[E1_value]],"N.A.")</f>
        <v>N.A.</v>
      </c>
      <c r="AI343" s="6">
        <f>Tab_Data_Flows[[#This Row],[E1_UoM]]</f>
        <v>0</v>
      </c>
      <c r="AJ343" s="139">
        <f>_xlfn.XLOOKUP(Tab_Data_Flows[[#This Row],[Flow_Name]],Tab_Def_Flows[Flow_Name],Tab_Def_Flows[Flow_E6_Fraction'[%']],"N.A.",0,1)</f>
        <v>0</v>
      </c>
      <c r="AK343" s="6" t="str">
        <f>IF(Tab_Data_Flows[[#This Row],[Use_E6]]="Yes",Tab_Data_Flows[[#This Row],[E6_Fraction'[%']]]*Tab_Data_Flows[[#This Row],[E1_value]],"N.A.")</f>
        <v>N.A.</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No</v>
      </c>
      <c r="I344" s="9" t="str">
        <f>_xlfn.XLOOKUP(C344,Tab_Def_Flows[Flow_Name],Tab_Def_Flows[Use_E6],,0,)</f>
        <v>No</v>
      </c>
      <c r="J344" s="7"/>
      <c r="K344" s="21"/>
      <c r="L344" s="6"/>
      <c r="M344" s="13"/>
      <c r="N344" s="13"/>
      <c r="O344" s="13"/>
      <c r="P344" s="13"/>
      <c r="Q344" s="13"/>
      <c r="R344" s="7" t="s">
        <v>6</v>
      </c>
      <c r="S344" s="7"/>
      <c r="T344" s="7"/>
      <c r="U344" s="139">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IF(G344="Yes",Tab_Data_Flows[[#This Row],[E4_Fraction'[%']]]*Tab_Data_Flows[[#This Row],[E1_value]],"N.A.")</f>
        <v>0</v>
      </c>
      <c r="AF344" s="6">
        <f>Tab_Data_Flows[[#This Row],[E1_UoM]]</f>
        <v>0</v>
      </c>
      <c r="AG344" s="139">
        <f>_xlfn.XLOOKUP(Tab_Data_Flows[[#This Row],[Flow_Name]],Tab_Def_Flows[Flow_Name],Tab_Def_Flows[Flow_E5_Fraction'[%']],"N.A.",0,1)</f>
        <v>0</v>
      </c>
      <c r="AH344" s="6" t="str">
        <f>IF(H344="Yes",Tab_Data_Flows[[#This Row],[E5_Fraction'[%']]]*Tab_Data_Flows[[#This Row],[E1_value]],"N.A.")</f>
        <v>N.A.</v>
      </c>
      <c r="AI344" s="6">
        <f>Tab_Data_Flows[[#This Row],[E1_UoM]]</f>
        <v>0</v>
      </c>
      <c r="AJ344" s="139">
        <f>_xlfn.XLOOKUP(Tab_Data_Flows[[#This Row],[Flow_Name]],Tab_Def_Flows[Flow_Name],Tab_Def_Flows[Flow_E6_Fraction'[%']],"N.A.",0,1)</f>
        <v>0</v>
      </c>
      <c r="AK344" s="6" t="str">
        <f>IF(Tab_Data_Flows[[#This Row],[Use_E6]]="Yes",Tab_Data_Flows[[#This Row],[E6_Fraction'[%']]]*Tab_Data_Flows[[#This Row],[E1_value]],"N.A.")</f>
        <v>N.A.</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No</v>
      </c>
      <c r="I345" s="9" t="str">
        <f>_xlfn.XLOOKUP(C345,Tab_Def_Flows[Flow_Name],Tab_Def_Flows[Use_E6],,0,)</f>
        <v>No</v>
      </c>
      <c r="J345" s="7"/>
      <c r="K345" s="21"/>
      <c r="L345" s="6"/>
      <c r="M345" s="13"/>
      <c r="N345" s="13"/>
      <c r="O345" s="13"/>
      <c r="P345" s="13"/>
      <c r="Q345" s="13"/>
      <c r="R345" s="7" t="s">
        <v>6</v>
      </c>
      <c r="S345" s="7"/>
      <c r="T345" s="7"/>
      <c r="U345" s="139">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IF(G345="Yes",Tab_Data_Flows[[#This Row],[E4_Fraction'[%']]]*Tab_Data_Flows[[#This Row],[E1_value]],"N.A.")</f>
        <v>0</v>
      </c>
      <c r="AF345" s="6">
        <f>Tab_Data_Flows[[#This Row],[E1_UoM]]</f>
        <v>0</v>
      </c>
      <c r="AG345" s="139">
        <f>_xlfn.XLOOKUP(Tab_Data_Flows[[#This Row],[Flow_Name]],Tab_Def_Flows[Flow_Name],Tab_Def_Flows[Flow_E5_Fraction'[%']],"N.A.",0,1)</f>
        <v>0</v>
      </c>
      <c r="AH345" s="6" t="str">
        <f>IF(H345="Yes",Tab_Data_Flows[[#This Row],[E5_Fraction'[%']]]*Tab_Data_Flows[[#This Row],[E1_value]],"N.A.")</f>
        <v>N.A.</v>
      </c>
      <c r="AI345" s="6">
        <f>Tab_Data_Flows[[#This Row],[E1_UoM]]</f>
        <v>0</v>
      </c>
      <c r="AJ345" s="139">
        <f>_xlfn.XLOOKUP(Tab_Data_Flows[[#This Row],[Flow_Name]],Tab_Def_Flows[Flow_Name],Tab_Def_Flows[Flow_E6_Fraction'[%']],"N.A.",0,1)</f>
        <v>0</v>
      </c>
      <c r="AK345" s="6" t="str">
        <f>IF(Tab_Data_Flows[[#This Row],[Use_E6]]="Yes",Tab_Data_Flows[[#This Row],[E6_Fraction'[%']]]*Tab_Data_Flows[[#This Row],[E1_value]],"N.A.")</f>
        <v>N.A.</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No</v>
      </c>
      <c r="I346" s="9" t="str">
        <f>_xlfn.XLOOKUP(C346,Tab_Def_Flows[Flow_Name],Tab_Def_Flows[Use_E6],,0,)</f>
        <v>No</v>
      </c>
      <c r="J346" s="7"/>
      <c r="K346" s="21"/>
      <c r="L346" s="6"/>
      <c r="M346" s="13"/>
      <c r="N346" s="13"/>
      <c r="O346" s="13"/>
      <c r="P346" s="13"/>
      <c r="Q346" s="13"/>
      <c r="R346" s="7" t="s">
        <v>6</v>
      </c>
      <c r="S346" s="7"/>
      <c r="T346" s="7"/>
      <c r="U346" s="139">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IF(G346="Yes",Tab_Data_Flows[[#This Row],[E4_Fraction'[%']]]*Tab_Data_Flows[[#This Row],[E1_value]],"N.A.")</f>
        <v>0</v>
      </c>
      <c r="AF346" s="6">
        <f>Tab_Data_Flows[[#This Row],[E1_UoM]]</f>
        <v>0</v>
      </c>
      <c r="AG346" s="139">
        <f>_xlfn.XLOOKUP(Tab_Data_Flows[[#This Row],[Flow_Name]],Tab_Def_Flows[Flow_Name],Tab_Def_Flows[Flow_E5_Fraction'[%']],"N.A.",0,1)</f>
        <v>0</v>
      </c>
      <c r="AH346" s="6" t="str">
        <f>IF(H346="Yes",Tab_Data_Flows[[#This Row],[E5_Fraction'[%']]]*Tab_Data_Flows[[#This Row],[E1_value]],"N.A.")</f>
        <v>N.A.</v>
      </c>
      <c r="AI346" s="6">
        <f>Tab_Data_Flows[[#This Row],[E1_UoM]]</f>
        <v>0</v>
      </c>
      <c r="AJ346" s="139">
        <f>_xlfn.XLOOKUP(Tab_Data_Flows[[#This Row],[Flow_Name]],Tab_Def_Flows[Flow_Name],Tab_Def_Flows[Flow_E6_Fraction'[%']],"N.A.",0,1)</f>
        <v>0</v>
      </c>
      <c r="AK346" s="6" t="str">
        <f>IF(Tab_Data_Flows[[#This Row],[Use_E6]]="Yes",Tab_Data_Flows[[#This Row],[E6_Fraction'[%']]]*Tab_Data_Flows[[#This Row],[E1_value]],"N.A.")</f>
        <v>N.A.</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No</v>
      </c>
      <c r="I347" s="9" t="str">
        <f>_xlfn.XLOOKUP(C347,Tab_Def_Flows[Flow_Name],Tab_Def_Flows[Use_E6],,0,)</f>
        <v>No</v>
      </c>
      <c r="J347" s="7"/>
      <c r="K347" s="21"/>
      <c r="L347" s="6"/>
      <c r="M347" s="13"/>
      <c r="N347" s="13"/>
      <c r="O347" s="13"/>
      <c r="P347" s="13"/>
      <c r="Q347" s="13"/>
      <c r="R347" s="7" t="s">
        <v>6</v>
      </c>
      <c r="S347" s="7"/>
      <c r="T347" s="7"/>
      <c r="U347" s="139">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IF(G347="Yes",Tab_Data_Flows[[#This Row],[E4_Fraction'[%']]]*Tab_Data_Flows[[#This Row],[E1_value]],"N.A.")</f>
        <v>0</v>
      </c>
      <c r="AF347" s="6">
        <f>Tab_Data_Flows[[#This Row],[E1_UoM]]</f>
        <v>0</v>
      </c>
      <c r="AG347" s="139">
        <f>_xlfn.XLOOKUP(Tab_Data_Flows[[#This Row],[Flow_Name]],Tab_Def_Flows[Flow_Name],Tab_Def_Flows[Flow_E5_Fraction'[%']],"N.A.",0,1)</f>
        <v>0</v>
      </c>
      <c r="AH347" s="6" t="str">
        <f>IF(H347="Yes",Tab_Data_Flows[[#This Row],[E5_Fraction'[%']]]*Tab_Data_Flows[[#This Row],[E1_value]],"N.A.")</f>
        <v>N.A.</v>
      </c>
      <c r="AI347" s="6">
        <f>Tab_Data_Flows[[#This Row],[E1_UoM]]</f>
        <v>0</v>
      </c>
      <c r="AJ347" s="139">
        <f>_xlfn.XLOOKUP(Tab_Data_Flows[[#This Row],[Flow_Name]],Tab_Def_Flows[Flow_Name],Tab_Def_Flows[Flow_E6_Fraction'[%']],"N.A.",0,1)</f>
        <v>0</v>
      </c>
      <c r="AK347" s="6" t="str">
        <f>IF(Tab_Data_Flows[[#This Row],[Use_E6]]="Yes",Tab_Data_Flows[[#This Row],[E6_Fraction'[%']]]*Tab_Data_Flows[[#This Row],[E1_value]],"N.A.")</f>
        <v>N.A.</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No</v>
      </c>
      <c r="I348" s="9" t="str">
        <f>_xlfn.XLOOKUP(C348,Tab_Def_Flows[Flow_Name],Tab_Def_Flows[Use_E6],,0,)</f>
        <v>No</v>
      </c>
      <c r="J348" s="7"/>
      <c r="K348" s="21"/>
      <c r="L348" s="6"/>
      <c r="M348" s="13"/>
      <c r="N348" s="13"/>
      <c r="O348" s="13"/>
      <c r="P348" s="13"/>
      <c r="Q348" s="13"/>
      <c r="R348" s="7" t="s">
        <v>6</v>
      </c>
      <c r="S348" s="7"/>
      <c r="T348" s="7"/>
      <c r="U348" s="139">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IF(G348="Yes",Tab_Data_Flows[[#This Row],[E4_Fraction'[%']]]*Tab_Data_Flows[[#This Row],[E1_value]],"N.A.")</f>
        <v>0</v>
      </c>
      <c r="AF348" s="6">
        <f>Tab_Data_Flows[[#This Row],[E1_UoM]]</f>
        <v>0</v>
      </c>
      <c r="AG348" s="139">
        <f>_xlfn.XLOOKUP(Tab_Data_Flows[[#This Row],[Flow_Name]],Tab_Def_Flows[Flow_Name],Tab_Def_Flows[Flow_E5_Fraction'[%']],"N.A.",0,1)</f>
        <v>0</v>
      </c>
      <c r="AH348" s="6" t="str">
        <f>IF(H348="Yes",Tab_Data_Flows[[#This Row],[E5_Fraction'[%']]]*Tab_Data_Flows[[#This Row],[E1_value]],"N.A.")</f>
        <v>N.A.</v>
      </c>
      <c r="AI348" s="6">
        <f>Tab_Data_Flows[[#This Row],[E1_UoM]]</f>
        <v>0</v>
      </c>
      <c r="AJ348" s="139">
        <f>_xlfn.XLOOKUP(Tab_Data_Flows[[#This Row],[Flow_Name]],Tab_Def_Flows[Flow_Name],Tab_Def_Flows[Flow_E6_Fraction'[%']],"N.A.",0,1)</f>
        <v>0</v>
      </c>
      <c r="AK348" s="6" t="str">
        <f>IF(Tab_Data_Flows[[#This Row],[Use_E6]]="Yes",Tab_Data_Flows[[#This Row],[E6_Fraction'[%']]]*Tab_Data_Flows[[#This Row],[E1_value]],"N.A.")</f>
        <v>N.A.</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No</v>
      </c>
      <c r="I349" s="9" t="str">
        <f>_xlfn.XLOOKUP(C349,Tab_Def_Flows[Flow_Name],Tab_Def_Flows[Use_E6],,0,)</f>
        <v>No</v>
      </c>
      <c r="J349" s="7"/>
      <c r="K349" s="21"/>
      <c r="L349" s="6"/>
      <c r="M349" s="13"/>
      <c r="N349" s="13"/>
      <c r="O349" s="13"/>
      <c r="P349" s="13"/>
      <c r="Q349" s="13"/>
      <c r="R349" s="7" t="s">
        <v>6</v>
      </c>
      <c r="S349" s="7"/>
      <c r="T349" s="7"/>
      <c r="U349" s="139">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IF(G349="Yes",Tab_Data_Flows[[#This Row],[E4_Fraction'[%']]]*Tab_Data_Flows[[#This Row],[E1_value]],"N.A.")</f>
        <v>0</v>
      </c>
      <c r="AF349" s="6">
        <f>Tab_Data_Flows[[#This Row],[E1_UoM]]</f>
        <v>0</v>
      </c>
      <c r="AG349" s="139">
        <f>_xlfn.XLOOKUP(Tab_Data_Flows[[#This Row],[Flow_Name]],Tab_Def_Flows[Flow_Name],Tab_Def_Flows[Flow_E5_Fraction'[%']],"N.A.",0,1)</f>
        <v>0</v>
      </c>
      <c r="AH349" s="6" t="str">
        <f>IF(H349="Yes",Tab_Data_Flows[[#This Row],[E5_Fraction'[%']]]*Tab_Data_Flows[[#This Row],[E1_value]],"N.A.")</f>
        <v>N.A.</v>
      </c>
      <c r="AI349" s="6">
        <f>Tab_Data_Flows[[#This Row],[E1_UoM]]</f>
        <v>0</v>
      </c>
      <c r="AJ349" s="139">
        <f>_xlfn.XLOOKUP(Tab_Data_Flows[[#This Row],[Flow_Name]],Tab_Def_Flows[Flow_Name],Tab_Def_Flows[Flow_E6_Fraction'[%']],"N.A.",0,1)</f>
        <v>0</v>
      </c>
      <c r="AK349" s="6" t="str">
        <f>IF(Tab_Data_Flows[[#This Row],[Use_E6]]="Yes",Tab_Data_Flows[[#This Row],[E6_Fraction'[%']]]*Tab_Data_Flows[[#This Row],[E1_value]],"N.A.")</f>
        <v>N.A.</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No</v>
      </c>
      <c r="I350" s="9" t="str">
        <f>_xlfn.XLOOKUP(C350,Tab_Def_Flows[Flow_Name],Tab_Def_Flows[Use_E6],,0,)</f>
        <v>No</v>
      </c>
      <c r="J350" s="7"/>
      <c r="K350" s="21"/>
      <c r="L350" s="6"/>
      <c r="M350" s="13"/>
      <c r="N350" s="13"/>
      <c r="O350" s="13"/>
      <c r="P350" s="13"/>
      <c r="Q350" s="13"/>
      <c r="R350" s="7" t="s">
        <v>6</v>
      </c>
      <c r="S350" s="7"/>
      <c r="T350" s="7"/>
      <c r="U350" s="139">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IF(G350="Yes",Tab_Data_Flows[[#This Row],[E4_Fraction'[%']]]*Tab_Data_Flows[[#This Row],[E1_value]],"N.A.")</f>
        <v>0</v>
      </c>
      <c r="AF350" s="6">
        <f>Tab_Data_Flows[[#This Row],[E1_UoM]]</f>
        <v>0</v>
      </c>
      <c r="AG350" s="139">
        <f>_xlfn.XLOOKUP(Tab_Data_Flows[[#This Row],[Flow_Name]],Tab_Def_Flows[Flow_Name],Tab_Def_Flows[Flow_E5_Fraction'[%']],"N.A.",0,1)</f>
        <v>0</v>
      </c>
      <c r="AH350" s="6" t="str">
        <f>IF(H350="Yes",Tab_Data_Flows[[#This Row],[E5_Fraction'[%']]]*Tab_Data_Flows[[#This Row],[E1_value]],"N.A.")</f>
        <v>N.A.</v>
      </c>
      <c r="AI350" s="6">
        <f>Tab_Data_Flows[[#This Row],[E1_UoM]]</f>
        <v>0</v>
      </c>
      <c r="AJ350" s="139">
        <f>_xlfn.XLOOKUP(Tab_Data_Flows[[#This Row],[Flow_Name]],Tab_Def_Flows[Flow_Name],Tab_Def_Flows[Flow_E6_Fraction'[%']],"N.A.",0,1)</f>
        <v>0</v>
      </c>
      <c r="AK350" s="6" t="str">
        <f>IF(Tab_Data_Flows[[#This Row],[Use_E6]]="Yes",Tab_Data_Flows[[#This Row],[E6_Fraction'[%']]]*Tab_Data_Flows[[#This Row],[E1_value]],"N.A.")</f>
        <v>N.A.</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K9" sqref="K9"/>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426</v>
      </c>
      <c r="E1" s="141" t="s">
        <v>1132</v>
      </c>
      <c r="F1" s="141" t="s">
        <v>1131</v>
      </c>
      <c r="G1" s="141" t="s">
        <v>4</v>
      </c>
      <c r="H1" s="141" t="s">
        <v>391</v>
      </c>
      <c r="I1" s="141" t="s">
        <v>454</v>
      </c>
      <c r="J1" s="141" t="s">
        <v>455</v>
      </c>
      <c r="K1" s="141" t="s">
        <v>484</v>
      </c>
      <c r="L1" s="141" t="s">
        <v>1125</v>
      </c>
      <c r="M1" s="141" t="s">
        <v>1116</v>
      </c>
      <c r="N1" s="141" t="s">
        <v>1126</v>
      </c>
      <c r="O1" s="141" t="s">
        <v>1117</v>
      </c>
      <c r="P1" s="141" t="s">
        <v>1127</v>
      </c>
      <c r="Q1" s="141" t="s">
        <v>1121</v>
      </c>
      <c r="R1" s="141" t="s">
        <v>1124</v>
      </c>
      <c r="S1" s="141" t="s">
        <v>1118</v>
      </c>
      <c r="T1" s="141" t="s">
        <v>1128</v>
      </c>
      <c r="U1" s="141" t="s">
        <v>1119</v>
      </c>
      <c r="V1" s="141" t="s">
        <v>1129</v>
      </c>
      <c r="W1" s="141" t="s">
        <v>1120</v>
      </c>
      <c r="X1" s="141" t="s">
        <v>1123</v>
      </c>
      <c r="Y1" s="141" t="s">
        <v>1133</v>
      </c>
    </row>
    <row r="2" spans="1:25" x14ac:dyDescent="0.25">
      <c r="A2" s="142" t="b">
        <v>0</v>
      </c>
      <c r="B2" s="16" t="s">
        <v>51</v>
      </c>
      <c r="C2" s="6" t="str">
        <f>LEFT(B2,2)</f>
        <v>00</v>
      </c>
      <c r="D2" s="7" t="s">
        <v>1205</v>
      </c>
      <c r="E2" s="188"/>
      <c r="F2" s="188"/>
      <c r="G2" s="13"/>
      <c r="H2" s="138" t="s">
        <v>452</v>
      </c>
      <c r="I2" s="138" t="s">
        <v>432</v>
      </c>
      <c r="J2" s="138" t="s">
        <v>459</v>
      </c>
      <c r="K2" s="138">
        <v>1</v>
      </c>
      <c r="L2" s="194" t="b">
        <f>'0_Configuration'!$C$2</f>
        <v>1</v>
      </c>
      <c r="M2" s="6" t="s">
        <v>1122</v>
      </c>
      <c r="N2" s="194" t="b">
        <f>'0_Configuration'!$C$6</f>
        <v>0</v>
      </c>
      <c r="O2" s="6" t="s">
        <v>1122</v>
      </c>
      <c r="P2" s="194" t="b">
        <f>'0_Configuration'!$C$10</f>
        <v>0</v>
      </c>
      <c r="Q2" s="6" t="s">
        <v>1122</v>
      </c>
      <c r="R2" s="194" t="b">
        <f>'0_Configuration'!$C$17</f>
        <v>0</v>
      </c>
      <c r="S2" s="6">
        <f>_xlfn.XLOOKUP(Tab_Def_Flows[[#This Row],[ODYM_Good_Type]],Tab_Configuration[Value],Tab_Configuration[ODYM_ID],,0,)</f>
        <v>0</v>
      </c>
      <c r="T2" s="194" t="b">
        <f>'0_Configuration'!$C$24</f>
        <v>0</v>
      </c>
      <c r="U2" s="6" t="s">
        <v>1122</v>
      </c>
      <c r="V2" s="194" t="b">
        <f>'0_Configuration'!$C$29</f>
        <v>1</v>
      </c>
      <c r="W2" s="6" t="s">
        <v>1122</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1206</v>
      </c>
      <c r="E3" s="188"/>
      <c r="F3" s="188"/>
      <c r="G3" s="13"/>
      <c r="H3" s="138" t="s">
        <v>452</v>
      </c>
      <c r="I3" s="138" t="s">
        <v>432</v>
      </c>
      <c r="J3" s="138" t="s">
        <v>459</v>
      </c>
      <c r="K3" s="138">
        <v>2</v>
      </c>
      <c r="L3" s="194" t="b">
        <f>'0_Configuration'!$C$2</f>
        <v>1</v>
      </c>
      <c r="M3" s="6" t="s">
        <v>1122</v>
      </c>
      <c r="N3" s="194" t="b">
        <f>'0_Configuration'!$C$6</f>
        <v>0</v>
      </c>
      <c r="O3" s="6" t="s">
        <v>1122</v>
      </c>
      <c r="P3" s="194" t="b">
        <f>'0_Configuration'!$C$10</f>
        <v>0</v>
      </c>
      <c r="Q3" s="6" t="s">
        <v>1122</v>
      </c>
      <c r="R3" s="194" t="b">
        <f>'0_Configuration'!$C$17</f>
        <v>0</v>
      </c>
      <c r="S3" s="6">
        <f>_xlfn.XLOOKUP(Tab_Def_Flows[[#This Row],[ODYM_Good_Type]],Tab_Configuration[Value],Tab_Configuration[ODYM_ID],,0,)</f>
        <v>0</v>
      </c>
      <c r="T3" s="194" t="b">
        <f>'0_Configuration'!$C$24</f>
        <v>0</v>
      </c>
      <c r="U3" s="6" t="s">
        <v>1122</v>
      </c>
      <c r="V3" s="194" t="b">
        <f>'0_Configuration'!$C$29</f>
        <v>1</v>
      </c>
      <c r="W3" s="6" t="s">
        <v>1122</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1207</v>
      </c>
      <c r="E4" s="188"/>
      <c r="F4" s="188"/>
      <c r="G4" s="13"/>
      <c r="H4" s="138" t="s">
        <v>392</v>
      </c>
      <c r="I4" s="138" t="s">
        <v>431</v>
      </c>
      <c r="J4" s="138" t="s">
        <v>458</v>
      </c>
      <c r="K4" s="138">
        <v>1</v>
      </c>
      <c r="L4" s="194" t="b">
        <f>'0_Configuration'!$C$2</f>
        <v>1</v>
      </c>
      <c r="M4" s="6" t="s">
        <v>1122</v>
      </c>
      <c r="N4" s="194" t="b">
        <f>'0_Configuration'!$C$6</f>
        <v>0</v>
      </c>
      <c r="O4" s="6" t="s">
        <v>1122</v>
      </c>
      <c r="P4" s="194" t="b">
        <f>'0_Configuration'!$C$10</f>
        <v>0</v>
      </c>
      <c r="Q4" s="6" t="s">
        <v>1122</v>
      </c>
      <c r="R4" s="194" t="b">
        <f>'0_Configuration'!$C$17</f>
        <v>0</v>
      </c>
      <c r="S4" s="6">
        <f>_xlfn.XLOOKUP(Tab_Def_Flows[[#This Row],[ODYM_Good_Type]],Tab_Configuration[Value],Tab_Configuration[ODYM_ID],,0,)</f>
        <v>0</v>
      </c>
      <c r="T4" s="194" t="b">
        <f>'0_Configuration'!$C$24</f>
        <v>0</v>
      </c>
      <c r="U4" s="6" t="s">
        <v>1122</v>
      </c>
      <c r="V4" s="194" t="b">
        <f>'0_Configuration'!$C$29</f>
        <v>1</v>
      </c>
      <c r="W4" s="6" t="s">
        <v>1122</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1208</v>
      </c>
      <c r="E5" s="188"/>
      <c r="F5" s="188"/>
      <c r="G5" s="13"/>
      <c r="H5" s="138" t="s">
        <v>392</v>
      </c>
      <c r="I5" s="138" t="s">
        <v>431</v>
      </c>
      <c r="J5" s="138" t="s">
        <v>458</v>
      </c>
      <c r="K5" s="138">
        <v>2</v>
      </c>
      <c r="L5" s="194" t="b">
        <f>'0_Configuration'!$C$2</f>
        <v>1</v>
      </c>
      <c r="M5" s="6" t="s">
        <v>1122</v>
      </c>
      <c r="N5" s="194" t="b">
        <f>'0_Configuration'!$C$6</f>
        <v>0</v>
      </c>
      <c r="O5" s="6" t="s">
        <v>1122</v>
      </c>
      <c r="P5" s="194" t="b">
        <f>'0_Configuration'!$C$10</f>
        <v>0</v>
      </c>
      <c r="Q5" s="6" t="s">
        <v>1122</v>
      </c>
      <c r="R5" s="194" t="b">
        <f>'0_Configuration'!$C$17</f>
        <v>0</v>
      </c>
      <c r="S5" s="6">
        <f>_xlfn.XLOOKUP(Tab_Def_Flows[[#This Row],[ODYM_Good_Type]],Tab_Configuration[Value],Tab_Configuration[ODYM_ID],,0,)</f>
        <v>0</v>
      </c>
      <c r="T5" s="194" t="b">
        <f>'0_Configuration'!$C$24</f>
        <v>0</v>
      </c>
      <c r="U5" s="6" t="s">
        <v>1122</v>
      </c>
      <c r="V5" s="194" t="b">
        <f>'0_Configuration'!$C$29</f>
        <v>1</v>
      </c>
      <c r="W5" s="6" t="s">
        <v>1122</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1209</v>
      </c>
      <c r="E6" s="188"/>
      <c r="F6" s="188"/>
      <c r="G6" s="13"/>
      <c r="H6" s="138" t="s">
        <v>393</v>
      </c>
      <c r="I6" s="138" t="s">
        <v>431</v>
      </c>
      <c r="J6" s="138" t="s">
        <v>458</v>
      </c>
      <c r="K6" s="138">
        <v>2</v>
      </c>
      <c r="L6" s="194" t="b">
        <f>'0_Configuration'!$C$2</f>
        <v>1</v>
      </c>
      <c r="M6" s="6" t="s">
        <v>1122</v>
      </c>
      <c r="N6" s="194" t="b">
        <f>'0_Configuration'!$C$6</f>
        <v>0</v>
      </c>
      <c r="O6" s="6" t="s">
        <v>1122</v>
      </c>
      <c r="P6" s="194" t="b">
        <f>'0_Configuration'!$C$10</f>
        <v>0</v>
      </c>
      <c r="Q6" s="6" t="s">
        <v>1122</v>
      </c>
      <c r="R6" s="194" t="b">
        <f>'0_Configuration'!$C$17</f>
        <v>0</v>
      </c>
      <c r="S6" s="6">
        <f>_xlfn.XLOOKUP(Tab_Def_Flows[[#This Row],[ODYM_Good_Type]],Tab_Configuration[Value],Tab_Configuration[ODYM_ID],,0,)</f>
        <v>0</v>
      </c>
      <c r="T6" s="194" t="b">
        <f>'0_Configuration'!$C$24</f>
        <v>0</v>
      </c>
      <c r="U6" s="6" t="s">
        <v>1122</v>
      </c>
      <c r="V6" s="194" t="b">
        <f>'0_Configuration'!$C$29</f>
        <v>1</v>
      </c>
      <c r="W6" s="6" t="s">
        <v>1122</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1210</v>
      </c>
      <c r="E7" s="188"/>
      <c r="F7" s="188"/>
      <c r="G7" s="13"/>
      <c r="H7" s="138" t="s">
        <v>392</v>
      </c>
      <c r="I7" s="138" t="s">
        <v>431</v>
      </c>
      <c r="J7" s="138" t="s">
        <v>458</v>
      </c>
      <c r="K7" s="138">
        <v>3</v>
      </c>
      <c r="L7" s="194" t="b">
        <f>'0_Configuration'!$C$2</f>
        <v>1</v>
      </c>
      <c r="M7" s="6" t="s">
        <v>1122</v>
      </c>
      <c r="N7" s="194" t="b">
        <f>'0_Configuration'!$C$6</f>
        <v>0</v>
      </c>
      <c r="O7" s="6" t="s">
        <v>1122</v>
      </c>
      <c r="P7" s="194" t="b">
        <f>'0_Configuration'!$C$10</f>
        <v>0</v>
      </c>
      <c r="Q7" s="6" t="s">
        <v>1122</v>
      </c>
      <c r="R7" s="194" t="b">
        <f>'0_Configuration'!$C$17</f>
        <v>0</v>
      </c>
      <c r="S7" s="6">
        <f>_xlfn.XLOOKUP(Tab_Def_Flows[[#This Row],[ODYM_Good_Type]],Tab_Configuration[Value],Tab_Configuration[ODYM_ID],,0,)</f>
        <v>0</v>
      </c>
      <c r="T7" s="194" t="b">
        <f>'0_Configuration'!$C$24</f>
        <v>0</v>
      </c>
      <c r="U7" s="6" t="s">
        <v>1122</v>
      </c>
      <c r="V7" s="194" t="b">
        <f>'0_Configuration'!$C$29</f>
        <v>1</v>
      </c>
      <c r="W7" s="6" t="s">
        <v>1122</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1211</v>
      </c>
      <c r="E8" s="188"/>
      <c r="F8" s="188"/>
      <c r="G8" s="13"/>
      <c r="H8" s="138" t="s">
        <v>392</v>
      </c>
      <c r="I8" s="138" t="s">
        <v>431</v>
      </c>
      <c r="J8" s="138" t="s">
        <v>458</v>
      </c>
      <c r="K8" s="138">
        <v>1</v>
      </c>
      <c r="L8" s="194" t="b">
        <f>'0_Configuration'!$C$2</f>
        <v>1</v>
      </c>
      <c r="M8" s="6" t="s">
        <v>1122</v>
      </c>
      <c r="N8" s="194" t="b">
        <f>'0_Configuration'!$C$6</f>
        <v>0</v>
      </c>
      <c r="O8" s="6" t="s">
        <v>1122</v>
      </c>
      <c r="P8" s="194" t="b">
        <f>'0_Configuration'!$C$10</f>
        <v>0</v>
      </c>
      <c r="Q8" s="6" t="s">
        <v>1122</v>
      </c>
      <c r="R8" s="194" t="b">
        <f>'0_Configuration'!$C$17</f>
        <v>0</v>
      </c>
      <c r="S8" s="6">
        <f>_xlfn.XLOOKUP(Tab_Def_Flows[[#This Row],[ODYM_Good_Type]],Tab_Configuration[Value],Tab_Configuration[ODYM_ID],,0,)</f>
        <v>0</v>
      </c>
      <c r="T8" s="194" t="b">
        <f>'0_Configuration'!$C$24</f>
        <v>0</v>
      </c>
      <c r="U8" s="6" t="s">
        <v>1122</v>
      </c>
      <c r="V8" s="194" t="b">
        <f>'0_Configuration'!$C$29</f>
        <v>1</v>
      </c>
      <c r="W8" s="6" t="s">
        <v>1122</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1212</v>
      </c>
      <c r="E9" s="188"/>
      <c r="F9" s="188"/>
      <c r="G9" s="13"/>
      <c r="H9" s="138" t="s">
        <v>243</v>
      </c>
      <c r="I9" s="138" t="s">
        <v>432</v>
      </c>
      <c r="J9" s="138" t="s">
        <v>459</v>
      </c>
      <c r="K9" s="138">
        <v>2</v>
      </c>
      <c r="L9" s="194" t="b">
        <f>'0_Configuration'!$C$2</f>
        <v>1</v>
      </c>
      <c r="M9" s="6" t="s">
        <v>1122</v>
      </c>
      <c r="N9" s="194" t="b">
        <f>'0_Configuration'!$C$6</f>
        <v>0</v>
      </c>
      <c r="O9" s="6" t="s">
        <v>1122</v>
      </c>
      <c r="P9" s="194" t="b">
        <f>'0_Configuration'!$C$10</f>
        <v>0</v>
      </c>
      <c r="Q9" s="6" t="s">
        <v>1122</v>
      </c>
      <c r="R9" s="194" t="b">
        <f>'0_Configuration'!$C$17</f>
        <v>0</v>
      </c>
      <c r="S9" s="6">
        <f>_xlfn.XLOOKUP(Tab_Def_Flows[[#This Row],[ODYM_Good_Type]],Tab_Configuration[Value],Tab_Configuration[ODYM_ID],,0,)</f>
        <v>0</v>
      </c>
      <c r="T9" s="194" t="b">
        <f>'0_Configuration'!$C$24</f>
        <v>0</v>
      </c>
      <c r="U9" s="6" t="s">
        <v>1122</v>
      </c>
      <c r="V9" s="194" t="b">
        <f>'0_Configuration'!$C$29</f>
        <v>1</v>
      </c>
      <c r="W9" s="6" t="s">
        <v>1122</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1213</v>
      </c>
      <c r="E10" s="188"/>
      <c r="F10" s="188"/>
      <c r="G10" s="13"/>
      <c r="H10" s="138" t="s">
        <v>243</v>
      </c>
      <c r="I10" s="138" t="s">
        <v>432</v>
      </c>
      <c r="J10" s="138" t="s">
        <v>459</v>
      </c>
      <c r="K10" s="138">
        <v>2</v>
      </c>
      <c r="L10" s="194" t="b">
        <f>'0_Configuration'!$C$2</f>
        <v>1</v>
      </c>
      <c r="M10" s="6" t="s">
        <v>1122</v>
      </c>
      <c r="N10" s="194" t="b">
        <f>'0_Configuration'!$C$6</f>
        <v>0</v>
      </c>
      <c r="O10" s="6" t="s">
        <v>1122</v>
      </c>
      <c r="P10" s="194" t="b">
        <f>'0_Configuration'!$C$10</f>
        <v>0</v>
      </c>
      <c r="Q10" s="6" t="s">
        <v>1122</v>
      </c>
      <c r="R10" s="194" t="b">
        <f>'0_Configuration'!$C$17</f>
        <v>0</v>
      </c>
      <c r="S10" s="6">
        <f>_xlfn.XLOOKUP(Tab_Def_Flows[[#This Row],[ODYM_Good_Type]],Tab_Configuration[Value],Tab_Configuration[ODYM_ID],,0,)</f>
        <v>0</v>
      </c>
      <c r="T10" s="194" t="b">
        <f>'0_Configuration'!$C$24</f>
        <v>0</v>
      </c>
      <c r="U10" s="6" t="s">
        <v>1122</v>
      </c>
      <c r="V10" s="194" t="b">
        <f>'0_Configuration'!$C$29</f>
        <v>1</v>
      </c>
      <c r="W10" s="6" t="s">
        <v>1122</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1214</v>
      </c>
      <c r="E11" s="188"/>
      <c r="F11" s="188"/>
      <c r="G11" s="13"/>
      <c r="H11" s="138" t="s">
        <v>393</v>
      </c>
      <c r="I11" s="138" t="s">
        <v>431</v>
      </c>
      <c r="J11" s="138" t="s">
        <v>458</v>
      </c>
      <c r="K11" s="138">
        <v>3</v>
      </c>
      <c r="L11" s="194" t="b">
        <f>'0_Configuration'!$C$2</f>
        <v>1</v>
      </c>
      <c r="M11" s="6" t="s">
        <v>1122</v>
      </c>
      <c r="N11" s="194" t="b">
        <f>'0_Configuration'!$C$6</f>
        <v>0</v>
      </c>
      <c r="O11" s="6" t="s">
        <v>1122</v>
      </c>
      <c r="P11" s="194" t="b">
        <f>'0_Configuration'!$C$10</f>
        <v>0</v>
      </c>
      <c r="Q11" s="6" t="s">
        <v>1122</v>
      </c>
      <c r="R11" s="194" t="b">
        <f>'0_Configuration'!$C$17</f>
        <v>0</v>
      </c>
      <c r="S11" s="6">
        <f>_xlfn.XLOOKUP(Tab_Def_Flows[[#This Row],[ODYM_Good_Type]],Tab_Configuration[Value],Tab_Configuration[ODYM_ID],,0,)</f>
        <v>0</v>
      </c>
      <c r="T11" s="194" t="b">
        <f>'0_Configuration'!$C$24</f>
        <v>0</v>
      </c>
      <c r="U11" s="6" t="s">
        <v>1122</v>
      </c>
      <c r="V11" s="194" t="b">
        <f>'0_Configuration'!$C$29</f>
        <v>1</v>
      </c>
      <c r="W11" s="6" t="s">
        <v>1122</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1215</v>
      </c>
      <c r="E12" s="188"/>
      <c r="F12" s="188"/>
      <c r="G12" s="13"/>
      <c r="H12" s="138" t="s">
        <v>243</v>
      </c>
      <c r="I12" s="138" t="s">
        <v>432</v>
      </c>
      <c r="J12" s="138" t="s">
        <v>459</v>
      </c>
      <c r="K12" s="138">
        <v>2</v>
      </c>
      <c r="L12" s="194" t="b">
        <f>'0_Configuration'!$C$2</f>
        <v>1</v>
      </c>
      <c r="M12" s="6" t="s">
        <v>1122</v>
      </c>
      <c r="N12" s="194" t="b">
        <f>'0_Configuration'!$C$6</f>
        <v>0</v>
      </c>
      <c r="O12" s="6" t="s">
        <v>1122</v>
      </c>
      <c r="P12" s="194" t="b">
        <f>'0_Configuration'!$C$10</f>
        <v>0</v>
      </c>
      <c r="Q12" s="6" t="s">
        <v>1122</v>
      </c>
      <c r="R12" s="194" t="b">
        <f>'0_Configuration'!$C$17</f>
        <v>0</v>
      </c>
      <c r="S12" s="6">
        <f>_xlfn.XLOOKUP(Tab_Def_Flows[[#This Row],[ODYM_Good_Type]],Tab_Configuration[Value],Tab_Configuration[ODYM_ID],,0,)</f>
        <v>0</v>
      </c>
      <c r="T12" s="194" t="b">
        <f>'0_Configuration'!$C$24</f>
        <v>0</v>
      </c>
      <c r="U12" s="6" t="s">
        <v>1122</v>
      </c>
      <c r="V12" s="194" t="b">
        <f>'0_Configuration'!$C$29</f>
        <v>1</v>
      </c>
      <c r="W12" s="6" t="s">
        <v>1122</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t="s">
        <v>1216</v>
      </c>
      <c r="E13" s="188"/>
      <c r="F13" s="188"/>
      <c r="G13" s="13"/>
      <c r="H13" s="138" t="s">
        <v>113</v>
      </c>
      <c r="I13" s="138" t="s">
        <v>432</v>
      </c>
      <c r="J13" s="138" t="s">
        <v>459</v>
      </c>
      <c r="K13" s="138">
        <v>1</v>
      </c>
      <c r="L13" s="194" t="b">
        <f>'0_Configuration'!$C$2</f>
        <v>1</v>
      </c>
      <c r="M13" s="6" t="s">
        <v>1122</v>
      </c>
      <c r="N13" s="194" t="b">
        <f>'0_Configuration'!$C$6</f>
        <v>0</v>
      </c>
      <c r="O13" s="6" t="s">
        <v>1122</v>
      </c>
      <c r="P13" s="194" t="b">
        <f>'0_Configuration'!$C$10</f>
        <v>0</v>
      </c>
      <c r="Q13" s="6" t="s">
        <v>1122</v>
      </c>
      <c r="R13" s="194" t="b">
        <f>'0_Configuration'!$C$17</f>
        <v>0</v>
      </c>
      <c r="S13" s="6">
        <f>_xlfn.XLOOKUP(Tab_Def_Flows[[#This Row],[ODYM_Good_Type]],Tab_Configuration[Value],Tab_Configuration[ODYM_ID],,0,)</f>
        <v>0</v>
      </c>
      <c r="T13" s="194" t="b">
        <f>'0_Configuration'!$C$24</f>
        <v>0</v>
      </c>
      <c r="U13" s="6" t="s">
        <v>1122</v>
      </c>
      <c r="V13" s="194" t="b">
        <f>'0_Configuration'!$C$29</f>
        <v>1</v>
      </c>
      <c r="W13" s="6" t="s">
        <v>1122</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t="s">
        <v>1217</v>
      </c>
      <c r="E14" s="188"/>
      <c r="F14" s="188"/>
      <c r="G14" s="13"/>
      <c r="H14" s="138" t="s">
        <v>393</v>
      </c>
      <c r="I14" s="138" t="s">
        <v>431</v>
      </c>
      <c r="J14" s="138" t="s">
        <v>458</v>
      </c>
      <c r="K14" s="138">
        <v>3</v>
      </c>
      <c r="L14" s="194" t="b">
        <f>'0_Configuration'!$C$2</f>
        <v>1</v>
      </c>
      <c r="M14" s="6" t="s">
        <v>1122</v>
      </c>
      <c r="N14" s="194" t="b">
        <f>'0_Configuration'!$C$6</f>
        <v>0</v>
      </c>
      <c r="O14" s="6" t="s">
        <v>1122</v>
      </c>
      <c r="P14" s="194" t="b">
        <f>'0_Configuration'!$C$10</f>
        <v>0</v>
      </c>
      <c r="Q14" s="6" t="s">
        <v>1122</v>
      </c>
      <c r="R14" s="194" t="b">
        <f>'0_Configuration'!$C$17</f>
        <v>0</v>
      </c>
      <c r="S14" s="6">
        <f>_xlfn.XLOOKUP(Tab_Def_Flows[[#This Row],[ODYM_Good_Type]],Tab_Configuration[Value],Tab_Configuration[ODYM_ID],,0,)</f>
        <v>0</v>
      </c>
      <c r="T14" s="194" t="b">
        <f>'0_Configuration'!$C$24</f>
        <v>0</v>
      </c>
      <c r="U14" s="6" t="s">
        <v>1122</v>
      </c>
      <c r="V14" s="194" t="b">
        <f>'0_Configuration'!$C$29</f>
        <v>1</v>
      </c>
      <c r="W14" s="6" t="s">
        <v>1122</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1122</v>
      </c>
      <c r="N15" s="194" t="b">
        <f>'0_Configuration'!$C$6</f>
        <v>0</v>
      </c>
      <c r="O15" s="6" t="s">
        <v>1122</v>
      </c>
      <c r="P15" s="194" t="b">
        <f>'0_Configuration'!$C$10</f>
        <v>0</v>
      </c>
      <c r="Q15" s="6" t="s">
        <v>1122</v>
      </c>
      <c r="R15" s="194" t="b">
        <f>'0_Configuration'!$C$17</f>
        <v>0</v>
      </c>
      <c r="S15" s="6">
        <f>_xlfn.XLOOKUP(Tab_Def_Flows[[#This Row],[ODYM_Good_Type]],Tab_Configuration[Value],Tab_Configuration[ODYM_ID],,0,)</f>
        <v>0</v>
      </c>
      <c r="T15" s="194" t="b">
        <f>'0_Configuration'!$C$24</f>
        <v>0</v>
      </c>
      <c r="U15" s="6" t="s">
        <v>1122</v>
      </c>
      <c r="V15" s="194" t="b">
        <f>'0_Configuration'!$C$29</f>
        <v>1</v>
      </c>
      <c r="W15" s="6" t="s">
        <v>1122</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1122</v>
      </c>
      <c r="N16" s="194" t="b">
        <f>'0_Configuration'!$C$6</f>
        <v>0</v>
      </c>
      <c r="O16" s="6" t="s">
        <v>1122</v>
      </c>
      <c r="P16" s="194" t="b">
        <f>'0_Configuration'!$C$10</f>
        <v>0</v>
      </c>
      <c r="Q16" s="6" t="s">
        <v>1122</v>
      </c>
      <c r="R16" s="194" t="b">
        <f>'0_Configuration'!$C$17</f>
        <v>0</v>
      </c>
      <c r="S16" s="6">
        <f>_xlfn.XLOOKUP(Tab_Def_Flows[[#This Row],[ODYM_Good_Type]],Tab_Configuration[Value],Tab_Configuration[ODYM_ID],,0,)</f>
        <v>0</v>
      </c>
      <c r="T16" s="194" t="b">
        <f>'0_Configuration'!$C$24</f>
        <v>0</v>
      </c>
      <c r="U16" s="6" t="s">
        <v>1122</v>
      </c>
      <c r="V16" s="194" t="b">
        <f>'0_Configuration'!$C$29</f>
        <v>1</v>
      </c>
      <c r="W16" s="6" t="s">
        <v>1122</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1122</v>
      </c>
      <c r="N17" s="194" t="b">
        <f>'0_Configuration'!$C$6</f>
        <v>0</v>
      </c>
      <c r="O17" s="6" t="s">
        <v>1122</v>
      </c>
      <c r="P17" s="194" t="b">
        <f>'0_Configuration'!$C$10</f>
        <v>0</v>
      </c>
      <c r="Q17" s="6" t="s">
        <v>1122</v>
      </c>
      <c r="R17" s="194" t="b">
        <f>'0_Configuration'!$C$17</f>
        <v>0</v>
      </c>
      <c r="S17" s="6">
        <f>_xlfn.XLOOKUP(Tab_Def_Flows[[#This Row],[ODYM_Good_Type]],Tab_Configuration[Value],Tab_Configuration[ODYM_ID],,0,)</f>
        <v>0</v>
      </c>
      <c r="T17" s="194" t="b">
        <f>'0_Configuration'!$C$24</f>
        <v>0</v>
      </c>
      <c r="U17" s="6" t="s">
        <v>1122</v>
      </c>
      <c r="V17" s="194" t="b">
        <f>'0_Configuration'!$C$29</f>
        <v>1</v>
      </c>
      <c r="W17" s="6" t="s">
        <v>1122</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1122</v>
      </c>
      <c r="N18" s="194" t="b">
        <f>'0_Configuration'!$C$6</f>
        <v>0</v>
      </c>
      <c r="O18" s="6" t="s">
        <v>1122</v>
      </c>
      <c r="P18" s="194" t="b">
        <f>'0_Configuration'!$C$10</f>
        <v>0</v>
      </c>
      <c r="Q18" s="6" t="s">
        <v>1122</v>
      </c>
      <c r="R18" s="194" t="b">
        <f>'0_Configuration'!$C$17</f>
        <v>0</v>
      </c>
      <c r="S18" s="6">
        <f>_xlfn.XLOOKUP(Tab_Def_Flows[[#This Row],[ODYM_Good_Type]],Tab_Configuration[Value],Tab_Configuration[ODYM_ID],,0,)</f>
        <v>0</v>
      </c>
      <c r="T18" s="194" t="b">
        <f>'0_Configuration'!$C$24</f>
        <v>0</v>
      </c>
      <c r="U18" s="6" t="s">
        <v>1122</v>
      </c>
      <c r="V18" s="194" t="b">
        <f>'0_Configuration'!$C$29</f>
        <v>1</v>
      </c>
      <c r="W18" s="6" t="s">
        <v>1122</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1122</v>
      </c>
      <c r="N19" s="194" t="b">
        <f>'0_Configuration'!$C$6</f>
        <v>0</v>
      </c>
      <c r="O19" s="6" t="s">
        <v>1122</v>
      </c>
      <c r="P19" s="194" t="b">
        <f>'0_Configuration'!$C$10</f>
        <v>0</v>
      </c>
      <c r="Q19" s="6" t="s">
        <v>1122</v>
      </c>
      <c r="R19" s="194" t="b">
        <f>'0_Configuration'!$C$17</f>
        <v>0</v>
      </c>
      <c r="S19" s="6">
        <f>_xlfn.XLOOKUP(Tab_Def_Flows[[#This Row],[ODYM_Good_Type]],Tab_Configuration[Value],Tab_Configuration[ODYM_ID],,0,)</f>
        <v>0</v>
      </c>
      <c r="T19" s="194" t="b">
        <f>'0_Configuration'!$C$24</f>
        <v>0</v>
      </c>
      <c r="U19" s="6" t="s">
        <v>1122</v>
      </c>
      <c r="V19" s="194" t="b">
        <f>'0_Configuration'!$C$29</f>
        <v>1</v>
      </c>
      <c r="W19" s="6" t="s">
        <v>1122</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1122</v>
      </c>
      <c r="N20" s="194" t="b">
        <f>'0_Configuration'!$C$6</f>
        <v>0</v>
      </c>
      <c r="O20" s="6" t="s">
        <v>1122</v>
      </c>
      <c r="P20" s="194" t="b">
        <f>'0_Configuration'!$C$10</f>
        <v>0</v>
      </c>
      <c r="Q20" s="6" t="s">
        <v>1122</v>
      </c>
      <c r="R20" s="194" t="b">
        <f>'0_Configuration'!$C$17</f>
        <v>0</v>
      </c>
      <c r="S20" s="6">
        <f>_xlfn.XLOOKUP(Tab_Def_Flows[[#This Row],[ODYM_Good_Type]],Tab_Configuration[Value],Tab_Configuration[ODYM_ID],,0,)</f>
        <v>0</v>
      </c>
      <c r="T20" s="194" t="b">
        <f>'0_Configuration'!$C$24</f>
        <v>0</v>
      </c>
      <c r="U20" s="6" t="s">
        <v>1122</v>
      </c>
      <c r="V20" s="194" t="b">
        <f>'0_Configuration'!$C$29</f>
        <v>1</v>
      </c>
      <c r="W20" s="6" t="s">
        <v>1122</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1122</v>
      </c>
      <c r="N21" s="194" t="b">
        <f>'0_Configuration'!$C$6</f>
        <v>0</v>
      </c>
      <c r="O21" s="6" t="s">
        <v>1122</v>
      </c>
      <c r="P21" s="194" t="b">
        <f>'0_Configuration'!$C$10</f>
        <v>0</v>
      </c>
      <c r="Q21" s="6" t="s">
        <v>1122</v>
      </c>
      <c r="R21" s="194" t="b">
        <f>'0_Configuration'!$C$17</f>
        <v>0</v>
      </c>
      <c r="S21" s="6">
        <f>_xlfn.XLOOKUP(Tab_Def_Flows[[#This Row],[ODYM_Good_Type]],Tab_Configuration[Value],Tab_Configuration[ODYM_ID],,0,)</f>
        <v>0</v>
      </c>
      <c r="T21" s="194" t="b">
        <f>'0_Configuration'!$C$24</f>
        <v>0</v>
      </c>
      <c r="U21" s="6" t="s">
        <v>1122</v>
      </c>
      <c r="V21" s="194" t="b">
        <f>'0_Configuration'!$C$29</f>
        <v>1</v>
      </c>
      <c r="W21" s="6" t="s">
        <v>1122</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1122</v>
      </c>
      <c r="N22" s="194" t="b">
        <f>'0_Configuration'!$C$6</f>
        <v>0</v>
      </c>
      <c r="O22" s="6" t="s">
        <v>1122</v>
      </c>
      <c r="P22" s="194" t="b">
        <f>'0_Configuration'!$C$10</f>
        <v>0</v>
      </c>
      <c r="Q22" s="6" t="s">
        <v>1122</v>
      </c>
      <c r="R22" s="194" t="b">
        <f>'0_Configuration'!$C$17</f>
        <v>0</v>
      </c>
      <c r="S22" s="6">
        <f>_xlfn.XLOOKUP(Tab_Def_Flows[[#This Row],[ODYM_Good_Type]],Tab_Configuration[Value],Tab_Configuration[ODYM_ID],,0,)</f>
        <v>0</v>
      </c>
      <c r="T22" s="194" t="b">
        <f>'0_Configuration'!$C$24</f>
        <v>0</v>
      </c>
      <c r="U22" s="6" t="s">
        <v>1122</v>
      </c>
      <c r="V22" s="194" t="b">
        <f>'0_Configuration'!$C$29</f>
        <v>1</v>
      </c>
      <c r="W22" s="6" t="s">
        <v>1122</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1122</v>
      </c>
      <c r="N23" s="194" t="b">
        <f>'0_Configuration'!$C$6</f>
        <v>0</v>
      </c>
      <c r="O23" s="6" t="s">
        <v>1122</v>
      </c>
      <c r="P23" s="194" t="b">
        <f>'0_Configuration'!$C$10</f>
        <v>0</v>
      </c>
      <c r="Q23" s="6" t="s">
        <v>1122</v>
      </c>
      <c r="R23" s="194" t="b">
        <f>'0_Configuration'!$C$17</f>
        <v>0</v>
      </c>
      <c r="S23" s="6">
        <f>_xlfn.XLOOKUP(Tab_Def_Flows[[#This Row],[ODYM_Good_Type]],Tab_Configuration[Value],Tab_Configuration[ODYM_ID],,0,)</f>
        <v>0</v>
      </c>
      <c r="T23" s="194" t="b">
        <f>'0_Configuration'!$C$24</f>
        <v>0</v>
      </c>
      <c r="U23" s="6" t="s">
        <v>1122</v>
      </c>
      <c r="V23" s="194" t="b">
        <f>'0_Configuration'!$C$29</f>
        <v>1</v>
      </c>
      <c r="W23" s="6" t="s">
        <v>1122</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1122</v>
      </c>
      <c r="N24" s="194" t="b">
        <f>'0_Configuration'!$C$6</f>
        <v>0</v>
      </c>
      <c r="O24" s="6" t="s">
        <v>1122</v>
      </c>
      <c r="P24" s="194" t="b">
        <f>'0_Configuration'!$C$10</f>
        <v>0</v>
      </c>
      <c r="Q24" s="6" t="s">
        <v>1122</v>
      </c>
      <c r="R24" s="194" t="b">
        <f>'0_Configuration'!$C$17</f>
        <v>0</v>
      </c>
      <c r="S24" s="6">
        <f>_xlfn.XLOOKUP(Tab_Def_Flows[[#This Row],[ODYM_Good_Type]],Tab_Configuration[Value],Tab_Configuration[ODYM_ID],,0,)</f>
        <v>0</v>
      </c>
      <c r="T24" s="194" t="b">
        <f>'0_Configuration'!$C$24</f>
        <v>0</v>
      </c>
      <c r="U24" s="6" t="s">
        <v>1122</v>
      </c>
      <c r="V24" s="194" t="b">
        <f>'0_Configuration'!$C$29</f>
        <v>1</v>
      </c>
      <c r="W24" s="6" t="s">
        <v>1122</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1122</v>
      </c>
      <c r="N25" s="194" t="b">
        <f>'0_Configuration'!$C$6</f>
        <v>0</v>
      </c>
      <c r="O25" s="6" t="s">
        <v>1122</v>
      </c>
      <c r="P25" s="194" t="b">
        <f>'0_Configuration'!$C$10</f>
        <v>0</v>
      </c>
      <c r="Q25" s="6" t="s">
        <v>1122</v>
      </c>
      <c r="R25" s="194" t="b">
        <f>'0_Configuration'!$C$17</f>
        <v>0</v>
      </c>
      <c r="S25" s="6">
        <f>_xlfn.XLOOKUP(Tab_Def_Flows[[#This Row],[ODYM_Good_Type]],Tab_Configuration[Value],Tab_Configuration[ODYM_ID],,0,)</f>
        <v>0</v>
      </c>
      <c r="T25" s="194" t="b">
        <f>'0_Configuration'!$C$24</f>
        <v>0</v>
      </c>
      <c r="U25" s="6" t="s">
        <v>1122</v>
      </c>
      <c r="V25" s="194" t="b">
        <f>'0_Configuration'!$C$29</f>
        <v>1</v>
      </c>
      <c r="W25" s="6" t="s">
        <v>1122</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1122</v>
      </c>
      <c r="N26" s="194" t="b">
        <f>'0_Configuration'!$C$6</f>
        <v>0</v>
      </c>
      <c r="O26" s="6" t="s">
        <v>1122</v>
      </c>
      <c r="P26" s="194" t="b">
        <f>'0_Configuration'!$C$10</f>
        <v>0</v>
      </c>
      <c r="Q26" s="6" t="s">
        <v>1122</v>
      </c>
      <c r="R26" s="194" t="b">
        <f>'0_Configuration'!$C$17</f>
        <v>0</v>
      </c>
      <c r="S26" s="6">
        <f>_xlfn.XLOOKUP(Tab_Def_Flows[[#This Row],[ODYM_Good_Type]],Tab_Configuration[Value],Tab_Configuration[ODYM_ID],,0,)</f>
        <v>0</v>
      </c>
      <c r="T26" s="194" t="b">
        <f>'0_Configuration'!$C$24</f>
        <v>0</v>
      </c>
      <c r="U26" s="6" t="s">
        <v>1122</v>
      </c>
      <c r="V26" s="194" t="b">
        <f>'0_Configuration'!$C$29</f>
        <v>1</v>
      </c>
      <c r="W26" s="6" t="s">
        <v>1122</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1122</v>
      </c>
      <c r="N27" s="194" t="b">
        <f>'0_Configuration'!$C$6</f>
        <v>0</v>
      </c>
      <c r="O27" s="6" t="s">
        <v>1122</v>
      </c>
      <c r="P27" s="194" t="b">
        <f>'0_Configuration'!$C$10</f>
        <v>0</v>
      </c>
      <c r="Q27" s="6" t="s">
        <v>1122</v>
      </c>
      <c r="R27" s="194" t="b">
        <f>'0_Configuration'!$C$17</f>
        <v>0</v>
      </c>
      <c r="S27" s="6">
        <f>_xlfn.XLOOKUP(Tab_Def_Flows[[#This Row],[ODYM_Good_Type]],Tab_Configuration[Value],Tab_Configuration[ODYM_ID],,0,)</f>
        <v>0</v>
      </c>
      <c r="T27" s="194" t="b">
        <f>'0_Configuration'!$C$24</f>
        <v>0</v>
      </c>
      <c r="U27" s="6" t="s">
        <v>1122</v>
      </c>
      <c r="V27" s="194" t="b">
        <f>'0_Configuration'!$C$29</f>
        <v>1</v>
      </c>
      <c r="W27" s="6" t="s">
        <v>1122</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1122</v>
      </c>
      <c r="N28" s="194" t="b">
        <f>'0_Configuration'!$C$6</f>
        <v>0</v>
      </c>
      <c r="O28" s="6" t="s">
        <v>1122</v>
      </c>
      <c r="P28" s="194" t="b">
        <f>'0_Configuration'!$C$10</f>
        <v>0</v>
      </c>
      <c r="Q28" s="6" t="s">
        <v>1122</v>
      </c>
      <c r="R28" s="194" t="b">
        <f>'0_Configuration'!$C$17</f>
        <v>0</v>
      </c>
      <c r="S28" s="6">
        <f>_xlfn.XLOOKUP(Tab_Def_Flows[[#This Row],[ODYM_Good_Type]],Tab_Configuration[Value],Tab_Configuration[ODYM_ID],,0,)</f>
        <v>0</v>
      </c>
      <c r="T28" s="194" t="b">
        <f>'0_Configuration'!$C$24</f>
        <v>0</v>
      </c>
      <c r="U28" s="6" t="s">
        <v>1122</v>
      </c>
      <c r="V28" s="194" t="b">
        <f>'0_Configuration'!$C$29</f>
        <v>1</v>
      </c>
      <c r="W28" s="6" t="s">
        <v>1122</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1122</v>
      </c>
      <c r="N29" s="194" t="b">
        <f>'0_Configuration'!$C$6</f>
        <v>0</v>
      </c>
      <c r="O29" s="6" t="s">
        <v>1122</v>
      </c>
      <c r="P29" s="194" t="b">
        <f>'0_Configuration'!$C$10</f>
        <v>0</v>
      </c>
      <c r="Q29" s="6" t="s">
        <v>1122</v>
      </c>
      <c r="R29" s="194" t="b">
        <f>'0_Configuration'!$C$17</f>
        <v>0</v>
      </c>
      <c r="S29" s="6">
        <f>_xlfn.XLOOKUP(Tab_Def_Flows[[#This Row],[ODYM_Good_Type]],Tab_Configuration[Value],Tab_Configuration[ODYM_ID],,0,)</f>
        <v>0</v>
      </c>
      <c r="T29" s="194" t="b">
        <f>'0_Configuration'!$C$24</f>
        <v>0</v>
      </c>
      <c r="U29" s="6" t="s">
        <v>1122</v>
      </c>
      <c r="V29" s="194" t="b">
        <f>'0_Configuration'!$C$29</f>
        <v>1</v>
      </c>
      <c r="W29" s="6" t="s">
        <v>1122</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1122</v>
      </c>
      <c r="N30" s="194" t="b">
        <f>'0_Configuration'!$C$6</f>
        <v>0</v>
      </c>
      <c r="O30" s="6" t="s">
        <v>1122</v>
      </c>
      <c r="P30" s="194" t="b">
        <f>'0_Configuration'!$C$10</f>
        <v>0</v>
      </c>
      <c r="Q30" s="6" t="s">
        <v>1122</v>
      </c>
      <c r="R30" s="194" t="b">
        <f>'0_Configuration'!$C$17</f>
        <v>0</v>
      </c>
      <c r="S30" s="6">
        <f>_xlfn.XLOOKUP(Tab_Def_Flows[[#This Row],[ODYM_Good_Type]],Tab_Configuration[Value],Tab_Configuration[ODYM_ID],,0,)</f>
        <v>0</v>
      </c>
      <c r="T30" s="194" t="b">
        <f>'0_Configuration'!$C$24</f>
        <v>0</v>
      </c>
      <c r="U30" s="6" t="s">
        <v>1122</v>
      </c>
      <c r="V30" s="194" t="b">
        <f>'0_Configuration'!$C$29</f>
        <v>1</v>
      </c>
      <c r="W30" s="6" t="s">
        <v>1122</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1122</v>
      </c>
      <c r="N31" s="194" t="b">
        <f>'0_Configuration'!$C$6</f>
        <v>0</v>
      </c>
      <c r="O31" s="6" t="s">
        <v>1122</v>
      </c>
      <c r="P31" s="194" t="b">
        <f>'0_Configuration'!$C$10</f>
        <v>0</v>
      </c>
      <c r="Q31" s="6" t="s">
        <v>1122</v>
      </c>
      <c r="R31" s="194" t="b">
        <f>'0_Configuration'!$C$17</f>
        <v>0</v>
      </c>
      <c r="S31" s="6">
        <f>_xlfn.XLOOKUP(Tab_Def_Flows[[#This Row],[ODYM_Good_Type]],Tab_Configuration[Value],Tab_Configuration[ODYM_ID],,0,)</f>
        <v>0</v>
      </c>
      <c r="T31" s="194" t="b">
        <f>'0_Configuration'!$C$24</f>
        <v>0</v>
      </c>
      <c r="U31" s="6" t="s">
        <v>1122</v>
      </c>
      <c r="V31" s="194" t="b">
        <f>'0_Configuration'!$C$29</f>
        <v>1</v>
      </c>
      <c r="W31" s="6" t="s">
        <v>1122</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1122</v>
      </c>
      <c r="N32" s="194" t="b">
        <f>'0_Configuration'!$C$6</f>
        <v>0</v>
      </c>
      <c r="O32" s="6" t="s">
        <v>1122</v>
      </c>
      <c r="P32" s="194" t="b">
        <f>'0_Configuration'!$C$10</f>
        <v>0</v>
      </c>
      <c r="Q32" s="6" t="s">
        <v>1122</v>
      </c>
      <c r="R32" s="194" t="b">
        <f>'0_Configuration'!$C$17</f>
        <v>0</v>
      </c>
      <c r="S32" s="6">
        <f>_xlfn.XLOOKUP(Tab_Def_Flows[[#This Row],[ODYM_Good_Type]],Tab_Configuration[Value],Tab_Configuration[ODYM_ID],,0,)</f>
        <v>0</v>
      </c>
      <c r="T32" s="194" t="b">
        <f>'0_Configuration'!$C$24</f>
        <v>0</v>
      </c>
      <c r="U32" s="6" t="s">
        <v>1122</v>
      </c>
      <c r="V32" s="194" t="b">
        <f>'0_Configuration'!$C$29</f>
        <v>1</v>
      </c>
      <c r="W32" s="6" t="s">
        <v>1122</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1122</v>
      </c>
      <c r="N33" s="194" t="b">
        <f>'0_Configuration'!$C$6</f>
        <v>0</v>
      </c>
      <c r="O33" s="6" t="s">
        <v>1122</v>
      </c>
      <c r="P33" s="194" t="b">
        <f>'0_Configuration'!$C$10</f>
        <v>0</v>
      </c>
      <c r="Q33" s="6" t="s">
        <v>1122</v>
      </c>
      <c r="R33" s="194" t="b">
        <f>'0_Configuration'!$C$17</f>
        <v>0</v>
      </c>
      <c r="S33" s="6">
        <f>_xlfn.XLOOKUP(Tab_Def_Flows[[#This Row],[ODYM_Good_Type]],Tab_Configuration[Value],Tab_Configuration[ODYM_ID],,0,)</f>
        <v>0</v>
      </c>
      <c r="T33" s="194" t="b">
        <f>'0_Configuration'!$C$24</f>
        <v>0</v>
      </c>
      <c r="U33" s="6" t="s">
        <v>1122</v>
      </c>
      <c r="V33" s="194" t="b">
        <f>'0_Configuration'!$C$29</f>
        <v>1</v>
      </c>
      <c r="W33" s="6" t="s">
        <v>1122</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1122</v>
      </c>
      <c r="N34" s="194" t="b">
        <f>'0_Configuration'!$C$6</f>
        <v>0</v>
      </c>
      <c r="O34" s="6" t="s">
        <v>1122</v>
      </c>
      <c r="P34" s="194" t="b">
        <f>'0_Configuration'!$C$10</f>
        <v>0</v>
      </c>
      <c r="Q34" s="6" t="s">
        <v>1122</v>
      </c>
      <c r="R34" s="194" t="b">
        <f>'0_Configuration'!$C$17</f>
        <v>0</v>
      </c>
      <c r="S34" s="6">
        <f>_xlfn.XLOOKUP(Tab_Def_Flows[[#This Row],[ODYM_Good_Type]],Tab_Configuration[Value],Tab_Configuration[ODYM_ID],,0,)</f>
        <v>0</v>
      </c>
      <c r="T34" s="194" t="b">
        <f>'0_Configuration'!$C$24</f>
        <v>0</v>
      </c>
      <c r="U34" s="6" t="s">
        <v>1122</v>
      </c>
      <c r="V34" s="194" t="b">
        <f>'0_Configuration'!$C$29</f>
        <v>1</v>
      </c>
      <c r="W34" s="6" t="s">
        <v>1122</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1122</v>
      </c>
      <c r="N35" s="194" t="b">
        <f>'0_Configuration'!$C$6</f>
        <v>0</v>
      </c>
      <c r="O35" s="6" t="s">
        <v>1122</v>
      </c>
      <c r="P35" s="194" t="b">
        <f>'0_Configuration'!$C$10</f>
        <v>0</v>
      </c>
      <c r="Q35" s="6" t="s">
        <v>1122</v>
      </c>
      <c r="R35" s="194" t="b">
        <f>'0_Configuration'!$C$17</f>
        <v>0</v>
      </c>
      <c r="S35" s="6">
        <f>_xlfn.XLOOKUP(Tab_Def_Flows[[#This Row],[ODYM_Good_Type]],Tab_Configuration[Value],Tab_Configuration[ODYM_ID],,0,)</f>
        <v>0</v>
      </c>
      <c r="T35" s="194" t="b">
        <f>'0_Configuration'!$C$24</f>
        <v>0</v>
      </c>
      <c r="U35" s="6" t="s">
        <v>1122</v>
      </c>
      <c r="V35" s="194" t="b">
        <f>'0_Configuration'!$C$29</f>
        <v>1</v>
      </c>
      <c r="W35" s="6" t="s">
        <v>1122</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1122</v>
      </c>
      <c r="N36" s="194" t="b">
        <f>'0_Configuration'!$C$6</f>
        <v>0</v>
      </c>
      <c r="O36" s="6" t="s">
        <v>1122</v>
      </c>
      <c r="P36" s="194" t="b">
        <f>'0_Configuration'!$C$10</f>
        <v>0</v>
      </c>
      <c r="Q36" s="6" t="s">
        <v>1122</v>
      </c>
      <c r="R36" s="194" t="b">
        <f>'0_Configuration'!$C$17</f>
        <v>0</v>
      </c>
      <c r="S36" s="6">
        <f>_xlfn.XLOOKUP(Tab_Def_Flows[[#This Row],[ODYM_Good_Type]],Tab_Configuration[Value],Tab_Configuration[ODYM_ID],,0,)</f>
        <v>0</v>
      </c>
      <c r="T36" s="194" t="b">
        <f>'0_Configuration'!$C$24</f>
        <v>0</v>
      </c>
      <c r="U36" s="6" t="s">
        <v>1122</v>
      </c>
      <c r="V36" s="194" t="b">
        <f>'0_Configuration'!$C$29</f>
        <v>1</v>
      </c>
      <c r="W36" s="6" t="s">
        <v>1122</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1122</v>
      </c>
      <c r="N37" s="194" t="b">
        <f>'0_Configuration'!$C$6</f>
        <v>0</v>
      </c>
      <c r="O37" s="6" t="s">
        <v>1122</v>
      </c>
      <c r="P37" s="194" t="b">
        <f>'0_Configuration'!$C$10</f>
        <v>0</v>
      </c>
      <c r="Q37" s="6" t="s">
        <v>1122</v>
      </c>
      <c r="R37" s="194" t="b">
        <f>'0_Configuration'!$C$17</f>
        <v>0</v>
      </c>
      <c r="S37" s="6">
        <f>_xlfn.XLOOKUP(Tab_Def_Flows[[#This Row],[ODYM_Good_Type]],Tab_Configuration[Value],Tab_Configuration[ODYM_ID],,0,)</f>
        <v>0</v>
      </c>
      <c r="T37" s="194" t="b">
        <f>'0_Configuration'!$C$24</f>
        <v>0</v>
      </c>
      <c r="U37" s="6" t="s">
        <v>1122</v>
      </c>
      <c r="V37" s="194" t="b">
        <f>'0_Configuration'!$C$29</f>
        <v>1</v>
      </c>
      <c r="W37" s="6" t="s">
        <v>1122</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1122</v>
      </c>
      <c r="N38" s="194" t="b">
        <f>'0_Configuration'!$C$6</f>
        <v>0</v>
      </c>
      <c r="O38" s="6" t="s">
        <v>1122</v>
      </c>
      <c r="P38" s="194" t="b">
        <f>'0_Configuration'!$C$10</f>
        <v>0</v>
      </c>
      <c r="Q38" s="6" t="s">
        <v>1122</v>
      </c>
      <c r="R38" s="194" t="b">
        <f>'0_Configuration'!$C$17</f>
        <v>0</v>
      </c>
      <c r="S38" s="6">
        <f>_xlfn.XLOOKUP(Tab_Def_Flows[[#This Row],[ODYM_Good_Type]],Tab_Configuration[Value],Tab_Configuration[ODYM_ID],,0,)</f>
        <v>0</v>
      </c>
      <c r="T38" s="194" t="b">
        <f>'0_Configuration'!$C$24</f>
        <v>0</v>
      </c>
      <c r="U38" s="6" t="s">
        <v>1122</v>
      </c>
      <c r="V38" s="194" t="b">
        <f>'0_Configuration'!$C$29</f>
        <v>1</v>
      </c>
      <c r="W38" s="6" t="s">
        <v>1122</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1122</v>
      </c>
      <c r="N39" s="194" t="b">
        <f>'0_Configuration'!$C$6</f>
        <v>0</v>
      </c>
      <c r="O39" s="6" t="s">
        <v>1122</v>
      </c>
      <c r="P39" s="194" t="b">
        <f>'0_Configuration'!$C$10</f>
        <v>0</v>
      </c>
      <c r="Q39" s="6" t="s">
        <v>1122</v>
      </c>
      <c r="R39" s="194" t="b">
        <f>'0_Configuration'!$C$17</f>
        <v>0</v>
      </c>
      <c r="S39" s="6">
        <f>_xlfn.XLOOKUP(Tab_Def_Flows[[#This Row],[ODYM_Good_Type]],Tab_Configuration[Value],Tab_Configuration[ODYM_ID],,0,)</f>
        <v>0</v>
      </c>
      <c r="T39" s="194" t="b">
        <f>'0_Configuration'!$C$24</f>
        <v>0</v>
      </c>
      <c r="U39" s="6" t="s">
        <v>1122</v>
      </c>
      <c r="V39" s="194" t="b">
        <f>'0_Configuration'!$C$29</f>
        <v>1</v>
      </c>
      <c r="W39" s="6" t="s">
        <v>1122</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1122</v>
      </c>
      <c r="N40" s="194" t="b">
        <f>'0_Configuration'!$C$6</f>
        <v>0</v>
      </c>
      <c r="O40" s="6" t="s">
        <v>1122</v>
      </c>
      <c r="P40" s="194" t="b">
        <f>'0_Configuration'!$C$10</f>
        <v>0</v>
      </c>
      <c r="Q40" s="6" t="s">
        <v>1122</v>
      </c>
      <c r="R40" s="194" t="b">
        <f>'0_Configuration'!$C$17</f>
        <v>0</v>
      </c>
      <c r="S40" s="6">
        <f>_xlfn.XLOOKUP(Tab_Def_Flows[[#This Row],[ODYM_Good_Type]],Tab_Configuration[Value],Tab_Configuration[ODYM_ID],,0,)</f>
        <v>0</v>
      </c>
      <c r="T40" s="194" t="b">
        <f>'0_Configuration'!$C$24</f>
        <v>0</v>
      </c>
      <c r="U40" s="6" t="s">
        <v>1122</v>
      </c>
      <c r="V40" s="194" t="b">
        <f>'0_Configuration'!$C$29</f>
        <v>1</v>
      </c>
      <c r="W40" s="6" t="s">
        <v>1122</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1122</v>
      </c>
      <c r="N41" s="194" t="b">
        <f>'0_Configuration'!$C$6</f>
        <v>0</v>
      </c>
      <c r="O41" s="6" t="s">
        <v>1122</v>
      </c>
      <c r="P41" s="194" t="b">
        <f>'0_Configuration'!$C$10</f>
        <v>0</v>
      </c>
      <c r="Q41" s="6" t="s">
        <v>1122</v>
      </c>
      <c r="R41" s="194" t="b">
        <f>'0_Configuration'!$C$17</f>
        <v>0</v>
      </c>
      <c r="S41" s="6">
        <f>_xlfn.XLOOKUP(Tab_Def_Flows[[#This Row],[ODYM_Good_Type]],Tab_Configuration[Value],Tab_Configuration[ODYM_ID],,0,)</f>
        <v>0</v>
      </c>
      <c r="T41" s="194" t="b">
        <f>'0_Configuration'!$C$24</f>
        <v>0</v>
      </c>
      <c r="U41" s="6" t="s">
        <v>1122</v>
      </c>
      <c r="V41" s="194" t="b">
        <f>'0_Configuration'!$C$29</f>
        <v>1</v>
      </c>
      <c r="W41" s="6" t="s">
        <v>1122</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1122</v>
      </c>
      <c r="N42" s="194" t="b">
        <f>'0_Configuration'!$C$6</f>
        <v>0</v>
      </c>
      <c r="O42" s="6" t="s">
        <v>1122</v>
      </c>
      <c r="P42" s="194" t="b">
        <f>'0_Configuration'!$C$10</f>
        <v>0</v>
      </c>
      <c r="Q42" s="6" t="s">
        <v>1122</v>
      </c>
      <c r="R42" s="194" t="b">
        <f>'0_Configuration'!$C$17</f>
        <v>0</v>
      </c>
      <c r="S42" s="6">
        <f>_xlfn.XLOOKUP(Tab_Def_Flows[[#This Row],[ODYM_Good_Type]],Tab_Configuration[Value],Tab_Configuration[ODYM_ID],,0,)</f>
        <v>0</v>
      </c>
      <c r="T42" s="194" t="b">
        <f>'0_Configuration'!$C$24</f>
        <v>0</v>
      </c>
      <c r="U42" s="6" t="s">
        <v>1122</v>
      </c>
      <c r="V42" s="194" t="b">
        <f>'0_Configuration'!$C$29</f>
        <v>1</v>
      </c>
      <c r="W42" s="6" t="s">
        <v>1122</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1122</v>
      </c>
      <c r="N43" s="194" t="b">
        <f>'0_Configuration'!$C$6</f>
        <v>0</v>
      </c>
      <c r="O43" s="6" t="s">
        <v>1122</v>
      </c>
      <c r="P43" s="194" t="b">
        <f>'0_Configuration'!$C$10</f>
        <v>0</v>
      </c>
      <c r="Q43" s="6" t="s">
        <v>1122</v>
      </c>
      <c r="R43" s="194" t="b">
        <f>'0_Configuration'!$C$17</f>
        <v>0</v>
      </c>
      <c r="S43" s="6">
        <f>_xlfn.XLOOKUP(Tab_Def_Flows[[#This Row],[ODYM_Good_Type]],Tab_Configuration[Value],Tab_Configuration[ODYM_ID],,0,)</f>
        <v>0</v>
      </c>
      <c r="T43" s="194" t="b">
        <f>'0_Configuration'!$C$24</f>
        <v>0</v>
      </c>
      <c r="U43" s="6" t="s">
        <v>1122</v>
      </c>
      <c r="V43" s="194" t="b">
        <f>'0_Configuration'!$C$29</f>
        <v>1</v>
      </c>
      <c r="W43" s="6" t="s">
        <v>1122</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1122</v>
      </c>
      <c r="N44" s="194" t="b">
        <f>'0_Configuration'!$C$6</f>
        <v>0</v>
      </c>
      <c r="O44" s="6" t="s">
        <v>1122</v>
      </c>
      <c r="P44" s="194" t="b">
        <f>'0_Configuration'!$C$10</f>
        <v>0</v>
      </c>
      <c r="Q44" s="6" t="s">
        <v>1122</v>
      </c>
      <c r="R44" s="194" t="b">
        <f>'0_Configuration'!$C$17</f>
        <v>0</v>
      </c>
      <c r="S44" s="6">
        <f>_xlfn.XLOOKUP(Tab_Def_Flows[[#This Row],[ODYM_Good_Type]],Tab_Configuration[Value],Tab_Configuration[ODYM_ID],,0,)</f>
        <v>0</v>
      </c>
      <c r="T44" s="194" t="b">
        <f>'0_Configuration'!$C$24</f>
        <v>0</v>
      </c>
      <c r="U44" s="6" t="s">
        <v>1122</v>
      </c>
      <c r="V44" s="194" t="b">
        <f>'0_Configuration'!$C$29</f>
        <v>1</v>
      </c>
      <c r="W44" s="6" t="s">
        <v>1122</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1122</v>
      </c>
      <c r="N45" s="194" t="b">
        <f>'0_Configuration'!$C$6</f>
        <v>0</v>
      </c>
      <c r="O45" s="6" t="s">
        <v>1122</v>
      </c>
      <c r="P45" s="194" t="b">
        <f>'0_Configuration'!$C$10</f>
        <v>0</v>
      </c>
      <c r="Q45" s="6" t="s">
        <v>1122</v>
      </c>
      <c r="R45" s="194" t="b">
        <f>'0_Configuration'!$C$17</f>
        <v>0</v>
      </c>
      <c r="S45" s="6">
        <f>_xlfn.XLOOKUP(Tab_Def_Flows[[#This Row],[ODYM_Good_Type]],Tab_Configuration[Value],Tab_Configuration[ODYM_ID],,0,)</f>
        <v>0</v>
      </c>
      <c r="T45" s="194" t="b">
        <f>'0_Configuration'!$C$24</f>
        <v>0</v>
      </c>
      <c r="U45" s="6" t="s">
        <v>1122</v>
      </c>
      <c r="V45" s="194" t="b">
        <f>'0_Configuration'!$C$29</f>
        <v>1</v>
      </c>
      <c r="W45" s="6" t="s">
        <v>1122</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1122</v>
      </c>
      <c r="N46" s="194" t="b">
        <f>'0_Configuration'!$C$6</f>
        <v>0</v>
      </c>
      <c r="O46" s="6" t="s">
        <v>1122</v>
      </c>
      <c r="P46" s="194" t="b">
        <f>'0_Configuration'!$C$10</f>
        <v>0</v>
      </c>
      <c r="Q46" s="6" t="s">
        <v>1122</v>
      </c>
      <c r="R46" s="194" t="b">
        <f>'0_Configuration'!$C$17</f>
        <v>0</v>
      </c>
      <c r="S46" s="6">
        <f>_xlfn.XLOOKUP(Tab_Def_Flows[[#This Row],[ODYM_Good_Type]],Tab_Configuration[Value],Tab_Configuration[ODYM_ID],,0,)</f>
        <v>0</v>
      </c>
      <c r="T46" s="194" t="b">
        <f>'0_Configuration'!$C$24</f>
        <v>0</v>
      </c>
      <c r="U46" s="6" t="s">
        <v>1122</v>
      </c>
      <c r="V46" s="194" t="b">
        <f>'0_Configuration'!$C$29</f>
        <v>1</v>
      </c>
      <c r="W46" s="6" t="s">
        <v>1122</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B51"/>
  <sheetViews>
    <sheetView zoomScale="115" zoomScaleNormal="115" workbookViewId="0">
      <pane xSplit="4" topLeftCell="Q1" activePane="topRight" state="frozen"/>
      <selection pane="topRight" activeCell="W1" sqref="W1:AB1048576"/>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3" width="16.42578125" customWidth="1"/>
    <col min="24" max="24" width="16.140625" customWidth="1"/>
    <col min="25" max="25" width="20" customWidth="1"/>
    <col min="26" max="26" width="17" customWidth="1"/>
    <col min="27" max="27" width="23.28515625" customWidth="1"/>
    <col min="28" max="28" width="16.7109375" customWidth="1"/>
  </cols>
  <sheetData>
    <row r="1" spans="1:28" x14ac:dyDescent="0.25">
      <c r="A1" s="141" t="s">
        <v>24</v>
      </c>
      <c r="B1" s="141" t="s">
        <v>7</v>
      </c>
      <c r="C1" s="141" t="s">
        <v>23</v>
      </c>
      <c r="D1" s="141" t="s">
        <v>426</v>
      </c>
      <c r="E1" s="141" t="s">
        <v>391</v>
      </c>
      <c r="F1" s="141" t="s">
        <v>454</v>
      </c>
      <c r="G1" s="141" t="s">
        <v>455</v>
      </c>
      <c r="H1" s="141" t="s">
        <v>484</v>
      </c>
      <c r="I1" s="141" t="s">
        <v>164</v>
      </c>
      <c r="J1" s="141" t="s">
        <v>11</v>
      </c>
      <c r="K1" s="141" t="s">
        <v>1168</v>
      </c>
      <c r="L1" s="141" t="s">
        <v>1170</v>
      </c>
      <c r="M1" s="141" t="s">
        <v>1169</v>
      </c>
      <c r="N1" s="141" t="s">
        <v>1171</v>
      </c>
      <c r="O1" s="141" t="s">
        <v>1172</v>
      </c>
      <c r="P1" s="141" t="s">
        <v>1173</v>
      </c>
      <c r="Q1" s="141" t="s">
        <v>1174</v>
      </c>
      <c r="R1" s="141" t="s">
        <v>1175</v>
      </c>
      <c r="S1" s="141" t="s">
        <v>1176</v>
      </c>
      <c r="T1" s="141" t="s">
        <v>1177</v>
      </c>
      <c r="U1" s="141" t="s">
        <v>1200</v>
      </c>
      <c r="V1" s="141" t="s">
        <v>1201</v>
      </c>
      <c r="W1" s="141" t="s">
        <v>1473</v>
      </c>
      <c r="X1" s="141" t="s">
        <v>485</v>
      </c>
      <c r="Y1" s="141" t="s">
        <v>461</v>
      </c>
      <c r="Z1" s="141" t="s">
        <v>486</v>
      </c>
      <c r="AA1" s="141" t="s">
        <v>487</v>
      </c>
      <c r="AB1" s="141" t="s">
        <v>488</v>
      </c>
    </row>
    <row r="2" spans="1:28" x14ac:dyDescent="0.25">
      <c r="A2" s="142" t="b">
        <v>0</v>
      </c>
      <c r="B2" s="6">
        <f t="shared" ref="B2" si="0">ROW()-1</f>
        <v>1</v>
      </c>
      <c r="C2" s="20" t="str">
        <f>_xlfn.XLOOKUP($D2,Tab_Def_Processes[Process_Name],Tab_Def_Processes[ID],,0,)</f>
        <v>03</v>
      </c>
      <c r="D2" s="138" t="s">
        <v>1208</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1218</v>
      </c>
      <c r="J2" s="134" t="str">
        <f>_xlfn.XLOOKUP($I2,Tab_Def_Flows[Flow_Name],Tab_Def_Flows[Flow_ID],,0,)</f>
        <v>F_03_04</v>
      </c>
      <c r="K2" s="15" t="str">
        <f>"TC_E1"&amp;"_"&amp;RIGHT(J2,5)</f>
        <v>TC_E1_03_04</v>
      </c>
      <c r="L2" s="140">
        <v>0.51</v>
      </c>
      <c r="M2" s="15" t="str">
        <f>"TC_E2"&amp;"_"&amp;RIGHT(J2,5)</f>
        <v>TC_E2_03_04</v>
      </c>
      <c r="N2" s="140"/>
      <c r="O2" s="15" t="str">
        <f>"TC_E3"&amp;"_"&amp;RIGHT(J2,5)</f>
        <v>TC_E3_03_04</v>
      </c>
      <c r="P2" s="140"/>
      <c r="Q2" s="6" t="str">
        <f>"TC_E4"&amp;"_"&amp;RIGHT(J2,5)</f>
        <v>TC_E4_03_04</v>
      </c>
      <c r="R2" s="140"/>
      <c r="S2" s="6" t="str">
        <f>"TC_E5"&amp;"_"&amp;RIGHT(J2,5)</f>
        <v>TC_E5_03_04</v>
      </c>
      <c r="T2" s="140"/>
      <c r="U2" s="6" t="str">
        <f>"TC_E5"&amp;"_"&amp;RIGHT(J2,5)</f>
        <v>TC_E5_03_04</v>
      </c>
      <c r="V2" s="140"/>
      <c r="W2" s="13" t="s">
        <v>1472</v>
      </c>
      <c r="X2" s="13"/>
      <c r="Y2" s="13"/>
      <c r="Z2" s="13"/>
      <c r="AA2" s="13"/>
      <c r="AB2" s="13"/>
    </row>
    <row r="3" spans="1:28" x14ac:dyDescent="0.25">
      <c r="A3" s="142" t="b">
        <v>0</v>
      </c>
      <c r="B3" s="6">
        <f t="shared" ref="B3:B51" si="1">ROW()-1</f>
        <v>2</v>
      </c>
      <c r="C3" s="20" t="str">
        <f>_xlfn.XLOOKUP($D3,Tab_Def_Processes[Process_Name],Tab_Def_Processes[ID],,0,)</f>
        <v>03</v>
      </c>
      <c r="D3" s="138" t="s">
        <v>1208</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1219</v>
      </c>
      <c r="J3" s="134" t="str">
        <f>_xlfn.XLOOKUP($I3,Tab_Def_Flows[Flow_Name],Tab_Def_Flows[Flow_ID],,0,)</f>
        <v>F_03_05</v>
      </c>
      <c r="K3" s="15" t="str">
        <f t="shared" ref="K3:K51" si="2">"TC_E1"&amp;"_"&amp;RIGHT(J3,5)</f>
        <v>TC_E1_03_05</v>
      </c>
      <c r="L3" s="140">
        <v>0.49</v>
      </c>
      <c r="M3" s="15" t="str">
        <f t="shared" ref="M3:M51" si="3">"TC_E2"&amp;"_"&amp;RIGHT(J3,5)</f>
        <v>TC_E2_03_05</v>
      </c>
      <c r="N3" s="140"/>
      <c r="O3" s="15" t="str">
        <f t="shared" ref="O3:O51" si="4">"TC_E3"&amp;"_"&amp;RIGHT(J3,5)</f>
        <v>TC_E3_03_05</v>
      </c>
      <c r="P3" s="140"/>
      <c r="Q3" s="6" t="str">
        <f t="shared" ref="Q3:Q51" si="5">"TC_E4"&amp;"_"&amp;RIGHT(J3,5)</f>
        <v>TC_E4_03_05</v>
      </c>
      <c r="R3" s="140"/>
      <c r="S3" s="6" t="str">
        <f t="shared" ref="S3:S51" si="6">"TC_E5"&amp;"_"&amp;RIGHT(J3,5)</f>
        <v>TC_E5_03_05</v>
      </c>
      <c r="T3" s="140"/>
      <c r="U3" s="6" t="str">
        <f t="shared" ref="U3:U51" si="7">"TC_E5"&amp;"_"&amp;RIGHT(J3,5)</f>
        <v>TC_E5_03_05</v>
      </c>
      <c r="V3" s="140"/>
      <c r="W3" s="13" t="s">
        <v>1472</v>
      </c>
      <c r="X3" s="13"/>
      <c r="Y3" s="13"/>
      <c r="Z3" s="13"/>
      <c r="AA3" s="13"/>
      <c r="AB3" s="13"/>
    </row>
    <row r="4" spans="1:28" x14ac:dyDescent="0.25">
      <c r="A4" s="142" t="b">
        <v>0</v>
      </c>
      <c r="B4" s="6">
        <f t="shared" si="1"/>
        <v>3</v>
      </c>
      <c r="C4" s="20" t="str">
        <f>_xlfn.XLOOKUP($D4,Tab_Def_Processes[Process_Name],Tab_Def_Processes[ID],,0,)</f>
        <v>05</v>
      </c>
      <c r="D4" s="138" t="s">
        <v>1210</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3</v>
      </c>
      <c r="I4" s="138" t="s">
        <v>1220</v>
      </c>
      <c r="J4" s="134" t="str">
        <f>_xlfn.XLOOKUP($I4,Tab_Def_Flows[Flow_Name],Tab_Def_Flows[Flow_ID],,0,)</f>
        <v>F_05_06</v>
      </c>
      <c r="K4" s="15" t="str">
        <f t="shared" si="2"/>
        <v>TC_E1_05_06</v>
      </c>
      <c r="L4" s="140">
        <v>0.33333333333333331</v>
      </c>
      <c r="M4" s="15" t="str">
        <f t="shared" si="3"/>
        <v>TC_E2_05_06</v>
      </c>
      <c r="N4" s="140"/>
      <c r="O4" s="15" t="str">
        <f t="shared" si="4"/>
        <v>TC_E3_05_06</v>
      </c>
      <c r="P4" s="140"/>
      <c r="Q4" s="6" t="str">
        <f t="shared" si="5"/>
        <v>TC_E4_05_06</v>
      </c>
      <c r="R4" s="140"/>
      <c r="S4" s="6" t="str">
        <f t="shared" si="6"/>
        <v>TC_E5_05_06</v>
      </c>
      <c r="T4" s="140"/>
      <c r="U4" s="6" t="str">
        <f t="shared" si="7"/>
        <v>TC_E5_05_06</v>
      </c>
      <c r="V4" s="140"/>
      <c r="W4" s="13" t="s">
        <v>1474</v>
      </c>
      <c r="X4" s="13"/>
      <c r="Y4" s="13"/>
      <c r="Z4" s="13"/>
      <c r="AA4" s="13"/>
      <c r="AB4" s="13"/>
    </row>
    <row r="5" spans="1:28" x14ac:dyDescent="0.25">
      <c r="A5" s="142" t="b">
        <v>0</v>
      </c>
      <c r="B5" s="6">
        <f>ROW()-1</f>
        <v>4</v>
      </c>
      <c r="C5" s="20" t="str">
        <f>_xlfn.XLOOKUP($D5,Tab_Def_Processes[Process_Name],Tab_Def_Processes[ID],,0,)</f>
        <v>05</v>
      </c>
      <c r="D5" s="138" t="s">
        <v>1210</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3</v>
      </c>
      <c r="I5" s="138" t="s">
        <v>1221</v>
      </c>
      <c r="J5" s="134" t="str">
        <f>_xlfn.XLOOKUP($I5,Tab_Def_Flows[Flow_Name],Tab_Def_Flows[Flow_ID],,0,)</f>
        <v>F_05_12</v>
      </c>
      <c r="K5" s="15" t="str">
        <f t="shared" si="2"/>
        <v>TC_E1_05_12</v>
      </c>
      <c r="L5" s="140">
        <v>0.33333333333333331</v>
      </c>
      <c r="M5" s="15" t="str">
        <f t="shared" si="3"/>
        <v>TC_E2_05_12</v>
      </c>
      <c r="N5" s="140"/>
      <c r="O5" s="15" t="str">
        <f t="shared" si="4"/>
        <v>TC_E3_05_12</v>
      </c>
      <c r="P5" s="140"/>
      <c r="Q5" s="6" t="str">
        <f t="shared" si="5"/>
        <v>TC_E4_05_12</v>
      </c>
      <c r="R5" s="140"/>
      <c r="S5" s="6" t="str">
        <f t="shared" si="6"/>
        <v>TC_E5_05_12</v>
      </c>
      <c r="T5" s="140"/>
      <c r="U5" s="6" t="str">
        <f t="shared" si="7"/>
        <v>TC_E5_05_12</v>
      </c>
      <c r="V5" s="140"/>
      <c r="W5" s="13" t="s">
        <v>1474</v>
      </c>
      <c r="X5" s="13"/>
      <c r="Y5" s="13"/>
      <c r="Z5" s="13"/>
      <c r="AA5" s="13"/>
      <c r="AB5" s="13"/>
    </row>
    <row r="6" spans="1:28" x14ac:dyDescent="0.25">
      <c r="A6" s="142" t="b">
        <v>0</v>
      </c>
      <c r="B6" s="6">
        <f t="shared" si="1"/>
        <v>5</v>
      </c>
      <c r="C6" s="20" t="str">
        <f>_xlfn.XLOOKUP($D6,Tab_Def_Processes[Process_Name],Tab_Def_Processes[ID],,0,)</f>
        <v>05</v>
      </c>
      <c r="D6" s="138" t="s">
        <v>1210</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3</v>
      </c>
      <c r="I6" s="138" t="s">
        <v>1222</v>
      </c>
      <c r="J6" s="134" t="str">
        <f>_xlfn.XLOOKUP($I6,Tab_Def_Flows[Flow_Name],Tab_Def_Flows[Flow_ID],,0,)</f>
        <v>F_05_09</v>
      </c>
      <c r="K6" s="15" t="str">
        <f t="shared" si="2"/>
        <v>TC_E1_05_09</v>
      </c>
      <c r="L6" s="140">
        <v>0.33333333333333331</v>
      </c>
      <c r="M6" s="15" t="str">
        <f t="shared" si="3"/>
        <v>TC_E2_05_09</v>
      </c>
      <c r="N6" s="140"/>
      <c r="O6" s="15" t="str">
        <f t="shared" si="4"/>
        <v>TC_E3_05_09</v>
      </c>
      <c r="P6" s="140"/>
      <c r="Q6" s="6" t="str">
        <f t="shared" si="5"/>
        <v>TC_E4_05_09</v>
      </c>
      <c r="R6" s="140"/>
      <c r="S6" s="6" t="str">
        <f t="shared" si="6"/>
        <v>TC_E5_05_09</v>
      </c>
      <c r="T6" s="140"/>
      <c r="U6" s="6" t="str">
        <f t="shared" si="7"/>
        <v>TC_E5_05_09</v>
      </c>
      <c r="V6" s="140"/>
      <c r="W6" s="13" t="s">
        <v>1475</v>
      </c>
      <c r="X6" s="13"/>
      <c r="Y6" s="13"/>
      <c r="Z6" s="13"/>
      <c r="AA6" s="13"/>
      <c r="AB6" s="13"/>
    </row>
    <row r="7" spans="1:28" x14ac:dyDescent="0.25">
      <c r="A7" s="142" t="b">
        <v>0</v>
      </c>
      <c r="B7" s="6">
        <f t="shared" si="1"/>
        <v>6</v>
      </c>
      <c r="C7" s="20" t="str">
        <f>_xlfn.XLOOKUP($D7,Tab_Def_Processes[Process_Name],Tab_Def_Processes[ID],,0,)</f>
        <v>04</v>
      </c>
      <c r="D7" s="138" t="s">
        <v>1209</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1223</v>
      </c>
      <c r="J7" s="134" t="str">
        <f>_xlfn.XLOOKUP($I7,Tab_Def_Flows[Flow_Name],Tab_Def_Flows[Flow_ID],,0,)</f>
        <v>F_04_00</v>
      </c>
      <c r="K7" s="15" t="str">
        <f t="shared" si="2"/>
        <v>TC_E1_04_00</v>
      </c>
      <c r="L7" s="140"/>
      <c r="M7" s="15" t="str">
        <f t="shared" si="3"/>
        <v>TC_E2_04_00</v>
      </c>
      <c r="N7" s="140">
        <v>0</v>
      </c>
      <c r="O7" s="15" t="str">
        <f t="shared" si="4"/>
        <v>TC_E3_04_00</v>
      </c>
      <c r="P7" s="140">
        <v>0.45</v>
      </c>
      <c r="Q7" s="6" t="str">
        <f t="shared" si="5"/>
        <v>TC_E4_04_00</v>
      </c>
      <c r="R7" s="140">
        <v>1</v>
      </c>
      <c r="S7" s="6" t="str">
        <f t="shared" si="6"/>
        <v>TC_E5_04_00</v>
      </c>
      <c r="T7" s="140"/>
      <c r="U7" s="6" t="str">
        <f t="shared" si="7"/>
        <v>TC_E5_04_00</v>
      </c>
      <c r="V7" s="140"/>
      <c r="W7" s="13"/>
      <c r="X7" s="13"/>
      <c r="Y7" s="13"/>
      <c r="Z7" s="13"/>
      <c r="AA7" s="13"/>
      <c r="AB7" s="13"/>
    </row>
    <row r="8" spans="1:28" x14ac:dyDescent="0.25">
      <c r="A8" s="142" t="b">
        <v>0</v>
      </c>
      <c r="B8" s="6">
        <f t="shared" si="1"/>
        <v>7</v>
      </c>
      <c r="C8" s="20" t="str">
        <f>_xlfn.XLOOKUP($D8,Tab_Def_Processes[Process_Name],Tab_Def_Processes[ID],,0,)</f>
        <v>04</v>
      </c>
      <c r="D8" s="138" t="s">
        <v>1209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1224</v>
      </c>
      <c r="J8" s="134" t="str">
        <f>_xlfn.XLOOKUP($I8,Tab_Def_Flows[Flow_Name],Tab_Def_Flows[Flow_ID],,0,)</f>
        <v>F_04_01</v>
      </c>
      <c r="K8" s="15" t="str">
        <f t="shared" si="2"/>
        <v>TC_E1_04_01</v>
      </c>
      <c r="L8" s="140"/>
      <c r="M8" s="15" t="str">
        <f t="shared" si="3"/>
        <v>TC_E2_04_01</v>
      </c>
      <c r="N8" s="140">
        <v>1</v>
      </c>
      <c r="O8" s="15" t="str">
        <f t="shared" si="4"/>
        <v>TC_E3_04_01</v>
      </c>
      <c r="P8" s="140">
        <v>0.55000000000000004</v>
      </c>
      <c r="Q8" s="6" t="str">
        <f t="shared" si="5"/>
        <v>TC_E4_04_01</v>
      </c>
      <c r="R8" s="140">
        <v>0</v>
      </c>
      <c r="S8" s="6" t="str">
        <f t="shared" si="6"/>
        <v>TC_E5_04_01</v>
      </c>
      <c r="T8" s="140"/>
      <c r="U8" s="6" t="str">
        <f t="shared" si="7"/>
        <v>TC_E5_04_01</v>
      </c>
      <c r="V8" s="140"/>
      <c r="W8" s="13"/>
      <c r="X8" s="13"/>
      <c r="Y8" s="13"/>
      <c r="Z8" s="13"/>
      <c r="AA8" s="13"/>
      <c r="AB8" s="13"/>
    </row>
    <row r="9" spans="1:28" x14ac:dyDescent="0.25">
      <c r="A9" s="142" t="b">
        <v>0</v>
      </c>
      <c r="B9" s="6">
        <f t="shared" si="1"/>
        <v>8</v>
      </c>
      <c r="C9" s="20" t="str">
        <f>_xlfn.XLOOKUP($D9,Tab_Def_Processes[Process_Name],Tab_Def_Processes[ID],,0,)</f>
        <v>12</v>
      </c>
      <c r="D9" s="138" t="s">
        <v>1217</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3</v>
      </c>
      <c r="I9" s="138" t="s">
        <v>1225</v>
      </c>
      <c r="J9" s="134" t="str">
        <f>_xlfn.XLOOKUP($I9,Tab_Def_Flows[Flow_Name],Tab_Def_Flows[Flow_ID],,0,)</f>
        <v>F_12_00</v>
      </c>
      <c r="K9" s="15" t="str">
        <f t="shared" si="2"/>
        <v>TC_E1_12_00</v>
      </c>
      <c r="L9" s="140"/>
      <c r="M9" s="15" t="str">
        <f t="shared" si="3"/>
        <v>TC_E2_12_00</v>
      </c>
      <c r="N9" s="140">
        <v>0</v>
      </c>
      <c r="O9" s="15" t="str">
        <f t="shared" si="4"/>
        <v>TC_E3_12_00</v>
      </c>
      <c r="P9" s="140">
        <v>0.31197674418604654</v>
      </c>
      <c r="Q9" s="6" t="str">
        <f t="shared" si="5"/>
        <v>TC_E4_12_00</v>
      </c>
      <c r="R9" s="140">
        <v>0.37</v>
      </c>
      <c r="S9" s="6" t="str">
        <f t="shared" si="6"/>
        <v>TC_E5_12_00</v>
      </c>
      <c r="T9" s="140"/>
      <c r="U9" s="6" t="str">
        <f t="shared" si="7"/>
        <v>TC_E5_12_00</v>
      </c>
      <c r="V9" s="140"/>
      <c r="W9" s="13"/>
      <c r="X9" s="13"/>
      <c r="Y9" s="13"/>
      <c r="Z9" s="13"/>
      <c r="AA9" s="13"/>
      <c r="AB9" s="13"/>
    </row>
    <row r="10" spans="1:28" x14ac:dyDescent="0.25">
      <c r="A10" s="142" t="b">
        <v>0</v>
      </c>
      <c r="B10" s="6">
        <f t="shared" si="1"/>
        <v>9</v>
      </c>
      <c r="C10" s="20" t="str">
        <f>_xlfn.XLOOKUP($D10,Tab_Def_Processes[Process_Name],Tab_Def_Processes[ID],,0,)</f>
        <v>12</v>
      </c>
      <c r="D10" s="138" t="s">
        <v>1217</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3</v>
      </c>
      <c r="I10" s="138" t="s">
        <v>1226</v>
      </c>
      <c r="J10" s="134" t="str">
        <f>_xlfn.XLOOKUP($I10,Tab_Def_Flows[Flow_Name],Tab_Def_Flows[Flow_ID],,0,)</f>
        <v>F_12_01</v>
      </c>
      <c r="K10" s="15" t="str">
        <f t="shared" si="2"/>
        <v>TC_E1_12_01</v>
      </c>
      <c r="L10" s="140"/>
      <c r="M10" s="15" t="str">
        <f t="shared" si="3"/>
        <v>TC_E2_12_01</v>
      </c>
      <c r="N10" s="140">
        <v>1</v>
      </c>
      <c r="O10" s="15" t="str">
        <f t="shared" si="4"/>
        <v>TC_E3_12_01</v>
      </c>
      <c r="P10" s="140">
        <v>0.52000000000000013</v>
      </c>
      <c r="Q10" s="6" t="str">
        <f t="shared" si="5"/>
        <v>TC_E4_12_01</v>
      </c>
      <c r="R10" s="140">
        <v>0</v>
      </c>
      <c r="S10" s="6" t="str">
        <f t="shared" si="6"/>
        <v>TC_E5_12_01</v>
      </c>
      <c r="T10" s="140"/>
      <c r="U10" s="6" t="str">
        <f t="shared" si="7"/>
        <v>TC_E5_12_01</v>
      </c>
      <c r="V10" s="140"/>
      <c r="W10" s="13"/>
      <c r="X10" s="13"/>
      <c r="Y10" s="13"/>
      <c r="Z10" s="13"/>
      <c r="AA10" s="13"/>
      <c r="AB10" s="13"/>
    </row>
    <row r="11" spans="1:28" x14ac:dyDescent="0.25">
      <c r="A11" s="142" t="b">
        <v>0</v>
      </c>
      <c r="B11" s="6">
        <f t="shared" si="1"/>
        <v>10</v>
      </c>
      <c r="C11" s="20" t="str">
        <f>_xlfn.XLOOKUP($D11,Tab_Def_Processes[Process_Name],Tab_Def_Processes[ID],,0,)</f>
        <v>12</v>
      </c>
      <c r="D11" s="138" t="s">
        <v>1217</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3</v>
      </c>
      <c r="I11" s="138" t="s">
        <v>1227</v>
      </c>
      <c r="J11" s="134" t="str">
        <f>_xlfn.XLOOKUP($I11,Tab_Def_Flows[Flow_Name],Tab_Def_Flows[Flow_ID],,0,)</f>
        <v>F_12_07</v>
      </c>
      <c r="K11" s="15" t="str">
        <f t="shared" si="2"/>
        <v>TC_E1_12_07</v>
      </c>
      <c r="L11" s="140"/>
      <c r="M11" s="15" t="str">
        <f t="shared" si="3"/>
        <v>TC_E2_12_07</v>
      </c>
      <c r="N11" s="140">
        <v>0</v>
      </c>
      <c r="O11" s="15" t="str">
        <f t="shared" si="4"/>
        <v>TC_E3_12_07</v>
      </c>
      <c r="P11" s="140">
        <v>0.1680232558139535</v>
      </c>
      <c r="Q11" s="6" t="str">
        <f t="shared" si="5"/>
        <v>TC_E4_12_07</v>
      </c>
      <c r="R11" s="140">
        <v>0.63</v>
      </c>
      <c r="S11" s="6" t="str">
        <f t="shared" si="6"/>
        <v>TC_E5_12_07</v>
      </c>
      <c r="T11" s="140"/>
      <c r="U11" s="6" t="str">
        <f t="shared" si="7"/>
        <v>TC_E5_12_07</v>
      </c>
      <c r="V11" s="140"/>
      <c r="W11" s="13"/>
      <c r="X11" s="13"/>
      <c r="Y11" s="13"/>
      <c r="Z11" s="13"/>
      <c r="AA11" s="13"/>
      <c r="AB11" s="13"/>
    </row>
    <row r="12" spans="1:28" x14ac:dyDescent="0.25">
      <c r="A12" s="142" t="b">
        <v>0</v>
      </c>
      <c r="B12" s="6">
        <f t="shared" si="1"/>
        <v>11</v>
      </c>
      <c r="C12" s="20" t="str">
        <f>_xlfn.XLOOKUP($D12,Tab_Def_Processes[Process_Name],Tab_Def_Processes[ID],,0,)</f>
        <v>09</v>
      </c>
      <c r="D12" s="138" t="s">
        <v>1214</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3</v>
      </c>
      <c r="I12" s="138" t="s">
        <v>1228</v>
      </c>
      <c r="J12" s="134" t="str">
        <f>_xlfn.XLOOKUP($I12,Tab_Def_Flows[Flow_Name],Tab_Def_Flows[Flow_ID],,0,)</f>
        <v>F_09_00</v>
      </c>
      <c r="K12" s="15" t="str">
        <f t="shared" si="2"/>
        <v>TC_E1_09_00</v>
      </c>
      <c r="L12" s="140"/>
      <c r="M12" s="15" t="str">
        <f t="shared" si="3"/>
        <v>TC_E2_09_00</v>
      </c>
      <c r="N12" s="140">
        <v>0</v>
      </c>
      <c r="O12" s="15" t="str">
        <f t="shared" si="4"/>
        <v>TC_E3_09_00</v>
      </c>
      <c r="P12" s="140">
        <v>0.22</v>
      </c>
      <c r="Q12" s="6" t="str">
        <f t="shared" si="5"/>
        <v>TC_E4_09_00</v>
      </c>
      <c r="R12" s="140">
        <v>0.46</v>
      </c>
      <c r="S12" s="6" t="str">
        <f t="shared" si="6"/>
        <v>TC_E5_09_00</v>
      </c>
      <c r="T12" s="140"/>
      <c r="U12" s="6" t="str">
        <f t="shared" si="7"/>
        <v>TC_E5_09_00</v>
      </c>
      <c r="V12" s="140"/>
      <c r="W12" s="13"/>
      <c r="X12" s="13"/>
      <c r="Y12" s="13"/>
      <c r="Z12" s="13"/>
      <c r="AA12" s="13"/>
      <c r="AB12" s="13"/>
    </row>
    <row r="13" spans="1:28" x14ac:dyDescent="0.25">
      <c r="A13" s="142" t="b">
        <v>0</v>
      </c>
      <c r="B13" s="6">
        <f>ROW()-1</f>
        <v>12</v>
      </c>
      <c r="C13" s="20" t="str">
        <f>_xlfn.XLOOKUP($D13,Tab_Def_Processes[Process_Name],Tab_Def_Processes[ID],,0,)</f>
        <v>09</v>
      </c>
      <c r="D13" s="138" t="s">
        <v>1214</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3</v>
      </c>
      <c r="I13" s="138" t="s">
        <v>1229</v>
      </c>
      <c r="J13" s="134" t="str">
        <f>_xlfn.XLOOKUP($I13,Tab_Def_Flows[Flow_Name],Tab_Def_Flows[Flow_ID],,0,)</f>
        <v>F_09_01</v>
      </c>
      <c r="K13" s="15" t="str">
        <f t="shared" si="2"/>
        <v>TC_E1_09_01</v>
      </c>
      <c r="L13" s="140"/>
      <c r="M13" s="15" t="str">
        <f t="shared" si="3"/>
        <v>TC_E2_09_01</v>
      </c>
      <c r="N13" s="140">
        <v>0</v>
      </c>
      <c r="O13" s="15" t="str">
        <f t="shared" si="4"/>
        <v>TC_E3_09_01</v>
      </c>
      <c r="P13" s="140">
        <v>0.28000000000000003</v>
      </c>
      <c r="Q13" s="6" t="str">
        <f t="shared" si="5"/>
        <v>TC_E4_09_01</v>
      </c>
      <c r="R13" s="140">
        <v>0</v>
      </c>
      <c r="S13" s="6" t="str">
        <f t="shared" si="6"/>
        <v>TC_E5_09_01</v>
      </c>
      <c r="T13" s="140"/>
      <c r="U13" s="6" t="str">
        <f t="shared" si="7"/>
        <v>TC_E5_09_01</v>
      </c>
      <c r="V13" s="140"/>
      <c r="W13" s="13"/>
      <c r="X13" s="13"/>
      <c r="Y13" s="13"/>
      <c r="Z13" s="13"/>
      <c r="AA13" s="13"/>
      <c r="AB13" s="13"/>
    </row>
    <row r="14" spans="1:28" x14ac:dyDescent="0.25">
      <c r="A14" s="142" t="b">
        <v>0</v>
      </c>
      <c r="B14" s="6">
        <f t="shared" si="1"/>
        <v>13</v>
      </c>
      <c r="C14" s="20" t="str">
        <f>_xlfn.XLOOKUP($D14,Tab_Def_Processes[Process_Name],Tab_Def_Processes[ID],,0,)</f>
        <v>09</v>
      </c>
      <c r="D14" s="138" t="s">
        <v>1214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1230</v>
      </c>
      <c r="J14" s="134" t="str">
        <f>_xlfn.XLOOKUP($I14,Tab_Def_Flows[Flow_Name],Tab_Def_Flows[Flow_ID],,0,)</f>
        <v>F_09_10</v>
      </c>
      <c r="K14" s="15" t="str">
        <f t="shared" si="2"/>
        <v>TC_E1_09_10</v>
      </c>
      <c r="L14" s="140"/>
      <c r="M14" s="15" t="str">
        <f t="shared" si="3"/>
        <v>TC_E2_09_10</v>
      </c>
      <c r="N14" s="140">
        <v>1</v>
      </c>
      <c r="O14" s="15" t="str">
        <f t="shared" si="4"/>
        <v>TC_E3_09_10</v>
      </c>
      <c r="P14" s="140">
        <v>0.5</v>
      </c>
      <c r="Q14" s="6" t="str">
        <f t="shared" si="5"/>
        <v>TC_E4_09_10</v>
      </c>
      <c r="R14" s="140">
        <v>0.54</v>
      </c>
      <c r="S14" s="6" t="str">
        <f t="shared" si="6"/>
        <v>TC_E5_09_10</v>
      </c>
      <c r="T14" s="140"/>
      <c r="U14" s="6" t="str">
        <f t="shared" si="7"/>
        <v>TC_E5_09_10</v>
      </c>
      <c r="V14" s="140"/>
      <c r="W14" s="13"/>
      <c r="X14" s="13"/>
      <c r="Y14" s="13"/>
      <c r="Z14" s="13"/>
      <c r="AA14" s="13"/>
      <c r="AB14" s="13"/>
    </row>
    <row r="15" spans="1:28" x14ac:dyDescent="0.25">
      <c r="A15" s="142" t="b">
        <v>0</v>
      </c>
      <c r="B15" s="6">
        <f t="shared" si="1"/>
        <v>14</v>
      </c>
      <c r="C15" s="20" t="str">
        <f>_xlfn.XLOOKUP($D15,Tab_Def_Processes[Process_Name],Tab_Def_Processes[ID],,0,)</f>
        <v>02</v>
      </c>
      <c r="D15" s="138" t="s">
        <v>1207</v>
      </c>
      <c r="E15" s="6" t="str">
        <f>_xlfn.XLOOKUP($D15,Tab_Def_Processes[Process_Name],Tab_Def_Processes[Process_Logic],,0,)</f>
        <v>Splitter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1</v>
      </c>
      <c r="I15" s="138" t="s">
        <v>1231</v>
      </c>
      <c r="J15" s="134" t="str">
        <f>_xlfn.XLOOKUP($I15,Tab_Def_Flows[Flow_Name],Tab_Def_Flows[Flow_ID],,0,)</f>
        <v>F_02_03</v>
      </c>
      <c r="K15" s="15" t="str">
        <f t="shared" si="2"/>
        <v>TC_E1_02_03</v>
      </c>
      <c r="L15" s="140">
        <v>1</v>
      </c>
      <c r="M15" s="15" t="str">
        <f t="shared" si="3"/>
        <v>TC_E2_02_03</v>
      </c>
      <c r="N15" s="140"/>
      <c r="O15" s="15" t="str">
        <f t="shared" si="4"/>
        <v>TC_E3_02_03</v>
      </c>
      <c r="P15" s="140"/>
      <c r="Q15" s="6" t="str">
        <f t="shared" si="5"/>
        <v>TC_E4_02_03</v>
      </c>
      <c r="R15" s="140"/>
      <c r="S15" s="6" t="str">
        <f t="shared" si="6"/>
        <v>TC_E5_02_03</v>
      </c>
      <c r="T15" s="140"/>
      <c r="U15" s="6" t="str">
        <f t="shared" si="7"/>
        <v>TC_E5_02_03</v>
      </c>
      <c r="V15" s="140"/>
      <c r="W15" s="13"/>
      <c r="X15" s="13"/>
      <c r="Y15" s="13"/>
      <c r="Z15" s="13"/>
      <c r="AA15" s="13"/>
      <c r="AB15" s="13"/>
    </row>
    <row r="16" spans="1:28" x14ac:dyDescent="0.25">
      <c r="A16" s="142" t="b">
        <v>0</v>
      </c>
      <c r="B16" s="6">
        <f t="shared" si="1"/>
        <v>15</v>
      </c>
      <c r="C16" s="20" t="str">
        <f>_xlfn.XLOOKUP($D16,Tab_Def_Processes[Process_Name],Tab_Def_Processes[ID],,0,)</f>
        <v>06</v>
      </c>
      <c r="D16" s="138" t="s">
        <v>1211</v>
      </c>
      <c r="E16" s="6" t="str">
        <f>_xlfn.XLOOKUP($D16,Tab_Def_Processes[Process_Name],Tab_Def_Processes[Process_Logic],,0,)</f>
        <v>Splitter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1</v>
      </c>
      <c r="I16" s="138" t="s">
        <v>1232</v>
      </c>
      <c r="J16" s="134" t="str">
        <f>_xlfn.XLOOKUP($I16,Tab_Def_Flows[Flow_Name],Tab_Def_Flows[Flow_ID],,0,)</f>
        <v>F_06_08</v>
      </c>
      <c r="K16" s="15" t="str">
        <f t="shared" si="2"/>
        <v>TC_E1_06_08</v>
      </c>
      <c r="L16" s="140">
        <v>1</v>
      </c>
      <c r="M16" s="15" t="str">
        <f t="shared" si="3"/>
        <v>TC_E2_06_08</v>
      </c>
      <c r="N16" s="140"/>
      <c r="O16" s="15" t="str">
        <f t="shared" si="4"/>
        <v>TC_E3_06_08</v>
      </c>
      <c r="P16" s="140"/>
      <c r="Q16" s="6" t="str">
        <f t="shared" si="5"/>
        <v>TC_E4_06_08</v>
      </c>
      <c r="R16" s="140"/>
      <c r="S16" s="6" t="str">
        <f t="shared" si="6"/>
        <v>TC_E5_06_08</v>
      </c>
      <c r="T16" s="140"/>
      <c r="U16" s="6" t="str">
        <f t="shared" si="7"/>
        <v>TC_E5_06_08</v>
      </c>
      <c r="V16" s="140"/>
      <c r="W16" s="13"/>
      <c r="X16" s="13"/>
      <c r="Y16" s="13"/>
      <c r="Z16" s="13"/>
      <c r="AA16" s="13"/>
      <c r="AB16" s="13"/>
    </row>
    <row r="17" spans="1:28" x14ac:dyDescent="0.25">
      <c r="A17" s="142" t="b">
        <v>0</v>
      </c>
      <c r="B17" s="6">
        <f t="shared" si="1"/>
        <v>16</v>
      </c>
      <c r="C17" s="20" t="str">
        <f>_xlfn.XLOOKUP($D17,Tab_Def_Processes[Process_Name],Tab_Def_Processes[ID],,0,)</f>
        <v>13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F_13_13</v>
      </c>
      <c r="K17" s="15" t="str">
        <f t="shared" si="2"/>
        <v>TC_E1_13_13</v>
      </c>
      <c r="L17" s="140"/>
      <c r="M17" s="15" t="str">
        <f t="shared" si="3"/>
        <v>TC_E2_13_13</v>
      </c>
      <c r="N17" s="140"/>
      <c r="O17" s="15" t="str">
        <f t="shared" si="4"/>
        <v>TC_E3_13_13</v>
      </c>
      <c r="P17" s="140"/>
      <c r="Q17" s="6" t="str">
        <f t="shared" si="5"/>
        <v>TC_E4_13_13</v>
      </c>
      <c r="R17" s="140"/>
      <c r="S17" s="6" t="str">
        <f t="shared" si="6"/>
        <v>TC_E5_13_13</v>
      </c>
      <c r="T17" s="140"/>
      <c r="U17" s="6" t="str">
        <f t="shared" si="7"/>
        <v>TC_E5_13_13</v>
      </c>
      <c r="V17" s="140"/>
      <c r="W17" s="13"/>
      <c r="X17" s="13"/>
      <c r="Y17" s="13"/>
      <c r="Z17" s="13"/>
      <c r="AA17" s="13"/>
      <c r="AB17" s="13"/>
    </row>
    <row r="18" spans="1:28" x14ac:dyDescent="0.25">
      <c r="A18" s="142" t="b">
        <v>0</v>
      </c>
      <c r="B18" s="6">
        <f t="shared" si="1"/>
        <v>17</v>
      </c>
      <c r="C18" s="20" t="str">
        <f>_xlfn.XLOOKUP($D18,Tab_Def_Processes[Process_Name],Tab_Def_Processes[ID],,0,)</f>
        <v>13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F_13_13</v>
      </c>
      <c r="K18" s="15" t="str">
        <f t="shared" si="2"/>
        <v>TC_E1_13_13</v>
      </c>
      <c r="L18" s="140"/>
      <c r="M18" s="15" t="str">
        <f t="shared" si="3"/>
        <v>TC_E2_13_13</v>
      </c>
      <c r="N18" s="140"/>
      <c r="O18" s="15" t="str">
        <f t="shared" si="4"/>
        <v>TC_E3_13_13</v>
      </c>
      <c r="P18" s="140"/>
      <c r="Q18" s="6" t="str">
        <f t="shared" si="5"/>
        <v>TC_E4_13_13</v>
      </c>
      <c r="R18" s="140"/>
      <c r="S18" s="6" t="str">
        <f t="shared" si="6"/>
        <v>TC_E5_13_13</v>
      </c>
      <c r="T18" s="140"/>
      <c r="U18" s="6" t="str">
        <f t="shared" si="7"/>
        <v>TC_E5_13_13</v>
      </c>
      <c r="V18" s="140"/>
      <c r="W18" s="13"/>
      <c r="X18" s="191"/>
      <c r="Y18" s="13"/>
      <c r="Z18" s="13"/>
      <c r="AA18" s="13"/>
      <c r="AB18" s="13"/>
    </row>
    <row r="19" spans="1:28" x14ac:dyDescent="0.25">
      <c r="A19" s="142" t="b">
        <v>0</v>
      </c>
      <c r="B19" s="6">
        <f t="shared" si="1"/>
        <v>18</v>
      </c>
      <c r="C19" s="20" t="str">
        <f>_xlfn.XLOOKUP($D19,Tab_Def_Processes[Process_Name],Tab_Def_Processes[ID],,0,)</f>
        <v>13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F_13_13</v>
      </c>
      <c r="K19" s="15" t="str">
        <f t="shared" si="2"/>
        <v>TC_E1_13_13</v>
      </c>
      <c r="L19" s="140"/>
      <c r="M19" s="15" t="str">
        <f t="shared" si="3"/>
        <v>TC_E2_13_13</v>
      </c>
      <c r="N19" s="140"/>
      <c r="O19" s="15" t="str">
        <f t="shared" si="4"/>
        <v>TC_E3_13_13</v>
      </c>
      <c r="P19" s="140"/>
      <c r="Q19" s="6" t="str">
        <f t="shared" si="5"/>
        <v>TC_E4_13_13</v>
      </c>
      <c r="R19" s="140"/>
      <c r="S19" s="6" t="str">
        <f t="shared" si="6"/>
        <v>TC_E5_13_13</v>
      </c>
      <c r="T19" s="140"/>
      <c r="U19" s="6" t="str">
        <f t="shared" si="7"/>
        <v>TC_E5_13_13</v>
      </c>
      <c r="V19" s="140"/>
      <c r="W19" s="13"/>
      <c r="X19" s="13"/>
      <c r="Y19" s="13"/>
      <c r="Z19" s="13"/>
      <c r="AA19" s="13"/>
      <c r="AB19" s="13"/>
    </row>
    <row r="20" spans="1:28" x14ac:dyDescent="0.25">
      <c r="A20" s="142" t="b">
        <v>0</v>
      </c>
      <c r="B20" s="6">
        <f t="shared" si="1"/>
        <v>19</v>
      </c>
      <c r="C20" s="20" t="str">
        <f>_xlfn.XLOOKUP($D20,Tab_Def_Processes[Process_Name],Tab_Def_Processes[ID],,0,)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F_13_13</v>
      </c>
      <c r="K20" s="15" t="str">
        <f t="shared" si="2"/>
        <v>TC_E1_13_13</v>
      </c>
      <c r="L20" s="140"/>
      <c r="M20" s="15" t="str">
        <f t="shared" si="3"/>
        <v>TC_E2_13_13</v>
      </c>
      <c r="N20" s="140"/>
      <c r="O20" s="15" t="str">
        <f t="shared" si="4"/>
        <v>TC_E3_13_13</v>
      </c>
      <c r="P20" s="140"/>
      <c r="Q20" s="6" t="str">
        <f t="shared" si="5"/>
        <v>TC_E4_13_13</v>
      </c>
      <c r="R20" s="140"/>
      <c r="S20" s="6" t="str">
        <f t="shared" si="6"/>
        <v>TC_E5_13_13</v>
      </c>
      <c r="T20" s="140"/>
      <c r="U20" s="6" t="str">
        <f t="shared" si="7"/>
        <v>TC_E5_13_13</v>
      </c>
      <c r="V20" s="140"/>
      <c r="W20" s="13"/>
      <c r="X20" s="13"/>
      <c r="Y20" s="13"/>
      <c r="Z20" s="13"/>
      <c r="AA20" s="13"/>
      <c r="AB20" s="13"/>
    </row>
    <row r="21" spans="1:28" x14ac:dyDescent="0.25">
      <c r="A21" s="142" t="b">
        <v>0</v>
      </c>
      <c r="B21" s="6">
        <f t="shared" si="1"/>
        <v>20</v>
      </c>
      <c r="C21" s="20" t="str">
        <f>_xlfn.XLOOKUP($D21,Tab_Def_Processes[Process_Name],Tab_Def_Processes[ID],,0,)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F_13_13</v>
      </c>
      <c r="K21" s="15" t="str">
        <f t="shared" si="2"/>
        <v>TC_E1_13_13</v>
      </c>
      <c r="L21" s="140"/>
      <c r="M21" s="15" t="str">
        <f t="shared" si="3"/>
        <v>TC_E2_13_13</v>
      </c>
      <c r="N21" s="140"/>
      <c r="O21" s="15" t="str">
        <f t="shared" si="4"/>
        <v>TC_E3_13_13</v>
      </c>
      <c r="P21" s="140"/>
      <c r="Q21" s="6" t="str">
        <f t="shared" si="5"/>
        <v>TC_E4_13_13</v>
      </c>
      <c r="R21" s="140"/>
      <c r="S21" s="6" t="str">
        <f t="shared" si="6"/>
        <v>TC_E5_13_13</v>
      </c>
      <c r="T21" s="140"/>
      <c r="U21" s="6" t="str">
        <f t="shared" si="7"/>
        <v>TC_E5_13_13</v>
      </c>
      <c r="V21" s="140"/>
      <c r="W21" s="13"/>
      <c r="X21" s="13"/>
      <c r="Y21" s="13"/>
      <c r="Z21" s="13"/>
      <c r="AA21" s="13"/>
      <c r="AB21" s="13"/>
    </row>
    <row r="22" spans="1:28" x14ac:dyDescent="0.25">
      <c r="A22" s="142" t="b">
        <v>0</v>
      </c>
      <c r="B22" s="6">
        <f t="shared" si="1"/>
        <v>21</v>
      </c>
      <c r="C22" s="20" t="str">
        <f>_xlfn.XLOOKUP($D22,Tab_Def_Processes[Process_Name],Tab_Def_Processes[ID],,0,)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F_13_13</v>
      </c>
      <c r="K22" s="15" t="str">
        <f t="shared" si="2"/>
        <v>TC_E1_13_13</v>
      </c>
      <c r="L22" s="140"/>
      <c r="M22" s="15" t="str">
        <f t="shared" si="3"/>
        <v>TC_E2_13_13</v>
      </c>
      <c r="N22" s="140"/>
      <c r="O22" s="15" t="str">
        <f t="shared" si="4"/>
        <v>TC_E3_13_13</v>
      </c>
      <c r="P22" s="140"/>
      <c r="Q22" s="6" t="str">
        <f t="shared" si="5"/>
        <v>TC_E4_13_13</v>
      </c>
      <c r="R22" s="140"/>
      <c r="S22" s="6" t="str">
        <f t="shared" si="6"/>
        <v>TC_E5_13_13</v>
      </c>
      <c r="T22" s="140"/>
      <c r="U22" s="6" t="str">
        <f t="shared" si="7"/>
        <v>TC_E5_13_13</v>
      </c>
      <c r="V22" s="140"/>
      <c r="W22" s="13"/>
      <c r="X22" s="13"/>
      <c r="Y22" s="13"/>
      <c r="Z22" s="13"/>
      <c r="AA22" s="13"/>
      <c r="AB22" s="13"/>
    </row>
    <row r="23" spans="1:28" x14ac:dyDescent="0.25">
      <c r="A23" s="142" t="b">
        <v>0</v>
      </c>
      <c r="B23" s="6">
        <f t="shared" si="1"/>
        <v>22</v>
      </c>
      <c r="C23" s="20" t="str">
        <f>_xlfn.XLOOKUP($D23,Tab_Def_Processes[Process_Name],Tab_Def_Processes[ID],,0,)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F_13_13</v>
      </c>
      <c r="K23" s="15" t="str">
        <f t="shared" si="2"/>
        <v>TC_E1_13_13</v>
      </c>
      <c r="L23" s="140"/>
      <c r="M23" s="15" t="str">
        <f t="shared" si="3"/>
        <v>TC_E2_13_13</v>
      </c>
      <c r="N23" s="140"/>
      <c r="O23" s="15" t="str">
        <f t="shared" si="4"/>
        <v>TC_E3_13_13</v>
      </c>
      <c r="P23" s="140"/>
      <c r="Q23" s="6" t="str">
        <f t="shared" si="5"/>
        <v>TC_E4_13_13</v>
      </c>
      <c r="R23" s="140"/>
      <c r="S23" s="6" t="str">
        <f t="shared" si="6"/>
        <v>TC_E5_13_13</v>
      </c>
      <c r="T23" s="140"/>
      <c r="U23" s="6" t="str">
        <f t="shared" si="7"/>
        <v>TC_E5_13_13</v>
      </c>
      <c r="V23" s="140"/>
      <c r="W23" s="13"/>
      <c r="X23" s="13"/>
      <c r="Y23" s="13"/>
      <c r="Z23" s="13"/>
      <c r="AA23" s="13"/>
      <c r="AB23" s="13"/>
    </row>
    <row r="24" spans="1:28" x14ac:dyDescent="0.25">
      <c r="A24" s="142" t="b">
        <v>0</v>
      </c>
      <c r="B24" s="6">
        <f t="shared" si="1"/>
        <v>23</v>
      </c>
      <c r="C24" s="20" t="str">
        <f>_xlfn.XLOOKUP($D24,Tab_Def_Processes[Process_Name],Tab_Def_Processes[ID],,0,)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F_13_13</v>
      </c>
      <c r="K24" s="15" t="str">
        <f t="shared" si="2"/>
        <v>TC_E1_13_13</v>
      </c>
      <c r="L24" s="140"/>
      <c r="M24" s="15" t="str">
        <f t="shared" si="3"/>
        <v>TC_E2_13_13</v>
      </c>
      <c r="N24" s="140"/>
      <c r="O24" s="15" t="str">
        <f t="shared" si="4"/>
        <v>TC_E3_13_13</v>
      </c>
      <c r="P24" s="140"/>
      <c r="Q24" s="6" t="str">
        <f t="shared" si="5"/>
        <v>TC_E4_13_13</v>
      </c>
      <c r="R24" s="140"/>
      <c r="S24" s="6" t="str">
        <f t="shared" si="6"/>
        <v>TC_E5_13_13</v>
      </c>
      <c r="T24" s="140"/>
      <c r="U24" s="6" t="str">
        <f t="shared" si="7"/>
        <v>TC_E5_13_13</v>
      </c>
      <c r="V24" s="140"/>
      <c r="W24" s="13"/>
      <c r="X24" s="13"/>
      <c r="Y24" s="13"/>
      <c r="Z24" s="13"/>
      <c r="AA24" s="13"/>
      <c r="AB24" s="13"/>
    </row>
    <row r="25" spans="1:28" x14ac:dyDescent="0.25">
      <c r="A25" s="142" t="b">
        <v>0</v>
      </c>
      <c r="B25" s="6">
        <f>ROW()-1</f>
        <v>24</v>
      </c>
      <c r="C25" s="20" t="str">
        <f>_xlfn.XLOOKUP($D25,Tab_Def_Processes[Process_Name],Tab_Def_Processes[ID],,0,)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F_13_13</v>
      </c>
      <c r="K25" s="15" t="str">
        <f t="shared" si="2"/>
        <v>TC_E1_13_13</v>
      </c>
      <c r="L25" s="140"/>
      <c r="M25" s="15" t="str">
        <f t="shared" si="3"/>
        <v>TC_E2_13_13</v>
      </c>
      <c r="N25" s="140"/>
      <c r="O25" s="15" t="str">
        <f t="shared" si="4"/>
        <v>TC_E3_13_13</v>
      </c>
      <c r="P25" s="140"/>
      <c r="Q25" s="6" t="str">
        <f t="shared" si="5"/>
        <v>TC_E4_13_13</v>
      </c>
      <c r="R25" s="140"/>
      <c r="S25" s="6" t="str">
        <f t="shared" si="6"/>
        <v>TC_E5_13_13</v>
      </c>
      <c r="T25" s="140"/>
      <c r="U25" s="6" t="str">
        <f t="shared" si="7"/>
        <v>TC_E5_13_13</v>
      </c>
      <c r="V25" s="140"/>
      <c r="W25" s="13"/>
      <c r="X25" s="13"/>
      <c r="Y25" s="13"/>
      <c r="Z25" s="13"/>
      <c r="AA25" s="13"/>
      <c r="AB25" s="13"/>
    </row>
    <row r="26" spans="1:28" x14ac:dyDescent="0.25">
      <c r="A26" s="142" t="b">
        <v>0</v>
      </c>
      <c r="B26" s="6">
        <f t="shared" si="1"/>
        <v>25</v>
      </c>
      <c r="C26" s="20" t="str">
        <f>_xlfn.XLOOKUP($D26,Tab_Def_Processes[Process_Name],Tab_Def_Processes[ID],,0,)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F_13_13</v>
      </c>
      <c r="K26" s="15" t="str">
        <f t="shared" si="2"/>
        <v>TC_E1_13_13</v>
      </c>
      <c r="L26" s="140"/>
      <c r="M26" s="15" t="str">
        <f t="shared" si="3"/>
        <v>TC_E2_13_13</v>
      </c>
      <c r="N26" s="140"/>
      <c r="O26" s="15" t="str">
        <f t="shared" si="4"/>
        <v>TC_E3_13_13</v>
      </c>
      <c r="P26" s="140"/>
      <c r="Q26" s="6" t="str">
        <f t="shared" si="5"/>
        <v>TC_E4_13_13</v>
      </c>
      <c r="R26" s="140"/>
      <c r="S26" s="6" t="str">
        <f t="shared" si="6"/>
        <v>TC_E5_13_13</v>
      </c>
      <c r="T26" s="140"/>
      <c r="U26" s="6" t="str">
        <f t="shared" si="7"/>
        <v>TC_E5_13_13</v>
      </c>
      <c r="V26" s="140"/>
      <c r="W26" s="13"/>
      <c r="X26" s="13"/>
      <c r="Y26" s="13"/>
      <c r="Z26" s="13"/>
      <c r="AA26" s="13"/>
      <c r="AB26" s="13"/>
    </row>
    <row r="27" spans="1:28" x14ac:dyDescent="0.25">
      <c r="A27" s="142" t="b">
        <v>0</v>
      </c>
      <c r="B27" s="6">
        <f t="shared" si="1"/>
        <v>26</v>
      </c>
      <c r="C27" s="20" t="str">
        <f>_xlfn.XLOOKUP($D27,Tab_Def_Processes[Process_Name],Tab_Def_Processes[ID],,0,)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F_13_13</v>
      </c>
      <c r="K27" s="15" t="str">
        <f t="shared" si="2"/>
        <v>TC_E1_13_13</v>
      </c>
      <c r="L27" s="140"/>
      <c r="M27" s="15" t="str">
        <f t="shared" si="3"/>
        <v>TC_E2_13_13</v>
      </c>
      <c r="N27" s="140"/>
      <c r="O27" s="15" t="str">
        <f t="shared" si="4"/>
        <v>TC_E3_13_13</v>
      </c>
      <c r="P27" s="140"/>
      <c r="Q27" s="6" t="str">
        <f t="shared" si="5"/>
        <v>TC_E4_13_13</v>
      </c>
      <c r="R27" s="140"/>
      <c r="S27" s="6" t="str">
        <f t="shared" si="6"/>
        <v>TC_E5_13_13</v>
      </c>
      <c r="T27" s="140"/>
      <c r="U27" s="6" t="str">
        <f t="shared" si="7"/>
        <v>TC_E5_13_13</v>
      </c>
      <c r="V27" s="140"/>
      <c r="W27" s="13"/>
      <c r="X27" s="13"/>
      <c r="Y27" s="13"/>
      <c r="Z27" s="13"/>
      <c r="AA27" s="13"/>
      <c r="AB27" s="13"/>
    </row>
    <row r="28" spans="1:28" x14ac:dyDescent="0.25">
      <c r="A28" s="142" t="b">
        <v>0</v>
      </c>
      <c r="B28" s="6">
        <f t="shared" si="1"/>
        <v>27</v>
      </c>
      <c r="C28" s="20" t="str">
        <f>_xlfn.XLOOKUP($D28,Tab_Def_Processes[Process_Name],Tab_Def_Processes[ID],,0,)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F_13_13</v>
      </c>
      <c r="K28" s="15" t="str">
        <f t="shared" si="2"/>
        <v>TC_E1_13_13</v>
      </c>
      <c r="L28" s="140"/>
      <c r="M28" s="15" t="str">
        <f t="shared" si="3"/>
        <v>TC_E2_13_13</v>
      </c>
      <c r="N28" s="140"/>
      <c r="O28" s="15" t="str">
        <f t="shared" si="4"/>
        <v>TC_E3_13_13</v>
      </c>
      <c r="P28" s="140"/>
      <c r="Q28" s="6" t="str">
        <f t="shared" si="5"/>
        <v>TC_E4_13_13</v>
      </c>
      <c r="R28" s="140"/>
      <c r="S28" s="6" t="str">
        <f t="shared" si="6"/>
        <v>TC_E5_13_13</v>
      </c>
      <c r="T28" s="140"/>
      <c r="U28" s="6" t="str">
        <f t="shared" si="7"/>
        <v>TC_E5_13_13</v>
      </c>
      <c r="V28" s="140"/>
      <c r="W28" s="13"/>
      <c r="X28" s="13"/>
      <c r="Y28" s="13"/>
      <c r="Z28" s="13"/>
      <c r="AA28" s="13"/>
      <c r="AB28" s="13"/>
    </row>
    <row r="29" spans="1:28" x14ac:dyDescent="0.25">
      <c r="A29" s="142" t="b">
        <v>0</v>
      </c>
      <c r="B29" s="6">
        <f t="shared" si="1"/>
        <v>28</v>
      </c>
      <c r="C29" s="20" t="str">
        <f>_xlfn.XLOOKUP($D29,Tab_Def_Processes[Process_Name],Tab_Def_Processes[ID],,0,)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F_13_13</v>
      </c>
      <c r="K29" s="15" t="str">
        <f t="shared" si="2"/>
        <v>TC_E1_13_13</v>
      </c>
      <c r="L29" s="140"/>
      <c r="M29" s="15" t="str">
        <f t="shared" si="3"/>
        <v>TC_E2_13_13</v>
      </c>
      <c r="N29" s="140"/>
      <c r="O29" s="15" t="str">
        <f t="shared" si="4"/>
        <v>TC_E3_13_13</v>
      </c>
      <c r="P29" s="140"/>
      <c r="Q29" s="6" t="str">
        <f t="shared" si="5"/>
        <v>TC_E4_13_13</v>
      </c>
      <c r="R29" s="140"/>
      <c r="S29" s="6" t="str">
        <f t="shared" si="6"/>
        <v>TC_E5_13_13</v>
      </c>
      <c r="T29" s="140"/>
      <c r="U29" s="6" t="str">
        <f t="shared" si="7"/>
        <v>TC_E5_13_13</v>
      </c>
      <c r="V29" s="140"/>
      <c r="W29" s="13"/>
      <c r="X29" s="13"/>
      <c r="Y29" s="13"/>
      <c r="Z29" s="13"/>
      <c r="AA29" s="13"/>
      <c r="AB29" s="13"/>
    </row>
    <row r="30" spans="1:28" x14ac:dyDescent="0.25">
      <c r="A30" s="142" t="b">
        <v>0</v>
      </c>
      <c r="B30" s="6">
        <f t="shared" si="1"/>
        <v>29</v>
      </c>
      <c r="C30" s="20" t="str">
        <f>_xlfn.XLOOKUP($D30,Tab_Def_Processes[Process_Name],Tab_Def_Processes[ID],,0,)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F_13_13</v>
      </c>
      <c r="K30" s="15" t="str">
        <f t="shared" si="2"/>
        <v>TC_E1_13_13</v>
      </c>
      <c r="L30" s="140"/>
      <c r="M30" s="15" t="str">
        <f t="shared" si="3"/>
        <v>TC_E2_13_13</v>
      </c>
      <c r="N30" s="140"/>
      <c r="O30" s="15" t="str">
        <f t="shared" si="4"/>
        <v>TC_E3_13_13</v>
      </c>
      <c r="P30" s="140"/>
      <c r="Q30" s="6" t="str">
        <f t="shared" si="5"/>
        <v>TC_E4_13_13</v>
      </c>
      <c r="R30" s="140"/>
      <c r="S30" s="6" t="str">
        <f t="shared" si="6"/>
        <v>TC_E5_13_13</v>
      </c>
      <c r="T30" s="140"/>
      <c r="U30" s="6" t="str">
        <f t="shared" si="7"/>
        <v>TC_E5_13_13</v>
      </c>
      <c r="V30" s="140"/>
      <c r="W30" s="13"/>
      <c r="X30" s="13"/>
      <c r="Y30" s="13"/>
      <c r="Z30" s="13"/>
      <c r="AA30" s="13"/>
      <c r="AB30" s="13"/>
    </row>
    <row r="31" spans="1:28" x14ac:dyDescent="0.25">
      <c r="A31" s="142" t="b">
        <v>0</v>
      </c>
      <c r="B31" s="6">
        <f t="shared" si="1"/>
        <v>30</v>
      </c>
      <c r="C31" s="20" t="str">
        <f>_xlfn.XLOOKUP($D31,Tab_Def_Processes[Process_Name],Tab_Def_Processes[ID],,0,)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F_13_13</v>
      </c>
      <c r="K31" s="15" t="str">
        <f t="shared" si="2"/>
        <v>TC_E1_13_13</v>
      </c>
      <c r="L31" s="140"/>
      <c r="M31" s="15" t="str">
        <f t="shared" si="3"/>
        <v>TC_E2_13_13</v>
      </c>
      <c r="N31" s="140"/>
      <c r="O31" s="15" t="str">
        <f t="shared" si="4"/>
        <v>TC_E3_13_13</v>
      </c>
      <c r="P31" s="140"/>
      <c r="Q31" s="6" t="str">
        <f t="shared" si="5"/>
        <v>TC_E4_13_13</v>
      </c>
      <c r="R31" s="140"/>
      <c r="S31" s="6" t="str">
        <f t="shared" si="6"/>
        <v>TC_E5_13_13</v>
      </c>
      <c r="T31" s="140"/>
      <c r="U31" s="6" t="str">
        <f t="shared" si="7"/>
        <v>TC_E5_13_13</v>
      </c>
      <c r="V31" s="140"/>
      <c r="W31" s="13"/>
      <c r="X31" s="13"/>
      <c r="Y31" s="13"/>
      <c r="Z31" s="13"/>
      <c r="AA31" s="13"/>
      <c r="AB31" s="13"/>
    </row>
    <row r="32" spans="1:28" x14ac:dyDescent="0.25">
      <c r="A32" s="142" t="b">
        <v>0</v>
      </c>
      <c r="B32" s="6">
        <f t="shared" si="1"/>
        <v>31</v>
      </c>
      <c r="C32" s="20" t="str">
        <f>_xlfn.XLOOKUP($D32,Tab_Def_Processes[Process_Name],Tab_Def_Processes[ID],,0,)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F_13_13</v>
      </c>
      <c r="K32" s="15" t="str">
        <f t="shared" si="2"/>
        <v>TC_E1_13_13</v>
      </c>
      <c r="L32" s="140"/>
      <c r="M32" s="15" t="str">
        <f t="shared" si="3"/>
        <v>TC_E2_13_13</v>
      </c>
      <c r="N32" s="140"/>
      <c r="O32" s="15" t="str">
        <f t="shared" si="4"/>
        <v>TC_E3_13_13</v>
      </c>
      <c r="P32" s="140"/>
      <c r="Q32" s="6" t="str">
        <f t="shared" si="5"/>
        <v>TC_E4_13_13</v>
      </c>
      <c r="R32" s="140"/>
      <c r="S32" s="6" t="str">
        <f t="shared" si="6"/>
        <v>TC_E5_13_13</v>
      </c>
      <c r="T32" s="140"/>
      <c r="U32" s="6" t="str">
        <f t="shared" si="7"/>
        <v>TC_E5_13_13</v>
      </c>
      <c r="V32" s="140"/>
      <c r="W32" s="13"/>
      <c r="X32" s="13"/>
      <c r="Y32" s="13"/>
      <c r="Z32" s="13"/>
      <c r="AA32" s="13"/>
      <c r="AB32" s="13"/>
    </row>
    <row r="33" spans="1:28" x14ac:dyDescent="0.25">
      <c r="A33" s="142" t="b">
        <v>0</v>
      </c>
      <c r="B33" s="6">
        <f t="shared" si="1"/>
        <v>32</v>
      </c>
      <c r="C33" s="20" t="str">
        <f>_xlfn.XLOOKUP($D33,Tab_Def_Processes[Process_Name],Tab_Def_Processes[ID],,0,)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F_13_13</v>
      </c>
      <c r="K33" s="15" t="str">
        <f t="shared" si="2"/>
        <v>TC_E1_13_13</v>
      </c>
      <c r="L33" s="140"/>
      <c r="M33" s="15" t="str">
        <f t="shared" si="3"/>
        <v>TC_E2_13_13</v>
      </c>
      <c r="N33" s="140"/>
      <c r="O33" s="15" t="str">
        <f t="shared" si="4"/>
        <v>TC_E3_13_13</v>
      </c>
      <c r="P33" s="140"/>
      <c r="Q33" s="6" t="str">
        <f t="shared" si="5"/>
        <v>TC_E4_13_13</v>
      </c>
      <c r="R33" s="140"/>
      <c r="S33" s="6" t="str">
        <f t="shared" si="6"/>
        <v>TC_E5_13_13</v>
      </c>
      <c r="T33" s="140"/>
      <c r="U33" s="6" t="str">
        <f t="shared" si="7"/>
        <v>TC_E5_13_13</v>
      </c>
      <c r="V33" s="140"/>
      <c r="W33" s="13"/>
      <c r="X33" s="13"/>
      <c r="Y33" s="13"/>
      <c r="Z33" s="13"/>
      <c r="AA33" s="13"/>
      <c r="AB33" s="13"/>
    </row>
    <row r="34" spans="1:28" x14ac:dyDescent="0.25">
      <c r="A34" s="142" t="b">
        <v>0</v>
      </c>
      <c r="B34" s="6">
        <f t="shared" si="1"/>
        <v>33</v>
      </c>
      <c r="C34" s="20" t="str">
        <f>_xlfn.XLOOKUP($D34,Tab_Def_Processes[Process_Name],Tab_Def_Processes[ID],,0,)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F_13_13</v>
      </c>
      <c r="K34" s="15" t="str">
        <f t="shared" si="2"/>
        <v>TC_E1_13_13</v>
      </c>
      <c r="L34" s="140"/>
      <c r="M34" s="15" t="str">
        <f t="shared" si="3"/>
        <v>TC_E2_13_13</v>
      </c>
      <c r="N34" s="140"/>
      <c r="O34" s="15" t="str">
        <f t="shared" si="4"/>
        <v>TC_E3_13_13</v>
      </c>
      <c r="P34" s="140"/>
      <c r="Q34" s="6" t="str">
        <f t="shared" si="5"/>
        <v>TC_E4_13_13</v>
      </c>
      <c r="R34" s="140"/>
      <c r="S34" s="6" t="str">
        <f t="shared" si="6"/>
        <v>TC_E5_13_13</v>
      </c>
      <c r="T34" s="140"/>
      <c r="U34" s="6" t="str">
        <f t="shared" si="7"/>
        <v>TC_E5_13_13</v>
      </c>
      <c r="V34" s="140"/>
      <c r="W34" s="13"/>
      <c r="X34" s="13"/>
      <c r="Y34" s="13"/>
      <c r="Z34" s="13"/>
      <c r="AA34" s="13"/>
      <c r="AB34" s="13"/>
    </row>
    <row r="35" spans="1:28" x14ac:dyDescent="0.25">
      <c r="A35" s="142" t="b">
        <v>0</v>
      </c>
      <c r="B35" s="6">
        <f t="shared" si="1"/>
        <v>34</v>
      </c>
      <c r="C35" s="20" t="str">
        <f>_xlfn.XLOOKUP($D35,Tab_Def_Processes[Process_Name],Tab_Def_Processes[ID],,0,)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F_13_13</v>
      </c>
      <c r="K35" s="15" t="str">
        <f t="shared" si="2"/>
        <v>TC_E1_13_13</v>
      </c>
      <c r="L35" s="140"/>
      <c r="M35" s="15" t="str">
        <f t="shared" si="3"/>
        <v>TC_E2_13_13</v>
      </c>
      <c r="N35" s="140"/>
      <c r="O35" s="15" t="str">
        <f t="shared" si="4"/>
        <v>TC_E3_13_13</v>
      </c>
      <c r="P35" s="140"/>
      <c r="Q35" s="6" t="str">
        <f t="shared" si="5"/>
        <v>TC_E4_13_13</v>
      </c>
      <c r="R35" s="140"/>
      <c r="S35" s="6" t="str">
        <f t="shared" si="6"/>
        <v>TC_E5_13_13</v>
      </c>
      <c r="T35" s="140"/>
      <c r="U35" s="6" t="str">
        <f t="shared" si="7"/>
        <v>TC_E5_13_13</v>
      </c>
      <c r="V35" s="140"/>
      <c r="W35" s="13"/>
      <c r="X35" s="13"/>
      <c r="Y35" s="13"/>
      <c r="Z35" s="13"/>
      <c r="AA35" s="13"/>
      <c r="AB35" s="13"/>
    </row>
    <row r="36" spans="1:28" x14ac:dyDescent="0.25">
      <c r="A36" s="142" t="b">
        <v>0</v>
      </c>
      <c r="B36" s="6">
        <f t="shared" si="1"/>
        <v>35</v>
      </c>
      <c r="C36" s="20" t="str">
        <f>_xlfn.XLOOKUP($D36,Tab_Def_Processes[Process_Name],Tab_Def_Processes[ID],,0,)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F_13_13</v>
      </c>
      <c r="K36" s="15" t="str">
        <f t="shared" si="2"/>
        <v>TC_E1_13_13</v>
      </c>
      <c r="L36" s="140"/>
      <c r="M36" s="15" t="str">
        <f t="shared" si="3"/>
        <v>TC_E2_13_13</v>
      </c>
      <c r="N36" s="140"/>
      <c r="O36" s="15" t="str">
        <f t="shared" si="4"/>
        <v>TC_E3_13_13</v>
      </c>
      <c r="P36" s="140"/>
      <c r="Q36" s="6" t="str">
        <f t="shared" si="5"/>
        <v>TC_E4_13_13</v>
      </c>
      <c r="R36" s="140"/>
      <c r="S36" s="6" t="str">
        <f t="shared" si="6"/>
        <v>TC_E5_13_13</v>
      </c>
      <c r="T36" s="140"/>
      <c r="U36" s="6" t="str">
        <f t="shared" si="7"/>
        <v>TC_E5_13_13</v>
      </c>
      <c r="V36" s="140"/>
      <c r="W36" s="13"/>
      <c r="X36" s="13"/>
      <c r="Y36" s="13"/>
      <c r="Z36" s="13"/>
      <c r="AA36" s="13"/>
      <c r="AB36" s="13"/>
    </row>
    <row r="37" spans="1:28" x14ac:dyDescent="0.25">
      <c r="A37" s="142" t="b">
        <v>0</v>
      </c>
      <c r="B37" s="6">
        <f t="shared" si="1"/>
        <v>36</v>
      </c>
      <c r="C37" s="20" t="str">
        <f>_xlfn.XLOOKUP($D37,Tab_Def_Processes[Process_Name],Tab_Def_Processes[ID],,0,)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F_13_13</v>
      </c>
      <c r="K37" s="15" t="str">
        <f t="shared" si="2"/>
        <v>TC_E1_13_13</v>
      </c>
      <c r="L37" s="140"/>
      <c r="M37" s="15" t="str">
        <f t="shared" si="3"/>
        <v>TC_E2_13_13</v>
      </c>
      <c r="N37" s="140"/>
      <c r="O37" s="15" t="str">
        <f t="shared" si="4"/>
        <v>TC_E3_13_13</v>
      </c>
      <c r="P37" s="140"/>
      <c r="Q37" s="6" t="str">
        <f t="shared" si="5"/>
        <v>TC_E4_13_13</v>
      </c>
      <c r="R37" s="140"/>
      <c r="S37" s="6" t="str">
        <f t="shared" si="6"/>
        <v>TC_E5_13_13</v>
      </c>
      <c r="T37" s="140"/>
      <c r="U37" s="6" t="str">
        <f t="shared" si="7"/>
        <v>TC_E5_13_13</v>
      </c>
      <c r="V37" s="140"/>
      <c r="W37" s="13"/>
      <c r="X37" s="13"/>
      <c r="Y37" s="13"/>
      <c r="Z37" s="13"/>
      <c r="AA37" s="13"/>
      <c r="AB37" s="13"/>
    </row>
    <row r="38" spans="1:28" x14ac:dyDescent="0.25">
      <c r="A38" s="142" t="b">
        <v>0</v>
      </c>
      <c r="B38" s="6">
        <f t="shared" si="1"/>
        <v>37</v>
      </c>
      <c r="C38" s="20" t="str">
        <f>_xlfn.XLOOKUP($D38,Tab_Def_Processes[Process_Name],Tab_Def_Processes[ID],,0,)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F_13_13</v>
      </c>
      <c r="K38" s="15" t="str">
        <f t="shared" si="2"/>
        <v>TC_E1_13_13</v>
      </c>
      <c r="L38" s="140"/>
      <c r="M38" s="15" t="str">
        <f t="shared" si="3"/>
        <v>TC_E2_13_13</v>
      </c>
      <c r="N38" s="140"/>
      <c r="O38" s="15" t="str">
        <f t="shared" si="4"/>
        <v>TC_E3_13_13</v>
      </c>
      <c r="P38" s="140"/>
      <c r="Q38" s="6" t="str">
        <f t="shared" si="5"/>
        <v>TC_E4_13_13</v>
      </c>
      <c r="R38" s="140"/>
      <c r="S38" s="6" t="str">
        <f t="shared" si="6"/>
        <v>TC_E5_13_13</v>
      </c>
      <c r="T38" s="140"/>
      <c r="U38" s="6" t="str">
        <f t="shared" si="7"/>
        <v>TC_E5_13_13</v>
      </c>
      <c r="V38" s="140"/>
      <c r="W38" s="13"/>
      <c r="X38" s="13"/>
      <c r="Y38" s="13"/>
      <c r="Z38" s="13"/>
      <c r="AA38" s="13"/>
      <c r="AB38" s="13"/>
    </row>
    <row r="39" spans="1:28" x14ac:dyDescent="0.25">
      <c r="A39" s="142" t="b">
        <v>0</v>
      </c>
      <c r="B39" s="6">
        <f t="shared" si="1"/>
        <v>38</v>
      </c>
      <c r="C39" s="20" t="str">
        <f>_xlfn.XLOOKUP($D39,Tab_Def_Processes[Process_Name],Tab_Def_Processes[ID],,0,)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F_13_13</v>
      </c>
      <c r="K39" s="15" t="str">
        <f t="shared" si="2"/>
        <v>TC_E1_13_13</v>
      </c>
      <c r="L39" s="140"/>
      <c r="M39" s="15" t="str">
        <f t="shared" si="3"/>
        <v>TC_E2_13_13</v>
      </c>
      <c r="N39" s="140"/>
      <c r="O39" s="15" t="str">
        <f t="shared" si="4"/>
        <v>TC_E3_13_13</v>
      </c>
      <c r="P39" s="140"/>
      <c r="Q39" s="6" t="str">
        <f t="shared" si="5"/>
        <v>TC_E4_13_13</v>
      </c>
      <c r="R39" s="140"/>
      <c r="S39" s="6" t="str">
        <f t="shared" si="6"/>
        <v>TC_E5_13_13</v>
      </c>
      <c r="T39" s="140"/>
      <c r="U39" s="6" t="str">
        <f t="shared" si="7"/>
        <v>TC_E5_13_13</v>
      </c>
      <c r="V39" s="140"/>
      <c r="W39" s="13"/>
      <c r="X39" s="13"/>
      <c r="Y39" s="13"/>
      <c r="Z39" s="13"/>
      <c r="AA39" s="13"/>
      <c r="AB39" s="13"/>
    </row>
    <row r="40" spans="1:28" x14ac:dyDescent="0.25">
      <c r="A40" s="142" t="b">
        <v>0</v>
      </c>
      <c r="B40" s="6">
        <f t="shared" si="1"/>
        <v>39</v>
      </c>
      <c r="C40" s="20" t="str">
        <f>_xlfn.XLOOKUP($D40,Tab_Def_Processes[Process_Name],Tab_Def_Processes[ID],,0,)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F_13_13</v>
      </c>
      <c r="K40" s="15" t="str">
        <f t="shared" si="2"/>
        <v>TC_E1_13_13</v>
      </c>
      <c r="L40" s="140"/>
      <c r="M40" s="15" t="str">
        <f t="shared" si="3"/>
        <v>TC_E2_13_13</v>
      </c>
      <c r="N40" s="140"/>
      <c r="O40" s="15" t="str">
        <f t="shared" si="4"/>
        <v>TC_E3_13_13</v>
      </c>
      <c r="P40" s="140"/>
      <c r="Q40" s="6" t="str">
        <f t="shared" si="5"/>
        <v>TC_E4_13_13</v>
      </c>
      <c r="R40" s="140"/>
      <c r="S40" s="6" t="str">
        <f t="shared" si="6"/>
        <v>TC_E5_13_13</v>
      </c>
      <c r="T40" s="140"/>
      <c r="U40" s="6" t="str">
        <f t="shared" si="7"/>
        <v>TC_E5_13_13</v>
      </c>
      <c r="V40" s="140"/>
      <c r="W40" s="13"/>
      <c r="X40" s="13"/>
      <c r="Y40" s="13"/>
      <c r="Z40" s="13"/>
      <c r="AA40" s="13"/>
      <c r="AB40" s="13"/>
    </row>
    <row r="41" spans="1:28" x14ac:dyDescent="0.25">
      <c r="A41" s="142" t="b">
        <v>0</v>
      </c>
      <c r="B41" s="6">
        <f t="shared" si="1"/>
        <v>40</v>
      </c>
      <c r="C41" s="20" t="str">
        <f>_xlfn.XLOOKUP($D41,Tab_Def_Processes[Process_Name],Tab_Def_Processes[ID],,0,)</f>
        <v>13</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F_13_13</v>
      </c>
      <c r="K41" s="15" t="str">
        <f t="shared" si="2"/>
        <v>TC_E1_13_13</v>
      </c>
      <c r="L41" s="140"/>
      <c r="M41" s="15" t="str">
        <f t="shared" si="3"/>
        <v>TC_E2_13_13</v>
      </c>
      <c r="N41" s="140"/>
      <c r="O41" s="15" t="str">
        <f t="shared" si="4"/>
        <v>TC_E3_13_13</v>
      </c>
      <c r="P41" s="140"/>
      <c r="Q41" s="6" t="str">
        <f t="shared" si="5"/>
        <v>TC_E4_13_13</v>
      </c>
      <c r="R41" s="140"/>
      <c r="S41" s="6" t="str">
        <f t="shared" si="6"/>
        <v>TC_E5_13_13</v>
      </c>
      <c r="T41" s="140"/>
      <c r="U41" s="6" t="str">
        <f t="shared" si="7"/>
        <v>TC_E5_13_13</v>
      </c>
      <c r="V41" s="140"/>
      <c r="W41" s="13"/>
      <c r="X41" s="13"/>
      <c r="Y41" s="13"/>
      <c r="Z41" s="13"/>
      <c r="AA41" s="13"/>
      <c r="AB41" s="13"/>
    </row>
    <row r="42" spans="1:28" x14ac:dyDescent="0.25">
      <c r="A42" s="142" t="b">
        <v>0</v>
      </c>
      <c r="B42" s="6">
        <f t="shared" si="1"/>
        <v>41</v>
      </c>
      <c r="C42" s="20" t="str">
        <f>_xlfn.XLOOKUP($D42,Tab_Def_Processes[Process_Name],Tab_Def_Processes[ID],,0,)</f>
        <v>13</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F_13_13</v>
      </c>
      <c r="K42" s="15" t="str">
        <f t="shared" si="2"/>
        <v>TC_E1_13_13</v>
      </c>
      <c r="L42" s="140"/>
      <c r="M42" s="15" t="str">
        <f t="shared" si="3"/>
        <v>TC_E2_13_13</v>
      </c>
      <c r="N42" s="140"/>
      <c r="O42" s="15" t="str">
        <f t="shared" si="4"/>
        <v>TC_E3_13_13</v>
      </c>
      <c r="P42" s="140"/>
      <c r="Q42" s="6" t="str">
        <f t="shared" si="5"/>
        <v>TC_E4_13_13</v>
      </c>
      <c r="R42" s="140"/>
      <c r="S42" s="6" t="str">
        <f t="shared" si="6"/>
        <v>TC_E5_13_13</v>
      </c>
      <c r="T42" s="140"/>
      <c r="U42" s="6" t="str">
        <f t="shared" si="7"/>
        <v>TC_E5_13_13</v>
      </c>
      <c r="V42" s="140"/>
      <c r="W42" s="13"/>
      <c r="X42" s="13"/>
      <c r="Y42" s="13"/>
      <c r="Z42" s="13"/>
      <c r="AA42" s="13"/>
      <c r="AB42" s="13"/>
    </row>
    <row r="43" spans="1:28" x14ac:dyDescent="0.25">
      <c r="A43" s="142" t="b">
        <v>0</v>
      </c>
      <c r="B43" s="6">
        <f t="shared" si="1"/>
        <v>42</v>
      </c>
      <c r="C43" s="20" t="str">
        <f>_xlfn.XLOOKUP($D43,Tab_Def_Processes[Process_Name],Tab_Def_Processes[ID],,0,)</f>
        <v>13</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F_13_13</v>
      </c>
      <c r="K43" s="15" t="str">
        <f t="shared" si="2"/>
        <v>TC_E1_13_13</v>
      </c>
      <c r="L43" s="140"/>
      <c r="M43" s="15" t="str">
        <f t="shared" si="3"/>
        <v>TC_E2_13_13</v>
      </c>
      <c r="N43" s="140"/>
      <c r="O43" s="15" t="str">
        <f t="shared" si="4"/>
        <v>TC_E3_13_13</v>
      </c>
      <c r="P43" s="140"/>
      <c r="Q43" s="6" t="str">
        <f t="shared" si="5"/>
        <v>TC_E4_13_13</v>
      </c>
      <c r="R43" s="140"/>
      <c r="S43" s="6" t="str">
        <f t="shared" si="6"/>
        <v>TC_E5_13_13</v>
      </c>
      <c r="T43" s="140"/>
      <c r="U43" s="6" t="str">
        <f t="shared" si="7"/>
        <v>TC_E5_13_13</v>
      </c>
      <c r="V43" s="140"/>
      <c r="W43" s="13"/>
      <c r="X43" s="13"/>
      <c r="Y43" s="13"/>
      <c r="Z43" s="13"/>
      <c r="AA43" s="13"/>
      <c r="AB43" s="13"/>
    </row>
    <row r="44" spans="1:28" x14ac:dyDescent="0.25">
      <c r="A44" s="142" t="b">
        <v>0</v>
      </c>
      <c r="B44" s="6">
        <f t="shared" si="1"/>
        <v>43</v>
      </c>
      <c r="C44" s="20" t="str">
        <f>_xlfn.XLOOKUP($D44,Tab_Def_Processes[Process_Name],Tab_Def_Processes[ID],,0,)</f>
        <v>13</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F_13_13</v>
      </c>
      <c r="K44" s="15" t="str">
        <f t="shared" si="2"/>
        <v>TC_E1_13_13</v>
      </c>
      <c r="L44" s="140"/>
      <c r="M44" s="15" t="str">
        <f t="shared" si="3"/>
        <v>TC_E2_13_13</v>
      </c>
      <c r="N44" s="140"/>
      <c r="O44" s="15" t="str">
        <f t="shared" si="4"/>
        <v>TC_E3_13_13</v>
      </c>
      <c r="P44" s="140"/>
      <c r="Q44" s="6" t="str">
        <f t="shared" si="5"/>
        <v>TC_E4_13_13</v>
      </c>
      <c r="R44" s="140"/>
      <c r="S44" s="6" t="str">
        <f t="shared" si="6"/>
        <v>TC_E5_13_13</v>
      </c>
      <c r="T44" s="140"/>
      <c r="U44" s="6" t="str">
        <f t="shared" si="7"/>
        <v>TC_E5_13_13</v>
      </c>
      <c r="V44" s="140"/>
      <c r="W44" s="13"/>
      <c r="X44" s="13"/>
      <c r="Y44" s="13"/>
      <c r="Z44" s="13"/>
      <c r="AA44" s="13"/>
      <c r="AB44" s="13"/>
    </row>
    <row r="45" spans="1:28" x14ac:dyDescent="0.25">
      <c r="A45" s="142" t="b">
        <v>0</v>
      </c>
      <c r="B45" s="6">
        <f t="shared" si="1"/>
        <v>44</v>
      </c>
      <c r="C45" s="20" t="str">
        <f>_xlfn.XLOOKUP($D45,Tab_Def_Processes[Process_Name],Tab_Def_Processes[ID],,0,)</f>
        <v>13</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F_13_13</v>
      </c>
      <c r="K45" s="15" t="str">
        <f t="shared" si="2"/>
        <v>TC_E1_13_13</v>
      </c>
      <c r="L45" s="140"/>
      <c r="M45" s="15" t="str">
        <f t="shared" si="3"/>
        <v>TC_E2_13_13</v>
      </c>
      <c r="N45" s="140"/>
      <c r="O45" s="15" t="str">
        <f t="shared" si="4"/>
        <v>TC_E3_13_13</v>
      </c>
      <c r="P45" s="140"/>
      <c r="Q45" s="6" t="str">
        <f t="shared" si="5"/>
        <v>TC_E4_13_13</v>
      </c>
      <c r="R45" s="140"/>
      <c r="S45" s="6" t="str">
        <f t="shared" si="6"/>
        <v>TC_E5_13_13</v>
      </c>
      <c r="T45" s="140"/>
      <c r="U45" s="6" t="str">
        <f t="shared" si="7"/>
        <v>TC_E5_13_13</v>
      </c>
      <c r="V45" s="140"/>
      <c r="W45" s="13"/>
      <c r="X45" s="13"/>
      <c r="Y45" s="13"/>
      <c r="Z45" s="13"/>
      <c r="AA45" s="13"/>
      <c r="AB45" s="13"/>
    </row>
    <row r="46" spans="1:28" x14ac:dyDescent="0.25">
      <c r="A46" s="142" t="b">
        <v>0</v>
      </c>
      <c r="B46" s="6">
        <f t="shared" si="1"/>
        <v>45</v>
      </c>
      <c r="C46" s="20" t="str">
        <f>_xlfn.XLOOKUP($D46,Tab_Def_Processes[Process_Name],Tab_Def_Processes[ID],,0,)</f>
        <v>13</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F_13_13</v>
      </c>
      <c r="K46" s="15" t="str">
        <f t="shared" si="2"/>
        <v>TC_E1_13_13</v>
      </c>
      <c r="L46" s="140"/>
      <c r="M46" s="15" t="str">
        <f t="shared" si="3"/>
        <v>TC_E2_13_13</v>
      </c>
      <c r="N46" s="140"/>
      <c r="O46" s="15" t="str">
        <f t="shared" si="4"/>
        <v>TC_E3_13_13</v>
      </c>
      <c r="P46" s="140"/>
      <c r="Q46" s="6" t="str">
        <f t="shared" si="5"/>
        <v>TC_E4_13_13</v>
      </c>
      <c r="R46" s="140"/>
      <c r="S46" s="6" t="str">
        <f t="shared" si="6"/>
        <v>TC_E5_13_13</v>
      </c>
      <c r="T46" s="140"/>
      <c r="U46" s="6" t="str">
        <f t="shared" si="7"/>
        <v>TC_E5_13_13</v>
      </c>
      <c r="V46" s="140"/>
      <c r="W46" s="13"/>
      <c r="X46" s="13"/>
      <c r="Y46" s="13"/>
      <c r="Z46" s="13"/>
      <c r="AA46" s="13"/>
      <c r="AB46" s="13"/>
    </row>
    <row r="47" spans="1:28" x14ac:dyDescent="0.25">
      <c r="A47" s="142" t="b">
        <v>0</v>
      </c>
      <c r="B47" s="6">
        <f t="shared" si="1"/>
        <v>46</v>
      </c>
      <c r="C47" s="20" t="str">
        <f>_xlfn.XLOOKUP($D47,Tab_Def_Processes[Process_Name],Tab_Def_Processes[ID],,0,)</f>
        <v>13</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F_13_13</v>
      </c>
      <c r="K47" s="15" t="str">
        <f t="shared" si="2"/>
        <v>TC_E1_13_13</v>
      </c>
      <c r="L47" s="140"/>
      <c r="M47" s="15" t="str">
        <f t="shared" si="3"/>
        <v>TC_E2_13_13</v>
      </c>
      <c r="N47" s="140"/>
      <c r="O47" s="15" t="str">
        <f t="shared" si="4"/>
        <v>TC_E3_13_13</v>
      </c>
      <c r="P47" s="140"/>
      <c r="Q47" s="6" t="str">
        <f t="shared" si="5"/>
        <v>TC_E4_13_13</v>
      </c>
      <c r="R47" s="140"/>
      <c r="S47" s="6" t="str">
        <f t="shared" si="6"/>
        <v>TC_E5_13_13</v>
      </c>
      <c r="T47" s="140"/>
      <c r="U47" s="6" t="str">
        <f t="shared" si="7"/>
        <v>TC_E5_13_13</v>
      </c>
      <c r="V47" s="140"/>
      <c r="W47" s="13"/>
      <c r="X47" s="13"/>
      <c r="Y47" s="13"/>
      <c r="Z47" s="13"/>
      <c r="AA47" s="13"/>
      <c r="AB47" s="13"/>
    </row>
    <row r="48" spans="1:28" x14ac:dyDescent="0.25">
      <c r="A48" s="142" t="b">
        <v>0</v>
      </c>
      <c r="B48" s="6">
        <f t="shared" si="1"/>
        <v>47</v>
      </c>
      <c r="C48" s="20" t="str">
        <f>_xlfn.XLOOKUP($D48,Tab_Def_Processes[Process_Name],Tab_Def_Processes[ID],,0,)</f>
        <v>13</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F_13_13</v>
      </c>
      <c r="K48" s="15" t="str">
        <f t="shared" si="2"/>
        <v>TC_E1_13_13</v>
      </c>
      <c r="L48" s="140"/>
      <c r="M48" s="15" t="str">
        <f t="shared" si="3"/>
        <v>TC_E2_13_13</v>
      </c>
      <c r="N48" s="140"/>
      <c r="O48" s="15" t="str">
        <f t="shared" si="4"/>
        <v>TC_E3_13_13</v>
      </c>
      <c r="P48" s="140"/>
      <c r="Q48" s="6" t="str">
        <f t="shared" si="5"/>
        <v>TC_E4_13_13</v>
      </c>
      <c r="R48" s="140"/>
      <c r="S48" s="6" t="str">
        <f t="shared" si="6"/>
        <v>TC_E5_13_13</v>
      </c>
      <c r="T48" s="140"/>
      <c r="U48" s="6" t="str">
        <f t="shared" si="7"/>
        <v>TC_E5_13_13</v>
      </c>
      <c r="V48" s="140"/>
      <c r="W48" s="13"/>
      <c r="X48" s="13"/>
      <c r="Y48" s="13"/>
      <c r="Z48" s="13"/>
      <c r="AA48" s="13"/>
      <c r="AB48" s="13"/>
    </row>
    <row r="49" spans="1:28" x14ac:dyDescent="0.25">
      <c r="A49" s="142" t="b">
        <v>0</v>
      </c>
      <c r="B49" s="6">
        <f t="shared" si="1"/>
        <v>48</v>
      </c>
      <c r="C49" s="20" t="str">
        <f>_xlfn.XLOOKUP($D49,Tab_Def_Processes[Process_Name],Tab_Def_Processes[ID],,0,)</f>
        <v>13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F_13_13</v>
      </c>
      <c r="K49" s="15" t="str">
        <f t="shared" si="2"/>
        <v>TC_E1_13_13</v>
      </c>
      <c r="L49" s="140"/>
      <c r="M49" s="15" t="str">
        <f t="shared" si="3"/>
        <v>TC_E2_13_13</v>
      </c>
      <c r="N49" s="140"/>
      <c r="O49" s="15" t="str">
        <f t="shared" si="4"/>
        <v>TC_E3_13_13</v>
      </c>
      <c r="P49" s="140"/>
      <c r="Q49" s="6" t="str">
        <f t="shared" si="5"/>
        <v>TC_E4_13_13</v>
      </c>
      <c r="R49" s="140"/>
      <c r="S49" s="6" t="str">
        <f t="shared" si="6"/>
        <v>TC_E5_13_13</v>
      </c>
      <c r="T49" s="140"/>
      <c r="U49" s="6" t="str">
        <f t="shared" si="7"/>
        <v>TC_E5_13_13</v>
      </c>
      <c r="V49" s="140"/>
      <c r="W49" s="13"/>
      <c r="X49" s="13"/>
      <c r="Y49" s="13"/>
      <c r="Z49" s="13"/>
      <c r="AA49" s="13"/>
      <c r="AB49" s="13"/>
    </row>
    <row r="50" spans="1:28" x14ac:dyDescent="0.25">
      <c r="A50" s="142" t="b">
        <v>0</v>
      </c>
      <c r="B50" s="6">
        <f t="shared" si="1"/>
        <v>49</v>
      </c>
      <c r="C50" s="20" t="str">
        <f>_xlfn.XLOOKUP($D50,Tab_Def_Processes[Process_Name],Tab_Def_Processes[ID],,0,)</f>
        <v>13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F_13_13</v>
      </c>
      <c r="K50" s="15" t="str">
        <f t="shared" si="2"/>
        <v>TC_E1_13_13</v>
      </c>
      <c r="L50" s="140"/>
      <c r="M50" s="15" t="str">
        <f t="shared" si="3"/>
        <v>TC_E2_13_13</v>
      </c>
      <c r="N50" s="140"/>
      <c r="O50" s="15" t="str">
        <f t="shared" si="4"/>
        <v>TC_E3_13_13</v>
      </c>
      <c r="P50" s="140"/>
      <c r="Q50" s="6" t="str">
        <f t="shared" si="5"/>
        <v>TC_E4_13_13</v>
      </c>
      <c r="R50" s="140"/>
      <c r="S50" s="6" t="str">
        <f t="shared" si="6"/>
        <v>TC_E5_13_13</v>
      </c>
      <c r="T50" s="140"/>
      <c r="U50" s="6" t="str">
        <f t="shared" si="7"/>
        <v>TC_E5_13_13</v>
      </c>
      <c r="V50" s="140"/>
      <c r="W50" s="13"/>
      <c r="X50" s="13"/>
      <c r="Y50" s="13"/>
      <c r="Z50" s="13"/>
      <c r="AA50" s="13"/>
      <c r="AB50" s="13"/>
    </row>
    <row r="51" spans="1:28" x14ac:dyDescent="0.25">
      <c r="A51" s="142" t="b">
        <v>0</v>
      </c>
      <c r="B51" s="6">
        <f t="shared" si="1"/>
        <v>50</v>
      </c>
      <c r="C51" s="20" t="str">
        <f>_xlfn.XLOOKUP($D51,Tab_Def_Processes[Process_Name],Tab_Def_Processes[ID],,0,)</f>
        <v>13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F_13_13</v>
      </c>
      <c r="K51" s="15" t="str">
        <f t="shared" si="2"/>
        <v>TC_E1_13_13</v>
      </c>
      <c r="L51" s="140"/>
      <c r="M51" s="15" t="str">
        <f t="shared" si="3"/>
        <v>TC_E2_13_13</v>
      </c>
      <c r="N51" s="140"/>
      <c r="O51" s="15" t="str">
        <f t="shared" si="4"/>
        <v>TC_E3_13_13</v>
      </c>
      <c r="P51" s="140"/>
      <c r="Q51" s="6" t="str">
        <f t="shared" si="5"/>
        <v>TC_E4_13_13</v>
      </c>
      <c r="R51" s="140"/>
      <c r="S51" s="6" t="str">
        <f t="shared" si="6"/>
        <v>TC_E5_13_13</v>
      </c>
      <c r="T51" s="140"/>
      <c r="U51" s="6" t="str">
        <f t="shared" si="7"/>
        <v>TC_E5_13_13</v>
      </c>
      <c r="V51" s="140"/>
      <c r="W51" s="13"/>
      <c r="X51" s="13"/>
      <c r="Y51" s="13"/>
      <c r="Z51" s="13"/>
      <c r="AA51" s="13"/>
      <c r="AB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5" topLeftCell="N1" activePane="topRight" state="frozen"/>
      <selection pane="topRight" activeCell="Z11" sqref="Z11"/>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426</v>
      </c>
      <c r="E1" s="141" t="s">
        <v>164</v>
      </c>
      <c r="F1" s="141" t="s">
        <v>391</v>
      </c>
      <c r="G1" s="141" t="s">
        <v>454</v>
      </c>
      <c r="H1" s="141" t="s">
        <v>455</v>
      </c>
      <c r="I1" s="141" t="s">
        <v>484</v>
      </c>
      <c r="J1" s="141" t="s">
        <v>11</v>
      </c>
      <c r="K1" s="141" t="s">
        <v>0</v>
      </c>
      <c r="L1" s="141" t="s">
        <v>1168</v>
      </c>
      <c r="M1" s="141" t="s">
        <v>1170</v>
      </c>
      <c r="N1" s="141" t="s">
        <v>1169</v>
      </c>
      <c r="O1" s="141" t="s">
        <v>1171</v>
      </c>
      <c r="P1" s="141" t="s">
        <v>1172</v>
      </c>
      <c r="Q1" s="141" t="s">
        <v>1173</v>
      </c>
      <c r="R1" s="141" t="s">
        <v>1174</v>
      </c>
      <c r="S1" s="141" t="s">
        <v>1175</v>
      </c>
      <c r="T1" s="141" t="s">
        <v>1176</v>
      </c>
      <c r="U1" s="141" t="s">
        <v>1177</v>
      </c>
      <c r="V1" s="141" t="s">
        <v>1200</v>
      </c>
      <c r="W1" s="141" t="s">
        <v>1201</v>
      </c>
      <c r="X1" s="141" t="s">
        <v>485</v>
      </c>
      <c r="Y1" s="141" t="s">
        <v>461</v>
      </c>
      <c r="Z1" s="141" t="s">
        <v>486</v>
      </c>
      <c r="AA1" s="141" t="s">
        <v>487</v>
      </c>
      <c r="AB1" s="141" t="s">
        <v>488</v>
      </c>
    </row>
    <row r="2" spans="1:28" x14ac:dyDescent="0.25">
      <c r="A2" s="142" t="b">
        <v>0</v>
      </c>
      <c r="B2" s="6">
        <f t="shared" ref="B2:B31"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T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E1:E149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426</v>
      </c>
      <c r="F1" s="141" t="s">
        <v>391</v>
      </c>
      <c r="G1" s="141" t="s">
        <v>454</v>
      </c>
      <c r="H1" s="141" t="s">
        <v>455</v>
      </c>
      <c r="I1" s="141" t="s">
        <v>484</v>
      </c>
      <c r="J1" s="141" t="s">
        <v>1050</v>
      </c>
      <c r="K1" s="141" t="s">
        <v>1049</v>
      </c>
      <c r="L1" s="141" t="s">
        <v>1054</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426</v>
      </c>
      <c r="E1" s="141" t="s">
        <v>391</v>
      </c>
      <c r="F1" s="141" t="s">
        <v>454</v>
      </c>
      <c r="G1" s="141" t="s">
        <v>455</v>
      </c>
      <c r="H1" s="141" t="s">
        <v>484</v>
      </c>
      <c r="I1" s="141" t="s">
        <v>864</v>
      </c>
      <c r="J1" s="141" t="s">
        <v>440</v>
      </c>
      <c r="K1" s="141" t="s">
        <v>892</v>
      </c>
      <c r="L1" s="141" t="s">
        <v>442</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Q51"/>
  <sheetViews>
    <sheetView topLeftCell="F22" zoomScale="115" zoomScaleNormal="115" workbookViewId="0">
      <selection activeCell="L28" sqref="L2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 min="12" max="12" width="53.42578125" customWidth="1"/>
    <col min="13" max="13" width="16.140625" customWidth="1"/>
    <col min="14" max="14" width="20" customWidth="1"/>
    <col min="15" max="15" width="17" customWidth="1"/>
    <col min="16" max="16" width="23.28515625" customWidth="1"/>
    <col min="17" max="17" width="16.7109375" customWidth="1"/>
  </cols>
  <sheetData>
    <row r="1" spans="1:17" x14ac:dyDescent="0.25">
      <c r="A1" s="141" t="s">
        <v>24</v>
      </c>
      <c r="B1" s="141" t="s">
        <v>7</v>
      </c>
      <c r="C1" s="141" t="s">
        <v>23</v>
      </c>
      <c r="D1" s="141" t="s">
        <v>426</v>
      </c>
      <c r="E1" s="141" t="s">
        <v>391</v>
      </c>
      <c r="F1" s="141" t="s">
        <v>454</v>
      </c>
      <c r="G1" s="141" t="s">
        <v>455</v>
      </c>
      <c r="H1" s="141" t="s">
        <v>484</v>
      </c>
      <c r="I1" s="141" t="s">
        <v>893</v>
      </c>
      <c r="J1" s="141" t="s">
        <v>891</v>
      </c>
      <c r="K1" s="141" t="s">
        <v>890</v>
      </c>
      <c r="L1" s="141" t="s">
        <v>1473</v>
      </c>
      <c r="M1" s="141" t="s">
        <v>485</v>
      </c>
      <c r="N1" s="141" t="s">
        <v>1489</v>
      </c>
      <c r="O1" s="141" t="s">
        <v>486</v>
      </c>
      <c r="P1" s="141" t="s">
        <v>487</v>
      </c>
      <c r="Q1" s="141" t="s">
        <v>488</v>
      </c>
    </row>
    <row r="2" spans="1:17" x14ac:dyDescent="0.25">
      <c r="A2" s="142" t="b">
        <v>0</v>
      </c>
      <c r="B2" s="6">
        <f t="shared" ref="B2:B41" si="0">ROW()-1</f>
        <v>1</v>
      </c>
      <c r="C2" s="6" t="str">
        <f>_xlfn.XLOOKUP($D2,Tab_Def_Processes[Process_Name],Tab_Def_Processes[Process_ID],,0,)</f>
        <v>08</v>
      </c>
      <c r="D2" s="138" t="s">
        <v>1213</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P08_Inflow_fraction_f (Labile pool)</v>
      </c>
      <c r="J2" s="138" t="s">
        <v>203</v>
      </c>
      <c r="K2" s="7">
        <v>4.8000000000000001E-2</v>
      </c>
      <c r="L2" s="13"/>
      <c r="M2" s="13" t="s">
        <v>1488</v>
      </c>
      <c r="N2" s="13" t="s">
        <v>1490</v>
      </c>
      <c r="O2" s="13"/>
      <c r="P2" s="13"/>
      <c r="Q2" s="13"/>
    </row>
    <row r="3" spans="1:17" x14ac:dyDescent="0.25">
      <c r="A3" s="142" t="b">
        <v>0</v>
      </c>
      <c r="B3" s="6">
        <f t="shared" si="0"/>
        <v>2</v>
      </c>
      <c r="C3" s="6" t="str">
        <f>_xlfn.XLOOKUP($D3,Tab_Def_Processes[Process_Name],Tab_Def_Processes[Process_ID],,0,)</f>
        <v>08</v>
      </c>
      <c r="D3" s="138" t="s">
        <v>1213</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P08_decay_k1 (Labile pool)</v>
      </c>
      <c r="J3" s="138" t="s">
        <v>204</v>
      </c>
      <c r="K3" s="7">
        <v>72.087500000000006</v>
      </c>
      <c r="L3" s="13">
        <f>0.1975*365</f>
        <v>72.087500000000006</v>
      </c>
      <c r="M3" s="13" t="s">
        <v>1488</v>
      </c>
      <c r="N3" s="13" t="s">
        <v>1490</v>
      </c>
      <c r="O3" s="13"/>
      <c r="P3" s="13"/>
      <c r="Q3" s="13"/>
    </row>
    <row r="4" spans="1:17" x14ac:dyDescent="0.25">
      <c r="A4" s="142" t="b">
        <v>0</v>
      </c>
      <c r="B4" s="6">
        <f t="shared" si="0"/>
        <v>3</v>
      </c>
      <c r="C4" s="6" t="str">
        <f>_xlfn.XLOOKUP($D4,Tab_Def_Processes[Process_Name],Tab_Def_Processes[Process_ID],,0,)</f>
        <v>08</v>
      </c>
      <c r="D4" s="138" t="s">
        <v>1213</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P08_Inflow_fraction_f (Recalcitrant pool)</v>
      </c>
      <c r="J4" s="138" t="s">
        <v>205</v>
      </c>
      <c r="K4" s="7">
        <v>0.95199999999999996</v>
      </c>
      <c r="L4" s="13"/>
      <c r="M4" s="13" t="s">
        <v>1488</v>
      </c>
      <c r="N4" s="13" t="s">
        <v>1490</v>
      </c>
      <c r="O4" s="13"/>
      <c r="P4" s="13"/>
      <c r="Q4" s="13"/>
    </row>
    <row r="5" spans="1:17" x14ac:dyDescent="0.25">
      <c r="A5" s="142" t="b">
        <v>0</v>
      </c>
      <c r="B5" s="6">
        <f t="shared" si="0"/>
        <v>4</v>
      </c>
      <c r="C5" s="6" t="str">
        <f>_xlfn.XLOOKUP($D5,Tab_Def_Processes[Process_Name],Tab_Def_Processes[Process_ID],,0,)</f>
        <v>08</v>
      </c>
      <c r="D5" s="138" t="s">
        <v>1213</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P08_decay_k2 (Recalcitrant pool)</v>
      </c>
      <c r="J5" s="138" t="s">
        <v>206</v>
      </c>
      <c r="K5" s="7">
        <v>0.98550000000000004</v>
      </c>
      <c r="L5" s="13">
        <f>0.0027*365</f>
        <v>0.98550000000000004</v>
      </c>
      <c r="M5" s="13" t="s">
        <v>1488</v>
      </c>
      <c r="N5" s="13" t="s">
        <v>1490</v>
      </c>
      <c r="O5" s="13"/>
      <c r="P5" s="13"/>
      <c r="Q5" s="13"/>
    </row>
    <row r="6" spans="1:17" x14ac:dyDescent="0.25">
      <c r="A6" s="142" t="b">
        <v>0</v>
      </c>
      <c r="B6" s="6">
        <f t="shared" si="0"/>
        <v>5</v>
      </c>
      <c r="C6" s="6" t="str">
        <f>_xlfn.XLOOKUP($D6,Tab_Def_Processes[Process_Name],Tab_Def_Processes[Process_ID],,0,)</f>
        <v>08</v>
      </c>
      <c r="D6" s="138" t="s">
        <v>1213</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P08_output_carbon_id</v>
      </c>
      <c r="J6" s="138" t="s">
        <v>199</v>
      </c>
      <c r="K6" s="7" t="s">
        <v>1242</v>
      </c>
      <c r="L6" s="13"/>
      <c r="M6" s="13"/>
      <c r="N6" s="13"/>
      <c r="O6" s="13"/>
      <c r="P6" s="13"/>
      <c r="Q6" s="13"/>
    </row>
    <row r="7" spans="1:17" x14ac:dyDescent="0.25">
      <c r="A7" s="142" t="b">
        <v>0</v>
      </c>
      <c r="B7" s="6">
        <f t="shared" si="0"/>
        <v>6</v>
      </c>
      <c r="C7" s="6" t="str">
        <f>_xlfn.XLOOKUP($D7,Tab_Def_Processes[Process_Name],Tab_Def_Processes[Process_ID],,0,)</f>
        <v>08</v>
      </c>
      <c r="D7" s="138" t="s">
        <v>1213</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P08_output_environmental_id</v>
      </c>
      <c r="J7" s="138" t="s">
        <v>202</v>
      </c>
      <c r="K7" s="7" t="s">
        <v>1243</v>
      </c>
      <c r="L7" s="13"/>
      <c r="M7" s="13"/>
      <c r="N7" s="13"/>
      <c r="O7" s="13"/>
      <c r="P7" s="13"/>
      <c r="Q7" s="13"/>
    </row>
    <row r="8" spans="1:17" x14ac:dyDescent="0.25">
      <c r="A8" s="142" t="b">
        <v>0</v>
      </c>
      <c r="B8" s="6">
        <f t="shared" si="0"/>
        <v>7</v>
      </c>
      <c r="C8" s="6" t="str">
        <f>_xlfn.XLOOKUP($D8,Tab_Def_Processes[Process_Name],Tab_Def_Processes[Process_ID],,0,)</f>
        <v>10</v>
      </c>
      <c r="D8" s="138" t="s">
        <v>1215</v>
      </c>
      <c r="E8" s="6" t="str">
        <f>_xlfn.XLOOKUP($D8,Tab_Def_Processes[Process_Name],Tab_Def_Processes[Process_Logic],,0,)</f>
        <v>FOMP</v>
      </c>
      <c r="F8" s="6" t="str">
        <f>_xlfn.XLOOKUP($D8,Tab_Def_Processes[Process_Name],Tab_Def_Processes[TC_Configuration],,0,)</f>
        <v>No TC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P10_Inflow_fraction_f (Labile pool)</v>
      </c>
      <c r="J8" s="138" t="s">
        <v>203</v>
      </c>
      <c r="K8" s="7">
        <v>0.2</v>
      </c>
      <c r="L8" s="13"/>
      <c r="M8" s="13"/>
      <c r="N8" s="13"/>
      <c r="O8" s="13"/>
      <c r="P8" s="13"/>
      <c r="Q8" s="13"/>
    </row>
    <row r="9" spans="1:17" x14ac:dyDescent="0.25">
      <c r="A9" s="142" t="b">
        <v>0</v>
      </c>
      <c r="B9" s="6">
        <f t="shared" si="0"/>
        <v>8</v>
      </c>
      <c r="C9" s="6" t="str">
        <f>_xlfn.XLOOKUP($D9,Tab_Def_Processes[Process_Name],Tab_Def_Processes[Process_ID],,0,)</f>
        <v>10</v>
      </c>
      <c r="D9" s="138" t="s">
        <v>1215</v>
      </c>
      <c r="E9" s="6" t="str">
        <f>_xlfn.XLOOKUP($D9,Tab_Def_Processes[Process_Name],Tab_Def_Processes[Process_Logic],,0,)</f>
        <v>FOMP</v>
      </c>
      <c r="F9" s="6" t="str">
        <f>_xlfn.XLOOKUP($D9,Tab_Def_Processes[Process_Name],Tab_Def_Processes[TC_Configuration],,0,)</f>
        <v>No TC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P10_decay_k1 (Labile pool)</v>
      </c>
      <c r="J9" s="138" t="s">
        <v>204</v>
      </c>
      <c r="K9" s="7">
        <v>0.5</v>
      </c>
      <c r="L9" s="13"/>
      <c r="M9" s="13"/>
      <c r="N9" s="13"/>
      <c r="O9" s="13"/>
      <c r="P9" s="13"/>
      <c r="Q9" s="13"/>
    </row>
    <row r="10" spans="1:17" x14ac:dyDescent="0.25">
      <c r="A10" s="142" t="b">
        <v>0</v>
      </c>
      <c r="B10" s="6">
        <f t="shared" si="0"/>
        <v>9</v>
      </c>
      <c r="C10" s="6" t="str">
        <f>_xlfn.XLOOKUP($D10,Tab_Def_Processes[Process_Name],Tab_Def_Processes[Process_ID],,0,)</f>
        <v>10</v>
      </c>
      <c r="D10" s="138" t="s">
        <v>1215</v>
      </c>
      <c r="E10" s="6" t="str">
        <f>_xlfn.XLOOKUP($D10,Tab_Def_Processes[Process_Name],Tab_Def_Processes[Process_Logic],,0,)</f>
        <v>FOMP</v>
      </c>
      <c r="F10" s="6" t="str">
        <f>_xlfn.XLOOKUP($D10,Tab_Def_Processes[Process_Name],Tab_Def_Processes[TC_Configuration],,0,)</f>
        <v>No TC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P10_Inflow_fraction_f (Recalcitrant pool)</v>
      </c>
      <c r="J10" s="138" t="s">
        <v>205</v>
      </c>
      <c r="K10" s="7">
        <v>0.8</v>
      </c>
      <c r="L10" s="13"/>
      <c r="M10" s="13"/>
      <c r="N10" s="13"/>
      <c r="O10" s="13"/>
      <c r="P10" s="13"/>
      <c r="Q10" s="13"/>
    </row>
    <row r="11" spans="1:17" x14ac:dyDescent="0.25">
      <c r="A11" s="142" t="b">
        <v>0</v>
      </c>
      <c r="B11" s="6">
        <f t="shared" si="0"/>
        <v>10</v>
      </c>
      <c r="C11" s="6" t="str">
        <f>_xlfn.XLOOKUP($D11,Tab_Def_Processes[Process_Name],Tab_Def_Processes[Process_ID],,0,)</f>
        <v>10</v>
      </c>
      <c r="D11" s="138" t="s">
        <v>1215</v>
      </c>
      <c r="E11" s="6" t="str">
        <f>_xlfn.XLOOKUP($D11,Tab_Def_Processes[Process_Name],Tab_Def_Processes[Process_Logic],,0,)</f>
        <v>FOMP</v>
      </c>
      <c r="F11" s="6" t="str">
        <f>_xlfn.XLOOKUP($D11,Tab_Def_Processes[Process_Name],Tab_Def_Processes[TC_Configuration],,0,)</f>
        <v>No TC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P10_decay_k2 (Recalcitrant pool)</v>
      </c>
      <c r="J11" s="138" t="s">
        <v>206</v>
      </c>
      <c r="K11" s="7">
        <v>2.5000000000000001E-2</v>
      </c>
      <c r="L11" s="13"/>
      <c r="M11" s="13"/>
      <c r="N11" s="13"/>
      <c r="O11" s="13"/>
      <c r="P11" s="13"/>
      <c r="Q11" s="13"/>
    </row>
    <row r="12" spans="1:17" x14ac:dyDescent="0.25">
      <c r="A12" s="142" t="b">
        <v>0</v>
      </c>
      <c r="B12" s="6">
        <f t="shared" si="0"/>
        <v>11</v>
      </c>
      <c r="C12" s="6" t="str">
        <f>_xlfn.XLOOKUP($D12,Tab_Def_Processes[Process_Name],Tab_Def_Processes[Process_ID],,0,)</f>
        <v>10</v>
      </c>
      <c r="D12" s="138" t="s">
        <v>1215</v>
      </c>
      <c r="E12" s="6" t="str">
        <f>_xlfn.XLOOKUP($D12,Tab_Def_Processes[Process_Name],Tab_Def_Processes[Process_Logic],,0,)</f>
        <v>FOMP</v>
      </c>
      <c r="F12" s="6" t="str">
        <f>_xlfn.XLOOKUP($D12,Tab_Def_Processes[Process_Name],Tab_Def_Processes[TC_Configuration],,0,)</f>
        <v>No TC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P10_output_carbon_id</v>
      </c>
      <c r="J12" s="138" t="s">
        <v>199</v>
      </c>
      <c r="K12" s="7" t="s">
        <v>1244</v>
      </c>
      <c r="L12" s="13"/>
      <c r="M12" s="13"/>
      <c r="N12" s="13"/>
      <c r="O12" s="13"/>
      <c r="P12" s="13"/>
      <c r="Q12" s="13"/>
    </row>
    <row r="13" spans="1:17" x14ac:dyDescent="0.25">
      <c r="A13" s="142" t="b">
        <v>0</v>
      </c>
      <c r="B13" s="6">
        <f t="shared" si="0"/>
        <v>12</v>
      </c>
      <c r="C13" s="6" t="str">
        <f>_xlfn.XLOOKUP($D13,Tab_Def_Processes[Process_Name],Tab_Def_Processes[Process_ID],,0,)</f>
        <v>10</v>
      </c>
      <c r="D13" s="138" t="s">
        <v>1215</v>
      </c>
      <c r="E13" s="6" t="str">
        <f>_xlfn.XLOOKUP($D13,Tab_Def_Processes[Process_Name],Tab_Def_Processes[Process_Logic],,0,)</f>
        <v>FOMP</v>
      </c>
      <c r="F13" s="6" t="str">
        <f>_xlfn.XLOOKUP($D13,Tab_Def_Processes[Process_Name],Tab_Def_Processes[TC_Configuration],,0,)</f>
        <v>No TC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P10_output_environmental_id</v>
      </c>
      <c r="J13" s="138" t="s">
        <v>202</v>
      </c>
      <c r="K13" s="7" t="s">
        <v>1245</v>
      </c>
      <c r="L13" s="13"/>
      <c r="M13" s="13"/>
      <c r="N13" s="13"/>
      <c r="O13" s="13"/>
      <c r="P13" s="13"/>
      <c r="Q13" s="13"/>
    </row>
    <row r="14" spans="1:17" x14ac:dyDescent="0.25">
      <c r="A14" s="142" t="b">
        <v>0</v>
      </c>
      <c r="B14" s="6">
        <f t="shared" si="0"/>
        <v>13</v>
      </c>
      <c r="C14" s="6" t="str">
        <f>_xlfn.XLOOKUP($D14,Tab_Def_Processes[Process_Name],Tab_Def_Processes[Process_ID],,0,)</f>
        <v>07</v>
      </c>
      <c r="D14" s="138" t="s">
        <v>1212</v>
      </c>
      <c r="E14" s="6" t="str">
        <f>_xlfn.XLOOKUP($D14,Tab_Def_Processes[Process_Name],Tab_Def_Processes[Process_Logic],,0,)</f>
        <v>FOMP</v>
      </c>
      <c r="F14" s="6" t="str">
        <f>_xlfn.XLOOKUP($D14,Tab_Def_Processes[Process_Name],Tab_Def_Processes[TC_Configuration],,0,)</f>
        <v>No TC</v>
      </c>
      <c r="G14" s="6" t="str">
        <f>_xlfn.XLOOKUP($D14,Tab_Def_Processes[Process_Name],Tab_Def_Processes[Stock_Configuration],,0,)</f>
        <v>Stock</v>
      </c>
      <c r="H14" s="6">
        <f>_xlfn.XLOOKUP(Tab_FOMP[[#This Row],[Process_Name]],Tab_Def_Processes[Process_Name],Tab_Def_Processes[Outflow_count],,0,)</f>
        <v>2</v>
      </c>
      <c r="I14" s="6" t="str">
        <f>"P"&amp;Tab_FOMP[[#This Row],[Process_ID]]&amp;"_"&amp;Tab_FOMP[[#This Row],[FOMP_Parameter_type]]</f>
        <v>P07_Inflow_fraction_f (Labile pool)</v>
      </c>
      <c r="J14" s="138" t="s">
        <v>203</v>
      </c>
      <c r="K14" s="7">
        <v>0.05</v>
      </c>
      <c r="L14" s="13"/>
      <c r="M14" s="13"/>
      <c r="N14" s="13"/>
      <c r="O14" s="13"/>
      <c r="P14" s="13"/>
      <c r="Q14" s="13"/>
    </row>
    <row r="15" spans="1:17" x14ac:dyDescent="0.25">
      <c r="A15" s="142" t="b">
        <v>0</v>
      </c>
      <c r="B15" s="6">
        <f t="shared" si="0"/>
        <v>14</v>
      </c>
      <c r="C15" s="6" t="str">
        <f>_xlfn.XLOOKUP($D15,Tab_Def_Processes[Process_Name],Tab_Def_Processes[Process_ID],,0,)</f>
        <v>07</v>
      </c>
      <c r="D15" s="138" t="s">
        <v>1212</v>
      </c>
      <c r="E15" s="6" t="str">
        <f>_xlfn.XLOOKUP($D15,Tab_Def_Processes[Process_Name],Tab_Def_Processes[Process_Logic],,0,)</f>
        <v>FOMP</v>
      </c>
      <c r="F15" s="6" t="str">
        <f>_xlfn.XLOOKUP($D15,Tab_Def_Processes[Process_Name],Tab_Def_Processes[TC_Configuration],,0,)</f>
        <v>No TC</v>
      </c>
      <c r="G15" s="6" t="str">
        <f>_xlfn.XLOOKUP($D15,Tab_Def_Processes[Process_Name],Tab_Def_Processes[Stock_Configuration],,0,)</f>
        <v>Stock</v>
      </c>
      <c r="H15" s="6">
        <f>_xlfn.XLOOKUP(Tab_FOMP[[#This Row],[Process_Name]],Tab_Def_Processes[Process_Name],Tab_Def_Processes[Outflow_count],,0,)</f>
        <v>2</v>
      </c>
      <c r="I15" s="6" t="str">
        <f>"P"&amp;Tab_FOMP[[#This Row],[Process_ID]]&amp;"_"&amp;Tab_FOMP[[#This Row],[FOMP_Parameter_type]]</f>
        <v>P07_decay_k1 (Labile pool)</v>
      </c>
      <c r="J15" s="138" t="s">
        <v>204</v>
      </c>
      <c r="K15" s="7">
        <v>0.5</v>
      </c>
      <c r="L15" s="13"/>
      <c r="M15" s="13"/>
      <c r="N15" s="13"/>
      <c r="O15" s="13"/>
      <c r="P15" s="13"/>
      <c r="Q15" s="13"/>
    </row>
    <row r="16" spans="1:17" x14ac:dyDescent="0.25">
      <c r="A16" s="142" t="b">
        <v>0</v>
      </c>
      <c r="B16" s="6">
        <f t="shared" si="0"/>
        <v>15</v>
      </c>
      <c r="C16" s="6" t="str">
        <f>_xlfn.XLOOKUP($D16,Tab_Def_Processes[Process_Name],Tab_Def_Processes[Process_ID],,0,)</f>
        <v>07</v>
      </c>
      <c r="D16" s="138" t="s">
        <v>1212</v>
      </c>
      <c r="E16" s="6" t="str">
        <f>_xlfn.XLOOKUP($D16,Tab_Def_Processes[Process_Name],Tab_Def_Processes[Process_Logic],,0,)</f>
        <v>FOMP</v>
      </c>
      <c r="F16" s="6" t="str">
        <f>_xlfn.XLOOKUP($D16,Tab_Def_Processes[Process_Name],Tab_Def_Processes[TC_Configuration],,0,)</f>
        <v>No TC</v>
      </c>
      <c r="G16" s="6" t="str">
        <f>_xlfn.XLOOKUP($D16,Tab_Def_Processes[Process_Name],Tab_Def_Processes[Stock_Configuration],,0,)</f>
        <v>Stock</v>
      </c>
      <c r="H16" s="6">
        <f>_xlfn.XLOOKUP(Tab_FOMP[[#This Row],[Process_Name]],Tab_Def_Processes[Process_Name],Tab_Def_Processes[Outflow_count],,0,)</f>
        <v>2</v>
      </c>
      <c r="I16" s="6" t="str">
        <f>"P"&amp;Tab_FOMP[[#This Row],[Process_ID]]&amp;"_"&amp;Tab_FOMP[[#This Row],[FOMP_Parameter_type]]</f>
        <v>P07_Inflow_fraction_f (Recalcitrant pool)</v>
      </c>
      <c r="J16" s="138" t="s">
        <v>205</v>
      </c>
      <c r="K16" s="7">
        <v>0.95</v>
      </c>
      <c r="L16" s="13"/>
      <c r="M16" s="13"/>
      <c r="N16" s="13"/>
      <c r="O16" s="13"/>
      <c r="P16" s="13"/>
      <c r="Q16" s="13"/>
    </row>
    <row r="17" spans="1:17" x14ac:dyDescent="0.25">
      <c r="A17" s="142" t="b">
        <v>0</v>
      </c>
      <c r="B17" s="6">
        <f t="shared" si="0"/>
        <v>16</v>
      </c>
      <c r="C17" s="6" t="str">
        <f>_xlfn.XLOOKUP($D17,Tab_Def_Processes[Process_Name],Tab_Def_Processes[Process_ID],,0,)</f>
        <v>07</v>
      </c>
      <c r="D17" s="138" t="s">
        <v>1212</v>
      </c>
      <c r="E17" s="6" t="str">
        <f>_xlfn.XLOOKUP($D17,Tab_Def_Processes[Process_Name],Tab_Def_Processes[Process_Logic],,0,)</f>
        <v>FOMP</v>
      </c>
      <c r="F17" s="6" t="str">
        <f>_xlfn.XLOOKUP($D17,Tab_Def_Processes[Process_Name],Tab_Def_Processes[TC_Configuration],,0,)</f>
        <v>No TC</v>
      </c>
      <c r="G17" s="6" t="str">
        <f>_xlfn.XLOOKUP($D17,Tab_Def_Processes[Process_Name],Tab_Def_Processes[Stock_Configuration],,0,)</f>
        <v>Stock</v>
      </c>
      <c r="H17" s="6">
        <f>_xlfn.XLOOKUP(Tab_FOMP[[#This Row],[Process_Name]],Tab_Def_Processes[Process_Name],Tab_Def_Processes[Outflow_count],,0,)</f>
        <v>2</v>
      </c>
      <c r="I17" s="6" t="str">
        <f>"P"&amp;Tab_FOMP[[#This Row],[Process_ID]]&amp;"_"&amp;Tab_FOMP[[#This Row],[FOMP_Parameter_type]]</f>
        <v>P07_decay_k2 (Recalcitrant pool)</v>
      </c>
      <c r="J17" s="138" t="s">
        <v>206</v>
      </c>
      <c r="K17" s="7">
        <v>1.4E-3</v>
      </c>
      <c r="L17" s="13"/>
      <c r="M17" s="13"/>
      <c r="N17" s="13"/>
      <c r="O17" s="13"/>
      <c r="P17" s="13"/>
      <c r="Q17" s="13"/>
    </row>
    <row r="18" spans="1:17" x14ac:dyDescent="0.25">
      <c r="A18" s="142" t="b">
        <v>0</v>
      </c>
      <c r="B18" s="6">
        <f t="shared" si="0"/>
        <v>17</v>
      </c>
      <c r="C18" s="6" t="str">
        <f>_xlfn.XLOOKUP($D18,Tab_Def_Processes[Process_Name],Tab_Def_Processes[Process_ID],,0,)</f>
        <v>07</v>
      </c>
      <c r="D18" s="138" t="s">
        <v>1212</v>
      </c>
      <c r="E18" s="6" t="str">
        <f>_xlfn.XLOOKUP($D18,Tab_Def_Processes[Process_Name],Tab_Def_Processes[Process_Logic],,0,)</f>
        <v>FOMP</v>
      </c>
      <c r="F18" s="6" t="str">
        <f>_xlfn.XLOOKUP($D18,Tab_Def_Processes[Process_Name],Tab_Def_Processes[TC_Configuration],,0,)</f>
        <v>No TC</v>
      </c>
      <c r="G18" s="6" t="str">
        <f>_xlfn.XLOOKUP($D18,Tab_Def_Processes[Process_Name],Tab_Def_Processes[Stock_Configuration],,0,)</f>
        <v>Stock</v>
      </c>
      <c r="H18" s="6">
        <f>_xlfn.XLOOKUP(Tab_FOMP[[#This Row],[Process_Name]],Tab_Def_Processes[Process_Name],Tab_Def_Processes[Outflow_count],,0,)</f>
        <v>2</v>
      </c>
      <c r="I18" s="6" t="str">
        <f>"P"&amp;Tab_FOMP[[#This Row],[Process_ID]]&amp;"_"&amp;Tab_FOMP[[#This Row],[FOMP_Parameter_type]]</f>
        <v>P07_output_carbon_id</v>
      </c>
      <c r="J18" s="138" t="s">
        <v>199</v>
      </c>
      <c r="K18" s="7" t="s">
        <v>1246</v>
      </c>
      <c r="L18" s="13"/>
      <c r="M18" s="13"/>
      <c r="N18" s="13"/>
      <c r="O18" s="13"/>
      <c r="P18" s="13"/>
      <c r="Q18" s="13"/>
    </row>
    <row r="19" spans="1:17" x14ac:dyDescent="0.25">
      <c r="A19" s="142" t="b">
        <v>0</v>
      </c>
      <c r="B19" s="6">
        <f t="shared" si="0"/>
        <v>18</v>
      </c>
      <c r="C19" s="6" t="str">
        <f>_xlfn.XLOOKUP($D19,Tab_Def_Processes[Process_Name],Tab_Def_Processes[Process_ID],,0,)</f>
        <v>07</v>
      </c>
      <c r="D19" s="138" t="s">
        <v>1212</v>
      </c>
      <c r="E19" s="6" t="str">
        <f>_xlfn.XLOOKUP($D19,Tab_Def_Processes[Process_Name],Tab_Def_Processes[Process_Logic],,0,)</f>
        <v>FOMP</v>
      </c>
      <c r="F19" s="6" t="str">
        <f>_xlfn.XLOOKUP($D19,Tab_Def_Processes[Process_Name],Tab_Def_Processes[TC_Configuration],,0,)</f>
        <v>No TC</v>
      </c>
      <c r="G19" s="6" t="str">
        <f>_xlfn.XLOOKUP($D19,Tab_Def_Processes[Process_Name],Tab_Def_Processes[Stock_Configuration],,0,)</f>
        <v>Stock</v>
      </c>
      <c r="H19" s="6">
        <f>_xlfn.XLOOKUP(Tab_FOMP[[#This Row],[Process_Name]],Tab_Def_Processes[Process_Name],Tab_Def_Processes[Outflow_count],,0,)</f>
        <v>2</v>
      </c>
      <c r="I19" s="6" t="str">
        <f>"P"&amp;Tab_FOMP[[#This Row],[Process_ID]]&amp;"_"&amp;Tab_FOMP[[#This Row],[FOMP_Parameter_type]]</f>
        <v>P07_output_environmental_id</v>
      </c>
      <c r="J19" s="138" t="s">
        <v>202</v>
      </c>
      <c r="K19" s="7" t="s">
        <v>1247</v>
      </c>
      <c r="L19" s="13"/>
      <c r="M19" s="13"/>
      <c r="N19" s="13"/>
      <c r="O19" s="13"/>
      <c r="P19" s="13"/>
      <c r="Q19" s="13"/>
    </row>
    <row r="20" spans="1:17" x14ac:dyDescent="0.25">
      <c r="A20" s="142" t="b">
        <v>0</v>
      </c>
      <c r="B20" s="6">
        <f t="shared" si="0"/>
        <v>19</v>
      </c>
      <c r="C20" s="6" t="str">
        <f>_xlfn.XLOOKUP($D20,Tab_Def_Processes[Process_Name],Tab_Def_Processes[Process_ID],,0,)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P13_</v>
      </c>
      <c r="J20" s="138"/>
      <c r="K20" s="7"/>
      <c r="L20" s="13"/>
      <c r="M20" s="13"/>
      <c r="N20" s="13"/>
      <c r="O20" s="13"/>
      <c r="P20" s="13"/>
      <c r="Q20" s="13"/>
    </row>
    <row r="21" spans="1:17" x14ac:dyDescent="0.25">
      <c r="A21" s="142" t="b">
        <v>0</v>
      </c>
      <c r="B21" s="6">
        <f t="shared" si="0"/>
        <v>20</v>
      </c>
      <c r="C21" s="6" t="str">
        <f>_xlfn.XLOOKUP($D21,Tab_Def_Processes[Process_Name],Tab_Def_Processes[Process_ID],,0,)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P13_</v>
      </c>
      <c r="J21" s="138"/>
      <c r="K21" s="7"/>
      <c r="L21" s="13"/>
      <c r="M21" s="13"/>
      <c r="N21" s="13"/>
      <c r="O21" s="13"/>
      <c r="P21" s="13"/>
      <c r="Q21" s="13"/>
    </row>
    <row r="22" spans="1:17" x14ac:dyDescent="0.25">
      <c r="A22" s="142" t="b">
        <v>0</v>
      </c>
      <c r="B22" s="6">
        <f t="shared" si="0"/>
        <v>21</v>
      </c>
      <c r="C22" s="6" t="str">
        <f>_xlfn.XLOOKUP($D22,Tab_Def_Processes[Process_Name],Tab_Def_Processes[Process_ID],,0,)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P13_</v>
      </c>
      <c r="J22" s="138"/>
      <c r="K22" s="7"/>
      <c r="L22" s="13"/>
      <c r="M22" s="13"/>
      <c r="N22" s="13"/>
      <c r="O22" s="13"/>
      <c r="P22" s="13"/>
      <c r="Q22" s="13"/>
    </row>
    <row r="23" spans="1:17" x14ac:dyDescent="0.25">
      <c r="A23" s="142" t="b">
        <v>0</v>
      </c>
      <c r="B23" s="6">
        <f t="shared" si="0"/>
        <v>22</v>
      </c>
      <c r="C23" s="6" t="str">
        <f>_xlfn.XLOOKUP($D23,Tab_Def_Processes[Process_Name],Tab_Def_Processes[Process_ID],,0,)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P13_</v>
      </c>
      <c r="J23" s="138"/>
      <c r="K23" s="7"/>
      <c r="L23" s="13"/>
      <c r="M23" s="13"/>
      <c r="N23" s="13"/>
      <c r="O23" s="13"/>
      <c r="P23" s="13"/>
      <c r="Q23" s="13"/>
    </row>
    <row r="24" spans="1:17" x14ac:dyDescent="0.25">
      <c r="A24" s="142" t="b">
        <v>0</v>
      </c>
      <c r="B24" s="6">
        <f t="shared" si="0"/>
        <v>23</v>
      </c>
      <c r="C24" s="6" t="str">
        <f>_xlfn.XLOOKUP($D24,Tab_Def_Processes[Process_Name],Tab_Def_Processes[Process_ID],,0,)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P13_</v>
      </c>
      <c r="J24" s="138"/>
      <c r="K24" s="7"/>
      <c r="L24" s="13"/>
      <c r="M24" s="13"/>
      <c r="N24" s="13"/>
      <c r="O24" s="13"/>
      <c r="P24" s="13"/>
      <c r="Q24" s="13"/>
    </row>
    <row r="25" spans="1:17" x14ac:dyDescent="0.25">
      <c r="A25" s="142" t="b">
        <v>0</v>
      </c>
      <c r="B25" s="6">
        <f t="shared" si="0"/>
        <v>24</v>
      </c>
      <c r="C25" s="6" t="str">
        <f>_xlfn.XLOOKUP($D25,Tab_Def_Processes[Process_Name],Tab_Def_Processes[Process_ID],,0,)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P13_</v>
      </c>
      <c r="J25" s="138"/>
      <c r="K25" s="7"/>
      <c r="L25" s="13"/>
      <c r="M25" s="13"/>
      <c r="N25" s="13"/>
      <c r="O25" s="13"/>
      <c r="P25" s="13"/>
      <c r="Q25" s="13"/>
    </row>
    <row r="26" spans="1:17" x14ac:dyDescent="0.25">
      <c r="A26" s="142" t="b">
        <v>0</v>
      </c>
      <c r="B26" s="6">
        <f t="shared" si="0"/>
        <v>25</v>
      </c>
      <c r="C26" s="6" t="str">
        <f>_xlfn.XLOOKUP($D26,Tab_Def_Processes[Process_Name],Tab_Def_Processes[Process_ID],,0,)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P13_</v>
      </c>
      <c r="J26" s="138"/>
      <c r="K26" s="7"/>
      <c r="L26" s="13"/>
      <c r="M26" s="13"/>
      <c r="N26" s="13"/>
      <c r="O26" s="13"/>
      <c r="P26" s="13"/>
      <c r="Q26" s="13"/>
    </row>
    <row r="27" spans="1:17" x14ac:dyDescent="0.25">
      <c r="A27" s="142" t="b">
        <v>0</v>
      </c>
      <c r="B27" s="6">
        <f t="shared" si="0"/>
        <v>26</v>
      </c>
      <c r="C27" s="6" t="str">
        <f>_xlfn.XLOOKUP($D27,Tab_Def_Processes[Process_Name],Tab_Def_Processes[Process_ID],,0,)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P13_</v>
      </c>
      <c r="J27" s="138"/>
      <c r="K27" s="7"/>
      <c r="L27" s="13"/>
      <c r="M27" s="13"/>
      <c r="N27" s="13"/>
      <c r="O27" s="13"/>
      <c r="P27" s="13"/>
      <c r="Q27" s="13"/>
    </row>
    <row r="28" spans="1:17" x14ac:dyDescent="0.25">
      <c r="A28" s="142" t="b">
        <v>0</v>
      </c>
      <c r="B28" s="6">
        <f t="shared" si="0"/>
        <v>27</v>
      </c>
      <c r="C28" s="6" t="str">
        <f>_xlfn.XLOOKUP($D28,Tab_Def_Processes[Process_Name],Tab_Def_Processes[Process_ID],,0,)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P13_</v>
      </c>
      <c r="J28" s="138"/>
      <c r="K28" s="7"/>
      <c r="L28" s="13"/>
      <c r="M28" s="13"/>
      <c r="N28" s="13"/>
      <c r="O28" s="13"/>
      <c r="P28" s="13"/>
      <c r="Q28" s="13"/>
    </row>
    <row r="29" spans="1:17" x14ac:dyDescent="0.25">
      <c r="A29" s="142" t="b">
        <v>0</v>
      </c>
      <c r="B29" s="6">
        <f t="shared" si="0"/>
        <v>28</v>
      </c>
      <c r="C29" s="6" t="str">
        <f>_xlfn.XLOOKUP($D29,Tab_Def_Processes[Process_Name],Tab_Def_Processes[Process_ID],,0,)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P13_</v>
      </c>
      <c r="J29" s="138"/>
      <c r="K29" s="7"/>
      <c r="L29" s="13"/>
      <c r="M29" s="13"/>
      <c r="N29" s="13"/>
      <c r="O29" s="13"/>
      <c r="P29" s="13"/>
      <c r="Q29" s="13"/>
    </row>
    <row r="30" spans="1:17" x14ac:dyDescent="0.25">
      <c r="A30" s="142" t="b">
        <v>0</v>
      </c>
      <c r="B30" s="6">
        <f t="shared" si="0"/>
        <v>29</v>
      </c>
      <c r="C30" s="6" t="str">
        <f>_xlfn.XLOOKUP($D30,Tab_Def_Processes[Process_Name],Tab_Def_Processes[Process_ID],,0,)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P13_</v>
      </c>
      <c r="J30" s="138"/>
      <c r="K30" s="7"/>
      <c r="L30" s="13"/>
      <c r="M30" s="13"/>
      <c r="N30" s="13"/>
      <c r="O30" s="13"/>
      <c r="P30" s="13"/>
      <c r="Q30" s="13"/>
    </row>
    <row r="31" spans="1:17" x14ac:dyDescent="0.25">
      <c r="A31" s="142" t="b">
        <v>0</v>
      </c>
      <c r="B31" s="6">
        <f t="shared" si="0"/>
        <v>30</v>
      </c>
      <c r="C31" s="6" t="str">
        <f>_xlfn.XLOOKUP($D31,Tab_Def_Processes[Process_Name],Tab_Def_Processes[Process_ID],,0,)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P13_</v>
      </c>
      <c r="J31" s="138"/>
      <c r="K31" s="7"/>
      <c r="L31" s="13"/>
      <c r="M31" s="13"/>
      <c r="N31" s="13"/>
      <c r="O31" s="13"/>
      <c r="P31" s="13"/>
      <c r="Q31" s="13"/>
    </row>
    <row r="32" spans="1:17" x14ac:dyDescent="0.25">
      <c r="A32" s="142" t="b">
        <v>0</v>
      </c>
      <c r="B32" s="6">
        <f t="shared" si="0"/>
        <v>31</v>
      </c>
      <c r="C32" s="6" t="str">
        <f>_xlfn.XLOOKUP($D32,Tab_Def_Processes[Process_Name],Tab_Def_Processes[Process_ID],,0,)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P13_</v>
      </c>
      <c r="J32" s="138"/>
      <c r="K32" s="7"/>
      <c r="L32" s="13"/>
      <c r="M32" s="13"/>
      <c r="N32" s="13"/>
      <c r="O32" s="13"/>
      <c r="P32" s="13"/>
      <c r="Q32" s="13"/>
    </row>
    <row r="33" spans="1:17" x14ac:dyDescent="0.25">
      <c r="A33" s="142" t="b">
        <v>0</v>
      </c>
      <c r="B33" s="6">
        <f t="shared" si="0"/>
        <v>32</v>
      </c>
      <c r="C33" s="6" t="str">
        <f>_xlfn.XLOOKUP($D33,Tab_Def_Processes[Process_Name],Tab_Def_Processes[Process_ID],,0,)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P13_</v>
      </c>
      <c r="J33" s="138"/>
      <c r="K33" s="7"/>
      <c r="L33" s="13"/>
      <c r="M33" s="13"/>
      <c r="N33" s="13"/>
      <c r="O33" s="13"/>
      <c r="P33" s="13"/>
      <c r="Q33" s="13"/>
    </row>
    <row r="34" spans="1:17" x14ac:dyDescent="0.25">
      <c r="A34" s="142" t="b">
        <v>0</v>
      </c>
      <c r="B34" s="6">
        <f t="shared" si="0"/>
        <v>33</v>
      </c>
      <c r="C34" s="6" t="str">
        <f>_xlfn.XLOOKUP($D34,Tab_Def_Processes[Process_Name],Tab_Def_Processes[Process_ID],,0,)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P13_</v>
      </c>
      <c r="J34" s="138"/>
      <c r="K34" s="7"/>
      <c r="L34" s="13"/>
      <c r="M34" s="13"/>
      <c r="N34" s="13"/>
      <c r="O34" s="13"/>
      <c r="P34" s="13"/>
      <c r="Q34" s="13"/>
    </row>
    <row r="35" spans="1:17" x14ac:dyDescent="0.25">
      <c r="A35" s="142" t="b">
        <v>0</v>
      </c>
      <c r="B35" s="6">
        <f t="shared" si="0"/>
        <v>34</v>
      </c>
      <c r="C35" s="6" t="str">
        <f>_xlfn.XLOOKUP($D35,Tab_Def_Processes[Process_Name],Tab_Def_Processes[Process_ID],,0,)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P13_</v>
      </c>
      <c r="J35" s="138"/>
      <c r="K35" s="7"/>
      <c r="L35" s="13"/>
      <c r="M35" s="13"/>
      <c r="N35" s="13"/>
      <c r="O35" s="13"/>
      <c r="P35" s="13"/>
      <c r="Q35" s="13"/>
    </row>
    <row r="36" spans="1:17" x14ac:dyDescent="0.25">
      <c r="A36" s="142" t="b">
        <v>0</v>
      </c>
      <c r="B36" s="6">
        <f t="shared" si="0"/>
        <v>35</v>
      </c>
      <c r="C36" s="6" t="str">
        <f>_xlfn.XLOOKUP($D36,Tab_Def_Processes[Process_Name],Tab_Def_Processes[Process_ID],,0,)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P13_</v>
      </c>
      <c r="J36" s="138"/>
      <c r="K36" s="7"/>
      <c r="L36" s="13"/>
      <c r="M36" s="13"/>
      <c r="N36" s="13"/>
      <c r="O36" s="13"/>
      <c r="P36" s="13"/>
      <c r="Q36" s="13"/>
    </row>
    <row r="37" spans="1:17" x14ac:dyDescent="0.25">
      <c r="A37" s="142" t="b">
        <v>0</v>
      </c>
      <c r="B37" s="6">
        <f t="shared" si="0"/>
        <v>36</v>
      </c>
      <c r="C37" s="6" t="str">
        <f>_xlfn.XLOOKUP($D37,Tab_Def_Processes[Process_Name],Tab_Def_Processes[Process_ID],,0,)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P13_</v>
      </c>
      <c r="J37" s="138"/>
      <c r="K37" s="7"/>
      <c r="L37" s="13"/>
      <c r="M37" s="13"/>
      <c r="N37" s="13"/>
      <c r="O37" s="13"/>
      <c r="P37" s="13"/>
      <c r="Q37" s="13"/>
    </row>
    <row r="38" spans="1:17" x14ac:dyDescent="0.25">
      <c r="A38" s="142" t="b">
        <v>0</v>
      </c>
      <c r="B38" s="6">
        <f t="shared" si="0"/>
        <v>37</v>
      </c>
      <c r="C38" s="6" t="str">
        <f>_xlfn.XLOOKUP($D38,Tab_Def_Processes[Process_Name],Tab_Def_Processes[Process_ID],,0,)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P13_</v>
      </c>
      <c r="J38" s="138"/>
      <c r="K38" s="7"/>
      <c r="L38" s="13"/>
      <c r="M38" s="13"/>
      <c r="N38" s="13"/>
      <c r="O38" s="13"/>
      <c r="P38" s="13"/>
      <c r="Q38" s="13"/>
    </row>
    <row r="39" spans="1:17" x14ac:dyDescent="0.25">
      <c r="A39" s="142" t="b">
        <v>0</v>
      </c>
      <c r="B39" s="6">
        <f t="shared" si="0"/>
        <v>38</v>
      </c>
      <c r="C39" s="6" t="str">
        <f>_xlfn.XLOOKUP($D39,Tab_Def_Processes[Process_Name],Tab_Def_Processes[Process_ID],,0,)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P13_</v>
      </c>
      <c r="J39" s="138"/>
      <c r="K39" s="7"/>
      <c r="L39" s="13"/>
      <c r="M39" s="13"/>
      <c r="N39" s="13"/>
      <c r="O39" s="13"/>
      <c r="P39" s="13"/>
      <c r="Q39" s="13"/>
    </row>
    <row r="40" spans="1:17" x14ac:dyDescent="0.25">
      <c r="A40" s="142" t="b">
        <v>0</v>
      </c>
      <c r="B40" s="6">
        <f t="shared" si="0"/>
        <v>39</v>
      </c>
      <c r="C40" s="6" t="str">
        <f>_xlfn.XLOOKUP($D40,Tab_Def_Processes[Process_Name],Tab_Def_Processes[Process_ID],,0,)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P13_</v>
      </c>
      <c r="J40" s="138"/>
      <c r="K40" s="7"/>
      <c r="L40" s="13"/>
      <c r="M40" s="13"/>
      <c r="N40" s="13"/>
      <c r="O40" s="13"/>
      <c r="P40" s="13"/>
      <c r="Q40" s="13"/>
    </row>
    <row r="41" spans="1:17" x14ac:dyDescent="0.25">
      <c r="A41" s="142" t="b">
        <v>0</v>
      </c>
      <c r="B41" s="136">
        <f t="shared" si="0"/>
        <v>40</v>
      </c>
      <c r="C41" s="136" t="str">
        <f>_xlfn.XLOOKUP($D41,Tab_Def_Processes[Process_Name],Tab_Def_Processes[Process_ID],,0,)</f>
        <v>13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P13_</v>
      </c>
      <c r="J41" s="138"/>
      <c r="K41" s="7"/>
      <c r="L41" s="13"/>
      <c r="M41" s="13"/>
      <c r="N41" s="13"/>
      <c r="O41" s="13"/>
      <c r="P41" s="13"/>
      <c r="Q41" s="13"/>
    </row>
    <row r="42" spans="1:17" x14ac:dyDescent="0.25">
      <c r="L42" s="13"/>
      <c r="M42" s="13"/>
      <c r="N42" s="13"/>
      <c r="O42" s="13"/>
      <c r="P42" s="13"/>
      <c r="Q42" s="13"/>
    </row>
    <row r="43" spans="1:17" x14ac:dyDescent="0.25">
      <c r="L43" s="13"/>
      <c r="M43" s="13"/>
      <c r="N43" s="13"/>
      <c r="O43" s="13"/>
      <c r="P43" s="13"/>
      <c r="Q43" s="13"/>
    </row>
    <row r="44" spans="1:17" x14ac:dyDescent="0.25">
      <c r="L44" s="13"/>
      <c r="M44" s="13"/>
      <c r="N44" s="13"/>
      <c r="O44" s="13"/>
      <c r="P44" s="13"/>
      <c r="Q44" s="13"/>
    </row>
    <row r="45" spans="1:17" x14ac:dyDescent="0.25">
      <c r="L45" s="13"/>
      <c r="M45" s="13"/>
      <c r="N45" s="13"/>
      <c r="O45" s="13"/>
      <c r="P45" s="13"/>
      <c r="Q45" s="13"/>
    </row>
    <row r="46" spans="1:17" x14ac:dyDescent="0.25">
      <c r="L46" s="13"/>
      <c r="M46" s="13"/>
      <c r="N46" s="13"/>
      <c r="O46" s="13"/>
      <c r="P46" s="13"/>
      <c r="Q46" s="13"/>
    </row>
    <row r="47" spans="1:17" x14ac:dyDescent="0.25">
      <c r="L47" s="13"/>
      <c r="M47" s="13"/>
      <c r="N47" s="13"/>
      <c r="O47" s="13"/>
      <c r="P47" s="13"/>
      <c r="Q47" s="13"/>
    </row>
    <row r="48" spans="1:17" x14ac:dyDescent="0.25">
      <c r="L48" s="13"/>
      <c r="M48" s="13"/>
      <c r="N48" s="13"/>
      <c r="O48" s="13"/>
      <c r="P48" s="13"/>
      <c r="Q48" s="13"/>
    </row>
    <row r="49" spans="12:17" x14ac:dyDescent="0.25">
      <c r="L49" s="13"/>
      <c r="M49" s="13"/>
      <c r="N49" s="13"/>
      <c r="O49" s="13"/>
      <c r="P49" s="13"/>
      <c r="Q49" s="13"/>
    </row>
    <row r="50" spans="12:17" x14ac:dyDescent="0.25">
      <c r="L50" s="13"/>
      <c r="M50" s="13"/>
      <c r="N50" s="13"/>
      <c r="O50" s="13"/>
      <c r="P50" s="13"/>
      <c r="Q50" s="13"/>
    </row>
    <row r="51" spans="12:17" x14ac:dyDescent="0.25">
      <c r="L51" s="13"/>
      <c r="M51" s="13"/>
      <c r="N51" s="13"/>
      <c r="O51" s="13"/>
      <c r="P51" s="13"/>
      <c r="Q51" s="13"/>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P57"/>
  <sheetViews>
    <sheetView topLeftCell="D1" zoomScale="93" zoomScaleNormal="205" workbookViewId="0">
      <selection activeCell="R23" sqref="R2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21" customWidth="1"/>
    <col min="12" max="12" width="16.140625" customWidth="1"/>
    <col min="13" max="13" width="20" customWidth="1"/>
    <col min="14" max="14" width="17" customWidth="1"/>
    <col min="15" max="15" width="23.28515625" customWidth="1"/>
    <col min="16" max="16" width="16.7109375" customWidth="1"/>
  </cols>
  <sheetData>
    <row r="1" spans="1:16" x14ac:dyDescent="0.25">
      <c r="A1" s="141" t="s">
        <v>7</v>
      </c>
      <c r="B1" s="141" t="s">
        <v>982</v>
      </c>
      <c r="C1" s="141" t="s">
        <v>187</v>
      </c>
      <c r="D1" s="141" t="s">
        <v>172</v>
      </c>
      <c r="E1" s="141" t="s">
        <v>989</v>
      </c>
      <c r="F1" s="141" t="s">
        <v>174</v>
      </c>
      <c r="G1" s="141" t="s">
        <v>175</v>
      </c>
      <c r="H1" s="141" t="s">
        <v>176</v>
      </c>
      <c r="I1" s="141" t="s">
        <v>177</v>
      </c>
      <c r="J1" s="141" t="s">
        <v>178</v>
      </c>
      <c r="K1" s="141" t="s">
        <v>1473</v>
      </c>
      <c r="L1" s="141" t="s">
        <v>485</v>
      </c>
      <c r="M1" s="141" t="s">
        <v>461</v>
      </c>
      <c r="N1" s="141" t="s">
        <v>486</v>
      </c>
      <c r="O1" s="141" t="s">
        <v>487</v>
      </c>
      <c r="P1" s="141" t="s">
        <v>488</v>
      </c>
    </row>
    <row r="2" spans="1:16" x14ac:dyDescent="0.25">
      <c r="A2" s="6">
        <f>ROW()-1</f>
        <v>1</v>
      </c>
      <c r="B2" s="138" t="s">
        <v>189</v>
      </c>
      <c r="C2" s="138" t="s">
        <v>203</v>
      </c>
      <c r="D2" s="138" t="s">
        <v>1248</v>
      </c>
      <c r="E2" s="138" t="s">
        <v>986</v>
      </c>
      <c r="F2" s="144"/>
      <c r="G2" s="144"/>
      <c r="H2" s="7">
        <v>0.6</v>
      </c>
      <c r="I2" s="7">
        <v>0.8</v>
      </c>
      <c r="J2" s="7"/>
      <c r="K2" s="13"/>
      <c r="L2" s="13"/>
      <c r="M2" s="13"/>
      <c r="N2" s="13"/>
      <c r="O2" s="13"/>
      <c r="P2" s="13"/>
    </row>
    <row r="3" spans="1:16" x14ac:dyDescent="0.25">
      <c r="A3" s="6">
        <f t="shared" ref="A3:A26" si="0">ROW()-1</f>
        <v>2</v>
      </c>
      <c r="B3" s="138" t="s">
        <v>189</v>
      </c>
      <c r="C3" s="138" t="s">
        <v>204</v>
      </c>
      <c r="D3" s="138" t="s">
        <v>1249</v>
      </c>
      <c r="E3" s="138" t="s">
        <v>171</v>
      </c>
      <c r="F3" s="144">
        <v>0.5</v>
      </c>
      <c r="G3" s="144">
        <v>0.1</v>
      </c>
      <c r="H3" s="7"/>
      <c r="I3" s="7"/>
      <c r="J3" s="7"/>
      <c r="K3" s="13"/>
      <c r="L3" s="13"/>
      <c r="M3" s="13"/>
      <c r="N3" s="13"/>
      <c r="O3" s="13"/>
      <c r="P3" s="13"/>
    </row>
    <row r="4" spans="1:16" x14ac:dyDescent="0.25">
      <c r="A4" s="6">
        <f t="shared" si="0"/>
        <v>3</v>
      </c>
      <c r="B4" s="138" t="s">
        <v>189</v>
      </c>
      <c r="C4" s="138" t="s">
        <v>205</v>
      </c>
      <c r="D4" s="138" t="s">
        <v>1250</v>
      </c>
      <c r="E4" s="138" t="s">
        <v>986</v>
      </c>
      <c r="F4" s="144"/>
      <c r="G4" s="144">
        <v>0</v>
      </c>
      <c r="H4" s="7">
        <v>0.2</v>
      </c>
      <c r="I4" s="7">
        <v>0.4</v>
      </c>
      <c r="J4" s="7"/>
      <c r="K4" s="13"/>
      <c r="L4" s="13"/>
      <c r="M4" s="13"/>
      <c r="N4" s="13"/>
      <c r="O4" s="13"/>
      <c r="P4" s="13"/>
    </row>
    <row r="5" spans="1:16" x14ac:dyDescent="0.25">
      <c r="A5" s="6">
        <f t="shared" si="0"/>
        <v>4</v>
      </c>
      <c r="B5" s="138" t="s">
        <v>189</v>
      </c>
      <c r="C5" s="138" t="s">
        <v>206</v>
      </c>
      <c r="D5" s="138" t="s">
        <v>1251</v>
      </c>
      <c r="E5" s="138" t="s">
        <v>171</v>
      </c>
      <c r="F5" s="144">
        <v>2.5000000000000001E-2</v>
      </c>
      <c r="G5" s="144">
        <v>5.000000000000001E-3</v>
      </c>
      <c r="H5" s="7"/>
      <c r="I5" s="7"/>
      <c r="J5" s="7"/>
      <c r="K5" s="13"/>
      <c r="L5" s="13"/>
      <c r="M5" s="13"/>
      <c r="N5" s="13"/>
      <c r="O5" s="13"/>
      <c r="P5" s="13"/>
    </row>
    <row r="6" spans="1:16" x14ac:dyDescent="0.25">
      <c r="A6" s="6">
        <f t="shared" si="0"/>
        <v>5</v>
      </c>
      <c r="B6" s="138" t="s">
        <v>189</v>
      </c>
      <c r="C6" s="138" t="s">
        <v>203</v>
      </c>
      <c r="D6" s="138" t="s">
        <v>1252</v>
      </c>
      <c r="E6" s="138" t="s">
        <v>986</v>
      </c>
      <c r="F6" s="144"/>
      <c r="G6" s="144">
        <v>0</v>
      </c>
      <c r="H6" s="7">
        <v>0.3</v>
      </c>
      <c r="I6" s="7">
        <v>0.15</v>
      </c>
      <c r="J6" s="7"/>
      <c r="K6" s="13"/>
      <c r="L6" s="13"/>
      <c r="M6" s="13"/>
      <c r="N6" s="13"/>
      <c r="O6" s="13"/>
      <c r="P6" s="13"/>
    </row>
    <row r="7" spans="1:16" x14ac:dyDescent="0.25">
      <c r="A7" s="6">
        <f t="shared" si="0"/>
        <v>6</v>
      </c>
      <c r="B7" s="138" t="s">
        <v>189</v>
      </c>
      <c r="C7" s="138" t="s">
        <v>204</v>
      </c>
      <c r="D7" s="138" t="s">
        <v>1253</v>
      </c>
      <c r="E7" s="138" t="s">
        <v>171</v>
      </c>
      <c r="F7" s="222">
        <v>0.5</v>
      </c>
      <c r="G7" s="222">
        <v>0.1</v>
      </c>
      <c r="H7" s="137"/>
      <c r="I7" s="137"/>
      <c r="J7" s="137"/>
      <c r="K7" s="13"/>
      <c r="L7" s="13"/>
      <c r="M7" s="13"/>
      <c r="N7" s="13"/>
      <c r="O7" s="13"/>
      <c r="P7" s="13"/>
    </row>
    <row r="8" spans="1:16" x14ac:dyDescent="0.25">
      <c r="A8" s="6">
        <f t="shared" si="0"/>
        <v>7</v>
      </c>
      <c r="B8" s="138" t="s">
        <v>189</v>
      </c>
      <c r="C8" s="138" t="s">
        <v>205</v>
      </c>
      <c r="D8" s="138" t="s">
        <v>1254</v>
      </c>
      <c r="E8" s="138" t="s">
        <v>986</v>
      </c>
      <c r="F8" s="144"/>
      <c r="G8" s="144">
        <v>0</v>
      </c>
      <c r="H8" s="7">
        <v>0.7</v>
      </c>
      <c r="I8" s="7">
        <v>0.85</v>
      </c>
      <c r="J8" s="7"/>
      <c r="K8" s="13"/>
      <c r="L8" s="13"/>
      <c r="M8" s="13"/>
      <c r="N8" s="13"/>
      <c r="O8" s="13"/>
      <c r="P8" s="13"/>
    </row>
    <row r="9" spans="1:16" x14ac:dyDescent="0.25">
      <c r="A9" s="6">
        <f t="shared" si="0"/>
        <v>8</v>
      </c>
      <c r="B9" s="138" t="s">
        <v>189</v>
      </c>
      <c r="C9" s="138" t="s">
        <v>206</v>
      </c>
      <c r="D9" s="138" t="s">
        <v>1255</v>
      </c>
      <c r="E9" s="138" t="s">
        <v>171</v>
      </c>
      <c r="F9" s="222">
        <v>2.5000000000000001E-2</v>
      </c>
      <c r="G9" s="222">
        <v>5.000000000000001E-3</v>
      </c>
      <c r="H9" s="137"/>
      <c r="I9" s="137"/>
      <c r="J9" s="137"/>
      <c r="K9" s="13"/>
      <c r="L9" s="13"/>
      <c r="M9" s="13"/>
      <c r="N9" s="13"/>
      <c r="O9" s="13"/>
      <c r="P9" s="13"/>
    </row>
    <row r="10" spans="1:16" x14ac:dyDescent="0.25">
      <c r="A10" s="6">
        <f>ROW()-1</f>
        <v>9</v>
      </c>
      <c r="B10" s="138" t="s">
        <v>189</v>
      </c>
      <c r="C10" s="138" t="s">
        <v>203</v>
      </c>
      <c r="D10" s="138" t="s">
        <v>1256</v>
      </c>
      <c r="E10" s="138" t="s">
        <v>986</v>
      </c>
      <c r="F10" s="222"/>
      <c r="G10" s="222"/>
      <c r="H10" s="7">
        <v>0.16</v>
      </c>
      <c r="I10" s="7">
        <v>0.01</v>
      </c>
      <c r="J10" s="7"/>
      <c r="K10" s="13"/>
      <c r="L10" s="13"/>
      <c r="M10" s="13"/>
      <c r="N10" s="13"/>
      <c r="O10" s="13"/>
      <c r="P10" s="13"/>
    </row>
    <row r="11" spans="1:16" x14ac:dyDescent="0.25">
      <c r="A11" s="6">
        <f t="shared" si="0"/>
        <v>10</v>
      </c>
      <c r="B11" s="138" t="s">
        <v>189</v>
      </c>
      <c r="C11" s="138" t="s">
        <v>204</v>
      </c>
      <c r="D11" s="138" t="s">
        <v>1257</v>
      </c>
      <c r="E11" s="138" t="s">
        <v>171</v>
      </c>
      <c r="F11" s="222">
        <v>36.5</v>
      </c>
      <c r="G11" s="222">
        <v>0.1</v>
      </c>
      <c r="H11" s="7"/>
      <c r="I11" s="7"/>
      <c r="J11" s="7"/>
      <c r="K11" s="13"/>
      <c r="L11" s="13"/>
      <c r="M11" s="13"/>
      <c r="N11" s="13"/>
      <c r="O11" s="13"/>
      <c r="P11" s="13"/>
    </row>
    <row r="12" spans="1:16" x14ac:dyDescent="0.25">
      <c r="A12" s="6">
        <f t="shared" si="0"/>
        <v>11</v>
      </c>
      <c r="B12" s="138" t="s">
        <v>189</v>
      </c>
      <c r="C12" s="138" t="s">
        <v>205</v>
      </c>
      <c r="D12" s="138" t="s">
        <v>1258</v>
      </c>
      <c r="E12" s="138" t="s">
        <v>986</v>
      </c>
      <c r="F12" s="222"/>
      <c r="G12" s="222"/>
      <c r="H12" s="7">
        <v>0.84</v>
      </c>
      <c r="I12" s="7">
        <v>0.99</v>
      </c>
      <c r="J12" s="7"/>
      <c r="K12" s="13"/>
      <c r="L12" s="13"/>
      <c r="M12" s="13"/>
      <c r="N12" s="13"/>
      <c r="O12" s="13"/>
      <c r="P12" s="13"/>
    </row>
    <row r="13" spans="1:16" x14ac:dyDescent="0.25">
      <c r="A13" s="6">
        <f t="shared" ref="A13:A19" si="1">ROW()-1</f>
        <v>12</v>
      </c>
      <c r="B13" s="138" t="s">
        <v>189</v>
      </c>
      <c r="C13" s="138" t="s">
        <v>206</v>
      </c>
      <c r="D13" s="138" t="s">
        <v>1259</v>
      </c>
      <c r="E13" s="138" t="s">
        <v>171</v>
      </c>
      <c r="F13" s="223"/>
      <c r="G13" s="223"/>
      <c r="H13" s="7">
        <v>9.124999999999999E-4</v>
      </c>
      <c r="I13" s="7">
        <v>3.0659999999999997E-3</v>
      </c>
      <c r="J13" s="7"/>
      <c r="K13" s="13"/>
      <c r="L13" s="13"/>
      <c r="M13" s="13"/>
      <c r="N13" s="13"/>
      <c r="O13" s="13"/>
      <c r="P13" s="13"/>
    </row>
    <row r="14" spans="1:16" x14ac:dyDescent="0.25">
      <c r="A14" s="6">
        <f t="shared" si="1"/>
        <v>13</v>
      </c>
      <c r="B14" s="138" t="s">
        <v>1028</v>
      </c>
      <c r="C14" s="138" t="s">
        <v>404</v>
      </c>
      <c r="D14" s="138" t="s">
        <v>1478</v>
      </c>
      <c r="E14" s="138" t="s">
        <v>171</v>
      </c>
      <c r="F14" s="144">
        <v>0</v>
      </c>
      <c r="G14" s="144">
        <v>0</v>
      </c>
      <c r="H14" s="7"/>
      <c r="I14" s="7"/>
      <c r="J14" s="7"/>
      <c r="K14" s="13" t="s">
        <v>1476</v>
      </c>
      <c r="L14" s="13"/>
      <c r="M14" s="13"/>
      <c r="N14" s="13"/>
      <c r="O14" s="13"/>
      <c r="P14" s="13"/>
    </row>
    <row r="15" spans="1:16" x14ac:dyDescent="0.25">
      <c r="A15" s="6">
        <f t="shared" si="1"/>
        <v>14</v>
      </c>
      <c r="B15" s="138" t="s">
        <v>1028</v>
      </c>
      <c r="C15" s="138" t="s">
        <v>404</v>
      </c>
      <c r="D15" s="138" t="s">
        <v>1479</v>
      </c>
      <c r="E15" s="138" t="s">
        <v>171</v>
      </c>
      <c r="F15" s="144">
        <v>1</v>
      </c>
      <c r="G15" s="144">
        <v>0</v>
      </c>
      <c r="H15" s="7"/>
      <c r="I15" s="7"/>
      <c r="J15" s="7"/>
      <c r="K15" s="13" t="s">
        <v>1477</v>
      </c>
      <c r="L15" s="13"/>
      <c r="M15" s="13"/>
      <c r="N15" s="13"/>
      <c r="O15" s="13"/>
      <c r="P15" s="13"/>
    </row>
    <row r="16" spans="1:16" x14ac:dyDescent="0.25">
      <c r="A16" s="6">
        <f t="shared" si="1"/>
        <v>15</v>
      </c>
      <c r="B16" s="138" t="s">
        <v>1028</v>
      </c>
      <c r="C16" s="138" t="s">
        <v>404</v>
      </c>
      <c r="D16" s="138" t="s">
        <v>1480</v>
      </c>
      <c r="E16" s="138" t="s">
        <v>171</v>
      </c>
      <c r="F16" s="144">
        <v>0</v>
      </c>
      <c r="G16" s="144">
        <v>0</v>
      </c>
      <c r="H16" s="7"/>
      <c r="I16" s="7"/>
      <c r="J16" s="7"/>
      <c r="K16" s="13" t="s">
        <v>1476</v>
      </c>
      <c r="L16" s="13"/>
      <c r="M16" s="13"/>
      <c r="N16" s="13"/>
      <c r="O16" s="13"/>
      <c r="P16" s="13"/>
    </row>
    <row r="17" spans="1:16" x14ac:dyDescent="0.25">
      <c r="A17" s="6">
        <f t="shared" si="1"/>
        <v>16</v>
      </c>
      <c r="B17" s="138" t="s">
        <v>1028</v>
      </c>
      <c r="C17" s="138" t="s">
        <v>405</v>
      </c>
      <c r="D17" s="138" t="s">
        <v>1481</v>
      </c>
      <c r="E17" s="138" t="s">
        <v>171</v>
      </c>
      <c r="F17" s="144">
        <v>0.31197674418604654</v>
      </c>
      <c r="G17" s="144"/>
      <c r="H17" s="7"/>
      <c r="I17" s="7"/>
      <c r="J17" s="7"/>
      <c r="K17" s="13" t="s">
        <v>1477</v>
      </c>
      <c r="L17" s="13"/>
      <c r="M17" s="13"/>
      <c r="N17" s="13"/>
      <c r="O17" s="13"/>
      <c r="P17" s="13"/>
    </row>
    <row r="18" spans="1:16" x14ac:dyDescent="0.25">
      <c r="A18" s="6">
        <f t="shared" si="1"/>
        <v>17</v>
      </c>
      <c r="B18" s="138" t="s">
        <v>1028</v>
      </c>
      <c r="C18" s="138" t="s">
        <v>405</v>
      </c>
      <c r="D18" s="138" t="s">
        <v>1482</v>
      </c>
      <c r="E18" s="138" t="s">
        <v>171</v>
      </c>
      <c r="F18" s="144">
        <v>0.52000000000000013</v>
      </c>
      <c r="G18" s="144"/>
      <c r="H18" s="7"/>
      <c r="I18" s="7"/>
      <c r="J18" s="7"/>
      <c r="K18" s="13" t="s">
        <v>1476</v>
      </c>
      <c r="L18" s="191"/>
      <c r="M18" s="13"/>
      <c r="N18" s="13"/>
      <c r="O18" s="13"/>
      <c r="P18" s="13"/>
    </row>
    <row r="19" spans="1:16" x14ac:dyDescent="0.25">
      <c r="A19" s="6">
        <f t="shared" si="1"/>
        <v>18</v>
      </c>
      <c r="B19" s="138" t="s">
        <v>1028</v>
      </c>
      <c r="C19" s="138" t="s">
        <v>405</v>
      </c>
      <c r="D19" s="138" t="s">
        <v>1483</v>
      </c>
      <c r="E19" s="138" t="s">
        <v>171</v>
      </c>
      <c r="F19" s="144">
        <v>0.1680232558139535</v>
      </c>
      <c r="G19" s="144"/>
      <c r="H19" s="7"/>
      <c r="I19" s="7"/>
      <c r="J19" s="7"/>
      <c r="K19" s="13" t="s">
        <v>1477</v>
      </c>
      <c r="L19" s="13"/>
      <c r="M19" s="13"/>
      <c r="N19" s="13"/>
      <c r="O19" s="13"/>
      <c r="P19" s="13"/>
    </row>
    <row r="20" spans="1:16" x14ac:dyDescent="0.25">
      <c r="A20" s="6">
        <f t="shared" ref="A20:A25" si="2">ROW()-1</f>
        <v>19</v>
      </c>
      <c r="B20" s="138" t="s">
        <v>1028</v>
      </c>
      <c r="C20" s="138" t="s">
        <v>406</v>
      </c>
      <c r="D20" s="138" t="s">
        <v>1484</v>
      </c>
      <c r="E20" s="138" t="s">
        <v>984</v>
      </c>
      <c r="F20" s="144"/>
      <c r="G20" s="144"/>
      <c r="H20" s="224">
        <v>0.41</v>
      </c>
      <c r="I20" s="224">
        <v>0.35</v>
      </c>
      <c r="J20" s="7"/>
      <c r="K20" s="13" t="s">
        <v>1476</v>
      </c>
      <c r="L20" s="13" t="s">
        <v>1487</v>
      </c>
      <c r="M20" s="13"/>
      <c r="N20" s="13"/>
      <c r="O20" s="13"/>
      <c r="P20" s="13"/>
    </row>
    <row r="21" spans="1:16" x14ac:dyDescent="0.25">
      <c r="A21" s="6">
        <f t="shared" si="2"/>
        <v>20</v>
      </c>
      <c r="B21" s="138" t="s">
        <v>1028</v>
      </c>
      <c r="C21" s="138" t="s">
        <v>406</v>
      </c>
      <c r="D21" s="138" t="s">
        <v>1485</v>
      </c>
      <c r="E21" s="138" t="s">
        <v>984</v>
      </c>
      <c r="F21" s="144"/>
      <c r="G21" s="144"/>
      <c r="H21" s="144">
        <v>0</v>
      </c>
      <c r="I21" s="144">
        <v>0</v>
      </c>
      <c r="J21" s="7"/>
      <c r="K21" s="13" t="s">
        <v>1477</v>
      </c>
      <c r="L21" s="13" t="s">
        <v>1487</v>
      </c>
      <c r="M21" s="13"/>
      <c r="N21" s="13"/>
      <c r="O21" s="13"/>
      <c r="P21" s="13"/>
    </row>
    <row r="22" spans="1:16" x14ac:dyDescent="0.25">
      <c r="A22" s="6">
        <f t="shared" si="2"/>
        <v>21</v>
      </c>
      <c r="B22" s="138" t="s">
        <v>1028</v>
      </c>
      <c r="C22" s="138" t="s">
        <v>406</v>
      </c>
      <c r="D22" s="138" t="s">
        <v>1486</v>
      </c>
      <c r="E22" s="138" t="s">
        <v>984</v>
      </c>
      <c r="F22" s="144"/>
      <c r="G22" s="144"/>
      <c r="H22" s="144">
        <v>0.59</v>
      </c>
      <c r="I22" s="144">
        <v>0.65</v>
      </c>
      <c r="J22" s="7"/>
      <c r="K22" s="13" t="s">
        <v>1476</v>
      </c>
      <c r="L22" s="13" t="s">
        <v>1487</v>
      </c>
      <c r="M22" s="13"/>
      <c r="N22" s="13"/>
      <c r="O22" s="13"/>
      <c r="P22" s="13"/>
    </row>
    <row r="23" spans="1:16" x14ac:dyDescent="0.25">
      <c r="A23" s="6">
        <f t="shared" si="2"/>
        <v>22</v>
      </c>
      <c r="B23" s="138"/>
      <c r="C23" s="138"/>
      <c r="D23" s="138"/>
      <c r="E23" s="138"/>
      <c r="F23" s="7"/>
      <c r="G23" s="7"/>
      <c r="H23" s="7"/>
      <c r="I23" s="7"/>
      <c r="J23" s="7"/>
      <c r="K23" s="13"/>
      <c r="L23" s="13"/>
      <c r="M23" s="13"/>
      <c r="N23" s="13"/>
      <c r="O23" s="13"/>
      <c r="P23" s="13"/>
    </row>
    <row r="24" spans="1:16" x14ac:dyDescent="0.25">
      <c r="A24" s="6">
        <f t="shared" si="2"/>
        <v>23</v>
      </c>
      <c r="B24" s="138"/>
      <c r="C24" s="138"/>
      <c r="D24" s="138"/>
      <c r="E24" s="138"/>
      <c r="F24" s="7"/>
      <c r="G24" s="7"/>
      <c r="H24" s="7"/>
      <c r="I24" s="7"/>
      <c r="J24" s="7"/>
      <c r="K24" s="13"/>
      <c r="L24" s="13"/>
      <c r="M24" s="13"/>
      <c r="N24" s="13"/>
      <c r="O24" s="13"/>
      <c r="P24" s="13"/>
    </row>
    <row r="25" spans="1:16" x14ac:dyDescent="0.25">
      <c r="A25" s="6">
        <f t="shared" si="2"/>
        <v>24</v>
      </c>
      <c r="B25" s="138"/>
      <c r="C25" s="138"/>
      <c r="D25" s="138"/>
      <c r="E25" s="138"/>
      <c r="F25" s="7"/>
      <c r="G25" s="7"/>
      <c r="H25" s="7"/>
      <c r="I25" s="7"/>
      <c r="J25" s="7"/>
      <c r="K25" s="13"/>
      <c r="L25" s="13"/>
      <c r="M25" s="13"/>
      <c r="N25" s="13"/>
      <c r="O25" s="13"/>
      <c r="P25" s="13"/>
    </row>
    <row r="26" spans="1:16" x14ac:dyDescent="0.25">
      <c r="A26" s="6">
        <f t="shared" si="0"/>
        <v>25</v>
      </c>
      <c r="B26" s="138"/>
      <c r="C26" s="138"/>
      <c r="D26" s="138"/>
      <c r="E26" s="138"/>
      <c r="F26" s="7"/>
      <c r="G26" s="7"/>
      <c r="H26" s="7"/>
      <c r="I26" s="7"/>
      <c r="J26" s="7"/>
      <c r="K26" s="13"/>
      <c r="L26" s="13"/>
      <c r="M26" s="13"/>
      <c r="N26" s="13"/>
      <c r="O26" s="13"/>
      <c r="P26" s="13"/>
    </row>
    <row r="27" spans="1:16" x14ac:dyDescent="0.25">
      <c r="K27" s="13"/>
      <c r="L27" s="13"/>
      <c r="M27" s="13"/>
      <c r="N27" s="13"/>
      <c r="O27" s="13"/>
      <c r="P27" s="13"/>
    </row>
    <row r="28" spans="1:16" x14ac:dyDescent="0.25">
      <c r="K28" s="13"/>
      <c r="L28" s="13"/>
      <c r="M28" s="13"/>
      <c r="N28" s="13"/>
      <c r="O28" s="13"/>
      <c r="P28" s="13"/>
    </row>
    <row r="29" spans="1:16" x14ac:dyDescent="0.25">
      <c r="K29" s="13"/>
      <c r="L29" s="13"/>
      <c r="M29" s="13"/>
      <c r="N29" s="13"/>
      <c r="O29" s="13"/>
      <c r="P29" s="13"/>
    </row>
    <row r="30" spans="1:16" x14ac:dyDescent="0.25">
      <c r="K30" s="13"/>
      <c r="L30" s="13"/>
      <c r="M30" s="13"/>
      <c r="N30" s="13"/>
      <c r="O30" s="13"/>
      <c r="P30" s="13"/>
    </row>
    <row r="31" spans="1:16" x14ac:dyDescent="0.25">
      <c r="K31" s="13"/>
      <c r="L31" s="13"/>
      <c r="M31" s="13"/>
      <c r="N31" s="13"/>
      <c r="O31" s="13"/>
      <c r="P31" s="13"/>
    </row>
    <row r="32" spans="1:16" x14ac:dyDescent="0.25">
      <c r="K32" s="13"/>
      <c r="L32" s="13"/>
      <c r="M32" s="13"/>
      <c r="N32" s="13"/>
      <c r="O32" s="13"/>
      <c r="P32" s="13"/>
    </row>
    <row r="33" spans="11:16" x14ac:dyDescent="0.25">
      <c r="K33" s="13"/>
      <c r="L33" s="13"/>
      <c r="M33" s="13"/>
      <c r="N33" s="13"/>
      <c r="O33" s="13"/>
      <c r="P33" s="13"/>
    </row>
    <row r="34" spans="11:16" x14ac:dyDescent="0.25">
      <c r="K34" s="13"/>
      <c r="L34" s="13"/>
      <c r="M34" s="13"/>
      <c r="N34" s="13"/>
      <c r="O34" s="13"/>
      <c r="P34" s="13"/>
    </row>
    <row r="35" spans="11:16" x14ac:dyDescent="0.25">
      <c r="K35" s="13"/>
      <c r="L35" s="13"/>
      <c r="M35" s="13"/>
      <c r="N35" s="13"/>
      <c r="O35" s="13"/>
      <c r="P35" s="13"/>
    </row>
    <row r="36" spans="11:16" x14ac:dyDescent="0.25">
      <c r="K36" s="13"/>
      <c r="L36" s="13"/>
      <c r="M36" s="13"/>
      <c r="N36" s="13"/>
      <c r="O36" s="13"/>
      <c r="P36" s="13"/>
    </row>
    <row r="37" spans="11:16" x14ac:dyDescent="0.25">
      <c r="K37" s="13"/>
      <c r="L37" s="13"/>
      <c r="M37" s="13"/>
      <c r="N37" s="13"/>
      <c r="O37" s="13"/>
      <c r="P37" s="13"/>
    </row>
    <row r="38" spans="11:16" x14ac:dyDescent="0.25">
      <c r="K38" s="13"/>
      <c r="L38" s="13"/>
      <c r="M38" s="13"/>
      <c r="N38" s="13"/>
      <c r="O38" s="13"/>
      <c r="P38" s="13"/>
    </row>
    <row r="39" spans="11:16" x14ac:dyDescent="0.25">
      <c r="K39" s="13"/>
      <c r="L39" s="13"/>
      <c r="M39" s="13"/>
      <c r="N39" s="13"/>
      <c r="O39" s="13"/>
      <c r="P39" s="13"/>
    </row>
    <row r="40" spans="11:16" x14ac:dyDescent="0.25">
      <c r="K40" s="13"/>
      <c r="L40" s="13"/>
      <c r="M40" s="13"/>
      <c r="N40" s="13"/>
      <c r="O40" s="13"/>
      <c r="P40" s="13"/>
    </row>
    <row r="41" spans="11:16" x14ac:dyDescent="0.25">
      <c r="K41" s="13"/>
      <c r="L41" s="13"/>
      <c r="M41" s="13"/>
      <c r="N41" s="13"/>
      <c r="O41" s="13"/>
      <c r="P41" s="13"/>
    </row>
    <row r="42" spans="11:16" x14ac:dyDescent="0.25">
      <c r="K42" s="13"/>
      <c r="L42" s="13"/>
      <c r="M42" s="13"/>
      <c r="N42" s="13"/>
      <c r="O42" s="13"/>
      <c r="P42" s="13"/>
    </row>
    <row r="43" spans="11:16" x14ac:dyDescent="0.25">
      <c r="K43" s="13"/>
      <c r="L43" s="13"/>
      <c r="M43" s="13"/>
      <c r="N43" s="13"/>
      <c r="O43" s="13"/>
      <c r="P43" s="13"/>
    </row>
    <row r="44" spans="11:16" x14ac:dyDescent="0.25">
      <c r="K44" s="13"/>
      <c r="L44" s="13"/>
      <c r="M44" s="13"/>
      <c r="N44" s="13"/>
      <c r="O44" s="13"/>
      <c r="P44" s="13"/>
    </row>
    <row r="45" spans="11:16" x14ac:dyDescent="0.25">
      <c r="K45" s="13"/>
      <c r="L45" s="13"/>
      <c r="M45" s="13"/>
      <c r="N45" s="13"/>
      <c r="O45" s="13"/>
      <c r="P45" s="13"/>
    </row>
    <row r="46" spans="11:16" x14ac:dyDescent="0.25">
      <c r="K46" s="13"/>
      <c r="L46" s="13"/>
      <c r="M46" s="13"/>
      <c r="N46" s="13"/>
      <c r="O46" s="13"/>
      <c r="P46" s="13"/>
    </row>
    <row r="47" spans="11:16" x14ac:dyDescent="0.25">
      <c r="K47" s="13"/>
      <c r="L47" s="13"/>
      <c r="M47" s="13"/>
      <c r="N47" s="13"/>
      <c r="O47" s="13"/>
      <c r="P47" s="13"/>
    </row>
    <row r="48" spans="11:16" x14ac:dyDescent="0.25">
      <c r="K48" s="13"/>
      <c r="L48" s="13"/>
      <c r="M48" s="13"/>
      <c r="N48" s="13"/>
      <c r="O48" s="13"/>
      <c r="P48" s="13"/>
    </row>
    <row r="49" spans="11:16" x14ac:dyDescent="0.25">
      <c r="K49" s="13"/>
      <c r="L49" s="13"/>
      <c r="M49" s="13"/>
      <c r="N49" s="13"/>
      <c r="O49" s="13"/>
      <c r="P49" s="13"/>
    </row>
    <row r="50" spans="11:16" x14ac:dyDescent="0.25">
      <c r="K50" s="13"/>
      <c r="L50" s="13"/>
      <c r="M50" s="13"/>
      <c r="N50" s="13"/>
      <c r="O50" s="13"/>
      <c r="P50" s="13"/>
    </row>
    <row r="51" spans="11:16" x14ac:dyDescent="0.25">
      <c r="K51" s="13"/>
      <c r="L51" s="13"/>
      <c r="M51" s="13"/>
      <c r="N51" s="13"/>
      <c r="O51" s="13"/>
      <c r="P51" s="13"/>
    </row>
    <row r="52" spans="11:16" x14ac:dyDescent="0.25">
      <c r="K52" s="13"/>
      <c r="L52" s="13"/>
      <c r="M52" s="13"/>
      <c r="N52" s="13"/>
      <c r="O52" s="13"/>
      <c r="P52" s="13"/>
    </row>
    <row r="53" spans="11:16" x14ac:dyDescent="0.25">
      <c r="K53" s="13"/>
      <c r="L53" s="13"/>
      <c r="M53" s="13"/>
      <c r="N53" s="13"/>
      <c r="O53" s="13"/>
      <c r="P53" s="13"/>
    </row>
    <row r="54" spans="11:16" x14ac:dyDescent="0.25">
      <c r="K54" s="13"/>
      <c r="L54" s="13"/>
      <c r="M54" s="13"/>
      <c r="N54" s="13"/>
      <c r="O54" s="13"/>
      <c r="P54" s="13"/>
    </row>
    <row r="55" spans="11:16" x14ac:dyDescent="0.25">
      <c r="K55" s="13"/>
      <c r="L55" s="13"/>
      <c r="M55" s="13"/>
      <c r="N55" s="13"/>
      <c r="O55" s="13"/>
      <c r="P55" s="13"/>
    </row>
    <row r="56" spans="11:16" x14ac:dyDescent="0.25">
      <c r="K56" s="13"/>
      <c r="L56" s="13"/>
      <c r="M56" s="13"/>
      <c r="N56" s="13"/>
      <c r="O56" s="13"/>
      <c r="P56" s="13"/>
    </row>
    <row r="57" spans="11:16" x14ac:dyDescent="0.25">
      <c r="K57" s="13"/>
      <c r="L57" s="13"/>
      <c r="M57" s="13"/>
      <c r="N57" s="13"/>
      <c r="O57" s="13"/>
      <c r="P57" s="13"/>
    </row>
  </sheetData>
  <dataConsolidate/>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E2:E26</xm:sqref>
        </x14:dataValidation>
        <x14:dataValidation type="list" allowBlank="1" showInputMessage="1" showErrorMessage="1" xr:uid="{660B42E1-B76E-4FAC-9854-B285B5571AF6}">
          <x14:formula1>
            <xm:f>'7_2_Codelists'!$B$161:$B$176</xm:f>
          </x14:formula1>
          <xm:sqref>B2:B26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981</v>
      </c>
      <c r="D1" s="141" t="s">
        <v>187</v>
      </c>
      <c r="E1" s="141" t="s">
        <v>172</v>
      </c>
      <c r="F1" s="141" t="s">
        <v>209</v>
      </c>
      <c r="G1" s="141" t="s">
        <v>188</v>
      </c>
      <c r="H1" s="141" t="s">
        <v>427</v>
      </c>
      <c r="I1" s="141" t="s">
        <v>428</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opLeftCell="D1" zoomScale="145" zoomScaleNormal="145" workbookViewId="0">
      <selection activeCell="I23" sqref="I23"/>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362</v>
      </c>
      <c r="F1" s="141" t="s">
        <v>246</v>
      </c>
      <c r="G1" s="141" t="s">
        <v>247</v>
      </c>
      <c r="H1" s="141" t="s">
        <v>382</v>
      </c>
      <c r="I1" s="141" t="s">
        <v>383</v>
      </c>
      <c r="J1" s="141" t="s">
        <v>384</v>
      </c>
      <c r="K1" s="141" t="s">
        <v>387</v>
      </c>
      <c r="L1" s="141" t="s">
        <v>385</v>
      </c>
      <c r="M1" s="141" t="s">
        <v>388</v>
      </c>
      <c r="N1" s="141" t="s">
        <v>386</v>
      </c>
      <c r="O1" s="141" t="s">
        <v>389</v>
      </c>
      <c r="P1" s="141" t="s">
        <v>4</v>
      </c>
    </row>
    <row r="2" spans="1:16" x14ac:dyDescent="0.25">
      <c r="A2" s="154" t="b">
        <v>0</v>
      </c>
      <c r="B2" s="6">
        <f t="shared" ref="B2:B47" si="0">ROW()-1</f>
        <v>1</v>
      </c>
      <c r="C2" s="20" t="str">
        <f>_xlfn.XLOOKUP($D2,Tab_Def_Processes[Process_Name],Tab_Def_Processes[ID],,0,)</f>
        <v>00</v>
      </c>
      <c r="D2" s="6" t="str">
        <f>Tab_Def_Processes[[#This Row],[Process_Name]]</f>
        <v>Atmosphere</v>
      </c>
      <c r="E2" s="155" t="s">
        <v>273</v>
      </c>
      <c r="F2" s="155" t="s">
        <v>274</v>
      </c>
      <c r="G2" s="6" t="str">
        <f>_xlfn.XLOOKUP($F2,Table32[Color_Name],Table32[Hex_Code],,0,)</f>
        <v>#228B22</v>
      </c>
      <c r="H2" s="7">
        <v>0.1</v>
      </c>
      <c r="I2" s="7">
        <v>0.1</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Environment</v>
      </c>
      <c r="E3" s="155" t="s">
        <v>273</v>
      </c>
      <c r="F3" s="155" t="s">
        <v>290</v>
      </c>
      <c r="G3" s="6" t="str">
        <f>_xlfn.XLOOKUP($F3,Table32[Color_Name],Table32[Hex_Code],,0,)</f>
        <v>#F5DEB3</v>
      </c>
      <c r="H3" s="7">
        <v>0.2</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Cultivation</v>
      </c>
      <c r="E4" s="155" t="s">
        <v>273</v>
      </c>
      <c r="F4" s="155" t="s">
        <v>290</v>
      </c>
      <c r="G4" s="6" t="str">
        <f>_xlfn.XLOOKUP($F4,Table32[Color_Name],Table32[Hex_Code],,0,)</f>
        <v>#F5DEB3</v>
      </c>
      <c r="H4" s="7">
        <v>0.3</v>
      </c>
      <c r="I4" s="7">
        <v>0.3</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Harvest</v>
      </c>
      <c r="E5" s="155" t="s">
        <v>273</v>
      </c>
      <c r="F5" s="155" t="s">
        <v>290</v>
      </c>
      <c r="G5" s="6" t="str">
        <f>_xlfn.XLOOKUP($F5,Table32[Color_Name],Table32[Hex_Code],,0,)</f>
        <v>#F5DEB3</v>
      </c>
      <c r="H5" s="7">
        <v>0.4</v>
      </c>
      <c r="I5" s="7">
        <v>0.4</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Grain Processing &amp; Consumption</v>
      </c>
      <c r="E6" s="155" t="s">
        <v>273</v>
      </c>
      <c r="F6" s="155" t="s">
        <v>290</v>
      </c>
      <c r="G6" s="6" t="str">
        <f>_xlfn.XLOOKUP($F6,Table32[Color_Name],Table32[Hex_Code],,0,)</f>
        <v>#F5DEB3</v>
      </c>
      <c r="H6" s="7">
        <v>0.5</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Straw Collection &amp; Distribution</v>
      </c>
      <c r="E7" s="155" t="s">
        <v>273</v>
      </c>
      <c r="F7" s="155" t="s">
        <v>290</v>
      </c>
      <c r="G7" s="6" t="str">
        <f>_xlfn.XLOOKUP($F7,Table32[Color_Name],Table32[Hex_Code],,0,)</f>
        <v>#F5DEB3</v>
      </c>
      <c r="H7" s="7">
        <v>0.6</v>
      </c>
      <c r="I7" s="7">
        <v>0.6</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Direct Incorporation</v>
      </c>
      <c r="E8" s="155" t="s">
        <v>273</v>
      </c>
      <c r="F8" s="155" t="s">
        <v>290</v>
      </c>
      <c r="G8" s="6" t="str">
        <f>_xlfn.XLOOKUP($F8,Table32[Color_Name],Table32[Hex_Code],,0,)</f>
        <v>#F5DEB3</v>
      </c>
      <c r="H8" s="7">
        <v>0.7</v>
      </c>
      <c r="I8" s="7">
        <v>0.7</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Lithosphere (P&amp;I)</v>
      </c>
      <c r="E9" s="155" t="s">
        <v>273</v>
      </c>
      <c r="F9" s="155" t="s">
        <v>286</v>
      </c>
      <c r="G9" s="6" t="str">
        <f>_xlfn.XLOOKUP($F9,Table32[Color_Name],Table32[Hex_Code],,0,)</f>
        <v>#8B4513</v>
      </c>
      <c r="H9" s="7">
        <v>0.8</v>
      </c>
      <c r="I9" s="7">
        <v>0.8</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Lithosphere (I)</v>
      </c>
      <c r="E10" s="155" t="s">
        <v>273</v>
      </c>
      <c r="F10" s="155" t="s">
        <v>290</v>
      </c>
      <c r="G10" s="6" t="str">
        <f>_xlfn.XLOOKUP($F10,Table32[Color_Name],Table32[Hex_Code],,0,)</f>
        <v>#F5DEB3</v>
      </c>
      <c r="H10" s="7">
        <v>0.9</v>
      </c>
      <c r="I10" s="7">
        <v>0.9</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Composting &amp; Incorporation</v>
      </c>
      <c r="E11" s="155" t="s">
        <v>273</v>
      </c>
      <c r="F11" s="155" t="s">
        <v>307</v>
      </c>
      <c r="G11" s="6" t="str">
        <f>_xlfn.XLOOKUP($F11,Table32[Color_Name],Table32[Hex_Code],,0,)</f>
        <v>#87CEEB</v>
      </c>
      <c r="H11" s="7">
        <v>1</v>
      </c>
      <c r="I11" s="7">
        <v>1</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Lithosphere (C&amp;I)</v>
      </c>
      <c r="E12" s="155" t="s">
        <v>273</v>
      </c>
      <c r="F12" s="155" t="s">
        <v>286</v>
      </c>
      <c r="G12" s="6" t="str">
        <f>_xlfn.XLOOKUP($F12,Table32[Color_Name],Table32[Hex_Code],,0,)</f>
        <v>#8B4513</v>
      </c>
      <c r="H12" s="7">
        <v>1.1000000000000001</v>
      </c>
      <c r="I12" s="7">
        <v>1.1000000000000001</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Water_Composting</v>
      </c>
      <c r="E13" s="155" t="s">
        <v>328</v>
      </c>
      <c r="F13" s="155" t="s">
        <v>286</v>
      </c>
      <c r="G13" s="6" t="str">
        <f>_xlfn.XLOOKUP($F13,Table32[Color_Name],Table32[Hex_Code],,0,)</f>
        <v>#8B4513</v>
      </c>
      <c r="H13" s="7">
        <v>1.2</v>
      </c>
      <c r="I13" s="7">
        <v>1.2</v>
      </c>
      <c r="J13" s="7">
        <v>0.9</v>
      </c>
      <c r="K13" s="7">
        <v>0.6</v>
      </c>
      <c r="L13" s="7">
        <v>0.9</v>
      </c>
      <c r="M13" s="7">
        <v>0.6</v>
      </c>
      <c r="N13" s="7">
        <v>0.9</v>
      </c>
      <c r="O13" s="7">
        <v>0.6</v>
      </c>
      <c r="P13" s="7"/>
    </row>
    <row r="14" spans="1:16" x14ac:dyDescent="0.25">
      <c r="A14" s="154" t="b">
        <v>0</v>
      </c>
      <c r="B14" s="6">
        <f t="shared" si="0"/>
        <v>13</v>
      </c>
      <c r="C14" s="20" t="str">
        <f>_xlfn.XLOOKUP($D14,Tab_Def_Processes[Process_Name],Tab_Def_Processes[ID],,0,)</f>
        <v>12</v>
      </c>
      <c r="D14" s="6" t="str">
        <f>Tab_Def_Processes[[#This Row],[Process_Name]]</f>
        <v>Pyrolysis</v>
      </c>
      <c r="E14" s="155" t="s">
        <v>328</v>
      </c>
      <c r="F14" s="155" t="s">
        <v>286</v>
      </c>
      <c r="G14" s="6" t="str">
        <f>_xlfn.XLOOKUP($F14,Table32[Color_Name],Table32[Hex_Code],,0,)</f>
        <v>#8B4513</v>
      </c>
      <c r="H14" s="7">
        <v>1.3</v>
      </c>
      <c r="I14" s="7">
        <v>1.3</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c r="F15" s="155"/>
      <c r="G15" s="6" t="e">
        <f>_xlfn.XLOOKUP($F15,Table32[Color_Name],Table32[Hex_Code],,0,)</f>
        <v>#N/A</v>
      </c>
      <c r="H15" s="7">
        <v>1.4</v>
      </c>
      <c r="I15" s="7">
        <v>1.4</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e">
        <f>_xlfn.XLOOKUP($D17,Tab_Def_Processes[Process_Name],Tab_Def_Processes[ID],,0,)</f>
        <v>#N/A</v>
      </c>
      <c r="D17" s="6">
        <f>Tab_Def_Processes[[#This Row],[Process_Name]]</f>
        <v>0</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e">
        <f>_xlfn.XLOOKUP($D18,Tab_Def_Processes[Process_Name],Tab_Def_Processes[ID],,0,)</f>
        <v>#N/A</v>
      </c>
      <c r="D18" s="6">
        <f>Tab_Def_Processes[[#This Row],[Process_Name]]</f>
        <v>0</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e">
        <f>_xlfn.XLOOKUP($D19,Tab_Def_Processes[Process_Name],Tab_Def_Processes[ID],,0,)</f>
        <v>#N/A</v>
      </c>
      <c r="D19" s="6">
        <f>Tab_Def_Processes[[#This Row],[Process_Name]]</f>
        <v>0</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e">
        <f>_xlfn.XLOOKUP($D20,Tab_Def_Processes[Process_Name],Tab_Def_Processes[ID],,0,)</f>
        <v>#N/A</v>
      </c>
      <c r="D20" s="6">
        <f>Tab_Def_Processes[[#This Row],[Process_Name]]</f>
        <v>0</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e">
        <f>_xlfn.XLOOKUP($D21,Tab_Def_Processes[Process_Name],Tab_Def_Processes[ID],,0,)</f>
        <v>#N/A</v>
      </c>
      <c r="D21" s="6">
        <f>Tab_Def_Processes[[#This Row],[Process_Name]]</f>
        <v>0</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e">
        <f>_xlfn.XLOOKUP($D22,Tab_Def_Processes[Process_Name],Tab_Def_Processes[ID],,0,)</f>
        <v>#N/A</v>
      </c>
      <c r="D22" s="6">
        <f>Tab_Def_Processes[[#This Row],[Process_Name]]</f>
        <v>0</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e">
        <f>_xlfn.XLOOKUP($D23,Tab_Def_Processes[Process_Name],Tab_Def_Processes[ID],,0,)</f>
        <v>#N/A</v>
      </c>
      <c r="D23" s="6">
        <f>Tab_Def_Processes[[#This Row],[Process_Name]]</f>
        <v>0</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e">
        <f>_xlfn.XLOOKUP($D24,Tab_Def_Processes[Process_Name],Tab_Def_Processes[ID],,0,)</f>
        <v>#N/A</v>
      </c>
      <c r="D24" s="6">
        <f>Tab_Def_Processes[[#This Row],[Process_Name]]</f>
        <v>0</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W54" sqref="W54"/>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248</v>
      </c>
      <c r="E1" s="141" t="s">
        <v>363</v>
      </c>
      <c r="F1" s="141" t="s">
        <v>4</v>
      </c>
    </row>
    <row r="2" spans="1:6" x14ac:dyDescent="0.25">
      <c r="A2" s="8">
        <f>ROW()-1</f>
        <v>1</v>
      </c>
      <c r="B2" s="6" t="str">
        <f>_xlfn.XLOOKUP(C2,Tab_Def_Flows[Flow_Name],Tab_Def_Flows[Flow_ID],,0,)</f>
        <v>F_00_02</v>
      </c>
      <c r="C2" s="6" t="str">
        <f>Tab_Def_Flows[[#This Row],[Flow_Name]]</f>
        <v>Atmosphere_Input_C</v>
      </c>
      <c r="D2" s="138" t="s">
        <v>307</v>
      </c>
      <c r="E2" s="6" t="str">
        <f>_xlfn.XLOOKUP($D2,Table32[Color_Name],Table32[Hex_Code],,0,)</f>
        <v>#87CEEB</v>
      </c>
      <c r="F2" s="13"/>
    </row>
    <row r="3" spans="1:6" x14ac:dyDescent="0.25">
      <c r="A3" s="8">
        <f t="shared" ref="A3:A51" si="0">ROW()-1</f>
        <v>2</v>
      </c>
      <c r="B3" s="6" t="str">
        <f>_xlfn.XLOOKUP(C3,Tab_Def_Flows[Flow_Name],Tab_Def_Flows[Flow_ID],,0,)</f>
        <v>F_01_02</v>
      </c>
      <c r="C3" s="6" t="str">
        <f>Tab_Def_Flows[[#This Row],[Flow_Name]]</f>
        <v>Environment_Input_E</v>
      </c>
      <c r="D3" s="138" t="s">
        <v>274</v>
      </c>
      <c r="E3" s="6" t="str">
        <f>_xlfn.XLOOKUP($D3,Table32[Color_Name],Table32[Hex_Code],,0,)</f>
        <v>#228B22</v>
      </c>
      <c r="F3" s="13"/>
    </row>
    <row r="4" spans="1:6" x14ac:dyDescent="0.25">
      <c r="A4" s="8">
        <f t="shared" si="0"/>
        <v>3</v>
      </c>
      <c r="B4" s="6" t="str">
        <f>_xlfn.XLOOKUP(C4,Tab_Def_Flows[Flow_Name],Tab_Def_Flows[Flow_ID],,0,)</f>
        <v>F_02_03</v>
      </c>
      <c r="C4" s="6" t="str">
        <f>Tab_Def_Flows[[#This Row],[Flow_Name]]</f>
        <v>Wheat Plant</v>
      </c>
      <c r="D4" s="138" t="s">
        <v>290</v>
      </c>
      <c r="E4" s="6" t="str">
        <f>_xlfn.XLOOKUP($D4,Table32[Color_Name],Table32[Hex_Code],,0,)</f>
        <v>#F5DEB3</v>
      </c>
      <c r="F4" s="13"/>
    </row>
    <row r="5" spans="1:6" x14ac:dyDescent="0.25">
      <c r="A5" s="8">
        <f t="shared" si="0"/>
        <v>4</v>
      </c>
      <c r="B5" s="6" t="str">
        <f>_xlfn.XLOOKUP(C5,Tab_Def_Flows[Flow_Name],Tab_Def_Flows[Flow_ID],,0,)</f>
        <v>F_03_04</v>
      </c>
      <c r="C5" s="6" t="str">
        <f>Tab_Def_Flows[[#This Row],[Flow_Name]]</f>
        <v>Grain</v>
      </c>
      <c r="D5" s="138" t="s">
        <v>290</v>
      </c>
      <c r="E5" s="6" t="str">
        <f>_xlfn.XLOOKUP($D5,Table32[Color_Name],Table32[Hex_Code],,0,)</f>
        <v>#F5DEB3</v>
      </c>
      <c r="F5" s="13"/>
    </row>
    <row r="6" spans="1:6" x14ac:dyDescent="0.25">
      <c r="A6" s="8">
        <f t="shared" si="0"/>
        <v>5</v>
      </c>
      <c r="B6" s="6" t="str">
        <f>_xlfn.XLOOKUP(C6,Tab_Def_Flows[Flow_Name],Tab_Def_Flows[Flow_ID],,0,)</f>
        <v>F_03_05</v>
      </c>
      <c r="C6" s="6" t="str">
        <f>Tab_Def_Flows[[#This Row],[Flow_Name]]</f>
        <v>Straw</v>
      </c>
      <c r="D6" s="138" t="s">
        <v>290</v>
      </c>
      <c r="E6" s="6" t="str">
        <f>_xlfn.XLOOKUP($D6,Table32[Color_Name],Table32[Hex_Code],,0,)</f>
        <v>#F5DEB3</v>
      </c>
      <c r="F6" s="13"/>
    </row>
    <row r="7" spans="1:6" x14ac:dyDescent="0.25">
      <c r="A7" s="8">
        <f t="shared" si="0"/>
        <v>6</v>
      </c>
      <c r="B7" s="6" t="str">
        <f>_xlfn.XLOOKUP(C7,Tab_Def_Flows[Flow_Name],Tab_Def_Flows[Flow_ID],,0,)</f>
        <v>F_04_00</v>
      </c>
      <c r="C7" s="6" t="str">
        <f>Tab_Def_Flows[[#This Row],[Flow_Name]]</f>
        <v>Food_Emissions_C</v>
      </c>
      <c r="D7" s="138" t="s">
        <v>307</v>
      </c>
      <c r="E7" s="6" t="str">
        <f>_xlfn.XLOOKUP($D7,Table32[Color_Name],Table32[Hex_Code],,0,)</f>
        <v>#87CEEB</v>
      </c>
      <c r="F7" s="13"/>
    </row>
    <row r="8" spans="1:6" x14ac:dyDescent="0.25">
      <c r="A8" s="8">
        <f t="shared" si="0"/>
        <v>7</v>
      </c>
      <c r="B8" s="6" t="str">
        <f>_xlfn.XLOOKUP(C8,Tab_Def_Flows[Flow_Name],Tab_Def_Flows[Flow_ID],,0,)</f>
        <v>F_04_01</v>
      </c>
      <c r="C8" s="6" t="str">
        <f>Tab_Def_Flows[[#This Row],[Flow_Name]]</f>
        <v>Food_Emissions_E</v>
      </c>
      <c r="D8" s="138" t="s">
        <v>274</v>
      </c>
      <c r="E8" s="6" t="str">
        <f>_xlfn.XLOOKUP($D8,Table32[Color_Name],Table32[Hex_Code],,0,)</f>
        <v>#228B22</v>
      </c>
      <c r="F8" s="13"/>
    </row>
    <row r="9" spans="1:6" x14ac:dyDescent="0.25">
      <c r="A9" s="8">
        <f t="shared" si="0"/>
        <v>8</v>
      </c>
      <c r="B9" s="6" t="str">
        <f>_xlfn.XLOOKUP(C9,Tab_Def_Flows[Flow_Name],Tab_Def_Flows[Flow_ID],,0,)</f>
        <v>F_05_06</v>
      </c>
      <c r="C9" s="6" t="str">
        <f>Tab_Def_Flows[[#This Row],[Flow_Name]]</f>
        <v>Straw_incorperation</v>
      </c>
      <c r="D9" s="138" t="s">
        <v>290</v>
      </c>
      <c r="E9" s="6" t="str">
        <f>_xlfn.XLOOKUP($D9,Table32[Color_Name],Table32[Hex_Code],,0,)</f>
        <v>#F5DEB3</v>
      </c>
      <c r="F9" s="13"/>
    </row>
    <row r="10" spans="1:6" x14ac:dyDescent="0.25">
      <c r="A10" s="8">
        <f t="shared" si="0"/>
        <v>9</v>
      </c>
      <c r="B10" s="6" t="str">
        <f>_xlfn.XLOOKUP(C10,Tab_Def_Flows[Flow_Name],Tab_Def_Flows[Flow_ID],,0,)</f>
        <v>F_06_08</v>
      </c>
      <c r="C10" s="6" t="str">
        <f>Tab_Def_Flows[[#This Row],[Flow_Name]]</f>
        <v>Straw_lithosphere</v>
      </c>
      <c r="D10" s="138" t="s">
        <v>290</v>
      </c>
      <c r="E10" s="6" t="str">
        <f>_xlfn.XLOOKUP($D10,Table32[Color_Name],Table32[Hex_Code],,0,)</f>
        <v>#F5DEB3</v>
      </c>
      <c r="F10" s="13"/>
    </row>
    <row r="11" spans="1:6" x14ac:dyDescent="0.25">
      <c r="A11" s="8">
        <f t="shared" si="0"/>
        <v>10</v>
      </c>
      <c r="B11" s="6" t="str">
        <f>_xlfn.XLOOKUP(C11,Tab_Def_Flows[Flow_Name],Tab_Def_Flows[Flow_ID],,0,)</f>
        <v>F_05_12</v>
      </c>
      <c r="C11" s="6" t="str">
        <f>Tab_Def_Flows[[#This Row],[Flow_Name]]</f>
        <v>Straw_Pyrolisis</v>
      </c>
      <c r="D11" s="138" t="s">
        <v>290</v>
      </c>
      <c r="E11" s="6" t="str">
        <f>_xlfn.XLOOKUP($D11,Table32[Color_Name],Table32[Hex_Code],,0,)</f>
        <v>#F5DEB3</v>
      </c>
      <c r="F11" s="13"/>
    </row>
    <row r="12" spans="1:6" x14ac:dyDescent="0.25">
      <c r="A12" s="8">
        <f t="shared" si="0"/>
        <v>11</v>
      </c>
      <c r="B12" s="6" t="str">
        <f>_xlfn.XLOOKUP(C12,Tab_Def_Flows[Flow_Name],Tab_Def_Flows[Flow_ID],,0,)</f>
        <v>F_12_00</v>
      </c>
      <c r="C12" s="6" t="str">
        <f>Tab_Def_Flows[[#This Row],[Flow_Name]]</f>
        <v>Pyrolisis_Emissions_C</v>
      </c>
      <c r="D12" s="138" t="s">
        <v>307</v>
      </c>
      <c r="E12" s="6" t="str">
        <f>_xlfn.XLOOKUP($D12,Table32[Color_Name],Table32[Hex_Code],,0,)</f>
        <v>#87CEEB</v>
      </c>
      <c r="F12" s="13"/>
    </row>
    <row r="13" spans="1:6" x14ac:dyDescent="0.25">
      <c r="A13" s="8">
        <f t="shared" si="0"/>
        <v>12</v>
      </c>
      <c r="B13" s="6" t="str">
        <f>_xlfn.XLOOKUP(C13,Tab_Def_Flows[Flow_Name],Tab_Def_Flows[Flow_ID],,0,)</f>
        <v>F_12_01</v>
      </c>
      <c r="C13" s="6" t="str">
        <f>Tab_Def_Flows[[#This Row],[Flow_Name]]</f>
        <v>Pyrolisis_Emissions_E</v>
      </c>
      <c r="D13" s="138" t="s">
        <v>274</v>
      </c>
      <c r="E13" s="6" t="str">
        <f>_xlfn.XLOOKUP($D13,Table32[Color_Name],Table32[Hex_Code],,0,)</f>
        <v>#228B22</v>
      </c>
      <c r="F13" s="13"/>
    </row>
    <row r="14" spans="1:6" x14ac:dyDescent="0.25">
      <c r="A14" s="8">
        <f t="shared" si="0"/>
        <v>13</v>
      </c>
      <c r="B14" s="6" t="str">
        <f>_xlfn.XLOOKUP(C14,Tab_Def_Flows[Flow_Name],Tab_Def_Flows[Flow_ID],,0,)</f>
        <v>F_08_00</v>
      </c>
      <c r="C14" s="6" t="str">
        <f>Tab_Def_Flows[[#This Row],[Flow_Name]]</f>
        <v>Lithosphere(I)_Emissions_C</v>
      </c>
      <c r="D14" s="138" t="s">
        <v>307</v>
      </c>
      <c r="E14" s="6" t="str">
        <f>_xlfn.XLOOKUP($D14,Table32[Color_Name],Table32[Hex_Code],,0,)</f>
        <v>#87CEEB</v>
      </c>
      <c r="F14" s="13"/>
    </row>
    <row r="15" spans="1:6" x14ac:dyDescent="0.25">
      <c r="A15" s="8">
        <f t="shared" si="0"/>
        <v>14</v>
      </c>
      <c r="B15" s="6" t="str">
        <f>_xlfn.XLOOKUP(C15,Tab_Def_Flows[Flow_Name],Tab_Def_Flows[Flow_ID],,0,)</f>
        <v>F_08_01</v>
      </c>
      <c r="C15" s="6" t="str">
        <f>Tab_Def_Flows[[#This Row],[Flow_Name]]</f>
        <v>Lithosphere(I)_Emissions_E</v>
      </c>
      <c r="D15" s="138" t="s">
        <v>274</v>
      </c>
      <c r="E15" s="6" t="str">
        <f>_xlfn.XLOOKUP($D15,Table32[Color_Name],Table32[Hex_Code],,0,)</f>
        <v>#228B22</v>
      </c>
      <c r="F15" s="13"/>
    </row>
    <row r="16" spans="1:6" x14ac:dyDescent="0.25">
      <c r="A16" s="8">
        <f t="shared" si="0"/>
        <v>15</v>
      </c>
      <c r="B16" s="6" t="str">
        <f>_xlfn.XLOOKUP(C16,Tab_Def_Flows[Flow_Name],Tab_Def_Flows[Flow_ID],,0,)</f>
        <v>F_05_09</v>
      </c>
      <c r="C16" s="6" t="str">
        <f>Tab_Def_Flows[[#This Row],[Flow_Name]]</f>
        <v>Straw_Compost</v>
      </c>
      <c r="D16" s="138" t="s">
        <v>290</v>
      </c>
      <c r="E16" s="6" t="str">
        <f>_xlfn.XLOOKUP($D16,Table32[Color_Name],Table32[Hex_Code],,0,)</f>
        <v>#F5DEB3</v>
      </c>
      <c r="F16" s="13"/>
    </row>
    <row r="17" spans="1:6" x14ac:dyDescent="0.25">
      <c r="A17" s="8">
        <f t="shared" si="0"/>
        <v>16</v>
      </c>
      <c r="B17" s="6" t="str">
        <f>_xlfn.XLOOKUP(C17,Tab_Def_Flows[Flow_Name],Tab_Def_Flows[Flow_ID],,0,)</f>
        <v>F_09_00</v>
      </c>
      <c r="C17" s="6" t="str">
        <f>Tab_Def_Flows[[#This Row],[Flow_Name]]</f>
        <v>Compost_Emissions_C</v>
      </c>
      <c r="D17" s="138" t="s">
        <v>307</v>
      </c>
      <c r="E17" s="6" t="str">
        <f>_xlfn.XLOOKUP($D17,Table32[Color_Name],Table32[Hex_Code],,0,)</f>
        <v>#87CEEB</v>
      </c>
      <c r="F17" s="13"/>
    </row>
    <row r="18" spans="1:6" x14ac:dyDescent="0.25">
      <c r="A18" s="8">
        <f t="shared" si="0"/>
        <v>17</v>
      </c>
      <c r="B18" s="6" t="str">
        <f>_xlfn.XLOOKUP(C18,Tab_Def_Flows[Flow_Name],Tab_Def_Flows[Flow_ID],,0,)</f>
        <v>F_09_01</v>
      </c>
      <c r="C18" s="6" t="str">
        <f>Tab_Def_Flows[[#This Row],[Flow_Name]]</f>
        <v>Compost_Emissions_E</v>
      </c>
      <c r="D18" s="138" t="s">
        <v>274</v>
      </c>
      <c r="E18" s="6" t="str">
        <f>_xlfn.XLOOKUP($D18,Table32[Color_Name],Table32[Hex_Code],,0,)</f>
        <v>#228B22</v>
      </c>
      <c r="F18" s="13"/>
    </row>
    <row r="19" spans="1:6" x14ac:dyDescent="0.25">
      <c r="A19" s="8">
        <f t="shared" si="0"/>
        <v>18</v>
      </c>
      <c r="B19" s="6" t="str">
        <f>_xlfn.XLOOKUP(C19,Tab_Def_Flows[Flow_Name],Tab_Def_Flows[Flow_ID],,0,)</f>
        <v>F_10_00</v>
      </c>
      <c r="C19" s="6" t="str">
        <f>Tab_Def_Flows[[#This Row],[Flow_Name]]</f>
        <v>Lithosphere(CI)_Emissions_C</v>
      </c>
      <c r="D19" s="138" t="s">
        <v>307</v>
      </c>
      <c r="E19" s="6" t="str">
        <f>_xlfn.XLOOKUP($D19,Table32[Color_Name],Table32[Hex_Code],,0,)</f>
        <v>#87CEEB</v>
      </c>
      <c r="F19" s="13"/>
    </row>
    <row r="20" spans="1:6" x14ac:dyDescent="0.25">
      <c r="A20" s="8">
        <f t="shared" si="0"/>
        <v>19</v>
      </c>
      <c r="B20" s="6" t="str">
        <f>_xlfn.XLOOKUP(C20,Tab_Def_Flows[Flow_Name],Tab_Def_Flows[Flow_ID],,0,)</f>
        <v>F_10_01</v>
      </c>
      <c r="C20" s="6" t="str">
        <f>Tab_Def_Flows[[#This Row],[Flow_Name]]</f>
        <v>Lithosphere(CI)_Emissions_E</v>
      </c>
      <c r="D20" s="138" t="s">
        <v>274</v>
      </c>
      <c r="E20" s="6" t="str">
        <f>_xlfn.XLOOKUP($D20,Table32[Color_Name],Table32[Hex_Code],,0,)</f>
        <v>#228B22</v>
      </c>
      <c r="F20" s="13"/>
    </row>
    <row r="21" spans="1:6" x14ac:dyDescent="0.25">
      <c r="A21" s="8">
        <f t="shared" si="0"/>
        <v>20</v>
      </c>
      <c r="B21" s="6" t="str">
        <f>_xlfn.XLOOKUP(C21,Tab_Def_Flows[Flow_Name],Tab_Def_Flows[Flow_ID],,0,)</f>
        <v>F_09_10</v>
      </c>
      <c r="C21" s="6" t="str">
        <f>Tab_Def_Flows[[#This Row],[Flow_Name]]</f>
        <v>Compost_lithosphere</v>
      </c>
      <c r="D21" s="138" t="s">
        <v>290</v>
      </c>
      <c r="E21" s="6" t="str">
        <f>_xlfn.XLOOKUP($D21,Table32[Color_Name],Table32[Hex_Code],,0,)</f>
        <v>#F5DEB3</v>
      </c>
      <c r="F21" s="13"/>
    </row>
    <row r="22" spans="1:6" x14ac:dyDescent="0.25">
      <c r="A22" s="8">
        <f t="shared" si="0"/>
        <v>21</v>
      </c>
      <c r="B22" s="6" t="str">
        <f>_xlfn.XLOOKUP(C22,Tab_Def_Flows[Flow_Name],Tab_Def_Flows[Flow_ID],,0,)</f>
        <v>F_01_09</v>
      </c>
      <c r="C22" s="6" t="str">
        <f>Tab_Def_Flows[[#This Row],[Flow_Name]]</f>
        <v>Water Compost</v>
      </c>
      <c r="D22" s="138" t="s">
        <v>274</v>
      </c>
      <c r="E22" s="6" t="str">
        <f>_xlfn.XLOOKUP($D22,Table32[Color_Name],Table32[Hex_Code],,0,)</f>
        <v>#228B22</v>
      </c>
      <c r="F22" s="13"/>
    </row>
    <row r="23" spans="1:6" x14ac:dyDescent="0.25">
      <c r="A23" s="8">
        <f t="shared" si="0"/>
        <v>22</v>
      </c>
      <c r="B23" s="6" t="str">
        <f>_xlfn.XLOOKUP(C23,Tab_Def_Flows[Flow_Name],Tab_Def_Flows[Flow_ID],,0,)</f>
        <v>F_12_07</v>
      </c>
      <c r="C23" s="6" t="str">
        <f>Tab_Def_Flows[[#This Row],[Flow_Name]]</f>
        <v>Pyrochar</v>
      </c>
      <c r="D23" s="138" t="s">
        <v>274</v>
      </c>
      <c r="E23" s="6" t="str">
        <f>_xlfn.XLOOKUP($D23,Table32[Color_Name],Table32[Hex_Code],,0,)</f>
        <v>#228B22</v>
      </c>
      <c r="F23" s="13"/>
    </row>
    <row r="24" spans="1:6" x14ac:dyDescent="0.25">
      <c r="A24" s="8">
        <f t="shared" si="0"/>
        <v>23</v>
      </c>
      <c r="B24" s="6" t="str">
        <f>_xlfn.XLOOKUP(C24,Tab_Def_Flows[Flow_Name],Tab_Def_Flows[Flow_ID],,0,)</f>
        <v>F_07_00</v>
      </c>
      <c r="C24" s="6" t="str">
        <f>Tab_Def_Flows[[#This Row],[Flow_Name]]</f>
        <v>Lithosphere(P&amp;I)_Emissions_C</v>
      </c>
      <c r="D24" s="138" t="s">
        <v>274</v>
      </c>
      <c r="E24" s="6" t="str">
        <f>_xlfn.XLOOKUP($D24,Table32[Color_Name],Table32[Hex_Code],,0,)</f>
        <v>#228B22</v>
      </c>
      <c r="F24" s="13"/>
    </row>
    <row r="25" spans="1:6" x14ac:dyDescent="0.25">
      <c r="A25" s="8">
        <f t="shared" si="0"/>
        <v>24</v>
      </c>
      <c r="B25" s="6" t="str">
        <f>_xlfn.XLOOKUP(C25,Tab_Def_Flows[Flow_Name],Tab_Def_Flows[Flow_ID],,0,)</f>
        <v>F_07_01</v>
      </c>
      <c r="C25" s="6" t="str">
        <f>Tab_Def_Flows[[#This Row],[Flow_Name]]</f>
        <v>Lithosphere(P&amp;I)_Emissions_E</v>
      </c>
      <c r="D25" s="138" t="s">
        <v>274</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145" zoomScaleNormal="145" workbookViewId="0">
      <selection activeCell="B27" sqref="B2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249</v>
      </c>
      <c r="B1" s="141" t="s">
        <v>165</v>
      </c>
      <c r="C1" s="141" t="s">
        <v>4</v>
      </c>
      <c r="D1" s="141" t="s">
        <v>250</v>
      </c>
      <c r="E1" s="141" t="s">
        <v>161</v>
      </c>
    </row>
    <row r="2" spans="1:5" x14ac:dyDescent="0.25">
      <c r="A2" s="6" t="s">
        <v>251</v>
      </c>
      <c r="B2" s="7">
        <v>0.5</v>
      </c>
      <c r="C2" s="13" t="s">
        <v>252</v>
      </c>
      <c r="D2" s="13" t="s">
        <v>253</v>
      </c>
      <c r="E2" s="13"/>
    </row>
    <row r="3" spans="1:5" x14ac:dyDescent="0.25">
      <c r="A3" s="6" t="s">
        <v>254</v>
      </c>
      <c r="B3" s="7">
        <v>0.5</v>
      </c>
      <c r="C3" s="13" t="s">
        <v>255</v>
      </c>
      <c r="D3" s="13" t="s">
        <v>253</v>
      </c>
      <c r="E3" s="13"/>
    </row>
    <row r="4" spans="1:5" x14ac:dyDescent="0.25">
      <c r="A4" s="6" t="s">
        <v>256</v>
      </c>
      <c r="B4" s="7">
        <v>0.3</v>
      </c>
      <c r="C4" s="13" t="s">
        <v>257</v>
      </c>
      <c r="D4" s="13" t="s">
        <v>258</v>
      </c>
      <c r="E4" s="13"/>
    </row>
    <row r="5" spans="1:5" x14ac:dyDescent="0.25">
      <c r="A5" s="6" t="s">
        <v>259</v>
      </c>
      <c r="B5" s="7" t="s">
        <v>390</v>
      </c>
      <c r="C5" s="13" t="s">
        <v>260</v>
      </c>
      <c r="D5" s="13" t="s">
        <v>261</v>
      </c>
      <c r="E5" s="13"/>
    </row>
    <row r="6" spans="1:5" x14ac:dyDescent="0.25">
      <c r="A6" s="6" t="s">
        <v>262</v>
      </c>
      <c r="B6" s="7" t="s">
        <v>263</v>
      </c>
      <c r="C6" s="13" t="s">
        <v>264</v>
      </c>
      <c r="D6" s="13" t="s">
        <v>265</v>
      </c>
      <c r="E6" s="13"/>
    </row>
    <row r="7" spans="1:5" x14ac:dyDescent="0.25">
      <c r="A7" s="6" t="s">
        <v>266</v>
      </c>
      <c r="B7" s="7" t="s">
        <v>267</v>
      </c>
      <c r="C7" s="13" t="s">
        <v>268</v>
      </c>
      <c r="D7" s="13" t="s">
        <v>265</v>
      </c>
      <c r="E7" s="13"/>
    </row>
    <row r="8" spans="1:5" x14ac:dyDescent="0.25">
      <c r="A8" s="6" t="s">
        <v>364</v>
      </c>
      <c r="B8" s="7">
        <v>1600</v>
      </c>
      <c r="C8" s="13" t="s">
        <v>365</v>
      </c>
      <c r="D8" s="13"/>
      <c r="E8" s="13"/>
    </row>
    <row r="9" spans="1:5" x14ac:dyDescent="0.25">
      <c r="A9" s="6" t="s">
        <v>367</v>
      </c>
      <c r="B9" s="7">
        <v>1200</v>
      </c>
      <c r="C9" s="13" t="s">
        <v>368</v>
      </c>
      <c r="D9" s="13"/>
      <c r="E9" s="13"/>
    </row>
    <row r="10" spans="1:5" x14ac:dyDescent="0.25">
      <c r="A10" s="6" t="s">
        <v>369</v>
      </c>
      <c r="B10" s="7">
        <v>1</v>
      </c>
      <c r="C10" s="13" t="s">
        <v>370</v>
      </c>
      <c r="D10" s="13" t="s">
        <v>371</v>
      </c>
      <c r="E10" s="13" t="s">
        <v>366</v>
      </c>
    </row>
    <row r="11" spans="1:5" x14ac:dyDescent="0.25">
      <c r="A11" s="6" t="s">
        <v>372</v>
      </c>
      <c r="B11" s="7">
        <v>1</v>
      </c>
      <c r="C11" s="13" t="s">
        <v>373</v>
      </c>
      <c r="D11" s="13" t="s">
        <v>371</v>
      </c>
      <c r="E11" s="13" t="s">
        <v>366</v>
      </c>
    </row>
    <row r="12" spans="1:5" x14ac:dyDescent="0.25">
      <c r="A12" s="6" t="s">
        <v>374</v>
      </c>
      <c r="B12" s="7" t="b">
        <v>1</v>
      </c>
      <c r="C12" s="13" t="s">
        <v>375</v>
      </c>
      <c r="D12" s="13" t="s">
        <v>371</v>
      </c>
      <c r="E12" s="13" t="s">
        <v>366</v>
      </c>
    </row>
    <row r="13" spans="1:5" x14ac:dyDescent="0.25">
      <c r="A13" s="6" t="s">
        <v>376</v>
      </c>
      <c r="B13" s="7">
        <v>0.3</v>
      </c>
      <c r="C13" s="13" t="s">
        <v>377</v>
      </c>
      <c r="D13" s="13" t="s">
        <v>371</v>
      </c>
      <c r="E13" s="13" t="s">
        <v>366</v>
      </c>
    </row>
    <row r="14" spans="1:5" x14ac:dyDescent="0.25">
      <c r="A14" s="6" t="s">
        <v>378</v>
      </c>
      <c r="B14" s="7">
        <v>3</v>
      </c>
      <c r="C14" s="13" t="s">
        <v>379</v>
      </c>
      <c r="D14" s="13" t="s">
        <v>371</v>
      </c>
      <c r="E14" s="13" t="s">
        <v>366</v>
      </c>
    </row>
    <row r="15" spans="1:5" x14ac:dyDescent="0.25">
      <c r="A15" s="6" t="s">
        <v>380</v>
      </c>
      <c r="B15" s="7" t="s">
        <v>390</v>
      </c>
      <c r="C15" s="13" t="s">
        <v>381</v>
      </c>
      <c r="D15" s="13" t="s">
        <v>371</v>
      </c>
      <c r="E15" s="13" t="s">
        <v>366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6" t="s">
        <v>468</v>
      </c>
      <c r="E2" s="226"/>
      <c r="F2" s="145" t="s">
        <v>467</v>
      </c>
      <c r="G2" s="229" t="s">
        <v>467</v>
      </c>
      <c r="H2" s="229"/>
      <c r="I2" s="229"/>
    </row>
    <row r="3" spans="1:9" x14ac:dyDescent="0.25">
      <c r="A3" t="s">
        <v>7</v>
      </c>
      <c r="B3" t="s">
        <v>478</v>
      </c>
      <c r="C3" t="s">
        <v>477</v>
      </c>
      <c r="D3" s="159" t="s">
        <v>469</v>
      </c>
      <c r="E3" s="159" t="s">
        <v>470</v>
      </c>
      <c r="F3" s="159" t="s">
        <v>481</v>
      </c>
      <c r="G3" s="165" t="s">
        <v>464</v>
      </c>
      <c r="H3" s="165" t="s">
        <v>465</v>
      </c>
      <c r="I3" s="165" t="s">
        <v>466</v>
      </c>
    </row>
    <row r="4" spans="1:9" ht="90" hidden="1" x14ac:dyDescent="0.25">
      <c r="A4">
        <v>124</v>
      </c>
      <c r="B4" s="162" t="s">
        <v>858</v>
      </c>
      <c r="C4" s="141" t="s">
        <v>183</v>
      </c>
      <c r="D4" t="s">
        <v>622</v>
      </c>
      <c r="E4" t="s">
        <v>623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775</v>
      </c>
      <c r="H4" s="1" t="s">
        <v>699</v>
      </c>
      <c r="I4" s="1" t="s">
        <v>700</v>
      </c>
    </row>
    <row r="5" spans="1:9" ht="90" hidden="1" x14ac:dyDescent="0.25">
      <c r="A5">
        <v>86</v>
      </c>
      <c r="B5" t="s">
        <v>856</v>
      </c>
      <c r="C5" s="141" t="s">
        <v>2</v>
      </c>
      <c r="D5" t="s">
        <v>604</v>
      </c>
      <c r="E5" t="s">
        <v>605</v>
      </c>
      <c r="F5" s="1" t="str">
        <f t="shared" si="0"/>
        <v>PURPOSE: Data field for Type_of_the_Study in 2_3_static_TCs
ACTION: Enter appropriate value for Type_of_the_Study
NOTE: Please refer to BioDYM documentation for specific requirements.</v>
      </c>
      <c r="G5" s="1" t="s">
        <v>800</v>
      </c>
      <c r="H5" s="1" t="s">
        <v>607</v>
      </c>
      <c r="I5" s="1" t="s">
        <v>721</v>
      </c>
    </row>
    <row r="6" spans="1:9" ht="98.25" hidden="1" customHeight="1" x14ac:dyDescent="0.25">
      <c r="A6">
        <v>36</v>
      </c>
      <c r="B6" t="s">
        <v>471</v>
      </c>
      <c r="C6" s="141" t="s">
        <v>16</v>
      </c>
      <c r="D6" t="s">
        <v>534</v>
      </c>
      <c r="E6" t="s">
        <v>535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746</v>
      </c>
      <c r="H6" s="1" t="s">
        <v>747</v>
      </c>
      <c r="I6" s="1" t="s">
        <v>748</v>
      </c>
    </row>
    <row r="7" spans="1:9" ht="105" hidden="1" x14ac:dyDescent="0.25">
      <c r="A7">
        <v>33</v>
      </c>
      <c r="B7" t="s">
        <v>471</v>
      </c>
      <c r="C7" s="141" t="s">
        <v>9</v>
      </c>
      <c r="D7" t="s">
        <v>528</v>
      </c>
      <c r="E7" t="s">
        <v>529</v>
      </c>
      <c r="F7" s="1" t="str">
        <f t="shared" si="0"/>
        <v>PURPOSE: Data field for Titel_Source in 1_2_Data_Flows
ACTION: Enter appropriate value for Titel_Source
NOTE: Please refer to BioDYM documentation for specific requirements.</v>
      </c>
      <c r="G7" s="1" t="s">
        <v>741</v>
      </c>
      <c r="H7" s="1" t="s">
        <v>531</v>
      </c>
      <c r="I7" s="1" t="s">
        <v>721</v>
      </c>
    </row>
    <row r="8" spans="1:9" ht="75" x14ac:dyDescent="0.25">
      <c r="A8">
        <v>1</v>
      </c>
      <c r="B8" t="s">
        <v>463</v>
      </c>
      <c r="C8" s="141" t="s">
        <v>24</v>
      </c>
      <c r="D8" t="s">
        <v>479</v>
      </c>
      <c r="E8" t="s">
        <v>480</v>
      </c>
      <c r="F8" s="1" t="str">
        <f t="shared" si="0"/>
        <v>PURPOSE: Unique identifier for data row
ACTION: Automatically assigned
NOTE: This field is generated automatically. No manual input required. Used for system identification and linking.</v>
      </c>
      <c r="G8" s="1" t="s">
        <v>698</v>
      </c>
      <c r="H8" s="1" t="s">
        <v>699</v>
      </c>
      <c r="I8" s="1" t="s">
        <v>700</v>
      </c>
    </row>
    <row r="9" spans="1:9" ht="75" x14ac:dyDescent="0.25">
      <c r="A9">
        <v>2</v>
      </c>
      <c r="B9" t="s">
        <v>463</v>
      </c>
      <c r="C9" s="141" t="s">
        <v>7</v>
      </c>
      <c r="D9" t="s">
        <v>875</v>
      </c>
      <c r="E9" t="s">
        <v>490</v>
      </c>
      <c r="F9" s="1" t="str">
        <f t="shared" si="0"/>
        <v>PURPOSE: Unique identifier for material flow
ACTION: Automatically assigned
NOTE: This field is generated automatically. No manual input required. Used for system identification and linking.</v>
      </c>
      <c r="G9" s="1" t="s">
        <v>701</v>
      </c>
      <c r="H9" s="1" t="s">
        <v>699</v>
      </c>
      <c r="I9" s="1" t="s">
        <v>700</v>
      </c>
    </row>
    <row r="10" spans="1:9" ht="75" hidden="1" x14ac:dyDescent="0.25">
      <c r="A10">
        <v>28</v>
      </c>
      <c r="B10" t="s">
        <v>471</v>
      </c>
      <c r="C10" s="141" t="s">
        <v>28</v>
      </c>
      <c r="D10" t="s">
        <v>498</v>
      </c>
      <c r="E10" t="s">
        <v>499</v>
      </c>
      <c r="F10" s="1" t="str">
        <f t="shared" si="0"/>
        <v>PURPOSE: Defines the Data Year for temporal data organization
ACTION: Enter year (e.g., 2020, 2021, 2022)
NOTE: Must be consistent with analysis time period. Used for time-series data organization.</v>
      </c>
      <c r="G10" s="1" t="s">
        <v>734</v>
      </c>
      <c r="H10" s="1" t="s">
        <v>735</v>
      </c>
      <c r="I10" s="1" t="s">
        <v>736</v>
      </c>
    </row>
    <row r="11" spans="1:9" ht="90" hidden="1" x14ac:dyDescent="0.25">
      <c r="A11">
        <v>53</v>
      </c>
      <c r="B11" t="s">
        <v>471</v>
      </c>
      <c r="C11" s="141" t="s">
        <v>34</v>
      </c>
      <c r="D11" t="s">
        <v>568</v>
      </c>
      <c r="E11" t="s">
        <v>513</v>
      </c>
      <c r="F11" s="1" t="str">
        <f t="shared" si="0"/>
        <v>PURPOSE: Data field for Flow_CC_year_ID in 1_2_Data_Flows
ACTION: Enter appropriate value for Flow_CC_year_ID
NOTE: Please refer to BioDYM documentation for specific requirements.</v>
      </c>
      <c r="G11" s="1" t="s">
        <v>769</v>
      </c>
      <c r="H11" s="1" t="s">
        <v>570</v>
      </c>
      <c r="I11" s="1" t="s">
        <v>721</v>
      </c>
    </row>
    <row r="12" spans="1:9" ht="75" x14ac:dyDescent="0.25">
      <c r="A12">
        <v>3</v>
      </c>
      <c r="B12" t="s">
        <v>463</v>
      </c>
      <c r="C12" s="141" t="s">
        <v>11</v>
      </c>
      <c r="D12" t="s">
        <v>876</v>
      </c>
      <c r="E12" t="s">
        <v>490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702</v>
      </c>
      <c r="H12" s="1" t="s">
        <v>703</v>
      </c>
      <c r="I12" s="1" t="s">
        <v>704</v>
      </c>
    </row>
    <row r="13" spans="1:9" ht="75" hidden="1" x14ac:dyDescent="0.25">
      <c r="A13">
        <v>55</v>
      </c>
      <c r="B13" t="s">
        <v>471</v>
      </c>
      <c r="C13" s="141" t="s">
        <v>39</v>
      </c>
      <c r="D13" t="s">
        <v>571</v>
      </c>
      <c r="E13" t="s">
        <v>572</v>
      </c>
      <c r="F13" s="1" t="str">
        <f t="shared" si="0"/>
        <v>PURPOSE: Data field for UoM_CC_Flow_Py in 1_2_Data_Flows
ACTION: Enter appropriate value for UoM_CC_Flow_Py
NOTE: Please refer to BioDYM documentation for specific requirements.</v>
      </c>
      <c r="G13" s="1" t="s">
        <v>771</v>
      </c>
      <c r="H13" s="1" t="s">
        <v>574</v>
      </c>
      <c r="I13" s="1" t="s">
        <v>721</v>
      </c>
    </row>
    <row r="14" spans="1:9" ht="90" x14ac:dyDescent="0.25">
      <c r="A14">
        <v>4</v>
      </c>
      <c r="B14" t="s">
        <v>463</v>
      </c>
      <c r="C14" s="141" t="s">
        <v>418</v>
      </c>
      <c r="D14" t="s">
        <v>492</v>
      </c>
      <c r="E14" t="s">
        <v>877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705</v>
      </c>
      <c r="H14" s="1" t="s">
        <v>706</v>
      </c>
      <c r="I14" s="1" t="s">
        <v>704</v>
      </c>
    </row>
    <row r="15" spans="1:9" ht="75" hidden="1" x14ac:dyDescent="0.25">
      <c r="A15">
        <v>40</v>
      </c>
      <c r="B15" t="s">
        <v>471</v>
      </c>
      <c r="C15" s="141" t="s">
        <v>19</v>
      </c>
      <c r="D15" t="s">
        <v>542</v>
      </c>
      <c r="E15" t="s">
        <v>543</v>
      </c>
      <c r="F15" s="1" t="str">
        <f t="shared" si="0"/>
        <v>PURPOSE: Data field for Name_CF in 1_2_Data_Flows
ACTION: Enter appropriate value for Name_CF
NOTE: Please refer to BioDYM documentation for specific requirements.</v>
      </c>
      <c r="G15" s="1" t="s">
        <v>752</v>
      </c>
      <c r="H15" s="1" t="s">
        <v>545</v>
      </c>
      <c r="I15" s="1" t="s">
        <v>721</v>
      </c>
    </row>
    <row r="16" spans="1:9" ht="75" hidden="1" x14ac:dyDescent="0.25">
      <c r="A16">
        <v>39</v>
      </c>
      <c r="B16" t="s">
        <v>471</v>
      </c>
      <c r="C16" s="141" t="s">
        <v>18</v>
      </c>
      <c r="D16" t="s">
        <v>540</v>
      </c>
      <c r="E16" t="s">
        <v>541</v>
      </c>
      <c r="F16" s="1" t="str">
        <f t="shared" si="0"/>
        <v>PURPOSE: Data field for CF in 1_2_Data_Flows
ACTION: Enter appropriate value for CF
NOTE: Please refer to BioDYM documentation for specific requirements.</v>
      </c>
      <c r="G16" s="1" t="s">
        <v>751</v>
      </c>
      <c r="H16" s="1" t="s">
        <v>543</v>
      </c>
      <c r="I16" s="1" t="s">
        <v>721</v>
      </c>
    </row>
    <row r="17" spans="1:9" ht="75" hidden="1" x14ac:dyDescent="0.25">
      <c r="A17">
        <v>173</v>
      </c>
      <c r="B17" t="s">
        <v>482</v>
      </c>
      <c r="C17" s="141" t="s">
        <v>362</v>
      </c>
      <c r="D17" t="s">
        <v>672</v>
      </c>
      <c r="E17" t="s">
        <v>673</v>
      </c>
      <c r="F17" s="1" t="str">
        <f t="shared" si="0"/>
        <v>PURPOSE: Data field for Node_Color in 6_1_Visualization_Processes
ACTION: Enter appropriate value for Node_Color
NOTE: Please refer to BioDYM documentation for specific requirements.</v>
      </c>
      <c r="G17" s="1" t="s">
        <v>843</v>
      </c>
      <c r="H17" s="1" t="s">
        <v>675</v>
      </c>
      <c r="I17" s="1" t="s">
        <v>721</v>
      </c>
    </row>
    <row r="18" spans="1:9" ht="75" hidden="1" x14ac:dyDescent="0.25">
      <c r="A18">
        <v>168</v>
      </c>
      <c r="B18" t="s">
        <v>475</v>
      </c>
      <c r="C18" s="141" t="s">
        <v>12</v>
      </c>
      <c r="D18" t="s">
        <v>668</v>
      </c>
      <c r="E18" t="s">
        <v>669</v>
      </c>
      <c r="F18" s="1" t="str">
        <f t="shared" si="0"/>
        <v>PURPOSE: Flag this row as 100% complete for reporting and filtering purposes
ACTION: Click to select
NOTE: This input is optional. Leave blank if the process is ongoing. Used for progress tracking.</v>
      </c>
      <c r="G18" s="1" t="s">
        <v>772</v>
      </c>
      <c r="H18" s="1" t="s">
        <v>773</v>
      </c>
      <c r="I18" s="1" t="s">
        <v>774</v>
      </c>
    </row>
    <row r="19" spans="1:9" ht="90" x14ac:dyDescent="0.25">
      <c r="A19">
        <v>5</v>
      </c>
      <c r="B19" t="s">
        <v>463</v>
      </c>
      <c r="C19" s="141" t="s">
        <v>423</v>
      </c>
      <c r="D19" t="s">
        <v>878</v>
      </c>
      <c r="E19" t="s">
        <v>879</v>
      </c>
      <c r="F19" s="1" t="str">
        <f t="shared" si="0"/>
        <v>PURPOSE: Unique identifier for output process
ACTION: Automatically assigned
NOTE: This field is generated automatically. No manual input required. Used for system identification and linking.</v>
      </c>
      <c r="G19" s="1" t="s">
        <v>707</v>
      </c>
      <c r="H19" s="1" t="s">
        <v>699</v>
      </c>
      <c r="I19" s="1" t="s">
        <v>700</v>
      </c>
    </row>
    <row r="20" spans="1:9" ht="90" hidden="1" x14ac:dyDescent="0.25">
      <c r="A20">
        <v>57</v>
      </c>
      <c r="B20" t="s">
        <v>472</v>
      </c>
      <c r="C20" s="141" t="s">
        <v>24</v>
      </c>
      <c r="D20" t="s">
        <v>575</v>
      </c>
      <c r="E20" t="s">
        <v>576</v>
      </c>
      <c r="F20" s="1" t="str">
        <f t="shared" si="0"/>
        <v>PURPOSE: Unique identifier for data row
ACTION: Automatically assigned
NOTE: This field is generated automatically. No manual input required. Used for system identification and linking.</v>
      </c>
      <c r="G20" s="1" t="s">
        <v>698</v>
      </c>
      <c r="H20" s="1" t="s">
        <v>699</v>
      </c>
      <c r="I20" s="1" t="s">
        <v>700</v>
      </c>
    </row>
    <row r="21" spans="1:9" ht="90" hidden="1" x14ac:dyDescent="0.25">
      <c r="A21">
        <v>66</v>
      </c>
      <c r="B21" t="s">
        <v>856</v>
      </c>
      <c r="C21" s="141" t="s">
        <v>24</v>
      </c>
      <c r="D21" t="s">
        <v>575</v>
      </c>
      <c r="E21" t="s">
        <v>576</v>
      </c>
      <c r="F21" s="1" t="str">
        <f t="shared" si="0"/>
        <v>PURPOSE: Unique identifier for data row
ACTION: Automatically assigned
NOTE: This field is generated automatically. No manual input required. Used for system identification and linking.</v>
      </c>
      <c r="G21" s="1" t="s">
        <v>698</v>
      </c>
      <c r="H21" s="1" t="s">
        <v>699</v>
      </c>
      <c r="I21" s="1" t="s">
        <v>700</v>
      </c>
    </row>
    <row r="22" spans="1:9" ht="75" hidden="1" x14ac:dyDescent="0.25">
      <c r="A22">
        <v>89</v>
      </c>
      <c r="B22" s="162" t="s">
        <v>857</v>
      </c>
      <c r="C22" s="141" t="s">
        <v>24</v>
      </c>
      <c r="D22" t="s">
        <v>575</v>
      </c>
      <c r="E22" t="s">
        <v>576</v>
      </c>
      <c r="F22" s="1" t="str">
        <f t="shared" si="0"/>
        <v>PURPOSE: Unique identifier for data row
ACTION: Automatically assigned
NOTE: This field is generated automatically. No manual input required. Used for system identification and linking.</v>
      </c>
      <c r="G22" s="1" t="s">
        <v>698</v>
      </c>
      <c r="H22" s="1" t="s">
        <v>699</v>
      </c>
      <c r="I22" s="1" t="s">
        <v>700</v>
      </c>
    </row>
    <row r="23" spans="1:9" ht="75" hidden="1" x14ac:dyDescent="0.25">
      <c r="A23">
        <v>106</v>
      </c>
      <c r="B23" s="162" t="s">
        <v>858</v>
      </c>
      <c r="C23" s="141" t="s">
        <v>24</v>
      </c>
      <c r="D23" t="s">
        <v>575</v>
      </c>
      <c r="E23" t="s">
        <v>576</v>
      </c>
      <c r="F23" s="1" t="str">
        <f t="shared" si="0"/>
        <v>PURPOSE: Unique identifier for data row
ACTION: Automatically assigned
NOTE: This field is generated automatically. No manual input required. Used for system identification and linking.</v>
      </c>
      <c r="G23" s="1" t="s">
        <v>698</v>
      </c>
      <c r="H23" s="1" t="s">
        <v>699</v>
      </c>
      <c r="I23" s="1" t="s">
        <v>700</v>
      </c>
    </row>
    <row r="24" spans="1:9" ht="75" hidden="1" x14ac:dyDescent="0.25">
      <c r="A24">
        <v>136</v>
      </c>
      <c r="B24" t="s">
        <v>474</v>
      </c>
      <c r="C24" s="141" t="s">
        <v>24</v>
      </c>
      <c r="D24" t="s">
        <v>575</v>
      </c>
      <c r="E24" t="s">
        <v>576</v>
      </c>
      <c r="F24" s="1" t="str">
        <f t="shared" si="0"/>
        <v>PURPOSE: Unique identifier for data row
ACTION: Automatically assigned
NOTE: This field is generated automatically. No manual input required. Used for system identification and linking.</v>
      </c>
      <c r="G24" s="1" t="s">
        <v>698</v>
      </c>
      <c r="H24" s="1" t="s">
        <v>699</v>
      </c>
      <c r="I24" s="1" t="s">
        <v>700</v>
      </c>
    </row>
    <row r="25" spans="1:9" ht="90" hidden="1" x14ac:dyDescent="0.25">
      <c r="A25">
        <v>169</v>
      </c>
      <c r="B25" t="s">
        <v>482</v>
      </c>
      <c r="C25" s="141" t="s">
        <v>24</v>
      </c>
      <c r="D25" t="s">
        <v>575</v>
      </c>
      <c r="E25" t="s">
        <v>576</v>
      </c>
      <c r="F25" s="1" t="str">
        <f t="shared" si="0"/>
        <v>PURPOSE: Unique identifier for data row
ACTION: Automatically assigned
NOTE: This field is generated automatically. No manual input required. Used for system identification and linking.</v>
      </c>
      <c r="G25" s="1" t="s">
        <v>698</v>
      </c>
      <c r="H25" s="1" t="s">
        <v>699</v>
      </c>
      <c r="I25" s="1" t="s">
        <v>700</v>
      </c>
    </row>
    <row r="26" spans="1:9" ht="90" hidden="1" x14ac:dyDescent="0.25">
      <c r="A26">
        <v>61</v>
      </c>
      <c r="B26" t="s">
        <v>472</v>
      </c>
      <c r="C26" s="141" t="s">
        <v>4</v>
      </c>
      <c r="D26" t="s">
        <v>871</v>
      </c>
      <c r="E26" t="s">
        <v>872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780</v>
      </c>
      <c r="H26" s="1" t="s">
        <v>781</v>
      </c>
      <c r="I26" s="1" t="s">
        <v>782</v>
      </c>
    </row>
    <row r="27" spans="1:9" ht="105" hidden="1" x14ac:dyDescent="0.25">
      <c r="A27">
        <v>178</v>
      </c>
      <c r="B27" t="s">
        <v>482</v>
      </c>
      <c r="C27" s="141" t="s">
        <v>4</v>
      </c>
      <c r="D27" t="s">
        <v>682</v>
      </c>
      <c r="E27" t="s">
        <v>683</v>
      </c>
      <c r="F27" s="1" t="str">
        <f t="shared" si="0"/>
        <v>PURPOSE: Data field for Y_Position_WC in 6_1_Visualization_Processes
ACTION: Enter appropriate value for Y_Position_WC
NOTE: Please refer to BioDYM documentation for specific requirements.</v>
      </c>
      <c r="G27" s="1" t="s">
        <v>848</v>
      </c>
      <c r="H27" s="1" t="s">
        <v>685</v>
      </c>
      <c r="I27" s="1" t="s">
        <v>721</v>
      </c>
    </row>
    <row r="28" spans="1:9" ht="90" hidden="1" x14ac:dyDescent="0.25">
      <c r="A28">
        <v>178</v>
      </c>
      <c r="B28" t="s">
        <v>483</v>
      </c>
      <c r="C28" s="141" t="s">
        <v>4</v>
      </c>
      <c r="D28" t="s">
        <v>684</v>
      </c>
      <c r="E28" t="s">
        <v>685</v>
      </c>
      <c r="F28" s="1" t="str">
        <f t="shared" si="0"/>
        <v>PURPOSE: Data field for X_Position_DM in 6_1_Visualization_Processes
ACTION: Enter appropriate value for X_Position_DM
NOTE: Please refer to BioDYM documentation for specific requirements.</v>
      </c>
      <c r="G28" s="1" t="s">
        <v>849</v>
      </c>
      <c r="H28" s="1" t="s">
        <v>687</v>
      </c>
      <c r="I28" s="1" t="s">
        <v>721</v>
      </c>
    </row>
    <row r="29" spans="1:9" ht="90" hidden="1" x14ac:dyDescent="0.25">
      <c r="A29">
        <v>121</v>
      </c>
      <c r="B29" s="162" t="s">
        <v>858</v>
      </c>
      <c r="C29" s="141" t="s">
        <v>184</v>
      </c>
      <c r="D29" t="s">
        <v>620</v>
      </c>
      <c r="E29" t="s">
        <v>873</v>
      </c>
      <c r="F29" s="1" t="str">
        <f t="shared" si="0"/>
        <v>PURPOSE: Unique identifier for material flow
ACTION: Automatically assigned
NOTE: This field is generated automatically. No manual input required. Used for system identification and linking.</v>
      </c>
      <c r="G29" s="1" t="s">
        <v>701</v>
      </c>
      <c r="H29" s="1" t="s">
        <v>699</v>
      </c>
      <c r="I29" s="1" t="s">
        <v>700</v>
      </c>
    </row>
    <row r="30" spans="1:9" ht="90" hidden="1" x14ac:dyDescent="0.25">
      <c r="A30">
        <v>120</v>
      </c>
      <c r="B30" s="162" t="s">
        <v>858</v>
      </c>
      <c r="C30" s="141" t="s">
        <v>185</v>
      </c>
      <c r="D30" t="s">
        <v>618</v>
      </c>
      <c r="E30" t="s">
        <v>874</v>
      </c>
      <c r="F30" s="1" t="str">
        <f t="shared" si="0"/>
        <v>PURPOSE: Data field for Destination_Flow in 2_5_Initial_Stock
ACTION: Enter appropriate value for Destination_Flow
NOTE: Please refer to BioDYM documentation for specific requirements.</v>
      </c>
      <c r="G30" s="1" t="s">
        <v>812</v>
      </c>
      <c r="H30" s="1" t="s">
        <v>621</v>
      </c>
      <c r="I30" s="1" t="s">
        <v>721</v>
      </c>
    </row>
    <row r="31" spans="1:9" ht="75" hidden="1" x14ac:dyDescent="0.25">
      <c r="A31">
        <v>119</v>
      </c>
      <c r="B31" s="162" t="s">
        <v>858</v>
      </c>
      <c r="C31" s="141" t="s">
        <v>186</v>
      </c>
      <c r="E31" t="s">
        <v>617</v>
      </c>
      <c r="F31" s="1" t="str">
        <f t="shared" si="0"/>
        <v>PURPOSE: Data field for Destination_Process in 2_5_Initial_Stock
ACTION: Enter appropriate value for Destination_Process
NOTE: Please refer to BioDYM documentation for specific requirements.</v>
      </c>
      <c r="G31" s="1" t="s">
        <v>811</v>
      </c>
      <c r="H31" s="1" t="s">
        <v>619</v>
      </c>
      <c r="I31" s="1" t="s">
        <v>721</v>
      </c>
    </row>
    <row r="32" spans="1:9" ht="75" hidden="1" x14ac:dyDescent="0.25">
      <c r="A32">
        <v>153</v>
      </c>
      <c r="B32" t="s">
        <v>476</v>
      </c>
      <c r="C32" s="141" t="s">
        <v>173</v>
      </c>
      <c r="D32" t="s">
        <v>646</v>
      </c>
      <c r="E32" t="s">
        <v>647</v>
      </c>
      <c r="F32" s="1" t="str">
        <f t="shared" si="0"/>
        <v>PURPOSE: Data field for Mean in 4_1_Uncertainty_Parameters
ACTION: Enter appropriate value for Mean
NOTE: Please refer to BioDYM documentation for specific requirements.</v>
      </c>
      <c r="G32" s="1" t="s">
        <v>827</v>
      </c>
      <c r="H32" s="1" t="s">
        <v>649</v>
      </c>
      <c r="I32" s="1" t="s">
        <v>721</v>
      </c>
    </row>
    <row r="33" spans="1:9" ht="90" x14ac:dyDescent="0.25">
      <c r="A33">
        <v>6</v>
      </c>
      <c r="B33" t="s">
        <v>463</v>
      </c>
      <c r="C33" s="141" t="s">
        <v>424</v>
      </c>
      <c r="D33" t="s">
        <v>490</v>
      </c>
      <c r="E33" t="s">
        <v>490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708</v>
      </c>
      <c r="H33" s="1" t="s">
        <v>709</v>
      </c>
      <c r="I33" s="1" t="s">
        <v>704</v>
      </c>
    </row>
    <row r="34" spans="1:9" ht="90" hidden="1" x14ac:dyDescent="0.25">
      <c r="A34">
        <v>27</v>
      </c>
      <c r="B34" t="s">
        <v>471</v>
      </c>
      <c r="C34" s="141" t="s">
        <v>29</v>
      </c>
      <c r="D34" t="s">
        <v>496</v>
      </c>
      <c r="E34" t="s">
        <v>497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717</v>
      </c>
      <c r="H34" s="1" t="s">
        <v>718</v>
      </c>
      <c r="I34" s="1" t="s">
        <v>719</v>
      </c>
    </row>
    <row r="35" spans="1:9" ht="75" hidden="1" x14ac:dyDescent="0.25">
      <c r="A35">
        <v>49</v>
      </c>
      <c r="B35" t="s">
        <v>471</v>
      </c>
      <c r="C35" s="141" t="s">
        <v>32</v>
      </c>
      <c r="D35" t="s">
        <v>560</v>
      </c>
      <c r="E35" t="s">
        <v>561</v>
      </c>
      <c r="F35" s="1" t="str">
        <f t="shared" si="0"/>
        <v>PURPOSE: Data field for Flow_DM_year_ID in 1_2_Data_Flows
ACTION: Enter appropriate value for Flow_DM_year_ID
NOTE: Please refer to BioDYM documentation for specific requirements.</v>
      </c>
      <c r="G35" s="1" t="s">
        <v>765</v>
      </c>
      <c r="H35" s="1" t="s">
        <v>563</v>
      </c>
      <c r="I35" s="1" t="s">
        <v>721</v>
      </c>
    </row>
    <row r="36" spans="1:9" ht="75" hidden="1" x14ac:dyDescent="0.25">
      <c r="A36">
        <v>51</v>
      </c>
      <c r="B36" t="s">
        <v>471</v>
      </c>
      <c r="C36" s="141" t="s">
        <v>417</v>
      </c>
      <c r="D36" t="s">
        <v>564</v>
      </c>
      <c r="E36" t="s">
        <v>565</v>
      </c>
      <c r="F36" s="1" t="str">
        <f t="shared" si="0"/>
        <v>PURPOSE: Data field for UoM_DM_Flow_Py in 1_2_Data_Flows
ACTION: Enter appropriate value for UoM_DM_Flow_Py
NOTE: Please refer to BioDYM documentation for specific requirements.</v>
      </c>
      <c r="G36" s="1" t="s">
        <v>767</v>
      </c>
      <c r="H36" s="1" t="s">
        <v>567</v>
      </c>
      <c r="I36" s="1" t="s">
        <v>721</v>
      </c>
    </row>
    <row r="37" spans="1:9" ht="75" x14ac:dyDescent="0.25">
      <c r="A37">
        <v>7</v>
      </c>
      <c r="B37" t="s">
        <v>463</v>
      </c>
      <c r="C37" s="141" t="s">
        <v>425</v>
      </c>
      <c r="D37" t="s">
        <v>880</v>
      </c>
      <c r="E37" t="s">
        <v>881</v>
      </c>
      <c r="F37" s="1" t="str">
        <f t="shared" si="0"/>
        <v>PURPOSE: Unique identifier for input process
ACTION: Automatically assigned
NOTE: This field is generated automatically. No manual input required. Used for system identification and linking.</v>
      </c>
      <c r="G37" s="1" t="s">
        <v>710</v>
      </c>
      <c r="H37" s="1" t="s">
        <v>699</v>
      </c>
      <c r="I37" s="1" t="s">
        <v>700</v>
      </c>
    </row>
    <row r="38" spans="1:9" ht="75" hidden="1" x14ac:dyDescent="0.25">
      <c r="A38">
        <v>131</v>
      </c>
      <c r="B38" t="s">
        <v>473</v>
      </c>
      <c r="C38" s="141" t="s">
        <v>433</v>
      </c>
      <c r="D38" t="s">
        <v>624</v>
      </c>
      <c r="E38" t="s">
        <v>625</v>
      </c>
      <c r="F38" s="1" t="str">
        <f t="shared" si="0"/>
        <v>PURPOSE: Data field for DSM_Parameter_typ in 3_1_Definition_DSM
ACTION: Enter appropriate value for DSM_Parameter_typ
NOTE: Please refer to BioDYM documentation for specific requirements.</v>
      </c>
      <c r="G38" s="1" t="s">
        <v>815</v>
      </c>
      <c r="H38" s="1" t="s">
        <v>627</v>
      </c>
      <c r="I38" s="1" t="s">
        <v>721</v>
      </c>
    </row>
    <row r="39" spans="1:9" ht="90" hidden="1" x14ac:dyDescent="0.25">
      <c r="A39">
        <v>134</v>
      </c>
      <c r="B39" t="s">
        <v>473</v>
      </c>
      <c r="C39" s="141" t="s">
        <v>439</v>
      </c>
      <c r="D39" t="s">
        <v>630</v>
      </c>
      <c r="E39" t="s">
        <v>631</v>
      </c>
      <c r="F39" s="1" t="str">
        <f t="shared" si="0"/>
        <v>PURPOSE: Data field for DSM_Value in 3_1_Definition_DSM
ACTION: Enter appropriate value for DSM_Value
NOTE: Please refer to BioDYM documentation for specific requirements.</v>
      </c>
      <c r="G39" s="1" t="s">
        <v>818</v>
      </c>
      <c r="H39" s="1" t="s">
        <v>633</v>
      </c>
      <c r="I39" s="1" t="s">
        <v>721</v>
      </c>
    </row>
    <row r="40" spans="1:9" ht="75" hidden="1" x14ac:dyDescent="0.25">
      <c r="A40">
        <v>132</v>
      </c>
      <c r="B40" t="s">
        <v>473</v>
      </c>
      <c r="C40" s="141" t="s">
        <v>441</v>
      </c>
      <c r="D40" t="s">
        <v>626</v>
      </c>
      <c r="E40" t="s">
        <v>627</v>
      </c>
      <c r="F40" s="1" t="str">
        <f t="shared" si="0"/>
        <v>PURPOSE: Data field for DSM_Parameter_type in 3_1_Definition_DSM
ACTION: Enter appropriate value for DSM_Parameter_type
NOTE: Please refer to BioDYM documentation for specific requirements.</v>
      </c>
      <c r="G40" s="1" t="s">
        <v>816</v>
      </c>
      <c r="H40" s="1" t="s">
        <v>629</v>
      </c>
      <c r="I40" s="1" t="s">
        <v>721</v>
      </c>
    </row>
    <row r="41" spans="1:9" ht="75" hidden="1" x14ac:dyDescent="0.25">
      <c r="A41">
        <v>133</v>
      </c>
      <c r="B41" t="s">
        <v>473</v>
      </c>
      <c r="C41" s="141" t="s">
        <v>440</v>
      </c>
      <c r="D41" t="s">
        <v>628</v>
      </c>
      <c r="E41" t="s">
        <v>629</v>
      </c>
      <c r="F41" s="1" t="str">
        <f t="shared" si="0"/>
        <v>PURPOSE: Data field for DSM_Parameter in 3_1_Definition_DSM
ACTION: Enter appropriate value for DSM_Parameter
NOTE: Please refer to BioDYM documentation for specific requirements.</v>
      </c>
      <c r="G41" s="1" t="s">
        <v>817</v>
      </c>
      <c r="H41" s="1" t="s">
        <v>631</v>
      </c>
      <c r="I41" s="1" t="s">
        <v>721</v>
      </c>
    </row>
    <row r="42" spans="1:9" ht="75" hidden="1" x14ac:dyDescent="0.25">
      <c r="A42">
        <v>135</v>
      </c>
      <c r="B42" t="s">
        <v>473</v>
      </c>
      <c r="C42" s="141" t="s">
        <v>442</v>
      </c>
      <c r="D42" t="s">
        <v>632</v>
      </c>
      <c r="E42" t="s">
        <v>633</v>
      </c>
      <c r="F42" s="1" t="str">
        <f t="shared" si="0"/>
        <v>PURPOSE: Flag this row as 100% complete for reporting and filtering purposes
ACTION: Click to select
NOTE: This input is optional. Leave blank if the process is ongoing. Used for progress tracking.</v>
      </c>
      <c r="G42" s="1" t="s">
        <v>772</v>
      </c>
      <c r="H42" s="1" t="s">
        <v>773</v>
      </c>
      <c r="I42" s="1" t="s">
        <v>774</v>
      </c>
    </row>
    <row r="43" spans="1:9" ht="75" hidden="1" x14ac:dyDescent="0.25">
      <c r="A43">
        <v>167</v>
      </c>
      <c r="B43" s="2" t="s">
        <v>475</v>
      </c>
      <c r="C43" s="141" t="s">
        <v>428</v>
      </c>
      <c r="D43" t="s">
        <v>666</v>
      </c>
      <c r="E43" t="s">
        <v>667</v>
      </c>
      <c r="F43" s="1" t="str">
        <f t="shared" si="0"/>
        <v>PURPOSE: Data field for Comment in 5_1_Scenario_Manager
ACTION: Enter appropriate value for Comment
NOTE: Please refer to BioDYM documentation for specific requirements.</v>
      </c>
      <c r="G43" s="1" t="s">
        <v>840</v>
      </c>
      <c r="H43" s="1" t="s">
        <v>669</v>
      </c>
      <c r="I43" s="1" t="s">
        <v>721</v>
      </c>
    </row>
    <row r="44" spans="1:9" ht="75" hidden="1" x14ac:dyDescent="0.25">
      <c r="A44">
        <v>30</v>
      </c>
      <c r="B44" t="s">
        <v>471</v>
      </c>
      <c r="C44" s="141" t="s">
        <v>408</v>
      </c>
      <c r="D44" t="s">
        <v>522</v>
      </c>
      <c r="E44" t="s">
        <v>523</v>
      </c>
      <c r="F44" s="1" t="str">
        <f t="shared" si="0"/>
        <v>PURPOSE: Data field for UoM_Source in 1_2_Data_Flows
ACTION: Enter appropriate value for UoM_Source
NOTE: Please refer to BioDYM documentation for specific requirements.</v>
      </c>
      <c r="G44" s="1" t="s">
        <v>738</v>
      </c>
      <c r="H44" s="1" t="s">
        <v>525</v>
      </c>
      <c r="I44" s="1" t="s">
        <v>721</v>
      </c>
    </row>
    <row r="45" spans="1:9" ht="75" x14ac:dyDescent="0.25">
      <c r="A45">
        <v>8</v>
      </c>
      <c r="B45" t="s">
        <v>463</v>
      </c>
      <c r="C45" s="141" t="s">
        <v>422</v>
      </c>
      <c r="D45" t="s">
        <v>490</v>
      </c>
      <c r="E45" t="s">
        <v>490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711</v>
      </c>
      <c r="H45" s="1" t="s">
        <v>712</v>
      </c>
      <c r="I45" s="1" t="s">
        <v>713</v>
      </c>
    </row>
    <row r="46" spans="1:9" ht="90" x14ac:dyDescent="0.25">
      <c r="A46">
        <v>9</v>
      </c>
      <c r="B46" t="s">
        <v>463</v>
      </c>
      <c r="C46" s="141" t="s">
        <v>27</v>
      </c>
      <c r="D46" t="s">
        <v>882</v>
      </c>
      <c r="E46" t="s">
        <v>883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714</v>
      </c>
      <c r="H46" s="1" t="s">
        <v>715</v>
      </c>
      <c r="I46" s="1" t="s">
        <v>716</v>
      </c>
    </row>
    <row r="47" spans="1:9" ht="75" hidden="1" x14ac:dyDescent="0.25">
      <c r="A47">
        <v>54</v>
      </c>
      <c r="B47" t="s">
        <v>471</v>
      </c>
      <c r="C47" s="141" t="s">
        <v>413</v>
      </c>
      <c r="D47" t="s">
        <v>569</v>
      </c>
      <c r="E47" t="s">
        <v>570</v>
      </c>
      <c r="F47" s="1" t="str">
        <f t="shared" si="0"/>
        <v>PURPOSE: Data field for CC_Flow_Py in 1_2_Data_Flows
ACTION: Enter appropriate value for CC_Flow_Py
NOTE: Please refer to BioDYM documentation for specific requirements.</v>
      </c>
      <c r="G47" s="1" t="s">
        <v>770</v>
      </c>
      <c r="H47" s="1" t="s">
        <v>572</v>
      </c>
      <c r="I47" s="1" t="s">
        <v>721</v>
      </c>
    </row>
    <row r="48" spans="1:9" ht="75" hidden="1" x14ac:dyDescent="0.25">
      <c r="A48">
        <v>178</v>
      </c>
      <c r="B48" t="s">
        <v>483</v>
      </c>
      <c r="C48" s="141" t="s">
        <v>248</v>
      </c>
      <c r="D48" t="s">
        <v>686</v>
      </c>
      <c r="E48" t="s">
        <v>687</v>
      </c>
      <c r="F48" s="1" t="str">
        <f t="shared" si="0"/>
        <v>PURPOSE: Data field for Y_Position_DM in 6_1_Visualization_Processes
ACTION: Enter appropriate value for Y_Position_DM
NOTE: Please refer to BioDYM documentation for specific requirements.</v>
      </c>
      <c r="G48" s="1" t="s">
        <v>850</v>
      </c>
      <c r="H48" s="1" t="s">
        <v>689</v>
      </c>
      <c r="I48" s="1" t="s">
        <v>721</v>
      </c>
    </row>
    <row r="49" spans="1:9" ht="75" hidden="1" x14ac:dyDescent="0.25">
      <c r="A49">
        <v>178</v>
      </c>
      <c r="B49" t="s">
        <v>483</v>
      </c>
      <c r="C49" s="141" t="s">
        <v>363</v>
      </c>
      <c r="D49" t="s">
        <v>688</v>
      </c>
      <c r="E49" t="s">
        <v>689</v>
      </c>
      <c r="F49" s="1" t="str">
        <f t="shared" si="0"/>
        <v>PURPOSE: Data field for X_Position_CC in 6_1_Visualization_Processes
ACTION: Enter appropriate value for X_Position_CC
NOTE: Please refer to BioDYM documentation for specific requirements.</v>
      </c>
      <c r="G49" s="1" t="s">
        <v>851</v>
      </c>
      <c r="H49" s="1" t="s">
        <v>691</v>
      </c>
      <c r="I49" s="1" t="s">
        <v>721</v>
      </c>
    </row>
    <row r="50" spans="1:9" ht="75" hidden="1" x14ac:dyDescent="0.25">
      <c r="A50">
        <v>29</v>
      </c>
      <c r="B50" t="s">
        <v>471</v>
      </c>
      <c r="C50" s="141" t="s">
        <v>407</v>
      </c>
      <c r="D50" t="s">
        <v>520</v>
      </c>
      <c r="E50" t="s">
        <v>521</v>
      </c>
      <c r="F50" s="1" t="str">
        <f t="shared" si="0"/>
        <v>PURPOSE: Data field for Flow in 1_2_Data_Flows
ACTION: Enter appropriate value for Flow
NOTE: Please refer to BioDYM documentation for specific requirements.</v>
      </c>
      <c r="G50" s="1" t="s">
        <v>737</v>
      </c>
      <c r="H50" s="1" t="s">
        <v>523</v>
      </c>
      <c r="I50" s="1" t="s">
        <v>721</v>
      </c>
    </row>
    <row r="51" spans="1:9" ht="75" x14ac:dyDescent="0.25">
      <c r="A51">
        <v>10</v>
      </c>
      <c r="B51" t="s">
        <v>463</v>
      </c>
      <c r="C51" s="141" t="s">
        <v>29</v>
      </c>
      <c r="D51" t="s">
        <v>884</v>
      </c>
      <c r="E51" t="s">
        <v>885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717</v>
      </c>
      <c r="H51" s="1" t="s">
        <v>718</v>
      </c>
      <c r="I51" s="1" t="s">
        <v>719</v>
      </c>
    </row>
    <row r="52" spans="1:9" ht="75" x14ac:dyDescent="0.25">
      <c r="A52">
        <v>11</v>
      </c>
      <c r="B52" t="s">
        <v>463</v>
      </c>
      <c r="C52" s="141" t="s">
        <v>28</v>
      </c>
      <c r="D52" t="s">
        <v>886</v>
      </c>
      <c r="E52" t="s">
        <v>887</v>
      </c>
      <c r="F52" s="1" t="str">
        <f t="shared" si="0"/>
        <v>PURPOSE: Data field for Flow_WC_ID  in 1_1_Definition_Flows
ACTION: Enter appropriate value for Flow_WC_ID 
NOTE: Please refer to BioDYM documentation for specific requirements.</v>
      </c>
      <c r="G52" s="1" t="s">
        <v>720</v>
      </c>
      <c r="H52" s="1" t="s">
        <v>500</v>
      </c>
      <c r="I52" s="1" t="s">
        <v>721</v>
      </c>
    </row>
    <row r="53" spans="1:9" ht="75" hidden="1" x14ac:dyDescent="0.25">
      <c r="A53">
        <v>50</v>
      </c>
      <c r="B53" t="s">
        <v>471</v>
      </c>
      <c r="C53" s="141" t="s">
        <v>412</v>
      </c>
      <c r="D53" t="s">
        <v>562</v>
      </c>
      <c r="E53" t="s">
        <v>563</v>
      </c>
      <c r="F53" s="1" t="str">
        <f t="shared" si="0"/>
        <v>PURPOSE: Data field for DM_Flow_Py in 1_2_Data_Flows
ACTION: Enter appropriate value for DM_Flow_Py
NOTE: Please refer to BioDYM documentation for specific requirements.</v>
      </c>
      <c r="G53" s="1" t="s">
        <v>766</v>
      </c>
      <c r="H53" s="1" t="s">
        <v>565</v>
      </c>
      <c r="I53" s="1" t="s">
        <v>721</v>
      </c>
    </row>
    <row r="54" spans="1:9" ht="105" x14ac:dyDescent="0.25">
      <c r="A54">
        <v>12</v>
      </c>
      <c r="B54" t="s">
        <v>463</v>
      </c>
      <c r="C54" s="141" t="s">
        <v>414</v>
      </c>
      <c r="D54" t="s">
        <v>490</v>
      </c>
      <c r="E54" t="s">
        <v>490</v>
      </c>
      <c r="F54" s="1" t="str">
        <f t="shared" si="0"/>
        <v>PURPOSE: Data field for Flow_WC in 1_1_Definition_Flows
ACTION: Enter appropriate value for Flow_WC
NOTE: Please refer to BioDYM documentation for specific requirements.</v>
      </c>
      <c r="G54" s="1" t="s">
        <v>722</v>
      </c>
      <c r="H54" s="1" t="s">
        <v>502</v>
      </c>
      <c r="I54" s="1" t="s">
        <v>721</v>
      </c>
    </row>
    <row r="55" spans="1:9" ht="105" hidden="1" x14ac:dyDescent="0.25">
      <c r="A55">
        <v>24</v>
      </c>
      <c r="B55" t="s">
        <v>471</v>
      </c>
      <c r="C55" s="141" t="s">
        <v>11</v>
      </c>
      <c r="D55" t="s">
        <v>491</v>
      </c>
      <c r="E55" t="s">
        <v>490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702</v>
      </c>
      <c r="H55" s="1" t="s">
        <v>703</v>
      </c>
      <c r="I55" s="1" t="s">
        <v>704</v>
      </c>
    </row>
    <row r="56" spans="1:9" ht="75" hidden="1" x14ac:dyDescent="0.25">
      <c r="A56">
        <v>75</v>
      </c>
      <c r="B56" t="s">
        <v>856</v>
      </c>
      <c r="C56" s="141" t="s">
        <v>11</v>
      </c>
      <c r="D56" t="s">
        <v>491</v>
      </c>
      <c r="E56" t="s">
        <v>490</v>
      </c>
      <c r="F56" s="1" t="str">
        <f t="shared" si="0"/>
        <v>PURPOSE: Unique identifier for transfer coefficient material
ACTION: Automatically assigned
NOTE: This field is generated automatically. No manual input required. Used for system identification and linking.</v>
      </c>
      <c r="G56" s="1" t="s">
        <v>791</v>
      </c>
      <c r="H56" s="1" t="s">
        <v>699</v>
      </c>
      <c r="I56" s="1" t="s">
        <v>700</v>
      </c>
    </row>
    <row r="57" spans="1:9" ht="75" hidden="1" x14ac:dyDescent="0.25">
      <c r="A57">
        <v>96</v>
      </c>
      <c r="B57" s="162" t="s">
        <v>857</v>
      </c>
      <c r="C57" s="141" t="s">
        <v>11</v>
      </c>
      <c r="D57" t="s">
        <v>491</v>
      </c>
      <c r="E57" t="s">
        <v>490</v>
      </c>
      <c r="F57" s="1" t="str">
        <f t="shared" si="0"/>
        <v>PURPOSE: Defines the Year (Dynamic TCs) for temporal data organization
ACTION: Enter year (e.g., 2020, 2021, 2022)
NOTE: Must be consistent with analysis time period. Used for time-series data organization.</v>
      </c>
      <c r="G57" s="1" t="s">
        <v>803</v>
      </c>
      <c r="H57" s="1" t="s">
        <v>735</v>
      </c>
      <c r="I57" s="1" t="s">
        <v>736</v>
      </c>
    </row>
    <row r="58" spans="1:9" ht="75" hidden="1" x14ac:dyDescent="0.25">
      <c r="A58">
        <v>122</v>
      </c>
      <c r="B58" s="162" t="s">
        <v>858</v>
      </c>
      <c r="C58" s="141" t="s">
        <v>11</v>
      </c>
      <c r="D58" t="s">
        <v>491</v>
      </c>
      <c r="E58" t="s">
        <v>490</v>
      </c>
      <c r="F58" s="1" t="str">
        <f t="shared" si="0"/>
        <v>PURPOSE: Defines the {field_type} for calculations
ACTION: Enter numerical value in specified unit
NOTE: Required for system calculations. Must be positive value. Used in MFA calculations.</v>
      </c>
      <c r="G58" s="1" t="s">
        <v>789</v>
      </c>
      <c r="H58" s="1" t="s">
        <v>755</v>
      </c>
      <c r="I58" s="1" t="s">
        <v>756</v>
      </c>
    </row>
    <row r="59" spans="1:9" ht="75" hidden="1" x14ac:dyDescent="0.25">
      <c r="A59">
        <v>178</v>
      </c>
      <c r="B59" t="s">
        <v>483</v>
      </c>
      <c r="C59" s="141" t="s">
        <v>11</v>
      </c>
      <c r="D59" t="s">
        <v>690</v>
      </c>
      <c r="E59" t="s">
        <v>691</v>
      </c>
      <c r="F59" s="1" t="str">
        <f t="shared" si="0"/>
        <v>PURPOSE: Data field for Y_Position_CC in 6_1_Visualization_Processes
ACTION: Enter appropriate value for Y_Position_CC
NOTE: Please refer to BioDYM documentation for specific requirements.</v>
      </c>
      <c r="G59" s="1" t="s">
        <v>852</v>
      </c>
      <c r="H59" s="1" t="s">
        <v>693</v>
      </c>
      <c r="I59" s="1" t="s">
        <v>721</v>
      </c>
    </row>
    <row r="60" spans="1:9" ht="90" x14ac:dyDescent="0.25">
      <c r="A60">
        <v>13</v>
      </c>
      <c r="B60" t="s">
        <v>463</v>
      </c>
      <c r="C60" s="141" t="s">
        <v>419</v>
      </c>
      <c r="D60" t="s">
        <v>501</v>
      </c>
      <c r="E60" t="s">
        <v>502</v>
      </c>
      <c r="F60" s="1" t="str">
        <f t="shared" si="0"/>
        <v>PURPOSE: Data field for WC_source in 1_1_Definition_Flows
ACTION: Enter appropriate value for WC_source
NOTE: Please refer to BioDYM documentation for specific requirements.</v>
      </c>
      <c r="G60" s="1" t="s">
        <v>723</v>
      </c>
      <c r="H60" s="1" t="s">
        <v>503</v>
      </c>
      <c r="I60" s="1" t="s">
        <v>721</v>
      </c>
    </row>
    <row r="61" spans="1:9" ht="75" hidden="1" x14ac:dyDescent="0.25">
      <c r="A61">
        <v>43</v>
      </c>
      <c r="B61" t="s">
        <v>471</v>
      </c>
      <c r="C61" s="141" t="s">
        <v>409</v>
      </c>
      <c r="D61" t="s">
        <v>548</v>
      </c>
      <c r="E61" t="s">
        <v>549</v>
      </c>
      <c r="F61" s="1" t="str">
        <f t="shared" si="0"/>
        <v>PURPOSE: Data field for UoM_Flow_Py in 1_2_Data_Flows
ACTION: Enter appropriate value for UoM_Flow_Py
NOTE: Please refer to BioDYM documentation for specific requirements.</v>
      </c>
      <c r="G61" s="1" t="s">
        <v>757</v>
      </c>
      <c r="H61" s="1" t="s">
        <v>551</v>
      </c>
      <c r="I61" s="1" t="s">
        <v>721</v>
      </c>
    </row>
    <row r="62" spans="1:9" ht="105" hidden="1" x14ac:dyDescent="0.25">
      <c r="A62">
        <v>42</v>
      </c>
      <c r="B62" t="s">
        <v>471</v>
      </c>
      <c r="C62" s="141" t="s">
        <v>410</v>
      </c>
      <c r="D62" t="s">
        <v>546</v>
      </c>
      <c r="E62" t="s">
        <v>547</v>
      </c>
      <c r="F62" s="1" t="str">
        <f t="shared" si="0"/>
        <v>PURPOSE: Defines the Material Flow Amount for calculations
ACTION: Enter numerical value in specified unit
NOTE: Required for system calculations. Must be positive value. Used in MFA calculations.</v>
      </c>
      <c r="G62" s="1" t="s">
        <v>754</v>
      </c>
      <c r="H62" s="1" t="s">
        <v>755</v>
      </c>
      <c r="I62" s="1" t="s">
        <v>756</v>
      </c>
    </row>
    <row r="63" spans="1:9" ht="105" x14ac:dyDescent="0.25">
      <c r="A63">
        <v>14</v>
      </c>
      <c r="B63" t="s">
        <v>463</v>
      </c>
      <c r="C63" s="141" t="s">
        <v>31</v>
      </c>
      <c r="D63" t="s">
        <v>31</v>
      </c>
      <c r="E63" t="s">
        <v>888</v>
      </c>
      <c r="F63" s="1" t="str">
        <f t="shared" si="0"/>
        <v>PURPOSE: Data field for Flow_DM_ID in 1_1_Definition_Flows
ACTION: Enter appropriate value for Flow_DM_ID
NOTE: Please refer to BioDYM documentation for specific requirements.</v>
      </c>
      <c r="G63" s="1" t="s">
        <v>724</v>
      </c>
      <c r="H63" s="1" t="s">
        <v>505</v>
      </c>
      <c r="I63" s="1" t="s">
        <v>721</v>
      </c>
    </row>
    <row r="64" spans="1:9" ht="90" hidden="1" x14ac:dyDescent="0.25">
      <c r="A64">
        <v>25</v>
      </c>
      <c r="B64" t="s">
        <v>471</v>
      </c>
      <c r="C64" s="141" t="s">
        <v>418</v>
      </c>
      <c r="D64" t="s">
        <v>492</v>
      </c>
      <c r="E64" t="s">
        <v>493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711</v>
      </c>
      <c r="H64" s="1" t="s">
        <v>712</v>
      </c>
      <c r="I64" s="1" t="s">
        <v>713</v>
      </c>
    </row>
    <row r="65" spans="1:9" ht="90" x14ac:dyDescent="0.25">
      <c r="A65">
        <v>15</v>
      </c>
      <c r="B65" t="s">
        <v>463</v>
      </c>
      <c r="C65" s="141" t="s">
        <v>415</v>
      </c>
      <c r="D65" t="s">
        <v>504</v>
      </c>
      <c r="E65" t="s">
        <v>505</v>
      </c>
      <c r="F65" s="1" t="str">
        <f t="shared" si="0"/>
        <v>PURPOSE: Data field for Flow_DM in 1_1_Definition_Flows
ACTION: Enter appropriate value for Flow_DM
NOTE: Please refer to BioDYM documentation for specific requirements.</v>
      </c>
      <c r="G65" s="1" t="s">
        <v>725</v>
      </c>
      <c r="H65" s="1" t="s">
        <v>507</v>
      </c>
      <c r="I65" s="1" t="s">
        <v>721</v>
      </c>
    </row>
    <row r="66" spans="1:9" ht="105" x14ac:dyDescent="0.25">
      <c r="A66">
        <v>16</v>
      </c>
      <c r="B66" t="s">
        <v>463</v>
      </c>
      <c r="C66" s="141" t="s">
        <v>420</v>
      </c>
      <c r="D66" t="s">
        <v>506</v>
      </c>
      <c r="E66" t="s">
        <v>507</v>
      </c>
      <c r="F66" s="1" t="str">
        <f t="shared" si="0"/>
        <v>PURPOSE: Data field for DM_source in 1_1_Definition_Flows
ACTION: Enter appropriate value for DM_source
NOTE: Please refer to BioDYM documentation for specific requirements.</v>
      </c>
      <c r="G66" s="1" t="s">
        <v>726</v>
      </c>
      <c r="H66" s="1" t="s">
        <v>509</v>
      </c>
      <c r="I66" s="1" t="s">
        <v>721</v>
      </c>
    </row>
    <row r="67" spans="1:9" ht="75" x14ac:dyDescent="0.25">
      <c r="A67">
        <v>17</v>
      </c>
      <c r="B67" t="s">
        <v>463</v>
      </c>
      <c r="C67" s="141" t="s">
        <v>33</v>
      </c>
      <c r="D67" t="s">
        <v>508</v>
      </c>
      <c r="E67" t="s">
        <v>509</v>
      </c>
      <c r="F67" s="1" t="str">
        <f t="shared" si="0"/>
        <v>PURPOSE: Data field for Flow_CC_ID in 1_1_Definition_Flows
ACTION: Enter appropriate value for Flow_CC_ID
NOTE: Please refer to BioDYM documentation for specific requirements.</v>
      </c>
      <c r="G67" s="1" t="s">
        <v>727</v>
      </c>
      <c r="H67" s="1" t="s">
        <v>511</v>
      </c>
      <c r="I67" s="1" t="s">
        <v>721</v>
      </c>
    </row>
    <row r="68" spans="1:9" ht="75.75" thickBot="1" x14ac:dyDescent="0.3">
      <c r="A68">
        <v>18</v>
      </c>
      <c r="B68" t="s">
        <v>463</v>
      </c>
      <c r="C68" s="141" t="s">
        <v>416</v>
      </c>
      <c r="D68" t="s">
        <v>510</v>
      </c>
      <c r="E68" t="s">
        <v>511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728</v>
      </c>
      <c r="H68" s="1" t="s">
        <v>729</v>
      </c>
      <c r="I68" s="1" t="s">
        <v>730</v>
      </c>
    </row>
    <row r="69" spans="1:9" ht="75.75" hidden="1" thickBot="1" x14ac:dyDescent="0.3">
      <c r="A69">
        <v>46</v>
      </c>
      <c r="B69" t="s">
        <v>471</v>
      </c>
      <c r="C69" s="160" t="s">
        <v>411</v>
      </c>
      <c r="D69" t="s">
        <v>554</v>
      </c>
      <c r="E69" t="s">
        <v>555</v>
      </c>
      <c r="F69" s="1" t="str">
        <f t="shared" si="1"/>
        <v>PURPOSE: Data field for WC_Flow_Py in 1_2_Data_Flows
ACTION: Enter appropriate value for WC_Flow_Py
NOTE: Please refer to BioDYM documentation for specific requirements.</v>
      </c>
      <c r="G69" s="1" t="s">
        <v>761</v>
      </c>
      <c r="H69" s="1" t="s">
        <v>557</v>
      </c>
      <c r="I69" s="1" t="s">
        <v>721</v>
      </c>
    </row>
    <row r="70" spans="1:9" ht="90" x14ac:dyDescent="0.25">
      <c r="A70">
        <v>19</v>
      </c>
      <c r="B70" t="s">
        <v>463</v>
      </c>
      <c r="C70" s="161" t="s">
        <v>421</v>
      </c>
      <c r="D70" t="s">
        <v>512</v>
      </c>
      <c r="E70" t="s">
        <v>513</v>
      </c>
      <c r="F70" s="1" t="str">
        <f t="shared" si="1"/>
        <v>PURPOSE: Data field for CC_DM_source in 1_1_Definition_Flows
ACTION: Enter appropriate value for CC_DM_source
NOTE: Please refer to BioDYM documentation for specific requirements.</v>
      </c>
      <c r="G70" s="1" t="s">
        <v>731</v>
      </c>
      <c r="H70" s="1" t="s">
        <v>515</v>
      </c>
      <c r="I70" s="1" t="s">
        <v>721</v>
      </c>
    </row>
    <row r="71" spans="1:9" ht="90" hidden="1" x14ac:dyDescent="0.25">
      <c r="A71">
        <v>23</v>
      </c>
      <c r="B71" t="s">
        <v>471</v>
      </c>
      <c r="C71" s="161" t="s">
        <v>7</v>
      </c>
      <c r="D71" t="s">
        <v>489</v>
      </c>
      <c r="E71" t="s">
        <v>490</v>
      </c>
      <c r="F71" s="1" t="str">
        <f t="shared" si="1"/>
        <v>PURPOSE: Unique identifier for material flow
ACTION: Automatically assigned
NOTE: This field is generated automatically. No manual input required. Used for system identification and linking.</v>
      </c>
      <c r="G71" s="1" t="s">
        <v>701</v>
      </c>
      <c r="H71" s="1" t="s">
        <v>699</v>
      </c>
      <c r="I71" s="1" t="s">
        <v>700</v>
      </c>
    </row>
    <row r="72" spans="1:9" ht="90" hidden="1" x14ac:dyDescent="0.25">
      <c r="A72">
        <v>58</v>
      </c>
      <c r="B72" t="s">
        <v>472</v>
      </c>
      <c r="C72" s="161" t="s">
        <v>7</v>
      </c>
      <c r="D72" t="s">
        <v>489</v>
      </c>
      <c r="E72" t="s">
        <v>490</v>
      </c>
      <c r="F72" s="1" t="str">
        <f t="shared" si="1"/>
        <v>PURPOSE: Unique identifier for process
ACTION: Automatically assigned
NOTE: This field is generated automatically. No manual input required. Used for system identification and linking.</v>
      </c>
      <c r="G72" s="1" t="s">
        <v>775</v>
      </c>
      <c r="H72" s="1" t="s">
        <v>699</v>
      </c>
      <c r="I72" s="1" t="s">
        <v>700</v>
      </c>
    </row>
    <row r="73" spans="1:9" ht="90" hidden="1" x14ac:dyDescent="0.25">
      <c r="A73">
        <v>67</v>
      </c>
      <c r="B73" t="s">
        <v>856</v>
      </c>
      <c r="C73" s="141" t="s">
        <v>7</v>
      </c>
      <c r="D73" t="s">
        <v>489</v>
      </c>
      <c r="E73" t="s">
        <v>490</v>
      </c>
      <c r="F73" s="1" t="str">
        <f t="shared" si="1"/>
        <v>PURPOSE: Unique identifier for process
ACTION: Automatically assigned
NOTE: This field is generated automatically. No manual input required. Used for system identification and linking.</v>
      </c>
      <c r="G73" s="1" t="s">
        <v>775</v>
      </c>
      <c r="H73" s="1" t="s">
        <v>699</v>
      </c>
      <c r="I73" s="1" t="s">
        <v>700</v>
      </c>
    </row>
    <row r="74" spans="1:9" ht="90" hidden="1" x14ac:dyDescent="0.25">
      <c r="A74">
        <v>90</v>
      </c>
      <c r="B74" s="162" t="s">
        <v>857</v>
      </c>
      <c r="C74" s="141" t="s">
        <v>7</v>
      </c>
      <c r="D74" t="s">
        <v>489</v>
      </c>
      <c r="E74" t="s">
        <v>490</v>
      </c>
      <c r="F74" s="1" t="str">
        <f t="shared" si="1"/>
        <v>PURPOSE: Unique identifier for process
ACTION: Automatically assigned
NOTE: This field is generated automatically. No manual input required. Used for system identification and linking.</v>
      </c>
      <c r="G74" s="1" t="s">
        <v>775</v>
      </c>
      <c r="H74" s="1" t="s">
        <v>699</v>
      </c>
      <c r="I74" s="1" t="s">
        <v>700</v>
      </c>
    </row>
    <row r="75" spans="1:9" ht="90" hidden="1" x14ac:dyDescent="0.25">
      <c r="A75">
        <v>107</v>
      </c>
      <c r="B75" s="162" t="s">
        <v>858</v>
      </c>
      <c r="C75" s="141" t="s">
        <v>7</v>
      </c>
      <c r="D75" t="s">
        <v>489</v>
      </c>
      <c r="E75" t="s">
        <v>490</v>
      </c>
      <c r="F75" s="1" t="str">
        <f t="shared" si="1"/>
        <v>PURPOSE: Unique identifier for {context}
ACTION: Automatically assigned
NOTE: This field is generated automatically. No manual input required. Used for system identification and linking.</v>
      </c>
      <c r="G75" s="1" t="s">
        <v>793</v>
      </c>
      <c r="H75" s="1" t="s">
        <v>699</v>
      </c>
      <c r="I75" s="1" t="s">
        <v>700</v>
      </c>
    </row>
    <row r="76" spans="1:9" ht="90" hidden="1" x14ac:dyDescent="0.25">
      <c r="A76">
        <v>137</v>
      </c>
      <c r="B76" t="s">
        <v>474</v>
      </c>
      <c r="C76" s="141" t="s">
        <v>7</v>
      </c>
      <c r="D76" t="s">
        <v>489</v>
      </c>
      <c r="E76" t="s">
        <v>490</v>
      </c>
      <c r="F76" s="1" t="str">
        <f t="shared" si="1"/>
        <v>PURPOSE: Unique identifier for process
ACTION: Automatically assigned
NOTE: This field is generated automatically. No manual input required. Used for system identification and linking.</v>
      </c>
      <c r="G76" s="1" t="s">
        <v>775</v>
      </c>
      <c r="H76" s="1" t="s">
        <v>699</v>
      </c>
      <c r="I76" s="1" t="s">
        <v>700</v>
      </c>
    </row>
    <row r="77" spans="1:9" ht="75" hidden="1" x14ac:dyDescent="0.25">
      <c r="A77">
        <v>149</v>
      </c>
      <c r="B77" t="s">
        <v>476</v>
      </c>
      <c r="C77" s="141" t="s">
        <v>7</v>
      </c>
      <c r="D77" t="s">
        <v>489</v>
      </c>
      <c r="E77" t="s">
        <v>490</v>
      </c>
      <c r="F77" s="1" t="str">
        <f t="shared" si="1"/>
        <v>PURPOSE: Data field for Parameter in 4_1_Uncertainty_Parameters
ACTION: Enter appropriate value for Parameter
NOTE: Please refer to BioDYM documentation for specific requirements.</v>
      </c>
      <c r="G77" s="1" t="s">
        <v>823</v>
      </c>
      <c r="H77" s="1" t="s">
        <v>643</v>
      </c>
      <c r="I77" s="1" t="s">
        <v>721</v>
      </c>
    </row>
    <row r="78" spans="1:9" ht="75" hidden="1" x14ac:dyDescent="0.25">
      <c r="A78">
        <v>159</v>
      </c>
      <c r="B78" s="2" t="s">
        <v>475</v>
      </c>
      <c r="C78" s="141" t="s">
        <v>7</v>
      </c>
      <c r="D78" t="s">
        <v>489</v>
      </c>
      <c r="E78" t="s">
        <v>490</v>
      </c>
      <c r="F78" s="1" t="str">
        <f t="shared" si="1"/>
        <v>PURPOSE: Data field for Scenario_Name in 5_1_Scenario_Manager
ACTION: Enter appropriate value for Scenario_Name
NOTE: Please refer to BioDYM documentation for specific requirements.</v>
      </c>
      <c r="G78" s="1" t="s">
        <v>832</v>
      </c>
      <c r="H78" s="1" t="s">
        <v>659</v>
      </c>
      <c r="I78" s="1" t="s">
        <v>721</v>
      </c>
    </row>
    <row r="79" spans="1:9" ht="90" hidden="1" x14ac:dyDescent="0.25">
      <c r="A79">
        <v>170</v>
      </c>
      <c r="B79" t="s">
        <v>482</v>
      </c>
      <c r="C79" s="141" t="s">
        <v>7</v>
      </c>
      <c r="D79" t="s">
        <v>489</v>
      </c>
      <c r="E79" t="s">
        <v>490</v>
      </c>
      <c r="F79" s="1" t="str">
        <f t="shared" si="1"/>
        <v>PURPOSE: Unique identifier for process
ACTION: Automatically assigned
NOTE: This field is generated automatically. No manual input required. Used for system identification and linking.</v>
      </c>
      <c r="G79" s="1" t="s">
        <v>775</v>
      </c>
      <c r="H79" s="1" t="s">
        <v>699</v>
      </c>
      <c r="I79" s="1" t="s">
        <v>700</v>
      </c>
    </row>
    <row r="80" spans="1:9" ht="105" hidden="1" x14ac:dyDescent="0.25">
      <c r="A80">
        <v>178</v>
      </c>
      <c r="B80" t="s">
        <v>483</v>
      </c>
      <c r="C80" s="141" t="s">
        <v>7</v>
      </c>
      <c r="D80" t="s">
        <v>692</v>
      </c>
      <c r="E80" t="s">
        <v>693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778</v>
      </c>
      <c r="H80" s="1" t="s">
        <v>779</v>
      </c>
      <c r="I80" s="1" t="s">
        <v>704</v>
      </c>
    </row>
    <row r="81" spans="1:9" ht="90" hidden="1" x14ac:dyDescent="0.25">
      <c r="A81">
        <v>118</v>
      </c>
      <c r="B81" s="162" t="s">
        <v>858</v>
      </c>
      <c r="C81" s="141" t="s">
        <v>169</v>
      </c>
      <c r="D81" t="s">
        <v>616</v>
      </c>
      <c r="E81" t="s">
        <v>513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809</v>
      </c>
      <c r="H81" s="1" t="s">
        <v>810</v>
      </c>
      <c r="I81" s="1" t="s">
        <v>704</v>
      </c>
    </row>
    <row r="82" spans="1:9" ht="90" hidden="1" x14ac:dyDescent="0.25">
      <c r="A82">
        <v>117</v>
      </c>
      <c r="B82" s="162" t="s">
        <v>858</v>
      </c>
      <c r="C82" s="141" t="s">
        <v>168</v>
      </c>
      <c r="D82" t="s">
        <v>615</v>
      </c>
      <c r="E82" t="s">
        <v>561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728</v>
      </c>
      <c r="H82" s="1" t="s">
        <v>729</v>
      </c>
      <c r="I82" s="1" t="s">
        <v>808</v>
      </c>
    </row>
    <row r="83" spans="1:9" ht="75" hidden="1" x14ac:dyDescent="0.25">
      <c r="A83">
        <v>114</v>
      </c>
      <c r="B83" s="162" t="s">
        <v>858</v>
      </c>
      <c r="C83" s="141" t="s">
        <v>166</v>
      </c>
      <c r="D83" t="s">
        <v>610</v>
      </c>
      <c r="E83" t="s">
        <v>611</v>
      </c>
      <c r="F83" s="1" t="str">
        <f t="shared" si="1"/>
        <v>PURPOSE: Data field for UoM in 2_5_Initial_Stock
ACTION: Enter appropriate value for UoM
NOTE: Please refer to BioDYM documentation for specific requirements.</v>
      </c>
      <c r="G83" s="1" t="s">
        <v>805</v>
      </c>
      <c r="H83" s="1" t="s">
        <v>613</v>
      </c>
      <c r="I83" s="1" t="s">
        <v>721</v>
      </c>
    </row>
    <row r="84" spans="1:9" ht="90" hidden="1" x14ac:dyDescent="0.25">
      <c r="A84">
        <v>116</v>
      </c>
      <c r="B84" s="162" t="s">
        <v>858</v>
      </c>
      <c r="C84" s="141" t="s">
        <v>167</v>
      </c>
      <c r="D84" t="s">
        <v>614</v>
      </c>
      <c r="E84" t="s">
        <v>553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763</v>
      </c>
      <c r="H84" s="1" t="s">
        <v>729</v>
      </c>
      <c r="I84" s="1" t="s">
        <v>807</v>
      </c>
    </row>
    <row r="85" spans="1:9" ht="75" x14ac:dyDescent="0.25">
      <c r="A85">
        <v>20</v>
      </c>
      <c r="B85" t="s">
        <v>463</v>
      </c>
      <c r="C85" s="141" t="s">
        <v>50</v>
      </c>
      <c r="D85" t="s">
        <v>514</v>
      </c>
      <c r="E85" t="s">
        <v>515</v>
      </c>
      <c r="F85" s="1" t="str">
        <f t="shared" si="1"/>
        <v>PURPOSE: Data field for CC in 1_1_Definition_Flows
ACTION: Enter appropriate value for CC
NOTE: Please refer to BioDYM documentation for specific requirements.</v>
      </c>
      <c r="G85" s="1" t="s">
        <v>732</v>
      </c>
      <c r="H85" s="1" t="s">
        <v>517</v>
      </c>
      <c r="I85" s="1" t="s">
        <v>721</v>
      </c>
    </row>
    <row r="86" spans="1:9" ht="75" hidden="1" x14ac:dyDescent="0.25">
      <c r="A86">
        <v>157</v>
      </c>
      <c r="B86" t="s">
        <v>476</v>
      </c>
      <c r="C86" s="141" t="s">
        <v>177</v>
      </c>
      <c r="D86" t="s">
        <v>654</v>
      </c>
      <c r="E86" t="s">
        <v>655</v>
      </c>
      <c r="F86" s="1" t="str">
        <f t="shared" si="1"/>
        <v>PURPOSE: Data field for Mode in 4_1_Uncertainty_Parameters
ACTION: Enter appropriate value for Mode
NOTE: Please refer to BioDYM documentation for specific requirements.</v>
      </c>
      <c r="G86" s="1" t="s">
        <v>831</v>
      </c>
      <c r="H86" s="1" t="s">
        <v>657</v>
      </c>
      <c r="I86" s="1" t="s">
        <v>721</v>
      </c>
    </row>
    <row r="87" spans="1:9" ht="75" hidden="1" x14ac:dyDescent="0.25">
      <c r="A87">
        <v>154</v>
      </c>
      <c r="B87" t="s">
        <v>476</v>
      </c>
      <c r="C87" s="141" t="s">
        <v>174</v>
      </c>
      <c r="D87" t="s">
        <v>648</v>
      </c>
      <c r="E87" t="s">
        <v>649</v>
      </c>
      <c r="F87" s="1" t="str">
        <f t="shared" si="1"/>
        <v>PURPOSE: Data field for StdDev in 4_1_Uncertainty_Parameters
ACTION: Enter appropriate value for StdDev
NOTE: Please refer to BioDYM documentation for specific requirements.</v>
      </c>
      <c r="G87" s="1" t="s">
        <v>828</v>
      </c>
      <c r="H87" s="1" t="s">
        <v>651</v>
      </c>
      <c r="I87" s="1" t="s">
        <v>721</v>
      </c>
    </row>
    <row r="88" spans="1:9" ht="75" hidden="1" x14ac:dyDescent="0.25">
      <c r="A88">
        <v>156</v>
      </c>
      <c r="B88" t="s">
        <v>476</v>
      </c>
      <c r="C88" s="141" t="s">
        <v>176</v>
      </c>
      <c r="D88" t="s">
        <v>652</v>
      </c>
      <c r="E88" t="s">
        <v>653</v>
      </c>
      <c r="F88" s="1" t="str">
        <f t="shared" si="1"/>
        <v>PURPOSE: Data field for Max in 4_1_Uncertainty_Parameters
ACTION: Enter appropriate value for Max
NOTE: Please refer to BioDYM documentation for specific requirements.</v>
      </c>
      <c r="G88" s="1" t="s">
        <v>830</v>
      </c>
      <c r="H88" s="1" t="s">
        <v>655</v>
      </c>
      <c r="I88" s="1" t="s">
        <v>721</v>
      </c>
    </row>
    <row r="89" spans="1:9" ht="90" hidden="1" x14ac:dyDescent="0.25">
      <c r="A89">
        <v>158</v>
      </c>
      <c r="B89" t="s">
        <v>476</v>
      </c>
      <c r="C89" s="141" t="s">
        <v>178</v>
      </c>
      <c r="D89" t="s">
        <v>656</v>
      </c>
      <c r="E89" t="s">
        <v>657</v>
      </c>
      <c r="F89" s="1" t="str">
        <f t="shared" si="1"/>
        <v>PURPOSE: Unique identifier for data row
ACTION: Automatically assigned
NOTE: This field is generated automatically. No manual input required. Used for system identification and linking.</v>
      </c>
      <c r="G89" s="1" t="s">
        <v>698</v>
      </c>
      <c r="H89" s="1" t="s">
        <v>699</v>
      </c>
      <c r="I89" s="1" t="s">
        <v>700</v>
      </c>
    </row>
    <row r="90" spans="1:9" ht="75" hidden="1" x14ac:dyDescent="0.25">
      <c r="A90">
        <v>172</v>
      </c>
      <c r="B90" t="s">
        <v>482</v>
      </c>
      <c r="C90" s="141" t="s">
        <v>26</v>
      </c>
      <c r="D90" t="s">
        <v>670</v>
      </c>
      <c r="E90" t="s">
        <v>671</v>
      </c>
      <c r="F90" s="1" t="str">
        <f t="shared" si="1"/>
        <v>PURPOSE: Data field for Color_Category in 6_1_Visualization_Processes
ACTION: Enter appropriate value for Color_Category
NOTE: Please refer to BioDYM documentation for specific requirements.</v>
      </c>
      <c r="G90" s="1" t="s">
        <v>842</v>
      </c>
      <c r="H90" s="1" t="s">
        <v>673</v>
      </c>
      <c r="I90" s="1" t="s">
        <v>721</v>
      </c>
    </row>
    <row r="91" spans="1:9" ht="90" hidden="1" x14ac:dyDescent="0.25">
      <c r="A91">
        <v>178</v>
      </c>
      <c r="B91" t="s">
        <v>483</v>
      </c>
      <c r="C91" s="141" t="s">
        <v>26</v>
      </c>
      <c r="D91" t="s">
        <v>580</v>
      </c>
      <c r="E91" t="s">
        <v>581</v>
      </c>
      <c r="F91" s="1" t="str">
        <f t="shared" si="1"/>
        <v>PURPOSE: Unique identifier for data row
ACTION: Automatically assigned
NOTE: This field is generated automatically. No manual input required. Used for system identification and linking.</v>
      </c>
      <c r="G91" s="1" t="s">
        <v>698</v>
      </c>
      <c r="H91" s="1" t="s">
        <v>699</v>
      </c>
      <c r="I91" s="1" t="s">
        <v>700</v>
      </c>
    </row>
    <row r="92" spans="1:9" ht="75" hidden="1" x14ac:dyDescent="0.25">
      <c r="A92">
        <v>41</v>
      </c>
      <c r="B92" t="s">
        <v>471</v>
      </c>
      <c r="C92" s="160" t="s">
        <v>20</v>
      </c>
      <c r="D92" t="s">
        <v>544</v>
      </c>
      <c r="E92" t="s">
        <v>545</v>
      </c>
      <c r="F92" s="1" t="str">
        <f t="shared" si="1"/>
        <v>PURPOSE: Data field for Flow_material_year_ID in 1_2_Data_Flows
ACTION: Enter appropriate value for Flow_material_year_ID
NOTE: Please refer to BioDYM documentation for specific requirements.</v>
      </c>
      <c r="G92" s="1" t="s">
        <v>753</v>
      </c>
      <c r="H92" s="1" t="s">
        <v>547</v>
      </c>
      <c r="I92" s="1" t="s">
        <v>721</v>
      </c>
    </row>
    <row r="93" spans="1:9" ht="75" hidden="1" x14ac:dyDescent="0.25">
      <c r="A93">
        <v>32</v>
      </c>
      <c r="B93" t="s">
        <v>471</v>
      </c>
      <c r="C93" s="161" t="s">
        <v>13</v>
      </c>
      <c r="D93" t="s">
        <v>526</v>
      </c>
      <c r="E93" t="s">
        <v>527</v>
      </c>
      <c r="F93" s="1" t="str">
        <f t="shared" si="1"/>
        <v>PURPOSE: Data field for AVV in 1_2_Data_Flows
ACTION: Enter appropriate value for AVV
NOTE: Please refer to BioDYM documentation for specific requirements.</v>
      </c>
      <c r="G93" s="1" t="s">
        <v>740</v>
      </c>
      <c r="H93" s="1" t="s">
        <v>529</v>
      </c>
      <c r="I93" s="1" t="s">
        <v>721</v>
      </c>
    </row>
    <row r="94" spans="1:9" ht="75" hidden="1" x14ac:dyDescent="0.25">
      <c r="A94">
        <v>165</v>
      </c>
      <c r="B94" s="2" t="s">
        <v>475</v>
      </c>
      <c r="C94" s="161" t="s">
        <v>188</v>
      </c>
      <c r="D94" t="s">
        <v>662</v>
      </c>
      <c r="E94" t="s">
        <v>663</v>
      </c>
      <c r="F94" s="1" t="str">
        <f t="shared" si="1"/>
        <v>PURPOSE: Data field for start_year in 5_1_Scenario_Manager
ACTION: Enter appropriate value for start_year
NOTE: Please refer to BioDYM documentation for specific requirements.</v>
      </c>
      <c r="G94" s="1" t="s">
        <v>838</v>
      </c>
      <c r="H94" s="1" t="s">
        <v>665</v>
      </c>
      <c r="I94" s="1" t="s">
        <v>721</v>
      </c>
    </row>
    <row r="95" spans="1:9" ht="75" hidden="1" x14ac:dyDescent="0.25">
      <c r="A95">
        <v>174</v>
      </c>
      <c r="B95" t="s">
        <v>482</v>
      </c>
      <c r="C95" s="161" t="s">
        <v>246</v>
      </c>
      <c r="D95" t="s">
        <v>674</v>
      </c>
      <c r="E95" t="s">
        <v>675</v>
      </c>
      <c r="F95" s="1" t="str">
        <f t="shared" si="1"/>
        <v>PURPOSE: Data field for Node_Color_# in 6_1_Visualization_Processes
ACTION: Enter appropriate value for Node_Color_#
NOTE: Please refer to BioDYM documentation for specific requirements.</v>
      </c>
      <c r="G95" s="1" t="s">
        <v>844</v>
      </c>
      <c r="H95" s="1" t="s">
        <v>677</v>
      </c>
      <c r="I95" s="1" t="s">
        <v>721</v>
      </c>
    </row>
    <row r="96" spans="1:9" ht="75" hidden="1" x14ac:dyDescent="0.25">
      <c r="A96">
        <v>175</v>
      </c>
      <c r="B96" t="s">
        <v>482</v>
      </c>
      <c r="C96" s="161" t="s">
        <v>247</v>
      </c>
      <c r="D96" t="s">
        <v>676</v>
      </c>
      <c r="E96" t="s">
        <v>677</v>
      </c>
      <c r="F96" s="1" t="str">
        <f t="shared" si="1"/>
        <v>PURPOSE: Data field for X_Position_Material in 6_1_Visualization_Processes
ACTION: Enter appropriate value for X_Position_Material
NOTE: Please refer to BioDYM documentation for specific requirements.</v>
      </c>
      <c r="G96" s="1" t="s">
        <v>845</v>
      </c>
      <c r="H96" s="1" t="s">
        <v>679</v>
      </c>
      <c r="I96" s="1" t="s">
        <v>721</v>
      </c>
    </row>
    <row r="97" spans="1:9" ht="75" hidden="1" x14ac:dyDescent="0.25">
      <c r="A97">
        <v>65</v>
      </c>
      <c r="B97" t="s">
        <v>472</v>
      </c>
      <c r="C97" s="141" t="s">
        <v>179</v>
      </c>
      <c r="D97" t="s">
        <v>532</v>
      </c>
      <c r="E97" t="s">
        <v>588</v>
      </c>
      <c r="F97" s="1" t="str">
        <f t="shared" si="1"/>
        <v>PURPOSE: Flag this row as 100% complete for reporting and filtering purposes
ACTION: Click to select
NOTE: This input is optional. Leave blank if the process is ongoing. Used for progress tracking.</v>
      </c>
      <c r="G97" s="1" t="s">
        <v>772</v>
      </c>
      <c r="H97" s="1" t="s">
        <v>773</v>
      </c>
      <c r="I97" s="1" t="s">
        <v>774</v>
      </c>
    </row>
    <row r="98" spans="1:9" ht="75" hidden="1" x14ac:dyDescent="0.25">
      <c r="A98">
        <v>130</v>
      </c>
      <c r="B98" t="s">
        <v>473</v>
      </c>
      <c r="C98" s="141" t="s">
        <v>179</v>
      </c>
      <c r="D98" t="s">
        <v>532</v>
      </c>
      <c r="E98" t="s">
        <v>588</v>
      </c>
      <c r="F98" s="1" t="str">
        <f t="shared" si="1"/>
        <v>PURPOSE: Data field for DSM_Category_Nr. in 3_1_Definition_DSM
ACTION: Enter appropriate value for DSM_Category_Nr.
NOTE: Please refer to BioDYM documentation for specific requirements.</v>
      </c>
      <c r="G98" s="1" t="s">
        <v>814</v>
      </c>
      <c r="H98" s="1" t="s">
        <v>625</v>
      </c>
      <c r="I98" s="1" t="s">
        <v>721</v>
      </c>
    </row>
    <row r="99" spans="1:9" ht="75" hidden="1" x14ac:dyDescent="0.25">
      <c r="A99">
        <v>143</v>
      </c>
      <c r="B99" t="s">
        <v>474</v>
      </c>
      <c r="C99" s="141" t="s">
        <v>179</v>
      </c>
      <c r="D99" t="s">
        <v>532</v>
      </c>
      <c r="E99" t="s">
        <v>588</v>
      </c>
      <c r="F99" s="1" t="str">
        <f t="shared" si="1"/>
        <v>PURPOSE: Data field for Nr._Decay_Pools in 3_2_Definition_FOMP
ACTION: Enter appropriate value for Nr._Decay_Pools
NOTE: Please refer to BioDYM documentation for specific requirements.</v>
      </c>
      <c r="G99" s="1" t="s">
        <v>819</v>
      </c>
      <c r="H99" s="1" t="s">
        <v>635</v>
      </c>
      <c r="I99" s="1" t="s">
        <v>721</v>
      </c>
    </row>
    <row r="100" spans="1:9" ht="75" hidden="1" x14ac:dyDescent="0.25">
      <c r="A100">
        <v>73</v>
      </c>
      <c r="B100" t="s">
        <v>856</v>
      </c>
      <c r="C100" s="141" t="s">
        <v>180</v>
      </c>
      <c r="D100" t="s">
        <v>532</v>
      </c>
      <c r="E100" t="s">
        <v>588</v>
      </c>
      <c r="F100" s="1" t="str">
        <f t="shared" si="1"/>
        <v>PURPOSE: Data field for Output_Flow in 2_3_static_TCs
ACTION: Enter appropriate value for Output_Flow
NOTE: Please refer to BioDYM documentation for specific requirements.</v>
      </c>
      <c r="G100" s="1" t="s">
        <v>790</v>
      </c>
      <c r="H100" s="1" t="s">
        <v>590</v>
      </c>
      <c r="I100" s="1" t="s">
        <v>721</v>
      </c>
    </row>
    <row r="101" spans="1:9" ht="75" hidden="1" x14ac:dyDescent="0.25">
      <c r="A101">
        <v>144</v>
      </c>
      <c r="B101" t="s">
        <v>474</v>
      </c>
      <c r="C101" s="141" t="s">
        <v>195</v>
      </c>
      <c r="D101" t="s">
        <v>634</v>
      </c>
      <c r="E101" t="s">
        <v>635</v>
      </c>
      <c r="F101" s="1" t="str">
        <f t="shared" si="1"/>
        <v>PURPOSE: Data field for Pool in 3_2_Definition_FOMP
ACTION: Enter appropriate value for Pool
NOTE: Please refer to BioDYM documentation for specific requirements.</v>
      </c>
      <c r="G101" s="1" t="s">
        <v>820</v>
      </c>
      <c r="H101" s="1" t="s">
        <v>637</v>
      </c>
      <c r="I101" s="1" t="s">
        <v>721</v>
      </c>
    </row>
    <row r="102" spans="1:9" ht="75" hidden="1" x14ac:dyDescent="0.25">
      <c r="A102">
        <v>164</v>
      </c>
      <c r="B102" t="s">
        <v>475</v>
      </c>
      <c r="C102" s="141" t="s">
        <v>209</v>
      </c>
      <c r="D102" t="s">
        <v>660</v>
      </c>
      <c r="E102" t="s">
        <v>661</v>
      </c>
      <c r="F102" s="1" t="str">
        <f t="shared" si="1"/>
        <v>PURPOSE: Data field for New_Value in 5_1_Scenario_Manager
ACTION: Enter appropriate value for New_Value
NOTE: Please refer to BioDYM documentation for specific requirements.</v>
      </c>
      <c r="G102" s="1" t="s">
        <v>837</v>
      </c>
      <c r="H102" s="1" t="s">
        <v>663</v>
      </c>
      <c r="I102" s="1" t="s">
        <v>721</v>
      </c>
    </row>
    <row r="103" spans="1:9" ht="90" hidden="1" x14ac:dyDescent="0.25">
      <c r="A103">
        <v>74</v>
      </c>
      <c r="B103" t="s">
        <v>856</v>
      </c>
      <c r="C103" s="141" t="s">
        <v>164</v>
      </c>
      <c r="D103" t="s">
        <v>589</v>
      </c>
      <c r="E103" t="s">
        <v>590</v>
      </c>
      <c r="F103" s="1" t="str">
        <f t="shared" si="1"/>
        <v>PURPOSE: Unique identifier for material flow
ACTION: Automatically assigned
NOTE: This field is generated automatically. No manual input required. Used for system identification and linking.</v>
      </c>
      <c r="G103" s="1" t="s">
        <v>701</v>
      </c>
      <c r="H103" s="1" t="s">
        <v>699</v>
      </c>
      <c r="I103" s="1" t="s">
        <v>700</v>
      </c>
    </row>
    <row r="104" spans="1:9" ht="90" hidden="1" x14ac:dyDescent="0.25">
      <c r="A104">
        <v>93</v>
      </c>
      <c r="B104" s="162" t="s">
        <v>857</v>
      </c>
      <c r="C104" s="141" t="s">
        <v>164</v>
      </c>
      <c r="D104" t="s">
        <v>589</v>
      </c>
      <c r="E104" t="s">
        <v>590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783</v>
      </c>
      <c r="H104" s="1" t="s">
        <v>784</v>
      </c>
      <c r="I104" s="1" t="s">
        <v>785</v>
      </c>
    </row>
    <row r="105" spans="1:9" ht="75" hidden="1" x14ac:dyDescent="0.25">
      <c r="A105">
        <v>150</v>
      </c>
      <c r="B105" t="s">
        <v>476</v>
      </c>
      <c r="C105" s="141" t="s">
        <v>116</v>
      </c>
      <c r="D105" t="s">
        <v>642</v>
      </c>
      <c r="E105" t="s">
        <v>643</v>
      </c>
      <c r="F105" s="1" t="str">
        <f t="shared" si="1"/>
        <v>PURPOSE: Data field for Parameter_Selection in 4_1_Uncertainty_Parameters
ACTION: Enter appropriate value for Parameter_Selection
NOTE: Please refer to BioDYM documentation for specific requirements.</v>
      </c>
      <c r="G105" s="1" t="s">
        <v>824</v>
      </c>
      <c r="H105" s="1" t="s">
        <v>645</v>
      </c>
      <c r="I105" s="1" t="s">
        <v>721</v>
      </c>
    </row>
    <row r="106" spans="1:9" ht="75" hidden="1" x14ac:dyDescent="0.25">
      <c r="A106">
        <v>161</v>
      </c>
      <c r="B106" s="2" t="s">
        <v>475</v>
      </c>
      <c r="C106" s="141" t="s">
        <v>116</v>
      </c>
      <c r="D106" t="s">
        <v>642</v>
      </c>
      <c r="E106" t="s">
        <v>643</v>
      </c>
      <c r="F106" s="1" t="str">
        <f t="shared" si="1"/>
        <v>PURPOSE: Data field for Parameter_Selection in 5_1_Scenario_Manager
ACTION: Enter appropriate value for Parameter_Selection
NOTE: Please refer to BioDYM documentation for specific requirements.</v>
      </c>
      <c r="G106" s="1" t="s">
        <v>834</v>
      </c>
      <c r="H106" s="1" t="s">
        <v>645</v>
      </c>
      <c r="I106" s="1" t="s">
        <v>721</v>
      </c>
    </row>
    <row r="107" spans="1:9" ht="75" hidden="1" x14ac:dyDescent="0.25">
      <c r="A107">
        <v>147</v>
      </c>
      <c r="B107" t="s">
        <v>474</v>
      </c>
      <c r="C107" s="141" t="s">
        <v>172</v>
      </c>
      <c r="D107" t="s">
        <v>638</v>
      </c>
      <c r="E107" t="s">
        <v>639</v>
      </c>
      <c r="F107" s="1" t="str">
        <f t="shared" si="1"/>
        <v>PURPOSE: Data field for Value in 3_2_Definition_FOMP
ACTION: Enter appropriate value for Value
NOTE: Please refer to BioDYM documentation for specific requirements.</v>
      </c>
      <c r="G107" s="1" t="s">
        <v>822</v>
      </c>
      <c r="H107" s="1" t="s">
        <v>641</v>
      </c>
      <c r="I107" s="1" t="s">
        <v>721</v>
      </c>
    </row>
    <row r="108" spans="1:9" ht="75" hidden="1" x14ac:dyDescent="0.25">
      <c r="A108">
        <v>152</v>
      </c>
      <c r="B108" t="s">
        <v>476</v>
      </c>
      <c r="C108" s="141" t="s">
        <v>172</v>
      </c>
      <c r="D108" t="s">
        <v>638</v>
      </c>
      <c r="E108" t="s">
        <v>639</v>
      </c>
      <c r="F108" s="1" t="str">
        <f t="shared" si="1"/>
        <v>PURPOSE: Data field for Distribution in 4_1_Uncertainty_Parameters
ACTION: Enter appropriate value for Distribution
NOTE: Please refer to BioDYM documentation for specific requirements.</v>
      </c>
      <c r="G108" s="1" t="s">
        <v>826</v>
      </c>
      <c r="H108" s="1" t="s">
        <v>647</v>
      </c>
      <c r="I108" s="1" t="s">
        <v>721</v>
      </c>
    </row>
    <row r="109" spans="1:9" ht="75" hidden="1" x14ac:dyDescent="0.25">
      <c r="A109">
        <v>163</v>
      </c>
      <c r="B109" s="2" t="s">
        <v>475</v>
      </c>
      <c r="C109" s="160" t="s">
        <v>172</v>
      </c>
      <c r="D109" t="s">
        <v>638</v>
      </c>
      <c r="E109" t="s">
        <v>639</v>
      </c>
      <c r="F109" s="1" t="str">
        <f t="shared" si="1"/>
        <v>PURPOSE: Data field for Operation in 5_1_Scenario_Manager
ACTION: Enter appropriate value for Operation
NOTE: Please refer to BioDYM documentation for specific requirements.</v>
      </c>
      <c r="G109" s="1" t="s">
        <v>836</v>
      </c>
      <c r="H109" s="1" t="s">
        <v>661</v>
      </c>
      <c r="I109" s="1" t="s">
        <v>721</v>
      </c>
    </row>
    <row r="110" spans="1:9" ht="75" hidden="1" x14ac:dyDescent="0.25">
      <c r="A110">
        <v>151</v>
      </c>
      <c r="B110" t="s">
        <v>476</v>
      </c>
      <c r="C110" s="161" t="s">
        <v>187</v>
      </c>
      <c r="D110" t="s">
        <v>644</v>
      </c>
      <c r="E110" t="s">
        <v>645</v>
      </c>
      <c r="F110" s="1" t="str">
        <f t="shared" si="1"/>
        <v>PURPOSE: Data field for Parameter_Name in 4_1_Uncertainty_Parameters
ACTION: Enter appropriate value for Parameter_Name
NOTE: Please refer to BioDYM documentation for specific requirements.</v>
      </c>
      <c r="G110" s="1" t="s">
        <v>825</v>
      </c>
      <c r="H110" s="1" t="s">
        <v>639</v>
      </c>
      <c r="I110" s="1" t="s">
        <v>721</v>
      </c>
    </row>
    <row r="111" spans="1:9" ht="75" hidden="1" x14ac:dyDescent="0.25">
      <c r="A111">
        <v>162</v>
      </c>
      <c r="B111" t="s">
        <v>475</v>
      </c>
      <c r="C111" s="161" t="s">
        <v>187</v>
      </c>
      <c r="D111" t="s">
        <v>644</v>
      </c>
      <c r="E111" t="s">
        <v>645</v>
      </c>
      <c r="F111" s="1" t="str">
        <f t="shared" si="1"/>
        <v>PURPOSE: Data field for Parameter_Name in 5_1_Scenario_Manager
ACTION: Enter appropriate value for Parameter_Name
NOTE: Please refer to BioDYM documentation for specific requirements.</v>
      </c>
      <c r="G111" s="1" t="s">
        <v>835</v>
      </c>
      <c r="H111" s="1" t="s">
        <v>639</v>
      </c>
      <c r="I111" s="1" t="s">
        <v>721</v>
      </c>
    </row>
    <row r="112" spans="1:9" ht="90" hidden="1" x14ac:dyDescent="0.25">
      <c r="A112">
        <v>145</v>
      </c>
      <c r="B112" t="s">
        <v>474</v>
      </c>
      <c r="C112" s="161" t="s">
        <v>201</v>
      </c>
      <c r="D112" t="s">
        <v>636</v>
      </c>
      <c r="E112" t="s">
        <v>637</v>
      </c>
      <c r="F112" s="1" t="str">
        <f t="shared" si="1"/>
        <v>PURPOSE: Unique identifier for {context}
ACTION: Automatically assigned
NOTE: This field is generated automatically. No manual input required. Used for system identification and linking.</v>
      </c>
      <c r="G112" s="1" t="s">
        <v>793</v>
      </c>
      <c r="H112" s="1" t="s">
        <v>699</v>
      </c>
      <c r="I112" s="1" t="s">
        <v>700</v>
      </c>
    </row>
    <row r="113" spans="1:9" ht="75" hidden="1" x14ac:dyDescent="0.25">
      <c r="A113">
        <v>146</v>
      </c>
      <c r="B113" t="s">
        <v>474</v>
      </c>
      <c r="C113" s="161" t="s">
        <v>198</v>
      </c>
      <c r="D113" t="s">
        <v>532</v>
      </c>
      <c r="E113" t="s">
        <v>490</v>
      </c>
      <c r="F113" s="1" t="str">
        <f t="shared" si="1"/>
        <v>PURPOSE: Data field for Parameter_Name in 3_2_Definition_FOMP
ACTION: Enter appropriate value for Parameter_Name
NOTE: Please refer to BioDYM documentation for specific requirements.</v>
      </c>
      <c r="G113" s="1" t="s">
        <v>821</v>
      </c>
      <c r="H113" s="1" t="s">
        <v>639</v>
      </c>
      <c r="I113" s="1" t="s">
        <v>721</v>
      </c>
    </row>
    <row r="114" spans="1:9" ht="105" hidden="1" x14ac:dyDescent="0.25">
      <c r="A114">
        <v>59</v>
      </c>
      <c r="B114" t="s">
        <v>472</v>
      </c>
      <c r="C114" s="161" t="s">
        <v>23</v>
      </c>
      <c r="D114" t="s">
        <v>577</v>
      </c>
      <c r="E114" t="s">
        <v>490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776</v>
      </c>
      <c r="H114" s="1" t="s">
        <v>777</v>
      </c>
      <c r="I114" s="1" t="s">
        <v>704</v>
      </c>
    </row>
    <row r="115" spans="1:9" ht="105" hidden="1" x14ac:dyDescent="0.25">
      <c r="A115">
        <v>68</v>
      </c>
      <c r="B115" t="s">
        <v>856</v>
      </c>
      <c r="C115" s="141" t="s">
        <v>23</v>
      </c>
      <c r="D115" t="s">
        <v>577</v>
      </c>
      <c r="E115" t="s">
        <v>490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776</v>
      </c>
      <c r="H115" s="1" t="s">
        <v>777</v>
      </c>
      <c r="I115" s="1" t="s">
        <v>704</v>
      </c>
    </row>
    <row r="116" spans="1:9" ht="105" hidden="1" x14ac:dyDescent="0.25">
      <c r="A116">
        <v>91</v>
      </c>
      <c r="B116" s="162" t="s">
        <v>857</v>
      </c>
      <c r="C116" s="141" t="s">
        <v>23</v>
      </c>
      <c r="D116" t="s">
        <v>577</v>
      </c>
      <c r="E116" t="s">
        <v>490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776</v>
      </c>
      <c r="H116" s="1" t="s">
        <v>777</v>
      </c>
      <c r="I116" s="1" t="s">
        <v>704</v>
      </c>
    </row>
    <row r="117" spans="1:9" ht="105" hidden="1" x14ac:dyDescent="0.25">
      <c r="A117">
        <v>109</v>
      </c>
      <c r="B117" s="162" t="s">
        <v>858</v>
      </c>
      <c r="C117" s="141" t="s">
        <v>23</v>
      </c>
      <c r="D117" t="s">
        <v>577</v>
      </c>
      <c r="E117" t="s">
        <v>490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776</v>
      </c>
      <c r="H117" s="1" t="s">
        <v>777</v>
      </c>
      <c r="I117" s="1" t="s">
        <v>704</v>
      </c>
    </row>
    <row r="118" spans="1:9" ht="105" hidden="1" x14ac:dyDescent="0.25">
      <c r="A118">
        <v>125</v>
      </c>
      <c r="B118" t="s">
        <v>473</v>
      </c>
      <c r="C118" s="141" t="s">
        <v>23</v>
      </c>
      <c r="D118" t="s">
        <v>577</v>
      </c>
      <c r="E118" t="s">
        <v>490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776</v>
      </c>
      <c r="H118" s="1" t="s">
        <v>777</v>
      </c>
      <c r="I118" s="1" t="s">
        <v>704</v>
      </c>
    </row>
    <row r="119" spans="1:9" ht="105" hidden="1" x14ac:dyDescent="0.25">
      <c r="A119">
        <v>138</v>
      </c>
      <c r="B119" t="s">
        <v>474</v>
      </c>
      <c r="C119" s="141" t="s">
        <v>23</v>
      </c>
      <c r="D119" t="s">
        <v>577</v>
      </c>
      <c r="E119" t="s">
        <v>490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776</v>
      </c>
      <c r="H119" s="1" t="s">
        <v>777</v>
      </c>
      <c r="I119" s="1" t="s">
        <v>704</v>
      </c>
    </row>
    <row r="120" spans="1:9" ht="75" hidden="1" x14ac:dyDescent="0.25">
      <c r="A120">
        <v>171</v>
      </c>
      <c r="B120" t="s">
        <v>482</v>
      </c>
      <c r="C120" s="141" t="s">
        <v>23</v>
      </c>
      <c r="D120" t="s">
        <v>577</v>
      </c>
      <c r="E120" t="s">
        <v>490</v>
      </c>
      <c r="F120" s="1" t="str">
        <f t="shared" si="1"/>
        <v>PURPOSE: Data field for Name(EN) in 6_1_Visualization_Processes
ACTION: Enter appropriate value for Name(EN)
NOTE: Please refer to BioDYM documentation for specific requirements.</v>
      </c>
      <c r="G120" s="1" t="s">
        <v>841</v>
      </c>
      <c r="H120" s="1" t="s">
        <v>671</v>
      </c>
      <c r="I120" s="1" t="s">
        <v>721</v>
      </c>
    </row>
    <row r="121" spans="1:9" ht="90" hidden="1" x14ac:dyDescent="0.25">
      <c r="A121">
        <v>62</v>
      </c>
      <c r="B121" t="s">
        <v>472</v>
      </c>
      <c r="C121" s="141" t="s">
        <v>391</v>
      </c>
      <c r="D121" t="s">
        <v>582</v>
      </c>
      <c r="E121" t="s">
        <v>583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783</v>
      </c>
      <c r="H121" s="1" t="s">
        <v>784</v>
      </c>
      <c r="I121" s="1" t="s">
        <v>785</v>
      </c>
    </row>
    <row r="122" spans="1:9" ht="90" hidden="1" x14ac:dyDescent="0.25">
      <c r="A122">
        <v>70</v>
      </c>
      <c r="B122" t="s">
        <v>856</v>
      </c>
      <c r="C122" s="141" t="s">
        <v>391</v>
      </c>
      <c r="D122" t="s">
        <v>582</v>
      </c>
      <c r="E122" t="s">
        <v>583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783</v>
      </c>
      <c r="H122" s="1" t="s">
        <v>784</v>
      </c>
      <c r="I122" s="1" t="s">
        <v>785</v>
      </c>
    </row>
    <row r="123" spans="1:9" ht="90" hidden="1" x14ac:dyDescent="0.25">
      <c r="A123">
        <v>95</v>
      </c>
      <c r="B123" s="162" t="s">
        <v>857</v>
      </c>
      <c r="C123" s="141" t="s">
        <v>391</v>
      </c>
      <c r="D123" t="s">
        <v>582</v>
      </c>
      <c r="E123" t="s">
        <v>583</v>
      </c>
      <c r="F123" s="1" t="str">
        <f t="shared" si="1"/>
        <v>PURPOSE: Unique identifier for material flow
ACTION: Automatically assigned
NOTE: This field is generated automatically. No manual input required. Used for system identification and linking.</v>
      </c>
      <c r="G123" s="1" t="s">
        <v>701</v>
      </c>
      <c r="H123" s="1" t="s">
        <v>699</v>
      </c>
      <c r="I123" s="1" t="s">
        <v>700</v>
      </c>
    </row>
    <row r="124" spans="1:9" ht="90" hidden="1" x14ac:dyDescent="0.25">
      <c r="A124">
        <v>111</v>
      </c>
      <c r="B124" s="162" t="s">
        <v>858</v>
      </c>
      <c r="C124" s="141" t="s">
        <v>391</v>
      </c>
      <c r="D124" t="s">
        <v>582</v>
      </c>
      <c r="E124" t="s">
        <v>583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783</v>
      </c>
      <c r="H124" s="1" t="s">
        <v>784</v>
      </c>
      <c r="I124" s="1" t="s">
        <v>785</v>
      </c>
    </row>
    <row r="125" spans="1:9" ht="90" hidden="1" x14ac:dyDescent="0.25">
      <c r="A125">
        <v>127</v>
      </c>
      <c r="B125" t="s">
        <v>473</v>
      </c>
      <c r="C125" s="141" t="s">
        <v>391</v>
      </c>
      <c r="D125" t="s">
        <v>582</v>
      </c>
      <c r="E125" t="s">
        <v>583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783</v>
      </c>
      <c r="H125" s="1" t="s">
        <v>784</v>
      </c>
      <c r="I125" s="1" t="s">
        <v>785</v>
      </c>
    </row>
    <row r="126" spans="1:9" ht="90" hidden="1" x14ac:dyDescent="0.25">
      <c r="A126">
        <v>140</v>
      </c>
      <c r="B126" t="s">
        <v>474</v>
      </c>
      <c r="C126" s="141" t="s">
        <v>391</v>
      </c>
      <c r="D126" t="s">
        <v>582</v>
      </c>
      <c r="E126" t="s">
        <v>583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783</v>
      </c>
      <c r="H126" s="1" t="s">
        <v>784</v>
      </c>
      <c r="I126" s="1" t="s">
        <v>785</v>
      </c>
    </row>
    <row r="127" spans="1:9" ht="105" hidden="1" x14ac:dyDescent="0.25">
      <c r="A127">
        <v>60</v>
      </c>
      <c r="B127" t="s">
        <v>472</v>
      </c>
      <c r="C127" s="141" t="s">
        <v>426</v>
      </c>
      <c r="D127" t="s">
        <v>578</v>
      </c>
      <c r="E127" t="s">
        <v>579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778</v>
      </c>
      <c r="H127" s="1" t="s">
        <v>779</v>
      </c>
      <c r="I127" s="1" t="s">
        <v>704</v>
      </c>
    </row>
    <row r="128" spans="1:9" ht="105" hidden="1" x14ac:dyDescent="0.25">
      <c r="A128">
        <v>69</v>
      </c>
      <c r="B128" t="s">
        <v>856</v>
      </c>
      <c r="C128" s="161" t="s">
        <v>426</v>
      </c>
      <c r="D128" t="s">
        <v>578</v>
      </c>
      <c r="E128" t="s">
        <v>579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780</v>
      </c>
      <c r="H128" s="1" t="s">
        <v>781</v>
      </c>
      <c r="I128" s="1" t="s">
        <v>782</v>
      </c>
    </row>
    <row r="129" spans="1:9" ht="75" hidden="1" x14ac:dyDescent="0.25">
      <c r="A129">
        <v>92</v>
      </c>
      <c r="B129" s="162" t="s">
        <v>857</v>
      </c>
      <c r="C129" s="161" t="s">
        <v>426</v>
      </c>
      <c r="D129" t="s">
        <v>578</v>
      </c>
      <c r="E129" t="s">
        <v>579</v>
      </c>
      <c r="F129" s="1" t="str">
        <f t="shared" si="1"/>
        <v>PURPOSE: Data field for Output_Flow in 2_4_dynamic_TCs
ACTION: Enter appropriate value for Output_Flow
NOTE: Please refer to BioDYM documentation for specific requirements.</v>
      </c>
      <c r="G129" s="1" t="s">
        <v>802</v>
      </c>
      <c r="H129" s="1" t="s">
        <v>590</v>
      </c>
      <c r="I129" s="1" t="s">
        <v>721</v>
      </c>
    </row>
    <row r="130" spans="1:9" ht="105" hidden="1" x14ac:dyDescent="0.25">
      <c r="A130">
        <v>110</v>
      </c>
      <c r="B130" s="162" t="s">
        <v>858</v>
      </c>
      <c r="C130" s="161" t="s">
        <v>426</v>
      </c>
      <c r="D130" t="s">
        <v>578</v>
      </c>
      <c r="E130" t="s">
        <v>579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780</v>
      </c>
      <c r="H130" s="1" t="s">
        <v>781</v>
      </c>
      <c r="I130" s="1" t="s">
        <v>782</v>
      </c>
    </row>
    <row r="131" spans="1:9" ht="105" hidden="1" x14ac:dyDescent="0.25">
      <c r="A131">
        <v>126</v>
      </c>
      <c r="B131" t="s">
        <v>473</v>
      </c>
      <c r="C131" s="161" t="s">
        <v>426</v>
      </c>
      <c r="D131" t="s">
        <v>578</v>
      </c>
      <c r="E131" t="s">
        <v>579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780</v>
      </c>
      <c r="H131" s="1" t="s">
        <v>781</v>
      </c>
      <c r="I131" s="1" t="s">
        <v>782</v>
      </c>
    </row>
    <row r="132" spans="1:9" ht="105" hidden="1" x14ac:dyDescent="0.25">
      <c r="A132">
        <v>139</v>
      </c>
      <c r="B132" t="s">
        <v>474</v>
      </c>
      <c r="C132" s="161" t="s">
        <v>426</v>
      </c>
      <c r="D132" t="s">
        <v>578</v>
      </c>
      <c r="E132" t="s">
        <v>579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780</v>
      </c>
      <c r="H132" s="1" t="s">
        <v>781</v>
      </c>
      <c r="I132" s="1" t="s">
        <v>782</v>
      </c>
    </row>
    <row r="133" spans="1:9" ht="75" hidden="1" x14ac:dyDescent="0.25">
      <c r="A133">
        <v>160</v>
      </c>
      <c r="B133" t="s">
        <v>475</v>
      </c>
      <c r="C133" s="161" t="s">
        <v>214</v>
      </c>
      <c r="D133" t="s">
        <v>658</v>
      </c>
      <c r="E133" t="s">
        <v>659</v>
      </c>
      <c r="F133" s="1" t="str">
        <f t="shared" si="2"/>
        <v>PURPOSE: Data field for Parameter in 5_1_Scenario_Manager
ACTION: Enter appropriate value for Parameter
NOTE: Please refer to BioDYM documentation for specific requirements.</v>
      </c>
      <c r="G133" s="1" t="s">
        <v>833</v>
      </c>
      <c r="H133" s="1" t="s">
        <v>643</v>
      </c>
      <c r="I133" s="1" t="s">
        <v>721</v>
      </c>
    </row>
    <row r="134" spans="1:9" ht="75" hidden="1" x14ac:dyDescent="0.25">
      <c r="A134">
        <v>166</v>
      </c>
      <c r="B134" t="s">
        <v>475</v>
      </c>
      <c r="C134" s="161" t="s">
        <v>427</v>
      </c>
      <c r="D134" t="s">
        <v>664</v>
      </c>
      <c r="E134" t="s">
        <v>665</v>
      </c>
      <c r="F134" s="1" t="str">
        <f t="shared" si="2"/>
        <v>PURPOSE: Data field for end_year in 5_1_Scenario_Manager
ACTION: Enter appropriate value for end_year
NOTE: Please refer to BioDYM documentation for specific requirements.</v>
      </c>
      <c r="G134" s="1" t="s">
        <v>839</v>
      </c>
      <c r="H134" s="1" t="s">
        <v>667</v>
      </c>
      <c r="I134" s="1" t="s">
        <v>721</v>
      </c>
    </row>
    <row r="135" spans="1:9" ht="75" hidden="1" x14ac:dyDescent="0.25">
      <c r="A135">
        <v>155</v>
      </c>
      <c r="B135" t="s">
        <v>476</v>
      </c>
      <c r="C135" s="141" t="s">
        <v>175</v>
      </c>
      <c r="D135" t="s">
        <v>650</v>
      </c>
      <c r="E135" t="s">
        <v>651</v>
      </c>
      <c r="F135" s="1" t="str">
        <f t="shared" si="2"/>
        <v>PURPOSE: Data field for Min in 4_1_Uncertainty_Parameters
ACTION: Enter appropriate value for Min
NOTE: Please refer to BioDYM documentation for specific requirements.</v>
      </c>
      <c r="G135" s="1" t="s">
        <v>829</v>
      </c>
      <c r="H135" s="1" t="s">
        <v>653</v>
      </c>
      <c r="I135" s="1" t="s">
        <v>721</v>
      </c>
    </row>
    <row r="136" spans="1:9" ht="75" hidden="1" x14ac:dyDescent="0.25">
      <c r="A136">
        <v>64</v>
      </c>
      <c r="B136" t="s">
        <v>472</v>
      </c>
      <c r="C136" s="141" t="s">
        <v>455</v>
      </c>
      <c r="D136" t="s">
        <v>586</v>
      </c>
      <c r="E136" t="s">
        <v>587</v>
      </c>
      <c r="F136" s="1" t="str">
        <f t="shared" si="2"/>
        <v>PURPOSE: Defines the {field_type} for calculations
ACTION: Enter numerical value in specified unit
NOTE: Required for system calculations. Must be positive value. Used in MFA calculations.</v>
      </c>
      <c r="G136" s="1" t="s">
        <v>789</v>
      </c>
      <c r="H136" s="1" t="s">
        <v>755</v>
      </c>
      <c r="I136" s="1" t="s">
        <v>756</v>
      </c>
    </row>
    <row r="137" spans="1:9" ht="75" hidden="1" x14ac:dyDescent="0.25">
      <c r="A137">
        <v>72</v>
      </c>
      <c r="B137" t="s">
        <v>856</v>
      </c>
      <c r="C137" s="141" t="s">
        <v>455</v>
      </c>
      <c r="D137" t="s">
        <v>586</v>
      </c>
      <c r="E137" t="s">
        <v>587</v>
      </c>
      <c r="F137" s="1" t="str">
        <f t="shared" si="2"/>
        <v>PURPOSE: Defines the {field_type} for calculations
ACTION: Enter numerical value in specified unit
NOTE: Required for system calculations. Must be positive value. Used in MFA calculations.</v>
      </c>
      <c r="G137" s="1" t="s">
        <v>789</v>
      </c>
      <c r="H137" s="1" t="s">
        <v>755</v>
      </c>
      <c r="I137" s="1" t="s">
        <v>756</v>
      </c>
    </row>
    <row r="138" spans="1:9" ht="75" hidden="1" x14ac:dyDescent="0.25">
      <c r="A138">
        <v>113</v>
      </c>
      <c r="B138" s="162" t="s">
        <v>858</v>
      </c>
      <c r="C138" s="141" t="s">
        <v>455</v>
      </c>
      <c r="D138" t="s">
        <v>586</v>
      </c>
      <c r="E138" t="s">
        <v>587</v>
      </c>
      <c r="F138" s="1" t="str">
        <f t="shared" si="2"/>
        <v>PURPOSE: Defines the Initial Stock Material Amount for calculations
ACTION: Enter numerical value in specified unit
NOTE: Required for system calculations. Must be positive value. Used in MFA calculations.</v>
      </c>
      <c r="G138" s="1" t="s">
        <v>804</v>
      </c>
      <c r="H138" s="1" t="s">
        <v>755</v>
      </c>
      <c r="I138" s="1" t="s">
        <v>756</v>
      </c>
    </row>
    <row r="139" spans="1:9" ht="75" hidden="1" x14ac:dyDescent="0.25">
      <c r="A139">
        <v>129</v>
      </c>
      <c r="B139" t="s">
        <v>473</v>
      </c>
      <c r="C139" s="160" t="s">
        <v>455</v>
      </c>
      <c r="D139" t="s">
        <v>586</v>
      </c>
      <c r="E139" t="s">
        <v>587</v>
      </c>
      <c r="F139" s="1" t="str">
        <f t="shared" si="2"/>
        <v>PURPOSE: Defines the {field_type} for calculations
ACTION: Enter numerical value in specified unit
NOTE: Required for system calculations. Must be positive value. Used in MFA calculations.</v>
      </c>
      <c r="G139" s="1" t="s">
        <v>789</v>
      </c>
      <c r="H139" s="1" t="s">
        <v>755</v>
      </c>
      <c r="I139" s="1" t="s">
        <v>756</v>
      </c>
    </row>
    <row r="140" spans="1:9" ht="75" hidden="1" x14ac:dyDescent="0.25">
      <c r="A140">
        <v>142</v>
      </c>
      <c r="B140" t="s">
        <v>474</v>
      </c>
      <c r="C140" s="161" t="s">
        <v>455</v>
      </c>
      <c r="D140" t="s">
        <v>586</v>
      </c>
      <c r="E140" t="s">
        <v>587</v>
      </c>
      <c r="F140" s="1" t="str">
        <f t="shared" si="2"/>
        <v>PURPOSE: Defines the {field_type} for calculations
ACTION: Enter numerical value in specified unit
NOTE: Required for system calculations. Must be positive value. Used in MFA calculations.</v>
      </c>
      <c r="G140" s="1" t="s">
        <v>789</v>
      </c>
      <c r="H140" s="1" t="s">
        <v>755</v>
      </c>
      <c r="I140" s="1" t="s">
        <v>756</v>
      </c>
    </row>
    <row r="141" spans="1:9" ht="90" hidden="1" x14ac:dyDescent="0.25">
      <c r="A141">
        <v>108</v>
      </c>
      <c r="B141" s="162" t="s">
        <v>858</v>
      </c>
      <c r="C141" s="161" t="s">
        <v>25</v>
      </c>
      <c r="D141" t="s">
        <v>532</v>
      </c>
      <c r="E141" t="s">
        <v>490</v>
      </c>
      <c r="F141" s="1" t="str">
        <f t="shared" si="2"/>
        <v>PURPOSE: Unique identifier for process
ACTION: Automatically assigned
NOTE: This field is generated automatically. No manual input required. Used for system identification and linking.</v>
      </c>
      <c r="G141" s="1" t="s">
        <v>775</v>
      </c>
      <c r="H141" s="1" t="s">
        <v>699</v>
      </c>
      <c r="I141" s="1" t="s">
        <v>700</v>
      </c>
    </row>
    <row r="142" spans="1:9" ht="75" hidden="1" x14ac:dyDescent="0.25">
      <c r="A142">
        <v>123</v>
      </c>
      <c r="B142" s="162" t="s">
        <v>858</v>
      </c>
      <c r="C142" s="161" t="s">
        <v>182</v>
      </c>
      <c r="D142" t="s">
        <v>532</v>
      </c>
      <c r="E142" t="s">
        <v>588</v>
      </c>
      <c r="F142" s="1" t="str">
        <f t="shared" si="2"/>
        <v>PURPOSE: Data field for Annual_Consumption_Rate in 2_5_Initial_Stock
ACTION: Enter appropriate value for Annual_Consumption_Rate
NOTE: Please refer to BioDYM documentation for specific requirements.</v>
      </c>
      <c r="G142" s="1" t="s">
        <v>813</v>
      </c>
      <c r="H142" s="1" t="s">
        <v>623</v>
      </c>
      <c r="I142" s="1" t="s">
        <v>721</v>
      </c>
    </row>
    <row r="143" spans="1:9" ht="75" hidden="1" x14ac:dyDescent="0.25">
      <c r="A143">
        <v>82</v>
      </c>
      <c r="B143" t="s">
        <v>856</v>
      </c>
      <c r="C143" s="161" t="s">
        <v>406</v>
      </c>
      <c r="D143" t="s">
        <v>532</v>
      </c>
      <c r="E143" t="s">
        <v>490</v>
      </c>
      <c r="F143" s="1" t="str">
        <f t="shared" si="2"/>
        <v>PURPOSE: Defines the Carbon Content Transfer Coefficient for calculations
ACTION: Enter numerical value in specified unit
NOTE: Required for system calculations. Must be positive value. Used in MFA calculations.</v>
      </c>
      <c r="G143" s="1" t="s">
        <v>796</v>
      </c>
      <c r="H143" s="1" t="s">
        <v>755</v>
      </c>
      <c r="I143" s="1" t="s">
        <v>756</v>
      </c>
    </row>
    <row r="144" spans="1:9" ht="75" hidden="1" x14ac:dyDescent="0.25">
      <c r="A144">
        <v>104</v>
      </c>
      <c r="B144" s="162" t="s">
        <v>857</v>
      </c>
      <c r="C144" s="161" t="s">
        <v>406</v>
      </c>
      <c r="D144" t="s">
        <v>532</v>
      </c>
      <c r="E144" t="s">
        <v>490</v>
      </c>
      <c r="F144" s="1" t="str">
        <f t="shared" si="2"/>
        <v>PURPOSE: Defines the Carbon Content Transfer Coefficient for calculations
ACTION: Enter numerical value in specified unit
NOTE: Required for system calculations. Must be positive value. Used in MFA calculations.</v>
      </c>
      <c r="G144" s="1" t="s">
        <v>796</v>
      </c>
      <c r="H144" s="1" t="s">
        <v>755</v>
      </c>
      <c r="I144" s="1" t="s">
        <v>756</v>
      </c>
    </row>
    <row r="145" spans="1:12" ht="90" hidden="1" x14ac:dyDescent="0.25">
      <c r="A145">
        <v>63</v>
      </c>
      <c r="B145" t="s">
        <v>472</v>
      </c>
      <c r="C145" s="161" t="s">
        <v>454</v>
      </c>
      <c r="D145" t="s">
        <v>584</v>
      </c>
      <c r="E145" t="s">
        <v>585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786</v>
      </c>
      <c r="H145" s="1" t="s">
        <v>787</v>
      </c>
      <c r="I145" s="1" t="s">
        <v>788</v>
      </c>
    </row>
    <row r="146" spans="1:12" ht="75" hidden="1" x14ac:dyDescent="0.25">
      <c r="A146">
        <v>71</v>
      </c>
      <c r="B146" t="s">
        <v>856</v>
      </c>
      <c r="C146" s="161" t="s">
        <v>454</v>
      </c>
      <c r="D146" t="s">
        <v>584</v>
      </c>
      <c r="E146" t="s">
        <v>585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786</v>
      </c>
      <c r="H146" s="1" t="s">
        <v>787</v>
      </c>
      <c r="I146" s="1" t="s">
        <v>788</v>
      </c>
    </row>
    <row r="147" spans="1:12" ht="75" hidden="1" x14ac:dyDescent="0.25">
      <c r="A147">
        <v>94</v>
      </c>
      <c r="B147" s="162" t="s">
        <v>857</v>
      </c>
      <c r="C147" s="141" t="s">
        <v>454</v>
      </c>
      <c r="D147" t="s">
        <v>584</v>
      </c>
      <c r="E147" t="s">
        <v>585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780</v>
      </c>
      <c r="H147" s="1" t="s">
        <v>781</v>
      </c>
      <c r="I147" s="1" t="s">
        <v>782</v>
      </c>
    </row>
    <row r="148" spans="1:12" ht="90" hidden="1" x14ac:dyDescent="0.25">
      <c r="A148">
        <v>112</v>
      </c>
      <c r="B148" s="162" t="s">
        <v>858</v>
      </c>
      <c r="C148" s="141" t="s">
        <v>454</v>
      </c>
      <c r="D148" t="s">
        <v>584</v>
      </c>
      <c r="E148" t="s">
        <v>585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786</v>
      </c>
      <c r="H148" s="1" t="s">
        <v>787</v>
      </c>
      <c r="I148" s="1" t="s">
        <v>788</v>
      </c>
    </row>
    <row r="149" spans="1:12" ht="75" hidden="1" x14ac:dyDescent="0.25">
      <c r="A149">
        <v>128</v>
      </c>
      <c r="B149" t="s">
        <v>473</v>
      </c>
      <c r="C149" s="141" t="s">
        <v>454</v>
      </c>
      <c r="D149" t="s">
        <v>584</v>
      </c>
      <c r="E149" t="s">
        <v>585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786</v>
      </c>
      <c r="H149" s="1" t="s">
        <v>787</v>
      </c>
      <c r="I149" s="1" t="s">
        <v>788</v>
      </c>
    </row>
    <row r="150" spans="1:12" ht="75" hidden="1" x14ac:dyDescent="0.25">
      <c r="A150">
        <v>141</v>
      </c>
      <c r="B150" t="s">
        <v>474</v>
      </c>
      <c r="C150" s="141" t="s">
        <v>454</v>
      </c>
      <c r="D150" t="s">
        <v>584</v>
      </c>
      <c r="E150" t="s">
        <v>585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786</v>
      </c>
      <c r="H150" s="1" t="s">
        <v>787</v>
      </c>
      <c r="I150" s="1" t="s">
        <v>788</v>
      </c>
    </row>
    <row r="151" spans="1:12" ht="90" hidden="1" x14ac:dyDescent="0.25">
      <c r="A151">
        <v>80</v>
      </c>
      <c r="B151" t="s">
        <v>856</v>
      </c>
      <c r="C151" s="141" t="s">
        <v>405</v>
      </c>
      <c r="D151" t="s">
        <v>532</v>
      </c>
      <c r="E151" t="s">
        <v>490</v>
      </c>
      <c r="F151" s="1" t="str">
        <f t="shared" si="2"/>
        <v>PURPOSE: Defines the Dry Matter Transfer Coefficient for calculations
ACTION: Enter numerical value in specified unit
NOTE: Required for system calculations. Must be positive value. Used in MFA calculations.</v>
      </c>
      <c r="G151" s="1" t="s">
        <v>795</v>
      </c>
      <c r="H151" s="1" t="s">
        <v>755</v>
      </c>
      <c r="I151" s="1" t="s">
        <v>756</v>
      </c>
    </row>
    <row r="152" spans="1:12" ht="75" hidden="1" x14ac:dyDescent="0.25">
      <c r="A152">
        <v>102</v>
      </c>
      <c r="B152" s="162" t="s">
        <v>857</v>
      </c>
      <c r="C152" s="141" t="s">
        <v>405</v>
      </c>
      <c r="D152" t="s">
        <v>532</v>
      </c>
      <c r="E152" t="s">
        <v>490</v>
      </c>
      <c r="F152" s="1" t="str">
        <f t="shared" si="2"/>
        <v>PURPOSE: Defines the Dry Matter Transfer Coefficient for calculations
ACTION: Enter numerical value in specified unit
NOTE: Required for system calculations. Must be positive value. Used in MFA calculations.</v>
      </c>
      <c r="G152" s="1" t="s">
        <v>795</v>
      </c>
      <c r="H152" s="1" t="s">
        <v>755</v>
      </c>
      <c r="I152" s="1" t="s">
        <v>756</v>
      </c>
    </row>
    <row r="153" spans="1:12" ht="75" hidden="1" x14ac:dyDescent="0.25">
      <c r="A153">
        <v>76</v>
      </c>
      <c r="B153" t="s">
        <v>856</v>
      </c>
      <c r="C153" s="141" t="s">
        <v>403</v>
      </c>
      <c r="D153" t="s">
        <v>591</v>
      </c>
      <c r="E153" t="s">
        <v>490</v>
      </c>
      <c r="F153" s="1" t="str">
        <f t="shared" si="2"/>
        <v>PURPOSE: Defines the Transfer Coefficient Value for calculations
ACTION: Enter numerical value in specified unit
NOTE: Required for system calculations. Must be positive value. Used in MFA calculations.</v>
      </c>
      <c r="G153" s="1" t="s">
        <v>792</v>
      </c>
      <c r="H153" s="1" t="s">
        <v>755</v>
      </c>
      <c r="I153" s="1" t="s">
        <v>756</v>
      </c>
    </row>
    <row r="154" spans="1:12" ht="75" hidden="1" x14ac:dyDescent="0.25">
      <c r="A154">
        <v>98</v>
      </c>
      <c r="B154" s="162" t="s">
        <v>857</v>
      </c>
      <c r="C154" s="141" t="s">
        <v>403</v>
      </c>
      <c r="D154" t="s">
        <v>591</v>
      </c>
      <c r="E154" t="s">
        <v>490</v>
      </c>
      <c r="F154" s="1" t="str">
        <f t="shared" si="2"/>
        <v>PURPOSE: Defines the Transfer Coefficient Value for calculations
ACTION: Enter numerical value in specified unit
NOTE: Required for system calculations. Must be positive value. Used in MFA calculations.</v>
      </c>
      <c r="G154" s="1" t="s">
        <v>792</v>
      </c>
      <c r="H154" s="1" t="s">
        <v>755</v>
      </c>
      <c r="I154" s="1" t="s">
        <v>756</v>
      </c>
    </row>
    <row r="155" spans="1:12" ht="75" hidden="1" x14ac:dyDescent="0.25">
      <c r="A155">
        <v>83</v>
      </c>
      <c r="B155" t="s">
        <v>856</v>
      </c>
      <c r="C155" s="141" t="s">
        <v>396</v>
      </c>
      <c r="D155" t="s">
        <v>598</v>
      </c>
      <c r="E155" t="s">
        <v>599</v>
      </c>
      <c r="F155" s="1" t="str">
        <f t="shared" si="2"/>
        <v>PURPOSE: Data field for Titel in 2_3_static_TCs
ACTION: Enter appropriate value for Titel
NOTE: Please refer to BioDYM documentation for specific requirements.</v>
      </c>
      <c r="G155" s="1" t="s">
        <v>797</v>
      </c>
      <c r="H155" s="1" t="s">
        <v>601</v>
      </c>
      <c r="I155" s="1" t="s">
        <v>721</v>
      </c>
    </row>
    <row r="156" spans="1:12" ht="75" hidden="1" x14ac:dyDescent="0.25">
      <c r="A156">
        <v>105</v>
      </c>
      <c r="B156" s="162" t="s">
        <v>857</v>
      </c>
      <c r="C156" s="141" t="s">
        <v>396</v>
      </c>
      <c r="D156" t="s">
        <v>598</v>
      </c>
      <c r="E156" t="s">
        <v>599</v>
      </c>
      <c r="F156" s="1" t="str">
        <f t="shared" si="2"/>
        <v>PURPOSE: Flag this row as 100% complete for reporting and filtering purposes
ACTION: Click to select
NOTE: This input is optional. Leave blank if the process is ongoing. Used for progress tracking.</v>
      </c>
      <c r="G156" s="1" t="s">
        <v>772</v>
      </c>
      <c r="H156" s="1" t="s">
        <v>773</v>
      </c>
      <c r="I156" s="1" t="s">
        <v>774</v>
      </c>
      <c r="L156" s="164" t="s">
        <v>24</v>
      </c>
    </row>
    <row r="157" spans="1:12" ht="75" hidden="1" x14ac:dyDescent="0.25">
      <c r="A157">
        <v>81</v>
      </c>
      <c r="B157" t="s">
        <v>856</v>
      </c>
      <c r="C157" s="141" t="s">
        <v>395</v>
      </c>
      <c r="D157" t="s">
        <v>596</v>
      </c>
      <c r="E157" t="s">
        <v>597</v>
      </c>
      <c r="F157" s="1" t="str">
        <f t="shared" si="2"/>
        <v>PURPOSE: Unique identifier for {context}
ACTION: Automatically assigned
NOTE: This field is generated automatically. No manual input required. Used for system identification and linking.</v>
      </c>
      <c r="G157" s="1" t="s">
        <v>793</v>
      </c>
      <c r="H157" s="1" t="s">
        <v>699</v>
      </c>
      <c r="I157" s="1" t="s">
        <v>700</v>
      </c>
      <c r="L157" s="141" t="s">
        <v>7</v>
      </c>
    </row>
    <row r="158" spans="1:12" ht="75" hidden="1" x14ac:dyDescent="0.25">
      <c r="A158">
        <v>103</v>
      </c>
      <c r="B158" s="162" t="s">
        <v>857</v>
      </c>
      <c r="C158" s="141" t="s">
        <v>395</v>
      </c>
      <c r="D158" t="s">
        <v>596</v>
      </c>
      <c r="E158" t="s">
        <v>597</v>
      </c>
      <c r="F158" s="1" t="str">
        <f t="shared" si="2"/>
        <v>PURPOSE: Unique identifier for {context}
ACTION: Automatically assigned
NOTE: This field is generated automatically. No manual input required. Used for system identification and linking.</v>
      </c>
      <c r="G158" s="1" t="s">
        <v>793</v>
      </c>
      <c r="H158" s="1" t="s">
        <v>699</v>
      </c>
      <c r="I158" s="1" t="s">
        <v>700</v>
      </c>
      <c r="L158" s="141" t="s">
        <v>23</v>
      </c>
    </row>
    <row r="159" spans="1:12" ht="75" hidden="1" x14ac:dyDescent="0.25">
      <c r="A159">
        <v>77</v>
      </c>
      <c r="B159" t="s">
        <v>856</v>
      </c>
      <c r="C159" s="141" t="s">
        <v>399</v>
      </c>
      <c r="D159" t="s">
        <v>592</v>
      </c>
      <c r="E159" t="s">
        <v>593</v>
      </c>
      <c r="F159" s="1" t="str">
        <f t="shared" si="2"/>
        <v>PURPOSE: Unique identifier for {context}
ACTION: Automatically assigned
NOTE: This field is generated automatically. No manual input required. Used for system identification and linking.</v>
      </c>
      <c r="G159" s="1" t="s">
        <v>793</v>
      </c>
      <c r="H159" s="1" t="s">
        <v>699</v>
      </c>
      <c r="I159" s="1" t="s">
        <v>700</v>
      </c>
      <c r="L159" s="141" t="s">
        <v>26</v>
      </c>
    </row>
    <row r="160" spans="1:12" ht="75" hidden="1" x14ac:dyDescent="0.25">
      <c r="A160">
        <v>99</v>
      </c>
      <c r="B160" s="162" t="s">
        <v>857</v>
      </c>
      <c r="C160" s="141" t="s">
        <v>399</v>
      </c>
      <c r="D160" t="s">
        <v>592</v>
      </c>
      <c r="E160" t="s">
        <v>593</v>
      </c>
      <c r="F160" s="1" t="str">
        <f t="shared" si="2"/>
        <v>PURPOSE: Unique identifier for {context}
ACTION: Automatically assigned
NOTE: This field is generated automatically. No manual input required. Used for system identification and linking.</v>
      </c>
      <c r="G160" s="1" t="s">
        <v>793</v>
      </c>
      <c r="H160" s="1" t="s">
        <v>699</v>
      </c>
      <c r="I160" s="1" t="s">
        <v>700</v>
      </c>
      <c r="L160" s="141" t="s">
        <v>362</v>
      </c>
    </row>
    <row r="161" spans="1:12" ht="90" hidden="1" x14ac:dyDescent="0.25">
      <c r="A161">
        <v>79</v>
      </c>
      <c r="B161" t="s">
        <v>856</v>
      </c>
      <c r="C161" s="141" t="s">
        <v>394</v>
      </c>
      <c r="D161" t="s">
        <v>594</v>
      </c>
      <c r="E161" t="s">
        <v>595</v>
      </c>
      <c r="F161" s="1" t="str">
        <f t="shared" si="2"/>
        <v>PURPOSE: Unique identifier for {context}
ACTION: Automatically assigned
NOTE: This field is generated automatically. No manual input required. Used for system identification and linking.</v>
      </c>
      <c r="G161" s="1" t="s">
        <v>793</v>
      </c>
      <c r="H161" s="1" t="s">
        <v>699</v>
      </c>
      <c r="I161" s="1" t="s">
        <v>700</v>
      </c>
      <c r="L161" s="141" t="s">
        <v>246</v>
      </c>
    </row>
    <row r="162" spans="1:12" ht="75" hidden="1" x14ac:dyDescent="0.25">
      <c r="A162">
        <v>101</v>
      </c>
      <c r="B162" s="162" t="s">
        <v>857</v>
      </c>
      <c r="C162" s="141" t="s">
        <v>394</v>
      </c>
      <c r="D162" t="s">
        <v>594</v>
      </c>
      <c r="E162" t="s">
        <v>595</v>
      </c>
      <c r="F162" s="1" t="str">
        <f t="shared" si="2"/>
        <v>PURPOSE: Unique identifier for {context}
ACTION: Automatically assigned
NOTE: This field is generated automatically. No manual input required. Used for system identification and linking.</v>
      </c>
      <c r="G162" s="1" t="s">
        <v>793</v>
      </c>
      <c r="H162" s="1" t="s">
        <v>699</v>
      </c>
      <c r="I162" s="1" t="s">
        <v>700</v>
      </c>
      <c r="L162" s="141" t="s">
        <v>247</v>
      </c>
    </row>
    <row r="163" spans="1:12" ht="75" hidden="1" x14ac:dyDescent="0.25">
      <c r="A163">
        <v>78</v>
      </c>
      <c r="B163" t="s">
        <v>856</v>
      </c>
      <c r="C163" s="141" t="s">
        <v>404</v>
      </c>
      <c r="D163" t="s">
        <v>532</v>
      </c>
      <c r="E163" t="s">
        <v>490</v>
      </c>
      <c r="F163" s="1" t="str">
        <f t="shared" si="2"/>
        <v>PURPOSE: Defines the Water Content Transfer Coefficient for calculations
ACTION: Enter numerical value in specified unit
NOTE: Required for system calculations. Must be positive value. Used in MFA calculations.</v>
      </c>
      <c r="G163" s="1" t="s">
        <v>794</v>
      </c>
      <c r="H163" s="1" t="s">
        <v>755</v>
      </c>
      <c r="I163" s="1" t="s">
        <v>756</v>
      </c>
      <c r="L163" s="141" t="s">
        <v>382</v>
      </c>
    </row>
    <row r="164" spans="1:12" ht="75" hidden="1" x14ac:dyDescent="0.25">
      <c r="A164">
        <v>100</v>
      </c>
      <c r="B164" s="162" t="s">
        <v>857</v>
      </c>
      <c r="C164" s="141" t="s">
        <v>404</v>
      </c>
      <c r="D164" t="s">
        <v>532</v>
      </c>
      <c r="E164" t="s">
        <v>490</v>
      </c>
      <c r="F164" s="1" t="str">
        <f t="shared" si="2"/>
        <v>PURPOSE: Defines the Water Content Transfer Coefficient for calculations
ACTION: Enter numerical value in specified unit
NOTE: Required for system calculations. Must be positive value. Used in MFA calculations.</v>
      </c>
      <c r="G164" s="1" t="s">
        <v>794</v>
      </c>
      <c r="H164" s="1" t="s">
        <v>755</v>
      </c>
      <c r="I164" s="1" t="s">
        <v>756</v>
      </c>
      <c r="L164" s="141" t="s">
        <v>383</v>
      </c>
    </row>
    <row r="165" spans="1:12" ht="75" hidden="1" x14ac:dyDescent="0.25">
      <c r="A165">
        <v>84</v>
      </c>
      <c r="B165" t="s">
        <v>856</v>
      </c>
      <c r="C165" s="141" t="s">
        <v>10</v>
      </c>
      <c r="D165" t="s">
        <v>600</v>
      </c>
      <c r="E165" t="s">
        <v>601</v>
      </c>
      <c r="F165" s="1" t="str">
        <f t="shared" si="2"/>
        <v>PURPOSE: Data field for Year_publication in 2_3_static_TCs
ACTION: Enter appropriate value for Year_publication
NOTE: Please refer to BioDYM documentation for specific requirements.</v>
      </c>
      <c r="G165" s="1" t="s">
        <v>798</v>
      </c>
      <c r="H165" s="1" t="s">
        <v>603</v>
      </c>
      <c r="I165" s="1" t="s">
        <v>721</v>
      </c>
      <c r="L165" s="141" t="s">
        <v>384</v>
      </c>
    </row>
    <row r="166" spans="1:12" ht="75" hidden="1" x14ac:dyDescent="0.25">
      <c r="A166">
        <v>34</v>
      </c>
      <c r="B166" t="s">
        <v>471</v>
      </c>
      <c r="C166" s="141" t="s">
        <v>14</v>
      </c>
      <c r="D166" t="s">
        <v>530</v>
      </c>
      <c r="E166" t="s">
        <v>531</v>
      </c>
      <c r="F166" s="1" t="str">
        <f t="shared" si="2"/>
        <v>PURPOSE: Defines the {field_type} for temporal data organization
ACTION: Enter year (e.g., 2020, 2021, 2022)
NOTE: Must be consistent with analysis time period. Used for time-series data organization.</v>
      </c>
      <c r="G166" s="1" t="s">
        <v>742</v>
      </c>
      <c r="H166" s="1" t="s">
        <v>735</v>
      </c>
      <c r="I166" s="1" t="s">
        <v>736</v>
      </c>
      <c r="L166" s="141" t="s">
        <v>387</v>
      </c>
    </row>
    <row r="167" spans="1:12" ht="75" hidden="1" x14ac:dyDescent="0.25">
      <c r="A167">
        <v>87</v>
      </c>
      <c r="B167" t="s">
        <v>856</v>
      </c>
      <c r="C167" s="141" t="s">
        <v>462</v>
      </c>
      <c r="D167" t="s">
        <v>606</v>
      </c>
      <c r="E167" t="s">
        <v>607</v>
      </c>
      <c r="F167" s="1" t="str">
        <f t="shared" si="2"/>
        <v>PURPOSE: Data field for URL in 2_3_static_TCs
ACTION: Enter appropriate value for URL
NOTE: Please refer to BioDYM documentation for specific requirements.</v>
      </c>
      <c r="G167" s="1" t="s">
        <v>801</v>
      </c>
      <c r="H167" s="1" t="s">
        <v>539</v>
      </c>
      <c r="I167" s="1" t="s">
        <v>721</v>
      </c>
      <c r="L167" s="141" t="s">
        <v>385</v>
      </c>
    </row>
    <row r="168" spans="1:12" ht="75" hidden="1" x14ac:dyDescent="0.25">
      <c r="A168">
        <v>37</v>
      </c>
      <c r="B168" t="s">
        <v>471</v>
      </c>
      <c r="C168" s="141" t="s">
        <v>17</v>
      </c>
      <c r="D168" t="s">
        <v>536</v>
      </c>
      <c r="E168" t="s">
        <v>537</v>
      </c>
      <c r="F168" s="1" t="str">
        <f t="shared" si="2"/>
        <v>PURPOSE: Data field for URL in 1_2_Data_Flows
ACTION: Enter appropriate value for URL
NOTE: Please refer to BioDYM documentation for specific requirements.</v>
      </c>
      <c r="G168" s="1" t="s">
        <v>749</v>
      </c>
      <c r="H168" s="1" t="s">
        <v>539</v>
      </c>
      <c r="I168" s="1" t="s">
        <v>721</v>
      </c>
      <c r="L168" s="141" t="s">
        <v>388</v>
      </c>
    </row>
    <row r="169" spans="1:12" ht="75" hidden="1" x14ac:dyDescent="0.25">
      <c r="A169">
        <v>115</v>
      </c>
      <c r="B169" s="162" t="s">
        <v>858</v>
      </c>
      <c r="C169" s="141" t="s">
        <v>1</v>
      </c>
      <c r="D169" t="s">
        <v>612</v>
      </c>
      <c r="E169" t="s">
        <v>613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758</v>
      </c>
      <c r="H169" s="1" t="s">
        <v>729</v>
      </c>
      <c r="I169" s="1" t="s">
        <v>806</v>
      </c>
      <c r="L169" s="141" t="s">
        <v>386</v>
      </c>
    </row>
    <row r="170" spans="1:12" ht="75" hidden="1" x14ac:dyDescent="0.25">
      <c r="A170">
        <v>56</v>
      </c>
      <c r="B170" t="s">
        <v>471</v>
      </c>
      <c r="C170" s="141" t="s">
        <v>36</v>
      </c>
      <c r="D170" t="s">
        <v>573</v>
      </c>
      <c r="E170" t="s">
        <v>574</v>
      </c>
      <c r="F170" s="1" t="str">
        <f t="shared" si="2"/>
        <v>PURPOSE: Flag this row as 100% complete for reporting and filtering purposes
ACTION: Click to select
NOTE: This input is optional. Leave blank if the process is ongoing. Used for progress tracking.</v>
      </c>
      <c r="G170" s="1" t="s">
        <v>772</v>
      </c>
      <c r="H170" s="1" t="s">
        <v>773</v>
      </c>
      <c r="I170" s="1" t="s">
        <v>774</v>
      </c>
      <c r="L170" s="141" t="s">
        <v>389</v>
      </c>
    </row>
    <row r="171" spans="1:12" ht="75" hidden="1" x14ac:dyDescent="0.25">
      <c r="A171">
        <v>52</v>
      </c>
      <c r="B171" t="s">
        <v>471</v>
      </c>
      <c r="C171" s="141" t="s">
        <v>37</v>
      </c>
      <c r="D171" t="s">
        <v>566</v>
      </c>
      <c r="E171" t="s">
        <v>567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728</v>
      </c>
      <c r="H171" s="1" t="s">
        <v>729</v>
      </c>
      <c r="I171" s="1" t="s">
        <v>768</v>
      </c>
      <c r="L171" s="141" t="s">
        <v>4</v>
      </c>
    </row>
    <row r="172" spans="1:12" ht="90" hidden="1" x14ac:dyDescent="0.25">
      <c r="A172">
        <v>44</v>
      </c>
      <c r="B172" t="s">
        <v>471</v>
      </c>
      <c r="C172" s="164" t="s">
        <v>22</v>
      </c>
      <c r="D172" t="s">
        <v>550</v>
      </c>
      <c r="E172" t="s">
        <v>551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758</v>
      </c>
      <c r="H172" s="1" t="s">
        <v>729</v>
      </c>
      <c r="I172" s="1" t="s">
        <v>759</v>
      </c>
    </row>
    <row r="173" spans="1:12" ht="90" hidden="1" x14ac:dyDescent="0.25">
      <c r="A173">
        <v>31</v>
      </c>
      <c r="B173" t="s">
        <v>471</v>
      </c>
      <c r="C173" s="141" t="s">
        <v>21</v>
      </c>
      <c r="D173" t="s">
        <v>524</v>
      </c>
      <c r="E173" t="s">
        <v>525</v>
      </c>
      <c r="F173" s="1" t="str">
        <f t="shared" si="2"/>
        <v>PURPOSE: Data field for Name_Source in 1_2_Data_Flows
ACTION: Enter appropriate value for Name_Source
NOTE: Please refer to BioDYM documentation for specific requirements.</v>
      </c>
      <c r="G173" s="1" t="s">
        <v>739</v>
      </c>
      <c r="H173" s="1" t="s">
        <v>527</v>
      </c>
      <c r="I173" s="1" t="s">
        <v>721</v>
      </c>
    </row>
    <row r="174" spans="1:12" ht="75" hidden="1" x14ac:dyDescent="0.25">
      <c r="A174">
        <v>48</v>
      </c>
      <c r="B174" t="s">
        <v>471</v>
      </c>
      <c r="C174" s="141" t="s">
        <v>38</v>
      </c>
      <c r="D174" t="s">
        <v>558</v>
      </c>
      <c r="E174" t="s">
        <v>559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763</v>
      </c>
      <c r="H174" s="1" t="s">
        <v>729</v>
      </c>
      <c r="I174" s="1" t="s">
        <v>764</v>
      </c>
    </row>
    <row r="175" spans="1:12" ht="75" hidden="1" x14ac:dyDescent="0.25">
      <c r="A175">
        <v>38</v>
      </c>
      <c r="B175" t="s">
        <v>471</v>
      </c>
      <c r="C175" s="141" t="s">
        <v>3</v>
      </c>
      <c r="D175" t="s">
        <v>538</v>
      </c>
      <c r="E175" t="s">
        <v>539</v>
      </c>
      <c r="F175" s="1" t="str">
        <f t="shared" si="2"/>
        <v>PURPOSE: Data field for CF_required? in 1_2_Data_Flows
ACTION: Enter appropriate value for CF_required?
NOTE: Please refer to BioDYM documentation for specific requirements.</v>
      </c>
      <c r="G175" s="1" t="s">
        <v>750</v>
      </c>
      <c r="H175" s="1" t="s">
        <v>541</v>
      </c>
      <c r="I175" s="1" t="s">
        <v>721</v>
      </c>
    </row>
    <row r="176" spans="1:12" ht="75" hidden="1" x14ac:dyDescent="0.25">
      <c r="A176">
        <v>88</v>
      </c>
      <c r="B176" t="s">
        <v>856</v>
      </c>
      <c r="C176" s="141" t="s">
        <v>3</v>
      </c>
      <c r="D176" t="s">
        <v>538</v>
      </c>
      <c r="E176" t="s">
        <v>539</v>
      </c>
      <c r="F176" s="1" t="str">
        <f t="shared" si="2"/>
        <v>PURPOSE: Flag this row as 100% complete for reporting and filtering purposes
ACTION: Click to select
NOTE: This input is optional. Leave blank if the process is ongoing. Used for progress tracking.</v>
      </c>
      <c r="G176" s="1" t="s">
        <v>772</v>
      </c>
      <c r="H176" s="1" t="s">
        <v>773</v>
      </c>
      <c r="I176" s="1" t="s">
        <v>774</v>
      </c>
    </row>
    <row r="177" spans="1:11" ht="75" hidden="1" x14ac:dyDescent="0.25">
      <c r="A177">
        <v>148</v>
      </c>
      <c r="B177" t="s">
        <v>474</v>
      </c>
      <c r="C177" s="141" t="s">
        <v>165</v>
      </c>
      <c r="D177" t="s">
        <v>640</v>
      </c>
      <c r="E177" t="s">
        <v>641</v>
      </c>
      <c r="F177" s="1" t="str">
        <f t="shared" si="2"/>
        <v>PURPOSE: Unique identifier for data row
ACTION: Automatically assigned
NOTE: This field is generated automatically. No manual input required. Used for system identification and linking.</v>
      </c>
      <c r="G177" s="1" t="s">
        <v>698</v>
      </c>
      <c r="H177" s="1" t="s">
        <v>699</v>
      </c>
      <c r="I177" s="1" t="s">
        <v>700</v>
      </c>
    </row>
    <row r="178" spans="1:11" ht="75" x14ac:dyDescent="0.25">
      <c r="A178">
        <v>21</v>
      </c>
      <c r="B178" t="s">
        <v>463</v>
      </c>
      <c r="C178" s="141" t="s">
        <v>89</v>
      </c>
      <c r="D178" t="s">
        <v>516</v>
      </c>
      <c r="E178" t="s">
        <v>517</v>
      </c>
      <c r="F178" s="1" t="str">
        <f t="shared" si="2"/>
        <v>PURPOSE: Data field for CC_FM_source in 1_1_Definition_Flows
ACTION: Enter appropriate value for CC_FM_source
NOTE: Please refer to BioDYM documentation for specific requirements.</v>
      </c>
      <c r="G178" s="1" t="s">
        <v>733</v>
      </c>
      <c r="H178" s="1" t="s">
        <v>519</v>
      </c>
      <c r="I178" s="1" t="s">
        <v>721</v>
      </c>
    </row>
    <row r="179" spans="1:11" ht="90" hidden="1" x14ac:dyDescent="0.25">
      <c r="A179">
        <v>26</v>
      </c>
      <c r="B179" t="s">
        <v>471</v>
      </c>
      <c r="C179" s="141" t="s">
        <v>27</v>
      </c>
      <c r="D179" t="s">
        <v>494</v>
      </c>
      <c r="E179" t="s">
        <v>495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714</v>
      </c>
      <c r="H179" s="1" t="s">
        <v>715</v>
      </c>
      <c r="I179" s="1" t="s">
        <v>716</v>
      </c>
    </row>
    <row r="180" spans="1:11" ht="75" hidden="1" x14ac:dyDescent="0.25">
      <c r="A180">
        <v>45</v>
      </c>
      <c r="B180" t="s">
        <v>471</v>
      </c>
      <c r="C180" s="141" t="s">
        <v>30</v>
      </c>
      <c r="D180" t="s">
        <v>552</v>
      </c>
      <c r="E180" t="s">
        <v>553</v>
      </c>
      <c r="F180" s="1" t="str">
        <f t="shared" si="2"/>
        <v>PURPOSE: Data field for Flow_WC_year_ID in 1_2_Data_Flows
ACTION: Enter appropriate value for Flow_WC_year_ID
NOTE: Please refer to BioDYM documentation for specific requirements.</v>
      </c>
      <c r="G180" s="1" t="s">
        <v>760</v>
      </c>
      <c r="H180" s="1" t="s">
        <v>555</v>
      </c>
      <c r="I180" s="1" t="s">
        <v>721</v>
      </c>
    </row>
    <row r="181" spans="1:11" ht="75" hidden="1" x14ac:dyDescent="0.25">
      <c r="A181">
        <v>47</v>
      </c>
      <c r="B181" t="s">
        <v>471</v>
      </c>
      <c r="C181" s="141" t="s">
        <v>35</v>
      </c>
      <c r="D181" t="s">
        <v>556</v>
      </c>
      <c r="E181" t="s">
        <v>557</v>
      </c>
      <c r="F181" s="1" t="str">
        <f t="shared" si="2"/>
        <v>PURPOSE: Data field for UoM_WC_Flow_Py in 1_2_Data_Flows
ACTION: Enter appropriate value for UoM_WC_Flow_Py
NOTE: Please refer to BioDYM documentation for specific requirements.</v>
      </c>
      <c r="G181" s="1" t="s">
        <v>762</v>
      </c>
      <c r="H181" s="1" t="s">
        <v>559</v>
      </c>
      <c r="I181" s="1" t="s">
        <v>721</v>
      </c>
    </row>
    <row r="182" spans="1:11" ht="90" x14ac:dyDescent="0.25">
      <c r="A182">
        <v>22</v>
      </c>
      <c r="B182" t="s">
        <v>463</v>
      </c>
      <c r="C182" s="141" t="s">
        <v>49</v>
      </c>
      <c r="D182" t="s">
        <v>518</v>
      </c>
      <c r="E182" t="s">
        <v>519</v>
      </c>
      <c r="F182" s="1" t="str">
        <f t="shared" si="2"/>
        <v>PURPOSE: Unique identifier for data row
ACTION: Automatically assigned
NOTE: This field is generated automatically. No manual input required. Used for system identification and linking.</v>
      </c>
      <c r="G182" s="1" t="s">
        <v>698</v>
      </c>
      <c r="H182" s="1" t="s">
        <v>699</v>
      </c>
      <c r="I182" s="1" t="s">
        <v>700</v>
      </c>
    </row>
    <row r="183" spans="1:11" ht="90" hidden="1" x14ac:dyDescent="0.25">
      <c r="A183">
        <v>178</v>
      </c>
      <c r="B183" t="s">
        <v>482</v>
      </c>
      <c r="C183" s="141" t="s">
        <v>386</v>
      </c>
      <c r="D183" t="s">
        <v>489</v>
      </c>
      <c r="E183" t="s">
        <v>490</v>
      </c>
      <c r="F183" s="1" t="str">
        <f t="shared" si="2"/>
        <v>PURPOSE: Unique identifier for material flow
ACTION: Automatically assigned
NOTE: This field is generated automatically. No manual input required. Used for system identification and linking.</v>
      </c>
      <c r="G183" s="1" t="s">
        <v>701</v>
      </c>
      <c r="H183" s="1" t="s">
        <v>699</v>
      </c>
      <c r="I183" s="1" t="s">
        <v>700</v>
      </c>
    </row>
    <row r="184" spans="1:11" ht="75" hidden="1" x14ac:dyDescent="0.25">
      <c r="A184">
        <v>178</v>
      </c>
      <c r="B184" t="s">
        <v>482</v>
      </c>
      <c r="C184" s="141" t="s">
        <v>385</v>
      </c>
      <c r="D184" t="s">
        <v>491</v>
      </c>
      <c r="E184" t="s">
        <v>490</v>
      </c>
      <c r="F184" s="1" t="str">
        <f t="shared" si="2"/>
        <v>PURPOSE: Data field for Name(EN) in 6_2_Visualization_Flows
ACTION: Enter appropriate value for Name(EN)
NOTE: Please refer to BioDYM documentation for specific requirements.</v>
      </c>
      <c r="G184" s="1" t="s">
        <v>853</v>
      </c>
      <c r="H184" s="1" t="s">
        <v>671</v>
      </c>
      <c r="I184" s="1" t="s">
        <v>721</v>
      </c>
    </row>
    <row r="185" spans="1:11" ht="75" hidden="1" x14ac:dyDescent="0.25">
      <c r="A185">
        <v>176</v>
      </c>
      <c r="B185" t="s">
        <v>482</v>
      </c>
      <c r="C185" s="141" t="s">
        <v>382</v>
      </c>
      <c r="D185" t="s">
        <v>678</v>
      </c>
      <c r="E185" t="s">
        <v>679</v>
      </c>
      <c r="F185" s="1" t="str">
        <f t="shared" si="2"/>
        <v>PURPOSE: Data field for Y_Position_Material in 6_1_Visualization_Processes
ACTION: Enter appropriate value for Y_Position_Material
NOTE: Please refer to BioDYM documentation for specific requirements.</v>
      </c>
      <c r="G185" s="1" t="s">
        <v>846</v>
      </c>
      <c r="H185" s="1" t="s">
        <v>681</v>
      </c>
      <c r="I185" s="1" t="s">
        <v>721</v>
      </c>
    </row>
    <row r="186" spans="1:11" ht="105" hidden="1" x14ac:dyDescent="0.25">
      <c r="A186">
        <v>178</v>
      </c>
      <c r="B186" t="s">
        <v>482</v>
      </c>
      <c r="C186" s="141" t="s">
        <v>384</v>
      </c>
      <c r="D186" t="s">
        <v>670</v>
      </c>
      <c r="E186" t="s">
        <v>671</v>
      </c>
      <c r="F186" s="1" t="str">
        <f t="shared" si="2"/>
        <v>PURPOSE: Data field for Flow_Color in 6_2_Visualization_Flows
ACTION: Enter appropriate value for Flow_Color
NOTE: Please refer to BioDYM documentation for specific requirements.</v>
      </c>
      <c r="G186" s="1" t="s">
        <v>854</v>
      </c>
      <c r="H186" s="1" t="s">
        <v>695</v>
      </c>
      <c r="I186" s="1" t="s">
        <v>721</v>
      </c>
      <c r="K186" s="141"/>
    </row>
    <row r="187" spans="1:11" ht="90" hidden="1" x14ac:dyDescent="0.25">
      <c r="A187">
        <v>178</v>
      </c>
      <c r="B187" t="s">
        <v>482</v>
      </c>
      <c r="C187" s="141" t="s">
        <v>389</v>
      </c>
      <c r="D187" t="s">
        <v>694</v>
      </c>
      <c r="E187" t="s">
        <v>695</v>
      </c>
      <c r="F187" s="1" t="str">
        <f t="shared" si="2"/>
        <v>PURPOSE: Data field for Flow_Color_# in 6_2_Visualization_Flows
ACTION: Enter appropriate value for Flow_Color_#
NOTE: Please refer to BioDYM documentation for specific requirements.</v>
      </c>
      <c r="G187" s="1" t="s">
        <v>855</v>
      </c>
      <c r="H187" s="1" t="s">
        <v>697</v>
      </c>
      <c r="I187" s="1" t="s">
        <v>721</v>
      </c>
      <c r="K187" s="141"/>
    </row>
    <row r="188" spans="1:11" ht="90" hidden="1" x14ac:dyDescent="0.25">
      <c r="A188">
        <v>178</v>
      </c>
      <c r="B188" t="s">
        <v>482</v>
      </c>
      <c r="C188" s="141" t="s">
        <v>388</v>
      </c>
      <c r="D188" t="s">
        <v>696</v>
      </c>
      <c r="E188" t="s">
        <v>697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778</v>
      </c>
      <c r="H188" s="1" t="s">
        <v>779</v>
      </c>
      <c r="I188" s="1" t="s">
        <v>704</v>
      </c>
      <c r="K188" s="141"/>
    </row>
    <row r="189" spans="1:11" ht="75" hidden="1" x14ac:dyDescent="0.25">
      <c r="A189">
        <v>177</v>
      </c>
      <c r="B189" t="s">
        <v>482</v>
      </c>
      <c r="C189" s="141" t="s">
        <v>383</v>
      </c>
      <c r="D189" t="s">
        <v>680</v>
      </c>
      <c r="E189" t="s">
        <v>681</v>
      </c>
      <c r="F189" s="1" t="str">
        <f t="shared" si="2"/>
        <v>PURPOSE: Data field for X_Position_WC in 6_1_Visualization_Processes
ACTION: Enter appropriate value for X_Position_WC
NOTE: Please refer to BioDYM documentation for specific requirements.</v>
      </c>
      <c r="G189" s="1" t="s">
        <v>847</v>
      </c>
      <c r="H189" s="1" t="s">
        <v>683</v>
      </c>
      <c r="I189" s="1" t="s">
        <v>721</v>
      </c>
      <c r="K189" s="141"/>
    </row>
    <row r="190" spans="1:11" ht="75" hidden="1" x14ac:dyDescent="0.25">
      <c r="A190">
        <v>178</v>
      </c>
      <c r="B190" t="s">
        <v>482</v>
      </c>
      <c r="C190" s="141" t="s">
        <v>387</v>
      </c>
      <c r="D190" t="s">
        <v>580</v>
      </c>
      <c r="E190" t="s">
        <v>581</v>
      </c>
      <c r="F190" s="1" t="str">
        <f t="shared" si="2"/>
        <v xml:space="preserve">PURPOSE: 
ACTION: 
NOTE: </v>
      </c>
      <c r="K190" s="141"/>
    </row>
    <row r="191" spans="1:11" ht="75" hidden="1" x14ac:dyDescent="0.25">
      <c r="A191">
        <v>97</v>
      </c>
      <c r="B191" s="162" t="s">
        <v>857</v>
      </c>
      <c r="C191" s="141" t="s">
        <v>0</v>
      </c>
      <c r="D191" t="s">
        <v>608</v>
      </c>
      <c r="E191" t="s">
        <v>609</v>
      </c>
      <c r="F191" s="1" t="str">
        <f t="shared" si="2"/>
        <v>PURPOSE: Unique identifier for transfer coefficient material
ACTION: Automatically assigned
NOTE: This field is generated automatically. No manual input required. Used for system identification and linking.</v>
      </c>
      <c r="G191" s="1" t="s">
        <v>791</v>
      </c>
      <c r="H191" s="1" t="s">
        <v>699</v>
      </c>
      <c r="I191" s="1" t="s">
        <v>700</v>
      </c>
      <c r="K191" s="141"/>
    </row>
    <row r="192" spans="1:11" ht="105" hidden="1" x14ac:dyDescent="0.25">
      <c r="A192">
        <v>85</v>
      </c>
      <c r="B192" t="s">
        <v>856</v>
      </c>
      <c r="C192" s="141" t="s">
        <v>461</v>
      </c>
      <c r="D192" t="s">
        <v>602</v>
      </c>
      <c r="E192" t="s">
        <v>603</v>
      </c>
      <c r="F192" s="1" t="str">
        <f t="shared" si="2"/>
        <v>PURPOSE: Data field for Author in 2_3_static_TCs
ACTION: Enter appropriate value for Author
NOTE: Please refer to BioDYM documentation for specific requirements.</v>
      </c>
      <c r="G192" s="1" t="s">
        <v>799</v>
      </c>
      <c r="H192" s="1" t="s">
        <v>605</v>
      </c>
      <c r="I192" s="1" t="s">
        <v>721</v>
      </c>
    </row>
    <row r="193" spans="1:9" ht="75" hidden="1" x14ac:dyDescent="0.25">
      <c r="A193">
        <v>35</v>
      </c>
      <c r="B193" t="s">
        <v>471</v>
      </c>
      <c r="C193" s="141" t="s">
        <v>15</v>
      </c>
      <c r="D193" t="s">
        <v>532</v>
      </c>
      <c r="E193" t="s">
        <v>533</v>
      </c>
      <c r="F193" s="1" t="str">
        <f t="shared" si="2"/>
        <v>PURPOSE: Defines the Data Source Author for data traceability
ACTION: Enter author or organization information
NOTE: Required for data quality assessment and traceability. Include author, publication, or data source.</v>
      </c>
      <c r="G193" s="1" t="s">
        <v>743</v>
      </c>
      <c r="H193" s="1" t="s">
        <v>744</v>
      </c>
      <c r="I193" s="1" t="s">
        <v>745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29" zoomScaleNormal="100" workbookViewId="0">
      <selection activeCell="A54" sqref="A5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6" t="s">
        <v>869</v>
      </c>
      <c r="B1" s="226"/>
      <c r="C1" s="226"/>
    </row>
    <row r="2" spans="1:3" x14ac:dyDescent="0.25">
      <c r="A2" s="11" t="s">
        <v>7</v>
      </c>
      <c r="B2" s="11" t="s">
        <v>868</v>
      </c>
      <c r="C2" s="11" t="s">
        <v>4</v>
      </c>
    </row>
    <row r="3" spans="1:3" x14ac:dyDescent="0.25">
      <c r="A3">
        <v>1</v>
      </c>
      <c r="B3" t="s">
        <v>5</v>
      </c>
    </row>
    <row r="4" spans="1:3" x14ac:dyDescent="0.25">
      <c r="A4">
        <v>2</v>
      </c>
      <c r="B4" t="s">
        <v>6</v>
      </c>
    </row>
    <row r="5" spans="1:3" x14ac:dyDescent="0.25">
      <c r="A5" t="s">
        <v>859</v>
      </c>
      <c r="C5">
        <f>SUBTOTAL(103,CL_YesNo[Description])</f>
        <v>0</v>
      </c>
    </row>
    <row r="8" spans="1:3" x14ac:dyDescent="0.25">
      <c r="A8" s="11" t="s">
        <v>7</v>
      </c>
      <c r="B8" s="11" t="s">
        <v>1033</v>
      </c>
      <c r="C8" s="11" t="s">
        <v>4</v>
      </c>
    </row>
    <row r="9" spans="1:3" x14ac:dyDescent="0.25">
      <c r="A9">
        <v>1</v>
      </c>
      <c r="B9" t="s">
        <v>1034</v>
      </c>
      <c r="C9" s="1"/>
    </row>
    <row r="10" spans="1:3" x14ac:dyDescent="0.25">
      <c r="A10">
        <v>2</v>
      </c>
      <c r="B10" t="s">
        <v>1035</v>
      </c>
      <c r="C10" s="1"/>
    </row>
    <row r="11" spans="1:3" x14ac:dyDescent="0.25">
      <c r="A11">
        <v>3</v>
      </c>
      <c r="B11" t="s">
        <v>1036</v>
      </c>
    </row>
    <row r="12" spans="1:3" x14ac:dyDescent="0.25">
      <c r="A12">
        <v>4</v>
      </c>
      <c r="B12" t="s">
        <v>163</v>
      </c>
    </row>
    <row r="13" spans="1:3" x14ac:dyDescent="0.25">
      <c r="A13">
        <v>5</v>
      </c>
      <c r="B13" t="s">
        <v>1037</v>
      </c>
    </row>
    <row r="14" spans="1:3" x14ac:dyDescent="0.25">
      <c r="A14">
        <v>6</v>
      </c>
    </row>
    <row r="15" spans="1:3" x14ac:dyDescent="0.25">
      <c r="A15">
        <v>7</v>
      </c>
    </row>
    <row r="16" spans="1:3" x14ac:dyDescent="0.25">
      <c r="A16" t="s">
        <v>859</v>
      </c>
      <c r="C16">
        <f>SUBTOTAL(103,CL_Process_Logic3[Description])</f>
        <v>0</v>
      </c>
    </row>
    <row r="24" spans="1:3" x14ac:dyDescent="0.25">
      <c r="A24" s="232" t="s">
        <v>863</v>
      </c>
      <c r="B24" s="232"/>
      <c r="C24" s="232"/>
    </row>
    <row r="26" spans="1:3" x14ac:dyDescent="0.25">
      <c r="A26" s="230" t="s">
        <v>860</v>
      </c>
      <c r="B26" s="230"/>
      <c r="C26" s="230"/>
    </row>
    <row r="27" spans="1:3" x14ac:dyDescent="0.25">
      <c r="A27" s="11" t="s">
        <v>7</v>
      </c>
      <c r="B27" s="11" t="s">
        <v>391</v>
      </c>
      <c r="C27" s="11" t="s">
        <v>4</v>
      </c>
    </row>
    <row r="28" spans="1:3" ht="60" x14ac:dyDescent="0.25">
      <c r="A28">
        <v>1</v>
      </c>
      <c r="B28" t="s">
        <v>392</v>
      </c>
      <c r="C28" s="1" t="s">
        <v>397</v>
      </c>
    </row>
    <row r="29" spans="1:3" ht="90" x14ac:dyDescent="0.25">
      <c r="A29">
        <v>2</v>
      </c>
      <c r="B29" t="s">
        <v>393</v>
      </c>
      <c r="C29" s="1" t="s">
        <v>398</v>
      </c>
    </row>
    <row r="30" spans="1:3" x14ac:dyDescent="0.25">
      <c r="A30">
        <v>3</v>
      </c>
      <c r="B30" t="s">
        <v>452</v>
      </c>
    </row>
    <row r="31" spans="1:3" x14ac:dyDescent="0.25">
      <c r="A31">
        <v>4</v>
      </c>
      <c r="B31" t="s">
        <v>453</v>
      </c>
    </row>
    <row r="32" spans="1:3" x14ac:dyDescent="0.25">
      <c r="A32">
        <v>5</v>
      </c>
      <c r="B32" t="s">
        <v>243</v>
      </c>
    </row>
    <row r="33" spans="1:3" x14ac:dyDescent="0.25">
      <c r="A33">
        <v>6</v>
      </c>
      <c r="B33" t="s">
        <v>113</v>
      </c>
    </row>
    <row r="34" spans="1:3" x14ac:dyDescent="0.25">
      <c r="A34">
        <v>7</v>
      </c>
      <c r="B34" t="s">
        <v>112</v>
      </c>
    </row>
    <row r="35" spans="1:3" x14ac:dyDescent="0.25">
      <c r="A35" t="s">
        <v>859</v>
      </c>
      <c r="C35">
        <f>SUBTOTAL(103,CL_Process_Logic[Description])</f>
        <v>2</v>
      </c>
    </row>
    <row r="37" spans="1:3" x14ac:dyDescent="0.25">
      <c r="A37" s="230" t="s">
        <v>861</v>
      </c>
      <c r="B37" s="230"/>
      <c r="C37" s="230"/>
    </row>
    <row r="38" spans="1:3" x14ac:dyDescent="0.25">
      <c r="A38" t="s">
        <v>7</v>
      </c>
      <c r="B38" t="s">
        <v>454</v>
      </c>
      <c r="C38" t="s">
        <v>4</v>
      </c>
    </row>
    <row r="39" spans="1:3" x14ac:dyDescent="0.25">
      <c r="A39">
        <v>1</v>
      </c>
      <c r="B39" t="s">
        <v>432</v>
      </c>
    </row>
    <row r="40" spans="1:3" x14ac:dyDescent="0.25">
      <c r="A40">
        <v>2</v>
      </c>
      <c r="B40" t="s">
        <v>430</v>
      </c>
    </row>
    <row r="41" spans="1:3" x14ac:dyDescent="0.25">
      <c r="A41">
        <v>3</v>
      </c>
      <c r="B41" t="s">
        <v>431</v>
      </c>
    </row>
    <row r="42" spans="1:3" x14ac:dyDescent="0.25">
      <c r="A42" t="s">
        <v>859</v>
      </c>
      <c r="C42">
        <f>SUBTOTAL(103,CL_TC_Configuration[Description])</f>
        <v>0</v>
      </c>
    </row>
    <row r="44" spans="1:3" x14ac:dyDescent="0.25">
      <c r="A44" s="230" t="s">
        <v>456</v>
      </c>
      <c r="B44" s="230"/>
      <c r="C44" s="230"/>
    </row>
    <row r="45" spans="1:3" x14ac:dyDescent="0.25">
      <c r="A45" t="s">
        <v>7</v>
      </c>
      <c r="B45" t="s">
        <v>455</v>
      </c>
      <c r="C45" t="s">
        <v>4</v>
      </c>
    </row>
    <row r="46" spans="1:3" x14ac:dyDescent="0.25">
      <c r="A46">
        <v>1</v>
      </c>
      <c r="B46" t="s">
        <v>458</v>
      </c>
    </row>
    <row r="47" spans="1:3" x14ac:dyDescent="0.25">
      <c r="A47">
        <v>2</v>
      </c>
      <c r="B47" t="s">
        <v>459</v>
      </c>
    </row>
    <row r="48" spans="1:3" x14ac:dyDescent="0.25">
      <c r="A48">
        <v>3</v>
      </c>
      <c r="B48" t="s">
        <v>457</v>
      </c>
    </row>
    <row r="49" spans="1:10" x14ac:dyDescent="0.25">
      <c r="A49" t="s">
        <v>859</v>
      </c>
      <c r="C49">
        <f>SUBTOTAL(103,CL_Stock_Configuration[Description])</f>
        <v>0</v>
      </c>
    </row>
    <row r="51" spans="1:10" x14ac:dyDescent="0.25">
      <c r="A51" s="230" t="s">
        <v>862</v>
      </c>
      <c r="B51" s="230"/>
      <c r="C51" s="230"/>
    </row>
    <row r="52" spans="1:10" x14ac:dyDescent="0.25">
      <c r="A52" t="s">
        <v>7</v>
      </c>
      <c r="B52" t="s">
        <v>484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859</v>
      </c>
      <c r="C63">
        <f>SUBTOTAL(103,Table35[Description])</f>
        <v>0</v>
      </c>
      <c r="E63" s="159"/>
      <c r="F63" s="159"/>
      <c r="G63" s="159"/>
      <c r="I63" s="145"/>
      <c r="J63" s="159"/>
    </row>
    <row r="64" spans="1:10" x14ac:dyDescent="0.25">
      <c r="E64" s="159"/>
      <c r="F64" s="159"/>
      <c r="G64" s="159"/>
      <c r="I64" s="145"/>
      <c r="J64" s="159"/>
    </row>
    <row r="65" spans="1:10" x14ac:dyDescent="0.25">
      <c r="A65" s="230" t="s">
        <v>1051</v>
      </c>
      <c r="B65" s="230"/>
      <c r="C65" s="230"/>
      <c r="E65" s="159"/>
      <c r="F65" s="159"/>
      <c r="G65" s="159"/>
      <c r="I65" s="145"/>
      <c r="J65" s="159"/>
    </row>
    <row r="66" spans="1:10" x14ac:dyDescent="0.25">
      <c r="A66" t="s">
        <v>7</v>
      </c>
      <c r="B66" t="s">
        <v>1049</v>
      </c>
      <c r="C66" t="s">
        <v>4</v>
      </c>
      <c r="E66" s="159"/>
      <c r="F66" s="159"/>
      <c r="G66" s="159"/>
      <c r="I66" s="145"/>
      <c r="J66" s="159"/>
    </row>
    <row r="67" spans="1:10" x14ac:dyDescent="0.25">
      <c r="A67">
        <v>1</v>
      </c>
      <c r="B67" t="s">
        <v>1052</v>
      </c>
      <c r="E67" s="159"/>
      <c r="F67" s="159"/>
      <c r="G67" s="159"/>
      <c r="I67" s="145"/>
      <c r="J67" s="159"/>
    </row>
    <row r="68" spans="1:10" x14ac:dyDescent="0.25">
      <c r="A68">
        <v>2</v>
      </c>
      <c r="B68" t="s">
        <v>1038</v>
      </c>
      <c r="E68" s="159"/>
      <c r="F68" s="159"/>
      <c r="G68" s="159"/>
      <c r="I68" s="145"/>
      <c r="J68" s="159"/>
    </row>
    <row r="69" spans="1:10" x14ac:dyDescent="0.25">
      <c r="A69">
        <v>3</v>
      </c>
      <c r="B69" t="s">
        <v>1039</v>
      </c>
      <c r="E69" s="159"/>
      <c r="F69" s="159"/>
      <c r="G69" s="159"/>
      <c r="I69" s="145"/>
      <c r="J69" s="159"/>
    </row>
    <row r="70" spans="1:10" x14ac:dyDescent="0.25">
      <c r="A70">
        <v>4</v>
      </c>
      <c r="B70" t="s">
        <v>1040</v>
      </c>
      <c r="E70" s="159"/>
      <c r="F70" s="159"/>
      <c r="G70" s="159"/>
      <c r="I70" s="145"/>
      <c r="J70" s="159"/>
    </row>
    <row r="71" spans="1:10" x14ac:dyDescent="0.25">
      <c r="A71">
        <v>5</v>
      </c>
      <c r="B71" t="s">
        <v>1053</v>
      </c>
      <c r="E71" s="159"/>
      <c r="F71" s="159"/>
      <c r="G71" s="159"/>
      <c r="I71" s="145"/>
      <c r="J71" s="159"/>
    </row>
    <row r="72" spans="1:10" x14ac:dyDescent="0.25">
      <c r="A72">
        <v>6</v>
      </c>
      <c r="B72" t="s">
        <v>1041</v>
      </c>
      <c r="E72" s="159"/>
      <c r="F72" s="159"/>
      <c r="G72" s="159"/>
      <c r="I72" s="145"/>
      <c r="J72" s="159"/>
    </row>
    <row r="73" spans="1:10" x14ac:dyDescent="0.25">
      <c r="A73">
        <v>7</v>
      </c>
      <c r="B73" t="s">
        <v>1042</v>
      </c>
      <c r="E73" s="159"/>
      <c r="F73" s="159"/>
      <c r="G73" s="159"/>
      <c r="I73" s="145"/>
      <c r="J73" s="159"/>
    </row>
    <row r="74" spans="1:10" x14ac:dyDescent="0.25">
      <c r="A74">
        <v>8</v>
      </c>
      <c r="B74" t="s">
        <v>1043</v>
      </c>
      <c r="E74" s="159"/>
      <c r="F74" s="159"/>
      <c r="G74" s="159"/>
      <c r="I74" s="145"/>
      <c r="J74" s="159"/>
    </row>
    <row r="75" spans="1:10" x14ac:dyDescent="0.25">
      <c r="A75">
        <v>9</v>
      </c>
      <c r="B75" t="s">
        <v>1044</v>
      </c>
      <c r="E75" s="159"/>
      <c r="F75" s="159"/>
      <c r="G75" s="159"/>
      <c r="I75" s="145"/>
      <c r="J75" s="159"/>
    </row>
    <row r="76" spans="1:10" x14ac:dyDescent="0.25">
      <c r="A76">
        <v>10</v>
      </c>
      <c r="B76" t="s">
        <v>1045</v>
      </c>
      <c r="E76" s="159"/>
      <c r="F76" s="159"/>
      <c r="G76" s="159"/>
      <c r="I76" s="145"/>
      <c r="J76" s="159"/>
    </row>
    <row r="77" spans="1:10" x14ac:dyDescent="0.25">
      <c r="A77">
        <v>11</v>
      </c>
      <c r="B77" t="s">
        <v>1046</v>
      </c>
      <c r="E77" s="159"/>
      <c r="F77" s="159"/>
      <c r="G77" s="159"/>
      <c r="I77" s="145"/>
      <c r="J77" s="159"/>
    </row>
    <row r="78" spans="1:10" x14ac:dyDescent="0.25">
      <c r="A78">
        <v>12</v>
      </c>
      <c r="B78" t="s">
        <v>1047</v>
      </c>
      <c r="E78" s="159"/>
      <c r="F78" s="159"/>
      <c r="G78" s="159"/>
      <c r="I78" s="145"/>
      <c r="J78" s="159"/>
    </row>
    <row r="79" spans="1:10" x14ac:dyDescent="0.25">
      <c r="A79">
        <v>13</v>
      </c>
      <c r="B79" t="s">
        <v>1048</v>
      </c>
      <c r="E79" s="159"/>
      <c r="F79" s="159"/>
      <c r="G79" s="159"/>
      <c r="I79" s="145"/>
      <c r="J79" s="159"/>
    </row>
    <row r="80" spans="1:10" x14ac:dyDescent="0.25">
      <c r="A80" t="s">
        <v>859</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30" t="s">
        <v>865</v>
      </c>
      <c r="B84" s="230"/>
      <c r="C84" s="230"/>
    </row>
    <row r="85" spans="1:10" x14ac:dyDescent="0.25">
      <c r="A85" t="s">
        <v>7</v>
      </c>
      <c r="B85" t="s">
        <v>864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6"/>
      <c r="F93" s="226"/>
      <c r="G93" s="226"/>
    </row>
    <row r="94" spans="1:10" x14ac:dyDescent="0.25">
      <c r="A94">
        <v>9</v>
      </c>
      <c r="B94">
        <v>9</v>
      </c>
      <c r="E94" s="145"/>
      <c r="F94" s="145"/>
      <c r="G94" s="145"/>
    </row>
    <row r="95" spans="1:10" x14ac:dyDescent="0.25">
      <c r="A95" t="s">
        <v>859</v>
      </c>
      <c r="C95">
        <f>SUBTOTAL(103,CL_DSM_material_count[Description])</f>
        <v>0</v>
      </c>
      <c r="E95" s="145"/>
      <c r="F95" s="145"/>
      <c r="G95" s="145"/>
    </row>
    <row r="96" spans="1:10" x14ac:dyDescent="0.25">
      <c r="E96" s="145"/>
      <c r="F96" s="145"/>
      <c r="G96" s="145"/>
    </row>
    <row r="97" spans="1:7" x14ac:dyDescent="0.25">
      <c r="A97" s="230" t="s">
        <v>866</v>
      </c>
      <c r="B97" s="230"/>
      <c r="C97" s="230"/>
      <c r="E97" s="145"/>
      <c r="F97" s="145"/>
      <c r="G97" s="145"/>
    </row>
    <row r="98" spans="1:7" x14ac:dyDescent="0.25">
      <c r="A98" t="s">
        <v>7</v>
      </c>
      <c r="B98" t="s">
        <v>440</v>
      </c>
      <c r="C98" t="s">
        <v>4</v>
      </c>
      <c r="E98" s="145"/>
      <c r="F98" s="145"/>
      <c r="G98" s="145"/>
    </row>
    <row r="99" spans="1:7" x14ac:dyDescent="0.25">
      <c r="A99">
        <v>1</v>
      </c>
      <c r="B99" t="s">
        <v>434</v>
      </c>
      <c r="C99" t="s">
        <v>210</v>
      </c>
      <c r="E99" s="145"/>
      <c r="F99" s="145"/>
      <c r="G99" s="145"/>
    </row>
    <row r="100" spans="1:7" ht="45" x14ac:dyDescent="0.25">
      <c r="A100">
        <v>2</v>
      </c>
      <c r="B100" t="s">
        <v>435</v>
      </c>
      <c r="C100" s="1" t="s">
        <v>211</v>
      </c>
      <c r="E100" s="145"/>
      <c r="F100" s="145"/>
      <c r="G100" s="145"/>
    </row>
    <row r="101" spans="1:7" x14ac:dyDescent="0.25">
      <c r="A101">
        <v>3</v>
      </c>
      <c r="B101" t="s">
        <v>436</v>
      </c>
      <c r="C101" s="1" t="s">
        <v>213</v>
      </c>
      <c r="E101" s="145"/>
      <c r="F101" s="145"/>
      <c r="G101" s="145"/>
    </row>
    <row r="102" spans="1:7" x14ac:dyDescent="0.25">
      <c r="A102">
        <v>4</v>
      </c>
      <c r="B102" t="s">
        <v>437</v>
      </c>
      <c r="E102" s="145"/>
      <c r="F102" s="145"/>
      <c r="G102" s="145"/>
    </row>
    <row r="103" spans="1:7" x14ac:dyDescent="0.25">
      <c r="A103">
        <v>5</v>
      </c>
      <c r="B103" t="s">
        <v>438</v>
      </c>
      <c r="E103" s="145"/>
      <c r="F103" s="145"/>
      <c r="G103" s="145"/>
    </row>
    <row r="104" spans="1:7" x14ac:dyDescent="0.25">
      <c r="A104">
        <v>6</v>
      </c>
      <c r="B104" t="s">
        <v>443</v>
      </c>
      <c r="E104" s="145"/>
      <c r="F104" s="145"/>
      <c r="G104" s="145"/>
    </row>
    <row r="105" spans="1:7" x14ac:dyDescent="0.25">
      <c r="A105">
        <v>7</v>
      </c>
      <c r="B105" t="s">
        <v>444</v>
      </c>
      <c r="E105" s="145"/>
      <c r="F105" s="145"/>
      <c r="G105" s="145"/>
    </row>
    <row r="106" spans="1:7" x14ac:dyDescent="0.25">
      <c r="A106">
        <v>8</v>
      </c>
      <c r="B106" t="s">
        <v>445</v>
      </c>
      <c r="E106" s="145"/>
      <c r="F106" s="145"/>
      <c r="G106" s="145"/>
    </row>
    <row r="107" spans="1:7" x14ac:dyDescent="0.25">
      <c r="A107">
        <v>9</v>
      </c>
      <c r="B107" t="s">
        <v>446</v>
      </c>
      <c r="E107" s="145"/>
      <c r="F107" s="145"/>
      <c r="G107" s="145"/>
    </row>
    <row r="108" spans="1:7" x14ac:dyDescent="0.25">
      <c r="A108">
        <v>10</v>
      </c>
      <c r="B108" t="s">
        <v>447</v>
      </c>
      <c r="E108" s="145"/>
      <c r="F108" s="145"/>
      <c r="G108" s="145"/>
    </row>
    <row r="109" spans="1:7" x14ac:dyDescent="0.25">
      <c r="A109">
        <v>11</v>
      </c>
      <c r="B109" t="s">
        <v>448</v>
      </c>
      <c r="E109" s="145"/>
      <c r="F109" s="145"/>
      <c r="G109" s="145"/>
    </row>
    <row r="110" spans="1:7" x14ac:dyDescent="0.25">
      <c r="A110">
        <v>12</v>
      </c>
      <c r="B110" t="s">
        <v>449</v>
      </c>
      <c r="E110" s="145"/>
      <c r="F110" s="145"/>
      <c r="G110" s="145"/>
    </row>
    <row r="111" spans="1:7" x14ac:dyDescent="0.25">
      <c r="A111">
        <v>13</v>
      </c>
      <c r="B111" t="s">
        <v>450</v>
      </c>
      <c r="E111" s="145"/>
      <c r="F111" s="145"/>
      <c r="G111" s="145"/>
    </row>
    <row r="112" spans="1:7" x14ac:dyDescent="0.25">
      <c r="A112">
        <v>14</v>
      </c>
      <c r="B112" t="s">
        <v>451</v>
      </c>
      <c r="E112" s="145"/>
      <c r="F112" s="145"/>
      <c r="G112" s="145"/>
    </row>
    <row r="113" spans="1:7" x14ac:dyDescent="0.25">
      <c r="A113" t="s">
        <v>859</v>
      </c>
      <c r="C113">
        <f>SUBTOTAL(103,CL_DSM_Parameter_type[Description])</f>
        <v>3</v>
      </c>
      <c r="E113" s="145"/>
      <c r="F113" s="145"/>
      <c r="G113" s="145"/>
    </row>
    <row r="114" spans="1:7" x14ac:dyDescent="0.25">
      <c r="E114" s="145"/>
      <c r="F114" s="145"/>
      <c r="G114" s="145"/>
    </row>
    <row r="115" spans="1:7" x14ac:dyDescent="0.25">
      <c r="A115" s="230" t="s">
        <v>867</v>
      </c>
      <c r="B115" s="230"/>
      <c r="C115" s="230"/>
      <c r="E115" s="145"/>
      <c r="F115" s="145"/>
      <c r="G115" s="145"/>
    </row>
    <row r="116" spans="1:7" x14ac:dyDescent="0.25">
      <c r="A116" t="s">
        <v>7</v>
      </c>
      <c r="B116" t="s">
        <v>891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6"/>
      <c r="B126" s="226"/>
      <c r="C126" s="226"/>
    </row>
    <row r="129" spans="1:9" x14ac:dyDescent="0.25">
      <c r="I129" s="145"/>
    </row>
    <row r="130" spans="1:9" x14ac:dyDescent="0.25">
      <c r="I130" s="159"/>
    </row>
    <row r="141" spans="1:9" x14ac:dyDescent="0.25">
      <c r="F141" s="226"/>
      <c r="G141" s="226"/>
      <c r="H141" s="226"/>
    </row>
    <row r="142" spans="1:9" x14ac:dyDescent="0.25">
      <c r="A142" s="231" t="s">
        <v>889</v>
      </c>
      <c r="B142" s="231"/>
      <c r="C142" s="231"/>
    </row>
    <row r="144" spans="1:9" x14ac:dyDescent="0.25">
      <c r="A144" s="230" t="s">
        <v>870</v>
      </c>
      <c r="B144" s="230"/>
      <c r="C144" s="230"/>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859</v>
      </c>
      <c r="C149">
        <f>SUBTOTAL(103,CL_Operation[Description])</f>
        <v>3</v>
      </c>
    </row>
    <row r="151" spans="1:10" x14ac:dyDescent="0.25">
      <c r="A151" s="230" t="s">
        <v>988</v>
      </c>
      <c r="B151" s="230"/>
      <c r="C151" s="230"/>
    </row>
    <row r="152" spans="1:10" x14ac:dyDescent="0.25">
      <c r="A152" t="s">
        <v>7</v>
      </c>
      <c r="B152" t="s">
        <v>989</v>
      </c>
      <c r="C152" t="s">
        <v>4</v>
      </c>
    </row>
    <row r="153" spans="1:10" x14ac:dyDescent="0.25">
      <c r="A153">
        <v>1</v>
      </c>
      <c r="B153" t="s">
        <v>171</v>
      </c>
      <c r="C153" t="s">
        <v>983</v>
      </c>
    </row>
    <row r="154" spans="1:10" x14ac:dyDescent="0.25">
      <c r="A154">
        <v>2</v>
      </c>
      <c r="B154" t="s">
        <v>984</v>
      </c>
      <c r="C154" t="s">
        <v>985</v>
      </c>
    </row>
    <row r="155" spans="1:10" x14ac:dyDescent="0.25">
      <c r="A155">
        <v>3</v>
      </c>
      <c r="B155" t="s">
        <v>986</v>
      </c>
      <c r="C155" t="s">
        <v>987</v>
      </c>
    </row>
    <row r="156" spans="1:10" x14ac:dyDescent="0.25">
      <c r="A156">
        <v>4</v>
      </c>
    </row>
    <row r="160" spans="1:10" x14ac:dyDescent="0.25">
      <c r="A160" t="s">
        <v>170</v>
      </c>
      <c r="B160" t="s">
        <v>1030</v>
      </c>
      <c r="C160" t="s">
        <v>1028</v>
      </c>
      <c r="D160" t="s">
        <v>1027</v>
      </c>
      <c r="E160" t="s">
        <v>189</v>
      </c>
      <c r="F160" t="s">
        <v>190</v>
      </c>
      <c r="G160" t="s">
        <v>192</v>
      </c>
      <c r="H160" t="s">
        <v>1026</v>
      </c>
      <c r="I160" t="s">
        <v>191</v>
      </c>
      <c r="J160" t="s">
        <v>1029</v>
      </c>
    </row>
    <row r="161" spans="1:10" x14ac:dyDescent="0.25">
      <c r="A161">
        <v>1</v>
      </c>
      <c r="B161" t="s">
        <v>1028</v>
      </c>
      <c r="C161" t="s">
        <v>403</v>
      </c>
      <c r="D161" t="s">
        <v>403</v>
      </c>
      <c r="E161" t="s">
        <v>196</v>
      </c>
      <c r="G161" t="s">
        <v>87</v>
      </c>
      <c r="I161" t="s">
        <v>434</v>
      </c>
      <c r="J161" t="s">
        <v>1031</v>
      </c>
    </row>
    <row r="162" spans="1:10" x14ac:dyDescent="0.25">
      <c r="A162">
        <v>2</v>
      </c>
      <c r="B162" t="s">
        <v>1027</v>
      </c>
      <c r="C162" t="s">
        <v>404</v>
      </c>
      <c r="D162" t="s">
        <v>404</v>
      </c>
      <c r="E162" t="s">
        <v>203</v>
      </c>
      <c r="G162" t="s">
        <v>88</v>
      </c>
      <c r="I162" t="s">
        <v>435</v>
      </c>
    </row>
    <row r="163" spans="1:10" x14ac:dyDescent="0.25">
      <c r="A163">
        <v>3</v>
      </c>
      <c r="B163" t="s">
        <v>189</v>
      </c>
      <c r="C163" t="s">
        <v>405</v>
      </c>
      <c r="D163" t="s">
        <v>405</v>
      </c>
      <c r="E163" t="s">
        <v>205</v>
      </c>
      <c r="G163" t="s">
        <v>89</v>
      </c>
      <c r="I163" t="s">
        <v>436</v>
      </c>
    </row>
    <row r="164" spans="1:10" x14ac:dyDescent="0.25">
      <c r="A164">
        <v>4</v>
      </c>
      <c r="B164" t="s">
        <v>190</v>
      </c>
      <c r="C164" t="s">
        <v>406</v>
      </c>
      <c r="D164" t="s">
        <v>406</v>
      </c>
      <c r="E164" t="s">
        <v>204</v>
      </c>
      <c r="I164" t="s">
        <v>437</v>
      </c>
    </row>
    <row r="165" spans="1:10" x14ac:dyDescent="0.25">
      <c r="A165">
        <v>5</v>
      </c>
      <c r="B165" t="s">
        <v>192</v>
      </c>
      <c r="E165" t="s">
        <v>206</v>
      </c>
      <c r="I165" t="s">
        <v>438</v>
      </c>
    </row>
    <row r="166" spans="1:10" x14ac:dyDescent="0.25">
      <c r="A166">
        <v>6</v>
      </c>
      <c r="B166" t="s">
        <v>1029</v>
      </c>
      <c r="E166" t="s">
        <v>199</v>
      </c>
      <c r="I166" t="s">
        <v>443</v>
      </c>
    </row>
    <row r="167" spans="1:10" x14ac:dyDescent="0.25">
      <c r="A167">
        <v>7</v>
      </c>
      <c r="B167" t="s">
        <v>191</v>
      </c>
      <c r="E167" t="s">
        <v>202</v>
      </c>
      <c r="I167" t="s">
        <v>444</v>
      </c>
    </row>
    <row r="168" spans="1:10" x14ac:dyDescent="0.25">
      <c r="A168">
        <v>8</v>
      </c>
      <c r="B168" t="s">
        <v>1026</v>
      </c>
      <c r="E168" t="s">
        <v>200</v>
      </c>
      <c r="I168" t="s">
        <v>445</v>
      </c>
    </row>
    <row r="169" spans="1:10" x14ac:dyDescent="0.25">
      <c r="A169">
        <v>9</v>
      </c>
      <c r="I169" t="s">
        <v>446</v>
      </c>
    </row>
    <row r="170" spans="1:10" x14ac:dyDescent="0.25">
      <c r="A170">
        <v>10</v>
      </c>
      <c r="I170" t="s">
        <v>447</v>
      </c>
    </row>
    <row r="171" spans="1:10" x14ac:dyDescent="0.25">
      <c r="A171">
        <v>11</v>
      </c>
      <c r="I171" t="s">
        <v>448</v>
      </c>
    </row>
    <row r="172" spans="1:10" x14ac:dyDescent="0.25">
      <c r="A172">
        <v>12</v>
      </c>
      <c r="I172" t="s">
        <v>449</v>
      </c>
    </row>
    <row r="173" spans="1:10" x14ac:dyDescent="0.25">
      <c r="A173">
        <v>13</v>
      </c>
      <c r="I173" t="s">
        <v>450</v>
      </c>
    </row>
    <row r="174" spans="1:10" x14ac:dyDescent="0.25">
      <c r="A174">
        <v>14</v>
      </c>
      <c r="I174" t="s">
        <v>451</v>
      </c>
    </row>
    <row r="175" spans="1:10" x14ac:dyDescent="0.25">
      <c r="A175">
        <v>15</v>
      </c>
    </row>
    <row r="176" spans="1:10" x14ac:dyDescent="0.25">
      <c r="A176">
        <v>16</v>
      </c>
    </row>
    <row r="180" spans="1:5" x14ac:dyDescent="0.25">
      <c r="A180" t="s">
        <v>246</v>
      </c>
      <c r="B180" t="s">
        <v>247</v>
      </c>
    </row>
    <row r="181" spans="1:5" x14ac:dyDescent="0.25">
      <c r="A181" s="156" t="s">
        <v>216</v>
      </c>
      <c r="B181" s="156" t="s">
        <v>269</v>
      </c>
      <c r="C181" s="156" t="s">
        <v>270</v>
      </c>
      <c r="D181" s="156" t="s">
        <v>271</v>
      </c>
      <c r="E181" s="156" t="s">
        <v>272</v>
      </c>
    </row>
    <row r="182" spans="1:5" x14ac:dyDescent="0.25">
      <c r="A182" t="s">
        <v>273</v>
      </c>
      <c r="B182" t="s">
        <v>274</v>
      </c>
      <c r="C182" t="s">
        <v>275</v>
      </c>
      <c r="D182" t="s">
        <v>276</v>
      </c>
      <c r="E182" t="s">
        <v>277</v>
      </c>
    </row>
    <row r="183" spans="1:5" x14ac:dyDescent="0.25">
      <c r="A183" t="s">
        <v>273</v>
      </c>
      <c r="B183" t="s">
        <v>278</v>
      </c>
      <c r="C183" t="s">
        <v>279</v>
      </c>
      <c r="D183" t="s">
        <v>280</v>
      </c>
      <c r="E183" t="s">
        <v>281</v>
      </c>
    </row>
    <row r="184" spans="1:5" x14ac:dyDescent="0.25">
      <c r="A184" t="s">
        <v>273</v>
      </c>
      <c r="B184" t="s">
        <v>282</v>
      </c>
      <c r="C184" t="s">
        <v>283</v>
      </c>
      <c r="D184" t="s">
        <v>284</v>
      </c>
      <c r="E184" t="s">
        <v>285</v>
      </c>
    </row>
    <row r="185" spans="1:5" x14ac:dyDescent="0.25">
      <c r="A185" t="s">
        <v>273</v>
      </c>
      <c r="B185" t="s">
        <v>286</v>
      </c>
      <c r="C185" t="s">
        <v>287</v>
      </c>
      <c r="D185" t="s">
        <v>288</v>
      </c>
      <c r="E185" t="s">
        <v>289</v>
      </c>
    </row>
    <row r="186" spans="1:5" x14ac:dyDescent="0.25">
      <c r="A186" t="s">
        <v>273</v>
      </c>
      <c r="B186" t="s">
        <v>290</v>
      </c>
      <c r="C186" t="s">
        <v>291</v>
      </c>
      <c r="D186" t="s">
        <v>292</v>
      </c>
      <c r="E186" t="s">
        <v>293</v>
      </c>
    </row>
    <row r="187" spans="1:5" x14ac:dyDescent="0.25">
      <c r="A187" t="s">
        <v>294</v>
      </c>
      <c r="B187" t="s">
        <v>295</v>
      </c>
      <c r="C187" t="s">
        <v>296</v>
      </c>
      <c r="D187" t="s">
        <v>297</v>
      </c>
      <c r="E187" t="s">
        <v>298</v>
      </c>
    </row>
    <row r="188" spans="1:5" x14ac:dyDescent="0.25">
      <c r="A188" t="s">
        <v>294</v>
      </c>
      <c r="B188" t="s">
        <v>299</v>
      </c>
      <c r="C188" t="s">
        <v>300</v>
      </c>
      <c r="D188" t="s">
        <v>301</v>
      </c>
      <c r="E188" t="s">
        <v>302</v>
      </c>
    </row>
    <row r="189" spans="1:5" x14ac:dyDescent="0.25">
      <c r="A189" t="s">
        <v>294</v>
      </c>
      <c r="B189" t="s">
        <v>303</v>
      </c>
      <c r="C189" t="s">
        <v>304</v>
      </c>
      <c r="D189" t="s">
        <v>305</v>
      </c>
      <c r="E189" t="s">
        <v>306</v>
      </c>
    </row>
    <row r="190" spans="1:5" x14ac:dyDescent="0.25">
      <c r="A190" t="s">
        <v>294</v>
      </c>
      <c r="B190" t="s">
        <v>307</v>
      </c>
      <c r="C190" t="s">
        <v>308</v>
      </c>
      <c r="D190" t="s">
        <v>309</v>
      </c>
      <c r="E190" t="s">
        <v>310</v>
      </c>
    </row>
    <row r="191" spans="1:5" x14ac:dyDescent="0.25">
      <c r="A191" t="s">
        <v>311</v>
      </c>
      <c r="B191" t="s">
        <v>312</v>
      </c>
      <c r="C191" t="s">
        <v>313</v>
      </c>
      <c r="D191" t="s">
        <v>314</v>
      </c>
      <c r="E191" t="s">
        <v>315</v>
      </c>
    </row>
    <row r="192" spans="1:5" x14ac:dyDescent="0.25">
      <c r="A192" t="s">
        <v>311</v>
      </c>
      <c r="B192" t="s">
        <v>316</v>
      </c>
      <c r="C192" t="s">
        <v>317</v>
      </c>
      <c r="D192" t="s">
        <v>318</v>
      </c>
      <c r="E192" t="s">
        <v>319</v>
      </c>
    </row>
    <row r="193" spans="1:5" x14ac:dyDescent="0.25">
      <c r="A193" t="s">
        <v>311</v>
      </c>
      <c r="B193" t="s">
        <v>320</v>
      </c>
      <c r="C193" t="s">
        <v>321</v>
      </c>
      <c r="D193" t="s">
        <v>322</v>
      </c>
      <c r="E193" t="s">
        <v>323</v>
      </c>
    </row>
    <row r="194" spans="1:5" x14ac:dyDescent="0.25">
      <c r="A194" t="s">
        <v>311</v>
      </c>
      <c r="B194" t="s">
        <v>324</v>
      </c>
      <c r="C194" t="s">
        <v>325</v>
      </c>
      <c r="D194" t="s">
        <v>326</v>
      </c>
      <c r="E194" t="s">
        <v>327</v>
      </c>
    </row>
    <row r="195" spans="1:5" x14ac:dyDescent="0.25">
      <c r="A195" t="s">
        <v>328</v>
      </c>
      <c r="B195" t="s">
        <v>329</v>
      </c>
      <c r="C195" t="s">
        <v>330</v>
      </c>
      <c r="D195" t="s">
        <v>331</v>
      </c>
      <c r="E195" t="s">
        <v>332</v>
      </c>
    </row>
    <row r="196" spans="1:5" x14ac:dyDescent="0.25">
      <c r="A196" t="s">
        <v>328</v>
      </c>
      <c r="B196" t="s">
        <v>333</v>
      </c>
      <c r="C196" t="s">
        <v>334</v>
      </c>
      <c r="D196" t="s">
        <v>335</v>
      </c>
      <c r="E196" t="s">
        <v>336</v>
      </c>
    </row>
    <row r="197" spans="1:5" x14ac:dyDescent="0.25">
      <c r="A197" t="s">
        <v>328</v>
      </c>
      <c r="B197" t="s">
        <v>337</v>
      </c>
      <c r="C197" t="s">
        <v>338</v>
      </c>
      <c r="D197" t="s">
        <v>339</v>
      </c>
      <c r="E197" t="s">
        <v>340</v>
      </c>
    </row>
    <row r="198" spans="1:5" x14ac:dyDescent="0.25">
      <c r="A198" t="s">
        <v>328</v>
      </c>
      <c r="B198" t="s">
        <v>341</v>
      </c>
      <c r="C198" t="s">
        <v>342</v>
      </c>
      <c r="D198" t="s">
        <v>343</v>
      </c>
      <c r="E198" t="s">
        <v>344</v>
      </c>
    </row>
    <row r="199" spans="1:5" x14ac:dyDescent="0.25">
      <c r="A199" t="s">
        <v>345</v>
      </c>
      <c r="B199" t="s">
        <v>346</v>
      </c>
      <c r="C199" t="s">
        <v>347</v>
      </c>
      <c r="D199" t="s">
        <v>348</v>
      </c>
      <c r="E199" t="s">
        <v>349</v>
      </c>
    </row>
    <row r="200" spans="1:5" x14ac:dyDescent="0.25">
      <c r="A200" t="s">
        <v>345</v>
      </c>
      <c r="B200" t="s">
        <v>350</v>
      </c>
      <c r="C200" t="s">
        <v>351</v>
      </c>
      <c r="D200" t="s">
        <v>352</v>
      </c>
      <c r="E200" t="s">
        <v>353</v>
      </c>
    </row>
    <row r="201" spans="1:5" x14ac:dyDescent="0.25">
      <c r="A201" t="s">
        <v>345</v>
      </c>
      <c r="B201" t="s">
        <v>354</v>
      </c>
      <c r="C201" t="s">
        <v>355</v>
      </c>
      <c r="D201" t="s">
        <v>356</v>
      </c>
      <c r="E201" t="s">
        <v>357</v>
      </c>
    </row>
    <row r="202" spans="1:5" x14ac:dyDescent="0.25">
      <c r="A202" t="s">
        <v>345</v>
      </c>
      <c r="B202" t="s">
        <v>358</v>
      </c>
      <c r="C202" t="s">
        <v>359</v>
      </c>
      <c r="D202" t="s">
        <v>360</v>
      </c>
      <c r="E202" t="s">
        <v>361</v>
      </c>
    </row>
  </sheetData>
  <mergeCells count="16">
    <mergeCell ref="A151:C151"/>
    <mergeCell ref="A26:C26"/>
    <mergeCell ref="A44:C44"/>
    <mergeCell ref="A37:C37"/>
    <mergeCell ref="A51:C51"/>
    <mergeCell ref="A65:C65"/>
    <mergeCell ref="F141:H141"/>
    <mergeCell ref="A1:C1"/>
    <mergeCell ref="A144:C144"/>
    <mergeCell ref="A115:C115"/>
    <mergeCell ref="E93:G93"/>
    <mergeCell ref="A126:C126"/>
    <mergeCell ref="A84:C84"/>
    <mergeCell ref="A97:C97"/>
    <mergeCell ref="A142:C142"/>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33" t="str">
        <f>'2_1_Definition_Processes'!D2</f>
        <v>Atmosphere</v>
      </c>
      <c r="C1" s="233"/>
      <c r="D1" s="233"/>
      <c r="E1" s="233"/>
      <c r="F1" s="233"/>
      <c r="G1" s="233"/>
      <c r="H1" s="233"/>
      <c r="I1" s="118" t="s">
        <v>159</v>
      </c>
      <c r="J1" s="234" t="s">
        <v>41</v>
      </c>
      <c r="K1" s="234"/>
      <c r="L1" s="234"/>
      <c r="M1" s="234"/>
    </row>
    <row r="2" spans="1:22" ht="16.5" thickBot="1" x14ac:dyDescent="0.3">
      <c r="A2" s="235" t="s">
        <v>158</v>
      </c>
      <c r="B2" s="236"/>
      <c r="C2" s="236"/>
      <c r="D2" s="236"/>
      <c r="E2" s="236"/>
      <c r="F2" s="236"/>
      <c r="G2" s="236"/>
      <c r="H2" s="236"/>
      <c r="I2" s="236"/>
      <c r="J2" s="236"/>
      <c r="K2" s="236"/>
      <c r="L2" s="236"/>
      <c r="M2" s="237"/>
    </row>
    <row r="3" spans="1:22" ht="126.75" customHeight="1" thickBot="1" x14ac:dyDescent="0.3">
      <c r="A3" s="238"/>
      <c r="B3" s="239"/>
      <c r="C3" s="239"/>
      <c r="D3" s="239"/>
      <c r="E3" s="239"/>
      <c r="F3" s="239"/>
      <c r="G3" s="239"/>
      <c r="H3" s="239"/>
      <c r="I3" s="239"/>
      <c r="J3" s="239"/>
      <c r="K3" s="239"/>
      <c r="L3" s="239"/>
      <c r="M3" s="240"/>
    </row>
    <row r="4" spans="1:22" ht="31.5" customHeight="1" x14ac:dyDescent="0.25">
      <c r="A4" s="117" t="s">
        <v>157</v>
      </c>
      <c r="B4" s="241"/>
      <c r="C4" s="242"/>
      <c r="D4" s="243"/>
      <c r="E4" s="244" t="s">
        <v>156</v>
      </c>
      <c r="F4" s="245"/>
      <c r="G4" s="122"/>
      <c r="H4" s="122"/>
      <c r="I4" s="116"/>
      <c r="J4" s="116"/>
      <c r="K4" s="116"/>
      <c r="L4" s="116"/>
      <c r="M4" s="116"/>
    </row>
    <row r="5" spans="1:22" ht="16.5" customHeight="1" x14ac:dyDescent="0.25">
      <c r="A5" s="119" t="s">
        <v>155</v>
      </c>
      <c r="B5" s="249" t="s">
        <v>193</v>
      </c>
      <c r="C5" s="249"/>
      <c r="D5" s="250"/>
      <c r="E5" s="119" t="s">
        <v>155</v>
      </c>
      <c r="F5" s="251" t="e">
        <f>_xlfn.XLOOKUP(J1,Tab_Def_Processes[Process_ID],#REF!,"No_flow.",0,1)</f>
        <v>#REF!</v>
      </c>
      <c r="G5" s="251"/>
      <c r="H5" s="252"/>
      <c r="I5" s="120"/>
      <c r="J5" s="115"/>
      <c r="K5" s="115"/>
      <c r="L5" s="115"/>
      <c r="M5" s="112"/>
    </row>
    <row r="6" spans="1:22" ht="16.5" customHeight="1" x14ac:dyDescent="0.25">
      <c r="A6" s="119" t="s">
        <v>154</v>
      </c>
      <c r="B6" s="251" t="s">
        <v>194</v>
      </c>
      <c r="C6" s="251"/>
      <c r="D6" s="252"/>
      <c r="E6" s="119" t="s">
        <v>154</v>
      </c>
      <c r="F6" s="251" t="e">
        <f>_xlfn.XLOOKUP(J1,Tab_Def_Processes[Process_ID],#REF!,"No_flow.",0,1)</f>
        <v>#REF!</v>
      </c>
      <c r="G6" s="251"/>
      <c r="H6" s="252"/>
      <c r="I6" s="120"/>
      <c r="J6" s="115"/>
      <c r="K6" s="115"/>
      <c r="L6" s="115"/>
      <c r="M6" s="112"/>
    </row>
    <row r="7" spans="1:22" ht="16.5" customHeight="1" x14ac:dyDescent="0.25">
      <c r="A7" s="114" t="s">
        <v>153</v>
      </c>
      <c r="B7" s="251" t="e">
        <f>_xlfn.XLOOKUP(J1,Tab_Def_Processes[Process_ID],#REF!,"No_flow.",0,1)</f>
        <v>#REF!</v>
      </c>
      <c r="C7" s="251"/>
      <c r="D7" s="252"/>
      <c r="E7" s="114" t="s">
        <v>153</v>
      </c>
      <c r="F7" s="251" t="e">
        <f>_xlfn.XLOOKUP(J1,Tab_Def_Processes[Process_ID],#REF!,"No_flow.",0,1)</f>
        <v>#REF!</v>
      </c>
      <c r="G7" s="251"/>
      <c r="H7" s="252"/>
      <c r="I7" s="121"/>
      <c r="J7" s="113"/>
      <c r="K7" s="113"/>
      <c r="L7" s="113"/>
      <c r="M7" s="112"/>
    </row>
    <row r="8" spans="1:22" ht="16.5" customHeight="1" x14ac:dyDescent="0.25">
      <c r="A8" s="114" t="s">
        <v>152</v>
      </c>
      <c r="B8" s="251" t="e">
        <f>_xlfn.XLOOKUP(J1,Tab_Def_Processes[Process_ID],#REF!,"No_flow.",0,1)</f>
        <v>#REF!</v>
      </c>
      <c r="C8" s="251"/>
      <c r="D8" s="252"/>
      <c r="E8" s="114" t="s">
        <v>152</v>
      </c>
      <c r="F8" s="251" t="e">
        <f>_xlfn.XLOOKUP(J1,Tab_Def_Processes[Process_ID],#REF!,"No_flow.",0,1)</f>
        <v>#REF!</v>
      </c>
      <c r="G8" s="251"/>
      <c r="H8" s="252"/>
      <c r="I8" s="121"/>
      <c r="J8" s="113"/>
      <c r="K8" s="113"/>
      <c r="L8" s="113"/>
      <c r="M8" s="112"/>
    </row>
    <row r="9" spans="1:22" ht="16.5" customHeight="1" x14ac:dyDescent="0.25">
      <c r="A9" s="114" t="s">
        <v>151</v>
      </c>
      <c r="B9" s="251" t="e">
        <f>_xlfn.XLOOKUP(J1,Tab_Def_Processes[Process_ID],#REF!,"No_flow.",0,1)</f>
        <v>#REF!</v>
      </c>
      <c r="C9" s="251"/>
      <c r="D9" s="252"/>
      <c r="E9" s="114" t="s">
        <v>151</v>
      </c>
      <c r="F9" s="251" t="e">
        <f>_xlfn.XLOOKUP(J1,Tab_Def_Processes[Process_ID],#REF!,"No_flow.",0,1)</f>
        <v>#REF!</v>
      </c>
      <c r="G9" s="251"/>
      <c r="H9" s="252"/>
      <c r="I9" s="121"/>
      <c r="J9" s="113"/>
      <c r="K9" s="113"/>
      <c r="L9" s="113"/>
      <c r="M9" s="112"/>
    </row>
    <row r="10" spans="1:22" ht="16.5" customHeight="1" thickBot="1" x14ac:dyDescent="0.3">
      <c r="A10" s="123" t="s">
        <v>150</v>
      </c>
      <c r="B10" s="253"/>
      <c r="C10" s="253"/>
      <c r="D10" s="254"/>
      <c r="E10" s="123" t="s">
        <v>150</v>
      </c>
      <c r="F10" s="253"/>
      <c r="G10" s="253"/>
      <c r="H10" s="254"/>
      <c r="I10" s="121"/>
      <c r="J10" s="113"/>
      <c r="K10" s="113"/>
      <c r="L10" s="113"/>
      <c r="M10" s="112"/>
    </row>
    <row r="11" spans="1:22" ht="16.5" thickBot="1" x14ac:dyDescent="0.3">
      <c r="A11" s="235" t="s">
        <v>149</v>
      </c>
      <c r="B11" s="236"/>
      <c r="C11" s="236"/>
      <c r="D11" s="236"/>
      <c r="E11" s="236"/>
      <c r="F11" s="236"/>
      <c r="G11" s="236"/>
      <c r="H11" s="236"/>
      <c r="I11" s="236"/>
      <c r="J11" s="236"/>
      <c r="K11" s="236"/>
      <c r="L11" s="236"/>
      <c r="M11" s="237"/>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6" t="s">
        <v>147</v>
      </c>
      <c r="B13" s="247"/>
      <c r="C13" s="247"/>
      <c r="D13" s="247"/>
      <c r="E13" s="247"/>
      <c r="F13" s="247"/>
      <c r="G13" s="247"/>
      <c r="H13" s="247"/>
      <c r="I13" s="247"/>
      <c r="J13" s="247"/>
      <c r="K13" s="247"/>
      <c r="L13" s="247"/>
      <c r="M13" s="248"/>
    </row>
    <row r="14" spans="1:22" ht="16.5" thickBot="1" x14ac:dyDescent="0.3">
      <c r="A14" s="69" t="s">
        <v>133</v>
      </c>
      <c r="B14" s="255" t="s">
        <v>145</v>
      </c>
      <c r="C14" s="256"/>
      <c r="D14" s="257"/>
      <c r="E14" s="258" t="s">
        <v>144</v>
      </c>
      <c r="F14" s="259"/>
      <c r="G14" s="259"/>
      <c r="H14" s="260"/>
      <c r="I14" s="261" t="s">
        <v>143</v>
      </c>
      <c r="J14" s="262"/>
      <c r="K14" s="262"/>
      <c r="L14" s="262"/>
      <c r="M14" s="263"/>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76" t="s">
        <v>132</v>
      </c>
      <c r="C23" s="277"/>
      <c r="D23" s="277"/>
      <c r="E23" s="277"/>
      <c r="F23" s="277"/>
      <c r="G23" s="277"/>
      <c r="H23" s="278"/>
      <c r="I23" s="279" t="s">
        <v>131</v>
      </c>
      <c r="J23" s="280"/>
      <c r="K23" s="280"/>
      <c r="L23" s="280"/>
      <c r="M23" s="281"/>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64" t="s">
        <v>146</v>
      </c>
      <c r="B32" s="265"/>
      <c r="C32" s="265"/>
      <c r="D32" s="265"/>
      <c r="E32" s="265"/>
      <c r="F32" s="265"/>
      <c r="G32" s="265"/>
      <c r="H32" s="265"/>
      <c r="I32" s="265"/>
      <c r="J32" s="265"/>
      <c r="K32" s="265"/>
      <c r="L32" s="265"/>
      <c r="M32" s="266"/>
    </row>
    <row r="33" spans="1:18" ht="16.5" customHeight="1" thickBot="1" x14ac:dyDescent="0.3">
      <c r="A33" s="69" t="s">
        <v>133</v>
      </c>
      <c r="B33" s="267" t="s">
        <v>145</v>
      </c>
      <c r="C33" s="268"/>
      <c r="D33" s="269"/>
      <c r="E33" s="270" t="s">
        <v>144</v>
      </c>
      <c r="F33" s="271"/>
      <c r="G33" s="271"/>
      <c r="H33" s="272"/>
      <c r="I33" s="273" t="s">
        <v>143</v>
      </c>
      <c r="J33" s="274"/>
      <c r="K33" s="274"/>
      <c r="L33" s="274"/>
      <c r="M33" s="275"/>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76" t="s">
        <v>132</v>
      </c>
      <c r="C42" s="277"/>
      <c r="D42" s="277"/>
      <c r="E42" s="277"/>
      <c r="F42" s="277"/>
      <c r="G42" s="277"/>
      <c r="H42" s="278"/>
      <c r="I42" s="279" t="s">
        <v>131</v>
      </c>
      <c r="J42" s="280"/>
      <c r="K42" s="280"/>
      <c r="L42" s="280"/>
      <c r="M42" s="281"/>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82" t="s">
        <v>118</v>
      </c>
      <c r="B51" s="283"/>
      <c r="C51" s="283"/>
      <c r="D51" s="283"/>
      <c r="E51" s="284"/>
      <c r="F51" s="285" t="s">
        <v>117</v>
      </c>
      <c r="G51" s="286"/>
      <c r="H51" s="286"/>
      <c r="I51" s="286"/>
      <c r="J51" s="286"/>
      <c r="K51" s="286"/>
      <c r="L51" s="286"/>
      <c r="M51" s="287"/>
    </row>
    <row r="52" spans="1:17" ht="16.5" thickBot="1" x14ac:dyDescent="0.3">
      <c r="A52" s="3" t="s">
        <v>116</v>
      </c>
      <c r="B52" s="43" t="s">
        <v>115</v>
      </c>
      <c r="C52" s="42" t="s">
        <v>88</v>
      </c>
      <c r="D52" s="41" t="s">
        <v>87</v>
      </c>
      <c r="E52" s="40" t="s">
        <v>114</v>
      </c>
      <c r="F52" s="229"/>
      <c r="G52" s="229"/>
      <c r="H52" s="229"/>
      <c r="I52" s="229"/>
      <c r="J52" s="229"/>
      <c r="K52" s="229"/>
      <c r="L52" s="229"/>
      <c r="M52" s="288"/>
    </row>
    <row r="53" spans="1:17" ht="15.75" x14ac:dyDescent="0.25">
      <c r="A53" s="4" t="s">
        <v>113</v>
      </c>
      <c r="B53" s="39">
        <f>B22</f>
        <v>721668.05</v>
      </c>
      <c r="C53" s="38">
        <f>F22</f>
        <v>101033.52700000002</v>
      </c>
      <c r="D53" s="37">
        <f>J22</f>
        <v>620634.52299999993</v>
      </c>
      <c r="E53" s="36">
        <f>C31</f>
        <v>297904.57</v>
      </c>
      <c r="F53" s="229"/>
      <c r="G53" s="229"/>
      <c r="H53" s="229"/>
      <c r="I53" s="229"/>
      <c r="J53" s="229"/>
      <c r="K53" s="229"/>
      <c r="L53" s="229"/>
      <c r="M53" s="288"/>
    </row>
    <row r="54" spans="1:17" ht="16.5" thickBot="1" x14ac:dyDescent="0.3">
      <c r="A54" s="4" t="s">
        <v>112</v>
      </c>
      <c r="B54" s="39">
        <f>B41</f>
        <v>721668.05</v>
      </c>
      <c r="C54" s="38">
        <f>F41</f>
        <v>101033.52700000002</v>
      </c>
      <c r="D54" s="37">
        <f>J41</f>
        <v>620634.52300000004</v>
      </c>
      <c r="E54" s="36">
        <f>C50</f>
        <v>297904.57104000001</v>
      </c>
      <c r="F54" s="229"/>
      <c r="G54" s="229"/>
      <c r="H54" s="229"/>
      <c r="I54" s="229"/>
      <c r="J54" s="229"/>
      <c r="K54" s="229"/>
      <c r="L54" s="229"/>
      <c r="M54" s="288"/>
    </row>
    <row r="55" spans="1:17" ht="15.75" x14ac:dyDescent="0.25">
      <c r="A55" s="3" t="s">
        <v>111</v>
      </c>
      <c r="B55" s="128">
        <f>B53-B54</f>
        <v>0</v>
      </c>
      <c r="C55" s="129">
        <f>C53-C54</f>
        <v>0</v>
      </c>
      <c r="D55" s="130">
        <f>D53-D54</f>
        <v>0</v>
      </c>
      <c r="E55" s="131">
        <f>E53-E54</f>
        <v>-1.0400000028312206E-3</v>
      </c>
      <c r="F55" s="229"/>
      <c r="G55" s="229"/>
      <c r="H55" s="229"/>
      <c r="I55" s="229"/>
      <c r="J55" s="229"/>
      <c r="K55" s="229"/>
      <c r="L55" s="229"/>
      <c r="M55" s="288"/>
    </row>
    <row r="56" spans="1:17" ht="16.5" thickBot="1" x14ac:dyDescent="0.3">
      <c r="A56" s="5" t="s">
        <v>110</v>
      </c>
      <c r="B56" s="35">
        <f>B53/B54</f>
        <v>1</v>
      </c>
      <c r="C56" s="33">
        <f>C53/C54</f>
        <v>1</v>
      </c>
      <c r="D56" s="32">
        <f>D53/D54</f>
        <v>0.99999999999999978</v>
      </c>
      <c r="E56" s="31">
        <f>E53/E54</f>
        <v>0.99999999650894911</v>
      </c>
      <c r="F56" s="229"/>
      <c r="G56" s="229"/>
      <c r="H56" s="229"/>
      <c r="I56" s="229"/>
      <c r="J56" s="229"/>
      <c r="K56" s="229"/>
      <c r="L56" s="229"/>
      <c r="M56" s="288"/>
    </row>
    <row r="57" spans="1:17" ht="15.75" thickBot="1" x14ac:dyDescent="0.3">
      <c r="A57" s="282" t="s">
        <v>109</v>
      </c>
      <c r="B57" s="283"/>
      <c r="C57" s="283"/>
      <c r="D57" s="283"/>
      <c r="E57" s="284"/>
      <c r="F57" s="229"/>
      <c r="G57" s="229"/>
      <c r="H57" s="229"/>
      <c r="I57" s="229"/>
      <c r="J57" s="229"/>
      <c r="K57" s="229"/>
      <c r="L57" s="229"/>
      <c r="M57" s="288"/>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9"/>
      <c r="G58" s="229"/>
      <c r="H58" s="229"/>
      <c r="I58" s="229"/>
      <c r="J58" s="229"/>
      <c r="K58" s="229"/>
      <c r="L58" s="229"/>
      <c r="M58" s="288"/>
    </row>
    <row r="59" spans="1:17" ht="16.5" thickBot="1" x14ac:dyDescent="0.3">
      <c r="A59" s="5" t="e">
        <f t="shared" si="35"/>
        <v>#REF!</v>
      </c>
      <c r="B59" s="34">
        <f t="shared" si="36"/>
        <v>0</v>
      </c>
      <c r="C59" s="33">
        <f>(E36*B36)/($B$22*$E$22)</f>
        <v>0</v>
      </c>
      <c r="D59" s="32">
        <f t="shared" si="37"/>
        <v>0</v>
      </c>
      <c r="E59" s="31" t="e">
        <f t="shared" si="38"/>
        <v>#DIV/0!</v>
      </c>
      <c r="F59" s="229"/>
      <c r="G59" s="229"/>
      <c r="H59" s="229"/>
      <c r="I59" s="229"/>
      <c r="J59" s="229"/>
      <c r="K59" s="229"/>
      <c r="L59" s="229"/>
      <c r="M59" s="288"/>
    </row>
    <row r="60" spans="1:17" ht="16.5" thickBot="1" x14ac:dyDescent="0.3">
      <c r="A60" s="5" t="e">
        <f t="shared" si="35"/>
        <v>#REF!</v>
      </c>
      <c r="B60" s="34">
        <f t="shared" si="36"/>
        <v>0</v>
      </c>
      <c r="C60" s="33">
        <f>(E37*B37)/($B$22*$E$22)</f>
        <v>0</v>
      </c>
      <c r="D60" s="32">
        <f t="shared" si="37"/>
        <v>0</v>
      </c>
      <c r="E60" s="31" t="e">
        <f t="shared" si="38"/>
        <v>#DIV/0!</v>
      </c>
      <c r="F60" s="229"/>
      <c r="G60" s="229"/>
      <c r="H60" s="229"/>
      <c r="I60" s="229"/>
      <c r="J60" s="229"/>
      <c r="K60" s="229"/>
      <c r="L60" s="229"/>
      <c r="M60" s="288"/>
    </row>
    <row r="61" spans="1:17" ht="16.5" thickBot="1" x14ac:dyDescent="0.3">
      <c r="A61" s="5" t="e">
        <f t="shared" si="35"/>
        <v>#REF!</v>
      </c>
      <c r="B61" s="34">
        <f t="shared" si="36"/>
        <v>0</v>
      </c>
      <c r="C61" s="33">
        <f>($G$41*F38)/($B$22*$E$22)</f>
        <v>0</v>
      </c>
      <c r="D61" s="32">
        <f t="shared" si="37"/>
        <v>0</v>
      </c>
      <c r="E61" s="31" t="e">
        <f t="shared" si="38"/>
        <v>#DIV/0!</v>
      </c>
      <c r="F61" s="229"/>
      <c r="G61" s="229"/>
      <c r="H61" s="229"/>
      <c r="I61" s="229"/>
      <c r="J61" s="229"/>
      <c r="K61" s="229"/>
      <c r="L61" s="229"/>
      <c r="M61" s="288"/>
    </row>
    <row r="62" spans="1:17" ht="16.5" thickBot="1" x14ac:dyDescent="0.3">
      <c r="A62" s="5" t="e">
        <f t="shared" si="35"/>
        <v>#REF!</v>
      </c>
      <c r="B62" s="34">
        <f t="shared" si="36"/>
        <v>0</v>
      </c>
      <c r="C62" s="33">
        <f>(B39*E39)/($B$22*$E$22)</f>
        <v>0</v>
      </c>
      <c r="D62" s="32">
        <f t="shared" si="37"/>
        <v>0</v>
      </c>
      <c r="E62" s="31" t="e">
        <f t="shared" si="38"/>
        <v>#DIV/0!</v>
      </c>
      <c r="F62" s="229"/>
      <c r="G62" s="229"/>
      <c r="H62" s="229"/>
      <c r="I62" s="229"/>
      <c r="J62" s="229"/>
      <c r="K62" s="229"/>
      <c r="L62" s="229"/>
      <c r="M62" s="288"/>
    </row>
    <row r="63" spans="1:17" ht="16.5" thickBot="1" x14ac:dyDescent="0.3">
      <c r="A63" s="5">
        <f t="shared" si="35"/>
        <v>0</v>
      </c>
      <c r="B63" s="34">
        <f t="shared" si="36"/>
        <v>0</v>
      </c>
      <c r="C63" s="33">
        <f>(B40*E40)/($B$22*$E$22)</f>
        <v>0</v>
      </c>
      <c r="D63" s="32">
        <f t="shared" si="37"/>
        <v>0</v>
      </c>
      <c r="E63" s="31" t="e">
        <f t="shared" si="38"/>
        <v>#DIV/0!</v>
      </c>
      <c r="F63" s="229"/>
      <c r="G63" s="229"/>
      <c r="H63" s="229"/>
      <c r="I63" s="229"/>
      <c r="J63" s="229"/>
      <c r="K63" s="229"/>
      <c r="L63" s="229"/>
      <c r="M63" s="288"/>
    </row>
    <row r="64" spans="1:17" ht="16.5" thickBot="1" x14ac:dyDescent="0.3">
      <c r="A64" s="3" t="s">
        <v>108</v>
      </c>
      <c r="B64" s="124">
        <f>SUM(B58:B63)</f>
        <v>1</v>
      </c>
      <c r="C64" s="125">
        <f>SUM(C58:C63)</f>
        <v>1</v>
      </c>
      <c r="D64" s="126">
        <f>SUM(D58:D63)</f>
        <v>1.0000000000000002</v>
      </c>
      <c r="E64" s="127" t="e">
        <f>SUM(E58:E63)</f>
        <v>#DIV/0!</v>
      </c>
      <c r="F64" s="229"/>
      <c r="G64" s="229"/>
      <c r="H64" s="229"/>
      <c r="I64" s="229"/>
      <c r="J64" s="229"/>
      <c r="K64" s="229"/>
      <c r="L64" s="229"/>
      <c r="M64" s="288"/>
    </row>
    <row r="65" spans="1:13" ht="16.5" thickBot="1" x14ac:dyDescent="0.3">
      <c r="A65" s="246" t="s">
        <v>107</v>
      </c>
      <c r="B65" s="247"/>
      <c r="C65" s="247"/>
      <c r="D65" s="247"/>
      <c r="E65" s="247"/>
      <c r="F65" s="247"/>
      <c r="G65" s="247"/>
      <c r="H65" s="247"/>
      <c r="I65" s="247"/>
      <c r="J65" s="247"/>
      <c r="K65" s="247"/>
      <c r="L65" s="247"/>
      <c r="M65" s="248"/>
    </row>
    <row r="66" spans="1:13" x14ac:dyDescent="0.25">
      <c r="A66" s="4" t="s">
        <v>106</v>
      </c>
      <c r="B66" s="289" t="s">
        <v>105</v>
      </c>
      <c r="C66" s="289"/>
      <c r="D66" s="289"/>
      <c r="E66" s="289"/>
      <c r="F66" s="289"/>
      <c r="G66" s="4" t="s">
        <v>104</v>
      </c>
      <c r="M66" s="25"/>
    </row>
    <row r="67" spans="1:13" ht="18.75" customHeight="1" x14ac:dyDescent="0.25">
      <c r="A67" s="4" t="s">
        <v>103</v>
      </c>
      <c r="B67" s="229" t="s">
        <v>90</v>
      </c>
      <c r="C67" s="229"/>
      <c r="D67" s="229"/>
      <c r="E67" s="229"/>
      <c r="F67" s="229"/>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9</vt:i4>
      </vt:variant>
    </vt:vector>
  </HeadingPairs>
  <TitlesOfParts>
    <vt:vector size="29" baseType="lpstr">
      <vt:lpstr>BioDYM_README</vt:lpstr>
      <vt:lpstr>0_Configuration</vt:lpstr>
      <vt:lpstr>bioDYM_Aspects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2025-11-17T16:07:13Z</dcterms:modified>
</cp:coreProperties>
</file>