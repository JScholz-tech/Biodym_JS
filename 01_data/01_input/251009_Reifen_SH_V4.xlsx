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0A04D418-CB43-4433-805C-81AE0DC88DD9}" xr6:coauthVersionLast="47" xr6:coauthVersionMax="47" xr10:uidLastSave="{00000000-0000-0000-0000-000000000000}"/>
  <bookViews>
    <workbookView xWindow="-120" yWindow="-120" windowWidth="38640" windowHeight="21120" tabRatio="840" firstSheet="6" activeTab="9" xr2:uid="{00000000-000D-0000-FFFF-FFFF00000000}"/>
  </bookViews>
  <sheets>
    <sheet name="0_ReadMe" sheetId="1" r:id="rId1"/>
    <sheet name="0_Configuration" sheetId="40" r:id="rId2"/>
    <sheet name="1_1_Definition_Flows" sheetId="15" r:id="rId3"/>
    <sheet name="1_2_Data_Flows" sheetId="2" r:id="rId4"/>
    <sheet name="2_1_Definition_Processes" sheetId="16" r:id="rId5"/>
    <sheet name="2_3_static_TCs" sheetId="39" r:id="rId6"/>
    <sheet name="2_4_dynamic_TCs" sheetId="33" r:id="rId7"/>
    <sheet name="2_5_Initial_Stock" sheetId="21" r:id="rId8"/>
    <sheet name="3_1_Definition_DSM" sheetId="35" r:id="rId9"/>
    <sheet name="3_2_Definition_FOMP" sheetId="37" r:id="rId10"/>
    <sheet name="5_1_Scenario_Manager" sheetId="42" r:id="rId11"/>
    <sheet name="4_1_Uncertainty_Parameters" sheetId="38" r:id="rId12"/>
    <sheet name="6_1_Visualization_Processes" sheetId="44" r:id="rId13"/>
    <sheet name="6_2_Visualization_Flows" sheetId="46" r:id="rId14"/>
    <sheet name="6_3_Layout_Configuration" sheetId="47" r:id="rId15"/>
    <sheet name="6_4_CL_Visualisation" sheetId="45" r:id="rId16"/>
    <sheet name="PX - Template" sheetId="27" r:id="rId17"/>
    <sheet name="4_1 Codelists" sheetId="17" r:id="rId18"/>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6">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5" l="1"/>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2" i="35"/>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2" i="21"/>
  <c r="E3" i="37"/>
  <c r="E4" i="37"/>
  <c r="E5" i="37"/>
  <c r="E6" i="37"/>
  <c r="E7" i="37"/>
  <c r="E8" i="37"/>
  <c r="E9" i="37"/>
  <c r="E10" i="37"/>
  <c r="E11" i="37"/>
  <c r="E12" i="37"/>
  <c r="E13" i="37"/>
  <c r="E14" i="37"/>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2" i="37"/>
  <c r="E3" i="35"/>
  <c r="E4" i="35"/>
  <c r="E5" i="35"/>
  <c r="E6" i="35"/>
  <c r="E7" i="35"/>
  <c r="E8" i="35"/>
  <c r="E9" i="35"/>
  <c r="E10" i="35"/>
  <c r="E11" i="35"/>
  <c r="E12" i="35"/>
  <c r="E13" i="35"/>
  <c r="E14" i="35"/>
  <c r="E15" i="35"/>
  <c r="E16" i="35"/>
  <c r="E17" i="35"/>
  <c r="E18" i="35"/>
  <c r="E19" i="35"/>
  <c r="E20" i="35"/>
  <c r="E21" i="35"/>
  <c r="E22" i="35"/>
  <c r="E23" i="35"/>
  <c r="E24" i="35"/>
  <c r="E25" i="35"/>
  <c r="E26" i="35"/>
  <c r="E27" i="35"/>
  <c r="E28" i="35"/>
  <c r="E29" i="35"/>
  <c r="E30" i="35"/>
  <c r="E31" i="35"/>
  <c r="E32" i="35"/>
  <c r="E33" i="35"/>
  <c r="E34" i="35"/>
  <c r="E35" i="35"/>
  <c r="E36" i="35"/>
  <c r="E37" i="35"/>
  <c r="E38" i="35"/>
  <c r="E39" i="35"/>
  <c r="E40" i="35"/>
  <c r="E41" i="35"/>
  <c r="E42" i="35"/>
  <c r="E43" i="35"/>
  <c r="E44" i="35"/>
  <c r="E45" i="35"/>
  <c r="E46" i="35"/>
  <c r="E47" i="35"/>
  <c r="E48" i="35"/>
  <c r="E49" i="35"/>
  <c r="E50" i="35"/>
  <c r="E51" i="35"/>
  <c r="E2" i="35"/>
  <c r="L3" i="35"/>
  <c r="L4" i="35"/>
  <c r="L5" i="35"/>
  <c r="L6" i="35"/>
  <c r="L7" i="35"/>
  <c r="L8" i="35"/>
  <c r="L9" i="35"/>
  <c r="L10" i="35"/>
  <c r="L11" i="35"/>
  <c r="L12" i="35"/>
  <c r="L13" i="35"/>
  <c r="L14" i="35"/>
  <c r="L15" i="35"/>
  <c r="L16" i="35"/>
  <c r="L17" i="35"/>
  <c r="L18" i="35"/>
  <c r="L19" i="35"/>
  <c r="L20" i="35"/>
  <c r="L21" i="35"/>
  <c r="L22" i="35"/>
  <c r="L23" i="35"/>
  <c r="L24" i="35"/>
  <c r="L25" i="35"/>
  <c r="L26" i="35"/>
  <c r="L27" i="35"/>
  <c r="L28" i="35"/>
  <c r="L29" i="35"/>
  <c r="L30" i="35"/>
  <c r="L31" i="35"/>
  <c r="L32" i="35"/>
  <c r="L33" i="35"/>
  <c r="L34" i="35"/>
  <c r="L35" i="35"/>
  <c r="L36" i="35"/>
  <c r="L37" i="35"/>
  <c r="L38" i="35"/>
  <c r="L39" i="35"/>
  <c r="L40" i="35"/>
  <c r="L41" i="35"/>
  <c r="L42" i="35"/>
  <c r="L43" i="35"/>
  <c r="L44" i="35"/>
  <c r="L45" i="35"/>
  <c r="L46" i="35"/>
  <c r="L47" i="35"/>
  <c r="L48" i="35"/>
  <c r="L49" i="35"/>
  <c r="L50" i="35"/>
  <c r="L51" i="35"/>
  <c r="L2" i="35"/>
  <c r="B19" i="33"/>
  <c r="C19" i="33"/>
  <c r="R19" i="33"/>
  <c r="T19" i="33" s="1"/>
  <c r="V19" i="33"/>
  <c r="B20" i="33"/>
  <c r="C20" i="33"/>
  <c r="R20" i="33"/>
  <c r="T20" i="33" s="1"/>
  <c r="V20" i="33"/>
  <c r="A6" i="42"/>
  <c r="A7" i="42"/>
  <c r="A8" i="42"/>
  <c r="A9" i="42"/>
  <c r="A10" i="42"/>
  <c r="A11" i="42"/>
  <c r="A12" i="42"/>
  <c r="A13" i="42"/>
  <c r="A14" i="42"/>
  <c r="A15" i="42"/>
  <c r="B3" i="39"/>
  <c r="C3" i="39"/>
  <c r="E3" i="39"/>
  <c r="F3" i="39"/>
  <c r="G3" i="39"/>
  <c r="H3" i="39"/>
  <c r="B4" i="39"/>
  <c r="C4" i="39"/>
  <c r="E4" i="39"/>
  <c r="F4" i="39"/>
  <c r="G4" i="39"/>
  <c r="H4" i="39"/>
  <c r="B5" i="39"/>
  <c r="C5" i="39"/>
  <c r="E5" i="39"/>
  <c r="F5" i="39"/>
  <c r="G5" i="39"/>
  <c r="H5" i="39"/>
  <c r="B8" i="39"/>
  <c r="C8" i="39"/>
  <c r="E8" i="39"/>
  <c r="G20" i="33" s="1"/>
  <c r="F8" i="39"/>
  <c r="F20" i="33" s="1"/>
  <c r="G8" i="39"/>
  <c r="H8" i="39"/>
  <c r="B9" i="39"/>
  <c r="C9" i="39"/>
  <c r="E9" i="39"/>
  <c r="F9" i="39"/>
  <c r="G9" i="39"/>
  <c r="H9" i="39"/>
  <c r="B2" i="39"/>
  <c r="C2" i="39"/>
  <c r="E2" i="39"/>
  <c r="F2" i="39"/>
  <c r="G2" i="39"/>
  <c r="H2" i="39"/>
  <c r="A4" i="42"/>
  <c r="A5" i="42"/>
  <c r="A16" i="42"/>
  <c r="A17" i="42"/>
  <c r="U5" i="15"/>
  <c r="U6" i="15"/>
  <c r="G19" i="33" l="1"/>
  <c r="F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U12" i="2"/>
  <c r="B6" i="15"/>
  <c r="C70" i="15"/>
  <c r="B5" i="15"/>
  <c r="B304" i="2" l="1"/>
  <c r="AF304" i="2" s="1"/>
  <c r="H19" i="33"/>
  <c r="H20" i="33"/>
  <c r="L70" i="15"/>
  <c r="O70" i="15"/>
  <c r="R70" i="15"/>
  <c r="X304" i="2" l="1"/>
  <c r="T304" i="2"/>
  <c r="AB304" i="2"/>
  <c r="P20" i="33"/>
  <c r="S20" i="33"/>
  <c r="L20" i="33"/>
  <c r="J20" i="33"/>
  <c r="N20" i="33"/>
  <c r="P19" i="33"/>
  <c r="L19" i="33"/>
  <c r="N19" i="33"/>
  <c r="J19" i="33"/>
  <c r="S19" i="33"/>
  <c r="B13" i="39"/>
  <c r="C13" i="39"/>
  <c r="E13" i="39"/>
  <c r="F13" i="39"/>
  <c r="G13" i="39"/>
  <c r="H13"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D304" i="2" l="1"/>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G11" i="33" l="1"/>
  <c r="G12" i="33"/>
  <c r="G13" i="33"/>
  <c r="G14" i="33"/>
  <c r="G15" i="33"/>
  <c r="G16" i="33"/>
  <c r="G17" i="33"/>
  <c r="G18"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E6" i="39"/>
  <c r="E7" i="39"/>
  <c r="G21" i="33"/>
  <c r="E10" i="39"/>
  <c r="E11" i="39"/>
  <c r="E12"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G4" i="33" l="1"/>
  <c r="G22" i="33"/>
  <c r="G7" i="33"/>
  <c r="G6" i="33"/>
  <c r="G10" i="33"/>
  <c r="G9" i="33"/>
  <c r="G2" i="33"/>
  <c r="G8" i="33"/>
  <c r="G5" i="33"/>
  <c r="G3" i="33"/>
  <c r="C13" i="44" l="1"/>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H2" i="37" l="1"/>
  <c r="H3" i="37"/>
  <c r="H4" i="37"/>
  <c r="H5" i="37"/>
  <c r="H6"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C44" i="27"/>
  <c r="F44" i="27"/>
  <c r="R35" i="27"/>
  <c r="F35" i="27"/>
  <c r="C25" i="27"/>
  <c r="V24" i="27"/>
  <c r="B35" i="27"/>
  <c r="V15" i="27"/>
  <c r="V14" i="27"/>
  <c r="A18" i="42" l="1"/>
  <c r="A3" i="42"/>
  <c r="A2" i="42"/>
  <c r="A10" i="38" l="1"/>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H6" i="39"/>
  <c r="H7" i="39"/>
  <c r="H10" i="39"/>
  <c r="H11" i="39"/>
  <c r="H12"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G50" i="39"/>
  <c r="F50" i="39"/>
  <c r="C50" i="39"/>
  <c r="B50" i="39"/>
  <c r="G49" i="39"/>
  <c r="F49" i="39"/>
  <c r="C49" i="39"/>
  <c r="B49" i="39"/>
  <c r="G48" i="39"/>
  <c r="F48" i="39"/>
  <c r="C48" i="39"/>
  <c r="B48" i="39"/>
  <c r="G47" i="39"/>
  <c r="F47" i="39"/>
  <c r="C47" i="39"/>
  <c r="B47" i="39"/>
  <c r="G46" i="39"/>
  <c r="F46" i="39"/>
  <c r="C46" i="39"/>
  <c r="B46" i="39"/>
  <c r="G45" i="39"/>
  <c r="F45" i="39"/>
  <c r="C45" i="39"/>
  <c r="B45" i="39"/>
  <c r="G44" i="39"/>
  <c r="F44" i="39"/>
  <c r="C44" i="39"/>
  <c r="B44" i="39"/>
  <c r="G43" i="39"/>
  <c r="F43" i="39"/>
  <c r="C43" i="39"/>
  <c r="B43" i="39"/>
  <c r="G42" i="39"/>
  <c r="F42" i="39"/>
  <c r="C42" i="39"/>
  <c r="B42" i="39"/>
  <c r="G41" i="39"/>
  <c r="F41" i="39"/>
  <c r="C41" i="39"/>
  <c r="B41" i="39"/>
  <c r="G40" i="39"/>
  <c r="F40" i="39"/>
  <c r="C40" i="39"/>
  <c r="B40" i="39"/>
  <c r="G39" i="39"/>
  <c r="F39" i="39"/>
  <c r="C39" i="39"/>
  <c r="B39" i="39"/>
  <c r="G38" i="39"/>
  <c r="F38" i="39"/>
  <c r="C38" i="39"/>
  <c r="B38" i="39"/>
  <c r="G37" i="39"/>
  <c r="F37" i="39"/>
  <c r="C37" i="39"/>
  <c r="B37" i="39"/>
  <c r="G36" i="39"/>
  <c r="F36" i="39"/>
  <c r="C36" i="39"/>
  <c r="B36" i="39"/>
  <c r="G35" i="39"/>
  <c r="F35" i="39"/>
  <c r="C35" i="39"/>
  <c r="B35" i="39"/>
  <c r="G34" i="39"/>
  <c r="F34" i="39"/>
  <c r="C34" i="39"/>
  <c r="B34" i="39"/>
  <c r="G33" i="39"/>
  <c r="F33" i="39"/>
  <c r="C33" i="39"/>
  <c r="B33" i="39"/>
  <c r="G32" i="39"/>
  <c r="F32" i="39"/>
  <c r="C32" i="39"/>
  <c r="B32" i="39"/>
  <c r="G31" i="39"/>
  <c r="F31" i="39"/>
  <c r="C31" i="39"/>
  <c r="B31" i="39"/>
  <c r="G30" i="39"/>
  <c r="F30" i="39"/>
  <c r="C30" i="39"/>
  <c r="B30" i="39"/>
  <c r="G29" i="39"/>
  <c r="F29" i="39"/>
  <c r="C29" i="39"/>
  <c r="B29" i="39"/>
  <c r="G28" i="39"/>
  <c r="F28" i="39"/>
  <c r="C28" i="39"/>
  <c r="B28" i="39"/>
  <c r="G27" i="39"/>
  <c r="F27" i="39"/>
  <c r="C27" i="39"/>
  <c r="B27" i="39"/>
  <c r="G26" i="39"/>
  <c r="F26" i="39"/>
  <c r="C26" i="39"/>
  <c r="B26" i="39"/>
  <c r="G25" i="39"/>
  <c r="F25" i="39"/>
  <c r="C25" i="39"/>
  <c r="B25" i="39"/>
  <c r="G24" i="39"/>
  <c r="F24" i="39"/>
  <c r="C24" i="39"/>
  <c r="B24" i="39"/>
  <c r="G23" i="39"/>
  <c r="F23" i="39"/>
  <c r="C23" i="39"/>
  <c r="B23" i="39"/>
  <c r="G22" i="39"/>
  <c r="F22" i="39"/>
  <c r="C22" i="39"/>
  <c r="B22" i="39"/>
  <c r="G21" i="39"/>
  <c r="F21" i="39"/>
  <c r="C21" i="39"/>
  <c r="B21" i="39"/>
  <c r="G20" i="39"/>
  <c r="F20" i="39"/>
  <c r="C20" i="39"/>
  <c r="B20" i="39"/>
  <c r="G19" i="39"/>
  <c r="F19" i="39"/>
  <c r="C19" i="39"/>
  <c r="B19" i="39"/>
  <c r="G18" i="39"/>
  <c r="F18" i="39"/>
  <c r="C18" i="39"/>
  <c r="B18" i="39"/>
  <c r="G17" i="39"/>
  <c r="F17" i="39"/>
  <c r="C17" i="39"/>
  <c r="B17" i="39"/>
  <c r="G16" i="39"/>
  <c r="F16" i="39"/>
  <c r="C16" i="39"/>
  <c r="B16" i="39"/>
  <c r="G15" i="39"/>
  <c r="F15" i="39"/>
  <c r="C15" i="39"/>
  <c r="B15" i="39"/>
  <c r="G14" i="39"/>
  <c r="F14" i="39"/>
  <c r="C14" i="39"/>
  <c r="B14" i="39"/>
  <c r="G12" i="39"/>
  <c r="F12" i="39"/>
  <c r="C12" i="39"/>
  <c r="B12" i="39"/>
  <c r="G11" i="39"/>
  <c r="F11" i="39"/>
  <c r="C11" i="39"/>
  <c r="B11" i="39"/>
  <c r="G10" i="39"/>
  <c r="F10" i="39"/>
  <c r="C10" i="39"/>
  <c r="B10" i="39"/>
  <c r="G7" i="39"/>
  <c r="F7" i="39"/>
  <c r="C7" i="39"/>
  <c r="B7" i="39"/>
  <c r="G6" i="39"/>
  <c r="F6" i="39"/>
  <c r="C6" i="39"/>
  <c r="B6" i="39"/>
  <c r="G41" i="37"/>
  <c r="F41" i="37"/>
  <c r="C41" i="37"/>
  <c r="K41" i="37" s="1"/>
  <c r="B41" i="37"/>
  <c r="G40" i="37"/>
  <c r="F40" i="37"/>
  <c r="C40" i="37"/>
  <c r="K40" i="37" s="1"/>
  <c r="B40" i="37"/>
  <c r="G39" i="37"/>
  <c r="F39" i="37"/>
  <c r="C39" i="37"/>
  <c r="K39" i="37" s="1"/>
  <c r="B39" i="37"/>
  <c r="G38" i="37"/>
  <c r="F38" i="37"/>
  <c r="C38" i="37"/>
  <c r="K38" i="37" s="1"/>
  <c r="B38" i="37"/>
  <c r="G37" i="37"/>
  <c r="F37" i="37"/>
  <c r="C37" i="37"/>
  <c r="K37" i="37" s="1"/>
  <c r="B37" i="37"/>
  <c r="G36" i="37"/>
  <c r="F36" i="37"/>
  <c r="C36" i="37"/>
  <c r="K36" i="37" s="1"/>
  <c r="B36" i="37"/>
  <c r="G35" i="37"/>
  <c r="F35" i="37"/>
  <c r="C35" i="37"/>
  <c r="K35" i="37" s="1"/>
  <c r="B35" i="37"/>
  <c r="G34" i="37"/>
  <c r="F34" i="37"/>
  <c r="C34" i="37"/>
  <c r="K34" i="37" s="1"/>
  <c r="B34" i="37"/>
  <c r="G33" i="37"/>
  <c r="F33" i="37"/>
  <c r="C33" i="37"/>
  <c r="K33" i="37" s="1"/>
  <c r="B33" i="37"/>
  <c r="G32" i="37"/>
  <c r="F32" i="37"/>
  <c r="C32" i="37"/>
  <c r="K32" i="37" s="1"/>
  <c r="B32" i="37"/>
  <c r="G31" i="37"/>
  <c r="F31" i="37"/>
  <c r="C31" i="37"/>
  <c r="K31" i="37" s="1"/>
  <c r="B31" i="37"/>
  <c r="G30" i="37"/>
  <c r="F30" i="37"/>
  <c r="C30" i="37"/>
  <c r="K30" i="37" s="1"/>
  <c r="B30" i="37"/>
  <c r="G29" i="37"/>
  <c r="F29" i="37"/>
  <c r="C29" i="37"/>
  <c r="K29" i="37" s="1"/>
  <c r="B29" i="37"/>
  <c r="G28" i="37"/>
  <c r="F28" i="37"/>
  <c r="C28" i="37"/>
  <c r="K28" i="37" s="1"/>
  <c r="B28" i="37"/>
  <c r="G27" i="37"/>
  <c r="F27" i="37"/>
  <c r="C27" i="37"/>
  <c r="K27" i="37" s="1"/>
  <c r="B27" i="37"/>
  <c r="G26" i="37"/>
  <c r="F26" i="37"/>
  <c r="C26" i="37"/>
  <c r="K26" i="37" s="1"/>
  <c r="B26" i="37"/>
  <c r="G25" i="37"/>
  <c r="F25" i="37"/>
  <c r="C25" i="37"/>
  <c r="K25" i="37" s="1"/>
  <c r="B25" i="37"/>
  <c r="G24" i="37"/>
  <c r="F24" i="37"/>
  <c r="C24" i="37"/>
  <c r="K24" i="37" s="1"/>
  <c r="B24" i="37"/>
  <c r="G23" i="37"/>
  <c r="F23" i="37"/>
  <c r="C23" i="37"/>
  <c r="K23" i="37" s="1"/>
  <c r="B23" i="37"/>
  <c r="G22" i="37"/>
  <c r="F22" i="37"/>
  <c r="C22" i="37"/>
  <c r="K22" i="37" s="1"/>
  <c r="B22" i="37"/>
  <c r="G21" i="37"/>
  <c r="F21" i="37"/>
  <c r="C21" i="37"/>
  <c r="K21" i="37" s="1"/>
  <c r="B21" i="37"/>
  <c r="G20" i="37"/>
  <c r="F20" i="37"/>
  <c r="C20" i="37"/>
  <c r="K20" i="37" s="1"/>
  <c r="B20" i="37"/>
  <c r="G19" i="37"/>
  <c r="F19" i="37"/>
  <c r="B19" i="37"/>
  <c r="G18" i="37"/>
  <c r="F18" i="37"/>
  <c r="B18" i="37"/>
  <c r="G17" i="37"/>
  <c r="F17" i="37"/>
  <c r="B17" i="37"/>
  <c r="G16" i="37"/>
  <c r="F16" i="37"/>
  <c r="B16" i="37"/>
  <c r="G15" i="37"/>
  <c r="F15" i="37"/>
  <c r="B15" i="37"/>
  <c r="G14" i="37"/>
  <c r="F14" i="37"/>
  <c r="B14" i="37"/>
  <c r="G13" i="37"/>
  <c r="F13" i="37"/>
  <c r="B13" i="37"/>
  <c r="G12" i="37"/>
  <c r="F12" i="37"/>
  <c r="B12" i="37"/>
  <c r="G11" i="37"/>
  <c r="F11" i="37"/>
  <c r="B11" i="37"/>
  <c r="G10" i="37"/>
  <c r="F10" i="37"/>
  <c r="B10" i="37"/>
  <c r="G9" i="37"/>
  <c r="F9" i="37"/>
  <c r="B9" i="37"/>
  <c r="G8" i="37"/>
  <c r="F8" i="37"/>
  <c r="B8" i="37"/>
  <c r="G7" i="37"/>
  <c r="F7" i="37"/>
  <c r="B7" i="37"/>
  <c r="G6" i="37"/>
  <c r="F6" i="37"/>
  <c r="B6" i="37"/>
  <c r="G5" i="37"/>
  <c r="F5" i="37"/>
  <c r="B5" i="37"/>
  <c r="G4" i="37"/>
  <c r="F4" i="37"/>
  <c r="B4" i="37"/>
  <c r="G3" i="37"/>
  <c r="F3" i="37"/>
  <c r="B3" i="37"/>
  <c r="G2" i="37"/>
  <c r="F2" i="37"/>
  <c r="B2" i="37"/>
  <c r="J3" i="35"/>
  <c r="J4" i="35"/>
  <c r="J5"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2" i="35"/>
  <c r="G51" i="35"/>
  <c r="F51" i="35"/>
  <c r="C51" i="35"/>
  <c r="B51" i="35"/>
  <c r="G50" i="35"/>
  <c r="F50" i="35"/>
  <c r="C50" i="35"/>
  <c r="B50" i="35"/>
  <c r="G49" i="35"/>
  <c r="F49" i="35"/>
  <c r="C49" i="35"/>
  <c r="B49" i="35"/>
  <c r="G48" i="35"/>
  <c r="F48" i="35"/>
  <c r="C48" i="35"/>
  <c r="B48" i="35"/>
  <c r="G47" i="35"/>
  <c r="F47" i="35"/>
  <c r="C47" i="35"/>
  <c r="B47" i="35"/>
  <c r="G46" i="35"/>
  <c r="F46" i="35"/>
  <c r="C46" i="35"/>
  <c r="B46" i="35"/>
  <c r="G45" i="35"/>
  <c r="F45" i="35"/>
  <c r="C45" i="35"/>
  <c r="B45" i="35"/>
  <c r="G44" i="35"/>
  <c r="F44" i="35"/>
  <c r="C44" i="35"/>
  <c r="B44" i="35"/>
  <c r="G43" i="35"/>
  <c r="F43" i="35"/>
  <c r="C43" i="35"/>
  <c r="B43" i="35"/>
  <c r="G42" i="35"/>
  <c r="F42" i="35"/>
  <c r="C42" i="35"/>
  <c r="B42" i="35"/>
  <c r="G41" i="35"/>
  <c r="F41" i="35"/>
  <c r="C41" i="35"/>
  <c r="B41" i="35"/>
  <c r="G40" i="35"/>
  <c r="F40" i="35"/>
  <c r="C40" i="35"/>
  <c r="B40" i="35"/>
  <c r="G39" i="35"/>
  <c r="F39" i="35"/>
  <c r="C39" i="35"/>
  <c r="B39" i="35"/>
  <c r="G38" i="35"/>
  <c r="F38" i="35"/>
  <c r="C38" i="35"/>
  <c r="B38" i="35"/>
  <c r="G37" i="35"/>
  <c r="F37" i="35"/>
  <c r="C37" i="35"/>
  <c r="B37" i="35"/>
  <c r="G36" i="35"/>
  <c r="F36" i="35"/>
  <c r="C36" i="35"/>
  <c r="B36" i="35"/>
  <c r="G35" i="35"/>
  <c r="F35" i="35"/>
  <c r="C35" i="35"/>
  <c r="B35" i="35"/>
  <c r="G34" i="35"/>
  <c r="F34" i="35"/>
  <c r="C34" i="35"/>
  <c r="B34" i="35"/>
  <c r="G33" i="35"/>
  <c r="F33" i="35"/>
  <c r="C33" i="35"/>
  <c r="B33" i="35"/>
  <c r="G32" i="35"/>
  <c r="F32" i="35"/>
  <c r="C32" i="35"/>
  <c r="B32" i="35"/>
  <c r="G31" i="35"/>
  <c r="F31" i="35"/>
  <c r="C31" i="35"/>
  <c r="B31" i="35"/>
  <c r="G30" i="35"/>
  <c r="F30" i="35"/>
  <c r="C30" i="35"/>
  <c r="B30" i="35"/>
  <c r="G29" i="35"/>
  <c r="F29" i="35"/>
  <c r="C29" i="35"/>
  <c r="B29" i="35"/>
  <c r="G28" i="35"/>
  <c r="F28" i="35"/>
  <c r="B28" i="35"/>
  <c r="G27" i="35"/>
  <c r="F27" i="35"/>
  <c r="B27" i="35"/>
  <c r="G26" i="35"/>
  <c r="F26" i="35"/>
  <c r="B26" i="35"/>
  <c r="G25" i="35"/>
  <c r="F25" i="35"/>
  <c r="B25" i="35"/>
  <c r="G24" i="35"/>
  <c r="F24" i="35"/>
  <c r="B24" i="35"/>
  <c r="G23" i="35"/>
  <c r="F23" i="35"/>
  <c r="B23" i="35"/>
  <c r="G22" i="35"/>
  <c r="F22" i="35"/>
  <c r="B22" i="35"/>
  <c r="G21" i="35"/>
  <c r="F21" i="35"/>
  <c r="B21" i="35"/>
  <c r="G20" i="35"/>
  <c r="F20" i="35"/>
  <c r="B20" i="35"/>
  <c r="G19" i="35"/>
  <c r="F19" i="35"/>
  <c r="B19" i="35"/>
  <c r="G18" i="35"/>
  <c r="F18" i="35"/>
  <c r="B18" i="35"/>
  <c r="G17" i="35"/>
  <c r="F17" i="35"/>
  <c r="B17" i="35"/>
  <c r="G16" i="35"/>
  <c r="F16" i="35"/>
  <c r="B16" i="35"/>
  <c r="G15" i="35"/>
  <c r="F15" i="35"/>
  <c r="B15" i="35"/>
  <c r="G14" i="35"/>
  <c r="F14" i="35"/>
  <c r="B14" i="35"/>
  <c r="G13" i="35"/>
  <c r="F13" i="35"/>
  <c r="B13" i="35"/>
  <c r="G12" i="35"/>
  <c r="F12" i="35"/>
  <c r="B12" i="35"/>
  <c r="G11" i="35"/>
  <c r="F11" i="35"/>
  <c r="B11" i="35"/>
  <c r="G10" i="35"/>
  <c r="F10" i="35"/>
  <c r="B10" i="35"/>
  <c r="G9" i="35"/>
  <c r="F9" i="35"/>
  <c r="B9" i="35"/>
  <c r="G8" i="35"/>
  <c r="F8" i="35"/>
  <c r="B8" i="35"/>
  <c r="G7" i="35"/>
  <c r="F7" i="35"/>
  <c r="B7" i="35"/>
  <c r="G6" i="35"/>
  <c r="F6" i="35"/>
  <c r="B6" i="35"/>
  <c r="G5" i="35"/>
  <c r="F5" i="35"/>
  <c r="B5" i="35"/>
  <c r="G4" i="35"/>
  <c r="F4" i="35"/>
  <c r="B4" i="35"/>
  <c r="G3" i="35"/>
  <c r="F3" i="35"/>
  <c r="B3" i="35"/>
  <c r="G2" i="35"/>
  <c r="F2" i="35"/>
  <c r="B2" i="35"/>
  <c r="C3" i="16"/>
  <c r="C25" i="35" s="1"/>
  <c r="C4" i="16"/>
  <c r="C5" i="16"/>
  <c r="C6" i="16"/>
  <c r="C7" i="37"/>
  <c r="K7" i="37" s="1"/>
  <c r="C7" i="16"/>
  <c r="C8" i="16"/>
  <c r="C9" i="16"/>
  <c r="C10" i="16"/>
  <c r="C6" i="37" s="1"/>
  <c r="K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2" i="21"/>
  <c r="H2" i="21"/>
  <c r="U4" i="15"/>
  <c r="U2" i="15"/>
  <c r="U3" i="15"/>
  <c r="U7" i="15"/>
  <c r="B2" i="15"/>
  <c r="C18" i="35" l="1"/>
  <c r="C14" i="35"/>
  <c r="C26" i="35"/>
  <c r="C3" i="35"/>
  <c r="C9" i="35"/>
  <c r="C15" i="35"/>
  <c r="C17" i="35"/>
  <c r="C21" i="35"/>
  <c r="C19" i="35"/>
  <c r="C27" i="35"/>
  <c r="C6" i="35"/>
  <c r="C16" i="35"/>
  <c r="C28" i="35"/>
  <c r="C11" i="35"/>
  <c r="C23" i="35"/>
  <c r="C13" i="35"/>
  <c r="F3" i="15"/>
  <c r="D2" i="21"/>
  <c r="C20" i="35"/>
  <c r="C10" i="35"/>
  <c r="C22" i="35"/>
  <c r="C12" i="35"/>
  <c r="C24" i="35"/>
  <c r="F7" i="33"/>
  <c r="F6" i="33"/>
  <c r="F8" i="33"/>
  <c r="F9" i="33"/>
  <c r="F14" i="15"/>
  <c r="C11" i="37"/>
  <c r="K11" i="37" s="1"/>
  <c r="H5" i="15"/>
  <c r="F4" i="15"/>
  <c r="F6" i="15"/>
  <c r="F5" i="15"/>
  <c r="C19" i="37"/>
  <c r="K19" i="37" s="1"/>
  <c r="H6" i="15"/>
  <c r="C10" i="37"/>
  <c r="K10" i="37" s="1"/>
  <c r="C14" i="37"/>
  <c r="K14" i="37" s="1"/>
  <c r="C18" i="37"/>
  <c r="K18" i="37" s="1"/>
  <c r="C9" i="37"/>
  <c r="K9" i="37" s="1"/>
  <c r="C13" i="37"/>
  <c r="K13" i="37" s="1"/>
  <c r="C17" i="37"/>
  <c r="K17" i="37" s="1"/>
  <c r="H13" i="15"/>
  <c r="C8" i="37"/>
  <c r="K8" i="37" s="1"/>
  <c r="C12" i="37"/>
  <c r="K12" i="37" s="1"/>
  <c r="C16" i="37"/>
  <c r="K16" i="37" s="1"/>
  <c r="C15" i="37"/>
  <c r="K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C5" i="37"/>
  <c r="K5" i="37" s="1"/>
  <c r="C4" i="37"/>
  <c r="K4" i="37" s="1"/>
  <c r="C13" i="33"/>
  <c r="F13" i="33"/>
  <c r="F2" i="33"/>
  <c r="F3" i="33"/>
  <c r="F4" i="33"/>
  <c r="F5" i="33"/>
  <c r="F10" i="33"/>
  <c r="F14" i="33"/>
  <c r="F15" i="33"/>
  <c r="F16" i="33"/>
  <c r="F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F30" i="33"/>
  <c r="F42" i="33"/>
  <c r="F54" i="33"/>
  <c r="F66" i="33"/>
  <c r="F78" i="33"/>
  <c r="F90" i="33"/>
  <c r="F102" i="33"/>
  <c r="F114" i="33"/>
  <c r="F126" i="33"/>
  <c r="F138" i="33"/>
  <c r="F31" i="33"/>
  <c r="F139"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43" i="33"/>
  <c r="F55" i="33"/>
  <c r="F67" i="33"/>
  <c r="F79" i="33"/>
  <c r="F91" i="33"/>
  <c r="F103" i="33"/>
  <c r="F115" i="33"/>
  <c r="F127" i="33"/>
  <c r="C2" i="33"/>
  <c r="C3" i="33"/>
  <c r="C4" i="33"/>
  <c r="C5" i="33"/>
  <c r="C6" i="33"/>
  <c r="C7" i="33"/>
  <c r="C8" i="33"/>
  <c r="C9" i="33"/>
  <c r="C10" i="33"/>
  <c r="C15" i="33"/>
  <c r="C14" i="33"/>
  <c r="C16" i="33"/>
  <c r="C17" i="33"/>
  <c r="F11" i="33"/>
  <c r="F12" i="33"/>
  <c r="F18" i="33"/>
  <c r="F21" i="33"/>
  <c r="F22" i="33"/>
  <c r="C11" i="33"/>
  <c r="C12" i="33"/>
  <c r="C18" i="33"/>
  <c r="C21" i="33"/>
  <c r="C22" i="33"/>
  <c r="C8" i="35"/>
  <c r="C7" i="35"/>
  <c r="C3" i="37"/>
  <c r="K3" i="37" s="1"/>
  <c r="C2" i="37"/>
  <c r="K2" i="37" s="1"/>
  <c r="C4" i="35"/>
  <c r="C2" i="35"/>
  <c r="C5" i="35"/>
  <c r="B138" i="33"/>
  <c r="V138" i="33"/>
  <c r="B139" i="33"/>
  <c r="V139" i="33"/>
  <c r="B140" i="33"/>
  <c r="V140" i="33"/>
  <c r="B141" i="33"/>
  <c r="V141" i="33"/>
  <c r="B142" i="33"/>
  <c r="V142" i="33"/>
  <c r="B143" i="33"/>
  <c r="V143" i="33"/>
  <c r="B144" i="33"/>
  <c r="V144" i="33"/>
  <c r="B145" i="33"/>
  <c r="V145" i="33"/>
  <c r="B146" i="33"/>
  <c r="V146" i="33"/>
  <c r="B6" i="33"/>
  <c r="V6" i="33"/>
  <c r="B3" i="33"/>
  <c r="V3" i="33"/>
  <c r="B4" i="33"/>
  <c r="V4" i="33"/>
  <c r="B147" i="33"/>
  <c r="V147" i="33"/>
  <c r="B148" i="33"/>
  <c r="V148" i="33"/>
  <c r="B149" i="33"/>
  <c r="V149" i="33"/>
  <c r="B2" i="33"/>
  <c r="V2" i="33"/>
  <c r="B5" i="33"/>
  <c r="V5" i="33"/>
  <c r="B9" i="33"/>
  <c r="V9" i="33"/>
  <c r="B10" i="33"/>
  <c r="V10" i="33"/>
  <c r="B11" i="33"/>
  <c r="V11" i="33"/>
  <c r="B12" i="33"/>
  <c r="V12" i="33"/>
  <c r="B13" i="33"/>
  <c r="V13" i="33"/>
  <c r="B14" i="33"/>
  <c r="V14" i="33"/>
  <c r="B15" i="33"/>
  <c r="V15" i="33"/>
  <c r="B16" i="33"/>
  <c r="V16" i="33"/>
  <c r="B17" i="33"/>
  <c r="V17" i="33"/>
  <c r="B18" i="33"/>
  <c r="V18" i="33"/>
  <c r="B21" i="33"/>
  <c r="V21" i="33"/>
  <c r="B22" i="33"/>
  <c r="V22" i="33"/>
  <c r="B23" i="33"/>
  <c r="H23" i="33"/>
  <c r="V23" i="33"/>
  <c r="B24" i="33"/>
  <c r="H24" i="33"/>
  <c r="V24" i="33"/>
  <c r="B25" i="33"/>
  <c r="H25" i="33"/>
  <c r="V25" i="33"/>
  <c r="B26" i="33"/>
  <c r="H26" i="33"/>
  <c r="V26" i="33"/>
  <c r="B27" i="33"/>
  <c r="H27" i="33"/>
  <c r="V27" i="33"/>
  <c r="B28" i="33"/>
  <c r="H28" i="33"/>
  <c r="V28" i="33"/>
  <c r="B29" i="33"/>
  <c r="H29" i="33"/>
  <c r="V29" i="33"/>
  <c r="B30" i="33"/>
  <c r="H30" i="33"/>
  <c r="V30" i="33"/>
  <c r="B31" i="33"/>
  <c r="H31" i="33"/>
  <c r="V31" i="33"/>
  <c r="B32" i="33"/>
  <c r="H32" i="33"/>
  <c r="V32" i="33"/>
  <c r="B33" i="33"/>
  <c r="H33" i="33"/>
  <c r="V33" i="33"/>
  <c r="B34" i="33"/>
  <c r="H34" i="33"/>
  <c r="V34" i="33"/>
  <c r="B35" i="33"/>
  <c r="H35" i="33"/>
  <c r="V35" i="33"/>
  <c r="B36" i="33"/>
  <c r="H36" i="33"/>
  <c r="V36" i="33"/>
  <c r="B37" i="33"/>
  <c r="H37" i="33"/>
  <c r="V37" i="33"/>
  <c r="B38" i="33"/>
  <c r="H38" i="33"/>
  <c r="V38" i="33"/>
  <c r="B39" i="33"/>
  <c r="H39" i="33"/>
  <c r="V39" i="33"/>
  <c r="B40" i="33"/>
  <c r="H40" i="33"/>
  <c r="V40" i="33"/>
  <c r="B41" i="33"/>
  <c r="H41" i="33"/>
  <c r="V41" i="33"/>
  <c r="B42" i="33"/>
  <c r="H42" i="33"/>
  <c r="V42" i="33"/>
  <c r="B43" i="33"/>
  <c r="H43" i="33"/>
  <c r="V43" i="33"/>
  <c r="B44" i="33"/>
  <c r="H44" i="33"/>
  <c r="V44" i="33"/>
  <c r="B45" i="33"/>
  <c r="H45" i="33"/>
  <c r="V45" i="33"/>
  <c r="B46" i="33"/>
  <c r="H46" i="33"/>
  <c r="V46" i="33"/>
  <c r="B47" i="33"/>
  <c r="H47" i="33"/>
  <c r="V47" i="33"/>
  <c r="B48" i="33"/>
  <c r="H48" i="33"/>
  <c r="V48" i="33"/>
  <c r="B49" i="33"/>
  <c r="H49" i="33"/>
  <c r="V49" i="33"/>
  <c r="B50" i="33"/>
  <c r="H50" i="33"/>
  <c r="V50" i="33"/>
  <c r="B51" i="33"/>
  <c r="H51" i="33"/>
  <c r="V51" i="33"/>
  <c r="B52" i="33"/>
  <c r="H52" i="33"/>
  <c r="V52" i="33"/>
  <c r="B53" i="33"/>
  <c r="H53" i="33"/>
  <c r="V53" i="33"/>
  <c r="B54" i="33"/>
  <c r="H54" i="33"/>
  <c r="V54" i="33"/>
  <c r="B55" i="33"/>
  <c r="H55" i="33"/>
  <c r="V55" i="33"/>
  <c r="B56" i="33"/>
  <c r="H56" i="33"/>
  <c r="V56" i="33"/>
  <c r="B57" i="33"/>
  <c r="H57" i="33"/>
  <c r="V57" i="33"/>
  <c r="B58" i="33"/>
  <c r="H58" i="33"/>
  <c r="V58" i="33"/>
  <c r="B59" i="33"/>
  <c r="H59" i="33"/>
  <c r="V59" i="33"/>
  <c r="B60" i="33"/>
  <c r="H60" i="33"/>
  <c r="V60" i="33"/>
  <c r="B61" i="33"/>
  <c r="H61" i="33"/>
  <c r="B62" i="33"/>
  <c r="H62" i="33"/>
  <c r="B63" i="33"/>
  <c r="H63" i="33"/>
  <c r="B64" i="33"/>
  <c r="H64" i="33"/>
  <c r="B65" i="33"/>
  <c r="H65" i="33"/>
  <c r="B66" i="33"/>
  <c r="H66" i="33"/>
  <c r="B67" i="33"/>
  <c r="H67" i="33"/>
  <c r="B68" i="33"/>
  <c r="H68" i="33"/>
  <c r="B69" i="33"/>
  <c r="H69" i="33"/>
  <c r="B70" i="33"/>
  <c r="H70" i="33"/>
  <c r="B71" i="33"/>
  <c r="H71" i="33"/>
  <c r="B72" i="33"/>
  <c r="H72" i="33"/>
  <c r="B73" i="33"/>
  <c r="H73" i="33"/>
  <c r="B74" i="33"/>
  <c r="H74" i="33"/>
  <c r="B75" i="33"/>
  <c r="H75" i="33"/>
  <c r="B76" i="33"/>
  <c r="H76" i="33"/>
  <c r="B77" i="33"/>
  <c r="H77" i="33"/>
  <c r="B78" i="33"/>
  <c r="H78" i="33"/>
  <c r="B79" i="33"/>
  <c r="H79" i="33"/>
  <c r="B80" i="33"/>
  <c r="H80" i="33"/>
  <c r="B81" i="33"/>
  <c r="H81" i="33"/>
  <c r="B82" i="33"/>
  <c r="H82" i="33"/>
  <c r="B83" i="33"/>
  <c r="H83" i="33"/>
  <c r="B84" i="33"/>
  <c r="H84" i="33"/>
  <c r="B85" i="33"/>
  <c r="H85" i="33"/>
  <c r="B86" i="33"/>
  <c r="H86" i="33"/>
  <c r="V86" i="33"/>
  <c r="B87" i="33"/>
  <c r="H87" i="33"/>
  <c r="V87" i="33"/>
  <c r="B88" i="33"/>
  <c r="H88" i="33"/>
  <c r="V88" i="33"/>
  <c r="B89" i="33"/>
  <c r="H89" i="33"/>
  <c r="V89" i="33"/>
  <c r="B90" i="33"/>
  <c r="H90" i="33"/>
  <c r="V90" i="33"/>
  <c r="B91" i="33"/>
  <c r="H91" i="33"/>
  <c r="V91" i="33"/>
  <c r="B92" i="33"/>
  <c r="H92" i="33"/>
  <c r="V92" i="33"/>
  <c r="B93" i="33"/>
  <c r="H93" i="33"/>
  <c r="V93" i="33"/>
  <c r="B94" i="33"/>
  <c r="H94" i="33"/>
  <c r="V94" i="33"/>
  <c r="B95" i="33"/>
  <c r="H95" i="33"/>
  <c r="V95" i="33"/>
  <c r="B96" i="33"/>
  <c r="H96" i="33"/>
  <c r="V96" i="33"/>
  <c r="B97" i="33"/>
  <c r="H97" i="33"/>
  <c r="V97" i="33"/>
  <c r="B98" i="33"/>
  <c r="H98" i="33"/>
  <c r="V98" i="33"/>
  <c r="B99" i="33"/>
  <c r="H99" i="33"/>
  <c r="V99" i="33"/>
  <c r="B100" i="33"/>
  <c r="H100" i="33"/>
  <c r="V100" i="33"/>
  <c r="B101" i="33"/>
  <c r="H101" i="33"/>
  <c r="V101" i="33"/>
  <c r="B102" i="33"/>
  <c r="H102" i="33"/>
  <c r="V102" i="33"/>
  <c r="B103" i="33"/>
  <c r="H103" i="33"/>
  <c r="V103" i="33"/>
  <c r="B104" i="33"/>
  <c r="H104" i="33"/>
  <c r="V104" i="33"/>
  <c r="B105" i="33"/>
  <c r="H105" i="33"/>
  <c r="V105" i="33"/>
  <c r="B106" i="33"/>
  <c r="H106" i="33"/>
  <c r="V106" i="33"/>
  <c r="B107" i="33"/>
  <c r="H107" i="33"/>
  <c r="V107" i="33"/>
  <c r="B108" i="33"/>
  <c r="H108" i="33"/>
  <c r="V108" i="33"/>
  <c r="B109" i="33"/>
  <c r="H109" i="33"/>
  <c r="V109" i="33"/>
  <c r="B110" i="33"/>
  <c r="H110" i="33"/>
  <c r="V110" i="33"/>
  <c r="B111" i="33"/>
  <c r="H111" i="33"/>
  <c r="V111" i="33"/>
  <c r="B112" i="33"/>
  <c r="H112" i="33"/>
  <c r="V112" i="33"/>
  <c r="B113" i="33"/>
  <c r="H113" i="33"/>
  <c r="V113" i="33"/>
  <c r="B114" i="33"/>
  <c r="H114" i="33"/>
  <c r="V114" i="33"/>
  <c r="B115" i="33"/>
  <c r="H115" i="33"/>
  <c r="V115" i="33"/>
  <c r="B116" i="33"/>
  <c r="H116" i="33"/>
  <c r="V116" i="33"/>
  <c r="B117" i="33"/>
  <c r="H117" i="33"/>
  <c r="V117" i="33"/>
  <c r="B118" i="33"/>
  <c r="H118" i="33"/>
  <c r="V118" i="33"/>
  <c r="B119" i="33"/>
  <c r="H119" i="33"/>
  <c r="V119" i="33"/>
  <c r="B120" i="33"/>
  <c r="H120" i="33"/>
  <c r="V120" i="33"/>
  <c r="B121" i="33"/>
  <c r="H121" i="33"/>
  <c r="V121" i="33"/>
  <c r="B122" i="33"/>
  <c r="H122" i="33"/>
  <c r="V122" i="33"/>
  <c r="B123" i="33"/>
  <c r="H123" i="33"/>
  <c r="V123" i="33"/>
  <c r="B124" i="33"/>
  <c r="H124" i="33"/>
  <c r="V124" i="33"/>
  <c r="B125" i="33"/>
  <c r="H125" i="33"/>
  <c r="V125" i="33"/>
  <c r="B126" i="33"/>
  <c r="H126" i="33"/>
  <c r="V126" i="33"/>
  <c r="B127" i="33"/>
  <c r="H127" i="33"/>
  <c r="V127" i="33"/>
  <c r="B128" i="33"/>
  <c r="H128" i="33"/>
  <c r="V128" i="33"/>
  <c r="B129" i="33"/>
  <c r="H129" i="33"/>
  <c r="V129" i="33"/>
  <c r="B130" i="33"/>
  <c r="H130" i="33"/>
  <c r="V130" i="33"/>
  <c r="B131" i="33"/>
  <c r="H131" i="33"/>
  <c r="V131" i="33"/>
  <c r="B132" i="33"/>
  <c r="H132" i="33"/>
  <c r="V132" i="33"/>
  <c r="B133" i="33"/>
  <c r="H133" i="33"/>
  <c r="V133" i="33"/>
  <c r="B134" i="33"/>
  <c r="H134" i="33"/>
  <c r="V134" i="33"/>
  <c r="B135" i="33"/>
  <c r="H135" i="33"/>
  <c r="V135" i="33"/>
  <c r="B136" i="33"/>
  <c r="H136" i="33"/>
  <c r="V136" i="33"/>
  <c r="B137" i="33"/>
  <c r="H137" i="33"/>
  <c r="V137" i="33"/>
  <c r="B8" i="33"/>
  <c r="V8" i="33"/>
  <c r="V7" i="33"/>
  <c r="B7" i="33"/>
  <c r="C26" i="15" l="1"/>
  <c r="C14" i="15"/>
  <c r="P49" i="33"/>
  <c r="N49" i="33"/>
  <c r="P129" i="33"/>
  <c r="N129" i="33"/>
  <c r="P93" i="33"/>
  <c r="N93" i="33"/>
  <c r="P73" i="33"/>
  <c r="N73" i="33"/>
  <c r="P25" i="33"/>
  <c r="N25" i="33"/>
  <c r="P125" i="33"/>
  <c r="N125" i="33"/>
  <c r="P89" i="33"/>
  <c r="N89" i="33"/>
  <c r="P84" i="33"/>
  <c r="N84" i="33"/>
  <c r="P78" i="33"/>
  <c r="N78" i="33"/>
  <c r="P72" i="33"/>
  <c r="N72" i="33"/>
  <c r="P66" i="33"/>
  <c r="N66" i="33"/>
  <c r="P79" i="33"/>
  <c r="N79" i="33"/>
  <c r="P37" i="33"/>
  <c r="N37" i="33"/>
  <c r="P121" i="33"/>
  <c r="N121" i="33"/>
  <c r="P60" i="33"/>
  <c r="N60" i="33"/>
  <c r="P56" i="33"/>
  <c r="N56" i="33"/>
  <c r="N52" i="33"/>
  <c r="P52" i="33"/>
  <c r="P48" i="33"/>
  <c r="N48" i="33"/>
  <c r="P44" i="33"/>
  <c r="N44" i="33"/>
  <c r="N40" i="33"/>
  <c r="P40" i="33"/>
  <c r="P36" i="33"/>
  <c r="N36" i="33"/>
  <c r="P32" i="33"/>
  <c r="N32" i="33"/>
  <c r="N28" i="33"/>
  <c r="P28" i="33"/>
  <c r="P24" i="33"/>
  <c r="N24" i="33"/>
  <c r="P45" i="33"/>
  <c r="N45" i="33"/>
  <c r="P109" i="33"/>
  <c r="N109" i="33"/>
  <c r="N136" i="33"/>
  <c r="P136" i="33"/>
  <c r="P128" i="33"/>
  <c r="N128" i="33"/>
  <c r="P120" i="33"/>
  <c r="N120" i="33"/>
  <c r="N112" i="33"/>
  <c r="P112" i="33"/>
  <c r="P104" i="33"/>
  <c r="N104" i="33"/>
  <c r="P96" i="33"/>
  <c r="N96" i="33"/>
  <c r="N88" i="33"/>
  <c r="P88" i="33"/>
  <c r="P77" i="33"/>
  <c r="N77" i="33"/>
  <c r="P65" i="33"/>
  <c r="N65" i="33"/>
  <c r="P67" i="33"/>
  <c r="N67" i="33"/>
  <c r="P33" i="33"/>
  <c r="N33" i="33"/>
  <c r="P113" i="33"/>
  <c r="N113" i="33"/>
  <c r="P132" i="33"/>
  <c r="N132" i="33"/>
  <c r="N124" i="33"/>
  <c r="P124" i="33"/>
  <c r="P116" i="33"/>
  <c r="N116" i="33"/>
  <c r="P108" i="33"/>
  <c r="N108" i="33"/>
  <c r="N100" i="33"/>
  <c r="P100" i="33"/>
  <c r="P92" i="33"/>
  <c r="N92" i="33"/>
  <c r="P83" i="33"/>
  <c r="N83" i="33"/>
  <c r="P71" i="33"/>
  <c r="N71" i="33"/>
  <c r="P137" i="33"/>
  <c r="N137" i="33"/>
  <c r="P117" i="33"/>
  <c r="N117" i="33"/>
  <c r="N76" i="33"/>
  <c r="P76" i="33"/>
  <c r="P59" i="33"/>
  <c r="N59" i="33"/>
  <c r="P55" i="33"/>
  <c r="N55" i="33"/>
  <c r="P51" i="33"/>
  <c r="N51" i="33"/>
  <c r="P47" i="33"/>
  <c r="N47" i="33"/>
  <c r="P43" i="33"/>
  <c r="N43" i="33"/>
  <c r="P39" i="33"/>
  <c r="N39" i="33"/>
  <c r="P35" i="33"/>
  <c r="N35" i="33"/>
  <c r="P31" i="33"/>
  <c r="N31" i="33"/>
  <c r="P27" i="33"/>
  <c r="N27" i="33"/>
  <c r="P23" i="33"/>
  <c r="N23" i="33"/>
  <c r="P61" i="33"/>
  <c r="N61" i="33"/>
  <c r="P29" i="33"/>
  <c r="N29" i="33"/>
  <c r="P133" i="33"/>
  <c r="N133" i="33"/>
  <c r="P97" i="33"/>
  <c r="N97" i="33"/>
  <c r="P82" i="33"/>
  <c r="N82" i="33"/>
  <c r="N64" i="33"/>
  <c r="P64" i="33"/>
  <c r="P131" i="33"/>
  <c r="N131" i="33"/>
  <c r="P123" i="33"/>
  <c r="N123" i="33"/>
  <c r="P115" i="33"/>
  <c r="N115" i="33"/>
  <c r="P107" i="33"/>
  <c r="N107" i="33"/>
  <c r="P103" i="33"/>
  <c r="N103" i="33"/>
  <c r="P99" i="33"/>
  <c r="N99" i="33"/>
  <c r="P95" i="33"/>
  <c r="N95" i="33"/>
  <c r="P91" i="33"/>
  <c r="N91" i="33"/>
  <c r="P87" i="33"/>
  <c r="N87" i="33"/>
  <c r="P85" i="33"/>
  <c r="N85" i="33"/>
  <c r="P41" i="33"/>
  <c r="N41" i="33"/>
  <c r="P105" i="33"/>
  <c r="N105" i="33"/>
  <c r="P70" i="33"/>
  <c r="N70" i="33"/>
  <c r="P135" i="33"/>
  <c r="N135" i="33"/>
  <c r="P127" i="33"/>
  <c r="N127" i="33"/>
  <c r="P119" i="33"/>
  <c r="N119" i="33"/>
  <c r="P111" i="33"/>
  <c r="N111" i="33"/>
  <c r="P81" i="33"/>
  <c r="N81" i="33"/>
  <c r="P75" i="33"/>
  <c r="N75" i="33"/>
  <c r="P69" i="33"/>
  <c r="N69" i="33"/>
  <c r="P63" i="33"/>
  <c r="N63" i="33"/>
  <c r="P53" i="33"/>
  <c r="N53" i="33"/>
  <c r="P101" i="33"/>
  <c r="N101" i="33"/>
  <c r="P58" i="33"/>
  <c r="N58" i="33"/>
  <c r="P54" i="33"/>
  <c r="N54" i="33"/>
  <c r="P50" i="33"/>
  <c r="N50" i="33"/>
  <c r="P46" i="33"/>
  <c r="N46" i="33"/>
  <c r="P42" i="33"/>
  <c r="N42" i="33"/>
  <c r="P38" i="33"/>
  <c r="N38" i="33"/>
  <c r="P34" i="33"/>
  <c r="N34" i="33"/>
  <c r="P30" i="33"/>
  <c r="N30" i="33"/>
  <c r="P26" i="33"/>
  <c r="N26" i="33"/>
  <c r="P57" i="33"/>
  <c r="N57" i="33"/>
  <c r="P134" i="33"/>
  <c r="N134" i="33"/>
  <c r="P130" i="33"/>
  <c r="N130" i="33"/>
  <c r="P126" i="33"/>
  <c r="N126" i="33"/>
  <c r="P122" i="33"/>
  <c r="N122" i="33"/>
  <c r="P118" i="33"/>
  <c r="N118" i="33"/>
  <c r="P114" i="33"/>
  <c r="N114" i="33"/>
  <c r="P110" i="33"/>
  <c r="N110" i="33"/>
  <c r="P106" i="33"/>
  <c r="N106" i="33"/>
  <c r="P102" i="33"/>
  <c r="N102" i="33"/>
  <c r="P98" i="33"/>
  <c r="N98" i="33"/>
  <c r="P94" i="33"/>
  <c r="N94" i="33"/>
  <c r="P90" i="33"/>
  <c r="N90" i="33"/>
  <c r="P86" i="33"/>
  <c r="N86" i="33"/>
  <c r="P80" i="33"/>
  <c r="N80" i="33"/>
  <c r="P74" i="33"/>
  <c r="N74" i="33"/>
  <c r="P68" i="33"/>
  <c r="N68" i="33"/>
  <c r="P62" i="33"/>
  <c r="N62" i="33"/>
  <c r="J118" i="33"/>
  <c r="L118" i="33"/>
  <c r="J74" i="33"/>
  <c r="L74" i="33"/>
  <c r="J134" i="33"/>
  <c r="L134" i="33"/>
  <c r="J106" i="33"/>
  <c r="L106" i="33"/>
  <c r="J86" i="33"/>
  <c r="L86" i="33"/>
  <c r="J85" i="33"/>
  <c r="L85" i="33"/>
  <c r="L67" i="33"/>
  <c r="J67" i="33"/>
  <c r="J57" i="33"/>
  <c r="L57" i="33"/>
  <c r="L53" i="33"/>
  <c r="J53" i="33"/>
  <c r="J49" i="33"/>
  <c r="L49" i="33"/>
  <c r="J45" i="33"/>
  <c r="L45" i="33"/>
  <c r="L41" i="33"/>
  <c r="J41" i="33"/>
  <c r="J37" i="33"/>
  <c r="L37" i="33"/>
  <c r="J33" i="33"/>
  <c r="L33" i="33"/>
  <c r="L29" i="33"/>
  <c r="J29" i="33"/>
  <c r="J25" i="33"/>
  <c r="L25" i="33"/>
  <c r="J130" i="33"/>
  <c r="L130" i="33"/>
  <c r="J102" i="33"/>
  <c r="L102" i="33"/>
  <c r="L80" i="33"/>
  <c r="J80" i="33"/>
  <c r="L79" i="33"/>
  <c r="J79" i="33"/>
  <c r="J61" i="33"/>
  <c r="L61" i="33"/>
  <c r="J129" i="33"/>
  <c r="L129" i="33"/>
  <c r="J121" i="33"/>
  <c r="L121" i="33"/>
  <c r="J117" i="33"/>
  <c r="L117" i="33"/>
  <c r="L113" i="33"/>
  <c r="J113" i="33"/>
  <c r="J109" i="33"/>
  <c r="L109" i="33"/>
  <c r="J105" i="33"/>
  <c r="L105" i="33"/>
  <c r="J101" i="33"/>
  <c r="L101" i="33"/>
  <c r="J97" i="33"/>
  <c r="L97" i="33"/>
  <c r="J93" i="33"/>
  <c r="L93" i="33"/>
  <c r="L89" i="33"/>
  <c r="J89" i="33"/>
  <c r="J110" i="33"/>
  <c r="L110" i="33"/>
  <c r="J90" i="33"/>
  <c r="L90" i="33"/>
  <c r="J73" i="33"/>
  <c r="L73" i="33"/>
  <c r="L137" i="33"/>
  <c r="J137" i="33"/>
  <c r="J133" i="33"/>
  <c r="L133" i="33"/>
  <c r="L125" i="33"/>
  <c r="J125" i="33"/>
  <c r="J84" i="33"/>
  <c r="L84" i="33"/>
  <c r="J78" i="33"/>
  <c r="L78" i="33"/>
  <c r="J72" i="33"/>
  <c r="L72" i="33"/>
  <c r="J66" i="33"/>
  <c r="L66" i="33"/>
  <c r="J60" i="33"/>
  <c r="L60" i="33"/>
  <c r="L56" i="33"/>
  <c r="J56" i="33"/>
  <c r="J52" i="33"/>
  <c r="L52" i="33"/>
  <c r="J48" i="33"/>
  <c r="L48" i="33"/>
  <c r="L44" i="33"/>
  <c r="J44" i="33"/>
  <c r="L40" i="33"/>
  <c r="J40" i="33"/>
  <c r="J36" i="33"/>
  <c r="L36" i="33"/>
  <c r="L32" i="33"/>
  <c r="J32" i="33"/>
  <c r="L28" i="33"/>
  <c r="J28" i="33"/>
  <c r="J24" i="33"/>
  <c r="L24" i="33"/>
  <c r="L124" i="33"/>
  <c r="J124" i="33"/>
  <c r="L116" i="33"/>
  <c r="J116" i="33"/>
  <c r="J108" i="33"/>
  <c r="L108" i="33"/>
  <c r="L100" i="33"/>
  <c r="J100" i="33"/>
  <c r="L92" i="33"/>
  <c r="J92" i="33"/>
  <c r="J83" i="33"/>
  <c r="L83" i="33"/>
  <c r="L77" i="33"/>
  <c r="J77" i="33"/>
  <c r="J76" i="33"/>
  <c r="L76" i="33"/>
  <c r="J59" i="33"/>
  <c r="L59" i="33"/>
  <c r="L55" i="33"/>
  <c r="J55" i="33"/>
  <c r="J51" i="33"/>
  <c r="L51" i="33"/>
  <c r="J47" i="33"/>
  <c r="L47" i="33"/>
  <c r="L43" i="33"/>
  <c r="J43" i="33"/>
  <c r="J39" i="33"/>
  <c r="L39" i="33"/>
  <c r="J35" i="33"/>
  <c r="L35" i="33"/>
  <c r="L31" i="33"/>
  <c r="J31" i="33"/>
  <c r="J27" i="33"/>
  <c r="L27" i="33"/>
  <c r="J23" i="33"/>
  <c r="L23" i="33"/>
  <c r="J122" i="33"/>
  <c r="L122" i="33"/>
  <c r="J94" i="33"/>
  <c r="L94" i="33"/>
  <c r="L68" i="33"/>
  <c r="J68" i="33"/>
  <c r="J132" i="33"/>
  <c r="L132" i="33"/>
  <c r="J71" i="33"/>
  <c r="L71" i="33"/>
  <c r="L64" i="33"/>
  <c r="J64" i="33"/>
  <c r="L127" i="33"/>
  <c r="J127" i="33"/>
  <c r="J119" i="33"/>
  <c r="L119" i="33"/>
  <c r="J111" i="33"/>
  <c r="L111" i="33"/>
  <c r="L103" i="33"/>
  <c r="J103" i="33"/>
  <c r="J99" i="33"/>
  <c r="L99" i="33"/>
  <c r="J95" i="33"/>
  <c r="L95" i="33"/>
  <c r="L91" i="33"/>
  <c r="J91" i="33"/>
  <c r="J87" i="33"/>
  <c r="L87" i="33"/>
  <c r="J126" i="33"/>
  <c r="L126" i="33"/>
  <c r="J98" i="33"/>
  <c r="L98" i="33"/>
  <c r="J62" i="33"/>
  <c r="L62" i="33"/>
  <c r="L136" i="33"/>
  <c r="J136" i="33"/>
  <c r="L128" i="33"/>
  <c r="J128" i="33"/>
  <c r="J120" i="33"/>
  <c r="L120" i="33"/>
  <c r="L112" i="33"/>
  <c r="J112" i="33"/>
  <c r="L104" i="33"/>
  <c r="J104" i="33"/>
  <c r="J96" i="33"/>
  <c r="L96" i="33"/>
  <c r="L88" i="33"/>
  <c r="J88" i="33"/>
  <c r="L65" i="33"/>
  <c r="J65" i="33"/>
  <c r="J70" i="33"/>
  <c r="L70" i="33"/>
  <c r="J131" i="33"/>
  <c r="L131" i="33"/>
  <c r="J123" i="33"/>
  <c r="L123" i="33"/>
  <c r="L115" i="33"/>
  <c r="J115" i="33"/>
  <c r="J107" i="33"/>
  <c r="L107" i="33"/>
  <c r="J81" i="33"/>
  <c r="L81" i="33"/>
  <c r="J75" i="33"/>
  <c r="L75" i="33"/>
  <c r="J69" i="33"/>
  <c r="L69" i="33"/>
  <c r="J63" i="33"/>
  <c r="L63" i="33"/>
  <c r="J82" i="33"/>
  <c r="L82" i="33"/>
  <c r="J135" i="33"/>
  <c r="L135" i="33"/>
  <c r="J58" i="33"/>
  <c r="L58" i="33"/>
  <c r="J54" i="33"/>
  <c r="L54" i="33"/>
  <c r="J50" i="33"/>
  <c r="L50" i="33"/>
  <c r="J46" i="33"/>
  <c r="L46" i="33"/>
  <c r="J42" i="33"/>
  <c r="L42" i="33"/>
  <c r="J38" i="33"/>
  <c r="L38" i="33"/>
  <c r="J34" i="33"/>
  <c r="L34" i="33"/>
  <c r="J30" i="33"/>
  <c r="L30" i="33"/>
  <c r="J26" i="33"/>
  <c r="L26" i="33"/>
  <c r="J114" i="33"/>
  <c r="L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S60" i="33"/>
  <c r="S30" i="33"/>
  <c r="S97" i="33"/>
  <c r="S75" i="33"/>
  <c r="S32" i="33"/>
  <c r="S98" i="33"/>
  <c r="S132" i="33"/>
  <c r="S86" i="33"/>
  <c r="S115" i="33"/>
  <c r="S106" i="33"/>
  <c r="S73" i="33"/>
  <c r="S52" i="33"/>
  <c r="S37" i="33"/>
  <c r="S82" i="33"/>
  <c r="S102" i="33"/>
  <c r="S57" i="33"/>
  <c r="S39" i="33"/>
  <c r="S25" i="33"/>
  <c r="S114" i="33"/>
  <c r="S91" i="33"/>
  <c r="S131" i="33"/>
  <c r="S81" i="33"/>
  <c r="S101" i="33"/>
  <c r="S42" i="33"/>
  <c r="S56" i="33"/>
  <c r="S35" i="33"/>
  <c r="S112" i="33"/>
  <c r="S90" i="33"/>
  <c r="S71" i="33"/>
  <c r="S48" i="33"/>
  <c r="S24" i="33"/>
  <c r="S36" i="33"/>
  <c r="S104" i="33"/>
  <c r="S69" i="33"/>
  <c r="S111" i="33"/>
  <c r="S70" i="33"/>
  <c r="S103" i="33"/>
  <c r="S137" i="33"/>
  <c r="S85" i="33"/>
  <c r="S80" i="33"/>
  <c r="S105" i="33"/>
  <c r="S88" i="33"/>
  <c r="S29" i="33"/>
  <c r="S47" i="33"/>
  <c r="S84" i="33"/>
  <c r="S127" i="33"/>
  <c r="S93" i="33"/>
  <c r="S50" i="33"/>
  <c r="S107" i="33"/>
  <c r="S99" i="33"/>
  <c r="S95" i="33"/>
  <c r="S66" i="33"/>
  <c r="S43" i="33"/>
  <c r="S31" i="33"/>
  <c r="S108" i="33"/>
  <c r="S65" i="33"/>
  <c r="V61" i="33"/>
  <c r="S59" i="33"/>
  <c r="S45" i="33"/>
  <c r="S126" i="33"/>
  <c r="S94" i="33"/>
  <c r="S51" i="33"/>
  <c r="S109" i="33"/>
  <c r="S78" i="33"/>
  <c r="S113" i="33"/>
  <c r="S110" i="33"/>
  <c r="S87" i="33"/>
  <c r="S62" i="33"/>
  <c r="S61" i="33"/>
  <c r="S34" i="33"/>
  <c r="S44" i="33"/>
  <c r="S124" i="33"/>
  <c r="S77" i="33"/>
  <c r="S46" i="33"/>
  <c r="S26" i="33"/>
  <c r="S23" i="33"/>
  <c r="S125" i="33"/>
  <c r="S120" i="33"/>
  <c r="S128" i="33"/>
  <c r="S38" i="33"/>
  <c r="S129" i="33"/>
  <c r="S33" i="33"/>
  <c r="S130" i="33"/>
  <c r="S89" i="33"/>
  <c r="S74" i="33"/>
  <c r="S54" i="33"/>
  <c r="S53" i="33"/>
  <c r="S133" i="33"/>
  <c r="S117" i="33"/>
  <c r="S116" i="33"/>
  <c r="S55" i="33"/>
  <c r="S123" i="33"/>
  <c r="S119" i="33"/>
  <c r="S100" i="33"/>
  <c r="S96" i="33"/>
  <c r="S122" i="33"/>
  <c r="S121" i="33"/>
  <c r="S118" i="33"/>
  <c r="S92" i="33"/>
  <c r="S79" i="33"/>
  <c r="S41" i="33"/>
  <c r="S28" i="33"/>
  <c r="S40" i="33"/>
  <c r="S27" i="33"/>
  <c r="S49" i="33"/>
  <c r="S135" i="33"/>
  <c r="S67" i="33"/>
  <c r="S83" i="33"/>
  <c r="S136" i="33"/>
  <c r="S72" i="33"/>
  <c r="S134" i="33"/>
  <c r="S58" i="33"/>
  <c r="S76" i="33"/>
  <c r="S64" i="33"/>
  <c r="S68" i="33"/>
  <c r="S63" i="33"/>
  <c r="O34" i="15" l="1"/>
  <c r="R34" i="15"/>
  <c r="O61" i="15"/>
  <c r="R25" i="15"/>
  <c r="R61" i="15"/>
  <c r="L25" i="15"/>
  <c r="O37" i="15"/>
  <c r="H9" i="33"/>
  <c r="H7"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V62" i="33"/>
  <c r="P9" i="33" l="1"/>
  <c r="J9" i="33"/>
  <c r="L9" i="33"/>
  <c r="N9" i="33"/>
  <c r="J7" i="33"/>
  <c r="L7" i="33"/>
  <c r="N7" i="33"/>
  <c r="P7" i="33"/>
  <c r="V63" i="33"/>
  <c r="V64" i="33" l="1"/>
  <c r="AH6" i="2"/>
  <c r="V65" i="33" l="1"/>
  <c r="T6" i="1" a="1"/>
  <c r="T6" i="1" s="1"/>
  <c r="V66" i="33" l="1"/>
  <c r="B1" i="27"/>
  <c r="V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V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V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V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V71" i="33"/>
  <c r="J48" i="27"/>
  <c r="K48" i="27"/>
  <c r="M48" i="27"/>
  <c r="K49" i="27"/>
  <c r="J49" i="27"/>
  <c r="M49" i="27"/>
  <c r="B64" i="27"/>
  <c r="I44" i="27"/>
  <c r="M45" i="27"/>
  <c r="K45" i="27"/>
  <c r="J45" i="27"/>
  <c r="D64" i="27"/>
  <c r="M47" i="27"/>
  <c r="J47" i="27"/>
  <c r="K47" i="27"/>
  <c r="J46" i="27"/>
  <c r="K46" i="27"/>
  <c r="M46" i="27"/>
  <c r="E55" i="27"/>
  <c r="E56" i="27"/>
  <c r="D31" i="27"/>
  <c r="L49" i="27" l="1"/>
  <c r="L45" i="27"/>
  <c r="V72" i="33"/>
  <c r="M44" i="27"/>
  <c r="M50" i="27" s="1"/>
  <c r="I50" i="27"/>
  <c r="J44" i="27"/>
  <c r="K44" i="27"/>
  <c r="K50" i="27" s="1"/>
  <c r="L46" i="27"/>
  <c r="L47" i="27"/>
  <c r="L48" i="27"/>
  <c r="V73" i="33" l="1"/>
  <c r="L44" i="27"/>
  <c r="L50" i="27" s="1"/>
  <c r="J50" i="27"/>
  <c r="V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V75" i="33" l="1"/>
  <c r="V76" i="33" l="1"/>
  <c r="U60" i="2"/>
  <c r="Y60" i="2" l="1"/>
  <c r="AC60" i="2"/>
  <c r="AG60" i="2"/>
  <c r="V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V78" i="33"/>
  <c r="U32" i="2"/>
  <c r="U3" i="2"/>
  <c r="U62" i="2"/>
  <c r="U34" i="2"/>
  <c r="U4" i="2"/>
  <c r="U91" i="2"/>
  <c r="Y4" i="2" l="1"/>
  <c r="AC4" i="2"/>
  <c r="AG4" i="2"/>
  <c r="Y34" i="2"/>
  <c r="AC34" i="2"/>
  <c r="AG34" i="2"/>
  <c r="Y62" i="2"/>
  <c r="AG62" i="2"/>
  <c r="AC62" i="2"/>
  <c r="Y32" i="2"/>
  <c r="AG32" i="2"/>
  <c r="AC32" i="2"/>
  <c r="Y3" i="2"/>
  <c r="AG3" i="2"/>
  <c r="AC3" i="2"/>
  <c r="Y91" i="2"/>
  <c r="AG91" i="2"/>
  <c r="AC91" i="2"/>
  <c r="V79" i="33"/>
  <c r="U63" i="2"/>
  <c r="U92" i="2"/>
  <c r="U35" i="2"/>
  <c r="U5" i="2"/>
  <c r="Y35" i="2" l="1"/>
  <c r="AG35" i="2"/>
  <c r="AC35" i="2"/>
  <c r="Y5" i="2"/>
  <c r="AC5" i="2"/>
  <c r="AG5" i="2"/>
  <c r="Y63" i="2"/>
  <c r="AC63" i="2"/>
  <c r="AG63" i="2"/>
  <c r="Y92" i="2"/>
  <c r="AC92" i="2"/>
  <c r="AG92" i="2"/>
  <c r="V80" i="33"/>
  <c r="U64" i="2"/>
  <c r="U93" i="2"/>
  <c r="U6" i="2"/>
  <c r="U36" i="2"/>
  <c r="Y36" i="2" l="1"/>
  <c r="AG36" i="2"/>
  <c r="AC36" i="2"/>
  <c r="Y6" i="2"/>
  <c r="AC6" i="2"/>
  <c r="AG6" i="2"/>
  <c r="Y93" i="2"/>
  <c r="AG93" i="2"/>
  <c r="AC93" i="2"/>
  <c r="Y64" i="2"/>
  <c r="AC64" i="2"/>
  <c r="AG64" i="2"/>
  <c r="V81" i="33"/>
  <c r="U65" i="2"/>
  <c r="U7" i="2"/>
  <c r="U94" i="2"/>
  <c r="Y94" i="2" l="1"/>
  <c r="AC94" i="2"/>
  <c r="AG94" i="2"/>
  <c r="Y7" i="2"/>
  <c r="AC7" i="2"/>
  <c r="AG7" i="2"/>
  <c r="Y65" i="2"/>
  <c r="AC65" i="2"/>
  <c r="AG65" i="2"/>
  <c r="V82" i="33"/>
  <c r="U8" i="2"/>
  <c r="U37" i="2"/>
  <c r="Y8" i="2" l="1"/>
  <c r="AG8" i="2"/>
  <c r="AC8" i="2"/>
  <c r="Y37" i="2"/>
  <c r="AC37" i="2"/>
  <c r="AG37" i="2"/>
  <c r="V83" i="33"/>
  <c r="U9" i="2"/>
  <c r="U38" i="2"/>
  <c r="U66" i="2"/>
  <c r="U95" i="2"/>
  <c r="Y95" i="2" l="1"/>
  <c r="AG95" i="2"/>
  <c r="AC95" i="2"/>
  <c r="Y66" i="2"/>
  <c r="AG66" i="2"/>
  <c r="AC66" i="2"/>
  <c r="Y38" i="2"/>
  <c r="AG38" i="2"/>
  <c r="AC38" i="2"/>
  <c r="Y9" i="2"/>
  <c r="AG9" i="2"/>
  <c r="AC9" i="2"/>
  <c r="V84" i="33"/>
  <c r="V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J9" i="39" l="1"/>
  <c r="J5" i="39"/>
  <c r="J8" i="39"/>
  <c r="J4"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O4" i="39" l="1"/>
  <c r="M4" i="39"/>
  <c r="K4" i="39"/>
  <c r="Q4" i="39"/>
  <c r="K8" i="39"/>
  <c r="O8" i="39"/>
  <c r="M8" i="39"/>
  <c r="Q8" i="39"/>
  <c r="K5" i="39"/>
  <c r="Q5" i="39"/>
  <c r="O5" i="39"/>
  <c r="M5" i="39"/>
  <c r="Q9" i="39"/>
  <c r="O9" i="39"/>
  <c r="M9" i="39"/>
  <c r="K9" i="39"/>
  <c r="P17" i="33"/>
  <c r="N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J17" i="33"/>
  <c r="L17" i="33"/>
  <c r="B5" i="46"/>
  <c r="H11" i="33"/>
  <c r="S9" i="33"/>
  <c r="H21" i="33"/>
  <c r="H22" i="33"/>
  <c r="H18" i="33"/>
  <c r="S17" i="33"/>
  <c r="H16" i="33"/>
  <c r="A26" i="27"/>
  <c r="A27" i="27"/>
  <c r="A25" i="27"/>
  <c r="A29" i="27"/>
  <c r="A28" i="27"/>
  <c r="U15" i="2"/>
  <c r="U44" i="2"/>
  <c r="U72" i="2"/>
  <c r="U101" i="2"/>
  <c r="U211" i="2"/>
  <c r="B52" i="21"/>
  <c r="B53" i="21"/>
  <c r="B54" i="21"/>
  <c r="B55" i="21"/>
  <c r="B56" i="21"/>
  <c r="B57" i="21"/>
  <c r="B58" i="21"/>
  <c r="B59" i="21"/>
  <c r="B60" i="21"/>
  <c r="B61" i="21"/>
  <c r="B62" i="21"/>
  <c r="B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21" i="33" l="1"/>
  <c r="N21" i="33"/>
  <c r="P22" i="33"/>
  <c r="N22" i="33"/>
  <c r="P11" i="33"/>
  <c r="N11" i="33"/>
  <c r="N16" i="33"/>
  <c r="P16" i="33"/>
  <c r="N18" i="33"/>
  <c r="P18" i="33"/>
  <c r="Y15" i="2"/>
  <c r="AC15" i="2"/>
  <c r="AG15" i="2"/>
  <c r="Y44" i="2"/>
  <c r="AC44" i="2"/>
  <c r="AG44" i="2"/>
  <c r="Y211" i="2"/>
  <c r="AG211" i="2"/>
  <c r="AC211" i="2"/>
  <c r="Y72" i="2"/>
  <c r="AG72" i="2"/>
  <c r="AC72" i="2"/>
  <c r="Y101" i="2"/>
  <c r="AC101" i="2"/>
  <c r="AG101" i="2"/>
  <c r="L11" i="33"/>
  <c r="J11" i="33"/>
  <c r="L21" i="33"/>
  <c r="J21" i="33"/>
  <c r="L22" i="33"/>
  <c r="J22" i="33"/>
  <c r="J16" i="33"/>
  <c r="L16" i="33"/>
  <c r="L18" i="33"/>
  <c r="J18" i="33"/>
  <c r="S11" i="33"/>
  <c r="S18" i="33"/>
  <c r="S22" i="33"/>
  <c r="S21" i="33"/>
  <c r="S16" i="33"/>
  <c r="R24" i="33"/>
  <c r="T24" i="33" s="1"/>
  <c r="R33" i="33"/>
  <c r="T33" i="33" s="1"/>
  <c r="R142" i="33"/>
  <c r="T142" i="33" s="1"/>
  <c r="R5" i="33"/>
  <c r="T5" i="33" s="1"/>
  <c r="R35" i="33"/>
  <c r="T35" i="33" s="1"/>
  <c r="R51" i="33"/>
  <c r="T51" i="33" s="1"/>
  <c r="R63" i="33"/>
  <c r="T63" i="33" s="1"/>
  <c r="R144" i="33"/>
  <c r="T144" i="33" s="1"/>
  <c r="R3" i="33"/>
  <c r="T3" i="33" s="1"/>
  <c r="R32" i="33"/>
  <c r="T32" i="33" s="1"/>
  <c r="R39" i="33"/>
  <c r="T39" i="33" s="1"/>
  <c r="R141" i="33"/>
  <c r="T141" i="33" s="1"/>
  <c r="R23" i="33"/>
  <c r="T23" i="33" s="1"/>
  <c r="R34" i="33"/>
  <c r="T34" i="33" s="1"/>
  <c r="R138" i="33"/>
  <c r="T138" i="33" s="1"/>
  <c r="R146" i="33"/>
  <c r="T146" i="33" s="1"/>
  <c r="R2" i="33"/>
  <c r="T2" i="33" s="1"/>
  <c r="R9" i="33"/>
  <c r="T9" i="33" s="1"/>
  <c r="R18" i="33"/>
  <c r="T18" i="33" s="1"/>
  <c r="R25" i="33"/>
  <c r="T25" i="33" s="1"/>
  <c r="R143" i="33"/>
  <c r="T143" i="33" s="1"/>
  <c r="R147" i="33"/>
  <c r="T147" i="33" s="1"/>
  <c r="R27" i="33"/>
  <c r="T27" i="33" s="1"/>
  <c r="R36" i="33"/>
  <c r="T36" i="33" s="1"/>
  <c r="R41" i="33"/>
  <c r="T41" i="33" s="1"/>
  <c r="R30" i="33"/>
  <c r="T30" i="33" s="1"/>
  <c r="R37" i="33"/>
  <c r="T37" i="33" s="1"/>
  <c r="R42" i="33"/>
  <c r="T42" i="33" s="1"/>
  <c r="R53" i="33"/>
  <c r="T53" i="33" s="1"/>
  <c r="R68" i="33"/>
  <c r="T68" i="33" s="1"/>
  <c r="R77" i="33"/>
  <c r="T77" i="33" s="1"/>
  <c r="R86" i="33"/>
  <c r="T86" i="33" s="1"/>
  <c r="R29" i="33"/>
  <c r="T29" i="33" s="1"/>
  <c r="R49" i="33"/>
  <c r="T49" i="33" s="1"/>
  <c r="R75" i="33"/>
  <c r="T75" i="33" s="1"/>
  <c r="R88" i="33"/>
  <c r="T88" i="33" s="1"/>
  <c r="R90" i="33"/>
  <c r="T90" i="33" s="1"/>
  <c r="R28" i="33"/>
  <c r="T28" i="33" s="1"/>
  <c r="R47" i="33"/>
  <c r="T47" i="33" s="1"/>
  <c r="R66" i="33"/>
  <c r="T66" i="33" s="1"/>
  <c r="R82" i="33"/>
  <c r="T82" i="33" s="1"/>
  <c r="R84" i="33"/>
  <c r="T84" i="33" s="1"/>
  <c r="R149" i="33"/>
  <c r="T149" i="33" s="1"/>
  <c r="R26" i="33"/>
  <c r="T26" i="33" s="1"/>
  <c r="R38" i="33"/>
  <c r="T38" i="33" s="1"/>
  <c r="R60" i="33"/>
  <c r="T60" i="33" s="1"/>
  <c r="R64" i="33"/>
  <c r="T64" i="33" s="1"/>
  <c r="R73" i="33"/>
  <c r="T73" i="33" s="1"/>
  <c r="R80" i="33"/>
  <c r="T80" i="33" s="1"/>
  <c r="R139" i="33"/>
  <c r="T139" i="33" s="1"/>
  <c r="R148" i="33"/>
  <c r="T148" i="33" s="1"/>
  <c r="R43" i="33"/>
  <c r="T43" i="33" s="1"/>
  <c r="R45" i="33"/>
  <c r="T45" i="33" s="1"/>
  <c r="R52" i="33"/>
  <c r="T52" i="33" s="1"/>
  <c r="R56" i="33"/>
  <c r="T56" i="33" s="1"/>
  <c r="R58" i="33"/>
  <c r="T58" i="33" s="1"/>
  <c r="R71" i="33"/>
  <c r="T71" i="33" s="1"/>
  <c r="R140" i="33"/>
  <c r="T140" i="33" s="1"/>
  <c r="R16" i="33"/>
  <c r="T16" i="33" s="1"/>
  <c r="R54" i="33"/>
  <c r="T54" i="33" s="1"/>
  <c r="R69" i="33"/>
  <c r="T69" i="33" s="1"/>
  <c r="R78" i="33"/>
  <c r="T78" i="33" s="1"/>
  <c r="R15" i="33"/>
  <c r="T15" i="33" s="1"/>
  <c r="R50" i="33"/>
  <c r="T50" i="33" s="1"/>
  <c r="R62" i="33"/>
  <c r="T62" i="33" s="1"/>
  <c r="R76" i="33"/>
  <c r="T76" i="33" s="1"/>
  <c r="R4" i="33"/>
  <c r="T4" i="33" s="1"/>
  <c r="R14" i="33"/>
  <c r="T14" i="33" s="1"/>
  <c r="R17" i="33"/>
  <c r="T17" i="33" s="1"/>
  <c r="R21" i="33"/>
  <c r="T21" i="33" s="1"/>
  <c r="R22" i="33"/>
  <c r="T22" i="33" s="1"/>
  <c r="R67" i="33"/>
  <c r="T67" i="33" s="1"/>
  <c r="R13" i="33"/>
  <c r="T13" i="33" s="1"/>
  <c r="R40" i="33"/>
  <c r="T40" i="33" s="1"/>
  <c r="R48" i="33"/>
  <c r="T48" i="33" s="1"/>
  <c r="R65" i="33"/>
  <c r="T65" i="33" s="1"/>
  <c r="R74" i="33"/>
  <c r="T74" i="33" s="1"/>
  <c r="R81" i="33"/>
  <c r="T81" i="33" s="1"/>
  <c r="R83" i="33"/>
  <c r="T83" i="33" s="1"/>
  <c r="R12" i="33"/>
  <c r="T12" i="33" s="1"/>
  <c r="R46" i="33"/>
  <c r="T46" i="33" s="1"/>
  <c r="R59" i="33"/>
  <c r="T59" i="33" s="1"/>
  <c r="R6" i="33"/>
  <c r="T6" i="33" s="1"/>
  <c r="R10" i="33"/>
  <c r="T10" i="33" s="1"/>
  <c r="R11" i="33"/>
  <c r="T11" i="33" s="1"/>
  <c r="R55" i="33"/>
  <c r="T55" i="33" s="1"/>
  <c r="R57" i="33"/>
  <c r="T57" i="33" s="1"/>
  <c r="R70" i="33"/>
  <c r="T70" i="33" s="1"/>
  <c r="R72" i="33"/>
  <c r="T72" i="33" s="1"/>
  <c r="R79" i="33"/>
  <c r="T79" i="33" s="1"/>
  <c r="R97" i="33"/>
  <c r="T97" i="33" s="1"/>
  <c r="R121" i="33"/>
  <c r="T121" i="33" s="1"/>
  <c r="R123" i="33"/>
  <c r="T123" i="33" s="1"/>
  <c r="R132" i="33"/>
  <c r="T132" i="33" s="1"/>
  <c r="R134" i="33"/>
  <c r="T134" i="33" s="1"/>
  <c r="R136" i="33"/>
  <c r="T136" i="33" s="1"/>
  <c r="R125" i="33"/>
  <c r="T125" i="33" s="1"/>
  <c r="R44" i="33"/>
  <c r="T44" i="33" s="1"/>
  <c r="R94" i="33"/>
  <c r="T94" i="33" s="1"/>
  <c r="R31" i="33"/>
  <c r="T31" i="33" s="1"/>
  <c r="R92" i="33"/>
  <c r="T92" i="33" s="1"/>
  <c r="R101" i="33"/>
  <c r="T101" i="33" s="1"/>
  <c r="R93" i="33"/>
  <c r="T93" i="33" s="1"/>
  <c r="R114" i="33"/>
  <c r="T114" i="33" s="1"/>
  <c r="R127" i="33"/>
  <c r="T127" i="33" s="1"/>
  <c r="R129" i="33"/>
  <c r="T129" i="33" s="1"/>
  <c r="R98" i="33"/>
  <c r="T98" i="33" s="1"/>
  <c r="R103" i="33"/>
  <c r="T103" i="33" s="1"/>
  <c r="R105" i="33"/>
  <c r="T105" i="33" s="1"/>
  <c r="R107" i="33"/>
  <c r="T107" i="33" s="1"/>
  <c r="R109" i="33"/>
  <c r="T109" i="33" s="1"/>
  <c r="R120" i="33"/>
  <c r="T120" i="33" s="1"/>
  <c r="R95" i="33"/>
  <c r="T95" i="33" s="1"/>
  <c r="R99" i="33"/>
  <c r="T99" i="33" s="1"/>
  <c r="R122" i="33"/>
  <c r="T122" i="33" s="1"/>
  <c r="R124" i="33"/>
  <c r="T124" i="33" s="1"/>
  <c r="R133" i="33"/>
  <c r="T133" i="33" s="1"/>
  <c r="R145" i="33"/>
  <c r="T145" i="33" s="1"/>
  <c r="R113" i="33"/>
  <c r="T113" i="33" s="1"/>
  <c r="R126" i="33"/>
  <c r="T126" i="33" s="1"/>
  <c r="R87" i="33"/>
  <c r="T87" i="33" s="1"/>
  <c r="R102" i="33"/>
  <c r="T102" i="33" s="1"/>
  <c r="R61" i="33"/>
  <c r="T61" i="33" s="1"/>
  <c r="R85" i="33"/>
  <c r="T85" i="33" s="1"/>
  <c r="R89" i="33"/>
  <c r="T89" i="33" s="1"/>
  <c r="R100" i="33"/>
  <c r="T100" i="33" s="1"/>
  <c r="R104" i="33"/>
  <c r="T104" i="33" s="1"/>
  <c r="R106" i="33"/>
  <c r="T106" i="33" s="1"/>
  <c r="R108" i="33"/>
  <c r="T108" i="33" s="1"/>
  <c r="R115" i="33"/>
  <c r="T115" i="33" s="1"/>
  <c r="R96" i="33"/>
  <c r="T96" i="33" s="1"/>
  <c r="R110" i="33"/>
  <c r="T110" i="33" s="1"/>
  <c r="R117" i="33"/>
  <c r="T117" i="33" s="1"/>
  <c r="R130" i="33"/>
  <c r="T130" i="33" s="1"/>
  <c r="R118" i="33"/>
  <c r="T118" i="33" s="1"/>
  <c r="R111" i="33"/>
  <c r="T111" i="33" s="1"/>
  <c r="R91" i="33"/>
  <c r="T91" i="33" s="1"/>
  <c r="R135" i="33"/>
  <c r="T135" i="33" s="1"/>
  <c r="R8" i="33"/>
  <c r="T8" i="33" s="1"/>
  <c r="R131" i="33"/>
  <c r="T131" i="33" s="1"/>
  <c r="R137" i="33"/>
  <c r="T137" i="33" s="1"/>
  <c r="R128" i="33"/>
  <c r="T128" i="33" s="1"/>
  <c r="R116" i="33"/>
  <c r="T116" i="33" s="1"/>
  <c r="R119" i="33"/>
  <c r="T119" i="33" s="1"/>
  <c r="R112" i="33"/>
  <c r="T112" i="33" s="1"/>
  <c r="U16" i="2"/>
  <c r="U45" i="2"/>
  <c r="U73" i="2"/>
  <c r="U102" i="2"/>
  <c r="U212" i="2"/>
  <c r="H8" i="15"/>
  <c r="C8" i="15" s="1"/>
  <c r="J2" i="39" l="1"/>
  <c r="K2" i="39" s="1"/>
  <c r="H6" i="33"/>
  <c r="H10" i="33"/>
  <c r="Y73" i="2"/>
  <c r="AG73" i="2"/>
  <c r="AC73" i="2"/>
  <c r="Y45" i="2"/>
  <c r="AC45" i="2"/>
  <c r="AG45" i="2"/>
  <c r="Y212" i="2"/>
  <c r="AC212" i="2"/>
  <c r="AG212" i="2"/>
  <c r="Y102" i="2"/>
  <c r="AC102" i="2"/>
  <c r="AG102" i="2"/>
  <c r="Y16" i="2"/>
  <c r="AC16" i="2"/>
  <c r="AG16" i="2"/>
  <c r="R8" i="15"/>
  <c r="L8" i="15"/>
  <c r="O8" i="15"/>
  <c r="U17" i="2"/>
  <c r="U46" i="2"/>
  <c r="U74" i="2"/>
  <c r="U103" i="2"/>
  <c r="U213" i="2"/>
  <c r="O2" i="39" l="1"/>
  <c r="Q2" i="39"/>
  <c r="M2" i="39"/>
  <c r="P10" i="33"/>
  <c r="N10" i="33"/>
  <c r="J10" i="33"/>
  <c r="L10" i="33"/>
  <c r="S10" i="33"/>
  <c r="J6" i="33"/>
  <c r="L6" i="33"/>
  <c r="N6" i="33"/>
  <c r="P6" i="33"/>
  <c r="Y46" i="2"/>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D51" i="21"/>
  <c r="C51" i="21" s="1"/>
  <c r="D50" i="21"/>
  <c r="C50" i="21" s="1"/>
  <c r="D49" i="21"/>
  <c r="C49" i="21" s="1"/>
  <c r="D48" i="21"/>
  <c r="C48" i="21" s="1"/>
  <c r="D47" i="21"/>
  <c r="C47" i="21" s="1"/>
  <c r="D46" i="21"/>
  <c r="C46" i="21" s="1"/>
  <c r="D45" i="21"/>
  <c r="C45" i="21" s="1"/>
  <c r="D44" i="21"/>
  <c r="C44" i="21" s="1"/>
  <c r="D43" i="21"/>
  <c r="C43" i="21" s="1"/>
  <c r="D42" i="21"/>
  <c r="C42" i="21" s="1"/>
  <c r="D41" i="21"/>
  <c r="C41" i="21" s="1"/>
  <c r="D40" i="21"/>
  <c r="C40" i="21" s="1"/>
  <c r="D39" i="21"/>
  <c r="C39" i="21" s="1"/>
  <c r="D38" i="21"/>
  <c r="C38" i="21" s="1"/>
  <c r="D37" i="21"/>
  <c r="C37" i="21" s="1"/>
  <c r="D36" i="21"/>
  <c r="C36" i="21" s="1"/>
  <c r="D35" i="21"/>
  <c r="C35" i="21" s="1"/>
  <c r="D34" i="21"/>
  <c r="C34" i="21" s="1"/>
  <c r="D33" i="21"/>
  <c r="C33" i="21" s="1"/>
  <c r="D32" i="21"/>
  <c r="C32" i="21" s="1"/>
  <c r="D31" i="21"/>
  <c r="C31" i="21" s="1"/>
  <c r="D30" i="21"/>
  <c r="C30" i="21" s="1"/>
  <c r="D29" i="21"/>
  <c r="C29" i="21" s="1"/>
  <c r="D28" i="21"/>
  <c r="C28" i="21" s="1"/>
  <c r="D27" i="21"/>
  <c r="C27" i="21" s="1"/>
  <c r="D26" i="21"/>
  <c r="C26" i="21" s="1"/>
  <c r="D25" i="21"/>
  <c r="C25" i="21" s="1"/>
  <c r="D24" i="21"/>
  <c r="C24" i="21" s="1"/>
  <c r="D23" i="21"/>
  <c r="C23" i="21" s="1"/>
  <c r="D22" i="21"/>
  <c r="C22" i="21" s="1"/>
  <c r="D21" i="21"/>
  <c r="C21" i="21" s="1"/>
  <c r="D20" i="21"/>
  <c r="C20" i="21" s="1"/>
  <c r="D19" i="21"/>
  <c r="C19" i="21" s="1"/>
  <c r="D18" i="21"/>
  <c r="C18" i="21" s="1"/>
  <c r="D17" i="21"/>
  <c r="C17" i="21" s="1"/>
  <c r="D16" i="21"/>
  <c r="C16" i="21" s="1"/>
  <c r="D15" i="21"/>
  <c r="C15" i="21" s="1"/>
  <c r="D14" i="21"/>
  <c r="C14" i="21" s="1"/>
  <c r="D13" i="21"/>
  <c r="C13" i="21" s="1"/>
  <c r="D12" i="21"/>
  <c r="C12" i="21" s="1"/>
  <c r="D11" i="21"/>
  <c r="C11" i="21" s="1"/>
  <c r="D10" i="21"/>
  <c r="C10" i="21" s="1"/>
  <c r="D9" i="21"/>
  <c r="C9" i="21" s="1"/>
  <c r="D8" i="21"/>
  <c r="C8" i="21" s="1"/>
  <c r="D7" i="21"/>
  <c r="C7" i="21" s="1"/>
  <c r="D6" i="21"/>
  <c r="C6" i="21" s="1"/>
  <c r="Y216" i="2" l="1"/>
  <c r="AG216" i="2"/>
  <c r="AC216" i="2"/>
  <c r="Y106" i="2"/>
  <c r="AC106" i="2"/>
  <c r="AG106" i="2"/>
  <c r="Y77" i="2"/>
  <c r="AG77" i="2"/>
  <c r="AC77" i="2"/>
  <c r="Y49" i="2"/>
  <c r="AC49" i="2"/>
  <c r="AG49" i="2"/>
  <c r="Y20" i="2"/>
  <c r="AG20" i="2"/>
  <c r="AC20" i="2"/>
  <c r="H140" i="33"/>
  <c r="H143" i="33"/>
  <c r="H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P143" i="33" l="1"/>
  <c r="N143" i="33"/>
  <c r="P140" i="33"/>
  <c r="N140" i="33"/>
  <c r="P146" i="33"/>
  <c r="N146" i="33"/>
  <c r="Y50" i="2"/>
  <c r="AG50" i="2"/>
  <c r="AC50" i="2"/>
  <c r="Y21" i="2"/>
  <c r="AG21" i="2"/>
  <c r="AC21" i="2"/>
  <c r="Y217" i="2"/>
  <c r="AG217" i="2"/>
  <c r="AC217" i="2"/>
  <c r="Y107" i="2"/>
  <c r="AG107" i="2"/>
  <c r="AC107" i="2"/>
  <c r="Y78" i="2"/>
  <c r="AG78" i="2"/>
  <c r="AC78" i="2"/>
  <c r="J146" i="33"/>
  <c r="L146" i="33"/>
  <c r="J143" i="33"/>
  <c r="L143" i="33"/>
  <c r="L140" i="33"/>
  <c r="J140" i="33"/>
  <c r="S146" i="33"/>
  <c r="S143" i="33"/>
  <c r="S140" i="33"/>
  <c r="U22" i="2"/>
  <c r="U51" i="2"/>
  <c r="U79" i="2"/>
  <c r="U108" i="2"/>
  <c r="U218" i="2"/>
  <c r="B15" i="46"/>
  <c r="B18" i="46"/>
  <c r="H9" i="15"/>
  <c r="C9" i="15" s="1"/>
  <c r="J3" i="39" l="1"/>
  <c r="Q3" i="39" s="1"/>
  <c r="H8" i="33"/>
  <c r="H12" i="33"/>
  <c r="Y218" i="2"/>
  <c r="AC218" i="2"/>
  <c r="AG218" i="2"/>
  <c r="Y22" i="2"/>
  <c r="AC22" i="2"/>
  <c r="AG22" i="2"/>
  <c r="Y108" i="2"/>
  <c r="AC108" i="2"/>
  <c r="AG108" i="2"/>
  <c r="Y79" i="2"/>
  <c r="AC79" i="2"/>
  <c r="AG79" i="2"/>
  <c r="Y51" i="2"/>
  <c r="AC51" i="2"/>
  <c r="AG51" i="2"/>
  <c r="L9" i="15"/>
  <c r="O9" i="15"/>
  <c r="R9" i="15"/>
  <c r="B25" i="46"/>
  <c r="B24" i="46"/>
  <c r="Q2" i="21"/>
  <c r="B23" i="46"/>
  <c r="B20" i="46"/>
  <c r="B22" i="46"/>
  <c r="B13" i="46"/>
  <c r="B21" i="46"/>
  <c r="B12" i="46"/>
  <c r="B19" i="46"/>
  <c r="U23" i="2"/>
  <c r="U52" i="2"/>
  <c r="U80" i="2"/>
  <c r="U109" i="2"/>
  <c r="U219" i="2"/>
  <c r="B16" i="46"/>
  <c r="B7" i="46"/>
  <c r="H2" i="33"/>
  <c r="M3" i="39" l="1"/>
  <c r="O3" i="39"/>
  <c r="K3" i="39"/>
  <c r="N12" i="33"/>
  <c r="P12" i="33"/>
  <c r="S12" i="33"/>
  <c r="L12" i="33"/>
  <c r="J12" i="33"/>
  <c r="J8" i="33"/>
  <c r="L8" i="33"/>
  <c r="N8" i="33"/>
  <c r="P8" i="33"/>
  <c r="Y109" i="2"/>
  <c r="AG109" i="2"/>
  <c r="AC109" i="2"/>
  <c r="Y219" i="2"/>
  <c r="AC219" i="2"/>
  <c r="AG219" i="2"/>
  <c r="Y80" i="2"/>
  <c r="AG80" i="2"/>
  <c r="AC80" i="2"/>
  <c r="Y52" i="2"/>
  <c r="AC52" i="2"/>
  <c r="AG52" i="2"/>
  <c r="Y23" i="2"/>
  <c r="AC23" i="2"/>
  <c r="AG23" i="2"/>
  <c r="N2" i="33"/>
  <c r="P2" i="33"/>
  <c r="J2" i="33"/>
  <c r="L2" i="33"/>
  <c r="J13" i="39"/>
  <c r="J32" i="39"/>
  <c r="B8" i="46"/>
  <c r="B10" i="46"/>
  <c r="J16" i="39"/>
  <c r="J24" i="39"/>
  <c r="J12" i="39"/>
  <c r="J34" i="39"/>
  <c r="B14" i="46"/>
  <c r="B9" i="46"/>
  <c r="J6" i="39"/>
  <c r="B11" i="46"/>
  <c r="S6" i="33"/>
  <c r="J39" i="39"/>
  <c r="B17" i="46"/>
  <c r="J17" i="39"/>
  <c r="J41" i="39"/>
  <c r="J33" i="39"/>
  <c r="J20" i="39"/>
  <c r="J44" i="39"/>
  <c r="J46" i="39"/>
  <c r="J49" i="39"/>
  <c r="J23" i="39"/>
  <c r="J26" i="39"/>
  <c r="J40" i="39"/>
  <c r="J43" i="39"/>
  <c r="J30" i="39"/>
  <c r="J29" i="39"/>
  <c r="J27" i="39"/>
  <c r="J47" i="39"/>
  <c r="J21" i="39"/>
  <c r="J42" i="39"/>
  <c r="J22" i="39"/>
  <c r="J37" i="39"/>
  <c r="J11" i="39"/>
  <c r="J25" i="39"/>
  <c r="J15" i="39"/>
  <c r="J50" i="39"/>
  <c r="J28" i="39"/>
  <c r="J31" i="39"/>
  <c r="J7" i="39"/>
  <c r="J35" i="39"/>
  <c r="J18" i="39"/>
  <c r="J10" i="39"/>
  <c r="J14" i="39"/>
  <c r="J45" i="39"/>
  <c r="J19" i="39"/>
  <c r="J48" i="39"/>
  <c r="J36" i="39"/>
  <c r="J38" i="39"/>
  <c r="H5" i="33"/>
  <c r="H15" i="33"/>
  <c r="H13" i="33"/>
  <c r="H14" i="33"/>
  <c r="H149" i="33"/>
  <c r="H148" i="33"/>
  <c r="H147" i="33"/>
  <c r="H3" i="33"/>
  <c r="H4" i="33"/>
  <c r="H139" i="33"/>
  <c r="H142" i="33"/>
  <c r="H145" i="33"/>
  <c r="H138" i="33"/>
  <c r="H141" i="33"/>
  <c r="H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P141" i="33" l="1"/>
  <c r="N141" i="33"/>
  <c r="P138" i="33"/>
  <c r="N138" i="33"/>
  <c r="P145" i="33"/>
  <c r="N145" i="33"/>
  <c r="P144" i="33"/>
  <c r="N144" i="33"/>
  <c r="P142" i="33"/>
  <c r="N142" i="33"/>
  <c r="P139" i="33"/>
  <c r="N139" i="33"/>
  <c r="P147" i="33"/>
  <c r="N147" i="33"/>
  <c r="N148" i="33"/>
  <c r="P148" i="33"/>
  <c r="P149" i="33"/>
  <c r="N149" i="33"/>
  <c r="N13" i="33"/>
  <c r="P13" i="33"/>
  <c r="N15" i="33"/>
  <c r="P15" i="33"/>
  <c r="N14" i="33"/>
  <c r="P14" i="33"/>
  <c r="Y53" i="2"/>
  <c r="AC53" i="2"/>
  <c r="AG53" i="2"/>
  <c r="Y24" i="2"/>
  <c r="AC24" i="2"/>
  <c r="AG24" i="2"/>
  <c r="Y220" i="2"/>
  <c r="AC220" i="2"/>
  <c r="AG220" i="2"/>
  <c r="Y110" i="2"/>
  <c r="AC110" i="2"/>
  <c r="AG110" i="2"/>
  <c r="Y81" i="2"/>
  <c r="AG81" i="2"/>
  <c r="AC81" i="2"/>
  <c r="J138" i="33"/>
  <c r="L138" i="33"/>
  <c r="J145" i="33"/>
  <c r="L145" i="33"/>
  <c r="J5" i="33"/>
  <c r="L5" i="33"/>
  <c r="N5" i="33"/>
  <c r="P5" i="33"/>
  <c r="J144" i="33"/>
  <c r="L144" i="33"/>
  <c r="J142" i="33"/>
  <c r="L142" i="33"/>
  <c r="L139" i="33"/>
  <c r="J139" i="33"/>
  <c r="J141" i="33"/>
  <c r="L141" i="33"/>
  <c r="J4" i="33"/>
  <c r="L4" i="33"/>
  <c r="N4" i="33"/>
  <c r="P4" i="33"/>
  <c r="J3" i="33"/>
  <c r="L3" i="33"/>
  <c r="N3" i="33"/>
  <c r="P3" i="33"/>
  <c r="J147" i="33"/>
  <c r="L147" i="33"/>
  <c r="J13" i="33"/>
  <c r="L13" i="33"/>
  <c r="J148" i="33"/>
  <c r="L148" i="33"/>
  <c r="L149" i="33"/>
  <c r="J149" i="33"/>
  <c r="L15" i="33"/>
  <c r="J15" i="33"/>
  <c r="L14" i="33"/>
  <c r="J14" i="33"/>
  <c r="M35" i="39"/>
  <c r="O35" i="39"/>
  <c r="Q35" i="39"/>
  <c r="M38" i="39"/>
  <c r="O38" i="39"/>
  <c r="Q38" i="39"/>
  <c r="M50" i="39"/>
  <c r="O50" i="39"/>
  <c r="Q50" i="39"/>
  <c r="Q30" i="39"/>
  <c r="M30" i="39"/>
  <c r="O30" i="39"/>
  <c r="Q17" i="39"/>
  <c r="M17" i="39"/>
  <c r="O17" i="39"/>
  <c r="M12" i="39"/>
  <c r="O12" i="39"/>
  <c r="Q12" i="39"/>
  <c r="O31" i="39"/>
  <c r="Q31" i="39"/>
  <c r="M31" i="39"/>
  <c r="M16" i="39"/>
  <c r="O16" i="39"/>
  <c r="Q16" i="39"/>
  <c r="M36" i="39"/>
  <c r="O36" i="39"/>
  <c r="Q36" i="39"/>
  <c r="M15" i="39"/>
  <c r="O15" i="39"/>
  <c r="Q15" i="39"/>
  <c r="O43" i="39"/>
  <c r="Q43" i="39"/>
  <c r="M43" i="39"/>
  <c r="M34" i="39"/>
  <c r="O34" i="39"/>
  <c r="Q34" i="39"/>
  <c r="M28" i="39"/>
  <c r="O28" i="39"/>
  <c r="Q28" i="39"/>
  <c r="M48" i="39"/>
  <c r="O48" i="39"/>
  <c r="Q48" i="39"/>
  <c r="M25" i="39"/>
  <c r="O25" i="39"/>
  <c r="Q25" i="39"/>
  <c r="M40" i="39"/>
  <c r="O40" i="39"/>
  <c r="Q40" i="39"/>
  <c r="M39" i="39"/>
  <c r="O39" i="39"/>
  <c r="Q39" i="39"/>
  <c r="O32" i="39"/>
  <c r="Q32" i="39"/>
  <c r="M32" i="39"/>
  <c r="O20" i="39"/>
  <c r="Q20" i="39"/>
  <c r="M20" i="39"/>
  <c r="Q29" i="39"/>
  <c r="M29" i="39"/>
  <c r="O29" i="39"/>
  <c r="O19" i="39"/>
  <c r="Q19" i="39"/>
  <c r="M19" i="39"/>
  <c r="M26" i="39"/>
  <c r="O26" i="39"/>
  <c r="Q26" i="39"/>
  <c r="M13" i="39"/>
  <c r="O13" i="39"/>
  <c r="Q13" i="39"/>
  <c r="O7" i="39"/>
  <c r="Q7" i="39"/>
  <c r="M7" i="39"/>
  <c r="M27" i="39"/>
  <c r="O27" i="39"/>
  <c r="Q27" i="39"/>
  <c r="M45" i="39"/>
  <c r="O45" i="39"/>
  <c r="Q45" i="39"/>
  <c r="M11" i="39"/>
  <c r="O11" i="39"/>
  <c r="Q11" i="39"/>
  <c r="M23" i="39"/>
  <c r="O23" i="39"/>
  <c r="Q23" i="39"/>
  <c r="M21" i="39"/>
  <c r="O21" i="39"/>
  <c r="Q21" i="39"/>
  <c r="M33" i="39"/>
  <c r="O33" i="39"/>
  <c r="Q33" i="39"/>
  <c r="M14" i="39"/>
  <c r="O14" i="39"/>
  <c r="Q14" i="39"/>
  <c r="M37" i="39"/>
  <c r="O37" i="39"/>
  <c r="Q37" i="39"/>
  <c r="M49" i="39"/>
  <c r="O49" i="39"/>
  <c r="Q49" i="39"/>
  <c r="Q6" i="39"/>
  <c r="M6" i="39"/>
  <c r="O6" i="39"/>
  <c r="M47" i="39"/>
  <c r="O47" i="39"/>
  <c r="Q47" i="39"/>
  <c r="Q41" i="39"/>
  <c r="M41" i="39"/>
  <c r="O41" i="39"/>
  <c r="M10" i="39"/>
  <c r="O10" i="39"/>
  <c r="Q10" i="39"/>
  <c r="M22" i="39"/>
  <c r="O22" i="39"/>
  <c r="Q22" i="39"/>
  <c r="M46" i="39"/>
  <c r="O46" i="39"/>
  <c r="Q46" i="39"/>
  <c r="M24" i="39"/>
  <c r="O24" i="39"/>
  <c r="Q24" i="39"/>
  <c r="Q18" i="39"/>
  <c r="M18" i="39"/>
  <c r="O18" i="39"/>
  <c r="Q42" i="39"/>
  <c r="M42" i="39"/>
  <c r="O42" i="39"/>
  <c r="O44" i="39"/>
  <c r="Q44" i="39"/>
  <c r="M44"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K13" i="39"/>
  <c r="K26" i="39"/>
  <c r="K7" i="39"/>
  <c r="K21" i="39"/>
  <c r="K20" i="39"/>
  <c r="K31" i="39"/>
  <c r="K47" i="39"/>
  <c r="K33" i="39"/>
  <c r="K34" i="39"/>
  <c r="K28" i="39"/>
  <c r="K27" i="39"/>
  <c r="K12" i="39"/>
  <c r="K39" i="39"/>
  <c r="K38" i="39"/>
  <c r="K29" i="39"/>
  <c r="K41" i="39"/>
  <c r="K24" i="39"/>
  <c r="K36" i="39"/>
  <c r="K50" i="39"/>
  <c r="K30" i="39"/>
  <c r="K16" i="39"/>
  <c r="K48" i="39"/>
  <c r="K15" i="39"/>
  <c r="K43" i="39"/>
  <c r="K17" i="39"/>
  <c r="K19" i="39"/>
  <c r="K25" i="39"/>
  <c r="K40" i="39"/>
  <c r="K11" i="39"/>
  <c r="K10" i="39"/>
  <c r="K37" i="39"/>
  <c r="K49" i="39"/>
  <c r="K32" i="39"/>
  <c r="K23" i="39"/>
  <c r="K18" i="39"/>
  <c r="K22" i="39"/>
  <c r="K46" i="39"/>
  <c r="K6" i="39"/>
  <c r="K45" i="39"/>
  <c r="K14" i="39"/>
  <c r="K35" i="39"/>
  <c r="K42" i="39"/>
  <c r="K44" i="39"/>
  <c r="S15" i="33"/>
  <c r="S2" i="33"/>
  <c r="S5" i="33"/>
  <c r="S13" i="33"/>
  <c r="S14" i="33"/>
  <c r="S149" i="33"/>
  <c r="S147" i="33"/>
  <c r="S148" i="33"/>
  <c r="S141" i="33"/>
  <c r="S8" i="33"/>
  <c r="S138" i="33"/>
  <c r="S145" i="33"/>
  <c r="S142" i="33"/>
  <c r="S139" i="33"/>
  <c r="S4" i="33"/>
  <c r="S3" i="33"/>
  <c r="S144" i="33"/>
  <c r="R7" i="33"/>
  <c r="T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S7" i="3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<sst xmlns="http://schemas.openxmlformats.org/spreadsheetml/2006/main" count="2699" uniqueCount="663">
  <si>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</si>
  <si>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</si>
  <si>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</si>
  <si>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</si>
  <si>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</si>
  <si>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</si>
  <si>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</si>
  <si>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</si>
  <si>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</si>
  <si>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</si>
  <si>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</si>
  <si>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</si>
  <si>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</si>
  <si>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</si>
  <si>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</si>
  <si>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</si>
  <si>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</si>
  <si>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</si>
  <si>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</si>
  <si>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</si>
  <si>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</si>
  <si>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</si>
  <si>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</si>
  <si>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</si>
  <si>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</si>
  <si>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</si>
  <si>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</si>
  <si>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</si>
  <si>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</si>
  <si>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</si>
  <si>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</si>
  <si>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</si>
  <si>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</si>
  <si>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</si>
  <si>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</si>
  <si>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</si>
  <si>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</si>
  <si>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</si>
  <si>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</si>
  <si>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</si>
  <si>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</si>
  <si>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</si>
  <si>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</si>
  <si>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</si>
  <si>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</si>
  <si>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</si>
  <si>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</si>
  <si>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</si>
  <si>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</si>
  <si>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</si>
  <si>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</si>
  <si>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Flow_ID_O_6</t>
  </si>
  <si>
    <t>Complete?</t>
  </si>
  <si>
    <t>Stock_ID</t>
  </si>
  <si>
    <t>Name(EN)</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</si>
  <si>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</si>
  <si>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</si>
  <si>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</si>
  <si>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</si>
  <si>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</si>
  <si>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</si>
  <si>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</si>
  <si>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</si>
  <si>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</si>
  <si>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</si>
  <si>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</si>
  <si>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</si>
  <si>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</si>
  <si>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</si>
  <si>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</si>
  <si>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</si>
  <si>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</si>
  <si>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</si>
  <si>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</si>
  <si>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</si>
  <si>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</si>
  <si>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</si>
  <si>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</si>
  <si>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</si>
  <si>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</si>
  <si>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</si>
  <si>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</si>
  <si>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</si>
  <si>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</si>
  <si>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</si>
  <si>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</si>
  <si>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</si>
  <si>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</si>
  <si>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</si>
  <si>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</si>
  <si>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</si>
  <si>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</si>
  <si>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</si>
  <si>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</si>
  <si>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</si>
  <si>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</si>
  <si>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</si>
  <si>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</si>
  <si>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</si>
  <si>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</si>
  <si>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</si>
  <si>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</si>
  <si>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</si>
  <si>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</si>
  <si>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</si>
  <si>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</si>
  <si>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</si>
  <si>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</si>
  <si>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</si>
  <si>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</si>
  <si>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</si>
  <si>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</si>
  <si>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</si>
  <si>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</si>
  <si>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</si>
  <si>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</si>
  <si>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</si>
  <si>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</si>
  <si>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</si>
  <si>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</si>
  <si>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</si>
  <si>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</si>
  <si>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</si>
  <si>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</si>
  <si>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</si>
  <si>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</si>
  <si>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</si>
  <si>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</si>
  <si>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</si>
  <si>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</si>
  <si>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</si>
  <si>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</si>
  <si>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</si>
  <si>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</si>
  <si>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</si>
  <si>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</si>
  <si>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</si>
  <si>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</si>
  <si>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</si>
  <si>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</si>
  <si>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</si>
  <si>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</si>
  <si>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</si>
  <si>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</si>
  <si>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</si>
  <si>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</si>
  <si>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</si>
  <si>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</si>
  <si>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</si>
  <si>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</si>
  <si>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</si>
  <si>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</si>
  <si>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</si>
  <si>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</si>
  <si>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</si>
  <si>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</si>
  <si>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</si>
  <si>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</si>
  <si>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</si>
  <si>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</si>
  <si>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</si>
  <si>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</si>
  <si>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</si>
  <si>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</si>
  <si>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</si>
  <si>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</si>
  <si>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</si>
  <si>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</si>
  <si>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</si>
  <si>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</si>
  <si>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</si>
  <si>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</si>
  <si>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</si>
  <si>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</si>
  <si>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</si>
  <si>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</si>
  <si>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</si>
  <si>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</si>
  <si>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</si>
  <si>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</si>
  <si>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</si>
  <si>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</si>
  <si>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</si>
  <si>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</si>
  <si>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</si>
  <si>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</si>
  <si>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</si>
  <si>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</si>
  <si>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</si>
  <si>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</si>
  <si>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</si>
  <si>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</si>
  <si>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</si>
  <si>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</si>
  <si>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</si>
  <si>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</si>
  <si>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</si>
  <si>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</si>
  <si>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</si>
  <si>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</si>
  <si>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</si>
  <si>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</si>
  <si>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</si>
  <si>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</si>
  <si>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</si>
  <si>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</si>
  <si>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</si>
  <si>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</si>
  <si>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</si>
  <si>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</si>
  <si>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</si>
  <si>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Mg</t>
  </si>
  <si>
    <t>TC_ID_O_6</t>
  </si>
  <si>
    <t>TC_ID_O_6_Year</t>
  </si>
  <si>
    <t>TC O_6_[%]</t>
  </si>
  <si>
    <t>Output_Flow</t>
  </si>
  <si>
    <t>Value</t>
  </si>
  <si>
    <t>Initial_Stock_material</t>
  </si>
  <si>
    <t>Initial_Stock_WC[%]</t>
  </si>
  <si>
    <t>Initial_Stock_DM[%]</t>
  </si>
  <si>
    <t>Initial_Stock_CC[%]</t>
  </si>
  <si>
    <t>Category ID</t>
  </si>
  <si>
    <t>DSM Material 1</t>
  </si>
  <si>
    <t>DSM Material 2</t>
  </si>
  <si>
    <t>DSM Material 3</t>
  </si>
  <si>
    <t>DSM Material 4</t>
  </si>
  <si>
    <t>DSM Material 5</t>
  </si>
  <si>
    <t>DSM Material 6</t>
  </si>
  <si>
    <t>DSM Material 7</t>
  </si>
  <si>
    <t>Normal</t>
  </si>
  <si>
    <t>uniform</t>
  </si>
  <si>
    <t>triangular</t>
  </si>
  <si>
    <t>Parameter_Name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</si>
  <si>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</si>
  <si>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</si>
  <si>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</si>
  <si>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</si>
  <si>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</si>
  <si>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</si>
  <si>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</si>
  <si>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</si>
  <si>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</si>
  <si>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</si>
  <si>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</si>
  <si>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</si>
  <si>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</si>
  <si>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</si>
  <si>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</si>
  <si>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</si>
  <si>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</si>
  <si>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</si>
  <si>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</si>
  <si>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</si>
  <si>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</si>
  <si>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</si>
  <si>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</si>
  <si>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</si>
  <si>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</si>
  <si>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</si>
  <si>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</si>
  <si>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</si>
  <si>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</si>
  <si>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</si>
  <si>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</si>
  <si>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</si>
  <si>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</si>
  <si>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</si>
  <si>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</si>
  <si>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</si>
  <si>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</si>
  <si>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</si>
  <si>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</si>
  <si>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</si>
  <si>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</si>
  <si>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</si>
  <si>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</si>
  <si>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</si>
  <si>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</si>
  <si>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</si>
  <si>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</si>
  <si>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</si>
  <si>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</si>
  <si>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</si>
  <si>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</si>
  <si>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</si>
  <si>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</si>
  <si>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</si>
  <si>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</si>
  <si>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</si>
  <si>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</si>
  <si>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</si>
  <si>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</si>
  <si>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</si>
  <si>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</si>
  <si>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</si>
  <si>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</si>
  <si>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</si>
  <si>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</si>
  <si>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</si>
  <si>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</si>
  <si>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</si>
  <si>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</si>
  <si>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</si>
  <si>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</si>
  <si>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</si>
  <si>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</si>
  <si>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</si>
  <si>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</si>
  <si>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</si>
  <si>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</si>
  <si>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</si>
  <si>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</si>
  <si>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</si>
  <si>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</si>
  <si>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</si>
  <si>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</si>
  <si>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</si>
  <si>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</si>
  <si>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</si>
  <si>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</si>
  <si>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</si>
  <si>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</si>
  <si>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</si>
  <si>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</si>
  <si>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</si>
  <si>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</si>
  <si>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</si>
  <si>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</si>
  <si>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</si>
  <si>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</si>
  <si>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</si>
  <si>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</si>
  <si>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</si>
  <si>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</si>
  <si>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</si>
  <si>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</si>
  <si>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</si>
  <si>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</si>
  <si>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</si>
  <si>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</si>
  <si>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</si>
  <si>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</si>
  <si>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</si>
  <si>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</si>
  <si>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</si>
  <si>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</si>
  <si>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</si>
  <si>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</si>
  <si>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</si>
  <si>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</si>
  <si>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</si>
  <si>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</si>
  <si>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</si>
  <si>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</si>
  <si>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</si>
  <si>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</si>
  <si>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</si>
  <si>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</si>
  <si>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</si>
  <si>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</si>
  <si>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</si>
  <si>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</si>
  <si>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</si>
  <si>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</si>
  <si>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</si>
  <si>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</si>
  <si>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</si>
  <si>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</si>
  <si>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</si>
  <si>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</si>
  <si>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Export</t>
  </si>
  <si>
    <t>FOMP</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</si>
  <si>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</si>
  <si>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</si>
  <si>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</si>
  <si>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</si>
  <si>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</si>
  <si>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</si>
  <si>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</si>
  <si>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</si>
  <si>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</si>
  <si>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</si>
  <si>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</si>
  <si>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</si>
  <si>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</si>
  <si>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</si>
  <si>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</si>
  <si>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</si>
  <si>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</si>
  <si>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</si>
  <si>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</si>
  <si>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</si>
  <si>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</si>
  <si>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</si>
  <si>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</si>
  <si>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</si>
  <si>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</si>
  <si>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</si>
  <si>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</si>
  <si>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</si>
  <si>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</si>
  <si>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</si>
  <si>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</si>
  <si>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</si>
  <si>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</si>
  <si>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</si>
  <si>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</si>
  <si>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</si>
  <si>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</si>
  <si>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</si>
  <si>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</si>
  <si>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</si>
  <si>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</si>
  <si>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</si>
  <si>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</si>
  <si>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</si>
  <si>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</si>
  <si>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</si>
  <si>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</si>
  <si>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</si>
  <si>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</si>
  <si>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</si>
  <si>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</si>
  <si>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</si>
  <si>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</si>
  <si>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</si>
  <si>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</si>
  <si>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</si>
  <si>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</si>
  <si>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</si>
  <si>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</si>
  <si>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</si>
  <si>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</si>
  <si>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</si>
  <si>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</si>
  <si>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</si>
  <si>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</si>
  <si>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</si>
  <si>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</si>
  <si>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</si>
  <si>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</si>
  <si>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</si>
  <si>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</si>
  <si>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</si>
  <si>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</si>
  <si>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</si>
  <si>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</si>
  <si>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</si>
  <si>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</si>
  <si>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</si>
  <si>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</si>
  <si>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</si>
  <si>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</si>
  <si>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</si>
  <si>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</si>
  <si>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</si>
  <si>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</si>
  <si>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</si>
  <si>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</si>
  <si>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</si>
  <si>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</si>
  <si>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</si>
  <si>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</si>
  <si>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</si>
  <si>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</si>
  <si>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</si>
  <si>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</si>
  <si>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</si>
  <si>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</si>
  <si>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</si>
  <si>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</si>
  <si>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</si>
  <si>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</si>
  <si>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</si>
  <si>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</si>
  <si>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</si>
  <si>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</si>
  <si>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</si>
  <si>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</si>
  <si>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</si>
  <si>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</si>
  <si>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</si>
  <si>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</si>
  <si>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</si>
  <si>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</si>
  <si>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</si>
  <si>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</si>
  <si>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</si>
  <si>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</si>
  <si>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</si>
  <si>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</si>
  <si>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</si>
  <si>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</si>
  <si>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</si>
  <si>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</si>
  <si>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</si>
  <si>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</si>
  <si>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</si>
  <si>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</si>
  <si>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</si>
  <si>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</si>
  <si>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</si>
  <si>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</si>
  <si>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</si>
  <si>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</si>
  <si>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</si>
  <si>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</si>
  <si>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</si>
  <si>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</si>
  <si>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</si>
  <si>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</si>
  <si>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</si>
  <si>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</si>
  <si>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</si>
  <si>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</si>
  <si>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</si>
  <si>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</si>
  <si>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</si>
  <si>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</si>
  <si>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</si>
  <si>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</si>
  <si>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</si>
  <si>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</si>
  <si>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</si>
  <si>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</si>
  <si>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</si>
  <si>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</si>
  <si>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</si>
  <si>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</si>
  <si>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</si>
  <si>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</si>
  <si>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</si>
  <si>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</si>
  <si>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</si>
  <si>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</si>
  <si>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</si>
  <si>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</si>
  <si>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</si>
  <si>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</si>
  <si>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</si>
  <si>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</si>
  <si>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</si>
  <si>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</si>
  <si>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</si>
  <si>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</si>
  <si>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</si>
  <si>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</si>
  <si>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</si>
  <si>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</si>
  <si>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</si>
  <si>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</si>
  <si>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</si>
  <si>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</si>
  <si>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</si>
  <si>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</si>
  <si>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</si>
  <si>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</si>
  <si>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</si>
  <si>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</si>
  <si>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</si>
  <si>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</si>
  <si>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</si>
  <si>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</si>
  <si>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</si>
  <si>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</si>
  <si>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</si>
  <si>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</si>
  <si>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</si>
  <si>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</si>
  <si>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</si>
  <si>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</si>
  <si>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</si>
  <si>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</si>
  <si>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</si>
  <si>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</si>
  <si>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</si>
  <si>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</si>
  <si>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</si>
  <si>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</si>
  <si>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</si>
  <si>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</si>
  <si>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</si>
  <si>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</si>
  <si>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</si>
  <si>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Increased_cascading_utilization</t>
  </si>
  <si>
    <t>TC_Type</t>
  </si>
  <si>
    <t>Dynamic</t>
  </si>
  <si>
    <t>Static</t>
  </si>
  <si>
    <t>CL_TC_Type</t>
  </si>
  <si>
    <t>CL_logic</t>
  </si>
  <si>
    <t>No TC</t>
  </si>
  <si>
    <t>Reifenherstellung</t>
  </si>
  <si>
    <t>Reifennutzung</t>
  </si>
  <si>
    <t>Abrieb &amp; Akkumulation in der Umwelt</t>
  </si>
  <si>
    <t>Altreifensammlung</t>
  </si>
  <si>
    <t>Runderneuerung</t>
  </si>
  <si>
    <t>Werkstoffliche Verwertung</t>
  </si>
  <si>
    <t>Thermische Vwerwertung</t>
  </si>
  <si>
    <t>Zementmischung</t>
  </si>
  <si>
    <t>C-Emissionen</t>
  </si>
  <si>
    <t>Stahlrecycling</t>
  </si>
  <si>
    <t>sonstige Verwendung als Füllstoff</t>
  </si>
  <si>
    <t>Natur-&amp; Synthesekautchouck</t>
  </si>
  <si>
    <t>Stahldraht + Textilfaser</t>
  </si>
  <si>
    <t>Füllstoffe (Ruß &amp; Kieselgel)</t>
  </si>
  <si>
    <t>Natur &amp; Synthese Kautchouk</t>
  </si>
  <si>
    <t>Stahldraht &amp; Textilfaser</t>
  </si>
  <si>
    <t>Reifen</t>
  </si>
  <si>
    <t>Abrieb</t>
  </si>
  <si>
    <t>Altreifen</t>
  </si>
  <si>
    <t>Altreifen_Erneuerung</t>
  </si>
  <si>
    <t>Altreifen_Werkstofflich</t>
  </si>
  <si>
    <t>Altreifen_Thermisch</t>
  </si>
  <si>
    <t>Altreifen_export</t>
  </si>
  <si>
    <t>Reifen_runderneuert</t>
  </si>
  <si>
    <t>Kunststoffgranulat</t>
  </si>
  <si>
    <t>Kohlenstoff</t>
  </si>
  <si>
    <t>Stahldraht &amp; Textilfaser_Zement</t>
  </si>
  <si>
    <t>Stahldraht</t>
  </si>
  <si>
    <t>Vielfahrer</t>
  </si>
  <si>
    <t>Mittel</t>
  </si>
  <si>
    <t>Reifen_Nach_Nutzung</t>
  </si>
  <si>
    <t>OEPNV</t>
  </si>
  <si>
    <t>Pro-Auto</t>
  </si>
  <si>
    <t>F_14_00</t>
  </si>
  <si>
    <t>F_13_00</t>
  </si>
  <si>
    <t>F_12_00</t>
  </si>
  <si>
    <t>0.7</t>
  </si>
  <si>
    <t>1.2</t>
  </si>
  <si>
    <t>DSM_Category_Nr.</t>
  </si>
  <si>
    <t>DSM_Category_Name</t>
  </si>
  <si>
    <t>DSM_Inflow_Split_[%]</t>
  </si>
  <si>
    <t>DSM_Lifetime_Type</t>
  </si>
  <si>
    <t>DSM_Lifetime_Mean</t>
  </si>
  <si>
    <t>DSM_Lifetime_StdDev</t>
  </si>
  <si>
    <t>DSM_Parameter</t>
  </si>
  <si>
    <t>DSM_Parameter_type</t>
  </si>
  <si>
    <t>DSM_Parameter_typ</t>
  </si>
  <si>
    <t>DSM_Value</t>
  </si>
  <si>
    <t>normal</t>
  </si>
  <si>
    <t>DSM_Output_1_Flow_ID</t>
  </si>
  <si>
    <t>DSM_Output_1_Flow_Name</t>
  </si>
  <si>
    <t>DSM_Output_1_Split_[%]</t>
  </si>
  <si>
    <t>DSM_Output_2_Flow_ID</t>
  </si>
  <si>
    <t>DSM_Output_2_Flow_Name</t>
  </si>
  <si>
    <t>DSM_Output_2_Split_[%]</t>
  </si>
  <si>
    <t>DSM_Output_3_Flow_ID</t>
  </si>
  <si>
    <t>DSM_Output_3_Flow_Name</t>
  </si>
  <si>
    <t>DSM_Output_3_Split_[%]</t>
  </si>
  <si>
    <t>F_01_02</t>
  </si>
  <si>
    <t>F_01_03</t>
  </si>
  <si>
    <t>Wenig</t>
  </si>
  <si>
    <t>0.6</t>
  </si>
  <si>
    <t>0.5</t>
  </si>
  <si>
    <t>Pass-through</t>
  </si>
  <si>
    <t>DSM</t>
  </si>
  <si>
    <t>TC_Configuration</t>
  </si>
  <si>
    <t>Stock_Configuration</t>
  </si>
  <si>
    <t>CL_Stock_Configuration</t>
  </si>
  <si>
    <t>With_Initial_Stock</t>
  </si>
  <si>
    <t>No_Stock</t>
  </si>
  <si>
    <t>Stock</t>
  </si>
  <si>
    <t>Setting_Name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</si>
</sst>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3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medium">
        <color indexed="64"/>
      </top>
      <bottom style="dotted">
        <color auto="1"/>
      </bottom>
      <diagonal/>
    </border>
    <border>
      <left style="thin">
        <color indexed="64"/>
      </left>
      <right style="thin">
        <color indexed="64"/>
      </right>
      <top/>
      <bottom style="thin">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5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3" fillId="0" borderId="2" xfId="0" applyFont="1" applyBorder="1"/>
    <xf numFmtId="0" fontId="5" fillId="5" borderId="12" xfId="4" applyAlignment="1">
      <alignment wrapText="1"/>
      <protection locked="0"/>
    </xf>
    <xf numFmtId="0" fontId="3" fillId="6" borderId="17" xfId="0" applyFont="1" applyFill="1" applyBorder="1"/>
    <xf numFmtId="9" fontId="5" fillId="5" borderId="12" xfId="1" applyFont="1" applyFill="1" applyBorder="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0" xfId="3" applyBorder="1"/>
    <xf numFmtId="49" fontId="5" fillId="35" borderId="12" xfId="3" applyNumberFormat="1" applyAlignment="1">
      <alignment horizontal="right"/>
    </xf>
    <xf numFmtId="9" fontId="5" fillId="4" borderId="20"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7" xfId="0" applyNumberFormat="1" applyFont="1" applyFill="1" applyBorder="1"/>
    <xf numFmtId="164" fontId="3" fillId="6" borderId="18"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1" xfId="1" applyFont="1" applyFill="1" applyBorder="1" applyAlignment="1">
      <alignment vertical="center" wrapText="1"/>
    </xf>
    <xf numFmtId="9" fontId="9" fillId="12" borderId="22" xfId="1" applyFont="1" applyFill="1" applyBorder="1" applyAlignment="1">
      <alignment vertical="center" wrapText="1"/>
    </xf>
    <xf numFmtId="9" fontId="9" fillId="13" borderId="22" xfId="1" applyFont="1" applyFill="1" applyBorder="1" applyAlignment="1">
      <alignment vertical="center" wrapText="1"/>
    </xf>
    <xf numFmtId="9" fontId="9" fillId="14" borderId="22" xfId="1" applyFont="1" applyFill="1" applyBorder="1" applyAlignment="1">
      <alignment vertical="center" wrapText="1"/>
    </xf>
    <xf numFmtId="0" fontId="0" fillId="0" borderId="23"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2" xfId="0" applyNumberFormat="1" applyFont="1" applyFill="1" applyBorder="1" applyAlignment="1">
      <alignment vertical="center" wrapText="1"/>
    </xf>
    <xf numFmtId="0" fontId="9" fillId="18" borderId="22" xfId="0" applyFont="1" applyFill="1" applyBorder="1" applyAlignment="1">
      <alignment vertical="center" wrapText="1"/>
    </xf>
    <xf numFmtId="0" fontId="9" fillId="19" borderId="23" xfId="0" applyFont="1" applyFill="1" applyBorder="1" applyAlignment="1">
      <alignment vertical="center" wrapText="1"/>
    </xf>
    <xf numFmtId="165" fontId="0" fillId="20" borderId="21" xfId="0" applyNumberFormat="1" applyFill="1" applyBorder="1" applyAlignment="1">
      <alignment wrapText="1"/>
    </xf>
    <xf numFmtId="165" fontId="0" fillId="20" borderId="22" xfId="0" applyNumberFormat="1" applyFill="1" applyBorder="1" applyAlignment="1">
      <alignment wrapText="1"/>
    </xf>
    <xf numFmtId="165" fontId="0" fillId="20" borderId="23" xfId="0" applyNumberFormat="1" applyFill="1" applyBorder="1" applyAlignment="1">
      <alignment wrapText="1"/>
    </xf>
    <xf numFmtId="9" fontId="9" fillId="21" borderId="21" xfId="1" applyFont="1" applyFill="1" applyBorder="1" applyAlignment="1">
      <alignment vertical="center" wrapText="1"/>
    </xf>
    <xf numFmtId="165" fontId="9" fillId="22" borderId="22" xfId="0" applyNumberFormat="1" applyFont="1" applyFill="1" applyBorder="1" applyAlignment="1">
      <alignment vertical="center" wrapText="1"/>
    </xf>
    <xf numFmtId="164" fontId="0" fillId="11" borderId="23" xfId="1" applyNumberFormat="1" applyFont="1" applyFill="1" applyBorder="1" applyAlignment="1">
      <alignment wrapText="1"/>
    </xf>
    <xf numFmtId="0" fontId="9" fillId="11" borderId="22" xfId="0" applyFont="1" applyFill="1" applyBorder="1" applyAlignment="1">
      <alignment vertical="center" wrapText="1"/>
    </xf>
    <xf numFmtId="9" fontId="9" fillId="21" borderId="22" xfId="1" applyFont="1" applyFill="1" applyBorder="1" applyAlignment="1">
      <alignment vertical="center" wrapText="1"/>
    </xf>
    <xf numFmtId="9" fontId="9" fillId="11" borderId="23" xfId="1" applyFont="1" applyFill="1" applyBorder="1" applyAlignment="1">
      <alignment vertical="center" wrapText="1"/>
    </xf>
    <xf numFmtId="0" fontId="9" fillId="23" borderId="23"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1" xfId="0" applyFont="1" applyFill="1" applyBorder="1" applyAlignment="1">
      <alignment vertical="center" wrapText="1"/>
    </xf>
    <xf numFmtId="9" fontId="9" fillId="12" borderId="22" xfId="0" applyNumberFormat="1" applyFont="1" applyFill="1" applyBorder="1" applyAlignment="1">
      <alignment vertical="center" wrapText="1"/>
    </xf>
    <xf numFmtId="9" fontId="9" fillId="27" borderId="22" xfId="0" applyNumberFormat="1" applyFont="1" applyFill="1" applyBorder="1" applyAlignment="1">
      <alignment vertical="center" wrapText="1"/>
    </xf>
    <xf numFmtId="0" fontId="9" fillId="12" borderId="22" xfId="0" applyFont="1" applyFill="1" applyBorder="1" applyAlignment="1">
      <alignment vertical="center" wrapText="1"/>
    </xf>
    <xf numFmtId="9" fontId="9" fillId="12" borderId="23" xfId="1" applyFont="1" applyFill="1" applyBorder="1" applyAlignment="1">
      <alignment vertical="center" wrapText="1"/>
    </xf>
    <xf numFmtId="0" fontId="9" fillId="13" borderId="21" xfId="0" applyFont="1" applyFill="1" applyBorder="1" applyAlignment="1">
      <alignment vertical="center" wrapText="1"/>
    </xf>
    <xf numFmtId="9" fontId="9" fillId="28" borderId="22" xfId="1" applyFont="1" applyFill="1" applyBorder="1" applyAlignment="1">
      <alignment vertical="center" wrapText="1"/>
    </xf>
    <xf numFmtId="0" fontId="9" fillId="13" borderId="22" xfId="0" applyFont="1" applyFill="1" applyBorder="1" applyAlignment="1">
      <alignment vertical="center" wrapText="1"/>
    </xf>
    <xf numFmtId="9" fontId="9" fillId="13" borderId="23" xfId="1" applyFont="1" applyFill="1" applyBorder="1" applyAlignment="1">
      <alignment vertical="center" wrapText="1"/>
    </xf>
    <xf numFmtId="0" fontId="9" fillId="14" borderId="21" xfId="0" applyFont="1" applyFill="1" applyBorder="1" applyAlignment="1">
      <alignment vertical="center" wrapText="1"/>
    </xf>
    <xf numFmtId="9" fontId="9" fillId="29" borderId="22" xfId="0" applyNumberFormat="1" applyFont="1" applyFill="1" applyBorder="1" applyAlignment="1">
      <alignment vertical="center" wrapText="1"/>
    </xf>
    <xf numFmtId="0" fontId="9" fillId="14" borderId="23"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1" xfId="0" applyNumberFormat="1" applyFont="1" applyFill="1" applyBorder="1" applyAlignment="1">
      <alignment vertical="center" wrapText="1"/>
    </xf>
    <xf numFmtId="9" fontId="9" fillId="17" borderId="23" xfId="0" applyNumberFormat="1" applyFont="1" applyFill="1" applyBorder="1" applyAlignment="1">
      <alignment vertical="center" wrapText="1"/>
    </xf>
    <xf numFmtId="0" fontId="9" fillId="18" borderId="21" xfId="0" applyFont="1" applyFill="1" applyBorder="1" applyAlignment="1">
      <alignment vertical="center" wrapText="1"/>
    </xf>
    <xf numFmtId="0" fontId="9" fillId="18" borderId="23" xfId="0" applyFont="1" applyFill="1" applyBorder="1" applyAlignment="1">
      <alignment vertical="center" wrapText="1"/>
    </xf>
    <xf numFmtId="0" fontId="9" fillId="19" borderId="21" xfId="0" applyFont="1" applyFill="1" applyBorder="1" applyAlignment="1">
      <alignment vertical="center" wrapText="1"/>
    </xf>
    <xf numFmtId="0" fontId="9" fillId="19" borderId="22" xfId="0" applyFont="1" applyFill="1" applyBorder="1" applyAlignment="1">
      <alignment vertical="center" wrapText="1"/>
    </xf>
    <xf numFmtId="9" fontId="0" fillId="11" borderId="23" xfId="1" applyFont="1" applyFill="1" applyBorder="1" applyAlignment="1">
      <alignment wrapText="1"/>
    </xf>
    <xf numFmtId="0" fontId="9" fillId="21" borderId="22"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2" xfId="0" applyNumberFormat="1" applyFont="1" applyFill="1" applyBorder="1" applyAlignment="1">
      <alignment vertical="center" wrapText="1"/>
    </xf>
    <xf numFmtId="0" fontId="9" fillId="28" borderId="22" xfId="0" applyFont="1" applyFill="1" applyBorder="1" applyAlignment="1">
      <alignment vertical="center" wrapText="1"/>
    </xf>
    <xf numFmtId="0" fontId="9" fillId="14" borderId="22"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9" fillId="0" borderId="26" xfId="0" applyFont="1" applyBorder="1" applyAlignment="1">
      <alignment horizontal="left" vertical="center" wrapText="1"/>
    </xf>
    <xf numFmtId="0" fontId="0" fillId="0" borderId="25" xfId="0" applyBorder="1" applyAlignment="1">
      <alignment horizontal="left" wrapText="1"/>
    </xf>
    <xf numFmtId="0" fontId="9" fillId="10" borderId="7" xfId="0" applyFont="1" applyFill="1" applyBorder="1" applyAlignment="1">
      <alignment vertical="center" wrapText="1"/>
    </xf>
    <xf numFmtId="0" fontId="8" fillId="10" borderId="30" xfId="0" applyFont="1" applyFill="1" applyBorder="1" applyAlignment="1">
      <alignment vertical="center" wrapText="1"/>
    </xf>
    <xf numFmtId="0" fontId="9" fillId="0" borderId="31" xfId="0" applyFont="1" applyBorder="1" applyAlignment="1">
      <alignment vertical="center" wrapText="1"/>
    </xf>
    <xf numFmtId="0" fontId="11" fillId="0" borderId="26" xfId="0" applyFont="1" applyBorder="1" applyAlignment="1">
      <alignment horizontal="left"/>
    </xf>
    <xf numFmtId="0" fontId="0" fillId="0" borderId="32" xfId="0" applyBorder="1" applyAlignment="1">
      <alignment horizontal="left" wrapText="1"/>
    </xf>
    <xf numFmtId="0" fontId="9" fillId="0" borderId="32" xfId="0" applyFont="1" applyBorder="1" applyAlignment="1">
      <alignment horizontal="left" vertical="center" wrapText="1"/>
    </xf>
    <xf numFmtId="0" fontId="8" fillId="10" borderId="5" xfId="0" applyFont="1" applyFill="1" applyBorder="1" applyAlignment="1">
      <alignment vertical="center" wrapText="1"/>
    </xf>
    <xf numFmtId="0" fontId="9" fillId="0" borderId="33"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3" xfId="0" applyFont="1" applyFill="1" applyBorder="1" applyAlignment="1">
      <alignment vertical="center" wrapText="1"/>
    </xf>
    <xf numFmtId="0" fontId="3" fillId="8" borderId="17" xfId="0" applyFont="1" applyFill="1" applyBorder="1"/>
    <xf numFmtId="0" fontId="3" fillId="8" borderId="34" xfId="4" applyFont="1" applyFill="1" applyBorder="1">
      <protection locked="0"/>
    </xf>
    <xf numFmtId="0" fontId="5" fillId="35" borderId="19" xfId="3" applyBorder="1"/>
    <xf numFmtId="10" fontId="5" fillId="5" borderId="12" xfId="4" applyNumberFormat="1">
      <protection locked="0"/>
    </xf>
    <xf numFmtId="0" fontId="5" fillId="35" borderId="35" xfId="3" applyBorder="1"/>
    <xf numFmtId="0" fontId="5" fillId="5" borderId="35"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5" xfId="4" applyBorder="1">
      <protection locked="0"/>
    </xf>
    <xf numFmtId="9" fontId="5" fillId="5" borderId="12" xfId="1" applyFont="1" applyFill="1" applyBorder="1" applyProtection="1">
      <protection locked="0"/>
    </xf>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7" xfId="3" applyBorder="1"/>
    <xf numFmtId="0" fontId="5" fillId="5" borderId="37" xfId="4" applyBorder="1">
      <protection locked="0"/>
    </xf>
    <xf numFmtId="0" fontId="6" fillId="7" borderId="35" xfId="5" applyBorder="1">
      <protection locked="0"/>
    </xf>
    <xf numFmtId="0" fontId="6" fillId="7" borderId="37" xfId="5" applyBorder="1">
      <protection locked="0"/>
    </xf>
    <xf numFmtId="0" fontId="6" fillId="7" borderId="15" xfId="5" applyBorder="1">
      <protection locked="0"/>
    </xf>
    <xf numFmtId="0" fontId="5" fillId="23" borderId="36"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5" xfId="0" applyFont="1" applyBorder="1" applyAlignment="1">
      <alignment horizontal="center" vertical="top"/>
    </xf>
    <xf numFmtId="0" fontId="14" fillId="0" borderId="38" xfId="0" applyFont="1" applyBorder="1" applyAlignment="1">
      <alignment horizontal="center" vertical="top"/>
    </xf>
    <xf numFmtId="0" fontId="0" fillId="0" borderId="2" xfId="0" applyBorder="1" applyAlignment="1">
      <alignment horizontal="center"/>
    </xf>
    <xf numFmtId="0" fontId="0" fillId="2" borderId="0" xfId="0" applyFill="1" applyAlignment="1">
      <alignment wrapText="1"/>
    </xf>
    <xf numFmtId="0" fontId="15" fillId="7" borderId="12" xfId="11" applyFill="1" applyBorder="1" applyProtection="1">
      <protection locked="0"/>
    </xf>
    <xf numFmtId="164" fontId="5" fillId="35" borderId="12" xfId="3" applyNumberFormat="1"/>
    <xf numFmtId="164" fontId="5" fillId="35" borderId="20"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3" xfId="0" applyFont="1" applyFill="1" applyBorder="1" applyAlignment="1">
      <alignment horizontal="center" vertical="center" wrapText="1"/>
    </xf>
    <xf numFmtId="0" fontId="9" fillId="34" borderId="22" xfId="0" applyFont="1" applyFill="1" applyBorder="1" applyAlignment="1">
      <alignment horizontal="center" vertical="center" wrapText="1"/>
    </xf>
    <xf numFmtId="0" fontId="9" fillId="34" borderId="21" xfId="0" applyFont="1" applyFill="1" applyBorder="1" applyAlignment="1">
      <alignment horizontal="center" vertical="center" wrapText="1"/>
    </xf>
    <xf numFmtId="0" fontId="9" fillId="34" borderId="23" xfId="0" applyFont="1" applyFill="1" applyBorder="1" applyAlignment="1">
      <alignment horizontal="left" vertical="center" wrapText="1"/>
    </xf>
    <xf numFmtId="0" fontId="9" fillId="34" borderId="22" xfId="0" applyFont="1" applyFill="1" applyBorder="1" applyAlignment="1">
      <alignment horizontal="left" vertical="center" wrapText="1"/>
    </xf>
    <xf numFmtId="0" fontId="9" fillId="34" borderId="21" xfId="0" applyFont="1" applyFill="1" applyBorder="1" applyAlignment="1">
      <alignment horizontal="left" vertical="center" wrapText="1"/>
    </xf>
    <xf numFmtId="0" fontId="8" fillId="10" borderId="29" xfId="0" applyFont="1" applyFill="1" applyBorder="1" applyAlignment="1">
      <alignment horizontal="center" vertical="center" wrapText="1"/>
    </xf>
    <xf numFmtId="0" fontId="8" fillId="10" borderId="28"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3" xfId="0" applyFont="1" applyFill="1" applyBorder="1" applyAlignment="1">
      <alignment horizontal="center" vertical="top" wrapText="1"/>
    </xf>
    <xf numFmtId="0" fontId="9" fillId="26" borderId="22" xfId="0" applyFont="1" applyFill="1" applyBorder="1" applyAlignment="1">
      <alignment horizontal="center" vertical="top" wrapText="1"/>
    </xf>
    <xf numFmtId="0" fontId="9" fillId="26" borderId="21" xfId="0" applyFont="1" applyFill="1" applyBorder="1" applyAlignment="1">
      <alignment horizontal="center" vertical="top" wrapText="1"/>
    </xf>
    <xf numFmtId="0" fontId="9" fillId="25" borderId="23" xfId="0" applyFont="1" applyFill="1" applyBorder="1" applyAlignment="1">
      <alignment horizontal="center" vertical="top" wrapText="1"/>
    </xf>
    <xf numFmtId="0" fontId="9" fillId="25" borderId="22" xfId="0" applyFont="1" applyFill="1" applyBorder="1" applyAlignment="1">
      <alignment horizontal="center" vertical="top" wrapText="1"/>
    </xf>
    <xf numFmtId="0" fontId="9" fillId="25" borderId="21" xfId="0" applyFont="1" applyFill="1" applyBorder="1" applyAlignment="1">
      <alignment horizontal="center" vertical="top" wrapText="1"/>
    </xf>
    <xf numFmtId="0" fontId="5" fillId="35" borderId="15" xfId="3" applyBorder="1" applyAlignment="1">
      <alignment horizontal="left" vertical="center" wrapText="1"/>
    </xf>
    <xf numFmtId="0" fontId="5" fillId="35" borderId="16" xfId="3" applyBorder="1" applyAlignment="1">
      <alignment horizontal="left" vertical="center" wrapText="1"/>
    </xf>
    <xf numFmtId="0" fontId="8" fillId="10" borderId="23" xfId="0" applyFont="1" applyFill="1" applyBorder="1" applyAlignment="1">
      <alignment horizontal="center" vertical="center" wrapText="1"/>
    </xf>
    <xf numFmtId="0" fontId="8" fillId="10" borderId="22" xfId="0" applyFont="1" applyFill="1" applyBorder="1" applyAlignment="1">
      <alignment horizontal="center" vertical="center" wrapText="1"/>
    </xf>
    <xf numFmtId="0" fontId="8" fillId="10" borderId="21"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3" xfId="0" applyFill="1" applyBorder="1" applyAlignment="1">
      <alignment horizontal="center"/>
    </xf>
    <xf numFmtId="0" fontId="0" fillId="15" borderId="22" xfId="0" applyFill="1" applyBorder="1" applyAlignment="1">
      <alignment horizontal="center"/>
    </xf>
    <xf numFmtId="0" fontId="0" fillId="15" borderId="21"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0" xfId="0" applyBorder="1"/>
    <xf numFmtId="0" fontId="5" fillId="5" borderId="12" xfId="4" applyNumberFormat="1">
      <protection locked="0"/>
    </xf>
    <xf numFmtId="49" fontId="5" fillId="5" borderId="12" xfId="4" applyNumberFormat="1">
      <protection locked="0"/>
    </xf>
    <xf numFmtId="0" fontId="5" fillId="5" borderId="12" xfId="4" applyNumberFormat="1" applyFont="1" applyFill="1" applyBorder="1" applyProtection="1"/>
    <xf numFmtId="0" fontId="5" fillId="35" borderId="12" xfId="3" applyBorder="1" applyAlignment="1">
      <alignment textRotation="90" wrapText="1"/>
    </xf>
    <xf numFmtId="0" fontId="5" fillId="35" borderId="12" xfId="3" applyBorder="1"/>
    <xf numFmtId="0" fontId="5" fillId="5" borderId="12" xfId="4" applyBorder="1">
      <protection locked="0"/>
    </xf>
    <xf numFmtId="0" fontId="6" fillId="7" borderId="12" xfId="5" applyBorder="1">
      <protection locked="0"/>
    </xf>
    <xf numFmtId="0" fontId="5" fillId="35" borderId="15" xfId="3" applyBorder="1" applyAlignment="1">
      <alignment textRotation="90" wrapText="1"/>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97">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protection locked="1" hidden="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dxf>
    <dxf>
      <border outline="0">
        <bottom style="thin">
          <color theme="1"/>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15" totalsRowShown="0" tableBorderDxfId="1">
  <autoFilter ref="A1:F15" xr:uid="{1C80BA90-6303-48FE-B877-0863368B268A}"/>
  <tableColumns count="6">
    <tableColumn id="6" xr3:uid="{6622C4EF-052B-45CD-A847-ACCB06EA8E2A}" name="Category_Settings" dataCellStyle="03_Auto_Calcaulation"/>
    <tableColumn id="1" xr3:uid="{0F35CF36-2EE4-427C-B457-B780F70AB2BD}" name="Setting_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96" dataCellStyle="04_Comments"/>
    <tableColumn id="1" xr3:uid="{23E8F131-81B2-4705-927A-A42C393BEDCE}" name="ID" dataDxfId="95">
      <calculatedColumnFormula>ROW()-1</calculatedColumnFormula>
    </tableColumn>
    <tableColumn id="2" xr3:uid="{D694ED25-71D4-4BD1-B627-FBE0FAE9FC8B}" name="Flow_ID" dataDxfId="94">
      <calculatedColumnFormula>"F_"&amp;LEFT(F2,2)&amp;"_"&amp;LEFT(H2,2)</calculatedColumnFormula>
    </tableColumn>
    <tableColumn id="3" xr3:uid="{CA1C6FA9-65CA-47E1-94EA-BBB750256C84}" name="Flow_Name" dataDxfId="93"/>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92">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1"/>
    <tableColumn id="22" xr3:uid="{ABA27704-56CF-4C30-88CB-BB6E944F7F08}" name="WC_source" dataCellStyle="04_Comments"/>
    <tableColumn id="10" xr3:uid="{D0034047-8042-40C2-8630-B9AC9A67EFA6}" name="Flow_DM_ID" dataDxfId="90" dataCellStyle="03_Auto_Calcaulation">
      <calculatedColumnFormula>Tab_Def_Flows[[#This Row],[Flow_ID]]&amp;"_DM"</calculatedColumnFormula>
    </tableColumn>
    <tableColumn id="23" xr3:uid="{5CA0D08F-32C9-451C-A223-78F9E163EE87}" name="Flow_DM" dataDxfId="89"/>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88"/>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87"/>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86">
      <calculatedColumnFormula>_xlfn.XLOOKUP(C2,Tab_Def_Flows[Flow_Name],Tab_Def_Flows[WC?],,0,)</calculatedColumnFormula>
    </tableColumn>
    <tableColumn id="31" xr3:uid="{24B36152-385D-4D3C-A274-72EA56B6819A}" name="DM?" dataDxfId="85">
      <calculatedColumnFormula>_xlfn.XLOOKUP(C2,Tab_Def_Flows[Flow_Name],Tab_Def_Flows[DM?],,0,)</calculatedColumnFormula>
    </tableColumn>
    <tableColumn id="32" xr3:uid="{A086924B-597B-4B7A-B9B2-8397025FD97B}" name="CC?" dataDxfId="84">
      <calculatedColumnFormula>_xlfn.XLOOKUP(C2,Tab_Def_Flows[Flow_Name],Tab_Def_Flows[CC?],,0,)</calculatedColumnFormula>
    </tableColumn>
    <tableColumn id="8" xr3:uid="{99596DFE-48B5-4290-B0F6-A898E061D3F8}" name="Flow_Data_Year"/>
    <tableColumn id="9" xr3:uid="{1ACF4DEC-161A-4C25-85DA-AEB0305665A1}" name="Flow" dataDxfId="83"/>
    <tableColumn id="10" xr3:uid="{830F5101-5C33-4F82-BC56-E2BC7AF81364}" name="UoM_Source"/>
    <tableColumn id="11" xr3:uid="{4CDA8F79-829B-47EF-ADFC-3E43B62F90A4}" name="Name_Source" dataCellStyle="04_Comments"/>
    <tableColumn id="26" xr3:uid="{5682EF5B-30C4-46B4-B5FF-A174139B9E8A}" name="AVV" dataDxfId="82">
      <calculatedColumnFormula>INDEX(#REF!,MATCH(Tab_Data_Flows[[#This Row],[Flow_Name]],#REF!,0),12)</calculatedColumnFormula>
    </tableColumn>
    <tableColumn id="27" xr3:uid="{0FD99FBB-FEDB-4B73-A541-FB8A676D64E7}" name="Titel_Source" dataDxfId="81">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0"/>
    <tableColumn id="25" xr3:uid="{94996270-9A62-4B8C-B04B-D56A7F9FDE30}" name="Name_CF" dataDxfId="79">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78"/>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77"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76"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75"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L47" totalsRowShown="0" headerRowCellStyle="05_Header">
  <autoFilter ref="A1:L47" xr:uid="{CEDB6F7C-CFD3-4534-80A6-FB20E3898B22}"/>
  <tableColumns count="12">
    <tableColumn id="39" xr3:uid="{488AB972-9613-4DA9-9600-5BFBE3896251}" name="Complete?" dataDxfId="74" dataCellStyle="04_Comments"/>
    <tableColumn id="1" xr3:uid="{A63F92FA-2376-4B5A-A2DF-588878E604E1}" name="ID" dataDxfId="73">
      <calculatedColumnFormula>ROW()-1</calculatedColumnFormula>
    </tableColumn>
    <tableColumn id="2" xr3:uid="{6D346BEA-29CA-401C-8ABB-6C62791A731A}" name="Process_ID" dataDxfId="72">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12" xr3:uid="{164DC887-CD3D-467E-863D-5B1701C13C87}" name="Process_Logic" dataCellStyle="02_Data_Input (DD)"/>
    <tableColumn id="4" xr3:uid="{205F98D5-C655-4D0C-945F-288EE31DD8D8}" name="TC_Configuration" dataCellStyle="02_Data_Input (DD)"/>
    <tableColumn id="37" xr3:uid="{891365CA-9AE8-450C-981B-51AB3AAC0B42}" name="Stock_Configuration" dataCellStyle="02_Data_Input (DD)"/>
    <tableColumn id="9" xr3:uid="{FC5B49D3-94C3-4B94-8066-5A87D2EBA509}" name="Nr. Outflows" dataDxfId="7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W50" totalsRowShown="0" tableBorderDxfId="70" headerRowCellStyle="05_Header">
  <autoFilter ref="A1:W50" xr:uid="{7602A998-85E6-499A-B1A3-C584F22BB41F}"/>
  <tableColumns count="23">
    <tableColumn id="33" xr3:uid="{2E104FB0-3B3F-413B-B1B0-969D126AA7B1}" name="Complete?" dataDxfId="69" dataCellStyle="04_Comments"/>
    <tableColumn id="1" xr3:uid="{B9E05773-FB7F-407B-8FB3-BE93F6BB50D9}" name="ID" dataDxfId="68">
      <calculatedColumnFormula>ROW()-1</calculatedColumnFormula>
    </tableColumn>
    <tableColumn id="2" xr3:uid="{4324CFF4-5791-4829-80A7-8BA4CF2CD799}" name="Process_ID" dataDxfId="67">
      <calculatedColumnFormula>_xlfn.XLOOKUP($D2,Tab_Def_Processes[Process_Name],Tab_Def_Processes[ID],,0,)</calculatedColumnFormula>
    </tableColumn>
    <tableColumn id="4" xr3:uid="{946187C9-D3F8-4F19-9994-C8796BDBE53F}" name="Process_Name" dataCellStyle="02_Data_Input (DD)"/>
    <tableColumn id="3" xr3:uid="{479CFCA8-A274-4EFD-AB33-6D0AABD0F4B9}" name="Process_Logic" dataCellStyle="03_Auto_Calcaulation">
      <calculatedColumnFormula>_xlfn.XLOOKUP($D2,Tab_Def_Processes[Process_Name],Tab_Def_Processes[Process_Logic],,0,)</calculatedColumnFormula>
    </tableColumn>
    <tableColumn id="55" xr3:uid="{F3C18F15-6CF2-498C-8C52-DFE2AC10ECAC}" name="TC_Configuration">
      <calculatedColumnFormula>_xlfn.XLOOKUP($D2,Tab_Def_Processes[Process_Name],Tab_Def_Processes[TC_Configuration],,0,)</calculatedColumnFormula>
    </tableColumn>
    <tableColumn id="10" xr3:uid="{CC04B0A5-9C4F-4FFA-B2E2-F1D75167F23C}" name="Stock_Configuration">
      <calculatedColumnFormula>_xlfn.XLOOKUP($D2,Tab_Def_Processes[Process_Name],Tab_Def_Processes[Stock_Configuration],,0,)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"TC_material"&amp;"_"&amp;RIGHT(J2,5)</calculatedColumnFormula>
    </tableColumn>
    <tableColumn id="6" xr3:uid="{FFED5F6C-3218-4158-B83E-E36CBDBE66D3}" name="TC_Value_material" dataCellStyle="01_Data_Input [%]"/>
    <tableColumn id="5" xr3:uid="{26CB53AE-C2DA-498F-83BC-637846312E64}" name="TC_WC_ID" dataCellStyle="01_Data_Input [%]">
      <calculatedColumnFormula>"TC_WC"&amp;"_"&amp;RIGHT(J2,5)</calculatedColumnFormula>
    </tableColumn>
    <tableColumn id="14" xr3:uid="{C58A0316-8CD5-40B7-8DAC-47E491863B51}" name="TC_Value_WC" dataCellStyle="01_Data_Input [%]"/>
    <tableColumn id="7" xr3:uid="{D1AB31D7-FE03-4FA3-A841-2C6BF096BA38}" name="TC_DM_ID" dataCellStyle="01_Data_Input [%]">
      <calculatedColumnFormula>"TC_DM"&amp;"_"&amp;RIGHT(J2,5)</calculatedColumnFormula>
    </tableColumn>
    <tableColumn id="17" xr3:uid="{60C7719A-F2C4-4AA3-A9B0-A771C56BADEA}" name="TC_Value_DM" dataCellStyle="01_Data_Input [%]"/>
    <tableColumn id="13" xr3:uid="{FA3232AA-9699-474E-89ED-66751D08AE6B}" name="TC_CC_ID" dataCellStyle="01_Data_Input [%]">
      <calculatedColumnFormula>"TC_CC"&amp;"_"&amp;RIGHT(J2,5)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A149" totalsRowShown="0" headerRowDxfId="66" headerRowBorderDxfId="65" tableBorderDxfId="64">
  <autoFilter ref="A1:AA149" xr:uid="{7602A998-85E6-499A-B1A3-C584F22BB41F}"/>
  <sortState xmlns:xlrd2="http://schemas.microsoft.com/office/spreadsheetml/2017/richdata2" ref="A2:AA149">
    <sortCondition ref="D1:D149"/>
  </sortState>
  <tableColumns count="27">
    <tableColumn id="33" xr3:uid="{8D32234C-9537-417C-B55D-065038402726}" name="Complete?" dataDxfId="63" dataCellStyle="04_Comments"/>
    <tableColumn id="1" xr3:uid="{CE7CE076-C32F-4791-85A9-C6321A66E672}" name="ID" dataDxfId="62">
      <calculatedColumnFormula>ROW()-1</calculatedColumnFormula>
    </tableColumn>
    <tableColumn id="2" xr3:uid="{F7259AFD-9D16-4ACC-BDB2-8D0DCC203B92}" name="Process_ID" dataDxfId="6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"TC"&amp;LEFT(B2,2)&amp;"_"&amp;LEFT(C2,3)&amp;"_"&amp;LEFT(D2,3)&amp;"_"&amp;LEFT(J2,3)&amp;"_"&amp;LEFT(#REF!,3)</calculatedColumnFormula>
    </tableColumn>
    <tableColumn id="71" xr3:uid="{1A915599-95E7-42ED-96FF-6B72A882182B}" name="TC_Configuration" dataCellStyle="03_Auto_Calcaulation">
      <calculatedColumnFormula>_xlfn.XLOOKUP($D2,Tab_Process_TCs[Process_Name],Tab_Process_TCs[TC_Configuration],,0,)</calculatedColumnFormula>
    </tableColumn>
    <tableColumn id="6" xr3:uid="{ECCBCC07-0DFD-444C-84A1-6C630191FBD6}" name="Process_Logic" dataDxfId="6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"TC_material"&amp;"_"&amp;RIGHT(H2,5)</calculatedColumnFormula>
    </tableColumn>
    <tableColumn id="7" xr3:uid="{B6501728-CFCD-4CAF-8AE6-9FFFB31BB3EE}" name="TC_Value_material" dataCellStyle="01_Data_Input [%]"/>
    <tableColumn id="130" xr3:uid="{597A00C3-62A3-4A2E-9873-EF4CCC3D399C}" name="TC_WC_ID" dataDxfId="59" dataCellStyle="03_Auto_Calcaulation">
      <calculatedColumnFormula>"TC_WC"&amp;"_"&amp;RIGHT(H2,5)</calculatedColumnFormula>
    </tableColumn>
    <tableColumn id="3" xr3:uid="{F2AB626C-8252-40EA-BF3F-741936847253}" name="TC_Value_WC" dataCellStyle="01_Data_Input [%]"/>
    <tableColumn id="9" xr3:uid="{237AC8FD-4E0C-4FE4-8F17-1BF1C65D5D48}" name="TC_DM_ID" dataCellStyle="01_Data_Input">
      <calculatedColumnFormula>"TC_DM"&amp;"_"&amp;RIGHT(H2,5)</calculatedColumnFormula>
    </tableColumn>
    <tableColumn id="62" xr3:uid="{8B4BDA15-ED38-4949-803C-738CA8CD4711}" name="TC_Value_DM" dataCellStyle="01_Data_Input [%]"/>
    <tableColumn id="72" xr3:uid="{B8B4579E-4BDB-4E09-B029-B8A230690748}" name="TC_CC_ID" dataCellStyle="01_Data_Input">
      <calculatedColumnFormula>"TC_CC"&amp;"_"&amp;RIGHT(H2,5)</calculatedColumnFormula>
    </tableColumn>
    <tableColumn id="74" xr3:uid="{ACD058AB-4ED3-4363-A497-3E2D653AE01B}" name="TC_Value_CC" dataCellStyle="01_Data_Input"/>
    <tableColumn id="48" xr3:uid="{EF811571-9CC9-41DC-BFA4-320CD8D9C0C6}" name="Flow_ID_O_6" dataDxfId="5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57">
      <calculatedColumnFormula>"TC"&amp;"_"&amp;RIGHT(R2,5)</calculatedColumnFormula>
    </tableColumn>
    <tableColumn id="50" xr3:uid="{5AF5E9BC-3B3E-4244-A22E-AC3284E0E97C}" name="TC O_6_[%]" dataDxfId="56" dataCellStyle="Percent"/>
    <tableColumn id="51" xr3:uid="{B76A3DEE-BBAC-4CE1-BE1D-2941B928DB78}" name="Sum_TC_O" dataDxfId="5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S63" totalsRowShown="0" tableBorderDxfId="54" headerRowCellStyle="05_Header">
  <autoFilter ref="A1:S63" xr:uid="{7602A998-85E6-499A-B1A3-C584F22BB41F}"/>
  <tableColumns count="19">
    <tableColumn id="24" xr3:uid="{799CF049-9A74-47E4-BCE6-68EB92DFEDD4}" name="Complete?" dataDxfId="53" dataCellStyle="04_Comments"/>
    <tableColumn id="1" xr3:uid="{75AB9428-C675-46D8-B904-74A952E29611}" name="ID" dataDxfId="52">
      <calculatedColumnFormula>ROW()-1</calculatedColumnFormula>
    </tableColumn>
    <tableColumn id="22" xr3:uid="{055CB3E4-C1DF-486D-9F8E-E65039E95278}" name="Stock_ID" dataDxfId="5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Logic">
      <calculatedColumnFormula>_xlfn.XLOOKUP($E2,Tab_Def_Processes[Process_Name],#REF!,,0,)</calculatedColumnFormula>
    </tableColumn>
    <tableColumn id="10" xr3:uid="{9A812DE8-1541-429A-A794-65E2E525E20C}" name="TC_Configuration">
      <calculatedColumnFormula>_xlfn.XLOOKUP($E2,Tab_Def_Processes[Process_Name],Tab_Def_Processes[TC_Configuration],,0,)</calculatedColumnFormula>
    </tableColumn>
    <tableColumn id="11" xr3:uid="{E1D6EE2E-98F5-47C3-99E3-92AF9C3806CE}" name="Stock_Configuration">
      <calculatedColumnFormula>_xlfn.XLOOKUP($E2,Tab_Def_Processes[Process_Name],Tab_Def_Processes[Stock_Configuration],,0,)</calculatedColumnFormula>
    </tableColumn>
    <tableColumn id="12" xr3:uid="{7DDD5886-F4FA-4775-8C52-92E80DC384DD}" name="Initial_Stock_material" dataDxfId="5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M51" totalsRowShown="0" headerRowDxfId="49" dataDxfId="48" tableBorderDxfId="47">
  <autoFilter ref="A1:M51" xr:uid="{258723AD-03F6-4700-9C12-0435A55E108D}"/>
  <tableColumns count="13">
    <tableColumn id="1" xr3:uid="{33B8EF63-7663-4BA6-9B91-D446C0C9C276}" name="Complete?" dataCellStyle="04_Comments"/>
    <tableColumn id="2" xr3:uid="{6589C290-508A-4E8E-8896-B6E09EB1B594}" name="ID" dataDxfId="46">
      <calculatedColumnFormula>ROW()-1</calculatedColumnFormula>
    </tableColumn>
    <tableColumn id="4" xr3:uid="{F4E33EB8-7313-4BD5-8A0A-D0E18A2A18E9}" name="Process_ID" dataDxfId="45">
      <calculatedColumnFormula>_xlfn.XLOOKUP($D2,Tab_Def_Processes[Process_Name],Tab_Def_Processes[Process_ID],,0,)</calculatedColumnFormula>
    </tableColumn>
    <tableColumn id="5" xr3:uid="{E9F30AE4-3733-473D-B124-CDB1D225C217}" name="Process_Name" dataCellStyle="02_Data_Input (DD)"/>
    <tableColumn id="6" xr3:uid="{8636F935-6448-4819-ADDF-71DFA45559FA}" name="Process_Logic" dataDxfId="44">
      <calculatedColumnFormula>_xlfn.XLOOKUP($D2,Tab_Def_Processes[Process_Name],Tab_Def_Processes[Process_Logic],,0,)</calculatedColumnFormula>
    </tableColumn>
    <tableColumn id="12" xr3:uid="{A2F17CD8-5CAE-47C5-88AC-65F98D1E04A7}" name="TC_Configuration" dataDxfId="43">
      <calculatedColumnFormula>_xlfn.XLOOKUP($D2,Tab_Def_Processes[Process_Name],Tab_Def_Processes[TC_Configuration],,0,)</calculatedColumnFormula>
    </tableColumn>
    <tableColumn id="13" xr3:uid="{AAC3F32E-5E29-4B43-870A-6E7FC451D4C7}" name="Stock_Configuration" dataDxfId="42">
      <calculatedColumnFormula>_xlfn.XLOOKUP($D2,Tab_Def_Processes[Process_Name],Tab_Def_Processes[Stock_Configuration],,0,)</calculatedColumnFormula>
    </tableColumn>
    <tableColumn id="25" xr3:uid="{1B327C82-353B-4CF5-B401-FCEE9C938EDD}" name="Nr. Outflows" dataCellStyle="03_Auto_Calcaulation">
      <calculatedColumnFormula>_xlfn.XLOOKUP(Tab_DSM[[#This Row],[Process_Name]],Tab_Def_Processes[Process_Name],Tab_Def_Processes[Nr. Outflows],,0,)</calculatedColumnFormula>
    </tableColumn>
    <tableColumn id="9" xr3:uid="{70C64FF4-49A3-43A9-AA21-2E029546034F}" name="DSM_Category_Nr." dataCellStyle="02_Data_Input (DD)"/>
    <tableColumn id="27" xr3:uid="{6203DBE3-7CEF-4867-82A5-4E61CE102521}" name="DSM_Parameter_typ">
      <calculatedColumnFormula>_xlfn.XLOOKUP($I2,Tab_DSM_Category_ID[Category ID],Tab_DSM_Category_ID[DSM Material],,0,)</calculatedColumnFormula>
    </tableColumn>
    <tableColumn id="22" xr3:uid="{F69D3397-C898-470A-8F69-3BB568D42273}" name="DSM_Parameter_type" dataCellStyle="02_Data_Input (DD)"/>
    <tableColumn id="24" xr3:uid="{62D1FFF9-50C9-4BAE-8D93-49672FDF1A9D}" name="DSM_Parameter" dataCellStyle="03_Auto_Calcaulation">
      <calculatedColumnFormula>Tab_DSM[[#This Row],[DSM_Parameter_type]]&amp;"_Cat_"&amp;Tab_DSM[[#This Row],[DSM_Category_Nr.]]</calculatedColumnFormula>
    </tableColumn>
    <tableColumn id="23" xr3:uid="{FE908E5D-0CE5-4674-AFB4-9BE63E440FEE}" name="DSM_Value" dataCellStyle="01_Data_Inpu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1" totalsRowShown="0" dataDxfId="41" tableBorderDxfId="40" headerRowCellStyle="05_Header">
  <autoFilter ref="A1:M41" xr:uid="{258723AD-03F6-4700-9C12-0435A55E108D}"/>
  <tableColumns count="13">
    <tableColumn id="1" xr3:uid="{45321D18-7A58-4FFA-814A-4BFE5587094A}" name="Complete?" dataCellStyle="04_Comments"/>
    <tableColumn id="2" xr3:uid="{EC881CBD-180B-4D64-9A86-8AA6EC24B7F6}" name="ID" dataDxfId="39">
      <calculatedColumnFormula>ROW()-1</calculatedColumnFormula>
    </tableColumn>
    <tableColumn id="4" xr3:uid="{844E5006-9125-4DE3-A7C3-7D82AE3725EE}" name="Process_ID" dataDxfId="38">
      <calculatedColumnFormula>_xlfn.XLOOKUP($D2,Tab_Def_Processes[Process_Name],Tab_Def_Processes[Process_ID],,0,)</calculatedColumnFormula>
    </tableColumn>
    <tableColumn id="5" xr3:uid="{0A9A4390-230F-4C39-9AF5-D72E04524EC5}" name="Process_Name" dataCellStyle="02_Data_Input (DD)"/>
    <tableColumn id="6" xr3:uid="{27F8000C-3015-4447-BAA8-364798FFAAFF}" name="Process_Logic" dataDxfId="37">
      <calculatedColumnFormula>_xlfn.XLOOKUP($D2,Tab_Def_Processes[Process_Name],#REF!,,0,)</calculatedColumnFormula>
    </tableColumn>
    <tableColumn id="12" xr3:uid="{E84B3ABE-4E12-4E6F-A681-7D39D8B20B42}" name="TC_Configuration" dataDxfId="36">
      <calculatedColumnFormula>_xlfn.XLOOKUP($D2,Tab_Def_Processes[Process_Name],Tab_Def_Processes[TC_Configuration],,0,)</calculatedColumnFormula>
    </tableColumn>
    <tableColumn id="13" xr3:uid="{981DEE9B-FA47-4F47-8F80-39B1E8690449}" name="Stock_Configuration" dataDxfId="35">
      <calculatedColumnFormula>_xlfn.XLOOKUP($D2,Tab_Def_Processes[Process_Name],Tab_Def_Processes[Stock_Configuration],,0,)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2_Data_Input (DD)"/>
    <tableColumn id="20" xr3:uid="{6A5DD362-CBD4-4CCE-A37A-ABE89C2CE35E}" name="Pool_ID" dataCellStyle="01_Data_Input">
      <calculatedColumnFormula>"P"&amp;Tab_FOMP[[#This Row],[Process_ID]]&amp;"_"&amp;_xlfn.XLOOKUP($J2,CL_3.1_FOMP_Parameters[Category ID],CL_3.1_FOMP_Parameters[Pool_ID],,0,)</calculatedColumnFormula>
    </tableColumn>
    <tableColumn id="9" xr3:uid="{545D9E22-DCCF-4BE4-8AE0-C675DDC76185}" name="Parameter_Name" dataCellStyle="02_Data_Input (DD)"/>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33" dataCellStyle="01_Data_Input"/>
    <tableColumn id="5" xr3:uid="{A6D89D25-2F1B-4F9D-86FE-506D7CB5C8C3}" name="end_year" dataDxfId="32"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1">
  <autoFilter ref="A1:P47" xr:uid="{FF9E0B7D-0B53-4192-BACF-A733D16BD97E}"/>
  <sortState xmlns:xlrd2="http://schemas.microsoft.com/office/spreadsheetml/2017/richdata2" ref="A2:P47">
    <sortCondition ref="I1:I47"/>
  </sortState>
  <tableColumns count="16">
    <tableColumn id="1" xr3:uid="{AEAC6F38-4A16-4B89-B940-1815E01565C6}" name="Complete?" dataDxfId="30" dataCellStyle="04_Comments"/>
    <tableColumn id="2" xr3:uid="{974E84B3-B7E5-4EAB-BE6D-E4CA3B941720}" name="ID" dataDxfId="29" dataCellStyle="03_Auto_Calcaulation">
      <calculatedColumnFormula>ROW()-1</calculatedColumnFormula>
    </tableColumn>
    <tableColumn id="3" xr3:uid="{C80F74B1-CB58-477D-916E-9E36937DCC7C}" name="Process_ID" dataDxfId="28"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7" dataCellStyle="02_Data_Input (DD)"/>
    <tableColumn id="11" xr3:uid="{A6B3115D-C460-49E4-B156-47D34854C0D6}" name="Node_Color" dataDxfId="26"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5">
  <autoFilter ref="A1:F51" xr:uid="{C3FEF386-C709-41D8-A84A-E296EE975D12}"/>
  <tableColumns count="6">
    <tableColumn id="1" xr3:uid="{B6E6225C-23E8-433A-835E-8BB33C78FBC1}" name="ID" dataDxfId="24" dataCellStyle="03_Auto_Calcaulation">
      <calculatedColumnFormula>ROW()-1</calculatedColumnFormula>
    </tableColumn>
    <tableColumn id="2" xr3:uid="{D19AA7EE-8012-4211-95D9-A412AE73FEA7}" name="Flow_ID" dataDxfId="23"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2" headerRowBorderDxfId="21" tableBorderDxfId="20">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9" headerRowBorderDxfId="18" tableBorderDxfId="17">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6" headerRowBorderDxfId="15" tableBorderDxfId="14">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3" headerRowBorderDxfId="12" tableBorderDxfId="11">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9" totalsRowShown="0" headerRowDxfId="10" dataDxfId="8" headerRowBorderDxfId="9" tableBorderDxfId="7">
  <autoFilter ref="I2:K9"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A625E6B-8894-452F-84CF-75C27E779E6E}" name="Table36" displayName="Table36" ref="M2:O8" totalsRowShown="0" headerRowDxfId="2" headerRowBorderDxfId="3">
  <autoFilter ref="M2:O8" xr:uid="{0A625E6B-8894-452F-84CF-75C27E779E6E}"/>
  <tableColumns count="3">
    <tableColumn id="1" xr3:uid="{233C18B1-6EF4-45D6-ADA3-D4A8250589C6}" name="ID"/>
    <tableColumn id="2" xr3:uid="{A09448A2-CD82-4BC4-BBFE-AF26092738FF}" name="Short"/>
    <tableColumn id="3" xr3:uid="{08630672-B775-4EF5-8790-EB9A3D02D3F5}" name="Descript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25E0C37-7CCF-45E2-B40B-FF504E7C3D6C}" name="CL_TC_Type38" displayName="CL_TC_Type38" ref="H52:I55" totalsRowShown="0">
  <autoFilter ref="H52:I55" xr:uid="{325E0C37-7CCF-45E2-B40B-FF504E7C3D6C}"/>
  <tableColumns count="2">
    <tableColumn id="1" xr3:uid="{A68A0BA9-7FCC-4FAD-A789-B3A51BDD69F3}" name="ID"/>
    <tableColumn id="2" xr3:uid="{90E8CBB8-9E59-4752-A56C-5F6E1664398A}" name="TC_Type"/>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57A56F8-9C08-4E91-AAD5-843DF5BC4E7B}" name="CL_Uncertainty_Parameters1439" displayName="CL_Uncertainty_Parameters1439" ref="A120:C134" totalsRowShown="0">
  <autoFilter ref="A120:C134" xr:uid="{357A56F8-9C08-4E91-AAD5-843DF5BC4E7B}"/>
  <tableColumns count="3">
    <tableColumn id="1" xr3:uid="{CCE101C1-A936-41F4-8163-63F3E5FAE155}" name="Category ID"/>
    <tableColumn id="2" xr3:uid="{E9D08057-D839-40B6-93C9-DA0BB1526F44}" name="Scenario_Operators" dataDxfId="0" dataCellStyle="01_Data_Input"/>
    <tableColumn id="3" xr3:uid="{5062C71F-54BB-4FE5-8513-4F73539C39F4}"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8" zoomScaleNormal="130" zoomScalePageLayoutView="130" workbookViewId="0">
      <selection activeCell="C79" sqref="C79"/>
    </sheetView>
  </sheetViews>
  <sheetFormatPr defaultColWidth="9.140625" defaultRowHeight="15" x14ac:dyDescent="0.25"/>
  <sheetData>
    <row r="2" spans="2:20" x14ac:dyDescent="0.25">
      <c r="B2" t="s">
        <v>206</v>
      </c>
    </row>
    <row r="4" spans="2:20" x14ac:dyDescent="0.25">
      <c r="B4" t="s">
        <v>13</v>
      </c>
    </row>
    <row r="6" spans="2:20" x14ac:dyDescent="0.25">
      <c r="B6" t="s">
        <v>21</v>
      </c>
      <c r="T6" cm="1">
        <f t="array" ref="T6:T31">_xlfn.SEQUENCE(I7-H7+1,1,H7,1)</f>
        <v>2025</v>
      </c>
    </row>
    <row r="7" spans="2:20" x14ac:dyDescent="0.25">
      <c r="C7" t="s">
        <v>22</v>
      </c>
      <c r="F7" t="s">
        <v>23</v>
      </c>
      <c r="H7">
        <v>2025</v>
      </c>
      <c r="I7">
        <v>2050</v>
      </c>
      <c r="O7" t="s">
        <v>241</v>
      </c>
      <c r="T7">
        <v>2026</v>
      </c>
    </row>
    <row r="8" spans="2:20" x14ac:dyDescent="0.25">
      <c r="C8" t="s">
        <v>24</v>
      </c>
      <c r="F8" t="s">
        <v>9</v>
      </c>
      <c r="N8" s="8" t="s">
        <v>242</v>
      </c>
      <c r="O8" s="8"/>
      <c r="T8">
        <v>2027</v>
      </c>
    </row>
    <row r="9" spans="2:20" x14ac:dyDescent="0.25">
      <c r="F9" t="s">
        <v>8</v>
      </c>
      <c r="N9" s="152" t="s">
        <v>243</v>
      </c>
      <c r="O9" s="152"/>
      <c r="T9">
        <v>2028</v>
      </c>
    </row>
    <row r="10" spans="2:20" x14ac:dyDescent="0.25">
      <c r="N10" s="7" t="s">
        <v>244</v>
      </c>
      <c r="O10" s="7"/>
      <c r="T10">
        <v>2029</v>
      </c>
    </row>
    <row r="11" spans="2:20" x14ac:dyDescent="0.25">
      <c r="N11" s="18" t="s">
        <v>245</v>
      </c>
      <c r="O11" s="18"/>
      <c r="T11">
        <v>2030</v>
      </c>
    </row>
    <row r="12" spans="2:20" x14ac:dyDescent="0.25">
      <c r="B12" s="182" t="s">
        <v>25</v>
      </c>
      <c r="C12" s="182"/>
      <c r="D12" s="182"/>
      <c r="E12" s="182"/>
      <c r="F12" s="182"/>
      <c r="G12" s="182"/>
      <c r="H12" s="182"/>
      <c r="I12" s="182"/>
      <c r="J12" s="182"/>
      <c r="K12" s="182"/>
      <c r="L12" s="182"/>
      <c r="M12" s="182"/>
      <c r="T12">
        <v>2031</v>
      </c>
    </row>
    <row r="13" spans="2:20" x14ac:dyDescent="0.25">
      <c r="B13" s="182"/>
      <c r="C13" s="182"/>
      <c r="D13" s="182"/>
      <c r="E13" s="182"/>
      <c r="F13" s="182"/>
      <c r="G13" s="182"/>
      <c r="H13" s="182"/>
      <c r="I13" s="182"/>
      <c r="J13" s="182"/>
      <c r="K13" s="182"/>
      <c r="L13" s="182"/>
      <c r="M13" s="182"/>
      <c r="T13">
        <v>2032</v>
      </c>
    </row>
    <row r="14" spans="2:20" x14ac:dyDescent="0.25">
      <c r="B14" s="182"/>
      <c r="C14" s="182"/>
      <c r="D14" s="182"/>
      <c r="E14" s="182"/>
      <c r="F14" s="182"/>
      <c r="G14" s="182"/>
      <c r="H14" s="182"/>
      <c r="I14" s="182"/>
      <c r="J14" s="182"/>
      <c r="K14" s="182"/>
      <c r="L14" s="182"/>
      <c r="M14" s="182"/>
      <c r="T14">
        <v>2033</v>
      </c>
    </row>
    <row r="15" spans="2:20" x14ac:dyDescent="0.25">
      <c r="B15" s="183" t="s">
        <v>26</v>
      </c>
      <c r="C15" s="183"/>
      <c r="D15" s="183"/>
      <c r="E15" s="183"/>
      <c r="F15" s="183"/>
      <c r="G15" s="183"/>
      <c r="H15" s="183"/>
      <c r="I15" s="183"/>
      <c r="J15" s="183"/>
      <c r="K15" s="183"/>
      <c r="L15" s="183"/>
      <c r="T15">
        <v>2034</v>
      </c>
    </row>
    <row r="16" spans="2:20" x14ac:dyDescent="0.25">
      <c r="B16" s="183"/>
      <c r="C16" s="183"/>
      <c r="D16" s="183"/>
      <c r="E16" s="183"/>
      <c r="F16" s="183"/>
      <c r="G16" s="183"/>
      <c r="H16" s="183"/>
      <c r="I16" s="183"/>
      <c r="J16" s="183"/>
      <c r="K16" s="183"/>
      <c r="L16" s="183"/>
      <c r="T16">
        <v>2035</v>
      </c>
    </row>
    <row r="17" spans="2:20" x14ac:dyDescent="0.25">
      <c r="B17" s="183"/>
      <c r="C17" s="183"/>
      <c r="D17" s="183"/>
      <c r="E17" s="183"/>
      <c r="F17" s="183"/>
      <c r="G17" s="183"/>
      <c r="H17" s="183"/>
      <c r="I17" s="183"/>
      <c r="J17" s="183"/>
      <c r="K17" s="183"/>
      <c r="L17" s="183"/>
      <c r="T17">
        <v>2036</v>
      </c>
    </row>
    <row r="18" spans="2:20" x14ac:dyDescent="0.25">
      <c r="B18" s="183"/>
      <c r="C18" s="183"/>
      <c r="D18" s="183"/>
      <c r="E18" s="183"/>
      <c r="F18" s="183"/>
      <c r="G18" s="183"/>
      <c r="H18" s="183"/>
      <c r="I18" s="183"/>
      <c r="J18" s="183"/>
      <c r="K18" s="183"/>
      <c r="L18" s="183"/>
      <c r="T18">
        <v>2037</v>
      </c>
    </row>
    <row r="19" spans="2:20" x14ac:dyDescent="0.25">
      <c r="T19">
        <v>2038</v>
      </c>
    </row>
    <row r="20" spans="2:20" x14ac:dyDescent="0.25">
      <c r="T20">
        <v>2039</v>
      </c>
    </row>
    <row r="21" spans="2:20" x14ac:dyDescent="0.25">
      <c r="T21">
        <v>2040</v>
      </c>
    </row>
    <row r="22" spans="2:20" x14ac:dyDescent="0.25">
      <c r="B22" t="s">
        <v>14</v>
      </c>
      <c r="T22">
        <v>2041</v>
      </c>
    </row>
    <row r="23" spans="2:20" x14ac:dyDescent="0.25">
      <c r="T23">
        <v>2042</v>
      </c>
    </row>
    <row r="24" spans="2:20" x14ac:dyDescent="0.25">
      <c r="C24" t="s">
        <v>20</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15</v>
      </c>
    </row>
    <row r="34" spans="1:3" x14ac:dyDescent="0.25">
      <c r="B34" t="s">
        <v>16</v>
      </c>
    </row>
    <row r="35" spans="1:3" x14ac:dyDescent="0.25">
      <c r="B35" t="s">
        <v>17</v>
      </c>
    </row>
    <row r="36" spans="1:3" x14ac:dyDescent="0.25">
      <c r="B36" t="s">
        <v>18</v>
      </c>
    </row>
    <row r="37" spans="1:3" x14ac:dyDescent="0.25">
      <c r="B37" t="s">
        <v>19</v>
      </c>
    </row>
    <row r="40" spans="1:3" x14ac:dyDescent="0.25">
      <c r="B40" t="s">
        <v>208</v>
      </c>
      <c r="C40" t="s">
        <v>209</v>
      </c>
    </row>
    <row r="41" spans="1:3" x14ac:dyDescent="0.25">
      <c r="C41" t="s">
        <v>210</v>
      </c>
    </row>
    <row r="45" spans="1:3" ht="18.75" x14ac:dyDescent="0.3">
      <c r="A45" s="157" t="s">
        <v>256</v>
      </c>
    </row>
    <row r="47" spans="1:3" ht="15.75" x14ac:dyDescent="0.25">
      <c r="A47" s="158" t="s">
        <v>257</v>
      </c>
    </row>
    <row r="48" spans="1:3" x14ac:dyDescent="0.25">
      <c r="A48" t="s">
        <v>258</v>
      </c>
    </row>
    <row r="49" spans="1:1" x14ac:dyDescent="0.25">
      <c r="A49" t="s">
        <v>259</v>
      </c>
    </row>
    <row r="50" spans="1:1" x14ac:dyDescent="0.25">
      <c r="A50" t="s">
        <v>260</v>
      </c>
    </row>
    <row r="51" spans="1:1" x14ac:dyDescent="0.25">
      <c r="A51" t="s">
        <v>261</v>
      </c>
    </row>
    <row r="52" spans="1:1" x14ac:dyDescent="0.25">
      <c r="A52" t="s">
        <v>262</v>
      </c>
    </row>
    <row r="53" spans="1:1" x14ac:dyDescent="0.25">
      <c r="A53" t="s">
        <v>263</v>
      </c>
    </row>
    <row r="54" spans="1:1" x14ac:dyDescent="0.25">
      <c r="A54" t="s">
        <v>264</v>
      </c>
    </row>
    <row r="55" spans="1:1" x14ac:dyDescent="0.25">
      <c r="A55" t="s">
        <v>265</v>
      </c>
    </row>
    <row r="56" spans="1:1" x14ac:dyDescent="0.25">
      <c r="A56" t="s">
        <v>266</v>
      </c>
    </row>
    <row r="57" spans="1:1" x14ac:dyDescent="0.25">
      <c r="A57" t="s">
        <v>267</v>
      </c>
    </row>
    <row r="59" spans="1:1" ht="15.75" x14ac:dyDescent="0.25">
      <c r="A59" s="158" t="s">
        <v>268</v>
      </c>
    </row>
    <row r="60" spans="1:1" x14ac:dyDescent="0.25">
      <c r="A60" t="s">
        <v>269</v>
      </c>
    </row>
    <row r="61" spans="1:1" x14ac:dyDescent="0.25">
      <c r="A61" t="s">
        <v>270</v>
      </c>
    </row>
    <row r="62" spans="1:1" x14ac:dyDescent="0.25">
      <c r="A62" t="s">
        <v>271</v>
      </c>
    </row>
    <row r="63" spans="1:1" x14ac:dyDescent="0.25">
      <c r="A63" t="s">
        <v>272</v>
      </c>
    </row>
    <row r="64" spans="1:1" x14ac:dyDescent="0.25">
      <c r="A64" t="s">
        <v>273</v>
      </c>
    </row>
    <row r="65" spans="1:1" x14ac:dyDescent="0.25">
      <c r="A65" t="s">
        <v>274</v>
      </c>
    </row>
    <row r="66" spans="1:1" ht="15.75" x14ac:dyDescent="0.25">
      <c r="A66" s="158"/>
    </row>
    <row r="67" spans="1:1" x14ac:dyDescent="0.25">
      <c r="A67" t="s">
        <v>275</v>
      </c>
    </row>
    <row r="68" spans="1:1" x14ac:dyDescent="0.25">
      <c r="A68" t="s">
        <v>276</v>
      </c>
    </row>
    <row r="69" spans="1:1" x14ac:dyDescent="0.25">
      <c r="A69" t="s">
        <v>277</v>
      </c>
    </row>
    <row r="70" spans="1:1" x14ac:dyDescent="0.25">
      <c r="A70" t="s">
        <v>278</v>
      </c>
    </row>
    <row r="71" spans="1:1" ht="15.75" x14ac:dyDescent="0.25">
      <c r="A71" s="158" t="s">
        <v>279</v>
      </c>
    </row>
    <row r="73" spans="1:1" x14ac:dyDescent="0.25">
      <c r="A73" t="s">
        <v>280</v>
      </c>
    </row>
    <row r="74" spans="1:1" x14ac:dyDescent="0.25">
      <c r="A74" t="s">
        <v>281</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15"/>
  <sheetViews>
    <sheetView zoomScale="115" zoomScaleNormal="115" workbookViewId="0">
      <selection activeCell="B18" sqref="B18"/>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s="243" t="s">
        <v>372</v>
      </c>
      <c r="B1" s="243" t="s">
        <v>662</v>
      </c>
      <c r="C1" s="243" t="s">
        <v>216</v>
      </c>
      <c r="D1" s="243" t="s">
        <v>5</v>
      </c>
      <c r="E1" s="243" t="s">
        <v>339</v>
      </c>
      <c r="F1" s="243" t="s">
        <v>340</v>
      </c>
    </row>
    <row r="2" spans="1:6" x14ac:dyDescent="0.25">
      <c r="A2" s="166" t="s">
        <v>338</v>
      </c>
      <c r="B2" s="166" t="s">
        <v>341</v>
      </c>
      <c r="C2" s="167">
        <v>2000</v>
      </c>
      <c r="D2" s="169" t="s">
        <v>342</v>
      </c>
      <c r="E2" s="169" t="s">
        <v>343</v>
      </c>
      <c r="F2" s="169" t="s">
        <v>344</v>
      </c>
    </row>
    <row r="3" spans="1:6" ht="15" customHeight="1" x14ac:dyDescent="0.25">
      <c r="A3" s="247"/>
      <c r="B3" s="248" t="s">
        <v>345</v>
      </c>
      <c r="C3" s="249">
        <v>2040</v>
      </c>
      <c r="D3" s="250" t="s">
        <v>346</v>
      </c>
      <c r="E3" s="250" t="s">
        <v>343</v>
      </c>
      <c r="F3" s="250" t="s">
        <v>344</v>
      </c>
    </row>
    <row r="4" spans="1:6" x14ac:dyDescent="0.25">
      <c r="A4" s="247"/>
      <c r="B4" s="248" t="s">
        <v>347</v>
      </c>
      <c r="C4" s="249" t="s">
        <v>283</v>
      </c>
      <c r="D4" s="250" t="s">
        <v>348</v>
      </c>
      <c r="E4" s="250" t="s">
        <v>343</v>
      </c>
      <c r="F4" s="250" t="s">
        <v>344</v>
      </c>
    </row>
    <row r="5" spans="1:6" x14ac:dyDescent="0.25">
      <c r="A5" s="247"/>
      <c r="B5" s="248" t="s">
        <v>349</v>
      </c>
      <c r="C5" s="249" t="s">
        <v>350</v>
      </c>
      <c r="D5" s="250" t="s">
        <v>351</v>
      </c>
      <c r="E5" s="250" t="s">
        <v>343</v>
      </c>
      <c r="F5" s="250" t="s">
        <v>344</v>
      </c>
    </row>
    <row r="6" spans="1:6" ht="15.75" thickBot="1" x14ac:dyDescent="0.3">
      <c r="A6" s="251"/>
      <c r="B6" s="11" t="s">
        <v>352</v>
      </c>
      <c r="C6" s="159" t="s">
        <v>282</v>
      </c>
      <c r="D6" s="170" t="s">
        <v>353</v>
      </c>
      <c r="E6" s="170" t="s">
        <v>343</v>
      </c>
      <c r="F6" s="170" t="s">
        <v>344</v>
      </c>
    </row>
    <row r="7" spans="1:6" x14ac:dyDescent="0.25">
      <c r="A7" s="166" t="s">
        <v>354</v>
      </c>
      <c r="B7" s="166" t="s">
        <v>355</v>
      </c>
      <c r="C7" s="249" t="b">
        <v>1</v>
      </c>
      <c r="D7" s="169" t="s">
        <v>356</v>
      </c>
      <c r="E7" s="169" t="s">
        <v>357</v>
      </c>
      <c r="F7" s="169" t="s">
        <v>344</v>
      </c>
    </row>
    <row r="8" spans="1:6" ht="15" customHeight="1" x14ac:dyDescent="0.25">
      <c r="A8" s="248"/>
      <c r="B8" s="248" t="s">
        <v>358</v>
      </c>
      <c r="C8" s="249" t="b">
        <v>0</v>
      </c>
      <c r="D8" s="250" t="s">
        <v>359</v>
      </c>
      <c r="E8" s="250" t="s">
        <v>357</v>
      </c>
      <c r="F8" s="250" t="s">
        <v>344</v>
      </c>
    </row>
    <row r="9" spans="1:6" x14ac:dyDescent="0.25">
      <c r="A9" s="248"/>
      <c r="B9" s="248" t="s">
        <v>373</v>
      </c>
      <c r="C9" s="249" t="b">
        <v>0</v>
      </c>
      <c r="D9" s="250" t="s">
        <v>360</v>
      </c>
      <c r="E9" s="250" t="s">
        <v>357</v>
      </c>
      <c r="F9" s="250" t="s">
        <v>361</v>
      </c>
    </row>
    <row r="10" spans="1:6" ht="15.75" thickBot="1" x14ac:dyDescent="0.3">
      <c r="A10" s="11"/>
      <c r="B10" s="11" t="s">
        <v>362</v>
      </c>
      <c r="C10" s="159">
        <v>150</v>
      </c>
      <c r="D10" s="170" t="s">
        <v>363</v>
      </c>
      <c r="E10" s="170" t="s">
        <v>357</v>
      </c>
      <c r="F10" s="170" t="s">
        <v>361</v>
      </c>
    </row>
    <row r="11" spans="1:6" ht="15" customHeight="1" x14ac:dyDescent="0.25">
      <c r="A11" s="166" t="s">
        <v>364</v>
      </c>
      <c r="B11" s="166" t="s">
        <v>337</v>
      </c>
      <c r="C11" s="249" t="b">
        <v>1</v>
      </c>
      <c r="D11" s="169" t="s">
        <v>365</v>
      </c>
      <c r="E11" s="169" t="s">
        <v>366</v>
      </c>
      <c r="F11" s="169" t="s">
        <v>361</v>
      </c>
    </row>
    <row r="12" spans="1:6" x14ac:dyDescent="0.25">
      <c r="A12" s="248"/>
      <c r="B12" s="248" t="s">
        <v>553</v>
      </c>
      <c r="C12" s="249" t="s">
        <v>556</v>
      </c>
      <c r="D12" s="250" t="s">
        <v>367</v>
      </c>
      <c r="E12" s="250" t="s">
        <v>366</v>
      </c>
      <c r="F12" s="250" t="s">
        <v>361</v>
      </c>
    </row>
    <row r="13" spans="1:6" x14ac:dyDescent="0.25">
      <c r="A13" s="248"/>
      <c r="B13" s="248" t="s">
        <v>555</v>
      </c>
      <c r="C13" s="249" t="s">
        <v>622</v>
      </c>
      <c r="D13" s="250" t="s">
        <v>368</v>
      </c>
      <c r="E13" s="250" t="s">
        <v>366</v>
      </c>
      <c r="F13" s="250" t="s">
        <v>361</v>
      </c>
    </row>
    <row r="14" spans="1:6" x14ac:dyDescent="0.25">
      <c r="A14" s="248"/>
      <c r="B14" s="248" t="s">
        <v>554</v>
      </c>
      <c r="C14" s="249" t="s">
        <v>623</v>
      </c>
      <c r="D14" s="250"/>
      <c r="E14" s="250"/>
      <c r="F14" s="250"/>
    </row>
    <row r="15" spans="1:6" x14ac:dyDescent="0.25">
      <c r="A15" s="148"/>
      <c r="B15" s="148" t="s">
        <v>583</v>
      </c>
      <c r="C15" s="149" t="s">
        <v>584</v>
      </c>
      <c r="D15" s="168" t="s">
        <v>369</v>
      </c>
      <c r="E15" s="168" t="s">
        <v>366</v>
      </c>
      <c r="F15" s="168" t="s">
        <v>361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F29" sqref="F29"/>
    </sheetView>
  </sheetViews>
  <sheetFormatPr defaultColWidth="10.85546875" defaultRowHeight="15" x14ac:dyDescent="0.25"/>
  <cols>
    <col min="1" max="1" width="14.42578125" customWidth="1"/>
    <col min="2" max="2" width="10.28515625" style="24"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47"/>
    <col min="18" max="18" width="15.42578125" customWidth="1"/>
    <col min="19" max="19" width="15.28515625" customWidth="1"/>
    <col min="20" max="20" width="15.42578125" customWidth="1"/>
    <col min="21" max="21" width="13" customWidth="1"/>
    <col min="22" max="22" width="15.7109375" customWidth="1"/>
  </cols>
  <sheetData>
    <row r="1" spans="1:24" x14ac:dyDescent="0.25">
      <c r="A1" s="155" t="s">
        <v>52</v>
      </c>
      <c r="B1" s="155" t="s">
        <v>27</v>
      </c>
      <c r="C1" s="155" t="s">
        <v>36</v>
      </c>
      <c r="D1" s="155" t="s">
        <v>572</v>
      </c>
      <c r="E1" s="155" t="s">
        <v>577</v>
      </c>
      <c r="F1" s="155" t="s">
        <v>578</v>
      </c>
      <c r="G1" s="155" t="s">
        <v>579</v>
      </c>
      <c r="H1" s="155" t="s">
        <v>576</v>
      </c>
      <c r="I1" s="155" t="s">
        <v>61</v>
      </c>
      <c r="J1" s="155" t="s">
        <v>63</v>
      </c>
      <c r="K1" s="155" t="s">
        <v>62</v>
      </c>
      <c r="L1" s="155" t="s">
        <v>568</v>
      </c>
      <c r="M1" s="155" t="s">
        <v>573</v>
      </c>
      <c r="N1" s="155" t="s">
        <v>65</v>
      </c>
      <c r="O1" s="155" t="s">
        <v>569</v>
      </c>
      <c r="P1" s="155" t="s">
        <v>574</v>
      </c>
      <c r="Q1" s="155" t="s">
        <v>67</v>
      </c>
      <c r="R1" s="155" t="s">
        <v>570</v>
      </c>
      <c r="S1" s="155" t="s">
        <v>575</v>
      </c>
      <c r="T1" s="155" t="s">
        <v>94</v>
      </c>
      <c r="U1" s="155" t="s">
        <v>134</v>
      </c>
      <c r="V1" s="155" t="s">
        <v>93</v>
      </c>
    </row>
    <row r="2" spans="1:24" x14ac:dyDescent="0.25">
      <c r="A2" s="156" t="b">
        <v>0</v>
      </c>
      <c r="B2" s="21">
        <f t="shared" ref="B2:B52" si="0">ROW()-1</f>
        <v>1</v>
      </c>
      <c r="C2" s="7" t="str">
        <f t="shared" ref="C2:C65" si="1">"F_"&amp;LEFT(F2,2)&amp;"_"&amp;LEFT(H2,2)</f>
        <v>F_12_00</v>
      </c>
      <c r="D2" s="8" t="s">
        <v>605</v>
      </c>
      <c r="E2" s="152" t="s">
        <v>602</v>
      </c>
      <c r="F2" s="7" t="str">
        <f>_xlfn.XLOOKUP(E2,Tab_Def_Processes[Process_Name],Tab_Def_Processes[Process_ID],,0,)</f>
        <v>12</v>
      </c>
      <c r="G2" s="152" t="s">
        <v>591</v>
      </c>
      <c r="H2" s="10" t="str">
        <f>_xlfn.XLOOKUP(G2,Tab_Def_Processes[Process_Name],Tab_Def_Processes[Process_ID],,0,)</f>
        <v>00</v>
      </c>
      <c r="I2" s="152" t="s">
        <v>6</v>
      </c>
      <c r="J2" s="152" t="s">
        <v>6</v>
      </c>
      <c r="K2" s="152" t="s">
        <v>6</v>
      </c>
      <c r="L2" s="7" t="str">
        <f>Tab_Def_Flows[[#This Row],[Flow_ID]]&amp;"_WC"</f>
        <v>F_12_00_WC</v>
      </c>
      <c r="M2" s="147">
        <v>0</v>
      </c>
      <c r="N2" s="179"/>
      <c r="O2" s="7" t="str">
        <f>Tab_Def_Flows[[#This Row],[Flow_ID]]&amp;"_DM"</f>
        <v>F_12_00_DM</v>
      </c>
      <c r="P2" s="147">
        <v>1</v>
      </c>
      <c r="Q2" s="179"/>
      <c r="R2" s="7" t="str">
        <f>Tab_Def_Flows[[#This Row],[Flow_ID]]&amp;"_CC"</f>
        <v>F_12_00_CC</v>
      </c>
      <c r="S2" s="147">
        <v>0.8</v>
      </c>
      <c r="T2" s="18"/>
      <c r="U2" s="153">
        <f>Tab_Def_Flows[[#This Row],[Flow_CC_DM'[%']]]*Tab_Def_Flows[[#This Row],[Flow_DM]]</f>
        <v>0.8</v>
      </c>
      <c r="V2" s="8" t="s">
        <v>136</v>
      </c>
    </row>
    <row r="3" spans="1:24" x14ac:dyDescent="0.25">
      <c r="A3" s="156" t="b">
        <v>0</v>
      </c>
      <c r="B3" s="21">
        <f t="shared" si="0"/>
        <v>2</v>
      </c>
      <c r="C3" s="7" t="str">
        <f t="shared" si="1"/>
        <v>F_13_00</v>
      </c>
      <c r="D3" s="8" t="s">
        <v>604</v>
      </c>
      <c r="E3" s="152" t="s">
        <v>604</v>
      </c>
      <c r="F3" s="7" t="str">
        <f>_xlfn.XLOOKUP(E3,Tab_Def_Processes[Process_Name],Tab_Def_Processes[Process_ID],,0,)</f>
        <v>13</v>
      </c>
      <c r="G3" s="152" t="s">
        <v>591</v>
      </c>
      <c r="H3" s="10" t="str">
        <f>_xlfn.XLOOKUP(G3,Tab_Def_Processes[Process_Name],Tab_Def_Processes[Process_ID],,0,)</f>
        <v>00</v>
      </c>
      <c r="I3" s="152" t="s">
        <v>6</v>
      </c>
      <c r="J3" s="152" t="s">
        <v>6</v>
      </c>
      <c r="K3" s="152" t="s">
        <v>6</v>
      </c>
      <c r="L3" s="7" t="str">
        <f>Tab_Def_Flows[[#This Row],[Flow_ID]]&amp;"_WC"</f>
        <v>F_13_00_WC</v>
      </c>
      <c r="M3" s="147">
        <v>0</v>
      </c>
      <c r="N3" s="179"/>
      <c r="O3" s="7" t="str">
        <f>Tab_Def_Flows[[#This Row],[Flow_ID]]&amp;"_DM"</f>
        <v>F_13_00_DM</v>
      </c>
      <c r="P3" s="147">
        <v>1</v>
      </c>
      <c r="Q3" s="179"/>
      <c r="R3" s="7" t="str">
        <f>Tab_Def_Flows[[#This Row],[Flow_ID]]&amp;"_CC"</f>
        <v>F_13_00_CC</v>
      </c>
      <c r="S3" s="147">
        <v>1</v>
      </c>
      <c r="T3" s="18"/>
      <c r="U3" s="153">
        <f>Tab_Def_Flows[[#This Row],[Flow_CC_DM'[%']]]*Tab_Def_Flows[[#This Row],[Flow_DM]]</f>
        <v>1</v>
      </c>
      <c r="V3" s="8" t="s">
        <v>136</v>
      </c>
    </row>
    <row r="4" spans="1:24" x14ac:dyDescent="0.25">
      <c r="A4" s="156" t="b">
        <v>0</v>
      </c>
      <c r="B4" s="21">
        <f t="shared" si="0"/>
        <v>3</v>
      </c>
      <c r="C4" s="7" t="str">
        <f t="shared" si="1"/>
        <v>F_14_00</v>
      </c>
      <c r="D4" s="8" t="s">
        <v>606</v>
      </c>
      <c r="E4" s="152" t="s">
        <v>603</v>
      </c>
      <c r="F4" s="7" t="str">
        <f>_xlfn.XLOOKUP(E4,Tab_Def_Processes[Process_Name],Tab_Def_Processes[Process_ID],,0,)</f>
        <v>14</v>
      </c>
      <c r="G4" s="152" t="s">
        <v>591</v>
      </c>
      <c r="H4" s="10" t="str">
        <f>_xlfn.XLOOKUP(G4,Tab_Def_Processes[Process_Name],Tab_Def_Processes[Process_ID],,0,)</f>
        <v>00</v>
      </c>
      <c r="I4" s="152" t="s">
        <v>6</v>
      </c>
      <c r="J4" s="152" t="s">
        <v>6</v>
      </c>
      <c r="K4" s="152" t="s">
        <v>6</v>
      </c>
      <c r="L4" s="7" t="str">
        <f>Tab_Def_Flows[[#This Row],[Flow_ID]]&amp;"_WC"</f>
        <v>F_14_00_WC</v>
      </c>
      <c r="M4" s="147">
        <v>0</v>
      </c>
      <c r="N4" s="18"/>
      <c r="O4" s="7" t="str">
        <f>Tab_Def_Flows[[#This Row],[Flow_ID]]&amp;"_DM"</f>
        <v>F_14_00_DM</v>
      </c>
      <c r="P4" s="147">
        <v>1</v>
      </c>
      <c r="Q4" s="18"/>
      <c r="R4" s="7" t="str">
        <f>Tab_Def_Flows[[#This Row],[Flow_ID]]&amp;"_CC"</f>
        <v>F_14_00_CC</v>
      </c>
      <c r="S4" s="147">
        <v>0.1</v>
      </c>
      <c r="T4" s="18"/>
      <c r="U4" s="153">
        <f>Tab_Def_Flows[[#This Row],[Flow_CC_DM'[%']]]*Tab_Def_Flows[[#This Row],[Flow_DM]]</f>
        <v>0.1</v>
      </c>
      <c r="V4" s="8"/>
      <c r="X4" s="162"/>
    </row>
    <row r="5" spans="1:24" x14ac:dyDescent="0.25">
      <c r="A5" s="156" t="b">
        <v>0</v>
      </c>
      <c r="B5" s="21">
        <f>ROW()-1</f>
        <v>4</v>
      </c>
      <c r="C5" s="7" t="str">
        <f t="shared" si="1"/>
        <v>F_00_01</v>
      </c>
      <c r="D5" s="8" t="s">
        <v>607</v>
      </c>
      <c r="E5" s="152" t="s">
        <v>591</v>
      </c>
      <c r="F5" s="7" t="str">
        <f>_xlfn.XLOOKUP(E5,Tab_Def_Processes[Process_Name],Tab_Def_Processes[Process_ID],,0,)</f>
        <v>00</v>
      </c>
      <c r="G5" s="152" t="s">
        <v>592</v>
      </c>
      <c r="H5" s="10" t="str">
        <f>_xlfn.XLOOKUP(G5,Tab_Def_Processes[Process_Name],Tab_Def_Processes[Process_ID],,0,)</f>
        <v>01</v>
      </c>
      <c r="I5" s="152" t="s">
        <v>6</v>
      </c>
      <c r="J5" s="152" t="s">
        <v>6</v>
      </c>
      <c r="K5" s="152" t="s">
        <v>6</v>
      </c>
      <c r="L5" s="7" t="str">
        <f>Tab_Def_Flows[[#This Row],[Flow_ID]]&amp;"_WC"</f>
        <v>F_00_01_WC</v>
      </c>
      <c r="M5" s="147"/>
      <c r="N5" s="18"/>
      <c r="O5" s="7" t="str">
        <f>Tab_Def_Flows[[#This Row],[Flow_ID]]&amp;"_DM"</f>
        <v>F_00_01_DM</v>
      </c>
      <c r="Q5" s="18"/>
      <c r="R5" s="7" t="str">
        <f>Tab_Def_Flows[[#This Row],[Flow_ID]]&amp;"_CC"</f>
        <v>F_00_01_CC</v>
      </c>
      <c r="S5" s="147"/>
      <c r="T5" s="18"/>
      <c r="U5" s="153">
        <f>Tab_Def_Flows[[#This Row],[Flow_CC_DM'[%']]]*Tab_Def_Flows[[#This Row],[Flow_DM]]</f>
        <v>0</v>
      </c>
      <c r="V5" s="8"/>
      <c r="X5" s="162"/>
    </row>
    <row r="6" spans="1:24" x14ac:dyDescent="0.25">
      <c r="A6" s="156" t="b">
        <v>0</v>
      </c>
      <c r="B6" s="21">
        <f>ROW()-1</f>
        <v>5</v>
      </c>
      <c r="C6" s="7" t="str">
        <f>"F_"&amp;LEFT(F6,2)&amp;"_"&amp;LEFT(H6,2)</f>
        <v>F_01_02</v>
      </c>
      <c r="D6" s="8" t="s">
        <v>608</v>
      </c>
      <c r="E6" s="152" t="s">
        <v>592</v>
      </c>
      <c r="F6" s="7" t="str">
        <f>_xlfn.XLOOKUP(E6,Tab_Def_Processes[Process_Name],Tab_Def_Processes[Process_ID],,0,)</f>
        <v>01</v>
      </c>
      <c r="G6" s="152" t="s">
        <v>593</v>
      </c>
      <c r="H6" s="10" t="str">
        <f>_xlfn.XLOOKUP(G6,Tab_Def_Processes[Process_Name],Tab_Def_Processes[Process_ID],,0,)</f>
        <v>02</v>
      </c>
      <c r="I6" s="152" t="s">
        <v>6</v>
      </c>
      <c r="J6" s="152" t="s">
        <v>6</v>
      </c>
      <c r="K6" s="152" t="s">
        <v>6</v>
      </c>
      <c r="L6" s="7" t="str">
        <f>Tab_Def_Flows[[#This Row],[Flow_ID]]&amp;"_WC"</f>
        <v>F_01_02_WC</v>
      </c>
      <c r="M6" s="147"/>
      <c r="N6" s="18"/>
      <c r="O6" s="7" t="str">
        <f>Tab_Def_Flows[[#This Row],[Flow_ID]]&amp;"_DM"</f>
        <v>F_01_02_DM</v>
      </c>
      <c r="Q6" s="18"/>
      <c r="R6" s="7" t="str">
        <f>Tab_Def_Flows[[#This Row],[Flow_ID]]&amp;"_CC"</f>
        <v>F_01_02_CC</v>
      </c>
      <c r="S6" s="147"/>
      <c r="T6" s="18"/>
      <c r="U6" s="153">
        <f>Tab_Def_Flows[[#This Row],[Flow_CC_DM'[%']]]*Tab_Def_Flows[[#This Row],[Flow_DM]]</f>
        <v>0</v>
      </c>
      <c r="V6" s="8"/>
      <c r="X6" s="162"/>
    </row>
    <row r="7" spans="1:24" x14ac:dyDescent="0.25">
      <c r="A7" s="156" t="b">
        <v>0</v>
      </c>
      <c r="B7" s="21">
        <f t="shared" si="0"/>
        <v>6</v>
      </c>
      <c r="C7" s="7" t="str">
        <f t="shared" si="1"/>
        <v>F_01_03</v>
      </c>
      <c r="D7" s="8" t="s">
        <v>609</v>
      </c>
      <c r="E7" s="152" t="s">
        <v>592</v>
      </c>
      <c r="F7" s="7" t="str">
        <f>_xlfn.XLOOKUP(E7,Tab_Def_Processes[Process_Name],Tab_Def_Processes[Process_ID],,0,)</f>
        <v>01</v>
      </c>
      <c r="G7" s="152" t="s">
        <v>594</v>
      </c>
      <c r="H7" s="10" t="str">
        <f>_xlfn.XLOOKUP(G7,Tab_Def_Processes[Process_Name],Tab_Def_Processes[Process_ID],,0,)</f>
        <v>03</v>
      </c>
      <c r="I7" s="152" t="s">
        <v>6</v>
      </c>
      <c r="J7" s="152" t="s">
        <v>6</v>
      </c>
      <c r="K7" s="152" t="s">
        <v>6</v>
      </c>
      <c r="L7" s="7" t="str">
        <f>Tab_Def_Flows[[#This Row],[Flow_ID]]&amp;"_WC"</f>
        <v>F_01_03_WC</v>
      </c>
      <c r="M7" s="147"/>
      <c r="N7" s="18"/>
      <c r="O7" s="7" t="str">
        <f>Tab_Def_Flows[[#This Row],[Flow_ID]]&amp;"_DM"</f>
        <v>F_01_03_DM</v>
      </c>
      <c r="Q7" s="18"/>
      <c r="R7" s="7" t="str">
        <f>Tab_Def_Flows[[#This Row],[Flow_ID]]&amp;"_CC"</f>
        <v>F_01_03_CC</v>
      </c>
      <c r="S7" s="147"/>
      <c r="T7" s="18"/>
      <c r="U7" s="153">
        <f>Tab_Def_Flows[[#This Row],[Flow_CC_DM'[%']]]*Tab_Def_Flows[[#This Row],[Flow_DM]]</f>
        <v>0</v>
      </c>
      <c r="V7" s="8"/>
    </row>
    <row r="8" spans="1:24" x14ac:dyDescent="0.25">
      <c r="A8" s="156" t="b">
        <v>0</v>
      </c>
      <c r="B8" s="21">
        <f t="shared" si="0"/>
        <v>7</v>
      </c>
      <c r="C8" s="7" t="str">
        <f t="shared" si="1"/>
        <v>F_03_04</v>
      </c>
      <c r="D8" s="8" t="s">
        <v>610</v>
      </c>
      <c r="E8" s="152" t="s">
        <v>594</v>
      </c>
      <c r="F8" s="7" t="str">
        <f>_xlfn.XLOOKUP(E8,Tab_Def_Processes[Process_Name],Tab_Def_Processes[Process_ID],,0,)</f>
        <v>03</v>
      </c>
      <c r="G8" s="152" t="s">
        <v>595</v>
      </c>
      <c r="H8" s="10" t="str">
        <f>_xlfn.XLOOKUP(G8,Tab_Def_Processes[Process_Name],Tab_Def_Processes[Process_ID],,0,)</f>
        <v>04</v>
      </c>
      <c r="I8" s="152" t="s">
        <v>6</v>
      </c>
      <c r="J8" s="152" t="s">
        <v>6</v>
      </c>
      <c r="K8" s="152" t="s">
        <v>6</v>
      </c>
      <c r="L8" s="7" t="str">
        <f>Tab_Def_Flows[[#This Row],[Flow_ID]]&amp;"_WC"</f>
        <v>F_03_04_WC</v>
      </c>
      <c r="M8" s="147"/>
      <c r="N8" s="18"/>
      <c r="O8" s="7" t="str">
        <f>Tab_Def_Flows[[#This Row],[Flow_ID]]&amp;"_DM"</f>
        <v>F_03_04_DM</v>
      </c>
      <c r="Q8" s="18"/>
      <c r="R8" s="7" t="str">
        <f>Tab_Def_Flows[[#This Row],[Flow_ID]]&amp;"_CC"</f>
        <v>F_03_04_CC</v>
      </c>
      <c r="S8" s="147"/>
      <c r="T8" s="18"/>
      <c r="U8" s="153">
        <f>Tab_Def_Flows[[#This Row],[Flow_CC_DM'[%']]]*Tab_Def_Flows[[#This Row],[Flow_DM]]</f>
        <v>0</v>
      </c>
      <c r="V8" s="8"/>
    </row>
    <row r="9" spans="1:24" x14ac:dyDescent="0.25">
      <c r="A9" s="156" t="b">
        <v>0</v>
      </c>
      <c r="B9" s="21">
        <f t="shared" si="0"/>
        <v>8</v>
      </c>
      <c r="C9" s="7" t="str">
        <f t="shared" si="1"/>
        <v>F_03_05</v>
      </c>
      <c r="D9" s="8" t="s">
        <v>611</v>
      </c>
      <c r="E9" s="152" t="s">
        <v>594</v>
      </c>
      <c r="F9" s="7" t="str">
        <f>_xlfn.XLOOKUP(E9,Tab_Def_Processes[Process_Name],Tab_Def_Processes[Process_ID],,0,)</f>
        <v>03</v>
      </c>
      <c r="G9" s="152" t="s">
        <v>596</v>
      </c>
      <c r="H9" s="10" t="str">
        <f>_xlfn.XLOOKUP(G9,Tab_Def_Processes[Process_Name],Tab_Def_Processes[Process_ID],,0,)</f>
        <v>05</v>
      </c>
      <c r="I9" s="152" t="s">
        <v>6</v>
      </c>
      <c r="J9" s="152" t="s">
        <v>6</v>
      </c>
      <c r="K9" s="152" t="s">
        <v>6</v>
      </c>
      <c r="L9" s="7" t="str">
        <f>Tab_Def_Flows[[#This Row],[Flow_ID]]&amp;"_WC"</f>
        <v>F_03_05_WC</v>
      </c>
      <c r="M9" s="147"/>
      <c r="N9" s="18"/>
      <c r="O9" s="7" t="str">
        <f>Tab_Def_Flows[[#This Row],[Flow_ID]]&amp;"_DM"</f>
        <v>F_03_05_DM</v>
      </c>
      <c r="Q9" s="18"/>
      <c r="R9" s="7" t="str">
        <f>Tab_Def_Flows[[#This Row],[Flow_ID]]&amp;"_CC"</f>
        <v>F_03_05_CC</v>
      </c>
      <c r="S9" s="147"/>
      <c r="T9" s="18"/>
      <c r="U9" s="153">
        <f>Tab_Def_Flows[[#This Row],[Flow_CC_DM'[%']]]*Tab_Def_Flows[[#This Row],[Flow_DM]]</f>
        <v>0</v>
      </c>
      <c r="V9" s="8"/>
    </row>
    <row r="10" spans="1:24" x14ac:dyDescent="0.25">
      <c r="A10" s="156" t="b">
        <v>0</v>
      </c>
      <c r="B10" s="21">
        <f t="shared" si="0"/>
        <v>9</v>
      </c>
      <c r="C10" s="7" t="str">
        <f t="shared" si="1"/>
        <v>F_03_06</v>
      </c>
      <c r="D10" s="8" t="s">
        <v>612</v>
      </c>
      <c r="E10" s="152" t="s">
        <v>594</v>
      </c>
      <c r="F10" s="7" t="str">
        <f>_xlfn.XLOOKUP(E10,Tab_Def_Processes[Process_Name],Tab_Def_Processes[Process_ID],,0,)</f>
        <v>03</v>
      </c>
      <c r="G10" s="152" t="s">
        <v>597</v>
      </c>
      <c r="H10" s="10" t="str">
        <f>_xlfn.XLOOKUP(G10,Tab_Def_Processes[Process_Name],Tab_Def_Processes[Process_ID],,0,)</f>
        <v>06</v>
      </c>
      <c r="I10" s="152" t="s">
        <v>6</v>
      </c>
      <c r="J10" s="152" t="s">
        <v>6</v>
      </c>
      <c r="K10" s="152" t="s">
        <v>6</v>
      </c>
      <c r="L10" s="7" t="str">
        <f>Tab_Def_Flows[[#This Row],[Flow_ID]]&amp;"_WC"</f>
        <v>F_03_06_WC</v>
      </c>
      <c r="M10" s="147"/>
      <c r="N10" s="18"/>
      <c r="O10" s="7" t="str">
        <f>Tab_Def_Flows[[#This Row],[Flow_ID]]&amp;"_DM"</f>
        <v>F_03_06_DM</v>
      </c>
      <c r="Q10" s="18"/>
      <c r="R10" s="7" t="str">
        <f>Tab_Def_Flows[[#This Row],[Flow_ID]]&amp;"_CC"</f>
        <v>F_03_06_CC</v>
      </c>
      <c r="S10" s="147"/>
      <c r="T10" s="18"/>
      <c r="U10" s="153">
        <f>Tab_Def_Flows[[#This Row],[Flow_CC_DM'[%']]]*Tab_Def_Flows[[#This Row],[Flow_DM]]</f>
        <v>0</v>
      </c>
      <c r="V10" s="8"/>
    </row>
    <row r="11" spans="1:24" x14ac:dyDescent="0.25">
      <c r="A11" s="156" t="b">
        <v>0</v>
      </c>
      <c r="B11" s="21">
        <f t="shared" si="0"/>
        <v>10</v>
      </c>
      <c r="C11" s="7" t="str">
        <f t="shared" si="1"/>
        <v>F_03_07</v>
      </c>
      <c r="D11" s="8" t="s">
        <v>613</v>
      </c>
      <c r="E11" s="152" t="s">
        <v>594</v>
      </c>
      <c r="F11" s="7" t="str">
        <f>_xlfn.XLOOKUP(E11,Tab_Def_Processes[Process_Name],Tab_Def_Processes[Process_ID],,0,)</f>
        <v>03</v>
      </c>
      <c r="G11" s="152" t="s">
        <v>370</v>
      </c>
      <c r="H11" s="10" t="str">
        <f>_xlfn.XLOOKUP(G11,Tab_Def_Processes[Process_Name],Tab_Def_Processes[Process_ID],,0,)</f>
        <v>07</v>
      </c>
      <c r="I11" s="152" t="s">
        <v>6</v>
      </c>
      <c r="J11" s="152" t="s">
        <v>6</v>
      </c>
      <c r="K11" s="152" t="s">
        <v>6</v>
      </c>
      <c r="L11" s="7" t="str">
        <f>Tab_Def_Flows[[#This Row],[Flow_ID]]&amp;"_WC"</f>
        <v>F_03_07_WC</v>
      </c>
      <c r="M11" s="147"/>
      <c r="N11" s="18"/>
      <c r="O11" s="7" t="str">
        <f>Tab_Def_Flows[[#This Row],[Flow_ID]]&amp;"_DM"</f>
        <v>F_03_07_DM</v>
      </c>
      <c r="Q11" s="18"/>
      <c r="R11" s="7" t="str">
        <f>Tab_Def_Flows[[#This Row],[Flow_ID]]&amp;"_CC"</f>
        <v>F_03_07_CC</v>
      </c>
      <c r="S11" s="147"/>
      <c r="T11" s="18"/>
      <c r="U11" s="153">
        <f>Tab_Def_Flows[[#This Row],[Flow_CC_DM'[%']]]*Tab_Def_Flows[[#This Row],[Flow_DM]]</f>
        <v>0</v>
      </c>
      <c r="V11" s="8"/>
    </row>
    <row r="12" spans="1:24" x14ac:dyDescent="0.25">
      <c r="A12" s="156" t="b">
        <v>0</v>
      </c>
      <c r="B12" s="21">
        <f t="shared" si="0"/>
        <v>11</v>
      </c>
      <c r="C12" s="7" t="str">
        <f t="shared" si="1"/>
        <v>F_04_01</v>
      </c>
      <c r="D12" s="8" t="s">
        <v>614</v>
      </c>
      <c r="E12" s="152" t="s">
        <v>595</v>
      </c>
      <c r="F12" s="7" t="str">
        <f>_xlfn.XLOOKUP(E12,Tab_Def_Processes[Process_Name],Tab_Def_Processes[Process_ID],,0,)</f>
        <v>04</v>
      </c>
      <c r="G12" s="152" t="s">
        <v>592</v>
      </c>
      <c r="H12" s="10" t="str">
        <f>_xlfn.XLOOKUP(G12,Tab_Def_Processes[Process_Name],Tab_Def_Processes[Process_ID],,0,)</f>
        <v>01</v>
      </c>
      <c r="I12" s="152" t="s">
        <v>6</v>
      </c>
      <c r="J12" s="152" t="s">
        <v>6</v>
      </c>
      <c r="K12" s="152" t="s">
        <v>6</v>
      </c>
      <c r="L12" s="7" t="str">
        <f>Tab_Def_Flows[[#This Row],[Flow_ID]]&amp;"_WC"</f>
        <v>F_04_01_WC</v>
      </c>
      <c r="M12" s="147"/>
      <c r="N12" s="18"/>
      <c r="O12" s="7" t="str">
        <f>Tab_Def_Flows[[#This Row],[Flow_ID]]&amp;"_DM"</f>
        <v>F_04_01_DM</v>
      </c>
      <c r="Q12" s="18"/>
      <c r="R12" s="7" t="str">
        <f>Tab_Def_Flows[[#This Row],[Flow_ID]]&amp;"_CC"</f>
        <v>F_04_01_CC</v>
      </c>
      <c r="S12" s="147"/>
      <c r="T12" s="18"/>
      <c r="U12" s="153">
        <f>Tab_Def_Flows[[#This Row],[Flow_CC_DM'[%']]]*Tab_Def_Flows[[#This Row],[Flow_DM]]</f>
        <v>0</v>
      </c>
      <c r="V12" s="8"/>
    </row>
    <row r="13" spans="1:24" x14ac:dyDescent="0.25">
      <c r="A13" s="156" t="b">
        <v>0</v>
      </c>
      <c r="B13" s="21">
        <f t="shared" si="0"/>
        <v>12</v>
      </c>
      <c r="C13" s="7" t="str">
        <f t="shared" si="1"/>
        <v>F_05_10</v>
      </c>
      <c r="D13" s="8" t="s">
        <v>618</v>
      </c>
      <c r="E13" s="152" t="s">
        <v>596</v>
      </c>
      <c r="F13" s="7" t="str">
        <f>_xlfn.XLOOKUP(E13,Tab_Def_Processes[Process_Name],Tab_Def_Processes[Process_ID],,0,)</f>
        <v>05</v>
      </c>
      <c r="G13" s="152" t="s">
        <v>600</v>
      </c>
      <c r="H13" s="10" t="str">
        <f>_xlfn.XLOOKUP(G13,Tab_Def_Processes[Process_Name],Tab_Def_Processes[Process_ID],,0,)</f>
        <v>10</v>
      </c>
      <c r="I13" s="152" t="s">
        <v>6</v>
      </c>
      <c r="J13" s="152" t="s">
        <v>6</v>
      </c>
      <c r="K13" s="152" t="s">
        <v>6</v>
      </c>
      <c r="L13" s="7" t="str">
        <f>Tab_Def_Flows[[#This Row],[Flow_ID]]&amp;"_WC"</f>
        <v>F_05_10_WC</v>
      </c>
      <c r="M13" s="147"/>
      <c r="N13" s="18"/>
      <c r="O13" s="7" t="str">
        <f>Tab_Def_Flows[[#This Row],[Flow_ID]]&amp;"_DM"</f>
        <v>F_05_10_DM</v>
      </c>
      <c r="Q13" s="18"/>
      <c r="R13" s="7" t="str">
        <f>Tab_Def_Flows[[#This Row],[Flow_ID]]&amp;"_CC"</f>
        <v>F_05_10_CC</v>
      </c>
      <c r="S13" s="147"/>
      <c r="T13" s="18"/>
      <c r="U13" s="153">
        <f>Tab_Def_Flows[[#This Row],[Flow_CC_DM'[%']]]*Tab_Def_Flows[[#This Row],[Flow_DM]]</f>
        <v>0</v>
      </c>
      <c r="V13" s="8"/>
    </row>
    <row r="14" spans="1:24" x14ac:dyDescent="0.25">
      <c r="A14" s="156" t="b">
        <v>0</v>
      </c>
      <c r="B14" s="21">
        <f t="shared" si="0"/>
        <v>13</v>
      </c>
      <c r="C14" s="7" t="str">
        <f t="shared" si="1"/>
        <v>F_05_11</v>
      </c>
      <c r="D14" s="8" t="s">
        <v>615</v>
      </c>
      <c r="E14" s="152" t="s">
        <v>596</v>
      </c>
      <c r="F14" s="7" t="str">
        <f>_xlfn.XLOOKUP(E14,Tab_Def_Processes[Process_Name],Tab_Def_Processes[Process_ID],,0,)</f>
        <v>05</v>
      </c>
      <c r="G14" s="152" t="s">
        <v>601</v>
      </c>
      <c r="H14" s="10" t="str">
        <f>_xlfn.XLOOKUP(G14,Tab_Def_Processes[Process_Name],Tab_Def_Processes[Process_ID],,0,)</f>
        <v>11</v>
      </c>
      <c r="I14" s="152" t="s">
        <v>6</v>
      </c>
      <c r="J14" s="152" t="s">
        <v>6</v>
      </c>
      <c r="K14" s="152" t="s">
        <v>6</v>
      </c>
      <c r="L14" s="7" t="str">
        <f>Tab_Def_Flows[[#This Row],[Flow_ID]]&amp;"_WC"</f>
        <v>F_05_11_WC</v>
      </c>
      <c r="M14" s="147"/>
      <c r="N14" s="18"/>
      <c r="O14" s="7" t="str">
        <f>Tab_Def_Flows[[#This Row],[Flow_ID]]&amp;"_DM"</f>
        <v>F_05_11_DM</v>
      </c>
      <c r="Q14" s="18"/>
      <c r="R14" s="7" t="str">
        <f>Tab_Def_Flows[[#This Row],[Flow_ID]]&amp;"_CC"</f>
        <v>F_05_11_CC</v>
      </c>
      <c r="S14" s="147"/>
      <c r="T14" s="18"/>
      <c r="U14" s="153">
        <f>Tab_Def_Flows[[#This Row],[Flow_CC_DM'[%']]]*Tab_Def_Flows[[#This Row],[Flow_DM]]</f>
        <v>0</v>
      </c>
      <c r="V14" s="8"/>
    </row>
    <row r="15" spans="1:24" x14ac:dyDescent="0.25">
      <c r="A15" s="156" t="b">
        <v>0</v>
      </c>
      <c r="B15" s="21">
        <f t="shared" si="0"/>
        <v>14</v>
      </c>
      <c r="C15" s="7" t="str">
        <f t="shared" si="1"/>
        <v>F_06_09</v>
      </c>
      <c r="D15" s="8" t="s">
        <v>616</v>
      </c>
      <c r="E15" s="152" t="s">
        <v>597</v>
      </c>
      <c r="F15" s="7" t="str">
        <f>_xlfn.XLOOKUP(E15,Tab_Def_Processes[Process_Name],Tab_Def_Processes[Process_ID],,0,)</f>
        <v>06</v>
      </c>
      <c r="G15" s="152" t="s">
        <v>599</v>
      </c>
      <c r="H15" s="10" t="str">
        <f>_xlfn.XLOOKUP(G15,Tab_Def_Processes[Process_Name],Tab_Def_Processes[Process_ID],,0,)</f>
        <v>09</v>
      </c>
      <c r="I15" s="152" t="s">
        <v>6</v>
      </c>
      <c r="J15" s="152" t="s">
        <v>6</v>
      </c>
      <c r="K15" s="152" t="s">
        <v>6</v>
      </c>
      <c r="L15" s="7" t="str">
        <f>Tab_Def_Flows[[#This Row],[Flow_ID]]&amp;"_WC"</f>
        <v>F_06_09_WC</v>
      </c>
      <c r="M15" s="147"/>
      <c r="N15" s="18"/>
      <c r="O15" s="7" t="str">
        <f>Tab_Def_Flows[[#This Row],[Flow_ID]]&amp;"_DM"</f>
        <v>F_06_09_DM</v>
      </c>
      <c r="Q15" s="18"/>
      <c r="R15" s="7" t="str">
        <f>Tab_Def_Flows[[#This Row],[Flow_ID]]&amp;"_CC"</f>
        <v>F_06_09_CC</v>
      </c>
      <c r="S15" s="147"/>
      <c r="T15" s="18"/>
      <c r="U15" s="153">
        <f>Tab_Def_Flows[[#This Row],[Flow_CC_DM'[%']]]*Tab_Def_Flows[[#This Row],[Flow_DM]]</f>
        <v>0</v>
      </c>
      <c r="V15" s="8"/>
    </row>
    <row r="16" spans="1:24" x14ac:dyDescent="0.25">
      <c r="A16" s="156" t="b">
        <v>0</v>
      </c>
      <c r="B16" s="21">
        <f t="shared" si="0"/>
        <v>15</v>
      </c>
      <c r="C16" s="7" t="str">
        <f t="shared" si="1"/>
        <v>F_06_08</v>
      </c>
      <c r="D16" s="8" t="s">
        <v>617</v>
      </c>
      <c r="E16" s="152" t="s">
        <v>597</v>
      </c>
      <c r="F16" s="7" t="str">
        <f>_xlfn.XLOOKUP(E16,Tab_Def_Processes[Process_Name],Tab_Def_Processes[Process_ID],,0,)</f>
        <v>06</v>
      </c>
      <c r="G16" s="152" t="s">
        <v>598</v>
      </c>
      <c r="H16" s="10" t="str">
        <f>_xlfn.XLOOKUP(G16,Tab_Def_Processes[Process_Name],Tab_Def_Processes[Process_ID],,0,)</f>
        <v>08</v>
      </c>
      <c r="I16" s="152" t="s">
        <v>6</v>
      </c>
      <c r="J16" s="152" t="s">
        <v>6</v>
      </c>
      <c r="K16" s="152" t="s">
        <v>6</v>
      </c>
      <c r="L16" s="7" t="str">
        <f>Tab_Def_Flows[[#This Row],[Flow_ID]]&amp;"_WC"</f>
        <v>F_06_08_WC</v>
      </c>
      <c r="M16" s="147"/>
      <c r="N16" s="18"/>
      <c r="O16" s="7" t="str">
        <f>Tab_Def_Flows[[#This Row],[Flow_ID]]&amp;"_DM"</f>
        <v>F_06_08_DM</v>
      </c>
      <c r="Q16" s="18"/>
      <c r="R16" s="7" t="str">
        <f>Tab_Def_Flows[[#This Row],[Flow_ID]]&amp;"_CC"</f>
        <v>F_06_08_CC</v>
      </c>
      <c r="S16" s="147"/>
      <c r="T16" s="18"/>
      <c r="U16" s="153">
        <f>Tab_Def_Flows[[#This Row],[Flow_CC_DM'[%']]]*Tab_Def_Flows[[#This Row],[Flow_DM]]</f>
        <v>0</v>
      </c>
      <c r="V16" s="8"/>
    </row>
    <row r="17" spans="1:22" x14ac:dyDescent="0.25">
      <c r="A17" s="156" t="b">
        <v>0</v>
      </c>
      <c r="B17" s="21">
        <f t="shared" si="0"/>
        <v>16</v>
      </c>
      <c r="C17" s="7" t="str">
        <f t="shared" si="1"/>
        <v>F_15_15</v>
      </c>
      <c r="D17" s="8"/>
      <c r="E17" s="152"/>
      <c r="F17" s="7" t="str">
        <f>_xlfn.XLOOKUP(E17,Tab_Def_Processes[Process_Name],Tab_Def_Processes[Process_ID],,0,)</f>
        <v>15</v>
      </c>
      <c r="G17" s="152"/>
      <c r="H17" s="10" t="str">
        <f>_xlfn.XLOOKUP(G17,Tab_Def_Processes[Process_Name],Tab_Def_Processes[Process_ID],,0,)</f>
        <v>15</v>
      </c>
      <c r="I17" s="152"/>
      <c r="J17" s="152"/>
      <c r="K17" s="152"/>
      <c r="L17" s="7" t="str">
        <f>Tab_Def_Flows[[#This Row],[Flow_ID]]&amp;"_WC"</f>
        <v>F_15_15_WC</v>
      </c>
      <c r="M17" s="147"/>
      <c r="N17" s="18"/>
      <c r="O17" s="7" t="str">
        <f>Tab_Def_Flows[[#This Row],[Flow_ID]]&amp;"_DM"</f>
        <v>F_15_15_DM</v>
      </c>
      <c r="Q17" s="18"/>
      <c r="R17" s="7" t="str">
        <f>Tab_Def_Flows[[#This Row],[Flow_ID]]&amp;"_CC"</f>
        <v>F_15_15_CC</v>
      </c>
      <c r="S17" s="147"/>
      <c r="T17" s="18"/>
      <c r="U17" s="153">
        <f>Tab_Def_Flows[[#This Row],[Flow_CC_DM'[%']]]*Tab_Def_Flows[[#This Row],[Flow_DM]]</f>
        <v>0</v>
      </c>
      <c r="V17" s="8"/>
    </row>
    <row r="18" spans="1:22" x14ac:dyDescent="0.25">
      <c r="A18" s="156" t="b">
        <v>0</v>
      </c>
      <c r="B18" s="21">
        <f t="shared" si="0"/>
        <v>17</v>
      </c>
      <c r="C18" s="7" t="str">
        <f t="shared" si="1"/>
        <v>F_15_15</v>
      </c>
      <c r="D18" s="8"/>
      <c r="E18" s="152"/>
      <c r="F18" s="7" t="str">
        <f>_xlfn.XLOOKUP(E18,Tab_Def_Processes[Process_Name],Tab_Def_Processes[Process_ID],,0,)</f>
        <v>15</v>
      </c>
      <c r="G18" s="152"/>
      <c r="H18" s="10" t="str">
        <f>_xlfn.XLOOKUP(G18,Tab_Def_Processes[Process_Name],Tab_Def_Processes[Process_ID],,0,)</f>
        <v>15</v>
      </c>
      <c r="I18" s="152"/>
      <c r="J18" s="152"/>
      <c r="K18" s="152"/>
      <c r="L18" s="7" t="str">
        <f>Tab_Def_Flows[[#This Row],[Flow_ID]]&amp;"_WC"</f>
        <v>F_15_15_WC</v>
      </c>
      <c r="M18" s="147"/>
      <c r="N18" s="18"/>
      <c r="O18" s="7" t="str">
        <f>Tab_Def_Flows[[#This Row],[Flow_ID]]&amp;"_DM"</f>
        <v>F_15_15_DM</v>
      </c>
      <c r="Q18" s="18"/>
      <c r="R18" s="7" t="str">
        <f>Tab_Def_Flows[[#This Row],[Flow_ID]]&amp;"_CC"</f>
        <v>F_15_15_CC</v>
      </c>
      <c r="S18" s="147"/>
      <c r="T18" s="18"/>
      <c r="U18" s="153">
        <f>Tab_Def_Flows[[#This Row],[Flow_CC_DM'[%']]]*Tab_Def_Flows[[#This Row],[Flow_DM]]</f>
        <v>0</v>
      </c>
      <c r="V18" s="8"/>
    </row>
    <row r="19" spans="1:22" x14ac:dyDescent="0.25">
      <c r="A19" s="156" t="b">
        <v>0</v>
      </c>
      <c r="B19" s="21">
        <f t="shared" si="0"/>
        <v>18</v>
      </c>
      <c r="C19" s="7" t="str">
        <f t="shared" si="1"/>
        <v>F_15_15</v>
      </c>
      <c r="D19" s="8"/>
      <c r="E19" s="152"/>
      <c r="F19" s="7" t="str">
        <f>_xlfn.XLOOKUP(E19,Tab_Def_Processes[Process_Name],Tab_Def_Processes[Process_ID],,0,)</f>
        <v>15</v>
      </c>
      <c r="G19" s="152"/>
      <c r="H19" s="10" t="str">
        <f>_xlfn.XLOOKUP(G19,Tab_Def_Processes[Process_Name],Tab_Def_Processes[Process_ID],,0,)</f>
        <v>15</v>
      </c>
      <c r="I19" s="152"/>
      <c r="J19" s="152"/>
      <c r="K19" s="152"/>
      <c r="L19" s="7" t="str">
        <f>Tab_Def_Flows[[#This Row],[Flow_ID]]&amp;"_WC"</f>
        <v>F_15_15_WC</v>
      </c>
      <c r="M19" s="147"/>
      <c r="N19" s="18"/>
      <c r="O19" s="7" t="str">
        <f>Tab_Def_Flows[[#This Row],[Flow_ID]]&amp;"_DM"</f>
        <v>F_15_15_DM</v>
      </c>
      <c r="Q19" s="18"/>
      <c r="R19" s="7" t="str">
        <f>Tab_Def_Flows[[#This Row],[Flow_ID]]&amp;"_CC"</f>
        <v>F_15_15_CC</v>
      </c>
      <c r="S19" s="147"/>
      <c r="T19" s="18"/>
      <c r="U19" s="153">
        <f>Tab_Def_Flows[[#This Row],[Flow_CC_DM'[%']]]*Tab_Def_Flows[[#This Row],[Flow_DM]]</f>
        <v>0</v>
      </c>
      <c r="V19" s="8"/>
    </row>
    <row r="20" spans="1:22" x14ac:dyDescent="0.25">
      <c r="A20" s="156" t="b">
        <v>0</v>
      </c>
      <c r="B20" s="21">
        <f t="shared" si="0"/>
        <v>19</v>
      </c>
      <c r="C20" s="7" t="str">
        <f t="shared" si="1"/>
        <v>F_15_15</v>
      </c>
      <c r="D20" s="8"/>
      <c r="E20" s="152"/>
      <c r="F20" s="7" t="str">
        <f>_xlfn.XLOOKUP(E20,Tab_Def_Processes[Process_Name],Tab_Def_Processes[Process_ID],,0,)</f>
        <v>15</v>
      </c>
      <c r="G20" s="152"/>
      <c r="H20" s="10" t="str">
        <f>_xlfn.XLOOKUP(G20,Tab_Def_Processes[Process_Name],Tab_Def_Processes[Process_ID],,0,)</f>
        <v>15</v>
      </c>
      <c r="I20" s="152"/>
      <c r="J20" s="152"/>
      <c r="K20" s="152"/>
      <c r="L20" s="7" t="str">
        <f>Tab_Def_Flows[[#This Row],[Flow_ID]]&amp;"_WC"</f>
        <v>F_15_15_WC</v>
      </c>
      <c r="M20" s="147"/>
      <c r="N20" s="18"/>
      <c r="O20" s="7" t="str">
        <f>Tab_Def_Flows[[#This Row],[Flow_ID]]&amp;"_DM"</f>
        <v>F_15_15_DM</v>
      </c>
      <c r="Q20" s="18"/>
      <c r="R20" s="7" t="str">
        <f>Tab_Def_Flows[[#This Row],[Flow_ID]]&amp;"_CC"</f>
        <v>F_15_15_CC</v>
      </c>
      <c r="S20" s="147"/>
      <c r="T20" s="18"/>
      <c r="U20" s="153">
        <f>Tab_Def_Flows[[#This Row],[Flow_CC_DM'[%']]]*Tab_Def_Flows[[#This Row],[Flow_DM]]</f>
        <v>0</v>
      </c>
      <c r="V20" s="8"/>
    </row>
    <row r="21" spans="1:22" x14ac:dyDescent="0.25">
      <c r="A21" s="156" t="b">
        <v>0</v>
      </c>
      <c r="B21" s="21">
        <f t="shared" si="0"/>
        <v>20</v>
      </c>
      <c r="C21" s="7" t="str">
        <f t="shared" si="1"/>
        <v>F_15_15</v>
      </c>
      <c r="D21" s="8"/>
      <c r="E21" s="152"/>
      <c r="F21" s="7" t="str">
        <f>_xlfn.XLOOKUP(E21,Tab_Def_Processes[Process_Name],Tab_Def_Processes[Process_ID],,0,)</f>
        <v>15</v>
      </c>
      <c r="G21" s="152"/>
      <c r="H21" s="10" t="str">
        <f>_xlfn.XLOOKUP(G21,Tab_Def_Processes[Process_Name],Tab_Def_Processes[Process_ID],,0,)</f>
        <v>15</v>
      </c>
      <c r="I21" s="152"/>
      <c r="J21" s="152"/>
      <c r="K21" s="152"/>
      <c r="L21" s="7" t="str">
        <f>Tab_Def_Flows[[#This Row],[Flow_ID]]&amp;"_WC"</f>
        <v>F_15_15_WC</v>
      </c>
      <c r="M21" s="147"/>
      <c r="N21" s="18"/>
      <c r="O21" s="7" t="str">
        <f>Tab_Def_Flows[[#This Row],[Flow_ID]]&amp;"_DM"</f>
        <v>F_15_15_DM</v>
      </c>
      <c r="Q21" s="18"/>
      <c r="R21" s="7" t="str">
        <f>Tab_Def_Flows[[#This Row],[Flow_ID]]&amp;"_CC"</f>
        <v>F_15_15_CC</v>
      </c>
      <c r="S21" s="147"/>
      <c r="T21" s="18"/>
      <c r="U21" s="153">
        <f>Tab_Def_Flows[[#This Row],[Flow_CC_DM'[%']]]*Tab_Def_Flows[[#This Row],[Flow_DM]]</f>
        <v>0</v>
      </c>
      <c r="V21" s="8"/>
    </row>
    <row r="22" spans="1:22" x14ac:dyDescent="0.25">
      <c r="A22" s="156" t="b">
        <v>0</v>
      </c>
      <c r="B22" s="21">
        <f t="shared" si="0"/>
        <v>21</v>
      </c>
      <c r="C22" s="7" t="str">
        <f t="shared" si="1"/>
        <v>F_15_15</v>
      </c>
      <c r="D22" s="8"/>
      <c r="E22" s="152"/>
      <c r="F22" s="7" t="str">
        <f>_xlfn.XLOOKUP(E22,Tab_Def_Processes[Process_Name],Tab_Def_Processes[Process_ID],,0,)</f>
        <v>15</v>
      </c>
      <c r="G22" s="152"/>
      <c r="H22" s="10" t="str">
        <f>_xlfn.XLOOKUP(G22,Tab_Def_Processes[Process_Name],Tab_Def_Processes[Process_ID],,0,)</f>
        <v>15</v>
      </c>
      <c r="I22" s="152"/>
      <c r="J22" s="152"/>
      <c r="K22" s="152"/>
      <c r="L22" s="7" t="str">
        <f>Tab_Def_Flows[[#This Row],[Flow_ID]]&amp;"_WC"</f>
        <v>F_15_15_WC</v>
      </c>
      <c r="M22" s="147"/>
      <c r="N22" s="18"/>
      <c r="O22" s="7" t="str">
        <f>Tab_Def_Flows[[#This Row],[Flow_ID]]&amp;"_DM"</f>
        <v>F_15_15_DM</v>
      </c>
      <c r="Q22" s="18"/>
      <c r="R22" s="7" t="str">
        <f>Tab_Def_Flows[[#This Row],[Flow_ID]]&amp;"_CC"</f>
        <v>F_15_15_CC</v>
      </c>
      <c r="S22" s="147"/>
      <c r="T22" s="18"/>
      <c r="U22" s="153">
        <f>Tab_Def_Flows[[#This Row],[Flow_CC_DM'[%']]]*Tab_Def_Flows[[#This Row],[Flow_DM]]</f>
        <v>0</v>
      </c>
      <c r="V22" s="8"/>
    </row>
    <row r="23" spans="1:22" x14ac:dyDescent="0.25">
      <c r="A23" s="156" t="b">
        <v>0</v>
      </c>
      <c r="B23" s="21">
        <f t="shared" si="0"/>
        <v>22</v>
      </c>
      <c r="C23" s="7" t="str">
        <f t="shared" si="1"/>
        <v>F_15_15</v>
      </c>
      <c r="D23" s="8"/>
      <c r="E23" s="152"/>
      <c r="F23" s="7" t="str">
        <f>_xlfn.XLOOKUP(E23,Tab_Def_Processes[Process_Name],Tab_Def_Processes[Process_ID],,0,)</f>
        <v>15</v>
      </c>
      <c r="G23" s="152"/>
      <c r="H23" s="10" t="str">
        <f>_xlfn.XLOOKUP(G23,Tab_Def_Processes[Process_Name],Tab_Def_Processes[Process_ID],,0,)</f>
        <v>15</v>
      </c>
      <c r="I23" s="152"/>
      <c r="J23" s="152"/>
      <c r="K23" s="152"/>
      <c r="L23" s="7" t="str">
        <f>Tab_Def_Flows[[#This Row],[Flow_ID]]&amp;"_WC"</f>
        <v>F_15_15_WC</v>
      </c>
      <c r="M23" s="147"/>
      <c r="N23" s="18"/>
      <c r="O23" s="7" t="str">
        <f>Tab_Def_Flows[[#This Row],[Flow_ID]]&amp;"_DM"</f>
        <v>F_15_15_DM</v>
      </c>
      <c r="Q23" s="18"/>
      <c r="R23" s="7" t="str">
        <f>Tab_Def_Flows[[#This Row],[Flow_ID]]&amp;"_CC"</f>
        <v>F_15_15_CC</v>
      </c>
      <c r="S23" s="147"/>
      <c r="T23" s="18"/>
      <c r="U23" s="153">
        <f>Tab_Def_Flows[[#This Row],[Flow_CC_DM'[%']]]*Tab_Def_Flows[[#This Row],[Flow_DM]]</f>
        <v>0</v>
      </c>
      <c r="V23" s="8"/>
    </row>
    <row r="24" spans="1:22" x14ac:dyDescent="0.25">
      <c r="A24" s="156" t="b">
        <v>0</v>
      </c>
      <c r="B24" s="21">
        <f t="shared" si="0"/>
        <v>23</v>
      </c>
      <c r="C24" s="7" t="str">
        <f t="shared" si="1"/>
        <v>F_15_15</v>
      </c>
      <c r="D24" s="8"/>
      <c r="E24" s="152"/>
      <c r="F24" s="7" t="str">
        <f>_xlfn.XLOOKUP(E24,Tab_Def_Processes[Process_Name],Tab_Def_Processes[Process_ID],,0,)</f>
        <v>15</v>
      </c>
      <c r="G24" s="152"/>
      <c r="H24" s="10" t="str">
        <f>_xlfn.XLOOKUP(G24,Tab_Def_Processes[Process_Name],Tab_Def_Processes[Process_ID],,0,)</f>
        <v>15</v>
      </c>
      <c r="I24" s="152"/>
      <c r="J24" s="152"/>
      <c r="K24" s="152"/>
      <c r="L24" s="7" t="str">
        <f>Tab_Def_Flows[[#This Row],[Flow_ID]]&amp;"_WC"</f>
        <v>F_15_15_WC</v>
      </c>
      <c r="M24" s="147"/>
      <c r="N24" s="18"/>
      <c r="O24" s="7" t="str">
        <f>Tab_Def_Flows[[#This Row],[Flow_ID]]&amp;"_DM"</f>
        <v>F_15_15_DM</v>
      </c>
      <c r="Q24" s="18"/>
      <c r="R24" s="7" t="str">
        <f>Tab_Def_Flows[[#This Row],[Flow_ID]]&amp;"_CC"</f>
        <v>F_15_15_CC</v>
      </c>
      <c r="S24" s="147"/>
      <c r="T24" s="18"/>
      <c r="U24" s="153">
        <f>Tab_Def_Flows[[#This Row],[Flow_CC_DM'[%']]]*Tab_Def_Flows[[#This Row],[Flow_DM]]</f>
        <v>0</v>
      </c>
      <c r="V24" s="8"/>
    </row>
    <row r="25" spans="1:22" x14ac:dyDescent="0.25">
      <c r="A25" s="156" t="b">
        <v>0</v>
      </c>
      <c r="B25" s="21">
        <f t="shared" si="0"/>
        <v>24</v>
      </c>
      <c r="C25" s="7" t="str">
        <f t="shared" si="1"/>
        <v>F_15_15</v>
      </c>
      <c r="D25" s="8"/>
      <c r="E25" s="152"/>
      <c r="F25" s="7" t="str">
        <f>_xlfn.XLOOKUP(E25,Tab_Def_Processes[Process_Name],Tab_Def_Processes[Process_ID],,0,)</f>
        <v>15</v>
      </c>
      <c r="G25" s="152"/>
      <c r="H25" s="10" t="str">
        <f>_xlfn.XLOOKUP(G25,Tab_Def_Processes[Process_Name],Tab_Def_Processes[Process_ID],,0,)</f>
        <v>15</v>
      </c>
      <c r="I25" s="152"/>
      <c r="J25" s="152"/>
      <c r="K25" s="152"/>
      <c r="L25" s="7" t="str">
        <f>Tab_Def_Flows[[#This Row],[Flow_ID]]&amp;"_WC"</f>
        <v>F_15_15_WC</v>
      </c>
      <c r="M25" s="147"/>
      <c r="N25" s="18"/>
      <c r="O25" s="7" t="str">
        <f>Tab_Def_Flows[[#This Row],[Flow_ID]]&amp;"_DM"</f>
        <v>F_15_15_DM</v>
      </c>
      <c r="Q25" s="18"/>
      <c r="R25" s="7" t="str">
        <f>Tab_Def_Flows[[#This Row],[Flow_ID]]&amp;"_CC"</f>
        <v>F_15_15_CC</v>
      </c>
      <c r="S25" s="147"/>
      <c r="T25" s="18"/>
      <c r="U25" s="153">
        <f>Tab_Def_Flows[[#This Row],[Flow_CC_DM'[%']]]*Tab_Def_Flows[[#This Row],[Flow_DM]]</f>
        <v>0</v>
      </c>
      <c r="V25" s="8"/>
    </row>
    <row r="26" spans="1:22" x14ac:dyDescent="0.25">
      <c r="A26" s="156" t="b">
        <v>0</v>
      </c>
      <c r="B26" s="21">
        <f t="shared" si="0"/>
        <v>25</v>
      </c>
      <c r="C26" s="7" t="str">
        <f t="shared" si="1"/>
        <v>F_15_15</v>
      </c>
      <c r="D26" s="8"/>
      <c r="E26" s="152"/>
      <c r="F26" s="7" t="str">
        <f>_xlfn.XLOOKUP(E26,Tab_Def_Processes[Process_Name],Tab_Def_Processes[Process_ID],,0,)</f>
        <v>15</v>
      </c>
      <c r="G26" s="152"/>
      <c r="H26" s="10" t="str">
        <f>_xlfn.XLOOKUP(G26,Tab_Def_Processes[Process_Name],Tab_Def_Processes[Process_ID],,0,)</f>
        <v>15</v>
      </c>
      <c r="I26" s="152"/>
      <c r="J26" s="152"/>
      <c r="K26" s="152"/>
      <c r="L26" s="7" t="str">
        <f>Tab_Def_Flows[[#This Row],[Flow_ID]]&amp;"_WC"</f>
        <v>F_15_15_WC</v>
      </c>
      <c r="M26" s="147"/>
      <c r="N26" s="18"/>
      <c r="O26" s="7" t="str">
        <f>Tab_Def_Flows[[#This Row],[Flow_ID]]&amp;"_DM"</f>
        <v>F_15_15_DM</v>
      </c>
      <c r="Q26" s="18"/>
      <c r="R26" s="7" t="str">
        <f>Tab_Def_Flows[[#This Row],[Flow_ID]]&amp;"_CC"</f>
        <v>F_15_15_CC</v>
      </c>
      <c r="S26" s="147"/>
      <c r="T26" s="18"/>
      <c r="U26" s="153">
        <f>Tab_Def_Flows[[#This Row],[Flow_CC_DM'[%']]]*Tab_Def_Flows[[#This Row],[Flow_DM]]</f>
        <v>0</v>
      </c>
      <c r="V26" s="8"/>
    </row>
    <row r="27" spans="1:22" x14ac:dyDescent="0.25">
      <c r="A27" s="156" t="b">
        <v>0</v>
      </c>
      <c r="B27" s="21">
        <f t="shared" si="0"/>
        <v>26</v>
      </c>
      <c r="C27" s="7" t="str">
        <f t="shared" si="1"/>
        <v>F_15_15</v>
      </c>
      <c r="D27" s="8"/>
      <c r="E27" s="152"/>
      <c r="F27" s="7" t="str">
        <f>_xlfn.XLOOKUP(E27,Tab_Def_Processes[Process_Name],Tab_Def_Processes[Process_ID],,0,)</f>
        <v>15</v>
      </c>
      <c r="G27" s="152"/>
      <c r="H27" s="10" t="str">
        <f>_xlfn.XLOOKUP(G27,Tab_Def_Processes[Process_Name],Tab_Def_Processes[Process_ID],,0,)</f>
        <v>15</v>
      </c>
      <c r="I27" s="152"/>
      <c r="J27" s="152"/>
      <c r="K27" s="152"/>
      <c r="L27" s="7" t="str">
        <f>Tab_Def_Flows[[#This Row],[Flow_ID]]&amp;"_WC"</f>
        <v>F_15_15_WC</v>
      </c>
      <c r="M27" s="147"/>
      <c r="N27" s="18"/>
      <c r="O27" s="7" t="str">
        <f>Tab_Def_Flows[[#This Row],[Flow_ID]]&amp;"_DM"</f>
        <v>F_15_15_DM</v>
      </c>
      <c r="Q27" s="18"/>
      <c r="R27" s="7" t="str">
        <f>Tab_Def_Flows[[#This Row],[Flow_ID]]&amp;"_CC"</f>
        <v>F_15_15_CC</v>
      </c>
      <c r="S27" s="147"/>
      <c r="T27" s="18"/>
      <c r="U27" s="153">
        <f>Tab_Def_Flows[[#This Row],[Flow_CC_DM'[%']]]*Tab_Def_Flows[[#This Row],[Flow_DM]]</f>
        <v>0</v>
      </c>
      <c r="V27" s="8"/>
    </row>
    <row r="28" spans="1:22" x14ac:dyDescent="0.25">
      <c r="A28" s="156" t="b">
        <v>0</v>
      </c>
      <c r="B28" s="21">
        <f t="shared" si="0"/>
        <v>27</v>
      </c>
      <c r="C28" s="7" t="str">
        <f t="shared" si="1"/>
        <v>F_15_15</v>
      </c>
      <c r="D28" s="8"/>
      <c r="E28" s="152"/>
      <c r="F28" s="7" t="str">
        <f>_xlfn.XLOOKUP(E28,Tab_Def_Processes[Process_Name],Tab_Def_Processes[Process_ID],,0,)</f>
        <v>15</v>
      </c>
      <c r="G28" s="152"/>
      <c r="H28" s="10" t="str">
        <f>_xlfn.XLOOKUP(G28,Tab_Def_Processes[Process_Name],Tab_Def_Processes[Process_ID],,0,)</f>
        <v>15</v>
      </c>
      <c r="I28" s="152"/>
      <c r="J28" s="152"/>
      <c r="K28" s="152"/>
      <c r="L28" s="7" t="str">
        <f>Tab_Def_Flows[[#This Row],[Flow_ID]]&amp;"_WC"</f>
        <v>F_15_15_WC</v>
      </c>
      <c r="M28" s="147"/>
      <c r="N28" s="18"/>
      <c r="O28" s="7" t="str">
        <f>Tab_Def_Flows[[#This Row],[Flow_ID]]&amp;"_DM"</f>
        <v>F_15_15_DM</v>
      </c>
      <c r="Q28" s="18"/>
      <c r="R28" s="7" t="str">
        <f>Tab_Def_Flows[[#This Row],[Flow_ID]]&amp;"_CC"</f>
        <v>F_15_15_CC</v>
      </c>
      <c r="S28" s="147"/>
      <c r="T28" s="18"/>
      <c r="U28" s="153">
        <f>Tab_Def_Flows[[#This Row],[Flow_CC_DM'[%']]]*Tab_Def_Flows[[#This Row],[Flow_DM]]</f>
        <v>0</v>
      </c>
      <c r="V28" s="8"/>
    </row>
    <row r="29" spans="1:22" x14ac:dyDescent="0.25">
      <c r="A29" s="156" t="b">
        <v>0</v>
      </c>
      <c r="B29" s="21">
        <f t="shared" si="0"/>
        <v>28</v>
      </c>
      <c r="C29" s="7" t="str">
        <f t="shared" si="1"/>
        <v>F_15_15</v>
      </c>
      <c r="D29" s="8"/>
      <c r="E29" s="152"/>
      <c r="F29" s="7" t="str">
        <f>_xlfn.XLOOKUP(E29,Tab_Def_Processes[Process_Name],Tab_Def_Processes[Process_ID],,0,)</f>
        <v>15</v>
      </c>
      <c r="G29" s="152"/>
      <c r="H29" s="10" t="str">
        <f>_xlfn.XLOOKUP(G29,Tab_Def_Processes[Process_Name],Tab_Def_Processes[Process_ID],,0,)</f>
        <v>15</v>
      </c>
      <c r="I29" s="152"/>
      <c r="J29" s="152"/>
      <c r="K29" s="152"/>
      <c r="L29" s="7" t="str">
        <f>Tab_Def_Flows[[#This Row],[Flow_ID]]&amp;"_WC"</f>
        <v>F_15_15_WC</v>
      </c>
      <c r="M29" s="147"/>
      <c r="N29" s="18"/>
      <c r="O29" s="7" t="str">
        <f>Tab_Def_Flows[[#This Row],[Flow_ID]]&amp;"_DM"</f>
        <v>F_15_15_DM</v>
      </c>
      <c r="Q29" s="18"/>
      <c r="R29" s="7" t="str">
        <f>Tab_Def_Flows[[#This Row],[Flow_ID]]&amp;"_CC"</f>
        <v>F_15_15_CC</v>
      </c>
      <c r="S29" s="147"/>
      <c r="T29" s="18"/>
      <c r="U29" s="153">
        <f>Tab_Def_Flows[[#This Row],[Flow_CC_DM'[%']]]*Tab_Def_Flows[[#This Row],[Flow_DM]]</f>
        <v>0</v>
      </c>
      <c r="V29" s="8"/>
    </row>
    <row r="30" spans="1:22" x14ac:dyDescent="0.25">
      <c r="A30" s="156" t="b">
        <v>0</v>
      </c>
      <c r="B30" s="21">
        <f t="shared" si="0"/>
        <v>29</v>
      </c>
      <c r="C30" s="7" t="str">
        <f t="shared" si="1"/>
        <v>F_15_15</v>
      </c>
      <c r="D30" s="8"/>
      <c r="E30" s="152"/>
      <c r="F30" s="7" t="str">
        <f>_xlfn.XLOOKUP(E30,Tab_Def_Processes[Process_Name],Tab_Def_Processes[Process_ID],,0,)</f>
        <v>15</v>
      </c>
      <c r="G30" s="152"/>
      <c r="H30" s="10" t="str">
        <f>_xlfn.XLOOKUP(G30,Tab_Def_Processes[Process_Name],Tab_Def_Processes[Process_ID],,0,)</f>
        <v>15</v>
      </c>
      <c r="I30" s="152"/>
      <c r="J30" s="152"/>
      <c r="K30" s="152"/>
      <c r="L30" s="7" t="str">
        <f>Tab_Def_Flows[[#This Row],[Flow_ID]]&amp;"_WC"</f>
        <v>F_15_15_WC</v>
      </c>
      <c r="M30" s="147"/>
      <c r="N30" s="18"/>
      <c r="O30" s="7" t="str">
        <f>Tab_Def_Flows[[#This Row],[Flow_ID]]&amp;"_DM"</f>
        <v>F_15_15_DM</v>
      </c>
      <c r="Q30" s="18"/>
      <c r="R30" s="7" t="str">
        <f>Tab_Def_Flows[[#This Row],[Flow_ID]]&amp;"_CC"</f>
        <v>F_15_15_CC</v>
      </c>
      <c r="S30" s="147"/>
      <c r="T30" s="18"/>
      <c r="U30" s="153">
        <f>Tab_Def_Flows[[#This Row],[Flow_CC_DM'[%']]]*Tab_Def_Flows[[#This Row],[Flow_DM]]</f>
        <v>0</v>
      </c>
      <c r="V30" s="8"/>
    </row>
    <row r="31" spans="1:22" x14ac:dyDescent="0.25">
      <c r="A31" s="156" t="b">
        <v>0</v>
      </c>
      <c r="B31" s="21">
        <f t="shared" si="0"/>
        <v>30</v>
      </c>
      <c r="C31" s="7" t="str">
        <f t="shared" si="1"/>
        <v>F_15_15</v>
      </c>
      <c r="D31" s="8"/>
      <c r="E31" s="152"/>
      <c r="F31" s="7" t="str">
        <f>_xlfn.XLOOKUP(E31,Tab_Def_Processes[Process_Name],Tab_Def_Processes[Process_ID],,0,)</f>
        <v>15</v>
      </c>
      <c r="G31" s="152"/>
      <c r="H31" s="10" t="str">
        <f>_xlfn.XLOOKUP(G31,Tab_Def_Processes[Process_Name],Tab_Def_Processes[Process_ID],,0,)</f>
        <v>15</v>
      </c>
      <c r="I31" s="152"/>
      <c r="J31" s="152"/>
      <c r="K31" s="152"/>
      <c r="L31" s="7" t="str">
        <f>Tab_Def_Flows[[#This Row],[Flow_ID]]&amp;"_WC"</f>
        <v>F_15_15_WC</v>
      </c>
      <c r="M31" s="147"/>
      <c r="N31" s="18"/>
      <c r="O31" s="7" t="str">
        <f>Tab_Def_Flows[[#This Row],[Flow_ID]]&amp;"_DM"</f>
        <v>F_15_15_DM</v>
      </c>
      <c r="Q31" s="18"/>
      <c r="R31" s="7" t="str">
        <f>Tab_Def_Flows[[#This Row],[Flow_ID]]&amp;"_CC"</f>
        <v>F_15_15_CC</v>
      </c>
      <c r="S31" s="147"/>
      <c r="T31" s="18"/>
      <c r="U31" s="153">
        <f>Tab_Def_Flows[[#This Row],[Flow_CC_DM'[%']]]*Tab_Def_Flows[[#This Row],[Flow_DM]]</f>
        <v>0</v>
      </c>
      <c r="V31" s="8"/>
    </row>
    <row r="32" spans="1:22" x14ac:dyDescent="0.25">
      <c r="A32" s="156" t="b">
        <v>0</v>
      </c>
      <c r="B32" s="21">
        <f t="shared" si="0"/>
        <v>31</v>
      </c>
      <c r="C32" s="7" t="str">
        <f t="shared" si="1"/>
        <v>F_15_15</v>
      </c>
      <c r="D32" s="8"/>
      <c r="E32" s="152"/>
      <c r="F32" s="7" t="str">
        <f>_xlfn.XLOOKUP(E32,Tab_Def_Processes[Process_Name],Tab_Def_Processes[Process_ID],,0,)</f>
        <v>15</v>
      </c>
      <c r="G32" s="152"/>
      <c r="H32" s="10" t="str">
        <f>_xlfn.XLOOKUP(G32,Tab_Def_Processes[Process_Name],Tab_Def_Processes[Process_ID],,0,)</f>
        <v>15</v>
      </c>
      <c r="I32" s="152"/>
      <c r="J32" s="152"/>
      <c r="K32" s="152"/>
      <c r="L32" s="7" t="str">
        <f>Tab_Def_Flows[[#This Row],[Flow_ID]]&amp;"_WC"</f>
        <v>F_15_15_WC</v>
      </c>
      <c r="M32" s="147"/>
      <c r="N32" s="18"/>
      <c r="O32" s="7" t="str">
        <f>Tab_Def_Flows[[#This Row],[Flow_ID]]&amp;"_DM"</f>
        <v>F_15_15_DM</v>
      </c>
      <c r="Q32" s="18"/>
      <c r="R32" s="7" t="str">
        <f>Tab_Def_Flows[[#This Row],[Flow_ID]]&amp;"_CC"</f>
        <v>F_15_15_CC</v>
      </c>
      <c r="S32" s="147"/>
      <c r="T32" s="18"/>
      <c r="U32" s="153">
        <f>Tab_Def_Flows[[#This Row],[Flow_CC_DM'[%']]]*Tab_Def_Flows[[#This Row],[Flow_DM]]</f>
        <v>0</v>
      </c>
      <c r="V32" s="8"/>
    </row>
    <row r="33" spans="1:22" x14ac:dyDescent="0.25">
      <c r="A33" s="156" t="b">
        <v>0</v>
      </c>
      <c r="B33" s="21">
        <f t="shared" si="0"/>
        <v>32</v>
      </c>
      <c r="C33" s="7" t="str">
        <f t="shared" si="1"/>
        <v>F_15_15</v>
      </c>
      <c r="D33" s="8"/>
      <c r="E33" s="152"/>
      <c r="F33" s="7" t="str">
        <f>_xlfn.XLOOKUP(E33,Tab_Def_Processes[Process_Name],Tab_Def_Processes[Process_ID],,0,)</f>
        <v>15</v>
      </c>
      <c r="G33" s="152"/>
      <c r="H33" s="10" t="str">
        <f>_xlfn.XLOOKUP(G33,Tab_Def_Processes[Process_Name],Tab_Def_Processes[Process_ID],,0,)</f>
        <v>15</v>
      </c>
      <c r="I33" s="152"/>
      <c r="J33" s="152"/>
      <c r="K33" s="152"/>
      <c r="L33" s="7" t="str">
        <f>Tab_Def_Flows[[#This Row],[Flow_ID]]&amp;"_WC"</f>
        <v>F_15_15_WC</v>
      </c>
      <c r="M33" s="147"/>
      <c r="N33" s="18"/>
      <c r="O33" s="7" t="str">
        <f>Tab_Def_Flows[[#This Row],[Flow_ID]]&amp;"_DM"</f>
        <v>F_15_15_DM</v>
      </c>
      <c r="Q33" s="18"/>
      <c r="R33" s="7" t="str">
        <f>Tab_Def_Flows[[#This Row],[Flow_ID]]&amp;"_CC"</f>
        <v>F_15_15_CC</v>
      </c>
      <c r="S33" s="147"/>
      <c r="T33" s="18"/>
      <c r="U33" s="153">
        <f>Tab_Def_Flows[[#This Row],[Flow_CC_DM'[%']]]*Tab_Def_Flows[[#This Row],[Flow_DM]]</f>
        <v>0</v>
      </c>
      <c r="V33" s="8"/>
    </row>
    <row r="34" spans="1:22" x14ac:dyDescent="0.25">
      <c r="A34" s="156" t="b">
        <v>0</v>
      </c>
      <c r="B34" s="21">
        <f t="shared" si="0"/>
        <v>33</v>
      </c>
      <c r="C34" s="7" t="str">
        <f t="shared" si="1"/>
        <v>F_15_15</v>
      </c>
      <c r="D34" s="8"/>
      <c r="E34" s="152"/>
      <c r="F34" s="7" t="str">
        <f>_xlfn.XLOOKUP(E34,Tab_Def_Processes[Process_Name],Tab_Def_Processes[Process_ID],,0,)</f>
        <v>15</v>
      </c>
      <c r="G34" s="152"/>
      <c r="H34" s="10" t="str">
        <f>_xlfn.XLOOKUP(G34,Tab_Def_Processes[Process_Name],Tab_Def_Processes[Process_ID],,0,)</f>
        <v>15</v>
      </c>
      <c r="I34" s="152"/>
      <c r="J34" s="152"/>
      <c r="K34" s="152"/>
      <c r="L34" s="7" t="str">
        <f>Tab_Def_Flows[[#This Row],[Flow_ID]]&amp;"_WC"</f>
        <v>F_15_15_WC</v>
      </c>
      <c r="M34" s="147"/>
      <c r="N34" s="18"/>
      <c r="O34" s="7" t="str">
        <f>Tab_Def_Flows[[#This Row],[Flow_ID]]&amp;"_DM"</f>
        <v>F_15_15_DM</v>
      </c>
      <c r="Q34" s="18"/>
      <c r="R34" s="7" t="str">
        <f>Tab_Def_Flows[[#This Row],[Flow_ID]]&amp;"_CC"</f>
        <v>F_15_15_CC</v>
      </c>
      <c r="S34" s="147"/>
      <c r="T34" s="18"/>
      <c r="U34" s="153">
        <f>Tab_Def_Flows[[#This Row],[Flow_CC_DM'[%']]]*Tab_Def_Flows[[#This Row],[Flow_DM]]</f>
        <v>0</v>
      </c>
      <c r="V34" s="8"/>
    </row>
    <row r="35" spans="1:22" x14ac:dyDescent="0.25">
      <c r="A35" s="156" t="b">
        <v>0</v>
      </c>
      <c r="B35" s="21">
        <f t="shared" si="0"/>
        <v>34</v>
      </c>
      <c r="C35" s="7" t="str">
        <f t="shared" si="1"/>
        <v>F_15_15</v>
      </c>
      <c r="D35" s="8"/>
      <c r="E35" s="152"/>
      <c r="F35" s="7" t="str">
        <f>_xlfn.XLOOKUP(E35,Tab_Def_Processes[Process_Name],Tab_Def_Processes[Process_ID],,0,)</f>
        <v>15</v>
      </c>
      <c r="G35" s="152"/>
      <c r="H35" s="10" t="str">
        <f>_xlfn.XLOOKUP(G35,Tab_Def_Processes[Process_Name],Tab_Def_Processes[Process_ID],,0,)</f>
        <v>15</v>
      </c>
      <c r="I35" s="152"/>
      <c r="J35" s="152"/>
      <c r="K35" s="152"/>
      <c r="L35" s="7" t="str">
        <f>Tab_Def_Flows[[#This Row],[Flow_ID]]&amp;"_WC"</f>
        <v>F_15_15_WC</v>
      </c>
      <c r="M35" s="147"/>
      <c r="N35" s="18"/>
      <c r="O35" s="7" t="str">
        <f>Tab_Def_Flows[[#This Row],[Flow_ID]]&amp;"_DM"</f>
        <v>F_15_15_DM</v>
      </c>
      <c r="Q35" s="18"/>
      <c r="R35" s="7" t="str">
        <f>Tab_Def_Flows[[#This Row],[Flow_ID]]&amp;"_CC"</f>
        <v>F_15_15_CC</v>
      </c>
      <c r="S35" s="147"/>
      <c r="T35" s="18"/>
      <c r="U35" s="153">
        <f>Tab_Def_Flows[[#This Row],[Flow_CC_DM'[%']]]*Tab_Def_Flows[[#This Row],[Flow_DM]]</f>
        <v>0</v>
      </c>
      <c r="V35" s="8"/>
    </row>
    <row r="36" spans="1:22" ht="15.75" customHeight="1" x14ac:dyDescent="0.25">
      <c r="A36" s="156" t="b">
        <v>0</v>
      </c>
      <c r="B36" s="21">
        <f t="shared" si="0"/>
        <v>35</v>
      </c>
      <c r="C36" s="7" t="str">
        <f t="shared" si="1"/>
        <v>F_15_15</v>
      </c>
      <c r="D36" s="8"/>
      <c r="E36" s="152"/>
      <c r="F36" s="7" t="str">
        <f>_xlfn.XLOOKUP(E36,Tab_Def_Processes[Process_Name],Tab_Def_Processes[Process_ID],,0,)</f>
        <v>15</v>
      </c>
      <c r="G36" s="152"/>
      <c r="H36" s="10" t="str">
        <f>_xlfn.XLOOKUP(G36,Tab_Def_Processes[Process_Name],Tab_Def_Processes[Process_ID],,0,)</f>
        <v>15</v>
      </c>
      <c r="I36" s="152"/>
      <c r="J36" s="152"/>
      <c r="K36" s="152"/>
      <c r="L36" s="7" t="str">
        <f>Tab_Def_Flows[[#This Row],[Flow_ID]]&amp;"_WC"</f>
        <v>F_15_15_WC</v>
      </c>
      <c r="M36" s="147"/>
      <c r="N36" s="18"/>
      <c r="O36" s="7" t="str">
        <f>Tab_Def_Flows[[#This Row],[Flow_ID]]&amp;"_DM"</f>
        <v>F_15_15_DM</v>
      </c>
      <c r="Q36" s="18"/>
      <c r="R36" s="7" t="str">
        <f>Tab_Def_Flows[[#This Row],[Flow_ID]]&amp;"_CC"</f>
        <v>F_15_15_CC</v>
      </c>
      <c r="S36" s="147"/>
      <c r="T36" s="18"/>
      <c r="U36" s="153">
        <f>Tab_Def_Flows[[#This Row],[Flow_CC_DM'[%']]]*Tab_Def_Flows[[#This Row],[Flow_DM]]</f>
        <v>0</v>
      </c>
      <c r="V36" s="8"/>
    </row>
    <row r="37" spans="1:22" x14ac:dyDescent="0.25">
      <c r="A37" s="156" t="b">
        <v>0</v>
      </c>
      <c r="B37" s="21">
        <f t="shared" si="0"/>
        <v>36</v>
      </c>
      <c r="C37" s="7" t="str">
        <f t="shared" si="1"/>
        <v>F_15_15</v>
      </c>
      <c r="D37" s="8"/>
      <c r="E37" s="152"/>
      <c r="F37" s="7" t="str">
        <f>_xlfn.XLOOKUP(E37,Tab_Def_Processes[Process_Name],Tab_Def_Processes[Process_ID],,0,)</f>
        <v>15</v>
      </c>
      <c r="G37" s="152"/>
      <c r="H37" s="10" t="str">
        <f>_xlfn.XLOOKUP(G37,Tab_Def_Processes[Process_Name],Tab_Def_Processes[Process_ID],,0,)</f>
        <v>15</v>
      </c>
      <c r="I37" s="152"/>
      <c r="J37" s="152"/>
      <c r="K37" s="152"/>
      <c r="L37" s="7" t="str">
        <f>Tab_Def_Flows[[#This Row],[Flow_ID]]&amp;"_WC"</f>
        <v>F_15_15_WC</v>
      </c>
      <c r="M37" s="147"/>
      <c r="N37" s="18"/>
      <c r="O37" s="7" t="str">
        <f>Tab_Def_Flows[[#This Row],[Flow_ID]]&amp;"_DM"</f>
        <v>F_15_15_DM</v>
      </c>
      <c r="Q37" s="18"/>
      <c r="R37" s="7" t="str">
        <f>Tab_Def_Flows[[#This Row],[Flow_ID]]&amp;"_CC"</f>
        <v>F_15_15_CC</v>
      </c>
      <c r="S37" s="147"/>
      <c r="T37" s="18"/>
      <c r="U37" s="153">
        <f>Tab_Def_Flows[[#This Row],[Flow_CC_DM'[%']]]*Tab_Def_Flows[[#This Row],[Flow_DM]]</f>
        <v>0</v>
      </c>
      <c r="V37" s="8"/>
    </row>
    <row r="38" spans="1:22" x14ac:dyDescent="0.25">
      <c r="A38" s="156" t="b">
        <v>0</v>
      </c>
      <c r="B38" s="21">
        <f t="shared" si="0"/>
        <v>37</v>
      </c>
      <c r="C38" s="7" t="str">
        <f t="shared" si="1"/>
        <v>F_15_15</v>
      </c>
      <c r="D38" s="8"/>
      <c r="E38" s="152"/>
      <c r="F38" s="7" t="str">
        <f>_xlfn.XLOOKUP(E38,Tab_Def_Processes[Process_Name],Tab_Def_Processes[Process_ID],,0,)</f>
        <v>15</v>
      </c>
      <c r="G38" s="152"/>
      <c r="H38" s="10" t="str">
        <f>_xlfn.XLOOKUP(G38,Tab_Def_Processes[Process_Name],Tab_Def_Processes[Process_ID],,0,)</f>
        <v>15</v>
      </c>
      <c r="I38" s="152"/>
      <c r="J38" s="152"/>
      <c r="K38" s="152"/>
      <c r="L38" s="7" t="str">
        <f>Tab_Def_Flows[[#This Row],[Flow_ID]]&amp;"_WC"</f>
        <v>F_15_15_WC</v>
      </c>
      <c r="M38" s="147"/>
      <c r="N38" s="18"/>
      <c r="O38" s="7" t="str">
        <f>Tab_Def_Flows[[#This Row],[Flow_ID]]&amp;"_DM"</f>
        <v>F_15_15_DM</v>
      </c>
      <c r="Q38" s="18"/>
      <c r="R38" s="7" t="str">
        <f>Tab_Def_Flows[[#This Row],[Flow_ID]]&amp;"_CC"</f>
        <v>F_15_15_CC</v>
      </c>
      <c r="S38" s="147"/>
      <c r="T38" s="18"/>
      <c r="U38" s="153">
        <f>Tab_Def_Flows[[#This Row],[Flow_CC_DM'[%']]]*Tab_Def_Flows[[#This Row],[Flow_DM]]</f>
        <v>0</v>
      </c>
      <c r="V38" s="8"/>
    </row>
    <row r="39" spans="1:22" x14ac:dyDescent="0.25">
      <c r="A39" s="156" t="b">
        <v>0</v>
      </c>
      <c r="B39" s="21">
        <f t="shared" si="0"/>
        <v>38</v>
      </c>
      <c r="C39" s="7" t="str">
        <f t="shared" si="1"/>
        <v>F_15_15</v>
      </c>
      <c r="D39" s="8"/>
      <c r="E39" s="152"/>
      <c r="F39" s="7" t="str">
        <f>_xlfn.XLOOKUP(E39,Tab_Def_Processes[Process_Name],Tab_Def_Processes[Process_ID],,0,)</f>
        <v>15</v>
      </c>
      <c r="G39" s="152"/>
      <c r="H39" s="10" t="str">
        <f>_xlfn.XLOOKUP(G39,Tab_Def_Processes[Process_Name],Tab_Def_Processes[Process_ID],,0,)</f>
        <v>15</v>
      </c>
      <c r="I39" s="152"/>
      <c r="J39" s="152"/>
      <c r="K39" s="152"/>
      <c r="L39" s="7" t="str">
        <f>Tab_Def_Flows[[#This Row],[Flow_ID]]&amp;"_WC"</f>
        <v>F_15_15_WC</v>
      </c>
      <c r="M39" s="147"/>
      <c r="N39" s="18"/>
      <c r="O39" s="7" t="str">
        <f>Tab_Def_Flows[[#This Row],[Flow_ID]]&amp;"_DM"</f>
        <v>F_15_15_DM</v>
      </c>
      <c r="Q39" s="18"/>
      <c r="R39" s="7" t="str">
        <f>Tab_Def_Flows[[#This Row],[Flow_ID]]&amp;"_CC"</f>
        <v>F_15_15_CC</v>
      </c>
      <c r="S39" s="147"/>
      <c r="T39" s="18"/>
      <c r="U39" s="153">
        <f>Tab_Def_Flows[[#This Row],[Flow_CC_DM'[%']]]*Tab_Def_Flows[[#This Row],[Flow_DM]]</f>
        <v>0</v>
      </c>
      <c r="V39" s="8"/>
    </row>
    <row r="40" spans="1:22" x14ac:dyDescent="0.25">
      <c r="A40" s="156" t="b">
        <v>0</v>
      </c>
      <c r="B40" s="21">
        <f t="shared" si="0"/>
        <v>39</v>
      </c>
      <c r="C40" s="7" t="str">
        <f t="shared" si="1"/>
        <v>F_15_15</v>
      </c>
      <c r="D40" s="8"/>
      <c r="E40" s="152"/>
      <c r="F40" s="7" t="str">
        <f>_xlfn.XLOOKUP(E40,Tab_Def_Processes[Process_Name],Tab_Def_Processes[Process_ID],,0,)</f>
        <v>15</v>
      </c>
      <c r="G40" s="152"/>
      <c r="H40" s="10" t="str">
        <f>_xlfn.XLOOKUP(G40,Tab_Def_Processes[Process_Name],Tab_Def_Processes[Process_ID],,0,)</f>
        <v>15</v>
      </c>
      <c r="I40" s="152"/>
      <c r="J40" s="152"/>
      <c r="K40" s="152"/>
      <c r="L40" s="7" t="str">
        <f>Tab_Def_Flows[[#This Row],[Flow_ID]]&amp;"_WC"</f>
        <v>F_15_15_WC</v>
      </c>
      <c r="M40" s="147"/>
      <c r="N40" s="18"/>
      <c r="O40" s="7" t="str">
        <f>Tab_Def_Flows[[#This Row],[Flow_ID]]&amp;"_DM"</f>
        <v>F_15_15_DM</v>
      </c>
      <c r="Q40" s="18"/>
      <c r="R40" s="7" t="str">
        <f>Tab_Def_Flows[[#This Row],[Flow_ID]]&amp;"_CC"</f>
        <v>F_15_15_CC</v>
      </c>
      <c r="S40" s="147"/>
      <c r="T40" s="18"/>
      <c r="U40" s="153">
        <f>Tab_Def_Flows[[#This Row],[Flow_CC_DM'[%']]]*Tab_Def_Flows[[#This Row],[Flow_DM]]</f>
        <v>0</v>
      </c>
      <c r="V40" s="8"/>
    </row>
    <row r="41" spans="1:22" x14ac:dyDescent="0.25">
      <c r="A41" s="156" t="b">
        <v>0</v>
      </c>
      <c r="B41" s="21">
        <f t="shared" si="0"/>
        <v>40</v>
      </c>
      <c r="C41" s="7" t="str">
        <f t="shared" si="1"/>
        <v>F_15_15</v>
      </c>
      <c r="D41" s="8"/>
      <c r="E41" s="152"/>
      <c r="F41" s="7" t="str">
        <f>_xlfn.XLOOKUP(E41,Tab_Def_Processes[Process_Name],Tab_Def_Processes[Process_ID],,0,)</f>
        <v>15</v>
      </c>
      <c r="G41" s="152"/>
      <c r="H41" s="10" t="str">
        <f>_xlfn.XLOOKUP(G41,Tab_Def_Processes[Process_Name],Tab_Def_Processes[Process_ID],,0,)</f>
        <v>15</v>
      </c>
      <c r="I41" s="152"/>
      <c r="J41" s="152"/>
      <c r="K41" s="152"/>
      <c r="L41" s="7" t="str">
        <f>Tab_Def_Flows[[#This Row],[Flow_ID]]&amp;"_WC"</f>
        <v>F_15_15_WC</v>
      </c>
      <c r="M41" s="147"/>
      <c r="N41" s="18"/>
      <c r="O41" s="7" t="str">
        <f>Tab_Def_Flows[[#This Row],[Flow_ID]]&amp;"_DM"</f>
        <v>F_15_15_DM</v>
      </c>
      <c r="Q41" s="18"/>
      <c r="R41" s="7" t="str">
        <f>Tab_Def_Flows[[#This Row],[Flow_ID]]&amp;"_CC"</f>
        <v>F_15_15_CC</v>
      </c>
      <c r="S41" s="147"/>
      <c r="T41" s="18"/>
      <c r="U41" s="153">
        <f>Tab_Def_Flows[[#This Row],[Flow_CC_DM'[%']]]*Tab_Def_Flows[[#This Row],[Flow_DM]]</f>
        <v>0</v>
      </c>
      <c r="V41" s="8"/>
    </row>
    <row r="42" spans="1:22" x14ac:dyDescent="0.25">
      <c r="A42" s="156" t="b">
        <v>0</v>
      </c>
      <c r="B42" s="21">
        <f t="shared" si="0"/>
        <v>41</v>
      </c>
      <c r="C42" s="7" t="str">
        <f t="shared" si="1"/>
        <v>F_15_15</v>
      </c>
      <c r="D42" s="8"/>
      <c r="E42" s="152"/>
      <c r="F42" s="7" t="str">
        <f>_xlfn.XLOOKUP(E42,Tab_Def_Processes[Process_Name],Tab_Def_Processes[Process_ID],,0,)</f>
        <v>15</v>
      </c>
      <c r="G42" s="152"/>
      <c r="H42" s="10" t="str">
        <f>_xlfn.XLOOKUP(G42,Tab_Def_Processes[Process_Name],Tab_Def_Processes[Process_ID],,0,)</f>
        <v>15</v>
      </c>
      <c r="I42" s="152"/>
      <c r="J42" s="152"/>
      <c r="K42" s="152"/>
      <c r="L42" s="7" t="str">
        <f>Tab_Def_Flows[[#This Row],[Flow_ID]]&amp;"_WC"</f>
        <v>F_15_15_WC</v>
      </c>
      <c r="M42" s="147"/>
      <c r="N42" s="18"/>
      <c r="O42" s="7" t="str">
        <f>Tab_Def_Flows[[#This Row],[Flow_ID]]&amp;"_DM"</f>
        <v>F_15_15_DM</v>
      </c>
      <c r="Q42" s="18"/>
      <c r="R42" s="7" t="str">
        <f>Tab_Def_Flows[[#This Row],[Flow_ID]]&amp;"_CC"</f>
        <v>F_15_15_CC</v>
      </c>
      <c r="S42" s="147"/>
      <c r="T42" s="18"/>
      <c r="U42" s="153">
        <f>Tab_Def_Flows[[#This Row],[Flow_CC_DM'[%']]]*Tab_Def_Flows[[#This Row],[Flow_DM]]</f>
        <v>0</v>
      </c>
      <c r="V42" s="8"/>
    </row>
    <row r="43" spans="1:22" x14ac:dyDescent="0.25">
      <c r="A43" s="156" t="b">
        <v>0</v>
      </c>
      <c r="B43" s="21">
        <f t="shared" si="0"/>
        <v>42</v>
      </c>
      <c r="C43" s="7" t="str">
        <f t="shared" si="1"/>
        <v>F_15_15</v>
      </c>
      <c r="D43" s="8"/>
      <c r="E43" s="152"/>
      <c r="F43" s="7" t="str">
        <f>_xlfn.XLOOKUP(E43,Tab_Def_Processes[Process_Name],Tab_Def_Processes[Process_ID],,0,)</f>
        <v>15</v>
      </c>
      <c r="G43" s="152"/>
      <c r="H43" s="10" t="str">
        <f>_xlfn.XLOOKUP(G43,Tab_Def_Processes[Process_Name],Tab_Def_Processes[Process_ID],,0,)</f>
        <v>15</v>
      </c>
      <c r="I43" s="152"/>
      <c r="J43" s="152"/>
      <c r="K43" s="152"/>
      <c r="L43" s="7" t="str">
        <f>Tab_Def_Flows[[#This Row],[Flow_ID]]&amp;"_WC"</f>
        <v>F_15_15_WC</v>
      </c>
      <c r="M43" s="147"/>
      <c r="N43" s="18"/>
      <c r="O43" s="7" t="str">
        <f>Tab_Def_Flows[[#This Row],[Flow_ID]]&amp;"_DM"</f>
        <v>F_15_15_DM</v>
      </c>
      <c r="Q43" s="18"/>
      <c r="R43" s="7" t="str">
        <f>Tab_Def_Flows[[#This Row],[Flow_ID]]&amp;"_CC"</f>
        <v>F_15_15_CC</v>
      </c>
      <c r="S43" s="147"/>
      <c r="T43" s="18"/>
      <c r="U43" s="153">
        <f>Tab_Def_Flows[[#This Row],[Flow_CC_DM'[%']]]*Tab_Def_Flows[[#This Row],[Flow_DM]]</f>
        <v>0</v>
      </c>
      <c r="V43" s="8"/>
    </row>
    <row r="44" spans="1:22" x14ac:dyDescent="0.25">
      <c r="A44" s="156" t="b">
        <v>0</v>
      </c>
      <c r="B44" s="21">
        <f t="shared" si="0"/>
        <v>43</v>
      </c>
      <c r="C44" s="7" t="str">
        <f t="shared" si="1"/>
        <v>F_15_15</v>
      </c>
      <c r="D44" s="8"/>
      <c r="E44" s="152"/>
      <c r="F44" s="7" t="str">
        <f>_xlfn.XLOOKUP(E44,Tab_Def_Processes[Process_Name],Tab_Def_Processes[Process_ID],,0,)</f>
        <v>15</v>
      </c>
      <c r="G44" s="152"/>
      <c r="H44" s="10" t="str">
        <f>_xlfn.XLOOKUP(G44,Tab_Def_Processes[Process_Name],Tab_Def_Processes[Process_ID],,0,)</f>
        <v>15</v>
      </c>
      <c r="I44" s="152"/>
      <c r="J44" s="152"/>
      <c r="K44" s="152"/>
      <c r="L44" s="7" t="str">
        <f>Tab_Def_Flows[[#This Row],[Flow_ID]]&amp;"_WC"</f>
        <v>F_15_15_WC</v>
      </c>
      <c r="M44" s="147"/>
      <c r="N44" s="18"/>
      <c r="O44" s="7" t="str">
        <f>Tab_Def_Flows[[#This Row],[Flow_ID]]&amp;"_DM"</f>
        <v>F_15_15_DM</v>
      </c>
      <c r="Q44" s="18"/>
      <c r="R44" s="7" t="str">
        <f>Tab_Def_Flows[[#This Row],[Flow_ID]]&amp;"_CC"</f>
        <v>F_15_15_CC</v>
      </c>
      <c r="S44" s="147"/>
      <c r="T44" s="18"/>
      <c r="U44" s="153">
        <f>Tab_Def_Flows[[#This Row],[Flow_CC_DM'[%']]]*Tab_Def_Flows[[#This Row],[Flow_DM]]</f>
        <v>0</v>
      </c>
      <c r="V44" s="8"/>
    </row>
    <row r="45" spans="1:22" ht="15" customHeight="1" x14ac:dyDescent="0.25">
      <c r="A45" s="156" t="b">
        <v>0</v>
      </c>
      <c r="B45" s="21">
        <f t="shared" si="0"/>
        <v>44</v>
      </c>
      <c r="C45" s="7" t="str">
        <f t="shared" si="1"/>
        <v>F_15_15</v>
      </c>
      <c r="D45" s="8"/>
      <c r="E45" s="152"/>
      <c r="F45" s="7" t="str">
        <f>_xlfn.XLOOKUP(E45,Tab_Def_Processes[Process_Name],Tab_Def_Processes[Process_ID],,0,)</f>
        <v>15</v>
      </c>
      <c r="G45" s="152"/>
      <c r="H45" s="10" t="str">
        <f>_xlfn.XLOOKUP(G45,Tab_Def_Processes[Process_Name],Tab_Def_Processes[Process_ID],,0,)</f>
        <v>15</v>
      </c>
      <c r="I45" s="152"/>
      <c r="J45" s="152"/>
      <c r="K45" s="152"/>
      <c r="L45" s="7" t="str">
        <f>Tab_Def_Flows[[#This Row],[Flow_ID]]&amp;"_WC"</f>
        <v>F_15_15_WC</v>
      </c>
      <c r="M45" s="147"/>
      <c r="N45" s="18"/>
      <c r="O45" s="7" t="str">
        <f>Tab_Def_Flows[[#This Row],[Flow_ID]]&amp;"_DM"</f>
        <v>F_15_15_DM</v>
      </c>
      <c r="Q45" s="18"/>
      <c r="R45" s="7" t="str">
        <f>Tab_Def_Flows[[#This Row],[Flow_ID]]&amp;"_CC"</f>
        <v>F_15_15_CC</v>
      </c>
      <c r="S45" s="147"/>
      <c r="T45" s="18"/>
      <c r="U45" s="153">
        <f>Tab_Def_Flows[[#This Row],[Flow_CC_DM'[%']]]*Tab_Def_Flows[[#This Row],[Flow_DM]]</f>
        <v>0</v>
      </c>
      <c r="V45" s="8"/>
    </row>
    <row r="46" spans="1:22" ht="15" customHeight="1" x14ac:dyDescent="0.25">
      <c r="A46" s="156" t="b">
        <v>0</v>
      </c>
      <c r="B46" s="21">
        <f t="shared" si="0"/>
        <v>45</v>
      </c>
      <c r="C46" s="7" t="str">
        <f t="shared" si="1"/>
        <v>F_15_15</v>
      </c>
      <c r="D46" s="8"/>
      <c r="E46" s="152"/>
      <c r="F46" s="7" t="str">
        <f>_xlfn.XLOOKUP(E46,Tab_Def_Processes[Process_Name],Tab_Def_Processes[Process_ID],,0,)</f>
        <v>15</v>
      </c>
      <c r="G46" s="152"/>
      <c r="H46" s="10" t="str">
        <f>_xlfn.XLOOKUP(G46,Tab_Def_Processes[Process_Name],Tab_Def_Processes[Process_ID],,0,)</f>
        <v>15</v>
      </c>
      <c r="I46" s="152"/>
      <c r="J46" s="152"/>
      <c r="K46" s="152"/>
      <c r="L46" s="7" t="str">
        <f>Tab_Def_Flows[[#This Row],[Flow_ID]]&amp;"_WC"</f>
        <v>F_15_15_WC</v>
      </c>
      <c r="M46" s="147"/>
      <c r="N46" s="18"/>
      <c r="O46" s="7" t="str">
        <f>Tab_Def_Flows[[#This Row],[Flow_ID]]&amp;"_DM"</f>
        <v>F_15_15_DM</v>
      </c>
      <c r="Q46" s="18"/>
      <c r="R46" s="7" t="str">
        <f>Tab_Def_Flows[[#This Row],[Flow_ID]]&amp;"_CC"</f>
        <v>F_15_15_CC</v>
      </c>
      <c r="S46" s="147"/>
      <c r="T46" s="18"/>
      <c r="U46" s="153">
        <f>Tab_Def_Flows[[#This Row],[Flow_CC_DM'[%']]]*Tab_Def_Flows[[#This Row],[Flow_DM]]</f>
        <v>0</v>
      </c>
      <c r="V46" s="8"/>
    </row>
    <row r="47" spans="1:22" ht="15" customHeight="1" x14ac:dyDescent="0.25">
      <c r="A47" s="156" t="b">
        <v>0</v>
      </c>
      <c r="B47" s="21">
        <f t="shared" si="0"/>
        <v>46</v>
      </c>
      <c r="C47" s="7" t="str">
        <f t="shared" si="1"/>
        <v>F_15_15</v>
      </c>
      <c r="D47" s="8"/>
      <c r="E47" s="152"/>
      <c r="F47" s="7" t="str">
        <f>_xlfn.XLOOKUP(E47,Tab_Def_Processes[Process_Name],Tab_Def_Processes[Process_ID],,0,)</f>
        <v>15</v>
      </c>
      <c r="G47" s="152"/>
      <c r="H47" s="10" t="str">
        <f>_xlfn.XLOOKUP(G47,Tab_Def_Processes[Process_Name],Tab_Def_Processes[Process_ID],,0,)</f>
        <v>15</v>
      </c>
      <c r="I47" s="152"/>
      <c r="J47" s="152"/>
      <c r="K47" s="152"/>
      <c r="L47" s="7" t="str">
        <f>Tab_Def_Flows[[#This Row],[Flow_ID]]&amp;"_WC"</f>
        <v>F_15_15_WC</v>
      </c>
      <c r="M47" s="147"/>
      <c r="N47" s="18"/>
      <c r="O47" s="7" t="str">
        <f>Tab_Def_Flows[[#This Row],[Flow_ID]]&amp;"_DM"</f>
        <v>F_15_15_DM</v>
      </c>
      <c r="Q47" s="18"/>
      <c r="R47" s="7" t="str">
        <f>Tab_Def_Flows[[#This Row],[Flow_ID]]&amp;"_CC"</f>
        <v>F_15_15_CC</v>
      </c>
      <c r="S47" s="147"/>
      <c r="T47" s="18"/>
      <c r="U47" s="153">
        <f>Tab_Def_Flows[[#This Row],[Flow_CC_DM'[%']]]*Tab_Def_Flows[[#This Row],[Flow_DM]]</f>
        <v>0</v>
      </c>
      <c r="V47" s="8"/>
    </row>
    <row r="48" spans="1:22" ht="15" customHeight="1" x14ac:dyDescent="0.25">
      <c r="A48" s="156" t="b">
        <v>0</v>
      </c>
      <c r="B48" s="21">
        <f t="shared" si="0"/>
        <v>47</v>
      </c>
      <c r="C48" s="7" t="str">
        <f t="shared" si="1"/>
        <v>F_15_15</v>
      </c>
      <c r="D48" s="8"/>
      <c r="E48" s="152"/>
      <c r="F48" s="7" t="str">
        <f>_xlfn.XLOOKUP(E48,Tab_Def_Processes[Process_Name],Tab_Def_Processes[Process_ID],,0,)</f>
        <v>15</v>
      </c>
      <c r="G48" s="152"/>
      <c r="H48" s="10" t="str">
        <f>_xlfn.XLOOKUP(G48,Tab_Def_Processes[Process_Name],Tab_Def_Processes[Process_ID],,0,)</f>
        <v>15</v>
      </c>
      <c r="I48" s="152"/>
      <c r="J48" s="152"/>
      <c r="K48" s="152"/>
      <c r="L48" s="7" t="str">
        <f>Tab_Def_Flows[[#This Row],[Flow_ID]]&amp;"_WC"</f>
        <v>F_15_15_WC</v>
      </c>
      <c r="M48" s="147"/>
      <c r="N48" s="18"/>
      <c r="O48" s="7" t="str">
        <f>Tab_Def_Flows[[#This Row],[Flow_ID]]&amp;"_DM"</f>
        <v>F_15_15_DM</v>
      </c>
      <c r="Q48" s="18"/>
      <c r="R48" s="7" t="str">
        <f>Tab_Def_Flows[[#This Row],[Flow_ID]]&amp;"_CC"</f>
        <v>F_15_15_CC</v>
      </c>
      <c r="S48" s="147"/>
      <c r="T48" s="18"/>
      <c r="U48" s="153">
        <f>Tab_Def_Flows[[#This Row],[Flow_CC_DM'[%']]]*Tab_Def_Flows[[#This Row],[Flow_DM]]</f>
        <v>0</v>
      </c>
      <c r="V48" s="8"/>
    </row>
    <row r="49" spans="1:22" ht="15" customHeight="1" x14ac:dyDescent="0.25">
      <c r="A49" s="156" t="b">
        <v>0</v>
      </c>
      <c r="B49" s="21">
        <f t="shared" si="0"/>
        <v>48</v>
      </c>
      <c r="C49" s="7" t="str">
        <f t="shared" si="1"/>
        <v>F_15_15</v>
      </c>
      <c r="D49" s="8"/>
      <c r="E49" s="152"/>
      <c r="F49" s="7" t="str">
        <f>_xlfn.XLOOKUP(E49,Tab_Def_Processes[Process_Name],Tab_Def_Processes[Process_ID],,0,)</f>
        <v>15</v>
      </c>
      <c r="G49" s="152"/>
      <c r="H49" s="10" t="str">
        <f>_xlfn.XLOOKUP(G49,Tab_Def_Processes[Process_Name],Tab_Def_Processes[Process_ID],,0,)</f>
        <v>15</v>
      </c>
      <c r="I49" s="152"/>
      <c r="J49" s="152"/>
      <c r="K49" s="152"/>
      <c r="L49" s="7" t="str">
        <f>Tab_Def_Flows[[#This Row],[Flow_ID]]&amp;"_WC"</f>
        <v>F_15_15_WC</v>
      </c>
      <c r="M49" s="147"/>
      <c r="N49" s="18"/>
      <c r="O49" s="7" t="str">
        <f>Tab_Def_Flows[[#This Row],[Flow_ID]]&amp;"_DM"</f>
        <v>F_15_15_DM</v>
      </c>
      <c r="Q49" s="18"/>
      <c r="R49" s="7" t="str">
        <f>Tab_Def_Flows[[#This Row],[Flow_ID]]&amp;"_CC"</f>
        <v>F_15_15_CC</v>
      </c>
      <c r="S49" s="147"/>
      <c r="T49" s="18"/>
      <c r="U49" s="153">
        <f>Tab_Def_Flows[[#This Row],[Flow_CC_DM'[%']]]*Tab_Def_Flows[[#This Row],[Flow_DM]]</f>
        <v>0</v>
      </c>
      <c r="V49" s="8"/>
    </row>
    <row r="50" spans="1:22" ht="15" customHeight="1" x14ac:dyDescent="0.25">
      <c r="A50" s="156" t="b">
        <v>0</v>
      </c>
      <c r="B50" s="21">
        <f t="shared" si="0"/>
        <v>49</v>
      </c>
      <c r="C50" s="7" t="str">
        <f t="shared" si="1"/>
        <v>F_15_15</v>
      </c>
      <c r="D50" s="8"/>
      <c r="E50" s="152"/>
      <c r="F50" s="7" t="str">
        <f>_xlfn.XLOOKUP(E50,Tab_Def_Processes[Process_Name],Tab_Def_Processes[Process_ID],,0,)</f>
        <v>15</v>
      </c>
      <c r="G50" s="152"/>
      <c r="H50" s="10" t="str">
        <f>_xlfn.XLOOKUP(G50,Tab_Def_Processes[Process_Name],Tab_Def_Processes[Process_ID],,0,)</f>
        <v>15</v>
      </c>
      <c r="I50" s="152"/>
      <c r="J50" s="152"/>
      <c r="K50" s="152"/>
      <c r="L50" s="7" t="str">
        <f>Tab_Def_Flows[[#This Row],[Flow_ID]]&amp;"_WC"</f>
        <v>F_15_15_WC</v>
      </c>
      <c r="M50" s="147"/>
      <c r="N50" s="18"/>
      <c r="O50" s="7" t="str">
        <f>Tab_Def_Flows[[#This Row],[Flow_ID]]&amp;"_DM"</f>
        <v>F_15_15_DM</v>
      </c>
      <c r="Q50" s="18"/>
      <c r="R50" s="7" t="str">
        <f>Tab_Def_Flows[[#This Row],[Flow_ID]]&amp;"_CC"</f>
        <v>F_15_15_CC</v>
      </c>
      <c r="S50" s="147"/>
      <c r="T50" s="18"/>
      <c r="U50" s="153">
        <f>Tab_Def_Flows[[#This Row],[Flow_CC_DM'[%']]]*Tab_Def_Flows[[#This Row],[Flow_DM]]</f>
        <v>0</v>
      </c>
      <c r="V50" s="8"/>
    </row>
    <row r="51" spans="1:22" ht="15" customHeight="1" x14ac:dyDescent="0.25">
      <c r="A51" s="156" t="b">
        <v>0</v>
      </c>
      <c r="B51" s="21">
        <f t="shared" si="0"/>
        <v>50</v>
      </c>
      <c r="C51" s="7" t="str">
        <f t="shared" si="1"/>
        <v>F_15_15</v>
      </c>
      <c r="D51" s="8"/>
      <c r="E51" s="152"/>
      <c r="F51" s="7" t="str">
        <f>_xlfn.XLOOKUP(E51,Tab_Def_Processes[Process_Name],Tab_Def_Processes[Process_ID],,0,)</f>
        <v>15</v>
      </c>
      <c r="G51" s="152"/>
      <c r="H51" s="10" t="str">
        <f>_xlfn.XLOOKUP(G51,Tab_Def_Processes[Process_Name],Tab_Def_Processes[Process_ID],,0,)</f>
        <v>15</v>
      </c>
      <c r="I51" s="152"/>
      <c r="J51" s="152"/>
      <c r="K51" s="152"/>
      <c r="L51" s="7" t="str">
        <f>Tab_Def_Flows[[#This Row],[Flow_ID]]&amp;"_WC"</f>
        <v>F_15_15_WC</v>
      </c>
      <c r="M51" s="147"/>
      <c r="N51" s="18"/>
      <c r="O51" s="7" t="str">
        <f>Tab_Def_Flows[[#This Row],[Flow_ID]]&amp;"_DM"</f>
        <v>F_15_15_DM</v>
      </c>
      <c r="Q51" s="18"/>
      <c r="R51" s="7" t="str">
        <f>Tab_Def_Flows[[#This Row],[Flow_ID]]&amp;"_CC"</f>
        <v>F_15_15_CC</v>
      </c>
      <c r="S51" s="147"/>
      <c r="T51" s="18"/>
      <c r="U51" s="153">
        <f>Tab_Def_Flows[[#This Row],[Flow_CC_DM'[%']]]*Tab_Def_Flows[[#This Row],[Flow_DM]]</f>
        <v>0</v>
      </c>
      <c r="V51" s="8"/>
    </row>
    <row r="52" spans="1:22" ht="15" customHeight="1" x14ac:dyDescent="0.25">
      <c r="A52" s="156" t="b">
        <v>0</v>
      </c>
      <c r="B52" s="21">
        <f t="shared" si="0"/>
        <v>51</v>
      </c>
      <c r="C52" s="7" t="str">
        <f t="shared" si="1"/>
        <v>F_15_15</v>
      </c>
      <c r="D52" s="8"/>
      <c r="E52" s="152"/>
      <c r="F52" s="7" t="str">
        <f>_xlfn.XLOOKUP(E52,Tab_Def_Processes[Process_Name],Tab_Def_Processes[Process_ID],,0,)</f>
        <v>15</v>
      </c>
      <c r="G52" s="152"/>
      <c r="H52" s="10" t="str">
        <f>_xlfn.XLOOKUP(G52,Tab_Def_Processes[Process_Name],Tab_Def_Processes[Process_ID],,0,)</f>
        <v>15</v>
      </c>
      <c r="I52" s="152"/>
      <c r="J52" s="152"/>
      <c r="K52" s="152"/>
      <c r="L52" s="7" t="str">
        <f>Tab_Def_Flows[[#This Row],[Flow_ID]]&amp;"_WC"</f>
        <v>F_15_15_WC</v>
      </c>
      <c r="M52" s="147"/>
      <c r="N52" s="18"/>
      <c r="O52" s="7" t="str">
        <f>Tab_Def_Flows[[#This Row],[Flow_ID]]&amp;"_DM"</f>
        <v>F_15_15_DM</v>
      </c>
      <c r="Q52" s="18"/>
      <c r="R52" s="7" t="str">
        <f>Tab_Def_Flows[[#This Row],[Flow_ID]]&amp;"_CC"</f>
        <v>F_15_15_CC</v>
      </c>
      <c r="S52" s="147"/>
      <c r="T52" s="18"/>
      <c r="U52" s="153">
        <f>Tab_Def_Flows[[#This Row],[Flow_CC_DM'[%']]]*Tab_Def_Flows[[#This Row],[Flow_DM]]</f>
        <v>0</v>
      </c>
      <c r="V52" s="8"/>
    </row>
    <row r="53" spans="1:22" x14ac:dyDescent="0.25">
      <c r="A53" s="156" t="b">
        <v>0</v>
      </c>
      <c r="B53" s="21">
        <f t="shared" ref="B53:B70" si="2">ROW()-1</f>
        <v>52</v>
      </c>
      <c r="C53" s="7" t="str">
        <f t="shared" si="1"/>
        <v>F_15_15</v>
      </c>
      <c r="D53" s="8"/>
      <c r="E53" s="152"/>
      <c r="F53" s="7" t="str">
        <f>_xlfn.XLOOKUP(E53,Tab_Def_Processes[Process_Name],Tab_Def_Processes[Process_ID],,0,)</f>
        <v>15</v>
      </c>
      <c r="G53" s="152"/>
      <c r="H53" s="10" t="str">
        <f>_xlfn.XLOOKUP(G53,Tab_Def_Processes[Process_Name],Tab_Def_Processes[Process_ID],,0,)</f>
        <v>15</v>
      </c>
      <c r="I53" s="152"/>
      <c r="J53" s="152"/>
      <c r="K53" s="152"/>
      <c r="L53" s="7" t="str">
        <f>Tab_Def_Flows[[#This Row],[Flow_ID]]&amp;"_WC"</f>
        <v>F_15_15_WC</v>
      </c>
      <c r="M53" s="147"/>
      <c r="N53" s="18"/>
      <c r="O53" s="7" t="str">
        <f>Tab_Def_Flows[[#This Row],[Flow_ID]]&amp;"_DM"</f>
        <v>F_15_15_DM</v>
      </c>
      <c r="Q53" s="18"/>
      <c r="R53" s="7" t="str">
        <f>Tab_Def_Flows[[#This Row],[Flow_ID]]&amp;"_CC"</f>
        <v>F_15_15_CC</v>
      </c>
      <c r="S53" s="147"/>
      <c r="T53" s="18"/>
      <c r="U53" s="153">
        <f>Tab_Def_Flows[[#This Row],[Flow_CC_DM'[%']]]*Tab_Def_Flows[[#This Row],[Flow_DM]]</f>
        <v>0</v>
      </c>
      <c r="V53" s="8"/>
    </row>
    <row r="54" spans="1:22" x14ac:dyDescent="0.25">
      <c r="A54" s="156" t="b">
        <v>0</v>
      </c>
      <c r="B54" s="21">
        <f t="shared" si="2"/>
        <v>53</v>
      </c>
      <c r="C54" s="7" t="str">
        <f t="shared" si="1"/>
        <v>F_15_15</v>
      </c>
      <c r="D54" s="8"/>
      <c r="E54" s="152"/>
      <c r="F54" s="7" t="str">
        <f>_xlfn.XLOOKUP(E54,Tab_Def_Processes[Process_Name],Tab_Def_Processes[Process_ID],,0,)</f>
        <v>15</v>
      </c>
      <c r="G54" s="152"/>
      <c r="H54" s="10" t="str">
        <f>_xlfn.XLOOKUP(G54,Tab_Def_Processes[Process_Name],Tab_Def_Processes[Process_ID],,0,)</f>
        <v>15</v>
      </c>
      <c r="I54" s="152"/>
      <c r="J54" s="152"/>
      <c r="K54" s="152"/>
      <c r="L54" s="7" t="str">
        <f>Tab_Def_Flows[[#This Row],[Flow_ID]]&amp;"_WC"</f>
        <v>F_15_15_WC</v>
      </c>
      <c r="M54" s="147"/>
      <c r="N54" s="18"/>
      <c r="O54" s="7" t="str">
        <f>Tab_Def_Flows[[#This Row],[Flow_ID]]&amp;"_DM"</f>
        <v>F_15_15_DM</v>
      </c>
      <c r="Q54" s="18"/>
      <c r="R54" s="7" t="str">
        <f>Tab_Def_Flows[[#This Row],[Flow_ID]]&amp;"_CC"</f>
        <v>F_15_15_CC</v>
      </c>
      <c r="S54" s="147"/>
      <c r="T54" s="18"/>
      <c r="U54" s="153">
        <f>Tab_Def_Flows[[#This Row],[Flow_CC_DM'[%']]]*Tab_Def_Flows[[#This Row],[Flow_DM]]</f>
        <v>0</v>
      </c>
      <c r="V54" s="8"/>
    </row>
    <row r="55" spans="1:22" x14ac:dyDescent="0.25">
      <c r="A55" s="156" t="b">
        <v>0</v>
      </c>
      <c r="B55" s="21">
        <f t="shared" si="2"/>
        <v>54</v>
      </c>
      <c r="C55" s="7" t="str">
        <f t="shared" si="1"/>
        <v>F_15_15</v>
      </c>
      <c r="D55" s="8"/>
      <c r="E55" s="152"/>
      <c r="F55" s="7" t="str">
        <f>_xlfn.XLOOKUP(E55,Tab_Def_Processes[Process_Name],Tab_Def_Processes[Process_ID],,0,)</f>
        <v>15</v>
      </c>
      <c r="G55" s="152"/>
      <c r="H55" s="10" t="str">
        <f>_xlfn.XLOOKUP(G55,Tab_Def_Processes[Process_Name],Tab_Def_Processes[Process_ID],,0,)</f>
        <v>15</v>
      </c>
      <c r="I55" s="152"/>
      <c r="J55" s="152"/>
      <c r="K55" s="152"/>
      <c r="L55" s="7" t="str">
        <f>Tab_Def_Flows[[#This Row],[Flow_ID]]&amp;"_WC"</f>
        <v>F_15_15_WC</v>
      </c>
      <c r="M55" s="147"/>
      <c r="N55" s="18"/>
      <c r="O55" s="7" t="str">
        <f>Tab_Def_Flows[[#This Row],[Flow_ID]]&amp;"_DM"</f>
        <v>F_15_15_DM</v>
      </c>
      <c r="Q55" s="18"/>
      <c r="R55" s="7" t="str">
        <f>Tab_Def_Flows[[#This Row],[Flow_ID]]&amp;"_CC"</f>
        <v>F_15_15_CC</v>
      </c>
      <c r="S55" s="147"/>
      <c r="T55" s="18"/>
      <c r="U55" s="153">
        <f>Tab_Def_Flows[[#This Row],[Flow_CC_DM'[%']]]*Tab_Def_Flows[[#This Row],[Flow_DM]]</f>
        <v>0</v>
      </c>
      <c r="V55" s="8"/>
    </row>
    <row r="56" spans="1:22" x14ac:dyDescent="0.25">
      <c r="A56" s="156" t="b">
        <v>0</v>
      </c>
      <c r="B56" s="21">
        <f t="shared" si="2"/>
        <v>55</v>
      </c>
      <c r="C56" s="7" t="str">
        <f t="shared" si="1"/>
        <v>F_15_15</v>
      </c>
      <c r="D56" s="8"/>
      <c r="E56" s="152"/>
      <c r="F56" s="7" t="str">
        <f>_xlfn.XLOOKUP(E56,Tab_Def_Processes[Process_Name],Tab_Def_Processes[Process_ID],,0,)</f>
        <v>15</v>
      </c>
      <c r="G56" s="152"/>
      <c r="H56" s="10" t="str">
        <f>_xlfn.XLOOKUP(G56,Tab_Def_Processes[Process_Name],Tab_Def_Processes[Process_ID],,0,)</f>
        <v>15</v>
      </c>
      <c r="I56" s="152"/>
      <c r="J56" s="152"/>
      <c r="K56" s="152"/>
      <c r="L56" s="7" t="str">
        <f>Tab_Def_Flows[[#This Row],[Flow_ID]]&amp;"_WC"</f>
        <v>F_15_15_WC</v>
      </c>
      <c r="M56" s="147"/>
      <c r="N56" s="18"/>
      <c r="O56" s="7" t="str">
        <f>Tab_Def_Flows[[#This Row],[Flow_ID]]&amp;"_DM"</f>
        <v>F_15_15_DM</v>
      </c>
      <c r="Q56" s="18"/>
      <c r="R56" s="7" t="str">
        <f>Tab_Def_Flows[[#This Row],[Flow_ID]]&amp;"_CC"</f>
        <v>F_15_15_CC</v>
      </c>
      <c r="S56" s="147"/>
      <c r="T56" s="18"/>
      <c r="U56" s="153">
        <f>Tab_Def_Flows[[#This Row],[Flow_CC_DM'[%']]]*Tab_Def_Flows[[#This Row],[Flow_DM]]</f>
        <v>0</v>
      </c>
      <c r="V56" s="8"/>
    </row>
    <row r="57" spans="1:22" x14ac:dyDescent="0.25">
      <c r="A57" s="156" t="b">
        <v>0</v>
      </c>
      <c r="B57" s="21">
        <f t="shared" si="2"/>
        <v>56</v>
      </c>
      <c r="C57" s="7" t="str">
        <f t="shared" si="1"/>
        <v>F_15_15</v>
      </c>
      <c r="D57" s="8"/>
      <c r="E57" s="152"/>
      <c r="F57" s="7" t="str">
        <f>_xlfn.XLOOKUP(E57,Tab_Def_Processes[Process_Name],Tab_Def_Processes[Process_ID],,0,)</f>
        <v>15</v>
      </c>
      <c r="G57" s="152"/>
      <c r="H57" s="10" t="str">
        <f>_xlfn.XLOOKUP(G57,Tab_Def_Processes[Process_Name],Tab_Def_Processes[Process_ID],,0,)</f>
        <v>15</v>
      </c>
      <c r="I57" s="152"/>
      <c r="J57" s="152"/>
      <c r="K57" s="152"/>
      <c r="L57" s="7" t="str">
        <f>Tab_Def_Flows[[#This Row],[Flow_ID]]&amp;"_WC"</f>
        <v>F_15_15_WC</v>
      </c>
      <c r="M57" s="147"/>
      <c r="N57" s="18"/>
      <c r="O57" s="7" t="str">
        <f>Tab_Def_Flows[[#This Row],[Flow_ID]]&amp;"_DM"</f>
        <v>F_15_15_DM</v>
      </c>
      <c r="Q57" s="18"/>
      <c r="R57" s="7" t="str">
        <f>Tab_Def_Flows[[#This Row],[Flow_ID]]&amp;"_CC"</f>
        <v>F_15_15_CC</v>
      </c>
      <c r="S57" s="147"/>
      <c r="T57" s="18"/>
      <c r="U57" s="153">
        <f>Tab_Def_Flows[[#This Row],[Flow_CC_DM'[%']]]*Tab_Def_Flows[[#This Row],[Flow_DM]]</f>
        <v>0</v>
      </c>
      <c r="V57" s="8"/>
    </row>
    <row r="58" spans="1:22" x14ac:dyDescent="0.25">
      <c r="A58" s="156" t="b">
        <v>0</v>
      </c>
      <c r="B58" s="21">
        <f t="shared" si="2"/>
        <v>57</v>
      </c>
      <c r="C58" s="7" t="str">
        <f t="shared" si="1"/>
        <v>F_15_15</v>
      </c>
      <c r="D58" s="8"/>
      <c r="E58" s="152"/>
      <c r="F58" s="7" t="str">
        <f>_xlfn.XLOOKUP(E58,Tab_Def_Processes[Process_Name],Tab_Def_Processes[Process_ID],,0,)</f>
        <v>15</v>
      </c>
      <c r="G58" s="152"/>
      <c r="H58" s="10" t="str">
        <f>_xlfn.XLOOKUP(G58,Tab_Def_Processes[Process_Name],Tab_Def_Processes[Process_ID],,0,)</f>
        <v>15</v>
      </c>
      <c r="I58" s="152"/>
      <c r="J58" s="152"/>
      <c r="K58" s="152"/>
      <c r="L58" s="7" t="str">
        <f>Tab_Def_Flows[[#This Row],[Flow_ID]]&amp;"_WC"</f>
        <v>F_15_15_WC</v>
      </c>
      <c r="M58" s="147"/>
      <c r="N58" s="18"/>
      <c r="O58" s="7" t="str">
        <f>Tab_Def_Flows[[#This Row],[Flow_ID]]&amp;"_DM"</f>
        <v>F_15_15_DM</v>
      </c>
      <c r="Q58" s="18"/>
      <c r="R58" s="7" t="str">
        <f>Tab_Def_Flows[[#This Row],[Flow_ID]]&amp;"_CC"</f>
        <v>F_15_15_CC</v>
      </c>
      <c r="S58" s="147"/>
      <c r="T58" s="18"/>
      <c r="U58" s="153">
        <f>Tab_Def_Flows[[#This Row],[Flow_CC_DM'[%']]]*Tab_Def_Flows[[#This Row],[Flow_DM]]</f>
        <v>0</v>
      </c>
      <c r="V58" s="8"/>
    </row>
    <row r="59" spans="1:22" x14ac:dyDescent="0.25">
      <c r="A59" s="156" t="b">
        <v>0</v>
      </c>
      <c r="B59" s="21">
        <f t="shared" si="2"/>
        <v>58</v>
      </c>
      <c r="C59" s="7" t="str">
        <f t="shared" si="1"/>
        <v>F_15_15</v>
      </c>
      <c r="D59" s="8"/>
      <c r="E59" s="152"/>
      <c r="F59" s="7" t="str">
        <f>_xlfn.XLOOKUP(E59,Tab_Def_Processes[Process_Name],Tab_Def_Processes[Process_ID],,0,)</f>
        <v>15</v>
      </c>
      <c r="G59" s="152"/>
      <c r="H59" s="10" t="str">
        <f>_xlfn.XLOOKUP(G59,Tab_Def_Processes[Process_Name],Tab_Def_Processes[Process_ID],,0,)</f>
        <v>15</v>
      </c>
      <c r="I59" s="152"/>
      <c r="J59" s="152"/>
      <c r="K59" s="152"/>
      <c r="L59" s="7" t="str">
        <f>Tab_Def_Flows[[#This Row],[Flow_ID]]&amp;"_WC"</f>
        <v>F_15_15_WC</v>
      </c>
      <c r="M59" s="147"/>
      <c r="N59" s="18"/>
      <c r="O59" s="7" t="str">
        <f>Tab_Def_Flows[[#This Row],[Flow_ID]]&amp;"_DM"</f>
        <v>F_15_15_DM</v>
      </c>
      <c r="Q59" s="18"/>
      <c r="R59" s="7" t="str">
        <f>Tab_Def_Flows[[#This Row],[Flow_ID]]&amp;"_CC"</f>
        <v>F_15_15_CC</v>
      </c>
      <c r="S59" s="147"/>
      <c r="T59" s="18"/>
      <c r="U59" s="153">
        <f>Tab_Def_Flows[[#This Row],[Flow_CC_DM'[%']]]*Tab_Def_Flows[[#This Row],[Flow_DM]]</f>
        <v>0</v>
      </c>
      <c r="V59" s="8"/>
    </row>
    <row r="60" spans="1:22" x14ac:dyDescent="0.25">
      <c r="A60" s="156" t="b">
        <v>0</v>
      </c>
      <c r="B60" s="21">
        <f t="shared" si="2"/>
        <v>59</v>
      </c>
      <c r="C60" s="7" t="str">
        <f t="shared" si="1"/>
        <v>F_15_15</v>
      </c>
      <c r="D60" s="8"/>
      <c r="E60" s="152"/>
      <c r="F60" s="7" t="str">
        <f>_xlfn.XLOOKUP(E60,Tab_Def_Processes[Process_Name],Tab_Def_Processes[Process_ID],,0,)</f>
        <v>15</v>
      </c>
      <c r="G60" s="152"/>
      <c r="H60" s="10" t="str">
        <f>_xlfn.XLOOKUP(G60,Tab_Def_Processes[Process_Name],Tab_Def_Processes[Process_ID],,0,)</f>
        <v>15</v>
      </c>
      <c r="I60" s="152"/>
      <c r="J60" s="152"/>
      <c r="K60" s="152"/>
      <c r="L60" s="7" t="str">
        <f>Tab_Def_Flows[[#This Row],[Flow_ID]]&amp;"_WC"</f>
        <v>F_15_15_WC</v>
      </c>
      <c r="M60" s="147"/>
      <c r="N60" s="18"/>
      <c r="O60" s="7" t="str">
        <f>Tab_Def_Flows[[#This Row],[Flow_ID]]&amp;"_DM"</f>
        <v>F_15_15_DM</v>
      </c>
      <c r="Q60" s="18"/>
      <c r="R60" s="7" t="str">
        <f>Tab_Def_Flows[[#This Row],[Flow_ID]]&amp;"_CC"</f>
        <v>F_15_15_CC</v>
      </c>
      <c r="S60" s="147"/>
      <c r="T60" s="18"/>
      <c r="U60" s="153">
        <f>Tab_Def_Flows[[#This Row],[Flow_CC_DM'[%']]]*Tab_Def_Flows[[#This Row],[Flow_DM]]</f>
        <v>0</v>
      </c>
      <c r="V60" s="8"/>
    </row>
    <row r="61" spans="1:22" x14ac:dyDescent="0.25">
      <c r="A61" s="156" t="b">
        <v>0</v>
      </c>
      <c r="B61" s="21">
        <f t="shared" si="2"/>
        <v>60</v>
      </c>
      <c r="C61" s="7" t="str">
        <f t="shared" si="1"/>
        <v>F_15_15</v>
      </c>
      <c r="D61" s="8"/>
      <c r="E61" s="152"/>
      <c r="F61" s="7" t="str">
        <f>_xlfn.XLOOKUP(E61,Tab_Def_Processes[Process_Name],Tab_Def_Processes[Process_ID],,0,)</f>
        <v>15</v>
      </c>
      <c r="G61" s="152"/>
      <c r="H61" s="10" t="str">
        <f>_xlfn.XLOOKUP(G61,Tab_Def_Processes[Process_Name],Tab_Def_Processes[Process_ID],,0,)</f>
        <v>15</v>
      </c>
      <c r="I61" s="152"/>
      <c r="J61" s="152"/>
      <c r="K61" s="152"/>
      <c r="L61" s="7" t="str">
        <f>Tab_Def_Flows[[#This Row],[Flow_ID]]&amp;"_WC"</f>
        <v>F_15_15_WC</v>
      </c>
      <c r="M61" s="147"/>
      <c r="N61" s="18"/>
      <c r="O61" s="7" t="str">
        <f>Tab_Def_Flows[[#This Row],[Flow_ID]]&amp;"_DM"</f>
        <v>F_15_15_DM</v>
      </c>
      <c r="Q61" s="18"/>
      <c r="R61" s="7" t="str">
        <f>Tab_Def_Flows[[#This Row],[Flow_ID]]&amp;"_CC"</f>
        <v>F_15_15_CC</v>
      </c>
      <c r="S61" s="147"/>
      <c r="T61" s="18"/>
      <c r="U61" s="153">
        <f>Tab_Def_Flows[[#This Row],[Flow_CC_DM'[%']]]*Tab_Def_Flows[[#This Row],[Flow_DM]]</f>
        <v>0</v>
      </c>
      <c r="V61" s="8"/>
    </row>
    <row r="62" spans="1:22" x14ac:dyDescent="0.25">
      <c r="A62" s="156" t="b">
        <v>0</v>
      </c>
      <c r="B62" s="21">
        <f t="shared" si="2"/>
        <v>61</v>
      </c>
      <c r="C62" s="7" t="str">
        <f t="shared" si="1"/>
        <v>F_15_15</v>
      </c>
      <c r="D62" s="8"/>
      <c r="E62" s="152"/>
      <c r="F62" s="7" t="str">
        <f>_xlfn.XLOOKUP(E62,Tab_Def_Processes[Process_Name],Tab_Def_Processes[Process_ID],,0,)</f>
        <v>15</v>
      </c>
      <c r="G62" s="152"/>
      <c r="H62" s="10" t="str">
        <f>_xlfn.XLOOKUP(G62,Tab_Def_Processes[Process_Name],Tab_Def_Processes[Process_ID],,0,)</f>
        <v>15</v>
      </c>
      <c r="I62" s="152"/>
      <c r="J62" s="152"/>
      <c r="K62" s="152"/>
      <c r="L62" s="7" t="str">
        <f>Tab_Def_Flows[[#This Row],[Flow_ID]]&amp;"_WC"</f>
        <v>F_15_15_WC</v>
      </c>
      <c r="M62" s="147"/>
      <c r="N62" s="18"/>
      <c r="O62" s="7" t="str">
        <f>Tab_Def_Flows[[#This Row],[Flow_ID]]&amp;"_DM"</f>
        <v>F_15_15_DM</v>
      </c>
      <c r="Q62" s="18"/>
      <c r="R62" s="7" t="str">
        <f>Tab_Def_Flows[[#This Row],[Flow_ID]]&amp;"_CC"</f>
        <v>F_15_15_CC</v>
      </c>
      <c r="S62" s="147"/>
      <c r="T62" s="18"/>
      <c r="U62" s="153">
        <f>Tab_Def_Flows[[#This Row],[Flow_CC_DM'[%']]]*Tab_Def_Flows[[#This Row],[Flow_DM]]</f>
        <v>0</v>
      </c>
      <c r="V62" s="8"/>
    </row>
    <row r="63" spans="1:22" x14ac:dyDescent="0.25">
      <c r="A63" s="156" t="b">
        <v>0</v>
      </c>
      <c r="B63" s="21">
        <f t="shared" si="2"/>
        <v>62</v>
      </c>
      <c r="C63" s="7" t="str">
        <f t="shared" si="1"/>
        <v>F_15_15</v>
      </c>
      <c r="D63" s="8"/>
      <c r="E63" s="152"/>
      <c r="F63" s="7" t="str">
        <f>_xlfn.XLOOKUP(E63,Tab_Def_Processes[Process_Name],Tab_Def_Processes[Process_ID],,0,)</f>
        <v>15</v>
      </c>
      <c r="G63" s="152"/>
      <c r="H63" s="10" t="str">
        <f>_xlfn.XLOOKUP(G63,Tab_Def_Processes[Process_Name],Tab_Def_Processes[Process_ID],,0,)</f>
        <v>15</v>
      </c>
      <c r="I63" s="152"/>
      <c r="J63" s="152"/>
      <c r="K63" s="152"/>
      <c r="L63" s="7" t="str">
        <f>Tab_Def_Flows[[#This Row],[Flow_ID]]&amp;"_WC"</f>
        <v>F_15_15_WC</v>
      </c>
      <c r="M63" s="147"/>
      <c r="N63" s="18"/>
      <c r="O63" s="7" t="str">
        <f>Tab_Def_Flows[[#This Row],[Flow_ID]]&amp;"_DM"</f>
        <v>F_15_15_DM</v>
      </c>
      <c r="Q63" s="18"/>
      <c r="R63" s="7" t="str">
        <f>Tab_Def_Flows[[#This Row],[Flow_ID]]&amp;"_CC"</f>
        <v>F_15_15_CC</v>
      </c>
      <c r="S63" s="147"/>
      <c r="T63" s="18"/>
      <c r="U63" s="153">
        <f>Tab_Def_Flows[[#This Row],[Flow_CC_DM'[%']]]*Tab_Def_Flows[[#This Row],[Flow_DM]]</f>
        <v>0</v>
      </c>
      <c r="V63" s="8"/>
    </row>
    <row r="64" spans="1:22" x14ac:dyDescent="0.25">
      <c r="A64" s="156" t="b">
        <v>0</v>
      </c>
      <c r="B64" s="21">
        <f t="shared" si="2"/>
        <v>63</v>
      </c>
      <c r="C64" s="7" t="str">
        <f t="shared" si="1"/>
        <v>F_15_15</v>
      </c>
      <c r="D64" s="8"/>
      <c r="E64" s="152"/>
      <c r="F64" s="7" t="str">
        <f>_xlfn.XLOOKUP(E64,Tab_Def_Processes[Process_Name],Tab_Def_Processes[Process_ID],,0,)</f>
        <v>15</v>
      </c>
      <c r="G64" s="152"/>
      <c r="H64" s="10" t="str">
        <f>_xlfn.XLOOKUP(G64,Tab_Def_Processes[Process_Name],Tab_Def_Processes[Process_ID],,0,)</f>
        <v>15</v>
      </c>
      <c r="I64" s="152"/>
      <c r="J64" s="152"/>
      <c r="K64" s="152"/>
      <c r="L64" s="7" t="str">
        <f>Tab_Def_Flows[[#This Row],[Flow_ID]]&amp;"_WC"</f>
        <v>F_15_15_WC</v>
      </c>
      <c r="M64" s="147"/>
      <c r="N64" s="18"/>
      <c r="O64" s="7" t="str">
        <f>Tab_Def_Flows[[#This Row],[Flow_ID]]&amp;"_DM"</f>
        <v>F_15_15_DM</v>
      </c>
      <c r="Q64" s="18"/>
      <c r="R64" s="7" t="str">
        <f>Tab_Def_Flows[[#This Row],[Flow_ID]]&amp;"_CC"</f>
        <v>F_15_15_CC</v>
      </c>
      <c r="S64" s="147"/>
      <c r="T64" s="18"/>
      <c r="U64" s="153">
        <f>Tab_Def_Flows[[#This Row],[Flow_CC_DM'[%']]]*Tab_Def_Flows[[#This Row],[Flow_DM]]</f>
        <v>0</v>
      </c>
      <c r="V64" s="8"/>
    </row>
    <row r="65" spans="1:22" x14ac:dyDescent="0.25">
      <c r="A65" s="156" t="b">
        <v>0</v>
      </c>
      <c r="B65" s="21">
        <f t="shared" si="2"/>
        <v>64</v>
      </c>
      <c r="C65" s="7" t="str">
        <f t="shared" si="1"/>
        <v>F_15_15</v>
      </c>
      <c r="D65" s="8"/>
      <c r="E65" s="152"/>
      <c r="F65" s="7" t="str">
        <f>_xlfn.XLOOKUP(E65,Tab_Def_Processes[Process_Name],Tab_Def_Processes[Process_ID],,0,)</f>
        <v>15</v>
      </c>
      <c r="G65" s="152"/>
      <c r="H65" s="10" t="str">
        <f>_xlfn.XLOOKUP(G65,Tab_Def_Processes[Process_Name],Tab_Def_Processes[Process_ID],,0,)</f>
        <v>15</v>
      </c>
      <c r="I65" s="152"/>
      <c r="J65" s="152"/>
      <c r="K65" s="152"/>
      <c r="L65" s="7" t="str">
        <f>Tab_Def_Flows[[#This Row],[Flow_ID]]&amp;"_WC"</f>
        <v>F_15_15_WC</v>
      </c>
      <c r="M65" s="147"/>
      <c r="N65" s="18"/>
      <c r="O65" s="7" t="str">
        <f>Tab_Def_Flows[[#This Row],[Flow_ID]]&amp;"_DM"</f>
        <v>F_15_15_DM</v>
      </c>
      <c r="Q65" s="18"/>
      <c r="R65" s="7" t="str">
        <f>Tab_Def_Flows[[#This Row],[Flow_ID]]&amp;"_CC"</f>
        <v>F_15_15_CC</v>
      </c>
      <c r="S65" s="147"/>
      <c r="T65" s="18"/>
      <c r="U65" s="153">
        <f>Tab_Def_Flows[[#This Row],[Flow_CC_DM'[%']]]*Tab_Def_Flows[[#This Row],[Flow_DM]]</f>
        <v>0</v>
      </c>
      <c r="V65" s="8"/>
    </row>
    <row r="66" spans="1:22" x14ac:dyDescent="0.25">
      <c r="A66" s="156" t="b">
        <v>0</v>
      </c>
      <c r="B66" s="21">
        <f t="shared" si="2"/>
        <v>65</v>
      </c>
      <c r="C66" s="7" t="str">
        <f t="shared" ref="C66:C70" si="3">"F_"&amp;LEFT(F66,2)&amp;"_"&amp;LEFT(H66,2)</f>
        <v>F_15_15</v>
      </c>
      <c r="D66" s="8"/>
      <c r="E66" s="152"/>
      <c r="F66" s="7" t="str">
        <f>_xlfn.XLOOKUP(E66,Tab_Def_Processes[Process_Name],Tab_Def_Processes[Process_ID],,0,)</f>
        <v>15</v>
      </c>
      <c r="G66" s="152"/>
      <c r="H66" s="10" t="str">
        <f>_xlfn.XLOOKUP(G66,Tab_Def_Processes[Process_Name],Tab_Def_Processes[Process_ID],,0,)</f>
        <v>15</v>
      </c>
      <c r="I66" s="152"/>
      <c r="J66" s="152"/>
      <c r="K66" s="152"/>
      <c r="L66" s="7" t="str">
        <f>Tab_Def_Flows[[#This Row],[Flow_ID]]&amp;"_WC"</f>
        <v>F_15_15_WC</v>
      </c>
      <c r="M66" s="147"/>
      <c r="N66" s="18"/>
      <c r="O66" s="7" t="str">
        <f>Tab_Def_Flows[[#This Row],[Flow_ID]]&amp;"_DM"</f>
        <v>F_15_15_DM</v>
      </c>
      <c r="Q66" s="18"/>
      <c r="R66" s="7" t="str">
        <f>Tab_Def_Flows[[#This Row],[Flow_ID]]&amp;"_CC"</f>
        <v>F_15_15_CC</v>
      </c>
      <c r="S66" s="147"/>
      <c r="T66" s="18"/>
      <c r="U66" s="153">
        <f>Tab_Def_Flows[[#This Row],[Flow_CC_DM'[%']]]*Tab_Def_Flows[[#This Row],[Flow_DM]]</f>
        <v>0</v>
      </c>
      <c r="V66" s="8"/>
    </row>
    <row r="67" spans="1:22" x14ac:dyDescent="0.25">
      <c r="A67" s="156" t="b">
        <v>0</v>
      </c>
      <c r="B67" s="21">
        <f t="shared" si="2"/>
        <v>66</v>
      </c>
      <c r="C67" s="7" t="str">
        <f t="shared" si="3"/>
        <v>F_15_15</v>
      </c>
      <c r="D67" s="8"/>
      <c r="E67" s="152"/>
      <c r="F67" s="7" t="str">
        <f>_xlfn.XLOOKUP(E67,Tab_Def_Processes[Process_Name],Tab_Def_Processes[Process_ID],,0,)</f>
        <v>15</v>
      </c>
      <c r="G67" s="152"/>
      <c r="H67" s="10" t="str">
        <f>_xlfn.XLOOKUP(G67,Tab_Def_Processes[Process_Name],Tab_Def_Processes[Process_ID],,0,)</f>
        <v>15</v>
      </c>
      <c r="I67" s="152"/>
      <c r="J67" s="152"/>
      <c r="K67" s="152"/>
      <c r="L67" s="7" t="str">
        <f>Tab_Def_Flows[[#This Row],[Flow_ID]]&amp;"_WC"</f>
        <v>F_15_15_WC</v>
      </c>
      <c r="M67" s="147"/>
      <c r="N67" s="18"/>
      <c r="O67" s="7" t="str">
        <f>Tab_Def_Flows[[#This Row],[Flow_ID]]&amp;"_DM"</f>
        <v>F_15_15_DM</v>
      </c>
      <c r="Q67" s="18"/>
      <c r="R67" s="7" t="str">
        <f>Tab_Def_Flows[[#This Row],[Flow_ID]]&amp;"_CC"</f>
        <v>F_15_15_CC</v>
      </c>
      <c r="S67" s="147"/>
      <c r="T67" s="18"/>
      <c r="U67" s="153">
        <f>Tab_Def_Flows[[#This Row],[Flow_CC_DM'[%']]]*Tab_Def_Flows[[#This Row],[Flow_DM]]</f>
        <v>0</v>
      </c>
      <c r="V67" s="8"/>
    </row>
    <row r="68" spans="1:22" x14ac:dyDescent="0.25">
      <c r="A68" s="156" t="b">
        <v>0</v>
      </c>
      <c r="B68" s="21">
        <f t="shared" si="2"/>
        <v>67</v>
      </c>
      <c r="C68" s="7" t="str">
        <f t="shared" si="3"/>
        <v>F_15_15</v>
      </c>
      <c r="D68" s="8"/>
      <c r="E68" s="152"/>
      <c r="F68" s="7" t="str">
        <f>_xlfn.XLOOKUP(E68,Tab_Def_Processes[Process_Name],Tab_Def_Processes[Process_ID],,0,)</f>
        <v>15</v>
      </c>
      <c r="G68" s="152"/>
      <c r="H68" s="10" t="str">
        <f>_xlfn.XLOOKUP(G68,Tab_Def_Processes[Process_Name],Tab_Def_Processes[Process_ID],,0,)</f>
        <v>15</v>
      </c>
      <c r="I68" s="152"/>
      <c r="J68" s="152"/>
      <c r="K68" s="152"/>
      <c r="L68" s="7" t="str">
        <f>Tab_Def_Flows[[#This Row],[Flow_ID]]&amp;"_WC"</f>
        <v>F_15_15_WC</v>
      </c>
      <c r="M68" s="147"/>
      <c r="N68" s="18"/>
      <c r="O68" s="7" t="str">
        <f>Tab_Def_Flows[[#This Row],[Flow_ID]]&amp;"_DM"</f>
        <v>F_15_15_DM</v>
      </c>
      <c r="Q68" s="18"/>
      <c r="R68" s="7" t="str">
        <f>Tab_Def_Flows[[#This Row],[Flow_ID]]&amp;"_CC"</f>
        <v>F_15_15_CC</v>
      </c>
      <c r="S68" s="147"/>
      <c r="T68" s="18"/>
      <c r="U68" s="153">
        <f>Tab_Def_Flows[[#This Row],[Flow_CC_DM'[%']]]*Tab_Def_Flows[[#This Row],[Flow_DM]]</f>
        <v>0</v>
      </c>
      <c r="V68" s="8"/>
    </row>
    <row r="69" spans="1:22" x14ac:dyDescent="0.25">
      <c r="A69" s="156" t="b">
        <v>0</v>
      </c>
      <c r="B69" s="21">
        <f t="shared" si="2"/>
        <v>68</v>
      </c>
      <c r="C69" s="7" t="str">
        <f t="shared" si="3"/>
        <v>F_15_15</v>
      </c>
      <c r="D69" s="8"/>
      <c r="E69" s="152"/>
      <c r="F69" s="7" t="str">
        <f>_xlfn.XLOOKUP(E69,Tab_Def_Processes[Process_Name],Tab_Def_Processes[Process_ID],,0,)</f>
        <v>15</v>
      </c>
      <c r="G69" s="152"/>
      <c r="H69" s="10" t="str">
        <f>_xlfn.XLOOKUP(G69,Tab_Def_Processes[Process_Name],Tab_Def_Processes[Process_ID],,0,)</f>
        <v>15</v>
      </c>
      <c r="I69" s="152"/>
      <c r="J69" s="152"/>
      <c r="K69" s="152"/>
      <c r="L69" s="7" t="str">
        <f>Tab_Def_Flows[[#This Row],[Flow_ID]]&amp;"_WC"</f>
        <v>F_15_15_WC</v>
      </c>
      <c r="M69" s="147"/>
      <c r="N69" s="18"/>
      <c r="O69" s="7" t="str">
        <f>Tab_Def_Flows[[#This Row],[Flow_ID]]&amp;"_DM"</f>
        <v>F_15_15_DM</v>
      </c>
      <c r="Q69" s="18"/>
      <c r="R69" s="7" t="str">
        <f>Tab_Def_Flows[[#This Row],[Flow_ID]]&amp;"_CC"</f>
        <v>F_15_15_CC</v>
      </c>
      <c r="S69" s="147"/>
      <c r="T69" s="18"/>
      <c r="U69" s="153">
        <f>Tab_Def_Flows[[#This Row],[Flow_CC_DM'[%']]]*Tab_Def_Flows[[#This Row],[Flow_DM]]</f>
        <v>0</v>
      </c>
      <c r="V69" s="8"/>
    </row>
    <row r="70" spans="1:22" x14ac:dyDescent="0.25">
      <c r="A70" s="156" t="b">
        <v>0</v>
      </c>
      <c r="B70" s="21">
        <f t="shared" si="2"/>
        <v>69</v>
      </c>
      <c r="C70" s="7" t="str">
        <f t="shared" si="3"/>
        <v>F__</v>
      </c>
      <c r="D70" s="8" t="s">
        <v>30</v>
      </c>
      <c r="E70" s="152"/>
      <c r="F70" s="7"/>
      <c r="G70" s="152"/>
      <c r="H70" s="10"/>
      <c r="I70" s="152"/>
      <c r="J70" s="152"/>
      <c r="K70" s="152"/>
      <c r="L70" s="7" t="str">
        <f>Tab_Def_Flows[[#This Row],[Flow_ID]]&amp;"_WC"</f>
        <v>F___WC</v>
      </c>
      <c r="M70" s="147"/>
      <c r="N70" s="18"/>
      <c r="O70" s="7" t="str">
        <f>Tab_Def_Flows[[#This Row],[Flow_ID]]&amp;"_DM"</f>
        <v>F___DM</v>
      </c>
      <c r="Q70" s="18"/>
      <c r="R70" s="7" t="str">
        <f>Tab_Def_Flows[[#This Row],[Flow_ID]]&amp;"_CC"</f>
        <v>F___CC</v>
      </c>
      <c r="S70" s="147"/>
      <c r="T70" s="18"/>
      <c r="U70" s="153">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A141" zoomScale="130" zoomScaleNormal="130" workbookViewId="0">
      <selection activeCell="H165" sqref="H165"/>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3" customWidth="1"/>
    <col min="30" max="30" width="16.5703125" customWidth="1"/>
    <col min="31" max="33" width="19.7109375" customWidth="1"/>
    <col min="34" max="34" width="19.28515625" customWidth="1"/>
    <col min="35" max="35" width="19" style="7" customWidth="1"/>
  </cols>
  <sheetData>
    <row r="1" spans="1:35" x14ac:dyDescent="0.25">
      <c r="A1" s="155" t="s">
        <v>27</v>
      </c>
      <c r="B1" s="155" t="s">
        <v>36</v>
      </c>
      <c r="C1" s="155" t="s">
        <v>572</v>
      </c>
      <c r="D1" s="155" t="s">
        <v>61</v>
      </c>
      <c r="E1" s="155" t="s">
        <v>63</v>
      </c>
      <c r="F1" s="155" t="s">
        <v>62</v>
      </c>
      <c r="G1" s="155" t="s">
        <v>561</v>
      </c>
      <c r="H1" s="155" t="s">
        <v>562</v>
      </c>
      <c r="I1" s="155" t="s">
        <v>46</v>
      </c>
      <c r="J1" s="155" t="s">
        <v>38</v>
      </c>
      <c r="K1" s="155" t="s">
        <v>33</v>
      </c>
      <c r="L1" s="155" t="s">
        <v>39</v>
      </c>
      <c r="M1" s="155" t="s">
        <v>40</v>
      </c>
      <c r="N1" s="155" t="s">
        <v>41</v>
      </c>
      <c r="O1" s="155" t="s">
        <v>42</v>
      </c>
      <c r="P1" s="155" t="s">
        <v>4</v>
      </c>
      <c r="Q1" s="155" t="s">
        <v>43</v>
      </c>
      <c r="R1" s="155" t="s">
        <v>44</v>
      </c>
      <c r="S1" s="155" t="s">
        <v>45</v>
      </c>
      <c r="T1" s="155" t="s">
        <v>564</v>
      </c>
      <c r="U1" s="155" t="s">
        <v>563</v>
      </c>
      <c r="V1" s="155" t="s">
        <v>47</v>
      </c>
      <c r="W1" s="155" t="s">
        <v>64</v>
      </c>
      <c r="X1" s="155" t="s">
        <v>565</v>
      </c>
      <c r="Y1" s="155" t="s">
        <v>69</v>
      </c>
      <c r="Z1" s="155" t="s">
        <v>72</v>
      </c>
      <c r="AA1" s="155" t="s">
        <v>66</v>
      </c>
      <c r="AB1" s="155" t="s">
        <v>566</v>
      </c>
      <c r="AC1" s="155" t="s">
        <v>571</v>
      </c>
      <c r="AD1" s="155" t="s">
        <v>71</v>
      </c>
      <c r="AE1" s="155" t="s">
        <v>68</v>
      </c>
      <c r="AF1" s="155" t="s">
        <v>567</v>
      </c>
      <c r="AG1" s="155" t="s">
        <v>73</v>
      </c>
      <c r="AH1" s="155" t="s">
        <v>70</v>
      </c>
      <c r="AI1"/>
    </row>
    <row r="2" spans="1:35" x14ac:dyDescent="0.25">
      <c r="A2" s="9">
        <f>ROW()-1</f>
        <v>1</v>
      </c>
      <c r="B2" s="7" t="str">
        <f>_xlfn.XLOOKUP(C2,Tab_Def_Flows[Flow_Name],Tab_Def_Flows[Flow_ID],,0,)</f>
        <v>F_12_00</v>
      </c>
      <c r="C2" s="8" t="s">
        <v>605</v>
      </c>
      <c r="D2" s="10" t="str">
        <f>_xlfn.XLOOKUP(C2,Tab_Def_Flows[Flow_Name],Tab_Def_Flows[WC?],,0,)</f>
        <v>Yes</v>
      </c>
      <c r="E2" s="10" t="str">
        <f>_xlfn.XLOOKUP(C2,Tab_Def_Flows[Flow_Name],Tab_Def_Flows[DM?],,0,)</f>
        <v>Yes</v>
      </c>
      <c r="F2" s="10" t="str">
        <f>_xlfn.XLOOKUP(C2,Tab_Def_Flows[Flow_Name],Tab_Def_Flows[CC?],,0,)</f>
        <v>Yes</v>
      </c>
      <c r="G2" s="8">
        <v>2000</v>
      </c>
      <c r="H2" s="26">
        <v>100</v>
      </c>
      <c r="I2" s="8"/>
      <c r="J2" s="18"/>
      <c r="K2" s="8"/>
      <c r="L2" s="8"/>
      <c r="M2" s="8"/>
      <c r="N2" s="8"/>
      <c r="O2" s="8"/>
      <c r="P2" s="8"/>
      <c r="Q2" s="8" t="s">
        <v>7</v>
      </c>
      <c r="R2" s="19"/>
      <c r="S2" s="8"/>
      <c r="T2" s="7" t="str">
        <f>Tab_Data_Flows[[#This Row],[Flow_ID]]&amp;"_"&amp;"material_"&amp;Tab_Data_Flows[[#This Row],[Flow_Data_Year]]</f>
        <v>F_12_00_material_2000</v>
      </c>
      <c r="U2" s="16">
        <f t="shared" ref="U2:U33" si="0">IF(Q2="no",H2,H2*R2)</f>
        <v>100</v>
      </c>
      <c r="V2" s="8" t="s">
        <v>211</v>
      </c>
      <c r="W2" s="153">
        <f>INDEX(Tab_Def_Flows[[Flow_ID]:[CC_DM_source]],MATCH(Tab_Data_Flows[[#This Row],[Flow_Name]],Tab_Def_Flows[Flow_Name],0),11)</f>
        <v>0</v>
      </c>
      <c r="X2" s="7" t="str">
        <f>Tab_Data_Flows[[#This Row],[Flow_ID]]&amp;"_"&amp;"WC_"&amp;Tab_Data_Flows[[#This Row],[Flow_Data_Year]]</f>
        <v>F_12_00_WC_2000</v>
      </c>
      <c r="Y2" s="7">
        <f>IF(D2="Yes",U2*Tab_Data_Flows[[#This Row],[WC_'[%']]],"N.A.")</f>
        <v>0</v>
      </c>
      <c r="Z2" s="7" t="str">
        <f>Tab_Data_Flows[[#This Row],[UoM_Flow_Py]]</f>
        <v>Mg</v>
      </c>
      <c r="AA2" s="153">
        <f>INDEX(Tab_Def_Flows[[Flow_ID]:[CC_DM_source]],MATCH(Tab_Data_Flows[[#This Row],[Flow_Name]],Tab_Def_Flows[Flow_Name],0),14)</f>
        <v>1</v>
      </c>
      <c r="AB2" s="7" t="str">
        <f>Tab_Data_Flows[[#This Row],[Flow_ID]]&amp;"_"&amp;"DM_"&amp;Tab_Data_Flows[[#This Row],[Flow_Data_Year]]</f>
        <v>F_12_00_DM_2000</v>
      </c>
      <c r="AC2" s="7">
        <f>IF(E2="Yes",AA2*Tab_Data_Flows[[#This Row],[Flow_Material]],"N.A.")</f>
        <v>100</v>
      </c>
      <c r="AD2" s="7" t="str">
        <f>Tab_Data_Flows[[#This Row],[UoM_Flow_Py]]</f>
        <v>Mg</v>
      </c>
      <c r="AE2" s="153">
        <f>INDEX(Tab_Def_Flows[[Flow_ID]:[CC_DM_source]],MATCH(Tab_Data_Flows[[#This Row],[Flow_Name]],Tab_Def_Flows[Flow_Name],0),17)</f>
        <v>0.8</v>
      </c>
      <c r="AF2" s="7" t="str">
        <f>Tab_Data_Flows[[#This Row],[Flow_ID]]&amp;"_"&amp;"CC_"&amp;Tab_Data_Flows[[#This Row],[Flow_Data_Year]]</f>
        <v>F_12_00_CC_2000</v>
      </c>
      <c r="AG2" s="7">
        <f>IF(F2="Yes",AE2*Tab_Data_Flows[[#This Row],[Flow_Material]]*Tab_Data_Flows[[#This Row],[DM_'[%']]],"N.A.")</f>
        <v>80</v>
      </c>
      <c r="AH2" s="7" t="str">
        <f>Tab_Data_Flows[[#This Row],[UoM_Flow_Py]]</f>
        <v>Mg</v>
      </c>
      <c r="AI2"/>
    </row>
    <row r="3" spans="1:35" x14ac:dyDescent="0.25">
      <c r="A3" s="9">
        <f t="shared" ref="A3:A66" si="1">ROW()-1</f>
        <v>2</v>
      </c>
      <c r="B3" s="7" t="str">
        <f>_xlfn.XLOOKUP(C3,Tab_Def_Flows[Flow_Name],Tab_Def_Flows[Flow_ID],,0,)</f>
        <v>F_12_00</v>
      </c>
      <c r="C3" s="8" t="s">
        <v>605</v>
      </c>
      <c r="D3" s="10" t="str">
        <f>_xlfn.XLOOKUP(C3,Tab_Def_Flows[Flow_Name],Tab_Def_Flows[WC?],,0,)</f>
        <v>Yes</v>
      </c>
      <c r="E3" s="10" t="str">
        <f>_xlfn.XLOOKUP(C3,Tab_Def_Flows[Flow_Name],Tab_Def_Flows[DM?],,0,)</f>
        <v>Yes</v>
      </c>
      <c r="F3" s="10" t="str">
        <f>_xlfn.XLOOKUP(C3,Tab_Def_Flows[Flow_Name],Tab_Def_Flows[CC?],,0,)</f>
        <v>Yes</v>
      </c>
      <c r="G3" s="8">
        <v>2001</v>
      </c>
      <c r="H3" s="26">
        <v>100</v>
      </c>
      <c r="I3" s="8"/>
      <c r="J3" s="18"/>
      <c r="K3" s="8"/>
      <c r="L3" s="8"/>
      <c r="M3" s="8"/>
      <c r="N3" s="8"/>
      <c r="O3" s="8"/>
      <c r="P3" s="8"/>
      <c r="Q3" s="8" t="s">
        <v>7</v>
      </c>
      <c r="R3" s="19"/>
      <c r="S3" s="8"/>
      <c r="T3" s="7" t="str">
        <f>Tab_Data_Flows[[#This Row],[Flow_ID]]&amp;"_"&amp;"material_"&amp;Tab_Data_Flows[[#This Row],[Flow_Data_Year]]</f>
        <v>F_12_00_material_2001</v>
      </c>
      <c r="U3" s="16">
        <f t="shared" si="0"/>
        <v>100</v>
      </c>
      <c r="V3" s="8" t="s">
        <v>211</v>
      </c>
      <c r="W3" s="153">
        <f>INDEX(Tab_Def_Flows[[Flow_ID]:[CC_DM_source]],MATCH(Tab_Data_Flows[[#This Row],[Flow_Name]],Tab_Def_Flows[Flow_Name],0),11)</f>
        <v>0</v>
      </c>
      <c r="X3" s="7" t="str">
        <f>Tab_Data_Flows[[#This Row],[Flow_ID]]&amp;"_"&amp;"WC_"&amp;Tab_Data_Flows[[#This Row],[Flow_Data_Year]]</f>
        <v>F_12_00_WC_2001</v>
      </c>
      <c r="Y3" s="7">
        <f>IF(D3="Yes",U3*Tab_Data_Flows[[#This Row],[WC_'[%']]],"N.A.")</f>
        <v>0</v>
      </c>
      <c r="Z3" s="7" t="str">
        <f>Tab_Data_Flows[[#This Row],[UoM_Flow_Py]]</f>
        <v>Mg</v>
      </c>
      <c r="AA3" s="153">
        <f>INDEX(Tab_Def_Flows[[Flow_ID]:[CC_DM_source]],MATCH(Tab_Data_Flows[[#This Row],[Flow_Name]],Tab_Def_Flows[Flow_Name],0),14)</f>
        <v>1</v>
      </c>
      <c r="AB3" s="7" t="str">
        <f>Tab_Data_Flows[[#This Row],[Flow_ID]]&amp;"_"&amp;"DM_"&amp;Tab_Data_Flows[[#This Row],[Flow_Data_Year]]</f>
        <v>F_12_00_DM_2001</v>
      </c>
      <c r="AC3" s="7">
        <f>IF(E3="Yes",AA3*Tab_Data_Flows[[#This Row],[Flow_Material]],"N.A.")</f>
        <v>100</v>
      </c>
      <c r="AD3" s="7" t="str">
        <f>Tab_Data_Flows[[#This Row],[UoM_Flow_Py]]</f>
        <v>Mg</v>
      </c>
      <c r="AE3" s="153">
        <f>INDEX(Tab_Def_Flows[[Flow_ID]:[CC_DM_source]],MATCH(Tab_Data_Flows[[#This Row],[Flow_Name]],Tab_Def_Flows[Flow_Name],0),17)</f>
        <v>0.8</v>
      </c>
      <c r="AF3" s="7" t="str">
        <f>Tab_Data_Flows[[#This Row],[Flow_ID]]&amp;"_"&amp;"CC_"&amp;Tab_Data_Flows[[#This Row],[Flow_Data_Year]]</f>
        <v>F_12_00_CC_2001</v>
      </c>
      <c r="AG3" s="7">
        <f>IF(F3="Yes",AE3*Tab_Data_Flows[[#This Row],[Flow_Material]]*Tab_Data_Flows[[#This Row],[DM_'[%']]],"N.A.")</f>
        <v>80</v>
      </c>
      <c r="AH3" s="7" t="str">
        <f>Tab_Data_Flows[[#This Row],[UoM_Flow_Py]]</f>
        <v>Mg</v>
      </c>
      <c r="AI3"/>
    </row>
    <row r="4" spans="1:35" x14ac:dyDescent="0.25">
      <c r="A4" s="9">
        <f t="shared" si="1"/>
        <v>3</v>
      </c>
      <c r="B4" s="7" t="str">
        <f>_xlfn.XLOOKUP(C4,Tab_Def_Flows[Flow_Name],Tab_Def_Flows[Flow_ID],,0,)</f>
        <v>F_12_00</v>
      </c>
      <c r="C4" s="8" t="s">
        <v>605</v>
      </c>
      <c r="D4" s="10" t="str">
        <f>_xlfn.XLOOKUP(C4,Tab_Def_Flows[Flow_Name],Tab_Def_Flows[WC?],,0,)</f>
        <v>Yes</v>
      </c>
      <c r="E4" s="10" t="str">
        <f>_xlfn.XLOOKUP(C4,Tab_Def_Flows[Flow_Name],Tab_Def_Flows[DM?],,0,)</f>
        <v>Yes</v>
      </c>
      <c r="F4" s="10" t="str">
        <f>_xlfn.XLOOKUP(C4,Tab_Def_Flows[Flow_Name],Tab_Def_Flows[CC?],,0,)</f>
        <v>Yes</v>
      </c>
      <c r="G4" s="8">
        <v>2002</v>
      </c>
      <c r="H4" s="26">
        <v>100</v>
      </c>
      <c r="I4" s="8"/>
      <c r="J4" s="18"/>
      <c r="K4" s="8"/>
      <c r="L4" s="8"/>
      <c r="M4" s="8"/>
      <c r="N4" s="8"/>
      <c r="O4" s="8"/>
      <c r="P4" s="8"/>
      <c r="Q4" s="8" t="s">
        <v>7</v>
      </c>
      <c r="R4" s="19"/>
      <c r="S4" s="8"/>
      <c r="T4" s="7" t="str">
        <f>Tab_Data_Flows[[#This Row],[Flow_ID]]&amp;"_"&amp;"material_"&amp;Tab_Data_Flows[[#This Row],[Flow_Data_Year]]</f>
        <v>F_12_00_material_2002</v>
      </c>
      <c r="U4" s="16">
        <f t="shared" si="0"/>
        <v>100</v>
      </c>
      <c r="V4" s="8" t="s">
        <v>211</v>
      </c>
      <c r="W4" s="153">
        <f>INDEX(Tab_Def_Flows[[Flow_ID]:[CC_DM_source]],MATCH(Tab_Data_Flows[[#This Row],[Flow_Name]],Tab_Def_Flows[Flow_Name],0),11)</f>
        <v>0</v>
      </c>
      <c r="X4" s="7" t="str">
        <f>Tab_Data_Flows[[#This Row],[Flow_ID]]&amp;"_"&amp;"WC_"&amp;Tab_Data_Flows[[#This Row],[Flow_Data_Year]]</f>
        <v>F_12_00_WC_2002</v>
      </c>
      <c r="Y4" s="7">
        <f>IF(D4="Yes",U4*Tab_Data_Flows[[#This Row],[WC_'[%']]],"N.A.")</f>
        <v>0</v>
      </c>
      <c r="Z4" s="7" t="str">
        <f>Tab_Data_Flows[[#This Row],[UoM_Flow_Py]]</f>
        <v>Mg</v>
      </c>
      <c r="AA4" s="153">
        <f>INDEX(Tab_Def_Flows[[Flow_ID]:[CC_DM_source]],MATCH(Tab_Data_Flows[[#This Row],[Flow_Name]],Tab_Def_Flows[Flow_Name],0),14)</f>
        <v>1</v>
      </c>
      <c r="AB4" s="7" t="str">
        <f>Tab_Data_Flows[[#This Row],[Flow_ID]]&amp;"_"&amp;"DM_"&amp;Tab_Data_Flows[[#This Row],[Flow_Data_Year]]</f>
        <v>F_12_00_DM_2002</v>
      </c>
      <c r="AC4" s="7">
        <f>IF(E4="Yes",AA4*Tab_Data_Flows[[#This Row],[Flow_Material]],"N.A.")</f>
        <v>100</v>
      </c>
      <c r="AD4" s="7" t="str">
        <f>Tab_Data_Flows[[#This Row],[UoM_Flow_Py]]</f>
        <v>Mg</v>
      </c>
      <c r="AE4" s="153">
        <f>INDEX(Tab_Def_Flows[[Flow_ID]:[CC_DM_source]],MATCH(Tab_Data_Flows[[#This Row],[Flow_Name]],Tab_Def_Flows[Flow_Name],0),17)</f>
        <v>0.8</v>
      </c>
      <c r="AF4" s="7" t="str">
        <f>Tab_Data_Flows[[#This Row],[Flow_ID]]&amp;"_"&amp;"CC_"&amp;Tab_Data_Flows[[#This Row],[Flow_Data_Year]]</f>
        <v>F_12_00_CC_2002</v>
      </c>
      <c r="AG4" s="7">
        <f>IF(F4="Yes",AE4*Tab_Data_Flows[[#This Row],[Flow_Material]]*Tab_Data_Flows[[#This Row],[DM_'[%']]],"N.A.")</f>
        <v>80</v>
      </c>
      <c r="AH4" s="7" t="str">
        <f>Tab_Data_Flows[[#This Row],[UoM_Flow_Py]]</f>
        <v>Mg</v>
      </c>
      <c r="AI4"/>
    </row>
    <row r="5" spans="1:35" x14ac:dyDescent="0.25">
      <c r="A5" s="9">
        <f t="shared" si="1"/>
        <v>4</v>
      </c>
      <c r="B5" s="7" t="str">
        <f>_xlfn.XLOOKUP(C5,Tab_Def_Flows[Flow_Name],Tab_Def_Flows[Flow_ID],,0,)</f>
        <v>F_12_00</v>
      </c>
      <c r="C5" s="8" t="s">
        <v>605</v>
      </c>
      <c r="D5" s="10" t="str">
        <f>_xlfn.XLOOKUP(C5,Tab_Def_Flows[Flow_Name],Tab_Def_Flows[WC?],,0,)</f>
        <v>Yes</v>
      </c>
      <c r="E5" s="10" t="str">
        <f>_xlfn.XLOOKUP(C5,Tab_Def_Flows[Flow_Name],Tab_Def_Flows[DM?],,0,)</f>
        <v>Yes</v>
      </c>
      <c r="F5" s="10" t="str">
        <f>_xlfn.XLOOKUP(C5,Tab_Def_Flows[Flow_Name],Tab_Def_Flows[CC?],,0,)</f>
        <v>Yes</v>
      </c>
      <c r="G5" s="8">
        <v>2003</v>
      </c>
      <c r="H5" s="26">
        <v>100</v>
      </c>
      <c r="I5" s="8"/>
      <c r="J5" s="18"/>
      <c r="K5" s="8"/>
      <c r="L5" s="8"/>
      <c r="M5" s="8"/>
      <c r="N5" s="8"/>
      <c r="O5" s="8"/>
      <c r="P5" s="8"/>
      <c r="Q5" s="8" t="s">
        <v>7</v>
      </c>
      <c r="R5" s="19"/>
      <c r="S5" s="8"/>
      <c r="T5" s="7" t="str">
        <f>Tab_Data_Flows[[#This Row],[Flow_ID]]&amp;"_"&amp;"material_"&amp;Tab_Data_Flows[[#This Row],[Flow_Data_Year]]</f>
        <v>F_12_00_material_2003</v>
      </c>
      <c r="U5" s="16">
        <f t="shared" si="0"/>
        <v>100</v>
      </c>
      <c r="V5" s="8" t="s">
        <v>211</v>
      </c>
      <c r="W5" s="153">
        <f>INDEX(Tab_Def_Flows[[Flow_ID]:[CC_DM_source]],MATCH(Tab_Data_Flows[[#This Row],[Flow_Name]],Tab_Def_Flows[Flow_Name],0),11)</f>
        <v>0</v>
      </c>
      <c r="X5" s="7" t="str">
        <f>Tab_Data_Flows[[#This Row],[Flow_ID]]&amp;"_"&amp;"WC_"&amp;Tab_Data_Flows[[#This Row],[Flow_Data_Year]]</f>
        <v>F_12_00_WC_2003</v>
      </c>
      <c r="Y5" s="7">
        <f>IF(D5="Yes",U5*Tab_Data_Flows[[#This Row],[WC_'[%']]],"N.A.")</f>
        <v>0</v>
      </c>
      <c r="Z5" s="7" t="str">
        <f>Tab_Data_Flows[[#This Row],[UoM_Flow_Py]]</f>
        <v>Mg</v>
      </c>
      <c r="AA5" s="153">
        <f>INDEX(Tab_Def_Flows[[Flow_ID]:[CC_DM_source]],MATCH(Tab_Data_Flows[[#This Row],[Flow_Name]],Tab_Def_Flows[Flow_Name],0),14)</f>
        <v>1</v>
      </c>
      <c r="AB5" s="7" t="str">
        <f>Tab_Data_Flows[[#This Row],[Flow_ID]]&amp;"_"&amp;"DM_"&amp;Tab_Data_Flows[[#This Row],[Flow_Data_Year]]</f>
        <v>F_12_00_DM_2003</v>
      </c>
      <c r="AC5" s="7">
        <f>IF(E5="Yes",AA5*Tab_Data_Flows[[#This Row],[Flow_Material]],"N.A.")</f>
        <v>100</v>
      </c>
      <c r="AD5" s="7" t="str">
        <f>Tab_Data_Flows[[#This Row],[UoM_Flow_Py]]</f>
        <v>Mg</v>
      </c>
      <c r="AE5" s="153">
        <f>INDEX(Tab_Def_Flows[[Flow_ID]:[CC_DM_source]],MATCH(Tab_Data_Flows[[#This Row],[Flow_Name]],Tab_Def_Flows[Flow_Name],0),17)</f>
        <v>0.8</v>
      </c>
      <c r="AF5" s="7" t="str">
        <f>Tab_Data_Flows[[#This Row],[Flow_ID]]&amp;"_"&amp;"CC_"&amp;Tab_Data_Flows[[#This Row],[Flow_Data_Year]]</f>
        <v>F_12_00_CC_2003</v>
      </c>
      <c r="AG5" s="7">
        <f>IF(F5="Yes",AE5*Tab_Data_Flows[[#This Row],[Flow_Material]]*Tab_Data_Flows[[#This Row],[DM_'[%']]],"N.A.")</f>
        <v>80</v>
      </c>
      <c r="AH5" s="7" t="str">
        <f>Tab_Data_Flows[[#This Row],[UoM_Flow_Py]]</f>
        <v>Mg</v>
      </c>
      <c r="AI5"/>
    </row>
    <row r="6" spans="1:35" x14ac:dyDescent="0.25">
      <c r="A6" s="9">
        <f t="shared" si="1"/>
        <v>5</v>
      </c>
      <c r="B6" s="7" t="str">
        <f>_xlfn.XLOOKUP(C6,Tab_Def_Flows[Flow_Name],Tab_Def_Flows[Flow_ID],,0,)</f>
        <v>F_12_00</v>
      </c>
      <c r="C6" s="8" t="s">
        <v>605</v>
      </c>
      <c r="D6" s="10" t="str">
        <f>_xlfn.XLOOKUP(C6,Tab_Def_Flows[Flow_Name],Tab_Def_Flows[WC?],,0,)</f>
        <v>Yes</v>
      </c>
      <c r="E6" s="10" t="str">
        <f>_xlfn.XLOOKUP(C6,Tab_Def_Flows[Flow_Name],Tab_Def_Flows[DM?],,0,)</f>
        <v>Yes</v>
      </c>
      <c r="F6" s="10" t="str">
        <f>_xlfn.XLOOKUP(C6,Tab_Def_Flows[Flow_Name],Tab_Def_Flows[CC?],,0,)</f>
        <v>Yes</v>
      </c>
      <c r="G6" s="8">
        <v>2004</v>
      </c>
      <c r="H6" s="26">
        <v>100</v>
      </c>
      <c r="I6" s="8"/>
      <c r="J6" s="18"/>
      <c r="K6" s="8"/>
      <c r="L6" s="8"/>
      <c r="M6" s="8"/>
      <c r="N6" s="8"/>
      <c r="O6" s="8"/>
      <c r="P6" s="8"/>
      <c r="Q6" s="8" t="s">
        <v>7</v>
      </c>
      <c r="R6" s="19"/>
      <c r="S6" s="8"/>
      <c r="T6" s="7" t="str">
        <f>Tab_Data_Flows[[#This Row],[Flow_ID]]&amp;"_"&amp;"material_"&amp;Tab_Data_Flows[[#This Row],[Flow_Data_Year]]</f>
        <v>F_12_00_material_2004</v>
      </c>
      <c r="U6" s="16">
        <f t="shared" si="0"/>
        <v>100</v>
      </c>
      <c r="V6" s="8" t="s">
        <v>211</v>
      </c>
      <c r="W6" s="153">
        <f>INDEX(Tab_Def_Flows[[Flow_ID]:[CC_DM_source]],MATCH(Tab_Data_Flows[[#This Row],[Flow_Name]],Tab_Def_Flows[Flow_Name],0),11)</f>
        <v>0</v>
      </c>
      <c r="X6" s="7" t="str">
        <f>Tab_Data_Flows[[#This Row],[Flow_ID]]&amp;"_"&amp;"WC_"&amp;Tab_Data_Flows[[#This Row],[Flow_Data_Year]]</f>
        <v>F_12_00_WC_2004</v>
      </c>
      <c r="Y6" s="7">
        <f>IF(D6="Yes",U6*Tab_Data_Flows[[#This Row],[WC_'[%']]],"N.A.")</f>
        <v>0</v>
      </c>
      <c r="Z6" s="7" t="str">
        <f>Tab_Data_Flows[[#This Row],[UoM_Flow_Py]]</f>
        <v>Mg</v>
      </c>
      <c r="AA6" s="153">
        <f>INDEX(Tab_Def_Flows[[Flow_ID]:[CC_DM_source]],MATCH(Tab_Data_Flows[[#This Row],[Flow_Name]],Tab_Def_Flows[Flow_Name],0),14)</f>
        <v>1</v>
      </c>
      <c r="AB6" s="7" t="str">
        <f>Tab_Data_Flows[[#This Row],[Flow_ID]]&amp;"_"&amp;"DM_"&amp;Tab_Data_Flows[[#This Row],[Flow_Data_Year]]</f>
        <v>F_12_00_DM_2004</v>
      </c>
      <c r="AC6" s="7">
        <f>IF(E6="Yes",AA6*Tab_Data_Flows[[#This Row],[Flow_Material]],"N.A.")</f>
        <v>100</v>
      </c>
      <c r="AD6" s="7" t="str">
        <f>Tab_Data_Flows[[#This Row],[UoM_Flow_Py]]</f>
        <v>Mg</v>
      </c>
      <c r="AE6" s="153">
        <f>INDEX(Tab_Def_Flows[[Flow_ID]:[CC_DM_source]],MATCH(Tab_Data_Flows[[#This Row],[Flow_Name]],Tab_Def_Flows[Flow_Name],0),17)</f>
        <v>0.8</v>
      </c>
      <c r="AF6" s="7" t="str">
        <f>Tab_Data_Flows[[#This Row],[Flow_ID]]&amp;"_"&amp;"CC_"&amp;Tab_Data_Flows[[#This Row],[Flow_Data_Year]]</f>
        <v>F_12_00_CC_2004</v>
      </c>
      <c r="AG6" s="7">
        <f>IF(F6="Yes",AE6*Tab_Data_Flows[[#This Row],[Flow_Material]]*Tab_Data_Flows[[#This Row],[DM_'[%']]],"N.A.")</f>
        <v>80</v>
      </c>
      <c r="AH6" s="7" t="str">
        <f>Tab_Data_Flows[[#This Row],[UoM_Flow_Py]]</f>
        <v>Mg</v>
      </c>
      <c r="AI6"/>
    </row>
    <row r="7" spans="1:35" x14ac:dyDescent="0.25">
      <c r="A7" s="9">
        <f t="shared" si="1"/>
        <v>6</v>
      </c>
      <c r="B7" s="7" t="str">
        <f>_xlfn.XLOOKUP(C7,Tab_Def_Flows[Flow_Name],Tab_Def_Flows[Flow_ID],,0,)</f>
        <v>F_12_00</v>
      </c>
      <c r="C7" s="8" t="s">
        <v>605</v>
      </c>
      <c r="D7" s="10" t="str">
        <f>_xlfn.XLOOKUP(C7,Tab_Def_Flows[Flow_Name],Tab_Def_Flows[WC?],,0,)</f>
        <v>Yes</v>
      </c>
      <c r="E7" s="10" t="str">
        <f>_xlfn.XLOOKUP(C7,Tab_Def_Flows[Flow_Name],Tab_Def_Flows[DM?],,0,)</f>
        <v>Yes</v>
      </c>
      <c r="F7" s="10" t="str">
        <f>_xlfn.XLOOKUP(C7,Tab_Def_Flows[Flow_Name],Tab_Def_Flows[CC?],,0,)</f>
        <v>Yes</v>
      </c>
      <c r="G7" s="8">
        <v>2005</v>
      </c>
      <c r="H7" s="26">
        <v>100</v>
      </c>
      <c r="I7" s="8"/>
      <c r="J7" s="18"/>
      <c r="K7" s="8"/>
      <c r="L7" s="8"/>
      <c r="M7" s="8"/>
      <c r="N7" s="8"/>
      <c r="O7" s="8"/>
      <c r="P7" s="8"/>
      <c r="Q7" s="8" t="s">
        <v>7</v>
      </c>
      <c r="R7" s="19"/>
      <c r="S7" s="8"/>
      <c r="T7" s="7" t="str">
        <f>Tab_Data_Flows[[#This Row],[Flow_ID]]&amp;"_"&amp;"material_"&amp;Tab_Data_Flows[[#This Row],[Flow_Data_Year]]</f>
        <v>F_12_00_material_2005</v>
      </c>
      <c r="U7" s="16">
        <f t="shared" si="0"/>
        <v>100</v>
      </c>
      <c r="V7" s="8" t="s">
        <v>211</v>
      </c>
      <c r="W7" s="153">
        <f>INDEX(Tab_Def_Flows[[Flow_ID]:[CC_DM_source]],MATCH(Tab_Data_Flows[[#This Row],[Flow_Name]],Tab_Def_Flows[Flow_Name],0),11)</f>
        <v>0</v>
      </c>
      <c r="X7" s="7" t="str">
        <f>Tab_Data_Flows[[#This Row],[Flow_ID]]&amp;"_"&amp;"WC_"&amp;Tab_Data_Flows[[#This Row],[Flow_Data_Year]]</f>
        <v>F_12_00_WC_2005</v>
      </c>
      <c r="Y7" s="7">
        <f>IF(D7="Yes",U7*Tab_Data_Flows[[#This Row],[WC_'[%']]],"N.A.")</f>
        <v>0</v>
      </c>
      <c r="Z7" s="7" t="str">
        <f>Tab_Data_Flows[[#This Row],[UoM_Flow_Py]]</f>
        <v>Mg</v>
      </c>
      <c r="AA7" s="153">
        <f>INDEX(Tab_Def_Flows[[Flow_ID]:[CC_DM_source]],MATCH(Tab_Data_Flows[[#This Row],[Flow_Name]],Tab_Def_Flows[Flow_Name],0),14)</f>
        <v>1</v>
      </c>
      <c r="AB7" s="7" t="str">
        <f>Tab_Data_Flows[[#This Row],[Flow_ID]]&amp;"_"&amp;"DM_"&amp;Tab_Data_Flows[[#This Row],[Flow_Data_Year]]</f>
        <v>F_12_00_DM_2005</v>
      </c>
      <c r="AC7" s="7">
        <f>IF(E7="Yes",AA7*Tab_Data_Flows[[#This Row],[Flow_Material]],"N.A.")</f>
        <v>100</v>
      </c>
      <c r="AD7" s="7" t="str">
        <f>Tab_Data_Flows[[#This Row],[UoM_Flow_Py]]</f>
        <v>Mg</v>
      </c>
      <c r="AE7" s="153">
        <f>INDEX(Tab_Def_Flows[[Flow_ID]:[CC_DM_source]],MATCH(Tab_Data_Flows[[#This Row],[Flow_Name]],Tab_Def_Flows[Flow_Name],0),17)</f>
        <v>0.8</v>
      </c>
      <c r="AF7" s="7" t="str">
        <f>Tab_Data_Flows[[#This Row],[Flow_ID]]&amp;"_"&amp;"CC_"&amp;Tab_Data_Flows[[#This Row],[Flow_Data_Year]]</f>
        <v>F_12_00_CC_2005</v>
      </c>
      <c r="AG7" s="7">
        <f>IF(F7="Yes",AE7*Tab_Data_Flows[[#This Row],[Flow_Material]]*Tab_Data_Flows[[#This Row],[DM_'[%']]],"N.A.")</f>
        <v>80</v>
      </c>
      <c r="AH7" s="7" t="str">
        <f>Tab_Data_Flows[[#This Row],[UoM_Flow_Py]]</f>
        <v>Mg</v>
      </c>
      <c r="AI7"/>
    </row>
    <row r="8" spans="1:35" x14ac:dyDescent="0.25">
      <c r="A8" s="9">
        <f t="shared" si="1"/>
        <v>7</v>
      </c>
      <c r="B8" s="7" t="str">
        <f>_xlfn.XLOOKUP(C8,Tab_Def_Flows[Flow_Name],Tab_Def_Flows[Flow_ID],,0,)</f>
        <v>F_12_00</v>
      </c>
      <c r="C8" s="8" t="s">
        <v>605</v>
      </c>
      <c r="D8" s="10" t="str">
        <f>_xlfn.XLOOKUP(C8,Tab_Def_Flows[Flow_Name],Tab_Def_Flows[WC?],,0,)</f>
        <v>Yes</v>
      </c>
      <c r="E8" s="10" t="str">
        <f>_xlfn.XLOOKUP(C8,Tab_Def_Flows[Flow_Name],Tab_Def_Flows[DM?],,0,)</f>
        <v>Yes</v>
      </c>
      <c r="F8" s="10" t="str">
        <f>_xlfn.XLOOKUP(C8,Tab_Def_Flows[Flow_Name],Tab_Def_Flows[CC?],,0,)</f>
        <v>Yes</v>
      </c>
      <c r="G8" s="8">
        <v>2006</v>
      </c>
      <c r="H8" s="26">
        <v>100</v>
      </c>
      <c r="I8" s="8"/>
      <c r="J8" s="18"/>
      <c r="K8" s="8"/>
      <c r="L8" s="8"/>
      <c r="M8" s="8"/>
      <c r="N8" s="8"/>
      <c r="O8" s="8"/>
      <c r="P8" s="8"/>
      <c r="Q8" s="8" t="s">
        <v>7</v>
      </c>
      <c r="R8" s="19"/>
      <c r="S8" s="8"/>
      <c r="T8" s="7" t="str">
        <f>Tab_Data_Flows[[#This Row],[Flow_ID]]&amp;"_"&amp;"material_"&amp;Tab_Data_Flows[[#This Row],[Flow_Data_Year]]</f>
        <v>F_12_00_material_2006</v>
      </c>
      <c r="U8" s="16">
        <f t="shared" si="0"/>
        <v>100</v>
      </c>
      <c r="V8" s="8" t="s">
        <v>211</v>
      </c>
      <c r="W8" s="153">
        <f>INDEX(Tab_Def_Flows[[Flow_ID]:[CC_DM_source]],MATCH(Tab_Data_Flows[[#This Row],[Flow_Name]],Tab_Def_Flows[Flow_Name],0),11)</f>
        <v>0</v>
      </c>
      <c r="X8" s="7" t="str">
        <f>Tab_Data_Flows[[#This Row],[Flow_ID]]&amp;"_"&amp;"WC_"&amp;Tab_Data_Flows[[#This Row],[Flow_Data_Year]]</f>
        <v>F_12_00_WC_2006</v>
      </c>
      <c r="Y8" s="7">
        <f>IF(D8="Yes",U8*Tab_Data_Flows[[#This Row],[WC_'[%']]],"N.A.")</f>
        <v>0</v>
      </c>
      <c r="Z8" s="7" t="str">
        <f>Tab_Data_Flows[[#This Row],[UoM_Flow_Py]]</f>
        <v>Mg</v>
      </c>
      <c r="AA8" s="153">
        <f>INDEX(Tab_Def_Flows[[Flow_ID]:[CC_DM_source]],MATCH(Tab_Data_Flows[[#This Row],[Flow_Name]],Tab_Def_Flows[Flow_Name],0),14)</f>
        <v>1</v>
      </c>
      <c r="AB8" s="7" t="str">
        <f>Tab_Data_Flows[[#This Row],[Flow_ID]]&amp;"_"&amp;"DM_"&amp;Tab_Data_Flows[[#This Row],[Flow_Data_Year]]</f>
        <v>F_12_00_DM_2006</v>
      </c>
      <c r="AC8" s="7">
        <f>IF(E8="Yes",AA8*Tab_Data_Flows[[#This Row],[Flow_Material]],"N.A.")</f>
        <v>100</v>
      </c>
      <c r="AD8" s="7" t="str">
        <f>Tab_Data_Flows[[#This Row],[UoM_Flow_Py]]</f>
        <v>Mg</v>
      </c>
      <c r="AE8" s="153">
        <f>INDEX(Tab_Def_Flows[[Flow_ID]:[CC_DM_source]],MATCH(Tab_Data_Flows[[#This Row],[Flow_Name]],Tab_Def_Flows[Flow_Name],0),17)</f>
        <v>0.8</v>
      </c>
      <c r="AF8" s="7" t="str">
        <f>Tab_Data_Flows[[#This Row],[Flow_ID]]&amp;"_"&amp;"CC_"&amp;Tab_Data_Flows[[#This Row],[Flow_Data_Year]]</f>
        <v>F_12_00_CC_2006</v>
      </c>
      <c r="AG8" s="7">
        <f>IF(F8="Yes",AE8*Tab_Data_Flows[[#This Row],[Flow_Material]]*Tab_Data_Flows[[#This Row],[DM_'[%']]],"N.A.")</f>
        <v>80</v>
      </c>
      <c r="AH8" s="7" t="str">
        <f>Tab_Data_Flows[[#This Row],[UoM_Flow_Py]]</f>
        <v>Mg</v>
      </c>
      <c r="AI8"/>
    </row>
    <row r="9" spans="1:35" x14ac:dyDescent="0.25">
      <c r="A9" s="9">
        <f t="shared" si="1"/>
        <v>8</v>
      </c>
      <c r="B9" s="7" t="str">
        <f>_xlfn.XLOOKUP(C9,Tab_Def_Flows[Flow_Name],Tab_Def_Flows[Flow_ID],,0,)</f>
        <v>F_12_00</v>
      </c>
      <c r="C9" s="8" t="s">
        <v>605</v>
      </c>
      <c r="D9" s="10" t="str">
        <f>_xlfn.XLOOKUP(C9,Tab_Def_Flows[Flow_Name],Tab_Def_Flows[WC?],,0,)</f>
        <v>Yes</v>
      </c>
      <c r="E9" s="10" t="str">
        <f>_xlfn.XLOOKUP(C9,Tab_Def_Flows[Flow_Name],Tab_Def_Flows[DM?],,0,)</f>
        <v>Yes</v>
      </c>
      <c r="F9" s="10" t="str">
        <f>_xlfn.XLOOKUP(C9,Tab_Def_Flows[Flow_Name],Tab_Def_Flows[CC?],,0,)</f>
        <v>Yes</v>
      </c>
      <c r="G9" s="8">
        <v>2007</v>
      </c>
      <c r="H9" s="26">
        <v>100</v>
      </c>
      <c r="I9" s="8"/>
      <c r="J9" s="18"/>
      <c r="K9" s="8" t="e">
        <f>INDEX(#REF!,MATCH(Tab_Data_Flows[[#This Row],[Flow_Name]],#REF!,0),12)</f>
        <v>#REF!</v>
      </c>
      <c r="L9" s="8" t="e">
        <f>MATCH(Tab_Data_Flows[[#This Row],[Flow_Name]],#REF!,0)</f>
        <v>#REF!</v>
      </c>
      <c r="M9" s="8"/>
      <c r="N9" s="8"/>
      <c r="O9" s="8"/>
      <c r="P9" s="8"/>
      <c r="Q9" s="8" t="s">
        <v>7</v>
      </c>
      <c r="R9" s="8"/>
      <c r="S9" s="8"/>
      <c r="T9" s="7" t="str">
        <f>Tab_Data_Flows[[#This Row],[Flow_ID]]&amp;"_"&amp;"material_"&amp;Tab_Data_Flows[[#This Row],[Flow_Data_Year]]</f>
        <v>F_12_00_material_2007</v>
      </c>
      <c r="U9" s="16">
        <f t="shared" si="0"/>
        <v>100</v>
      </c>
      <c r="V9" s="8" t="s">
        <v>211</v>
      </c>
      <c r="W9" s="153">
        <f>INDEX(Tab_Def_Flows[[Flow_ID]:[CC_DM_source]],MATCH(Tab_Data_Flows[[#This Row],[Flow_Name]],Tab_Def_Flows[Flow_Name],0),11)</f>
        <v>0</v>
      </c>
      <c r="X9" s="7" t="str">
        <f>Tab_Data_Flows[[#This Row],[Flow_ID]]&amp;"_"&amp;"WC_"&amp;Tab_Data_Flows[[#This Row],[Flow_Data_Year]]</f>
        <v>F_12_00_WC_2007</v>
      </c>
      <c r="Y9" s="7">
        <f>IF(D9="Yes",U9*Tab_Data_Flows[[#This Row],[WC_'[%']]],"N.A.")</f>
        <v>0</v>
      </c>
      <c r="Z9" s="7" t="str">
        <f>Tab_Data_Flows[[#This Row],[UoM_Flow_Py]]</f>
        <v>Mg</v>
      </c>
      <c r="AA9" s="153">
        <f>INDEX(Tab_Def_Flows[[Flow_ID]:[CC_DM_source]],MATCH(Tab_Data_Flows[[#This Row],[Flow_Name]],Tab_Def_Flows[Flow_Name],0),14)</f>
        <v>1</v>
      </c>
      <c r="AB9" s="7" t="str">
        <f>Tab_Data_Flows[[#This Row],[Flow_ID]]&amp;"_"&amp;"DM_"&amp;Tab_Data_Flows[[#This Row],[Flow_Data_Year]]</f>
        <v>F_12_00_DM_2007</v>
      </c>
      <c r="AC9" s="7">
        <f>IF(E9="Yes",AA9*Tab_Data_Flows[[#This Row],[Flow_Material]],"N.A.")</f>
        <v>100</v>
      </c>
      <c r="AD9" s="7" t="str">
        <f>Tab_Data_Flows[[#This Row],[UoM_Flow_Py]]</f>
        <v>Mg</v>
      </c>
      <c r="AE9" s="153">
        <f>INDEX(Tab_Def_Flows[[Flow_ID]:[CC_DM_source]],MATCH(Tab_Data_Flows[[#This Row],[Flow_Name]],Tab_Def_Flows[Flow_Name],0),17)</f>
        <v>0.8</v>
      </c>
      <c r="AF9" s="7" t="str">
        <f>Tab_Data_Flows[[#This Row],[Flow_ID]]&amp;"_"&amp;"CC_"&amp;Tab_Data_Flows[[#This Row],[Flow_Data_Year]]</f>
        <v>F_12_00_CC_2007</v>
      </c>
      <c r="AG9" s="7">
        <f>IF(F9="Yes",AE9*Tab_Data_Flows[[#This Row],[Flow_Material]]*Tab_Data_Flows[[#This Row],[DM_'[%']]],"N.A.")</f>
        <v>80</v>
      </c>
      <c r="AH9" s="7" t="str">
        <f>Tab_Data_Flows[[#This Row],[UoM_Flow_Py]]</f>
        <v>Mg</v>
      </c>
      <c r="AI9"/>
    </row>
    <row r="10" spans="1:35" x14ac:dyDescent="0.25">
      <c r="A10" s="9">
        <f t="shared" si="1"/>
        <v>9</v>
      </c>
      <c r="B10" s="7" t="str">
        <f>_xlfn.XLOOKUP(C10,Tab_Def_Flows[Flow_Name],Tab_Def_Flows[Flow_ID],,0,)</f>
        <v>F_12_00</v>
      </c>
      <c r="C10" s="8" t="s">
        <v>605</v>
      </c>
      <c r="D10" s="10" t="str">
        <f>_xlfn.XLOOKUP(C10,Tab_Def_Flows[Flow_Name],Tab_Def_Flows[WC?],,0,)</f>
        <v>Yes</v>
      </c>
      <c r="E10" s="10" t="str">
        <f>_xlfn.XLOOKUP(C10,Tab_Def_Flows[Flow_Name],Tab_Def_Flows[DM?],,0,)</f>
        <v>Yes</v>
      </c>
      <c r="F10" s="10" t="str">
        <f>_xlfn.XLOOKUP(C10,Tab_Def_Flows[Flow_Name],Tab_Def_Flows[CC?],,0,)</f>
        <v>Yes</v>
      </c>
      <c r="G10" s="8">
        <v>2008</v>
      </c>
      <c r="H10" s="26">
        <v>100</v>
      </c>
      <c r="I10" s="8"/>
      <c r="J10" s="18"/>
      <c r="K10" s="8" t="e">
        <f>INDEX(#REF!,MATCH(Tab_Data_Flows[[#This Row],[Flow_Name]],#REF!,0),12)</f>
        <v>#REF!</v>
      </c>
      <c r="L10" s="8" t="e">
        <f>MATCH(Tab_Data_Flows[[#This Row],[Flow_Name]],#REF!,0)</f>
        <v>#REF!</v>
      </c>
      <c r="M10" s="8"/>
      <c r="N10" s="8"/>
      <c r="O10" s="8"/>
      <c r="P10" s="8"/>
      <c r="Q10" s="8" t="s">
        <v>7</v>
      </c>
      <c r="R10" s="8"/>
      <c r="S10" s="8"/>
      <c r="T10" s="7" t="str">
        <f>Tab_Data_Flows[[#This Row],[Flow_ID]]&amp;"_"&amp;"material_"&amp;Tab_Data_Flows[[#This Row],[Flow_Data_Year]]</f>
        <v>F_12_00_material_2008</v>
      </c>
      <c r="U10" s="16">
        <f t="shared" si="0"/>
        <v>100</v>
      </c>
      <c r="V10" s="8" t="s">
        <v>211</v>
      </c>
      <c r="W10" s="153">
        <f>INDEX(Tab_Def_Flows[[Flow_ID]:[CC_DM_source]],MATCH(Tab_Data_Flows[[#This Row],[Flow_Name]],Tab_Def_Flows[Flow_Name],0),11)</f>
        <v>0</v>
      </c>
      <c r="X10" s="7" t="str">
        <f>Tab_Data_Flows[[#This Row],[Flow_ID]]&amp;"_"&amp;"WC_"&amp;Tab_Data_Flows[[#This Row],[Flow_Data_Year]]</f>
        <v>F_12_00_WC_2008</v>
      </c>
      <c r="Y10" s="7">
        <f>IF(D10="Yes",U10*Tab_Data_Flows[[#This Row],[WC_'[%']]],"N.A.")</f>
        <v>0</v>
      </c>
      <c r="Z10" s="7" t="str">
        <f>Tab_Data_Flows[[#This Row],[UoM_Flow_Py]]</f>
        <v>Mg</v>
      </c>
      <c r="AA10" s="153">
        <f>INDEX(Tab_Def_Flows[[Flow_ID]:[CC_DM_source]],MATCH(Tab_Data_Flows[[#This Row],[Flow_Name]],Tab_Def_Flows[Flow_Name],0),14)</f>
        <v>1</v>
      </c>
      <c r="AB10" s="7" t="str">
        <f>Tab_Data_Flows[[#This Row],[Flow_ID]]&amp;"_"&amp;"DM_"&amp;Tab_Data_Flows[[#This Row],[Flow_Data_Year]]</f>
        <v>F_12_00_DM_2008</v>
      </c>
      <c r="AC10" s="7">
        <f>IF(E10="Yes",AA10*Tab_Data_Flows[[#This Row],[Flow_Material]],"N.A.")</f>
        <v>100</v>
      </c>
      <c r="AD10" s="7" t="str">
        <f>Tab_Data_Flows[[#This Row],[UoM_Flow_Py]]</f>
        <v>Mg</v>
      </c>
      <c r="AE10" s="153">
        <f>INDEX(Tab_Def_Flows[[Flow_ID]:[CC_DM_source]],MATCH(Tab_Data_Flows[[#This Row],[Flow_Name]],Tab_Def_Flows[Flow_Name],0),17)</f>
        <v>0.8</v>
      </c>
      <c r="AF10" s="7" t="str">
        <f>Tab_Data_Flows[[#This Row],[Flow_ID]]&amp;"_"&amp;"CC_"&amp;Tab_Data_Flows[[#This Row],[Flow_Data_Year]]</f>
        <v>F_12_00_CC_2008</v>
      </c>
      <c r="AG10" s="7">
        <f>IF(F10="Yes",AE10*Tab_Data_Flows[[#This Row],[Flow_Material]]*Tab_Data_Flows[[#This Row],[DM_'[%']]],"N.A.")</f>
        <v>80</v>
      </c>
      <c r="AH10" s="7" t="str">
        <f>Tab_Data_Flows[[#This Row],[UoM_Flow_Py]]</f>
        <v>Mg</v>
      </c>
      <c r="AI10"/>
    </row>
    <row r="11" spans="1:35" x14ac:dyDescent="0.25">
      <c r="A11" s="9">
        <f t="shared" si="1"/>
        <v>10</v>
      </c>
      <c r="B11" s="7" t="str">
        <f>_xlfn.XLOOKUP(C11,Tab_Def_Flows[Flow_Name],Tab_Def_Flows[Flow_ID],,0,)</f>
        <v>F_12_00</v>
      </c>
      <c r="C11" s="8" t="s">
        <v>605</v>
      </c>
      <c r="D11" s="10" t="str">
        <f>_xlfn.XLOOKUP(C11,Tab_Def_Flows[Flow_Name],Tab_Def_Flows[WC?],,0,)</f>
        <v>Yes</v>
      </c>
      <c r="E11" s="10" t="str">
        <f>_xlfn.XLOOKUP(C11,Tab_Def_Flows[Flow_Name],Tab_Def_Flows[DM?],,0,)</f>
        <v>Yes</v>
      </c>
      <c r="F11" s="10" t="str">
        <f>_xlfn.XLOOKUP(C11,Tab_Def_Flows[Flow_Name],Tab_Def_Flows[CC?],,0,)</f>
        <v>Yes</v>
      </c>
      <c r="G11" s="8">
        <v>2009</v>
      </c>
      <c r="H11" s="26">
        <v>100</v>
      </c>
      <c r="I11" s="8"/>
      <c r="J11" s="18"/>
      <c r="K11" s="8" t="e">
        <f>INDEX(#REF!,MATCH(Tab_Data_Flows[[#This Row],[Flow_Name]],#REF!,0),12)</f>
        <v>#REF!</v>
      </c>
      <c r="L11" s="8" t="e">
        <f>MATCH(Tab_Data_Flows[[#This Row],[Flow_Name]],#REF!,0)</f>
        <v>#REF!</v>
      </c>
      <c r="M11" s="8"/>
      <c r="N11" s="8"/>
      <c r="O11" s="8"/>
      <c r="P11" s="8"/>
      <c r="Q11" s="8" t="s">
        <v>7</v>
      </c>
      <c r="R11" s="8"/>
      <c r="S11" s="8"/>
      <c r="T11" s="7" t="str">
        <f>Tab_Data_Flows[[#This Row],[Flow_ID]]&amp;"_"&amp;"material_"&amp;Tab_Data_Flows[[#This Row],[Flow_Data_Year]]</f>
        <v>F_12_00_material_2009</v>
      </c>
      <c r="U11" s="16">
        <f t="shared" si="0"/>
        <v>100</v>
      </c>
      <c r="V11" s="8" t="s">
        <v>211</v>
      </c>
      <c r="W11" s="153">
        <f>INDEX(Tab_Def_Flows[[Flow_ID]:[CC_DM_source]],MATCH(Tab_Data_Flows[[#This Row],[Flow_Name]],Tab_Def_Flows[Flow_Name],0),11)</f>
        <v>0</v>
      </c>
      <c r="X11" s="7" t="str">
        <f>Tab_Data_Flows[[#This Row],[Flow_ID]]&amp;"_"&amp;"WC_"&amp;Tab_Data_Flows[[#This Row],[Flow_Data_Year]]</f>
        <v>F_12_00_WC_2009</v>
      </c>
      <c r="Y11" s="7">
        <f>IF(D11="Yes",U11*Tab_Data_Flows[[#This Row],[WC_'[%']]],"N.A.")</f>
        <v>0</v>
      </c>
      <c r="Z11" s="7" t="str">
        <f>Tab_Data_Flows[[#This Row],[UoM_Flow_Py]]</f>
        <v>Mg</v>
      </c>
      <c r="AA11" s="153">
        <f>INDEX(Tab_Def_Flows[[Flow_ID]:[CC_DM_source]],MATCH(Tab_Data_Flows[[#This Row],[Flow_Name]],Tab_Def_Flows[Flow_Name],0),14)</f>
        <v>1</v>
      </c>
      <c r="AB11" s="7" t="str">
        <f>Tab_Data_Flows[[#This Row],[Flow_ID]]&amp;"_"&amp;"DM_"&amp;Tab_Data_Flows[[#This Row],[Flow_Data_Year]]</f>
        <v>F_12_00_DM_2009</v>
      </c>
      <c r="AC11" s="7">
        <f>IF(E11="Yes",AA11*Tab_Data_Flows[[#This Row],[Flow_Material]],"N.A.")</f>
        <v>100</v>
      </c>
      <c r="AD11" s="7" t="str">
        <f>Tab_Data_Flows[[#This Row],[UoM_Flow_Py]]</f>
        <v>Mg</v>
      </c>
      <c r="AE11" s="153">
        <f>INDEX(Tab_Def_Flows[[Flow_ID]:[CC_DM_source]],MATCH(Tab_Data_Flows[[#This Row],[Flow_Name]],Tab_Def_Flows[Flow_Name],0),17)</f>
        <v>0.8</v>
      </c>
      <c r="AF11" s="7" t="str">
        <f>Tab_Data_Flows[[#This Row],[Flow_ID]]&amp;"_"&amp;"CC_"&amp;Tab_Data_Flows[[#This Row],[Flow_Data_Year]]</f>
        <v>F_12_00_CC_2009</v>
      </c>
      <c r="AG11" s="7">
        <f>IF(F11="Yes",AE11*Tab_Data_Flows[[#This Row],[Flow_Material]]*Tab_Data_Flows[[#This Row],[DM_'[%']]],"N.A.")</f>
        <v>80</v>
      </c>
      <c r="AH11" s="7" t="str">
        <f>Tab_Data_Flows[[#This Row],[UoM_Flow_Py]]</f>
        <v>Mg</v>
      </c>
      <c r="AI11"/>
    </row>
    <row r="12" spans="1:35" x14ac:dyDescent="0.25">
      <c r="A12" s="9">
        <f t="shared" si="1"/>
        <v>11</v>
      </c>
      <c r="B12" s="7" t="str">
        <f>_xlfn.XLOOKUP(C12,Tab_Def_Flows[Flow_Name],Tab_Def_Flows[Flow_ID],,0,)</f>
        <v>F_12_00</v>
      </c>
      <c r="C12" s="8" t="s">
        <v>605</v>
      </c>
      <c r="D12" s="10" t="str">
        <f>_xlfn.XLOOKUP(C12,Tab_Def_Flows[Flow_Name],Tab_Def_Flows[WC?],,0,)</f>
        <v>Yes</v>
      </c>
      <c r="E12" s="10" t="str">
        <f>_xlfn.XLOOKUP(C12,Tab_Def_Flows[Flow_Name],Tab_Def_Flows[DM?],,0,)</f>
        <v>Yes</v>
      </c>
      <c r="F12" s="10" t="str">
        <f>_xlfn.XLOOKUP(C12,Tab_Def_Flows[Flow_Name],Tab_Def_Flows[CC?],,0,)</f>
        <v>Yes</v>
      </c>
      <c r="G12" s="8">
        <v>2010</v>
      </c>
      <c r="H12" s="26">
        <v>100</v>
      </c>
      <c r="I12" s="8"/>
      <c r="J12" s="18"/>
      <c r="K12" s="8" t="e">
        <f>INDEX(#REF!,MATCH(Tab_Data_Flows[[#This Row],[Flow_Name]],#REF!,0),12)</f>
        <v>#REF!</v>
      </c>
      <c r="L12" s="8" t="e">
        <f>MATCH(Tab_Data_Flows[[#This Row],[Flow_Name]],#REF!,0)</f>
        <v>#REF!</v>
      </c>
      <c r="M12" s="8"/>
      <c r="N12" s="8"/>
      <c r="O12" s="8"/>
      <c r="P12" s="8"/>
      <c r="Q12" s="8" t="s">
        <v>7</v>
      </c>
      <c r="R12" s="8"/>
      <c r="S12" s="8"/>
      <c r="T12" s="7" t="str">
        <f>Tab_Data_Flows[[#This Row],[Flow_ID]]&amp;"_"&amp;"material_"&amp;Tab_Data_Flows[[#This Row],[Flow_Data_Year]]</f>
        <v>F_12_00_material_2010</v>
      </c>
      <c r="U12" s="16">
        <f t="shared" si="0"/>
        <v>100</v>
      </c>
      <c r="V12" s="8" t="s">
        <v>211</v>
      </c>
      <c r="W12" s="153">
        <f>INDEX(Tab_Def_Flows[[Flow_ID]:[CC_DM_source]],MATCH(Tab_Data_Flows[[#This Row],[Flow_Name]],Tab_Def_Flows[Flow_Name],0),11)</f>
        <v>0</v>
      </c>
      <c r="X12" s="7" t="str">
        <f>Tab_Data_Flows[[#This Row],[Flow_ID]]&amp;"_"&amp;"WC_"&amp;Tab_Data_Flows[[#This Row],[Flow_Data_Year]]</f>
        <v>F_12_00_WC_2010</v>
      </c>
      <c r="Y12" s="7">
        <f>IF(D12="Yes",U12*Tab_Data_Flows[[#This Row],[WC_'[%']]],"N.A.")</f>
        <v>0</v>
      </c>
      <c r="Z12" s="7" t="str">
        <f>Tab_Data_Flows[[#This Row],[UoM_Flow_Py]]</f>
        <v>Mg</v>
      </c>
      <c r="AA12" s="153">
        <f>INDEX(Tab_Def_Flows[[Flow_ID]:[CC_DM_source]],MATCH(Tab_Data_Flows[[#This Row],[Flow_Name]],Tab_Def_Flows[Flow_Name],0),14)</f>
        <v>1</v>
      </c>
      <c r="AB12" s="7" t="str">
        <f>Tab_Data_Flows[[#This Row],[Flow_ID]]&amp;"_"&amp;"DM_"&amp;Tab_Data_Flows[[#This Row],[Flow_Data_Year]]</f>
        <v>F_12_00_DM_2010</v>
      </c>
      <c r="AC12" s="7">
        <f>IF(E12="Yes",AA12*Tab_Data_Flows[[#This Row],[Flow_Material]],"N.A.")</f>
        <v>100</v>
      </c>
      <c r="AD12" s="7" t="str">
        <f>Tab_Data_Flows[[#This Row],[UoM_Flow_Py]]</f>
        <v>Mg</v>
      </c>
      <c r="AE12" s="153">
        <f>INDEX(Tab_Def_Flows[[Flow_ID]:[CC_DM_source]],MATCH(Tab_Data_Flows[[#This Row],[Flow_Name]],Tab_Def_Flows[Flow_Name],0),17)</f>
        <v>0.8</v>
      </c>
      <c r="AF12" s="7" t="str">
        <f>Tab_Data_Flows[[#This Row],[Flow_ID]]&amp;"_"&amp;"CC_"&amp;Tab_Data_Flows[[#This Row],[Flow_Data_Year]]</f>
        <v>F_12_00_CC_2010</v>
      </c>
      <c r="AG12" s="7">
        <f>IF(F12="Yes",AE12*Tab_Data_Flows[[#This Row],[Flow_Material]]*Tab_Data_Flows[[#This Row],[DM_'[%']]],"N.A.")</f>
        <v>80</v>
      </c>
      <c r="AH12" s="7" t="str">
        <f>Tab_Data_Flows[[#This Row],[UoM_Flow_Py]]</f>
        <v>Mg</v>
      </c>
      <c r="AI12"/>
    </row>
    <row r="13" spans="1:35" x14ac:dyDescent="0.25">
      <c r="A13" s="9">
        <f t="shared" si="1"/>
        <v>12</v>
      </c>
      <c r="B13" s="7" t="str">
        <f>_xlfn.XLOOKUP(C13,Tab_Def_Flows[Flow_Name],Tab_Def_Flows[Flow_ID],,0,)</f>
        <v>F_12_00</v>
      </c>
      <c r="C13" s="8" t="s">
        <v>605</v>
      </c>
      <c r="D13" s="10" t="str">
        <f>_xlfn.XLOOKUP(C13,Tab_Def_Flows[Flow_Name],Tab_Def_Flows[WC?],,0,)</f>
        <v>Yes</v>
      </c>
      <c r="E13" s="10" t="str">
        <f>_xlfn.XLOOKUP(C13,Tab_Def_Flows[Flow_Name],Tab_Def_Flows[DM?],,0,)</f>
        <v>Yes</v>
      </c>
      <c r="F13" s="10" t="str">
        <f>_xlfn.XLOOKUP(C13,Tab_Def_Flows[Flow_Name],Tab_Def_Flows[CC?],,0,)</f>
        <v>Yes</v>
      </c>
      <c r="G13" s="8">
        <v>2011</v>
      </c>
      <c r="H13" s="26">
        <v>100</v>
      </c>
      <c r="I13" s="8"/>
      <c r="J13" s="18"/>
      <c r="K13" s="8" t="e">
        <f>INDEX(#REF!,MATCH(Tab_Data_Flows[[#This Row],[Flow_Name]],#REF!,0),12)</f>
        <v>#REF!</v>
      </c>
      <c r="L13" s="8" t="e">
        <f>MATCH(Tab_Data_Flows[[#This Row],[Flow_Name]],#REF!,0)</f>
        <v>#REF!</v>
      </c>
      <c r="M13" s="8"/>
      <c r="N13" s="8"/>
      <c r="O13" s="8"/>
      <c r="P13" s="8"/>
      <c r="Q13" s="8" t="s">
        <v>7</v>
      </c>
      <c r="R13" s="8"/>
      <c r="S13" s="8"/>
      <c r="T13" s="7" t="str">
        <f>Tab_Data_Flows[[#This Row],[Flow_ID]]&amp;"_"&amp;"material_"&amp;Tab_Data_Flows[[#This Row],[Flow_Data_Year]]</f>
        <v>F_12_00_material_2011</v>
      </c>
      <c r="U13" s="16">
        <f t="shared" si="0"/>
        <v>100</v>
      </c>
      <c r="V13" s="8" t="s">
        <v>211</v>
      </c>
      <c r="W13" s="153">
        <f>INDEX(Tab_Def_Flows[[Flow_ID]:[CC_DM_source]],MATCH(Tab_Data_Flows[[#This Row],[Flow_Name]],Tab_Def_Flows[Flow_Name],0),11)</f>
        <v>0</v>
      </c>
      <c r="X13" s="7" t="str">
        <f>Tab_Data_Flows[[#This Row],[Flow_ID]]&amp;"_"&amp;"WC_"&amp;Tab_Data_Flows[[#This Row],[Flow_Data_Year]]</f>
        <v>F_12_00_WC_2011</v>
      </c>
      <c r="Y13" s="7">
        <f>IF(D13="Yes",U13*Tab_Data_Flows[[#This Row],[WC_'[%']]],"N.A.")</f>
        <v>0</v>
      </c>
      <c r="Z13" s="7" t="str">
        <f>Tab_Data_Flows[[#This Row],[UoM_Flow_Py]]</f>
        <v>Mg</v>
      </c>
      <c r="AA13" s="153">
        <f>INDEX(Tab_Def_Flows[[Flow_ID]:[CC_DM_source]],MATCH(Tab_Data_Flows[[#This Row],[Flow_Name]],Tab_Def_Flows[Flow_Name],0),14)</f>
        <v>1</v>
      </c>
      <c r="AB13" s="7" t="str">
        <f>Tab_Data_Flows[[#This Row],[Flow_ID]]&amp;"_"&amp;"DM_"&amp;Tab_Data_Flows[[#This Row],[Flow_Data_Year]]</f>
        <v>F_12_00_DM_2011</v>
      </c>
      <c r="AC13" s="7">
        <f>IF(E13="Yes",AA13*Tab_Data_Flows[[#This Row],[Flow_Material]],"N.A.")</f>
        <v>100</v>
      </c>
      <c r="AD13" s="7" t="str">
        <f>Tab_Data_Flows[[#This Row],[UoM_Flow_Py]]</f>
        <v>Mg</v>
      </c>
      <c r="AE13" s="153">
        <f>INDEX(Tab_Def_Flows[[Flow_ID]:[CC_DM_source]],MATCH(Tab_Data_Flows[[#This Row],[Flow_Name]],Tab_Def_Flows[Flow_Name],0),17)</f>
        <v>0.8</v>
      </c>
      <c r="AF13" s="7" t="str">
        <f>Tab_Data_Flows[[#This Row],[Flow_ID]]&amp;"_"&amp;"CC_"&amp;Tab_Data_Flows[[#This Row],[Flow_Data_Year]]</f>
        <v>F_12_00_CC_2011</v>
      </c>
      <c r="AG13" s="7">
        <f>IF(F13="Yes",AE13*Tab_Data_Flows[[#This Row],[Flow_Material]]*Tab_Data_Flows[[#This Row],[DM_'[%']]],"N.A.")</f>
        <v>80</v>
      </c>
      <c r="AH13" s="7" t="str">
        <f>Tab_Data_Flows[[#This Row],[UoM_Flow_Py]]</f>
        <v>Mg</v>
      </c>
      <c r="AI13"/>
    </row>
    <row r="14" spans="1:35" x14ac:dyDescent="0.25">
      <c r="A14" s="9">
        <f t="shared" si="1"/>
        <v>13</v>
      </c>
      <c r="B14" s="7" t="str">
        <f>_xlfn.XLOOKUP(C14,Tab_Def_Flows[Flow_Name],Tab_Def_Flows[Flow_ID],,0,)</f>
        <v>F_12_00</v>
      </c>
      <c r="C14" s="8" t="s">
        <v>605</v>
      </c>
      <c r="D14" s="10" t="str">
        <f>_xlfn.XLOOKUP(C14,Tab_Def_Flows[Flow_Name],Tab_Def_Flows[WC?],,0,)</f>
        <v>Yes</v>
      </c>
      <c r="E14" s="10" t="str">
        <f>_xlfn.XLOOKUP(C14,Tab_Def_Flows[Flow_Name],Tab_Def_Flows[DM?],,0,)</f>
        <v>Yes</v>
      </c>
      <c r="F14" s="10" t="str">
        <f>_xlfn.XLOOKUP(C14,Tab_Def_Flows[Flow_Name],Tab_Def_Flows[CC?],,0,)</f>
        <v>Yes</v>
      </c>
      <c r="G14" s="8">
        <v>2012</v>
      </c>
      <c r="H14" s="26">
        <v>100</v>
      </c>
      <c r="I14" s="8"/>
      <c r="J14" s="18"/>
      <c r="K14" s="8" t="e">
        <f>INDEX(#REF!,MATCH(Tab_Data_Flows[[#This Row],[Flow_Name]],#REF!,0),12)</f>
        <v>#REF!</v>
      </c>
      <c r="L14" s="8" t="e">
        <f>MATCH(Tab_Data_Flows[[#This Row],[Flow_Name]],#REF!,0)</f>
        <v>#REF!</v>
      </c>
      <c r="M14" s="8"/>
      <c r="N14" s="8"/>
      <c r="O14" s="8"/>
      <c r="P14" s="8"/>
      <c r="Q14" s="8" t="s">
        <v>7</v>
      </c>
      <c r="R14" s="8"/>
      <c r="S14" s="8"/>
      <c r="T14" s="7" t="str">
        <f>Tab_Data_Flows[[#This Row],[Flow_ID]]&amp;"_"&amp;"material_"&amp;Tab_Data_Flows[[#This Row],[Flow_Data_Year]]</f>
        <v>F_12_00_material_2012</v>
      </c>
      <c r="U14" s="16">
        <f t="shared" si="0"/>
        <v>100</v>
      </c>
      <c r="V14" s="8" t="s">
        <v>211</v>
      </c>
      <c r="W14" s="153">
        <f>INDEX(Tab_Def_Flows[[Flow_ID]:[CC_DM_source]],MATCH(Tab_Data_Flows[[#This Row],[Flow_Name]],Tab_Def_Flows[Flow_Name],0),11)</f>
        <v>0</v>
      </c>
      <c r="X14" s="7" t="str">
        <f>Tab_Data_Flows[[#This Row],[Flow_ID]]&amp;"_"&amp;"WC_"&amp;Tab_Data_Flows[[#This Row],[Flow_Data_Year]]</f>
        <v>F_12_00_WC_2012</v>
      </c>
      <c r="Y14" s="7">
        <f>IF(D14="Yes",U14*Tab_Data_Flows[[#This Row],[WC_'[%']]],"N.A.")</f>
        <v>0</v>
      </c>
      <c r="Z14" s="7" t="str">
        <f>Tab_Data_Flows[[#This Row],[UoM_Flow_Py]]</f>
        <v>Mg</v>
      </c>
      <c r="AA14" s="153">
        <f>INDEX(Tab_Def_Flows[[Flow_ID]:[CC_DM_source]],MATCH(Tab_Data_Flows[[#This Row],[Flow_Name]],Tab_Def_Flows[Flow_Name],0),14)</f>
        <v>1</v>
      </c>
      <c r="AB14" s="7" t="str">
        <f>Tab_Data_Flows[[#This Row],[Flow_ID]]&amp;"_"&amp;"DM_"&amp;Tab_Data_Flows[[#This Row],[Flow_Data_Year]]</f>
        <v>F_12_00_DM_2012</v>
      </c>
      <c r="AC14" s="7">
        <f>IF(E14="Yes",AA14*Tab_Data_Flows[[#This Row],[Flow_Material]],"N.A.")</f>
        <v>100</v>
      </c>
      <c r="AD14" s="7" t="str">
        <f>Tab_Data_Flows[[#This Row],[UoM_Flow_Py]]</f>
        <v>Mg</v>
      </c>
      <c r="AE14" s="153">
        <f>INDEX(Tab_Def_Flows[[Flow_ID]:[CC_DM_source]],MATCH(Tab_Data_Flows[[#This Row],[Flow_Name]],Tab_Def_Flows[Flow_Name],0),17)</f>
        <v>0.8</v>
      </c>
      <c r="AF14" s="7" t="str">
        <f>Tab_Data_Flows[[#This Row],[Flow_ID]]&amp;"_"&amp;"CC_"&amp;Tab_Data_Flows[[#This Row],[Flow_Data_Year]]</f>
        <v>F_12_00_CC_2012</v>
      </c>
      <c r="AG14" s="7">
        <f>IF(F14="Yes",AE14*Tab_Data_Flows[[#This Row],[Flow_Material]]*Tab_Data_Flows[[#This Row],[DM_'[%']]],"N.A.")</f>
        <v>80</v>
      </c>
      <c r="AH14" s="7" t="str">
        <f>Tab_Data_Flows[[#This Row],[UoM_Flow_Py]]</f>
        <v>Mg</v>
      </c>
      <c r="AI14"/>
    </row>
    <row r="15" spans="1:35" x14ac:dyDescent="0.25">
      <c r="A15" s="9">
        <f t="shared" si="1"/>
        <v>14</v>
      </c>
      <c r="B15" s="7" t="str">
        <f>_xlfn.XLOOKUP(C15,Tab_Def_Flows[Flow_Name],Tab_Def_Flows[Flow_ID],,0,)</f>
        <v>F_12_00</v>
      </c>
      <c r="C15" s="8" t="s">
        <v>605</v>
      </c>
      <c r="D15" s="10" t="str">
        <f>_xlfn.XLOOKUP(C15,Tab_Def_Flows[Flow_Name],Tab_Def_Flows[WC?],,0,)</f>
        <v>Yes</v>
      </c>
      <c r="E15" s="10" t="str">
        <f>_xlfn.XLOOKUP(C15,Tab_Def_Flows[Flow_Name],Tab_Def_Flows[DM?],,0,)</f>
        <v>Yes</v>
      </c>
      <c r="F15" s="10" t="str">
        <f>_xlfn.XLOOKUP(C15,Tab_Def_Flows[Flow_Name],Tab_Def_Flows[CC?],,0,)</f>
        <v>Yes</v>
      </c>
      <c r="G15" s="8">
        <v>2013</v>
      </c>
      <c r="H15" s="26">
        <v>100</v>
      </c>
      <c r="I15" s="8"/>
      <c r="J15" s="18"/>
      <c r="K15" s="8" t="e">
        <f>INDEX(#REF!,MATCH(Tab_Data_Flows[[#This Row],[Flow_Name]],#REF!,0),12)</f>
        <v>#REF!</v>
      </c>
      <c r="L15" s="8" t="e">
        <f>MATCH(Tab_Data_Flows[[#This Row],[Flow_Name]],#REF!,0)</f>
        <v>#REF!</v>
      </c>
      <c r="M15" s="8"/>
      <c r="N15" s="8"/>
      <c r="O15" s="8"/>
      <c r="P15" s="8"/>
      <c r="Q15" s="8" t="s">
        <v>7</v>
      </c>
      <c r="R15" s="8"/>
      <c r="S15" s="8"/>
      <c r="T15" s="7" t="str">
        <f>Tab_Data_Flows[[#This Row],[Flow_ID]]&amp;"_"&amp;"material_"&amp;Tab_Data_Flows[[#This Row],[Flow_Data_Year]]</f>
        <v>F_12_00_material_2013</v>
      </c>
      <c r="U15" s="16">
        <f t="shared" si="0"/>
        <v>100</v>
      </c>
      <c r="V15" s="8" t="s">
        <v>211</v>
      </c>
      <c r="W15" s="153">
        <f>INDEX(Tab_Def_Flows[[Flow_ID]:[CC_DM_source]],MATCH(Tab_Data_Flows[[#This Row],[Flow_Name]],Tab_Def_Flows[Flow_Name],0),11)</f>
        <v>0</v>
      </c>
      <c r="X15" s="7" t="str">
        <f>Tab_Data_Flows[[#This Row],[Flow_ID]]&amp;"_"&amp;"WC_"&amp;Tab_Data_Flows[[#This Row],[Flow_Data_Year]]</f>
        <v>F_12_00_WC_2013</v>
      </c>
      <c r="Y15" s="7">
        <f>IF(D15="Yes",U15*Tab_Data_Flows[[#This Row],[WC_'[%']]],"N.A.")</f>
        <v>0</v>
      </c>
      <c r="Z15" s="7" t="str">
        <f>Tab_Data_Flows[[#This Row],[UoM_Flow_Py]]</f>
        <v>Mg</v>
      </c>
      <c r="AA15" s="153">
        <f>INDEX(Tab_Def_Flows[[Flow_ID]:[CC_DM_source]],MATCH(Tab_Data_Flows[[#This Row],[Flow_Name]],Tab_Def_Flows[Flow_Name],0),14)</f>
        <v>1</v>
      </c>
      <c r="AB15" s="7" t="str">
        <f>Tab_Data_Flows[[#This Row],[Flow_ID]]&amp;"_"&amp;"DM_"&amp;Tab_Data_Flows[[#This Row],[Flow_Data_Year]]</f>
        <v>F_12_00_DM_2013</v>
      </c>
      <c r="AC15" s="7">
        <f>IF(E15="Yes",AA15*Tab_Data_Flows[[#This Row],[Flow_Material]],"N.A.")</f>
        <v>100</v>
      </c>
      <c r="AD15" s="7" t="str">
        <f>Tab_Data_Flows[[#This Row],[UoM_Flow_Py]]</f>
        <v>Mg</v>
      </c>
      <c r="AE15" s="153">
        <f>INDEX(Tab_Def_Flows[[Flow_ID]:[CC_DM_source]],MATCH(Tab_Data_Flows[[#This Row],[Flow_Name]],Tab_Def_Flows[Flow_Name],0),17)</f>
        <v>0.8</v>
      </c>
      <c r="AF15" s="7" t="str">
        <f>Tab_Data_Flows[[#This Row],[Flow_ID]]&amp;"_"&amp;"CC_"&amp;Tab_Data_Flows[[#This Row],[Flow_Data_Year]]</f>
        <v>F_12_00_CC_2013</v>
      </c>
      <c r="AG15" s="7">
        <f>IF(F15="Yes",AE15*Tab_Data_Flows[[#This Row],[Flow_Material]]*Tab_Data_Flows[[#This Row],[DM_'[%']]],"N.A.")</f>
        <v>80</v>
      </c>
      <c r="AH15" s="7" t="str">
        <f>Tab_Data_Flows[[#This Row],[UoM_Flow_Py]]</f>
        <v>Mg</v>
      </c>
      <c r="AI15"/>
    </row>
    <row r="16" spans="1:35" x14ac:dyDescent="0.25">
      <c r="A16" s="9">
        <f t="shared" si="1"/>
        <v>15</v>
      </c>
      <c r="B16" s="7" t="str">
        <f>_xlfn.XLOOKUP(C16,Tab_Def_Flows[Flow_Name],Tab_Def_Flows[Flow_ID],,0,)</f>
        <v>F_12_00</v>
      </c>
      <c r="C16" s="8" t="s">
        <v>605</v>
      </c>
      <c r="D16" s="10" t="str">
        <f>_xlfn.XLOOKUP(C16,Tab_Def_Flows[Flow_Name],Tab_Def_Flows[WC?],,0,)</f>
        <v>Yes</v>
      </c>
      <c r="E16" s="10" t="str">
        <f>_xlfn.XLOOKUP(C16,Tab_Def_Flows[Flow_Name],Tab_Def_Flows[DM?],,0,)</f>
        <v>Yes</v>
      </c>
      <c r="F16" s="10" t="str">
        <f>_xlfn.XLOOKUP(C16,Tab_Def_Flows[Flow_Name],Tab_Def_Flows[CC?],,0,)</f>
        <v>Yes</v>
      </c>
      <c r="G16" s="8">
        <v>2014</v>
      </c>
      <c r="H16" s="26">
        <v>100</v>
      </c>
      <c r="I16" s="8"/>
      <c r="J16" s="18"/>
      <c r="K16" s="8" t="e">
        <f>INDEX(#REF!,MATCH(Tab_Data_Flows[[#This Row],[Flow_Name]],#REF!,0),12)</f>
        <v>#REF!</v>
      </c>
      <c r="L16" s="8" t="e">
        <f>MATCH(Tab_Data_Flows[[#This Row],[Flow_Name]],#REF!,0)</f>
        <v>#REF!</v>
      </c>
      <c r="M16" s="8"/>
      <c r="N16" s="8"/>
      <c r="O16" s="8"/>
      <c r="P16" s="8"/>
      <c r="Q16" s="8" t="s">
        <v>7</v>
      </c>
      <c r="R16" s="8"/>
      <c r="S16" s="8"/>
      <c r="T16" s="7" t="str">
        <f>Tab_Data_Flows[[#This Row],[Flow_ID]]&amp;"_"&amp;"material_"&amp;Tab_Data_Flows[[#This Row],[Flow_Data_Year]]</f>
        <v>F_12_00_material_2014</v>
      </c>
      <c r="U16" s="16">
        <f t="shared" si="0"/>
        <v>100</v>
      </c>
      <c r="V16" s="8" t="s">
        <v>211</v>
      </c>
      <c r="W16" s="153">
        <f>INDEX(Tab_Def_Flows[[Flow_ID]:[CC_DM_source]],MATCH(Tab_Data_Flows[[#This Row],[Flow_Name]],Tab_Def_Flows[Flow_Name],0),11)</f>
        <v>0</v>
      </c>
      <c r="X16" s="7" t="str">
        <f>Tab_Data_Flows[[#This Row],[Flow_ID]]&amp;"_"&amp;"WC_"&amp;Tab_Data_Flows[[#This Row],[Flow_Data_Year]]</f>
        <v>F_12_00_WC_2014</v>
      </c>
      <c r="Y16" s="7">
        <f>IF(D16="Yes",U16*Tab_Data_Flows[[#This Row],[WC_'[%']]],"N.A.")</f>
        <v>0</v>
      </c>
      <c r="Z16" s="7" t="str">
        <f>Tab_Data_Flows[[#This Row],[UoM_Flow_Py]]</f>
        <v>Mg</v>
      </c>
      <c r="AA16" s="153">
        <f>INDEX(Tab_Def_Flows[[Flow_ID]:[CC_DM_source]],MATCH(Tab_Data_Flows[[#This Row],[Flow_Name]],Tab_Def_Flows[Flow_Name],0),14)</f>
        <v>1</v>
      </c>
      <c r="AB16" s="7" t="str">
        <f>Tab_Data_Flows[[#This Row],[Flow_ID]]&amp;"_"&amp;"DM_"&amp;Tab_Data_Flows[[#This Row],[Flow_Data_Year]]</f>
        <v>F_12_00_DM_2014</v>
      </c>
      <c r="AC16" s="7">
        <f>IF(E16="Yes",AA16*Tab_Data_Flows[[#This Row],[Flow_Material]],"N.A.")</f>
        <v>100</v>
      </c>
      <c r="AD16" s="7" t="str">
        <f>Tab_Data_Flows[[#This Row],[UoM_Flow_Py]]</f>
        <v>Mg</v>
      </c>
      <c r="AE16" s="153">
        <f>INDEX(Tab_Def_Flows[[Flow_ID]:[CC_DM_source]],MATCH(Tab_Data_Flows[[#This Row],[Flow_Name]],Tab_Def_Flows[Flow_Name],0),17)</f>
        <v>0.8</v>
      </c>
      <c r="AF16" s="7" t="str">
        <f>Tab_Data_Flows[[#This Row],[Flow_ID]]&amp;"_"&amp;"CC_"&amp;Tab_Data_Flows[[#This Row],[Flow_Data_Year]]</f>
        <v>F_12_00_CC_2014</v>
      </c>
      <c r="AG16" s="7">
        <f>IF(F16="Yes",AE16*Tab_Data_Flows[[#This Row],[Flow_Material]]*Tab_Data_Flows[[#This Row],[DM_'[%']]],"N.A.")</f>
        <v>80</v>
      </c>
      <c r="AH16" s="7" t="str">
        <f>Tab_Data_Flows[[#This Row],[UoM_Flow_Py]]</f>
        <v>Mg</v>
      </c>
      <c r="AI16"/>
    </row>
    <row r="17" spans="1:35" x14ac:dyDescent="0.25">
      <c r="A17" s="9">
        <f t="shared" si="1"/>
        <v>16</v>
      </c>
      <c r="B17" s="7" t="str">
        <f>_xlfn.XLOOKUP(C17,Tab_Def_Flows[Flow_Name],Tab_Def_Flows[Flow_ID],,0,)</f>
        <v>F_12_00</v>
      </c>
      <c r="C17" s="8" t="s">
        <v>605</v>
      </c>
      <c r="D17" s="10" t="str">
        <f>_xlfn.XLOOKUP(C17,Tab_Def_Flows[Flow_Name],Tab_Def_Flows[WC?],,0,)</f>
        <v>Yes</v>
      </c>
      <c r="E17" s="10" t="str">
        <f>_xlfn.XLOOKUP(C17,Tab_Def_Flows[Flow_Name],Tab_Def_Flows[DM?],,0,)</f>
        <v>Yes</v>
      </c>
      <c r="F17" s="10" t="str">
        <f>_xlfn.XLOOKUP(C17,Tab_Def_Flows[Flow_Name],Tab_Def_Flows[CC?],,0,)</f>
        <v>Yes</v>
      </c>
      <c r="G17" s="8">
        <v>2015</v>
      </c>
      <c r="H17" s="26">
        <v>100</v>
      </c>
      <c r="I17" s="8"/>
      <c r="J17" s="18"/>
      <c r="K17" s="8" t="e">
        <f>INDEX(#REF!,MATCH(Tab_Data_Flows[[#This Row],[Flow_Name]],#REF!,0),12)</f>
        <v>#REF!</v>
      </c>
      <c r="L17" s="8" t="e">
        <f>MATCH(Tab_Data_Flows[[#This Row],[Flow_Name]],#REF!,0)</f>
        <v>#REF!</v>
      </c>
      <c r="M17" s="8"/>
      <c r="N17" s="8"/>
      <c r="O17" s="8"/>
      <c r="P17" s="8"/>
      <c r="Q17" s="8" t="s">
        <v>7</v>
      </c>
      <c r="R17" s="8"/>
      <c r="S17" s="8"/>
      <c r="T17" s="7" t="str">
        <f>Tab_Data_Flows[[#This Row],[Flow_ID]]&amp;"_"&amp;"material_"&amp;Tab_Data_Flows[[#This Row],[Flow_Data_Year]]</f>
        <v>F_12_00_material_2015</v>
      </c>
      <c r="U17" s="16">
        <f t="shared" si="0"/>
        <v>100</v>
      </c>
      <c r="V17" s="8" t="s">
        <v>211</v>
      </c>
      <c r="W17" s="153">
        <f>INDEX(Tab_Def_Flows[[Flow_ID]:[CC_DM_source]],MATCH(Tab_Data_Flows[[#This Row],[Flow_Name]],Tab_Def_Flows[Flow_Name],0),11)</f>
        <v>0</v>
      </c>
      <c r="X17" s="7" t="str">
        <f>Tab_Data_Flows[[#This Row],[Flow_ID]]&amp;"_"&amp;"WC_"&amp;Tab_Data_Flows[[#This Row],[Flow_Data_Year]]</f>
        <v>F_12_00_WC_2015</v>
      </c>
      <c r="Y17" s="7">
        <f>IF(D17="Yes",U17*Tab_Data_Flows[[#This Row],[WC_'[%']]],"N.A.")</f>
        <v>0</v>
      </c>
      <c r="Z17" s="7" t="str">
        <f>Tab_Data_Flows[[#This Row],[UoM_Flow_Py]]</f>
        <v>Mg</v>
      </c>
      <c r="AA17" s="153">
        <f>INDEX(Tab_Def_Flows[[Flow_ID]:[CC_DM_source]],MATCH(Tab_Data_Flows[[#This Row],[Flow_Name]],Tab_Def_Flows[Flow_Name],0),14)</f>
        <v>1</v>
      </c>
      <c r="AB17" s="7" t="str">
        <f>Tab_Data_Flows[[#This Row],[Flow_ID]]&amp;"_"&amp;"DM_"&amp;Tab_Data_Flows[[#This Row],[Flow_Data_Year]]</f>
        <v>F_12_00_DM_2015</v>
      </c>
      <c r="AC17" s="7">
        <f>IF(E17="Yes",AA17*Tab_Data_Flows[[#This Row],[Flow_Material]],"N.A.")</f>
        <v>100</v>
      </c>
      <c r="AD17" s="7" t="str">
        <f>Tab_Data_Flows[[#This Row],[UoM_Flow_Py]]</f>
        <v>Mg</v>
      </c>
      <c r="AE17" s="153">
        <f>INDEX(Tab_Def_Flows[[Flow_ID]:[CC_DM_source]],MATCH(Tab_Data_Flows[[#This Row],[Flow_Name]],Tab_Def_Flows[Flow_Name],0),17)</f>
        <v>0.8</v>
      </c>
      <c r="AF17" s="7" t="str">
        <f>Tab_Data_Flows[[#This Row],[Flow_ID]]&amp;"_"&amp;"CC_"&amp;Tab_Data_Flows[[#This Row],[Flow_Data_Year]]</f>
        <v>F_12_00_CC_2015</v>
      </c>
      <c r="AG17" s="7">
        <f>IF(F17="Yes",AE17*Tab_Data_Flows[[#This Row],[Flow_Material]]*Tab_Data_Flows[[#This Row],[DM_'[%']]],"N.A.")</f>
        <v>80</v>
      </c>
      <c r="AH17" s="7" t="str">
        <f>Tab_Data_Flows[[#This Row],[UoM_Flow_Py]]</f>
        <v>Mg</v>
      </c>
      <c r="AI17"/>
    </row>
    <row r="18" spans="1:35" x14ac:dyDescent="0.25">
      <c r="A18" s="9">
        <f t="shared" si="1"/>
        <v>17</v>
      </c>
      <c r="B18" s="7" t="str">
        <f>_xlfn.XLOOKUP(C18,Tab_Def_Flows[Flow_Name],Tab_Def_Flows[Flow_ID],,0,)</f>
        <v>F_12_00</v>
      </c>
      <c r="C18" s="8" t="s">
        <v>605</v>
      </c>
      <c r="D18" s="10" t="str">
        <f>_xlfn.XLOOKUP(C18,Tab_Def_Flows[Flow_Name],Tab_Def_Flows[WC?],,0,)</f>
        <v>Yes</v>
      </c>
      <c r="E18" s="10" t="str">
        <f>_xlfn.XLOOKUP(C18,Tab_Def_Flows[Flow_Name],Tab_Def_Flows[DM?],,0,)</f>
        <v>Yes</v>
      </c>
      <c r="F18" s="10" t="str">
        <f>_xlfn.XLOOKUP(C18,Tab_Def_Flows[Flow_Name],Tab_Def_Flows[CC?],,0,)</f>
        <v>Yes</v>
      </c>
      <c r="G18" s="8">
        <v>2016</v>
      </c>
      <c r="H18" s="26">
        <v>100</v>
      </c>
      <c r="I18" s="8"/>
      <c r="J18" s="18"/>
      <c r="K18" s="8" t="e">
        <f>INDEX(#REF!,MATCH(Tab_Data_Flows[[#This Row],[Flow_Name]],#REF!,0),12)</f>
        <v>#REF!</v>
      </c>
      <c r="L18" s="8" t="e">
        <f>MATCH(Tab_Data_Flows[[#This Row],[Flow_Name]],#REF!,0)</f>
        <v>#REF!</v>
      </c>
      <c r="M18" s="8"/>
      <c r="N18" s="8"/>
      <c r="O18" s="8"/>
      <c r="P18" s="8"/>
      <c r="Q18" s="8" t="s">
        <v>7</v>
      </c>
      <c r="R18" s="8"/>
      <c r="S18" s="8"/>
      <c r="T18" s="7" t="str">
        <f>Tab_Data_Flows[[#This Row],[Flow_ID]]&amp;"_"&amp;"material_"&amp;Tab_Data_Flows[[#This Row],[Flow_Data_Year]]</f>
        <v>F_12_00_material_2016</v>
      </c>
      <c r="U18" s="16">
        <f t="shared" si="0"/>
        <v>100</v>
      </c>
      <c r="V18" s="8" t="s">
        <v>211</v>
      </c>
      <c r="W18" s="153">
        <f>INDEX(Tab_Def_Flows[[Flow_ID]:[CC_DM_source]],MATCH(Tab_Data_Flows[[#This Row],[Flow_Name]],Tab_Def_Flows[Flow_Name],0),11)</f>
        <v>0</v>
      </c>
      <c r="X18" s="7" t="str">
        <f>Tab_Data_Flows[[#This Row],[Flow_ID]]&amp;"_"&amp;"WC_"&amp;Tab_Data_Flows[[#This Row],[Flow_Data_Year]]</f>
        <v>F_12_00_WC_2016</v>
      </c>
      <c r="Y18" s="7">
        <f>IF(D18="Yes",U18*Tab_Data_Flows[[#This Row],[WC_'[%']]],"N.A.")</f>
        <v>0</v>
      </c>
      <c r="Z18" s="7" t="str">
        <f>Tab_Data_Flows[[#This Row],[UoM_Flow_Py]]</f>
        <v>Mg</v>
      </c>
      <c r="AA18" s="153">
        <f>INDEX(Tab_Def_Flows[[Flow_ID]:[CC_DM_source]],MATCH(Tab_Data_Flows[[#This Row],[Flow_Name]],Tab_Def_Flows[Flow_Name],0),14)</f>
        <v>1</v>
      </c>
      <c r="AB18" s="7" t="str">
        <f>Tab_Data_Flows[[#This Row],[Flow_ID]]&amp;"_"&amp;"DM_"&amp;Tab_Data_Flows[[#This Row],[Flow_Data_Year]]</f>
        <v>F_12_00_DM_2016</v>
      </c>
      <c r="AC18" s="7">
        <f>IF(E18="Yes",AA18*Tab_Data_Flows[[#This Row],[Flow_Material]],"N.A.")</f>
        <v>100</v>
      </c>
      <c r="AD18" s="7" t="str">
        <f>Tab_Data_Flows[[#This Row],[UoM_Flow_Py]]</f>
        <v>Mg</v>
      </c>
      <c r="AE18" s="153">
        <f>INDEX(Tab_Def_Flows[[Flow_ID]:[CC_DM_source]],MATCH(Tab_Data_Flows[[#This Row],[Flow_Name]],Tab_Def_Flows[Flow_Name],0),17)</f>
        <v>0.8</v>
      </c>
      <c r="AF18" s="7" t="str">
        <f>Tab_Data_Flows[[#This Row],[Flow_ID]]&amp;"_"&amp;"CC_"&amp;Tab_Data_Flows[[#This Row],[Flow_Data_Year]]</f>
        <v>F_12_00_CC_2016</v>
      </c>
      <c r="AG18" s="7">
        <f>IF(F18="Yes",AE18*Tab_Data_Flows[[#This Row],[Flow_Material]]*Tab_Data_Flows[[#This Row],[DM_'[%']]],"N.A.")</f>
        <v>80</v>
      </c>
      <c r="AH18" s="7" t="str">
        <f>Tab_Data_Flows[[#This Row],[UoM_Flow_Py]]</f>
        <v>Mg</v>
      </c>
      <c r="AI18"/>
    </row>
    <row r="19" spans="1:35" x14ac:dyDescent="0.25">
      <c r="A19" s="9">
        <f t="shared" si="1"/>
        <v>18</v>
      </c>
      <c r="B19" s="7" t="str">
        <f>_xlfn.XLOOKUP(C19,Tab_Def_Flows[Flow_Name],Tab_Def_Flows[Flow_ID],,0,)</f>
        <v>F_12_00</v>
      </c>
      <c r="C19" s="8" t="s">
        <v>605</v>
      </c>
      <c r="D19" s="10" t="str">
        <f>_xlfn.XLOOKUP(C19,Tab_Def_Flows[Flow_Name],Tab_Def_Flows[WC?],,0,)</f>
        <v>Yes</v>
      </c>
      <c r="E19" s="10" t="str">
        <f>_xlfn.XLOOKUP(C19,Tab_Def_Flows[Flow_Name],Tab_Def_Flows[DM?],,0,)</f>
        <v>Yes</v>
      </c>
      <c r="F19" s="10" t="str">
        <f>_xlfn.XLOOKUP(C19,Tab_Def_Flows[Flow_Name],Tab_Def_Flows[CC?],,0,)</f>
        <v>Yes</v>
      </c>
      <c r="G19" s="8">
        <v>2017</v>
      </c>
      <c r="H19" s="26">
        <v>100</v>
      </c>
      <c r="I19" s="8"/>
      <c r="J19" s="18"/>
      <c r="K19" s="8" t="e">
        <f>INDEX(#REF!,MATCH(Tab_Data_Flows[[#This Row],[Flow_Name]],#REF!,0),12)</f>
        <v>#REF!</v>
      </c>
      <c r="L19" s="8" t="e">
        <f>MATCH(Tab_Data_Flows[[#This Row],[Flow_Name]],#REF!,0)</f>
        <v>#REF!</v>
      </c>
      <c r="M19" s="8"/>
      <c r="N19" s="8"/>
      <c r="O19" s="8"/>
      <c r="P19" s="8"/>
      <c r="Q19" s="8" t="s">
        <v>7</v>
      </c>
      <c r="R19" s="8"/>
      <c r="S19" s="8"/>
      <c r="T19" s="7" t="str">
        <f>Tab_Data_Flows[[#This Row],[Flow_ID]]&amp;"_"&amp;"material_"&amp;Tab_Data_Flows[[#This Row],[Flow_Data_Year]]</f>
        <v>F_12_00_material_2017</v>
      </c>
      <c r="U19" s="16">
        <f t="shared" si="0"/>
        <v>100</v>
      </c>
      <c r="V19" s="8" t="s">
        <v>211</v>
      </c>
      <c r="W19" s="153">
        <f>INDEX(Tab_Def_Flows[[Flow_ID]:[CC_DM_source]],MATCH(Tab_Data_Flows[[#This Row],[Flow_Name]],Tab_Def_Flows[Flow_Name],0),11)</f>
        <v>0</v>
      </c>
      <c r="X19" s="7" t="str">
        <f>Tab_Data_Flows[[#This Row],[Flow_ID]]&amp;"_"&amp;"WC_"&amp;Tab_Data_Flows[[#This Row],[Flow_Data_Year]]</f>
        <v>F_12_00_WC_2017</v>
      </c>
      <c r="Y19" s="7">
        <f>IF(D19="Yes",U19*Tab_Data_Flows[[#This Row],[WC_'[%']]],"N.A.")</f>
        <v>0</v>
      </c>
      <c r="Z19" s="7" t="str">
        <f>Tab_Data_Flows[[#This Row],[UoM_Flow_Py]]</f>
        <v>Mg</v>
      </c>
      <c r="AA19" s="153">
        <f>INDEX(Tab_Def_Flows[[Flow_ID]:[CC_DM_source]],MATCH(Tab_Data_Flows[[#This Row],[Flow_Name]],Tab_Def_Flows[Flow_Name],0),14)</f>
        <v>1</v>
      </c>
      <c r="AB19" s="7" t="str">
        <f>Tab_Data_Flows[[#This Row],[Flow_ID]]&amp;"_"&amp;"DM_"&amp;Tab_Data_Flows[[#This Row],[Flow_Data_Year]]</f>
        <v>F_12_00_DM_2017</v>
      </c>
      <c r="AC19" s="7">
        <f>IF(E19="Yes",AA19*Tab_Data_Flows[[#This Row],[Flow_Material]],"N.A.")</f>
        <v>100</v>
      </c>
      <c r="AD19" s="7" t="str">
        <f>Tab_Data_Flows[[#This Row],[UoM_Flow_Py]]</f>
        <v>Mg</v>
      </c>
      <c r="AE19" s="153">
        <f>INDEX(Tab_Def_Flows[[Flow_ID]:[CC_DM_source]],MATCH(Tab_Data_Flows[[#This Row],[Flow_Name]],Tab_Def_Flows[Flow_Name],0),17)</f>
        <v>0.8</v>
      </c>
      <c r="AF19" s="7" t="str">
        <f>Tab_Data_Flows[[#This Row],[Flow_ID]]&amp;"_"&amp;"CC_"&amp;Tab_Data_Flows[[#This Row],[Flow_Data_Year]]</f>
        <v>F_12_00_CC_2017</v>
      </c>
      <c r="AG19" s="7">
        <f>IF(F19="Yes",AE19*Tab_Data_Flows[[#This Row],[Flow_Material]]*Tab_Data_Flows[[#This Row],[DM_'[%']]],"N.A.")</f>
        <v>80</v>
      </c>
      <c r="AH19" s="7" t="str">
        <f>Tab_Data_Flows[[#This Row],[UoM_Flow_Py]]</f>
        <v>Mg</v>
      </c>
      <c r="AI19"/>
    </row>
    <row r="20" spans="1:35" x14ac:dyDescent="0.25">
      <c r="A20" s="9">
        <f t="shared" si="1"/>
        <v>19</v>
      </c>
      <c r="B20" s="7" t="str">
        <f>_xlfn.XLOOKUP(C20,Tab_Def_Flows[Flow_Name],Tab_Def_Flows[Flow_ID],,0,)</f>
        <v>F_12_00</v>
      </c>
      <c r="C20" s="8" t="s">
        <v>605</v>
      </c>
      <c r="D20" s="10" t="str">
        <f>_xlfn.XLOOKUP(C20,Tab_Def_Flows[Flow_Name],Tab_Def_Flows[WC?],,0,)</f>
        <v>Yes</v>
      </c>
      <c r="E20" s="10" t="str">
        <f>_xlfn.XLOOKUP(C20,Tab_Def_Flows[Flow_Name],Tab_Def_Flows[DM?],,0,)</f>
        <v>Yes</v>
      </c>
      <c r="F20" s="10" t="str">
        <f>_xlfn.XLOOKUP(C20,Tab_Def_Flows[Flow_Name],Tab_Def_Flows[CC?],,0,)</f>
        <v>Yes</v>
      </c>
      <c r="G20" s="8">
        <v>2018</v>
      </c>
      <c r="H20" s="26">
        <v>100</v>
      </c>
      <c r="I20" s="8"/>
      <c r="J20" s="18"/>
      <c r="K20" s="8" t="e">
        <f>INDEX(#REF!,MATCH(Tab_Data_Flows[[#This Row],[Flow_Name]],#REF!,0),12)</f>
        <v>#REF!</v>
      </c>
      <c r="L20" s="8" t="e">
        <f>MATCH(Tab_Data_Flows[[#This Row],[Flow_Name]],#REF!,0)</f>
        <v>#REF!</v>
      </c>
      <c r="M20" s="8"/>
      <c r="N20" s="8"/>
      <c r="O20" s="8"/>
      <c r="P20" s="8"/>
      <c r="Q20" s="8" t="s">
        <v>7</v>
      </c>
      <c r="R20" s="8"/>
      <c r="S20" s="8"/>
      <c r="T20" s="7" t="str">
        <f>Tab_Data_Flows[[#This Row],[Flow_ID]]&amp;"_"&amp;"material_"&amp;Tab_Data_Flows[[#This Row],[Flow_Data_Year]]</f>
        <v>F_12_00_material_2018</v>
      </c>
      <c r="U20" s="16">
        <f t="shared" si="0"/>
        <v>100</v>
      </c>
      <c r="V20" s="8" t="s">
        <v>211</v>
      </c>
      <c r="W20" s="153">
        <f>INDEX(Tab_Def_Flows[[Flow_ID]:[CC_DM_source]],MATCH(Tab_Data_Flows[[#This Row],[Flow_Name]],Tab_Def_Flows[Flow_Name],0),11)</f>
        <v>0</v>
      </c>
      <c r="X20" s="7" t="str">
        <f>Tab_Data_Flows[[#This Row],[Flow_ID]]&amp;"_"&amp;"WC_"&amp;Tab_Data_Flows[[#This Row],[Flow_Data_Year]]</f>
        <v>F_12_00_WC_2018</v>
      </c>
      <c r="Y20" s="7">
        <f>IF(D20="Yes",U20*Tab_Data_Flows[[#This Row],[WC_'[%']]],"N.A.")</f>
        <v>0</v>
      </c>
      <c r="Z20" s="7" t="str">
        <f>Tab_Data_Flows[[#This Row],[UoM_Flow_Py]]</f>
        <v>Mg</v>
      </c>
      <c r="AA20" s="153">
        <f>INDEX(Tab_Def_Flows[[Flow_ID]:[CC_DM_source]],MATCH(Tab_Data_Flows[[#This Row],[Flow_Name]],Tab_Def_Flows[Flow_Name],0),14)</f>
        <v>1</v>
      </c>
      <c r="AB20" s="7" t="str">
        <f>Tab_Data_Flows[[#This Row],[Flow_ID]]&amp;"_"&amp;"DM_"&amp;Tab_Data_Flows[[#This Row],[Flow_Data_Year]]</f>
        <v>F_12_00_DM_2018</v>
      </c>
      <c r="AC20" s="7">
        <f>IF(E20="Yes",AA20*Tab_Data_Flows[[#This Row],[Flow_Material]],"N.A.")</f>
        <v>100</v>
      </c>
      <c r="AD20" s="7" t="str">
        <f>Tab_Data_Flows[[#This Row],[UoM_Flow_Py]]</f>
        <v>Mg</v>
      </c>
      <c r="AE20" s="153">
        <f>INDEX(Tab_Def_Flows[[Flow_ID]:[CC_DM_source]],MATCH(Tab_Data_Flows[[#This Row],[Flow_Name]],Tab_Def_Flows[Flow_Name],0),17)</f>
        <v>0.8</v>
      </c>
      <c r="AF20" s="7" t="str">
        <f>Tab_Data_Flows[[#This Row],[Flow_ID]]&amp;"_"&amp;"CC_"&amp;Tab_Data_Flows[[#This Row],[Flow_Data_Year]]</f>
        <v>F_12_00_CC_2018</v>
      </c>
      <c r="AG20" s="7">
        <f>IF(F20="Yes",AE20*Tab_Data_Flows[[#This Row],[Flow_Material]]*Tab_Data_Flows[[#This Row],[DM_'[%']]],"N.A.")</f>
        <v>80</v>
      </c>
      <c r="AH20" s="7" t="str">
        <f>Tab_Data_Flows[[#This Row],[UoM_Flow_Py]]</f>
        <v>Mg</v>
      </c>
      <c r="AI20"/>
    </row>
    <row r="21" spans="1:35" x14ac:dyDescent="0.25">
      <c r="A21" s="9">
        <f t="shared" si="1"/>
        <v>20</v>
      </c>
      <c r="B21" s="7" t="str">
        <f>_xlfn.XLOOKUP(C21,Tab_Def_Flows[Flow_Name],Tab_Def_Flows[Flow_ID],,0,)</f>
        <v>F_12_00</v>
      </c>
      <c r="C21" s="8" t="s">
        <v>605</v>
      </c>
      <c r="D21" s="10" t="str">
        <f>_xlfn.XLOOKUP(C21,Tab_Def_Flows[Flow_Name],Tab_Def_Flows[WC?],,0,)</f>
        <v>Yes</v>
      </c>
      <c r="E21" s="10" t="str">
        <f>_xlfn.XLOOKUP(C21,Tab_Def_Flows[Flow_Name],Tab_Def_Flows[DM?],,0,)</f>
        <v>Yes</v>
      </c>
      <c r="F21" s="10" t="str">
        <f>_xlfn.XLOOKUP(C21,Tab_Def_Flows[Flow_Name],Tab_Def_Flows[CC?],,0,)</f>
        <v>Yes</v>
      </c>
      <c r="G21" s="8">
        <v>2019</v>
      </c>
      <c r="H21" s="26">
        <v>100</v>
      </c>
      <c r="I21" s="8"/>
      <c r="J21" s="18"/>
      <c r="K21" s="8" t="e">
        <f>INDEX(#REF!,MATCH(Tab_Data_Flows[[#This Row],[Flow_Name]],#REF!,0),12)</f>
        <v>#REF!</v>
      </c>
      <c r="L21" s="8" t="e">
        <f>MATCH(Tab_Data_Flows[[#This Row],[Flow_Name]],#REF!,0)</f>
        <v>#REF!</v>
      </c>
      <c r="M21" s="8"/>
      <c r="N21" s="8"/>
      <c r="O21" s="8"/>
      <c r="P21" s="8"/>
      <c r="Q21" s="8" t="s">
        <v>7</v>
      </c>
      <c r="R21" s="8"/>
      <c r="S21" s="8"/>
      <c r="T21" s="7" t="str">
        <f>Tab_Data_Flows[[#This Row],[Flow_ID]]&amp;"_"&amp;"material_"&amp;Tab_Data_Flows[[#This Row],[Flow_Data_Year]]</f>
        <v>F_12_00_material_2019</v>
      </c>
      <c r="U21" s="16">
        <f t="shared" si="0"/>
        <v>100</v>
      </c>
      <c r="V21" s="8" t="s">
        <v>211</v>
      </c>
      <c r="W21" s="153">
        <f>INDEX(Tab_Def_Flows[[Flow_ID]:[CC_DM_source]],MATCH(Tab_Data_Flows[[#This Row],[Flow_Name]],Tab_Def_Flows[Flow_Name],0),11)</f>
        <v>0</v>
      </c>
      <c r="X21" s="7" t="str">
        <f>Tab_Data_Flows[[#This Row],[Flow_ID]]&amp;"_"&amp;"WC_"&amp;Tab_Data_Flows[[#This Row],[Flow_Data_Year]]</f>
        <v>F_12_00_WC_2019</v>
      </c>
      <c r="Y21" s="7">
        <f>IF(D21="Yes",U21*Tab_Data_Flows[[#This Row],[WC_'[%']]],"N.A.")</f>
        <v>0</v>
      </c>
      <c r="Z21" s="7" t="str">
        <f>Tab_Data_Flows[[#This Row],[UoM_Flow_Py]]</f>
        <v>Mg</v>
      </c>
      <c r="AA21" s="153">
        <f>INDEX(Tab_Def_Flows[[Flow_ID]:[CC_DM_source]],MATCH(Tab_Data_Flows[[#This Row],[Flow_Name]],Tab_Def_Flows[Flow_Name],0),14)</f>
        <v>1</v>
      </c>
      <c r="AB21" s="7" t="str">
        <f>Tab_Data_Flows[[#This Row],[Flow_ID]]&amp;"_"&amp;"DM_"&amp;Tab_Data_Flows[[#This Row],[Flow_Data_Year]]</f>
        <v>F_12_00_DM_2019</v>
      </c>
      <c r="AC21" s="7">
        <f>IF(E21="Yes",AA21*Tab_Data_Flows[[#This Row],[Flow_Material]],"N.A.")</f>
        <v>100</v>
      </c>
      <c r="AD21" s="7" t="str">
        <f>Tab_Data_Flows[[#This Row],[UoM_Flow_Py]]</f>
        <v>Mg</v>
      </c>
      <c r="AE21" s="153">
        <f>INDEX(Tab_Def_Flows[[Flow_ID]:[CC_DM_source]],MATCH(Tab_Data_Flows[[#This Row],[Flow_Name]],Tab_Def_Flows[Flow_Name],0),17)</f>
        <v>0.8</v>
      </c>
      <c r="AF21" s="7" t="str">
        <f>Tab_Data_Flows[[#This Row],[Flow_ID]]&amp;"_"&amp;"CC_"&amp;Tab_Data_Flows[[#This Row],[Flow_Data_Year]]</f>
        <v>F_12_00_CC_2019</v>
      </c>
      <c r="AG21" s="7">
        <f>IF(F21="Yes",AE21*Tab_Data_Flows[[#This Row],[Flow_Material]]*Tab_Data_Flows[[#This Row],[DM_'[%']]],"N.A.")</f>
        <v>80</v>
      </c>
      <c r="AH21" s="7" t="str">
        <f>Tab_Data_Flows[[#This Row],[UoM_Flow_Py]]</f>
        <v>Mg</v>
      </c>
      <c r="AI21"/>
    </row>
    <row r="22" spans="1:35" x14ac:dyDescent="0.25">
      <c r="A22" s="9">
        <f t="shared" si="1"/>
        <v>21</v>
      </c>
      <c r="B22" s="7" t="str">
        <f>_xlfn.XLOOKUP(C22,Tab_Def_Flows[Flow_Name],Tab_Def_Flows[Flow_ID],,0,)</f>
        <v>F_12_00</v>
      </c>
      <c r="C22" s="8" t="s">
        <v>605</v>
      </c>
      <c r="D22" s="10" t="str">
        <f>_xlfn.XLOOKUP(C22,Tab_Def_Flows[Flow_Name],Tab_Def_Flows[WC?],,0,)</f>
        <v>Yes</v>
      </c>
      <c r="E22" s="10" t="str">
        <f>_xlfn.XLOOKUP(C22,Tab_Def_Flows[Flow_Name],Tab_Def_Flows[DM?],,0,)</f>
        <v>Yes</v>
      </c>
      <c r="F22" s="10" t="str">
        <f>_xlfn.XLOOKUP(C22,Tab_Def_Flows[Flow_Name],Tab_Def_Flows[CC?],,0,)</f>
        <v>Yes</v>
      </c>
      <c r="G22" s="8">
        <v>2020</v>
      </c>
      <c r="H22" s="26">
        <v>100</v>
      </c>
      <c r="I22" s="8"/>
      <c r="J22" s="18"/>
      <c r="K22" s="8" t="e">
        <f>INDEX(#REF!,MATCH(Tab_Data_Flows[[#This Row],[Flow_Name]],#REF!,0),12)</f>
        <v>#REF!</v>
      </c>
      <c r="L22" s="8" t="e">
        <f>MATCH(Tab_Data_Flows[[#This Row],[Flow_Name]],#REF!,0)</f>
        <v>#REF!</v>
      </c>
      <c r="M22" s="8"/>
      <c r="N22" s="8"/>
      <c r="O22" s="8"/>
      <c r="P22" s="8"/>
      <c r="Q22" s="8" t="s">
        <v>7</v>
      </c>
      <c r="R22" s="8"/>
      <c r="S22" s="8"/>
      <c r="T22" s="7" t="str">
        <f>Tab_Data_Flows[[#This Row],[Flow_ID]]&amp;"_"&amp;"material_"&amp;Tab_Data_Flows[[#This Row],[Flow_Data_Year]]</f>
        <v>F_12_00_material_2020</v>
      </c>
      <c r="U22" s="16">
        <f t="shared" si="0"/>
        <v>100</v>
      </c>
      <c r="V22" s="8" t="s">
        <v>211</v>
      </c>
      <c r="W22" s="153">
        <f>INDEX(Tab_Def_Flows[[Flow_ID]:[CC_DM_source]],MATCH(Tab_Data_Flows[[#This Row],[Flow_Name]],Tab_Def_Flows[Flow_Name],0),11)</f>
        <v>0</v>
      </c>
      <c r="X22" s="7" t="str">
        <f>Tab_Data_Flows[[#This Row],[Flow_ID]]&amp;"_"&amp;"WC_"&amp;Tab_Data_Flows[[#This Row],[Flow_Data_Year]]</f>
        <v>F_12_00_WC_2020</v>
      </c>
      <c r="Y22" s="7">
        <f>IF(D22="Yes",U22*Tab_Data_Flows[[#This Row],[WC_'[%']]],"N.A.")</f>
        <v>0</v>
      </c>
      <c r="Z22" s="7" t="str">
        <f>Tab_Data_Flows[[#This Row],[UoM_Flow_Py]]</f>
        <v>Mg</v>
      </c>
      <c r="AA22" s="153">
        <f>INDEX(Tab_Def_Flows[[Flow_ID]:[CC_DM_source]],MATCH(Tab_Data_Flows[[#This Row],[Flow_Name]],Tab_Def_Flows[Flow_Name],0),14)</f>
        <v>1</v>
      </c>
      <c r="AB22" s="7" t="str">
        <f>Tab_Data_Flows[[#This Row],[Flow_ID]]&amp;"_"&amp;"DM_"&amp;Tab_Data_Flows[[#This Row],[Flow_Data_Year]]</f>
        <v>F_12_00_DM_2020</v>
      </c>
      <c r="AC22" s="7">
        <f>IF(E22="Yes",AA22*Tab_Data_Flows[[#This Row],[Flow_Material]],"N.A.")</f>
        <v>100</v>
      </c>
      <c r="AD22" s="7" t="str">
        <f>Tab_Data_Flows[[#This Row],[UoM_Flow_Py]]</f>
        <v>Mg</v>
      </c>
      <c r="AE22" s="153">
        <f>INDEX(Tab_Def_Flows[[Flow_ID]:[CC_DM_source]],MATCH(Tab_Data_Flows[[#This Row],[Flow_Name]],Tab_Def_Flows[Flow_Name],0),17)</f>
        <v>0.8</v>
      </c>
      <c r="AF22" s="7" t="str">
        <f>Tab_Data_Flows[[#This Row],[Flow_ID]]&amp;"_"&amp;"CC_"&amp;Tab_Data_Flows[[#This Row],[Flow_Data_Year]]</f>
        <v>F_12_00_CC_2020</v>
      </c>
      <c r="AG22" s="7">
        <f>IF(F22="Yes",AE22*Tab_Data_Flows[[#This Row],[Flow_Material]]*Tab_Data_Flows[[#This Row],[DM_'[%']]],"N.A.")</f>
        <v>80</v>
      </c>
      <c r="AH22" s="7" t="str">
        <f>Tab_Data_Flows[[#This Row],[UoM_Flow_Py]]</f>
        <v>Mg</v>
      </c>
      <c r="AI22"/>
    </row>
    <row r="23" spans="1:35" x14ac:dyDescent="0.25">
      <c r="A23" s="9">
        <f t="shared" si="1"/>
        <v>22</v>
      </c>
      <c r="B23" s="7" t="str">
        <f>_xlfn.XLOOKUP(C23,Tab_Def_Flows[Flow_Name],Tab_Def_Flows[Flow_ID],,0,)</f>
        <v>F_12_00</v>
      </c>
      <c r="C23" s="8" t="s">
        <v>605</v>
      </c>
      <c r="D23" s="10" t="str">
        <f>_xlfn.XLOOKUP(C23,Tab_Def_Flows[Flow_Name],Tab_Def_Flows[WC?],,0,)</f>
        <v>Yes</v>
      </c>
      <c r="E23" s="10" t="str">
        <f>_xlfn.XLOOKUP(C23,Tab_Def_Flows[Flow_Name],Tab_Def_Flows[DM?],,0,)</f>
        <v>Yes</v>
      </c>
      <c r="F23" s="10" t="str">
        <f>_xlfn.XLOOKUP(C23,Tab_Def_Flows[Flow_Name],Tab_Def_Flows[CC?],,0,)</f>
        <v>Yes</v>
      </c>
      <c r="G23" s="8">
        <v>2021</v>
      </c>
      <c r="H23" s="26">
        <v>100</v>
      </c>
      <c r="I23" s="8"/>
      <c r="J23" s="18"/>
      <c r="K23" s="8" t="e">
        <f>INDEX(#REF!,MATCH(Tab_Data_Flows[[#This Row],[Flow_Name]],#REF!,0),12)</f>
        <v>#REF!</v>
      </c>
      <c r="L23" s="8" t="e">
        <f>MATCH(Tab_Data_Flows[[#This Row],[Flow_Name]],#REF!,0)</f>
        <v>#REF!</v>
      </c>
      <c r="M23" s="8"/>
      <c r="N23" s="8"/>
      <c r="O23" s="8"/>
      <c r="P23" s="8"/>
      <c r="Q23" s="8" t="s">
        <v>7</v>
      </c>
      <c r="R23" s="8"/>
      <c r="S23" s="8"/>
      <c r="T23" s="7" t="str">
        <f>Tab_Data_Flows[[#This Row],[Flow_ID]]&amp;"_"&amp;"material_"&amp;Tab_Data_Flows[[#This Row],[Flow_Data_Year]]</f>
        <v>F_12_00_material_2021</v>
      </c>
      <c r="U23" s="16">
        <f t="shared" si="0"/>
        <v>100</v>
      </c>
      <c r="V23" s="8" t="s">
        <v>211</v>
      </c>
      <c r="W23" s="153">
        <f>INDEX(Tab_Def_Flows[[Flow_ID]:[CC_DM_source]],MATCH(Tab_Data_Flows[[#This Row],[Flow_Name]],Tab_Def_Flows[Flow_Name],0),11)</f>
        <v>0</v>
      </c>
      <c r="X23" s="7" t="str">
        <f>Tab_Data_Flows[[#This Row],[Flow_ID]]&amp;"_"&amp;"WC_"&amp;Tab_Data_Flows[[#This Row],[Flow_Data_Year]]</f>
        <v>F_12_00_WC_2021</v>
      </c>
      <c r="Y23" s="7">
        <f>IF(D23="Yes",U23*Tab_Data_Flows[[#This Row],[WC_'[%']]],"N.A.")</f>
        <v>0</v>
      </c>
      <c r="Z23" s="7" t="str">
        <f>Tab_Data_Flows[[#This Row],[UoM_Flow_Py]]</f>
        <v>Mg</v>
      </c>
      <c r="AA23" s="153">
        <f>INDEX(Tab_Def_Flows[[Flow_ID]:[CC_DM_source]],MATCH(Tab_Data_Flows[[#This Row],[Flow_Name]],Tab_Def_Flows[Flow_Name],0),14)</f>
        <v>1</v>
      </c>
      <c r="AB23" s="7" t="str">
        <f>Tab_Data_Flows[[#This Row],[Flow_ID]]&amp;"_"&amp;"DM_"&amp;Tab_Data_Flows[[#This Row],[Flow_Data_Year]]</f>
        <v>F_12_00_DM_2021</v>
      </c>
      <c r="AC23" s="7">
        <f>IF(E23="Yes",AA23*Tab_Data_Flows[[#This Row],[Flow_Material]],"N.A.")</f>
        <v>100</v>
      </c>
      <c r="AD23" s="7" t="str">
        <f>Tab_Data_Flows[[#This Row],[UoM_Flow_Py]]</f>
        <v>Mg</v>
      </c>
      <c r="AE23" s="153">
        <f>INDEX(Tab_Def_Flows[[Flow_ID]:[CC_DM_source]],MATCH(Tab_Data_Flows[[#This Row],[Flow_Name]],Tab_Def_Flows[Flow_Name],0),17)</f>
        <v>0.8</v>
      </c>
      <c r="AF23" s="7" t="str">
        <f>Tab_Data_Flows[[#This Row],[Flow_ID]]&amp;"_"&amp;"CC_"&amp;Tab_Data_Flows[[#This Row],[Flow_Data_Year]]</f>
        <v>F_12_00_CC_2021</v>
      </c>
      <c r="AG23" s="7">
        <f>IF(F23="Yes",AE23*Tab_Data_Flows[[#This Row],[Flow_Material]]*Tab_Data_Flows[[#This Row],[DM_'[%']]],"N.A.")</f>
        <v>80</v>
      </c>
      <c r="AH23" s="7" t="str">
        <f>Tab_Data_Flows[[#This Row],[UoM_Flow_Py]]</f>
        <v>Mg</v>
      </c>
      <c r="AI23"/>
    </row>
    <row r="24" spans="1:35" x14ac:dyDescent="0.25">
      <c r="A24" s="9">
        <f t="shared" si="1"/>
        <v>23</v>
      </c>
      <c r="B24" s="7" t="str">
        <f>_xlfn.XLOOKUP(C24,Tab_Def_Flows[Flow_Name],Tab_Def_Flows[Flow_ID],,0,)</f>
        <v>F_12_00</v>
      </c>
      <c r="C24" s="8" t="s">
        <v>605</v>
      </c>
      <c r="D24" s="10" t="str">
        <f>_xlfn.XLOOKUP(C24,Tab_Def_Flows[Flow_Name],Tab_Def_Flows[WC?],,0,)</f>
        <v>Yes</v>
      </c>
      <c r="E24" s="10" t="str">
        <f>_xlfn.XLOOKUP(C24,Tab_Def_Flows[Flow_Name],Tab_Def_Flows[DM?],,0,)</f>
        <v>Yes</v>
      </c>
      <c r="F24" s="10" t="str">
        <f>_xlfn.XLOOKUP(C24,Tab_Def_Flows[Flow_Name],Tab_Def_Flows[CC?],,0,)</f>
        <v>Yes</v>
      </c>
      <c r="G24" s="8">
        <v>2022</v>
      </c>
      <c r="H24" s="26">
        <v>100</v>
      </c>
      <c r="I24" s="8"/>
      <c r="J24" s="18"/>
      <c r="K24" s="8" t="e">
        <f>INDEX(#REF!,MATCH(Tab_Data_Flows[[#This Row],[Flow_Name]],#REF!,0),12)</f>
        <v>#REF!</v>
      </c>
      <c r="L24" s="8" t="e">
        <f>MATCH(Tab_Data_Flows[[#This Row],[Flow_Name]],#REF!,0)</f>
        <v>#REF!</v>
      </c>
      <c r="M24" s="8"/>
      <c r="N24" s="8"/>
      <c r="O24" s="8"/>
      <c r="P24" s="8"/>
      <c r="Q24" s="8" t="s">
        <v>7</v>
      </c>
      <c r="R24" s="8"/>
      <c r="S24" s="8"/>
      <c r="T24" s="7" t="str">
        <f>Tab_Data_Flows[[#This Row],[Flow_ID]]&amp;"_"&amp;"material_"&amp;Tab_Data_Flows[[#This Row],[Flow_Data_Year]]</f>
        <v>F_12_00_material_2022</v>
      </c>
      <c r="U24" s="16">
        <f t="shared" si="0"/>
        <v>100</v>
      </c>
      <c r="V24" s="8" t="s">
        <v>211</v>
      </c>
      <c r="W24" s="153">
        <f>INDEX(Tab_Def_Flows[[Flow_ID]:[CC_DM_source]],MATCH(Tab_Data_Flows[[#This Row],[Flow_Name]],Tab_Def_Flows[Flow_Name],0),11)</f>
        <v>0</v>
      </c>
      <c r="X24" s="7" t="str">
        <f>Tab_Data_Flows[[#This Row],[Flow_ID]]&amp;"_"&amp;"WC_"&amp;Tab_Data_Flows[[#This Row],[Flow_Data_Year]]</f>
        <v>F_12_00_WC_2022</v>
      </c>
      <c r="Y24" s="7">
        <f>IF(D24="Yes",U24*Tab_Data_Flows[[#This Row],[WC_'[%']]],"N.A.")</f>
        <v>0</v>
      </c>
      <c r="Z24" s="7" t="str">
        <f>Tab_Data_Flows[[#This Row],[UoM_Flow_Py]]</f>
        <v>Mg</v>
      </c>
      <c r="AA24" s="153">
        <f>INDEX(Tab_Def_Flows[[Flow_ID]:[CC_DM_source]],MATCH(Tab_Data_Flows[[#This Row],[Flow_Name]],Tab_Def_Flows[Flow_Name],0),14)</f>
        <v>1</v>
      </c>
      <c r="AB24" s="7" t="str">
        <f>Tab_Data_Flows[[#This Row],[Flow_ID]]&amp;"_"&amp;"DM_"&amp;Tab_Data_Flows[[#This Row],[Flow_Data_Year]]</f>
        <v>F_12_00_DM_2022</v>
      </c>
      <c r="AC24" s="7">
        <f>IF(E24="Yes",AA24*Tab_Data_Flows[[#This Row],[Flow_Material]],"N.A.")</f>
        <v>100</v>
      </c>
      <c r="AD24" s="7" t="str">
        <f>Tab_Data_Flows[[#This Row],[UoM_Flow_Py]]</f>
        <v>Mg</v>
      </c>
      <c r="AE24" s="153">
        <f>INDEX(Tab_Def_Flows[[Flow_ID]:[CC_DM_source]],MATCH(Tab_Data_Flows[[#This Row],[Flow_Name]],Tab_Def_Flows[Flow_Name],0),17)</f>
        <v>0.8</v>
      </c>
      <c r="AF24" s="7" t="str">
        <f>Tab_Data_Flows[[#This Row],[Flow_ID]]&amp;"_"&amp;"CC_"&amp;Tab_Data_Flows[[#This Row],[Flow_Data_Year]]</f>
        <v>F_12_00_CC_2022</v>
      </c>
      <c r="AG24" s="7">
        <f>IF(F24="Yes",AE24*Tab_Data_Flows[[#This Row],[Flow_Material]]*Tab_Data_Flows[[#This Row],[DM_'[%']]],"N.A.")</f>
        <v>80</v>
      </c>
      <c r="AH24" s="7" t="str">
        <f>Tab_Data_Flows[[#This Row],[UoM_Flow_Py]]</f>
        <v>Mg</v>
      </c>
      <c r="AI24"/>
    </row>
    <row r="25" spans="1:35" x14ac:dyDescent="0.25">
      <c r="A25" s="9">
        <f t="shared" si="1"/>
        <v>24</v>
      </c>
      <c r="B25" s="7" t="str">
        <f>_xlfn.XLOOKUP(C25,Tab_Def_Flows[Flow_Name],Tab_Def_Flows[Flow_ID],,0,)</f>
        <v>F_12_00</v>
      </c>
      <c r="C25" s="8" t="s">
        <v>605</v>
      </c>
      <c r="D25" s="10" t="str">
        <f>_xlfn.XLOOKUP(C25,Tab_Def_Flows[Flow_Name],Tab_Def_Flows[WC?],,0,)</f>
        <v>Yes</v>
      </c>
      <c r="E25" s="10" t="str">
        <f>_xlfn.XLOOKUP(C25,Tab_Def_Flows[Flow_Name],Tab_Def_Flows[DM?],,0,)</f>
        <v>Yes</v>
      </c>
      <c r="F25" s="10" t="str">
        <f>_xlfn.XLOOKUP(C25,Tab_Def_Flows[Flow_Name],Tab_Def_Flows[CC?],,0,)</f>
        <v>Yes</v>
      </c>
      <c r="G25" s="8">
        <v>2023</v>
      </c>
      <c r="H25" s="26">
        <v>100</v>
      </c>
      <c r="I25" s="8"/>
      <c r="J25" s="18"/>
      <c r="K25" s="8" t="e">
        <f>INDEX(#REF!,MATCH(Tab_Data_Flows[[#This Row],[Flow_Name]],#REF!,0),12)</f>
        <v>#REF!</v>
      </c>
      <c r="L25" s="8" t="e">
        <f>MATCH(Tab_Data_Flows[[#This Row],[Flow_Name]],#REF!,0)</f>
        <v>#REF!</v>
      </c>
      <c r="M25" s="8"/>
      <c r="N25" s="8"/>
      <c r="O25" s="8"/>
      <c r="P25" s="8"/>
      <c r="Q25" s="8" t="s">
        <v>7</v>
      </c>
      <c r="R25" s="8"/>
      <c r="S25" s="8"/>
      <c r="T25" s="7" t="str">
        <f>Tab_Data_Flows[[#This Row],[Flow_ID]]&amp;"_"&amp;"material_"&amp;Tab_Data_Flows[[#This Row],[Flow_Data_Year]]</f>
        <v>F_12_00_material_2023</v>
      </c>
      <c r="U25" s="16">
        <f t="shared" si="0"/>
        <v>100</v>
      </c>
      <c r="V25" s="8" t="s">
        <v>211</v>
      </c>
      <c r="W25" s="153">
        <f>INDEX(Tab_Def_Flows[[Flow_ID]:[CC_DM_source]],MATCH(Tab_Data_Flows[[#This Row],[Flow_Name]],Tab_Def_Flows[Flow_Name],0),11)</f>
        <v>0</v>
      </c>
      <c r="X25" s="7" t="str">
        <f>Tab_Data_Flows[[#This Row],[Flow_ID]]&amp;"_"&amp;"WC_"&amp;Tab_Data_Flows[[#This Row],[Flow_Data_Year]]</f>
        <v>F_12_00_WC_2023</v>
      </c>
      <c r="Y25" s="7">
        <f>IF(D25="Yes",U25*Tab_Data_Flows[[#This Row],[WC_'[%']]],"N.A.")</f>
        <v>0</v>
      </c>
      <c r="Z25" s="7" t="str">
        <f>Tab_Data_Flows[[#This Row],[UoM_Flow_Py]]</f>
        <v>Mg</v>
      </c>
      <c r="AA25" s="153">
        <f>INDEX(Tab_Def_Flows[[Flow_ID]:[CC_DM_source]],MATCH(Tab_Data_Flows[[#This Row],[Flow_Name]],Tab_Def_Flows[Flow_Name],0),14)</f>
        <v>1</v>
      </c>
      <c r="AB25" s="7" t="str">
        <f>Tab_Data_Flows[[#This Row],[Flow_ID]]&amp;"_"&amp;"DM_"&amp;Tab_Data_Flows[[#This Row],[Flow_Data_Year]]</f>
        <v>F_12_00_DM_2023</v>
      </c>
      <c r="AC25" s="7">
        <f>IF(E25="Yes",AA25*Tab_Data_Flows[[#This Row],[Flow_Material]],"N.A.")</f>
        <v>100</v>
      </c>
      <c r="AD25" s="7" t="str">
        <f>Tab_Data_Flows[[#This Row],[UoM_Flow_Py]]</f>
        <v>Mg</v>
      </c>
      <c r="AE25" s="153">
        <f>INDEX(Tab_Def_Flows[[Flow_ID]:[CC_DM_source]],MATCH(Tab_Data_Flows[[#This Row],[Flow_Name]],Tab_Def_Flows[Flow_Name],0),17)</f>
        <v>0.8</v>
      </c>
      <c r="AF25" s="7" t="str">
        <f>Tab_Data_Flows[[#This Row],[Flow_ID]]&amp;"_"&amp;"CC_"&amp;Tab_Data_Flows[[#This Row],[Flow_Data_Year]]</f>
        <v>F_12_00_CC_2023</v>
      </c>
      <c r="AG25" s="7">
        <f>IF(F25="Yes",AE25*Tab_Data_Flows[[#This Row],[Flow_Material]]*Tab_Data_Flows[[#This Row],[DM_'[%']]],"N.A.")</f>
        <v>80</v>
      </c>
      <c r="AH25" s="7" t="str">
        <f>Tab_Data_Flows[[#This Row],[UoM_Flow_Py]]</f>
        <v>Mg</v>
      </c>
      <c r="AI25"/>
    </row>
    <row r="26" spans="1:35" x14ac:dyDescent="0.25">
      <c r="A26" s="9">
        <f t="shared" si="1"/>
        <v>25</v>
      </c>
      <c r="B26" s="7" t="str">
        <f>_xlfn.XLOOKUP(C26,Tab_Def_Flows[Flow_Name],Tab_Def_Flows[Flow_ID],,0,)</f>
        <v>F_12_00</v>
      </c>
      <c r="C26" s="8" t="s">
        <v>605</v>
      </c>
      <c r="D26" s="10" t="str">
        <f>_xlfn.XLOOKUP(C26,Tab_Def_Flows[Flow_Name],Tab_Def_Flows[WC?],,0,)</f>
        <v>Yes</v>
      </c>
      <c r="E26" s="10" t="str">
        <f>_xlfn.XLOOKUP(C26,Tab_Def_Flows[Flow_Name],Tab_Def_Flows[DM?],,0,)</f>
        <v>Yes</v>
      </c>
      <c r="F26" s="10" t="str">
        <f>_xlfn.XLOOKUP(C26,Tab_Def_Flows[Flow_Name],Tab_Def_Flows[CC?],,0,)</f>
        <v>Yes</v>
      </c>
      <c r="G26" s="8">
        <v>2024</v>
      </c>
      <c r="H26" s="26">
        <v>100</v>
      </c>
      <c r="I26" s="8"/>
      <c r="J26" s="18"/>
      <c r="K26" s="8" t="e">
        <f>INDEX(#REF!,MATCH(Tab_Data_Flows[[#This Row],[Flow_Name]],#REF!,0),12)</f>
        <v>#REF!</v>
      </c>
      <c r="L26" s="8" t="e">
        <f>MATCH(Tab_Data_Flows[[#This Row],[Flow_Name]],#REF!,0)</f>
        <v>#REF!</v>
      </c>
      <c r="M26" s="8"/>
      <c r="N26" s="8"/>
      <c r="O26" s="8"/>
      <c r="P26" s="8"/>
      <c r="Q26" s="8" t="s">
        <v>7</v>
      </c>
      <c r="R26" s="8"/>
      <c r="S26" s="8"/>
      <c r="T26" s="7" t="str">
        <f>Tab_Data_Flows[[#This Row],[Flow_ID]]&amp;"_"&amp;"material_"&amp;Tab_Data_Flows[[#This Row],[Flow_Data_Year]]</f>
        <v>F_12_00_material_2024</v>
      </c>
      <c r="U26" s="16">
        <f t="shared" si="0"/>
        <v>100</v>
      </c>
      <c r="V26" s="8" t="s">
        <v>211</v>
      </c>
      <c r="W26" s="153">
        <f>INDEX(Tab_Def_Flows[[Flow_ID]:[CC_DM_source]],MATCH(Tab_Data_Flows[[#This Row],[Flow_Name]],Tab_Def_Flows[Flow_Name],0),11)</f>
        <v>0</v>
      </c>
      <c r="X26" s="7" t="str">
        <f>Tab_Data_Flows[[#This Row],[Flow_ID]]&amp;"_"&amp;"WC_"&amp;Tab_Data_Flows[[#This Row],[Flow_Data_Year]]</f>
        <v>F_12_00_WC_2024</v>
      </c>
      <c r="Y26" s="7">
        <f>IF(D26="Yes",U26*Tab_Data_Flows[[#This Row],[WC_'[%']]],"N.A.")</f>
        <v>0</v>
      </c>
      <c r="Z26" s="7" t="str">
        <f>Tab_Data_Flows[[#This Row],[UoM_Flow_Py]]</f>
        <v>Mg</v>
      </c>
      <c r="AA26" s="153">
        <f>INDEX(Tab_Def_Flows[[Flow_ID]:[CC_DM_source]],MATCH(Tab_Data_Flows[[#This Row],[Flow_Name]],Tab_Def_Flows[Flow_Name],0),14)</f>
        <v>1</v>
      </c>
      <c r="AB26" s="7" t="str">
        <f>Tab_Data_Flows[[#This Row],[Flow_ID]]&amp;"_"&amp;"DM_"&amp;Tab_Data_Flows[[#This Row],[Flow_Data_Year]]</f>
        <v>F_12_00_DM_2024</v>
      </c>
      <c r="AC26" s="7">
        <f>IF(E26="Yes",AA26*Tab_Data_Flows[[#This Row],[Flow_Material]],"N.A.")</f>
        <v>100</v>
      </c>
      <c r="AD26" s="7" t="str">
        <f>Tab_Data_Flows[[#This Row],[UoM_Flow_Py]]</f>
        <v>Mg</v>
      </c>
      <c r="AE26" s="153">
        <f>INDEX(Tab_Def_Flows[[Flow_ID]:[CC_DM_source]],MATCH(Tab_Data_Flows[[#This Row],[Flow_Name]],Tab_Def_Flows[Flow_Name],0),17)</f>
        <v>0.8</v>
      </c>
      <c r="AF26" s="7" t="str">
        <f>Tab_Data_Flows[[#This Row],[Flow_ID]]&amp;"_"&amp;"CC_"&amp;Tab_Data_Flows[[#This Row],[Flow_Data_Year]]</f>
        <v>F_12_00_CC_2024</v>
      </c>
      <c r="AG26" s="7">
        <f>IF(F26="Yes",AE26*Tab_Data_Flows[[#This Row],[Flow_Material]]*Tab_Data_Flows[[#This Row],[DM_'[%']]],"N.A.")</f>
        <v>80</v>
      </c>
      <c r="AH26" s="7" t="str">
        <f>Tab_Data_Flows[[#This Row],[UoM_Flow_Py]]</f>
        <v>Mg</v>
      </c>
      <c r="AI26"/>
    </row>
    <row r="27" spans="1:35" x14ac:dyDescent="0.25">
      <c r="A27" s="9">
        <f t="shared" si="1"/>
        <v>26</v>
      </c>
      <c r="B27" s="7" t="str">
        <f>_xlfn.XLOOKUP(C27,Tab_Def_Flows[Flow_Name],Tab_Def_Flows[Flow_ID],,0,)</f>
        <v>F_12_00</v>
      </c>
      <c r="C27" s="8" t="s">
        <v>605</v>
      </c>
      <c r="D27" s="10" t="str">
        <f>_xlfn.XLOOKUP(C27,Tab_Def_Flows[Flow_Name],Tab_Def_Flows[WC?],,0,)</f>
        <v>Yes</v>
      </c>
      <c r="E27" s="10" t="str">
        <f>_xlfn.XLOOKUP(C27,Tab_Def_Flows[Flow_Name],Tab_Def_Flows[DM?],,0,)</f>
        <v>Yes</v>
      </c>
      <c r="F27" s="10" t="str">
        <f>_xlfn.XLOOKUP(C27,Tab_Def_Flows[Flow_Name],Tab_Def_Flows[CC?],,0,)</f>
        <v>Yes</v>
      </c>
      <c r="G27" s="8">
        <v>2025</v>
      </c>
      <c r="H27" s="26">
        <v>100</v>
      </c>
      <c r="I27" s="8"/>
      <c r="J27" s="18"/>
      <c r="K27" s="8" t="e">
        <f>INDEX(#REF!,MATCH(Tab_Data_Flows[[#This Row],[Flow_Name]],#REF!,0),12)</f>
        <v>#REF!</v>
      </c>
      <c r="L27" s="8" t="e">
        <f>MATCH(Tab_Data_Flows[[#This Row],[Flow_Name]],#REF!,0)</f>
        <v>#REF!</v>
      </c>
      <c r="M27" s="8"/>
      <c r="N27" s="8"/>
      <c r="O27" s="8"/>
      <c r="P27" s="8"/>
      <c r="Q27" s="8" t="s">
        <v>7</v>
      </c>
      <c r="R27" s="8"/>
      <c r="S27" s="8"/>
      <c r="T27" s="7" t="str">
        <f>Tab_Data_Flows[[#This Row],[Flow_ID]]&amp;"_"&amp;"material_"&amp;Tab_Data_Flows[[#This Row],[Flow_Data_Year]]</f>
        <v>F_12_00_material_2025</v>
      </c>
      <c r="U27" s="16">
        <f t="shared" si="0"/>
        <v>100</v>
      </c>
      <c r="V27" s="8" t="s">
        <v>211</v>
      </c>
      <c r="W27" s="153">
        <f>INDEX(Tab_Def_Flows[[Flow_ID]:[CC_DM_source]],MATCH(Tab_Data_Flows[[#This Row],[Flow_Name]],Tab_Def_Flows[Flow_Name],0),11)</f>
        <v>0</v>
      </c>
      <c r="X27" s="7" t="str">
        <f>Tab_Data_Flows[[#This Row],[Flow_ID]]&amp;"_"&amp;"WC_"&amp;Tab_Data_Flows[[#This Row],[Flow_Data_Year]]</f>
        <v>F_12_00_WC_2025</v>
      </c>
      <c r="Y27" s="7">
        <f>IF(D27="Yes",U27*Tab_Data_Flows[[#This Row],[WC_'[%']]],"N.A.")</f>
        <v>0</v>
      </c>
      <c r="Z27" s="7" t="str">
        <f>Tab_Data_Flows[[#This Row],[UoM_Flow_Py]]</f>
        <v>Mg</v>
      </c>
      <c r="AA27" s="153">
        <f>INDEX(Tab_Def_Flows[[Flow_ID]:[CC_DM_source]],MATCH(Tab_Data_Flows[[#This Row],[Flow_Name]],Tab_Def_Flows[Flow_Name],0),14)</f>
        <v>1</v>
      </c>
      <c r="AB27" s="7" t="str">
        <f>Tab_Data_Flows[[#This Row],[Flow_ID]]&amp;"_"&amp;"DM_"&amp;Tab_Data_Flows[[#This Row],[Flow_Data_Year]]</f>
        <v>F_12_00_DM_2025</v>
      </c>
      <c r="AC27" s="7">
        <f>IF(E27="Yes",AA27*Tab_Data_Flows[[#This Row],[Flow_Material]],"N.A.")</f>
        <v>100</v>
      </c>
      <c r="AD27" s="7" t="str">
        <f>Tab_Data_Flows[[#This Row],[UoM_Flow_Py]]</f>
        <v>Mg</v>
      </c>
      <c r="AE27" s="153">
        <f>INDEX(Tab_Def_Flows[[Flow_ID]:[CC_DM_source]],MATCH(Tab_Data_Flows[[#This Row],[Flow_Name]],Tab_Def_Flows[Flow_Name],0),17)</f>
        <v>0.8</v>
      </c>
      <c r="AF27" s="7" t="str">
        <f>Tab_Data_Flows[[#This Row],[Flow_ID]]&amp;"_"&amp;"CC_"&amp;Tab_Data_Flows[[#This Row],[Flow_Data_Year]]</f>
        <v>F_12_00_CC_2025</v>
      </c>
      <c r="AG27" s="7">
        <f>IF(F27="Yes",AE27*Tab_Data_Flows[[#This Row],[Flow_Material]]*Tab_Data_Flows[[#This Row],[DM_'[%']]],"N.A.")</f>
        <v>80</v>
      </c>
      <c r="AH27" s="7" t="str">
        <f>Tab_Data_Flows[[#This Row],[UoM_Flow_Py]]</f>
        <v>Mg</v>
      </c>
      <c r="AI27"/>
    </row>
    <row r="28" spans="1:35" x14ac:dyDescent="0.25">
      <c r="A28" s="9">
        <f t="shared" si="1"/>
        <v>27</v>
      </c>
      <c r="B28" s="7" t="str">
        <f>_xlfn.XLOOKUP(C28,Tab_Def_Flows[Flow_Name],Tab_Def_Flows[Flow_ID],,0,)</f>
        <v>F_12_00</v>
      </c>
      <c r="C28" s="8" t="s">
        <v>605</v>
      </c>
      <c r="D28" s="10" t="str">
        <f>_xlfn.XLOOKUP(C28,Tab_Def_Flows[Flow_Name],Tab_Def_Flows[WC?],,0,)</f>
        <v>Yes</v>
      </c>
      <c r="E28" s="10" t="str">
        <f>_xlfn.XLOOKUP(C28,Tab_Def_Flows[Flow_Name],Tab_Def_Flows[DM?],,0,)</f>
        <v>Yes</v>
      </c>
      <c r="F28" s="10" t="str">
        <f>_xlfn.XLOOKUP(C28,Tab_Def_Flows[Flow_Name],Tab_Def_Flows[CC?],,0,)</f>
        <v>Yes</v>
      </c>
      <c r="G28" s="8">
        <v>2026</v>
      </c>
      <c r="H28" s="26">
        <v>100</v>
      </c>
      <c r="I28" s="8"/>
      <c r="J28" s="18"/>
      <c r="K28" s="8" t="e">
        <f>INDEX(#REF!,MATCH(Tab_Data_Flows[[#This Row],[Flow_Name]],#REF!,0),12)</f>
        <v>#REF!</v>
      </c>
      <c r="L28" s="8" t="e">
        <f>MATCH(Tab_Data_Flows[[#This Row],[Flow_Name]],#REF!,0)</f>
        <v>#REF!</v>
      </c>
      <c r="M28" s="8"/>
      <c r="N28" s="8"/>
      <c r="O28" s="8"/>
      <c r="P28" s="8"/>
      <c r="Q28" s="8" t="s">
        <v>7</v>
      </c>
      <c r="R28" s="8"/>
      <c r="S28" s="8"/>
      <c r="T28" s="7" t="str">
        <f>Tab_Data_Flows[[#This Row],[Flow_ID]]&amp;"_"&amp;"material_"&amp;Tab_Data_Flows[[#This Row],[Flow_Data_Year]]</f>
        <v>F_12_00_material_2026</v>
      </c>
      <c r="U28" s="16">
        <f t="shared" si="0"/>
        <v>100</v>
      </c>
      <c r="V28" s="8" t="s">
        <v>211</v>
      </c>
      <c r="W28" s="153">
        <f>INDEX(Tab_Def_Flows[[Flow_ID]:[CC_DM_source]],MATCH(Tab_Data_Flows[[#This Row],[Flow_Name]],Tab_Def_Flows[Flow_Name],0),11)</f>
        <v>0</v>
      </c>
      <c r="X28" s="7" t="str">
        <f>Tab_Data_Flows[[#This Row],[Flow_ID]]&amp;"_"&amp;"WC_"&amp;Tab_Data_Flows[[#This Row],[Flow_Data_Year]]</f>
        <v>F_12_00_WC_2026</v>
      </c>
      <c r="Y28" s="7">
        <f>IF(D28="Yes",U28*Tab_Data_Flows[[#This Row],[WC_'[%']]],"N.A.")</f>
        <v>0</v>
      </c>
      <c r="Z28" s="7" t="str">
        <f>Tab_Data_Flows[[#This Row],[UoM_Flow_Py]]</f>
        <v>Mg</v>
      </c>
      <c r="AA28" s="153">
        <f>INDEX(Tab_Def_Flows[[Flow_ID]:[CC_DM_source]],MATCH(Tab_Data_Flows[[#This Row],[Flow_Name]],Tab_Def_Flows[Flow_Name],0),14)</f>
        <v>1</v>
      </c>
      <c r="AB28" s="7" t="str">
        <f>Tab_Data_Flows[[#This Row],[Flow_ID]]&amp;"_"&amp;"DM_"&amp;Tab_Data_Flows[[#This Row],[Flow_Data_Year]]</f>
        <v>F_12_00_DM_2026</v>
      </c>
      <c r="AC28" s="7">
        <f>IF(E28="Yes",AA28*Tab_Data_Flows[[#This Row],[Flow_Material]],"N.A.")</f>
        <v>100</v>
      </c>
      <c r="AD28" s="7" t="str">
        <f>Tab_Data_Flows[[#This Row],[UoM_Flow_Py]]</f>
        <v>Mg</v>
      </c>
      <c r="AE28" s="153">
        <f>INDEX(Tab_Def_Flows[[Flow_ID]:[CC_DM_source]],MATCH(Tab_Data_Flows[[#This Row],[Flow_Name]],Tab_Def_Flows[Flow_Name],0),17)</f>
        <v>0.8</v>
      </c>
      <c r="AF28" s="7" t="str">
        <f>Tab_Data_Flows[[#This Row],[Flow_ID]]&amp;"_"&amp;"CC_"&amp;Tab_Data_Flows[[#This Row],[Flow_Data_Year]]</f>
        <v>F_12_00_CC_2026</v>
      </c>
      <c r="AG28" s="7">
        <f>IF(F28="Yes",AE28*Tab_Data_Flows[[#This Row],[Flow_Material]]*Tab_Data_Flows[[#This Row],[DM_'[%']]],"N.A.")</f>
        <v>80</v>
      </c>
      <c r="AH28" s="7" t="str">
        <f>Tab_Data_Flows[[#This Row],[UoM_Flow_Py]]</f>
        <v>Mg</v>
      </c>
      <c r="AI28"/>
    </row>
    <row r="29" spans="1:35" x14ac:dyDescent="0.25">
      <c r="A29" s="9">
        <f t="shared" si="1"/>
        <v>28</v>
      </c>
      <c r="B29" s="7" t="str">
        <f>_xlfn.XLOOKUP(C29,Tab_Def_Flows[Flow_Name],Tab_Def_Flows[Flow_ID],,0,)</f>
        <v>F_12_00</v>
      </c>
      <c r="C29" s="8" t="s">
        <v>605</v>
      </c>
      <c r="D29" s="10" t="str">
        <f>_xlfn.XLOOKUP(C29,Tab_Def_Flows[Flow_Name],Tab_Def_Flows[WC?],,0,)</f>
        <v>Yes</v>
      </c>
      <c r="E29" s="10" t="str">
        <f>_xlfn.XLOOKUP(C29,Tab_Def_Flows[Flow_Name],Tab_Def_Flows[DM?],,0,)</f>
        <v>Yes</v>
      </c>
      <c r="F29" s="10" t="str">
        <f>_xlfn.XLOOKUP(C29,Tab_Def_Flows[Flow_Name],Tab_Def_Flows[CC?],,0,)</f>
        <v>Yes</v>
      </c>
      <c r="G29" s="8">
        <v>2027</v>
      </c>
      <c r="H29" s="26">
        <v>100</v>
      </c>
      <c r="I29" s="8"/>
      <c r="J29" s="18"/>
      <c r="K29" s="8" t="e">
        <f>INDEX(#REF!,MATCH(Tab_Data_Flows[[#This Row],[Flow_Name]],#REF!,0),12)</f>
        <v>#REF!</v>
      </c>
      <c r="L29" s="8" t="e">
        <f>MATCH(Tab_Data_Flows[[#This Row],[Flow_Name]],#REF!,0)</f>
        <v>#REF!</v>
      </c>
      <c r="M29" s="8"/>
      <c r="N29" s="8"/>
      <c r="O29" s="8"/>
      <c r="P29" s="8"/>
      <c r="Q29" s="8" t="s">
        <v>7</v>
      </c>
      <c r="R29" s="8"/>
      <c r="S29" s="8"/>
      <c r="T29" s="7" t="str">
        <f>Tab_Data_Flows[[#This Row],[Flow_ID]]&amp;"_"&amp;"material_"&amp;Tab_Data_Flows[[#This Row],[Flow_Data_Year]]</f>
        <v>F_12_00_material_2027</v>
      </c>
      <c r="U29" s="16">
        <f t="shared" si="0"/>
        <v>100</v>
      </c>
      <c r="V29" s="8" t="s">
        <v>211</v>
      </c>
      <c r="W29" s="153">
        <f>INDEX(Tab_Def_Flows[[Flow_ID]:[CC_DM_source]],MATCH(Tab_Data_Flows[[#This Row],[Flow_Name]],Tab_Def_Flows[Flow_Name],0),11)</f>
        <v>0</v>
      </c>
      <c r="X29" s="7" t="str">
        <f>Tab_Data_Flows[[#This Row],[Flow_ID]]&amp;"_"&amp;"WC_"&amp;Tab_Data_Flows[[#This Row],[Flow_Data_Year]]</f>
        <v>F_12_00_WC_2027</v>
      </c>
      <c r="Y29" s="7">
        <f>IF(D29="Yes",U29*Tab_Data_Flows[[#This Row],[WC_'[%']]],"N.A.")</f>
        <v>0</v>
      </c>
      <c r="Z29" s="7" t="str">
        <f>Tab_Data_Flows[[#This Row],[UoM_Flow_Py]]</f>
        <v>Mg</v>
      </c>
      <c r="AA29" s="153">
        <f>INDEX(Tab_Def_Flows[[Flow_ID]:[CC_DM_source]],MATCH(Tab_Data_Flows[[#This Row],[Flow_Name]],Tab_Def_Flows[Flow_Name],0),14)</f>
        <v>1</v>
      </c>
      <c r="AB29" s="7" t="str">
        <f>Tab_Data_Flows[[#This Row],[Flow_ID]]&amp;"_"&amp;"DM_"&amp;Tab_Data_Flows[[#This Row],[Flow_Data_Year]]</f>
        <v>F_12_00_DM_2027</v>
      </c>
      <c r="AC29" s="7">
        <f>IF(E29="Yes",AA29*Tab_Data_Flows[[#This Row],[Flow_Material]],"N.A.")</f>
        <v>100</v>
      </c>
      <c r="AD29" s="7" t="str">
        <f>Tab_Data_Flows[[#This Row],[UoM_Flow_Py]]</f>
        <v>Mg</v>
      </c>
      <c r="AE29" s="153">
        <f>INDEX(Tab_Def_Flows[[Flow_ID]:[CC_DM_source]],MATCH(Tab_Data_Flows[[#This Row],[Flow_Name]],Tab_Def_Flows[Flow_Name],0),17)</f>
        <v>0.8</v>
      </c>
      <c r="AF29" s="7" t="str">
        <f>Tab_Data_Flows[[#This Row],[Flow_ID]]&amp;"_"&amp;"CC_"&amp;Tab_Data_Flows[[#This Row],[Flow_Data_Year]]</f>
        <v>F_12_00_CC_2027</v>
      </c>
      <c r="AG29" s="7">
        <f>IF(F29="Yes",AE29*Tab_Data_Flows[[#This Row],[Flow_Material]]*Tab_Data_Flows[[#This Row],[DM_'[%']]],"N.A.")</f>
        <v>80</v>
      </c>
      <c r="AH29" s="7" t="str">
        <f>Tab_Data_Flows[[#This Row],[UoM_Flow_Py]]</f>
        <v>Mg</v>
      </c>
      <c r="AI29"/>
    </row>
    <row r="30" spans="1:35" x14ac:dyDescent="0.25">
      <c r="A30" s="9">
        <f t="shared" si="1"/>
        <v>29</v>
      </c>
      <c r="B30" s="7" t="str">
        <f>_xlfn.XLOOKUP(C30,Tab_Def_Flows[Flow_Name],Tab_Def_Flows[Flow_ID],,0,)</f>
        <v>F_12_00</v>
      </c>
      <c r="C30" s="8" t="s">
        <v>605</v>
      </c>
      <c r="D30" s="10" t="str">
        <f>_xlfn.XLOOKUP(C30,Tab_Def_Flows[Flow_Name],Tab_Def_Flows[WC?],,0,)</f>
        <v>Yes</v>
      </c>
      <c r="E30" s="10" t="str">
        <f>_xlfn.XLOOKUP(C30,Tab_Def_Flows[Flow_Name],Tab_Def_Flows[DM?],,0,)</f>
        <v>Yes</v>
      </c>
      <c r="F30" s="10" t="str">
        <f>_xlfn.XLOOKUP(C30,Tab_Def_Flows[Flow_Name],Tab_Def_Flows[CC?],,0,)</f>
        <v>Yes</v>
      </c>
      <c r="G30" s="8">
        <v>2028</v>
      </c>
      <c r="H30" s="26">
        <v>100</v>
      </c>
      <c r="I30" s="8"/>
      <c r="J30" s="18"/>
      <c r="K30" s="8" t="e">
        <f>INDEX(#REF!,MATCH(Tab_Data_Flows[[#This Row],[Flow_Name]],#REF!,0),12)</f>
        <v>#REF!</v>
      </c>
      <c r="L30" s="8" t="e">
        <f>MATCH(Tab_Data_Flows[[#This Row],[Flow_Name]],#REF!,0)</f>
        <v>#REF!</v>
      </c>
      <c r="M30" s="8"/>
      <c r="N30" s="8"/>
      <c r="O30" s="8"/>
      <c r="P30" s="8"/>
      <c r="Q30" s="8" t="s">
        <v>7</v>
      </c>
      <c r="R30" s="8"/>
      <c r="S30" s="8"/>
      <c r="T30" s="7" t="str">
        <f>Tab_Data_Flows[[#This Row],[Flow_ID]]&amp;"_"&amp;"material_"&amp;Tab_Data_Flows[[#This Row],[Flow_Data_Year]]</f>
        <v>F_12_00_material_2028</v>
      </c>
      <c r="U30" s="16">
        <f t="shared" si="0"/>
        <v>100</v>
      </c>
      <c r="V30" s="8" t="s">
        <v>211</v>
      </c>
      <c r="W30" s="153">
        <f>INDEX(Tab_Def_Flows[[Flow_ID]:[CC_DM_source]],MATCH(Tab_Data_Flows[[#This Row],[Flow_Name]],Tab_Def_Flows[Flow_Name],0),11)</f>
        <v>0</v>
      </c>
      <c r="X30" s="7" t="str">
        <f>Tab_Data_Flows[[#This Row],[Flow_ID]]&amp;"_"&amp;"WC_"&amp;Tab_Data_Flows[[#This Row],[Flow_Data_Year]]</f>
        <v>F_12_00_WC_2028</v>
      </c>
      <c r="Y30" s="7">
        <f>IF(D30="Yes",U30*Tab_Data_Flows[[#This Row],[WC_'[%']]],"N.A.")</f>
        <v>0</v>
      </c>
      <c r="Z30" s="7" t="str">
        <f>Tab_Data_Flows[[#This Row],[UoM_Flow_Py]]</f>
        <v>Mg</v>
      </c>
      <c r="AA30" s="153">
        <f>INDEX(Tab_Def_Flows[[Flow_ID]:[CC_DM_source]],MATCH(Tab_Data_Flows[[#This Row],[Flow_Name]],Tab_Def_Flows[Flow_Name],0),14)</f>
        <v>1</v>
      </c>
      <c r="AB30" s="7" t="str">
        <f>Tab_Data_Flows[[#This Row],[Flow_ID]]&amp;"_"&amp;"DM_"&amp;Tab_Data_Flows[[#This Row],[Flow_Data_Year]]</f>
        <v>F_12_00_DM_2028</v>
      </c>
      <c r="AC30" s="7">
        <f>IF(E30="Yes",AA30*Tab_Data_Flows[[#This Row],[Flow_Material]],"N.A.")</f>
        <v>100</v>
      </c>
      <c r="AD30" s="7" t="str">
        <f>Tab_Data_Flows[[#This Row],[UoM_Flow_Py]]</f>
        <v>Mg</v>
      </c>
      <c r="AE30" s="153">
        <f>INDEX(Tab_Def_Flows[[Flow_ID]:[CC_DM_source]],MATCH(Tab_Data_Flows[[#This Row],[Flow_Name]],Tab_Def_Flows[Flow_Name],0),17)</f>
        <v>0.8</v>
      </c>
      <c r="AF30" s="7" t="str">
        <f>Tab_Data_Flows[[#This Row],[Flow_ID]]&amp;"_"&amp;"CC_"&amp;Tab_Data_Flows[[#This Row],[Flow_Data_Year]]</f>
        <v>F_12_00_CC_2028</v>
      </c>
      <c r="AG30" s="7">
        <f>IF(F30="Yes",AE30*Tab_Data_Flows[[#This Row],[Flow_Material]]*Tab_Data_Flows[[#This Row],[DM_'[%']]],"N.A.")</f>
        <v>80</v>
      </c>
      <c r="AH30" s="7" t="str">
        <f>Tab_Data_Flows[[#This Row],[UoM_Flow_Py]]</f>
        <v>Mg</v>
      </c>
      <c r="AI30"/>
    </row>
    <row r="31" spans="1:35" x14ac:dyDescent="0.25">
      <c r="A31" s="9">
        <f t="shared" si="1"/>
        <v>30</v>
      </c>
      <c r="B31" s="7" t="str">
        <f>_xlfn.XLOOKUP(C31,Tab_Def_Flows[Flow_Name],Tab_Def_Flows[Flow_ID],,0,)</f>
        <v>F_12_00</v>
      </c>
      <c r="C31" s="8" t="s">
        <v>605</v>
      </c>
      <c r="D31" s="10" t="str">
        <f>_xlfn.XLOOKUP(C31,Tab_Def_Flows[Flow_Name],Tab_Def_Flows[WC?],,0,)</f>
        <v>Yes</v>
      </c>
      <c r="E31" s="10" t="str">
        <f>_xlfn.XLOOKUP(C31,Tab_Def_Flows[Flow_Name],Tab_Def_Flows[DM?],,0,)</f>
        <v>Yes</v>
      </c>
      <c r="F31" s="10" t="str">
        <f>_xlfn.XLOOKUP(C31,Tab_Def_Flows[Flow_Name],Tab_Def_Flows[CC?],,0,)</f>
        <v>Yes</v>
      </c>
      <c r="G31" s="8">
        <v>2029</v>
      </c>
      <c r="H31" s="26">
        <v>100</v>
      </c>
      <c r="I31" s="8"/>
      <c r="J31" s="18"/>
      <c r="K31" s="8"/>
      <c r="L31" s="8"/>
      <c r="M31" s="8"/>
      <c r="N31" s="8"/>
      <c r="O31" s="8"/>
      <c r="P31" s="8"/>
      <c r="Q31" s="8" t="s">
        <v>7</v>
      </c>
      <c r="R31" s="19"/>
      <c r="S31" s="8"/>
      <c r="T31" s="7" t="str">
        <f>Tab_Data_Flows[[#This Row],[Flow_ID]]&amp;"_"&amp;"material_"&amp;Tab_Data_Flows[[#This Row],[Flow_Data_Year]]</f>
        <v>F_12_00_material_2029</v>
      </c>
      <c r="U31" s="16">
        <f t="shared" si="0"/>
        <v>100</v>
      </c>
      <c r="V31" s="8" t="s">
        <v>211</v>
      </c>
      <c r="W31" s="153">
        <f>INDEX(Tab_Def_Flows[[Flow_ID]:[CC_DM_source]],MATCH(Tab_Data_Flows[[#This Row],[Flow_Name]],Tab_Def_Flows[Flow_Name],0),11)</f>
        <v>0</v>
      </c>
      <c r="X31" s="7" t="str">
        <f>Tab_Data_Flows[[#This Row],[Flow_ID]]&amp;"_"&amp;"WC_"&amp;Tab_Data_Flows[[#This Row],[Flow_Data_Year]]</f>
        <v>F_12_00_WC_2029</v>
      </c>
      <c r="Y31" s="7">
        <f>IF(D31="Yes",U31*Tab_Data_Flows[[#This Row],[WC_'[%']]],"N.A.")</f>
        <v>0</v>
      </c>
      <c r="Z31" s="7" t="str">
        <f>Tab_Data_Flows[[#This Row],[UoM_Flow_Py]]</f>
        <v>Mg</v>
      </c>
      <c r="AA31" s="153">
        <f>INDEX(Tab_Def_Flows[[Flow_ID]:[CC_DM_source]],MATCH(Tab_Data_Flows[[#This Row],[Flow_Name]],Tab_Def_Flows[Flow_Name],0),14)</f>
        <v>1</v>
      </c>
      <c r="AB31" s="7" t="str">
        <f>Tab_Data_Flows[[#This Row],[Flow_ID]]&amp;"_"&amp;"DM_"&amp;Tab_Data_Flows[[#This Row],[Flow_Data_Year]]</f>
        <v>F_12_00_DM_2029</v>
      </c>
      <c r="AC31" s="7">
        <f>IF(E31="Yes",AA31*Tab_Data_Flows[[#This Row],[Flow_Material]],"N.A.")</f>
        <v>100</v>
      </c>
      <c r="AD31" s="7" t="str">
        <f>Tab_Data_Flows[[#This Row],[UoM_Flow_Py]]</f>
        <v>Mg</v>
      </c>
      <c r="AE31" s="153">
        <f>INDEX(Tab_Def_Flows[[Flow_ID]:[CC_DM_source]],MATCH(Tab_Data_Flows[[#This Row],[Flow_Name]],Tab_Def_Flows[Flow_Name],0),17)</f>
        <v>0.8</v>
      </c>
      <c r="AF31" s="7" t="str">
        <f>Tab_Data_Flows[[#This Row],[Flow_ID]]&amp;"_"&amp;"CC_"&amp;Tab_Data_Flows[[#This Row],[Flow_Data_Year]]</f>
        <v>F_12_00_CC_2029</v>
      </c>
      <c r="AG31" s="7">
        <f>IF(F31="Yes",AE31*Tab_Data_Flows[[#This Row],[Flow_Material]]*Tab_Data_Flows[[#This Row],[DM_'[%']]],"N.A.")</f>
        <v>80</v>
      </c>
      <c r="AH31" s="7" t="str">
        <f>Tab_Data_Flows[[#This Row],[UoM_Flow_Py]]</f>
        <v>Mg</v>
      </c>
      <c r="AI31"/>
    </row>
    <row r="32" spans="1:35" x14ac:dyDescent="0.25">
      <c r="A32" s="9">
        <f t="shared" si="1"/>
        <v>31</v>
      </c>
      <c r="B32" s="7" t="str">
        <f>_xlfn.XLOOKUP(C32,Tab_Def_Flows[Flow_Name],Tab_Def_Flows[Flow_ID],,0,)</f>
        <v>F_12_00</v>
      </c>
      <c r="C32" s="8" t="s">
        <v>605</v>
      </c>
      <c r="D32" s="10" t="str">
        <f>_xlfn.XLOOKUP(C32,Tab_Def_Flows[Flow_Name],Tab_Def_Flows[WC?],,0,)</f>
        <v>Yes</v>
      </c>
      <c r="E32" s="10" t="str">
        <f>_xlfn.XLOOKUP(C32,Tab_Def_Flows[Flow_Name],Tab_Def_Flows[DM?],,0,)</f>
        <v>Yes</v>
      </c>
      <c r="F32" s="10" t="str">
        <f>_xlfn.XLOOKUP(C32,Tab_Def_Flows[Flow_Name],Tab_Def_Flows[CC?],,0,)</f>
        <v>Yes</v>
      </c>
      <c r="G32" s="8">
        <v>2030</v>
      </c>
      <c r="H32" s="26">
        <v>100</v>
      </c>
      <c r="I32" s="8"/>
      <c r="J32" s="18"/>
      <c r="K32" s="8"/>
      <c r="L32" s="8"/>
      <c r="M32" s="8"/>
      <c r="N32" s="8"/>
      <c r="O32" s="8"/>
      <c r="P32" s="8"/>
      <c r="Q32" s="8" t="s">
        <v>7</v>
      </c>
      <c r="R32" s="19"/>
      <c r="S32" s="8"/>
      <c r="T32" s="7" t="str">
        <f>Tab_Data_Flows[[#This Row],[Flow_ID]]&amp;"_"&amp;"material_"&amp;Tab_Data_Flows[[#This Row],[Flow_Data_Year]]</f>
        <v>F_12_00_material_2030</v>
      </c>
      <c r="U32" s="16">
        <f t="shared" si="0"/>
        <v>100</v>
      </c>
      <c r="V32" s="8" t="s">
        <v>211</v>
      </c>
      <c r="W32" s="153">
        <f>INDEX(Tab_Def_Flows[[Flow_ID]:[CC_DM_source]],MATCH(Tab_Data_Flows[[#This Row],[Flow_Name]],Tab_Def_Flows[Flow_Name],0),11)</f>
        <v>0</v>
      </c>
      <c r="X32" s="7" t="str">
        <f>Tab_Data_Flows[[#This Row],[Flow_ID]]&amp;"_"&amp;"WC_"&amp;Tab_Data_Flows[[#This Row],[Flow_Data_Year]]</f>
        <v>F_12_00_WC_2030</v>
      </c>
      <c r="Y32" s="7">
        <f>IF(D32="Yes",U32*Tab_Data_Flows[[#This Row],[WC_'[%']]],"N.A.")</f>
        <v>0</v>
      </c>
      <c r="Z32" s="7" t="str">
        <f>Tab_Data_Flows[[#This Row],[UoM_Flow_Py]]</f>
        <v>Mg</v>
      </c>
      <c r="AA32" s="153">
        <f>INDEX(Tab_Def_Flows[[Flow_ID]:[CC_DM_source]],MATCH(Tab_Data_Flows[[#This Row],[Flow_Name]],Tab_Def_Flows[Flow_Name],0),14)</f>
        <v>1</v>
      </c>
      <c r="AB32" s="7" t="str">
        <f>Tab_Data_Flows[[#This Row],[Flow_ID]]&amp;"_"&amp;"DM_"&amp;Tab_Data_Flows[[#This Row],[Flow_Data_Year]]</f>
        <v>F_12_00_DM_2030</v>
      </c>
      <c r="AC32" s="7">
        <f>IF(E32="Yes",AA32*Tab_Data_Flows[[#This Row],[Flow_Material]],"N.A.")</f>
        <v>100</v>
      </c>
      <c r="AD32" s="7" t="str">
        <f>Tab_Data_Flows[[#This Row],[UoM_Flow_Py]]</f>
        <v>Mg</v>
      </c>
      <c r="AE32" s="153">
        <f>INDEX(Tab_Def_Flows[[Flow_ID]:[CC_DM_source]],MATCH(Tab_Data_Flows[[#This Row],[Flow_Name]],Tab_Def_Flows[Flow_Name],0),17)</f>
        <v>0.8</v>
      </c>
      <c r="AF32" s="7" t="str">
        <f>Tab_Data_Flows[[#This Row],[Flow_ID]]&amp;"_"&amp;"CC_"&amp;Tab_Data_Flows[[#This Row],[Flow_Data_Year]]</f>
        <v>F_12_00_CC_2030</v>
      </c>
      <c r="AG32" s="7">
        <f>IF(F32="Yes",AE32*Tab_Data_Flows[[#This Row],[Flow_Material]]*Tab_Data_Flows[[#This Row],[DM_'[%']]],"N.A.")</f>
        <v>80</v>
      </c>
      <c r="AH32" s="7" t="str">
        <f>Tab_Data_Flows[[#This Row],[UoM_Flow_Py]]</f>
        <v>Mg</v>
      </c>
      <c r="AI32"/>
    </row>
    <row r="33" spans="1:35" x14ac:dyDescent="0.25">
      <c r="A33" s="9">
        <f t="shared" si="1"/>
        <v>32</v>
      </c>
      <c r="B33" s="7" t="str">
        <f>_xlfn.XLOOKUP(C33,Tab_Def_Flows[Flow_Name],Tab_Def_Flows[Flow_ID],,0,)</f>
        <v>F_12_00</v>
      </c>
      <c r="C33" s="8" t="s">
        <v>605</v>
      </c>
      <c r="D33" s="10" t="str">
        <f>_xlfn.XLOOKUP(C33,Tab_Def_Flows[Flow_Name],Tab_Def_Flows[WC?],,0,)</f>
        <v>Yes</v>
      </c>
      <c r="E33" s="10" t="str">
        <f>_xlfn.XLOOKUP(C33,Tab_Def_Flows[Flow_Name],Tab_Def_Flows[DM?],,0,)</f>
        <v>Yes</v>
      </c>
      <c r="F33" s="10" t="str">
        <f>_xlfn.XLOOKUP(C33,Tab_Def_Flows[Flow_Name],Tab_Def_Flows[CC?],,0,)</f>
        <v>Yes</v>
      </c>
      <c r="G33" s="8">
        <v>2031</v>
      </c>
      <c r="H33" s="26">
        <v>100</v>
      </c>
      <c r="I33" s="8"/>
      <c r="J33" s="18"/>
      <c r="K33" s="8"/>
      <c r="L33" s="8"/>
      <c r="M33" s="8"/>
      <c r="N33" s="8"/>
      <c r="O33" s="8"/>
      <c r="P33" s="8"/>
      <c r="Q33" s="8" t="s">
        <v>7</v>
      </c>
      <c r="R33" s="19"/>
      <c r="S33" s="8"/>
      <c r="T33" s="7" t="str">
        <f>Tab_Data_Flows[[#This Row],[Flow_ID]]&amp;"_"&amp;"material_"&amp;Tab_Data_Flows[[#This Row],[Flow_Data_Year]]</f>
        <v>F_12_00_material_2031</v>
      </c>
      <c r="U33" s="16">
        <f t="shared" si="0"/>
        <v>100</v>
      </c>
      <c r="V33" s="8" t="s">
        <v>211</v>
      </c>
      <c r="W33" s="153">
        <f>INDEX(Tab_Def_Flows[[Flow_ID]:[CC_DM_source]],MATCH(Tab_Data_Flows[[#This Row],[Flow_Name]],Tab_Def_Flows[Flow_Name],0),11)</f>
        <v>0</v>
      </c>
      <c r="X33" s="7" t="str">
        <f>Tab_Data_Flows[[#This Row],[Flow_ID]]&amp;"_"&amp;"WC_"&amp;Tab_Data_Flows[[#This Row],[Flow_Data_Year]]</f>
        <v>F_12_00_WC_2031</v>
      </c>
      <c r="Y33" s="7">
        <f>IF(D33="Yes",U33*Tab_Data_Flows[[#This Row],[WC_'[%']]],"N.A.")</f>
        <v>0</v>
      </c>
      <c r="Z33" s="7" t="str">
        <f>Tab_Data_Flows[[#This Row],[UoM_Flow_Py]]</f>
        <v>Mg</v>
      </c>
      <c r="AA33" s="153">
        <f>INDEX(Tab_Def_Flows[[Flow_ID]:[CC_DM_source]],MATCH(Tab_Data_Flows[[#This Row],[Flow_Name]],Tab_Def_Flows[Flow_Name],0),14)</f>
        <v>1</v>
      </c>
      <c r="AB33" s="7" t="str">
        <f>Tab_Data_Flows[[#This Row],[Flow_ID]]&amp;"_"&amp;"DM_"&amp;Tab_Data_Flows[[#This Row],[Flow_Data_Year]]</f>
        <v>F_12_00_DM_2031</v>
      </c>
      <c r="AC33" s="7">
        <f>IF(E33="Yes",AA33*Tab_Data_Flows[[#This Row],[Flow_Material]],"N.A.")</f>
        <v>100</v>
      </c>
      <c r="AD33" s="7" t="str">
        <f>Tab_Data_Flows[[#This Row],[UoM_Flow_Py]]</f>
        <v>Mg</v>
      </c>
      <c r="AE33" s="153">
        <f>INDEX(Tab_Def_Flows[[Flow_ID]:[CC_DM_source]],MATCH(Tab_Data_Flows[[#This Row],[Flow_Name]],Tab_Def_Flows[Flow_Name],0),17)</f>
        <v>0.8</v>
      </c>
      <c r="AF33" s="7" t="str">
        <f>Tab_Data_Flows[[#This Row],[Flow_ID]]&amp;"_"&amp;"CC_"&amp;Tab_Data_Flows[[#This Row],[Flow_Data_Year]]</f>
        <v>F_12_00_CC_2031</v>
      </c>
      <c r="AG33" s="7">
        <f>IF(F33="Yes",AE33*Tab_Data_Flows[[#This Row],[Flow_Material]]*Tab_Data_Flows[[#This Row],[DM_'[%']]],"N.A.")</f>
        <v>80</v>
      </c>
      <c r="AH33" s="7" t="str">
        <f>Tab_Data_Flows[[#This Row],[UoM_Flow_Py]]</f>
        <v>Mg</v>
      </c>
      <c r="AI33"/>
    </row>
    <row r="34" spans="1:35" x14ac:dyDescent="0.25">
      <c r="A34" s="9">
        <f t="shared" si="1"/>
        <v>33</v>
      </c>
      <c r="B34" s="7" t="str">
        <f>_xlfn.XLOOKUP(C34,Tab_Def_Flows[Flow_Name],Tab_Def_Flows[Flow_ID],,0,)</f>
        <v>F_12_00</v>
      </c>
      <c r="C34" s="8" t="s">
        <v>605</v>
      </c>
      <c r="D34" s="10" t="str">
        <f>_xlfn.XLOOKUP(C34,Tab_Def_Flows[Flow_Name],Tab_Def_Flows[WC?],,0,)</f>
        <v>Yes</v>
      </c>
      <c r="E34" s="10" t="str">
        <f>_xlfn.XLOOKUP(C34,Tab_Def_Flows[Flow_Name],Tab_Def_Flows[DM?],,0,)</f>
        <v>Yes</v>
      </c>
      <c r="F34" s="10" t="str">
        <f>_xlfn.XLOOKUP(C34,Tab_Def_Flows[Flow_Name],Tab_Def_Flows[CC?],,0,)</f>
        <v>Yes</v>
      </c>
      <c r="G34" s="8">
        <v>2032</v>
      </c>
      <c r="H34" s="26">
        <v>100</v>
      </c>
      <c r="I34" s="8"/>
      <c r="J34" s="18"/>
      <c r="K34" s="8"/>
      <c r="L34" s="8"/>
      <c r="M34" s="8"/>
      <c r="N34" s="8"/>
      <c r="O34" s="8"/>
      <c r="P34" s="8"/>
      <c r="Q34" s="8" t="s">
        <v>7</v>
      </c>
      <c r="R34" s="19"/>
      <c r="S34" s="8"/>
      <c r="T34" s="7" t="str">
        <f>Tab_Data_Flows[[#This Row],[Flow_ID]]&amp;"_"&amp;"material_"&amp;Tab_Data_Flows[[#This Row],[Flow_Data_Year]]</f>
        <v>F_12_00_material_2032</v>
      </c>
      <c r="U34" s="16">
        <f t="shared" ref="U34:U66" si="2">IF(Q34="no",H34,H34*R34)</f>
        <v>100</v>
      </c>
      <c r="V34" s="8" t="s">
        <v>211</v>
      </c>
      <c r="W34" s="153">
        <f>INDEX(Tab_Def_Flows[[Flow_ID]:[CC_DM_source]],MATCH(Tab_Data_Flows[[#This Row],[Flow_Name]],Tab_Def_Flows[Flow_Name],0),11)</f>
        <v>0</v>
      </c>
      <c r="X34" s="7" t="str">
        <f>Tab_Data_Flows[[#This Row],[Flow_ID]]&amp;"_"&amp;"WC_"&amp;Tab_Data_Flows[[#This Row],[Flow_Data_Year]]</f>
        <v>F_12_00_WC_2032</v>
      </c>
      <c r="Y34" s="7">
        <f>IF(D34="Yes",U34*Tab_Data_Flows[[#This Row],[WC_'[%']]],"N.A.")</f>
        <v>0</v>
      </c>
      <c r="Z34" s="7" t="str">
        <f>Tab_Data_Flows[[#This Row],[UoM_Flow_Py]]</f>
        <v>Mg</v>
      </c>
      <c r="AA34" s="153">
        <f>INDEX(Tab_Def_Flows[[Flow_ID]:[CC_DM_source]],MATCH(Tab_Data_Flows[[#This Row],[Flow_Name]],Tab_Def_Flows[Flow_Name],0),14)</f>
        <v>1</v>
      </c>
      <c r="AB34" s="7" t="str">
        <f>Tab_Data_Flows[[#This Row],[Flow_ID]]&amp;"_"&amp;"DM_"&amp;Tab_Data_Flows[[#This Row],[Flow_Data_Year]]</f>
        <v>F_12_00_DM_2032</v>
      </c>
      <c r="AC34" s="7">
        <f>IF(E34="Yes",AA34*Tab_Data_Flows[[#This Row],[Flow_Material]],"N.A.")</f>
        <v>100</v>
      </c>
      <c r="AD34" s="7" t="str">
        <f>Tab_Data_Flows[[#This Row],[UoM_Flow_Py]]</f>
        <v>Mg</v>
      </c>
      <c r="AE34" s="153">
        <f>INDEX(Tab_Def_Flows[[Flow_ID]:[CC_DM_source]],MATCH(Tab_Data_Flows[[#This Row],[Flow_Name]],Tab_Def_Flows[Flow_Name],0),17)</f>
        <v>0.8</v>
      </c>
      <c r="AF34" s="7" t="str">
        <f>Tab_Data_Flows[[#This Row],[Flow_ID]]&amp;"_"&amp;"CC_"&amp;Tab_Data_Flows[[#This Row],[Flow_Data_Year]]</f>
        <v>F_12_00_CC_2032</v>
      </c>
      <c r="AG34" s="7">
        <f>IF(F34="Yes",AE34*Tab_Data_Flows[[#This Row],[Flow_Material]]*Tab_Data_Flows[[#This Row],[DM_'[%']]],"N.A.")</f>
        <v>80</v>
      </c>
      <c r="AH34" s="7" t="str">
        <f>Tab_Data_Flows[[#This Row],[UoM_Flow_Py]]</f>
        <v>Mg</v>
      </c>
      <c r="AI34"/>
    </row>
    <row r="35" spans="1:35" x14ac:dyDescent="0.25">
      <c r="A35" s="9">
        <f t="shared" si="1"/>
        <v>34</v>
      </c>
      <c r="B35" s="7" t="str">
        <f>_xlfn.XLOOKUP(C35,Tab_Def_Flows[Flow_Name],Tab_Def_Flows[Flow_ID],,0,)</f>
        <v>F_12_00</v>
      </c>
      <c r="C35" s="8" t="s">
        <v>605</v>
      </c>
      <c r="D35" s="10" t="str">
        <f>_xlfn.XLOOKUP(C35,Tab_Def_Flows[Flow_Name],Tab_Def_Flows[WC?],,0,)</f>
        <v>Yes</v>
      </c>
      <c r="E35" s="10" t="str">
        <f>_xlfn.XLOOKUP(C35,Tab_Def_Flows[Flow_Name],Tab_Def_Flows[DM?],,0,)</f>
        <v>Yes</v>
      </c>
      <c r="F35" s="10" t="str">
        <f>_xlfn.XLOOKUP(C35,Tab_Def_Flows[Flow_Name],Tab_Def_Flows[CC?],,0,)</f>
        <v>Yes</v>
      </c>
      <c r="G35" s="8">
        <v>2033</v>
      </c>
      <c r="H35" s="26">
        <v>100</v>
      </c>
      <c r="I35" s="8"/>
      <c r="J35" s="18"/>
      <c r="K35" s="8"/>
      <c r="L35" s="8"/>
      <c r="M35" s="8"/>
      <c r="N35" s="8"/>
      <c r="O35" s="8"/>
      <c r="P35" s="8"/>
      <c r="Q35" s="8" t="s">
        <v>7</v>
      </c>
      <c r="R35" s="19"/>
      <c r="S35" s="8"/>
      <c r="T35" s="7" t="str">
        <f>Tab_Data_Flows[[#This Row],[Flow_ID]]&amp;"_"&amp;"material_"&amp;Tab_Data_Flows[[#This Row],[Flow_Data_Year]]</f>
        <v>F_12_00_material_2033</v>
      </c>
      <c r="U35" s="16">
        <f t="shared" si="2"/>
        <v>100</v>
      </c>
      <c r="V35" s="8" t="s">
        <v>211</v>
      </c>
      <c r="W35" s="153">
        <f>INDEX(Tab_Def_Flows[[Flow_ID]:[CC_DM_source]],MATCH(Tab_Data_Flows[[#This Row],[Flow_Name]],Tab_Def_Flows[Flow_Name],0),11)</f>
        <v>0</v>
      </c>
      <c r="X35" s="7" t="str">
        <f>Tab_Data_Flows[[#This Row],[Flow_ID]]&amp;"_"&amp;"WC_"&amp;Tab_Data_Flows[[#This Row],[Flow_Data_Year]]</f>
        <v>F_12_00_WC_2033</v>
      </c>
      <c r="Y35" s="7">
        <f>IF(D35="Yes",U35*Tab_Data_Flows[[#This Row],[WC_'[%']]],"N.A.")</f>
        <v>0</v>
      </c>
      <c r="Z35" s="7" t="str">
        <f>Tab_Data_Flows[[#This Row],[UoM_Flow_Py]]</f>
        <v>Mg</v>
      </c>
      <c r="AA35" s="153">
        <f>INDEX(Tab_Def_Flows[[Flow_ID]:[CC_DM_source]],MATCH(Tab_Data_Flows[[#This Row],[Flow_Name]],Tab_Def_Flows[Flow_Name],0),14)</f>
        <v>1</v>
      </c>
      <c r="AB35" s="7" t="str">
        <f>Tab_Data_Flows[[#This Row],[Flow_ID]]&amp;"_"&amp;"DM_"&amp;Tab_Data_Flows[[#This Row],[Flow_Data_Year]]</f>
        <v>F_12_00_DM_2033</v>
      </c>
      <c r="AC35" s="7">
        <f>IF(E35="Yes",AA35*Tab_Data_Flows[[#This Row],[Flow_Material]],"N.A.")</f>
        <v>100</v>
      </c>
      <c r="AD35" s="7" t="str">
        <f>Tab_Data_Flows[[#This Row],[UoM_Flow_Py]]</f>
        <v>Mg</v>
      </c>
      <c r="AE35" s="153">
        <f>INDEX(Tab_Def_Flows[[Flow_ID]:[CC_DM_source]],MATCH(Tab_Data_Flows[[#This Row],[Flow_Name]],Tab_Def_Flows[Flow_Name],0),17)</f>
        <v>0.8</v>
      </c>
      <c r="AF35" s="7" t="str">
        <f>Tab_Data_Flows[[#This Row],[Flow_ID]]&amp;"_"&amp;"CC_"&amp;Tab_Data_Flows[[#This Row],[Flow_Data_Year]]</f>
        <v>F_12_00_CC_2033</v>
      </c>
      <c r="AG35" s="7">
        <f>IF(F35="Yes",AE35*Tab_Data_Flows[[#This Row],[Flow_Material]]*Tab_Data_Flows[[#This Row],[DM_'[%']]],"N.A.")</f>
        <v>80</v>
      </c>
      <c r="AH35" s="7" t="str">
        <f>Tab_Data_Flows[[#This Row],[UoM_Flow_Py]]</f>
        <v>Mg</v>
      </c>
      <c r="AI35"/>
    </row>
    <row r="36" spans="1:35" x14ac:dyDescent="0.25">
      <c r="A36" s="9">
        <f t="shared" si="1"/>
        <v>35</v>
      </c>
      <c r="B36" s="7" t="str">
        <f>_xlfn.XLOOKUP(C36,Tab_Def_Flows[Flow_Name],Tab_Def_Flows[Flow_ID],,0,)</f>
        <v>F_12_00</v>
      </c>
      <c r="C36" s="8" t="s">
        <v>605</v>
      </c>
      <c r="D36" s="10" t="str">
        <f>_xlfn.XLOOKUP(C36,Tab_Def_Flows[Flow_Name],Tab_Def_Flows[WC?],,0,)</f>
        <v>Yes</v>
      </c>
      <c r="E36" s="10" t="str">
        <f>_xlfn.XLOOKUP(C36,Tab_Def_Flows[Flow_Name],Tab_Def_Flows[DM?],,0,)</f>
        <v>Yes</v>
      </c>
      <c r="F36" s="10" t="str">
        <f>_xlfn.XLOOKUP(C36,Tab_Def_Flows[Flow_Name],Tab_Def_Flows[CC?],,0,)</f>
        <v>Yes</v>
      </c>
      <c r="G36" s="8">
        <v>2034</v>
      </c>
      <c r="H36" s="26">
        <v>100</v>
      </c>
      <c r="I36" s="8"/>
      <c r="J36" s="18"/>
      <c r="K36" s="8"/>
      <c r="L36" s="8"/>
      <c r="M36" s="8"/>
      <c r="N36" s="8"/>
      <c r="O36" s="8"/>
      <c r="P36" s="8"/>
      <c r="Q36" s="8" t="s">
        <v>7</v>
      </c>
      <c r="R36" s="19"/>
      <c r="S36" s="8"/>
      <c r="T36" s="7" t="str">
        <f>Tab_Data_Flows[[#This Row],[Flow_ID]]&amp;"_"&amp;"material_"&amp;Tab_Data_Flows[[#This Row],[Flow_Data_Year]]</f>
        <v>F_12_00_material_2034</v>
      </c>
      <c r="U36" s="16">
        <f t="shared" si="2"/>
        <v>100</v>
      </c>
      <c r="V36" s="8" t="s">
        <v>211</v>
      </c>
      <c r="W36" s="153">
        <f>INDEX(Tab_Def_Flows[[Flow_ID]:[CC_DM_source]],MATCH(Tab_Data_Flows[[#This Row],[Flow_Name]],Tab_Def_Flows[Flow_Name],0),11)</f>
        <v>0</v>
      </c>
      <c r="X36" s="7" t="str">
        <f>Tab_Data_Flows[[#This Row],[Flow_ID]]&amp;"_"&amp;"WC_"&amp;Tab_Data_Flows[[#This Row],[Flow_Data_Year]]</f>
        <v>F_12_00_WC_2034</v>
      </c>
      <c r="Y36" s="7">
        <f>IF(D36="Yes",U36*Tab_Data_Flows[[#This Row],[WC_'[%']]],"N.A.")</f>
        <v>0</v>
      </c>
      <c r="Z36" s="7" t="str">
        <f>Tab_Data_Flows[[#This Row],[UoM_Flow_Py]]</f>
        <v>Mg</v>
      </c>
      <c r="AA36" s="153">
        <f>INDEX(Tab_Def_Flows[[Flow_ID]:[CC_DM_source]],MATCH(Tab_Data_Flows[[#This Row],[Flow_Name]],Tab_Def_Flows[Flow_Name],0),14)</f>
        <v>1</v>
      </c>
      <c r="AB36" s="7" t="str">
        <f>Tab_Data_Flows[[#This Row],[Flow_ID]]&amp;"_"&amp;"DM_"&amp;Tab_Data_Flows[[#This Row],[Flow_Data_Year]]</f>
        <v>F_12_00_DM_2034</v>
      </c>
      <c r="AC36" s="7">
        <f>IF(E36="Yes",AA36*Tab_Data_Flows[[#This Row],[Flow_Material]],"N.A.")</f>
        <v>100</v>
      </c>
      <c r="AD36" s="7" t="str">
        <f>Tab_Data_Flows[[#This Row],[UoM_Flow_Py]]</f>
        <v>Mg</v>
      </c>
      <c r="AE36" s="153">
        <f>INDEX(Tab_Def_Flows[[Flow_ID]:[CC_DM_source]],MATCH(Tab_Data_Flows[[#This Row],[Flow_Name]],Tab_Def_Flows[Flow_Name],0),17)</f>
        <v>0.8</v>
      </c>
      <c r="AF36" s="7" t="str">
        <f>Tab_Data_Flows[[#This Row],[Flow_ID]]&amp;"_"&amp;"CC_"&amp;Tab_Data_Flows[[#This Row],[Flow_Data_Year]]</f>
        <v>F_12_00_CC_2034</v>
      </c>
      <c r="AG36" s="7">
        <f>IF(F36="Yes",AE36*Tab_Data_Flows[[#This Row],[Flow_Material]]*Tab_Data_Flows[[#This Row],[DM_'[%']]],"N.A.")</f>
        <v>80</v>
      </c>
      <c r="AH36" s="7" t="str">
        <f>Tab_Data_Flows[[#This Row],[UoM_Flow_Py]]</f>
        <v>Mg</v>
      </c>
      <c r="AI36"/>
    </row>
    <row r="37" spans="1:35" x14ac:dyDescent="0.25">
      <c r="A37" s="9">
        <f t="shared" si="1"/>
        <v>36</v>
      </c>
      <c r="B37" s="7" t="str">
        <f>_xlfn.XLOOKUP(C37,Tab_Def_Flows[Flow_Name],Tab_Def_Flows[Flow_ID],,0,)</f>
        <v>F_12_00</v>
      </c>
      <c r="C37" s="8" t="s">
        <v>605</v>
      </c>
      <c r="D37" s="10" t="str">
        <f>_xlfn.XLOOKUP(C37,Tab_Def_Flows[Flow_Name],Tab_Def_Flows[WC?],,0,)</f>
        <v>Yes</v>
      </c>
      <c r="E37" s="10" t="str">
        <f>_xlfn.XLOOKUP(C37,Tab_Def_Flows[Flow_Name],Tab_Def_Flows[DM?],,0,)</f>
        <v>Yes</v>
      </c>
      <c r="F37" s="10" t="str">
        <f>_xlfn.XLOOKUP(C37,Tab_Def_Flows[Flow_Name],Tab_Def_Flows[CC?],,0,)</f>
        <v>Yes</v>
      </c>
      <c r="G37" s="8">
        <v>2035</v>
      </c>
      <c r="H37" s="26">
        <v>100</v>
      </c>
      <c r="I37" s="8"/>
      <c r="J37" s="18"/>
      <c r="K37" s="8"/>
      <c r="L37" s="8"/>
      <c r="M37" s="8"/>
      <c r="N37" s="8"/>
      <c r="O37" s="8"/>
      <c r="P37" s="8"/>
      <c r="Q37" s="8" t="s">
        <v>7</v>
      </c>
      <c r="R37" s="19"/>
      <c r="S37" s="8"/>
      <c r="T37" s="7" t="str">
        <f>Tab_Data_Flows[[#This Row],[Flow_ID]]&amp;"_"&amp;"material_"&amp;Tab_Data_Flows[[#This Row],[Flow_Data_Year]]</f>
        <v>F_12_00_material_2035</v>
      </c>
      <c r="U37" s="16">
        <f t="shared" si="2"/>
        <v>100</v>
      </c>
      <c r="V37" s="8" t="s">
        <v>211</v>
      </c>
      <c r="W37" s="153">
        <f>INDEX(Tab_Def_Flows[[Flow_ID]:[CC_DM_source]],MATCH(Tab_Data_Flows[[#This Row],[Flow_Name]],Tab_Def_Flows[Flow_Name],0),11)</f>
        <v>0</v>
      </c>
      <c r="X37" s="7" t="str">
        <f>Tab_Data_Flows[[#This Row],[Flow_ID]]&amp;"_"&amp;"WC_"&amp;Tab_Data_Flows[[#This Row],[Flow_Data_Year]]</f>
        <v>F_12_00_WC_2035</v>
      </c>
      <c r="Y37" s="7">
        <f>IF(D37="Yes",U37*Tab_Data_Flows[[#This Row],[WC_'[%']]],"N.A.")</f>
        <v>0</v>
      </c>
      <c r="Z37" s="7" t="str">
        <f>Tab_Data_Flows[[#This Row],[UoM_Flow_Py]]</f>
        <v>Mg</v>
      </c>
      <c r="AA37" s="153">
        <f>INDEX(Tab_Def_Flows[[Flow_ID]:[CC_DM_source]],MATCH(Tab_Data_Flows[[#This Row],[Flow_Name]],Tab_Def_Flows[Flow_Name],0),14)</f>
        <v>1</v>
      </c>
      <c r="AB37" s="7" t="str">
        <f>Tab_Data_Flows[[#This Row],[Flow_ID]]&amp;"_"&amp;"DM_"&amp;Tab_Data_Flows[[#This Row],[Flow_Data_Year]]</f>
        <v>F_12_00_DM_2035</v>
      </c>
      <c r="AC37" s="7">
        <f>IF(E37="Yes",AA37*Tab_Data_Flows[[#This Row],[Flow_Material]],"N.A.")</f>
        <v>100</v>
      </c>
      <c r="AD37" s="7" t="str">
        <f>Tab_Data_Flows[[#This Row],[UoM_Flow_Py]]</f>
        <v>Mg</v>
      </c>
      <c r="AE37" s="153">
        <f>INDEX(Tab_Def_Flows[[Flow_ID]:[CC_DM_source]],MATCH(Tab_Data_Flows[[#This Row],[Flow_Name]],Tab_Def_Flows[Flow_Name],0),17)</f>
        <v>0.8</v>
      </c>
      <c r="AF37" s="7" t="str">
        <f>Tab_Data_Flows[[#This Row],[Flow_ID]]&amp;"_"&amp;"CC_"&amp;Tab_Data_Flows[[#This Row],[Flow_Data_Year]]</f>
        <v>F_12_00_CC_2035</v>
      </c>
      <c r="AG37" s="7">
        <f>IF(F37="Yes",AE37*Tab_Data_Flows[[#This Row],[Flow_Material]]*Tab_Data_Flows[[#This Row],[DM_'[%']]],"N.A.")</f>
        <v>80</v>
      </c>
      <c r="AH37" s="7" t="str">
        <f>Tab_Data_Flows[[#This Row],[UoM_Flow_Py]]</f>
        <v>Mg</v>
      </c>
      <c r="AI37"/>
    </row>
    <row r="38" spans="1:35" x14ac:dyDescent="0.25">
      <c r="A38" s="9">
        <f t="shared" si="1"/>
        <v>37</v>
      </c>
      <c r="B38" s="7" t="str">
        <f>_xlfn.XLOOKUP(C38,Tab_Def_Flows[Flow_Name],Tab_Def_Flows[Flow_ID],,0,)</f>
        <v>F_12_00</v>
      </c>
      <c r="C38" s="8" t="s">
        <v>605</v>
      </c>
      <c r="D38" s="10" t="str">
        <f>_xlfn.XLOOKUP(C38,Tab_Def_Flows[Flow_Name],Tab_Def_Flows[WC?],,0,)</f>
        <v>Yes</v>
      </c>
      <c r="E38" s="10" t="str">
        <f>_xlfn.XLOOKUP(C38,Tab_Def_Flows[Flow_Name],Tab_Def_Flows[DM?],,0,)</f>
        <v>Yes</v>
      </c>
      <c r="F38" s="10" t="str">
        <f>_xlfn.XLOOKUP(C38,Tab_Def_Flows[Flow_Name],Tab_Def_Flows[CC?],,0,)</f>
        <v>Yes</v>
      </c>
      <c r="G38" s="8">
        <v>2036</v>
      </c>
      <c r="H38" s="26">
        <v>100</v>
      </c>
      <c r="I38" s="8"/>
      <c r="J38" s="18"/>
      <c r="K38" s="8" t="e">
        <f>INDEX(#REF!,MATCH(Tab_Data_Flows[[#This Row],[Flow_Name]],#REF!,0),12)</f>
        <v>#REF!</v>
      </c>
      <c r="L38" s="8" t="e">
        <f>MATCH(Tab_Data_Flows[[#This Row],[Flow_Name]],#REF!,0)</f>
        <v>#REF!</v>
      </c>
      <c r="M38" s="8"/>
      <c r="N38" s="8"/>
      <c r="O38" s="8"/>
      <c r="P38" s="8"/>
      <c r="Q38" s="8" t="s">
        <v>7</v>
      </c>
      <c r="R38" s="8"/>
      <c r="S38" s="8"/>
      <c r="T38" s="7" t="str">
        <f>Tab_Data_Flows[[#This Row],[Flow_ID]]&amp;"_"&amp;"material_"&amp;Tab_Data_Flows[[#This Row],[Flow_Data_Year]]</f>
        <v>F_12_00_material_2036</v>
      </c>
      <c r="U38" s="16">
        <f t="shared" si="2"/>
        <v>100</v>
      </c>
      <c r="V38" s="8" t="s">
        <v>211</v>
      </c>
      <c r="W38" s="153">
        <f>INDEX(Tab_Def_Flows[[Flow_ID]:[CC_DM_source]],MATCH(Tab_Data_Flows[[#This Row],[Flow_Name]],Tab_Def_Flows[Flow_Name],0),11)</f>
        <v>0</v>
      </c>
      <c r="X38" s="7" t="str">
        <f>Tab_Data_Flows[[#This Row],[Flow_ID]]&amp;"_"&amp;"WC_"&amp;Tab_Data_Flows[[#This Row],[Flow_Data_Year]]</f>
        <v>F_12_00_WC_2036</v>
      </c>
      <c r="Y38" s="7">
        <f>IF(D38="Yes",U38*Tab_Data_Flows[[#This Row],[WC_'[%']]],"N.A.")</f>
        <v>0</v>
      </c>
      <c r="Z38" s="7" t="str">
        <f>Tab_Data_Flows[[#This Row],[UoM_Flow_Py]]</f>
        <v>Mg</v>
      </c>
      <c r="AA38" s="153">
        <f>INDEX(Tab_Def_Flows[[Flow_ID]:[CC_DM_source]],MATCH(Tab_Data_Flows[[#This Row],[Flow_Name]],Tab_Def_Flows[Flow_Name],0),14)</f>
        <v>1</v>
      </c>
      <c r="AB38" s="7" t="str">
        <f>Tab_Data_Flows[[#This Row],[Flow_ID]]&amp;"_"&amp;"DM_"&amp;Tab_Data_Flows[[#This Row],[Flow_Data_Year]]</f>
        <v>F_12_00_DM_2036</v>
      </c>
      <c r="AC38" s="7">
        <f>IF(E38="Yes",AA38*Tab_Data_Flows[[#This Row],[Flow_Material]],"N.A.")</f>
        <v>100</v>
      </c>
      <c r="AD38" s="7" t="str">
        <f>Tab_Data_Flows[[#This Row],[UoM_Flow_Py]]</f>
        <v>Mg</v>
      </c>
      <c r="AE38" s="153">
        <f>INDEX(Tab_Def_Flows[[Flow_ID]:[CC_DM_source]],MATCH(Tab_Data_Flows[[#This Row],[Flow_Name]],Tab_Def_Flows[Flow_Name],0),17)</f>
        <v>0.8</v>
      </c>
      <c r="AF38" s="7" t="str">
        <f>Tab_Data_Flows[[#This Row],[Flow_ID]]&amp;"_"&amp;"CC_"&amp;Tab_Data_Flows[[#This Row],[Flow_Data_Year]]</f>
        <v>F_12_00_CC_2036</v>
      </c>
      <c r="AG38" s="7">
        <f>IF(F38="Yes",AE38*Tab_Data_Flows[[#This Row],[Flow_Material]]*Tab_Data_Flows[[#This Row],[DM_'[%']]],"N.A.")</f>
        <v>80</v>
      </c>
      <c r="AH38" s="7" t="str">
        <f>Tab_Data_Flows[[#This Row],[UoM_Flow_Py]]</f>
        <v>Mg</v>
      </c>
      <c r="AI38"/>
    </row>
    <row r="39" spans="1:35" x14ac:dyDescent="0.25">
      <c r="A39" s="9">
        <f t="shared" si="1"/>
        <v>38</v>
      </c>
      <c r="B39" s="7" t="str">
        <f>_xlfn.XLOOKUP(C39,Tab_Def_Flows[Flow_Name],Tab_Def_Flows[Flow_ID],,0,)</f>
        <v>F_12_00</v>
      </c>
      <c r="C39" s="8" t="s">
        <v>605</v>
      </c>
      <c r="D39" s="10" t="str">
        <f>_xlfn.XLOOKUP(C39,Tab_Def_Flows[Flow_Name],Tab_Def_Flows[WC?],,0,)</f>
        <v>Yes</v>
      </c>
      <c r="E39" s="10" t="str">
        <f>_xlfn.XLOOKUP(C39,Tab_Def_Flows[Flow_Name],Tab_Def_Flows[DM?],,0,)</f>
        <v>Yes</v>
      </c>
      <c r="F39" s="10" t="str">
        <f>_xlfn.XLOOKUP(C39,Tab_Def_Flows[Flow_Name],Tab_Def_Flows[CC?],,0,)</f>
        <v>Yes</v>
      </c>
      <c r="G39" s="8">
        <v>2037</v>
      </c>
      <c r="H39" s="26">
        <v>100</v>
      </c>
      <c r="I39" s="8"/>
      <c r="J39" s="18"/>
      <c r="K39" s="8" t="e">
        <f>INDEX(#REF!,MATCH(Tab_Data_Flows[[#This Row],[Flow_Name]],#REF!,0),12)</f>
        <v>#REF!</v>
      </c>
      <c r="L39" s="8" t="e">
        <f>MATCH(Tab_Data_Flows[[#This Row],[Flow_Name]],#REF!,0)</f>
        <v>#REF!</v>
      </c>
      <c r="M39" s="8"/>
      <c r="N39" s="8"/>
      <c r="O39" s="8"/>
      <c r="P39" s="8"/>
      <c r="Q39" s="8" t="s">
        <v>7</v>
      </c>
      <c r="R39" s="8"/>
      <c r="S39" s="8"/>
      <c r="T39" s="7" t="str">
        <f>Tab_Data_Flows[[#This Row],[Flow_ID]]&amp;"_"&amp;"material_"&amp;Tab_Data_Flows[[#This Row],[Flow_Data_Year]]</f>
        <v>F_12_00_material_2037</v>
      </c>
      <c r="U39" s="16">
        <f t="shared" si="2"/>
        <v>100</v>
      </c>
      <c r="V39" s="8" t="s">
        <v>211</v>
      </c>
      <c r="W39" s="153">
        <f>INDEX(Tab_Def_Flows[[Flow_ID]:[CC_DM_source]],MATCH(Tab_Data_Flows[[#This Row],[Flow_Name]],Tab_Def_Flows[Flow_Name],0),11)</f>
        <v>0</v>
      </c>
      <c r="X39" s="7" t="str">
        <f>Tab_Data_Flows[[#This Row],[Flow_ID]]&amp;"_"&amp;"WC_"&amp;Tab_Data_Flows[[#This Row],[Flow_Data_Year]]</f>
        <v>F_12_00_WC_2037</v>
      </c>
      <c r="Y39" s="7">
        <f>IF(D39="Yes",U39*Tab_Data_Flows[[#This Row],[WC_'[%']]],"N.A.")</f>
        <v>0</v>
      </c>
      <c r="Z39" s="7" t="str">
        <f>Tab_Data_Flows[[#This Row],[UoM_Flow_Py]]</f>
        <v>Mg</v>
      </c>
      <c r="AA39" s="153">
        <f>INDEX(Tab_Def_Flows[[Flow_ID]:[CC_DM_source]],MATCH(Tab_Data_Flows[[#This Row],[Flow_Name]],Tab_Def_Flows[Flow_Name],0),14)</f>
        <v>1</v>
      </c>
      <c r="AB39" s="7" t="str">
        <f>Tab_Data_Flows[[#This Row],[Flow_ID]]&amp;"_"&amp;"DM_"&amp;Tab_Data_Flows[[#This Row],[Flow_Data_Year]]</f>
        <v>F_12_00_DM_2037</v>
      </c>
      <c r="AC39" s="7">
        <f>IF(E39="Yes",AA39*Tab_Data_Flows[[#This Row],[Flow_Material]],"N.A.")</f>
        <v>100</v>
      </c>
      <c r="AD39" s="7" t="str">
        <f>Tab_Data_Flows[[#This Row],[UoM_Flow_Py]]</f>
        <v>Mg</v>
      </c>
      <c r="AE39" s="153">
        <f>INDEX(Tab_Def_Flows[[Flow_ID]:[CC_DM_source]],MATCH(Tab_Data_Flows[[#This Row],[Flow_Name]],Tab_Def_Flows[Flow_Name],0),17)</f>
        <v>0.8</v>
      </c>
      <c r="AF39" s="7" t="str">
        <f>Tab_Data_Flows[[#This Row],[Flow_ID]]&amp;"_"&amp;"CC_"&amp;Tab_Data_Flows[[#This Row],[Flow_Data_Year]]</f>
        <v>F_12_00_CC_2037</v>
      </c>
      <c r="AG39" s="7">
        <f>IF(F39="Yes",AE39*Tab_Data_Flows[[#This Row],[Flow_Material]]*Tab_Data_Flows[[#This Row],[DM_'[%']]],"N.A.")</f>
        <v>80</v>
      </c>
      <c r="AH39" s="7" t="str">
        <f>Tab_Data_Flows[[#This Row],[UoM_Flow_Py]]</f>
        <v>Mg</v>
      </c>
      <c r="AI39"/>
    </row>
    <row r="40" spans="1:35" x14ac:dyDescent="0.25">
      <c r="A40" s="9">
        <f t="shared" si="1"/>
        <v>39</v>
      </c>
      <c r="B40" s="7" t="str">
        <f>_xlfn.XLOOKUP(C40,Tab_Def_Flows[Flow_Name],Tab_Def_Flows[Flow_ID],,0,)</f>
        <v>F_12_00</v>
      </c>
      <c r="C40" s="8" t="s">
        <v>605</v>
      </c>
      <c r="D40" s="10" t="str">
        <f>_xlfn.XLOOKUP(C40,Tab_Def_Flows[Flow_Name],Tab_Def_Flows[WC?],,0,)</f>
        <v>Yes</v>
      </c>
      <c r="E40" s="10" t="str">
        <f>_xlfn.XLOOKUP(C40,Tab_Def_Flows[Flow_Name],Tab_Def_Flows[DM?],,0,)</f>
        <v>Yes</v>
      </c>
      <c r="F40" s="10" t="str">
        <f>_xlfn.XLOOKUP(C40,Tab_Def_Flows[Flow_Name],Tab_Def_Flows[CC?],,0,)</f>
        <v>Yes</v>
      </c>
      <c r="G40" s="8">
        <v>2038</v>
      </c>
      <c r="H40" s="26">
        <v>100</v>
      </c>
      <c r="I40" s="8"/>
      <c r="J40" s="18"/>
      <c r="K40" s="8" t="e">
        <f>INDEX(#REF!,MATCH(Tab_Data_Flows[[#This Row],[Flow_Name]],#REF!,0),12)</f>
        <v>#REF!</v>
      </c>
      <c r="L40" s="8" t="e">
        <f>MATCH(Tab_Data_Flows[[#This Row],[Flow_Name]],#REF!,0)</f>
        <v>#REF!</v>
      </c>
      <c r="M40" s="8"/>
      <c r="N40" s="8"/>
      <c r="O40" s="8"/>
      <c r="P40" s="8"/>
      <c r="Q40" s="8" t="s">
        <v>7</v>
      </c>
      <c r="R40" s="8"/>
      <c r="S40" s="8"/>
      <c r="T40" s="7" t="str">
        <f>Tab_Data_Flows[[#This Row],[Flow_ID]]&amp;"_"&amp;"material_"&amp;Tab_Data_Flows[[#This Row],[Flow_Data_Year]]</f>
        <v>F_12_00_material_2038</v>
      </c>
      <c r="U40" s="16">
        <f t="shared" si="2"/>
        <v>100</v>
      </c>
      <c r="V40" s="8" t="s">
        <v>211</v>
      </c>
      <c r="W40" s="153">
        <f>INDEX(Tab_Def_Flows[[Flow_ID]:[CC_DM_source]],MATCH(Tab_Data_Flows[[#This Row],[Flow_Name]],Tab_Def_Flows[Flow_Name],0),11)</f>
        <v>0</v>
      </c>
      <c r="X40" s="7" t="str">
        <f>Tab_Data_Flows[[#This Row],[Flow_ID]]&amp;"_"&amp;"WC_"&amp;Tab_Data_Flows[[#This Row],[Flow_Data_Year]]</f>
        <v>F_12_00_WC_2038</v>
      </c>
      <c r="Y40" s="7">
        <f>IF(D40="Yes",U40*Tab_Data_Flows[[#This Row],[WC_'[%']]],"N.A.")</f>
        <v>0</v>
      </c>
      <c r="Z40" s="7" t="str">
        <f>Tab_Data_Flows[[#This Row],[UoM_Flow_Py]]</f>
        <v>Mg</v>
      </c>
      <c r="AA40" s="153">
        <f>INDEX(Tab_Def_Flows[[Flow_ID]:[CC_DM_source]],MATCH(Tab_Data_Flows[[#This Row],[Flow_Name]],Tab_Def_Flows[Flow_Name],0),14)</f>
        <v>1</v>
      </c>
      <c r="AB40" s="7" t="str">
        <f>Tab_Data_Flows[[#This Row],[Flow_ID]]&amp;"_"&amp;"DM_"&amp;Tab_Data_Flows[[#This Row],[Flow_Data_Year]]</f>
        <v>F_12_00_DM_2038</v>
      </c>
      <c r="AC40" s="7">
        <f>IF(E40="Yes",AA40*Tab_Data_Flows[[#This Row],[Flow_Material]],"N.A.")</f>
        <v>100</v>
      </c>
      <c r="AD40" s="7" t="str">
        <f>Tab_Data_Flows[[#This Row],[UoM_Flow_Py]]</f>
        <v>Mg</v>
      </c>
      <c r="AE40" s="153">
        <f>INDEX(Tab_Def_Flows[[Flow_ID]:[CC_DM_source]],MATCH(Tab_Data_Flows[[#This Row],[Flow_Name]],Tab_Def_Flows[Flow_Name],0),17)</f>
        <v>0.8</v>
      </c>
      <c r="AF40" s="7" t="str">
        <f>Tab_Data_Flows[[#This Row],[Flow_ID]]&amp;"_"&amp;"CC_"&amp;Tab_Data_Flows[[#This Row],[Flow_Data_Year]]</f>
        <v>F_12_00_CC_2038</v>
      </c>
      <c r="AG40" s="7">
        <f>IF(F40="Yes",AE40*Tab_Data_Flows[[#This Row],[Flow_Material]]*Tab_Data_Flows[[#This Row],[DM_'[%']]],"N.A.")</f>
        <v>80</v>
      </c>
      <c r="AH40" s="7" t="str">
        <f>Tab_Data_Flows[[#This Row],[UoM_Flow_Py]]</f>
        <v>Mg</v>
      </c>
      <c r="AI40"/>
    </row>
    <row r="41" spans="1:35" x14ac:dyDescent="0.25">
      <c r="A41" s="9">
        <f t="shared" si="1"/>
        <v>40</v>
      </c>
      <c r="B41" s="7" t="str">
        <f>_xlfn.XLOOKUP(C41,Tab_Def_Flows[Flow_Name],Tab_Def_Flows[Flow_ID],,0,)</f>
        <v>F_12_00</v>
      </c>
      <c r="C41" s="8" t="s">
        <v>605</v>
      </c>
      <c r="D41" s="10" t="str">
        <f>_xlfn.XLOOKUP(C41,Tab_Def_Flows[Flow_Name],Tab_Def_Flows[WC?],,0,)</f>
        <v>Yes</v>
      </c>
      <c r="E41" s="10" t="str">
        <f>_xlfn.XLOOKUP(C41,Tab_Def_Flows[Flow_Name],Tab_Def_Flows[DM?],,0,)</f>
        <v>Yes</v>
      </c>
      <c r="F41" s="10" t="str">
        <f>_xlfn.XLOOKUP(C41,Tab_Def_Flows[Flow_Name],Tab_Def_Flows[CC?],,0,)</f>
        <v>Yes</v>
      </c>
      <c r="G41" s="8">
        <v>2039</v>
      </c>
      <c r="H41" s="26">
        <v>100</v>
      </c>
      <c r="I41" s="8"/>
      <c r="J41" s="18"/>
      <c r="K41" s="8" t="e">
        <f>INDEX(#REF!,MATCH(Tab_Data_Flows[[#This Row],[Flow_Name]],#REF!,0),12)</f>
        <v>#REF!</v>
      </c>
      <c r="L41" s="8" t="e">
        <f>MATCH(Tab_Data_Flows[[#This Row],[Flow_Name]],#REF!,0)</f>
        <v>#REF!</v>
      </c>
      <c r="M41" s="8"/>
      <c r="N41" s="8"/>
      <c r="O41" s="8"/>
      <c r="P41" s="8"/>
      <c r="Q41" s="8" t="s">
        <v>7</v>
      </c>
      <c r="R41" s="8"/>
      <c r="S41" s="8"/>
      <c r="T41" s="7" t="str">
        <f>Tab_Data_Flows[[#This Row],[Flow_ID]]&amp;"_"&amp;"material_"&amp;Tab_Data_Flows[[#This Row],[Flow_Data_Year]]</f>
        <v>F_12_00_material_2039</v>
      </c>
      <c r="U41" s="16">
        <f t="shared" si="2"/>
        <v>100</v>
      </c>
      <c r="V41" s="8" t="s">
        <v>211</v>
      </c>
      <c r="W41" s="153">
        <f>INDEX(Tab_Def_Flows[[Flow_ID]:[CC_DM_source]],MATCH(Tab_Data_Flows[[#This Row],[Flow_Name]],Tab_Def_Flows[Flow_Name],0),11)</f>
        <v>0</v>
      </c>
      <c r="X41" s="7" t="str">
        <f>Tab_Data_Flows[[#This Row],[Flow_ID]]&amp;"_"&amp;"WC_"&amp;Tab_Data_Flows[[#This Row],[Flow_Data_Year]]</f>
        <v>F_12_00_WC_2039</v>
      </c>
      <c r="Y41" s="7">
        <f>IF(D41="Yes",U41*Tab_Data_Flows[[#This Row],[WC_'[%']]],"N.A.")</f>
        <v>0</v>
      </c>
      <c r="Z41" s="7" t="str">
        <f>Tab_Data_Flows[[#This Row],[UoM_Flow_Py]]</f>
        <v>Mg</v>
      </c>
      <c r="AA41" s="153">
        <f>INDEX(Tab_Def_Flows[[Flow_ID]:[CC_DM_source]],MATCH(Tab_Data_Flows[[#This Row],[Flow_Name]],Tab_Def_Flows[Flow_Name],0),14)</f>
        <v>1</v>
      </c>
      <c r="AB41" s="7" t="str">
        <f>Tab_Data_Flows[[#This Row],[Flow_ID]]&amp;"_"&amp;"DM_"&amp;Tab_Data_Flows[[#This Row],[Flow_Data_Year]]</f>
        <v>F_12_00_DM_2039</v>
      </c>
      <c r="AC41" s="7">
        <f>IF(E41="Yes",AA41*Tab_Data_Flows[[#This Row],[Flow_Material]],"N.A.")</f>
        <v>100</v>
      </c>
      <c r="AD41" s="7" t="str">
        <f>Tab_Data_Flows[[#This Row],[UoM_Flow_Py]]</f>
        <v>Mg</v>
      </c>
      <c r="AE41" s="153">
        <f>INDEX(Tab_Def_Flows[[Flow_ID]:[CC_DM_source]],MATCH(Tab_Data_Flows[[#This Row],[Flow_Name]],Tab_Def_Flows[Flow_Name],0),17)</f>
        <v>0.8</v>
      </c>
      <c r="AF41" s="7" t="str">
        <f>Tab_Data_Flows[[#This Row],[Flow_ID]]&amp;"_"&amp;"CC_"&amp;Tab_Data_Flows[[#This Row],[Flow_Data_Year]]</f>
        <v>F_12_00_CC_2039</v>
      </c>
      <c r="AG41" s="7">
        <f>IF(F41="Yes",AE41*Tab_Data_Flows[[#This Row],[Flow_Material]]*Tab_Data_Flows[[#This Row],[DM_'[%']]],"N.A.")</f>
        <v>80</v>
      </c>
      <c r="AH41" s="7" t="str">
        <f>Tab_Data_Flows[[#This Row],[UoM_Flow_Py]]</f>
        <v>Mg</v>
      </c>
      <c r="AI41"/>
    </row>
    <row r="42" spans="1:35" x14ac:dyDescent="0.25">
      <c r="A42" s="9">
        <f t="shared" si="1"/>
        <v>41</v>
      </c>
      <c r="B42" s="7" t="str">
        <f>_xlfn.XLOOKUP(C42,Tab_Def_Flows[Flow_Name],Tab_Def_Flows[Flow_ID],,0,)</f>
        <v>F_12_00</v>
      </c>
      <c r="C42" s="8" t="s">
        <v>605</v>
      </c>
      <c r="D42" s="10" t="str">
        <f>_xlfn.XLOOKUP(C42,Tab_Def_Flows[Flow_Name],Tab_Def_Flows[WC?],,0,)</f>
        <v>Yes</v>
      </c>
      <c r="E42" s="10" t="str">
        <f>_xlfn.XLOOKUP(C42,Tab_Def_Flows[Flow_Name],Tab_Def_Flows[DM?],,0,)</f>
        <v>Yes</v>
      </c>
      <c r="F42" s="10" t="str">
        <f>_xlfn.XLOOKUP(C42,Tab_Def_Flows[Flow_Name],Tab_Def_Flows[CC?],,0,)</f>
        <v>Yes</v>
      </c>
      <c r="G42" s="8">
        <v>2040</v>
      </c>
      <c r="H42" s="26">
        <v>100</v>
      </c>
      <c r="I42" s="8"/>
      <c r="J42" s="18"/>
      <c r="K42" s="8" t="e">
        <f>INDEX(#REF!,MATCH(Tab_Data_Flows[[#This Row],[Flow_Name]],#REF!,0),12)</f>
        <v>#REF!</v>
      </c>
      <c r="L42" s="8" t="e">
        <f>MATCH(Tab_Data_Flows[[#This Row],[Flow_Name]],#REF!,0)</f>
        <v>#REF!</v>
      </c>
      <c r="M42" s="8"/>
      <c r="N42" s="8"/>
      <c r="O42" s="8"/>
      <c r="P42" s="8"/>
      <c r="Q42" s="8" t="s">
        <v>7</v>
      </c>
      <c r="R42" s="8"/>
      <c r="S42" s="8"/>
      <c r="T42" s="7" t="str">
        <f>Tab_Data_Flows[[#This Row],[Flow_ID]]&amp;"_"&amp;"material_"&amp;Tab_Data_Flows[[#This Row],[Flow_Data_Year]]</f>
        <v>F_12_00_material_2040</v>
      </c>
      <c r="U42" s="16">
        <f t="shared" si="2"/>
        <v>100</v>
      </c>
      <c r="V42" s="8" t="s">
        <v>211</v>
      </c>
      <c r="W42" s="153">
        <f>INDEX(Tab_Def_Flows[[Flow_ID]:[CC_DM_source]],MATCH(Tab_Data_Flows[[#This Row],[Flow_Name]],Tab_Def_Flows[Flow_Name],0),11)</f>
        <v>0</v>
      </c>
      <c r="X42" s="7" t="str">
        <f>Tab_Data_Flows[[#This Row],[Flow_ID]]&amp;"_"&amp;"WC_"&amp;Tab_Data_Flows[[#This Row],[Flow_Data_Year]]</f>
        <v>F_12_00_WC_2040</v>
      </c>
      <c r="Y42" s="7">
        <f>IF(D42="Yes",U42*Tab_Data_Flows[[#This Row],[WC_'[%']]],"N.A.")</f>
        <v>0</v>
      </c>
      <c r="Z42" s="7" t="str">
        <f>Tab_Data_Flows[[#This Row],[UoM_Flow_Py]]</f>
        <v>Mg</v>
      </c>
      <c r="AA42" s="153">
        <f>INDEX(Tab_Def_Flows[[Flow_ID]:[CC_DM_source]],MATCH(Tab_Data_Flows[[#This Row],[Flow_Name]],Tab_Def_Flows[Flow_Name],0),14)</f>
        <v>1</v>
      </c>
      <c r="AB42" s="7" t="str">
        <f>Tab_Data_Flows[[#This Row],[Flow_ID]]&amp;"_"&amp;"DM_"&amp;Tab_Data_Flows[[#This Row],[Flow_Data_Year]]</f>
        <v>F_12_00_DM_2040</v>
      </c>
      <c r="AC42" s="7">
        <f>IF(E42="Yes",AA42*Tab_Data_Flows[[#This Row],[Flow_Material]],"N.A.")</f>
        <v>100</v>
      </c>
      <c r="AD42" s="7" t="str">
        <f>Tab_Data_Flows[[#This Row],[UoM_Flow_Py]]</f>
        <v>Mg</v>
      </c>
      <c r="AE42" s="153">
        <f>INDEX(Tab_Def_Flows[[Flow_ID]:[CC_DM_source]],MATCH(Tab_Data_Flows[[#This Row],[Flow_Name]],Tab_Def_Flows[Flow_Name],0),17)</f>
        <v>0.8</v>
      </c>
      <c r="AF42" s="7" t="str">
        <f>Tab_Data_Flows[[#This Row],[Flow_ID]]&amp;"_"&amp;"CC_"&amp;Tab_Data_Flows[[#This Row],[Flow_Data_Year]]</f>
        <v>F_12_00_CC_2040</v>
      </c>
      <c r="AG42" s="7">
        <f>IF(F42="Yes",AE42*Tab_Data_Flows[[#This Row],[Flow_Material]]*Tab_Data_Flows[[#This Row],[DM_'[%']]],"N.A.")</f>
        <v>80</v>
      </c>
      <c r="AH42" s="7" t="str">
        <f>Tab_Data_Flows[[#This Row],[UoM_Flow_Py]]</f>
        <v>Mg</v>
      </c>
      <c r="AI42"/>
    </row>
    <row r="43" spans="1:35" x14ac:dyDescent="0.25">
      <c r="A43" s="9">
        <f t="shared" si="1"/>
        <v>42</v>
      </c>
      <c r="B43" s="7" t="str">
        <f>_xlfn.XLOOKUP(C43,Tab_Def_Flows[Flow_Name],Tab_Def_Flows[Flow_ID],,0,)</f>
        <v>F_13_00</v>
      </c>
      <c r="C43" s="8" t="s">
        <v>604</v>
      </c>
      <c r="D43" s="10" t="str">
        <f>_xlfn.XLOOKUP(C43,Tab_Def_Flows[Flow_Name],Tab_Def_Flows[WC?],,0,)</f>
        <v>Yes</v>
      </c>
      <c r="E43" s="10" t="str">
        <f>_xlfn.XLOOKUP(C43,Tab_Def_Flows[Flow_Name],Tab_Def_Flows[DM?],,0,)</f>
        <v>Yes</v>
      </c>
      <c r="F43" s="10" t="str">
        <f>_xlfn.XLOOKUP(C43,Tab_Def_Flows[Flow_Name],Tab_Def_Flows[CC?],,0,)</f>
        <v>Yes</v>
      </c>
      <c r="G43" s="8">
        <v>2000</v>
      </c>
      <c r="H43" s="26">
        <v>10</v>
      </c>
      <c r="I43" s="8"/>
      <c r="J43" s="18"/>
      <c r="K43" s="8" t="e">
        <f>INDEX(#REF!,MATCH(Tab_Data_Flows[[#This Row],[Flow_Name]],#REF!,0),12)</f>
        <v>#REF!</v>
      </c>
      <c r="L43" s="8" t="e">
        <f>MATCH(Tab_Data_Flows[[#This Row],[Flow_Name]],#REF!,0)</f>
        <v>#REF!</v>
      </c>
      <c r="M43" s="8"/>
      <c r="N43" s="8"/>
      <c r="O43" s="8"/>
      <c r="P43" s="8"/>
      <c r="Q43" s="8" t="s">
        <v>7</v>
      </c>
      <c r="R43" s="8"/>
      <c r="S43" s="8"/>
      <c r="T43" s="7" t="str">
        <f>Tab_Data_Flows[[#This Row],[Flow_ID]]&amp;"_"&amp;"material_"&amp;Tab_Data_Flows[[#This Row],[Flow_Data_Year]]</f>
        <v>F_13_00_material_2000</v>
      </c>
      <c r="U43" s="16">
        <f t="shared" si="2"/>
        <v>10</v>
      </c>
      <c r="V43" s="8" t="s">
        <v>211</v>
      </c>
      <c r="W43" s="153">
        <f>INDEX(Tab_Def_Flows[[Flow_ID]:[CC_DM_source]],MATCH(Tab_Data_Flows[[#This Row],[Flow_Name]],Tab_Def_Flows[Flow_Name],0),11)</f>
        <v>0</v>
      </c>
      <c r="X43" s="7" t="str">
        <f>Tab_Data_Flows[[#This Row],[Flow_ID]]&amp;"_"&amp;"WC_"&amp;Tab_Data_Flows[[#This Row],[Flow_Data_Year]]</f>
        <v>F_13_00_WC_2000</v>
      </c>
      <c r="Y43" s="7">
        <f>IF(D43="Yes",U43*Tab_Data_Flows[[#This Row],[WC_'[%']]],"N.A.")</f>
        <v>0</v>
      </c>
      <c r="Z43" s="7" t="str">
        <f>Tab_Data_Flows[[#This Row],[UoM_Flow_Py]]</f>
        <v>Mg</v>
      </c>
      <c r="AA43" s="153">
        <f>INDEX(Tab_Def_Flows[[Flow_ID]:[CC_DM_source]],MATCH(Tab_Data_Flows[[#This Row],[Flow_Name]],Tab_Def_Flows[Flow_Name],0),14)</f>
        <v>1</v>
      </c>
      <c r="AB43" s="7" t="str">
        <f>Tab_Data_Flows[[#This Row],[Flow_ID]]&amp;"_"&amp;"DM_"&amp;Tab_Data_Flows[[#This Row],[Flow_Data_Year]]</f>
        <v>F_13_00_DM_2000</v>
      </c>
      <c r="AC43" s="7">
        <f>IF(E43="Yes",AA43*Tab_Data_Flows[[#This Row],[Flow_Material]],"N.A.")</f>
        <v>10</v>
      </c>
      <c r="AD43" s="7" t="str">
        <f>Tab_Data_Flows[[#This Row],[UoM_Flow_Py]]</f>
        <v>Mg</v>
      </c>
      <c r="AE43" s="153">
        <f>INDEX(Tab_Def_Flows[[Flow_ID]:[CC_DM_source]],MATCH(Tab_Data_Flows[[#This Row],[Flow_Name]],Tab_Def_Flows[Flow_Name],0),17)</f>
        <v>1</v>
      </c>
      <c r="AF43" s="7" t="str">
        <f>Tab_Data_Flows[[#This Row],[Flow_ID]]&amp;"_"&amp;"CC_"&amp;Tab_Data_Flows[[#This Row],[Flow_Data_Year]]</f>
        <v>F_13_00_CC_2000</v>
      </c>
      <c r="AG43" s="7">
        <f>IF(F43="Yes",AE43*Tab_Data_Flows[[#This Row],[Flow_Material]]*Tab_Data_Flows[[#This Row],[DM_'[%']]],"N.A.")</f>
        <v>10</v>
      </c>
      <c r="AH43" s="7" t="str">
        <f>Tab_Data_Flows[[#This Row],[UoM_Flow_Py]]</f>
        <v>Mg</v>
      </c>
      <c r="AI43"/>
    </row>
    <row r="44" spans="1:35" x14ac:dyDescent="0.25">
      <c r="A44" s="9">
        <f t="shared" si="1"/>
        <v>43</v>
      </c>
      <c r="B44" s="7" t="str">
        <f>_xlfn.XLOOKUP(C44,Tab_Def_Flows[Flow_Name],Tab_Def_Flows[Flow_ID],,0,)</f>
        <v>F_13_00</v>
      </c>
      <c r="C44" s="8" t="s">
        <v>604</v>
      </c>
      <c r="D44" s="10" t="str">
        <f>_xlfn.XLOOKUP(C44,Tab_Def_Flows[Flow_Name],Tab_Def_Flows[WC?],,0,)</f>
        <v>Yes</v>
      </c>
      <c r="E44" s="10" t="str">
        <f>_xlfn.XLOOKUP(C44,Tab_Def_Flows[Flow_Name],Tab_Def_Flows[DM?],,0,)</f>
        <v>Yes</v>
      </c>
      <c r="F44" s="10" t="str">
        <f>_xlfn.XLOOKUP(C44,Tab_Def_Flows[Flow_Name],Tab_Def_Flows[CC?],,0,)</f>
        <v>Yes</v>
      </c>
      <c r="G44" s="8">
        <v>2001</v>
      </c>
      <c r="H44" s="26">
        <v>10</v>
      </c>
      <c r="I44" s="8"/>
      <c r="J44" s="18"/>
      <c r="K44" s="8" t="e">
        <f>INDEX(#REF!,MATCH(Tab_Data_Flows[[#This Row],[Flow_Name]],#REF!,0),12)</f>
        <v>#REF!</v>
      </c>
      <c r="L44" s="8" t="e">
        <f>MATCH(Tab_Data_Flows[[#This Row],[Flow_Name]],#REF!,0)</f>
        <v>#REF!</v>
      </c>
      <c r="M44" s="8"/>
      <c r="N44" s="8"/>
      <c r="O44" s="8"/>
      <c r="P44" s="8"/>
      <c r="Q44" s="8" t="s">
        <v>7</v>
      </c>
      <c r="R44" s="8"/>
      <c r="S44" s="8"/>
      <c r="T44" s="7" t="str">
        <f>Tab_Data_Flows[[#This Row],[Flow_ID]]&amp;"_"&amp;"material_"&amp;Tab_Data_Flows[[#This Row],[Flow_Data_Year]]</f>
        <v>F_13_00_material_2001</v>
      </c>
      <c r="U44" s="16">
        <f t="shared" si="2"/>
        <v>10</v>
      </c>
      <c r="V44" s="8" t="s">
        <v>211</v>
      </c>
      <c r="W44" s="153">
        <f>INDEX(Tab_Def_Flows[[Flow_ID]:[CC_DM_source]],MATCH(Tab_Data_Flows[[#This Row],[Flow_Name]],Tab_Def_Flows[Flow_Name],0),11)</f>
        <v>0</v>
      </c>
      <c r="X44" s="7" t="str">
        <f>Tab_Data_Flows[[#This Row],[Flow_ID]]&amp;"_"&amp;"WC_"&amp;Tab_Data_Flows[[#This Row],[Flow_Data_Year]]</f>
        <v>F_13_00_WC_2001</v>
      </c>
      <c r="Y44" s="7">
        <f>IF(D44="Yes",U44*Tab_Data_Flows[[#This Row],[WC_'[%']]],"N.A.")</f>
        <v>0</v>
      </c>
      <c r="Z44" s="7" t="str">
        <f>Tab_Data_Flows[[#This Row],[UoM_Flow_Py]]</f>
        <v>Mg</v>
      </c>
      <c r="AA44" s="153">
        <f>INDEX(Tab_Def_Flows[[Flow_ID]:[CC_DM_source]],MATCH(Tab_Data_Flows[[#This Row],[Flow_Name]],Tab_Def_Flows[Flow_Name],0),14)</f>
        <v>1</v>
      </c>
      <c r="AB44" s="7" t="str">
        <f>Tab_Data_Flows[[#This Row],[Flow_ID]]&amp;"_"&amp;"DM_"&amp;Tab_Data_Flows[[#This Row],[Flow_Data_Year]]</f>
        <v>F_13_00_DM_2001</v>
      </c>
      <c r="AC44" s="7">
        <f>IF(E44="Yes",AA44*Tab_Data_Flows[[#This Row],[Flow_Material]],"N.A.")</f>
        <v>10</v>
      </c>
      <c r="AD44" s="7" t="str">
        <f>Tab_Data_Flows[[#This Row],[UoM_Flow_Py]]</f>
        <v>Mg</v>
      </c>
      <c r="AE44" s="153">
        <f>INDEX(Tab_Def_Flows[[Flow_ID]:[CC_DM_source]],MATCH(Tab_Data_Flows[[#This Row],[Flow_Name]],Tab_Def_Flows[Flow_Name],0),17)</f>
        <v>1</v>
      </c>
      <c r="AF44" s="7" t="str">
        <f>Tab_Data_Flows[[#This Row],[Flow_ID]]&amp;"_"&amp;"CC_"&amp;Tab_Data_Flows[[#This Row],[Flow_Data_Year]]</f>
        <v>F_13_00_CC_2001</v>
      </c>
      <c r="AG44" s="7">
        <f>IF(F44="Yes",AE44*Tab_Data_Flows[[#This Row],[Flow_Material]]*Tab_Data_Flows[[#This Row],[DM_'[%']]],"N.A.")</f>
        <v>10</v>
      </c>
      <c r="AH44" s="7" t="str">
        <f>Tab_Data_Flows[[#This Row],[UoM_Flow_Py]]</f>
        <v>Mg</v>
      </c>
      <c r="AI44"/>
    </row>
    <row r="45" spans="1:35" x14ac:dyDescent="0.25">
      <c r="A45" s="9">
        <f t="shared" si="1"/>
        <v>44</v>
      </c>
      <c r="B45" s="7" t="str">
        <f>_xlfn.XLOOKUP(C45,Tab_Def_Flows[Flow_Name],Tab_Def_Flows[Flow_ID],,0,)</f>
        <v>F_13_00</v>
      </c>
      <c r="C45" s="8" t="s">
        <v>604</v>
      </c>
      <c r="D45" s="10" t="str">
        <f>_xlfn.XLOOKUP(C45,Tab_Def_Flows[Flow_Name],Tab_Def_Flows[WC?],,0,)</f>
        <v>Yes</v>
      </c>
      <c r="E45" s="10" t="str">
        <f>_xlfn.XLOOKUP(C45,Tab_Def_Flows[Flow_Name],Tab_Def_Flows[DM?],,0,)</f>
        <v>Yes</v>
      </c>
      <c r="F45" s="10" t="str">
        <f>_xlfn.XLOOKUP(C45,Tab_Def_Flows[Flow_Name],Tab_Def_Flows[CC?],,0,)</f>
        <v>Yes</v>
      </c>
      <c r="G45" s="8">
        <v>2002</v>
      </c>
      <c r="H45" s="26">
        <v>10</v>
      </c>
      <c r="I45" s="8"/>
      <c r="J45" s="18"/>
      <c r="K45" s="8" t="e">
        <f>INDEX(#REF!,MATCH(Tab_Data_Flows[[#This Row],[Flow_Name]],#REF!,0),12)</f>
        <v>#REF!</v>
      </c>
      <c r="L45" s="8" t="e">
        <f>MATCH(Tab_Data_Flows[[#This Row],[Flow_Name]],#REF!,0)</f>
        <v>#REF!</v>
      </c>
      <c r="M45" s="8"/>
      <c r="N45" s="8"/>
      <c r="O45" s="8"/>
      <c r="P45" s="8"/>
      <c r="Q45" s="8" t="s">
        <v>7</v>
      </c>
      <c r="R45" s="8"/>
      <c r="S45" s="8"/>
      <c r="T45" s="7" t="str">
        <f>Tab_Data_Flows[[#This Row],[Flow_ID]]&amp;"_"&amp;"material_"&amp;Tab_Data_Flows[[#This Row],[Flow_Data_Year]]</f>
        <v>F_13_00_material_2002</v>
      </c>
      <c r="U45" s="16">
        <f t="shared" si="2"/>
        <v>10</v>
      </c>
      <c r="V45" s="8" t="s">
        <v>211</v>
      </c>
      <c r="W45" s="153">
        <f>INDEX(Tab_Def_Flows[[Flow_ID]:[CC_DM_source]],MATCH(Tab_Data_Flows[[#This Row],[Flow_Name]],Tab_Def_Flows[Flow_Name],0),11)</f>
        <v>0</v>
      </c>
      <c r="X45" s="7" t="str">
        <f>Tab_Data_Flows[[#This Row],[Flow_ID]]&amp;"_"&amp;"WC_"&amp;Tab_Data_Flows[[#This Row],[Flow_Data_Year]]</f>
        <v>F_13_00_WC_2002</v>
      </c>
      <c r="Y45" s="7">
        <f>IF(D45="Yes",U45*Tab_Data_Flows[[#This Row],[WC_'[%']]],"N.A.")</f>
        <v>0</v>
      </c>
      <c r="Z45" s="7" t="str">
        <f>Tab_Data_Flows[[#This Row],[UoM_Flow_Py]]</f>
        <v>Mg</v>
      </c>
      <c r="AA45" s="153">
        <f>INDEX(Tab_Def_Flows[[Flow_ID]:[CC_DM_source]],MATCH(Tab_Data_Flows[[#This Row],[Flow_Name]],Tab_Def_Flows[Flow_Name],0),14)</f>
        <v>1</v>
      </c>
      <c r="AB45" s="7" t="str">
        <f>Tab_Data_Flows[[#This Row],[Flow_ID]]&amp;"_"&amp;"DM_"&amp;Tab_Data_Flows[[#This Row],[Flow_Data_Year]]</f>
        <v>F_13_00_DM_2002</v>
      </c>
      <c r="AC45" s="7">
        <f>IF(E45="Yes",AA45*Tab_Data_Flows[[#This Row],[Flow_Material]],"N.A.")</f>
        <v>10</v>
      </c>
      <c r="AD45" s="7" t="str">
        <f>Tab_Data_Flows[[#This Row],[UoM_Flow_Py]]</f>
        <v>Mg</v>
      </c>
      <c r="AE45" s="153">
        <f>INDEX(Tab_Def_Flows[[Flow_ID]:[CC_DM_source]],MATCH(Tab_Data_Flows[[#This Row],[Flow_Name]],Tab_Def_Flows[Flow_Name],0),17)</f>
        <v>1</v>
      </c>
      <c r="AF45" s="7" t="str">
        <f>Tab_Data_Flows[[#This Row],[Flow_ID]]&amp;"_"&amp;"CC_"&amp;Tab_Data_Flows[[#This Row],[Flow_Data_Year]]</f>
        <v>F_13_00_CC_2002</v>
      </c>
      <c r="AG45" s="7">
        <f>IF(F45="Yes",AE45*Tab_Data_Flows[[#This Row],[Flow_Material]]*Tab_Data_Flows[[#This Row],[DM_'[%']]],"N.A.")</f>
        <v>10</v>
      </c>
      <c r="AH45" s="7" t="str">
        <f>Tab_Data_Flows[[#This Row],[UoM_Flow_Py]]</f>
        <v>Mg</v>
      </c>
      <c r="AI45"/>
    </row>
    <row r="46" spans="1:35" x14ac:dyDescent="0.25">
      <c r="A46" s="9">
        <f t="shared" si="1"/>
        <v>45</v>
      </c>
      <c r="B46" s="7" t="str">
        <f>_xlfn.XLOOKUP(C46,Tab_Def_Flows[Flow_Name],Tab_Def_Flows[Flow_ID],,0,)</f>
        <v>F_13_00</v>
      </c>
      <c r="C46" s="8" t="s">
        <v>604</v>
      </c>
      <c r="D46" s="10" t="str">
        <f>_xlfn.XLOOKUP(C46,Tab_Def_Flows[Flow_Name],Tab_Def_Flows[WC?],,0,)</f>
        <v>Yes</v>
      </c>
      <c r="E46" s="10" t="str">
        <f>_xlfn.XLOOKUP(C46,Tab_Def_Flows[Flow_Name],Tab_Def_Flows[DM?],,0,)</f>
        <v>Yes</v>
      </c>
      <c r="F46" s="10" t="str">
        <f>_xlfn.XLOOKUP(C46,Tab_Def_Flows[Flow_Name],Tab_Def_Flows[CC?],,0,)</f>
        <v>Yes</v>
      </c>
      <c r="G46" s="8">
        <v>2003</v>
      </c>
      <c r="H46" s="26">
        <v>10</v>
      </c>
      <c r="I46" s="8"/>
      <c r="J46" s="18"/>
      <c r="K46" s="8" t="e">
        <f>INDEX(#REF!,MATCH(Tab_Data_Flows[[#This Row],[Flow_Name]],#REF!,0),12)</f>
        <v>#REF!</v>
      </c>
      <c r="L46" s="8" t="e">
        <f>MATCH(Tab_Data_Flows[[#This Row],[Flow_Name]],#REF!,0)</f>
        <v>#REF!</v>
      </c>
      <c r="M46" s="8"/>
      <c r="N46" s="8"/>
      <c r="O46" s="8"/>
      <c r="P46" s="8"/>
      <c r="Q46" s="8" t="s">
        <v>7</v>
      </c>
      <c r="R46" s="8"/>
      <c r="S46" s="8"/>
      <c r="T46" s="7" t="str">
        <f>Tab_Data_Flows[[#This Row],[Flow_ID]]&amp;"_"&amp;"material_"&amp;Tab_Data_Flows[[#This Row],[Flow_Data_Year]]</f>
        <v>F_13_00_material_2003</v>
      </c>
      <c r="U46" s="16">
        <f t="shared" si="2"/>
        <v>10</v>
      </c>
      <c r="V46" s="8" t="s">
        <v>211</v>
      </c>
      <c r="W46" s="153">
        <f>INDEX(Tab_Def_Flows[[Flow_ID]:[CC_DM_source]],MATCH(Tab_Data_Flows[[#This Row],[Flow_Name]],Tab_Def_Flows[Flow_Name],0),11)</f>
        <v>0</v>
      </c>
      <c r="X46" s="7" t="str">
        <f>Tab_Data_Flows[[#This Row],[Flow_ID]]&amp;"_"&amp;"WC_"&amp;Tab_Data_Flows[[#This Row],[Flow_Data_Year]]</f>
        <v>F_13_00_WC_2003</v>
      </c>
      <c r="Y46" s="7">
        <f>IF(D46="Yes",U46*Tab_Data_Flows[[#This Row],[WC_'[%']]],"N.A.")</f>
        <v>0</v>
      </c>
      <c r="Z46" s="7" t="str">
        <f>Tab_Data_Flows[[#This Row],[UoM_Flow_Py]]</f>
        <v>Mg</v>
      </c>
      <c r="AA46" s="153">
        <f>INDEX(Tab_Def_Flows[[Flow_ID]:[CC_DM_source]],MATCH(Tab_Data_Flows[[#This Row],[Flow_Name]],Tab_Def_Flows[Flow_Name],0),14)</f>
        <v>1</v>
      </c>
      <c r="AB46" s="7" t="str">
        <f>Tab_Data_Flows[[#This Row],[Flow_ID]]&amp;"_"&amp;"DM_"&amp;Tab_Data_Flows[[#This Row],[Flow_Data_Year]]</f>
        <v>F_13_00_DM_2003</v>
      </c>
      <c r="AC46" s="7">
        <f>IF(E46="Yes",AA46*Tab_Data_Flows[[#This Row],[Flow_Material]],"N.A.")</f>
        <v>10</v>
      </c>
      <c r="AD46" s="7" t="str">
        <f>Tab_Data_Flows[[#This Row],[UoM_Flow_Py]]</f>
        <v>Mg</v>
      </c>
      <c r="AE46" s="153">
        <f>INDEX(Tab_Def_Flows[[Flow_ID]:[CC_DM_source]],MATCH(Tab_Data_Flows[[#This Row],[Flow_Name]],Tab_Def_Flows[Flow_Name],0),17)</f>
        <v>1</v>
      </c>
      <c r="AF46" s="7" t="str">
        <f>Tab_Data_Flows[[#This Row],[Flow_ID]]&amp;"_"&amp;"CC_"&amp;Tab_Data_Flows[[#This Row],[Flow_Data_Year]]</f>
        <v>F_13_00_CC_2003</v>
      </c>
      <c r="AG46" s="7">
        <f>IF(F46="Yes",AE46*Tab_Data_Flows[[#This Row],[Flow_Material]]*Tab_Data_Flows[[#This Row],[DM_'[%']]],"N.A.")</f>
        <v>10</v>
      </c>
      <c r="AH46" s="7" t="str">
        <f>Tab_Data_Flows[[#This Row],[UoM_Flow_Py]]</f>
        <v>Mg</v>
      </c>
      <c r="AI46"/>
    </row>
    <row r="47" spans="1:35" x14ac:dyDescent="0.25">
      <c r="A47" s="9">
        <f t="shared" si="1"/>
        <v>46</v>
      </c>
      <c r="B47" s="7" t="str">
        <f>_xlfn.XLOOKUP(C47,Tab_Def_Flows[Flow_Name],Tab_Def_Flows[Flow_ID],,0,)</f>
        <v>F_13_00</v>
      </c>
      <c r="C47" s="8" t="s">
        <v>604</v>
      </c>
      <c r="D47" s="10" t="str">
        <f>_xlfn.XLOOKUP(C47,Tab_Def_Flows[Flow_Name],Tab_Def_Flows[WC?],,0,)</f>
        <v>Yes</v>
      </c>
      <c r="E47" s="10" t="str">
        <f>_xlfn.XLOOKUP(C47,Tab_Def_Flows[Flow_Name],Tab_Def_Flows[DM?],,0,)</f>
        <v>Yes</v>
      </c>
      <c r="F47" s="10" t="str">
        <f>_xlfn.XLOOKUP(C47,Tab_Def_Flows[Flow_Name],Tab_Def_Flows[CC?],,0,)</f>
        <v>Yes</v>
      </c>
      <c r="G47" s="8">
        <v>2004</v>
      </c>
      <c r="H47" s="26">
        <v>10</v>
      </c>
      <c r="I47" s="8"/>
      <c r="J47" s="18"/>
      <c r="K47" s="8" t="e">
        <f>INDEX(#REF!,MATCH(Tab_Data_Flows[[#This Row],[Flow_Name]],#REF!,0),12)</f>
        <v>#REF!</v>
      </c>
      <c r="L47" s="8" t="e">
        <f>MATCH(Tab_Data_Flows[[#This Row],[Flow_Name]],#REF!,0)</f>
        <v>#REF!</v>
      </c>
      <c r="M47" s="8"/>
      <c r="N47" s="8"/>
      <c r="O47" s="8"/>
      <c r="P47" s="8"/>
      <c r="Q47" s="8" t="s">
        <v>7</v>
      </c>
      <c r="R47" s="8"/>
      <c r="S47" s="8"/>
      <c r="T47" s="7" t="str">
        <f>Tab_Data_Flows[[#This Row],[Flow_ID]]&amp;"_"&amp;"material_"&amp;Tab_Data_Flows[[#This Row],[Flow_Data_Year]]</f>
        <v>F_13_00_material_2004</v>
      </c>
      <c r="U47" s="16">
        <f t="shared" si="2"/>
        <v>10</v>
      </c>
      <c r="V47" s="8" t="s">
        <v>211</v>
      </c>
      <c r="W47" s="153">
        <f>INDEX(Tab_Def_Flows[[Flow_ID]:[CC_DM_source]],MATCH(Tab_Data_Flows[[#This Row],[Flow_Name]],Tab_Def_Flows[Flow_Name],0),11)</f>
        <v>0</v>
      </c>
      <c r="X47" s="7" t="str">
        <f>Tab_Data_Flows[[#This Row],[Flow_ID]]&amp;"_"&amp;"WC_"&amp;Tab_Data_Flows[[#This Row],[Flow_Data_Year]]</f>
        <v>F_13_00_WC_2004</v>
      </c>
      <c r="Y47" s="7">
        <f>IF(D47="Yes",U47*Tab_Data_Flows[[#This Row],[WC_'[%']]],"N.A.")</f>
        <v>0</v>
      </c>
      <c r="Z47" s="7" t="str">
        <f>Tab_Data_Flows[[#This Row],[UoM_Flow_Py]]</f>
        <v>Mg</v>
      </c>
      <c r="AA47" s="153">
        <f>INDEX(Tab_Def_Flows[[Flow_ID]:[CC_DM_source]],MATCH(Tab_Data_Flows[[#This Row],[Flow_Name]],Tab_Def_Flows[Flow_Name],0),14)</f>
        <v>1</v>
      </c>
      <c r="AB47" s="7" t="str">
        <f>Tab_Data_Flows[[#This Row],[Flow_ID]]&amp;"_"&amp;"DM_"&amp;Tab_Data_Flows[[#This Row],[Flow_Data_Year]]</f>
        <v>F_13_00_DM_2004</v>
      </c>
      <c r="AC47" s="7">
        <f>IF(E47="Yes",AA47*Tab_Data_Flows[[#This Row],[Flow_Material]],"N.A.")</f>
        <v>10</v>
      </c>
      <c r="AD47" s="7" t="str">
        <f>Tab_Data_Flows[[#This Row],[UoM_Flow_Py]]</f>
        <v>Mg</v>
      </c>
      <c r="AE47" s="153">
        <f>INDEX(Tab_Def_Flows[[Flow_ID]:[CC_DM_source]],MATCH(Tab_Data_Flows[[#This Row],[Flow_Name]],Tab_Def_Flows[Flow_Name],0),17)</f>
        <v>1</v>
      </c>
      <c r="AF47" s="7" t="str">
        <f>Tab_Data_Flows[[#This Row],[Flow_ID]]&amp;"_"&amp;"CC_"&amp;Tab_Data_Flows[[#This Row],[Flow_Data_Year]]</f>
        <v>F_13_00_CC_2004</v>
      </c>
      <c r="AG47" s="7">
        <f>IF(F47="Yes",AE47*Tab_Data_Flows[[#This Row],[Flow_Material]]*Tab_Data_Flows[[#This Row],[DM_'[%']]],"N.A.")</f>
        <v>10</v>
      </c>
      <c r="AH47" s="7" t="str">
        <f>Tab_Data_Flows[[#This Row],[UoM_Flow_Py]]</f>
        <v>Mg</v>
      </c>
      <c r="AI47"/>
    </row>
    <row r="48" spans="1:35" x14ac:dyDescent="0.25">
      <c r="A48" s="9">
        <f t="shared" si="1"/>
        <v>47</v>
      </c>
      <c r="B48" s="7" t="str">
        <f>_xlfn.XLOOKUP(C48,Tab_Def_Flows[Flow_Name],Tab_Def_Flows[Flow_ID],,0,)</f>
        <v>F_13_00</v>
      </c>
      <c r="C48" s="8" t="s">
        <v>604</v>
      </c>
      <c r="D48" s="10" t="str">
        <f>_xlfn.XLOOKUP(C48,Tab_Def_Flows[Flow_Name],Tab_Def_Flows[WC?],,0,)</f>
        <v>Yes</v>
      </c>
      <c r="E48" s="10" t="str">
        <f>_xlfn.XLOOKUP(C48,Tab_Def_Flows[Flow_Name],Tab_Def_Flows[DM?],,0,)</f>
        <v>Yes</v>
      </c>
      <c r="F48" s="10" t="str">
        <f>_xlfn.XLOOKUP(C48,Tab_Def_Flows[Flow_Name],Tab_Def_Flows[CC?],,0,)</f>
        <v>Yes</v>
      </c>
      <c r="G48" s="8">
        <v>2005</v>
      </c>
      <c r="H48" s="26">
        <v>10</v>
      </c>
      <c r="I48" s="8"/>
      <c r="J48" s="18"/>
      <c r="K48" s="8" t="e">
        <f>INDEX(#REF!,MATCH(Tab_Data_Flows[[#This Row],[Flow_Name]],#REF!,0),12)</f>
        <v>#REF!</v>
      </c>
      <c r="L48" s="8" t="e">
        <f>MATCH(Tab_Data_Flows[[#This Row],[Flow_Name]],#REF!,0)</f>
        <v>#REF!</v>
      </c>
      <c r="M48" s="8"/>
      <c r="N48" s="8"/>
      <c r="O48" s="8"/>
      <c r="P48" s="8"/>
      <c r="Q48" s="8" t="s">
        <v>7</v>
      </c>
      <c r="R48" s="8"/>
      <c r="S48" s="8"/>
      <c r="T48" s="7" t="str">
        <f>Tab_Data_Flows[[#This Row],[Flow_ID]]&amp;"_"&amp;"material_"&amp;Tab_Data_Flows[[#This Row],[Flow_Data_Year]]</f>
        <v>F_13_00_material_2005</v>
      </c>
      <c r="U48" s="16">
        <f t="shared" si="2"/>
        <v>10</v>
      </c>
      <c r="V48" s="8" t="s">
        <v>211</v>
      </c>
      <c r="W48" s="153">
        <f>INDEX(Tab_Def_Flows[[Flow_ID]:[CC_DM_source]],MATCH(Tab_Data_Flows[[#This Row],[Flow_Name]],Tab_Def_Flows[Flow_Name],0),11)</f>
        <v>0</v>
      </c>
      <c r="X48" s="7" t="str">
        <f>Tab_Data_Flows[[#This Row],[Flow_ID]]&amp;"_"&amp;"WC_"&amp;Tab_Data_Flows[[#This Row],[Flow_Data_Year]]</f>
        <v>F_13_00_WC_2005</v>
      </c>
      <c r="Y48" s="7">
        <f>IF(D48="Yes",U48*Tab_Data_Flows[[#This Row],[WC_'[%']]],"N.A.")</f>
        <v>0</v>
      </c>
      <c r="Z48" s="7" t="str">
        <f>Tab_Data_Flows[[#This Row],[UoM_Flow_Py]]</f>
        <v>Mg</v>
      </c>
      <c r="AA48" s="153">
        <f>INDEX(Tab_Def_Flows[[Flow_ID]:[CC_DM_source]],MATCH(Tab_Data_Flows[[#This Row],[Flow_Name]],Tab_Def_Flows[Flow_Name],0),14)</f>
        <v>1</v>
      </c>
      <c r="AB48" s="7" t="str">
        <f>Tab_Data_Flows[[#This Row],[Flow_ID]]&amp;"_"&amp;"DM_"&amp;Tab_Data_Flows[[#This Row],[Flow_Data_Year]]</f>
        <v>F_13_00_DM_2005</v>
      </c>
      <c r="AC48" s="7">
        <f>IF(E48="Yes",AA48*Tab_Data_Flows[[#This Row],[Flow_Material]],"N.A.")</f>
        <v>10</v>
      </c>
      <c r="AD48" s="7" t="str">
        <f>Tab_Data_Flows[[#This Row],[UoM_Flow_Py]]</f>
        <v>Mg</v>
      </c>
      <c r="AE48" s="153">
        <f>INDEX(Tab_Def_Flows[[Flow_ID]:[CC_DM_source]],MATCH(Tab_Data_Flows[[#This Row],[Flow_Name]],Tab_Def_Flows[Flow_Name],0),17)</f>
        <v>1</v>
      </c>
      <c r="AF48" s="7" t="str">
        <f>Tab_Data_Flows[[#This Row],[Flow_ID]]&amp;"_"&amp;"CC_"&amp;Tab_Data_Flows[[#This Row],[Flow_Data_Year]]</f>
        <v>F_13_00_CC_2005</v>
      </c>
      <c r="AG48" s="7">
        <f>IF(F48="Yes",AE48*Tab_Data_Flows[[#This Row],[Flow_Material]]*Tab_Data_Flows[[#This Row],[DM_'[%']]],"N.A.")</f>
        <v>10</v>
      </c>
      <c r="AH48" s="7" t="str">
        <f>Tab_Data_Flows[[#This Row],[UoM_Flow_Py]]</f>
        <v>Mg</v>
      </c>
      <c r="AI48"/>
    </row>
    <row r="49" spans="1:35" x14ac:dyDescent="0.25">
      <c r="A49" s="9">
        <f t="shared" si="1"/>
        <v>48</v>
      </c>
      <c r="B49" s="7" t="str">
        <f>_xlfn.XLOOKUP(C49,Tab_Def_Flows[Flow_Name],Tab_Def_Flows[Flow_ID],,0,)</f>
        <v>F_13_00</v>
      </c>
      <c r="C49" s="8" t="s">
        <v>604</v>
      </c>
      <c r="D49" s="10" t="str">
        <f>_xlfn.XLOOKUP(C49,Tab_Def_Flows[Flow_Name],Tab_Def_Flows[WC?],,0,)</f>
        <v>Yes</v>
      </c>
      <c r="E49" s="10" t="str">
        <f>_xlfn.XLOOKUP(C49,Tab_Def_Flows[Flow_Name],Tab_Def_Flows[DM?],,0,)</f>
        <v>Yes</v>
      </c>
      <c r="F49" s="10" t="str">
        <f>_xlfn.XLOOKUP(C49,Tab_Def_Flows[Flow_Name],Tab_Def_Flows[CC?],,0,)</f>
        <v>Yes</v>
      </c>
      <c r="G49" s="8">
        <v>2006</v>
      </c>
      <c r="H49" s="26">
        <v>10</v>
      </c>
      <c r="I49" s="8"/>
      <c r="J49" s="18"/>
      <c r="K49" s="8" t="e">
        <f>INDEX(#REF!,MATCH(Tab_Data_Flows[[#This Row],[Flow_Name]],#REF!,0),12)</f>
        <v>#REF!</v>
      </c>
      <c r="L49" s="8" t="e">
        <f>MATCH(Tab_Data_Flows[[#This Row],[Flow_Name]],#REF!,0)</f>
        <v>#REF!</v>
      </c>
      <c r="M49" s="8"/>
      <c r="N49" s="8"/>
      <c r="O49" s="8"/>
      <c r="P49" s="8"/>
      <c r="Q49" s="8" t="s">
        <v>7</v>
      </c>
      <c r="R49" s="8"/>
      <c r="S49" s="8"/>
      <c r="T49" s="7" t="str">
        <f>Tab_Data_Flows[[#This Row],[Flow_ID]]&amp;"_"&amp;"material_"&amp;Tab_Data_Flows[[#This Row],[Flow_Data_Year]]</f>
        <v>F_13_00_material_2006</v>
      </c>
      <c r="U49" s="16">
        <f t="shared" si="2"/>
        <v>10</v>
      </c>
      <c r="V49" s="8" t="s">
        <v>211</v>
      </c>
      <c r="W49" s="153">
        <f>INDEX(Tab_Def_Flows[[Flow_ID]:[CC_DM_source]],MATCH(Tab_Data_Flows[[#This Row],[Flow_Name]],Tab_Def_Flows[Flow_Name],0),11)</f>
        <v>0</v>
      </c>
      <c r="X49" s="7" t="str">
        <f>Tab_Data_Flows[[#This Row],[Flow_ID]]&amp;"_"&amp;"WC_"&amp;Tab_Data_Flows[[#This Row],[Flow_Data_Year]]</f>
        <v>F_13_00_WC_2006</v>
      </c>
      <c r="Y49" s="7">
        <f>IF(D49="Yes",U49*Tab_Data_Flows[[#This Row],[WC_'[%']]],"N.A.")</f>
        <v>0</v>
      </c>
      <c r="Z49" s="7" t="str">
        <f>Tab_Data_Flows[[#This Row],[UoM_Flow_Py]]</f>
        <v>Mg</v>
      </c>
      <c r="AA49" s="153">
        <f>INDEX(Tab_Def_Flows[[Flow_ID]:[CC_DM_source]],MATCH(Tab_Data_Flows[[#This Row],[Flow_Name]],Tab_Def_Flows[Flow_Name],0),14)</f>
        <v>1</v>
      </c>
      <c r="AB49" s="7" t="str">
        <f>Tab_Data_Flows[[#This Row],[Flow_ID]]&amp;"_"&amp;"DM_"&amp;Tab_Data_Flows[[#This Row],[Flow_Data_Year]]</f>
        <v>F_13_00_DM_2006</v>
      </c>
      <c r="AC49" s="7">
        <f>IF(E49="Yes",AA49*Tab_Data_Flows[[#This Row],[Flow_Material]],"N.A.")</f>
        <v>10</v>
      </c>
      <c r="AD49" s="7" t="str">
        <f>Tab_Data_Flows[[#This Row],[UoM_Flow_Py]]</f>
        <v>Mg</v>
      </c>
      <c r="AE49" s="153">
        <f>INDEX(Tab_Def_Flows[[Flow_ID]:[CC_DM_source]],MATCH(Tab_Data_Flows[[#This Row],[Flow_Name]],Tab_Def_Flows[Flow_Name],0),17)</f>
        <v>1</v>
      </c>
      <c r="AF49" s="7" t="str">
        <f>Tab_Data_Flows[[#This Row],[Flow_ID]]&amp;"_"&amp;"CC_"&amp;Tab_Data_Flows[[#This Row],[Flow_Data_Year]]</f>
        <v>F_13_00_CC_2006</v>
      </c>
      <c r="AG49" s="7">
        <f>IF(F49="Yes",AE49*Tab_Data_Flows[[#This Row],[Flow_Material]]*Tab_Data_Flows[[#This Row],[DM_'[%']]],"N.A.")</f>
        <v>10</v>
      </c>
      <c r="AH49" s="7" t="str">
        <f>Tab_Data_Flows[[#This Row],[UoM_Flow_Py]]</f>
        <v>Mg</v>
      </c>
      <c r="AI49"/>
    </row>
    <row r="50" spans="1:35" x14ac:dyDescent="0.25">
      <c r="A50" s="9">
        <f t="shared" si="1"/>
        <v>49</v>
      </c>
      <c r="B50" s="7" t="str">
        <f>_xlfn.XLOOKUP(C50,Tab_Def_Flows[Flow_Name],Tab_Def_Flows[Flow_ID],,0,)</f>
        <v>F_13_00</v>
      </c>
      <c r="C50" s="8" t="s">
        <v>604</v>
      </c>
      <c r="D50" s="10" t="str">
        <f>_xlfn.XLOOKUP(C50,Tab_Def_Flows[Flow_Name],Tab_Def_Flows[WC?],,0,)</f>
        <v>Yes</v>
      </c>
      <c r="E50" s="10" t="str">
        <f>_xlfn.XLOOKUP(C50,Tab_Def_Flows[Flow_Name],Tab_Def_Flows[DM?],,0,)</f>
        <v>Yes</v>
      </c>
      <c r="F50" s="10" t="str">
        <f>_xlfn.XLOOKUP(C50,Tab_Def_Flows[Flow_Name],Tab_Def_Flows[CC?],,0,)</f>
        <v>Yes</v>
      </c>
      <c r="G50" s="8">
        <v>2007</v>
      </c>
      <c r="H50" s="26">
        <v>10</v>
      </c>
      <c r="I50" s="8"/>
      <c r="J50" s="18"/>
      <c r="K50" s="8" t="e">
        <f>INDEX(#REF!,MATCH(Tab_Data_Flows[[#This Row],[Flow_Name]],#REF!,0),12)</f>
        <v>#REF!</v>
      </c>
      <c r="L50" s="8" t="e">
        <f>MATCH(Tab_Data_Flows[[#This Row],[Flow_Name]],#REF!,0)</f>
        <v>#REF!</v>
      </c>
      <c r="M50" s="8"/>
      <c r="N50" s="8"/>
      <c r="O50" s="8"/>
      <c r="P50" s="8"/>
      <c r="Q50" s="8" t="s">
        <v>7</v>
      </c>
      <c r="R50" s="8"/>
      <c r="S50" s="8"/>
      <c r="T50" s="7" t="str">
        <f>Tab_Data_Flows[[#This Row],[Flow_ID]]&amp;"_"&amp;"material_"&amp;Tab_Data_Flows[[#This Row],[Flow_Data_Year]]</f>
        <v>F_13_00_material_2007</v>
      </c>
      <c r="U50" s="16">
        <f t="shared" si="2"/>
        <v>10</v>
      </c>
      <c r="V50" s="8" t="s">
        <v>211</v>
      </c>
      <c r="W50" s="153">
        <f>INDEX(Tab_Def_Flows[[Flow_ID]:[CC_DM_source]],MATCH(Tab_Data_Flows[[#This Row],[Flow_Name]],Tab_Def_Flows[Flow_Name],0),11)</f>
        <v>0</v>
      </c>
      <c r="X50" s="7" t="str">
        <f>Tab_Data_Flows[[#This Row],[Flow_ID]]&amp;"_"&amp;"WC_"&amp;Tab_Data_Flows[[#This Row],[Flow_Data_Year]]</f>
        <v>F_13_00_WC_2007</v>
      </c>
      <c r="Y50" s="7">
        <f>IF(D50="Yes",U50*Tab_Data_Flows[[#This Row],[WC_'[%']]],"N.A.")</f>
        <v>0</v>
      </c>
      <c r="Z50" s="7" t="str">
        <f>Tab_Data_Flows[[#This Row],[UoM_Flow_Py]]</f>
        <v>Mg</v>
      </c>
      <c r="AA50" s="153">
        <f>INDEX(Tab_Def_Flows[[Flow_ID]:[CC_DM_source]],MATCH(Tab_Data_Flows[[#This Row],[Flow_Name]],Tab_Def_Flows[Flow_Name],0),14)</f>
        <v>1</v>
      </c>
      <c r="AB50" s="7" t="str">
        <f>Tab_Data_Flows[[#This Row],[Flow_ID]]&amp;"_"&amp;"DM_"&amp;Tab_Data_Flows[[#This Row],[Flow_Data_Year]]</f>
        <v>F_13_00_DM_2007</v>
      </c>
      <c r="AC50" s="7">
        <f>IF(E50="Yes",AA50*Tab_Data_Flows[[#This Row],[Flow_Material]],"N.A.")</f>
        <v>10</v>
      </c>
      <c r="AD50" s="7" t="str">
        <f>Tab_Data_Flows[[#This Row],[UoM_Flow_Py]]</f>
        <v>Mg</v>
      </c>
      <c r="AE50" s="153">
        <f>INDEX(Tab_Def_Flows[[Flow_ID]:[CC_DM_source]],MATCH(Tab_Data_Flows[[#This Row],[Flow_Name]],Tab_Def_Flows[Flow_Name],0),17)</f>
        <v>1</v>
      </c>
      <c r="AF50" s="7" t="str">
        <f>Tab_Data_Flows[[#This Row],[Flow_ID]]&amp;"_"&amp;"CC_"&amp;Tab_Data_Flows[[#This Row],[Flow_Data_Year]]</f>
        <v>F_13_00_CC_2007</v>
      </c>
      <c r="AG50" s="7">
        <f>IF(F50="Yes",AE50*Tab_Data_Flows[[#This Row],[Flow_Material]]*Tab_Data_Flows[[#This Row],[DM_'[%']]],"N.A.")</f>
        <v>10</v>
      </c>
      <c r="AH50" s="7" t="str">
        <f>Tab_Data_Flows[[#This Row],[UoM_Flow_Py]]</f>
        <v>Mg</v>
      </c>
      <c r="AI50"/>
    </row>
    <row r="51" spans="1:35" x14ac:dyDescent="0.25">
      <c r="A51" s="9">
        <f t="shared" si="1"/>
        <v>50</v>
      </c>
      <c r="B51" s="7" t="str">
        <f>_xlfn.XLOOKUP(C51,Tab_Def_Flows[Flow_Name],Tab_Def_Flows[Flow_ID],,0,)</f>
        <v>F_13_00</v>
      </c>
      <c r="C51" s="8" t="s">
        <v>604</v>
      </c>
      <c r="D51" s="10" t="str">
        <f>_xlfn.XLOOKUP(C51,Tab_Def_Flows[Flow_Name],Tab_Def_Flows[WC?],,0,)</f>
        <v>Yes</v>
      </c>
      <c r="E51" s="10" t="str">
        <f>_xlfn.XLOOKUP(C51,Tab_Def_Flows[Flow_Name],Tab_Def_Flows[DM?],,0,)</f>
        <v>Yes</v>
      </c>
      <c r="F51" s="10" t="str">
        <f>_xlfn.XLOOKUP(C51,Tab_Def_Flows[Flow_Name],Tab_Def_Flows[CC?],,0,)</f>
        <v>Yes</v>
      </c>
      <c r="G51" s="8">
        <v>2008</v>
      </c>
      <c r="H51" s="26">
        <v>10</v>
      </c>
      <c r="I51" s="8"/>
      <c r="J51" s="18"/>
      <c r="K51" s="8" t="e">
        <f>INDEX(#REF!,MATCH(Tab_Data_Flows[[#This Row],[Flow_Name]],#REF!,0),12)</f>
        <v>#REF!</v>
      </c>
      <c r="L51" s="8" t="e">
        <f>MATCH(Tab_Data_Flows[[#This Row],[Flow_Name]],#REF!,0)</f>
        <v>#REF!</v>
      </c>
      <c r="M51" s="8"/>
      <c r="N51" s="8"/>
      <c r="O51" s="8"/>
      <c r="P51" s="8"/>
      <c r="Q51" s="8" t="s">
        <v>7</v>
      </c>
      <c r="R51" s="8"/>
      <c r="S51" s="8"/>
      <c r="T51" s="7" t="str">
        <f>Tab_Data_Flows[[#This Row],[Flow_ID]]&amp;"_"&amp;"material_"&amp;Tab_Data_Flows[[#This Row],[Flow_Data_Year]]</f>
        <v>F_13_00_material_2008</v>
      </c>
      <c r="U51" s="16">
        <f t="shared" si="2"/>
        <v>10</v>
      </c>
      <c r="V51" s="8" t="s">
        <v>211</v>
      </c>
      <c r="W51" s="153">
        <f>INDEX(Tab_Def_Flows[[Flow_ID]:[CC_DM_source]],MATCH(Tab_Data_Flows[[#This Row],[Flow_Name]],Tab_Def_Flows[Flow_Name],0),11)</f>
        <v>0</v>
      </c>
      <c r="X51" s="7" t="str">
        <f>Tab_Data_Flows[[#This Row],[Flow_ID]]&amp;"_"&amp;"WC_"&amp;Tab_Data_Flows[[#This Row],[Flow_Data_Year]]</f>
        <v>F_13_00_WC_2008</v>
      </c>
      <c r="Y51" s="7">
        <f>IF(D51="Yes",U51*Tab_Data_Flows[[#This Row],[WC_'[%']]],"N.A.")</f>
        <v>0</v>
      </c>
      <c r="Z51" s="7" t="str">
        <f>Tab_Data_Flows[[#This Row],[UoM_Flow_Py]]</f>
        <v>Mg</v>
      </c>
      <c r="AA51" s="153">
        <f>INDEX(Tab_Def_Flows[[Flow_ID]:[CC_DM_source]],MATCH(Tab_Data_Flows[[#This Row],[Flow_Name]],Tab_Def_Flows[Flow_Name],0),14)</f>
        <v>1</v>
      </c>
      <c r="AB51" s="7" t="str">
        <f>Tab_Data_Flows[[#This Row],[Flow_ID]]&amp;"_"&amp;"DM_"&amp;Tab_Data_Flows[[#This Row],[Flow_Data_Year]]</f>
        <v>F_13_00_DM_2008</v>
      </c>
      <c r="AC51" s="7">
        <f>IF(E51="Yes",AA51*Tab_Data_Flows[[#This Row],[Flow_Material]],"N.A.")</f>
        <v>10</v>
      </c>
      <c r="AD51" s="7" t="str">
        <f>Tab_Data_Flows[[#This Row],[UoM_Flow_Py]]</f>
        <v>Mg</v>
      </c>
      <c r="AE51" s="153">
        <f>INDEX(Tab_Def_Flows[[Flow_ID]:[CC_DM_source]],MATCH(Tab_Data_Flows[[#This Row],[Flow_Name]],Tab_Def_Flows[Flow_Name],0),17)</f>
        <v>1</v>
      </c>
      <c r="AF51" s="7" t="str">
        <f>Tab_Data_Flows[[#This Row],[Flow_ID]]&amp;"_"&amp;"CC_"&amp;Tab_Data_Flows[[#This Row],[Flow_Data_Year]]</f>
        <v>F_13_00_CC_2008</v>
      </c>
      <c r="AG51" s="7">
        <f>IF(F51="Yes",AE51*Tab_Data_Flows[[#This Row],[Flow_Material]]*Tab_Data_Flows[[#This Row],[DM_'[%']]],"N.A.")</f>
        <v>10</v>
      </c>
      <c r="AH51" s="7" t="str">
        <f>Tab_Data_Flows[[#This Row],[UoM_Flow_Py]]</f>
        <v>Mg</v>
      </c>
      <c r="AI51"/>
    </row>
    <row r="52" spans="1:35" x14ac:dyDescent="0.25">
      <c r="A52" s="9">
        <f t="shared" si="1"/>
        <v>51</v>
      </c>
      <c r="B52" s="7" t="str">
        <f>_xlfn.XLOOKUP(C52,Tab_Def_Flows[Flow_Name],Tab_Def_Flows[Flow_ID],,0,)</f>
        <v>F_13_00</v>
      </c>
      <c r="C52" s="8" t="s">
        <v>604</v>
      </c>
      <c r="D52" s="10" t="str">
        <f>_xlfn.XLOOKUP(C52,Tab_Def_Flows[Flow_Name],Tab_Def_Flows[WC?],,0,)</f>
        <v>Yes</v>
      </c>
      <c r="E52" s="10" t="str">
        <f>_xlfn.XLOOKUP(C52,Tab_Def_Flows[Flow_Name],Tab_Def_Flows[DM?],,0,)</f>
        <v>Yes</v>
      </c>
      <c r="F52" s="10" t="str">
        <f>_xlfn.XLOOKUP(C52,Tab_Def_Flows[Flow_Name],Tab_Def_Flows[CC?],,0,)</f>
        <v>Yes</v>
      </c>
      <c r="G52" s="8">
        <v>2009</v>
      </c>
      <c r="H52" s="26">
        <v>10</v>
      </c>
      <c r="I52" s="8"/>
      <c r="J52" s="18"/>
      <c r="K52" s="8" t="e">
        <f>INDEX(#REF!,MATCH(Tab_Data_Flows[[#This Row],[Flow_Name]],#REF!,0),12)</f>
        <v>#REF!</v>
      </c>
      <c r="L52" s="8" t="e">
        <f>MATCH(Tab_Data_Flows[[#This Row],[Flow_Name]],#REF!,0)</f>
        <v>#REF!</v>
      </c>
      <c r="M52" s="8"/>
      <c r="N52" s="8"/>
      <c r="O52" s="8"/>
      <c r="P52" s="8"/>
      <c r="Q52" s="8" t="s">
        <v>7</v>
      </c>
      <c r="R52" s="8"/>
      <c r="S52" s="8"/>
      <c r="T52" s="7" t="str">
        <f>Tab_Data_Flows[[#This Row],[Flow_ID]]&amp;"_"&amp;"material_"&amp;Tab_Data_Flows[[#This Row],[Flow_Data_Year]]</f>
        <v>F_13_00_material_2009</v>
      </c>
      <c r="U52" s="16">
        <f t="shared" si="2"/>
        <v>10</v>
      </c>
      <c r="V52" s="8" t="s">
        <v>211</v>
      </c>
      <c r="W52" s="153">
        <f>INDEX(Tab_Def_Flows[[Flow_ID]:[CC_DM_source]],MATCH(Tab_Data_Flows[[#This Row],[Flow_Name]],Tab_Def_Flows[Flow_Name],0),11)</f>
        <v>0</v>
      </c>
      <c r="X52" s="7" t="str">
        <f>Tab_Data_Flows[[#This Row],[Flow_ID]]&amp;"_"&amp;"WC_"&amp;Tab_Data_Flows[[#This Row],[Flow_Data_Year]]</f>
        <v>F_13_00_WC_2009</v>
      </c>
      <c r="Y52" s="7">
        <f>IF(D52="Yes",U52*Tab_Data_Flows[[#This Row],[WC_'[%']]],"N.A.")</f>
        <v>0</v>
      </c>
      <c r="Z52" s="7" t="str">
        <f>Tab_Data_Flows[[#This Row],[UoM_Flow_Py]]</f>
        <v>Mg</v>
      </c>
      <c r="AA52" s="153">
        <f>INDEX(Tab_Def_Flows[[Flow_ID]:[CC_DM_source]],MATCH(Tab_Data_Flows[[#This Row],[Flow_Name]],Tab_Def_Flows[Flow_Name],0),14)</f>
        <v>1</v>
      </c>
      <c r="AB52" s="7" t="str">
        <f>Tab_Data_Flows[[#This Row],[Flow_ID]]&amp;"_"&amp;"DM_"&amp;Tab_Data_Flows[[#This Row],[Flow_Data_Year]]</f>
        <v>F_13_00_DM_2009</v>
      </c>
      <c r="AC52" s="7">
        <f>IF(E52="Yes",AA52*Tab_Data_Flows[[#This Row],[Flow_Material]],"N.A.")</f>
        <v>10</v>
      </c>
      <c r="AD52" s="7" t="str">
        <f>Tab_Data_Flows[[#This Row],[UoM_Flow_Py]]</f>
        <v>Mg</v>
      </c>
      <c r="AE52" s="153">
        <f>INDEX(Tab_Def_Flows[[Flow_ID]:[CC_DM_source]],MATCH(Tab_Data_Flows[[#This Row],[Flow_Name]],Tab_Def_Flows[Flow_Name],0),17)</f>
        <v>1</v>
      </c>
      <c r="AF52" s="7" t="str">
        <f>Tab_Data_Flows[[#This Row],[Flow_ID]]&amp;"_"&amp;"CC_"&amp;Tab_Data_Flows[[#This Row],[Flow_Data_Year]]</f>
        <v>F_13_00_CC_2009</v>
      </c>
      <c r="AG52" s="7">
        <f>IF(F52="Yes",AE52*Tab_Data_Flows[[#This Row],[Flow_Material]]*Tab_Data_Flows[[#This Row],[DM_'[%']]],"N.A.")</f>
        <v>10</v>
      </c>
      <c r="AH52" s="7" t="str">
        <f>Tab_Data_Flows[[#This Row],[UoM_Flow_Py]]</f>
        <v>Mg</v>
      </c>
      <c r="AI52"/>
    </row>
    <row r="53" spans="1:35" x14ac:dyDescent="0.25">
      <c r="A53" s="9">
        <f t="shared" si="1"/>
        <v>52</v>
      </c>
      <c r="B53" s="7" t="str">
        <f>_xlfn.XLOOKUP(C53,Tab_Def_Flows[Flow_Name],Tab_Def_Flows[Flow_ID],,0,)</f>
        <v>F_13_00</v>
      </c>
      <c r="C53" s="8" t="s">
        <v>604</v>
      </c>
      <c r="D53" s="10" t="str">
        <f>_xlfn.XLOOKUP(C53,Tab_Def_Flows[Flow_Name],Tab_Def_Flows[WC?],,0,)</f>
        <v>Yes</v>
      </c>
      <c r="E53" s="10" t="str">
        <f>_xlfn.XLOOKUP(C53,Tab_Def_Flows[Flow_Name],Tab_Def_Flows[DM?],,0,)</f>
        <v>Yes</v>
      </c>
      <c r="F53" s="10" t="str">
        <f>_xlfn.XLOOKUP(C53,Tab_Def_Flows[Flow_Name],Tab_Def_Flows[CC?],,0,)</f>
        <v>Yes</v>
      </c>
      <c r="G53" s="8">
        <v>2010</v>
      </c>
      <c r="H53" s="26">
        <v>10</v>
      </c>
      <c r="I53" s="8"/>
      <c r="J53" s="18"/>
      <c r="K53" s="8" t="e">
        <f>INDEX(#REF!,MATCH(Tab_Data_Flows[[#This Row],[Flow_Name]],#REF!,0),12)</f>
        <v>#REF!</v>
      </c>
      <c r="L53" s="8" t="e">
        <f>MATCH(Tab_Data_Flows[[#This Row],[Flow_Name]],#REF!,0)</f>
        <v>#REF!</v>
      </c>
      <c r="M53" s="8"/>
      <c r="N53" s="8"/>
      <c r="O53" s="8"/>
      <c r="P53" s="8"/>
      <c r="Q53" s="8" t="s">
        <v>7</v>
      </c>
      <c r="R53" s="8"/>
      <c r="S53" s="8"/>
      <c r="T53" s="7" t="str">
        <f>Tab_Data_Flows[[#This Row],[Flow_ID]]&amp;"_"&amp;"material_"&amp;Tab_Data_Flows[[#This Row],[Flow_Data_Year]]</f>
        <v>F_13_00_material_2010</v>
      </c>
      <c r="U53" s="16">
        <f t="shared" si="2"/>
        <v>10</v>
      </c>
      <c r="V53" s="8" t="s">
        <v>211</v>
      </c>
      <c r="W53" s="153">
        <f>INDEX(Tab_Def_Flows[[Flow_ID]:[CC_DM_source]],MATCH(Tab_Data_Flows[[#This Row],[Flow_Name]],Tab_Def_Flows[Flow_Name],0),11)</f>
        <v>0</v>
      </c>
      <c r="X53" s="7" t="str">
        <f>Tab_Data_Flows[[#This Row],[Flow_ID]]&amp;"_"&amp;"WC_"&amp;Tab_Data_Flows[[#This Row],[Flow_Data_Year]]</f>
        <v>F_13_00_WC_2010</v>
      </c>
      <c r="Y53" s="7">
        <f>IF(D53="Yes",U53*Tab_Data_Flows[[#This Row],[WC_'[%']]],"N.A.")</f>
        <v>0</v>
      </c>
      <c r="Z53" s="7" t="str">
        <f>Tab_Data_Flows[[#This Row],[UoM_Flow_Py]]</f>
        <v>Mg</v>
      </c>
      <c r="AA53" s="153">
        <f>INDEX(Tab_Def_Flows[[Flow_ID]:[CC_DM_source]],MATCH(Tab_Data_Flows[[#This Row],[Flow_Name]],Tab_Def_Flows[Flow_Name],0),14)</f>
        <v>1</v>
      </c>
      <c r="AB53" s="7" t="str">
        <f>Tab_Data_Flows[[#This Row],[Flow_ID]]&amp;"_"&amp;"DM_"&amp;Tab_Data_Flows[[#This Row],[Flow_Data_Year]]</f>
        <v>F_13_00_DM_2010</v>
      </c>
      <c r="AC53" s="7">
        <f>IF(E53="Yes",AA53*Tab_Data_Flows[[#This Row],[Flow_Material]],"N.A.")</f>
        <v>10</v>
      </c>
      <c r="AD53" s="7" t="str">
        <f>Tab_Data_Flows[[#This Row],[UoM_Flow_Py]]</f>
        <v>Mg</v>
      </c>
      <c r="AE53" s="153">
        <f>INDEX(Tab_Def_Flows[[Flow_ID]:[CC_DM_source]],MATCH(Tab_Data_Flows[[#This Row],[Flow_Name]],Tab_Def_Flows[Flow_Name],0),17)</f>
        <v>1</v>
      </c>
      <c r="AF53" s="7" t="str">
        <f>Tab_Data_Flows[[#This Row],[Flow_ID]]&amp;"_"&amp;"CC_"&amp;Tab_Data_Flows[[#This Row],[Flow_Data_Year]]</f>
        <v>F_13_00_CC_2010</v>
      </c>
      <c r="AG53" s="7">
        <f>IF(F53="Yes",AE53*Tab_Data_Flows[[#This Row],[Flow_Material]]*Tab_Data_Flows[[#This Row],[DM_'[%']]],"N.A.")</f>
        <v>10</v>
      </c>
      <c r="AH53" s="7" t="str">
        <f>Tab_Data_Flows[[#This Row],[UoM_Flow_Py]]</f>
        <v>Mg</v>
      </c>
      <c r="AI53"/>
    </row>
    <row r="54" spans="1:35" x14ac:dyDescent="0.25">
      <c r="A54" s="9">
        <f t="shared" si="1"/>
        <v>53</v>
      </c>
      <c r="B54" s="7" t="str">
        <f>_xlfn.XLOOKUP(C54,Tab_Def_Flows[Flow_Name],Tab_Def_Flows[Flow_ID],,0,)</f>
        <v>F_13_00</v>
      </c>
      <c r="C54" s="8" t="s">
        <v>604</v>
      </c>
      <c r="D54" s="10" t="str">
        <f>_xlfn.XLOOKUP(C54,Tab_Def_Flows[Flow_Name],Tab_Def_Flows[WC?],,0,)</f>
        <v>Yes</v>
      </c>
      <c r="E54" s="10" t="str">
        <f>_xlfn.XLOOKUP(C54,Tab_Def_Flows[Flow_Name],Tab_Def_Flows[DM?],,0,)</f>
        <v>Yes</v>
      </c>
      <c r="F54" s="10" t="str">
        <f>_xlfn.XLOOKUP(C54,Tab_Def_Flows[Flow_Name],Tab_Def_Flows[CC?],,0,)</f>
        <v>Yes</v>
      </c>
      <c r="G54" s="8">
        <v>2011</v>
      </c>
      <c r="H54" s="26">
        <v>10</v>
      </c>
      <c r="I54" s="8"/>
      <c r="J54" s="18"/>
      <c r="K54" s="8" t="e">
        <f>INDEX(#REF!,MATCH(Tab_Data_Flows[[#This Row],[Flow_Name]],#REF!,0),12)</f>
        <v>#REF!</v>
      </c>
      <c r="L54" s="8" t="e">
        <f>MATCH(Tab_Data_Flows[[#This Row],[Flow_Name]],#REF!,0)</f>
        <v>#REF!</v>
      </c>
      <c r="M54" s="8"/>
      <c r="N54" s="8"/>
      <c r="O54" s="8"/>
      <c r="P54" s="8"/>
      <c r="Q54" s="8" t="s">
        <v>7</v>
      </c>
      <c r="R54" s="8"/>
      <c r="S54" s="8"/>
      <c r="T54" s="7" t="str">
        <f>Tab_Data_Flows[[#This Row],[Flow_ID]]&amp;"_"&amp;"material_"&amp;Tab_Data_Flows[[#This Row],[Flow_Data_Year]]</f>
        <v>F_13_00_material_2011</v>
      </c>
      <c r="U54" s="16">
        <f t="shared" si="2"/>
        <v>10</v>
      </c>
      <c r="V54" s="8" t="s">
        <v>211</v>
      </c>
      <c r="W54" s="153">
        <f>INDEX(Tab_Def_Flows[[Flow_ID]:[CC_DM_source]],MATCH(Tab_Data_Flows[[#This Row],[Flow_Name]],Tab_Def_Flows[Flow_Name],0),11)</f>
        <v>0</v>
      </c>
      <c r="X54" s="7" t="str">
        <f>Tab_Data_Flows[[#This Row],[Flow_ID]]&amp;"_"&amp;"WC_"&amp;Tab_Data_Flows[[#This Row],[Flow_Data_Year]]</f>
        <v>F_13_00_WC_2011</v>
      </c>
      <c r="Y54" s="7">
        <f>IF(D54="Yes",U54*Tab_Data_Flows[[#This Row],[WC_'[%']]],"N.A.")</f>
        <v>0</v>
      </c>
      <c r="Z54" s="7" t="str">
        <f>Tab_Data_Flows[[#This Row],[UoM_Flow_Py]]</f>
        <v>Mg</v>
      </c>
      <c r="AA54" s="153">
        <f>INDEX(Tab_Def_Flows[[Flow_ID]:[CC_DM_source]],MATCH(Tab_Data_Flows[[#This Row],[Flow_Name]],Tab_Def_Flows[Flow_Name],0),14)</f>
        <v>1</v>
      </c>
      <c r="AB54" s="7" t="str">
        <f>Tab_Data_Flows[[#This Row],[Flow_ID]]&amp;"_"&amp;"DM_"&amp;Tab_Data_Flows[[#This Row],[Flow_Data_Year]]</f>
        <v>F_13_00_DM_2011</v>
      </c>
      <c r="AC54" s="7">
        <f>IF(E54="Yes",AA54*Tab_Data_Flows[[#This Row],[Flow_Material]],"N.A.")</f>
        <v>10</v>
      </c>
      <c r="AD54" s="7" t="str">
        <f>Tab_Data_Flows[[#This Row],[UoM_Flow_Py]]</f>
        <v>Mg</v>
      </c>
      <c r="AE54" s="153">
        <f>INDEX(Tab_Def_Flows[[Flow_ID]:[CC_DM_source]],MATCH(Tab_Data_Flows[[#This Row],[Flow_Name]],Tab_Def_Flows[Flow_Name],0),17)</f>
        <v>1</v>
      </c>
      <c r="AF54" s="7" t="str">
        <f>Tab_Data_Flows[[#This Row],[Flow_ID]]&amp;"_"&amp;"CC_"&amp;Tab_Data_Flows[[#This Row],[Flow_Data_Year]]</f>
        <v>F_13_00_CC_2011</v>
      </c>
      <c r="AG54" s="7">
        <f>IF(F54="Yes",AE54*Tab_Data_Flows[[#This Row],[Flow_Material]]*Tab_Data_Flows[[#This Row],[DM_'[%']]],"N.A.")</f>
        <v>10</v>
      </c>
      <c r="AH54" s="7" t="str">
        <f>Tab_Data_Flows[[#This Row],[UoM_Flow_Py]]</f>
        <v>Mg</v>
      </c>
      <c r="AI54"/>
    </row>
    <row r="55" spans="1:35" x14ac:dyDescent="0.25">
      <c r="A55" s="9">
        <f t="shared" si="1"/>
        <v>54</v>
      </c>
      <c r="B55" s="7" t="str">
        <f>_xlfn.XLOOKUP(C55,Tab_Def_Flows[Flow_Name],Tab_Def_Flows[Flow_ID],,0,)</f>
        <v>F_13_00</v>
      </c>
      <c r="C55" s="8" t="s">
        <v>604</v>
      </c>
      <c r="D55" s="10" t="str">
        <f>_xlfn.XLOOKUP(C55,Tab_Def_Flows[Flow_Name],Tab_Def_Flows[WC?],,0,)</f>
        <v>Yes</v>
      </c>
      <c r="E55" s="10" t="str">
        <f>_xlfn.XLOOKUP(C55,Tab_Def_Flows[Flow_Name],Tab_Def_Flows[DM?],,0,)</f>
        <v>Yes</v>
      </c>
      <c r="F55" s="10" t="str">
        <f>_xlfn.XLOOKUP(C55,Tab_Def_Flows[Flow_Name],Tab_Def_Flows[CC?],,0,)</f>
        <v>Yes</v>
      </c>
      <c r="G55" s="8">
        <v>2012</v>
      </c>
      <c r="H55" s="26">
        <v>10</v>
      </c>
      <c r="I55" s="8"/>
      <c r="J55" s="18"/>
      <c r="K55" s="8" t="e">
        <f>INDEX(#REF!,MATCH(Tab_Data_Flows[[#This Row],[Flow_Name]],#REF!,0),12)</f>
        <v>#REF!</v>
      </c>
      <c r="L55" s="8" t="e">
        <f>MATCH(Tab_Data_Flows[[#This Row],[Flow_Name]],#REF!,0)</f>
        <v>#REF!</v>
      </c>
      <c r="M55" s="8"/>
      <c r="N55" s="8"/>
      <c r="O55" s="8"/>
      <c r="P55" s="8"/>
      <c r="Q55" s="8" t="s">
        <v>7</v>
      </c>
      <c r="R55" s="8"/>
      <c r="S55" s="8"/>
      <c r="T55" s="7" t="str">
        <f>Tab_Data_Flows[[#This Row],[Flow_ID]]&amp;"_"&amp;"material_"&amp;Tab_Data_Flows[[#This Row],[Flow_Data_Year]]</f>
        <v>F_13_00_material_2012</v>
      </c>
      <c r="U55" s="16">
        <f t="shared" si="2"/>
        <v>10</v>
      </c>
      <c r="V55" s="8" t="s">
        <v>211</v>
      </c>
      <c r="W55" s="153">
        <f>INDEX(Tab_Def_Flows[[Flow_ID]:[CC_DM_source]],MATCH(Tab_Data_Flows[[#This Row],[Flow_Name]],Tab_Def_Flows[Flow_Name],0),11)</f>
        <v>0</v>
      </c>
      <c r="X55" s="7" t="str">
        <f>Tab_Data_Flows[[#This Row],[Flow_ID]]&amp;"_"&amp;"WC_"&amp;Tab_Data_Flows[[#This Row],[Flow_Data_Year]]</f>
        <v>F_13_00_WC_2012</v>
      </c>
      <c r="Y55" s="7">
        <f>IF(D55="Yes",U55*Tab_Data_Flows[[#This Row],[WC_'[%']]],"N.A.")</f>
        <v>0</v>
      </c>
      <c r="Z55" s="7" t="str">
        <f>Tab_Data_Flows[[#This Row],[UoM_Flow_Py]]</f>
        <v>Mg</v>
      </c>
      <c r="AA55" s="153">
        <f>INDEX(Tab_Def_Flows[[Flow_ID]:[CC_DM_source]],MATCH(Tab_Data_Flows[[#This Row],[Flow_Name]],Tab_Def_Flows[Flow_Name],0),14)</f>
        <v>1</v>
      </c>
      <c r="AB55" s="7" t="str">
        <f>Tab_Data_Flows[[#This Row],[Flow_ID]]&amp;"_"&amp;"DM_"&amp;Tab_Data_Flows[[#This Row],[Flow_Data_Year]]</f>
        <v>F_13_00_DM_2012</v>
      </c>
      <c r="AC55" s="7">
        <f>IF(E55="Yes",AA55*Tab_Data_Flows[[#This Row],[Flow_Material]],"N.A.")</f>
        <v>10</v>
      </c>
      <c r="AD55" s="7" t="str">
        <f>Tab_Data_Flows[[#This Row],[UoM_Flow_Py]]</f>
        <v>Mg</v>
      </c>
      <c r="AE55" s="153">
        <f>INDEX(Tab_Def_Flows[[Flow_ID]:[CC_DM_source]],MATCH(Tab_Data_Flows[[#This Row],[Flow_Name]],Tab_Def_Flows[Flow_Name],0),17)</f>
        <v>1</v>
      </c>
      <c r="AF55" s="7" t="str">
        <f>Tab_Data_Flows[[#This Row],[Flow_ID]]&amp;"_"&amp;"CC_"&amp;Tab_Data_Flows[[#This Row],[Flow_Data_Year]]</f>
        <v>F_13_00_CC_2012</v>
      </c>
      <c r="AG55" s="7">
        <f>IF(F55="Yes",AE55*Tab_Data_Flows[[#This Row],[Flow_Material]]*Tab_Data_Flows[[#This Row],[DM_'[%']]],"N.A.")</f>
        <v>10</v>
      </c>
      <c r="AH55" s="7" t="str">
        <f>Tab_Data_Flows[[#This Row],[UoM_Flow_Py]]</f>
        <v>Mg</v>
      </c>
      <c r="AI55"/>
    </row>
    <row r="56" spans="1:35" x14ac:dyDescent="0.25">
      <c r="A56" s="9">
        <f t="shared" si="1"/>
        <v>55</v>
      </c>
      <c r="B56" s="7" t="str">
        <f>_xlfn.XLOOKUP(C56,Tab_Def_Flows[Flow_Name],Tab_Def_Flows[Flow_ID],,0,)</f>
        <v>F_13_00</v>
      </c>
      <c r="C56" s="8" t="s">
        <v>604</v>
      </c>
      <c r="D56" s="10" t="str">
        <f>_xlfn.XLOOKUP(C56,Tab_Def_Flows[Flow_Name],Tab_Def_Flows[WC?],,0,)</f>
        <v>Yes</v>
      </c>
      <c r="E56" s="10" t="str">
        <f>_xlfn.XLOOKUP(C56,Tab_Def_Flows[Flow_Name],Tab_Def_Flows[DM?],,0,)</f>
        <v>Yes</v>
      </c>
      <c r="F56" s="10" t="str">
        <f>_xlfn.XLOOKUP(C56,Tab_Def_Flows[Flow_Name],Tab_Def_Flows[CC?],,0,)</f>
        <v>Yes</v>
      </c>
      <c r="G56" s="8">
        <v>2013</v>
      </c>
      <c r="H56" s="26">
        <v>10</v>
      </c>
      <c r="I56" s="8"/>
      <c r="J56" s="18"/>
      <c r="K56" s="8" t="e">
        <f>INDEX(#REF!,MATCH(Tab_Data_Flows[[#This Row],[Flow_Name]],#REF!,0),12)</f>
        <v>#REF!</v>
      </c>
      <c r="L56" s="8" t="e">
        <f>MATCH(Tab_Data_Flows[[#This Row],[Flow_Name]],#REF!,0)</f>
        <v>#REF!</v>
      </c>
      <c r="M56" s="8"/>
      <c r="N56" s="8"/>
      <c r="O56" s="8"/>
      <c r="P56" s="8"/>
      <c r="Q56" s="8" t="s">
        <v>7</v>
      </c>
      <c r="R56" s="8"/>
      <c r="S56" s="8"/>
      <c r="T56" s="7" t="str">
        <f>Tab_Data_Flows[[#This Row],[Flow_ID]]&amp;"_"&amp;"material_"&amp;Tab_Data_Flows[[#This Row],[Flow_Data_Year]]</f>
        <v>F_13_00_material_2013</v>
      </c>
      <c r="U56" s="16">
        <f t="shared" si="2"/>
        <v>10</v>
      </c>
      <c r="V56" s="8" t="s">
        <v>211</v>
      </c>
      <c r="W56" s="153">
        <f>INDEX(Tab_Def_Flows[[Flow_ID]:[CC_DM_source]],MATCH(Tab_Data_Flows[[#This Row],[Flow_Name]],Tab_Def_Flows[Flow_Name],0),11)</f>
        <v>0</v>
      </c>
      <c r="X56" s="7" t="str">
        <f>Tab_Data_Flows[[#This Row],[Flow_ID]]&amp;"_"&amp;"WC_"&amp;Tab_Data_Flows[[#This Row],[Flow_Data_Year]]</f>
        <v>F_13_00_WC_2013</v>
      </c>
      <c r="Y56" s="7">
        <f>IF(D56="Yes",U56*Tab_Data_Flows[[#This Row],[WC_'[%']]],"N.A.")</f>
        <v>0</v>
      </c>
      <c r="Z56" s="7" t="str">
        <f>Tab_Data_Flows[[#This Row],[UoM_Flow_Py]]</f>
        <v>Mg</v>
      </c>
      <c r="AA56" s="153">
        <f>INDEX(Tab_Def_Flows[[Flow_ID]:[CC_DM_source]],MATCH(Tab_Data_Flows[[#This Row],[Flow_Name]],Tab_Def_Flows[Flow_Name],0),14)</f>
        <v>1</v>
      </c>
      <c r="AB56" s="7" t="str">
        <f>Tab_Data_Flows[[#This Row],[Flow_ID]]&amp;"_"&amp;"DM_"&amp;Tab_Data_Flows[[#This Row],[Flow_Data_Year]]</f>
        <v>F_13_00_DM_2013</v>
      </c>
      <c r="AC56" s="7">
        <f>IF(E56="Yes",AA56*Tab_Data_Flows[[#This Row],[Flow_Material]],"N.A.")</f>
        <v>10</v>
      </c>
      <c r="AD56" s="7" t="str">
        <f>Tab_Data_Flows[[#This Row],[UoM_Flow_Py]]</f>
        <v>Mg</v>
      </c>
      <c r="AE56" s="153">
        <f>INDEX(Tab_Def_Flows[[Flow_ID]:[CC_DM_source]],MATCH(Tab_Data_Flows[[#This Row],[Flow_Name]],Tab_Def_Flows[Flow_Name],0),17)</f>
        <v>1</v>
      </c>
      <c r="AF56" s="7" t="str">
        <f>Tab_Data_Flows[[#This Row],[Flow_ID]]&amp;"_"&amp;"CC_"&amp;Tab_Data_Flows[[#This Row],[Flow_Data_Year]]</f>
        <v>F_13_00_CC_2013</v>
      </c>
      <c r="AG56" s="7">
        <f>IF(F56="Yes",AE56*Tab_Data_Flows[[#This Row],[Flow_Material]]*Tab_Data_Flows[[#This Row],[DM_'[%']]],"N.A.")</f>
        <v>10</v>
      </c>
      <c r="AH56" s="7" t="str">
        <f>Tab_Data_Flows[[#This Row],[UoM_Flow_Py]]</f>
        <v>Mg</v>
      </c>
      <c r="AI56"/>
    </row>
    <row r="57" spans="1:35" x14ac:dyDescent="0.25">
      <c r="A57" s="9">
        <f t="shared" si="1"/>
        <v>56</v>
      </c>
      <c r="B57" s="7" t="str">
        <f>_xlfn.XLOOKUP(C57,Tab_Def_Flows[Flow_Name],Tab_Def_Flows[Flow_ID],,0,)</f>
        <v>F_13_00</v>
      </c>
      <c r="C57" s="8" t="s">
        <v>604</v>
      </c>
      <c r="D57" s="10" t="str">
        <f>_xlfn.XLOOKUP(C57,Tab_Def_Flows[Flow_Name],Tab_Def_Flows[WC?],,0,)</f>
        <v>Yes</v>
      </c>
      <c r="E57" s="10" t="str">
        <f>_xlfn.XLOOKUP(C57,Tab_Def_Flows[Flow_Name],Tab_Def_Flows[DM?],,0,)</f>
        <v>Yes</v>
      </c>
      <c r="F57" s="10" t="str">
        <f>_xlfn.XLOOKUP(C57,Tab_Def_Flows[Flow_Name],Tab_Def_Flows[CC?],,0,)</f>
        <v>Yes</v>
      </c>
      <c r="G57" s="8">
        <v>2014</v>
      </c>
      <c r="H57" s="26">
        <v>10</v>
      </c>
      <c r="I57" s="8"/>
      <c r="J57" s="18"/>
      <c r="K57" s="8" t="e">
        <f>INDEX(#REF!,MATCH(Tab_Data_Flows[[#This Row],[Flow_Name]],#REF!,0),12)</f>
        <v>#REF!</v>
      </c>
      <c r="L57" s="8" t="e">
        <f>MATCH(Tab_Data_Flows[[#This Row],[Flow_Name]],#REF!,0)</f>
        <v>#REF!</v>
      </c>
      <c r="M57" s="8"/>
      <c r="N57" s="8"/>
      <c r="O57" s="8"/>
      <c r="P57" s="8"/>
      <c r="Q57" s="8" t="s">
        <v>7</v>
      </c>
      <c r="R57" s="8"/>
      <c r="S57" s="8"/>
      <c r="T57" s="7" t="str">
        <f>Tab_Data_Flows[[#This Row],[Flow_ID]]&amp;"_"&amp;"material_"&amp;Tab_Data_Flows[[#This Row],[Flow_Data_Year]]</f>
        <v>F_13_00_material_2014</v>
      </c>
      <c r="U57" s="16">
        <f t="shared" si="2"/>
        <v>10</v>
      </c>
      <c r="V57" s="8" t="s">
        <v>211</v>
      </c>
      <c r="W57" s="153">
        <f>INDEX(Tab_Def_Flows[[Flow_ID]:[CC_DM_source]],MATCH(Tab_Data_Flows[[#This Row],[Flow_Name]],Tab_Def_Flows[Flow_Name],0),11)</f>
        <v>0</v>
      </c>
      <c r="X57" s="7" t="str">
        <f>Tab_Data_Flows[[#This Row],[Flow_ID]]&amp;"_"&amp;"WC_"&amp;Tab_Data_Flows[[#This Row],[Flow_Data_Year]]</f>
        <v>F_13_00_WC_2014</v>
      </c>
      <c r="Y57" s="7">
        <f>IF(D57="Yes",U57*Tab_Data_Flows[[#This Row],[WC_'[%']]],"N.A.")</f>
        <v>0</v>
      </c>
      <c r="Z57" s="7" t="str">
        <f>Tab_Data_Flows[[#This Row],[UoM_Flow_Py]]</f>
        <v>Mg</v>
      </c>
      <c r="AA57" s="153">
        <f>INDEX(Tab_Def_Flows[[Flow_ID]:[CC_DM_source]],MATCH(Tab_Data_Flows[[#This Row],[Flow_Name]],Tab_Def_Flows[Flow_Name],0),14)</f>
        <v>1</v>
      </c>
      <c r="AB57" s="7" t="str">
        <f>Tab_Data_Flows[[#This Row],[Flow_ID]]&amp;"_"&amp;"DM_"&amp;Tab_Data_Flows[[#This Row],[Flow_Data_Year]]</f>
        <v>F_13_00_DM_2014</v>
      </c>
      <c r="AC57" s="7">
        <f>IF(E57="Yes",AA57*Tab_Data_Flows[[#This Row],[Flow_Material]],"N.A.")</f>
        <v>10</v>
      </c>
      <c r="AD57" s="7" t="str">
        <f>Tab_Data_Flows[[#This Row],[UoM_Flow_Py]]</f>
        <v>Mg</v>
      </c>
      <c r="AE57" s="153">
        <f>INDEX(Tab_Def_Flows[[Flow_ID]:[CC_DM_source]],MATCH(Tab_Data_Flows[[#This Row],[Flow_Name]],Tab_Def_Flows[Flow_Name],0),17)</f>
        <v>1</v>
      </c>
      <c r="AF57" s="7" t="str">
        <f>Tab_Data_Flows[[#This Row],[Flow_ID]]&amp;"_"&amp;"CC_"&amp;Tab_Data_Flows[[#This Row],[Flow_Data_Year]]</f>
        <v>F_13_00_CC_2014</v>
      </c>
      <c r="AG57" s="7">
        <f>IF(F57="Yes",AE57*Tab_Data_Flows[[#This Row],[Flow_Material]]*Tab_Data_Flows[[#This Row],[DM_'[%']]],"N.A.")</f>
        <v>10</v>
      </c>
      <c r="AH57" s="7" t="str">
        <f>Tab_Data_Flows[[#This Row],[UoM_Flow_Py]]</f>
        <v>Mg</v>
      </c>
      <c r="AI57"/>
    </row>
    <row r="58" spans="1:35" x14ac:dyDescent="0.25">
      <c r="A58" s="9">
        <f t="shared" si="1"/>
        <v>57</v>
      </c>
      <c r="B58" s="7" t="str">
        <f>_xlfn.XLOOKUP(C58,Tab_Def_Flows[Flow_Name],Tab_Def_Flows[Flow_ID],,0,)</f>
        <v>F_13_00</v>
      </c>
      <c r="C58" s="8" t="s">
        <v>604</v>
      </c>
      <c r="D58" s="10" t="str">
        <f>_xlfn.XLOOKUP(C58,Tab_Def_Flows[Flow_Name],Tab_Def_Flows[WC?],,0,)</f>
        <v>Yes</v>
      </c>
      <c r="E58" s="10" t="str">
        <f>_xlfn.XLOOKUP(C58,Tab_Def_Flows[Flow_Name],Tab_Def_Flows[DM?],,0,)</f>
        <v>Yes</v>
      </c>
      <c r="F58" s="10" t="str">
        <f>_xlfn.XLOOKUP(C58,Tab_Def_Flows[Flow_Name],Tab_Def_Flows[CC?],,0,)</f>
        <v>Yes</v>
      </c>
      <c r="G58" s="8">
        <v>2015</v>
      </c>
      <c r="H58" s="26">
        <v>10</v>
      </c>
      <c r="I58" s="8"/>
      <c r="J58" s="18"/>
      <c r="K58" s="8" t="e">
        <f>INDEX(#REF!,MATCH(Tab_Data_Flows[[#This Row],[Flow_Name]],#REF!,0),12)</f>
        <v>#REF!</v>
      </c>
      <c r="L58" s="8" t="e">
        <f>MATCH(Tab_Data_Flows[[#This Row],[Flow_Name]],#REF!,0)</f>
        <v>#REF!</v>
      </c>
      <c r="M58" s="8"/>
      <c r="N58" s="8"/>
      <c r="O58" s="8"/>
      <c r="P58" s="8"/>
      <c r="Q58" s="8" t="s">
        <v>7</v>
      </c>
      <c r="R58" s="8"/>
      <c r="S58" s="8"/>
      <c r="T58" s="7" t="str">
        <f>Tab_Data_Flows[[#This Row],[Flow_ID]]&amp;"_"&amp;"material_"&amp;Tab_Data_Flows[[#This Row],[Flow_Data_Year]]</f>
        <v>F_13_00_material_2015</v>
      </c>
      <c r="U58" s="16">
        <f t="shared" si="2"/>
        <v>10</v>
      </c>
      <c r="V58" s="8" t="s">
        <v>211</v>
      </c>
      <c r="W58" s="153">
        <f>INDEX(Tab_Def_Flows[[Flow_ID]:[CC_DM_source]],MATCH(Tab_Data_Flows[[#This Row],[Flow_Name]],Tab_Def_Flows[Flow_Name],0),11)</f>
        <v>0</v>
      </c>
      <c r="X58" s="7" t="str">
        <f>Tab_Data_Flows[[#This Row],[Flow_ID]]&amp;"_"&amp;"WC_"&amp;Tab_Data_Flows[[#This Row],[Flow_Data_Year]]</f>
        <v>F_13_00_WC_2015</v>
      </c>
      <c r="Y58" s="7">
        <f>IF(D58="Yes",U58*Tab_Data_Flows[[#This Row],[WC_'[%']]],"N.A.")</f>
        <v>0</v>
      </c>
      <c r="Z58" s="7" t="str">
        <f>Tab_Data_Flows[[#This Row],[UoM_Flow_Py]]</f>
        <v>Mg</v>
      </c>
      <c r="AA58" s="153">
        <f>INDEX(Tab_Def_Flows[[Flow_ID]:[CC_DM_source]],MATCH(Tab_Data_Flows[[#This Row],[Flow_Name]],Tab_Def_Flows[Flow_Name],0),14)</f>
        <v>1</v>
      </c>
      <c r="AB58" s="7" t="str">
        <f>Tab_Data_Flows[[#This Row],[Flow_ID]]&amp;"_"&amp;"DM_"&amp;Tab_Data_Flows[[#This Row],[Flow_Data_Year]]</f>
        <v>F_13_00_DM_2015</v>
      </c>
      <c r="AC58" s="7">
        <f>IF(E58="Yes",AA58*Tab_Data_Flows[[#This Row],[Flow_Material]],"N.A.")</f>
        <v>10</v>
      </c>
      <c r="AD58" s="7" t="str">
        <f>Tab_Data_Flows[[#This Row],[UoM_Flow_Py]]</f>
        <v>Mg</v>
      </c>
      <c r="AE58" s="153">
        <f>INDEX(Tab_Def_Flows[[Flow_ID]:[CC_DM_source]],MATCH(Tab_Data_Flows[[#This Row],[Flow_Name]],Tab_Def_Flows[Flow_Name],0),17)</f>
        <v>1</v>
      </c>
      <c r="AF58" s="7" t="str">
        <f>Tab_Data_Flows[[#This Row],[Flow_ID]]&amp;"_"&amp;"CC_"&amp;Tab_Data_Flows[[#This Row],[Flow_Data_Year]]</f>
        <v>F_13_00_CC_2015</v>
      </c>
      <c r="AG58" s="7">
        <f>IF(F58="Yes",AE58*Tab_Data_Flows[[#This Row],[Flow_Material]]*Tab_Data_Flows[[#This Row],[DM_'[%']]],"N.A.")</f>
        <v>10</v>
      </c>
      <c r="AH58" s="7" t="str">
        <f>Tab_Data_Flows[[#This Row],[UoM_Flow_Py]]</f>
        <v>Mg</v>
      </c>
      <c r="AI58"/>
    </row>
    <row r="59" spans="1:35" x14ac:dyDescent="0.25">
      <c r="A59" s="9">
        <f t="shared" si="1"/>
        <v>58</v>
      </c>
      <c r="B59" s="7" t="str">
        <f>_xlfn.XLOOKUP(C59,Tab_Def_Flows[Flow_Name],Tab_Def_Flows[Flow_ID],,0,)</f>
        <v>F_13_00</v>
      </c>
      <c r="C59" s="8" t="s">
        <v>604</v>
      </c>
      <c r="D59" s="10" t="str">
        <f>_xlfn.XLOOKUP(C59,Tab_Def_Flows[Flow_Name],Tab_Def_Flows[WC?],,0,)</f>
        <v>Yes</v>
      </c>
      <c r="E59" s="10" t="str">
        <f>_xlfn.XLOOKUP(C59,Tab_Def_Flows[Flow_Name],Tab_Def_Flows[DM?],,0,)</f>
        <v>Yes</v>
      </c>
      <c r="F59" s="10" t="str">
        <f>_xlfn.XLOOKUP(C59,Tab_Def_Flows[Flow_Name],Tab_Def_Flows[CC?],,0,)</f>
        <v>Yes</v>
      </c>
      <c r="G59" s="8">
        <v>2016</v>
      </c>
      <c r="H59" s="26">
        <v>10</v>
      </c>
      <c r="I59" s="8"/>
      <c r="J59" s="18"/>
      <c r="K59" s="8" t="e">
        <f>INDEX(#REF!,MATCH(Tab_Data_Flows[[#This Row],[Flow_Name]],#REF!,0),12)</f>
        <v>#REF!</v>
      </c>
      <c r="L59" s="8" t="e">
        <f>MATCH(Tab_Data_Flows[[#This Row],[Flow_Name]],#REF!,0)</f>
        <v>#REF!</v>
      </c>
      <c r="M59" s="8"/>
      <c r="N59" s="8"/>
      <c r="O59" s="8"/>
      <c r="P59" s="8"/>
      <c r="Q59" s="8" t="s">
        <v>7</v>
      </c>
      <c r="R59" s="8"/>
      <c r="S59" s="8"/>
      <c r="T59" s="7" t="str">
        <f>Tab_Data_Flows[[#This Row],[Flow_ID]]&amp;"_"&amp;"material_"&amp;Tab_Data_Flows[[#This Row],[Flow_Data_Year]]</f>
        <v>F_13_00_material_2016</v>
      </c>
      <c r="U59" s="16">
        <f t="shared" si="2"/>
        <v>10</v>
      </c>
      <c r="V59" s="8" t="s">
        <v>211</v>
      </c>
      <c r="W59" s="153">
        <f>INDEX(Tab_Def_Flows[[Flow_ID]:[CC_DM_source]],MATCH(Tab_Data_Flows[[#This Row],[Flow_Name]],Tab_Def_Flows[Flow_Name],0),11)</f>
        <v>0</v>
      </c>
      <c r="X59" s="7" t="str">
        <f>Tab_Data_Flows[[#This Row],[Flow_ID]]&amp;"_"&amp;"WC_"&amp;Tab_Data_Flows[[#This Row],[Flow_Data_Year]]</f>
        <v>F_13_00_WC_2016</v>
      </c>
      <c r="Y59" s="7">
        <f>IF(D59="Yes",U59*Tab_Data_Flows[[#This Row],[WC_'[%']]],"N.A.")</f>
        <v>0</v>
      </c>
      <c r="Z59" s="7" t="str">
        <f>Tab_Data_Flows[[#This Row],[UoM_Flow_Py]]</f>
        <v>Mg</v>
      </c>
      <c r="AA59" s="153">
        <f>INDEX(Tab_Def_Flows[[Flow_ID]:[CC_DM_source]],MATCH(Tab_Data_Flows[[#This Row],[Flow_Name]],Tab_Def_Flows[Flow_Name],0),14)</f>
        <v>1</v>
      </c>
      <c r="AB59" s="7" t="str">
        <f>Tab_Data_Flows[[#This Row],[Flow_ID]]&amp;"_"&amp;"DM_"&amp;Tab_Data_Flows[[#This Row],[Flow_Data_Year]]</f>
        <v>F_13_00_DM_2016</v>
      </c>
      <c r="AC59" s="7">
        <f>IF(E59="Yes",AA59*Tab_Data_Flows[[#This Row],[Flow_Material]],"N.A.")</f>
        <v>10</v>
      </c>
      <c r="AD59" s="7" t="str">
        <f>Tab_Data_Flows[[#This Row],[UoM_Flow_Py]]</f>
        <v>Mg</v>
      </c>
      <c r="AE59" s="153">
        <f>INDEX(Tab_Def_Flows[[Flow_ID]:[CC_DM_source]],MATCH(Tab_Data_Flows[[#This Row],[Flow_Name]],Tab_Def_Flows[Flow_Name],0),17)</f>
        <v>1</v>
      </c>
      <c r="AF59" s="7" t="str">
        <f>Tab_Data_Flows[[#This Row],[Flow_ID]]&amp;"_"&amp;"CC_"&amp;Tab_Data_Flows[[#This Row],[Flow_Data_Year]]</f>
        <v>F_13_00_CC_2016</v>
      </c>
      <c r="AG59" s="7">
        <f>IF(F59="Yes",AE59*Tab_Data_Flows[[#This Row],[Flow_Material]]*Tab_Data_Flows[[#This Row],[DM_'[%']]],"N.A.")</f>
        <v>10</v>
      </c>
      <c r="AH59" s="7" t="str">
        <f>Tab_Data_Flows[[#This Row],[UoM_Flow_Py]]</f>
        <v>Mg</v>
      </c>
      <c r="AI59"/>
    </row>
    <row r="60" spans="1:35" x14ac:dyDescent="0.25">
      <c r="A60" s="9">
        <f t="shared" si="1"/>
        <v>59</v>
      </c>
      <c r="B60" s="7" t="str">
        <f>_xlfn.XLOOKUP(C60,Tab_Def_Flows[Flow_Name],Tab_Def_Flows[Flow_ID],,0,)</f>
        <v>F_13_00</v>
      </c>
      <c r="C60" s="8" t="s">
        <v>604</v>
      </c>
      <c r="D60" s="10" t="str">
        <f>_xlfn.XLOOKUP(C60,Tab_Def_Flows[Flow_Name],Tab_Def_Flows[WC?],,0,)</f>
        <v>Yes</v>
      </c>
      <c r="E60" s="10" t="str">
        <f>_xlfn.XLOOKUP(C60,Tab_Def_Flows[Flow_Name],Tab_Def_Flows[DM?],,0,)</f>
        <v>Yes</v>
      </c>
      <c r="F60" s="10" t="str">
        <f>_xlfn.XLOOKUP(C60,Tab_Def_Flows[Flow_Name],Tab_Def_Flows[CC?],,0,)</f>
        <v>Yes</v>
      </c>
      <c r="G60" s="8">
        <v>2017</v>
      </c>
      <c r="H60" s="26">
        <v>10</v>
      </c>
      <c r="I60" s="8"/>
      <c r="J60" s="18"/>
      <c r="K60" s="8"/>
      <c r="L60" s="8"/>
      <c r="M60" s="8"/>
      <c r="N60" s="8"/>
      <c r="O60" s="8"/>
      <c r="P60" s="8"/>
      <c r="Q60" s="8" t="s">
        <v>7</v>
      </c>
      <c r="R60" s="19"/>
      <c r="S60" s="8"/>
      <c r="T60" s="7" t="str">
        <f>Tab_Data_Flows[[#This Row],[Flow_ID]]&amp;"_"&amp;"material_"&amp;Tab_Data_Flows[[#This Row],[Flow_Data_Year]]</f>
        <v>F_13_00_material_2017</v>
      </c>
      <c r="U60" s="16">
        <f t="shared" si="2"/>
        <v>10</v>
      </c>
      <c r="V60" s="8" t="s">
        <v>211</v>
      </c>
      <c r="W60" s="153">
        <f>INDEX(Tab_Def_Flows[[Flow_ID]:[CC_DM_source]],MATCH(Tab_Data_Flows[[#This Row],[Flow_Name]],Tab_Def_Flows[Flow_Name],0),11)</f>
        <v>0</v>
      </c>
      <c r="X60" s="7" t="str">
        <f>Tab_Data_Flows[[#This Row],[Flow_ID]]&amp;"_"&amp;"WC_"&amp;Tab_Data_Flows[[#This Row],[Flow_Data_Year]]</f>
        <v>F_13_00_WC_2017</v>
      </c>
      <c r="Y60" s="7">
        <f>IF(D60="Yes",U60*Tab_Data_Flows[[#This Row],[WC_'[%']]],"N.A.")</f>
        <v>0</v>
      </c>
      <c r="Z60" s="7" t="str">
        <f>Tab_Data_Flows[[#This Row],[UoM_Flow_Py]]</f>
        <v>Mg</v>
      </c>
      <c r="AA60" s="153">
        <f>INDEX(Tab_Def_Flows[[Flow_ID]:[CC_DM_source]],MATCH(Tab_Data_Flows[[#This Row],[Flow_Name]],Tab_Def_Flows[Flow_Name],0),14)</f>
        <v>1</v>
      </c>
      <c r="AB60" s="7" t="str">
        <f>Tab_Data_Flows[[#This Row],[Flow_ID]]&amp;"_"&amp;"DM_"&amp;Tab_Data_Flows[[#This Row],[Flow_Data_Year]]</f>
        <v>F_13_00_DM_2017</v>
      </c>
      <c r="AC60" s="7">
        <f>IF(E60="Yes",AA60*Tab_Data_Flows[[#This Row],[Flow_Material]],"N.A.")</f>
        <v>10</v>
      </c>
      <c r="AD60" s="7" t="str">
        <f>Tab_Data_Flows[[#This Row],[UoM_Flow_Py]]</f>
        <v>Mg</v>
      </c>
      <c r="AE60" s="153">
        <f>INDEX(Tab_Def_Flows[[Flow_ID]:[CC_DM_source]],MATCH(Tab_Data_Flows[[#This Row],[Flow_Name]],Tab_Def_Flows[Flow_Name],0),17)</f>
        <v>1</v>
      </c>
      <c r="AF60" s="7" t="str">
        <f>Tab_Data_Flows[[#This Row],[Flow_ID]]&amp;"_"&amp;"CC_"&amp;Tab_Data_Flows[[#This Row],[Flow_Data_Year]]</f>
        <v>F_13_00_CC_2017</v>
      </c>
      <c r="AG60" s="7">
        <f>IF(F60="Yes",AE60*Tab_Data_Flows[[#This Row],[Flow_Material]]*Tab_Data_Flows[[#This Row],[DM_'[%']]],"N.A.")</f>
        <v>10</v>
      </c>
      <c r="AH60" s="7" t="str">
        <f>Tab_Data_Flows[[#This Row],[UoM_Flow_Py]]</f>
        <v>Mg</v>
      </c>
      <c r="AI60"/>
    </row>
    <row r="61" spans="1:35" x14ac:dyDescent="0.25">
      <c r="A61" s="9">
        <f t="shared" si="1"/>
        <v>60</v>
      </c>
      <c r="B61" s="7" t="str">
        <f>_xlfn.XLOOKUP(C61,Tab_Def_Flows[Flow_Name],Tab_Def_Flows[Flow_ID],,0,)</f>
        <v>F_13_00</v>
      </c>
      <c r="C61" s="8" t="s">
        <v>604</v>
      </c>
      <c r="D61" s="10" t="str">
        <f>_xlfn.XLOOKUP(C61,Tab_Def_Flows[Flow_Name],Tab_Def_Flows[WC?],,0,)</f>
        <v>Yes</v>
      </c>
      <c r="E61" s="10" t="str">
        <f>_xlfn.XLOOKUP(C61,Tab_Def_Flows[Flow_Name],Tab_Def_Flows[DM?],,0,)</f>
        <v>Yes</v>
      </c>
      <c r="F61" s="10" t="str">
        <f>_xlfn.XLOOKUP(C61,Tab_Def_Flows[Flow_Name],Tab_Def_Flows[CC?],,0,)</f>
        <v>Yes</v>
      </c>
      <c r="G61" s="8">
        <v>2018</v>
      </c>
      <c r="H61" s="26">
        <v>10</v>
      </c>
      <c r="I61" s="8"/>
      <c r="J61" s="18"/>
      <c r="K61" s="8"/>
      <c r="L61" s="8"/>
      <c r="M61" s="8"/>
      <c r="N61" s="8"/>
      <c r="O61" s="8"/>
      <c r="P61" s="8"/>
      <c r="Q61" s="8" t="s">
        <v>7</v>
      </c>
      <c r="R61" s="19"/>
      <c r="S61" s="8"/>
      <c r="T61" s="7" t="str">
        <f>Tab_Data_Flows[[#This Row],[Flow_ID]]&amp;"_"&amp;"material_"&amp;Tab_Data_Flows[[#This Row],[Flow_Data_Year]]</f>
        <v>F_13_00_material_2018</v>
      </c>
      <c r="U61" s="16">
        <f t="shared" si="2"/>
        <v>10</v>
      </c>
      <c r="V61" s="8" t="s">
        <v>211</v>
      </c>
      <c r="W61" s="153">
        <f>INDEX(Tab_Def_Flows[[Flow_ID]:[CC_DM_source]],MATCH(Tab_Data_Flows[[#This Row],[Flow_Name]],Tab_Def_Flows[Flow_Name],0),11)</f>
        <v>0</v>
      </c>
      <c r="X61" s="7" t="str">
        <f>Tab_Data_Flows[[#This Row],[Flow_ID]]&amp;"_"&amp;"WC_"&amp;Tab_Data_Flows[[#This Row],[Flow_Data_Year]]</f>
        <v>F_13_00_WC_2018</v>
      </c>
      <c r="Y61" s="7">
        <f>IF(D61="Yes",U61*Tab_Data_Flows[[#This Row],[WC_'[%']]],"N.A.")</f>
        <v>0</v>
      </c>
      <c r="Z61" s="7" t="str">
        <f>Tab_Data_Flows[[#This Row],[UoM_Flow_Py]]</f>
        <v>Mg</v>
      </c>
      <c r="AA61" s="153">
        <f>INDEX(Tab_Def_Flows[[Flow_ID]:[CC_DM_source]],MATCH(Tab_Data_Flows[[#This Row],[Flow_Name]],Tab_Def_Flows[Flow_Name],0),14)</f>
        <v>1</v>
      </c>
      <c r="AB61" s="7" t="str">
        <f>Tab_Data_Flows[[#This Row],[Flow_ID]]&amp;"_"&amp;"DM_"&amp;Tab_Data_Flows[[#This Row],[Flow_Data_Year]]</f>
        <v>F_13_00_DM_2018</v>
      </c>
      <c r="AC61" s="7">
        <f>IF(E61="Yes",AA61*Tab_Data_Flows[[#This Row],[Flow_Material]],"N.A.")</f>
        <v>10</v>
      </c>
      <c r="AD61" s="7" t="str">
        <f>Tab_Data_Flows[[#This Row],[UoM_Flow_Py]]</f>
        <v>Mg</v>
      </c>
      <c r="AE61" s="153">
        <f>INDEX(Tab_Def_Flows[[Flow_ID]:[CC_DM_source]],MATCH(Tab_Data_Flows[[#This Row],[Flow_Name]],Tab_Def_Flows[Flow_Name],0),17)</f>
        <v>1</v>
      </c>
      <c r="AF61" s="7" t="str">
        <f>Tab_Data_Flows[[#This Row],[Flow_ID]]&amp;"_"&amp;"CC_"&amp;Tab_Data_Flows[[#This Row],[Flow_Data_Year]]</f>
        <v>F_13_00_CC_2018</v>
      </c>
      <c r="AG61" s="7">
        <f>IF(F61="Yes",AE61*Tab_Data_Flows[[#This Row],[Flow_Material]]*Tab_Data_Flows[[#This Row],[DM_'[%']]],"N.A.")</f>
        <v>10</v>
      </c>
      <c r="AH61" s="7" t="str">
        <f>Tab_Data_Flows[[#This Row],[UoM_Flow_Py]]</f>
        <v>Mg</v>
      </c>
      <c r="AI61"/>
    </row>
    <row r="62" spans="1:35" x14ac:dyDescent="0.25">
      <c r="A62" s="9">
        <f t="shared" si="1"/>
        <v>61</v>
      </c>
      <c r="B62" s="7" t="str">
        <f>_xlfn.XLOOKUP(C62,Tab_Def_Flows[Flow_Name],Tab_Def_Flows[Flow_ID],,0,)</f>
        <v>F_13_00</v>
      </c>
      <c r="C62" s="8" t="s">
        <v>604</v>
      </c>
      <c r="D62" s="10" t="str">
        <f>_xlfn.XLOOKUP(C62,Tab_Def_Flows[Flow_Name],Tab_Def_Flows[WC?],,0,)</f>
        <v>Yes</v>
      </c>
      <c r="E62" s="10" t="str">
        <f>_xlfn.XLOOKUP(C62,Tab_Def_Flows[Flow_Name],Tab_Def_Flows[DM?],,0,)</f>
        <v>Yes</v>
      </c>
      <c r="F62" s="10" t="str">
        <f>_xlfn.XLOOKUP(C62,Tab_Def_Flows[Flow_Name],Tab_Def_Flows[CC?],,0,)</f>
        <v>Yes</v>
      </c>
      <c r="G62" s="8">
        <v>2019</v>
      </c>
      <c r="H62" s="26">
        <v>10</v>
      </c>
      <c r="I62" s="8"/>
      <c r="J62" s="18"/>
      <c r="K62" s="8"/>
      <c r="L62" s="8"/>
      <c r="M62" s="8"/>
      <c r="N62" s="8"/>
      <c r="O62" s="8"/>
      <c r="P62" s="8"/>
      <c r="Q62" s="8" t="s">
        <v>7</v>
      </c>
      <c r="R62" s="19"/>
      <c r="S62" s="8"/>
      <c r="T62" s="7" t="str">
        <f>Tab_Data_Flows[[#This Row],[Flow_ID]]&amp;"_"&amp;"material_"&amp;Tab_Data_Flows[[#This Row],[Flow_Data_Year]]</f>
        <v>F_13_00_material_2019</v>
      </c>
      <c r="U62" s="16">
        <f t="shared" si="2"/>
        <v>10</v>
      </c>
      <c r="V62" s="8" t="s">
        <v>211</v>
      </c>
      <c r="W62" s="153">
        <f>INDEX(Tab_Def_Flows[[Flow_ID]:[CC_DM_source]],MATCH(Tab_Data_Flows[[#This Row],[Flow_Name]],Tab_Def_Flows[Flow_Name],0),11)</f>
        <v>0</v>
      </c>
      <c r="X62" s="7" t="str">
        <f>Tab_Data_Flows[[#This Row],[Flow_ID]]&amp;"_"&amp;"WC_"&amp;Tab_Data_Flows[[#This Row],[Flow_Data_Year]]</f>
        <v>F_13_00_WC_2019</v>
      </c>
      <c r="Y62" s="7">
        <f>IF(D62="Yes",U62*Tab_Data_Flows[[#This Row],[WC_'[%']]],"N.A.")</f>
        <v>0</v>
      </c>
      <c r="Z62" s="7" t="str">
        <f>Tab_Data_Flows[[#This Row],[UoM_Flow_Py]]</f>
        <v>Mg</v>
      </c>
      <c r="AA62" s="153">
        <f>INDEX(Tab_Def_Flows[[Flow_ID]:[CC_DM_source]],MATCH(Tab_Data_Flows[[#This Row],[Flow_Name]],Tab_Def_Flows[Flow_Name],0),14)</f>
        <v>1</v>
      </c>
      <c r="AB62" s="7" t="str">
        <f>Tab_Data_Flows[[#This Row],[Flow_ID]]&amp;"_"&amp;"DM_"&amp;Tab_Data_Flows[[#This Row],[Flow_Data_Year]]</f>
        <v>F_13_00_DM_2019</v>
      </c>
      <c r="AC62" s="7">
        <f>IF(E62="Yes",AA62*Tab_Data_Flows[[#This Row],[Flow_Material]],"N.A.")</f>
        <v>10</v>
      </c>
      <c r="AD62" s="7" t="str">
        <f>Tab_Data_Flows[[#This Row],[UoM_Flow_Py]]</f>
        <v>Mg</v>
      </c>
      <c r="AE62" s="153">
        <f>INDEX(Tab_Def_Flows[[Flow_ID]:[CC_DM_source]],MATCH(Tab_Data_Flows[[#This Row],[Flow_Name]],Tab_Def_Flows[Flow_Name],0),17)</f>
        <v>1</v>
      </c>
      <c r="AF62" s="7" t="str">
        <f>Tab_Data_Flows[[#This Row],[Flow_ID]]&amp;"_"&amp;"CC_"&amp;Tab_Data_Flows[[#This Row],[Flow_Data_Year]]</f>
        <v>F_13_00_CC_2019</v>
      </c>
      <c r="AG62" s="7">
        <f>IF(F62="Yes",AE62*Tab_Data_Flows[[#This Row],[Flow_Material]]*Tab_Data_Flows[[#This Row],[DM_'[%']]],"N.A.")</f>
        <v>10</v>
      </c>
      <c r="AH62" s="7" t="str">
        <f>Tab_Data_Flows[[#This Row],[UoM_Flow_Py]]</f>
        <v>Mg</v>
      </c>
      <c r="AI62"/>
    </row>
    <row r="63" spans="1:35" x14ac:dyDescent="0.25">
      <c r="A63" s="9">
        <f t="shared" si="1"/>
        <v>62</v>
      </c>
      <c r="B63" s="7" t="str">
        <f>_xlfn.XLOOKUP(C63,Tab_Def_Flows[Flow_Name],Tab_Def_Flows[Flow_ID],,0,)</f>
        <v>F_13_00</v>
      </c>
      <c r="C63" s="8" t="s">
        <v>604</v>
      </c>
      <c r="D63" s="10" t="str">
        <f>_xlfn.XLOOKUP(C63,Tab_Def_Flows[Flow_Name],Tab_Def_Flows[WC?],,0,)</f>
        <v>Yes</v>
      </c>
      <c r="E63" s="10" t="str">
        <f>_xlfn.XLOOKUP(C63,Tab_Def_Flows[Flow_Name],Tab_Def_Flows[DM?],,0,)</f>
        <v>Yes</v>
      </c>
      <c r="F63" s="10" t="str">
        <f>_xlfn.XLOOKUP(C63,Tab_Def_Flows[Flow_Name],Tab_Def_Flows[CC?],,0,)</f>
        <v>Yes</v>
      </c>
      <c r="G63" s="8">
        <v>2020</v>
      </c>
      <c r="H63" s="26">
        <v>10</v>
      </c>
      <c r="I63" s="8"/>
      <c r="J63" s="18"/>
      <c r="K63" s="8"/>
      <c r="L63" s="8"/>
      <c r="M63" s="8"/>
      <c r="N63" s="8"/>
      <c r="O63" s="8"/>
      <c r="P63" s="8"/>
      <c r="Q63" s="8" t="s">
        <v>7</v>
      </c>
      <c r="R63" s="19"/>
      <c r="S63" s="8"/>
      <c r="T63" s="7" t="str">
        <f>Tab_Data_Flows[[#This Row],[Flow_ID]]&amp;"_"&amp;"material_"&amp;Tab_Data_Flows[[#This Row],[Flow_Data_Year]]</f>
        <v>F_13_00_material_2020</v>
      </c>
      <c r="U63" s="16">
        <f t="shared" si="2"/>
        <v>10</v>
      </c>
      <c r="V63" s="8" t="s">
        <v>211</v>
      </c>
      <c r="W63" s="153">
        <f>INDEX(Tab_Def_Flows[[Flow_ID]:[CC_DM_source]],MATCH(Tab_Data_Flows[[#This Row],[Flow_Name]],Tab_Def_Flows[Flow_Name],0),11)</f>
        <v>0</v>
      </c>
      <c r="X63" s="7" t="str">
        <f>Tab_Data_Flows[[#This Row],[Flow_ID]]&amp;"_"&amp;"WC_"&amp;Tab_Data_Flows[[#This Row],[Flow_Data_Year]]</f>
        <v>F_13_00_WC_2020</v>
      </c>
      <c r="Y63" s="7">
        <f>IF(D63="Yes",U63*Tab_Data_Flows[[#This Row],[WC_'[%']]],"N.A.")</f>
        <v>0</v>
      </c>
      <c r="Z63" s="7" t="str">
        <f>Tab_Data_Flows[[#This Row],[UoM_Flow_Py]]</f>
        <v>Mg</v>
      </c>
      <c r="AA63" s="153">
        <f>INDEX(Tab_Def_Flows[[Flow_ID]:[CC_DM_source]],MATCH(Tab_Data_Flows[[#This Row],[Flow_Name]],Tab_Def_Flows[Flow_Name],0),14)</f>
        <v>1</v>
      </c>
      <c r="AB63" s="7" t="str">
        <f>Tab_Data_Flows[[#This Row],[Flow_ID]]&amp;"_"&amp;"DM_"&amp;Tab_Data_Flows[[#This Row],[Flow_Data_Year]]</f>
        <v>F_13_00_DM_2020</v>
      </c>
      <c r="AC63" s="7">
        <f>IF(E63="Yes",AA63*Tab_Data_Flows[[#This Row],[Flow_Material]],"N.A.")</f>
        <v>10</v>
      </c>
      <c r="AD63" s="7" t="str">
        <f>Tab_Data_Flows[[#This Row],[UoM_Flow_Py]]</f>
        <v>Mg</v>
      </c>
      <c r="AE63" s="153">
        <f>INDEX(Tab_Def_Flows[[Flow_ID]:[CC_DM_source]],MATCH(Tab_Data_Flows[[#This Row],[Flow_Name]],Tab_Def_Flows[Flow_Name],0),17)</f>
        <v>1</v>
      </c>
      <c r="AF63" s="7" t="str">
        <f>Tab_Data_Flows[[#This Row],[Flow_ID]]&amp;"_"&amp;"CC_"&amp;Tab_Data_Flows[[#This Row],[Flow_Data_Year]]</f>
        <v>F_13_00_CC_2020</v>
      </c>
      <c r="AG63" s="7">
        <f>IF(F63="Yes",AE63*Tab_Data_Flows[[#This Row],[Flow_Material]]*Tab_Data_Flows[[#This Row],[DM_'[%']]],"N.A.")</f>
        <v>10</v>
      </c>
      <c r="AH63" s="7" t="str">
        <f>Tab_Data_Flows[[#This Row],[UoM_Flow_Py]]</f>
        <v>Mg</v>
      </c>
      <c r="AI63"/>
    </row>
    <row r="64" spans="1:35" x14ac:dyDescent="0.25">
      <c r="A64" s="9">
        <f t="shared" si="1"/>
        <v>63</v>
      </c>
      <c r="B64" s="7" t="str">
        <f>_xlfn.XLOOKUP(C64,Tab_Def_Flows[Flow_Name],Tab_Def_Flows[Flow_ID],,0,)</f>
        <v>F_13_00</v>
      </c>
      <c r="C64" s="8" t="s">
        <v>604</v>
      </c>
      <c r="D64" s="10" t="str">
        <f>_xlfn.XLOOKUP(C64,Tab_Def_Flows[Flow_Name],Tab_Def_Flows[WC?],,0,)</f>
        <v>Yes</v>
      </c>
      <c r="E64" s="10" t="str">
        <f>_xlfn.XLOOKUP(C64,Tab_Def_Flows[Flow_Name],Tab_Def_Flows[DM?],,0,)</f>
        <v>Yes</v>
      </c>
      <c r="F64" s="10" t="str">
        <f>_xlfn.XLOOKUP(C64,Tab_Def_Flows[Flow_Name],Tab_Def_Flows[CC?],,0,)</f>
        <v>Yes</v>
      </c>
      <c r="G64" s="8">
        <v>2021</v>
      </c>
      <c r="H64" s="26">
        <v>10</v>
      </c>
      <c r="I64" s="8"/>
      <c r="J64" s="18"/>
      <c r="K64" s="8"/>
      <c r="L64" s="8"/>
      <c r="M64" s="8"/>
      <c r="N64" s="8"/>
      <c r="O64" s="8"/>
      <c r="P64" s="8"/>
      <c r="Q64" s="8" t="s">
        <v>7</v>
      </c>
      <c r="R64" s="19"/>
      <c r="S64" s="8"/>
      <c r="T64" s="7" t="str">
        <f>Tab_Data_Flows[[#This Row],[Flow_ID]]&amp;"_"&amp;"material_"&amp;Tab_Data_Flows[[#This Row],[Flow_Data_Year]]</f>
        <v>F_13_00_material_2021</v>
      </c>
      <c r="U64" s="16">
        <f t="shared" si="2"/>
        <v>10</v>
      </c>
      <c r="V64" s="8" t="s">
        <v>211</v>
      </c>
      <c r="W64" s="153">
        <f>INDEX(Tab_Def_Flows[[Flow_ID]:[CC_DM_source]],MATCH(Tab_Data_Flows[[#This Row],[Flow_Name]],Tab_Def_Flows[Flow_Name],0),11)</f>
        <v>0</v>
      </c>
      <c r="X64" s="7" t="str">
        <f>Tab_Data_Flows[[#This Row],[Flow_ID]]&amp;"_"&amp;"WC_"&amp;Tab_Data_Flows[[#This Row],[Flow_Data_Year]]</f>
        <v>F_13_00_WC_2021</v>
      </c>
      <c r="Y64" s="7">
        <f>IF(D64="Yes",U64*Tab_Data_Flows[[#This Row],[WC_'[%']]],"N.A.")</f>
        <v>0</v>
      </c>
      <c r="Z64" s="7" t="str">
        <f>Tab_Data_Flows[[#This Row],[UoM_Flow_Py]]</f>
        <v>Mg</v>
      </c>
      <c r="AA64" s="153">
        <f>INDEX(Tab_Def_Flows[[Flow_ID]:[CC_DM_source]],MATCH(Tab_Data_Flows[[#This Row],[Flow_Name]],Tab_Def_Flows[Flow_Name],0),14)</f>
        <v>1</v>
      </c>
      <c r="AB64" s="7" t="str">
        <f>Tab_Data_Flows[[#This Row],[Flow_ID]]&amp;"_"&amp;"DM_"&amp;Tab_Data_Flows[[#This Row],[Flow_Data_Year]]</f>
        <v>F_13_00_DM_2021</v>
      </c>
      <c r="AC64" s="7">
        <f>IF(E64="Yes",AA64*Tab_Data_Flows[[#This Row],[Flow_Material]],"N.A.")</f>
        <v>10</v>
      </c>
      <c r="AD64" s="7" t="str">
        <f>Tab_Data_Flows[[#This Row],[UoM_Flow_Py]]</f>
        <v>Mg</v>
      </c>
      <c r="AE64" s="153">
        <f>INDEX(Tab_Def_Flows[[Flow_ID]:[CC_DM_source]],MATCH(Tab_Data_Flows[[#This Row],[Flow_Name]],Tab_Def_Flows[Flow_Name],0),17)</f>
        <v>1</v>
      </c>
      <c r="AF64" s="7" t="str">
        <f>Tab_Data_Flows[[#This Row],[Flow_ID]]&amp;"_"&amp;"CC_"&amp;Tab_Data_Flows[[#This Row],[Flow_Data_Year]]</f>
        <v>F_13_00_CC_2021</v>
      </c>
      <c r="AG64" s="7">
        <f>IF(F64="Yes",AE64*Tab_Data_Flows[[#This Row],[Flow_Material]]*Tab_Data_Flows[[#This Row],[DM_'[%']]],"N.A.")</f>
        <v>10</v>
      </c>
      <c r="AH64" s="7" t="str">
        <f>Tab_Data_Flows[[#This Row],[UoM_Flow_Py]]</f>
        <v>Mg</v>
      </c>
      <c r="AI64"/>
    </row>
    <row r="65" spans="1:35" x14ac:dyDescent="0.25">
      <c r="A65" s="9">
        <f t="shared" si="1"/>
        <v>64</v>
      </c>
      <c r="B65" s="7" t="str">
        <f>_xlfn.XLOOKUP(C65,Tab_Def_Flows[Flow_Name],Tab_Def_Flows[Flow_ID],,0,)</f>
        <v>F_13_00</v>
      </c>
      <c r="C65" s="8" t="s">
        <v>604</v>
      </c>
      <c r="D65" s="10" t="str">
        <f>_xlfn.XLOOKUP(C65,Tab_Def_Flows[Flow_Name],Tab_Def_Flows[WC?],,0,)</f>
        <v>Yes</v>
      </c>
      <c r="E65" s="10" t="str">
        <f>_xlfn.XLOOKUP(C65,Tab_Def_Flows[Flow_Name],Tab_Def_Flows[DM?],,0,)</f>
        <v>Yes</v>
      </c>
      <c r="F65" s="10" t="str">
        <f>_xlfn.XLOOKUP(C65,Tab_Def_Flows[Flow_Name],Tab_Def_Flows[CC?],,0,)</f>
        <v>Yes</v>
      </c>
      <c r="G65" s="8">
        <v>2022</v>
      </c>
      <c r="H65" s="26">
        <v>10</v>
      </c>
      <c r="I65" s="8"/>
      <c r="J65" s="18"/>
      <c r="K65" s="8"/>
      <c r="L65" s="8"/>
      <c r="M65" s="8"/>
      <c r="N65" s="8"/>
      <c r="O65" s="8"/>
      <c r="P65" s="8"/>
      <c r="Q65" s="8" t="s">
        <v>7</v>
      </c>
      <c r="R65" s="19"/>
      <c r="S65" s="8"/>
      <c r="T65" s="7" t="str">
        <f>Tab_Data_Flows[[#This Row],[Flow_ID]]&amp;"_"&amp;"material_"&amp;Tab_Data_Flows[[#This Row],[Flow_Data_Year]]</f>
        <v>F_13_00_material_2022</v>
      </c>
      <c r="U65" s="16">
        <f t="shared" si="2"/>
        <v>10</v>
      </c>
      <c r="V65" s="8" t="s">
        <v>211</v>
      </c>
      <c r="W65" s="153">
        <f>INDEX(Tab_Def_Flows[[Flow_ID]:[CC_DM_source]],MATCH(Tab_Data_Flows[[#This Row],[Flow_Name]],Tab_Def_Flows[Flow_Name],0),11)</f>
        <v>0</v>
      </c>
      <c r="X65" s="7" t="str">
        <f>Tab_Data_Flows[[#This Row],[Flow_ID]]&amp;"_"&amp;"WC_"&amp;Tab_Data_Flows[[#This Row],[Flow_Data_Year]]</f>
        <v>F_13_00_WC_2022</v>
      </c>
      <c r="Y65" s="7">
        <f>IF(D65="Yes",U65*Tab_Data_Flows[[#This Row],[WC_'[%']]],"N.A.")</f>
        <v>0</v>
      </c>
      <c r="Z65" s="7" t="str">
        <f>Tab_Data_Flows[[#This Row],[UoM_Flow_Py]]</f>
        <v>Mg</v>
      </c>
      <c r="AA65" s="153">
        <f>INDEX(Tab_Def_Flows[[Flow_ID]:[CC_DM_source]],MATCH(Tab_Data_Flows[[#This Row],[Flow_Name]],Tab_Def_Flows[Flow_Name],0),14)</f>
        <v>1</v>
      </c>
      <c r="AB65" s="7" t="str">
        <f>Tab_Data_Flows[[#This Row],[Flow_ID]]&amp;"_"&amp;"DM_"&amp;Tab_Data_Flows[[#This Row],[Flow_Data_Year]]</f>
        <v>F_13_00_DM_2022</v>
      </c>
      <c r="AC65" s="7">
        <f>IF(E65="Yes",AA65*Tab_Data_Flows[[#This Row],[Flow_Material]],"N.A.")</f>
        <v>10</v>
      </c>
      <c r="AD65" s="7" t="str">
        <f>Tab_Data_Flows[[#This Row],[UoM_Flow_Py]]</f>
        <v>Mg</v>
      </c>
      <c r="AE65" s="153">
        <f>INDEX(Tab_Def_Flows[[Flow_ID]:[CC_DM_source]],MATCH(Tab_Data_Flows[[#This Row],[Flow_Name]],Tab_Def_Flows[Flow_Name],0),17)</f>
        <v>1</v>
      </c>
      <c r="AF65" s="7" t="str">
        <f>Tab_Data_Flows[[#This Row],[Flow_ID]]&amp;"_"&amp;"CC_"&amp;Tab_Data_Flows[[#This Row],[Flow_Data_Year]]</f>
        <v>F_13_00_CC_2022</v>
      </c>
      <c r="AG65" s="7">
        <f>IF(F65="Yes",AE65*Tab_Data_Flows[[#This Row],[Flow_Material]]*Tab_Data_Flows[[#This Row],[DM_'[%']]],"N.A.")</f>
        <v>10</v>
      </c>
      <c r="AH65" s="7" t="str">
        <f>Tab_Data_Flows[[#This Row],[UoM_Flow_Py]]</f>
        <v>Mg</v>
      </c>
      <c r="AI65"/>
    </row>
    <row r="66" spans="1:35" x14ac:dyDescent="0.25">
      <c r="A66" s="9">
        <f t="shared" si="1"/>
        <v>65</v>
      </c>
      <c r="B66" s="7" t="str">
        <f>_xlfn.XLOOKUP(C66,Tab_Def_Flows[Flow_Name],Tab_Def_Flows[Flow_ID],,0,)</f>
        <v>F_13_00</v>
      </c>
      <c r="C66" s="8" t="s">
        <v>604</v>
      </c>
      <c r="D66" s="10" t="str">
        <f>_xlfn.XLOOKUP(C66,Tab_Def_Flows[Flow_Name],Tab_Def_Flows[WC?],,0,)</f>
        <v>Yes</v>
      </c>
      <c r="E66" s="10" t="str">
        <f>_xlfn.XLOOKUP(C66,Tab_Def_Flows[Flow_Name],Tab_Def_Flows[DM?],,0,)</f>
        <v>Yes</v>
      </c>
      <c r="F66" s="10" t="str">
        <f>_xlfn.XLOOKUP(C66,Tab_Def_Flows[Flow_Name],Tab_Def_Flows[CC?],,0,)</f>
        <v>Yes</v>
      </c>
      <c r="G66" s="8">
        <v>2023</v>
      </c>
      <c r="H66" s="26">
        <v>10</v>
      </c>
      <c r="I66" s="8"/>
      <c r="J66" s="18"/>
      <c r="K66" s="8"/>
      <c r="L66" s="8"/>
      <c r="M66" s="8"/>
      <c r="N66" s="8"/>
      <c r="O66" s="8"/>
      <c r="P66" s="8"/>
      <c r="Q66" s="8" t="s">
        <v>7</v>
      </c>
      <c r="R66" s="19"/>
      <c r="S66" s="8"/>
      <c r="T66" s="7" t="str">
        <f>Tab_Data_Flows[[#This Row],[Flow_ID]]&amp;"_"&amp;"material_"&amp;Tab_Data_Flows[[#This Row],[Flow_Data_Year]]</f>
        <v>F_13_00_material_2023</v>
      </c>
      <c r="U66" s="16">
        <f t="shared" si="2"/>
        <v>10</v>
      </c>
      <c r="V66" s="8" t="s">
        <v>211</v>
      </c>
      <c r="W66" s="153">
        <f>INDEX(Tab_Def_Flows[[Flow_ID]:[CC_DM_source]],MATCH(Tab_Data_Flows[[#This Row],[Flow_Name]],Tab_Def_Flows[Flow_Name],0),11)</f>
        <v>0</v>
      </c>
      <c r="X66" s="7" t="str">
        <f>Tab_Data_Flows[[#This Row],[Flow_ID]]&amp;"_"&amp;"WC_"&amp;Tab_Data_Flows[[#This Row],[Flow_Data_Year]]</f>
        <v>F_13_00_WC_2023</v>
      </c>
      <c r="Y66" s="7">
        <f>IF(D66="Yes",U66*Tab_Data_Flows[[#This Row],[WC_'[%']]],"N.A.")</f>
        <v>0</v>
      </c>
      <c r="Z66" s="7" t="str">
        <f>Tab_Data_Flows[[#This Row],[UoM_Flow_Py]]</f>
        <v>Mg</v>
      </c>
      <c r="AA66" s="153">
        <f>INDEX(Tab_Def_Flows[[Flow_ID]:[CC_DM_source]],MATCH(Tab_Data_Flows[[#This Row],[Flow_Name]],Tab_Def_Flows[Flow_Name],0),14)</f>
        <v>1</v>
      </c>
      <c r="AB66" s="7" t="str">
        <f>Tab_Data_Flows[[#This Row],[Flow_ID]]&amp;"_"&amp;"DM_"&amp;Tab_Data_Flows[[#This Row],[Flow_Data_Year]]</f>
        <v>F_13_00_DM_2023</v>
      </c>
      <c r="AC66" s="7">
        <f>IF(E66="Yes",AA66*Tab_Data_Flows[[#This Row],[Flow_Material]],"N.A.")</f>
        <v>10</v>
      </c>
      <c r="AD66" s="7" t="str">
        <f>Tab_Data_Flows[[#This Row],[UoM_Flow_Py]]</f>
        <v>Mg</v>
      </c>
      <c r="AE66" s="153">
        <f>INDEX(Tab_Def_Flows[[Flow_ID]:[CC_DM_source]],MATCH(Tab_Data_Flows[[#This Row],[Flow_Name]],Tab_Def_Flows[Flow_Name],0),17)</f>
        <v>1</v>
      </c>
      <c r="AF66" s="7" t="str">
        <f>Tab_Data_Flows[[#This Row],[Flow_ID]]&amp;"_"&amp;"CC_"&amp;Tab_Data_Flows[[#This Row],[Flow_Data_Year]]</f>
        <v>F_13_00_CC_2023</v>
      </c>
      <c r="AG66" s="7">
        <f>IF(F66="Yes",AE66*Tab_Data_Flows[[#This Row],[Flow_Material]]*Tab_Data_Flows[[#This Row],[DM_'[%']]],"N.A.")</f>
        <v>10</v>
      </c>
      <c r="AH66" s="7" t="str">
        <f>Tab_Data_Flows[[#This Row],[UoM_Flow_Py]]</f>
        <v>Mg</v>
      </c>
      <c r="AI66"/>
    </row>
    <row r="67" spans="1:35" x14ac:dyDescent="0.25">
      <c r="A67" s="9">
        <f t="shared" ref="A67:A130" si="3">ROW()-1</f>
        <v>66</v>
      </c>
      <c r="B67" s="7" t="str">
        <f>_xlfn.XLOOKUP(C67,Tab_Def_Flows[Flow_Name],Tab_Def_Flows[Flow_ID],,0,)</f>
        <v>F_13_00</v>
      </c>
      <c r="C67" s="8" t="s">
        <v>604</v>
      </c>
      <c r="D67" s="10" t="str">
        <f>_xlfn.XLOOKUP(C67,Tab_Def_Flows[Flow_Name],Tab_Def_Flows[WC?],,0,)</f>
        <v>Yes</v>
      </c>
      <c r="E67" s="10" t="str">
        <f>_xlfn.XLOOKUP(C67,Tab_Def_Flows[Flow_Name],Tab_Def_Flows[DM?],,0,)</f>
        <v>Yes</v>
      </c>
      <c r="F67" s="10" t="str">
        <f>_xlfn.XLOOKUP(C67,Tab_Def_Flows[Flow_Name],Tab_Def_Flows[CC?],,0,)</f>
        <v>Yes</v>
      </c>
      <c r="G67" s="8">
        <v>2024</v>
      </c>
      <c r="H67" s="26">
        <v>10</v>
      </c>
      <c r="I67" s="8"/>
      <c r="J67" s="18"/>
      <c r="K67" s="8" t="e">
        <f>INDEX(#REF!,MATCH(Tab_Data_Flows[[#This Row],[Flow_Name]],#REF!,0),12)</f>
        <v>#REF!</v>
      </c>
      <c r="L67" s="8" t="e">
        <f>MATCH(Tab_Data_Flows[[#This Row],[Flow_Name]],#REF!,0)</f>
        <v>#REF!</v>
      </c>
      <c r="M67" s="8"/>
      <c r="N67" s="8"/>
      <c r="O67" s="8"/>
      <c r="P67" s="8"/>
      <c r="Q67" s="8" t="s">
        <v>7</v>
      </c>
      <c r="R67" s="8"/>
      <c r="S67" s="8"/>
      <c r="T67" s="7" t="str">
        <f>Tab_Data_Flows[[#This Row],[Flow_ID]]&amp;"_"&amp;"material_"&amp;Tab_Data_Flows[[#This Row],[Flow_Data_Year]]</f>
        <v>F_13_00_material_2024</v>
      </c>
      <c r="U67" s="16">
        <f t="shared" ref="U67:U130" si="4">IF(Q67="no",H67,H67*R67)</f>
        <v>10</v>
      </c>
      <c r="V67" s="8" t="s">
        <v>211</v>
      </c>
      <c r="W67" s="153">
        <f>INDEX(Tab_Def_Flows[[Flow_ID]:[CC_DM_source]],MATCH(Tab_Data_Flows[[#This Row],[Flow_Name]],Tab_Def_Flows[Flow_Name],0),11)</f>
        <v>0</v>
      </c>
      <c r="X67" s="7" t="str">
        <f>Tab_Data_Flows[[#This Row],[Flow_ID]]&amp;"_"&amp;"WC_"&amp;Tab_Data_Flows[[#This Row],[Flow_Data_Year]]</f>
        <v>F_13_00_WC_2024</v>
      </c>
      <c r="Y67" s="7">
        <f>IF(D67="Yes",U67*Tab_Data_Flows[[#This Row],[WC_'[%']]],"N.A.")</f>
        <v>0</v>
      </c>
      <c r="Z67" s="7" t="str">
        <f>Tab_Data_Flows[[#This Row],[UoM_Flow_Py]]</f>
        <v>Mg</v>
      </c>
      <c r="AA67" s="153">
        <f>INDEX(Tab_Def_Flows[[Flow_ID]:[CC_DM_source]],MATCH(Tab_Data_Flows[[#This Row],[Flow_Name]],Tab_Def_Flows[Flow_Name],0),14)</f>
        <v>1</v>
      </c>
      <c r="AB67" s="7" t="str">
        <f>Tab_Data_Flows[[#This Row],[Flow_ID]]&amp;"_"&amp;"DM_"&amp;Tab_Data_Flows[[#This Row],[Flow_Data_Year]]</f>
        <v>F_13_00_DM_2024</v>
      </c>
      <c r="AC67" s="7">
        <f>IF(E67="Yes",AA67*Tab_Data_Flows[[#This Row],[Flow_Material]],"N.A.")</f>
        <v>10</v>
      </c>
      <c r="AD67" s="7" t="str">
        <f>Tab_Data_Flows[[#This Row],[UoM_Flow_Py]]</f>
        <v>Mg</v>
      </c>
      <c r="AE67" s="153">
        <f>INDEX(Tab_Def_Flows[[Flow_ID]:[CC_DM_source]],MATCH(Tab_Data_Flows[[#This Row],[Flow_Name]],Tab_Def_Flows[Flow_Name],0),17)</f>
        <v>1</v>
      </c>
      <c r="AF67" s="7" t="str">
        <f>Tab_Data_Flows[[#This Row],[Flow_ID]]&amp;"_"&amp;"CC_"&amp;Tab_Data_Flows[[#This Row],[Flow_Data_Year]]</f>
        <v>F_13_00_CC_2024</v>
      </c>
      <c r="AG67" s="7">
        <f>IF(F67="Yes",AE67*Tab_Data_Flows[[#This Row],[Flow_Material]]*Tab_Data_Flows[[#This Row],[DM_'[%']]],"N.A.")</f>
        <v>10</v>
      </c>
      <c r="AH67" s="7" t="str">
        <f>Tab_Data_Flows[[#This Row],[UoM_Flow_Py]]</f>
        <v>Mg</v>
      </c>
      <c r="AI67"/>
    </row>
    <row r="68" spans="1:35" x14ac:dyDescent="0.25">
      <c r="A68" s="9">
        <f t="shared" si="3"/>
        <v>67</v>
      </c>
      <c r="B68" s="7" t="str">
        <f>_xlfn.XLOOKUP(C68,Tab_Def_Flows[Flow_Name],Tab_Def_Flows[Flow_ID],,0,)</f>
        <v>F_13_00</v>
      </c>
      <c r="C68" s="8" t="s">
        <v>604</v>
      </c>
      <c r="D68" s="10" t="str">
        <f>_xlfn.XLOOKUP(C68,Tab_Def_Flows[Flow_Name],Tab_Def_Flows[WC?],,0,)</f>
        <v>Yes</v>
      </c>
      <c r="E68" s="10" t="str">
        <f>_xlfn.XLOOKUP(C68,Tab_Def_Flows[Flow_Name],Tab_Def_Flows[DM?],,0,)</f>
        <v>Yes</v>
      </c>
      <c r="F68" s="10" t="str">
        <f>_xlfn.XLOOKUP(C68,Tab_Def_Flows[Flow_Name],Tab_Def_Flows[CC?],,0,)</f>
        <v>Yes</v>
      </c>
      <c r="G68" s="8">
        <v>2025</v>
      </c>
      <c r="H68" s="26">
        <v>10</v>
      </c>
      <c r="I68" s="8"/>
      <c r="J68" s="18"/>
      <c r="K68" s="8" t="e">
        <f>INDEX(#REF!,MATCH(Tab_Data_Flows[[#This Row],[Flow_Name]],#REF!,0),12)</f>
        <v>#REF!</v>
      </c>
      <c r="L68" s="8" t="e">
        <f>MATCH(Tab_Data_Flows[[#This Row],[Flow_Name]],#REF!,0)</f>
        <v>#REF!</v>
      </c>
      <c r="M68" s="8"/>
      <c r="N68" s="8"/>
      <c r="O68" s="8"/>
      <c r="P68" s="8"/>
      <c r="Q68" s="8" t="s">
        <v>7</v>
      </c>
      <c r="R68" s="8"/>
      <c r="S68" s="8"/>
      <c r="T68" s="7" t="str">
        <f>Tab_Data_Flows[[#This Row],[Flow_ID]]&amp;"_"&amp;"material_"&amp;Tab_Data_Flows[[#This Row],[Flow_Data_Year]]</f>
        <v>F_13_00_material_2025</v>
      </c>
      <c r="U68" s="16">
        <f t="shared" si="4"/>
        <v>10</v>
      </c>
      <c r="V68" s="8" t="s">
        <v>211</v>
      </c>
      <c r="W68" s="153">
        <f>INDEX(Tab_Def_Flows[[Flow_ID]:[CC_DM_source]],MATCH(Tab_Data_Flows[[#This Row],[Flow_Name]],Tab_Def_Flows[Flow_Name],0),11)</f>
        <v>0</v>
      </c>
      <c r="X68" s="7" t="str">
        <f>Tab_Data_Flows[[#This Row],[Flow_ID]]&amp;"_"&amp;"WC_"&amp;Tab_Data_Flows[[#This Row],[Flow_Data_Year]]</f>
        <v>F_13_00_WC_2025</v>
      </c>
      <c r="Y68" s="7">
        <f>IF(D68="Yes",U68*Tab_Data_Flows[[#This Row],[WC_'[%']]],"N.A.")</f>
        <v>0</v>
      </c>
      <c r="Z68" s="7" t="str">
        <f>Tab_Data_Flows[[#This Row],[UoM_Flow_Py]]</f>
        <v>Mg</v>
      </c>
      <c r="AA68" s="153">
        <f>INDEX(Tab_Def_Flows[[Flow_ID]:[CC_DM_source]],MATCH(Tab_Data_Flows[[#This Row],[Flow_Name]],Tab_Def_Flows[Flow_Name],0),14)</f>
        <v>1</v>
      </c>
      <c r="AB68" s="7" t="str">
        <f>Tab_Data_Flows[[#This Row],[Flow_ID]]&amp;"_"&amp;"DM_"&amp;Tab_Data_Flows[[#This Row],[Flow_Data_Year]]</f>
        <v>F_13_00_DM_2025</v>
      </c>
      <c r="AC68" s="7">
        <f>IF(E68="Yes",AA68*Tab_Data_Flows[[#This Row],[Flow_Material]],"N.A.")</f>
        <v>10</v>
      </c>
      <c r="AD68" s="7" t="str">
        <f>Tab_Data_Flows[[#This Row],[UoM_Flow_Py]]</f>
        <v>Mg</v>
      </c>
      <c r="AE68" s="153">
        <f>INDEX(Tab_Def_Flows[[Flow_ID]:[CC_DM_source]],MATCH(Tab_Data_Flows[[#This Row],[Flow_Name]],Tab_Def_Flows[Flow_Name],0),17)</f>
        <v>1</v>
      </c>
      <c r="AF68" s="7" t="str">
        <f>Tab_Data_Flows[[#This Row],[Flow_ID]]&amp;"_"&amp;"CC_"&amp;Tab_Data_Flows[[#This Row],[Flow_Data_Year]]</f>
        <v>F_13_00_CC_2025</v>
      </c>
      <c r="AG68" s="7">
        <f>IF(F68="Yes",AE68*Tab_Data_Flows[[#This Row],[Flow_Material]]*Tab_Data_Flows[[#This Row],[DM_'[%']]],"N.A.")</f>
        <v>10</v>
      </c>
      <c r="AH68" s="7" t="str">
        <f>Tab_Data_Flows[[#This Row],[UoM_Flow_Py]]</f>
        <v>Mg</v>
      </c>
      <c r="AI68"/>
    </row>
    <row r="69" spans="1:35" x14ac:dyDescent="0.25">
      <c r="A69" s="9">
        <f t="shared" si="3"/>
        <v>68</v>
      </c>
      <c r="B69" s="7" t="str">
        <f>_xlfn.XLOOKUP(C69,Tab_Def_Flows[Flow_Name],Tab_Def_Flows[Flow_ID],,0,)</f>
        <v>F_13_00</v>
      </c>
      <c r="C69" s="8" t="s">
        <v>604</v>
      </c>
      <c r="D69" s="10" t="str">
        <f>_xlfn.XLOOKUP(C69,Tab_Def_Flows[Flow_Name],Tab_Def_Flows[WC?],,0,)</f>
        <v>Yes</v>
      </c>
      <c r="E69" s="10" t="str">
        <f>_xlfn.XLOOKUP(C69,Tab_Def_Flows[Flow_Name],Tab_Def_Flows[DM?],,0,)</f>
        <v>Yes</v>
      </c>
      <c r="F69" s="10" t="str">
        <f>_xlfn.XLOOKUP(C69,Tab_Def_Flows[Flow_Name],Tab_Def_Flows[CC?],,0,)</f>
        <v>Yes</v>
      </c>
      <c r="G69" s="8">
        <v>2026</v>
      </c>
      <c r="H69" s="26">
        <v>10</v>
      </c>
      <c r="I69" s="8"/>
      <c r="J69" s="18"/>
      <c r="K69" s="8" t="e">
        <f>INDEX(#REF!,MATCH(Tab_Data_Flows[[#This Row],[Flow_Name]],#REF!,0),12)</f>
        <v>#REF!</v>
      </c>
      <c r="L69" s="8" t="e">
        <f>MATCH(Tab_Data_Flows[[#This Row],[Flow_Name]],#REF!,0)</f>
        <v>#REF!</v>
      </c>
      <c r="M69" s="8"/>
      <c r="N69" s="8"/>
      <c r="O69" s="8"/>
      <c r="P69" s="8"/>
      <c r="Q69" s="8" t="s">
        <v>7</v>
      </c>
      <c r="R69" s="8"/>
      <c r="S69" s="8"/>
      <c r="T69" s="7" t="str">
        <f>Tab_Data_Flows[[#This Row],[Flow_ID]]&amp;"_"&amp;"material_"&amp;Tab_Data_Flows[[#This Row],[Flow_Data_Year]]</f>
        <v>F_13_00_material_2026</v>
      </c>
      <c r="U69" s="16">
        <f t="shared" si="4"/>
        <v>10</v>
      </c>
      <c r="V69" s="8" t="s">
        <v>211</v>
      </c>
      <c r="W69" s="153">
        <f>INDEX(Tab_Def_Flows[[Flow_ID]:[CC_DM_source]],MATCH(Tab_Data_Flows[[#This Row],[Flow_Name]],Tab_Def_Flows[Flow_Name],0),11)</f>
        <v>0</v>
      </c>
      <c r="X69" s="7" t="str">
        <f>Tab_Data_Flows[[#This Row],[Flow_ID]]&amp;"_"&amp;"WC_"&amp;Tab_Data_Flows[[#This Row],[Flow_Data_Year]]</f>
        <v>F_13_00_WC_2026</v>
      </c>
      <c r="Y69" s="7">
        <f>IF(D69="Yes",U69*Tab_Data_Flows[[#This Row],[WC_'[%']]],"N.A.")</f>
        <v>0</v>
      </c>
      <c r="Z69" s="7" t="str">
        <f>Tab_Data_Flows[[#This Row],[UoM_Flow_Py]]</f>
        <v>Mg</v>
      </c>
      <c r="AA69" s="153">
        <f>INDEX(Tab_Def_Flows[[Flow_ID]:[CC_DM_source]],MATCH(Tab_Data_Flows[[#This Row],[Flow_Name]],Tab_Def_Flows[Flow_Name],0),14)</f>
        <v>1</v>
      </c>
      <c r="AB69" s="7" t="str">
        <f>Tab_Data_Flows[[#This Row],[Flow_ID]]&amp;"_"&amp;"DM_"&amp;Tab_Data_Flows[[#This Row],[Flow_Data_Year]]</f>
        <v>F_13_00_DM_2026</v>
      </c>
      <c r="AC69" s="7">
        <f>IF(E69="Yes",AA69*Tab_Data_Flows[[#This Row],[Flow_Material]],"N.A.")</f>
        <v>10</v>
      </c>
      <c r="AD69" s="7" t="str">
        <f>Tab_Data_Flows[[#This Row],[UoM_Flow_Py]]</f>
        <v>Mg</v>
      </c>
      <c r="AE69" s="153">
        <f>INDEX(Tab_Def_Flows[[Flow_ID]:[CC_DM_source]],MATCH(Tab_Data_Flows[[#This Row],[Flow_Name]],Tab_Def_Flows[Flow_Name],0),17)</f>
        <v>1</v>
      </c>
      <c r="AF69" s="7" t="str">
        <f>Tab_Data_Flows[[#This Row],[Flow_ID]]&amp;"_"&amp;"CC_"&amp;Tab_Data_Flows[[#This Row],[Flow_Data_Year]]</f>
        <v>F_13_00_CC_2026</v>
      </c>
      <c r="AG69" s="7">
        <f>IF(F69="Yes",AE69*Tab_Data_Flows[[#This Row],[Flow_Material]]*Tab_Data_Flows[[#This Row],[DM_'[%']]],"N.A.")</f>
        <v>10</v>
      </c>
      <c r="AH69" s="7" t="str">
        <f>Tab_Data_Flows[[#This Row],[UoM_Flow_Py]]</f>
        <v>Mg</v>
      </c>
      <c r="AI69"/>
    </row>
    <row r="70" spans="1:35" x14ac:dyDescent="0.25">
      <c r="A70" s="9">
        <f t="shared" si="3"/>
        <v>69</v>
      </c>
      <c r="B70" s="7" t="str">
        <f>_xlfn.XLOOKUP(C70,Tab_Def_Flows[Flow_Name],Tab_Def_Flows[Flow_ID],,0,)</f>
        <v>F_13_00</v>
      </c>
      <c r="C70" s="8" t="s">
        <v>604</v>
      </c>
      <c r="D70" s="10" t="str">
        <f>_xlfn.XLOOKUP(C70,Tab_Def_Flows[Flow_Name],Tab_Def_Flows[WC?],,0,)</f>
        <v>Yes</v>
      </c>
      <c r="E70" s="10" t="str">
        <f>_xlfn.XLOOKUP(C70,Tab_Def_Flows[Flow_Name],Tab_Def_Flows[DM?],,0,)</f>
        <v>Yes</v>
      </c>
      <c r="F70" s="10" t="str">
        <f>_xlfn.XLOOKUP(C70,Tab_Def_Flows[Flow_Name],Tab_Def_Flows[CC?],,0,)</f>
        <v>Yes</v>
      </c>
      <c r="G70" s="8">
        <v>2027</v>
      </c>
      <c r="H70" s="26">
        <v>10</v>
      </c>
      <c r="I70" s="8"/>
      <c r="J70" s="18"/>
      <c r="K70" s="8" t="e">
        <f>INDEX(#REF!,MATCH(Tab_Data_Flows[[#This Row],[Flow_Name]],#REF!,0),12)</f>
        <v>#REF!</v>
      </c>
      <c r="L70" s="8" t="e">
        <f>MATCH(Tab_Data_Flows[[#This Row],[Flow_Name]],#REF!,0)</f>
        <v>#REF!</v>
      </c>
      <c r="M70" s="8"/>
      <c r="N70" s="8"/>
      <c r="O70" s="8"/>
      <c r="P70" s="8"/>
      <c r="Q70" s="8" t="s">
        <v>7</v>
      </c>
      <c r="R70" s="8"/>
      <c r="S70" s="8"/>
      <c r="T70" s="7" t="str">
        <f>Tab_Data_Flows[[#This Row],[Flow_ID]]&amp;"_"&amp;"material_"&amp;Tab_Data_Flows[[#This Row],[Flow_Data_Year]]</f>
        <v>F_13_00_material_2027</v>
      </c>
      <c r="U70" s="16">
        <f t="shared" si="4"/>
        <v>10</v>
      </c>
      <c r="V70" s="8" t="s">
        <v>211</v>
      </c>
      <c r="W70" s="153">
        <f>INDEX(Tab_Def_Flows[[Flow_ID]:[CC_DM_source]],MATCH(Tab_Data_Flows[[#This Row],[Flow_Name]],Tab_Def_Flows[Flow_Name],0),11)</f>
        <v>0</v>
      </c>
      <c r="X70" s="7" t="str">
        <f>Tab_Data_Flows[[#This Row],[Flow_ID]]&amp;"_"&amp;"WC_"&amp;Tab_Data_Flows[[#This Row],[Flow_Data_Year]]</f>
        <v>F_13_00_WC_2027</v>
      </c>
      <c r="Y70" s="7">
        <f>IF(D70="Yes",U70*Tab_Data_Flows[[#This Row],[WC_'[%']]],"N.A.")</f>
        <v>0</v>
      </c>
      <c r="Z70" s="7" t="str">
        <f>Tab_Data_Flows[[#This Row],[UoM_Flow_Py]]</f>
        <v>Mg</v>
      </c>
      <c r="AA70" s="153">
        <f>INDEX(Tab_Def_Flows[[Flow_ID]:[CC_DM_source]],MATCH(Tab_Data_Flows[[#This Row],[Flow_Name]],Tab_Def_Flows[Flow_Name],0),14)</f>
        <v>1</v>
      </c>
      <c r="AB70" s="7" t="str">
        <f>Tab_Data_Flows[[#This Row],[Flow_ID]]&amp;"_"&amp;"DM_"&amp;Tab_Data_Flows[[#This Row],[Flow_Data_Year]]</f>
        <v>F_13_00_DM_2027</v>
      </c>
      <c r="AC70" s="7">
        <f>IF(E70="Yes",AA70*Tab_Data_Flows[[#This Row],[Flow_Material]],"N.A.")</f>
        <v>10</v>
      </c>
      <c r="AD70" s="7" t="str">
        <f>Tab_Data_Flows[[#This Row],[UoM_Flow_Py]]</f>
        <v>Mg</v>
      </c>
      <c r="AE70" s="153">
        <f>INDEX(Tab_Def_Flows[[Flow_ID]:[CC_DM_source]],MATCH(Tab_Data_Flows[[#This Row],[Flow_Name]],Tab_Def_Flows[Flow_Name],0),17)</f>
        <v>1</v>
      </c>
      <c r="AF70" s="7" t="str">
        <f>Tab_Data_Flows[[#This Row],[Flow_ID]]&amp;"_"&amp;"CC_"&amp;Tab_Data_Flows[[#This Row],[Flow_Data_Year]]</f>
        <v>F_13_00_CC_2027</v>
      </c>
      <c r="AG70" s="7">
        <f>IF(F70="Yes",AE70*Tab_Data_Flows[[#This Row],[Flow_Material]]*Tab_Data_Flows[[#This Row],[DM_'[%']]],"N.A.")</f>
        <v>10</v>
      </c>
      <c r="AH70" s="7" t="str">
        <f>Tab_Data_Flows[[#This Row],[UoM_Flow_Py]]</f>
        <v>Mg</v>
      </c>
      <c r="AI70"/>
    </row>
    <row r="71" spans="1:35" x14ac:dyDescent="0.25">
      <c r="A71" s="9">
        <f t="shared" si="3"/>
        <v>70</v>
      </c>
      <c r="B71" s="7" t="str">
        <f>_xlfn.XLOOKUP(C71,Tab_Def_Flows[Flow_Name],Tab_Def_Flows[Flow_ID],,0,)</f>
        <v>F_13_00</v>
      </c>
      <c r="C71" s="8" t="s">
        <v>604</v>
      </c>
      <c r="D71" s="10" t="str">
        <f>_xlfn.XLOOKUP(C71,Tab_Def_Flows[Flow_Name],Tab_Def_Flows[WC?],,0,)</f>
        <v>Yes</v>
      </c>
      <c r="E71" s="10" t="str">
        <f>_xlfn.XLOOKUP(C71,Tab_Def_Flows[Flow_Name],Tab_Def_Flows[DM?],,0,)</f>
        <v>Yes</v>
      </c>
      <c r="F71" s="10" t="str">
        <f>_xlfn.XLOOKUP(C71,Tab_Def_Flows[Flow_Name],Tab_Def_Flows[CC?],,0,)</f>
        <v>Yes</v>
      </c>
      <c r="G71" s="8">
        <v>2028</v>
      </c>
      <c r="H71" s="26">
        <v>10</v>
      </c>
      <c r="I71" s="8"/>
      <c r="J71" s="18"/>
      <c r="K71" s="8" t="e">
        <f>INDEX(#REF!,MATCH(Tab_Data_Flows[[#This Row],[Flow_Name]],#REF!,0),12)</f>
        <v>#REF!</v>
      </c>
      <c r="L71" s="8" t="e">
        <f>MATCH(Tab_Data_Flows[[#This Row],[Flow_Name]],#REF!,0)</f>
        <v>#REF!</v>
      </c>
      <c r="M71" s="8"/>
      <c r="N71" s="8"/>
      <c r="O71" s="8"/>
      <c r="P71" s="8"/>
      <c r="Q71" s="8" t="s">
        <v>7</v>
      </c>
      <c r="R71" s="8"/>
      <c r="S71" s="8"/>
      <c r="T71" s="7" t="str">
        <f>Tab_Data_Flows[[#This Row],[Flow_ID]]&amp;"_"&amp;"material_"&amp;Tab_Data_Flows[[#This Row],[Flow_Data_Year]]</f>
        <v>F_13_00_material_2028</v>
      </c>
      <c r="U71" s="16">
        <f t="shared" si="4"/>
        <v>10</v>
      </c>
      <c r="V71" s="8" t="s">
        <v>211</v>
      </c>
      <c r="W71" s="153">
        <f>INDEX(Tab_Def_Flows[[Flow_ID]:[CC_DM_source]],MATCH(Tab_Data_Flows[[#This Row],[Flow_Name]],Tab_Def_Flows[Flow_Name],0),11)</f>
        <v>0</v>
      </c>
      <c r="X71" s="7" t="str">
        <f>Tab_Data_Flows[[#This Row],[Flow_ID]]&amp;"_"&amp;"WC_"&amp;Tab_Data_Flows[[#This Row],[Flow_Data_Year]]</f>
        <v>F_13_00_WC_2028</v>
      </c>
      <c r="Y71" s="7">
        <f>IF(D71="Yes",U71*Tab_Data_Flows[[#This Row],[WC_'[%']]],"N.A.")</f>
        <v>0</v>
      </c>
      <c r="Z71" s="7" t="str">
        <f>Tab_Data_Flows[[#This Row],[UoM_Flow_Py]]</f>
        <v>Mg</v>
      </c>
      <c r="AA71" s="153">
        <f>INDEX(Tab_Def_Flows[[Flow_ID]:[CC_DM_source]],MATCH(Tab_Data_Flows[[#This Row],[Flow_Name]],Tab_Def_Flows[Flow_Name],0),14)</f>
        <v>1</v>
      </c>
      <c r="AB71" s="7" t="str">
        <f>Tab_Data_Flows[[#This Row],[Flow_ID]]&amp;"_"&amp;"DM_"&amp;Tab_Data_Flows[[#This Row],[Flow_Data_Year]]</f>
        <v>F_13_00_DM_2028</v>
      </c>
      <c r="AC71" s="7">
        <f>IF(E71="Yes",AA71*Tab_Data_Flows[[#This Row],[Flow_Material]],"N.A.")</f>
        <v>10</v>
      </c>
      <c r="AD71" s="7" t="str">
        <f>Tab_Data_Flows[[#This Row],[UoM_Flow_Py]]</f>
        <v>Mg</v>
      </c>
      <c r="AE71" s="153">
        <f>INDEX(Tab_Def_Flows[[Flow_ID]:[CC_DM_source]],MATCH(Tab_Data_Flows[[#This Row],[Flow_Name]],Tab_Def_Flows[Flow_Name],0),17)</f>
        <v>1</v>
      </c>
      <c r="AF71" s="7" t="str">
        <f>Tab_Data_Flows[[#This Row],[Flow_ID]]&amp;"_"&amp;"CC_"&amp;Tab_Data_Flows[[#This Row],[Flow_Data_Year]]</f>
        <v>F_13_00_CC_2028</v>
      </c>
      <c r="AG71" s="7">
        <f>IF(F71="Yes",AE71*Tab_Data_Flows[[#This Row],[Flow_Material]]*Tab_Data_Flows[[#This Row],[DM_'[%']]],"N.A.")</f>
        <v>10</v>
      </c>
      <c r="AH71" s="7" t="str">
        <f>Tab_Data_Flows[[#This Row],[UoM_Flow_Py]]</f>
        <v>Mg</v>
      </c>
      <c r="AI71"/>
    </row>
    <row r="72" spans="1:35" x14ac:dyDescent="0.25">
      <c r="A72" s="9">
        <f t="shared" si="3"/>
        <v>71</v>
      </c>
      <c r="B72" s="7" t="str">
        <f>_xlfn.XLOOKUP(C72,Tab_Def_Flows[Flow_Name],Tab_Def_Flows[Flow_ID],,0,)</f>
        <v>F_13_00</v>
      </c>
      <c r="C72" s="8" t="s">
        <v>604</v>
      </c>
      <c r="D72" s="10" t="str">
        <f>_xlfn.XLOOKUP(C72,Tab_Def_Flows[Flow_Name],Tab_Def_Flows[WC?],,0,)</f>
        <v>Yes</v>
      </c>
      <c r="E72" s="10" t="str">
        <f>_xlfn.XLOOKUP(C72,Tab_Def_Flows[Flow_Name],Tab_Def_Flows[DM?],,0,)</f>
        <v>Yes</v>
      </c>
      <c r="F72" s="10" t="str">
        <f>_xlfn.XLOOKUP(C72,Tab_Def_Flows[Flow_Name],Tab_Def_Flows[CC?],,0,)</f>
        <v>Yes</v>
      </c>
      <c r="G72" s="8">
        <v>2029</v>
      </c>
      <c r="H72" s="26">
        <v>10</v>
      </c>
      <c r="I72" s="8"/>
      <c r="J72" s="18"/>
      <c r="K72" s="8" t="e">
        <f>INDEX(#REF!,MATCH(Tab_Data_Flows[[#This Row],[Flow_Name]],#REF!,0),12)</f>
        <v>#REF!</v>
      </c>
      <c r="L72" s="8" t="e">
        <f>MATCH(Tab_Data_Flows[[#This Row],[Flow_Name]],#REF!,0)</f>
        <v>#REF!</v>
      </c>
      <c r="M72" s="8"/>
      <c r="N72" s="8"/>
      <c r="O72" s="8"/>
      <c r="P72" s="8"/>
      <c r="Q72" s="8" t="s">
        <v>7</v>
      </c>
      <c r="R72" s="8"/>
      <c r="S72" s="8"/>
      <c r="T72" s="7" t="str">
        <f>Tab_Data_Flows[[#This Row],[Flow_ID]]&amp;"_"&amp;"material_"&amp;Tab_Data_Flows[[#This Row],[Flow_Data_Year]]</f>
        <v>F_13_00_material_2029</v>
      </c>
      <c r="U72" s="16">
        <f t="shared" si="4"/>
        <v>10</v>
      </c>
      <c r="V72" s="8" t="s">
        <v>211</v>
      </c>
      <c r="W72" s="153">
        <f>INDEX(Tab_Def_Flows[[Flow_ID]:[CC_DM_source]],MATCH(Tab_Data_Flows[[#This Row],[Flow_Name]],Tab_Def_Flows[Flow_Name],0),11)</f>
        <v>0</v>
      </c>
      <c r="X72" s="7" t="str">
        <f>Tab_Data_Flows[[#This Row],[Flow_ID]]&amp;"_"&amp;"WC_"&amp;Tab_Data_Flows[[#This Row],[Flow_Data_Year]]</f>
        <v>F_13_00_WC_2029</v>
      </c>
      <c r="Y72" s="7">
        <f>IF(D72="Yes",U72*Tab_Data_Flows[[#This Row],[WC_'[%']]],"N.A.")</f>
        <v>0</v>
      </c>
      <c r="Z72" s="7" t="str">
        <f>Tab_Data_Flows[[#This Row],[UoM_Flow_Py]]</f>
        <v>Mg</v>
      </c>
      <c r="AA72" s="153">
        <f>INDEX(Tab_Def_Flows[[Flow_ID]:[CC_DM_source]],MATCH(Tab_Data_Flows[[#This Row],[Flow_Name]],Tab_Def_Flows[Flow_Name],0),14)</f>
        <v>1</v>
      </c>
      <c r="AB72" s="7" t="str">
        <f>Tab_Data_Flows[[#This Row],[Flow_ID]]&amp;"_"&amp;"DM_"&amp;Tab_Data_Flows[[#This Row],[Flow_Data_Year]]</f>
        <v>F_13_00_DM_2029</v>
      </c>
      <c r="AC72" s="7">
        <f>IF(E72="Yes",AA72*Tab_Data_Flows[[#This Row],[Flow_Material]],"N.A.")</f>
        <v>10</v>
      </c>
      <c r="AD72" s="7" t="str">
        <f>Tab_Data_Flows[[#This Row],[UoM_Flow_Py]]</f>
        <v>Mg</v>
      </c>
      <c r="AE72" s="153">
        <f>INDEX(Tab_Def_Flows[[Flow_ID]:[CC_DM_source]],MATCH(Tab_Data_Flows[[#This Row],[Flow_Name]],Tab_Def_Flows[Flow_Name],0),17)</f>
        <v>1</v>
      </c>
      <c r="AF72" s="7" t="str">
        <f>Tab_Data_Flows[[#This Row],[Flow_ID]]&amp;"_"&amp;"CC_"&amp;Tab_Data_Flows[[#This Row],[Flow_Data_Year]]</f>
        <v>F_13_00_CC_2029</v>
      </c>
      <c r="AG72" s="7">
        <f>IF(F72="Yes",AE72*Tab_Data_Flows[[#This Row],[Flow_Material]]*Tab_Data_Flows[[#This Row],[DM_'[%']]],"N.A.")</f>
        <v>10</v>
      </c>
      <c r="AH72" s="7" t="str">
        <f>Tab_Data_Flows[[#This Row],[UoM_Flow_Py]]</f>
        <v>Mg</v>
      </c>
      <c r="AI72"/>
    </row>
    <row r="73" spans="1:35" x14ac:dyDescent="0.25">
      <c r="A73" s="9">
        <f t="shared" si="3"/>
        <v>72</v>
      </c>
      <c r="B73" s="7" t="str">
        <f>_xlfn.XLOOKUP(C73,Tab_Def_Flows[Flow_Name],Tab_Def_Flows[Flow_ID],,0,)</f>
        <v>F_13_00</v>
      </c>
      <c r="C73" s="8" t="s">
        <v>604</v>
      </c>
      <c r="D73" s="10" t="str">
        <f>_xlfn.XLOOKUP(C73,Tab_Def_Flows[Flow_Name],Tab_Def_Flows[WC?],,0,)</f>
        <v>Yes</v>
      </c>
      <c r="E73" s="10" t="str">
        <f>_xlfn.XLOOKUP(C73,Tab_Def_Flows[Flow_Name],Tab_Def_Flows[DM?],,0,)</f>
        <v>Yes</v>
      </c>
      <c r="F73" s="10" t="str">
        <f>_xlfn.XLOOKUP(C73,Tab_Def_Flows[Flow_Name],Tab_Def_Flows[CC?],,0,)</f>
        <v>Yes</v>
      </c>
      <c r="G73" s="8">
        <v>2030</v>
      </c>
      <c r="H73" s="26">
        <v>10</v>
      </c>
      <c r="I73" s="8"/>
      <c r="J73" s="18"/>
      <c r="K73" s="8" t="e">
        <f>INDEX(#REF!,MATCH(Tab_Data_Flows[[#This Row],[Flow_Name]],#REF!,0),12)</f>
        <v>#REF!</v>
      </c>
      <c r="L73" s="8" t="e">
        <f>MATCH(Tab_Data_Flows[[#This Row],[Flow_Name]],#REF!,0)</f>
        <v>#REF!</v>
      </c>
      <c r="M73" s="8"/>
      <c r="N73" s="8"/>
      <c r="O73" s="8"/>
      <c r="P73" s="8"/>
      <c r="Q73" s="8" t="s">
        <v>7</v>
      </c>
      <c r="R73" s="8"/>
      <c r="S73" s="8"/>
      <c r="T73" s="7" t="str">
        <f>Tab_Data_Flows[[#This Row],[Flow_ID]]&amp;"_"&amp;"material_"&amp;Tab_Data_Flows[[#This Row],[Flow_Data_Year]]</f>
        <v>F_13_00_material_2030</v>
      </c>
      <c r="U73" s="16">
        <f t="shared" si="4"/>
        <v>10</v>
      </c>
      <c r="V73" s="8" t="s">
        <v>211</v>
      </c>
      <c r="W73" s="153">
        <f>INDEX(Tab_Def_Flows[[Flow_ID]:[CC_DM_source]],MATCH(Tab_Data_Flows[[#This Row],[Flow_Name]],Tab_Def_Flows[Flow_Name],0),11)</f>
        <v>0</v>
      </c>
      <c r="X73" s="7" t="str">
        <f>Tab_Data_Flows[[#This Row],[Flow_ID]]&amp;"_"&amp;"WC_"&amp;Tab_Data_Flows[[#This Row],[Flow_Data_Year]]</f>
        <v>F_13_00_WC_2030</v>
      </c>
      <c r="Y73" s="7">
        <f>IF(D73="Yes",U73*Tab_Data_Flows[[#This Row],[WC_'[%']]],"N.A.")</f>
        <v>0</v>
      </c>
      <c r="Z73" s="7" t="str">
        <f>Tab_Data_Flows[[#This Row],[UoM_Flow_Py]]</f>
        <v>Mg</v>
      </c>
      <c r="AA73" s="153">
        <f>INDEX(Tab_Def_Flows[[Flow_ID]:[CC_DM_source]],MATCH(Tab_Data_Flows[[#This Row],[Flow_Name]],Tab_Def_Flows[Flow_Name],0),14)</f>
        <v>1</v>
      </c>
      <c r="AB73" s="7" t="str">
        <f>Tab_Data_Flows[[#This Row],[Flow_ID]]&amp;"_"&amp;"DM_"&amp;Tab_Data_Flows[[#This Row],[Flow_Data_Year]]</f>
        <v>F_13_00_DM_2030</v>
      </c>
      <c r="AC73" s="7">
        <f>IF(E73="Yes",AA73*Tab_Data_Flows[[#This Row],[Flow_Material]],"N.A.")</f>
        <v>10</v>
      </c>
      <c r="AD73" s="7" t="str">
        <f>Tab_Data_Flows[[#This Row],[UoM_Flow_Py]]</f>
        <v>Mg</v>
      </c>
      <c r="AE73" s="153">
        <f>INDEX(Tab_Def_Flows[[Flow_ID]:[CC_DM_source]],MATCH(Tab_Data_Flows[[#This Row],[Flow_Name]],Tab_Def_Flows[Flow_Name],0),17)</f>
        <v>1</v>
      </c>
      <c r="AF73" s="7" t="str">
        <f>Tab_Data_Flows[[#This Row],[Flow_ID]]&amp;"_"&amp;"CC_"&amp;Tab_Data_Flows[[#This Row],[Flow_Data_Year]]</f>
        <v>F_13_00_CC_2030</v>
      </c>
      <c r="AG73" s="7">
        <f>IF(F73="Yes",AE73*Tab_Data_Flows[[#This Row],[Flow_Material]]*Tab_Data_Flows[[#This Row],[DM_'[%']]],"N.A.")</f>
        <v>10</v>
      </c>
      <c r="AH73" s="7" t="str">
        <f>Tab_Data_Flows[[#This Row],[UoM_Flow_Py]]</f>
        <v>Mg</v>
      </c>
      <c r="AI73"/>
    </row>
    <row r="74" spans="1:35" x14ac:dyDescent="0.25">
      <c r="A74" s="9">
        <f t="shared" si="3"/>
        <v>73</v>
      </c>
      <c r="B74" s="7" t="str">
        <f>_xlfn.XLOOKUP(C74,Tab_Def_Flows[Flow_Name],Tab_Def_Flows[Flow_ID],,0,)</f>
        <v>F_13_00</v>
      </c>
      <c r="C74" s="8" t="s">
        <v>604</v>
      </c>
      <c r="D74" s="10" t="str">
        <f>_xlfn.XLOOKUP(C74,Tab_Def_Flows[Flow_Name],Tab_Def_Flows[WC?],,0,)</f>
        <v>Yes</v>
      </c>
      <c r="E74" s="10" t="str">
        <f>_xlfn.XLOOKUP(C74,Tab_Def_Flows[Flow_Name],Tab_Def_Flows[DM?],,0,)</f>
        <v>Yes</v>
      </c>
      <c r="F74" s="10" t="str">
        <f>_xlfn.XLOOKUP(C74,Tab_Def_Flows[Flow_Name],Tab_Def_Flows[CC?],,0,)</f>
        <v>Yes</v>
      </c>
      <c r="G74" s="8">
        <v>2031</v>
      </c>
      <c r="H74" s="26">
        <v>10</v>
      </c>
      <c r="I74" s="8"/>
      <c r="J74" s="18"/>
      <c r="K74" s="8" t="e">
        <f>INDEX(#REF!,MATCH(Tab_Data_Flows[[#This Row],[Flow_Name]],#REF!,0),12)</f>
        <v>#REF!</v>
      </c>
      <c r="L74" s="8" t="e">
        <f>MATCH(Tab_Data_Flows[[#This Row],[Flow_Name]],#REF!,0)</f>
        <v>#REF!</v>
      </c>
      <c r="M74" s="8"/>
      <c r="N74" s="8"/>
      <c r="O74" s="8"/>
      <c r="P74" s="8"/>
      <c r="Q74" s="8" t="s">
        <v>7</v>
      </c>
      <c r="R74" s="8"/>
      <c r="S74" s="8"/>
      <c r="T74" s="7" t="str">
        <f>Tab_Data_Flows[[#This Row],[Flow_ID]]&amp;"_"&amp;"material_"&amp;Tab_Data_Flows[[#This Row],[Flow_Data_Year]]</f>
        <v>F_13_00_material_2031</v>
      </c>
      <c r="U74" s="16">
        <f t="shared" si="4"/>
        <v>10</v>
      </c>
      <c r="V74" s="8" t="s">
        <v>211</v>
      </c>
      <c r="W74" s="153">
        <f>INDEX(Tab_Def_Flows[[Flow_ID]:[CC_DM_source]],MATCH(Tab_Data_Flows[[#This Row],[Flow_Name]],Tab_Def_Flows[Flow_Name],0),11)</f>
        <v>0</v>
      </c>
      <c r="X74" s="7" t="str">
        <f>Tab_Data_Flows[[#This Row],[Flow_ID]]&amp;"_"&amp;"WC_"&amp;Tab_Data_Flows[[#This Row],[Flow_Data_Year]]</f>
        <v>F_13_00_WC_2031</v>
      </c>
      <c r="Y74" s="7">
        <f>IF(D74="Yes",U74*Tab_Data_Flows[[#This Row],[WC_'[%']]],"N.A.")</f>
        <v>0</v>
      </c>
      <c r="Z74" s="7" t="str">
        <f>Tab_Data_Flows[[#This Row],[UoM_Flow_Py]]</f>
        <v>Mg</v>
      </c>
      <c r="AA74" s="153">
        <f>INDEX(Tab_Def_Flows[[Flow_ID]:[CC_DM_source]],MATCH(Tab_Data_Flows[[#This Row],[Flow_Name]],Tab_Def_Flows[Flow_Name],0),14)</f>
        <v>1</v>
      </c>
      <c r="AB74" s="7" t="str">
        <f>Tab_Data_Flows[[#This Row],[Flow_ID]]&amp;"_"&amp;"DM_"&amp;Tab_Data_Flows[[#This Row],[Flow_Data_Year]]</f>
        <v>F_13_00_DM_2031</v>
      </c>
      <c r="AC74" s="7">
        <f>IF(E74="Yes",AA74*Tab_Data_Flows[[#This Row],[Flow_Material]],"N.A.")</f>
        <v>10</v>
      </c>
      <c r="AD74" s="7" t="str">
        <f>Tab_Data_Flows[[#This Row],[UoM_Flow_Py]]</f>
        <v>Mg</v>
      </c>
      <c r="AE74" s="153">
        <f>INDEX(Tab_Def_Flows[[Flow_ID]:[CC_DM_source]],MATCH(Tab_Data_Flows[[#This Row],[Flow_Name]],Tab_Def_Flows[Flow_Name],0),17)</f>
        <v>1</v>
      </c>
      <c r="AF74" s="7" t="str">
        <f>Tab_Data_Flows[[#This Row],[Flow_ID]]&amp;"_"&amp;"CC_"&amp;Tab_Data_Flows[[#This Row],[Flow_Data_Year]]</f>
        <v>F_13_00_CC_2031</v>
      </c>
      <c r="AG74" s="7">
        <f>IF(F74="Yes",AE74*Tab_Data_Flows[[#This Row],[Flow_Material]]*Tab_Data_Flows[[#This Row],[DM_'[%']]],"N.A.")</f>
        <v>10</v>
      </c>
      <c r="AH74" s="7" t="str">
        <f>Tab_Data_Flows[[#This Row],[UoM_Flow_Py]]</f>
        <v>Mg</v>
      </c>
      <c r="AI74"/>
    </row>
    <row r="75" spans="1:35" x14ac:dyDescent="0.25">
      <c r="A75" s="9">
        <f t="shared" si="3"/>
        <v>74</v>
      </c>
      <c r="B75" s="7" t="str">
        <f>_xlfn.XLOOKUP(C75,Tab_Def_Flows[Flow_Name],Tab_Def_Flows[Flow_ID],,0,)</f>
        <v>F_13_00</v>
      </c>
      <c r="C75" s="8" t="s">
        <v>604</v>
      </c>
      <c r="D75" s="10" t="str">
        <f>_xlfn.XLOOKUP(C75,Tab_Def_Flows[Flow_Name],Tab_Def_Flows[WC?],,0,)</f>
        <v>Yes</v>
      </c>
      <c r="E75" s="10" t="str">
        <f>_xlfn.XLOOKUP(C75,Tab_Def_Flows[Flow_Name],Tab_Def_Flows[DM?],,0,)</f>
        <v>Yes</v>
      </c>
      <c r="F75" s="10" t="str">
        <f>_xlfn.XLOOKUP(C75,Tab_Def_Flows[Flow_Name],Tab_Def_Flows[CC?],,0,)</f>
        <v>Yes</v>
      </c>
      <c r="G75" s="8">
        <v>2032</v>
      </c>
      <c r="H75" s="26">
        <v>10</v>
      </c>
      <c r="I75" s="8"/>
      <c r="J75" s="18"/>
      <c r="K75" s="8" t="e">
        <f>INDEX(#REF!,MATCH(Tab_Data_Flows[[#This Row],[Flow_Name]],#REF!,0),12)</f>
        <v>#REF!</v>
      </c>
      <c r="L75" s="8" t="e">
        <f>MATCH(Tab_Data_Flows[[#This Row],[Flow_Name]],#REF!,0)</f>
        <v>#REF!</v>
      </c>
      <c r="M75" s="8"/>
      <c r="N75" s="8"/>
      <c r="O75" s="8"/>
      <c r="P75" s="8"/>
      <c r="Q75" s="8" t="s">
        <v>7</v>
      </c>
      <c r="R75" s="8"/>
      <c r="S75" s="8"/>
      <c r="T75" s="7" t="str">
        <f>Tab_Data_Flows[[#This Row],[Flow_ID]]&amp;"_"&amp;"material_"&amp;Tab_Data_Flows[[#This Row],[Flow_Data_Year]]</f>
        <v>F_13_00_material_2032</v>
      </c>
      <c r="U75" s="16">
        <f t="shared" si="4"/>
        <v>10</v>
      </c>
      <c r="V75" s="8" t="s">
        <v>211</v>
      </c>
      <c r="W75" s="153">
        <f>INDEX(Tab_Def_Flows[[Flow_ID]:[CC_DM_source]],MATCH(Tab_Data_Flows[[#This Row],[Flow_Name]],Tab_Def_Flows[Flow_Name],0),11)</f>
        <v>0</v>
      </c>
      <c r="X75" s="7" t="str">
        <f>Tab_Data_Flows[[#This Row],[Flow_ID]]&amp;"_"&amp;"WC_"&amp;Tab_Data_Flows[[#This Row],[Flow_Data_Year]]</f>
        <v>F_13_00_WC_2032</v>
      </c>
      <c r="Y75" s="7">
        <f>IF(D75="Yes",U75*Tab_Data_Flows[[#This Row],[WC_'[%']]],"N.A.")</f>
        <v>0</v>
      </c>
      <c r="Z75" s="7" t="str">
        <f>Tab_Data_Flows[[#This Row],[UoM_Flow_Py]]</f>
        <v>Mg</v>
      </c>
      <c r="AA75" s="153">
        <f>INDEX(Tab_Def_Flows[[Flow_ID]:[CC_DM_source]],MATCH(Tab_Data_Flows[[#This Row],[Flow_Name]],Tab_Def_Flows[Flow_Name],0),14)</f>
        <v>1</v>
      </c>
      <c r="AB75" s="7" t="str">
        <f>Tab_Data_Flows[[#This Row],[Flow_ID]]&amp;"_"&amp;"DM_"&amp;Tab_Data_Flows[[#This Row],[Flow_Data_Year]]</f>
        <v>F_13_00_DM_2032</v>
      </c>
      <c r="AC75" s="7">
        <f>IF(E75="Yes",AA75*Tab_Data_Flows[[#This Row],[Flow_Material]],"N.A.")</f>
        <v>10</v>
      </c>
      <c r="AD75" s="7" t="str">
        <f>Tab_Data_Flows[[#This Row],[UoM_Flow_Py]]</f>
        <v>Mg</v>
      </c>
      <c r="AE75" s="153">
        <f>INDEX(Tab_Def_Flows[[Flow_ID]:[CC_DM_source]],MATCH(Tab_Data_Flows[[#This Row],[Flow_Name]],Tab_Def_Flows[Flow_Name],0),17)</f>
        <v>1</v>
      </c>
      <c r="AF75" s="7" t="str">
        <f>Tab_Data_Flows[[#This Row],[Flow_ID]]&amp;"_"&amp;"CC_"&amp;Tab_Data_Flows[[#This Row],[Flow_Data_Year]]</f>
        <v>F_13_00_CC_2032</v>
      </c>
      <c r="AG75" s="7">
        <f>IF(F75="Yes",AE75*Tab_Data_Flows[[#This Row],[Flow_Material]]*Tab_Data_Flows[[#This Row],[DM_'[%']]],"N.A.")</f>
        <v>10</v>
      </c>
      <c r="AH75" s="7" t="str">
        <f>Tab_Data_Flows[[#This Row],[UoM_Flow_Py]]</f>
        <v>Mg</v>
      </c>
      <c r="AI75"/>
    </row>
    <row r="76" spans="1:35" x14ac:dyDescent="0.25">
      <c r="A76" s="9">
        <f t="shared" si="3"/>
        <v>75</v>
      </c>
      <c r="B76" s="7" t="str">
        <f>_xlfn.XLOOKUP(C76,Tab_Def_Flows[Flow_Name],Tab_Def_Flows[Flow_ID],,0,)</f>
        <v>F_13_00</v>
      </c>
      <c r="C76" s="8" t="s">
        <v>604</v>
      </c>
      <c r="D76" s="10" t="str">
        <f>_xlfn.XLOOKUP(C76,Tab_Def_Flows[Flow_Name],Tab_Def_Flows[WC?],,0,)</f>
        <v>Yes</v>
      </c>
      <c r="E76" s="10" t="str">
        <f>_xlfn.XLOOKUP(C76,Tab_Def_Flows[Flow_Name],Tab_Def_Flows[DM?],,0,)</f>
        <v>Yes</v>
      </c>
      <c r="F76" s="10" t="str">
        <f>_xlfn.XLOOKUP(C76,Tab_Def_Flows[Flow_Name],Tab_Def_Flows[CC?],,0,)</f>
        <v>Yes</v>
      </c>
      <c r="G76" s="8">
        <v>2033</v>
      </c>
      <c r="H76" s="26">
        <v>10</v>
      </c>
      <c r="I76" s="8"/>
      <c r="J76" s="18"/>
      <c r="K76" s="8" t="e">
        <f>INDEX(#REF!,MATCH(Tab_Data_Flows[[#This Row],[Flow_Name]],#REF!,0),12)</f>
        <v>#REF!</v>
      </c>
      <c r="L76" s="8" t="e">
        <f>MATCH(Tab_Data_Flows[[#This Row],[Flow_Name]],#REF!,0)</f>
        <v>#REF!</v>
      </c>
      <c r="M76" s="8"/>
      <c r="N76" s="8"/>
      <c r="O76" s="8"/>
      <c r="P76" s="8"/>
      <c r="Q76" s="8" t="s">
        <v>7</v>
      </c>
      <c r="R76" s="8"/>
      <c r="S76" s="8"/>
      <c r="T76" s="7" t="str">
        <f>Tab_Data_Flows[[#This Row],[Flow_ID]]&amp;"_"&amp;"material_"&amp;Tab_Data_Flows[[#This Row],[Flow_Data_Year]]</f>
        <v>F_13_00_material_2033</v>
      </c>
      <c r="U76" s="16">
        <f t="shared" si="4"/>
        <v>10</v>
      </c>
      <c r="V76" s="8" t="s">
        <v>211</v>
      </c>
      <c r="W76" s="153">
        <f>INDEX(Tab_Def_Flows[[Flow_ID]:[CC_DM_source]],MATCH(Tab_Data_Flows[[#This Row],[Flow_Name]],Tab_Def_Flows[Flow_Name],0),11)</f>
        <v>0</v>
      </c>
      <c r="X76" s="7" t="str">
        <f>Tab_Data_Flows[[#This Row],[Flow_ID]]&amp;"_"&amp;"WC_"&amp;Tab_Data_Flows[[#This Row],[Flow_Data_Year]]</f>
        <v>F_13_00_WC_2033</v>
      </c>
      <c r="Y76" s="7">
        <f>IF(D76="Yes",U76*Tab_Data_Flows[[#This Row],[WC_'[%']]],"N.A.")</f>
        <v>0</v>
      </c>
      <c r="Z76" s="7" t="str">
        <f>Tab_Data_Flows[[#This Row],[UoM_Flow_Py]]</f>
        <v>Mg</v>
      </c>
      <c r="AA76" s="153">
        <f>INDEX(Tab_Def_Flows[[Flow_ID]:[CC_DM_source]],MATCH(Tab_Data_Flows[[#This Row],[Flow_Name]],Tab_Def_Flows[Flow_Name],0),14)</f>
        <v>1</v>
      </c>
      <c r="AB76" s="7" t="str">
        <f>Tab_Data_Flows[[#This Row],[Flow_ID]]&amp;"_"&amp;"DM_"&amp;Tab_Data_Flows[[#This Row],[Flow_Data_Year]]</f>
        <v>F_13_00_DM_2033</v>
      </c>
      <c r="AC76" s="7">
        <f>IF(E76="Yes",AA76*Tab_Data_Flows[[#This Row],[Flow_Material]],"N.A.")</f>
        <v>10</v>
      </c>
      <c r="AD76" s="7" t="str">
        <f>Tab_Data_Flows[[#This Row],[UoM_Flow_Py]]</f>
        <v>Mg</v>
      </c>
      <c r="AE76" s="153">
        <f>INDEX(Tab_Def_Flows[[Flow_ID]:[CC_DM_source]],MATCH(Tab_Data_Flows[[#This Row],[Flow_Name]],Tab_Def_Flows[Flow_Name],0),17)</f>
        <v>1</v>
      </c>
      <c r="AF76" s="7" t="str">
        <f>Tab_Data_Flows[[#This Row],[Flow_ID]]&amp;"_"&amp;"CC_"&amp;Tab_Data_Flows[[#This Row],[Flow_Data_Year]]</f>
        <v>F_13_00_CC_2033</v>
      </c>
      <c r="AG76" s="7">
        <f>IF(F76="Yes",AE76*Tab_Data_Flows[[#This Row],[Flow_Material]]*Tab_Data_Flows[[#This Row],[DM_'[%']]],"N.A.")</f>
        <v>10</v>
      </c>
      <c r="AH76" s="7" t="str">
        <f>Tab_Data_Flows[[#This Row],[UoM_Flow_Py]]</f>
        <v>Mg</v>
      </c>
      <c r="AI76"/>
    </row>
    <row r="77" spans="1:35" x14ac:dyDescent="0.25">
      <c r="A77" s="9">
        <f t="shared" si="3"/>
        <v>76</v>
      </c>
      <c r="B77" s="7" t="str">
        <f>_xlfn.XLOOKUP(C77,Tab_Def_Flows[Flow_Name],Tab_Def_Flows[Flow_ID],,0,)</f>
        <v>F_13_00</v>
      </c>
      <c r="C77" s="8" t="s">
        <v>604</v>
      </c>
      <c r="D77" s="10" t="str">
        <f>_xlfn.XLOOKUP(C77,Tab_Def_Flows[Flow_Name],Tab_Def_Flows[WC?],,0,)</f>
        <v>Yes</v>
      </c>
      <c r="E77" s="10" t="str">
        <f>_xlfn.XLOOKUP(C77,Tab_Def_Flows[Flow_Name],Tab_Def_Flows[DM?],,0,)</f>
        <v>Yes</v>
      </c>
      <c r="F77" s="10" t="str">
        <f>_xlfn.XLOOKUP(C77,Tab_Def_Flows[Flow_Name],Tab_Def_Flows[CC?],,0,)</f>
        <v>Yes</v>
      </c>
      <c r="G77" s="8">
        <v>2034</v>
      </c>
      <c r="H77" s="26">
        <v>10</v>
      </c>
      <c r="I77" s="8"/>
      <c r="J77" s="18"/>
      <c r="K77" s="8" t="e">
        <f>INDEX(#REF!,MATCH(Tab_Data_Flows[[#This Row],[Flow_Name]],#REF!,0),12)</f>
        <v>#REF!</v>
      </c>
      <c r="L77" s="8" t="e">
        <f>MATCH(Tab_Data_Flows[[#This Row],[Flow_Name]],#REF!,0)</f>
        <v>#REF!</v>
      </c>
      <c r="M77" s="8"/>
      <c r="N77" s="8"/>
      <c r="O77" s="8"/>
      <c r="P77" s="8"/>
      <c r="Q77" s="8" t="s">
        <v>7</v>
      </c>
      <c r="R77" s="8"/>
      <c r="S77" s="8"/>
      <c r="T77" s="7" t="str">
        <f>Tab_Data_Flows[[#This Row],[Flow_ID]]&amp;"_"&amp;"material_"&amp;Tab_Data_Flows[[#This Row],[Flow_Data_Year]]</f>
        <v>F_13_00_material_2034</v>
      </c>
      <c r="U77" s="16">
        <f t="shared" si="4"/>
        <v>10</v>
      </c>
      <c r="V77" s="8" t="s">
        <v>211</v>
      </c>
      <c r="W77" s="153">
        <f>INDEX(Tab_Def_Flows[[Flow_ID]:[CC_DM_source]],MATCH(Tab_Data_Flows[[#This Row],[Flow_Name]],Tab_Def_Flows[Flow_Name],0),11)</f>
        <v>0</v>
      </c>
      <c r="X77" s="7" t="str">
        <f>Tab_Data_Flows[[#This Row],[Flow_ID]]&amp;"_"&amp;"WC_"&amp;Tab_Data_Flows[[#This Row],[Flow_Data_Year]]</f>
        <v>F_13_00_WC_2034</v>
      </c>
      <c r="Y77" s="7">
        <f>IF(D77="Yes",U77*Tab_Data_Flows[[#This Row],[WC_'[%']]],"N.A.")</f>
        <v>0</v>
      </c>
      <c r="Z77" s="7" t="str">
        <f>Tab_Data_Flows[[#This Row],[UoM_Flow_Py]]</f>
        <v>Mg</v>
      </c>
      <c r="AA77" s="153">
        <f>INDEX(Tab_Def_Flows[[Flow_ID]:[CC_DM_source]],MATCH(Tab_Data_Flows[[#This Row],[Flow_Name]],Tab_Def_Flows[Flow_Name],0),14)</f>
        <v>1</v>
      </c>
      <c r="AB77" s="7" t="str">
        <f>Tab_Data_Flows[[#This Row],[Flow_ID]]&amp;"_"&amp;"DM_"&amp;Tab_Data_Flows[[#This Row],[Flow_Data_Year]]</f>
        <v>F_13_00_DM_2034</v>
      </c>
      <c r="AC77" s="7">
        <f>IF(E77="Yes",AA77*Tab_Data_Flows[[#This Row],[Flow_Material]],"N.A.")</f>
        <v>10</v>
      </c>
      <c r="AD77" s="7" t="str">
        <f>Tab_Data_Flows[[#This Row],[UoM_Flow_Py]]</f>
        <v>Mg</v>
      </c>
      <c r="AE77" s="153">
        <f>INDEX(Tab_Def_Flows[[Flow_ID]:[CC_DM_source]],MATCH(Tab_Data_Flows[[#This Row],[Flow_Name]],Tab_Def_Flows[Flow_Name],0),17)</f>
        <v>1</v>
      </c>
      <c r="AF77" s="7" t="str">
        <f>Tab_Data_Flows[[#This Row],[Flow_ID]]&amp;"_"&amp;"CC_"&amp;Tab_Data_Flows[[#This Row],[Flow_Data_Year]]</f>
        <v>F_13_00_CC_2034</v>
      </c>
      <c r="AG77" s="7">
        <f>IF(F77="Yes",AE77*Tab_Data_Flows[[#This Row],[Flow_Material]]*Tab_Data_Flows[[#This Row],[DM_'[%']]],"N.A.")</f>
        <v>10</v>
      </c>
      <c r="AH77" s="7" t="str">
        <f>Tab_Data_Flows[[#This Row],[UoM_Flow_Py]]</f>
        <v>Mg</v>
      </c>
      <c r="AI77"/>
    </row>
    <row r="78" spans="1:35" x14ac:dyDescent="0.25">
      <c r="A78" s="9">
        <f t="shared" si="3"/>
        <v>77</v>
      </c>
      <c r="B78" s="7" t="str">
        <f>_xlfn.XLOOKUP(C78,Tab_Def_Flows[Flow_Name],Tab_Def_Flows[Flow_ID],,0,)</f>
        <v>F_13_00</v>
      </c>
      <c r="C78" s="8" t="s">
        <v>604</v>
      </c>
      <c r="D78" s="10" t="str">
        <f>_xlfn.XLOOKUP(C78,Tab_Def_Flows[Flow_Name],Tab_Def_Flows[WC?],,0,)</f>
        <v>Yes</v>
      </c>
      <c r="E78" s="10" t="str">
        <f>_xlfn.XLOOKUP(C78,Tab_Def_Flows[Flow_Name],Tab_Def_Flows[DM?],,0,)</f>
        <v>Yes</v>
      </c>
      <c r="F78" s="10" t="str">
        <f>_xlfn.XLOOKUP(C78,Tab_Def_Flows[Flow_Name],Tab_Def_Flows[CC?],,0,)</f>
        <v>Yes</v>
      </c>
      <c r="G78" s="8">
        <v>2035</v>
      </c>
      <c r="H78" s="26">
        <v>10</v>
      </c>
      <c r="I78" s="8"/>
      <c r="J78" s="18"/>
      <c r="K78" s="8" t="e">
        <f>INDEX(#REF!,MATCH(Tab_Data_Flows[[#This Row],[Flow_Name]],#REF!,0),12)</f>
        <v>#REF!</v>
      </c>
      <c r="L78" s="8" t="e">
        <f>MATCH(Tab_Data_Flows[[#This Row],[Flow_Name]],#REF!,0)</f>
        <v>#REF!</v>
      </c>
      <c r="M78" s="8"/>
      <c r="N78" s="8"/>
      <c r="O78" s="8"/>
      <c r="P78" s="8"/>
      <c r="Q78" s="8" t="s">
        <v>7</v>
      </c>
      <c r="R78" s="8"/>
      <c r="S78" s="8"/>
      <c r="T78" s="7" t="str">
        <f>Tab_Data_Flows[[#This Row],[Flow_ID]]&amp;"_"&amp;"material_"&amp;Tab_Data_Flows[[#This Row],[Flow_Data_Year]]</f>
        <v>F_13_00_material_2035</v>
      </c>
      <c r="U78" s="16">
        <f t="shared" si="4"/>
        <v>10</v>
      </c>
      <c r="V78" s="8" t="s">
        <v>211</v>
      </c>
      <c r="W78" s="153">
        <f>INDEX(Tab_Def_Flows[[Flow_ID]:[CC_DM_source]],MATCH(Tab_Data_Flows[[#This Row],[Flow_Name]],Tab_Def_Flows[Flow_Name],0),11)</f>
        <v>0</v>
      </c>
      <c r="X78" s="7" t="str">
        <f>Tab_Data_Flows[[#This Row],[Flow_ID]]&amp;"_"&amp;"WC_"&amp;Tab_Data_Flows[[#This Row],[Flow_Data_Year]]</f>
        <v>F_13_00_WC_2035</v>
      </c>
      <c r="Y78" s="7">
        <f>IF(D78="Yes",U78*Tab_Data_Flows[[#This Row],[WC_'[%']]],"N.A.")</f>
        <v>0</v>
      </c>
      <c r="Z78" s="7" t="str">
        <f>Tab_Data_Flows[[#This Row],[UoM_Flow_Py]]</f>
        <v>Mg</v>
      </c>
      <c r="AA78" s="153">
        <f>INDEX(Tab_Def_Flows[[Flow_ID]:[CC_DM_source]],MATCH(Tab_Data_Flows[[#This Row],[Flow_Name]],Tab_Def_Flows[Flow_Name],0),14)</f>
        <v>1</v>
      </c>
      <c r="AB78" s="7" t="str">
        <f>Tab_Data_Flows[[#This Row],[Flow_ID]]&amp;"_"&amp;"DM_"&amp;Tab_Data_Flows[[#This Row],[Flow_Data_Year]]</f>
        <v>F_13_00_DM_2035</v>
      </c>
      <c r="AC78" s="7">
        <f>IF(E78="Yes",AA78*Tab_Data_Flows[[#This Row],[Flow_Material]],"N.A.")</f>
        <v>10</v>
      </c>
      <c r="AD78" s="7" t="str">
        <f>Tab_Data_Flows[[#This Row],[UoM_Flow_Py]]</f>
        <v>Mg</v>
      </c>
      <c r="AE78" s="153">
        <f>INDEX(Tab_Def_Flows[[Flow_ID]:[CC_DM_source]],MATCH(Tab_Data_Flows[[#This Row],[Flow_Name]],Tab_Def_Flows[Flow_Name],0),17)</f>
        <v>1</v>
      </c>
      <c r="AF78" s="7" t="str">
        <f>Tab_Data_Flows[[#This Row],[Flow_ID]]&amp;"_"&amp;"CC_"&amp;Tab_Data_Flows[[#This Row],[Flow_Data_Year]]</f>
        <v>F_13_00_CC_2035</v>
      </c>
      <c r="AG78" s="7">
        <f>IF(F78="Yes",AE78*Tab_Data_Flows[[#This Row],[Flow_Material]]*Tab_Data_Flows[[#This Row],[DM_'[%']]],"N.A.")</f>
        <v>10</v>
      </c>
      <c r="AH78" s="7" t="str">
        <f>Tab_Data_Flows[[#This Row],[UoM_Flow_Py]]</f>
        <v>Mg</v>
      </c>
      <c r="AI78"/>
    </row>
    <row r="79" spans="1:35" x14ac:dyDescent="0.25">
      <c r="A79" s="9">
        <f t="shared" si="3"/>
        <v>78</v>
      </c>
      <c r="B79" s="7" t="str">
        <f>_xlfn.XLOOKUP(C79,Tab_Def_Flows[Flow_Name],Tab_Def_Flows[Flow_ID],,0,)</f>
        <v>F_13_00</v>
      </c>
      <c r="C79" s="8" t="s">
        <v>604</v>
      </c>
      <c r="D79" s="10" t="str">
        <f>_xlfn.XLOOKUP(C79,Tab_Def_Flows[Flow_Name],Tab_Def_Flows[WC?],,0,)</f>
        <v>Yes</v>
      </c>
      <c r="E79" s="10" t="str">
        <f>_xlfn.XLOOKUP(C79,Tab_Def_Flows[Flow_Name],Tab_Def_Flows[DM?],,0,)</f>
        <v>Yes</v>
      </c>
      <c r="F79" s="10" t="str">
        <f>_xlfn.XLOOKUP(C79,Tab_Def_Flows[Flow_Name],Tab_Def_Flows[CC?],,0,)</f>
        <v>Yes</v>
      </c>
      <c r="G79" s="8">
        <v>2036</v>
      </c>
      <c r="H79" s="26">
        <v>10</v>
      </c>
      <c r="I79" s="8"/>
      <c r="J79" s="18"/>
      <c r="K79" s="8" t="e">
        <f>INDEX(#REF!,MATCH(Tab_Data_Flows[[#This Row],[Flow_Name]],#REF!,0),12)</f>
        <v>#REF!</v>
      </c>
      <c r="L79" s="8" t="e">
        <f>MATCH(Tab_Data_Flows[[#This Row],[Flow_Name]],#REF!,0)</f>
        <v>#REF!</v>
      </c>
      <c r="M79" s="8"/>
      <c r="N79" s="8"/>
      <c r="O79" s="8"/>
      <c r="P79" s="8"/>
      <c r="Q79" s="8" t="s">
        <v>7</v>
      </c>
      <c r="R79" s="8"/>
      <c r="S79" s="8"/>
      <c r="T79" s="7" t="str">
        <f>Tab_Data_Flows[[#This Row],[Flow_ID]]&amp;"_"&amp;"material_"&amp;Tab_Data_Flows[[#This Row],[Flow_Data_Year]]</f>
        <v>F_13_00_material_2036</v>
      </c>
      <c r="U79" s="16">
        <f t="shared" si="4"/>
        <v>10</v>
      </c>
      <c r="V79" s="8" t="s">
        <v>211</v>
      </c>
      <c r="W79" s="153">
        <f>INDEX(Tab_Def_Flows[[Flow_ID]:[CC_DM_source]],MATCH(Tab_Data_Flows[[#This Row],[Flow_Name]],Tab_Def_Flows[Flow_Name],0),11)</f>
        <v>0</v>
      </c>
      <c r="X79" s="7" t="str">
        <f>Tab_Data_Flows[[#This Row],[Flow_ID]]&amp;"_"&amp;"WC_"&amp;Tab_Data_Flows[[#This Row],[Flow_Data_Year]]</f>
        <v>F_13_00_WC_2036</v>
      </c>
      <c r="Y79" s="7">
        <f>IF(D79="Yes",U79*Tab_Data_Flows[[#This Row],[WC_'[%']]],"N.A.")</f>
        <v>0</v>
      </c>
      <c r="Z79" s="7" t="str">
        <f>Tab_Data_Flows[[#This Row],[UoM_Flow_Py]]</f>
        <v>Mg</v>
      </c>
      <c r="AA79" s="153">
        <f>INDEX(Tab_Def_Flows[[Flow_ID]:[CC_DM_source]],MATCH(Tab_Data_Flows[[#This Row],[Flow_Name]],Tab_Def_Flows[Flow_Name],0),14)</f>
        <v>1</v>
      </c>
      <c r="AB79" s="7" t="str">
        <f>Tab_Data_Flows[[#This Row],[Flow_ID]]&amp;"_"&amp;"DM_"&amp;Tab_Data_Flows[[#This Row],[Flow_Data_Year]]</f>
        <v>F_13_00_DM_2036</v>
      </c>
      <c r="AC79" s="7">
        <f>IF(E79="Yes",AA79*Tab_Data_Flows[[#This Row],[Flow_Material]],"N.A.")</f>
        <v>10</v>
      </c>
      <c r="AD79" s="7" t="str">
        <f>Tab_Data_Flows[[#This Row],[UoM_Flow_Py]]</f>
        <v>Mg</v>
      </c>
      <c r="AE79" s="153">
        <f>INDEX(Tab_Def_Flows[[Flow_ID]:[CC_DM_source]],MATCH(Tab_Data_Flows[[#This Row],[Flow_Name]],Tab_Def_Flows[Flow_Name],0),17)</f>
        <v>1</v>
      </c>
      <c r="AF79" s="7" t="str">
        <f>Tab_Data_Flows[[#This Row],[Flow_ID]]&amp;"_"&amp;"CC_"&amp;Tab_Data_Flows[[#This Row],[Flow_Data_Year]]</f>
        <v>F_13_00_CC_2036</v>
      </c>
      <c r="AG79" s="7">
        <f>IF(F79="Yes",AE79*Tab_Data_Flows[[#This Row],[Flow_Material]]*Tab_Data_Flows[[#This Row],[DM_'[%']]],"N.A.")</f>
        <v>10</v>
      </c>
      <c r="AH79" s="7" t="str">
        <f>Tab_Data_Flows[[#This Row],[UoM_Flow_Py]]</f>
        <v>Mg</v>
      </c>
      <c r="AI79"/>
    </row>
    <row r="80" spans="1:35" x14ac:dyDescent="0.25">
      <c r="A80" s="9">
        <f t="shared" si="3"/>
        <v>79</v>
      </c>
      <c r="B80" s="7" t="str">
        <f>_xlfn.XLOOKUP(C80,Tab_Def_Flows[Flow_Name],Tab_Def_Flows[Flow_ID],,0,)</f>
        <v>F_13_00</v>
      </c>
      <c r="C80" s="8" t="s">
        <v>604</v>
      </c>
      <c r="D80" s="10" t="str">
        <f>_xlfn.XLOOKUP(C80,Tab_Def_Flows[Flow_Name],Tab_Def_Flows[WC?],,0,)</f>
        <v>Yes</v>
      </c>
      <c r="E80" s="10" t="str">
        <f>_xlfn.XLOOKUP(C80,Tab_Def_Flows[Flow_Name],Tab_Def_Flows[DM?],,0,)</f>
        <v>Yes</v>
      </c>
      <c r="F80" s="10" t="str">
        <f>_xlfn.XLOOKUP(C80,Tab_Def_Flows[Flow_Name],Tab_Def_Flows[CC?],,0,)</f>
        <v>Yes</v>
      </c>
      <c r="G80" s="8">
        <v>2037</v>
      </c>
      <c r="H80" s="26">
        <v>10</v>
      </c>
      <c r="I80" s="8"/>
      <c r="J80" s="18"/>
      <c r="K80" s="8" t="e">
        <f>INDEX(#REF!,MATCH(Tab_Data_Flows[[#This Row],[Flow_Name]],#REF!,0),12)</f>
        <v>#REF!</v>
      </c>
      <c r="L80" s="8" t="e">
        <f>MATCH(Tab_Data_Flows[[#This Row],[Flow_Name]],#REF!,0)</f>
        <v>#REF!</v>
      </c>
      <c r="M80" s="8"/>
      <c r="N80" s="8"/>
      <c r="O80" s="8"/>
      <c r="P80" s="8"/>
      <c r="Q80" s="8" t="s">
        <v>7</v>
      </c>
      <c r="R80" s="8"/>
      <c r="S80" s="8"/>
      <c r="T80" s="7" t="str">
        <f>Tab_Data_Flows[[#This Row],[Flow_ID]]&amp;"_"&amp;"material_"&amp;Tab_Data_Flows[[#This Row],[Flow_Data_Year]]</f>
        <v>F_13_00_material_2037</v>
      </c>
      <c r="U80" s="16">
        <f t="shared" si="4"/>
        <v>10</v>
      </c>
      <c r="V80" s="8" t="s">
        <v>211</v>
      </c>
      <c r="W80" s="153">
        <f>INDEX(Tab_Def_Flows[[Flow_ID]:[CC_DM_source]],MATCH(Tab_Data_Flows[[#This Row],[Flow_Name]],Tab_Def_Flows[Flow_Name],0),11)</f>
        <v>0</v>
      </c>
      <c r="X80" s="7" t="str">
        <f>Tab_Data_Flows[[#This Row],[Flow_ID]]&amp;"_"&amp;"WC_"&amp;Tab_Data_Flows[[#This Row],[Flow_Data_Year]]</f>
        <v>F_13_00_WC_2037</v>
      </c>
      <c r="Y80" s="7">
        <f>IF(D80="Yes",U80*Tab_Data_Flows[[#This Row],[WC_'[%']]],"N.A.")</f>
        <v>0</v>
      </c>
      <c r="Z80" s="7" t="str">
        <f>Tab_Data_Flows[[#This Row],[UoM_Flow_Py]]</f>
        <v>Mg</v>
      </c>
      <c r="AA80" s="153">
        <f>INDEX(Tab_Def_Flows[[Flow_ID]:[CC_DM_source]],MATCH(Tab_Data_Flows[[#This Row],[Flow_Name]],Tab_Def_Flows[Flow_Name],0),14)</f>
        <v>1</v>
      </c>
      <c r="AB80" s="7" t="str">
        <f>Tab_Data_Flows[[#This Row],[Flow_ID]]&amp;"_"&amp;"DM_"&amp;Tab_Data_Flows[[#This Row],[Flow_Data_Year]]</f>
        <v>F_13_00_DM_2037</v>
      </c>
      <c r="AC80" s="7">
        <f>IF(E80="Yes",AA80*Tab_Data_Flows[[#This Row],[Flow_Material]],"N.A.")</f>
        <v>10</v>
      </c>
      <c r="AD80" s="7" t="str">
        <f>Tab_Data_Flows[[#This Row],[UoM_Flow_Py]]</f>
        <v>Mg</v>
      </c>
      <c r="AE80" s="153">
        <f>INDEX(Tab_Def_Flows[[Flow_ID]:[CC_DM_source]],MATCH(Tab_Data_Flows[[#This Row],[Flow_Name]],Tab_Def_Flows[Flow_Name],0),17)</f>
        <v>1</v>
      </c>
      <c r="AF80" s="7" t="str">
        <f>Tab_Data_Flows[[#This Row],[Flow_ID]]&amp;"_"&amp;"CC_"&amp;Tab_Data_Flows[[#This Row],[Flow_Data_Year]]</f>
        <v>F_13_00_CC_2037</v>
      </c>
      <c r="AG80" s="7">
        <f>IF(F80="Yes",AE80*Tab_Data_Flows[[#This Row],[Flow_Material]]*Tab_Data_Flows[[#This Row],[DM_'[%']]],"N.A.")</f>
        <v>10</v>
      </c>
      <c r="AH80" s="7" t="str">
        <f>Tab_Data_Flows[[#This Row],[UoM_Flow_Py]]</f>
        <v>Mg</v>
      </c>
      <c r="AI80"/>
    </row>
    <row r="81" spans="1:35" x14ac:dyDescent="0.25">
      <c r="A81" s="9">
        <f t="shared" si="3"/>
        <v>80</v>
      </c>
      <c r="B81" s="7" t="str">
        <f>_xlfn.XLOOKUP(C81,Tab_Def_Flows[Flow_Name],Tab_Def_Flows[Flow_ID],,0,)</f>
        <v>F_13_00</v>
      </c>
      <c r="C81" s="8" t="s">
        <v>604</v>
      </c>
      <c r="D81" s="10" t="str">
        <f>_xlfn.XLOOKUP(C81,Tab_Def_Flows[Flow_Name],Tab_Def_Flows[WC?],,0,)</f>
        <v>Yes</v>
      </c>
      <c r="E81" s="10" t="str">
        <f>_xlfn.XLOOKUP(C81,Tab_Def_Flows[Flow_Name],Tab_Def_Flows[DM?],,0,)</f>
        <v>Yes</v>
      </c>
      <c r="F81" s="10" t="str">
        <f>_xlfn.XLOOKUP(C81,Tab_Def_Flows[Flow_Name],Tab_Def_Flows[CC?],,0,)</f>
        <v>Yes</v>
      </c>
      <c r="G81" s="8">
        <v>2038</v>
      </c>
      <c r="H81" s="26">
        <v>10</v>
      </c>
      <c r="I81" s="8"/>
      <c r="J81" s="18"/>
      <c r="K81" s="8" t="e">
        <f>INDEX(#REF!,MATCH(Tab_Data_Flows[[#This Row],[Flow_Name]],#REF!,0),12)</f>
        <v>#REF!</v>
      </c>
      <c r="L81" s="8" t="e">
        <f>MATCH(Tab_Data_Flows[[#This Row],[Flow_Name]],#REF!,0)</f>
        <v>#REF!</v>
      </c>
      <c r="M81" s="8"/>
      <c r="N81" s="8"/>
      <c r="O81" s="8"/>
      <c r="P81" s="8"/>
      <c r="Q81" s="8" t="s">
        <v>7</v>
      </c>
      <c r="R81" s="8"/>
      <c r="S81" s="8"/>
      <c r="T81" s="7" t="str">
        <f>Tab_Data_Flows[[#This Row],[Flow_ID]]&amp;"_"&amp;"material_"&amp;Tab_Data_Flows[[#This Row],[Flow_Data_Year]]</f>
        <v>F_13_00_material_2038</v>
      </c>
      <c r="U81" s="16">
        <f t="shared" si="4"/>
        <v>10</v>
      </c>
      <c r="V81" s="8" t="s">
        <v>211</v>
      </c>
      <c r="W81" s="153">
        <f>INDEX(Tab_Def_Flows[[Flow_ID]:[CC_DM_source]],MATCH(Tab_Data_Flows[[#This Row],[Flow_Name]],Tab_Def_Flows[Flow_Name],0),11)</f>
        <v>0</v>
      </c>
      <c r="X81" s="7" t="str">
        <f>Tab_Data_Flows[[#This Row],[Flow_ID]]&amp;"_"&amp;"WC_"&amp;Tab_Data_Flows[[#This Row],[Flow_Data_Year]]</f>
        <v>F_13_00_WC_2038</v>
      </c>
      <c r="Y81" s="7">
        <f>IF(D81="Yes",U81*Tab_Data_Flows[[#This Row],[WC_'[%']]],"N.A.")</f>
        <v>0</v>
      </c>
      <c r="Z81" s="7" t="str">
        <f>Tab_Data_Flows[[#This Row],[UoM_Flow_Py]]</f>
        <v>Mg</v>
      </c>
      <c r="AA81" s="153">
        <f>INDEX(Tab_Def_Flows[[Flow_ID]:[CC_DM_source]],MATCH(Tab_Data_Flows[[#This Row],[Flow_Name]],Tab_Def_Flows[Flow_Name],0),14)</f>
        <v>1</v>
      </c>
      <c r="AB81" s="7" t="str">
        <f>Tab_Data_Flows[[#This Row],[Flow_ID]]&amp;"_"&amp;"DM_"&amp;Tab_Data_Flows[[#This Row],[Flow_Data_Year]]</f>
        <v>F_13_00_DM_2038</v>
      </c>
      <c r="AC81" s="7">
        <f>IF(E81="Yes",AA81*Tab_Data_Flows[[#This Row],[Flow_Material]],"N.A.")</f>
        <v>10</v>
      </c>
      <c r="AD81" s="7" t="str">
        <f>Tab_Data_Flows[[#This Row],[UoM_Flow_Py]]</f>
        <v>Mg</v>
      </c>
      <c r="AE81" s="153">
        <f>INDEX(Tab_Def_Flows[[Flow_ID]:[CC_DM_source]],MATCH(Tab_Data_Flows[[#This Row],[Flow_Name]],Tab_Def_Flows[Flow_Name],0),17)</f>
        <v>1</v>
      </c>
      <c r="AF81" s="7" t="str">
        <f>Tab_Data_Flows[[#This Row],[Flow_ID]]&amp;"_"&amp;"CC_"&amp;Tab_Data_Flows[[#This Row],[Flow_Data_Year]]</f>
        <v>F_13_00_CC_2038</v>
      </c>
      <c r="AG81" s="7">
        <f>IF(F81="Yes",AE81*Tab_Data_Flows[[#This Row],[Flow_Material]]*Tab_Data_Flows[[#This Row],[DM_'[%']]],"N.A.")</f>
        <v>10</v>
      </c>
      <c r="AH81" s="7" t="str">
        <f>Tab_Data_Flows[[#This Row],[UoM_Flow_Py]]</f>
        <v>Mg</v>
      </c>
      <c r="AI81"/>
    </row>
    <row r="82" spans="1:35" x14ac:dyDescent="0.25">
      <c r="A82" s="9">
        <f t="shared" si="3"/>
        <v>81</v>
      </c>
      <c r="B82" s="7" t="str">
        <f>_xlfn.XLOOKUP(C82,Tab_Def_Flows[Flow_Name],Tab_Def_Flows[Flow_ID],,0,)</f>
        <v>F_13_00</v>
      </c>
      <c r="C82" s="8" t="s">
        <v>604</v>
      </c>
      <c r="D82" s="10" t="str">
        <f>_xlfn.XLOOKUP(C82,Tab_Def_Flows[Flow_Name],Tab_Def_Flows[WC?],,0,)</f>
        <v>Yes</v>
      </c>
      <c r="E82" s="10" t="str">
        <f>_xlfn.XLOOKUP(C82,Tab_Def_Flows[Flow_Name],Tab_Def_Flows[DM?],,0,)</f>
        <v>Yes</v>
      </c>
      <c r="F82" s="10" t="str">
        <f>_xlfn.XLOOKUP(C82,Tab_Def_Flows[Flow_Name],Tab_Def_Flows[CC?],,0,)</f>
        <v>Yes</v>
      </c>
      <c r="G82" s="8">
        <v>2039</v>
      </c>
      <c r="H82" s="26">
        <v>10</v>
      </c>
      <c r="I82" s="8"/>
      <c r="J82" s="18"/>
      <c r="K82" s="8" t="e">
        <f>INDEX(#REF!,MATCH(Tab_Data_Flows[[#This Row],[Flow_Name]],#REF!,0),12)</f>
        <v>#REF!</v>
      </c>
      <c r="L82" s="8" t="e">
        <f>MATCH(Tab_Data_Flows[[#This Row],[Flow_Name]],#REF!,0)</f>
        <v>#REF!</v>
      </c>
      <c r="M82" s="8"/>
      <c r="N82" s="8"/>
      <c r="O82" s="8"/>
      <c r="P82" s="8"/>
      <c r="Q82" s="8" t="s">
        <v>7</v>
      </c>
      <c r="R82" s="8"/>
      <c r="S82" s="8"/>
      <c r="T82" s="7" t="str">
        <f>Tab_Data_Flows[[#This Row],[Flow_ID]]&amp;"_"&amp;"material_"&amp;Tab_Data_Flows[[#This Row],[Flow_Data_Year]]</f>
        <v>F_13_00_material_2039</v>
      </c>
      <c r="U82" s="16">
        <f t="shared" si="4"/>
        <v>10</v>
      </c>
      <c r="V82" s="8" t="s">
        <v>211</v>
      </c>
      <c r="W82" s="153">
        <f>INDEX(Tab_Def_Flows[[Flow_ID]:[CC_DM_source]],MATCH(Tab_Data_Flows[[#This Row],[Flow_Name]],Tab_Def_Flows[Flow_Name],0),11)</f>
        <v>0</v>
      </c>
      <c r="X82" s="7" t="str">
        <f>Tab_Data_Flows[[#This Row],[Flow_ID]]&amp;"_"&amp;"WC_"&amp;Tab_Data_Flows[[#This Row],[Flow_Data_Year]]</f>
        <v>F_13_00_WC_2039</v>
      </c>
      <c r="Y82" s="7">
        <f>IF(D82="Yes",U82*Tab_Data_Flows[[#This Row],[WC_'[%']]],"N.A.")</f>
        <v>0</v>
      </c>
      <c r="Z82" s="7" t="str">
        <f>Tab_Data_Flows[[#This Row],[UoM_Flow_Py]]</f>
        <v>Mg</v>
      </c>
      <c r="AA82" s="153">
        <f>INDEX(Tab_Def_Flows[[Flow_ID]:[CC_DM_source]],MATCH(Tab_Data_Flows[[#This Row],[Flow_Name]],Tab_Def_Flows[Flow_Name],0),14)</f>
        <v>1</v>
      </c>
      <c r="AB82" s="7" t="str">
        <f>Tab_Data_Flows[[#This Row],[Flow_ID]]&amp;"_"&amp;"DM_"&amp;Tab_Data_Flows[[#This Row],[Flow_Data_Year]]</f>
        <v>F_13_00_DM_2039</v>
      </c>
      <c r="AC82" s="7">
        <f>IF(E82="Yes",AA82*Tab_Data_Flows[[#This Row],[Flow_Material]],"N.A.")</f>
        <v>10</v>
      </c>
      <c r="AD82" s="7" t="str">
        <f>Tab_Data_Flows[[#This Row],[UoM_Flow_Py]]</f>
        <v>Mg</v>
      </c>
      <c r="AE82" s="153">
        <f>INDEX(Tab_Def_Flows[[Flow_ID]:[CC_DM_source]],MATCH(Tab_Data_Flows[[#This Row],[Flow_Name]],Tab_Def_Flows[Flow_Name],0),17)</f>
        <v>1</v>
      </c>
      <c r="AF82" s="7" t="str">
        <f>Tab_Data_Flows[[#This Row],[Flow_ID]]&amp;"_"&amp;"CC_"&amp;Tab_Data_Flows[[#This Row],[Flow_Data_Year]]</f>
        <v>F_13_00_CC_2039</v>
      </c>
      <c r="AG82" s="7">
        <f>IF(F82="Yes",AE82*Tab_Data_Flows[[#This Row],[Flow_Material]]*Tab_Data_Flows[[#This Row],[DM_'[%']]],"N.A.")</f>
        <v>10</v>
      </c>
      <c r="AH82" s="7" t="str">
        <f>Tab_Data_Flows[[#This Row],[UoM_Flow_Py]]</f>
        <v>Mg</v>
      </c>
      <c r="AI82"/>
    </row>
    <row r="83" spans="1:35" x14ac:dyDescent="0.25">
      <c r="A83" s="9">
        <f t="shared" si="3"/>
        <v>82</v>
      </c>
      <c r="B83" s="7" t="str">
        <f>_xlfn.XLOOKUP(C83,Tab_Def_Flows[Flow_Name],Tab_Def_Flows[Flow_ID],,0,)</f>
        <v>F_13_00</v>
      </c>
      <c r="C83" s="8" t="s">
        <v>604</v>
      </c>
      <c r="D83" s="10" t="str">
        <f>_xlfn.XLOOKUP(C83,Tab_Def_Flows[Flow_Name],Tab_Def_Flows[WC?],,0,)</f>
        <v>Yes</v>
      </c>
      <c r="E83" s="10" t="str">
        <f>_xlfn.XLOOKUP(C83,Tab_Def_Flows[Flow_Name],Tab_Def_Flows[DM?],,0,)</f>
        <v>Yes</v>
      </c>
      <c r="F83" s="10" t="str">
        <f>_xlfn.XLOOKUP(C83,Tab_Def_Flows[Flow_Name],Tab_Def_Flows[CC?],,0,)</f>
        <v>Yes</v>
      </c>
      <c r="G83" s="8">
        <v>2040</v>
      </c>
      <c r="H83" s="26">
        <v>10</v>
      </c>
      <c r="I83" s="8"/>
      <c r="J83" s="18"/>
      <c r="K83" s="8" t="e">
        <f>INDEX(#REF!,MATCH(Tab_Data_Flows[[#This Row],[Flow_Name]],#REF!,0),12)</f>
        <v>#REF!</v>
      </c>
      <c r="L83" s="8" t="e">
        <f>MATCH(Tab_Data_Flows[[#This Row],[Flow_Name]],#REF!,0)</f>
        <v>#REF!</v>
      </c>
      <c r="M83" s="8"/>
      <c r="N83" s="8"/>
      <c r="O83" s="8"/>
      <c r="P83" s="8"/>
      <c r="Q83" s="8" t="s">
        <v>7</v>
      </c>
      <c r="R83" s="8"/>
      <c r="S83" s="8"/>
      <c r="T83" s="7" t="str">
        <f>Tab_Data_Flows[[#This Row],[Flow_ID]]&amp;"_"&amp;"material_"&amp;Tab_Data_Flows[[#This Row],[Flow_Data_Year]]</f>
        <v>F_13_00_material_2040</v>
      </c>
      <c r="U83" s="16">
        <f t="shared" si="4"/>
        <v>10</v>
      </c>
      <c r="V83" s="8" t="s">
        <v>211</v>
      </c>
      <c r="W83" s="153">
        <f>INDEX(Tab_Def_Flows[[Flow_ID]:[CC_DM_source]],MATCH(Tab_Data_Flows[[#This Row],[Flow_Name]],Tab_Def_Flows[Flow_Name],0),11)</f>
        <v>0</v>
      </c>
      <c r="X83" s="7" t="str">
        <f>Tab_Data_Flows[[#This Row],[Flow_ID]]&amp;"_"&amp;"WC_"&amp;Tab_Data_Flows[[#This Row],[Flow_Data_Year]]</f>
        <v>F_13_00_WC_2040</v>
      </c>
      <c r="Y83" s="7">
        <f>IF(D83="Yes",U83*Tab_Data_Flows[[#This Row],[WC_'[%']]],"N.A.")</f>
        <v>0</v>
      </c>
      <c r="Z83" s="7" t="str">
        <f>Tab_Data_Flows[[#This Row],[UoM_Flow_Py]]</f>
        <v>Mg</v>
      </c>
      <c r="AA83" s="153">
        <f>INDEX(Tab_Def_Flows[[Flow_ID]:[CC_DM_source]],MATCH(Tab_Data_Flows[[#This Row],[Flow_Name]],Tab_Def_Flows[Flow_Name],0),14)</f>
        <v>1</v>
      </c>
      <c r="AB83" s="7" t="str">
        <f>Tab_Data_Flows[[#This Row],[Flow_ID]]&amp;"_"&amp;"DM_"&amp;Tab_Data_Flows[[#This Row],[Flow_Data_Year]]</f>
        <v>F_13_00_DM_2040</v>
      </c>
      <c r="AC83" s="7">
        <f>IF(E83="Yes",AA83*Tab_Data_Flows[[#This Row],[Flow_Material]],"N.A.")</f>
        <v>10</v>
      </c>
      <c r="AD83" s="7" t="str">
        <f>Tab_Data_Flows[[#This Row],[UoM_Flow_Py]]</f>
        <v>Mg</v>
      </c>
      <c r="AE83" s="153">
        <f>INDEX(Tab_Def_Flows[[Flow_ID]:[CC_DM_source]],MATCH(Tab_Data_Flows[[#This Row],[Flow_Name]],Tab_Def_Flows[Flow_Name],0),17)</f>
        <v>1</v>
      </c>
      <c r="AF83" s="7" t="str">
        <f>Tab_Data_Flows[[#This Row],[Flow_ID]]&amp;"_"&amp;"CC_"&amp;Tab_Data_Flows[[#This Row],[Flow_Data_Year]]</f>
        <v>F_13_00_CC_2040</v>
      </c>
      <c r="AG83" s="7">
        <f>IF(F83="Yes",AE83*Tab_Data_Flows[[#This Row],[Flow_Material]]*Tab_Data_Flows[[#This Row],[DM_'[%']]],"N.A.")</f>
        <v>10</v>
      </c>
      <c r="AH83" s="7" t="str">
        <f>Tab_Data_Flows[[#This Row],[UoM_Flow_Py]]</f>
        <v>Mg</v>
      </c>
      <c r="AI83"/>
    </row>
    <row r="84" spans="1:35" x14ac:dyDescent="0.25">
      <c r="A84" s="9">
        <f t="shared" si="3"/>
        <v>83</v>
      </c>
      <c r="B84" s="7" t="str">
        <f>_xlfn.XLOOKUP(C84,Tab_Def_Flows[Flow_Name],Tab_Def_Flows[Flow_ID],,0,)</f>
        <v>F_14_00</v>
      </c>
      <c r="C84" s="8" t="s">
        <v>606</v>
      </c>
      <c r="D84" s="10" t="str">
        <f>_xlfn.XLOOKUP(C84,Tab_Def_Flows[Flow_Name],Tab_Def_Flows[WC?],,0,)</f>
        <v>Yes</v>
      </c>
      <c r="E84" s="10" t="str">
        <f>_xlfn.XLOOKUP(C84,Tab_Def_Flows[Flow_Name],Tab_Def_Flows[DM?],,0,)</f>
        <v>Yes</v>
      </c>
      <c r="F84" s="10" t="str">
        <f>_xlfn.XLOOKUP(C84,Tab_Def_Flows[Flow_Name],Tab_Def_Flows[CC?],,0,)</f>
        <v>Yes</v>
      </c>
      <c r="G84" s="8">
        <v>2000</v>
      </c>
      <c r="H84" s="26">
        <v>30</v>
      </c>
      <c r="I84" s="8"/>
      <c r="J84" s="18"/>
      <c r="K84" s="8" t="e">
        <f>INDEX(#REF!,MATCH(Tab_Data_Flows[[#This Row],[Flow_Name]],#REF!,0),12)</f>
        <v>#REF!</v>
      </c>
      <c r="L84" s="8" t="e">
        <f>MATCH(Tab_Data_Flows[[#This Row],[Flow_Name]],#REF!,0)</f>
        <v>#REF!</v>
      </c>
      <c r="M84" s="8"/>
      <c r="N84" s="8"/>
      <c r="O84" s="8"/>
      <c r="P84" s="8"/>
      <c r="Q84" s="8" t="s">
        <v>7</v>
      </c>
      <c r="R84" s="8"/>
      <c r="S84" s="8"/>
      <c r="T84" s="7" t="str">
        <f>Tab_Data_Flows[[#This Row],[Flow_ID]]&amp;"_"&amp;"material_"&amp;Tab_Data_Flows[[#This Row],[Flow_Data_Year]]</f>
        <v>F_14_00_material_2000</v>
      </c>
      <c r="U84" s="16">
        <f t="shared" si="4"/>
        <v>30</v>
      </c>
      <c r="V84" s="8" t="s">
        <v>211</v>
      </c>
      <c r="W84" s="153">
        <f>INDEX(Tab_Def_Flows[[Flow_ID]:[CC_DM_source]],MATCH(Tab_Data_Flows[[#This Row],[Flow_Name]],Tab_Def_Flows[Flow_Name],0),11)</f>
        <v>0</v>
      </c>
      <c r="X84" s="7" t="str">
        <f>Tab_Data_Flows[[#This Row],[Flow_ID]]&amp;"_"&amp;"WC_"&amp;Tab_Data_Flows[[#This Row],[Flow_Data_Year]]</f>
        <v>F_14_00_WC_2000</v>
      </c>
      <c r="Y84" s="7">
        <f>IF(D84="Yes",U84*Tab_Data_Flows[[#This Row],[WC_'[%']]],"N.A.")</f>
        <v>0</v>
      </c>
      <c r="Z84" s="7" t="str">
        <f>Tab_Data_Flows[[#This Row],[UoM_Flow_Py]]</f>
        <v>Mg</v>
      </c>
      <c r="AA84" s="153">
        <f>INDEX(Tab_Def_Flows[[Flow_ID]:[CC_DM_source]],MATCH(Tab_Data_Flows[[#This Row],[Flow_Name]],Tab_Def_Flows[Flow_Name],0),14)</f>
        <v>1</v>
      </c>
      <c r="AB84" s="7" t="str">
        <f>Tab_Data_Flows[[#This Row],[Flow_ID]]&amp;"_"&amp;"DM_"&amp;Tab_Data_Flows[[#This Row],[Flow_Data_Year]]</f>
        <v>F_14_00_DM_2000</v>
      </c>
      <c r="AC84" s="7">
        <f>IF(E84="Yes",AA84*Tab_Data_Flows[[#This Row],[Flow_Material]],"N.A.")</f>
        <v>30</v>
      </c>
      <c r="AD84" s="7" t="str">
        <f>Tab_Data_Flows[[#This Row],[UoM_Flow_Py]]</f>
        <v>Mg</v>
      </c>
      <c r="AE84" s="153">
        <f>INDEX(Tab_Def_Flows[[Flow_ID]:[CC_DM_source]],MATCH(Tab_Data_Flows[[#This Row],[Flow_Name]],Tab_Def_Flows[Flow_Name],0),17)</f>
        <v>0.1</v>
      </c>
      <c r="AF84" s="7" t="str">
        <f>Tab_Data_Flows[[#This Row],[Flow_ID]]&amp;"_"&amp;"CC_"&amp;Tab_Data_Flows[[#This Row],[Flow_Data_Year]]</f>
        <v>F_14_00_CC_2000</v>
      </c>
      <c r="AG84" s="7">
        <f>IF(F84="Yes",AE84*Tab_Data_Flows[[#This Row],[Flow_Material]]*Tab_Data_Flows[[#This Row],[DM_'[%']]],"N.A.")</f>
        <v>3</v>
      </c>
      <c r="AH84" s="7" t="str">
        <f>Tab_Data_Flows[[#This Row],[UoM_Flow_Py]]</f>
        <v>Mg</v>
      </c>
      <c r="AI84"/>
    </row>
    <row r="85" spans="1:35" x14ac:dyDescent="0.25">
      <c r="A85" s="9">
        <f t="shared" si="3"/>
        <v>84</v>
      </c>
      <c r="B85" s="7" t="str">
        <f>_xlfn.XLOOKUP(C85,Tab_Def_Flows[Flow_Name],Tab_Def_Flows[Flow_ID],,0,)</f>
        <v>F_14_00</v>
      </c>
      <c r="C85" s="8" t="s">
        <v>606</v>
      </c>
      <c r="D85" s="10" t="str">
        <f>_xlfn.XLOOKUP(C85,Tab_Def_Flows[Flow_Name],Tab_Def_Flows[WC?],,0,)</f>
        <v>Yes</v>
      </c>
      <c r="E85" s="10" t="str">
        <f>_xlfn.XLOOKUP(C85,Tab_Def_Flows[Flow_Name],Tab_Def_Flows[DM?],,0,)</f>
        <v>Yes</v>
      </c>
      <c r="F85" s="10" t="str">
        <f>_xlfn.XLOOKUP(C85,Tab_Def_Flows[Flow_Name],Tab_Def_Flows[CC?],,0,)</f>
        <v>Yes</v>
      </c>
      <c r="G85" s="8">
        <v>2001</v>
      </c>
      <c r="H85" s="26">
        <v>30</v>
      </c>
      <c r="I85" s="8"/>
      <c r="J85" s="18"/>
      <c r="K85" s="8" t="e">
        <f>INDEX(#REF!,MATCH(Tab_Data_Flows[[#This Row],[Flow_Name]],#REF!,0),12)</f>
        <v>#REF!</v>
      </c>
      <c r="L85" s="8" t="e">
        <f>MATCH(Tab_Data_Flows[[#This Row],[Flow_Name]],#REF!,0)</f>
        <v>#REF!</v>
      </c>
      <c r="M85" s="8"/>
      <c r="N85" s="8"/>
      <c r="O85" s="8"/>
      <c r="P85" s="8"/>
      <c r="Q85" s="8" t="s">
        <v>7</v>
      </c>
      <c r="R85" s="8"/>
      <c r="S85" s="8"/>
      <c r="T85" s="7" t="str">
        <f>Tab_Data_Flows[[#This Row],[Flow_ID]]&amp;"_"&amp;"material_"&amp;Tab_Data_Flows[[#This Row],[Flow_Data_Year]]</f>
        <v>F_14_00_material_2001</v>
      </c>
      <c r="U85" s="16">
        <f t="shared" si="4"/>
        <v>30</v>
      </c>
      <c r="V85" s="8" t="s">
        <v>211</v>
      </c>
      <c r="W85" s="153">
        <f>INDEX(Tab_Def_Flows[[Flow_ID]:[CC_DM_source]],MATCH(Tab_Data_Flows[[#This Row],[Flow_Name]],Tab_Def_Flows[Flow_Name],0),11)</f>
        <v>0</v>
      </c>
      <c r="X85" s="7" t="str">
        <f>Tab_Data_Flows[[#This Row],[Flow_ID]]&amp;"_"&amp;"WC_"&amp;Tab_Data_Flows[[#This Row],[Flow_Data_Year]]</f>
        <v>F_14_00_WC_2001</v>
      </c>
      <c r="Y85" s="7">
        <f>IF(D85="Yes",U85*Tab_Data_Flows[[#This Row],[WC_'[%']]],"N.A.")</f>
        <v>0</v>
      </c>
      <c r="Z85" s="7" t="str">
        <f>Tab_Data_Flows[[#This Row],[UoM_Flow_Py]]</f>
        <v>Mg</v>
      </c>
      <c r="AA85" s="153">
        <f>INDEX(Tab_Def_Flows[[Flow_ID]:[CC_DM_source]],MATCH(Tab_Data_Flows[[#This Row],[Flow_Name]],Tab_Def_Flows[Flow_Name],0),14)</f>
        <v>1</v>
      </c>
      <c r="AB85" s="7" t="str">
        <f>Tab_Data_Flows[[#This Row],[Flow_ID]]&amp;"_"&amp;"DM_"&amp;Tab_Data_Flows[[#This Row],[Flow_Data_Year]]</f>
        <v>F_14_00_DM_2001</v>
      </c>
      <c r="AC85" s="7">
        <f>IF(E85="Yes",AA85*Tab_Data_Flows[[#This Row],[Flow_Material]],"N.A.")</f>
        <v>30</v>
      </c>
      <c r="AD85" s="7" t="str">
        <f>Tab_Data_Flows[[#This Row],[UoM_Flow_Py]]</f>
        <v>Mg</v>
      </c>
      <c r="AE85" s="153">
        <f>INDEX(Tab_Def_Flows[[Flow_ID]:[CC_DM_source]],MATCH(Tab_Data_Flows[[#This Row],[Flow_Name]],Tab_Def_Flows[Flow_Name],0),17)</f>
        <v>0.1</v>
      </c>
      <c r="AF85" s="7" t="str">
        <f>Tab_Data_Flows[[#This Row],[Flow_ID]]&amp;"_"&amp;"CC_"&amp;Tab_Data_Flows[[#This Row],[Flow_Data_Year]]</f>
        <v>F_14_00_CC_2001</v>
      </c>
      <c r="AG85" s="7">
        <f>IF(F85="Yes",AE85*Tab_Data_Flows[[#This Row],[Flow_Material]]*Tab_Data_Flows[[#This Row],[DM_'[%']]],"N.A.")</f>
        <v>3</v>
      </c>
      <c r="AH85" s="7" t="str">
        <f>Tab_Data_Flows[[#This Row],[UoM_Flow_Py]]</f>
        <v>Mg</v>
      </c>
      <c r="AI85"/>
    </row>
    <row r="86" spans="1:35" x14ac:dyDescent="0.25">
      <c r="A86" s="9">
        <f t="shared" si="3"/>
        <v>85</v>
      </c>
      <c r="B86" s="7" t="str">
        <f>_xlfn.XLOOKUP(C86,Tab_Def_Flows[Flow_Name],Tab_Def_Flows[Flow_ID],,0,)</f>
        <v>F_14_00</v>
      </c>
      <c r="C86" s="8" t="s">
        <v>606</v>
      </c>
      <c r="D86" s="10" t="str">
        <f>_xlfn.XLOOKUP(C86,Tab_Def_Flows[Flow_Name],Tab_Def_Flows[WC?],,0,)</f>
        <v>Yes</v>
      </c>
      <c r="E86" s="10" t="str">
        <f>_xlfn.XLOOKUP(C86,Tab_Def_Flows[Flow_Name],Tab_Def_Flows[DM?],,0,)</f>
        <v>Yes</v>
      </c>
      <c r="F86" s="10" t="str">
        <f>_xlfn.XLOOKUP(C86,Tab_Def_Flows[Flow_Name],Tab_Def_Flows[CC?],,0,)</f>
        <v>Yes</v>
      </c>
      <c r="G86" s="8">
        <v>2002</v>
      </c>
      <c r="H86" s="26">
        <v>30</v>
      </c>
      <c r="I86" s="8"/>
      <c r="J86" s="18"/>
      <c r="K86" s="8" t="e">
        <f>INDEX(#REF!,MATCH(Tab_Data_Flows[[#This Row],[Flow_Name]],#REF!,0),12)</f>
        <v>#REF!</v>
      </c>
      <c r="L86" s="8" t="e">
        <f>MATCH(Tab_Data_Flows[[#This Row],[Flow_Name]],#REF!,0)</f>
        <v>#REF!</v>
      </c>
      <c r="M86" s="8"/>
      <c r="N86" s="8"/>
      <c r="O86" s="8"/>
      <c r="P86" s="8"/>
      <c r="Q86" s="8" t="s">
        <v>7</v>
      </c>
      <c r="R86" s="8"/>
      <c r="S86" s="8"/>
      <c r="T86" s="7" t="str">
        <f>Tab_Data_Flows[[#This Row],[Flow_ID]]&amp;"_"&amp;"material_"&amp;Tab_Data_Flows[[#This Row],[Flow_Data_Year]]</f>
        <v>F_14_00_material_2002</v>
      </c>
      <c r="U86" s="16">
        <f t="shared" si="4"/>
        <v>30</v>
      </c>
      <c r="V86" s="8" t="s">
        <v>211</v>
      </c>
      <c r="W86" s="153">
        <f>INDEX(Tab_Def_Flows[[Flow_ID]:[CC_DM_source]],MATCH(Tab_Data_Flows[[#This Row],[Flow_Name]],Tab_Def_Flows[Flow_Name],0),11)</f>
        <v>0</v>
      </c>
      <c r="X86" s="7" t="str">
        <f>Tab_Data_Flows[[#This Row],[Flow_ID]]&amp;"_"&amp;"WC_"&amp;Tab_Data_Flows[[#This Row],[Flow_Data_Year]]</f>
        <v>F_14_00_WC_2002</v>
      </c>
      <c r="Y86" s="7">
        <f>IF(D86="Yes",U86*Tab_Data_Flows[[#This Row],[WC_'[%']]],"N.A.")</f>
        <v>0</v>
      </c>
      <c r="Z86" s="7" t="str">
        <f>Tab_Data_Flows[[#This Row],[UoM_Flow_Py]]</f>
        <v>Mg</v>
      </c>
      <c r="AA86" s="153">
        <f>INDEX(Tab_Def_Flows[[Flow_ID]:[CC_DM_source]],MATCH(Tab_Data_Flows[[#This Row],[Flow_Name]],Tab_Def_Flows[Flow_Name],0),14)</f>
        <v>1</v>
      </c>
      <c r="AB86" s="7" t="str">
        <f>Tab_Data_Flows[[#This Row],[Flow_ID]]&amp;"_"&amp;"DM_"&amp;Tab_Data_Flows[[#This Row],[Flow_Data_Year]]</f>
        <v>F_14_00_DM_2002</v>
      </c>
      <c r="AC86" s="7">
        <f>IF(E86="Yes",AA86*Tab_Data_Flows[[#This Row],[Flow_Material]],"N.A.")</f>
        <v>30</v>
      </c>
      <c r="AD86" s="7" t="str">
        <f>Tab_Data_Flows[[#This Row],[UoM_Flow_Py]]</f>
        <v>Mg</v>
      </c>
      <c r="AE86" s="153">
        <f>INDEX(Tab_Def_Flows[[Flow_ID]:[CC_DM_source]],MATCH(Tab_Data_Flows[[#This Row],[Flow_Name]],Tab_Def_Flows[Flow_Name],0),17)</f>
        <v>0.1</v>
      </c>
      <c r="AF86" s="7" t="str">
        <f>Tab_Data_Flows[[#This Row],[Flow_ID]]&amp;"_"&amp;"CC_"&amp;Tab_Data_Flows[[#This Row],[Flow_Data_Year]]</f>
        <v>F_14_00_CC_2002</v>
      </c>
      <c r="AG86" s="7">
        <f>IF(F86="Yes",AE86*Tab_Data_Flows[[#This Row],[Flow_Material]]*Tab_Data_Flows[[#This Row],[DM_'[%']]],"N.A.")</f>
        <v>3</v>
      </c>
      <c r="AH86" s="7" t="str">
        <f>Tab_Data_Flows[[#This Row],[UoM_Flow_Py]]</f>
        <v>Mg</v>
      </c>
      <c r="AI86"/>
    </row>
    <row r="87" spans="1:35" x14ac:dyDescent="0.25">
      <c r="A87" s="9">
        <f t="shared" si="3"/>
        <v>86</v>
      </c>
      <c r="B87" s="7" t="str">
        <f>_xlfn.XLOOKUP(C87,Tab_Def_Flows[Flow_Name],Tab_Def_Flows[Flow_ID],,0,)</f>
        <v>F_14_00</v>
      </c>
      <c r="C87" s="8" t="s">
        <v>606</v>
      </c>
      <c r="D87" s="10" t="str">
        <f>_xlfn.XLOOKUP(C87,Tab_Def_Flows[Flow_Name],Tab_Def_Flows[WC?],,0,)</f>
        <v>Yes</v>
      </c>
      <c r="E87" s="10" t="str">
        <f>_xlfn.XLOOKUP(C87,Tab_Def_Flows[Flow_Name],Tab_Def_Flows[DM?],,0,)</f>
        <v>Yes</v>
      </c>
      <c r="F87" s="10" t="str">
        <f>_xlfn.XLOOKUP(C87,Tab_Def_Flows[Flow_Name],Tab_Def_Flows[CC?],,0,)</f>
        <v>Yes</v>
      </c>
      <c r="G87" s="8">
        <v>2003</v>
      </c>
      <c r="H87" s="26">
        <v>30</v>
      </c>
      <c r="I87" s="8"/>
      <c r="J87" s="18"/>
      <c r="K87" s="8" t="e">
        <f>INDEX(#REF!,MATCH(Tab_Data_Flows[[#This Row],[Flow_Name]],#REF!,0),12)</f>
        <v>#REF!</v>
      </c>
      <c r="L87" s="8" t="e">
        <f>MATCH(Tab_Data_Flows[[#This Row],[Flow_Name]],#REF!,0)</f>
        <v>#REF!</v>
      </c>
      <c r="M87" s="8"/>
      <c r="N87" s="8"/>
      <c r="O87" s="8"/>
      <c r="P87" s="8"/>
      <c r="Q87" s="8" t="s">
        <v>7</v>
      </c>
      <c r="R87" s="8"/>
      <c r="S87" s="8"/>
      <c r="T87" s="7" t="str">
        <f>Tab_Data_Flows[[#This Row],[Flow_ID]]&amp;"_"&amp;"material_"&amp;Tab_Data_Flows[[#This Row],[Flow_Data_Year]]</f>
        <v>F_14_00_material_2003</v>
      </c>
      <c r="U87" s="16">
        <f t="shared" si="4"/>
        <v>30</v>
      </c>
      <c r="V87" s="8" t="s">
        <v>211</v>
      </c>
      <c r="W87" s="153">
        <f>INDEX(Tab_Def_Flows[[Flow_ID]:[CC_DM_source]],MATCH(Tab_Data_Flows[[#This Row],[Flow_Name]],Tab_Def_Flows[Flow_Name],0),11)</f>
        <v>0</v>
      </c>
      <c r="X87" s="7" t="str">
        <f>Tab_Data_Flows[[#This Row],[Flow_ID]]&amp;"_"&amp;"WC_"&amp;Tab_Data_Flows[[#This Row],[Flow_Data_Year]]</f>
        <v>F_14_00_WC_2003</v>
      </c>
      <c r="Y87" s="7">
        <f>IF(D87="Yes",U87*Tab_Data_Flows[[#This Row],[WC_'[%']]],"N.A.")</f>
        <v>0</v>
      </c>
      <c r="Z87" s="7" t="str">
        <f>Tab_Data_Flows[[#This Row],[UoM_Flow_Py]]</f>
        <v>Mg</v>
      </c>
      <c r="AA87" s="153">
        <f>INDEX(Tab_Def_Flows[[Flow_ID]:[CC_DM_source]],MATCH(Tab_Data_Flows[[#This Row],[Flow_Name]],Tab_Def_Flows[Flow_Name],0),14)</f>
        <v>1</v>
      </c>
      <c r="AB87" s="7" t="str">
        <f>Tab_Data_Flows[[#This Row],[Flow_ID]]&amp;"_"&amp;"DM_"&amp;Tab_Data_Flows[[#This Row],[Flow_Data_Year]]</f>
        <v>F_14_00_DM_2003</v>
      </c>
      <c r="AC87" s="7">
        <f>IF(E87="Yes",AA87*Tab_Data_Flows[[#This Row],[Flow_Material]],"N.A.")</f>
        <v>30</v>
      </c>
      <c r="AD87" s="7" t="str">
        <f>Tab_Data_Flows[[#This Row],[UoM_Flow_Py]]</f>
        <v>Mg</v>
      </c>
      <c r="AE87" s="153">
        <f>INDEX(Tab_Def_Flows[[Flow_ID]:[CC_DM_source]],MATCH(Tab_Data_Flows[[#This Row],[Flow_Name]],Tab_Def_Flows[Flow_Name],0),17)</f>
        <v>0.1</v>
      </c>
      <c r="AF87" s="7" t="str">
        <f>Tab_Data_Flows[[#This Row],[Flow_ID]]&amp;"_"&amp;"CC_"&amp;Tab_Data_Flows[[#This Row],[Flow_Data_Year]]</f>
        <v>F_14_00_CC_2003</v>
      </c>
      <c r="AG87" s="7">
        <f>IF(F87="Yes",AE87*Tab_Data_Flows[[#This Row],[Flow_Material]]*Tab_Data_Flows[[#This Row],[DM_'[%']]],"N.A.")</f>
        <v>3</v>
      </c>
      <c r="AH87" s="7" t="str">
        <f>Tab_Data_Flows[[#This Row],[UoM_Flow_Py]]</f>
        <v>Mg</v>
      </c>
      <c r="AI87"/>
    </row>
    <row r="88" spans="1:35" x14ac:dyDescent="0.25">
      <c r="A88" s="9">
        <f t="shared" si="3"/>
        <v>87</v>
      </c>
      <c r="B88" s="7" t="str">
        <f>_xlfn.XLOOKUP(C88,Tab_Def_Flows[Flow_Name],Tab_Def_Flows[Flow_ID],,0,)</f>
        <v>F_14_00</v>
      </c>
      <c r="C88" s="8" t="s">
        <v>606</v>
      </c>
      <c r="D88" s="10" t="str">
        <f>_xlfn.XLOOKUP(C88,Tab_Def_Flows[Flow_Name],Tab_Def_Flows[WC?],,0,)</f>
        <v>Yes</v>
      </c>
      <c r="E88" s="10" t="str">
        <f>_xlfn.XLOOKUP(C88,Tab_Def_Flows[Flow_Name],Tab_Def_Flows[DM?],,0,)</f>
        <v>Yes</v>
      </c>
      <c r="F88" s="10" t="str">
        <f>_xlfn.XLOOKUP(C88,Tab_Def_Flows[Flow_Name],Tab_Def_Flows[CC?],,0,)</f>
        <v>Yes</v>
      </c>
      <c r="G88" s="8">
        <v>2004</v>
      </c>
      <c r="H88" s="26">
        <v>30</v>
      </c>
      <c r="I88" s="8"/>
      <c r="J88" s="18"/>
      <c r="K88" s="8" t="e">
        <f>INDEX(#REF!,MATCH(Tab_Data_Flows[[#This Row],[Flow_Name]],#REF!,0),12)</f>
        <v>#REF!</v>
      </c>
      <c r="L88" s="8" t="e">
        <f>MATCH(Tab_Data_Flows[[#This Row],[Flow_Name]],#REF!,0)</f>
        <v>#REF!</v>
      </c>
      <c r="M88" s="8"/>
      <c r="N88" s="8"/>
      <c r="O88" s="8"/>
      <c r="P88" s="8"/>
      <c r="Q88" s="8" t="s">
        <v>7</v>
      </c>
      <c r="R88" s="8"/>
      <c r="S88" s="8"/>
      <c r="T88" s="7" t="str">
        <f>Tab_Data_Flows[[#This Row],[Flow_ID]]&amp;"_"&amp;"material_"&amp;Tab_Data_Flows[[#This Row],[Flow_Data_Year]]</f>
        <v>F_14_00_material_2004</v>
      </c>
      <c r="U88" s="16">
        <f t="shared" si="4"/>
        <v>30</v>
      </c>
      <c r="V88" s="8" t="s">
        <v>211</v>
      </c>
      <c r="W88" s="153">
        <f>INDEX(Tab_Def_Flows[[Flow_ID]:[CC_DM_source]],MATCH(Tab_Data_Flows[[#This Row],[Flow_Name]],Tab_Def_Flows[Flow_Name],0),11)</f>
        <v>0</v>
      </c>
      <c r="X88" s="7" t="str">
        <f>Tab_Data_Flows[[#This Row],[Flow_ID]]&amp;"_"&amp;"WC_"&amp;Tab_Data_Flows[[#This Row],[Flow_Data_Year]]</f>
        <v>F_14_00_WC_2004</v>
      </c>
      <c r="Y88" s="7">
        <f>IF(D88="Yes",U88*Tab_Data_Flows[[#This Row],[WC_'[%']]],"N.A.")</f>
        <v>0</v>
      </c>
      <c r="Z88" s="7" t="str">
        <f>Tab_Data_Flows[[#This Row],[UoM_Flow_Py]]</f>
        <v>Mg</v>
      </c>
      <c r="AA88" s="153">
        <f>INDEX(Tab_Def_Flows[[Flow_ID]:[CC_DM_source]],MATCH(Tab_Data_Flows[[#This Row],[Flow_Name]],Tab_Def_Flows[Flow_Name],0),14)</f>
        <v>1</v>
      </c>
      <c r="AB88" s="7" t="str">
        <f>Tab_Data_Flows[[#This Row],[Flow_ID]]&amp;"_"&amp;"DM_"&amp;Tab_Data_Flows[[#This Row],[Flow_Data_Year]]</f>
        <v>F_14_00_DM_2004</v>
      </c>
      <c r="AC88" s="7">
        <f>IF(E88="Yes",AA88*Tab_Data_Flows[[#This Row],[Flow_Material]],"N.A.")</f>
        <v>30</v>
      </c>
      <c r="AD88" s="7" t="str">
        <f>Tab_Data_Flows[[#This Row],[UoM_Flow_Py]]</f>
        <v>Mg</v>
      </c>
      <c r="AE88" s="153">
        <f>INDEX(Tab_Def_Flows[[Flow_ID]:[CC_DM_source]],MATCH(Tab_Data_Flows[[#This Row],[Flow_Name]],Tab_Def_Flows[Flow_Name],0),17)</f>
        <v>0.1</v>
      </c>
      <c r="AF88" s="7" t="str">
        <f>Tab_Data_Flows[[#This Row],[Flow_ID]]&amp;"_"&amp;"CC_"&amp;Tab_Data_Flows[[#This Row],[Flow_Data_Year]]</f>
        <v>F_14_00_CC_2004</v>
      </c>
      <c r="AG88" s="7">
        <f>IF(F88="Yes",AE88*Tab_Data_Flows[[#This Row],[Flow_Material]]*Tab_Data_Flows[[#This Row],[DM_'[%']]],"N.A.")</f>
        <v>3</v>
      </c>
      <c r="AH88" s="7" t="str">
        <f>Tab_Data_Flows[[#This Row],[UoM_Flow_Py]]</f>
        <v>Mg</v>
      </c>
      <c r="AI88"/>
    </row>
    <row r="89" spans="1:35" x14ac:dyDescent="0.25">
      <c r="A89" s="9">
        <f t="shared" si="3"/>
        <v>88</v>
      </c>
      <c r="B89" s="7" t="str">
        <f>_xlfn.XLOOKUP(C89,Tab_Def_Flows[Flow_Name],Tab_Def_Flows[Flow_ID],,0,)</f>
        <v>F_14_00</v>
      </c>
      <c r="C89" s="8" t="s">
        <v>606</v>
      </c>
      <c r="D89" s="10" t="str">
        <f>_xlfn.XLOOKUP(C89,Tab_Def_Flows[Flow_Name],Tab_Def_Flows[WC?],,0,)</f>
        <v>Yes</v>
      </c>
      <c r="E89" s="10" t="str">
        <f>_xlfn.XLOOKUP(C89,Tab_Def_Flows[Flow_Name],Tab_Def_Flows[DM?],,0,)</f>
        <v>Yes</v>
      </c>
      <c r="F89" s="10" t="str">
        <f>_xlfn.XLOOKUP(C89,Tab_Def_Flows[Flow_Name],Tab_Def_Flows[CC?],,0,)</f>
        <v>Yes</v>
      </c>
      <c r="G89" s="8">
        <v>2005</v>
      </c>
      <c r="H89" s="26">
        <v>30</v>
      </c>
      <c r="I89" s="8"/>
      <c r="J89" s="18"/>
      <c r="K89" s="8"/>
      <c r="L89" s="8"/>
      <c r="M89" s="8"/>
      <c r="N89" s="8"/>
      <c r="O89" s="8"/>
      <c r="P89" s="8"/>
      <c r="Q89" s="8" t="s">
        <v>7</v>
      </c>
      <c r="R89" s="19"/>
      <c r="S89" s="8"/>
      <c r="T89" s="7" t="str">
        <f>Tab_Data_Flows[[#This Row],[Flow_ID]]&amp;"_"&amp;"material_"&amp;Tab_Data_Flows[[#This Row],[Flow_Data_Year]]</f>
        <v>F_14_00_material_2005</v>
      </c>
      <c r="U89" s="16">
        <f t="shared" si="4"/>
        <v>30</v>
      </c>
      <c r="V89" s="8" t="s">
        <v>211</v>
      </c>
      <c r="W89" s="153">
        <f>INDEX(Tab_Def_Flows[[Flow_ID]:[CC_DM_source]],MATCH(Tab_Data_Flows[[#This Row],[Flow_Name]],Tab_Def_Flows[Flow_Name],0),11)</f>
        <v>0</v>
      </c>
      <c r="X89" s="7" t="str">
        <f>Tab_Data_Flows[[#This Row],[Flow_ID]]&amp;"_"&amp;"WC_"&amp;Tab_Data_Flows[[#This Row],[Flow_Data_Year]]</f>
        <v>F_14_00_WC_2005</v>
      </c>
      <c r="Y89" s="7">
        <f>IF(D89="Yes",U89*Tab_Data_Flows[[#This Row],[WC_'[%']]],"N.A.")</f>
        <v>0</v>
      </c>
      <c r="Z89" s="7" t="str">
        <f>Tab_Data_Flows[[#This Row],[UoM_Flow_Py]]</f>
        <v>Mg</v>
      </c>
      <c r="AA89" s="153">
        <f>INDEX(Tab_Def_Flows[[Flow_ID]:[CC_DM_source]],MATCH(Tab_Data_Flows[[#This Row],[Flow_Name]],Tab_Def_Flows[Flow_Name],0),14)</f>
        <v>1</v>
      </c>
      <c r="AB89" s="7" t="str">
        <f>Tab_Data_Flows[[#This Row],[Flow_ID]]&amp;"_"&amp;"DM_"&amp;Tab_Data_Flows[[#This Row],[Flow_Data_Year]]</f>
        <v>F_14_00_DM_2005</v>
      </c>
      <c r="AC89" s="7">
        <f>IF(E89="Yes",AA89*Tab_Data_Flows[[#This Row],[Flow_Material]],"N.A.")</f>
        <v>30</v>
      </c>
      <c r="AD89" s="7" t="str">
        <f>Tab_Data_Flows[[#This Row],[UoM_Flow_Py]]</f>
        <v>Mg</v>
      </c>
      <c r="AE89" s="153">
        <f>INDEX(Tab_Def_Flows[[Flow_ID]:[CC_DM_source]],MATCH(Tab_Data_Flows[[#This Row],[Flow_Name]],Tab_Def_Flows[Flow_Name],0),17)</f>
        <v>0.1</v>
      </c>
      <c r="AF89" s="7" t="str">
        <f>Tab_Data_Flows[[#This Row],[Flow_ID]]&amp;"_"&amp;"CC_"&amp;Tab_Data_Flows[[#This Row],[Flow_Data_Year]]</f>
        <v>F_14_00_CC_2005</v>
      </c>
      <c r="AG89" s="7">
        <f>IF(F89="Yes",AE89*Tab_Data_Flows[[#This Row],[Flow_Material]]*Tab_Data_Flows[[#This Row],[DM_'[%']]],"N.A.")</f>
        <v>3</v>
      </c>
      <c r="AH89" s="7" t="str">
        <f>Tab_Data_Flows[[#This Row],[UoM_Flow_Py]]</f>
        <v>Mg</v>
      </c>
      <c r="AI89"/>
    </row>
    <row r="90" spans="1:35" x14ac:dyDescent="0.25">
      <c r="A90" s="9">
        <f t="shared" si="3"/>
        <v>89</v>
      </c>
      <c r="B90" s="7" t="str">
        <f>_xlfn.XLOOKUP(C90,Tab_Def_Flows[Flow_Name],Tab_Def_Flows[Flow_ID],,0,)</f>
        <v>F_14_00</v>
      </c>
      <c r="C90" s="8" t="s">
        <v>606</v>
      </c>
      <c r="D90" s="10" t="str">
        <f>_xlfn.XLOOKUP(C90,Tab_Def_Flows[Flow_Name],Tab_Def_Flows[WC?],,0,)</f>
        <v>Yes</v>
      </c>
      <c r="E90" s="10" t="str">
        <f>_xlfn.XLOOKUP(C90,Tab_Def_Flows[Flow_Name],Tab_Def_Flows[DM?],,0,)</f>
        <v>Yes</v>
      </c>
      <c r="F90" s="10" t="str">
        <f>_xlfn.XLOOKUP(C90,Tab_Def_Flows[Flow_Name],Tab_Def_Flows[CC?],,0,)</f>
        <v>Yes</v>
      </c>
      <c r="G90" s="8">
        <v>2006</v>
      </c>
      <c r="H90" s="26">
        <v>30</v>
      </c>
      <c r="I90" s="8"/>
      <c r="J90" s="18"/>
      <c r="K90" s="8"/>
      <c r="L90" s="8"/>
      <c r="M90" s="8"/>
      <c r="N90" s="8"/>
      <c r="O90" s="8"/>
      <c r="P90" s="8"/>
      <c r="Q90" s="8" t="s">
        <v>7</v>
      </c>
      <c r="R90" s="19"/>
      <c r="S90" s="8"/>
      <c r="T90" s="7" t="str">
        <f>Tab_Data_Flows[[#This Row],[Flow_ID]]&amp;"_"&amp;"material_"&amp;Tab_Data_Flows[[#This Row],[Flow_Data_Year]]</f>
        <v>F_14_00_material_2006</v>
      </c>
      <c r="U90" s="16">
        <f t="shared" si="4"/>
        <v>30</v>
      </c>
      <c r="V90" s="8" t="s">
        <v>211</v>
      </c>
      <c r="W90" s="153">
        <f>INDEX(Tab_Def_Flows[[Flow_ID]:[CC_DM_source]],MATCH(Tab_Data_Flows[[#This Row],[Flow_Name]],Tab_Def_Flows[Flow_Name],0),11)</f>
        <v>0</v>
      </c>
      <c r="X90" s="7" t="str">
        <f>Tab_Data_Flows[[#This Row],[Flow_ID]]&amp;"_"&amp;"WC_"&amp;Tab_Data_Flows[[#This Row],[Flow_Data_Year]]</f>
        <v>F_14_00_WC_2006</v>
      </c>
      <c r="Y90" s="7">
        <f>IF(D90="Yes",U90*Tab_Data_Flows[[#This Row],[WC_'[%']]],"N.A.")</f>
        <v>0</v>
      </c>
      <c r="Z90" s="7" t="str">
        <f>Tab_Data_Flows[[#This Row],[UoM_Flow_Py]]</f>
        <v>Mg</v>
      </c>
      <c r="AA90" s="153">
        <f>INDEX(Tab_Def_Flows[[Flow_ID]:[CC_DM_source]],MATCH(Tab_Data_Flows[[#This Row],[Flow_Name]],Tab_Def_Flows[Flow_Name],0),14)</f>
        <v>1</v>
      </c>
      <c r="AB90" s="7" t="str">
        <f>Tab_Data_Flows[[#This Row],[Flow_ID]]&amp;"_"&amp;"DM_"&amp;Tab_Data_Flows[[#This Row],[Flow_Data_Year]]</f>
        <v>F_14_00_DM_2006</v>
      </c>
      <c r="AC90" s="7">
        <f>IF(E90="Yes",AA90*Tab_Data_Flows[[#This Row],[Flow_Material]],"N.A.")</f>
        <v>30</v>
      </c>
      <c r="AD90" s="7" t="str">
        <f>Tab_Data_Flows[[#This Row],[UoM_Flow_Py]]</f>
        <v>Mg</v>
      </c>
      <c r="AE90" s="153">
        <f>INDEX(Tab_Def_Flows[[Flow_ID]:[CC_DM_source]],MATCH(Tab_Data_Flows[[#This Row],[Flow_Name]],Tab_Def_Flows[Flow_Name],0),17)</f>
        <v>0.1</v>
      </c>
      <c r="AF90" s="7" t="str">
        <f>Tab_Data_Flows[[#This Row],[Flow_ID]]&amp;"_"&amp;"CC_"&amp;Tab_Data_Flows[[#This Row],[Flow_Data_Year]]</f>
        <v>F_14_00_CC_2006</v>
      </c>
      <c r="AG90" s="7">
        <f>IF(F90="Yes",AE90*Tab_Data_Flows[[#This Row],[Flow_Material]]*Tab_Data_Flows[[#This Row],[DM_'[%']]],"N.A.")</f>
        <v>3</v>
      </c>
      <c r="AH90" s="7" t="str">
        <f>Tab_Data_Flows[[#This Row],[UoM_Flow_Py]]</f>
        <v>Mg</v>
      </c>
      <c r="AI90"/>
    </row>
    <row r="91" spans="1:35" x14ac:dyDescent="0.25">
      <c r="A91" s="9">
        <f t="shared" si="3"/>
        <v>90</v>
      </c>
      <c r="B91" s="7" t="str">
        <f>_xlfn.XLOOKUP(C91,Tab_Def_Flows[Flow_Name],Tab_Def_Flows[Flow_ID],,0,)</f>
        <v>F_14_00</v>
      </c>
      <c r="C91" s="8" t="s">
        <v>606</v>
      </c>
      <c r="D91" s="10" t="str">
        <f>_xlfn.XLOOKUP(C91,Tab_Def_Flows[Flow_Name],Tab_Def_Flows[WC?],,0,)</f>
        <v>Yes</v>
      </c>
      <c r="E91" s="10" t="str">
        <f>_xlfn.XLOOKUP(C91,Tab_Def_Flows[Flow_Name],Tab_Def_Flows[DM?],,0,)</f>
        <v>Yes</v>
      </c>
      <c r="F91" s="10" t="str">
        <f>_xlfn.XLOOKUP(C91,Tab_Def_Flows[Flow_Name],Tab_Def_Flows[CC?],,0,)</f>
        <v>Yes</v>
      </c>
      <c r="G91" s="8">
        <v>2007</v>
      </c>
      <c r="H91" s="26">
        <v>30</v>
      </c>
      <c r="I91" s="8"/>
      <c r="J91" s="18"/>
      <c r="K91" s="8"/>
      <c r="L91" s="8"/>
      <c r="M91" s="8"/>
      <c r="N91" s="8"/>
      <c r="O91" s="8"/>
      <c r="P91" s="8"/>
      <c r="Q91" s="8" t="s">
        <v>7</v>
      </c>
      <c r="R91" s="19"/>
      <c r="S91" s="8"/>
      <c r="T91" s="7" t="str">
        <f>Tab_Data_Flows[[#This Row],[Flow_ID]]&amp;"_"&amp;"material_"&amp;Tab_Data_Flows[[#This Row],[Flow_Data_Year]]</f>
        <v>F_14_00_material_2007</v>
      </c>
      <c r="U91" s="16">
        <f t="shared" si="4"/>
        <v>30</v>
      </c>
      <c r="V91" s="8" t="s">
        <v>211</v>
      </c>
      <c r="W91" s="153">
        <f>INDEX(Tab_Def_Flows[[Flow_ID]:[CC_DM_source]],MATCH(Tab_Data_Flows[[#This Row],[Flow_Name]],Tab_Def_Flows[Flow_Name],0),11)</f>
        <v>0</v>
      </c>
      <c r="X91" s="7" t="str">
        <f>Tab_Data_Flows[[#This Row],[Flow_ID]]&amp;"_"&amp;"WC_"&amp;Tab_Data_Flows[[#This Row],[Flow_Data_Year]]</f>
        <v>F_14_00_WC_2007</v>
      </c>
      <c r="Y91" s="7">
        <f>IF(D91="Yes",U91*Tab_Data_Flows[[#This Row],[WC_'[%']]],"N.A.")</f>
        <v>0</v>
      </c>
      <c r="Z91" s="7" t="str">
        <f>Tab_Data_Flows[[#This Row],[UoM_Flow_Py]]</f>
        <v>Mg</v>
      </c>
      <c r="AA91" s="153">
        <f>INDEX(Tab_Def_Flows[[Flow_ID]:[CC_DM_source]],MATCH(Tab_Data_Flows[[#This Row],[Flow_Name]],Tab_Def_Flows[Flow_Name],0),14)</f>
        <v>1</v>
      </c>
      <c r="AB91" s="7" t="str">
        <f>Tab_Data_Flows[[#This Row],[Flow_ID]]&amp;"_"&amp;"DM_"&amp;Tab_Data_Flows[[#This Row],[Flow_Data_Year]]</f>
        <v>F_14_00_DM_2007</v>
      </c>
      <c r="AC91" s="7">
        <f>IF(E91="Yes",AA91*Tab_Data_Flows[[#This Row],[Flow_Material]],"N.A.")</f>
        <v>30</v>
      </c>
      <c r="AD91" s="7" t="str">
        <f>Tab_Data_Flows[[#This Row],[UoM_Flow_Py]]</f>
        <v>Mg</v>
      </c>
      <c r="AE91" s="153">
        <f>INDEX(Tab_Def_Flows[[Flow_ID]:[CC_DM_source]],MATCH(Tab_Data_Flows[[#This Row],[Flow_Name]],Tab_Def_Flows[Flow_Name],0),17)</f>
        <v>0.1</v>
      </c>
      <c r="AF91" s="7" t="str">
        <f>Tab_Data_Flows[[#This Row],[Flow_ID]]&amp;"_"&amp;"CC_"&amp;Tab_Data_Flows[[#This Row],[Flow_Data_Year]]</f>
        <v>F_14_00_CC_2007</v>
      </c>
      <c r="AG91" s="7">
        <f>IF(F91="Yes",AE91*Tab_Data_Flows[[#This Row],[Flow_Material]]*Tab_Data_Flows[[#This Row],[DM_'[%']]],"N.A.")</f>
        <v>3</v>
      </c>
      <c r="AH91" s="7" t="str">
        <f>Tab_Data_Flows[[#This Row],[UoM_Flow_Py]]</f>
        <v>Mg</v>
      </c>
      <c r="AI91"/>
    </row>
    <row r="92" spans="1:35" x14ac:dyDescent="0.25">
      <c r="A92" s="9">
        <f t="shared" si="3"/>
        <v>91</v>
      </c>
      <c r="B92" s="7" t="str">
        <f>_xlfn.XLOOKUP(C92,Tab_Def_Flows[Flow_Name],Tab_Def_Flows[Flow_ID],,0,)</f>
        <v>F_14_00</v>
      </c>
      <c r="C92" s="8" t="s">
        <v>606</v>
      </c>
      <c r="D92" s="10" t="str">
        <f>_xlfn.XLOOKUP(C92,Tab_Def_Flows[Flow_Name],Tab_Def_Flows[WC?],,0,)</f>
        <v>Yes</v>
      </c>
      <c r="E92" s="10" t="str">
        <f>_xlfn.XLOOKUP(C92,Tab_Def_Flows[Flow_Name],Tab_Def_Flows[DM?],,0,)</f>
        <v>Yes</v>
      </c>
      <c r="F92" s="10" t="str">
        <f>_xlfn.XLOOKUP(C92,Tab_Def_Flows[Flow_Name],Tab_Def_Flows[CC?],,0,)</f>
        <v>Yes</v>
      </c>
      <c r="G92" s="8">
        <v>2008</v>
      </c>
      <c r="H92" s="26">
        <v>30</v>
      </c>
      <c r="I92" s="8"/>
      <c r="J92" s="18"/>
      <c r="K92" s="8"/>
      <c r="L92" s="8"/>
      <c r="M92" s="8"/>
      <c r="N92" s="8"/>
      <c r="O92" s="8"/>
      <c r="P92" s="8"/>
      <c r="Q92" s="8" t="s">
        <v>7</v>
      </c>
      <c r="R92" s="19"/>
      <c r="S92" s="8"/>
      <c r="T92" s="7" t="str">
        <f>Tab_Data_Flows[[#This Row],[Flow_ID]]&amp;"_"&amp;"material_"&amp;Tab_Data_Flows[[#This Row],[Flow_Data_Year]]</f>
        <v>F_14_00_material_2008</v>
      </c>
      <c r="U92" s="16">
        <f t="shared" si="4"/>
        <v>30</v>
      </c>
      <c r="V92" s="8" t="s">
        <v>211</v>
      </c>
      <c r="W92" s="153">
        <f>INDEX(Tab_Def_Flows[[Flow_ID]:[CC_DM_source]],MATCH(Tab_Data_Flows[[#This Row],[Flow_Name]],Tab_Def_Flows[Flow_Name],0),11)</f>
        <v>0</v>
      </c>
      <c r="X92" s="7" t="str">
        <f>Tab_Data_Flows[[#This Row],[Flow_ID]]&amp;"_"&amp;"WC_"&amp;Tab_Data_Flows[[#This Row],[Flow_Data_Year]]</f>
        <v>F_14_00_WC_2008</v>
      </c>
      <c r="Y92" s="7">
        <f>IF(D92="Yes",U92*Tab_Data_Flows[[#This Row],[WC_'[%']]],"N.A.")</f>
        <v>0</v>
      </c>
      <c r="Z92" s="7" t="str">
        <f>Tab_Data_Flows[[#This Row],[UoM_Flow_Py]]</f>
        <v>Mg</v>
      </c>
      <c r="AA92" s="153">
        <f>INDEX(Tab_Def_Flows[[Flow_ID]:[CC_DM_source]],MATCH(Tab_Data_Flows[[#This Row],[Flow_Name]],Tab_Def_Flows[Flow_Name],0),14)</f>
        <v>1</v>
      </c>
      <c r="AB92" s="7" t="str">
        <f>Tab_Data_Flows[[#This Row],[Flow_ID]]&amp;"_"&amp;"DM_"&amp;Tab_Data_Flows[[#This Row],[Flow_Data_Year]]</f>
        <v>F_14_00_DM_2008</v>
      </c>
      <c r="AC92" s="7">
        <f>IF(E92="Yes",AA92*Tab_Data_Flows[[#This Row],[Flow_Material]],"N.A.")</f>
        <v>30</v>
      </c>
      <c r="AD92" s="7" t="str">
        <f>Tab_Data_Flows[[#This Row],[UoM_Flow_Py]]</f>
        <v>Mg</v>
      </c>
      <c r="AE92" s="153">
        <f>INDEX(Tab_Def_Flows[[Flow_ID]:[CC_DM_source]],MATCH(Tab_Data_Flows[[#This Row],[Flow_Name]],Tab_Def_Flows[Flow_Name],0),17)</f>
        <v>0.1</v>
      </c>
      <c r="AF92" s="7" t="str">
        <f>Tab_Data_Flows[[#This Row],[Flow_ID]]&amp;"_"&amp;"CC_"&amp;Tab_Data_Flows[[#This Row],[Flow_Data_Year]]</f>
        <v>F_14_00_CC_2008</v>
      </c>
      <c r="AG92" s="7">
        <f>IF(F92="Yes",AE92*Tab_Data_Flows[[#This Row],[Flow_Material]]*Tab_Data_Flows[[#This Row],[DM_'[%']]],"N.A.")</f>
        <v>3</v>
      </c>
      <c r="AH92" s="7" t="str">
        <f>Tab_Data_Flows[[#This Row],[UoM_Flow_Py]]</f>
        <v>Mg</v>
      </c>
      <c r="AI92"/>
    </row>
    <row r="93" spans="1:35" x14ac:dyDescent="0.25">
      <c r="A93" s="9">
        <f t="shared" si="3"/>
        <v>92</v>
      </c>
      <c r="B93" s="7" t="str">
        <f>_xlfn.XLOOKUP(C93,Tab_Def_Flows[Flow_Name],Tab_Def_Flows[Flow_ID],,0,)</f>
        <v>F_14_00</v>
      </c>
      <c r="C93" s="8" t="s">
        <v>606</v>
      </c>
      <c r="D93" s="10" t="str">
        <f>_xlfn.XLOOKUP(C93,Tab_Def_Flows[Flow_Name],Tab_Def_Flows[WC?],,0,)</f>
        <v>Yes</v>
      </c>
      <c r="E93" s="10" t="str">
        <f>_xlfn.XLOOKUP(C93,Tab_Def_Flows[Flow_Name],Tab_Def_Flows[DM?],,0,)</f>
        <v>Yes</v>
      </c>
      <c r="F93" s="10" t="str">
        <f>_xlfn.XLOOKUP(C93,Tab_Def_Flows[Flow_Name],Tab_Def_Flows[CC?],,0,)</f>
        <v>Yes</v>
      </c>
      <c r="G93" s="8">
        <v>2009</v>
      </c>
      <c r="H93" s="26">
        <v>30</v>
      </c>
      <c r="I93" s="8"/>
      <c r="J93" s="18"/>
      <c r="K93" s="8"/>
      <c r="L93" s="8"/>
      <c r="M93" s="8"/>
      <c r="N93" s="8"/>
      <c r="O93" s="8"/>
      <c r="P93" s="8"/>
      <c r="Q93" s="8" t="s">
        <v>7</v>
      </c>
      <c r="R93" s="19"/>
      <c r="S93" s="8"/>
      <c r="T93" s="7" t="str">
        <f>Tab_Data_Flows[[#This Row],[Flow_ID]]&amp;"_"&amp;"material_"&amp;Tab_Data_Flows[[#This Row],[Flow_Data_Year]]</f>
        <v>F_14_00_material_2009</v>
      </c>
      <c r="U93" s="16">
        <f t="shared" si="4"/>
        <v>30</v>
      </c>
      <c r="V93" s="8" t="s">
        <v>211</v>
      </c>
      <c r="W93" s="153">
        <f>INDEX(Tab_Def_Flows[[Flow_ID]:[CC_DM_source]],MATCH(Tab_Data_Flows[[#This Row],[Flow_Name]],Tab_Def_Flows[Flow_Name],0),11)</f>
        <v>0</v>
      </c>
      <c r="X93" s="7" t="str">
        <f>Tab_Data_Flows[[#This Row],[Flow_ID]]&amp;"_"&amp;"WC_"&amp;Tab_Data_Flows[[#This Row],[Flow_Data_Year]]</f>
        <v>F_14_00_WC_2009</v>
      </c>
      <c r="Y93" s="7">
        <f>IF(D93="Yes",U93*Tab_Data_Flows[[#This Row],[WC_'[%']]],"N.A.")</f>
        <v>0</v>
      </c>
      <c r="Z93" s="7" t="str">
        <f>Tab_Data_Flows[[#This Row],[UoM_Flow_Py]]</f>
        <v>Mg</v>
      </c>
      <c r="AA93" s="153">
        <f>INDEX(Tab_Def_Flows[[Flow_ID]:[CC_DM_source]],MATCH(Tab_Data_Flows[[#This Row],[Flow_Name]],Tab_Def_Flows[Flow_Name],0),14)</f>
        <v>1</v>
      </c>
      <c r="AB93" s="7" t="str">
        <f>Tab_Data_Flows[[#This Row],[Flow_ID]]&amp;"_"&amp;"DM_"&amp;Tab_Data_Flows[[#This Row],[Flow_Data_Year]]</f>
        <v>F_14_00_DM_2009</v>
      </c>
      <c r="AC93" s="7">
        <f>IF(E93="Yes",AA93*Tab_Data_Flows[[#This Row],[Flow_Material]],"N.A.")</f>
        <v>30</v>
      </c>
      <c r="AD93" s="7" t="str">
        <f>Tab_Data_Flows[[#This Row],[UoM_Flow_Py]]</f>
        <v>Mg</v>
      </c>
      <c r="AE93" s="153">
        <f>INDEX(Tab_Def_Flows[[Flow_ID]:[CC_DM_source]],MATCH(Tab_Data_Flows[[#This Row],[Flow_Name]],Tab_Def_Flows[Flow_Name],0),17)</f>
        <v>0.1</v>
      </c>
      <c r="AF93" s="7" t="str">
        <f>Tab_Data_Flows[[#This Row],[Flow_ID]]&amp;"_"&amp;"CC_"&amp;Tab_Data_Flows[[#This Row],[Flow_Data_Year]]</f>
        <v>F_14_00_CC_2009</v>
      </c>
      <c r="AG93" s="7">
        <f>IF(F93="Yes",AE93*Tab_Data_Flows[[#This Row],[Flow_Material]]*Tab_Data_Flows[[#This Row],[DM_'[%']]],"N.A.")</f>
        <v>3</v>
      </c>
      <c r="AH93" s="7" t="str">
        <f>Tab_Data_Flows[[#This Row],[UoM_Flow_Py]]</f>
        <v>Mg</v>
      </c>
      <c r="AI93"/>
    </row>
    <row r="94" spans="1:35" x14ac:dyDescent="0.25">
      <c r="A94" s="9">
        <f t="shared" si="3"/>
        <v>93</v>
      </c>
      <c r="B94" s="7" t="str">
        <f>_xlfn.XLOOKUP(C94,Tab_Def_Flows[Flow_Name],Tab_Def_Flows[Flow_ID],,0,)</f>
        <v>F_14_00</v>
      </c>
      <c r="C94" s="8" t="s">
        <v>606</v>
      </c>
      <c r="D94" s="10" t="str">
        <f>_xlfn.XLOOKUP(C94,Tab_Def_Flows[Flow_Name],Tab_Def_Flows[WC?],,0,)</f>
        <v>Yes</v>
      </c>
      <c r="E94" s="10" t="str">
        <f>_xlfn.XLOOKUP(C94,Tab_Def_Flows[Flow_Name],Tab_Def_Flows[DM?],,0,)</f>
        <v>Yes</v>
      </c>
      <c r="F94" s="10" t="str">
        <f>_xlfn.XLOOKUP(C94,Tab_Def_Flows[Flow_Name],Tab_Def_Flows[CC?],,0,)</f>
        <v>Yes</v>
      </c>
      <c r="G94" s="8">
        <v>2010</v>
      </c>
      <c r="H94" s="26">
        <v>30</v>
      </c>
      <c r="I94" s="8"/>
      <c r="J94" s="18"/>
      <c r="K94" s="8"/>
      <c r="L94" s="8"/>
      <c r="M94" s="8"/>
      <c r="N94" s="8"/>
      <c r="O94" s="8"/>
      <c r="P94" s="8"/>
      <c r="Q94" s="8" t="s">
        <v>7</v>
      </c>
      <c r="R94" s="19"/>
      <c r="S94" s="8"/>
      <c r="T94" s="7" t="str">
        <f>Tab_Data_Flows[[#This Row],[Flow_ID]]&amp;"_"&amp;"material_"&amp;Tab_Data_Flows[[#This Row],[Flow_Data_Year]]</f>
        <v>F_14_00_material_2010</v>
      </c>
      <c r="U94" s="16">
        <f t="shared" si="4"/>
        <v>30</v>
      </c>
      <c r="V94" s="8" t="s">
        <v>211</v>
      </c>
      <c r="W94" s="153">
        <f>INDEX(Tab_Def_Flows[[Flow_ID]:[CC_DM_source]],MATCH(Tab_Data_Flows[[#This Row],[Flow_Name]],Tab_Def_Flows[Flow_Name],0),11)</f>
        <v>0</v>
      </c>
      <c r="X94" s="7" t="str">
        <f>Tab_Data_Flows[[#This Row],[Flow_ID]]&amp;"_"&amp;"WC_"&amp;Tab_Data_Flows[[#This Row],[Flow_Data_Year]]</f>
        <v>F_14_00_WC_2010</v>
      </c>
      <c r="Y94" s="7">
        <f>IF(D94="Yes",U94*Tab_Data_Flows[[#This Row],[WC_'[%']]],"N.A.")</f>
        <v>0</v>
      </c>
      <c r="Z94" s="7" t="str">
        <f>Tab_Data_Flows[[#This Row],[UoM_Flow_Py]]</f>
        <v>Mg</v>
      </c>
      <c r="AA94" s="153">
        <f>INDEX(Tab_Def_Flows[[Flow_ID]:[CC_DM_source]],MATCH(Tab_Data_Flows[[#This Row],[Flow_Name]],Tab_Def_Flows[Flow_Name],0),14)</f>
        <v>1</v>
      </c>
      <c r="AB94" s="7" t="str">
        <f>Tab_Data_Flows[[#This Row],[Flow_ID]]&amp;"_"&amp;"DM_"&amp;Tab_Data_Flows[[#This Row],[Flow_Data_Year]]</f>
        <v>F_14_00_DM_2010</v>
      </c>
      <c r="AC94" s="7">
        <f>IF(E94="Yes",AA94*Tab_Data_Flows[[#This Row],[Flow_Material]],"N.A.")</f>
        <v>30</v>
      </c>
      <c r="AD94" s="7" t="str">
        <f>Tab_Data_Flows[[#This Row],[UoM_Flow_Py]]</f>
        <v>Mg</v>
      </c>
      <c r="AE94" s="153">
        <f>INDEX(Tab_Def_Flows[[Flow_ID]:[CC_DM_source]],MATCH(Tab_Data_Flows[[#This Row],[Flow_Name]],Tab_Def_Flows[Flow_Name],0),17)</f>
        <v>0.1</v>
      </c>
      <c r="AF94" s="7" t="str">
        <f>Tab_Data_Flows[[#This Row],[Flow_ID]]&amp;"_"&amp;"CC_"&amp;Tab_Data_Flows[[#This Row],[Flow_Data_Year]]</f>
        <v>F_14_00_CC_2010</v>
      </c>
      <c r="AG94" s="7">
        <f>IF(F94="Yes",AE94*Tab_Data_Flows[[#This Row],[Flow_Material]]*Tab_Data_Flows[[#This Row],[DM_'[%']]],"N.A.")</f>
        <v>3</v>
      </c>
      <c r="AH94" s="7" t="str">
        <f>Tab_Data_Flows[[#This Row],[UoM_Flow_Py]]</f>
        <v>Mg</v>
      </c>
      <c r="AI94"/>
    </row>
    <row r="95" spans="1:35" x14ac:dyDescent="0.25">
      <c r="A95" s="9">
        <f t="shared" si="3"/>
        <v>94</v>
      </c>
      <c r="B95" s="7" t="str">
        <f>_xlfn.XLOOKUP(C95,Tab_Def_Flows[Flow_Name],Tab_Def_Flows[Flow_ID],,0,)</f>
        <v>F_14_00</v>
      </c>
      <c r="C95" s="8" t="s">
        <v>606</v>
      </c>
      <c r="D95" s="10" t="str">
        <f>_xlfn.XLOOKUP(C95,Tab_Def_Flows[Flow_Name],Tab_Def_Flows[WC?],,0,)</f>
        <v>Yes</v>
      </c>
      <c r="E95" s="10" t="str">
        <f>_xlfn.XLOOKUP(C95,Tab_Def_Flows[Flow_Name],Tab_Def_Flows[DM?],,0,)</f>
        <v>Yes</v>
      </c>
      <c r="F95" s="10" t="str">
        <f>_xlfn.XLOOKUP(C95,Tab_Def_Flows[Flow_Name],Tab_Def_Flows[CC?],,0,)</f>
        <v>Yes</v>
      </c>
      <c r="G95" s="8">
        <v>2011</v>
      </c>
      <c r="H95" s="26">
        <v>30</v>
      </c>
      <c r="I95" s="8"/>
      <c r="J95" s="18"/>
      <c r="K95" s="8"/>
      <c r="L95" s="8"/>
      <c r="M95" s="8"/>
      <c r="N95" s="8"/>
      <c r="O95" s="8"/>
      <c r="P95" s="8"/>
      <c r="Q95" s="8" t="s">
        <v>7</v>
      </c>
      <c r="R95" s="19"/>
      <c r="S95" s="8"/>
      <c r="T95" s="7" t="str">
        <f>Tab_Data_Flows[[#This Row],[Flow_ID]]&amp;"_"&amp;"material_"&amp;Tab_Data_Flows[[#This Row],[Flow_Data_Year]]</f>
        <v>F_14_00_material_2011</v>
      </c>
      <c r="U95" s="16">
        <f t="shared" si="4"/>
        <v>30</v>
      </c>
      <c r="V95" s="8" t="s">
        <v>211</v>
      </c>
      <c r="W95" s="153">
        <f>INDEX(Tab_Def_Flows[[Flow_ID]:[CC_DM_source]],MATCH(Tab_Data_Flows[[#This Row],[Flow_Name]],Tab_Def_Flows[Flow_Name],0),11)</f>
        <v>0</v>
      </c>
      <c r="X95" s="7" t="str">
        <f>Tab_Data_Flows[[#This Row],[Flow_ID]]&amp;"_"&amp;"WC_"&amp;Tab_Data_Flows[[#This Row],[Flow_Data_Year]]</f>
        <v>F_14_00_WC_2011</v>
      </c>
      <c r="Y95" s="7">
        <f>IF(D95="Yes",U95*Tab_Data_Flows[[#This Row],[WC_'[%']]],"N.A.")</f>
        <v>0</v>
      </c>
      <c r="Z95" s="7" t="str">
        <f>Tab_Data_Flows[[#This Row],[UoM_Flow_Py]]</f>
        <v>Mg</v>
      </c>
      <c r="AA95" s="153">
        <f>INDEX(Tab_Def_Flows[[Flow_ID]:[CC_DM_source]],MATCH(Tab_Data_Flows[[#This Row],[Flow_Name]],Tab_Def_Flows[Flow_Name],0),14)</f>
        <v>1</v>
      </c>
      <c r="AB95" s="7" t="str">
        <f>Tab_Data_Flows[[#This Row],[Flow_ID]]&amp;"_"&amp;"DM_"&amp;Tab_Data_Flows[[#This Row],[Flow_Data_Year]]</f>
        <v>F_14_00_DM_2011</v>
      </c>
      <c r="AC95" s="7">
        <f>IF(E95="Yes",AA95*Tab_Data_Flows[[#This Row],[Flow_Material]],"N.A.")</f>
        <v>30</v>
      </c>
      <c r="AD95" s="7" t="str">
        <f>Tab_Data_Flows[[#This Row],[UoM_Flow_Py]]</f>
        <v>Mg</v>
      </c>
      <c r="AE95" s="153">
        <f>INDEX(Tab_Def_Flows[[Flow_ID]:[CC_DM_source]],MATCH(Tab_Data_Flows[[#This Row],[Flow_Name]],Tab_Def_Flows[Flow_Name],0),17)</f>
        <v>0.1</v>
      </c>
      <c r="AF95" s="7" t="str">
        <f>Tab_Data_Flows[[#This Row],[Flow_ID]]&amp;"_"&amp;"CC_"&amp;Tab_Data_Flows[[#This Row],[Flow_Data_Year]]</f>
        <v>F_14_00_CC_2011</v>
      </c>
      <c r="AG95" s="7">
        <f>IF(F95="Yes",AE95*Tab_Data_Flows[[#This Row],[Flow_Material]]*Tab_Data_Flows[[#This Row],[DM_'[%']]],"N.A.")</f>
        <v>3</v>
      </c>
      <c r="AH95" s="7" t="str">
        <f>Tab_Data_Flows[[#This Row],[UoM_Flow_Py]]</f>
        <v>Mg</v>
      </c>
      <c r="AI95"/>
    </row>
    <row r="96" spans="1:35" x14ac:dyDescent="0.25">
      <c r="A96" s="9">
        <f t="shared" si="3"/>
        <v>95</v>
      </c>
      <c r="B96" s="7" t="str">
        <f>_xlfn.XLOOKUP(C96,Tab_Def_Flows[Flow_Name],Tab_Def_Flows[Flow_ID],,0,)</f>
        <v>F_14_00</v>
      </c>
      <c r="C96" s="8" t="s">
        <v>606</v>
      </c>
      <c r="D96" s="10" t="str">
        <f>_xlfn.XLOOKUP(C96,Tab_Def_Flows[Flow_Name],Tab_Def_Flows[WC?],,0,)</f>
        <v>Yes</v>
      </c>
      <c r="E96" s="10" t="str">
        <f>_xlfn.XLOOKUP(C96,Tab_Def_Flows[Flow_Name],Tab_Def_Flows[DM?],,0,)</f>
        <v>Yes</v>
      </c>
      <c r="F96" s="10" t="str">
        <f>_xlfn.XLOOKUP(C96,Tab_Def_Flows[Flow_Name],Tab_Def_Flows[CC?],,0,)</f>
        <v>Yes</v>
      </c>
      <c r="G96" s="8">
        <v>2012</v>
      </c>
      <c r="H96" s="26">
        <v>30</v>
      </c>
      <c r="I96" s="8"/>
      <c r="J96" s="18"/>
      <c r="K96" s="8" t="e">
        <f>INDEX(#REF!,MATCH(Tab_Data_Flows[[#This Row],[Flow_Name]],#REF!,0),12)</f>
        <v>#REF!</v>
      </c>
      <c r="L96" s="8" t="e">
        <f>MATCH(Tab_Data_Flows[[#This Row],[Flow_Name]],#REF!,0)</f>
        <v>#REF!</v>
      </c>
      <c r="M96" s="8"/>
      <c r="N96" s="8"/>
      <c r="O96" s="8"/>
      <c r="P96" s="8"/>
      <c r="Q96" s="8" t="s">
        <v>7</v>
      </c>
      <c r="R96" s="8"/>
      <c r="S96" s="8"/>
      <c r="T96" s="7" t="str">
        <f>Tab_Data_Flows[[#This Row],[Flow_ID]]&amp;"_"&amp;"material_"&amp;Tab_Data_Flows[[#This Row],[Flow_Data_Year]]</f>
        <v>F_14_00_material_2012</v>
      </c>
      <c r="U96" s="16">
        <f t="shared" si="4"/>
        <v>30</v>
      </c>
      <c r="V96" s="8" t="s">
        <v>211</v>
      </c>
      <c r="W96" s="153">
        <f>INDEX(Tab_Def_Flows[[Flow_ID]:[CC_DM_source]],MATCH(Tab_Data_Flows[[#This Row],[Flow_Name]],Tab_Def_Flows[Flow_Name],0),11)</f>
        <v>0</v>
      </c>
      <c r="X96" s="7" t="str">
        <f>Tab_Data_Flows[[#This Row],[Flow_ID]]&amp;"_"&amp;"WC_"&amp;Tab_Data_Flows[[#This Row],[Flow_Data_Year]]</f>
        <v>F_14_00_WC_2012</v>
      </c>
      <c r="Y96" s="7">
        <f>IF(D96="Yes",U96*Tab_Data_Flows[[#This Row],[WC_'[%']]],"N.A.")</f>
        <v>0</v>
      </c>
      <c r="Z96" s="7" t="str">
        <f>Tab_Data_Flows[[#This Row],[UoM_Flow_Py]]</f>
        <v>Mg</v>
      </c>
      <c r="AA96" s="153">
        <f>INDEX(Tab_Def_Flows[[Flow_ID]:[CC_DM_source]],MATCH(Tab_Data_Flows[[#This Row],[Flow_Name]],Tab_Def_Flows[Flow_Name],0),14)</f>
        <v>1</v>
      </c>
      <c r="AB96" s="7" t="str">
        <f>Tab_Data_Flows[[#This Row],[Flow_ID]]&amp;"_"&amp;"DM_"&amp;Tab_Data_Flows[[#This Row],[Flow_Data_Year]]</f>
        <v>F_14_00_DM_2012</v>
      </c>
      <c r="AC96" s="7">
        <f>IF(E96="Yes",AA96*Tab_Data_Flows[[#This Row],[Flow_Material]],"N.A.")</f>
        <v>30</v>
      </c>
      <c r="AD96" s="7" t="str">
        <f>Tab_Data_Flows[[#This Row],[UoM_Flow_Py]]</f>
        <v>Mg</v>
      </c>
      <c r="AE96" s="153">
        <f>INDEX(Tab_Def_Flows[[Flow_ID]:[CC_DM_source]],MATCH(Tab_Data_Flows[[#This Row],[Flow_Name]],Tab_Def_Flows[Flow_Name],0),17)</f>
        <v>0.1</v>
      </c>
      <c r="AF96" s="7" t="str">
        <f>Tab_Data_Flows[[#This Row],[Flow_ID]]&amp;"_"&amp;"CC_"&amp;Tab_Data_Flows[[#This Row],[Flow_Data_Year]]</f>
        <v>F_14_00_CC_2012</v>
      </c>
      <c r="AG96" s="7">
        <f>IF(F96="Yes",AE96*Tab_Data_Flows[[#This Row],[Flow_Material]]*Tab_Data_Flows[[#This Row],[DM_'[%']]],"N.A.")</f>
        <v>3</v>
      </c>
      <c r="AH96" s="7" t="str">
        <f>Tab_Data_Flows[[#This Row],[UoM_Flow_Py]]</f>
        <v>Mg</v>
      </c>
      <c r="AI96"/>
    </row>
    <row r="97" spans="1:35" x14ac:dyDescent="0.25">
      <c r="A97" s="9">
        <f t="shared" si="3"/>
        <v>96</v>
      </c>
      <c r="B97" s="7" t="str">
        <f>_xlfn.XLOOKUP(C97,Tab_Def_Flows[Flow_Name],Tab_Def_Flows[Flow_ID],,0,)</f>
        <v>F_14_00</v>
      </c>
      <c r="C97" s="8" t="s">
        <v>606</v>
      </c>
      <c r="D97" s="10" t="str">
        <f>_xlfn.XLOOKUP(C97,Tab_Def_Flows[Flow_Name],Tab_Def_Flows[WC?],,0,)</f>
        <v>Yes</v>
      </c>
      <c r="E97" s="10" t="str">
        <f>_xlfn.XLOOKUP(C97,Tab_Def_Flows[Flow_Name],Tab_Def_Flows[DM?],,0,)</f>
        <v>Yes</v>
      </c>
      <c r="F97" s="10" t="str">
        <f>_xlfn.XLOOKUP(C97,Tab_Def_Flows[Flow_Name],Tab_Def_Flows[CC?],,0,)</f>
        <v>Yes</v>
      </c>
      <c r="G97" s="8">
        <v>2013</v>
      </c>
      <c r="H97" s="26">
        <v>30</v>
      </c>
      <c r="I97" s="8"/>
      <c r="J97" s="18"/>
      <c r="K97" s="8" t="e">
        <f>INDEX(#REF!,MATCH(Tab_Data_Flows[[#This Row],[Flow_Name]],#REF!,0),12)</f>
        <v>#REF!</v>
      </c>
      <c r="L97" s="8" t="e">
        <f>MATCH(Tab_Data_Flows[[#This Row],[Flow_Name]],#REF!,0)</f>
        <v>#REF!</v>
      </c>
      <c r="M97" s="8"/>
      <c r="N97" s="8"/>
      <c r="O97" s="8"/>
      <c r="P97" s="8"/>
      <c r="Q97" s="8" t="s">
        <v>7</v>
      </c>
      <c r="R97" s="8"/>
      <c r="S97" s="8"/>
      <c r="T97" s="7" t="str">
        <f>Tab_Data_Flows[[#This Row],[Flow_ID]]&amp;"_"&amp;"material_"&amp;Tab_Data_Flows[[#This Row],[Flow_Data_Year]]</f>
        <v>F_14_00_material_2013</v>
      </c>
      <c r="U97" s="16">
        <f t="shared" si="4"/>
        <v>30</v>
      </c>
      <c r="V97" s="8" t="s">
        <v>211</v>
      </c>
      <c r="W97" s="153">
        <f>INDEX(Tab_Def_Flows[[Flow_ID]:[CC_DM_source]],MATCH(Tab_Data_Flows[[#This Row],[Flow_Name]],Tab_Def_Flows[Flow_Name],0),11)</f>
        <v>0</v>
      </c>
      <c r="X97" s="7" t="str">
        <f>Tab_Data_Flows[[#This Row],[Flow_ID]]&amp;"_"&amp;"WC_"&amp;Tab_Data_Flows[[#This Row],[Flow_Data_Year]]</f>
        <v>F_14_00_WC_2013</v>
      </c>
      <c r="Y97" s="7">
        <f>IF(D97="Yes",U97*Tab_Data_Flows[[#This Row],[WC_'[%']]],"N.A.")</f>
        <v>0</v>
      </c>
      <c r="Z97" s="7" t="str">
        <f>Tab_Data_Flows[[#This Row],[UoM_Flow_Py]]</f>
        <v>Mg</v>
      </c>
      <c r="AA97" s="153">
        <f>INDEX(Tab_Def_Flows[[Flow_ID]:[CC_DM_source]],MATCH(Tab_Data_Flows[[#This Row],[Flow_Name]],Tab_Def_Flows[Flow_Name],0),14)</f>
        <v>1</v>
      </c>
      <c r="AB97" s="7" t="str">
        <f>Tab_Data_Flows[[#This Row],[Flow_ID]]&amp;"_"&amp;"DM_"&amp;Tab_Data_Flows[[#This Row],[Flow_Data_Year]]</f>
        <v>F_14_00_DM_2013</v>
      </c>
      <c r="AC97" s="7">
        <f>IF(E97="Yes",AA97*Tab_Data_Flows[[#This Row],[Flow_Material]],"N.A.")</f>
        <v>30</v>
      </c>
      <c r="AD97" s="7" t="str">
        <f>Tab_Data_Flows[[#This Row],[UoM_Flow_Py]]</f>
        <v>Mg</v>
      </c>
      <c r="AE97" s="153">
        <f>INDEX(Tab_Def_Flows[[Flow_ID]:[CC_DM_source]],MATCH(Tab_Data_Flows[[#This Row],[Flow_Name]],Tab_Def_Flows[Flow_Name],0),17)</f>
        <v>0.1</v>
      </c>
      <c r="AF97" s="7" t="str">
        <f>Tab_Data_Flows[[#This Row],[Flow_ID]]&amp;"_"&amp;"CC_"&amp;Tab_Data_Flows[[#This Row],[Flow_Data_Year]]</f>
        <v>F_14_00_CC_2013</v>
      </c>
      <c r="AG97" s="7">
        <f>IF(F97="Yes",AE97*Tab_Data_Flows[[#This Row],[Flow_Material]]*Tab_Data_Flows[[#This Row],[DM_'[%']]],"N.A.")</f>
        <v>3</v>
      </c>
      <c r="AH97" s="7" t="str">
        <f>Tab_Data_Flows[[#This Row],[UoM_Flow_Py]]</f>
        <v>Mg</v>
      </c>
      <c r="AI97"/>
    </row>
    <row r="98" spans="1:35" x14ac:dyDescent="0.25">
      <c r="A98" s="9">
        <f t="shared" si="3"/>
        <v>97</v>
      </c>
      <c r="B98" s="7" t="str">
        <f>_xlfn.XLOOKUP(C98,Tab_Def_Flows[Flow_Name],Tab_Def_Flows[Flow_ID],,0,)</f>
        <v>F_14_00</v>
      </c>
      <c r="C98" s="8" t="s">
        <v>606</v>
      </c>
      <c r="D98" s="10" t="str">
        <f>_xlfn.XLOOKUP(C98,Tab_Def_Flows[Flow_Name],Tab_Def_Flows[WC?],,0,)</f>
        <v>Yes</v>
      </c>
      <c r="E98" s="10" t="str">
        <f>_xlfn.XLOOKUP(C98,Tab_Def_Flows[Flow_Name],Tab_Def_Flows[DM?],,0,)</f>
        <v>Yes</v>
      </c>
      <c r="F98" s="10" t="str">
        <f>_xlfn.XLOOKUP(C98,Tab_Def_Flows[Flow_Name],Tab_Def_Flows[CC?],,0,)</f>
        <v>Yes</v>
      </c>
      <c r="G98" s="8">
        <v>2014</v>
      </c>
      <c r="H98" s="26">
        <v>30</v>
      </c>
      <c r="I98" s="8"/>
      <c r="J98" s="18"/>
      <c r="K98" s="8" t="e">
        <f>INDEX(#REF!,MATCH(Tab_Data_Flows[[#This Row],[Flow_Name]],#REF!,0),12)</f>
        <v>#REF!</v>
      </c>
      <c r="L98" s="8" t="e">
        <f>MATCH(Tab_Data_Flows[[#This Row],[Flow_Name]],#REF!,0)</f>
        <v>#REF!</v>
      </c>
      <c r="M98" s="8"/>
      <c r="N98" s="8"/>
      <c r="O98" s="8"/>
      <c r="P98" s="8"/>
      <c r="Q98" s="8" t="s">
        <v>7</v>
      </c>
      <c r="R98" s="8"/>
      <c r="S98" s="8"/>
      <c r="T98" s="7" t="str">
        <f>Tab_Data_Flows[[#This Row],[Flow_ID]]&amp;"_"&amp;"material_"&amp;Tab_Data_Flows[[#This Row],[Flow_Data_Year]]</f>
        <v>F_14_00_material_2014</v>
      </c>
      <c r="U98" s="16">
        <f t="shared" si="4"/>
        <v>30</v>
      </c>
      <c r="V98" s="8" t="s">
        <v>211</v>
      </c>
      <c r="W98" s="153">
        <f>INDEX(Tab_Def_Flows[[Flow_ID]:[CC_DM_source]],MATCH(Tab_Data_Flows[[#This Row],[Flow_Name]],Tab_Def_Flows[Flow_Name],0),11)</f>
        <v>0</v>
      </c>
      <c r="X98" s="7" t="str">
        <f>Tab_Data_Flows[[#This Row],[Flow_ID]]&amp;"_"&amp;"WC_"&amp;Tab_Data_Flows[[#This Row],[Flow_Data_Year]]</f>
        <v>F_14_00_WC_2014</v>
      </c>
      <c r="Y98" s="7">
        <f>IF(D98="Yes",U98*Tab_Data_Flows[[#This Row],[WC_'[%']]],"N.A.")</f>
        <v>0</v>
      </c>
      <c r="Z98" s="7" t="str">
        <f>Tab_Data_Flows[[#This Row],[UoM_Flow_Py]]</f>
        <v>Mg</v>
      </c>
      <c r="AA98" s="153">
        <f>INDEX(Tab_Def_Flows[[Flow_ID]:[CC_DM_source]],MATCH(Tab_Data_Flows[[#This Row],[Flow_Name]],Tab_Def_Flows[Flow_Name],0),14)</f>
        <v>1</v>
      </c>
      <c r="AB98" s="7" t="str">
        <f>Tab_Data_Flows[[#This Row],[Flow_ID]]&amp;"_"&amp;"DM_"&amp;Tab_Data_Flows[[#This Row],[Flow_Data_Year]]</f>
        <v>F_14_00_DM_2014</v>
      </c>
      <c r="AC98" s="7">
        <f>IF(E98="Yes",AA98*Tab_Data_Flows[[#This Row],[Flow_Material]],"N.A.")</f>
        <v>30</v>
      </c>
      <c r="AD98" s="7" t="str">
        <f>Tab_Data_Flows[[#This Row],[UoM_Flow_Py]]</f>
        <v>Mg</v>
      </c>
      <c r="AE98" s="153">
        <f>INDEX(Tab_Def_Flows[[Flow_ID]:[CC_DM_source]],MATCH(Tab_Data_Flows[[#This Row],[Flow_Name]],Tab_Def_Flows[Flow_Name],0),17)</f>
        <v>0.1</v>
      </c>
      <c r="AF98" s="7" t="str">
        <f>Tab_Data_Flows[[#This Row],[Flow_ID]]&amp;"_"&amp;"CC_"&amp;Tab_Data_Flows[[#This Row],[Flow_Data_Year]]</f>
        <v>F_14_00_CC_2014</v>
      </c>
      <c r="AG98" s="7">
        <f>IF(F98="Yes",AE98*Tab_Data_Flows[[#This Row],[Flow_Material]]*Tab_Data_Flows[[#This Row],[DM_'[%']]],"N.A.")</f>
        <v>3</v>
      </c>
      <c r="AH98" s="7" t="str">
        <f>Tab_Data_Flows[[#This Row],[UoM_Flow_Py]]</f>
        <v>Mg</v>
      </c>
      <c r="AI98"/>
    </row>
    <row r="99" spans="1:35" x14ac:dyDescent="0.25">
      <c r="A99" s="9">
        <f t="shared" si="3"/>
        <v>98</v>
      </c>
      <c r="B99" s="7" t="str">
        <f>_xlfn.XLOOKUP(C99,Tab_Def_Flows[Flow_Name],Tab_Def_Flows[Flow_ID],,0,)</f>
        <v>F_14_00</v>
      </c>
      <c r="C99" s="8" t="s">
        <v>606</v>
      </c>
      <c r="D99" s="10" t="str">
        <f>_xlfn.XLOOKUP(C99,Tab_Def_Flows[Flow_Name],Tab_Def_Flows[WC?],,0,)</f>
        <v>Yes</v>
      </c>
      <c r="E99" s="10" t="str">
        <f>_xlfn.XLOOKUP(C99,Tab_Def_Flows[Flow_Name],Tab_Def_Flows[DM?],,0,)</f>
        <v>Yes</v>
      </c>
      <c r="F99" s="10" t="str">
        <f>_xlfn.XLOOKUP(C99,Tab_Def_Flows[Flow_Name],Tab_Def_Flows[CC?],,0,)</f>
        <v>Yes</v>
      </c>
      <c r="G99" s="8">
        <v>2015</v>
      </c>
      <c r="H99" s="26">
        <v>30</v>
      </c>
      <c r="I99" s="8"/>
      <c r="J99" s="18"/>
      <c r="K99" s="8" t="e">
        <f>INDEX(#REF!,MATCH(Tab_Data_Flows[[#This Row],[Flow_Name]],#REF!,0),12)</f>
        <v>#REF!</v>
      </c>
      <c r="L99" s="8" t="e">
        <f>MATCH(Tab_Data_Flows[[#This Row],[Flow_Name]],#REF!,0)</f>
        <v>#REF!</v>
      </c>
      <c r="M99" s="8"/>
      <c r="N99" s="8"/>
      <c r="O99" s="8"/>
      <c r="P99" s="8"/>
      <c r="Q99" s="8" t="s">
        <v>7</v>
      </c>
      <c r="R99" s="8"/>
      <c r="S99" s="8"/>
      <c r="T99" s="7" t="str">
        <f>Tab_Data_Flows[[#This Row],[Flow_ID]]&amp;"_"&amp;"material_"&amp;Tab_Data_Flows[[#This Row],[Flow_Data_Year]]</f>
        <v>F_14_00_material_2015</v>
      </c>
      <c r="U99" s="16">
        <f t="shared" si="4"/>
        <v>30</v>
      </c>
      <c r="V99" s="8" t="s">
        <v>211</v>
      </c>
      <c r="W99" s="153">
        <f>INDEX(Tab_Def_Flows[[Flow_ID]:[CC_DM_source]],MATCH(Tab_Data_Flows[[#This Row],[Flow_Name]],Tab_Def_Flows[Flow_Name],0),11)</f>
        <v>0</v>
      </c>
      <c r="X99" s="7" t="str">
        <f>Tab_Data_Flows[[#This Row],[Flow_ID]]&amp;"_"&amp;"WC_"&amp;Tab_Data_Flows[[#This Row],[Flow_Data_Year]]</f>
        <v>F_14_00_WC_2015</v>
      </c>
      <c r="Y99" s="7">
        <f>IF(D99="Yes",U99*Tab_Data_Flows[[#This Row],[WC_'[%']]],"N.A.")</f>
        <v>0</v>
      </c>
      <c r="Z99" s="7" t="str">
        <f>Tab_Data_Flows[[#This Row],[UoM_Flow_Py]]</f>
        <v>Mg</v>
      </c>
      <c r="AA99" s="153">
        <f>INDEX(Tab_Def_Flows[[Flow_ID]:[CC_DM_source]],MATCH(Tab_Data_Flows[[#This Row],[Flow_Name]],Tab_Def_Flows[Flow_Name],0),14)</f>
        <v>1</v>
      </c>
      <c r="AB99" s="7" t="str">
        <f>Tab_Data_Flows[[#This Row],[Flow_ID]]&amp;"_"&amp;"DM_"&amp;Tab_Data_Flows[[#This Row],[Flow_Data_Year]]</f>
        <v>F_14_00_DM_2015</v>
      </c>
      <c r="AC99" s="7">
        <f>IF(E99="Yes",AA99*Tab_Data_Flows[[#This Row],[Flow_Material]],"N.A.")</f>
        <v>30</v>
      </c>
      <c r="AD99" s="7" t="str">
        <f>Tab_Data_Flows[[#This Row],[UoM_Flow_Py]]</f>
        <v>Mg</v>
      </c>
      <c r="AE99" s="153">
        <f>INDEX(Tab_Def_Flows[[Flow_ID]:[CC_DM_source]],MATCH(Tab_Data_Flows[[#This Row],[Flow_Name]],Tab_Def_Flows[Flow_Name],0),17)</f>
        <v>0.1</v>
      </c>
      <c r="AF99" s="7" t="str">
        <f>Tab_Data_Flows[[#This Row],[Flow_ID]]&amp;"_"&amp;"CC_"&amp;Tab_Data_Flows[[#This Row],[Flow_Data_Year]]</f>
        <v>F_14_00_CC_2015</v>
      </c>
      <c r="AG99" s="7">
        <f>IF(F99="Yes",AE99*Tab_Data_Flows[[#This Row],[Flow_Material]]*Tab_Data_Flows[[#This Row],[DM_'[%']]],"N.A.")</f>
        <v>3</v>
      </c>
      <c r="AH99" s="7" t="str">
        <f>Tab_Data_Flows[[#This Row],[UoM_Flow_Py]]</f>
        <v>Mg</v>
      </c>
      <c r="AI99"/>
    </row>
    <row r="100" spans="1:35" x14ac:dyDescent="0.25">
      <c r="A100" s="9">
        <f t="shared" si="3"/>
        <v>99</v>
      </c>
      <c r="B100" s="7" t="str">
        <f>_xlfn.XLOOKUP(C100,Tab_Def_Flows[Flow_Name],Tab_Def_Flows[Flow_ID],,0,)</f>
        <v>F_14_00</v>
      </c>
      <c r="C100" s="8" t="s">
        <v>606</v>
      </c>
      <c r="D100" s="10" t="str">
        <f>_xlfn.XLOOKUP(C100,Tab_Def_Flows[Flow_Name],Tab_Def_Flows[WC?],,0,)</f>
        <v>Yes</v>
      </c>
      <c r="E100" s="10" t="str">
        <f>_xlfn.XLOOKUP(C100,Tab_Def_Flows[Flow_Name],Tab_Def_Flows[DM?],,0,)</f>
        <v>Yes</v>
      </c>
      <c r="F100" s="10" t="str">
        <f>_xlfn.XLOOKUP(C100,Tab_Def_Flows[Flow_Name],Tab_Def_Flows[CC?],,0,)</f>
        <v>Yes</v>
      </c>
      <c r="G100" s="8">
        <v>2016</v>
      </c>
      <c r="H100" s="26">
        <v>30</v>
      </c>
      <c r="I100" s="8"/>
      <c r="J100" s="18"/>
      <c r="K100" s="8" t="e">
        <f>INDEX(#REF!,MATCH(Tab_Data_Flows[[#This Row],[Flow_Name]],#REF!,0),12)</f>
        <v>#REF!</v>
      </c>
      <c r="L100" s="8" t="e">
        <f>MATCH(Tab_Data_Flows[[#This Row],[Flow_Name]],#REF!,0)</f>
        <v>#REF!</v>
      </c>
      <c r="M100" s="8"/>
      <c r="N100" s="8"/>
      <c r="O100" s="8"/>
      <c r="P100" s="8"/>
      <c r="Q100" s="8" t="s">
        <v>7</v>
      </c>
      <c r="R100" s="8"/>
      <c r="S100" s="8"/>
      <c r="T100" s="7" t="str">
        <f>Tab_Data_Flows[[#This Row],[Flow_ID]]&amp;"_"&amp;"material_"&amp;Tab_Data_Flows[[#This Row],[Flow_Data_Year]]</f>
        <v>F_14_00_material_2016</v>
      </c>
      <c r="U100" s="16">
        <f t="shared" si="4"/>
        <v>30</v>
      </c>
      <c r="V100" s="8" t="s">
        <v>211</v>
      </c>
      <c r="W100" s="153">
        <f>INDEX(Tab_Def_Flows[[Flow_ID]:[CC_DM_source]],MATCH(Tab_Data_Flows[[#This Row],[Flow_Name]],Tab_Def_Flows[Flow_Name],0),11)</f>
        <v>0</v>
      </c>
      <c r="X100" s="7" t="str">
        <f>Tab_Data_Flows[[#This Row],[Flow_ID]]&amp;"_"&amp;"WC_"&amp;Tab_Data_Flows[[#This Row],[Flow_Data_Year]]</f>
        <v>F_14_00_WC_2016</v>
      </c>
      <c r="Y100" s="7">
        <f>IF(D100="Yes",U100*Tab_Data_Flows[[#This Row],[WC_'[%']]],"N.A.")</f>
        <v>0</v>
      </c>
      <c r="Z100" s="7" t="str">
        <f>Tab_Data_Flows[[#This Row],[UoM_Flow_Py]]</f>
        <v>Mg</v>
      </c>
      <c r="AA100" s="153">
        <f>INDEX(Tab_Def_Flows[[Flow_ID]:[CC_DM_source]],MATCH(Tab_Data_Flows[[#This Row],[Flow_Name]],Tab_Def_Flows[Flow_Name],0),14)</f>
        <v>1</v>
      </c>
      <c r="AB100" s="7" t="str">
        <f>Tab_Data_Flows[[#This Row],[Flow_ID]]&amp;"_"&amp;"DM_"&amp;Tab_Data_Flows[[#This Row],[Flow_Data_Year]]</f>
        <v>F_14_00_DM_2016</v>
      </c>
      <c r="AC100" s="7">
        <f>IF(E100="Yes",AA100*Tab_Data_Flows[[#This Row],[Flow_Material]],"N.A.")</f>
        <v>30</v>
      </c>
      <c r="AD100" s="7" t="str">
        <f>Tab_Data_Flows[[#This Row],[UoM_Flow_Py]]</f>
        <v>Mg</v>
      </c>
      <c r="AE100" s="153">
        <f>INDEX(Tab_Def_Flows[[Flow_ID]:[CC_DM_source]],MATCH(Tab_Data_Flows[[#This Row],[Flow_Name]],Tab_Def_Flows[Flow_Name],0),17)</f>
        <v>0.1</v>
      </c>
      <c r="AF100" s="7" t="str">
        <f>Tab_Data_Flows[[#This Row],[Flow_ID]]&amp;"_"&amp;"CC_"&amp;Tab_Data_Flows[[#This Row],[Flow_Data_Year]]</f>
        <v>F_14_00_CC_2016</v>
      </c>
      <c r="AG100" s="7">
        <f>IF(F100="Yes",AE100*Tab_Data_Flows[[#This Row],[Flow_Material]]*Tab_Data_Flows[[#This Row],[DM_'[%']]],"N.A.")</f>
        <v>3</v>
      </c>
      <c r="AH100" s="7" t="str">
        <f>Tab_Data_Flows[[#This Row],[UoM_Flow_Py]]</f>
        <v>Mg</v>
      </c>
      <c r="AI100"/>
    </row>
    <row r="101" spans="1:35" x14ac:dyDescent="0.25">
      <c r="A101" s="9">
        <f t="shared" si="3"/>
        <v>100</v>
      </c>
      <c r="B101" s="7" t="str">
        <f>_xlfn.XLOOKUP(C101,Tab_Def_Flows[Flow_Name],Tab_Def_Flows[Flow_ID],,0,)</f>
        <v>F_14_00</v>
      </c>
      <c r="C101" s="8" t="s">
        <v>606</v>
      </c>
      <c r="D101" s="10" t="str">
        <f>_xlfn.XLOOKUP(C101,Tab_Def_Flows[Flow_Name],Tab_Def_Flows[WC?],,0,)</f>
        <v>Yes</v>
      </c>
      <c r="E101" s="10" t="str">
        <f>_xlfn.XLOOKUP(C101,Tab_Def_Flows[Flow_Name],Tab_Def_Flows[DM?],,0,)</f>
        <v>Yes</v>
      </c>
      <c r="F101" s="10" t="str">
        <f>_xlfn.XLOOKUP(C101,Tab_Def_Flows[Flow_Name],Tab_Def_Flows[CC?],,0,)</f>
        <v>Yes</v>
      </c>
      <c r="G101" s="8">
        <v>2017</v>
      </c>
      <c r="H101" s="26">
        <v>30</v>
      </c>
      <c r="I101" s="8"/>
      <c r="J101" s="18"/>
      <c r="K101" s="8" t="e">
        <f>INDEX(#REF!,MATCH(Tab_Data_Flows[[#This Row],[Flow_Name]],#REF!,0),12)</f>
        <v>#REF!</v>
      </c>
      <c r="L101" s="8" t="e">
        <f>MATCH(Tab_Data_Flows[[#This Row],[Flow_Name]],#REF!,0)</f>
        <v>#REF!</v>
      </c>
      <c r="M101" s="8"/>
      <c r="N101" s="8"/>
      <c r="O101" s="8"/>
      <c r="P101" s="8"/>
      <c r="Q101" s="8" t="s">
        <v>7</v>
      </c>
      <c r="R101" s="8"/>
      <c r="S101" s="8"/>
      <c r="T101" s="7" t="str">
        <f>Tab_Data_Flows[[#This Row],[Flow_ID]]&amp;"_"&amp;"material_"&amp;Tab_Data_Flows[[#This Row],[Flow_Data_Year]]</f>
        <v>F_14_00_material_2017</v>
      </c>
      <c r="U101" s="16">
        <f t="shared" si="4"/>
        <v>30</v>
      </c>
      <c r="V101" s="8" t="s">
        <v>211</v>
      </c>
      <c r="W101" s="153">
        <f>INDEX(Tab_Def_Flows[[Flow_ID]:[CC_DM_source]],MATCH(Tab_Data_Flows[[#This Row],[Flow_Name]],Tab_Def_Flows[Flow_Name],0),11)</f>
        <v>0</v>
      </c>
      <c r="X101" s="7" t="str">
        <f>Tab_Data_Flows[[#This Row],[Flow_ID]]&amp;"_"&amp;"WC_"&amp;Tab_Data_Flows[[#This Row],[Flow_Data_Year]]</f>
        <v>F_14_00_WC_2017</v>
      </c>
      <c r="Y101" s="7">
        <f>IF(D101="Yes",U101*Tab_Data_Flows[[#This Row],[WC_'[%']]],"N.A.")</f>
        <v>0</v>
      </c>
      <c r="Z101" s="7" t="str">
        <f>Tab_Data_Flows[[#This Row],[UoM_Flow_Py]]</f>
        <v>Mg</v>
      </c>
      <c r="AA101" s="153">
        <f>INDEX(Tab_Def_Flows[[Flow_ID]:[CC_DM_source]],MATCH(Tab_Data_Flows[[#This Row],[Flow_Name]],Tab_Def_Flows[Flow_Name],0),14)</f>
        <v>1</v>
      </c>
      <c r="AB101" s="7" t="str">
        <f>Tab_Data_Flows[[#This Row],[Flow_ID]]&amp;"_"&amp;"DM_"&amp;Tab_Data_Flows[[#This Row],[Flow_Data_Year]]</f>
        <v>F_14_00_DM_2017</v>
      </c>
      <c r="AC101" s="7">
        <f>IF(E101="Yes",AA101*Tab_Data_Flows[[#This Row],[Flow_Material]],"N.A.")</f>
        <v>30</v>
      </c>
      <c r="AD101" s="7" t="str">
        <f>Tab_Data_Flows[[#This Row],[UoM_Flow_Py]]</f>
        <v>Mg</v>
      </c>
      <c r="AE101" s="153">
        <f>INDEX(Tab_Def_Flows[[Flow_ID]:[CC_DM_source]],MATCH(Tab_Data_Flows[[#This Row],[Flow_Name]],Tab_Def_Flows[Flow_Name],0),17)</f>
        <v>0.1</v>
      </c>
      <c r="AF101" s="7" t="str">
        <f>Tab_Data_Flows[[#This Row],[Flow_ID]]&amp;"_"&amp;"CC_"&amp;Tab_Data_Flows[[#This Row],[Flow_Data_Year]]</f>
        <v>F_14_00_CC_2017</v>
      </c>
      <c r="AG101" s="7">
        <f>IF(F101="Yes",AE101*Tab_Data_Flows[[#This Row],[Flow_Material]]*Tab_Data_Flows[[#This Row],[DM_'[%']]],"N.A.")</f>
        <v>3</v>
      </c>
      <c r="AH101" s="7" t="str">
        <f>Tab_Data_Flows[[#This Row],[UoM_Flow_Py]]</f>
        <v>Mg</v>
      </c>
      <c r="AI101"/>
    </row>
    <row r="102" spans="1:35" x14ac:dyDescent="0.25">
      <c r="A102" s="9">
        <f t="shared" si="3"/>
        <v>101</v>
      </c>
      <c r="B102" s="7" t="str">
        <f>_xlfn.XLOOKUP(C102,Tab_Def_Flows[Flow_Name],Tab_Def_Flows[Flow_ID],,0,)</f>
        <v>F_14_00</v>
      </c>
      <c r="C102" s="8" t="s">
        <v>606</v>
      </c>
      <c r="D102" s="10" t="str">
        <f>_xlfn.XLOOKUP(C102,Tab_Def_Flows[Flow_Name],Tab_Def_Flows[WC?],,0,)</f>
        <v>Yes</v>
      </c>
      <c r="E102" s="10" t="str">
        <f>_xlfn.XLOOKUP(C102,Tab_Def_Flows[Flow_Name],Tab_Def_Flows[DM?],,0,)</f>
        <v>Yes</v>
      </c>
      <c r="F102" s="10" t="str">
        <f>_xlfn.XLOOKUP(C102,Tab_Def_Flows[Flow_Name],Tab_Def_Flows[CC?],,0,)</f>
        <v>Yes</v>
      </c>
      <c r="G102" s="8">
        <v>2018</v>
      </c>
      <c r="H102" s="26">
        <v>30</v>
      </c>
      <c r="I102" s="8"/>
      <c r="J102" s="18"/>
      <c r="K102" s="8" t="e">
        <f>INDEX(#REF!,MATCH(Tab_Data_Flows[[#This Row],[Flow_Name]],#REF!,0),12)</f>
        <v>#REF!</v>
      </c>
      <c r="L102" s="8" t="e">
        <f>MATCH(Tab_Data_Flows[[#This Row],[Flow_Name]],#REF!,0)</f>
        <v>#REF!</v>
      </c>
      <c r="M102" s="8"/>
      <c r="N102" s="8"/>
      <c r="O102" s="8"/>
      <c r="P102" s="8"/>
      <c r="Q102" s="8" t="s">
        <v>7</v>
      </c>
      <c r="R102" s="8"/>
      <c r="S102" s="8"/>
      <c r="T102" s="7" t="str">
        <f>Tab_Data_Flows[[#This Row],[Flow_ID]]&amp;"_"&amp;"material_"&amp;Tab_Data_Flows[[#This Row],[Flow_Data_Year]]</f>
        <v>F_14_00_material_2018</v>
      </c>
      <c r="U102" s="16">
        <f t="shared" si="4"/>
        <v>30</v>
      </c>
      <c r="V102" s="8" t="s">
        <v>211</v>
      </c>
      <c r="W102" s="153">
        <f>INDEX(Tab_Def_Flows[[Flow_ID]:[CC_DM_source]],MATCH(Tab_Data_Flows[[#This Row],[Flow_Name]],Tab_Def_Flows[Flow_Name],0),11)</f>
        <v>0</v>
      </c>
      <c r="X102" s="7" t="str">
        <f>Tab_Data_Flows[[#This Row],[Flow_ID]]&amp;"_"&amp;"WC_"&amp;Tab_Data_Flows[[#This Row],[Flow_Data_Year]]</f>
        <v>F_14_00_WC_2018</v>
      </c>
      <c r="Y102" s="7">
        <f>IF(D102="Yes",U102*Tab_Data_Flows[[#This Row],[WC_'[%']]],"N.A.")</f>
        <v>0</v>
      </c>
      <c r="Z102" s="7" t="str">
        <f>Tab_Data_Flows[[#This Row],[UoM_Flow_Py]]</f>
        <v>Mg</v>
      </c>
      <c r="AA102" s="153">
        <f>INDEX(Tab_Def_Flows[[Flow_ID]:[CC_DM_source]],MATCH(Tab_Data_Flows[[#This Row],[Flow_Name]],Tab_Def_Flows[Flow_Name],0),14)</f>
        <v>1</v>
      </c>
      <c r="AB102" s="7" t="str">
        <f>Tab_Data_Flows[[#This Row],[Flow_ID]]&amp;"_"&amp;"DM_"&amp;Tab_Data_Flows[[#This Row],[Flow_Data_Year]]</f>
        <v>F_14_00_DM_2018</v>
      </c>
      <c r="AC102" s="7">
        <f>IF(E102="Yes",AA102*Tab_Data_Flows[[#This Row],[Flow_Material]],"N.A.")</f>
        <v>30</v>
      </c>
      <c r="AD102" s="7" t="str">
        <f>Tab_Data_Flows[[#This Row],[UoM_Flow_Py]]</f>
        <v>Mg</v>
      </c>
      <c r="AE102" s="153">
        <f>INDEX(Tab_Def_Flows[[Flow_ID]:[CC_DM_source]],MATCH(Tab_Data_Flows[[#This Row],[Flow_Name]],Tab_Def_Flows[Flow_Name],0),17)</f>
        <v>0.1</v>
      </c>
      <c r="AF102" s="7" t="str">
        <f>Tab_Data_Flows[[#This Row],[Flow_ID]]&amp;"_"&amp;"CC_"&amp;Tab_Data_Flows[[#This Row],[Flow_Data_Year]]</f>
        <v>F_14_00_CC_2018</v>
      </c>
      <c r="AG102" s="7">
        <f>IF(F102="Yes",AE102*Tab_Data_Flows[[#This Row],[Flow_Material]]*Tab_Data_Flows[[#This Row],[DM_'[%']]],"N.A.")</f>
        <v>3</v>
      </c>
      <c r="AH102" s="7" t="str">
        <f>Tab_Data_Flows[[#This Row],[UoM_Flow_Py]]</f>
        <v>Mg</v>
      </c>
      <c r="AI102"/>
    </row>
    <row r="103" spans="1:35" x14ac:dyDescent="0.25">
      <c r="A103" s="9">
        <f t="shared" si="3"/>
        <v>102</v>
      </c>
      <c r="B103" s="7" t="str">
        <f>_xlfn.XLOOKUP(C103,Tab_Def_Flows[Flow_Name],Tab_Def_Flows[Flow_ID],,0,)</f>
        <v>F_14_00</v>
      </c>
      <c r="C103" s="8" t="s">
        <v>606</v>
      </c>
      <c r="D103" s="10" t="str">
        <f>_xlfn.XLOOKUP(C103,Tab_Def_Flows[Flow_Name],Tab_Def_Flows[WC?],,0,)</f>
        <v>Yes</v>
      </c>
      <c r="E103" s="10" t="str">
        <f>_xlfn.XLOOKUP(C103,Tab_Def_Flows[Flow_Name],Tab_Def_Flows[DM?],,0,)</f>
        <v>Yes</v>
      </c>
      <c r="F103" s="10" t="str">
        <f>_xlfn.XLOOKUP(C103,Tab_Def_Flows[Flow_Name],Tab_Def_Flows[CC?],,0,)</f>
        <v>Yes</v>
      </c>
      <c r="G103" s="8">
        <v>2019</v>
      </c>
      <c r="H103" s="26">
        <v>30</v>
      </c>
      <c r="I103" s="8"/>
      <c r="J103" s="18"/>
      <c r="K103" s="8" t="e">
        <f>INDEX(#REF!,MATCH(Tab_Data_Flows[[#This Row],[Flow_Name]],#REF!,0),12)</f>
        <v>#REF!</v>
      </c>
      <c r="L103" s="8" t="e">
        <f>MATCH(Tab_Data_Flows[[#This Row],[Flow_Name]],#REF!,0)</f>
        <v>#REF!</v>
      </c>
      <c r="M103" s="8"/>
      <c r="N103" s="8"/>
      <c r="O103" s="8"/>
      <c r="P103" s="8"/>
      <c r="Q103" s="8" t="s">
        <v>7</v>
      </c>
      <c r="R103" s="8"/>
      <c r="S103" s="8"/>
      <c r="T103" s="7" t="str">
        <f>Tab_Data_Flows[[#This Row],[Flow_ID]]&amp;"_"&amp;"material_"&amp;Tab_Data_Flows[[#This Row],[Flow_Data_Year]]</f>
        <v>F_14_00_material_2019</v>
      </c>
      <c r="U103" s="16">
        <f t="shared" si="4"/>
        <v>30</v>
      </c>
      <c r="V103" s="8" t="s">
        <v>211</v>
      </c>
      <c r="W103" s="153">
        <f>INDEX(Tab_Def_Flows[[Flow_ID]:[CC_DM_source]],MATCH(Tab_Data_Flows[[#This Row],[Flow_Name]],Tab_Def_Flows[Flow_Name],0),11)</f>
        <v>0</v>
      </c>
      <c r="X103" s="7" t="str">
        <f>Tab_Data_Flows[[#This Row],[Flow_ID]]&amp;"_"&amp;"WC_"&amp;Tab_Data_Flows[[#This Row],[Flow_Data_Year]]</f>
        <v>F_14_00_WC_2019</v>
      </c>
      <c r="Y103" s="7">
        <f>IF(D103="Yes",U103*Tab_Data_Flows[[#This Row],[WC_'[%']]],"N.A.")</f>
        <v>0</v>
      </c>
      <c r="Z103" s="7" t="str">
        <f>Tab_Data_Flows[[#This Row],[UoM_Flow_Py]]</f>
        <v>Mg</v>
      </c>
      <c r="AA103" s="153">
        <f>INDEX(Tab_Def_Flows[[Flow_ID]:[CC_DM_source]],MATCH(Tab_Data_Flows[[#This Row],[Flow_Name]],Tab_Def_Flows[Flow_Name],0),14)</f>
        <v>1</v>
      </c>
      <c r="AB103" s="7" t="str">
        <f>Tab_Data_Flows[[#This Row],[Flow_ID]]&amp;"_"&amp;"DM_"&amp;Tab_Data_Flows[[#This Row],[Flow_Data_Year]]</f>
        <v>F_14_00_DM_2019</v>
      </c>
      <c r="AC103" s="7">
        <f>IF(E103="Yes",AA103*Tab_Data_Flows[[#This Row],[Flow_Material]],"N.A.")</f>
        <v>30</v>
      </c>
      <c r="AD103" s="7" t="str">
        <f>Tab_Data_Flows[[#This Row],[UoM_Flow_Py]]</f>
        <v>Mg</v>
      </c>
      <c r="AE103" s="153">
        <f>INDEX(Tab_Def_Flows[[Flow_ID]:[CC_DM_source]],MATCH(Tab_Data_Flows[[#This Row],[Flow_Name]],Tab_Def_Flows[Flow_Name],0),17)</f>
        <v>0.1</v>
      </c>
      <c r="AF103" s="7" t="str">
        <f>Tab_Data_Flows[[#This Row],[Flow_ID]]&amp;"_"&amp;"CC_"&amp;Tab_Data_Flows[[#This Row],[Flow_Data_Year]]</f>
        <v>F_14_00_CC_2019</v>
      </c>
      <c r="AG103" s="7">
        <f>IF(F103="Yes",AE103*Tab_Data_Flows[[#This Row],[Flow_Material]]*Tab_Data_Flows[[#This Row],[DM_'[%']]],"N.A.")</f>
        <v>3</v>
      </c>
      <c r="AH103" s="7" t="str">
        <f>Tab_Data_Flows[[#This Row],[UoM_Flow_Py]]</f>
        <v>Mg</v>
      </c>
      <c r="AI103"/>
    </row>
    <row r="104" spans="1:35" x14ac:dyDescent="0.25">
      <c r="A104" s="9">
        <f t="shared" si="3"/>
        <v>103</v>
      </c>
      <c r="B104" s="7" t="str">
        <f>_xlfn.XLOOKUP(C104,Tab_Def_Flows[Flow_Name],Tab_Def_Flows[Flow_ID],,0,)</f>
        <v>F_14_00</v>
      </c>
      <c r="C104" s="8" t="s">
        <v>606</v>
      </c>
      <c r="D104" s="10" t="str">
        <f>_xlfn.XLOOKUP(C104,Tab_Def_Flows[Flow_Name],Tab_Def_Flows[WC?],,0,)</f>
        <v>Yes</v>
      </c>
      <c r="E104" s="10" t="str">
        <f>_xlfn.XLOOKUP(C104,Tab_Def_Flows[Flow_Name],Tab_Def_Flows[DM?],,0,)</f>
        <v>Yes</v>
      </c>
      <c r="F104" s="10" t="str">
        <f>_xlfn.XLOOKUP(C104,Tab_Def_Flows[Flow_Name],Tab_Def_Flows[CC?],,0,)</f>
        <v>Yes</v>
      </c>
      <c r="G104" s="8">
        <v>2020</v>
      </c>
      <c r="H104" s="26">
        <v>30</v>
      </c>
      <c r="I104" s="8"/>
      <c r="J104" s="18"/>
      <c r="K104" s="8" t="e">
        <f>INDEX(#REF!,MATCH(Tab_Data_Flows[[#This Row],[Flow_Name]],#REF!,0),12)</f>
        <v>#REF!</v>
      </c>
      <c r="L104" s="8" t="e">
        <f>MATCH(Tab_Data_Flows[[#This Row],[Flow_Name]],#REF!,0)</f>
        <v>#REF!</v>
      </c>
      <c r="M104" s="8"/>
      <c r="N104" s="8"/>
      <c r="O104" s="8"/>
      <c r="P104" s="8"/>
      <c r="Q104" s="8" t="s">
        <v>7</v>
      </c>
      <c r="R104" s="8"/>
      <c r="S104" s="8"/>
      <c r="T104" s="7" t="str">
        <f>Tab_Data_Flows[[#This Row],[Flow_ID]]&amp;"_"&amp;"material_"&amp;Tab_Data_Flows[[#This Row],[Flow_Data_Year]]</f>
        <v>F_14_00_material_2020</v>
      </c>
      <c r="U104" s="16">
        <f t="shared" si="4"/>
        <v>30</v>
      </c>
      <c r="V104" s="8" t="s">
        <v>211</v>
      </c>
      <c r="W104" s="153">
        <f>INDEX(Tab_Def_Flows[[Flow_ID]:[CC_DM_source]],MATCH(Tab_Data_Flows[[#This Row],[Flow_Name]],Tab_Def_Flows[Flow_Name],0),11)</f>
        <v>0</v>
      </c>
      <c r="X104" s="7" t="str">
        <f>Tab_Data_Flows[[#This Row],[Flow_ID]]&amp;"_"&amp;"WC_"&amp;Tab_Data_Flows[[#This Row],[Flow_Data_Year]]</f>
        <v>F_14_00_WC_2020</v>
      </c>
      <c r="Y104" s="7">
        <f>IF(D104="Yes",U104*Tab_Data_Flows[[#This Row],[WC_'[%']]],"N.A.")</f>
        <v>0</v>
      </c>
      <c r="Z104" s="7" t="str">
        <f>Tab_Data_Flows[[#This Row],[UoM_Flow_Py]]</f>
        <v>Mg</v>
      </c>
      <c r="AA104" s="153">
        <f>INDEX(Tab_Def_Flows[[Flow_ID]:[CC_DM_source]],MATCH(Tab_Data_Flows[[#This Row],[Flow_Name]],Tab_Def_Flows[Flow_Name],0),14)</f>
        <v>1</v>
      </c>
      <c r="AB104" s="7" t="str">
        <f>Tab_Data_Flows[[#This Row],[Flow_ID]]&amp;"_"&amp;"DM_"&amp;Tab_Data_Flows[[#This Row],[Flow_Data_Year]]</f>
        <v>F_14_00_DM_2020</v>
      </c>
      <c r="AC104" s="7">
        <f>IF(E104="Yes",AA104*Tab_Data_Flows[[#This Row],[Flow_Material]],"N.A.")</f>
        <v>30</v>
      </c>
      <c r="AD104" s="7" t="str">
        <f>Tab_Data_Flows[[#This Row],[UoM_Flow_Py]]</f>
        <v>Mg</v>
      </c>
      <c r="AE104" s="153">
        <f>INDEX(Tab_Def_Flows[[Flow_ID]:[CC_DM_source]],MATCH(Tab_Data_Flows[[#This Row],[Flow_Name]],Tab_Def_Flows[Flow_Name],0),17)</f>
        <v>0.1</v>
      </c>
      <c r="AF104" s="7" t="str">
        <f>Tab_Data_Flows[[#This Row],[Flow_ID]]&amp;"_"&amp;"CC_"&amp;Tab_Data_Flows[[#This Row],[Flow_Data_Year]]</f>
        <v>F_14_00_CC_2020</v>
      </c>
      <c r="AG104" s="7">
        <f>IF(F104="Yes",AE104*Tab_Data_Flows[[#This Row],[Flow_Material]]*Tab_Data_Flows[[#This Row],[DM_'[%']]],"N.A.")</f>
        <v>3</v>
      </c>
      <c r="AH104" s="7" t="str">
        <f>Tab_Data_Flows[[#This Row],[UoM_Flow_Py]]</f>
        <v>Mg</v>
      </c>
      <c r="AI104"/>
    </row>
    <row r="105" spans="1:35" x14ac:dyDescent="0.25">
      <c r="A105" s="9">
        <f t="shared" si="3"/>
        <v>104</v>
      </c>
      <c r="B105" s="7" t="str">
        <f>_xlfn.XLOOKUP(C105,Tab_Def_Flows[Flow_Name],Tab_Def_Flows[Flow_ID],,0,)</f>
        <v>F_14_00</v>
      </c>
      <c r="C105" s="8" t="s">
        <v>606</v>
      </c>
      <c r="D105" s="10" t="str">
        <f>_xlfn.XLOOKUP(C105,Tab_Def_Flows[Flow_Name],Tab_Def_Flows[WC?],,0,)</f>
        <v>Yes</v>
      </c>
      <c r="E105" s="10" t="str">
        <f>_xlfn.XLOOKUP(C105,Tab_Def_Flows[Flow_Name],Tab_Def_Flows[DM?],,0,)</f>
        <v>Yes</v>
      </c>
      <c r="F105" s="10" t="str">
        <f>_xlfn.XLOOKUP(C105,Tab_Def_Flows[Flow_Name],Tab_Def_Flows[CC?],,0,)</f>
        <v>Yes</v>
      </c>
      <c r="G105" s="8">
        <v>2021</v>
      </c>
      <c r="H105" s="26">
        <v>30</v>
      </c>
      <c r="I105" s="8"/>
      <c r="J105" s="18"/>
      <c r="K105" s="8" t="e">
        <f>INDEX(#REF!,MATCH(Tab_Data_Flows[[#This Row],[Flow_Name]],#REF!,0),12)</f>
        <v>#REF!</v>
      </c>
      <c r="L105" s="8" t="e">
        <f>MATCH(Tab_Data_Flows[[#This Row],[Flow_Name]],#REF!,0)</f>
        <v>#REF!</v>
      </c>
      <c r="M105" s="8"/>
      <c r="N105" s="8"/>
      <c r="O105" s="8"/>
      <c r="P105" s="8"/>
      <c r="Q105" s="8" t="s">
        <v>7</v>
      </c>
      <c r="R105" s="8"/>
      <c r="S105" s="8"/>
      <c r="T105" s="7" t="str">
        <f>Tab_Data_Flows[[#This Row],[Flow_ID]]&amp;"_"&amp;"material_"&amp;Tab_Data_Flows[[#This Row],[Flow_Data_Year]]</f>
        <v>F_14_00_material_2021</v>
      </c>
      <c r="U105" s="16">
        <f t="shared" si="4"/>
        <v>30</v>
      </c>
      <c r="V105" s="8" t="s">
        <v>211</v>
      </c>
      <c r="W105" s="153">
        <f>INDEX(Tab_Def_Flows[[Flow_ID]:[CC_DM_source]],MATCH(Tab_Data_Flows[[#This Row],[Flow_Name]],Tab_Def_Flows[Flow_Name],0),11)</f>
        <v>0</v>
      </c>
      <c r="X105" s="7" t="str">
        <f>Tab_Data_Flows[[#This Row],[Flow_ID]]&amp;"_"&amp;"WC_"&amp;Tab_Data_Flows[[#This Row],[Flow_Data_Year]]</f>
        <v>F_14_00_WC_2021</v>
      </c>
      <c r="Y105" s="7">
        <f>IF(D105="Yes",U105*Tab_Data_Flows[[#This Row],[WC_'[%']]],"N.A.")</f>
        <v>0</v>
      </c>
      <c r="Z105" s="7" t="str">
        <f>Tab_Data_Flows[[#This Row],[UoM_Flow_Py]]</f>
        <v>Mg</v>
      </c>
      <c r="AA105" s="153">
        <f>INDEX(Tab_Def_Flows[[Flow_ID]:[CC_DM_source]],MATCH(Tab_Data_Flows[[#This Row],[Flow_Name]],Tab_Def_Flows[Flow_Name],0),14)</f>
        <v>1</v>
      </c>
      <c r="AB105" s="7" t="str">
        <f>Tab_Data_Flows[[#This Row],[Flow_ID]]&amp;"_"&amp;"DM_"&amp;Tab_Data_Flows[[#This Row],[Flow_Data_Year]]</f>
        <v>F_14_00_DM_2021</v>
      </c>
      <c r="AC105" s="7">
        <f>IF(E105="Yes",AA105*Tab_Data_Flows[[#This Row],[Flow_Material]],"N.A.")</f>
        <v>30</v>
      </c>
      <c r="AD105" s="7" t="str">
        <f>Tab_Data_Flows[[#This Row],[UoM_Flow_Py]]</f>
        <v>Mg</v>
      </c>
      <c r="AE105" s="153">
        <f>INDEX(Tab_Def_Flows[[Flow_ID]:[CC_DM_source]],MATCH(Tab_Data_Flows[[#This Row],[Flow_Name]],Tab_Def_Flows[Flow_Name],0),17)</f>
        <v>0.1</v>
      </c>
      <c r="AF105" s="7" t="str">
        <f>Tab_Data_Flows[[#This Row],[Flow_ID]]&amp;"_"&amp;"CC_"&amp;Tab_Data_Flows[[#This Row],[Flow_Data_Year]]</f>
        <v>F_14_00_CC_2021</v>
      </c>
      <c r="AG105" s="7">
        <f>IF(F105="Yes",AE105*Tab_Data_Flows[[#This Row],[Flow_Material]]*Tab_Data_Flows[[#This Row],[DM_'[%']]],"N.A.")</f>
        <v>3</v>
      </c>
      <c r="AH105" s="7" t="str">
        <f>Tab_Data_Flows[[#This Row],[UoM_Flow_Py]]</f>
        <v>Mg</v>
      </c>
      <c r="AI105"/>
    </row>
    <row r="106" spans="1:35" x14ac:dyDescent="0.25">
      <c r="A106" s="9">
        <f t="shared" si="3"/>
        <v>105</v>
      </c>
      <c r="B106" s="7" t="str">
        <f>_xlfn.XLOOKUP(C106,Tab_Def_Flows[Flow_Name],Tab_Def_Flows[Flow_ID],,0,)</f>
        <v>F_14_00</v>
      </c>
      <c r="C106" s="8" t="s">
        <v>606</v>
      </c>
      <c r="D106" s="10" t="str">
        <f>_xlfn.XLOOKUP(C106,Tab_Def_Flows[Flow_Name],Tab_Def_Flows[WC?],,0,)</f>
        <v>Yes</v>
      </c>
      <c r="E106" s="10" t="str">
        <f>_xlfn.XLOOKUP(C106,Tab_Def_Flows[Flow_Name],Tab_Def_Flows[DM?],,0,)</f>
        <v>Yes</v>
      </c>
      <c r="F106" s="10" t="str">
        <f>_xlfn.XLOOKUP(C106,Tab_Def_Flows[Flow_Name],Tab_Def_Flows[CC?],,0,)</f>
        <v>Yes</v>
      </c>
      <c r="G106" s="8">
        <v>2022</v>
      </c>
      <c r="H106" s="26">
        <v>30</v>
      </c>
      <c r="I106" s="8"/>
      <c r="J106" s="18"/>
      <c r="K106" s="8" t="e">
        <f>INDEX(#REF!,MATCH(Tab_Data_Flows[[#This Row],[Flow_Name]],#REF!,0),12)</f>
        <v>#REF!</v>
      </c>
      <c r="L106" s="8" t="e">
        <f>MATCH(Tab_Data_Flows[[#This Row],[Flow_Name]],#REF!,0)</f>
        <v>#REF!</v>
      </c>
      <c r="M106" s="8"/>
      <c r="N106" s="8"/>
      <c r="O106" s="8"/>
      <c r="P106" s="8"/>
      <c r="Q106" s="8" t="s">
        <v>7</v>
      </c>
      <c r="R106" s="8"/>
      <c r="S106" s="8"/>
      <c r="T106" s="7" t="str">
        <f>Tab_Data_Flows[[#This Row],[Flow_ID]]&amp;"_"&amp;"material_"&amp;Tab_Data_Flows[[#This Row],[Flow_Data_Year]]</f>
        <v>F_14_00_material_2022</v>
      </c>
      <c r="U106" s="16">
        <f t="shared" si="4"/>
        <v>30</v>
      </c>
      <c r="V106" s="8" t="s">
        <v>211</v>
      </c>
      <c r="W106" s="153">
        <f>INDEX(Tab_Def_Flows[[Flow_ID]:[CC_DM_source]],MATCH(Tab_Data_Flows[[#This Row],[Flow_Name]],Tab_Def_Flows[Flow_Name],0),11)</f>
        <v>0</v>
      </c>
      <c r="X106" s="7" t="str">
        <f>Tab_Data_Flows[[#This Row],[Flow_ID]]&amp;"_"&amp;"WC_"&amp;Tab_Data_Flows[[#This Row],[Flow_Data_Year]]</f>
        <v>F_14_00_WC_2022</v>
      </c>
      <c r="Y106" s="7">
        <f>IF(D106="Yes",U106*Tab_Data_Flows[[#This Row],[WC_'[%']]],"N.A.")</f>
        <v>0</v>
      </c>
      <c r="Z106" s="7" t="str">
        <f>Tab_Data_Flows[[#This Row],[UoM_Flow_Py]]</f>
        <v>Mg</v>
      </c>
      <c r="AA106" s="153">
        <f>INDEX(Tab_Def_Flows[[Flow_ID]:[CC_DM_source]],MATCH(Tab_Data_Flows[[#This Row],[Flow_Name]],Tab_Def_Flows[Flow_Name],0),14)</f>
        <v>1</v>
      </c>
      <c r="AB106" s="7" t="str">
        <f>Tab_Data_Flows[[#This Row],[Flow_ID]]&amp;"_"&amp;"DM_"&amp;Tab_Data_Flows[[#This Row],[Flow_Data_Year]]</f>
        <v>F_14_00_DM_2022</v>
      </c>
      <c r="AC106" s="7">
        <f>IF(E106="Yes",AA106*Tab_Data_Flows[[#This Row],[Flow_Material]],"N.A.")</f>
        <v>30</v>
      </c>
      <c r="AD106" s="7" t="str">
        <f>Tab_Data_Flows[[#This Row],[UoM_Flow_Py]]</f>
        <v>Mg</v>
      </c>
      <c r="AE106" s="153">
        <f>INDEX(Tab_Def_Flows[[Flow_ID]:[CC_DM_source]],MATCH(Tab_Data_Flows[[#This Row],[Flow_Name]],Tab_Def_Flows[Flow_Name],0),17)</f>
        <v>0.1</v>
      </c>
      <c r="AF106" s="7" t="str">
        <f>Tab_Data_Flows[[#This Row],[Flow_ID]]&amp;"_"&amp;"CC_"&amp;Tab_Data_Flows[[#This Row],[Flow_Data_Year]]</f>
        <v>F_14_00_CC_2022</v>
      </c>
      <c r="AG106" s="7">
        <f>IF(F106="Yes",AE106*Tab_Data_Flows[[#This Row],[Flow_Material]]*Tab_Data_Flows[[#This Row],[DM_'[%']]],"N.A.")</f>
        <v>3</v>
      </c>
      <c r="AH106" s="7" t="str">
        <f>Tab_Data_Flows[[#This Row],[UoM_Flow_Py]]</f>
        <v>Mg</v>
      </c>
      <c r="AI106"/>
    </row>
    <row r="107" spans="1:35" x14ac:dyDescent="0.25">
      <c r="A107" s="9">
        <f t="shared" si="3"/>
        <v>106</v>
      </c>
      <c r="B107" s="7" t="str">
        <f>_xlfn.XLOOKUP(C107,Tab_Def_Flows[Flow_Name],Tab_Def_Flows[Flow_ID],,0,)</f>
        <v>F_14_00</v>
      </c>
      <c r="C107" s="8" t="s">
        <v>606</v>
      </c>
      <c r="D107" s="10" t="str">
        <f>_xlfn.XLOOKUP(C107,Tab_Def_Flows[Flow_Name],Tab_Def_Flows[WC?],,0,)</f>
        <v>Yes</v>
      </c>
      <c r="E107" s="10" t="str">
        <f>_xlfn.XLOOKUP(C107,Tab_Def_Flows[Flow_Name],Tab_Def_Flows[DM?],,0,)</f>
        <v>Yes</v>
      </c>
      <c r="F107" s="10" t="str">
        <f>_xlfn.XLOOKUP(C107,Tab_Def_Flows[Flow_Name],Tab_Def_Flows[CC?],,0,)</f>
        <v>Yes</v>
      </c>
      <c r="G107" s="8">
        <v>2023</v>
      </c>
      <c r="H107" s="26">
        <v>30</v>
      </c>
      <c r="I107" s="8"/>
      <c r="J107" s="18"/>
      <c r="K107" s="8" t="e">
        <f>INDEX(#REF!,MATCH(Tab_Data_Flows[[#This Row],[Flow_Name]],#REF!,0),12)</f>
        <v>#REF!</v>
      </c>
      <c r="L107" s="8" t="e">
        <f>MATCH(Tab_Data_Flows[[#This Row],[Flow_Name]],#REF!,0)</f>
        <v>#REF!</v>
      </c>
      <c r="M107" s="8"/>
      <c r="N107" s="8"/>
      <c r="O107" s="8"/>
      <c r="P107" s="8"/>
      <c r="Q107" s="8" t="s">
        <v>7</v>
      </c>
      <c r="R107" s="8"/>
      <c r="S107" s="8"/>
      <c r="T107" s="7" t="str">
        <f>Tab_Data_Flows[[#This Row],[Flow_ID]]&amp;"_"&amp;"material_"&amp;Tab_Data_Flows[[#This Row],[Flow_Data_Year]]</f>
        <v>F_14_00_material_2023</v>
      </c>
      <c r="U107" s="16">
        <f t="shared" si="4"/>
        <v>30</v>
      </c>
      <c r="V107" s="8" t="s">
        <v>211</v>
      </c>
      <c r="W107" s="153">
        <f>INDEX(Tab_Def_Flows[[Flow_ID]:[CC_DM_source]],MATCH(Tab_Data_Flows[[#This Row],[Flow_Name]],Tab_Def_Flows[Flow_Name],0),11)</f>
        <v>0</v>
      </c>
      <c r="X107" s="7" t="str">
        <f>Tab_Data_Flows[[#This Row],[Flow_ID]]&amp;"_"&amp;"WC_"&amp;Tab_Data_Flows[[#This Row],[Flow_Data_Year]]</f>
        <v>F_14_00_WC_2023</v>
      </c>
      <c r="Y107" s="7">
        <f>IF(D107="Yes",U107*Tab_Data_Flows[[#This Row],[WC_'[%']]],"N.A.")</f>
        <v>0</v>
      </c>
      <c r="Z107" s="7" t="str">
        <f>Tab_Data_Flows[[#This Row],[UoM_Flow_Py]]</f>
        <v>Mg</v>
      </c>
      <c r="AA107" s="153">
        <f>INDEX(Tab_Def_Flows[[Flow_ID]:[CC_DM_source]],MATCH(Tab_Data_Flows[[#This Row],[Flow_Name]],Tab_Def_Flows[Flow_Name],0),14)</f>
        <v>1</v>
      </c>
      <c r="AB107" s="7" t="str">
        <f>Tab_Data_Flows[[#This Row],[Flow_ID]]&amp;"_"&amp;"DM_"&amp;Tab_Data_Flows[[#This Row],[Flow_Data_Year]]</f>
        <v>F_14_00_DM_2023</v>
      </c>
      <c r="AC107" s="7">
        <f>IF(E107="Yes",AA107*Tab_Data_Flows[[#This Row],[Flow_Material]],"N.A.")</f>
        <v>30</v>
      </c>
      <c r="AD107" s="7" t="str">
        <f>Tab_Data_Flows[[#This Row],[UoM_Flow_Py]]</f>
        <v>Mg</v>
      </c>
      <c r="AE107" s="153">
        <f>INDEX(Tab_Def_Flows[[Flow_ID]:[CC_DM_source]],MATCH(Tab_Data_Flows[[#This Row],[Flow_Name]],Tab_Def_Flows[Flow_Name],0),17)</f>
        <v>0.1</v>
      </c>
      <c r="AF107" s="7" t="str">
        <f>Tab_Data_Flows[[#This Row],[Flow_ID]]&amp;"_"&amp;"CC_"&amp;Tab_Data_Flows[[#This Row],[Flow_Data_Year]]</f>
        <v>F_14_00_CC_2023</v>
      </c>
      <c r="AG107" s="7">
        <f>IF(F107="Yes",AE107*Tab_Data_Flows[[#This Row],[Flow_Material]]*Tab_Data_Flows[[#This Row],[DM_'[%']]],"N.A.")</f>
        <v>3</v>
      </c>
      <c r="AH107" s="7" t="str">
        <f>Tab_Data_Flows[[#This Row],[UoM_Flow_Py]]</f>
        <v>Mg</v>
      </c>
      <c r="AI107"/>
    </row>
    <row r="108" spans="1:35" x14ac:dyDescent="0.25">
      <c r="A108" s="9">
        <f t="shared" si="3"/>
        <v>107</v>
      </c>
      <c r="B108" s="7" t="str">
        <f>_xlfn.XLOOKUP(C108,Tab_Def_Flows[Flow_Name],Tab_Def_Flows[Flow_ID],,0,)</f>
        <v>F_14_00</v>
      </c>
      <c r="C108" s="8" t="s">
        <v>606</v>
      </c>
      <c r="D108" s="10" t="str">
        <f>_xlfn.XLOOKUP(C108,Tab_Def_Flows[Flow_Name],Tab_Def_Flows[WC?],,0,)</f>
        <v>Yes</v>
      </c>
      <c r="E108" s="10" t="str">
        <f>_xlfn.XLOOKUP(C108,Tab_Def_Flows[Flow_Name],Tab_Def_Flows[DM?],,0,)</f>
        <v>Yes</v>
      </c>
      <c r="F108" s="10" t="str">
        <f>_xlfn.XLOOKUP(C108,Tab_Def_Flows[Flow_Name],Tab_Def_Flows[CC?],,0,)</f>
        <v>Yes</v>
      </c>
      <c r="G108" s="8">
        <v>2024</v>
      </c>
      <c r="H108" s="26">
        <v>30</v>
      </c>
      <c r="I108" s="8"/>
      <c r="J108" s="18"/>
      <c r="K108" s="8" t="e">
        <f>INDEX(#REF!,MATCH(Tab_Data_Flows[[#This Row],[Flow_Name]],#REF!,0),12)</f>
        <v>#REF!</v>
      </c>
      <c r="L108" s="8" t="e">
        <f>MATCH(Tab_Data_Flows[[#This Row],[Flow_Name]],#REF!,0)</f>
        <v>#REF!</v>
      </c>
      <c r="M108" s="8"/>
      <c r="N108" s="8"/>
      <c r="O108" s="8"/>
      <c r="P108" s="8"/>
      <c r="Q108" s="8" t="s">
        <v>7</v>
      </c>
      <c r="R108" s="8"/>
      <c r="S108" s="8"/>
      <c r="T108" s="7" t="str">
        <f>Tab_Data_Flows[[#This Row],[Flow_ID]]&amp;"_"&amp;"material_"&amp;Tab_Data_Flows[[#This Row],[Flow_Data_Year]]</f>
        <v>F_14_00_material_2024</v>
      </c>
      <c r="U108" s="16">
        <f t="shared" si="4"/>
        <v>30</v>
      </c>
      <c r="V108" s="8" t="s">
        <v>211</v>
      </c>
      <c r="W108" s="153">
        <f>INDEX(Tab_Def_Flows[[Flow_ID]:[CC_DM_source]],MATCH(Tab_Data_Flows[[#This Row],[Flow_Name]],Tab_Def_Flows[Flow_Name],0),11)</f>
        <v>0</v>
      </c>
      <c r="X108" s="7" t="str">
        <f>Tab_Data_Flows[[#This Row],[Flow_ID]]&amp;"_"&amp;"WC_"&amp;Tab_Data_Flows[[#This Row],[Flow_Data_Year]]</f>
        <v>F_14_00_WC_2024</v>
      </c>
      <c r="Y108" s="7">
        <f>IF(D108="Yes",U108*Tab_Data_Flows[[#This Row],[WC_'[%']]],"N.A.")</f>
        <v>0</v>
      </c>
      <c r="Z108" s="7" t="str">
        <f>Tab_Data_Flows[[#This Row],[UoM_Flow_Py]]</f>
        <v>Mg</v>
      </c>
      <c r="AA108" s="153">
        <f>INDEX(Tab_Def_Flows[[Flow_ID]:[CC_DM_source]],MATCH(Tab_Data_Flows[[#This Row],[Flow_Name]],Tab_Def_Flows[Flow_Name],0),14)</f>
        <v>1</v>
      </c>
      <c r="AB108" s="7" t="str">
        <f>Tab_Data_Flows[[#This Row],[Flow_ID]]&amp;"_"&amp;"DM_"&amp;Tab_Data_Flows[[#This Row],[Flow_Data_Year]]</f>
        <v>F_14_00_DM_2024</v>
      </c>
      <c r="AC108" s="7">
        <f>IF(E108="Yes",AA108*Tab_Data_Flows[[#This Row],[Flow_Material]],"N.A.")</f>
        <v>30</v>
      </c>
      <c r="AD108" s="7" t="str">
        <f>Tab_Data_Flows[[#This Row],[UoM_Flow_Py]]</f>
        <v>Mg</v>
      </c>
      <c r="AE108" s="153">
        <f>INDEX(Tab_Def_Flows[[Flow_ID]:[CC_DM_source]],MATCH(Tab_Data_Flows[[#This Row],[Flow_Name]],Tab_Def_Flows[Flow_Name],0),17)</f>
        <v>0.1</v>
      </c>
      <c r="AF108" s="7" t="str">
        <f>Tab_Data_Flows[[#This Row],[Flow_ID]]&amp;"_"&amp;"CC_"&amp;Tab_Data_Flows[[#This Row],[Flow_Data_Year]]</f>
        <v>F_14_00_CC_2024</v>
      </c>
      <c r="AG108" s="7">
        <f>IF(F108="Yes",AE108*Tab_Data_Flows[[#This Row],[Flow_Material]]*Tab_Data_Flows[[#This Row],[DM_'[%']]],"N.A.")</f>
        <v>3</v>
      </c>
      <c r="AH108" s="7" t="str">
        <f>Tab_Data_Flows[[#This Row],[UoM_Flow_Py]]</f>
        <v>Mg</v>
      </c>
      <c r="AI108"/>
    </row>
    <row r="109" spans="1:35" x14ac:dyDescent="0.25">
      <c r="A109" s="9">
        <f t="shared" si="3"/>
        <v>108</v>
      </c>
      <c r="B109" s="7" t="str">
        <f>_xlfn.XLOOKUP(C109,Tab_Def_Flows[Flow_Name],Tab_Def_Flows[Flow_ID],,0,)</f>
        <v>F_14_00</v>
      </c>
      <c r="C109" s="8" t="s">
        <v>606</v>
      </c>
      <c r="D109" s="10" t="str">
        <f>_xlfn.XLOOKUP(C109,Tab_Def_Flows[Flow_Name],Tab_Def_Flows[WC?],,0,)</f>
        <v>Yes</v>
      </c>
      <c r="E109" s="10" t="str">
        <f>_xlfn.XLOOKUP(C109,Tab_Def_Flows[Flow_Name],Tab_Def_Flows[DM?],,0,)</f>
        <v>Yes</v>
      </c>
      <c r="F109" s="10" t="str">
        <f>_xlfn.XLOOKUP(C109,Tab_Def_Flows[Flow_Name],Tab_Def_Flows[CC?],,0,)</f>
        <v>Yes</v>
      </c>
      <c r="G109" s="8">
        <v>2025</v>
      </c>
      <c r="H109" s="26">
        <v>30</v>
      </c>
      <c r="I109" s="8"/>
      <c r="J109" s="18"/>
      <c r="K109" s="8" t="e">
        <f>INDEX(#REF!,MATCH(Tab_Data_Flows[[#This Row],[Flow_Name]],#REF!,0),12)</f>
        <v>#REF!</v>
      </c>
      <c r="L109" s="8" t="e">
        <f>MATCH(Tab_Data_Flows[[#This Row],[Flow_Name]],#REF!,0)</f>
        <v>#REF!</v>
      </c>
      <c r="M109" s="8"/>
      <c r="N109" s="8"/>
      <c r="O109" s="8"/>
      <c r="P109" s="8"/>
      <c r="Q109" s="8" t="s">
        <v>7</v>
      </c>
      <c r="R109" s="8"/>
      <c r="S109" s="8"/>
      <c r="T109" s="7" t="str">
        <f>Tab_Data_Flows[[#This Row],[Flow_ID]]&amp;"_"&amp;"material_"&amp;Tab_Data_Flows[[#This Row],[Flow_Data_Year]]</f>
        <v>F_14_00_material_2025</v>
      </c>
      <c r="U109" s="16">
        <f t="shared" si="4"/>
        <v>30</v>
      </c>
      <c r="V109" s="8" t="s">
        <v>211</v>
      </c>
      <c r="W109" s="153">
        <f>INDEX(Tab_Def_Flows[[Flow_ID]:[CC_DM_source]],MATCH(Tab_Data_Flows[[#This Row],[Flow_Name]],Tab_Def_Flows[Flow_Name],0),11)</f>
        <v>0</v>
      </c>
      <c r="X109" s="7" t="str">
        <f>Tab_Data_Flows[[#This Row],[Flow_ID]]&amp;"_"&amp;"WC_"&amp;Tab_Data_Flows[[#This Row],[Flow_Data_Year]]</f>
        <v>F_14_00_WC_2025</v>
      </c>
      <c r="Y109" s="7">
        <f>IF(D109="Yes",U109*Tab_Data_Flows[[#This Row],[WC_'[%']]],"N.A.")</f>
        <v>0</v>
      </c>
      <c r="Z109" s="7" t="str">
        <f>Tab_Data_Flows[[#This Row],[UoM_Flow_Py]]</f>
        <v>Mg</v>
      </c>
      <c r="AA109" s="153">
        <f>INDEX(Tab_Def_Flows[[Flow_ID]:[CC_DM_source]],MATCH(Tab_Data_Flows[[#This Row],[Flow_Name]],Tab_Def_Flows[Flow_Name],0),14)</f>
        <v>1</v>
      </c>
      <c r="AB109" s="7" t="str">
        <f>Tab_Data_Flows[[#This Row],[Flow_ID]]&amp;"_"&amp;"DM_"&amp;Tab_Data_Flows[[#This Row],[Flow_Data_Year]]</f>
        <v>F_14_00_DM_2025</v>
      </c>
      <c r="AC109" s="7">
        <f>IF(E109="Yes",AA109*Tab_Data_Flows[[#This Row],[Flow_Material]],"N.A.")</f>
        <v>30</v>
      </c>
      <c r="AD109" s="7" t="str">
        <f>Tab_Data_Flows[[#This Row],[UoM_Flow_Py]]</f>
        <v>Mg</v>
      </c>
      <c r="AE109" s="153">
        <f>INDEX(Tab_Def_Flows[[Flow_ID]:[CC_DM_source]],MATCH(Tab_Data_Flows[[#This Row],[Flow_Name]],Tab_Def_Flows[Flow_Name],0),17)</f>
        <v>0.1</v>
      </c>
      <c r="AF109" s="7" t="str">
        <f>Tab_Data_Flows[[#This Row],[Flow_ID]]&amp;"_"&amp;"CC_"&amp;Tab_Data_Flows[[#This Row],[Flow_Data_Year]]</f>
        <v>F_14_00_CC_2025</v>
      </c>
      <c r="AG109" s="7">
        <f>IF(F109="Yes",AE109*Tab_Data_Flows[[#This Row],[Flow_Material]]*Tab_Data_Flows[[#This Row],[DM_'[%']]],"N.A.")</f>
        <v>3</v>
      </c>
      <c r="AH109" s="7" t="str">
        <f>Tab_Data_Flows[[#This Row],[UoM_Flow_Py]]</f>
        <v>Mg</v>
      </c>
      <c r="AI109"/>
    </row>
    <row r="110" spans="1:35" x14ac:dyDescent="0.25">
      <c r="A110" s="9">
        <f t="shared" si="3"/>
        <v>109</v>
      </c>
      <c r="B110" s="7" t="str">
        <f>_xlfn.XLOOKUP(C110,Tab_Def_Flows[Flow_Name],Tab_Def_Flows[Flow_ID],,0,)</f>
        <v>F_14_00</v>
      </c>
      <c r="C110" s="8" t="s">
        <v>606</v>
      </c>
      <c r="D110" s="10" t="str">
        <f>_xlfn.XLOOKUP(C110,Tab_Def_Flows[Flow_Name],Tab_Def_Flows[WC?],,0,)</f>
        <v>Yes</v>
      </c>
      <c r="E110" s="10" t="str">
        <f>_xlfn.XLOOKUP(C110,Tab_Def_Flows[Flow_Name],Tab_Def_Flows[DM?],,0,)</f>
        <v>Yes</v>
      </c>
      <c r="F110" s="10" t="str">
        <f>_xlfn.XLOOKUP(C110,Tab_Def_Flows[Flow_Name],Tab_Def_Flows[CC?],,0,)</f>
        <v>Yes</v>
      </c>
      <c r="G110" s="8">
        <v>2026</v>
      </c>
      <c r="H110" s="26">
        <v>30</v>
      </c>
      <c r="I110" s="8"/>
      <c r="J110" s="18"/>
      <c r="K110" s="8" t="e">
        <f>INDEX(#REF!,MATCH(Tab_Data_Flows[[#This Row],[Flow_Name]],#REF!,0),12)</f>
        <v>#REF!</v>
      </c>
      <c r="L110" s="8" t="e">
        <f>MATCH(Tab_Data_Flows[[#This Row],[Flow_Name]],#REF!,0)</f>
        <v>#REF!</v>
      </c>
      <c r="M110" s="8"/>
      <c r="N110" s="8"/>
      <c r="O110" s="8"/>
      <c r="P110" s="8"/>
      <c r="Q110" s="8" t="s">
        <v>7</v>
      </c>
      <c r="R110" s="8"/>
      <c r="S110" s="8"/>
      <c r="T110" s="7" t="str">
        <f>Tab_Data_Flows[[#This Row],[Flow_ID]]&amp;"_"&amp;"material_"&amp;Tab_Data_Flows[[#This Row],[Flow_Data_Year]]</f>
        <v>F_14_00_material_2026</v>
      </c>
      <c r="U110" s="16">
        <f t="shared" si="4"/>
        <v>30</v>
      </c>
      <c r="V110" s="8" t="s">
        <v>211</v>
      </c>
      <c r="W110" s="153">
        <f>INDEX(Tab_Def_Flows[[Flow_ID]:[CC_DM_source]],MATCH(Tab_Data_Flows[[#This Row],[Flow_Name]],Tab_Def_Flows[Flow_Name],0),11)</f>
        <v>0</v>
      </c>
      <c r="X110" s="7" t="str">
        <f>Tab_Data_Flows[[#This Row],[Flow_ID]]&amp;"_"&amp;"WC_"&amp;Tab_Data_Flows[[#This Row],[Flow_Data_Year]]</f>
        <v>F_14_00_WC_2026</v>
      </c>
      <c r="Y110" s="7">
        <f>IF(D110="Yes",U110*Tab_Data_Flows[[#This Row],[WC_'[%']]],"N.A.")</f>
        <v>0</v>
      </c>
      <c r="Z110" s="7" t="str">
        <f>Tab_Data_Flows[[#This Row],[UoM_Flow_Py]]</f>
        <v>Mg</v>
      </c>
      <c r="AA110" s="153">
        <f>INDEX(Tab_Def_Flows[[Flow_ID]:[CC_DM_source]],MATCH(Tab_Data_Flows[[#This Row],[Flow_Name]],Tab_Def_Flows[Flow_Name],0),14)</f>
        <v>1</v>
      </c>
      <c r="AB110" s="7" t="str">
        <f>Tab_Data_Flows[[#This Row],[Flow_ID]]&amp;"_"&amp;"DM_"&amp;Tab_Data_Flows[[#This Row],[Flow_Data_Year]]</f>
        <v>F_14_00_DM_2026</v>
      </c>
      <c r="AC110" s="7">
        <f>IF(E110="Yes",AA110*Tab_Data_Flows[[#This Row],[Flow_Material]],"N.A.")</f>
        <v>30</v>
      </c>
      <c r="AD110" s="7" t="str">
        <f>Tab_Data_Flows[[#This Row],[UoM_Flow_Py]]</f>
        <v>Mg</v>
      </c>
      <c r="AE110" s="153">
        <f>INDEX(Tab_Def_Flows[[Flow_ID]:[CC_DM_source]],MATCH(Tab_Data_Flows[[#This Row],[Flow_Name]],Tab_Def_Flows[Flow_Name],0),17)</f>
        <v>0.1</v>
      </c>
      <c r="AF110" s="7" t="str">
        <f>Tab_Data_Flows[[#This Row],[Flow_ID]]&amp;"_"&amp;"CC_"&amp;Tab_Data_Flows[[#This Row],[Flow_Data_Year]]</f>
        <v>F_14_00_CC_2026</v>
      </c>
      <c r="AG110" s="7">
        <f>IF(F110="Yes",AE110*Tab_Data_Flows[[#This Row],[Flow_Material]]*Tab_Data_Flows[[#This Row],[DM_'[%']]],"N.A.")</f>
        <v>3</v>
      </c>
      <c r="AH110" s="7" t="str">
        <f>Tab_Data_Flows[[#This Row],[UoM_Flow_Py]]</f>
        <v>Mg</v>
      </c>
      <c r="AI110"/>
    </row>
    <row r="111" spans="1:35" x14ac:dyDescent="0.25">
      <c r="A111" s="9">
        <f t="shared" si="3"/>
        <v>110</v>
      </c>
      <c r="B111" s="7" t="str">
        <f>_xlfn.XLOOKUP(C111,Tab_Def_Flows[Flow_Name],Tab_Def_Flows[Flow_ID],,0,)</f>
        <v>F_14_00</v>
      </c>
      <c r="C111" s="8" t="s">
        <v>606</v>
      </c>
      <c r="D111" s="10" t="str">
        <f>_xlfn.XLOOKUP(C111,Tab_Def_Flows[Flow_Name],Tab_Def_Flows[WC?],,0,)</f>
        <v>Yes</v>
      </c>
      <c r="E111" s="10" t="str">
        <f>_xlfn.XLOOKUP(C111,Tab_Def_Flows[Flow_Name],Tab_Def_Flows[DM?],,0,)</f>
        <v>Yes</v>
      </c>
      <c r="F111" s="10" t="str">
        <f>_xlfn.XLOOKUP(C111,Tab_Def_Flows[Flow_Name],Tab_Def_Flows[CC?],,0,)</f>
        <v>Yes</v>
      </c>
      <c r="G111" s="8">
        <v>2027</v>
      </c>
      <c r="H111" s="26">
        <v>30</v>
      </c>
      <c r="I111" s="8"/>
      <c r="J111" s="18"/>
      <c r="K111" s="8" t="e">
        <f>INDEX(#REF!,MATCH(Tab_Data_Flows[[#This Row],[Flow_Name]],#REF!,0),12)</f>
        <v>#REF!</v>
      </c>
      <c r="L111" s="8" t="e">
        <f>MATCH(Tab_Data_Flows[[#This Row],[Flow_Name]],#REF!,0)</f>
        <v>#REF!</v>
      </c>
      <c r="M111" s="8"/>
      <c r="N111" s="8"/>
      <c r="O111" s="8"/>
      <c r="P111" s="8"/>
      <c r="Q111" s="8" t="s">
        <v>7</v>
      </c>
      <c r="R111" s="8"/>
      <c r="S111" s="8"/>
      <c r="T111" s="7" t="str">
        <f>Tab_Data_Flows[[#This Row],[Flow_ID]]&amp;"_"&amp;"material_"&amp;Tab_Data_Flows[[#This Row],[Flow_Data_Year]]</f>
        <v>F_14_00_material_2027</v>
      </c>
      <c r="U111" s="16">
        <f t="shared" si="4"/>
        <v>30</v>
      </c>
      <c r="V111" s="8" t="s">
        <v>211</v>
      </c>
      <c r="W111" s="153">
        <f>INDEX(Tab_Def_Flows[[Flow_ID]:[CC_DM_source]],MATCH(Tab_Data_Flows[[#This Row],[Flow_Name]],Tab_Def_Flows[Flow_Name],0),11)</f>
        <v>0</v>
      </c>
      <c r="X111" s="7" t="str">
        <f>Tab_Data_Flows[[#This Row],[Flow_ID]]&amp;"_"&amp;"WC_"&amp;Tab_Data_Flows[[#This Row],[Flow_Data_Year]]</f>
        <v>F_14_00_WC_2027</v>
      </c>
      <c r="Y111" s="7">
        <f>IF(D111="Yes",U111*Tab_Data_Flows[[#This Row],[WC_'[%']]],"N.A.")</f>
        <v>0</v>
      </c>
      <c r="Z111" s="7" t="str">
        <f>Tab_Data_Flows[[#This Row],[UoM_Flow_Py]]</f>
        <v>Mg</v>
      </c>
      <c r="AA111" s="153">
        <f>INDEX(Tab_Def_Flows[[Flow_ID]:[CC_DM_source]],MATCH(Tab_Data_Flows[[#This Row],[Flow_Name]],Tab_Def_Flows[Flow_Name],0),14)</f>
        <v>1</v>
      </c>
      <c r="AB111" s="7" t="str">
        <f>Tab_Data_Flows[[#This Row],[Flow_ID]]&amp;"_"&amp;"DM_"&amp;Tab_Data_Flows[[#This Row],[Flow_Data_Year]]</f>
        <v>F_14_00_DM_2027</v>
      </c>
      <c r="AC111" s="7">
        <f>IF(E111="Yes",AA111*Tab_Data_Flows[[#This Row],[Flow_Material]],"N.A.")</f>
        <v>30</v>
      </c>
      <c r="AD111" s="7" t="str">
        <f>Tab_Data_Flows[[#This Row],[UoM_Flow_Py]]</f>
        <v>Mg</v>
      </c>
      <c r="AE111" s="153">
        <f>INDEX(Tab_Def_Flows[[Flow_ID]:[CC_DM_source]],MATCH(Tab_Data_Flows[[#This Row],[Flow_Name]],Tab_Def_Flows[Flow_Name],0),17)</f>
        <v>0.1</v>
      </c>
      <c r="AF111" s="7" t="str">
        <f>Tab_Data_Flows[[#This Row],[Flow_ID]]&amp;"_"&amp;"CC_"&amp;Tab_Data_Flows[[#This Row],[Flow_Data_Year]]</f>
        <v>F_14_00_CC_2027</v>
      </c>
      <c r="AG111" s="7">
        <f>IF(F111="Yes",AE111*Tab_Data_Flows[[#This Row],[Flow_Material]]*Tab_Data_Flows[[#This Row],[DM_'[%']]],"N.A.")</f>
        <v>3</v>
      </c>
      <c r="AH111" s="7" t="str">
        <f>Tab_Data_Flows[[#This Row],[UoM_Flow_Py]]</f>
        <v>Mg</v>
      </c>
      <c r="AI111"/>
    </row>
    <row r="112" spans="1:35" x14ac:dyDescent="0.25">
      <c r="A112" s="9">
        <f t="shared" si="3"/>
        <v>111</v>
      </c>
      <c r="B112" s="7" t="str">
        <f>_xlfn.XLOOKUP(C112,Tab_Def_Flows[Flow_Name],Tab_Def_Flows[Flow_ID],,0,)</f>
        <v>F_14_00</v>
      </c>
      <c r="C112" s="8" t="s">
        <v>606</v>
      </c>
      <c r="D112" s="10" t="str">
        <f>_xlfn.XLOOKUP(C112,Tab_Def_Flows[Flow_Name],Tab_Def_Flows[WC?],,0,)</f>
        <v>Yes</v>
      </c>
      <c r="E112" s="10" t="str">
        <f>_xlfn.XLOOKUP(C112,Tab_Def_Flows[Flow_Name],Tab_Def_Flows[DM?],,0,)</f>
        <v>Yes</v>
      </c>
      <c r="F112" s="10" t="str">
        <f>_xlfn.XLOOKUP(C112,Tab_Def_Flows[Flow_Name],Tab_Def_Flows[CC?],,0,)</f>
        <v>Yes</v>
      </c>
      <c r="G112" s="8">
        <v>2028</v>
      </c>
      <c r="H112" s="26">
        <v>30</v>
      </c>
      <c r="I112" s="8"/>
      <c r="J112" s="18"/>
      <c r="K112" s="8" t="e">
        <f>INDEX(#REF!,MATCH(Tab_Data_Flows[[#This Row],[Flow_Name]],#REF!,0),12)</f>
        <v>#REF!</v>
      </c>
      <c r="L112" s="8" t="e">
        <f>MATCH(Tab_Data_Flows[[#This Row],[Flow_Name]],#REF!,0)</f>
        <v>#REF!</v>
      </c>
      <c r="M112" s="8"/>
      <c r="N112" s="8"/>
      <c r="O112" s="8"/>
      <c r="P112" s="8"/>
      <c r="Q112" s="8" t="s">
        <v>7</v>
      </c>
      <c r="R112" s="8"/>
      <c r="S112" s="8"/>
      <c r="T112" s="7" t="str">
        <f>Tab_Data_Flows[[#This Row],[Flow_ID]]&amp;"_"&amp;"material_"&amp;Tab_Data_Flows[[#This Row],[Flow_Data_Year]]</f>
        <v>F_14_00_material_2028</v>
      </c>
      <c r="U112" s="16">
        <f t="shared" si="4"/>
        <v>30</v>
      </c>
      <c r="V112" s="8" t="s">
        <v>211</v>
      </c>
      <c r="W112" s="153">
        <f>INDEX(Tab_Def_Flows[[Flow_ID]:[CC_DM_source]],MATCH(Tab_Data_Flows[[#This Row],[Flow_Name]],Tab_Def_Flows[Flow_Name],0),11)</f>
        <v>0</v>
      </c>
      <c r="X112" s="7" t="str">
        <f>Tab_Data_Flows[[#This Row],[Flow_ID]]&amp;"_"&amp;"WC_"&amp;Tab_Data_Flows[[#This Row],[Flow_Data_Year]]</f>
        <v>F_14_00_WC_2028</v>
      </c>
      <c r="Y112" s="7">
        <f>IF(D112="Yes",U112*Tab_Data_Flows[[#This Row],[WC_'[%']]],"N.A.")</f>
        <v>0</v>
      </c>
      <c r="Z112" s="7" t="str">
        <f>Tab_Data_Flows[[#This Row],[UoM_Flow_Py]]</f>
        <v>Mg</v>
      </c>
      <c r="AA112" s="153">
        <f>INDEX(Tab_Def_Flows[[Flow_ID]:[CC_DM_source]],MATCH(Tab_Data_Flows[[#This Row],[Flow_Name]],Tab_Def_Flows[Flow_Name],0),14)</f>
        <v>1</v>
      </c>
      <c r="AB112" s="7" t="str">
        <f>Tab_Data_Flows[[#This Row],[Flow_ID]]&amp;"_"&amp;"DM_"&amp;Tab_Data_Flows[[#This Row],[Flow_Data_Year]]</f>
        <v>F_14_00_DM_2028</v>
      </c>
      <c r="AC112" s="7">
        <f>IF(E112="Yes",AA112*Tab_Data_Flows[[#This Row],[Flow_Material]],"N.A.")</f>
        <v>30</v>
      </c>
      <c r="AD112" s="7" t="str">
        <f>Tab_Data_Flows[[#This Row],[UoM_Flow_Py]]</f>
        <v>Mg</v>
      </c>
      <c r="AE112" s="153">
        <f>INDEX(Tab_Def_Flows[[Flow_ID]:[CC_DM_source]],MATCH(Tab_Data_Flows[[#This Row],[Flow_Name]],Tab_Def_Flows[Flow_Name],0),17)</f>
        <v>0.1</v>
      </c>
      <c r="AF112" s="7" t="str">
        <f>Tab_Data_Flows[[#This Row],[Flow_ID]]&amp;"_"&amp;"CC_"&amp;Tab_Data_Flows[[#This Row],[Flow_Data_Year]]</f>
        <v>F_14_00_CC_2028</v>
      </c>
      <c r="AG112" s="7">
        <f>IF(F112="Yes",AE112*Tab_Data_Flows[[#This Row],[Flow_Material]]*Tab_Data_Flows[[#This Row],[DM_'[%']]],"N.A.")</f>
        <v>3</v>
      </c>
      <c r="AH112" s="7" t="str">
        <f>Tab_Data_Flows[[#This Row],[UoM_Flow_Py]]</f>
        <v>Mg</v>
      </c>
      <c r="AI112"/>
    </row>
    <row r="113" spans="1:35" x14ac:dyDescent="0.25">
      <c r="A113" s="9">
        <f t="shared" si="3"/>
        <v>112</v>
      </c>
      <c r="B113" s="7" t="str">
        <f>_xlfn.XLOOKUP(C113,Tab_Def_Flows[Flow_Name],Tab_Def_Flows[Flow_ID],,0,)</f>
        <v>F_14_00</v>
      </c>
      <c r="C113" s="8" t="s">
        <v>606</v>
      </c>
      <c r="D113" s="10" t="str">
        <f>_xlfn.XLOOKUP(C113,Tab_Def_Flows[Flow_Name],Tab_Def_Flows[WC?],,0,)</f>
        <v>Yes</v>
      </c>
      <c r="E113" s="10" t="str">
        <f>_xlfn.XLOOKUP(C113,Tab_Def_Flows[Flow_Name],Tab_Def_Flows[DM?],,0,)</f>
        <v>Yes</v>
      </c>
      <c r="F113" s="10" t="str">
        <f>_xlfn.XLOOKUP(C113,Tab_Def_Flows[Flow_Name],Tab_Def_Flows[CC?],,0,)</f>
        <v>Yes</v>
      </c>
      <c r="G113" s="8">
        <v>2029</v>
      </c>
      <c r="H113" s="26">
        <v>30</v>
      </c>
      <c r="I113" s="8"/>
      <c r="J113" s="18"/>
      <c r="K113" s="8" t="e">
        <f>INDEX(#REF!,MATCH(Tab_Data_Flows[[#This Row],[Flow_Name]],#REF!,0),12)</f>
        <v>#REF!</v>
      </c>
      <c r="L113" s="8" t="e">
        <f>MATCH(Tab_Data_Flows[[#This Row],[Flow_Name]],#REF!,0)</f>
        <v>#REF!</v>
      </c>
      <c r="M113" s="8"/>
      <c r="N113" s="8"/>
      <c r="O113" s="8"/>
      <c r="P113" s="8"/>
      <c r="Q113" s="8" t="s">
        <v>7</v>
      </c>
      <c r="R113" s="8"/>
      <c r="S113" s="8"/>
      <c r="T113" s="7" t="str">
        <f>Tab_Data_Flows[[#This Row],[Flow_ID]]&amp;"_"&amp;"material_"&amp;Tab_Data_Flows[[#This Row],[Flow_Data_Year]]</f>
        <v>F_14_00_material_2029</v>
      </c>
      <c r="U113" s="16">
        <f t="shared" si="4"/>
        <v>30</v>
      </c>
      <c r="V113" s="8" t="s">
        <v>211</v>
      </c>
      <c r="W113" s="153">
        <f>INDEX(Tab_Def_Flows[[Flow_ID]:[CC_DM_source]],MATCH(Tab_Data_Flows[[#This Row],[Flow_Name]],Tab_Def_Flows[Flow_Name],0),11)</f>
        <v>0</v>
      </c>
      <c r="X113" s="7" t="str">
        <f>Tab_Data_Flows[[#This Row],[Flow_ID]]&amp;"_"&amp;"WC_"&amp;Tab_Data_Flows[[#This Row],[Flow_Data_Year]]</f>
        <v>F_14_00_WC_2029</v>
      </c>
      <c r="Y113" s="7">
        <f>IF(D113="Yes",U113*Tab_Data_Flows[[#This Row],[WC_'[%']]],"N.A.")</f>
        <v>0</v>
      </c>
      <c r="Z113" s="7" t="str">
        <f>Tab_Data_Flows[[#This Row],[UoM_Flow_Py]]</f>
        <v>Mg</v>
      </c>
      <c r="AA113" s="153">
        <f>INDEX(Tab_Def_Flows[[Flow_ID]:[CC_DM_source]],MATCH(Tab_Data_Flows[[#This Row],[Flow_Name]],Tab_Def_Flows[Flow_Name],0),14)</f>
        <v>1</v>
      </c>
      <c r="AB113" s="7" t="str">
        <f>Tab_Data_Flows[[#This Row],[Flow_ID]]&amp;"_"&amp;"DM_"&amp;Tab_Data_Flows[[#This Row],[Flow_Data_Year]]</f>
        <v>F_14_00_DM_2029</v>
      </c>
      <c r="AC113" s="7">
        <f>IF(E113="Yes",AA113*Tab_Data_Flows[[#This Row],[Flow_Material]],"N.A.")</f>
        <v>30</v>
      </c>
      <c r="AD113" s="7" t="str">
        <f>Tab_Data_Flows[[#This Row],[UoM_Flow_Py]]</f>
        <v>Mg</v>
      </c>
      <c r="AE113" s="153">
        <f>INDEX(Tab_Def_Flows[[Flow_ID]:[CC_DM_source]],MATCH(Tab_Data_Flows[[#This Row],[Flow_Name]],Tab_Def_Flows[Flow_Name],0),17)</f>
        <v>0.1</v>
      </c>
      <c r="AF113" s="7" t="str">
        <f>Tab_Data_Flows[[#This Row],[Flow_ID]]&amp;"_"&amp;"CC_"&amp;Tab_Data_Flows[[#This Row],[Flow_Data_Year]]</f>
        <v>F_14_00_CC_2029</v>
      </c>
      <c r="AG113" s="7">
        <f>IF(F113="Yes",AE113*Tab_Data_Flows[[#This Row],[Flow_Material]]*Tab_Data_Flows[[#This Row],[DM_'[%']]],"N.A.")</f>
        <v>3</v>
      </c>
      <c r="AH113" s="7" t="str">
        <f>Tab_Data_Flows[[#This Row],[UoM_Flow_Py]]</f>
        <v>Mg</v>
      </c>
      <c r="AI113"/>
    </row>
    <row r="114" spans="1:35" x14ac:dyDescent="0.25">
      <c r="A114" s="9">
        <f t="shared" si="3"/>
        <v>113</v>
      </c>
      <c r="B114" s="7" t="str">
        <f>_xlfn.XLOOKUP(C114,Tab_Def_Flows[Flow_Name],Tab_Def_Flows[Flow_ID],,0,)</f>
        <v>F_14_00</v>
      </c>
      <c r="C114" s="8" t="s">
        <v>606</v>
      </c>
      <c r="D114" s="10" t="str">
        <f>_xlfn.XLOOKUP(C114,Tab_Def_Flows[Flow_Name],Tab_Def_Flows[WC?],,0,)</f>
        <v>Yes</v>
      </c>
      <c r="E114" s="10" t="str">
        <f>_xlfn.XLOOKUP(C114,Tab_Def_Flows[Flow_Name],Tab_Def_Flows[DM?],,0,)</f>
        <v>Yes</v>
      </c>
      <c r="F114" s="10" t="str">
        <f>_xlfn.XLOOKUP(C114,Tab_Def_Flows[Flow_Name],Tab_Def_Flows[CC?],,0,)</f>
        <v>Yes</v>
      </c>
      <c r="G114" s="8">
        <v>2030</v>
      </c>
      <c r="H114" s="26">
        <v>30</v>
      </c>
      <c r="I114" s="8"/>
      <c r="J114" s="18"/>
      <c r="K114" s="8" t="e">
        <f>INDEX(#REF!,MATCH(Tab_Data_Flows[[#This Row],[Flow_Name]],#REF!,0),12)</f>
        <v>#REF!</v>
      </c>
      <c r="L114" s="8" t="e">
        <f>MATCH(Tab_Data_Flows[[#This Row],[Flow_Name]],#REF!,0)</f>
        <v>#REF!</v>
      </c>
      <c r="M114" s="8"/>
      <c r="N114" s="8"/>
      <c r="O114" s="8"/>
      <c r="P114" s="8"/>
      <c r="Q114" s="8" t="s">
        <v>7</v>
      </c>
      <c r="R114" s="8"/>
      <c r="S114" s="8"/>
      <c r="T114" s="7" t="str">
        <f>Tab_Data_Flows[[#This Row],[Flow_ID]]&amp;"_"&amp;"material_"&amp;Tab_Data_Flows[[#This Row],[Flow_Data_Year]]</f>
        <v>F_14_00_material_2030</v>
      </c>
      <c r="U114" s="16">
        <f t="shared" si="4"/>
        <v>30</v>
      </c>
      <c r="V114" s="8" t="s">
        <v>211</v>
      </c>
      <c r="W114" s="153">
        <f>INDEX(Tab_Def_Flows[[Flow_ID]:[CC_DM_source]],MATCH(Tab_Data_Flows[[#This Row],[Flow_Name]],Tab_Def_Flows[Flow_Name],0),11)</f>
        <v>0</v>
      </c>
      <c r="X114" s="7" t="str">
        <f>Tab_Data_Flows[[#This Row],[Flow_ID]]&amp;"_"&amp;"WC_"&amp;Tab_Data_Flows[[#This Row],[Flow_Data_Year]]</f>
        <v>F_14_00_WC_2030</v>
      </c>
      <c r="Y114" s="7">
        <f>IF(D114="Yes",U114*Tab_Data_Flows[[#This Row],[WC_'[%']]],"N.A.")</f>
        <v>0</v>
      </c>
      <c r="Z114" s="7" t="str">
        <f>Tab_Data_Flows[[#This Row],[UoM_Flow_Py]]</f>
        <v>Mg</v>
      </c>
      <c r="AA114" s="153">
        <f>INDEX(Tab_Def_Flows[[Flow_ID]:[CC_DM_source]],MATCH(Tab_Data_Flows[[#This Row],[Flow_Name]],Tab_Def_Flows[Flow_Name],0),14)</f>
        <v>1</v>
      </c>
      <c r="AB114" s="7" t="str">
        <f>Tab_Data_Flows[[#This Row],[Flow_ID]]&amp;"_"&amp;"DM_"&amp;Tab_Data_Flows[[#This Row],[Flow_Data_Year]]</f>
        <v>F_14_00_DM_2030</v>
      </c>
      <c r="AC114" s="7">
        <f>IF(E114="Yes",AA114*Tab_Data_Flows[[#This Row],[Flow_Material]],"N.A.")</f>
        <v>30</v>
      </c>
      <c r="AD114" s="7" t="str">
        <f>Tab_Data_Flows[[#This Row],[UoM_Flow_Py]]</f>
        <v>Mg</v>
      </c>
      <c r="AE114" s="153">
        <f>INDEX(Tab_Def_Flows[[Flow_ID]:[CC_DM_source]],MATCH(Tab_Data_Flows[[#This Row],[Flow_Name]],Tab_Def_Flows[Flow_Name],0),17)</f>
        <v>0.1</v>
      </c>
      <c r="AF114" s="7" t="str">
        <f>Tab_Data_Flows[[#This Row],[Flow_ID]]&amp;"_"&amp;"CC_"&amp;Tab_Data_Flows[[#This Row],[Flow_Data_Year]]</f>
        <v>F_14_00_CC_2030</v>
      </c>
      <c r="AG114" s="7">
        <f>IF(F114="Yes",AE114*Tab_Data_Flows[[#This Row],[Flow_Material]]*Tab_Data_Flows[[#This Row],[DM_'[%']]],"N.A.")</f>
        <v>3</v>
      </c>
      <c r="AH114" s="7" t="str">
        <f>Tab_Data_Flows[[#This Row],[UoM_Flow_Py]]</f>
        <v>Mg</v>
      </c>
      <c r="AI114"/>
    </row>
    <row r="115" spans="1:35" x14ac:dyDescent="0.25">
      <c r="A115" s="9">
        <f t="shared" si="3"/>
        <v>114</v>
      </c>
      <c r="B115" s="7" t="str">
        <f>_xlfn.XLOOKUP(C115,Tab_Def_Flows[Flow_Name],Tab_Def_Flows[Flow_ID],,0,)</f>
        <v>F_14_00</v>
      </c>
      <c r="C115" s="8" t="s">
        <v>606</v>
      </c>
      <c r="D115" s="10" t="str">
        <f>_xlfn.XLOOKUP(C115,Tab_Def_Flows[Flow_Name],Tab_Def_Flows[WC?],,0,)</f>
        <v>Yes</v>
      </c>
      <c r="E115" s="10" t="str">
        <f>_xlfn.XLOOKUP(C115,Tab_Def_Flows[Flow_Name],Tab_Def_Flows[DM?],,0,)</f>
        <v>Yes</v>
      </c>
      <c r="F115" s="10" t="str">
        <f>_xlfn.XLOOKUP(C115,Tab_Def_Flows[Flow_Name],Tab_Def_Flows[CC?],,0,)</f>
        <v>Yes</v>
      </c>
      <c r="G115" s="8">
        <v>2031</v>
      </c>
      <c r="H115" s="26">
        <v>30</v>
      </c>
      <c r="I115" s="8"/>
      <c r="J115" s="18"/>
      <c r="K115" s="8" t="e">
        <f>INDEX(#REF!,MATCH(Tab_Data_Flows[[#This Row],[Flow_Name]],#REF!,0),12)</f>
        <v>#REF!</v>
      </c>
      <c r="L115" s="8" t="e">
        <f>MATCH(Tab_Data_Flows[[#This Row],[Flow_Name]],#REF!,0)</f>
        <v>#REF!</v>
      </c>
      <c r="M115" s="8"/>
      <c r="N115" s="8"/>
      <c r="O115" s="8"/>
      <c r="P115" s="8"/>
      <c r="Q115" s="8" t="s">
        <v>7</v>
      </c>
      <c r="R115" s="8"/>
      <c r="S115" s="8"/>
      <c r="T115" s="7" t="str">
        <f>Tab_Data_Flows[[#This Row],[Flow_ID]]&amp;"_"&amp;"material_"&amp;Tab_Data_Flows[[#This Row],[Flow_Data_Year]]</f>
        <v>F_14_00_material_2031</v>
      </c>
      <c r="U115" s="16">
        <f t="shared" si="4"/>
        <v>30</v>
      </c>
      <c r="V115" s="8" t="s">
        <v>211</v>
      </c>
      <c r="W115" s="153">
        <f>INDEX(Tab_Def_Flows[[Flow_ID]:[CC_DM_source]],MATCH(Tab_Data_Flows[[#This Row],[Flow_Name]],Tab_Def_Flows[Flow_Name],0),11)</f>
        <v>0</v>
      </c>
      <c r="X115" s="7" t="str">
        <f>Tab_Data_Flows[[#This Row],[Flow_ID]]&amp;"_"&amp;"WC_"&amp;Tab_Data_Flows[[#This Row],[Flow_Data_Year]]</f>
        <v>F_14_00_WC_2031</v>
      </c>
      <c r="Y115" s="7">
        <f>IF(D115="Yes",U115*Tab_Data_Flows[[#This Row],[WC_'[%']]],"N.A.")</f>
        <v>0</v>
      </c>
      <c r="Z115" s="7" t="str">
        <f>Tab_Data_Flows[[#This Row],[UoM_Flow_Py]]</f>
        <v>Mg</v>
      </c>
      <c r="AA115" s="153">
        <f>INDEX(Tab_Def_Flows[[Flow_ID]:[CC_DM_source]],MATCH(Tab_Data_Flows[[#This Row],[Flow_Name]],Tab_Def_Flows[Flow_Name],0),14)</f>
        <v>1</v>
      </c>
      <c r="AB115" s="7" t="str">
        <f>Tab_Data_Flows[[#This Row],[Flow_ID]]&amp;"_"&amp;"DM_"&amp;Tab_Data_Flows[[#This Row],[Flow_Data_Year]]</f>
        <v>F_14_00_DM_2031</v>
      </c>
      <c r="AC115" s="7">
        <f>IF(E115="Yes",AA115*Tab_Data_Flows[[#This Row],[Flow_Material]],"N.A.")</f>
        <v>30</v>
      </c>
      <c r="AD115" s="7" t="str">
        <f>Tab_Data_Flows[[#This Row],[UoM_Flow_Py]]</f>
        <v>Mg</v>
      </c>
      <c r="AE115" s="153">
        <f>INDEX(Tab_Def_Flows[[Flow_ID]:[CC_DM_source]],MATCH(Tab_Data_Flows[[#This Row],[Flow_Name]],Tab_Def_Flows[Flow_Name],0),17)</f>
        <v>0.1</v>
      </c>
      <c r="AF115" s="7" t="str">
        <f>Tab_Data_Flows[[#This Row],[Flow_ID]]&amp;"_"&amp;"CC_"&amp;Tab_Data_Flows[[#This Row],[Flow_Data_Year]]</f>
        <v>F_14_00_CC_2031</v>
      </c>
      <c r="AG115" s="7">
        <f>IF(F115="Yes",AE115*Tab_Data_Flows[[#This Row],[Flow_Material]]*Tab_Data_Flows[[#This Row],[DM_'[%']]],"N.A.")</f>
        <v>3</v>
      </c>
      <c r="AH115" s="7" t="str">
        <f>Tab_Data_Flows[[#This Row],[UoM_Flow_Py]]</f>
        <v>Mg</v>
      </c>
      <c r="AI115"/>
    </row>
    <row r="116" spans="1:35" x14ac:dyDescent="0.25">
      <c r="A116" s="9">
        <f t="shared" si="3"/>
        <v>115</v>
      </c>
      <c r="B116" s="7" t="str">
        <f>_xlfn.XLOOKUP(C116,Tab_Def_Flows[Flow_Name],Tab_Def_Flows[Flow_ID],,0,)</f>
        <v>F_14_00</v>
      </c>
      <c r="C116" s="8" t="s">
        <v>606</v>
      </c>
      <c r="D116" s="10" t="str">
        <f>_xlfn.XLOOKUP(C116,Tab_Def_Flows[Flow_Name],Tab_Def_Flows[WC?],,0,)</f>
        <v>Yes</v>
      </c>
      <c r="E116" s="10" t="str">
        <f>_xlfn.XLOOKUP(C116,Tab_Def_Flows[Flow_Name],Tab_Def_Flows[DM?],,0,)</f>
        <v>Yes</v>
      </c>
      <c r="F116" s="10" t="str">
        <f>_xlfn.XLOOKUP(C116,Tab_Def_Flows[Flow_Name],Tab_Def_Flows[CC?],,0,)</f>
        <v>Yes</v>
      </c>
      <c r="G116" s="8">
        <v>2032</v>
      </c>
      <c r="H116" s="26">
        <v>30</v>
      </c>
      <c r="I116" s="8"/>
      <c r="J116" s="18"/>
      <c r="K116" s="8" t="e">
        <f>INDEX(#REF!,MATCH(Tab_Data_Flows[[#This Row],[Flow_Name]],#REF!,0),12)</f>
        <v>#REF!</v>
      </c>
      <c r="L116" s="8" t="e">
        <f>MATCH(Tab_Data_Flows[[#This Row],[Flow_Name]],#REF!,0)</f>
        <v>#REF!</v>
      </c>
      <c r="M116" s="8"/>
      <c r="N116" s="8"/>
      <c r="O116" s="8"/>
      <c r="P116" s="8"/>
      <c r="Q116" s="8" t="s">
        <v>7</v>
      </c>
      <c r="R116" s="8"/>
      <c r="S116" s="8"/>
      <c r="T116" s="7" t="str">
        <f>Tab_Data_Flows[[#This Row],[Flow_ID]]&amp;"_"&amp;"material_"&amp;Tab_Data_Flows[[#This Row],[Flow_Data_Year]]</f>
        <v>F_14_00_material_2032</v>
      </c>
      <c r="U116" s="16">
        <f t="shared" si="4"/>
        <v>30</v>
      </c>
      <c r="V116" s="8" t="s">
        <v>211</v>
      </c>
      <c r="W116" s="153">
        <f>INDEX(Tab_Def_Flows[[Flow_ID]:[CC_DM_source]],MATCH(Tab_Data_Flows[[#This Row],[Flow_Name]],Tab_Def_Flows[Flow_Name],0),11)</f>
        <v>0</v>
      </c>
      <c r="X116" s="7" t="str">
        <f>Tab_Data_Flows[[#This Row],[Flow_ID]]&amp;"_"&amp;"WC_"&amp;Tab_Data_Flows[[#This Row],[Flow_Data_Year]]</f>
        <v>F_14_00_WC_2032</v>
      </c>
      <c r="Y116" s="7">
        <f>IF(D116="Yes",U116*Tab_Data_Flows[[#This Row],[WC_'[%']]],"N.A.")</f>
        <v>0</v>
      </c>
      <c r="Z116" s="7" t="str">
        <f>Tab_Data_Flows[[#This Row],[UoM_Flow_Py]]</f>
        <v>Mg</v>
      </c>
      <c r="AA116" s="153">
        <f>INDEX(Tab_Def_Flows[[Flow_ID]:[CC_DM_source]],MATCH(Tab_Data_Flows[[#This Row],[Flow_Name]],Tab_Def_Flows[Flow_Name],0),14)</f>
        <v>1</v>
      </c>
      <c r="AB116" s="7" t="str">
        <f>Tab_Data_Flows[[#This Row],[Flow_ID]]&amp;"_"&amp;"DM_"&amp;Tab_Data_Flows[[#This Row],[Flow_Data_Year]]</f>
        <v>F_14_00_DM_2032</v>
      </c>
      <c r="AC116" s="7">
        <f>IF(E116="Yes",AA116*Tab_Data_Flows[[#This Row],[Flow_Material]],"N.A.")</f>
        <v>30</v>
      </c>
      <c r="AD116" s="7" t="str">
        <f>Tab_Data_Flows[[#This Row],[UoM_Flow_Py]]</f>
        <v>Mg</v>
      </c>
      <c r="AE116" s="153">
        <f>INDEX(Tab_Def_Flows[[Flow_ID]:[CC_DM_source]],MATCH(Tab_Data_Flows[[#This Row],[Flow_Name]],Tab_Def_Flows[Flow_Name],0),17)</f>
        <v>0.1</v>
      </c>
      <c r="AF116" s="7" t="str">
        <f>Tab_Data_Flows[[#This Row],[Flow_ID]]&amp;"_"&amp;"CC_"&amp;Tab_Data_Flows[[#This Row],[Flow_Data_Year]]</f>
        <v>F_14_00_CC_2032</v>
      </c>
      <c r="AG116" s="7">
        <f>IF(F116="Yes",AE116*Tab_Data_Flows[[#This Row],[Flow_Material]]*Tab_Data_Flows[[#This Row],[DM_'[%']]],"N.A.")</f>
        <v>3</v>
      </c>
      <c r="AH116" s="7" t="str">
        <f>Tab_Data_Flows[[#This Row],[UoM_Flow_Py]]</f>
        <v>Mg</v>
      </c>
      <c r="AI116"/>
    </row>
    <row r="117" spans="1:35" x14ac:dyDescent="0.25">
      <c r="A117" s="9">
        <f t="shared" si="3"/>
        <v>116</v>
      </c>
      <c r="B117" s="7" t="str">
        <f>_xlfn.XLOOKUP(C117,Tab_Def_Flows[Flow_Name],Tab_Def_Flows[Flow_ID],,0,)</f>
        <v>F_14_00</v>
      </c>
      <c r="C117" s="8" t="s">
        <v>606</v>
      </c>
      <c r="D117" s="10" t="str">
        <f>_xlfn.XLOOKUP(C117,Tab_Def_Flows[Flow_Name],Tab_Def_Flows[WC?],,0,)</f>
        <v>Yes</v>
      </c>
      <c r="E117" s="10" t="str">
        <f>_xlfn.XLOOKUP(C117,Tab_Def_Flows[Flow_Name],Tab_Def_Flows[DM?],,0,)</f>
        <v>Yes</v>
      </c>
      <c r="F117" s="10" t="str">
        <f>_xlfn.XLOOKUP(C117,Tab_Def_Flows[Flow_Name],Tab_Def_Flows[CC?],,0,)</f>
        <v>Yes</v>
      </c>
      <c r="G117" s="8">
        <v>2033</v>
      </c>
      <c r="H117" s="26">
        <v>30</v>
      </c>
      <c r="I117" s="8"/>
      <c r="J117" s="18"/>
      <c r="K117" s="8" t="e">
        <f>INDEX(#REF!,MATCH(Tab_Data_Flows[[#This Row],[Flow_Name]],#REF!,0),12)</f>
        <v>#REF!</v>
      </c>
      <c r="L117" s="8" t="e">
        <f>MATCH(Tab_Data_Flows[[#This Row],[Flow_Name]],#REF!,0)</f>
        <v>#REF!</v>
      </c>
      <c r="M117" s="8"/>
      <c r="N117" s="8"/>
      <c r="O117" s="8"/>
      <c r="P117" s="8"/>
      <c r="Q117" s="8" t="s">
        <v>7</v>
      </c>
      <c r="R117" s="8"/>
      <c r="S117" s="8"/>
      <c r="T117" s="7" t="str">
        <f>Tab_Data_Flows[[#This Row],[Flow_ID]]&amp;"_"&amp;"material_"&amp;Tab_Data_Flows[[#This Row],[Flow_Data_Year]]</f>
        <v>F_14_00_material_2033</v>
      </c>
      <c r="U117" s="16">
        <f t="shared" si="4"/>
        <v>30</v>
      </c>
      <c r="V117" s="8" t="s">
        <v>211</v>
      </c>
      <c r="W117" s="153">
        <f>INDEX(Tab_Def_Flows[[Flow_ID]:[CC_DM_source]],MATCH(Tab_Data_Flows[[#This Row],[Flow_Name]],Tab_Def_Flows[Flow_Name],0),11)</f>
        <v>0</v>
      </c>
      <c r="X117" s="7" t="str">
        <f>Tab_Data_Flows[[#This Row],[Flow_ID]]&amp;"_"&amp;"WC_"&amp;Tab_Data_Flows[[#This Row],[Flow_Data_Year]]</f>
        <v>F_14_00_WC_2033</v>
      </c>
      <c r="Y117" s="7">
        <f>IF(D117="Yes",U117*Tab_Data_Flows[[#This Row],[WC_'[%']]],"N.A.")</f>
        <v>0</v>
      </c>
      <c r="Z117" s="7" t="str">
        <f>Tab_Data_Flows[[#This Row],[UoM_Flow_Py]]</f>
        <v>Mg</v>
      </c>
      <c r="AA117" s="153">
        <f>INDEX(Tab_Def_Flows[[Flow_ID]:[CC_DM_source]],MATCH(Tab_Data_Flows[[#This Row],[Flow_Name]],Tab_Def_Flows[Flow_Name],0),14)</f>
        <v>1</v>
      </c>
      <c r="AB117" s="7" t="str">
        <f>Tab_Data_Flows[[#This Row],[Flow_ID]]&amp;"_"&amp;"DM_"&amp;Tab_Data_Flows[[#This Row],[Flow_Data_Year]]</f>
        <v>F_14_00_DM_2033</v>
      </c>
      <c r="AC117" s="7">
        <f>IF(E117="Yes",AA117*Tab_Data_Flows[[#This Row],[Flow_Material]],"N.A.")</f>
        <v>30</v>
      </c>
      <c r="AD117" s="7" t="str">
        <f>Tab_Data_Flows[[#This Row],[UoM_Flow_Py]]</f>
        <v>Mg</v>
      </c>
      <c r="AE117" s="153">
        <f>INDEX(Tab_Def_Flows[[Flow_ID]:[CC_DM_source]],MATCH(Tab_Data_Flows[[#This Row],[Flow_Name]],Tab_Def_Flows[Flow_Name],0),17)</f>
        <v>0.1</v>
      </c>
      <c r="AF117" s="7" t="str">
        <f>Tab_Data_Flows[[#This Row],[Flow_ID]]&amp;"_"&amp;"CC_"&amp;Tab_Data_Flows[[#This Row],[Flow_Data_Year]]</f>
        <v>F_14_00_CC_2033</v>
      </c>
      <c r="AG117" s="7">
        <f>IF(F117="Yes",AE117*Tab_Data_Flows[[#This Row],[Flow_Material]]*Tab_Data_Flows[[#This Row],[DM_'[%']]],"N.A.")</f>
        <v>3</v>
      </c>
      <c r="AH117" s="7" t="str">
        <f>Tab_Data_Flows[[#This Row],[UoM_Flow_Py]]</f>
        <v>Mg</v>
      </c>
      <c r="AI117"/>
    </row>
    <row r="118" spans="1:35" x14ac:dyDescent="0.25">
      <c r="A118" s="9">
        <f t="shared" si="3"/>
        <v>117</v>
      </c>
      <c r="B118" s="7" t="str">
        <f>_xlfn.XLOOKUP(C118,Tab_Def_Flows[Flow_Name],Tab_Def_Flows[Flow_ID],,0,)</f>
        <v>F_14_00</v>
      </c>
      <c r="C118" s="8" t="s">
        <v>606</v>
      </c>
      <c r="D118" s="10" t="str">
        <f>_xlfn.XLOOKUP(C118,Tab_Def_Flows[Flow_Name],Tab_Def_Flows[WC?],,0,)</f>
        <v>Yes</v>
      </c>
      <c r="E118" s="10" t="str">
        <f>_xlfn.XLOOKUP(C118,Tab_Def_Flows[Flow_Name],Tab_Def_Flows[DM?],,0,)</f>
        <v>Yes</v>
      </c>
      <c r="F118" s="10" t="str">
        <f>_xlfn.XLOOKUP(C118,Tab_Def_Flows[Flow_Name],Tab_Def_Flows[CC?],,0,)</f>
        <v>Yes</v>
      </c>
      <c r="G118" s="8">
        <v>2034</v>
      </c>
      <c r="H118" s="26">
        <v>30</v>
      </c>
      <c r="I118" s="8"/>
      <c r="J118" s="18"/>
      <c r="K118" s="8"/>
      <c r="L118" s="8"/>
      <c r="M118" s="8"/>
      <c r="N118" s="8"/>
      <c r="O118" s="8"/>
      <c r="P118" s="8"/>
      <c r="Q118" s="8" t="s">
        <v>7</v>
      </c>
      <c r="R118" s="19"/>
      <c r="S118" s="8"/>
      <c r="T118" s="7" t="str">
        <f>Tab_Data_Flows[[#This Row],[Flow_ID]]&amp;"_"&amp;"material_"&amp;Tab_Data_Flows[[#This Row],[Flow_Data_Year]]</f>
        <v>F_14_00_material_2034</v>
      </c>
      <c r="U118" s="16">
        <f t="shared" si="4"/>
        <v>30</v>
      </c>
      <c r="V118" s="8" t="s">
        <v>211</v>
      </c>
      <c r="W118" s="153">
        <f>INDEX(Tab_Def_Flows[[Flow_ID]:[CC_DM_source]],MATCH(Tab_Data_Flows[[#This Row],[Flow_Name]],Tab_Def_Flows[Flow_Name],0),11)</f>
        <v>0</v>
      </c>
      <c r="X118" s="7" t="str">
        <f>Tab_Data_Flows[[#This Row],[Flow_ID]]&amp;"_"&amp;"WC_"&amp;Tab_Data_Flows[[#This Row],[Flow_Data_Year]]</f>
        <v>F_14_00_WC_2034</v>
      </c>
      <c r="Y118" s="7">
        <f>IF(D118="Yes",U118*Tab_Data_Flows[[#This Row],[WC_'[%']]],"N.A.")</f>
        <v>0</v>
      </c>
      <c r="Z118" s="7" t="str">
        <f>Tab_Data_Flows[[#This Row],[UoM_Flow_Py]]</f>
        <v>Mg</v>
      </c>
      <c r="AA118" s="153">
        <f>INDEX(Tab_Def_Flows[[Flow_ID]:[CC_DM_source]],MATCH(Tab_Data_Flows[[#This Row],[Flow_Name]],Tab_Def_Flows[Flow_Name],0),14)</f>
        <v>1</v>
      </c>
      <c r="AB118" s="7" t="str">
        <f>Tab_Data_Flows[[#This Row],[Flow_ID]]&amp;"_"&amp;"DM_"&amp;Tab_Data_Flows[[#This Row],[Flow_Data_Year]]</f>
        <v>F_14_00_DM_2034</v>
      </c>
      <c r="AC118" s="7">
        <f>IF(E118="Yes",AA118*Tab_Data_Flows[[#This Row],[Flow_Material]],"N.A.")</f>
        <v>30</v>
      </c>
      <c r="AD118" s="7" t="str">
        <f>Tab_Data_Flows[[#This Row],[UoM_Flow_Py]]</f>
        <v>Mg</v>
      </c>
      <c r="AE118" s="153">
        <f>INDEX(Tab_Def_Flows[[Flow_ID]:[CC_DM_source]],MATCH(Tab_Data_Flows[[#This Row],[Flow_Name]],Tab_Def_Flows[Flow_Name],0),17)</f>
        <v>0.1</v>
      </c>
      <c r="AF118" s="7" t="str">
        <f>Tab_Data_Flows[[#This Row],[Flow_ID]]&amp;"_"&amp;"CC_"&amp;Tab_Data_Flows[[#This Row],[Flow_Data_Year]]</f>
        <v>F_14_00_CC_2034</v>
      </c>
      <c r="AG118" s="7">
        <f>IF(F118="Yes",AE118*Tab_Data_Flows[[#This Row],[Flow_Material]]*Tab_Data_Flows[[#This Row],[DM_'[%']]],"N.A.")</f>
        <v>3</v>
      </c>
      <c r="AH118" s="7" t="str">
        <f>Tab_Data_Flows[[#This Row],[UoM_Flow_Py]]</f>
        <v>Mg</v>
      </c>
      <c r="AI118"/>
    </row>
    <row r="119" spans="1:35" x14ac:dyDescent="0.25">
      <c r="A119" s="9">
        <f t="shared" si="3"/>
        <v>118</v>
      </c>
      <c r="B119" s="7" t="str">
        <f>_xlfn.XLOOKUP(C119,Tab_Def_Flows[Flow_Name],Tab_Def_Flows[Flow_ID],,0,)</f>
        <v>F_14_00</v>
      </c>
      <c r="C119" s="8" t="s">
        <v>606</v>
      </c>
      <c r="D119" s="10" t="str">
        <f>_xlfn.XLOOKUP(C119,Tab_Def_Flows[Flow_Name],Tab_Def_Flows[WC?],,0,)</f>
        <v>Yes</v>
      </c>
      <c r="E119" s="10" t="str">
        <f>_xlfn.XLOOKUP(C119,Tab_Def_Flows[Flow_Name],Tab_Def_Flows[DM?],,0,)</f>
        <v>Yes</v>
      </c>
      <c r="F119" s="10" t="str">
        <f>_xlfn.XLOOKUP(C119,Tab_Def_Flows[Flow_Name],Tab_Def_Flows[CC?],,0,)</f>
        <v>Yes</v>
      </c>
      <c r="G119" s="8">
        <v>2035</v>
      </c>
      <c r="H119" s="26">
        <v>30</v>
      </c>
      <c r="I119" s="8"/>
      <c r="J119" s="18"/>
      <c r="K119" s="8"/>
      <c r="L119" s="8"/>
      <c r="M119" s="8"/>
      <c r="N119" s="8"/>
      <c r="O119" s="8"/>
      <c r="P119" s="8"/>
      <c r="Q119" s="8" t="s">
        <v>7</v>
      </c>
      <c r="R119" s="19"/>
      <c r="S119" s="8"/>
      <c r="T119" s="7" t="str">
        <f>Tab_Data_Flows[[#This Row],[Flow_ID]]&amp;"_"&amp;"material_"&amp;Tab_Data_Flows[[#This Row],[Flow_Data_Year]]</f>
        <v>F_14_00_material_2035</v>
      </c>
      <c r="U119" s="16">
        <f t="shared" si="4"/>
        <v>30</v>
      </c>
      <c r="V119" s="8" t="s">
        <v>211</v>
      </c>
      <c r="W119" s="153">
        <f>INDEX(Tab_Def_Flows[[Flow_ID]:[CC_DM_source]],MATCH(Tab_Data_Flows[[#This Row],[Flow_Name]],Tab_Def_Flows[Flow_Name],0),11)</f>
        <v>0</v>
      </c>
      <c r="X119" s="7" t="str">
        <f>Tab_Data_Flows[[#This Row],[Flow_ID]]&amp;"_"&amp;"WC_"&amp;Tab_Data_Flows[[#This Row],[Flow_Data_Year]]</f>
        <v>F_14_00_WC_2035</v>
      </c>
      <c r="Y119" s="7">
        <f>IF(D119="Yes",U119*Tab_Data_Flows[[#This Row],[WC_'[%']]],"N.A.")</f>
        <v>0</v>
      </c>
      <c r="Z119" s="7" t="str">
        <f>Tab_Data_Flows[[#This Row],[UoM_Flow_Py]]</f>
        <v>Mg</v>
      </c>
      <c r="AA119" s="153">
        <f>INDEX(Tab_Def_Flows[[Flow_ID]:[CC_DM_source]],MATCH(Tab_Data_Flows[[#This Row],[Flow_Name]],Tab_Def_Flows[Flow_Name],0),14)</f>
        <v>1</v>
      </c>
      <c r="AB119" s="7" t="str">
        <f>Tab_Data_Flows[[#This Row],[Flow_ID]]&amp;"_"&amp;"DM_"&amp;Tab_Data_Flows[[#This Row],[Flow_Data_Year]]</f>
        <v>F_14_00_DM_2035</v>
      </c>
      <c r="AC119" s="7">
        <f>IF(E119="Yes",AA119*Tab_Data_Flows[[#This Row],[Flow_Material]],"N.A.")</f>
        <v>30</v>
      </c>
      <c r="AD119" s="7" t="str">
        <f>Tab_Data_Flows[[#This Row],[UoM_Flow_Py]]</f>
        <v>Mg</v>
      </c>
      <c r="AE119" s="153">
        <f>INDEX(Tab_Def_Flows[[Flow_ID]:[CC_DM_source]],MATCH(Tab_Data_Flows[[#This Row],[Flow_Name]],Tab_Def_Flows[Flow_Name],0),17)</f>
        <v>0.1</v>
      </c>
      <c r="AF119" s="7" t="str">
        <f>Tab_Data_Flows[[#This Row],[Flow_ID]]&amp;"_"&amp;"CC_"&amp;Tab_Data_Flows[[#This Row],[Flow_Data_Year]]</f>
        <v>F_14_00_CC_2035</v>
      </c>
      <c r="AG119" s="7">
        <f>IF(F119="Yes",AE119*Tab_Data_Flows[[#This Row],[Flow_Material]]*Tab_Data_Flows[[#This Row],[DM_'[%']]],"N.A.")</f>
        <v>3</v>
      </c>
      <c r="AH119" s="7" t="str">
        <f>Tab_Data_Flows[[#This Row],[UoM_Flow_Py]]</f>
        <v>Mg</v>
      </c>
      <c r="AI119"/>
    </row>
    <row r="120" spans="1:35" x14ac:dyDescent="0.25">
      <c r="A120" s="9">
        <f t="shared" si="3"/>
        <v>119</v>
      </c>
      <c r="B120" s="7" t="str">
        <f>_xlfn.XLOOKUP(C120,Tab_Def_Flows[Flow_Name],Tab_Def_Flows[Flow_ID],,0,)</f>
        <v>F_14_00</v>
      </c>
      <c r="C120" s="8" t="s">
        <v>606</v>
      </c>
      <c r="D120" s="10" t="str">
        <f>_xlfn.XLOOKUP(C120,Tab_Def_Flows[Flow_Name],Tab_Def_Flows[WC?],,0,)</f>
        <v>Yes</v>
      </c>
      <c r="E120" s="10" t="str">
        <f>_xlfn.XLOOKUP(C120,Tab_Def_Flows[Flow_Name],Tab_Def_Flows[DM?],,0,)</f>
        <v>Yes</v>
      </c>
      <c r="F120" s="10" t="str">
        <f>_xlfn.XLOOKUP(C120,Tab_Def_Flows[Flow_Name],Tab_Def_Flows[CC?],,0,)</f>
        <v>Yes</v>
      </c>
      <c r="G120" s="8">
        <v>2036</v>
      </c>
      <c r="H120" s="26">
        <v>30</v>
      </c>
      <c r="I120" s="8"/>
      <c r="J120" s="18"/>
      <c r="K120" s="8"/>
      <c r="L120" s="8"/>
      <c r="M120" s="8"/>
      <c r="N120" s="8"/>
      <c r="O120" s="8"/>
      <c r="P120" s="8"/>
      <c r="Q120" s="8" t="s">
        <v>7</v>
      </c>
      <c r="R120" s="19"/>
      <c r="S120" s="8"/>
      <c r="T120" s="7" t="str">
        <f>Tab_Data_Flows[[#This Row],[Flow_ID]]&amp;"_"&amp;"material_"&amp;Tab_Data_Flows[[#This Row],[Flow_Data_Year]]</f>
        <v>F_14_00_material_2036</v>
      </c>
      <c r="U120" s="16">
        <f t="shared" si="4"/>
        <v>30</v>
      </c>
      <c r="V120" s="8" t="s">
        <v>211</v>
      </c>
      <c r="W120" s="153">
        <f>INDEX(Tab_Def_Flows[[Flow_ID]:[CC_DM_source]],MATCH(Tab_Data_Flows[[#This Row],[Flow_Name]],Tab_Def_Flows[Flow_Name],0),11)</f>
        <v>0</v>
      </c>
      <c r="X120" s="7" t="str">
        <f>Tab_Data_Flows[[#This Row],[Flow_ID]]&amp;"_"&amp;"WC_"&amp;Tab_Data_Flows[[#This Row],[Flow_Data_Year]]</f>
        <v>F_14_00_WC_2036</v>
      </c>
      <c r="Y120" s="7">
        <f>IF(D120="Yes",U120*Tab_Data_Flows[[#This Row],[WC_'[%']]],"N.A.")</f>
        <v>0</v>
      </c>
      <c r="Z120" s="7" t="str">
        <f>Tab_Data_Flows[[#This Row],[UoM_Flow_Py]]</f>
        <v>Mg</v>
      </c>
      <c r="AA120" s="153">
        <f>INDEX(Tab_Def_Flows[[Flow_ID]:[CC_DM_source]],MATCH(Tab_Data_Flows[[#This Row],[Flow_Name]],Tab_Def_Flows[Flow_Name],0),14)</f>
        <v>1</v>
      </c>
      <c r="AB120" s="7" t="str">
        <f>Tab_Data_Flows[[#This Row],[Flow_ID]]&amp;"_"&amp;"DM_"&amp;Tab_Data_Flows[[#This Row],[Flow_Data_Year]]</f>
        <v>F_14_00_DM_2036</v>
      </c>
      <c r="AC120" s="7">
        <f>IF(E120="Yes",AA120*Tab_Data_Flows[[#This Row],[Flow_Material]],"N.A.")</f>
        <v>30</v>
      </c>
      <c r="AD120" s="7" t="str">
        <f>Tab_Data_Flows[[#This Row],[UoM_Flow_Py]]</f>
        <v>Mg</v>
      </c>
      <c r="AE120" s="153">
        <f>INDEX(Tab_Def_Flows[[Flow_ID]:[CC_DM_source]],MATCH(Tab_Data_Flows[[#This Row],[Flow_Name]],Tab_Def_Flows[Flow_Name],0),17)</f>
        <v>0.1</v>
      </c>
      <c r="AF120" s="7" t="str">
        <f>Tab_Data_Flows[[#This Row],[Flow_ID]]&amp;"_"&amp;"CC_"&amp;Tab_Data_Flows[[#This Row],[Flow_Data_Year]]</f>
        <v>F_14_00_CC_2036</v>
      </c>
      <c r="AG120" s="7">
        <f>IF(F120="Yes",AE120*Tab_Data_Flows[[#This Row],[Flow_Material]]*Tab_Data_Flows[[#This Row],[DM_'[%']]],"N.A.")</f>
        <v>3</v>
      </c>
      <c r="AH120" s="7" t="str">
        <f>Tab_Data_Flows[[#This Row],[UoM_Flow_Py]]</f>
        <v>Mg</v>
      </c>
      <c r="AI120"/>
    </row>
    <row r="121" spans="1:35" x14ac:dyDescent="0.25">
      <c r="A121" s="9">
        <f t="shared" si="3"/>
        <v>120</v>
      </c>
      <c r="B121" s="7" t="str">
        <f>_xlfn.XLOOKUP(C121,Tab_Def_Flows[Flow_Name],Tab_Def_Flows[Flow_ID],,0,)</f>
        <v>F_14_00</v>
      </c>
      <c r="C121" s="8" t="s">
        <v>606</v>
      </c>
      <c r="D121" s="10" t="str">
        <f>_xlfn.XLOOKUP(C121,Tab_Def_Flows[Flow_Name],Tab_Def_Flows[WC?],,0,)</f>
        <v>Yes</v>
      </c>
      <c r="E121" s="10" t="str">
        <f>_xlfn.XLOOKUP(C121,Tab_Def_Flows[Flow_Name],Tab_Def_Flows[DM?],,0,)</f>
        <v>Yes</v>
      </c>
      <c r="F121" s="10" t="str">
        <f>_xlfn.XLOOKUP(C121,Tab_Def_Flows[Flow_Name],Tab_Def_Flows[CC?],,0,)</f>
        <v>Yes</v>
      </c>
      <c r="G121" s="8">
        <v>2037</v>
      </c>
      <c r="H121" s="26">
        <v>30</v>
      </c>
      <c r="I121" s="8"/>
      <c r="J121" s="18"/>
      <c r="K121" s="8"/>
      <c r="L121" s="8"/>
      <c r="M121" s="8"/>
      <c r="N121" s="8"/>
      <c r="O121" s="8"/>
      <c r="P121" s="8"/>
      <c r="Q121" s="8" t="s">
        <v>7</v>
      </c>
      <c r="R121" s="19"/>
      <c r="S121" s="8"/>
      <c r="T121" s="7" t="str">
        <f>Tab_Data_Flows[[#This Row],[Flow_ID]]&amp;"_"&amp;"material_"&amp;Tab_Data_Flows[[#This Row],[Flow_Data_Year]]</f>
        <v>F_14_00_material_2037</v>
      </c>
      <c r="U121" s="16">
        <f t="shared" si="4"/>
        <v>30</v>
      </c>
      <c r="V121" s="8" t="s">
        <v>211</v>
      </c>
      <c r="W121" s="153">
        <f>INDEX(Tab_Def_Flows[[Flow_ID]:[CC_DM_source]],MATCH(Tab_Data_Flows[[#This Row],[Flow_Name]],Tab_Def_Flows[Flow_Name],0),11)</f>
        <v>0</v>
      </c>
      <c r="X121" s="7" t="str">
        <f>Tab_Data_Flows[[#This Row],[Flow_ID]]&amp;"_"&amp;"WC_"&amp;Tab_Data_Flows[[#This Row],[Flow_Data_Year]]</f>
        <v>F_14_00_WC_2037</v>
      </c>
      <c r="Y121" s="7">
        <f>IF(D121="Yes",U121*Tab_Data_Flows[[#This Row],[WC_'[%']]],"N.A.")</f>
        <v>0</v>
      </c>
      <c r="Z121" s="7" t="str">
        <f>Tab_Data_Flows[[#This Row],[UoM_Flow_Py]]</f>
        <v>Mg</v>
      </c>
      <c r="AA121" s="153">
        <f>INDEX(Tab_Def_Flows[[Flow_ID]:[CC_DM_source]],MATCH(Tab_Data_Flows[[#This Row],[Flow_Name]],Tab_Def_Flows[Flow_Name],0),14)</f>
        <v>1</v>
      </c>
      <c r="AB121" s="7" t="str">
        <f>Tab_Data_Flows[[#This Row],[Flow_ID]]&amp;"_"&amp;"DM_"&amp;Tab_Data_Flows[[#This Row],[Flow_Data_Year]]</f>
        <v>F_14_00_DM_2037</v>
      </c>
      <c r="AC121" s="7">
        <f>IF(E121="Yes",AA121*Tab_Data_Flows[[#This Row],[Flow_Material]],"N.A.")</f>
        <v>30</v>
      </c>
      <c r="AD121" s="7" t="str">
        <f>Tab_Data_Flows[[#This Row],[UoM_Flow_Py]]</f>
        <v>Mg</v>
      </c>
      <c r="AE121" s="153">
        <f>INDEX(Tab_Def_Flows[[Flow_ID]:[CC_DM_source]],MATCH(Tab_Data_Flows[[#This Row],[Flow_Name]],Tab_Def_Flows[Flow_Name],0),17)</f>
        <v>0.1</v>
      </c>
      <c r="AF121" s="7" t="str">
        <f>Tab_Data_Flows[[#This Row],[Flow_ID]]&amp;"_"&amp;"CC_"&amp;Tab_Data_Flows[[#This Row],[Flow_Data_Year]]</f>
        <v>F_14_00_CC_2037</v>
      </c>
      <c r="AG121" s="7">
        <f>IF(F121="Yes",AE121*Tab_Data_Flows[[#This Row],[Flow_Material]]*Tab_Data_Flows[[#This Row],[DM_'[%']]],"N.A.")</f>
        <v>3</v>
      </c>
      <c r="AH121" s="7" t="str">
        <f>Tab_Data_Flows[[#This Row],[UoM_Flow_Py]]</f>
        <v>Mg</v>
      </c>
      <c r="AI121"/>
    </row>
    <row r="122" spans="1:35" x14ac:dyDescent="0.25">
      <c r="A122" s="9">
        <f t="shared" si="3"/>
        <v>121</v>
      </c>
      <c r="B122" s="7" t="str">
        <f>_xlfn.XLOOKUP(C122,Tab_Def_Flows[Flow_Name],Tab_Def_Flows[Flow_ID],,0,)</f>
        <v>F_14_00</v>
      </c>
      <c r="C122" s="8" t="s">
        <v>606</v>
      </c>
      <c r="D122" s="10" t="str">
        <f>_xlfn.XLOOKUP(C122,Tab_Def_Flows[Flow_Name],Tab_Def_Flows[WC?],,0,)</f>
        <v>Yes</v>
      </c>
      <c r="E122" s="10" t="str">
        <f>_xlfn.XLOOKUP(C122,Tab_Def_Flows[Flow_Name],Tab_Def_Flows[DM?],,0,)</f>
        <v>Yes</v>
      </c>
      <c r="F122" s="10" t="str">
        <f>_xlfn.XLOOKUP(C122,Tab_Def_Flows[Flow_Name],Tab_Def_Flows[CC?],,0,)</f>
        <v>Yes</v>
      </c>
      <c r="G122" s="8">
        <v>2038</v>
      </c>
      <c r="H122" s="26">
        <v>30</v>
      </c>
      <c r="I122" s="8"/>
      <c r="J122" s="18"/>
      <c r="K122" s="8"/>
      <c r="L122" s="8"/>
      <c r="M122" s="8"/>
      <c r="N122" s="8"/>
      <c r="O122" s="8"/>
      <c r="P122" s="8"/>
      <c r="Q122" s="8" t="s">
        <v>7</v>
      </c>
      <c r="R122" s="19"/>
      <c r="S122" s="8"/>
      <c r="T122" s="7" t="str">
        <f>Tab_Data_Flows[[#This Row],[Flow_ID]]&amp;"_"&amp;"material_"&amp;Tab_Data_Flows[[#This Row],[Flow_Data_Year]]</f>
        <v>F_14_00_material_2038</v>
      </c>
      <c r="U122" s="16">
        <f t="shared" si="4"/>
        <v>30</v>
      </c>
      <c r="V122" s="8" t="s">
        <v>211</v>
      </c>
      <c r="W122" s="153">
        <f>INDEX(Tab_Def_Flows[[Flow_ID]:[CC_DM_source]],MATCH(Tab_Data_Flows[[#This Row],[Flow_Name]],Tab_Def_Flows[Flow_Name],0),11)</f>
        <v>0</v>
      </c>
      <c r="X122" s="7" t="str">
        <f>Tab_Data_Flows[[#This Row],[Flow_ID]]&amp;"_"&amp;"WC_"&amp;Tab_Data_Flows[[#This Row],[Flow_Data_Year]]</f>
        <v>F_14_00_WC_2038</v>
      </c>
      <c r="Y122" s="7">
        <f>IF(D122="Yes",U122*Tab_Data_Flows[[#This Row],[WC_'[%']]],"N.A.")</f>
        <v>0</v>
      </c>
      <c r="Z122" s="7" t="str">
        <f>Tab_Data_Flows[[#This Row],[UoM_Flow_Py]]</f>
        <v>Mg</v>
      </c>
      <c r="AA122" s="153">
        <f>INDEX(Tab_Def_Flows[[Flow_ID]:[CC_DM_source]],MATCH(Tab_Data_Flows[[#This Row],[Flow_Name]],Tab_Def_Flows[Flow_Name],0),14)</f>
        <v>1</v>
      </c>
      <c r="AB122" s="7" t="str">
        <f>Tab_Data_Flows[[#This Row],[Flow_ID]]&amp;"_"&amp;"DM_"&amp;Tab_Data_Flows[[#This Row],[Flow_Data_Year]]</f>
        <v>F_14_00_DM_2038</v>
      </c>
      <c r="AC122" s="7">
        <f>IF(E122="Yes",AA122*Tab_Data_Flows[[#This Row],[Flow_Material]],"N.A.")</f>
        <v>30</v>
      </c>
      <c r="AD122" s="7" t="str">
        <f>Tab_Data_Flows[[#This Row],[UoM_Flow_Py]]</f>
        <v>Mg</v>
      </c>
      <c r="AE122" s="153">
        <f>INDEX(Tab_Def_Flows[[Flow_ID]:[CC_DM_source]],MATCH(Tab_Data_Flows[[#This Row],[Flow_Name]],Tab_Def_Flows[Flow_Name],0),17)</f>
        <v>0.1</v>
      </c>
      <c r="AF122" s="7" t="str">
        <f>Tab_Data_Flows[[#This Row],[Flow_ID]]&amp;"_"&amp;"CC_"&amp;Tab_Data_Flows[[#This Row],[Flow_Data_Year]]</f>
        <v>F_14_00_CC_2038</v>
      </c>
      <c r="AG122" s="7">
        <f>IF(F122="Yes",AE122*Tab_Data_Flows[[#This Row],[Flow_Material]]*Tab_Data_Flows[[#This Row],[DM_'[%']]],"N.A.")</f>
        <v>3</v>
      </c>
      <c r="AH122" s="7" t="str">
        <f>Tab_Data_Flows[[#This Row],[UoM_Flow_Py]]</f>
        <v>Mg</v>
      </c>
      <c r="AI122"/>
    </row>
    <row r="123" spans="1:35" x14ac:dyDescent="0.25">
      <c r="A123" s="9">
        <f t="shared" si="3"/>
        <v>122</v>
      </c>
      <c r="B123" s="7" t="str">
        <f>_xlfn.XLOOKUP(C123,Tab_Def_Flows[Flow_Name],Tab_Def_Flows[Flow_ID],,0,)</f>
        <v>F_14_00</v>
      </c>
      <c r="C123" s="8" t="s">
        <v>606</v>
      </c>
      <c r="D123" s="10" t="str">
        <f>_xlfn.XLOOKUP(C123,Tab_Def_Flows[Flow_Name],Tab_Def_Flows[WC?],,0,)</f>
        <v>Yes</v>
      </c>
      <c r="E123" s="10" t="str">
        <f>_xlfn.XLOOKUP(C123,Tab_Def_Flows[Flow_Name],Tab_Def_Flows[DM?],,0,)</f>
        <v>Yes</v>
      </c>
      <c r="F123" s="10" t="str">
        <f>_xlfn.XLOOKUP(C123,Tab_Def_Flows[Flow_Name],Tab_Def_Flows[CC?],,0,)</f>
        <v>Yes</v>
      </c>
      <c r="G123" s="8">
        <v>2039</v>
      </c>
      <c r="H123" s="26">
        <v>30</v>
      </c>
      <c r="I123" s="8"/>
      <c r="J123" s="18"/>
      <c r="K123" s="8"/>
      <c r="L123" s="8"/>
      <c r="M123" s="8"/>
      <c r="N123" s="8"/>
      <c r="O123" s="8"/>
      <c r="P123" s="8"/>
      <c r="Q123" s="8" t="s">
        <v>7</v>
      </c>
      <c r="R123" s="19"/>
      <c r="S123" s="8"/>
      <c r="T123" s="7" t="str">
        <f>Tab_Data_Flows[[#This Row],[Flow_ID]]&amp;"_"&amp;"material_"&amp;Tab_Data_Flows[[#This Row],[Flow_Data_Year]]</f>
        <v>F_14_00_material_2039</v>
      </c>
      <c r="U123" s="16">
        <f t="shared" si="4"/>
        <v>30</v>
      </c>
      <c r="V123" s="8" t="s">
        <v>211</v>
      </c>
      <c r="W123" s="153">
        <f>INDEX(Tab_Def_Flows[[Flow_ID]:[CC_DM_source]],MATCH(Tab_Data_Flows[[#This Row],[Flow_Name]],Tab_Def_Flows[Flow_Name],0),11)</f>
        <v>0</v>
      </c>
      <c r="X123" s="7" t="str">
        <f>Tab_Data_Flows[[#This Row],[Flow_ID]]&amp;"_"&amp;"WC_"&amp;Tab_Data_Flows[[#This Row],[Flow_Data_Year]]</f>
        <v>F_14_00_WC_2039</v>
      </c>
      <c r="Y123" s="7">
        <f>IF(D123="Yes",U123*Tab_Data_Flows[[#This Row],[WC_'[%']]],"N.A.")</f>
        <v>0</v>
      </c>
      <c r="Z123" s="7" t="str">
        <f>Tab_Data_Flows[[#This Row],[UoM_Flow_Py]]</f>
        <v>Mg</v>
      </c>
      <c r="AA123" s="153">
        <f>INDEX(Tab_Def_Flows[[Flow_ID]:[CC_DM_source]],MATCH(Tab_Data_Flows[[#This Row],[Flow_Name]],Tab_Def_Flows[Flow_Name],0),14)</f>
        <v>1</v>
      </c>
      <c r="AB123" s="7" t="str">
        <f>Tab_Data_Flows[[#This Row],[Flow_ID]]&amp;"_"&amp;"DM_"&amp;Tab_Data_Flows[[#This Row],[Flow_Data_Year]]</f>
        <v>F_14_00_DM_2039</v>
      </c>
      <c r="AC123" s="7">
        <f>IF(E123="Yes",AA123*Tab_Data_Flows[[#This Row],[Flow_Material]],"N.A.")</f>
        <v>30</v>
      </c>
      <c r="AD123" s="7" t="str">
        <f>Tab_Data_Flows[[#This Row],[UoM_Flow_Py]]</f>
        <v>Mg</v>
      </c>
      <c r="AE123" s="153">
        <f>INDEX(Tab_Def_Flows[[Flow_ID]:[CC_DM_source]],MATCH(Tab_Data_Flows[[#This Row],[Flow_Name]],Tab_Def_Flows[Flow_Name],0),17)</f>
        <v>0.1</v>
      </c>
      <c r="AF123" s="7" t="str">
        <f>Tab_Data_Flows[[#This Row],[Flow_ID]]&amp;"_"&amp;"CC_"&amp;Tab_Data_Flows[[#This Row],[Flow_Data_Year]]</f>
        <v>F_14_00_CC_2039</v>
      </c>
      <c r="AG123" s="7">
        <f>IF(F123="Yes",AE123*Tab_Data_Flows[[#This Row],[Flow_Material]]*Tab_Data_Flows[[#This Row],[DM_'[%']]],"N.A.")</f>
        <v>3</v>
      </c>
      <c r="AH123" s="7" t="str">
        <f>Tab_Data_Flows[[#This Row],[UoM_Flow_Py]]</f>
        <v>Mg</v>
      </c>
      <c r="AI123"/>
    </row>
    <row r="124" spans="1:35" x14ac:dyDescent="0.25">
      <c r="A124" s="9">
        <f t="shared" si="3"/>
        <v>123</v>
      </c>
      <c r="B124" s="7" t="str">
        <f>_xlfn.XLOOKUP(C124,Tab_Def_Flows[Flow_Name],Tab_Def_Flows[Flow_ID],,0,)</f>
        <v>F_14_00</v>
      </c>
      <c r="C124" s="8" t="s">
        <v>606</v>
      </c>
      <c r="D124" s="10" t="str">
        <f>_xlfn.XLOOKUP(C124,Tab_Def_Flows[Flow_Name],Tab_Def_Flows[WC?],,0,)</f>
        <v>Yes</v>
      </c>
      <c r="E124" s="10" t="str">
        <f>_xlfn.XLOOKUP(C124,Tab_Def_Flows[Flow_Name],Tab_Def_Flows[DM?],,0,)</f>
        <v>Yes</v>
      </c>
      <c r="F124" s="10" t="str">
        <f>_xlfn.XLOOKUP(C124,Tab_Def_Flows[Flow_Name],Tab_Def_Flows[CC?],,0,)</f>
        <v>Yes</v>
      </c>
      <c r="G124" s="8">
        <v>2040</v>
      </c>
      <c r="H124" s="26">
        <v>30</v>
      </c>
      <c r="I124" s="8"/>
      <c r="J124" s="18"/>
      <c r="K124" s="8"/>
      <c r="L124" s="8"/>
      <c r="M124" s="8"/>
      <c r="N124" s="8"/>
      <c r="O124" s="8"/>
      <c r="P124" s="8"/>
      <c r="Q124" s="8" t="s">
        <v>7</v>
      </c>
      <c r="R124" s="19"/>
      <c r="S124" s="8"/>
      <c r="T124" s="7" t="str">
        <f>Tab_Data_Flows[[#This Row],[Flow_ID]]&amp;"_"&amp;"material_"&amp;Tab_Data_Flows[[#This Row],[Flow_Data_Year]]</f>
        <v>F_14_00_material_2040</v>
      </c>
      <c r="U124" s="16">
        <f t="shared" si="4"/>
        <v>30</v>
      </c>
      <c r="V124" s="8" t="s">
        <v>211</v>
      </c>
      <c r="W124" s="153">
        <f>INDEX(Tab_Def_Flows[[Flow_ID]:[CC_DM_source]],MATCH(Tab_Data_Flows[[#This Row],[Flow_Name]],Tab_Def_Flows[Flow_Name],0),11)</f>
        <v>0</v>
      </c>
      <c r="X124" s="7" t="str">
        <f>Tab_Data_Flows[[#This Row],[Flow_ID]]&amp;"_"&amp;"WC_"&amp;Tab_Data_Flows[[#This Row],[Flow_Data_Year]]</f>
        <v>F_14_00_WC_2040</v>
      </c>
      <c r="Y124" s="7">
        <f>IF(D124="Yes",U124*Tab_Data_Flows[[#This Row],[WC_'[%']]],"N.A.")</f>
        <v>0</v>
      </c>
      <c r="Z124" s="7" t="str">
        <f>Tab_Data_Flows[[#This Row],[UoM_Flow_Py]]</f>
        <v>Mg</v>
      </c>
      <c r="AA124" s="153">
        <f>INDEX(Tab_Def_Flows[[Flow_ID]:[CC_DM_source]],MATCH(Tab_Data_Flows[[#This Row],[Flow_Name]],Tab_Def_Flows[Flow_Name],0),14)</f>
        <v>1</v>
      </c>
      <c r="AB124" s="7" t="str">
        <f>Tab_Data_Flows[[#This Row],[Flow_ID]]&amp;"_"&amp;"DM_"&amp;Tab_Data_Flows[[#This Row],[Flow_Data_Year]]</f>
        <v>F_14_00_DM_2040</v>
      </c>
      <c r="AC124" s="7">
        <f>IF(E124="Yes",AA124*Tab_Data_Flows[[#This Row],[Flow_Material]],"N.A.")</f>
        <v>30</v>
      </c>
      <c r="AD124" s="7" t="str">
        <f>Tab_Data_Flows[[#This Row],[UoM_Flow_Py]]</f>
        <v>Mg</v>
      </c>
      <c r="AE124" s="153">
        <f>INDEX(Tab_Def_Flows[[Flow_ID]:[CC_DM_source]],MATCH(Tab_Data_Flows[[#This Row],[Flow_Name]],Tab_Def_Flows[Flow_Name],0),17)</f>
        <v>0.1</v>
      </c>
      <c r="AF124" s="7" t="str">
        <f>Tab_Data_Flows[[#This Row],[Flow_ID]]&amp;"_"&amp;"CC_"&amp;Tab_Data_Flows[[#This Row],[Flow_Data_Year]]</f>
        <v>F_14_00_CC_2040</v>
      </c>
      <c r="AG124" s="7">
        <f>IF(F124="Yes",AE124*Tab_Data_Flows[[#This Row],[Flow_Material]]*Tab_Data_Flows[[#This Row],[DM_'[%']]],"N.A.")</f>
        <v>3</v>
      </c>
      <c r="AH124" s="7" t="str">
        <f>Tab_Data_Flows[[#This Row],[UoM_Flow_Py]]</f>
        <v>Mg</v>
      </c>
      <c r="AI124"/>
    </row>
    <row r="125" spans="1:35" x14ac:dyDescent="0.25">
      <c r="A125" s="9">
        <f t="shared" si="3"/>
        <v>124</v>
      </c>
      <c r="B125" s="7" t="str">
        <f>_xlfn.XLOOKUP(C125,Tab_Def_Flows[Flow_Name],Tab_Def_Flows[Flow_ID],,0,)</f>
        <v>F_03_07</v>
      </c>
      <c r="C125" s="8" t="s">
        <v>613</v>
      </c>
      <c r="D125" s="10" t="str">
        <f>_xlfn.XLOOKUP(C125,Tab_Def_Flows[Flow_Name],Tab_Def_Flows[WC?],,0,)</f>
        <v>Yes</v>
      </c>
      <c r="E125" s="10" t="str">
        <f>_xlfn.XLOOKUP(C125,Tab_Def_Flows[Flow_Name],Tab_Def_Flows[DM?],,0,)</f>
        <v>Yes</v>
      </c>
      <c r="F125" s="10" t="str">
        <f>_xlfn.XLOOKUP(C125,Tab_Def_Flows[Flow_Name],Tab_Def_Flows[CC?],,0,)</f>
        <v>Yes</v>
      </c>
      <c r="G125" s="8">
        <v>2000</v>
      </c>
      <c r="H125" s="26">
        <v>50</v>
      </c>
      <c r="I125" s="8"/>
      <c r="J125" s="18"/>
      <c r="K125" s="8" t="e">
        <f>INDEX(#REF!,MATCH(Tab_Data_Flows[[#This Row],[Flow_Name]],#REF!,0),12)</f>
        <v>#REF!</v>
      </c>
      <c r="L125" s="8" t="e">
        <f>MATCH(Tab_Data_Flows[[#This Row],[Flow_Name]],#REF!,0)</f>
        <v>#REF!</v>
      </c>
      <c r="M125" s="8"/>
      <c r="N125" s="8"/>
      <c r="O125" s="8"/>
      <c r="P125" s="8"/>
      <c r="Q125" s="8" t="s">
        <v>7</v>
      </c>
      <c r="R125" s="8"/>
      <c r="S125" s="8"/>
      <c r="T125" s="7" t="str">
        <f>Tab_Data_Flows[[#This Row],[Flow_ID]]&amp;"_"&amp;"material_"&amp;Tab_Data_Flows[[#This Row],[Flow_Data_Year]]</f>
        <v>F_03_07_material_2000</v>
      </c>
      <c r="U125" s="16">
        <f t="shared" si="4"/>
        <v>50</v>
      </c>
      <c r="V125" s="8" t="s">
        <v>211</v>
      </c>
      <c r="W125" s="153">
        <f>INDEX(Tab_Def_Flows[[Flow_ID]:[CC_DM_source]],MATCH(Tab_Data_Flows[[#This Row],[Flow_Name]],Tab_Def_Flows[Flow_Name],0),11)</f>
        <v>0</v>
      </c>
      <c r="X125" s="7" t="str">
        <f>Tab_Data_Flows[[#This Row],[Flow_ID]]&amp;"_"&amp;"WC_"&amp;Tab_Data_Flows[[#This Row],[Flow_Data_Year]]</f>
        <v>F_03_07_WC_2000</v>
      </c>
      <c r="Y125" s="7">
        <f>IF(D125="Yes",U125*Tab_Data_Flows[[#This Row],[WC_'[%']]],"N.A.")</f>
        <v>0</v>
      </c>
      <c r="Z125" s="7" t="str">
        <f>Tab_Data_Flows[[#This Row],[UoM_Flow_Py]]</f>
        <v>Mg</v>
      </c>
      <c r="AA125" s="153">
        <f>INDEX(Tab_Def_Flows[[Flow_ID]:[CC_DM_source]],MATCH(Tab_Data_Flows[[#This Row],[Flow_Name]],Tab_Def_Flows[Flow_Name],0),14)</f>
        <v>0</v>
      </c>
      <c r="AB125" s="7" t="str">
        <f>Tab_Data_Flows[[#This Row],[Flow_ID]]&amp;"_"&amp;"DM_"&amp;Tab_Data_Flows[[#This Row],[Flow_Data_Year]]</f>
        <v>F_03_07_DM_2000</v>
      </c>
      <c r="AC125" s="7">
        <f>IF(E125="Yes",AA125*Tab_Data_Flows[[#This Row],[Flow_Material]],"N.A.")</f>
        <v>0</v>
      </c>
      <c r="AD125" s="7" t="str">
        <f>Tab_Data_Flows[[#This Row],[UoM_Flow_Py]]</f>
        <v>Mg</v>
      </c>
      <c r="AE125" s="153">
        <f>INDEX(Tab_Def_Flows[[Flow_ID]:[CC_DM_source]],MATCH(Tab_Data_Flows[[#This Row],[Flow_Name]],Tab_Def_Flows[Flow_Name],0),17)</f>
        <v>0</v>
      </c>
      <c r="AF125" s="7" t="str">
        <f>Tab_Data_Flows[[#This Row],[Flow_ID]]&amp;"_"&amp;"CC_"&amp;Tab_Data_Flows[[#This Row],[Flow_Data_Year]]</f>
        <v>F_03_07_CC_2000</v>
      </c>
      <c r="AG125" s="7">
        <f>IF(F125="Yes",AE125*Tab_Data_Flows[[#This Row],[Flow_Material]]*Tab_Data_Flows[[#This Row],[DM_'[%']]],"N.A.")</f>
        <v>0</v>
      </c>
      <c r="AH125" s="7" t="str">
        <f>Tab_Data_Flows[[#This Row],[UoM_Flow_Py]]</f>
        <v>Mg</v>
      </c>
      <c r="AI125"/>
    </row>
    <row r="126" spans="1:35" x14ac:dyDescent="0.25">
      <c r="A126" s="9">
        <f t="shared" si="3"/>
        <v>125</v>
      </c>
      <c r="B126" s="7" t="str">
        <f>_xlfn.XLOOKUP(C126,Tab_Def_Flows[Flow_Name],Tab_Def_Flows[Flow_ID],,0,)</f>
        <v>F_03_07</v>
      </c>
      <c r="C126" s="8" t="s">
        <v>613</v>
      </c>
      <c r="D126" s="10" t="str">
        <f>_xlfn.XLOOKUP(C126,Tab_Def_Flows[Flow_Name],Tab_Def_Flows[WC?],,0,)</f>
        <v>Yes</v>
      </c>
      <c r="E126" s="10" t="str">
        <f>_xlfn.XLOOKUP(C126,Tab_Def_Flows[Flow_Name],Tab_Def_Flows[DM?],,0,)</f>
        <v>Yes</v>
      </c>
      <c r="F126" s="10" t="str">
        <f>_xlfn.XLOOKUP(C126,Tab_Def_Flows[Flow_Name],Tab_Def_Flows[CC?],,0,)</f>
        <v>Yes</v>
      </c>
      <c r="G126" s="8">
        <v>2001</v>
      </c>
      <c r="H126" s="26">
        <v>50</v>
      </c>
      <c r="I126" s="8"/>
      <c r="J126" s="18"/>
      <c r="K126" s="8" t="e">
        <f>INDEX(#REF!,MATCH(Tab_Data_Flows[[#This Row],[Flow_Name]],#REF!,0),12)</f>
        <v>#REF!</v>
      </c>
      <c r="L126" s="8" t="e">
        <f>MATCH(Tab_Data_Flows[[#This Row],[Flow_Name]],#REF!,0)</f>
        <v>#REF!</v>
      </c>
      <c r="M126" s="8"/>
      <c r="N126" s="8"/>
      <c r="O126" s="8"/>
      <c r="P126" s="8"/>
      <c r="Q126" s="8" t="s">
        <v>7</v>
      </c>
      <c r="R126" s="8"/>
      <c r="S126" s="8"/>
      <c r="T126" s="7" t="str">
        <f>Tab_Data_Flows[[#This Row],[Flow_ID]]&amp;"_"&amp;"material_"&amp;Tab_Data_Flows[[#This Row],[Flow_Data_Year]]</f>
        <v>F_03_07_material_2001</v>
      </c>
      <c r="U126" s="16">
        <f t="shared" si="4"/>
        <v>50</v>
      </c>
      <c r="V126" s="8" t="s">
        <v>211</v>
      </c>
      <c r="W126" s="153">
        <f>INDEX(Tab_Def_Flows[[Flow_ID]:[CC_DM_source]],MATCH(Tab_Data_Flows[[#This Row],[Flow_Name]],Tab_Def_Flows[Flow_Name],0),11)</f>
        <v>0</v>
      </c>
      <c r="X126" s="7" t="str">
        <f>Tab_Data_Flows[[#This Row],[Flow_ID]]&amp;"_"&amp;"WC_"&amp;Tab_Data_Flows[[#This Row],[Flow_Data_Year]]</f>
        <v>F_03_07_WC_2001</v>
      </c>
      <c r="Y126" s="7">
        <f>IF(D126="Yes",U126*Tab_Data_Flows[[#This Row],[WC_'[%']]],"N.A.")</f>
        <v>0</v>
      </c>
      <c r="Z126" s="7" t="str">
        <f>Tab_Data_Flows[[#This Row],[UoM_Flow_Py]]</f>
        <v>Mg</v>
      </c>
      <c r="AA126" s="153">
        <f>INDEX(Tab_Def_Flows[[Flow_ID]:[CC_DM_source]],MATCH(Tab_Data_Flows[[#This Row],[Flow_Name]],Tab_Def_Flows[Flow_Name],0),14)</f>
        <v>0</v>
      </c>
      <c r="AB126" s="7" t="str">
        <f>Tab_Data_Flows[[#This Row],[Flow_ID]]&amp;"_"&amp;"DM_"&amp;Tab_Data_Flows[[#This Row],[Flow_Data_Year]]</f>
        <v>F_03_07_DM_2001</v>
      </c>
      <c r="AC126" s="7">
        <f>IF(E126="Yes",AA126*Tab_Data_Flows[[#This Row],[Flow_Material]],"N.A.")</f>
        <v>0</v>
      </c>
      <c r="AD126" s="7" t="str">
        <f>Tab_Data_Flows[[#This Row],[UoM_Flow_Py]]</f>
        <v>Mg</v>
      </c>
      <c r="AE126" s="153">
        <f>INDEX(Tab_Def_Flows[[Flow_ID]:[CC_DM_source]],MATCH(Tab_Data_Flows[[#This Row],[Flow_Name]],Tab_Def_Flows[Flow_Name],0),17)</f>
        <v>0</v>
      </c>
      <c r="AF126" s="7" t="str">
        <f>Tab_Data_Flows[[#This Row],[Flow_ID]]&amp;"_"&amp;"CC_"&amp;Tab_Data_Flows[[#This Row],[Flow_Data_Year]]</f>
        <v>F_03_07_CC_2001</v>
      </c>
      <c r="AG126" s="7">
        <f>IF(F126="Yes",AE126*Tab_Data_Flows[[#This Row],[Flow_Material]]*Tab_Data_Flows[[#This Row],[DM_'[%']]],"N.A.")</f>
        <v>0</v>
      </c>
      <c r="AH126" s="7" t="str">
        <f>Tab_Data_Flows[[#This Row],[UoM_Flow_Py]]</f>
        <v>Mg</v>
      </c>
      <c r="AI126"/>
    </row>
    <row r="127" spans="1:35" x14ac:dyDescent="0.25">
      <c r="A127" s="9">
        <f t="shared" si="3"/>
        <v>126</v>
      </c>
      <c r="B127" s="7" t="str">
        <f>_xlfn.XLOOKUP(C127,Tab_Def_Flows[Flow_Name],Tab_Def_Flows[Flow_ID],,0,)</f>
        <v>F_03_07</v>
      </c>
      <c r="C127" s="8" t="s">
        <v>613</v>
      </c>
      <c r="D127" s="10" t="str">
        <f>_xlfn.XLOOKUP(C127,Tab_Def_Flows[Flow_Name],Tab_Def_Flows[WC?],,0,)</f>
        <v>Yes</v>
      </c>
      <c r="E127" s="10" t="str">
        <f>_xlfn.XLOOKUP(C127,Tab_Def_Flows[Flow_Name],Tab_Def_Flows[DM?],,0,)</f>
        <v>Yes</v>
      </c>
      <c r="F127" s="10" t="str">
        <f>_xlfn.XLOOKUP(C127,Tab_Def_Flows[Flow_Name],Tab_Def_Flows[CC?],,0,)</f>
        <v>Yes</v>
      </c>
      <c r="G127" s="8">
        <v>2002</v>
      </c>
      <c r="H127" s="26">
        <v>50</v>
      </c>
      <c r="I127" s="8"/>
      <c r="J127" s="18"/>
      <c r="K127" s="8" t="e">
        <f>INDEX(#REF!,MATCH(Tab_Data_Flows[[#This Row],[Flow_Name]],#REF!,0),12)</f>
        <v>#REF!</v>
      </c>
      <c r="L127" s="8" t="e">
        <f>MATCH(Tab_Data_Flows[[#This Row],[Flow_Name]],#REF!,0)</f>
        <v>#REF!</v>
      </c>
      <c r="M127" s="8"/>
      <c r="N127" s="8"/>
      <c r="O127" s="8"/>
      <c r="P127" s="8"/>
      <c r="Q127" s="8" t="s">
        <v>7</v>
      </c>
      <c r="R127" s="8"/>
      <c r="S127" s="8"/>
      <c r="T127" s="7" t="str">
        <f>Tab_Data_Flows[[#This Row],[Flow_ID]]&amp;"_"&amp;"material_"&amp;Tab_Data_Flows[[#This Row],[Flow_Data_Year]]</f>
        <v>F_03_07_material_2002</v>
      </c>
      <c r="U127" s="16">
        <f t="shared" si="4"/>
        <v>50</v>
      </c>
      <c r="V127" s="8" t="s">
        <v>211</v>
      </c>
      <c r="W127" s="153">
        <f>INDEX(Tab_Def_Flows[[Flow_ID]:[CC_DM_source]],MATCH(Tab_Data_Flows[[#This Row],[Flow_Name]],Tab_Def_Flows[Flow_Name],0),11)</f>
        <v>0</v>
      </c>
      <c r="X127" s="7" t="str">
        <f>Tab_Data_Flows[[#This Row],[Flow_ID]]&amp;"_"&amp;"WC_"&amp;Tab_Data_Flows[[#This Row],[Flow_Data_Year]]</f>
        <v>F_03_07_WC_2002</v>
      </c>
      <c r="Y127" s="7">
        <f>IF(D127="Yes",U127*Tab_Data_Flows[[#This Row],[WC_'[%']]],"N.A.")</f>
        <v>0</v>
      </c>
      <c r="Z127" s="7" t="str">
        <f>Tab_Data_Flows[[#This Row],[UoM_Flow_Py]]</f>
        <v>Mg</v>
      </c>
      <c r="AA127" s="153">
        <f>INDEX(Tab_Def_Flows[[Flow_ID]:[CC_DM_source]],MATCH(Tab_Data_Flows[[#This Row],[Flow_Name]],Tab_Def_Flows[Flow_Name],0),14)</f>
        <v>0</v>
      </c>
      <c r="AB127" s="7" t="str">
        <f>Tab_Data_Flows[[#This Row],[Flow_ID]]&amp;"_"&amp;"DM_"&amp;Tab_Data_Flows[[#This Row],[Flow_Data_Year]]</f>
        <v>F_03_07_DM_2002</v>
      </c>
      <c r="AC127" s="7">
        <f>IF(E127="Yes",AA127*Tab_Data_Flows[[#This Row],[Flow_Material]],"N.A.")</f>
        <v>0</v>
      </c>
      <c r="AD127" s="7" t="str">
        <f>Tab_Data_Flows[[#This Row],[UoM_Flow_Py]]</f>
        <v>Mg</v>
      </c>
      <c r="AE127" s="153">
        <f>INDEX(Tab_Def_Flows[[Flow_ID]:[CC_DM_source]],MATCH(Tab_Data_Flows[[#This Row],[Flow_Name]],Tab_Def_Flows[Flow_Name],0),17)</f>
        <v>0</v>
      </c>
      <c r="AF127" s="7" t="str">
        <f>Tab_Data_Flows[[#This Row],[Flow_ID]]&amp;"_"&amp;"CC_"&amp;Tab_Data_Flows[[#This Row],[Flow_Data_Year]]</f>
        <v>F_03_07_CC_2002</v>
      </c>
      <c r="AG127" s="7">
        <f>IF(F127="Yes",AE127*Tab_Data_Flows[[#This Row],[Flow_Material]]*Tab_Data_Flows[[#This Row],[DM_'[%']]],"N.A.")</f>
        <v>0</v>
      </c>
      <c r="AH127" s="7" t="str">
        <f>Tab_Data_Flows[[#This Row],[UoM_Flow_Py]]</f>
        <v>Mg</v>
      </c>
      <c r="AI127"/>
    </row>
    <row r="128" spans="1:35" x14ac:dyDescent="0.25">
      <c r="A128" s="9">
        <f t="shared" si="3"/>
        <v>127</v>
      </c>
      <c r="B128" s="7" t="str">
        <f>_xlfn.XLOOKUP(C128,Tab_Def_Flows[Flow_Name],Tab_Def_Flows[Flow_ID],,0,)</f>
        <v>F_03_07</v>
      </c>
      <c r="C128" s="8" t="s">
        <v>613</v>
      </c>
      <c r="D128" s="10" t="str">
        <f>_xlfn.XLOOKUP(C128,Tab_Def_Flows[Flow_Name],Tab_Def_Flows[WC?],,0,)</f>
        <v>Yes</v>
      </c>
      <c r="E128" s="10" t="str">
        <f>_xlfn.XLOOKUP(C128,Tab_Def_Flows[Flow_Name],Tab_Def_Flows[DM?],,0,)</f>
        <v>Yes</v>
      </c>
      <c r="F128" s="10" t="str">
        <f>_xlfn.XLOOKUP(C128,Tab_Def_Flows[Flow_Name],Tab_Def_Flows[CC?],,0,)</f>
        <v>Yes</v>
      </c>
      <c r="G128" s="8">
        <v>2003</v>
      </c>
      <c r="H128" s="26">
        <v>50</v>
      </c>
      <c r="I128" s="8"/>
      <c r="J128" s="18"/>
      <c r="K128" s="8" t="e">
        <f>INDEX(#REF!,MATCH(Tab_Data_Flows[[#This Row],[Flow_Name]],#REF!,0),12)</f>
        <v>#REF!</v>
      </c>
      <c r="L128" s="8" t="e">
        <f>MATCH(Tab_Data_Flows[[#This Row],[Flow_Name]],#REF!,0)</f>
        <v>#REF!</v>
      </c>
      <c r="M128" s="8"/>
      <c r="N128" s="8"/>
      <c r="O128" s="8"/>
      <c r="P128" s="8"/>
      <c r="Q128" s="8" t="s">
        <v>7</v>
      </c>
      <c r="R128" s="8"/>
      <c r="S128" s="8"/>
      <c r="T128" s="7" t="str">
        <f>Tab_Data_Flows[[#This Row],[Flow_ID]]&amp;"_"&amp;"material_"&amp;Tab_Data_Flows[[#This Row],[Flow_Data_Year]]</f>
        <v>F_03_07_material_2003</v>
      </c>
      <c r="U128" s="16">
        <f t="shared" si="4"/>
        <v>50</v>
      </c>
      <c r="V128" s="8" t="s">
        <v>211</v>
      </c>
      <c r="W128" s="153">
        <f>INDEX(Tab_Def_Flows[[Flow_ID]:[CC_DM_source]],MATCH(Tab_Data_Flows[[#This Row],[Flow_Name]],Tab_Def_Flows[Flow_Name],0),11)</f>
        <v>0</v>
      </c>
      <c r="X128" s="7" t="str">
        <f>Tab_Data_Flows[[#This Row],[Flow_ID]]&amp;"_"&amp;"WC_"&amp;Tab_Data_Flows[[#This Row],[Flow_Data_Year]]</f>
        <v>F_03_07_WC_2003</v>
      </c>
      <c r="Y128" s="7">
        <f>IF(D128="Yes",U128*Tab_Data_Flows[[#This Row],[WC_'[%']]],"N.A.")</f>
        <v>0</v>
      </c>
      <c r="Z128" s="7" t="str">
        <f>Tab_Data_Flows[[#This Row],[UoM_Flow_Py]]</f>
        <v>Mg</v>
      </c>
      <c r="AA128" s="153">
        <f>INDEX(Tab_Def_Flows[[Flow_ID]:[CC_DM_source]],MATCH(Tab_Data_Flows[[#This Row],[Flow_Name]],Tab_Def_Flows[Flow_Name],0),14)</f>
        <v>0</v>
      </c>
      <c r="AB128" s="7" t="str">
        <f>Tab_Data_Flows[[#This Row],[Flow_ID]]&amp;"_"&amp;"DM_"&amp;Tab_Data_Flows[[#This Row],[Flow_Data_Year]]</f>
        <v>F_03_07_DM_2003</v>
      </c>
      <c r="AC128" s="7">
        <f>IF(E128="Yes",AA128*Tab_Data_Flows[[#This Row],[Flow_Material]],"N.A.")</f>
        <v>0</v>
      </c>
      <c r="AD128" s="7" t="str">
        <f>Tab_Data_Flows[[#This Row],[UoM_Flow_Py]]</f>
        <v>Mg</v>
      </c>
      <c r="AE128" s="153">
        <f>INDEX(Tab_Def_Flows[[Flow_ID]:[CC_DM_source]],MATCH(Tab_Data_Flows[[#This Row],[Flow_Name]],Tab_Def_Flows[Flow_Name],0),17)</f>
        <v>0</v>
      </c>
      <c r="AF128" s="7" t="str">
        <f>Tab_Data_Flows[[#This Row],[Flow_ID]]&amp;"_"&amp;"CC_"&amp;Tab_Data_Flows[[#This Row],[Flow_Data_Year]]</f>
        <v>F_03_07_CC_2003</v>
      </c>
      <c r="AG128" s="7">
        <f>IF(F128="Yes",AE128*Tab_Data_Flows[[#This Row],[Flow_Material]]*Tab_Data_Flows[[#This Row],[DM_'[%']]],"N.A.")</f>
        <v>0</v>
      </c>
      <c r="AH128" s="7" t="str">
        <f>Tab_Data_Flows[[#This Row],[UoM_Flow_Py]]</f>
        <v>Mg</v>
      </c>
      <c r="AI128"/>
    </row>
    <row r="129" spans="1:35" x14ac:dyDescent="0.25">
      <c r="A129" s="9">
        <f t="shared" si="3"/>
        <v>128</v>
      </c>
      <c r="B129" s="7" t="str">
        <f>_xlfn.XLOOKUP(C129,Tab_Def_Flows[Flow_Name],Tab_Def_Flows[Flow_ID],,0,)</f>
        <v>F_03_07</v>
      </c>
      <c r="C129" s="8" t="s">
        <v>613</v>
      </c>
      <c r="D129" s="10" t="str">
        <f>_xlfn.XLOOKUP(C129,Tab_Def_Flows[Flow_Name],Tab_Def_Flows[WC?],,0,)</f>
        <v>Yes</v>
      </c>
      <c r="E129" s="10" t="str">
        <f>_xlfn.XLOOKUP(C129,Tab_Def_Flows[Flow_Name],Tab_Def_Flows[DM?],,0,)</f>
        <v>Yes</v>
      </c>
      <c r="F129" s="10" t="str">
        <f>_xlfn.XLOOKUP(C129,Tab_Def_Flows[Flow_Name],Tab_Def_Flows[CC?],,0,)</f>
        <v>Yes</v>
      </c>
      <c r="G129" s="8">
        <v>2004</v>
      </c>
      <c r="H129" s="26">
        <v>50</v>
      </c>
      <c r="I129" s="8"/>
      <c r="J129" s="18"/>
      <c r="K129" s="8" t="e">
        <f>INDEX(#REF!,MATCH(Tab_Data_Flows[[#This Row],[Flow_Name]],#REF!,0),12)</f>
        <v>#REF!</v>
      </c>
      <c r="L129" s="8" t="e">
        <f>MATCH(Tab_Data_Flows[[#This Row],[Flow_Name]],#REF!,0)</f>
        <v>#REF!</v>
      </c>
      <c r="M129" s="8"/>
      <c r="N129" s="8"/>
      <c r="O129" s="8"/>
      <c r="P129" s="8"/>
      <c r="Q129" s="8" t="s">
        <v>7</v>
      </c>
      <c r="R129" s="8"/>
      <c r="S129" s="8"/>
      <c r="T129" s="7" t="str">
        <f>Tab_Data_Flows[[#This Row],[Flow_ID]]&amp;"_"&amp;"material_"&amp;Tab_Data_Flows[[#This Row],[Flow_Data_Year]]</f>
        <v>F_03_07_material_2004</v>
      </c>
      <c r="U129" s="16">
        <f t="shared" si="4"/>
        <v>50</v>
      </c>
      <c r="V129" s="8" t="s">
        <v>211</v>
      </c>
      <c r="W129" s="153">
        <f>INDEX(Tab_Def_Flows[[Flow_ID]:[CC_DM_source]],MATCH(Tab_Data_Flows[[#This Row],[Flow_Name]],Tab_Def_Flows[Flow_Name],0),11)</f>
        <v>0</v>
      </c>
      <c r="X129" s="7" t="str">
        <f>Tab_Data_Flows[[#This Row],[Flow_ID]]&amp;"_"&amp;"WC_"&amp;Tab_Data_Flows[[#This Row],[Flow_Data_Year]]</f>
        <v>F_03_07_WC_2004</v>
      </c>
      <c r="Y129" s="7">
        <f>IF(D129="Yes",U129*Tab_Data_Flows[[#This Row],[WC_'[%']]],"N.A.")</f>
        <v>0</v>
      </c>
      <c r="Z129" s="7" t="str">
        <f>Tab_Data_Flows[[#This Row],[UoM_Flow_Py]]</f>
        <v>Mg</v>
      </c>
      <c r="AA129" s="153">
        <f>INDEX(Tab_Def_Flows[[Flow_ID]:[CC_DM_source]],MATCH(Tab_Data_Flows[[#This Row],[Flow_Name]],Tab_Def_Flows[Flow_Name],0),14)</f>
        <v>0</v>
      </c>
      <c r="AB129" s="7" t="str">
        <f>Tab_Data_Flows[[#This Row],[Flow_ID]]&amp;"_"&amp;"DM_"&amp;Tab_Data_Flows[[#This Row],[Flow_Data_Year]]</f>
        <v>F_03_07_DM_2004</v>
      </c>
      <c r="AC129" s="7">
        <f>IF(E129="Yes",AA129*Tab_Data_Flows[[#This Row],[Flow_Material]],"N.A.")</f>
        <v>0</v>
      </c>
      <c r="AD129" s="7" t="str">
        <f>Tab_Data_Flows[[#This Row],[UoM_Flow_Py]]</f>
        <v>Mg</v>
      </c>
      <c r="AE129" s="153">
        <f>INDEX(Tab_Def_Flows[[Flow_ID]:[CC_DM_source]],MATCH(Tab_Data_Flows[[#This Row],[Flow_Name]],Tab_Def_Flows[Flow_Name],0),17)</f>
        <v>0</v>
      </c>
      <c r="AF129" s="7" t="str">
        <f>Tab_Data_Flows[[#This Row],[Flow_ID]]&amp;"_"&amp;"CC_"&amp;Tab_Data_Flows[[#This Row],[Flow_Data_Year]]</f>
        <v>F_03_07_CC_2004</v>
      </c>
      <c r="AG129" s="7">
        <f>IF(F129="Yes",AE129*Tab_Data_Flows[[#This Row],[Flow_Material]]*Tab_Data_Flows[[#This Row],[DM_'[%']]],"N.A.")</f>
        <v>0</v>
      </c>
      <c r="AH129" s="7" t="str">
        <f>Tab_Data_Flows[[#This Row],[UoM_Flow_Py]]</f>
        <v>Mg</v>
      </c>
      <c r="AI129"/>
    </row>
    <row r="130" spans="1:35" x14ac:dyDescent="0.25">
      <c r="A130" s="9">
        <f t="shared" si="3"/>
        <v>129</v>
      </c>
      <c r="B130" s="7" t="str">
        <f>_xlfn.XLOOKUP(C130,Tab_Def_Flows[Flow_Name],Tab_Def_Flows[Flow_ID],,0,)</f>
        <v>F_03_07</v>
      </c>
      <c r="C130" s="8" t="s">
        <v>613</v>
      </c>
      <c r="D130" s="10" t="str">
        <f>_xlfn.XLOOKUP(C130,Tab_Def_Flows[Flow_Name],Tab_Def_Flows[WC?],,0,)</f>
        <v>Yes</v>
      </c>
      <c r="E130" s="10" t="str">
        <f>_xlfn.XLOOKUP(C130,Tab_Def_Flows[Flow_Name],Tab_Def_Flows[DM?],,0,)</f>
        <v>Yes</v>
      </c>
      <c r="F130" s="10" t="str">
        <f>_xlfn.XLOOKUP(C130,Tab_Def_Flows[Flow_Name],Tab_Def_Flows[CC?],,0,)</f>
        <v>Yes</v>
      </c>
      <c r="G130" s="8">
        <v>2005</v>
      </c>
      <c r="H130" s="26">
        <v>50</v>
      </c>
      <c r="I130" s="8"/>
      <c r="J130" s="18"/>
      <c r="K130" s="8" t="e">
        <f>INDEX(#REF!,MATCH(Tab_Data_Flows[[#This Row],[Flow_Name]],#REF!,0),12)</f>
        <v>#REF!</v>
      </c>
      <c r="L130" s="8" t="e">
        <f>MATCH(Tab_Data_Flows[[#This Row],[Flow_Name]],#REF!,0)</f>
        <v>#REF!</v>
      </c>
      <c r="M130" s="8"/>
      <c r="N130" s="8"/>
      <c r="O130" s="8"/>
      <c r="P130" s="8"/>
      <c r="Q130" s="8" t="s">
        <v>7</v>
      </c>
      <c r="R130" s="8"/>
      <c r="S130" s="8"/>
      <c r="T130" s="7" t="str">
        <f>Tab_Data_Flows[[#This Row],[Flow_ID]]&amp;"_"&amp;"material_"&amp;Tab_Data_Flows[[#This Row],[Flow_Data_Year]]</f>
        <v>F_03_07_material_2005</v>
      </c>
      <c r="U130" s="16">
        <f t="shared" si="4"/>
        <v>50</v>
      </c>
      <c r="V130" s="8" t="s">
        <v>211</v>
      </c>
      <c r="W130" s="153">
        <f>INDEX(Tab_Def_Flows[[Flow_ID]:[CC_DM_source]],MATCH(Tab_Data_Flows[[#This Row],[Flow_Name]],Tab_Def_Flows[Flow_Name],0),11)</f>
        <v>0</v>
      </c>
      <c r="X130" s="7" t="str">
        <f>Tab_Data_Flows[[#This Row],[Flow_ID]]&amp;"_"&amp;"WC_"&amp;Tab_Data_Flows[[#This Row],[Flow_Data_Year]]</f>
        <v>F_03_07_WC_2005</v>
      </c>
      <c r="Y130" s="7">
        <f>IF(D130="Yes",U130*Tab_Data_Flows[[#This Row],[WC_'[%']]],"N.A.")</f>
        <v>0</v>
      </c>
      <c r="Z130" s="7" t="str">
        <f>Tab_Data_Flows[[#This Row],[UoM_Flow_Py]]</f>
        <v>Mg</v>
      </c>
      <c r="AA130" s="153">
        <f>INDEX(Tab_Def_Flows[[Flow_ID]:[CC_DM_source]],MATCH(Tab_Data_Flows[[#This Row],[Flow_Name]],Tab_Def_Flows[Flow_Name],0),14)</f>
        <v>0</v>
      </c>
      <c r="AB130" s="7" t="str">
        <f>Tab_Data_Flows[[#This Row],[Flow_ID]]&amp;"_"&amp;"DM_"&amp;Tab_Data_Flows[[#This Row],[Flow_Data_Year]]</f>
        <v>F_03_07_DM_2005</v>
      </c>
      <c r="AC130" s="7">
        <f>IF(E130="Yes",AA130*Tab_Data_Flows[[#This Row],[Flow_Material]],"N.A.")</f>
        <v>0</v>
      </c>
      <c r="AD130" s="7" t="str">
        <f>Tab_Data_Flows[[#This Row],[UoM_Flow_Py]]</f>
        <v>Mg</v>
      </c>
      <c r="AE130" s="153">
        <f>INDEX(Tab_Def_Flows[[Flow_ID]:[CC_DM_source]],MATCH(Tab_Data_Flows[[#This Row],[Flow_Name]],Tab_Def_Flows[Flow_Name],0),17)</f>
        <v>0</v>
      </c>
      <c r="AF130" s="7" t="str">
        <f>Tab_Data_Flows[[#This Row],[Flow_ID]]&amp;"_"&amp;"CC_"&amp;Tab_Data_Flows[[#This Row],[Flow_Data_Year]]</f>
        <v>F_03_07_CC_2005</v>
      </c>
      <c r="AG130" s="7">
        <f>IF(F130="Yes",AE130*Tab_Data_Flows[[#This Row],[Flow_Material]]*Tab_Data_Flows[[#This Row],[DM_'[%']]],"N.A.")</f>
        <v>0</v>
      </c>
      <c r="AH130" s="7" t="str">
        <f>Tab_Data_Flows[[#This Row],[UoM_Flow_Py]]</f>
        <v>Mg</v>
      </c>
      <c r="AI130"/>
    </row>
    <row r="131" spans="1:35" x14ac:dyDescent="0.25">
      <c r="A131" s="9">
        <f t="shared" ref="A131:A194" si="5">ROW()-1</f>
        <v>130</v>
      </c>
      <c r="B131" s="7" t="str">
        <f>_xlfn.XLOOKUP(C131,Tab_Def_Flows[Flow_Name],Tab_Def_Flows[Flow_ID],,0,)</f>
        <v>F_03_07</v>
      </c>
      <c r="C131" s="8" t="s">
        <v>613</v>
      </c>
      <c r="D131" s="10" t="str">
        <f>_xlfn.XLOOKUP(C131,Tab_Def_Flows[Flow_Name],Tab_Def_Flows[WC?],,0,)</f>
        <v>Yes</v>
      </c>
      <c r="E131" s="10" t="str">
        <f>_xlfn.XLOOKUP(C131,Tab_Def_Flows[Flow_Name],Tab_Def_Flows[DM?],,0,)</f>
        <v>Yes</v>
      </c>
      <c r="F131" s="10" t="str">
        <f>_xlfn.XLOOKUP(C131,Tab_Def_Flows[Flow_Name],Tab_Def_Flows[CC?],,0,)</f>
        <v>Yes</v>
      </c>
      <c r="G131" s="8">
        <v>2006</v>
      </c>
      <c r="H131" s="26">
        <v>50</v>
      </c>
      <c r="I131" s="8"/>
      <c r="J131" s="18"/>
      <c r="K131" s="8" t="e">
        <f>INDEX(#REF!,MATCH(Tab_Data_Flows[[#This Row],[Flow_Name]],#REF!,0),12)</f>
        <v>#REF!</v>
      </c>
      <c r="L131" s="8" t="e">
        <f>MATCH(Tab_Data_Flows[[#This Row],[Flow_Name]],#REF!,0)</f>
        <v>#REF!</v>
      </c>
      <c r="M131" s="8"/>
      <c r="N131" s="8"/>
      <c r="O131" s="8"/>
      <c r="P131" s="8"/>
      <c r="Q131" s="8" t="s">
        <v>7</v>
      </c>
      <c r="R131" s="8"/>
      <c r="S131" s="8"/>
      <c r="T131" s="7" t="str">
        <f>Tab_Data_Flows[[#This Row],[Flow_ID]]&amp;"_"&amp;"material_"&amp;Tab_Data_Flows[[#This Row],[Flow_Data_Year]]</f>
        <v>F_03_07_material_2006</v>
      </c>
      <c r="U131" s="16">
        <f t="shared" ref="U131:U194" si="6">IF(Q131="no",H131,H131*R131)</f>
        <v>50</v>
      </c>
      <c r="V131" s="8" t="s">
        <v>211</v>
      </c>
      <c r="W131" s="153">
        <f>INDEX(Tab_Def_Flows[[Flow_ID]:[CC_DM_source]],MATCH(Tab_Data_Flows[[#This Row],[Flow_Name]],Tab_Def_Flows[Flow_Name],0),11)</f>
        <v>0</v>
      </c>
      <c r="X131" s="7" t="str">
        <f>Tab_Data_Flows[[#This Row],[Flow_ID]]&amp;"_"&amp;"WC_"&amp;Tab_Data_Flows[[#This Row],[Flow_Data_Year]]</f>
        <v>F_03_07_WC_2006</v>
      </c>
      <c r="Y131" s="7">
        <f>IF(D131="Yes",U131*Tab_Data_Flows[[#This Row],[WC_'[%']]],"N.A.")</f>
        <v>0</v>
      </c>
      <c r="Z131" s="7" t="str">
        <f>Tab_Data_Flows[[#This Row],[UoM_Flow_Py]]</f>
        <v>Mg</v>
      </c>
      <c r="AA131" s="153">
        <f>INDEX(Tab_Def_Flows[[Flow_ID]:[CC_DM_source]],MATCH(Tab_Data_Flows[[#This Row],[Flow_Name]],Tab_Def_Flows[Flow_Name],0),14)</f>
        <v>0</v>
      </c>
      <c r="AB131" s="7" t="str">
        <f>Tab_Data_Flows[[#This Row],[Flow_ID]]&amp;"_"&amp;"DM_"&amp;Tab_Data_Flows[[#This Row],[Flow_Data_Year]]</f>
        <v>F_03_07_DM_2006</v>
      </c>
      <c r="AC131" s="7">
        <f>IF(E131="Yes",AA131*Tab_Data_Flows[[#This Row],[Flow_Material]],"N.A.")</f>
        <v>0</v>
      </c>
      <c r="AD131" s="7" t="str">
        <f>Tab_Data_Flows[[#This Row],[UoM_Flow_Py]]</f>
        <v>Mg</v>
      </c>
      <c r="AE131" s="153">
        <f>INDEX(Tab_Def_Flows[[Flow_ID]:[CC_DM_source]],MATCH(Tab_Data_Flows[[#This Row],[Flow_Name]],Tab_Def_Flows[Flow_Name],0),17)</f>
        <v>0</v>
      </c>
      <c r="AF131" s="7" t="str">
        <f>Tab_Data_Flows[[#This Row],[Flow_ID]]&amp;"_"&amp;"CC_"&amp;Tab_Data_Flows[[#This Row],[Flow_Data_Year]]</f>
        <v>F_03_07_CC_2006</v>
      </c>
      <c r="AG131" s="7">
        <f>IF(F131="Yes",AE131*Tab_Data_Flows[[#This Row],[Flow_Material]]*Tab_Data_Flows[[#This Row],[DM_'[%']]],"N.A.")</f>
        <v>0</v>
      </c>
      <c r="AH131" s="7" t="str">
        <f>Tab_Data_Flows[[#This Row],[UoM_Flow_Py]]</f>
        <v>Mg</v>
      </c>
      <c r="AI131"/>
    </row>
    <row r="132" spans="1:35" x14ac:dyDescent="0.25">
      <c r="A132" s="9">
        <f t="shared" si="5"/>
        <v>131</v>
      </c>
      <c r="B132" s="7" t="str">
        <f>_xlfn.XLOOKUP(C132,Tab_Def_Flows[Flow_Name],Tab_Def_Flows[Flow_ID],,0,)</f>
        <v>F_03_07</v>
      </c>
      <c r="C132" s="8" t="s">
        <v>613</v>
      </c>
      <c r="D132" s="10" t="str">
        <f>_xlfn.XLOOKUP(C132,Tab_Def_Flows[Flow_Name],Tab_Def_Flows[WC?],,0,)</f>
        <v>Yes</v>
      </c>
      <c r="E132" s="10" t="str">
        <f>_xlfn.XLOOKUP(C132,Tab_Def_Flows[Flow_Name],Tab_Def_Flows[DM?],,0,)</f>
        <v>Yes</v>
      </c>
      <c r="F132" s="10" t="str">
        <f>_xlfn.XLOOKUP(C132,Tab_Def_Flows[Flow_Name],Tab_Def_Flows[CC?],,0,)</f>
        <v>Yes</v>
      </c>
      <c r="G132" s="8">
        <v>2007</v>
      </c>
      <c r="H132" s="26">
        <v>50</v>
      </c>
      <c r="I132" s="8"/>
      <c r="J132" s="18"/>
      <c r="K132" s="8" t="e">
        <f>INDEX(#REF!,MATCH(Tab_Data_Flows[[#This Row],[Flow_Name]],#REF!,0),12)</f>
        <v>#REF!</v>
      </c>
      <c r="L132" s="8" t="e">
        <f>MATCH(Tab_Data_Flows[[#This Row],[Flow_Name]],#REF!,0)</f>
        <v>#REF!</v>
      </c>
      <c r="M132" s="8"/>
      <c r="N132" s="8"/>
      <c r="O132" s="8"/>
      <c r="P132" s="8"/>
      <c r="Q132" s="8" t="s">
        <v>7</v>
      </c>
      <c r="R132" s="8"/>
      <c r="S132" s="8"/>
      <c r="T132" s="7" t="str">
        <f>Tab_Data_Flows[[#This Row],[Flow_ID]]&amp;"_"&amp;"material_"&amp;Tab_Data_Flows[[#This Row],[Flow_Data_Year]]</f>
        <v>F_03_07_material_2007</v>
      </c>
      <c r="U132" s="16">
        <f t="shared" si="6"/>
        <v>50</v>
      </c>
      <c r="V132" s="8" t="s">
        <v>211</v>
      </c>
      <c r="W132" s="153">
        <f>INDEX(Tab_Def_Flows[[Flow_ID]:[CC_DM_source]],MATCH(Tab_Data_Flows[[#This Row],[Flow_Name]],Tab_Def_Flows[Flow_Name],0),11)</f>
        <v>0</v>
      </c>
      <c r="X132" s="7" t="str">
        <f>Tab_Data_Flows[[#This Row],[Flow_ID]]&amp;"_"&amp;"WC_"&amp;Tab_Data_Flows[[#This Row],[Flow_Data_Year]]</f>
        <v>F_03_07_WC_2007</v>
      </c>
      <c r="Y132" s="7">
        <f>IF(D132="Yes",U132*Tab_Data_Flows[[#This Row],[WC_'[%']]],"N.A.")</f>
        <v>0</v>
      </c>
      <c r="Z132" s="7" t="str">
        <f>Tab_Data_Flows[[#This Row],[UoM_Flow_Py]]</f>
        <v>Mg</v>
      </c>
      <c r="AA132" s="153">
        <f>INDEX(Tab_Def_Flows[[Flow_ID]:[CC_DM_source]],MATCH(Tab_Data_Flows[[#This Row],[Flow_Name]],Tab_Def_Flows[Flow_Name],0),14)</f>
        <v>0</v>
      </c>
      <c r="AB132" s="7" t="str">
        <f>Tab_Data_Flows[[#This Row],[Flow_ID]]&amp;"_"&amp;"DM_"&amp;Tab_Data_Flows[[#This Row],[Flow_Data_Year]]</f>
        <v>F_03_07_DM_2007</v>
      </c>
      <c r="AC132" s="7">
        <f>IF(E132="Yes",AA132*Tab_Data_Flows[[#This Row],[Flow_Material]],"N.A.")</f>
        <v>0</v>
      </c>
      <c r="AD132" s="7" t="str">
        <f>Tab_Data_Flows[[#This Row],[UoM_Flow_Py]]</f>
        <v>Mg</v>
      </c>
      <c r="AE132" s="153">
        <f>INDEX(Tab_Def_Flows[[Flow_ID]:[CC_DM_source]],MATCH(Tab_Data_Flows[[#This Row],[Flow_Name]],Tab_Def_Flows[Flow_Name],0),17)</f>
        <v>0</v>
      </c>
      <c r="AF132" s="7" t="str">
        <f>Tab_Data_Flows[[#This Row],[Flow_ID]]&amp;"_"&amp;"CC_"&amp;Tab_Data_Flows[[#This Row],[Flow_Data_Year]]</f>
        <v>F_03_07_CC_2007</v>
      </c>
      <c r="AG132" s="7">
        <f>IF(F132="Yes",AE132*Tab_Data_Flows[[#This Row],[Flow_Material]]*Tab_Data_Flows[[#This Row],[DM_'[%']]],"N.A.")</f>
        <v>0</v>
      </c>
      <c r="AH132" s="7" t="str">
        <f>Tab_Data_Flows[[#This Row],[UoM_Flow_Py]]</f>
        <v>Mg</v>
      </c>
      <c r="AI132"/>
    </row>
    <row r="133" spans="1:35" x14ac:dyDescent="0.25">
      <c r="A133" s="9">
        <f t="shared" si="5"/>
        <v>132</v>
      </c>
      <c r="B133" s="7" t="str">
        <f>_xlfn.XLOOKUP(C133,Tab_Def_Flows[Flow_Name],Tab_Def_Flows[Flow_ID],,0,)</f>
        <v>F_03_07</v>
      </c>
      <c r="C133" s="8" t="s">
        <v>613</v>
      </c>
      <c r="D133" s="10" t="str">
        <f>_xlfn.XLOOKUP(C133,Tab_Def_Flows[Flow_Name],Tab_Def_Flows[WC?],,0,)</f>
        <v>Yes</v>
      </c>
      <c r="E133" s="10" t="str">
        <f>_xlfn.XLOOKUP(C133,Tab_Def_Flows[Flow_Name],Tab_Def_Flows[DM?],,0,)</f>
        <v>Yes</v>
      </c>
      <c r="F133" s="10" t="str">
        <f>_xlfn.XLOOKUP(C133,Tab_Def_Flows[Flow_Name],Tab_Def_Flows[CC?],,0,)</f>
        <v>Yes</v>
      </c>
      <c r="G133" s="8">
        <v>2008</v>
      </c>
      <c r="H133" s="26">
        <v>50</v>
      </c>
      <c r="I133" s="8"/>
      <c r="J133" s="18"/>
      <c r="K133" s="8" t="e">
        <f>INDEX(#REF!,MATCH(Tab_Data_Flows[[#This Row],[Flow_Name]],#REF!,0),12)</f>
        <v>#REF!</v>
      </c>
      <c r="L133" s="8" t="e">
        <f>MATCH(Tab_Data_Flows[[#This Row],[Flow_Name]],#REF!,0)</f>
        <v>#REF!</v>
      </c>
      <c r="M133" s="8"/>
      <c r="N133" s="8"/>
      <c r="O133" s="8"/>
      <c r="P133" s="8"/>
      <c r="Q133" s="8" t="s">
        <v>7</v>
      </c>
      <c r="R133" s="8"/>
      <c r="S133" s="8"/>
      <c r="T133" s="7" t="str">
        <f>Tab_Data_Flows[[#This Row],[Flow_ID]]&amp;"_"&amp;"material_"&amp;Tab_Data_Flows[[#This Row],[Flow_Data_Year]]</f>
        <v>F_03_07_material_2008</v>
      </c>
      <c r="U133" s="16">
        <f t="shared" si="6"/>
        <v>50</v>
      </c>
      <c r="V133" s="8" t="s">
        <v>211</v>
      </c>
      <c r="W133" s="153">
        <f>INDEX(Tab_Def_Flows[[Flow_ID]:[CC_DM_source]],MATCH(Tab_Data_Flows[[#This Row],[Flow_Name]],Tab_Def_Flows[Flow_Name],0),11)</f>
        <v>0</v>
      </c>
      <c r="X133" s="7" t="str">
        <f>Tab_Data_Flows[[#This Row],[Flow_ID]]&amp;"_"&amp;"WC_"&amp;Tab_Data_Flows[[#This Row],[Flow_Data_Year]]</f>
        <v>F_03_07_WC_2008</v>
      </c>
      <c r="Y133" s="7">
        <f>IF(D133="Yes",U133*Tab_Data_Flows[[#This Row],[WC_'[%']]],"N.A.")</f>
        <v>0</v>
      </c>
      <c r="Z133" s="7" t="str">
        <f>Tab_Data_Flows[[#This Row],[UoM_Flow_Py]]</f>
        <v>Mg</v>
      </c>
      <c r="AA133" s="153">
        <f>INDEX(Tab_Def_Flows[[Flow_ID]:[CC_DM_source]],MATCH(Tab_Data_Flows[[#This Row],[Flow_Name]],Tab_Def_Flows[Flow_Name],0),14)</f>
        <v>0</v>
      </c>
      <c r="AB133" s="7" t="str">
        <f>Tab_Data_Flows[[#This Row],[Flow_ID]]&amp;"_"&amp;"DM_"&amp;Tab_Data_Flows[[#This Row],[Flow_Data_Year]]</f>
        <v>F_03_07_DM_2008</v>
      </c>
      <c r="AC133" s="7">
        <f>IF(E133="Yes",AA133*Tab_Data_Flows[[#This Row],[Flow_Material]],"N.A.")</f>
        <v>0</v>
      </c>
      <c r="AD133" s="7" t="str">
        <f>Tab_Data_Flows[[#This Row],[UoM_Flow_Py]]</f>
        <v>Mg</v>
      </c>
      <c r="AE133" s="153">
        <f>INDEX(Tab_Def_Flows[[Flow_ID]:[CC_DM_source]],MATCH(Tab_Data_Flows[[#This Row],[Flow_Name]],Tab_Def_Flows[Flow_Name],0),17)</f>
        <v>0</v>
      </c>
      <c r="AF133" s="7" t="str">
        <f>Tab_Data_Flows[[#This Row],[Flow_ID]]&amp;"_"&amp;"CC_"&amp;Tab_Data_Flows[[#This Row],[Flow_Data_Year]]</f>
        <v>F_03_07_CC_2008</v>
      </c>
      <c r="AG133" s="7">
        <f>IF(F133="Yes",AE133*Tab_Data_Flows[[#This Row],[Flow_Material]]*Tab_Data_Flows[[#This Row],[DM_'[%']]],"N.A.")</f>
        <v>0</v>
      </c>
      <c r="AH133" s="7" t="str">
        <f>Tab_Data_Flows[[#This Row],[UoM_Flow_Py]]</f>
        <v>Mg</v>
      </c>
      <c r="AI133"/>
    </row>
    <row r="134" spans="1:35" x14ac:dyDescent="0.25">
      <c r="A134" s="9">
        <f t="shared" si="5"/>
        <v>133</v>
      </c>
      <c r="B134" s="7" t="str">
        <f>_xlfn.XLOOKUP(C134,Tab_Def_Flows[Flow_Name],Tab_Def_Flows[Flow_ID],,0,)</f>
        <v>F_03_07</v>
      </c>
      <c r="C134" s="8" t="s">
        <v>613</v>
      </c>
      <c r="D134" s="10" t="str">
        <f>_xlfn.XLOOKUP(C134,Tab_Def_Flows[Flow_Name],Tab_Def_Flows[WC?],,0,)</f>
        <v>Yes</v>
      </c>
      <c r="E134" s="10" t="str">
        <f>_xlfn.XLOOKUP(C134,Tab_Def_Flows[Flow_Name],Tab_Def_Flows[DM?],,0,)</f>
        <v>Yes</v>
      </c>
      <c r="F134" s="10" t="str">
        <f>_xlfn.XLOOKUP(C134,Tab_Def_Flows[Flow_Name],Tab_Def_Flows[CC?],,0,)</f>
        <v>Yes</v>
      </c>
      <c r="G134" s="8">
        <v>2009</v>
      </c>
      <c r="H134" s="26">
        <v>50</v>
      </c>
      <c r="I134" s="8"/>
      <c r="J134" s="18"/>
      <c r="K134" s="8" t="e">
        <f>INDEX(#REF!,MATCH(Tab_Data_Flows[[#This Row],[Flow_Name]],#REF!,0),12)</f>
        <v>#REF!</v>
      </c>
      <c r="L134" s="8" t="e">
        <f>MATCH(Tab_Data_Flows[[#This Row],[Flow_Name]],#REF!,0)</f>
        <v>#REF!</v>
      </c>
      <c r="M134" s="8"/>
      <c r="N134" s="8"/>
      <c r="O134" s="8"/>
      <c r="P134" s="8"/>
      <c r="Q134" s="8" t="s">
        <v>7</v>
      </c>
      <c r="R134" s="8"/>
      <c r="S134" s="8"/>
      <c r="T134" s="7" t="str">
        <f>Tab_Data_Flows[[#This Row],[Flow_ID]]&amp;"_"&amp;"material_"&amp;Tab_Data_Flows[[#This Row],[Flow_Data_Year]]</f>
        <v>F_03_07_material_2009</v>
      </c>
      <c r="U134" s="16">
        <f t="shared" si="6"/>
        <v>50</v>
      </c>
      <c r="V134" s="8" t="s">
        <v>211</v>
      </c>
      <c r="W134" s="153">
        <f>INDEX(Tab_Def_Flows[[Flow_ID]:[CC_DM_source]],MATCH(Tab_Data_Flows[[#This Row],[Flow_Name]],Tab_Def_Flows[Flow_Name],0),11)</f>
        <v>0</v>
      </c>
      <c r="X134" s="7" t="str">
        <f>Tab_Data_Flows[[#This Row],[Flow_ID]]&amp;"_"&amp;"WC_"&amp;Tab_Data_Flows[[#This Row],[Flow_Data_Year]]</f>
        <v>F_03_07_WC_2009</v>
      </c>
      <c r="Y134" s="7">
        <f>IF(D134="Yes",U134*Tab_Data_Flows[[#This Row],[WC_'[%']]],"N.A.")</f>
        <v>0</v>
      </c>
      <c r="Z134" s="7" t="str">
        <f>Tab_Data_Flows[[#This Row],[UoM_Flow_Py]]</f>
        <v>Mg</v>
      </c>
      <c r="AA134" s="153">
        <f>INDEX(Tab_Def_Flows[[Flow_ID]:[CC_DM_source]],MATCH(Tab_Data_Flows[[#This Row],[Flow_Name]],Tab_Def_Flows[Flow_Name],0),14)</f>
        <v>0</v>
      </c>
      <c r="AB134" s="7" t="str">
        <f>Tab_Data_Flows[[#This Row],[Flow_ID]]&amp;"_"&amp;"DM_"&amp;Tab_Data_Flows[[#This Row],[Flow_Data_Year]]</f>
        <v>F_03_07_DM_2009</v>
      </c>
      <c r="AC134" s="7">
        <f>IF(E134="Yes",AA134*Tab_Data_Flows[[#This Row],[Flow_Material]],"N.A.")</f>
        <v>0</v>
      </c>
      <c r="AD134" s="7" t="str">
        <f>Tab_Data_Flows[[#This Row],[UoM_Flow_Py]]</f>
        <v>Mg</v>
      </c>
      <c r="AE134" s="153">
        <f>INDEX(Tab_Def_Flows[[Flow_ID]:[CC_DM_source]],MATCH(Tab_Data_Flows[[#This Row],[Flow_Name]],Tab_Def_Flows[Flow_Name],0),17)</f>
        <v>0</v>
      </c>
      <c r="AF134" s="7" t="str">
        <f>Tab_Data_Flows[[#This Row],[Flow_ID]]&amp;"_"&amp;"CC_"&amp;Tab_Data_Flows[[#This Row],[Flow_Data_Year]]</f>
        <v>F_03_07_CC_2009</v>
      </c>
      <c r="AG134" s="7">
        <f>IF(F134="Yes",AE134*Tab_Data_Flows[[#This Row],[Flow_Material]]*Tab_Data_Flows[[#This Row],[DM_'[%']]],"N.A.")</f>
        <v>0</v>
      </c>
      <c r="AH134" s="7" t="str">
        <f>Tab_Data_Flows[[#This Row],[UoM_Flow_Py]]</f>
        <v>Mg</v>
      </c>
      <c r="AI134"/>
    </row>
    <row r="135" spans="1:35" x14ac:dyDescent="0.25">
      <c r="A135" s="9">
        <f t="shared" si="5"/>
        <v>134</v>
      </c>
      <c r="B135" s="7" t="str">
        <f>_xlfn.XLOOKUP(C135,Tab_Def_Flows[Flow_Name],Tab_Def_Flows[Flow_ID],,0,)</f>
        <v>F_03_07</v>
      </c>
      <c r="C135" s="8" t="s">
        <v>613</v>
      </c>
      <c r="D135" s="10" t="str">
        <f>_xlfn.XLOOKUP(C135,Tab_Def_Flows[Flow_Name],Tab_Def_Flows[WC?],,0,)</f>
        <v>Yes</v>
      </c>
      <c r="E135" s="10" t="str">
        <f>_xlfn.XLOOKUP(C135,Tab_Def_Flows[Flow_Name],Tab_Def_Flows[DM?],,0,)</f>
        <v>Yes</v>
      </c>
      <c r="F135" s="10" t="str">
        <f>_xlfn.XLOOKUP(C135,Tab_Def_Flows[Flow_Name],Tab_Def_Flows[CC?],,0,)</f>
        <v>Yes</v>
      </c>
      <c r="G135" s="8">
        <v>2010</v>
      </c>
      <c r="H135" s="26">
        <v>50</v>
      </c>
      <c r="I135" s="8"/>
      <c r="J135" s="18"/>
      <c r="K135" s="8" t="e">
        <f>INDEX(#REF!,MATCH(Tab_Data_Flows[[#This Row],[Flow_Name]],#REF!,0),12)</f>
        <v>#REF!</v>
      </c>
      <c r="L135" s="8" t="e">
        <f>MATCH(Tab_Data_Flows[[#This Row],[Flow_Name]],#REF!,0)</f>
        <v>#REF!</v>
      </c>
      <c r="M135" s="8"/>
      <c r="N135" s="8"/>
      <c r="O135" s="8"/>
      <c r="P135" s="8"/>
      <c r="Q135" s="8" t="s">
        <v>7</v>
      </c>
      <c r="R135" s="8"/>
      <c r="S135" s="8"/>
      <c r="T135" s="7" t="str">
        <f>Tab_Data_Flows[[#This Row],[Flow_ID]]&amp;"_"&amp;"material_"&amp;Tab_Data_Flows[[#This Row],[Flow_Data_Year]]</f>
        <v>F_03_07_material_2010</v>
      </c>
      <c r="U135" s="16">
        <f t="shared" si="6"/>
        <v>50</v>
      </c>
      <c r="V135" s="8" t="s">
        <v>211</v>
      </c>
      <c r="W135" s="153">
        <f>INDEX(Tab_Def_Flows[[Flow_ID]:[CC_DM_source]],MATCH(Tab_Data_Flows[[#This Row],[Flow_Name]],Tab_Def_Flows[Flow_Name],0),11)</f>
        <v>0</v>
      </c>
      <c r="X135" s="7" t="str">
        <f>Tab_Data_Flows[[#This Row],[Flow_ID]]&amp;"_"&amp;"WC_"&amp;Tab_Data_Flows[[#This Row],[Flow_Data_Year]]</f>
        <v>F_03_07_WC_2010</v>
      </c>
      <c r="Y135" s="7">
        <f>IF(D135="Yes",U135*Tab_Data_Flows[[#This Row],[WC_'[%']]],"N.A.")</f>
        <v>0</v>
      </c>
      <c r="Z135" s="7" t="str">
        <f>Tab_Data_Flows[[#This Row],[UoM_Flow_Py]]</f>
        <v>Mg</v>
      </c>
      <c r="AA135" s="153">
        <f>INDEX(Tab_Def_Flows[[Flow_ID]:[CC_DM_source]],MATCH(Tab_Data_Flows[[#This Row],[Flow_Name]],Tab_Def_Flows[Flow_Name],0),14)</f>
        <v>0</v>
      </c>
      <c r="AB135" s="7" t="str">
        <f>Tab_Data_Flows[[#This Row],[Flow_ID]]&amp;"_"&amp;"DM_"&amp;Tab_Data_Flows[[#This Row],[Flow_Data_Year]]</f>
        <v>F_03_07_DM_2010</v>
      </c>
      <c r="AC135" s="7">
        <f>IF(E135="Yes",AA135*Tab_Data_Flows[[#This Row],[Flow_Material]],"N.A.")</f>
        <v>0</v>
      </c>
      <c r="AD135" s="7" t="str">
        <f>Tab_Data_Flows[[#This Row],[UoM_Flow_Py]]</f>
        <v>Mg</v>
      </c>
      <c r="AE135" s="153">
        <f>INDEX(Tab_Def_Flows[[Flow_ID]:[CC_DM_source]],MATCH(Tab_Data_Flows[[#This Row],[Flow_Name]],Tab_Def_Flows[Flow_Name],0),17)</f>
        <v>0</v>
      </c>
      <c r="AF135" s="7" t="str">
        <f>Tab_Data_Flows[[#This Row],[Flow_ID]]&amp;"_"&amp;"CC_"&amp;Tab_Data_Flows[[#This Row],[Flow_Data_Year]]</f>
        <v>F_03_07_CC_2010</v>
      </c>
      <c r="AG135" s="7">
        <f>IF(F135="Yes",AE135*Tab_Data_Flows[[#This Row],[Flow_Material]]*Tab_Data_Flows[[#This Row],[DM_'[%']]],"N.A.")</f>
        <v>0</v>
      </c>
      <c r="AH135" s="7" t="str">
        <f>Tab_Data_Flows[[#This Row],[UoM_Flow_Py]]</f>
        <v>Mg</v>
      </c>
      <c r="AI135"/>
    </row>
    <row r="136" spans="1:35" x14ac:dyDescent="0.25">
      <c r="A136" s="9">
        <f t="shared" si="5"/>
        <v>135</v>
      </c>
      <c r="B136" s="7" t="str">
        <f>_xlfn.XLOOKUP(C136,Tab_Def_Flows[Flow_Name],Tab_Def_Flows[Flow_ID],,0,)</f>
        <v>F_03_07</v>
      </c>
      <c r="C136" s="8" t="s">
        <v>613</v>
      </c>
      <c r="D136" s="10" t="str">
        <f>_xlfn.XLOOKUP(C136,Tab_Def_Flows[Flow_Name],Tab_Def_Flows[WC?],,0,)</f>
        <v>Yes</v>
      </c>
      <c r="E136" s="10" t="str">
        <f>_xlfn.XLOOKUP(C136,Tab_Def_Flows[Flow_Name],Tab_Def_Flows[DM?],,0,)</f>
        <v>Yes</v>
      </c>
      <c r="F136" s="10" t="str">
        <f>_xlfn.XLOOKUP(C136,Tab_Def_Flows[Flow_Name],Tab_Def_Flows[CC?],,0,)</f>
        <v>Yes</v>
      </c>
      <c r="G136" s="8">
        <v>2011</v>
      </c>
      <c r="H136" s="26">
        <v>50</v>
      </c>
      <c r="I136" s="8"/>
      <c r="J136" s="18"/>
      <c r="K136" s="8" t="e">
        <f>INDEX(#REF!,MATCH(Tab_Data_Flows[[#This Row],[Flow_Name]],#REF!,0),12)</f>
        <v>#REF!</v>
      </c>
      <c r="L136" s="8" t="e">
        <f>MATCH(Tab_Data_Flows[[#This Row],[Flow_Name]],#REF!,0)</f>
        <v>#REF!</v>
      </c>
      <c r="M136" s="8"/>
      <c r="N136" s="8"/>
      <c r="O136" s="8"/>
      <c r="P136" s="8"/>
      <c r="Q136" s="8" t="s">
        <v>7</v>
      </c>
      <c r="R136" s="8"/>
      <c r="S136" s="8"/>
      <c r="T136" s="7" t="str">
        <f>Tab_Data_Flows[[#This Row],[Flow_ID]]&amp;"_"&amp;"material_"&amp;Tab_Data_Flows[[#This Row],[Flow_Data_Year]]</f>
        <v>F_03_07_material_2011</v>
      </c>
      <c r="U136" s="16">
        <f t="shared" si="6"/>
        <v>50</v>
      </c>
      <c r="V136" s="8" t="s">
        <v>211</v>
      </c>
      <c r="W136" s="153">
        <f>INDEX(Tab_Def_Flows[[Flow_ID]:[CC_DM_source]],MATCH(Tab_Data_Flows[[#This Row],[Flow_Name]],Tab_Def_Flows[Flow_Name],0),11)</f>
        <v>0</v>
      </c>
      <c r="X136" s="7" t="str">
        <f>Tab_Data_Flows[[#This Row],[Flow_ID]]&amp;"_"&amp;"WC_"&amp;Tab_Data_Flows[[#This Row],[Flow_Data_Year]]</f>
        <v>F_03_07_WC_2011</v>
      </c>
      <c r="Y136" s="7">
        <f>IF(D136="Yes",U136*Tab_Data_Flows[[#This Row],[WC_'[%']]],"N.A.")</f>
        <v>0</v>
      </c>
      <c r="Z136" s="7" t="str">
        <f>Tab_Data_Flows[[#This Row],[UoM_Flow_Py]]</f>
        <v>Mg</v>
      </c>
      <c r="AA136" s="153">
        <f>INDEX(Tab_Def_Flows[[Flow_ID]:[CC_DM_source]],MATCH(Tab_Data_Flows[[#This Row],[Flow_Name]],Tab_Def_Flows[Flow_Name],0),14)</f>
        <v>0</v>
      </c>
      <c r="AB136" s="7" t="str">
        <f>Tab_Data_Flows[[#This Row],[Flow_ID]]&amp;"_"&amp;"DM_"&amp;Tab_Data_Flows[[#This Row],[Flow_Data_Year]]</f>
        <v>F_03_07_DM_2011</v>
      </c>
      <c r="AC136" s="7">
        <f>IF(E136="Yes",AA136*Tab_Data_Flows[[#This Row],[Flow_Material]],"N.A.")</f>
        <v>0</v>
      </c>
      <c r="AD136" s="7" t="str">
        <f>Tab_Data_Flows[[#This Row],[UoM_Flow_Py]]</f>
        <v>Mg</v>
      </c>
      <c r="AE136" s="153">
        <f>INDEX(Tab_Def_Flows[[Flow_ID]:[CC_DM_source]],MATCH(Tab_Data_Flows[[#This Row],[Flow_Name]],Tab_Def_Flows[Flow_Name],0),17)</f>
        <v>0</v>
      </c>
      <c r="AF136" s="7" t="str">
        <f>Tab_Data_Flows[[#This Row],[Flow_ID]]&amp;"_"&amp;"CC_"&amp;Tab_Data_Flows[[#This Row],[Flow_Data_Year]]</f>
        <v>F_03_07_CC_2011</v>
      </c>
      <c r="AG136" s="7">
        <f>IF(F136="Yes",AE136*Tab_Data_Flows[[#This Row],[Flow_Material]]*Tab_Data_Flows[[#This Row],[DM_'[%']]],"N.A.")</f>
        <v>0</v>
      </c>
      <c r="AH136" s="7" t="str">
        <f>Tab_Data_Flows[[#This Row],[UoM_Flow_Py]]</f>
        <v>Mg</v>
      </c>
      <c r="AI136"/>
    </row>
    <row r="137" spans="1:35" x14ac:dyDescent="0.25">
      <c r="A137" s="9">
        <f t="shared" si="5"/>
        <v>136</v>
      </c>
      <c r="B137" s="7" t="str">
        <f>_xlfn.XLOOKUP(C137,Tab_Def_Flows[Flow_Name],Tab_Def_Flows[Flow_ID],,0,)</f>
        <v>F_03_07</v>
      </c>
      <c r="C137" s="8" t="s">
        <v>613</v>
      </c>
      <c r="D137" s="10" t="str">
        <f>_xlfn.XLOOKUP(C137,Tab_Def_Flows[Flow_Name],Tab_Def_Flows[WC?],,0,)</f>
        <v>Yes</v>
      </c>
      <c r="E137" s="10" t="str">
        <f>_xlfn.XLOOKUP(C137,Tab_Def_Flows[Flow_Name],Tab_Def_Flows[DM?],,0,)</f>
        <v>Yes</v>
      </c>
      <c r="F137" s="10" t="str">
        <f>_xlfn.XLOOKUP(C137,Tab_Def_Flows[Flow_Name],Tab_Def_Flows[CC?],,0,)</f>
        <v>Yes</v>
      </c>
      <c r="G137" s="8">
        <v>2012</v>
      </c>
      <c r="H137" s="26">
        <v>50</v>
      </c>
      <c r="I137" s="8"/>
      <c r="J137" s="18"/>
      <c r="K137" s="8" t="e">
        <f>INDEX(#REF!,MATCH(Tab_Data_Flows[[#This Row],[Flow_Name]],#REF!,0),12)</f>
        <v>#REF!</v>
      </c>
      <c r="L137" s="8" t="e">
        <f>MATCH(Tab_Data_Flows[[#This Row],[Flow_Name]],#REF!,0)</f>
        <v>#REF!</v>
      </c>
      <c r="M137" s="8"/>
      <c r="N137" s="8"/>
      <c r="O137" s="8"/>
      <c r="P137" s="8"/>
      <c r="Q137" s="8" t="s">
        <v>7</v>
      </c>
      <c r="R137" s="8"/>
      <c r="S137" s="8"/>
      <c r="T137" s="7" t="str">
        <f>Tab_Data_Flows[[#This Row],[Flow_ID]]&amp;"_"&amp;"material_"&amp;Tab_Data_Flows[[#This Row],[Flow_Data_Year]]</f>
        <v>F_03_07_material_2012</v>
      </c>
      <c r="U137" s="16">
        <f t="shared" si="6"/>
        <v>50</v>
      </c>
      <c r="V137" s="8" t="s">
        <v>211</v>
      </c>
      <c r="W137" s="153">
        <f>INDEX(Tab_Def_Flows[[Flow_ID]:[CC_DM_source]],MATCH(Tab_Data_Flows[[#This Row],[Flow_Name]],Tab_Def_Flows[Flow_Name],0),11)</f>
        <v>0</v>
      </c>
      <c r="X137" s="7" t="str">
        <f>Tab_Data_Flows[[#This Row],[Flow_ID]]&amp;"_"&amp;"WC_"&amp;Tab_Data_Flows[[#This Row],[Flow_Data_Year]]</f>
        <v>F_03_07_WC_2012</v>
      </c>
      <c r="Y137" s="7">
        <f>IF(D137="Yes",U137*Tab_Data_Flows[[#This Row],[WC_'[%']]],"N.A.")</f>
        <v>0</v>
      </c>
      <c r="Z137" s="7" t="str">
        <f>Tab_Data_Flows[[#This Row],[UoM_Flow_Py]]</f>
        <v>Mg</v>
      </c>
      <c r="AA137" s="153">
        <f>INDEX(Tab_Def_Flows[[Flow_ID]:[CC_DM_source]],MATCH(Tab_Data_Flows[[#This Row],[Flow_Name]],Tab_Def_Flows[Flow_Name],0),14)</f>
        <v>0</v>
      </c>
      <c r="AB137" s="7" t="str">
        <f>Tab_Data_Flows[[#This Row],[Flow_ID]]&amp;"_"&amp;"DM_"&amp;Tab_Data_Flows[[#This Row],[Flow_Data_Year]]</f>
        <v>F_03_07_DM_2012</v>
      </c>
      <c r="AC137" s="7">
        <f>IF(E137="Yes",AA137*Tab_Data_Flows[[#This Row],[Flow_Material]],"N.A.")</f>
        <v>0</v>
      </c>
      <c r="AD137" s="7" t="str">
        <f>Tab_Data_Flows[[#This Row],[UoM_Flow_Py]]</f>
        <v>Mg</v>
      </c>
      <c r="AE137" s="153">
        <f>INDEX(Tab_Def_Flows[[Flow_ID]:[CC_DM_source]],MATCH(Tab_Data_Flows[[#This Row],[Flow_Name]],Tab_Def_Flows[Flow_Name],0),17)</f>
        <v>0</v>
      </c>
      <c r="AF137" s="7" t="str">
        <f>Tab_Data_Flows[[#This Row],[Flow_ID]]&amp;"_"&amp;"CC_"&amp;Tab_Data_Flows[[#This Row],[Flow_Data_Year]]</f>
        <v>F_03_07_CC_2012</v>
      </c>
      <c r="AG137" s="7">
        <f>IF(F137="Yes",AE137*Tab_Data_Flows[[#This Row],[Flow_Material]]*Tab_Data_Flows[[#This Row],[DM_'[%']]],"N.A.")</f>
        <v>0</v>
      </c>
      <c r="AH137" s="7" t="str">
        <f>Tab_Data_Flows[[#This Row],[UoM_Flow_Py]]</f>
        <v>Mg</v>
      </c>
      <c r="AI137"/>
    </row>
    <row r="138" spans="1:35" x14ac:dyDescent="0.25">
      <c r="A138" s="9">
        <f t="shared" si="5"/>
        <v>137</v>
      </c>
      <c r="B138" s="7" t="str">
        <f>_xlfn.XLOOKUP(C138,Tab_Def_Flows[Flow_Name],Tab_Def_Flows[Flow_ID],,0,)</f>
        <v>F_03_07</v>
      </c>
      <c r="C138" s="8" t="s">
        <v>613</v>
      </c>
      <c r="D138" s="10" t="str">
        <f>_xlfn.XLOOKUP(C138,Tab_Def_Flows[Flow_Name],Tab_Def_Flows[WC?],,0,)</f>
        <v>Yes</v>
      </c>
      <c r="E138" s="10" t="str">
        <f>_xlfn.XLOOKUP(C138,Tab_Def_Flows[Flow_Name],Tab_Def_Flows[DM?],,0,)</f>
        <v>Yes</v>
      </c>
      <c r="F138" s="10" t="str">
        <f>_xlfn.XLOOKUP(C138,Tab_Def_Flows[Flow_Name],Tab_Def_Flows[CC?],,0,)</f>
        <v>Yes</v>
      </c>
      <c r="G138" s="8">
        <v>2013</v>
      </c>
      <c r="H138" s="26">
        <v>50</v>
      </c>
      <c r="I138" s="8"/>
      <c r="J138" s="18"/>
      <c r="K138" s="8" t="e">
        <f>INDEX(#REF!,MATCH(Tab_Data_Flows[[#This Row],[Flow_Name]],#REF!,0),12)</f>
        <v>#REF!</v>
      </c>
      <c r="L138" s="8" t="e">
        <f>MATCH(Tab_Data_Flows[[#This Row],[Flow_Name]],#REF!,0)</f>
        <v>#REF!</v>
      </c>
      <c r="M138" s="8"/>
      <c r="N138" s="8"/>
      <c r="O138" s="8"/>
      <c r="P138" s="8"/>
      <c r="Q138" s="8" t="s">
        <v>7</v>
      </c>
      <c r="R138" s="8"/>
      <c r="S138" s="8"/>
      <c r="T138" s="7" t="str">
        <f>Tab_Data_Flows[[#This Row],[Flow_ID]]&amp;"_"&amp;"material_"&amp;Tab_Data_Flows[[#This Row],[Flow_Data_Year]]</f>
        <v>F_03_07_material_2013</v>
      </c>
      <c r="U138" s="16">
        <f t="shared" si="6"/>
        <v>50</v>
      </c>
      <c r="V138" s="8" t="s">
        <v>211</v>
      </c>
      <c r="W138" s="153">
        <f>INDEX(Tab_Def_Flows[[Flow_ID]:[CC_DM_source]],MATCH(Tab_Data_Flows[[#This Row],[Flow_Name]],Tab_Def_Flows[Flow_Name],0),11)</f>
        <v>0</v>
      </c>
      <c r="X138" s="7" t="str">
        <f>Tab_Data_Flows[[#This Row],[Flow_ID]]&amp;"_"&amp;"WC_"&amp;Tab_Data_Flows[[#This Row],[Flow_Data_Year]]</f>
        <v>F_03_07_WC_2013</v>
      </c>
      <c r="Y138" s="7">
        <f>IF(D138="Yes",U138*Tab_Data_Flows[[#This Row],[WC_'[%']]],"N.A.")</f>
        <v>0</v>
      </c>
      <c r="Z138" s="7" t="str">
        <f>Tab_Data_Flows[[#This Row],[UoM_Flow_Py]]</f>
        <v>Mg</v>
      </c>
      <c r="AA138" s="153">
        <f>INDEX(Tab_Def_Flows[[Flow_ID]:[CC_DM_source]],MATCH(Tab_Data_Flows[[#This Row],[Flow_Name]],Tab_Def_Flows[Flow_Name],0),14)</f>
        <v>0</v>
      </c>
      <c r="AB138" s="7" t="str">
        <f>Tab_Data_Flows[[#This Row],[Flow_ID]]&amp;"_"&amp;"DM_"&amp;Tab_Data_Flows[[#This Row],[Flow_Data_Year]]</f>
        <v>F_03_07_DM_2013</v>
      </c>
      <c r="AC138" s="7">
        <f>IF(E138="Yes",AA138*Tab_Data_Flows[[#This Row],[Flow_Material]],"N.A.")</f>
        <v>0</v>
      </c>
      <c r="AD138" s="7" t="str">
        <f>Tab_Data_Flows[[#This Row],[UoM_Flow_Py]]</f>
        <v>Mg</v>
      </c>
      <c r="AE138" s="153">
        <f>INDEX(Tab_Def_Flows[[Flow_ID]:[CC_DM_source]],MATCH(Tab_Data_Flows[[#This Row],[Flow_Name]],Tab_Def_Flows[Flow_Name],0),17)</f>
        <v>0</v>
      </c>
      <c r="AF138" s="7" t="str">
        <f>Tab_Data_Flows[[#This Row],[Flow_ID]]&amp;"_"&amp;"CC_"&amp;Tab_Data_Flows[[#This Row],[Flow_Data_Year]]</f>
        <v>F_03_07_CC_2013</v>
      </c>
      <c r="AG138" s="7">
        <f>IF(F138="Yes",AE138*Tab_Data_Flows[[#This Row],[Flow_Material]]*Tab_Data_Flows[[#This Row],[DM_'[%']]],"N.A.")</f>
        <v>0</v>
      </c>
      <c r="AH138" s="7" t="str">
        <f>Tab_Data_Flows[[#This Row],[UoM_Flow_Py]]</f>
        <v>Mg</v>
      </c>
      <c r="AI138"/>
    </row>
    <row r="139" spans="1:35" x14ac:dyDescent="0.25">
      <c r="A139" s="9">
        <f t="shared" si="5"/>
        <v>138</v>
      </c>
      <c r="B139" s="7" t="str">
        <f>_xlfn.XLOOKUP(C139,Tab_Def_Flows[Flow_Name],Tab_Def_Flows[Flow_ID],,0,)</f>
        <v>F_03_07</v>
      </c>
      <c r="C139" s="8" t="s">
        <v>613</v>
      </c>
      <c r="D139" s="10" t="str">
        <f>_xlfn.XLOOKUP(C139,Tab_Def_Flows[Flow_Name],Tab_Def_Flows[WC?],,0,)</f>
        <v>Yes</v>
      </c>
      <c r="E139" s="10" t="str">
        <f>_xlfn.XLOOKUP(C139,Tab_Def_Flows[Flow_Name],Tab_Def_Flows[DM?],,0,)</f>
        <v>Yes</v>
      </c>
      <c r="F139" s="10" t="str">
        <f>_xlfn.XLOOKUP(C139,Tab_Def_Flows[Flow_Name],Tab_Def_Flows[CC?],,0,)</f>
        <v>Yes</v>
      </c>
      <c r="G139" s="8">
        <v>2014</v>
      </c>
      <c r="H139" s="26">
        <v>50</v>
      </c>
      <c r="I139" s="8"/>
      <c r="J139" s="18"/>
      <c r="K139" s="8" t="e">
        <f>INDEX(#REF!,MATCH(Tab_Data_Flows[[#This Row],[Flow_Name]],#REF!,0),12)</f>
        <v>#REF!</v>
      </c>
      <c r="L139" s="8" t="e">
        <f>MATCH(Tab_Data_Flows[[#This Row],[Flow_Name]],#REF!,0)</f>
        <v>#REF!</v>
      </c>
      <c r="M139" s="8"/>
      <c r="N139" s="8"/>
      <c r="O139" s="8"/>
      <c r="P139" s="8"/>
      <c r="Q139" s="8" t="s">
        <v>7</v>
      </c>
      <c r="R139" s="8"/>
      <c r="S139" s="8"/>
      <c r="T139" s="7" t="str">
        <f>Tab_Data_Flows[[#This Row],[Flow_ID]]&amp;"_"&amp;"material_"&amp;Tab_Data_Flows[[#This Row],[Flow_Data_Year]]</f>
        <v>F_03_07_material_2014</v>
      </c>
      <c r="U139" s="16">
        <f t="shared" si="6"/>
        <v>50</v>
      </c>
      <c r="V139" s="8" t="s">
        <v>211</v>
      </c>
      <c r="W139" s="153">
        <f>INDEX(Tab_Def_Flows[[Flow_ID]:[CC_DM_source]],MATCH(Tab_Data_Flows[[#This Row],[Flow_Name]],Tab_Def_Flows[Flow_Name],0),11)</f>
        <v>0</v>
      </c>
      <c r="X139" s="7" t="str">
        <f>Tab_Data_Flows[[#This Row],[Flow_ID]]&amp;"_"&amp;"WC_"&amp;Tab_Data_Flows[[#This Row],[Flow_Data_Year]]</f>
        <v>F_03_07_WC_2014</v>
      </c>
      <c r="Y139" s="7">
        <f>IF(D139="Yes",U139*Tab_Data_Flows[[#This Row],[WC_'[%']]],"N.A.")</f>
        <v>0</v>
      </c>
      <c r="Z139" s="7" t="str">
        <f>Tab_Data_Flows[[#This Row],[UoM_Flow_Py]]</f>
        <v>Mg</v>
      </c>
      <c r="AA139" s="153">
        <f>INDEX(Tab_Def_Flows[[Flow_ID]:[CC_DM_source]],MATCH(Tab_Data_Flows[[#This Row],[Flow_Name]],Tab_Def_Flows[Flow_Name],0),14)</f>
        <v>0</v>
      </c>
      <c r="AB139" s="7" t="str">
        <f>Tab_Data_Flows[[#This Row],[Flow_ID]]&amp;"_"&amp;"DM_"&amp;Tab_Data_Flows[[#This Row],[Flow_Data_Year]]</f>
        <v>F_03_07_DM_2014</v>
      </c>
      <c r="AC139" s="7">
        <f>IF(E139="Yes",AA139*Tab_Data_Flows[[#This Row],[Flow_Material]],"N.A.")</f>
        <v>0</v>
      </c>
      <c r="AD139" s="7" t="str">
        <f>Tab_Data_Flows[[#This Row],[UoM_Flow_Py]]</f>
        <v>Mg</v>
      </c>
      <c r="AE139" s="153">
        <f>INDEX(Tab_Def_Flows[[Flow_ID]:[CC_DM_source]],MATCH(Tab_Data_Flows[[#This Row],[Flow_Name]],Tab_Def_Flows[Flow_Name],0),17)</f>
        <v>0</v>
      </c>
      <c r="AF139" s="7" t="str">
        <f>Tab_Data_Flows[[#This Row],[Flow_ID]]&amp;"_"&amp;"CC_"&amp;Tab_Data_Flows[[#This Row],[Flow_Data_Year]]</f>
        <v>F_03_07_CC_2014</v>
      </c>
      <c r="AG139" s="7">
        <f>IF(F139="Yes",AE139*Tab_Data_Flows[[#This Row],[Flow_Material]]*Tab_Data_Flows[[#This Row],[DM_'[%']]],"N.A.")</f>
        <v>0</v>
      </c>
      <c r="AH139" s="7" t="str">
        <f>Tab_Data_Flows[[#This Row],[UoM_Flow_Py]]</f>
        <v>Mg</v>
      </c>
      <c r="AI139"/>
    </row>
    <row r="140" spans="1:35" x14ac:dyDescent="0.25">
      <c r="A140" s="9">
        <f t="shared" si="5"/>
        <v>139</v>
      </c>
      <c r="B140" s="7" t="str">
        <f>_xlfn.XLOOKUP(C140,Tab_Def_Flows[Flow_Name],Tab_Def_Flows[Flow_ID],,0,)</f>
        <v>F_03_07</v>
      </c>
      <c r="C140" s="8" t="s">
        <v>613</v>
      </c>
      <c r="D140" s="10" t="str">
        <f>_xlfn.XLOOKUP(C140,Tab_Def_Flows[Flow_Name],Tab_Def_Flows[WC?],,0,)</f>
        <v>Yes</v>
      </c>
      <c r="E140" s="10" t="str">
        <f>_xlfn.XLOOKUP(C140,Tab_Def_Flows[Flow_Name],Tab_Def_Flows[DM?],,0,)</f>
        <v>Yes</v>
      </c>
      <c r="F140" s="10" t="str">
        <f>_xlfn.XLOOKUP(C140,Tab_Def_Flows[Flow_Name],Tab_Def_Flows[CC?],,0,)</f>
        <v>Yes</v>
      </c>
      <c r="G140" s="8">
        <v>2015</v>
      </c>
      <c r="H140" s="26">
        <v>50</v>
      </c>
      <c r="I140" s="8"/>
      <c r="J140" s="18"/>
      <c r="K140" s="8" t="e">
        <f>INDEX(#REF!,MATCH(Tab_Data_Flows[[#This Row],[Flow_Name]],#REF!,0),12)</f>
        <v>#REF!</v>
      </c>
      <c r="L140" s="8" t="e">
        <f>MATCH(Tab_Data_Flows[[#This Row],[Flow_Name]],#REF!,0)</f>
        <v>#REF!</v>
      </c>
      <c r="M140" s="8"/>
      <c r="N140" s="8"/>
      <c r="O140" s="8"/>
      <c r="P140" s="8"/>
      <c r="Q140" s="8" t="s">
        <v>7</v>
      </c>
      <c r="R140" s="8"/>
      <c r="S140" s="8"/>
      <c r="T140" s="7" t="str">
        <f>Tab_Data_Flows[[#This Row],[Flow_ID]]&amp;"_"&amp;"material_"&amp;Tab_Data_Flows[[#This Row],[Flow_Data_Year]]</f>
        <v>F_03_07_material_2015</v>
      </c>
      <c r="U140" s="16">
        <f t="shared" si="6"/>
        <v>50</v>
      </c>
      <c r="V140" s="8" t="s">
        <v>211</v>
      </c>
      <c r="W140" s="153">
        <f>INDEX(Tab_Def_Flows[[Flow_ID]:[CC_DM_source]],MATCH(Tab_Data_Flows[[#This Row],[Flow_Name]],Tab_Def_Flows[Flow_Name],0),11)</f>
        <v>0</v>
      </c>
      <c r="X140" s="7" t="str">
        <f>Tab_Data_Flows[[#This Row],[Flow_ID]]&amp;"_"&amp;"WC_"&amp;Tab_Data_Flows[[#This Row],[Flow_Data_Year]]</f>
        <v>F_03_07_WC_2015</v>
      </c>
      <c r="Y140" s="7">
        <f>IF(D140="Yes",U140*Tab_Data_Flows[[#This Row],[WC_'[%']]],"N.A.")</f>
        <v>0</v>
      </c>
      <c r="Z140" s="7" t="str">
        <f>Tab_Data_Flows[[#This Row],[UoM_Flow_Py]]</f>
        <v>Mg</v>
      </c>
      <c r="AA140" s="153">
        <f>INDEX(Tab_Def_Flows[[Flow_ID]:[CC_DM_source]],MATCH(Tab_Data_Flows[[#This Row],[Flow_Name]],Tab_Def_Flows[Flow_Name],0),14)</f>
        <v>0</v>
      </c>
      <c r="AB140" s="7" t="str">
        <f>Tab_Data_Flows[[#This Row],[Flow_ID]]&amp;"_"&amp;"DM_"&amp;Tab_Data_Flows[[#This Row],[Flow_Data_Year]]</f>
        <v>F_03_07_DM_2015</v>
      </c>
      <c r="AC140" s="7">
        <f>IF(E140="Yes",AA140*Tab_Data_Flows[[#This Row],[Flow_Material]],"N.A.")</f>
        <v>0</v>
      </c>
      <c r="AD140" s="7" t="str">
        <f>Tab_Data_Flows[[#This Row],[UoM_Flow_Py]]</f>
        <v>Mg</v>
      </c>
      <c r="AE140" s="153">
        <f>INDEX(Tab_Def_Flows[[Flow_ID]:[CC_DM_source]],MATCH(Tab_Data_Flows[[#This Row],[Flow_Name]],Tab_Def_Flows[Flow_Name],0),17)</f>
        <v>0</v>
      </c>
      <c r="AF140" s="7" t="str">
        <f>Tab_Data_Flows[[#This Row],[Flow_ID]]&amp;"_"&amp;"CC_"&amp;Tab_Data_Flows[[#This Row],[Flow_Data_Year]]</f>
        <v>F_03_07_CC_2015</v>
      </c>
      <c r="AG140" s="7">
        <f>IF(F140="Yes",AE140*Tab_Data_Flows[[#This Row],[Flow_Material]]*Tab_Data_Flows[[#This Row],[DM_'[%']]],"N.A.")</f>
        <v>0</v>
      </c>
      <c r="AH140" s="7" t="str">
        <f>Tab_Data_Flows[[#This Row],[UoM_Flow_Py]]</f>
        <v>Mg</v>
      </c>
      <c r="AI140"/>
    </row>
    <row r="141" spans="1:35" x14ac:dyDescent="0.25">
      <c r="A141" s="9">
        <f t="shared" si="5"/>
        <v>140</v>
      </c>
      <c r="B141" s="7" t="str">
        <f>_xlfn.XLOOKUP(C141,Tab_Def_Flows[Flow_Name],Tab_Def_Flows[Flow_ID],,0,)</f>
        <v>F_03_07</v>
      </c>
      <c r="C141" s="8" t="s">
        <v>613</v>
      </c>
      <c r="D141" s="10" t="str">
        <f>_xlfn.XLOOKUP(C141,Tab_Def_Flows[Flow_Name],Tab_Def_Flows[WC?],,0,)</f>
        <v>Yes</v>
      </c>
      <c r="E141" s="10" t="str">
        <f>_xlfn.XLOOKUP(C141,Tab_Def_Flows[Flow_Name],Tab_Def_Flows[DM?],,0,)</f>
        <v>Yes</v>
      </c>
      <c r="F141" s="10" t="str">
        <f>_xlfn.XLOOKUP(C141,Tab_Def_Flows[Flow_Name],Tab_Def_Flows[CC?],,0,)</f>
        <v>Yes</v>
      </c>
      <c r="G141" s="8">
        <v>2016</v>
      </c>
      <c r="H141" s="26">
        <v>50</v>
      </c>
      <c r="I141" s="8"/>
      <c r="J141" s="18"/>
      <c r="K141" s="8" t="e">
        <f>INDEX(#REF!,MATCH(Tab_Data_Flows[[#This Row],[Flow_Name]],#REF!,0),12)</f>
        <v>#REF!</v>
      </c>
      <c r="L141" s="8" t="e">
        <f>MATCH(Tab_Data_Flows[[#This Row],[Flow_Name]],#REF!,0)</f>
        <v>#REF!</v>
      </c>
      <c r="M141" s="8"/>
      <c r="N141" s="8"/>
      <c r="O141" s="8"/>
      <c r="P141" s="8"/>
      <c r="Q141" s="8" t="s">
        <v>7</v>
      </c>
      <c r="R141" s="8"/>
      <c r="S141" s="8"/>
      <c r="T141" s="7" t="str">
        <f>Tab_Data_Flows[[#This Row],[Flow_ID]]&amp;"_"&amp;"material_"&amp;Tab_Data_Flows[[#This Row],[Flow_Data_Year]]</f>
        <v>F_03_07_material_2016</v>
      </c>
      <c r="U141" s="16">
        <f t="shared" si="6"/>
        <v>50</v>
      </c>
      <c r="V141" s="8" t="s">
        <v>211</v>
      </c>
      <c r="W141" s="153">
        <f>INDEX(Tab_Def_Flows[[Flow_ID]:[CC_DM_source]],MATCH(Tab_Data_Flows[[#This Row],[Flow_Name]],Tab_Def_Flows[Flow_Name],0),11)</f>
        <v>0</v>
      </c>
      <c r="X141" s="7" t="str">
        <f>Tab_Data_Flows[[#This Row],[Flow_ID]]&amp;"_"&amp;"WC_"&amp;Tab_Data_Flows[[#This Row],[Flow_Data_Year]]</f>
        <v>F_03_07_WC_2016</v>
      </c>
      <c r="Y141" s="7">
        <f>IF(D141="Yes",U141*Tab_Data_Flows[[#This Row],[WC_'[%']]],"N.A.")</f>
        <v>0</v>
      </c>
      <c r="Z141" s="7" t="str">
        <f>Tab_Data_Flows[[#This Row],[UoM_Flow_Py]]</f>
        <v>Mg</v>
      </c>
      <c r="AA141" s="153">
        <f>INDEX(Tab_Def_Flows[[Flow_ID]:[CC_DM_source]],MATCH(Tab_Data_Flows[[#This Row],[Flow_Name]],Tab_Def_Flows[Flow_Name],0),14)</f>
        <v>0</v>
      </c>
      <c r="AB141" s="7" t="str">
        <f>Tab_Data_Flows[[#This Row],[Flow_ID]]&amp;"_"&amp;"DM_"&amp;Tab_Data_Flows[[#This Row],[Flow_Data_Year]]</f>
        <v>F_03_07_DM_2016</v>
      </c>
      <c r="AC141" s="7">
        <f>IF(E141="Yes",AA141*Tab_Data_Flows[[#This Row],[Flow_Material]],"N.A.")</f>
        <v>0</v>
      </c>
      <c r="AD141" s="7" t="str">
        <f>Tab_Data_Flows[[#This Row],[UoM_Flow_Py]]</f>
        <v>Mg</v>
      </c>
      <c r="AE141" s="153">
        <f>INDEX(Tab_Def_Flows[[Flow_ID]:[CC_DM_source]],MATCH(Tab_Data_Flows[[#This Row],[Flow_Name]],Tab_Def_Flows[Flow_Name],0),17)</f>
        <v>0</v>
      </c>
      <c r="AF141" s="7" t="str">
        <f>Tab_Data_Flows[[#This Row],[Flow_ID]]&amp;"_"&amp;"CC_"&amp;Tab_Data_Flows[[#This Row],[Flow_Data_Year]]</f>
        <v>F_03_07_CC_2016</v>
      </c>
      <c r="AG141" s="7">
        <f>IF(F141="Yes",AE141*Tab_Data_Flows[[#This Row],[Flow_Material]]*Tab_Data_Flows[[#This Row],[DM_'[%']]],"N.A.")</f>
        <v>0</v>
      </c>
      <c r="AH141" s="7" t="str">
        <f>Tab_Data_Flows[[#This Row],[UoM_Flow_Py]]</f>
        <v>Mg</v>
      </c>
      <c r="AI141"/>
    </row>
    <row r="142" spans="1:35" x14ac:dyDescent="0.25">
      <c r="A142" s="9">
        <f t="shared" si="5"/>
        <v>141</v>
      </c>
      <c r="B142" s="7" t="str">
        <f>_xlfn.XLOOKUP(C142,Tab_Def_Flows[Flow_Name],Tab_Def_Flows[Flow_ID],,0,)</f>
        <v>F_03_07</v>
      </c>
      <c r="C142" s="8" t="s">
        <v>613</v>
      </c>
      <c r="D142" s="10" t="str">
        <f>_xlfn.XLOOKUP(C142,Tab_Def_Flows[Flow_Name],Tab_Def_Flows[WC?],,0,)</f>
        <v>Yes</v>
      </c>
      <c r="E142" s="10" t="str">
        <f>_xlfn.XLOOKUP(C142,Tab_Def_Flows[Flow_Name],Tab_Def_Flows[DM?],,0,)</f>
        <v>Yes</v>
      </c>
      <c r="F142" s="10" t="str">
        <f>_xlfn.XLOOKUP(C142,Tab_Def_Flows[Flow_Name],Tab_Def_Flows[CC?],,0,)</f>
        <v>Yes</v>
      </c>
      <c r="G142" s="8">
        <v>2017</v>
      </c>
      <c r="H142" s="26">
        <v>50</v>
      </c>
      <c r="I142" s="8"/>
      <c r="J142" s="18"/>
      <c r="K142" s="8" t="e">
        <f>INDEX(#REF!,MATCH(Tab_Data_Flows[[#This Row],[Flow_Name]],#REF!,0),12)</f>
        <v>#REF!</v>
      </c>
      <c r="L142" s="8" t="e">
        <f>MATCH(Tab_Data_Flows[[#This Row],[Flow_Name]],#REF!,0)</f>
        <v>#REF!</v>
      </c>
      <c r="M142" s="8"/>
      <c r="N142" s="8"/>
      <c r="O142" s="8"/>
      <c r="P142" s="8"/>
      <c r="Q142" s="8" t="s">
        <v>7</v>
      </c>
      <c r="R142" s="8"/>
      <c r="S142" s="8"/>
      <c r="T142" s="7" t="str">
        <f>Tab_Data_Flows[[#This Row],[Flow_ID]]&amp;"_"&amp;"material_"&amp;Tab_Data_Flows[[#This Row],[Flow_Data_Year]]</f>
        <v>F_03_07_material_2017</v>
      </c>
      <c r="U142" s="16">
        <f t="shared" si="6"/>
        <v>50</v>
      </c>
      <c r="V142" s="8" t="s">
        <v>211</v>
      </c>
      <c r="W142" s="153">
        <f>INDEX(Tab_Def_Flows[[Flow_ID]:[CC_DM_source]],MATCH(Tab_Data_Flows[[#This Row],[Flow_Name]],Tab_Def_Flows[Flow_Name],0),11)</f>
        <v>0</v>
      </c>
      <c r="X142" s="7" t="str">
        <f>Tab_Data_Flows[[#This Row],[Flow_ID]]&amp;"_"&amp;"WC_"&amp;Tab_Data_Flows[[#This Row],[Flow_Data_Year]]</f>
        <v>F_03_07_WC_2017</v>
      </c>
      <c r="Y142" s="7">
        <f>IF(D142="Yes",U142*Tab_Data_Flows[[#This Row],[WC_'[%']]],"N.A.")</f>
        <v>0</v>
      </c>
      <c r="Z142" s="7" t="str">
        <f>Tab_Data_Flows[[#This Row],[UoM_Flow_Py]]</f>
        <v>Mg</v>
      </c>
      <c r="AA142" s="153">
        <f>INDEX(Tab_Def_Flows[[Flow_ID]:[CC_DM_source]],MATCH(Tab_Data_Flows[[#This Row],[Flow_Name]],Tab_Def_Flows[Flow_Name],0),14)</f>
        <v>0</v>
      </c>
      <c r="AB142" s="7" t="str">
        <f>Tab_Data_Flows[[#This Row],[Flow_ID]]&amp;"_"&amp;"DM_"&amp;Tab_Data_Flows[[#This Row],[Flow_Data_Year]]</f>
        <v>F_03_07_DM_2017</v>
      </c>
      <c r="AC142" s="7">
        <f>IF(E142="Yes",AA142*Tab_Data_Flows[[#This Row],[Flow_Material]],"N.A.")</f>
        <v>0</v>
      </c>
      <c r="AD142" s="7" t="str">
        <f>Tab_Data_Flows[[#This Row],[UoM_Flow_Py]]</f>
        <v>Mg</v>
      </c>
      <c r="AE142" s="153">
        <f>INDEX(Tab_Def_Flows[[Flow_ID]:[CC_DM_source]],MATCH(Tab_Data_Flows[[#This Row],[Flow_Name]],Tab_Def_Flows[Flow_Name],0),17)</f>
        <v>0</v>
      </c>
      <c r="AF142" s="7" t="str">
        <f>Tab_Data_Flows[[#This Row],[Flow_ID]]&amp;"_"&amp;"CC_"&amp;Tab_Data_Flows[[#This Row],[Flow_Data_Year]]</f>
        <v>F_03_07_CC_2017</v>
      </c>
      <c r="AG142" s="7">
        <f>IF(F142="Yes",AE142*Tab_Data_Flows[[#This Row],[Flow_Material]]*Tab_Data_Flows[[#This Row],[DM_'[%']]],"N.A.")</f>
        <v>0</v>
      </c>
      <c r="AH142" s="7" t="str">
        <f>Tab_Data_Flows[[#This Row],[UoM_Flow_Py]]</f>
        <v>Mg</v>
      </c>
      <c r="AI142"/>
    </row>
    <row r="143" spans="1:35" x14ac:dyDescent="0.25">
      <c r="A143" s="9">
        <f t="shared" si="5"/>
        <v>142</v>
      </c>
      <c r="B143" s="7" t="str">
        <f>_xlfn.XLOOKUP(C143,Tab_Def_Flows[Flow_Name],Tab_Def_Flows[Flow_ID],,0,)</f>
        <v>F_03_07</v>
      </c>
      <c r="C143" s="8" t="s">
        <v>613</v>
      </c>
      <c r="D143" s="10" t="str">
        <f>_xlfn.XLOOKUP(C143,Tab_Def_Flows[Flow_Name],Tab_Def_Flows[WC?],,0,)</f>
        <v>Yes</v>
      </c>
      <c r="E143" s="10" t="str">
        <f>_xlfn.XLOOKUP(C143,Tab_Def_Flows[Flow_Name],Tab_Def_Flows[DM?],,0,)</f>
        <v>Yes</v>
      </c>
      <c r="F143" s="10" t="str">
        <f>_xlfn.XLOOKUP(C143,Tab_Def_Flows[Flow_Name],Tab_Def_Flows[CC?],,0,)</f>
        <v>Yes</v>
      </c>
      <c r="G143" s="8">
        <v>2018</v>
      </c>
      <c r="H143" s="26">
        <v>50</v>
      </c>
      <c r="I143" s="8"/>
      <c r="J143" s="18"/>
      <c r="K143" s="8" t="e">
        <f>INDEX(#REF!,MATCH(Tab_Data_Flows[[#This Row],[Flow_Name]],#REF!,0),12)</f>
        <v>#REF!</v>
      </c>
      <c r="L143" s="8" t="e">
        <f>MATCH(Tab_Data_Flows[[#This Row],[Flow_Name]],#REF!,0)</f>
        <v>#REF!</v>
      </c>
      <c r="M143" s="8"/>
      <c r="N143" s="8"/>
      <c r="O143" s="8"/>
      <c r="P143" s="8"/>
      <c r="Q143" s="8" t="s">
        <v>7</v>
      </c>
      <c r="R143" s="8"/>
      <c r="S143" s="8"/>
      <c r="T143" s="7" t="str">
        <f>Tab_Data_Flows[[#This Row],[Flow_ID]]&amp;"_"&amp;"material_"&amp;Tab_Data_Flows[[#This Row],[Flow_Data_Year]]</f>
        <v>F_03_07_material_2018</v>
      </c>
      <c r="U143" s="16">
        <f t="shared" si="6"/>
        <v>50</v>
      </c>
      <c r="V143" s="8" t="s">
        <v>211</v>
      </c>
      <c r="W143" s="153">
        <f>INDEX(Tab_Def_Flows[[Flow_ID]:[CC_DM_source]],MATCH(Tab_Data_Flows[[#This Row],[Flow_Name]],Tab_Def_Flows[Flow_Name],0),11)</f>
        <v>0</v>
      </c>
      <c r="X143" s="7" t="str">
        <f>Tab_Data_Flows[[#This Row],[Flow_ID]]&amp;"_"&amp;"WC_"&amp;Tab_Data_Flows[[#This Row],[Flow_Data_Year]]</f>
        <v>F_03_07_WC_2018</v>
      </c>
      <c r="Y143" s="7">
        <f>IF(D143="Yes",U143*Tab_Data_Flows[[#This Row],[WC_'[%']]],"N.A.")</f>
        <v>0</v>
      </c>
      <c r="Z143" s="7" t="str">
        <f>Tab_Data_Flows[[#This Row],[UoM_Flow_Py]]</f>
        <v>Mg</v>
      </c>
      <c r="AA143" s="153">
        <f>INDEX(Tab_Def_Flows[[Flow_ID]:[CC_DM_source]],MATCH(Tab_Data_Flows[[#This Row],[Flow_Name]],Tab_Def_Flows[Flow_Name],0),14)</f>
        <v>0</v>
      </c>
      <c r="AB143" s="7" t="str">
        <f>Tab_Data_Flows[[#This Row],[Flow_ID]]&amp;"_"&amp;"DM_"&amp;Tab_Data_Flows[[#This Row],[Flow_Data_Year]]</f>
        <v>F_03_07_DM_2018</v>
      </c>
      <c r="AC143" s="7">
        <f>IF(E143="Yes",AA143*Tab_Data_Flows[[#This Row],[Flow_Material]],"N.A.")</f>
        <v>0</v>
      </c>
      <c r="AD143" s="7" t="str">
        <f>Tab_Data_Flows[[#This Row],[UoM_Flow_Py]]</f>
        <v>Mg</v>
      </c>
      <c r="AE143" s="153">
        <f>INDEX(Tab_Def_Flows[[Flow_ID]:[CC_DM_source]],MATCH(Tab_Data_Flows[[#This Row],[Flow_Name]],Tab_Def_Flows[Flow_Name],0),17)</f>
        <v>0</v>
      </c>
      <c r="AF143" s="7" t="str">
        <f>Tab_Data_Flows[[#This Row],[Flow_ID]]&amp;"_"&amp;"CC_"&amp;Tab_Data_Flows[[#This Row],[Flow_Data_Year]]</f>
        <v>F_03_07_CC_2018</v>
      </c>
      <c r="AG143" s="7">
        <f>IF(F143="Yes",AE143*Tab_Data_Flows[[#This Row],[Flow_Material]]*Tab_Data_Flows[[#This Row],[DM_'[%']]],"N.A.")</f>
        <v>0</v>
      </c>
      <c r="AH143" s="7" t="str">
        <f>Tab_Data_Flows[[#This Row],[UoM_Flow_Py]]</f>
        <v>Mg</v>
      </c>
      <c r="AI143"/>
    </row>
    <row r="144" spans="1:35" x14ac:dyDescent="0.25">
      <c r="A144" s="9">
        <f t="shared" si="5"/>
        <v>143</v>
      </c>
      <c r="B144" s="7" t="str">
        <f>_xlfn.XLOOKUP(C144,Tab_Def_Flows[Flow_Name],Tab_Def_Flows[Flow_ID],,0,)</f>
        <v>F_03_07</v>
      </c>
      <c r="C144" s="8" t="s">
        <v>613</v>
      </c>
      <c r="D144" s="10" t="str">
        <f>_xlfn.XLOOKUP(C144,Tab_Def_Flows[Flow_Name],Tab_Def_Flows[WC?],,0,)</f>
        <v>Yes</v>
      </c>
      <c r="E144" s="10" t="str">
        <f>_xlfn.XLOOKUP(C144,Tab_Def_Flows[Flow_Name],Tab_Def_Flows[DM?],,0,)</f>
        <v>Yes</v>
      </c>
      <c r="F144" s="10" t="str">
        <f>_xlfn.XLOOKUP(C144,Tab_Def_Flows[Flow_Name],Tab_Def_Flows[CC?],,0,)</f>
        <v>Yes</v>
      </c>
      <c r="G144" s="8">
        <v>2019</v>
      </c>
      <c r="H144" s="26">
        <v>50</v>
      </c>
      <c r="I144" s="8"/>
      <c r="J144" s="18"/>
      <c r="K144" s="8" t="e">
        <f>INDEX(#REF!,MATCH(Tab_Data_Flows[[#This Row],[Flow_Name]],#REF!,0),12)</f>
        <v>#REF!</v>
      </c>
      <c r="L144" s="8" t="e">
        <f>MATCH(Tab_Data_Flows[[#This Row],[Flow_Name]],#REF!,0)</f>
        <v>#REF!</v>
      </c>
      <c r="M144" s="8"/>
      <c r="N144" s="8"/>
      <c r="O144" s="8"/>
      <c r="P144" s="8"/>
      <c r="Q144" s="8" t="s">
        <v>7</v>
      </c>
      <c r="R144" s="8"/>
      <c r="S144" s="8"/>
      <c r="T144" s="7" t="str">
        <f>Tab_Data_Flows[[#This Row],[Flow_ID]]&amp;"_"&amp;"material_"&amp;Tab_Data_Flows[[#This Row],[Flow_Data_Year]]</f>
        <v>F_03_07_material_2019</v>
      </c>
      <c r="U144" s="16">
        <f t="shared" si="6"/>
        <v>50</v>
      </c>
      <c r="V144" s="8" t="s">
        <v>211</v>
      </c>
      <c r="W144" s="153">
        <f>INDEX(Tab_Def_Flows[[Flow_ID]:[CC_DM_source]],MATCH(Tab_Data_Flows[[#This Row],[Flow_Name]],Tab_Def_Flows[Flow_Name],0),11)</f>
        <v>0</v>
      </c>
      <c r="X144" s="7" t="str">
        <f>Tab_Data_Flows[[#This Row],[Flow_ID]]&amp;"_"&amp;"WC_"&amp;Tab_Data_Flows[[#This Row],[Flow_Data_Year]]</f>
        <v>F_03_07_WC_2019</v>
      </c>
      <c r="Y144" s="7">
        <f>IF(D144="Yes",U144*Tab_Data_Flows[[#This Row],[WC_'[%']]],"N.A.")</f>
        <v>0</v>
      </c>
      <c r="Z144" s="7" t="str">
        <f>Tab_Data_Flows[[#This Row],[UoM_Flow_Py]]</f>
        <v>Mg</v>
      </c>
      <c r="AA144" s="153">
        <f>INDEX(Tab_Def_Flows[[Flow_ID]:[CC_DM_source]],MATCH(Tab_Data_Flows[[#This Row],[Flow_Name]],Tab_Def_Flows[Flow_Name],0),14)</f>
        <v>0</v>
      </c>
      <c r="AB144" s="7" t="str">
        <f>Tab_Data_Flows[[#This Row],[Flow_ID]]&amp;"_"&amp;"DM_"&amp;Tab_Data_Flows[[#This Row],[Flow_Data_Year]]</f>
        <v>F_03_07_DM_2019</v>
      </c>
      <c r="AC144" s="7">
        <f>IF(E144="Yes",AA144*Tab_Data_Flows[[#This Row],[Flow_Material]],"N.A.")</f>
        <v>0</v>
      </c>
      <c r="AD144" s="7" t="str">
        <f>Tab_Data_Flows[[#This Row],[UoM_Flow_Py]]</f>
        <v>Mg</v>
      </c>
      <c r="AE144" s="153">
        <f>INDEX(Tab_Def_Flows[[Flow_ID]:[CC_DM_source]],MATCH(Tab_Data_Flows[[#This Row],[Flow_Name]],Tab_Def_Flows[Flow_Name],0),17)</f>
        <v>0</v>
      </c>
      <c r="AF144" s="7" t="str">
        <f>Tab_Data_Flows[[#This Row],[Flow_ID]]&amp;"_"&amp;"CC_"&amp;Tab_Data_Flows[[#This Row],[Flow_Data_Year]]</f>
        <v>F_03_07_CC_2019</v>
      </c>
      <c r="AG144" s="7">
        <f>IF(F144="Yes",AE144*Tab_Data_Flows[[#This Row],[Flow_Material]]*Tab_Data_Flows[[#This Row],[DM_'[%']]],"N.A.")</f>
        <v>0</v>
      </c>
      <c r="AH144" s="7" t="str">
        <f>Tab_Data_Flows[[#This Row],[UoM_Flow_Py]]</f>
        <v>Mg</v>
      </c>
      <c r="AI144"/>
    </row>
    <row r="145" spans="1:35" x14ac:dyDescent="0.25">
      <c r="A145" s="9">
        <f t="shared" si="5"/>
        <v>144</v>
      </c>
      <c r="B145" s="7" t="str">
        <f>_xlfn.XLOOKUP(C145,Tab_Def_Flows[Flow_Name],Tab_Def_Flows[Flow_ID],,0,)</f>
        <v>F_03_07</v>
      </c>
      <c r="C145" s="8" t="s">
        <v>613</v>
      </c>
      <c r="D145" s="10" t="str">
        <f>_xlfn.XLOOKUP(C145,Tab_Def_Flows[Flow_Name],Tab_Def_Flows[WC?],,0,)</f>
        <v>Yes</v>
      </c>
      <c r="E145" s="10" t="str">
        <f>_xlfn.XLOOKUP(C145,Tab_Def_Flows[Flow_Name],Tab_Def_Flows[DM?],,0,)</f>
        <v>Yes</v>
      </c>
      <c r="F145" s="10" t="str">
        <f>_xlfn.XLOOKUP(C145,Tab_Def_Flows[Flow_Name],Tab_Def_Flows[CC?],,0,)</f>
        <v>Yes</v>
      </c>
      <c r="G145" s="8">
        <v>2020</v>
      </c>
      <c r="H145" s="26">
        <v>50</v>
      </c>
      <c r="I145" s="8"/>
      <c r="J145" s="18"/>
      <c r="K145" s="8" t="e">
        <f>INDEX(#REF!,MATCH(Tab_Data_Flows[[#This Row],[Flow_Name]],#REF!,0),12)</f>
        <v>#REF!</v>
      </c>
      <c r="L145" s="8" t="e">
        <f>MATCH(Tab_Data_Flows[[#This Row],[Flow_Name]],#REF!,0)</f>
        <v>#REF!</v>
      </c>
      <c r="M145" s="8"/>
      <c r="N145" s="8"/>
      <c r="O145" s="8"/>
      <c r="P145" s="8"/>
      <c r="Q145" s="8" t="s">
        <v>7</v>
      </c>
      <c r="R145" s="8"/>
      <c r="S145" s="8"/>
      <c r="T145" s="7" t="str">
        <f>Tab_Data_Flows[[#This Row],[Flow_ID]]&amp;"_"&amp;"material_"&amp;Tab_Data_Flows[[#This Row],[Flow_Data_Year]]</f>
        <v>F_03_07_material_2020</v>
      </c>
      <c r="U145" s="16">
        <f t="shared" si="6"/>
        <v>50</v>
      </c>
      <c r="V145" s="8" t="s">
        <v>211</v>
      </c>
      <c r="W145" s="153">
        <f>INDEX(Tab_Def_Flows[[Flow_ID]:[CC_DM_source]],MATCH(Tab_Data_Flows[[#This Row],[Flow_Name]],Tab_Def_Flows[Flow_Name],0),11)</f>
        <v>0</v>
      </c>
      <c r="X145" s="7" t="str">
        <f>Tab_Data_Flows[[#This Row],[Flow_ID]]&amp;"_"&amp;"WC_"&amp;Tab_Data_Flows[[#This Row],[Flow_Data_Year]]</f>
        <v>F_03_07_WC_2020</v>
      </c>
      <c r="Y145" s="7">
        <f>IF(D145="Yes",U145*Tab_Data_Flows[[#This Row],[WC_'[%']]],"N.A.")</f>
        <v>0</v>
      </c>
      <c r="Z145" s="7" t="str">
        <f>Tab_Data_Flows[[#This Row],[UoM_Flow_Py]]</f>
        <v>Mg</v>
      </c>
      <c r="AA145" s="153">
        <f>INDEX(Tab_Def_Flows[[Flow_ID]:[CC_DM_source]],MATCH(Tab_Data_Flows[[#This Row],[Flow_Name]],Tab_Def_Flows[Flow_Name],0),14)</f>
        <v>0</v>
      </c>
      <c r="AB145" s="7" t="str">
        <f>Tab_Data_Flows[[#This Row],[Flow_ID]]&amp;"_"&amp;"DM_"&amp;Tab_Data_Flows[[#This Row],[Flow_Data_Year]]</f>
        <v>F_03_07_DM_2020</v>
      </c>
      <c r="AC145" s="7">
        <f>IF(E145="Yes",AA145*Tab_Data_Flows[[#This Row],[Flow_Material]],"N.A.")</f>
        <v>0</v>
      </c>
      <c r="AD145" s="7" t="str">
        <f>Tab_Data_Flows[[#This Row],[UoM_Flow_Py]]</f>
        <v>Mg</v>
      </c>
      <c r="AE145" s="153">
        <f>INDEX(Tab_Def_Flows[[Flow_ID]:[CC_DM_source]],MATCH(Tab_Data_Flows[[#This Row],[Flow_Name]],Tab_Def_Flows[Flow_Name],0),17)</f>
        <v>0</v>
      </c>
      <c r="AF145" s="7" t="str">
        <f>Tab_Data_Flows[[#This Row],[Flow_ID]]&amp;"_"&amp;"CC_"&amp;Tab_Data_Flows[[#This Row],[Flow_Data_Year]]</f>
        <v>F_03_07_CC_2020</v>
      </c>
      <c r="AG145" s="7">
        <f>IF(F145="Yes",AE145*Tab_Data_Flows[[#This Row],[Flow_Material]]*Tab_Data_Flows[[#This Row],[DM_'[%']]],"N.A.")</f>
        <v>0</v>
      </c>
      <c r="AH145" s="7" t="str">
        <f>Tab_Data_Flows[[#This Row],[UoM_Flow_Py]]</f>
        <v>Mg</v>
      </c>
      <c r="AI145"/>
    </row>
    <row r="146" spans="1:35" x14ac:dyDescent="0.25">
      <c r="A146" s="9">
        <f t="shared" si="5"/>
        <v>145</v>
      </c>
      <c r="B146" s="7" t="str">
        <f>_xlfn.XLOOKUP(C146,Tab_Def_Flows[Flow_Name],Tab_Def_Flows[Flow_ID],,0,)</f>
        <v>F_03_07</v>
      </c>
      <c r="C146" s="8" t="s">
        <v>613</v>
      </c>
      <c r="D146" s="10" t="str">
        <f>_xlfn.XLOOKUP(C146,Tab_Def_Flows[Flow_Name],Tab_Def_Flows[WC?],,0,)</f>
        <v>Yes</v>
      </c>
      <c r="E146" s="10" t="str">
        <f>_xlfn.XLOOKUP(C146,Tab_Def_Flows[Flow_Name],Tab_Def_Flows[DM?],,0,)</f>
        <v>Yes</v>
      </c>
      <c r="F146" s="10" t="str">
        <f>_xlfn.XLOOKUP(C146,Tab_Def_Flows[Flow_Name],Tab_Def_Flows[CC?],,0,)</f>
        <v>Yes</v>
      </c>
      <c r="G146" s="8">
        <v>2021</v>
      </c>
      <c r="H146" s="26">
        <v>50</v>
      </c>
      <c r="I146" s="8"/>
      <c r="J146" s="18"/>
      <c r="K146" s="8" t="e">
        <f>INDEX(#REF!,MATCH(Tab_Data_Flows[[#This Row],[Flow_Name]],#REF!,0),12)</f>
        <v>#REF!</v>
      </c>
      <c r="L146" s="8" t="e">
        <f>MATCH(Tab_Data_Flows[[#This Row],[Flow_Name]],#REF!,0)</f>
        <v>#REF!</v>
      </c>
      <c r="M146" s="8"/>
      <c r="N146" s="8"/>
      <c r="O146" s="8"/>
      <c r="P146" s="8"/>
      <c r="Q146" s="8" t="s">
        <v>7</v>
      </c>
      <c r="R146" s="8"/>
      <c r="S146" s="8"/>
      <c r="T146" s="7" t="str">
        <f>Tab_Data_Flows[[#This Row],[Flow_ID]]&amp;"_"&amp;"material_"&amp;Tab_Data_Flows[[#This Row],[Flow_Data_Year]]</f>
        <v>F_03_07_material_2021</v>
      </c>
      <c r="U146" s="16">
        <f t="shared" si="6"/>
        <v>50</v>
      </c>
      <c r="V146" s="8" t="s">
        <v>211</v>
      </c>
      <c r="W146" s="153">
        <f>INDEX(Tab_Def_Flows[[Flow_ID]:[CC_DM_source]],MATCH(Tab_Data_Flows[[#This Row],[Flow_Name]],Tab_Def_Flows[Flow_Name],0),11)</f>
        <v>0</v>
      </c>
      <c r="X146" s="7" t="str">
        <f>Tab_Data_Flows[[#This Row],[Flow_ID]]&amp;"_"&amp;"WC_"&amp;Tab_Data_Flows[[#This Row],[Flow_Data_Year]]</f>
        <v>F_03_07_WC_2021</v>
      </c>
      <c r="Y146" s="7">
        <f>IF(D146="Yes",U146*Tab_Data_Flows[[#This Row],[WC_'[%']]],"N.A.")</f>
        <v>0</v>
      </c>
      <c r="Z146" s="7" t="str">
        <f>Tab_Data_Flows[[#This Row],[UoM_Flow_Py]]</f>
        <v>Mg</v>
      </c>
      <c r="AA146" s="153">
        <f>INDEX(Tab_Def_Flows[[Flow_ID]:[CC_DM_source]],MATCH(Tab_Data_Flows[[#This Row],[Flow_Name]],Tab_Def_Flows[Flow_Name],0),14)</f>
        <v>0</v>
      </c>
      <c r="AB146" s="7" t="str">
        <f>Tab_Data_Flows[[#This Row],[Flow_ID]]&amp;"_"&amp;"DM_"&amp;Tab_Data_Flows[[#This Row],[Flow_Data_Year]]</f>
        <v>F_03_07_DM_2021</v>
      </c>
      <c r="AC146" s="7">
        <f>IF(E146="Yes",AA146*Tab_Data_Flows[[#This Row],[Flow_Material]],"N.A.")</f>
        <v>0</v>
      </c>
      <c r="AD146" s="7" t="str">
        <f>Tab_Data_Flows[[#This Row],[UoM_Flow_Py]]</f>
        <v>Mg</v>
      </c>
      <c r="AE146" s="153">
        <f>INDEX(Tab_Def_Flows[[Flow_ID]:[CC_DM_source]],MATCH(Tab_Data_Flows[[#This Row],[Flow_Name]],Tab_Def_Flows[Flow_Name],0),17)</f>
        <v>0</v>
      </c>
      <c r="AF146" s="7" t="str">
        <f>Tab_Data_Flows[[#This Row],[Flow_ID]]&amp;"_"&amp;"CC_"&amp;Tab_Data_Flows[[#This Row],[Flow_Data_Year]]</f>
        <v>F_03_07_CC_2021</v>
      </c>
      <c r="AG146" s="7">
        <f>IF(F146="Yes",AE146*Tab_Data_Flows[[#This Row],[Flow_Material]]*Tab_Data_Flows[[#This Row],[DM_'[%']]],"N.A.")</f>
        <v>0</v>
      </c>
      <c r="AH146" s="7" t="str">
        <f>Tab_Data_Flows[[#This Row],[UoM_Flow_Py]]</f>
        <v>Mg</v>
      </c>
      <c r="AI146"/>
    </row>
    <row r="147" spans="1:35" x14ac:dyDescent="0.25">
      <c r="A147" s="9">
        <f t="shared" si="5"/>
        <v>146</v>
      </c>
      <c r="B147" s="7" t="str">
        <f>_xlfn.XLOOKUP(C147,Tab_Def_Flows[Flow_Name],Tab_Def_Flows[Flow_ID],,0,)</f>
        <v>F_03_07</v>
      </c>
      <c r="C147" s="8" t="s">
        <v>613</v>
      </c>
      <c r="D147" s="10" t="str">
        <f>_xlfn.XLOOKUP(C147,Tab_Def_Flows[Flow_Name],Tab_Def_Flows[WC?],,0,)</f>
        <v>Yes</v>
      </c>
      <c r="E147" s="10" t="str">
        <f>_xlfn.XLOOKUP(C147,Tab_Def_Flows[Flow_Name],Tab_Def_Flows[DM?],,0,)</f>
        <v>Yes</v>
      </c>
      <c r="F147" s="10" t="str">
        <f>_xlfn.XLOOKUP(C147,Tab_Def_Flows[Flow_Name],Tab_Def_Flows[CC?],,0,)</f>
        <v>Yes</v>
      </c>
      <c r="G147" s="8">
        <v>2022</v>
      </c>
      <c r="H147" s="26">
        <v>50</v>
      </c>
      <c r="I147" s="8"/>
      <c r="J147" s="18"/>
      <c r="K147" s="8"/>
      <c r="L147" s="8"/>
      <c r="M147" s="8"/>
      <c r="N147" s="8"/>
      <c r="O147" s="8"/>
      <c r="P147" s="8"/>
      <c r="Q147" s="8" t="s">
        <v>7</v>
      </c>
      <c r="R147" s="19"/>
      <c r="S147" s="8"/>
      <c r="T147" s="7" t="str">
        <f>Tab_Data_Flows[[#This Row],[Flow_ID]]&amp;"_"&amp;"material_"&amp;Tab_Data_Flows[[#This Row],[Flow_Data_Year]]</f>
        <v>F_03_07_material_2022</v>
      </c>
      <c r="U147" s="16">
        <f t="shared" si="6"/>
        <v>50</v>
      </c>
      <c r="V147" s="8" t="s">
        <v>211</v>
      </c>
      <c r="W147" s="153">
        <f>INDEX(Tab_Def_Flows[[Flow_ID]:[CC_DM_source]],MATCH(Tab_Data_Flows[[#This Row],[Flow_Name]],Tab_Def_Flows[Flow_Name],0),11)</f>
        <v>0</v>
      </c>
      <c r="X147" s="7" t="str">
        <f>Tab_Data_Flows[[#This Row],[Flow_ID]]&amp;"_"&amp;"WC_"&amp;Tab_Data_Flows[[#This Row],[Flow_Data_Year]]</f>
        <v>F_03_07_WC_2022</v>
      </c>
      <c r="Y147" s="7">
        <f>IF(D147="Yes",U147*Tab_Data_Flows[[#This Row],[WC_'[%']]],"N.A.")</f>
        <v>0</v>
      </c>
      <c r="Z147" s="7" t="str">
        <f>Tab_Data_Flows[[#This Row],[UoM_Flow_Py]]</f>
        <v>Mg</v>
      </c>
      <c r="AA147" s="153">
        <f>INDEX(Tab_Def_Flows[[Flow_ID]:[CC_DM_source]],MATCH(Tab_Data_Flows[[#This Row],[Flow_Name]],Tab_Def_Flows[Flow_Name],0),14)</f>
        <v>0</v>
      </c>
      <c r="AB147" s="7" t="str">
        <f>Tab_Data_Flows[[#This Row],[Flow_ID]]&amp;"_"&amp;"DM_"&amp;Tab_Data_Flows[[#This Row],[Flow_Data_Year]]</f>
        <v>F_03_07_DM_2022</v>
      </c>
      <c r="AC147" s="7">
        <f>IF(E147="Yes",AA147*Tab_Data_Flows[[#This Row],[Flow_Material]],"N.A.")</f>
        <v>0</v>
      </c>
      <c r="AD147" s="7" t="str">
        <f>Tab_Data_Flows[[#This Row],[UoM_Flow_Py]]</f>
        <v>Mg</v>
      </c>
      <c r="AE147" s="153">
        <f>INDEX(Tab_Def_Flows[[Flow_ID]:[CC_DM_source]],MATCH(Tab_Data_Flows[[#This Row],[Flow_Name]],Tab_Def_Flows[Flow_Name],0),17)</f>
        <v>0</v>
      </c>
      <c r="AF147" s="7" t="str">
        <f>Tab_Data_Flows[[#This Row],[Flow_ID]]&amp;"_"&amp;"CC_"&amp;Tab_Data_Flows[[#This Row],[Flow_Data_Year]]</f>
        <v>F_03_07_CC_2022</v>
      </c>
      <c r="AG147" s="7">
        <f>IF(F147="Yes",AE147*Tab_Data_Flows[[#This Row],[Flow_Material]]*Tab_Data_Flows[[#This Row],[DM_'[%']]],"N.A.")</f>
        <v>0</v>
      </c>
      <c r="AH147" s="7" t="str">
        <f>Tab_Data_Flows[[#This Row],[UoM_Flow_Py]]</f>
        <v>Mg</v>
      </c>
      <c r="AI147"/>
    </row>
    <row r="148" spans="1:35" x14ac:dyDescent="0.25">
      <c r="A148" s="9">
        <f t="shared" si="5"/>
        <v>147</v>
      </c>
      <c r="B148" s="7" t="str">
        <f>_xlfn.XLOOKUP(C148,Tab_Def_Flows[Flow_Name],Tab_Def_Flows[Flow_ID],,0,)</f>
        <v>F_03_07</v>
      </c>
      <c r="C148" s="8" t="s">
        <v>613</v>
      </c>
      <c r="D148" s="10" t="str">
        <f>_xlfn.XLOOKUP(C148,Tab_Def_Flows[Flow_Name],Tab_Def_Flows[WC?],,0,)</f>
        <v>Yes</v>
      </c>
      <c r="E148" s="10" t="str">
        <f>_xlfn.XLOOKUP(C148,Tab_Def_Flows[Flow_Name],Tab_Def_Flows[DM?],,0,)</f>
        <v>Yes</v>
      </c>
      <c r="F148" s="10" t="str">
        <f>_xlfn.XLOOKUP(C148,Tab_Def_Flows[Flow_Name],Tab_Def_Flows[CC?],,0,)</f>
        <v>Yes</v>
      </c>
      <c r="G148" s="8">
        <v>2023</v>
      </c>
      <c r="H148" s="26">
        <v>50</v>
      </c>
      <c r="I148" s="8"/>
      <c r="J148" s="18"/>
      <c r="K148" s="8"/>
      <c r="L148" s="8"/>
      <c r="M148" s="8"/>
      <c r="N148" s="8"/>
      <c r="O148" s="8"/>
      <c r="P148" s="8"/>
      <c r="Q148" s="8" t="s">
        <v>7</v>
      </c>
      <c r="R148" s="19"/>
      <c r="S148" s="8"/>
      <c r="T148" s="7" t="str">
        <f>Tab_Data_Flows[[#This Row],[Flow_ID]]&amp;"_"&amp;"material_"&amp;Tab_Data_Flows[[#This Row],[Flow_Data_Year]]</f>
        <v>F_03_07_material_2023</v>
      </c>
      <c r="U148" s="16">
        <f t="shared" si="6"/>
        <v>50</v>
      </c>
      <c r="V148" s="8" t="s">
        <v>211</v>
      </c>
      <c r="W148" s="153">
        <f>INDEX(Tab_Def_Flows[[Flow_ID]:[CC_DM_source]],MATCH(Tab_Data_Flows[[#This Row],[Flow_Name]],Tab_Def_Flows[Flow_Name],0),11)</f>
        <v>0</v>
      </c>
      <c r="X148" s="7" t="str">
        <f>Tab_Data_Flows[[#This Row],[Flow_ID]]&amp;"_"&amp;"WC_"&amp;Tab_Data_Flows[[#This Row],[Flow_Data_Year]]</f>
        <v>F_03_07_WC_2023</v>
      </c>
      <c r="Y148" s="7">
        <f>IF(D148="Yes",U148*Tab_Data_Flows[[#This Row],[WC_'[%']]],"N.A.")</f>
        <v>0</v>
      </c>
      <c r="Z148" s="7" t="str">
        <f>Tab_Data_Flows[[#This Row],[UoM_Flow_Py]]</f>
        <v>Mg</v>
      </c>
      <c r="AA148" s="153">
        <f>INDEX(Tab_Def_Flows[[Flow_ID]:[CC_DM_source]],MATCH(Tab_Data_Flows[[#This Row],[Flow_Name]],Tab_Def_Flows[Flow_Name],0),14)</f>
        <v>0</v>
      </c>
      <c r="AB148" s="7" t="str">
        <f>Tab_Data_Flows[[#This Row],[Flow_ID]]&amp;"_"&amp;"DM_"&amp;Tab_Data_Flows[[#This Row],[Flow_Data_Year]]</f>
        <v>F_03_07_DM_2023</v>
      </c>
      <c r="AC148" s="7">
        <f>IF(E148="Yes",AA148*Tab_Data_Flows[[#This Row],[Flow_Material]],"N.A.")</f>
        <v>0</v>
      </c>
      <c r="AD148" s="7" t="str">
        <f>Tab_Data_Flows[[#This Row],[UoM_Flow_Py]]</f>
        <v>Mg</v>
      </c>
      <c r="AE148" s="153">
        <f>INDEX(Tab_Def_Flows[[Flow_ID]:[CC_DM_source]],MATCH(Tab_Data_Flows[[#This Row],[Flow_Name]],Tab_Def_Flows[Flow_Name],0),17)</f>
        <v>0</v>
      </c>
      <c r="AF148" s="7" t="str">
        <f>Tab_Data_Flows[[#This Row],[Flow_ID]]&amp;"_"&amp;"CC_"&amp;Tab_Data_Flows[[#This Row],[Flow_Data_Year]]</f>
        <v>F_03_07_CC_2023</v>
      </c>
      <c r="AG148" s="7">
        <f>IF(F148="Yes",AE148*Tab_Data_Flows[[#This Row],[Flow_Material]]*Tab_Data_Flows[[#This Row],[DM_'[%']]],"N.A.")</f>
        <v>0</v>
      </c>
      <c r="AH148" s="7" t="str">
        <f>Tab_Data_Flows[[#This Row],[UoM_Flow_Py]]</f>
        <v>Mg</v>
      </c>
      <c r="AI148"/>
    </row>
    <row r="149" spans="1:35" x14ac:dyDescent="0.25">
      <c r="A149" s="9">
        <f t="shared" si="5"/>
        <v>148</v>
      </c>
      <c r="B149" s="7" t="str">
        <f>_xlfn.XLOOKUP(C149,Tab_Def_Flows[Flow_Name],Tab_Def_Flows[Flow_ID],,0,)</f>
        <v>F_03_07</v>
      </c>
      <c r="C149" s="8" t="s">
        <v>613</v>
      </c>
      <c r="D149" s="10" t="str">
        <f>_xlfn.XLOOKUP(C149,Tab_Def_Flows[Flow_Name],Tab_Def_Flows[WC?],,0,)</f>
        <v>Yes</v>
      </c>
      <c r="E149" s="10" t="str">
        <f>_xlfn.XLOOKUP(C149,Tab_Def_Flows[Flow_Name],Tab_Def_Flows[DM?],,0,)</f>
        <v>Yes</v>
      </c>
      <c r="F149" s="10" t="str">
        <f>_xlfn.XLOOKUP(C149,Tab_Def_Flows[Flow_Name],Tab_Def_Flows[CC?],,0,)</f>
        <v>Yes</v>
      </c>
      <c r="G149" s="8">
        <v>2024</v>
      </c>
      <c r="H149" s="26">
        <v>50</v>
      </c>
      <c r="I149" s="8"/>
      <c r="J149" s="18"/>
      <c r="K149" s="8"/>
      <c r="L149" s="8"/>
      <c r="M149" s="8"/>
      <c r="N149" s="8"/>
      <c r="O149" s="8"/>
      <c r="P149" s="8"/>
      <c r="Q149" s="8" t="s">
        <v>7</v>
      </c>
      <c r="R149" s="19"/>
      <c r="S149" s="8"/>
      <c r="T149" s="7" t="str">
        <f>Tab_Data_Flows[[#This Row],[Flow_ID]]&amp;"_"&amp;"material_"&amp;Tab_Data_Flows[[#This Row],[Flow_Data_Year]]</f>
        <v>F_03_07_material_2024</v>
      </c>
      <c r="U149" s="16">
        <f t="shared" si="6"/>
        <v>50</v>
      </c>
      <c r="V149" s="8" t="s">
        <v>211</v>
      </c>
      <c r="W149" s="153">
        <f>INDEX(Tab_Def_Flows[[Flow_ID]:[CC_DM_source]],MATCH(Tab_Data_Flows[[#This Row],[Flow_Name]],Tab_Def_Flows[Flow_Name],0),11)</f>
        <v>0</v>
      </c>
      <c r="X149" s="7" t="str">
        <f>Tab_Data_Flows[[#This Row],[Flow_ID]]&amp;"_"&amp;"WC_"&amp;Tab_Data_Flows[[#This Row],[Flow_Data_Year]]</f>
        <v>F_03_07_WC_2024</v>
      </c>
      <c r="Y149" s="7">
        <f>IF(D149="Yes",U149*Tab_Data_Flows[[#This Row],[WC_'[%']]],"N.A.")</f>
        <v>0</v>
      </c>
      <c r="Z149" s="7" t="str">
        <f>Tab_Data_Flows[[#This Row],[UoM_Flow_Py]]</f>
        <v>Mg</v>
      </c>
      <c r="AA149" s="153">
        <f>INDEX(Tab_Def_Flows[[Flow_ID]:[CC_DM_source]],MATCH(Tab_Data_Flows[[#This Row],[Flow_Name]],Tab_Def_Flows[Flow_Name],0),14)</f>
        <v>0</v>
      </c>
      <c r="AB149" s="7" t="str">
        <f>Tab_Data_Flows[[#This Row],[Flow_ID]]&amp;"_"&amp;"DM_"&amp;Tab_Data_Flows[[#This Row],[Flow_Data_Year]]</f>
        <v>F_03_07_DM_2024</v>
      </c>
      <c r="AC149" s="7">
        <f>IF(E149="Yes",AA149*Tab_Data_Flows[[#This Row],[Flow_Material]],"N.A.")</f>
        <v>0</v>
      </c>
      <c r="AD149" s="7" t="str">
        <f>Tab_Data_Flows[[#This Row],[UoM_Flow_Py]]</f>
        <v>Mg</v>
      </c>
      <c r="AE149" s="153">
        <f>INDEX(Tab_Def_Flows[[Flow_ID]:[CC_DM_source]],MATCH(Tab_Data_Flows[[#This Row],[Flow_Name]],Tab_Def_Flows[Flow_Name],0),17)</f>
        <v>0</v>
      </c>
      <c r="AF149" s="7" t="str">
        <f>Tab_Data_Flows[[#This Row],[Flow_ID]]&amp;"_"&amp;"CC_"&amp;Tab_Data_Flows[[#This Row],[Flow_Data_Year]]</f>
        <v>F_03_07_CC_2024</v>
      </c>
      <c r="AG149" s="7">
        <f>IF(F149="Yes",AE149*Tab_Data_Flows[[#This Row],[Flow_Material]]*Tab_Data_Flows[[#This Row],[DM_'[%']]],"N.A.")</f>
        <v>0</v>
      </c>
      <c r="AH149" s="7" t="str">
        <f>Tab_Data_Flows[[#This Row],[UoM_Flow_Py]]</f>
        <v>Mg</v>
      </c>
      <c r="AI149"/>
    </row>
    <row r="150" spans="1:35" x14ac:dyDescent="0.25">
      <c r="A150" s="9">
        <f t="shared" si="5"/>
        <v>149</v>
      </c>
      <c r="B150" s="7" t="str">
        <f>_xlfn.XLOOKUP(C150,Tab_Def_Flows[Flow_Name],Tab_Def_Flows[Flow_ID],,0,)</f>
        <v>F_03_07</v>
      </c>
      <c r="C150" s="8" t="s">
        <v>613</v>
      </c>
      <c r="D150" s="10" t="str">
        <f>_xlfn.XLOOKUP(C150,Tab_Def_Flows[Flow_Name],Tab_Def_Flows[WC?],,0,)</f>
        <v>Yes</v>
      </c>
      <c r="E150" s="10" t="str">
        <f>_xlfn.XLOOKUP(C150,Tab_Def_Flows[Flow_Name],Tab_Def_Flows[DM?],,0,)</f>
        <v>Yes</v>
      </c>
      <c r="F150" s="10" t="str">
        <f>_xlfn.XLOOKUP(C150,Tab_Def_Flows[Flow_Name],Tab_Def_Flows[CC?],,0,)</f>
        <v>Yes</v>
      </c>
      <c r="G150" s="8">
        <v>2025</v>
      </c>
      <c r="H150" s="26">
        <v>50</v>
      </c>
      <c r="I150" s="8"/>
      <c r="J150" s="18"/>
      <c r="K150" s="8"/>
      <c r="L150" s="8"/>
      <c r="M150" s="8"/>
      <c r="N150" s="8"/>
      <c r="O150" s="8"/>
      <c r="P150" s="8"/>
      <c r="Q150" s="8" t="s">
        <v>7</v>
      </c>
      <c r="R150" s="19"/>
      <c r="S150" s="8"/>
      <c r="T150" s="7" t="str">
        <f>Tab_Data_Flows[[#This Row],[Flow_ID]]&amp;"_"&amp;"material_"&amp;Tab_Data_Flows[[#This Row],[Flow_Data_Year]]</f>
        <v>F_03_07_material_2025</v>
      </c>
      <c r="U150" s="16">
        <f t="shared" si="6"/>
        <v>50</v>
      </c>
      <c r="V150" s="8" t="s">
        <v>211</v>
      </c>
      <c r="W150" s="153">
        <f>INDEX(Tab_Def_Flows[[Flow_ID]:[CC_DM_source]],MATCH(Tab_Data_Flows[[#This Row],[Flow_Name]],Tab_Def_Flows[Flow_Name],0),11)</f>
        <v>0</v>
      </c>
      <c r="X150" s="7" t="str">
        <f>Tab_Data_Flows[[#This Row],[Flow_ID]]&amp;"_"&amp;"WC_"&amp;Tab_Data_Flows[[#This Row],[Flow_Data_Year]]</f>
        <v>F_03_07_WC_2025</v>
      </c>
      <c r="Y150" s="7">
        <f>IF(D150="Yes",U150*Tab_Data_Flows[[#This Row],[WC_'[%']]],"N.A.")</f>
        <v>0</v>
      </c>
      <c r="Z150" s="7" t="str">
        <f>Tab_Data_Flows[[#This Row],[UoM_Flow_Py]]</f>
        <v>Mg</v>
      </c>
      <c r="AA150" s="153">
        <f>INDEX(Tab_Def_Flows[[Flow_ID]:[CC_DM_source]],MATCH(Tab_Data_Flows[[#This Row],[Flow_Name]],Tab_Def_Flows[Flow_Name],0),14)</f>
        <v>0</v>
      </c>
      <c r="AB150" s="7" t="str">
        <f>Tab_Data_Flows[[#This Row],[Flow_ID]]&amp;"_"&amp;"DM_"&amp;Tab_Data_Flows[[#This Row],[Flow_Data_Year]]</f>
        <v>F_03_07_DM_2025</v>
      </c>
      <c r="AC150" s="7">
        <f>IF(E150="Yes",AA150*Tab_Data_Flows[[#This Row],[Flow_Material]],"N.A.")</f>
        <v>0</v>
      </c>
      <c r="AD150" s="7" t="str">
        <f>Tab_Data_Flows[[#This Row],[UoM_Flow_Py]]</f>
        <v>Mg</v>
      </c>
      <c r="AE150" s="153">
        <f>INDEX(Tab_Def_Flows[[Flow_ID]:[CC_DM_source]],MATCH(Tab_Data_Flows[[#This Row],[Flow_Name]],Tab_Def_Flows[Flow_Name],0),17)</f>
        <v>0</v>
      </c>
      <c r="AF150" s="7" t="str">
        <f>Tab_Data_Flows[[#This Row],[Flow_ID]]&amp;"_"&amp;"CC_"&amp;Tab_Data_Flows[[#This Row],[Flow_Data_Year]]</f>
        <v>F_03_07_CC_2025</v>
      </c>
      <c r="AG150" s="7">
        <f>IF(F150="Yes",AE150*Tab_Data_Flows[[#This Row],[Flow_Material]]*Tab_Data_Flows[[#This Row],[DM_'[%']]],"N.A.")</f>
        <v>0</v>
      </c>
      <c r="AH150" s="7" t="str">
        <f>Tab_Data_Flows[[#This Row],[UoM_Flow_Py]]</f>
        <v>Mg</v>
      </c>
      <c r="AI150"/>
    </row>
    <row r="151" spans="1:35" x14ac:dyDescent="0.25">
      <c r="A151" s="9">
        <f t="shared" si="5"/>
        <v>150</v>
      </c>
      <c r="B151" s="7" t="str">
        <f>_xlfn.XLOOKUP(C151,Tab_Def_Flows[Flow_Name],Tab_Def_Flows[Flow_ID],,0,)</f>
        <v>F_03_07</v>
      </c>
      <c r="C151" s="8" t="s">
        <v>613</v>
      </c>
      <c r="D151" s="10" t="str">
        <f>_xlfn.XLOOKUP(C151,Tab_Def_Flows[Flow_Name],Tab_Def_Flows[WC?],,0,)</f>
        <v>Yes</v>
      </c>
      <c r="E151" s="10" t="str">
        <f>_xlfn.XLOOKUP(C151,Tab_Def_Flows[Flow_Name],Tab_Def_Flows[DM?],,0,)</f>
        <v>Yes</v>
      </c>
      <c r="F151" s="10" t="str">
        <f>_xlfn.XLOOKUP(C151,Tab_Def_Flows[Flow_Name],Tab_Def_Flows[CC?],,0,)</f>
        <v>Yes</v>
      </c>
      <c r="G151" s="8">
        <v>2026</v>
      </c>
      <c r="H151" s="26">
        <v>50</v>
      </c>
      <c r="I151" s="8"/>
      <c r="J151" s="18"/>
      <c r="K151" s="8"/>
      <c r="L151" s="8"/>
      <c r="M151" s="8"/>
      <c r="N151" s="8"/>
      <c r="O151" s="8"/>
      <c r="P151" s="8"/>
      <c r="Q151" s="8" t="s">
        <v>7</v>
      </c>
      <c r="R151" s="19"/>
      <c r="S151" s="8"/>
      <c r="T151" s="7" t="str">
        <f>Tab_Data_Flows[[#This Row],[Flow_ID]]&amp;"_"&amp;"material_"&amp;Tab_Data_Flows[[#This Row],[Flow_Data_Year]]</f>
        <v>F_03_07_material_2026</v>
      </c>
      <c r="U151" s="16">
        <f t="shared" si="6"/>
        <v>50</v>
      </c>
      <c r="V151" s="8" t="s">
        <v>211</v>
      </c>
      <c r="W151" s="153">
        <f>INDEX(Tab_Def_Flows[[Flow_ID]:[CC_DM_source]],MATCH(Tab_Data_Flows[[#This Row],[Flow_Name]],Tab_Def_Flows[Flow_Name],0),11)</f>
        <v>0</v>
      </c>
      <c r="X151" s="7" t="str">
        <f>Tab_Data_Flows[[#This Row],[Flow_ID]]&amp;"_"&amp;"WC_"&amp;Tab_Data_Flows[[#This Row],[Flow_Data_Year]]</f>
        <v>F_03_07_WC_2026</v>
      </c>
      <c r="Y151" s="7">
        <f>IF(D151="Yes",U151*Tab_Data_Flows[[#This Row],[WC_'[%']]],"N.A.")</f>
        <v>0</v>
      </c>
      <c r="Z151" s="7" t="str">
        <f>Tab_Data_Flows[[#This Row],[UoM_Flow_Py]]</f>
        <v>Mg</v>
      </c>
      <c r="AA151" s="153">
        <f>INDEX(Tab_Def_Flows[[Flow_ID]:[CC_DM_source]],MATCH(Tab_Data_Flows[[#This Row],[Flow_Name]],Tab_Def_Flows[Flow_Name],0),14)</f>
        <v>0</v>
      </c>
      <c r="AB151" s="7" t="str">
        <f>Tab_Data_Flows[[#This Row],[Flow_ID]]&amp;"_"&amp;"DM_"&amp;Tab_Data_Flows[[#This Row],[Flow_Data_Year]]</f>
        <v>F_03_07_DM_2026</v>
      </c>
      <c r="AC151" s="7">
        <f>IF(E151="Yes",AA151*Tab_Data_Flows[[#This Row],[Flow_Material]],"N.A.")</f>
        <v>0</v>
      </c>
      <c r="AD151" s="7" t="str">
        <f>Tab_Data_Flows[[#This Row],[UoM_Flow_Py]]</f>
        <v>Mg</v>
      </c>
      <c r="AE151" s="153">
        <f>INDEX(Tab_Def_Flows[[Flow_ID]:[CC_DM_source]],MATCH(Tab_Data_Flows[[#This Row],[Flow_Name]],Tab_Def_Flows[Flow_Name],0),17)</f>
        <v>0</v>
      </c>
      <c r="AF151" s="7" t="str">
        <f>Tab_Data_Flows[[#This Row],[Flow_ID]]&amp;"_"&amp;"CC_"&amp;Tab_Data_Flows[[#This Row],[Flow_Data_Year]]</f>
        <v>F_03_07_CC_2026</v>
      </c>
      <c r="AG151" s="7">
        <f>IF(F151="Yes",AE151*Tab_Data_Flows[[#This Row],[Flow_Material]]*Tab_Data_Flows[[#This Row],[DM_'[%']]],"N.A.")</f>
        <v>0</v>
      </c>
      <c r="AH151" s="7" t="str">
        <f>Tab_Data_Flows[[#This Row],[UoM_Flow_Py]]</f>
        <v>Mg</v>
      </c>
      <c r="AI151"/>
    </row>
    <row r="152" spans="1:35" x14ac:dyDescent="0.25">
      <c r="A152" s="9">
        <f t="shared" si="5"/>
        <v>151</v>
      </c>
      <c r="B152" s="7" t="str">
        <f>_xlfn.XLOOKUP(C152,Tab_Def_Flows[Flow_Name],Tab_Def_Flows[Flow_ID],,0,)</f>
        <v>F_03_07</v>
      </c>
      <c r="C152" s="8" t="s">
        <v>613</v>
      </c>
      <c r="D152" s="10" t="str">
        <f>_xlfn.XLOOKUP(C152,Tab_Def_Flows[Flow_Name],Tab_Def_Flows[WC?],,0,)</f>
        <v>Yes</v>
      </c>
      <c r="E152" s="10" t="str">
        <f>_xlfn.XLOOKUP(C152,Tab_Def_Flows[Flow_Name],Tab_Def_Flows[DM?],,0,)</f>
        <v>Yes</v>
      </c>
      <c r="F152" s="10" t="str">
        <f>_xlfn.XLOOKUP(C152,Tab_Def_Flows[Flow_Name],Tab_Def_Flows[CC?],,0,)</f>
        <v>Yes</v>
      </c>
      <c r="G152" s="8">
        <v>2027</v>
      </c>
      <c r="H152" s="26">
        <v>50</v>
      </c>
      <c r="I152" s="8"/>
      <c r="J152" s="18"/>
      <c r="K152" s="8"/>
      <c r="L152" s="8"/>
      <c r="M152" s="8"/>
      <c r="N152" s="8"/>
      <c r="O152" s="8"/>
      <c r="P152" s="8"/>
      <c r="Q152" s="8" t="s">
        <v>7</v>
      </c>
      <c r="R152" s="19"/>
      <c r="S152" s="8"/>
      <c r="T152" s="7" t="str">
        <f>Tab_Data_Flows[[#This Row],[Flow_ID]]&amp;"_"&amp;"material_"&amp;Tab_Data_Flows[[#This Row],[Flow_Data_Year]]</f>
        <v>F_03_07_material_2027</v>
      </c>
      <c r="U152" s="16">
        <f t="shared" si="6"/>
        <v>50</v>
      </c>
      <c r="V152" s="8" t="s">
        <v>211</v>
      </c>
      <c r="W152" s="153">
        <f>INDEX(Tab_Def_Flows[[Flow_ID]:[CC_DM_source]],MATCH(Tab_Data_Flows[[#This Row],[Flow_Name]],Tab_Def_Flows[Flow_Name],0),11)</f>
        <v>0</v>
      </c>
      <c r="X152" s="7" t="str">
        <f>Tab_Data_Flows[[#This Row],[Flow_ID]]&amp;"_"&amp;"WC_"&amp;Tab_Data_Flows[[#This Row],[Flow_Data_Year]]</f>
        <v>F_03_07_WC_2027</v>
      </c>
      <c r="Y152" s="7">
        <f>IF(D152="Yes",U152*Tab_Data_Flows[[#This Row],[WC_'[%']]],"N.A.")</f>
        <v>0</v>
      </c>
      <c r="Z152" s="7" t="str">
        <f>Tab_Data_Flows[[#This Row],[UoM_Flow_Py]]</f>
        <v>Mg</v>
      </c>
      <c r="AA152" s="153">
        <f>INDEX(Tab_Def_Flows[[Flow_ID]:[CC_DM_source]],MATCH(Tab_Data_Flows[[#This Row],[Flow_Name]],Tab_Def_Flows[Flow_Name],0),14)</f>
        <v>0</v>
      </c>
      <c r="AB152" s="7" t="str">
        <f>Tab_Data_Flows[[#This Row],[Flow_ID]]&amp;"_"&amp;"DM_"&amp;Tab_Data_Flows[[#This Row],[Flow_Data_Year]]</f>
        <v>F_03_07_DM_2027</v>
      </c>
      <c r="AC152" s="7">
        <f>IF(E152="Yes",AA152*Tab_Data_Flows[[#This Row],[Flow_Material]],"N.A.")</f>
        <v>0</v>
      </c>
      <c r="AD152" s="7" t="str">
        <f>Tab_Data_Flows[[#This Row],[UoM_Flow_Py]]</f>
        <v>Mg</v>
      </c>
      <c r="AE152" s="153">
        <f>INDEX(Tab_Def_Flows[[Flow_ID]:[CC_DM_source]],MATCH(Tab_Data_Flows[[#This Row],[Flow_Name]],Tab_Def_Flows[Flow_Name],0),17)</f>
        <v>0</v>
      </c>
      <c r="AF152" s="7" t="str">
        <f>Tab_Data_Flows[[#This Row],[Flow_ID]]&amp;"_"&amp;"CC_"&amp;Tab_Data_Flows[[#This Row],[Flow_Data_Year]]</f>
        <v>F_03_07_CC_2027</v>
      </c>
      <c r="AG152" s="7">
        <f>IF(F152="Yes",AE152*Tab_Data_Flows[[#This Row],[Flow_Material]]*Tab_Data_Flows[[#This Row],[DM_'[%']]],"N.A.")</f>
        <v>0</v>
      </c>
      <c r="AH152" s="7" t="str">
        <f>Tab_Data_Flows[[#This Row],[UoM_Flow_Py]]</f>
        <v>Mg</v>
      </c>
      <c r="AI152"/>
    </row>
    <row r="153" spans="1:35" x14ac:dyDescent="0.25">
      <c r="A153" s="9">
        <f t="shared" si="5"/>
        <v>152</v>
      </c>
      <c r="B153" s="7" t="str">
        <f>_xlfn.XLOOKUP(C153,Tab_Def_Flows[Flow_Name],Tab_Def_Flows[Flow_ID],,0,)</f>
        <v>F_03_07</v>
      </c>
      <c r="C153" s="8" t="s">
        <v>613</v>
      </c>
      <c r="D153" s="10" t="str">
        <f>_xlfn.XLOOKUP(C153,Tab_Def_Flows[Flow_Name],Tab_Def_Flows[WC?],,0,)</f>
        <v>Yes</v>
      </c>
      <c r="E153" s="10" t="str">
        <f>_xlfn.XLOOKUP(C153,Tab_Def_Flows[Flow_Name],Tab_Def_Flows[DM?],,0,)</f>
        <v>Yes</v>
      </c>
      <c r="F153" s="10" t="str">
        <f>_xlfn.XLOOKUP(C153,Tab_Def_Flows[Flow_Name],Tab_Def_Flows[CC?],,0,)</f>
        <v>Yes</v>
      </c>
      <c r="G153" s="8">
        <v>2028</v>
      </c>
      <c r="H153" s="26">
        <v>50</v>
      </c>
      <c r="I153" s="8"/>
      <c r="J153" s="18"/>
      <c r="K153" s="8"/>
      <c r="L153" s="8"/>
      <c r="M153" s="8"/>
      <c r="N153" s="8"/>
      <c r="O153" s="8"/>
      <c r="P153" s="8"/>
      <c r="Q153" s="8" t="s">
        <v>7</v>
      </c>
      <c r="R153" s="19"/>
      <c r="S153" s="8"/>
      <c r="T153" s="7" t="str">
        <f>Tab_Data_Flows[[#This Row],[Flow_ID]]&amp;"_"&amp;"material_"&amp;Tab_Data_Flows[[#This Row],[Flow_Data_Year]]</f>
        <v>F_03_07_material_2028</v>
      </c>
      <c r="U153" s="16">
        <f t="shared" si="6"/>
        <v>50</v>
      </c>
      <c r="V153" s="8" t="s">
        <v>211</v>
      </c>
      <c r="W153" s="153">
        <f>INDEX(Tab_Def_Flows[[Flow_ID]:[CC_DM_source]],MATCH(Tab_Data_Flows[[#This Row],[Flow_Name]],Tab_Def_Flows[Flow_Name],0),11)</f>
        <v>0</v>
      </c>
      <c r="X153" s="7" t="str">
        <f>Tab_Data_Flows[[#This Row],[Flow_ID]]&amp;"_"&amp;"WC_"&amp;Tab_Data_Flows[[#This Row],[Flow_Data_Year]]</f>
        <v>F_03_07_WC_2028</v>
      </c>
      <c r="Y153" s="7">
        <f>IF(D153="Yes",U153*Tab_Data_Flows[[#This Row],[WC_'[%']]],"N.A.")</f>
        <v>0</v>
      </c>
      <c r="Z153" s="7" t="str">
        <f>Tab_Data_Flows[[#This Row],[UoM_Flow_Py]]</f>
        <v>Mg</v>
      </c>
      <c r="AA153" s="153">
        <f>INDEX(Tab_Def_Flows[[Flow_ID]:[CC_DM_source]],MATCH(Tab_Data_Flows[[#This Row],[Flow_Name]],Tab_Def_Flows[Flow_Name],0),14)</f>
        <v>0</v>
      </c>
      <c r="AB153" s="7" t="str">
        <f>Tab_Data_Flows[[#This Row],[Flow_ID]]&amp;"_"&amp;"DM_"&amp;Tab_Data_Flows[[#This Row],[Flow_Data_Year]]</f>
        <v>F_03_07_DM_2028</v>
      </c>
      <c r="AC153" s="7">
        <f>IF(E153="Yes",AA153*Tab_Data_Flows[[#This Row],[Flow_Material]],"N.A.")</f>
        <v>0</v>
      </c>
      <c r="AD153" s="7" t="str">
        <f>Tab_Data_Flows[[#This Row],[UoM_Flow_Py]]</f>
        <v>Mg</v>
      </c>
      <c r="AE153" s="153">
        <f>INDEX(Tab_Def_Flows[[Flow_ID]:[CC_DM_source]],MATCH(Tab_Data_Flows[[#This Row],[Flow_Name]],Tab_Def_Flows[Flow_Name],0),17)</f>
        <v>0</v>
      </c>
      <c r="AF153" s="7" t="str">
        <f>Tab_Data_Flows[[#This Row],[Flow_ID]]&amp;"_"&amp;"CC_"&amp;Tab_Data_Flows[[#This Row],[Flow_Data_Year]]</f>
        <v>F_03_07_CC_2028</v>
      </c>
      <c r="AG153" s="7">
        <f>IF(F153="Yes",AE153*Tab_Data_Flows[[#This Row],[Flow_Material]]*Tab_Data_Flows[[#This Row],[DM_'[%']]],"N.A.")</f>
        <v>0</v>
      </c>
      <c r="AH153" s="7" t="str">
        <f>Tab_Data_Flows[[#This Row],[UoM_Flow_Py]]</f>
        <v>Mg</v>
      </c>
      <c r="AI153"/>
    </row>
    <row r="154" spans="1:35" x14ac:dyDescent="0.25">
      <c r="A154" s="9">
        <f t="shared" si="5"/>
        <v>153</v>
      </c>
      <c r="B154" s="7" t="str">
        <f>_xlfn.XLOOKUP(C154,Tab_Def_Flows[Flow_Name],Tab_Def_Flows[Flow_ID],,0,)</f>
        <v>F_03_07</v>
      </c>
      <c r="C154" s="8" t="s">
        <v>613</v>
      </c>
      <c r="D154" s="10" t="str">
        <f>_xlfn.XLOOKUP(C154,Tab_Def_Flows[Flow_Name],Tab_Def_Flows[WC?],,0,)</f>
        <v>Yes</v>
      </c>
      <c r="E154" s="10" t="str">
        <f>_xlfn.XLOOKUP(C154,Tab_Def_Flows[Flow_Name],Tab_Def_Flows[DM?],,0,)</f>
        <v>Yes</v>
      </c>
      <c r="F154" s="10" t="str">
        <f>_xlfn.XLOOKUP(C154,Tab_Def_Flows[Flow_Name],Tab_Def_Flows[CC?],,0,)</f>
        <v>Yes</v>
      </c>
      <c r="G154" s="8">
        <v>2029</v>
      </c>
      <c r="H154" s="26">
        <v>50</v>
      </c>
      <c r="I154" s="8"/>
      <c r="J154" s="18"/>
      <c r="K154" s="8" t="e">
        <f>INDEX(#REF!,MATCH(Tab_Data_Flows[[#This Row],[Flow_Name]],#REF!,0),12)</f>
        <v>#REF!</v>
      </c>
      <c r="L154" s="8" t="e">
        <f>MATCH(Tab_Data_Flows[[#This Row],[Flow_Name]],#REF!,0)</f>
        <v>#REF!</v>
      </c>
      <c r="M154" s="8"/>
      <c r="N154" s="8"/>
      <c r="O154" s="8"/>
      <c r="P154" s="8"/>
      <c r="Q154" s="8" t="s">
        <v>7</v>
      </c>
      <c r="R154" s="8"/>
      <c r="S154" s="8"/>
      <c r="T154" s="7" t="str">
        <f>Tab_Data_Flows[[#This Row],[Flow_ID]]&amp;"_"&amp;"material_"&amp;Tab_Data_Flows[[#This Row],[Flow_Data_Year]]</f>
        <v>F_03_07_material_2029</v>
      </c>
      <c r="U154" s="16">
        <f t="shared" si="6"/>
        <v>50</v>
      </c>
      <c r="V154" s="8" t="s">
        <v>211</v>
      </c>
      <c r="W154" s="153">
        <f>INDEX(Tab_Def_Flows[[Flow_ID]:[CC_DM_source]],MATCH(Tab_Data_Flows[[#This Row],[Flow_Name]],Tab_Def_Flows[Flow_Name],0),11)</f>
        <v>0</v>
      </c>
      <c r="X154" s="7" t="str">
        <f>Tab_Data_Flows[[#This Row],[Flow_ID]]&amp;"_"&amp;"WC_"&amp;Tab_Data_Flows[[#This Row],[Flow_Data_Year]]</f>
        <v>F_03_07_WC_2029</v>
      </c>
      <c r="Y154" s="7">
        <f>IF(D154="Yes",U154*Tab_Data_Flows[[#This Row],[WC_'[%']]],"N.A.")</f>
        <v>0</v>
      </c>
      <c r="Z154" s="7" t="str">
        <f>Tab_Data_Flows[[#This Row],[UoM_Flow_Py]]</f>
        <v>Mg</v>
      </c>
      <c r="AA154" s="153">
        <f>INDEX(Tab_Def_Flows[[Flow_ID]:[CC_DM_source]],MATCH(Tab_Data_Flows[[#This Row],[Flow_Name]],Tab_Def_Flows[Flow_Name],0),14)</f>
        <v>0</v>
      </c>
      <c r="AB154" s="7" t="str">
        <f>Tab_Data_Flows[[#This Row],[Flow_ID]]&amp;"_"&amp;"DM_"&amp;Tab_Data_Flows[[#This Row],[Flow_Data_Year]]</f>
        <v>F_03_07_DM_2029</v>
      </c>
      <c r="AC154" s="7">
        <f>IF(E154="Yes",AA154*Tab_Data_Flows[[#This Row],[Flow_Material]],"N.A.")</f>
        <v>0</v>
      </c>
      <c r="AD154" s="7" t="str">
        <f>Tab_Data_Flows[[#This Row],[UoM_Flow_Py]]</f>
        <v>Mg</v>
      </c>
      <c r="AE154" s="153">
        <f>INDEX(Tab_Def_Flows[[Flow_ID]:[CC_DM_source]],MATCH(Tab_Data_Flows[[#This Row],[Flow_Name]],Tab_Def_Flows[Flow_Name],0),17)</f>
        <v>0</v>
      </c>
      <c r="AF154" s="7" t="str">
        <f>Tab_Data_Flows[[#This Row],[Flow_ID]]&amp;"_"&amp;"CC_"&amp;Tab_Data_Flows[[#This Row],[Flow_Data_Year]]</f>
        <v>F_03_07_CC_2029</v>
      </c>
      <c r="AG154" s="7">
        <f>IF(F154="Yes",AE154*Tab_Data_Flows[[#This Row],[Flow_Material]]*Tab_Data_Flows[[#This Row],[DM_'[%']]],"N.A.")</f>
        <v>0</v>
      </c>
      <c r="AH154" s="7" t="str">
        <f>Tab_Data_Flows[[#This Row],[UoM_Flow_Py]]</f>
        <v>Mg</v>
      </c>
      <c r="AI154"/>
    </row>
    <row r="155" spans="1:35" x14ac:dyDescent="0.25">
      <c r="A155" s="9">
        <f t="shared" si="5"/>
        <v>154</v>
      </c>
      <c r="B155" s="7" t="str">
        <f>_xlfn.XLOOKUP(C155,Tab_Def_Flows[Flow_Name],Tab_Def_Flows[Flow_ID],,0,)</f>
        <v>F_03_07</v>
      </c>
      <c r="C155" s="8" t="s">
        <v>613</v>
      </c>
      <c r="D155" s="10" t="str">
        <f>_xlfn.XLOOKUP(C155,Tab_Def_Flows[Flow_Name],Tab_Def_Flows[WC?],,0,)</f>
        <v>Yes</v>
      </c>
      <c r="E155" s="10" t="str">
        <f>_xlfn.XLOOKUP(C155,Tab_Def_Flows[Flow_Name],Tab_Def_Flows[DM?],,0,)</f>
        <v>Yes</v>
      </c>
      <c r="F155" s="10" t="str">
        <f>_xlfn.XLOOKUP(C155,Tab_Def_Flows[Flow_Name],Tab_Def_Flows[CC?],,0,)</f>
        <v>Yes</v>
      </c>
      <c r="G155" s="8">
        <v>2030</v>
      </c>
      <c r="H155" s="26">
        <v>50</v>
      </c>
      <c r="I155" s="8"/>
      <c r="J155" s="18"/>
      <c r="K155" s="8" t="e">
        <f>INDEX(#REF!,MATCH(Tab_Data_Flows[[#This Row],[Flow_Name]],#REF!,0),12)</f>
        <v>#REF!</v>
      </c>
      <c r="L155" s="8" t="e">
        <f>MATCH(Tab_Data_Flows[[#This Row],[Flow_Name]],#REF!,0)</f>
        <v>#REF!</v>
      </c>
      <c r="M155" s="8"/>
      <c r="N155" s="8"/>
      <c r="O155" s="8"/>
      <c r="P155" s="8"/>
      <c r="Q155" s="8" t="s">
        <v>7</v>
      </c>
      <c r="R155" s="8"/>
      <c r="S155" s="8"/>
      <c r="T155" s="7" t="str">
        <f>Tab_Data_Flows[[#This Row],[Flow_ID]]&amp;"_"&amp;"material_"&amp;Tab_Data_Flows[[#This Row],[Flow_Data_Year]]</f>
        <v>F_03_07_material_2030</v>
      </c>
      <c r="U155" s="16">
        <f t="shared" si="6"/>
        <v>50</v>
      </c>
      <c r="V155" s="8" t="s">
        <v>211</v>
      </c>
      <c r="W155" s="153">
        <f>INDEX(Tab_Def_Flows[[Flow_ID]:[CC_DM_source]],MATCH(Tab_Data_Flows[[#This Row],[Flow_Name]],Tab_Def_Flows[Flow_Name],0),11)</f>
        <v>0</v>
      </c>
      <c r="X155" s="7" t="str">
        <f>Tab_Data_Flows[[#This Row],[Flow_ID]]&amp;"_"&amp;"WC_"&amp;Tab_Data_Flows[[#This Row],[Flow_Data_Year]]</f>
        <v>F_03_07_WC_2030</v>
      </c>
      <c r="Y155" s="7">
        <f>IF(D155="Yes",U155*Tab_Data_Flows[[#This Row],[WC_'[%']]],"N.A.")</f>
        <v>0</v>
      </c>
      <c r="Z155" s="7" t="str">
        <f>Tab_Data_Flows[[#This Row],[UoM_Flow_Py]]</f>
        <v>Mg</v>
      </c>
      <c r="AA155" s="153">
        <f>INDEX(Tab_Def_Flows[[Flow_ID]:[CC_DM_source]],MATCH(Tab_Data_Flows[[#This Row],[Flow_Name]],Tab_Def_Flows[Flow_Name],0),14)</f>
        <v>0</v>
      </c>
      <c r="AB155" s="7" t="str">
        <f>Tab_Data_Flows[[#This Row],[Flow_ID]]&amp;"_"&amp;"DM_"&amp;Tab_Data_Flows[[#This Row],[Flow_Data_Year]]</f>
        <v>F_03_07_DM_2030</v>
      </c>
      <c r="AC155" s="7">
        <f>IF(E155="Yes",AA155*Tab_Data_Flows[[#This Row],[Flow_Material]],"N.A.")</f>
        <v>0</v>
      </c>
      <c r="AD155" s="7" t="str">
        <f>Tab_Data_Flows[[#This Row],[UoM_Flow_Py]]</f>
        <v>Mg</v>
      </c>
      <c r="AE155" s="153">
        <f>INDEX(Tab_Def_Flows[[Flow_ID]:[CC_DM_source]],MATCH(Tab_Data_Flows[[#This Row],[Flow_Name]],Tab_Def_Flows[Flow_Name],0),17)</f>
        <v>0</v>
      </c>
      <c r="AF155" s="7" t="str">
        <f>Tab_Data_Flows[[#This Row],[Flow_ID]]&amp;"_"&amp;"CC_"&amp;Tab_Data_Flows[[#This Row],[Flow_Data_Year]]</f>
        <v>F_03_07_CC_2030</v>
      </c>
      <c r="AG155" s="7">
        <f>IF(F155="Yes",AE155*Tab_Data_Flows[[#This Row],[Flow_Material]]*Tab_Data_Flows[[#This Row],[DM_'[%']]],"N.A.")</f>
        <v>0</v>
      </c>
      <c r="AH155" s="7" t="str">
        <f>Tab_Data_Flows[[#This Row],[UoM_Flow_Py]]</f>
        <v>Mg</v>
      </c>
      <c r="AI155"/>
    </row>
    <row r="156" spans="1:35" x14ac:dyDescent="0.25">
      <c r="A156" s="9">
        <f t="shared" si="5"/>
        <v>155</v>
      </c>
      <c r="B156" s="7" t="str">
        <f>_xlfn.XLOOKUP(C156,Tab_Def_Flows[Flow_Name],Tab_Def_Flows[Flow_ID],,0,)</f>
        <v>F_03_07</v>
      </c>
      <c r="C156" s="8" t="s">
        <v>613</v>
      </c>
      <c r="D156" s="10" t="str">
        <f>_xlfn.XLOOKUP(C156,Tab_Def_Flows[Flow_Name],Tab_Def_Flows[WC?],,0,)</f>
        <v>Yes</v>
      </c>
      <c r="E156" s="10" t="str">
        <f>_xlfn.XLOOKUP(C156,Tab_Def_Flows[Flow_Name],Tab_Def_Flows[DM?],,0,)</f>
        <v>Yes</v>
      </c>
      <c r="F156" s="10" t="str">
        <f>_xlfn.XLOOKUP(C156,Tab_Def_Flows[Flow_Name],Tab_Def_Flows[CC?],,0,)</f>
        <v>Yes</v>
      </c>
      <c r="G156" s="8">
        <v>2031</v>
      </c>
      <c r="H156" s="26">
        <v>50</v>
      </c>
      <c r="I156" s="8"/>
      <c r="J156" s="18"/>
      <c r="K156" s="8" t="e">
        <f>INDEX(#REF!,MATCH(Tab_Data_Flows[[#This Row],[Flow_Name]],#REF!,0),12)</f>
        <v>#REF!</v>
      </c>
      <c r="L156" s="8" t="e">
        <f>MATCH(Tab_Data_Flows[[#This Row],[Flow_Name]],#REF!,0)</f>
        <v>#REF!</v>
      </c>
      <c r="M156" s="8"/>
      <c r="N156" s="8"/>
      <c r="O156" s="8"/>
      <c r="P156" s="8"/>
      <c r="Q156" s="8" t="s">
        <v>7</v>
      </c>
      <c r="R156" s="8"/>
      <c r="S156" s="8"/>
      <c r="T156" s="7" t="str">
        <f>Tab_Data_Flows[[#This Row],[Flow_ID]]&amp;"_"&amp;"material_"&amp;Tab_Data_Flows[[#This Row],[Flow_Data_Year]]</f>
        <v>F_03_07_material_2031</v>
      </c>
      <c r="U156" s="16">
        <f t="shared" si="6"/>
        <v>50</v>
      </c>
      <c r="V156" s="8" t="s">
        <v>211</v>
      </c>
      <c r="W156" s="153">
        <f>INDEX(Tab_Def_Flows[[Flow_ID]:[CC_DM_source]],MATCH(Tab_Data_Flows[[#This Row],[Flow_Name]],Tab_Def_Flows[Flow_Name],0),11)</f>
        <v>0</v>
      </c>
      <c r="X156" s="7" t="str">
        <f>Tab_Data_Flows[[#This Row],[Flow_ID]]&amp;"_"&amp;"WC_"&amp;Tab_Data_Flows[[#This Row],[Flow_Data_Year]]</f>
        <v>F_03_07_WC_2031</v>
      </c>
      <c r="Y156" s="7">
        <f>IF(D156="Yes",U156*Tab_Data_Flows[[#This Row],[WC_'[%']]],"N.A.")</f>
        <v>0</v>
      </c>
      <c r="Z156" s="7" t="str">
        <f>Tab_Data_Flows[[#This Row],[UoM_Flow_Py]]</f>
        <v>Mg</v>
      </c>
      <c r="AA156" s="153">
        <f>INDEX(Tab_Def_Flows[[Flow_ID]:[CC_DM_source]],MATCH(Tab_Data_Flows[[#This Row],[Flow_Name]],Tab_Def_Flows[Flow_Name],0),14)</f>
        <v>0</v>
      </c>
      <c r="AB156" s="7" t="str">
        <f>Tab_Data_Flows[[#This Row],[Flow_ID]]&amp;"_"&amp;"DM_"&amp;Tab_Data_Flows[[#This Row],[Flow_Data_Year]]</f>
        <v>F_03_07_DM_2031</v>
      </c>
      <c r="AC156" s="7">
        <f>IF(E156="Yes",AA156*Tab_Data_Flows[[#This Row],[Flow_Material]],"N.A.")</f>
        <v>0</v>
      </c>
      <c r="AD156" s="7" t="str">
        <f>Tab_Data_Flows[[#This Row],[UoM_Flow_Py]]</f>
        <v>Mg</v>
      </c>
      <c r="AE156" s="153">
        <f>INDEX(Tab_Def_Flows[[Flow_ID]:[CC_DM_source]],MATCH(Tab_Data_Flows[[#This Row],[Flow_Name]],Tab_Def_Flows[Flow_Name],0),17)</f>
        <v>0</v>
      </c>
      <c r="AF156" s="7" t="str">
        <f>Tab_Data_Flows[[#This Row],[Flow_ID]]&amp;"_"&amp;"CC_"&amp;Tab_Data_Flows[[#This Row],[Flow_Data_Year]]</f>
        <v>F_03_07_CC_2031</v>
      </c>
      <c r="AG156" s="7">
        <f>IF(F156="Yes",AE156*Tab_Data_Flows[[#This Row],[Flow_Material]]*Tab_Data_Flows[[#This Row],[DM_'[%']]],"N.A.")</f>
        <v>0</v>
      </c>
      <c r="AH156" s="7" t="str">
        <f>Tab_Data_Flows[[#This Row],[UoM_Flow_Py]]</f>
        <v>Mg</v>
      </c>
      <c r="AI156"/>
    </row>
    <row r="157" spans="1:35" x14ac:dyDescent="0.25">
      <c r="A157" s="9">
        <f t="shared" si="5"/>
        <v>156</v>
      </c>
      <c r="B157" s="7" t="str">
        <f>_xlfn.XLOOKUP(C157,Tab_Def_Flows[Flow_Name],Tab_Def_Flows[Flow_ID],,0,)</f>
        <v>F_03_07</v>
      </c>
      <c r="C157" s="8" t="s">
        <v>613</v>
      </c>
      <c r="D157" s="10" t="str">
        <f>_xlfn.XLOOKUP(C157,Tab_Def_Flows[Flow_Name],Tab_Def_Flows[WC?],,0,)</f>
        <v>Yes</v>
      </c>
      <c r="E157" s="10" t="str">
        <f>_xlfn.XLOOKUP(C157,Tab_Def_Flows[Flow_Name],Tab_Def_Flows[DM?],,0,)</f>
        <v>Yes</v>
      </c>
      <c r="F157" s="10" t="str">
        <f>_xlfn.XLOOKUP(C157,Tab_Def_Flows[Flow_Name],Tab_Def_Flows[CC?],,0,)</f>
        <v>Yes</v>
      </c>
      <c r="G157" s="8">
        <v>2032</v>
      </c>
      <c r="H157" s="26">
        <v>50</v>
      </c>
      <c r="I157" s="8"/>
      <c r="J157" s="18"/>
      <c r="K157" s="8" t="e">
        <f>INDEX(#REF!,MATCH(Tab_Data_Flows[[#This Row],[Flow_Name]],#REF!,0),12)</f>
        <v>#REF!</v>
      </c>
      <c r="L157" s="8" t="e">
        <f>MATCH(Tab_Data_Flows[[#This Row],[Flow_Name]],#REF!,0)</f>
        <v>#REF!</v>
      </c>
      <c r="M157" s="8"/>
      <c r="N157" s="8"/>
      <c r="O157" s="8"/>
      <c r="P157" s="8"/>
      <c r="Q157" s="8" t="s">
        <v>7</v>
      </c>
      <c r="R157" s="8"/>
      <c r="S157" s="8"/>
      <c r="T157" s="7" t="str">
        <f>Tab_Data_Flows[[#This Row],[Flow_ID]]&amp;"_"&amp;"material_"&amp;Tab_Data_Flows[[#This Row],[Flow_Data_Year]]</f>
        <v>F_03_07_material_2032</v>
      </c>
      <c r="U157" s="16">
        <f t="shared" si="6"/>
        <v>50</v>
      </c>
      <c r="V157" s="8" t="s">
        <v>211</v>
      </c>
      <c r="W157" s="153">
        <f>INDEX(Tab_Def_Flows[[Flow_ID]:[CC_DM_source]],MATCH(Tab_Data_Flows[[#This Row],[Flow_Name]],Tab_Def_Flows[Flow_Name],0),11)</f>
        <v>0</v>
      </c>
      <c r="X157" s="7" t="str">
        <f>Tab_Data_Flows[[#This Row],[Flow_ID]]&amp;"_"&amp;"WC_"&amp;Tab_Data_Flows[[#This Row],[Flow_Data_Year]]</f>
        <v>F_03_07_WC_2032</v>
      </c>
      <c r="Y157" s="7">
        <f>IF(D157="Yes",U157*Tab_Data_Flows[[#This Row],[WC_'[%']]],"N.A.")</f>
        <v>0</v>
      </c>
      <c r="Z157" s="7" t="str">
        <f>Tab_Data_Flows[[#This Row],[UoM_Flow_Py]]</f>
        <v>Mg</v>
      </c>
      <c r="AA157" s="153">
        <f>INDEX(Tab_Def_Flows[[Flow_ID]:[CC_DM_source]],MATCH(Tab_Data_Flows[[#This Row],[Flow_Name]],Tab_Def_Flows[Flow_Name],0),14)</f>
        <v>0</v>
      </c>
      <c r="AB157" s="7" t="str">
        <f>Tab_Data_Flows[[#This Row],[Flow_ID]]&amp;"_"&amp;"DM_"&amp;Tab_Data_Flows[[#This Row],[Flow_Data_Year]]</f>
        <v>F_03_07_DM_2032</v>
      </c>
      <c r="AC157" s="7">
        <f>IF(E157="Yes",AA157*Tab_Data_Flows[[#This Row],[Flow_Material]],"N.A.")</f>
        <v>0</v>
      </c>
      <c r="AD157" s="7" t="str">
        <f>Tab_Data_Flows[[#This Row],[UoM_Flow_Py]]</f>
        <v>Mg</v>
      </c>
      <c r="AE157" s="153">
        <f>INDEX(Tab_Def_Flows[[Flow_ID]:[CC_DM_source]],MATCH(Tab_Data_Flows[[#This Row],[Flow_Name]],Tab_Def_Flows[Flow_Name],0),17)</f>
        <v>0</v>
      </c>
      <c r="AF157" s="7" t="str">
        <f>Tab_Data_Flows[[#This Row],[Flow_ID]]&amp;"_"&amp;"CC_"&amp;Tab_Data_Flows[[#This Row],[Flow_Data_Year]]</f>
        <v>F_03_07_CC_2032</v>
      </c>
      <c r="AG157" s="7">
        <f>IF(F157="Yes",AE157*Tab_Data_Flows[[#This Row],[Flow_Material]]*Tab_Data_Flows[[#This Row],[DM_'[%']]],"N.A.")</f>
        <v>0</v>
      </c>
      <c r="AH157" s="7" t="str">
        <f>Tab_Data_Flows[[#This Row],[UoM_Flow_Py]]</f>
        <v>Mg</v>
      </c>
      <c r="AI157"/>
    </row>
    <row r="158" spans="1:35" x14ac:dyDescent="0.25">
      <c r="A158" s="9">
        <f t="shared" si="5"/>
        <v>157</v>
      </c>
      <c r="B158" s="7" t="str">
        <f>_xlfn.XLOOKUP(C158,Tab_Def_Flows[Flow_Name],Tab_Def_Flows[Flow_ID],,0,)</f>
        <v>F_03_07</v>
      </c>
      <c r="C158" s="8" t="s">
        <v>613</v>
      </c>
      <c r="D158" s="10" t="str">
        <f>_xlfn.XLOOKUP(C158,Tab_Def_Flows[Flow_Name],Tab_Def_Flows[WC?],,0,)</f>
        <v>Yes</v>
      </c>
      <c r="E158" s="10" t="str">
        <f>_xlfn.XLOOKUP(C158,Tab_Def_Flows[Flow_Name],Tab_Def_Flows[DM?],,0,)</f>
        <v>Yes</v>
      </c>
      <c r="F158" s="10" t="str">
        <f>_xlfn.XLOOKUP(C158,Tab_Def_Flows[Flow_Name],Tab_Def_Flows[CC?],,0,)</f>
        <v>Yes</v>
      </c>
      <c r="G158" s="8">
        <v>2033</v>
      </c>
      <c r="H158" s="26">
        <v>50</v>
      </c>
      <c r="I158" s="8"/>
      <c r="J158" s="18"/>
      <c r="K158" s="8" t="e">
        <f>INDEX(#REF!,MATCH(Tab_Data_Flows[[#This Row],[Flow_Name]],#REF!,0),12)</f>
        <v>#REF!</v>
      </c>
      <c r="L158" s="8" t="e">
        <f>MATCH(Tab_Data_Flows[[#This Row],[Flow_Name]],#REF!,0)</f>
        <v>#REF!</v>
      </c>
      <c r="M158" s="8"/>
      <c r="N158" s="8"/>
      <c r="O158" s="8"/>
      <c r="P158" s="8"/>
      <c r="Q158" s="8" t="s">
        <v>7</v>
      </c>
      <c r="R158" s="8"/>
      <c r="S158" s="8"/>
      <c r="T158" s="7" t="str">
        <f>Tab_Data_Flows[[#This Row],[Flow_ID]]&amp;"_"&amp;"material_"&amp;Tab_Data_Flows[[#This Row],[Flow_Data_Year]]</f>
        <v>F_03_07_material_2033</v>
      </c>
      <c r="U158" s="16">
        <f t="shared" si="6"/>
        <v>50</v>
      </c>
      <c r="V158" s="8" t="s">
        <v>211</v>
      </c>
      <c r="W158" s="153">
        <f>INDEX(Tab_Def_Flows[[Flow_ID]:[CC_DM_source]],MATCH(Tab_Data_Flows[[#This Row],[Flow_Name]],Tab_Def_Flows[Flow_Name],0),11)</f>
        <v>0</v>
      </c>
      <c r="X158" s="7" t="str">
        <f>Tab_Data_Flows[[#This Row],[Flow_ID]]&amp;"_"&amp;"WC_"&amp;Tab_Data_Flows[[#This Row],[Flow_Data_Year]]</f>
        <v>F_03_07_WC_2033</v>
      </c>
      <c r="Y158" s="7">
        <f>IF(D158="Yes",U158*Tab_Data_Flows[[#This Row],[WC_'[%']]],"N.A.")</f>
        <v>0</v>
      </c>
      <c r="Z158" s="7" t="str">
        <f>Tab_Data_Flows[[#This Row],[UoM_Flow_Py]]</f>
        <v>Mg</v>
      </c>
      <c r="AA158" s="153">
        <f>INDEX(Tab_Def_Flows[[Flow_ID]:[CC_DM_source]],MATCH(Tab_Data_Flows[[#This Row],[Flow_Name]],Tab_Def_Flows[Flow_Name],0),14)</f>
        <v>0</v>
      </c>
      <c r="AB158" s="7" t="str">
        <f>Tab_Data_Flows[[#This Row],[Flow_ID]]&amp;"_"&amp;"DM_"&amp;Tab_Data_Flows[[#This Row],[Flow_Data_Year]]</f>
        <v>F_03_07_DM_2033</v>
      </c>
      <c r="AC158" s="7">
        <f>IF(E158="Yes",AA158*Tab_Data_Flows[[#This Row],[Flow_Material]],"N.A.")</f>
        <v>0</v>
      </c>
      <c r="AD158" s="7" t="str">
        <f>Tab_Data_Flows[[#This Row],[UoM_Flow_Py]]</f>
        <v>Mg</v>
      </c>
      <c r="AE158" s="153">
        <f>INDEX(Tab_Def_Flows[[Flow_ID]:[CC_DM_source]],MATCH(Tab_Data_Flows[[#This Row],[Flow_Name]],Tab_Def_Flows[Flow_Name],0),17)</f>
        <v>0</v>
      </c>
      <c r="AF158" s="7" t="str">
        <f>Tab_Data_Flows[[#This Row],[Flow_ID]]&amp;"_"&amp;"CC_"&amp;Tab_Data_Flows[[#This Row],[Flow_Data_Year]]</f>
        <v>F_03_07_CC_2033</v>
      </c>
      <c r="AG158" s="7">
        <f>IF(F158="Yes",AE158*Tab_Data_Flows[[#This Row],[Flow_Material]]*Tab_Data_Flows[[#This Row],[DM_'[%']]],"N.A.")</f>
        <v>0</v>
      </c>
      <c r="AH158" s="7" t="str">
        <f>Tab_Data_Flows[[#This Row],[UoM_Flow_Py]]</f>
        <v>Mg</v>
      </c>
      <c r="AI158"/>
    </row>
    <row r="159" spans="1:35" x14ac:dyDescent="0.25">
      <c r="A159" s="9">
        <f t="shared" si="5"/>
        <v>158</v>
      </c>
      <c r="B159" s="7" t="str">
        <f>_xlfn.XLOOKUP(C159,Tab_Def_Flows[Flow_Name],Tab_Def_Flows[Flow_ID],,0,)</f>
        <v>F_03_07</v>
      </c>
      <c r="C159" s="8" t="s">
        <v>613</v>
      </c>
      <c r="D159" s="10" t="str">
        <f>_xlfn.XLOOKUP(C159,Tab_Def_Flows[Flow_Name],Tab_Def_Flows[WC?],,0,)</f>
        <v>Yes</v>
      </c>
      <c r="E159" s="10" t="str">
        <f>_xlfn.XLOOKUP(C159,Tab_Def_Flows[Flow_Name],Tab_Def_Flows[DM?],,0,)</f>
        <v>Yes</v>
      </c>
      <c r="F159" s="10" t="str">
        <f>_xlfn.XLOOKUP(C159,Tab_Def_Flows[Flow_Name],Tab_Def_Flows[CC?],,0,)</f>
        <v>Yes</v>
      </c>
      <c r="G159" s="8">
        <v>2034</v>
      </c>
      <c r="H159" s="26">
        <v>50</v>
      </c>
      <c r="I159" s="8"/>
      <c r="J159" s="18"/>
      <c r="K159" s="8" t="e">
        <f>INDEX(#REF!,MATCH(Tab_Data_Flows[[#This Row],[Flow_Name]],#REF!,0),12)</f>
        <v>#REF!</v>
      </c>
      <c r="L159" s="8" t="e">
        <f>MATCH(Tab_Data_Flows[[#This Row],[Flow_Name]],#REF!,0)</f>
        <v>#REF!</v>
      </c>
      <c r="M159" s="8"/>
      <c r="N159" s="8"/>
      <c r="O159" s="8"/>
      <c r="P159" s="8"/>
      <c r="Q159" s="8" t="s">
        <v>7</v>
      </c>
      <c r="R159" s="8"/>
      <c r="S159" s="8"/>
      <c r="T159" s="7" t="str">
        <f>Tab_Data_Flows[[#This Row],[Flow_ID]]&amp;"_"&amp;"material_"&amp;Tab_Data_Flows[[#This Row],[Flow_Data_Year]]</f>
        <v>F_03_07_material_2034</v>
      </c>
      <c r="U159" s="16">
        <f t="shared" si="6"/>
        <v>50</v>
      </c>
      <c r="V159" s="8" t="s">
        <v>211</v>
      </c>
      <c r="W159" s="153">
        <f>INDEX(Tab_Def_Flows[[Flow_ID]:[CC_DM_source]],MATCH(Tab_Data_Flows[[#This Row],[Flow_Name]],Tab_Def_Flows[Flow_Name],0),11)</f>
        <v>0</v>
      </c>
      <c r="X159" s="7" t="str">
        <f>Tab_Data_Flows[[#This Row],[Flow_ID]]&amp;"_"&amp;"WC_"&amp;Tab_Data_Flows[[#This Row],[Flow_Data_Year]]</f>
        <v>F_03_07_WC_2034</v>
      </c>
      <c r="Y159" s="7">
        <f>IF(D159="Yes",U159*Tab_Data_Flows[[#This Row],[WC_'[%']]],"N.A.")</f>
        <v>0</v>
      </c>
      <c r="Z159" s="7" t="str">
        <f>Tab_Data_Flows[[#This Row],[UoM_Flow_Py]]</f>
        <v>Mg</v>
      </c>
      <c r="AA159" s="153">
        <f>INDEX(Tab_Def_Flows[[Flow_ID]:[CC_DM_source]],MATCH(Tab_Data_Flows[[#This Row],[Flow_Name]],Tab_Def_Flows[Flow_Name],0),14)</f>
        <v>0</v>
      </c>
      <c r="AB159" s="7" t="str">
        <f>Tab_Data_Flows[[#This Row],[Flow_ID]]&amp;"_"&amp;"DM_"&amp;Tab_Data_Flows[[#This Row],[Flow_Data_Year]]</f>
        <v>F_03_07_DM_2034</v>
      </c>
      <c r="AC159" s="7">
        <f>IF(E159="Yes",AA159*Tab_Data_Flows[[#This Row],[Flow_Material]],"N.A.")</f>
        <v>0</v>
      </c>
      <c r="AD159" s="7" t="str">
        <f>Tab_Data_Flows[[#This Row],[UoM_Flow_Py]]</f>
        <v>Mg</v>
      </c>
      <c r="AE159" s="153">
        <f>INDEX(Tab_Def_Flows[[Flow_ID]:[CC_DM_source]],MATCH(Tab_Data_Flows[[#This Row],[Flow_Name]],Tab_Def_Flows[Flow_Name],0),17)</f>
        <v>0</v>
      </c>
      <c r="AF159" s="7" t="str">
        <f>Tab_Data_Flows[[#This Row],[Flow_ID]]&amp;"_"&amp;"CC_"&amp;Tab_Data_Flows[[#This Row],[Flow_Data_Year]]</f>
        <v>F_03_07_CC_2034</v>
      </c>
      <c r="AG159" s="7">
        <f>IF(F159="Yes",AE159*Tab_Data_Flows[[#This Row],[Flow_Material]]*Tab_Data_Flows[[#This Row],[DM_'[%']]],"N.A.")</f>
        <v>0</v>
      </c>
      <c r="AH159" s="7" t="str">
        <f>Tab_Data_Flows[[#This Row],[UoM_Flow_Py]]</f>
        <v>Mg</v>
      </c>
      <c r="AI159"/>
    </row>
    <row r="160" spans="1:35" x14ac:dyDescent="0.25">
      <c r="A160" s="9">
        <f t="shared" si="5"/>
        <v>159</v>
      </c>
      <c r="B160" s="7" t="str">
        <f>_xlfn.XLOOKUP(C160,Tab_Def_Flows[Flow_Name],Tab_Def_Flows[Flow_ID],,0,)</f>
        <v>F_03_07</v>
      </c>
      <c r="C160" s="8" t="s">
        <v>613</v>
      </c>
      <c r="D160" s="10" t="str">
        <f>_xlfn.XLOOKUP(C160,Tab_Def_Flows[Flow_Name],Tab_Def_Flows[WC?],,0,)</f>
        <v>Yes</v>
      </c>
      <c r="E160" s="10" t="str">
        <f>_xlfn.XLOOKUP(C160,Tab_Def_Flows[Flow_Name],Tab_Def_Flows[DM?],,0,)</f>
        <v>Yes</v>
      </c>
      <c r="F160" s="10" t="str">
        <f>_xlfn.XLOOKUP(C160,Tab_Def_Flows[Flow_Name],Tab_Def_Flows[CC?],,0,)</f>
        <v>Yes</v>
      </c>
      <c r="G160" s="8">
        <v>2035</v>
      </c>
      <c r="H160" s="26">
        <v>50</v>
      </c>
      <c r="I160" s="8"/>
      <c r="J160" s="18"/>
      <c r="K160" s="8" t="e">
        <f>INDEX(#REF!,MATCH(Tab_Data_Flows[[#This Row],[Flow_Name]],#REF!,0),12)</f>
        <v>#REF!</v>
      </c>
      <c r="L160" s="8" t="e">
        <f>MATCH(Tab_Data_Flows[[#This Row],[Flow_Name]],#REF!,0)</f>
        <v>#REF!</v>
      </c>
      <c r="M160" s="8"/>
      <c r="N160" s="8"/>
      <c r="O160" s="8"/>
      <c r="P160" s="8"/>
      <c r="Q160" s="8" t="s">
        <v>7</v>
      </c>
      <c r="R160" s="8"/>
      <c r="S160" s="8"/>
      <c r="T160" s="7" t="str">
        <f>Tab_Data_Flows[[#This Row],[Flow_ID]]&amp;"_"&amp;"material_"&amp;Tab_Data_Flows[[#This Row],[Flow_Data_Year]]</f>
        <v>F_03_07_material_2035</v>
      </c>
      <c r="U160" s="16">
        <f t="shared" si="6"/>
        <v>50</v>
      </c>
      <c r="V160" s="8" t="s">
        <v>211</v>
      </c>
      <c r="W160" s="153">
        <f>INDEX(Tab_Def_Flows[[Flow_ID]:[CC_DM_source]],MATCH(Tab_Data_Flows[[#This Row],[Flow_Name]],Tab_Def_Flows[Flow_Name],0),11)</f>
        <v>0</v>
      </c>
      <c r="X160" s="7" t="str">
        <f>Tab_Data_Flows[[#This Row],[Flow_ID]]&amp;"_"&amp;"WC_"&amp;Tab_Data_Flows[[#This Row],[Flow_Data_Year]]</f>
        <v>F_03_07_WC_2035</v>
      </c>
      <c r="Y160" s="7">
        <f>IF(D160="Yes",U160*Tab_Data_Flows[[#This Row],[WC_'[%']]],"N.A.")</f>
        <v>0</v>
      </c>
      <c r="Z160" s="7" t="str">
        <f>Tab_Data_Flows[[#This Row],[UoM_Flow_Py]]</f>
        <v>Mg</v>
      </c>
      <c r="AA160" s="153">
        <f>INDEX(Tab_Def_Flows[[Flow_ID]:[CC_DM_source]],MATCH(Tab_Data_Flows[[#This Row],[Flow_Name]],Tab_Def_Flows[Flow_Name],0),14)</f>
        <v>0</v>
      </c>
      <c r="AB160" s="7" t="str">
        <f>Tab_Data_Flows[[#This Row],[Flow_ID]]&amp;"_"&amp;"DM_"&amp;Tab_Data_Flows[[#This Row],[Flow_Data_Year]]</f>
        <v>F_03_07_DM_2035</v>
      </c>
      <c r="AC160" s="7">
        <f>IF(E160="Yes",AA160*Tab_Data_Flows[[#This Row],[Flow_Material]],"N.A.")</f>
        <v>0</v>
      </c>
      <c r="AD160" s="7" t="str">
        <f>Tab_Data_Flows[[#This Row],[UoM_Flow_Py]]</f>
        <v>Mg</v>
      </c>
      <c r="AE160" s="153">
        <f>INDEX(Tab_Def_Flows[[Flow_ID]:[CC_DM_source]],MATCH(Tab_Data_Flows[[#This Row],[Flow_Name]],Tab_Def_Flows[Flow_Name],0),17)</f>
        <v>0</v>
      </c>
      <c r="AF160" s="7" t="str">
        <f>Tab_Data_Flows[[#This Row],[Flow_ID]]&amp;"_"&amp;"CC_"&amp;Tab_Data_Flows[[#This Row],[Flow_Data_Year]]</f>
        <v>F_03_07_CC_2035</v>
      </c>
      <c r="AG160" s="7">
        <f>IF(F160="Yes",AE160*Tab_Data_Flows[[#This Row],[Flow_Material]]*Tab_Data_Flows[[#This Row],[DM_'[%']]],"N.A.")</f>
        <v>0</v>
      </c>
      <c r="AH160" s="7" t="str">
        <f>Tab_Data_Flows[[#This Row],[UoM_Flow_Py]]</f>
        <v>Mg</v>
      </c>
      <c r="AI160"/>
    </row>
    <row r="161" spans="1:35" x14ac:dyDescent="0.25">
      <c r="A161" s="9">
        <f t="shared" si="5"/>
        <v>160</v>
      </c>
      <c r="B161" s="7" t="str">
        <f>_xlfn.XLOOKUP(C161,Tab_Def_Flows[Flow_Name],Tab_Def_Flows[Flow_ID],,0,)</f>
        <v>F_03_07</v>
      </c>
      <c r="C161" s="8" t="s">
        <v>613</v>
      </c>
      <c r="D161" s="10" t="str">
        <f>_xlfn.XLOOKUP(C161,Tab_Def_Flows[Flow_Name],Tab_Def_Flows[WC?],,0,)</f>
        <v>Yes</v>
      </c>
      <c r="E161" s="10" t="str">
        <f>_xlfn.XLOOKUP(C161,Tab_Def_Flows[Flow_Name],Tab_Def_Flows[DM?],,0,)</f>
        <v>Yes</v>
      </c>
      <c r="F161" s="10" t="str">
        <f>_xlfn.XLOOKUP(C161,Tab_Def_Flows[Flow_Name],Tab_Def_Flows[CC?],,0,)</f>
        <v>Yes</v>
      </c>
      <c r="G161" s="8">
        <v>2036</v>
      </c>
      <c r="H161" s="26">
        <v>50</v>
      </c>
      <c r="I161" s="8"/>
      <c r="J161" s="18"/>
      <c r="K161" s="8" t="e">
        <f>INDEX(#REF!,MATCH(Tab_Data_Flows[[#This Row],[Flow_Name]],#REF!,0),12)</f>
        <v>#REF!</v>
      </c>
      <c r="L161" s="8" t="e">
        <f>MATCH(Tab_Data_Flows[[#This Row],[Flow_Name]],#REF!,0)</f>
        <v>#REF!</v>
      </c>
      <c r="M161" s="8"/>
      <c r="N161" s="8"/>
      <c r="O161" s="8"/>
      <c r="P161" s="8"/>
      <c r="Q161" s="8" t="s">
        <v>7</v>
      </c>
      <c r="R161" s="8"/>
      <c r="S161" s="8"/>
      <c r="T161" s="7" t="str">
        <f>Tab_Data_Flows[[#This Row],[Flow_ID]]&amp;"_"&amp;"material_"&amp;Tab_Data_Flows[[#This Row],[Flow_Data_Year]]</f>
        <v>F_03_07_material_2036</v>
      </c>
      <c r="U161" s="16">
        <f t="shared" si="6"/>
        <v>50</v>
      </c>
      <c r="V161" s="8" t="s">
        <v>211</v>
      </c>
      <c r="W161" s="153">
        <f>INDEX(Tab_Def_Flows[[Flow_ID]:[CC_DM_source]],MATCH(Tab_Data_Flows[[#This Row],[Flow_Name]],Tab_Def_Flows[Flow_Name],0),11)</f>
        <v>0</v>
      </c>
      <c r="X161" s="7" t="str">
        <f>Tab_Data_Flows[[#This Row],[Flow_ID]]&amp;"_"&amp;"WC_"&amp;Tab_Data_Flows[[#This Row],[Flow_Data_Year]]</f>
        <v>F_03_07_WC_2036</v>
      </c>
      <c r="Y161" s="7">
        <f>IF(D161="Yes",U161*Tab_Data_Flows[[#This Row],[WC_'[%']]],"N.A.")</f>
        <v>0</v>
      </c>
      <c r="Z161" s="7" t="str">
        <f>Tab_Data_Flows[[#This Row],[UoM_Flow_Py]]</f>
        <v>Mg</v>
      </c>
      <c r="AA161" s="153">
        <f>INDEX(Tab_Def_Flows[[Flow_ID]:[CC_DM_source]],MATCH(Tab_Data_Flows[[#This Row],[Flow_Name]],Tab_Def_Flows[Flow_Name],0),14)</f>
        <v>0</v>
      </c>
      <c r="AB161" s="7" t="str">
        <f>Tab_Data_Flows[[#This Row],[Flow_ID]]&amp;"_"&amp;"DM_"&amp;Tab_Data_Flows[[#This Row],[Flow_Data_Year]]</f>
        <v>F_03_07_DM_2036</v>
      </c>
      <c r="AC161" s="7">
        <f>IF(E161="Yes",AA161*Tab_Data_Flows[[#This Row],[Flow_Material]],"N.A.")</f>
        <v>0</v>
      </c>
      <c r="AD161" s="7" t="str">
        <f>Tab_Data_Flows[[#This Row],[UoM_Flow_Py]]</f>
        <v>Mg</v>
      </c>
      <c r="AE161" s="153">
        <f>INDEX(Tab_Def_Flows[[Flow_ID]:[CC_DM_source]],MATCH(Tab_Data_Flows[[#This Row],[Flow_Name]],Tab_Def_Flows[Flow_Name],0),17)</f>
        <v>0</v>
      </c>
      <c r="AF161" s="7" t="str">
        <f>Tab_Data_Flows[[#This Row],[Flow_ID]]&amp;"_"&amp;"CC_"&amp;Tab_Data_Flows[[#This Row],[Flow_Data_Year]]</f>
        <v>F_03_07_CC_2036</v>
      </c>
      <c r="AG161" s="7">
        <f>IF(F161="Yes",AE161*Tab_Data_Flows[[#This Row],[Flow_Material]]*Tab_Data_Flows[[#This Row],[DM_'[%']]],"N.A.")</f>
        <v>0</v>
      </c>
      <c r="AH161" s="7" t="str">
        <f>Tab_Data_Flows[[#This Row],[UoM_Flow_Py]]</f>
        <v>Mg</v>
      </c>
      <c r="AI161"/>
    </row>
    <row r="162" spans="1:35" x14ac:dyDescent="0.25">
      <c r="A162" s="9">
        <f t="shared" si="5"/>
        <v>161</v>
      </c>
      <c r="B162" s="7" t="str">
        <f>_xlfn.XLOOKUP(C162,Tab_Def_Flows[Flow_Name],Tab_Def_Flows[Flow_ID],,0,)</f>
        <v>F_03_07</v>
      </c>
      <c r="C162" s="8" t="s">
        <v>613</v>
      </c>
      <c r="D162" s="10" t="str">
        <f>_xlfn.XLOOKUP(C162,Tab_Def_Flows[Flow_Name],Tab_Def_Flows[WC?],,0,)</f>
        <v>Yes</v>
      </c>
      <c r="E162" s="10" t="str">
        <f>_xlfn.XLOOKUP(C162,Tab_Def_Flows[Flow_Name],Tab_Def_Flows[DM?],,0,)</f>
        <v>Yes</v>
      </c>
      <c r="F162" s="10" t="str">
        <f>_xlfn.XLOOKUP(C162,Tab_Def_Flows[Flow_Name],Tab_Def_Flows[CC?],,0,)</f>
        <v>Yes</v>
      </c>
      <c r="G162" s="8">
        <v>2037</v>
      </c>
      <c r="H162" s="26">
        <v>50</v>
      </c>
      <c r="I162" s="8"/>
      <c r="J162" s="18"/>
      <c r="K162" s="8" t="e">
        <f>INDEX(#REF!,MATCH(Tab_Data_Flows[[#This Row],[Flow_Name]],#REF!,0),12)</f>
        <v>#REF!</v>
      </c>
      <c r="L162" s="8" t="e">
        <f>MATCH(Tab_Data_Flows[[#This Row],[Flow_Name]],#REF!,0)</f>
        <v>#REF!</v>
      </c>
      <c r="M162" s="8"/>
      <c r="N162" s="8"/>
      <c r="O162" s="8"/>
      <c r="P162" s="8"/>
      <c r="Q162" s="8" t="s">
        <v>7</v>
      </c>
      <c r="R162" s="8"/>
      <c r="S162" s="8"/>
      <c r="T162" s="7" t="str">
        <f>Tab_Data_Flows[[#This Row],[Flow_ID]]&amp;"_"&amp;"material_"&amp;Tab_Data_Flows[[#This Row],[Flow_Data_Year]]</f>
        <v>F_03_07_material_2037</v>
      </c>
      <c r="U162" s="16">
        <f t="shared" si="6"/>
        <v>50</v>
      </c>
      <c r="V162" s="8" t="s">
        <v>211</v>
      </c>
      <c r="W162" s="153">
        <f>INDEX(Tab_Def_Flows[[Flow_ID]:[CC_DM_source]],MATCH(Tab_Data_Flows[[#This Row],[Flow_Name]],Tab_Def_Flows[Flow_Name],0),11)</f>
        <v>0</v>
      </c>
      <c r="X162" s="7" t="str">
        <f>Tab_Data_Flows[[#This Row],[Flow_ID]]&amp;"_"&amp;"WC_"&amp;Tab_Data_Flows[[#This Row],[Flow_Data_Year]]</f>
        <v>F_03_07_WC_2037</v>
      </c>
      <c r="Y162" s="7">
        <f>IF(D162="Yes",U162*Tab_Data_Flows[[#This Row],[WC_'[%']]],"N.A.")</f>
        <v>0</v>
      </c>
      <c r="Z162" s="7" t="str">
        <f>Tab_Data_Flows[[#This Row],[UoM_Flow_Py]]</f>
        <v>Mg</v>
      </c>
      <c r="AA162" s="153">
        <f>INDEX(Tab_Def_Flows[[Flow_ID]:[CC_DM_source]],MATCH(Tab_Data_Flows[[#This Row],[Flow_Name]],Tab_Def_Flows[Flow_Name],0),14)</f>
        <v>0</v>
      </c>
      <c r="AB162" s="7" t="str">
        <f>Tab_Data_Flows[[#This Row],[Flow_ID]]&amp;"_"&amp;"DM_"&amp;Tab_Data_Flows[[#This Row],[Flow_Data_Year]]</f>
        <v>F_03_07_DM_2037</v>
      </c>
      <c r="AC162" s="7">
        <f>IF(E162="Yes",AA162*Tab_Data_Flows[[#This Row],[Flow_Material]],"N.A.")</f>
        <v>0</v>
      </c>
      <c r="AD162" s="7" t="str">
        <f>Tab_Data_Flows[[#This Row],[UoM_Flow_Py]]</f>
        <v>Mg</v>
      </c>
      <c r="AE162" s="153">
        <f>INDEX(Tab_Def_Flows[[Flow_ID]:[CC_DM_source]],MATCH(Tab_Data_Flows[[#This Row],[Flow_Name]],Tab_Def_Flows[Flow_Name],0),17)</f>
        <v>0</v>
      </c>
      <c r="AF162" s="7" t="str">
        <f>Tab_Data_Flows[[#This Row],[Flow_ID]]&amp;"_"&amp;"CC_"&amp;Tab_Data_Flows[[#This Row],[Flow_Data_Year]]</f>
        <v>F_03_07_CC_2037</v>
      </c>
      <c r="AG162" s="7">
        <f>IF(F162="Yes",AE162*Tab_Data_Flows[[#This Row],[Flow_Material]]*Tab_Data_Flows[[#This Row],[DM_'[%']]],"N.A.")</f>
        <v>0</v>
      </c>
      <c r="AH162" s="7" t="str">
        <f>Tab_Data_Flows[[#This Row],[UoM_Flow_Py]]</f>
        <v>Mg</v>
      </c>
      <c r="AI162"/>
    </row>
    <row r="163" spans="1:35" x14ac:dyDescent="0.25">
      <c r="A163" s="9">
        <f t="shared" si="5"/>
        <v>162</v>
      </c>
      <c r="B163" s="7" t="str">
        <f>_xlfn.XLOOKUP(C163,Tab_Def_Flows[Flow_Name],Tab_Def_Flows[Flow_ID],,0,)</f>
        <v>F_03_07</v>
      </c>
      <c r="C163" s="8" t="s">
        <v>613</v>
      </c>
      <c r="D163" s="10" t="str">
        <f>_xlfn.XLOOKUP(C163,Tab_Def_Flows[Flow_Name],Tab_Def_Flows[WC?],,0,)</f>
        <v>Yes</v>
      </c>
      <c r="E163" s="10" t="str">
        <f>_xlfn.XLOOKUP(C163,Tab_Def_Flows[Flow_Name],Tab_Def_Flows[DM?],,0,)</f>
        <v>Yes</v>
      </c>
      <c r="F163" s="10" t="str">
        <f>_xlfn.XLOOKUP(C163,Tab_Def_Flows[Flow_Name],Tab_Def_Flows[CC?],,0,)</f>
        <v>Yes</v>
      </c>
      <c r="G163" s="8">
        <v>2038</v>
      </c>
      <c r="H163" s="26">
        <v>50</v>
      </c>
      <c r="I163" s="8"/>
      <c r="J163" s="18"/>
      <c r="K163" s="8" t="e">
        <f>INDEX(#REF!,MATCH(Tab_Data_Flows[[#This Row],[Flow_Name]],#REF!,0),12)</f>
        <v>#REF!</v>
      </c>
      <c r="L163" s="8" t="e">
        <f>MATCH(Tab_Data_Flows[[#This Row],[Flow_Name]],#REF!,0)</f>
        <v>#REF!</v>
      </c>
      <c r="M163" s="8"/>
      <c r="N163" s="8"/>
      <c r="O163" s="8"/>
      <c r="P163" s="8"/>
      <c r="Q163" s="8" t="s">
        <v>7</v>
      </c>
      <c r="R163" s="8"/>
      <c r="S163" s="8"/>
      <c r="T163" s="7" t="str">
        <f>Tab_Data_Flows[[#This Row],[Flow_ID]]&amp;"_"&amp;"material_"&amp;Tab_Data_Flows[[#This Row],[Flow_Data_Year]]</f>
        <v>F_03_07_material_2038</v>
      </c>
      <c r="U163" s="16">
        <f t="shared" si="6"/>
        <v>50</v>
      </c>
      <c r="V163" s="8" t="s">
        <v>211</v>
      </c>
      <c r="W163" s="153">
        <f>INDEX(Tab_Def_Flows[[Flow_ID]:[CC_DM_source]],MATCH(Tab_Data_Flows[[#This Row],[Flow_Name]],Tab_Def_Flows[Flow_Name],0),11)</f>
        <v>0</v>
      </c>
      <c r="X163" s="7" t="str">
        <f>Tab_Data_Flows[[#This Row],[Flow_ID]]&amp;"_"&amp;"WC_"&amp;Tab_Data_Flows[[#This Row],[Flow_Data_Year]]</f>
        <v>F_03_07_WC_2038</v>
      </c>
      <c r="Y163" s="7">
        <f>IF(D163="Yes",U163*Tab_Data_Flows[[#This Row],[WC_'[%']]],"N.A.")</f>
        <v>0</v>
      </c>
      <c r="Z163" s="7" t="str">
        <f>Tab_Data_Flows[[#This Row],[UoM_Flow_Py]]</f>
        <v>Mg</v>
      </c>
      <c r="AA163" s="153">
        <f>INDEX(Tab_Def_Flows[[Flow_ID]:[CC_DM_source]],MATCH(Tab_Data_Flows[[#This Row],[Flow_Name]],Tab_Def_Flows[Flow_Name],0),14)</f>
        <v>0</v>
      </c>
      <c r="AB163" s="7" t="str">
        <f>Tab_Data_Flows[[#This Row],[Flow_ID]]&amp;"_"&amp;"DM_"&amp;Tab_Data_Flows[[#This Row],[Flow_Data_Year]]</f>
        <v>F_03_07_DM_2038</v>
      </c>
      <c r="AC163" s="7">
        <f>IF(E163="Yes",AA163*Tab_Data_Flows[[#This Row],[Flow_Material]],"N.A.")</f>
        <v>0</v>
      </c>
      <c r="AD163" s="7" t="str">
        <f>Tab_Data_Flows[[#This Row],[UoM_Flow_Py]]</f>
        <v>Mg</v>
      </c>
      <c r="AE163" s="153">
        <f>INDEX(Tab_Def_Flows[[Flow_ID]:[CC_DM_source]],MATCH(Tab_Data_Flows[[#This Row],[Flow_Name]],Tab_Def_Flows[Flow_Name],0),17)</f>
        <v>0</v>
      </c>
      <c r="AF163" s="7" t="str">
        <f>Tab_Data_Flows[[#This Row],[Flow_ID]]&amp;"_"&amp;"CC_"&amp;Tab_Data_Flows[[#This Row],[Flow_Data_Year]]</f>
        <v>F_03_07_CC_2038</v>
      </c>
      <c r="AG163" s="7">
        <f>IF(F163="Yes",AE163*Tab_Data_Flows[[#This Row],[Flow_Material]]*Tab_Data_Flows[[#This Row],[DM_'[%']]],"N.A.")</f>
        <v>0</v>
      </c>
      <c r="AH163" s="7" t="str">
        <f>Tab_Data_Flows[[#This Row],[UoM_Flow_Py]]</f>
        <v>Mg</v>
      </c>
      <c r="AI163"/>
    </row>
    <row r="164" spans="1:35" x14ac:dyDescent="0.25">
      <c r="A164" s="9">
        <f t="shared" si="5"/>
        <v>163</v>
      </c>
      <c r="B164" s="7" t="str">
        <f>_xlfn.XLOOKUP(C164,Tab_Def_Flows[Flow_Name],Tab_Def_Flows[Flow_ID],,0,)</f>
        <v>F_03_07</v>
      </c>
      <c r="C164" s="8" t="s">
        <v>613</v>
      </c>
      <c r="D164" s="10" t="str">
        <f>_xlfn.XLOOKUP(C164,Tab_Def_Flows[Flow_Name],Tab_Def_Flows[WC?],,0,)</f>
        <v>Yes</v>
      </c>
      <c r="E164" s="10" t="str">
        <f>_xlfn.XLOOKUP(C164,Tab_Def_Flows[Flow_Name],Tab_Def_Flows[DM?],,0,)</f>
        <v>Yes</v>
      </c>
      <c r="F164" s="10" t="str">
        <f>_xlfn.XLOOKUP(C164,Tab_Def_Flows[Flow_Name],Tab_Def_Flows[CC?],,0,)</f>
        <v>Yes</v>
      </c>
      <c r="G164" s="8">
        <v>2039</v>
      </c>
      <c r="H164" s="26">
        <v>50</v>
      </c>
      <c r="I164" s="8"/>
      <c r="J164" s="18"/>
      <c r="K164" s="8" t="e">
        <f>INDEX(#REF!,MATCH(Tab_Data_Flows[[#This Row],[Flow_Name]],#REF!,0),12)</f>
        <v>#REF!</v>
      </c>
      <c r="L164" s="8" t="e">
        <f>MATCH(Tab_Data_Flows[[#This Row],[Flow_Name]],#REF!,0)</f>
        <v>#REF!</v>
      </c>
      <c r="M164" s="8"/>
      <c r="N164" s="8"/>
      <c r="O164" s="8"/>
      <c r="P164" s="8"/>
      <c r="Q164" s="8" t="s">
        <v>7</v>
      </c>
      <c r="R164" s="8"/>
      <c r="S164" s="8"/>
      <c r="T164" s="7" t="str">
        <f>Tab_Data_Flows[[#This Row],[Flow_ID]]&amp;"_"&amp;"material_"&amp;Tab_Data_Flows[[#This Row],[Flow_Data_Year]]</f>
        <v>F_03_07_material_2039</v>
      </c>
      <c r="U164" s="16">
        <f t="shared" si="6"/>
        <v>50</v>
      </c>
      <c r="V164" s="8" t="s">
        <v>211</v>
      </c>
      <c r="W164" s="153">
        <f>INDEX(Tab_Def_Flows[[Flow_ID]:[CC_DM_source]],MATCH(Tab_Data_Flows[[#This Row],[Flow_Name]],Tab_Def_Flows[Flow_Name],0),11)</f>
        <v>0</v>
      </c>
      <c r="X164" s="7" t="str">
        <f>Tab_Data_Flows[[#This Row],[Flow_ID]]&amp;"_"&amp;"WC_"&amp;Tab_Data_Flows[[#This Row],[Flow_Data_Year]]</f>
        <v>F_03_07_WC_2039</v>
      </c>
      <c r="Y164" s="7">
        <f>IF(D164="Yes",U164*Tab_Data_Flows[[#This Row],[WC_'[%']]],"N.A.")</f>
        <v>0</v>
      </c>
      <c r="Z164" s="7" t="str">
        <f>Tab_Data_Flows[[#This Row],[UoM_Flow_Py]]</f>
        <v>Mg</v>
      </c>
      <c r="AA164" s="153">
        <f>INDEX(Tab_Def_Flows[[Flow_ID]:[CC_DM_source]],MATCH(Tab_Data_Flows[[#This Row],[Flow_Name]],Tab_Def_Flows[Flow_Name],0),14)</f>
        <v>0</v>
      </c>
      <c r="AB164" s="7" t="str">
        <f>Tab_Data_Flows[[#This Row],[Flow_ID]]&amp;"_"&amp;"DM_"&amp;Tab_Data_Flows[[#This Row],[Flow_Data_Year]]</f>
        <v>F_03_07_DM_2039</v>
      </c>
      <c r="AC164" s="7">
        <f>IF(E164="Yes",AA164*Tab_Data_Flows[[#This Row],[Flow_Material]],"N.A.")</f>
        <v>0</v>
      </c>
      <c r="AD164" s="7" t="str">
        <f>Tab_Data_Flows[[#This Row],[UoM_Flow_Py]]</f>
        <v>Mg</v>
      </c>
      <c r="AE164" s="153">
        <f>INDEX(Tab_Def_Flows[[Flow_ID]:[CC_DM_source]],MATCH(Tab_Data_Flows[[#This Row],[Flow_Name]],Tab_Def_Flows[Flow_Name],0),17)</f>
        <v>0</v>
      </c>
      <c r="AF164" s="7" t="str">
        <f>Tab_Data_Flows[[#This Row],[Flow_ID]]&amp;"_"&amp;"CC_"&amp;Tab_Data_Flows[[#This Row],[Flow_Data_Year]]</f>
        <v>F_03_07_CC_2039</v>
      </c>
      <c r="AG164" s="7">
        <f>IF(F164="Yes",AE164*Tab_Data_Flows[[#This Row],[Flow_Material]]*Tab_Data_Flows[[#This Row],[DM_'[%']]],"N.A.")</f>
        <v>0</v>
      </c>
      <c r="AH164" s="7" t="str">
        <f>Tab_Data_Flows[[#This Row],[UoM_Flow_Py]]</f>
        <v>Mg</v>
      </c>
      <c r="AI164"/>
    </row>
    <row r="165" spans="1:35" x14ac:dyDescent="0.25">
      <c r="A165" s="9">
        <f t="shared" si="5"/>
        <v>164</v>
      </c>
      <c r="B165" s="7" t="str">
        <f>_xlfn.XLOOKUP(C165,Tab_Def_Flows[Flow_Name],Tab_Def_Flows[Flow_ID],,0,)</f>
        <v>F_03_07</v>
      </c>
      <c r="C165" s="8" t="s">
        <v>613</v>
      </c>
      <c r="D165" s="10" t="str">
        <f>_xlfn.XLOOKUP(C165,Tab_Def_Flows[Flow_Name],Tab_Def_Flows[WC?],,0,)</f>
        <v>Yes</v>
      </c>
      <c r="E165" s="10" t="str">
        <f>_xlfn.XLOOKUP(C165,Tab_Def_Flows[Flow_Name],Tab_Def_Flows[DM?],,0,)</f>
        <v>Yes</v>
      </c>
      <c r="F165" s="10" t="str">
        <f>_xlfn.XLOOKUP(C165,Tab_Def_Flows[Flow_Name],Tab_Def_Flows[CC?],,0,)</f>
        <v>Yes</v>
      </c>
      <c r="G165" s="8">
        <v>2040</v>
      </c>
      <c r="H165" s="26">
        <v>50</v>
      </c>
      <c r="I165" s="8"/>
      <c r="J165" s="18"/>
      <c r="K165" s="8" t="e">
        <f>INDEX(#REF!,MATCH(Tab_Data_Flows[[#This Row],[Flow_Name]],#REF!,0),12)</f>
        <v>#REF!</v>
      </c>
      <c r="L165" s="8" t="e">
        <f>MATCH(Tab_Data_Flows[[#This Row],[Flow_Name]],#REF!,0)</f>
        <v>#REF!</v>
      </c>
      <c r="M165" s="8"/>
      <c r="N165" s="8"/>
      <c r="O165" s="8"/>
      <c r="P165" s="8"/>
      <c r="Q165" s="8" t="s">
        <v>7</v>
      </c>
      <c r="R165" s="8"/>
      <c r="S165" s="8"/>
      <c r="T165" s="7" t="str">
        <f>Tab_Data_Flows[[#This Row],[Flow_ID]]&amp;"_"&amp;"material_"&amp;Tab_Data_Flows[[#This Row],[Flow_Data_Year]]</f>
        <v>F_03_07_material_2040</v>
      </c>
      <c r="U165" s="16">
        <f t="shared" si="6"/>
        <v>50</v>
      </c>
      <c r="V165" s="8" t="s">
        <v>211</v>
      </c>
      <c r="W165" s="153">
        <f>INDEX(Tab_Def_Flows[[Flow_ID]:[CC_DM_source]],MATCH(Tab_Data_Flows[[#This Row],[Flow_Name]],Tab_Def_Flows[Flow_Name],0),11)</f>
        <v>0</v>
      </c>
      <c r="X165" s="7" t="str">
        <f>Tab_Data_Flows[[#This Row],[Flow_ID]]&amp;"_"&amp;"WC_"&amp;Tab_Data_Flows[[#This Row],[Flow_Data_Year]]</f>
        <v>F_03_07_WC_2040</v>
      </c>
      <c r="Y165" s="7">
        <f>IF(D165="Yes",U165*Tab_Data_Flows[[#This Row],[WC_'[%']]],"N.A.")</f>
        <v>0</v>
      </c>
      <c r="Z165" s="7" t="str">
        <f>Tab_Data_Flows[[#This Row],[UoM_Flow_Py]]</f>
        <v>Mg</v>
      </c>
      <c r="AA165" s="153">
        <f>INDEX(Tab_Def_Flows[[Flow_ID]:[CC_DM_source]],MATCH(Tab_Data_Flows[[#This Row],[Flow_Name]],Tab_Def_Flows[Flow_Name],0),14)</f>
        <v>0</v>
      </c>
      <c r="AB165" s="7" t="str">
        <f>Tab_Data_Flows[[#This Row],[Flow_ID]]&amp;"_"&amp;"DM_"&amp;Tab_Data_Flows[[#This Row],[Flow_Data_Year]]</f>
        <v>F_03_07_DM_2040</v>
      </c>
      <c r="AC165" s="7">
        <f>IF(E165="Yes",AA165*Tab_Data_Flows[[#This Row],[Flow_Material]],"N.A.")</f>
        <v>0</v>
      </c>
      <c r="AD165" s="7" t="str">
        <f>Tab_Data_Flows[[#This Row],[UoM_Flow_Py]]</f>
        <v>Mg</v>
      </c>
      <c r="AE165" s="153">
        <f>INDEX(Tab_Def_Flows[[Flow_ID]:[CC_DM_source]],MATCH(Tab_Data_Flows[[#This Row],[Flow_Name]],Tab_Def_Flows[Flow_Name],0),17)</f>
        <v>0</v>
      </c>
      <c r="AF165" s="7" t="str">
        <f>Tab_Data_Flows[[#This Row],[Flow_ID]]&amp;"_"&amp;"CC_"&amp;Tab_Data_Flows[[#This Row],[Flow_Data_Year]]</f>
        <v>F_03_07_CC_2040</v>
      </c>
      <c r="AG165" s="7">
        <f>IF(F165="Yes",AE165*Tab_Data_Flows[[#This Row],[Flow_Material]]*Tab_Data_Flows[[#This Row],[DM_'[%']]],"N.A.")</f>
        <v>0</v>
      </c>
      <c r="AH165" s="7" t="str">
        <f>Tab_Data_Flows[[#This Row],[UoM_Flow_Py]]</f>
        <v>Mg</v>
      </c>
      <c r="AI165"/>
    </row>
    <row r="166" spans="1:35" x14ac:dyDescent="0.25">
      <c r="A166" s="9">
        <f t="shared" si="5"/>
        <v>165</v>
      </c>
      <c r="B166" s="7" t="str">
        <f>_xlfn.XLOOKUP(C166,Tab_Def_Flows[Flow_Name],Tab_Def_Flows[Flow_ID],,0,)</f>
        <v>F__</v>
      </c>
      <c r="C166" s="8" t="s">
        <v>30</v>
      </c>
      <c r="D166" s="10">
        <f>_xlfn.XLOOKUP(C166,Tab_Def_Flows[Flow_Name],Tab_Def_Flows[WC?],,0,)</f>
        <v>0</v>
      </c>
      <c r="E166" s="10">
        <f>_xlfn.XLOOKUP(C166,Tab_Def_Flows[Flow_Name],Tab_Def_Flows[DM?],,0,)</f>
        <v>0</v>
      </c>
      <c r="F166" s="10">
        <f>_xlfn.XLOOKUP(C166,Tab_Def_Flows[Flow_Name],Tab_Def_Flows[CC?],,0,)</f>
        <v>0</v>
      </c>
      <c r="G166" s="8"/>
      <c r="H166" s="26"/>
      <c r="I166" s="8"/>
      <c r="J166" s="18"/>
      <c r="K166" s="8" t="e">
        <f>INDEX(#REF!,MATCH(Tab_Data_Flows[[#This Row],[Flow_Name]],#REF!,0),12)</f>
        <v>#REF!</v>
      </c>
      <c r="L166" s="8" t="e">
        <f>MATCH(Tab_Data_Flows[[#This Row],[Flow_Name]],#REF!,0)</f>
        <v>#REF!</v>
      </c>
      <c r="M166" s="8"/>
      <c r="N166" s="8"/>
      <c r="O166" s="8"/>
      <c r="P166" s="8"/>
      <c r="Q166" s="8" t="s">
        <v>7</v>
      </c>
      <c r="R166" s="8"/>
      <c r="S166" s="8"/>
      <c r="T166" s="7" t="str">
        <f>Tab_Data_Flows[[#This Row],[Flow_ID]]&amp;"_"&amp;"material_"&amp;Tab_Data_Flows[[#This Row],[Flow_Data_Year]]</f>
        <v>F___material_</v>
      </c>
      <c r="U166" s="16">
        <f t="shared" si="6"/>
        <v>0</v>
      </c>
      <c r="V166" s="8" t="s">
        <v>211</v>
      </c>
      <c r="W166" s="153">
        <f>INDEX(Tab_Def_Flows[[Flow_ID]:[CC_DM_source]],MATCH(Tab_Data_Flows[[#This Row],[Flow_Name]],Tab_Def_Flows[Flow_Name],0),11)</f>
        <v>0</v>
      </c>
      <c r="X166" s="7" t="str">
        <f>Tab_Data_Flows[[#This Row],[Flow_ID]]&amp;"_"&amp;"WC_"&amp;Tab_Data_Flows[[#This Row],[Flow_Data_Year]]</f>
        <v>F___WC_</v>
      </c>
      <c r="Y166" s="7" t="str">
        <f>IF(D166="Yes",U166*Tab_Data_Flows[[#This Row],[WC_'[%']]],"N.A.")</f>
        <v>N.A.</v>
      </c>
      <c r="Z166" s="7" t="str">
        <f>Tab_Data_Flows[[#This Row],[UoM_Flow_Py]]</f>
        <v>Mg</v>
      </c>
      <c r="AA166" s="153">
        <f>INDEX(Tab_Def_Flows[[Flow_ID]:[CC_DM_source]],MATCH(Tab_Data_Flows[[#This Row],[Flow_Name]],Tab_Def_Flows[Flow_Name],0),14)</f>
        <v>0</v>
      </c>
      <c r="AB166" s="7" t="str">
        <f>Tab_Data_Flows[[#This Row],[Flow_ID]]&amp;"_"&amp;"DM_"&amp;Tab_Data_Flows[[#This Row],[Flow_Data_Year]]</f>
        <v>F___DM_</v>
      </c>
      <c r="AC166" s="7" t="str">
        <f>IF(E166="Yes",AA166*Tab_Data_Flows[[#This Row],[Flow_Material]],"N.A.")</f>
        <v>N.A.</v>
      </c>
      <c r="AD166" s="7" t="str">
        <f>Tab_Data_Flows[[#This Row],[UoM_Flow_Py]]</f>
        <v>Mg</v>
      </c>
      <c r="AE166" s="153">
        <f>INDEX(Tab_Def_Flows[[Flow_ID]:[CC_DM_source]],MATCH(Tab_Data_Flows[[#This Row],[Flow_Name]],Tab_Def_Flows[Flow_Name],0),17)</f>
        <v>0</v>
      </c>
      <c r="AF166" s="7" t="str">
        <f>Tab_Data_Flows[[#This Row],[Flow_ID]]&amp;"_"&amp;"CC_"&amp;Tab_Data_Flows[[#This Row],[Flow_Data_Year]]</f>
        <v>F___CC_</v>
      </c>
      <c r="AG166" s="7" t="str">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F__</v>
      </c>
      <c r="C167" s="8" t="s">
        <v>30</v>
      </c>
      <c r="D167" s="10">
        <f>_xlfn.XLOOKUP(C167,Tab_Def_Flows[Flow_Name],Tab_Def_Flows[WC?],,0,)</f>
        <v>0</v>
      </c>
      <c r="E167" s="10">
        <f>_xlfn.XLOOKUP(C167,Tab_Def_Flows[Flow_Name],Tab_Def_Flows[DM?],,0,)</f>
        <v>0</v>
      </c>
      <c r="F167" s="10">
        <f>_xlfn.XLOOKUP(C167,Tab_Def_Flows[Flow_Name],Tab_Def_Flows[CC?],,0,)</f>
        <v>0</v>
      </c>
      <c r="G167" s="8"/>
      <c r="H167" s="26"/>
      <c r="I167" s="8"/>
      <c r="J167" s="18"/>
      <c r="K167" s="8" t="e">
        <f>INDEX(#REF!,MATCH(Tab_Data_Flows[[#This Row],[Flow_Name]],#REF!,0),12)</f>
        <v>#REF!</v>
      </c>
      <c r="L167" s="8" t="e">
        <f>MATCH(Tab_Data_Flows[[#This Row],[Flow_Name]],#REF!,0)</f>
        <v>#REF!</v>
      </c>
      <c r="M167" s="8"/>
      <c r="N167" s="8"/>
      <c r="O167" s="8"/>
      <c r="P167" s="8"/>
      <c r="Q167" s="8" t="s">
        <v>7</v>
      </c>
      <c r="R167" s="8"/>
      <c r="S167" s="8"/>
      <c r="T167" s="7" t="str">
        <f>Tab_Data_Flows[[#This Row],[Flow_ID]]&amp;"_"&amp;"material_"&amp;Tab_Data_Flows[[#This Row],[Flow_Data_Year]]</f>
        <v>F___material_</v>
      </c>
      <c r="U167" s="16">
        <f t="shared" si="6"/>
        <v>0</v>
      </c>
      <c r="V167" s="8" t="s">
        <v>211</v>
      </c>
      <c r="W167" s="153">
        <f>INDEX(Tab_Def_Flows[[Flow_ID]:[CC_DM_source]],MATCH(Tab_Data_Flows[[#This Row],[Flow_Name]],Tab_Def_Flows[Flow_Name],0),11)</f>
        <v>0</v>
      </c>
      <c r="X167" s="7" t="str">
        <f>Tab_Data_Flows[[#This Row],[Flow_ID]]&amp;"_"&amp;"WC_"&amp;Tab_Data_Flows[[#This Row],[Flow_Data_Year]]</f>
        <v>F___WC_</v>
      </c>
      <c r="Y167" s="7" t="str">
        <f>IF(D167="Yes",U167*Tab_Data_Flows[[#This Row],[WC_'[%']]],"N.A.")</f>
        <v>N.A.</v>
      </c>
      <c r="Z167" s="7" t="str">
        <f>Tab_Data_Flows[[#This Row],[UoM_Flow_Py]]</f>
        <v>Mg</v>
      </c>
      <c r="AA167" s="153">
        <f>INDEX(Tab_Def_Flows[[Flow_ID]:[CC_DM_source]],MATCH(Tab_Data_Flows[[#This Row],[Flow_Name]],Tab_Def_Flows[Flow_Name],0),14)</f>
        <v>0</v>
      </c>
      <c r="AB167" s="7" t="str">
        <f>Tab_Data_Flows[[#This Row],[Flow_ID]]&amp;"_"&amp;"DM_"&amp;Tab_Data_Flows[[#This Row],[Flow_Data_Year]]</f>
        <v>F___DM_</v>
      </c>
      <c r="AC167" s="7" t="str">
        <f>IF(E167="Yes",AA167*Tab_Data_Flows[[#This Row],[Flow_Material]],"N.A.")</f>
        <v>N.A.</v>
      </c>
      <c r="AD167" s="7" t="str">
        <f>Tab_Data_Flows[[#This Row],[UoM_Flow_Py]]</f>
        <v>Mg</v>
      </c>
      <c r="AE167" s="153">
        <f>INDEX(Tab_Def_Flows[[Flow_ID]:[CC_DM_source]],MATCH(Tab_Data_Flows[[#This Row],[Flow_Name]],Tab_Def_Flows[Flow_Name],0),17)</f>
        <v>0</v>
      </c>
      <c r="AF167" s="7" t="str">
        <f>Tab_Data_Flows[[#This Row],[Flow_ID]]&amp;"_"&amp;"CC_"&amp;Tab_Data_Flows[[#This Row],[Flow_Data_Year]]</f>
        <v>F___CC_</v>
      </c>
      <c r="AG167" s="7" t="str">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F__</v>
      </c>
      <c r="C168" s="8" t="s">
        <v>30</v>
      </c>
      <c r="D168" s="10">
        <f>_xlfn.XLOOKUP(C168,Tab_Def_Flows[Flow_Name],Tab_Def_Flows[WC?],,0,)</f>
        <v>0</v>
      </c>
      <c r="E168" s="10">
        <f>_xlfn.XLOOKUP(C168,Tab_Def_Flows[Flow_Name],Tab_Def_Flows[DM?],,0,)</f>
        <v>0</v>
      </c>
      <c r="F168" s="10">
        <f>_xlfn.XLOOKUP(C168,Tab_Def_Flows[Flow_Name],Tab_Def_Flows[CC?],,0,)</f>
        <v>0</v>
      </c>
      <c r="G168" s="8"/>
      <c r="H168" s="26"/>
      <c r="I168" s="8"/>
      <c r="J168" s="18"/>
      <c r="K168" s="8" t="e">
        <f>INDEX(#REF!,MATCH(Tab_Data_Flows[[#This Row],[Flow_Name]],#REF!,0),12)</f>
        <v>#REF!</v>
      </c>
      <c r="L168" s="8" t="e">
        <f>MATCH(Tab_Data_Flows[[#This Row],[Flow_Name]],#REF!,0)</f>
        <v>#REF!</v>
      </c>
      <c r="M168" s="8"/>
      <c r="N168" s="8"/>
      <c r="O168" s="8"/>
      <c r="P168" s="8"/>
      <c r="Q168" s="8" t="s">
        <v>7</v>
      </c>
      <c r="R168" s="8"/>
      <c r="S168" s="8"/>
      <c r="T168" s="7" t="str">
        <f>Tab_Data_Flows[[#This Row],[Flow_ID]]&amp;"_"&amp;"material_"&amp;Tab_Data_Flows[[#This Row],[Flow_Data_Year]]</f>
        <v>F___material_</v>
      </c>
      <c r="U168" s="16">
        <f t="shared" si="6"/>
        <v>0</v>
      </c>
      <c r="V168" s="8" t="s">
        <v>211</v>
      </c>
      <c r="W168" s="153">
        <f>INDEX(Tab_Def_Flows[[Flow_ID]:[CC_DM_source]],MATCH(Tab_Data_Flows[[#This Row],[Flow_Name]],Tab_Def_Flows[Flow_Name],0),11)</f>
        <v>0</v>
      </c>
      <c r="X168" s="7" t="str">
        <f>Tab_Data_Flows[[#This Row],[Flow_ID]]&amp;"_"&amp;"WC_"&amp;Tab_Data_Flows[[#This Row],[Flow_Data_Year]]</f>
        <v>F___WC_</v>
      </c>
      <c r="Y168" s="7" t="str">
        <f>IF(D168="Yes",U168*Tab_Data_Flows[[#This Row],[WC_'[%']]],"N.A.")</f>
        <v>N.A.</v>
      </c>
      <c r="Z168" s="7" t="str">
        <f>Tab_Data_Flows[[#This Row],[UoM_Flow_Py]]</f>
        <v>Mg</v>
      </c>
      <c r="AA168" s="153">
        <f>INDEX(Tab_Def_Flows[[Flow_ID]:[CC_DM_source]],MATCH(Tab_Data_Flows[[#This Row],[Flow_Name]],Tab_Def_Flows[Flow_Name],0),14)</f>
        <v>0</v>
      </c>
      <c r="AB168" s="7" t="str">
        <f>Tab_Data_Flows[[#This Row],[Flow_ID]]&amp;"_"&amp;"DM_"&amp;Tab_Data_Flows[[#This Row],[Flow_Data_Year]]</f>
        <v>F___DM_</v>
      </c>
      <c r="AC168" s="7" t="str">
        <f>IF(E168="Yes",AA168*Tab_Data_Flows[[#This Row],[Flow_Material]],"N.A.")</f>
        <v>N.A.</v>
      </c>
      <c r="AD168" s="7" t="str">
        <f>Tab_Data_Flows[[#This Row],[UoM_Flow_Py]]</f>
        <v>Mg</v>
      </c>
      <c r="AE168" s="153">
        <f>INDEX(Tab_Def_Flows[[Flow_ID]:[CC_DM_source]],MATCH(Tab_Data_Flows[[#This Row],[Flow_Name]],Tab_Def_Flows[Flow_Name],0),17)</f>
        <v>0</v>
      </c>
      <c r="AF168" s="7" t="str">
        <f>Tab_Data_Flows[[#This Row],[Flow_ID]]&amp;"_"&amp;"CC_"&amp;Tab_Data_Flows[[#This Row],[Flow_Data_Year]]</f>
        <v>F___CC_</v>
      </c>
      <c r="AG168" s="7" t="str">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F__</v>
      </c>
      <c r="C169" s="8" t="s">
        <v>30</v>
      </c>
      <c r="D169" s="10">
        <f>_xlfn.XLOOKUP(C169,Tab_Def_Flows[Flow_Name],Tab_Def_Flows[WC?],,0,)</f>
        <v>0</v>
      </c>
      <c r="E169" s="10">
        <f>_xlfn.XLOOKUP(C169,Tab_Def_Flows[Flow_Name],Tab_Def_Flows[DM?],,0,)</f>
        <v>0</v>
      </c>
      <c r="F169" s="10">
        <f>_xlfn.XLOOKUP(C169,Tab_Def_Flows[Flow_Name],Tab_Def_Flows[CC?],,0,)</f>
        <v>0</v>
      </c>
      <c r="G169" s="8"/>
      <c r="H169" s="26"/>
      <c r="I169" s="8"/>
      <c r="J169" s="18"/>
      <c r="K169" s="8" t="e">
        <f>INDEX(#REF!,MATCH(Tab_Data_Flows[[#This Row],[Flow_Name]],#REF!,0),12)</f>
        <v>#REF!</v>
      </c>
      <c r="L169" s="8" t="e">
        <f>MATCH(Tab_Data_Flows[[#This Row],[Flow_Name]],#REF!,0)</f>
        <v>#REF!</v>
      </c>
      <c r="M169" s="8"/>
      <c r="N169" s="8"/>
      <c r="O169" s="8"/>
      <c r="P169" s="8"/>
      <c r="Q169" s="8" t="s">
        <v>7</v>
      </c>
      <c r="R169" s="8"/>
      <c r="S169" s="8"/>
      <c r="T169" s="7" t="str">
        <f>Tab_Data_Flows[[#This Row],[Flow_ID]]&amp;"_"&amp;"material_"&amp;Tab_Data_Flows[[#This Row],[Flow_Data_Year]]</f>
        <v>F___material_</v>
      </c>
      <c r="U169" s="16">
        <f t="shared" si="6"/>
        <v>0</v>
      </c>
      <c r="V169" s="8" t="s">
        <v>211</v>
      </c>
      <c r="W169" s="153">
        <f>INDEX(Tab_Def_Flows[[Flow_ID]:[CC_DM_source]],MATCH(Tab_Data_Flows[[#This Row],[Flow_Name]],Tab_Def_Flows[Flow_Name],0),11)</f>
        <v>0</v>
      </c>
      <c r="X169" s="7" t="str">
        <f>Tab_Data_Flows[[#This Row],[Flow_ID]]&amp;"_"&amp;"WC_"&amp;Tab_Data_Flows[[#This Row],[Flow_Data_Year]]</f>
        <v>F___WC_</v>
      </c>
      <c r="Y169" s="7" t="str">
        <f>IF(D169="Yes",U169*Tab_Data_Flows[[#This Row],[WC_'[%']]],"N.A.")</f>
        <v>N.A.</v>
      </c>
      <c r="Z169" s="7" t="str">
        <f>Tab_Data_Flows[[#This Row],[UoM_Flow_Py]]</f>
        <v>Mg</v>
      </c>
      <c r="AA169" s="153">
        <f>INDEX(Tab_Def_Flows[[Flow_ID]:[CC_DM_source]],MATCH(Tab_Data_Flows[[#This Row],[Flow_Name]],Tab_Def_Flows[Flow_Name],0),14)</f>
        <v>0</v>
      </c>
      <c r="AB169" s="7" t="str">
        <f>Tab_Data_Flows[[#This Row],[Flow_ID]]&amp;"_"&amp;"DM_"&amp;Tab_Data_Flows[[#This Row],[Flow_Data_Year]]</f>
        <v>F___DM_</v>
      </c>
      <c r="AC169" s="7" t="str">
        <f>IF(E169="Yes",AA169*Tab_Data_Flows[[#This Row],[Flow_Material]],"N.A.")</f>
        <v>N.A.</v>
      </c>
      <c r="AD169" s="7" t="str">
        <f>Tab_Data_Flows[[#This Row],[UoM_Flow_Py]]</f>
        <v>Mg</v>
      </c>
      <c r="AE169" s="153">
        <f>INDEX(Tab_Def_Flows[[Flow_ID]:[CC_DM_source]],MATCH(Tab_Data_Flows[[#This Row],[Flow_Name]],Tab_Def_Flows[Flow_Name],0),17)</f>
        <v>0</v>
      </c>
      <c r="AF169" s="7" t="str">
        <f>Tab_Data_Flows[[#This Row],[Flow_ID]]&amp;"_"&amp;"CC_"&amp;Tab_Data_Flows[[#This Row],[Flow_Data_Year]]</f>
        <v>F___CC_</v>
      </c>
      <c r="AG169" s="7" t="str">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F__</v>
      </c>
      <c r="C170" s="8" t="s">
        <v>30</v>
      </c>
      <c r="D170" s="10">
        <f>_xlfn.XLOOKUP(C170,Tab_Def_Flows[Flow_Name],Tab_Def_Flows[WC?],,0,)</f>
        <v>0</v>
      </c>
      <c r="E170" s="10">
        <f>_xlfn.XLOOKUP(C170,Tab_Def_Flows[Flow_Name],Tab_Def_Flows[DM?],,0,)</f>
        <v>0</v>
      </c>
      <c r="F170" s="10">
        <f>_xlfn.XLOOKUP(C170,Tab_Def_Flows[Flow_Name],Tab_Def_Flows[CC?],,0,)</f>
        <v>0</v>
      </c>
      <c r="G170" s="8"/>
      <c r="H170" s="26"/>
      <c r="I170" s="8"/>
      <c r="J170" s="18"/>
      <c r="K170" s="8" t="e">
        <f>INDEX(#REF!,MATCH(Tab_Data_Flows[[#This Row],[Flow_Name]],#REF!,0),12)</f>
        <v>#REF!</v>
      </c>
      <c r="L170" s="8" t="e">
        <f>MATCH(Tab_Data_Flows[[#This Row],[Flow_Name]],#REF!,0)</f>
        <v>#REF!</v>
      </c>
      <c r="M170" s="8"/>
      <c r="N170" s="8"/>
      <c r="O170" s="8"/>
      <c r="P170" s="8"/>
      <c r="Q170" s="8" t="s">
        <v>7</v>
      </c>
      <c r="R170" s="8"/>
      <c r="S170" s="8"/>
      <c r="T170" s="7" t="str">
        <f>Tab_Data_Flows[[#This Row],[Flow_ID]]&amp;"_"&amp;"material_"&amp;Tab_Data_Flows[[#This Row],[Flow_Data_Year]]</f>
        <v>F___material_</v>
      </c>
      <c r="U170" s="16">
        <f t="shared" si="6"/>
        <v>0</v>
      </c>
      <c r="V170" s="8" t="s">
        <v>211</v>
      </c>
      <c r="W170" s="153">
        <f>INDEX(Tab_Def_Flows[[Flow_ID]:[CC_DM_source]],MATCH(Tab_Data_Flows[[#This Row],[Flow_Name]],Tab_Def_Flows[Flow_Name],0),11)</f>
        <v>0</v>
      </c>
      <c r="X170" s="7" t="str">
        <f>Tab_Data_Flows[[#This Row],[Flow_ID]]&amp;"_"&amp;"WC_"&amp;Tab_Data_Flows[[#This Row],[Flow_Data_Year]]</f>
        <v>F___WC_</v>
      </c>
      <c r="Y170" s="7" t="str">
        <f>IF(D170="Yes",U170*Tab_Data_Flows[[#This Row],[WC_'[%']]],"N.A.")</f>
        <v>N.A.</v>
      </c>
      <c r="Z170" s="7" t="str">
        <f>Tab_Data_Flows[[#This Row],[UoM_Flow_Py]]</f>
        <v>Mg</v>
      </c>
      <c r="AA170" s="153">
        <f>INDEX(Tab_Def_Flows[[Flow_ID]:[CC_DM_source]],MATCH(Tab_Data_Flows[[#This Row],[Flow_Name]],Tab_Def_Flows[Flow_Name],0),14)</f>
        <v>0</v>
      </c>
      <c r="AB170" s="7" t="str">
        <f>Tab_Data_Flows[[#This Row],[Flow_ID]]&amp;"_"&amp;"DM_"&amp;Tab_Data_Flows[[#This Row],[Flow_Data_Year]]</f>
        <v>F___DM_</v>
      </c>
      <c r="AC170" s="7" t="str">
        <f>IF(E170="Yes",AA170*Tab_Data_Flows[[#This Row],[Flow_Material]],"N.A.")</f>
        <v>N.A.</v>
      </c>
      <c r="AD170" s="7" t="str">
        <f>Tab_Data_Flows[[#This Row],[UoM_Flow_Py]]</f>
        <v>Mg</v>
      </c>
      <c r="AE170" s="153">
        <f>INDEX(Tab_Def_Flows[[Flow_ID]:[CC_DM_source]],MATCH(Tab_Data_Flows[[#This Row],[Flow_Name]],Tab_Def_Flows[Flow_Name],0),17)</f>
        <v>0</v>
      </c>
      <c r="AF170" s="7" t="str">
        <f>Tab_Data_Flows[[#This Row],[Flow_ID]]&amp;"_"&amp;"CC_"&amp;Tab_Data_Flows[[#This Row],[Flow_Data_Year]]</f>
        <v>F___CC_</v>
      </c>
      <c r="AG170" s="7" t="str">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F__</v>
      </c>
      <c r="C171" s="8" t="s">
        <v>30</v>
      </c>
      <c r="D171" s="10">
        <f>_xlfn.XLOOKUP(C171,Tab_Def_Flows[Flow_Name],Tab_Def_Flows[WC?],,0,)</f>
        <v>0</v>
      </c>
      <c r="E171" s="10">
        <f>_xlfn.XLOOKUP(C171,Tab_Def_Flows[Flow_Name],Tab_Def_Flows[DM?],,0,)</f>
        <v>0</v>
      </c>
      <c r="F171" s="10">
        <f>_xlfn.XLOOKUP(C171,Tab_Def_Flows[Flow_Name],Tab_Def_Flows[CC?],,0,)</f>
        <v>0</v>
      </c>
      <c r="G171" s="8"/>
      <c r="H171" s="26"/>
      <c r="I171" s="8"/>
      <c r="J171" s="18"/>
      <c r="K171" s="8" t="e">
        <f>INDEX(#REF!,MATCH(Tab_Data_Flows[[#This Row],[Flow_Name]],#REF!,0),12)</f>
        <v>#REF!</v>
      </c>
      <c r="L171" s="8" t="e">
        <f>MATCH(Tab_Data_Flows[[#This Row],[Flow_Name]],#REF!,0)</f>
        <v>#REF!</v>
      </c>
      <c r="M171" s="8"/>
      <c r="N171" s="8"/>
      <c r="O171" s="8"/>
      <c r="P171" s="8"/>
      <c r="Q171" s="8" t="s">
        <v>7</v>
      </c>
      <c r="R171" s="8"/>
      <c r="S171" s="8"/>
      <c r="T171" s="7" t="str">
        <f>Tab_Data_Flows[[#This Row],[Flow_ID]]&amp;"_"&amp;"material_"&amp;Tab_Data_Flows[[#This Row],[Flow_Data_Year]]</f>
        <v>F___material_</v>
      </c>
      <c r="U171" s="16">
        <f t="shared" si="6"/>
        <v>0</v>
      </c>
      <c r="V171" s="8" t="s">
        <v>211</v>
      </c>
      <c r="W171" s="153">
        <f>INDEX(Tab_Def_Flows[[Flow_ID]:[CC_DM_source]],MATCH(Tab_Data_Flows[[#This Row],[Flow_Name]],Tab_Def_Flows[Flow_Name],0),11)</f>
        <v>0</v>
      </c>
      <c r="X171" s="7" t="str">
        <f>Tab_Data_Flows[[#This Row],[Flow_ID]]&amp;"_"&amp;"WC_"&amp;Tab_Data_Flows[[#This Row],[Flow_Data_Year]]</f>
        <v>F___WC_</v>
      </c>
      <c r="Y171" s="7" t="str">
        <f>IF(D171="Yes",U171*Tab_Data_Flows[[#This Row],[WC_'[%']]],"N.A.")</f>
        <v>N.A.</v>
      </c>
      <c r="Z171" s="7" t="str">
        <f>Tab_Data_Flows[[#This Row],[UoM_Flow_Py]]</f>
        <v>Mg</v>
      </c>
      <c r="AA171" s="153">
        <f>INDEX(Tab_Def_Flows[[Flow_ID]:[CC_DM_source]],MATCH(Tab_Data_Flows[[#This Row],[Flow_Name]],Tab_Def_Flows[Flow_Name],0),14)</f>
        <v>0</v>
      </c>
      <c r="AB171" s="7" t="str">
        <f>Tab_Data_Flows[[#This Row],[Flow_ID]]&amp;"_"&amp;"DM_"&amp;Tab_Data_Flows[[#This Row],[Flow_Data_Year]]</f>
        <v>F___DM_</v>
      </c>
      <c r="AC171" s="7" t="str">
        <f>IF(E171="Yes",AA171*Tab_Data_Flows[[#This Row],[Flow_Material]],"N.A.")</f>
        <v>N.A.</v>
      </c>
      <c r="AD171" s="7" t="str">
        <f>Tab_Data_Flows[[#This Row],[UoM_Flow_Py]]</f>
        <v>Mg</v>
      </c>
      <c r="AE171" s="153">
        <f>INDEX(Tab_Def_Flows[[Flow_ID]:[CC_DM_source]],MATCH(Tab_Data_Flows[[#This Row],[Flow_Name]],Tab_Def_Flows[Flow_Name],0),17)</f>
        <v>0</v>
      </c>
      <c r="AF171" s="7" t="str">
        <f>Tab_Data_Flows[[#This Row],[Flow_ID]]&amp;"_"&amp;"CC_"&amp;Tab_Data_Flows[[#This Row],[Flow_Data_Year]]</f>
        <v>F___CC_</v>
      </c>
      <c r="AG171" s="7" t="str">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F__</v>
      </c>
      <c r="C172" s="8" t="s">
        <v>30</v>
      </c>
      <c r="D172" s="10">
        <f>_xlfn.XLOOKUP(C172,Tab_Def_Flows[Flow_Name],Tab_Def_Flows[WC?],,0,)</f>
        <v>0</v>
      </c>
      <c r="E172" s="10">
        <f>_xlfn.XLOOKUP(C172,Tab_Def_Flows[Flow_Name],Tab_Def_Flows[DM?],,0,)</f>
        <v>0</v>
      </c>
      <c r="F172" s="10">
        <f>_xlfn.XLOOKUP(C172,Tab_Def_Flows[Flow_Name],Tab_Def_Flows[CC?],,0,)</f>
        <v>0</v>
      </c>
      <c r="G172" s="8"/>
      <c r="H172" s="26"/>
      <c r="I172" s="8"/>
      <c r="J172" s="18"/>
      <c r="K172" s="8" t="e">
        <f>INDEX(#REF!,MATCH(Tab_Data_Flows[[#This Row],[Flow_Name]],#REF!,0),12)</f>
        <v>#REF!</v>
      </c>
      <c r="L172" s="8" t="e">
        <f>MATCH(Tab_Data_Flows[[#This Row],[Flow_Name]],#REF!,0)</f>
        <v>#REF!</v>
      </c>
      <c r="M172" s="8"/>
      <c r="N172" s="8"/>
      <c r="O172" s="8"/>
      <c r="P172" s="8"/>
      <c r="Q172" s="8" t="s">
        <v>7</v>
      </c>
      <c r="R172" s="8"/>
      <c r="S172" s="8"/>
      <c r="T172" s="7" t="str">
        <f>Tab_Data_Flows[[#This Row],[Flow_ID]]&amp;"_"&amp;"material_"&amp;Tab_Data_Flows[[#This Row],[Flow_Data_Year]]</f>
        <v>F___material_</v>
      </c>
      <c r="U172" s="16">
        <f t="shared" si="6"/>
        <v>0</v>
      </c>
      <c r="V172" s="8" t="s">
        <v>211</v>
      </c>
      <c r="W172" s="153">
        <f>INDEX(Tab_Def_Flows[[Flow_ID]:[CC_DM_source]],MATCH(Tab_Data_Flows[[#This Row],[Flow_Name]],Tab_Def_Flows[Flow_Name],0),11)</f>
        <v>0</v>
      </c>
      <c r="X172" s="7" t="str">
        <f>Tab_Data_Flows[[#This Row],[Flow_ID]]&amp;"_"&amp;"WC_"&amp;Tab_Data_Flows[[#This Row],[Flow_Data_Year]]</f>
        <v>F___WC_</v>
      </c>
      <c r="Y172" s="7" t="str">
        <f>IF(D172="Yes",U172*Tab_Data_Flows[[#This Row],[WC_'[%']]],"N.A.")</f>
        <v>N.A.</v>
      </c>
      <c r="Z172" s="7" t="str">
        <f>Tab_Data_Flows[[#This Row],[UoM_Flow_Py]]</f>
        <v>Mg</v>
      </c>
      <c r="AA172" s="153">
        <f>INDEX(Tab_Def_Flows[[Flow_ID]:[CC_DM_source]],MATCH(Tab_Data_Flows[[#This Row],[Flow_Name]],Tab_Def_Flows[Flow_Name],0),14)</f>
        <v>0</v>
      </c>
      <c r="AB172" s="7" t="str">
        <f>Tab_Data_Flows[[#This Row],[Flow_ID]]&amp;"_"&amp;"DM_"&amp;Tab_Data_Flows[[#This Row],[Flow_Data_Year]]</f>
        <v>F___DM_</v>
      </c>
      <c r="AC172" s="7" t="str">
        <f>IF(E172="Yes",AA172*Tab_Data_Flows[[#This Row],[Flow_Material]],"N.A.")</f>
        <v>N.A.</v>
      </c>
      <c r="AD172" s="7" t="str">
        <f>Tab_Data_Flows[[#This Row],[UoM_Flow_Py]]</f>
        <v>Mg</v>
      </c>
      <c r="AE172" s="153">
        <f>INDEX(Tab_Def_Flows[[Flow_ID]:[CC_DM_source]],MATCH(Tab_Data_Flows[[#This Row],[Flow_Name]],Tab_Def_Flows[Flow_Name],0),17)</f>
        <v>0</v>
      </c>
      <c r="AF172" s="7" t="str">
        <f>Tab_Data_Flows[[#This Row],[Flow_ID]]&amp;"_"&amp;"CC_"&amp;Tab_Data_Flows[[#This Row],[Flow_Data_Year]]</f>
        <v>F___CC_</v>
      </c>
      <c r="AG172" s="7" t="str">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30</v>
      </c>
      <c r="D173" s="10">
        <f>_xlfn.XLOOKUP(C173,Tab_Def_Flows[Flow_Name],Tab_Def_Flows[WC?],,0,)</f>
        <v>0</v>
      </c>
      <c r="E173" s="10">
        <f>_xlfn.XLOOKUP(C173,Tab_Def_Flows[Flow_Name],Tab_Def_Flows[DM?],,0,)</f>
        <v>0</v>
      </c>
      <c r="F173" s="10">
        <f>_xlfn.XLOOKUP(C173,Tab_Def_Flows[Flow_Name],Tab_Def_Flows[CC?],,0,)</f>
        <v>0</v>
      </c>
      <c r="G173" s="8"/>
      <c r="H173" s="26"/>
      <c r="I173" s="8"/>
      <c r="J173" s="18"/>
      <c r="K173" s="8" t="e">
        <f>INDEX(#REF!,MATCH(Tab_Data_Flows[[#This Row],[Flow_Name]],#REF!,0),12)</f>
        <v>#REF!</v>
      </c>
      <c r="L173" s="8" t="e">
        <f>MATCH(Tab_Data_Flows[[#This Row],[Flow_Name]],#REF!,0)</f>
        <v>#REF!</v>
      </c>
      <c r="M173" s="8"/>
      <c r="N173" s="8"/>
      <c r="O173" s="8"/>
      <c r="P173" s="8"/>
      <c r="Q173" s="8" t="s">
        <v>7</v>
      </c>
      <c r="R173" s="8"/>
      <c r="S173" s="8"/>
      <c r="T173" s="7" t="str">
        <f>Tab_Data_Flows[[#This Row],[Flow_ID]]&amp;"_"&amp;"material_"&amp;Tab_Data_Flows[[#This Row],[Flow_Data_Year]]</f>
        <v>F___material_</v>
      </c>
      <c r="U173" s="16">
        <f t="shared" si="6"/>
        <v>0</v>
      </c>
      <c r="V173" s="8" t="s">
        <v>211</v>
      </c>
      <c r="W173" s="153">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3">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3">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30</v>
      </c>
      <c r="D174" s="10">
        <f>_xlfn.XLOOKUP(C174,Tab_Def_Flows[Flow_Name],Tab_Def_Flows[WC?],,0,)</f>
        <v>0</v>
      </c>
      <c r="E174" s="10">
        <f>_xlfn.XLOOKUP(C174,Tab_Def_Flows[Flow_Name],Tab_Def_Flows[DM?],,0,)</f>
        <v>0</v>
      </c>
      <c r="F174" s="10">
        <f>_xlfn.XLOOKUP(C174,Tab_Def_Flows[Flow_Name],Tab_Def_Flows[CC?],,0,)</f>
        <v>0</v>
      </c>
      <c r="G174" s="8"/>
      <c r="H174" s="26"/>
      <c r="I174" s="8"/>
      <c r="J174" s="18"/>
      <c r="K174" s="8" t="e">
        <f>INDEX(#REF!,MATCH(Tab_Data_Flows[[#This Row],[Flow_Name]],#REF!,0),12)</f>
        <v>#REF!</v>
      </c>
      <c r="L174" s="8" t="e">
        <f>MATCH(Tab_Data_Flows[[#This Row],[Flow_Name]],#REF!,0)</f>
        <v>#REF!</v>
      </c>
      <c r="M174" s="8"/>
      <c r="N174" s="8"/>
      <c r="O174" s="8"/>
      <c r="P174" s="8"/>
      <c r="Q174" s="8" t="s">
        <v>7</v>
      </c>
      <c r="R174" s="8"/>
      <c r="S174" s="8"/>
      <c r="T174" s="7" t="str">
        <f>Tab_Data_Flows[[#This Row],[Flow_ID]]&amp;"_"&amp;"material_"&amp;Tab_Data_Flows[[#This Row],[Flow_Data_Year]]</f>
        <v>F___material_</v>
      </c>
      <c r="U174" s="16">
        <f t="shared" si="6"/>
        <v>0</v>
      </c>
      <c r="V174" s="8" t="s">
        <v>211</v>
      </c>
      <c r="W174" s="153">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3">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3">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30</v>
      </c>
      <c r="D175" s="10">
        <f>_xlfn.XLOOKUP(C175,Tab_Def_Flows[Flow_Name],Tab_Def_Flows[WC?],,0,)</f>
        <v>0</v>
      </c>
      <c r="E175" s="10">
        <f>_xlfn.XLOOKUP(C175,Tab_Def_Flows[Flow_Name],Tab_Def_Flows[DM?],,0,)</f>
        <v>0</v>
      </c>
      <c r="F175" s="10">
        <f>_xlfn.XLOOKUP(C175,Tab_Def_Flows[Flow_Name],Tab_Def_Flows[CC?],,0,)</f>
        <v>0</v>
      </c>
      <c r="G175" s="8"/>
      <c r="H175" s="26"/>
      <c r="I175" s="8"/>
      <c r="J175" s="18"/>
      <c r="K175" s="8" t="e">
        <f>INDEX(#REF!,MATCH(Tab_Data_Flows[[#This Row],[Flow_Name]],#REF!,0),12)</f>
        <v>#REF!</v>
      </c>
      <c r="L175" s="8" t="e">
        <f>MATCH(Tab_Data_Flows[[#This Row],[Flow_Name]],#REF!,0)</f>
        <v>#REF!</v>
      </c>
      <c r="M175" s="8"/>
      <c r="N175" s="8"/>
      <c r="O175" s="8"/>
      <c r="P175" s="8"/>
      <c r="Q175" s="8" t="s">
        <v>7</v>
      </c>
      <c r="R175" s="8"/>
      <c r="S175" s="8"/>
      <c r="T175" s="7" t="str">
        <f>Tab_Data_Flows[[#This Row],[Flow_ID]]&amp;"_"&amp;"material_"&amp;Tab_Data_Flows[[#This Row],[Flow_Data_Year]]</f>
        <v>F___material_</v>
      </c>
      <c r="U175" s="16">
        <f t="shared" si="6"/>
        <v>0</v>
      </c>
      <c r="V175" s="8" t="s">
        <v>211</v>
      </c>
      <c r="W175" s="153">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3">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3">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30</v>
      </c>
      <c r="D176" s="10">
        <f>_xlfn.XLOOKUP(C176,Tab_Def_Flows[Flow_Name],Tab_Def_Flows[WC?],,0,)</f>
        <v>0</v>
      </c>
      <c r="E176" s="10">
        <f>_xlfn.XLOOKUP(C176,Tab_Def_Flows[Flow_Name],Tab_Def_Flows[DM?],,0,)</f>
        <v>0</v>
      </c>
      <c r="F176" s="10">
        <f>_xlfn.XLOOKUP(C176,Tab_Def_Flows[Flow_Name],Tab_Def_Flows[CC?],,0,)</f>
        <v>0</v>
      </c>
      <c r="G176" s="8"/>
      <c r="H176" s="26"/>
      <c r="I176" s="8"/>
      <c r="J176" s="18"/>
      <c r="K176" s="8"/>
      <c r="L176" s="8"/>
      <c r="M176" s="8"/>
      <c r="N176" s="8"/>
      <c r="O176" s="8"/>
      <c r="P176" s="8"/>
      <c r="Q176" s="8" t="s">
        <v>7</v>
      </c>
      <c r="R176" s="19"/>
      <c r="S176" s="8"/>
      <c r="T176" s="7" t="str">
        <f>Tab_Data_Flows[[#This Row],[Flow_ID]]&amp;"_"&amp;"material_"&amp;Tab_Data_Flows[[#This Row],[Flow_Data_Year]]</f>
        <v>F___material_</v>
      </c>
      <c r="U176" s="16">
        <f t="shared" si="6"/>
        <v>0</v>
      </c>
      <c r="V176" s="8" t="s">
        <v>211</v>
      </c>
      <c r="W176" s="153">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3">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3">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30</v>
      </c>
      <c r="D177" s="10">
        <f>_xlfn.XLOOKUP(C177,Tab_Def_Flows[Flow_Name],Tab_Def_Flows[WC?],,0,)</f>
        <v>0</v>
      </c>
      <c r="E177" s="10">
        <f>_xlfn.XLOOKUP(C177,Tab_Def_Flows[Flow_Name],Tab_Def_Flows[DM?],,0,)</f>
        <v>0</v>
      </c>
      <c r="F177" s="10">
        <f>_xlfn.XLOOKUP(C177,Tab_Def_Flows[Flow_Name],Tab_Def_Flows[CC?],,0,)</f>
        <v>0</v>
      </c>
      <c r="G177" s="8"/>
      <c r="H177" s="26"/>
      <c r="I177" s="8"/>
      <c r="J177" s="18"/>
      <c r="K177" s="8"/>
      <c r="L177" s="8"/>
      <c r="M177" s="8"/>
      <c r="N177" s="8"/>
      <c r="O177" s="8"/>
      <c r="P177" s="8"/>
      <c r="Q177" s="8" t="s">
        <v>7</v>
      </c>
      <c r="R177" s="19"/>
      <c r="S177" s="8"/>
      <c r="T177" s="7" t="str">
        <f>Tab_Data_Flows[[#This Row],[Flow_ID]]&amp;"_"&amp;"material_"&amp;Tab_Data_Flows[[#This Row],[Flow_Data_Year]]</f>
        <v>F___material_</v>
      </c>
      <c r="U177" s="16">
        <f t="shared" si="6"/>
        <v>0</v>
      </c>
      <c r="V177" s="8" t="s">
        <v>211</v>
      </c>
      <c r="W177" s="153">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3">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3">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30</v>
      </c>
      <c r="D178" s="10">
        <f>_xlfn.XLOOKUP(C178,Tab_Def_Flows[Flow_Name],Tab_Def_Flows[WC?],,0,)</f>
        <v>0</v>
      </c>
      <c r="E178" s="10">
        <f>_xlfn.XLOOKUP(C178,Tab_Def_Flows[Flow_Name],Tab_Def_Flows[DM?],,0,)</f>
        <v>0</v>
      </c>
      <c r="F178" s="10">
        <f>_xlfn.XLOOKUP(C178,Tab_Def_Flows[Flow_Name],Tab_Def_Flows[CC?],,0,)</f>
        <v>0</v>
      </c>
      <c r="G178" s="8"/>
      <c r="H178" s="26"/>
      <c r="I178" s="8"/>
      <c r="J178" s="18"/>
      <c r="K178" s="8"/>
      <c r="L178" s="8"/>
      <c r="M178" s="8"/>
      <c r="N178" s="8"/>
      <c r="O178" s="8"/>
      <c r="P178" s="8"/>
      <c r="Q178" s="8" t="s">
        <v>7</v>
      </c>
      <c r="R178" s="19"/>
      <c r="S178" s="8"/>
      <c r="T178" s="7" t="str">
        <f>Tab_Data_Flows[[#This Row],[Flow_ID]]&amp;"_"&amp;"material_"&amp;Tab_Data_Flows[[#This Row],[Flow_Data_Year]]</f>
        <v>F___material_</v>
      </c>
      <c r="U178" s="16">
        <f t="shared" si="6"/>
        <v>0</v>
      </c>
      <c r="V178" s="8" t="s">
        <v>211</v>
      </c>
      <c r="W178" s="153">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3">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3">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30</v>
      </c>
      <c r="D179" s="10">
        <f>_xlfn.XLOOKUP(C179,Tab_Def_Flows[Flow_Name],Tab_Def_Flows[WC?],,0,)</f>
        <v>0</v>
      </c>
      <c r="E179" s="10">
        <f>_xlfn.XLOOKUP(C179,Tab_Def_Flows[Flow_Name],Tab_Def_Flows[DM?],,0,)</f>
        <v>0</v>
      </c>
      <c r="F179" s="10">
        <f>_xlfn.XLOOKUP(C179,Tab_Def_Flows[Flow_Name],Tab_Def_Flows[CC?],,0,)</f>
        <v>0</v>
      </c>
      <c r="G179" s="8"/>
      <c r="H179" s="26"/>
      <c r="I179" s="8"/>
      <c r="J179" s="18"/>
      <c r="K179" s="8"/>
      <c r="L179" s="8"/>
      <c r="M179" s="8"/>
      <c r="N179" s="8"/>
      <c r="O179" s="8"/>
      <c r="P179" s="8"/>
      <c r="Q179" s="8" t="s">
        <v>7</v>
      </c>
      <c r="R179" s="19"/>
      <c r="S179" s="8"/>
      <c r="T179" s="7" t="str">
        <f>Tab_Data_Flows[[#This Row],[Flow_ID]]&amp;"_"&amp;"material_"&amp;Tab_Data_Flows[[#This Row],[Flow_Data_Year]]</f>
        <v>F___material_</v>
      </c>
      <c r="U179" s="16">
        <f t="shared" si="6"/>
        <v>0</v>
      </c>
      <c r="V179" s="8" t="s">
        <v>211</v>
      </c>
      <c r="W179" s="153">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3">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3">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30</v>
      </c>
      <c r="D180" s="10">
        <f>_xlfn.XLOOKUP(C180,Tab_Def_Flows[Flow_Name],Tab_Def_Flows[WC?],,0,)</f>
        <v>0</v>
      </c>
      <c r="E180" s="10">
        <f>_xlfn.XLOOKUP(C180,Tab_Def_Flows[Flow_Name],Tab_Def_Flows[DM?],,0,)</f>
        <v>0</v>
      </c>
      <c r="F180" s="10">
        <f>_xlfn.XLOOKUP(C180,Tab_Def_Flows[Flow_Name],Tab_Def_Flows[CC?],,0,)</f>
        <v>0</v>
      </c>
      <c r="G180" s="8"/>
      <c r="H180" s="26"/>
      <c r="I180" s="8"/>
      <c r="J180" s="18"/>
      <c r="K180" s="8"/>
      <c r="L180" s="8"/>
      <c r="M180" s="8"/>
      <c r="N180" s="8"/>
      <c r="O180" s="8"/>
      <c r="P180" s="8"/>
      <c r="Q180" s="8" t="s">
        <v>7</v>
      </c>
      <c r="R180" s="19"/>
      <c r="S180" s="8"/>
      <c r="T180" s="7" t="str">
        <f>Tab_Data_Flows[[#This Row],[Flow_ID]]&amp;"_"&amp;"material_"&amp;Tab_Data_Flows[[#This Row],[Flow_Data_Year]]</f>
        <v>F___material_</v>
      </c>
      <c r="U180" s="16">
        <f t="shared" si="6"/>
        <v>0</v>
      </c>
      <c r="V180" s="8" t="s">
        <v>211</v>
      </c>
      <c r="W180" s="153">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3">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3">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30</v>
      </c>
      <c r="D181" s="10">
        <f>_xlfn.XLOOKUP(C181,Tab_Def_Flows[Flow_Name],Tab_Def_Flows[WC?],,0,)</f>
        <v>0</v>
      </c>
      <c r="E181" s="10">
        <f>_xlfn.XLOOKUP(C181,Tab_Def_Flows[Flow_Name],Tab_Def_Flows[DM?],,0,)</f>
        <v>0</v>
      </c>
      <c r="F181" s="10">
        <f>_xlfn.XLOOKUP(C181,Tab_Def_Flows[Flow_Name],Tab_Def_Flows[CC?],,0,)</f>
        <v>0</v>
      </c>
      <c r="G181" s="8"/>
      <c r="H181" s="26"/>
      <c r="I181" s="8"/>
      <c r="J181" s="18"/>
      <c r="K181" s="8"/>
      <c r="L181" s="8"/>
      <c r="M181" s="8"/>
      <c r="N181" s="8"/>
      <c r="O181" s="8"/>
      <c r="P181" s="8"/>
      <c r="Q181" s="8" t="s">
        <v>7</v>
      </c>
      <c r="R181" s="19"/>
      <c r="S181" s="8"/>
      <c r="T181" s="7" t="str">
        <f>Tab_Data_Flows[[#This Row],[Flow_ID]]&amp;"_"&amp;"material_"&amp;Tab_Data_Flows[[#This Row],[Flow_Data_Year]]</f>
        <v>F___material_</v>
      </c>
      <c r="U181" s="16">
        <f t="shared" si="6"/>
        <v>0</v>
      </c>
      <c r="V181" s="8" t="s">
        <v>211</v>
      </c>
      <c r="W181" s="153">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3">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3">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30</v>
      </c>
      <c r="D182" s="10">
        <f>_xlfn.XLOOKUP(C182,Tab_Def_Flows[Flow_Name],Tab_Def_Flows[WC?],,0,)</f>
        <v>0</v>
      </c>
      <c r="E182" s="10">
        <f>_xlfn.XLOOKUP(C182,Tab_Def_Flows[Flow_Name],Tab_Def_Flows[DM?],,0,)</f>
        <v>0</v>
      </c>
      <c r="F182" s="10">
        <f>_xlfn.XLOOKUP(C182,Tab_Def_Flows[Flow_Name],Tab_Def_Flows[CC?],,0,)</f>
        <v>0</v>
      </c>
      <c r="G182" s="8"/>
      <c r="H182" s="26"/>
      <c r="I182" s="8"/>
      <c r="J182" s="18"/>
      <c r="K182" s="8" t="s">
        <v>75</v>
      </c>
      <c r="L182" s="8" t="s">
        <v>75</v>
      </c>
      <c r="M182" s="8" t="s">
        <v>75</v>
      </c>
      <c r="N182" s="8" t="s">
        <v>75</v>
      </c>
      <c r="O182" s="8" t="s">
        <v>75</v>
      </c>
      <c r="P182" s="8" t="s">
        <v>75</v>
      </c>
      <c r="Q182" s="8" t="s">
        <v>7</v>
      </c>
      <c r="R182" s="19"/>
      <c r="S182" s="8"/>
      <c r="T182" s="7" t="str">
        <f>Tab_Data_Flows[[#This Row],[Flow_ID]]&amp;"_"&amp;"material_"&amp;Tab_Data_Flows[[#This Row],[Flow_Data_Year]]</f>
        <v>F___material_</v>
      </c>
      <c r="U182" s="16">
        <f t="shared" si="6"/>
        <v>0</v>
      </c>
      <c r="V182" s="8" t="s">
        <v>211</v>
      </c>
      <c r="W182" s="153">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3">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3">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30</v>
      </c>
      <c r="D183" s="10">
        <f>_xlfn.XLOOKUP(C183,Tab_Def_Flows[Flow_Name],Tab_Def_Flows[WC?],,0,)</f>
        <v>0</v>
      </c>
      <c r="E183" s="10">
        <f>_xlfn.XLOOKUP(C183,Tab_Def_Flows[Flow_Name],Tab_Def_Flows[DM?],,0,)</f>
        <v>0</v>
      </c>
      <c r="F183" s="10">
        <f>_xlfn.XLOOKUP(C183,Tab_Def_Flows[Flow_Name],Tab_Def_Flows[CC?],,0,)</f>
        <v>0</v>
      </c>
      <c r="G183" s="8"/>
      <c r="H183" s="26"/>
      <c r="I183" s="8"/>
      <c r="J183" s="18"/>
      <c r="K183" s="8" t="e">
        <f>INDEX(#REF!,MATCH(Tab_Data_Flows[[#This Row],[Flow_Name]],#REF!,0),12)</f>
        <v>#REF!</v>
      </c>
      <c r="L183" s="8" t="e">
        <f>MATCH(Tab_Data_Flows[[#This Row],[Flow_Name]],#REF!,0)</f>
        <v>#REF!</v>
      </c>
      <c r="M183" s="8"/>
      <c r="N183" s="8"/>
      <c r="O183" s="8"/>
      <c r="P183" s="8"/>
      <c r="Q183" s="8" t="s">
        <v>7</v>
      </c>
      <c r="R183" s="8"/>
      <c r="S183" s="8"/>
      <c r="T183" s="7" t="str">
        <f>Tab_Data_Flows[[#This Row],[Flow_ID]]&amp;"_"&amp;"material_"&amp;Tab_Data_Flows[[#This Row],[Flow_Data_Year]]</f>
        <v>F___material_</v>
      </c>
      <c r="U183" s="16">
        <f t="shared" si="6"/>
        <v>0</v>
      </c>
      <c r="V183" s="8" t="s">
        <v>211</v>
      </c>
      <c r="W183" s="153">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3">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3">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30</v>
      </c>
      <c r="D184" s="10">
        <f>_xlfn.XLOOKUP(C184,Tab_Def_Flows[Flow_Name],Tab_Def_Flows[WC?],,0,)</f>
        <v>0</v>
      </c>
      <c r="E184" s="10">
        <f>_xlfn.XLOOKUP(C184,Tab_Def_Flows[Flow_Name],Tab_Def_Flows[DM?],,0,)</f>
        <v>0</v>
      </c>
      <c r="F184" s="10">
        <f>_xlfn.XLOOKUP(C184,Tab_Def_Flows[Flow_Name],Tab_Def_Flows[CC?],,0,)</f>
        <v>0</v>
      </c>
      <c r="G184" s="8"/>
      <c r="H184" s="26"/>
      <c r="I184" s="8"/>
      <c r="J184" s="18"/>
      <c r="K184" s="8" t="e">
        <f>INDEX(#REF!,MATCH(Tab_Data_Flows[[#This Row],[Flow_Name]],#REF!,0),12)</f>
        <v>#REF!</v>
      </c>
      <c r="L184" s="8" t="e">
        <f>MATCH(Tab_Data_Flows[[#This Row],[Flow_Name]],#REF!,0)</f>
        <v>#REF!</v>
      </c>
      <c r="M184" s="8"/>
      <c r="N184" s="8"/>
      <c r="O184" s="8"/>
      <c r="P184" s="8"/>
      <c r="Q184" s="8" t="s">
        <v>7</v>
      </c>
      <c r="R184" s="8"/>
      <c r="S184" s="8"/>
      <c r="T184" s="7" t="str">
        <f>Tab_Data_Flows[[#This Row],[Flow_ID]]&amp;"_"&amp;"material_"&amp;Tab_Data_Flows[[#This Row],[Flow_Data_Year]]</f>
        <v>F___material_</v>
      </c>
      <c r="U184" s="16">
        <f t="shared" si="6"/>
        <v>0</v>
      </c>
      <c r="V184" s="8" t="s">
        <v>211</v>
      </c>
      <c r="W184" s="153">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3">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3">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30</v>
      </c>
      <c r="D185" s="10">
        <f>_xlfn.XLOOKUP(C185,Tab_Def_Flows[Flow_Name],Tab_Def_Flows[WC?],,0,)</f>
        <v>0</v>
      </c>
      <c r="E185" s="10">
        <f>_xlfn.XLOOKUP(C185,Tab_Def_Flows[Flow_Name],Tab_Def_Flows[DM?],,0,)</f>
        <v>0</v>
      </c>
      <c r="F185" s="10">
        <f>_xlfn.XLOOKUP(C185,Tab_Def_Flows[Flow_Name],Tab_Def_Flows[CC?],,0,)</f>
        <v>0</v>
      </c>
      <c r="G185" s="8"/>
      <c r="H185" s="26"/>
      <c r="I185" s="8"/>
      <c r="J185" s="18"/>
      <c r="K185" s="8" t="e">
        <f>INDEX(#REF!,MATCH(Tab_Data_Flows[[#This Row],[Flow_Name]],#REF!,0),12)</f>
        <v>#REF!</v>
      </c>
      <c r="L185" s="8" t="e">
        <f>MATCH(Tab_Data_Flows[[#This Row],[Flow_Name]],#REF!,0)</f>
        <v>#REF!</v>
      </c>
      <c r="M185" s="8"/>
      <c r="N185" s="8"/>
      <c r="O185" s="8"/>
      <c r="P185" s="8"/>
      <c r="Q185" s="8" t="s">
        <v>7</v>
      </c>
      <c r="R185" s="8"/>
      <c r="S185" s="8"/>
      <c r="T185" s="7" t="str">
        <f>Tab_Data_Flows[[#This Row],[Flow_ID]]&amp;"_"&amp;"material_"&amp;Tab_Data_Flows[[#This Row],[Flow_Data_Year]]</f>
        <v>F___material_</v>
      </c>
      <c r="U185" s="16">
        <f t="shared" si="6"/>
        <v>0</v>
      </c>
      <c r="V185" s="8" t="s">
        <v>211</v>
      </c>
      <c r="W185" s="153">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3">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3">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30</v>
      </c>
      <c r="D186" s="10">
        <f>_xlfn.XLOOKUP(C186,Tab_Def_Flows[Flow_Name],Tab_Def_Flows[WC?],,0,)</f>
        <v>0</v>
      </c>
      <c r="E186" s="10">
        <f>_xlfn.XLOOKUP(C186,Tab_Def_Flows[Flow_Name],Tab_Def_Flows[DM?],,0,)</f>
        <v>0</v>
      </c>
      <c r="F186" s="10">
        <f>_xlfn.XLOOKUP(C186,Tab_Def_Flows[Flow_Name],Tab_Def_Flows[CC?],,0,)</f>
        <v>0</v>
      </c>
      <c r="G186" s="8"/>
      <c r="H186" s="26"/>
      <c r="I186" s="8"/>
      <c r="J186" s="18"/>
      <c r="K186" s="8" t="e">
        <f>INDEX(#REF!,MATCH(Tab_Data_Flows[[#This Row],[Flow_Name]],#REF!,0),12)</f>
        <v>#REF!</v>
      </c>
      <c r="L186" s="8" t="e">
        <f>MATCH(Tab_Data_Flows[[#This Row],[Flow_Name]],#REF!,0)</f>
        <v>#REF!</v>
      </c>
      <c r="M186" s="8"/>
      <c r="N186" s="8"/>
      <c r="O186" s="8"/>
      <c r="P186" s="8"/>
      <c r="Q186" s="8" t="s">
        <v>7</v>
      </c>
      <c r="R186" s="8"/>
      <c r="S186" s="8"/>
      <c r="T186" s="7" t="str">
        <f>Tab_Data_Flows[[#This Row],[Flow_ID]]&amp;"_"&amp;"material_"&amp;Tab_Data_Flows[[#This Row],[Flow_Data_Year]]</f>
        <v>F___material_</v>
      </c>
      <c r="U186" s="16">
        <f t="shared" si="6"/>
        <v>0</v>
      </c>
      <c r="V186" s="8" t="s">
        <v>211</v>
      </c>
      <c r="W186" s="153">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3">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3">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30</v>
      </c>
      <c r="D187" s="10">
        <f>_xlfn.XLOOKUP(C187,Tab_Def_Flows[Flow_Name],Tab_Def_Flows[WC?],,0,)</f>
        <v>0</v>
      </c>
      <c r="E187" s="10">
        <f>_xlfn.XLOOKUP(C187,Tab_Def_Flows[Flow_Name],Tab_Def_Flows[DM?],,0,)</f>
        <v>0</v>
      </c>
      <c r="F187" s="10">
        <f>_xlfn.XLOOKUP(C187,Tab_Def_Flows[Flow_Name],Tab_Def_Flows[CC?],,0,)</f>
        <v>0</v>
      </c>
      <c r="G187" s="8"/>
      <c r="H187" s="26"/>
      <c r="I187" s="8"/>
      <c r="J187" s="18"/>
      <c r="K187" s="8" t="e">
        <f>INDEX(#REF!,MATCH(Tab_Data_Flows[[#This Row],[Flow_Name]],#REF!,0),12)</f>
        <v>#REF!</v>
      </c>
      <c r="L187" s="8" t="e">
        <f>MATCH(Tab_Data_Flows[[#This Row],[Flow_Name]],#REF!,0)</f>
        <v>#REF!</v>
      </c>
      <c r="M187" s="8"/>
      <c r="N187" s="8"/>
      <c r="O187" s="8"/>
      <c r="P187" s="8"/>
      <c r="Q187" s="8" t="s">
        <v>7</v>
      </c>
      <c r="R187" s="8"/>
      <c r="S187" s="8"/>
      <c r="T187" s="7" t="str">
        <f>Tab_Data_Flows[[#This Row],[Flow_ID]]&amp;"_"&amp;"material_"&amp;Tab_Data_Flows[[#This Row],[Flow_Data_Year]]</f>
        <v>F___material_</v>
      </c>
      <c r="U187" s="16">
        <f t="shared" si="6"/>
        <v>0</v>
      </c>
      <c r="V187" s="8" t="s">
        <v>211</v>
      </c>
      <c r="W187" s="153">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3">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3">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30</v>
      </c>
      <c r="D188" s="10">
        <f>_xlfn.XLOOKUP(C188,Tab_Def_Flows[Flow_Name],Tab_Def_Flows[WC?],,0,)</f>
        <v>0</v>
      </c>
      <c r="E188" s="10">
        <f>_xlfn.XLOOKUP(C188,Tab_Def_Flows[Flow_Name],Tab_Def_Flows[DM?],,0,)</f>
        <v>0</v>
      </c>
      <c r="F188" s="10">
        <f>_xlfn.XLOOKUP(C188,Tab_Def_Flows[Flow_Name],Tab_Def_Flows[CC?],,0,)</f>
        <v>0</v>
      </c>
      <c r="G188" s="8"/>
      <c r="H188" s="26"/>
      <c r="I188" s="8"/>
      <c r="J188" s="18"/>
      <c r="K188" s="8" t="e">
        <f>INDEX(#REF!,MATCH(Tab_Data_Flows[[#This Row],[Flow_Name]],#REF!,0),12)</f>
        <v>#REF!</v>
      </c>
      <c r="L188" s="8" t="e">
        <f>MATCH(Tab_Data_Flows[[#This Row],[Flow_Name]],#REF!,0)</f>
        <v>#REF!</v>
      </c>
      <c r="M188" s="8"/>
      <c r="N188" s="8"/>
      <c r="O188" s="8"/>
      <c r="P188" s="8"/>
      <c r="Q188" s="8" t="s">
        <v>7</v>
      </c>
      <c r="R188" s="8"/>
      <c r="S188" s="8"/>
      <c r="T188" s="7" t="str">
        <f>Tab_Data_Flows[[#This Row],[Flow_ID]]&amp;"_"&amp;"material_"&amp;Tab_Data_Flows[[#This Row],[Flow_Data_Year]]</f>
        <v>F___material_</v>
      </c>
      <c r="U188" s="16">
        <f t="shared" si="6"/>
        <v>0</v>
      </c>
      <c r="V188" s="8" t="s">
        <v>211</v>
      </c>
      <c r="W188" s="153">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3">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3">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30</v>
      </c>
      <c r="D189" s="10">
        <f>_xlfn.XLOOKUP(C189,Tab_Def_Flows[Flow_Name],Tab_Def_Flows[WC?],,0,)</f>
        <v>0</v>
      </c>
      <c r="E189" s="10">
        <f>_xlfn.XLOOKUP(C189,Tab_Def_Flows[Flow_Name],Tab_Def_Flows[DM?],,0,)</f>
        <v>0</v>
      </c>
      <c r="F189" s="10">
        <f>_xlfn.XLOOKUP(C189,Tab_Def_Flows[Flow_Name],Tab_Def_Flows[CC?],,0,)</f>
        <v>0</v>
      </c>
      <c r="G189" s="8"/>
      <c r="H189" s="26"/>
      <c r="I189" s="8"/>
      <c r="J189" s="18"/>
      <c r="K189" s="8" t="e">
        <f>INDEX(#REF!,MATCH(Tab_Data_Flows[[#This Row],[Flow_Name]],#REF!,0),12)</f>
        <v>#REF!</v>
      </c>
      <c r="L189" s="8" t="e">
        <f>MATCH(Tab_Data_Flows[[#This Row],[Flow_Name]],#REF!,0)</f>
        <v>#REF!</v>
      </c>
      <c r="M189" s="8"/>
      <c r="N189" s="8"/>
      <c r="O189" s="8"/>
      <c r="P189" s="8"/>
      <c r="Q189" s="8" t="s">
        <v>7</v>
      </c>
      <c r="R189" s="8"/>
      <c r="S189" s="8"/>
      <c r="T189" s="7" t="str">
        <f>Tab_Data_Flows[[#This Row],[Flow_ID]]&amp;"_"&amp;"material_"&amp;Tab_Data_Flows[[#This Row],[Flow_Data_Year]]</f>
        <v>F___material_</v>
      </c>
      <c r="U189" s="16">
        <f t="shared" si="6"/>
        <v>0</v>
      </c>
      <c r="V189" s="8" t="s">
        <v>211</v>
      </c>
      <c r="W189" s="153">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3">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3">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30</v>
      </c>
      <c r="D190" s="10">
        <f>_xlfn.XLOOKUP(C190,Tab_Def_Flows[Flow_Name],Tab_Def_Flows[WC?],,0,)</f>
        <v>0</v>
      </c>
      <c r="E190" s="10">
        <f>_xlfn.XLOOKUP(C190,Tab_Def_Flows[Flow_Name],Tab_Def_Flows[DM?],,0,)</f>
        <v>0</v>
      </c>
      <c r="F190" s="10">
        <f>_xlfn.XLOOKUP(C190,Tab_Def_Flows[Flow_Name],Tab_Def_Flows[CC?],,0,)</f>
        <v>0</v>
      </c>
      <c r="G190" s="8"/>
      <c r="H190" s="26"/>
      <c r="I190" s="8"/>
      <c r="J190" s="18"/>
      <c r="K190" s="8" t="e">
        <f>INDEX(#REF!,MATCH(Tab_Data_Flows[[#This Row],[Flow_Name]],#REF!,0),12)</f>
        <v>#REF!</v>
      </c>
      <c r="L190" s="8" t="e">
        <f>MATCH(Tab_Data_Flows[[#This Row],[Flow_Name]],#REF!,0)</f>
        <v>#REF!</v>
      </c>
      <c r="M190" s="8"/>
      <c r="N190" s="8"/>
      <c r="O190" s="8"/>
      <c r="P190" s="8"/>
      <c r="Q190" s="8" t="s">
        <v>7</v>
      </c>
      <c r="R190" s="8"/>
      <c r="S190" s="8"/>
      <c r="T190" s="7" t="str">
        <f>Tab_Data_Flows[[#This Row],[Flow_ID]]&amp;"_"&amp;"material_"&amp;Tab_Data_Flows[[#This Row],[Flow_Data_Year]]</f>
        <v>F___material_</v>
      </c>
      <c r="U190" s="16">
        <f t="shared" si="6"/>
        <v>0</v>
      </c>
      <c r="V190" s="8" t="s">
        <v>211</v>
      </c>
      <c r="W190" s="153">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3">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3">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30</v>
      </c>
      <c r="D191" s="10">
        <f>_xlfn.XLOOKUP(C191,Tab_Def_Flows[Flow_Name],Tab_Def_Flows[WC?],,0,)</f>
        <v>0</v>
      </c>
      <c r="E191" s="10">
        <f>_xlfn.XLOOKUP(C191,Tab_Def_Flows[Flow_Name],Tab_Def_Flows[DM?],,0,)</f>
        <v>0</v>
      </c>
      <c r="F191" s="10">
        <f>_xlfn.XLOOKUP(C191,Tab_Def_Flows[Flow_Name],Tab_Def_Flows[CC?],,0,)</f>
        <v>0</v>
      </c>
      <c r="G191" s="8"/>
      <c r="H191" s="26"/>
      <c r="I191" s="8"/>
      <c r="J191" s="18"/>
      <c r="K191" s="8" t="e">
        <f>INDEX(#REF!,MATCH(Tab_Data_Flows[[#This Row],[Flow_Name]],#REF!,0),12)</f>
        <v>#REF!</v>
      </c>
      <c r="L191" s="8" t="e">
        <f>MATCH(Tab_Data_Flows[[#This Row],[Flow_Name]],#REF!,0)</f>
        <v>#REF!</v>
      </c>
      <c r="M191" s="8"/>
      <c r="N191" s="8"/>
      <c r="O191" s="8"/>
      <c r="P191" s="8"/>
      <c r="Q191" s="8" t="s">
        <v>7</v>
      </c>
      <c r="R191" s="8"/>
      <c r="S191" s="8"/>
      <c r="T191" s="7" t="str">
        <f>Tab_Data_Flows[[#This Row],[Flow_ID]]&amp;"_"&amp;"material_"&amp;Tab_Data_Flows[[#This Row],[Flow_Data_Year]]</f>
        <v>F___material_</v>
      </c>
      <c r="U191" s="16">
        <f t="shared" si="6"/>
        <v>0</v>
      </c>
      <c r="V191" s="8" t="s">
        <v>211</v>
      </c>
      <c r="W191" s="153">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3">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3">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30</v>
      </c>
      <c r="D192" s="10">
        <f>_xlfn.XLOOKUP(C192,Tab_Def_Flows[Flow_Name],Tab_Def_Flows[WC?],,0,)</f>
        <v>0</v>
      </c>
      <c r="E192" s="10">
        <f>_xlfn.XLOOKUP(C192,Tab_Def_Flows[Flow_Name],Tab_Def_Flows[DM?],,0,)</f>
        <v>0</v>
      </c>
      <c r="F192" s="10">
        <f>_xlfn.XLOOKUP(C192,Tab_Def_Flows[Flow_Name],Tab_Def_Flows[CC?],,0,)</f>
        <v>0</v>
      </c>
      <c r="G192" s="8"/>
      <c r="H192" s="26"/>
      <c r="I192" s="8"/>
      <c r="J192" s="18"/>
      <c r="K192" s="8" t="e">
        <f>INDEX(#REF!,MATCH(Tab_Data_Flows[[#This Row],[Flow_Name]],#REF!,0),12)</f>
        <v>#REF!</v>
      </c>
      <c r="L192" s="8" t="e">
        <f>MATCH(Tab_Data_Flows[[#This Row],[Flow_Name]],#REF!,0)</f>
        <v>#REF!</v>
      </c>
      <c r="M192" s="8"/>
      <c r="N192" s="8"/>
      <c r="O192" s="8"/>
      <c r="P192" s="8"/>
      <c r="Q192" s="8" t="s">
        <v>7</v>
      </c>
      <c r="R192" s="8"/>
      <c r="S192" s="8"/>
      <c r="T192" s="7" t="str">
        <f>Tab_Data_Flows[[#This Row],[Flow_ID]]&amp;"_"&amp;"material_"&amp;Tab_Data_Flows[[#This Row],[Flow_Data_Year]]</f>
        <v>F___material_</v>
      </c>
      <c r="U192" s="16">
        <f t="shared" si="6"/>
        <v>0</v>
      </c>
      <c r="V192" s="8" t="s">
        <v>211</v>
      </c>
      <c r="W192" s="153">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3">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3">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30</v>
      </c>
      <c r="D193" s="10">
        <f>_xlfn.XLOOKUP(C193,Tab_Def_Flows[Flow_Name],Tab_Def_Flows[WC?],,0,)</f>
        <v>0</v>
      </c>
      <c r="E193" s="10">
        <f>_xlfn.XLOOKUP(C193,Tab_Def_Flows[Flow_Name],Tab_Def_Flows[DM?],,0,)</f>
        <v>0</v>
      </c>
      <c r="F193" s="10">
        <f>_xlfn.XLOOKUP(C193,Tab_Def_Flows[Flow_Name],Tab_Def_Flows[CC?],,0,)</f>
        <v>0</v>
      </c>
      <c r="G193" s="8"/>
      <c r="H193" s="26"/>
      <c r="I193" s="8"/>
      <c r="J193" s="18"/>
      <c r="K193" s="8" t="e">
        <f>INDEX(#REF!,MATCH(Tab_Data_Flows[[#This Row],[Flow_Name]],#REF!,0),12)</f>
        <v>#REF!</v>
      </c>
      <c r="L193" s="8" t="e">
        <f>MATCH(Tab_Data_Flows[[#This Row],[Flow_Name]],#REF!,0)</f>
        <v>#REF!</v>
      </c>
      <c r="M193" s="8"/>
      <c r="N193" s="8"/>
      <c r="O193" s="8"/>
      <c r="P193" s="8"/>
      <c r="Q193" s="8" t="s">
        <v>7</v>
      </c>
      <c r="R193" s="8"/>
      <c r="S193" s="8"/>
      <c r="T193" s="7" t="str">
        <f>Tab_Data_Flows[[#This Row],[Flow_ID]]&amp;"_"&amp;"material_"&amp;Tab_Data_Flows[[#This Row],[Flow_Data_Year]]</f>
        <v>F___material_</v>
      </c>
      <c r="U193" s="16">
        <f t="shared" si="6"/>
        <v>0</v>
      </c>
      <c r="V193" s="8" t="s">
        <v>211</v>
      </c>
      <c r="W193" s="153">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3">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3">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30</v>
      </c>
      <c r="D194" s="10">
        <f>_xlfn.XLOOKUP(C194,Tab_Def_Flows[Flow_Name],Tab_Def_Flows[WC?],,0,)</f>
        <v>0</v>
      </c>
      <c r="E194" s="10">
        <f>_xlfn.XLOOKUP(C194,Tab_Def_Flows[Flow_Name],Tab_Def_Flows[DM?],,0,)</f>
        <v>0</v>
      </c>
      <c r="F194" s="10">
        <f>_xlfn.XLOOKUP(C194,Tab_Def_Flows[Flow_Name],Tab_Def_Flows[CC?],,0,)</f>
        <v>0</v>
      </c>
      <c r="G194" s="8"/>
      <c r="H194" s="26"/>
      <c r="I194" s="8"/>
      <c r="J194" s="18"/>
      <c r="K194" s="8" t="e">
        <f>INDEX(#REF!,MATCH(Tab_Data_Flows[[#This Row],[Flow_Name]],#REF!,0),12)</f>
        <v>#REF!</v>
      </c>
      <c r="L194" s="8" t="e">
        <f>MATCH(Tab_Data_Flows[[#This Row],[Flow_Name]],#REF!,0)</f>
        <v>#REF!</v>
      </c>
      <c r="M194" s="8"/>
      <c r="N194" s="8"/>
      <c r="O194" s="8"/>
      <c r="P194" s="8"/>
      <c r="Q194" s="8" t="s">
        <v>7</v>
      </c>
      <c r="R194" s="8"/>
      <c r="S194" s="8"/>
      <c r="T194" s="7" t="str">
        <f>Tab_Data_Flows[[#This Row],[Flow_ID]]&amp;"_"&amp;"material_"&amp;Tab_Data_Flows[[#This Row],[Flow_Data_Year]]</f>
        <v>F___material_</v>
      </c>
      <c r="U194" s="16">
        <f t="shared" si="6"/>
        <v>0</v>
      </c>
      <c r="V194" s="8" t="s">
        <v>211</v>
      </c>
      <c r="W194" s="153">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3">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3">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30</v>
      </c>
      <c r="D195" s="10">
        <f>_xlfn.XLOOKUP(C195,Tab_Def_Flows[Flow_Name],Tab_Def_Flows[WC?],,0,)</f>
        <v>0</v>
      </c>
      <c r="E195" s="10">
        <f>_xlfn.XLOOKUP(C195,Tab_Def_Flows[Flow_Name],Tab_Def_Flows[DM?],,0,)</f>
        <v>0</v>
      </c>
      <c r="F195" s="10">
        <f>_xlfn.XLOOKUP(C195,Tab_Def_Flows[Flow_Name],Tab_Def_Flows[CC?],,0,)</f>
        <v>0</v>
      </c>
      <c r="G195" s="8"/>
      <c r="H195" s="26"/>
      <c r="I195" s="8"/>
      <c r="J195" s="18"/>
      <c r="K195" s="8" t="e">
        <f>INDEX(#REF!,MATCH(Tab_Data_Flows[[#This Row],[Flow_Name]],#REF!,0),12)</f>
        <v>#REF!</v>
      </c>
      <c r="L195" s="8" t="e">
        <f>MATCH(Tab_Data_Flows[[#This Row],[Flow_Name]],#REF!,0)</f>
        <v>#REF!</v>
      </c>
      <c r="M195" s="8"/>
      <c r="N195" s="8"/>
      <c r="O195" s="8"/>
      <c r="P195" s="8"/>
      <c r="Q195" s="8" t="s">
        <v>7</v>
      </c>
      <c r="R195" s="8"/>
      <c r="S195" s="8"/>
      <c r="T195" s="7" t="str">
        <f>Tab_Data_Flows[[#This Row],[Flow_ID]]&amp;"_"&amp;"material_"&amp;Tab_Data_Flows[[#This Row],[Flow_Data_Year]]</f>
        <v>F___material_</v>
      </c>
      <c r="U195" s="16">
        <f t="shared" ref="U195:U258" si="8">IF(Q195="no",H195,H195*R195)</f>
        <v>0</v>
      </c>
      <c r="V195" s="8" t="s">
        <v>211</v>
      </c>
      <c r="W195" s="153">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3">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3">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30</v>
      </c>
      <c r="D196" s="10">
        <f>_xlfn.XLOOKUP(C196,Tab_Def_Flows[Flow_Name],Tab_Def_Flows[WC?],,0,)</f>
        <v>0</v>
      </c>
      <c r="E196" s="10">
        <f>_xlfn.XLOOKUP(C196,Tab_Def_Flows[Flow_Name],Tab_Def_Flows[DM?],,0,)</f>
        <v>0</v>
      </c>
      <c r="F196" s="10">
        <f>_xlfn.XLOOKUP(C196,Tab_Def_Flows[Flow_Name],Tab_Def_Flows[CC?],,0,)</f>
        <v>0</v>
      </c>
      <c r="G196" s="8"/>
      <c r="H196" s="26"/>
      <c r="I196" s="8"/>
      <c r="J196" s="18"/>
      <c r="K196" s="8" t="e">
        <f>INDEX(#REF!,MATCH(Tab_Data_Flows[[#This Row],[Flow_Name]],#REF!,0),12)</f>
        <v>#REF!</v>
      </c>
      <c r="L196" s="8" t="e">
        <f>MATCH(Tab_Data_Flows[[#This Row],[Flow_Name]],#REF!,0)</f>
        <v>#REF!</v>
      </c>
      <c r="M196" s="8"/>
      <c r="N196" s="8"/>
      <c r="O196" s="8"/>
      <c r="P196" s="8"/>
      <c r="Q196" s="8" t="s">
        <v>7</v>
      </c>
      <c r="R196" s="8"/>
      <c r="S196" s="8"/>
      <c r="T196" s="7" t="str">
        <f>Tab_Data_Flows[[#This Row],[Flow_ID]]&amp;"_"&amp;"material_"&amp;Tab_Data_Flows[[#This Row],[Flow_Data_Year]]</f>
        <v>F___material_</v>
      </c>
      <c r="U196" s="16">
        <f t="shared" si="8"/>
        <v>0</v>
      </c>
      <c r="V196" s="8" t="s">
        <v>211</v>
      </c>
      <c r="W196" s="153">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3">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3">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30</v>
      </c>
      <c r="D197" s="10">
        <f>_xlfn.XLOOKUP(C197,Tab_Def_Flows[Flow_Name],Tab_Def_Flows[WC?],,0,)</f>
        <v>0</v>
      </c>
      <c r="E197" s="10">
        <f>_xlfn.XLOOKUP(C197,Tab_Def_Flows[Flow_Name],Tab_Def_Flows[DM?],,0,)</f>
        <v>0</v>
      </c>
      <c r="F197" s="10">
        <f>_xlfn.XLOOKUP(C197,Tab_Def_Flows[Flow_Name],Tab_Def_Flows[CC?],,0,)</f>
        <v>0</v>
      </c>
      <c r="G197" s="8"/>
      <c r="H197" s="26"/>
      <c r="I197" s="8"/>
      <c r="J197" s="18"/>
      <c r="K197" s="8" t="e">
        <f>INDEX(#REF!,MATCH(Tab_Data_Flows[[#This Row],[Flow_Name]],#REF!,0),12)</f>
        <v>#REF!</v>
      </c>
      <c r="L197" s="8" t="e">
        <f>MATCH(Tab_Data_Flows[[#This Row],[Flow_Name]],#REF!,0)</f>
        <v>#REF!</v>
      </c>
      <c r="M197" s="8"/>
      <c r="N197" s="8"/>
      <c r="O197" s="8"/>
      <c r="P197" s="8"/>
      <c r="Q197" s="8" t="s">
        <v>7</v>
      </c>
      <c r="R197" s="8"/>
      <c r="S197" s="8"/>
      <c r="T197" s="7" t="str">
        <f>Tab_Data_Flows[[#This Row],[Flow_ID]]&amp;"_"&amp;"material_"&amp;Tab_Data_Flows[[#This Row],[Flow_Data_Year]]</f>
        <v>F___material_</v>
      </c>
      <c r="U197" s="16">
        <f t="shared" si="8"/>
        <v>0</v>
      </c>
      <c r="V197" s="8" t="s">
        <v>211</v>
      </c>
      <c r="W197" s="153">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3">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3">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30</v>
      </c>
      <c r="D198" s="10">
        <f>_xlfn.XLOOKUP(C198,Tab_Def_Flows[Flow_Name],Tab_Def_Flows[WC?],,0,)</f>
        <v>0</v>
      </c>
      <c r="E198" s="10">
        <f>_xlfn.XLOOKUP(C198,Tab_Def_Flows[Flow_Name],Tab_Def_Flows[DM?],,0,)</f>
        <v>0</v>
      </c>
      <c r="F198" s="10">
        <f>_xlfn.XLOOKUP(C198,Tab_Def_Flows[Flow_Name],Tab_Def_Flows[CC?],,0,)</f>
        <v>0</v>
      </c>
      <c r="G198" s="8"/>
      <c r="H198" s="26"/>
      <c r="I198" s="8"/>
      <c r="J198" s="18"/>
      <c r="K198" s="8" t="e">
        <f>INDEX(#REF!,MATCH(Tab_Data_Flows[[#This Row],[Flow_Name]],#REF!,0),12)</f>
        <v>#REF!</v>
      </c>
      <c r="L198" s="8" t="e">
        <f>MATCH(Tab_Data_Flows[[#This Row],[Flow_Name]],#REF!,0)</f>
        <v>#REF!</v>
      </c>
      <c r="M198" s="8"/>
      <c r="N198" s="8"/>
      <c r="O198" s="8"/>
      <c r="P198" s="8"/>
      <c r="Q198" s="8" t="s">
        <v>7</v>
      </c>
      <c r="R198" s="8"/>
      <c r="S198" s="8"/>
      <c r="T198" s="7" t="str">
        <f>Tab_Data_Flows[[#This Row],[Flow_ID]]&amp;"_"&amp;"material_"&amp;Tab_Data_Flows[[#This Row],[Flow_Data_Year]]</f>
        <v>F___material_</v>
      </c>
      <c r="U198" s="16">
        <f t="shared" si="8"/>
        <v>0</v>
      </c>
      <c r="V198" s="8" t="s">
        <v>211</v>
      </c>
      <c r="W198" s="153">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3">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3">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30</v>
      </c>
      <c r="D199" s="10">
        <f>_xlfn.XLOOKUP(C199,Tab_Def_Flows[Flow_Name],Tab_Def_Flows[WC?],,0,)</f>
        <v>0</v>
      </c>
      <c r="E199" s="10">
        <f>_xlfn.XLOOKUP(C199,Tab_Def_Flows[Flow_Name],Tab_Def_Flows[DM?],,0,)</f>
        <v>0</v>
      </c>
      <c r="F199" s="10">
        <f>_xlfn.XLOOKUP(C199,Tab_Def_Flows[Flow_Name],Tab_Def_Flows[CC?],,0,)</f>
        <v>0</v>
      </c>
      <c r="G199" s="8"/>
      <c r="H199" s="26"/>
      <c r="I199" s="8"/>
      <c r="J199" s="18"/>
      <c r="K199" s="8" t="e">
        <f>INDEX(#REF!,MATCH(Tab_Data_Flows[[#This Row],[Flow_Name]],#REF!,0),12)</f>
        <v>#REF!</v>
      </c>
      <c r="L199" s="8" t="e">
        <f>MATCH(Tab_Data_Flows[[#This Row],[Flow_Name]],#REF!,0)</f>
        <v>#REF!</v>
      </c>
      <c r="M199" s="8"/>
      <c r="N199" s="8"/>
      <c r="O199" s="8"/>
      <c r="P199" s="8"/>
      <c r="Q199" s="8" t="s">
        <v>7</v>
      </c>
      <c r="R199" s="8"/>
      <c r="S199" s="8"/>
      <c r="T199" s="7" t="str">
        <f>Tab_Data_Flows[[#This Row],[Flow_ID]]&amp;"_"&amp;"material_"&amp;Tab_Data_Flows[[#This Row],[Flow_Data_Year]]</f>
        <v>F___material_</v>
      </c>
      <c r="U199" s="16">
        <f t="shared" si="8"/>
        <v>0</v>
      </c>
      <c r="V199" s="8" t="s">
        <v>211</v>
      </c>
      <c r="W199" s="153">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3">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3">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30</v>
      </c>
      <c r="D200" s="10">
        <f>_xlfn.XLOOKUP(C200,Tab_Def_Flows[Flow_Name],Tab_Def_Flows[WC?],,0,)</f>
        <v>0</v>
      </c>
      <c r="E200" s="10">
        <f>_xlfn.XLOOKUP(C200,Tab_Def_Flows[Flow_Name],Tab_Def_Flows[DM?],,0,)</f>
        <v>0</v>
      </c>
      <c r="F200" s="10">
        <f>_xlfn.XLOOKUP(C200,Tab_Def_Flows[Flow_Name],Tab_Def_Flows[CC?],,0,)</f>
        <v>0</v>
      </c>
      <c r="G200" s="8"/>
      <c r="H200" s="26"/>
      <c r="I200" s="8"/>
      <c r="J200" s="18"/>
      <c r="K200" s="8" t="e">
        <f>INDEX(#REF!,MATCH(Tab_Data_Flows[[#This Row],[Flow_Name]],#REF!,0),12)</f>
        <v>#REF!</v>
      </c>
      <c r="L200" s="8" t="e">
        <f>MATCH(Tab_Data_Flows[[#This Row],[Flow_Name]],#REF!,0)</f>
        <v>#REF!</v>
      </c>
      <c r="M200" s="8"/>
      <c r="N200" s="8"/>
      <c r="O200" s="8"/>
      <c r="P200" s="8"/>
      <c r="Q200" s="8" t="s">
        <v>7</v>
      </c>
      <c r="R200" s="8"/>
      <c r="S200" s="8"/>
      <c r="T200" s="7" t="str">
        <f>Tab_Data_Flows[[#This Row],[Flow_ID]]&amp;"_"&amp;"material_"&amp;Tab_Data_Flows[[#This Row],[Flow_Data_Year]]</f>
        <v>F___material_</v>
      </c>
      <c r="U200" s="16">
        <f t="shared" si="8"/>
        <v>0</v>
      </c>
      <c r="V200" s="8" t="s">
        <v>211</v>
      </c>
      <c r="W200" s="153">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3">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3">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30</v>
      </c>
      <c r="D201" s="10">
        <f>_xlfn.XLOOKUP(C201,Tab_Def_Flows[Flow_Name],Tab_Def_Flows[WC?],,0,)</f>
        <v>0</v>
      </c>
      <c r="E201" s="10">
        <f>_xlfn.XLOOKUP(C201,Tab_Def_Flows[Flow_Name],Tab_Def_Flows[DM?],,0,)</f>
        <v>0</v>
      </c>
      <c r="F201" s="10">
        <f>_xlfn.XLOOKUP(C201,Tab_Def_Flows[Flow_Name],Tab_Def_Flows[CC?],,0,)</f>
        <v>0</v>
      </c>
      <c r="G201" s="8"/>
      <c r="H201" s="26"/>
      <c r="I201" s="8"/>
      <c r="J201" s="18"/>
      <c r="K201" s="8" t="e">
        <f>INDEX(#REF!,MATCH(Tab_Data_Flows[[#This Row],[Flow_Name]],#REF!,0),12)</f>
        <v>#REF!</v>
      </c>
      <c r="L201" s="8" t="e">
        <f>MATCH(Tab_Data_Flows[[#This Row],[Flow_Name]],#REF!,0)</f>
        <v>#REF!</v>
      </c>
      <c r="M201" s="8"/>
      <c r="N201" s="8"/>
      <c r="O201" s="8"/>
      <c r="P201" s="8"/>
      <c r="Q201" s="8" t="s">
        <v>7</v>
      </c>
      <c r="R201" s="8"/>
      <c r="S201" s="8"/>
      <c r="T201" s="7" t="str">
        <f>Tab_Data_Flows[[#This Row],[Flow_ID]]&amp;"_"&amp;"material_"&amp;Tab_Data_Flows[[#This Row],[Flow_Data_Year]]</f>
        <v>F___material_</v>
      </c>
      <c r="U201" s="16">
        <f t="shared" si="8"/>
        <v>0</v>
      </c>
      <c r="V201" s="8" t="s">
        <v>211</v>
      </c>
      <c r="W201" s="153">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3">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3">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30</v>
      </c>
      <c r="D202" s="10">
        <f>_xlfn.XLOOKUP(C202,Tab_Def_Flows[Flow_Name],Tab_Def_Flows[WC?],,0,)</f>
        <v>0</v>
      </c>
      <c r="E202" s="10">
        <f>_xlfn.XLOOKUP(C202,Tab_Def_Flows[Flow_Name],Tab_Def_Flows[DM?],,0,)</f>
        <v>0</v>
      </c>
      <c r="F202" s="10">
        <f>_xlfn.XLOOKUP(C202,Tab_Def_Flows[Flow_Name],Tab_Def_Flows[CC?],,0,)</f>
        <v>0</v>
      </c>
      <c r="G202" s="8"/>
      <c r="H202" s="26"/>
      <c r="I202" s="8"/>
      <c r="J202" s="18"/>
      <c r="K202" s="8" t="e">
        <f>INDEX(#REF!,MATCH(Tab_Data_Flows[[#This Row],[Flow_Name]],#REF!,0),12)</f>
        <v>#REF!</v>
      </c>
      <c r="L202" s="8" t="e">
        <f>MATCH(Tab_Data_Flows[[#This Row],[Flow_Name]],#REF!,0)</f>
        <v>#REF!</v>
      </c>
      <c r="M202" s="8"/>
      <c r="N202" s="8"/>
      <c r="O202" s="8"/>
      <c r="P202" s="8"/>
      <c r="Q202" s="8" t="s">
        <v>7</v>
      </c>
      <c r="R202" s="8"/>
      <c r="S202" s="8"/>
      <c r="T202" s="7" t="str">
        <f>Tab_Data_Flows[[#This Row],[Flow_ID]]&amp;"_"&amp;"material_"&amp;Tab_Data_Flows[[#This Row],[Flow_Data_Year]]</f>
        <v>F___material_</v>
      </c>
      <c r="U202" s="16">
        <f t="shared" si="8"/>
        <v>0</v>
      </c>
      <c r="V202" s="8" t="s">
        <v>211</v>
      </c>
      <c r="W202" s="153">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3">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3">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30</v>
      </c>
      <c r="D203" s="10">
        <f>_xlfn.XLOOKUP(C203,Tab_Def_Flows[Flow_Name],Tab_Def_Flows[WC?],,0,)</f>
        <v>0</v>
      </c>
      <c r="E203" s="10">
        <f>_xlfn.XLOOKUP(C203,Tab_Def_Flows[Flow_Name],Tab_Def_Flows[DM?],,0,)</f>
        <v>0</v>
      </c>
      <c r="F203" s="10">
        <f>_xlfn.XLOOKUP(C203,Tab_Def_Flows[Flow_Name],Tab_Def_Flows[CC?],,0,)</f>
        <v>0</v>
      </c>
      <c r="G203" s="8"/>
      <c r="H203" s="26"/>
      <c r="I203" s="8"/>
      <c r="J203" s="18"/>
      <c r="K203" s="8" t="e">
        <f>INDEX(#REF!,MATCH(Tab_Data_Flows[[#This Row],[Flow_Name]],#REF!,0),12)</f>
        <v>#REF!</v>
      </c>
      <c r="L203" s="8" t="e">
        <f>MATCH(Tab_Data_Flows[[#This Row],[Flow_Name]],#REF!,0)</f>
        <v>#REF!</v>
      </c>
      <c r="M203" s="8"/>
      <c r="N203" s="8"/>
      <c r="O203" s="8"/>
      <c r="P203" s="8"/>
      <c r="Q203" s="8" t="s">
        <v>7</v>
      </c>
      <c r="R203" s="8"/>
      <c r="S203" s="8"/>
      <c r="T203" s="7" t="str">
        <f>Tab_Data_Flows[[#This Row],[Flow_ID]]&amp;"_"&amp;"material_"&amp;Tab_Data_Flows[[#This Row],[Flow_Data_Year]]</f>
        <v>F___material_</v>
      </c>
      <c r="U203" s="16">
        <f t="shared" si="8"/>
        <v>0</v>
      </c>
      <c r="V203" s="8" t="s">
        <v>211</v>
      </c>
      <c r="W203" s="153">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3">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3">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30</v>
      </c>
      <c r="D204" s="10">
        <f>_xlfn.XLOOKUP(C204,Tab_Def_Flows[Flow_Name],Tab_Def_Flows[WC?],,0,)</f>
        <v>0</v>
      </c>
      <c r="E204" s="10">
        <f>_xlfn.XLOOKUP(C204,Tab_Def_Flows[Flow_Name],Tab_Def_Flows[DM?],,0,)</f>
        <v>0</v>
      </c>
      <c r="F204" s="10">
        <f>_xlfn.XLOOKUP(C204,Tab_Def_Flows[Flow_Name],Tab_Def_Flows[CC?],,0,)</f>
        <v>0</v>
      </c>
      <c r="G204" s="8"/>
      <c r="H204" s="26"/>
      <c r="I204" s="8"/>
      <c r="J204" s="18"/>
      <c r="K204" s="8" t="e">
        <f>INDEX(#REF!,MATCH(Tab_Data_Flows[[#This Row],[Flow_Name]],#REF!,0),12)</f>
        <v>#REF!</v>
      </c>
      <c r="L204" s="8" t="e">
        <f>MATCH(Tab_Data_Flows[[#This Row],[Flow_Name]],#REF!,0)</f>
        <v>#REF!</v>
      </c>
      <c r="M204" s="8"/>
      <c r="N204" s="8"/>
      <c r="O204" s="8"/>
      <c r="P204" s="8"/>
      <c r="Q204" s="8" t="s">
        <v>7</v>
      </c>
      <c r="R204" s="8"/>
      <c r="S204" s="8"/>
      <c r="T204" s="7" t="str">
        <f>Tab_Data_Flows[[#This Row],[Flow_ID]]&amp;"_"&amp;"material_"&amp;Tab_Data_Flows[[#This Row],[Flow_Data_Year]]</f>
        <v>F___material_</v>
      </c>
      <c r="U204" s="16">
        <f t="shared" si="8"/>
        <v>0</v>
      </c>
      <c r="V204" s="8" t="s">
        <v>211</v>
      </c>
      <c r="W204" s="153">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3">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3">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30</v>
      </c>
      <c r="D205" s="10">
        <f>_xlfn.XLOOKUP(C205,Tab_Def_Flows[Flow_Name],Tab_Def_Flows[WC?],,0,)</f>
        <v>0</v>
      </c>
      <c r="E205" s="10">
        <f>_xlfn.XLOOKUP(C205,Tab_Def_Flows[Flow_Name],Tab_Def_Flows[DM?],,0,)</f>
        <v>0</v>
      </c>
      <c r="F205" s="10">
        <f>_xlfn.XLOOKUP(C205,Tab_Def_Flows[Flow_Name],Tab_Def_Flows[CC?],,0,)</f>
        <v>0</v>
      </c>
      <c r="G205" s="8"/>
      <c r="H205" s="26"/>
      <c r="I205" s="8"/>
      <c r="J205" s="18"/>
      <c r="K205" s="8"/>
      <c r="L205" s="8"/>
      <c r="M205" s="8"/>
      <c r="N205" s="8"/>
      <c r="O205" s="8"/>
      <c r="P205" s="8"/>
      <c r="Q205" s="8" t="s">
        <v>7</v>
      </c>
      <c r="R205" s="19"/>
      <c r="S205" s="8"/>
      <c r="T205" s="7" t="str">
        <f>Tab_Data_Flows[[#This Row],[Flow_ID]]&amp;"_"&amp;"material_"&amp;Tab_Data_Flows[[#This Row],[Flow_Data_Year]]</f>
        <v>F___material_</v>
      </c>
      <c r="U205" s="16">
        <f t="shared" si="8"/>
        <v>0</v>
      </c>
      <c r="V205" s="8" t="s">
        <v>211</v>
      </c>
      <c r="W205" s="153">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3">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3">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30</v>
      </c>
      <c r="D206" s="10">
        <f>_xlfn.XLOOKUP(C206,Tab_Def_Flows[Flow_Name],Tab_Def_Flows[WC?],,0,)</f>
        <v>0</v>
      </c>
      <c r="E206" s="10">
        <f>_xlfn.XLOOKUP(C206,Tab_Def_Flows[Flow_Name],Tab_Def_Flows[DM?],,0,)</f>
        <v>0</v>
      </c>
      <c r="F206" s="10">
        <f>_xlfn.XLOOKUP(C206,Tab_Def_Flows[Flow_Name],Tab_Def_Flows[CC?],,0,)</f>
        <v>0</v>
      </c>
      <c r="G206" s="8"/>
      <c r="H206" s="26"/>
      <c r="I206" s="8"/>
      <c r="J206" s="18"/>
      <c r="K206" s="8"/>
      <c r="L206" s="8"/>
      <c r="M206" s="8"/>
      <c r="N206" s="8"/>
      <c r="O206" s="8"/>
      <c r="P206" s="8"/>
      <c r="Q206" s="8" t="s">
        <v>7</v>
      </c>
      <c r="R206" s="19"/>
      <c r="S206" s="8"/>
      <c r="T206" s="7" t="str">
        <f>Tab_Data_Flows[[#This Row],[Flow_ID]]&amp;"_"&amp;"material_"&amp;Tab_Data_Flows[[#This Row],[Flow_Data_Year]]</f>
        <v>F___material_</v>
      </c>
      <c r="U206" s="16">
        <f t="shared" si="8"/>
        <v>0</v>
      </c>
      <c r="V206" s="8" t="s">
        <v>211</v>
      </c>
      <c r="W206" s="153">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3">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3">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30</v>
      </c>
      <c r="D207" s="10">
        <f>_xlfn.XLOOKUP(C207,Tab_Def_Flows[Flow_Name],Tab_Def_Flows[WC?],,0,)</f>
        <v>0</v>
      </c>
      <c r="E207" s="10">
        <f>_xlfn.XLOOKUP(C207,Tab_Def_Flows[Flow_Name],Tab_Def_Flows[DM?],,0,)</f>
        <v>0</v>
      </c>
      <c r="F207" s="10">
        <f>_xlfn.XLOOKUP(C207,Tab_Def_Flows[Flow_Name],Tab_Def_Flows[CC?],,0,)</f>
        <v>0</v>
      </c>
      <c r="G207" s="8"/>
      <c r="H207" s="26"/>
      <c r="I207" s="8"/>
      <c r="J207" s="18"/>
      <c r="K207" s="8"/>
      <c r="L207" s="8"/>
      <c r="M207" s="8"/>
      <c r="N207" s="8"/>
      <c r="O207" s="8"/>
      <c r="P207" s="8"/>
      <c r="Q207" s="8" t="s">
        <v>7</v>
      </c>
      <c r="R207" s="19"/>
      <c r="S207" s="8"/>
      <c r="T207" s="7" t="str">
        <f>Tab_Data_Flows[[#This Row],[Flow_ID]]&amp;"_"&amp;"material_"&amp;Tab_Data_Flows[[#This Row],[Flow_Data_Year]]</f>
        <v>F___material_</v>
      </c>
      <c r="U207" s="16">
        <f t="shared" si="8"/>
        <v>0</v>
      </c>
      <c r="V207" s="8" t="s">
        <v>211</v>
      </c>
      <c r="W207" s="153">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3">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3">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30</v>
      </c>
      <c r="D208" s="10">
        <f>_xlfn.XLOOKUP(C208,Tab_Def_Flows[Flow_Name],Tab_Def_Flows[WC?],,0,)</f>
        <v>0</v>
      </c>
      <c r="E208" s="10">
        <f>_xlfn.XLOOKUP(C208,Tab_Def_Flows[Flow_Name],Tab_Def_Flows[DM?],,0,)</f>
        <v>0</v>
      </c>
      <c r="F208" s="10">
        <f>_xlfn.XLOOKUP(C208,Tab_Def_Flows[Flow_Name],Tab_Def_Flows[CC?],,0,)</f>
        <v>0</v>
      </c>
      <c r="G208" s="8"/>
      <c r="H208" s="26"/>
      <c r="I208" s="8"/>
      <c r="J208" s="18"/>
      <c r="K208" s="8"/>
      <c r="L208" s="8"/>
      <c r="M208" s="8"/>
      <c r="N208" s="8"/>
      <c r="O208" s="8"/>
      <c r="P208" s="8"/>
      <c r="Q208" s="8" t="s">
        <v>7</v>
      </c>
      <c r="R208" s="19"/>
      <c r="S208" s="8"/>
      <c r="T208" s="7" t="str">
        <f>Tab_Data_Flows[[#This Row],[Flow_ID]]&amp;"_"&amp;"material_"&amp;Tab_Data_Flows[[#This Row],[Flow_Data_Year]]</f>
        <v>F___material_</v>
      </c>
      <c r="U208" s="16">
        <f t="shared" si="8"/>
        <v>0</v>
      </c>
      <c r="V208" s="8" t="s">
        <v>211</v>
      </c>
      <c r="W208" s="153">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3">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3">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30</v>
      </c>
      <c r="D209" s="10">
        <f>_xlfn.XLOOKUP(C209,Tab_Def_Flows[Flow_Name],Tab_Def_Flows[WC?],,0,)</f>
        <v>0</v>
      </c>
      <c r="E209" s="10">
        <f>_xlfn.XLOOKUP(C209,Tab_Def_Flows[Flow_Name],Tab_Def_Flows[DM?],,0,)</f>
        <v>0</v>
      </c>
      <c r="F209" s="10">
        <f>_xlfn.XLOOKUP(C209,Tab_Def_Flows[Flow_Name],Tab_Def_Flows[CC?],,0,)</f>
        <v>0</v>
      </c>
      <c r="G209" s="8"/>
      <c r="H209" s="26"/>
      <c r="I209" s="8"/>
      <c r="J209" s="18"/>
      <c r="K209" s="8"/>
      <c r="L209" s="8"/>
      <c r="M209" s="8"/>
      <c r="N209" s="8"/>
      <c r="O209" s="8"/>
      <c r="P209" s="8"/>
      <c r="Q209" s="8" t="s">
        <v>7</v>
      </c>
      <c r="R209" s="19"/>
      <c r="S209" s="8"/>
      <c r="T209" s="7" t="str">
        <f>Tab_Data_Flows[[#This Row],[Flow_ID]]&amp;"_"&amp;"material_"&amp;Tab_Data_Flows[[#This Row],[Flow_Data_Year]]</f>
        <v>F___material_</v>
      </c>
      <c r="U209" s="16">
        <f t="shared" si="8"/>
        <v>0</v>
      </c>
      <c r="V209" s="8" t="s">
        <v>211</v>
      </c>
      <c r="W209" s="153">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3">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3">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30</v>
      </c>
      <c r="D210" s="10">
        <f>_xlfn.XLOOKUP(C210,Tab_Def_Flows[Flow_Name],Tab_Def_Flows[WC?],,0,)</f>
        <v>0</v>
      </c>
      <c r="E210" s="10">
        <f>_xlfn.XLOOKUP(C210,Tab_Def_Flows[Flow_Name],Tab_Def_Flows[DM?],,0,)</f>
        <v>0</v>
      </c>
      <c r="F210" s="10">
        <f>_xlfn.XLOOKUP(C210,Tab_Def_Flows[Flow_Name],Tab_Def_Flows[CC?],,0,)</f>
        <v>0</v>
      </c>
      <c r="G210" s="8"/>
      <c r="H210" s="26"/>
      <c r="I210" s="8"/>
      <c r="J210" s="18"/>
      <c r="K210" s="8"/>
      <c r="L210" s="8"/>
      <c r="M210" s="8"/>
      <c r="N210" s="8"/>
      <c r="O210" s="8"/>
      <c r="P210" s="8"/>
      <c r="Q210" s="8" t="s">
        <v>7</v>
      </c>
      <c r="R210" s="19"/>
      <c r="S210" s="8"/>
      <c r="T210" s="7" t="str">
        <f>Tab_Data_Flows[[#This Row],[Flow_ID]]&amp;"_"&amp;"material_"&amp;Tab_Data_Flows[[#This Row],[Flow_Data_Year]]</f>
        <v>F___material_</v>
      </c>
      <c r="U210" s="16">
        <f t="shared" si="8"/>
        <v>0</v>
      </c>
      <c r="V210" s="8" t="s">
        <v>211</v>
      </c>
      <c r="W210" s="153">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3">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3">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30</v>
      </c>
      <c r="D211" s="10">
        <f>_xlfn.XLOOKUP(C211,Tab_Def_Flows[Flow_Name],Tab_Def_Flows[WC?],,0,)</f>
        <v>0</v>
      </c>
      <c r="E211" s="10">
        <f>_xlfn.XLOOKUP(C211,Tab_Def_Flows[Flow_Name],Tab_Def_Flows[DM?],,0,)</f>
        <v>0</v>
      </c>
      <c r="F211" s="10">
        <f>_xlfn.XLOOKUP(C211,Tab_Def_Flows[Flow_Name],Tab_Def_Flows[CC?],,0,)</f>
        <v>0</v>
      </c>
      <c r="G211" s="8"/>
      <c r="H211" s="26"/>
      <c r="I211" s="8"/>
      <c r="J211" s="18"/>
      <c r="K211" s="8"/>
      <c r="L211" s="8"/>
      <c r="M211" s="8"/>
      <c r="N211" s="8"/>
      <c r="O211" s="8"/>
      <c r="P211" s="8"/>
      <c r="Q211" s="8" t="s">
        <v>7</v>
      </c>
      <c r="R211" s="19"/>
      <c r="S211" s="8"/>
      <c r="T211" s="7" t="str">
        <f>Tab_Data_Flows[[#This Row],[Flow_ID]]&amp;"_"&amp;"material_"&amp;Tab_Data_Flows[[#This Row],[Flow_Data_Year]]</f>
        <v>F___material_</v>
      </c>
      <c r="U211" s="16">
        <f t="shared" si="8"/>
        <v>0</v>
      </c>
      <c r="V211" s="8" t="s">
        <v>211</v>
      </c>
      <c r="W211" s="153">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3">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3">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30</v>
      </c>
      <c r="D212" s="10">
        <f>_xlfn.XLOOKUP(C212,Tab_Def_Flows[Flow_Name],Tab_Def_Flows[WC?],,0,)</f>
        <v>0</v>
      </c>
      <c r="E212" s="10">
        <f>_xlfn.XLOOKUP(C212,Tab_Def_Flows[Flow_Name],Tab_Def_Flows[DM?],,0,)</f>
        <v>0</v>
      </c>
      <c r="F212" s="10">
        <f>_xlfn.XLOOKUP(C212,Tab_Def_Flows[Flow_Name],Tab_Def_Flows[CC?],,0,)</f>
        <v>0</v>
      </c>
      <c r="G212" s="8"/>
      <c r="H212" s="26"/>
      <c r="I212" s="8"/>
      <c r="J212" s="18"/>
      <c r="K212" s="8"/>
      <c r="L212" s="8"/>
      <c r="M212" s="8"/>
      <c r="N212" s="8"/>
      <c r="O212" s="8"/>
      <c r="P212" s="8"/>
      <c r="Q212" s="8" t="s">
        <v>7</v>
      </c>
      <c r="R212" s="19"/>
      <c r="S212" s="8"/>
      <c r="T212" s="7" t="str">
        <f>Tab_Data_Flows[[#This Row],[Flow_ID]]&amp;"_"&amp;"material_"&amp;Tab_Data_Flows[[#This Row],[Flow_Data_Year]]</f>
        <v>F___material_</v>
      </c>
      <c r="U212" s="16">
        <f t="shared" si="8"/>
        <v>0</v>
      </c>
      <c r="V212" s="8" t="s">
        <v>211</v>
      </c>
      <c r="W212" s="153">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3">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3">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30</v>
      </c>
      <c r="D213" s="10">
        <f>_xlfn.XLOOKUP(C213,Tab_Def_Flows[Flow_Name],Tab_Def_Flows[WC?],,0,)</f>
        <v>0</v>
      </c>
      <c r="E213" s="10">
        <f>_xlfn.XLOOKUP(C213,Tab_Def_Flows[Flow_Name],Tab_Def_Flows[DM?],,0,)</f>
        <v>0</v>
      </c>
      <c r="F213" s="10">
        <f>_xlfn.XLOOKUP(C213,Tab_Def_Flows[Flow_Name],Tab_Def_Flows[CC?],,0,)</f>
        <v>0</v>
      </c>
      <c r="G213" s="8"/>
      <c r="H213" s="26"/>
      <c r="I213" s="8"/>
      <c r="J213" s="18"/>
      <c r="K213" s="8"/>
      <c r="L213" s="8"/>
      <c r="M213" s="8"/>
      <c r="N213" s="8"/>
      <c r="O213" s="8"/>
      <c r="P213" s="8"/>
      <c r="Q213" s="8" t="s">
        <v>7</v>
      </c>
      <c r="R213" s="19"/>
      <c r="S213" s="8"/>
      <c r="T213" s="7" t="str">
        <f>Tab_Data_Flows[[#This Row],[Flow_ID]]&amp;"_"&amp;"material_"&amp;Tab_Data_Flows[[#This Row],[Flow_Data_Year]]</f>
        <v>F___material_</v>
      </c>
      <c r="U213" s="16">
        <f t="shared" si="8"/>
        <v>0</v>
      </c>
      <c r="V213" s="8" t="s">
        <v>211</v>
      </c>
      <c r="W213" s="153">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3">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3">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30</v>
      </c>
      <c r="D214" s="10">
        <f>_xlfn.XLOOKUP(C214,Tab_Def_Flows[Flow_Name],Tab_Def_Flows[WC?],,0,)</f>
        <v>0</v>
      </c>
      <c r="E214" s="10">
        <f>_xlfn.XLOOKUP(C214,Tab_Def_Flows[Flow_Name],Tab_Def_Flows[DM?],,0,)</f>
        <v>0</v>
      </c>
      <c r="F214" s="10">
        <f>_xlfn.XLOOKUP(C214,Tab_Def_Flows[Flow_Name],Tab_Def_Flows[CC?],,0,)</f>
        <v>0</v>
      </c>
      <c r="G214" s="8"/>
      <c r="H214" s="26"/>
      <c r="I214" s="8"/>
      <c r="J214" s="18"/>
      <c r="K214" s="8"/>
      <c r="L214" s="8"/>
      <c r="M214" s="8"/>
      <c r="N214" s="8"/>
      <c r="O214" s="8"/>
      <c r="P214" s="8"/>
      <c r="Q214" s="8" t="s">
        <v>7</v>
      </c>
      <c r="R214" s="19"/>
      <c r="S214" s="8"/>
      <c r="T214" s="7" t="str">
        <f>Tab_Data_Flows[[#This Row],[Flow_ID]]&amp;"_"&amp;"material_"&amp;Tab_Data_Flows[[#This Row],[Flow_Data_Year]]</f>
        <v>F___material_</v>
      </c>
      <c r="U214" s="16">
        <f t="shared" si="8"/>
        <v>0</v>
      </c>
      <c r="V214" s="8" t="s">
        <v>211</v>
      </c>
      <c r="W214" s="153">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3">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3">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30</v>
      </c>
      <c r="D215" s="10">
        <f>_xlfn.XLOOKUP(C215,Tab_Def_Flows[Flow_Name],Tab_Def_Flows[WC?],,0,)</f>
        <v>0</v>
      </c>
      <c r="E215" s="10">
        <f>_xlfn.XLOOKUP(C215,Tab_Def_Flows[Flow_Name],Tab_Def_Flows[DM?],,0,)</f>
        <v>0</v>
      </c>
      <c r="F215" s="10">
        <f>_xlfn.XLOOKUP(C215,Tab_Def_Flows[Flow_Name],Tab_Def_Flows[CC?],,0,)</f>
        <v>0</v>
      </c>
      <c r="G215" s="8"/>
      <c r="H215" s="26"/>
      <c r="I215" s="8"/>
      <c r="J215" s="18"/>
      <c r="K215" s="8"/>
      <c r="L215" s="8"/>
      <c r="M215" s="8"/>
      <c r="N215" s="8"/>
      <c r="O215" s="8"/>
      <c r="P215" s="8"/>
      <c r="Q215" s="8" t="s">
        <v>7</v>
      </c>
      <c r="R215" s="19"/>
      <c r="S215" s="8"/>
      <c r="T215" s="7" t="str">
        <f>Tab_Data_Flows[[#This Row],[Flow_ID]]&amp;"_"&amp;"material_"&amp;Tab_Data_Flows[[#This Row],[Flow_Data_Year]]</f>
        <v>F___material_</v>
      </c>
      <c r="U215" s="16">
        <f t="shared" si="8"/>
        <v>0</v>
      </c>
      <c r="V215" s="8" t="s">
        <v>211</v>
      </c>
      <c r="W215" s="153">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3">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3">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30</v>
      </c>
      <c r="D216" s="10">
        <f>_xlfn.XLOOKUP(C216,Tab_Def_Flows[Flow_Name],Tab_Def_Flows[WC?],,0,)</f>
        <v>0</v>
      </c>
      <c r="E216" s="10">
        <f>_xlfn.XLOOKUP(C216,Tab_Def_Flows[Flow_Name],Tab_Def_Flows[DM?],,0,)</f>
        <v>0</v>
      </c>
      <c r="F216" s="10">
        <f>_xlfn.XLOOKUP(C216,Tab_Def_Flows[Flow_Name],Tab_Def_Flows[CC?],,0,)</f>
        <v>0</v>
      </c>
      <c r="G216" s="8"/>
      <c r="H216" s="26"/>
      <c r="I216" s="8"/>
      <c r="J216" s="18"/>
      <c r="K216" s="8"/>
      <c r="L216" s="8"/>
      <c r="M216" s="8"/>
      <c r="N216" s="8"/>
      <c r="O216" s="8"/>
      <c r="P216" s="8"/>
      <c r="Q216" s="8" t="s">
        <v>7</v>
      </c>
      <c r="R216" s="19"/>
      <c r="S216" s="8"/>
      <c r="T216" s="7" t="str">
        <f>Tab_Data_Flows[[#This Row],[Flow_ID]]&amp;"_"&amp;"material_"&amp;Tab_Data_Flows[[#This Row],[Flow_Data_Year]]</f>
        <v>F___material_</v>
      </c>
      <c r="U216" s="16">
        <f t="shared" si="8"/>
        <v>0</v>
      </c>
      <c r="V216" s="8" t="s">
        <v>211</v>
      </c>
      <c r="W216" s="153">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3">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3">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30</v>
      </c>
      <c r="D217" s="10">
        <f>_xlfn.XLOOKUP(C217,Tab_Def_Flows[Flow_Name],Tab_Def_Flows[WC?],,0,)</f>
        <v>0</v>
      </c>
      <c r="E217" s="10">
        <f>_xlfn.XLOOKUP(C217,Tab_Def_Flows[Flow_Name],Tab_Def_Flows[DM?],,0,)</f>
        <v>0</v>
      </c>
      <c r="F217" s="10">
        <f>_xlfn.XLOOKUP(C217,Tab_Def_Flows[Flow_Name],Tab_Def_Flows[CC?],,0,)</f>
        <v>0</v>
      </c>
      <c r="G217" s="8"/>
      <c r="H217" s="26"/>
      <c r="I217" s="8"/>
      <c r="J217" s="18"/>
      <c r="K217" s="8"/>
      <c r="L217" s="8"/>
      <c r="M217" s="8"/>
      <c r="N217" s="8"/>
      <c r="O217" s="8"/>
      <c r="P217" s="8"/>
      <c r="Q217" s="8" t="s">
        <v>7</v>
      </c>
      <c r="R217" s="19"/>
      <c r="S217" s="8"/>
      <c r="T217" s="7" t="str">
        <f>Tab_Data_Flows[[#This Row],[Flow_ID]]&amp;"_"&amp;"material_"&amp;Tab_Data_Flows[[#This Row],[Flow_Data_Year]]</f>
        <v>F___material_</v>
      </c>
      <c r="U217" s="16">
        <f t="shared" si="8"/>
        <v>0</v>
      </c>
      <c r="V217" s="8" t="s">
        <v>211</v>
      </c>
      <c r="W217" s="153">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3">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3">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30</v>
      </c>
      <c r="D218" s="10">
        <f>_xlfn.XLOOKUP(C218,Tab_Def_Flows[Flow_Name],Tab_Def_Flows[WC?],,0,)</f>
        <v>0</v>
      </c>
      <c r="E218" s="10">
        <f>_xlfn.XLOOKUP(C218,Tab_Def_Flows[Flow_Name],Tab_Def_Flows[DM?],,0,)</f>
        <v>0</v>
      </c>
      <c r="F218" s="10">
        <f>_xlfn.XLOOKUP(C218,Tab_Def_Flows[Flow_Name],Tab_Def_Flows[CC?],,0,)</f>
        <v>0</v>
      </c>
      <c r="G218" s="8"/>
      <c r="H218" s="26"/>
      <c r="I218" s="8"/>
      <c r="J218" s="18"/>
      <c r="K218" s="8"/>
      <c r="L218" s="8"/>
      <c r="M218" s="8"/>
      <c r="N218" s="8"/>
      <c r="O218" s="8"/>
      <c r="P218" s="8"/>
      <c r="Q218" s="8" t="s">
        <v>7</v>
      </c>
      <c r="R218" s="19"/>
      <c r="S218" s="8"/>
      <c r="T218" s="7" t="str">
        <f>Tab_Data_Flows[[#This Row],[Flow_ID]]&amp;"_"&amp;"material_"&amp;Tab_Data_Flows[[#This Row],[Flow_Data_Year]]</f>
        <v>F___material_</v>
      </c>
      <c r="U218" s="16">
        <f t="shared" si="8"/>
        <v>0</v>
      </c>
      <c r="V218" s="8" t="s">
        <v>211</v>
      </c>
      <c r="W218" s="153">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3">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3">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30</v>
      </c>
      <c r="D219" s="10">
        <f>_xlfn.XLOOKUP(C219,Tab_Def_Flows[Flow_Name],Tab_Def_Flows[WC?],,0,)</f>
        <v>0</v>
      </c>
      <c r="E219" s="10">
        <f>_xlfn.XLOOKUP(C219,Tab_Def_Flows[Flow_Name],Tab_Def_Flows[DM?],,0,)</f>
        <v>0</v>
      </c>
      <c r="F219" s="10">
        <f>_xlfn.XLOOKUP(C219,Tab_Def_Flows[Flow_Name],Tab_Def_Flows[CC?],,0,)</f>
        <v>0</v>
      </c>
      <c r="G219" s="8"/>
      <c r="H219" s="26"/>
      <c r="I219" s="8"/>
      <c r="J219" s="18"/>
      <c r="K219" s="8"/>
      <c r="L219" s="8"/>
      <c r="M219" s="8"/>
      <c r="N219" s="8"/>
      <c r="O219" s="8"/>
      <c r="P219" s="8"/>
      <c r="Q219" s="8" t="s">
        <v>7</v>
      </c>
      <c r="R219" s="19"/>
      <c r="S219" s="8"/>
      <c r="T219" s="7" t="str">
        <f>Tab_Data_Flows[[#This Row],[Flow_ID]]&amp;"_"&amp;"material_"&amp;Tab_Data_Flows[[#This Row],[Flow_Data_Year]]</f>
        <v>F___material_</v>
      </c>
      <c r="U219" s="16">
        <f t="shared" si="8"/>
        <v>0</v>
      </c>
      <c r="V219" s="8" t="s">
        <v>211</v>
      </c>
      <c r="W219" s="153">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3">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3">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30</v>
      </c>
      <c r="D220" s="10">
        <f>_xlfn.XLOOKUP(C220,Tab_Def_Flows[Flow_Name],Tab_Def_Flows[WC?],,0,)</f>
        <v>0</v>
      </c>
      <c r="E220" s="10">
        <f>_xlfn.XLOOKUP(C220,Tab_Def_Flows[Flow_Name],Tab_Def_Flows[DM?],,0,)</f>
        <v>0</v>
      </c>
      <c r="F220" s="10">
        <f>_xlfn.XLOOKUP(C220,Tab_Def_Flows[Flow_Name],Tab_Def_Flows[CC?],,0,)</f>
        <v>0</v>
      </c>
      <c r="G220" s="8"/>
      <c r="H220" s="26"/>
      <c r="I220" s="8"/>
      <c r="J220" s="18"/>
      <c r="K220" s="8"/>
      <c r="L220" s="8"/>
      <c r="M220" s="8"/>
      <c r="N220" s="8"/>
      <c r="O220" s="8"/>
      <c r="P220" s="8"/>
      <c r="Q220" s="8" t="s">
        <v>7</v>
      </c>
      <c r="R220" s="19"/>
      <c r="S220" s="8"/>
      <c r="T220" s="7" t="str">
        <f>Tab_Data_Flows[[#This Row],[Flow_ID]]&amp;"_"&amp;"material_"&amp;Tab_Data_Flows[[#This Row],[Flow_Data_Year]]</f>
        <v>F___material_</v>
      </c>
      <c r="U220" s="16">
        <f t="shared" si="8"/>
        <v>0</v>
      </c>
      <c r="V220" s="8" t="s">
        <v>211</v>
      </c>
      <c r="W220" s="153">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3">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3">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30</v>
      </c>
      <c r="D221" s="10">
        <f>_xlfn.XLOOKUP(C221,Tab_Def_Flows[Flow_Name],Tab_Def_Flows[WC?],,0,)</f>
        <v>0</v>
      </c>
      <c r="E221" s="10">
        <f>_xlfn.XLOOKUP(C221,Tab_Def_Flows[Flow_Name],Tab_Def_Flows[DM?],,0,)</f>
        <v>0</v>
      </c>
      <c r="F221" s="10">
        <f>_xlfn.XLOOKUP(C221,Tab_Def_Flows[Flow_Name],Tab_Def_Flows[CC?],,0,)</f>
        <v>0</v>
      </c>
      <c r="G221" s="8"/>
      <c r="H221" s="26"/>
      <c r="I221" s="8"/>
      <c r="J221" s="18"/>
      <c r="K221" s="8"/>
      <c r="L221" s="8"/>
      <c r="M221" s="8"/>
      <c r="N221" s="8"/>
      <c r="O221" s="8"/>
      <c r="P221" s="8"/>
      <c r="Q221" s="8" t="s">
        <v>7</v>
      </c>
      <c r="R221" s="19"/>
      <c r="S221" s="8"/>
      <c r="T221" s="7" t="str">
        <f>Tab_Data_Flows[[#This Row],[Flow_ID]]&amp;"_"&amp;"material_"&amp;Tab_Data_Flows[[#This Row],[Flow_Data_Year]]</f>
        <v>F___material_</v>
      </c>
      <c r="U221" s="16">
        <f t="shared" si="8"/>
        <v>0</v>
      </c>
      <c r="V221" s="8" t="s">
        <v>211</v>
      </c>
      <c r="W221" s="153">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3">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3">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30</v>
      </c>
      <c r="D222" s="10">
        <f>_xlfn.XLOOKUP(C222,Tab_Def_Flows[Flow_Name],Tab_Def_Flows[WC?],,0,)</f>
        <v>0</v>
      </c>
      <c r="E222" s="10">
        <f>_xlfn.XLOOKUP(C222,Tab_Def_Flows[Flow_Name],Tab_Def_Flows[DM?],,0,)</f>
        <v>0</v>
      </c>
      <c r="F222" s="10">
        <f>_xlfn.XLOOKUP(C222,Tab_Def_Flows[Flow_Name],Tab_Def_Flows[CC?],,0,)</f>
        <v>0</v>
      </c>
      <c r="G222" s="8"/>
      <c r="H222" s="26"/>
      <c r="I222" s="8"/>
      <c r="J222" s="18"/>
      <c r="K222" s="8"/>
      <c r="L222" s="8"/>
      <c r="M222" s="8"/>
      <c r="N222" s="8"/>
      <c r="O222" s="8"/>
      <c r="P222" s="8"/>
      <c r="Q222" s="8" t="s">
        <v>7</v>
      </c>
      <c r="R222" s="19"/>
      <c r="S222" s="8"/>
      <c r="T222" s="7" t="str">
        <f>Tab_Data_Flows[[#This Row],[Flow_ID]]&amp;"_"&amp;"material_"&amp;Tab_Data_Flows[[#This Row],[Flow_Data_Year]]</f>
        <v>F___material_</v>
      </c>
      <c r="U222" s="16">
        <f t="shared" si="8"/>
        <v>0</v>
      </c>
      <c r="V222" s="8" t="s">
        <v>211</v>
      </c>
      <c r="W222" s="153">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3">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3">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30</v>
      </c>
      <c r="D223" s="10">
        <f>_xlfn.XLOOKUP(C223,Tab_Def_Flows[Flow_Name],Tab_Def_Flows[WC?],,0,)</f>
        <v>0</v>
      </c>
      <c r="E223" s="10">
        <f>_xlfn.XLOOKUP(C223,Tab_Def_Flows[Flow_Name],Tab_Def_Flows[DM?],,0,)</f>
        <v>0</v>
      </c>
      <c r="F223" s="10">
        <f>_xlfn.XLOOKUP(C223,Tab_Def_Flows[Flow_Name],Tab_Def_Flows[CC?],,0,)</f>
        <v>0</v>
      </c>
      <c r="G223" s="8"/>
      <c r="H223" s="26"/>
      <c r="I223" s="8"/>
      <c r="J223" s="18"/>
      <c r="K223" s="8"/>
      <c r="L223" s="8"/>
      <c r="M223" s="8"/>
      <c r="N223" s="8"/>
      <c r="O223" s="8"/>
      <c r="P223" s="8"/>
      <c r="Q223" s="8" t="s">
        <v>7</v>
      </c>
      <c r="R223" s="19"/>
      <c r="S223" s="8"/>
      <c r="T223" s="7" t="str">
        <f>Tab_Data_Flows[[#This Row],[Flow_ID]]&amp;"_"&amp;"material_"&amp;Tab_Data_Flows[[#This Row],[Flow_Data_Year]]</f>
        <v>F___material_</v>
      </c>
      <c r="U223" s="16">
        <f t="shared" si="8"/>
        <v>0</v>
      </c>
      <c r="V223" s="8" t="s">
        <v>211</v>
      </c>
      <c r="W223" s="153">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3">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3">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30</v>
      </c>
      <c r="D224" s="10">
        <f>_xlfn.XLOOKUP(C224,Tab_Def_Flows[Flow_Name],Tab_Def_Flows[WC?],,0,)</f>
        <v>0</v>
      </c>
      <c r="E224" s="10">
        <f>_xlfn.XLOOKUP(C224,Tab_Def_Flows[Flow_Name],Tab_Def_Flows[DM?],,0,)</f>
        <v>0</v>
      </c>
      <c r="F224" s="10">
        <f>_xlfn.XLOOKUP(C224,Tab_Def_Flows[Flow_Name],Tab_Def_Flows[CC?],,0,)</f>
        <v>0</v>
      </c>
      <c r="G224" s="8"/>
      <c r="H224" s="26"/>
      <c r="I224" s="8"/>
      <c r="J224" s="18"/>
      <c r="K224" s="8"/>
      <c r="L224" s="8"/>
      <c r="M224" s="8"/>
      <c r="N224" s="8"/>
      <c r="O224" s="8"/>
      <c r="P224" s="8"/>
      <c r="Q224" s="8" t="s">
        <v>7</v>
      </c>
      <c r="R224" s="19"/>
      <c r="S224" s="8"/>
      <c r="T224" s="7" t="str">
        <f>Tab_Data_Flows[[#This Row],[Flow_ID]]&amp;"_"&amp;"material_"&amp;Tab_Data_Flows[[#This Row],[Flow_Data_Year]]</f>
        <v>F___material_</v>
      </c>
      <c r="U224" s="16">
        <f t="shared" si="8"/>
        <v>0</v>
      </c>
      <c r="V224" s="8" t="s">
        <v>211</v>
      </c>
      <c r="W224" s="153">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3">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3">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30</v>
      </c>
      <c r="D225" s="10">
        <f>_xlfn.XLOOKUP(C225,Tab_Def_Flows[Flow_Name],Tab_Def_Flows[WC?],,0,)</f>
        <v>0</v>
      </c>
      <c r="E225" s="10">
        <f>_xlfn.XLOOKUP(C225,Tab_Def_Flows[Flow_Name],Tab_Def_Flows[DM?],,0,)</f>
        <v>0</v>
      </c>
      <c r="F225" s="10">
        <f>_xlfn.XLOOKUP(C225,Tab_Def_Flows[Flow_Name],Tab_Def_Flows[CC?],,0,)</f>
        <v>0</v>
      </c>
      <c r="G225" s="8"/>
      <c r="H225" s="26"/>
      <c r="I225" s="8"/>
      <c r="J225" s="18"/>
      <c r="K225" s="8"/>
      <c r="L225" s="8"/>
      <c r="M225" s="8"/>
      <c r="N225" s="8"/>
      <c r="O225" s="8"/>
      <c r="P225" s="8"/>
      <c r="Q225" s="8" t="s">
        <v>7</v>
      </c>
      <c r="R225" s="19"/>
      <c r="S225" s="8"/>
      <c r="T225" s="7" t="str">
        <f>Tab_Data_Flows[[#This Row],[Flow_ID]]&amp;"_"&amp;"material_"&amp;Tab_Data_Flows[[#This Row],[Flow_Data_Year]]</f>
        <v>F___material_</v>
      </c>
      <c r="U225" s="16">
        <f t="shared" si="8"/>
        <v>0</v>
      </c>
      <c r="V225" s="8" t="s">
        <v>211</v>
      </c>
      <c r="W225" s="153">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3">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3">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30</v>
      </c>
      <c r="D226" s="10">
        <f>_xlfn.XLOOKUP(C226,Tab_Def_Flows[Flow_Name],Tab_Def_Flows[WC?],,0,)</f>
        <v>0</v>
      </c>
      <c r="E226" s="10">
        <f>_xlfn.XLOOKUP(C226,Tab_Def_Flows[Flow_Name],Tab_Def_Flows[DM?],,0,)</f>
        <v>0</v>
      </c>
      <c r="F226" s="10">
        <f>_xlfn.XLOOKUP(C226,Tab_Def_Flows[Flow_Name],Tab_Def_Flows[CC?],,0,)</f>
        <v>0</v>
      </c>
      <c r="G226" s="8"/>
      <c r="H226" s="26"/>
      <c r="I226" s="8"/>
      <c r="J226" s="18"/>
      <c r="K226" s="8"/>
      <c r="L226" s="8"/>
      <c r="M226" s="8"/>
      <c r="N226" s="8"/>
      <c r="O226" s="8"/>
      <c r="P226" s="8"/>
      <c r="Q226" s="8" t="s">
        <v>7</v>
      </c>
      <c r="R226" s="19"/>
      <c r="S226" s="8"/>
      <c r="T226" s="7" t="str">
        <f>Tab_Data_Flows[[#This Row],[Flow_ID]]&amp;"_"&amp;"material_"&amp;Tab_Data_Flows[[#This Row],[Flow_Data_Year]]</f>
        <v>F___material_</v>
      </c>
      <c r="U226" s="16">
        <f t="shared" si="8"/>
        <v>0</v>
      </c>
      <c r="V226" s="8" t="s">
        <v>211</v>
      </c>
      <c r="W226" s="153">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3">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3">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30</v>
      </c>
      <c r="D227" s="10">
        <f>_xlfn.XLOOKUP(C227,Tab_Def_Flows[Flow_Name],Tab_Def_Flows[WC?],,0,)</f>
        <v>0</v>
      </c>
      <c r="E227" s="10">
        <f>_xlfn.XLOOKUP(C227,Tab_Def_Flows[Flow_Name],Tab_Def_Flows[DM?],,0,)</f>
        <v>0</v>
      </c>
      <c r="F227" s="10">
        <f>_xlfn.XLOOKUP(C227,Tab_Def_Flows[Flow_Name],Tab_Def_Flows[CC?],,0,)</f>
        <v>0</v>
      </c>
      <c r="G227" s="8"/>
      <c r="H227" s="26"/>
      <c r="I227" s="8"/>
      <c r="J227" s="18"/>
      <c r="K227" s="8"/>
      <c r="L227" s="8"/>
      <c r="M227" s="8"/>
      <c r="N227" s="8"/>
      <c r="O227" s="8"/>
      <c r="P227" s="8"/>
      <c r="Q227" s="8" t="s">
        <v>7</v>
      </c>
      <c r="R227" s="19"/>
      <c r="S227" s="8"/>
      <c r="T227" s="7" t="str">
        <f>Tab_Data_Flows[[#This Row],[Flow_ID]]&amp;"_"&amp;"material_"&amp;Tab_Data_Flows[[#This Row],[Flow_Data_Year]]</f>
        <v>F___material_</v>
      </c>
      <c r="U227" s="16">
        <f t="shared" si="8"/>
        <v>0</v>
      </c>
      <c r="V227" s="8" t="s">
        <v>211</v>
      </c>
      <c r="W227" s="153">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3">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3">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30</v>
      </c>
      <c r="D228" s="10">
        <f>_xlfn.XLOOKUP(C228,Tab_Def_Flows[Flow_Name],Tab_Def_Flows[WC?],,0,)</f>
        <v>0</v>
      </c>
      <c r="E228" s="10">
        <f>_xlfn.XLOOKUP(C228,Tab_Def_Flows[Flow_Name],Tab_Def_Flows[DM?],,0,)</f>
        <v>0</v>
      </c>
      <c r="F228" s="10">
        <f>_xlfn.XLOOKUP(C228,Tab_Def_Flows[Flow_Name],Tab_Def_Flows[CC?],,0,)</f>
        <v>0</v>
      </c>
      <c r="G228" s="8"/>
      <c r="H228" s="26"/>
      <c r="I228" s="8"/>
      <c r="J228" s="18"/>
      <c r="K228" s="8"/>
      <c r="L228" s="8"/>
      <c r="M228" s="8"/>
      <c r="N228" s="8"/>
      <c r="O228" s="8"/>
      <c r="P228" s="8"/>
      <c r="Q228" s="8" t="s">
        <v>7</v>
      </c>
      <c r="R228" s="19"/>
      <c r="S228" s="8"/>
      <c r="T228" s="7" t="str">
        <f>Tab_Data_Flows[[#This Row],[Flow_ID]]&amp;"_"&amp;"material_"&amp;Tab_Data_Flows[[#This Row],[Flow_Data_Year]]</f>
        <v>F___material_</v>
      </c>
      <c r="U228" s="16">
        <f t="shared" si="8"/>
        <v>0</v>
      </c>
      <c r="V228" s="8" t="s">
        <v>211</v>
      </c>
      <c r="W228" s="153">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3">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3">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30</v>
      </c>
      <c r="D229" s="10">
        <f>_xlfn.XLOOKUP(C229,Tab_Def_Flows[Flow_Name],Tab_Def_Flows[WC?],,0,)</f>
        <v>0</v>
      </c>
      <c r="E229" s="10">
        <f>_xlfn.XLOOKUP(C229,Tab_Def_Flows[Flow_Name],Tab_Def_Flows[DM?],,0,)</f>
        <v>0</v>
      </c>
      <c r="F229" s="10">
        <f>_xlfn.XLOOKUP(C229,Tab_Def_Flows[Flow_Name],Tab_Def_Flows[CC?],,0,)</f>
        <v>0</v>
      </c>
      <c r="G229" s="8"/>
      <c r="H229" s="26"/>
      <c r="I229" s="8"/>
      <c r="J229" s="18"/>
      <c r="K229" s="8"/>
      <c r="L229" s="8"/>
      <c r="M229" s="8"/>
      <c r="N229" s="8"/>
      <c r="O229" s="8"/>
      <c r="P229" s="8"/>
      <c r="Q229" s="8" t="s">
        <v>7</v>
      </c>
      <c r="R229" s="19"/>
      <c r="S229" s="8"/>
      <c r="T229" s="7" t="str">
        <f>Tab_Data_Flows[[#This Row],[Flow_ID]]&amp;"_"&amp;"material_"&amp;Tab_Data_Flows[[#This Row],[Flow_Data_Year]]</f>
        <v>F___material_</v>
      </c>
      <c r="U229" s="16">
        <f t="shared" si="8"/>
        <v>0</v>
      </c>
      <c r="V229" s="8" t="s">
        <v>211</v>
      </c>
      <c r="W229" s="153">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3">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3">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30</v>
      </c>
      <c r="D230" s="10">
        <f>_xlfn.XLOOKUP(C230,Tab_Def_Flows[Flow_Name],Tab_Def_Flows[WC?],,0,)</f>
        <v>0</v>
      </c>
      <c r="E230" s="10">
        <f>_xlfn.XLOOKUP(C230,Tab_Def_Flows[Flow_Name],Tab_Def_Flows[DM?],,0,)</f>
        <v>0</v>
      </c>
      <c r="F230" s="10">
        <f>_xlfn.XLOOKUP(C230,Tab_Def_Flows[Flow_Name],Tab_Def_Flows[CC?],,0,)</f>
        <v>0</v>
      </c>
      <c r="G230" s="8"/>
      <c r="H230" s="26"/>
      <c r="I230" s="8"/>
      <c r="J230" s="18"/>
      <c r="K230" s="8"/>
      <c r="L230" s="8"/>
      <c r="M230" s="8"/>
      <c r="N230" s="8"/>
      <c r="O230" s="8"/>
      <c r="P230" s="8"/>
      <c r="Q230" s="8" t="s">
        <v>7</v>
      </c>
      <c r="R230" s="19"/>
      <c r="S230" s="8"/>
      <c r="T230" s="7" t="str">
        <f>Tab_Data_Flows[[#This Row],[Flow_ID]]&amp;"_"&amp;"material_"&amp;Tab_Data_Flows[[#This Row],[Flow_Data_Year]]</f>
        <v>F___material_</v>
      </c>
      <c r="U230" s="16">
        <f t="shared" si="8"/>
        <v>0</v>
      </c>
      <c r="V230" s="8" t="s">
        <v>211</v>
      </c>
      <c r="W230" s="153">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3">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3">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30</v>
      </c>
      <c r="D231" s="10">
        <f>_xlfn.XLOOKUP(C231,Tab_Def_Flows[Flow_Name],Tab_Def_Flows[WC?],,0,)</f>
        <v>0</v>
      </c>
      <c r="E231" s="10">
        <f>_xlfn.XLOOKUP(C231,Tab_Def_Flows[Flow_Name],Tab_Def_Flows[DM?],,0,)</f>
        <v>0</v>
      </c>
      <c r="F231" s="10">
        <f>_xlfn.XLOOKUP(C231,Tab_Def_Flows[Flow_Name],Tab_Def_Flows[CC?],,0,)</f>
        <v>0</v>
      </c>
      <c r="G231" s="8"/>
      <c r="H231" s="26"/>
      <c r="I231" s="8"/>
      <c r="J231" s="18"/>
      <c r="K231" s="8"/>
      <c r="L231" s="8"/>
      <c r="M231" s="8"/>
      <c r="N231" s="8"/>
      <c r="O231" s="8"/>
      <c r="P231" s="8"/>
      <c r="Q231" s="8" t="s">
        <v>7</v>
      </c>
      <c r="R231" s="19"/>
      <c r="S231" s="8"/>
      <c r="T231" s="7" t="str">
        <f>Tab_Data_Flows[[#This Row],[Flow_ID]]&amp;"_"&amp;"material_"&amp;Tab_Data_Flows[[#This Row],[Flow_Data_Year]]</f>
        <v>F___material_</v>
      </c>
      <c r="U231" s="16">
        <f t="shared" si="8"/>
        <v>0</v>
      </c>
      <c r="V231" s="8" t="s">
        <v>211</v>
      </c>
      <c r="W231" s="153">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3">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3">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30</v>
      </c>
      <c r="D232" s="10">
        <f>_xlfn.XLOOKUP(C232,Tab_Def_Flows[Flow_Name],Tab_Def_Flows[WC?],,0,)</f>
        <v>0</v>
      </c>
      <c r="E232" s="10">
        <f>_xlfn.XLOOKUP(C232,Tab_Def_Flows[Flow_Name],Tab_Def_Flows[DM?],,0,)</f>
        <v>0</v>
      </c>
      <c r="F232" s="10">
        <f>_xlfn.XLOOKUP(C232,Tab_Def_Flows[Flow_Name],Tab_Def_Flows[CC?],,0,)</f>
        <v>0</v>
      </c>
      <c r="G232" s="8"/>
      <c r="H232" s="26"/>
      <c r="I232" s="8"/>
      <c r="J232" s="18"/>
      <c r="K232" s="8"/>
      <c r="L232" s="8"/>
      <c r="M232" s="8"/>
      <c r="N232" s="8"/>
      <c r="O232" s="8"/>
      <c r="P232" s="8"/>
      <c r="Q232" s="8" t="s">
        <v>7</v>
      </c>
      <c r="R232" s="19"/>
      <c r="S232" s="8"/>
      <c r="T232" s="7" t="str">
        <f>Tab_Data_Flows[[#This Row],[Flow_ID]]&amp;"_"&amp;"material_"&amp;Tab_Data_Flows[[#This Row],[Flow_Data_Year]]</f>
        <v>F___material_</v>
      </c>
      <c r="U232" s="16">
        <f t="shared" si="8"/>
        <v>0</v>
      </c>
      <c r="V232" s="8" t="s">
        <v>211</v>
      </c>
      <c r="W232" s="153">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3">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3">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30</v>
      </c>
      <c r="D233" s="10">
        <f>_xlfn.XLOOKUP(C233,Tab_Def_Flows[Flow_Name],Tab_Def_Flows[WC?],,0,)</f>
        <v>0</v>
      </c>
      <c r="E233" s="10">
        <f>_xlfn.XLOOKUP(C233,Tab_Def_Flows[Flow_Name],Tab_Def_Flows[DM?],,0,)</f>
        <v>0</v>
      </c>
      <c r="F233" s="10">
        <f>_xlfn.XLOOKUP(C233,Tab_Def_Flows[Flow_Name],Tab_Def_Flows[CC?],,0,)</f>
        <v>0</v>
      </c>
      <c r="G233" s="8"/>
      <c r="H233" s="26"/>
      <c r="I233" s="8"/>
      <c r="J233" s="18"/>
      <c r="K233" s="8"/>
      <c r="L233" s="8"/>
      <c r="M233" s="8"/>
      <c r="N233" s="8"/>
      <c r="O233" s="8"/>
      <c r="P233" s="8"/>
      <c r="Q233" s="8" t="s">
        <v>7</v>
      </c>
      <c r="R233" s="19"/>
      <c r="S233" s="8"/>
      <c r="T233" s="7" t="str">
        <f>Tab_Data_Flows[[#This Row],[Flow_ID]]&amp;"_"&amp;"material_"&amp;Tab_Data_Flows[[#This Row],[Flow_Data_Year]]</f>
        <v>F___material_</v>
      </c>
      <c r="U233" s="16">
        <f t="shared" si="8"/>
        <v>0</v>
      </c>
      <c r="V233" s="8" t="s">
        <v>211</v>
      </c>
      <c r="W233" s="153">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3">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3">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30</v>
      </c>
      <c r="D234" s="10">
        <f>_xlfn.XLOOKUP(C234,Tab_Def_Flows[Flow_Name],Tab_Def_Flows[WC?],,0,)</f>
        <v>0</v>
      </c>
      <c r="E234" s="10">
        <f>_xlfn.XLOOKUP(C234,Tab_Def_Flows[Flow_Name],Tab_Def_Flows[DM?],,0,)</f>
        <v>0</v>
      </c>
      <c r="F234" s="10">
        <f>_xlfn.XLOOKUP(C234,Tab_Def_Flows[Flow_Name],Tab_Def_Flows[CC?],,0,)</f>
        <v>0</v>
      </c>
      <c r="G234" s="8"/>
      <c r="H234" s="26"/>
      <c r="I234" s="8"/>
      <c r="J234" s="18"/>
      <c r="K234" s="8"/>
      <c r="L234" s="8"/>
      <c r="M234" s="8"/>
      <c r="N234" s="8"/>
      <c r="O234" s="8"/>
      <c r="P234" s="8"/>
      <c r="Q234" s="8" t="s">
        <v>7</v>
      </c>
      <c r="R234" s="19"/>
      <c r="S234" s="8"/>
      <c r="T234" s="7" t="str">
        <f>Tab_Data_Flows[[#This Row],[Flow_ID]]&amp;"_"&amp;"material_"&amp;Tab_Data_Flows[[#This Row],[Flow_Data_Year]]</f>
        <v>F___material_</v>
      </c>
      <c r="U234" s="16">
        <f t="shared" si="8"/>
        <v>0</v>
      </c>
      <c r="V234" s="8" t="s">
        <v>211</v>
      </c>
      <c r="W234" s="153">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3">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3">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30</v>
      </c>
      <c r="D235" s="10">
        <f>_xlfn.XLOOKUP(C235,Tab_Def_Flows[Flow_Name],Tab_Def_Flows[WC?],,0,)</f>
        <v>0</v>
      </c>
      <c r="E235" s="10">
        <f>_xlfn.XLOOKUP(C235,Tab_Def_Flows[Flow_Name],Tab_Def_Flows[DM?],,0,)</f>
        <v>0</v>
      </c>
      <c r="F235" s="10">
        <f>_xlfn.XLOOKUP(C235,Tab_Def_Flows[Flow_Name],Tab_Def_Flows[CC?],,0,)</f>
        <v>0</v>
      </c>
      <c r="G235" s="8"/>
      <c r="H235" s="26"/>
      <c r="I235" s="8"/>
      <c r="J235" s="18"/>
      <c r="K235" s="8"/>
      <c r="L235" s="8"/>
      <c r="M235" s="8"/>
      <c r="N235" s="8"/>
      <c r="O235" s="8"/>
      <c r="P235" s="8"/>
      <c r="Q235" s="8" t="s">
        <v>7</v>
      </c>
      <c r="R235" s="19"/>
      <c r="S235" s="8"/>
      <c r="T235" s="7" t="str">
        <f>Tab_Data_Flows[[#This Row],[Flow_ID]]&amp;"_"&amp;"material_"&amp;Tab_Data_Flows[[#This Row],[Flow_Data_Year]]</f>
        <v>F___material_</v>
      </c>
      <c r="U235" s="16">
        <f t="shared" si="8"/>
        <v>0</v>
      </c>
      <c r="V235" s="8" t="s">
        <v>211</v>
      </c>
      <c r="W235" s="153">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3">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3">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30</v>
      </c>
      <c r="D236" s="10">
        <f>_xlfn.XLOOKUP(C236,Tab_Def_Flows[Flow_Name],Tab_Def_Flows[WC?],,0,)</f>
        <v>0</v>
      </c>
      <c r="E236" s="10">
        <f>_xlfn.XLOOKUP(C236,Tab_Def_Flows[Flow_Name],Tab_Def_Flows[DM?],,0,)</f>
        <v>0</v>
      </c>
      <c r="F236" s="10">
        <f>_xlfn.XLOOKUP(C236,Tab_Def_Flows[Flow_Name],Tab_Def_Flows[CC?],,0,)</f>
        <v>0</v>
      </c>
      <c r="G236" s="8"/>
      <c r="H236" s="26"/>
      <c r="I236" s="8"/>
      <c r="J236" s="18"/>
      <c r="K236" s="8"/>
      <c r="L236" s="8"/>
      <c r="M236" s="8"/>
      <c r="N236" s="8"/>
      <c r="O236" s="8"/>
      <c r="P236" s="8"/>
      <c r="Q236" s="8" t="s">
        <v>7</v>
      </c>
      <c r="R236" s="19"/>
      <c r="S236" s="8"/>
      <c r="T236" s="7" t="str">
        <f>Tab_Data_Flows[[#This Row],[Flow_ID]]&amp;"_"&amp;"material_"&amp;Tab_Data_Flows[[#This Row],[Flow_Data_Year]]</f>
        <v>F___material_</v>
      </c>
      <c r="U236" s="16">
        <f t="shared" si="8"/>
        <v>0</v>
      </c>
      <c r="V236" s="8" t="s">
        <v>211</v>
      </c>
      <c r="W236" s="153">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3">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3">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30</v>
      </c>
      <c r="D237" s="10">
        <f>_xlfn.XLOOKUP(C237,Tab_Def_Flows[Flow_Name],Tab_Def_Flows[WC?],,0,)</f>
        <v>0</v>
      </c>
      <c r="E237" s="10">
        <f>_xlfn.XLOOKUP(C237,Tab_Def_Flows[Flow_Name],Tab_Def_Flows[DM?],,0,)</f>
        <v>0</v>
      </c>
      <c r="F237" s="10">
        <f>_xlfn.XLOOKUP(C237,Tab_Def_Flows[Flow_Name],Tab_Def_Flows[CC?],,0,)</f>
        <v>0</v>
      </c>
      <c r="G237" s="8"/>
      <c r="H237" s="26"/>
      <c r="I237" s="8"/>
      <c r="J237" s="18"/>
      <c r="K237" s="8"/>
      <c r="L237" s="8"/>
      <c r="M237" s="8"/>
      <c r="N237" s="8"/>
      <c r="O237" s="8"/>
      <c r="P237" s="8"/>
      <c r="Q237" s="8" t="s">
        <v>7</v>
      </c>
      <c r="R237" s="19"/>
      <c r="S237" s="8"/>
      <c r="T237" s="7" t="str">
        <f>Tab_Data_Flows[[#This Row],[Flow_ID]]&amp;"_"&amp;"material_"&amp;Tab_Data_Flows[[#This Row],[Flow_Data_Year]]</f>
        <v>F___material_</v>
      </c>
      <c r="U237" s="16">
        <f t="shared" si="8"/>
        <v>0</v>
      </c>
      <c r="V237" s="8" t="s">
        <v>211</v>
      </c>
      <c r="W237" s="153">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3">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3">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30</v>
      </c>
      <c r="D238" s="10">
        <f>_xlfn.XLOOKUP(C238,Tab_Def_Flows[Flow_Name],Tab_Def_Flows[WC?],,0,)</f>
        <v>0</v>
      </c>
      <c r="E238" s="10">
        <f>_xlfn.XLOOKUP(C238,Tab_Def_Flows[Flow_Name],Tab_Def_Flows[DM?],,0,)</f>
        <v>0</v>
      </c>
      <c r="F238" s="10">
        <f>_xlfn.XLOOKUP(C238,Tab_Def_Flows[Flow_Name],Tab_Def_Flows[CC?],,0,)</f>
        <v>0</v>
      </c>
      <c r="G238" s="8"/>
      <c r="H238" s="26"/>
      <c r="I238" s="8"/>
      <c r="J238" s="18"/>
      <c r="K238" s="8"/>
      <c r="L238" s="8"/>
      <c r="M238" s="8"/>
      <c r="N238" s="8"/>
      <c r="O238" s="8"/>
      <c r="P238" s="8"/>
      <c r="Q238" s="8" t="s">
        <v>7</v>
      </c>
      <c r="R238" s="19"/>
      <c r="S238" s="8"/>
      <c r="T238" s="7" t="str">
        <f>Tab_Data_Flows[[#This Row],[Flow_ID]]&amp;"_"&amp;"material_"&amp;Tab_Data_Flows[[#This Row],[Flow_Data_Year]]</f>
        <v>F___material_</v>
      </c>
      <c r="U238" s="16">
        <f t="shared" si="8"/>
        <v>0</v>
      </c>
      <c r="V238" s="8" t="s">
        <v>211</v>
      </c>
      <c r="W238" s="153">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3">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3">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30</v>
      </c>
      <c r="D239" s="10">
        <f>_xlfn.XLOOKUP(C239,Tab_Def_Flows[Flow_Name],Tab_Def_Flows[WC?],,0,)</f>
        <v>0</v>
      </c>
      <c r="E239" s="10">
        <f>_xlfn.XLOOKUP(C239,Tab_Def_Flows[Flow_Name],Tab_Def_Flows[DM?],,0,)</f>
        <v>0</v>
      </c>
      <c r="F239" s="10">
        <f>_xlfn.XLOOKUP(C239,Tab_Def_Flows[Flow_Name],Tab_Def_Flows[CC?],,0,)</f>
        <v>0</v>
      </c>
      <c r="G239" s="8"/>
      <c r="H239" s="26"/>
      <c r="I239" s="8"/>
      <c r="J239" s="18"/>
      <c r="K239" s="8"/>
      <c r="L239" s="8"/>
      <c r="M239" s="8"/>
      <c r="N239" s="8"/>
      <c r="O239" s="8"/>
      <c r="P239" s="8"/>
      <c r="Q239" s="8" t="s">
        <v>7</v>
      </c>
      <c r="R239" s="19"/>
      <c r="S239" s="8"/>
      <c r="T239" s="7" t="str">
        <f>Tab_Data_Flows[[#This Row],[Flow_ID]]&amp;"_"&amp;"material_"&amp;Tab_Data_Flows[[#This Row],[Flow_Data_Year]]</f>
        <v>F___material_</v>
      </c>
      <c r="U239" s="16">
        <f t="shared" si="8"/>
        <v>0</v>
      </c>
      <c r="V239" s="8" t="s">
        <v>211</v>
      </c>
      <c r="W239" s="153">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3">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3">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30</v>
      </c>
      <c r="D240" s="10">
        <f>_xlfn.XLOOKUP(C240,Tab_Def_Flows[Flow_Name],Tab_Def_Flows[WC?],,0,)</f>
        <v>0</v>
      </c>
      <c r="E240" s="10">
        <f>_xlfn.XLOOKUP(C240,Tab_Def_Flows[Flow_Name],Tab_Def_Flows[DM?],,0,)</f>
        <v>0</v>
      </c>
      <c r="F240" s="10">
        <f>_xlfn.XLOOKUP(C240,Tab_Def_Flows[Flow_Name],Tab_Def_Flows[CC?],,0,)</f>
        <v>0</v>
      </c>
      <c r="G240" s="8"/>
      <c r="H240" s="26"/>
      <c r="I240" s="8"/>
      <c r="J240" s="18"/>
      <c r="K240" s="8"/>
      <c r="L240" s="8"/>
      <c r="M240" s="8"/>
      <c r="N240" s="8"/>
      <c r="O240" s="8"/>
      <c r="P240" s="8"/>
      <c r="Q240" s="8" t="s">
        <v>7</v>
      </c>
      <c r="R240" s="19"/>
      <c r="S240" s="8"/>
      <c r="T240" s="7" t="str">
        <f>Tab_Data_Flows[[#This Row],[Flow_ID]]&amp;"_"&amp;"material_"&amp;Tab_Data_Flows[[#This Row],[Flow_Data_Year]]</f>
        <v>F___material_</v>
      </c>
      <c r="U240" s="16">
        <f t="shared" si="8"/>
        <v>0</v>
      </c>
      <c r="V240" s="8" t="s">
        <v>211</v>
      </c>
      <c r="W240" s="153">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3">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3">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30</v>
      </c>
      <c r="D241" s="10">
        <f>_xlfn.XLOOKUP(C241,Tab_Def_Flows[Flow_Name],Tab_Def_Flows[WC?],,0,)</f>
        <v>0</v>
      </c>
      <c r="E241" s="10">
        <f>_xlfn.XLOOKUP(C241,Tab_Def_Flows[Flow_Name],Tab_Def_Flows[DM?],,0,)</f>
        <v>0</v>
      </c>
      <c r="F241" s="10">
        <f>_xlfn.XLOOKUP(C241,Tab_Def_Flows[Flow_Name],Tab_Def_Flows[CC?],,0,)</f>
        <v>0</v>
      </c>
      <c r="G241" s="8"/>
      <c r="H241" s="26"/>
      <c r="I241" s="8"/>
      <c r="J241" s="18"/>
      <c r="K241" s="8"/>
      <c r="L241" s="8"/>
      <c r="M241" s="8"/>
      <c r="N241" s="8"/>
      <c r="O241" s="8"/>
      <c r="P241" s="8"/>
      <c r="Q241" s="8" t="s">
        <v>7</v>
      </c>
      <c r="R241" s="19"/>
      <c r="S241" s="8"/>
      <c r="T241" s="7" t="str">
        <f>Tab_Data_Flows[[#This Row],[Flow_ID]]&amp;"_"&amp;"material_"&amp;Tab_Data_Flows[[#This Row],[Flow_Data_Year]]</f>
        <v>F___material_</v>
      </c>
      <c r="U241" s="16">
        <f t="shared" si="8"/>
        <v>0</v>
      </c>
      <c r="V241" s="8" t="s">
        <v>211</v>
      </c>
      <c r="W241" s="153">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3">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3">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30</v>
      </c>
      <c r="D242" s="10">
        <f>_xlfn.XLOOKUP(C242,Tab_Def_Flows[Flow_Name],Tab_Def_Flows[WC?],,0,)</f>
        <v>0</v>
      </c>
      <c r="E242" s="10">
        <f>_xlfn.XLOOKUP(C242,Tab_Def_Flows[Flow_Name],Tab_Def_Flows[DM?],,0,)</f>
        <v>0</v>
      </c>
      <c r="F242" s="10">
        <f>_xlfn.XLOOKUP(C242,Tab_Def_Flows[Flow_Name],Tab_Def_Flows[CC?],,0,)</f>
        <v>0</v>
      </c>
      <c r="G242" s="8"/>
      <c r="H242" s="26"/>
      <c r="I242" s="8"/>
      <c r="J242" s="18"/>
      <c r="K242" s="8"/>
      <c r="L242" s="8"/>
      <c r="M242" s="8"/>
      <c r="N242" s="8"/>
      <c r="O242" s="8"/>
      <c r="P242" s="8"/>
      <c r="Q242" s="8" t="s">
        <v>7</v>
      </c>
      <c r="R242" s="19"/>
      <c r="S242" s="8"/>
      <c r="T242" s="7" t="str">
        <f>Tab_Data_Flows[[#This Row],[Flow_ID]]&amp;"_"&amp;"material_"&amp;Tab_Data_Flows[[#This Row],[Flow_Data_Year]]</f>
        <v>F___material_</v>
      </c>
      <c r="U242" s="16">
        <f t="shared" si="8"/>
        <v>0</v>
      </c>
      <c r="V242" s="8" t="s">
        <v>211</v>
      </c>
      <c r="W242" s="153">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3">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3">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30</v>
      </c>
      <c r="D243" s="10">
        <f>_xlfn.XLOOKUP(C243,Tab_Def_Flows[Flow_Name],Tab_Def_Flows[WC?],,0,)</f>
        <v>0</v>
      </c>
      <c r="E243" s="10">
        <f>_xlfn.XLOOKUP(C243,Tab_Def_Flows[Flow_Name],Tab_Def_Flows[DM?],,0,)</f>
        <v>0</v>
      </c>
      <c r="F243" s="10">
        <f>_xlfn.XLOOKUP(C243,Tab_Def_Flows[Flow_Name],Tab_Def_Flows[CC?],,0,)</f>
        <v>0</v>
      </c>
      <c r="G243" s="8"/>
      <c r="H243" s="26"/>
      <c r="I243" s="8"/>
      <c r="J243" s="18"/>
      <c r="K243" s="8"/>
      <c r="L243" s="8"/>
      <c r="M243" s="8"/>
      <c r="N243" s="8"/>
      <c r="O243" s="8"/>
      <c r="P243" s="8"/>
      <c r="Q243" s="8" t="s">
        <v>7</v>
      </c>
      <c r="R243" s="19"/>
      <c r="S243" s="8"/>
      <c r="T243" s="7" t="str">
        <f>Tab_Data_Flows[[#This Row],[Flow_ID]]&amp;"_"&amp;"material_"&amp;Tab_Data_Flows[[#This Row],[Flow_Data_Year]]</f>
        <v>F___material_</v>
      </c>
      <c r="U243" s="16">
        <f t="shared" si="8"/>
        <v>0</v>
      </c>
      <c r="V243" s="8" t="s">
        <v>211</v>
      </c>
      <c r="W243" s="153">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3">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3">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30</v>
      </c>
      <c r="D244" s="10">
        <f>_xlfn.XLOOKUP(C244,Tab_Def_Flows[Flow_Name],Tab_Def_Flows[WC?],,0,)</f>
        <v>0</v>
      </c>
      <c r="E244" s="10">
        <f>_xlfn.XLOOKUP(C244,Tab_Def_Flows[Flow_Name],Tab_Def_Flows[DM?],,0,)</f>
        <v>0</v>
      </c>
      <c r="F244" s="10">
        <f>_xlfn.XLOOKUP(C244,Tab_Def_Flows[Flow_Name],Tab_Def_Flows[CC?],,0,)</f>
        <v>0</v>
      </c>
      <c r="G244" s="8"/>
      <c r="H244" s="26"/>
      <c r="I244" s="8"/>
      <c r="J244" s="18"/>
      <c r="K244" s="8"/>
      <c r="L244" s="8"/>
      <c r="M244" s="8"/>
      <c r="N244" s="8"/>
      <c r="O244" s="8"/>
      <c r="P244" s="8"/>
      <c r="Q244" s="8" t="s">
        <v>7</v>
      </c>
      <c r="R244" s="19"/>
      <c r="S244" s="8"/>
      <c r="T244" s="7" t="str">
        <f>Tab_Data_Flows[[#This Row],[Flow_ID]]&amp;"_"&amp;"material_"&amp;Tab_Data_Flows[[#This Row],[Flow_Data_Year]]</f>
        <v>F___material_</v>
      </c>
      <c r="U244" s="16">
        <f t="shared" si="8"/>
        <v>0</v>
      </c>
      <c r="V244" s="8" t="s">
        <v>211</v>
      </c>
      <c r="W244" s="153">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3">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3">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30</v>
      </c>
      <c r="D245" s="10">
        <f>_xlfn.XLOOKUP(C245,Tab_Def_Flows[Flow_Name],Tab_Def_Flows[WC?],,0,)</f>
        <v>0</v>
      </c>
      <c r="E245" s="10">
        <f>_xlfn.XLOOKUP(C245,Tab_Def_Flows[Flow_Name],Tab_Def_Flows[DM?],,0,)</f>
        <v>0</v>
      </c>
      <c r="F245" s="10">
        <f>_xlfn.XLOOKUP(C245,Tab_Def_Flows[Flow_Name],Tab_Def_Flows[CC?],,0,)</f>
        <v>0</v>
      </c>
      <c r="G245" s="8"/>
      <c r="H245" s="26"/>
      <c r="I245" s="8"/>
      <c r="J245" s="18"/>
      <c r="K245" s="8"/>
      <c r="L245" s="8"/>
      <c r="M245" s="8"/>
      <c r="N245" s="8"/>
      <c r="O245" s="8"/>
      <c r="P245" s="8"/>
      <c r="Q245" s="8" t="s">
        <v>7</v>
      </c>
      <c r="R245" s="19"/>
      <c r="S245" s="8"/>
      <c r="T245" s="7" t="str">
        <f>Tab_Data_Flows[[#This Row],[Flow_ID]]&amp;"_"&amp;"material_"&amp;Tab_Data_Flows[[#This Row],[Flow_Data_Year]]</f>
        <v>F___material_</v>
      </c>
      <c r="U245" s="16">
        <f t="shared" si="8"/>
        <v>0</v>
      </c>
      <c r="V245" s="8" t="s">
        <v>211</v>
      </c>
      <c r="W245" s="153">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3">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3">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30</v>
      </c>
      <c r="D246" s="10">
        <f>_xlfn.XLOOKUP(C246,Tab_Def_Flows[Flow_Name],Tab_Def_Flows[WC?],,0,)</f>
        <v>0</v>
      </c>
      <c r="E246" s="10">
        <f>_xlfn.XLOOKUP(C246,Tab_Def_Flows[Flow_Name],Tab_Def_Flows[DM?],,0,)</f>
        <v>0</v>
      </c>
      <c r="F246" s="10">
        <f>_xlfn.XLOOKUP(C246,Tab_Def_Flows[Flow_Name],Tab_Def_Flows[CC?],,0,)</f>
        <v>0</v>
      </c>
      <c r="G246" s="8"/>
      <c r="H246" s="26"/>
      <c r="I246" s="8"/>
      <c r="J246" s="18"/>
      <c r="K246" s="8"/>
      <c r="L246" s="8"/>
      <c r="M246" s="8"/>
      <c r="N246" s="8"/>
      <c r="O246" s="8"/>
      <c r="P246" s="8"/>
      <c r="Q246" s="8" t="s">
        <v>7</v>
      </c>
      <c r="R246" s="19"/>
      <c r="S246" s="8"/>
      <c r="T246" s="7" t="str">
        <f>Tab_Data_Flows[[#This Row],[Flow_ID]]&amp;"_"&amp;"material_"&amp;Tab_Data_Flows[[#This Row],[Flow_Data_Year]]</f>
        <v>F___material_</v>
      </c>
      <c r="U246" s="16">
        <f t="shared" si="8"/>
        <v>0</v>
      </c>
      <c r="V246" s="8" t="s">
        <v>211</v>
      </c>
      <c r="W246" s="153">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3">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3">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30</v>
      </c>
      <c r="D247" s="10">
        <f>_xlfn.XLOOKUP(C247,Tab_Def_Flows[Flow_Name],Tab_Def_Flows[WC?],,0,)</f>
        <v>0</v>
      </c>
      <c r="E247" s="10">
        <f>_xlfn.XLOOKUP(C247,Tab_Def_Flows[Flow_Name],Tab_Def_Flows[DM?],,0,)</f>
        <v>0</v>
      </c>
      <c r="F247" s="10">
        <f>_xlfn.XLOOKUP(C247,Tab_Def_Flows[Flow_Name],Tab_Def_Flows[CC?],,0,)</f>
        <v>0</v>
      </c>
      <c r="G247" s="8"/>
      <c r="H247" s="26"/>
      <c r="I247" s="8"/>
      <c r="J247" s="18"/>
      <c r="K247" s="8"/>
      <c r="L247" s="8"/>
      <c r="M247" s="8"/>
      <c r="N247" s="8"/>
      <c r="O247" s="8"/>
      <c r="P247" s="8"/>
      <c r="Q247" s="8" t="s">
        <v>7</v>
      </c>
      <c r="R247" s="19"/>
      <c r="S247" s="8"/>
      <c r="T247" s="7" t="str">
        <f>Tab_Data_Flows[[#This Row],[Flow_ID]]&amp;"_"&amp;"material_"&amp;Tab_Data_Flows[[#This Row],[Flow_Data_Year]]</f>
        <v>F___material_</v>
      </c>
      <c r="U247" s="16">
        <f t="shared" si="8"/>
        <v>0</v>
      </c>
      <c r="V247" s="8" t="s">
        <v>211</v>
      </c>
      <c r="W247" s="153">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3">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3">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30</v>
      </c>
      <c r="D248" s="10">
        <f>_xlfn.XLOOKUP(C248,Tab_Def_Flows[Flow_Name],Tab_Def_Flows[WC?],,0,)</f>
        <v>0</v>
      </c>
      <c r="E248" s="10">
        <f>_xlfn.XLOOKUP(C248,Tab_Def_Flows[Flow_Name],Tab_Def_Flows[DM?],,0,)</f>
        <v>0</v>
      </c>
      <c r="F248" s="10">
        <f>_xlfn.XLOOKUP(C248,Tab_Def_Flows[Flow_Name],Tab_Def_Flows[CC?],,0,)</f>
        <v>0</v>
      </c>
      <c r="G248" s="8"/>
      <c r="H248" s="26"/>
      <c r="I248" s="8"/>
      <c r="J248" s="18"/>
      <c r="K248" s="8"/>
      <c r="L248" s="8"/>
      <c r="M248" s="8"/>
      <c r="N248" s="8"/>
      <c r="O248" s="8"/>
      <c r="P248" s="8"/>
      <c r="Q248" s="8" t="s">
        <v>7</v>
      </c>
      <c r="R248" s="19"/>
      <c r="S248" s="8"/>
      <c r="T248" s="7" t="str">
        <f>Tab_Data_Flows[[#This Row],[Flow_ID]]&amp;"_"&amp;"material_"&amp;Tab_Data_Flows[[#This Row],[Flow_Data_Year]]</f>
        <v>F___material_</v>
      </c>
      <c r="U248" s="16">
        <f t="shared" si="8"/>
        <v>0</v>
      </c>
      <c r="V248" s="8" t="s">
        <v>211</v>
      </c>
      <c r="W248" s="153">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3">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3">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30</v>
      </c>
      <c r="D249" s="10">
        <f>_xlfn.XLOOKUP(C249,Tab_Def_Flows[Flow_Name],Tab_Def_Flows[WC?],,0,)</f>
        <v>0</v>
      </c>
      <c r="E249" s="10">
        <f>_xlfn.XLOOKUP(C249,Tab_Def_Flows[Flow_Name],Tab_Def_Flows[DM?],,0,)</f>
        <v>0</v>
      </c>
      <c r="F249" s="10">
        <f>_xlfn.XLOOKUP(C249,Tab_Def_Flows[Flow_Name],Tab_Def_Flows[CC?],,0,)</f>
        <v>0</v>
      </c>
      <c r="G249" s="8"/>
      <c r="H249" s="26"/>
      <c r="I249" s="8"/>
      <c r="J249" s="18"/>
      <c r="K249" s="8"/>
      <c r="L249" s="8"/>
      <c r="M249" s="8"/>
      <c r="N249" s="8"/>
      <c r="O249" s="8"/>
      <c r="P249" s="8"/>
      <c r="Q249" s="8" t="s">
        <v>7</v>
      </c>
      <c r="R249" s="19"/>
      <c r="S249" s="8"/>
      <c r="T249" s="7" t="str">
        <f>Tab_Data_Flows[[#This Row],[Flow_ID]]&amp;"_"&amp;"material_"&amp;Tab_Data_Flows[[#This Row],[Flow_Data_Year]]</f>
        <v>F___material_</v>
      </c>
      <c r="U249" s="16">
        <f t="shared" si="8"/>
        <v>0</v>
      </c>
      <c r="V249" s="8" t="s">
        <v>211</v>
      </c>
      <c r="W249" s="153">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3">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3">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30</v>
      </c>
      <c r="D250" s="10">
        <f>_xlfn.XLOOKUP(C250,Tab_Def_Flows[Flow_Name],Tab_Def_Flows[WC?],,0,)</f>
        <v>0</v>
      </c>
      <c r="E250" s="10">
        <f>_xlfn.XLOOKUP(C250,Tab_Def_Flows[Flow_Name],Tab_Def_Flows[DM?],,0,)</f>
        <v>0</v>
      </c>
      <c r="F250" s="10">
        <f>_xlfn.XLOOKUP(C250,Tab_Def_Flows[Flow_Name],Tab_Def_Flows[CC?],,0,)</f>
        <v>0</v>
      </c>
      <c r="G250" s="8"/>
      <c r="H250" s="26"/>
      <c r="I250" s="8"/>
      <c r="J250" s="18"/>
      <c r="K250" s="8"/>
      <c r="L250" s="8"/>
      <c r="M250" s="8"/>
      <c r="N250" s="8"/>
      <c r="O250" s="8"/>
      <c r="P250" s="8"/>
      <c r="Q250" s="8" t="s">
        <v>7</v>
      </c>
      <c r="R250" s="19"/>
      <c r="S250" s="8"/>
      <c r="T250" s="7" t="str">
        <f>Tab_Data_Flows[[#This Row],[Flow_ID]]&amp;"_"&amp;"material_"&amp;Tab_Data_Flows[[#This Row],[Flow_Data_Year]]</f>
        <v>F___material_</v>
      </c>
      <c r="U250" s="16">
        <f t="shared" si="8"/>
        <v>0</v>
      </c>
      <c r="V250" s="8" t="s">
        <v>211</v>
      </c>
      <c r="W250" s="153">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3">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3">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30</v>
      </c>
      <c r="D251" s="10">
        <f>_xlfn.XLOOKUP(C251,Tab_Def_Flows[Flow_Name],Tab_Def_Flows[WC?],,0,)</f>
        <v>0</v>
      </c>
      <c r="E251" s="10">
        <f>_xlfn.XLOOKUP(C251,Tab_Def_Flows[Flow_Name],Tab_Def_Flows[DM?],,0,)</f>
        <v>0</v>
      </c>
      <c r="F251" s="10">
        <f>_xlfn.XLOOKUP(C251,Tab_Def_Flows[Flow_Name],Tab_Def_Flows[CC?],,0,)</f>
        <v>0</v>
      </c>
      <c r="G251" s="8"/>
      <c r="H251" s="26"/>
      <c r="I251" s="8"/>
      <c r="J251" s="18"/>
      <c r="K251" s="8"/>
      <c r="L251" s="8"/>
      <c r="M251" s="8"/>
      <c r="N251" s="8"/>
      <c r="O251" s="8"/>
      <c r="P251" s="8"/>
      <c r="Q251" s="8" t="s">
        <v>7</v>
      </c>
      <c r="R251" s="19"/>
      <c r="S251" s="8"/>
      <c r="T251" s="7" t="str">
        <f>Tab_Data_Flows[[#This Row],[Flow_ID]]&amp;"_"&amp;"material_"&amp;Tab_Data_Flows[[#This Row],[Flow_Data_Year]]</f>
        <v>F___material_</v>
      </c>
      <c r="U251" s="16">
        <f t="shared" si="8"/>
        <v>0</v>
      </c>
      <c r="V251" s="8" t="s">
        <v>211</v>
      </c>
      <c r="W251" s="153">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3">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3">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30</v>
      </c>
      <c r="D252" s="10">
        <f>_xlfn.XLOOKUP(C252,Tab_Def_Flows[Flow_Name],Tab_Def_Flows[WC?],,0,)</f>
        <v>0</v>
      </c>
      <c r="E252" s="10">
        <f>_xlfn.XLOOKUP(C252,Tab_Def_Flows[Flow_Name],Tab_Def_Flows[DM?],,0,)</f>
        <v>0</v>
      </c>
      <c r="F252" s="10">
        <f>_xlfn.XLOOKUP(C252,Tab_Def_Flows[Flow_Name],Tab_Def_Flows[CC?],,0,)</f>
        <v>0</v>
      </c>
      <c r="G252" s="8"/>
      <c r="H252" s="26"/>
      <c r="I252" s="8"/>
      <c r="J252" s="18"/>
      <c r="K252" s="8"/>
      <c r="L252" s="8"/>
      <c r="M252" s="8"/>
      <c r="N252" s="8"/>
      <c r="O252" s="8"/>
      <c r="P252" s="8"/>
      <c r="Q252" s="8" t="s">
        <v>7</v>
      </c>
      <c r="R252" s="19"/>
      <c r="S252" s="8"/>
      <c r="T252" s="7" t="str">
        <f>Tab_Data_Flows[[#This Row],[Flow_ID]]&amp;"_"&amp;"material_"&amp;Tab_Data_Flows[[#This Row],[Flow_Data_Year]]</f>
        <v>F___material_</v>
      </c>
      <c r="U252" s="16">
        <f t="shared" si="8"/>
        <v>0</v>
      </c>
      <c r="V252" s="8" t="s">
        <v>211</v>
      </c>
      <c r="W252" s="153">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3">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3">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30</v>
      </c>
      <c r="D253" s="10">
        <f>_xlfn.XLOOKUP(C253,Tab_Def_Flows[Flow_Name],Tab_Def_Flows[WC?],,0,)</f>
        <v>0</v>
      </c>
      <c r="E253" s="10">
        <f>_xlfn.XLOOKUP(C253,Tab_Def_Flows[Flow_Name],Tab_Def_Flows[DM?],,0,)</f>
        <v>0</v>
      </c>
      <c r="F253" s="10">
        <f>_xlfn.XLOOKUP(C253,Tab_Def_Flows[Flow_Name],Tab_Def_Flows[CC?],,0,)</f>
        <v>0</v>
      </c>
      <c r="G253" s="8"/>
      <c r="H253" s="26"/>
      <c r="I253" s="8"/>
      <c r="J253" s="18"/>
      <c r="K253" s="8"/>
      <c r="L253" s="8"/>
      <c r="M253" s="8"/>
      <c r="N253" s="8"/>
      <c r="O253" s="8"/>
      <c r="P253" s="8"/>
      <c r="Q253" s="8" t="s">
        <v>7</v>
      </c>
      <c r="R253" s="19"/>
      <c r="S253" s="8"/>
      <c r="T253" s="7" t="str">
        <f>Tab_Data_Flows[[#This Row],[Flow_ID]]&amp;"_"&amp;"material_"&amp;Tab_Data_Flows[[#This Row],[Flow_Data_Year]]</f>
        <v>F___material_</v>
      </c>
      <c r="U253" s="16">
        <f t="shared" si="8"/>
        <v>0</v>
      </c>
      <c r="V253" s="8" t="s">
        <v>211</v>
      </c>
      <c r="W253" s="153">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3">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3">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30</v>
      </c>
      <c r="D254" s="10">
        <f>_xlfn.XLOOKUP(C254,Tab_Def_Flows[Flow_Name],Tab_Def_Flows[WC?],,0,)</f>
        <v>0</v>
      </c>
      <c r="E254" s="10">
        <f>_xlfn.XLOOKUP(C254,Tab_Def_Flows[Flow_Name],Tab_Def_Flows[DM?],,0,)</f>
        <v>0</v>
      </c>
      <c r="F254" s="10">
        <f>_xlfn.XLOOKUP(C254,Tab_Def_Flows[Flow_Name],Tab_Def_Flows[CC?],,0,)</f>
        <v>0</v>
      </c>
      <c r="G254" s="8"/>
      <c r="H254" s="26"/>
      <c r="I254" s="8"/>
      <c r="J254" s="18"/>
      <c r="K254" s="8"/>
      <c r="L254" s="8"/>
      <c r="M254" s="8"/>
      <c r="N254" s="8"/>
      <c r="O254" s="8"/>
      <c r="P254" s="8"/>
      <c r="Q254" s="8" t="s">
        <v>7</v>
      </c>
      <c r="R254" s="19"/>
      <c r="S254" s="8"/>
      <c r="T254" s="7" t="str">
        <f>Tab_Data_Flows[[#This Row],[Flow_ID]]&amp;"_"&amp;"material_"&amp;Tab_Data_Flows[[#This Row],[Flow_Data_Year]]</f>
        <v>F___material_</v>
      </c>
      <c r="U254" s="16">
        <f t="shared" si="8"/>
        <v>0</v>
      </c>
      <c r="V254" s="8" t="s">
        <v>211</v>
      </c>
      <c r="W254" s="153">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3">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3">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30</v>
      </c>
      <c r="D255" s="10">
        <f>_xlfn.XLOOKUP(C255,Tab_Def_Flows[Flow_Name],Tab_Def_Flows[WC?],,0,)</f>
        <v>0</v>
      </c>
      <c r="E255" s="10">
        <f>_xlfn.XLOOKUP(C255,Tab_Def_Flows[Flow_Name],Tab_Def_Flows[DM?],,0,)</f>
        <v>0</v>
      </c>
      <c r="F255" s="10">
        <f>_xlfn.XLOOKUP(C255,Tab_Def_Flows[Flow_Name],Tab_Def_Flows[CC?],,0,)</f>
        <v>0</v>
      </c>
      <c r="G255" s="8"/>
      <c r="H255" s="26"/>
      <c r="I255" s="8"/>
      <c r="J255" s="18"/>
      <c r="K255" s="8"/>
      <c r="L255" s="8"/>
      <c r="M255" s="8"/>
      <c r="N255" s="8"/>
      <c r="O255" s="8"/>
      <c r="P255" s="8"/>
      <c r="Q255" s="8" t="s">
        <v>7</v>
      </c>
      <c r="R255" s="19"/>
      <c r="S255" s="8"/>
      <c r="T255" s="7" t="str">
        <f>Tab_Data_Flows[[#This Row],[Flow_ID]]&amp;"_"&amp;"material_"&amp;Tab_Data_Flows[[#This Row],[Flow_Data_Year]]</f>
        <v>F___material_</v>
      </c>
      <c r="U255" s="16">
        <f t="shared" si="8"/>
        <v>0</v>
      </c>
      <c r="V255" s="8" t="s">
        <v>211</v>
      </c>
      <c r="W255" s="153">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3">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3">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30</v>
      </c>
      <c r="D256" s="10">
        <f>_xlfn.XLOOKUP(C256,Tab_Def_Flows[Flow_Name],Tab_Def_Flows[WC?],,0,)</f>
        <v>0</v>
      </c>
      <c r="E256" s="10">
        <f>_xlfn.XLOOKUP(C256,Tab_Def_Flows[Flow_Name],Tab_Def_Flows[DM?],,0,)</f>
        <v>0</v>
      </c>
      <c r="F256" s="10">
        <f>_xlfn.XLOOKUP(C256,Tab_Def_Flows[Flow_Name],Tab_Def_Flows[CC?],,0,)</f>
        <v>0</v>
      </c>
      <c r="G256" s="8"/>
      <c r="H256" s="26"/>
      <c r="I256" s="8"/>
      <c r="J256" s="18"/>
      <c r="K256" s="8"/>
      <c r="L256" s="8"/>
      <c r="M256" s="8"/>
      <c r="N256" s="8"/>
      <c r="O256" s="8"/>
      <c r="P256" s="8"/>
      <c r="Q256" s="8" t="s">
        <v>7</v>
      </c>
      <c r="R256" s="19"/>
      <c r="S256" s="8"/>
      <c r="T256" s="7" t="str">
        <f>Tab_Data_Flows[[#This Row],[Flow_ID]]&amp;"_"&amp;"material_"&amp;Tab_Data_Flows[[#This Row],[Flow_Data_Year]]</f>
        <v>F___material_</v>
      </c>
      <c r="U256" s="16">
        <f t="shared" si="8"/>
        <v>0</v>
      </c>
      <c r="V256" s="8" t="s">
        <v>211</v>
      </c>
      <c r="W256" s="153">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3">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3">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30</v>
      </c>
      <c r="D257" s="10">
        <f>_xlfn.XLOOKUP(C257,Tab_Def_Flows[Flow_Name],Tab_Def_Flows[WC?],,0,)</f>
        <v>0</v>
      </c>
      <c r="E257" s="10">
        <f>_xlfn.XLOOKUP(C257,Tab_Def_Flows[Flow_Name],Tab_Def_Flows[DM?],,0,)</f>
        <v>0</v>
      </c>
      <c r="F257" s="10">
        <f>_xlfn.XLOOKUP(C257,Tab_Def_Flows[Flow_Name],Tab_Def_Flows[CC?],,0,)</f>
        <v>0</v>
      </c>
      <c r="G257" s="8"/>
      <c r="H257" s="26"/>
      <c r="I257" s="8"/>
      <c r="J257" s="18"/>
      <c r="K257" s="8"/>
      <c r="L257" s="8"/>
      <c r="M257" s="8"/>
      <c r="N257" s="8"/>
      <c r="O257" s="8"/>
      <c r="P257" s="8"/>
      <c r="Q257" s="8" t="s">
        <v>7</v>
      </c>
      <c r="R257" s="19"/>
      <c r="S257" s="8"/>
      <c r="T257" s="7" t="str">
        <f>Tab_Data_Flows[[#This Row],[Flow_ID]]&amp;"_"&amp;"material_"&amp;Tab_Data_Flows[[#This Row],[Flow_Data_Year]]</f>
        <v>F___material_</v>
      </c>
      <c r="U257" s="16">
        <f t="shared" si="8"/>
        <v>0</v>
      </c>
      <c r="V257" s="8" t="s">
        <v>211</v>
      </c>
      <c r="W257" s="153">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3">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3">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30</v>
      </c>
      <c r="D258" s="10">
        <f>_xlfn.XLOOKUP(C258,Tab_Def_Flows[Flow_Name],Tab_Def_Flows[WC?],,0,)</f>
        <v>0</v>
      </c>
      <c r="E258" s="10">
        <f>_xlfn.XLOOKUP(C258,Tab_Def_Flows[Flow_Name],Tab_Def_Flows[DM?],,0,)</f>
        <v>0</v>
      </c>
      <c r="F258" s="10">
        <f>_xlfn.XLOOKUP(C258,Tab_Def_Flows[Flow_Name],Tab_Def_Flows[CC?],,0,)</f>
        <v>0</v>
      </c>
      <c r="G258" s="8"/>
      <c r="H258" s="26"/>
      <c r="I258" s="8"/>
      <c r="J258" s="18"/>
      <c r="K258" s="8"/>
      <c r="L258" s="8"/>
      <c r="M258" s="8"/>
      <c r="N258" s="8"/>
      <c r="O258" s="8"/>
      <c r="P258" s="8"/>
      <c r="Q258" s="8" t="s">
        <v>7</v>
      </c>
      <c r="R258" s="19"/>
      <c r="S258" s="8"/>
      <c r="T258" s="7" t="str">
        <f>Tab_Data_Flows[[#This Row],[Flow_ID]]&amp;"_"&amp;"material_"&amp;Tab_Data_Flows[[#This Row],[Flow_Data_Year]]</f>
        <v>F___material_</v>
      </c>
      <c r="U258" s="16">
        <f t="shared" si="8"/>
        <v>0</v>
      </c>
      <c r="V258" s="8" t="s">
        <v>211</v>
      </c>
      <c r="W258" s="153">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3">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3">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30</v>
      </c>
      <c r="D259" s="10">
        <f>_xlfn.XLOOKUP(C259,Tab_Def_Flows[Flow_Name],Tab_Def_Flows[WC?],,0,)</f>
        <v>0</v>
      </c>
      <c r="E259" s="10">
        <f>_xlfn.XLOOKUP(C259,Tab_Def_Flows[Flow_Name],Tab_Def_Flows[DM?],,0,)</f>
        <v>0</v>
      </c>
      <c r="F259" s="10">
        <f>_xlfn.XLOOKUP(C259,Tab_Def_Flows[Flow_Name],Tab_Def_Flows[CC?],,0,)</f>
        <v>0</v>
      </c>
      <c r="G259" s="8"/>
      <c r="H259" s="26"/>
      <c r="I259" s="8"/>
      <c r="J259" s="18"/>
      <c r="K259" s="8"/>
      <c r="L259" s="8"/>
      <c r="M259" s="8"/>
      <c r="N259" s="8"/>
      <c r="O259" s="8"/>
      <c r="P259" s="8"/>
      <c r="Q259" s="8" t="s">
        <v>7</v>
      </c>
      <c r="R259" s="19"/>
      <c r="S259" s="8"/>
      <c r="T259" s="7" t="str">
        <f>Tab_Data_Flows[[#This Row],[Flow_ID]]&amp;"_"&amp;"material_"&amp;Tab_Data_Flows[[#This Row],[Flow_Data_Year]]</f>
        <v>F___material_</v>
      </c>
      <c r="U259" s="16">
        <f t="shared" ref="U259:U280" si="10">IF(Q259="no",H259,H259*R259)</f>
        <v>0</v>
      </c>
      <c r="V259" s="8" t="s">
        <v>211</v>
      </c>
      <c r="W259" s="153">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3">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3">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30</v>
      </c>
      <c r="D260" s="10">
        <f>_xlfn.XLOOKUP(C260,Tab_Def_Flows[Flow_Name],Tab_Def_Flows[WC?],,0,)</f>
        <v>0</v>
      </c>
      <c r="E260" s="10">
        <f>_xlfn.XLOOKUP(C260,Tab_Def_Flows[Flow_Name],Tab_Def_Flows[DM?],,0,)</f>
        <v>0</v>
      </c>
      <c r="F260" s="10">
        <f>_xlfn.XLOOKUP(C260,Tab_Def_Flows[Flow_Name],Tab_Def_Flows[CC?],,0,)</f>
        <v>0</v>
      </c>
      <c r="G260" s="8"/>
      <c r="H260" s="26"/>
      <c r="I260" s="8"/>
      <c r="J260" s="18"/>
      <c r="K260" s="8"/>
      <c r="L260" s="8"/>
      <c r="M260" s="8"/>
      <c r="N260" s="8"/>
      <c r="O260" s="8"/>
      <c r="P260" s="8"/>
      <c r="Q260" s="8" t="s">
        <v>7</v>
      </c>
      <c r="R260" s="19"/>
      <c r="S260" s="8"/>
      <c r="T260" s="7" t="str">
        <f>Tab_Data_Flows[[#This Row],[Flow_ID]]&amp;"_"&amp;"material_"&amp;Tab_Data_Flows[[#This Row],[Flow_Data_Year]]</f>
        <v>F___material_</v>
      </c>
      <c r="U260" s="16">
        <f t="shared" si="10"/>
        <v>0</v>
      </c>
      <c r="V260" s="8" t="s">
        <v>211</v>
      </c>
      <c r="W260" s="153">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3">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3">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30</v>
      </c>
      <c r="D261" s="10">
        <f>_xlfn.XLOOKUP(C261,Tab_Def_Flows[Flow_Name],Tab_Def_Flows[WC?],,0,)</f>
        <v>0</v>
      </c>
      <c r="E261" s="10">
        <f>_xlfn.XLOOKUP(C261,Tab_Def_Flows[Flow_Name],Tab_Def_Flows[DM?],,0,)</f>
        <v>0</v>
      </c>
      <c r="F261" s="10">
        <f>_xlfn.XLOOKUP(C261,Tab_Def_Flows[Flow_Name],Tab_Def_Flows[CC?],,0,)</f>
        <v>0</v>
      </c>
      <c r="G261" s="8"/>
      <c r="H261" s="26"/>
      <c r="I261" s="8"/>
      <c r="J261" s="18"/>
      <c r="K261" s="8"/>
      <c r="L261" s="8"/>
      <c r="M261" s="8"/>
      <c r="N261" s="8"/>
      <c r="O261" s="8"/>
      <c r="P261" s="8"/>
      <c r="Q261" s="8" t="s">
        <v>7</v>
      </c>
      <c r="R261" s="19"/>
      <c r="S261" s="8"/>
      <c r="T261" s="7" t="str">
        <f>Tab_Data_Flows[[#This Row],[Flow_ID]]&amp;"_"&amp;"material_"&amp;Tab_Data_Flows[[#This Row],[Flow_Data_Year]]</f>
        <v>F___material_</v>
      </c>
      <c r="U261" s="16">
        <f t="shared" si="10"/>
        <v>0</v>
      </c>
      <c r="V261" s="8" t="s">
        <v>211</v>
      </c>
      <c r="W261" s="153">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3">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3">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30</v>
      </c>
      <c r="D262" s="10">
        <f>_xlfn.XLOOKUP(C262,Tab_Def_Flows[Flow_Name],Tab_Def_Flows[WC?],,0,)</f>
        <v>0</v>
      </c>
      <c r="E262" s="10">
        <f>_xlfn.XLOOKUP(C262,Tab_Def_Flows[Flow_Name],Tab_Def_Flows[DM?],,0,)</f>
        <v>0</v>
      </c>
      <c r="F262" s="10">
        <f>_xlfn.XLOOKUP(C262,Tab_Def_Flows[Flow_Name],Tab_Def_Flows[CC?],,0,)</f>
        <v>0</v>
      </c>
      <c r="G262" s="8"/>
      <c r="H262" s="26"/>
      <c r="I262" s="8"/>
      <c r="J262" s="18"/>
      <c r="K262" s="8"/>
      <c r="L262" s="8"/>
      <c r="M262" s="8"/>
      <c r="N262" s="8"/>
      <c r="O262" s="8"/>
      <c r="P262" s="8"/>
      <c r="Q262" s="8" t="s">
        <v>7</v>
      </c>
      <c r="R262" s="19"/>
      <c r="S262" s="8"/>
      <c r="T262" s="7" t="str">
        <f>Tab_Data_Flows[[#This Row],[Flow_ID]]&amp;"_"&amp;"material_"&amp;Tab_Data_Flows[[#This Row],[Flow_Data_Year]]</f>
        <v>F___material_</v>
      </c>
      <c r="U262" s="16">
        <f t="shared" si="10"/>
        <v>0</v>
      </c>
      <c r="V262" s="8" t="s">
        <v>211</v>
      </c>
      <c r="W262" s="153">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3">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3">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30</v>
      </c>
      <c r="D263" s="10">
        <f>_xlfn.XLOOKUP(C263,Tab_Def_Flows[Flow_Name],Tab_Def_Flows[WC?],,0,)</f>
        <v>0</v>
      </c>
      <c r="E263" s="10">
        <f>_xlfn.XLOOKUP(C263,Tab_Def_Flows[Flow_Name],Tab_Def_Flows[DM?],,0,)</f>
        <v>0</v>
      </c>
      <c r="F263" s="10">
        <f>_xlfn.XLOOKUP(C263,Tab_Def_Flows[Flow_Name],Tab_Def_Flows[CC?],,0,)</f>
        <v>0</v>
      </c>
      <c r="G263" s="8"/>
      <c r="H263" s="26"/>
      <c r="I263" s="8"/>
      <c r="J263" s="18"/>
      <c r="K263" s="8"/>
      <c r="L263" s="8"/>
      <c r="M263" s="8"/>
      <c r="N263" s="8"/>
      <c r="O263" s="8"/>
      <c r="P263" s="8"/>
      <c r="Q263" s="8" t="s">
        <v>7</v>
      </c>
      <c r="R263" s="19"/>
      <c r="S263" s="8"/>
      <c r="T263" s="7" t="str">
        <f>Tab_Data_Flows[[#This Row],[Flow_ID]]&amp;"_"&amp;"material_"&amp;Tab_Data_Flows[[#This Row],[Flow_Data_Year]]</f>
        <v>F___material_</v>
      </c>
      <c r="U263" s="16">
        <f t="shared" si="10"/>
        <v>0</v>
      </c>
      <c r="V263" s="8" t="s">
        <v>211</v>
      </c>
      <c r="W263" s="153">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3">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3">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30</v>
      </c>
      <c r="D264" s="10">
        <f>_xlfn.XLOOKUP(C264,Tab_Def_Flows[Flow_Name],Tab_Def_Flows[WC?],,0,)</f>
        <v>0</v>
      </c>
      <c r="E264" s="10">
        <f>_xlfn.XLOOKUP(C264,Tab_Def_Flows[Flow_Name],Tab_Def_Flows[DM?],,0,)</f>
        <v>0</v>
      </c>
      <c r="F264" s="10">
        <f>_xlfn.XLOOKUP(C264,Tab_Def_Flows[Flow_Name],Tab_Def_Flows[CC?],,0,)</f>
        <v>0</v>
      </c>
      <c r="G264" s="8"/>
      <c r="H264" s="26"/>
      <c r="I264" s="8"/>
      <c r="J264" s="18"/>
      <c r="K264" s="8"/>
      <c r="L264" s="13"/>
      <c r="M264" s="8"/>
      <c r="N264" s="8"/>
      <c r="O264" s="8"/>
      <c r="P264" s="8"/>
      <c r="Q264" s="8" t="s">
        <v>7</v>
      </c>
      <c r="R264" s="19"/>
      <c r="S264" s="8"/>
      <c r="T264" s="7" t="str">
        <f>Tab_Data_Flows[[#This Row],[Flow_ID]]&amp;"_"&amp;"material_"&amp;Tab_Data_Flows[[#This Row],[Flow_Data_Year]]</f>
        <v>F___material_</v>
      </c>
      <c r="U264" s="16">
        <f t="shared" si="10"/>
        <v>0</v>
      </c>
      <c r="V264" s="8" t="s">
        <v>211</v>
      </c>
      <c r="W264" s="153">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3">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3">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30</v>
      </c>
      <c r="D265" s="10">
        <f>_xlfn.XLOOKUP(C265,Tab_Def_Flows[Flow_Name],Tab_Def_Flows[WC?],,0,)</f>
        <v>0</v>
      </c>
      <c r="E265" s="10">
        <f>_xlfn.XLOOKUP(C265,Tab_Def_Flows[Flow_Name],Tab_Def_Flows[DM?],,0,)</f>
        <v>0</v>
      </c>
      <c r="F265" s="10">
        <f>_xlfn.XLOOKUP(C265,Tab_Def_Flows[Flow_Name],Tab_Def_Flows[CC?],,0,)</f>
        <v>0</v>
      </c>
      <c r="G265" s="8"/>
      <c r="H265" s="26"/>
      <c r="I265" s="8"/>
      <c r="J265" s="18"/>
      <c r="K265" s="8"/>
      <c r="L265" s="13"/>
      <c r="M265" s="8"/>
      <c r="N265" s="8"/>
      <c r="O265" s="8"/>
      <c r="P265" s="8"/>
      <c r="Q265" s="8" t="s">
        <v>7</v>
      </c>
      <c r="R265" s="19"/>
      <c r="S265" s="8"/>
      <c r="T265" s="7" t="str">
        <f>Tab_Data_Flows[[#This Row],[Flow_ID]]&amp;"_"&amp;"material_"&amp;Tab_Data_Flows[[#This Row],[Flow_Data_Year]]</f>
        <v>F___material_</v>
      </c>
      <c r="U265" s="16">
        <f t="shared" si="10"/>
        <v>0</v>
      </c>
      <c r="V265" s="8" t="s">
        <v>211</v>
      </c>
      <c r="W265" s="153">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3">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3">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30</v>
      </c>
      <c r="D266" s="10">
        <f>_xlfn.XLOOKUP(C266,Tab_Def_Flows[Flow_Name],Tab_Def_Flows[WC?],,0,)</f>
        <v>0</v>
      </c>
      <c r="E266" s="10">
        <f>_xlfn.XLOOKUP(C266,Tab_Def_Flows[Flow_Name],Tab_Def_Flows[DM?],,0,)</f>
        <v>0</v>
      </c>
      <c r="F266" s="10">
        <f>_xlfn.XLOOKUP(C266,Tab_Def_Flows[Flow_Name],Tab_Def_Flows[CC?],,0,)</f>
        <v>0</v>
      </c>
      <c r="G266" s="8"/>
      <c r="H266" s="26"/>
      <c r="I266" s="8"/>
      <c r="J266" s="18"/>
      <c r="K266" s="8"/>
      <c r="L266" s="13"/>
      <c r="M266" s="8"/>
      <c r="N266" s="8"/>
      <c r="O266" s="8"/>
      <c r="P266" s="8"/>
      <c r="Q266" s="8" t="s">
        <v>7</v>
      </c>
      <c r="R266" s="19"/>
      <c r="S266" s="8"/>
      <c r="T266" s="7" t="str">
        <f>Tab_Data_Flows[[#This Row],[Flow_ID]]&amp;"_"&amp;"material_"&amp;Tab_Data_Flows[[#This Row],[Flow_Data_Year]]</f>
        <v>F___material_</v>
      </c>
      <c r="U266" s="16">
        <f t="shared" si="10"/>
        <v>0</v>
      </c>
      <c r="V266" s="8" t="s">
        <v>211</v>
      </c>
      <c r="W266" s="153">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3">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3">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30</v>
      </c>
      <c r="D267" s="10">
        <f>_xlfn.XLOOKUP(C267,Tab_Def_Flows[Flow_Name],Tab_Def_Flows[WC?],,0,)</f>
        <v>0</v>
      </c>
      <c r="E267" s="10">
        <f>_xlfn.XLOOKUP(C267,Tab_Def_Flows[Flow_Name],Tab_Def_Flows[DM?],,0,)</f>
        <v>0</v>
      </c>
      <c r="F267" s="10">
        <f>_xlfn.XLOOKUP(C267,Tab_Def_Flows[Flow_Name],Tab_Def_Flows[CC?],,0,)</f>
        <v>0</v>
      </c>
      <c r="G267" s="8"/>
      <c r="H267" s="26"/>
      <c r="I267" s="8"/>
      <c r="J267" s="18"/>
      <c r="K267" s="8"/>
      <c r="L267" s="13"/>
      <c r="M267" s="8"/>
      <c r="N267" s="8"/>
      <c r="O267" s="8"/>
      <c r="P267" s="8"/>
      <c r="Q267" s="8" t="s">
        <v>7</v>
      </c>
      <c r="R267" s="19"/>
      <c r="S267" s="8"/>
      <c r="T267" s="7" t="str">
        <f>Tab_Data_Flows[[#This Row],[Flow_ID]]&amp;"_"&amp;"material_"&amp;Tab_Data_Flows[[#This Row],[Flow_Data_Year]]</f>
        <v>F___material_</v>
      </c>
      <c r="U267" s="16">
        <f t="shared" si="10"/>
        <v>0</v>
      </c>
      <c r="V267" s="8" t="s">
        <v>211</v>
      </c>
      <c r="W267" s="153">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3">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3">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30</v>
      </c>
      <c r="D268" s="10">
        <f>_xlfn.XLOOKUP(C268,Tab_Def_Flows[Flow_Name],Tab_Def_Flows[WC?],,0,)</f>
        <v>0</v>
      </c>
      <c r="E268" s="10">
        <f>_xlfn.XLOOKUP(C268,Tab_Def_Flows[Flow_Name],Tab_Def_Flows[DM?],,0,)</f>
        <v>0</v>
      </c>
      <c r="F268" s="10">
        <f>_xlfn.XLOOKUP(C268,Tab_Def_Flows[Flow_Name],Tab_Def_Flows[CC?],,0,)</f>
        <v>0</v>
      </c>
      <c r="G268" s="8"/>
      <c r="H268" s="26"/>
      <c r="I268" s="8"/>
      <c r="J268" s="18"/>
      <c r="K268" s="8"/>
      <c r="L268" s="13"/>
      <c r="M268" s="8"/>
      <c r="N268" s="8"/>
      <c r="O268" s="8"/>
      <c r="P268" s="8"/>
      <c r="Q268" s="8" t="s">
        <v>7</v>
      </c>
      <c r="R268" s="19"/>
      <c r="S268" s="8"/>
      <c r="T268" s="7" t="str">
        <f>Tab_Data_Flows[[#This Row],[Flow_ID]]&amp;"_"&amp;"material_"&amp;Tab_Data_Flows[[#This Row],[Flow_Data_Year]]</f>
        <v>F___material_</v>
      </c>
      <c r="U268" s="16">
        <f t="shared" si="10"/>
        <v>0</v>
      </c>
      <c r="V268" s="8" t="s">
        <v>211</v>
      </c>
      <c r="W268" s="153">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3">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3">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30</v>
      </c>
      <c r="D269" s="10">
        <f>_xlfn.XLOOKUP(C269,Tab_Def_Flows[Flow_Name],Tab_Def_Flows[WC?],,0,)</f>
        <v>0</v>
      </c>
      <c r="E269" s="10">
        <f>_xlfn.XLOOKUP(C269,Tab_Def_Flows[Flow_Name],Tab_Def_Flows[DM?],,0,)</f>
        <v>0</v>
      </c>
      <c r="F269" s="10">
        <f>_xlfn.XLOOKUP(C269,Tab_Def_Flows[Flow_Name],Tab_Def_Flows[CC?],,0,)</f>
        <v>0</v>
      </c>
      <c r="G269" s="8"/>
      <c r="H269" s="26"/>
      <c r="I269" s="8"/>
      <c r="J269" s="18"/>
      <c r="K269" s="8"/>
      <c r="L269" s="13"/>
      <c r="M269" s="8"/>
      <c r="N269" s="8"/>
      <c r="O269" s="8"/>
      <c r="P269" s="8"/>
      <c r="Q269" s="8" t="s">
        <v>7</v>
      </c>
      <c r="R269" s="19"/>
      <c r="S269" s="8"/>
      <c r="T269" s="7" t="str">
        <f>Tab_Data_Flows[[#This Row],[Flow_ID]]&amp;"_"&amp;"material_"&amp;Tab_Data_Flows[[#This Row],[Flow_Data_Year]]</f>
        <v>F___material_</v>
      </c>
      <c r="U269" s="16">
        <f t="shared" si="10"/>
        <v>0</v>
      </c>
      <c r="V269" s="8" t="s">
        <v>211</v>
      </c>
      <c r="W269" s="153">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3">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3">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30</v>
      </c>
      <c r="D270" s="10">
        <f>_xlfn.XLOOKUP(C270,Tab_Def_Flows[Flow_Name],Tab_Def_Flows[WC?],,0,)</f>
        <v>0</v>
      </c>
      <c r="E270" s="10">
        <f>_xlfn.XLOOKUP(C270,Tab_Def_Flows[Flow_Name],Tab_Def_Flows[DM?],,0,)</f>
        <v>0</v>
      </c>
      <c r="F270" s="10">
        <f>_xlfn.XLOOKUP(C270,Tab_Def_Flows[Flow_Name],Tab_Def_Flows[CC?],,0,)</f>
        <v>0</v>
      </c>
      <c r="G270" s="8"/>
      <c r="H270" s="26"/>
      <c r="I270" s="8"/>
      <c r="J270" s="18"/>
      <c r="K270" s="8"/>
      <c r="L270" s="13"/>
      <c r="M270" s="8"/>
      <c r="N270" s="8"/>
      <c r="O270" s="8"/>
      <c r="P270" s="8"/>
      <c r="Q270" s="8" t="s">
        <v>7</v>
      </c>
      <c r="R270" s="19"/>
      <c r="S270" s="8"/>
      <c r="T270" s="7" t="str">
        <f>Tab_Data_Flows[[#This Row],[Flow_ID]]&amp;"_"&amp;"material_"&amp;Tab_Data_Flows[[#This Row],[Flow_Data_Year]]</f>
        <v>F___material_</v>
      </c>
      <c r="U270" s="16">
        <f t="shared" si="10"/>
        <v>0</v>
      </c>
      <c r="V270" s="8" t="s">
        <v>211</v>
      </c>
      <c r="W270" s="153">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3">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3">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30</v>
      </c>
      <c r="D271" s="10">
        <f>_xlfn.XLOOKUP(C271,Tab_Def_Flows[Flow_Name],Tab_Def_Flows[WC?],,0,)</f>
        <v>0</v>
      </c>
      <c r="E271" s="10">
        <f>_xlfn.XLOOKUP(C271,Tab_Def_Flows[Flow_Name],Tab_Def_Flows[DM?],,0,)</f>
        <v>0</v>
      </c>
      <c r="F271" s="10">
        <f>_xlfn.XLOOKUP(C271,Tab_Def_Flows[Flow_Name],Tab_Def_Flows[CC?],,0,)</f>
        <v>0</v>
      </c>
      <c r="G271" s="8"/>
      <c r="H271" s="26"/>
      <c r="I271" s="8"/>
      <c r="J271" s="18"/>
      <c r="K271" s="8"/>
      <c r="L271" s="13"/>
      <c r="M271" s="8"/>
      <c r="N271" s="8"/>
      <c r="O271" s="8"/>
      <c r="P271" s="8"/>
      <c r="Q271" s="8" t="s">
        <v>7</v>
      </c>
      <c r="R271" s="19"/>
      <c r="S271" s="8"/>
      <c r="T271" s="7" t="str">
        <f>Tab_Data_Flows[[#This Row],[Flow_ID]]&amp;"_"&amp;"material_"&amp;Tab_Data_Flows[[#This Row],[Flow_Data_Year]]</f>
        <v>F___material_</v>
      </c>
      <c r="U271" s="16">
        <f t="shared" si="10"/>
        <v>0</v>
      </c>
      <c r="V271" s="8" t="s">
        <v>211</v>
      </c>
      <c r="W271" s="153">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3">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3">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30</v>
      </c>
      <c r="D272" s="10">
        <f>_xlfn.XLOOKUP(C272,Tab_Def_Flows[Flow_Name],Tab_Def_Flows[WC?],,0,)</f>
        <v>0</v>
      </c>
      <c r="E272" s="10">
        <f>_xlfn.XLOOKUP(C272,Tab_Def_Flows[Flow_Name],Tab_Def_Flows[DM?],,0,)</f>
        <v>0</v>
      </c>
      <c r="F272" s="10">
        <f>_xlfn.XLOOKUP(C272,Tab_Def_Flows[Flow_Name],Tab_Def_Flows[CC?],,0,)</f>
        <v>0</v>
      </c>
      <c r="G272" s="8"/>
      <c r="H272" s="26"/>
      <c r="I272" s="8"/>
      <c r="J272" s="18"/>
      <c r="K272" s="8"/>
      <c r="L272" s="13"/>
      <c r="M272" s="8"/>
      <c r="N272" s="8"/>
      <c r="O272" s="8"/>
      <c r="P272" s="8"/>
      <c r="Q272" s="8" t="s">
        <v>7</v>
      </c>
      <c r="R272" s="19"/>
      <c r="S272" s="8"/>
      <c r="T272" s="7" t="str">
        <f>Tab_Data_Flows[[#This Row],[Flow_ID]]&amp;"_"&amp;"material_"&amp;Tab_Data_Flows[[#This Row],[Flow_Data_Year]]</f>
        <v>F___material_</v>
      </c>
      <c r="U272" s="16">
        <f t="shared" si="10"/>
        <v>0</v>
      </c>
      <c r="V272" s="8" t="s">
        <v>211</v>
      </c>
      <c r="W272" s="153">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3">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3">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30</v>
      </c>
      <c r="D273" s="10">
        <f>_xlfn.XLOOKUP(C273,Tab_Def_Flows[Flow_Name],Tab_Def_Flows[WC?],,0,)</f>
        <v>0</v>
      </c>
      <c r="E273" s="10">
        <f>_xlfn.XLOOKUP(C273,Tab_Def_Flows[Flow_Name],Tab_Def_Flows[DM?],,0,)</f>
        <v>0</v>
      </c>
      <c r="F273" s="10">
        <f>_xlfn.XLOOKUP(C273,Tab_Def_Flows[Flow_Name],Tab_Def_Flows[CC?],,0,)</f>
        <v>0</v>
      </c>
      <c r="G273" s="8"/>
      <c r="H273" s="26"/>
      <c r="I273" s="8"/>
      <c r="J273" s="18"/>
      <c r="K273" s="8"/>
      <c r="L273" s="13"/>
      <c r="M273" s="8"/>
      <c r="N273" s="8"/>
      <c r="O273" s="8"/>
      <c r="P273" s="8"/>
      <c r="Q273" s="8" t="s">
        <v>7</v>
      </c>
      <c r="R273" s="19"/>
      <c r="S273" s="8"/>
      <c r="T273" s="7" t="str">
        <f>Tab_Data_Flows[[#This Row],[Flow_ID]]&amp;"_"&amp;"material_"&amp;Tab_Data_Flows[[#This Row],[Flow_Data_Year]]</f>
        <v>F___material_</v>
      </c>
      <c r="U273" s="16">
        <f t="shared" si="10"/>
        <v>0</v>
      </c>
      <c r="V273" s="8" t="s">
        <v>211</v>
      </c>
      <c r="W273" s="153">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3">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3">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30</v>
      </c>
      <c r="D274" s="10">
        <f>_xlfn.XLOOKUP(C274,Tab_Def_Flows[Flow_Name],Tab_Def_Flows[WC?],,0,)</f>
        <v>0</v>
      </c>
      <c r="E274" s="10">
        <f>_xlfn.XLOOKUP(C274,Tab_Def_Flows[Flow_Name],Tab_Def_Flows[DM?],,0,)</f>
        <v>0</v>
      </c>
      <c r="F274" s="10">
        <f>_xlfn.XLOOKUP(C274,Tab_Def_Flows[Flow_Name],Tab_Def_Flows[CC?],,0,)</f>
        <v>0</v>
      </c>
      <c r="G274" s="8"/>
      <c r="H274" s="26"/>
      <c r="I274" s="8"/>
      <c r="J274" s="18"/>
      <c r="K274" s="8"/>
      <c r="L274" s="13"/>
      <c r="M274" s="8"/>
      <c r="N274" s="8"/>
      <c r="O274" s="8"/>
      <c r="P274" s="8"/>
      <c r="Q274" s="8" t="s">
        <v>7</v>
      </c>
      <c r="R274" s="19"/>
      <c r="S274" s="8"/>
      <c r="T274" s="7" t="str">
        <f>Tab_Data_Flows[[#This Row],[Flow_ID]]&amp;"_"&amp;"material_"&amp;Tab_Data_Flows[[#This Row],[Flow_Data_Year]]</f>
        <v>F___material_</v>
      </c>
      <c r="U274" s="16">
        <f t="shared" si="10"/>
        <v>0</v>
      </c>
      <c r="V274" s="8" t="s">
        <v>211</v>
      </c>
      <c r="W274" s="153">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3">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3">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30</v>
      </c>
      <c r="D275" s="10">
        <f>_xlfn.XLOOKUP(C275,Tab_Def_Flows[Flow_Name],Tab_Def_Flows[WC?],,0,)</f>
        <v>0</v>
      </c>
      <c r="E275" s="10">
        <f>_xlfn.XLOOKUP(C275,Tab_Def_Flows[Flow_Name],Tab_Def_Flows[DM?],,0,)</f>
        <v>0</v>
      </c>
      <c r="F275" s="10">
        <f>_xlfn.XLOOKUP(C275,Tab_Def_Flows[Flow_Name],Tab_Def_Flows[CC?],,0,)</f>
        <v>0</v>
      </c>
      <c r="G275" s="8"/>
      <c r="H275" s="26"/>
      <c r="I275" s="8"/>
      <c r="J275" s="18"/>
      <c r="K275" s="8"/>
      <c r="L275" s="13"/>
      <c r="M275" s="8"/>
      <c r="N275" s="8"/>
      <c r="O275" s="8"/>
      <c r="P275" s="8"/>
      <c r="Q275" s="8" t="s">
        <v>7</v>
      </c>
      <c r="R275" s="19"/>
      <c r="S275" s="8"/>
      <c r="T275" s="7" t="str">
        <f>Tab_Data_Flows[[#This Row],[Flow_ID]]&amp;"_"&amp;"material_"&amp;Tab_Data_Flows[[#This Row],[Flow_Data_Year]]</f>
        <v>F___material_</v>
      </c>
      <c r="U275" s="16">
        <f t="shared" si="10"/>
        <v>0</v>
      </c>
      <c r="V275" s="8" t="s">
        <v>211</v>
      </c>
      <c r="W275" s="153">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3">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3">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30</v>
      </c>
      <c r="D276" s="10">
        <f>_xlfn.XLOOKUP(C276,Tab_Def_Flows[Flow_Name],Tab_Def_Flows[WC?],,0,)</f>
        <v>0</v>
      </c>
      <c r="E276" s="10">
        <f>_xlfn.XLOOKUP(C276,Tab_Def_Flows[Flow_Name],Tab_Def_Flows[DM?],,0,)</f>
        <v>0</v>
      </c>
      <c r="F276" s="10">
        <f>_xlfn.XLOOKUP(C276,Tab_Def_Flows[Flow_Name],Tab_Def_Flows[CC?],,0,)</f>
        <v>0</v>
      </c>
      <c r="G276" s="8"/>
      <c r="H276" s="26"/>
      <c r="I276" s="8"/>
      <c r="J276" s="18"/>
      <c r="K276" s="8"/>
      <c r="L276" s="13"/>
      <c r="M276" s="8"/>
      <c r="N276" s="8"/>
      <c r="O276" s="8"/>
      <c r="P276" s="8"/>
      <c r="Q276" s="8" t="s">
        <v>7</v>
      </c>
      <c r="R276" s="19"/>
      <c r="S276" s="8"/>
      <c r="T276" s="7" t="str">
        <f>Tab_Data_Flows[[#This Row],[Flow_ID]]&amp;"_"&amp;"material_"&amp;Tab_Data_Flows[[#This Row],[Flow_Data_Year]]</f>
        <v>F___material_</v>
      </c>
      <c r="U276" s="16">
        <f t="shared" si="10"/>
        <v>0</v>
      </c>
      <c r="V276" s="8" t="s">
        <v>211</v>
      </c>
      <c r="W276" s="153">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3">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3">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30</v>
      </c>
      <c r="D277" s="10">
        <f>_xlfn.XLOOKUP(C277,Tab_Def_Flows[Flow_Name],Tab_Def_Flows[WC?],,0,)</f>
        <v>0</v>
      </c>
      <c r="E277" s="10">
        <f>_xlfn.XLOOKUP(C277,Tab_Def_Flows[Flow_Name],Tab_Def_Flows[DM?],,0,)</f>
        <v>0</v>
      </c>
      <c r="F277" s="10">
        <f>_xlfn.XLOOKUP(C277,Tab_Def_Flows[Flow_Name],Tab_Def_Flows[CC?],,0,)</f>
        <v>0</v>
      </c>
      <c r="G277" s="8"/>
      <c r="H277" s="26"/>
      <c r="I277" s="8"/>
      <c r="J277" s="18"/>
      <c r="K277" s="8"/>
      <c r="L277" s="13"/>
      <c r="M277" s="8"/>
      <c r="N277" s="8"/>
      <c r="O277" s="8"/>
      <c r="P277" s="8"/>
      <c r="Q277" s="8" t="s">
        <v>7</v>
      </c>
      <c r="R277" s="19"/>
      <c r="S277" s="8"/>
      <c r="T277" s="7" t="str">
        <f>Tab_Data_Flows[[#This Row],[Flow_ID]]&amp;"_"&amp;"material_"&amp;Tab_Data_Flows[[#This Row],[Flow_Data_Year]]</f>
        <v>F___material_</v>
      </c>
      <c r="U277" s="16">
        <f t="shared" si="10"/>
        <v>0</v>
      </c>
      <c r="V277" s="8" t="s">
        <v>211</v>
      </c>
      <c r="W277" s="153">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3">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3">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30</v>
      </c>
      <c r="D278" s="10">
        <f>_xlfn.XLOOKUP(C278,Tab_Def_Flows[Flow_Name],Tab_Def_Flows[WC?],,0,)</f>
        <v>0</v>
      </c>
      <c r="E278" s="10">
        <f>_xlfn.XLOOKUP(C278,Tab_Def_Flows[Flow_Name],Tab_Def_Flows[DM?],,0,)</f>
        <v>0</v>
      </c>
      <c r="F278" s="10">
        <f>_xlfn.XLOOKUP(C278,Tab_Def_Flows[Flow_Name],Tab_Def_Flows[CC?],,0,)</f>
        <v>0</v>
      </c>
      <c r="G278" s="8"/>
      <c r="H278" s="26"/>
      <c r="I278" s="8"/>
      <c r="J278" s="18"/>
      <c r="K278" s="8"/>
      <c r="L278" s="13"/>
      <c r="M278" s="8"/>
      <c r="N278" s="8"/>
      <c r="O278" s="8"/>
      <c r="P278" s="8"/>
      <c r="Q278" s="8" t="s">
        <v>7</v>
      </c>
      <c r="R278" s="19"/>
      <c r="S278" s="8"/>
      <c r="T278" s="7" t="str">
        <f>Tab_Data_Flows[[#This Row],[Flow_ID]]&amp;"_"&amp;"material_"&amp;Tab_Data_Flows[[#This Row],[Flow_Data_Year]]</f>
        <v>F___material_</v>
      </c>
      <c r="U278" s="16">
        <f t="shared" si="10"/>
        <v>0</v>
      </c>
      <c r="V278" s="8" t="s">
        <v>211</v>
      </c>
      <c r="W278" s="153">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3">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3">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30</v>
      </c>
      <c r="D279" s="10">
        <f>_xlfn.XLOOKUP(C279,Tab_Def_Flows[Flow_Name],Tab_Def_Flows[WC?],,0,)</f>
        <v>0</v>
      </c>
      <c r="E279" s="10">
        <f>_xlfn.XLOOKUP(C279,Tab_Def_Flows[Flow_Name],Tab_Def_Flows[DM?],,0,)</f>
        <v>0</v>
      </c>
      <c r="F279" s="10">
        <f>_xlfn.XLOOKUP(C279,Tab_Def_Flows[Flow_Name],Tab_Def_Flows[CC?],,0,)</f>
        <v>0</v>
      </c>
      <c r="G279" s="8"/>
      <c r="H279" s="26"/>
      <c r="I279" s="8"/>
      <c r="J279" s="18"/>
      <c r="K279" s="8"/>
      <c r="L279" s="13"/>
      <c r="M279" s="8"/>
      <c r="N279" s="8"/>
      <c r="O279" s="8"/>
      <c r="P279" s="8"/>
      <c r="Q279" s="8" t="s">
        <v>7</v>
      </c>
      <c r="R279" s="19"/>
      <c r="S279" s="8"/>
      <c r="T279" s="7" t="str">
        <f>Tab_Data_Flows[[#This Row],[Flow_ID]]&amp;"_"&amp;"material_"&amp;Tab_Data_Flows[[#This Row],[Flow_Data_Year]]</f>
        <v>F___material_</v>
      </c>
      <c r="U279" s="16">
        <f t="shared" si="10"/>
        <v>0</v>
      </c>
      <c r="V279" s="8" t="s">
        <v>211</v>
      </c>
      <c r="W279" s="153">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3">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3">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30</v>
      </c>
      <c r="D280" s="10">
        <f>_xlfn.XLOOKUP(C280,Tab_Def_Flows[Flow_Name],Tab_Def_Flows[WC?],,0,)</f>
        <v>0</v>
      </c>
      <c r="E280" s="10">
        <f>_xlfn.XLOOKUP(C280,Tab_Def_Flows[Flow_Name],Tab_Def_Flows[DM?],,0,)</f>
        <v>0</v>
      </c>
      <c r="F280" s="10">
        <f>_xlfn.XLOOKUP(C280,Tab_Def_Flows[Flow_Name],Tab_Def_Flows[CC?],,0,)</f>
        <v>0</v>
      </c>
      <c r="G280" s="8"/>
      <c r="H280" s="26"/>
      <c r="I280" s="8"/>
      <c r="J280" s="18"/>
      <c r="K280" s="8"/>
      <c r="L280" s="13"/>
      <c r="M280" s="8"/>
      <c r="N280" s="8"/>
      <c r="O280" s="8"/>
      <c r="P280" s="8"/>
      <c r="Q280" s="8" t="s">
        <v>7</v>
      </c>
      <c r="R280" s="19"/>
      <c r="S280" s="8"/>
      <c r="T280" s="7" t="str">
        <f>Tab_Data_Flows[[#This Row],[Flow_ID]]&amp;"_"&amp;"material_"&amp;Tab_Data_Flows[[#This Row],[Flow_Data_Year]]</f>
        <v>F___material_</v>
      </c>
      <c r="U280" s="16">
        <f t="shared" si="10"/>
        <v>0</v>
      </c>
      <c r="V280" s="8" t="s">
        <v>211</v>
      </c>
      <c r="W280" s="153">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3">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3">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30</v>
      </c>
      <c r="D281" s="10">
        <f>_xlfn.XLOOKUP(C281,Tab_Def_Flows[Flow_Name],Tab_Def_Flows[WC?],,0,)</f>
        <v>0</v>
      </c>
      <c r="E281" s="10">
        <f>_xlfn.XLOOKUP(C281,Tab_Def_Flows[Flow_Name],Tab_Def_Flows[DM?],,0,)</f>
        <v>0</v>
      </c>
      <c r="F281" s="10">
        <f>_xlfn.XLOOKUP(C281,Tab_Def_Flows[Flow_Name],Tab_Def_Flows[CC?],,0,)</f>
        <v>0</v>
      </c>
      <c r="G281" s="8"/>
      <c r="H281" s="26"/>
      <c r="I281" s="8"/>
      <c r="J281" s="18"/>
      <c r="K281" s="8"/>
      <c r="L281" s="13"/>
      <c r="M281" s="8"/>
      <c r="N281" s="8"/>
      <c r="O281" s="8"/>
      <c r="P281" s="8"/>
      <c r="Q281" s="8" t="s">
        <v>7</v>
      </c>
      <c r="R281" s="19"/>
      <c r="S281" s="8"/>
      <c r="T281" s="7" t="str">
        <f>Tab_Data_Flows[[#This Row],[Flow_ID]]&amp;"_"&amp;"material_"&amp;Tab_Data_Flows[[#This Row],[Flow_Data_Year]]</f>
        <v>F___material_</v>
      </c>
      <c r="U281" s="16">
        <f t="shared" ref="U281:U322" si="11">IF(Q281="no",H281,H281*R281)</f>
        <v>0</v>
      </c>
      <c r="V281" s="8" t="s">
        <v>211</v>
      </c>
      <c r="W281" s="153">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3">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3">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30</v>
      </c>
      <c r="D282" s="10">
        <f>_xlfn.XLOOKUP(C282,Tab_Def_Flows[Flow_Name],Tab_Def_Flows[WC?],,0,)</f>
        <v>0</v>
      </c>
      <c r="E282" s="10">
        <f>_xlfn.XLOOKUP(C282,Tab_Def_Flows[Flow_Name],Tab_Def_Flows[DM?],,0,)</f>
        <v>0</v>
      </c>
      <c r="F282" s="10">
        <f>_xlfn.XLOOKUP(C282,Tab_Def_Flows[Flow_Name],Tab_Def_Flows[CC?],,0,)</f>
        <v>0</v>
      </c>
      <c r="G282" s="8"/>
      <c r="H282" s="26"/>
      <c r="I282" s="8"/>
      <c r="J282" s="18"/>
      <c r="K282" s="8"/>
      <c r="L282" s="13"/>
      <c r="M282" s="8"/>
      <c r="N282" s="8"/>
      <c r="O282" s="8"/>
      <c r="P282" s="8"/>
      <c r="Q282" s="8" t="s">
        <v>7</v>
      </c>
      <c r="R282" s="19"/>
      <c r="S282" s="8"/>
      <c r="T282" s="7" t="str">
        <f>Tab_Data_Flows[[#This Row],[Flow_ID]]&amp;"_"&amp;"material_"&amp;Tab_Data_Flows[[#This Row],[Flow_Data_Year]]</f>
        <v>F___material_</v>
      </c>
      <c r="U282" s="16">
        <f t="shared" si="11"/>
        <v>0</v>
      </c>
      <c r="V282" s="8" t="s">
        <v>211</v>
      </c>
      <c r="W282" s="153">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3">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3">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30</v>
      </c>
      <c r="D283" s="10">
        <f>_xlfn.XLOOKUP(C283,Tab_Def_Flows[Flow_Name],Tab_Def_Flows[WC?],,0,)</f>
        <v>0</v>
      </c>
      <c r="E283" s="10">
        <f>_xlfn.XLOOKUP(C283,Tab_Def_Flows[Flow_Name],Tab_Def_Flows[DM?],,0,)</f>
        <v>0</v>
      </c>
      <c r="F283" s="10">
        <f>_xlfn.XLOOKUP(C283,Tab_Def_Flows[Flow_Name],Tab_Def_Flows[CC?],,0,)</f>
        <v>0</v>
      </c>
      <c r="G283" s="8"/>
      <c r="H283" s="26"/>
      <c r="I283" s="8"/>
      <c r="J283" s="18"/>
      <c r="K283" s="8"/>
      <c r="L283" s="13"/>
      <c r="M283" s="8"/>
      <c r="N283" s="8"/>
      <c r="O283" s="8"/>
      <c r="P283" s="8"/>
      <c r="Q283" s="8" t="s">
        <v>7</v>
      </c>
      <c r="R283" s="19"/>
      <c r="S283" s="8"/>
      <c r="T283" s="7" t="str">
        <f>Tab_Data_Flows[[#This Row],[Flow_ID]]&amp;"_"&amp;"material_"&amp;Tab_Data_Flows[[#This Row],[Flow_Data_Year]]</f>
        <v>F___material_</v>
      </c>
      <c r="U283" s="16">
        <f t="shared" si="11"/>
        <v>0</v>
      </c>
      <c r="V283" s="8" t="s">
        <v>211</v>
      </c>
      <c r="W283" s="153">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3">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3">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30</v>
      </c>
      <c r="D284" s="10">
        <f>_xlfn.XLOOKUP(C284,Tab_Def_Flows[Flow_Name],Tab_Def_Flows[WC?],,0,)</f>
        <v>0</v>
      </c>
      <c r="E284" s="10">
        <f>_xlfn.XLOOKUP(C284,Tab_Def_Flows[Flow_Name],Tab_Def_Flows[DM?],,0,)</f>
        <v>0</v>
      </c>
      <c r="F284" s="10">
        <f>_xlfn.XLOOKUP(C284,Tab_Def_Flows[Flow_Name],Tab_Def_Flows[CC?],,0,)</f>
        <v>0</v>
      </c>
      <c r="G284" s="8"/>
      <c r="H284" s="26"/>
      <c r="I284" s="8"/>
      <c r="J284" s="18"/>
      <c r="K284" s="8"/>
      <c r="L284" s="13"/>
      <c r="M284" s="8"/>
      <c r="N284" s="8"/>
      <c r="O284" s="8"/>
      <c r="P284" s="8"/>
      <c r="Q284" s="8" t="s">
        <v>7</v>
      </c>
      <c r="R284" s="19"/>
      <c r="S284" s="8"/>
      <c r="T284" s="7" t="str">
        <f>Tab_Data_Flows[[#This Row],[Flow_ID]]&amp;"_"&amp;"material_"&amp;Tab_Data_Flows[[#This Row],[Flow_Data_Year]]</f>
        <v>F___material_</v>
      </c>
      <c r="U284" s="16">
        <f t="shared" si="11"/>
        <v>0</v>
      </c>
      <c r="V284" s="8" t="s">
        <v>211</v>
      </c>
      <c r="W284" s="153">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3">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3">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30</v>
      </c>
      <c r="D285" s="10">
        <f>_xlfn.XLOOKUP(C285,Tab_Def_Flows[Flow_Name],Tab_Def_Flows[WC?],,0,)</f>
        <v>0</v>
      </c>
      <c r="E285" s="10">
        <f>_xlfn.XLOOKUP(C285,Tab_Def_Flows[Flow_Name],Tab_Def_Flows[DM?],,0,)</f>
        <v>0</v>
      </c>
      <c r="F285" s="10">
        <f>_xlfn.XLOOKUP(C285,Tab_Def_Flows[Flow_Name],Tab_Def_Flows[CC?],,0,)</f>
        <v>0</v>
      </c>
      <c r="G285" s="8"/>
      <c r="H285" s="26"/>
      <c r="I285" s="8"/>
      <c r="J285" s="18"/>
      <c r="K285" s="8"/>
      <c r="L285" s="13"/>
      <c r="M285" s="8"/>
      <c r="N285" s="8"/>
      <c r="O285" s="8"/>
      <c r="P285" s="8"/>
      <c r="Q285" s="8" t="s">
        <v>7</v>
      </c>
      <c r="R285" s="19"/>
      <c r="S285" s="8"/>
      <c r="T285" s="7" t="str">
        <f>Tab_Data_Flows[[#This Row],[Flow_ID]]&amp;"_"&amp;"material_"&amp;Tab_Data_Flows[[#This Row],[Flow_Data_Year]]</f>
        <v>F___material_</v>
      </c>
      <c r="U285" s="16">
        <f t="shared" si="11"/>
        <v>0</v>
      </c>
      <c r="V285" s="8" t="s">
        <v>211</v>
      </c>
      <c r="W285" s="153">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3">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3">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30</v>
      </c>
      <c r="D286" s="10">
        <f>_xlfn.XLOOKUP(C286,Tab_Def_Flows[Flow_Name],Tab_Def_Flows[WC?],,0,)</f>
        <v>0</v>
      </c>
      <c r="E286" s="10">
        <f>_xlfn.XLOOKUP(C286,Tab_Def_Flows[Flow_Name],Tab_Def_Flows[DM?],,0,)</f>
        <v>0</v>
      </c>
      <c r="F286" s="10">
        <f>_xlfn.XLOOKUP(C286,Tab_Def_Flows[Flow_Name],Tab_Def_Flows[CC?],,0,)</f>
        <v>0</v>
      </c>
      <c r="G286" s="8"/>
      <c r="H286" s="26"/>
      <c r="I286" s="8"/>
      <c r="J286" s="18"/>
      <c r="K286" s="8"/>
      <c r="L286" s="13"/>
      <c r="M286" s="8"/>
      <c r="N286" s="8"/>
      <c r="O286" s="8"/>
      <c r="P286" s="8"/>
      <c r="Q286" s="8" t="s">
        <v>7</v>
      </c>
      <c r="R286" s="19"/>
      <c r="S286" s="8"/>
      <c r="T286" s="7" t="str">
        <f>Tab_Data_Flows[[#This Row],[Flow_ID]]&amp;"_"&amp;"material_"&amp;Tab_Data_Flows[[#This Row],[Flow_Data_Year]]</f>
        <v>F___material_</v>
      </c>
      <c r="U286" s="16">
        <f t="shared" si="11"/>
        <v>0</v>
      </c>
      <c r="V286" s="8" t="s">
        <v>211</v>
      </c>
      <c r="W286" s="153">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3">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3">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30</v>
      </c>
      <c r="D287" s="10">
        <f>_xlfn.XLOOKUP(C287,Tab_Def_Flows[Flow_Name],Tab_Def_Flows[WC?],,0,)</f>
        <v>0</v>
      </c>
      <c r="E287" s="10">
        <f>_xlfn.XLOOKUP(C287,Tab_Def_Flows[Flow_Name],Tab_Def_Flows[DM?],,0,)</f>
        <v>0</v>
      </c>
      <c r="F287" s="10">
        <f>_xlfn.XLOOKUP(C287,Tab_Def_Flows[Flow_Name],Tab_Def_Flows[CC?],,0,)</f>
        <v>0</v>
      </c>
      <c r="G287" s="8"/>
      <c r="H287" s="26"/>
      <c r="I287" s="8"/>
      <c r="J287" s="18"/>
      <c r="K287" s="8"/>
      <c r="L287" s="13"/>
      <c r="M287" s="8"/>
      <c r="N287" s="8"/>
      <c r="O287" s="8"/>
      <c r="P287" s="8"/>
      <c r="Q287" s="8" t="s">
        <v>7</v>
      </c>
      <c r="R287" s="19"/>
      <c r="S287" s="8"/>
      <c r="T287" s="7" t="str">
        <f>Tab_Data_Flows[[#This Row],[Flow_ID]]&amp;"_"&amp;"material_"&amp;Tab_Data_Flows[[#This Row],[Flow_Data_Year]]</f>
        <v>F___material_</v>
      </c>
      <c r="U287" s="16">
        <f t="shared" si="11"/>
        <v>0</v>
      </c>
      <c r="V287" s="8" t="s">
        <v>211</v>
      </c>
      <c r="W287" s="153">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3">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3">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30</v>
      </c>
      <c r="D288" s="10">
        <f>_xlfn.XLOOKUP(C288,Tab_Def_Flows[Flow_Name],Tab_Def_Flows[WC?],,0,)</f>
        <v>0</v>
      </c>
      <c r="E288" s="10">
        <f>_xlfn.XLOOKUP(C288,Tab_Def_Flows[Flow_Name],Tab_Def_Flows[DM?],,0,)</f>
        <v>0</v>
      </c>
      <c r="F288" s="10">
        <f>_xlfn.XLOOKUP(C288,Tab_Def_Flows[Flow_Name],Tab_Def_Flows[CC?],,0,)</f>
        <v>0</v>
      </c>
      <c r="G288" s="8"/>
      <c r="H288" s="26"/>
      <c r="I288" s="8"/>
      <c r="J288" s="18"/>
      <c r="K288" s="8"/>
      <c r="L288" s="13"/>
      <c r="M288" s="8"/>
      <c r="N288" s="8"/>
      <c r="O288" s="8"/>
      <c r="P288" s="8"/>
      <c r="Q288" s="8" t="s">
        <v>7</v>
      </c>
      <c r="R288" s="19"/>
      <c r="S288" s="8"/>
      <c r="T288" s="7" t="str">
        <f>Tab_Data_Flows[[#This Row],[Flow_ID]]&amp;"_"&amp;"material_"&amp;Tab_Data_Flows[[#This Row],[Flow_Data_Year]]</f>
        <v>F___material_</v>
      </c>
      <c r="U288" s="16">
        <f t="shared" si="11"/>
        <v>0</v>
      </c>
      <c r="V288" s="8" t="s">
        <v>211</v>
      </c>
      <c r="W288" s="153">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3">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3">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30</v>
      </c>
      <c r="D289" s="10">
        <f>_xlfn.XLOOKUP(C289,Tab_Def_Flows[Flow_Name],Tab_Def_Flows[WC?],,0,)</f>
        <v>0</v>
      </c>
      <c r="E289" s="10">
        <f>_xlfn.XLOOKUP(C289,Tab_Def_Flows[Flow_Name],Tab_Def_Flows[DM?],,0,)</f>
        <v>0</v>
      </c>
      <c r="F289" s="10">
        <f>_xlfn.XLOOKUP(C289,Tab_Def_Flows[Flow_Name],Tab_Def_Flows[CC?],,0,)</f>
        <v>0</v>
      </c>
      <c r="G289" s="8"/>
      <c r="H289" s="26"/>
      <c r="I289" s="8"/>
      <c r="J289" s="18"/>
      <c r="K289" s="8"/>
      <c r="L289" s="13"/>
      <c r="M289" s="8"/>
      <c r="N289" s="8"/>
      <c r="O289" s="8"/>
      <c r="P289" s="8"/>
      <c r="Q289" s="8" t="s">
        <v>7</v>
      </c>
      <c r="R289" s="19"/>
      <c r="S289" s="8"/>
      <c r="T289" s="7" t="str">
        <f>Tab_Data_Flows[[#This Row],[Flow_ID]]&amp;"_"&amp;"material_"&amp;Tab_Data_Flows[[#This Row],[Flow_Data_Year]]</f>
        <v>F___material_</v>
      </c>
      <c r="U289" s="16">
        <f t="shared" si="11"/>
        <v>0</v>
      </c>
      <c r="V289" s="8" t="s">
        <v>211</v>
      </c>
      <c r="W289" s="153">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3">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3">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30</v>
      </c>
      <c r="D290" s="10">
        <f>_xlfn.XLOOKUP(C290,Tab_Def_Flows[Flow_Name],Tab_Def_Flows[WC?],,0,)</f>
        <v>0</v>
      </c>
      <c r="E290" s="10">
        <f>_xlfn.XLOOKUP(C290,Tab_Def_Flows[Flow_Name],Tab_Def_Flows[DM?],,0,)</f>
        <v>0</v>
      </c>
      <c r="F290" s="10">
        <f>_xlfn.XLOOKUP(C290,Tab_Def_Flows[Flow_Name],Tab_Def_Flows[CC?],,0,)</f>
        <v>0</v>
      </c>
      <c r="G290" s="8"/>
      <c r="H290" s="26"/>
      <c r="I290" s="8"/>
      <c r="J290" s="18"/>
      <c r="K290" s="8"/>
      <c r="L290" s="13"/>
      <c r="M290" s="8"/>
      <c r="N290" s="8"/>
      <c r="O290" s="8"/>
      <c r="P290" s="8"/>
      <c r="Q290" s="8" t="s">
        <v>7</v>
      </c>
      <c r="R290" s="19"/>
      <c r="S290" s="8"/>
      <c r="T290" s="7" t="str">
        <f>Tab_Data_Flows[[#This Row],[Flow_ID]]&amp;"_"&amp;"material_"&amp;Tab_Data_Flows[[#This Row],[Flow_Data_Year]]</f>
        <v>F___material_</v>
      </c>
      <c r="U290" s="16">
        <f t="shared" si="11"/>
        <v>0</v>
      </c>
      <c r="V290" s="8" t="s">
        <v>211</v>
      </c>
      <c r="W290" s="153">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3">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3">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30</v>
      </c>
      <c r="D291" s="10">
        <f>_xlfn.XLOOKUP(C291,Tab_Def_Flows[Flow_Name],Tab_Def_Flows[WC?],,0,)</f>
        <v>0</v>
      </c>
      <c r="E291" s="10">
        <f>_xlfn.XLOOKUP(C291,Tab_Def_Flows[Flow_Name],Tab_Def_Flows[DM?],,0,)</f>
        <v>0</v>
      </c>
      <c r="F291" s="10">
        <f>_xlfn.XLOOKUP(C291,Tab_Def_Flows[Flow_Name],Tab_Def_Flows[CC?],,0,)</f>
        <v>0</v>
      </c>
      <c r="G291" s="8"/>
      <c r="H291" s="26"/>
      <c r="I291" s="8"/>
      <c r="J291" s="18"/>
      <c r="K291" s="8"/>
      <c r="L291" s="13"/>
      <c r="M291" s="8"/>
      <c r="N291" s="8"/>
      <c r="O291" s="8"/>
      <c r="P291" s="8"/>
      <c r="Q291" s="8" t="s">
        <v>7</v>
      </c>
      <c r="R291" s="19"/>
      <c r="S291" s="8"/>
      <c r="T291" s="7" t="str">
        <f>Tab_Data_Flows[[#This Row],[Flow_ID]]&amp;"_"&amp;"material_"&amp;Tab_Data_Flows[[#This Row],[Flow_Data_Year]]</f>
        <v>F___material_</v>
      </c>
      <c r="U291" s="16">
        <f t="shared" si="11"/>
        <v>0</v>
      </c>
      <c r="V291" s="8" t="s">
        <v>211</v>
      </c>
      <c r="W291" s="153">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3">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3">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30</v>
      </c>
      <c r="D292" s="10">
        <f>_xlfn.XLOOKUP(C292,Tab_Def_Flows[Flow_Name],Tab_Def_Flows[WC?],,0,)</f>
        <v>0</v>
      </c>
      <c r="E292" s="10">
        <f>_xlfn.XLOOKUP(C292,Tab_Def_Flows[Flow_Name],Tab_Def_Flows[DM?],,0,)</f>
        <v>0</v>
      </c>
      <c r="F292" s="10">
        <f>_xlfn.XLOOKUP(C292,Tab_Def_Flows[Flow_Name],Tab_Def_Flows[CC?],,0,)</f>
        <v>0</v>
      </c>
      <c r="G292" s="8"/>
      <c r="H292" s="26"/>
      <c r="I292" s="8"/>
      <c r="J292" s="18"/>
      <c r="K292" s="8"/>
      <c r="L292" s="13"/>
      <c r="M292" s="8"/>
      <c r="N292" s="8"/>
      <c r="O292" s="8"/>
      <c r="P292" s="8"/>
      <c r="Q292" s="8" t="s">
        <v>7</v>
      </c>
      <c r="R292" s="19"/>
      <c r="S292" s="8"/>
      <c r="T292" s="7" t="str">
        <f>Tab_Data_Flows[[#This Row],[Flow_ID]]&amp;"_"&amp;"material_"&amp;Tab_Data_Flows[[#This Row],[Flow_Data_Year]]</f>
        <v>F___material_</v>
      </c>
      <c r="U292" s="16">
        <f t="shared" si="11"/>
        <v>0</v>
      </c>
      <c r="V292" s="8" t="s">
        <v>211</v>
      </c>
      <c r="W292" s="153">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3">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3">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30</v>
      </c>
      <c r="D293" s="10">
        <f>_xlfn.XLOOKUP(C293,Tab_Def_Flows[Flow_Name],Tab_Def_Flows[WC?],,0,)</f>
        <v>0</v>
      </c>
      <c r="E293" s="10">
        <f>_xlfn.XLOOKUP(C293,Tab_Def_Flows[Flow_Name],Tab_Def_Flows[DM?],,0,)</f>
        <v>0</v>
      </c>
      <c r="F293" s="10">
        <f>_xlfn.XLOOKUP(C293,Tab_Def_Flows[Flow_Name],Tab_Def_Flows[CC?],,0,)</f>
        <v>0</v>
      </c>
      <c r="G293" s="8"/>
      <c r="H293" s="26"/>
      <c r="I293" s="8"/>
      <c r="J293" s="18"/>
      <c r="K293" s="8"/>
      <c r="L293" s="13"/>
      <c r="M293" s="8"/>
      <c r="N293" s="8"/>
      <c r="O293" s="8"/>
      <c r="P293" s="8"/>
      <c r="Q293" s="8" t="s">
        <v>7</v>
      </c>
      <c r="R293" s="19"/>
      <c r="S293" s="8"/>
      <c r="T293" s="7" t="str">
        <f>Tab_Data_Flows[[#This Row],[Flow_ID]]&amp;"_"&amp;"material_"&amp;Tab_Data_Flows[[#This Row],[Flow_Data_Year]]</f>
        <v>F___material_</v>
      </c>
      <c r="U293" s="16">
        <f t="shared" si="11"/>
        <v>0</v>
      </c>
      <c r="V293" s="8" t="s">
        <v>211</v>
      </c>
      <c r="W293" s="153">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3">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3">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30</v>
      </c>
      <c r="D294" s="10">
        <f>_xlfn.XLOOKUP(C294,Tab_Def_Flows[Flow_Name],Tab_Def_Flows[WC?],,0,)</f>
        <v>0</v>
      </c>
      <c r="E294" s="10">
        <f>_xlfn.XLOOKUP(C294,Tab_Def_Flows[Flow_Name],Tab_Def_Flows[DM?],,0,)</f>
        <v>0</v>
      </c>
      <c r="F294" s="10">
        <f>_xlfn.XLOOKUP(C294,Tab_Def_Flows[Flow_Name],Tab_Def_Flows[CC?],,0,)</f>
        <v>0</v>
      </c>
      <c r="G294" s="8"/>
      <c r="H294" s="26"/>
      <c r="I294" s="8"/>
      <c r="J294" s="18"/>
      <c r="K294" s="8"/>
      <c r="L294" s="13"/>
      <c r="M294" s="8"/>
      <c r="N294" s="8"/>
      <c r="O294" s="8"/>
      <c r="P294" s="8"/>
      <c r="Q294" s="8" t="s">
        <v>7</v>
      </c>
      <c r="R294" s="19"/>
      <c r="S294" s="8"/>
      <c r="T294" s="7" t="str">
        <f>Tab_Data_Flows[[#This Row],[Flow_ID]]&amp;"_"&amp;"material_"&amp;Tab_Data_Flows[[#This Row],[Flow_Data_Year]]</f>
        <v>F___material_</v>
      </c>
      <c r="U294" s="16">
        <f t="shared" si="11"/>
        <v>0</v>
      </c>
      <c r="V294" s="8" t="s">
        <v>211</v>
      </c>
      <c r="W294" s="153">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3">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3">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30</v>
      </c>
      <c r="D295" s="10">
        <f>_xlfn.XLOOKUP(C295,Tab_Def_Flows[Flow_Name],Tab_Def_Flows[WC?],,0,)</f>
        <v>0</v>
      </c>
      <c r="E295" s="10">
        <f>_xlfn.XLOOKUP(C295,Tab_Def_Flows[Flow_Name],Tab_Def_Flows[DM?],,0,)</f>
        <v>0</v>
      </c>
      <c r="F295" s="10">
        <f>_xlfn.XLOOKUP(C295,Tab_Def_Flows[Flow_Name],Tab_Def_Flows[CC?],,0,)</f>
        <v>0</v>
      </c>
      <c r="G295" s="8"/>
      <c r="H295" s="26"/>
      <c r="I295" s="8"/>
      <c r="J295" s="18"/>
      <c r="K295" s="8"/>
      <c r="L295" s="13"/>
      <c r="M295" s="8"/>
      <c r="N295" s="8"/>
      <c r="O295" s="8"/>
      <c r="P295" s="8"/>
      <c r="Q295" s="8" t="s">
        <v>7</v>
      </c>
      <c r="R295" s="19"/>
      <c r="S295" s="8"/>
      <c r="T295" s="7" t="str">
        <f>Tab_Data_Flows[[#This Row],[Flow_ID]]&amp;"_"&amp;"material_"&amp;Tab_Data_Flows[[#This Row],[Flow_Data_Year]]</f>
        <v>F___material_</v>
      </c>
      <c r="U295" s="16">
        <f t="shared" si="11"/>
        <v>0</v>
      </c>
      <c r="V295" s="8" t="s">
        <v>211</v>
      </c>
      <c r="W295" s="153">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3">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3">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30</v>
      </c>
      <c r="D296" s="10">
        <f>_xlfn.XLOOKUP(C296,Tab_Def_Flows[Flow_Name],Tab_Def_Flows[WC?],,0,)</f>
        <v>0</v>
      </c>
      <c r="E296" s="10">
        <f>_xlfn.XLOOKUP(C296,Tab_Def_Flows[Flow_Name],Tab_Def_Flows[DM?],,0,)</f>
        <v>0</v>
      </c>
      <c r="F296" s="10">
        <f>_xlfn.XLOOKUP(C296,Tab_Def_Flows[Flow_Name],Tab_Def_Flows[CC?],,0,)</f>
        <v>0</v>
      </c>
      <c r="G296" s="8"/>
      <c r="H296" s="26"/>
      <c r="I296" s="8"/>
      <c r="J296" s="18"/>
      <c r="K296" s="8"/>
      <c r="L296" s="13"/>
      <c r="M296" s="8"/>
      <c r="N296" s="8"/>
      <c r="O296" s="8"/>
      <c r="P296" s="8"/>
      <c r="Q296" s="8" t="s">
        <v>7</v>
      </c>
      <c r="R296" s="19"/>
      <c r="S296" s="8"/>
      <c r="T296" s="7" t="str">
        <f>Tab_Data_Flows[[#This Row],[Flow_ID]]&amp;"_"&amp;"material_"&amp;Tab_Data_Flows[[#This Row],[Flow_Data_Year]]</f>
        <v>F___material_</v>
      </c>
      <c r="U296" s="16">
        <f t="shared" si="11"/>
        <v>0</v>
      </c>
      <c r="V296" s="8" t="s">
        <v>211</v>
      </c>
      <c r="W296" s="153">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3">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3">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30</v>
      </c>
      <c r="D297" s="10">
        <f>_xlfn.XLOOKUP(C297,Tab_Def_Flows[Flow_Name],Tab_Def_Flows[WC?],,0,)</f>
        <v>0</v>
      </c>
      <c r="E297" s="10">
        <f>_xlfn.XLOOKUP(C297,Tab_Def_Flows[Flow_Name],Tab_Def_Flows[DM?],,0,)</f>
        <v>0</v>
      </c>
      <c r="F297" s="10">
        <f>_xlfn.XLOOKUP(C297,Tab_Def_Flows[Flow_Name],Tab_Def_Flows[CC?],,0,)</f>
        <v>0</v>
      </c>
      <c r="G297" s="8"/>
      <c r="H297" s="26"/>
      <c r="I297" s="8"/>
      <c r="J297" s="18"/>
      <c r="K297" s="8"/>
      <c r="L297" s="13"/>
      <c r="M297" s="8"/>
      <c r="N297" s="8"/>
      <c r="O297" s="8"/>
      <c r="P297" s="8"/>
      <c r="Q297" s="8" t="s">
        <v>7</v>
      </c>
      <c r="R297" s="19"/>
      <c r="S297" s="8"/>
      <c r="T297" s="7" t="str">
        <f>Tab_Data_Flows[[#This Row],[Flow_ID]]&amp;"_"&amp;"material_"&amp;Tab_Data_Flows[[#This Row],[Flow_Data_Year]]</f>
        <v>F___material_</v>
      </c>
      <c r="U297" s="16">
        <f t="shared" si="11"/>
        <v>0</v>
      </c>
      <c r="V297" s="8" t="s">
        <v>211</v>
      </c>
      <c r="W297" s="153">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3">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3">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30</v>
      </c>
      <c r="D298" s="10">
        <f>_xlfn.XLOOKUP(C298,Tab_Def_Flows[Flow_Name],Tab_Def_Flows[WC?],,0,)</f>
        <v>0</v>
      </c>
      <c r="E298" s="10">
        <f>_xlfn.XLOOKUP(C298,Tab_Def_Flows[Flow_Name],Tab_Def_Flows[DM?],,0,)</f>
        <v>0</v>
      </c>
      <c r="F298" s="10">
        <f>_xlfn.XLOOKUP(C298,Tab_Def_Flows[Flow_Name],Tab_Def_Flows[CC?],,0,)</f>
        <v>0</v>
      </c>
      <c r="G298" s="8"/>
      <c r="H298" s="26"/>
      <c r="I298" s="8"/>
      <c r="J298" s="18"/>
      <c r="K298" s="8"/>
      <c r="L298" s="13"/>
      <c r="M298" s="8"/>
      <c r="N298" s="8"/>
      <c r="O298" s="8"/>
      <c r="P298" s="8"/>
      <c r="Q298" s="8" t="s">
        <v>7</v>
      </c>
      <c r="R298" s="19"/>
      <c r="S298" s="8"/>
      <c r="T298" s="7" t="str">
        <f>Tab_Data_Flows[[#This Row],[Flow_ID]]&amp;"_"&amp;"material_"&amp;Tab_Data_Flows[[#This Row],[Flow_Data_Year]]</f>
        <v>F___material_</v>
      </c>
      <c r="U298" s="16">
        <f t="shared" si="11"/>
        <v>0</v>
      </c>
      <c r="V298" s="8" t="s">
        <v>211</v>
      </c>
      <c r="W298" s="153">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3">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3">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30</v>
      </c>
      <c r="D299" s="10">
        <f>_xlfn.XLOOKUP(C299,Tab_Def_Flows[Flow_Name],Tab_Def_Flows[WC?],,0,)</f>
        <v>0</v>
      </c>
      <c r="E299" s="10">
        <f>_xlfn.XLOOKUP(C299,Tab_Def_Flows[Flow_Name],Tab_Def_Flows[DM?],,0,)</f>
        <v>0</v>
      </c>
      <c r="F299" s="10">
        <f>_xlfn.XLOOKUP(C299,Tab_Def_Flows[Flow_Name],Tab_Def_Flows[CC?],,0,)</f>
        <v>0</v>
      </c>
      <c r="G299" s="8"/>
      <c r="H299" s="26"/>
      <c r="I299" s="8"/>
      <c r="J299" s="18"/>
      <c r="K299" s="8"/>
      <c r="L299" s="13"/>
      <c r="M299" s="8"/>
      <c r="N299" s="8"/>
      <c r="O299" s="8"/>
      <c r="P299" s="8"/>
      <c r="Q299" s="8" t="s">
        <v>7</v>
      </c>
      <c r="R299" s="19"/>
      <c r="S299" s="8"/>
      <c r="T299" s="7" t="str">
        <f>Tab_Data_Flows[[#This Row],[Flow_ID]]&amp;"_"&amp;"material_"&amp;Tab_Data_Flows[[#This Row],[Flow_Data_Year]]</f>
        <v>F___material_</v>
      </c>
      <c r="U299" s="16">
        <f t="shared" si="11"/>
        <v>0</v>
      </c>
      <c r="V299" s="8" t="s">
        <v>211</v>
      </c>
      <c r="W299" s="153">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3">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3">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30</v>
      </c>
      <c r="D300" s="10">
        <f>_xlfn.XLOOKUP(C300,Tab_Def_Flows[Flow_Name],Tab_Def_Flows[WC?],,0,)</f>
        <v>0</v>
      </c>
      <c r="E300" s="10">
        <f>_xlfn.XLOOKUP(C300,Tab_Def_Flows[Flow_Name],Tab_Def_Flows[DM?],,0,)</f>
        <v>0</v>
      </c>
      <c r="F300" s="10">
        <f>_xlfn.XLOOKUP(C300,Tab_Def_Flows[Flow_Name],Tab_Def_Flows[CC?],,0,)</f>
        <v>0</v>
      </c>
      <c r="G300" s="8"/>
      <c r="H300" s="26"/>
      <c r="I300" s="8"/>
      <c r="J300" s="18"/>
      <c r="K300" s="8"/>
      <c r="L300" s="13"/>
      <c r="M300" s="8"/>
      <c r="N300" s="8"/>
      <c r="O300" s="8"/>
      <c r="P300" s="8"/>
      <c r="Q300" s="8" t="s">
        <v>7</v>
      </c>
      <c r="R300" s="19"/>
      <c r="S300" s="8"/>
      <c r="T300" s="7" t="str">
        <f>Tab_Data_Flows[[#This Row],[Flow_ID]]&amp;"_"&amp;"material_"&amp;Tab_Data_Flows[[#This Row],[Flow_Data_Year]]</f>
        <v>F___material_</v>
      </c>
      <c r="U300" s="16">
        <f t="shared" si="11"/>
        <v>0</v>
      </c>
      <c r="V300" s="8" t="s">
        <v>211</v>
      </c>
      <c r="W300" s="153">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3">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3">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30</v>
      </c>
      <c r="D301" s="10">
        <f>_xlfn.XLOOKUP(C301,Tab_Def_Flows[Flow_Name],Tab_Def_Flows[WC?],,0,)</f>
        <v>0</v>
      </c>
      <c r="E301" s="10">
        <f>_xlfn.XLOOKUP(C301,Tab_Def_Flows[Flow_Name],Tab_Def_Flows[DM?],,0,)</f>
        <v>0</v>
      </c>
      <c r="F301" s="10">
        <f>_xlfn.XLOOKUP(C301,Tab_Def_Flows[Flow_Name],Tab_Def_Flows[CC?],,0,)</f>
        <v>0</v>
      </c>
      <c r="G301" s="8"/>
      <c r="H301" s="26"/>
      <c r="I301" s="8"/>
      <c r="J301" s="18"/>
      <c r="K301" s="8"/>
      <c r="L301" s="13"/>
      <c r="M301" s="8"/>
      <c r="N301" s="8"/>
      <c r="O301" s="8"/>
      <c r="P301" s="8"/>
      <c r="Q301" s="8" t="s">
        <v>7</v>
      </c>
      <c r="R301" s="19"/>
      <c r="S301" s="8"/>
      <c r="T301" s="7" t="str">
        <f>Tab_Data_Flows[[#This Row],[Flow_ID]]&amp;"_"&amp;"material_"&amp;Tab_Data_Flows[[#This Row],[Flow_Data_Year]]</f>
        <v>F___material_</v>
      </c>
      <c r="U301" s="16">
        <f t="shared" si="11"/>
        <v>0</v>
      </c>
      <c r="V301" s="8" t="s">
        <v>211</v>
      </c>
      <c r="W301" s="153">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3">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3">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30</v>
      </c>
      <c r="D302" s="10">
        <f>_xlfn.XLOOKUP(C302,Tab_Def_Flows[Flow_Name],Tab_Def_Flows[WC?],,0,)</f>
        <v>0</v>
      </c>
      <c r="E302" s="10">
        <f>_xlfn.XLOOKUP(C302,Tab_Def_Flows[Flow_Name],Tab_Def_Flows[DM?],,0,)</f>
        <v>0</v>
      </c>
      <c r="F302" s="10">
        <f>_xlfn.XLOOKUP(C302,Tab_Def_Flows[Flow_Name],Tab_Def_Flows[CC?],,0,)</f>
        <v>0</v>
      </c>
      <c r="G302" s="8"/>
      <c r="H302" s="26"/>
      <c r="I302" s="8"/>
      <c r="J302" s="18"/>
      <c r="K302" s="8"/>
      <c r="L302" s="13"/>
      <c r="M302" s="8"/>
      <c r="N302" s="8"/>
      <c r="O302" s="8"/>
      <c r="P302" s="8"/>
      <c r="Q302" s="8" t="s">
        <v>7</v>
      </c>
      <c r="R302" s="19"/>
      <c r="S302" s="8"/>
      <c r="T302" s="7" t="str">
        <f>Tab_Data_Flows[[#This Row],[Flow_ID]]&amp;"_"&amp;"material_"&amp;Tab_Data_Flows[[#This Row],[Flow_Data_Year]]</f>
        <v>F___material_</v>
      </c>
      <c r="U302" s="16">
        <f t="shared" si="11"/>
        <v>0</v>
      </c>
      <c r="V302" s="8" t="s">
        <v>211</v>
      </c>
      <c r="W302" s="153">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3">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3">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30</v>
      </c>
      <c r="D303" s="10">
        <f>_xlfn.XLOOKUP(C303,Tab_Def_Flows[Flow_Name],Tab_Def_Flows[WC?],,0,)</f>
        <v>0</v>
      </c>
      <c r="E303" s="10">
        <f>_xlfn.XLOOKUP(C303,Tab_Def_Flows[Flow_Name],Tab_Def_Flows[DM?],,0,)</f>
        <v>0</v>
      </c>
      <c r="F303" s="10">
        <f>_xlfn.XLOOKUP(C303,Tab_Def_Flows[Flow_Name],Tab_Def_Flows[CC?],,0,)</f>
        <v>0</v>
      </c>
      <c r="G303" s="8"/>
      <c r="H303" s="26"/>
      <c r="I303" s="8"/>
      <c r="J303" s="18"/>
      <c r="K303" s="8"/>
      <c r="L303" s="13"/>
      <c r="M303" s="8"/>
      <c r="N303" s="8"/>
      <c r="O303" s="8"/>
      <c r="P303" s="8"/>
      <c r="Q303" s="8" t="s">
        <v>7</v>
      </c>
      <c r="R303" s="19"/>
      <c r="S303" s="8"/>
      <c r="T303" s="7" t="str">
        <f>Tab_Data_Flows[[#This Row],[Flow_ID]]&amp;"_"&amp;"material_"&amp;Tab_Data_Flows[[#This Row],[Flow_Data_Year]]</f>
        <v>F___material_</v>
      </c>
      <c r="U303" s="16">
        <f t="shared" si="11"/>
        <v>0</v>
      </c>
      <c r="V303" s="8" t="s">
        <v>211</v>
      </c>
      <c r="W303" s="153">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3">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3">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30</v>
      </c>
      <c r="D304" s="10">
        <f>_xlfn.XLOOKUP(C304,Tab_Def_Flows[Flow_Name],Tab_Def_Flows[WC?],,0,)</f>
        <v>0</v>
      </c>
      <c r="E304" s="10">
        <f>_xlfn.XLOOKUP(C304,Tab_Def_Flows[Flow_Name],Tab_Def_Flows[DM?],,0,)</f>
        <v>0</v>
      </c>
      <c r="F304" s="10">
        <f>_xlfn.XLOOKUP(C304,Tab_Def_Flows[Flow_Name],Tab_Def_Flows[CC?],,0,)</f>
        <v>0</v>
      </c>
      <c r="G304" s="8"/>
      <c r="H304" s="26"/>
      <c r="I304" s="8"/>
      <c r="J304" s="18"/>
      <c r="K304" s="8"/>
      <c r="L304" s="13"/>
      <c r="M304" s="8"/>
      <c r="N304" s="8"/>
      <c r="O304" s="8"/>
      <c r="P304" s="8"/>
      <c r="Q304" s="8" t="s">
        <v>7</v>
      </c>
      <c r="R304" s="19"/>
      <c r="S304" s="8"/>
      <c r="T304" s="7" t="str">
        <f>Tab_Data_Flows[[#This Row],[Flow_ID]]&amp;"_"&amp;"material_"&amp;Tab_Data_Flows[[#This Row],[Flow_Data_Year]]</f>
        <v>F___material_</v>
      </c>
      <c r="U304" s="16">
        <f t="shared" si="11"/>
        <v>0</v>
      </c>
      <c r="V304" s="8" t="s">
        <v>211</v>
      </c>
      <c r="W304" s="153">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3">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3">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30</v>
      </c>
      <c r="D305" s="10">
        <f>_xlfn.XLOOKUP(C305,Tab_Def_Flows[Flow_Name],Tab_Def_Flows[WC?],,0,)</f>
        <v>0</v>
      </c>
      <c r="E305" s="10">
        <f>_xlfn.XLOOKUP(C305,Tab_Def_Flows[Flow_Name],Tab_Def_Flows[DM?],,0,)</f>
        <v>0</v>
      </c>
      <c r="F305" s="10">
        <f>_xlfn.XLOOKUP(C305,Tab_Def_Flows[Flow_Name],Tab_Def_Flows[CC?],,0,)</f>
        <v>0</v>
      </c>
      <c r="G305" s="8"/>
      <c r="H305" s="26"/>
      <c r="I305" s="8"/>
      <c r="J305" s="18"/>
      <c r="K305" s="8"/>
      <c r="L305" s="13"/>
      <c r="M305" s="8"/>
      <c r="N305" s="8"/>
      <c r="O305" s="8"/>
      <c r="P305" s="8"/>
      <c r="Q305" s="8" t="s">
        <v>7</v>
      </c>
      <c r="R305" s="19"/>
      <c r="S305" s="8"/>
      <c r="T305" s="7" t="str">
        <f>Tab_Data_Flows[[#This Row],[Flow_ID]]&amp;"_"&amp;"material_"&amp;Tab_Data_Flows[[#This Row],[Flow_Data_Year]]</f>
        <v>F___material_</v>
      </c>
      <c r="U305" s="16">
        <f t="shared" si="11"/>
        <v>0</v>
      </c>
      <c r="V305" s="8" t="s">
        <v>211</v>
      </c>
      <c r="W305" s="153">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3">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3">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30</v>
      </c>
      <c r="D306" s="10">
        <f>_xlfn.XLOOKUP(C306,Tab_Def_Flows[Flow_Name],Tab_Def_Flows[WC?],,0,)</f>
        <v>0</v>
      </c>
      <c r="E306" s="10">
        <f>_xlfn.XLOOKUP(C306,Tab_Def_Flows[Flow_Name],Tab_Def_Flows[DM?],,0,)</f>
        <v>0</v>
      </c>
      <c r="F306" s="10">
        <f>_xlfn.XLOOKUP(C306,Tab_Def_Flows[Flow_Name],Tab_Def_Flows[CC?],,0,)</f>
        <v>0</v>
      </c>
      <c r="G306" s="8"/>
      <c r="H306" s="26"/>
      <c r="I306" s="8"/>
      <c r="J306" s="18"/>
      <c r="K306" s="8"/>
      <c r="L306" s="13"/>
      <c r="M306" s="8"/>
      <c r="N306" s="8"/>
      <c r="O306" s="8"/>
      <c r="P306" s="8"/>
      <c r="Q306" s="8" t="s">
        <v>7</v>
      </c>
      <c r="R306" s="19"/>
      <c r="S306" s="8"/>
      <c r="T306" s="7" t="str">
        <f>Tab_Data_Flows[[#This Row],[Flow_ID]]&amp;"_"&amp;"material_"&amp;Tab_Data_Flows[[#This Row],[Flow_Data_Year]]</f>
        <v>F___material_</v>
      </c>
      <c r="U306" s="16">
        <f t="shared" si="11"/>
        <v>0</v>
      </c>
      <c r="V306" s="8" t="s">
        <v>211</v>
      </c>
      <c r="W306" s="153">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3">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3">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30</v>
      </c>
      <c r="D307" s="10">
        <f>_xlfn.XLOOKUP(C307,Tab_Def_Flows[Flow_Name],Tab_Def_Flows[WC?],,0,)</f>
        <v>0</v>
      </c>
      <c r="E307" s="10">
        <f>_xlfn.XLOOKUP(C307,Tab_Def_Flows[Flow_Name],Tab_Def_Flows[DM?],,0,)</f>
        <v>0</v>
      </c>
      <c r="F307" s="10">
        <f>_xlfn.XLOOKUP(C307,Tab_Def_Flows[Flow_Name],Tab_Def_Flows[CC?],,0,)</f>
        <v>0</v>
      </c>
      <c r="G307" s="8"/>
      <c r="H307" s="26"/>
      <c r="I307" s="8"/>
      <c r="J307" s="18"/>
      <c r="K307" s="8"/>
      <c r="L307" s="13"/>
      <c r="M307" s="8"/>
      <c r="N307" s="8"/>
      <c r="O307" s="8"/>
      <c r="P307" s="8"/>
      <c r="Q307" s="8" t="s">
        <v>7</v>
      </c>
      <c r="R307" s="19"/>
      <c r="S307" s="8"/>
      <c r="T307" s="7" t="str">
        <f>Tab_Data_Flows[[#This Row],[Flow_ID]]&amp;"_"&amp;"material_"&amp;Tab_Data_Flows[[#This Row],[Flow_Data_Year]]</f>
        <v>F___material_</v>
      </c>
      <c r="U307" s="16">
        <f t="shared" si="11"/>
        <v>0</v>
      </c>
      <c r="V307" s="8" t="s">
        <v>211</v>
      </c>
      <c r="W307" s="153">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3">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3">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30</v>
      </c>
      <c r="D308" s="10">
        <f>_xlfn.XLOOKUP(C308,Tab_Def_Flows[Flow_Name],Tab_Def_Flows[WC?],,0,)</f>
        <v>0</v>
      </c>
      <c r="E308" s="10">
        <f>_xlfn.XLOOKUP(C308,Tab_Def_Flows[Flow_Name],Tab_Def_Flows[DM?],,0,)</f>
        <v>0</v>
      </c>
      <c r="F308" s="10">
        <f>_xlfn.XLOOKUP(C308,Tab_Def_Flows[Flow_Name],Tab_Def_Flows[CC?],,0,)</f>
        <v>0</v>
      </c>
      <c r="G308" s="8"/>
      <c r="H308" s="26"/>
      <c r="I308" s="8"/>
      <c r="J308" s="18"/>
      <c r="K308" s="8"/>
      <c r="L308" s="13"/>
      <c r="M308" s="8"/>
      <c r="N308" s="8"/>
      <c r="O308" s="8"/>
      <c r="P308" s="8"/>
      <c r="Q308" s="8" t="s">
        <v>7</v>
      </c>
      <c r="R308" s="19"/>
      <c r="S308" s="8"/>
      <c r="T308" s="7" t="str">
        <f>Tab_Data_Flows[[#This Row],[Flow_ID]]&amp;"_"&amp;"material_"&amp;Tab_Data_Flows[[#This Row],[Flow_Data_Year]]</f>
        <v>F___material_</v>
      </c>
      <c r="U308" s="16">
        <f t="shared" si="11"/>
        <v>0</v>
      </c>
      <c r="V308" s="8" t="s">
        <v>211</v>
      </c>
      <c r="W308" s="153">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3">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3">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30</v>
      </c>
      <c r="D309" s="10">
        <f>_xlfn.XLOOKUP(C309,Tab_Def_Flows[Flow_Name],Tab_Def_Flows[WC?],,0,)</f>
        <v>0</v>
      </c>
      <c r="E309" s="10">
        <f>_xlfn.XLOOKUP(C309,Tab_Def_Flows[Flow_Name],Tab_Def_Flows[DM?],,0,)</f>
        <v>0</v>
      </c>
      <c r="F309" s="10">
        <f>_xlfn.XLOOKUP(C309,Tab_Def_Flows[Flow_Name],Tab_Def_Flows[CC?],,0,)</f>
        <v>0</v>
      </c>
      <c r="G309" s="8"/>
      <c r="H309" s="26"/>
      <c r="I309" s="8"/>
      <c r="J309" s="18"/>
      <c r="K309" s="8"/>
      <c r="L309" s="13"/>
      <c r="M309" s="8"/>
      <c r="N309" s="8"/>
      <c r="O309" s="8"/>
      <c r="P309" s="8"/>
      <c r="Q309" s="8" t="s">
        <v>7</v>
      </c>
      <c r="R309" s="19"/>
      <c r="S309" s="8"/>
      <c r="T309" s="7" t="str">
        <f>Tab_Data_Flows[[#This Row],[Flow_ID]]&amp;"_"&amp;"material_"&amp;Tab_Data_Flows[[#This Row],[Flow_Data_Year]]</f>
        <v>F___material_</v>
      </c>
      <c r="U309" s="16">
        <f t="shared" si="11"/>
        <v>0</v>
      </c>
      <c r="V309" s="8" t="s">
        <v>211</v>
      </c>
      <c r="W309" s="153">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3">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3">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30</v>
      </c>
      <c r="D310" s="10">
        <f>_xlfn.XLOOKUP(C310,Tab_Def_Flows[Flow_Name],Tab_Def_Flows[WC?],,0,)</f>
        <v>0</v>
      </c>
      <c r="E310" s="10">
        <f>_xlfn.XLOOKUP(C310,Tab_Def_Flows[Flow_Name],Tab_Def_Flows[DM?],,0,)</f>
        <v>0</v>
      </c>
      <c r="F310" s="10">
        <f>_xlfn.XLOOKUP(C310,Tab_Def_Flows[Flow_Name],Tab_Def_Flows[CC?],,0,)</f>
        <v>0</v>
      </c>
      <c r="G310" s="8"/>
      <c r="H310" s="26"/>
      <c r="I310" s="8"/>
      <c r="J310" s="18"/>
      <c r="K310" s="8"/>
      <c r="L310" s="13"/>
      <c r="M310" s="8"/>
      <c r="N310" s="8"/>
      <c r="O310" s="8"/>
      <c r="P310" s="8"/>
      <c r="Q310" s="8" t="s">
        <v>7</v>
      </c>
      <c r="R310" s="19"/>
      <c r="S310" s="8"/>
      <c r="T310" s="7" t="str">
        <f>Tab_Data_Flows[[#This Row],[Flow_ID]]&amp;"_"&amp;"material_"&amp;Tab_Data_Flows[[#This Row],[Flow_Data_Year]]</f>
        <v>F___material_</v>
      </c>
      <c r="U310" s="16">
        <f t="shared" si="11"/>
        <v>0</v>
      </c>
      <c r="V310" s="8" t="s">
        <v>211</v>
      </c>
      <c r="W310" s="153">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3">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3">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30</v>
      </c>
      <c r="D311" s="10">
        <f>_xlfn.XLOOKUP(C311,Tab_Def_Flows[Flow_Name],Tab_Def_Flows[WC?],,0,)</f>
        <v>0</v>
      </c>
      <c r="E311" s="10">
        <f>_xlfn.XLOOKUP(C311,Tab_Def_Flows[Flow_Name],Tab_Def_Flows[DM?],,0,)</f>
        <v>0</v>
      </c>
      <c r="F311" s="10">
        <f>_xlfn.XLOOKUP(C311,Tab_Def_Flows[Flow_Name],Tab_Def_Flows[CC?],,0,)</f>
        <v>0</v>
      </c>
      <c r="G311" s="8"/>
      <c r="H311" s="26"/>
      <c r="I311" s="8"/>
      <c r="J311" s="18"/>
      <c r="K311" s="8"/>
      <c r="L311" s="13"/>
      <c r="M311" s="8"/>
      <c r="N311" s="8"/>
      <c r="O311" s="8"/>
      <c r="P311" s="8"/>
      <c r="Q311" s="8" t="s">
        <v>7</v>
      </c>
      <c r="R311" s="19"/>
      <c r="S311" s="8"/>
      <c r="T311" s="7" t="str">
        <f>Tab_Data_Flows[[#This Row],[Flow_ID]]&amp;"_"&amp;"material_"&amp;Tab_Data_Flows[[#This Row],[Flow_Data_Year]]</f>
        <v>F___material_</v>
      </c>
      <c r="U311" s="16">
        <f t="shared" si="11"/>
        <v>0</v>
      </c>
      <c r="V311" s="8" t="s">
        <v>211</v>
      </c>
      <c r="W311" s="153">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3">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3">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30</v>
      </c>
      <c r="D312" s="10">
        <f>_xlfn.XLOOKUP(C312,Tab_Def_Flows[Flow_Name],Tab_Def_Flows[WC?],,0,)</f>
        <v>0</v>
      </c>
      <c r="E312" s="10">
        <f>_xlfn.XLOOKUP(C312,Tab_Def_Flows[Flow_Name],Tab_Def_Flows[DM?],,0,)</f>
        <v>0</v>
      </c>
      <c r="F312" s="10">
        <f>_xlfn.XLOOKUP(C312,Tab_Def_Flows[Flow_Name],Tab_Def_Flows[CC?],,0,)</f>
        <v>0</v>
      </c>
      <c r="G312" s="8"/>
      <c r="H312" s="26"/>
      <c r="I312" s="8"/>
      <c r="J312" s="18"/>
      <c r="K312" s="8"/>
      <c r="L312" s="13"/>
      <c r="M312" s="8"/>
      <c r="N312" s="8"/>
      <c r="O312" s="8"/>
      <c r="P312" s="8"/>
      <c r="Q312" s="8" t="s">
        <v>7</v>
      </c>
      <c r="R312" s="19"/>
      <c r="S312" s="8"/>
      <c r="T312" s="7" t="str">
        <f>Tab_Data_Flows[[#This Row],[Flow_ID]]&amp;"_"&amp;"material_"&amp;Tab_Data_Flows[[#This Row],[Flow_Data_Year]]</f>
        <v>F___material_</v>
      </c>
      <c r="U312" s="16">
        <f t="shared" si="11"/>
        <v>0</v>
      </c>
      <c r="V312" s="8" t="s">
        <v>211</v>
      </c>
      <c r="W312" s="153">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3">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3">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30</v>
      </c>
      <c r="D313" s="10">
        <f>_xlfn.XLOOKUP(C313,Tab_Def_Flows[Flow_Name],Tab_Def_Flows[WC?],,0,)</f>
        <v>0</v>
      </c>
      <c r="E313" s="10">
        <f>_xlfn.XLOOKUP(C313,Tab_Def_Flows[Flow_Name],Tab_Def_Flows[DM?],,0,)</f>
        <v>0</v>
      </c>
      <c r="F313" s="10">
        <f>_xlfn.XLOOKUP(C313,Tab_Def_Flows[Flow_Name],Tab_Def_Flows[CC?],,0,)</f>
        <v>0</v>
      </c>
      <c r="G313" s="8"/>
      <c r="H313" s="26"/>
      <c r="I313" s="8"/>
      <c r="J313" s="18"/>
      <c r="K313" s="8"/>
      <c r="L313" s="13"/>
      <c r="M313" s="8"/>
      <c r="N313" s="8"/>
      <c r="O313" s="8"/>
      <c r="P313" s="8"/>
      <c r="Q313" s="8" t="s">
        <v>7</v>
      </c>
      <c r="R313" s="19"/>
      <c r="S313" s="8"/>
      <c r="T313" s="7" t="str">
        <f>Tab_Data_Flows[[#This Row],[Flow_ID]]&amp;"_"&amp;"material_"&amp;Tab_Data_Flows[[#This Row],[Flow_Data_Year]]</f>
        <v>F___material_</v>
      </c>
      <c r="U313" s="16">
        <f t="shared" si="11"/>
        <v>0</v>
      </c>
      <c r="V313" s="8" t="s">
        <v>211</v>
      </c>
      <c r="W313" s="153">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3">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3">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30</v>
      </c>
      <c r="D314" s="10">
        <f>_xlfn.XLOOKUP(C314,Tab_Def_Flows[Flow_Name],Tab_Def_Flows[WC?],,0,)</f>
        <v>0</v>
      </c>
      <c r="E314" s="10">
        <f>_xlfn.XLOOKUP(C314,Tab_Def_Flows[Flow_Name],Tab_Def_Flows[DM?],,0,)</f>
        <v>0</v>
      </c>
      <c r="F314" s="10">
        <f>_xlfn.XLOOKUP(C314,Tab_Def_Flows[Flow_Name],Tab_Def_Flows[CC?],,0,)</f>
        <v>0</v>
      </c>
      <c r="G314" s="8"/>
      <c r="H314" s="26"/>
      <c r="I314" s="8"/>
      <c r="J314" s="18"/>
      <c r="K314" s="8"/>
      <c r="L314" s="13"/>
      <c r="M314" s="8"/>
      <c r="N314" s="8"/>
      <c r="O314" s="8"/>
      <c r="P314" s="8"/>
      <c r="Q314" s="8" t="s">
        <v>7</v>
      </c>
      <c r="R314" s="19"/>
      <c r="S314" s="8"/>
      <c r="T314" s="7" t="str">
        <f>Tab_Data_Flows[[#This Row],[Flow_ID]]&amp;"_"&amp;"material_"&amp;Tab_Data_Flows[[#This Row],[Flow_Data_Year]]</f>
        <v>F___material_</v>
      </c>
      <c r="U314" s="16">
        <f t="shared" si="11"/>
        <v>0</v>
      </c>
      <c r="V314" s="8" t="s">
        <v>211</v>
      </c>
      <c r="W314" s="153">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3">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3">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30</v>
      </c>
      <c r="D315" s="10">
        <f>_xlfn.XLOOKUP(C315,Tab_Def_Flows[Flow_Name],Tab_Def_Flows[WC?],,0,)</f>
        <v>0</v>
      </c>
      <c r="E315" s="10">
        <f>_xlfn.XLOOKUP(C315,Tab_Def_Flows[Flow_Name],Tab_Def_Flows[DM?],,0,)</f>
        <v>0</v>
      </c>
      <c r="F315" s="10">
        <f>_xlfn.XLOOKUP(C315,Tab_Def_Flows[Flow_Name],Tab_Def_Flows[CC?],,0,)</f>
        <v>0</v>
      </c>
      <c r="G315" s="8"/>
      <c r="H315" s="26"/>
      <c r="I315" s="8"/>
      <c r="J315" s="18"/>
      <c r="K315" s="8"/>
      <c r="L315" s="13"/>
      <c r="M315" s="8"/>
      <c r="N315" s="8"/>
      <c r="O315" s="8"/>
      <c r="P315" s="8"/>
      <c r="Q315" s="8" t="s">
        <v>7</v>
      </c>
      <c r="R315" s="19"/>
      <c r="S315" s="8"/>
      <c r="T315" s="7" t="str">
        <f>Tab_Data_Flows[[#This Row],[Flow_ID]]&amp;"_"&amp;"material_"&amp;Tab_Data_Flows[[#This Row],[Flow_Data_Year]]</f>
        <v>F___material_</v>
      </c>
      <c r="U315" s="16">
        <f t="shared" si="11"/>
        <v>0</v>
      </c>
      <c r="V315" s="8" t="s">
        <v>211</v>
      </c>
      <c r="W315" s="153">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3">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3">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30</v>
      </c>
      <c r="D316" s="10">
        <f>_xlfn.XLOOKUP(C316,Tab_Def_Flows[Flow_Name],Tab_Def_Flows[WC?],,0,)</f>
        <v>0</v>
      </c>
      <c r="E316" s="10">
        <f>_xlfn.XLOOKUP(C316,Tab_Def_Flows[Flow_Name],Tab_Def_Flows[DM?],,0,)</f>
        <v>0</v>
      </c>
      <c r="F316" s="10">
        <f>_xlfn.XLOOKUP(C316,Tab_Def_Flows[Flow_Name],Tab_Def_Flows[CC?],,0,)</f>
        <v>0</v>
      </c>
      <c r="G316" s="8"/>
      <c r="H316" s="26"/>
      <c r="I316" s="8"/>
      <c r="J316" s="18"/>
      <c r="K316" s="8"/>
      <c r="L316" s="13"/>
      <c r="M316" s="8"/>
      <c r="N316" s="8"/>
      <c r="O316" s="8"/>
      <c r="P316" s="8"/>
      <c r="Q316" s="8" t="s">
        <v>7</v>
      </c>
      <c r="R316" s="19"/>
      <c r="S316" s="8"/>
      <c r="T316" s="7" t="str">
        <f>Tab_Data_Flows[[#This Row],[Flow_ID]]&amp;"_"&amp;"material_"&amp;Tab_Data_Flows[[#This Row],[Flow_Data_Year]]</f>
        <v>F___material_</v>
      </c>
      <c r="U316" s="16">
        <f t="shared" si="11"/>
        <v>0</v>
      </c>
      <c r="V316" s="8" t="s">
        <v>211</v>
      </c>
      <c r="W316" s="153">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3">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3">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30</v>
      </c>
      <c r="D317" s="10">
        <f>_xlfn.XLOOKUP(C317,Tab_Def_Flows[Flow_Name],Tab_Def_Flows[WC?],,0,)</f>
        <v>0</v>
      </c>
      <c r="E317" s="10">
        <f>_xlfn.XLOOKUP(C317,Tab_Def_Flows[Flow_Name],Tab_Def_Flows[DM?],,0,)</f>
        <v>0</v>
      </c>
      <c r="F317" s="10">
        <f>_xlfn.XLOOKUP(C317,Tab_Def_Flows[Flow_Name],Tab_Def_Flows[CC?],,0,)</f>
        <v>0</v>
      </c>
      <c r="G317" s="8"/>
      <c r="H317" s="26"/>
      <c r="I317" s="8"/>
      <c r="J317" s="18"/>
      <c r="K317" s="8"/>
      <c r="L317" s="13"/>
      <c r="M317" s="8"/>
      <c r="N317" s="8"/>
      <c r="O317" s="8"/>
      <c r="P317" s="8"/>
      <c r="Q317" s="8" t="s">
        <v>7</v>
      </c>
      <c r="R317" s="19"/>
      <c r="S317" s="8"/>
      <c r="T317" s="7" t="str">
        <f>Tab_Data_Flows[[#This Row],[Flow_ID]]&amp;"_"&amp;"material_"&amp;Tab_Data_Flows[[#This Row],[Flow_Data_Year]]</f>
        <v>F___material_</v>
      </c>
      <c r="U317" s="16">
        <f t="shared" si="11"/>
        <v>0</v>
      </c>
      <c r="V317" s="8" t="s">
        <v>211</v>
      </c>
      <c r="W317" s="153">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3">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3">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30</v>
      </c>
      <c r="D318" s="10">
        <f>_xlfn.XLOOKUP(C318,Tab_Def_Flows[Flow_Name],Tab_Def_Flows[WC?],,0,)</f>
        <v>0</v>
      </c>
      <c r="E318" s="10">
        <f>_xlfn.XLOOKUP(C318,Tab_Def_Flows[Flow_Name],Tab_Def_Flows[DM?],,0,)</f>
        <v>0</v>
      </c>
      <c r="F318" s="10">
        <f>_xlfn.XLOOKUP(C318,Tab_Def_Flows[Flow_Name],Tab_Def_Flows[CC?],,0,)</f>
        <v>0</v>
      </c>
      <c r="G318" s="8"/>
      <c r="H318" s="26"/>
      <c r="I318" s="8"/>
      <c r="J318" s="18"/>
      <c r="K318" s="8"/>
      <c r="L318" s="13"/>
      <c r="M318" s="8"/>
      <c r="N318" s="8"/>
      <c r="O318" s="8"/>
      <c r="P318" s="8"/>
      <c r="Q318" s="8" t="s">
        <v>7</v>
      </c>
      <c r="R318" s="19"/>
      <c r="S318" s="8"/>
      <c r="T318" s="7" t="str">
        <f>Tab_Data_Flows[[#This Row],[Flow_ID]]&amp;"_"&amp;"material_"&amp;Tab_Data_Flows[[#This Row],[Flow_Data_Year]]</f>
        <v>F___material_</v>
      </c>
      <c r="U318" s="16">
        <f t="shared" si="11"/>
        <v>0</v>
      </c>
      <c r="V318" s="8" t="s">
        <v>211</v>
      </c>
      <c r="W318" s="153">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3">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3">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30</v>
      </c>
      <c r="D319" s="10">
        <f>_xlfn.XLOOKUP(C319,Tab_Def_Flows[Flow_Name],Tab_Def_Flows[WC?],,0,)</f>
        <v>0</v>
      </c>
      <c r="E319" s="10">
        <f>_xlfn.XLOOKUP(C319,Tab_Def_Flows[Flow_Name],Tab_Def_Flows[DM?],,0,)</f>
        <v>0</v>
      </c>
      <c r="F319" s="10">
        <f>_xlfn.XLOOKUP(C319,Tab_Def_Flows[Flow_Name],Tab_Def_Flows[CC?],,0,)</f>
        <v>0</v>
      </c>
      <c r="G319" s="8"/>
      <c r="H319" s="26"/>
      <c r="I319" s="8"/>
      <c r="J319" s="18"/>
      <c r="K319" s="8"/>
      <c r="L319" s="13"/>
      <c r="M319" s="8"/>
      <c r="N319" s="8"/>
      <c r="O319" s="8"/>
      <c r="P319" s="8"/>
      <c r="Q319" s="8" t="s">
        <v>7</v>
      </c>
      <c r="R319" s="19"/>
      <c r="S319" s="8"/>
      <c r="T319" s="7" t="str">
        <f>Tab_Data_Flows[[#This Row],[Flow_ID]]&amp;"_"&amp;"material_"&amp;Tab_Data_Flows[[#This Row],[Flow_Data_Year]]</f>
        <v>F___material_</v>
      </c>
      <c r="U319" s="16">
        <f t="shared" si="11"/>
        <v>0</v>
      </c>
      <c r="V319" s="8" t="s">
        <v>211</v>
      </c>
      <c r="W319" s="153">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3">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3">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30</v>
      </c>
      <c r="D320" s="10">
        <f>_xlfn.XLOOKUP(C320,Tab_Def_Flows[Flow_Name],Tab_Def_Flows[WC?],,0,)</f>
        <v>0</v>
      </c>
      <c r="E320" s="10">
        <f>_xlfn.XLOOKUP(C320,Tab_Def_Flows[Flow_Name],Tab_Def_Flows[DM?],,0,)</f>
        <v>0</v>
      </c>
      <c r="F320" s="10">
        <f>_xlfn.XLOOKUP(C320,Tab_Def_Flows[Flow_Name],Tab_Def_Flows[CC?],,0,)</f>
        <v>0</v>
      </c>
      <c r="G320" s="8"/>
      <c r="H320" s="26"/>
      <c r="I320" s="8"/>
      <c r="J320" s="18"/>
      <c r="K320" s="8"/>
      <c r="L320" s="13"/>
      <c r="M320" s="8"/>
      <c r="N320" s="8"/>
      <c r="O320" s="8"/>
      <c r="P320" s="8"/>
      <c r="Q320" s="8" t="s">
        <v>7</v>
      </c>
      <c r="R320" s="19"/>
      <c r="S320" s="8"/>
      <c r="T320" s="7" t="str">
        <f>Tab_Data_Flows[[#This Row],[Flow_ID]]&amp;"_"&amp;"material_"&amp;Tab_Data_Flows[[#This Row],[Flow_Data_Year]]</f>
        <v>F___material_</v>
      </c>
      <c r="U320" s="16">
        <f t="shared" si="11"/>
        <v>0</v>
      </c>
      <c r="V320" s="8" t="s">
        <v>211</v>
      </c>
      <c r="W320" s="153">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3">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3">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30</v>
      </c>
      <c r="D321" s="10">
        <f>_xlfn.XLOOKUP(C321,Tab_Def_Flows[Flow_Name],Tab_Def_Flows[WC?],,0,)</f>
        <v>0</v>
      </c>
      <c r="E321" s="10">
        <f>_xlfn.XLOOKUP(C321,Tab_Def_Flows[Flow_Name],Tab_Def_Flows[DM?],,0,)</f>
        <v>0</v>
      </c>
      <c r="F321" s="10">
        <f>_xlfn.XLOOKUP(C321,Tab_Def_Flows[Flow_Name],Tab_Def_Flows[CC?],,0,)</f>
        <v>0</v>
      </c>
      <c r="G321" s="8"/>
      <c r="H321" s="26"/>
      <c r="I321" s="8"/>
      <c r="J321" s="18"/>
      <c r="K321" s="8"/>
      <c r="L321" s="13"/>
      <c r="M321" s="8"/>
      <c r="N321" s="8"/>
      <c r="O321" s="8"/>
      <c r="P321" s="8"/>
      <c r="Q321" s="8" t="s">
        <v>7</v>
      </c>
      <c r="R321" s="19"/>
      <c r="S321" s="8"/>
      <c r="T321" s="7" t="str">
        <f>Tab_Data_Flows[[#This Row],[Flow_ID]]&amp;"_"&amp;"material_"&amp;Tab_Data_Flows[[#This Row],[Flow_Data_Year]]</f>
        <v>F___material_</v>
      </c>
      <c r="U321" s="16">
        <f t="shared" si="11"/>
        <v>0</v>
      </c>
      <c r="V321" s="8" t="s">
        <v>211</v>
      </c>
      <c r="W321" s="153">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3">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3">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30</v>
      </c>
      <c r="D322" s="10">
        <f>_xlfn.XLOOKUP(C322,Tab_Def_Flows[Flow_Name],Tab_Def_Flows[WC?],,0,)</f>
        <v>0</v>
      </c>
      <c r="E322" s="10">
        <f>_xlfn.XLOOKUP(C322,Tab_Def_Flows[Flow_Name],Tab_Def_Flows[DM?],,0,)</f>
        <v>0</v>
      </c>
      <c r="F322" s="10">
        <f>_xlfn.XLOOKUP(C322,Tab_Def_Flows[Flow_Name],Tab_Def_Flows[CC?],,0,)</f>
        <v>0</v>
      </c>
      <c r="G322" s="8"/>
      <c r="H322" s="26"/>
      <c r="I322" s="8"/>
      <c r="J322" s="18"/>
      <c r="K322" s="8"/>
      <c r="L322" s="13"/>
      <c r="M322" s="8"/>
      <c r="N322" s="8"/>
      <c r="O322" s="8"/>
      <c r="P322" s="8"/>
      <c r="Q322" s="8" t="s">
        <v>7</v>
      </c>
      <c r="R322" s="19"/>
      <c r="S322" s="8"/>
      <c r="T322" s="7" t="str">
        <f>Tab_Data_Flows[[#This Row],[Flow_ID]]&amp;"_"&amp;"material_"&amp;Tab_Data_Flows[[#This Row],[Flow_Data_Year]]</f>
        <v>F___material_</v>
      </c>
      <c r="U322" s="16">
        <f t="shared" si="11"/>
        <v>0</v>
      </c>
      <c r="V322" s="8" t="s">
        <v>211</v>
      </c>
      <c r="W322" s="153">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3">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3">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30</v>
      </c>
      <c r="D323" s="10">
        <f>_xlfn.XLOOKUP(C323,Tab_Def_Flows[Flow_Name],Tab_Def_Flows[WC?],,0,)</f>
        <v>0</v>
      </c>
      <c r="E323" s="10">
        <f>_xlfn.XLOOKUP(C323,Tab_Def_Flows[Flow_Name],Tab_Def_Flows[DM?],,0,)</f>
        <v>0</v>
      </c>
      <c r="F323" s="10">
        <f>_xlfn.XLOOKUP(C323,Tab_Def_Flows[Flow_Name],Tab_Def_Flows[CC?],,0,)</f>
        <v>0</v>
      </c>
      <c r="G323" s="8"/>
      <c r="H323" s="26"/>
      <c r="I323" s="8"/>
      <c r="J323" s="18"/>
      <c r="K323" s="8"/>
      <c r="L323" s="13"/>
      <c r="M323" s="8"/>
      <c r="N323" s="8"/>
      <c r="O323" s="8"/>
      <c r="P323" s="8"/>
      <c r="Q323" s="8" t="s">
        <v>7</v>
      </c>
      <c r="R323" s="19"/>
      <c r="S323" s="8"/>
      <c r="T323" s="7" t="str">
        <f>Tab_Data_Flows[[#This Row],[Flow_ID]]&amp;"_"&amp;"material_"&amp;Tab_Data_Flows[[#This Row],[Flow_Data_Year]]</f>
        <v>F___material_</v>
      </c>
      <c r="U323" s="16">
        <f t="shared" ref="U323:U350" si="13">IF(Q323="no",H323,H323*R323)</f>
        <v>0</v>
      </c>
      <c r="V323" s="8" t="s">
        <v>211</v>
      </c>
      <c r="W323" s="153">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3">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3">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30</v>
      </c>
      <c r="D324" s="10">
        <f>_xlfn.XLOOKUP(C324,Tab_Def_Flows[Flow_Name],Tab_Def_Flows[WC?],,0,)</f>
        <v>0</v>
      </c>
      <c r="E324" s="10">
        <f>_xlfn.XLOOKUP(C324,Tab_Def_Flows[Flow_Name],Tab_Def_Flows[DM?],,0,)</f>
        <v>0</v>
      </c>
      <c r="F324" s="10">
        <f>_xlfn.XLOOKUP(C324,Tab_Def_Flows[Flow_Name],Tab_Def_Flows[CC?],,0,)</f>
        <v>0</v>
      </c>
      <c r="G324" s="8"/>
      <c r="H324" s="26"/>
      <c r="I324" s="8"/>
      <c r="J324" s="18"/>
      <c r="K324" s="8"/>
      <c r="L324" s="13"/>
      <c r="M324" s="8"/>
      <c r="N324" s="8"/>
      <c r="O324" s="8"/>
      <c r="P324" s="8"/>
      <c r="Q324" s="8" t="s">
        <v>7</v>
      </c>
      <c r="R324" s="19"/>
      <c r="S324" s="8"/>
      <c r="T324" s="7" t="str">
        <f>Tab_Data_Flows[[#This Row],[Flow_ID]]&amp;"_"&amp;"material_"&amp;Tab_Data_Flows[[#This Row],[Flow_Data_Year]]</f>
        <v>F___material_</v>
      </c>
      <c r="U324" s="16">
        <f t="shared" si="13"/>
        <v>0</v>
      </c>
      <c r="V324" s="8" t="s">
        <v>211</v>
      </c>
      <c r="W324" s="153">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3">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3">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30</v>
      </c>
      <c r="D325" s="10">
        <f>_xlfn.XLOOKUP(C325,Tab_Def_Flows[Flow_Name],Tab_Def_Flows[WC?],,0,)</f>
        <v>0</v>
      </c>
      <c r="E325" s="10">
        <f>_xlfn.XLOOKUP(C325,Tab_Def_Flows[Flow_Name],Tab_Def_Flows[DM?],,0,)</f>
        <v>0</v>
      </c>
      <c r="F325" s="10">
        <f>_xlfn.XLOOKUP(C325,Tab_Def_Flows[Flow_Name],Tab_Def_Flows[CC?],,0,)</f>
        <v>0</v>
      </c>
      <c r="G325" s="8"/>
      <c r="H325" s="26"/>
      <c r="I325" s="8"/>
      <c r="J325" s="18"/>
      <c r="K325" s="8"/>
      <c r="L325" s="13"/>
      <c r="M325" s="8"/>
      <c r="N325" s="8"/>
      <c r="O325" s="8"/>
      <c r="P325" s="8"/>
      <c r="Q325" s="8" t="s">
        <v>7</v>
      </c>
      <c r="R325" s="19"/>
      <c r="S325" s="8"/>
      <c r="T325" s="7" t="str">
        <f>Tab_Data_Flows[[#This Row],[Flow_ID]]&amp;"_"&amp;"material_"&amp;Tab_Data_Flows[[#This Row],[Flow_Data_Year]]</f>
        <v>F___material_</v>
      </c>
      <c r="U325" s="16">
        <f t="shared" si="13"/>
        <v>0</v>
      </c>
      <c r="V325" s="8" t="s">
        <v>211</v>
      </c>
      <c r="W325" s="153">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3">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3">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30</v>
      </c>
      <c r="D326" s="10">
        <f>_xlfn.XLOOKUP(C326,Tab_Def_Flows[Flow_Name],Tab_Def_Flows[WC?],,0,)</f>
        <v>0</v>
      </c>
      <c r="E326" s="10">
        <f>_xlfn.XLOOKUP(C326,Tab_Def_Flows[Flow_Name],Tab_Def_Flows[DM?],,0,)</f>
        <v>0</v>
      </c>
      <c r="F326" s="10">
        <f>_xlfn.XLOOKUP(C326,Tab_Def_Flows[Flow_Name],Tab_Def_Flows[CC?],,0,)</f>
        <v>0</v>
      </c>
      <c r="G326" s="8"/>
      <c r="H326" s="26"/>
      <c r="I326" s="8"/>
      <c r="J326" s="18"/>
      <c r="K326" s="8"/>
      <c r="L326" s="13"/>
      <c r="M326" s="8"/>
      <c r="N326" s="8"/>
      <c r="O326" s="8"/>
      <c r="P326" s="8"/>
      <c r="Q326" s="8" t="s">
        <v>7</v>
      </c>
      <c r="R326" s="19"/>
      <c r="S326" s="8"/>
      <c r="T326" s="7" t="str">
        <f>Tab_Data_Flows[[#This Row],[Flow_ID]]&amp;"_"&amp;"material_"&amp;Tab_Data_Flows[[#This Row],[Flow_Data_Year]]</f>
        <v>F___material_</v>
      </c>
      <c r="U326" s="16">
        <f t="shared" si="13"/>
        <v>0</v>
      </c>
      <c r="V326" s="8" t="s">
        <v>211</v>
      </c>
      <c r="W326" s="153">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3">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3">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30</v>
      </c>
      <c r="D327" s="10">
        <f>_xlfn.XLOOKUP(C327,Tab_Def_Flows[Flow_Name],Tab_Def_Flows[WC?],,0,)</f>
        <v>0</v>
      </c>
      <c r="E327" s="10">
        <f>_xlfn.XLOOKUP(C327,Tab_Def_Flows[Flow_Name],Tab_Def_Flows[DM?],,0,)</f>
        <v>0</v>
      </c>
      <c r="F327" s="10">
        <f>_xlfn.XLOOKUP(C327,Tab_Def_Flows[Flow_Name],Tab_Def_Flows[CC?],,0,)</f>
        <v>0</v>
      </c>
      <c r="G327" s="8"/>
      <c r="H327" s="26"/>
      <c r="I327" s="8"/>
      <c r="J327" s="18"/>
      <c r="K327" s="8"/>
      <c r="L327" s="13"/>
      <c r="M327" s="8"/>
      <c r="N327" s="8"/>
      <c r="O327" s="8"/>
      <c r="P327" s="8"/>
      <c r="Q327" s="8" t="s">
        <v>7</v>
      </c>
      <c r="R327" s="19"/>
      <c r="S327" s="8"/>
      <c r="T327" s="7" t="str">
        <f>Tab_Data_Flows[[#This Row],[Flow_ID]]&amp;"_"&amp;"material_"&amp;Tab_Data_Flows[[#This Row],[Flow_Data_Year]]</f>
        <v>F___material_</v>
      </c>
      <c r="U327" s="16">
        <f t="shared" si="13"/>
        <v>0</v>
      </c>
      <c r="V327" s="8" t="s">
        <v>211</v>
      </c>
      <c r="W327" s="153">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3">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3">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30</v>
      </c>
      <c r="D328" s="10">
        <f>_xlfn.XLOOKUP(C328,Tab_Def_Flows[Flow_Name],Tab_Def_Flows[WC?],,0,)</f>
        <v>0</v>
      </c>
      <c r="E328" s="10">
        <f>_xlfn.XLOOKUP(C328,Tab_Def_Flows[Flow_Name],Tab_Def_Flows[DM?],,0,)</f>
        <v>0</v>
      </c>
      <c r="F328" s="10">
        <f>_xlfn.XLOOKUP(C328,Tab_Def_Flows[Flow_Name],Tab_Def_Flows[CC?],,0,)</f>
        <v>0</v>
      </c>
      <c r="G328" s="8"/>
      <c r="H328" s="26"/>
      <c r="I328" s="8"/>
      <c r="J328" s="18"/>
      <c r="K328" s="8"/>
      <c r="L328" s="13"/>
      <c r="M328" s="8"/>
      <c r="N328" s="8"/>
      <c r="O328" s="8"/>
      <c r="P328" s="8"/>
      <c r="Q328" s="8" t="s">
        <v>7</v>
      </c>
      <c r="R328" s="19"/>
      <c r="S328" s="8"/>
      <c r="T328" s="7" t="str">
        <f>Tab_Data_Flows[[#This Row],[Flow_ID]]&amp;"_"&amp;"material_"&amp;Tab_Data_Flows[[#This Row],[Flow_Data_Year]]</f>
        <v>F___material_</v>
      </c>
      <c r="U328" s="16">
        <f t="shared" si="13"/>
        <v>0</v>
      </c>
      <c r="V328" s="8" t="s">
        <v>211</v>
      </c>
      <c r="W328" s="153">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3">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3">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30</v>
      </c>
      <c r="D329" s="10">
        <f>_xlfn.XLOOKUP(C329,Tab_Def_Flows[Flow_Name],Tab_Def_Flows[WC?],,0,)</f>
        <v>0</v>
      </c>
      <c r="E329" s="10">
        <f>_xlfn.XLOOKUP(C329,Tab_Def_Flows[Flow_Name],Tab_Def_Flows[DM?],,0,)</f>
        <v>0</v>
      </c>
      <c r="F329" s="10">
        <f>_xlfn.XLOOKUP(C329,Tab_Def_Flows[Flow_Name],Tab_Def_Flows[CC?],,0,)</f>
        <v>0</v>
      </c>
      <c r="G329" s="8"/>
      <c r="H329" s="26"/>
      <c r="I329" s="8"/>
      <c r="J329" s="18"/>
      <c r="K329" s="8"/>
      <c r="L329" s="13"/>
      <c r="M329" s="8"/>
      <c r="N329" s="8"/>
      <c r="O329" s="8"/>
      <c r="P329" s="8"/>
      <c r="Q329" s="8" t="s">
        <v>7</v>
      </c>
      <c r="R329" s="19"/>
      <c r="S329" s="8"/>
      <c r="T329" s="7" t="str">
        <f>Tab_Data_Flows[[#This Row],[Flow_ID]]&amp;"_"&amp;"material_"&amp;Tab_Data_Flows[[#This Row],[Flow_Data_Year]]</f>
        <v>F___material_</v>
      </c>
      <c r="U329" s="16">
        <f t="shared" si="13"/>
        <v>0</v>
      </c>
      <c r="V329" s="8" t="s">
        <v>211</v>
      </c>
      <c r="W329" s="153">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3">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3">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30</v>
      </c>
      <c r="D330" s="10">
        <f>_xlfn.XLOOKUP(C330,Tab_Def_Flows[Flow_Name],Tab_Def_Flows[WC?],,0,)</f>
        <v>0</v>
      </c>
      <c r="E330" s="10">
        <f>_xlfn.XLOOKUP(C330,Tab_Def_Flows[Flow_Name],Tab_Def_Flows[DM?],,0,)</f>
        <v>0</v>
      </c>
      <c r="F330" s="10">
        <f>_xlfn.XLOOKUP(C330,Tab_Def_Flows[Flow_Name],Tab_Def_Flows[CC?],,0,)</f>
        <v>0</v>
      </c>
      <c r="G330" s="8"/>
      <c r="H330" s="26"/>
      <c r="I330" s="8"/>
      <c r="J330" s="18"/>
      <c r="K330" s="8"/>
      <c r="L330" s="13"/>
      <c r="M330" s="8"/>
      <c r="N330" s="8"/>
      <c r="O330" s="8"/>
      <c r="P330" s="8"/>
      <c r="Q330" s="8" t="s">
        <v>7</v>
      </c>
      <c r="R330" s="19"/>
      <c r="S330" s="8"/>
      <c r="T330" s="7" t="str">
        <f>Tab_Data_Flows[[#This Row],[Flow_ID]]&amp;"_"&amp;"material_"&amp;Tab_Data_Flows[[#This Row],[Flow_Data_Year]]</f>
        <v>F___material_</v>
      </c>
      <c r="U330" s="16">
        <f t="shared" si="13"/>
        <v>0</v>
      </c>
      <c r="V330" s="8" t="s">
        <v>211</v>
      </c>
      <c r="W330" s="153">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3">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3">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30</v>
      </c>
      <c r="D331" s="10">
        <f>_xlfn.XLOOKUP(C331,Tab_Def_Flows[Flow_Name],Tab_Def_Flows[WC?],,0,)</f>
        <v>0</v>
      </c>
      <c r="E331" s="10">
        <f>_xlfn.XLOOKUP(C331,Tab_Def_Flows[Flow_Name],Tab_Def_Flows[DM?],,0,)</f>
        <v>0</v>
      </c>
      <c r="F331" s="10">
        <f>_xlfn.XLOOKUP(C331,Tab_Def_Flows[Flow_Name],Tab_Def_Flows[CC?],,0,)</f>
        <v>0</v>
      </c>
      <c r="G331" s="8"/>
      <c r="H331" s="26"/>
      <c r="I331" s="8"/>
      <c r="J331" s="18"/>
      <c r="K331" s="8"/>
      <c r="L331" s="13"/>
      <c r="M331" s="8"/>
      <c r="N331" s="8"/>
      <c r="O331" s="8"/>
      <c r="P331" s="8"/>
      <c r="Q331" s="8" t="s">
        <v>7</v>
      </c>
      <c r="R331" s="19"/>
      <c r="S331" s="8"/>
      <c r="T331" s="7" t="str">
        <f>Tab_Data_Flows[[#This Row],[Flow_ID]]&amp;"_"&amp;"material_"&amp;Tab_Data_Flows[[#This Row],[Flow_Data_Year]]</f>
        <v>F___material_</v>
      </c>
      <c r="U331" s="16">
        <f t="shared" si="13"/>
        <v>0</v>
      </c>
      <c r="V331" s="8" t="s">
        <v>211</v>
      </c>
      <c r="W331" s="153">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3">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3">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30</v>
      </c>
      <c r="D332" s="10">
        <f>_xlfn.XLOOKUP(C332,Tab_Def_Flows[Flow_Name],Tab_Def_Flows[WC?],,0,)</f>
        <v>0</v>
      </c>
      <c r="E332" s="10">
        <f>_xlfn.XLOOKUP(C332,Tab_Def_Flows[Flow_Name],Tab_Def_Flows[DM?],,0,)</f>
        <v>0</v>
      </c>
      <c r="F332" s="10">
        <f>_xlfn.XLOOKUP(C332,Tab_Def_Flows[Flow_Name],Tab_Def_Flows[CC?],,0,)</f>
        <v>0</v>
      </c>
      <c r="G332" s="8"/>
      <c r="H332" s="26"/>
      <c r="I332" s="8"/>
      <c r="J332" s="18"/>
      <c r="K332" s="8"/>
      <c r="L332" s="13"/>
      <c r="M332" s="8"/>
      <c r="N332" s="8"/>
      <c r="O332" s="8"/>
      <c r="P332" s="8"/>
      <c r="Q332" s="8" t="s">
        <v>7</v>
      </c>
      <c r="R332" s="19"/>
      <c r="S332" s="8"/>
      <c r="T332" s="7" t="str">
        <f>Tab_Data_Flows[[#This Row],[Flow_ID]]&amp;"_"&amp;"material_"&amp;Tab_Data_Flows[[#This Row],[Flow_Data_Year]]</f>
        <v>F___material_</v>
      </c>
      <c r="U332" s="16">
        <f t="shared" si="13"/>
        <v>0</v>
      </c>
      <c r="V332" s="8" t="s">
        <v>211</v>
      </c>
      <c r="W332" s="153">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3">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3">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30</v>
      </c>
      <c r="D333" s="10">
        <f>_xlfn.XLOOKUP(C333,Tab_Def_Flows[Flow_Name],Tab_Def_Flows[WC?],,0,)</f>
        <v>0</v>
      </c>
      <c r="E333" s="10">
        <f>_xlfn.XLOOKUP(C333,Tab_Def_Flows[Flow_Name],Tab_Def_Flows[DM?],,0,)</f>
        <v>0</v>
      </c>
      <c r="F333" s="10">
        <f>_xlfn.XLOOKUP(C333,Tab_Def_Flows[Flow_Name],Tab_Def_Flows[CC?],,0,)</f>
        <v>0</v>
      </c>
      <c r="G333" s="8"/>
      <c r="H333" s="26"/>
      <c r="I333" s="8"/>
      <c r="J333" s="18"/>
      <c r="K333" s="8"/>
      <c r="L333" s="13"/>
      <c r="M333" s="8"/>
      <c r="N333" s="8"/>
      <c r="O333" s="8"/>
      <c r="P333" s="8"/>
      <c r="Q333" s="8" t="s">
        <v>7</v>
      </c>
      <c r="R333" s="19"/>
      <c r="S333" s="8"/>
      <c r="T333" s="7" t="str">
        <f>Tab_Data_Flows[[#This Row],[Flow_ID]]&amp;"_"&amp;"material_"&amp;Tab_Data_Flows[[#This Row],[Flow_Data_Year]]</f>
        <v>F___material_</v>
      </c>
      <c r="U333" s="16">
        <f t="shared" si="13"/>
        <v>0</v>
      </c>
      <c r="V333" s="8" t="s">
        <v>211</v>
      </c>
      <c r="W333" s="153">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3">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3">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30</v>
      </c>
      <c r="D334" s="10">
        <f>_xlfn.XLOOKUP(C334,Tab_Def_Flows[Flow_Name],Tab_Def_Flows[WC?],,0,)</f>
        <v>0</v>
      </c>
      <c r="E334" s="10">
        <f>_xlfn.XLOOKUP(C334,Tab_Def_Flows[Flow_Name],Tab_Def_Flows[DM?],,0,)</f>
        <v>0</v>
      </c>
      <c r="F334" s="10">
        <f>_xlfn.XLOOKUP(C334,Tab_Def_Flows[Flow_Name],Tab_Def_Flows[CC?],,0,)</f>
        <v>0</v>
      </c>
      <c r="G334" s="8"/>
      <c r="H334" s="26"/>
      <c r="I334" s="8"/>
      <c r="J334" s="18"/>
      <c r="K334" s="8"/>
      <c r="L334" s="8"/>
      <c r="M334" s="8"/>
      <c r="N334" s="8"/>
      <c r="O334" s="8"/>
      <c r="P334" s="8"/>
      <c r="Q334" s="8" t="s">
        <v>7</v>
      </c>
      <c r="R334" s="8"/>
      <c r="S334" s="8"/>
      <c r="T334" s="7" t="str">
        <f>Tab_Data_Flows[[#This Row],[Flow_ID]]&amp;"_"&amp;"material_"&amp;Tab_Data_Flows[[#This Row],[Flow_Data_Year]]</f>
        <v>F___material_</v>
      </c>
      <c r="U334" s="16">
        <f t="shared" si="13"/>
        <v>0</v>
      </c>
      <c r="V334" s="8" t="s">
        <v>211</v>
      </c>
      <c r="W334" s="153">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3">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3">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30</v>
      </c>
      <c r="D335" s="10">
        <f>_xlfn.XLOOKUP(C335,Tab_Def_Flows[Flow_Name],Tab_Def_Flows[WC?],,0,)</f>
        <v>0</v>
      </c>
      <c r="E335" s="10">
        <f>_xlfn.XLOOKUP(C335,Tab_Def_Flows[Flow_Name],Tab_Def_Flows[DM?],,0,)</f>
        <v>0</v>
      </c>
      <c r="F335" s="10">
        <f>_xlfn.XLOOKUP(C335,Tab_Def_Flows[Flow_Name],Tab_Def_Flows[CC?],,0,)</f>
        <v>0</v>
      </c>
      <c r="G335" s="8"/>
      <c r="H335" s="26"/>
      <c r="I335" s="8"/>
      <c r="J335" s="18"/>
      <c r="K335" s="8"/>
      <c r="L335" s="8"/>
      <c r="M335" s="8"/>
      <c r="N335" s="8"/>
      <c r="O335" s="8"/>
      <c r="P335" s="8"/>
      <c r="Q335" s="8" t="s">
        <v>7</v>
      </c>
      <c r="R335" s="8"/>
      <c r="S335" s="8"/>
      <c r="T335" s="7" t="str">
        <f>Tab_Data_Flows[[#This Row],[Flow_ID]]&amp;"_"&amp;"material_"&amp;Tab_Data_Flows[[#This Row],[Flow_Data_Year]]</f>
        <v>F___material_</v>
      </c>
      <c r="U335" s="16">
        <f t="shared" si="13"/>
        <v>0</v>
      </c>
      <c r="V335" s="8" t="s">
        <v>211</v>
      </c>
      <c r="W335" s="153">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3">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3">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30</v>
      </c>
      <c r="D336" s="10">
        <f>_xlfn.XLOOKUP(C336,Tab_Def_Flows[Flow_Name],Tab_Def_Flows[WC?],,0,)</f>
        <v>0</v>
      </c>
      <c r="E336" s="10">
        <f>_xlfn.XLOOKUP(C336,Tab_Def_Flows[Flow_Name],Tab_Def_Flows[DM?],,0,)</f>
        <v>0</v>
      </c>
      <c r="F336" s="10">
        <f>_xlfn.XLOOKUP(C336,Tab_Def_Flows[Flow_Name],Tab_Def_Flows[CC?],,0,)</f>
        <v>0</v>
      </c>
      <c r="G336" s="8"/>
      <c r="H336" s="26"/>
      <c r="I336" s="8"/>
      <c r="J336" s="18"/>
      <c r="K336" s="8"/>
      <c r="L336" s="8"/>
      <c r="M336" s="8"/>
      <c r="N336" s="8"/>
      <c r="O336" s="8"/>
      <c r="P336" s="8"/>
      <c r="Q336" s="8" t="s">
        <v>7</v>
      </c>
      <c r="R336" s="8"/>
      <c r="S336" s="8"/>
      <c r="T336" s="7" t="str">
        <f>Tab_Data_Flows[[#This Row],[Flow_ID]]&amp;"_"&amp;"material_"&amp;Tab_Data_Flows[[#This Row],[Flow_Data_Year]]</f>
        <v>F___material_</v>
      </c>
      <c r="U336" s="16">
        <f t="shared" si="13"/>
        <v>0</v>
      </c>
      <c r="V336" s="8" t="s">
        <v>211</v>
      </c>
      <c r="W336" s="153">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3">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3">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30</v>
      </c>
      <c r="D337" s="10">
        <f>_xlfn.XLOOKUP(C337,Tab_Def_Flows[Flow_Name],Tab_Def_Flows[WC?],,0,)</f>
        <v>0</v>
      </c>
      <c r="E337" s="10">
        <f>_xlfn.XLOOKUP(C337,Tab_Def_Flows[Flow_Name],Tab_Def_Flows[DM?],,0,)</f>
        <v>0</v>
      </c>
      <c r="F337" s="10">
        <f>_xlfn.XLOOKUP(C337,Tab_Def_Flows[Flow_Name],Tab_Def_Flows[CC?],,0,)</f>
        <v>0</v>
      </c>
      <c r="G337" s="8"/>
      <c r="H337" s="26"/>
      <c r="I337" s="8"/>
      <c r="J337" s="18"/>
      <c r="K337" s="8"/>
      <c r="L337" s="8"/>
      <c r="M337" s="8"/>
      <c r="N337" s="8"/>
      <c r="O337" s="8"/>
      <c r="P337" s="8"/>
      <c r="Q337" s="8" t="s">
        <v>7</v>
      </c>
      <c r="R337" s="8"/>
      <c r="S337" s="8"/>
      <c r="T337" s="7" t="str">
        <f>Tab_Data_Flows[[#This Row],[Flow_ID]]&amp;"_"&amp;"material_"&amp;Tab_Data_Flows[[#This Row],[Flow_Data_Year]]</f>
        <v>F___material_</v>
      </c>
      <c r="U337" s="16">
        <f t="shared" si="13"/>
        <v>0</v>
      </c>
      <c r="V337" s="8" t="s">
        <v>211</v>
      </c>
      <c r="W337" s="153">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3">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3">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30</v>
      </c>
      <c r="D338" s="10">
        <f>_xlfn.XLOOKUP(C338,Tab_Def_Flows[Flow_Name],Tab_Def_Flows[WC?],,0,)</f>
        <v>0</v>
      </c>
      <c r="E338" s="10">
        <f>_xlfn.XLOOKUP(C338,Tab_Def_Flows[Flow_Name],Tab_Def_Flows[DM?],,0,)</f>
        <v>0</v>
      </c>
      <c r="F338" s="10">
        <f>_xlfn.XLOOKUP(C338,Tab_Def_Flows[Flow_Name],Tab_Def_Flows[CC?],,0,)</f>
        <v>0</v>
      </c>
      <c r="G338" s="8"/>
      <c r="H338" s="26"/>
      <c r="I338" s="8"/>
      <c r="J338" s="18"/>
      <c r="K338" s="8"/>
      <c r="L338" s="8"/>
      <c r="M338" s="8"/>
      <c r="N338" s="8"/>
      <c r="O338" s="8"/>
      <c r="P338" s="8"/>
      <c r="Q338" s="8" t="s">
        <v>7</v>
      </c>
      <c r="R338" s="8"/>
      <c r="S338" s="8"/>
      <c r="T338" s="7" t="str">
        <f>Tab_Data_Flows[[#This Row],[Flow_ID]]&amp;"_"&amp;"material_"&amp;Tab_Data_Flows[[#This Row],[Flow_Data_Year]]</f>
        <v>F___material_</v>
      </c>
      <c r="U338" s="16">
        <f t="shared" si="13"/>
        <v>0</v>
      </c>
      <c r="V338" s="8" t="s">
        <v>211</v>
      </c>
      <c r="W338" s="153">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3">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3">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30</v>
      </c>
      <c r="D339" s="10">
        <f>_xlfn.XLOOKUP(C339,Tab_Def_Flows[Flow_Name],Tab_Def_Flows[WC?],,0,)</f>
        <v>0</v>
      </c>
      <c r="E339" s="10">
        <f>_xlfn.XLOOKUP(C339,Tab_Def_Flows[Flow_Name],Tab_Def_Flows[DM?],,0,)</f>
        <v>0</v>
      </c>
      <c r="F339" s="10">
        <f>_xlfn.XLOOKUP(C339,Tab_Def_Flows[Flow_Name],Tab_Def_Flows[CC?],,0,)</f>
        <v>0</v>
      </c>
      <c r="G339" s="8"/>
      <c r="H339" s="26"/>
      <c r="I339" s="8"/>
      <c r="J339" s="18"/>
      <c r="K339" s="8"/>
      <c r="L339" s="8"/>
      <c r="M339" s="8"/>
      <c r="N339" s="8"/>
      <c r="O339" s="8"/>
      <c r="P339" s="8"/>
      <c r="Q339" s="8" t="s">
        <v>7</v>
      </c>
      <c r="R339" s="8"/>
      <c r="S339" s="8"/>
      <c r="T339" s="7" t="str">
        <f>Tab_Data_Flows[[#This Row],[Flow_ID]]&amp;"_"&amp;"material_"&amp;Tab_Data_Flows[[#This Row],[Flow_Data_Year]]</f>
        <v>F___material_</v>
      </c>
      <c r="U339" s="16">
        <f t="shared" si="13"/>
        <v>0</v>
      </c>
      <c r="V339" s="8" t="s">
        <v>211</v>
      </c>
      <c r="W339" s="153">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3">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3">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30</v>
      </c>
      <c r="D340" s="10">
        <f>_xlfn.XLOOKUP(C340,Tab_Def_Flows[Flow_Name],Tab_Def_Flows[WC?],,0,)</f>
        <v>0</v>
      </c>
      <c r="E340" s="10">
        <f>_xlfn.XLOOKUP(C340,Tab_Def_Flows[Flow_Name],Tab_Def_Flows[DM?],,0,)</f>
        <v>0</v>
      </c>
      <c r="F340" s="10">
        <f>_xlfn.XLOOKUP(C340,Tab_Def_Flows[Flow_Name],Tab_Def_Flows[CC?],,0,)</f>
        <v>0</v>
      </c>
      <c r="G340" s="8"/>
      <c r="H340" s="26"/>
      <c r="I340" s="8"/>
      <c r="J340" s="18"/>
      <c r="K340" s="8"/>
      <c r="L340" s="8"/>
      <c r="M340" s="8"/>
      <c r="N340" s="8"/>
      <c r="O340" s="8"/>
      <c r="P340" s="8"/>
      <c r="Q340" s="8" t="s">
        <v>7</v>
      </c>
      <c r="R340" s="8"/>
      <c r="S340" s="8"/>
      <c r="T340" s="7" t="str">
        <f>Tab_Data_Flows[[#This Row],[Flow_ID]]&amp;"_"&amp;"material_"&amp;Tab_Data_Flows[[#This Row],[Flow_Data_Year]]</f>
        <v>F___material_</v>
      </c>
      <c r="U340" s="16">
        <f t="shared" si="13"/>
        <v>0</v>
      </c>
      <c r="V340" s="8" t="s">
        <v>211</v>
      </c>
      <c r="W340" s="153">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3">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3">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30</v>
      </c>
      <c r="D341" s="10">
        <f>_xlfn.XLOOKUP(C341,Tab_Def_Flows[Flow_Name],Tab_Def_Flows[WC?],,0,)</f>
        <v>0</v>
      </c>
      <c r="E341" s="10">
        <f>_xlfn.XLOOKUP(C341,Tab_Def_Flows[Flow_Name],Tab_Def_Flows[DM?],,0,)</f>
        <v>0</v>
      </c>
      <c r="F341" s="10">
        <f>_xlfn.XLOOKUP(C341,Tab_Def_Flows[Flow_Name],Tab_Def_Flows[CC?],,0,)</f>
        <v>0</v>
      </c>
      <c r="G341" s="8"/>
      <c r="H341" s="26"/>
      <c r="I341" s="8"/>
      <c r="J341" s="18"/>
      <c r="K341" s="8"/>
      <c r="L341" s="8"/>
      <c r="M341" s="8"/>
      <c r="N341" s="8"/>
      <c r="O341" s="8"/>
      <c r="P341" s="8"/>
      <c r="Q341" s="8" t="s">
        <v>7</v>
      </c>
      <c r="R341" s="8"/>
      <c r="S341" s="8"/>
      <c r="T341" s="7" t="str">
        <f>Tab_Data_Flows[[#This Row],[Flow_ID]]&amp;"_"&amp;"material_"&amp;Tab_Data_Flows[[#This Row],[Flow_Data_Year]]</f>
        <v>F___material_</v>
      </c>
      <c r="U341" s="16">
        <f t="shared" si="13"/>
        <v>0</v>
      </c>
      <c r="V341" s="8" t="s">
        <v>211</v>
      </c>
      <c r="W341" s="153">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3">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3">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30</v>
      </c>
      <c r="D342" s="10">
        <f>_xlfn.XLOOKUP(C342,Tab_Def_Flows[Flow_Name],Tab_Def_Flows[WC?],,0,)</f>
        <v>0</v>
      </c>
      <c r="E342" s="10">
        <f>_xlfn.XLOOKUP(C342,Tab_Def_Flows[Flow_Name],Tab_Def_Flows[DM?],,0,)</f>
        <v>0</v>
      </c>
      <c r="F342" s="10">
        <f>_xlfn.XLOOKUP(C342,Tab_Def_Flows[Flow_Name],Tab_Def_Flows[CC?],,0,)</f>
        <v>0</v>
      </c>
      <c r="G342" s="8"/>
      <c r="H342" s="26"/>
      <c r="I342" s="8"/>
      <c r="J342" s="18"/>
      <c r="K342" s="8"/>
      <c r="L342" s="8"/>
      <c r="M342" s="8"/>
      <c r="N342" s="8"/>
      <c r="O342" s="8"/>
      <c r="P342" s="8"/>
      <c r="Q342" s="8" t="s">
        <v>7</v>
      </c>
      <c r="R342" s="8"/>
      <c r="S342" s="8"/>
      <c r="T342" s="7" t="str">
        <f>Tab_Data_Flows[[#This Row],[Flow_ID]]&amp;"_"&amp;"material_"&amp;Tab_Data_Flows[[#This Row],[Flow_Data_Year]]</f>
        <v>F___material_</v>
      </c>
      <c r="U342" s="16">
        <f t="shared" si="13"/>
        <v>0</v>
      </c>
      <c r="V342" s="8" t="s">
        <v>211</v>
      </c>
      <c r="W342" s="153">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3">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3">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30</v>
      </c>
      <c r="D343" s="10">
        <f>_xlfn.XLOOKUP(C343,Tab_Def_Flows[Flow_Name],Tab_Def_Flows[WC?],,0,)</f>
        <v>0</v>
      </c>
      <c r="E343" s="10">
        <f>_xlfn.XLOOKUP(C343,Tab_Def_Flows[Flow_Name],Tab_Def_Flows[DM?],,0,)</f>
        <v>0</v>
      </c>
      <c r="F343" s="10">
        <f>_xlfn.XLOOKUP(C343,Tab_Def_Flows[Flow_Name],Tab_Def_Flows[CC?],,0,)</f>
        <v>0</v>
      </c>
      <c r="G343" s="8"/>
      <c r="H343" s="26"/>
      <c r="I343" s="8"/>
      <c r="J343" s="18"/>
      <c r="K343" s="8"/>
      <c r="L343" s="8"/>
      <c r="M343" s="8"/>
      <c r="N343" s="8"/>
      <c r="O343" s="8"/>
      <c r="P343" s="8"/>
      <c r="Q343" s="8" t="s">
        <v>7</v>
      </c>
      <c r="R343" s="8"/>
      <c r="S343" s="8"/>
      <c r="T343" s="7" t="str">
        <f>Tab_Data_Flows[[#This Row],[Flow_ID]]&amp;"_"&amp;"material_"&amp;Tab_Data_Flows[[#This Row],[Flow_Data_Year]]</f>
        <v>F___material_</v>
      </c>
      <c r="U343" s="16">
        <f t="shared" si="13"/>
        <v>0</v>
      </c>
      <c r="V343" s="8" t="s">
        <v>211</v>
      </c>
      <c r="W343" s="153">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3">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3">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30</v>
      </c>
      <c r="D344" s="10">
        <f>_xlfn.XLOOKUP(C344,Tab_Def_Flows[Flow_Name],Tab_Def_Flows[WC?],,0,)</f>
        <v>0</v>
      </c>
      <c r="E344" s="10">
        <f>_xlfn.XLOOKUP(C344,Tab_Def_Flows[Flow_Name],Tab_Def_Flows[DM?],,0,)</f>
        <v>0</v>
      </c>
      <c r="F344" s="10">
        <f>_xlfn.XLOOKUP(C344,Tab_Def_Flows[Flow_Name],Tab_Def_Flows[CC?],,0,)</f>
        <v>0</v>
      </c>
      <c r="G344" s="8"/>
      <c r="H344" s="26"/>
      <c r="I344" s="8"/>
      <c r="J344" s="18"/>
      <c r="K344" s="8"/>
      <c r="L344" s="8"/>
      <c r="M344" s="8"/>
      <c r="N344" s="8"/>
      <c r="O344" s="8"/>
      <c r="P344" s="8"/>
      <c r="Q344" s="8" t="s">
        <v>7</v>
      </c>
      <c r="R344" s="8"/>
      <c r="S344" s="8"/>
      <c r="T344" s="7" t="str">
        <f>Tab_Data_Flows[[#This Row],[Flow_ID]]&amp;"_"&amp;"material_"&amp;Tab_Data_Flows[[#This Row],[Flow_Data_Year]]</f>
        <v>F___material_</v>
      </c>
      <c r="U344" s="16">
        <f t="shared" si="13"/>
        <v>0</v>
      </c>
      <c r="V344" s="8" t="s">
        <v>211</v>
      </c>
      <c r="W344" s="153">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3">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3">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30</v>
      </c>
      <c r="D345" s="10">
        <f>_xlfn.XLOOKUP(C345,Tab_Def_Flows[Flow_Name],Tab_Def_Flows[WC?],,0,)</f>
        <v>0</v>
      </c>
      <c r="E345" s="10">
        <f>_xlfn.XLOOKUP(C345,Tab_Def_Flows[Flow_Name],Tab_Def_Flows[DM?],,0,)</f>
        <v>0</v>
      </c>
      <c r="F345" s="10">
        <f>_xlfn.XLOOKUP(C345,Tab_Def_Flows[Flow_Name],Tab_Def_Flows[CC?],,0,)</f>
        <v>0</v>
      </c>
      <c r="G345" s="8"/>
      <c r="H345" s="26"/>
      <c r="I345" s="8"/>
      <c r="J345" s="18"/>
      <c r="K345" s="8"/>
      <c r="L345" s="8"/>
      <c r="M345" s="8"/>
      <c r="N345" s="8"/>
      <c r="O345" s="8"/>
      <c r="P345" s="8"/>
      <c r="Q345" s="8" t="s">
        <v>7</v>
      </c>
      <c r="R345" s="8"/>
      <c r="S345" s="8"/>
      <c r="T345" s="7" t="str">
        <f>Tab_Data_Flows[[#This Row],[Flow_ID]]&amp;"_"&amp;"material_"&amp;Tab_Data_Flows[[#This Row],[Flow_Data_Year]]</f>
        <v>F___material_</v>
      </c>
      <c r="U345" s="16">
        <f t="shared" si="13"/>
        <v>0</v>
      </c>
      <c r="V345" s="8" t="s">
        <v>211</v>
      </c>
      <c r="W345" s="153">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3">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3">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30</v>
      </c>
      <c r="D346" s="10">
        <f>_xlfn.XLOOKUP(C346,Tab_Def_Flows[Flow_Name],Tab_Def_Flows[WC?],,0,)</f>
        <v>0</v>
      </c>
      <c r="E346" s="10">
        <f>_xlfn.XLOOKUP(C346,Tab_Def_Flows[Flow_Name],Tab_Def_Flows[DM?],,0,)</f>
        <v>0</v>
      </c>
      <c r="F346" s="10">
        <f>_xlfn.XLOOKUP(C346,Tab_Def_Flows[Flow_Name],Tab_Def_Flows[CC?],,0,)</f>
        <v>0</v>
      </c>
      <c r="G346" s="8"/>
      <c r="H346" s="26"/>
      <c r="I346" s="8"/>
      <c r="J346" s="18"/>
      <c r="K346" s="8"/>
      <c r="L346" s="8"/>
      <c r="M346" s="8"/>
      <c r="N346" s="8"/>
      <c r="O346" s="8"/>
      <c r="P346" s="8"/>
      <c r="Q346" s="8" t="s">
        <v>7</v>
      </c>
      <c r="R346" s="8"/>
      <c r="S346" s="8"/>
      <c r="T346" s="7" t="str">
        <f>Tab_Data_Flows[[#This Row],[Flow_ID]]&amp;"_"&amp;"material_"&amp;Tab_Data_Flows[[#This Row],[Flow_Data_Year]]</f>
        <v>F___material_</v>
      </c>
      <c r="U346" s="16">
        <f t="shared" si="13"/>
        <v>0</v>
      </c>
      <c r="V346" s="8" t="s">
        <v>211</v>
      </c>
      <c r="W346" s="153">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3">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3">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30</v>
      </c>
      <c r="D347" s="10">
        <f>_xlfn.XLOOKUP(C347,Tab_Def_Flows[Flow_Name],Tab_Def_Flows[WC?],,0,)</f>
        <v>0</v>
      </c>
      <c r="E347" s="10">
        <f>_xlfn.XLOOKUP(C347,Tab_Def_Flows[Flow_Name],Tab_Def_Flows[DM?],,0,)</f>
        <v>0</v>
      </c>
      <c r="F347" s="10">
        <f>_xlfn.XLOOKUP(C347,Tab_Def_Flows[Flow_Name],Tab_Def_Flows[CC?],,0,)</f>
        <v>0</v>
      </c>
      <c r="G347" s="8"/>
      <c r="H347" s="26"/>
      <c r="I347" s="8"/>
      <c r="J347" s="18"/>
      <c r="K347" s="8"/>
      <c r="L347" s="8"/>
      <c r="M347" s="8"/>
      <c r="N347" s="8"/>
      <c r="O347" s="8"/>
      <c r="P347" s="8"/>
      <c r="Q347" s="8" t="s">
        <v>7</v>
      </c>
      <c r="R347" s="8"/>
      <c r="S347" s="8"/>
      <c r="T347" s="7" t="str">
        <f>Tab_Data_Flows[[#This Row],[Flow_ID]]&amp;"_"&amp;"material_"&amp;Tab_Data_Flows[[#This Row],[Flow_Data_Year]]</f>
        <v>F___material_</v>
      </c>
      <c r="U347" s="16">
        <f t="shared" si="13"/>
        <v>0</v>
      </c>
      <c r="V347" s="8" t="s">
        <v>211</v>
      </c>
      <c r="W347" s="153">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3">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3">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30</v>
      </c>
      <c r="D348" s="10">
        <f>_xlfn.XLOOKUP(C348,Tab_Def_Flows[Flow_Name],Tab_Def_Flows[WC?],,0,)</f>
        <v>0</v>
      </c>
      <c r="E348" s="10">
        <f>_xlfn.XLOOKUP(C348,Tab_Def_Flows[Flow_Name],Tab_Def_Flows[DM?],,0,)</f>
        <v>0</v>
      </c>
      <c r="F348" s="10">
        <f>_xlfn.XLOOKUP(C348,Tab_Def_Flows[Flow_Name],Tab_Def_Flows[CC?],,0,)</f>
        <v>0</v>
      </c>
      <c r="G348" s="8"/>
      <c r="H348" s="26"/>
      <c r="I348" s="8"/>
      <c r="J348" s="18"/>
      <c r="K348" s="8"/>
      <c r="L348" s="8"/>
      <c r="M348" s="8"/>
      <c r="N348" s="8"/>
      <c r="O348" s="8"/>
      <c r="P348" s="8"/>
      <c r="Q348" s="8" t="s">
        <v>7</v>
      </c>
      <c r="R348" s="8"/>
      <c r="S348" s="8"/>
      <c r="T348" s="7" t="str">
        <f>Tab_Data_Flows[[#This Row],[Flow_ID]]&amp;"_"&amp;"material_"&amp;Tab_Data_Flows[[#This Row],[Flow_Data_Year]]</f>
        <v>F___material_</v>
      </c>
      <c r="U348" s="16">
        <f t="shared" si="13"/>
        <v>0</v>
      </c>
      <c r="V348" s="8" t="s">
        <v>211</v>
      </c>
      <c r="W348" s="153">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3">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3">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30</v>
      </c>
      <c r="D349" s="10">
        <f>_xlfn.XLOOKUP(C349,Tab_Def_Flows[Flow_Name],Tab_Def_Flows[WC?],,0,)</f>
        <v>0</v>
      </c>
      <c r="E349" s="10">
        <f>_xlfn.XLOOKUP(C349,Tab_Def_Flows[Flow_Name],Tab_Def_Flows[DM?],,0,)</f>
        <v>0</v>
      </c>
      <c r="F349" s="10">
        <f>_xlfn.XLOOKUP(C349,Tab_Def_Flows[Flow_Name],Tab_Def_Flows[CC?],,0,)</f>
        <v>0</v>
      </c>
      <c r="G349" s="8"/>
      <c r="H349" s="26"/>
      <c r="I349" s="8"/>
      <c r="J349" s="18"/>
      <c r="K349" s="8"/>
      <c r="L349" s="8"/>
      <c r="M349" s="8"/>
      <c r="N349" s="8"/>
      <c r="O349" s="8"/>
      <c r="P349" s="8"/>
      <c r="Q349" s="8" t="s">
        <v>7</v>
      </c>
      <c r="R349" s="8"/>
      <c r="S349" s="8"/>
      <c r="T349" s="7" t="str">
        <f>Tab_Data_Flows[[#This Row],[Flow_ID]]&amp;"_"&amp;"material_"&amp;Tab_Data_Flows[[#This Row],[Flow_Data_Year]]</f>
        <v>F___material_</v>
      </c>
      <c r="U349" s="16">
        <f t="shared" si="13"/>
        <v>0</v>
      </c>
      <c r="V349" s="8" t="s">
        <v>211</v>
      </c>
      <c r="W349" s="153">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3">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3">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30</v>
      </c>
      <c r="D350" s="10">
        <f>_xlfn.XLOOKUP(C350,Tab_Def_Flows[Flow_Name],Tab_Def_Flows[WC?],,0,)</f>
        <v>0</v>
      </c>
      <c r="E350" s="10">
        <f>_xlfn.XLOOKUP(C350,Tab_Def_Flows[Flow_Name],Tab_Def_Flows[DM?],,0,)</f>
        <v>0</v>
      </c>
      <c r="F350" s="10">
        <f>_xlfn.XLOOKUP(C350,Tab_Def_Flows[Flow_Name],Tab_Def_Flows[CC?],,0,)</f>
        <v>0</v>
      </c>
      <c r="G350" s="8"/>
      <c r="H350" s="26"/>
      <c r="I350" s="8"/>
      <c r="J350" s="18"/>
      <c r="K350" s="8"/>
      <c r="L350" s="8"/>
      <c r="M350" s="8"/>
      <c r="N350" s="8"/>
      <c r="O350" s="8"/>
      <c r="P350" s="8"/>
      <c r="Q350" s="8" t="s">
        <v>7</v>
      </c>
      <c r="R350" s="8"/>
      <c r="S350" s="8"/>
      <c r="T350" s="7" t="str">
        <f>Tab_Data_Flows[[#This Row],[Flow_ID]]&amp;"_"&amp;"material_"&amp;Tab_Data_Flows[[#This Row],[Flow_Data_Year]]</f>
        <v>F___material_</v>
      </c>
      <c r="U350" s="16">
        <f t="shared" si="13"/>
        <v>0</v>
      </c>
      <c r="V350" s="8" t="s">
        <v>211</v>
      </c>
      <c r="W350" s="153">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3">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3">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2"/>
      <c r="AI351" s="2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L47"/>
  <sheetViews>
    <sheetView zoomScale="145" zoomScaleNormal="145" workbookViewId="0">
      <pane xSplit="4" topLeftCell="I1" activePane="topRight" state="frozen"/>
      <selection pane="topRight" activeCell="I1" sqref="I1"/>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18.28515625" customWidth="1"/>
    <col min="11" max="11" width="21" customWidth="1"/>
    <col min="12" max="12" width="15.5703125" customWidth="1"/>
    <col min="13" max="13" width="10.7109375" customWidth="1"/>
  </cols>
  <sheetData>
    <row r="1" spans="1:12" x14ac:dyDescent="0.25">
      <c r="A1" s="155" t="s">
        <v>52</v>
      </c>
      <c r="B1" s="155" t="s">
        <v>27</v>
      </c>
      <c r="C1" s="155" t="s">
        <v>48</v>
      </c>
      <c r="D1" s="155" t="s">
        <v>580</v>
      </c>
      <c r="E1" s="155" t="s">
        <v>32</v>
      </c>
      <c r="F1" s="155" t="s">
        <v>49</v>
      </c>
      <c r="G1" s="155" t="s">
        <v>50</v>
      </c>
      <c r="H1" s="155" t="s">
        <v>5</v>
      </c>
      <c r="I1" s="155" t="s">
        <v>544</v>
      </c>
      <c r="J1" s="155" t="s">
        <v>656</v>
      </c>
      <c r="K1" s="155" t="s">
        <v>657</v>
      </c>
      <c r="L1" s="155" t="s">
        <v>239</v>
      </c>
    </row>
    <row r="2" spans="1:12" x14ac:dyDescent="0.25">
      <c r="A2" s="156" t="b">
        <v>1</v>
      </c>
      <c r="B2" s="21" t="s">
        <v>95</v>
      </c>
      <c r="C2" s="7" t="str">
        <f>LEFT(B2,2)</f>
        <v>00</v>
      </c>
      <c r="D2" s="8" t="s">
        <v>591</v>
      </c>
      <c r="E2" s="8"/>
      <c r="F2" s="8"/>
      <c r="G2" s="8"/>
      <c r="H2" s="18"/>
      <c r="I2" s="152" t="s">
        <v>546</v>
      </c>
      <c r="J2" s="152" t="s">
        <v>587</v>
      </c>
      <c r="K2" s="152" t="s">
        <v>660</v>
      </c>
      <c r="L2" s="8">
        <v>1</v>
      </c>
    </row>
    <row r="3" spans="1:12" x14ac:dyDescent="0.25">
      <c r="A3" s="156" t="b">
        <v>1</v>
      </c>
      <c r="B3" s="21" t="s">
        <v>84</v>
      </c>
      <c r="C3" s="7" t="str">
        <f t="shared" ref="C3:C47" si="0">LEFT(B3,2)</f>
        <v>01</v>
      </c>
      <c r="D3" s="8" t="s">
        <v>592</v>
      </c>
      <c r="E3" s="8"/>
      <c r="F3" s="8"/>
      <c r="G3" s="8"/>
      <c r="H3" s="18"/>
      <c r="I3" s="152" t="s">
        <v>655</v>
      </c>
      <c r="J3" s="152" t="s">
        <v>587</v>
      </c>
      <c r="K3" s="152" t="s">
        <v>661</v>
      </c>
      <c r="L3" s="8">
        <v>2</v>
      </c>
    </row>
    <row r="4" spans="1:12" x14ac:dyDescent="0.25">
      <c r="A4" s="156" t="b">
        <v>1</v>
      </c>
      <c r="B4" s="21" t="s">
        <v>85</v>
      </c>
      <c r="C4" s="7" t="str">
        <f t="shared" si="0"/>
        <v>02</v>
      </c>
      <c r="D4" s="8" t="s">
        <v>593</v>
      </c>
      <c r="E4" s="8"/>
      <c r="F4" s="8"/>
      <c r="G4" s="8"/>
      <c r="H4" s="18"/>
      <c r="I4" s="152" t="s">
        <v>157</v>
      </c>
      <c r="J4" s="152" t="s">
        <v>587</v>
      </c>
      <c r="K4" s="152" t="s">
        <v>661</v>
      </c>
      <c r="L4" s="8">
        <v>0</v>
      </c>
    </row>
    <row r="5" spans="1:12" x14ac:dyDescent="0.25">
      <c r="A5" s="156" t="b">
        <v>1</v>
      </c>
      <c r="B5" s="21" t="s">
        <v>86</v>
      </c>
      <c r="C5" s="7" t="str">
        <f t="shared" si="0"/>
        <v>03</v>
      </c>
      <c r="D5" s="8" t="s">
        <v>594</v>
      </c>
      <c r="E5" s="8"/>
      <c r="F5" s="8"/>
      <c r="G5" s="8"/>
      <c r="H5" s="18"/>
      <c r="I5" s="152" t="s">
        <v>545</v>
      </c>
      <c r="J5" s="152" t="s">
        <v>586</v>
      </c>
      <c r="K5" s="152" t="s">
        <v>660</v>
      </c>
      <c r="L5" s="8">
        <v>4</v>
      </c>
    </row>
    <row r="6" spans="1:12" x14ac:dyDescent="0.25">
      <c r="A6" s="156" t="b">
        <v>1</v>
      </c>
      <c r="B6" s="21" t="s">
        <v>87</v>
      </c>
      <c r="C6" s="7" t="str">
        <f t="shared" si="0"/>
        <v>04</v>
      </c>
      <c r="D6" s="8" t="s">
        <v>595</v>
      </c>
      <c r="E6" s="8"/>
      <c r="F6" s="8"/>
      <c r="G6" s="8"/>
      <c r="H6" s="18"/>
      <c r="I6" s="152" t="s">
        <v>546</v>
      </c>
      <c r="J6" s="152" t="s">
        <v>587</v>
      </c>
      <c r="K6" s="152" t="s">
        <v>660</v>
      </c>
      <c r="L6" s="8">
        <v>1</v>
      </c>
    </row>
    <row r="7" spans="1:12" x14ac:dyDescent="0.25">
      <c r="A7" s="156" t="b">
        <v>1</v>
      </c>
      <c r="B7" s="21" t="s">
        <v>88</v>
      </c>
      <c r="C7" s="7" t="str">
        <f t="shared" si="0"/>
        <v>05</v>
      </c>
      <c r="D7" s="8" t="s">
        <v>596</v>
      </c>
      <c r="E7" s="8"/>
      <c r="F7" s="8"/>
      <c r="G7" s="8"/>
      <c r="H7" s="18"/>
      <c r="I7" s="152" t="s">
        <v>545</v>
      </c>
      <c r="J7" s="152" t="s">
        <v>587</v>
      </c>
      <c r="K7" s="152" t="s">
        <v>660</v>
      </c>
      <c r="L7" s="8">
        <v>2</v>
      </c>
    </row>
    <row r="8" spans="1:12" x14ac:dyDescent="0.25">
      <c r="A8" s="156" t="b">
        <v>1</v>
      </c>
      <c r="B8" s="21" t="s">
        <v>89</v>
      </c>
      <c r="C8" s="7" t="str">
        <f t="shared" si="0"/>
        <v>06</v>
      </c>
      <c r="D8" s="8" t="s">
        <v>597</v>
      </c>
      <c r="E8" s="8"/>
      <c r="F8" s="8"/>
      <c r="G8" s="8"/>
      <c r="H8" s="18"/>
      <c r="I8" s="152" t="s">
        <v>546</v>
      </c>
      <c r="J8" s="152" t="s">
        <v>587</v>
      </c>
      <c r="K8" s="152" t="s">
        <v>660</v>
      </c>
      <c r="L8" s="8">
        <v>2</v>
      </c>
    </row>
    <row r="9" spans="1:12" x14ac:dyDescent="0.25">
      <c r="A9" s="156" t="b">
        <v>1</v>
      </c>
      <c r="B9" s="21" t="s">
        <v>90</v>
      </c>
      <c r="C9" s="7" t="str">
        <f t="shared" si="0"/>
        <v>07</v>
      </c>
      <c r="D9" s="8" t="s">
        <v>370</v>
      </c>
      <c r="E9" s="8"/>
      <c r="F9" s="8"/>
      <c r="G9" s="8"/>
      <c r="H9" s="18"/>
      <c r="I9" s="152" t="s">
        <v>157</v>
      </c>
      <c r="J9" s="152" t="s">
        <v>587</v>
      </c>
      <c r="K9" s="152" t="s">
        <v>661</v>
      </c>
      <c r="L9" s="8">
        <v>0</v>
      </c>
    </row>
    <row r="10" spans="1:12" x14ac:dyDescent="0.25">
      <c r="A10" s="156" t="b">
        <v>1</v>
      </c>
      <c r="B10" s="21" t="s">
        <v>91</v>
      </c>
      <c r="C10" s="7" t="str">
        <f t="shared" si="0"/>
        <v>08</v>
      </c>
      <c r="D10" s="8" t="s">
        <v>598</v>
      </c>
      <c r="E10" s="8"/>
      <c r="F10" s="8"/>
      <c r="G10" s="8"/>
      <c r="H10" s="18"/>
      <c r="I10" s="152" t="s">
        <v>157</v>
      </c>
      <c r="J10" s="152" t="s">
        <v>587</v>
      </c>
      <c r="K10" s="152" t="s">
        <v>661</v>
      </c>
      <c r="L10" s="8">
        <v>0</v>
      </c>
    </row>
    <row r="11" spans="1:12" x14ac:dyDescent="0.25">
      <c r="A11" s="156" t="b">
        <v>1</v>
      </c>
      <c r="B11" s="21" t="s">
        <v>92</v>
      </c>
      <c r="C11" s="7" t="str">
        <f t="shared" si="0"/>
        <v>09</v>
      </c>
      <c r="D11" s="8" t="s">
        <v>599</v>
      </c>
      <c r="E11" s="8"/>
      <c r="F11" s="8"/>
      <c r="G11" s="8"/>
      <c r="H11" s="18"/>
      <c r="I11" s="152" t="s">
        <v>157</v>
      </c>
      <c r="J11" s="152" t="s">
        <v>587</v>
      </c>
      <c r="K11" s="152" t="s">
        <v>661</v>
      </c>
      <c r="L11" s="8">
        <v>0</v>
      </c>
    </row>
    <row r="12" spans="1:12" x14ac:dyDescent="0.25">
      <c r="A12" s="156" t="b">
        <v>1</v>
      </c>
      <c r="B12" s="21" t="s">
        <v>96</v>
      </c>
      <c r="C12" s="7" t="str">
        <f t="shared" si="0"/>
        <v>10</v>
      </c>
      <c r="D12" s="8" t="s">
        <v>600</v>
      </c>
      <c r="E12" s="8"/>
      <c r="F12" s="8"/>
      <c r="G12" s="8"/>
      <c r="H12" s="18"/>
      <c r="I12" s="152" t="s">
        <v>157</v>
      </c>
      <c r="J12" s="152" t="s">
        <v>587</v>
      </c>
      <c r="K12" s="152" t="s">
        <v>661</v>
      </c>
      <c r="L12" s="8">
        <v>0</v>
      </c>
    </row>
    <row r="13" spans="1:12" x14ac:dyDescent="0.25">
      <c r="A13" s="156" t="b">
        <v>1</v>
      </c>
      <c r="B13" s="21" t="s">
        <v>97</v>
      </c>
      <c r="C13" s="7" t="str">
        <f t="shared" si="0"/>
        <v>11</v>
      </c>
      <c r="D13" s="8" t="s">
        <v>601</v>
      </c>
      <c r="E13" s="8"/>
      <c r="F13" s="8"/>
      <c r="G13" s="8"/>
      <c r="H13" s="18"/>
      <c r="I13" s="152" t="s">
        <v>157</v>
      </c>
      <c r="J13" s="152" t="s">
        <v>587</v>
      </c>
      <c r="K13" s="152" t="s">
        <v>661</v>
      </c>
      <c r="L13" s="8">
        <v>0</v>
      </c>
    </row>
    <row r="14" spans="1:12" x14ac:dyDescent="0.25">
      <c r="A14" s="156" t="b">
        <v>1</v>
      </c>
      <c r="B14" s="21" t="s">
        <v>98</v>
      </c>
      <c r="C14" s="7" t="str">
        <f t="shared" si="0"/>
        <v>12</v>
      </c>
      <c r="D14" s="8" t="s">
        <v>602</v>
      </c>
      <c r="E14" s="8"/>
      <c r="F14" s="8"/>
      <c r="G14" s="8"/>
      <c r="H14" s="18"/>
      <c r="I14" s="152" t="s">
        <v>158</v>
      </c>
      <c r="J14" s="152" t="s">
        <v>587</v>
      </c>
      <c r="K14" s="152" t="s">
        <v>661</v>
      </c>
      <c r="L14" s="8">
        <v>1</v>
      </c>
    </row>
    <row r="15" spans="1:12" x14ac:dyDescent="0.25">
      <c r="A15" s="156" t="b">
        <v>0</v>
      </c>
      <c r="B15" s="21" t="s">
        <v>99</v>
      </c>
      <c r="C15" s="7" t="str">
        <f t="shared" si="0"/>
        <v>13</v>
      </c>
      <c r="D15" s="8" t="s">
        <v>604</v>
      </c>
      <c r="E15" s="8"/>
      <c r="F15" s="8"/>
      <c r="G15" s="8"/>
      <c r="H15" s="18"/>
      <c r="I15" s="152" t="s">
        <v>158</v>
      </c>
      <c r="J15" s="152" t="s">
        <v>587</v>
      </c>
      <c r="K15" s="152" t="s">
        <v>661</v>
      </c>
      <c r="L15" s="8">
        <v>1</v>
      </c>
    </row>
    <row r="16" spans="1:12" x14ac:dyDescent="0.25">
      <c r="A16" s="156" t="b">
        <v>0</v>
      </c>
      <c r="B16" s="21" t="s">
        <v>100</v>
      </c>
      <c r="C16" s="7" t="str">
        <f t="shared" si="0"/>
        <v>14</v>
      </c>
      <c r="D16" s="8" t="s">
        <v>603</v>
      </c>
      <c r="E16" s="8"/>
      <c r="F16" s="8"/>
      <c r="G16" s="8"/>
      <c r="H16" s="18"/>
      <c r="I16" s="152" t="s">
        <v>158</v>
      </c>
      <c r="J16" s="152" t="s">
        <v>587</v>
      </c>
      <c r="K16" s="152" t="s">
        <v>661</v>
      </c>
      <c r="L16" s="8">
        <v>1</v>
      </c>
    </row>
    <row r="17" spans="1:12" x14ac:dyDescent="0.25">
      <c r="A17" s="156" t="b">
        <v>0</v>
      </c>
      <c r="B17" s="21" t="s">
        <v>101</v>
      </c>
      <c r="C17" s="7" t="str">
        <f t="shared" si="0"/>
        <v>15</v>
      </c>
      <c r="D17" s="8"/>
      <c r="E17" s="8"/>
      <c r="F17" s="8"/>
      <c r="G17" s="8"/>
      <c r="H17" s="18"/>
      <c r="I17" s="152"/>
      <c r="J17" s="152"/>
      <c r="K17" s="152"/>
      <c r="L17" s="8"/>
    </row>
    <row r="18" spans="1:12" x14ac:dyDescent="0.25">
      <c r="A18" s="156" t="b">
        <v>0</v>
      </c>
      <c r="B18" s="21" t="s">
        <v>102</v>
      </c>
      <c r="C18" s="7" t="str">
        <f t="shared" si="0"/>
        <v>16</v>
      </c>
      <c r="D18" s="8"/>
      <c r="E18" s="8"/>
      <c r="F18" s="8"/>
      <c r="G18" s="8"/>
      <c r="H18" s="18"/>
      <c r="I18" s="152"/>
      <c r="J18" s="152"/>
      <c r="K18" s="152"/>
      <c r="L18" s="8"/>
    </row>
    <row r="19" spans="1:12" x14ac:dyDescent="0.25">
      <c r="A19" s="156" t="b">
        <v>0</v>
      </c>
      <c r="B19" s="21" t="s">
        <v>103</v>
      </c>
      <c r="C19" s="7" t="str">
        <f t="shared" si="0"/>
        <v>17</v>
      </c>
      <c r="D19" s="8"/>
      <c r="E19" s="8"/>
      <c r="F19" s="8"/>
      <c r="G19" s="8"/>
      <c r="H19" s="18"/>
      <c r="I19" s="152"/>
      <c r="J19" s="152"/>
      <c r="K19" s="152"/>
      <c r="L19" s="8"/>
    </row>
    <row r="20" spans="1:12" x14ac:dyDescent="0.25">
      <c r="A20" s="156" t="b">
        <v>0</v>
      </c>
      <c r="B20" s="21" t="s">
        <v>104</v>
      </c>
      <c r="C20" s="7" t="str">
        <f t="shared" si="0"/>
        <v>18</v>
      </c>
      <c r="D20" s="8"/>
      <c r="E20" s="8"/>
      <c r="F20" s="8"/>
      <c r="G20" s="8"/>
      <c r="H20" s="18"/>
      <c r="I20" s="152"/>
      <c r="J20" s="152"/>
      <c r="K20" s="152"/>
      <c r="L20" s="8"/>
    </row>
    <row r="21" spans="1:12" x14ac:dyDescent="0.25">
      <c r="A21" s="156" t="b">
        <v>0</v>
      </c>
      <c r="B21" s="21" t="s">
        <v>105</v>
      </c>
      <c r="C21" s="7" t="str">
        <f t="shared" si="0"/>
        <v>19</v>
      </c>
      <c r="D21" s="8"/>
      <c r="E21" s="8"/>
      <c r="F21" s="8"/>
      <c r="G21" s="8"/>
      <c r="H21" s="18"/>
      <c r="I21" s="152"/>
      <c r="J21" s="152"/>
      <c r="K21" s="152"/>
      <c r="L21" s="8"/>
    </row>
    <row r="22" spans="1:12" x14ac:dyDescent="0.25">
      <c r="A22" s="156" t="b">
        <v>0</v>
      </c>
      <c r="B22" s="21" t="s">
        <v>106</v>
      </c>
      <c r="C22" s="7" t="str">
        <f t="shared" si="0"/>
        <v>20</v>
      </c>
      <c r="D22" s="8"/>
      <c r="E22" s="8"/>
      <c r="F22" s="8"/>
      <c r="G22" s="8"/>
      <c r="H22" s="18"/>
      <c r="I22" s="152"/>
      <c r="J22" s="152"/>
      <c r="K22" s="152"/>
      <c r="L22" s="8"/>
    </row>
    <row r="23" spans="1:12" x14ac:dyDescent="0.25">
      <c r="A23" s="156" t="b">
        <v>0</v>
      </c>
      <c r="B23" s="21" t="s">
        <v>107</v>
      </c>
      <c r="C23" s="7" t="str">
        <f t="shared" si="0"/>
        <v>21</v>
      </c>
      <c r="D23" s="8"/>
      <c r="E23" s="8"/>
      <c r="F23" s="8"/>
      <c r="G23" s="8"/>
      <c r="H23" s="18"/>
      <c r="I23" s="152"/>
      <c r="J23" s="152"/>
      <c r="K23" s="152"/>
      <c r="L23" s="8"/>
    </row>
    <row r="24" spans="1:12" x14ac:dyDescent="0.25">
      <c r="A24" s="156" t="b">
        <v>0</v>
      </c>
      <c r="B24" s="21" t="s">
        <v>108</v>
      </c>
      <c r="C24" s="7" t="str">
        <f t="shared" si="0"/>
        <v>22</v>
      </c>
      <c r="D24" s="8"/>
      <c r="E24" s="8"/>
      <c r="F24" s="8"/>
      <c r="G24" s="8"/>
      <c r="H24" s="18"/>
      <c r="I24" s="152"/>
      <c r="J24" s="152"/>
      <c r="K24" s="152"/>
      <c r="L24" s="8"/>
    </row>
    <row r="25" spans="1:12" x14ac:dyDescent="0.25">
      <c r="A25" s="156" t="b">
        <v>0</v>
      </c>
      <c r="B25" s="21" t="s">
        <v>109</v>
      </c>
      <c r="C25" s="7" t="str">
        <f t="shared" si="0"/>
        <v>23</v>
      </c>
      <c r="D25" s="8"/>
      <c r="E25" s="8"/>
      <c r="F25" s="8"/>
      <c r="G25" s="8"/>
      <c r="H25" s="18"/>
      <c r="I25" s="152"/>
      <c r="J25" s="152"/>
      <c r="K25" s="152"/>
      <c r="L25" s="8"/>
    </row>
    <row r="26" spans="1:12" x14ac:dyDescent="0.25">
      <c r="A26" s="156" t="b">
        <v>0</v>
      </c>
      <c r="B26" s="21" t="s">
        <v>110</v>
      </c>
      <c r="C26" s="7" t="str">
        <f t="shared" si="0"/>
        <v>24</v>
      </c>
      <c r="D26" s="8"/>
      <c r="E26" s="8"/>
      <c r="F26" s="8"/>
      <c r="G26" s="8"/>
      <c r="H26" s="18"/>
      <c r="I26" s="152"/>
      <c r="J26" s="152"/>
      <c r="K26" s="152"/>
      <c r="L26" s="8"/>
    </row>
    <row r="27" spans="1:12" x14ac:dyDescent="0.25">
      <c r="A27" s="156" t="b">
        <v>0</v>
      </c>
      <c r="B27" s="21" t="s">
        <v>111</v>
      </c>
      <c r="C27" s="7" t="str">
        <f t="shared" si="0"/>
        <v>25</v>
      </c>
      <c r="D27" s="8"/>
      <c r="E27" s="8"/>
      <c r="F27" s="8"/>
      <c r="G27" s="8"/>
      <c r="H27" s="18"/>
      <c r="I27" s="152"/>
      <c r="J27" s="152"/>
      <c r="K27" s="152"/>
      <c r="L27" s="8"/>
    </row>
    <row r="28" spans="1:12" x14ac:dyDescent="0.25">
      <c r="A28" s="156" t="b">
        <v>0</v>
      </c>
      <c r="B28" s="21" t="s">
        <v>112</v>
      </c>
      <c r="C28" s="7" t="str">
        <f t="shared" si="0"/>
        <v>26</v>
      </c>
      <c r="D28" s="8"/>
      <c r="E28" s="8"/>
      <c r="F28" s="8"/>
      <c r="G28" s="8"/>
      <c r="H28" s="18"/>
      <c r="I28" s="152"/>
      <c r="J28" s="152"/>
      <c r="K28" s="152"/>
      <c r="L28" s="8"/>
    </row>
    <row r="29" spans="1:12" x14ac:dyDescent="0.25">
      <c r="A29" s="156" t="b">
        <v>0</v>
      </c>
      <c r="B29" s="21" t="s">
        <v>113</v>
      </c>
      <c r="C29" s="7" t="str">
        <f t="shared" si="0"/>
        <v>27</v>
      </c>
      <c r="D29" s="8"/>
      <c r="E29" s="8"/>
      <c r="F29" s="8"/>
      <c r="G29" s="8"/>
      <c r="H29" s="18"/>
      <c r="I29" s="152"/>
      <c r="J29" s="152"/>
      <c r="K29" s="152"/>
      <c r="L29" s="8"/>
    </row>
    <row r="30" spans="1:12" x14ac:dyDescent="0.25">
      <c r="A30" s="156" t="b">
        <v>0</v>
      </c>
      <c r="B30" s="21" t="s">
        <v>114</v>
      </c>
      <c r="C30" s="7" t="str">
        <f t="shared" si="0"/>
        <v>28</v>
      </c>
      <c r="D30" s="8"/>
      <c r="E30" s="8"/>
      <c r="F30" s="8"/>
      <c r="G30" s="8"/>
      <c r="H30" s="18"/>
      <c r="I30" s="152"/>
      <c r="J30" s="152"/>
      <c r="K30" s="152"/>
      <c r="L30" s="8"/>
    </row>
    <row r="31" spans="1:12" x14ac:dyDescent="0.25">
      <c r="A31" s="156" t="b">
        <v>0</v>
      </c>
      <c r="B31" s="21" t="s">
        <v>115</v>
      </c>
      <c r="C31" s="7" t="str">
        <f t="shared" si="0"/>
        <v>29</v>
      </c>
      <c r="D31" s="8"/>
      <c r="E31" s="8"/>
      <c r="F31" s="8"/>
      <c r="G31" s="8"/>
      <c r="H31" s="18"/>
      <c r="I31" s="152"/>
      <c r="J31" s="152"/>
      <c r="K31" s="152"/>
      <c r="L31" s="8"/>
    </row>
    <row r="32" spans="1:12" x14ac:dyDescent="0.25">
      <c r="A32" s="156" t="b">
        <v>0</v>
      </c>
      <c r="B32" s="21" t="s">
        <v>116</v>
      </c>
      <c r="C32" s="7" t="str">
        <f t="shared" si="0"/>
        <v>30</v>
      </c>
      <c r="D32" s="8"/>
      <c r="E32" s="8"/>
      <c r="F32" s="8"/>
      <c r="G32" s="8"/>
      <c r="H32" s="18"/>
      <c r="I32" s="152"/>
      <c r="J32" s="152"/>
      <c r="K32" s="152"/>
      <c r="L32" s="8"/>
    </row>
    <row r="33" spans="1:12" x14ac:dyDescent="0.25">
      <c r="A33" s="156" t="b">
        <v>0</v>
      </c>
      <c r="B33" s="21" t="s">
        <v>117</v>
      </c>
      <c r="C33" s="7" t="str">
        <f t="shared" si="0"/>
        <v>31</v>
      </c>
      <c r="D33" s="8"/>
      <c r="E33" s="8"/>
      <c r="F33" s="8"/>
      <c r="G33" s="8"/>
      <c r="H33" s="18"/>
      <c r="I33" s="152"/>
      <c r="J33" s="152"/>
      <c r="K33" s="152"/>
      <c r="L33" s="8"/>
    </row>
    <row r="34" spans="1:12" x14ac:dyDescent="0.25">
      <c r="A34" s="156" t="b">
        <v>0</v>
      </c>
      <c r="B34" s="21" t="s">
        <v>118</v>
      </c>
      <c r="C34" s="7" t="str">
        <f t="shared" si="0"/>
        <v>32</v>
      </c>
      <c r="D34" s="8"/>
      <c r="E34" s="8"/>
      <c r="F34" s="8"/>
      <c r="G34" s="8"/>
      <c r="H34" s="18"/>
      <c r="I34" s="152"/>
      <c r="J34" s="152"/>
      <c r="K34" s="152"/>
      <c r="L34" s="8"/>
    </row>
    <row r="35" spans="1:12" x14ac:dyDescent="0.25">
      <c r="A35" s="156" t="b">
        <v>0</v>
      </c>
      <c r="B35" s="21" t="s">
        <v>119</v>
      </c>
      <c r="C35" s="7" t="str">
        <f t="shared" si="0"/>
        <v>33</v>
      </c>
      <c r="D35" s="8"/>
      <c r="E35" s="8"/>
      <c r="F35" s="8"/>
      <c r="G35" s="8"/>
      <c r="H35" s="18"/>
      <c r="I35" s="152"/>
      <c r="J35" s="152"/>
      <c r="K35" s="152"/>
      <c r="L35" s="8"/>
    </row>
    <row r="36" spans="1:12" x14ac:dyDescent="0.25">
      <c r="A36" s="156" t="b">
        <v>0</v>
      </c>
      <c r="B36" s="21" t="s">
        <v>120</v>
      </c>
      <c r="C36" s="7" t="str">
        <f t="shared" si="0"/>
        <v>34</v>
      </c>
      <c r="D36" s="8"/>
      <c r="E36" s="8"/>
      <c r="F36" s="8"/>
      <c r="G36" s="8"/>
      <c r="H36" s="18"/>
      <c r="I36" s="152"/>
      <c r="J36" s="152"/>
      <c r="K36" s="152"/>
      <c r="L36" s="8"/>
    </row>
    <row r="37" spans="1:12" x14ac:dyDescent="0.25">
      <c r="A37" s="156" t="b">
        <v>0</v>
      </c>
      <c r="B37" s="21" t="s">
        <v>121</v>
      </c>
      <c r="C37" s="7" t="str">
        <f t="shared" si="0"/>
        <v>35</v>
      </c>
      <c r="D37" s="8"/>
      <c r="E37" s="8"/>
      <c r="F37" s="8"/>
      <c r="G37" s="8"/>
      <c r="H37" s="18"/>
      <c r="I37" s="152"/>
      <c r="J37" s="152"/>
      <c r="K37" s="152"/>
      <c r="L37" s="8"/>
    </row>
    <row r="38" spans="1:12" x14ac:dyDescent="0.25">
      <c r="A38" s="156" t="b">
        <v>0</v>
      </c>
      <c r="B38" s="21" t="s">
        <v>122</v>
      </c>
      <c r="C38" s="7" t="str">
        <f t="shared" si="0"/>
        <v>36</v>
      </c>
      <c r="D38" s="8"/>
      <c r="E38" s="8"/>
      <c r="F38" s="8"/>
      <c r="G38" s="8"/>
      <c r="H38" s="18"/>
      <c r="I38" s="152"/>
      <c r="J38" s="152"/>
      <c r="K38" s="152"/>
      <c r="L38" s="8"/>
    </row>
    <row r="39" spans="1:12" x14ac:dyDescent="0.25">
      <c r="A39" s="156" t="b">
        <v>0</v>
      </c>
      <c r="B39" s="21" t="s">
        <v>123</v>
      </c>
      <c r="C39" s="7" t="str">
        <f t="shared" si="0"/>
        <v>37</v>
      </c>
      <c r="D39" s="8"/>
      <c r="E39" s="8"/>
      <c r="F39" s="8"/>
      <c r="G39" s="8"/>
      <c r="H39" s="18"/>
      <c r="I39" s="152"/>
      <c r="J39" s="152"/>
      <c r="K39" s="152"/>
      <c r="L39" s="8"/>
    </row>
    <row r="40" spans="1:12" x14ac:dyDescent="0.25">
      <c r="A40" s="156" t="b">
        <v>0</v>
      </c>
      <c r="B40" s="21" t="s">
        <v>124</v>
      </c>
      <c r="C40" s="7" t="str">
        <f t="shared" si="0"/>
        <v>38</v>
      </c>
      <c r="D40" s="8"/>
      <c r="E40" s="8"/>
      <c r="F40" s="8"/>
      <c r="G40" s="8"/>
      <c r="H40" s="18"/>
      <c r="I40" s="152"/>
      <c r="J40" s="152"/>
      <c r="K40" s="152"/>
      <c r="L40" s="8"/>
    </row>
    <row r="41" spans="1:12" x14ac:dyDescent="0.25">
      <c r="A41" s="156" t="b">
        <v>0</v>
      </c>
      <c r="B41" s="21" t="s">
        <v>125</v>
      </c>
      <c r="C41" s="7" t="str">
        <f t="shared" si="0"/>
        <v>39</v>
      </c>
      <c r="D41" s="8"/>
      <c r="E41" s="8"/>
      <c r="F41" s="8"/>
      <c r="G41" s="8"/>
      <c r="H41" s="18"/>
      <c r="I41" s="152"/>
      <c r="J41" s="152"/>
      <c r="K41" s="152"/>
      <c r="L41" s="8"/>
    </row>
    <row r="42" spans="1:12" x14ac:dyDescent="0.25">
      <c r="A42" s="156" t="b">
        <v>0</v>
      </c>
      <c r="B42" s="21" t="s">
        <v>126</v>
      </c>
      <c r="C42" s="7" t="str">
        <f t="shared" si="0"/>
        <v>40</v>
      </c>
      <c r="D42" s="8"/>
      <c r="E42" s="8"/>
      <c r="F42" s="8"/>
      <c r="G42" s="8"/>
      <c r="H42" s="18"/>
      <c r="I42" s="152"/>
      <c r="J42" s="152"/>
      <c r="K42" s="152"/>
      <c r="L42" s="8"/>
    </row>
    <row r="43" spans="1:12" x14ac:dyDescent="0.25">
      <c r="A43" s="156" t="b">
        <v>0</v>
      </c>
      <c r="B43" s="21" t="s">
        <v>127</v>
      </c>
      <c r="C43" s="7" t="str">
        <f t="shared" si="0"/>
        <v>41</v>
      </c>
      <c r="D43" s="8"/>
      <c r="E43" s="8"/>
      <c r="F43" s="8"/>
      <c r="G43" s="8"/>
      <c r="H43" s="18"/>
      <c r="I43" s="152"/>
      <c r="J43" s="152"/>
      <c r="K43" s="152"/>
      <c r="L43" s="8"/>
    </row>
    <row r="44" spans="1:12" x14ac:dyDescent="0.25">
      <c r="A44" s="156" t="b">
        <v>0</v>
      </c>
      <c r="B44" s="21" t="s">
        <v>128</v>
      </c>
      <c r="C44" s="7" t="str">
        <f t="shared" si="0"/>
        <v>42</v>
      </c>
      <c r="D44" s="8"/>
      <c r="E44" s="8"/>
      <c r="F44" s="8"/>
      <c r="G44" s="8"/>
      <c r="H44" s="18"/>
      <c r="I44" s="152"/>
      <c r="J44" s="152"/>
      <c r="K44" s="152"/>
      <c r="L44" s="8"/>
    </row>
    <row r="45" spans="1:12" x14ac:dyDescent="0.25">
      <c r="A45" s="156" t="b">
        <v>0</v>
      </c>
      <c r="B45" s="21" t="s">
        <v>129</v>
      </c>
      <c r="C45" s="7" t="str">
        <f t="shared" si="0"/>
        <v>43</v>
      </c>
      <c r="D45" s="8"/>
      <c r="E45" s="8"/>
      <c r="F45" s="8"/>
      <c r="G45" s="8"/>
      <c r="H45" s="18"/>
      <c r="I45" s="152"/>
      <c r="J45" s="152"/>
      <c r="K45" s="152"/>
      <c r="L45" s="8"/>
    </row>
    <row r="46" spans="1:12" x14ac:dyDescent="0.25">
      <c r="A46" s="156" t="b">
        <v>0</v>
      </c>
      <c r="B46" s="21" t="s">
        <v>130</v>
      </c>
      <c r="C46" s="7" t="str">
        <f t="shared" si="0"/>
        <v>44</v>
      </c>
      <c r="D46" s="8"/>
      <c r="E46" s="8"/>
      <c r="F46" s="8"/>
      <c r="G46" s="8"/>
      <c r="H46" s="18"/>
      <c r="I46" s="152"/>
      <c r="J46" s="152"/>
      <c r="K46" s="152"/>
      <c r="L46" s="8"/>
    </row>
    <row r="47" spans="1:12" x14ac:dyDescent="0.25">
      <c r="A47" s="156" t="b">
        <v>0</v>
      </c>
      <c r="B47" s="21" t="s">
        <v>131</v>
      </c>
      <c r="C47" s="7" t="str">
        <f t="shared" si="0"/>
        <v>45</v>
      </c>
      <c r="D47" s="8"/>
      <c r="E47" s="8"/>
      <c r="F47" s="8"/>
      <c r="G47" s="8"/>
      <c r="H47" s="18"/>
      <c r="I47" s="152"/>
      <c r="J47" s="152"/>
      <c r="K47" s="152"/>
      <c r="L47" s="149"/>
    </row>
  </sheetData>
  <phoneticPr fontId="2" type="noConversion"/>
  <dataValidations count="1">
    <dataValidation type="whole" allowBlank="1" showInputMessage="1" showErrorMessage="1" sqref="L1:L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Codelists'!$J$3:$J$9</xm:f>
          </x14:formula1>
          <xm:sqref>I2:I47</xm:sqref>
        </x14:dataValidation>
        <x14:dataValidation type="list" allowBlank="1" showInputMessage="1" showErrorMessage="1" xr:uid="{93B21763-529F-49FC-8136-BFBE6C94B9ED}">
          <x14:formula1>
            <xm:f>'4_1 Codelists'!$F$53:$F$55</xm:f>
          </x14:formula1>
          <xm:sqref>J2:J47</xm:sqref>
        </x14:dataValidation>
        <x14:dataValidation type="list" allowBlank="1" showInputMessage="1" showErrorMessage="1" xr:uid="{75774535-DE14-48E8-A63F-86074C92D69E}">
          <x14:formula1>
            <xm:f>'4_1 Codelists'!$I$53:$I$55</xm:f>
          </x14:formula1>
          <xm:sqref>K2:K47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W50"/>
  <sheetViews>
    <sheetView zoomScale="115" zoomScaleNormal="115" workbookViewId="0">
      <pane xSplit="4" topLeftCell="J1" activePane="topRight" state="frozen"/>
      <selection pane="topRight" activeCell="R25" sqref="R25"/>
    </sheetView>
  </sheetViews>
  <sheetFormatPr defaultColWidth="10.85546875" defaultRowHeight="15" x14ac:dyDescent="0.25"/>
  <cols>
    <col min="2" max="2" width="7.140625" customWidth="1"/>
    <col min="3" max="3" width="12.7109375" style="24" customWidth="1"/>
    <col min="4" max="4" width="37.42578125" customWidth="1"/>
    <col min="5" max="5" width="15.5703125" customWidth="1"/>
    <col min="6" max="6" width="10.5703125" customWidth="1"/>
    <col min="7" max="7" width="13.140625" customWidth="1"/>
    <col min="8" max="8" width="16.140625" customWidth="1"/>
    <col min="9" max="9" width="39.85546875" style="5" customWidth="1"/>
    <col min="10" max="10" width="17" customWidth="1"/>
    <col min="11" max="11" width="19.5703125" customWidth="1"/>
    <col min="12" max="13" width="21.42578125" customWidth="1"/>
    <col min="14" max="15" width="16.42578125" customWidth="1"/>
    <col min="16" max="16" width="17.5703125" style="154" customWidth="1"/>
    <col min="17" max="17" width="16.140625" style="154" customWidth="1"/>
    <col min="18" max="18" width="16.42578125" style="154" customWidth="1"/>
    <col min="20" max="20" width="20" customWidth="1"/>
    <col min="21" max="21" width="17" customWidth="1"/>
  </cols>
  <sheetData>
    <row r="1" spans="1:23" x14ac:dyDescent="0.25">
      <c r="A1" s="155" t="s">
        <v>52</v>
      </c>
      <c r="B1" s="155" t="s">
        <v>27</v>
      </c>
      <c r="C1" s="155" t="s">
        <v>48</v>
      </c>
      <c r="D1" s="155" t="s">
        <v>580</v>
      </c>
      <c r="E1" s="155" t="s">
        <v>544</v>
      </c>
      <c r="F1" s="155" t="s">
        <v>656</v>
      </c>
      <c r="G1" s="155" t="s">
        <v>657</v>
      </c>
      <c r="H1" s="155" t="s">
        <v>240</v>
      </c>
      <c r="I1" s="155" t="s">
        <v>215</v>
      </c>
      <c r="J1" s="155" t="s">
        <v>36</v>
      </c>
      <c r="K1" s="155" t="s">
        <v>557</v>
      </c>
      <c r="L1" s="155" t="s">
        <v>552</v>
      </c>
      <c r="M1" s="155" t="s">
        <v>558</v>
      </c>
      <c r="N1" s="155" t="s">
        <v>547</v>
      </c>
      <c r="O1" s="155" t="s">
        <v>559</v>
      </c>
      <c r="P1" s="155" t="s">
        <v>548</v>
      </c>
      <c r="Q1" s="155" t="s">
        <v>560</v>
      </c>
      <c r="R1" s="155" t="s">
        <v>549</v>
      </c>
      <c r="S1" s="155" t="s">
        <v>34</v>
      </c>
      <c r="T1" s="155" t="s">
        <v>35</v>
      </c>
      <c r="U1" s="155" t="s">
        <v>3</v>
      </c>
      <c r="V1" s="155" t="s">
        <v>2</v>
      </c>
      <c r="W1" s="155" t="s">
        <v>4</v>
      </c>
    </row>
    <row r="2" spans="1:23" x14ac:dyDescent="0.25">
      <c r="A2" s="156" t="b">
        <v>0</v>
      </c>
      <c r="B2" s="7">
        <f t="shared" ref="B2" si="0">ROW()-1</f>
        <v>1</v>
      </c>
      <c r="C2" s="25" t="str">
        <f>_xlfn.XLOOKUP($D2,Tab_Def_Processes[Process_Name],Tab_Def_Processes[ID],,0,)</f>
        <v>03</v>
      </c>
      <c r="D2" s="152" t="s">
        <v>594</v>
      </c>
      <c r="E2" s="7" t="str">
        <f>_xlfn.XLOOKUP($D2,Tab_Def_Processes[Process_Name],Tab_Def_Processes[Process_Logic],,0,)</f>
        <v>Splitter</v>
      </c>
      <c r="F2" s="7" t="str">
        <f>_xlfn.XLOOKUP($D2,Tab_Def_Processes[Process_Name],Tab_Def_Processes[TC_Configuration],,0,)</f>
        <v>Dynamic</v>
      </c>
      <c r="G2" s="7" t="str">
        <f>_xlfn.XLOOKUP($D2,Tab_Def_Processes[Process_Name],Tab_Def_Processes[Stock_Configuration],,0,)</f>
        <v>No_Stock</v>
      </c>
      <c r="H2" s="7">
        <f>_xlfn.XLOOKUP($D2,Tab_Def_Processes[Process_Name],Tab_Def_Processes[Nr. Outflows],,0,)</f>
        <v>4</v>
      </c>
      <c r="I2" s="152" t="s">
        <v>610</v>
      </c>
      <c r="J2" s="146" t="str">
        <f>_xlfn.XLOOKUP($I2,Tab_Def_Flows[Flow_Name],Tab_Def_Flows[Flow_ID],,0,)</f>
        <v>F_03_04</v>
      </c>
      <c r="K2" s="20" t="str">
        <f t="shared" ref="K2" si="1">"TC_material"&amp;"_"&amp;RIGHT(J2,5)</f>
        <v>TC_material_03_04</v>
      </c>
      <c r="L2" s="154">
        <v>0.25</v>
      </c>
      <c r="M2" s="20" t="str">
        <f t="shared" ref="M2:M50" si="2">"TC_WC"&amp;"_"&amp;RIGHT(J2,5)</f>
        <v>TC_WC_03_04</v>
      </c>
      <c r="N2" s="154"/>
      <c r="O2" s="20" t="str">
        <f t="shared" ref="O2:O50" si="3">"TC_DM"&amp;"_"&amp;RIGHT(J2,5)</f>
        <v>TC_DM_03_04</v>
      </c>
      <c r="Q2" s="20" t="str">
        <f t="shared" ref="Q2:Q50" si="4">"TC_CC"&amp;"_"&amp;RIGHT(J2,5)</f>
        <v>TC_CC_03_04</v>
      </c>
      <c r="S2" s="18"/>
      <c r="T2" s="18"/>
      <c r="U2" s="18"/>
      <c r="V2" s="18"/>
      <c r="W2" s="18"/>
    </row>
    <row r="3" spans="1:23" x14ac:dyDescent="0.25">
      <c r="A3" s="156" t="b">
        <v>0</v>
      </c>
      <c r="B3" s="7">
        <f t="shared" ref="B3:B50" si="5">ROW()-1</f>
        <v>2</v>
      </c>
      <c r="C3" s="25" t="str">
        <f>_xlfn.XLOOKUP($D3,Tab_Def_Processes[Process_Name],Tab_Def_Processes[ID],,0,)</f>
        <v>03</v>
      </c>
      <c r="D3" s="152" t="s">
        <v>594</v>
      </c>
      <c r="E3" s="7" t="str">
        <f>_xlfn.XLOOKUP($D3,Tab_Def_Processes[Process_Name],Tab_Def_Processes[Process_Logic],,0,)</f>
        <v>Splitter</v>
      </c>
      <c r="F3" s="7" t="str">
        <f>_xlfn.XLOOKUP($D3,Tab_Def_Processes[Process_Name],Tab_Def_Processes[TC_Configuration],,0,)</f>
        <v>Dynamic</v>
      </c>
      <c r="G3" s="7" t="str">
        <f>_xlfn.XLOOKUP($D3,Tab_Def_Processes[Process_Name],Tab_Def_Processes[Stock_Configuration],,0,)</f>
        <v>No_Stock</v>
      </c>
      <c r="H3" s="7">
        <f>_xlfn.XLOOKUP($D3,Tab_Def_Processes[Process_Name],Tab_Def_Processes[Nr. Outflows],,0,)</f>
        <v>4</v>
      </c>
      <c r="I3" s="152" t="s">
        <v>611</v>
      </c>
      <c r="J3" s="146" t="str">
        <f>_xlfn.XLOOKUP($I3,Tab_Def_Flows[Flow_Name],Tab_Def_Flows[Flow_ID],,0,)</f>
        <v>F_03_05</v>
      </c>
      <c r="K3" s="20" t="str">
        <f t="shared" ref="K3:K50" si="6">"TC_material"&amp;"_"&amp;RIGHT(J3,5)</f>
        <v>TC_material_03_05</v>
      </c>
      <c r="L3" s="154">
        <v>0.25</v>
      </c>
      <c r="M3" s="20" t="str">
        <f t="shared" si="2"/>
        <v>TC_WC_03_05</v>
      </c>
      <c r="N3" s="154"/>
      <c r="O3" s="20" t="str">
        <f t="shared" si="3"/>
        <v>TC_DM_03_05</v>
      </c>
      <c r="Q3" s="20" t="str">
        <f t="shared" si="4"/>
        <v>TC_CC_03_05</v>
      </c>
      <c r="S3" s="18"/>
      <c r="T3" s="18"/>
      <c r="U3" s="18"/>
      <c r="V3" s="18"/>
      <c r="W3" s="18"/>
    </row>
    <row r="4" spans="1:23" x14ac:dyDescent="0.25">
      <c r="A4" s="156" t="b">
        <v>0</v>
      </c>
      <c r="B4" s="7">
        <f t="shared" si="5"/>
        <v>3</v>
      </c>
      <c r="C4" s="25" t="str">
        <f>_xlfn.XLOOKUP($D4,Tab_Def_Processes[Process_Name],Tab_Def_Processes[ID],,0,)</f>
        <v>03</v>
      </c>
      <c r="D4" s="152" t="s">
        <v>594</v>
      </c>
      <c r="E4" s="7" t="str">
        <f>_xlfn.XLOOKUP($D4,Tab_Def_Processes[Process_Name],Tab_Def_Processes[Process_Logic],,0,)</f>
        <v>Splitter</v>
      </c>
      <c r="F4" s="7" t="str">
        <f>_xlfn.XLOOKUP($D4,Tab_Def_Processes[Process_Name],Tab_Def_Processes[TC_Configuration],,0,)</f>
        <v>Dynamic</v>
      </c>
      <c r="G4" s="7" t="str">
        <f>_xlfn.XLOOKUP($D4,Tab_Def_Processes[Process_Name],Tab_Def_Processes[Stock_Configuration],,0,)</f>
        <v>No_Stock</v>
      </c>
      <c r="H4" s="7">
        <f>_xlfn.XLOOKUP($D4,Tab_Def_Processes[Process_Name],Tab_Def_Processes[Nr. Outflows],,0,)</f>
        <v>4</v>
      </c>
      <c r="I4" s="152" t="s">
        <v>612</v>
      </c>
      <c r="J4" s="146" t="str">
        <f>_xlfn.XLOOKUP($I4,Tab_Def_Flows[Flow_Name],Tab_Def_Flows[Flow_ID],,0,)</f>
        <v>F_03_06</v>
      </c>
      <c r="K4" s="20" t="str">
        <f t="shared" si="6"/>
        <v>TC_material_03_06</v>
      </c>
      <c r="L4" s="154">
        <v>0.25</v>
      </c>
      <c r="M4" s="20" t="str">
        <f t="shared" si="2"/>
        <v>TC_WC_03_06</v>
      </c>
      <c r="N4" s="154"/>
      <c r="O4" s="20" t="str">
        <f t="shared" si="3"/>
        <v>TC_DM_03_06</v>
      </c>
      <c r="Q4" s="20" t="str">
        <f t="shared" si="4"/>
        <v>TC_CC_03_06</v>
      </c>
      <c r="S4" s="18"/>
      <c r="T4" s="18"/>
      <c r="U4" s="18"/>
      <c r="V4" s="18"/>
      <c r="W4" s="18"/>
    </row>
    <row r="5" spans="1:23" x14ac:dyDescent="0.25">
      <c r="A5" s="156" t="b">
        <v>0</v>
      </c>
      <c r="B5" s="7">
        <f>ROW()-1</f>
        <v>4</v>
      </c>
      <c r="C5" s="25" t="str">
        <f>_xlfn.XLOOKUP($D5,Tab_Def_Processes[Process_Name],Tab_Def_Processes[ID],,0,)</f>
        <v>03</v>
      </c>
      <c r="D5" s="152" t="s">
        <v>594</v>
      </c>
      <c r="E5" s="7" t="str">
        <f>_xlfn.XLOOKUP($D5,Tab_Def_Processes[Process_Name],Tab_Def_Processes[Process_Logic],,0,)</f>
        <v>Splitter</v>
      </c>
      <c r="F5" s="7" t="str">
        <f>_xlfn.XLOOKUP($D5,Tab_Def_Processes[Process_Name],Tab_Def_Processes[TC_Configuration],,0,)</f>
        <v>Dynamic</v>
      </c>
      <c r="G5" s="7" t="str">
        <f>_xlfn.XLOOKUP($D5,Tab_Def_Processes[Process_Name],Tab_Def_Processes[Stock_Configuration],,0,)</f>
        <v>No_Stock</v>
      </c>
      <c r="H5" s="7">
        <f>_xlfn.XLOOKUP($D5,Tab_Def_Processes[Process_Name],Tab_Def_Processes[Nr. Outflows],,0,)</f>
        <v>4</v>
      </c>
      <c r="I5" s="152" t="s">
        <v>613</v>
      </c>
      <c r="J5" s="146" t="str">
        <f>_xlfn.XLOOKUP($I5,Tab_Def_Flows[Flow_Name],Tab_Def_Flows[Flow_ID],,0,)</f>
        <v>F_03_07</v>
      </c>
      <c r="K5" s="20" t="str">
        <f>"TC_material"&amp;"_"&amp;RIGHT(J5,5)</f>
        <v>TC_material_03_07</v>
      </c>
      <c r="L5" s="154">
        <v>0.25</v>
      </c>
      <c r="M5" s="20" t="str">
        <f t="shared" si="2"/>
        <v>TC_WC_03_07</v>
      </c>
      <c r="N5" s="154"/>
      <c r="O5" s="20" t="str">
        <f t="shared" si="3"/>
        <v>TC_DM_03_07</v>
      </c>
      <c r="Q5" s="20" t="str">
        <f t="shared" si="4"/>
        <v>TC_CC_03_07</v>
      </c>
      <c r="S5" s="18"/>
      <c r="T5" s="18"/>
      <c r="U5" s="18"/>
      <c r="V5" s="18"/>
      <c r="W5" s="18"/>
    </row>
    <row r="6" spans="1:23" x14ac:dyDescent="0.25">
      <c r="A6" s="156" t="b">
        <v>0</v>
      </c>
      <c r="B6" s="7">
        <f t="shared" si="5"/>
        <v>5</v>
      </c>
      <c r="C6" s="25" t="str">
        <f>_xlfn.XLOOKUP($D6,Tab_Def_Processes[Process_Name],Tab_Def_Processes[ID],,0,)</f>
        <v>06</v>
      </c>
      <c r="D6" s="152" t="s">
        <v>597</v>
      </c>
      <c r="E6" s="7" t="str">
        <f>_xlfn.XLOOKUP($D6,Tab_Def_Processes[Process_Name],Tab_Def_Processes[Process_Logic],,0,)</f>
        <v>Transformer</v>
      </c>
      <c r="F6" s="7" t="str">
        <f>_xlfn.XLOOKUP($D6,Tab_Def_Processes[Process_Name],Tab_Def_Processes[TC_Configuration],,0,)</f>
        <v>Static</v>
      </c>
      <c r="G6" s="7" t="str">
        <f>_xlfn.XLOOKUP($D6,Tab_Def_Processes[Process_Name],Tab_Def_Processes[Stock_Configuration],,0,)</f>
        <v>No_Stock</v>
      </c>
      <c r="H6" s="7">
        <f>_xlfn.XLOOKUP($D6,Tab_Def_Processes[Process_Name],Tab_Def_Processes[Nr. Outflows],,0,)</f>
        <v>2</v>
      </c>
      <c r="I6" s="152" t="s">
        <v>617</v>
      </c>
      <c r="J6" s="146" t="str">
        <f>_xlfn.XLOOKUP($I6,Tab_Def_Flows[Flow_Name],Tab_Def_Flows[Flow_ID],,0,)</f>
        <v>F_06_08</v>
      </c>
      <c r="K6" s="20" t="str">
        <f t="shared" si="6"/>
        <v>TC_material_06_08</v>
      </c>
      <c r="L6" s="154"/>
      <c r="M6" s="20" t="str">
        <f t="shared" si="2"/>
        <v>TC_WC_06_08</v>
      </c>
      <c r="N6" s="154">
        <v>0.5</v>
      </c>
      <c r="O6" s="20" t="str">
        <f t="shared" si="3"/>
        <v>TC_DM_06_08</v>
      </c>
      <c r="P6" s="154">
        <v>0.5</v>
      </c>
      <c r="Q6" s="20" t="str">
        <f t="shared" si="4"/>
        <v>TC_CC_06_08</v>
      </c>
      <c r="R6" s="154">
        <v>0</v>
      </c>
      <c r="S6" s="18"/>
      <c r="T6" s="18"/>
      <c r="U6" s="18"/>
      <c r="V6" s="18"/>
      <c r="W6" s="18"/>
    </row>
    <row r="7" spans="1:23" x14ac:dyDescent="0.25">
      <c r="A7" s="156" t="b">
        <v>0</v>
      </c>
      <c r="B7" s="7">
        <f t="shared" si="5"/>
        <v>6</v>
      </c>
      <c r="C7" s="25" t="str">
        <f>_xlfn.XLOOKUP($D7,Tab_Def_Processes[Process_Name],Tab_Def_Processes[ID],,0,)</f>
        <v>06</v>
      </c>
      <c r="D7" s="152" t="s">
        <v>597</v>
      </c>
      <c r="E7" s="7" t="str">
        <f>_xlfn.XLOOKUP($D7,Tab_Def_Processes[Process_Name],Tab_Def_Processes[Process_Logic],,0,)</f>
        <v>Transformer</v>
      </c>
      <c r="F7" s="7" t="str">
        <f>_xlfn.XLOOKUP($D7,Tab_Def_Processes[Process_Name],Tab_Def_Processes[TC_Configuration],,0,)</f>
        <v>Static</v>
      </c>
      <c r="G7" s="7" t="str">
        <f>_xlfn.XLOOKUP($D7,Tab_Def_Processes[Process_Name],Tab_Def_Processes[Stock_Configuration],,0,)</f>
        <v>No_Stock</v>
      </c>
      <c r="H7" s="7">
        <f>_xlfn.XLOOKUP($D7,Tab_Def_Processes[Process_Name],Tab_Def_Processes[Nr. Outflows],,0,)</f>
        <v>2</v>
      </c>
      <c r="I7" s="152" t="s">
        <v>616</v>
      </c>
      <c r="J7" s="146" t="str">
        <f>_xlfn.XLOOKUP($I7,Tab_Def_Flows[Flow_Name],Tab_Def_Flows[Flow_ID],,0,)</f>
        <v>F_06_09</v>
      </c>
      <c r="K7" s="20" t="str">
        <f t="shared" si="6"/>
        <v>TC_material_06_09</v>
      </c>
      <c r="L7" s="154"/>
      <c r="M7" s="20" t="str">
        <f t="shared" si="2"/>
        <v>TC_WC_06_09</v>
      </c>
      <c r="N7" s="154">
        <v>0.5</v>
      </c>
      <c r="O7" s="20" t="str">
        <f t="shared" si="3"/>
        <v>TC_DM_06_09</v>
      </c>
      <c r="P7" s="154">
        <v>0.5</v>
      </c>
      <c r="Q7" s="20" t="str">
        <f t="shared" si="4"/>
        <v>TC_CC_06_09</v>
      </c>
      <c r="R7" s="154">
        <v>1</v>
      </c>
      <c r="S7" s="18"/>
      <c r="T7" s="18"/>
      <c r="U7" s="18"/>
      <c r="V7" s="18"/>
      <c r="W7" s="18"/>
    </row>
    <row r="8" spans="1:23" x14ac:dyDescent="0.25">
      <c r="A8" s="156" t="b">
        <v>0</v>
      </c>
      <c r="B8" s="7">
        <f t="shared" si="5"/>
        <v>7</v>
      </c>
      <c r="C8" s="25" t="str">
        <f>_xlfn.XLOOKUP($D8,Tab_Def_Processes[Process_Name],Tab_Def_Processes[ID],,0,)</f>
        <v>05</v>
      </c>
      <c r="D8" s="152" t="s">
        <v>596</v>
      </c>
      <c r="E8" s="7" t="str">
        <f>_xlfn.XLOOKUP($D8,Tab_Def_Processes[Process_Name],Tab_Def_Processes[Process_Logic],,0,)</f>
        <v>Splitter</v>
      </c>
      <c r="F8" s="7" t="str">
        <f>_xlfn.XLOOKUP($D8,Tab_Def_Processes[Process_Name],Tab_Def_Processes[TC_Configuration],,0,)</f>
        <v>Static</v>
      </c>
      <c r="G8" s="7" t="str">
        <f>_xlfn.XLOOKUP($D8,Tab_Def_Processes[Process_Name],Tab_Def_Processes[Stock_Configuration],,0,)</f>
        <v>No_Stock</v>
      </c>
      <c r="H8" s="7">
        <f>_xlfn.XLOOKUP($D8,Tab_Def_Processes[Process_Name],Tab_Def_Processes[Nr. Outflows],,0,)</f>
        <v>2</v>
      </c>
      <c r="I8" s="152" t="s">
        <v>618</v>
      </c>
      <c r="J8" s="146" t="str">
        <f>_xlfn.XLOOKUP($I8,Tab_Def_Flows[Flow_Name],Tab_Def_Flows[Flow_ID],,0,)</f>
        <v>F_05_10</v>
      </c>
      <c r="K8" s="20" t="str">
        <f t="shared" si="6"/>
        <v>TC_material_05_10</v>
      </c>
      <c r="L8" s="154">
        <v>0.1</v>
      </c>
      <c r="M8" s="20" t="str">
        <f t="shared" si="2"/>
        <v>TC_WC_05_10</v>
      </c>
      <c r="N8" s="154"/>
      <c r="O8" s="20" t="str">
        <f t="shared" si="3"/>
        <v>TC_DM_05_10</v>
      </c>
      <c r="Q8" s="20" t="str">
        <f t="shared" si="4"/>
        <v>TC_CC_05_10</v>
      </c>
      <c r="S8" s="18"/>
      <c r="T8" s="18"/>
      <c r="U8" s="18"/>
      <c r="V8" s="18"/>
      <c r="W8" s="18"/>
    </row>
    <row r="9" spans="1:23" x14ac:dyDescent="0.25">
      <c r="A9" s="156" t="b">
        <v>0</v>
      </c>
      <c r="B9" s="7">
        <f t="shared" si="5"/>
        <v>8</v>
      </c>
      <c r="C9" s="25" t="str">
        <f>_xlfn.XLOOKUP($D9,Tab_Def_Processes[Process_Name],Tab_Def_Processes[ID],,0,)</f>
        <v>05</v>
      </c>
      <c r="D9" s="152" t="s">
        <v>596</v>
      </c>
      <c r="E9" s="7" t="str">
        <f>_xlfn.XLOOKUP($D9,Tab_Def_Processes[Process_Name],Tab_Def_Processes[Process_Logic],,0,)</f>
        <v>Splitter</v>
      </c>
      <c r="F9" s="7" t="str">
        <f>_xlfn.XLOOKUP($D9,Tab_Def_Processes[Process_Name],Tab_Def_Processes[TC_Configuration],,0,)</f>
        <v>Static</v>
      </c>
      <c r="G9" s="7" t="str">
        <f>_xlfn.XLOOKUP($D9,Tab_Def_Processes[Process_Name],Tab_Def_Processes[Stock_Configuration],,0,)</f>
        <v>No_Stock</v>
      </c>
      <c r="H9" s="7">
        <f>_xlfn.XLOOKUP($D9,Tab_Def_Processes[Process_Name],Tab_Def_Processes[Nr. Outflows],,0,)</f>
        <v>2</v>
      </c>
      <c r="I9" s="152" t="s">
        <v>615</v>
      </c>
      <c r="J9" s="146" t="str">
        <f>_xlfn.XLOOKUP($I9,Tab_Def_Flows[Flow_Name],Tab_Def_Flows[Flow_ID],,0,)</f>
        <v>F_05_11</v>
      </c>
      <c r="K9" s="20" t="str">
        <f t="shared" si="6"/>
        <v>TC_material_05_11</v>
      </c>
      <c r="L9" s="154">
        <v>0.9</v>
      </c>
      <c r="M9" s="20" t="str">
        <f t="shared" si="2"/>
        <v>TC_WC_05_11</v>
      </c>
      <c r="N9" s="154"/>
      <c r="O9" s="20" t="str">
        <f t="shared" si="3"/>
        <v>TC_DM_05_11</v>
      </c>
      <c r="Q9" s="20" t="str">
        <f t="shared" si="4"/>
        <v>TC_CC_05_11</v>
      </c>
      <c r="S9" s="18"/>
      <c r="T9" s="18"/>
      <c r="U9" s="18"/>
      <c r="V9" s="18"/>
      <c r="W9" s="18"/>
    </row>
    <row r="10" spans="1:23" x14ac:dyDescent="0.25">
      <c r="A10" s="156" t="b">
        <v>0</v>
      </c>
      <c r="B10" s="7">
        <f t="shared" si="5"/>
        <v>9</v>
      </c>
      <c r="C10" s="25" t="str">
        <f>_xlfn.XLOOKUP($D10,Tab_Def_Processes[Process_Name],Tab_Def_Processes[ID],,0,)</f>
        <v>00</v>
      </c>
      <c r="D10" s="152" t="s">
        <v>591</v>
      </c>
      <c r="E10" s="7" t="str">
        <f>_xlfn.XLOOKUP($D10,Tab_Def_Processes[Process_Name],Tab_Def_Processes[Process_Logic],,0,)</f>
        <v>Transformer</v>
      </c>
      <c r="F10" s="7" t="str">
        <f>_xlfn.XLOOKUP($D10,Tab_Def_Processes[Process_Name],Tab_Def_Processes[TC_Configuration],,0,)</f>
        <v>Static</v>
      </c>
      <c r="G10" s="7" t="str">
        <f>_xlfn.XLOOKUP($D10,Tab_Def_Processes[Process_Name],Tab_Def_Processes[Stock_Configuration],,0,)</f>
        <v>No_Stock</v>
      </c>
      <c r="H10" s="7">
        <f>_xlfn.XLOOKUP($D10,Tab_Def_Processes[Process_Name],Tab_Def_Processes[Nr. Outflows],,0,)</f>
        <v>1</v>
      </c>
      <c r="I10" s="152" t="s">
        <v>607</v>
      </c>
      <c r="J10" s="146" t="str">
        <f>_xlfn.XLOOKUP($I10,Tab_Def_Flows[Flow_Name],Tab_Def_Flows[Flow_ID],,0,)</f>
        <v>F_00_01</v>
      </c>
      <c r="K10" s="20" t="str">
        <f t="shared" si="6"/>
        <v>TC_material_00_01</v>
      </c>
      <c r="L10" s="154">
        <v>0</v>
      </c>
      <c r="M10" s="20" t="str">
        <f t="shared" si="2"/>
        <v>TC_WC_00_01</v>
      </c>
      <c r="N10" s="154">
        <v>1</v>
      </c>
      <c r="O10" s="20" t="str">
        <f t="shared" si="3"/>
        <v>TC_DM_00_01</v>
      </c>
      <c r="P10" s="154">
        <v>1</v>
      </c>
      <c r="Q10" s="20" t="str">
        <f t="shared" si="4"/>
        <v>TC_CC_00_01</v>
      </c>
      <c r="R10" s="154">
        <v>1</v>
      </c>
      <c r="S10" s="18"/>
      <c r="T10" s="18"/>
      <c r="U10" s="18"/>
      <c r="V10" s="18"/>
      <c r="W10" s="18"/>
    </row>
    <row r="11" spans="1:23" x14ac:dyDescent="0.25">
      <c r="A11" s="156" t="b">
        <v>0</v>
      </c>
      <c r="B11" s="7">
        <f t="shared" si="5"/>
        <v>10</v>
      </c>
      <c r="C11" s="25" t="str">
        <f>_xlfn.XLOOKUP($D11,Tab_Def_Processes[Process_Name],Tab_Def_Processes[ID],,0,)</f>
        <v>04</v>
      </c>
      <c r="D11" s="152" t="s">
        <v>595</v>
      </c>
      <c r="E11" s="7" t="str">
        <f>_xlfn.XLOOKUP($D11,Tab_Def_Processes[Process_Name],Tab_Def_Processes[Process_Logic],,0,)</f>
        <v>Transformer</v>
      </c>
      <c r="F11" s="7" t="str">
        <f>_xlfn.XLOOKUP($D11,Tab_Def_Processes[Process_Name],Tab_Def_Processes[TC_Configuration],,0,)</f>
        <v>Static</v>
      </c>
      <c r="G11" s="7" t="str">
        <f>_xlfn.XLOOKUP($D11,Tab_Def_Processes[Process_Name],Tab_Def_Processes[Stock_Configuration],,0,)</f>
        <v>No_Stock</v>
      </c>
      <c r="H11" s="7">
        <f>_xlfn.XLOOKUP($D11,Tab_Def_Processes[Process_Name],Tab_Def_Processes[Nr. Outflows],,0,)</f>
        <v>1</v>
      </c>
      <c r="I11" s="152" t="s">
        <v>614</v>
      </c>
      <c r="J11" s="146" t="str">
        <f>_xlfn.XLOOKUP($I11,Tab_Def_Flows[Flow_Name],Tab_Def_Flows[Flow_ID],,0,)</f>
        <v>F_04_01</v>
      </c>
      <c r="K11" s="20" t="str">
        <f t="shared" si="6"/>
        <v>TC_material_04_01</v>
      </c>
      <c r="L11" s="154"/>
      <c r="M11" s="20" t="str">
        <f t="shared" si="2"/>
        <v>TC_WC_04_01</v>
      </c>
      <c r="N11" s="154">
        <v>1</v>
      </c>
      <c r="O11" s="20" t="str">
        <f t="shared" si="3"/>
        <v>TC_DM_04_01</v>
      </c>
      <c r="P11" s="154">
        <v>1</v>
      </c>
      <c r="Q11" s="20" t="str">
        <f t="shared" si="4"/>
        <v>TC_CC_04_01</v>
      </c>
      <c r="R11" s="154">
        <v>1</v>
      </c>
      <c r="S11" s="18"/>
      <c r="T11" s="18"/>
      <c r="U11" s="18"/>
      <c r="V11" s="18"/>
      <c r="W11" s="18"/>
    </row>
    <row r="12" spans="1:23" x14ac:dyDescent="0.25">
      <c r="A12" s="156" t="b">
        <v>0</v>
      </c>
      <c r="B12" s="7">
        <f t="shared" si="5"/>
        <v>11</v>
      </c>
      <c r="C12" s="25" t="str">
        <f>_xlfn.XLOOKUP($D12,Tab_Def_Processes[Process_Name],Tab_Def_Processes[ID],,0,)</f>
        <v>15</v>
      </c>
      <c r="D12" s="152"/>
      <c r="E12" s="7">
        <f>_xlfn.XLOOKUP($D12,Tab_Def_Processes[Process_Name],Tab_Def_Processes[Process_Logic],,0,)</f>
        <v>0</v>
      </c>
      <c r="F12" s="7">
        <f>_xlfn.XLOOKUP($D12,Tab_Def_Processes[Process_Name],Tab_Def_Processes[TC_Configuration],,0,)</f>
        <v>0</v>
      </c>
      <c r="G12" s="7">
        <f>_xlfn.XLOOKUP($D12,Tab_Def_Processes[Process_Name],Tab_Def_Processes[Stock_Configuration],,0,)</f>
        <v>0</v>
      </c>
      <c r="H12" s="7">
        <f>_xlfn.XLOOKUP($D12,Tab_Def_Processes[Process_Name],Tab_Def_Processes[Nr. Outflows],,0,)</f>
        <v>0</v>
      </c>
      <c r="I12" s="152"/>
      <c r="J12" s="146" t="str">
        <f>_xlfn.XLOOKUP($I12,Tab_Def_Flows[Flow_Name],Tab_Def_Flows[Flow_ID],,0,)</f>
        <v>F_15_15</v>
      </c>
      <c r="K12" s="20" t="str">
        <f t="shared" si="6"/>
        <v>TC_material_15_15</v>
      </c>
      <c r="L12" s="154"/>
      <c r="M12" s="20" t="str">
        <f t="shared" si="2"/>
        <v>TC_WC_15_15</v>
      </c>
      <c r="N12" s="154"/>
      <c r="O12" s="20" t="str">
        <f t="shared" si="3"/>
        <v>TC_DM_15_15</v>
      </c>
      <c r="Q12" s="20" t="str">
        <f t="shared" si="4"/>
        <v>TC_CC_15_15</v>
      </c>
      <c r="S12" s="18"/>
      <c r="T12" s="18"/>
      <c r="U12" s="18"/>
      <c r="V12" s="18"/>
      <c r="W12" s="18"/>
    </row>
    <row r="13" spans="1:23" x14ac:dyDescent="0.25">
      <c r="A13" s="156" t="b">
        <v>0</v>
      </c>
      <c r="B13" s="7">
        <f>ROW()-1</f>
        <v>12</v>
      </c>
      <c r="C13" s="25" t="str">
        <f>_xlfn.XLOOKUP($D13,Tab_Def_Processes[Process_Name],Tab_Def_Processes[ID],,0,)</f>
        <v>15</v>
      </c>
      <c r="D13" s="152"/>
      <c r="E13" s="7">
        <f>_xlfn.XLOOKUP($D13,Tab_Def_Processes[Process_Name],Tab_Def_Processes[Process_Logic],,0,)</f>
        <v>0</v>
      </c>
      <c r="F13" s="7">
        <f>_xlfn.XLOOKUP($D13,Tab_Def_Processes[Process_Name],Tab_Def_Processes[TC_Configuration],,0,)</f>
        <v>0</v>
      </c>
      <c r="G13" s="7">
        <f>_xlfn.XLOOKUP($D13,Tab_Def_Processes[Process_Name],Tab_Def_Processes[Stock_Configuration],,0,)</f>
        <v>0</v>
      </c>
      <c r="H13" s="7">
        <f>_xlfn.XLOOKUP($D13,Tab_Def_Processes[Process_Name],Tab_Def_Processes[Nr. Outflows],,0,)</f>
        <v>0</v>
      </c>
      <c r="I13" s="152"/>
      <c r="J13" s="146" t="str">
        <f>_xlfn.XLOOKUP($I13,Tab_Def_Flows[Flow_Name],Tab_Def_Flows[Flow_ID],,0,)</f>
        <v>F_15_15</v>
      </c>
      <c r="K13" s="20" t="str">
        <f>"TC_material"&amp;"_"&amp;RIGHT(J13,5)</f>
        <v>TC_material_15_15</v>
      </c>
      <c r="L13" s="154"/>
      <c r="M13" s="20" t="str">
        <f t="shared" si="2"/>
        <v>TC_WC_15_15</v>
      </c>
      <c r="N13" s="154"/>
      <c r="O13" s="20" t="str">
        <f t="shared" si="3"/>
        <v>TC_DM_15_15</v>
      </c>
      <c r="Q13" s="20" t="str">
        <f t="shared" si="4"/>
        <v>TC_CC_15_15</v>
      </c>
      <c r="S13" s="18"/>
      <c r="T13" s="18"/>
      <c r="U13" s="18"/>
      <c r="V13" s="18"/>
      <c r="W13" s="18"/>
    </row>
    <row r="14" spans="1:23" x14ac:dyDescent="0.25">
      <c r="A14" s="156" t="b">
        <v>0</v>
      </c>
      <c r="B14" s="7">
        <f t="shared" si="5"/>
        <v>13</v>
      </c>
      <c r="C14" s="25" t="str">
        <f>_xlfn.XLOOKUP($D14,Tab_Def_Processes[Process_Name],Tab_Def_Processes[ID],,0,)</f>
        <v>15</v>
      </c>
      <c r="D14" s="152"/>
      <c r="E14" s="7">
        <f>_xlfn.XLOOKUP($D14,Tab_Def_Processes[Process_Name],Tab_Def_Processes[Process_Logic],,0,)</f>
        <v>0</v>
      </c>
      <c r="F14" s="7">
        <f>_xlfn.XLOOKUP($D14,Tab_Def_Processes[Process_Name],Tab_Def_Processes[TC_Configuration],,0,)</f>
        <v>0</v>
      </c>
      <c r="G14" s="7">
        <f>_xlfn.XLOOKUP($D14,Tab_Def_Processes[Process_Name],Tab_Def_Processes[Stock_Configuration],,0,)</f>
        <v>0</v>
      </c>
      <c r="H14" s="7">
        <f>_xlfn.XLOOKUP($D14,Tab_Def_Processes[Process_Name],Tab_Def_Processes[Nr. Outflows],,0,)</f>
        <v>0</v>
      </c>
      <c r="I14" s="152"/>
      <c r="J14" s="146" t="str">
        <f>_xlfn.XLOOKUP($I14,Tab_Def_Flows[Flow_Name],Tab_Def_Flows[Flow_ID],,0,)</f>
        <v>F_15_15</v>
      </c>
      <c r="K14" s="20" t="str">
        <f t="shared" si="6"/>
        <v>TC_material_15_15</v>
      </c>
      <c r="L14" s="154"/>
      <c r="M14" s="20" t="str">
        <f t="shared" si="2"/>
        <v>TC_WC_15_15</v>
      </c>
      <c r="N14" s="154"/>
      <c r="O14" s="20" t="str">
        <f t="shared" si="3"/>
        <v>TC_DM_15_15</v>
      </c>
      <c r="Q14" s="20" t="str">
        <f t="shared" si="4"/>
        <v>TC_CC_15_15</v>
      </c>
      <c r="S14" s="18"/>
      <c r="T14" s="18"/>
      <c r="U14" s="18"/>
      <c r="V14" s="18"/>
      <c r="W14" s="18"/>
    </row>
    <row r="15" spans="1:23" x14ac:dyDescent="0.25">
      <c r="A15" s="156" t="b">
        <v>0</v>
      </c>
      <c r="B15" s="7">
        <f t="shared" si="5"/>
        <v>14</v>
      </c>
      <c r="C15" s="25" t="str">
        <f>_xlfn.XLOOKUP($D15,Tab_Def_Processes[Process_Name],Tab_Def_Processes[ID],,0,)</f>
        <v>15</v>
      </c>
      <c r="D15" s="152"/>
      <c r="E15" s="7">
        <f>_xlfn.XLOOKUP($D15,Tab_Def_Processes[Process_Name],Tab_Def_Processes[Process_Logic],,0,)</f>
        <v>0</v>
      </c>
      <c r="F15" s="7">
        <f>_xlfn.XLOOKUP($D15,Tab_Def_Processes[Process_Name],Tab_Def_Processes[TC_Configuration],,0,)</f>
        <v>0</v>
      </c>
      <c r="G15" s="7">
        <f>_xlfn.XLOOKUP($D15,Tab_Def_Processes[Process_Name],Tab_Def_Processes[Stock_Configuration],,0,)</f>
        <v>0</v>
      </c>
      <c r="H15" s="7">
        <f>_xlfn.XLOOKUP($D15,Tab_Def_Processes[Process_Name],Tab_Def_Processes[Nr. Outflows],,0,)</f>
        <v>0</v>
      </c>
      <c r="I15" s="152"/>
      <c r="J15" s="146" t="str">
        <f>_xlfn.XLOOKUP($I15,Tab_Def_Flows[Flow_Name],Tab_Def_Flows[Flow_ID],,0,)</f>
        <v>F_15_15</v>
      </c>
      <c r="K15" s="20" t="str">
        <f t="shared" si="6"/>
        <v>TC_material_15_15</v>
      </c>
      <c r="L15" s="154"/>
      <c r="M15" s="20" t="str">
        <f t="shared" si="2"/>
        <v>TC_WC_15_15</v>
      </c>
      <c r="N15" s="154"/>
      <c r="O15" s="20" t="str">
        <f t="shared" si="3"/>
        <v>TC_DM_15_15</v>
      </c>
      <c r="Q15" s="20" t="str">
        <f t="shared" si="4"/>
        <v>TC_CC_15_15</v>
      </c>
      <c r="S15" s="18"/>
      <c r="T15" s="18"/>
      <c r="U15" s="18"/>
      <c r="V15" s="18"/>
      <c r="W15" s="18"/>
    </row>
    <row r="16" spans="1:23" x14ac:dyDescent="0.25">
      <c r="A16" s="156" t="b">
        <v>0</v>
      </c>
      <c r="B16" s="7">
        <f t="shared" si="5"/>
        <v>15</v>
      </c>
      <c r="C16" s="25" t="str">
        <f>_xlfn.XLOOKUP($D16,Tab_Def_Processes[Process_Name],Tab_Def_Processes[ID],,0,)</f>
        <v>15</v>
      </c>
      <c r="D16" s="152"/>
      <c r="E16" s="7">
        <f>_xlfn.XLOOKUP($D16,Tab_Def_Processes[Process_Name],Tab_Def_Processes[Process_Logic],,0,)</f>
        <v>0</v>
      </c>
      <c r="F16" s="7">
        <f>_xlfn.XLOOKUP($D16,Tab_Def_Processes[Process_Name],Tab_Def_Processes[TC_Configuration],,0,)</f>
        <v>0</v>
      </c>
      <c r="G16" s="7">
        <f>_xlfn.XLOOKUP($D16,Tab_Def_Processes[Process_Name],Tab_Def_Processes[Stock_Configuration],,0,)</f>
        <v>0</v>
      </c>
      <c r="H16" s="7">
        <f>_xlfn.XLOOKUP($D16,Tab_Def_Processes[Process_Name],Tab_Def_Processes[Nr. Outflows],,0,)</f>
        <v>0</v>
      </c>
      <c r="I16" s="152"/>
      <c r="J16" s="146" t="str">
        <f>_xlfn.XLOOKUP($I16,Tab_Def_Flows[Flow_Name],Tab_Def_Flows[Flow_ID],,0,)</f>
        <v>F_15_15</v>
      </c>
      <c r="K16" s="20" t="str">
        <f t="shared" si="6"/>
        <v>TC_material_15_15</v>
      </c>
      <c r="L16" s="154"/>
      <c r="M16" s="20" t="str">
        <f t="shared" si="2"/>
        <v>TC_WC_15_15</v>
      </c>
      <c r="N16" s="154"/>
      <c r="O16" s="20" t="str">
        <f t="shared" si="3"/>
        <v>TC_DM_15_15</v>
      </c>
      <c r="Q16" s="20" t="str">
        <f t="shared" si="4"/>
        <v>TC_CC_15_15</v>
      </c>
      <c r="S16" s="18"/>
      <c r="T16" s="18"/>
      <c r="U16" s="18"/>
      <c r="V16" s="18"/>
      <c r="W16" s="18"/>
    </row>
    <row r="17" spans="1:23" x14ac:dyDescent="0.25">
      <c r="A17" s="156" t="b">
        <v>0</v>
      </c>
      <c r="B17" s="7">
        <f t="shared" si="5"/>
        <v>16</v>
      </c>
      <c r="C17" s="25" t="str">
        <f>_xlfn.XLOOKUP($D17,Tab_Def_Processes[Process_Name],Tab_Def_Processes[ID],,0,)</f>
        <v>15</v>
      </c>
      <c r="D17" s="152"/>
      <c r="E17" s="7">
        <f>_xlfn.XLOOKUP($D17,Tab_Def_Processes[Process_Name],Tab_Def_Processes[Process_Logic],,0,)</f>
        <v>0</v>
      </c>
      <c r="F17" s="7">
        <f>_xlfn.XLOOKUP($D17,Tab_Def_Processes[Process_Name],Tab_Def_Processes[TC_Configuration],,0,)</f>
        <v>0</v>
      </c>
      <c r="G17" s="7">
        <f>_xlfn.XLOOKUP($D17,Tab_Def_Processes[Process_Name],Tab_Def_Processes[Stock_Configuration],,0,)</f>
        <v>0</v>
      </c>
      <c r="H17" s="7">
        <f>_xlfn.XLOOKUP($D17,Tab_Def_Processes[Process_Name],Tab_Def_Processes[Nr. Outflows],,0,)</f>
        <v>0</v>
      </c>
      <c r="I17" s="152"/>
      <c r="J17" s="146" t="str">
        <f>_xlfn.XLOOKUP($I17,Tab_Def_Flows[Flow_Name],Tab_Def_Flows[Flow_ID],,0,)</f>
        <v>F_15_15</v>
      </c>
      <c r="K17" s="20" t="str">
        <f t="shared" si="6"/>
        <v>TC_material_15_15</v>
      </c>
      <c r="L17" s="154"/>
      <c r="M17" s="20" t="str">
        <f t="shared" si="2"/>
        <v>TC_WC_15_15</v>
      </c>
      <c r="N17" s="154"/>
      <c r="O17" s="20" t="str">
        <f t="shared" si="3"/>
        <v>TC_DM_15_15</v>
      </c>
      <c r="Q17" s="20" t="str">
        <f t="shared" si="4"/>
        <v>TC_CC_15_15</v>
      </c>
      <c r="S17" s="18"/>
      <c r="T17" s="18"/>
      <c r="U17" s="18"/>
      <c r="V17" s="18"/>
      <c r="W17" s="18"/>
    </row>
    <row r="18" spans="1:23" x14ac:dyDescent="0.25">
      <c r="A18" s="156" t="b">
        <v>0</v>
      </c>
      <c r="B18" s="7">
        <f t="shared" si="5"/>
        <v>17</v>
      </c>
      <c r="C18" s="25" t="str">
        <f>_xlfn.XLOOKUP($D18,Tab_Def_Processes[Process_Name],Tab_Def_Processes[ID],,0,)</f>
        <v>15</v>
      </c>
      <c r="D18" s="152"/>
      <c r="E18" s="7">
        <f>_xlfn.XLOOKUP($D18,Tab_Def_Processes[Process_Name],Tab_Def_Processes[Process_Logic],,0,)</f>
        <v>0</v>
      </c>
      <c r="F18" s="7">
        <f>_xlfn.XLOOKUP($D18,Tab_Def_Processes[Process_Name],Tab_Def_Processes[TC_Configuration],,0,)</f>
        <v>0</v>
      </c>
      <c r="G18" s="7">
        <f>_xlfn.XLOOKUP($D18,Tab_Def_Processes[Process_Name],Tab_Def_Processes[Stock_Configuration],,0,)</f>
        <v>0</v>
      </c>
      <c r="H18" s="7">
        <f>_xlfn.XLOOKUP($D18,Tab_Def_Processes[Process_Name],Tab_Def_Processes[Nr. Outflows],,0,)</f>
        <v>0</v>
      </c>
      <c r="I18" s="152"/>
      <c r="J18" s="146" t="str">
        <f>_xlfn.XLOOKUP($I18,Tab_Def_Flows[Flow_Name],Tab_Def_Flows[Flow_ID],,0,)</f>
        <v>F_15_15</v>
      </c>
      <c r="K18" s="20" t="str">
        <f t="shared" si="6"/>
        <v>TC_material_15_15</v>
      </c>
      <c r="L18" s="154"/>
      <c r="M18" s="20" t="str">
        <f t="shared" si="2"/>
        <v>TC_WC_15_15</v>
      </c>
      <c r="N18" s="154"/>
      <c r="O18" s="20" t="str">
        <f t="shared" si="3"/>
        <v>TC_DM_15_15</v>
      </c>
      <c r="Q18" s="20" t="str">
        <f t="shared" si="4"/>
        <v>TC_CC_15_15</v>
      </c>
      <c r="S18" s="18"/>
      <c r="T18" s="18"/>
      <c r="U18" s="18"/>
      <c r="V18" s="18"/>
      <c r="W18" s="18"/>
    </row>
    <row r="19" spans="1:23" x14ac:dyDescent="0.25">
      <c r="A19" s="156" t="b">
        <v>0</v>
      </c>
      <c r="B19" s="7">
        <f t="shared" si="5"/>
        <v>18</v>
      </c>
      <c r="C19" s="25" t="str">
        <f>_xlfn.XLOOKUP($D19,Tab_Def_Processes[Process_Name],Tab_Def_Processes[ID],,0,)</f>
        <v>15</v>
      </c>
      <c r="D19" s="152"/>
      <c r="E19" s="7">
        <f>_xlfn.XLOOKUP($D19,Tab_Def_Processes[Process_Name],Tab_Def_Processes[Process_Logic],,0,)</f>
        <v>0</v>
      </c>
      <c r="F19" s="7">
        <f>_xlfn.XLOOKUP($D19,Tab_Def_Processes[Process_Name],Tab_Def_Processes[TC_Configuration],,0,)</f>
        <v>0</v>
      </c>
      <c r="G19" s="7">
        <f>_xlfn.XLOOKUP($D19,Tab_Def_Processes[Process_Name],Tab_Def_Processes[Stock_Configuration],,0,)</f>
        <v>0</v>
      </c>
      <c r="H19" s="7">
        <f>_xlfn.XLOOKUP($D19,Tab_Def_Processes[Process_Name],Tab_Def_Processes[Nr. Outflows],,0,)</f>
        <v>0</v>
      </c>
      <c r="I19" s="152"/>
      <c r="J19" s="146" t="str">
        <f>_xlfn.XLOOKUP($I19,Tab_Def_Flows[Flow_Name],Tab_Def_Flows[Flow_ID],,0,)</f>
        <v>F_15_15</v>
      </c>
      <c r="K19" s="20" t="str">
        <f t="shared" si="6"/>
        <v>TC_material_15_15</v>
      </c>
      <c r="L19" s="154"/>
      <c r="M19" s="20" t="str">
        <f t="shared" si="2"/>
        <v>TC_WC_15_15</v>
      </c>
      <c r="N19" s="154"/>
      <c r="O19" s="20" t="str">
        <f t="shared" si="3"/>
        <v>TC_DM_15_15</v>
      </c>
      <c r="Q19" s="20" t="str">
        <f t="shared" si="4"/>
        <v>TC_CC_15_15</v>
      </c>
      <c r="S19" s="18"/>
      <c r="T19" s="18"/>
      <c r="U19" s="18"/>
      <c r="V19" s="18"/>
      <c r="W19" s="18"/>
    </row>
    <row r="20" spans="1:23" x14ac:dyDescent="0.25">
      <c r="A20" s="156" t="b">
        <v>0</v>
      </c>
      <c r="B20" s="7">
        <f t="shared" si="5"/>
        <v>19</v>
      </c>
      <c r="C20" s="25" t="str">
        <f>_xlfn.XLOOKUP($D20,Tab_Def_Processes[Process_Name],Tab_Def_Processes[ID],,0,)</f>
        <v>15</v>
      </c>
      <c r="D20" s="152"/>
      <c r="E20" s="7">
        <f>_xlfn.XLOOKUP($D20,Tab_Def_Processes[Process_Name],Tab_Def_Processes[Process_Logic],,0,)</f>
        <v>0</v>
      </c>
      <c r="F20" s="7">
        <f>_xlfn.XLOOKUP($D20,Tab_Def_Processes[Process_Name],Tab_Def_Processes[TC_Configuration],,0,)</f>
        <v>0</v>
      </c>
      <c r="G20" s="7">
        <f>_xlfn.XLOOKUP($D20,Tab_Def_Processes[Process_Name],Tab_Def_Processes[Stock_Configuration],,0,)</f>
        <v>0</v>
      </c>
      <c r="H20" s="7">
        <f>_xlfn.XLOOKUP($D20,Tab_Def_Processes[Process_Name],Tab_Def_Processes[Nr. Outflows],,0,)</f>
        <v>0</v>
      </c>
      <c r="I20" s="152"/>
      <c r="J20" s="146" t="str">
        <f>_xlfn.XLOOKUP($I20,Tab_Def_Flows[Flow_Name],Tab_Def_Flows[Flow_ID],,0,)</f>
        <v>F_15_15</v>
      </c>
      <c r="K20" s="20" t="str">
        <f t="shared" si="6"/>
        <v>TC_material_15_15</v>
      </c>
      <c r="L20" s="154"/>
      <c r="M20" s="20" t="str">
        <f t="shared" si="2"/>
        <v>TC_WC_15_15</v>
      </c>
      <c r="N20" s="154"/>
      <c r="O20" s="20" t="str">
        <f t="shared" si="3"/>
        <v>TC_DM_15_15</v>
      </c>
      <c r="Q20" s="20" t="str">
        <f t="shared" si="4"/>
        <v>TC_CC_15_15</v>
      </c>
      <c r="S20" s="18"/>
      <c r="T20" s="18"/>
      <c r="U20" s="18"/>
      <c r="V20" s="18"/>
      <c r="W20" s="18"/>
    </row>
    <row r="21" spans="1:23" x14ac:dyDescent="0.25">
      <c r="A21" s="156" t="b">
        <v>0</v>
      </c>
      <c r="B21" s="7">
        <f t="shared" si="5"/>
        <v>20</v>
      </c>
      <c r="C21" s="25" t="str">
        <f>_xlfn.XLOOKUP($D21,Tab_Def_Processes[Process_Name],Tab_Def_Processes[ID],,0,)</f>
        <v>15</v>
      </c>
      <c r="D21" s="152"/>
      <c r="E21" s="7">
        <f>_xlfn.XLOOKUP($D21,Tab_Def_Processes[Process_Name],Tab_Def_Processes[Process_Logic],,0,)</f>
        <v>0</v>
      </c>
      <c r="F21" s="7">
        <f>_xlfn.XLOOKUP($D21,Tab_Def_Processes[Process_Name],Tab_Def_Processes[TC_Configuration],,0,)</f>
        <v>0</v>
      </c>
      <c r="G21" s="7">
        <f>_xlfn.XLOOKUP($D21,Tab_Def_Processes[Process_Name],Tab_Def_Processes[Stock_Configuration],,0,)</f>
        <v>0</v>
      </c>
      <c r="H21" s="7">
        <f>_xlfn.XLOOKUP($D21,Tab_Def_Processes[Process_Name],Tab_Def_Processes[Nr. Outflows],,0,)</f>
        <v>0</v>
      </c>
      <c r="I21" s="152"/>
      <c r="J21" s="146" t="str">
        <f>_xlfn.XLOOKUP($I21,Tab_Def_Flows[Flow_Name],Tab_Def_Flows[Flow_ID],,0,)</f>
        <v>F_15_15</v>
      </c>
      <c r="K21" s="20" t="str">
        <f t="shared" si="6"/>
        <v>TC_material_15_15</v>
      </c>
      <c r="L21" s="154"/>
      <c r="M21" s="20" t="str">
        <f t="shared" si="2"/>
        <v>TC_WC_15_15</v>
      </c>
      <c r="N21" s="154"/>
      <c r="O21" s="20" t="str">
        <f t="shared" si="3"/>
        <v>TC_DM_15_15</v>
      </c>
      <c r="Q21" s="20" t="str">
        <f t="shared" si="4"/>
        <v>TC_CC_15_15</v>
      </c>
      <c r="S21" s="18"/>
      <c r="T21" s="18"/>
      <c r="U21" s="18"/>
      <c r="V21" s="18"/>
      <c r="W21" s="18"/>
    </row>
    <row r="22" spans="1:23" x14ac:dyDescent="0.25">
      <c r="A22" s="156" t="b">
        <v>0</v>
      </c>
      <c r="B22" s="7">
        <f t="shared" si="5"/>
        <v>21</v>
      </c>
      <c r="C22" s="25" t="str">
        <f>_xlfn.XLOOKUP($D22,Tab_Def_Processes[Process_Name],Tab_Def_Processes[ID],,0,)</f>
        <v>15</v>
      </c>
      <c r="D22" s="152"/>
      <c r="E22" s="7">
        <f>_xlfn.XLOOKUP($D22,Tab_Def_Processes[Process_Name],Tab_Def_Processes[Process_Logic],,0,)</f>
        <v>0</v>
      </c>
      <c r="F22" s="7">
        <f>_xlfn.XLOOKUP($D22,Tab_Def_Processes[Process_Name],Tab_Def_Processes[TC_Configuration],,0,)</f>
        <v>0</v>
      </c>
      <c r="G22" s="7">
        <f>_xlfn.XLOOKUP($D22,Tab_Def_Processes[Process_Name],Tab_Def_Processes[Stock_Configuration],,0,)</f>
        <v>0</v>
      </c>
      <c r="H22" s="7">
        <f>_xlfn.XLOOKUP($D22,Tab_Def_Processes[Process_Name],Tab_Def_Processes[Nr. Outflows],,0,)</f>
        <v>0</v>
      </c>
      <c r="I22" s="152"/>
      <c r="J22" s="146" t="str">
        <f>_xlfn.XLOOKUP($I22,Tab_Def_Flows[Flow_Name],Tab_Def_Flows[Flow_ID],,0,)</f>
        <v>F_15_15</v>
      </c>
      <c r="K22" s="20" t="str">
        <f t="shared" si="6"/>
        <v>TC_material_15_15</v>
      </c>
      <c r="L22" s="154"/>
      <c r="M22" s="20" t="str">
        <f t="shared" si="2"/>
        <v>TC_WC_15_15</v>
      </c>
      <c r="N22" s="154"/>
      <c r="O22" s="20" t="str">
        <f t="shared" si="3"/>
        <v>TC_DM_15_15</v>
      </c>
      <c r="Q22" s="20" t="str">
        <f t="shared" si="4"/>
        <v>TC_CC_15_15</v>
      </c>
      <c r="S22" s="18"/>
      <c r="T22" s="18"/>
      <c r="U22" s="18"/>
      <c r="V22" s="18"/>
      <c r="W22" s="18"/>
    </row>
    <row r="23" spans="1:23" x14ac:dyDescent="0.25">
      <c r="A23" s="156" t="b">
        <v>0</v>
      </c>
      <c r="B23" s="7">
        <f t="shared" si="5"/>
        <v>22</v>
      </c>
      <c r="C23" s="25" t="str">
        <f>_xlfn.XLOOKUP($D23,Tab_Def_Processes[Process_Name],Tab_Def_Processes[ID],,0,)</f>
        <v>15</v>
      </c>
      <c r="D23" s="152"/>
      <c r="E23" s="7">
        <f>_xlfn.XLOOKUP($D23,Tab_Def_Processes[Process_Name],Tab_Def_Processes[Process_Logic],,0,)</f>
        <v>0</v>
      </c>
      <c r="F23" s="7">
        <f>_xlfn.XLOOKUP($D23,Tab_Def_Processes[Process_Name],Tab_Def_Processes[TC_Configuration],,0,)</f>
        <v>0</v>
      </c>
      <c r="G23" s="7">
        <f>_xlfn.XLOOKUP($D23,Tab_Def_Processes[Process_Name],Tab_Def_Processes[Stock_Configuration],,0,)</f>
        <v>0</v>
      </c>
      <c r="H23" s="7">
        <f>_xlfn.XLOOKUP($D23,Tab_Def_Processes[Process_Name],Tab_Def_Processes[Nr. Outflows],,0,)</f>
        <v>0</v>
      </c>
      <c r="I23" s="152"/>
      <c r="J23" s="146" t="str">
        <f>_xlfn.XLOOKUP($I23,Tab_Def_Flows[Flow_Name],Tab_Def_Flows[Flow_ID],,0,)</f>
        <v>F_15_15</v>
      </c>
      <c r="K23" s="20" t="str">
        <f t="shared" si="6"/>
        <v>TC_material_15_15</v>
      </c>
      <c r="L23" s="154"/>
      <c r="M23" s="20" t="str">
        <f t="shared" si="2"/>
        <v>TC_WC_15_15</v>
      </c>
      <c r="N23" s="154"/>
      <c r="O23" s="20" t="str">
        <f t="shared" si="3"/>
        <v>TC_DM_15_15</v>
      </c>
      <c r="Q23" s="20" t="str">
        <f t="shared" si="4"/>
        <v>TC_CC_15_15</v>
      </c>
      <c r="S23" s="18"/>
      <c r="T23" s="18"/>
      <c r="U23" s="18"/>
      <c r="V23" s="18"/>
      <c r="W23" s="18"/>
    </row>
    <row r="24" spans="1:23" x14ac:dyDescent="0.25">
      <c r="A24" s="156" t="b">
        <v>0</v>
      </c>
      <c r="B24" s="7">
        <f t="shared" si="5"/>
        <v>23</v>
      </c>
      <c r="C24" s="25" t="str">
        <f>_xlfn.XLOOKUP($D24,Tab_Def_Processes[Process_Name],Tab_Def_Processes[ID],,0,)</f>
        <v>15</v>
      </c>
      <c r="D24" s="152"/>
      <c r="E24" s="7">
        <f>_xlfn.XLOOKUP($D24,Tab_Def_Processes[Process_Name],Tab_Def_Processes[Process_Logic],,0,)</f>
        <v>0</v>
      </c>
      <c r="F24" s="7">
        <f>_xlfn.XLOOKUP($D24,Tab_Def_Processes[Process_Name],Tab_Def_Processes[TC_Configuration],,0,)</f>
        <v>0</v>
      </c>
      <c r="G24" s="7">
        <f>_xlfn.XLOOKUP($D24,Tab_Def_Processes[Process_Name],Tab_Def_Processes[Stock_Configuration],,0,)</f>
        <v>0</v>
      </c>
      <c r="H24" s="7">
        <f>_xlfn.XLOOKUP($D24,Tab_Def_Processes[Process_Name],Tab_Def_Processes[Nr. Outflows],,0,)</f>
        <v>0</v>
      </c>
      <c r="I24" s="152"/>
      <c r="J24" s="146" t="str">
        <f>_xlfn.XLOOKUP($I24,Tab_Def_Flows[Flow_Name],Tab_Def_Flows[Flow_ID],,0,)</f>
        <v>F_15_15</v>
      </c>
      <c r="K24" s="20" t="str">
        <f t="shared" si="6"/>
        <v>TC_material_15_15</v>
      </c>
      <c r="L24" s="154"/>
      <c r="M24" s="20" t="str">
        <f t="shared" si="2"/>
        <v>TC_WC_15_15</v>
      </c>
      <c r="N24" s="154"/>
      <c r="O24" s="20" t="str">
        <f t="shared" si="3"/>
        <v>TC_DM_15_15</v>
      </c>
      <c r="Q24" s="20" t="str">
        <f t="shared" si="4"/>
        <v>TC_CC_15_15</v>
      </c>
      <c r="S24" s="18"/>
      <c r="T24" s="18"/>
      <c r="U24" s="18"/>
      <c r="V24" s="18"/>
      <c r="W24" s="18"/>
    </row>
    <row r="25" spans="1:23" x14ac:dyDescent="0.25">
      <c r="A25" s="156" t="b">
        <v>0</v>
      </c>
      <c r="B25" s="7">
        <f t="shared" si="5"/>
        <v>24</v>
      </c>
      <c r="C25" s="25" t="str">
        <f>_xlfn.XLOOKUP($D25,Tab_Def_Processes[Process_Name],Tab_Def_Processes[ID],,0,)</f>
        <v>15</v>
      </c>
      <c r="D25" s="152"/>
      <c r="E25" s="7">
        <f>_xlfn.XLOOKUP($D25,Tab_Def_Processes[Process_Name],Tab_Def_Processes[Process_Logic],,0,)</f>
        <v>0</v>
      </c>
      <c r="F25" s="7">
        <f>_xlfn.XLOOKUP($D25,Tab_Def_Processes[Process_Name],Tab_Def_Processes[TC_Configuration],,0,)</f>
        <v>0</v>
      </c>
      <c r="G25" s="7">
        <f>_xlfn.XLOOKUP($D25,Tab_Def_Processes[Process_Name],Tab_Def_Processes[Stock_Configuration],,0,)</f>
        <v>0</v>
      </c>
      <c r="H25" s="7">
        <f>_xlfn.XLOOKUP($D25,Tab_Def_Processes[Process_Name],Tab_Def_Processes[Nr. Outflows],,0,)</f>
        <v>0</v>
      </c>
      <c r="I25" s="152"/>
      <c r="J25" s="146" t="str">
        <f>_xlfn.XLOOKUP($I25,Tab_Def_Flows[Flow_Name],Tab_Def_Flows[Flow_ID],,0,)</f>
        <v>F_15_15</v>
      </c>
      <c r="K25" s="20" t="str">
        <f t="shared" si="6"/>
        <v>TC_material_15_15</v>
      </c>
      <c r="L25" s="154"/>
      <c r="M25" s="20" t="str">
        <f t="shared" si="2"/>
        <v>TC_WC_15_15</v>
      </c>
      <c r="N25" s="154"/>
      <c r="O25" s="20" t="str">
        <f t="shared" si="3"/>
        <v>TC_DM_15_15</v>
      </c>
      <c r="Q25" s="20" t="str">
        <f t="shared" si="4"/>
        <v>TC_CC_15_15</v>
      </c>
      <c r="S25" s="18"/>
      <c r="T25" s="18"/>
      <c r="U25" s="18"/>
      <c r="V25" s="18"/>
      <c r="W25" s="18"/>
    </row>
    <row r="26" spans="1:23" x14ac:dyDescent="0.25">
      <c r="A26" s="156" t="b">
        <v>0</v>
      </c>
      <c r="B26" s="7">
        <f t="shared" si="5"/>
        <v>25</v>
      </c>
      <c r="C26" s="25" t="str">
        <f>_xlfn.XLOOKUP($D26,Tab_Def_Processes[Process_Name],Tab_Def_Processes[ID],,0,)</f>
        <v>15</v>
      </c>
      <c r="D26" s="152"/>
      <c r="E26" s="7">
        <f>_xlfn.XLOOKUP($D26,Tab_Def_Processes[Process_Name],Tab_Def_Processes[Process_Logic],,0,)</f>
        <v>0</v>
      </c>
      <c r="F26" s="7">
        <f>_xlfn.XLOOKUP($D26,Tab_Def_Processes[Process_Name],Tab_Def_Processes[TC_Configuration],,0,)</f>
        <v>0</v>
      </c>
      <c r="G26" s="7">
        <f>_xlfn.XLOOKUP($D26,Tab_Def_Processes[Process_Name],Tab_Def_Processes[Stock_Configuration],,0,)</f>
        <v>0</v>
      </c>
      <c r="H26" s="7">
        <f>_xlfn.XLOOKUP($D26,Tab_Def_Processes[Process_Name],Tab_Def_Processes[Nr. Outflows],,0,)</f>
        <v>0</v>
      </c>
      <c r="I26" s="152"/>
      <c r="J26" s="146" t="str">
        <f>_xlfn.XLOOKUP($I26,Tab_Def_Flows[Flow_Name],Tab_Def_Flows[Flow_ID],,0,)</f>
        <v>F_15_15</v>
      </c>
      <c r="K26" s="20" t="str">
        <f t="shared" si="6"/>
        <v>TC_material_15_15</v>
      </c>
      <c r="L26" s="154"/>
      <c r="M26" s="20" t="str">
        <f t="shared" si="2"/>
        <v>TC_WC_15_15</v>
      </c>
      <c r="N26" s="154"/>
      <c r="O26" s="20" t="str">
        <f t="shared" si="3"/>
        <v>TC_DM_15_15</v>
      </c>
      <c r="Q26" s="20" t="str">
        <f t="shared" si="4"/>
        <v>TC_CC_15_15</v>
      </c>
      <c r="S26" s="18"/>
      <c r="T26" s="18"/>
      <c r="U26" s="18"/>
      <c r="V26" s="18"/>
      <c r="W26" s="18"/>
    </row>
    <row r="27" spans="1:23" x14ac:dyDescent="0.25">
      <c r="A27" s="156" t="b">
        <v>0</v>
      </c>
      <c r="B27" s="7">
        <f t="shared" si="5"/>
        <v>26</v>
      </c>
      <c r="C27" s="25" t="str">
        <f>_xlfn.XLOOKUP($D27,Tab_Def_Processes[Process_Name],Tab_Def_Processes[ID],,0,)</f>
        <v>15</v>
      </c>
      <c r="D27" s="152"/>
      <c r="E27" s="7">
        <f>_xlfn.XLOOKUP($D27,Tab_Def_Processes[Process_Name],Tab_Def_Processes[Process_Logic],,0,)</f>
        <v>0</v>
      </c>
      <c r="F27" s="7">
        <f>_xlfn.XLOOKUP($D27,Tab_Def_Processes[Process_Name],Tab_Def_Processes[TC_Configuration],,0,)</f>
        <v>0</v>
      </c>
      <c r="G27" s="7">
        <f>_xlfn.XLOOKUP($D27,Tab_Def_Processes[Process_Name],Tab_Def_Processes[Stock_Configuration],,0,)</f>
        <v>0</v>
      </c>
      <c r="H27" s="7">
        <f>_xlfn.XLOOKUP($D27,Tab_Def_Processes[Process_Name],Tab_Def_Processes[Nr. Outflows],,0,)</f>
        <v>0</v>
      </c>
      <c r="I27" s="152"/>
      <c r="J27" s="146" t="str">
        <f>_xlfn.XLOOKUP($I27,Tab_Def_Flows[Flow_Name],Tab_Def_Flows[Flow_ID],,0,)</f>
        <v>F_15_15</v>
      </c>
      <c r="K27" s="20" t="str">
        <f t="shared" si="6"/>
        <v>TC_material_15_15</v>
      </c>
      <c r="L27" s="154"/>
      <c r="M27" s="20" t="str">
        <f t="shared" si="2"/>
        <v>TC_WC_15_15</v>
      </c>
      <c r="N27" s="154"/>
      <c r="O27" s="20" t="str">
        <f t="shared" si="3"/>
        <v>TC_DM_15_15</v>
      </c>
      <c r="Q27" s="20" t="str">
        <f t="shared" si="4"/>
        <v>TC_CC_15_15</v>
      </c>
      <c r="S27" s="18"/>
      <c r="T27" s="18"/>
      <c r="U27" s="18"/>
      <c r="V27" s="18"/>
      <c r="W27" s="18"/>
    </row>
    <row r="28" spans="1:23" x14ac:dyDescent="0.25">
      <c r="A28" s="156" t="b">
        <v>0</v>
      </c>
      <c r="B28" s="7">
        <f t="shared" si="5"/>
        <v>27</v>
      </c>
      <c r="C28" s="25" t="str">
        <f>_xlfn.XLOOKUP($D28,Tab_Def_Processes[Process_Name],Tab_Def_Processes[ID],,0,)</f>
        <v>15</v>
      </c>
      <c r="D28" s="152"/>
      <c r="E28" s="7">
        <f>_xlfn.XLOOKUP($D28,Tab_Def_Processes[Process_Name],Tab_Def_Processes[Process_Logic],,0,)</f>
        <v>0</v>
      </c>
      <c r="F28" s="7">
        <f>_xlfn.XLOOKUP($D28,Tab_Def_Processes[Process_Name],Tab_Def_Processes[TC_Configuration],,0,)</f>
        <v>0</v>
      </c>
      <c r="G28" s="7">
        <f>_xlfn.XLOOKUP($D28,Tab_Def_Processes[Process_Name],Tab_Def_Processes[Stock_Configuration],,0,)</f>
        <v>0</v>
      </c>
      <c r="H28" s="7">
        <f>_xlfn.XLOOKUP($D28,Tab_Def_Processes[Process_Name],Tab_Def_Processes[Nr. Outflows],,0,)</f>
        <v>0</v>
      </c>
      <c r="I28" s="152"/>
      <c r="J28" s="146" t="str">
        <f>_xlfn.XLOOKUP($I28,Tab_Def_Flows[Flow_Name],Tab_Def_Flows[Flow_ID],,0,)</f>
        <v>F_15_15</v>
      </c>
      <c r="K28" s="20" t="str">
        <f t="shared" si="6"/>
        <v>TC_material_15_15</v>
      </c>
      <c r="L28" s="154"/>
      <c r="M28" s="20" t="str">
        <f t="shared" si="2"/>
        <v>TC_WC_15_15</v>
      </c>
      <c r="N28" s="154"/>
      <c r="O28" s="20" t="str">
        <f t="shared" si="3"/>
        <v>TC_DM_15_15</v>
      </c>
      <c r="Q28" s="20" t="str">
        <f t="shared" si="4"/>
        <v>TC_CC_15_15</v>
      </c>
      <c r="S28" s="18"/>
      <c r="T28" s="18"/>
      <c r="U28" s="18"/>
      <c r="V28" s="18"/>
      <c r="W28" s="18"/>
    </row>
    <row r="29" spans="1:23" x14ac:dyDescent="0.25">
      <c r="A29" s="156" t="b">
        <v>0</v>
      </c>
      <c r="B29" s="7">
        <f t="shared" si="5"/>
        <v>28</v>
      </c>
      <c r="C29" s="25" t="str">
        <f>_xlfn.XLOOKUP($D29,Tab_Def_Processes[Process_Name],Tab_Def_Processes[ID],,0,)</f>
        <v>15</v>
      </c>
      <c r="D29" s="152"/>
      <c r="E29" s="7">
        <f>_xlfn.XLOOKUP($D29,Tab_Def_Processes[Process_Name],Tab_Def_Processes[Process_Logic],,0,)</f>
        <v>0</v>
      </c>
      <c r="F29" s="7">
        <f>_xlfn.XLOOKUP($D29,Tab_Def_Processes[Process_Name],Tab_Def_Processes[TC_Configuration],,0,)</f>
        <v>0</v>
      </c>
      <c r="G29" s="7">
        <f>_xlfn.XLOOKUP($D29,Tab_Def_Processes[Process_Name],Tab_Def_Processes[Stock_Configuration],,0,)</f>
        <v>0</v>
      </c>
      <c r="H29" s="7">
        <f>_xlfn.XLOOKUP($D29,Tab_Def_Processes[Process_Name],Tab_Def_Processes[Nr. Outflows],,0,)</f>
        <v>0</v>
      </c>
      <c r="I29" s="152"/>
      <c r="J29" s="146" t="str">
        <f>_xlfn.XLOOKUP($I29,Tab_Def_Flows[Flow_Name],Tab_Def_Flows[Flow_ID],,0,)</f>
        <v>F_15_15</v>
      </c>
      <c r="K29" s="20" t="str">
        <f t="shared" si="6"/>
        <v>TC_material_15_15</v>
      </c>
      <c r="L29" s="154"/>
      <c r="M29" s="20" t="str">
        <f t="shared" si="2"/>
        <v>TC_WC_15_15</v>
      </c>
      <c r="N29" s="154"/>
      <c r="O29" s="20" t="str">
        <f t="shared" si="3"/>
        <v>TC_DM_15_15</v>
      </c>
      <c r="Q29" s="20" t="str">
        <f t="shared" si="4"/>
        <v>TC_CC_15_15</v>
      </c>
      <c r="S29" s="18"/>
      <c r="T29" s="18"/>
      <c r="U29" s="18"/>
      <c r="V29" s="18"/>
      <c r="W29" s="18"/>
    </row>
    <row r="30" spans="1:23" x14ac:dyDescent="0.25">
      <c r="A30" s="156" t="b">
        <v>0</v>
      </c>
      <c r="B30" s="7">
        <f t="shared" si="5"/>
        <v>29</v>
      </c>
      <c r="C30" s="25" t="str">
        <f>_xlfn.XLOOKUP($D30,Tab_Def_Processes[Process_Name],Tab_Def_Processes[ID],,0,)</f>
        <v>15</v>
      </c>
      <c r="D30" s="152"/>
      <c r="E30" s="7">
        <f>_xlfn.XLOOKUP($D30,Tab_Def_Processes[Process_Name],Tab_Def_Processes[Process_Logic],,0,)</f>
        <v>0</v>
      </c>
      <c r="F30" s="7">
        <f>_xlfn.XLOOKUP($D30,Tab_Def_Processes[Process_Name],Tab_Def_Processes[TC_Configuration],,0,)</f>
        <v>0</v>
      </c>
      <c r="G30" s="7">
        <f>_xlfn.XLOOKUP($D30,Tab_Def_Processes[Process_Name],Tab_Def_Processes[Stock_Configuration],,0,)</f>
        <v>0</v>
      </c>
      <c r="H30" s="7">
        <f>_xlfn.XLOOKUP($D30,Tab_Def_Processes[Process_Name],Tab_Def_Processes[Nr. Outflows],,0,)</f>
        <v>0</v>
      </c>
      <c r="I30" s="152"/>
      <c r="J30" s="146" t="str">
        <f>_xlfn.XLOOKUP($I30,Tab_Def_Flows[Flow_Name],Tab_Def_Flows[Flow_ID],,0,)</f>
        <v>F_15_15</v>
      </c>
      <c r="K30" s="20" t="str">
        <f t="shared" si="6"/>
        <v>TC_material_15_15</v>
      </c>
      <c r="L30" s="154"/>
      <c r="M30" s="20" t="str">
        <f t="shared" si="2"/>
        <v>TC_WC_15_15</v>
      </c>
      <c r="N30" s="154"/>
      <c r="O30" s="20" t="str">
        <f t="shared" si="3"/>
        <v>TC_DM_15_15</v>
      </c>
      <c r="Q30" s="20" t="str">
        <f t="shared" si="4"/>
        <v>TC_CC_15_15</v>
      </c>
      <c r="S30" s="18"/>
      <c r="T30" s="18"/>
      <c r="U30" s="18"/>
      <c r="V30" s="18"/>
      <c r="W30" s="18"/>
    </row>
    <row r="31" spans="1:23" x14ac:dyDescent="0.25">
      <c r="A31" s="156" t="b">
        <v>0</v>
      </c>
      <c r="B31" s="7">
        <f t="shared" si="5"/>
        <v>30</v>
      </c>
      <c r="C31" s="25" t="str">
        <f>_xlfn.XLOOKUP($D31,Tab_Def_Processes[Process_Name],Tab_Def_Processes[ID],,0,)</f>
        <v>15</v>
      </c>
      <c r="D31" s="152"/>
      <c r="E31" s="7">
        <f>_xlfn.XLOOKUP($D31,Tab_Def_Processes[Process_Name],Tab_Def_Processes[Process_Logic],,0,)</f>
        <v>0</v>
      </c>
      <c r="F31" s="7">
        <f>_xlfn.XLOOKUP($D31,Tab_Def_Processes[Process_Name],Tab_Def_Processes[TC_Configuration],,0,)</f>
        <v>0</v>
      </c>
      <c r="G31" s="7">
        <f>_xlfn.XLOOKUP($D31,Tab_Def_Processes[Process_Name],Tab_Def_Processes[Stock_Configuration],,0,)</f>
        <v>0</v>
      </c>
      <c r="H31" s="7">
        <f>_xlfn.XLOOKUP($D31,Tab_Def_Processes[Process_Name],Tab_Def_Processes[Nr. Outflows],,0,)</f>
        <v>0</v>
      </c>
      <c r="I31" s="152"/>
      <c r="J31" s="146" t="str">
        <f>_xlfn.XLOOKUP($I31,Tab_Def_Flows[Flow_Name],Tab_Def_Flows[Flow_ID],,0,)</f>
        <v>F_15_15</v>
      </c>
      <c r="K31" s="20" t="str">
        <f t="shared" si="6"/>
        <v>TC_material_15_15</v>
      </c>
      <c r="L31" s="154"/>
      <c r="M31" s="20" t="str">
        <f t="shared" si="2"/>
        <v>TC_WC_15_15</v>
      </c>
      <c r="N31" s="154"/>
      <c r="O31" s="20" t="str">
        <f t="shared" si="3"/>
        <v>TC_DM_15_15</v>
      </c>
      <c r="Q31" s="20" t="str">
        <f t="shared" si="4"/>
        <v>TC_CC_15_15</v>
      </c>
      <c r="S31" s="18"/>
      <c r="T31" s="18"/>
      <c r="U31" s="18"/>
      <c r="V31" s="18"/>
      <c r="W31" s="18"/>
    </row>
    <row r="32" spans="1:23" x14ac:dyDescent="0.25">
      <c r="A32" s="156" t="b">
        <v>0</v>
      </c>
      <c r="B32" s="7">
        <f t="shared" si="5"/>
        <v>31</v>
      </c>
      <c r="C32" s="25" t="str">
        <f>_xlfn.XLOOKUP($D32,Tab_Def_Processes[Process_Name],Tab_Def_Processes[ID],,0,)</f>
        <v>15</v>
      </c>
      <c r="D32" s="152"/>
      <c r="E32" s="7">
        <f>_xlfn.XLOOKUP($D32,Tab_Def_Processes[Process_Name],Tab_Def_Processes[Process_Logic],,0,)</f>
        <v>0</v>
      </c>
      <c r="F32" s="7">
        <f>_xlfn.XLOOKUP($D32,Tab_Def_Processes[Process_Name],Tab_Def_Processes[TC_Configuration],,0,)</f>
        <v>0</v>
      </c>
      <c r="G32" s="7">
        <f>_xlfn.XLOOKUP($D32,Tab_Def_Processes[Process_Name],Tab_Def_Processes[Stock_Configuration],,0,)</f>
        <v>0</v>
      </c>
      <c r="H32" s="7">
        <f>_xlfn.XLOOKUP($D32,Tab_Def_Processes[Process_Name],Tab_Def_Processes[Nr. Outflows],,0,)</f>
        <v>0</v>
      </c>
      <c r="I32" s="152"/>
      <c r="J32" s="146" t="str">
        <f>_xlfn.XLOOKUP($I32,Tab_Def_Flows[Flow_Name],Tab_Def_Flows[Flow_ID],,0,)</f>
        <v>F_15_15</v>
      </c>
      <c r="K32" s="20" t="str">
        <f t="shared" si="6"/>
        <v>TC_material_15_15</v>
      </c>
      <c r="L32" s="154"/>
      <c r="M32" s="20" t="str">
        <f t="shared" si="2"/>
        <v>TC_WC_15_15</v>
      </c>
      <c r="N32" s="154"/>
      <c r="O32" s="20" t="str">
        <f t="shared" si="3"/>
        <v>TC_DM_15_15</v>
      </c>
      <c r="Q32" s="20" t="str">
        <f t="shared" si="4"/>
        <v>TC_CC_15_15</v>
      </c>
      <c r="S32" s="18"/>
      <c r="T32" s="18"/>
      <c r="U32" s="18"/>
      <c r="V32" s="18"/>
      <c r="W32" s="18"/>
    </row>
    <row r="33" spans="1:23" x14ac:dyDescent="0.25">
      <c r="A33" s="156" t="b">
        <v>0</v>
      </c>
      <c r="B33" s="7">
        <f t="shared" si="5"/>
        <v>32</v>
      </c>
      <c r="C33" s="25" t="str">
        <f>_xlfn.XLOOKUP($D33,Tab_Def_Processes[Process_Name],Tab_Def_Processes[ID],,0,)</f>
        <v>15</v>
      </c>
      <c r="D33" s="152"/>
      <c r="E33" s="7">
        <f>_xlfn.XLOOKUP($D33,Tab_Def_Processes[Process_Name],Tab_Def_Processes[Process_Logic],,0,)</f>
        <v>0</v>
      </c>
      <c r="F33" s="7">
        <f>_xlfn.XLOOKUP($D33,Tab_Def_Processes[Process_Name],Tab_Def_Processes[TC_Configuration],,0,)</f>
        <v>0</v>
      </c>
      <c r="G33" s="7">
        <f>_xlfn.XLOOKUP($D33,Tab_Def_Processes[Process_Name],Tab_Def_Processes[Stock_Configuration],,0,)</f>
        <v>0</v>
      </c>
      <c r="H33" s="7">
        <f>_xlfn.XLOOKUP($D33,Tab_Def_Processes[Process_Name],Tab_Def_Processes[Nr. Outflows],,0,)</f>
        <v>0</v>
      </c>
      <c r="I33" s="152"/>
      <c r="J33" s="146" t="str">
        <f>_xlfn.XLOOKUP($I33,Tab_Def_Flows[Flow_Name],Tab_Def_Flows[Flow_ID],,0,)</f>
        <v>F_15_15</v>
      </c>
      <c r="K33" s="20" t="str">
        <f t="shared" si="6"/>
        <v>TC_material_15_15</v>
      </c>
      <c r="L33" s="154"/>
      <c r="M33" s="20" t="str">
        <f t="shared" si="2"/>
        <v>TC_WC_15_15</v>
      </c>
      <c r="N33" s="154"/>
      <c r="O33" s="20" t="str">
        <f t="shared" si="3"/>
        <v>TC_DM_15_15</v>
      </c>
      <c r="Q33" s="20" t="str">
        <f t="shared" si="4"/>
        <v>TC_CC_15_15</v>
      </c>
      <c r="S33" s="18"/>
      <c r="T33" s="18"/>
      <c r="U33" s="18"/>
      <c r="V33" s="18"/>
      <c r="W33" s="18"/>
    </row>
    <row r="34" spans="1:23" x14ac:dyDescent="0.25">
      <c r="A34" s="156" t="b">
        <v>0</v>
      </c>
      <c r="B34" s="7">
        <f t="shared" si="5"/>
        <v>33</v>
      </c>
      <c r="C34" s="25" t="str">
        <f>_xlfn.XLOOKUP($D34,Tab_Def_Processes[Process_Name],Tab_Def_Processes[ID],,0,)</f>
        <v>15</v>
      </c>
      <c r="D34" s="152"/>
      <c r="E34" s="7">
        <f>_xlfn.XLOOKUP($D34,Tab_Def_Processes[Process_Name],Tab_Def_Processes[Process_Logic],,0,)</f>
        <v>0</v>
      </c>
      <c r="F34" s="7">
        <f>_xlfn.XLOOKUP($D34,Tab_Def_Processes[Process_Name],Tab_Def_Processes[TC_Configuration],,0,)</f>
        <v>0</v>
      </c>
      <c r="G34" s="7">
        <f>_xlfn.XLOOKUP($D34,Tab_Def_Processes[Process_Name],Tab_Def_Processes[Stock_Configuration],,0,)</f>
        <v>0</v>
      </c>
      <c r="H34" s="7">
        <f>_xlfn.XLOOKUP($D34,Tab_Def_Processes[Process_Name],Tab_Def_Processes[Nr. Outflows],,0,)</f>
        <v>0</v>
      </c>
      <c r="I34" s="152"/>
      <c r="J34" s="146" t="str">
        <f>_xlfn.XLOOKUP($I34,Tab_Def_Flows[Flow_Name],Tab_Def_Flows[Flow_ID],,0,)</f>
        <v>F_15_15</v>
      </c>
      <c r="K34" s="20" t="str">
        <f t="shared" si="6"/>
        <v>TC_material_15_15</v>
      </c>
      <c r="L34" s="154"/>
      <c r="M34" s="20" t="str">
        <f t="shared" si="2"/>
        <v>TC_WC_15_15</v>
      </c>
      <c r="N34" s="154"/>
      <c r="O34" s="20" t="str">
        <f t="shared" si="3"/>
        <v>TC_DM_15_15</v>
      </c>
      <c r="Q34" s="20" t="str">
        <f t="shared" si="4"/>
        <v>TC_CC_15_15</v>
      </c>
      <c r="S34" s="18"/>
      <c r="T34" s="18"/>
      <c r="U34" s="18"/>
      <c r="V34" s="18"/>
      <c r="W34" s="18"/>
    </row>
    <row r="35" spans="1:23" x14ac:dyDescent="0.25">
      <c r="A35" s="156" t="b">
        <v>0</v>
      </c>
      <c r="B35" s="7">
        <f t="shared" si="5"/>
        <v>34</v>
      </c>
      <c r="C35" s="25" t="str">
        <f>_xlfn.XLOOKUP($D35,Tab_Def_Processes[Process_Name],Tab_Def_Processes[ID],,0,)</f>
        <v>15</v>
      </c>
      <c r="D35" s="152"/>
      <c r="E35" s="7">
        <f>_xlfn.XLOOKUP($D35,Tab_Def_Processes[Process_Name],Tab_Def_Processes[Process_Logic],,0,)</f>
        <v>0</v>
      </c>
      <c r="F35" s="7">
        <f>_xlfn.XLOOKUP($D35,Tab_Def_Processes[Process_Name],Tab_Def_Processes[TC_Configuration],,0,)</f>
        <v>0</v>
      </c>
      <c r="G35" s="7">
        <f>_xlfn.XLOOKUP($D35,Tab_Def_Processes[Process_Name],Tab_Def_Processes[Stock_Configuration],,0,)</f>
        <v>0</v>
      </c>
      <c r="H35" s="7">
        <f>_xlfn.XLOOKUP($D35,Tab_Def_Processes[Process_Name],Tab_Def_Processes[Nr. Outflows],,0,)</f>
        <v>0</v>
      </c>
      <c r="I35" s="152"/>
      <c r="J35" s="146" t="str">
        <f>_xlfn.XLOOKUP($I35,Tab_Def_Flows[Flow_Name],Tab_Def_Flows[Flow_ID],,0,)</f>
        <v>F_15_15</v>
      </c>
      <c r="K35" s="20" t="str">
        <f t="shared" si="6"/>
        <v>TC_material_15_15</v>
      </c>
      <c r="L35" s="154"/>
      <c r="M35" s="20" t="str">
        <f t="shared" si="2"/>
        <v>TC_WC_15_15</v>
      </c>
      <c r="N35" s="154"/>
      <c r="O35" s="20" t="str">
        <f t="shared" si="3"/>
        <v>TC_DM_15_15</v>
      </c>
      <c r="Q35" s="20" t="str">
        <f t="shared" si="4"/>
        <v>TC_CC_15_15</v>
      </c>
      <c r="S35" s="18"/>
      <c r="T35" s="18"/>
      <c r="U35" s="18"/>
      <c r="V35" s="18"/>
      <c r="W35" s="18"/>
    </row>
    <row r="36" spans="1:23" x14ac:dyDescent="0.25">
      <c r="A36" s="156" t="b">
        <v>0</v>
      </c>
      <c r="B36" s="7">
        <f t="shared" si="5"/>
        <v>35</v>
      </c>
      <c r="C36" s="25" t="str">
        <f>_xlfn.XLOOKUP($D36,Tab_Def_Processes[Process_Name],Tab_Def_Processes[ID],,0,)</f>
        <v>15</v>
      </c>
      <c r="D36" s="152"/>
      <c r="E36" s="7">
        <f>_xlfn.XLOOKUP($D36,Tab_Def_Processes[Process_Name],Tab_Def_Processes[Process_Logic],,0,)</f>
        <v>0</v>
      </c>
      <c r="F36" s="7">
        <f>_xlfn.XLOOKUP($D36,Tab_Def_Processes[Process_Name],Tab_Def_Processes[TC_Configuration],,0,)</f>
        <v>0</v>
      </c>
      <c r="G36" s="7">
        <f>_xlfn.XLOOKUP($D36,Tab_Def_Processes[Process_Name],Tab_Def_Processes[Stock_Configuration],,0,)</f>
        <v>0</v>
      </c>
      <c r="H36" s="7">
        <f>_xlfn.XLOOKUP($D36,Tab_Def_Processes[Process_Name],Tab_Def_Processes[Nr. Outflows],,0,)</f>
        <v>0</v>
      </c>
      <c r="I36" s="152"/>
      <c r="J36" s="146" t="str">
        <f>_xlfn.XLOOKUP($I36,Tab_Def_Flows[Flow_Name],Tab_Def_Flows[Flow_ID],,0,)</f>
        <v>F_15_15</v>
      </c>
      <c r="K36" s="20" t="str">
        <f t="shared" si="6"/>
        <v>TC_material_15_15</v>
      </c>
      <c r="L36" s="154"/>
      <c r="M36" s="20" t="str">
        <f t="shared" si="2"/>
        <v>TC_WC_15_15</v>
      </c>
      <c r="N36" s="154"/>
      <c r="O36" s="20" t="str">
        <f t="shared" si="3"/>
        <v>TC_DM_15_15</v>
      </c>
      <c r="Q36" s="20" t="str">
        <f t="shared" si="4"/>
        <v>TC_CC_15_15</v>
      </c>
      <c r="S36" s="18"/>
      <c r="T36" s="18"/>
      <c r="U36" s="18"/>
      <c r="V36" s="18"/>
      <c r="W36" s="18"/>
    </row>
    <row r="37" spans="1:23" x14ac:dyDescent="0.25">
      <c r="A37" s="156" t="b">
        <v>0</v>
      </c>
      <c r="B37" s="7">
        <f t="shared" si="5"/>
        <v>36</v>
      </c>
      <c r="C37" s="25" t="str">
        <f>_xlfn.XLOOKUP($D37,Tab_Def_Processes[Process_Name],Tab_Def_Processes[ID],,0,)</f>
        <v>15</v>
      </c>
      <c r="D37" s="152"/>
      <c r="E37" s="7">
        <f>_xlfn.XLOOKUP($D37,Tab_Def_Processes[Process_Name],Tab_Def_Processes[Process_Logic],,0,)</f>
        <v>0</v>
      </c>
      <c r="F37" s="7">
        <f>_xlfn.XLOOKUP($D37,Tab_Def_Processes[Process_Name],Tab_Def_Processes[TC_Configuration],,0,)</f>
        <v>0</v>
      </c>
      <c r="G37" s="7">
        <f>_xlfn.XLOOKUP($D37,Tab_Def_Processes[Process_Name],Tab_Def_Processes[Stock_Configuration],,0,)</f>
        <v>0</v>
      </c>
      <c r="H37" s="7">
        <f>_xlfn.XLOOKUP($D37,Tab_Def_Processes[Process_Name],Tab_Def_Processes[Nr. Outflows],,0,)</f>
        <v>0</v>
      </c>
      <c r="I37" s="152"/>
      <c r="J37" s="146" t="str">
        <f>_xlfn.XLOOKUP($I37,Tab_Def_Flows[Flow_Name],Tab_Def_Flows[Flow_ID],,0,)</f>
        <v>F_15_15</v>
      </c>
      <c r="K37" s="20" t="str">
        <f t="shared" si="6"/>
        <v>TC_material_15_15</v>
      </c>
      <c r="L37" s="154"/>
      <c r="M37" s="20" t="str">
        <f t="shared" si="2"/>
        <v>TC_WC_15_15</v>
      </c>
      <c r="N37" s="154"/>
      <c r="O37" s="20" t="str">
        <f t="shared" si="3"/>
        <v>TC_DM_15_15</v>
      </c>
      <c r="Q37" s="20" t="str">
        <f t="shared" si="4"/>
        <v>TC_CC_15_15</v>
      </c>
      <c r="S37" s="18"/>
      <c r="T37" s="18"/>
      <c r="U37" s="18"/>
      <c r="V37" s="18"/>
      <c r="W37" s="18"/>
    </row>
    <row r="38" spans="1:23" x14ac:dyDescent="0.25">
      <c r="A38" s="156" t="b">
        <v>0</v>
      </c>
      <c r="B38" s="7">
        <f t="shared" si="5"/>
        <v>37</v>
      </c>
      <c r="C38" s="25" t="str">
        <f>_xlfn.XLOOKUP($D38,Tab_Def_Processes[Process_Name],Tab_Def_Processes[ID],,0,)</f>
        <v>15</v>
      </c>
      <c r="D38" s="152"/>
      <c r="E38" s="7">
        <f>_xlfn.XLOOKUP($D38,Tab_Def_Processes[Process_Name],Tab_Def_Processes[Process_Logic],,0,)</f>
        <v>0</v>
      </c>
      <c r="F38" s="7">
        <f>_xlfn.XLOOKUP($D38,Tab_Def_Processes[Process_Name],Tab_Def_Processes[TC_Configuration],,0,)</f>
        <v>0</v>
      </c>
      <c r="G38" s="7">
        <f>_xlfn.XLOOKUP($D38,Tab_Def_Processes[Process_Name],Tab_Def_Processes[Stock_Configuration],,0,)</f>
        <v>0</v>
      </c>
      <c r="H38" s="7">
        <f>_xlfn.XLOOKUP($D38,Tab_Def_Processes[Process_Name],Tab_Def_Processes[Nr. Outflows],,0,)</f>
        <v>0</v>
      </c>
      <c r="I38" s="152"/>
      <c r="J38" s="146" t="str">
        <f>_xlfn.XLOOKUP($I38,Tab_Def_Flows[Flow_Name],Tab_Def_Flows[Flow_ID],,0,)</f>
        <v>F_15_15</v>
      </c>
      <c r="K38" s="20" t="str">
        <f t="shared" si="6"/>
        <v>TC_material_15_15</v>
      </c>
      <c r="L38" s="154"/>
      <c r="M38" s="20" t="str">
        <f t="shared" si="2"/>
        <v>TC_WC_15_15</v>
      </c>
      <c r="N38" s="154"/>
      <c r="O38" s="20" t="str">
        <f t="shared" si="3"/>
        <v>TC_DM_15_15</v>
      </c>
      <c r="Q38" s="20" t="str">
        <f t="shared" si="4"/>
        <v>TC_CC_15_15</v>
      </c>
      <c r="S38" s="18"/>
      <c r="T38" s="18"/>
      <c r="U38" s="18"/>
      <c r="V38" s="18"/>
      <c r="W38" s="18"/>
    </row>
    <row r="39" spans="1:23" x14ac:dyDescent="0.25">
      <c r="A39" s="156" t="b">
        <v>0</v>
      </c>
      <c r="B39" s="7">
        <f t="shared" si="5"/>
        <v>38</v>
      </c>
      <c r="C39" s="25" t="str">
        <f>_xlfn.XLOOKUP($D39,Tab_Def_Processes[Process_Name],Tab_Def_Processes[ID],,0,)</f>
        <v>15</v>
      </c>
      <c r="D39" s="152"/>
      <c r="E39" s="7">
        <f>_xlfn.XLOOKUP($D39,Tab_Def_Processes[Process_Name],Tab_Def_Processes[Process_Logic],,0,)</f>
        <v>0</v>
      </c>
      <c r="F39" s="7">
        <f>_xlfn.XLOOKUP($D39,Tab_Def_Processes[Process_Name],Tab_Def_Processes[TC_Configuration],,0,)</f>
        <v>0</v>
      </c>
      <c r="G39" s="7">
        <f>_xlfn.XLOOKUP($D39,Tab_Def_Processes[Process_Name],Tab_Def_Processes[Stock_Configuration],,0,)</f>
        <v>0</v>
      </c>
      <c r="H39" s="7">
        <f>_xlfn.XLOOKUP($D39,Tab_Def_Processes[Process_Name],Tab_Def_Processes[Nr. Outflows],,0,)</f>
        <v>0</v>
      </c>
      <c r="I39" s="152"/>
      <c r="J39" s="146" t="str">
        <f>_xlfn.XLOOKUP($I39,Tab_Def_Flows[Flow_Name],Tab_Def_Flows[Flow_ID],,0,)</f>
        <v>F_15_15</v>
      </c>
      <c r="K39" s="20" t="str">
        <f t="shared" si="6"/>
        <v>TC_material_15_15</v>
      </c>
      <c r="L39" s="154"/>
      <c r="M39" s="20" t="str">
        <f t="shared" si="2"/>
        <v>TC_WC_15_15</v>
      </c>
      <c r="N39" s="154"/>
      <c r="O39" s="20" t="str">
        <f t="shared" si="3"/>
        <v>TC_DM_15_15</v>
      </c>
      <c r="Q39" s="20" t="str">
        <f t="shared" si="4"/>
        <v>TC_CC_15_15</v>
      </c>
      <c r="S39" s="18"/>
      <c r="T39" s="18"/>
      <c r="U39" s="18"/>
      <c r="V39" s="18"/>
      <c r="W39" s="18"/>
    </row>
    <row r="40" spans="1:23" x14ac:dyDescent="0.25">
      <c r="A40" s="156" t="b">
        <v>0</v>
      </c>
      <c r="B40" s="7">
        <f t="shared" si="5"/>
        <v>39</v>
      </c>
      <c r="C40" s="25" t="str">
        <f>_xlfn.XLOOKUP($D40,Tab_Def_Processes[Process_Name],Tab_Def_Processes[ID],,0,)</f>
        <v>15</v>
      </c>
      <c r="D40" s="152"/>
      <c r="E40" s="7">
        <f>_xlfn.XLOOKUP($D40,Tab_Def_Processes[Process_Name],Tab_Def_Processes[Process_Logic],,0,)</f>
        <v>0</v>
      </c>
      <c r="F40" s="7">
        <f>_xlfn.XLOOKUP($D40,Tab_Def_Processes[Process_Name],Tab_Def_Processes[TC_Configuration],,0,)</f>
        <v>0</v>
      </c>
      <c r="G40" s="7">
        <f>_xlfn.XLOOKUP($D40,Tab_Def_Processes[Process_Name],Tab_Def_Processes[Stock_Configuration],,0,)</f>
        <v>0</v>
      </c>
      <c r="H40" s="7">
        <f>_xlfn.XLOOKUP($D40,Tab_Def_Processes[Process_Name],Tab_Def_Processes[Nr. Outflows],,0,)</f>
        <v>0</v>
      </c>
      <c r="I40" s="152"/>
      <c r="J40" s="146" t="str">
        <f>_xlfn.XLOOKUP($I40,Tab_Def_Flows[Flow_Name],Tab_Def_Flows[Flow_ID],,0,)</f>
        <v>F_15_15</v>
      </c>
      <c r="K40" s="20" t="str">
        <f t="shared" si="6"/>
        <v>TC_material_15_15</v>
      </c>
      <c r="L40" s="154"/>
      <c r="M40" s="20" t="str">
        <f t="shared" si="2"/>
        <v>TC_WC_15_15</v>
      </c>
      <c r="N40" s="154"/>
      <c r="O40" s="20" t="str">
        <f t="shared" si="3"/>
        <v>TC_DM_15_15</v>
      </c>
      <c r="Q40" s="20" t="str">
        <f t="shared" si="4"/>
        <v>TC_CC_15_15</v>
      </c>
      <c r="S40" s="18"/>
      <c r="T40" s="18"/>
      <c r="U40" s="18"/>
      <c r="V40" s="18"/>
      <c r="W40" s="18"/>
    </row>
    <row r="41" spans="1:23" x14ac:dyDescent="0.25">
      <c r="A41" s="156" t="b">
        <v>0</v>
      </c>
      <c r="B41" s="7">
        <f t="shared" si="5"/>
        <v>40</v>
      </c>
      <c r="C41" s="25" t="str">
        <f>_xlfn.XLOOKUP($D41,Tab_Def_Processes[Process_Name],Tab_Def_Processes[ID],,0,)</f>
        <v>15</v>
      </c>
      <c r="D41" s="152"/>
      <c r="E41" s="7">
        <f>_xlfn.XLOOKUP($D41,Tab_Def_Processes[Process_Name],Tab_Def_Processes[Process_Logic],,0,)</f>
        <v>0</v>
      </c>
      <c r="F41" s="7">
        <f>_xlfn.XLOOKUP($D41,Tab_Def_Processes[Process_Name],Tab_Def_Processes[TC_Configuration],,0,)</f>
        <v>0</v>
      </c>
      <c r="G41" s="7">
        <f>_xlfn.XLOOKUP($D41,Tab_Def_Processes[Process_Name],Tab_Def_Processes[Stock_Configuration],,0,)</f>
        <v>0</v>
      </c>
      <c r="H41" s="7">
        <f>_xlfn.XLOOKUP($D41,Tab_Def_Processes[Process_Name],Tab_Def_Processes[Nr. Outflows],,0,)</f>
        <v>0</v>
      </c>
      <c r="I41" s="152"/>
      <c r="J41" s="146" t="str">
        <f>_xlfn.XLOOKUP($I41,Tab_Def_Flows[Flow_Name],Tab_Def_Flows[Flow_ID],,0,)</f>
        <v>F_15_15</v>
      </c>
      <c r="K41" s="20" t="str">
        <f t="shared" si="6"/>
        <v>TC_material_15_15</v>
      </c>
      <c r="L41" s="154"/>
      <c r="M41" s="20" t="str">
        <f t="shared" si="2"/>
        <v>TC_WC_15_15</v>
      </c>
      <c r="N41" s="154"/>
      <c r="O41" s="20" t="str">
        <f t="shared" si="3"/>
        <v>TC_DM_15_15</v>
      </c>
      <c r="Q41" s="20" t="str">
        <f t="shared" si="4"/>
        <v>TC_CC_15_15</v>
      </c>
      <c r="S41" s="18"/>
      <c r="T41" s="18"/>
      <c r="U41" s="18"/>
      <c r="V41" s="18"/>
      <c r="W41" s="18"/>
    </row>
    <row r="42" spans="1:23" x14ac:dyDescent="0.25">
      <c r="A42" s="156" t="b">
        <v>0</v>
      </c>
      <c r="B42" s="7">
        <f t="shared" si="5"/>
        <v>41</v>
      </c>
      <c r="C42" s="25" t="str">
        <f>_xlfn.XLOOKUP($D42,Tab_Def_Processes[Process_Name],Tab_Def_Processes[ID],,0,)</f>
        <v>15</v>
      </c>
      <c r="D42" s="152"/>
      <c r="E42" s="7">
        <f>_xlfn.XLOOKUP($D42,Tab_Def_Processes[Process_Name],Tab_Def_Processes[Process_Logic],,0,)</f>
        <v>0</v>
      </c>
      <c r="F42" s="7">
        <f>_xlfn.XLOOKUP($D42,Tab_Def_Processes[Process_Name],Tab_Def_Processes[TC_Configuration],,0,)</f>
        <v>0</v>
      </c>
      <c r="G42" s="7">
        <f>_xlfn.XLOOKUP($D42,Tab_Def_Processes[Process_Name],Tab_Def_Processes[Stock_Configuration],,0,)</f>
        <v>0</v>
      </c>
      <c r="H42" s="7">
        <f>_xlfn.XLOOKUP($D42,Tab_Def_Processes[Process_Name],Tab_Def_Processes[Nr. Outflows],,0,)</f>
        <v>0</v>
      </c>
      <c r="I42" s="152"/>
      <c r="J42" s="146" t="str">
        <f>_xlfn.XLOOKUP($I42,Tab_Def_Flows[Flow_Name],Tab_Def_Flows[Flow_ID],,0,)</f>
        <v>F_15_15</v>
      </c>
      <c r="K42" s="20" t="str">
        <f t="shared" si="6"/>
        <v>TC_material_15_15</v>
      </c>
      <c r="L42" s="154"/>
      <c r="M42" s="20" t="str">
        <f t="shared" si="2"/>
        <v>TC_WC_15_15</v>
      </c>
      <c r="N42" s="154"/>
      <c r="O42" s="20" t="str">
        <f t="shared" si="3"/>
        <v>TC_DM_15_15</v>
      </c>
      <c r="Q42" s="20" t="str">
        <f t="shared" si="4"/>
        <v>TC_CC_15_15</v>
      </c>
      <c r="S42" s="18"/>
      <c r="T42" s="18"/>
      <c r="U42" s="18"/>
      <c r="V42" s="18"/>
      <c r="W42" s="18"/>
    </row>
    <row r="43" spans="1:23" x14ac:dyDescent="0.25">
      <c r="A43" s="156" t="b">
        <v>0</v>
      </c>
      <c r="B43" s="7">
        <f t="shared" si="5"/>
        <v>42</v>
      </c>
      <c r="C43" s="25" t="str">
        <f>_xlfn.XLOOKUP($D43,Tab_Def_Processes[Process_Name],Tab_Def_Processes[ID],,0,)</f>
        <v>15</v>
      </c>
      <c r="D43" s="152"/>
      <c r="E43" s="7">
        <f>_xlfn.XLOOKUP($D43,Tab_Def_Processes[Process_Name],Tab_Def_Processes[Process_Logic],,0,)</f>
        <v>0</v>
      </c>
      <c r="F43" s="7">
        <f>_xlfn.XLOOKUP($D43,Tab_Def_Processes[Process_Name],Tab_Def_Processes[TC_Configuration],,0,)</f>
        <v>0</v>
      </c>
      <c r="G43" s="7">
        <f>_xlfn.XLOOKUP($D43,Tab_Def_Processes[Process_Name],Tab_Def_Processes[Stock_Configuration],,0,)</f>
        <v>0</v>
      </c>
      <c r="H43" s="7">
        <f>_xlfn.XLOOKUP($D43,Tab_Def_Processes[Process_Name],Tab_Def_Processes[Nr. Outflows],,0,)</f>
        <v>0</v>
      </c>
      <c r="I43" s="152"/>
      <c r="J43" s="146" t="str">
        <f>_xlfn.XLOOKUP($I43,Tab_Def_Flows[Flow_Name],Tab_Def_Flows[Flow_ID],,0,)</f>
        <v>F_15_15</v>
      </c>
      <c r="K43" s="20" t="str">
        <f t="shared" si="6"/>
        <v>TC_material_15_15</v>
      </c>
      <c r="L43" s="154"/>
      <c r="M43" s="20" t="str">
        <f t="shared" si="2"/>
        <v>TC_WC_15_15</v>
      </c>
      <c r="N43" s="154"/>
      <c r="O43" s="20" t="str">
        <f t="shared" si="3"/>
        <v>TC_DM_15_15</v>
      </c>
      <c r="Q43" s="20" t="str">
        <f t="shared" si="4"/>
        <v>TC_CC_15_15</v>
      </c>
      <c r="S43" s="18"/>
      <c r="T43" s="18"/>
      <c r="U43" s="18"/>
      <c r="V43" s="18"/>
      <c r="W43" s="18"/>
    </row>
    <row r="44" spans="1:23" x14ac:dyDescent="0.25">
      <c r="A44" s="156" t="b">
        <v>0</v>
      </c>
      <c r="B44" s="7">
        <f t="shared" si="5"/>
        <v>43</v>
      </c>
      <c r="C44" s="25" t="str">
        <f>_xlfn.XLOOKUP($D44,Tab_Def_Processes[Process_Name],Tab_Def_Processes[ID],,0,)</f>
        <v>15</v>
      </c>
      <c r="D44" s="152"/>
      <c r="E44" s="7">
        <f>_xlfn.XLOOKUP($D44,Tab_Def_Processes[Process_Name],Tab_Def_Processes[Process_Logic],,0,)</f>
        <v>0</v>
      </c>
      <c r="F44" s="7">
        <f>_xlfn.XLOOKUP($D44,Tab_Def_Processes[Process_Name],Tab_Def_Processes[TC_Configuration],,0,)</f>
        <v>0</v>
      </c>
      <c r="G44" s="7">
        <f>_xlfn.XLOOKUP($D44,Tab_Def_Processes[Process_Name],Tab_Def_Processes[Stock_Configuration],,0,)</f>
        <v>0</v>
      </c>
      <c r="H44" s="7">
        <f>_xlfn.XLOOKUP($D44,Tab_Def_Processes[Process_Name],Tab_Def_Processes[Nr. Outflows],,0,)</f>
        <v>0</v>
      </c>
      <c r="I44" s="152"/>
      <c r="J44" s="146" t="str">
        <f>_xlfn.XLOOKUP($I44,Tab_Def_Flows[Flow_Name],Tab_Def_Flows[Flow_ID],,0,)</f>
        <v>F_15_15</v>
      </c>
      <c r="K44" s="20" t="str">
        <f t="shared" si="6"/>
        <v>TC_material_15_15</v>
      </c>
      <c r="L44" s="154"/>
      <c r="M44" s="20" t="str">
        <f t="shared" si="2"/>
        <v>TC_WC_15_15</v>
      </c>
      <c r="N44" s="154"/>
      <c r="O44" s="20" t="str">
        <f t="shared" si="3"/>
        <v>TC_DM_15_15</v>
      </c>
      <c r="Q44" s="20" t="str">
        <f t="shared" si="4"/>
        <v>TC_CC_15_15</v>
      </c>
      <c r="S44" s="18"/>
      <c r="T44" s="18"/>
      <c r="U44" s="18"/>
      <c r="V44" s="18"/>
      <c r="W44" s="18"/>
    </row>
    <row r="45" spans="1:23" x14ac:dyDescent="0.25">
      <c r="A45" s="156" t="b">
        <v>0</v>
      </c>
      <c r="B45" s="7">
        <f t="shared" si="5"/>
        <v>44</v>
      </c>
      <c r="C45" s="25" t="str">
        <f>_xlfn.XLOOKUP($D45,Tab_Def_Processes[Process_Name],Tab_Def_Processes[ID],,0,)</f>
        <v>15</v>
      </c>
      <c r="D45" s="152"/>
      <c r="E45" s="7">
        <f>_xlfn.XLOOKUP($D45,Tab_Def_Processes[Process_Name],Tab_Def_Processes[Process_Logic],,0,)</f>
        <v>0</v>
      </c>
      <c r="F45" s="7">
        <f>_xlfn.XLOOKUP($D45,Tab_Def_Processes[Process_Name],Tab_Def_Processes[TC_Configuration],,0,)</f>
        <v>0</v>
      </c>
      <c r="G45" s="7">
        <f>_xlfn.XLOOKUP($D45,Tab_Def_Processes[Process_Name],Tab_Def_Processes[Stock_Configuration],,0,)</f>
        <v>0</v>
      </c>
      <c r="H45" s="7">
        <f>_xlfn.XLOOKUP($D45,Tab_Def_Processes[Process_Name],Tab_Def_Processes[Nr. Outflows],,0,)</f>
        <v>0</v>
      </c>
      <c r="I45" s="152"/>
      <c r="J45" s="146" t="str">
        <f>_xlfn.XLOOKUP($I45,Tab_Def_Flows[Flow_Name],Tab_Def_Flows[Flow_ID],,0,)</f>
        <v>F_15_15</v>
      </c>
      <c r="K45" s="20" t="str">
        <f t="shared" si="6"/>
        <v>TC_material_15_15</v>
      </c>
      <c r="L45" s="154"/>
      <c r="M45" s="20" t="str">
        <f t="shared" si="2"/>
        <v>TC_WC_15_15</v>
      </c>
      <c r="N45" s="154"/>
      <c r="O45" s="20" t="str">
        <f t="shared" si="3"/>
        <v>TC_DM_15_15</v>
      </c>
      <c r="Q45" s="20" t="str">
        <f t="shared" si="4"/>
        <v>TC_CC_15_15</v>
      </c>
      <c r="S45" s="18"/>
      <c r="T45" s="18"/>
      <c r="U45" s="18"/>
      <c r="V45" s="18"/>
      <c r="W45" s="18"/>
    </row>
    <row r="46" spans="1:23" x14ac:dyDescent="0.25">
      <c r="A46" s="156" t="b">
        <v>0</v>
      </c>
      <c r="B46" s="7">
        <f t="shared" si="5"/>
        <v>45</v>
      </c>
      <c r="C46" s="25" t="str">
        <f>_xlfn.XLOOKUP($D46,Tab_Def_Processes[Process_Name],Tab_Def_Processes[ID],,0,)</f>
        <v>15</v>
      </c>
      <c r="D46" s="152"/>
      <c r="E46" s="7">
        <f>_xlfn.XLOOKUP($D46,Tab_Def_Processes[Process_Name],Tab_Def_Processes[Process_Logic],,0,)</f>
        <v>0</v>
      </c>
      <c r="F46" s="7">
        <f>_xlfn.XLOOKUP($D46,Tab_Def_Processes[Process_Name],Tab_Def_Processes[TC_Configuration],,0,)</f>
        <v>0</v>
      </c>
      <c r="G46" s="7">
        <f>_xlfn.XLOOKUP($D46,Tab_Def_Processes[Process_Name],Tab_Def_Processes[Stock_Configuration],,0,)</f>
        <v>0</v>
      </c>
      <c r="H46" s="7">
        <f>_xlfn.XLOOKUP($D46,Tab_Def_Processes[Process_Name],Tab_Def_Processes[Nr. Outflows],,0,)</f>
        <v>0</v>
      </c>
      <c r="I46" s="152"/>
      <c r="J46" s="146" t="str">
        <f>_xlfn.XLOOKUP($I46,Tab_Def_Flows[Flow_Name],Tab_Def_Flows[Flow_ID],,0,)</f>
        <v>F_15_15</v>
      </c>
      <c r="K46" s="20" t="str">
        <f t="shared" si="6"/>
        <v>TC_material_15_15</v>
      </c>
      <c r="L46" s="154"/>
      <c r="M46" s="20" t="str">
        <f t="shared" si="2"/>
        <v>TC_WC_15_15</v>
      </c>
      <c r="N46" s="154"/>
      <c r="O46" s="20" t="str">
        <f t="shared" si="3"/>
        <v>TC_DM_15_15</v>
      </c>
      <c r="Q46" s="20" t="str">
        <f t="shared" si="4"/>
        <v>TC_CC_15_15</v>
      </c>
      <c r="S46" s="18"/>
      <c r="T46" s="18"/>
      <c r="U46" s="18"/>
      <c r="V46" s="18"/>
      <c r="W46" s="18"/>
    </row>
    <row r="47" spans="1:23" x14ac:dyDescent="0.25">
      <c r="A47" s="156" t="b">
        <v>0</v>
      </c>
      <c r="B47" s="7">
        <f t="shared" si="5"/>
        <v>46</v>
      </c>
      <c r="C47" s="25" t="str">
        <f>_xlfn.XLOOKUP($D47,Tab_Def_Processes[Process_Name],Tab_Def_Processes[ID],,0,)</f>
        <v>15</v>
      </c>
      <c r="D47" s="152"/>
      <c r="E47" s="7">
        <f>_xlfn.XLOOKUP($D47,Tab_Def_Processes[Process_Name],Tab_Def_Processes[Process_Logic],,0,)</f>
        <v>0</v>
      </c>
      <c r="F47" s="7">
        <f>_xlfn.XLOOKUP($D47,Tab_Def_Processes[Process_Name],Tab_Def_Processes[TC_Configuration],,0,)</f>
        <v>0</v>
      </c>
      <c r="G47" s="7">
        <f>_xlfn.XLOOKUP($D47,Tab_Def_Processes[Process_Name],Tab_Def_Processes[Stock_Configuration],,0,)</f>
        <v>0</v>
      </c>
      <c r="H47" s="7">
        <f>_xlfn.XLOOKUP($D47,Tab_Def_Processes[Process_Name],Tab_Def_Processes[Nr. Outflows],,0,)</f>
        <v>0</v>
      </c>
      <c r="I47" s="152"/>
      <c r="J47" s="146" t="str">
        <f>_xlfn.XLOOKUP($I47,Tab_Def_Flows[Flow_Name],Tab_Def_Flows[Flow_ID],,0,)</f>
        <v>F_15_15</v>
      </c>
      <c r="K47" s="20" t="str">
        <f t="shared" si="6"/>
        <v>TC_material_15_15</v>
      </c>
      <c r="L47" s="154"/>
      <c r="M47" s="20" t="str">
        <f t="shared" si="2"/>
        <v>TC_WC_15_15</v>
      </c>
      <c r="N47" s="154"/>
      <c r="O47" s="20" t="str">
        <f t="shared" si="3"/>
        <v>TC_DM_15_15</v>
      </c>
      <c r="Q47" s="20" t="str">
        <f t="shared" si="4"/>
        <v>TC_CC_15_15</v>
      </c>
      <c r="S47" s="18"/>
      <c r="T47" s="18"/>
      <c r="U47" s="18"/>
      <c r="V47" s="18"/>
      <c r="W47" s="18"/>
    </row>
    <row r="48" spans="1:23" x14ac:dyDescent="0.25">
      <c r="A48" s="156" t="b">
        <v>0</v>
      </c>
      <c r="B48" s="7">
        <f t="shared" si="5"/>
        <v>47</v>
      </c>
      <c r="C48" s="25" t="str">
        <f>_xlfn.XLOOKUP($D48,Tab_Def_Processes[Process_Name],Tab_Def_Processes[ID],,0,)</f>
        <v>15</v>
      </c>
      <c r="D48" s="152"/>
      <c r="E48" s="7">
        <f>_xlfn.XLOOKUP($D48,Tab_Def_Processes[Process_Name],Tab_Def_Processes[Process_Logic],,0,)</f>
        <v>0</v>
      </c>
      <c r="F48" s="7">
        <f>_xlfn.XLOOKUP($D48,Tab_Def_Processes[Process_Name],Tab_Def_Processes[TC_Configuration],,0,)</f>
        <v>0</v>
      </c>
      <c r="G48" s="7">
        <f>_xlfn.XLOOKUP($D48,Tab_Def_Processes[Process_Name],Tab_Def_Processes[Stock_Configuration],,0,)</f>
        <v>0</v>
      </c>
      <c r="H48" s="7">
        <f>_xlfn.XLOOKUP($D48,Tab_Def_Processes[Process_Name],Tab_Def_Processes[Nr. Outflows],,0,)</f>
        <v>0</v>
      </c>
      <c r="I48" s="152"/>
      <c r="J48" s="146" t="str">
        <f>_xlfn.XLOOKUP($I48,Tab_Def_Flows[Flow_Name],Tab_Def_Flows[Flow_ID],,0,)</f>
        <v>F_15_15</v>
      </c>
      <c r="K48" s="20" t="str">
        <f t="shared" si="6"/>
        <v>TC_material_15_15</v>
      </c>
      <c r="L48" s="154"/>
      <c r="M48" s="20" t="str">
        <f t="shared" si="2"/>
        <v>TC_WC_15_15</v>
      </c>
      <c r="N48" s="154"/>
      <c r="O48" s="20" t="str">
        <f t="shared" si="3"/>
        <v>TC_DM_15_15</v>
      </c>
      <c r="Q48" s="20" t="str">
        <f t="shared" si="4"/>
        <v>TC_CC_15_15</v>
      </c>
      <c r="S48" s="18"/>
      <c r="T48" s="18"/>
      <c r="U48" s="18"/>
      <c r="V48" s="18"/>
      <c r="W48" s="18"/>
    </row>
    <row r="49" spans="1:23" x14ac:dyDescent="0.25">
      <c r="A49" s="156" t="b">
        <v>0</v>
      </c>
      <c r="B49" s="7">
        <f t="shared" si="5"/>
        <v>48</v>
      </c>
      <c r="C49" s="25" t="str">
        <f>_xlfn.XLOOKUP($D49,Tab_Def_Processes[Process_Name],Tab_Def_Processes[ID],,0,)</f>
        <v>15</v>
      </c>
      <c r="D49" s="152"/>
      <c r="E49" s="7">
        <f>_xlfn.XLOOKUP($D49,Tab_Def_Processes[Process_Name],Tab_Def_Processes[Process_Logic],,0,)</f>
        <v>0</v>
      </c>
      <c r="F49" s="7">
        <f>_xlfn.XLOOKUP($D49,Tab_Def_Processes[Process_Name],Tab_Def_Processes[TC_Configuration],,0,)</f>
        <v>0</v>
      </c>
      <c r="G49" s="7">
        <f>_xlfn.XLOOKUP($D49,Tab_Def_Processes[Process_Name],Tab_Def_Processes[Stock_Configuration],,0,)</f>
        <v>0</v>
      </c>
      <c r="H49" s="7">
        <f>_xlfn.XLOOKUP($D49,Tab_Def_Processes[Process_Name],Tab_Def_Processes[Nr. Outflows],,0,)</f>
        <v>0</v>
      </c>
      <c r="I49" s="152"/>
      <c r="J49" s="146" t="str">
        <f>_xlfn.XLOOKUP($I49,Tab_Def_Flows[Flow_Name],Tab_Def_Flows[Flow_ID],,0,)</f>
        <v>F_15_15</v>
      </c>
      <c r="K49" s="20" t="str">
        <f t="shared" si="6"/>
        <v>TC_material_15_15</v>
      </c>
      <c r="L49" s="154"/>
      <c r="M49" s="20" t="str">
        <f t="shared" si="2"/>
        <v>TC_WC_15_15</v>
      </c>
      <c r="N49" s="154"/>
      <c r="O49" s="20" t="str">
        <f t="shared" si="3"/>
        <v>TC_DM_15_15</v>
      </c>
      <c r="Q49" s="20" t="str">
        <f t="shared" si="4"/>
        <v>TC_CC_15_15</v>
      </c>
      <c r="S49" s="18"/>
      <c r="T49" s="18"/>
      <c r="U49" s="18"/>
      <c r="V49" s="18"/>
      <c r="W49" s="18"/>
    </row>
    <row r="50" spans="1:23" x14ac:dyDescent="0.25">
      <c r="A50" s="156" t="b">
        <v>0</v>
      </c>
      <c r="B50" s="7">
        <f t="shared" si="5"/>
        <v>49</v>
      </c>
      <c r="C50" s="25" t="str">
        <f>_xlfn.XLOOKUP($D50,Tab_Def_Processes[Process_Name],Tab_Def_Processes[ID],,0,)</f>
        <v>15</v>
      </c>
      <c r="D50" s="152"/>
      <c r="E50" s="7">
        <f>_xlfn.XLOOKUP($D50,Tab_Def_Processes[Process_Name],Tab_Def_Processes[Process_Logic],,0,)</f>
        <v>0</v>
      </c>
      <c r="F50" s="7">
        <f>_xlfn.XLOOKUP($D50,Tab_Def_Processes[Process_Name],Tab_Def_Processes[TC_Configuration],,0,)</f>
        <v>0</v>
      </c>
      <c r="G50" s="7">
        <f>_xlfn.XLOOKUP($D50,Tab_Def_Processes[Process_Name],Tab_Def_Processes[Stock_Configuration],,0,)</f>
        <v>0</v>
      </c>
      <c r="H50" s="7">
        <f>_xlfn.XLOOKUP($D50,Tab_Def_Processes[Process_Name],Tab_Def_Processes[Nr. Outflows],,0,)</f>
        <v>0</v>
      </c>
      <c r="I50" s="152"/>
      <c r="J50" s="146" t="str">
        <f>_xlfn.XLOOKUP($I50,Tab_Def_Flows[Flow_Name],Tab_Def_Flows[Flow_ID],,0,)</f>
        <v>F_15_15</v>
      </c>
      <c r="K50" s="20" t="str">
        <f t="shared" si="6"/>
        <v>TC_material_15_15</v>
      </c>
      <c r="L50" s="154"/>
      <c r="M50" s="20" t="str">
        <f t="shared" si="2"/>
        <v>TC_WC_15_15</v>
      </c>
      <c r="N50" s="154"/>
      <c r="O50" s="20" t="str">
        <f t="shared" si="3"/>
        <v>TC_DM_15_15</v>
      </c>
      <c r="Q50" s="20" t="str">
        <f t="shared" si="4"/>
        <v>TC_CC_15_15</v>
      </c>
      <c r="S50" s="18"/>
      <c r="T50" s="18"/>
      <c r="U50" s="18"/>
      <c r="V50" s="18"/>
      <c r="W50" s="1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I2:I50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A149"/>
  <sheetViews>
    <sheetView zoomScaleNormal="100" workbookViewId="0">
      <pane xSplit="5" topLeftCell="F1" activePane="topRight" state="frozen"/>
      <selection pane="topRight" activeCell="K19" sqref="K19"/>
    </sheetView>
  </sheetViews>
  <sheetFormatPr defaultColWidth="10.85546875" defaultRowHeight="15" x14ac:dyDescent="0.25"/>
  <cols>
    <col min="2" max="2" width="16.5703125" customWidth="1"/>
    <col min="4" max="4" width="24" style="24" customWidth="1"/>
    <col min="5" max="5" width="30.5703125" customWidth="1"/>
    <col min="6" max="7" width="26.42578125" customWidth="1"/>
    <col min="8" max="9" width="16.5703125" customWidth="1"/>
    <col min="10" max="13" width="26.42578125" customWidth="1"/>
    <col min="14" max="14" width="20.28515625" customWidth="1"/>
    <col min="15" max="15" width="15.5703125" customWidth="1"/>
    <col min="16" max="16" width="18.85546875" customWidth="1"/>
    <col min="17" max="17" width="15.5703125" customWidth="1"/>
    <col min="18" max="18" width="17.85546875" style="31" hidden="1" customWidth="1"/>
    <col min="19" max="22" width="17.85546875" hidden="1" customWidth="1"/>
    <col min="23" max="28" width="0" hidden="1" customWidth="1"/>
  </cols>
  <sheetData>
    <row r="1" spans="1:27" x14ac:dyDescent="0.25">
      <c r="A1" s="155" t="s">
        <v>52</v>
      </c>
      <c r="B1" s="155" t="s">
        <v>27</v>
      </c>
      <c r="C1" s="155" t="s">
        <v>48</v>
      </c>
      <c r="D1" s="155" t="s">
        <v>580</v>
      </c>
      <c r="E1" s="155" t="s">
        <v>215</v>
      </c>
      <c r="F1" s="155" t="s">
        <v>656</v>
      </c>
      <c r="G1" s="155" t="s">
        <v>544</v>
      </c>
      <c r="H1" s="155" t="s">
        <v>36</v>
      </c>
      <c r="I1" s="155" t="s">
        <v>0</v>
      </c>
      <c r="J1" s="155" t="s">
        <v>557</v>
      </c>
      <c r="K1" s="155" t="s">
        <v>552</v>
      </c>
      <c r="L1" s="155" t="s">
        <v>558</v>
      </c>
      <c r="M1" s="155" t="s">
        <v>547</v>
      </c>
      <c r="N1" s="155" t="s">
        <v>559</v>
      </c>
      <c r="O1" s="155" t="s">
        <v>548</v>
      </c>
      <c r="P1" s="155" t="s">
        <v>560</v>
      </c>
      <c r="Q1" s="155" t="s">
        <v>549</v>
      </c>
      <c r="R1" s="28" t="s">
        <v>51</v>
      </c>
      <c r="S1" s="28" t="s">
        <v>213</v>
      </c>
      <c r="T1" s="14" t="s">
        <v>212</v>
      </c>
      <c r="U1" s="28" t="s">
        <v>214</v>
      </c>
      <c r="V1" s="29" t="s">
        <v>55</v>
      </c>
      <c r="W1" s="17" t="s">
        <v>34</v>
      </c>
      <c r="X1" s="144" t="s">
        <v>35</v>
      </c>
      <c r="Y1" s="144" t="s">
        <v>3</v>
      </c>
      <c r="Z1" s="144" t="s">
        <v>2</v>
      </c>
      <c r="AA1" s="145" t="s">
        <v>4</v>
      </c>
    </row>
    <row r="2" spans="1:27" x14ac:dyDescent="0.25">
      <c r="A2" s="156" t="b">
        <v>0</v>
      </c>
      <c r="B2" s="7">
        <f t="shared" ref="B2:B31" si="0">ROW()-1</f>
        <v>1</v>
      </c>
      <c r="C2" s="25" t="str">
        <f>_xlfn.XLOOKUP($D2,Tab_Process_TCs[Process_Name],Tab_Process_TCs[Process_ID],,0,)</f>
        <v>03</v>
      </c>
      <c r="D2" s="152" t="s">
        <v>594</v>
      </c>
      <c r="E2" s="152" t="s">
        <v>610</v>
      </c>
      <c r="F2" s="25" t="str">
        <f>_xlfn.XLOOKUP($D2,Tab_Process_TCs[Process_Name],Tab_Process_TCs[TC_Configuration],,0,)</f>
        <v>Dynamic</v>
      </c>
      <c r="G2" s="25" t="str">
        <f>_xlfn.XLOOKUP($D2,Tab_Process_TCs[Process_Name],Tab_Process_TCs[Process_Logic],,0,)</f>
        <v>Splitter</v>
      </c>
      <c r="H2" s="7" t="str">
        <f>_xlfn.XLOOKUP($E2,Tab_Def_Flows[Flow_Name],Tab_Def_Flows[Flow_ID],,0,1)</f>
        <v>F_03_04</v>
      </c>
      <c r="I2" s="8">
        <v>2000</v>
      </c>
      <c r="J2" s="20" t="str">
        <f>"TC_material"&amp;"_"&amp;RIGHT(H2,5)</f>
        <v>TC_material_03_04</v>
      </c>
      <c r="K2" s="154">
        <v>0.25</v>
      </c>
      <c r="L2" s="20" t="str">
        <f>"TC_WC"&amp;"_"&amp;RIGHT(H2,5)</f>
        <v>TC_WC_03_04</v>
      </c>
      <c r="M2" s="154"/>
      <c r="N2" s="20" t="str">
        <f>"TC_DM"&amp;"_"&amp;RIGHT(H2,5)</f>
        <v>TC_DM_03_04</v>
      </c>
      <c r="O2" s="154"/>
      <c r="P2" s="20" t="str">
        <f>"TC_CC"&amp;"_"&amp;RIGHT(H2,5)</f>
        <v>TC_CC_03_04</v>
      </c>
      <c r="Q2" s="8"/>
      <c r="R2" s="7" t="e">
        <f>_xlfn.XLOOKUP($D2,#REF!,#REF!,,0,)</f>
        <v>#REF!</v>
      </c>
      <c r="S2" s="20" t="str">
        <f>Tab_Process_TCs2527[[#This Row],[Flow_ID]]</f>
        <v>F_03_04</v>
      </c>
      <c r="T2" s="20" t="e">
        <f t="shared" ref="T2:T31" si="1">"TC"&amp;"_"&amp;RIGHT(R2,5)</f>
        <v>#REF!</v>
      </c>
      <c r="U2" s="27"/>
      <c r="V2" s="30" t="e">
        <f>Tab_Process_TCs2527[[#This Row],[TC O_6_'[%']]]+#REF!+#REF!+#REF!+#REF!+#REF!</f>
        <v>#REF!</v>
      </c>
      <c r="W2" s="8"/>
      <c r="X2" s="8"/>
      <c r="Y2" s="8"/>
      <c r="Z2" s="8"/>
      <c r="AA2" s="8"/>
    </row>
    <row r="3" spans="1:27" x14ac:dyDescent="0.25">
      <c r="A3" s="156" t="b">
        <v>0</v>
      </c>
      <c r="B3" s="7">
        <f t="shared" si="0"/>
        <v>2</v>
      </c>
      <c r="C3" s="25" t="str">
        <f>_xlfn.XLOOKUP($D3,Tab_Process_TCs[Process_Name],Tab_Process_TCs[Process_ID],,0,)</f>
        <v>03</v>
      </c>
      <c r="D3" s="152" t="s">
        <v>594</v>
      </c>
      <c r="E3" s="152" t="s">
        <v>613</v>
      </c>
      <c r="F3" s="25" t="str">
        <f>_xlfn.XLOOKUP($D3,Tab_Process_TCs[Process_Name],Tab_Process_TCs[TC_Configuration],,0,)</f>
        <v>Dynamic</v>
      </c>
      <c r="G3" s="25" t="str">
        <f>_xlfn.XLOOKUP($D3,Tab_Process_TCs[Process_Name],Tab_Process_TCs[Process_Logic],,0,)</f>
        <v>Splitter</v>
      </c>
      <c r="H3" s="7" t="str">
        <f>_xlfn.XLOOKUP($E3,Tab_Def_Flows[Flow_Name],Tab_Def_Flows[Flow_ID],,0,1)</f>
        <v>F_03_07</v>
      </c>
      <c r="I3" s="8">
        <v>2000</v>
      </c>
      <c r="J3" s="20" t="str">
        <f t="shared" ref="J3:J66" si="2">"TC_material"&amp;"_"&amp;RIGHT(H3,5)</f>
        <v>TC_material_03_07</v>
      </c>
      <c r="K3" s="154">
        <v>0.25</v>
      </c>
      <c r="L3" s="20" t="str">
        <f t="shared" ref="L3:L66" si="3">"TC_WC"&amp;"_"&amp;RIGHT(H3,5)</f>
        <v>TC_WC_03_07</v>
      </c>
      <c r="M3" s="154"/>
      <c r="N3" s="20" t="str">
        <f t="shared" ref="N3:N66" si="4">"TC_DM"&amp;"_"&amp;RIGHT(H3,5)</f>
        <v>TC_DM_03_07</v>
      </c>
      <c r="O3" s="154"/>
      <c r="P3" s="20" t="str">
        <f t="shared" ref="P3:P66" si="5">"TC_CC"&amp;"_"&amp;RIGHT(H3,5)</f>
        <v>TC_CC_03_07</v>
      </c>
      <c r="Q3" s="8"/>
      <c r="R3" s="7" t="e">
        <f>_xlfn.XLOOKUP($D3,#REF!,#REF!,,0,)</f>
        <v>#REF!</v>
      </c>
      <c r="S3" s="20" t="str">
        <f>Tab_Process_TCs2527[[#This Row],[Flow_ID]]</f>
        <v>F_03_07</v>
      </c>
      <c r="T3" s="20" t="e">
        <f t="shared" si="1"/>
        <v>#REF!</v>
      </c>
      <c r="U3" s="27"/>
      <c r="V3" s="30" t="e">
        <f>Tab_Process_TCs2527[[#This Row],[TC O_6_'[%']]]+#REF!+#REF!+#REF!+#REF!+#REF!</f>
        <v>#REF!</v>
      </c>
      <c r="W3" s="8"/>
      <c r="X3" s="8"/>
      <c r="Y3" s="8"/>
      <c r="Z3" s="8"/>
      <c r="AA3" s="8"/>
    </row>
    <row r="4" spans="1:27" x14ac:dyDescent="0.25">
      <c r="A4" s="156" t="b">
        <v>0</v>
      </c>
      <c r="B4" s="7">
        <f t="shared" si="0"/>
        <v>3</v>
      </c>
      <c r="C4" s="25" t="str">
        <f>_xlfn.XLOOKUP($D4,Tab_Process_TCs[Process_Name],Tab_Process_TCs[Process_ID],,0,)</f>
        <v>03</v>
      </c>
      <c r="D4" s="152" t="s">
        <v>594</v>
      </c>
      <c r="E4" s="152" t="s">
        <v>611</v>
      </c>
      <c r="F4" s="25" t="str">
        <f>_xlfn.XLOOKUP($D4,Tab_Process_TCs[Process_Name],Tab_Process_TCs[TC_Configuration],,0,)</f>
        <v>Dynamic</v>
      </c>
      <c r="G4" s="25" t="str">
        <f>_xlfn.XLOOKUP($D4,Tab_Process_TCs[Process_Name],Tab_Process_TCs[Process_Logic],,0,)</f>
        <v>Splitter</v>
      </c>
      <c r="H4" s="7" t="str">
        <f>_xlfn.XLOOKUP($E4,Tab_Def_Flows[Flow_Name],Tab_Def_Flows[Flow_ID],,0,1)</f>
        <v>F_03_05</v>
      </c>
      <c r="I4" s="8">
        <v>2000</v>
      </c>
      <c r="J4" s="20" t="str">
        <f t="shared" si="2"/>
        <v>TC_material_03_05</v>
      </c>
      <c r="K4" s="154">
        <v>0.25</v>
      </c>
      <c r="L4" s="20" t="str">
        <f t="shared" si="3"/>
        <v>TC_WC_03_05</v>
      </c>
      <c r="M4" s="154"/>
      <c r="N4" s="20" t="str">
        <f t="shared" si="4"/>
        <v>TC_DM_03_05</v>
      </c>
      <c r="O4" s="154"/>
      <c r="P4" s="20" t="str">
        <f t="shared" si="5"/>
        <v>TC_CC_03_05</v>
      </c>
      <c r="Q4" s="8"/>
      <c r="R4" s="7" t="e">
        <f>_xlfn.XLOOKUP($D4,#REF!,#REF!,,0,)</f>
        <v>#REF!</v>
      </c>
      <c r="S4" s="20" t="str">
        <f>Tab_Process_TCs2527[[#This Row],[Flow_ID]]</f>
        <v>F_03_05</v>
      </c>
      <c r="T4" s="20" t="e">
        <f t="shared" si="1"/>
        <v>#REF!</v>
      </c>
      <c r="U4" s="27"/>
      <c r="V4" s="30" t="e">
        <f>Tab_Process_TCs2527[[#This Row],[TC O_6_'[%']]]+#REF!+#REF!+#REF!+#REF!+#REF!</f>
        <v>#REF!</v>
      </c>
      <c r="W4" s="8"/>
      <c r="X4" s="8"/>
      <c r="Y4" s="8"/>
      <c r="Z4" s="8"/>
      <c r="AA4" s="8"/>
    </row>
    <row r="5" spans="1:27" x14ac:dyDescent="0.25">
      <c r="A5" s="156" t="b">
        <v>0</v>
      </c>
      <c r="B5" s="7">
        <f t="shared" si="0"/>
        <v>4</v>
      </c>
      <c r="C5" s="25" t="str">
        <f>_xlfn.XLOOKUP($D5,Tab_Process_TCs[Process_Name],Tab_Process_TCs[Process_ID],,0,)</f>
        <v>03</v>
      </c>
      <c r="D5" s="152" t="s">
        <v>594</v>
      </c>
      <c r="E5" s="152" t="s">
        <v>612</v>
      </c>
      <c r="F5" s="25" t="str">
        <f>_xlfn.XLOOKUP($D5,Tab_Process_TCs[Process_Name],Tab_Process_TCs[TC_Configuration],,0,)</f>
        <v>Dynamic</v>
      </c>
      <c r="G5" s="25" t="str">
        <f>_xlfn.XLOOKUP($D5,Tab_Process_TCs[Process_Name],Tab_Process_TCs[Process_Logic],,0,)</f>
        <v>Splitter</v>
      </c>
      <c r="H5" s="7" t="str">
        <f>_xlfn.XLOOKUP($E5,Tab_Def_Flows[Flow_Name],Tab_Def_Flows[Flow_ID],,0,1)</f>
        <v>F_03_06</v>
      </c>
      <c r="I5" s="8">
        <v>2000</v>
      </c>
      <c r="J5" s="20" t="str">
        <f t="shared" si="2"/>
        <v>TC_material_03_06</v>
      </c>
      <c r="K5" s="154">
        <v>0.25</v>
      </c>
      <c r="L5" s="20" t="str">
        <f t="shared" si="3"/>
        <v>TC_WC_03_06</v>
      </c>
      <c r="M5" s="154"/>
      <c r="N5" s="20" t="str">
        <f t="shared" si="4"/>
        <v>TC_DM_03_06</v>
      </c>
      <c r="O5" s="154"/>
      <c r="P5" s="20" t="str">
        <f t="shared" si="5"/>
        <v>TC_CC_03_06</v>
      </c>
      <c r="Q5" s="8"/>
      <c r="R5" s="7" t="e">
        <f>_xlfn.XLOOKUP($D5,#REF!,#REF!,,0,)</f>
        <v>#REF!</v>
      </c>
      <c r="S5" s="20" t="str">
        <f>Tab_Process_TCs2527[[#This Row],[Flow_ID]]</f>
        <v>F_03_06</v>
      </c>
      <c r="T5" s="20" t="e">
        <f t="shared" si="1"/>
        <v>#REF!</v>
      </c>
      <c r="U5" s="27"/>
      <c r="V5" s="30" t="e">
        <f>Tab_Process_TCs2527[[#This Row],[TC O_6_'[%']]]+#REF!+#REF!+#REF!+#REF!+#REF!</f>
        <v>#REF!</v>
      </c>
      <c r="W5" s="8"/>
      <c r="X5" s="8"/>
      <c r="Y5" s="8"/>
      <c r="Z5" s="8"/>
      <c r="AA5" s="8"/>
    </row>
    <row r="6" spans="1:27" x14ac:dyDescent="0.25">
      <c r="A6" s="156" t="b">
        <v>0</v>
      </c>
      <c r="B6" s="7">
        <f t="shared" si="0"/>
        <v>5</v>
      </c>
      <c r="C6" s="25" t="str">
        <f>_xlfn.XLOOKUP($D6,Tab_Process_TCs[Process_Name],Tab_Process_TCs[Process_ID],,0,)</f>
        <v>03</v>
      </c>
      <c r="D6" s="152" t="s">
        <v>594</v>
      </c>
      <c r="E6" s="152" t="s">
        <v>610</v>
      </c>
      <c r="F6" s="25" t="str">
        <f>_xlfn.XLOOKUP($D6,Tab_Process_TCs[Process_Name],Tab_Process_TCs[TC_Configuration],,0,)</f>
        <v>Dynamic</v>
      </c>
      <c r="G6" s="25" t="str">
        <f>_xlfn.XLOOKUP($D6,Tab_Process_TCs[Process_Name],Tab_Process_TCs[Process_Logic],,0,)</f>
        <v>Splitter</v>
      </c>
      <c r="H6" s="7" t="str">
        <f>_xlfn.XLOOKUP($E6,Tab_Def_Flows[Flow_Name],Tab_Def_Flows[Flow_ID],,0,1)</f>
        <v>F_03_04</v>
      </c>
      <c r="I6" s="8">
        <v>2020</v>
      </c>
      <c r="J6" s="20" t="str">
        <f t="shared" si="2"/>
        <v>TC_material_03_04</v>
      </c>
      <c r="K6" s="154">
        <v>0.1</v>
      </c>
      <c r="L6" s="20" t="str">
        <f t="shared" si="3"/>
        <v>TC_WC_03_04</v>
      </c>
      <c r="M6" s="154"/>
      <c r="N6" s="20" t="str">
        <f t="shared" si="4"/>
        <v>TC_DM_03_04</v>
      </c>
      <c r="O6" s="154"/>
      <c r="P6" s="20" t="str">
        <f t="shared" si="5"/>
        <v>TC_CC_03_04</v>
      </c>
      <c r="Q6" s="8"/>
      <c r="R6" s="7" t="e">
        <f>_xlfn.XLOOKUP($D6,#REF!,#REF!,,0,)</f>
        <v>#REF!</v>
      </c>
      <c r="S6" s="20" t="str">
        <f>Tab_Process_TCs2527[[#This Row],[Flow_ID]]</f>
        <v>F_03_04</v>
      </c>
      <c r="T6" s="20" t="e">
        <f t="shared" si="1"/>
        <v>#REF!</v>
      </c>
      <c r="U6" s="27"/>
      <c r="V6" s="30" t="e">
        <f>Tab_Process_TCs2527[[#This Row],[TC O_6_'[%']]]+#REF!+#REF!+#REF!+#REF!+#REF!</f>
        <v>#REF!</v>
      </c>
      <c r="W6" s="8"/>
      <c r="X6" s="8"/>
      <c r="Y6" s="8"/>
      <c r="Z6" s="8"/>
      <c r="AA6" s="8"/>
    </row>
    <row r="7" spans="1:27" x14ac:dyDescent="0.25">
      <c r="A7" s="156" t="b">
        <v>0</v>
      </c>
      <c r="B7" s="7">
        <f t="shared" si="0"/>
        <v>6</v>
      </c>
      <c r="C7" s="25" t="str">
        <f>_xlfn.XLOOKUP($D7,Tab_Process_TCs[Process_Name],Tab_Process_TCs[Process_ID],,0,)</f>
        <v>03</v>
      </c>
      <c r="D7" s="152" t="s">
        <v>594</v>
      </c>
      <c r="E7" s="152" t="s">
        <v>613</v>
      </c>
      <c r="F7" s="25" t="str">
        <f>_xlfn.XLOOKUP($D7,Tab_Process_TCs[Process_Name],Tab_Process_TCs[TC_Configuration],,0,)</f>
        <v>Dynamic</v>
      </c>
      <c r="G7" s="25" t="str">
        <f>_xlfn.XLOOKUP($D7,Tab_Process_TCs[Process_Name],Tab_Process_TCs[Process_Logic],,0,)</f>
        <v>Splitter</v>
      </c>
      <c r="H7" s="7" t="str">
        <f>_xlfn.XLOOKUP($E7,Tab_Def_Flows[Flow_Name],Tab_Def_Flows[Flow_ID],,0,1)</f>
        <v>F_03_07</v>
      </c>
      <c r="I7" s="8">
        <v>2020</v>
      </c>
      <c r="J7" s="20" t="str">
        <f t="shared" si="2"/>
        <v>TC_material_03_07</v>
      </c>
      <c r="K7" s="154">
        <v>0.1</v>
      </c>
      <c r="L7" s="20" t="str">
        <f t="shared" si="3"/>
        <v>TC_WC_03_07</v>
      </c>
      <c r="M7" s="154"/>
      <c r="N7" s="20" t="str">
        <f t="shared" si="4"/>
        <v>TC_DM_03_07</v>
      </c>
      <c r="O7" s="154"/>
      <c r="P7" s="20" t="str">
        <f t="shared" si="5"/>
        <v>TC_CC_03_07</v>
      </c>
      <c r="Q7" s="8"/>
      <c r="R7" s="7" t="e">
        <f>_xlfn.XLOOKUP($D7,#REF!,#REF!,,0,)</f>
        <v>#REF!</v>
      </c>
      <c r="S7" s="20" t="str">
        <f>Tab_Process_TCs2527[[#This Row],[Flow_ID]]</f>
        <v>F_03_07</v>
      </c>
      <c r="T7" s="20" t="e">
        <f t="shared" si="1"/>
        <v>#REF!</v>
      </c>
      <c r="U7" s="27"/>
      <c r="V7" s="30" t="e">
        <f>Tab_Process_TCs2527[[#This Row],[TC O_6_'[%']]]+#REF!+#REF!+#REF!+#REF!+#REF!</f>
        <v>#REF!</v>
      </c>
      <c r="W7" s="8"/>
      <c r="X7" s="8"/>
      <c r="Y7" s="8"/>
      <c r="Z7" s="8"/>
      <c r="AA7" s="8"/>
    </row>
    <row r="8" spans="1:27" x14ac:dyDescent="0.25">
      <c r="A8" s="156" t="b">
        <v>0</v>
      </c>
      <c r="B8" s="7">
        <f t="shared" si="0"/>
        <v>7</v>
      </c>
      <c r="C8" s="25" t="str">
        <f>_xlfn.XLOOKUP($D8,Tab_Process_TCs[Process_Name],Tab_Process_TCs[Process_ID],,0,)</f>
        <v>03</v>
      </c>
      <c r="D8" s="152" t="s">
        <v>594</v>
      </c>
      <c r="E8" s="152" t="s">
        <v>611</v>
      </c>
      <c r="F8" s="25" t="str">
        <f>_xlfn.XLOOKUP($D8,Tab_Process_TCs[Process_Name],Tab_Process_TCs[TC_Configuration],,0,)</f>
        <v>Dynamic</v>
      </c>
      <c r="G8" s="25" t="str">
        <f>_xlfn.XLOOKUP($D8,Tab_Process_TCs[Process_Name],Tab_Process_TCs[Process_Logic],,0,)</f>
        <v>Splitter</v>
      </c>
      <c r="H8" s="7" t="str">
        <f>_xlfn.XLOOKUP($E8,Tab_Def_Flows[Flow_Name],Tab_Def_Flows[Flow_ID],,0,1)</f>
        <v>F_03_05</v>
      </c>
      <c r="I8" s="8">
        <v>2020</v>
      </c>
      <c r="J8" s="20" t="str">
        <f t="shared" si="2"/>
        <v>TC_material_03_05</v>
      </c>
      <c r="K8" s="154">
        <v>0.4</v>
      </c>
      <c r="L8" s="20" t="str">
        <f t="shared" si="3"/>
        <v>TC_WC_03_05</v>
      </c>
      <c r="M8" s="154"/>
      <c r="N8" s="20" t="str">
        <f t="shared" si="4"/>
        <v>TC_DM_03_05</v>
      </c>
      <c r="O8" s="154"/>
      <c r="P8" s="20" t="str">
        <f t="shared" si="5"/>
        <v>TC_CC_03_05</v>
      </c>
      <c r="Q8" s="8"/>
      <c r="R8" s="7" t="e">
        <f>_xlfn.XLOOKUP($D8,#REF!,#REF!,,0,)</f>
        <v>#REF!</v>
      </c>
      <c r="S8" s="20" t="str">
        <f>Tab_Process_TCs2527[[#This Row],[Flow_ID]]</f>
        <v>F_03_05</v>
      </c>
      <c r="T8" s="20" t="e">
        <f t="shared" si="1"/>
        <v>#REF!</v>
      </c>
      <c r="U8" s="27"/>
      <c r="V8" s="30" t="e">
        <f>Tab_Process_TCs2527[[#This Row],[TC O_6_'[%']]]+#REF!+#REF!+#REF!+#REF!+#REF!</f>
        <v>#REF!</v>
      </c>
      <c r="W8" s="8"/>
      <c r="X8" s="8"/>
      <c r="Y8" s="8"/>
      <c r="Z8" s="8"/>
      <c r="AA8" s="8"/>
    </row>
    <row r="9" spans="1:27" x14ac:dyDescent="0.25">
      <c r="A9" s="156" t="b">
        <v>0</v>
      </c>
      <c r="B9" s="7">
        <f t="shared" si="0"/>
        <v>8</v>
      </c>
      <c r="C9" s="25" t="str">
        <f>_xlfn.XLOOKUP($D9,Tab_Process_TCs[Process_Name],Tab_Process_TCs[Process_ID],,0,)</f>
        <v>03</v>
      </c>
      <c r="D9" s="152" t="s">
        <v>594</v>
      </c>
      <c r="E9" s="152" t="s">
        <v>612</v>
      </c>
      <c r="F9" s="25" t="str">
        <f>_xlfn.XLOOKUP($D9,Tab_Process_TCs[Process_Name],Tab_Process_TCs[TC_Configuration],,0,)</f>
        <v>Dynamic</v>
      </c>
      <c r="G9" s="25" t="str">
        <f>_xlfn.XLOOKUP($D9,Tab_Process_TCs[Process_Name],Tab_Process_TCs[Process_Logic],,0,)</f>
        <v>Splitter</v>
      </c>
      <c r="H9" s="7" t="str">
        <f>_xlfn.XLOOKUP($E9,Tab_Def_Flows[Flow_Name],Tab_Def_Flows[Flow_ID],,0,1)</f>
        <v>F_03_06</v>
      </c>
      <c r="I9" s="8">
        <v>2020</v>
      </c>
      <c r="J9" s="20" t="str">
        <f t="shared" si="2"/>
        <v>TC_material_03_06</v>
      </c>
      <c r="K9" s="154">
        <v>0.4</v>
      </c>
      <c r="L9" s="20" t="str">
        <f t="shared" si="3"/>
        <v>TC_WC_03_06</v>
      </c>
      <c r="M9" s="154"/>
      <c r="N9" s="20" t="str">
        <f t="shared" si="4"/>
        <v>TC_DM_03_06</v>
      </c>
      <c r="O9" s="154"/>
      <c r="P9" s="20" t="str">
        <f t="shared" si="5"/>
        <v>TC_CC_03_06</v>
      </c>
      <c r="Q9" s="8"/>
      <c r="R9" s="7" t="e">
        <f>_xlfn.XLOOKUP($D9,#REF!,#REF!,,0,)</f>
        <v>#REF!</v>
      </c>
      <c r="S9" s="20" t="str">
        <f>Tab_Process_TCs2527[[#This Row],[Flow_ID]]</f>
        <v>F_03_06</v>
      </c>
      <c r="T9" s="20" t="e">
        <f t="shared" si="1"/>
        <v>#REF!</v>
      </c>
      <c r="U9" s="27"/>
      <c r="V9" s="30" t="e">
        <f>Tab_Process_TCs2527[[#This Row],[TC O_6_'[%']]]+#REF!+#REF!+#REF!+#REF!+#REF!</f>
        <v>#REF!</v>
      </c>
      <c r="W9" s="8"/>
      <c r="X9" s="8"/>
      <c r="Y9" s="8"/>
      <c r="Z9" s="8"/>
      <c r="AA9" s="8"/>
    </row>
    <row r="10" spans="1:27" x14ac:dyDescent="0.25">
      <c r="A10" s="156" t="b">
        <v>0</v>
      </c>
      <c r="B10" s="7">
        <f t="shared" si="0"/>
        <v>9</v>
      </c>
      <c r="C10" s="25" t="str">
        <f>_xlfn.XLOOKUP($D10,Tab_Process_TCs[Process_Name],Tab_Process_TCs[Process_ID],,0,)</f>
        <v>03</v>
      </c>
      <c r="D10" s="152" t="s">
        <v>594</v>
      </c>
      <c r="E10" s="152" t="s">
        <v>610</v>
      </c>
      <c r="F10" s="25" t="str">
        <f>_xlfn.XLOOKUP($D10,Tab_Process_TCs[Process_Name],Tab_Process_TCs[TC_Configuration],,0,)</f>
        <v>Dynamic</v>
      </c>
      <c r="G10" s="25" t="str">
        <f>_xlfn.XLOOKUP($D10,Tab_Process_TCs[Process_Name],Tab_Process_TCs[Process_Logic],,0,)</f>
        <v>Splitter</v>
      </c>
      <c r="H10" s="7" t="str">
        <f>_xlfn.XLOOKUP($E10,Tab_Def_Flows[Flow_Name],Tab_Def_Flows[Flow_ID],,0,1)</f>
        <v>F_03_04</v>
      </c>
      <c r="I10" s="8">
        <v>2040</v>
      </c>
      <c r="J10" s="20" t="str">
        <f t="shared" si="2"/>
        <v>TC_material_03_04</v>
      </c>
      <c r="K10" s="154">
        <v>0.6</v>
      </c>
      <c r="L10" s="20" t="str">
        <f t="shared" si="3"/>
        <v>TC_WC_03_04</v>
      </c>
      <c r="M10" s="154"/>
      <c r="N10" s="20" t="str">
        <f t="shared" si="4"/>
        <v>TC_DM_03_04</v>
      </c>
      <c r="O10" s="154"/>
      <c r="P10" s="20" t="str">
        <f t="shared" si="5"/>
        <v>TC_CC_03_04</v>
      </c>
      <c r="Q10" s="8"/>
      <c r="R10" s="7" t="e">
        <f>_xlfn.XLOOKUP($D10,#REF!,#REF!,,0,)</f>
        <v>#REF!</v>
      </c>
      <c r="S10" s="20" t="str">
        <f>Tab_Process_TCs2527[[#This Row],[Flow_ID]]</f>
        <v>F_03_04</v>
      </c>
      <c r="T10" s="20" t="e">
        <f t="shared" si="1"/>
        <v>#REF!</v>
      </c>
      <c r="U10" s="27"/>
      <c r="V10" s="30" t="e">
        <f>Tab_Process_TCs2527[[#This Row],[TC O_6_'[%']]]+#REF!+#REF!+#REF!+#REF!+#REF!</f>
        <v>#REF!</v>
      </c>
      <c r="W10" s="8"/>
      <c r="X10" s="8"/>
      <c r="Y10" s="8"/>
      <c r="Z10" s="8"/>
      <c r="AA10" s="8"/>
    </row>
    <row r="11" spans="1:27" x14ac:dyDescent="0.25">
      <c r="A11" s="156" t="b">
        <v>0</v>
      </c>
      <c r="B11" s="7">
        <f t="shared" si="0"/>
        <v>10</v>
      </c>
      <c r="C11" s="25" t="str">
        <f>_xlfn.XLOOKUP($D11,Tab_Process_TCs[Process_Name],Tab_Process_TCs[Process_ID],,0,)</f>
        <v>03</v>
      </c>
      <c r="D11" s="152" t="s">
        <v>594</v>
      </c>
      <c r="E11" s="152" t="s">
        <v>613</v>
      </c>
      <c r="F11" s="25" t="str">
        <f>_xlfn.XLOOKUP($D11,Tab_Process_TCs[Process_Name],Tab_Process_TCs[TC_Configuration],,0,)</f>
        <v>Dynamic</v>
      </c>
      <c r="G11" s="25" t="str">
        <f>_xlfn.XLOOKUP($D11,Tab_Process_TCs[Process_Name],Tab_Process_TCs[Process_Logic],,0,)</f>
        <v>Splitter</v>
      </c>
      <c r="H11" s="7" t="str">
        <f>_xlfn.XLOOKUP($E11,Tab_Def_Flows[Flow_Name],Tab_Def_Flows[Flow_ID],,0,1)</f>
        <v>F_03_07</v>
      </c>
      <c r="I11" s="8">
        <v>2040</v>
      </c>
      <c r="J11" s="20" t="str">
        <f t="shared" si="2"/>
        <v>TC_material_03_07</v>
      </c>
      <c r="K11" s="154">
        <v>0.1</v>
      </c>
      <c r="L11" s="20" t="str">
        <f t="shared" si="3"/>
        <v>TC_WC_03_07</v>
      </c>
      <c r="M11" s="154"/>
      <c r="N11" s="20" t="str">
        <f t="shared" si="4"/>
        <v>TC_DM_03_07</v>
      </c>
      <c r="O11" s="154"/>
      <c r="P11" s="20" t="str">
        <f t="shared" si="5"/>
        <v>TC_CC_03_07</v>
      </c>
      <c r="Q11" s="8"/>
      <c r="R11" s="7" t="e">
        <f>_xlfn.XLOOKUP($D11,#REF!,#REF!,,0,)</f>
        <v>#REF!</v>
      </c>
      <c r="S11" s="20" t="str">
        <f>Tab_Process_TCs2527[[#This Row],[Flow_ID]]</f>
        <v>F_03_07</v>
      </c>
      <c r="T11" s="20" t="e">
        <f t="shared" si="1"/>
        <v>#REF!</v>
      </c>
      <c r="U11" s="27"/>
      <c r="V11" s="30" t="e">
        <f>Tab_Process_TCs2527[[#This Row],[TC O_6_'[%']]]+#REF!+#REF!+#REF!+#REF!+#REF!</f>
        <v>#REF!</v>
      </c>
      <c r="W11" s="8"/>
      <c r="X11" s="8"/>
      <c r="Y11" s="8"/>
      <c r="Z11" s="8"/>
      <c r="AA11" s="8"/>
    </row>
    <row r="12" spans="1:27" x14ac:dyDescent="0.25">
      <c r="A12" s="156" t="b">
        <v>0</v>
      </c>
      <c r="B12" s="7">
        <f t="shared" si="0"/>
        <v>11</v>
      </c>
      <c r="C12" s="25" t="str">
        <f>_xlfn.XLOOKUP($D12,Tab_Process_TCs[Process_Name],Tab_Process_TCs[Process_ID],,0,)</f>
        <v>03</v>
      </c>
      <c r="D12" s="152" t="s">
        <v>594</v>
      </c>
      <c r="E12" s="152" t="s">
        <v>611</v>
      </c>
      <c r="F12" s="25" t="str">
        <f>_xlfn.XLOOKUP($D12,Tab_Process_TCs[Process_Name],Tab_Process_TCs[TC_Configuration],,0,)</f>
        <v>Dynamic</v>
      </c>
      <c r="G12" s="25" t="str">
        <f>_xlfn.XLOOKUP($D12,Tab_Process_TCs[Process_Name],Tab_Process_TCs[Process_Logic],,0,)</f>
        <v>Splitter</v>
      </c>
      <c r="H12" s="7" t="str">
        <f>_xlfn.XLOOKUP($E12,Tab_Def_Flows[Flow_Name],Tab_Def_Flows[Flow_ID],,0,1)</f>
        <v>F_03_05</v>
      </c>
      <c r="I12" s="8">
        <v>2040</v>
      </c>
      <c r="J12" s="20" t="str">
        <f t="shared" si="2"/>
        <v>TC_material_03_05</v>
      </c>
      <c r="K12" s="154">
        <v>0.2</v>
      </c>
      <c r="L12" s="20" t="str">
        <f t="shared" si="3"/>
        <v>TC_WC_03_05</v>
      </c>
      <c r="M12" s="154"/>
      <c r="N12" s="20" t="str">
        <f t="shared" si="4"/>
        <v>TC_DM_03_05</v>
      </c>
      <c r="O12" s="154"/>
      <c r="P12" s="20" t="str">
        <f t="shared" si="5"/>
        <v>TC_CC_03_05</v>
      </c>
      <c r="Q12" s="8"/>
      <c r="R12" s="7" t="e">
        <f>_xlfn.XLOOKUP($D12,#REF!,#REF!,,0,)</f>
        <v>#REF!</v>
      </c>
      <c r="S12" s="20" t="str">
        <f>Tab_Process_TCs2527[[#This Row],[Flow_ID]]</f>
        <v>F_03_05</v>
      </c>
      <c r="T12" s="20" t="e">
        <f t="shared" si="1"/>
        <v>#REF!</v>
      </c>
      <c r="U12" s="27"/>
      <c r="V12" s="30" t="e">
        <f>Tab_Process_TCs2527[[#This Row],[TC O_6_'[%']]]+#REF!+#REF!+#REF!+#REF!+#REF!</f>
        <v>#REF!</v>
      </c>
      <c r="W12" s="8"/>
      <c r="X12" s="8"/>
      <c r="Y12" s="8"/>
      <c r="Z12" s="8"/>
      <c r="AA12" s="8"/>
    </row>
    <row r="13" spans="1:27" x14ac:dyDescent="0.25">
      <c r="A13" s="156" t="b">
        <v>0</v>
      </c>
      <c r="B13" s="7">
        <f t="shared" si="0"/>
        <v>12</v>
      </c>
      <c r="C13" s="25" t="str">
        <f>_xlfn.XLOOKUP($D13,Tab_Process_TCs[Process_Name],Tab_Process_TCs[Process_ID],,0,)</f>
        <v>03</v>
      </c>
      <c r="D13" s="152" t="s">
        <v>594</v>
      </c>
      <c r="E13" s="152" t="s">
        <v>612</v>
      </c>
      <c r="F13" s="25" t="str">
        <f>_xlfn.XLOOKUP($D13,Tab_Process_TCs[Process_Name],Tab_Process_TCs[TC_Configuration],,0,)</f>
        <v>Dynamic</v>
      </c>
      <c r="G13" s="25" t="str">
        <f>_xlfn.XLOOKUP($D13,Tab_Process_TCs[Process_Name],Tab_Process_TCs[Process_Logic],,0,)</f>
        <v>Splitter</v>
      </c>
      <c r="H13" s="7" t="str">
        <f>_xlfn.XLOOKUP($E13,Tab_Def_Flows[Flow_Name],Tab_Def_Flows[Flow_ID],,0,1)</f>
        <v>F_03_06</v>
      </c>
      <c r="I13" s="8">
        <v>2040</v>
      </c>
      <c r="J13" s="20" t="str">
        <f>"TC_material"&amp;"_"&amp;RIGHT(H13,5)</f>
        <v>TC_material_03_06</v>
      </c>
      <c r="K13" s="154">
        <v>0.1</v>
      </c>
      <c r="L13" s="20" t="str">
        <f t="shared" si="3"/>
        <v>TC_WC_03_06</v>
      </c>
      <c r="M13" s="154"/>
      <c r="N13" s="20" t="str">
        <f t="shared" si="4"/>
        <v>TC_DM_03_06</v>
      </c>
      <c r="O13" s="154"/>
      <c r="P13" s="20" t="str">
        <f t="shared" si="5"/>
        <v>TC_CC_03_06</v>
      </c>
      <c r="Q13" s="8"/>
      <c r="R13" s="7" t="e">
        <f>_xlfn.XLOOKUP($D13,#REF!,#REF!,,0,)</f>
        <v>#REF!</v>
      </c>
      <c r="S13" s="20" t="str">
        <f>Tab_Process_TCs2527[[#This Row],[Flow_ID]]</f>
        <v>F_03_06</v>
      </c>
      <c r="T13" s="20" t="e">
        <f t="shared" si="1"/>
        <v>#REF!</v>
      </c>
      <c r="U13" s="27"/>
      <c r="V13" s="30" t="e">
        <f>Tab_Process_TCs2527[[#This Row],[TC O_6_'[%']]]+#REF!+#REF!+#REF!+#REF!+#REF!</f>
        <v>#REF!</v>
      </c>
      <c r="W13" s="8"/>
      <c r="X13" s="8"/>
      <c r="Y13" s="8"/>
      <c r="Z13" s="8"/>
      <c r="AA13" s="8"/>
    </row>
    <row r="14" spans="1:27" x14ac:dyDescent="0.25">
      <c r="A14" s="156" t="b">
        <v>0</v>
      </c>
      <c r="B14" s="7">
        <f t="shared" si="0"/>
        <v>13</v>
      </c>
      <c r="C14" s="25" t="e">
        <f>_xlfn.XLOOKUP($D14,Tab_Process_TCs[Process_Name],Tab_Process_TCs[Process_ID],,0,)</f>
        <v>#N/A</v>
      </c>
      <c r="D14" s="152" t="s">
        <v>30</v>
      </c>
      <c r="E14" s="152" t="s">
        <v>30</v>
      </c>
      <c r="F14" s="25" t="e">
        <f>_xlfn.XLOOKUP($D14,Tab_Process_TCs[Process_Name],Tab_Process_TCs[TC_Configuration],,0,)</f>
        <v>#N/A</v>
      </c>
      <c r="G14" s="25" t="e">
        <f>_xlfn.XLOOKUP($D14,Tab_Process_TCs[Process_Name],Tab_Process_TCs[Process_Logic],,0,)</f>
        <v>#N/A</v>
      </c>
      <c r="H14" s="7" t="str">
        <f>_xlfn.XLOOKUP($E14,Tab_Def_Flows[Flow_Name],Tab_Def_Flows[Flow_ID],,0,1)</f>
        <v>F__</v>
      </c>
      <c r="I14" s="8"/>
      <c r="J14" s="20" t="str">
        <f t="shared" si="2"/>
        <v>TC_material_F__</v>
      </c>
      <c r="K14" s="154"/>
      <c r="L14" s="20" t="str">
        <f t="shared" si="3"/>
        <v>TC_WC_F__</v>
      </c>
      <c r="M14" s="154"/>
      <c r="N14" s="20" t="str">
        <f t="shared" si="4"/>
        <v>TC_DM_F__</v>
      </c>
      <c r="O14" s="154"/>
      <c r="P14" s="20" t="str">
        <f t="shared" si="5"/>
        <v>TC_CC_F__</v>
      </c>
      <c r="Q14" s="8"/>
      <c r="R14" s="7" t="e">
        <f>_xlfn.XLOOKUP($D14,#REF!,#REF!,,0,)</f>
        <v>#REF!</v>
      </c>
      <c r="S14" s="20" t="str">
        <f>Tab_Process_TCs2527[[#This Row],[Flow_ID]]</f>
        <v>F__</v>
      </c>
      <c r="T14" s="20" t="e">
        <f t="shared" si="1"/>
        <v>#REF!</v>
      </c>
      <c r="U14" s="27"/>
      <c r="V14" s="30" t="e">
        <f>Tab_Process_TCs2527[[#This Row],[TC O_6_'[%']]]+#REF!+#REF!+#REF!+#REF!+#REF!</f>
        <v>#REF!</v>
      </c>
      <c r="W14" s="8"/>
      <c r="X14" s="8"/>
      <c r="Y14" s="8"/>
      <c r="Z14" s="8"/>
      <c r="AA14" s="8"/>
    </row>
    <row r="15" spans="1:27" x14ac:dyDescent="0.25">
      <c r="A15" s="156" t="b">
        <v>0</v>
      </c>
      <c r="B15" s="7">
        <f t="shared" si="0"/>
        <v>14</v>
      </c>
      <c r="C15" s="25" t="e">
        <f>_xlfn.XLOOKUP($D15,Tab_Process_TCs[Process_Name],Tab_Process_TCs[Process_ID],,0,)</f>
        <v>#N/A</v>
      </c>
      <c r="D15" s="152" t="s">
        <v>30</v>
      </c>
      <c r="E15" s="152" t="s">
        <v>30</v>
      </c>
      <c r="F15" s="25" t="e">
        <f>_xlfn.XLOOKUP($D15,Tab_Process_TCs[Process_Name],Tab_Process_TCs[TC_Configuration],,0,)</f>
        <v>#N/A</v>
      </c>
      <c r="G15" s="25" t="e">
        <f>_xlfn.XLOOKUP($D15,Tab_Process_TCs[Process_Name],Tab_Process_TCs[Process_Logic],,0,)</f>
        <v>#N/A</v>
      </c>
      <c r="H15" s="7" t="str">
        <f>_xlfn.XLOOKUP($E15,Tab_Def_Flows[Flow_Name],Tab_Def_Flows[Flow_ID],,0,1)</f>
        <v>F__</v>
      </c>
      <c r="I15" s="8"/>
      <c r="J15" s="20" t="str">
        <f t="shared" si="2"/>
        <v>TC_material_F__</v>
      </c>
      <c r="K15" s="154"/>
      <c r="L15" s="20" t="str">
        <f t="shared" si="3"/>
        <v>TC_WC_F__</v>
      </c>
      <c r="M15" s="154"/>
      <c r="N15" s="20" t="str">
        <f t="shared" si="4"/>
        <v>TC_DM_F__</v>
      </c>
      <c r="O15" s="154"/>
      <c r="P15" s="20" t="str">
        <f t="shared" si="5"/>
        <v>TC_CC_F__</v>
      </c>
      <c r="Q15" s="8"/>
      <c r="R15" s="7" t="e">
        <f>_xlfn.XLOOKUP($D15,#REF!,#REF!,,0,)</f>
        <v>#REF!</v>
      </c>
      <c r="S15" s="20" t="str">
        <f>Tab_Process_TCs2527[[#This Row],[Flow_ID]]</f>
        <v>F__</v>
      </c>
      <c r="T15" s="20" t="e">
        <f t="shared" si="1"/>
        <v>#REF!</v>
      </c>
      <c r="U15" s="27"/>
      <c r="V15" s="30" t="e">
        <f>Tab_Process_TCs2527[[#This Row],[TC O_6_'[%']]]+#REF!+#REF!+#REF!+#REF!+#REF!</f>
        <v>#REF!</v>
      </c>
      <c r="W15" s="8"/>
      <c r="X15" s="8"/>
      <c r="Y15" s="8"/>
      <c r="Z15" s="8"/>
      <c r="AA15" s="8"/>
    </row>
    <row r="16" spans="1:27" x14ac:dyDescent="0.25">
      <c r="A16" s="156" t="b">
        <v>0</v>
      </c>
      <c r="B16" s="7">
        <f t="shared" si="0"/>
        <v>15</v>
      </c>
      <c r="C16" s="25" t="e">
        <f>_xlfn.XLOOKUP($D16,Tab_Process_TCs[Process_Name],Tab_Process_TCs[Process_ID],,0,)</f>
        <v>#N/A</v>
      </c>
      <c r="D16" s="152" t="s">
        <v>30</v>
      </c>
      <c r="E16" s="152" t="s">
        <v>30</v>
      </c>
      <c r="F16" s="25" t="e">
        <f>_xlfn.XLOOKUP($D16,Tab_Process_TCs[Process_Name],Tab_Process_TCs[TC_Configuration],,0,)</f>
        <v>#N/A</v>
      </c>
      <c r="G16" s="25" t="e">
        <f>_xlfn.XLOOKUP($D16,Tab_Process_TCs[Process_Name],Tab_Process_TCs[Process_Logic],,0,)</f>
        <v>#N/A</v>
      </c>
      <c r="H16" s="7" t="str">
        <f>_xlfn.XLOOKUP($E16,Tab_Def_Flows[Flow_Name],Tab_Def_Flows[Flow_ID],,0,1)</f>
        <v>F__</v>
      </c>
      <c r="I16" s="8"/>
      <c r="J16" s="20" t="str">
        <f t="shared" si="2"/>
        <v>TC_material_F__</v>
      </c>
      <c r="K16" s="154"/>
      <c r="L16" s="20" t="str">
        <f t="shared" si="3"/>
        <v>TC_WC_F__</v>
      </c>
      <c r="M16" s="154"/>
      <c r="N16" s="20" t="str">
        <f t="shared" si="4"/>
        <v>TC_DM_F__</v>
      </c>
      <c r="O16" s="154"/>
      <c r="P16" s="20" t="str">
        <f t="shared" si="5"/>
        <v>TC_CC_F__</v>
      </c>
      <c r="Q16" s="8"/>
      <c r="R16" s="7" t="e">
        <f>_xlfn.XLOOKUP($D16,#REF!,#REF!,,0,)</f>
        <v>#REF!</v>
      </c>
      <c r="S16" s="20" t="str">
        <f>Tab_Process_TCs2527[[#This Row],[Flow_ID]]</f>
        <v>F__</v>
      </c>
      <c r="T16" s="20" t="e">
        <f t="shared" si="1"/>
        <v>#REF!</v>
      </c>
      <c r="U16" s="27"/>
      <c r="V16" s="30" t="e">
        <f>Tab_Process_TCs2527[[#This Row],[TC O_6_'[%']]]+#REF!+#REF!+#REF!+#REF!+#REF!</f>
        <v>#REF!</v>
      </c>
      <c r="W16" s="8"/>
      <c r="X16" s="8"/>
      <c r="Y16" s="8"/>
      <c r="Z16" s="8"/>
      <c r="AA16" s="8"/>
    </row>
    <row r="17" spans="1:27" x14ac:dyDescent="0.25">
      <c r="A17" s="156" t="b">
        <v>0</v>
      </c>
      <c r="B17" s="7">
        <f t="shared" si="0"/>
        <v>16</v>
      </c>
      <c r="C17" s="25" t="e">
        <f>_xlfn.XLOOKUP($D17,Tab_Process_TCs[Process_Name],Tab_Process_TCs[Process_ID],,0,)</f>
        <v>#N/A</v>
      </c>
      <c r="D17" s="152" t="s">
        <v>30</v>
      </c>
      <c r="E17" s="152" t="s">
        <v>30</v>
      </c>
      <c r="F17" s="25" t="e">
        <f>_xlfn.XLOOKUP($D17,Tab_Process_TCs[Process_Name],Tab_Process_TCs[TC_Configuration],,0,)</f>
        <v>#N/A</v>
      </c>
      <c r="G17" s="25" t="e">
        <f>_xlfn.XLOOKUP($D17,Tab_Process_TCs[Process_Name],Tab_Process_TCs[Process_Logic],,0,)</f>
        <v>#N/A</v>
      </c>
      <c r="H17" s="7" t="str">
        <f>_xlfn.XLOOKUP($E17,Tab_Def_Flows[Flow_Name],Tab_Def_Flows[Flow_ID],,0,1)</f>
        <v>F__</v>
      </c>
      <c r="I17" s="8"/>
      <c r="J17" s="20" t="str">
        <f t="shared" si="2"/>
        <v>TC_material_F__</v>
      </c>
      <c r="K17" s="154"/>
      <c r="L17" s="20" t="str">
        <f t="shared" si="3"/>
        <v>TC_WC_F__</v>
      </c>
      <c r="M17" s="154"/>
      <c r="N17" s="20" t="str">
        <f t="shared" si="4"/>
        <v>TC_DM_F__</v>
      </c>
      <c r="O17" s="154"/>
      <c r="P17" s="20" t="str">
        <f t="shared" si="5"/>
        <v>TC_CC_F__</v>
      </c>
      <c r="Q17" s="8"/>
      <c r="R17" s="7" t="e">
        <f>_xlfn.XLOOKUP($D17,#REF!,#REF!,,0,)</f>
        <v>#REF!</v>
      </c>
      <c r="S17" s="20" t="str">
        <f>Tab_Process_TCs2527[[#This Row],[Flow_ID]]</f>
        <v>F__</v>
      </c>
      <c r="T17" s="20" t="e">
        <f t="shared" si="1"/>
        <v>#REF!</v>
      </c>
      <c r="U17" s="27"/>
      <c r="V17" s="30" t="e">
        <f>Tab_Process_TCs2527[[#This Row],[TC O_6_'[%']]]+#REF!+#REF!+#REF!+#REF!+#REF!</f>
        <v>#REF!</v>
      </c>
      <c r="W17" s="8"/>
      <c r="X17" s="8"/>
      <c r="Y17" s="8"/>
      <c r="Z17" s="8"/>
      <c r="AA17" s="8"/>
    </row>
    <row r="18" spans="1:27" ht="16.5" customHeight="1" x14ac:dyDescent="0.25">
      <c r="A18" s="156" t="b">
        <v>0</v>
      </c>
      <c r="B18" s="7">
        <f t="shared" si="0"/>
        <v>17</v>
      </c>
      <c r="C18" s="25" t="e">
        <f>_xlfn.XLOOKUP($D18,Tab_Process_TCs[Process_Name],Tab_Process_TCs[Process_ID],,0,)</f>
        <v>#N/A</v>
      </c>
      <c r="D18" s="152" t="s">
        <v>30</v>
      </c>
      <c r="E18" s="152" t="s">
        <v>30</v>
      </c>
      <c r="F18" s="25" t="e">
        <f>_xlfn.XLOOKUP($D18,Tab_Process_TCs[Process_Name],Tab_Process_TCs[TC_Configuration],,0,)</f>
        <v>#N/A</v>
      </c>
      <c r="G18" s="25" t="e">
        <f>_xlfn.XLOOKUP($D18,Tab_Process_TCs[Process_Name],Tab_Process_TCs[Process_Logic],,0,)</f>
        <v>#N/A</v>
      </c>
      <c r="H18" s="7" t="str">
        <f>_xlfn.XLOOKUP($E18,Tab_Def_Flows[Flow_Name],Tab_Def_Flows[Flow_ID],,0,1)</f>
        <v>F__</v>
      </c>
      <c r="I18" s="8"/>
      <c r="J18" s="20" t="str">
        <f t="shared" si="2"/>
        <v>TC_material_F__</v>
      </c>
      <c r="K18" s="154"/>
      <c r="L18" s="20" t="str">
        <f t="shared" si="3"/>
        <v>TC_WC_F__</v>
      </c>
      <c r="M18" s="154"/>
      <c r="N18" s="20" t="str">
        <f t="shared" si="4"/>
        <v>TC_DM_F__</v>
      </c>
      <c r="O18" s="154"/>
      <c r="P18" s="20" t="str">
        <f t="shared" si="5"/>
        <v>TC_CC_F__</v>
      </c>
      <c r="Q18" s="8"/>
      <c r="R18" s="7" t="e">
        <f>_xlfn.XLOOKUP($D18,#REF!,#REF!,,0,)</f>
        <v>#REF!</v>
      </c>
      <c r="S18" s="20" t="str">
        <f>Tab_Process_TCs2527[[#This Row],[Flow_ID]]</f>
        <v>F__</v>
      </c>
      <c r="T18" s="20" t="e">
        <f t="shared" si="1"/>
        <v>#REF!</v>
      </c>
      <c r="U18" s="27"/>
      <c r="V18" s="30" t="e">
        <f>Tab_Process_TCs2527[[#This Row],[TC O_6_'[%']]]+#REF!+#REF!+#REF!+#REF!+#REF!</f>
        <v>#REF!</v>
      </c>
      <c r="W18" s="8"/>
      <c r="X18" s="8"/>
      <c r="Y18" s="8"/>
      <c r="Z18" s="8"/>
      <c r="AA18" s="8"/>
    </row>
    <row r="19" spans="1:27" ht="16.5" customHeight="1" x14ac:dyDescent="0.25">
      <c r="A19" s="156" t="b">
        <v>0</v>
      </c>
      <c r="B19" s="7">
        <f>ROW()-1</f>
        <v>18</v>
      </c>
      <c r="C19" s="25" t="e">
        <f>_xlfn.XLOOKUP($D19,Tab_Process_TCs[Process_Name],Tab_Process_TCs[Process_ID],,0,)</f>
        <v>#N/A</v>
      </c>
      <c r="D19" s="152" t="s">
        <v>30</v>
      </c>
      <c r="E19" s="152" t="s">
        <v>30</v>
      </c>
      <c r="F19" s="25" t="e">
        <f>_xlfn.XLOOKUP($D19,Tab_Process_TCs[Process_Name],Tab_Process_TCs[TC_Configuration],,0,)</f>
        <v>#N/A</v>
      </c>
      <c r="G19" s="25" t="e">
        <f>_xlfn.XLOOKUP($D19,Tab_Process_TCs[Process_Name],Tab_Process_TCs[Process_Logic],,0,)</f>
        <v>#N/A</v>
      </c>
      <c r="H19" s="7" t="str">
        <f>_xlfn.XLOOKUP($E19,Tab_Def_Flows[Flow_Name],Tab_Def_Flows[Flow_ID],,0,1)</f>
        <v>F__</v>
      </c>
      <c r="I19" s="8"/>
      <c r="J19" s="20" t="str">
        <f>"TC_material"&amp;"_"&amp;RIGHT(H19,5)</f>
        <v>TC_material_F__</v>
      </c>
      <c r="K19" s="154"/>
      <c r="L19" s="20" t="str">
        <f>"TC_WC"&amp;"_"&amp;RIGHT(H19,5)</f>
        <v>TC_WC_F__</v>
      </c>
      <c r="M19" s="154"/>
      <c r="N19" s="20" t="str">
        <f t="shared" si="4"/>
        <v>TC_DM_F__</v>
      </c>
      <c r="O19" s="154"/>
      <c r="P19" s="20" t="str">
        <f t="shared" si="5"/>
        <v>TC_CC_F__</v>
      </c>
      <c r="Q19" s="8"/>
      <c r="R19" s="180" t="e">
        <f>_xlfn.XLOOKUP($D19,#REF!,#REF!,,0,)</f>
        <v>#REF!</v>
      </c>
      <c r="S19" s="20" t="str">
        <f>Tab_Process_TCs2527[[#This Row],[Flow_ID]]</f>
        <v>F__</v>
      </c>
      <c r="T19" s="181" t="e">
        <f>"TC"&amp;"_"&amp;RIGHT(R19,5)</f>
        <v>#REF!</v>
      </c>
      <c r="U19" s="27"/>
      <c r="V19" s="30" t="e">
        <f>Tab_Process_TCs2527[[#This Row],[TC O_6_'[%']]]+#REF!+#REF!+#REF!+#REF!+#REF!</f>
        <v>#REF!</v>
      </c>
      <c r="W19" s="8"/>
      <c r="X19" s="8"/>
      <c r="Y19" s="8"/>
      <c r="Z19" s="8"/>
      <c r="AA19" s="8"/>
    </row>
    <row r="20" spans="1:27" ht="16.5" customHeight="1" x14ac:dyDescent="0.25">
      <c r="A20" s="156" t="b">
        <v>0</v>
      </c>
      <c r="B20" s="7">
        <f>ROW()-1</f>
        <v>19</v>
      </c>
      <c r="C20" s="25" t="e">
        <f>_xlfn.XLOOKUP($D20,Tab_Process_TCs[Process_Name],Tab_Process_TCs[Process_ID],,0,)</f>
        <v>#N/A</v>
      </c>
      <c r="D20" s="152" t="s">
        <v>30</v>
      </c>
      <c r="E20" s="152" t="s">
        <v>30</v>
      </c>
      <c r="F20" s="25" t="e">
        <f>_xlfn.XLOOKUP($D20,Tab_Process_TCs[Process_Name],Tab_Process_TCs[TC_Configuration],,0,)</f>
        <v>#N/A</v>
      </c>
      <c r="G20" s="25" t="e">
        <f>_xlfn.XLOOKUP($D20,Tab_Process_TCs[Process_Name],Tab_Process_TCs[Process_Logic],,0,)</f>
        <v>#N/A</v>
      </c>
      <c r="H20" s="7" t="str">
        <f>_xlfn.XLOOKUP($E20,Tab_Def_Flows[Flow_Name],Tab_Def_Flows[Flow_ID],,0,1)</f>
        <v>F__</v>
      </c>
      <c r="I20" s="8"/>
      <c r="J20" s="20" t="str">
        <f>"TC_material"&amp;"_"&amp;RIGHT(H20,5)</f>
        <v>TC_material_F__</v>
      </c>
      <c r="K20" s="154"/>
      <c r="L20" s="20" t="str">
        <f>"TC_WC"&amp;"_"&amp;RIGHT(H20,5)</f>
        <v>TC_WC_F__</v>
      </c>
      <c r="M20" s="154"/>
      <c r="N20" s="20" t="str">
        <f t="shared" si="4"/>
        <v>TC_DM_F__</v>
      </c>
      <c r="O20" s="154"/>
      <c r="P20" s="20" t="str">
        <f t="shared" si="5"/>
        <v>TC_CC_F__</v>
      </c>
      <c r="Q20" s="8"/>
      <c r="R20" s="180" t="e">
        <f>_xlfn.XLOOKUP($D20,#REF!,#REF!,,0,)</f>
        <v>#REF!</v>
      </c>
      <c r="S20" s="20" t="str">
        <f>Tab_Process_TCs2527[[#This Row],[Flow_ID]]</f>
        <v>F__</v>
      </c>
      <c r="T20" s="181" t="e">
        <f>"TC"&amp;"_"&amp;RIGHT(R20,5)</f>
        <v>#REF!</v>
      </c>
      <c r="U20" s="27"/>
      <c r="V20" s="30" t="e">
        <f>Tab_Process_TCs2527[[#This Row],[TC O_6_'[%']]]+#REF!+#REF!+#REF!+#REF!+#REF!</f>
        <v>#REF!</v>
      </c>
      <c r="W20" s="8"/>
      <c r="X20" s="8"/>
      <c r="Y20" s="8"/>
      <c r="Z20" s="8"/>
      <c r="AA20" s="8"/>
    </row>
    <row r="21" spans="1:27" x14ac:dyDescent="0.25">
      <c r="A21" s="156" t="b">
        <v>0</v>
      </c>
      <c r="B21" s="7">
        <f t="shared" si="0"/>
        <v>20</v>
      </c>
      <c r="C21" s="25" t="e">
        <f>_xlfn.XLOOKUP($D21,Tab_Process_TCs[Process_Name],Tab_Process_TCs[Process_ID],,0,)</f>
        <v>#N/A</v>
      </c>
      <c r="D21" s="152" t="s">
        <v>30</v>
      </c>
      <c r="E21" s="152" t="s">
        <v>30</v>
      </c>
      <c r="F21" s="25" t="e">
        <f>_xlfn.XLOOKUP($D21,Tab_Process_TCs[Process_Name],Tab_Process_TCs[TC_Configuration],,0,)</f>
        <v>#N/A</v>
      </c>
      <c r="G21" s="25" t="e">
        <f>_xlfn.XLOOKUP($D21,Tab_Process_TCs[Process_Name],Tab_Process_TCs[Process_Logic],,0,)</f>
        <v>#N/A</v>
      </c>
      <c r="H21" s="7" t="str">
        <f>_xlfn.XLOOKUP($E21,Tab_Def_Flows[Flow_Name],Tab_Def_Flows[Flow_ID],,0,1)</f>
        <v>F__</v>
      </c>
      <c r="I21" s="8"/>
      <c r="J21" s="20" t="str">
        <f t="shared" si="2"/>
        <v>TC_material_F__</v>
      </c>
      <c r="K21" s="154"/>
      <c r="L21" s="20" t="str">
        <f t="shared" si="3"/>
        <v>TC_WC_F__</v>
      </c>
      <c r="M21" s="154"/>
      <c r="N21" s="20" t="str">
        <f t="shared" si="4"/>
        <v>TC_DM_F__</v>
      </c>
      <c r="O21" s="154"/>
      <c r="P21" s="20" t="str">
        <f t="shared" si="5"/>
        <v>TC_CC_F__</v>
      </c>
      <c r="Q21" s="8"/>
      <c r="R21" s="7" t="e">
        <f>_xlfn.XLOOKUP($D21,#REF!,#REF!,,0,)</f>
        <v>#REF!</v>
      </c>
      <c r="S21" s="20" t="str">
        <f>Tab_Process_TCs2527[[#This Row],[Flow_ID]]</f>
        <v>F__</v>
      </c>
      <c r="T21" s="20" t="e">
        <f t="shared" si="1"/>
        <v>#REF!</v>
      </c>
      <c r="U21" s="27"/>
      <c r="V21" s="30" t="e">
        <f>Tab_Process_TCs2527[[#This Row],[TC O_6_'[%']]]+#REF!+#REF!+#REF!+#REF!+#REF!</f>
        <v>#REF!</v>
      </c>
      <c r="W21" s="8"/>
      <c r="X21" s="8"/>
      <c r="Y21" s="8"/>
      <c r="Z21" s="8"/>
      <c r="AA21" s="8"/>
    </row>
    <row r="22" spans="1:27" x14ac:dyDescent="0.25">
      <c r="A22" s="156" t="b">
        <v>0</v>
      </c>
      <c r="B22" s="7">
        <f t="shared" si="0"/>
        <v>21</v>
      </c>
      <c r="C22" s="25" t="e">
        <f>_xlfn.XLOOKUP($D22,Tab_Process_TCs[Process_Name],Tab_Process_TCs[Process_ID],,0,)</f>
        <v>#N/A</v>
      </c>
      <c r="D22" s="152" t="s">
        <v>30</v>
      </c>
      <c r="E22" s="152" t="s">
        <v>30</v>
      </c>
      <c r="F22" s="25" t="e">
        <f>_xlfn.XLOOKUP($D22,Tab_Process_TCs[Process_Name],Tab_Process_TCs[TC_Configuration],,0,)</f>
        <v>#N/A</v>
      </c>
      <c r="G22" s="25" t="e">
        <f>_xlfn.XLOOKUP($D22,Tab_Process_TCs[Process_Name],Tab_Process_TCs[Process_Logic],,0,)</f>
        <v>#N/A</v>
      </c>
      <c r="H22" s="7" t="str">
        <f>_xlfn.XLOOKUP($E22,Tab_Def_Flows[Flow_Name],Tab_Def_Flows[Flow_ID],,0,1)</f>
        <v>F__</v>
      </c>
      <c r="I22" s="8"/>
      <c r="J22" s="20" t="str">
        <f t="shared" si="2"/>
        <v>TC_material_F__</v>
      </c>
      <c r="K22" s="154"/>
      <c r="L22" s="20" t="str">
        <f t="shared" si="3"/>
        <v>TC_WC_F__</v>
      </c>
      <c r="M22" s="154"/>
      <c r="N22" s="20" t="str">
        <f t="shared" si="4"/>
        <v>TC_DM_F__</v>
      </c>
      <c r="O22" s="154"/>
      <c r="P22" s="20" t="str">
        <f t="shared" si="5"/>
        <v>TC_CC_F__</v>
      </c>
      <c r="Q22" s="8"/>
      <c r="R22" s="7" t="e">
        <f>_xlfn.XLOOKUP($D22,#REF!,#REF!,,0,)</f>
        <v>#REF!</v>
      </c>
      <c r="S22" s="20" t="str">
        <f>Tab_Process_TCs2527[[#This Row],[Flow_ID]]</f>
        <v>F__</v>
      </c>
      <c r="T22" s="20" t="e">
        <f t="shared" si="1"/>
        <v>#REF!</v>
      </c>
      <c r="U22" s="27"/>
      <c r="V22" s="30" t="e">
        <f>Tab_Process_TCs2527[[#This Row],[TC O_6_'[%']]]+#REF!+#REF!+#REF!+#REF!+#REF!</f>
        <v>#REF!</v>
      </c>
      <c r="W22" s="8"/>
      <c r="X22" s="8"/>
      <c r="Y22" s="8"/>
      <c r="Z22" s="8"/>
      <c r="AA22" s="8"/>
    </row>
    <row r="23" spans="1:27" x14ac:dyDescent="0.25">
      <c r="A23" s="156" t="b">
        <v>0</v>
      </c>
      <c r="B23" s="7">
        <f t="shared" si="0"/>
        <v>22</v>
      </c>
      <c r="C23" s="25" t="e">
        <f>_xlfn.XLOOKUP($D23,Tab_Process_TCs[Process_Name],Tab_Process_TCs[Process_ID],,0,)</f>
        <v>#N/A</v>
      </c>
      <c r="D23" s="152" t="s">
        <v>30</v>
      </c>
      <c r="E23" s="152" t="s">
        <v>30</v>
      </c>
      <c r="F23" s="25" t="e">
        <f>_xlfn.XLOOKUP($D23,Tab_Process_TCs[Process_Name],Tab_Process_TCs[TC_Configuration],,0,)</f>
        <v>#N/A</v>
      </c>
      <c r="G23" s="25" t="e">
        <f>_xlfn.XLOOKUP($D23,Tab_Process_TCs[Process_Name],Tab_Process_TCs[Process_Logic],,0,)</f>
        <v>#N/A</v>
      </c>
      <c r="H23" s="7" t="str">
        <f>_xlfn.XLOOKUP($E23,Tab_Def_Flows[Flow_Name],Tab_Def_Flows[Flow_ID],,0,1)</f>
        <v>F__</v>
      </c>
      <c r="I23" s="8"/>
      <c r="J23" s="20" t="str">
        <f t="shared" si="2"/>
        <v>TC_material_F__</v>
      </c>
      <c r="K23" s="154"/>
      <c r="L23" s="20" t="str">
        <f t="shared" si="3"/>
        <v>TC_WC_F__</v>
      </c>
      <c r="M23" s="154"/>
      <c r="N23" s="20" t="str">
        <f t="shared" si="4"/>
        <v>TC_DM_F__</v>
      </c>
      <c r="O23" s="154"/>
      <c r="P23" s="20" t="str">
        <f t="shared" si="5"/>
        <v>TC_CC_F__</v>
      </c>
      <c r="Q23" s="8"/>
      <c r="R23" s="7" t="e">
        <f>_xlfn.XLOOKUP($D23,#REF!,#REF!,,0,)</f>
        <v>#REF!</v>
      </c>
      <c r="S23" s="20" t="str">
        <f>Tab_Process_TCs2527[[#This Row],[Flow_ID]]</f>
        <v>F__</v>
      </c>
      <c r="T23" s="20" t="e">
        <f t="shared" si="1"/>
        <v>#REF!</v>
      </c>
      <c r="U23" s="27"/>
      <c r="V23" s="30" t="e">
        <f>Tab_Process_TCs2527[[#This Row],[TC O_6_'[%']]]+#REF!+#REF!+#REF!+#REF!+#REF!</f>
        <v>#REF!</v>
      </c>
      <c r="W23" s="8"/>
      <c r="X23" s="8"/>
      <c r="Y23" s="8"/>
      <c r="Z23" s="8"/>
      <c r="AA23" s="8"/>
    </row>
    <row r="24" spans="1:27" x14ac:dyDescent="0.25">
      <c r="A24" s="156" t="b">
        <v>0</v>
      </c>
      <c r="B24" s="7">
        <f t="shared" si="0"/>
        <v>23</v>
      </c>
      <c r="C24" s="25" t="e">
        <f>_xlfn.XLOOKUP($D24,Tab_Process_TCs[Process_Name],Tab_Process_TCs[Process_ID],,0,)</f>
        <v>#N/A</v>
      </c>
      <c r="D24" s="152" t="s">
        <v>30</v>
      </c>
      <c r="E24" s="152" t="s">
        <v>30</v>
      </c>
      <c r="F24" s="25" t="e">
        <f>_xlfn.XLOOKUP($D24,Tab_Process_TCs[Process_Name],Tab_Process_TCs[TC_Configuration],,0,)</f>
        <v>#N/A</v>
      </c>
      <c r="G24" s="25" t="e">
        <f>_xlfn.XLOOKUP($D24,Tab_Process_TCs[Process_Name],Tab_Process_TCs[Process_Logic],,0,)</f>
        <v>#N/A</v>
      </c>
      <c r="H24" s="7" t="str">
        <f>_xlfn.XLOOKUP($E24,Tab_Def_Flows[Flow_Name],Tab_Def_Flows[Flow_ID],,0,1)</f>
        <v>F__</v>
      </c>
      <c r="I24" s="8"/>
      <c r="J24" s="20" t="str">
        <f t="shared" si="2"/>
        <v>TC_material_F__</v>
      </c>
      <c r="K24" s="154"/>
      <c r="L24" s="20" t="str">
        <f t="shared" si="3"/>
        <v>TC_WC_F__</v>
      </c>
      <c r="M24" s="154"/>
      <c r="N24" s="20" t="str">
        <f t="shared" si="4"/>
        <v>TC_DM_F__</v>
      </c>
      <c r="O24" s="154"/>
      <c r="P24" s="20" t="str">
        <f t="shared" si="5"/>
        <v>TC_CC_F__</v>
      </c>
      <c r="Q24" s="8"/>
      <c r="R24" s="7" t="e">
        <f>_xlfn.XLOOKUP($D24,#REF!,#REF!,,0,)</f>
        <v>#REF!</v>
      </c>
      <c r="S24" s="20" t="str">
        <f>Tab_Process_TCs2527[[#This Row],[Flow_ID]]</f>
        <v>F__</v>
      </c>
      <c r="T24" s="20" t="e">
        <f t="shared" si="1"/>
        <v>#REF!</v>
      </c>
      <c r="U24" s="27"/>
      <c r="V24" s="30" t="e">
        <f>Tab_Process_TCs2527[[#This Row],[TC O_6_'[%']]]+#REF!+#REF!+#REF!+#REF!+#REF!</f>
        <v>#REF!</v>
      </c>
      <c r="W24" s="8"/>
      <c r="X24" s="8"/>
      <c r="Y24" s="8"/>
      <c r="Z24" s="8"/>
      <c r="AA24" s="8"/>
    </row>
    <row r="25" spans="1:27" x14ac:dyDescent="0.25">
      <c r="A25" s="156" t="b">
        <v>0</v>
      </c>
      <c r="B25" s="7">
        <f t="shared" si="0"/>
        <v>24</v>
      </c>
      <c r="C25" s="25" t="e">
        <f>_xlfn.XLOOKUP($D25,Tab_Process_TCs[Process_Name],Tab_Process_TCs[Process_ID],,0,)</f>
        <v>#N/A</v>
      </c>
      <c r="D25" s="152" t="s">
        <v>30</v>
      </c>
      <c r="E25" s="152" t="s">
        <v>30</v>
      </c>
      <c r="F25" s="25" t="e">
        <f>_xlfn.XLOOKUP($D25,Tab_Process_TCs[Process_Name],Tab_Process_TCs[TC_Configuration],,0,)</f>
        <v>#N/A</v>
      </c>
      <c r="G25" s="25" t="e">
        <f>_xlfn.XLOOKUP($D25,Tab_Process_TCs[Process_Name],Tab_Process_TCs[Process_Logic],,0,)</f>
        <v>#N/A</v>
      </c>
      <c r="H25" s="7" t="str">
        <f>_xlfn.XLOOKUP($E25,Tab_Def_Flows[Flow_Name],Tab_Def_Flows[Flow_ID],,0,1)</f>
        <v>F__</v>
      </c>
      <c r="I25" s="8"/>
      <c r="J25" s="20" t="str">
        <f t="shared" si="2"/>
        <v>TC_material_F__</v>
      </c>
      <c r="K25" s="154"/>
      <c r="L25" s="20" t="str">
        <f t="shared" si="3"/>
        <v>TC_WC_F__</v>
      </c>
      <c r="M25" s="154"/>
      <c r="N25" s="20" t="str">
        <f t="shared" si="4"/>
        <v>TC_DM_F__</v>
      </c>
      <c r="O25" s="154"/>
      <c r="P25" s="20" t="str">
        <f t="shared" si="5"/>
        <v>TC_CC_F__</v>
      </c>
      <c r="Q25" s="8"/>
      <c r="R25" s="7" t="e">
        <f>_xlfn.XLOOKUP($D25,#REF!,#REF!,,0,)</f>
        <v>#REF!</v>
      </c>
      <c r="S25" s="20" t="str">
        <f>Tab_Process_TCs2527[[#This Row],[Flow_ID]]</f>
        <v>F__</v>
      </c>
      <c r="T25" s="20" t="e">
        <f t="shared" si="1"/>
        <v>#REF!</v>
      </c>
      <c r="U25" s="27"/>
      <c r="V25" s="30" t="e">
        <f>Tab_Process_TCs2527[[#This Row],[TC O_6_'[%']]]+#REF!+#REF!+#REF!+#REF!+#REF!</f>
        <v>#REF!</v>
      </c>
      <c r="W25" s="8"/>
      <c r="X25" s="8"/>
      <c r="Y25" s="8"/>
      <c r="Z25" s="8"/>
      <c r="AA25" s="8"/>
    </row>
    <row r="26" spans="1:27" x14ac:dyDescent="0.25">
      <c r="A26" s="156" t="b">
        <v>0</v>
      </c>
      <c r="B26" s="7">
        <f t="shared" si="0"/>
        <v>25</v>
      </c>
      <c r="C26" s="25" t="e">
        <f>_xlfn.XLOOKUP($D26,Tab_Process_TCs[Process_Name],Tab_Process_TCs[Process_ID],,0,)</f>
        <v>#N/A</v>
      </c>
      <c r="D26" s="152" t="s">
        <v>30</v>
      </c>
      <c r="E26" s="152" t="s">
        <v>30</v>
      </c>
      <c r="F26" s="25" t="e">
        <f>_xlfn.XLOOKUP($D26,Tab_Process_TCs[Process_Name],Tab_Process_TCs[TC_Configuration],,0,)</f>
        <v>#N/A</v>
      </c>
      <c r="G26" s="25" t="e">
        <f>_xlfn.XLOOKUP($D26,Tab_Process_TCs[Process_Name],Tab_Process_TCs[Process_Logic],,0,)</f>
        <v>#N/A</v>
      </c>
      <c r="H26" s="7" t="str">
        <f>_xlfn.XLOOKUP($E26,Tab_Def_Flows[Flow_Name],Tab_Def_Flows[Flow_ID],,0,1)</f>
        <v>F__</v>
      </c>
      <c r="I26" s="8"/>
      <c r="J26" s="20" t="str">
        <f t="shared" si="2"/>
        <v>TC_material_F__</v>
      </c>
      <c r="K26" s="154"/>
      <c r="L26" s="20" t="str">
        <f t="shared" si="3"/>
        <v>TC_WC_F__</v>
      </c>
      <c r="M26" s="154"/>
      <c r="N26" s="20" t="str">
        <f t="shared" si="4"/>
        <v>TC_DM_F__</v>
      </c>
      <c r="O26" s="154"/>
      <c r="P26" s="20" t="str">
        <f t="shared" si="5"/>
        <v>TC_CC_F__</v>
      </c>
      <c r="Q26" s="8"/>
      <c r="R26" s="7" t="e">
        <f>_xlfn.XLOOKUP($D26,#REF!,#REF!,,0,)</f>
        <v>#REF!</v>
      </c>
      <c r="S26" s="20" t="str">
        <f>Tab_Process_TCs2527[[#This Row],[Flow_ID]]</f>
        <v>F__</v>
      </c>
      <c r="T26" s="20" t="e">
        <f t="shared" si="1"/>
        <v>#REF!</v>
      </c>
      <c r="U26" s="27"/>
      <c r="V26" s="30" t="e">
        <f>Tab_Process_TCs2527[[#This Row],[TC O_6_'[%']]]+#REF!+#REF!+#REF!+#REF!+#REF!</f>
        <v>#REF!</v>
      </c>
      <c r="W26" s="8"/>
      <c r="X26" s="8"/>
      <c r="Y26" s="8"/>
      <c r="Z26" s="8"/>
      <c r="AA26" s="8"/>
    </row>
    <row r="27" spans="1:27" x14ac:dyDescent="0.25">
      <c r="A27" s="156" t="b">
        <v>0</v>
      </c>
      <c r="B27" s="7">
        <f t="shared" si="0"/>
        <v>26</v>
      </c>
      <c r="C27" s="25" t="e">
        <f>_xlfn.XLOOKUP($D27,Tab_Process_TCs[Process_Name],Tab_Process_TCs[Process_ID],,0,)</f>
        <v>#N/A</v>
      </c>
      <c r="D27" s="152" t="s">
        <v>30</v>
      </c>
      <c r="E27" s="152" t="s">
        <v>30</v>
      </c>
      <c r="F27" s="25" t="e">
        <f>_xlfn.XLOOKUP($D27,Tab_Process_TCs[Process_Name],Tab_Process_TCs[TC_Configuration],,0,)</f>
        <v>#N/A</v>
      </c>
      <c r="G27" s="25" t="e">
        <f>_xlfn.XLOOKUP($D27,Tab_Process_TCs[Process_Name],Tab_Process_TCs[Process_Logic],,0,)</f>
        <v>#N/A</v>
      </c>
      <c r="H27" s="7" t="str">
        <f>_xlfn.XLOOKUP($E27,Tab_Def_Flows[Flow_Name],Tab_Def_Flows[Flow_ID],,0,1)</f>
        <v>F__</v>
      </c>
      <c r="I27" s="8"/>
      <c r="J27" s="20" t="str">
        <f t="shared" si="2"/>
        <v>TC_material_F__</v>
      </c>
      <c r="K27" s="154"/>
      <c r="L27" s="20" t="str">
        <f t="shared" si="3"/>
        <v>TC_WC_F__</v>
      </c>
      <c r="M27" s="154"/>
      <c r="N27" s="20" t="str">
        <f t="shared" si="4"/>
        <v>TC_DM_F__</v>
      </c>
      <c r="O27" s="154"/>
      <c r="P27" s="20" t="str">
        <f t="shared" si="5"/>
        <v>TC_CC_F__</v>
      </c>
      <c r="Q27" s="8"/>
      <c r="R27" s="7" t="e">
        <f>_xlfn.XLOOKUP($D27,#REF!,#REF!,,0,)</f>
        <v>#REF!</v>
      </c>
      <c r="S27" s="20" t="str">
        <f>Tab_Process_TCs2527[[#This Row],[Flow_ID]]</f>
        <v>F__</v>
      </c>
      <c r="T27" s="20" t="e">
        <f t="shared" si="1"/>
        <v>#REF!</v>
      </c>
      <c r="U27" s="27"/>
      <c r="V27" s="30" t="e">
        <f>Tab_Process_TCs2527[[#This Row],[TC O_6_'[%']]]+#REF!+#REF!+#REF!+#REF!+#REF!</f>
        <v>#REF!</v>
      </c>
      <c r="W27" s="8"/>
      <c r="X27" s="8"/>
      <c r="Y27" s="8"/>
      <c r="Z27" s="8"/>
      <c r="AA27" s="8"/>
    </row>
    <row r="28" spans="1:27" x14ac:dyDescent="0.25">
      <c r="A28" s="156" t="b">
        <v>0</v>
      </c>
      <c r="B28" s="7">
        <f t="shared" si="0"/>
        <v>27</v>
      </c>
      <c r="C28" s="25" t="e">
        <f>_xlfn.XLOOKUP($D28,Tab_Process_TCs[Process_Name],Tab_Process_TCs[Process_ID],,0,)</f>
        <v>#N/A</v>
      </c>
      <c r="D28" s="152" t="s">
        <v>30</v>
      </c>
      <c r="E28" s="152" t="s">
        <v>30</v>
      </c>
      <c r="F28" s="25" t="e">
        <f>_xlfn.XLOOKUP($D28,Tab_Process_TCs[Process_Name],Tab_Process_TCs[TC_Configuration],,0,)</f>
        <v>#N/A</v>
      </c>
      <c r="G28" s="25" t="e">
        <f>_xlfn.XLOOKUP($D28,Tab_Process_TCs[Process_Name],Tab_Process_TCs[Process_Logic],,0,)</f>
        <v>#N/A</v>
      </c>
      <c r="H28" s="7" t="str">
        <f>_xlfn.XLOOKUP($E28,Tab_Def_Flows[Flow_Name],Tab_Def_Flows[Flow_ID],,0,1)</f>
        <v>F__</v>
      </c>
      <c r="I28" s="8"/>
      <c r="J28" s="20" t="str">
        <f t="shared" si="2"/>
        <v>TC_material_F__</v>
      </c>
      <c r="K28" s="154"/>
      <c r="L28" s="20" t="str">
        <f t="shared" si="3"/>
        <v>TC_WC_F__</v>
      </c>
      <c r="M28" s="154"/>
      <c r="N28" s="20" t="str">
        <f t="shared" si="4"/>
        <v>TC_DM_F__</v>
      </c>
      <c r="O28" s="154"/>
      <c r="P28" s="20" t="str">
        <f t="shared" si="5"/>
        <v>TC_CC_F__</v>
      </c>
      <c r="Q28" s="8"/>
      <c r="R28" s="7" t="e">
        <f>_xlfn.XLOOKUP($D28,#REF!,#REF!,,0,)</f>
        <v>#REF!</v>
      </c>
      <c r="S28" s="20" t="str">
        <f>Tab_Process_TCs2527[[#This Row],[Flow_ID]]</f>
        <v>F__</v>
      </c>
      <c r="T28" s="20" t="e">
        <f t="shared" si="1"/>
        <v>#REF!</v>
      </c>
      <c r="U28" s="27"/>
      <c r="V28" s="30" t="e">
        <f>Tab_Process_TCs2527[[#This Row],[TC O_6_'[%']]]+#REF!+#REF!+#REF!+#REF!+#REF!</f>
        <v>#REF!</v>
      </c>
      <c r="W28" s="8"/>
      <c r="X28" s="8"/>
      <c r="Y28" s="8"/>
      <c r="Z28" s="8"/>
      <c r="AA28" s="8"/>
    </row>
    <row r="29" spans="1:27" x14ac:dyDescent="0.25">
      <c r="A29" s="156" t="b">
        <v>0</v>
      </c>
      <c r="B29" s="7">
        <f t="shared" si="0"/>
        <v>28</v>
      </c>
      <c r="C29" s="25" t="e">
        <f>_xlfn.XLOOKUP($D29,Tab_Process_TCs[Process_Name],Tab_Process_TCs[Process_ID],,0,)</f>
        <v>#N/A</v>
      </c>
      <c r="D29" s="152" t="s">
        <v>30</v>
      </c>
      <c r="E29" s="152" t="s">
        <v>30</v>
      </c>
      <c r="F29" s="25" t="e">
        <f>_xlfn.XLOOKUP($D29,Tab_Process_TCs[Process_Name],Tab_Process_TCs[TC_Configuration],,0,)</f>
        <v>#N/A</v>
      </c>
      <c r="G29" s="25" t="e">
        <f>_xlfn.XLOOKUP($D29,Tab_Process_TCs[Process_Name],Tab_Process_TCs[Process_Logic],,0,)</f>
        <v>#N/A</v>
      </c>
      <c r="H29" s="7" t="str">
        <f>_xlfn.XLOOKUP($E29,Tab_Def_Flows[Flow_Name],Tab_Def_Flows[Flow_ID],,0,1)</f>
        <v>F__</v>
      </c>
      <c r="I29" s="8"/>
      <c r="J29" s="20" t="str">
        <f t="shared" si="2"/>
        <v>TC_material_F__</v>
      </c>
      <c r="K29" s="154"/>
      <c r="L29" s="20" t="str">
        <f t="shared" si="3"/>
        <v>TC_WC_F__</v>
      </c>
      <c r="M29" s="154"/>
      <c r="N29" s="20" t="str">
        <f t="shared" si="4"/>
        <v>TC_DM_F__</v>
      </c>
      <c r="O29" s="154"/>
      <c r="P29" s="20" t="str">
        <f t="shared" si="5"/>
        <v>TC_CC_F__</v>
      </c>
      <c r="Q29" s="8"/>
      <c r="R29" s="7" t="e">
        <f>_xlfn.XLOOKUP($D29,#REF!,#REF!,,0,)</f>
        <v>#REF!</v>
      </c>
      <c r="S29" s="20" t="str">
        <f>Tab_Process_TCs2527[[#This Row],[Flow_ID]]</f>
        <v>F__</v>
      </c>
      <c r="T29" s="20" t="e">
        <f t="shared" si="1"/>
        <v>#REF!</v>
      </c>
      <c r="U29" s="27"/>
      <c r="V29" s="30" t="e">
        <f>Tab_Process_TCs2527[[#This Row],[TC O_6_'[%']]]+#REF!+#REF!+#REF!+#REF!+#REF!</f>
        <v>#REF!</v>
      </c>
      <c r="W29" s="8"/>
      <c r="X29" s="8"/>
      <c r="Y29" s="8"/>
      <c r="Z29" s="8"/>
      <c r="AA29" s="8"/>
    </row>
    <row r="30" spans="1:27" x14ac:dyDescent="0.25">
      <c r="A30" s="156" t="b">
        <v>0</v>
      </c>
      <c r="B30" s="7">
        <f t="shared" si="0"/>
        <v>29</v>
      </c>
      <c r="C30" s="25" t="e">
        <f>_xlfn.XLOOKUP($D30,Tab_Process_TCs[Process_Name],Tab_Process_TCs[Process_ID],,0,)</f>
        <v>#N/A</v>
      </c>
      <c r="D30" s="152" t="s">
        <v>30</v>
      </c>
      <c r="E30" s="152" t="s">
        <v>30</v>
      </c>
      <c r="F30" s="25" t="e">
        <f>_xlfn.XLOOKUP($D30,Tab_Process_TCs[Process_Name],Tab_Process_TCs[TC_Configuration],,0,)</f>
        <v>#N/A</v>
      </c>
      <c r="G30" s="25" t="e">
        <f>_xlfn.XLOOKUP($D30,Tab_Process_TCs[Process_Name],Tab_Process_TCs[Process_Logic],,0,)</f>
        <v>#N/A</v>
      </c>
      <c r="H30" s="7" t="str">
        <f>_xlfn.XLOOKUP($E30,Tab_Def_Flows[Flow_Name],Tab_Def_Flows[Flow_ID],,0,1)</f>
        <v>F__</v>
      </c>
      <c r="I30" s="8"/>
      <c r="J30" s="20" t="str">
        <f t="shared" si="2"/>
        <v>TC_material_F__</v>
      </c>
      <c r="K30" s="154"/>
      <c r="L30" s="20" t="str">
        <f t="shared" si="3"/>
        <v>TC_WC_F__</v>
      </c>
      <c r="M30" s="154"/>
      <c r="N30" s="20" t="str">
        <f t="shared" si="4"/>
        <v>TC_DM_F__</v>
      </c>
      <c r="O30" s="154"/>
      <c r="P30" s="20" t="str">
        <f t="shared" si="5"/>
        <v>TC_CC_F__</v>
      </c>
      <c r="Q30" s="8"/>
      <c r="R30" s="7" t="e">
        <f>_xlfn.XLOOKUP($D30,#REF!,#REF!,,0,)</f>
        <v>#REF!</v>
      </c>
      <c r="S30" s="20" t="str">
        <f>Tab_Process_TCs2527[[#This Row],[Flow_ID]]</f>
        <v>F__</v>
      </c>
      <c r="T30" s="20" t="e">
        <f t="shared" si="1"/>
        <v>#REF!</v>
      </c>
      <c r="U30" s="27"/>
      <c r="V30" s="30" t="e">
        <f>Tab_Process_TCs2527[[#This Row],[TC O_6_'[%']]]+#REF!+#REF!+#REF!+#REF!+#REF!</f>
        <v>#REF!</v>
      </c>
      <c r="W30" s="8"/>
      <c r="X30" s="8"/>
      <c r="Y30" s="8"/>
      <c r="Z30" s="8"/>
      <c r="AA30" s="8"/>
    </row>
    <row r="31" spans="1:27" x14ac:dyDescent="0.25">
      <c r="A31" s="156" t="b">
        <v>0</v>
      </c>
      <c r="B31" s="7">
        <f t="shared" si="0"/>
        <v>30</v>
      </c>
      <c r="C31" s="25" t="e">
        <f>_xlfn.XLOOKUP($D31,Tab_Process_TCs[Process_Name],Tab_Process_TCs[Process_ID],,0,)</f>
        <v>#N/A</v>
      </c>
      <c r="D31" s="152" t="s">
        <v>30</v>
      </c>
      <c r="E31" s="152" t="s">
        <v>30</v>
      </c>
      <c r="F31" s="25" t="e">
        <f>_xlfn.XLOOKUP($D31,Tab_Process_TCs[Process_Name],Tab_Process_TCs[TC_Configuration],,0,)</f>
        <v>#N/A</v>
      </c>
      <c r="G31" s="25" t="e">
        <f>_xlfn.XLOOKUP($D31,Tab_Process_TCs[Process_Name],Tab_Process_TCs[Process_Logic],,0,)</f>
        <v>#N/A</v>
      </c>
      <c r="H31" s="7" t="str">
        <f>_xlfn.XLOOKUP($E31,Tab_Def_Flows[Flow_Name],Tab_Def_Flows[Flow_ID],,0,1)</f>
        <v>F__</v>
      </c>
      <c r="I31" s="8"/>
      <c r="J31" s="20" t="str">
        <f t="shared" si="2"/>
        <v>TC_material_F__</v>
      </c>
      <c r="K31" s="154"/>
      <c r="L31" s="20" t="str">
        <f t="shared" si="3"/>
        <v>TC_WC_F__</v>
      </c>
      <c r="M31" s="154"/>
      <c r="N31" s="20" t="str">
        <f t="shared" si="4"/>
        <v>TC_DM_F__</v>
      </c>
      <c r="O31" s="154"/>
      <c r="P31" s="20" t="str">
        <f t="shared" si="5"/>
        <v>TC_CC_F__</v>
      </c>
      <c r="Q31" s="8"/>
      <c r="R31" s="7" t="e">
        <f>_xlfn.XLOOKUP($D31,#REF!,#REF!,,0,)</f>
        <v>#REF!</v>
      </c>
      <c r="S31" s="20" t="str">
        <f>Tab_Process_TCs2527[[#This Row],[Flow_ID]]</f>
        <v>F__</v>
      </c>
      <c r="T31" s="20" t="e">
        <f t="shared" si="1"/>
        <v>#REF!</v>
      </c>
      <c r="U31" s="27"/>
      <c r="V31" s="30" t="e">
        <f>Tab_Process_TCs2527[[#This Row],[TC O_6_'[%']]]+#REF!+#REF!+#REF!+#REF!+#REF!</f>
        <v>#REF!</v>
      </c>
      <c r="W31" s="8"/>
      <c r="X31" s="8"/>
      <c r="Y31" s="8"/>
      <c r="Z31" s="8"/>
      <c r="AA31" s="8"/>
    </row>
    <row r="32" spans="1:27" x14ac:dyDescent="0.25">
      <c r="A32" s="156" t="b">
        <v>0</v>
      </c>
      <c r="B32" s="7">
        <f t="shared" ref="B32:B63" si="6">ROW()-1</f>
        <v>31</v>
      </c>
      <c r="C32" s="25" t="e">
        <f>_xlfn.XLOOKUP($D32,Tab_Process_TCs[Process_Name],Tab_Process_TCs[Process_ID],,0,)</f>
        <v>#N/A</v>
      </c>
      <c r="D32" s="152" t="s">
        <v>30</v>
      </c>
      <c r="E32" s="152" t="s">
        <v>30</v>
      </c>
      <c r="F32" s="25" t="e">
        <f>_xlfn.XLOOKUP($D32,Tab_Process_TCs[Process_Name],Tab_Process_TCs[TC_Configuration],,0,)</f>
        <v>#N/A</v>
      </c>
      <c r="G32" s="25" t="e">
        <f>_xlfn.XLOOKUP($D32,Tab_Process_TCs[Process_Name],Tab_Process_TCs[Process_Logic],,0,)</f>
        <v>#N/A</v>
      </c>
      <c r="H32" s="7" t="str">
        <f>_xlfn.XLOOKUP($E32,Tab_Def_Flows[Flow_Name],Tab_Def_Flows[Flow_ID],,0,1)</f>
        <v>F__</v>
      </c>
      <c r="I32" s="8"/>
      <c r="J32" s="20" t="str">
        <f t="shared" si="2"/>
        <v>TC_material_F__</v>
      </c>
      <c r="K32" s="154"/>
      <c r="L32" s="20" t="str">
        <f t="shared" si="3"/>
        <v>TC_WC_F__</v>
      </c>
      <c r="M32" s="154"/>
      <c r="N32" s="20" t="str">
        <f t="shared" si="4"/>
        <v>TC_DM_F__</v>
      </c>
      <c r="O32" s="154"/>
      <c r="P32" s="20" t="str">
        <f t="shared" si="5"/>
        <v>TC_CC_F__</v>
      </c>
      <c r="Q32" s="8"/>
      <c r="R32" s="7" t="e">
        <f>_xlfn.XLOOKUP($D32,#REF!,#REF!,,0,)</f>
        <v>#REF!</v>
      </c>
      <c r="S32" s="20" t="str">
        <f>Tab_Process_TCs2527[[#This Row],[Flow_ID]]</f>
        <v>F__</v>
      </c>
      <c r="T32" s="20" t="e">
        <f t="shared" ref="T32:T63" si="7">"TC"&amp;"_"&amp;RIGHT(R32,5)</f>
        <v>#REF!</v>
      </c>
      <c r="U32" s="27"/>
      <c r="V32" s="30" t="e">
        <f>Tab_Process_TCs2527[[#This Row],[TC O_6_'[%']]]+#REF!+#REF!+#REF!+#REF!+#REF!</f>
        <v>#REF!</v>
      </c>
      <c r="W32" s="8"/>
      <c r="X32" s="8"/>
      <c r="Y32" s="8"/>
      <c r="Z32" s="8"/>
      <c r="AA32" s="8"/>
    </row>
    <row r="33" spans="1:27" x14ac:dyDescent="0.25">
      <c r="A33" s="156" t="b">
        <v>0</v>
      </c>
      <c r="B33" s="7">
        <f t="shared" si="6"/>
        <v>32</v>
      </c>
      <c r="C33" s="25" t="e">
        <f>_xlfn.XLOOKUP($D33,Tab_Process_TCs[Process_Name],Tab_Process_TCs[Process_ID],,0,)</f>
        <v>#N/A</v>
      </c>
      <c r="D33" s="152" t="s">
        <v>30</v>
      </c>
      <c r="E33" s="152" t="s">
        <v>30</v>
      </c>
      <c r="F33" s="25" t="e">
        <f>_xlfn.XLOOKUP($D33,Tab_Process_TCs[Process_Name],Tab_Process_TCs[TC_Configuration],,0,)</f>
        <v>#N/A</v>
      </c>
      <c r="G33" s="25" t="e">
        <f>_xlfn.XLOOKUP($D33,Tab_Process_TCs[Process_Name],Tab_Process_TCs[Process_Logic],,0,)</f>
        <v>#N/A</v>
      </c>
      <c r="H33" s="7" t="str">
        <f>_xlfn.XLOOKUP($E33,Tab_Def_Flows[Flow_Name],Tab_Def_Flows[Flow_ID],,0,1)</f>
        <v>F__</v>
      </c>
      <c r="I33" s="8"/>
      <c r="J33" s="20" t="str">
        <f t="shared" si="2"/>
        <v>TC_material_F__</v>
      </c>
      <c r="K33" s="154"/>
      <c r="L33" s="20" t="str">
        <f t="shared" si="3"/>
        <v>TC_WC_F__</v>
      </c>
      <c r="M33" s="154"/>
      <c r="N33" s="20" t="str">
        <f t="shared" si="4"/>
        <v>TC_DM_F__</v>
      </c>
      <c r="O33" s="154"/>
      <c r="P33" s="20" t="str">
        <f t="shared" si="5"/>
        <v>TC_CC_F__</v>
      </c>
      <c r="Q33" s="8"/>
      <c r="R33" s="7" t="e">
        <f>_xlfn.XLOOKUP($D33,#REF!,#REF!,,0,)</f>
        <v>#REF!</v>
      </c>
      <c r="S33" s="20" t="str">
        <f>Tab_Process_TCs2527[[#This Row],[Flow_ID]]</f>
        <v>F__</v>
      </c>
      <c r="T33" s="20" t="e">
        <f t="shared" si="7"/>
        <v>#REF!</v>
      </c>
      <c r="U33" s="27"/>
      <c r="V33" s="30" t="e">
        <f>Tab_Process_TCs2527[[#This Row],[TC O_6_'[%']]]+#REF!+#REF!+#REF!+#REF!+#REF!</f>
        <v>#REF!</v>
      </c>
      <c r="W33" s="8"/>
      <c r="X33" s="8"/>
      <c r="Y33" s="8"/>
      <c r="Z33" s="8"/>
      <c r="AA33" s="8"/>
    </row>
    <row r="34" spans="1:27" x14ac:dyDescent="0.25">
      <c r="A34" s="156" t="b">
        <v>0</v>
      </c>
      <c r="B34" s="7">
        <f t="shared" si="6"/>
        <v>33</v>
      </c>
      <c r="C34" s="25" t="e">
        <f>_xlfn.XLOOKUP($D34,Tab_Process_TCs[Process_Name],Tab_Process_TCs[Process_ID],,0,)</f>
        <v>#N/A</v>
      </c>
      <c r="D34" s="152" t="s">
        <v>30</v>
      </c>
      <c r="E34" s="152" t="s">
        <v>30</v>
      </c>
      <c r="F34" s="25" t="e">
        <f>_xlfn.XLOOKUP($D34,Tab_Process_TCs[Process_Name],Tab_Process_TCs[TC_Configuration],,0,)</f>
        <v>#N/A</v>
      </c>
      <c r="G34" s="25" t="e">
        <f>_xlfn.XLOOKUP($D34,Tab_Process_TCs[Process_Name],Tab_Process_TCs[Process_Logic],,0,)</f>
        <v>#N/A</v>
      </c>
      <c r="H34" s="7" t="str">
        <f>_xlfn.XLOOKUP($E34,Tab_Def_Flows[Flow_Name],Tab_Def_Flows[Flow_ID],,0,1)</f>
        <v>F__</v>
      </c>
      <c r="I34" s="8"/>
      <c r="J34" s="20" t="str">
        <f t="shared" si="2"/>
        <v>TC_material_F__</v>
      </c>
      <c r="K34" s="154"/>
      <c r="L34" s="20" t="str">
        <f t="shared" si="3"/>
        <v>TC_WC_F__</v>
      </c>
      <c r="M34" s="154"/>
      <c r="N34" s="20" t="str">
        <f t="shared" si="4"/>
        <v>TC_DM_F__</v>
      </c>
      <c r="O34" s="154"/>
      <c r="P34" s="20" t="str">
        <f t="shared" si="5"/>
        <v>TC_CC_F__</v>
      </c>
      <c r="Q34" s="8"/>
      <c r="R34" s="7" t="e">
        <f>_xlfn.XLOOKUP($D34,#REF!,#REF!,,0,)</f>
        <v>#REF!</v>
      </c>
      <c r="S34" s="20" t="str">
        <f>Tab_Process_TCs2527[[#This Row],[Flow_ID]]</f>
        <v>F__</v>
      </c>
      <c r="T34" s="20" t="e">
        <f t="shared" si="7"/>
        <v>#REF!</v>
      </c>
      <c r="U34" s="27"/>
      <c r="V34" s="30" t="e">
        <f>Tab_Process_TCs2527[[#This Row],[TC O_6_'[%']]]+#REF!+#REF!+#REF!+#REF!+#REF!</f>
        <v>#REF!</v>
      </c>
      <c r="W34" s="8"/>
      <c r="X34" s="8"/>
      <c r="Y34" s="8"/>
      <c r="Z34" s="8"/>
      <c r="AA34" s="8"/>
    </row>
    <row r="35" spans="1:27" x14ac:dyDescent="0.25">
      <c r="A35" s="156" t="b">
        <v>0</v>
      </c>
      <c r="B35" s="7">
        <f t="shared" si="6"/>
        <v>34</v>
      </c>
      <c r="C35" s="25" t="e">
        <f>_xlfn.XLOOKUP($D35,Tab_Process_TCs[Process_Name],Tab_Process_TCs[Process_ID],,0,)</f>
        <v>#N/A</v>
      </c>
      <c r="D35" s="152" t="s">
        <v>30</v>
      </c>
      <c r="E35" s="152" t="s">
        <v>30</v>
      </c>
      <c r="F35" s="25" t="e">
        <f>_xlfn.XLOOKUP($D35,Tab_Process_TCs[Process_Name],Tab_Process_TCs[TC_Configuration],,0,)</f>
        <v>#N/A</v>
      </c>
      <c r="G35" s="25" t="e">
        <f>_xlfn.XLOOKUP($D35,Tab_Process_TCs[Process_Name],Tab_Process_TCs[Process_Logic],,0,)</f>
        <v>#N/A</v>
      </c>
      <c r="H35" s="7" t="str">
        <f>_xlfn.XLOOKUP($E35,Tab_Def_Flows[Flow_Name],Tab_Def_Flows[Flow_ID],,0,1)</f>
        <v>F__</v>
      </c>
      <c r="I35" s="8"/>
      <c r="J35" s="20" t="str">
        <f t="shared" si="2"/>
        <v>TC_material_F__</v>
      </c>
      <c r="K35" s="154"/>
      <c r="L35" s="20" t="str">
        <f t="shared" si="3"/>
        <v>TC_WC_F__</v>
      </c>
      <c r="M35" s="154"/>
      <c r="N35" s="20" t="str">
        <f t="shared" si="4"/>
        <v>TC_DM_F__</v>
      </c>
      <c r="O35" s="154"/>
      <c r="P35" s="20" t="str">
        <f t="shared" si="5"/>
        <v>TC_CC_F__</v>
      </c>
      <c r="Q35" s="8"/>
      <c r="R35" s="7" t="e">
        <f>_xlfn.XLOOKUP($D35,#REF!,#REF!,,0,)</f>
        <v>#REF!</v>
      </c>
      <c r="S35" s="20" t="str">
        <f>Tab_Process_TCs2527[[#This Row],[Flow_ID]]</f>
        <v>F__</v>
      </c>
      <c r="T35" s="20" t="e">
        <f t="shared" si="7"/>
        <v>#REF!</v>
      </c>
      <c r="U35" s="27"/>
      <c r="V35" s="30" t="e">
        <f>Tab_Process_TCs2527[[#This Row],[TC O_6_'[%']]]+#REF!+#REF!+#REF!+#REF!+#REF!</f>
        <v>#REF!</v>
      </c>
      <c r="W35" s="8"/>
      <c r="X35" s="8"/>
      <c r="Y35" s="8"/>
      <c r="Z35" s="8"/>
      <c r="AA35" s="8"/>
    </row>
    <row r="36" spans="1:27" x14ac:dyDescent="0.25">
      <c r="A36" s="156" t="b">
        <v>0</v>
      </c>
      <c r="B36" s="7">
        <f t="shared" si="6"/>
        <v>35</v>
      </c>
      <c r="C36" s="25" t="e">
        <f>_xlfn.XLOOKUP($D36,Tab_Process_TCs[Process_Name],Tab_Process_TCs[Process_ID],,0,)</f>
        <v>#N/A</v>
      </c>
      <c r="D36" s="152" t="s">
        <v>30</v>
      </c>
      <c r="E36" s="152" t="s">
        <v>30</v>
      </c>
      <c r="F36" s="25" t="e">
        <f>_xlfn.XLOOKUP($D36,Tab_Process_TCs[Process_Name],Tab_Process_TCs[TC_Configuration],,0,)</f>
        <v>#N/A</v>
      </c>
      <c r="G36" s="25" t="e">
        <f>_xlfn.XLOOKUP($D36,Tab_Process_TCs[Process_Name],Tab_Process_TCs[Process_Logic],,0,)</f>
        <v>#N/A</v>
      </c>
      <c r="H36" s="7" t="str">
        <f>_xlfn.XLOOKUP($E36,Tab_Def_Flows[Flow_Name],Tab_Def_Flows[Flow_ID],,0,1)</f>
        <v>F__</v>
      </c>
      <c r="I36" s="8"/>
      <c r="J36" s="20" t="str">
        <f t="shared" si="2"/>
        <v>TC_material_F__</v>
      </c>
      <c r="K36" s="154"/>
      <c r="L36" s="20" t="str">
        <f t="shared" si="3"/>
        <v>TC_WC_F__</v>
      </c>
      <c r="M36" s="154"/>
      <c r="N36" s="20" t="str">
        <f t="shared" si="4"/>
        <v>TC_DM_F__</v>
      </c>
      <c r="O36" s="154"/>
      <c r="P36" s="20" t="str">
        <f t="shared" si="5"/>
        <v>TC_CC_F__</v>
      </c>
      <c r="Q36" s="8"/>
      <c r="R36" s="7" t="e">
        <f>_xlfn.XLOOKUP($D36,#REF!,#REF!,,0,)</f>
        <v>#REF!</v>
      </c>
      <c r="S36" s="20" t="str">
        <f>Tab_Process_TCs2527[[#This Row],[Flow_ID]]</f>
        <v>F__</v>
      </c>
      <c r="T36" s="20" t="e">
        <f t="shared" si="7"/>
        <v>#REF!</v>
      </c>
      <c r="U36" s="27"/>
      <c r="V36" s="30" t="e">
        <f>Tab_Process_TCs2527[[#This Row],[TC O_6_'[%']]]+#REF!+#REF!+#REF!+#REF!+#REF!</f>
        <v>#REF!</v>
      </c>
      <c r="W36" s="8"/>
      <c r="X36" s="8"/>
      <c r="Y36" s="8"/>
      <c r="Z36" s="8"/>
      <c r="AA36" s="8"/>
    </row>
    <row r="37" spans="1:27" x14ac:dyDescent="0.25">
      <c r="A37" s="156" t="b">
        <v>0</v>
      </c>
      <c r="B37" s="7">
        <f t="shared" si="6"/>
        <v>36</v>
      </c>
      <c r="C37" s="25" t="e">
        <f>_xlfn.XLOOKUP($D37,Tab_Process_TCs[Process_Name],Tab_Process_TCs[Process_ID],,0,)</f>
        <v>#N/A</v>
      </c>
      <c r="D37" s="152" t="s">
        <v>30</v>
      </c>
      <c r="E37" s="152" t="s">
        <v>30</v>
      </c>
      <c r="F37" s="25" t="e">
        <f>_xlfn.XLOOKUP($D37,Tab_Process_TCs[Process_Name],Tab_Process_TCs[TC_Configuration],,0,)</f>
        <v>#N/A</v>
      </c>
      <c r="G37" s="25" t="e">
        <f>_xlfn.XLOOKUP($D37,Tab_Process_TCs[Process_Name],Tab_Process_TCs[Process_Logic],,0,)</f>
        <v>#N/A</v>
      </c>
      <c r="H37" s="7" t="str">
        <f>_xlfn.XLOOKUP($E37,Tab_Def_Flows[Flow_Name],Tab_Def_Flows[Flow_ID],,0,1)</f>
        <v>F__</v>
      </c>
      <c r="I37" s="8"/>
      <c r="J37" s="20" t="str">
        <f t="shared" si="2"/>
        <v>TC_material_F__</v>
      </c>
      <c r="K37" s="154"/>
      <c r="L37" s="20" t="str">
        <f t="shared" si="3"/>
        <v>TC_WC_F__</v>
      </c>
      <c r="M37" s="154"/>
      <c r="N37" s="20" t="str">
        <f t="shared" si="4"/>
        <v>TC_DM_F__</v>
      </c>
      <c r="O37" s="154"/>
      <c r="P37" s="20" t="str">
        <f t="shared" si="5"/>
        <v>TC_CC_F__</v>
      </c>
      <c r="Q37" s="8"/>
      <c r="R37" s="7" t="e">
        <f>_xlfn.XLOOKUP($D37,#REF!,#REF!,,0,)</f>
        <v>#REF!</v>
      </c>
      <c r="S37" s="20" t="str">
        <f>Tab_Process_TCs2527[[#This Row],[Flow_ID]]</f>
        <v>F__</v>
      </c>
      <c r="T37" s="20" t="e">
        <f t="shared" si="7"/>
        <v>#REF!</v>
      </c>
      <c r="U37" s="27"/>
      <c r="V37" s="30" t="e">
        <f>Tab_Process_TCs2527[[#This Row],[TC O_6_'[%']]]+#REF!+#REF!+#REF!+#REF!+#REF!</f>
        <v>#REF!</v>
      </c>
      <c r="W37" s="8"/>
      <c r="X37" s="8"/>
      <c r="Y37" s="8"/>
      <c r="Z37" s="8"/>
      <c r="AA37" s="8"/>
    </row>
    <row r="38" spans="1:27" x14ac:dyDescent="0.25">
      <c r="A38" s="156" t="b">
        <v>0</v>
      </c>
      <c r="B38" s="7">
        <f t="shared" si="6"/>
        <v>37</v>
      </c>
      <c r="C38" s="25" t="e">
        <f>_xlfn.XLOOKUP($D38,Tab_Process_TCs[Process_Name],Tab_Process_TCs[Process_ID],,0,)</f>
        <v>#N/A</v>
      </c>
      <c r="D38" s="152" t="s">
        <v>30</v>
      </c>
      <c r="E38" s="152" t="s">
        <v>30</v>
      </c>
      <c r="F38" s="25" t="e">
        <f>_xlfn.XLOOKUP($D38,Tab_Process_TCs[Process_Name],Tab_Process_TCs[TC_Configuration],,0,)</f>
        <v>#N/A</v>
      </c>
      <c r="G38" s="25" t="e">
        <f>_xlfn.XLOOKUP($D38,Tab_Process_TCs[Process_Name],Tab_Process_TCs[Process_Logic],,0,)</f>
        <v>#N/A</v>
      </c>
      <c r="H38" s="7" t="str">
        <f>_xlfn.XLOOKUP($E38,Tab_Def_Flows[Flow_Name],Tab_Def_Flows[Flow_ID],,0,1)</f>
        <v>F__</v>
      </c>
      <c r="I38" s="8"/>
      <c r="J38" s="20" t="str">
        <f t="shared" si="2"/>
        <v>TC_material_F__</v>
      </c>
      <c r="K38" s="154"/>
      <c r="L38" s="20" t="str">
        <f t="shared" si="3"/>
        <v>TC_WC_F__</v>
      </c>
      <c r="M38" s="154"/>
      <c r="N38" s="20" t="str">
        <f t="shared" si="4"/>
        <v>TC_DM_F__</v>
      </c>
      <c r="O38" s="154"/>
      <c r="P38" s="20" t="str">
        <f t="shared" si="5"/>
        <v>TC_CC_F__</v>
      </c>
      <c r="Q38" s="8"/>
      <c r="R38" s="7" t="e">
        <f>_xlfn.XLOOKUP($D38,#REF!,#REF!,,0,)</f>
        <v>#REF!</v>
      </c>
      <c r="S38" s="20" t="str">
        <f>Tab_Process_TCs2527[[#This Row],[Flow_ID]]</f>
        <v>F__</v>
      </c>
      <c r="T38" s="20" t="e">
        <f t="shared" si="7"/>
        <v>#REF!</v>
      </c>
      <c r="U38" s="27"/>
      <c r="V38" s="30" t="e">
        <f>Tab_Process_TCs2527[[#This Row],[TC O_6_'[%']]]+#REF!+#REF!+#REF!+#REF!+#REF!</f>
        <v>#REF!</v>
      </c>
      <c r="W38" s="8"/>
      <c r="X38" s="8"/>
      <c r="Y38" s="8"/>
      <c r="Z38" s="8"/>
      <c r="AA38" s="8"/>
    </row>
    <row r="39" spans="1:27" x14ac:dyDescent="0.25">
      <c r="A39" s="156" t="b">
        <v>0</v>
      </c>
      <c r="B39" s="7">
        <f t="shared" si="6"/>
        <v>38</v>
      </c>
      <c r="C39" s="25" t="e">
        <f>_xlfn.XLOOKUP($D39,Tab_Process_TCs[Process_Name],Tab_Process_TCs[Process_ID],,0,)</f>
        <v>#N/A</v>
      </c>
      <c r="D39" s="152" t="s">
        <v>30</v>
      </c>
      <c r="E39" s="152" t="s">
        <v>30</v>
      </c>
      <c r="F39" s="25" t="e">
        <f>_xlfn.XLOOKUP($D39,Tab_Process_TCs[Process_Name],Tab_Process_TCs[TC_Configuration],,0,)</f>
        <v>#N/A</v>
      </c>
      <c r="G39" s="25" t="e">
        <f>_xlfn.XLOOKUP($D39,Tab_Process_TCs[Process_Name],Tab_Process_TCs[Process_Logic],,0,)</f>
        <v>#N/A</v>
      </c>
      <c r="H39" s="7" t="str">
        <f>_xlfn.XLOOKUP($E39,Tab_Def_Flows[Flow_Name],Tab_Def_Flows[Flow_ID],,0,1)</f>
        <v>F__</v>
      </c>
      <c r="I39" s="8"/>
      <c r="J39" s="20" t="str">
        <f t="shared" si="2"/>
        <v>TC_material_F__</v>
      </c>
      <c r="K39" s="154"/>
      <c r="L39" s="20" t="str">
        <f t="shared" si="3"/>
        <v>TC_WC_F__</v>
      </c>
      <c r="M39" s="154"/>
      <c r="N39" s="20" t="str">
        <f t="shared" si="4"/>
        <v>TC_DM_F__</v>
      </c>
      <c r="O39" s="154"/>
      <c r="P39" s="20" t="str">
        <f t="shared" si="5"/>
        <v>TC_CC_F__</v>
      </c>
      <c r="Q39" s="8"/>
      <c r="R39" s="7" t="e">
        <f>_xlfn.XLOOKUP($D39,#REF!,#REF!,,0,)</f>
        <v>#REF!</v>
      </c>
      <c r="S39" s="20" t="str">
        <f>Tab_Process_TCs2527[[#This Row],[Flow_ID]]</f>
        <v>F__</v>
      </c>
      <c r="T39" s="20" t="e">
        <f t="shared" si="7"/>
        <v>#REF!</v>
      </c>
      <c r="U39" s="27"/>
      <c r="V39" s="30" t="e">
        <f>Tab_Process_TCs2527[[#This Row],[TC O_6_'[%']]]+#REF!+#REF!+#REF!+#REF!+#REF!</f>
        <v>#REF!</v>
      </c>
      <c r="W39" s="8"/>
      <c r="X39" s="8"/>
      <c r="Y39" s="8"/>
      <c r="Z39" s="8"/>
      <c r="AA39" s="8"/>
    </row>
    <row r="40" spans="1:27" x14ac:dyDescent="0.25">
      <c r="A40" s="156" t="b">
        <v>0</v>
      </c>
      <c r="B40" s="7">
        <f t="shared" si="6"/>
        <v>39</v>
      </c>
      <c r="C40" s="25" t="e">
        <f>_xlfn.XLOOKUP($D40,Tab_Process_TCs[Process_Name],Tab_Process_TCs[Process_ID],,0,)</f>
        <v>#N/A</v>
      </c>
      <c r="D40" s="152" t="s">
        <v>30</v>
      </c>
      <c r="E40" s="152" t="s">
        <v>30</v>
      </c>
      <c r="F40" s="25" t="e">
        <f>_xlfn.XLOOKUP($D40,Tab_Process_TCs[Process_Name],Tab_Process_TCs[TC_Configuration],,0,)</f>
        <v>#N/A</v>
      </c>
      <c r="G40" s="25" t="e">
        <f>_xlfn.XLOOKUP($D40,Tab_Process_TCs[Process_Name],Tab_Process_TCs[Process_Logic],,0,)</f>
        <v>#N/A</v>
      </c>
      <c r="H40" s="7" t="str">
        <f>_xlfn.XLOOKUP($E40,Tab_Def_Flows[Flow_Name],Tab_Def_Flows[Flow_ID],,0,1)</f>
        <v>F__</v>
      </c>
      <c r="I40" s="8"/>
      <c r="J40" s="20" t="str">
        <f t="shared" si="2"/>
        <v>TC_material_F__</v>
      </c>
      <c r="K40" s="154"/>
      <c r="L40" s="20" t="str">
        <f t="shared" si="3"/>
        <v>TC_WC_F__</v>
      </c>
      <c r="M40" s="154"/>
      <c r="N40" s="20" t="str">
        <f t="shared" si="4"/>
        <v>TC_DM_F__</v>
      </c>
      <c r="O40" s="154"/>
      <c r="P40" s="20" t="str">
        <f t="shared" si="5"/>
        <v>TC_CC_F__</v>
      </c>
      <c r="Q40" s="8"/>
      <c r="R40" s="7" t="e">
        <f>_xlfn.XLOOKUP($D40,#REF!,#REF!,,0,)</f>
        <v>#REF!</v>
      </c>
      <c r="S40" s="20" t="str">
        <f>Tab_Process_TCs2527[[#This Row],[Flow_ID]]</f>
        <v>F__</v>
      </c>
      <c r="T40" s="20" t="e">
        <f t="shared" si="7"/>
        <v>#REF!</v>
      </c>
      <c r="U40" s="27"/>
      <c r="V40" s="30" t="e">
        <f>Tab_Process_TCs2527[[#This Row],[TC O_6_'[%']]]+#REF!+#REF!+#REF!+#REF!+#REF!</f>
        <v>#REF!</v>
      </c>
      <c r="W40" s="8"/>
      <c r="X40" s="8"/>
      <c r="Y40" s="8"/>
      <c r="Z40" s="8"/>
      <c r="AA40" s="8"/>
    </row>
    <row r="41" spans="1:27" x14ac:dyDescent="0.25">
      <c r="A41" s="156" t="b">
        <v>0</v>
      </c>
      <c r="B41" s="7">
        <f t="shared" si="6"/>
        <v>40</v>
      </c>
      <c r="C41" s="25" t="e">
        <f>_xlfn.XLOOKUP($D41,Tab_Process_TCs[Process_Name],Tab_Process_TCs[Process_ID],,0,)</f>
        <v>#N/A</v>
      </c>
      <c r="D41" s="152" t="s">
        <v>30</v>
      </c>
      <c r="E41" s="152" t="s">
        <v>30</v>
      </c>
      <c r="F41" s="25" t="e">
        <f>_xlfn.XLOOKUP($D41,Tab_Process_TCs[Process_Name],Tab_Process_TCs[TC_Configuration],,0,)</f>
        <v>#N/A</v>
      </c>
      <c r="G41" s="25" t="e">
        <f>_xlfn.XLOOKUP($D41,Tab_Process_TCs[Process_Name],Tab_Process_TCs[Process_Logic],,0,)</f>
        <v>#N/A</v>
      </c>
      <c r="H41" s="7" t="str">
        <f>_xlfn.XLOOKUP($E41,Tab_Def_Flows[Flow_Name],Tab_Def_Flows[Flow_ID],,0,1)</f>
        <v>F__</v>
      </c>
      <c r="I41" s="8"/>
      <c r="J41" s="20" t="str">
        <f t="shared" si="2"/>
        <v>TC_material_F__</v>
      </c>
      <c r="K41" s="154"/>
      <c r="L41" s="20" t="str">
        <f t="shared" si="3"/>
        <v>TC_WC_F__</v>
      </c>
      <c r="M41" s="154"/>
      <c r="N41" s="20" t="str">
        <f t="shared" si="4"/>
        <v>TC_DM_F__</v>
      </c>
      <c r="O41" s="154"/>
      <c r="P41" s="20" t="str">
        <f t="shared" si="5"/>
        <v>TC_CC_F__</v>
      </c>
      <c r="Q41" s="8"/>
      <c r="R41" s="7" t="e">
        <f>_xlfn.XLOOKUP($D41,#REF!,#REF!,,0,)</f>
        <v>#REF!</v>
      </c>
      <c r="S41" s="20" t="str">
        <f>Tab_Process_TCs2527[[#This Row],[Flow_ID]]</f>
        <v>F__</v>
      </c>
      <c r="T41" s="20" t="e">
        <f t="shared" si="7"/>
        <v>#REF!</v>
      </c>
      <c r="U41" s="27"/>
      <c r="V41" s="30" t="e">
        <f>Tab_Process_TCs2527[[#This Row],[TC O_6_'[%']]]+#REF!+#REF!+#REF!+#REF!+#REF!</f>
        <v>#REF!</v>
      </c>
      <c r="W41" s="8"/>
      <c r="X41" s="8"/>
      <c r="Y41" s="8"/>
      <c r="Z41" s="8"/>
      <c r="AA41" s="8"/>
    </row>
    <row r="42" spans="1:27" x14ac:dyDescent="0.25">
      <c r="A42" s="156" t="b">
        <v>0</v>
      </c>
      <c r="B42" s="7">
        <f t="shared" si="6"/>
        <v>41</v>
      </c>
      <c r="C42" s="25" t="e">
        <f>_xlfn.XLOOKUP($D42,Tab_Process_TCs[Process_Name],Tab_Process_TCs[Process_ID],,0,)</f>
        <v>#N/A</v>
      </c>
      <c r="D42" s="152" t="s">
        <v>30</v>
      </c>
      <c r="E42" s="152" t="s">
        <v>30</v>
      </c>
      <c r="F42" s="25" t="e">
        <f>_xlfn.XLOOKUP($D42,Tab_Process_TCs[Process_Name],Tab_Process_TCs[TC_Configuration],,0,)</f>
        <v>#N/A</v>
      </c>
      <c r="G42" s="25" t="e">
        <f>_xlfn.XLOOKUP($D42,Tab_Process_TCs[Process_Name],Tab_Process_TCs[Process_Logic],,0,)</f>
        <v>#N/A</v>
      </c>
      <c r="H42" s="7" t="str">
        <f>_xlfn.XLOOKUP($E42,Tab_Def_Flows[Flow_Name],Tab_Def_Flows[Flow_ID],,0,1)</f>
        <v>F__</v>
      </c>
      <c r="I42" s="8"/>
      <c r="J42" s="20" t="str">
        <f t="shared" si="2"/>
        <v>TC_material_F__</v>
      </c>
      <c r="K42" s="154"/>
      <c r="L42" s="20" t="str">
        <f t="shared" si="3"/>
        <v>TC_WC_F__</v>
      </c>
      <c r="M42" s="154"/>
      <c r="N42" s="20" t="str">
        <f t="shared" si="4"/>
        <v>TC_DM_F__</v>
      </c>
      <c r="O42" s="154"/>
      <c r="P42" s="20" t="str">
        <f t="shared" si="5"/>
        <v>TC_CC_F__</v>
      </c>
      <c r="Q42" s="8"/>
      <c r="R42" s="7" t="e">
        <f>_xlfn.XLOOKUP($D42,#REF!,#REF!,,0,)</f>
        <v>#REF!</v>
      </c>
      <c r="S42" s="20" t="str">
        <f>Tab_Process_TCs2527[[#This Row],[Flow_ID]]</f>
        <v>F__</v>
      </c>
      <c r="T42" s="20" t="e">
        <f t="shared" si="7"/>
        <v>#REF!</v>
      </c>
      <c r="U42" s="27"/>
      <c r="V42" s="30" t="e">
        <f>Tab_Process_TCs2527[[#This Row],[TC O_6_'[%']]]+#REF!+#REF!+#REF!+#REF!+#REF!</f>
        <v>#REF!</v>
      </c>
      <c r="W42" s="8"/>
      <c r="X42" s="8"/>
      <c r="Y42" s="8"/>
      <c r="Z42" s="8"/>
      <c r="AA42" s="8"/>
    </row>
    <row r="43" spans="1:27" x14ac:dyDescent="0.25">
      <c r="A43" s="156" t="b">
        <v>0</v>
      </c>
      <c r="B43" s="7">
        <f t="shared" si="6"/>
        <v>42</v>
      </c>
      <c r="C43" s="25" t="e">
        <f>_xlfn.XLOOKUP($D43,Tab_Process_TCs[Process_Name],Tab_Process_TCs[Process_ID],,0,)</f>
        <v>#N/A</v>
      </c>
      <c r="D43" s="152" t="s">
        <v>30</v>
      </c>
      <c r="E43" s="152" t="s">
        <v>30</v>
      </c>
      <c r="F43" s="25" t="e">
        <f>_xlfn.XLOOKUP($D43,Tab_Process_TCs[Process_Name],Tab_Process_TCs[TC_Configuration],,0,)</f>
        <v>#N/A</v>
      </c>
      <c r="G43" s="25" t="e">
        <f>_xlfn.XLOOKUP($D43,Tab_Process_TCs[Process_Name],Tab_Process_TCs[Process_Logic],,0,)</f>
        <v>#N/A</v>
      </c>
      <c r="H43" s="7" t="str">
        <f>_xlfn.XLOOKUP($E43,Tab_Def_Flows[Flow_Name],Tab_Def_Flows[Flow_ID],,0,1)</f>
        <v>F__</v>
      </c>
      <c r="I43" s="8"/>
      <c r="J43" s="20" t="str">
        <f t="shared" si="2"/>
        <v>TC_material_F__</v>
      </c>
      <c r="K43" s="154"/>
      <c r="L43" s="20" t="str">
        <f t="shared" si="3"/>
        <v>TC_WC_F__</v>
      </c>
      <c r="M43" s="154"/>
      <c r="N43" s="20" t="str">
        <f t="shared" si="4"/>
        <v>TC_DM_F__</v>
      </c>
      <c r="O43" s="154"/>
      <c r="P43" s="20" t="str">
        <f t="shared" si="5"/>
        <v>TC_CC_F__</v>
      </c>
      <c r="Q43" s="8"/>
      <c r="R43" s="7" t="e">
        <f>_xlfn.XLOOKUP($D43,#REF!,#REF!,,0,)</f>
        <v>#REF!</v>
      </c>
      <c r="S43" s="20" t="str">
        <f>Tab_Process_TCs2527[[#This Row],[Flow_ID]]</f>
        <v>F__</v>
      </c>
      <c r="T43" s="20" t="e">
        <f t="shared" si="7"/>
        <v>#REF!</v>
      </c>
      <c r="U43" s="27"/>
      <c r="V43" s="30" t="e">
        <f>Tab_Process_TCs2527[[#This Row],[TC O_6_'[%']]]+#REF!+#REF!+#REF!+#REF!+#REF!</f>
        <v>#REF!</v>
      </c>
      <c r="W43" s="8"/>
      <c r="X43" s="8"/>
      <c r="Y43" s="8"/>
      <c r="Z43" s="8"/>
      <c r="AA43" s="8"/>
    </row>
    <row r="44" spans="1:27" x14ac:dyDescent="0.25">
      <c r="A44" s="156" t="b">
        <v>0</v>
      </c>
      <c r="B44" s="7">
        <f t="shared" si="6"/>
        <v>43</v>
      </c>
      <c r="C44" s="25" t="e">
        <f>_xlfn.XLOOKUP($D44,Tab_Process_TCs[Process_Name],Tab_Process_TCs[Process_ID],,0,)</f>
        <v>#N/A</v>
      </c>
      <c r="D44" s="152" t="s">
        <v>30</v>
      </c>
      <c r="E44" s="152" t="s">
        <v>30</v>
      </c>
      <c r="F44" s="25" t="e">
        <f>_xlfn.XLOOKUP($D44,Tab_Process_TCs[Process_Name],Tab_Process_TCs[TC_Configuration],,0,)</f>
        <v>#N/A</v>
      </c>
      <c r="G44" s="25" t="e">
        <f>_xlfn.XLOOKUP($D44,Tab_Process_TCs[Process_Name],Tab_Process_TCs[Process_Logic],,0,)</f>
        <v>#N/A</v>
      </c>
      <c r="H44" s="7" t="str">
        <f>_xlfn.XLOOKUP($E44,Tab_Def_Flows[Flow_Name],Tab_Def_Flows[Flow_ID],,0,1)</f>
        <v>F__</v>
      </c>
      <c r="I44" s="8"/>
      <c r="J44" s="20" t="str">
        <f t="shared" si="2"/>
        <v>TC_material_F__</v>
      </c>
      <c r="K44" s="154"/>
      <c r="L44" s="20" t="str">
        <f t="shared" si="3"/>
        <v>TC_WC_F__</v>
      </c>
      <c r="M44" s="154"/>
      <c r="N44" s="20" t="str">
        <f t="shared" si="4"/>
        <v>TC_DM_F__</v>
      </c>
      <c r="O44" s="154"/>
      <c r="P44" s="20" t="str">
        <f t="shared" si="5"/>
        <v>TC_CC_F__</v>
      </c>
      <c r="Q44" s="8"/>
      <c r="R44" s="7" t="e">
        <f>_xlfn.XLOOKUP($D44,#REF!,#REF!,,0,)</f>
        <v>#REF!</v>
      </c>
      <c r="S44" s="20" t="str">
        <f>Tab_Process_TCs2527[[#This Row],[Flow_ID]]</f>
        <v>F__</v>
      </c>
      <c r="T44" s="20" t="e">
        <f t="shared" si="7"/>
        <v>#REF!</v>
      </c>
      <c r="U44" s="27"/>
      <c r="V44" s="30" t="e">
        <f>Tab_Process_TCs2527[[#This Row],[TC O_6_'[%']]]+#REF!+#REF!+#REF!+#REF!+#REF!</f>
        <v>#REF!</v>
      </c>
      <c r="W44" s="8"/>
      <c r="X44" s="8"/>
      <c r="Y44" s="8"/>
      <c r="Z44" s="8"/>
      <c r="AA44" s="8"/>
    </row>
    <row r="45" spans="1:27" x14ac:dyDescent="0.25">
      <c r="A45" s="156" t="b">
        <v>0</v>
      </c>
      <c r="B45" s="7">
        <f t="shared" si="6"/>
        <v>44</v>
      </c>
      <c r="C45" s="25" t="e">
        <f>_xlfn.XLOOKUP($D45,Tab_Process_TCs[Process_Name],Tab_Process_TCs[Process_ID],,0,)</f>
        <v>#N/A</v>
      </c>
      <c r="D45" s="152" t="s">
        <v>30</v>
      </c>
      <c r="E45" s="152" t="s">
        <v>30</v>
      </c>
      <c r="F45" s="25" t="e">
        <f>_xlfn.XLOOKUP($D45,Tab_Process_TCs[Process_Name],Tab_Process_TCs[TC_Configuration],,0,)</f>
        <v>#N/A</v>
      </c>
      <c r="G45" s="25" t="e">
        <f>_xlfn.XLOOKUP($D45,Tab_Process_TCs[Process_Name],Tab_Process_TCs[Process_Logic],,0,)</f>
        <v>#N/A</v>
      </c>
      <c r="H45" s="7" t="str">
        <f>_xlfn.XLOOKUP($E45,Tab_Def_Flows[Flow_Name],Tab_Def_Flows[Flow_ID],,0,1)</f>
        <v>F__</v>
      </c>
      <c r="I45" s="8"/>
      <c r="J45" s="20" t="str">
        <f t="shared" si="2"/>
        <v>TC_material_F__</v>
      </c>
      <c r="K45" s="154"/>
      <c r="L45" s="20" t="str">
        <f t="shared" si="3"/>
        <v>TC_WC_F__</v>
      </c>
      <c r="M45" s="154"/>
      <c r="N45" s="20" t="str">
        <f t="shared" si="4"/>
        <v>TC_DM_F__</v>
      </c>
      <c r="O45" s="154"/>
      <c r="P45" s="20" t="str">
        <f t="shared" si="5"/>
        <v>TC_CC_F__</v>
      </c>
      <c r="Q45" s="8"/>
      <c r="R45" s="7" t="e">
        <f>_xlfn.XLOOKUP($D45,#REF!,#REF!,,0,)</f>
        <v>#REF!</v>
      </c>
      <c r="S45" s="20" t="str">
        <f>Tab_Process_TCs2527[[#This Row],[Flow_ID]]</f>
        <v>F__</v>
      </c>
      <c r="T45" s="20" t="e">
        <f t="shared" si="7"/>
        <v>#REF!</v>
      </c>
      <c r="U45" s="27"/>
      <c r="V45" s="30" t="e">
        <f>Tab_Process_TCs2527[[#This Row],[TC O_6_'[%']]]+#REF!+#REF!+#REF!+#REF!+#REF!</f>
        <v>#REF!</v>
      </c>
      <c r="W45" s="8"/>
      <c r="X45" s="8"/>
      <c r="Y45" s="8"/>
      <c r="Z45" s="8"/>
      <c r="AA45" s="8"/>
    </row>
    <row r="46" spans="1:27" x14ac:dyDescent="0.25">
      <c r="A46" s="156" t="b">
        <v>0</v>
      </c>
      <c r="B46" s="7">
        <f t="shared" si="6"/>
        <v>45</v>
      </c>
      <c r="C46" s="25" t="e">
        <f>_xlfn.XLOOKUP($D46,Tab_Process_TCs[Process_Name],Tab_Process_TCs[Process_ID],,0,)</f>
        <v>#N/A</v>
      </c>
      <c r="D46" s="152" t="s">
        <v>30</v>
      </c>
      <c r="E46" s="152" t="s">
        <v>30</v>
      </c>
      <c r="F46" s="25" t="e">
        <f>_xlfn.XLOOKUP($D46,Tab_Process_TCs[Process_Name],Tab_Process_TCs[TC_Configuration],,0,)</f>
        <v>#N/A</v>
      </c>
      <c r="G46" s="25" t="e">
        <f>_xlfn.XLOOKUP($D46,Tab_Process_TCs[Process_Name],Tab_Process_TCs[Process_Logic],,0,)</f>
        <v>#N/A</v>
      </c>
      <c r="H46" s="7" t="str">
        <f>_xlfn.XLOOKUP($E46,Tab_Def_Flows[Flow_Name],Tab_Def_Flows[Flow_ID],,0,1)</f>
        <v>F__</v>
      </c>
      <c r="I46" s="8"/>
      <c r="J46" s="20" t="str">
        <f t="shared" si="2"/>
        <v>TC_material_F__</v>
      </c>
      <c r="K46" s="154"/>
      <c r="L46" s="20" t="str">
        <f t="shared" si="3"/>
        <v>TC_WC_F__</v>
      </c>
      <c r="M46" s="154"/>
      <c r="N46" s="20" t="str">
        <f t="shared" si="4"/>
        <v>TC_DM_F__</v>
      </c>
      <c r="O46" s="154"/>
      <c r="P46" s="20" t="str">
        <f t="shared" si="5"/>
        <v>TC_CC_F__</v>
      </c>
      <c r="Q46" s="8"/>
      <c r="R46" s="7" t="e">
        <f>_xlfn.XLOOKUP($D46,#REF!,#REF!,,0,)</f>
        <v>#REF!</v>
      </c>
      <c r="S46" s="20" t="str">
        <f>Tab_Process_TCs2527[[#This Row],[Flow_ID]]</f>
        <v>F__</v>
      </c>
      <c r="T46" s="20" t="e">
        <f t="shared" si="7"/>
        <v>#REF!</v>
      </c>
      <c r="U46" s="27"/>
      <c r="V46" s="30" t="e">
        <f>Tab_Process_TCs2527[[#This Row],[TC O_6_'[%']]]+#REF!+#REF!+#REF!+#REF!+#REF!</f>
        <v>#REF!</v>
      </c>
      <c r="W46" s="8"/>
      <c r="X46" s="8"/>
      <c r="Y46" s="8"/>
      <c r="Z46" s="8"/>
      <c r="AA46" s="8"/>
    </row>
    <row r="47" spans="1:27" x14ac:dyDescent="0.25">
      <c r="A47" s="156" t="b">
        <v>0</v>
      </c>
      <c r="B47" s="7">
        <f t="shared" si="6"/>
        <v>46</v>
      </c>
      <c r="C47" s="25" t="e">
        <f>_xlfn.XLOOKUP($D47,Tab_Process_TCs[Process_Name],Tab_Process_TCs[Process_ID],,0,)</f>
        <v>#N/A</v>
      </c>
      <c r="D47" s="152" t="s">
        <v>30</v>
      </c>
      <c r="E47" s="152" t="s">
        <v>30</v>
      </c>
      <c r="F47" s="25" t="e">
        <f>_xlfn.XLOOKUP($D47,Tab_Process_TCs[Process_Name],Tab_Process_TCs[TC_Configuration],,0,)</f>
        <v>#N/A</v>
      </c>
      <c r="G47" s="25" t="e">
        <f>_xlfn.XLOOKUP($D47,Tab_Process_TCs[Process_Name],Tab_Process_TCs[Process_Logic],,0,)</f>
        <v>#N/A</v>
      </c>
      <c r="H47" s="7" t="str">
        <f>_xlfn.XLOOKUP($E47,Tab_Def_Flows[Flow_Name],Tab_Def_Flows[Flow_ID],,0,1)</f>
        <v>F__</v>
      </c>
      <c r="I47" s="8"/>
      <c r="J47" s="20" t="str">
        <f t="shared" si="2"/>
        <v>TC_material_F__</v>
      </c>
      <c r="K47" s="154"/>
      <c r="L47" s="20" t="str">
        <f t="shared" si="3"/>
        <v>TC_WC_F__</v>
      </c>
      <c r="M47" s="154"/>
      <c r="N47" s="20" t="str">
        <f t="shared" si="4"/>
        <v>TC_DM_F__</v>
      </c>
      <c r="O47" s="154"/>
      <c r="P47" s="20" t="str">
        <f t="shared" si="5"/>
        <v>TC_CC_F__</v>
      </c>
      <c r="Q47" s="8"/>
      <c r="R47" s="7" t="e">
        <f>_xlfn.XLOOKUP($D47,#REF!,#REF!,,0,)</f>
        <v>#REF!</v>
      </c>
      <c r="S47" s="20" t="str">
        <f>Tab_Process_TCs2527[[#This Row],[Flow_ID]]</f>
        <v>F__</v>
      </c>
      <c r="T47" s="20" t="e">
        <f t="shared" si="7"/>
        <v>#REF!</v>
      </c>
      <c r="U47" s="27"/>
      <c r="V47" s="30" t="e">
        <f>Tab_Process_TCs2527[[#This Row],[TC O_6_'[%']]]+#REF!+#REF!+#REF!+#REF!+#REF!</f>
        <v>#REF!</v>
      </c>
      <c r="W47" s="8"/>
      <c r="X47" s="8"/>
      <c r="Y47" s="8"/>
      <c r="Z47" s="8"/>
      <c r="AA47" s="8"/>
    </row>
    <row r="48" spans="1:27" x14ac:dyDescent="0.25">
      <c r="A48" s="156" t="b">
        <v>0</v>
      </c>
      <c r="B48" s="7">
        <f t="shared" si="6"/>
        <v>47</v>
      </c>
      <c r="C48" s="25" t="e">
        <f>_xlfn.XLOOKUP($D48,Tab_Process_TCs[Process_Name],Tab_Process_TCs[Process_ID],,0,)</f>
        <v>#N/A</v>
      </c>
      <c r="D48" s="152" t="s">
        <v>30</v>
      </c>
      <c r="E48" s="152" t="s">
        <v>30</v>
      </c>
      <c r="F48" s="25" t="e">
        <f>_xlfn.XLOOKUP($D48,Tab_Process_TCs[Process_Name],Tab_Process_TCs[TC_Configuration],,0,)</f>
        <v>#N/A</v>
      </c>
      <c r="G48" s="25" t="e">
        <f>_xlfn.XLOOKUP($D48,Tab_Process_TCs[Process_Name],Tab_Process_TCs[Process_Logic],,0,)</f>
        <v>#N/A</v>
      </c>
      <c r="H48" s="7" t="str">
        <f>_xlfn.XLOOKUP($E48,Tab_Def_Flows[Flow_Name],Tab_Def_Flows[Flow_ID],,0,1)</f>
        <v>F__</v>
      </c>
      <c r="I48" s="8"/>
      <c r="J48" s="20" t="str">
        <f t="shared" si="2"/>
        <v>TC_material_F__</v>
      </c>
      <c r="K48" s="154"/>
      <c r="L48" s="20" t="str">
        <f t="shared" si="3"/>
        <v>TC_WC_F__</v>
      </c>
      <c r="M48" s="154"/>
      <c r="N48" s="20" t="str">
        <f t="shared" si="4"/>
        <v>TC_DM_F__</v>
      </c>
      <c r="O48" s="154"/>
      <c r="P48" s="20" t="str">
        <f t="shared" si="5"/>
        <v>TC_CC_F__</v>
      </c>
      <c r="Q48" s="8"/>
      <c r="R48" s="7" t="e">
        <f>_xlfn.XLOOKUP($D48,#REF!,#REF!,,0,)</f>
        <v>#REF!</v>
      </c>
      <c r="S48" s="20" t="str">
        <f>Tab_Process_TCs2527[[#This Row],[Flow_ID]]</f>
        <v>F__</v>
      </c>
      <c r="T48" s="20" t="e">
        <f t="shared" si="7"/>
        <v>#REF!</v>
      </c>
      <c r="U48" s="27"/>
      <c r="V48" s="30" t="e">
        <f>Tab_Process_TCs2527[[#This Row],[TC O_6_'[%']]]+#REF!+#REF!+#REF!+#REF!+#REF!</f>
        <v>#REF!</v>
      </c>
      <c r="W48" s="8"/>
      <c r="X48" s="8"/>
      <c r="Y48" s="8"/>
      <c r="Z48" s="8"/>
      <c r="AA48" s="8"/>
    </row>
    <row r="49" spans="1:27" x14ac:dyDescent="0.25">
      <c r="A49" s="156" t="b">
        <v>0</v>
      </c>
      <c r="B49" s="7">
        <f t="shared" si="6"/>
        <v>48</v>
      </c>
      <c r="C49" s="25" t="e">
        <f>_xlfn.XLOOKUP($D49,Tab_Process_TCs[Process_Name],Tab_Process_TCs[Process_ID],,0,)</f>
        <v>#N/A</v>
      </c>
      <c r="D49" s="152" t="s">
        <v>30</v>
      </c>
      <c r="E49" s="152" t="s">
        <v>30</v>
      </c>
      <c r="F49" s="25" t="e">
        <f>_xlfn.XLOOKUP($D49,Tab_Process_TCs[Process_Name],Tab_Process_TCs[TC_Configuration],,0,)</f>
        <v>#N/A</v>
      </c>
      <c r="G49" s="25" t="e">
        <f>_xlfn.XLOOKUP($D49,Tab_Process_TCs[Process_Name],Tab_Process_TCs[Process_Logic],,0,)</f>
        <v>#N/A</v>
      </c>
      <c r="H49" s="7" t="str">
        <f>_xlfn.XLOOKUP($E49,Tab_Def_Flows[Flow_Name],Tab_Def_Flows[Flow_ID],,0,1)</f>
        <v>F__</v>
      </c>
      <c r="I49" s="8"/>
      <c r="J49" s="20" t="str">
        <f t="shared" si="2"/>
        <v>TC_material_F__</v>
      </c>
      <c r="K49" s="154"/>
      <c r="L49" s="20" t="str">
        <f t="shared" si="3"/>
        <v>TC_WC_F__</v>
      </c>
      <c r="M49" s="154"/>
      <c r="N49" s="20" t="str">
        <f t="shared" si="4"/>
        <v>TC_DM_F__</v>
      </c>
      <c r="O49" s="154"/>
      <c r="P49" s="20" t="str">
        <f t="shared" si="5"/>
        <v>TC_CC_F__</v>
      </c>
      <c r="Q49" s="8"/>
      <c r="R49" s="7" t="e">
        <f>_xlfn.XLOOKUP($D49,#REF!,#REF!,,0,)</f>
        <v>#REF!</v>
      </c>
      <c r="S49" s="20" t="str">
        <f>Tab_Process_TCs2527[[#This Row],[Flow_ID]]</f>
        <v>F__</v>
      </c>
      <c r="T49" s="20" t="e">
        <f t="shared" si="7"/>
        <v>#REF!</v>
      </c>
      <c r="U49" s="27"/>
      <c r="V49" s="30" t="e">
        <f>Tab_Process_TCs2527[[#This Row],[TC O_6_'[%']]]+#REF!+#REF!+#REF!+#REF!+#REF!</f>
        <v>#REF!</v>
      </c>
      <c r="W49" s="8"/>
      <c r="X49" s="8"/>
      <c r="Y49" s="8"/>
      <c r="Z49" s="8"/>
      <c r="AA49" s="8"/>
    </row>
    <row r="50" spans="1:27" x14ac:dyDescent="0.25">
      <c r="A50" s="156" t="b">
        <v>0</v>
      </c>
      <c r="B50" s="7">
        <f t="shared" si="6"/>
        <v>49</v>
      </c>
      <c r="C50" s="25" t="e">
        <f>_xlfn.XLOOKUP($D50,Tab_Process_TCs[Process_Name],Tab_Process_TCs[Process_ID],,0,)</f>
        <v>#N/A</v>
      </c>
      <c r="D50" s="152" t="s">
        <v>30</v>
      </c>
      <c r="E50" s="152" t="s">
        <v>30</v>
      </c>
      <c r="F50" s="25" t="e">
        <f>_xlfn.XLOOKUP($D50,Tab_Process_TCs[Process_Name],Tab_Process_TCs[TC_Configuration],,0,)</f>
        <v>#N/A</v>
      </c>
      <c r="G50" s="25" t="e">
        <f>_xlfn.XLOOKUP($D50,Tab_Process_TCs[Process_Name],Tab_Process_TCs[Process_Logic],,0,)</f>
        <v>#N/A</v>
      </c>
      <c r="H50" s="7" t="str">
        <f>_xlfn.XLOOKUP($E50,Tab_Def_Flows[Flow_Name],Tab_Def_Flows[Flow_ID],,0,1)</f>
        <v>F__</v>
      </c>
      <c r="I50" s="8"/>
      <c r="J50" s="20" t="str">
        <f t="shared" si="2"/>
        <v>TC_material_F__</v>
      </c>
      <c r="K50" s="154"/>
      <c r="L50" s="20" t="str">
        <f t="shared" si="3"/>
        <v>TC_WC_F__</v>
      </c>
      <c r="M50" s="154"/>
      <c r="N50" s="20" t="str">
        <f t="shared" si="4"/>
        <v>TC_DM_F__</v>
      </c>
      <c r="O50" s="154"/>
      <c r="P50" s="20" t="str">
        <f t="shared" si="5"/>
        <v>TC_CC_F__</v>
      </c>
      <c r="Q50" s="8"/>
      <c r="R50" s="7" t="e">
        <f>_xlfn.XLOOKUP($D50,#REF!,#REF!,,0,)</f>
        <v>#REF!</v>
      </c>
      <c r="S50" s="20" t="str">
        <f>Tab_Process_TCs2527[[#This Row],[Flow_ID]]</f>
        <v>F__</v>
      </c>
      <c r="T50" s="20" t="e">
        <f t="shared" si="7"/>
        <v>#REF!</v>
      </c>
      <c r="U50" s="27"/>
      <c r="V50" s="30" t="e">
        <f>Tab_Process_TCs2527[[#This Row],[TC O_6_'[%']]]+#REF!+#REF!+#REF!+#REF!+#REF!</f>
        <v>#REF!</v>
      </c>
      <c r="W50" s="8"/>
      <c r="X50" s="8"/>
      <c r="Y50" s="8"/>
      <c r="Z50" s="8"/>
      <c r="AA50" s="8"/>
    </row>
    <row r="51" spans="1:27" x14ac:dyDescent="0.25">
      <c r="A51" s="156" t="b">
        <v>0</v>
      </c>
      <c r="B51" s="7">
        <f t="shared" si="6"/>
        <v>50</v>
      </c>
      <c r="C51" s="25" t="e">
        <f>_xlfn.XLOOKUP($D51,Tab_Process_TCs[Process_Name],Tab_Process_TCs[Process_ID],,0,)</f>
        <v>#N/A</v>
      </c>
      <c r="D51" s="152" t="s">
        <v>30</v>
      </c>
      <c r="E51" s="152" t="s">
        <v>30</v>
      </c>
      <c r="F51" s="25" t="e">
        <f>_xlfn.XLOOKUP($D51,Tab_Process_TCs[Process_Name],Tab_Process_TCs[TC_Configuration],,0,)</f>
        <v>#N/A</v>
      </c>
      <c r="G51" s="25" t="e">
        <f>_xlfn.XLOOKUP($D51,Tab_Process_TCs[Process_Name],Tab_Process_TCs[Process_Logic],,0,)</f>
        <v>#N/A</v>
      </c>
      <c r="H51" s="7" t="str">
        <f>_xlfn.XLOOKUP($E51,Tab_Def_Flows[Flow_Name],Tab_Def_Flows[Flow_ID],,0,1)</f>
        <v>F__</v>
      </c>
      <c r="I51" s="8"/>
      <c r="J51" s="20" t="str">
        <f t="shared" si="2"/>
        <v>TC_material_F__</v>
      </c>
      <c r="K51" s="154"/>
      <c r="L51" s="20" t="str">
        <f t="shared" si="3"/>
        <v>TC_WC_F__</v>
      </c>
      <c r="M51" s="154"/>
      <c r="N51" s="20" t="str">
        <f t="shared" si="4"/>
        <v>TC_DM_F__</v>
      </c>
      <c r="O51" s="154"/>
      <c r="P51" s="20" t="str">
        <f t="shared" si="5"/>
        <v>TC_CC_F__</v>
      </c>
      <c r="Q51" s="8"/>
      <c r="R51" s="7" t="e">
        <f>_xlfn.XLOOKUP($D51,#REF!,#REF!,,0,)</f>
        <v>#REF!</v>
      </c>
      <c r="S51" s="20" t="str">
        <f>Tab_Process_TCs2527[[#This Row],[Flow_ID]]</f>
        <v>F__</v>
      </c>
      <c r="T51" s="20" t="e">
        <f t="shared" si="7"/>
        <v>#REF!</v>
      </c>
      <c r="U51" s="27"/>
      <c r="V51" s="30" t="e">
        <f>Tab_Process_TCs2527[[#This Row],[TC O_6_'[%']]]+#REF!+#REF!+#REF!+#REF!+#REF!</f>
        <v>#REF!</v>
      </c>
      <c r="W51" s="8"/>
      <c r="X51" s="8"/>
      <c r="Y51" s="8"/>
      <c r="Z51" s="8"/>
      <c r="AA51" s="8"/>
    </row>
    <row r="52" spans="1:27" x14ac:dyDescent="0.25">
      <c r="A52" s="156" t="b">
        <v>0</v>
      </c>
      <c r="B52" s="7">
        <f t="shared" si="6"/>
        <v>51</v>
      </c>
      <c r="C52" s="25" t="e">
        <f>_xlfn.XLOOKUP($D52,Tab_Process_TCs[Process_Name],Tab_Process_TCs[Process_ID],,0,)</f>
        <v>#N/A</v>
      </c>
      <c r="D52" s="152" t="s">
        <v>30</v>
      </c>
      <c r="E52" s="152" t="s">
        <v>30</v>
      </c>
      <c r="F52" s="25" t="e">
        <f>_xlfn.XLOOKUP($D52,Tab_Process_TCs[Process_Name],Tab_Process_TCs[TC_Configuration],,0,)</f>
        <v>#N/A</v>
      </c>
      <c r="G52" s="25" t="e">
        <f>_xlfn.XLOOKUP($D52,Tab_Process_TCs[Process_Name],Tab_Process_TCs[Process_Logic],,0,)</f>
        <v>#N/A</v>
      </c>
      <c r="H52" s="7" t="str">
        <f>_xlfn.XLOOKUP($E52,Tab_Def_Flows[Flow_Name],Tab_Def_Flows[Flow_ID],,0,1)</f>
        <v>F__</v>
      </c>
      <c r="I52" s="8"/>
      <c r="J52" s="20" t="str">
        <f t="shared" si="2"/>
        <v>TC_material_F__</v>
      </c>
      <c r="K52" s="154"/>
      <c r="L52" s="20" t="str">
        <f t="shared" si="3"/>
        <v>TC_WC_F__</v>
      </c>
      <c r="M52" s="154"/>
      <c r="N52" s="20" t="str">
        <f t="shared" si="4"/>
        <v>TC_DM_F__</v>
      </c>
      <c r="O52" s="154"/>
      <c r="P52" s="20" t="str">
        <f t="shared" si="5"/>
        <v>TC_CC_F__</v>
      </c>
      <c r="Q52" s="8"/>
      <c r="R52" s="7" t="e">
        <f>_xlfn.XLOOKUP($D52,#REF!,#REF!,,0,)</f>
        <v>#REF!</v>
      </c>
      <c r="S52" s="20" t="str">
        <f>Tab_Process_TCs2527[[#This Row],[Flow_ID]]</f>
        <v>F__</v>
      </c>
      <c r="T52" s="20" t="e">
        <f t="shared" si="7"/>
        <v>#REF!</v>
      </c>
      <c r="U52" s="27"/>
      <c r="V52" s="30" t="e">
        <f>Tab_Process_TCs2527[[#This Row],[TC O_6_'[%']]]+#REF!+#REF!+#REF!+#REF!+#REF!</f>
        <v>#REF!</v>
      </c>
      <c r="W52" s="8"/>
      <c r="X52" s="8"/>
      <c r="Y52" s="8"/>
      <c r="Z52" s="8"/>
      <c r="AA52" s="8"/>
    </row>
    <row r="53" spans="1:27" x14ac:dyDescent="0.25">
      <c r="A53" s="156" t="b">
        <v>0</v>
      </c>
      <c r="B53" s="7">
        <f t="shared" si="6"/>
        <v>52</v>
      </c>
      <c r="C53" s="25" t="e">
        <f>_xlfn.XLOOKUP($D53,Tab_Process_TCs[Process_Name],Tab_Process_TCs[Process_ID],,0,)</f>
        <v>#N/A</v>
      </c>
      <c r="D53" s="152" t="s">
        <v>30</v>
      </c>
      <c r="E53" s="152" t="s">
        <v>30</v>
      </c>
      <c r="F53" s="25" t="e">
        <f>_xlfn.XLOOKUP($D53,Tab_Process_TCs[Process_Name],Tab_Process_TCs[TC_Configuration],,0,)</f>
        <v>#N/A</v>
      </c>
      <c r="G53" s="25" t="e">
        <f>_xlfn.XLOOKUP($D53,Tab_Process_TCs[Process_Name],Tab_Process_TCs[Process_Logic],,0,)</f>
        <v>#N/A</v>
      </c>
      <c r="H53" s="7" t="str">
        <f>_xlfn.XLOOKUP($E53,Tab_Def_Flows[Flow_Name],Tab_Def_Flows[Flow_ID],,0,1)</f>
        <v>F__</v>
      </c>
      <c r="I53" s="8"/>
      <c r="J53" s="20" t="str">
        <f t="shared" si="2"/>
        <v>TC_material_F__</v>
      </c>
      <c r="K53" s="154"/>
      <c r="L53" s="20" t="str">
        <f t="shared" si="3"/>
        <v>TC_WC_F__</v>
      </c>
      <c r="M53" s="154"/>
      <c r="N53" s="20" t="str">
        <f t="shared" si="4"/>
        <v>TC_DM_F__</v>
      </c>
      <c r="O53" s="154"/>
      <c r="P53" s="20" t="str">
        <f t="shared" si="5"/>
        <v>TC_CC_F__</v>
      </c>
      <c r="Q53" s="8"/>
      <c r="R53" s="7" t="e">
        <f>_xlfn.XLOOKUP($D53,#REF!,#REF!,,0,)</f>
        <v>#REF!</v>
      </c>
      <c r="S53" s="20" t="str">
        <f>Tab_Process_TCs2527[[#This Row],[Flow_ID]]</f>
        <v>F__</v>
      </c>
      <c r="T53" s="20" t="e">
        <f t="shared" si="7"/>
        <v>#REF!</v>
      </c>
      <c r="U53" s="27"/>
      <c r="V53" s="30" t="e">
        <f>Tab_Process_TCs2527[[#This Row],[TC O_6_'[%']]]+#REF!+#REF!+#REF!+#REF!+#REF!</f>
        <v>#REF!</v>
      </c>
      <c r="W53" s="8"/>
      <c r="X53" s="8"/>
      <c r="Y53" s="8"/>
      <c r="Z53" s="8"/>
      <c r="AA53" s="8"/>
    </row>
    <row r="54" spans="1:27" x14ac:dyDescent="0.25">
      <c r="A54" s="156" t="b">
        <v>0</v>
      </c>
      <c r="B54" s="7">
        <f t="shared" si="6"/>
        <v>53</v>
      </c>
      <c r="C54" s="25" t="e">
        <f>_xlfn.XLOOKUP($D54,Tab_Process_TCs[Process_Name],Tab_Process_TCs[Process_ID],,0,)</f>
        <v>#N/A</v>
      </c>
      <c r="D54" s="152" t="s">
        <v>30</v>
      </c>
      <c r="E54" s="152" t="s">
        <v>30</v>
      </c>
      <c r="F54" s="25" t="e">
        <f>_xlfn.XLOOKUP($D54,Tab_Process_TCs[Process_Name],Tab_Process_TCs[TC_Configuration],,0,)</f>
        <v>#N/A</v>
      </c>
      <c r="G54" s="25" t="e">
        <f>_xlfn.XLOOKUP($D54,Tab_Process_TCs[Process_Name],Tab_Process_TCs[Process_Logic],,0,)</f>
        <v>#N/A</v>
      </c>
      <c r="H54" s="7" t="str">
        <f>_xlfn.XLOOKUP($E54,Tab_Def_Flows[Flow_Name],Tab_Def_Flows[Flow_ID],,0,1)</f>
        <v>F__</v>
      </c>
      <c r="I54" s="8"/>
      <c r="J54" s="20" t="str">
        <f t="shared" si="2"/>
        <v>TC_material_F__</v>
      </c>
      <c r="K54" s="154"/>
      <c r="L54" s="20" t="str">
        <f t="shared" si="3"/>
        <v>TC_WC_F__</v>
      </c>
      <c r="M54" s="154"/>
      <c r="N54" s="20" t="str">
        <f t="shared" si="4"/>
        <v>TC_DM_F__</v>
      </c>
      <c r="O54" s="154"/>
      <c r="P54" s="20" t="str">
        <f t="shared" si="5"/>
        <v>TC_CC_F__</v>
      </c>
      <c r="Q54" s="8"/>
      <c r="R54" s="7" t="e">
        <f>_xlfn.XLOOKUP($D54,#REF!,#REF!,,0,)</f>
        <v>#REF!</v>
      </c>
      <c r="S54" s="20" t="str">
        <f>Tab_Process_TCs2527[[#This Row],[Flow_ID]]</f>
        <v>F__</v>
      </c>
      <c r="T54" s="20" t="e">
        <f t="shared" si="7"/>
        <v>#REF!</v>
      </c>
      <c r="U54" s="27"/>
      <c r="V54" s="30" t="e">
        <f>Tab_Process_TCs2527[[#This Row],[TC O_6_'[%']]]+#REF!+#REF!+#REF!+#REF!+#REF!</f>
        <v>#REF!</v>
      </c>
      <c r="W54" s="8"/>
      <c r="X54" s="8"/>
      <c r="Y54" s="8"/>
      <c r="Z54" s="8"/>
      <c r="AA54" s="8"/>
    </row>
    <row r="55" spans="1:27" x14ac:dyDescent="0.25">
      <c r="A55" s="156" t="b">
        <v>0</v>
      </c>
      <c r="B55" s="7">
        <f t="shared" si="6"/>
        <v>54</v>
      </c>
      <c r="C55" s="25" t="e">
        <f>_xlfn.XLOOKUP($D55,Tab_Process_TCs[Process_Name],Tab_Process_TCs[Process_ID],,0,)</f>
        <v>#N/A</v>
      </c>
      <c r="D55" s="152" t="s">
        <v>30</v>
      </c>
      <c r="E55" s="152" t="s">
        <v>30</v>
      </c>
      <c r="F55" s="25" t="e">
        <f>_xlfn.XLOOKUP($D55,Tab_Process_TCs[Process_Name],Tab_Process_TCs[TC_Configuration],,0,)</f>
        <v>#N/A</v>
      </c>
      <c r="G55" s="25" t="e">
        <f>_xlfn.XLOOKUP($D55,Tab_Process_TCs[Process_Name],Tab_Process_TCs[Process_Logic],,0,)</f>
        <v>#N/A</v>
      </c>
      <c r="H55" s="7" t="str">
        <f>_xlfn.XLOOKUP($E55,Tab_Def_Flows[Flow_Name],Tab_Def_Flows[Flow_ID],,0,1)</f>
        <v>F__</v>
      </c>
      <c r="I55" s="8"/>
      <c r="J55" s="20" t="str">
        <f t="shared" si="2"/>
        <v>TC_material_F__</v>
      </c>
      <c r="K55" s="154"/>
      <c r="L55" s="20" t="str">
        <f t="shared" si="3"/>
        <v>TC_WC_F__</v>
      </c>
      <c r="M55" s="154"/>
      <c r="N55" s="20" t="str">
        <f t="shared" si="4"/>
        <v>TC_DM_F__</v>
      </c>
      <c r="O55" s="154"/>
      <c r="P55" s="20" t="str">
        <f t="shared" si="5"/>
        <v>TC_CC_F__</v>
      </c>
      <c r="Q55" s="8"/>
      <c r="R55" s="7" t="e">
        <f>_xlfn.XLOOKUP($D55,#REF!,#REF!,,0,)</f>
        <v>#REF!</v>
      </c>
      <c r="S55" s="20" t="str">
        <f>Tab_Process_TCs2527[[#This Row],[Flow_ID]]</f>
        <v>F__</v>
      </c>
      <c r="T55" s="20" t="e">
        <f t="shared" si="7"/>
        <v>#REF!</v>
      </c>
      <c r="U55" s="27"/>
      <c r="V55" s="30" t="e">
        <f>Tab_Process_TCs2527[[#This Row],[TC O_6_'[%']]]+#REF!+#REF!+#REF!+#REF!+#REF!</f>
        <v>#REF!</v>
      </c>
      <c r="W55" s="8"/>
      <c r="X55" s="8"/>
      <c r="Y55" s="8"/>
      <c r="Z55" s="8"/>
      <c r="AA55" s="8"/>
    </row>
    <row r="56" spans="1:27" x14ac:dyDescent="0.25">
      <c r="A56" s="156" t="b">
        <v>0</v>
      </c>
      <c r="B56" s="7">
        <f t="shared" si="6"/>
        <v>55</v>
      </c>
      <c r="C56" s="25" t="e">
        <f>_xlfn.XLOOKUP($D56,Tab_Process_TCs[Process_Name],Tab_Process_TCs[Process_ID],,0,)</f>
        <v>#N/A</v>
      </c>
      <c r="D56" s="152" t="s">
        <v>30</v>
      </c>
      <c r="E56" s="152" t="s">
        <v>30</v>
      </c>
      <c r="F56" s="25" t="e">
        <f>_xlfn.XLOOKUP($D56,Tab_Process_TCs[Process_Name],Tab_Process_TCs[TC_Configuration],,0,)</f>
        <v>#N/A</v>
      </c>
      <c r="G56" s="25" t="e">
        <f>_xlfn.XLOOKUP($D56,Tab_Process_TCs[Process_Name],Tab_Process_TCs[Process_Logic],,0,)</f>
        <v>#N/A</v>
      </c>
      <c r="H56" s="7" t="str">
        <f>_xlfn.XLOOKUP($E56,Tab_Def_Flows[Flow_Name],Tab_Def_Flows[Flow_ID],,0,1)</f>
        <v>F__</v>
      </c>
      <c r="I56" s="8"/>
      <c r="J56" s="20" t="str">
        <f t="shared" si="2"/>
        <v>TC_material_F__</v>
      </c>
      <c r="K56" s="154"/>
      <c r="L56" s="20" t="str">
        <f t="shared" si="3"/>
        <v>TC_WC_F__</v>
      </c>
      <c r="M56" s="154"/>
      <c r="N56" s="20" t="str">
        <f t="shared" si="4"/>
        <v>TC_DM_F__</v>
      </c>
      <c r="O56" s="154"/>
      <c r="P56" s="20" t="str">
        <f t="shared" si="5"/>
        <v>TC_CC_F__</v>
      </c>
      <c r="Q56" s="8"/>
      <c r="R56" s="7" t="e">
        <f>_xlfn.XLOOKUP($D56,#REF!,#REF!,,0,)</f>
        <v>#REF!</v>
      </c>
      <c r="S56" s="20" t="str">
        <f>Tab_Process_TCs2527[[#This Row],[Flow_ID]]</f>
        <v>F__</v>
      </c>
      <c r="T56" s="20" t="e">
        <f t="shared" si="7"/>
        <v>#REF!</v>
      </c>
      <c r="U56" s="27"/>
      <c r="V56" s="30" t="e">
        <f>Tab_Process_TCs2527[[#This Row],[TC O_6_'[%']]]+#REF!+#REF!+#REF!+#REF!+#REF!</f>
        <v>#REF!</v>
      </c>
      <c r="W56" s="8"/>
      <c r="X56" s="8"/>
      <c r="Y56" s="8"/>
      <c r="Z56" s="8"/>
      <c r="AA56" s="8"/>
    </row>
    <row r="57" spans="1:27" x14ac:dyDescent="0.25">
      <c r="A57" s="156" t="b">
        <v>0</v>
      </c>
      <c r="B57" s="7">
        <f t="shared" si="6"/>
        <v>56</v>
      </c>
      <c r="C57" s="25" t="e">
        <f>_xlfn.XLOOKUP($D57,Tab_Process_TCs[Process_Name],Tab_Process_TCs[Process_ID],,0,)</f>
        <v>#N/A</v>
      </c>
      <c r="D57" s="152" t="s">
        <v>30</v>
      </c>
      <c r="E57" s="152" t="s">
        <v>30</v>
      </c>
      <c r="F57" s="25" t="e">
        <f>_xlfn.XLOOKUP($D57,Tab_Process_TCs[Process_Name],Tab_Process_TCs[TC_Configuration],,0,)</f>
        <v>#N/A</v>
      </c>
      <c r="G57" s="25" t="e">
        <f>_xlfn.XLOOKUP($D57,Tab_Process_TCs[Process_Name],Tab_Process_TCs[Process_Logic],,0,)</f>
        <v>#N/A</v>
      </c>
      <c r="H57" s="7" t="str">
        <f>_xlfn.XLOOKUP($E57,Tab_Def_Flows[Flow_Name],Tab_Def_Flows[Flow_ID],,0,1)</f>
        <v>F__</v>
      </c>
      <c r="I57" s="8"/>
      <c r="J57" s="20" t="str">
        <f t="shared" si="2"/>
        <v>TC_material_F__</v>
      </c>
      <c r="K57" s="154"/>
      <c r="L57" s="20" t="str">
        <f t="shared" si="3"/>
        <v>TC_WC_F__</v>
      </c>
      <c r="M57" s="154"/>
      <c r="N57" s="20" t="str">
        <f t="shared" si="4"/>
        <v>TC_DM_F__</v>
      </c>
      <c r="O57" s="154"/>
      <c r="P57" s="20" t="str">
        <f t="shared" si="5"/>
        <v>TC_CC_F__</v>
      </c>
      <c r="Q57" s="8"/>
      <c r="R57" s="7" t="e">
        <f>_xlfn.XLOOKUP($D57,#REF!,#REF!,,0,)</f>
        <v>#REF!</v>
      </c>
      <c r="S57" s="20" t="str">
        <f>Tab_Process_TCs2527[[#This Row],[Flow_ID]]</f>
        <v>F__</v>
      </c>
      <c r="T57" s="20" t="e">
        <f t="shared" si="7"/>
        <v>#REF!</v>
      </c>
      <c r="U57" s="27"/>
      <c r="V57" s="30" t="e">
        <f>Tab_Process_TCs2527[[#This Row],[TC O_6_'[%']]]+#REF!+#REF!+#REF!+#REF!+#REF!</f>
        <v>#REF!</v>
      </c>
      <c r="W57" s="8"/>
      <c r="X57" s="8"/>
      <c r="Y57" s="8"/>
      <c r="Z57" s="8"/>
      <c r="AA57" s="8"/>
    </row>
    <row r="58" spans="1:27" x14ac:dyDescent="0.25">
      <c r="A58" s="156" t="b">
        <v>0</v>
      </c>
      <c r="B58" s="7">
        <f t="shared" si="6"/>
        <v>57</v>
      </c>
      <c r="C58" s="25" t="e">
        <f>_xlfn.XLOOKUP($D58,Tab_Process_TCs[Process_Name],Tab_Process_TCs[Process_ID],,0,)</f>
        <v>#N/A</v>
      </c>
      <c r="D58" s="152" t="s">
        <v>30</v>
      </c>
      <c r="E58" s="152" t="s">
        <v>30</v>
      </c>
      <c r="F58" s="25" t="e">
        <f>_xlfn.XLOOKUP($D58,Tab_Process_TCs[Process_Name],Tab_Process_TCs[TC_Configuration],,0,)</f>
        <v>#N/A</v>
      </c>
      <c r="G58" s="25" t="e">
        <f>_xlfn.XLOOKUP($D58,Tab_Process_TCs[Process_Name],Tab_Process_TCs[Process_Logic],,0,)</f>
        <v>#N/A</v>
      </c>
      <c r="H58" s="7" t="str">
        <f>_xlfn.XLOOKUP($E58,Tab_Def_Flows[Flow_Name],Tab_Def_Flows[Flow_ID],,0,1)</f>
        <v>F__</v>
      </c>
      <c r="I58" s="8"/>
      <c r="J58" s="20" t="str">
        <f t="shared" si="2"/>
        <v>TC_material_F__</v>
      </c>
      <c r="K58" s="154"/>
      <c r="L58" s="20" t="str">
        <f t="shared" si="3"/>
        <v>TC_WC_F__</v>
      </c>
      <c r="M58" s="154"/>
      <c r="N58" s="20" t="str">
        <f t="shared" si="4"/>
        <v>TC_DM_F__</v>
      </c>
      <c r="O58" s="154"/>
      <c r="P58" s="20" t="str">
        <f t="shared" si="5"/>
        <v>TC_CC_F__</v>
      </c>
      <c r="Q58" s="8"/>
      <c r="R58" s="7" t="e">
        <f>_xlfn.XLOOKUP($D58,#REF!,#REF!,,0,)</f>
        <v>#REF!</v>
      </c>
      <c r="S58" s="20" t="str">
        <f>Tab_Process_TCs2527[[#This Row],[Flow_ID]]</f>
        <v>F__</v>
      </c>
      <c r="T58" s="20" t="e">
        <f t="shared" si="7"/>
        <v>#REF!</v>
      </c>
      <c r="U58" s="27"/>
      <c r="V58" s="30" t="e">
        <f>Tab_Process_TCs2527[[#This Row],[TC O_6_'[%']]]+#REF!+#REF!+#REF!+#REF!+#REF!</f>
        <v>#REF!</v>
      </c>
      <c r="W58" s="8"/>
      <c r="X58" s="8"/>
      <c r="Y58" s="8"/>
      <c r="Z58" s="8"/>
      <c r="AA58" s="8"/>
    </row>
    <row r="59" spans="1:27" x14ac:dyDescent="0.25">
      <c r="A59" s="156" t="b">
        <v>0</v>
      </c>
      <c r="B59" s="7">
        <f t="shared" si="6"/>
        <v>58</v>
      </c>
      <c r="C59" s="25" t="e">
        <f>_xlfn.XLOOKUP($D59,Tab_Process_TCs[Process_Name],Tab_Process_TCs[Process_ID],,0,)</f>
        <v>#N/A</v>
      </c>
      <c r="D59" s="152" t="s">
        <v>30</v>
      </c>
      <c r="E59" s="152" t="s">
        <v>30</v>
      </c>
      <c r="F59" s="25" t="e">
        <f>_xlfn.XLOOKUP($D59,Tab_Process_TCs[Process_Name],Tab_Process_TCs[TC_Configuration],,0,)</f>
        <v>#N/A</v>
      </c>
      <c r="G59" s="25" t="e">
        <f>_xlfn.XLOOKUP($D59,Tab_Process_TCs[Process_Name],Tab_Process_TCs[Process_Logic],,0,)</f>
        <v>#N/A</v>
      </c>
      <c r="H59" s="7" t="str">
        <f>_xlfn.XLOOKUP($E59,Tab_Def_Flows[Flow_Name],Tab_Def_Flows[Flow_ID],,0,1)</f>
        <v>F__</v>
      </c>
      <c r="I59" s="8"/>
      <c r="J59" s="20" t="str">
        <f t="shared" si="2"/>
        <v>TC_material_F__</v>
      </c>
      <c r="K59" s="154"/>
      <c r="L59" s="20" t="str">
        <f t="shared" si="3"/>
        <v>TC_WC_F__</v>
      </c>
      <c r="M59" s="154"/>
      <c r="N59" s="20" t="str">
        <f t="shared" si="4"/>
        <v>TC_DM_F__</v>
      </c>
      <c r="O59" s="154"/>
      <c r="P59" s="20" t="str">
        <f t="shared" si="5"/>
        <v>TC_CC_F__</v>
      </c>
      <c r="Q59" s="8"/>
      <c r="R59" s="7" t="e">
        <f>_xlfn.XLOOKUP($D59,#REF!,#REF!,,0,)</f>
        <v>#REF!</v>
      </c>
      <c r="S59" s="20" t="str">
        <f>Tab_Process_TCs2527[[#This Row],[Flow_ID]]</f>
        <v>F__</v>
      </c>
      <c r="T59" s="20" t="e">
        <f t="shared" si="7"/>
        <v>#REF!</v>
      </c>
      <c r="U59" s="27"/>
      <c r="V59" s="30" t="e">
        <f>Tab_Process_TCs2527[[#This Row],[TC O_6_'[%']]]+#REF!+#REF!+#REF!+#REF!+#REF!</f>
        <v>#REF!</v>
      </c>
      <c r="W59" s="8"/>
      <c r="X59" s="8"/>
      <c r="Y59" s="8"/>
      <c r="Z59" s="8"/>
      <c r="AA59" s="8"/>
    </row>
    <row r="60" spans="1:27" x14ac:dyDescent="0.25">
      <c r="A60" s="156" t="b">
        <v>0</v>
      </c>
      <c r="B60" s="7">
        <f t="shared" si="6"/>
        <v>59</v>
      </c>
      <c r="C60" s="25" t="e">
        <f>_xlfn.XLOOKUP($D60,Tab_Process_TCs[Process_Name],Tab_Process_TCs[Process_ID],,0,)</f>
        <v>#N/A</v>
      </c>
      <c r="D60" s="152" t="s">
        <v>30</v>
      </c>
      <c r="E60" s="152" t="s">
        <v>30</v>
      </c>
      <c r="F60" s="25" t="e">
        <f>_xlfn.XLOOKUP($D60,Tab_Process_TCs[Process_Name],Tab_Process_TCs[TC_Configuration],,0,)</f>
        <v>#N/A</v>
      </c>
      <c r="G60" s="25" t="e">
        <f>_xlfn.XLOOKUP($D60,Tab_Process_TCs[Process_Name],Tab_Process_TCs[Process_Logic],,0,)</f>
        <v>#N/A</v>
      </c>
      <c r="H60" s="7" t="str">
        <f>_xlfn.XLOOKUP($E60,Tab_Def_Flows[Flow_Name],Tab_Def_Flows[Flow_ID],,0,1)</f>
        <v>F__</v>
      </c>
      <c r="I60" s="8"/>
      <c r="J60" s="20" t="str">
        <f t="shared" si="2"/>
        <v>TC_material_F__</v>
      </c>
      <c r="K60" s="154"/>
      <c r="L60" s="20" t="str">
        <f t="shared" si="3"/>
        <v>TC_WC_F__</v>
      </c>
      <c r="M60" s="154"/>
      <c r="N60" s="20" t="str">
        <f t="shared" si="4"/>
        <v>TC_DM_F__</v>
      </c>
      <c r="O60" s="154"/>
      <c r="P60" s="20" t="str">
        <f t="shared" si="5"/>
        <v>TC_CC_F__</v>
      </c>
      <c r="Q60" s="8"/>
      <c r="R60" s="7" t="e">
        <f>_xlfn.XLOOKUP($D60,#REF!,#REF!,,0,)</f>
        <v>#REF!</v>
      </c>
      <c r="S60" s="20" t="str">
        <f>Tab_Process_TCs2527[[#This Row],[Flow_ID]]</f>
        <v>F__</v>
      </c>
      <c r="T60" s="20" t="e">
        <f t="shared" si="7"/>
        <v>#REF!</v>
      </c>
      <c r="U60" s="27"/>
      <c r="V60" s="30" t="e">
        <f>Tab_Process_TCs2527[[#This Row],[TC O_6_'[%']]]+#REF!+#REF!+#REF!+#REF!+#REF!</f>
        <v>#REF!</v>
      </c>
      <c r="W60" s="8"/>
      <c r="X60" s="8"/>
      <c r="Y60" s="8"/>
      <c r="Z60" s="8"/>
      <c r="AA60" s="8"/>
    </row>
    <row r="61" spans="1:27" x14ac:dyDescent="0.25">
      <c r="A61" s="156" t="b">
        <v>0</v>
      </c>
      <c r="B61" s="7">
        <f t="shared" si="6"/>
        <v>60</v>
      </c>
      <c r="C61" s="25" t="e">
        <f>_xlfn.XLOOKUP($D61,Tab_Process_TCs[Process_Name],Tab_Process_TCs[Process_ID],,0,)</f>
        <v>#N/A</v>
      </c>
      <c r="D61" s="152" t="s">
        <v>30</v>
      </c>
      <c r="E61" s="152" t="s">
        <v>30</v>
      </c>
      <c r="F61" s="25" t="e">
        <f>_xlfn.XLOOKUP($D61,Tab_Process_TCs[Process_Name],Tab_Process_TCs[TC_Configuration],,0,)</f>
        <v>#N/A</v>
      </c>
      <c r="G61" s="25" t="e">
        <f>_xlfn.XLOOKUP($D61,Tab_Process_TCs[Process_Name],Tab_Process_TCs[Process_Logic],,0,)</f>
        <v>#N/A</v>
      </c>
      <c r="H61" s="7" t="str">
        <f>_xlfn.XLOOKUP($E61,Tab_Def_Flows[Flow_Name],Tab_Def_Flows[Flow_ID],,0,1)</f>
        <v>F__</v>
      </c>
      <c r="I61" s="8"/>
      <c r="J61" s="20" t="str">
        <f t="shared" si="2"/>
        <v>TC_material_F__</v>
      </c>
      <c r="K61" s="154"/>
      <c r="L61" s="20" t="str">
        <f t="shared" si="3"/>
        <v>TC_WC_F__</v>
      </c>
      <c r="M61" s="154"/>
      <c r="N61" s="20" t="str">
        <f t="shared" si="4"/>
        <v>TC_DM_F__</v>
      </c>
      <c r="O61" s="154"/>
      <c r="P61" s="20" t="str">
        <f t="shared" si="5"/>
        <v>TC_CC_F__</v>
      </c>
      <c r="Q61" s="8"/>
      <c r="R61" s="7" t="e">
        <f>_xlfn.XLOOKUP($D61,#REF!,#REF!,,0,)</f>
        <v>#REF!</v>
      </c>
      <c r="S61" s="20" t="str">
        <f>Tab_Process_TCs2527[[#This Row],[Flow_ID]]</f>
        <v>F__</v>
      </c>
      <c r="T61" s="20" t="e">
        <f t="shared" si="7"/>
        <v>#REF!</v>
      </c>
      <c r="U61" s="27"/>
      <c r="V61" s="30" t="e">
        <f>Tab_Process_TCs2527[[#This Row],[TC O_6_'[%']]]+#REF!+#REF!+#REF!+#REF!+#REF!</f>
        <v>#REF!</v>
      </c>
      <c r="W61" s="8"/>
      <c r="X61" s="8"/>
      <c r="Y61" s="8"/>
      <c r="Z61" s="8"/>
      <c r="AA61" s="8"/>
    </row>
    <row r="62" spans="1:27" x14ac:dyDescent="0.25">
      <c r="A62" s="156" t="b">
        <v>0</v>
      </c>
      <c r="B62" s="7">
        <f t="shared" si="6"/>
        <v>61</v>
      </c>
      <c r="C62" s="25" t="e">
        <f>_xlfn.XLOOKUP($D62,Tab_Process_TCs[Process_Name],Tab_Process_TCs[Process_ID],,0,)</f>
        <v>#N/A</v>
      </c>
      <c r="D62" s="152" t="s">
        <v>30</v>
      </c>
      <c r="E62" s="152" t="s">
        <v>30</v>
      </c>
      <c r="F62" s="25" t="e">
        <f>_xlfn.XLOOKUP($D62,Tab_Process_TCs[Process_Name],Tab_Process_TCs[TC_Configuration],,0,)</f>
        <v>#N/A</v>
      </c>
      <c r="G62" s="25" t="e">
        <f>_xlfn.XLOOKUP($D62,Tab_Process_TCs[Process_Name],Tab_Process_TCs[Process_Logic],,0,)</f>
        <v>#N/A</v>
      </c>
      <c r="H62" s="7" t="str">
        <f>_xlfn.XLOOKUP($E62,Tab_Def_Flows[Flow_Name],Tab_Def_Flows[Flow_ID],,0,1)</f>
        <v>F__</v>
      </c>
      <c r="I62" s="8"/>
      <c r="J62" s="20" t="str">
        <f t="shared" si="2"/>
        <v>TC_material_F__</v>
      </c>
      <c r="K62" s="154"/>
      <c r="L62" s="20" t="str">
        <f t="shared" si="3"/>
        <v>TC_WC_F__</v>
      </c>
      <c r="M62" s="154"/>
      <c r="N62" s="20" t="str">
        <f t="shared" si="4"/>
        <v>TC_DM_F__</v>
      </c>
      <c r="O62" s="154"/>
      <c r="P62" s="20" t="str">
        <f t="shared" si="5"/>
        <v>TC_CC_F__</v>
      </c>
      <c r="Q62" s="8"/>
      <c r="R62" s="7" t="e">
        <f>_xlfn.XLOOKUP($D62,#REF!,#REF!,,0,)</f>
        <v>#REF!</v>
      </c>
      <c r="S62" s="20" t="str">
        <f>Tab_Process_TCs2527[[#This Row],[Flow_ID]]</f>
        <v>F__</v>
      </c>
      <c r="T62" s="20" t="e">
        <f t="shared" si="7"/>
        <v>#REF!</v>
      </c>
      <c r="U62" s="27"/>
      <c r="V62" s="30" t="e">
        <f>Tab_Process_TCs2527[[#This Row],[TC O_6_'[%']]]+#REF!+#REF!+#REF!+#REF!+#REF!</f>
        <v>#REF!</v>
      </c>
      <c r="W62" s="8"/>
      <c r="X62" s="8"/>
      <c r="Y62" s="8"/>
      <c r="Z62" s="8"/>
      <c r="AA62" s="8"/>
    </row>
    <row r="63" spans="1:27" x14ac:dyDescent="0.25">
      <c r="A63" s="156" t="b">
        <v>0</v>
      </c>
      <c r="B63" s="7">
        <f t="shared" si="6"/>
        <v>62</v>
      </c>
      <c r="C63" s="25" t="e">
        <f>_xlfn.XLOOKUP($D63,Tab_Process_TCs[Process_Name],Tab_Process_TCs[Process_ID],,0,)</f>
        <v>#N/A</v>
      </c>
      <c r="D63" s="152" t="s">
        <v>30</v>
      </c>
      <c r="E63" s="152" t="s">
        <v>30</v>
      </c>
      <c r="F63" s="25" t="e">
        <f>_xlfn.XLOOKUP($D63,Tab_Process_TCs[Process_Name],Tab_Process_TCs[TC_Configuration],,0,)</f>
        <v>#N/A</v>
      </c>
      <c r="G63" s="25" t="e">
        <f>_xlfn.XLOOKUP($D63,Tab_Process_TCs[Process_Name],Tab_Process_TCs[Process_Logic],,0,)</f>
        <v>#N/A</v>
      </c>
      <c r="H63" s="7" t="str">
        <f>_xlfn.XLOOKUP($E63,Tab_Def_Flows[Flow_Name],Tab_Def_Flows[Flow_ID],,0,1)</f>
        <v>F__</v>
      </c>
      <c r="I63" s="8"/>
      <c r="J63" s="20" t="str">
        <f t="shared" si="2"/>
        <v>TC_material_F__</v>
      </c>
      <c r="K63" s="154"/>
      <c r="L63" s="20" t="str">
        <f t="shared" si="3"/>
        <v>TC_WC_F__</v>
      </c>
      <c r="M63" s="154"/>
      <c r="N63" s="20" t="str">
        <f t="shared" si="4"/>
        <v>TC_DM_F__</v>
      </c>
      <c r="O63" s="154"/>
      <c r="P63" s="20" t="str">
        <f t="shared" si="5"/>
        <v>TC_CC_F__</v>
      </c>
      <c r="Q63" s="8"/>
      <c r="R63" s="7" t="e">
        <f>_xlfn.XLOOKUP($D63,#REF!,#REF!,,0,)</f>
        <v>#REF!</v>
      </c>
      <c r="S63" s="20" t="str">
        <f>Tab_Process_TCs2527[[#This Row],[Flow_ID]]</f>
        <v>F__</v>
      </c>
      <c r="T63" s="20" t="e">
        <f t="shared" si="7"/>
        <v>#REF!</v>
      </c>
      <c r="U63" s="27"/>
      <c r="V63" s="30" t="e">
        <f>Tab_Process_TCs2527[[#This Row],[TC O_6_'[%']]]+#REF!+#REF!+#REF!+#REF!+#REF!</f>
        <v>#REF!</v>
      </c>
      <c r="W63" s="8"/>
      <c r="X63" s="8"/>
      <c r="Y63" s="8"/>
      <c r="Z63" s="8"/>
      <c r="AA63" s="8"/>
    </row>
    <row r="64" spans="1:27" x14ac:dyDescent="0.25">
      <c r="A64" s="156" t="b">
        <v>0</v>
      </c>
      <c r="B64" s="7">
        <f t="shared" ref="B64:B95" si="8">ROW()-1</f>
        <v>63</v>
      </c>
      <c r="C64" s="25" t="e">
        <f>_xlfn.XLOOKUP($D64,Tab_Process_TCs[Process_Name],Tab_Process_TCs[Process_ID],,0,)</f>
        <v>#N/A</v>
      </c>
      <c r="D64" s="152" t="s">
        <v>30</v>
      </c>
      <c r="E64" s="152" t="s">
        <v>30</v>
      </c>
      <c r="F64" s="25" t="e">
        <f>_xlfn.XLOOKUP($D64,Tab_Process_TCs[Process_Name],Tab_Process_TCs[TC_Configuration],,0,)</f>
        <v>#N/A</v>
      </c>
      <c r="G64" s="25" t="e">
        <f>_xlfn.XLOOKUP($D64,Tab_Process_TCs[Process_Name],Tab_Process_TCs[Process_Logic],,0,)</f>
        <v>#N/A</v>
      </c>
      <c r="H64" s="7" t="str">
        <f>_xlfn.XLOOKUP($E64,Tab_Def_Flows[Flow_Name],Tab_Def_Flows[Flow_ID],,0,1)</f>
        <v>F__</v>
      </c>
      <c r="I64" s="8"/>
      <c r="J64" s="20" t="str">
        <f t="shared" si="2"/>
        <v>TC_material_F__</v>
      </c>
      <c r="K64" s="154"/>
      <c r="L64" s="20" t="str">
        <f t="shared" si="3"/>
        <v>TC_WC_F__</v>
      </c>
      <c r="M64" s="154"/>
      <c r="N64" s="20" t="str">
        <f t="shared" si="4"/>
        <v>TC_DM_F__</v>
      </c>
      <c r="O64" s="154"/>
      <c r="P64" s="20" t="str">
        <f t="shared" si="5"/>
        <v>TC_CC_F__</v>
      </c>
      <c r="Q64" s="8"/>
      <c r="R64" s="7" t="e">
        <f>_xlfn.XLOOKUP($D64,#REF!,#REF!,,0,)</f>
        <v>#REF!</v>
      </c>
      <c r="S64" s="20" t="str">
        <f>Tab_Process_TCs2527[[#This Row],[Flow_ID]]</f>
        <v>F__</v>
      </c>
      <c r="T64" s="20" t="e">
        <f t="shared" ref="T64:T95" si="9">"TC"&amp;"_"&amp;RIGHT(R64,5)</f>
        <v>#REF!</v>
      </c>
      <c r="U64" s="27"/>
      <c r="V64" s="30" t="e">
        <f>Tab_Process_TCs2527[[#This Row],[TC O_6_'[%']]]+#REF!+#REF!+#REF!+#REF!+#REF!</f>
        <v>#REF!</v>
      </c>
      <c r="W64" s="8"/>
      <c r="X64" s="8"/>
      <c r="Y64" s="8"/>
      <c r="Z64" s="8"/>
      <c r="AA64" s="8"/>
    </row>
    <row r="65" spans="1:27" x14ac:dyDescent="0.25">
      <c r="A65" s="156" t="b">
        <v>0</v>
      </c>
      <c r="B65" s="7">
        <f t="shared" si="8"/>
        <v>64</v>
      </c>
      <c r="C65" s="25" t="e">
        <f>_xlfn.XLOOKUP($D65,Tab_Process_TCs[Process_Name],Tab_Process_TCs[Process_ID],,0,)</f>
        <v>#N/A</v>
      </c>
      <c r="D65" s="152" t="s">
        <v>30</v>
      </c>
      <c r="E65" s="152" t="s">
        <v>30</v>
      </c>
      <c r="F65" s="25" t="e">
        <f>_xlfn.XLOOKUP($D65,Tab_Process_TCs[Process_Name],Tab_Process_TCs[TC_Configuration],,0,)</f>
        <v>#N/A</v>
      </c>
      <c r="G65" s="25" t="e">
        <f>_xlfn.XLOOKUP($D65,Tab_Process_TCs[Process_Name],Tab_Process_TCs[Process_Logic],,0,)</f>
        <v>#N/A</v>
      </c>
      <c r="H65" s="7" t="str">
        <f>_xlfn.XLOOKUP($E65,Tab_Def_Flows[Flow_Name],Tab_Def_Flows[Flow_ID],,0,1)</f>
        <v>F__</v>
      </c>
      <c r="I65" s="8"/>
      <c r="J65" s="20" t="str">
        <f t="shared" si="2"/>
        <v>TC_material_F__</v>
      </c>
      <c r="K65" s="154"/>
      <c r="L65" s="20" t="str">
        <f t="shared" si="3"/>
        <v>TC_WC_F__</v>
      </c>
      <c r="M65" s="154"/>
      <c r="N65" s="20" t="str">
        <f t="shared" si="4"/>
        <v>TC_DM_F__</v>
      </c>
      <c r="O65" s="154"/>
      <c r="P65" s="20" t="str">
        <f t="shared" si="5"/>
        <v>TC_CC_F__</v>
      </c>
      <c r="Q65" s="8"/>
      <c r="R65" s="7" t="e">
        <f>_xlfn.XLOOKUP($D65,#REF!,#REF!,,0,)</f>
        <v>#REF!</v>
      </c>
      <c r="S65" s="20" t="str">
        <f>Tab_Process_TCs2527[[#This Row],[Flow_ID]]</f>
        <v>F__</v>
      </c>
      <c r="T65" s="20" t="e">
        <f t="shared" si="9"/>
        <v>#REF!</v>
      </c>
      <c r="U65" s="27"/>
      <c r="V65" s="30" t="e">
        <f>Tab_Process_TCs2527[[#This Row],[TC O_6_'[%']]]+#REF!+#REF!+#REF!+#REF!+#REF!</f>
        <v>#REF!</v>
      </c>
      <c r="W65" s="8"/>
      <c r="X65" s="8"/>
      <c r="Y65" s="8"/>
      <c r="Z65" s="8"/>
      <c r="AA65" s="8"/>
    </row>
    <row r="66" spans="1:27" x14ac:dyDescent="0.25">
      <c r="A66" s="156" t="b">
        <v>0</v>
      </c>
      <c r="B66" s="7">
        <f t="shared" si="8"/>
        <v>65</v>
      </c>
      <c r="C66" s="25" t="e">
        <f>_xlfn.XLOOKUP($D66,Tab_Process_TCs[Process_Name],Tab_Process_TCs[Process_ID],,0,)</f>
        <v>#N/A</v>
      </c>
      <c r="D66" s="152" t="s">
        <v>30</v>
      </c>
      <c r="E66" s="152" t="s">
        <v>30</v>
      </c>
      <c r="F66" s="25" t="e">
        <f>_xlfn.XLOOKUP($D66,Tab_Process_TCs[Process_Name],Tab_Process_TCs[TC_Configuration],,0,)</f>
        <v>#N/A</v>
      </c>
      <c r="G66" s="25" t="e">
        <f>_xlfn.XLOOKUP($D66,Tab_Process_TCs[Process_Name],Tab_Process_TCs[Process_Logic],,0,)</f>
        <v>#N/A</v>
      </c>
      <c r="H66" s="7" t="str">
        <f>_xlfn.XLOOKUP($E66,Tab_Def_Flows[Flow_Name],Tab_Def_Flows[Flow_ID],,0,1)</f>
        <v>F__</v>
      </c>
      <c r="I66" s="8"/>
      <c r="J66" s="20" t="str">
        <f t="shared" si="2"/>
        <v>TC_material_F__</v>
      </c>
      <c r="K66" s="154"/>
      <c r="L66" s="20" t="str">
        <f t="shared" si="3"/>
        <v>TC_WC_F__</v>
      </c>
      <c r="M66" s="154"/>
      <c r="N66" s="20" t="str">
        <f t="shared" si="4"/>
        <v>TC_DM_F__</v>
      </c>
      <c r="O66" s="154"/>
      <c r="P66" s="20" t="str">
        <f t="shared" si="5"/>
        <v>TC_CC_F__</v>
      </c>
      <c r="Q66" s="8"/>
      <c r="R66" s="7" t="e">
        <f>_xlfn.XLOOKUP($D66,#REF!,#REF!,,0,)</f>
        <v>#REF!</v>
      </c>
      <c r="S66" s="20" t="str">
        <f>Tab_Process_TCs2527[[#This Row],[Flow_ID]]</f>
        <v>F__</v>
      </c>
      <c r="T66" s="20" t="e">
        <f t="shared" si="9"/>
        <v>#REF!</v>
      </c>
      <c r="U66" s="27"/>
      <c r="V66" s="30" t="e">
        <f>Tab_Process_TCs2527[[#This Row],[TC O_6_'[%']]]+#REF!+#REF!+#REF!+#REF!+#REF!</f>
        <v>#REF!</v>
      </c>
      <c r="W66" s="8"/>
      <c r="X66" s="8"/>
      <c r="Y66" s="8"/>
      <c r="Z66" s="8"/>
      <c r="AA66" s="8"/>
    </row>
    <row r="67" spans="1:27" x14ac:dyDescent="0.25">
      <c r="A67" s="156" t="b">
        <v>0</v>
      </c>
      <c r="B67" s="7">
        <f t="shared" si="8"/>
        <v>66</v>
      </c>
      <c r="C67" s="25" t="e">
        <f>_xlfn.XLOOKUP($D67,Tab_Process_TCs[Process_Name],Tab_Process_TCs[Process_ID],,0,)</f>
        <v>#N/A</v>
      </c>
      <c r="D67" s="152" t="s">
        <v>30</v>
      </c>
      <c r="E67" s="152" t="s">
        <v>30</v>
      </c>
      <c r="F67" s="25" t="e">
        <f>_xlfn.XLOOKUP($D67,Tab_Process_TCs[Process_Name],Tab_Process_TCs[TC_Configuration],,0,)</f>
        <v>#N/A</v>
      </c>
      <c r="G67" s="25" t="e">
        <f>_xlfn.XLOOKUP($D67,Tab_Process_TCs[Process_Name],Tab_Process_TCs[Process_Logic],,0,)</f>
        <v>#N/A</v>
      </c>
      <c r="H67" s="7" t="str">
        <f>_xlfn.XLOOKUP($E67,Tab_Def_Flows[Flow_Name],Tab_Def_Flows[Flow_ID],,0,1)</f>
        <v>F__</v>
      </c>
      <c r="I67" s="8"/>
      <c r="J67" s="20" t="str">
        <f t="shared" ref="J67:J130" si="10">"TC_material"&amp;"_"&amp;RIGHT(H67,5)</f>
        <v>TC_material_F__</v>
      </c>
      <c r="K67" s="154"/>
      <c r="L67" s="20" t="str">
        <f t="shared" ref="L67:L130" si="11">"TC_WC"&amp;"_"&amp;RIGHT(H67,5)</f>
        <v>TC_WC_F__</v>
      </c>
      <c r="M67" s="154"/>
      <c r="N67" s="20" t="str">
        <f t="shared" ref="N67:N130" si="12">"TC_DM"&amp;"_"&amp;RIGHT(H67,5)</f>
        <v>TC_DM_F__</v>
      </c>
      <c r="O67" s="154"/>
      <c r="P67" s="20" t="str">
        <f t="shared" ref="P67:P130" si="13">"TC_CC"&amp;"_"&amp;RIGHT(H67,5)</f>
        <v>TC_CC_F__</v>
      </c>
      <c r="Q67" s="8"/>
      <c r="R67" s="7" t="e">
        <f>_xlfn.XLOOKUP($D67,#REF!,#REF!,,0,)</f>
        <v>#REF!</v>
      </c>
      <c r="S67" s="20" t="str">
        <f>Tab_Process_TCs2527[[#This Row],[Flow_ID]]</f>
        <v>F__</v>
      </c>
      <c r="T67" s="20" t="e">
        <f t="shared" si="9"/>
        <v>#REF!</v>
      </c>
      <c r="U67" s="27"/>
      <c r="V67" s="30" t="e">
        <f>Tab_Process_TCs2527[[#This Row],[TC O_6_'[%']]]+#REF!+#REF!+#REF!+#REF!+#REF!</f>
        <v>#REF!</v>
      </c>
      <c r="W67" s="8"/>
      <c r="X67" s="8"/>
      <c r="Y67" s="8"/>
      <c r="Z67" s="8"/>
      <c r="AA67" s="8"/>
    </row>
    <row r="68" spans="1:27" x14ac:dyDescent="0.25">
      <c r="A68" s="156" t="b">
        <v>0</v>
      </c>
      <c r="B68" s="7">
        <f t="shared" si="8"/>
        <v>67</v>
      </c>
      <c r="C68" s="25" t="e">
        <f>_xlfn.XLOOKUP($D68,Tab_Process_TCs[Process_Name],Tab_Process_TCs[Process_ID],,0,)</f>
        <v>#N/A</v>
      </c>
      <c r="D68" s="152" t="s">
        <v>30</v>
      </c>
      <c r="E68" s="152" t="s">
        <v>30</v>
      </c>
      <c r="F68" s="25" t="e">
        <f>_xlfn.XLOOKUP($D68,Tab_Process_TCs[Process_Name],Tab_Process_TCs[TC_Configuration],,0,)</f>
        <v>#N/A</v>
      </c>
      <c r="G68" s="25" t="e">
        <f>_xlfn.XLOOKUP($D68,Tab_Process_TCs[Process_Name],Tab_Process_TCs[Process_Logic],,0,)</f>
        <v>#N/A</v>
      </c>
      <c r="H68" s="7" t="str">
        <f>_xlfn.XLOOKUP($E68,Tab_Def_Flows[Flow_Name],Tab_Def_Flows[Flow_ID],,0,1)</f>
        <v>F__</v>
      </c>
      <c r="I68" s="8"/>
      <c r="J68" s="20" t="str">
        <f t="shared" si="10"/>
        <v>TC_material_F__</v>
      </c>
      <c r="K68" s="154"/>
      <c r="L68" s="20" t="str">
        <f t="shared" si="11"/>
        <v>TC_WC_F__</v>
      </c>
      <c r="M68" s="154"/>
      <c r="N68" s="20" t="str">
        <f t="shared" si="12"/>
        <v>TC_DM_F__</v>
      </c>
      <c r="O68" s="154"/>
      <c r="P68" s="20" t="str">
        <f t="shared" si="13"/>
        <v>TC_CC_F__</v>
      </c>
      <c r="Q68" s="8"/>
      <c r="R68" s="7" t="e">
        <f>_xlfn.XLOOKUP($D68,#REF!,#REF!,,0,)</f>
        <v>#REF!</v>
      </c>
      <c r="S68" s="20" t="str">
        <f>Tab_Process_TCs2527[[#This Row],[Flow_ID]]</f>
        <v>F__</v>
      </c>
      <c r="T68" s="20" t="e">
        <f t="shared" si="9"/>
        <v>#REF!</v>
      </c>
      <c r="U68" s="27"/>
      <c r="V68" s="30" t="e">
        <f>Tab_Process_TCs2527[[#This Row],[TC O_6_'[%']]]+#REF!+#REF!+#REF!+#REF!+#REF!</f>
        <v>#REF!</v>
      </c>
      <c r="W68" s="8"/>
      <c r="X68" s="8"/>
      <c r="Y68" s="8"/>
      <c r="Z68" s="8"/>
      <c r="AA68" s="8"/>
    </row>
    <row r="69" spans="1:27" x14ac:dyDescent="0.25">
      <c r="A69" s="156" t="b">
        <v>0</v>
      </c>
      <c r="B69" s="7">
        <f t="shared" si="8"/>
        <v>68</v>
      </c>
      <c r="C69" s="25" t="e">
        <f>_xlfn.XLOOKUP($D69,Tab_Process_TCs[Process_Name],Tab_Process_TCs[Process_ID],,0,)</f>
        <v>#N/A</v>
      </c>
      <c r="D69" s="152" t="s">
        <v>30</v>
      </c>
      <c r="E69" s="152" t="s">
        <v>30</v>
      </c>
      <c r="F69" s="25" t="e">
        <f>_xlfn.XLOOKUP($D69,Tab_Process_TCs[Process_Name],Tab_Process_TCs[TC_Configuration],,0,)</f>
        <v>#N/A</v>
      </c>
      <c r="G69" s="25" t="e">
        <f>_xlfn.XLOOKUP($D69,Tab_Process_TCs[Process_Name],Tab_Process_TCs[Process_Logic],,0,)</f>
        <v>#N/A</v>
      </c>
      <c r="H69" s="7" t="str">
        <f>_xlfn.XLOOKUP($E69,Tab_Def_Flows[Flow_Name],Tab_Def_Flows[Flow_ID],,0,1)</f>
        <v>F__</v>
      </c>
      <c r="I69" s="8"/>
      <c r="J69" s="20" t="str">
        <f t="shared" si="10"/>
        <v>TC_material_F__</v>
      </c>
      <c r="K69" s="154"/>
      <c r="L69" s="20" t="str">
        <f t="shared" si="11"/>
        <v>TC_WC_F__</v>
      </c>
      <c r="M69" s="154"/>
      <c r="N69" s="20" t="str">
        <f t="shared" si="12"/>
        <v>TC_DM_F__</v>
      </c>
      <c r="O69" s="154"/>
      <c r="P69" s="20" t="str">
        <f t="shared" si="13"/>
        <v>TC_CC_F__</v>
      </c>
      <c r="Q69" s="8"/>
      <c r="R69" s="7" t="e">
        <f>_xlfn.XLOOKUP($D69,#REF!,#REF!,,0,)</f>
        <v>#REF!</v>
      </c>
      <c r="S69" s="20" t="str">
        <f>Tab_Process_TCs2527[[#This Row],[Flow_ID]]</f>
        <v>F__</v>
      </c>
      <c r="T69" s="20" t="e">
        <f t="shared" si="9"/>
        <v>#REF!</v>
      </c>
      <c r="U69" s="27"/>
      <c r="V69" s="30" t="e">
        <f>Tab_Process_TCs2527[[#This Row],[TC O_6_'[%']]]+#REF!+#REF!+#REF!+#REF!+#REF!</f>
        <v>#REF!</v>
      </c>
      <c r="W69" s="8"/>
      <c r="X69" s="8"/>
      <c r="Y69" s="8"/>
      <c r="Z69" s="8"/>
      <c r="AA69" s="8"/>
    </row>
    <row r="70" spans="1:27" x14ac:dyDescent="0.25">
      <c r="A70" s="156" t="b">
        <v>0</v>
      </c>
      <c r="B70" s="7">
        <f t="shared" si="8"/>
        <v>69</v>
      </c>
      <c r="C70" s="25" t="e">
        <f>_xlfn.XLOOKUP($D70,Tab_Process_TCs[Process_Name],Tab_Process_TCs[Process_ID],,0,)</f>
        <v>#N/A</v>
      </c>
      <c r="D70" s="152" t="s">
        <v>30</v>
      </c>
      <c r="E70" s="152" t="s">
        <v>30</v>
      </c>
      <c r="F70" s="25" t="e">
        <f>_xlfn.XLOOKUP($D70,Tab_Process_TCs[Process_Name],Tab_Process_TCs[TC_Configuration],,0,)</f>
        <v>#N/A</v>
      </c>
      <c r="G70" s="25" t="e">
        <f>_xlfn.XLOOKUP($D70,Tab_Process_TCs[Process_Name],Tab_Process_TCs[Process_Logic],,0,)</f>
        <v>#N/A</v>
      </c>
      <c r="H70" s="7" t="str">
        <f>_xlfn.XLOOKUP($E70,Tab_Def_Flows[Flow_Name],Tab_Def_Flows[Flow_ID],,0,1)</f>
        <v>F__</v>
      </c>
      <c r="I70" s="8"/>
      <c r="J70" s="20" t="str">
        <f t="shared" si="10"/>
        <v>TC_material_F__</v>
      </c>
      <c r="K70" s="154"/>
      <c r="L70" s="20" t="str">
        <f t="shared" si="11"/>
        <v>TC_WC_F__</v>
      </c>
      <c r="M70" s="154"/>
      <c r="N70" s="20" t="str">
        <f t="shared" si="12"/>
        <v>TC_DM_F__</v>
      </c>
      <c r="O70" s="154"/>
      <c r="P70" s="20" t="str">
        <f t="shared" si="13"/>
        <v>TC_CC_F__</v>
      </c>
      <c r="Q70" s="8"/>
      <c r="R70" s="7" t="e">
        <f>_xlfn.XLOOKUP($D70,#REF!,#REF!,,0,)</f>
        <v>#REF!</v>
      </c>
      <c r="S70" s="20" t="str">
        <f>Tab_Process_TCs2527[[#This Row],[Flow_ID]]</f>
        <v>F__</v>
      </c>
      <c r="T70" s="20" t="e">
        <f t="shared" si="9"/>
        <v>#REF!</v>
      </c>
      <c r="U70" s="27"/>
      <c r="V70" s="30" t="e">
        <f>Tab_Process_TCs2527[[#This Row],[TC O_6_'[%']]]+#REF!+#REF!+#REF!+#REF!+#REF!</f>
        <v>#REF!</v>
      </c>
      <c r="W70" s="8"/>
      <c r="X70" s="8"/>
      <c r="Y70" s="8"/>
      <c r="Z70" s="8"/>
      <c r="AA70" s="8"/>
    </row>
    <row r="71" spans="1:27" x14ac:dyDescent="0.25">
      <c r="A71" s="156" t="b">
        <v>0</v>
      </c>
      <c r="B71" s="7">
        <f t="shared" si="8"/>
        <v>70</v>
      </c>
      <c r="C71" s="25" t="e">
        <f>_xlfn.XLOOKUP($D71,Tab_Process_TCs[Process_Name],Tab_Process_TCs[Process_ID],,0,)</f>
        <v>#N/A</v>
      </c>
      <c r="D71" s="152" t="s">
        <v>30</v>
      </c>
      <c r="E71" s="152" t="s">
        <v>30</v>
      </c>
      <c r="F71" s="25" t="e">
        <f>_xlfn.XLOOKUP($D71,Tab_Process_TCs[Process_Name],Tab_Process_TCs[TC_Configuration],,0,)</f>
        <v>#N/A</v>
      </c>
      <c r="G71" s="25" t="e">
        <f>_xlfn.XLOOKUP($D71,Tab_Process_TCs[Process_Name],Tab_Process_TCs[Process_Logic],,0,)</f>
        <v>#N/A</v>
      </c>
      <c r="H71" s="7" t="str">
        <f>_xlfn.XLOOKUP($E71,Tab_Def_Flows[Flow_Name],Tab_Def_Flows[Flow_ID],,0,1)</f>
        <v>F__</v>
      </c>
      <c r="I71" s="8"/>
      <c r="J71" s="20" t="str">
        <f t="shared" si="10"/>
        <v>TC_material_F__</v>
      </c>
      <c r="K71" s="154"/>
      <c r="L71" s="20" t="str">
        <f t="shared" si="11"/>
        <v>TC_WC_F__</v>
      </c>
      <c r="M71" s="154"/>
      <c r="N71" s="20" t="str">
        <f t="shared" si="12"/>
        <v>TC_DM_F__</v>
      </c>
      <c r="O71" s="154"/>
      <c r="P71" s="20" t="str">
        <f t="shared" si="13"/>
        <v>TC_CC_F__</v>
      </c>
      <c r="Q71" s="8"/>
      <c r="R71" s="7" t="e">
        <f>_xlfn.XLOOKUP($D71,#REF!,#REF!,,0,)</f>
        <v>#REF!</v>
      </c>
      <c r="S71" s="20" t="str">
        <f>Tab_Process_TCs2527[[#This Row],[Flow_ID]]</f>
        <v>F__</v>
      </c>
      <c r="T71" s="20" t="e">
        <f t="shared" si="9"/>
        <v>#REF!</v>
      </c>
      <c r="U71" s="27"/>
      <c r="V71" s="30" t="e">
        <f>Tab_Process_TCs2527[[#This Row],[TC O_6_'[%']]]+#REF!+#REF!+#REF!+#REF!+#REF!</f>
        <v>#REF!</v>
      </c>
      <c r="W71" s="8"/>
      <c r="X71" s="8"/>
      <c r="Y71" s="8"/>
      <c r="Z71" s="8"/>
      <c r="AA71" s="8"/>
    </row>
    <row r="72" spans="1:27" x14ac:dyDescent="0.25">
      <c r="A72" s="156" t="b">
        <v>0</v>
      </c>
      <c r="B72" s="7">
        <f t="shared" si="8"/>
        <v>71</v>
      </c>
      <c r="C72" s="25" t="e">
        <f>_xlfn.XLOOKUP($D72,Tab_Process_TCs[Process_Name],Tab_Process_TCs[Process_ID],,0,)</f>
        <v>#N/A</v>
      </c>
      <c r="D72" s="152" t="s">
        <v>30</v>
      </c>
      <c r="E72" s="152" t="s">
        <v>30</v>
      </c>
      <c r="F72" s="25" t="e">
        <f>_xlfn.XLOOKUP($D72,Tab_Process_TCs[Process_Name],Tab_Process_TCs[TC_Configuration],,0,)</f>
        <v>#N/A</v>
      </c>
      <c r="G72" s="25" t="e">
        <f>_xlfn.XLOOKUP($D72,Tab_Process_TCs[Process_Name],Tab_Process_TCs[Process_Logic],,0,)</f>
        <v>#N/A</v>
      </c>
      <c r="H72" s="7" t="str">
        <f>_xlfn.XLOOKUP($E72,Tab_Def_Flows[Flow_Name],Tab_Def_Flows[Flow_ID],,0,1)</f>
        <v>F__</v>
      </c>
      <c r="I72" s="8"/>
      <c r="J72" s="20" t="str">
        <f t="shared" si="10"/>
        <v>TC_material_F__</v>
      </c>
      <c r="K72" s="154"/>
      <c r="L72" s="20" t="str">
        <f t="shared" si="11"/>
        <v>TC_WC_F__</v>
      </c>
      <c r="M72" s="154"/>
      <c r="N72" s="20" t="str">
        <f t="shared" si="12"/>
        <v>TC_DM_F__</v>
      </c>
      <c r="O72" s="154"/>
      <c r="P72" s="20" t="str">
        <f t="shared" si="13"/>
        <v>TC_CC_F__</v>
      </c>
      <c r="Q72" s="8"/>
      <c r="R72" s="7" t="e">
        <f>_xlfn.XLOOKUP($D72,#REF!,#REF!,,0,)</f>
        <v>#REF!</v>
      </c>
      <c r="S72" s="20" t="str">
        <f>Tab_Process_TCs2527[[#This Row],[Flow_ID]]</f>
        <v>F__</v>
      </c>
      <c r="T72" s="20" t="e">
        <f t="shared" si="9"/>
        <v>#REF!</v>
      </c>
      <c r="U72" s="27"/>
      <c r="V72" s="30" t="e">
        <f>Tab_Process_TCs2527[[#This Row],[TC O_6_'[%']]]+#REF!+#REF!+#REF!+#REF!+#REF!</f>
        <v>#REF!</v>
      </c>
      <c r="W72" s="8"/>
      <c r="X72" s="8"/>
      <c r="Y72" s="8"/>
      <c r="Z72" s="8"/>
      <c r="AA72" s="8"/>
    </row>
    <row r="73" spans="1:27" x14ac:dyDescent="0.25">
      <c r="A73" s="156" t="b">
        <v>0</v>
      </c>
      <c r="B73" s="7">
        <f t="shared" si="8"/>
        <v>72</v>
      </c>
      <c r="C73" s="25" t="e">
        <f>_xlfn.XLOOKUP($D73,Tab_Process_TCs[Process_Name],Tab_Process_TCs[Process_ID],,0,)</f>
        <v>#N/A</v>
      </c>
      <c r="D73" s="152" t="s">
        <v>30</v>
      </c>
      <c r="E73" s="152" t="s">
        <v>30</v>
      </c>
      <c r="F73" s="25" t="e">
        <f>_xlfn.XLOOKUP($D73,Tab_Process_TCs[Process_Name],Tab_Process_TCs[TC_Configuration],,0,)</f>
        <v>#N/A</v>
      </c>
      <c r="G73" s="25" t="e">
        <f>_xlfn.XLOOKUP($D73,Tab_Process_TCs[Process_Name],Tab_Process_TCs[Process_Logic],,0,)</f>
        <v>#N/A</v>
      </c>
      <c r="H73" s="7" t="str">
        <f>_xlfn.XLOOKUP($E73,Tab_Def_Flows[Flow_Name],Tab_Def_Flows[Flow_ID],,0,1)</f>
        <v>F__</v>
      </c>
      <c r="I73" s="8"/>
      <c r="J73" s="20" t="str">
        <f t="shared" si="10"/>
        <v>TC_material_F__</v>
      </c>
      <c r="K73" s="154"/>
      <c r="L73" s="20" t="str">
        <f t="shared" si="11"/>
        <v>TC_WC_F__</v>
      </c>
      <c r="M73" s="154"/>
      <c r="N73" s="20" t="str">
        <f t="shared" si="12"/>
        <v>TC_DM_F__</v>
      </c>
      <c r="O73" s="154"/>
      <c r="P73" s="20" t="str">
        <f t="shared" si="13"/>
        <v>TC_CC_F__</v>
      </c>
      <c r="Q73" s="8"/>
      <c r="R73" s="7" t="e">
        <f>_xlfn.XLOOKUP($D73,#REF!,#REF!,,0,)</f>
        <v>#REF!</v>
      </c>
      <c r="S73" s="20" t="str">
        <f>Tab_Process_TCs2527[[#This Row],[Flow_ID]]</f>
        <v>F__</v>
      </c>
      <c r="T73" s="20" t="e">
        <f t="shared" si="9"/>
        <v>#REF!</v>
      </c>
      <c r="U73" s="27"/>
      <c r="V73" s="30" t="e">
        <f>Tab_Process_TCs2527[[#This Row],[TC O_6_'[%']]]+#REF!+#REF!+#REF!+#REF!+#REF!</f>
        <v>#REF!</v>
      </c>
      <c r="W73" s="8"/>
      <c r="X73" s="8"/>
      <c r="Y73" s="8"/>
      <c r="Z73" s="8"/>
      <c r="AA73" s="8"/>
    </row>
    <row r="74" spans="1:27" x14ac:dyDescent="0.25">
      <c r="A74" s="156" t="b">
        <v>0</v>
      </c>
      <c r="B74" s="7">
        <f t="shared" si="8"/>
        <v>73</v>
      </c>
      <c r="C74" s="25" t="e">
        <f>_xlfn.XLOOKUP($D74,Tab_Process_TCs[Process_Name],Tab_Process_TCs[Process_ID],,0,)</f>
        <v>#N/A</v>
      </c>
      <c r="D74" s="152" t="s">
        <v>30</v>
      </c>
      <c r="E74" s="152" t="s">
        <v>30</v>
      </c>
      <c r="F74" s="25" t="e">
        <f>_xlfn.XLOOKUP($D74,Tab_Process_TCs[Process_Name],Tab_Process_TCs[TC_Configuration],,0,)</f>
        <v>#N/A</v>
      </c>
      <c r="G74" s="25" t="e">
        <f>_xlfn.XLOOKUP($D74,Tab_Process_TCs[Process_Name],Tab_Process_TCs[Process_Logic],,0,)</f>
        <v>#N/A</v>
      </c>
      <c r="H74" s="7" t="str">
        <f>_xlfn.XLOOKUP($E74,Tab_Def_Flows[Flow_Name],Tab_Def_Flows[Flow_ID],,0,1)</f>
        <v>F__</v>
      </c>
      <c r="I74" s="8"/>
      <c r="J74" s="20" t="str">
        <f t="shared" si="10"/>
        <v>TC_material_F__</v>
      </c>
      <c r="K74" s="154"/>
      <c r="L74" s="20" t="str">
        <f t="shared" si="11"/>
        <v>TC_WC_F__</v>
      </c>
      <c r="M74" s="154"/>
      <c r="N74" s="20" t="str">
        <f t="shared" si="12"/>
        <v>TC_DM_F__</v>
      </c>
      <c r="O74" s="154"/>
      <c r="P74" s="20" t="str">
        <f t="shared" si="13"/>
        <v>TC_CC_F__</v>
      </c>
      <c r="Q74" s="8"/>
      <c r="R74" s="7" t="e">
        <f>_xlfn.XLOOKUP($D74,#REF!,#REF!,,0,)</f>
        <v>#REF!</v>
      </c>
      <c r="S74" s="20" t="str">
        <f>Tab_Process_TCs2527[[#This Row],[Flow_ID]]</f>
        <v>F__</v>
      </c>
      <c r="T74" s="20" t="e">
        <f t="shared" si="9"/>
        <v>#REF!</v>
      </c>
      <c r="U74" s="27"/>
      <c r="V74" s="30" t="e">
        <f>Tab_Process_TCs2527[[#This Row],[TC O_6_'[%']]]+#REF!+#REF!+#REF!+#REF!+#REF!</f>
        <v>#REF!</v>
      </c>
      <c r="W74" s="8"/>
      <c r="X74" s="8"/>
      <c r="Y74" s="8"/>
      <c r="Z74" s="8"/>
      <c r="AA74" s="8"/>
    </row>
    <row r="75" spans="1:27" x14ac:dyDescent="0.25">
      <c r="A75" s="156" t="b">
        <v>0</v>
      </c>
      <c r="B75" s="7">
        <f t="shared" si="8"/>
        <v>74</v>
      </c>
      <c r="C75" s="25" t="e">
        <f>_xlfn.XLOOKUP($D75,Tab_Process_TCs[Process_Name],Tab_Process_TCs[Process_ID],,0,)</f>
        <v>#N/A</v>
      </c>
      <c r="D75" s="152" t="s">
        <v>30</v>
      </c>
      <c r="E75" s="152" t="s">
        <v>30</v>
      </c>
      <c r="F75" s="25" t="e">
        <f>_xlfn.XLOOKUP($D75,Tab_Process_TCs[Process_Name],Tab_Process_TCs[TC_Configuration],,0,)</f>
        <v>#N/A</v>
      </c>
      <c r="G75" s="25" t="e">
        <f>_xlfn.XLOOKUP($D75,Tab_Process_TCs[Process_Name],Tab_Process_TCs[Process_Logic],,0,)</f>
        <v>#N/A</v>
      </c>
      <c r="H75" s="7" t="str">
        <f>_xlfn.XLOOKUP($E75,Tab_Def_Flows[Flow_Name],Tab_Def_Flows[Flow_ID],,0,1)</f>
        <v>F__</v>
      </c>
      <c r="I75" s="8"/>
      <c r="J75" s="20" t="str">
        <f t="shared" si="10"/>
        <v>TC_material_F__</v>
      </c>
      <c r="K75" s="154"/>
      <c r="L75" s="20" t="str">
        <f t="shared" si="11"/>
        <v>TC_WC_F__</v>
      </c>
      <c r="M75" s="154"/>
      <c r="N75" s="20" t="str">
        <f t="shared" si="12"/>
        <v>TC_DM_F__</v>
      </c>
      <c r="O75" s="154"/>
      <c r="P75" s="20" t="str">
        <f t="shared" si="13"/>
        <v>TC_CC_F__</v>
      </c>
      <c r="Q75" s="8"/>
      <c r="R75" s="7" t="e">
        <f>_xlfn.XLOOKUP($D75,#REF!,#REF!,,0,)</f>
        <v>#REF!</v>
      </c>
      <c r="S75" s="20" t="str">
        <f>Tab_Process_TCs2527[[#This Row],[Flow_ID]]</f>
        <v>F__</v>
      </c>
      <c r="T75" s="20" t="e">
        <f t="shared" si="9"/>
        <v>#REF!</v>
      </c>
      <c r="U75" s="27"/>
      <c r="V75" s="30" t="e">
        <f>Tab_Process_TCs2527[[#This Row],[TC O_6_'[%']]]+#REF!+#REF!+#REF!+#REF!+#REF!</f>
        <v>#REF!</v>
      </c>
      <c r="W75" s="8"/>
      <c r="X75" s="8"/>
      <c r="Y75" s="8"/>
      <c r="Z75" s="8"/>
      <c r="AA75" s="8"/>
    </row>
    <row r="76" spans="1:27" x14ac:dyDescent="0.25">
      <c r="A76" s="156" t="b">
        <v>0</v>
      </c>
      <c r="B76" s="7">
        <f t="shared" si="8"/>
        <v>75</v>
      </c>
      <c r="C76" s="25" t="e">
        <f>_xlfn.XLOOKUP($D76,Tab_Process_TCs[Process_Name],Tab_Process_TCs[Process_ID],,0,)</f>
        <v>#N/A</v>
      </c>
      <c r="D76" s="152" t="s">
        <v>30</v>
      </c>
      <c r="E76" s="152" t="s">
        <v>30</v>
      </c>
      <c r="F76" s="25" t="e">
        <f>_xlfn.XLOOKUP($D76,Tab_Process_TCs[Process_Name],Tab_Process_TCs[TC_Configuration],,0,)</f>
        <v>#N/A</v>
      </c>
      <c r="G76" s="25" t="e">
        <f>_xlfn.XLOOKUP($D76,Tab_Process_TCs[Process_Name],Tab_Process_TCs[Process_Logic],,0,)</f>
        <v>#N/A</v>
      </c>
      <c r="H76" s="7" t="str">
        <f>_xlfn.XLOOKUP($E76,Tab_Def_Flows[Flow_Name],Tab_Def_Flows[Flow_ID],,0,1)</f>
        <v>F__</v>
      </c>
      <c r="I76" s="8"/>
      <c r="J76" s="20" t="str">
        <f t="shared" si="10"/>
        <v>TC_material_F__</v>
      </c>
      <c r="K76" s="154"/>
      <c r="L76" s="20" t="str">
        <f t="shared" si="11"/>
        <v>TC_WC_F__</v>
      </c>
      <c r="M76" s="154"/>
      <c r="N76" s="20" t="str">
        <f t="shared" si="12"/>
        <v>TC_DM_F__</v>
      </c>
      <c r="O76" s="154"/>
      <c r="P76" s="20" t="str">
        <f t="shared" si="13"/>
        <v>TC_CC_F__</v>
      </c>
      <c r="Q76" s="8"/>
      <c r="R76" s="7" t="e">
        <f>_xlfn.XLOOKUP($D76,#REF!,#REF!,,0,)</f>
        <v>#REF!</v>
      </c>
      <c r="S76" s="20" t="str">
        <f>Tab_Process_TCs2527[[#This Row],[Flow_ID]]</f>
        <v>F__</v>
      </c>
      <c r="T76" s="20" t="e">
        <f t="shared" si="9"/>
        <v>#REF!</v>
      </c>
      <c r="U76" s="27"/>
      <c r="V76" s="30" t="e">
        <f>Tab_Process_TCs2527[[#This Row],[TC O_6_'[%']]]+#REF!+#REF!+#REF!+#REF!+#REF!</f>
        <v>#REF!</v>
      </c>
      <c r="W76" s="8"/>
      <c r="X76" s="8"/>
      <c r="Y76" s="8"/>
      <c r="Z76" s="8"/>
      <c r="AA76" s="8"/>
    </row>
    <row r="77" spans="1:27" x14ac:dyDescent="0.25">
      <c r="A77" s="156" t="b">
        <v>0</v>
      </c>
      <c r="B77" s="7">
        <f t="shared" si="8"/>
        <v>76</v>
      </c>
      <c r="C77" s="25" t="e">
        <f>_xlfn.XLOOKUP($D77,Tab_Process_TCs[Process_Name],Tab_Process_TCs[Process_ID],,0,)</f>
        <v>#N/A</v>
      </c>
      <c r="D77" s="152" t="s">
        <v>30</v>
      </c>
      <c r="E77" s="152" t="s">
        <v>30</v>
      </c>
      <c r="F77" s="25" t="e">
        <f>_xlfn.XLOOKUP($D77,Tab_Process_TCs[Process_Name],Tab_Process_TCs[TC_Configuration],,0,)</f>
        <v>#N/A</v>
      </c>
      <c r="G77" s="25" t="e">
        <f>_xlfn.XLOOKUP($D77,Tab_Process_TCs[Process_Name],Tab_Process_TCs[Process_Logic],,0,)</f>
        <v>#N/A</v>
      </c>
      <c r="H77" s="7" t="str">
        <f>_xlfn.XLOOKUP($E77,Tab_Def_Flows[Flow_Name],Tab_Def_Flows[Flow_ID],,0,1)</f>
        <v>F__</v>
      </c>
      <c r="I77" s="8"/>
      <c r="J77" s="20" t="str">
        <f t="shared" si="10"/>
        <v>TC_material_F__</v>
      </c>
      <c r="K77" s="154"/>
      <c r="L77" s="20" t="str">
        <f t="shared" si="11"/>
        <v>TC_WC_F__</v>
      </c>
      <c r="M77" s="154"/>
      <c r="N77" s="20" t="str">
        <f t="shared" si="12"/>
        <v>TC_DM_F__</v>
      </c>
      <c r="O77" s="154"/>
      <c r="P77" s="20" t="str">
        <f t="shared" si="13"/>
        <v>TC_CC_F__</v>
      </c>
      <c r="Q77" s="8"/>
      <c r="R77" s="7" t="e">
        <f>_xlfn.XLOOKUP($D77,#REF!,#REF!,,0,)</f>
        <v>#REF!</v>
      </c>
      <c r="S77" s="20" t="str">
        <f>Tab_Process_TCs2527[[#This Row],[Flow_ID]]</f>
        <v>F__</v>
      </c>
      <c r="T77" s="20" t="e">
        <f t="shared" si="9"/>
        <v>#REF!</v>
      </c>
      <c r="U77" s="27"/>
      <c r="V77" s="30" t="e">
        <f>Tab_Process_TCs2527[[#This Row],[TC O_6_'[%']]]+#REF!+#REF!+#REF!+#REF!+#REF!</f>
        <v>#REF!</v>
      </c>
      <c r="W77" s="8"/>
      <c r="X77" s="8"/>
      <c r="Y77" s="8"/>
      <c r="Z77" s="8"/>
      <c r="AA77" s="8"/>
    </row>
    <row r="78" spans="1:27" x14ac:dyDescent="0.25">
      <c r="A78" s="156" t="b">
        <v>0</v>
      </c>
      <c r="B78" s="7">
        <f t="shared" si="8"/>
        <v>77</v>
      </c>
      <c r="C78" s="25" t="e">
        <f>_xlfn.XLOOKUP($D78,Tab_Process_TCs[Process_Name],Tab_Process_TCs[Process_ID],,0,)</f>
        <v>#N/A</v>
      </c>
      <c r="D78" s="152" t="s">
        <v>30</v>
      </c>
      <c r="E78" s="152" t="s">
        <v>30</v>
      </c>
      <c r="F78" s="25" t="e">
        <f>_xlfn.XLOOKUP($D78,Tab_Process_TCs[Process_Name],Tab_Process_TCs[TC_Configuration],,0,)</f>
        <v>#N/A</v>
      </c>
      <c r="G78" s="25" t="e">
        <f>_xlfn.XLOOKUP($D78,Tab_Process_TCs[Process_Name],Tab_Process_TCs[Process_Logic],,0,)</f>
        <v>#N/A</v>
      </c>
      <c r="H78" s="7" t="str">
        <f>_xlfn.XLOOKUP($E78,Tab_Def_Flows[Flow_Name],Tab_Def_Flows[Flow_ID],,0,1)</f>
        <v>F__</v>
      </c>
      <c r="I78" s="8"/>
      <c r="J78" s="20" t="str">
        <f t="shared" si="10"/>
        <v>TC_material_F__</v>
      </c>
      <c r="K78" s="154"/>
      <c r="L78" s="20" t="str">
        <f t="shared" si="11"/>
        <v>TC_WC_F__</v>
      </c>
      <c r="M78" s="154"/>
      <c r="N78" s="20" t="str">
        <f t="shared" si="12"/>
        <v>TC_DM_F__</v>
      </c>
      <c r="O78" s="154"/>
      <c r="P78" s="20" t="str">
        <f t="shared" si="13"/>
        <v>TC_CC_F__</v>
      </c>
      <c r="Q78" s="8"/>
      <c r="R78" s="7" t="e">
        <f>_xlfn.XLOOKUP($D78,#REF!,#REF!,,0,)</f>
        <v>#REF!</v>
      </c>
      <c r="S78" s="20" t="str">
        <f>Tab_Process_TCs2527[[#This Row],[Flow_ID]]</f>
        <v>F__</v>
      </c>
      <c r="T78" s="20" t="e">
        <f t="shared" si="9"/>
        <v>#REF!</v>
      </c>
      <c r="U78" s="27"/>
      <c r="V78" s="30" t="e">
        <f>Tab_Process_TCs2527[[#This Row],[TC O_6_'[%']]]+#REF!+#REF!+#REF!+#REF!+#REF!</f>
        <v>#REF!</v>
      </c>
      <c r="W78" s="8"/>
      <c r="X78" s="8"/>
      <c r="Y78" s="8"/>
      <c r="Z78" s="8"/>
      <c r="AA78" s="8"/>
    </row>
    <row r="79" spans="1:27" x14ac:dyDescent="0.25">
      <c r="A79" s="156" t="b">
        <v>0</v>
      </c>
      <c r="B79" s="7">
        <f t="shared" si="8"/>
        <v>78</v>
      </c>
      <c r="C79" s="25" t="e">
        <f>_xlfn.XLOOKUP($D79,Tab_Process_TCs[Process_Name],Tab_Process_TCs[Process_ID],,0,)</f>
        <v>#N/A</v>
      </c>
      <c r="D79" s="152" t="s">
        <v>30</v>
      </c>
      <c r="E79" s="152" t="s">
        <v>30</v>
      </c>
      <c r="F79" s="25" t="e">
        <f>_xlfn.XLOOKUP($D79,Tab_Process_TCs[Process_Name],Tab_Process_TCs[TC_Configuration],,0,)</f>
        <v>#N/A</v>
      </c>
      <c r="G79" s="25" t="e">
        <f>_xlfn.XLOOKUP($D79,Tab_Process_TCs[Process_Name],Tab_Process_TCs[Process_Logic],,0,)</f>
        <v>#N/A</v>
      </c>
      <c r="H79" s="7" t="str">
        <f>_xlfn.XLOOKUP($E79,Tab_Def_Flows[Flow_Name],Tab_Def_Flows[Flow_ID],,0,1)</f>
        <v>F__</v>
      </c>
      <c r="I79" s="8"/>
      <c r="J79" s="20" t="str">
        <f t="shared" si="10"/>
        <v>TC_material_F__</v>
      </c>
      <c r="K79" s="154"/>
      <c r="L79" s="20" t="str">
        <f t="shared" si="11"/>
        <v>TC_WC_F__</v>
      </c>
      <c r="M79" s="154"/>
      <c r="N79" s="20" t="str">
        <f t="shared" si="12"/>
        <v>TC_DM_F__</v>
      </c>
      <c r="O79" s="154"/>
      <c r="P79" s="20" t="str">
        <f t="shared" si="13"/>
        <v>TC_CC_F__</v>
      </c>
      <c r="Q79" s="8"/>
      <c r="R79" s="7" t="e">
        <f>_xlfn.XLOOKUP($D79,#REF!,#REF!,,0,)</f>
        <v>#REF!</v>
      </c>
      <c r="S79" s="20" t="str">
        <f>Tab_Process_TCs2527[[#This Row],[Flow_ID]]</f>
        <v>F__</v>
      </c>
      <c r="T79" s="20" t="e">
        <f t="shared" si="9"/>
        <v>#REF!</v>
      </c>
      <c r="U79" s="27"/>
      <c r="V79" s="30" t="e">
        <f>Tab_Process_TCs2527[[#This Row],[TC O_6_'[%']]]+#REF!+#REF!+#REF!+#REF!+#REF!</f>
        <v>#REF!</v>
      </c>
      <c r="W79" s="8"/>
      <c r="X79" s="8"/>
      <c r="Y79" s="8"/>
      <c r="Z79" s="8"/>
      <c r="AA79" s="8"/>
    </row>
    <row r="80" spans="1:27" x14ac:dyDescent="0.25">
      <c r="A80" s="156" t="b">
        <v>0</v>
      </c>
      <c r="B80" s="7">
        <f t="shared" si="8"/>
        <v>79</v>
      </c>
      <c r="C80" s="25" t="e">
        <f>_xlfn.XLOOKUP($D80,Tab_Process_TCs[Process_Name],Tab_Process_TCs[Process_ID],,0,)</f>
        <v>#N/A</v>
      </c>
      <c r="D80" s="152" t="s">
        <v>30</v>
      </c>
      <c r="E80" s="152" t="s">
        <v>30</v>
      </c>
      <c r="F80" s="25" t="e">
        <f>_xlfn.XLOOKUP($D80,Tab_Process_TCs[Process_Name],Tab_Process_TCs[TC_Configuration],,0,)</f>
        <v>#N/A</v>
      </c>
      <c r="G80" s="25" t="e">
        <f>_xlfn.XLOOKUP($D80,Tab_Process_TCs[Process_Name],Tab_Process_TCs[Process_Logic],,0,)</f>
        <v>#N/A</v>
      </c>
      <c r="H80" s="7" t="str">
        <f>_xlfn.XLOOKUP($E80,Tab_Def_Flows[Flow_Name],Tab_Def_Flows[Flow_ID],,0,1)</f>
        <v>F__</v>
      </c>
      <c r="I80" s="8"/>
      <c r="J80" s="20" t="str">
        <f t="shared" si="10"/>
        <v>TC_material_F__</v>
      </c>
      <c r="K80" s="154"/>
      <c r="L80" s="20" t="str">
        <f t="shared" si="11"/>
        <v>TC_WC_F__</v>
      </c>
      <c r="M80" s="154"/>
      <c r="N80" s="20" t="str">
        <f t="shared" si="12"/>
        <v>TC_DM_F__</v>
      </c>
      <c r="O80" s="154"/>
      <c r="P80" s="20" t="str">
        <f t="shared" si="13"/>
        <v>TC_CC_F__</v>
      </c>
      <c r="Q80" s="8"/>
      <c r="R80" s="7" t="e">
        <f>_xlfn.XLOOKUP($D80,#REF!,#REF!,,0,)</f>
        <v>#REF!</v>
      </c>
      <c r="S80" s="20" t="str">
        <f>Tab_Process_TCs2527[[#This Row],[Flow_ID]]</f>
        <v>F__</v>
      </c>
      <c r="T80" s="20" t="e">
        <f t="shared" si="9"/>
        <v>#REF!</v>
      </c>
      <c r="U80" s="27"/>
      <c r="V80" s="30" t="e">
        <f>Tab_Process_TCs2527[[#This Row],[TC O_6_'[%']]]+#REF!+#REF!+#REF!+#REF!+#REF!</f>
        <v>#REF!</v>
      </c>
      <c r="W80" s="8"/>
      <c r="X80" s="8"/>
      <c r="Y80" s="8"/>
      <c r="Z80" s="8"/>
      <c r="AA80" s="8"/>
    </row>
    <row r="81" spans="1:27" x14ac:dyDescent="0.25">
      <c r="A81" s="156" t="b">
        <v>0</v>
      </c>
      <c r="B81" s="7">
        <f t="shared" si="8"/>
        <v>80</v>
      </c>
      <c r="C81" s="25" t="e">
        <f>_xlfn.XLOOKUP($D81,Tab_Process_TCs[Process_Name],Tab_Process_TCs[Process_ID],,0,)</f>
        <v>#N/A</v>
      </c>
      <c r="D81" s="152" t="s">
        <v>30</v>
      </c>
      <c r="E81" s="152" t="s">
        <v>30</v>
      </c>
      <c r="F81" s="25" t="e">
        <f>_xlfn.XLOOKUP($D81,Tab_Process_TCs[Process_Name],Tab_Process_TCs[TC_Configuration],,0,)</f>
        <v>#N/A</v>
      </c>
      <c r="G81" s="25" t="e">
        <f>_xlfn.XLOOKUP($D81,Tab_Process_TCs[Process_Name],Tab_Process_TCs[Process_Logic],,0,)</f>
        <v>#N/A</v>
      </c>
      <c r="H81" s="7" t="str">
        <f>_xlfn.XLOOKUP($E81,Tab_Def_Flows[Flow_Name],Tab_Def_Flows[Flow_ID],,0,1)</f>
        <v>F__</v>
      </c>
      <c r="I81" s="8"/>
      <c r="J81" s="20" t="str">
        <f t="shared" si="10"/>
        <v>TC_material_F__</v>
      </c>
      <c r="K81" s="154"/>
      <c r="L81" s="20" t="str">
        <f t="shared" si="11"/>
        <v>TC_WC_F__</v>
      </c>
      <c r="M81" s="154"/>
      <c r="N81" s="20" t="str">
        <f t="shared" si="12"/>
        <v>TC_DM_F__</v>
      </c>
      <c r="O81" s="154"/>
      <c r="P81" s="20" t="str">
        <f t="shared" si="13"/>
        <v>TC_CC_F__</v>
      </c>
      <c r="Q81" s="8"/>
      <c r="R81" s="7" t="e">
        <f>_xlfn.XLOOKUP($D81,#REF!,#REF!,,0,)</f>
        <v>#REF!</v>
      </c>
      <c r="S81" s="20" t="str">
        <f>Tab_Process_TCs2527[[#This Row],[Flow_ID]]</f>
        <v>F__</v>
      </c>
      <c r="T81" s="20" t="e">
        <f t="shared" si="9"/>
        <v>#REF!</v>
      </c>
      <c r="U81" s="27"/>
      <c r="V81" s="30" t="e">
        <f>Tab_Process_TCs2527[[#This Row],[TC O_6_'[%']]]+#REF!+#REF!+#REF!+#REF!+#REF!</f>
        <v>#REF!</v>
      </c>
      <c r="W81" s="8"/>
      <c r="X81" s="8"/>
      <c r="Y81" s="8"/>
      <c r="Z81" s="8"/>
      <c r="AA81" s="8"/>
    </row>
    <row r="82" spans="1:27" x14ac:dyDescent="0.25">
      <c r="A82" s="156" t="b">
        <v>0</v>
      </c>
      <c r="B82" s="7">
        <f t="shared" si="8"/>
        <v>81</v>
      </c>
      <c r="C82" s="25" t="e">
        <f>_xlfn.XLOOKUP($D82,Tab_Process_TCs[Process_Name],Tab_Process_TCs[Process_ID],,0,)</f>
        <v>#N/A</v>
      </c>
      <c r="D82" s="152" t="s">
        <v>30</v>
      </c>
      <c r="E82" s="152" t="s">
        <v>30</v>
      </c>
      <c r="F82" s="25" t="e">
        <f>_xlfn.XLOOKUP($D82,Tab_Process_TCs[Process_Name],Tab_Process_TCs[TC_Configuration],,0,)</f>
        <v>#N/A</v>
      </c>
      <c r="G82" s="25" t="e">
        <f>_xlfn.XLOOKUP($D82,Tab_Process_TCs[Process_Name],Tab_Process_TCs[Process_Logic],,0,)</f>
        <v>#N/A</v>
      </c>
      <c r="H82" s="7" t="str">
        <f>_xlfn.XLOOKUP($E82,Tab_Def_Flows[Flow_Name],Tab_Def_Flows[Flow_ID],,0,1)</f>
        <v>F__</v>
      </c>
      <c r="I82" s="8"/>
      <c r="J82" s="20" t="str">
        <f t="shared" si="10"/>
        <v>TC_material_F__</v>
      </c>
      <c r="K82" s="154"/>
      <c r="L82" s="20" t="str">
        <f t="shared" si="11"/>
        <v>TC_WC_F__</v>
      </c>
      <c r="M82" s="154"/>
      <c r="N82" s="20" t="str">
        <f t="shared" si="12"/>
        <v>TC_DM_F__</v>
      </c>
      <c r="O82" s="154"/>
      <c r="P82" s="20" t="str">
        <f t="shared" si="13"/>
        <v>TC_CC_F__</v>
      </c>
      <c r="Q82" s="8"/>
      <c r="R82" s="7" t="e">
        <f>_xlfn.XLOOKUP($D82,#REF!,#REF!,,0,)</f>
        <v>#REF!</v>
      </c>
      <c r="S82" s="20" t="str">
        <f>Tab_Process_TCs2527[[#This Row],[Flow_ID]]</f>
        <v>F__</v>
      </c>
      <c r="T82" s="20" t="e">
        <f t="shared" si="9"/>
        <v>#REF!</v>
      </c>
      <c r="U82" s="27"/>
      <c r="V82" s="30" t="e">
        <f>Tab_Process_TCs2527[[#This Row],[TC O_6_'[%']]]+#REF!+#REF!+#REF!+#REF!+#REF!</f>
        <v>#REF!</v>
      </c>
      <c r="W82" s="8"/>
      <c r="X82" s="8"/>
      <c r="Y82" s="8"/>
      <c r="Z82" s="8"/>
      <c r="AA82" s="8"/>
    </row>
    <row r="83" spans="1:27" x14ac:dyDescent="0.25">
      <c r="A83" s="156" t="b">
        <v>0</v>
      </c>
      <c r="B83" s="7">
        <f t="shared" si="8"/>
        <v>82</v>
      </c>
      <c r="C83" s="25" t="e">
        <f>_xlfn.XLOOKUP($D83,Tab_Process_TCs[Process_Name],Tab_Process_TCs[Process_ID],,0,)</f>
        <v>#N/A</v>
      </c>
      <c r="D83" s="152" t="s">
        <v>30</v>
      </c>
      <c r="E83" s="152" t="s">
        <v>30</v>
      </c>
      <c r="F83" s="25" t="e">
        <f>_xlfn.XLOOKUP($D83,Tab_Process_TCs[Process_Name],Tab_Process_TCs[TC_Configuration],,0,)</f>
        <v>#N/A</v>
      </c>
      <c r="G83" s="25" t="e">
        <f>_xlfn.XLOOKUP($D83,Tab_Process_TCs[Process_Name],Tab_Process_TCs[Process_Logic],,0,)</f>
        <v>#N/A</v>
      </c>
      <c r="H83" s="7" t="str">
        <f>_xlfn.XLOOKUP($E83,Tab_Def_Flows[Flow_Name],Tab_Def_Flows[Flow_ID],,0,1)</f>
        <v>F__</v>
      </c>
      <c r="I83" s="8"/>
      <c r="J83" s="20" t="str">
        <f t="shared" si="10"/>
        <v>TC_material_F__</v>
      </c>
      <c r="K83" s="154"/>
      <c r="L83" s="20" t="str">
        <f t="shared" si="11"/>
        <v>TC_WC_F__</v>
      </c>
      <c r="M83" s="154"/>
      <c r="N83" s="20" t="str">
        <f t="shared" si="12"/>
        <v>TC_DM_F__</v>
      </c>
      <c r="O83" s="154"/>
      <c r="P83" s="20" t="str">
        <f t="shared" si="13"/>
        <v>TC_CC_F__</v>
      </c>
      <c r="Q83" s="8"/>
      <c r="R83" s="7" t="e">
        <f>_xlfn.XLOOKUP($D83,#REF!,#REF!,,0,)</f>
        <v>#REF!</v>
      </c>
      <c r="S83" s="20" t="str">
        <f>Tab_Process_TCs2527[[#This Row],[Flow_ID]]</f>
        <v>F__</v>
      </c>
      <c r="T83" s="20" t="e">
        <f t="shared" si="9"/>
        <v>#REF!</v>
      </c>
      <c r="U83" s="27"/>
      <c r="V83" s="30" t="e">
        <f>Tab_Process_TCs2527[[#This Row],[TC O_6_'[%']]]+#REF!+#REF!+#REF!+#REF!+#REF!</f>
        <v>#REF!</v>
      </c>
      <c r="W83" s="8"/>
      <c r="X83" s="8"/>
      <c r="Y83" s="8"/>
      <c r="Z83" s="8"/>
      <c r="AA83" s="8"/>
    </row>
    <row r="84" spans="1:27" x14ac:dyDescent="0.25">
      <c r="A84" s="156" t="b">
        <v>0</v>
      </c>
      <c r="B84" s="7">
        <f t="shared" si="8"/>
        <v>83</v>
      </c>
      <c r="C84" s="25" t="e">
        <f>_xlfn.XLOOKUP($D84,Tab_Process_TCs[Process_Name],Tab_Process_TCs[Process_ID],,0,)</f>
        <v>#N/A</v>
      </c>
      <c r="D84" s="152" t="s">
        <v>30</v>
      </c>
      <c r="E84" s="152" t="s">
        <v>30</v>
      </c>
      <c r="F84" s="25" t="e">
        <f>_xlfn.XLOOKUP($D84,Tab_Process_TCs[Process_Name],Tab_Process_TCs[TC_Configuration],,0,)</f>
        <v>#N/A</v>
      </c>
      <c r="G84" s="25" t="e">
        <f>_xlfn.XLOOKUP($D84,Tab_Process_TCs[Process_Name],Tab_Process_TCs[Process_Logic],,0,)</f>
        <v>#N/A</v>
      </c>
      <c r="H84" s="7" t="str">
        <f>_xlfn.XLOOKUP($E84,Tab_Def_Flows[Flow_Name],Tab_Def_Flows[Flow_ID],,0,1)</f>
        <v>F__</v>
      </c>
      <c r="I84" s="8"/>
      <c r="J84" s="20" t="str">
        <f t="shared" si="10"/>
        <v>TC_material_F__</v>
      </c>
      <c r="K84" s="154"/>
      <c r="L84" s="20" t="str">
        <f t="shared" si="11"/>
        <v>TC_WC_F__</v>
      </c>
      <c r="M84" s="154"/>
      <c r="N84" s="20" t="str">
        <f t="shared" si="12"/>
        <v>TC_DM_F__</v>
      </c>
      <c r="O84" s="154"/>
      <c r="P84" s="20" t="str">
        <f t="shared" si="13"/>
        <v>TC_CC_F__</v>
      </c>
      <c r="Q84" s="8"/>
      <c r="R84" s="7" t="e">
        <f>_xlfn.XLOOKUP($D84,#REF!,#REF!,,0,)</f>
        <v>#REF!</v>
      </c>
      <c r="S84" s="20" t="str">
        <f>Tab_Process_TCs2527[[#This Row],[Flow_ID]]</f>
        <v>F__</v>
      </c>
      <c r="T84" s="20" t="e">
        <f t="shared" si="9"/>
        <v>#REF!</v>
      </c>
      <c r="U84" s="27"/>
      <c r="V84" s="30" t="e">
        <f>Tab_Process_TCs2527[[#This Row],[TC O_6_'[%']]]+#REF!+#REF!+#REF!+#REF!+#REF!</f>
        <v>#REF!</v>
      </c>
      <c r="W84" s="8"/>
      <c r="X84" s="8"/>
      <c r="Y84" s="8"/>
      <c r="Z84" s="8"/>
      <c r="AA84" s="8"/>
    </row>
    <row r="85" spans="1:27" x14ac:dyDescent="0.25">
      <c r="A85" s="156" t="b">
        <v>0</v>
      </c>
      <c r="B85" s="7">
        <f t="shared" si="8"/>
        <v>84</v>
      </c>
      <c r="C85" s="25" t="e">
        <f>_xlfn.XLOOKUP($D85,Tab_Process_TCs[Process_Name],Tab_Process_TCs[Process_ID],,0,)</f>
        <v>#N/A</v>
      </c>
      <c r="D85" s="152" t="s">
        <v>30</v>
      </c>
      <c r="E85" s="152" t="s">
        <v>30</v>
      </c>
      <c r="F85" s="25" t="e">
        <f>_xlfn.XLOOKUP($D85,Tab_Process_TCs[Process_Name],Tab_Process_TCs[TC_Configuration],,0,)</f>
        <v>#N/A</v>
      </c>
      <c r="G85" s="25" t="e">
        <f>_xlfn.XLOOKUP($D85,Tab_Process_TCs[Process_Name],Tab_Process_TCs[Process_Logic],,0,)</f>
        <v>#N/A</v>
      </c>
      <c r="H85" s="7" t="str">
        <f>_xlfn.XLOOKUP($E85,Tab_Def_Flows[Flow_Name],Tab_Def_Flows[Flow_ID],,0,1)</f>
        <v>F__</v>
      </c>
      <c r="I85" s="8"/>
      <c r="J85" s="20" t="str">
        <f t="shared" si="10"/>
        <v>TC_material_F__</v>
      </c>
      <c r="K85" s="154"/>
      <c r="L85" s="20" t="str">
        <f t="shared" si="11"/>
        <v>TC_WC_F__</v>
      </c>
      <c r="M85" s="154"/>
      <c r="N85" s="20" t="str">
        <f t="shared" si="12"/>
        <v>TC_DM_F__</v>
      </c>
      <c r="O85" s="154"/>
      <c r="P85" s="20" t="str">
        <f t="shared" si="13"/>
        <v>TC_CC_F__</v>
      </c>
      <c r="Q85" s="8"/>
      <c r="R85" s="7" t="e">
        <f>_xlfn.XLOOKUP($D85,#REF!,#REF!,,0,)</f>
        <v>#REF!</v>
      </c>
      <c r="S85" s="20" t="str">
        <f>Tab_Process_TCs2527[[#This Row],[Flow_ID]]</f>
        <v>F__</v>
      </c>
      <c r="T85" s="20" t="e">
        <f t="shared" si="9"/>
        <v>#REF!</v>
      </c>
      <c r="U85" s="27"/>
      <c r="V85" s="30" t="e">
        <f>Tab_Process_TCs2527[[#This Row],[TC O_6_'[%']]]+#REF!+#REF!+#REF!+#REF!+#REF!</f>
        <v>#REF!</v>
      </c>
      <c r="W85" s="8"/>
      <c r="X85" s="8"/>
      <c r="Y85" s="8"/>
      <c r="Z85" s="8"/>
      <c r="AA85" s="8"/>
    </row>
    <row r="86" spans="1:27" x14ac:dyDescent="0.25">
      <c r="A86" s="156" t="b">
        <v>0</v>
      </c>
      <c r="B86" s="7">
        <f t="shared" si="8"/>
        <v>85</v>
      </c>
      <c r="C86" s="25" t="e">
        <f>_xlfn.XLOOKUP($D86,Tab_Process_TCs[Process_Name],Tab_Process_TCs[Process_ID],,0,)</f>
        <v>#N/A</v>
      </c>
      <c r="D86" s="152" t="s">
        <v>30</v>
      </c>
      <c r="E86" s="152" t="s">
        <v>30</v>
      </c>
      <c r="F86" s="25" t="e">
        <f>_xlfn.XLOOKUP($D86,Tab_Process_TCs[Process_Name],Tab_Process_TCs[TC_Configuration],,0,)</f>
        <v>#N/A</v>
      </c>
      <c r="G86" s="25" t="e">
        <f>_xlfn.XLOOKUP($D86,Tab_Process_TCs[Process_Name],Tab_Process_TCs[Process_Logic],,0,)</f>
        <v>#N/A</v>
      </c>
      <c r="H86" s="7" t="str">
        <f>_xlfn.XLOOKUP($E86,Tab_Def_Flows[Flow_Name],Tab_Def_Flows[Flow_ID],,0,1)</f>
        <v>F__</v>
      </c>
      <c r="I86" s="8"/>
      <c r="J86" s="20" t="str">
        <f t="shared" si="10"/>
        <v>TC_material_F__</v>
      </c>
      <c r="K86" s="154"/>
      <c r="L86" s="20" t="str">
        <f t="shared" si="11"/>
        <v>TC_WC_F__</v>
      </c>
      <c r="M86" s="154"/>
      <c r="N86" s="20" t="str">
        <f t="shared" si="12"/>
        <v>TC_DM_F__</v>
      </c>
      <c r="O86" s="154"/>
      <c r="P86" s="20" t="str">
        <f t="shared" si="13"/>
        <v>TC_CC_F__</v>
      </c>
      <c r="Q86" s="8"/>
      <c r="R86" s="7" t="e">
        <f>_xlfn.XLOOKUP($D86,#REF!,#REF!,,0,)</f>
        <v>#REF!</v>
      </c>
      <c r="S86" s="20" t="str">
        <f>Tab_Process_TCs2527[[#This Row],[Flow_ID]]</f>
        <v>F__</v>
      </c>
      <c r="T86" s="20" t="e">
        <f t="shared" si="9"/>
        <v>#REF!</v>
      </c>
      <c r="U86" s="27"/>
      <c r="V86" s="30" t="e">
        <f>Tab_Process_TCs2527[[#This Row],[TC O_6_'[%']]]+#REF!+#REF!+#REF!+#REF!+#REF!</f>
        <v>#REF!</v>
      </c>
      <c r="W86" s="8"/>
      <c r="X86" s="8"/>
      <c r="Y86" s="8"/>
      <c r="Z86" s="8"/>
      <c r="AA86" s="8"/>
    </row>
    <row r="87" spans="1:27" x14ac:dyDescent="0.25">
      <c r="A87" s="156" t="b">
        <v>0</v>
      </c>
      <c r="B87" s="7">
        <f t="shared" si="8"/>
        <v>86</v>
      </c>
      <c r="C87" s="25" t="e">
        <f>_xlfn.XLOOKUP($D87,Tab_Process_TCs[Process_Name],Tab_Process_TCs[Process_ID],,0,)</f>
        <v>#N/A</v>
      </c>
      <c r="D87" s="152" t="s">
        <v>30</v>
      </c>
      <c r="E87" s="152" t="s">
        <v>30</v>
      </c>
      <c r="F87" s="25" t="e">
        <f>_xlfn.XLOOKUP($D87,Tab_Process_TCs[Process_Name],Tab_Process_TCs[TC_Configuration],,0,)</f>
        <v>#N/A</v>
      </c>
      <c r="G87" s="25" t="e">
        <f>_xlfn.XLOOKUP($D87,Tab_Process_TCs[Process_Name],Tab_Process_TCs[Process_Logic],,0,)</f>
        <v>#N/A</v>
      </c>
      <c r="H87" s="7" t="str">
        <f>_xlfn.XLOOKUP($E87,Tab_Def_Flows[Flow_Name],Tab_Def_Flows[Flow_ID],,0,1)</f>
        <v>F__</v>
      </c>
      <c r="I87" s="8"/>
      <c r="J87" s="20" t="str">
        <f t="shared" si="10"/>
        <v>TC_material_F__</v>
      </c>
      <c r="K87" s="154"/>
      <c r="L87" s="20" t="str">
        <f t="shared" si="11"/>
        <v>TC_WC_F__</v>
      </c>
      <c r="M87" s="154"/>
      <c r="N87" s="20" t="str">
        <f t="shared" si="12"/>
        <v>TC_DM_F__</v>
      </c>
      <c r="O87" s="154"/>
      <c r="P87" s="20" t="str">
        <f t="shared" si="13"/>
        <v>TC_CC_F__</v>
      </c>
      <c r="Q87" s="8"/>
      <c r="R87" s="7" t="e">
        <f>_xlfn.XLOOKUP($D87,#REF!,#REF!,,0,)</f>
        <v>#REF!</v>
      </c>
      <c r="S87" s="20" t="str">
        <f>Tab_Process_TCs2527[[#This Row],[Flow_ID]]</f>
        <v>F__</v>
      </c>
      <c r="T87" s="20" t="e">
        <f t="shared" si="9"/>
        <v>#REF!</v>
      </c>
      <c r="U87" s="27"/>
      <c r="V87" s="30" t="e">
        <f>Tab_Process_TCs2527[[#This Row],[TC O_6_'[%']]]+#REF!+#REF!+#REF!+#REF!+#REF!</f>
        <v>#REF!</v>
      </c>
      <c r="W87" s="8"/>
      <c r="X87" s="8"/>
      <c r="Y87" s="8"/>
      <c r="Z87" s="8"/>
      <c r="AA87" s="8"/>
    </row>
    <row r="88" spans="1:27" x14ac:dyDescent="0.25">
      <c r="A88" s="156" t="b">
        <v>0</v>
      </c>
      <c r="B88" s="7">
        <f t="shared" si="8"/>
        <v>87</v>
      </c>
      <c r="C88" s="25" t="e">
        <f>_xlfn.XLOOKUP($D88,Tab_Process_TCs[Process_Name],Tab_Process_TCs[Process_ID],,0,)</f>
        <v>#N/A</v>
      </c>
      <c r="D88" s="152" t="s">
        <v>30</v>
      </c>
      <c r="E88" s="152" t="s">
        <v>30</v>
      </c>
      <c r="F88" s="25" t="e">
        <f>_xlfn.XLOOKUP($D88,Tab_Process_TCs[Process_Name],Tab_Process_TCs[TC_Configuration],,0,)</f>
        <v>#N/A</v>
      </c>
      <c r="G88" s="25" t="e">
        <f>_xlfn.XLOOKUP($D88,Tab_Process_TCs[Process_Name],Tab_Process_TCs[Process_Logic],,0,)</f>
        <v>#N/A</v>
      </c>
      <c r="H88" s="7" t="str">
        <f>_xlfn.XLOOKUP($E88,Tab_Def_Flows[Flow_Name],Tab_Def_Flows[Flow_ID],,0,1)</f>
        <v>F__</v>
      </c>
      <c r="I88" s="8"/>
      <c r="J88" s="20" t="str">
        <f t="shared" si="10"/>
        <v>TC_material_F__</v>
      </c>
      <c r="K88" s="154"/>
      <c r="L88" s="20" t="str">
        <f t="shared" si="11"/>
        <v>TC_WC_F__</v>
      </c>
      <c r="M88" s="154"/>
      <c r="N88" s="20" t="str">
        <f t="shared" si="12"/>
        <v>TC_DM_F__</v>
      </c>
      <c r="O88" s="154"/>
      <c r="P88" s="20" t="str">
        <f t="shared" si="13"/>
        <v>TC_CC_F__</v>
      </c>
      <c r="Q88" s="8"/>
      <c r="R88" s="7" t="e">
        <f>_xlfn.XLOOKUP($D88,#REF!,#REF!,,0,)</f>
        <v>#REF!</v>
      </c>
      <c r="S88" s="20" t="str">
        <f>Tab_Process_TCs2527[[#This Row],[Flow_ID]]</f>
        <v>F__</v>
      </c>
      <c r="T88" s="20" t="e">
        <f t="shared" si="9"/>
        <v>#REF!</v>
      </c>
      <c r="U88" s="27"/>
      <c r="V88" s="30" t="e">
        <f>Tab_Process_TCs2527[[#This Row],[TC O_6_'[%']]]+#REF!+#REF!+#REF!+#REF!+#REF!</f>
        <v>#REF!</v>
      </c>
      <c r="W88" s="8"/>
      <c r="X88" s="8"/>
      <c r="Y88" s="8"/>
      <c r="Z88" s="8"/>
      <c r="AA88" s="8"/>
    </row>
    <row r="89" spans="1:27" x14ac:dyDescent="0.25">
      <c r="A89" s="156" t="b">
        <v>0</v>
      </c>
      <c r="B89" s="7">
        <f t="shared" si="8"/>
        <v>88</v>
      </c>
      <c r="C89" s="25" t="e">
        <f>_xlfn.XLOOKUP($D89,Tab_Process_TCs[Process_Name],Tab_Process_TCs[Process_ID],,0,)</f>
        <v>#N/A</v>
      </c>
      <c r="D89" s="152" t="s">
        <v>30</v>
      </c>
      <c r="E89" s="152" t="s">
        <v>30</v>
      </c>
      <c r="F89" s="25" t="e">
        <f>_xlfn.XLOOKUP($D89,Tab_Process_TCs[Process_Name],Tab_Process_TCs[TC_Configuration],,0,)</f>
        <v>#N/A</v>
      </c>
      <c r="G89" s="25" t="e">
        <f>_xlfn.XLOOKUP($D89,Tab_Process_TCs[Process_Name],Tab_Process_TCs[Process_Logic],,0,)</f>
        <v>#N/A</v>
      </c>
      <c r="H89" s="7" t="str">
        <f>_xlfn.XLOOKUP($E89,Tab_Def_Flows[Flow_Name],Tab_Def_Flows[Flow_ID],,0,1)</f>
        <v>F__</v>
      </c>
      <c r="I89" s="8"/>
      <c r="J89" s="20" t="str">
        <f t="shared" si="10"/>
        <v>TC_material_F__</v>
      </c>
      <c r="K89" s="154"/>
      <c r="L89" s="20" t="str">
        <f t="shared" si="11"/>
        <v>TC_WC_F__</v>
      </c>
      <c r="M89" s="154"/>
      <c r="N89" s="20" t="str">
        <f t="shared" si="12"/>
        <v>TC_DM_F__</v>
      </c>
      <c r="O89" s="154"/>
      <c r="P89" s="20" t="str">
        <f t="shared" si="13"/>
        <v>TC_CC_F__</v>
      </c>
      <c r="Q89" s="8"/>
      <c r="R89" s="7" t="e">
        <f>_xlfn.XLOOKUP($D89,#REF!,#REF!,,0,)</f>
        <v>#REF!</v>
      </c>
      <c r="S89" s="20" t="str">
        <f>Tab_Process_TCs2527[[#This Row],[Flow_ID]]</f>
        <v>F__</v>
      </c>
      <c r="T89" s="20" t="e">
        <f t="shared" si="9"/>
        <v>#REF!</v>
      </c>
      <c r="U89" s="27"/>
      <c r="V89" s="30" t="e">
        <f>Tab_Process_TCs2527[[#This Row],[TC O_6_'[%']]]+#REF!+#REF!+#REF!+#REF!+#REF!</f>
        <v>#REF!</v>
      </c>
      <c r="W89" s="8"/>
      <c r="X89" s="8"/>
      <c r="Y89" s="8"/>
      <c r="Z89" s="8"/>
      <c r="AA89" s="8"/>
    </row>
    <row r="90" spans="1:27" x14ac:dyDescent="0.25">
      <c r="A90" s="156" t="b">
        <v>0</v>
      </c>
      <c r="B90" s="7">
        <f t="shared" si="8"/>
        <v>89</v>
      </c>
      <c r="C90" s="25" t="e">
        <f>_xlfn.XLOOKUP($D90,Tab_Process_TCs[Process_Name],Tab_Process_TCs[Process_ID],,0,)</f>
        <v>#N/A</v>
      </c>
      <c r="D90" s="152" t="s">
        <v>30</v>
      </c>
      <c r="E90" s="152" t="s">
        <v>30</v>
      </c>
      <c r="F90" s="25" t="e">
        <f>_xlfn.XLOOKUP($D90,Tab_Process_TCs[Process_Name],Tab_Process_TCs[TC_Configuration],,0,)</f>
        <v>#N/A</v>
      </c>
      <c r="G90" s="25" t="e">
        <f>_xlfn.XLOOKUP($D90,Tab_Process_TCs[Process_Name],Tab_Process_TCs[Process_Logic],,0,)</f>
        <v>#N/A</v>
      </c>
      <c r="H90" s="7" t="str">
        <f>_xlfn.XLOOKUP($E90,Tab_Def_Flows[Flow_Name],Tab_Def_Flows[Flow_ID],,0,1)</f>
        <v>F__</v>
      </c>
      <c r="I90" s="8"/>
      <c r="J90" s="20" t="str">
        <f t="shared" si="10"/>
        <v>TC_material_F__</v>
      </c>
      <c r="K90" s="154"/>
      <c r="L90" s="20" t="str">
        <f t="shared" si="11"/>
        <v>TC_WC_F__</v>
      </c>
      <c r="M90" s="154"/>
      <c r="N90" s="20" t="str">
        <f t="shared" si="12"/>
        <v>TC_DM_F__</v>
      </c>
      <c r="O90" s="154"/>
      <c r="P90" s="20" t="str">
        <f t="shared" si="13"/>
        <v>TC_CC_F__</v>
      </c>
      <c r="Q90" s="8"/>
      <c r="R90" s="7" t="e">
        <f>_xlfn.XLOOKUP($D90,#REF!,#REF!,,0,)</f>
        <v>#REF!</v>
      </c>
      <c r="S90" s="20" t="str">
        <f>Tab_Process_TCs2527[[#This Row],[Flow_ID]]</f>
        <v>F__</v>
      </c>
      <c r="T90" s="20" t="e">
        <f t="shared" si="9"/>
        <v>#REF!</v>
      </c>
      <c r="U90" s="27"/>
      <c r="V90" s="30" t="e">
        <f>Tab_Process_TCs2527[[#This Row],[TC O_6_'[%']]]+#REF!+#REF!+#REF!+#REF!+#REF!</f>
        <v>#REF!</v>
      </c>
      <c r="W90" s="8"/>
      <c r="X90" s="8"/>
      <c r="Y90" s="8"/>
      <c r="Z90" s="8"/>
      <c r="AA90" s="8"/>
    </row>
    <row r="91" spans="1:27" x14ac:dyDescent="0.25">
      <c r="A91" s="156" t="b">
        <v>0</v>
      </c>
      <c r="B91" s="7">
        <f t="shared" si="8"/>
        <v>90</v>
      </c>
      <c r="C91" s="25" t="e">
        <f>_xlfn.XLOOKUP($D91,Tab_Process_TCs[Process_Name],Tab_Process_TCs[Process_ID],,0,)</f>
        <v>#N/A</v>
      </c>
      <c r="D91" s="152" t="s">
        <v>30</v>
      </c>
      <c r="E91" s="152" t="s">
        <v>30</v>
      </c>
      <c r="F91" s="25" t="e">
        <f>_xlfn.XLOOKUP($D91,Tab_Process_TCs[Process_Name],Tab_Process_TCs[TC_Configuration],,0,)</f>
        <v>#N/A</v>
      </c>
      <c r="G91" s="25" t="e">
        <f>_xlfn.XLOOKUP($D91,Tab_Process_TCs[Process_Name],Tab_Process_TCs[Process_Logic],,0,)</f>
        <v>#N/A</v>
      </c>
      <c r="H91" s="7" t="str">
        <f>_xlfn.XLOOKUP($E91,Tab_Def_Flows[Flow_Name],Tab_Def_Flows[Flow_ID],,0,1)</f>
        <v>F__</v>
      </c>
      <c r="I91" s="8"/>
      <c r="J91" s="20" t="str">
        <f t="shared" si="10"/>
        <v>TC_material_F__</v>
      </c>
      <c r="K91" s="154"/>
      <c r="L91" s="20" t="str">
        <f t="shared" si="11"/>
        <v>TC_WC_F__</v>
      </c>
      <c r="M91" s="154"/>
      <c r="N91" s="20" t="str">
        <f t="shared" si="12"/>
        <v>TC_DM_F__</v>
      </c>
      <c r="O91" s="154"/>
      <c r="P91" s="20" t="str">
        <f t="shared" si="13"/>
        <v>TC_CC_F__</v>
      </c>
      <c r="Q91" s="8"/>
      <c r="R91" s="7" t="e">
        <f>_xlfn.XLOOKUP($D91,#REF!,#REF!,,0,)</f>
        <v>#REF!</v>
      </c>
      <c r="S91" s="20" t="str">
        <f>Tab_Process_TCs2527[[#This Row],[Flow_ID]]</f>
        <v>F__</v>
      </c>
      <c r="T91" s="20" t="e">
        <f t="shared" si="9"/>
        <v>#REF!</v>
      </c>
      <c r="U91" s="27"/>
      <c r="V91" s="30" t="e">
        <f>Tab_Process_TCs2527[[#This Row],[TC O_6_'[%']]]+#REF!+#REF!+#REF!+#REF!+#REF!</f>
        <v>#REF!</v>
      </c>
      <c r="W91" s="8"/>
      <c r="X91" s="8"/>
      <c r="Y91" s="8"/>
      <c r="Z91" s="8"/>
      <c r="AA91" s="8"/>
    </row>
    <row r="92" spans="1:27" x14ac:dyDescent="0.25">
      <c r="A92" s="156" t="b">
        <v>0</v>
      </c>
      <c r="B92" s="7">
        <f t="shared" si="8"/>
        <v>91</v>
      </c>
      <c r="C92" s="25" t="e">
        <f>_xlfn.XLOOKUP($D92,Tab_Process_TCs[Process_Name],Tab_Process_TCs[Process_ID],,0,)</f>
        <v>#N/A</v>
      </c>
      <c r="D92" s="152" t="s">
        <v>30</v>
      </c>
      <c r="E92" s="152" t="s">
        <v>30</v>
      </c>
      <c r="F92" s="25" t="e">
        <f>_xlfn.XLOOKUP($D92,Tab_Process_TCs[Process_Name],Tab_Process_TCs[TC_Configuration],,0,)</f>
        <v>#N/A</v>
      </c>
      <c r="G92" s="25" t="e">
        <f>_xlfn.XLOOKUP($D92,Tab_Process_TCs[Process_Name],Tab_Process_TCs[Process_Logic],,0,)</f>
        <v>#N/A</v>
      </c>
      <c r="H92" s="7" t="str">
        <f>_xlfn.XLOOKUP($E92,Tab_Def_Flows[Flow_Name],Tab_Def_Flows[Flow_ID],,0,1)</f>
        <v>F__</v>
      </c>
      <c r="I92" s="8"/>
      <c r="J92" s="20" t="str">
        <f t="shared" si="10"/>
        <v>TC_material_F__</v>
      </c>
      <c r="K92" s="154"/>
      <c r="L92" s="20" t="str">
        <f t="shared" si="11"/>
        <v>TC_WC_F__</v>
      </c>
      <c r="M92" s="154"/>
      <c r="N92" s="20" t="str">
        <f t="shared" si="12"/>
        <v>TC_DM_F__</v>
      </c>
      <c r="O92" s="154"/>
      <c r="P92" s="20" t="str">
        <f t="shared" si="13"/>
        <v>TC_CC_F__</v>
      </c>
      <c r="Q92" s="8"/>
      <c r="R92" s="7" t="e">
        <f>_xlfn.XLOOKUP($D92,#REF!,#REF!,,0,)</f>
        <v>#REF!</v>
      </c>
      <c r="S92" s="20" t="str">
        <f>Tab_Process_TCs2527[[#This Row],[Flow_ID]]</f>
        <v>F__</v>
      </c>
      <c r="T92" s="20" t="e">
        <f t="shared" si="9"/>
        <v>#REF!</v>
      </c>
      <c r="U92" s="27"/>
      <c r="V92" s="30" t="e">
        <f>Tab_Process_TCs2527[[#This Row],[TC O_6_'[%']]]+#REF!+#REF!+#REF!+#REF!+#REF!</f>
        <v>#REF!</v>
      </c>
      <c r="W92" s="8"/>
      <c r="X92" s="8"/>
      <c r="Y92" s="8"/>
      <c r="Z92" s="8"/>
      <c r="AA92" s="8"/>
    </row>
    <row r="93" spans="1:27" x14ac:dyDescent="0.25">
      <c r="A93" s="156" t="b">
        <v>0</v>
      </c>
      <c r="B93" s="7">
        <f t="shared" si="8"/>
        <v>92</v>
      </c>
      <c r="C93" s="25" t="e">
        <f>_xlfn.XLOOKUP($D93,Tab_Process_TCs[Process_Name],Tab_Process_TCs[Process_ID],,0,)</f>
        <v>#N/A</v>
      </c>
      <c r="D93" s="152" t="s">
        <v>30</v>
      </c>
      <c r="E93" s="152" t="s">
        <v>30</v>
      </c>
      <c r="F93" s="25" t="e">
        <f>_xlfn.XLOOKUP($D93,Tab_Process_TCs[Process_Name],Tab_Process_TCs[TC_Configuration],,0,)</f>
        <v>#N/A</v>
      </c>
      <c r="G93" s="25" t="e">
        <f>_xlfn.XLOOKUP($D93,Tab_Process_TCs[Process_Name],Tab_Process_TCs[Process_Logic],,0,)</f>
        <v>#N/A</v>
      </c>
      <c r="H93" s="7" t="str">
        <f>_xlfn.XLOOKUP($E93,Tab_Def_Flows[Flow_Name],Tab_Def_Flows[Flow_ID],,0,1)</f>
        <v>F__</v>
      </c>
      <c r="I93" s="8"/>
      <c r="J93" s="20" t="str">
        <f t="shared" si="10"/>
        <v>TC_material_F__</v>
      </c>
      <c r="K93" s="154"/>
      <c r="L93" s="20" t="str">
        <f t="shared" si="11"/>
        <v>TC_WC_F__</v>
      </c>
      <c r="M93" s="154"/>
      <c r="N93" s="20" t="str">
        <f t="shared" si="12"/>
        <v>TC_DM_F__</v>
      </c>
      <c r="O93" s="154"/>
      <c r="P93" s="20" t="str">
        <f t="shared" si="13"/>
        <v>TC_CC_F__</v>
      </c>
      <c r="Q93" s="8"/>
      <c r="R93" s="7" t="e">
        <f>_xlfn.XLOOKUP($D93,#REF!,#REF!,,0,)</f>
        <v>#REF!</v>
      </c>
      <c r="S93" s="20" t="str">
        <f>Tab_Process_TCs2527[[#This Row],[Flow_ID]]</f>
        <v>F__</v>
      </c>
      <c r="T93" s="20" t="e">
        <f t="shared" si="9"/>
        <v>#REF!</v>
      </c>
      <c r="U93" s="27"/>
      <c r="V93" s="30" t="e">
        <f>Tab_Process_TCs2527[[#This Row],[TC O_6_'[%']]]+#REF!+#REF!+#REF!+#REF!+#REF!</f>
        <v>#REF!</v>
      </c>
      <c r="W93" s="8"/>
      <c r="X93" s="8"/>
      <c r="Y93" s="8"/>
      <c r="Z93" s="8"/>
      <c r="AA93" s="8"/>
    </row>
    <row r="94" spans="1:27" x14ac:dyDescent="0.25">
      <c r="A94" s="156" t="b">
        <v>0</v>
      </c>
      <c r="B94" s="7">
        <f t="shared" si="8"/>
        <v>93</v>
      </c>
      <c r="C94" s="25" t="e">
        <f>_xlfn.XLOOKUP($D94,Tab_Process_TCs[Process_Name],Tab_Process_TCs[Process_ID],,0,)</f>
        <v>#N/A</v>
      </c>
      <c r="D94" s="152" t="s">
        <v>30</v>
      </c>
      <c r="E94" s="152" t="s">
        <v>30</v>
      </c>
      <c r="F94" s="25" t="e">
        <f>_xlfn.XLOOKUP($D94,Tab_Process_TCs[Process_Name],Tab_Process_TCs[TC_Configuration],,0,)</f>
        <v>#N/A</v>
      </c>
      <c r="G94" s="25" t="e">
        <f>_xlfn.XLOOKUP($D94,Tab_Process_TCs[Process_Name],Tab_Process_TCs[Process_Logic],,0,)</f>
        <v>#N/A</v>
      </c>
      <c r="H94" s="7" t="str">
        <f>_xlfn.XLOOKUP($E94,Tab_Def_Flows[Flow_Name],Tab_Def_Flows[Flow_ID],,0,1)</f>
        <v>F__</v>
      </c>
      <c r="I94" s="8"/>
      <c r="J94" s="20" t="str">
        <f t="shared" si="10"/>
        <v>TC_material_F__</v>
      </c>
      <c r="K94" s="154"/>
      <c r="L94" s="20" t="str">
        <f t="shared" si="11"/>
        <v>TC_WC_F__</v>
      </c>
      <c r="M94" s="154"/>
      <c r="N94" s="20" t="str">
        <f t="shared" si="12"/>
        <v>TC_DM_F__</v>
      </c>
      <c r="O94" s="154"/>
      <c r="P94" s="20" t="str">
        <f t="shared" si="13"/>
        <v>TC_CC_F__</v>
      </c>
      <c r="Q94" s="8"/>
      <c r="R94" s="7" t="e">
        <f>_xlfn.XLOOKUP($D94,#REF!,#REF!,,0,)</f>
        <v>#REF!</v>
      </c>
      <c r="S94" s="20" t="str">
        <f>Tab_Process_TCs2527[[#This Row],[Flow_ID]]</f>
        <v>F__</v>
      </c>
      <c r="T94" s="20" t="e">
        <f t="shared" si="9"/>
        <v>#REF!</v>
      </c>
      <c r="U94" s="27"/>
      <c r="V94" s="30" t="e">
        <f>Tab_Process_TCs2527[[#This Row],[TC O_6_'[%']]]+#REF!+#REF!+#REF!+#REF!+#REF!</f>
        <v>#REF!</v>
      </c>
      <c r="W94" s="8"/>
      <c r="X94" s="8"/>
      <c r="Y94" s="8"/>
      <c r="Z94" s="8"/>
      <c r="AA94" s="8"/>
    </row>
    <row r="95" spans="1:27" x14ac:dyDescent="0.25">
      <c r="A95" s="156" t="b">
        <v>0</v>
      </c>
      <c r="B95" s="7">
        <f t="shared" si="8"/>
        <v>94</v>
      </c>
      <c r="C95" s="25" t="e">
        <f>_xlfn.XLOOKUP($D95,Tab_Process_TCs[Process_Name],Tab_Process_TCs[Process_ID],,0,)</f>
        <v>#N/A</v>
      </c>
      <c r="D95" s="152" t="s">
        <v>30</v>
      </c>
      <c r="E95" s="152" t="s">
        <v>30</v>
      </c>
      <c r="F95" s="25" t="e">
        <f>_xlfn.XLOOKUP($D95,Tab_Process_TCs[Process_Name],Tab_Process_TCs[TC_Configuration],,0,)</f>
        <v>#N/A</v>
      </c>
      <c r="G95" s="25" t="e">
        <f>_xlfn.XLOOKUP($D95,Tab_Process_TCs[Process_Name],Tab_Process_TCs[Process_Logic],,0,)</f>
        <v>#N/A</v>
      </c>
      <c r="H95" s="7" t="str">
        <f>_xlfn.XLOOKUP($E95,Tab_Def_Flows[Flow_Name],Tab_Def_Flows[Flow_ID],,0,1)</f>
        <v>F__</v>
      </c>
      <c r="I95" s="8"/>
      <c r="J95" s="20" t="str">
        <f t="shared" si="10"/>
        <v>TC_material_F__</v>
      </c>
      <c r="K95" s="154"/>
      <c r="L95" s="20" t="str">
        <f t="shared" si="11"/>
        <v>TC_WC_F__</v>
      </c>
      <c r="M95" s="154"/>
      <c r="N95" s="20" t="str">
        <f t="shared" si="12"/>
        <v>TC_DM_F__</v>
      </c>
      <c r="O95" s="154"/>
      <c r="P95" s="20" t="str">
        <f t="shared" si="13"/>
        <v>TC_CC_F__</v>
      </c>
      <c r="Q95" s="8"/>
      <c r="R95" s="7" t="e">
        <f>_xlfn.XLOOKUP($D95,#REF!,#REF!,,0,)</f>
        <v>#REF!</v>
      </c>
      <c r="S95" s="20" t="str">
        <f>Tab_Process_TCs2527[[#This Row],[Flow_ID]]</f>
        <v>F__</v>
      </c>
      <c r="T95" s="20" t="e">
        <f t="shared" si="9"/>
        <v>#REF!</v>
      </c>
      <c r="U95" s="27"/>
      <c r="V95" s="30" t="e">
        <f>Tab_Process_TCs2527[[#This Row],[TC O_6_'[%']]]+#REF!+#REF!+#REF!+#REF!+#REF!</f>
        <v>#REF!</v>
      </c>
      <c r="W95" s="8"/>
      <c r="X95" s="8"/>
      <c r="Y95" s="8"/>
      <c r="Z95" s="8"/>
      <c r="AA95" s="8"/>
    </row>
    <row r="96" spans="1:27" x14ac:dyDescent="0.25">
      <c r="A96" s="156" t="b">
        <v>0</v>
      </c>
      <c r="B96" s="7">
        <f t="shared" ref="B96:B127" si="14">ROW()-1</f>
        <v>95</v>
      </c>
      <c r="C96" s="25" t="e">
        <f>_xlfn.XLOOKUP($D96,Tab_Process_TCs[Process_Name],Tab_Process_TCs[Process_ID],,0,)</f>
        <v>#N/A</v>
      </c>
      <c r="D96" s="152" t="s">
        <v>30</v>
      </c>
      <c r="E96" s="152" t="s">
        <v>30</v>
      </c>
      <c r="F96" s="25" t="e">
        <f>_xlfn.XLOOKUP($D96,Tab_Process_TCs[Process_Name],Tab_Process_TCs[TC_Configuration],,0,)</f>
        <v>#N/A</v>
      </c>
      <c r="G96" s="25" t="e">
        <f>_xlfn.XLOOKUP($D96,Tab_Process_TCs[Process_Name],Tab_Process_TCs[Process_Logic],,0,)</f>
        <v>#N/A</v>
      </c>
      <c r="H96" s="7" t="str">
        <f>_xlfn.XLOOKUP($E96,Tab_Def_Flows[Flow_Name],Tab_Def_Flows[Flow_ID],,0,1)</f>
        <v>F__</v>
      </c>
      <c r="I96" s="8"/>
      <c r="J96" s="20" t="str">
        <f t="shared" si="10"/>
        <v>TC_material_F__</v>
      </c>
      <c r="K96" s="154"/>
      <c r="L96" s="20" t="str">
        <f t="shared" si="11"/>
        <v>TC_WC_F__</v>
      </c>
      <c r="M96" s="154"/>
      <c r="N96" s="20" t="str">
        <f t="shared" si="12"/>
        <v>TC_DM_F__</v>
      </c>
      <c r="O96" s="154"/>
      <c r="P96" s="20" t="str">
        <f t="shared" si="13"/>
        <v>TC_CC_F__</v>
      </c>
      <c r="Q96" s="8"/>
      <c r="R96" s="7" t="e">
        <f>_xlfn.XLOOKUP($D96,#REF!,#REF!,,0,)</f>
        <v>#REF!</v>
      </c>
      <c r="S96" s="20" t="str">
        <f>Tab_Process_TCs2527[[#This Row],[Flow_ID]]</f>
        <v>F__</v>
      </c>
      <c r="T96" s="20" t="e">
        <f t="shared" ref="T96:T127" si="15">"TC"&amp;"_"&amp;RIGHT(R96,5)</f>
        <v>#REF!</v>
      </c>
      <c r="U96" s="27"/>
      <c r="V96" s="30" t="e">
        <f>Tab_Process_TCs2527[[#This Row],[TC O_6_'[%']]]+#REF!+#REF!+#REF!+#REF!+#REF!</f>
        <v>#REF!</v>
      </c>
      <c r="W96" s="8"/>
      <c r="X96" s="8"/>
      <c r="Y96" s="8"/>
      <c r="Z96" s="8"/>
      <c r="AA96" s="8"/>
    </row>
    <row r="97" spans="1:27" x14ac:dyDescent="0.25">
      <c r="A97" s="156" t="b">
        <v>0</v>
      </c>
      <c r="B97" s="7">
        <f t="shared" si="14"/>
        <v>96</v>
      </c>
      <c r="C97" s="25" t="e">
        <f>_xlfn.XLOOKUP($D97,Tab_Process_TCs[Process_Name],Tab_Process_TCs[Process_ID],,0,)</f>
        <v>#N/A</v>
      </c>
      <c r="D97" s="152" t="s">
        <v>30</v>
      </c>
      <c r="E97" s="152" t="s">
        <v>30</v>
      </c>
      <c r="F97" s="25" t="e">
        <f>_xlfn.XLOOKUP($D97,Tab_Process_TCs[Process_Name],Tab_Process_TCs[TC_Configuration],,0,)</f>
        <v>#N/A</v>
      </c>
      <c r="G97" s="25" t="e">
        <f>_xlfn.XLOOKUP($D97,Tab_Process_TCs[Process_Name],Tab_Process_TCs[Process_Logic],,0,)</f>
        <v>#N/A</v>
      </c>
      <c r="H97" s="7" t="str">
        <f>_xlfn.XLOOKUP($E97,Tab_Def_Flows[Flow_Name],Tab_Def_Flows[Flow_ID],,0,1)</f>
        <v>F__</v>
      </c>
      <c r="I97" s="8"/>
      <c r="J97" s="20" t="str">
        <f t="shared" si="10"/>
        <v>TC_material_F__</v>
      </c>
      <c r="K97" s="154"/>
      <c r="L97" s="20" t="str">
        <f t="shared" si="11"/>
        <v>TC_WC_F__</v>
      </c>
      <c r="M97" s="154"/>
      <c r="N97" s="20" t="str">
        <f t="shared" si="12"/>
        <v>TC_DM_F__</v>
      </c>
      <c r="O97" s="154"/>
      <c r="P97" s="20" t="str">
        <f t="shared" si="13"/>
        <v>TC_CC_F__</v>
      </c>
      <c r="Q97" s="8"/>
      <c r="R97" s="7" t="e">
        <f>_xlfn.XLOOKUP($D97,#REF!,#REF!,,0,)</f>
        <v>#REF!</v>
      </c>
      <c r="S97" s="20" t="str">
        <f>Tab_Process_TCs2527[[#This Row],[Flow_ID]]</f>
        <v>F__</v>
      </c>
      <c r="T97" s="20" t="e">
        <f t="shared" si="15"/>
        <v>#REF!</v>
      </c>
      <c r="U97" s="27"/>
      <c r="V97" s="30" t="e">
        <f>Tab_Process_TCs2527[[#This Row],[TC O_6_'[%']]]+#REF!+#REF!+#REF!+#REF!+#REF!</f>
        <v>#REF!</v>
      </c>
      <c r="W97" s="8"/>
      <c r="X97" s="8"/>
      <c r="Y97" s="8"/>
      <c r="Z97" s="8"/>
      <c r="AA97" s="8"/>
    </row>
    <row r="98" spans="1:27" x14ac:dyDescent="0.25">
      <c r="A98" s="156" t="b">
        <v>0</v>
      </c>
      <c r="B98" s="7">
        <f t="shared" si="14"/>
        <v>97</v>
      </c>
      <c r="C98" s="25" t="e">
        <f>_xlfn.XLOOKUP($D98,Tab_Process_TCs[Process_Name],Tab_Process_TCs[Process_ID],,0,)</f>
        <v>#N/A</v>
      </c>
      <c r="D98" s="152" t="s">
        <v>30</v>
      </c>
      <c r="E98" s="152" t="s">
        <v>30</v>
      </c>
      <c r="F98" s="25" t="e">
        <f>_xlfn.XLOOKUP($D98,Tab_Process_TCs[Process_Name],Tab_Process_TCs[TC_Configuration],,0,)</f>
        <v>#N/A</v>
      </c>
      <c r="G98" s="25" t="e">
        <f>_xlfn.XLOOKUP($D98,Tab_Process_TCs[Process_Name],Tab_Process_TCs[Process_Logic],,0,)</f>
        <v>#N/A</v>
      </c>
      <c r="H98" s="7" t="str">
        <f>_xlfn.XLOOKUP($E98,Tab_Def_Flows[Flow_Name],Tab_Def_Flows[Flow_ID],,0,1)</f>
        <v>F__</v>
      </c>
      <c r="I98" s="8"/>
      <c r="J98" s="20" t="str">
        <f t="shared" si="10"/>
        <v>TC_material_F__</v>
      </c>
      <c r="K98" s="154"/>
      <c r="L98" s="20" t="str">
        <f t="shared" si="11"/>
        <v>TC_WC_F__</v>
      </c>
      <c r="M98" s="154"/>
      <c r="N98" s="20" t="str">
        <f t="shared" si="12"/>
        <v>TC_DM_F__</v>
      </c>
      <c r="O98" s="154"/>
      <c r="P98" s="20" t="str">
        <f t="shared" si="13"/>
        <v>TC_CC_F__</v>
      </c>
      <c r="Q98" s="8"/>
      <c r="R98" s="7" t="e">
        <f>_xlfn.XLOOKUP($D98,#REF!,#REF!,,0,)</f>
        <v>#REF!</v>
      </c>
      <c r="S98" s="20" t="str">
        <f>Tab_Process_TCs2527[[#This Row],[Flow_ID]]</f>
        <v>F__</v>
      </c>
      <c r="T98" s="20" t="e">
        <f t="shared" si="15"/>
        <v>#REF!</v>
      </c>
      <c r="U98" s="27"/>
      <c r="V98" s="30" t="e">
        <f>Tab_Process_TCs2527[[#This Row],[TC O_6_'[%']]]+#REF!+#REF!+#REF!+#REF!+#REF!</f>
        <v>#REF!</v>
      </c>
      <c r="W98" s="8"/>
      <c r="X98" s="8"/>
      <c r="Y98" s="8"/>
      <c r="Z98" s="8"/>
      <c r="AA98" s="8"/>
    </row>
    <row r="99" spans="1:27" x14ac:dyDescent="0.25">
      <c r="A99" s="156" t="b">
        <v>0</v>
      </c>
      <c r="B99" s="7">
        <f t="shared" si="14"/>
        <v>98</v>
      </c>
      <c r="C99" s="25" t="e">
        <f>_xlfn.XLOOKUP($D99,Tab_Process_TCs[Process_Name],Tab_Process_TCs[Process_ID],,0,)</f>
        <v>#N/A</v>
      </c>
      <c r="D99" s="152" t="s">
        <v>30</v>
      </c>
      <c r="E99" s="152" t="s">
        <v>30</v>
      </c>
      <c r="F99" s="25" t="e">
        <f>_xlfn.XLOOKUP($D99,Tab_Process_TCs[Process_Name],Tab_Process_TCs[TC_Configuration],,0,)</f>
        <v>#N/A</v>
      </c>
      <c r="G99" s="25" t="e">
        <f>_xlfn.XLOOKUP($D99,Tab_Process_TCs[Process_Name],Tab_Process_TCs[Process_Logic],,0,)</f>
        <v>#N/A</v>
      </c>
      <c r="H99" s="7" t="str">
        <f>_xlfn.XLOOKUP($E99,Tab_Def_Flows[Flow_Name],Tab_Def_Flows[Flow_ID],,0,1)</f>
        <v>F__</v>
      </c>
      <c r="I99" s="8"/>
      <c r="J99" s="20" t="str">
        <f t="shared" si="10"/>
        <v>TC_material_F__</v>
      </c>
      <c r="K99" s="154"/>
      <c r="L99" s="20" t="str">
        <f t="shared" si="11"/>
        <v>TC_WC_F__</v>
      </c>
      <c r="M99" s="154"/>
      <c r="N99" s="20" t="str">
        <f t="shared" si="12"/>
        <v>TC_DM_F__</v>
      </c>
      <c r="O99" s="154"/>
      <c r="P99" s="20" t="str">
        <f t="shared" si="13"/>
        <v>TC_CC_F__</v>
      </c>
      <c r="Q99" s="8"/>
      <c r="R99" s="7" t="e">
        <f>_xlfn.XLOOKUP($D99,#REF!,#REF!,,0,)</f>
        <v>#REF!</v>
      </c>
      <c r="S99" s="20" t="str">
        <f>Tab_Process_TCs2527[[#This Row],[Flow_ID]]</f>
        <v>F__</v>
      </c>
      <c r="T99" s="20" t="e">
        <f t="shared" si="15"/>
        <v>#REF!</v>
      </c>
      <c r="U99" s="27"/>
      <c r="V99" s="30" t="e">
        <f>Tab_Process_TCs2527[[#This Row],[TC O_6_'[%']]]+#REF!+#REF!+#REF!+#REF!+#REF!</f>
        <v>#REF!</v>
      </c>
      <c r="W99" s="8"/>
      <c r="X99" s="8"/>
      <c r="Y99" s="8"/>
      <c r="Z99" s="8"/>
      <c r="AA99" s="8"/>
    </row>
    <row r="100" spans="1:27" x14ac:dyDescent="0.25">
      <c r="A100" s="156" t="b">
        <v>0</v>
      </c>
      <c r="B100" s="7">
        <f t="shared" si="14"/>
        <v>99</v>
      </c>
      <c r="C100" s="25" t="e">
        <f>_xlfn.XLOOKUP($D100,Tab_Process_TCs[Process_Name],Tab_Process_TCs[Process_ID],,0,)</f>
        <v>#N/A</v>
      </c>
      <c r="D100" s="152" t="s">
        <v>30</v>
      </c>
      <c r="E100" s="152" t="s">
        <v>30</v>
      </c>
      <c r="F100" s="25" t="e">
        <f>_xlfn.XLOOKUP($D100,Tab_Process_TCs[Process_Name],Tab_Process_TCs[TC_Configuration],,0,)</f>
        <v>#N/A</v>
      </c>
      <c r="G100" s="25" t="e">
        <f>_xlfn.XLOOKUP($D100,Tab_Process_TCs[Process_Name],Tab_Process_TCs[Process_Logic],,0,)</f>
        <v>#N/A</v>
      </c>
      <c r="H100" s="7" t="str">
        <f>_xlfn.XLOOKUP($E100,Tab_Def_Flows[Flow_Name],Tab_Def_Flows[Flow_ID],,0,1)</f>
        <v>F__</v>
      </c>
      <c r="I100" s="8"/>
      <c r="J100" s="20" t="str">
        <f t="shared" si="10"/>
        <v>TC_material_F__</v>
      </c>
      <c r="K100" s="154"/>
      <c r="L100" s="20" t="str">
        <f t="shared" si="11"/>
        <v>TC_WC_F__</v>
      </c>
      <c r="M100" s="154"/>
      <c r="N100" s="20" t="str">
        <f t="shared" si="12"/>
        <v>TC_DM_F__</v>
      </c>
      <c r="O100" s="154"/>
      <c r="P100" s="20" t="str">
        <f t="shared" si="13"/>
        <v>TC_CC_F__</v>
      </c>
      <c r="Q100" s="8"/>
      <c r="R100" s="7" t="e">
        <f>_xlfn.XLOOKUP($D100,#REF!,#REF!,,0,)</f>
        <v>#REF!</v>
      </c>
      <c r="S100" s="20" t="str">
        <f>Tab_Process_TCs2527[[#This Row],[Flow_ID]]</f>
        <v>F__</v>
      </c>
      <c r="T100" s="20" t="e">
        <f t="shared" si="15"/>
        <v>#REF!</v>
      </c>
      <c r="U100" s="27"/>
      <c r="V100" s="30" t="e">
        <f>Tab_Process_TCs2527[[#This Row],[TC O_6_'[%']]]+#REF!+#REF!+#REF!+#REF!+#REF!</f>
        <v>#REF!</v>
      </c>
      <c r="W100" s="8"/>
      <c r="X100" s="8"/>
      <c r="Y100" s="8"/>
      <c r="Z100" s="8"/>
      <c r="AA100" s="8"/>
    </row>
    <row r="101" spans="1:27" x14ac:dyDescent="0.25">
      <c r="A101" s="156" t="b">
        <v>0</v>
      </c>
      <c r="B101" s="7">
        <f t="shared" si="14"/>
        <v>100</v>
      </c>
      <c r="C101" s="25" t="e">
        <f>_xlfn.XLOOKUP($D101,Tab_Process_TCs[Process_Name],Tab_Process_TCs[Process_ID],,0,)</f>
        <v>#N/A</v>
      </c>
      <c r="D101" s="152" t="s">
        <v>30</v>
      </c>
      <c r="E101" s="152" t="s">
        <v>30</v>
      </c>
      <c r="F101" s="25" t="e">
        <f>_xlfn.XLOOKUP($D101,Tab_Process_TCs[Process_Name],Tab_Process_TCs[TC_Configuration],,0,)</f>
        <v>#N/A</v>
      </c>
      <c r="G101" s="25" t="e">
        <f>_xlfn.XLOOKUP($D101,Tab_Process_TCs[Process_Name],Tab_Process_TCs[Process_Logic],,0,)</f>
        <v>#N/A</v>
      </c>
      <c r="H101" s="7" t="str">
        <f>_xlfn.XLOOKUP($E101,Tab_Def_Flows[Flow_Name],Tab_Def_Flows[Flow_ID],,0,1)</f>
        <v>F__</v>
      </c>
      <c r="I101" s="8"/>
      <c r="J101" s="20" t="str">
        <f t="shared" si="10"/>
        <v>TC_material_F__</v>
      </c>
      <c r="K101" s="154"/>
      <c r="L101" s="20" t="str">
        <f t="shared" si="11"/>
        <v>TC_WC_F__</v>
      </c>
      <c r="M101" s="154"/>
      <c r="N101" s="20" t="str">
        <f t="shared" si="12"/>
        <v>TC_DM_F__</v>
      </c>
      <c r="O101" s="154"/>
      <c r="P101" s="20" t="str">
        <f t="shared" si="13"/>
        <v>TC_CC_F__</v>
      </c>
      <c r="Q101" s="8"/>
      <c r="R101" s="7" t="e">
        <f>_xlfn.XLOOKUP($D101,#REF!,#REF!,,0,)</f>
        <v>#REF!</v>
      </c>
      <c r="S101" s="20" t="str">
        <f>Tab_Process_TCs2527[[#This Row],[Flow_ID]]</f>
        <v>F__</v>
      </c>
      <c r="T101" s="20" t="e">
        <f t="shared" si="15"/>
        <v>#REF!</v>
      </c>
      <c r="U101" s="27"/>
      <c r="V101" s="30" t="e">
        <f>Tab_Process_TCs2527[[#This Row],[TC O_6_'[%']]]+#REF!+#REF!+#REF!+#REF!+#REF!</f>
        <v>#REF!</v>
      </c>
      <c r="W101" s="8"/>
      <c r="X101" s="8"/>
      <c r="Y101" s="8"/>
      <c r="Z101" s="8"/>
      <c r="AA101" s="8"/>
    </row>
    <row r="102" spans="1:27" x14ac:dyDescent="0.25">
      <c r="A102" s="156" t="b">
        <v>0</v>
      </c>
      <c r="B102" s="7">
        <f t="shared" si="14"/>
        <v>101</v>
      </c>
      <c r="C102" s="25" t="e">
        <f>_xlfn.XLOOKUP($D102,Tab_Process_TCs[Process_Name],Tab_Process_TCs[Process_ID],,0,)</f>
        <v>#N/A</v>
      </c>
      <c r="D102" s="152" t="s">
        <v>30</v>
      </c>
      <c r="E102" s="152" t="s">
        <v>30</v>
      </c>
      <c r="F102" s="25" t="e">
        <f>_xlfn.XLOOKUP($D102,Tab_Process_TCs[Process_Name],Tab_Process_TCs[TC_Configuration],,0,)</f>
        <v>#N/A</v>
      </c>
      <c r="G102" s="25" t="e">
        <f>_xlfn.XLOOKUP($D102,Tab_Process_TCs[Process_Name],Tab_Process_TCs[Process_Logic],,0,)</f>
        <v>#N/A</v>
      </c>
      <c r="H102" s="7" t="str">
        <f>_xlfn.XLOOKUP($E102,Tab_Def_Flows[Flow_Name],Tab_Def_Flows[Flow_ID],,0,1)</f>
        <v>F__</v>
      </c>
      <c r="I102" s="8"/>
      <c r="J102" s="20" t="str">
        <f t="shared" si="10"/>
        <v>TC_material_F__</v>
      </c>
      <c r="K102" s="154"/>
      <c r="L102" s="20" t="str">
        <f t="shared" si="11"/>
        <v>TC_WC_F__</v>
      </c>
      <c r="M102" s="154"/>
      <c r="N102" s="20" t="str">
        <f t="shared" si="12"/>
        <v>TC_DM_F__</v>
      </c>
      <c r="O102" s="154"/>
      <c r="P102" s="20" t="str">
        <f t="shared" si="13"/>
        <v>TC_CC_F__</v>
      </c>
      <c r="Q102" s="8"/>
      <c r="R102" s="7" t="e">
        <f>_xlfn.XLOOKUP($D102,#REF!,#REF!,,0,)</f>
        <v>#REF!</v>
      </c>
      <c r="S102" s="20" t="str">
        <f>Tab_Process_TCs2527[[#This Row],[Flow_ID]]</f>
        <v>F__</v>
      </c>
      <c r="T102" s="20" t="e">
        <f t="shared" si="15"/>
        <v>#REF!</v>
      </c>
      <c r="U102" s="27"/>
      <c r="V102" s="30" t="e">
        <f>Tab_Process_TCs2527[[#This Row],[TC O_6_'[%']]]+#REF!+#REF!+#REF!+#REF!+#REF!</f>
        <v>#REF!</v>
      </c>
      <c r="W102" s="8"/>
      <c r="X102" s="8"/>
      <c r="Y102" s="8"/>
      <c r="Z102" s="8"/>
      <c r="AA102" s="8"/>
    </row>
    <row r="103" spans="1:27" x14ac:dyDescent="0.25">
      <c r="A103" s="156" t="b">
        <v>0</v>
      </c>
      <c r="B103" s="7">
        <f t="shared" si="14"/>
        <v>102</v>
      </c>
      <c r="C103" s="25" t="e">
        <f>_xlfn.XLOOKUP($D103,Tab_Process_TCs[Process_Name],Tab_Process_TCs[Process_ID],,0,)</f>
        <v>#N/A</v>
      </c>
      <c r="D103" s="152" t="s">
        <v>30</v>
      </c>
      <c r="E103" s="152" t="s">
        <v>30</v>
      </c>
      <c r="F103" s="25" t="e">
        <f>_xlfn.XLOOKUP($D103,Tab_Process_TCs[Process_Name],Tab_Process_TCs[TC_Configuration],,0,)</f>
        <v>#N/A</v>
      </c>
      <c r="G103" s="25" t="e">
        <f>_xlfn.XLOOKUP($D103,Tab_Process_TCs[Process_Name],Tab_Process_TCs[Process_Logic],,0,)</f>
        <v>#N/A</v>
      </c>
      <c r="H103" s="7" t="str">
        <f>_xlfn.XLOOKUP($E103,Tab_Def_Flows[Flow_Name],Tab_Def_Flows[Flow_ID],,0,1)</f>
        <v>F__</v>
      </c>
      <c r="I103" s="8"/>
      <c r="J103" s="20" t="str">
        <f t="shared" si="10"/>
        <v>TC_material_F__</v>
      </c>
      <c r="K103" s="154"/>
      <c r="L103" s="20" t="str">
        <f t="shared" si="11"/>
        <v>TC_WC_F__</v>
      </c>
      <c r="M103" s="154"/>
      <c r="N103" s="20" t="str">
        <f t="shared" si="12"/>
        <v>TC_DM_F__</v>
      </c>
      <c r="O103" s="154"/>
      <c r="P103" s="20" t="str">
        <f t="shared" si="13"/>
        <v>TC_CC_F__</v>
      </c>
      <c r="Q103" s="8"/>
      <c r="R103" s="7" t="e">
        <f>_xlfn.XLOOKUP($D103,#REF!,#REF!,,0,)</f>
        <v>#REF!</v>
      </c>
      <c r="S103" s="20" t="str">
        <f>Tab_Process_TCs2527[[#This Row],[Flow_ID]]</f>
        <v>F__</v>
      </c>
      <c r="T103" s="20" t="e">
        <f t="shared" si="15"/>
        <v>#REF!</v>
      </c>
      <c r="U103" s="27"/>
      <c r="V103" s="30" t="e">
        <f>Tab_Process_TCs2527[[#This Row],[TC O_6_'[%']]]+#REF!+#REF!+#REF!+#REF!+#REF!</f>
        <v>#REF!</v>
      </c>
      <c r="W103" s="8"/>
      <c r="X103" s="8"/>
      <c r="Y103" s="8"/>
      <c r="Z103" s="8"/>
      <c r="AA103" s="8"/>
    </row>
    <row r="104" spans="1:27" x14ac:dyDescent="0.25">
      <c r="A104" s="156" t="b">
        <v>0</v>
      </c>
      <c r="B104" s="7">
        <f t="shared" si="14"/>
        <v>103</v>
      </c>
      <c r="C104" s="25" t="e">
        <f>_xlfn.XLOOKUP($D104,Tab_Process_TCs[Process_Name],Tab_Process_TCs[Process_ID],,0,)</f>
        <v>#N/A</v>
      </c>
      <c r="D104" s="152" t="s">
        <v>30</v>
      </c>
      <c r="E104" s="152" t="s">
        <v>30</v>
      </c>
      <c r="F104" s="25" t="e">
        <f>_xlfn.XLOOKUP($D104,Tab_Process_TCs[Process_Name],Tab_Process_TCs[TC_Configuration],,0,)</f>
        <v>#N/A</v>
      </c>
      <c r="G104" s="25" t="e">
        <f>_xlfn.XLOOKUP($D104,Tab_Process_TCs[Process_Name],Tab_Process_TCs[Process_Logic],,0,)</f>
        <v>#N/A</v>
      </c>
      <c r="H104" s="7" t="str">
        <f>_xlfn.XLOOKUP($E104,Tab_Def_Flows[Flow_Name],Tab_Def_Flows[Flow_ID],,0,1)</f>
        <v>F__</v>
      </c>
      <c r="I104" s="8"/>
      <c r="J104" s="20" t="str">
        <f t="shared" si="10"/>
        <v>TC_material_F__</v>
      </c>
      <c r="K104" s="154"/>
      <c r="L104" s="20" t="str">
        <f t="shared" si="11"/>
        <v>TC_WC_F__</v>
      </c>
      <c r="M104" s="154"/>
      <c r="N104" s="20" t="str">
        <f t="shared" si="12"/>
        <v>TC_DM_F__</v>
      </c>
      <c r="O104" s="154"/>
      <c r="P104" s="20" t="str">
        <f t="shared" si="13"/>
        <v>TC_CC_F__</v>
      </c>
      <c r="Q104" s="8"/>
      <c r="R104" s="7" t="e">
        <f>_xlfn.XLOOKUP($D104,#REF!,#REF!,,0,)</f>
        <v>#REF!</v>
      </c>
      <c r="S104" s="20" t="str">
        <f>Tab_Process_TCs2527[[#This Row],[Flow_ID]]</f>
        <v>F__</v>
      </c>
      <c r="T104" s="20" t="e">
        <f t="shared" si="15"/>
        <v>#REF!</v>
      </c>
      <c r="U104" s="27"/>
      <c r="V104" s="30" t="e">
        <f>Tab_Process_TCs2527[[#This Row],[TC O_6_'[%']]]+#REF!+#REF!+#REF!+#REF!+#REF!</f>
        <v>#REF!</v>
      </c>
      <c r="W104" s="8"/>
      <c r="X104" s="8"/>
      <c r="Y104" s="8"/>
      <c r="Z104" s="8"/>
      <c r="AA104" s="8"/>
    </row>
    <row r="105" spans="1:27" x14ac:dyDescent="0.25">
      <c r="A105" s="156" t="b">
        <v>0</v>
      </c>
      <c r="B105" s="7">
        <f t="shared" si="14"/>
        <v>104</v>
      </c>
      <c r="C105" s="25" t="e">
        <f>_xlfn.XLOOKUP($D105,Tab_Process_TCs[Process_Name],Tab_Process_TCs[Process_ID],,0,)</f>
        <v>#N/A</v>
      </c>
      <c r="D105" s="152" t="s">
        <v>30</v>
      </c>
      <c r="E105" s="152" t="s">
        <v>30</v>
      </c>
      <c r="F105" s="25" t="e">
        <f>_xlfn.XLOOKUP($D105,Tab_Process_TCs[Process_Name],Tab_Process_TCs[TC_Configuration],,0,)</f>
        <v>#N/A</v>
      </c>
      <c r="G105" s="25" t="e">
        <f>_xlfn.XLOOKUP($D105,Tab_Process_TCs[Process_Name],Tab_Process_TCs[Process_Logic],,0,)</f>
        <v>#N/A</v>
      </c>
      <c r="H105" s="7" t="str">
        <f>_xlfn.XLOOKUP($E105,Tab_Def_Flows[Flow_Name],Tab_Def_Flows[Flow_ID],,0,1)</f>
        <v>F__</v>
      </c>
      <c r="I105" s="8"/>
      <c r="J105" s="20" t="str">
        <f t="shared" si="10"/>
        <v>TC_material_F__</v>
      </c>
      <c r="K105" s="154"/>
      <c r="L105" s="20" t="str">
        <f t="shared" si="11"/>
        <v>TC_WC_F__</v>
      </c>
      <c r="M105" s="154"/>
      <c r="N105" s="20" t="str">
        <f t="shared" si="12"/>
        <v>TC_DM_F__</v>
      </c>
      <c r="O105" s="154"/>
      <c r="P105" s="20" t="str">
        <f t="shared" si="13"/>
        <v>TC_CC_F__</v>
      </c>
      <c r="Q105" s="8"/>
      <c r="R105" s="7" t="e">
        <f>_xlfn.XLOOKUP($D105,#REF!,#REF!,,0,)</f>
        <v>#REF!</v>
      </c>
      <c r="S105" s="20" t="str">
        <f>Tab_Process_TCs2527[[#This Row],[Flow_ID]]</f>
        <v>F__</v>
      </c>
      <c r="T105" s="20" t="e">
        <f t="shared" si="15"/>
        <v>#REF!</v>
      </c>
      <c r="U105" s="27"/>
      <c r="V105" s="30" t="e">
        <f>Tab_Process_TCs2527[[#This Row],[TC O_6_'[%']]]+#REF!+#REF!+#REF!+#REF!+#REF!</f>
        <v>#REF!</v>
      </c>
      <c r="W105" s="8"/>
      <c r="X105" s="8"/>
      <c r="Y105" s="8"/>
      <c r="Z105" s="8"/>
      <c r="AA105" s="8"/>
    </row>
    <row r="106" spans="1:27" x14ac:dyDescent="0.25">
      <c r="A106" s="156" t="b">
        <v>0</v>
      </c>
      <c r="B106" s="7">
        <f t="shared" si="14"/>
        <v>105</v>
      </c>
      <c r="C106" s="25" t="e">
        <f>_xlfn.XLOOKUP($D106,Tab_Process_TCs[Process_Name],Tab_Process_TCs[Process_ID],,0,)</f>
        <v>#N/A</v>
      </c>
      <c r="D106" s="152" t="s">
        <v>30</v>
      </c>
      <c r="E106" s="152" t="s">
        <v>30</v>
      </c>
      <c r="F106" s="25" t="e">
        <f>_xlfn.XLOOKUP($D106,Tab_Process_TCs[Process_Name],Tab_Process_TCs[TC_Configuration],,0,)</f>
        <v>#N/A</v>
      </c>
      <c r="G106" s="25" t="e">
        <f>_xlfn.XLOOKUP($D106,Tab_Process_TCs[Process_Name],Tab_Process_TCs[Process_Logic],,0,)</f>
        <v>#N/A</v>
      </c>
      <c r="H106" s="7" t="str">
        <f>_xlfn.XLOOKUP($E106,Tab_Def_Flows[Flow_Name],Tab_Def_Flows[Flow_ID],,0,1)</f>
        <v>F__</v>
      </c>
      <c r="I106" s="8"/>
      <c r="J106" s="20" t="str">
        <f t="shared" si="10"/>
        <v>TC_material_F__</v>
      </c>
      <c r="K106" s="154"/>
      <c r="L106" s="20" t="str">
        <f t="shared" si="11"/>
        <v>TC_WC_F__</v>
      </c>
      <c r="M106" s="154"/>
      <c r="N106" s="20" t="str">
        <f t="shared" si="12"/>
        <v>TC_DM_F__</v>
      </c>
      <c r="O106" s="154"/>
      <c r="P106" s="20" t="str">
        <f t="shared" si="13"/>
        <v>TC_CC_F__</v>
      </c>
      <c r="Q106" s="8"/>
      <c r="R106" s="7" t="e">
        <f>_xlfn.XLOOKUP($D106,#REF!,#REF!,,0,)</f>
        <v>#REF!</v>
      </c>
      <c r="S106" s="20" t="str">
        <f>Tab_Process_TCs2527[[#This Row],[Flow_ID]]</f>
        <v>F__</v>
      </c>
      <c r="T106" s="20" t="e">
        <f t="shared" si="15"/>
        <v>#REF!</v>
      </c>
      <c r="U106" s="27"/>
      <c r="V106" s="30" t="e">
        <f>Tab_Process_TCs2527[[#This Row],[TC O_6_'[%']]]+#REF!+#REF!+#REF!+#REF!+#REF!</f>
        <v>#REF!</v>
      </c>
      <c r="W106" s="8"/>
      <c r="X106" s="8"/>
      <c r="Y106" s="8"/>
      <c r="Z106" s="8"/>
      <c r="AA106" s="8"/>
    </row>
    <row r="107" spans="1:27" x14ac:dyDescent="0.25">
      <c r="A107" s="156" t="b">
        <v>0</v>
      </c>
      <c r="B107" s="7">
        <f t="shared" si="14"/>
        <v>106</v>
      </c>
      <c r="C107" s="25" t="e">
        <f>_xlfn.XLOOKUP($D107,Tab_Process_TCs[Process_Name],Tab_Process_TCs[Process_ID],,0,)</f>
        <v>#N/A</v>
      </c>
      <c r="D107" s="152" t="s">
        <v>30</v>
      </c>
      <c r="E107" s="152" t="s">
        <v>30</v>
      </c>
      <c r="F107" s="25" t="e">
        <f>_xlfn.XLOOKUP($D107,Tab_Process_TCs[Process_Name],Tab_Process_TCs[TC_Configuration],,0,)</f>
        <v>#N/A</v>
      </c>
      <c r="G107" s="25" t="e">
        <f>_xlfn.XLOOKUP($D107,Tab_Process_TCs[Process_Name],Tab_Process_TCs[Process_Logic],,0,)</f>
        <v>#N/A</v>
      </c>
      <c r="H107" s="7" t="str">
        <f>_xlfn.XLOOKUP($E107,Tab_Def_Flows[Flow_Name],Tab_Def_Flows[Flow_ID],,0,1)</f>
        <v>F__</v>
      </c>
      <c r="I107" s="8"/>
      <c r="J107" s="20" t="str">
        <f t="shared" si="10"/>
        <v>TC_material_F__</v>
      </c>
      <c r="K107" s="154"/>
      <c r="L107" s="20" t="str">
        <f t="shared" si="11"/>
        <v>TC_WC_F__</v>
      </c>
      <c r="M107" s="154"/>
      <c r="N107" s="20" t="str">
        <f t="shared" si="12"/>
        <v>TC_DM_F__</v>
      </c>
      <c r="O107" s="154"/>
      <c r="P107" s="20" t="str">
        <f t="shared" si="13"/>
        <v>TC_CC_F__</v>
      </c>
      <c r="Q107" s="8"/>
      <c r="R107" s="7" t="e">
        <f>_xlfn.XLOOKUP($D107,#REF!,#REF!,,0,)</f>
        <v>#REF!</v>
      </c>
      <c r="S107" s="20" t="str">
        <f>Tab_Process_TCs2527[[#This Row],[Flow_ID]]</f>
        <v>F__</v>
      </c>
      <c r="T107" s="20" t="e">
        <f t="shared" si="15"/>
        <v>#REF!</v>
      </c>
      <c r="U107" s="27"/>
      <c r="V107" s="30" t="e">
        <f>Tab_Process_TCs2527[[#This Row],[TC O_6_'[%']]]+#REF!+#REF!+#REF!+#REF!+#REF!</f>
        <v>#REF!</v>
      </c>
      <c r="W107" s="8"/>
      <c r="X107" s="8"/>
      <c r="Y107" s="8"/>
      <c r="Z107" s="8"/>
      <c r="AA107" s="8"/>
    </row>
    <row r="108" spans="1:27" x14ac:dyDescent="0.25">
      <c r="A108" s="156" t="b">
        <v>0</v>
      </c>
      <c r="B108" s="7">
        <f t="shared" si="14"/>
        <v>107</v>
      </c>
      <c r="C108" s="25" t="e">
        <f>_xlfn.XLOOKUP($D108,Tab_Process_TCs[Process_Name],Tab_Process_TCs[Process_ID],,0,)</f>
        <v>#N/A</v>
      </c>
      <c r="D108" s="152" t="s">
        <v>30</v>
      </c>
      <c r="E108" s="152" t="s">
        <v>30</v>
      </c>
      <c r="F108" s="25" t="e">
        <f>_xlfn.XLOOKUP($D108,Tab_Process_TCs[Process_Name],Tab_Process_TCs[TC_Configuration],,0,)</f>
        <v>#N/A</v>
      </c>
      <c r="G108" s="25" t="e">
        <f>_xlfn.XLOOKUP($D108,Tab_Process_TCs[Process_Name],Tab_Process_TCs[Process_Logic],,0,)</f>
        <v>#N/A</v>
      </c>
      <c r="H108" s="7" t="str">
        <f>_xlfn.XLOOKUP($E108,Tab_Def_Flows[Flow_Name],Tab_Def_Flows[Flow_ID],,0,1)</f>
        <v>F__</v>
      </c>
      <c r="I108" s="8"/>
      <c r="J108" s="20" t="str">
        <f t="shared" si="10"/>
        <v>TC_material_F__</v>
      </c>
      <c r="K108" s="154"/>
      <c r="L108" s="20" t="str">
        <f t="shared" si="11"/>
        <v>TC_WC_F__</v>
      </c>
      <c r="M108" s="154"/>
      <c r="N108" s="20" t="str">
        <f t="shared" si="12"/>
        <v>TC_DM_F__</v>
      </c>
      <c r="O108" s="154"/>
      <c r="P108" s="20" t="str">
        <f t="shared" si="13"/>
        <v>TC_CC_F__</v>
      </c>
      <c r="Q108" s="8"/>
      <c r="R108" s="7" t="e">
        <f>_xlfn.XLOOKUP($D108,#REF!,#REF!,,0,)</f>
        <v>#REF!</v>
      </c>
      <c r="S108" s="20" t="str">
        <f>Tab_Process_TCs2527[[#This Row],[Flow_ID]]</f>
        <v>F__</v>
      </c>
      <c r="T108" s="20" t="e">
        <f t="shared" si="15"/>
        <v>#REF!</v>
      </c>
      <c r="U108" s="27"/>
      <c r="V108" s="30" t="e">
        <f>Tab_Process_TCs2527[[#This Row],[TC O_6_'[%']]]+#REF!+#REF!+#REF!+#REF!+#REF!</f>
        <v>#REF!</v>
      </c>
      <c r="W108" s="8"/>
      <c r="X108" s="8"/>
      <c r="Y108" s="8"/>
      <c r="Z108" s="8"/>
      <c r="AA108" s="8"/>
    </row>
    <row r="109" spans="1:27" x14ac:dyDescent="0.25">
      <c r="A109" s="156" t="b">
        <v>0</v>
      </c>
      <c r="B109" s="7">
        <f t="shared" si="14"/>
        <v>108</v>
      </c>
      <c r="C109" s="25" t="e">
        <f>_xlfn.XLOOKUP($D109,Tab_Process_TCs[Process_Name],Tab_Process_TCs[Process_ID],,0,)</f>
        <v>#N/A</v>
      </c>
      <c r="D109" s="152" t="s">
        <v>30</v>
      </c>
      <c r="E109" s="152" t="s">
        <v>30</v>
      </c>
      <c r="F109" s="25" t="e">
        <f>_xlfn.XLOOKUP($D109,Tab_Process_TCs[Process_Name],Tab_Process_TCs[TC_Configuration],,0,)</f>
        <v>#N/A</v>
      </c>
      <c r="G109" s="25" t="e">
        <f>_xlfn.XLOOKUP($D109,Tab_Process_TCs[Process_Name],Tab_Process_TCs[Process_Logic],,0,)</f>
        <v>#N/A</v>
      </c>
      <c r="H109" s="7" t="str">
        <f>_xlfn.XLOOKUP($E109,Tab_Def_Flows[Flow_Name],Tab_Def_Flows[Flow_ID],,0,1)</f>
        <v>F__</v>
      </c>
      <c r="I109" s="8"/>
      <c r="J109" s="20" t="str">
        <f t="shared" si="10"/>
        <v>TC_material_F__</v>
      </c>
      <c r="K109" s="154"/>
      <c r="L109" s="20" t="str">
        <f t="shared" si="11"/>
        <v>TC_WC_F__</v>
      </c>
      <c r="M109" s="154"/>
      <c r="N109" s="20" t="str">
        <f t="shared" si="12"/>
        <v>TC_DM_F__</v>
      </c>
      <c r="O109" s="154"/>
      <c r="P109" s="20" t="str">
        <f t="shared" si="13"/>
        <v>TC_CC_F__</v>
      </c>
      <c r="Q109" s="8"/>
      <c r="R109" s="7" t="e">
        <f>_xlfn.XLOOKUP($D109,#REF!,#REF!,,0,)</f>
        <v>#REF!</v>
      </c>
      <c r="S109" s="20" t="str">
        <f>Tab_Process_TCs2527[[#This Row],[Flow_ID]]</f>
        <v>F__</v>
      </c>
      <c r="T109" s="20" t="e">
        <f t="shared" si="15"/>
        <v>#REF!</v>
      </c>
      <c r="U109" s="27"/>
      <c r="V109" s="30" t="e">
        <f>Tab_Process_TCs2527[[#This Row],[TC O_6_'[%']]]+#REF!+#REF!+#REF!+#REF!+#REF!</f>
        <v>#REF!</v>
      </c>
      <c r="W109" s="8"/>
      <c r="X109" s="8"/>
      <c r="Y109" s="8"/>
      <c r="Z109" s="8"/>
      <c r="AA109" s="8"/>
    </row>
    <row r="110" spans="1:27" x14ac:dyDescent="0.25">
      <c r="A110" s="156" t="b">
        <v>0</v>
      </c>
      <c r="B110" s="7">
        <f t="shared" si="14"/>
        <v>109</v>
      </c>
      <c r="C110" s="25" t="e">
        <f>_xlfn.XLOOKUP($D110,Tab_Process_TCs[Process_Name],Tab_Process_TCs[Process_ID],,0,)</f>
        <v>#N/A</v>
      </c>
      <c r="D110" s="152" t="s">
        <v>30</v>
      </c>
      <c r="E110" s="152" t="s">
        <v>30</v>
      </c>
      <c r="F110" s="25" t="e">
        <f>_xlfn.XLOOKUP($D110,Tab_Process_TCs[Process_Name],Tab_Process_TCs[TC_Configuration],,0,)</f>
        <v>#N/A</v>
      </c>
      <c r="G110" s="25" t="e">
        <f>_xlfn.XLOOKUP($D110,Tab_Process_TCs[Process_Name],Tab_Process_TCs[Process_Logic],,0,)</f>
        <v>#N/A</v>
      </c>
      <c r="H110" s="7" t="str">
        <f>_xlfn.XLOOKUP($E110,Tab_Def_Flows[Flow_Name],Tab_Def_Flows[Flow_ID],,0,1)</f>
        <v>F__</v>
      </c>
      <c r="I110" s="8"/>
      <c r="J110" s="20" t="str">
        <f t="shared" si="10"/>
        <v>TC_material_F__</v>
      </c>
      <c r="K110" s="154"/>
      <c r="L110" s="20" t="str">
        <f t="shared" si="11"/>
        <v>TC_WC_F__</v>
      </c>
      <c r="M110" s="154"/>
      <c r="N110" s="20" t="str">
        <f t="shared" si="12"/>
        <v>TC_DM_F__</v>
      </c>
      <c r="O110" s="154"/>
      <c r="P110" s="20" t="str">
        <f t="shared" si="13"/>
        <v>TC_CC_F__</v>
      </c>
      <c r="Q110" s="8"/>
      <c r="R110" s="7" t="e">
        <f>_xlfn.XLOOKUP($D110,#REF!,#REF!,,0,)</f>
        <v>#REF!</v>
      </c>
      <c r="S110" s="20" t="str">
        <f>Tab_Process_TCs2527[[#This Row],[Flow_ID]]</f>
        <v>F__</v>
      </c>
      <c r="T110" s="20" t="e">
        <f t="shared" si="15"/>
        <v>#REF!</v>
      </c>
      <c r="U110" s="27"/>
      <c r="V110" s="30" t="e">
        <f>Tab_Process_TCs2527[[#This Row],[TC O_6_'[%']]]+#REF!+#REF!+#REF!+#REF!+#REF!</f>
        <v>#REF!</v>
      </c>
      <c r="W110" s="8"/>
      <c r="X110" s="8"/>
      <c r="Y110" s="8"/>
      <c r="Z110" s="8"/>
      <c r="AA110" s="8"/>
    </row>
    <row r="111" spans="1:27" x14ac:dyDescent="0.25">
      <c r="A111" s="156" t="b">
        <v>0</v>
      </c>
      <c r="B111" s="7">
        <f t="shared" si="14"/>
        <v>110</v>
      </c>
      <c r="C111" s="25" t="e">
        <f>_xlfn.XLOOKUP($D111,Tab_Process_TCs[Process_Name],Tab_Process_TCs[Process_ID],,0,)</f>
        <v>#N/A</v>
      </c>
      <c r="D111" s="152" t="s">
        <v>30</v>
      </c>
      <c r="E111" s="152" t="s">
        <v>30</v>
      </c>
      <c r="F111" s="25" t="e">
        <f>_xlfn.XLOOKUP($D111,Tab_Process_TCs[Process_Name],Tab_Process_TCs[TC_Configuration],,0,)</f>
        <v>#N/A</v>
      </c>
      <c r="G111" s="25" t="e">
        <f>_xlfn.XLOOKUP($D111,Tab_Process_TCs[Process_Name],Tab_Process_TCs[Process_Logic],,0,)</f>
        <v>#N/A</v>
      </c>
      <c r="H111" s="7" t="str">
        <f>_xlfn.XLOOKUP($E111,Tab_Def_Flows[Flow_Name],Tab_Def_Flows[Flow_ID],,0,1)</f>
        <v>F__</v>
      </c>
      <c r="I111" s="8"/>
      <c r="J111" s="20" t="str">
        <f t="shared" si="10"/>
        <v>TC_material_F__</v>
      </c>
      <c r="K111" s="154"/>
      <c r="L111" s="20" t="str">
        <f t="shared" si="11"/>
        <v>TC_WC_F__</v>
      </c>
      <c r="M111" s="154"/>
      <c r="N111" s="20" t="str">
        <f t="shared" si="12"/>
        <v>TC_DM_F__</v>
      </c>
      <c r="O111" s="154"/>
      <c r="P111" s="20" t="str">
        <f t="shared" si="13"/>
        <v>TC_CC_F__</v>
      </c>
      <c r="Q111" s="8"/>
      <c r="R111" s="7" t="e">
        <f>_xlfn.XLOOKUP($D111,#REF!,#REF!,,0,)</f>
        <v>#REF!</v>
      </c>
      <c r="S111" s="20" t="str">
        <f>Tab_Process_TCs2527[[#This Row],[Flow_ID]]</f>
        <v>F__</v>
      </c>
      <c r="T111" s="20" t="e">
        <f t="shared" si="15"/>
        <v>#REF!</v>
      </c>
      <c r="U111" s="27"/>
      <c r="V111" s="30" t="e">
        <f>Tab_Process_TCs2527[[#This Row],[TC O_6_'[%']]]+#REF!+#REF!+#REF!+#REF!+#REF!</f>
        <v>#REF!</v>
      </c>
      <c r="W111" s="8"/>
      <c r="X111" s="8"/>
      <c r="Y111" s="8"/>
      <c r="Z111" s="8"/>
      <c r="AA111" s="8"/>
    </row>
    <row r="112" spans="1:27" x14ac:dyDescent="0.25">
      <c r="A112" s="156" t="b">
        <v>0</v>
      </c>
      <c r="B112" s="7">
        <f t="shared" si="14"/>
        <v>111</v>
      </c>
      <c r="C112" s="25" t="e">
        <f>_xlfn.XLOOKUP($D112,Tab_Process_TCs[Process_Name],Tab_Process_TCs[Process_ID],,0,)</f>
        <v>#N/A</v>
      </c>
      <c r="D112" s="152" t="s">
        <v>30</v>
      </c>
      <c r="E112" s="152" t="s">
        <v>30</v>
      </c>
      <c r="F112" s="25" t="e">
        <f>_xlfn.XLOOKUP($D112,Tab_Process_TCs[Process_Name],Tab_Process_TCs[TC_Configuration],,0,)</f>
        <v>#N/A</v>
      </c>
      <c r="G112" s="25" t="e">
        <f>_xlfn.XLOOKUP($D112,Tab_Process_TCs[Process_Name],Tab_Process_TCs[Process_Logic],,0,)</f>
        <v>#N/A</v>
      </c>
      <c r="H112" s="7" t="str">
        <f>_xlfn.XLOOKUP($E112,Tab_Def_Flows[Flow_Name],Tab_Def_Flows[Flow_ID],,0,1)</f>
        <v>F__</v>
      </c>
      <c r="I112" s="8"/>
      <c r="J112" s="20" t="str">
        <f t="shared" si="10"/>
        <v>TC_material_F__</v>
      </c>
      <c r="K112" s="154"/>
      <c r="L112" s="20" t="str">
        <f t="shared" si="11"/>
        <v>TC_WC_F__</v>
      </c>
      <c r="M112" s="154"/>
      <c r="N112" s="20" t="str">
        <f t="shared" si="12"/>
        <v>TC_DM_F__</v>
      </c>
      <c r="O112" s="154"/>
      <c r="P112" s="20" t="str">
        <f t="shared" si="13"/>
        <v>TC_CC_F__</v>
      </c>
      <c r="Q112" s="8"/>
      <c r="R112" s="7" t="e">
        <f>_xlfn.XLOOKUP($D112,#REF!,#REF!,,0,)</f>
        <v>#REF!</v>
      </c>
      <c r="S112" s="20" t="str">
        <f>Tab_Process_TCs2527[[#This Row],[Flow_ID]]</f>
        <v>F__</v>
      </c>
      <c r="T112" s="20" t="e">
        <f t="shared" si="15"/>
        <v>#REF!</v>
      </c>
      <c r="U112" s="27"/>
      <c r="V112" s="30" t="e">
        <f>Tab_Process_TCs2527[[#This Row],[TC O_6_'[%']]]+#REF!+#REF!+#REF!+#REF!+#REF!</f>
        <v>#REF!</v>
      </c>
      <c r="W112" s="8"/>
      <c r="X112" s="8"/>
      <c r="Y112" s="8"/>
      <c r="Z112" s="8"/>
      <c r="AA112" s="8"/>
    </row>
    <row r="113" spans="1:27" x14ac:dyDescent="0.25">
      <c r="A113" s="156" t="b">
        <v>0</v>
      </c>
      <c r="B113" s="7">
        <f t="shared" si="14"/>
        <v>112</v>
      </c>
      <c r="C113" s="25" t="e">
        <f>_xlfn.XLOOKUP($D113,Tab_Process_TCs[Process_Name],Tab_Process_TCs[Process_ID],,0,)</f>
        <v>#N/A</v>
      </c>
      <c r="D113" s="152" t="s">
        <v>30</v>
      </c>
      <c r="E113" s="152" t="s">
        <v>30</v>
      </c>
      <c r="F113" s="25" t="e">
        <f>_xlfn.XLOOKUP($D113,Tab_Process_TCs[Process_Name],Tab_Process_TCs[TC_Configuration],,0,)</f>
        <v>#N/A</v>
      </c>
      <c r="G113" s="25" t="e">
        <f>_xlfn.XLOOKUP($D113,Tab_Process_TCs[Process_Name],Tab_Process_TCs[Process_Logic],,0,)</f>
        <v>#N/A</v>
      </c>
      <c r="H113" s="7" t="str">
        <f>_xlfn.XLOOKUP($E113,Tab_Def_Flows[Flow_Name],Tab_Def_Flows[Flow_ID],,0,1)</f>
        <v>F__</v>
      </c>
      <c r="I113" s="8"/>
      <c r="J113" s="20" t="str">
        <f t="shared" si="10"/>
        <v>TC_material_F__</v>
      </c>
      <c r="K113" s="154"/>
      <c r="L113" s="20" t="str">
        <f t="shared" si="11"/>
        <v>TC_WC_F__</v>
      </c>
      <c r="M113" s="154"/>
      <c r="N113" s="20" t="str">
        <f t="shared" si="12"/>
        <v>TC_DM_F__</v>
      </c>
      <c r="O113" s="154"/>
      <c r="P113" s="20" t="str">
        <f t="shared" si="13"/>
        <v>TC_CC_F__</v>
      </c>
      <c r="Q113" s="8"/>
      <c r="R113" s="7" t="e">
        <f>_xlfn.XLOOKUP($D113,#REF!,#REF!,,0,)</f>
        <v>#REF!</v>
      </c>
      <c r="S113" s="20" t="str">
        <f>Tab_Process_TCs2527[[#This Row],[Flow_ID]]</f>
        <v>F__</v>
      </c>
      <c r="T113" s="20" t="e">
        <f t="shared" si="15"/>
        <v>#REF!</v>
      </c>
      <c r="U113" s="27"/>
      <c r="V113" s="30" t="e">
        <f>Tab_Process_TCs2527[[#This Row],[TC O_6_'[%']]]+#REF!+#REF!+#REF!+#REF!+#REF!</f>
        <v>#REF!</v>
      </c>
      <c r="W113" s="8"/>
      <c r="X113" s="8"/>
      <c r="Y113" s="8"/>
      <c r="Z113" s="8"/>
      <c r="AA113" s="8"/>
    </row>
    <row r="114" spans="1:27" x14ac:dyDescent="0.25">
      <c r="A114" s="156" t="b">
        <v>0</v>
      </c>
      <c r="B114" s="7">
        <f t="shared" si="14"/>
        <v>113</v>
      </c>
      <c r="C114" s="25" t="e">
        <f>_xlfn.XLOOKUP($D114,Tab_Process_TCs[Process_Name],Tab_Process_TCs[Process_ID],,0,)</f>
        <v>#N/A</v>
      </c>
      <c r="D114" s="152" t="s">
        <v>30</v>
      </c>
      <c r="E114" s="152" t="s">
        <v>30</v>
      </c>
      <c r="F114" s="25" t="e">
        <f>_xlfn.XLOOKUP($D114,Tab_Process_TCs[Process_Name],Tab_Process_TCs[TC_Configuration],,0,)</f>
        <v>#N/A</v>
      </c>
      <c r="G114" s="25" t="e">
        <f>_xlfn.XLOOKUP($D114,Tab_Process_TCs[Process_Name],Tab_Process_TCs[Process_Logic],,0,)</f>
        <v>#N/A</v>
      </c>
      <c r="H114" s="7" t="str">
        <f>_xlfn.XLOOKUP($E114,Tab_Def_Flows[Flow_Name],Tab_Def_Flows[Flow_ID],,0,1)</f>
        <v>F__</v>
      </c>
      <c r="I114" s="8"/>
      <c r="J114" s="20" t="str">
        <f t="shared" si="10"/>
        <v>TC_material_F__</v>
      </c>
      <c r="K114" s="154"/>
      <c r="L114" s="20" t="str">
        <f t="shared" si="11"/>
        <v>TC_WC_F__</v>
      </c>
      <c r="M114" s="154"/>
      <c r="N114" s="20" t="str">
        <f t="shared" si="12"/>
        <v>TC_DM_F__</v>
      </c>
      <c r="O114" s="154"/>
      <c r="P114" s="20" t="str">
        <f t="shared" si="13"/>
        <v>TC_CC_F__</v>
      </c>
      <c r="Q114" s="8"/>
      <c r="R114" s="7" t="e">
        <f>_xlfn.XLOOKUP($D114,#REF!,#REF!,,0,)</f>
        <v>#REF!</v>
      </c>
      <c r="S114" s="20" t="str">
        <f>Tab_Process_TCs2527[[#This Row],[Flow_ID]]</f>
        <v>F__</v>
      </c>
      <c r="T114" s="20" t="e">
        <f t="shared" si="15"/>
        <v>#REF!</v>
      </c>
      <c r="U114" s="27"/>
      <c r="V114" s="30" t="e">
        <f>Tab_Process_TCs2527[[#This Row],[TC O_6_'[%']]]+#REF!+#REF!+#REF!+#REF!+#REF!</f>
        <v>#REF!</v>
      </c>
      <c r="W114" s="8"/>
      <c r="X114" s="8"/>
      <c r="Y114" s="8"/>
      <c r="Z114" s="8"/>
      <c r="AA114" s="8"/>
    </row>
    <row r="115" spans="1:27" x14ac:dyDescent="0.25">
      <c r="A115" s="156" t="b">
        <v>0</v>
      </c>
      <c r="B115" s="7">
        <f t="shared" si="14"/>
        <v>114</v>
      </c>
      <c r="C115" s="25" t="e">
        <f>_xlfn.XLOOKUP($D115,Tab_Process_TCs[Process_Name],Tab_Process_TCs[Process_ID],,0,)</f>
        <v>#N/A</v>
      </c>
      <c r="D115" s="152" t="s">
        <v>30</v>
      </c>
      <c r="E115" s="152" t="s">
        <v>30</v>
      </c>
      <c r="F115" s="25" t="e">
        <f>_xlfn.XLOOKUP($D115,Tab_Process_TCs[Process_Name],Tab_Process_TCs[TC_Configuration],,0,)</f>
        <v>#N/A</v>
      </c>
      <c r="G115" s="25" t="e">
        <f>_xlfn.XLOOKUP($D115,Tab_Process_TCs[Process_Name],Tab_Process_TCs[Process_Logic],,0,)</f>
        <v>#N/A</v>
      </c>
      <c r="H115" s="7" t="str">
        <f>_xlfn.XLOOKUP($E115,Tab_Def_Flows[Flow_Name],Tab_Def_Flows[Flow_ID],,0,1)</f>
        <v>F__</v>
      </c>
      <c r="I115" s="8"/>
      <c r="J115" s="20" t="str">
        <f t="shared" si="10"/>
        <v>TC_material_F__</v>
      </c>
      <c r="K115" s="154"/>
      <c r="L115" s="20" t="str">
        <f t="shared" si="11"/>
        <v>TC_WC_F__</v>
      </c>
      <c r="M115" s="154"/>
      <c r="N115" s="20" t="str">
        <f t="shared" si="12"/>
        <v>TC_DM_F__</v>
      </c>
      <c r="O115" s="154"/>
      <c r="P115" s="20" t="str">
        <f t="shared" si="13"/>
        <v>TC_CC_F__</v>
      </c>
      <c r="Q115" s="8"/>
      <c r="R115" s="7" t="e">
        <f>_xlfn.XLOOKUP($D115,#REF!,#REF!,,0,)</f>
        <v>#REF!</v>
      </c>
      <c r="S115" s="20" t="str">
        <f>Tab_Process_TCs2527[[#This Row],[Flow_ID]]</f>
        <v>F__</v>
      </c>
      <c r="T115" s="20" t="e">
        <f t="shared" si="15"/>
        <v>#REF!</v>
      </c>
      <c r="U115" s="27"/>
      <c r="V115" s="30" t="e">
        <f>Tab_Process_TCs2527[[#This Row],[TC O_6_'[%']]]+#REF!+#REF!+#REF!+#REF!+#REF!</f>
        <v>#REF!</v>
      </c>
      <c r="W115" s="8"/>
      <c r="X115" s="8"/>
      <c r="Y115" s="8"/>
      <c r="Z115" s="8"/>
      <c r="AA115" s="8"/>
    </row>
    <row r="116" spans="1:27" x14ac:dyDescent="0.25">
      <c r="A116" s="156" t="b">
        <v>0</v>
      </c>
      <c r="B116" s="7">
        <f t="shared" si="14"/>
        <v>115</v>
      </c>
      <c r="C116" s="25" t="e">
        <f>_xlfn.XLOOKUP($D116,Tab_Process_TCs[Process_Name],Tab_Process_TCs[Process_ID],,0,)</f>
        <v>#N/A</v>
      </c>
      <c r="D116" s="152" t="s">
        <v>30</v>
      </c>
      <c r="E116" s="152" t="s">
        <v>30</v>
      </c>
      <c r="F116" s="25" t="e">
        <f>_xlfn.XLOOKUP($D116,Tab_Process_TCs[Process_Name],Tab_Process_TCs[TC_Configuration],,0,)</f>
        <v>#N/A</v>
      </c>
      <c r="G116" s="25" t="e">
        <f>_xlfn.XLOOKUP($D116,Tab_Process_TCs[Process_Name],Tab_Process_TCs[Process_Logic],,0,)</f>
        <v>#N/A</v>
      </c>
      <c r="H116" s="7" t="str">
        <f>_xlfn.XLOOKUP($E116,Tab_Def_Flows[Flow_Name],Tab_Def_Flows[Flow_ID],,0,1)</f>
        <v>F__</v>
      </c>
      <c r="I116" s="8"/>
      <c r="J116" s="20" t="str">
        <f t="shared" si="10"/>
        <v>TC_material_F__</v>
      </c>
      <c r="K116" s="154"/>
      <c r="L116" s="20" t="str">
        <f t="shared" si="11"/>
        <v>TC_WC_F__</v>
      </c>
      <c r="M116" s="154"/>
      <c r="N116" s="20" t="str">
        <f t="shared" si="12"/>
        <v>TC_DM_F__</v>
      </c>
      <c r="O116" s="154"/>
      <c r="P116" s="20" t="str">
        <f t="shared" si="13"/>
        <v>TC_CC_F__</v>
      </c>
      <c r="Q116" s="8"/>
      <c r="R116" s="7" t="e">
        <f>_xlfn.XLOOKUP($D116,#REF!,#REF!,,0,)</f>
        <v>#REF!</v>
      </c>
      <c r="S116" s="20" t="str">
        <f>Tab_Process_TCs2527[[#This Row],[Flow_ID]]</f>
        <v>F__</v>
      </c>
      <c r="T116" s="20" t="e">
        <f t="shared" si="15"/>
        <v>#REF!</v>
      </c>
      <c r="U116" s="27"/>
      <c r="V116" s="30" t="e">
        <f>Tab_Process_TCs2527[[#This Row],[TC O_6_'[%']]]+#REF!+#REF!+#REF!+#REF!+#REF!</f>
        <v>#REF!</v>
      </c>
      <c r="W116" s="8"/>
      <c r="X116" s="8"/>
      <c r="Y116" s="8"/>
      <c r="Z116" s="8"/>
      <c r="AA116" s="8"/>
    </row>
    <row r="117" spans="1:27" x14ac:dyDescent="0.25">
      <c r="A117" s="156" t="b">
        <v>0</v>
      </c>
      <c r="B117" s="7">
        <f t="shared" si="14"/>
        <v>116</v>
      </c>
      <c r="C117" s="25" t="e">
        <f>_xlfn.XLOOKUP($D117,Tab_Process_TCs[Process_Name],Tab_Process_TCs[Process_ID],,0,)</f>
        <v>#N/A</v>
      </c>
      <c r="D117" s="152" t="s">
        <v>30</v>
      </c>
      <c r="E117" s="152" t="s">
        <v>30</v>
      </c>
      <c r="F117" s="25" t="e">
        <f>_xlfn.XLOOKUP($D117,Tab_Process_TCs[Process_Name],Tab_Process_TCs[TC_Configuration],,0,)</f>
        <v>#N/A</v>
      </c>
      <c r="G117" s="25" t="e">
        <f>_xlfn.XLOOKUP($D117,Tab_Process_TCs[Process_Name],Tab_Process_TCs[Process_Logic],,0,)</f>
        <v>#N/A</v>
      </c>
      <c r="H117" s="7" t="str">
        <f>_xlfn.XLOOKUP($E117,Tab_Def_Flows[Flow_Name],Tab_Def_Flows[Flow_ID],,0,1)</f>
        <v>F__</v>
      </c>
      <c r="I117" s="8"/>
      <c r="J117" s="20" t="str">
        <f t="shared" si="10"/>
        <v>TC_material_F__</v>
      </c>
      <c r="K117" s="154"/>
      <c r="L117" s="20" t="str">
        <f t="shared" si="11"/>
        <v>TC_WC_F__</v>
      </c>
      <c r="M117" s="154"/>
      <c r="N117" s="20" t="str">
        <f t="shared" si="12"/>
        <v>TC_DM_F__</v>
      </c>
      <c r="O117" s="154"/>
      <c r="P117" s="20" t="str">
        <f t="shared" si="13"/>
        <v>TC_CC_F__</v>
      </c>
      <c r="Q117" s="8"/>
      <c r="R117" s="7" t="e">
        <f>_xlfn.XLOOKUP($D117,#REF!,#REF!,,0,)</f>
        <v>#REF!</v>
      </c>
      <c r="S117" s="20" t="str">
        <f>Tab_Process_TCs2527[[#This Row],[Flow_ID]]</f>
        <v>F__</v>
      </c>
      <c r="T117" s="20" t="e">
        <f t="shared" si="15"/>
        <v>#REF!</v>
      </c>
      <c r="U117" s="27"/>
      <c r="V117" s="30" t="e">
        <f>Tab_Process_TCs2527[[#This Row],[TC O_6_'[%']]]+#REF!+#REF!+#REF!+#REF!+#REF!</f>
        <v>#REF!</v>
      </c>
      <c r="W117" s="8"/>
      <c r="X117" s="8"/>
      <c r="Y117" s="8"/>
      <c r="Z117" s="8"/>
      <c r="AA117" s="8"/>
    </row>
    <row r="118" spans="1:27" x14ac:dyDescent="0.25">
      <c r="A118" s="156" t="b">
        <v>0</v>
      </c>
      <c r="B118" s="7">
        <f t="shared" si="14"/>
        <v>117</v>
      </c>
      <c r="C118" s="25" t="e">
        <f>_xlfn.XLOOKUP($D118,Tab_Process_TCs[Process_Name],Tab_Process_TCs[Process_ID],,0,)</f>
        <v>#N/A</v>
      </c>
      <c r="D118" s="152" t="s">
        <v>30</v>
      </c>
      <c r="E118" s="152" t="s">
        <v>30</v>
      </c>
      <c r="F118" s="25" t="e">
        <f>_xlfn.XLOOKUP($D118,Tab_Process_TCs[Process_Name],Tab_Process_TCs[TC_Configuration],,0,)</f>
        <v>#N/A</v>
      </c>
      <c r="G118" s="25" t="e">
        <f>_xlfn.XLOOKUP($D118,Tab_Process_TCs[Process_Name],Tab_Process_TCs[Process_Logic],,0,)</f>
        <v>#N/A</v>
      </c>
      <c r="H118" s="7" t="str">
        <f>_xlfn.XLOOKUP($E118,Tab_Def_Flows[Flow_Name],Tab_Def_Flows[Flow_ID],,0,1)</f>
        <v>F__</v>
      </c>
      <c r="I118" s="8"/>
      <c r="J118" s="20" t="str">
        <f t="shared" si="10"/>
        <v>TC_material_F__</v>
      </c>
      <c r="K118" s="154"/>
      <c r="L118" s="20" t="str">
        <f t="shared" si="11"/>
        <v>TC_WC_F__</v>
      </c>
      <c r="M118" s="154"/>
      <c r="N118" s="20" t="str">
        <f t="shared" si="12"/>
        <v>TC_DM_F__</v>
      </c>
      <c r="O118" s="154"/>
      <c r="P118" s="20" t="str">
        <f t="shared" si="13"/>
        <v>TC_CC_F__</v>
      </c>
      <c r="Q118" s="8"/>
      <c r="R118" s="7" t="e">
        <f>_xlfn.XLOOKUP($D118,#REF!,#REF!,,0,)</f>
        <v>#REF!</v>
      </c>
      <c r="S118" s="20" t="str">
        <f>Tab_Process_TCs2527[[#This Row],[Flow_ID]]</f>
        <v>F__</v>
      </c>
      <c r="T118" s="20" t="e">
        <f t="shared" si="15"/>
        <v>#REF!</v>
      </c>
      <c r="U118" s="27"/>
      <c r="V118" s="30" t="e">
        <f>Tab_Process_TCs2527[[#This Row],[TC O_6_'[%']]]+#REF!+#REF!+#REF!+#REF!+#REF!</f>
        <v>#REF!</v>
      </c>
      <c r="W118" s="8"/>
      <c r="X118" s="8"/>
      <c r="Y118" s="8"/>
      <c r="Z118" s="8"/>
      <c r="AA118" s="8"/>
    </row>
    <row r="119" spans="1:27" x14ac:dyDescent="0.25">
      <c r="A119" s="156" t="b">
        <v>0</v>
      </c>
      <c r="B119" s="7">
        <f t="shared" si="14"/>
        <v>118</v>
      </c>
      <c r="C119" s="25" t="e">
        <f>_xlfn.XLOOKUP($D119,Tab_Process_TCs[Process_Name],Tab_Process_TCs[Process_ID],,0,)</f>
        <v>#N/A</v>
      </c>
      <c r="D119" s="152" t="s">
        <v>30</v>
      </c>
      <c r="E119" s="152" t="s">
        <v>30</v>
      </c>
      <c r="F119" s="25" t="e">
        <f>_xlfn.XLOOKUP($D119,Tab_Process_TCs[Process_Name],Tab_Process_TCs[TC_Configuration],,0,)</f>
        <v>#N/A</v>
      </c>
      <c r="G119" s="25" t="e">
        <f>_xlfn.XLOOKUP($D119,Tab_Process_TCs[Process_Name],Tab_Process_TCs[Process_Logic],,0,)</f>
        <v>#N/A</v>
      </c>
      <c r="H119" s="7" t="str">
        <f>_xlfn.XLOOKUP($E119,Tab_Def_Flows[Flow_Name],Tab_Def_Flows[Flow_ID],,0,1)</f>
        <v>F__</v>
      </c>
      <c r="I119" s="8"/>
      <c r="J119" s="20" t="str">
        <f t="shared" si="10"/>
        <v>TC_material_F__</v>
      </c>
      <c r="K119" s="154"/>
      <c r="L119" s="20" t="str">
        <f t="shared" si="11"/>
        <v>TC_WC_F__</v>
      </c>
      <c r="M119" s="154"/>
      <c r="N119" s="20" t="str">
        <f t="shared" si="12"/>
        <v>TC_DM_F__</v>
      </c>
      <c r="O119" s="154"/>
      <c r="P119" s="20" t="str">
        <f t="shared" si="13"/>
        <v>TC_CC_F__</v>
      </c>
      <c r="Q119" s="8"/>
      <c r="R119" s="7" t="e">
        <f>_xlfn.XLOOKUP($D119,#REF!,#REF!,,0,)</f>
        <v>#REF!</v>
      </c>
      <c r="S119" s="20" t="str">
        <f>Tab_Process_TCs2527[[#This Row],[Flow_ID]]</f>
        <v>F__</v>
      </c>
      <c r="T119" s="20" t="e">
        <f t="shared" si="15"/>
        <v>#REF!</v>
      </c>
      <c r="U119" s="27"/>
      <c r="V119" s="30" t="e">
        <f>Tab_Process_TCs2527[[#This Row],[TC O_6_'[%']]]+#REF!+#REF!+#REF!+#REF!+#REF!</f>
        <v>#REF!</v>
      </c>
      <c r="W119" s="8"/>
      <c r="X119" s="8"/>
      <c r="Y119" s="8"/>
      <c r="Z119" s="8"/>
      <c r="AA119" s="8"/>
    </row>
    <row r="120" spans="1:27" x14ac:dyDescent="0.25">
      <c r="A120" s="156" t="b">
        <v>0</v>
      </c>
      <c r="B120" s="7">
        <f t="shared" si="14"/>
        <v>119</v>
      </c>
      <c r="C120" s="25" t="e">
        <f>_xlfn.XLOOKUP($D120,Tab_Process_TCs[Process_Name],Tab_Process_TCs[Process_ID],,0,)</f>
        <v>#N/A</v>
      </c>
      <c r="D120" s="152" t="s">
        <v>30</v>
      </c>
      <c r="E120" s="152" t="s">
        <v>30</v>
      </c>
      <c r="F120" s="25" t="e">
        <f>_xlfn.XLOOKUP($D120,Tab_Process_TCs[Process_Name],Tab_Process_TCs[TC_Configuration],,0,)</f>
        <v>#N/A</v>
      </c>
      <c r="G120" s="25" t="e">
        <f>_xlfn.XLOOKUP($D120,Tab_Process_TCs[Process_Name],Tab_Process_TCs[Process_Logic],,0,)</f>
        <v>#N/A</v>
      </c>
      <c r="H120" s="7" t="str">
        <f>_xlfn.XLOOKUP($E120,Tab_Def_Flows[Flow_Name],Tab_Def_Flows[Flow_ID],,0,1)</f>
        <v>F__</v>
      </c>
      <c r="I120" s="8"/>
      <c r="J120" s="20" t="str">
        <f t="shared" si="10"/>
        <v>TC_material_F__</v>
      </c>
      <c r="K120" s="154"/>
      <c r="L120" s="20" t="str">
        <f t="shared" si="11"/>
        <v>TC_WC_F__</v>
      </c>
      <c r="M120" s="154"/>
      <c r="N120" s="20" t="str">
        <f t="shared" si="12"/>
        <v>TC_DM_F__</v>
      </c>
      <c r="O120" s="154"/>
      <c r="P120" s="20" t="str">
        <f t="shared" si="13"/>
        <v>TC_CC_F__</v>
      </c>
      <c r="Q120" s="8"/>
      <c r="R120" s="7" t="e">
        <f>_xlfn.XLOOKUP($D120,#REF!,#REF!,,0,)</f>
        <v>#REF!</v>
      </c>
      <c r="S120" s="20" t="str">
        <f>Tab_Process_TCs2527[[#This Row],[Flow_ID]]</f>
        <v>F__</v>
      </c>
      <c r="T120" s="20" t="e">
        <f t="shared" si="15"/>
        <v>#REF!</v>
      </c>
      <c r="U120" s="27"/>
      <c r="V120" s="30" t="e">
        <f>Tab_Process_TCs2527[[#This Row],[TC O_6_'[%']]]+#REF!+#REF!+#REF!+#REF!+#REF!</f>
        <v>#REF!</v>
      </c>
      <c r="W120" s="8"/>
      <c r="X120" s="8"/>
      <c r="Y120" s="8"/>
      <c r="Z120" s="8"/>
      <c r="AA120" s="8"/>
    </row>
    <row r="121" spans="1:27" x14ac:dyDescent="0.25">
      <c r="A121" s="156" t="b">
        <v>0</v>
      </c>
      <c r="B121" s="7">
        <f t="shared" si="14"/>
        <v>120</v>
      </c>
      <c r="C121" s="25" t="e">
        <f>_xlfn.XLOOKUP($D121,Tab_Process_TCs[Process_Name],Tab_Process_TCs[Process_ID],,0,)</f>
        <v>#N/A</v>
      </c>
      <c r="D121" s="152" t="s">
        <v>30</v>
      </c>
      <c r="E121" s="152" t="s">
        <v>30</v>
      </c>
      <c r="F121" s="25" t="e">
        <f>_xlfn.XLOOKUP($D121,Tab_Process_TCs[Process_Name],Tab_Process_TCs[TC_Configuration],,0,)</f>
        <v>#N/A</v>
      </c>
      <c r="G121" s="25" t="e">
        <f>_xlfn.XLOOKUP($D121,Tab_Process_TCs[Process_Name],Tab_Process_TCs[Process_Logic],,0,)</f>
        <v>#N/A</v>
      </c>
      <c r="H121" s="7" t="str">
        <f>_xlfn.XLOOKUP($E121,Tab_Def_Flows[Flow_Name],Tab_Def_Flows[Flow_ID],,0,1)</f>
        <v>F__</v>
      </c>
      <c r="I121" s="8"/>
      <c r="J121" s="20" t="str">
        <f t="shared" si="10"/>
        <v>TC_material_F__</v>
      </c>
      <c r="K121" s="154"/>
      <c r="L121" s="20" t="str">
        <f t="shared" si="11"/>
        <v>TC_WC_F__</v>
      </c>
      <c r="M121" s="154"/>
      <c r="N121" s="20" t="str">
        <f t="shared" si="12"/>
        <v>TC_DM_F__</v>
      </c>
      <c r="O121" s="154"/>
      <c r="P121" s="20" t="str">
        <f t="shared" si="13"/>
        <v>TC_CC_F__</v>
      </c>
      <c r="Q121" s="8"/>
      <c r="R121" s="7" t="e">
        <f>_xlfn.XLOOKUP($D121,#REF!,#REF!,,0,)</f>
        <v>#REF!</v>
      </c>
      <c r="S121" s="20" t="str">
        <f>Tab_Process_TCs2527[[#This Row],[Flow_ID]]</f>
        <v>F__</v>
      </c>
      <c r="T121" s="20" t="e">
        <f t="shared" si="15"/>
        <v>#REF!</v>
      </c>
      <c r="U121" s="27"/>
      <c r="V121" s="30" t="e">
        <f>Tab_Process_TCs2527[[#This Row],[TC O_6_'[%']]]+#REF!+#REF!+#REF!+#REF!+#REF!</f>
        <v>#REF!</v>
      </c>
      <c r="W121" s="8"/>
      <c r="X121" s="8"/>
      <c r="Y121" s="8"/>
      <c r="Z121" s="8"/>
      <c r="AA121" s="8"/>
    </row>
    <row r="122" spans="1:27" x14ac:dyDescent="0.25">
      <c r="A122" s="156" t="b">
        <v>0</v>
      </c>
      <c r="B122" s="7">
        <f t="shared" si="14"/>
        <v>121</v>
      </c>
      <c r="C122" s="25" t="e">
        <f>_xlfn.XLOOKUP($D122,Tab_Process_TCs[Process_Name],Tab_Process_TCs[Process_ID],,0,)</f>
        <v>#N/A</v>
      </c>
      <c r="D122" s="152" t="s">
        <v>30</v>
      </c>
      <c r="E122" s="152" t="s">
        <v>30</v>
      </c>
      <c r="F122" s="25" t="e">
        <f>_xlfn.XLOOKUP($D122,Tab_Process_TCs[Process_Name],Tab_Process_TCs[TC_Configuration],,0,)</f>
        <v>#N/A</v>
      </c>
      <c r="G122" s="25" t="e">
        <f>_xlfn.XLOOKUP($D122,Tab_Process_TCs[Process_Name],Tab_Process_TCs[Process_Logic],,0,)</f>
        <v>#N/A</v>
      </c>
      <c r="H122" s="7" t="str">
        <f>_xlfn.XLOOKUP($E122,Tab_Def_Flows[Flow_Name],Tab_Def_Flows[Flow_ID],,0,1)</f>
        <v>F__</v>
      </c>
      <c r="I122" s="8"/>
      <c r="J122" s="20" t="str">
        <f t="shared" si="10"/>
        <v>TC_material_F__</v>
      </c>
      <c r="K122" s="154"/>
      <c r="L122" s="20" t="str">
        <f t="shared" si="11"/>
        <v>TC_WC_F__</v>
      </c>
      <c r="M122" s="154"/>
      <c r="N122" s="20" t="str">
        <f t="shared" si="12"/>
        <v>TC_DM_F__</v>
      </c>
      <c r="O122" s="154"/>
      <c r="P122" s="20" t="str">
        <f t="shared" si="13"/>
        <v>TC_CC_F__</v>
      </c>
      <c r="Q122" s="8"/>
      <c r="R122" s="7" t="e">
        <f>_xlfn.XLOOKUP($D122,#REF!,#REF!,,0,)</f>
        <v>#REF!</v>
      </c>
      <c r="S122" s="20" t="str">
        <f>Tab_Process_TCs2527[[#This Row],[Flow_ID]]</f>
        <v>F__</v>
      </c>
      <c r="T122" s="20" t="e">
        <f t="shared" si="15"/>
        <v>#REF!</v>
      </c>
      <c r="U122" s="27"/>
      <c r="V122" s="30" t="e">
        <f>Tab_Process_TCs2527[[#This Row],[TC O_6_'[%']]]+#REF!+#REF!+#REF!+#REF!+#REF!</f>
        <v>#REF!</v>
      </c>
      <c r="W122" s="8"/>
      <c r="X122" s="8"/>
      <c r="Y122" s="8"/>
      <c r="Z122" s="8"/>
      <c r="AA122" s="8"/>
    </row>
    <row r="123" spans="1:27" x14ac:dyDescent="0.25">
      <c r="A123" s="156" t="b">
        <v>0</v>
      </c>
      <c r="B123" s="7">
        <f t="shared" si="14"/>
        <v>122</v>
      </c>
      <c r="C123" s="25" t="e">
        <f>_xlfn.XLOOKUP($D123,Tab_Process_TCs[Process_Name],Tab_Process_TCs[Process_ID],,0,)</f>
        <v>#N/A</v>
      </c>
      <c r="D123" s="152" t="s">
        <v>30</v>
      </c>
      <c r="E123" s="152" t="s">
        <v>30</v>
      </c>
      <c r="F123" s="25" t="e">
        <f>_xlfn.XLOOKUP($D123,Tab_Process_TCs[Process_Name],Tab_Process_TCs[TC_Configuration],,0,)</f>
        <v>#N/A</v>
      </c>
      <c r="G123" s="25" t="e">
        <f>_xlfn.XLOOKUP($D123,Tab_Process_TCs[Process_Name],Tab_Process_TCs[Process_Logic],,0,)</f>
        <v>#N/A</v>
      </c>
      <c r="H123" s="7" t="str">
        <f>_xlfn.XLOOKUP($E123,Tab_Def_Flows[Flow_Name],Tab_Def_Flows[Flow_ID],,0,1)</f>
        <v>F__</v>
      </c>
      <c r="I123" s="8"/>
      <c r="J123" s="20" t="str">
        <f t="shared" si="10"/>
        <v>TC_material_F__</v>
      </c>
      <c r="K123" s="154"/>
      <c r="L123" s="20" t="str">
        <f t="shared" si="11"/>
        <v>TC_WC_F__</v>
      </c>
      <c r="M123" s="154"/>
      <c r="N123" s="20" t="str">
        <f t="shared" si="12"/>
        <v>TC_DM_F__</v>
      </c>
      <c r="O123" s="154"/>
      <c r="P123" s="20" t="str">
        <f t="shared" si="13"/>
        <v>TC_CC_F__</v>
      </c>
      <c r="Q123" s="8"/>
      <c r="R123" s="7" t="e">
        <f>_xlfn.XLOOKUP($D123,#REF!,#REF!,,0,)</f>
        <v>#REF!</v>
      </c>
      <c r="S123" s="20" t="str">
        <f>Tab_Process_TCs2527[[#This Row],[Flow_ID]]</f>
        <v>F__</v>
      </c>
      <c r="T123" s="20" t="e">
        <f t="shared" si="15"/>
        <v>#REF!</v>
      </c>
      <c r="U123" s="27"/>
      <c r="V123" s="30" t="e">
        <f>Tab_Process_TCs2527[[#This Row],[TC O_6_'[%']]]+#REF!+#REF!+#REF!+#REF!+#REF!</f>
        <v>#REF!</v>
      </c>
      <c r="W123" s="8"/>
      <c r="X123" s="8"/>
      <c r="Y123" s="8"/>
      <c r="Z123" s="8"/>
      <c r="AA123" s="8"/>
    </row>
    <row r="124" spans="1:27" x14ac:dyDescent="0.25">
      <c r="A124" s="156" t="b">
        <v>0</v>
      </c>
      <c r="B124" s="7">
        <f t="shared" si="14"/>
        <v>123</v>
      </c>
      <c r="C124" s="25" t="e">
        <f>_xlfn.XLOOKUP($D124,Tab_Process_TCs[Process_Name],Tab_Process_TCs[Process_ID],,0,)</f>
        <v>#N/A</v>
      </c>
      <c r="D124" s="152" t="s">
        <v>30</v>
      </c>
      <c r="E124" s="152" t="s">
        <v>30</v>
      </c>
      <c r="F124" s="25" t="e">
        <f>_xlfn.XLOOKUP($D124,Tab_Process_TCs[Process_Name],Tab_Process_TCs[TC_Configuration],,0,)</f>
        <v>#N/A</v>
      </c>
      <c r="G124" s="25" t="e">
        <f>_xlfn.XLOOKUP($D124,Tab_Process_TCs[Process_Name],Tab_Process_TCs[Process_Logic],,0,)</f>
        <v>#N/A</v>
      </c>
      <c r="H124" s="7" t="str">
        <f>_xlfn.XLOOKUP($E124,Tab_Def_Flows[Flow_Name],Tab_Def_Flows[Flow_ID],,0,1)</f>
        <v>F__</v>
      </c>
      <c r="I124" s="8"/>
      <c r="J124" s="20" t="str">
        <f t="shared" si="10"/>
        <v>TC_material_F__</v>
      </c>
      <c r="K124" s="154"/>
      <c r="L124" s="20" t="str">
        <f t="shared" si="11"/>
        <v>TC_WC_F__</v>
      </c>
      <c r="M124" s="154"/>
      <c r="N124" s="20" t="str">
        <f t="shared" si="12"/>
        <v>TC_DM_F__</v>
      </c>
      <c r="O124" s="154"/>
      <c r="P124" s="20" t="str">
        <f t="shared" si="13"/>
        <v>TC_CC_F__</v>
      </c>
      <c r="Q124" s="8"/>
      <c r="R124" s="7" t="e">
        <f>_xlfn.XLOOKUP($D124,#REF!,#REF!,,0,)</f>
        <v>#REF!</v>
      </c>
      <c r="S124" s="20" t="str">
        <f>Tab_Process_TCs2527[[#This Row],[Flow_ID]]</f>
        <v>F__</v>
      </c>
      <c r="T124" s="20" t="e">
        <f t="shared" si="15"/>
        <v>#REF!</v>
      </c>
      <c r="U124" s="27"/>
      <c r="V124" s="30" t="e">
        <f>Tab_Process_TCs2527[[#This Row],[TC O_6_'[%']]]+#REF!+#REF!+#REF!+#REF!+#REF!</f>
        <v>#REF!</v>
      </c>
      <c r="W124" s="8"/>
      <c r="X124" s="8"/>
      <c r="Y124" s="8"/>
      <c r="Z124" s="8"/>
      <c r="AA124" s="8"/>
    </row>
    <row r="125" spans="1:27" x14ac:dyDescent="0.25">
      <c r="A125" s="156" t="b">
        <v>0</v>
      </c>
      <c r="B125" s="7">
        <f t="shared" si="14"/>
        <v>124</v>
      </c>
      <c r="C125" s="25" t="e">
        <f>_xlfn.XLOOKUP($D125,Tab_Process_TCs[Process_Name],Tab_Process_TCs[Process_ID],,0,)</f>
        <v>#N/A</v>
      </c>
      <c r="D125" s="152" t="s">
        <v>30</v>
      </c>
      <c r="E125" s="152" t="s">
        <v>30</v>
      </c>
      <c r="F125" s="25" t="e">
        <f>_xlfn.XLOOKUP($D125,Tab_Process_TCs[Process_Name],Tab_Process_TCs[TC_Configuration],,0,)</f>
        <v>#N/A</v>
      </c>
      <c r="G125" s="25" t="e">
        <f>_xlfn.XLOOKUP($D125,Tab_Process_TCs[Process_Name],Tab_Process_TCs[Process_Logic],,0,)</f>
        <v>#N/A</v>
      </c>
      <c r="H125" s="7" t="str">
        <f>_xlfn.XLOOKUP($E125,Tab_Def_Flows[Flow_Name],Tab_Def_Flows[Flow_ID],,0,1)</f>
        <v>F__</v>
      </c>
      <c r="I125" s="8"/>
      <c r="J125" s="20" t="str">
        <f t="shared" si="10"/>
        <v>TC_material_F__</v>
      </c>
      <c r="K125" s="154"/>
      <c r="L125" s="20" t="str">
        <f t="shared" si="11"/>
        <v>TC_WC_F__</v>
      </c>
      <c r="M125" s="154"/>
      <c r="N125" s="20" t="str">
        <f t="shared" si="12"/>
        <v>TC_DM_F__</v>
      </c>
      <c r="O125" s="154"/>
      <c r="P125" s="20" t="str">
        <f t="shared" si="13"/>
        <v>TC_CC_F__</v>
      </c>
      <c r="Q125" s="8"/>
      <c r="R125" s="7" t="e">
        <f>_xlfn.XLOOKUP($D125,#REF!,#REF!,,0,)</f>
        <v>#REF!</v>
      </c>
      <c r="S125" s="20" t="str">
        <f>Tab_Process_TCs2527[[#This Row],[Flow_ID]]</f>
        <v>F__</v>
      </c>
      <c r="T125" s="20" t="e">
        <f t="shared" si="15"/>
        <v>#REF!</v>
      </c>
      <c r="U125" s="27"/>
      <c r="V125" s="30" t="e">
        <f>Tab_Process_TCs2527[[#This Row],[TC O_6_'[%']]]+#REF!+#REF!+#REF!+#REF!+#REF!</f>
        <v>#REF!</v>
      </c>
      <c r="W125" s="8"/>
      <c r="X125" s="8"/>
      <c r="Y125" s="8"/>
      <c r="Z125" s="8"/>
      <c r="AA125" s="8"/>
    </row>
    <row r="126" spans="1:27" x14ac:dyDescent="0.25">
      <c r="A126" s="156" t="b">
        <v>0</v>
      </c>
      <c r="B126" s="7">
        <f t="shared" si="14"/>
        <v>125</v>
      </c>
      <c r="C126" s="25" t="e">
        <f>_xlfn.XLOOKUP($D126,Tab_Process_TCs[Process_Name],Tab_Process_TCs[Process_ID],,0,)</f>
        <v>#N/A</v>
      </c>
      <c r="D126" s="152" t="s">
        <v>30</v>
      </c>
      <c r="E126" s="152" t="s">
        <v>30</v>
      </c>
      <c r="F126" s="25" t="e">
        <f>_xlfn.XLOOKUP($D126,Tab_Process_TCs[Process_Name],Tab_Process_TCs[TC_Configuration],,0,)</f>
        <v>#N/A</v>
      </c>
      <c r="G126" s="25" t="e">
        <f>_xlfn.XLOOKUP($D126,Tab_Process_TCs[Process_Name],Tab_Process_TCs[Process_Logic],,0,)</f>
        <v>#N/A</v>
      </c>
      <c r="H126" s="7" t="str">
        <f>_xlfn.XLOOKUP($E126,Tab_Def_Flows[Flow_Name],Tab_Def_Flows[Flow_ID],,0,1)</f>
        <v>F__</v>
      </c>
      <c r="I126" s="8"/>
      <c r="J126" s="20" t="str">
        <f t="shared" si="10"/>
        <v>TC_material_F__</v>
      </c>
      <c r="K126" s="154"/>
      <c r="L126" s="20" t="str">
        <f t="shared" si="11"/>
        <v>TC_WC_F__</v>
      </c>
      <c r="M126" s="154"/>
      <c r="N126" s="20" t="str">
        <f t="shared" si="12"/>
        <v>TC_DM_F__</v>
      </c>
      <c r="O126" s="154"/>
      <c r="P126" s="20" t="str">
        <f t="shared" si="13"/>
        <v>TC_CC_F__</v>
      </c>
      <c r="Q126" s="8"/>
      <c r="R126" s="7" t="e">
        <f>_xlfn.XLOOKUP($D126,#REF!,#REF!,,0,)</f>
        <v>#REF!</v>
      </c>
      <c r="S126" s="20" t="str">
        <f>Tab_Process_TCs2527[[#This Row],[Flow_ID]]</f>
        <v>F__</v>
      </c>
      <c r="T126" s="20" t="e">
        <f t="shared" si="15"/>
        <v>#REF!</v>
      </c>
      <c r="U126" s="27"/>
      <c r="V126" s="30" t="e">
        <f>Tab_Process_TCs2527[[#This Row],[TC O_6_'[%']]]+#REF!+#REF!+#REF!+#REF!+#REF!</f>
        <v>#REF!</v>
      </c>
      <c r="W126" s="8"/>
      <c r="X126" s="8"/>
      <c r="Y126" s="8"/>
      <c r="Z126" s="8"/>
      <c r="AA126" s="8"/>
    </row>
    <row r="127" spans="1:27" x14ac:dyDescent="0.25">
      <c r="A127" s="156" t="b">
        <v>0</v>
      </c>
      <c r="B127" s="7">
        <f t="shared" si="14"/>
        <v>126</v>
      </c>
      <c r="C127" s="25" t="e">
        <f>_xlfn.XLOOKUP($D127,Tab_Process_TCs[Process_Name],Tab_Process_TCs[Process_ID],,0,)</f>
        <v>#N/A</v>
      </c>
      <c r="D127" s="152" t="s">
        <v>30</v>
      </c>
      <c r="E127" s="152" t="s">
        <v>30</v>
      </c>
      <c r="F127" s="25" t="e">
        <f>_xlfn.XLOOKUP($D127,Tab_Process_TCs[Process_Name],Tab_Process_TCs[TC_Configuration],,0,)</f>
        <v>#N/A</v>
      </c>
      <c r="G127" s="25" t="e">
        <f>_xlfn.XLOOKUP($D127,Tab_Process_TCs[Process_Name],Tab_Process_TCs[Process_Logic],,0,)</f>
        <v>#N/A</v>
      </c>
      <c r="H127" s="7" t="str">
        <f>_xlfn.XLOOKUP($E127,Tab_Def_Flows[Flow_Name],Tab_Def_Flows[Flow_ID],,0,1)</f>
        <v>F__</v>
      </c>
      <c r="I127" s="8"/>
      <c r="J127" s="20" t="str">
        <f t="shared" si="10"/>
        <v>TC_material_F__</v>
      </c>
      <c r="K127" s="154"/>
      <c r="L127" s="20" t="str">
        <f t="shared" si="11"/>
        <v>TC_WC_F__</v>
      </c>
      <c r="M127" s="154"/>
      <c r="N127" s="20" t="str">
        <f t="shared" si="12"/>
        <v>TC_DM_F__</v>
      </c>
      <c r="O127" s="154"/>
      <c r="P127" s="20" t="str">
        <f t="shared" si="13"/>
        <v>TC_CC_F__</v>
      </c>
      <c r="Q127" s="8"/>
      <c r="R127" s="7" t="e">
        <f>_xlfn.XLOOKUP($D127,#REF!,#REF!,,0,)</f>
        <v>#REF!</v>
      </c>
      <c r="S127" s="20" t="str">
        <f>Tab_Process_TCs2527[[#This Row],[Flow_ID]]</f>
        <v>F__</v>
      </c>
      <c r="T127" s="20" t="e">
        <f t="shared" si="15"/>
        <v>#REF!</v>
      </c>
      <c r="U127" s="27"/>
      <c r="V127" s="30" t="e">
        <f>Tab_Process_TCs2527[[#This Row],[TC O_6_'[%']]]+#REF!+#REF!+#REF!+#REF!+#REF!</f>
        <v>#REF!</v>
      </c>
      <c r="W127" s="8"/>
      <c r="X127" s="8"/>
      <c r="Y127" s="8"/>
      <c r="Z127" s="8"/>
      <c r="AA127" s="8"/>
    </row>
    <row r="128" spans="1:27" x14ac:dyDescent="0.25">
      <c r="A128" s="156" t="b">
        <v>0</v>
      </c>
      <c r="B128" s="7">
        <f t="shared" ref="B128:B149" si="16">ROW()-1</f>
        <v>127</v>
      </c>
      <c r="C128" s="25" t="e">
        <f>_xlfn.XLOOKUP($D128,Tab_Process_TCs[Process_Name],Tab_Process_TCs[Process_ID],,0,)</f>
        <v>#N/A</v>
      </c>
      <c r="D128" s="152" t="s">
        <v>30</v>
      </c>
      <c r="E128" s="152" t="s">
        <v>30</v>
      </c>
      <c r="F128" s="25" t="e">
        <f>_xlfn.XLOOKUP($D128,Tab_Process_TCs[Process_Name],Tab_Process_TCs[TC_Configuration],,0,)</f>
        <v>#N/A</v>
      </c>
      <c r="G128" s="25" t="e">
        <f>_xlfn.XLOOKUP($D128,Tab_Process_TCs[Process_Name],Tab_Process_TCs[Process_Logic],,0,)</f>
        <v>#N/A</v>
      </c>
      <c r="H128" s="7" t="str">
        <f>_xlfn.XLOOKUP($E128,Tab_Def_Flows[Flow_Name],Tab_Def_Flows[Flow_ID],,0,1)</f>
        <v>F__</v>
      </c>
      <c r="I128" s="8"/>
      <c r="J128" s="20" t="str">
        <f t="shared" si="10"/>
        <v>TC_material_F__</v>
      </c>
      <c r="K128" s="154"/>
      <c r="L128" s="20" t="str">
        <f t="shared" si="11"/>
        <v>TC_WC_F__</v>
      </c>
      <c r="M128" s="154"/>
      <c r="N128" s="20" t="str">
        <f t="shared" si="12"/>
        <v>TC_DM_F__</v>
      </c>
      <c r="O128" s="154"/>
      <c r="P128" s="20" t="str">
        <f t="shared" si="13"/>
        <v>TC_CC_F__</v>
      </c>
      <c r="Q128" s="8"/>
      <c r="R128" s="7" t="e">
        <f>_xlfn.XLOOKUP($D128,#REF!,#REF!,,0,)</f>
        <v>#REF!</v>
      </c>
      <c r="S128" s="20" t="str">
        <f>Tab_Process_TCs2527[[#This Row],[Flow_ID]]</f>
        <v>F__</v>
      </c>
      <c r="T128" s="20" t="e">
        <f t="shared" ref="T128:T149" si="17">"TC"&amp;"_"&amp;RIGHT(R128,5)</f>
        <v>#REF!</v>
      </c>
      <c r="U128" s="27"/>
      <c r="V128" s="30" t="e">
        <f>Tab_Process_TCs2527[[#This Row],[TC O_6_'[%']]]+#REF!+#REF!+#REF!+#REF!+#REF!</f>
        <v>#REF!</v>
      </c>
      <c r="W128" s="8"/>
      <c r="X128" s="8"/>
      <c r="Y128" s="8"/>
      <c r="Z128" s="8"/>
      <c r="AA128" s="8"/>
    </row>
    <row r="129" spans="1:27" x14ac:dyDescent="0.25">
      <c r="A129" s="156" t="b">
        <v>0</v>
      </c>
      <c r="B129" s="7">
        <f t="shared" si="16"/>
        <v>128</v>
      </c>
      <c r="C129" s="25" t="e">
        <f>_xlfn.XLOOKUP($D129,Tab_Process_TCs[Process_Name],Tab_Process_TCs[Process_ID],,0,)</f>
        <v>#N/A</v>
      </c>
      <c r="D129" s="152" t="s">
        <v>30</v>
      </c>
      <c r="E129" s="152" t="s">
        <v>30</v>
      </c>
      <c r="F129" s="25" t="e">
        <f>_xlfn.XLOOKUP($D129,Tab_Process_TCs[Process_Name],Tab_Process_TCs[TC_Configuration],,0,)</f>
        <v>#N/A</v>
      </c>
      <c r="G129" s="25" t="e">
        <f>_xlfn.XLOOKUP($D129,Tab_Process_TCs[Process_Name],Tab_Process_TCs[Process_Logic],,0,)</f>
        <v>#N/A</v>
      </c>
      <c r="H129" s="7" t="str">
        <f>_xlfn.XLOOKUP($E129,Tab_Def_Flows[Flow_Name],Tab_Def_Flows[Flow_ID],,0,1)</f>
        <v>F__</v>
      </c>
      <c r="I129" s="8"/>
      <c r="J129" s="20" t="str">
        <f t="shared" si="10"/>
        <v>TC_material_F__</v>
      </c>
      <c r="K129" s="154"/>
      <c r="L129" s="20" t="str">
        <f t="shared" si="11"/>
        <v>TC_WC_F__</v>
      </c>
      <c r="M129" s="154"/>
      <c r="N129" s="20" t="str">
        <f t="shared" si="12"/>
        <v>TC_DM_F__</v>
      </c>
      <c r="O129" s="154"/>
      <c r="P129" s="20" t="str">
        <f t="shared" si="13"/>
        <v>TC_CC_F__</v>
      </c>
      <c r="Q129" s="8"/>
      <c r="R129" s="7" t="e">
        <f>_xlfn.XLOOKUP($D129,#REF!,#REF!,,0,)</f>
        <v>#REF!</v>
      </c>
      <c r="S129" s="20" t="str">
        <f>Tab_Process_TCs2527[[#This Row],[Flow_ID]]</f>
        <v>F__</v>
      </c>
      <c r="T129" s="20" t="e">
        <f t="shared" si="17"/>
        <v>#REF!</v>
      </c>
      <c r="U129" s="27"/>
      <c r="V129" s="30" t="e">
        <f>Tab_Process_TCs2527[[#This Row],[TC O_6_'[%']]]+#REF!+#REF!+#REF!+#REF!+#REF!</f>
        <v>#REF!</v>
      </c>
      <c r="W129" s="8"/>
      <c r="X129" s="8"/>
      <c r="Y129" s="8"/>
      <c r="Z129" s="8"/>
      <c r="AA129" s="8"/>
    </row>
    <row r="130" spans="1:27" x14ac:dyDescent="0.25">
      <c r="A130" s="156" t="b">
        <v>0</v>
      </c>
      <c r="B130" s="7">
        <f t="shared" si="16"/>
        <v>129</v>
      </c>
      <c r="C130" s="25" t="e">
        <f>_xlfn.XLOOKUP($D130,Tab_Process_TCs[Process_Name],Tab_Process_TCs[Process_ID],,0,)</f>
        <v>#N/A</v>
      </c>
      <c r="D130" s="152" t="s">
        <v>30</v>
      </c>
      <c r="E130" s="152" t="s">
        <v>30</v>
      </c>
      <c r="F130" s="25" t="e">
        <f>_xlfn.XLOOKUP($D130,Tab_Process_TCs[Process_Name],Tab_Process_TCs[TC_Configuration],,0,)</f>
        <v>#N/A</v>
      </c>
      <c r="G130" s="25" t="e">
        <f>_xlfn.XLOOKUP($D130,Tab_Process_TCs[Process_Name],Tab_Process_TCs[Process_Logic],,0,)</f>
        <v>#N/A</v>
      </c>
      <c r="H130" s="7" t="str">
        <f>_xlfn.XLOOKUP($E130,Tab_Def_Flows[Flow_Name],Tab_Def_Flows[Flow_ID],,0,1)</f>
        <v>F__</v>
      </c>
      <c r="I130" s="8"/>
      <c r="J130" s="20" t="str">
        <f t="shared" si="10"/>
        <v>TC_material_F__</v>
      </c>
      <c r="K130" s="154"/>
      <c r="L130" s="20" t="str">
        <f t="shared" si="11"/>
        <v>TC_WC_F__</v>
      </c>
      <c r="M130" s="154"/>
      <c r="N130" s="20" t="str">
        <f t="shared" si="12"/>
        <v>TC_DM_F__</v>
      </c>
      <c r="O130" s="154"/>
      <c r="P130" s="20" t="str">
        <f t="shared" si="13"/>
        <v>TC_CC_F__</v>
      </c>
      <c r="Q130" s="8"/>
      <c r="R130" s="7" t="e">
        <f>_xlfn.XLOOKUP($D130,#REF!,#REF!,,0,)</f>
        <v>#REF!</v>
      </c>
      <c r="S130" s="20" t="str">
        <f>Tab_Process_TCs2527[[#This Row],[Flow_ID]]</f>
        <v>F__</v>
      </c>
      <c r="T130" s="20" t="e">
        <f t="shared" si="17"/>
        <v>#REF!</v>
      </c>
      <c r="U130" s="27"/>
      <c r="V130" s="30" t="e">
        <f>Tab_Process_TCs2527[[#This Row],[TC O_6_'[%']]]+#REF!+#REF!+#REF!+#REF!+#REF!</f>
        <v>#REF!</v>
      </c>
      <c r="W130" s="8"/>
      <c r="X130" s="8"/>
      <c r="Y130" s="8"/>
      <c r="Z130" s="8"/>
      <c r="AA130" s="8"/>
    </row>
    <row r="131" spans="1:27" x14ac:dyDescent="0.25">
      <c r="A131" s="156" t="b">
        <v>0</v>
      </c>
      <c r="B131" s="7">
        <f t="shared" si="16"/>
        <v>130</v>
      </c>
      <c r="C131" s="25" t="e">
        <f>_xlfn.XLOOKUP($D131,Tab_Process_TCs[Process_Name],Tab_Process_TCs[Process_ID],,0,)</f>
        <v>#N/A</v>
      </c>
      <c r="D131" s="152" t="s">
        <v>30</v>
      </c>
      <c r="E131" s="152" t="s">
        <v>30</v>
      </c>
      <c r="F131" s="25" t="e">
        <f>_xlfn.XLOOKUP($D131,Tab_Process_TCs[Process_Name],Tab_Process_TCs[TC_Configuration],,0,)</f>
        <v>#N/A</v>
      </c>
      <c r="G131" s="25" t="e">
        <f>_xlfn.XLOOKUP($D131,Tab_Process_TCs[Process_Name],Tab_Process_TCs[Process_Logic],,0,)</f>
        <v>#N/A</v>
      </c>
      <c r="H131" s="7" t="str">
        <f>_xlfn.XLOOKUP($E131,Tab_Def_Flows[Flow_Name],Tab_Def_Flows[Flow_ID],,0,1)</f>
        <v>F__</v>
      </c>
      <c r="I131" s="8"/>
      <c r="J131" s="20" t="str">
        <f t="shared" ref="J131:J149" si="18">"TC_material"&amp;"_"&amp;RIGHT(H131,5)</f>
        <v>TC_material_F__</v>
      </c>
      <c r="K131" s="154"/>
      <c r="L131" s="20" t="str">
        <f t="shared" ref="L131:L149" si="19">"TC_WC"&amp;"_"&amp;RIGHT(H131,5)</f>
        <v>TC_WC_F__</v>
      </c>
      <c r="M131" s="154"/>
      <c r="N131" s="20" t="str">
        <f t="shared" ref="N131:N149" si="20">"TC_DM"&amp;"_"&amp;RIGHT(H131,5)</f>
        <v>TC_DM_F__</v>
      </c>
      <c r="O131" s="154"/>
      <c r="P131" s="20" t="str">
        <f t="shared" ref="P131:P149" si="21">"TC_CC"&amp;"_"&amp;RIGHT(H131,5)</f>
        <v>TC_CC_F__</v>
      </c>
      <c r="Q131" s="8"/>
      <c r="R131" s="7" t="e">
        <f>_xlfn.XLOOKUP($D131,#REF!,#REF!,,0,)</f>
        <v>#REF!</v>
      </c>
      <c r="S131" s="20" t="str">
        <f>Tab_Process_TCs2527[[#This Row],[Flow_ID]]</f>
        <v>F__</v>
      </c>
      <c r="T131" s="20" t="e">
        <f t="shared" si="17"/>
        <v>#REF!</v>
      </c>
      <c r="U131" s="27"/>
      <c r="V131" s="30" t="e">
        <f>Tab_Process_TCs2527[[#This Row],[TC O_6_'[%']]]+#REF!+#REF!+#REF!+#REF!+#REF!</f>
        <v>#REF!</v>
      </c>
      <c r="W131" s="8"/>
      <c r="X131" s="8"/>
      <c r="Y131" s="8"/>
      <c r="Z131" s="8"/>
      <c r="AA131" s="8"/>
    </row>
    <row r="132" spans="1:27" x14ac:dyDescent="0.25">
      <c r="A132" s="156" t="b">
        <v>0</v>
      </c>
      <c r="B132" s="7">
        <f t="shared" si="16"/>
        <v>131</v>
      </c>
      <c r="C132" s="25" t="e">
        <f>_xlfn.XLOOKUP($D132,Tab_Process_TCs[Process_Name],Tab_Process_TCs[Process_ID],,0,)</f>
        <v>#N/A</v>
      </c>
      <c r="D132" s="152" t="s">
        <v>30</v>
      </c>
      <c r="E132" s="152" t="s">
        <v>30</v>
      </c>
      <c r="F132" s="25" t="e">
        <f>_xlfn.XLOOKUP($D132,Tab_Process_TCs[Process_Name],Tab_Process_TCs[TC_Configuration],,0,)</f>
        <v>#N/A</v>
      </c>
      <c r="G132" s="25" t="e">
        <f>_xlfn.XLOOKUP($D132,Tab_Process_TCs[Process_Name],Tab_Process_TCs[Process_Logic],,0,)</f>
        <v>#N/A</v>
      </c>
      <c r="H132" s="7" t="str">
        <f>_xlfn.XLOOKUP($E132,Tab_Def_Flows[Flow_Name],Tab_Def_Flows[Flow_ID],,0,1)</f>
        <v>F__</v>
      </c>
      <c r="I132" s="8"/>
      <c r="J132" s="20" t="str">
        <f t="shared" si="18"/>
        <v>TC_material_F__</v>
      </c>
      <c r="K132" s="154"/>
      <c r="L132" s="20" t="str">
        <f t="shared" si="19"/>
        <v>TC_WC_F__</v>
      </c>
      <c r="M132" s="154"/>
      <c r="N132" s="20" t="str">
        <f t="shared" si="20"/>
        <v>TC_DM_F__</v>
      </c>
      <c r="O132" s="154"/>
      <c r="P132" s="20" t="str">
        <f t="shared" si="21"/>
        <v>TC_CC_F__</v>
      </c>
      <c r="Q132" s="8"/>
      <c r="R132" s="7" t="e">
        <f>_xlfn.XLOOKUP($D132,#REF!,#REF!,,0,)</f>
        <v>#REF!</v>
      </c>
      <c r="S132" s="20" t="str">
        <f>Tab_Process_TCs2527[[#This Row],[Flow_ID]]</f>
        <v>F__</v>
      </c>
      <c r="T132" s="20" t="e">
        <f t="shared" si="17"/>
        <v>#REF!</v>
      </c>
      <c r="U132" s="27"/>
      <c r="V132" s="30" t="e">
        <f>Tab_Process_TCs2527[[#This Row],[TC O_6_'[%']]]+#REF!+#REF!+#REF!+#REF!+#REF!</f>
        <v>#REF!</v>
      </c>
      <c r="W132" s="8"/>
      <c r="X132" s="8"/>
      <c r="Y132" s="8"/>
      <c r="Z132" s="8"/>
      <c r="AA132" s="8"/>
    </row>
    <row r="133" spans="1:27" x14ac:dyDescent="0.25">
      <c r="A133" s="156" t="b">
        <v>0</v>
      </c>
      <c r="B133" s="7">
        <f t="shared" si="16"/>
        <v>132</v>
      </c>
      <c r="C133" s="25" t="e">
        <f>_xlfn.XLOOKUP($D133,Tab_Process_TCs[Process_Name],Tab_Process_TCs[Process_ID],,0,)</f>
        <v>#N/A</v>
      </c>
      <c r="D133" s="152" t="s">
        <v>30</v>
      </c>
      <c r="E133" s="152" t="s">
        <v>30</v>
      </c>
      <c r="F133" s="25" t="e">
        <f>_xlfn.XLOOKUP($D133,Tab_Process_TCs[Process_Name],Tab_Process_TCs[TC_Configuration],,0,)</f>
        <v>#N/A</v>
      </c>
      <c r="G133" s="25" t="e">
        <f>_xlfn.XLOOKUP($D133,Tab_Process_TCs[Process_Name],Tab_Process_TCs[Process_Logic],,0,)</f>
        <v>#N/A</v>
      </c>
      <c r="H133" s="7" t="str">
        <f>_xlfn.XLOOKUP($E133,Tab_Def_Flows[Flow_Name],Tab_Def_Flows[Flow_ID],,0,1)</f>
        <v>F__</v>
      </c>
      <c r="I133" s="8"/>
      <c r="J133" s="20" t="str">
        <f t="shared" si="18"/>
        <v>TC_material_F__</v>
      </c>
      <c r="K133" s="154"/>
      <c r="L133" s="20" t="str">
        <f t="shared" si="19"/>
        <v>TC_WC_F__</v>
      </c>
      <c r="M133" s="154"/>
      <c r="N133" s="20" t="str">
        <f t="shared" si="20"/>
        <v>TC_DM_F__</v>
      </c>
      <c r="O133" s="154"/>
      <c r="P133" s="20" t="str">
        <f t="shared" si="21"/>
        <v>TC_CC_F__</v>
      </c>
      <c r="Q133" s="8"/>
      <c r="R133" s="7" t="e">
        <f>_xlfn.XLOOKUP($D133,#REF!,#REF!,,0,)</f>
        <v>#REF!</v>
      </c>
      <c r="S133" s="20" t="str">
        <f>Tab_Process_TCs2527[[#This Row],[Flow_ID]]</f>
        <v>F__</v>
      </c>
      <c r="T133" s="20" t="e">
        <f t="shared" si="17"/>
        <v>#REF!</v>
      </c>
      <c r="U133" s="27"/>
      <c r="V133" s="30" t="e">
        <f>Tab_Process_TCs2527[[#This Row],[TC O_6_'[%']]]+#REF!+#REF!+#REF!+#REF!+#REF!</f>
        <v>#REF!</v>
      </c>
      <c r="W133" s="8"/>
      <c r="X133" s="8"/>
      <c r="Y133" s="8"/>
      <c r="Z133" s="8"/>
      <c r="AA133" s="8"/>
    </row>
    <row r="134" spans="1:27" x14ac:dyDescent="0.25">
      <c r="A134" s="156" t="b">
        <v>0</v>
      </c>
      <c r="B134" s="7">
        <f t="shared" si="16"/>
        <v>133</v>
      </c>
      <c r="C134" s="25" t="e">
        <f>_xlfn.XLOOKUP($D134,Tab_Process_TCs[Process_Name],Tab_Process_TCs[Process_ID],,0,)</f>
        <v>#N/A</v>
      </c>
      <c r="D134" s="152" t="s">
        <v>30</v>
      </c>
      <c r="E134" s="152" t="s">
        <v>30</v>
      </c>
      <c r="F134" s="25" t="e">
        <f>_xlfn.XLOOKUP($D134,Tab_Process_TCs[Process_Name],Tab_Process_TCs[TC_Configuration],,0,)</f>
        <v>#N/A</v>
      </c>
      <c r="G134" s="25" t="e">
        <f>_xlfn.XLOOKUP($D134,Tab_Process_TCs[Process_Name],Tab_Process_TCs[Process_Logic],,0,)</f>
        <v>#N/A</v>
      </c>
      <c r="H134" s="7" t="str">
        <f>_xlfn.XLOOKUP($E134,Tab_Def_Flows[Flow_Name],Tab_Def_Flows[Flow_ID],,0,1)</f>
        <v>F__</v>
      </c>
      <c r="I134" s="8"/>
      <c r="J134" s="20" t="str">
        <f t="shared" si="18"/>
        <v>TC_material_F__</v>
      </c>
      <c r="K134" s="154"/>
      <c r="L134" s="20" t="str">
        <f t="shared" si="19"/>
        <v>TC_WC_F__</v>
      </c>
      <c r="M134" s="154"/>
      <c r="N134" s="20" t="str">
        <f t="shared" si="20"/>
        <v>TC_DM_F__</v>
      </c>
      <c r="O134" s="154"/>
      <c r="P134" s="20" t="str">
        <f t="shared" si="21"/>
        <v>TC_CC_F__</v>
      </c>
      <c r="Q134" s="8"/>
      <c r="R134" s="7" t="e">
        <f>_xlfn.XLOOKUP($D134,#REF!,#REF!,,0,)</f>
        <v>#REF!</v>
      </c>
      <c r="S134" s="20" t="str">
        <f>Tab_Process_TCs2527[[#This Row],[Flow_ID]]</f>
        <v>F__</v>
      </c>
      <c r="T134" s="20" t="e">
        <f t="shared" si="17"/>
        <v>#REF!</v>
      </c>
      <c r="U134" s="27"/>
      <c r="V134" s="30" t="e">
        <f>Tab_Process_TCs2527[[#This Row],[TC O_6_'[%']]]+#REF!+#REF!+#REF!+#REF!+#REF!</f>
        <v>#REF!</v>
      </c>
      <c r="W134" s="8"/>
      <c r="X134" s="8"/>
      <c r="Y134" s="8"/>
      <c r="Z134" s="8"/>
      <c r="AA134" s="8"/>
    </row>
    <row r="135" spans="1:27" x14ac:dyDescent="0.25">
      <c r="A135" s="156" t="b">
        <v>0</v>
      </c>
      <c r="B135" s="7">
        <f t="shared" si="16"/>
        <v>134</v>
      </c>
      <c r="C135" s="25" t="e">
        <f>_xlfn.XLOOKUP($D135,Tab_Process_TCs[Process_Name],Tab_Process_TCs[Process_ID],,0,)</f>
        <v>#N/A</v>
      </c>
      <c r="D135" s="152" t="s">
        <v>30</v>
      </c>
      <c r="E135" s="152" t="s">
        <v>30</v>
      </c>
      <c r="F135" s="25" t="e">
        <f>_xlfn.XLOOKUP($D135,Tab_Process_TCs[Process_Name],Tab_Process_TCs[TC_Configuration],,0,)</f>
        <v>#N/A</v>
      </c>
      <c r="G135" s="25" t="e">
        <f>_xlfn.XLOOKUP($D135,Tab_Process_TCs[Process_Name],Tab_Process_TCs[Process_Logic],,0,)</f>
        <v>#N/A</v>
      </c>
      <c r="H135" s="7" t="str">
        <f>_xlfn.XLOOKUP($E135,Tab_Def_Flows[Flow_Name],Tab_Def_Flows[Flow_ID],,0,1)</f>
        <v>F__</v>
      </c>
      <c r="I135" s="8"/>
      <c r="J135" s="20" t="str">
        <f t="shared" si="18"/>
        <v>TC_material_F__</v>
      </c>
      <c r="K135" s="154"/>
      <c r="L135" s="20" t="str">
        <f t="shared" si="19"/>
        <v>TC_WC_F__</v>
      </c>
      <c r="M135" s="154"/>
      <c r="N135" s="20" t="str">
        <f t="shared" si="20"/>
        <v>TC_DM_F__</v>
      </c>
      <c r="O135" s="154"/>
      <c r="P135" s="20" t="str">
        <f t="shared" si="21"/>
        <v>TC_CC_F__</v>
      </c>
      <c r="Q135" s="8"/>
      <c r="R135" s="7" t="e">
        <f>_xlfn.XLOOKUP($D135,#REF!,#REF!,,0,)</f>
        <v>#REF!</v>
      </c>
      <c r="S135" s="20" t="str">
        <f>Tab_Process_TCs2527[[#This Row],[Flow_ID]]</f>
        <v>F__</v>
      </c>
      <c r="T135" s="20" t="e">
        <f t="shared" si="17"/>
        <v>#REF!</v>
      </c>
      <c r="U135" s="27"/>
      <c r="V135" s="30" t="e">
        <f>Tab_Process_TCs2527[[#This Row],[TC O_6_'[%']]]+#REF!+#REF!+#REF!+#REF!+#REF!</f>
        <v>#REF!</v>
      </c>
      <c r="W135" s="8"/>
      <c r="X135" s="8"/>
      <c r="Y135" s="8"/>
      <c r="Z135" s="8"/>
      <c r="AA135" s="8"/>
    </row>
    <row r="136" spans="1:27" x14ac:dyDescent="0.25">
      <c r="A136" s="156" t="b">
        <v>0</v>
      </c>
      <c r="B136" s="7">
        <f t="shared" si="16"/>
        <v>135</v>
      </c>
      <c r="C136" s="25" t="e">
        <f>_xlfn.XLOOKUP($D136,Tab_Process_TCs[Process_Name],Tab_Process_TCs[Process_ID],,0,)</f>
        <v>#N/A</v>
      </c>
      <c r="D136" s="152" t="s">
        <v>30</v>
      </c>
      <c r="E136" s="152" t="s">
        <v>30</v>
      </c>
      <c r="F136" s="25" t="e">
        <f>_xlfn.XLOOKUP($D136,Tab_Process_TCs[Process_Name],Tab_Process_TCs[TC_Configuration],,0,)</f>
        <v>#N/A</v>
      </c>
      <c r="G136" s="25" t="e">
        <f>_xlfn.XLOOKUP($D136,Tab_Process_TCs[Process_Name],Tab_Process_TCs[Process_Logic],,0,)</f>
        <v>#N/A</v>
      </c>
      <c r="H136" s="7" t="str">
        <f>_xlfn.XLOOKUP($E136,Tab_Def_Flows[Flow_Name],Tab_Def_Flows[Flow_ID],,0,1)</f>
        <v>F__</v>
      </c>
      <c r="I136" s="8"/>
      <c r="J136" s="20" t="str">
        <f t="shared" si="18"/>
        <v>TC_material_F__</v>
      </c>
      <c r="K136" s="154"/>
      <c r="L136" s="20" t="str">
        <f t="shared" si="19"/>
        <v>TC_WC_F__</v>
      </c>
      <c r="M136" s="154"/>
      <c r="N136" s="20" t="str">
        <f t="shared" si="20"/>
        <v>TC_DM_F__</v>
      </c>
      <c r="O136" s="154"/>
      <c r="P136" s="20" t="str">
        <f t="shared" si="21"/>
        <v>TC_CC_F__</v>
      </c>
      <c r="Q136" s="8"/>
      <c r="R136" s="7" t="e">
        <f>_xlfn.XLOOKUP($D136,#REF!,#REF!,,0,)</f>
        <v>#REF!</v>
      </c>
      <c r="S136" s="20" t="str">
        <f>Tab_Process_TCs2527[[#This Row],[Flow_ID]]</f>
        <v>F__</v>
      </c>
      <c r="T136" s="20" t="e">
        <f t="shared" si="17"/>
        <v>#REF!</v>
      </c>
      <c r="U136" s="27"/>
      <c r="V136" s="30" t="e">
        <f>Tab_Process_TCs2527[[#This Row],[TC O_6_'[%']]]+#REF!+#REF!+#REF!+#REF!+#REF!</f>
        <v>#REF!</v>
      </c>
      <c r="W136" s="8"/>
      <c r="X136" s="8"/>
      <c r="Y136" s="8"/>
      <c r="Z136" s="8"/>
      <c r="AA136" s="8"/>
    </row>
    <row r="137" spans="1:27" x14ac:dyDescent="0.25">
      <c r="A137" s="156" t="b">
        <v>0</v>
      </c>
      <c r="B137" s="7">
        <f t="shared" si="16"/>
        <v>136</v>
      </c>
      <c r="C137" s="25" t="e">
        <f>_xlfn.XLOOKUP($D137,Tab_Process_TCs[Process_Name],Tab_Process_TCs[Process_ID],,0,)</f>
        <v>#N/A</v>
      </c>
      <c r="D137" s="152" t="s">
        <v>30</v>
      </c>
      <c r="E137" s="152" t="s">
        <v>30</v>
      </c>
      <c r="F137" s="25" t="e">
        <f>_xlfn.XLOOKUP($D137,Tab_Process_TCs[Process_Name],Tab_Process_TCs[TC_Configuration],,0,)</f>
        <v>#N/A</v>
      </c>
      <c r="G137" s="25" t="e">
        <f>_xlfn.XLOOKUP($D137,Tab_Process_TCs[Process_Name],Tab_Process_TCs[Process_Logic],,0,)</f>
        <v>#N/A</v>
      </c>
      <c r="H137" s="7" t="str">
        <f>_xlfn.XLOOKUP($E137,Tab_Def_Flows[Flow_Name],Tab_Def_Flows[Flow_ID],,0,1)</f>
        <v>F__</v>
      </c>
      <c r="I137" s="8"/>
      <c r="J137" s="20" t="str">
        <f t="shared" si="18"/>
        <v>TC_material_F__</v>
      </c>
      <c r="K137" s="154"/>
      <c r="L137" s="20" t="str">
        <f t="shared" si="19"/>
        <v>TC_WC_F__</v>
      </c>
      <c r="M137" s="154"/>
      <c r="N137" s="20" t="str">
        <f t="shared" si="20"/>
        <v>TC_DM_F__</v>
      </c>
      <c r="O137" s="154"/>
      <c r="P137" s="20" t="str">
        <f t="shared" si="21"/>
        <v>TC_CC_F__</v>
      </c>
      <c r="Q137" s="8"/>
      <c r="R137" s="7" t="e">
        <f>_xlfn.XLOOKUP($D137,#REF!,#REF!,,0,)</f>
        <v>#REF!</v>
      </c>
      <c r="S137" s="20" t="str">
        <f>Tab_Process_TCs2527[[#This Row],[Flow_ID]]</f>
        <v>F__</v>
      </c>
      <c r="T137" s="20" t="e">
        <f t="shared" si="17"/>
        <v>#REF!</v>
      </c>
      <c r="U137" s="27"/>
      <c r="V137" s="30" t="e">
        <f>Tab_Process_TCs2527[[#This Row],[TC O_6_'[%']]]+#REF!+#REF!+#REF!+#REF!+#REF!</f>
        <v>#REF!</v>
      </c>
      <c r="W137" s="8"/>
      <c r="X137" s="8"/>
      <c r="Y137" s="8"/>
      <c r="Z137" s="8"/>
      <c r="AA137" s="8"/>
    </row>
    <row r="138" spans="1:27" x14ac:dyDescent="0.25">
      <c r="A138" s="156" t="b">
        <v>0</v>
      </c>
      <c r="B138" s="7">
        <f t="shared" si="16"/>
        <v>137</v>
      </c>
      <c r="C138" s="25" t="e">
        <f>_xlfn.XLOOKUP($D138,Tab_Process_TCs[Process_Name],Tab_Process_TCs[Process_ID],,0,)</f>
        <v>#N/A</v>
      </c>
      <c r="D138" s="152" t="s">
        <v>30</v>
      </c>
      <c r="E138" s="152" t="s">
        <v>30</v>
      </c>
      <c r="F138" s="25" t="e">
        <f>_xlfn.XLOOKUP($D138,Tab_Process_TCs[Process_Name],Tab_Process_TCs[TC_Configuration],,0,)</f>
        <v>#N/A</v>
      </c>
      <c r="G138" s="25" t="e">
        <f>_xlfn.XLOOKUP($D138,Tab_Process_TCs[Process_Name],Tab_Process_TCs[Process_Logic],,0,)</f>
        <v>#N/A</v>
      </c>
      <c r="H138" s="7" t="str">
        <f>_xlfn.XLOOKUP($E138,Tab_Def_Flows[Flow_Name],Tab_Def_Flows[Flow_ID],,0,1)</f>
        <v>F__</v>
      </c>
      <c r="I138" s="8"/>
      <c r="J138" s="20" t="str">
        <f t="shared" si="18"/>
        <v>TC_material_F__</v>
      </c>
      <c r="K138" s="154"/>
      <c r="L138" s="20" t="str">
        <f t="shared" si="19"/>
        <v>TC_WC_F__</v>
      </c>
      <c r="M138" s="154"/>
      <c r="N138" s="20" t="str">
        <f t="shared" si="20"/>
        <v>TC_DM_F__</v>
      </c>
      <c r="O138" s="154"/>
      <c r="P138" s="20" t="str">
        <f t="shared" si="21"/>
        <v>TC_CC_F__</v>
      </c>
      <c r="Q138" s="8"/>
      <c r="R138" s="7" t="e">
        <f>_xlfn.XLOOKUP($D138,#REF!,#REF!,,0,)</f>
        <v>#REF!</v>
      </c>
      <c r="S138" s="20" t="str">
        <f>Tab_Process_TCs2527[[#This Row],[Flow_ID]]</f>
        <v>F__</v>
      </c>
      <c r="T138" s="20" t="e">
        <f t="shared" si="17"/>
        <v>#REF!</v>
      </c>
      <c r="U138" s="27"/>
      <c r="V138" s="30" t="e">
        <f>Tab_Process_TCs2527[[#This Row],[TC O_6_'[%']]]+#REF!+#REF!+#REF!+#REF!+#REF!</f>
        <v>#REF!</v>
      </c>
      <c r="W138" s="8"/>
      <c r="X138" s="8"/>
      <c r="Y138" s="8"/>
      <c r="Z138" s="8"/>
      <c r="AA138" s="8"/>
    </row>
    <row r="139" spans="1:27" x14ac:dyDescent="0.25">
      <c r="A139" s="156" t="b">
        <v>0</v>
      </c>
      <c r="B139" s="7">
        <f t="shared" si="16"/>
        <v>138</v>
      </c>
      <c r="C139" s="25" t="e">
        <f>_xlfn.XLOOKUP($D139,Tab_Process_TCs[Process_Name],Tab_Process_TCs[Process_ID],,0,)</f>
        <v>#N/A</v>
      </c>
      <c r="D139" s="152" t="s">
        <v>30</v>
      </c>
      <c r="E139" s="152" t="s">
        <v>30</v>
      </c>
      <c r="F139" s="25" t="e">
        <f>_xlfn.XLOOKUP($D139,Tab_Process_TCs[Process_Name],Tab_Process_TCs[TC_Configuration],,0,)</f>
        <v>#N/A</v>
      </c>
      <c r="G139" s="25" t="e">
        <f>_xlfn.XLOOKUP($D139,Tab_Process_TCs[Process_Name],Tab_Process_TCs[Process_Logic],,0,)</f>
        <v>#N/A</v>
      </c>
      <c r="H139" s="7" t="str">
        <f>_xlfn.XLOOKUP($E139,Tab_Def_Flows[Flow_Name],Tab_Def_Flows[Flow_ID],,0,1)</f>
        <v>F__</v>
      </c>
      <c r="I139" s="8"/>
      <c r="J139" s="20" t="str">
        <f t="shared" si="18"/>
        <v>TC_material_F__</v>
      </c>
      <c r="K139" s="154"/>
      <c r="L139" s="20" t="str">
        <f t="shared" si="19"/>
        <v>TC_WC_F__</v>
      </c>
      <c r="M139" s="154"/>
      <c r="N139" s="20" t="str">
        <f t="shared" si="20"/>
        <v>TC_DM_F__</v>
      </c>
      <c r="O139" s="154"/>
      <c r="P139" s="20" t="str">
        <f t="shared" si="21"/>
        <v>TC_CC_F__</v>
      </c>
      <c r="Q139" s="8"/>
      <c r="R139" s="7" t="e">
        <f>_xlfn.XLOOKUP($D139,#REF!,#REF!,,0,)</f>
        <v>#REF!</v>
      </c>
      <c r="S139" s="20" t="str">
        <f>Tab_Process_TCs2527[[#This Row],[Flow_ID]]</f>
        <v>F__</v>
      </c>
      <c r="T139" s="20" t="e">
        <f t="shared" si="17"/>
        <v>#REF!</v>
      </c>
      <c r="U139" s="27"/>
      <c r="V139" s="30" t="e">
        <f>Tab_Process_TCs2527[[#This Row],[TC O_6_'[%']]]+#REF!+#REF!+#REF!+#REF!+#REF!</f>
        <v>#REF!</v>
      </c>
      <c r="W139" s="8"/>
      <c r="X139" s="8"/>
      <c r="Y139" s="8"/>
      <c r="Z139" s="8"/>
      <c r="AA139" s="8"/>
    </row>
    <row r="140" spans="1:27" x14ac:dyDescent="0.25">
      <c r="A140" s="156" t="b">
        <v>0</v>
      </c>
      <c r="B140" s="7">
        <f t="shared" si="16"/>
        <v>139</v>
      </c>
      <c r="C140" s="25" t="e">
        <f>_xlfn.XLOOKUP($D140,Tab_Process_TCs[Process_Name],Tab_Process_TCs[Process_ID],,0,)</f>
        <v>#N/A</v>
      </c>
      <c r="D140" s="152" t="s">
        <v>30</v>
      </c>
      <c r="E140" s="152" t="s">
        <v>30</v>
      </c>
      <c r="F140" s="25" t="e">
        <f>_xlfn.XLOOKUP($D140,Tab_Process_TCs[Process_Name],Tab_Process_TCs[TC_Configuration],,0,)</f>
        <v>#N/A</v>
      </c>
      <c r="G140" s="25" t="e">
        <f>_xlfn.XLOOKUP($D140,Tab_Process_TCs[Process_Name],Tab_Process_TCs[Process_Logic],,0,)</f>
        <v>#N/A</v>
      </c>
      <c r="H140" s="7" t="str">
        <f>_xlfn.XLOOKUP($E140,Tab_Def_Flows[Flow_Name],Tab_Def_Flows[Flow_ID],,0,1)</f>
        <v>F__</v>
      </c>
      <c r="I140" s="8"/>
      <c r="J140" s="20" t="str">
        <f t="shared" si="18"/>
        <v>TC_material_F__</v>
      </c>
      <c r="K140" s="154"/>
      <c r="L140" s="20" t="str">
        <f t="shared" si="19"/>
        <v>TC_WC_F__</v>
      </c>
      <c r="M140" s="154"/>
      <c r="N140" s="20" t="str">
        <f t="shared" si="20"/>
        <v>TC_DM_F__</v>
      </c>
      <c r="O140" s="154"/>
      <c r="P140" s="20" t="str">
        <f t="shared" si="21"/>
        <v>TC_CC_F__</v>
      </c>
      <c r="Q140" s="8"/>
      <c r="R140" s="7" t="e">
        <f>_xlfn.XLOOKUP($D140,#REF!,#REF!,,0,)</f>
        <v>#REF!</v>
      </c>
      <c r="S140" s="20" t="str">
        <f>Tab_Process_TCs2527[[#This Row],[Flow_ID]]</f>
        <v>F__</v>
      </c>
      <c r="T140" s="20" t="e">
        <f t="shared" si="17"/>
        <v>#REF!</v>
      </c>
      <c r="U140" s="27"/>
      <c r="V140" s="30" t="e">
        <f>Tab_Process_TCs2527[[#This Row],[TC O_6_'[%']]]+#REF!+#REF!+#REF!+#REF!+#REF!</f>
        <v>#REF!</v>
      </c>
      <c r="W140" s="8"/>
      <c r="X140" s="8"/>
      <c r="Y140" s="8"/>
      <c r="Z140" s="8"/>
      <c r="AA140" s="8"/>
    </row>
    <row r="141" spans="1:27" x14ac:dyDescent="0.25">
      <c r="A141" s="156" t="b">
        <v>0</v>
      </c>
      <c r="B141" s="7">
        <f t="shared" si="16"/>
        <v>140</v>
      </c>
      <c r="C141" s="25" t="e">
        <f>_xlfn.XLOOKUP($D141,Tab_Process_TCs[Process_Name],Tab_Process_TCs[Process_ID],,0,)</f>
        <v>#N/A</v>
      </c>
      <c r="D141" s="152" t="s">
        <v>30</v>
      </c>
      <c r="E141" s="152" t="s">
        <v>30</v>
      </c>
      <c r="F141" s="25" t="e">
        <f>_xlfn.XLOOKUP($D141,Tab_Process_TCs[Process_Name],Tab_Process_TCs[TC_Configuration],,0,)</f>
        <v>#N/A</v>
      </c>
      <c r="G141" s="25" t="e">
        <f>_xlfn.XLOOKUP($D141,Tab_Process_TCs[Process_Name],Tab_Process_TCs[Process_Logic],,0,)</f>
        <v>#N/A</v>
      </c>
      <c r="H141" s="7" t="str">
        <f>_xlfn.XLOOKUP($E141,Tab_Def_Flows[Flow_Name],Tab_Def_Flows[Flow_ID],,0,1)</f>
        <v>F__</v>
      </c>
      <c r="I141" s="8"/>
      <c r="J141" s="20" t="str">
        <f t="shared" si="18"/>
        <v>TC_material_F__</v>
      </c>
      <c r="K141" s="154"/>
      <c r="L141" s="20" t="str">
        <f t="shared" si="19"/>
        <v>TC_WC_F__</v>
      </c>
      <c r="M141" s="154"/>
      <c r="N141" s="20" t="str">
        <f t="shared" si="20"/>
        <v>TC_DM_F__</v>
      </c>
      <c r="O141" s="154"/>
      <c r="P141" s="20" t="str">
        <f t="shared" si="21"/>
        <v>TC_CC_F__</v>
      </c>
      <c r="Q141" s="8"/>
      <c r="R141" s="7" t="e">
        <f>_xlfn.XLOOKUP($D141,#REF!,#REF!,,0,)</f>
        <v>#REF!</v>
      </c>
      <c r="S141" s="20" t="str">
        <f>Tab_Process_TCs2527[[#This Row],[Flow_ID]]</f>
        <v>F__</v>
      </c>
      <c r="T141" s="20" t="e">
        <f t="shared" si="17"/>
        <v>#REF!</v>
      </c>
      <c r="U141" s="27"/>
      <c r="V141" s="30" t="e">
        <f>Tab_Process_TCs2527[[#This Row],[TC O_6_'[%']]]+#REF!+#REF!+#REF!+#REF!+#REF!</f>
        <v>#REF!</v>
      </c>
      <c r="W141" s="8"/>
      <c r="X141" s="8"/>
      <c r="Y141" s="8"/>
      <c r="Z141" s="8"/>
      <c r="AA141" s="8"/>
    </row>
    <row r="142" spans="1:27" x14ac:dyDescent="0.25">
      <c r="A142" s="156" t="b">
        <v>0</v>
      </c>
      <c r="B142" s="7">
        <f t="shared" si="16"/>
        <v>141</v>
      </c>
      <c r="C142" s="25" t="e">
        <f>_xlfn.XLOOKUP($D142,Tab_Process_TCs[Process_Name],Tab_Process_TCs[Process_ID],,0,)</f>
        <v>#N/A</v>
      </c>
      <c r="D142" s="152" t="s">
        <v>30</v>
      </c>
      <c r="E142" s="152" t="s">
        <v>30</v>
      </c>
      <c r="F142" s="25" t="e">
        <f>_xlfn.XLOOKUP($D142,Tab_Process_TCs[Process_Name],Tab_Process_TCs[TC_Configuration],,0,)</f>
        <v>#N/A</v>
      </c>
      <c r="G142" s="25" t="e">
        <f>_xlfn.XLOOKUP($D142,Tab_Process_TCs[Process_Name],Tab_Process_TCs[Process_Logic],,0,)</f>
        <v>#N/A</v>
      </c>
      <c r="H142" s="7" t="str">
        <f>_xlfn.XLOOKUP($E142,Tab_Def_Flows[Flow_Name],Tab_Def_Flows[Flow_ID],,0,1)</f>
        <v>F__</v>
      </c>
      <c r="I142" s="8"/>
      <c r="J142" s="20" t="str">
        <f t="shared" si="18"/>
        <v>TC_material_F__</v>
      </c>
      <c r="K142" s="154"/>
      <c r="L142" s="20" t="str">
        <f t="shared" si="19"/>
        <v>TC_WC_F__</v>
      </c>
      <c r="M142" s="154"/>
      <c r="N142" s="20" t="str">
        <f t="shared" si="20"/>
        <v>TC_DM_F__</v>
      </c>
      <c r="O142" s="154"/>
      <c r="P142" s="20" t="str">
        <f t="shared" si="21"/>
        <v>TC_CC_F__</v>
      </c>
      <c r="Q142" s="8"/>
      <c r="R142" s="7" t="e">
        <f>_xlfn.XLOOKUP($D142,#REF!,#REF!,,0,)</f>
        <v>#REF!</v>
      </c>
      <c r="S142" s="20" t="str">
        <f>Tab_Process_TCs2527[[#This Row],[Flow_ID]]</f>
        <v>F__</v>
      </c>
      <c r="T142" s="20" t="e">
        <f t="shared" si="17"/>
        <v>#REF!</v>
      </c>
      <c r="U142" s="27"/>
      <c r="V142" s="30" t="e">
        <f>Tab_Process_TCs2527[[#This Row],[TC O_6_'[%']]]+#REF!+#REF!+#REF!+#REF!+#REF!</f>
        <v>#REF!</v>
      </c>
      <c r="W142" s="8"/>
      <c r="X142" s="8"/>
      <c r="Y142" s="8"/>
      <c r="Z142" s="8"/>
      <c r="AA142" s="8"/>
    </row>
    <row r="143" spans="1:27" x14ac:dyDescent="0.25">
      <c r="A143" s="156" t="b">
        <v>0</v>
      </c>
      <c r="B143" s="7">
        <f t="shared" si="16"/>
        <v>142</v>
      </c>
      <c r="C143" s="25" t="e">
        <f>_xlfn.XLOOKUP($D143,Tab_Process_TCs[Process_Name],Tab_Process_TCs[Process_ID],,0,)</f>
        <v>#N/A</v>
      </c>
      <c r="D143" s="152" t="s">
        <v>30</v>
      </c>
      <c r="E143" s="152" t="s">
        <v>30</v>
      </c>
      <c r="F143" s="25" t="e">
        <f>_xlfn.XLOOKUP($D143,Tab_Process_TCs[Process_Name],Tab_Process_TCs[TC_Configuration],,0,)</f>
        <v>#N/A</v>
      </c>
      <c r="G143" s="25" t="e">
        <f>_xlfn.XLOOKUP($D143,Tab_Process_TCs[Process_Name],Tab_Process_TCs[Process_Logic],,0,)</f>
        <v>#N/A</v>
      </c>
      <c r="H143" s="7" t="str">
        <f>_xlfn.XLOOKUP($E143,Tab_Def_Flows[Flow_Name],Tab_Def_Flows[Flow_ID],,0,1)</f>
        <v>F__</v>
      </c>
      <c r="I143" s="8"/>
      <c r="J143" s="20" t="str">
        <f t="shared" si="18"/>
        <v>TC_material_F__</v>
      </c>
      <c r="K143" s="154"/>
      <c r="L143" s="20" t="str">
        <f t="shared" si="19"/>
        <v>TC_WC_F__</v>
      </c>
      <c r="M143" s="154"/>
      <c r="N143" s="20" t="str">
        <f t="shared" si="20"/>
        <v>TC_DM_F__</v>
      </c>
      <c r="O143" s="154"/>
      <c r="P143" s="20" t="str">
        <f t="shared" si="21"/>
        <v>TC_CC_F__</v>
      </c>
      <c r="Q143" s="8"/>
      <c r="R143" s="7" t="e">
        <f>_xlfn.XLOOKUP($D143,#REF!,#REF!,,0,)</f>
        <v>#REF!</v>
      </c>
      <c r="S143" s="20" t="str">
        <f>Tab_Process_TCs2527[[#This Row],[Flow_ID]]</f>
        <v>F__</v>
      </c>
      <c r="T143" s="20" t="e">
        <f t="shared" si="17"/>
        <v>#REF!</v>
      </c>
      <c r="U143" s="27"/>
      <c r="V143" s="30" t="e">
        <f>Tab_Process_TCs2527[[#This Row],[TC O_6_'[%']]]+#REF!+#REF!+#REF!+#REF!+#REF!</f>
        <v>#REF!</v>
      </c>
      <c r="W143" s="8"/>
      <c r="X143" s="8"/>
      <c r="Y143" s="8"/>
      <c r="Z143" s="8"/>
      <c r="AA143" s="8"/>
    </row>
    <row r="144" spans="1:27" x14ac:dyDescent="0.25">
      <c r="A144" s="156" t="b">
        <v>0</v>
      </c>
      <c r="B144" s="7">
        <f t="shared" si="16"/>
        <v>143</v>
      </c>
      <c r="C144" s="25" t="e">
        <f>_xlfn.XLOOKUP($D144,Tab_Process_TCs[Process_Name],Tab_Process_TCs[Process_ID],,0,)</f>
        <v>#N/A</v>
      </c>
      <c r="D144" s="152" t="s">
        <v>30</v>
      </c>
      <c r="E144" s="152" t="s">
        <v>30</v>
      </c>
      <c r="F144" s="25" t="e">
        <f>_xlfn.XLOOKUP($D144,Tab_Process_TCs[Process_Name],Tab_Process_TCs[TC_Configuration],,0,)</f>
        <v>#N/A</v>
      </c>
      <c r="G144" s="25" t="e">
        <f>_xlfn.XLOOKUP($D144,Tab_Process_TCs[Process_Name],Tab_Process_TCs[Process_Logic],,0,)</f>
        <v>#N/A</v>
      </c>
      <c r="H144" s="7" t="str">
        <f>_xlfn.XLOOKUP($E144,Tab_Def_Flows[Flow_Name],Tab_Def_Flows[Flow_ID],,0,1)</f>
        <v>F__</v>
      </c>
      <c r="I144" s="8"/>
      <c r="J144" s="20" t="str">
        <f t="shared" si="18"/>
        <v>TC_material_F__</v>
      </c>
      <c r="K144" s="154"/>
      <c r="L144" s="20" t="str">
        <f t="shared" si="19"/>
        <v>TC_WC_F__</v>
      </c>
      <c r="M144" s="154"/>
      <c r="N144" s="20" t="str">
        <f t="shared" si="20"/>
        <v>TC_DM_F__</v>
      </c>
      <c r="O144" s="154"/>
      <c r="P144" s="20" t="str">
        <f t="shared" si="21"/>
        <v>TC_CC_F__</v>
      </c>
      <c r="Q144" s="8"/>
      <c r="R144" s="7" t="e">
        <f>_xlfn.XLOOKUP($D144,#REF!,#REF!,,0,)</f>
        <v>#REF!</v>
      </c>
      <c r="S144" s="20" t="str">
        <f>Tab_Process_TCs2527[[#This Row],[Flow_ID]]</f>
        <v>F__</v>
      </c>
      <c r="T144" s="20" t="e">
        <f t="shared" si="17"/>
        <v>#REF!</v>
      </c>
      <c r="U144" s="27"/>
      <c r="V144" s="30" t="e">
        <f>Tab_Process_TCs2527[[#This Row],[TC O_6_'[%']]]+#REF!+#REF!+#REF!+#REF!+#REF!</f>
        <v>#REF!</v>
      </c>
      <c r="W144" s="8"/>
      <c r="X144" s="8"/>
      <c r="Y144" s="8"/>
      <c r="Z144" s="8"/>
      <c r="AA144" s="8"/>
    </row>
    <row r="145" spans="1:27" x14ac:dyDescent="0.25">
      <c r="A145" s="156" t="b">
        <v>0</v>
      </c>
      <c r="B145" s="7">
        <f t="shared" si="16"/>
        <v>144</v>
      </c>
      <c r="C145" s="25" t="e">
        <f>_xlfn.XLOOKUP($D145,Tab_Process_TCs[Process_Name],Tab_Process_TCs[Process_ID],,0,)</f>
        <v>#N/A</v>
      </c>
      <c r="D145" s="152" t="s">
        <v>30</v>
      </c>
      <c r="E145" s="152" t="s">
        <v>30</v>
      </c>
      <c r="F145" s="25" t="e">
        <f>_xlfn.XLOOKUP($D145,Tab_Process_TCs[Process_Name],Tab_Process_TCs[TC_Configuration],,0,)</f>
        <v>#N/A</v>
      </c>
      <c r="G145" s="25" t="e">
        <f>_xlfn.XLOOKUP($D145,Tab_Process_TCs[Process_Name],Tab_Process_TCs[Process_Logic],,0,)</f>
        <v>#N/A</v>
      </c>
      <c r="H145" s="7" t="str">
        <f>_xlfn.XLOOKUP($E145,Tab_Def_Flows[Flow_Name],Tab_Def_Flows[Flow_ID],,0,1)</f>
        <v>F__</v>
      </c>
      <c r="I145" s="8"/>
      <c r="J145" s="20" t="str">
        <f t="shared" si="18"/>
        <v>TC_material_F__</v>
      </c>
      <c r="K145" s="154"/>
      <c r="L145" s="20" t="str">
        <f t="shared" si="19"/>
        <v>TC_WC_F__</v>
      </c>
      <c r="M145" s="154"/>
      <c r="N145" s="20" t="str">
        <f t="shared" si="20"/>
        <v>TC_DM_F__</v>
      </c>
      <c r="O145" s="154"/>
      <c r="P145" s="20" t="str">
        <f t="shared" si="21"/>
        <v>TC_CC_F__</v>
      </c>
      <c r="Q145" s="8"/>
      <c r="R145" s="7" t="e">
        <f>_xlfn.XLOOKUP($D145,#REF!,#REF!,,0,)</f>
        <v>#REF!</v>
      </c>
      <c r="S145" s="20" t="str">
        <f>Tab_Process_TCs2527[[#This Row],[Flow_ID]]</f>
        <v>F__</v>
      </c>
      <c r="T145" s="20" t="e">
        <f t="shared" si="17"/>
        <v>#REF!</v>
      </c>
      <c r="U145" s="27"/>
      <c r="V145" s="30" t="e">
        <f>Tab_Process_TCs2527[[#This Row],[TC O_6_'[%']]]+#REF!+#REF!+#REF!+#REF!+#REF!</f>
        <v>#REF!</v>
      </c>
      <c r="W145" s="8"/>
      <c r="X145" s="8"/>
      <c r="Y145" s="8"/>
      <c r="Z145" s="8"/>
      <c r="AA145" s="8"/>
    </row>
    <row r="146" spans="1:27" x14ac:dyDescent="0.25">
      <c r="A146" s="156" t="b">
        <v>0</v>
      </c>
      <c r="B146" s="7">
        <f t="shared" si="16"/>
        <v>145</v>
      </c>
      <c r="C146" s="25" t="e">
        <f>_xlfn.XLOOKUP($D146,Tab_Process_TCs[Process_Name],Tab_Process_TCs[Process_ID],,0,)</f>
        <v>#N/A</v>
      </c>
      <c r="D146" s="152" t="s">
        <v>30</v>
      </c>
      <c r="E146" s="152" t="s">
        <v>30</v>
      </c>
      <c r="F146" s="25" t="e">
        <f>_xlfn.XLOOKUP($D146,Tab_Process_TCs[Process_Name],Tab_Process_TCs[TC_Configuration],,0,)</f>
        <v>#N/A</v>
      </c>
      <c r="G146" s="25" t="e">
        <f>_xlfn.XLOOKUP($D146,Tab_Process_TCs[Process_Name],Tab_Process_TCs[Process_Logic],,0,)</f>
        <v>#N/A</v>
      </c>
      <c r="H146" s="7" t="str">
        <f>_xlfn.XLOOKUP($E146,Tab_Def_Flows[Flow_Name],Tab_Def_Flows[Flow_ID],,0,1)</f>
        <v>F__</v>
      </c>
      <c r="I146" s="8"/>
      <c r="J146" s="20" t="str">
        <f t="shared" si="18"/>
        <v>TC_material_F__</v>
      </c>
      <c r="K146" s="154"/>
      <c r="L146" s="20" t="str">
        <f t="shared" si="19"/>
        <v>TC_WC_F__</v>
      </c>
      <c r="M146" s="154"/>
      <c r="N146" s="20" t="str">
        <f t="shared" si="20"/>
        <v>TC_DM_F__</v>
      </c>
      <c r="O146" s="154"/>
      <c r="P146" s="20" t="str">
        <f t="shared" si="21"/>
        <v>TC_CC_F__</v>
      </c>
      <c r="Q146" s="8"/>
      <c r="R146" s="7" t="e">
        <f>_xlfn.XLOOKUP($D146,#REF!,#REF!,,0,)</f>
        <v>#REF!</v>
      </c>
      <c r="S146" s="20" t="str">
        <f>Tab_Process_TCs2527[[#This Row],[Flow_ID]]</f>
        <v>F__</v>
      </c>
      <c r="T146" s="20" t="e">
        <f t="shared" si="17"/>
        <v>#REF!</v>
      </c>
      <c r="U146" s="27"/>
      <c r="V146" s="30" t="e">
        <f>Tab_Process_TCs2527[[#This Row],[TC O_6_'[%']]]+#REF!+#REF!+#REF!+#REF!+#REF!</f>
        <v>#REF!</v>
      </c>
      <c r="W146" s="8"/>
      <c r="X146" s="8"/>
      <c r="Y146" s="8"/>
      <c r="Z146" s="8"/>
      <c r="AA146" s="8"/>
    </row>
    <row r="147" spans="1:27" x14ac:dyDescent="0.25">
      <c r="A147" s="156" t="b">
        <v>0</v>
      </c>
      <c r="B147" s="7">
        <f t="shared" si="16"/>
        <v>146</v>
      </c>
      <c r="C147" s="25" t="e">
        <f>_xlfn.XLOOKUP($D147,Tab_Process_TCs[Process_Name],Tab_Process_TCs[Process_ID],,0,)</f>
        <v>#N/A</v>
      </c>
      <c r="D147" s="152" t="s">
        <v>30</v>
      </c>
      <c r="E147" s="152" t="s">
        <v>30</v>
      </c>
      <c r="F147" s="25" t="e">
        <f>_xlfn.XLOOKUP($D147,Tab_Process_TCs[Process_Name],Tab_Process_TCs[TC_Configuration],,0,)</f>
        <v>#N/A</v>
      </c>
      <c r="G147" s="25" t="e">
        <f>_xlfn.XLOOKUP($D147,Tab_Process_TCs[Process_Name],Tab_Process_TCs[Process_Logic],,0,)</f>
        <v>#N/A</v>
      </c>
      <c r="H147" s="7" t="str">
        <f>_xlfn.XLOOKUP($E147,Tab_Def_Flows[Flow_Name],Tab_Def_Flows[Flow_ID],,0,1)</f>
        <v>F__</v>
      </c>
      <c r="I147" s="8"/>
      <c r="J147" s="20" t="str">
        <f t="shared" si="18"/>
        <v>TC_material_F__</v>
      </c>
      <c r="K147" s="154"/>
      <c r="L147" s="20" t="str">
        <f t="shared" si="19"/>
        <v>TC_WC_F__</v>
      </c>
      <c r="M147" s="154"/>
      <c r="N147" s="20" t="str">
        <f t="shared" si="20"/>
        <v>TC_DM_F__</v>
      </c>
      <c r="O147" s="154"/>
      <c r="P147" s="20" t="str">
        <f t="shared" si="21"/>
        <v>TC_CC_F__</v>
      </c>
      <c r="Q147" s="8"/>
      <c r="R147" s="7" t="e">
        <f>_xlfn.XLOOKUP($D147,#REF!,#REF!,,0,)</f>
        <v>#REF!</v>
      </c>
      <c r="S147" s="20" t="str">
        <f>Tab_Process_TCs2527[[#This Row],[Flow_ID]]</f>
        <v>F__</v>
      </c>
      <c r="T147" s="20" t="e">
        <f t="shared" si="17"/>
        <v>#REF!</v>
      </c>
      <c r="U147" s="27"/>
      <c r="V147" s="30" t="e">
        <f>Tab_Process_TCs2527[[#This Row],[TC O_6_'[%']]]+#REF!+#REF!+#REF!+#REF!+#REF!</f>
        <v>#REF!</v>
      </c>
      <c r="W147" s="8"/>
      <c r="X147" s="8"/>
      <c r="Y147" s="8"/>
      <c r="Z147" s="8"/>
      <c r="AA147" s="8"/>
    </row>
    <row r="148" spans="1:27" x14ac:dyDescent="0.25">
      <c r="A148" s="156" t="b">
        <v>0</v>
      </c>
      <c r="B148" s="7">
        <f t="shared" si="16"/>
        <v>147</v>
      </c>
      <c r="C148" s="25" t="e">
        <f>_xlfn.XLOOKUP($D148,Tab_Process_TCs[Process_Name],Tab_Process_TCs[Process_ID],,0,)</f>
        <v>#N/A</v>
      </c>
      <c r="D148" s="152" t="s">
        <v>30</v>
      </c>
      <c r="E148" s="152" t="s">
        <v>30</v>
      </c>
      <c r="F148" s="25" t="e">
        <f>_xlfn.XLOOKUP($D148,Tab_Process_TCs[Process_Name],Tab_Process_TCs[TC_Configuration],,0,)</f>
        <v>#N/A</v>
      </c>
      <c r="G148" s="25" t="e">
        <f>_xlfn.XLOOKUP($D148,Tab_Process_TCs[Process_Name],Tab_Process_TCs[Process_Logic],,0,)</f>
        <v>#N/A</v>
      </c>
      <c r="H148" s="7" t="str">
        <f>_xlfn.XLOOKUP($E148,Tab_Def_Flows[Flow_Name],Tab_Def_Flows[Flow_ID],,0,1)</f>
        <v>F__</v>
      </c>
      <c r="I148" s="8"/>
      <c r="J148" s="20" t="str">
        <f t="shared" si="18"/>
        <v>TC_material_F__</v>
      </c>
      <c r="K148" s="154"/>
      <c r="L148" s="20" t="str">
        <f t="shared" si="19"/>
        <v>TC_WC_F__</v>
      </c>
      <c r="M148" s="154"/>
      <c r="N148" s="20" t="str">
        <f t="shared" si="20"/>
        <v>TC_DM_F__</v>
      </c>
      <c r="O148" s="154"/>
      <c r="P148" s="20" t="str">
        <f t="shared" si="21"/>
        <v>TC_CC_F__</v>
      </c>
      <c r="Q148" s="8"/>
      <c r="R148" s="7" t="e">
        <f>_xlfn.XLOOKUP($D148,#REF!,#REF!,,0,)</f>
        <v>#REF!</v>
      </c>
      <c r="S148" s="20" t="str">
        <f>Tab_Process_TCs2527[[#This Row],[Flow_ID]]</f>
        <v>F__</v>
      </c>
      <c r="T148" s="20" t="e">
        <f t="shared" si="17"/>
        <v>#REF!</v>
      </c>
      <c r="U148" s="27"/>
      <c r="V148" s="30" t="e">
        <f>Tab_Process_TCs2527[[#This Row],[TC O_6_'[%']]]+#REF!+#REF!+#REF!+#REF!+#REF!</f>
        <v>#REF!</v>
      </c>
      <c r="W148" s="8"/>
      <c r="X148" s="8"/>
      <c r="Y148" s="8"/>
      <c r="Z148" s="8"/>
      <c r="AA148" s="8"/>
    </row>
    <row r="149" spans="1:27" x14ac:dyDescent="0.25">
      <c r="A149" s="156" t="b">
        <v>0</v>
      </c>
      <c r="B149" s="7">
        <f t="shared" si="16"/>
        <v>148</v>
      </c>
      <c r="C149" s="25" t="e">
        <f>_xlfn.XLOOKUP($D149,Tab_Process_TCs[Process_Name],Tab_Process_TCs[Process_ID],,0,)</f>
        <v>#N/A</v>
      </c>
      <c r="D149" s="152" t="s">
        <v>30</v>
      </c>
      <c r="E149" s="152" t="s">
        <v>30</v>
      </c>
      <c r="F149" s="25" t="e">
        <f>_xlfn.XLOOKUP($D149,Tab_Process_TCs[Process_Name],Tab_Process_TCs[TC_Configuration],,0,)</f>
        <v>#N/A</v>
      </c>
      <c r="G149" s="25" t="e">
        <f>_xlfn.XLOOKUP($D149,Tab_Process_TCs[Process_Name],Tab_Process_TCs[Process_Logic],,0,)</f>
        <v>#N/A</v>
      </c>
      <c r="H149" s="7" t="str">
        <f>_xlfn.XLOOKUP($E149,Tab_Def_Flows[Flow_Name],Tab_Def_Flows[Flow_ID],,0,1)</f>
        <v>F__</v>
      </c>
      <c r="I149" s="8"/>
      <c r="J149" s="20" t="str">
        <f t="shared" si="18"/>
        <v>TC_material_F__</v>
      </c>
      <c r="K149" s="154"/>
      <c r="L149" s="20" t="str">
        <f t="shared" si="19"/>
        <v>TC_WC_F__</v>
      </c>
      <c r="M149" s="154"/>
      <c r="N149" s="20" t="str">
        <f t="shared" si="20"/>
        <v>TC_DM_F__</v>
      </c>
      <c r="O149" s="154"/>
      <c r="P149" s="20" t="str">
        <f t="shared" si="21"/>
        <v>TC_CC_F__</v>
      </c>
      <c r="Q149" s="8"/>
      <c r="R149" s="7" t="e">
        <f>_xlfn.XLOOKUP($D149,#REF!,#REF!,,0,)</f>
        <v>#REF!</v>
      </c>
      <c r="S149" s="20" t="str">
        <f>Tab_Process_TCs2527[[#This Row],[Flow_ID]]</f>
        <v>F__</v>
      </c>
      <c r="T149" s="20" t="e">
        <f t="shared" si="17"/>
        <v>#REF!</v>
      </c>
      <c r="U149" s="27"/>
      <c r="V149" s="30" t="e">
        <f>Tab_Process_TCs2527[[#This Row],[TC O_6_'[%']]]+#REF!+#REF!+#REF!+#REF!+#REF!</f>
        <v>#REF!</v>
      </c>
      <c r="W149" s="8"/>
      <c r="X149" s="8"/>
      <c r="Y149" s="8"/>
      <c r="Z149" s="8"/>
      <c r="AA149" s="8"/>
    </row>
  </sheetData>
  <phoneticPr fontId="2" type="noConversion"/>
  <conditionalFormatting sqref="V2:V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W150:W1048576 V1:V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'2_3_static_TCs'!$D$2:$D$50</xm:f>
          </x14:formula1>
          <xm:sqref>D2:D149</xm:sqref>
        </x14:dataValidation>
        <x14:dataValidation type="list" allowBlank="1" showInputMessage="1" showErrorMessage="1" xr:uid="{ECCCB0BA-60EF-4ADA-8E59-41B74CA55900}">
          <x14:formula1>
            <xm:f>'2_1_Definition_Processes'!$D$2:$D$47</xm:f>
          </x14:formula1>
          <xm:sqref>E150:M1048576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S63"/>
  <sheetViews>
    <sheetView topLeftCell="E1" zoomScaleNormal="100" workbookViewId="0">
      <selection activeCell="Q29" sqref="Q29"/>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6.42578125" customWidth="1"/>
    <col min="8" max="8" width="25.85546875" customWidth="1"/>
    <col min="9" max="9" width="27.5703125" customWidth="1"/>
    <col min="11" max="11" width="23.7109375" customWidth="1"/>
    <col min="12" max="12" width="17.7109375" customWidth="1"/>
    <col min="13" max="13" width="22.85546875" customWidth="1"/>
    <col min="14" max="14" width="32.5703125" customWidth="1"/>
    <col min="15" max="17" width="22.28515625" customWidth="1"/>
    <col min="18" max="18" width="24.42578125" customWidth="1"/>
    <col min="19" max="19" width="30.85546875" customWidth="1"/>
  </cols>
  <sheetData>
    <row r="1" spans="1:19" x14ac:dyDescent="0.25">
      <c r="A1" s="155" t="s">
        <v>52</v>
      </c>
      <c r="B1" s="155" t="s">
        <v>27</v>
      </c>
      <c r="C1" s="155" t="s">
        <v>53</v>
      </c>
      <c r="D1" s="155" t="s">
        <v>48</v>
      </c>
      <c r="E1" s="155" t="s">
        <v>580</v>
      </c>
      <c r="F1" s="155" t="s">
        <v>544</v>
      </c>
      <c r="G1" s="155" t="s">
        <v>656</v>
      </c>
      <c r="H1" s="155" t="s">
        <v>657</v>
      </c>
      <c r="I1" s="155" t="s">
        <v>217</v>
      </c>
      <c r="J1" s="155" t="s">
        <v>1</v>
      </c>
      <c r="K1" s="155" t="s">
        <v>218</v>
      </c>
      <c r="L1" s="155" t="s">
        <v>219</v>
      </c>
      <c r="M1" s="155" t="s">
        <v>220</v>
      </c>
      <c r="N1" s="155" t="s">
        <v>288</v>
      </c>
      <c r="O1" s="155" t="s">
        <v>287</v>
      </c>
      <c r="P1" s="155" t="s">
        <v>286</v>
      </c>
      <c r="Q1" s="155" t="s">
        <v>36</v>
      </c>
      <c r="R1" s="155" t="s">
        <v>284</v>
      </c>
      <c r="S1" s="155" t="s">
        <v>285</v>
      </c>
    </row>
    <row r="2" spans="1:19" x14ac:dyDescent="0.25">
      <c r="A2" s="156" t="b">
        <v>0</v>
      </c>
      <c r="B2" s="7">
        <f t="shared" ref="B2:B33" si="0">ROW()-1</f>
        <v>1</v>
      </c>
      <c r="C2" s="7" t="str">
        <f>"S"&amp;"_"&amp;LEFT(D2,2)</f>
        <v>S_01</v>
      </c>
      <c r="D2" s="7" t="str">
        <f>_xlfn.XLOOKUP($E2,Tab_Def_Processes[Process_Name],Tab_Def_Processes[Process_ID],,0,)</f>
        <v>01</v>
      </c>
      <c r="E2" s="8" t="s">
        <v>592</v>
      </c>
      <c r="F2" s="7" t="str">
        <f>_xlfn.XLOOKUP($E2,Tab_Def_Processes[Process_Name],Tab_Def_Processes[Process_Logic],,0,)</f>
        <v>DSM</v>
      </c>
      <c r="G2" s="7" t="str">
        <f>_xlfn.XLOOKUP($E2,Tab_Def_Processes[Process_Name],Tab_Def_Processes[TC_Configuration],,0,)</f>
        <v>Static</v>
      </c>
      <c r="H2" s="7" t="str">
        <f>_xlfn.XLOOKUP($E2,Tab_Def_Processes[Process_Name],Tab_Def_Processes[Stock_Configuration],,0,)</f>
        <v>Stock</v>
      </c>
      <c r="I2" s="150">
        <v>500</v>
      </c>
      <c r="J2" s="8"/>
      <c r="K2" s="15">
        <v>0</v>
      </c>
      <c r="L2" s="15">
        <v>1</v>
      </c>
      <c r="M2" s="15">
        <v>1</v>
      </c>
      <c r="N2" s="8" t="s">
        <v>608</v>
      </c>
      <c r="O2" s="7"/>
      <c r="P2" s="8" t="s">
        <v>621</v>
      </c>
      <c r="Q2" s="7" t="e">
        <f>_xlfn.XLOOKUP(P2,Tab_Def_Flows[Flow_Name],Tab_Def_Flows[Flow_ID],,0,)</f>
        <v>#N/A</v>
      </c>
      <c r="R2" s="160">
        <v>1</v>
      </c>
      <c r="S2" s="160">
        <v>0.1</v>
      </c>
    </row>
    <row r="3" spans="1:19" x14ac:dyDescent="0.25">
      <c r="A3" s="156" t="b">
        <v>0</v>
      </c>
      <c r="B3" s="7">
        <f t="shared" si="0"/>
        <v>2</v>
      </c>
      <c r="C3" s="7" t="e">
        <f t="shared" ref="C3:C63" si="1">"S"&amp;"_"&amp;LEFT(D3,2)</f>
        <v>#N/A</v>
      </c>
      <c r="D3" s="7" t="e">
        <f>_xlfn.XLOOKUP($E3,Tab_Def_Processes[Process_Name],Tab_Def_Processes[Process_ID],,0,)</f>
        <v>#N/A</v>
      </c>
      <c r="E3" s="8" t="s">
        <v>30</v>
      </c>
      <c r="F3" s="7" t="e">
        <f>_xlfn.XLOOKUP($E3,Tab_Def_Processes[Process_Name],Tab_Def_Processes[Process_Logic],,0,)</f>
        <v>#N/A</v>
      </c>
      <c r="G3" s="7" t="e">
        <f>_xlfn.XLOOKUP($E3,Tab_Def_Processes[Process_Name],Tab_Def_Processes[TC_Configuration],,0,)</f>
        <v>#N/A</v>
      </c>
      <c r="H3" s="7" t="e">
        <f>_xlfn.XLOOKUP($E3,Tab_Def_Processes[Process_Name],Tab_Def_Processes[Stock_Configuration],,0,)</f>
        <v>#N/A</v>
      </c>
      <c r="I3" s="150"/>
      <c r="J3" s="8"/>
      <c r="K3" s="15"/>
      <c r="L3" s="15"/>
      <c r="M3" s="15"/>
      <c r="N3" s="8"/>
      <c r="O3" s="7"/>
      <c r="P3" s="8"/>
      <c r="Q3" s="7"/>
      <c r="R3" s="8"/>
      <c r="S3" s="160"/>
    </row>
    <row r="4" spans="1:19" x14ac:dyDescent="0.25">
      <c r="A4" s="156" t="b">
        <v>0</v>
      </c>
      <c r="B4" s="7">
        <f t="shared" si="0"/>
        <v>3</v>
      </c>
      <c r="C4" s="7" t="e">
        <f t="shared" si="1"/>
        <v>#N/A</v>
      </c>
      <c r="D4" s="7" t="e">
        <f>_xlfn.XLOOKUP($E4,Tab_Def_Processes[Process_Name],Tab_Def_Processes[Process_ID],,0,)</f>
        <v>#N/A</v>
      </c>
      <c r="E4" s="8" t="s">
        <v>30</v>
      </c>
      <c r="F4" s="7" t="e">
        <f>_xlfn.XLOOKUP($E4,Tab_Def_Processes[Process_Name],Tab_Def_Processes[Process_Logic],,0,)</f>
        <v>#N/A</v>
      </c>
      <c r="G4" s="7" t="e">
        <f>_xlfn.XLOOKUP($E4,Tab_Def_Processes[Process_Name],Tab_Def_Processes[TC_Configuration],,0,)</f>
        <v>#N/A</v>
      </c>
      <c r="H4" s="7" t="e">
        <f>_xlfn.XLOOKUP($E4,Tab_Def_Processes[Process_Name],Tab_Def_Processes[Stock_Configuration],,0,)</f>
        <v>#N/A</v>
      </c>
      <c r="I4" s="150"/>
      <c r="J4" s="8"/>
      <c r="K4" s="15"/>
      <c r="L4" s="15"/>
      <c r="M4" s="15"/>
      <c r="N4" s="8"/>
      <c r="O4" s="7"/>
      <c r="P4" s="8"/>
      <c r="Q4" s="7"/>
      <c r="R4" s="8"/>
      <c r="S4" s="160"/>
    </row>
    <row r="5" spans="1:19" x14ac:dyDescent="0.25">
      <c r="A5" s="156" t="b">
        <v>0</v>
      </c>
      <c r="B5" s="7">
        <f t="shared" si="0"/>
        <v>4</v>
      </c>
      <c r="C5" s="7" t="e">
        <f t="shared" si="1"/>
        <v>#N/A</v>
      </c>
      <c r="D5" s="7" t="e">
        <f>_xlfn.XLOOKUP($E5,Tab_Def_Processes[Process_Name],Tab_Def_Processes[Process_ID],,0,)</f>
        <v>#N/A</v>
      </c>
      <c r="E5" s="8" t="s">
        <v>30</v>
      </c>
      <c r="F5" s="7" t="e">
        <f>_xlfn.XLOOKUP($E5,Tab_Def_Processes[Process_Name],Tab_Def_Processes[Process_Logic],,0,)</f>
        <v>#N/A</v>
      </c>
      <c r="G5" s="7" t="e">
        <f>_xlfn.XLOOKUP($E5,Tab_Def_Processes[Process_Name],Tab_Def_Processes[TC_Configuration],,0,)</f>
        <v>#N/A</v>
      </c>
      <c r="H5" s="7" t="e">
        <f>_xlfn.XLOOKUP($E5,Tab_Def_Processes[Process_Name],Tab_Def_Processes[Stock_Configuration],,0,)</f>
        <v>#N/A</v>
      </c>
      <c r="I5" s="151"/>
      <c r="J5" s="8"/>
      <c r="K5" s="15"/>
      <c r="L5" s="15"/>
      <c r="M5" s="15"/>
      <c r="N5" s="8"/>
      <c r="O5" s="7"/>
      <c r="P5" s="8"/>
      <c r="Q5" s="7"/>
      <c r="R5" s="8"/>
      <c r="S5" s="160"/>
    </row>
    <row r="6" spans="1:19" x14ac:dyDescent="0.25">
      <c r="A6" s="156" t="b">
        <v>0</v>
      </c>
      <c r="B6" s="7">
        <f t="shared" si="0"/>
        <v>5</v>
      </c>
      <c r="C6" s="7" t="e">
        <f t="shared" si="1"/>
        <v>#N/A</v>
      </c>
      <c r="D6" s="7" t="e">
        <f>_xlfn.XLOOKUP($E6,Tab_Def_Processes[Process_Name],Tab_Def_Processes[Process_ID],,0,)</f>
        <v>#N/A</v>
      </c>
      <c r="E6" s="8" t="s">
        <v>30</v>
      </c>
      <c r="F6" s="7" t="e">
        <f>_xlfn.XLOOKUP($E6,Tab_Def_Processes[Process_Name],Tab_Def_Processes[Process_Logic],,0,)</f>
        <v>#N/A</v>
      </c>
      <c r="G6" s="7" t="e">
        <f>_xlfn.XLOOKUP($E6,Tab_Def_Processes[Process_Name],Tab_Def_Processes[TC_Configuration],,0,)</f>
        <v>#N/A</v>
      </c>
      <c r="H6" s="7" t="e">
        <f>_xlfn.XLOOKUP($E6,Tab_Def_Processes[Process_Name],Tab_Def_Processes[Stock_Configuration],,0,)</f>
        <v>#N/A</v>
      </c>
      <c r="I6" s="150"/>
      <c r="J6" s="8"/>
      <c r="K6" s="8"/>
      <c r="L6" s="8"/>
      <c r="M6" s="8"/>
      <c r="N6" s="8"/>
      <c r="O6" s="7"/>
      <c r="P6" s="8"/>
      <c r="Q6" s="7"/>
      <c r="R6" s="8"/>
      <c r="S6" s="160"/>
    </row>
    <row r="7" spans="1:19" x14ac:dyDescent="0.25">
      <c r="A7" s="156" t="b">
        <v>0</v>
      </c>
      <c r="B7" s="7">
        <f t="shared" si="0"/>
        <v>6</v>
      </c>
      <c r="C7" s="7" t="e">
        <f t="shared" si="1"/>
        <v>#N/A</v>
      </c>
      <c r="D7" s="7" t="e">
        <f>_xlfn.XLOOKUP($E7,Tab_Def_Processes[Process_Name],Tab_Def_Processes[Process_ID],,0,)</f>
        <v>#N/A</v>
      </c>
      <c r="E7" s="8" t="s">
        <v>30</v>
      </c>
      <c r="F7" s="7" t="e">
        <f>_xlfn.XLOOKUP($E7,Tab_Def_Processes[Process_Name],Tab_Def_Processes[Process_Logic],,0,)</f>
        <v>#N/A</v>
      </c>
      <c r="G7" s="7" t="e">
        <f>_xlfn.XLOOKUP($E7,Tab_Def_Processes[Process_Name],Tab_Def_Processes[TC_Configuration],,0,)</f>
        <v>#N/A</v>
      </c>
      <c r="H7" s="7" t="e">
        <f>_xlfn.XLOOKUP($E7,Tab_Def_Processes[Process_Name],Tab_Def_Processes[Stock_Configuration],,0,)</f>
        <v>#N/A</v>
      </c>
      <c r="I7" s="150"/>
      <c r="J7" s="8"/>
      <c r="K7" s="8"/>
      <c r="L7" s="8"/>
      <c r="M7" s="8"/>
      <c r="N7" s="8"/>
      <c r="O7" s="7"/>
      <c r="P7" s="8"/>
      <c r="Q7" s="7"/>
      <c r="R7" s="8"/>
      <c r="S7" s="160"/>
    </row>
    <row r="8" spans="1:19" x14ac:dyDescent="0.25">
      <c r="A8" s="156" t="b">
        <v>0</v>
      </c>
      <c r="B8" s="7">
        <f t="shared" si="0"/>
        <v>7</v>
      </c>
      <c r="C8" s="7" t="e">
        <f t="shared" si="1"/>
        <v>#N/A</v>
      </c>
      <c r="D8" s="7" t="e">
        <f>_xlfn.XLOOKUP($E8,Tab_Def_Processes[Process_Name],Tab_Def_Processes[Process_ID],,0,)</f>
        <v>#N/A</v>
      </c>
      <c r="E8" s="8" t="s">
        <v>30</v>
      </c>
      <c r="F8" s="7" t="e">
        <f>_xlfn.XLOOKUP($E8,Tab_Def_Processes[Process_Name],Tab_Def_Processes[Process_Logic],,0,)</f>
        <v>#N/A</v>
      </c>
      <c r="G8" s="7" t="e">
        <f>_xlfn.XLOOKUP($E8,Tab_Def_Processes[Process_Name],Tab_Def_Processes[TC_Configuration],,0,)</f>
        <v>#N/A</v>
      </c>
      <c r="H8" s="7" t="e">
        <f>_xlfn.XLOOKUP($E8,Tab_Def_Processes[Process_Name],Tab_Def_Processes[Stock_Configuration],,0,)</f>
        <v>#N/A</v>
      </c>
      <c r="I8" s="150"/>
      <c r="J8" s="8"/>
      <c r="K8" s="8"/>
      <c r="L8" s="8"/>
      <c r="M8" s="8"/>
      <c r="N8" s="8"/>
      <c r="O8" s="7"/>
      <c r="P8" s="8"/>
      <c r="Q8" s="7"/>
      <c r="R8" s="8"/>
      <c r="S8" s="160"/>
    </row>
    <row r="9" spans="1:19" x14ac:dyDescent="0.25">
      <c r="A9" s="156" t="b">
        <v>0</v>
      </c>
      <c r="B9" s="7">
        <f t="shared" si="0"/>
        <v>8</v>
      </c>
      <c r="C9" s="7" t="e">
        <f t="shared" si="1"/>
        <v>#N/A</v>
      </c>
      <c r="D9" s="7" t="e">
        <f>_xlfn.XLOOKUP($E9,Tab_Def_Processes[Process_Name],Tab_Def_Processes[Process_ID],,0,)</f>
        <v>#N/A</v>
      </c>
      <c r="E9" s="8" t="s">
        <v>30</v>
      </c>
      <c r="F9" s="7" t="e">
        <f>_xlfn.XLOOKUP($E9,Tab_Def_Processes[Process_Name],Tab_Def_Processes[Process_Logic],,0,)</f>
        <v>#N/A</v>
      </c>
      <c r="G9" s="7" t="e">
        <f>_xlfn.XLOOKUP($E9,Tab_Def_Processes[Process_Name],Tab_Def_Processes[TC_Configuration],,0,)</f>
        <v>#N/A</v>
      </c>
      <c r="H9" s="7" t="e">
        <f>_xlfn.XLOOKUP($E9,Tab_Def_Processes[Process_Name],Tab_Def_Processes[Stock_Configuration],,0,)</f>
        <v>#N/A</v>
      </c>
      <c r="I9" s="150"/>
      <c r="J9" s="8"/>
      <c r="K9" s="8"/>
      <c r="L9" s="8"/>
      <c r="M9" s="8"/>
      <c r="N9" s="8"/>
      <c r="O9" s="7"/>
      <c r="P9" s="8"/>
      <c r="Q9" s="7"/>
      <c r="R9" s="8"/>
      <c r="S9" s="160"/>
    </row>
    <row r="10" spans="1:19" x14ac:dyDescent="0.25">
      <c r="A10" s="156" t="b">
        <v>0</v>
      </c>
      <c r="B10" s="7">
        <f t="shared" si="0"/>
        <v>9</v>
      </c>
      <c r="C10" s="7" t="e">
        <f t="shared" si="1"/>
        <v>#N/A</v>
      </c>
      <c r="D10" s="7" t="e">
        <f>_xlfn.XLOOKUP($E10,Tab_Def_Processes[Process_Name],Tab_Def_Processes[Process_ID],,0,)</f>
        <v>#N/A</v>
      </c>
      <c r="E10" s="8" t="s">
        <v>30</v>
      </c>
      <c r="F10" s="7" t="e">
        <f>_xlfn.XLOOKUP($E10,Tab_Def_Processes[Process_Name],Tab_Def_Processes[Process_Logic],,0,)</f>
        <v>#N/A</v>
      </c>
      <c r="G10" s="7" t="e">
        <f>_xlfn.XLOOKUP($E10,Tab_Def_Processes[Process_Name],Tab_Def_Processes[TC_Configuration],,0,)</f>
        <v>#N/A</v>
      </c>
      <c r="H10" s="7" t="e">
        <f>_xlfn.XLOOKUP($E10,Tab_Def_Processes[Process_Name],Tab_Def_Processes[Stock_Configuration],,0,)</f>
        <v>#N/A</v>
      </c>
      <c r="I10" s="150"/>
      <c r="J10" s="8"/>
      <c r="K10" s="8"/>
      <c r="L10" s="8"/>
      <c r="M10" s="8"/>
      <c r="N10" s="8"/>
      <c r="O10" s="7"/>
      <c r="P10" s="8"/>
      <c r="Q10" s="7"/>
      <c r="R10" s="8"/>
      <c r="S10" s="160"/>
    </row>
    <row r="11" spans="1:19" x14ac:dyDescent="0.25">
      <c r="A11" s="156" t="b">
        <v>0</v>
      </c>
      <c r="B11" s="7">
        <f t="shared" si="0"/>
        <v>10</v>
      </c>
      <c r="C11" s="7" t="e">
        <f t="shared" si="1"/>
        <v>#N/A</v>
      </c>
      <c r="D11" s="7" t="e">
        <f>_xlfn.XLOOKUP($E11,Tab_Def_Processes[Process_Name],Tab_Def_Processes[Process_ID],,0,)</f>
        <v>#N/A</v>
      </c>
      <c r="E11" s="8" t="s">
        <v>30</v>
      </c>
      <c r="F11" s="7" t="e">
        <f>_xlfn.XLOOKUP($E11,Tab_Def_Processes[Process_Name],Tab_Def_Processes[Process_Logic],,0,)</f>
        <v>#N/A</v>
      </c>
      <c r="G11" s="7" t="e">
        <f>_xlfn.XLOOKUP($E11,Tab_Def_Processes[Process_Name],Tab_Def_Processes[TC_Configuration],,0,)</f>
        <v>#N/A</v>
      </c>
      <c r="H11" s="7" t="e">
        <f>_xlfn.XLOOKUP($E11,Tab_Def_Processes[Process_Name],Tab_Def_Processes[Stock_Configuration],,0,)</f>
        <v>#N/A</v>
      </c>
      <c r="I11" s="150"/>
      <c r="J11" s="8"/>
      <c r="K11" s="8"/>
      <c r="L11" s="8"/>
      <c r="M11" s="8"/>
      <c r="N11" s="8"/>
      <c r="O11" s="7"/>
      <c r="P11" s="8"/>
      <c r="Q11" s="7"/>
      <c r="R11" s="8"/>
      <c r="S11" s="160"/>
    </row>
    <row r="12" spans="1:19" x14ac:dyDescent="0.25">
      <c r="A12" s="156" t="b">
        <v>0</v>
      </c>
      <c r="B12" s="7">
        <f t="shared" si="0"/>
        <v>11</v>
      </c>
      <c r="C12" s="7" t="e">
        <f t="shared" si="1"/>
        <v>#N/A</v>
      </c>
      <c r="D12" s="7" t="e">
        <f>_xlfn.XLOOKUP($E12,Tab_Def_Processes[Process_Name],Tab_Def_Processes[Process_ID],,0,)</f>
        <v>#N/A</v>
      </c>
      <c r="E12" s="8" t="s">
        <v>30</v>
      </c>
      <c r="F12" s="7" t="e">
        <f>_xlfn.XLOOKUP($E12,Tab_Def_Processes[Process_Name],Tab_Def_Processes[Process_Logic],,0,)</f>
        <v>#N/A</v>
      </c>
      <c r="G12" s="7" t="e">
        <f>_xlfn.XLOOKUP($E12,Tab_Def_Processes[Process_Name],Tab_Def_Processes[TC_Configuration],,0,)</f>
        <v>#N/A</v>
      </c>
      <c r="H12" s="7" t="e">
        <f>_xlfn.XLOOKUP($E12,Tab_Def_Processes[Process_Name],Tab_Def_Processes[Stock_Configuration],,0,)</f>
        <v>#N/A</v>
      </c>
      <c r="I12" s="150"/>
      <c r="J12" s="8"/>
      <c r="K12" s="8"/>
      <c r="L12" s="8"/>
      <c r="M12" s="8"/>
      <c r="N12" s="8"/>
      <c r="O12" s="7"/>
      <c r="P12" s="8"/>
      <c r="Q12" s="7"/>
      <c r="R12" s="8"/>
      <c r="S12" s="160"/>
    </row>
    <row r="13" spans="1:19" x14ac:dyDescent="0.25">
      <c r="A13" s="156" t="b">
        <v>0</v>
      </c>
      <c r="B13" s="7">
        <f t="shared" si="0"/>
        <v>12</v>
      </c>
      <c r="C13" s="7" t="e">
        <f t="shared" si="1"/>
        <v>#N/A</v>
      </c>
      <c r="D13" s="7" t="e">
        <f>_xlfn.XLOOKUP($E13,Tab_Def_Processes[Process_Name],Tab_Def_Processes[Process_ID],,0,)</f>
        <v>#N/A</v>
      </c>
      <c r="E13" s="8" t="s">
        <v>30</v>
      </c>
      <c r="F13" s="7" t="e">
        <f>_xlfn.XLOOKUP($E13,Tab_Def_Processes[Process_Name],Tab_Def_Processes[Process_Logic],,0,)</f>
        <v>#N/A</v>
      </c>
      <c r="G13" s="7" t="e">
        <f>_xlfn.XLOOKUP($E13,Tab_Def_Processes[Process_Name],Tab_Def_Processes[TC_Configuration],,0,)</f>
        <v>#N/A</v>
      </c>
      <c r="H13" s="7" t="e">
        <f>_xlfn.XLOOKUP($E13,Tab_Def_Processes[Process_Name],Tab_Def_Processes[Stock_Configuration],,0,)</f>
        <v>#N/A</v>
      </c>
      <c r="I13" s="150"/>
      <c r="J13" s="8"/>
      <c r="K13" s="8"/>
      <c r="L13" s="8"/>
      <c r="M13" s="8"/>
      <c r="N13" s="8"/>
      <c r="O13" s="7"/>
      <c r="P13" s="8"/>
      <c r="Q13" s="7"/>
      <c r="R13" s="8"/>
      <c r="S13" s="160"/>
    </row>
    <row r="14" spans="1:19" x14ac:dyDescent="0.25">
      <c r="A14" s="156" t="b">
        <v>0</v>
      </c>
      <c r="B14" s="7">
        <f t="shared" si="0"/>
        <v>13</v>
      </c>
      <c r="C14" s="7" t="e">
        <f t="shared" si="1"/>
        <v>#N/A</v>
      </c>
      <c r="D14" s="7" t="e">
        <f>_xlfn.XLOOKUP($E14,Tab_Def_Processes[Process_Name],Tab_Def_Processes[Process_ID],,0,)</f>
        <v>#N/A</v>
      </c>
      <c r="E14" s="8" t="s">
        <v>30</v>
      </c>
      <c r="F14" s="7" t="e">
        <f>_xlfn.XLOOKUP($E14,Tab_Def_Processes[Process_Name],Tab_Def_Processes[Process_Logic],,0,)</f>
        <v>#N/A</v>
      </c>
      <c r="G14" s="7" t="e">
        <f>_xlfn.XLOOKUP($E14,Tab_Def_Processes[Process_Name],Tab_Def_Processes[TC_Configuration],,0,)</f>
        <v>#N/A</v>
      </c>
      <c r="H14" s="7" t="e">
        <f>_xlfn.XLOOKUP($E14,Tab_Def_Processes[Process_Name],Tab_Def_Processes[Stock_Configuration],,0,)</f>
        <v>#N/A</v>
      </c>
      <c r="I14" s="150"/>
      <c r="J14" s="8"/>
      <c r="K14" s="8"/>
      <c r="L14" s="8"/>
      <c r="M14" s="8"/>
      <c r="N14" s="8"/>
      <c r="O14" s="7"/>
      <c r="P14" s="8"/>
      <c r="Q14" s="7"/>
      <c r="R14" s="8"/>
      <c r="S14" s="160"/>
    </row>
    <row r="15" spans="1:19" x14ac:dyDescent="0.25">
      <c r="A15" s="156" t="b">
        <v>0</v>
      </c>
      <c r="B15" s="7">
        <f t="shared" si="0"/>
        <v>14</v>
      </c>
      <c r="C15" s="7" t="e">
        <f t="shared" si="1"/>
        <v>#N/A</v>
      </c>
      <c r="D15" s="7" t="e">
        <f>_xlfn.XLOOKUP($E15,Tab_Def_Processes[Process_Name],Tab_Def_Processes[Process_ID],,0,)</f>
        <v>#N/A</v>
      </c>
      <c r="E15" s="8" t="s">
        <v>30</v>
      </c>
      <c r="F15" s="7" t="e">
        <f>_xlfn.XLOOKUP($E15,Tab_Def_Processes[Process_Name],Tab_Def_Processes[Process_Logic],,0,)</f>
        <v>#N/A</v>
      </c>
      <c r="G15" s="7" t="e">
        <f>_xlfn.XLOOKUP($E15,Tab_Def_Processes[Process_Name],Tab_Def_Processes[TC_Configuration],,0,)</f>
        <v>#N/A</v>
      </c>
      <c r="H15" s="7" t="e">
        <f>_xlfn.XLOOKUP($E15,Tab_Def_Processes[Process_Name],Tab_Def_Processes[Stock_Configuration],,0,)</f>
        <v>#N/A</v>
      </c>
      <c r="I15" s="150"/>
      <c r="J15" s="8"/>
      <c r="K15" s="8"/>
      <c r="L15" s="8"/>
      <c r="M15" s="8"/>
      <c r="N15" s="8"/>
      <c r="O15" s="7"/>
      <c r="P15" s="8"/>
      <c r="Q15" s="7"/>
      <c r="R15" s="8"/>
      <c r="S15" s="160"/>
    </row>
    <row r="16" spans="1:19" x14ac:dyDescent="0.25">
      <c r="A16" s="156" t="b">
        <v>0</v>
      </c>
      <c r="B16" s="7">
        <f t="shared" si="0"/>
        <v>15</v>
      </c>
      <c r="C16" s="7" t="e">
        <f t="shared" si="1"/>
        <v>#N/A</v>
      </c>
      <c r="D16" s="7" t="e">
        <f>_xlfn.XLOOKUP($E16,Tab_Def_Processes[Process_Name],Tab_Def_Processes[Process_ID],,0,)</f>
        <v>#N/A</v>
      </c>
      <c r="E16" s="8" t="s">
        <v>30</v>
      </c>
      <c r="F16" s="7" t="e">
        <f>_xlfn.XLOOKUP($E16,Tab_Def_Processes[Process_Name],Tab_Def_Processes[Process_Logic],,0,)</f>
        <v>#N/A</v>
      </c>
      <c r="G16" s="7" t="e">
        <f>_xlfn.XLOOKUP($E16,Tab_Def_Processes[Process_Name],Tab_Def_Processes[TC_Configuration],,0,)</f>
        <v>#N/A</v>
      </c>
      <c r="H16" s="7" t="e">
        <f>_xlfn.XLOOKUP($E16,Tab_Def_Processes[Process_Name],Tab_Def_Processes[Stock_Configuration],,0,)</f>
        <v>#N/A</v>
      </c>
      <c r="I16" s="150"/>
      <c r="J16" s="8"/>
      <c r="K16" s="8"/>
      <c r="L16" s="8"/>
      <c r="M16" s="8"/>
      <c r="N16" s="8"/>
      <c r="O16" s="7"/>
      <c r="P16" s="8"/>
      <c r="Q16" s="7"/>
      <c r="R16" s="8"/>
      <c r="S16" s="160"/>
    </row>
    <row r="17" spans="1:19" x14ac:dyDescent="0.25">
      <c r="A17" s="156" t="b">
        <v>0</v>
      </c>
      <c r="B17" s="7">
        <f t="shared" si="0"/>
        <v>16</v>
      </c>
      <c r="C17" s="7" t="e">
        <f t="shared" si="1"/>
        <v>#N/A</v>
      </c>
      <c r="D17" s="7" t="e">
        <f>_xlfn.XLOOKUP($E17,Tab_Def_Processes[Process_Name],Tab_Def_Processes[Process_ID],,0,)</f>
        <v>#N/A</v>
      </c>
      <c r="E17" s="8" t="s">
        <v>30</v>
      </c>
      <c r="F17" s="7" t="e">
        <f>_xlfn.XLOOKUP($E17,Tab_Def_Processes[Process_Name],Tab_Def_Processes[Process_Logic],,0,)</f>
        <v>#N/A</v>
      </c>
      <c r="G17" s="7" t="e">
        <f>_xlfn.XLOOKUP($E17,Tab_Def_Processes[Process_Name],Tab_Def_Processes[TC_Configuration],,0,)</f>
        <v>#N/A</v>
      </c>
      <c r="H17" s="7" t="e">
        <f>_xlfn.XLOOKUP($E17,Tab_Def_Processes[Process_Name],Tab_Def_Processes[Stock_Configuration],,0,)</f>
        <v>#N/A</v>
      </c>
      <c r="I17" s="150"/>
      <c r="J17" s="8"/>
      <c r="K17" s="8"/>
      <c r="L17" s="8"/>
      <c r="M17" s="8"/>
      <c r="N17" s="8"/>
      <c r="O17" s="7"/>
      <c r="P17" s="8"/>
      <c r="Q17" s="7"/>
      <c r="R17" s="8"/>
      <c r="S17" s="160"/>
    </row>
    <row r="18" spans="1:19" x14ac:dyDescent="0.25">
      <c r="A18" s="156" t="b">
        <v>0</v>
      </c>
      <c r="B18" s="7">
        <f t="shared" si="0"/>
        <v>17</v>
      </c>
      <c r="C18" s="7" t="e">
        <f t="shared" si="1"/>
        <v>#N/A</v>
      </c>
      <c r="D18" s="7" t="e">
        <f>_xlfn.XLOOKUP($E18,Tab_Def_Processes[Process_Name],Tab_Def_Processes[Process_ID],,0,)</f>
        <v>#N/A</v>
      </c>
      <c r="E18" s="8" t="s">
        <v>30</v>
      </c>
      <c r="F18" s="7" t="e">
        <f>_xlfn.XLOOKUP($E18,Tab_Def_Processes[Process_Name],Tab_Def_Processes[Process_Logic],,0,)</f>
        <v>#N/A</v>
      </c>
      <c r="G18" s="7" t="e">
        <f>_xlfn.XLOOKUP($E18,Tab_Def_Processes[Process_Name],Tab_Def_Processes[TC_Configuration],,0,)</f>
        <v>#N/A</v>
      </c>
      <c r="H18" s="7" t="e">
        <f>_xlfn.XLOOKUP($E18,Tab_Def_Processes[Process_Name],Tab_Def_Processes[Stock_Configuration],,0,)</f>
        <v>#N/A</v>
      </c>
      <c r="I18" s="150"/>
      <c r="J18" s="8"/>
      <c r="K18" s="8"/>
      <c r="L18" s="8"/>
      <c r="M18" s="8"/>
      <c r="N18" s="8"/>
      <c r="O18" s="7"/>
      <c r="P18" s="8"/>
      <c r="Q18" s="7"/>
      <c r="R18" s="8"/>
      <c r="S18" s="160"/>
    </row>
    <row r="19" spans="1:19" x14ac:dyDescent="0.25">
      <c r="A19" s="156" t="b">
        <v>0</v>
      </c>
      <c r="B19" s="7">
        <f t="shared" si="0"/>
        <v>18</v>
      </c>
      <c r="C19" s="7" t="e">
        <f t="shared" si="1"/>
        <v>#N/A</v>
      </c>
      <c r="D19" s="7" t="e">
        <f>_xlfn.XLOOKUP($E19,Tab_Def_Processes[Process_Name],Tab_Def_Processes[Process_ID],,0,)</f>
        <v>#N/A</v>
      </c>
      <c r="E19" s="8" t="s">
        <v>30</v>
      </c>
      <c r="F19" s="7" t="e">
        <f>_xlfn.XLOOKUP($E19,Tab_Def_Processes[Process_Name],Tab_Def_Processes[Process_Logic],,0,)</f>
        <v>#N/A</v>
      </c>
      <c r="G19" s="7" t="e">
        <f>_xlfn.XLOOKUP($E19,Tab_Def_Processes[Process_Name],Tab_Def_Processes[TC_Configuration],,0,)</f>
        <v>#N/A</v>
      </c>
      <c r="H19" s="7" t="e">
        <f>_xlfn.XLOOKUP($E19,Tab_Def_Processes[Process_Name],Tab_Def_Processes[Stock_Configuration],,0,)</f>
        <v>#N/A</v>
      </c>
      <c r="I19" s="150"/>
      <c r="J19" s="8"/>
      <c r="K19" s="8"/>
      <c r="L19" s="8"/>
      <c r="M19" s="8"/>
      <c r="N19" s="8"/>
      <c r="O19" s="7"/>
      <c r="P19" s="8"/>
      <c r="Q19" s="7"/>
      <c r="R19" s="8"/>
      <c r="S19" s="160"/>
    </row>
    <row r="20" spans="1:19" x14ac:dyDescent="0.25">
      <c r="A20" s="156" t="b">
        <v>0</v>
      </c>
      <c r="B20" s="7">
        <f t="shared" si="0"/>
        <v>19</v>
      </c>
      <c r="C20" s="7" t="e">
        <f t="shared" si="1"/>
        <v>#N/A</v>
      </c>
      <c r="D20" s="7" t="e">
        <f>_xlfn.XLOOKUP($E20,Tab_Def_Processes[Process_Name],Tab_Def_Processes[Process_ID],,0,)</f>
        <v>#N/A</v>
      </c>
      <c r="E20" s="8" t="s">
        <v>30</v>
      </c>
      <c r="F20" s="7" t="e">
        <f>_xlfn.XLOOKUP($E20,Tab_Def_Processes[Process_Name],Tab_Def_Processes[Process_Logic],,0,)</f>
        <v>#N/A</v>
      </c>
      <c r="G20" s="7" t="e">
        <f>_xlfn.XLOOKUP($E20,Tab_Def_Processes[Process_Name],Tab_Def_Processes[TC_Configuration],,0,)</f>
        <v>#N/A</v>
      </c>
      <c r="H20" s="7" t="e">
        <f>_xlfn.XLOOKUP($E20,Tab_Def_Processes[Process_Name],Tab_Def_Processes[Stock_Configuration],,0,)</f>
        <v>#N/A</v>
      </c>
      <c r="I20" s="150"/>
      <c r="J20" s="8"/>
      <c r="K20" s="8"/>
      <c r="L20" s="8"/>
      <c r="M20" s="8"/>
      <c r="N20" s="8"/>
      <c r="O20" s="7"/>
      <c r="P20" s="8"/>
      <c r="Q20" s="7"/>
      <c r="R20" s="8"/>
      <c r="S20" s="160"/>
    </row>
    <row r="21" spans="1:19" x14ac:dyDescent="0.25">
      <c r="A21" s="156" t="b">
        <v>0</v>
      </c>
      <c r="B21" s="7">
        <f t="shared" si="0"/>
        <v>20</v>
      </c>
      <c r="C21" s="7" t="e">
        <f t="shared" si="1"/>
        <v>#N/A</v>
      </c>
      <c r="D21" s="7" t="e">
        <f>_xlfn.XLOOKUP($E21,Tab_Def_Processes[Process_Name],Tab_Def_Processes[Process_ID],,0,)</f>
        <v>#N/A</v>
      </c>
      <c r="E21" s="8" t="s">
        <v>30</v>
      </c>
      <c r="F21" s="7" t="e">
        <f>_xlfn.XLOOKUP($E21,Tab_Def_Processes[Process_Name],Tab_Def_Processes[Process_Logic],,0,)</f>
        <v>#N/A</v>
      </c>
      <c r="G21" s="7" t="e">
        <f>_xlfn.XLOOKUP($E21,Tab_Def_Processes[Process_Name],Tab_Def_Processes[TC_Configuration],,0,)</f>
        <v>#N/A</v>
      </c>
      <c r="H21" s="7" t="e">
        <f>_xlfn.XLOOKUP($E21,Tab_Def_Processes[Process_Name],Tab_Def_Processes[Stock_Configuration],,0,)</f>
        <v>#N/A</v>
      </c>
      <c r="I21" s="150"/>
      <c r="J21" s="8"/>
      <c r="K21" s="8"/>
      <c r="L21" s="8"/>
      <c r="M21" s="8"/>
      <c r="N21" s="8"/>
      <c r="O21" s="7"/>
      <c r="P21" s="8"/>
      <c r="Q21" s="7"/>
      <c r="R21" s="8"/>
      <c r="S21" s="160"/>
    </row>
    <row r="22" spans="1:19" x14ac:dyDescent="0.25">
      <c r="A22" s="156" t="b">
        <v>0</v>
      </c>
      <c r="B22" s="7">
        <f t="shared" si="0"/>
        <v>21</v>
      </c>
      <c r="C22" s="7" t="e">
        <f t="shared" si="1"/>
        <v>#N/A</v>
      </c>
      <c r="D22" s="7" t="e">
        <f>_xlfn.XLOOKUP($E22,Tab_Def_Processes[Process_Name],Tab_Def_Processes[Process_ID],,0,)</f>
        <v>#N/A</v>
      </c>
      <c r="E22" s="8" t="s">
        <v>30</v>
      </c>
      <c r="F22" s="7" t="e">
        <f>_xlfn.XLOOKUP($E22,Tab_Def_Processes[Process_Name],Tab_Def_Processes[Process_Logic],,0,)</f>
        <v>#N/A</v>
      </c>
      <c r="G22" s="7" t="e">
        <f>_xlfn.XLOOKUP($E22,Tab_Def_Processes[Process_Name],Tab_Def_Processes[TC_Configuration],,0,)</f>
        <v>#N/A</v>
      </c>
      <c r="H22" s="7" t="e">
        <f>_xlfn.XLOOKUP($E22,Tab_Def_Processes[Process_Name],Tab_Def_Processes[Stock_Configuration],,0,)</f>
        <v>#N/A</v>
      </c>
      <c r="I22" s="150"/>
      <c r="J22" s="8"/>
      <c r="K22" s="8"/>
      <c r="L22" s="8"/>
      <c r="M22" s="8"/>
      <c r="N22" s="8"/>
      <c r="O22" s="7"/>
      <c r="P22" s="8"/>
      <c r="Q22" s="7"/>
      <c r="R22" s="8"/>
      <c r="S22" s="160"/>
    </row>
    <row r="23" spans="1:19" x14ac:dyDescent="0.25">
      <c r="A23" s="156" t="b">
        <v>0</v>
      </c>
      <c r="B23" s="7">
        <f t="shared" si="0"/>
        <v>22</v>
      </c>
      <c r="C23" s="7" t="e">
        <f t="shared" si="1"/>
        <v>#N/A</v>
      </c>
      <c r="D23" s="7" t="e">
        <f>_xlfn.XLOOKUP($E23,Tab_Def_Processes[Process_Name],Tab_Def_Processes[Process_ID],,0,)</f>
        <v>#N/A</v>
      </c>
      <c r="E23" s="8" t="s">
        <v>30</v>
      </c>
      <c r="F23" s="7" t="e">
        <f>_xlfn.XLOOKUP($E23,Tab_Def_Processes[Process_Name],Tab_Def_Processes[Process_Logic],,0,)</f>
        <v>#N/A</v>
      </c>
      <c r="G23" s="7" t="e">
        <f>_xlfn.XLOOKUP($E23,Tab_Def_Processes[Process_Name],Tab_Def_Processes[TC_Configuration],,0,)</f>
        <v>#N/A</v>
      </c>
      <c r="H23" s="7" t="e">
        <f>_xlfn.XLOOKUP($E23,Tab_Def_Processes[Process_Name],Tab_Def_Processes[Stock_Configuration],,0,)</f>
        <v>#N/A</v>
      </c>
      <c r="I23" s="150"/>
      <c r="J23" s="8"/>
      <c r="K23" s="8"/>
      <c r="L23" s="8"/>
      <c r="M23" s="8"/>
      <c r="N23" s="8"/>
      <c r="O23" s="7"/>
      <c r="P23" s="8"/>
      <c r="Q23" s="7"/>
      <c r="R23" s="8"/>
      <c r="S23" s="160"/>
    </row>
    <row r="24" spans="1:19" x14ac:dyDescent="0.25">
      <c r="A24" s="156" t="b">
        <v>0</v>
      </c>
      <c r="B24" s="7">
        <f t="shared" si="0"/>
        <v>23</v>
      </c>
      <c r="C24" s="7" t="e">
        <f t="shared" si="1"/>
        <v>#N/A</v>
      </c>
      <c r="D24" s="7" t="e">
        <f>_xlfn.XLOOKUP($E24,Tab_Def_Processes[Process_Name],Tab_Def_Processes[Process_ID],,0,)</f>
        <v>#N/A</v>
      </c>
      <c r="E24" s="8" t="s">
        <v>30</v>
      </c>
      <c r="F24" s="7" t="e">
        <f>_xlfn.XLOOKUP($E24,Tab_Def_Processes[Process_Name],Tab_Def_Processes[Process_Logic],,0,)</f>
        <v>#N/A</v>
      </c>
      <c r="G24" s="7" t="e">
        <f>_xlfn.XLOOKUP($E24,Tab_Def_Processes[Process_Name],Tab_Def_Processes[TC_Configuration],,0,)</f>
        <v>#N/A</v>
      </c>
      <c r="H24" s="7" t="e">
        <f>_xlfn.XLOOKUP($E24,Tab_Def_Processes[Process_Name],Tab_Def_Processes[Stock_Configuration],,0,)</f>
        <v>#N/A</v>
      </c>
      <c r="I24" s="150"/>
      <c r="J24" s="8"/>
      <c r="K24" s="8"/>
      <c r="L24" s="8"/>
      <c r="M24" s="8"/>
      <c r="N24" s="8"/>
      <c r="O24" s="7"/>
      <c r="P24" s="8"/>
      <c r="Q24" s="7"/>
      <c r="R24" s="8"/>
      <c r="S24" s="160"/>
    </row>
    <row r="25" spans="1:19" x14ac:dyDescent="0.25">
      <c r="A25" s="156" t="b">
        <v>0</v>
      </c>
      <c r="B25" s="7">
        <f t="shared" si="0"/>
        <v>24</v>
      </c>
      <c r="C25" s="7" t="e">
        <f t="shared" si="1"/>
        <v>#N/A</v>
      </c>
      <c r="D25" s="7" t="e">
        <f>_xlfn.XLOOKUP($E25,Tab_Def_Processes[Process_Name],Tab_Def_Processes[Process_ID],,0,)</f>
        <v>#N/A</v>
      </c>
      <c r="E25" s="8" t="s">
        <v>30</v>
      </c>
      <c r="F25" s="7" t="e">
        <f>_xlfn.XLOOKUP($E25,Tab_Def_Processes[Process_Name],Tab_Def_Processes[Process_Logic],,0,)</f>
        <v>#N/A</v>
      </c>
      <c r="G25" s="7" t="e">
        <f>_xlfn.XLOOKUP($E25,Tab_Def_Processes[Process_Name],Tab_Def_Processes[TC_Configuration],,0,)</f>
        <v>#N/A</v>
      </c>
      <c r="H25" s="7" t="e">
        <f>_xlfn.XLOOKUP($E25,Tab_Def_Processes[Process_Name],Tab_Def_Processes[Stock_Configuration],,0,)</f>
        <v>#N/A</v>
      </c>
      <c r="I25" s="150"/>
      <c r="J25" s="8"/>
      <c r="K25" s="8"/>
      <c r="L25" s="8"/>
      <c r="M25" s="8"/>
      <c r="N25" s="8"/>
      <c r="O25" s="7"/>
      <c r="P25" s="8"/>
      <c r="Q25" s="7"/>
      <c r="R25" s="8"/>
      <c r="S25" s="160"/>
    </row>
    <row r="26" spans="1:19" x14ac:dyDescent="0.25">
      <c r="A26" s="156" t="b">
        <v>0</v>
      </c>
      <c r="B26" s="7">
        <f t="shared" si="0"/>
        <v>25</v>
      </c>
      <c r="C26" s="7" t="e">
        <f t="shared" si="1"/>
        <v>#N/A</v>
      </c>
      <c r="D26" s="7" t="e">
        <f>_xlfn.XLOOKUP($E26,Tab_Def_Processes[Process_Name],Tab_Def_Processes[Process_ID],,0,)</f>
        <v>#N/A</v>
      </c>
      <c r="E26" s="8" t="s">
        <v>30</v>
      </c>
      <c r="F26" s="7" t="e">
        <f>_xlfn.XLOOKUP($E26,Tab_Def_Processes[Process_Name],Tab_Def_Processes[Process_Logic],,0,)</f>
        <v>#N/A</v>
      </c>
      <c r="G26" s="7" t="e">
        <f>_xlfn.XLOOKUP($E26,Tab_Def_Processes[Process_Name],Tab_Def_Processes[TC_Configuration],,0,)</f>
        <v>#N/A</v>
      </c>
      <c r="H26" s="7" t="e">
        <f>_xlfn.XLOOKUP($E26,Tab_Def_Processes[Process_Name],Tab_Def_Processes[Stock_Configuration],,0,)</f>
        <v>#N/A</v>
      </c>
      <c r="I26" s="150"/>
      <c r="J26" s="8"/>
      <c r="K26" s="8"/>
      <c r="L26" s="8"/>
      <c r="M26" s="8"/>
      <c r="N26" s="8"/>
      <c r="O26" s="7"/>
      <c r="P26" s="8"/>
      <c r="Q26" s="7"/>
      <c r="R26" s="8"/>
      <c r="S26" s="160"/>
    </row>
    <row r="27" spans="1:19" x14ac:dyDescent="0.25">
      <c r="A27" s="156" t="b">
        <v>0</v>
      </c>
      <c r="B27" s="7">
        <f t="shared" si="0"/>
        <v>26</v>
      </c>
      <c r="C27" s="7" t="e">
        <f t="shared" si="1"/>
        <v>#N/A</v>
      </c>
      <c r="D27" s="7" t="e">
        <f>_xlfn.XLOOKUP($E27,Tab_Def_Processes[Process_Name],Tab_Def_Processes[Process_ID],,0,)</f>
        <v>#N/A</v>
      </c>
      <c r="E27" s="8" t="s">
        <v>30</v>
      </c>
      <c r="F27" s="7" t="e">
        <f>_xlfn.XLOOKUP($E27,Tab_Def_Processes[Process_Name],Tab_Def_Processes[Process_Logic],,0,)</f>
        <v>#N/A</v>
      </c>
      <c r="G27" s="7" t="e">
        <f>_xlfn.XLOOKUP($E27,Tab_Def_Processes[Process_Name],Tab_Def_Processes[TC_Configuration],,0,)</f>
        <v>#N/A</v>
      </c>
      <c r="H27" s="7" t="e">
        <f>_xlfn.XLOOKUP($E27,Tab_Def_Processes[Process_Name],Tab_Def_Processes[Stock_Configuration],,0,)</f>
        <v>#N/A</v>
      </c>
      <c r="I27" s="150"/>
      <c r="J27" s="8"/>
      <c r="K27" s="8"/>
      <c r="L27" s="8"/>
      <c r="M27" s="8"/>
      <c r="N27" s="8"/>
      <c r="O27" s="7"/>
      <c r="P27" s="8"/>
      <c r="Q27" s="7"/>
      <c r="R27" s="8"/>
      <c r="S27" s="160"/>
    </row>
    <row r="28" spans="1:19" x14ac:dyDescent="0.25">
      <c r="A28" s="156" t="b">
        <v>0</v>
      </c>
      <c r="B28" s="7">
        <f t="shared" si="0"/>
        <v>27</v>
      </c>
      <c r="C28" s="7" t="e">
        <f t="shared" si="1"/>
        <v>#N/A</v>
      </c>
      <c r="D28" s="7" t="e">
        <f>_xlfn.XLOOKUP($E28,Tab_Def_Processes[Process_Name],Tab_Def_Processes[Process_ID],,0,)</f>
        <v>#N/A</v>
      </c>
      <c r="E28" s="8" t="s">
        <v>30</v>
      </c>
      <c r="F28" s="7" t="e">
        <f>_xlfn.XLOOKUP($E28,Tab_Def_Processes[Process_Name],Tab_Def_Processes[Process_Logic],,0,)</f>
        <v>#N/A</v>
      </c>
      <c r="G28" s="7" t="e">
        <f>_xlfn.XLOOKUP($E28,Tab_Def_Processes[Process_Name],Tab_Def_Processes[TC_Configuration],,0,)</f>
        <v>#N/A</v>
      </c>
      <c r="H28" s="7" t="e">
        <f>_xlfn.XLOOKUP($E28,Tab_Def_Processes[Process_Name],Tab_Def_Processes[Stock_Configuration],,0,)</f>
        <v>#N/A</v>
      </c>
      <c r="I28" s="150"/>
      <c r="J28" s="8"/>
      <c r="K28" s="8"/>
      <c r="L28" s="8"/>
      <c r="M28" s="8"/>
      <c r="N28" s="8"/>
      <c r="O28" s="7"/>
      <c r="P28" s="8"/>
      <c r="Q28" s="7"/>
      <c r="R28" s="8"/>
      <c r="S28" s="160"/>
    </row>
    <row r="29" spans="1:19" x14ac:dyDescent="0.25">
      <c r="A29" s="156" t="b">
        <v>0</v>
      </c>
      <c r="B29" s="7">
        <f t="shared" si="0"/>
        <v>28</v>
      </c>
      <c r="C29" s="7" t="e">
        <f t="shared" si="1"/>
        <v>#N/A</v>
      </c>
      <c r="D29" s="7" t="e">
        <f>_xlfn.XLOOKUP($E29,Tab_Def_Processes[Process_Name],Tab_Def_Processes[Process_ID],,0,)</f>
        <v>#N/A</v>
      </c>
      <c r="E29" s="8" t="s">
        <v>30</v>
      </c>
      <c r="F29" s="7" t="e">
        <f>_xlfn.XLOOKUP($E29,Tab_Def_Processes[Process_Name],Tab_Def_Processes[Process_Logic],,0,)</f>
        <v>#N/A</v>
      </c>
      <c r="G29" s="7" t="e">
        <f>_xlfn.XLOOKUP($E29,Tab_Def_Processes[Process_Name],Tab_Def_Processes[TC_Configuration],,0,)</f>
        <v>#N/A</v>
      </c>
      <c r="H29" s="7" t="e">
        <f>_xlfn.XLOOKUP($E29,Tab_Def_Processes[Process_Name],Tab_Def_Processes[Stock_Configuration],,0,)</f>
        <v>#N/A</v>
      </c>
      <c r="I29" s="150"/>
      <c r="J29" s="8"/>
      <c r="K29" s="8"/>
      <c r="L29" s="8"/>
      <c r="M29" s="8"/>
      <c r="N29" s="8"/>
      <c r="O29" s="7"/>
      <c r="P29" s="8"/>
      <c r="Q29" s="7"/>
      <c r="R29" s="8"/>
      <c r="S29" s="160"/>
    </row>
    <row r="30" spans="1:19" x14ac:dyDescent="0.25">
      <c r="A30" s="156" t="b">
        <v>0</v>
      </c>
      <c r="B30" s="7">
        <f t="shared" si="0"/>
        <v>29</v>
      </c>
      <c r="C30" s="7" t="e">
        <f t="shared" si="1"/>
        <v>#N/A</v>
      </c>
      <c r="D30" s="7" t="e">
        <f>_xlfn.XLOOKUP($E30,Tab_Def_Processes[Process_Name],Tab_Def_Processes[Process_ID],,0,)</f>
        <v>#N/A</v>
      </c>
      <c r="E30" s="8" t="s">
        <v>30</v>
      </c>
      <c r="F30" s="7" t="e">
        <f>_xlfn.XLOOKUP($E30,Tab_Def_Processes[Process_Name],Tab_Def_Processes[Process_Logic],,0,)</f>
        <v>#N/A</v>
      </c>
      <c r="G30" s="7" t="e">
        <f>_xlfn.XLOOKUP($E30,Tab_Def_Processes[Process_Name],Tab_Def_Processes[TC_Configuration],,0,)</f>
        <v>#N/A</v>
      </c>
      <c r="H30" s="7" t="e">
        <f>_xlfn.XLOOKUP($E30,Tab_Def_Processes[Process_Name],Tab_Def_Processes[Stock_Configuration],,0,)</f>
        <v>#N/A</v>
      </c>
      <c r="I30" s="150"/>
      <c r="J30" s="8"/>
      <c r="K30" s="8"/>
      <c r="L30" s="8"/>
      <c r="M30" s="8"/>
      <c r="N30" s="8"/>
      <c r="O30" s="7"/>
      <c r="P30" s="8"/>
      <c r="Q30" s="7"/>
      <c r="R30" s="8"/>
      <c r="S30" s="160"/>
    </row>
    <row r="31" spans="1:19" x14ac:dyDescent="0.25">
      <c r="A31" s="156" t="b">
        <v>0</v>
      </c>
      <c r="B31" s="7">
        <f t="shared" si="0"/>
        <v>30</v>
      </c>
      <c r="C31" s="7" t="e">
        <f t="shared" si="1"/>
        <v>#N/A</v>
      </c>
      <c r="D31" s="7" t="e">
        <f>_xlfn.XLOOKUP($E31,Tab_Def_Processes[Process_Name],Tab_Def_Processes[Process_ID],,0,)</f>
        <v>#N/A</v>
      </c>
      <c r="E31" s="8" t="s">
        <v>30</v>
      </c>
      <c r="F31" s="7" t="e">
        <f>_xlfn.XLOOKUP($E31,Tab_Def_Processes[Process_Name],Tab_Def_Processes[Process_Logic],,0,)</f>
        <v>#N/A</v>
      </c>
      <c r="G31" s="7" t="e">
        <f>_xlfn.XLOOKUP($E31,Tab_Def_Processes[Process_Name],Tab_Def_Processes[TC_Configuration],,0,)</f>
        <v>#N/A</v>
      </c>
      <c r="H31" s="7" t="e">
        <f>_xlfn.XLOOKUP($E31,Tab_Def_Processes[Process_Name],Tab_Def_Processes[Stock_Configuration],,0,)</f>
        <v>#N/A</v>
      </c>
      <c r="I31" s="150"/>
      <c r="J31" s="8"/>
      <c r="K31" s="8"/>
      <c r="L31" s="8"/>
      <c r="M31" s="8"/>
      <c r="N31" s="8"/>
      <c r="O31" s="7"/>
      <c r="P31" s="8"/>
      <c r="Q31" s="7"/>
      <c r="R31" s="8"/>
      <c r="S31" s="160"/>
    </row>
    <row r="32" spans="1:19" x14ac:dyDescent="0.25">
      <c r="A32" s="156" t="b">
        <v>0</v>
      </c>
      <c r="B32" s="7">
        <f t="shared" si="0"/>
        <v>31</v>
      </c>
      <c r="C32" s="7" t="e">
        <f t="shared" si="1"/>
        <v>#N/A</v>
      </c>
      <c r="D32" s="7" t="e">
        <f>_xlfn.XLOOKUP($E32,Tab_Def_Processes[Process_Name],Tab_Def_Processes[Process_ID],,0,)</f>
        <v>#N/A</v>
      </c>
      <c r="E32" s="8" t="s">
        <v>30</v>
      </c>
      <c r="F32" s="7" t="e">
        <f>_xlfn.XLOOKUP($E32,Tab_Def_Processes[Process_Name],Tab_Def_Processes[Process_Logic],,0,)</f>
        <v>#N/A</v>
      </c>
      <c r="G32" s="7" t="e">
        <f>_xlfn.XLOOKUP($E32,Tab_Def_Processes[Process_Name],Tab_Def_Processes[TC_Configuration],,0,)</f>
        <v>#N/A</v>
      </c>
      <c r="H32" s="7" t="e">
        <f>_xlfn.XLOOKUP($E32,Tab_Def_Processes[Process_Name],Tab_Def_Processes[Stock_Configuration],,0,)</f>
        <v>#N/A</v>
      </c>
      <c r="I32" s="150"/>
      <c r="J32" s="8"/>
      <c r="K32" s="8"/>
      <c r="L32" s="8"/>
      <c r="M32" s="8"/>
      <c r="N32" s="8"/>
      <c r="O32" s="7"/>
      <c r="P32" s="8"/>
      <c r="Q32" s="7"/>
      <c r="R32" s="8"/>
      <c r="S32" s="160"/>
    </row>
    <row r="33" spans="1:19" x14ac:dyDescent="0.25">
      <c r="A33" s="156" t="b">
        <v>0</v>
      </c>
      <c r="B33" s="7">
        <f t="shared" si="0"/>
        <v>32</v>
      </c>
      <c r="C33" s="7" t="e">
        <f t="shared" si="1"/>
        <v>#N/A</v>
      </c>
      <c r="D33" s="7" t="e">
        <f>_xlfn.XLOOKUP($E33,Tab_Def_Processes[Process_Name],Tab_Def_Processes[Process_ID],,0,)</f>
        <v>#N/A</v>
      </c>
      <c r="E33" s="8" t="s">
        <v>30</v>
      </c>
      <c r="F33" s="7" t="e">
        <f>_xlfn.XLOOKUP($E33,Tab_Def_Processes[Process_Name],Tab_Def_Processes[Process_Logic],,0,)</f>
        <v>#N/A</v>
      </c>
      <c r="G33" s="7" t="e">
        <f>_xlfn.XLOOKUP($E33,Tab_Def_Processes[Process_Name],Tab_Def_Processes[TC_Configuration],,0,)</f>
        <v>#N/A</v>
      </c>
      <c r="H33" s="7" t="e">
        <f>_xlfn.XLOOKUP($E33,Tab_Def_Processes[Process_Name],Tab_Def_Processes[Stock_Configuration],,0,)</f>
        <v>#N/A</v>
      </c>
      <c r="I33" s="150"/>
      <c r="J33" s="8"/>
      <c r="K33" s="8"/>
      <c r="L33" s="8"/>
      <c r="M33" s="8"/>
      <c r="N33" s="8"/>
      <c r="O33" s="7"/>
      <c r="P33" s="8"/>
      <c r="Q33" s="7"/>
      <c r="R33" s="8"/>
      <c r="S33" s="160"/>
    </row>
    <row r="34" spans="1:19" x14ac:dyDescent="0.25">
      <c r="A34" s="156" t="b">
        <v>0</v>
      </c>
      <c r="B34" s="7">
        <f t="shared" ref="B34:B51" si="2">ROW()-1</f>
        <v>33</v>
      </c>
      <c r="C34" s="7" t="e">
        <f t="shared" si="1"/>
        <v>#N/A</v>
      </c>
      <c r="D34" s="7" t="e">
        <f>_xlfn.XLOOKUP($E34,Tab_Def_Processes[Process_Name],Tab_Def_Processes[Process_ID],,0,)</f>
        <v>#N/A</v>
      </c>
      <c r="E34" s="8" t="s">
        <v>30</v>
      </c>
      <c r="F34" s="7" t="e">
        <f>_xlfn.XLOOKUP($E34,Tab_Def_Processes[Process_Name],Tab_Def_Processes[Process_Logic],,0,)</f>
        <v>#N/A</v>
      </c>
      <c r="G34" s="7" t="e">
        <f>_xlfn.XLOOKUP($E34,Tab_Def_Processes[Process_Name],Tab_Def_Processes[TC_Configuration],,0,)</f>
        <v>#N/A</v>
      </c>
      <c r="H34" s="7" t="e">
        <f>_xlfn.XLOOKUP($E34,Tab_Def_Processes[Process_Name],Tab_Def_Processes[Stock_Configuration],,0,)</f>
        <v>#N/A</v>
      </c>
      <c r="I34" s="150"/>
      <c r="J34" s="8"/>
      <c r="K34" s="8"/>
      <c r="L34" s="8"/>
      <c r="M34" s="8"/>
      <c r="N34" s="8"/>
      <c r="O34" s="7"/>
      <c r="P34" s="8"/>
      <c r="Q34" s="7"/>
      <c r="R34" s="8"/>
      <c r="S34" s="160"/>
    </row>
    <row r="35" spans="1:19" x14ac:dyDescent="0.25">
      <c r="A35" s="156" t="b">
        <v>0</v>
      </c>
      <c r="B35" s="7">
        <f t="shared" si="2"/>
        <v>34</v>
      </c>
      <c r="C35" s="7" t="e">
        <f t="shared" si="1"/>
        <v>#N/A</v>
      </c>
      <c r="D35" s="7" t="e">
        <f>_xlfn.XLOOKUP($E35,Tab_Def_Processes[Process_Name],Tab_Def_Processes[Process_ID],,0,)</f>
        <v>#N/A</v>
      </c>
      <c r="E35" s="8" t="s">
        <v>30</v>
      </c>
      <c r="F35" s="7" t="e">
        <f>_xlfn.XLOOKUP($E35,Tab_Def_Processes[Process_Name],Tab_Def_Processes[Process_Logic],,0,)</f>
        <v>#N/A</v>
      </c>
      <c r="G35" s="7" t="e">
        <f>_xlfn.XLOOKUP($E35,Tab_Def_Processes[Process_Name],Tab_Def_Processes[TC_Configuration],,0,)</f>
        <v>#N/A</v>
      </c>
      <c r="H35" s="7" t="e">
        <f>_xlfn.XLOOKUP($E35,Tab_Def_Processes[Process_Name],Tab_Def_Processes[Stock_Configuration],,0,)</f>
        <v>#N/A</v>
      </c>
      <c r="I35" s="150"/>
      <c r="J35" s="8"/>
      <c r="K35" s="8"/>
      <c r="L35" s="8"/>
      <c r="M35" s="8"/>
      <c r="N35" s="8"/>
      <c r="O35" s="7"/>
      <c r="P35" s="8"/>
      <c r="Q35" s="7"/>
      <c r="R35" s="8"/>
      <c r="S35" s="160"/>
    </row>
    <row r="36" spans="1:19" x14ac:dyDescent="0.25">
      <c r="A36" s="156" t="b">
        <v>0</v>
      </c>
      <c r="B36" s="7">
        <f t="shared" si="2"/>
        <v>35</v>
      </c>
      <c r="C36" s="7" t="e">
        <f t="shared" si="1"/>
        <v>#N/A</v>
      </c>
      <c r="D36" s="7" t="e">
        <f>_xlfn.XLOOKUP($E36,Tab_Def_Processes[Process_Name],Tab_Def_Processes[Process_ID],,0,)</f>
        <v>#N/A</v>
      </c>
      <c r="E36" s="8" t="s">
        <v>30</v>
      </c>
      <c r="F36" s="7" t="e">
        <f>_xlfn.XLOOKUP($E36,Tab_Def_Processes[Process_Name],Tab_Def_Processes[Process_Logic],,0,)</f>
        <v>#N/A</v>
      </c>
      <c r="G36" s="7" t="e">
        <f>_xlfn.XLOOKUP($E36,Tab_Def_Processes[Process_Name],Tab_Def_Processes[TC_Configuration],,0,)</f>
        <v>#N/A</v>
      </c>
      <c r="H36" s="7" t="e">
        <f>_xlfn.XLOOKUP($E36,Tab_Def_Processes[Process_Name],Tab_Def_Processes[Stock_Configuration],,0,)</f>
        <v>#N/A</v>
      </c>
      <c r="I36" s="150"/>
      <c r="J36" s="8"/>
      <c r="K36" s="8"/>
      <c r="L36" s="8"/>
      <c r="M36" s="8"/>
      <c r="N36" s="8"/>
      <c r="O36" s="7"/>
      <c r="P36" s="8"/>
      <c r="Q36" s="7"/>
      <c r="R36" s="8"/>
      <c r="S36" s="160"/>
    </row>
    <row r="37" spans="1:19" x14ac:dyDescent="0.25">
      <c r="A37" s="156" t="b">
        <v>0</v>
      </c>
      <c r="B37" s="7">
        <f t="shared" si="2"/>
        <v>36</v>
      </c>
      <c r="C37" s="7" t="e">
        <f t="shared" si="1"/>
        <v>#N/A</v>
      </c>
      <c r="D37" s="7" t="e">
        <f>_xlfn.XLOOKUP($E37,Tab_Def_Processes[Process_Name],Tab_Def_Processes[Process_ID],,0,)</f>
        <v>#N/A</v>
      </c>
      <c r="E37" s="8" t="s">
        <v>30</v>
      </c>
      <c r="F37" s="7" t="e">
        <f>_xlfn.XLOOKUP($E37,Tab_Def_Processes[Process_Name],Tab_Def_Processes[Process_Logic],,0,)</f>
        <v>#N/A</v>
      </c>
      <c r="G37" s="7" t="e">
        <f>_xlfn.XLOOKUP($E37,Tab_Def_Processes[Process_Name],Tab_Def_Processes[TC_Configuration],,0,)</f>
        <v>#N/A</v>
      </c>
      <c r="H37" s="7" t="e">
        <f>_xlfn.XLOOKUP($E37,Tab_Def_Processes[Process_Name],Tab_Def_Processes[Stock_Configuration],,0,)</f>
        <v>#N/A</v>
      </c>
      <c r="I37" s="150"/>
      <c r="J37" s="8"/>
      <c r="K37" s="8"/>
      <c r="L37" s="8"/>
      <c r="M37" s="8"/>
      <c r="N37" s="8"/>
      <c r="O37" s="7"/>
      <c r="P37" s="8"/>
      <c r="Q37" s="7"/>
      <c r="R37" s="8"/>
      <c r="S37" s="160"/>
    </row>
    <row r="38" spans="1:19" x14ac:dyDescent="0.25">
      <c r="A38" s="156" t="b">
        <v>0</v>
      </c>
      <c r="B38" s="7">
        <f t="shared" si="2"/>
        <v>37</v>
      </c>
      <c r="C38" s="7" t="e">
        <f t="shared" si="1"/>
        <v>#N/A</v>
      </c>
      <c r="D38" s="7" t="e">
        <f>_xlfn.XLOOKUP($E38,Tab_Def_Processes[Process_Name],Tab_Def_Processes[Process_ID],,0,)</f>
        <v>#N/A</v>
      </c>
      <c r="E38" s="8" t="s">
        <v>30</v>
      </c>
      <c r="F38" s="7" t="e">
        <f>_xlfn.XLOOKUP($E38,Tab_Def_Processes[Process_Name],Tab_Def_Processes[Process_Logic],,0,)</f>
        <v>#N/A</v>
      </c>
      <c r="G38" s="7" t="e">
        <f>_xlfn.XLOOKUP($E38,Tab_Def_Processes[Process_Name],Tab_Def_Processes[TC_Configuration],,0,)</f>
        <v>#N/A</v>
      </c>
      <c r="H38" s="7" t="e">
        <f>_xlfn.XLOOKUP($E38,Tab_Def_Processes[Process_Name],Tab_Def_Processes[Stock_Configuration],,0,)</f>
        <v>#N/A</v>
      </c>
      <c r="I38" s="150"/>
      <c r="J38" s="8"/>
      <c r="K38" s="8"/>
      <c r="L38" s="8"/>
      <c r="M38" s="8"/>
      <c r="N38" s="8"/>
      <c r="O38" s="7"/>
      <c r="P38" s="8"/>
      <c r="Q38" s="7"/>
      <c r="R38" s="8"/>
      <c r="S38" s="160"/>
    </row>
    <row r="39" spans="1:19" x14ac:dyDescent="0.25">
      <c r="A39" s="156" t="b">
        <v>0</v>
      </c>
      <c r="B39" s="7">
        <f t="shared" si="2"/>
        <v>38</v>
      </c>
      <c r="C39" s="7" t="e">
        <f t="shared" si="1"/>
        <v>#N/A</v>
      </c>
      <c r="D39" s="7" t="e">
        <f>_xlfn.XLOOKUP($E39,Tab_Def_Processes[Process_Name],Tab_Def_Processes[Process_ID],,0,)</f>
        <v>#N/A</v>
      </c>
      <c r="E39" s="8" t="s">
        <v>30</v>
      </c>
      <c r="F39" s="7" t="e">
        <f>_xlfn.XLOOKUP($E39,Tab_Def_Processes[Process_Name],Tab_Def_Processes[Process_Logic],,0,)</f>
        <v>#N/A</v>
      </c>
      <c r="G39" s="7" t="e">
        <f>_xlfn.XLOOKUP($E39,Tab_Def_Processes[Process_Name],Tab_Def_Processes[TC_Configuration],,0,)</f>
        <v>#N/A</v>
      </c>
      <c r="H39" s="7" t="e">
        <f>_xlfn.XLOOKUP($E39,Tab_Def_Processes[Process_Name],Tab_Def_Processes[Stock_Configuration],,0,)</f>
        <v>#N/A</v>
      </c>
      <c r="I39" s="150"/>
      <c r="J39" s="8"/>
      <c r="K39" s="8"/>
      <c r="L39" s="8"/>
      <c r="M39" s="8"/>
      <c r="N39" s="8"/>
      <c r="O39" s="7"/>
      <c r="P39" s="8"/>
      <c r="Q39" s="7"/>
      <c r="R39" s="8"/>
      <c r="S39" s="160"/>
    </row>
    <row r="40" spans="1:19" x14ac:dyDescent="0.25">
      <c r="A40" s="156" t="b">
        <v>0</v>
      </c>
      <c r="B40" s="7">
        <f t="shared" si="2"/>
        <v>39</v>
      </c>
      <c r="C40" s="7" t="e">
        <f t="shared" si="1"/>
        <v>#N/A</v>
      </c>
      <c r="D40" s="7" t="e">
        <f>_xlfn.XLOOKUP($E40,Tab_Def_Processes[Process_Name],Tab_Def_Processes[Process_ID],,0,)</f>
        <v>#N/A</v>
      </c>
      <c r="E40" s="8" t="s">
        <v>30</v>
      </c>
      <c r="F40" s="7" t="e">
        <f>_xlfn.XLOOKUP($E40,Tab_Def_Processes[Process_Name],Tab_Def_Processes[Process_Logic],,0,)</f>
        <v>#N/A</v>
      </c>
      <c r="G40" s="7" t="e">
        <f>_xlfn.XLOOKUP($E40,Tab_Def_Processes[Process_Name],Tab_Def_Processes[TC_Configuration],,0,)</f>
        <v>#N/A</v>
      </c>
      <c r="H40" s="7" t="e">
        <f>_xlfn.XLOOKUP($E40,Tab_Def_Processes[Process_Name],Tab_Def_Processes[Stock_Configuration],,0,)</f>
        <v>#N/A</v>
      </c>
      <c r="I40" s="150"/>
      <c r="J40" s="8"/>
      <c r="K40" s="8"/>
      <c r="L40" s="8"/>
      <c r="M40" s="8"/>
      <c r="N40" s="8"/>
      <c r="O40" s="7"/>
      <c r="P40" s="8"/>
      <c r="Q40" s="7"/>
      <c r="R40" s="8"/>
      <c r="S40" s="160"/>
    </row>
    <row r="41" spans="1:19" x14ac:dyDescent="0.25">
      <c r="A41" s="156" t="b">
        <v>0</v>
      </c>
      <c r="B41" s="7">
        <f t="shared" si="2"/>
        <v>40</v>
      </c>
      <c r="C41" s="7" t="e">
        <f t="shared" si="1"/>
        <v>#N/A</v>
      </c>
      <c r="D41" s="7" t="e">
        <f>_xlfn.XLOOKUP($E41,Tab_Def_Processes[Process_Name],Tab_Def_Processes[Process_ID],,0,)</f>
        <v>#N/A</v>
      </c>
      <c r="E41" s="8" t="s">
        <v>30</v>
      </c>
      <c r="F41" s="7" t="e">
        <f>_xlfn.XLOOKUP($E41,Tab_Def_Processes[Process_Name],Tab_Def_Processes[Process_Logic],,0,)</f>
        <v>#N/A</v>
      </c>
      <c r="G41" s="7" t="e">
        <f>_xlfn.XLOOKUP($E41,Tab_Def_Processes[Process_Name],Tab_Def_Processes[TC_Configuration],,0,)</f>
        <v>#N/A</v>
      </c>
      <c r="H41" s="7" t="e">
        <f>_xlfn.XLOOKUP($E41,Tab_Def_Processes[Process_Name],Tab_Def_Processes[Stock_Configuration],,0,)</f>
        <v>#N/A</v>
      </c>
      <c r="I41" s="150"/>
      <c r="J41" s="8"/>
      <c r="K41" s="8"/>
      <c r="L41" s="8"/>
      <c r="M41" s="8"/>
      <c r="N41" s="8"/>
      <c r="O41" s="7"/>
      <c r="P41" s="8"/>
      <c r="Q41" s="7"/>
      <c r="R41" s="8"/>
      <c r="S41" s="160"/>
    </row>
    <row r="42" spans="1:19" x14ac:dyDescent="0.25">
      <c r="A42" s="156" t="b">
        <v>0</v>
      </c>
      <c r="B42" s="7">
        <f t="shared" si="2"/>
        <v>41</v>
      </c>
      <c r="C42" s="7" t="e">
        <f t="shared" si="1"/>
        <v>#N/A</v>
      </c>
      <c r="D42" s="7" t="e">
        <f>_xlfn.XLOOKUP($E42,Tab_Def_Processes[Process_Name],Tab_Def_Processes[Process_ID],,0,)</f>
        <v>#N/A</v>
      </c>
      <c r="E42" s="8" t="s">
        <v>30</v>
      </c>
      <c r="F42" s="7" t="e">
        <f>_xlfn.XLOOKUP($E42,Tab_Def_Processes[Process_Name],Tab_Def_Processes[Process_Logic],,0,)</f>
        <v>#N/A</v>
      </c>
      <c r="G42" s="7" t="e">
        <f>_xlfn.XLOOKUP($E42,Tab_Def_Processes[Process_Name],Tab_Def_Processes[TC_Configuration],,0,)</f>
        <v>#N/A</v>
      </c>
      <c r="H42" s="7" t="e">
        <f>_xlfn.XLOOKUP($E42,Tab_Def_Processes[Process_Name],Tab_Def_Processes[Stock_Configuration],,0,)</f>
        <v>#N/A</v>
      </c>
      <c r="I42" s="150"/>
      <c r="J42" s="8"/>
      <c r="K42" s="8"/>
      <c r="L42" s="8"/>
      <c r="M42" s="8"/>
      <c r="N42" s="8"/>
      <c r="O42" s="7"/>
      <c r="P42" s="8"/>
      <c r="Q42" s="7"/>
      <c r="R42" s="8"/>
      <c r="S42" s="160"/>
    </row>
    <row r="43" spans="1:19" x14ac:dyDescent="0.25">
      <c r="A43" s="156" t="b">
        <v>0</v>
      </c>
      <c r="B43" s="7">
        <f t="shared" si="2"/>
        <v>42</v>
      </c>
      <c r="C43" s="7" t="e">
        <f t="shared" si="1"/>
        <v>#N/A</v>
      </c>
      <c r="D43" s="7" t="e">
        <f>_xlfn.XLOOKUP($E43,Tab_Def_Processes[Process_Name],Tab_Def_Processes[Process_ID],,0,)</f>
        <v>#N/A</v>
      </c>
      <c r="E43" s="8" t="s">
        <v>30</v>
      </c>
      <c r="F43" s="7" t="e">
        <f>_xlfn.XLOOKUP($E43,Tab_Def_Processes[Process_Name],Tab_Def_Processes[Process_Logic],,0,)</f>
        <v>#N/A</v>
      </c>
      <c r="G43" s="7" t="e">
        <f>_xlfn.XLOOKUP($E43,Tab_Def_Processes[Process_Name],Tab_Def_Processes[TC_Configuration],,0,)</f>
        <v>#N/A</v>
      </c>
      <c r="H43" s="7" t="e">
        <f>_xlfn.XLOOKUP($E43,Tab_Def_Processes[Process_Name],Tab_Def_Processes[Stock_Configuration],,0,)</f>
        <v>#N/A</v>
      </c>
      <c r="I43" s="150"/>
      <c r="J43" s="8"/>
      <c r="K43" s="8"/>
      <c r="L43" s="8"/>
      <c r="M43" s="8"/>
      <c r="N43" s="8"/>
      <c r="O43" s="7"/>
      <c r="P43" s="8"/>
      <c r="Q43" s="7"/>
      <c r="R43" s="8"/>
      <c r="S43" s="160"/>
    </row>
    <row r="44" spans="1:19" x14ac:dyDescent="0.25">
      <c r="A44" s="156" t="b">
        <v>0</v>
      </c>
      <c r="B44" s="7">
        <f t="shared" si="2"/>
        <v>43</v>
      </c>
      <c r="C44" s="7" t="e">
        <f t="shared" si="1"/>
        <v>#N/A</v>
      </c>
      <c r="D44" s="7" t="e">
        <f>_xlfn.XLOOKUP($E44,Tab_Def_Processes[Process_Name],Tab_Def_Processes[Process_ID],,0,)</f>
        <v>#N/A</v>
      </c>
      <c r="E44" s="8" t="s">
        <v>30</v>
      </c>
      <c r="F44" s="7" t="e">
        <f>_xlfn.XLOOKUP($E44,Tab_Def_Processes[Process_Name],Tab_Def_Processes[Process_Logic],,0,)</f>
        <v>#N/A</v>
      </c>
      <c r="G44" s="7" t="e">
        <f>_xlfn.XLOOKUP($E44,Tab_Def_Processes[Process_Name],Tab_Def_Processes[TC_Configuration],,0,)</f>
        <v>#N/A</v>
      </c>
      <c r="H44" s="7" t="e">
        <f>_xlfn.XLOOKUP($E44,Tab_Def_Processes[Process_Name],Tab_Def_Processes[Stock_Configuration],,0,)</f>
        <v>#N/A</v>
      </c>
      <c r="I44" s="150"/>
      <c r="J44" s="8"/>
      <c r="K44" s="8"/>
      <c r="L44" s="8"/>
      <c r="M44" s="8"/>
      <c r="N44" s="8"/>
      <c r="O44" s="7"/>
      <c r="P44" s="8"/>
      <c r="Q44" s="7"/>
      <c r="R44" s="8"/>
      <c r="S44" s="160"/>
    </row>
    <row r="45" spans="1:19" x14ac:dyDescent="0.25">
      <c r="A45" s="156" t="b">
        <v>0</v>
      </c>
      <c r="B45" s="7">
        <f t="shared" si="2"/>
        <v>44</v>
      </c>
      <c r="C45" s="7" t="e">
        <f t="shared" si="1"/>
        <v>#N/A</v>
      </c>
      <c r="D45" s="7" t="e">
        <f>_xlfn.XLOOKUP($E45,Tab_Def_Processes[Process_Name],Tab_Def_Processes[Process_ID],,0,)</f>
        <v>#N/A</v>
      </c>
      <c r="E45" s="8" t="s">
        <v>30</v>
      </c>
      <c r="F45" s="7" t="e">
        <f>_xlfn.XLOOKUP($E45,Tab_Def_Processes[Process_Name],Tab_Def_Processes[Process_Logic],,0,)</f>
        <v>#N/A</v>
      </c>
      <c r="G45" s="7" t="e">
        <f>_xlfn.XLOOKUP($E45,Tab_Def_Processes[Process_Name],Tab_Def_Processes[TC_Configuration],,0,)</f>
        <v>#N/A</v>
      </c>
      <c r="H45" s="7" t="e">
        <f>_xlfn.XLOOKUP($E45,Tab_Def_Processes[Process_Name],Tab_Def_Processes[Stock_Configuration],,0,)</f>
        <v>#N/A</v>
      </c>
      <c r="I45" s="150"/>
      <c r="J45" s="8"/>
      <c r="K45" s="8"/>
      <c r="L45" s="8"/>
      <c r="M45" s="8"/>
      <c r="N45" s="8"/>
      <c r="O45" s="7"/>
      <c r="P45" s="8"/>
      <c r="Q45" s="7"/>
      <c r="R45" s="8"/>
      <c r="S45" s="160"/>
    </row>
    <row r="46" spans="1:19" x14ac:dyDescent="0.25">
      <c r="A46" s="156" t="b">
        <v>0</v>
      </c>
      <c r="B46" s="7">
        <f t="shared" si="2"/>
        <v>45</v>
      </c>
      <c r="C46" s="7" t="e">
        <f t="shared" si="1"/>
        <v>#N/A</v>
      </c>
      <c r="D46" s="7" t="e">
        <f>_xlfn.XLOOKUP($E46,Tab_Def_Processes[Process_Name],Tab_Def_Processes[Process_ID],,0,)</f>
        <v>#N/A</v>
      </c>
      <c r="E46" s="8" t="s">
        <v>30</v>
      </c>
      <c r="F46" s="7" t="e">
        <f>_xlfn.XLOOKUP($E46,Tab_Def_Processes[Process_Name],Tab_Def_Processes[Process_Logic],,0,)</f>
        <v>#N/A</v>
      </c>
      <c r="G46" s="7" t="e">
        <f>_xlfn.XLOOKUP($E46,Tab_Def_Processes[Process_Name],Tab_Def_Processes[TC_Configuration],,0,)</f>
        <v>#N/A</v>
      </c>
      <c r="H46" s="7" t="e">
        <f>_xlfn.XLOOKUP($E46,Tab_Def_Processes[Process_Name],Tab_Def_Processes[Stock_Configuration],,0,)</f>
        <v>#N/A</v>
      </c>
      <c r="I46" s="150"/>
      <c r="J46" s="8"/>
      <c r="K46" s="8"/>
      <c r="L46" s="8"/>
      <c r="M46" s="8"/>
      <c r="N46" s="8"/>
      <c r="O46" s="7"/>
      <c r="P46" s="8"/>
      <c r="Q46" s="7"/>
      <c r="R46" s="8"/>
      <c r="S46" s="160"/>
    </row>
    <row r="47" spans="1:19" x14ac:dyDescent="0.25">
      <c r="A47" s="156" t="b">
        <v>0</v>
      </c>
      <c r="B47" s="7">
        <f t="shared" si="2"/>
        <v>46</v>
      </c>
      <c r="C47" s="7" t="e">
        <f t="shared" si="1"/>
        <v>#N/A</v>
      </c>
      <c r="D47" s="7" t="e">
        <f>_xlfn.XLOOKUP($E47,Tab_Def_Processes[Process_Name],Tab_Def_Processes[Process_ID],,0,)</f>
        <v>#N/A</v>
      </c>
      <c r="E47" s="8" t="s">
        <v>30</v>
      </c>
      <c r="F47" s="7" t="e">
        <f>_xlfn.XLOOKUP($E47,Tab_Def_Processes[Process_Name],Tab_Def_Processes[Process_Logic],,0,)</f>
        <v>#N/A</v>
      </c>
      <c r="G47" s="7" t="e">
        <f>_xlfn.XLOOKUP($E47,Tab_Def_Processes[Process_Name],Tab_Def_Processes[TC_Configuration],,0,)</f>
        <v>#N/A</v>
      </c>
      <c r="H47" s="7" t="e">
        <f>_xlfn.XLOOKUP($E47,Tab_Def_Processes[Process_Name],Tab_Def_Processes[Stock_Configuration],,0,)</f>
        <v>#N/A</v>
      </c>
      <c r="I47" s="150"/>
      <c r="J47" s="8"/>
      <c r="K47" s="8"/>
      <c r="L47" s="8"/>
      <c r="M47" s="8"/>
      <c r="N47" s="8"/>
      <c r="O47" s="7"/>
      <c r="P47" s="8"/>
      <c r="Q47" s="7"/>
      <c r="R47" s="8"/>
      <c r="S47" s="160"/>
    </row>
    <row r="48" spans="1:19" x14ac:dyDescent="0.25">
      <c r="A48" s="156" t="b">
        <v>0</v>
      </c>
      <c r="B48" s="7">
        <f t="shared" si="2"/>
        <v>47</v>
      </c>
      <c r="C48" s="7" t="e">
        <f t="shared" si="1"/>
        <v>#N/A</v>
      </c>
      <c r="D48" s="7" t="e">
        <f>_xlfn.XLOOKUP($E48,Tab_Def_Processes[Process_Name],Tab_Def_Processes[Process_ID],,0,)</f>
        <v>#N/A</v>
      </c>
      <c r="E48" s="8" t="s">
        <v>30</v>
      </c>
      <c r="F48" s="7" t="e">
        <f>_xlfn.XLOOKUP($E48,Tab_Def_Processes[Process_Name],Tab_Def_Processes[Process_Logic],,0,)</f>
        <v>#N/A</v>
      </c>
      <c r="G48" s="7" t="e">
        <f>_xlfn.XLOOKUP($E48,Tab_Def_Processes[Process_Name],Tab_Def_Processes[TC_Configuration],,0,)</f>
        <v>#N/A</v>
      </c>
      <c r="H48" s="7" t="e">
        <f>_xlfn.XLOOKUP($E48,Tab_Def_Processes[Process_Name],Tab_Def_Processes[Stock_Configuration],,0,)</f>
        <v>#N/A</v>
      </c>
      <c r="I48" s="150"/>
      <c r="J48" s="8"/>
      <c r="K48" s="8"/>
      <c r="L48" s="8"/>
      <c r="M48" s="8"/>
      <c r="N48" s="8"/>
      <c r="O48" s="7"/>
      <c r="P48" s="8"/>
      <c r="Q48" s="7"/>
      <c r="R48" s="8"/>
      <c r="S48" s="160"/>
    </row>
    <row r="49" spans="1:19" x14ac:dyDescent="0.25">
      <c r="A49" s="156" t="b">
        <v>0</v>
      </c>
      <c r="B49" s="7">
        <f t="shared" si="2"/>
        <v>48</v>
      </c>
      <c r="C49" s="7" t="e">
        <f t="shared" si="1"/>
        <v>#N/A</v>
      </c>
      <c r="D49" s="7" t="e">
        <f>_xlfn.XLOOKUP($E49,Tab_Def_Processes[Process_Name],Tab_Def_Processes[Process_ID],,0,)</f>
        <v>#N/A</v>
      </c>
      <c r="E49" s="8" t="s">
        <v>30</v>
      </c>
      <c r="F49" s="7" t="e">
        <f>_xlfn.XLOOKUP($E49,Tab_Def_Processes[Process_Name],Tab_Def_Processes[Process_Logic],,0,)</f>
        <v>#N/A</v>
      </c>
      <c r="G49" s="7" t="e">
        <f>_xlfn.XLOOKUP($E49,Tab_Def_Processes[Process_Name],Tab_Def_Processes[TC_Configuration],,0,)</f>
        <v>#N/A</v>
      </c>
      <c r="H49" s="7" t="e">
        <f>_xlfn.XLOOKUP($E49,Tab_Def_Processes[Process_Name],Tab_Def_Processes[Stock_Configuration],,0,)</f>
        <v>#N/A</v>
      </c>
      <c r="I49" s="150"/>
      <c r="J49" s="8"/>
      <c r="K49" s="8"/>
      <c r="L49" s="8"/>
      <c r="M49" s="8"/>
      <c r="N49" s="8"/>
      <c r="O49" s="7"/>
      <c r="P49" s="8"/>
      <c r="Q49" s="7"/>
      <c r="R49" s="8"/>
      <c r="S49" s="160"/>
    </row>
    <row r="50" spans="1:19" x14ac:dyDescent="0.25">
      <c r="A50" s="156" t="b">
        <v>0</v>
      </c>
      <c r="B50" s="7">
        <f t="shared" si="2"/>
        <v>49</v>
      </c>
      <c r="C50" s="7" t="e">
        <f t="shared" si="1"/>
        <v>#N/A</v>
      </c>
      <c r="D50" s="7" t="e">
        <f>_xlfn.XLOOKUP($E50,Tab_Def_Processes[Process_Name],Tab_Def_Processes[Process_ID],,0,)</f>
        <v>#N/A</v>
      </c>
      <c r="E50" s="8" t="s">
        <v>30</v>
      </c>
      <c r="F50" s="7" t="e">
        <f>_xlfn.XLOOKUP($E50,Tab_Def_Processes[Process_Name],Tab_Def_Processes[Process_Logic],,0,)</f>
        <v>#N/A</v>
      </c>
      <c r="G50" s="7" t="e">
        <f>_xlfn.XLOOKUP($E50,Tab_Def_Processes[Process_Name],Tab_Def_Processes[TC_Configuration],,0,)</f>
        <v>#N/A</v>
      </c>
      <c r="H50" s="7" t="e">
        <f>_xlfn.XLOOKUP($E50,Tab_Def_Processes[Process_Name],Tab_Def_Processes[Stock_Configuration],,0,)</f>
        <v>#N/A</v>
      </c>
      <c r="I50" s="150"/>
      <c r="J50" s="8"/>
      <c r="K50" s="8"/>
      <c r="L50" s="8"/>
      <c r="M50" s="8"/>
      <c r="N50" s="8"/>
      <c r="O50" s="7"/>
      <c r="P50" s="8"/>
      <c r="Q50" s="7"/>
      <c r="R50" s="8"/>
      <c r="S50" s="160"/>
    </row>
    <row r="51" spans="1:19" x14ac:dyDescent="0.25">
      <c r="A51" s="156" t="b">
        <v>0</v>
      </c>
      <c r="B51" s="7">
        <f t="shared" si="2"/>
        <v>50</v>
      </c>
      <c r="C51" s="7" t="e">
        <f t="shared" si="1"/>
        <v>#N/A</v>
      </c>
      <c r="D51" s="7" t="e">
        <f>_xlfn.XLOOKUP($E51,Tab_Def_Processes[Process_Name],Tab_Def_Processes[Process_ID],,0,)</f>
        <v>#N/A</v>
      </c>
      <c r="E51" s="8" t="s">
        <v>30</v>
      </c>
      <c r="F51" s="7" t="e">
        <f>_xlfn.XLOOKUP($E51,Tab_Def_Processes[Process_Name],Tab_Def_Processes[Process_Logic],,0,)</f>
        <v>#N/A</v>
      </c>
      <c r="G51" s="7" t="e">
        <f>_xlfn.XLOOKUP($E51,Tab_Def_Processes[Process_Name],Tab_Def_Processes[TC_Configuration],,0,)</f>
        <v>#N/A</v>
      </c>
      <c r="H51" s="7" t="e">
        <f>_xlfn.XLOOKUP($E51,Tab_Def_Processes[Process_Name],Tab_Def_Processes[Stock_Configuration],,0,)</f>
        <v>#N/A</v>
      </c>
      <c r="I51" s="150"/>
      <c r="J51" s="8"/>
      <c r="K51" s="8"/>
      <c r="L51" s="8"/>
      <c r="M51" s="8"/>
      <c r="N51" s="8"/>
      <c r="O51" s="7"/>
      <c r="P51" s="8"/>
      <c r="Q51" s="7"/>
      <c r="R51" s="8"/>
      <c r="S51" s="160"/>
    </row>
    <row r="52" spans="1:19" x14ac:dyDescent="0.25">
      <c r="A52" s="156" t="b">
        <v>0</v>
      </c>
      <c r="B52" s="7">
        <f t="shared" ref="B52:B63" si="3">ROW()-1</f>
        <v>51</v>
      </c>
      <c r="C52" s="7" t="str">
        <f t="shared" si="1"/>
        <v>S_15</v>
      </c>
      <c r="D52" s="7" t="str">
        <f>_xlfn.XLOOKUP($E52,Tab_Def_Processes[Process_Name],Tab_Def_Processes[Process_ID],,0,)</f>
        <v>15</v>
      </c>
      <c r="E52" s="8"/>
      <c r="F52" s="7">
        <f>_xlfn.XLOOKUP($E52,Tab_Def_Processes[Process_Name],Tab_Def_Processes[Process_Logic],,0,)</f>
        <v>0</v>
      </c>
      <c r="G52" s="7">
        <f>_xlfn.XLOOKUP($E52,Tab_Def_Processes[Process_Name],Tab_Def_Processes[TC_Configuration],,0,)</f>
        <v>0</v>
      </c>
      <c r="H52" s="7">
        <f>_xlfn.XLOOKUP($E52,Tab_Def_Processes[Process_Name],Tab_Def_Processes[Stock_Configuration],,0,)</f>
        <v>0</v>
      </c>
      <c r="I52" s="150"/>
      <c r="J52" s="8"/>
      <c r="K52" s="8"/>
      <c r="L52" s="8"/>
      <c r="M52" s="8"/>
      <c r="N52" s="8"/>
      <c r="O52" s="7"/>
      <c r="P52" s="8"/>
      <c r="Q52" s="7"/>
      <c r="R52" s="8"/>
      <c r="S52" s="160"/>
    </row>
    <row r="53" spans="1:19" x14ac:dyDescent="0.25">
      <c r="A53" s="156" t="b">
        <v>0</v>
      </c>
      <c r="B53" s="7">
        <f t="shared" si="3"/>
        <v>52</v>
      </c>
      <c r="C53" s="7" t="str">
        <f t="shared" si="1"/>
        <v>S_15</v>
      </c>
      <c r="D53" s="7" t="str">
        <f>_xlfn.XLOOKUP($E53,Tab_Def_Processes[Process_Name],Tab_Def_Processes[Process_ID],,0,)</f>
        <v>15</v>
      </c>
      <c r="E53" s="8"/>
      <c r="F53" s="7">
        <f>_xlfn.XLOOKUP($E53,Tab_Def_Processes[Process_Name],Tab_Def_Processes[Process_Logic],,0,)</f>
        <v>0</v>
      </c>
      <c r="G53" s="7">
        <f>_xlfn.XLOOKUP($E53,Tab_Def_Processes[Process_Name],Tab_Def_Processes[TC_Configuration],,0,)</f>
        <v>0</v>
      </c>
      <c r="H53" s="7">
        <f>_xlfn.XLOOKUP($E53,Tab_Def_Processes[Process_Name],Tab_Def_Processes[Stock_Configuration],,0,)</f>
        <v>0</v>
      </c>
      <c r="I53" s="150"/>
      <c r="J53" s="8"/>
      <c r="K53" s="8"/>
      <c r="L53" s="8"/>
      <c r="M53" s="8"/>
      <c r="N53" s="8"/>
      <c r="O53" s="7"/>
      <c r="P53" s="8"/>
      <c r="Q53" s="7"/>
      <c r="R53" s="8"/>
      <c r="S53" s="160"/>
    </row>
    <row r="54" spans="1:19" x14ac:dyDescent="0.25">
      <c r="A54" s="156" t="b">
        <v>0</v>
      </c>
      <c r="B54" s="7">
        <f t="shared" si="3"/>
        <v>53</v>
      </c>
      <c r="C54" s="7" t="str">
        <f t="shared" si="1"/>
        <v>S_15</v>
      </c>
      <c r="D54" s="7" t="str">
        <f>_xlfn.XLOOKUP($E54,Tab_Def_Processes[Process_Name],Tab_Def_Processes[Process_ID],,0,)</f>
        <v>15</v>
      </c>
      <c r="E54" s="8"/>
      <c r="F54" s="7">
        <f>_xlfn.XLOOKUP($E54,Tab_Def_Processes[Process_Name],Tab_Def_Processes[Process_Logic],,0,)</f>
        <v>0</v>
      </c>
      <c r="G54" s="7">
        <f>_xlfn.XLOOKUP($E54,Tab_Def_Processes[Process_Name],Tab_Def_Processes[TC_Configuration],,0,)</f>
        <v>0</v>
      </c>
      <c r="H54" s="7">
        <f>_xlfn.XLOOKUP($E54,Tab_Def_Processes[Process_Name],Tab_Def_Processes[Stock_Configuration],,0,)</f>
        <v>0</v>
      </c>
      <c r="I54" s="150"/>
      <c r="J54" s="8"/>
      <c r="K54" s="8"/>
      <c r="L54" s="8"/>
      <c r="M54" s="8"/>
      <c r="N54" s="8"/>
      <c r="O54" s="7"/>
      <c r="P54" s="8"/>
      <c r="Q54" s="7"/>
      <c r="R54" s="8"/>
      <c r="S54" s="160"/>
    </row>
    <row r="55" spans="1:19" x14ac:dyDescent="0.25">
      <c r="A55" s="156" t="b">
        <v>0</v>
      </c>
      <c r="B55" s="7">
        <f t="shared" si="3"/>
        <v>54</v>
      </c>
      <c r="C55" s="7" t="str">
        <f t="shared" si="1"/>
        <v>S_15</v>
      </c>
      <c r="D55" s="7" t="str">
        <f>_xlfn.XLOOKUP($E55,Tab_Def_Processes[Process_Name],Tab_Def_Processes[Process_ID],,0,)</f>
        <v>15</v>
      </c>
      <c r="E55" s="8"/>
      <c r="F55" s="7">
        <f>_xlfn.XLOOKUP($E55,Tab_Def_Processes[Process_Name],Tab_Def_Processes[Process_Logic],,0,)</f>
        <v>0</v>
      </c>
      <c r="G55" s="7">
        <f>_xlfn.XLOOKUP($E55,Tab_Def_Processes[Process_Name],Tab_Def_Processes[TC_Configuration],,0,)</f>
        <v>0</v>
      </c>
      <c r="H55" s="7">
        <f>_xlfn.XLOOKUP($E55,Tab_Def_Processes[Process_Name],Tab_Def_Processes[Stock_Configuration],,0,)</f>
        <v>0</v>
      </c>
      <c r="I55" s="150"/>
      <c r="J55" s="8"/>
      <c r="K55" s="8"/>
      <c r="L55" s="8"/>
      <c r="M55" s="8"/>
      <c r="N55" s="8"/>
      <c r="O55" s="7"/>
      <c r="P55" s="8"/>
      <c r="Q55" s="7"/>
      <c r="R55" s="8"/>
      <c r="S55" s="160"/>
    </row>
    <row r="56" spans="1:19" x14ac:dyDescent="0.25">
      <c r="A56" s="156" t="b">
        <v>0</v>
      </c>
      <c r="B56" s="7">
        <f t="shared" si="3"/>
        <v>55</v>
      </c>
      <c r="C56" s="7" t="str">
        <f t="shared" si="1"/>
        <v>S_15</v>
      </c>
      <c r="D56" s="7" t="str">
        <f>_xlfn.XLOOKUP($E56,Tab_Def_Processes[Process_Name],Tab_Def_Processes[Process_ID],,0,)</f>
        <v>15</v>
      </c>
      <c r="E56" s="8"/>
      <c r="F56" s="7">
        <f>_xlfn.XLOOKUP($E56,Tab_Def_Processes[Process_Name],Tab_Def_Processes[Process_Logic],,0,)</f>
        <v>0</v>
      </c>
      <c r="G56" s="7">
        <f>_xlfn.XLOOKUP($E56,Tab_Def_Processes[Process_Name],Tab_Def_Processes[TC_Configuration],,0,)</f>
        <v>0</v>
      </c>
      <c r="H56" s="7">
        <f>_xlfn.XLOOKUP($E56,Tab_Def_Processes[Process_Name],Tab_Def_Processes[Stock_Configuration],,0,)</f>
        <v>0</v>
      </c>
      <c r="I56" s="150"/>
      <c r="J56" s="8"/>
      <c r="K56" s="8"/>
      <c r="L56" s="8"/>
      <c r="M56" s="8"/>
      <c r="N56" s="8"/>
      <c r="O56" s="7"/>
      <c r="P56" s="8"/>
      <c r="Q56" s="7"/>
      <c r="R56" s="8"/>
      <c r="S56" s="160"/>
    </row>
    <row r="57" spans="1:19" x14ac:dyDescent="0.25">
      <c r="A57" s="156" t="b">
        <v>0</v>
      </c>
      <c r="B57" s="7">
        <f t="shared" si="3"/>
        <v>56</v>
      </c>
      <c r="C57" s="7" t="str">
        <f t="shared" si="1"/>
        <v>S_15</v>
      </c>
      <c r="D57" s="7" t="str">
        <f>_xlfn.XLOOKUP($E57,Tab_Def_Processes[Process_Name],Tab_Def_Processes[Process_ID],,0,)</f>
        <v>15</v>
      </c>
      <c r="E57" s="8"/>
      <c r="F57" s="7">
        <f>_xlfn.XLOOKUP($E57,Tab_Def_Processes[Process_Name],Tab_Def_Processes[Process_Logic],,0,)</f>
        <v>0</v>
      </c>
      <c r="G57" s="7">
        <f>_xlfn.XLOOKUP($E57,Tab_Def_Processes[Process_Name],Tab_Def_Processes[TC_Configuration],,0,)</f>
        <v>0</v>
      </c>
      <c r="H57" s="7">
        <f>_xlfn.XLOOKUP($E57,Tab_Def_Processes[Process_Name],Tab_Def_Processes[Stock_Configuration],,0,)</f>
        <v>0</v>
      </c>
      <c r="I57" s="150"/>
      <c r="J57" s="8"/>
      <c r="K57" s="8"/>
      <c r="L57" s="8"/>
      <c r="M57" s="8"/>
      <c r="N57" s="8"/>
      <c r="O57" s="7"/>
      <c r="P57" s="8"/>
      <c r="Q57" s="7"/>
      <c r="R57" s="8"/>
      <c r="S57" s="160"/>
    </row>
    <row r="58" spans="1:19" x14ac:dyDescent="0.25">
      <c r="A58" s="156" t="b">
        <v>0</v>
      </c>
      <c r="B58" s="7">
        <f t="shared" si="3"/>
        <v>57</v>
      </c>
      <c r="C58" s="7" t="str">
        <f t="shared" si="1"/>
        <v>S_15</v>
      </c>
      <c r="D58" s="7" t="str">
        <f>_xlfn.XLOOKUP($E58,Tab_Def_Processes[Process_Name],Tab_Def_Processes[Process_ID],,0,)</f>
        <v>15</v>
      </c>
      <c r="E58" s="8"/>
      <c r="F58" s="7">
        <f>_xlfn.XLOOKUP($E58,Tab_Def_Processes[Process_Name],Tab_Def_Processes[Process_Logic],,0,)</f>
        <v>0</v>
      </c>
      <c r="G58" s="7">
        <f>_xlfn.XLOOKUP($E58,Tab_Def_Processes[Process_Name],Tab_Def_Processes[TC_Configuration],,0,)</f>
        <v>0</v>
      </c>
      <c r="H58" s="7">
        <f>_xlfn.XLOOKUP($E58,Tab_Def_Processes[Process_Name],Tab_Def_Processes[Stock_Configuration],,0,)</f>
        <v>0</v>
      </c>
      <c r="I58" s="150"/>
      <c r="J58" s="8"/>
      <c r="K58" s="8"/>
      <c r="L58" s="8"/>
      <c r="M58" s="8"/>
      <c r="N58" s="8"/>
      <c r="O58" s="7"/>
      <c r="P58" s="8"/>
      <c r="Q58" s="7"/>
      <c r="R58" s="8"/>
      <c r="S58" s="160"/>
    </row>
    <row r="59" spans="1:19" x14ac:dyDescent="0.25">
      <c r="A59" s="156" t="b">
        <v>0</v>
      </c>
      <c r="B59" s="7">
        <f t="shared" si="3"/>
        <v>58</v>
      </c>
      <c r="C59" s="7" t="str">
        <f t="shared" si="1"/>
        <v>S_15</v>
      </c>
      <c r="D59" s="7" t="str">
        <f>_xlfn.XLOOKUP($E59,Tab_Def_Processes[Process_Name],Tab_Def_Processes[Process_ID],,0,)</f>
        <v>15</v>
      </c>
      <c r="E59" s="8"/>
      <c r="F59" s="7">
        <f>_xlfn.XLOOKUP($E59,Tab_Def_Processes[Process_Name],Tab_Def_Processes[Process_Logic],,0,)</f>
        <v>0</v>
      </c>
      <c r="G59" s="7">
        <f>_xlfn.XLOOKUP($E59,Tab_Def_Processes[Process_Name],Tab_Def_Processes[TC_Configuration],,0,)</f>
        <v>0</v>
      </c>
      <c r="H59" s="7">
        <f>_xlfn.XLOOKUP($E59,Tab_Def_Processes[Process_Name],Tab_Def_Processes[Stock_Configuration],,0,)</f>
        <v>0</v>
      </c>
      <c r="I59" s="150"/>
      <c r="J59" s="8"/>
      <c r="K59" s="8"/>
      <c r="L59" s="8"/>
      <c r="M59" s="8"/>
      <c r="N59" s="8"/>
      <c r="O59" s="7"/>
      <c r="P59" s="8"/>
      <c r="Q59" s="7"/>
      <c r="R59" s="8"/>
      <c r="S59" s="160"/>
    </row>
    <row r="60" spans="1:19" x14ac:dyDescent="0.25">
      <c r="A60" s="156" t="b">
        <v>0</v>
      </c>
      <c r="B60" s="7">
        <f t="shared" si="3"/>
        <v>59</v>
      </c>
      <c r="C60" s="7" t="str">
        <f t="shared" si="1"/>
        <v>S_15</v>
      </c>
      <c r="D60" s="7" t="str">
        <f>_xlfn.XLOOKUP($E60,Tab_Def_Processes[Process_Name],Tab_Def_Processes[Process_ID],,0,)</f>
        <v>15</v>
      </c>
      <c r="E60" s="8"/>
      <c r="F60" s="7">
        <f>_xlfn.XLOOKUP($E60,Tab_Def_Processes[Process_Name],Tab_Def_Processes[Process_Logic],,0,)</f>
        <v>0</v>
      </c>
      <c r="G60" s="7">
        <f>_xlfn.XLOOKUP($E60,Tab_Def_Processes[Process_Name],Tab_Def_Processes[TC_Configuration],,0,)</f>
        <v>0</v>
      </c>
      <c r="H60" s="7">
        <f>_xlfn.XLOOKUP($E60,Tab_Def_Processes[Process_Name],Tab_Def_Processes[Stock_Configuration],,0,)</f>
        <v>0</v>
      </c>
      <c r="I60" s="150"/>
      <c r="J60" s="8"/>
      <c r="K60" s="8"/>
      <c r="L60" s="8"/>
      <c r="M60" s="8"/>
      <c r="N60" s="8"/>
      <c r="O60" s="7"/>
      <c r="P60" s="8"/>
      <c r="Q60" s="7"/>
      <c r="R60" s="8"/>
      <c r="S60" s="160"/>
    </row>
    <row r="61" spans="1:19" x14ac:dyDescent="0.25">
      <c r="A61" s="156" t="b">
        <v>0</v>
      </c>
      <c r="B61" s="7">
        <f t="shared" si="3"/>
        <v>60</v>
      </c>
      <c r="C61" s="7" t="str">
        <f t="shared" si="1"/>
        <v>S_15</v>
      </c>
      <c r="D61" s="7" t="str">
        <f>_xlfn.XLOOKUP($E61,Tab_Def_Processes[Process_Name],Tab_Def_Processes[Process_ID],,0,)</f>
        <v>15</v>
      </c>
      <c r="E61" s="8"/>
      <c r="F61" s="7">
        <f>_xlfn.XLOOKUP($E61,Tab_Def_Processes[Process_Name],Tab_Def_Processes[Process_Logic],,0,)</f>
        <v>0</v>
      </c>
      <c r="G61" s="7">
        <f>_xlfn.XLOOKUP($E61,Tab_Def_Processes[Process_Name],Tab_Def_Processes[TC_Configuration],,0,)</f>
        <v>0</v>
      </c>
      <c r="H61" s="7">
        <f>_xlfn.XLOOKUP($E61,Tab_Def_Processes[Process_Name],Tab_Def_Processes[Stock_Configuration],,0,)</f>
        <v>0</v>
      </c>
      <c r="I61" s="150"/>
      <c r="J61" s="8"/>
      <c r="K61" s="8"/>
      <c r="L61" s="8"/>
      <c r="M61" s="8"/>
      <c r="N61" s="8"/>
      <c r="O61" s="7"/>
      <c r="P61" s="8"/>
      <c r="Q61" s="7"/>
      <c r="R61" s="8"/>
      <c r="S61" s="160"/>
    </row>
    <row r="62" spans="1:19" x14ac:dyDescent="0.25">
      <c r="A62" s="156" t="b">
        <v>0</v>
      </c>
      <c r="B62" s="7">
        <f t="shared" si="3"/>
        <v>61</v>
      </c>
      <c r="C62" s="7" t="str">
        <f t="shared" si="1"/>
        <v>S_15</v>
      </c>
      <c r="D62" s="7" t="str">
        <f>_xlfn.XLOOKUP($E62,Tab_Def_Processes[Process_Name],Tab_Def_Processes[Process_ID],,0,)</f>
        <v>15</v>
      </c>
      <c r="E62" s="8"/>
      <c r="F62" s="7">
        <f>_xlfn.XLOOKUP($E62,Tab_Def_Processes[Process_Name],Tab_Def_Processes[Process_Logic],,0,)</f>
        <v>0</v>
      </c>
      <c r="G62" s="7">
        <f>_xlfn.XLOOKUP($E62,Tab_Def_Processes[Process_Name],Tab_Def_Processes[TC_Configuration],,0,)</f>
        <v>0</v>
      </c>
      <c r="H62" s="7">
        <f>_xlfn.XLOOKUP($E62,Tab_Def_Processes[Process_Name],Tab_Def_Processes[Stock_Configuration],,0,)</f>
        <v>0</v>
      </c>
      <c r="I62" s="150"/>
      <c r="J62" s="8"/>
      <c r="K62" s="8"/>
      <c r="L62" s="8"/>
      <c r="M62" s="8"/>
      <c r="N62" s="8"/>
      <c r="O62" s="7"/>
      <c r="P62" s="8"/>
      <c r="Q62" s="7"/>
      <c r="R62" s="8"/>
      <c r="S62" s="160"/>
    </row>
    <row r="63" spans="1:19" x14ac:dyDescent="0.25">
      <c r="A63" s="156" t="b">
        <v>0</v>
      </c>
      <c r="B63" s="7">
        <f t="shared" si="3"/>
        <v>62</v>
      </c>
      <c r="C63" s="7" t="str">
        <f t="shared" si="1"/>
        <v>S_15</v>
      </c>
      <c r="D63" s="7" t="str">
        <f>_xlfn.XLOOKUP($E63,Tab_Def_Processes[Process_Name],Tab_Def_Processes[Process_ID],,0,)</f>
        <v>15</v>
      </c>
      <c r="E63" s="8"/>
      <c r="F63" s="7">
        <f>_xlfn.XLOOKUP($E63,Tab_Def_Processes[Process_Name],Tab_Def_Processes[Process_Logic],,0,)</f>
        <v>0</v>
      </c>
      <c r="G63" s="7">
        <f>_xlfn.XLOOKUP($E63,Tab_Def_Processes[Process_Name],Tab_Def_Processes[TC_Configuration],,0,)</f>
        <v>0</v>
      </c>
      <c r="H63" s="7">
        <f>_xlfn.XLOOKUP($E63,Tab_Def_Processes[Process_Name],Tab_Def_Processes[Stock_Configuration],,0,)</f>
        <v>0</v>
      </c>
      <c r="I63" s="150"/>
      <c r="J63" s="8"/>
      <c r="K63" s="8"/>
      <c r="L63" s="8"/>
      <c r="M63" s="8"/>
      <c r="N63" s="8"/>
      <c r="O63" s="7"/>
      <c r="P63" s="8"/>
      <c r="Q63" s="7"/>
      <c r="R63" s="8"/>
      <c r="S63" s="16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E2:E63 N2:N63</xm:sqref>
        </x14:dataValidation>
        <x14:dataValidation type="list" allowBlank="1" showInputMessage="1" showErrorMessage="1" xr:uid="{24E4AF9F-342A-4F59-A041-F0845D1625A8}">
          <x14:formula1>
            <xm:f>'1_1_Definition_Flows'!$D$2:$D$70</xm:f>
          </x14:formula1>
          <xm:sqref>P2:P63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M51"/>
  <sheetViews>
    <sheetView topLeftCell="E1" zoomScale="145" zoomScaleNormal="145" workbookViewId="0">
      <selection activeCell="K30" sqref="K30"/>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15" customWidth="1"/>
    <col min="7" max="8" width="17.42578125" customWidth="1"/>
    <col min="9" max="9" width="20.7109375" customWidth="1"/>
    <col min="10" max="10" width="26.140625" customWidth="1"/>
    <col min="11" max="11" width="28.85546875" customWidth="1"/>
    <col min="12" max="12" width="35.140625" customWidth="1"/>
    <col min="13" max="13" width="26.140625" customWidth="1"/>
  </cols>
  <sheetData>
    <row r="1" spans="1:13" x14ac:dyDescent="0.25">
      <c r="A1" s="155" t="s">
        <v>52</v>
      </c>
      <c r="B1" s="155" t="s">
        <v>27</v>
      </c>
      <c r="C1" s="155" t="s">
        <v>48</v>
      </c>
      <c r="D1" s="155" t="s">
        <v>580</v>
      </c>
      <c r="E1" s="155" t="s">
        <v>544</v>
      </c>
      <c r="F1" s="155" t="s">
        <v>656</v>
      </c>
      <c r="G1" s="155" t="s">
        <v>657</v>
      </c>
      <c r="H1" s="155" t="s">
        <v>239</v>
      </c>
      <c r="I1" s="155" t="s">
        <v>629</v>
      </c>
      <c r="J1" s="155" t="s">
        <v>637</v>
      </c>
      <c r="K1" s="155" t="s">
        <v>636</v>
      </c>
      <c r="L1" s="155" t="s">
        <v>635</v>
      </c>
      <c r="M1" s="155" t="s">
        <v>638</v>
      </c>
    </row>
    <row r="2" spans="1:13" x14ac:dyDescent="0.25">
      <c r="A2" s="156" t="b">
        <v>1</v>
      </c>
      <c r="B2" s="7">
        <f t="shared" ref="B2:B51" si="0">ROW()-1</f>
        <v>1</v>
      </c>
      <c r="C2" s="7" t="str">
        <f>_xlfn.XLOOKUP($D2,Tab_Def_Processes[Process_Name],Tab_Def_Processes[Process_ID],,0,)</f>
        <v>01</v>
      </c>
      <c r="D2" s="152" t="s">
        <v>592</v>
      </c>
      <c r="E2" s="7" t="str">
        <f>_xlfn.XLOOKUP($D2,Tab_Def_Processes[Process_Name],Tab_Def_Processes[Process_Logic],,0,)</f>
        <v>DSM</v>
      </c>
      <c r="F2" s="7" t="str">
        <f>_xlfn.XLOOKUP($D2,Tab_Def_Processes[Process_Name],Tab_Def_Processes[TC_Configuration],,0,)</f>
        <v>Static</v>
      </c>
      <c r="G2" s="7" t="str">
        <f>_xlfn.XLOOKUP($D2,Tab_Def_Processes[Process_Name],Tab_Def_Processes[Stock_Configuration],,0,)</f>
        <v>Stock</v>
      </c>
      <c r="H2" s="7">
        <f>_xlfn.XLOOKUP(Tab_DSM[[#This Row],[Process_Name]],Tab_Def_Processes[Process_Name],Tab_Def_Processes[Nr. Outflows],,0,)</f>
        <v>2</v>
      </c>
      <c r="I2" s="152">
        <v>1</v>
      </c>
      <c r="J2" s="7" t="str">
        <f>_xlfn.XLOOKUP($I2,Tab_DSM_Category_ID[Category ID],Tab_DSM_Category_ID[DSM Material],,0,)</f>
        <v>DSM Material 1</v>
      </c>
      <c r="K2" s="152" t="s">
        <v>630</v>
      </c>
      <c r="L2" s="7" t="str">
        <f>Tab_DSM[[#This Row],[DSM_Parameter_type]]&amp;"_Cat_"&amp;Tab_DSM[[#This Row],[DSM_Category_Nr.]]</f>
        <v>DSM_Category_Name_Cat_1</v>
      </c>
      <c r="M2" s="8" t="s">
        <v>619</v>
      </c>
    </row>
    <row r="3" spans="1:13" x14ac:dyDescent="0.25">
      <c r="A3" s="156" t="b">
        <v>0</v>
      </c>
      <c r="B3" s="7">
        <f t="shared" si="0"/>
        <v>2</v>
      </c>
      <c r="C3" s="7" t="str">
        <f>_xlfn.XLOOKUP($D3,Tab_Def_Processes[Process_Name],Tab_Def_Processes[Process_ID],,0,)</f>
        <v>01</v>
      </c>
      <c r="D3" s="152" t="s">
        <v>592</v>
      </c>
      <c r="E3" s="7" t="str">
        <f>_xlfn.XLOOKUP($D3,Tab_Def_Processes[Process_Name],Tab_Def_Processes[Process_Logic],,0,)</f>
        <v>DSM</v>
      </c>
      <c r="F3" s="7" t="str">
        <f>_xlfn.XLOOKUP($D3,Tab_Def_Processes[Process_Name],Tab_Def_Processes[TC_Configuration],,0,)</f>
        <v>Static</v>
      </c>
      <c r="G3" s="7" t="str">
        <f>_xlfn.XLOOKUP($D3,Tab_Def_Processes[Process_Name],Tab_Def_Processes[Stock_Configuration],,0,)</f>
        <v>Stock</v>
      </c>
      <c r="H3" s="7">
        <f>_xlfn.XLOOKUP(Tab_DSM[[#This Row],[Process_Name]],Tab_Def_Processes[Process_Name],Tab_Def_Processes[Nr. Outflows],,0,)</f>
        <v>2</v>
      </c>
      <c r="I3" s="152">
        <v>1</v>
      </c>
      <c r="J3" s="7" t="str">
        <f>_xlfn.XLOOKUP($I3,Tab_DSM_Category_ID[Category ID],Tab_DSM_Category_ID[DSM Material],,0,)</f>
        <v>DSM Material 1</v>
      </c>
      <c r="K3" s="152" t="s">
        <v>631</v>
      </c>
      <c r="L3" s="7" t="str">
        <f>Tab_DSM[[#This Row],[DSM_Parameter_type]]&amp;"_Cat_"&amp;Tab_DSM[[#This Row],[DSM_Category_Nr.]]</f>
        <v>DSM_Inflow_Split_[%]_Cat_1</v>
      </c>
      <c r="M3" s="8" t="s">
        <v>543</v>
      </c>
    </row>
    <row r="4" spans="1:13" x14ac:dyDescent="0.25">
      <c r="A4" s="156" t="b">
        <v>0</v>
      </c>
      <c r="B4" s="7">
        <f t="shared" si="0"/>
        <v>3</v>
      </c>
      <c r="C4" s="7" t="str">
        <f>_xlfn.XLOOKUP($D4,Tab_Def_Processes[Process_Name],Tab_Def_Processes[Process_ID],,0,)</f>
        <v>01</v>
      </c>
      <c r="D4" s="152" t="s">
        <v>592</v>
      </c>
      <c r="E4" s="7" t="str">
        <f>_xlfn.XLOOKUP($D4,Tab_Def_Processes[Process_Name],Tab_Def_Processes[Process_Logic],,0,)</f>
        <v>DSM</v>
      </c>
      <c r="F4" s="7" t="str">
        <f>_xlfn.XLOOKUP($D4,Tab_Def_Processes[Process_Name],Tab_Def_Processes[TC_Configuration],,0,)</f>
        <v>Static</v>
      </c>
      <c r="G4" s="7" t="str">
        <f>_xlfn.XLOOKUP($D4,Tab_Def_Processes[Process_Name],Tab_Def_Processes[Stock_Configuration],,0,)</f>
        <v>Stock</v>
      </c>
      <c r="H4" s="7">
        <f>_xlfn.XLOOKUP(Tab_DSM[[#This Row],[Process_Name]],Tab_Def_Processes[Process_Name],Tab_Def_Processes[Nr. Outflows],,0,)</f>
        <v>2</v>
      </c>
      <c r="I4" s="152">
        <v>1</v>
      </c>
      <c r="J4" s="7" t="str">
        <f>_xlfn.XLOOKUP($I4,Tab_DSM_Category_ID[Category ID],Tab_DSM_Category_ID[DSM Material],,0,)</f>
        <v>DSM Material 1</v>
      </c>
      <c r="K4" s="152" t="s">
        <v>632</v>
      </c>
      <c r="L4" s="7" t="str">
        <f>Tab_DSM[[#This Row],[DSM_Parameter_type]]&amp;"_Cat_"&amp;Tab_DSM[[#This Row],[DSM_Category_Nr.]]</f>
        <v>DSM_Lifetime_Type_Cat_1</v>
      </c>
      <c r="M4" s="8" t="s">
        <v>639</v>
      </c>
    </row>
    <row r="5" spans="1:13" x14ac:dyDescent="0.25">
      <c r="A5" s="156" t="b">
        <v>0</v>
      </c>
      <c r="B5" s="7">
        <f t="shared" si="0"/>
        <v>4</v>
      </c>
      <c r="C5" s="7" t="str">
        <f>_xlfn.XLOOKUP($D5,Tab_Def_Processes[Process_Name],Tab_Def_Processes[Process_ID],,0,)</f>
        <v>01</v>
      </c>
      <c r="D5" s="152" t="s">
        <v>592</v>
      </c>
      <c r="E5" s="7" t="str">
        <f>_xlfn.XLOOKUP($D5,Tab_Def_Processes[Process_Name],Tab_Def_Processes[Process_Logic],,0,)</f>
        <v>DSM</v>
      </c>
      <c r="F5" s="7" t="str">
        <f>_xlfn.XLOOKUP($D5,Tab_Def_Processes[Process_Name],Tab_Def_Processes[TC_Configuration],,0,)</f>
        <v>Static</v>
      </c>
      <c r="G5" s="7" t="str">
        <f>_xlfn.XLOOKUP($D5,Tab_Def_Processes[Process_Name],Tab_Def_Processes[Stock_Configuration],,0,)</f>
        <v>Stock</v>
      </c>
      <c r="H5" s="7">
        <f>_xlfn.XLOOKUP(Tab_DSM[[#This Row],[Process_Name]],Tab_Def_Processes[Process_Name],Tab_Def_Processes[Nr. Outflows],,0,)</f>
        <v>2</v>
      </c>
      <c r="I5" s="152">
        <v>1</v>
      </c>
      <c r="J5" s="7" t="str">
        <f>_xlfn.XLOOKUP($I5,Tab_DSM_Category_ID[Category ID],Tab_DSM_Category_ID[DSM Material],,0,)</f>
        <v>DSM Material 1</v>
      </c>
      <c r="K5" s="152" t="s">
        <v>633</v>
      </c>
      <c r="L5" s="7" t="str">
        <f>Tab_DSM[[#This Row],[DSM_Parameter_type]]&amp;"_Cat_"&amp;Tab_DSM[[#This Row],[DSM_Category_Nr.]]</f>
        <v>DSM_Lifetime_Mean_Cat_1</v>
      </c>
      <c r="M5" s="8">
        <v>10</v>
      </c>
    </row>
    <row r="6" spans="1:13" x14ac:dyDescent="0.25">
      <c r="A6" s="156" t="b">
        <v>0</v>
      </c>
      <c r="B6" s="7">
        <f t="shared" si="0"/>
        <v>5</v>
      </c>
      <c r="C6" s="7" t="str">
        <f>_xlfn.XLOOKUP($D6,Tab_Def_Processes[Process_Name],Tab_Def_Processes[Process_ID],,0,)</f>
        <v>01</v>
      </c>
      <c r="D6" s="152" t="s">
        <v>592</v>
      </c>
      <c r="E6" s="7" t="str">
        <f>_xlfn.XLOOKUP($D6,Tab_Def_Processes[Process_Name],Tab_Def_Processes[Process_Logic],,0,)</f>
        <v>DSM</v>
      </c>
      <c r="F6" s="7" t="str">
        <f>_xlfn.XLOOKUP($D6,Tab_Def_Processes[Process_Name],Tab_Def_Processes[TC_Configuration],,0,)</f>
        <v>Static</v>
      </c>
      <c r="G6" s="7" t="str">
        <f>_xlfn.XLOOKUP($D6,Tab_Def_Processes[Process_Name],Tab_Def_Processes[Stock_Configuration],,0,)</f>
        <v>Stock</v>
      </c>
      <c r="H6" s="7">
        <f>_xlfn.XLOOKUP(Tab_DSM[[#This Row],[Process_Name]],Tab_Def_Processes[Process_Name],Tab_Def_Processes[Nr. Outflows],,0,)</f>
        <v>2</v>
      </c>
      <c r="I6" s="152">
        <v>1</v>
      </c>
      <c r="J6" s="7" t="str">
        <f>_xlfn.XLOOKUP($I6,Tab_DSM_Category_ID[Category ID],Tab_DSM_Category_ID[DSM Material],,0,)</f>
        <v>DSM Material 1</v>
      </c>
      <c r="K6" s="152" t="s">
        <v>634</v>
      </c>
      <c r="L6" s="7" t="str">
        <f>Tab_DSM[[#This Row],[DSM_Parameter_type]]&amp;"_Cat_"&amp;Tab_DSM[[#This Row],[DSM_Category_Nr.]]</f>
        <v>DSM_Lifetime_StdDev_Cat_1</v>
      </c>
      <c r="M6" s="8">
        <v>1</v>
      </c>
    </row>
    <row r="7" spans="1:13" x14ac:dyDescent="0.25">
      <c r="A7" s="156" t="b">
        <v>0</v>
      </c>
      <c r="B7" s="7">
        <f t="shared" si="0"/>
        <v>6</v>
      </c>
      <c r="C7" s="7" t="str">
        <f>_xlfn.XLOOKUP($D7,Tab_Def_Processes[Process_Name],Tab_Def_Processes[Process_ID],,0,)</f>
        <v>01</v>
      </c>
      <c r="D7" s="152" t="s">
        <v>592</v>
      </c>
      <c r="E7" s="7" t="str">
        <f>_xlfn.XLOOKUP($D7,Tab_Def_Processes[Process_Name],Tab_Def_Processes[Process_Logic],,0,)</f>
        <v>DSM</v>
      </c>
      <c r="F7" s="7" t="str">
        <f>_xlfn.XLOOKUP($D7,Tab_Def_Processes[Process_Name],Tab_Def_Processes[TC_Configuration],,0,)</f>
        <v>Static</v>
      </c>
      <c r="G7" s="7" t="str">
        <f>_xlfn.XLOOKUP($D7,Tab_Def_Processes[Process_Name],Tab_Def_Processes[Stock_Configuration],,0,)</f>
        <v>Stock</v>
      </c>
      <c r="H7" s="7">
        <f>_xlfn.XLOOKUP(Tab_DSM[[#This Row],[Process_Name]],Tab_Def_Processes[Process_Name],Tab_Def_Processes[Nr. Outflows],,0,)</f>
        <v>2</v>
      </c>
      <c r="I7" s="152">
        <v>1</v>
      </c>
      <c r="J7" s="7" t="str">
        <f>_xlfn.XLOOKUP($I7,Tab_DSM_Category_ID[Category ID],Tab_DSM_Category_ID[DSM Material],,0,)</f>
        <v>DSM Material 1</v>
      </c>
      <c r="K7" s="152" t="s">
        <v>640</v>
      </c>
      <c r="L7" s="7" t="str">
        <f>Tab_DSM[[#This Row],[DSM_Parameter_type]]&amp;"_Cat_"&amp;Tab_DSM[[#This Row],[DSM_Category_Nr.]]</f>
        <v>DSM_Output_1_Flow_ID_Cat_1</v>
      </c>
      <c r="M7" s="8" t="s">
        <v>649</v>
      </c>
    </row>
    <row r="8" spans="1:13" x14ac:dyDescent="0.25">
      <c r="A8" s="156" t="b">
        <v>0</v>
      </c>
      <c r="B8" s="7">
        <f t="shared" si="0"/>
        <v>7</v>
      </c>
      <c r="C8" s="7" t="str">
        <f>_xlfn.XLOOKUP($D8,Tab_Def_Processes[Process_Name],Tab_Def_Processes[Process_ID],,0,)</f>
        <v>01</v>
      </c>
      <c r="D8" s="152" t="s">
        <v>592</v>
      </c>
      <c r="E8" s="7" t="str">
        <f>_xlfn.XLOOKUP($D8,Tab_Def_Processes[Process_Name],Tab_Def_Processes[Process_Logic],,0,)</f>
        <v>DSM</v>
      </c>
      <c r="F8" s="7" t="str">
        <f>_xlfn.XLOOKUP($D8,Tab_Def_Processes[Process_Name],Tab_Def_Processes[TC_Configuration],,0,)</f>
        <v>Static</v>
      </c>
      <c r="G8" s="7" t="str">
        <f>_xlfn.XLOOKUP($D8,Tab_Def_Processes[Process_Name],Tab_Def_Processes[Stock_Configuration],,0,)</f>
        <v>Stock</v>
      </c>
      <c r="H8" s="7">
        <f>_xlfn.XLOOKUP(Tab_DSM[[#This Row],[Process_Name]],Tab_Def_Processes[Process_Name],Tab_Def_Processes[Nr. Outflows],,0,)</f>
        <v>2</v>
      </c>
      <c r="I8" s="152">
        <v>1</v>
      </c>
      <c r="J8" s="7" t="str">
        <f>_xlfn.XLOOKUP($I8,Tab_DSM_Category_ID[Category ID],Tab_DSM_Category_ID[DSM Material],,0,)</f>
        <v>DSM Material 1</v>
      </c>
      <c r="K8" s="152" t="s">
        <v>642</v>
      </c>
      <c r="L8" s="7" t="str">
        <f>Tab_DSM[[#This Row],[DSM_Parameter_type]]&amp;"_Cat_"&amp;Tab_DSM[[#This Row],[DSM_Category_Nr.]]</f>
        <v>DSM_Output_1_Split_[%]_Cat_1</v>
      </c>
      <c r="M8" s="8" t="s">
        <v>653</v>
      </c>
    </row>
    <row r="9" spans="1:13" x14ac:dyDescent="0.25">
      <c r="A9" s="156" t="b">
        <v>0</v>
      </c>
      <c r="B9" s="7">
        <f t="shared" si="0"/>
        <v>8</v>
      </c>
      <c r="C9" s="7" t="str">
        <f>_xlfn.XLOOKUP($D9,Tab_Def_Processes[Process_Name],Tab_Def_Processes[Process_ID],,0,)</f>
        <v>01</v>
      </c>
      <c r="D9" s="152" t="s">
        <v>592</v>
      </c>
      <c r="E9" s="7" t="str">
        <f>_xlfn.XLOOKUP($D9,Tab_Def_Processes[Process_Name],Tab_Def_Processes[Process_Logic],,0,)</f>
        <v>DSM</v>
      </c>
      <c r="F9" s="7" t="str">
        <f>_xlfn.XLOOKUP($D9,Tab_Def_Processes[Process_Name],Tab_Def_Processes[TC_Configuration],,0,)</f>
        <v>Static</v>
      </c>
      <c r="G9" s="7" t="str">
        <f>_xlfn.XLOOKUP($D9,Tab_Def_Processes[Process_Name],Tab_Def_Processes[Stock_Configuration],,0,)</f>
        <v>Stock</v>
      </c>
      <c r="H9" s="7">
        <f>_xlfn.XLOOKUP(Tab_DSM[[#This Row],[Process_Name]],Tab_Def_Processes[Process_Name],Tab_Def_Processes[Nr. Outflows],,0,)</f>
        <v>2</v>
      </c>
      <c r="I9" s="152">
        <v>1</v>
      </c>
      <c r="J9" s="7" t="str">
        <f>_xlfn.XLOOKUP($I9,Tab_DSM_Category_ID[Category ID],Tab_DSM_Category_ID[DSM Material],,0,)</f>
        <v>DSM Material 1</v>
      </c>
      <c r="K9" s="152" t="s">
        <v>643</v>
      </c>
      <c r="L9" s="7" t="str">
        <f>Tab_DSM[[#This Row],[DSM_Parameter_type]]&amp;"_Cat_"&amp;Tab_DSM[[#This Row],[DSM_Category_Nr.]]</f>
        <v>DSM_Output_2_Flow_ID_Cat_1</v>
      </c>
      <c r="M9" s="8" t="s">
        <v>650</v>
      </c>
    </row>
    <row r="10" spans="1:13" x14ac:dyDescent="0.25">
      <c r="A10" s="156" t="b">
        <v>0</v>
      </c>
      <c r="B10" s="7">
        <f t="shared" si="0"/>
        <v>9</v>
      </c>
      <c r="C10" s="7" t="str">
        <f>_xlfn.XLOOKUP($D10,Tab_Def_Processes[Process_Name],Tab_Def_Processes[Process_ID],,0,)</f>
        <v>01</v>
      </c>
      <c r="D10" s="152" t="s">
        <v>592</v>
      </c>
      <c r="E10" s="7" t="str">
        <f>_xlfn.XLOOKUP($D10,Tab_Def_Processes[Process_Name],Tab_Def_Processes[Process_Logic],,0,)</f>
        <v>DSM</v>
      </c>
      <c r="F10" s="7" t="str">
        <f>_xlfn.XLOOKUP($D10,Tab_Def_Processes[Process_Name],Tab_Def_Processes[TC_Configuration],,0,)</f>
        <v>Static</v>
      </c>
      <c r="G10" s="7" t="str">
        <f>_xlfn.XLOOKUP($D10,Tab_Def_Processes[Process_Name],Tab_Def_Processes[Stock_Configuration],,0,)</f>
        <v>Stock</v>
      </c>
      <c r="H10" s="7">
        <f>_xlfn.XLOOKUP(Tab_DSM[[#This Row],[Process_Name]],Tab_Def_Processes[Process_Name],Tab_Def_Processes[Nr. Outflows],,0,)</f>
        <v>2</v>
      </c>
      <c r="I10" s="152">
        <v>1</v>
      </c>
      <c r="J10" s="7" t="str">
        <f>_xlfn.XLOOKUP($I10,Tab_DSM_Category_ID[Category ID],Tab_DSM_Category_ID[DSM Material],,0,)</f>
        <v>DSM Material 1</v>
      </c>
      <c r="K10" s="152" t="s">
        <v>645</v>
      </c>
      <c r="L10" s="7" t="str">
        <f>Tab_DSM[[#This Row],[DSM_Parameter_type]]&amp;"_Cat_"&amp;Tab_DSM[[#This Row],[DSM_Category_Nr.]]</f>
        <v>DSM_Output_2_Split_[%]_Cat_1</v>
      </c>
      <c r="M10" s="8" t="s">
        <v>653</v>
      </c>
    </row>
    <row r="11" spans="1:13" x14ac:dyDescent="0.25">
      <c r="A11" s="156" t="b">
        <v>0</v>
      </c>
      <c r="B11" s="7">
        <f t="shared" si="0"/>
        <v>10</v>
      </c>
      <c r="C11" s="7" t="str">
        <f>_xlfn.XLOOKUP($D11,Tab_Def_Processes[Process_Name],Tab_Def_Processes[Process_ID],,0,)</f>
        <v>01</v>
      </c>
      <c r="D11" s="152" t="s">
        <v>592</v>
      </c>
      <c r="E11" s="7" t="str">
        <f>_xlfn.XLOOKUP($D11,Tab_Def_Processes[Process_Name],Tab_Def_Processes[Process_Logic],,0,)</f>
        <v>DSM</v>
      </c>
      <c r="F11" s="7" t="str">
        <f>_xlfn.XLOOKUP($D11,Tab_Def_Processes[Process_Name],Tab_Def_Processes[TC_Configuration],,0,)</f>
        <v>Static</v>
      </c>
      <c r="G11" s="7" t="str">
        <f>_xlfn.XLOOKUP($D11,Tab_Def_Processes[Process_Name],Tab_Def_Processes[Stock_Configuration],,0,)</f>
        <v>Stock</v>
      </c>
      <c r="H11" s="7">
        <f>_xlfn.XLOOKUP(Tab_DSM[[#This Row],[Process_Name]],Tab_Def_Processes[Process_Name],Tab_Def_Processes[Nr. Outflows],,0,)</f>
        <v>2</v>
      </c>
      <c r="I11" s="152">
        <v>2</v>
      </c>
      <c r="J11" s="7" t="str">
        <f>_xlfn.XLOOKUP($I11,Tab_DSM_Category_ID[Category ID],Tab_DSM_Category_ID[DSM Material],,0,)</f>
        <v>DSM Material 2</v>
      </c>
      <c r="K11" s="152" t="s">
        <v>630</v>
      </c>
      <c r="L11" s="7" t="str">
        <f>Tab_DSM[[#This Row],[DSM_Parameter_type]]&amp;"_Cat_"&amp;Tab_DSM[[#This Row],[DSM_Category_Nr.]]</f>
        <v>DSM_Category_Name_Cat_2</v>
      </c>
      <c r="M11" s="8" t="s">
        <v>620</v>
      </c>
    </row>
    <row r="12" spans="1:13" x14ac:dyDescent="0.25">
      <c r="A12" s="156" t="b">
        <v>0</v>
      </c>
      <c r="B12" s="7">
        <f t="shared" si="0"/>
        <v>11</v>
      </c>
      <c r="C12" s="7" t="str">
        <f>_xlfn.XLOOKUP($D12,Tab_Def_Processes[Process_Name],Tab_Def_Processes[Process_ID],,0,)</f>
        <v>01</v>
      </c>
      <c r="D12" s="152" t="s">
        <v>592</v>
      </c>
      <c r="E12" s="7" t="str">
        <f>_xlfn.XLOOKUP($D12,Tab_Def_Processes[Process_Name],Tab_Def_Processes[Process_Logic],,0,)</f>
        <v>DSM</v>
      </c>
      <c r="F12" s="7" t="str">
        <f>_xlfn.XLOOKUP($D12,Tab_Def_Processes[Process_Name],Tab_Def_Processes[TC_Configuration],,0,)</f>
        <v>Static</v>
      </c>
      <c r="G12" s="7" t="str">
        <f>_xlfn.XLOOKUP($D12,Tab_Def_Processes[Process_Name],Tab_Def_Processes[Stock_Configuration],,0,)</f>
        <v>Stock</v>
      </c>
      <c r="H12" s="7">
        <f>_xlfn.XLOOKUP(Tab_DSM[[#This Row],[Process_Name]],Tab_Def_Processes[Process_Name],Tab_Def_Processes[Nr. Outflows],,0,)</f>
        <v>2</v>
      </c>
      <c r="I12" s="152">
        <v>2</v>
      </c>
      <c r="J12" s="7" t="str">
        <f>_xlfn.XLOOKUP($I12,Tab_DSM_Category_ID[Category ID],Tab_DSM_Category_ID[DSM Material],,0,)</f>
        <v>DSM Material 2</v>
      </c>
      <c r="K12" s="152" t="s">
        <v>631</v>
      </c>
      <c r="L12" s="7" t="str">
        <f>Tab_DSM[[#This Row],[DSM_Parameter_type]]&amp;"_Cat_"&amp;Tab_DSM[[#This Row],[DSM_Category_Nr.]]</f>
        <v>DSM_Inflow_Split_[%]_Cat_2</v>
      </c>
      <c r="M12" s="8" t="s">
        <v>652</v>
      </c>
    </row>
    <row r="13" spans="1:13" x14ac:dyDescent="0.25">
      <c r="A13" s="156" t="b">
        <v>0</v>
      </c>
      <c r="B13" s="7">
        <f t="shared" si="0"/>
        <v>12</v>
      </c>
      <c r="C13" s="7" t="str">
        <f>_xlfn.XLOOKUP($D13,Tab_Def_Processes[Process_Name],Tab_Def_Processes[Process_ID],,0,)</f>
        <v>01</v>
      </c>
      <c r="D13" s="152" t="s">
        <v>592</v>
      </c>
      <c r="E13" s="7" t="str">
        <f>_xlfn.XLOOKUP($D13,Tab_Def_Processes[Process_Name],Tab_Def_Processes[Process_Logic],,0,)</f>
        <v>DSM</v>
      </c>
      <c r="F13" s="7" t="str">
        <f>_xlfn.XLOOKUP($D13,Tab_Def_Processes[Process_Name],Tab_Def_Processes[TC_Configuration],,0,)</f>
        <v>Static</v>
      </c>
      <c r="G13" s="7" t="str">
        <f>_xlfn.XLOOKUP($D13,Tab_Def_Processes[Process_Name],Tab_Def_Processes[Stock_Configuration],,0,)</f>
        <v>Stock</v>
      </c>
      <c r="H13" s="7">
        <f>_xlfn.XLOOKUP(Tab_DSM[[#This Row],[Process_Name]],Tab_Def_Processes[Process_Name],Tab_Def_Processes[Nr. Outflows],,0,)</f>
        <v>2</v>
      </c>
      <c r="I13" s="152">
        <v>2</v>
      </c>
      <c r="J13" s="7" t="str">
        <f>_xlfn.XLOOKUP($I13,Tab_DSM_Category_ID[Category ID],Tab_DSM_Category_ID[DSM Material],,0,)</f>
        <v>DSM Material 2</v>
      </c>
      <c r="K13" s="152" t="s">
        <v>632</v>
      </c>
      <c r="L13" s="7" t="str">
        <f>Tab_DSM[[#This Row],[DSM_Parameter_type]]&amp;"_Cat_"&amp;Tab_DSM[[#This Row],[DSM_Category_Nr.]]</f>
        <v>DSM_Lifetime_Type_Cat_2</v>
      </c>
      <c r="M13" s="8" t="s">
        <v>639</v>
      </c>
    </row>
    <row r="14" spans="1:13" x14ac:dyDescent="0.25">
      <c r="A14" s="156" t="b">
        <v>0</v>
      </c>
      <c r="B14" s="7">
        <f t="shared" si="0"/>
        <v>13</v>
      </c>
      <c r="C14" s="7" t="str">
        <f>_xlfn.XLOOKUP($D14,Tab_Def_Processes[Process_Name],Tab_Def_Processes[Process_ID],,0,)</f>
        <v>01</v>
      </c>
      <c r="D14" s="152" t="s">
        <v>592</v>
      </c>
      <c r="E14" s="7" t="str">
        <f>_xlfn.XLOOKUP($D14,Tab_Def_Processes[Process_Name],Tab_Def_Processes[Process_Logic],,0,)</f>
        <v>DSM</v>
      </c>
      <c r="F14" s="7" t="str">
        <f>_xlfn.XLOOKUP($D14,Tab_Def_Processes[Process_Name],Tab_Def_Processes[TC_Configuration],,0,)</f>
        <v>Static</v>
      </c>
      <c r="G14" s="7" t="str">
        <f>_xlfn.XLOOKUP($D14,Tab_Def_Processes[Process_Name],Tab_Def_Processes[Stock_Configuration],,0,)</f>
        <v>Stock</v>
      </c>
      <c r="H14" s="7">
        <f>_xlfn.XLOOKUP(Tab_DSM[[#This Row],[Process_Name]],Tab_Def_Processes[Process_Name],Tab_Def_Processes[Nr. Outflows],,0,)</f>
        <v>2</v>
      </c>
      <c r="I14" s="152">
        <v>2</v>
      </c>
      <c r="J14" s="7" t="str">
        <f>_xlfn.XLOOKUP($I14,Tab_DSM_Category_ID[Category ID],Tab_DSM_Category_ID[DSM Material],,0,)</f>
        <v>DSM Material 2</v>
      </c>
      <c r="K14" s="152" t="s">
        <v>633</v>
      </c>
      <c r="L14" s="7" t="str">
        <f>Tab_DSM[[#This Row],[DSM_Parameter_type]]&amp;"_Cat_"&amp;Tab_DSM[[#This Row],[DSM_Category_Nr.]]</f>
        <v>DSM_Lifetime_Mean_Cat_2</v>
      </c>
      <c r="M14" s="8">
        <v>10</v>
      </c>
    </row>
    <row r="15" spans="1:13" x14ac:dyDescent="0.25">
      <c r="A15" s="156" t="b">
        <v>0</v>
      </c>
      <c r="B15" s="7">
        <f t="shared" si="0"/>
        <v>14</v>
      </c>
      <c r="C15" s="7" t="str">
        <f>_xlfn.XLOOKUP($D15,Tab_Def_Processes[Process_Name],Tab_Def_Processes[Process_ID],,0,)</f>
        <v>01</v>
      </c>
      <c r="D15" s="152" t="s">
        <v>592</v>
      </c>
      <c r="E15" s="7" t="str">
        <f>_xlfn.XLOOKUP($D15,Tab_Def_Processes[Process_Name],Tab_Def_Processes[Process_Logic],,0,)</f>
        <v>DSM</v>
      </c>
      <c r="F15" s="7" t="str">
        <f>_xlfn.XLOOKUP($D15,Tab_Def_Processes[Process_Name],Tab_Def_Processes[TC_Configuration],,0,)</f>
        <v>Static</v>
      </c>
      <c r="G15" s="7" t="str">
        <f>_xlfn.XLOOKUP($D15,Tab_Def_Processes[Process_Name],Tab_Def_Processes[Stock_Configuration],,0,)</f>
        <v>Stock</v>
      </c>
      <c r="H15" s="7">
        <f>_xlfn.XLOOKUP(Tab_DSM[[#This Row],[Process_Name]],Tab_Def_Processes[Process_Name],Tab_Def_Processes[Nr. Outflows],,0,)</f>
        <v>2</v>
      </c>
      <c r="I15" s="152">
        <v>2</v>
      </c>
      <c r="J15" s="7" t="str">
        <f>_xlfn.XLOOKUP($I15,Tab_DSM_Category_ID[Category ID],Tab_DSM_Category_ID[DSM Material],,0,)</f>
        <v>DSM Material 2</v>
      </c>
      <c r="K15" s="152" t="s">
        <v>634</v>
      </c>
      <c r="L15" s="7" t="str">
        <f>Tab_DSM[[#This Row],[DSM_Parameter_type]]&amp;"_Cat_"&amp;Tab_DSM[[#This Row],[DSM_Category_Nr.]]</f>
        <v>DSM_Lifetime_StdDev_Cat_2</v>
      </c>
      <c r="M15" s="8">
        <v>1</v>
      </c>
    </row>
    <row r="16" spans="1:13" x14ac:dyDescent="0.25">
      <c r="A16" s="156" t="b">
        <v>0</v>
      </c>
      <c r="B16" s="7">
        <f t="shared" si="0"/>
        <v>15</v>
      </c>
      <c r="C16" s="7" t="str">
        <f>_xlfn.XLOOKUP($D16,Tab_Def_Processes[Process_Name],Tab_Def_Processes[Process_ID],,0,)</f>
        <v>01</v>
      </c>
      <c r="D16" s="152" t="s">
        <v>592</v>
      </c>
      <c r="E16" s="7" t="str">
        <f>_xlfn.XLOOKUP($D16,Tab_Def_Processes[Process_Name],Tab_Def_Processes[Process_Logic],,0,)</f>
        <v>DSM</v>
      </c>
      <c r="F16" s="7" t="str">
        <f>_xlfn.XLOOKUP($D16,Tab_Def_Processes[Process_Name],Tab_Def_Processes[TC_Configuration],,0,)</f>
        <v>Static</v>
      </c>
      <c r="G16" s="7" t="str">
        <f>_xlfn.XLOOKUP($D16,Tab_Def_Processes[Process_Name],Tab_Def_Processes[Stock_Configuration],,0,)</f>
        <v>Stock</v>
      </c>
      <c r="H16" s="7">
        <f>_xlfn.XLOOKUP(Tab_DSM[[#This Row],[Process_Name]],Tab_Def_Processes[Process_Name],Tab_Def_Processes[Nr. Outflows],,0,)</f>
        <v>2</v>
      </c>
      <c r="I16" s="152">
        <v>2</v>
      </c>
      <c r="J16" s="7" t="str">
        <f>_xlfn.XLOOKUP($I16,Tab_DSM_Category_ID[Category ID],Tab_DSM_Category_ID[DSM Material],,0,)</f>
        <v>DSM Material 2</v>
      </c>
      <c r="K16" s="152" t="s">
        <v>640</v>
      </c>
      <c r="L16" s="7" t="str">
        <f>Tab_DSM[[#This Row],[DSM_Parameter_type]]&amp;"_Cat_"&amp;Tab_DSM[[#This Row],[DSM_Category_Nr.]]</f>
        <v>DSM_Output_1_Flow_ID_Cat_2</v>
      </c>
      <c r="M16" s="8" t="s">
        <v>649</v>
      </c>
    </row>
    <row r="17" spans="1:13" x14ac:dyDescent="0.25">
      <c r="A17" s="156" t="b">
        <v>0</v>
      </c>
      <c r="B17" s="7">
        <f t="shared" si="0"/>
        <v>16</v>
      </c>
      <c r="C17" s="7" t="str">
        <f>_xlfn.XLOOKUP($D17,Tab_Def_Processes[Process_Name],Tab_Def_Processes[Process_ID],,0,)</f>
        <v>01</v>
      </c>
      <c r="D17" s="152" t="s">
        <v>592</v>
      </c>
      <c r="E17" s="7" t="str">
        <f>_xlfn.XLOOKUP($D17,Tab_Def_Processes[Process_Name],Tab_Def_Processes[Process_Logic],,0,)</f>
        <v>DSM</v>
      </c>
      <c r="F17" s="7" t="str">
        <f>_xlfn.XLOOKUP($D17,Tab_Def_Processes[Process_Name],Tab_Def_Processes[TC_Configuration],,0,)</f>
        <v>Static</v>
      </c>
      <c r="G17" s="7" t="str">
        <f>_xlfn.XLOOKUP($D17,Tab_Def_Processes[Process_Name],Tab_Def_Processes[Stock_Configuration],,0,)</f>
        <v>Stock</v>
      </c>
      <c r="H17" s="7">
        <f>_xlfn.XLOOKUP(Tab_DSM[[#This Row],[Process_Name]],Tab_Def_Processes[Process_Name],Tab_Def_Processes[Nr. Outflows],,0,)</f>
        <v>2</v>
      </c>
      <c r="I17" s="152">
        <v>2</v>
      </c>
      <c r="J17" s="7" t="str">
        <f>_xlfn.XLOOKUP($I17,Tab_DSM_Category_ID[Category ID],Tab_DSM_Category_ID[DSM Material],,0,)</f>
        <v>DSM Material 2</v>
      </c>
      <c r="K17" s="152" t="s">
        <v>642</v>
      </c>
      <c r="L17" s="7" t="str">
        <f>Tab_DSM[[#This Row],[DSM_Parameter_type]]&amp;"_Cat_"&amp;Tab_DSM[[#This Row],[DSM_Category_Nr.]]</f>
        <v>DSM_Output_1_Split_[%]_Cat_2</v>
      </c>
      <c r="M17" s="8" t="s">
        <v>653</v>
      </c>
    </row>
    <row r="18" spans="1:13" x14ac:dyDescent="0.25">
      <c r="A18" s="156" t="b">
        <v>0</v>
      </c>
      <c r="B18" s="7">
        <f t="shared" si="0"/>
        <v>17</v>
      </c>
      <c r="C18" s="7" t="str">
        <f>_xlfn.XLOOKUP($D18,Tab_Def_Processes[Process_Name],Tab_Def_Processes[Process_ID],,0,)</f>
        <v>01</v>
      </c>
      <c r="D18" s="152" t="s">
        <v>592</v>
      </c>
      <c r="E18" s="7" t="str">
        <f>_xlfn.XLOOKUP($D18,Tab_Def_Processes[Process_Name],Tab_Def_Processes[Process_Logic],,0,)</f>
        <v>DSM</v>
      </c>
      <c r="F18" s="7" t="str">
        <f>_xlfn.XLOOKUP($D18,Tab_Def_Processes[Process_Name],Tab_Def_Processes[TC_Configuration],,0,)</f>
        <v>Static</v>
      </c>
      <c r="G18" s="7" t="str">
        <f>_xlfn.XLOOKUP($D18,Tab_Def_Processes[Process_Name],Tab_Def_Processes[Stock_Configuration],,0,)</f>
        <v>Stock</v>
      </c>
      <c r="H18" s="7">
        <f>_xlfn.XLOOKUP(Tab_DSM[[#This Row],[Process_Name]],Tab_Def_Processes[Process_Name],Tab_Def_Processes[Nr. Outflows],,0,)</f>
        <v>2</v>
      </c>
      <c r="I18" s="152">
        <v>2</v>
      </c>
      <c r="J18" s="7" t="str">
        <f>_xlfn.XLOOKUP($I18,Tab_DSM_Category_ID[Category ID],Tab_DSM_Category_ID[DSM Material],,0,)</f>
        <v>DSM Material 2</v>
      </c>
      <c r="K18" s="152" t="s">
        <v>643</v>
      </c>
      <c r="L18" s="7" t="str">
        <f>Tab_DSM[[#This Row],[DSM_Parameter_type]]&amp;"_Cat_"&amp;Tab_DSM[[#This Row],[DSM_Category_Nr.]]</f>
        <v>DSM_Output_2_Flow_ID_Cat_2</v>
      </c>
      <c r="M18" s="8" t="s">
        <v>650</v>
      </c>
    </row>
    <row r="19" spans="1:13" x14ac:dyDescent="0.25">
      <c r="A19" s="156" t="b">
        <v>0</v>
      </c>
      <c r="B19" s="7">
        <f t="shared" si="0"/>
        <v>18</v>
      </c>
      <c r="C19" s="7" t="str">
        <f>_xlfn.XLOOKUP($D19,Tab_Def_Processes[Process_Name],Tab_Def_Processes[Process_ID],,0,)</f>
        <v>01</v>
      </c>
      <c r="D19" s="152" t="s">
        <v>592</v>
      </c>
      <c r="E19" s="7" t="str">
        <f>_xlfn.XLOOKUP($D19,Tab_Def_Processes[Process_Name],Tab_Def_Processes[Process_Logic],,0,)</f>
        <v>DSM</v>
      </c>
      <c r="F19" s="7" t="str">
        <f>_xlfn.XLOOKUP($D19,Tab_Def_Processes[Process_Name],Tab_Def_Processes[TC_Configuration],,0,)</f>
        <v>Static</v>
      </c>
      <c r="G19" s="7" t="str">
        <f>_xlfn.XLOOKUP($D19,Tab_Def_Processes[Process_Name],Tab_Def_Processes[Stock_Configuration],,0,)</f>
        <v>Stock</v>
      </c>
      <c r="H19" s="7">
        <f>_xlfn.XLOOKUP(Tab_DSM[[#This Row],[Process_Name]],Tab_Def_Processes[Process_Name],Tab_Def_Processes[Nr. Outflows],,0,)</f>
        <v>2</v>
      </c>
      <c r="I19" s="152">
        <v>2</v>
      </c>
      <c r="J19" s="7" t="str">
        <f>_xlfn.XLOOKUP($I19,Tab_DSM_Category_ID[Category ID],Tab_DSM_Category_ID[DSM Material],,0,)</f>
        <v>DSM Material 2</v>
      </c>
      <c r="K19" s="152" t="s">
        <v>645</v>
      </c>
      <c r="L19" s="7" t="str">
        <f>Tab_DSM[[#This Row],[DSM_Parameter_type]]&amp;"_Cat_"&amp;Tab_DSM[[#This Row],[DSM_Category_Nr.]]</f>
        <v>DSM_Output_2_Split_[%]_Cat_2</v>
      </c>
      <c r="M19" s="8" t="s">
        <v>653</v>
      </c>
    </row>
    <row r="20" spans="1:13" x14ac:dyDescent="0.25">
      <c r="A20" s="156" t="b">
        <v>0</v>
      </c>
      <c r="B20" s="7">
        <f t="shared" si="0"/>
        <v>19</v>
      </c>
      <c r="C20" s="7" t="str">
        <f>_xlfn.XLOOKUP($D20,Tab_Def_Processes[Process_Name],Tab_Def_Processes[Process_ID],,0,)</f>
        <v>01</v>
      </c>
      <c r="D20" s="152" t="s">
        <v>592</v>
      </c>
      <c r="E20" s="7" t="str">
        <f>_xlfn.XLOOKUP($D20,Tab_Def_Processes[Process_Name],Tab_Def_Processes[Process_Logic],,0,)</f>
        <v>DSM</v>
      </c>
      <c r="F20" s="7" t="str">
        <f>_xlfn.XLOOKUP($D20,Tab_Def_Processes[Process_Name],Tab_Def_Processes[TC_Configuration],,0,)</f>
        <v>Static</v>
      </c>
      <c r="G20" s="7" t="str">
        <f>_xlfn.XLOOKUP($D20,Tab_Def_Processes[Process_Name],Tab_Def_Processes[Stock_Configuration],,0,)</f>
        <v>Stock</v>
      </c>
      <c r="H20" s="7">
        <f>_xlfn.XLOOKUP(Tab_DSM[[#This Row],[Process_Name]],Tab_Def_Processes[Process_Name],Tab_Def_Processes[Nr. Outflows],,0,)</f>
        <v>2</v>
      </c>
      <c r="I20" s="152">
        <v>3</v>
      </c>
      <c r="J20" s="7" t="str">
        <f>_xlfn.XLOOKUP($I20,Tab_DSM_Category_ID[Category ID],Tab_DSM_Category_ID[DSM Material],,0,)</f>
        <v>DSM Material 3</v>
      </c>
      <c r="K20" s="152" t="s">
        <v>630</v>
      </c>
      <c r="L20" s="7" t="str">
        <f>Tab_DSM[[#This Row],[DSM_Parameter_type]]&amp;"_Cat_"&amp;Tab_DSM[[#This Row],[DSM_Category_Nr.]]</f>
        <v>DSM_Category_Name_Cat_3</v>
      </c>
      <c r="M20" s="8" t="s">
        <v>651</v>
      </c>
    </row>
    <row r="21" spans="1:13" x14ac:dyDescent="0.25">
      <c r="A21" s="156" t="b">
        <v>0</v>
      </c>
      <c r="B21" s="7">
        <f t="shared" si="0"/>
        <v>20</v>
      </c>
      <c r="C21" s="7" t="str">
        <f>_xlfn.XLOOKUP($D21,Tab_Def_Processes[Process_Name],Tab_Def_Processes[Process_ID],,0,)</f>
        <v>01</v>
      </c>
      <c r="D21" s="152" t="s">
        <v>592</v>
      </c>
      <c r="E21" s="7" t="str">
        <f>_xlfn.XLOOKUP($D21,Tab_Def_Processes[Process_Name],Tab_Def_Processes[Process_Logic],,0,)</f>
        <v>DSM</v>
      </c>
      <c r="F21" s="7" t="str">
        <f>_xlfn.XLOOKUP($D21,Tab_Def_Processes[Process_Name],Tab_Def_Processes[TC_Configuration],,0,)</f>
        <v>Static</v>
      </c>
      <c r="G21" s="7" t="str">
        <f>_xlfn.XLOOKUP($D21,Tab_Def_Processes[Process_Name],Tab_Def_Processes[Stock_Configuration],,0,)</f>
        <v>Stock</v>
      </c>
      <c r="H21" s="7">
        <f>_xlfn.XLOOKUP(Tab_DSM[[#This Row],[Process_Name]],Tab_Def_Processes[Process_Name],Tab_Def_Processes[Nr. Outflows],,0,)</f>
        <v>2</v>
      </c>
      <c r="I21" s="152">
        <v>3</v>
      </c>
      <c r="J21" s="7" t="str">
        <f>_xlfn.XLOOKUP($I21,Tab_DSM_Category_ID[Category ID],Tab_DSM_Category_ID[DSM Material],,0,)</f>
        <v>DSM Material 3</v>
      </c>
      <c r="K21" s="152" t="s">
        <v>631</v>
      </c>
      <c r="L21" s="7" t="str">
        <f>Tab_DSM[[#This Row],[DSM_Parameter_type]]&amp;"_Cat_"&amp;Tab_DSM[[#This Row],[DSM_Category_Nr.]]</f>
        <v>DSM_Inflow_Split_[%]_Cat_3</v>
      </c>
      <c r="M21" s="8" t="s">
        <v>653</v>
      </c>
    </row>
    <row r="22" spans="1:13" x14ac:dyDescent="0.25">
      <c r="A22" s="156" t="b">
        <v>0</v>
      </c>
      <c r="B22" s="7">
        <f t="shared" si="0"/>
        <v>21</v>
      </c>
      <c r="C22" s="7" t="str">
        <f>_xlfn.XLOOKUP($D22,Tab_Def_Processes[Process_Name],Tab_Def_Processes[Process_ID],,0,)</f>
        <v>01</v>
      </c>
      <c r="D22" s="152" t="s">
        <v>592</v>
      </c>
      <c r="E22" s="7" t="str">
        <f>_xlfn.XLOOKUP($D22,Tab_Def_Processes[Process_Name],Tab_Def_Processes[Process_Logic],,0,)</f>
        <v>DSM</v>
      </c>
      <c r="F22" s="7" t="str">
        <f>_xlfn.XLOOKUP($D22,Tab_Def_Processes[Process_Name],Tab_Def_Processes[TC_Configuration],,0,)</f>
        <v>Static</v>
      </c>
      <c r="G22" s="7" t="str">
        <f>_xlfn.XLOOKUP($D22,Tab_Def_Processes[Process_Name],Tab_Def_Processes[Stock_Configuration],,0,)</f>
        <v>Stock</v>
      </c>
      <c r="H22" s="7">
        <f>_xlfn.XLOOKUP(Tab_DSM[[#This Row],[Process_Name]],Tab_Def_Processes[Process_Name],Tab_Def_Processes[Nr. Outflows],,0,)</f>
        <v>2</v>
      </c>
      <c r="I22" s="152">
        <v>3</v>
      </c>
      <c r="J22" s="7" t="str">
        <f>_xlfn.XLOOKUP($I22,Tab_DSM_Category_ID[Category ID],Tab_DSM_Category_ID[DSM Material],,0,)</f>
        <v>DSM Material 3</v>
      </c>
      <c r="K22" s="152" t="s">
        <v>632</v>
      </c>
      <c r="L22" s="7" t="str">
        <f>Tab_DSM[[#This Row],[DSM_Parameter_type]]&amp;"_Cat_"&amp;Tab_DSM[[#This Row],[DSM_Category_Nr.]]</f>
        <v>DSM_Lifetime_Type_Cat_3</v>
      </c>
      <c r="M22" s="8" t="s">
        <v>639</v>
      </c>
    </row>
    <row r="23" spans="1:13" x14ac:dyDescent="0.25">
      <c r="A23" s="156" t="b">
        <v>0</v>
      </c>
      <c r="B23" s="7">
        <f t="shared" si="0"/>
        <v>22</v>
      </c>
      <c r="C23" s="7" t="str">
        <f>_xlfn.XLOOKUP($D23,Tab_Def_Processes[Process_Name],Tab_Def_Processes[Process_ID],,0,)</f>
        <v>01</v>
      </c>
      <c r="D23" s="152" t="s">
        <v>592</v>
      </c>
      <c r="E23" s="7" t="str">
        <f>_xlfn.XLOOKUP($D23,Tab_Def_Processes[Process_Name],Tab_Def_Processes[Process_Logic],,0,)</f>
        <v>DSM</v>
      </c>
      <c r="F23" s="7" t="str">
        <f>_xlfn.XLOOKUP($D23,Tab_Def_Processes[Process_Name],Tab_Def_Processes[TC_Configuration],,0,)</f>
        <v>Static</v>
      </c>
      <c r="G23" s="7" t="str">
        <f>_xlfn.XLOOKUP($D23,Tab_Def_Processes[Process_Name],Tab_Def_Processes[Stock_Configuration],,0,)</f>
        <v>Stock</v>
      </c>
      <c r="H23" s="7">
        <f>_xlfn.XLOOKUP(Tab_DSM[[#This Row],[Process_Name]],Tab_Def_Processes[Process_Name],Tab_Def_Processes[Nr. Outflows],,0,)</f>
        <v>2</v>
      </c>
      <c r="I23" s="152">
        <v>3</v>
      </c>
      <c r="J23" s="7" t="str">
        <f>_xlfn.XLOOKUP($I23,Tab_DSM_Category_ID[Category ID],Tab_DSM_Category_ID[DSM Material],,0,)</f>
        <v>DSM Material 3</v>
      </c>
      <c r="K23" s="152" t="s">
        <v>633</v>
      </c>
      <c r="L23" s="7" t="str">
        <f>Tab_DSM[[#This Row],[DSM_Parameter_type]]&amp;"_Cat_"&amp;Tab_DSM[[#This Row],[DSM_Category_Nr.]]</f>
        <v>DSM_Lifetime_Mean_Cat_3</v>
      </c>
      <c r="M23" s="8">
        <v>10</v>
      </c>
    </row>
    <row r="24" spans="1:13" x14ac:dyDescent="0.25">
      <c r="A24" s="156" t="b">
        <v>0</v>
      </c>
      <c r="B24" s="7">
        <f t="shared" si="0"/>
        <v>23</v>
      </c>
      <c r="C24" s="7" t="str">
        <f>_xlfn.XLOOKUP($D24,Tab_Def_Processes[Process_Name],Tab_Def_Processes[Process_ID],,0,)</f>
        <v>01</v>
      </c>
      <c r="D24" s="152" t="s">
        <v>592</v>
      </c>
      <c r="E24" s="7" t="str">
        <f>_xlfn.XLOOKUP($D24,Tab_Def_Processes[Process_Name],Tab_Def_Processes[Process_Logic],,0,)</f>
        <v>DSM</v>
      </c>
      <c r="F24" s="7" t="str">
        <f>_xlfn.XLOOKUP($D24,Tab_Def_Processes[Process_Name],Tab_Def_Processes[TC_Configuration],,0,)</f>
        <v>Static</v>
      </c>
      <c r="G24" s="7" t="str">
        <f>_xlfn.XLOOKUP($D24,Tab_Def_Processes[Process_Name],Tab_Def_Processes[Stock_Configuration],,0,)</f>
        <v>Stock</v>
      </c>
      <c r="H24" s="7">
        <f>_xlfn.XLOOKUP(Tab_DSM[[#This Row],[Process_Name]],Tab_Def_Processes[Process_Name],Tab_Def_Processes[Nr. Outflows],,0,)</f>
        <v>2</v>
      </c>
      <c r="I24" s="152">
        <v>3</v>
      </c>
      <c r="J24" s="7" t="str">
        <f>_xlfn.XLOOKUP($I24,Tab_DSM_Category_ID[Category ID],Tab_DSM_Category_ID[DSM Material],,0,)</f>
        <v>DSM Material 3</v>
      </c>
      <c r="K24" s="152" t="s">
        <v>634</v>
      </c>
      <c r="L24" s="7" t="str">
        <f>Tab_DSM[[#This Row],[DSM_Parameter_type]]&amp;"_Cat_"&amp;Tab_DSM[[#This Row],[DSM_Category_Nr.]]</f>
        <v>DSM_Lifetime_StdDev_Cat_3</v>
      </c>
      <c r="M24" s="8">
        <v>1</v>
      </c>
    </row>
    <row r="25" spans="1:13" x14ac:dyDescent="0.25">
      <c r="A25" s="156" t="b">
        <v>0</v>
      </c>
      <c r="B25" s="7">
        <f t="shared" si="0"/>
        <v>24</v>
      </c>
      <c r="C25" s="7" t="str">
        <f>_xlfn.XLOOKUP($D25,Tab_Def_Processes[Process_Name],Tab_Def_Processes[Process_ID],,0,)</f>
        <v>01</v>
      </c>
      <c r="D25" s="152" t="s">
        <v>592</v>
      </c>
      <c r="E25" s="7" t="str">
        <f>_xlfn.XLOOKUP($D25,Tab_Def_Processes[Process_Name],Tab_Def_Processes[Process_Logic],,0,)</f>
        <v>DSM</v>
      </c>
      <c r="F25" s="7" t="str">
        <f>_xlfn.XLOOKUP($D25,Tab_Def_Processes[Process_Name],Tab_Def_Processes[TC_Configuration],,0,)</f>
        <v>Static</v>
      </c>
      <c r="G25" s="7" t="str">
        <f>_xlfn.XLOOKUP($D25,Tab_Def_Processes[Process_Name],Tab_Def_Processes[Stock_Configuration],,0,)</f>
        <v>Stock</v>
      </c>
      <c r="H25" s="7">
        <f>_xlfn.XLOOKUP(Tab_DSM[[#This Row],[Process_Name]],Tab_Def_Processes[Process_Name],Tab_Def_Processes[Nr. Outflows],,0,)</f>
        <v>2</v>
      </c>
      <c r="I25" s="152">
        <v>3</v>
      </c>
      <c r="J25" s="7" t="str">
        <f>_xlfn.XLOOKUP($I25,Tab_DSM_Category_ID[Category ID],Tab_DSM_Category_ID[DSM Material],,0,)</f>
        <v>DSM Material 3</v>
      </c>
      <c r="K25" s="152" t="s">
        <v>640</v>
      </c>
      <c r="L25" s="7" t="str">
        <f>Tab_DSM[[#This Row],[DSM_Parameter_type]]&amp;"_Cat_"&amp;Tab_DSM[[#This Row],[DSM_Category_Nr.]]</f>
        <v>DSM_Output_1_Flow_ID_Cat_3</v>
      </c>
      <c r="M25" s="8" t="s">
        <v>649</v>
      </c>
    </row>
    <row r="26" spans="1:13" x14ac:dyDescent="0.25">
      <c r="A26" s="156" t="b">
        <v>0</v>
      </c>
      <c r="B26" s="7">
        <f t="shared" si="0"/>
        <v>25</v>
      </c>
      <c r="C26" s="7" t="str">
        <f>_xlfn.XLOOKUP($D26,Tab_Def_Processes[Process_Name],Tab_Def_Processes[Process_ID],,0,)</f>
        <v>01</v>
      </c>
      <c r="D26" s="152" t="s">
        <v>592</v>
      </c>
      <c r="E26" s="7" t="str">
        <f>_xlfn.XLOOKUP($D26,Tab_Def_Processes[Process_Name],Tab_Def_Processes[Process_Logic],,0,)</f>
        <v>DSM</v>
      </c>
      <c r="F26" s="7" t="str">
        <f>_xlfn.XLOOKUP($D26,Tab_Def_Processes[Process_Name],Tab_Def_Processes[TC_Configuration],,0,)</f>
        <v>Static</v>
      </c>
      <c r="G26" s="7" t="str">
        <f>_xlfn.XLOOKUP($D26,Tab_Def_Processes[Process_Name],Tab_Def_Processes[Stock_Configuration],,0,)</f>
        <v>Stock</v>
      </c>
      <c r="H26" s="7">
        <f>_xlfn.XLOOKUP(Tab_DSM[[#This Row],[Process_Name]],Tab_Def_Processes[Process_Name],Tab_Def_Processes[Nr. Outflows],,0,)</f>
        <v>2</v>
      </c>
      <c r="I26" s="152">
        <v>3</v>
      </c>
      <c r="J26" s="7" t="str">
        <f>_xlfn.XLOOKUP($I26,Tab_DSM_Category_ID[Category ID],Tab_DSM_Category_ID[DSM Material],,0,)</f>
        <v>DSM Material 3</v>
      </c>
      <c r="K26" s="152" t="s">
        <v>642</v>
      </c>
      <c r="L26" s="7" t="str">
        <f>Tab_DSM[[#This Row],[DSM_Parameter_type]]&amp;"_Cat_"&amp;Tab_DSM[[#This Row],[DSM_Category_Nr.]]</f>
        <v>DSM_Output_1_Split_[%]_Cat_3</v>
      </c>
      <c r="M26" s="8" t="s">
        <v>653</v>
      </c>
    </row>
    <row r="27" spans="1:13" x14ac:dyDescent="0.25">
      <c r="A27" s="156" t="b">
        <v>0</v>
      </c>
      <c r="B27" s="7">
        <f t="shared" si="0"/>
        <v>26</v>
      </c>
      <c r="C27" s="7" t="str">
        <f>_xlfn.XLOOKUP($D27,Tab_Def_Processes[Process_Name],Tab_Def_Processes[Process_ID],,0,)</f>
        <v>01</v>
      </c>
      <c r="D27" s="152" t="s">
        <v>592</v>
      </c>
      <c r="E27" s="7" t="str">
        <f>_xlfn.XLOOKUP($D27,Tab_Def_Processes[Process_Name],Tab_Def_Processes[Process_Logic],,0,)</f>
        <v>DSM</v>
      </c>
      <c r="F27" s="7" t="str">
        <f>_xlfn.XLOOKUP($D27,Tab_Def_Processes[Process_Name],Tab_Def_Processes[TC_Configuration],,0,)</f>
        <v>Static</v>
      </c>
      <c r="G27" s="7" t="str">
        <f>_xlfn.XLOOKUP($D27,Tab_Def_Processes[Process_Name],Tab_Def_Processes[Stock_Configuration],,0,)</f>
        <v>Stock</v>
      </c>
      <c r="H27" s="7">
        <f>_xlfn.XLOOKUP(Tab_DSM[[#This Row],[Process_Name]],Tab_Def_Processes[Process_Name],Tab_Def_Processes[Nr. Outflows],,0,)</f>
        <v>2</v>
      </c>
      <c r="I27" s="152">
        <v>3</v>
      </c>
      <c r="J27" s="7" t="str">
        <f>_xlfn.XLOOKUP($I27,Tab_DSM_Category_ID[Category ID],Tab_DSM_Category_ID[DSM Material],,0,)</f>
        <v>DSM Material 3</v>
      </c>
      <c r="K27" s="152" t="s">
        <v>643</v>
      </c>
      <c r="L27" s="7" t="str">
        <f>Tab_DSM[[#This Row],[DSM_Parameter_type]]&amp;"_Cat_"&amp;Tab_DSM[[#This Row],[DSM_Category_Nr.]]</f>
        <v>DSM_Output_2_Flow_ID_Cat_3</v>
      </c>
      <c r="M27" s="8" t="s">
        <v>650</v>
      </c>
    </row>
    <row r="28" spans="1:13" x14ac:dyDescent="0.25">
      <c r="A28" s="156" t="b">
        <v>0</v>
      </c>
      <c r="B28" s="7">
        <f t="shared" si="0"/>
        <v>27</v>
      </c>
      <c r="C28" s="7" t="str">
        <f>_xlfn.XLOOKUP($D28,Tab_Def_Processes[Process_Name],Tab_Def_Processes[Process_ID],,0,)</f>
        <v>01</v>
      </c>
      <c r="D28" s="152" t="s">
        <v>592</v>
      </c>
      <c r="E28" s="7" t="str">
        <f>_xlfn.XLOOKUP($D28,Tab_Def_Processes[Process_Name],Tab_Def_Processes[Process_Logic],,0,)</f>
        <v>DSM</v>
      </c>
      <c r="F28" s="7" t="str">
        <f>_xlfn.XLOOKUP($D28,Tab_Def_Processes[Process_Name],Tab_Def_Processes[TC_Configuration],,0,)</f>
        <v>Static</v>
      </c>
      <c r="G28" s="7" t="str">
        <f>_xlfn.XLOOKUP($D28,Tab_Def_Processes[Process_Name],Tab_Def_Processes[Stock_Configuration],,0,)</f>
        <v>Stock</v>
      </c>
      <c r="H28" s="7">
        <f>_xlfn.XLOOKUP(Tab_DSM[[#This Row],[Process_Name]],Tab_Def_Processes[Process_Name],Tab_Def_Processes[Nr. Outflows],,0,)</f>
        <v>2</v>
      </c>
      <c r="I28" s="152">
        <v>3</v>
      </c>
      <c r="J28" s="7" t="str">
        <f>_xlfn.XLOOKUP($I28,Tab_DSM_Category_ID[Category ID],Tab_DSM_Category_ID[DSM Material],,0,)</f>
        <v>DSM Material 3</v>
      </c>
      <c r="K28" s="152" t="s">
        <v>645</v>
      </c>
      <c r="L28" s="7" t="str">
        <f>Tab_DSM[[#This Row],[DSM_Parameter_type]]&amp;"_Cat_"&amp;Tab_DSM[[#This Row],[DSM_Category_Nr.]]</f>
        <v>DSM_Output_2_Split_[%]_Cat_3</v>
      </c>
      <c r="M28" s="8" t="s">
        <v>653</v>
      </c>
    </row>
    <row r="29" spans="1:13" x14ac:dyDescent="0.25">
      <c r="A29" s="156" t="b">
        <v>0</v>
      </c>
      <c r="B29" s="7">
        <f t="shared" si="0"/>
        <v>28</v>
      </c>
      <c r="C29" s="7" t="e">
        <f>_xlfn.XLOOKUP($D29,Tab_Def_Processes[Process_Name],Tab_Def_Processes[Process_ID],,0,)</f>
        <v>#N/A</v>
      </c>
      <c r="D29" s="152" t="s">
        <v>30</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_xlfn.XLOOKUP(Tab_DSM[[#This Row],[Process_Name]],Tab_Def_Processes[Process_Name],Tab_Def_Processes[Nr. Outflows],,0,)</f>
        <v>#N/A</v>
      </c>
      <c r="I29" s="152"/>
      <c r="J29" s="7" t="e">
        <f>_xlfn.XLOOKUP($I29,Tab_DSM_Category_ID[Category ID],Tab_DSM_Category_ID[DSM Material],,0,)</f>
        <v>#N/A</v>
      </c>
      <c r="K29" s="152"/>
      <c r="L29" s="7" t="str">
        <f>Tab_DSM[[#This Row],[DSM_Parameter_type]]&amp;"_Cat_"&amp;Tab_DSM[[#This Row],[DSM_Category_Nr.]]</f>
        <v>_Cat_</v>
      </c>
      <c r="M29" s="8"/>
    </row>
    <row r="30" spans="1:13" x14ac:dyDescent="0.25">
      <c r="A30" s="156" t="b">
        <v>0</v>
      </c>
      <c r="B30" s="7">
        <f t="shared" si="0"/>
        <v>29</v>
      </c>
      <c r="C30" s="7" t="e">
        <f>_xlfn.XLOOKUP($D30,Tab_Def_Processes[Process_Name],Tab_Def_Processes[Process_ID],,0,)</f>
        <v>#N/A</v>
      </c>
      <c r="D30" s="152" t="s">
        <v>30</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_xlfn.XLOOKUP(Tab_DSM[[#This Row],[Process_Name]],Tab_Def_Processes[Process_Name],Tab_Def_Processes[Nr. Outflows],,0,)</f>
        <v>#N/A</v>
      </c>
      <c r="I30" s="152"/>
      <c r="J30" s="7" t="e">
        <f>_xlfn.XLOOKUP($I30,Tab_DSM_Category_ID[Category ID],Tab_DSM_Category_ID[DSM Material],,0,)</f>
        <v>#N/A</v>
      </c>
      <c r="K30" s="152"/>
      <c r="L30" s="7" t="str">
        <f>Tab_DSM[[#This Row],[DSM_Parameter_type]]&amp;"_Cat_"&amp;Tab_DSM[[#This Row],[DSM_Category_Nr.]]</f>
        <v>_Cat_</v>
      </c>
      <c r="M30" s="8"/>
    </row>
    <row r="31" spans="1:13" x14ac:dyDescent="0.25">
      <c r="A31" s="156" t="b">
        <v>0</v>
      </c>
      <c r="B31" s="7">
        <f t="shared" si="0"/>
        <v>30</v>
      </c>
      <c r="C31" s="7" t="e">
        <f>_xlfn.XLOOKUP($D31,Tab_Def_Processes[Process_Name],Tab_Def_Processes[Process_ID],,0,)</f>
        <v>#N/A</v>
      </c>
      <c r="D31" s="152" t="s">
        <v>30</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_xlfn.XLOOKUP(Tab_DSM[[#This Row],[Process_Name]],Tab_Def_Processes[Process_Name],Tab_Def_Processes[Nr. Outflows],,0,)</f>
        <v>#N/A</v>
      </c>
      <c r="I31" s="152"/>
      <c r="J31" s="7" t="e">
        <f>_xlfn.XLOOKUP($I31,Tab_DSM_Category_ID[Category ID],Tab_DSM_Category_ID[DSM Material],,0,)</f>
        <v>#N/A</v>
      </c>
      <c r="K31" s="152"/>
      <c r="L31" s="7" t="str">
        <f>Tab_DSM[[#This Row],[DSM_Parameter_type]]&amp;"_Cat_"&amp;Tab_DSM[[#This Row],[DSM_Category_Nr.]]</f>
        <v>_Cat_</v>
      </c>
      <c r="M31" s="8"/>
    </row>
    <row r="32" spans="1:13" x14ac:dyDescent="0.25">
      <c r="A32" s="156" t="b">
        <v>0</v>
      </c>
      <c r="B32" s="7">
        <f t="shared" si="0"/>
        <v>31</v>
      </c>
      <c r="C32" s="7" t="e">
        <f>_xlfn.XLOOKUP($D32,Tab_Def_Processes[Process_Name],Tab_Def_Processes[Process_ID],,0,)</f>
        <v>#N/A</v>
      </c>
      <c r="D32" s="152" t="s">
        <v>30</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_xlfn.XLOOKUP(Tab_DSM[[#This Row],[Process_Name]],Tab_Def_Processes[Process_Name],Tab_Def_Processes[Nr. Outflows],,0,)</f>
        <v>#N/A</v>
      </c>
      <c r="I32" s="152"/>
      <c r="J32" s="7" t="e">
        <f>_xlfn.XLOOKUP($I32,Tab_DSM_Category_ID[Category ID],Tab_DSM_Category_ID[DSM Material],,0,)</f>
        <v>#N/A</v>
      </c>
      <c r="K32" s="152"/>
      <c r="L32" s="7" t="str">
        <f>Tab_DSM[[#This Row],[DSM_Parameter_type]]&amp;"_Cat_"&amp;Tab_DSM[[#This Row],[DSM_Category_Nr.]]</f>
        <v>_Cat_</v>
      </c>
      <c r="M32" s="8"/>
    </row>
    <row r="33" spans="1:13" x14ac:dyDescent="0.25">
      <c r="A33" s="156" t="b">
        <v>0</v>
      </c>
      <c r="B33" s="7">
        <f t="shared" si="0"/>
        <v>32</v>
      </c>
      <c r="C33" s="7" t="e">
        <f>_xlfn.XLOOKUP($D33,Tab_Def_Processes[Process_Name],Tab_Def_Processes[Process_ID],,0,)</f>
        <v>#N/A</v>
      </c>
      <c r="D33" s="152" t="s">
        <v>30</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_xlfn.XLOOKUP(Tab_DSM[[#This Row],[Process_Name]],Tab_Def_Processes[Process_Name],Tab_Def_Processes[Nr. Outflows],,0,)</f>
        <v>#N/A</v>
      </c>
      <c r="I33" s="152"/>
      <c r="J33" s="7" t="e">
        <f>_xlfn.XLOOKUP($I33,Tab_DSM_Category_ID[Category ID],Tab_DSM_Category_ID[DSM Material],,0,)</f>
        <v>#N/A</v>
      </c>
      <c r="K33" s="152"/>
      <c r="L33" s="7" t="str">
        <f>Tab_DSM[[#This Row],[DSM_Parameter_type]]&amp;"_Cat_"&amp;Tab_DSM[[#This Row],[DSM_Category_Nr.]]</f>
        <v>_Cat_</v>
      </c>
      <c r="M33" s="8"/>
    </row>
    <row r="34" spans="1:13" x14ac:dyDescent="0.25">
      <c r="A34" s="156" t="b">
        <v>0</v>
      </c>
      <c r="B34" s="7">
        <f t="shared" si="0"/>
        <v>33</v>
      </c>
      <c r="C34" s="7" t="e">
        <f>_xlfn.XLOOKUP($D34,Tab_Def_Processes[Process_Name],Tab_Def_Processes[Process_ID],,0,)</f>
        <v>#N/A</v>
      </c>
      <c r="D34" s="152" t="s">
        <v>30</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_xlfn.XLOOKUP(Tab_DSM[[#This Row],[Process_Name]],Tab_Def_Processes[Process_Name],Tab_Def_Processes[Nr. Outflows],,0,)</f>
        <v>#N/A</v>
      </c>
      <c r="I34" s="152"/>
      <c r="J34" s="7" t="e">
        <f>_xlfn.XLOOKUP($I34,Tab_DSM_Category_ID[Category ID],Tab_DSM_Category_ID[DSM Material],,0,)</f>
        <v>#N/A</v>
      </c>
      <c r="K34" s="152"/>
      <c r="L34" s="7" t="str">
        <f>Tab_DSM[[#This Row],[DSM_Parameter_type]]&amp;"_Cat_"&amp;Tab_DSM[[#This Row],[DSM_Category_Nr.]]</f>
        <v>_Cat_</v>
      </c>
      <c r="M34" s="8"/>
    </row>
    <row r="35" spans="1:13" x14ac:dyDescent="0.25">
      <c r="A35" s="156" t="b">
        <v>0</v>
      </c>
      <c r="B35" s="7">
        <f t="shared" si="0"/>
        <v>34</v>
      </c>
      <c r="C35" s="7" t="e">
        <f>_xlfn.XLOOKUP($D35,Tab_Def_Processes[Process_Name],Tab_Def_Processes[Process_ID],,0,)</f>
        <v>#N/A</v>
      </c>
      <c r="D35" s="152" t="s">
        <v>30</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_xlfn.XLOOKUP(Tab_DSM[[#This Row],[Process_Name]],Tab_Def_Processes[Process_Name],Tab_Def_Processes[Nr. Outflows],,0,)</f>
        <v>#N/A</v>
      </c>
      <c r="I35" s="152"/>
      <c r="J35" s="7" t="e">
        <f>_xlfn.XLOOKUP($I35,Tab_DSM_Category_ID[Category ID],Tab_DSM_Category_ID[DSM Material],,0,)</f>
        <v>#N/A</v>
      </c>
      <c r="K35" s="152"/>
      <c r="L35" s="7" t="str">
        <f>Tab_DSM[[#This Row],[DSM_Parameter_type]]&amp;"_Cat_"&amp;Tab_DSM[[#This Row],[DSM_Category_Nr.]]</f>
        <v>_Cat_</v>
      </c>
      <c r="M35" s="8"/>
    </row>
    <row r="36" spans="1:13" x14ac:dyDescent="0.25">
      <c r="A36" s="156" t="b">
        <v>0</v>
      </c>
      <c r="B36" s="7">
        <f t="shared" si="0"/>
        <v>35</v>
      </c>
      <c r="C36" s="7" t="e">
        <f>_xlfn.XLOOKUP($D36,Tab_Def_Processes[Process_Name],Tab_Def_Processes[Process_ID],,0,)</f>
        <v>#N/A</v>
      </c>
      <c r="D36" s="152" t="s">
        <v>30</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_xlfn.XLOOKUP(Tab_DSM[[#This Row],[Process_Name]],Tab_Def_Processes[Process_Name],Tab_Def_Processes[Nr. Outflows],,0,)</f>
        <v>#N/A</v>
      </c>
      <c r="I36" s="152"/>
      <c r="J36" s="7" t="e">
        <f>_xlfn.XLOOKUP($I36,Tab_DSM_Category_ID[Category ID],Tab_DSM_Category_ID[DSM Material],,0,)</f>
        <v>#N/A</v>
      </c>
      <c r="K36" s="152"/>
      <c r="L36" s="7" t="str">
        <f>Tab_DSM[[#This Row],[DSM_Parameter_type]]&amp;"_Cat_"&amp;Tab_DSM[[#This Row],[DSM_Category_Nr.]]</f>
        <v>_Cat_</v>
      </c>
      <c r="M36" s="8"/>
    </row>
    <row r="37" spans="1:13" x14ac:dyDescent="0.25">
      <c r="A37" s="156" t="b">
        <v>0</v>
      </c>
      <c r="B37" s="7">
        <f t="shared" si="0"/>
        <v>36</v>
      </c>
      <c r="C37" s="7" t="e">
        <f>_xlfn.XLOOKUP($D37,Tab_Def_Processes[Process_Name],Tab_Def_Processes[Process_ID],,0,)</f>
        <v>#N/A</v>
      </c>
      <c r="D37" s="152" t="s">
        <v>30</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_xlfn.XLOOKUP(Tab_DSM[[#This Row],[Process_Name]],Tab_Def_Processes[Process_Name],Tab_Def_Processes[Nr. Outflows],,0,)</f>
        <v>#N/A</v>
      </c>
      <c r="I37" s="152"/>
      <c r="J37" s="7" t="e">
        <f>_xlfn.XLOOKUP($I37,Tab_DSM_Category_ID[Category ID],Tab_DSM_Category_ID[DSM Material],,0,)</f>
        <v>#N/A</v>
      </c>
      <c r="K37" s="152"/>
      <c r="L37" s="7" t="str">
        <f>Tab_DSM[[#This Row],[DSM_Parameter_type]]&amp;"_Cat_"&amp;Tab_DSM[[#This Row],[DSM_Category_Nr.]]</f>
        <v>_Cat_</v>
      </c>
      <c r="M37" s="8"/>
    </row>
    <row r="38" spans="1:13" x14ac:dyDescent="0.25">
      <c r="A38" s="156" t="b">
        <v>0</v>
      </c>
      <c r="B38" s="7">
        <f t="shared" si="0"/>
        <v>37</v>
      </c>
      <c r="C38" s="7" t="e">
        <f>_xlfn.XLOOKUP($D38,Tab_Def_Processes[Process_Name],Tab_Def_Processes[Process_ID],,0,)</f>
        <v>#N/A</v>
      </c>
      <c r="D38" s="152" t="s">
        <v>30</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_xlfn.XLOOKUP(Tab_DSM[[#This Row],[Process_Name]],Tab_Def_Processes[Process_Name],Tab_Def_Processes[Nr. Outflows],,0,)</f>
        <v>#N/A</v>
      </c>
      <c r="I38" s="152"/>
      <c r="J38" s="7" t="e">
        <f>_xlfn.XLOOKUP($I38,Tab_DSM_Category_ID[Category ID],Tab_DSM_Category_ID[DSM Material],,0,)</f>
        <v>#N/A</v>
      </c>
      <c r="K38" s="152"/>
      <c r="L38" s="7" t="str">
        <f>Tab_DSM[[#This Row],[DSM_Parameter_type]]&amp;"_Cat_"&amp;Tab_DSM[[#This Row],[DSM_Category_Nr.]]</f>
        <v>_Cat_</v>
      </c>
      <c r="M38" s="8"/>
    </row>
    <row r="39" spans="1:13" x14ac:dyDescent="0.25">
      <c r="A39" s="156" t="b">
        <v>0</v>
      </c>
      <c r="B39" s="7">
        <f t="shared" si="0"/>
        <v>38</v>
      </c>
      <c r="C39" s="7" t="e">
        <f>_xlfn.XLOOKUP($D39,Tab_Def_Processes[Process_Name],Tab_Def_Processes[Process_ID],,0,)</f>
        <v>#N/A</v>
      </c>
      <c r="D39" s="152" t="s">
        <v>30</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_xlfn.XLOOKUP(Tab_DSM[[#This Row],[Process_Name]],Tab_Def_Processes[Process_Name],Tab_Def_Processes[Nr. Outflows],,0,)</f>
        <v>#N/A</v>
      </c>
      <c r="I39" s="152"/>
      <c r="J39" s="7" t="e">
        <f>_xlfn.XLOOKUP($I39,Tab_DSM_Category_ID[Category ID],Tab_DSM_Category_ID[DSM Material],,0,)</f>
        <v>#N/A</v>
      </c>
      <c r="K39" s="152"/>
      <c r="L39" s="7" t="str">
        <f>Tab_DSM[[#This Row],[DSM_Parameter_type]]&amp;"_Cat_"&amp;Tab_DSM[[#This Row],[DSM_Category_Nr.]]</f>
        <v>_Cat_</v>
      </c>
      <c r="M39" s="8"/>
    </row>
    <row r="40" spans="1:13" x14ac:dyDescent="0.25">
      <c r="A40" s="156" t="b">
        <v>0</v>
      </c>
      <c r="B40" s="7">
        <f t="shared" si="0"/>
        <v>39</v>
      </c>
      <c r="C40" s="7" t="e">
        <f>_xlfn.XLOOKUP($D40,Tab_Def_Processes[Process_Name],Tab_Def_Processes[Process_ID],,0,)</f>
        <v>#N/A</v>
      </c>
      <c r="D40" s="152" t="s">
        <v>30</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_xlfn.XLOOKUP(Tab_DSM[[#This Row],[Process_Name]],Tab_Def_Processes[Process_Name],Tab_Def_Processes[Nr. Outflows],,0,)</f>
        <v>#N/A</v>
      </c>
      <c r="I40" s="152"/>
      <c r="J40" s="7" t="e">
        <f>_xlfn.XLOOKUP($I40,Tab_DSM_Category_ID[Category ID],Tab_DSM_Category_ID[DSM Material],,0,)</f>
        <v>#N/A</v>
      </c>
      <c r="K40" s="152"/>
      <c r="L40" s="7" t="str">
        <f>Tab_DSM[[#This Row],[DSM_Parameter_type]]&amp;"_Cat_"&amp;Tab_DSM[[#This Row],[DSM_Category_Nr.]]</f>
        <v>_Cat_</v>
      </c>
      <c r="M40" s="8"/>
    </row>
    <row r="41" spans="1:13" x14ac:dyDescent="0.25">
      <c r="A41" s="156" t="b">
        <v>0</v>
      </c>
      <c r="B41" s="7">
        <f t="shared" si="0"/>
        <v>40</v>
      </c>
      <c r="C41" s="7" t="e">
        <f>_xlfn.XLOOKUP($D41,Tab_Def_Processes[Process_Name],Tab_Def_Processes[Process_ID],,0,)</f>
        <v>#N/A</v>
      </c>
      <c r="D41" s="152" t="s">
        <v>30</v>
      </c>
      <c r="E41" s="7" t="e">
        <f>_xlfn.XLOOKUP($D41,Tab_Def_Processes[Process_Name],Tab_Def_Processes[Process_Logic],,0,)</f>
        <v>#N/A</v>
      </c>
      <c r="F41" s="7" t="e">
        <f>_xlfn.XLOOKUP($D41,Tab_Def_Processes[Process_Name],Tab_Def_Processes[TC_Configuration],,0,)</f>
        <v>#N/A</v>
      </c>
      <c r="G41" s="7" t="e">
        <f>_xlfn.XLOOKUP($D41,Tab_Def_Processes[Process_Name],Tab_Def_Processes[Stock_Configuration],,0,)</f>
        <v>#N/A</v>
      </c>
      <c r="H41" s="7" t="e">
        <f>_xlfn.XLOOKUP(Tab_DSM[[#This Row],[Process_Name]],Tab_Def_Processes[Process_Name],Tab_Def_Processes[Nr. Outflows],,0,)</f>
        <v>#N/A</v>
      </c>
      <c r="I41" s="152"/>
      <c r="J41" s="7" t="e">
        <f>_xlfn.XLOOKUP($I41,Tab_DSM_Category_ID[Category ID],Tab_DSM_Category_ID[DSM Material],,0,)</f>
        <v>#N/A</v>
      </c>
      <c r="K41" s="152"/>
      <c r="L41" s="7" t="str">
        <f>Tab_DSM[[#This Row],[DSM_Parameter_type]]&amp;"_Cat_"&amp;Tab_DSM[[#This Row],[DSM_Category_Nr.]]</f>
        <v>_Cat_</v>
      </c>
      <c r="M41" s="8"/>
    </row>
    <row r="42" spans="1:13" x14ac:dyDescent="0.25">
      <c r="A42" s="156" t="b">
        <v>0</v>
      </c>
      <c r="B42" s="7">
        <f t="shared" si="0"/>
        <v>41</v>
      </c>
      <c r="C42" s="7" t="e">
        <f>_xlfn.XLOOKUP($D42,Tab_Def_Processes[Process_Name],Tab_Def_Processes[Process_ID],,0,)</f>
        <v>#N/A</v>
      </c>
      <c r="D42" s="152" t="s">
        <v>30</v>
      </c>
      <c r="E42" s="7" t="e">
        <f>_xlfn.XLOOKUP($D42,Tab_Def_Processes[Process_Name],Tab_Def_Processes[Process_Logic],,0,)</f>
        <v>#N/A</v>
      </c>
      <c r="F42" s="7" t="e">
        <f>_xlfn.XLOOKUP($D42,Tab_Def_Processes[Process_Name],Tab_Def_Processes[TC_Configuration],,0,)</f>
        <v>#N/A</v>
      </c>
      <c r="G42" s="7" t="e">
        <f>_xlfn.XLOOKUP($D42,Tab_Def_Processes[Process_Name],Tab_Def_Processes[Stock_Configuration],,0,)</f>
        <v>#N/A</v>
      </c>
      <c r="H42" s="7" t="e">
        <f>_xlfn.XLOOKUP(Tab_DSM[[#This Row],[Process_Name]],Tab_Def_Processes[Process_Name],Tab_Def_Processes[Nr. Outflows],,0,)</f>
        <v>#N/A</v>
      </c>
      <c r="I42" s="152"/>
      <c r="J42" s="7" t="e">
        <f>_xlfn.XLOOKUP($I42,Tab_DSM_Category_ID[Category ID],Tab_DSM_Category_ID[DSM Material],,0,)</f>
        <v>#N/A</v>
      </c>
      <c r="K42" s="152"/>
      <c r="L42" s="7" t="str">
        <f>Tab_DSM[[#This Row],[DSM_Parameter_type]]&amp;"_Cat_"&amp;Tab_DSM[[#This Row],[DSM_Category_Nr.]]</f>
        <v>_Cat_</v>
      </c>
      <c r="M42" s="8"/>
    </row>
    <row r="43" spans="1:13" x14ac:dyDescent="0.25">
      <c r="A43" s="156" t="b">
        <v>0</v>
      </c>
      <c r="B43" s="7">
        <f t="shared" si="0"/>
        <v>42</v>
      </c>
      <c r="C43" s="7" t="e">
        <f>_xlfn.XLOOKUP($D43,Tab_Def_Processes[Process_Name],Tab_Def_Processes[Process_ID],,0,)</f>
        <v>#N/A</v>
      </c>
      <c r="D43" s="152" t="s">
        <v>30</v>
      </c>
      <c r="E43" s="7" t="e">
        <f>_xlfn.XLOOKUP($D43,Tab_Def_Processes[Process_Name],Tab_Def_Processes[Process_Logic],,0,)</f>
        <v>#N/A</v>
      </c>
      <c r="F43" s="7" t="e">
        <f>_xlfn.XLOOKUP($D43,Tab_Def_Processes[Process_Name],Tab_Def_Processes[TC_Configuration],,0,)</f>
        <v>#N/A</v>
      </c>
      <c r="G43" s="7" t="e">
        <f>_xlfn.XLOOKUP($D43,Tab_Def_Processes[Process_Name],Tab_Def_Processes[Stock_Configuration],,0,)</f>
        <v>#N/A</v>
      </c>
      <c r="H43" s="7" t="e">
        <f>_xlfn.XLOOKUP(Tab_DSM[[#This Row],[Process_Name]],Tab_Def_Processes[Process_Name],Tab_Def_Processes[Nr. Outflows],,0,)</f>
        <v>#N/A</v>
      </c>
      <c r="I43" s="152"/>
      <c r="J43" s="7" t="e">
        <f>_xlfn.XLOOKUP($I43,Tab_DSM_Category_ID[Category ID],Tab_DSM_Category_ID[DSM Material],,0,)</f>
        <v>#N/A</v>
      </c>
      <c r="K43" s="152"/>
      <c r="L43" s="7" t="str">
        <f>Tab_DSM[[#This Row],[DSM_Parameter_type]]&amp;"_Cat_"&amp;Tab_DSM[[#This Row],[DSM_Category_Nr.]]</f>
        <v>_Cat_</v>
      </c>
      <c r="M43" s="8"/>
    </row>
    <row r="44" spans="1:13" x14ac:dyDescent="0.25">
      <c r="A44" s="156" t="b">
        <v>0</v>
      </c>
      <c r="B44" s="7">
        <f t="shared" si="0"/>
        <v>43</v>
      </c>
      <c r="C44" s="7" t="e">
        <f>_xlfn.XLOOKUP($D44,Tab_Def_Processes[Process_Name],Tab_Def_Processes[Process_ID],,0,)</f>
        <v>#N/A</v>
      </c>
      <c r="D44" s="152" t="s">
        <v>30</v>
      </c>
      <c r="E44" s="7" t="e">
        <f>_xlfn.XLOOKUP($D44,Tab_Def_Processes[Process_Name],Tab_Def_Processes[Process_Logic],,0,)</f>
        <v>#N/A</v>
      </c>
      <c r="F44" s="7" t="e">
        <f>_xlfn.XLOOKUP($D44,Tab_Def_Processes[Process_Name],Tab_Def_Processes[TC_Configuration],,0,)</f>
        <v>#N/A</v>
      </c>
      <c r="G44" s="7" t="e">
        <f>_xlfn.XLOOKUP($D44,Tab_Def_Processes[Process_Name],Tab_Def_Processes[Stock_Configuration],,0,)</f>
        <v>#N/A</v>
      </c>
      <c r="H44" s="7" t="e">
        <f>_xlfn.XLOOKUP(Tab_DSM[[#This Row],[Process_Name]],Tab_Def_Processes[Process_Name],Tab_Def_Processes[Nr. Outflows],,0,)</f>
        <v>#N/A</v>
      </c>
      <c r="I44" s="152"/>
      <c r="J44" s="7" t="e">
        <f>_xlfn.XLOOKUP($I44,Tab_DSM_Category_ID[Category ID],Tab_DSM_Category_ID[DSM Material],,0,)</f>
        <v>#N/A</v>
      </c>
      <c r="K44" s="152"/>
      <c r="L44" s="7" t="str">
        <f>Tab_DSM[[#This Row],[DSM_Parameter_type]]&amp;"_Cat_"&amp;Tab_DSM[[#This Row],[DSM_Category_Nr.]]</f>
        <v>_Cat_</v>
      </c>
      <c r="M44" s="8"/>
    </row>
    <row r="45" spans="1:13" x14ac:dyDescent="0.25">
      <c r="A45" s="156" t="b">
        <v>0</v>
      </c>
      <c r="B45" s="7">
        <f t="shared" si="0"/>
        <v>44</v>
      </c>
      <c r="C45" s="7" t="e">
        <f>_xlfn.XLOOKUP($D45,Tab_Def_Processes[Process_Name],Tab_Def_Processes[Process_ID],,0,)</f>
        <v>#N/A</v>
      </c>
      <c r="D45" s="152" t="s">
        <v>30</v>
      </c>
      <c r="E45" s="7" t="e">
        <f>_xlfn.XLOOKUP($D45,Tab_Def_Processes[Process_Name],Tab_Def_Processes[Process_Logic],,0,)</f>
        <v>#N/A</v>
      </c>
      <c r="F45" s="7" t="e">
        <f>_xlfn.XLOOKUP($D45,Tab_Def_Processes[Process_Name],Tab_Def_Processes[TC_Configuration],,0,)</f>
        <v>#N/A</v>
      </c>
      <c r="G45" s="7" t="e">
        <f>_xlfn.XLOOKUP($D45,Tab_Def_Processes[Process_Name],Tab_Def_Processes[Stock_Configuration],,0,)</f>
        <v>#N/A</v>
      </c>
      <c r="H45" s="7" t="e">
        <f>_xlfn.XLOOKUP(Tab_DSM[[#This Row],[Process_Name]],Tab_Def_Processes[Process_Name],Tab_Def_Processes[Nr. Outflows],,0,)</f>
        <v>#N/A</v>
      </c>
      <c r="I45" s="152"/>
      <c r="J45" s="7" t="e">
        <f>_xlfn.XLOOKUP($I45,Tab_DSM_Category_ID[Category ID],Tab_DSM_Category_ID[DSM Material],,0,)</f>
        <v>#N/A</v>
      </c>
      <c r="K45" s="152"/>
      <c r="L45" s="7" t="str">
        <f>Tab_DSM[[#This Row],[DSM_Parameter_type]]&amp;"_Cat_"&amp;Tab_DSM[[#This Row],[DSM_Category_Nr.]]</f>
        <v>_Cat_</v>
      </c>
      <c r="M45" s="8"/>
    </row>
    <row r="46" spans="1:13" x14ac:dyDescent="0.25">
      <c r="A46" s="156" t="b">
        <v>0</v>
      </c>
      <c r="B46" s="7">
        <f t="shared" si="0"/>
        <v>45</v>
      </c>
      <c r="C46" s="7" t="e">
        <f>_xlfn.XLOOKUP($D46,Tab_Def_Processes[Process_Name],Tab_Def_Processes[Process_ID],,0,)</f>
        <v>#N/A</v>
      </c>
      <c r="D46" s="152" t="s">
        <v>30</v>
      </c>
      <c r="E46" s="7" t="e">
        <f>_xlfn.XLOOKUP($D46,Tab_Def_Processes[Process_Name],Tab_Def_Processes[Process_Logic],,0,)</f>
        <v>#N/A</v>
      </c>
      <c r="F46" s="7" t="e">
        <f>_xlfn.XLOOKUP($D46,Tab_Def_Processes[Process_Name],Tab_Def_Processes[TC_Configuration],,0,)</f>
        <v>#N/A</v>
      </c>
      <c r="G46" s="7" t="e">
        <f>_xlfn.XLOOKUP($D46,Tab_Def_Processes[Process_Name],Tab_Def_Processes[Stock_Configuration],,0,)</f>
        <v>#N/A</v>
      </c>
      <c r="H46" s="7" t="e">
        <f>_xlfn.XLOOKUP(Tab_DSM[[#This Row],[Process_Name]],Tab_Def_Processes[Process_Name],Tab_Def_Processes[Nr. Outflows],,0,)</f>
        <v>#N/A</v>
      </c>
      <c r="I46" s="152"/>
      <c r="J46" s="7" t="e">
        <f>_xlfn.XLOOKUP($I46,Tab_DSM_Category_ID[Category ID],Tab_DSM_Category_ID[DSM Material],,0,)</f>
        <v>#N/A</v>
      </c>
      <c r="K46" s="152"/>
      <c r="L46" s="7" t="str">
        <f>Tab_DSM[[#This Row],[DSM_Parameter_type]]&amp;"_Cat_"&amp;Tab_DSM[[#This Row],[DSM_Category_Nr.]]</f>
        <v>_Cat_</v>
      </c>
      <c r="M46" s="8"/>
    </row>
    <row r="47" spans="1:13" x14ac:dyDescent="0.25">
      <c r="A47" s="156" t="b">
        <v>0</v>
      </c>
      <c r="B47" s="7">
        <f t="shared" si="0"/>
        <v>46</v>
      </c>
      <c r="C47" s="7" t="e">
        <f>_xlfn.XLOOKUP($D47,Tab_Def_Processes[Process_Name],Tab_Def_Processes[Process_ID],,0,)</f>
        <v>#N/A</v>
      </c>
      <c r="D47" s="152" t="s">
        <v>30</v>
      </c>
      <c r="E47" s="7" t="e">
        <f>_xlfn.XLOOKUP($D47,Tab_Def_Processes[Process_Name],Tab_Def_Processes[Process_Logic],,0,)</f>
        <v>#N/A</v>
      </c>
      <c r="F47" s="7" t="e">
        <f>_xlfn.XLOOKUP($D47,Tab_Def_Processes[Process_Name],Tab_Def_Processes[TC_Configuration],,0,)</f>
        <v>#N/A</v>
      </c>
      <c r="G47" s="7" t="e">
        <f>_xlfn.XLOOKUP($D47,Tab_Def_Processes[Process_Name],Tab_Def_Processes[Stock_Configuration],,0,)</f>
        <v>#N/A</v>
      </c>
      <c r="H47" s="7" t="e">
        <f>_xlfn.XLOOKUP(Tab_DSM[[#This Row],[Process_Name]],Tab_Def_Processes[Process_Name],Tab_Def_Processes[Nr. Outflows],,0,)</f>
        <v>#N/A</v>
      </c>
      <c r="I47" s="152"/>
      <c r="J47" s="7" t="e">
        <f>_xlfn.XLOOKUP($I47,Tab_DSM_Category_ID[Category ID],Tab_DSM_Category_ID[DSM Material],,0,)</f>
        <v>#N/A</v>
      </c>
      <c r="K47" s="152"/>
      <c r="L47" s="7" t="str">
        <f>Tab_DSM[[#This Row],[DSM_Parameter_type]]&amp;"_Cat_"&amp;Tab_DSM[[#This Row],[DSM_Category_Nr.]]</f>
        <v>_Cat_</v>
      </c>
      <c r="M47" s="8"/>
    </row>
    <row r="48" spans="1:13" x14ac:dyDescent="0.25">
      <c r="A48" s="156" t="b">
        <v>0</v>
      </c>
      <c r="B48" s="7">
        <f t="shared" si="0"/>
        <v>47</v>
      </c>
      <c r="C48" s="7" t="e">
        <f>_xlfn.XLOOKUP($D48,Tab_Def_Processes[Process_Name],Tab_Def_Processes[Process_ID],,0,)</f>
        <v>#N/A</v>
      </c>
      <c r="D48" s="152" t="s">
        <v>30</v>
      </c>
      <c r="E48" s="7" t="e">
        <f>_xlfn.XLOOKUP($D48,Tab_Def_Processes[Process_Name],Tab_Def_Processes[Process_Logic],,0,)</f>
        <v>#N/A</v>
      </c>
      <c r="F48" s="7" t="e">
        <f>_xlfn.XLOOKUP($D48,Tab_Def_Processes[Process_Name],Tab_Def_Processes[TC_Configuration],,0,)</f>
        <v>#N/A</v>
      </c>
      <c r="G48" s="7" t="e">
        <f>_xlfn.XLOOKUP($D48,Tab_Def_Processes[Process_Name],Tab_Def_Processes[Stock_Configuration],,0,)</f>
        <v>#N/A</v>
      </c>
      <c r="H48" s="7" t="e">
        <f>_xlfn.XLOOKUP(Tab_DSM[[#This Row],[Process_Name]],Tab_Def_Processes[Process_Name],Tab_Def_Processes[Nr. Outflows],,0,)</f>
        <v>#N/A</v>
      </c>
      <c r="I48" s="152"/>
      <c r="J48" s="7" t="e">
        <f>_xlfn.XLOOKUP($I48,Tab_DSM_Category_ID[Category ID],Tab_DSM_Category_ID[DSM Material],,0,)</f>
        <v>#N/A</v>
      </c>
      <c r="K48" s="152"/>
      <c r="L48" s="7" t="str">
        <f>Tab_DSM[[#This Row],[DSM_Parameter_type]]&amp;"_Cat_"&amp;Tab_DSM[[#This Row],[DSM_Category_Nr.]]</f>
        <v>_Cat_</v>
      </c>
      <c r="M48" s="8"/>
    </row>
    <row r="49" spans="1:13" x14ac:dyDescent="0.25">
      <c r="A49" s="156" t="b">
        <v>0</v>
      </c>
      <c r="B49" s="7">
        <f t="shared" si="0"/>
        <v>48</v>
      </c>
      <c r="C49" s="7" t="e">
        <f>_xlfn.XLOOKUP($D49,Tab_Def_Processes[Process_Name],Tab_Def_Processes[Process_ID],,0,)</f>
        <v>#N/A</v>
      </c>
      <c r="D49" s="152" t="s">
        <v>30</v>
      </c>
      <c r="E49" s="7" t="e">
        <f>_xlfn.XLOOKUP($D49,Tab_Def_Processes[Process_Name],Tab_Def_Processes[Process_Logic],,0,)</f>
        <v>#N/A</v>
      </c>
      <c r="F49" s="7" t="e">
        <f>_xlfn.XLOOKUP($D49,Tab_Def_Processes[Process_Name],Tab_Def_Processes[TC_Configuration],,0,)</f>
        <v>#N/A</v>
      </c>
      <c r="G49" s="7" t="e">
        <f>_xlfn.XLOOKUP($D49,Tab_Def_Processes[Process_Name],Tab_Def_Processes[Stock_Configuration],,0,)</f>
        <v>#N/A</v>
      </c>
      <c r="H49" s="7" t="e">
        <f>_xlfn.XLOOKUP(Tab_DSM[[#This Row],[Process_Name]],Tab_Def_Processes[Process_Name],Tab_Def_Processes[Nr. Outflows],,0,)</f>
        <v>#N/A</v>
      </c>
      <c r="I49" s="152"/>
      <c r="J49" s="7" t="e">
        <f>_xlfn.XLOOKUP($I49,Tab_DSM_Category_ID[Category ID],Tab_DSM_Category_ID[DSM Material],,0,)</f>
        <v>#N/A</v>
      </c>
      <c r="K49" s="152"/>
      <c r="L49" s="7" t="str">
        <f>Tab_DSM[[#This Row],[DSM_Parameter_type]]&amp;"_Cat_"&amp;Tab_DSM[[#This Row],[DSM_Category_Nr.]]</f>
        <v>_Cat_</v>
      </c>
      <c r="M49" s="8"/>
    </row>
    <row r="50" spans="1:13" x14ac:dyDescent="0.25">
      <c r="A50" s="156" t="b">
        <v>0</v>
      </c>
      <c r="B50" s="7">
        <f t="shared" si="0"/>
        <v>49</v>
      </c>
      <c r="C50" s="7" t="e">
        <f>_xlfn.XLOOKUP($D50,Tab_Def_Processes[Process_Name],Tab_Def_Processes[Process_ID],,0,)</f>
        <v>#N/A</v>
      </c>
      <c r="D50" s="152" t="s">
        <v>30</v>
      </c>
      <c r="E50" s="7" t="e">
        <f>_xlfn.XLOOKUP($D50,Tab_Def_Processes[Process_Name],Tab_Def_Processes[Process_Logic],,0,)</f>
        <v>#N/A</v>
      </c>
      <c r="F50" s="7" t="e">
        <f>_xlfn.XLOOKUP($D50,Tab_Def_Processes[Process_Name],Tab_Def_Processes[TC_Configuration],,0,)</f>
        <v>#N/A</v>
      </c>
      <c r="G50" s="7" t="e">
        <f>_xlfn.XLOOKUP($D50,Tab_Def_Processes[Process_Name],Tab_Def_Processes[Stock_Configuration],,0,)</f>
        <v>#N/A</v>
      </c>
      <c r="H50" s="7" t="e">
        <f>_xlfn.XLOOKUP(Tab_DSM[[#This Row],[Process_Name]],Tab_Def_Processes[Process_Name],Tab_Def_Processes[Nr. Outflows],,0,)</f>
        <v>#N/A</v>
      </c>
      <c r="I50" s="152"/>
      <c r="J50" s="7" t="e">
        <f>_xlfn.XLOOKUP($I50,Tab_DSM_Category_ID[Category ID],Tab_DSM_Category_ID[DSM Material],,0,)</f>
        <v>#N/A</v>
      </c>
      <c r="K50" s="152"/>
      <c r="L50" s="7" t="str">
        <f>Tab_DSM[[#This Row],[DSM_Parameter_type]]&amp;"_Cat_"&amp;Tab_DSM[[#This Row],[DSM_Category_Nr.]]</f>
        <v>_Cat_</v>
      </c>
      <c r="M50" s="8"/>
    </row>
    <row r="51" spans="1:13" x14ac:dyDescent="0.25">
      <c r="A51" s="156" t="b">
        <v>0</v>
      </c>
      <c r="B51" s="148">
        <f t="shared" si="0"/>
        <v>50</v>
      </c>
      <c r="C51" s="148" t="e">
        <f>_xlfn.XLOOKUP($D51,Tab_Def_Processes[Process_Name],Tab_Def_Processes[Process_ID],,0,)</f>
        <v>#N/A</v>
      </c>
      <c r="D51" s="152" t="s">
        <v>30</v>
      </c>
      <c r="E51" s="7" t="e">
        <f>_xlfn.XLOOKUP($D51,Tab_Def_Processes[Process_Name],Tab_Def_Processes[Process_Logic],,0,)</f>
        <v>#N/A</v>
      </c>
      <c r="F51" s="148" t="e">
        <f>_xlfn.XLOOKUP($D51,Tab_Def_Processes[Process_Name],Tab_Def_Processes[TC_Configuration],,0,)</f>
        <v>#N/A</v>
      </c>
      <c r="G51" s="148" t="e">
        <f>_xlfn.XLOOKUP($D51,Tab_Def_Processes[Process_Name],Tab_Def_Processes[Stock_Configuration],,0,)</f>
        <v>#N/A</v>
      </c>
      <c r="H51" s="7" t="e">
        <f>_xlfn.XLOOKUP(Tab_DSM[[#This Row],[Process_Name]],Tab_Def_Processes[Process_Name],Tab_Def_Processes[Nr. Outflows],,0,)</f>
        <v>#N/A</v>
      </c>
      <c r="I51" s="152"/>
      <c r="J51" s="7" t="e">
        <f>_xlfn.XLOOKUP($I51,Tab_DSM_Category_ID[Category ID],Tab_DSM_Category_ID[DSM Material],,0,)</f>
        <v>#N/A</v>
      </c>
      <c r="K51" s="152"/>
      <c r="L51" s="7" t="str">
        <f>Tab_DSM[[#This Row],[DSM_Parameter_type]]&amp;"_Cat_"&amp;Tab_DSM[[#This Row],[DSM_Category_Nr.]]</f>
        <v>_Cat_</v>
      </c>
      <c r="M51" s="8"/>
    </row>
  </sheetData>
  <phoneticPr fontId="2" type="noConversion"/>
  <dataValidations count="1">
    <dataValidation type="whole" allowBlank="1" showInputMessage="1" showErrorMessage="1" sqref="H1" xr:uid="{D3DE4D89-2476-42CB-9F1B-A0D7BA5F5274}">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B5C4C30-63C0-409A-8D78-A488D7F1055C}">
          <x14:formula1>
            <xm:f>'4_1 Codelists'!$A$40:$A$48</xm:f>
          </x14:formula1>
          <xm:sqref>I2:I51</xm:sqref>
        </x14:dataValidation>
        <x14:dataValidation type="list" allowBlank="1" showInputMessage="1" showErrorMessage="1" xr:uid="{87C64758-9186-4877-A39E-CC127801CBC0}">
          <x14:formula1>
            <xm:f>'2_1_Definition_Processes'!$D$2:$D$47</xm:f>
          </x14:formula1>
          <xm:sqref>D2:D51</xm:sqref>
        </x14:dataValidation>
        <x14:dataValidation type="list" allowBlank="1" showInputMessage="1" showErrorMessage="1" xr:uid="{A3910D87-7799-420E-9814-F4BD90D16DC1}">
          <x14:formula1>
            <xm:f>'4_1 Codelists'!$B$121:$B$134</xm:f>
          </x14:formula1>
          <xm:sqref>K2:K51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1"/>
  <sheetViews>
    <sheetView tabSelected="1" zoomScale="115" zoomScaleNormal="115" workbookViewId="0">
      <selection activeCell="J13" sqref="J13"/>
    </sheetView>
  </sheetViews>
  <sheetFormatPr defaultRowHeight="15" x14ac:dyDescent="0.25"/>
  <cols>
    <col min="1" max="1" width="11.7109375" customWidth="1"/>
    <col min="2" max="2" width="6.140625" customWidth="1"/>
    <col min="3" max="3" width="12.85546875" customWidth="1"/>
    <col min="4" max="4" width="41.140625" customWidth="1"/>
    <col min="5" max="5" width="13" customWidth="1"/>
    <col min="6" max="6" width="20.140625" customWidth="1"/>
    <col min="7" max="7" width="19.140625" customWidth="1"/>
    <col min="8" max="10" width="24.28515625" customWidth="1"/>
    <col min="11" max="12" width="33.85546875" customWidth="1"/>
    <col min="13" max="13" width="19.42578125" customWidth="1"/>
  </cols>
  <sheetData>
    <row r="1" spans="1:13" x14ac:dyDescent="0.25">
      <c r="A1" s="155" t="s">
        <v>52</v>
      </c>
      <c r="B1" s="155" t="s">
        <v>27</v>
      </c>
      <c r="C1" s="155" t="s">
        <v>48</v>
      </c>
      <c r="D1" s="155" t="s">
        <v>580</v>
      </c>
      <c r="E1" s="155" t="s">
        <v>544</v>
      </c>
      <c r="F1" s="155" t="s">
        <v>656</v>
      </c>
      <c r="G1" s="155" t="s">
        <v>657</v>
      </c>
      <c r="H1" s="155" t="s">
        <v>239</v>
      </c>
      <c r="I1" s="155" t="s">
        <v>313</v>
      </c>
      <c r="J1" s="155" t="s">
        <v>322</v>
      </c>
      <c r="K1" s="155" t="s">
        <v>316</v>
      </c>
      <c r="L1" s="155" t="s">
        <v>232</v>
      </c>
      <c r="M1" s="155" t="s">
        <v>216</v>
      </c>
    </row>
    <row r="2" spans="1:13" x14ac:dyDescent="0.25">
      <c r="A2" s="156" t="b">
        <v>0</v>
      </c>
      <c r="B2" s="7">
        <f t="shared" ref="B2:B41" si="0">ROW()-1</f>
        <v>1</v>
      </c>
      <c r="C2" s="7" t="e">
        <f>_xlfn.XLOOKUP($D2,Tab_Def_Processes[Process_Name],Tab_Def_Processes[Process_ID],,0,)</f>
        <v>#N/A</v>
      </c>
      <c r="D2" s="152" t="s">
        <v>30</v>
      </c>
      <c r="E2" s="7" t="e">
        <f>_xlfn.XLOOKUP($D2,Tab_Def_Processes[Process_Name],Tab_Def_Processes[Process_Logic],,0,)</f>
        <v>#N/A</v>
      </c>
      <c r="F2" s="7" t="e">
        <f>_xlfn.XLOOKUP($D2,Tab_Def_Processes[Process_Name],Tab_Def_Processes[TC_Configuration],,0,)</f>
        <v>#N/A</v>
      </c>
      <c r="G2" s="7" t="e">
        <f>_xlfn.XLOOKUP($D2,Tab_Def_Processes[Process_Name],Tab_Def_Processes[Stock_Configuration],,0,)</f>
        <v>#N/A</v>
      </c>
      <c r="H2" s="7" t="e">
        <f>_xlfn.XLOOKUP(Tab_FOMP[[#This Row],[Process_Name]],Tab_Def_Processes[Process_Name],Tab_Def_Processes[Nr. Outflows],,0,)</f>
        <v>#N/A</v>
      </c>
      <c r="I2" s="8"/>
      <c r="J2" s="152"/>
      <c r="K2" s="7" t="e">
        <f>"P"&amp;Tab_FOMP[[#This Row],[Process_ID]]&amp;"_"&amp;_xlfn.XLOOKUP($J2,CL_3.1_FOMP_Parameters[Category ID],CL_3.1_FOMP_Parameters[Pool_ID],,0,)</f>
        <v>#N/A</v>
      </c>
      <c r="L2" s="152"/>
      <c r="M2" s="8"/>
    </row>
    <row r="3" spans="1:13" x14ac:dyDescent="0.25">
      <c r="A3" s="156" t="b">
        <v>0</v>
      </c>
      <c r="B3" s="7">
        <f t="shared" si="0"/>
        <v>2</v>
      </c>
      <c r="C3" s="7" t="e">
        <f>_xlfn.XLOOKUP($D3,Tab_Def_Processes[Process_Name],Tab_Def_Processes[Process_ID],,0,)</f>
        <v>#N/A</v>
      </c>
      <c r="D3" s="152" t="s">
        <v>30</v>
      </c>
      <c r="E3" s="7" t="e">
        <f>_xlfn.XLOOKUP($D3,Tab_Def_Processes[Process_Name],Tab_Def_Processes[Process_Logic],,0,)</f>
        <v>#N/A</v>
      </c>
      <c r="F3" s="7" t="e">
        <f>_xlfn.XLOOKUP($D3,Tab_Def_Processes[Process_Name],Tab_Def_Processes[TC_Configuration],,0,)</f>
        <v>#N/A</v>
      </c>
      <c r="G3" s="7" t="e">
        <f>_xlfn.XLOOKUP($D3,Tab_Def_Processes[Process_Name],Tab_Def_Processes[Stock_Configuration],,0,)</f>
        <v>#N/A</v>
      </c>
      <c r="H3" s="7" t="e">
        <f>_xlfn.XLOOKUP(Tab_FOMP[[#This Row],[Process_Name]],Tab_Def_Processes[Process_Name],Tab_Def_Processes[Nr. Outflows],,0,)</f>
        <v>#N/A</v>
      </c>
      <c r="I3" s="8"/>
      <c r="J3" s="152"/>
      <c r="K3" s="7" t="e">
        <f>"P"&amp;Tab_FOMP[[#This Row],[Process_ID]]&amp;"_"&amp;_xlfn.XLOOKUP($J3,CL_3.1_FOMP_Parameters[Category ID],CL_3.1_FOMP_Parameters[Pool_ID],,0,)</f>
        <v>#N/A</v>
      </c>
      <c r="L3" s="152"/>
      <c r="M3" s="8"/>
    </row>
    <row r="4" spans="1:13" x14ac:dyDescent="0.25">
      <c r="A4" s="156" t="b">
        <v>0</v>
      </c>
      <c r="B4" s="7">
        <f t="shared" si="0"/>
        <v>3</v>
      </c>
      <c r="C4" s="7" t="e">
        <f>_xlfn.XLOOKUP($D4,Tab_Def_Processes[Process_Name],Tab_Def_Processes[Process_ID],,0,)</f>
        <v>#N/A</v>
      </c>
      <c r="D4" s="152" t="s">
        <v>30</v>
      </c>
      <c r="E4" s="7" t="e">
        <f>_xlfn.XLOOKUP($D4,Tab_Def_Processes[Process_Name],Tab_Def_Processes[Process_Logic],,0,)</f>
        <v>#N/A</v>
      </c>
      <c r="F4" s="7" t="e">
        <f>_xlfn.XLOOKUP($D4,Tab_Def_Processes[Process_Name],Tab_Def_Processes[TC_Configuration],,0,)</f>
        <v>#N/A</v>
      </c>
      <c r="G4" s="7" t="e">
        <f>_xlfn.XLOOKUP($D4,Tab_Def_Processes[Process_Name],Tab_Def_Processes[Stock_Configuration],,0,)</f>
        <v>#N/A</v>
      </c>
      <c r="H4" s="7" t="e">
        <f>_xlfn.XLOOKUP(Tab_FOMP[[#This Row],[Process_Name]],Tab_Def_Processes[Process_Name],Tab_Def_Processes[Nr. Outflows],,0,)</f>
        <v>#N/A</v>
      </c>
      <c r="I4" s="8"/>
      <c r="J4" s="152"/>
      <c r="K4" s="7" t="e">
        <f>"P"&amp;Tab_FOMP[[#This Row],[Process_ID]]&amp;"_"&amp;_xlfn.XLOOKUP($J4,CL_3.1_FOMP_Parameters[Category ID],CL_3.1_FOMP_Parameters[Pool_ID],,0,)</f>
        <v>#N/A</v>
      </c>
      <c r="L4" s="152"/>
      <c r="M4" s="8"/>
    </row>
    <row r="5" spans="1:13" x14ac:dyDescent="0.25">
      <c r="A5" s="156" t="b">
        <v>0</v>
      </c>
      <c r="B5" s="7">
        <f t="shared" si="0"/>
        <v>4</v>
      </c>
      <c r="C5" s="7" t="e">
        <f>_xlfn.XLOOKUP($D5,Tab_Def_Processes[Process_Name],Tab_Def_Processes[Process_ID],,0,)</f>
        <v>#N/A</v>
      </c>
      <c r="D5" s="152" t="s">
        <v>30</v>
      </c>
      <c r="E5" s="7" t="e">
        <f>_xlfn.XLOOKUP($D5,Tab_Def_Processes[Process_Name],Tab_Def_Processes[Process_Logic],,0,)</f>
        <v>#N/A</v>
      </c>
      <c r="F5" s="7" t="e">
        <f>_xlfn.XLOOKUP($D5,Tab_Def_Processes[Process_Name],Tab_Def_Processes[TC_Configuration],,0,)</f>
        <v>#N/A</v>
      </c>
      <c r="G5" s="7" t="e">
        <f>_xlfn.XLOOKUP($D5,Tab_Def_Processes[Process_Name],Tab_Def_Processes[Stock_Configuration],,0,)</f>
        <v>#N/A</v>
      </c>
      <c r="H5" s="7" t="e">
        <f>_xlfn.XLOOKUP(Tab_FOMP[[#This Row],[Process_Name]],Tab_Def_Processes[Process_Name],Tab_Def_Processes[Nr. Outflows],,0,)</f>
        <v>#N/A</v>
      </c>
      <c r="I5" s="8"/>
      <c r="J5" s="152"/>
      <c r="K5" s="7" t="e">
        <f>"P"&amp;Tab_FOMP[[#This Row],[Process_ID]]&amp;"_"&amp;_xlfn.XLOOKUP($J5,CL_3.1_FOMP_Parameters[Category ID],CL_3.1_FOMP_Parameters[Pool_ID],,0,)</f>
        <v>#N/A</v>
      </c>
      <c r="L5" s="152"/>
      <c r="M5" s="8"/>
    </row>
    <row r="6" spans="1:13" x14ac:dyDescent="0.25">
      <c r="A6" s="156" t="b">
        <v>0</v>
      </c>
      <c r="B6" s="7">
        <f t="shared" si="0"/>
        <v>5</v>
      </c>
      <c r="C6" s="7" t="e">
        <f>_xlfn.XLOOKUP($D6,Tab_Def_Processes[Process_Name],Tab_Def_Processes[Process_ID],,0,)</f>
        <v>#N/A</v>
      </c>
      <c r="D6" s="152" t="s">
        <v>30</v>
      </c>
      <c r="E6" s="7" t="e">
        <f>_xlfn.XLOOKUP($D6,Tab_Def_Processes[Process_Name],Tab_Def_Processes[Process_Logic],,0,)</f>
        <v>#N/A</v>
      </c>
      <c r="F6" s="7" t="e">
        <f>_xlfn.XLOOKUP($D6,Tab_Def_Processes[Process_Name],Tab_Def_Processes[TC_Configuration],,0,)</f>
        <v>#N/A</v>
      </c>
      <c r="G6" s="7" t="e">
        <f>_xlfn.XLOOKUP($D6,Tab_Def_Processes[Process_Name],Tab_Def_Processes[Stock_Configuration],,0,)</f>
        <v>#N/A</v>
      </c>
      <c r="H6" s="7" t="e">
        <f>_xlfn.XLOOKUP(Tab_FOMP[[#This Row],[Process_Name]],Tab_Def_Processes[Process_Name],Tab_Def_Processes[Nr. Outflows],,0,)</f>
        <v>#N/A</v>
      </c>
      <c r="I6" s="8"/>
      <c r="J6" s="152"/>
      <c r="K6" s="7" t="e">
        <f>"P"&amp;Tab_FOMP[[#This Row],[Process_ID]]&amp;"_"&amp;_xlfn.XLOOKUP($J6,CL_3.1_FOMP_Parameters[Category ID],CL_3.1_FOMP_Parameters[Pool_ID],,0,)</f>
        <v>#N/A</v>
      </c>
      <c r="L6" s="152"/>
      <c r="M6" s="8"/>
    </row>
    <row r="7" spans="1:13" x14ac:dyDescent="0.25">
      <c r="A7" s="156" t="b">
        <v>0</v>
      </c>
      <c r="B7" s="7">
        <f t="shared" si="0"/>
        <v>6</v>
      </c>
      <c r="C7" s="7" t="e">
        <f>_xlfn.XLOOKUP($D7,Tab_Def_Processes[Process_Name],Tab_Def_Processes[Process_ID],,0,)</f>
        <v>#N/A</v>
      </c>
      <c r="D7" s="152" t="s">
        <v>30</v>
      </c>
      <c r="E7" s="7" t="e">
        <f>_xlfn.XLOOKUP($D7,Tab_Def_Processes[Process_Name],Tab_Def_Processes[Process_Logic],,0,)</f>
        <v>#N/A</v>
      </c>
      <c r="F7" s="7" t="e">
        <f>_xlfn.XLOOKUP($D7,Tab_Def_Processes[Process_Name],Tab_Def_Processes[TC_Configuration],,0,)</f>
        <v>#N/A</v>
      </c>
      <c r="G7" s="7" t="e">
        <f>_xlfn.XLOOKUP($D7,Tab_Def_Processes[Process_Name],Tab_Def_Processes[Stock_Configuration],,0,)</f>
        <v>#N/A</v>
      </c>
      <c r="H7" s="7" t="e">
        <f>_xlfn.XLOOKUP(Tab_FOMP[[#This Row],[Process_Name]],Tab_Def_Processes[Process_Name],Tab_Def_Processes[Nr. Outflows],,0,)</f>
        <v>#N/A</v>
      </c>
      <c r="I7" s="8"/>
      <c r="J7" s="152"/>
      <c r="K7" s="7" t="e">
        <f>"P"&amp;Tab_FOMP[[#This Row],[Process_ID]]&amp;"_"&amp;_xlfn.XLOOKUP($J7,CL_3.1_FOMP_Parameters[Category ID],CL_3.1_FOMP_Parameters[Pool_ID],,0,)</f>
        <v>#N/A</v>
      </c>
      <c r="L7" s="152"/>
      <c r="M7" s="8"/>
    </row>
    <row r="8" spans="1:13" x14ac:dyDescent="0.25">
      <c r="A8" s="156" t="b">
        <v>0</v>
      </c>
      <c r="B8" s="7">
        <f t="shared" si="0"/>
        <v>7</v>
      </c>
      <c r="C8" s="7" t="e">
        <f>_xlfn.XLOOKUP($D8,Tab_Def_Processes[Process_Name],Tab_Def_Processes[Process_ID],,0,)</f>
        <v>#N/A</v>
      </c>
      <c r="D8" s="152" t="s">
        <v>30</v>
      </c>
      <c r="E8" s="7" t="e">
        <f>_xlfn.XLOOKUP($D8,Tab_Def_Processes[Process_Name],Tab_Def_Processes[Process_Logic],,0,)</f>
        <v>#N/A</v>
      </c>
      <c r="F8" s="7" t="e">
        <f>_xlfn.XLOOKUP($D8,Tab_Def_Processes[Process_Name],Tab_Def_Processes[TC_Configuration],,0,)</f>
        <v>#N/A</v>
      </c>
      <c r="G8" s="7" t="e">
        <f>_xlfn.XLOOKUP($D8,Tab_Def_Processes[Process_Name],Tab_Def_Processes[Stock_Configuration],,0,)</f>
        <v>#N/A</v>
      </c>
      <c r="H8" s="7" t="e">
        <f>_xlfn.XLOOKUP(Tab_FOMP[[#This Row],[Process_Name]],Tab_Def_Processes[Process_Name],Tab_Def_Processes[Nr. Outflows],,0,)</f>
        <v>#N/A</v>
      </c>
      <c r="I8" s="8"/>
      <c r="J8" s="152"/>
      <c r="K8" s="7" t="e">
        <f>"P"&amp;Tab_FOMP[[#This Row],[Process_ID]]&amp;"_"&amp;_xlfn.XLOOKUP($J8,CL_3.1_FOMP_Parameters[Category ID],CL_3.1_FOMP_Parameters[Pool_ID],,0,)</f>
        <v>#N/A</v>
      </c>
      <c r="L8" s="152"/>
      <c r="M8" s="8"/>
    </row>
    <row r="9" spans="1:13" x14ac:dyDescent="0.25">
      <c r="A9" s="156" t="b">
        <v>0</v>
      </c>
      <c r="B9" s="7">
        <f t="shared" si="0"/>
        <v>8</v>
      </c>
      <c r="C9" s="7" t="e">
        <f>_xlfn.XLOOKUP($D9,Tab_Def_Processes[Process_Name],Tab_Def_Processes[Process_ID],,0,)</f>
        <v>#N/A</v>
      </c>
      <c r="D9" s="152" t="s">
        <v>30</v>
      </c>
      <c r="E9" s="7" t="e">
        <f>_xlfn.XLOOKUP($D9,Tab_Def_Processes[Process_Name],Tab_Def_Processes[Process_Logic],,0,)</f>
        <v>#N/A</v>
      </c>
      <c r="F9" s="7" t="e">
        <f>_xlfn.XLOOKUP($D9,Tab_Def_Processes[Process_Name],Tab_Def_Processes[TC_Configuration],,0,)</f>
        <v>#N/A</v>
      </c>
      <c r="G9" s="7" t="e">
        <f>_xlfn.XLOOKUP($D9,Tab_Def_Processes[Process_Name],Tab_Def_Processes[Stock_Configuration],,0,)</f>
        <v>#N/A</v>
      </c>
      <c r="H9" s="7" t="e">
        <f>_xlfn.XLOOKUP(Tab_FOMP[[#This Row],[Process_Name]],Tab_Def_Processes[Process_Name],Tab_Def_Processes[Nr. Outflows],,0,)</f>
        <v>#N/A</v>
      </c>
      <c r="I9" s="8"/>
      <c r="J9" s="152"/>
      <c r="K9" s="7" t="e">
        <f>"P"&amp;Tab_FOMP[[#This Row],[Process_ID]]&amp;"_"&amp;_xlfn.XLOOKUP($J9,CL_3.1_FOMP_Parameters[Category ID],CL_3.1_FOMP_Parameters[Pool_ID],,0,)</f>
        <v>#N/A</v>
      </c>
      <c r="L9" s="152"/>
      <c r="M9" s="8"/>
    </row>
    <row r="10" spans="1:13" x14ac:dyDescent="0.25">
      <c r="A10" s="156" t="b">
        <v>0</v>
      </c>
      <c r="B10" s="7">
        <f t="shared" si="0"/>
        <v>9</v>
      </c>
      <c r="C10" s="7" t="e">
        <f>_xlfn.XLOOKUP($D10,Tab_Def_Processes[Process_Name],Tab_Def_Processes[Process_ID],,0,)</f>
        <v>#N/A</v>
      </c>
      <c r="D10" s="152" t="s">
        <v>30</v>
      </c>
      <c r="E10" s="7" t="e">
        <f>_xlfn.XLOOKUP($D10,Tab_Def_Processes[Process_Name],Tab_Def_Processes[Process_Logic],,0,)</f>
        <v>#N/A</v>
      </c>
      <c r="F10" s="7" t="e">
        <f>_xlfn.XLOOKUP($D10,Tab_Def_Processes[Process_Name],Tab_Def_Processes[TC_Configuration],,0,)</f>
        <v>#N/A</v>
      </c>
      <c r="G10" s="7" t="e">
        <f>_xlfn.XLOOKUP($D10,Tab_Def_Processes[Process_Name],Tab_Def_Processes[Stock_Configuration],,0,)</f>
        <v>#N/A</v>
      </c>
      <c r="H10" s="7" t="e">
        <f>_xlfn.XLOOKUP(Tab_FOMP[[#This Row],[Process_Name]],Tab_Def_Processes[Process_Name],Tab_Def_Processes[Nr. Outflows],,0,)</f>
        <v>#N/A</v>
      </c>
      <c r="I10" s="8"/>
      <c r="J10" s="152"/>
      <c r="K10" s="7" t="e">
        <f>"P"&amp;Tab_FOMP[[#This Row],[Process_ID]]&amp;"_"&amp;_xlfn.XLOOKUP($J10,CL_3.1_FOMP_Parameters[Category ID],CL_3.1_FOMP_Parameters[Pool_ID],,0,)</f>
        <v>#N/A</v>
      </c>
      <c r="L10" s="152"/>
      <c r="M10" s="8"/>
    </row>
    <row r="11" spans="1:13" x14ac:dyDescent="0.25">
      <c r="A11" s="156" t="b">
        <v>0</v>
      </c>
      <c r="B11" s="7">
        <f t="shared" si="0"/>
        <v>10</v>
      </c>
      <c r="C11" s="7" t="e">
        <f>_xlfn.XLOOKUP($D11,Tab_Def_Processes[Process_Name],Tab_Def_Processes[Process_ID],,0,)</f>
        <v>#N/A</v>
      </c>
      <c r="D11" s="152" t="s">
        <v>30</v>
      </c>
      <c r="E11" s="7" t="e">
        <f>_xlfn.XLOOKUP($D11,Tab_Def_Processes[Process_Name],Tab_Def_Processes[Process_Logic],,0,)</f>
        <v>#N/A</v>
      </c>
      <c r="F11" s="7" t="e">
        <f>_xlfn.XLOOKUP($D11,Tab_Def_Processes[Process_Name],Tab_Def_Processes[TC_Configuration],,0,)</f>
        <v>#N/A</v>
      </c>
      <c r="G11" s="7" t="e">
        <f>_xlfn.XLOOKUP($D11,Tab_Def_Processes[Process_Name],Tab_Def_Processes[Stock_Configuration],,0,)</f>
        <v>#N/A</v>
      </c>
      <c r="H11" s="7" t="e">
        <f>_xlfn.XLOOKUP(Tab_FOMP[[#This Row],[Process_Name]],Tab_Def_Processes[Process_Name],Tab_Def_Processes[Nr. Outflows],,0,)</f>
        <v>#N/A</v>
      </c>
      <c r="I11" s="8"/>
      <c r="J11" s="152"/>
      <c r="K11" s="7" t="e">
        <f>"P"&amp;Tab_FOMP[[#This Row],[Process_ID]]&amp;"_"&amp;_xlfn.XLOOKUP($J11,CL_3.1_FOMP_Parameters[Category ID],CL_3.1_FOMP_Parameters[Pool_ID],,0,)</f>
        <v>#N/A</v>
      </c>
      <c r="L11" s="152"/>
      <c r="M11" s="8"/>
    </row>
    <row r="12" spans="1:13" x14ac:dyDescent="0.25">
      <c r="A12" s="156" t="b">
        <v>0</v>
      </c>
      <c r="B12" s="7">
        <f t="shared" si="0"/>
        <v>11</v>
      </c>
      <c r="C12" s="7" t="e">
        <f>_xlfn.XLOOKUP($D12,Tab_Def_Processes[Process_Name],Tab_Def_Processes[Process_ID],,0,)</f>
        <v>#N/A</v>
      </c>
      <c r="D12" s="152" t="s">
        <v>30</v>
      </c>
      <c r="E12" s="7" t="e">
        <f>_xlfn.XLOOKUP($D12,Tab_Def_Processes[Process_Name],Tab_Def_Processes[Process_Logic],,0,)</f>
        <v>#N/A</v>
      </c>
      <c r="F12" s="7" t="e">
        <f>_xlfn.XLOOKUP($D12,Tab_Def_Processes[Process_Name],Tab_Def_Processes[TC_Configuration],,0,)</f>
        <v>#N/A</v>
      </c>
      <c r="G12" s="7" t="e">
        <f>_xlfn.XLOOKUP($D12,Tab_Def_Processes[Process_Name],Tab_Def_Processes[Stock_Configuration],,0,)</f>
        <v>#N/A</v>
      </c>
      <c r="H12" s="7" t="e">
        <f>_xlfn.XLOOKUP(Tab_FOMP[[#This Row],[Process_Name]],Tab_Def_Processes[Process_Name],Tab_Def_Processes[Nr. Outflows],,0,)</f>
        <v>#N/A</v>
      </c>
      <c r="I12" s="8"/>
      <c r="J12" s="152"/>
      <c r="K12" s="7" t="e">
        <f>"P"&amp;Tab_FOMP[[#This Row],[Process_ID]]&amp;"_"&amp;_xlfn.XLOOKUP($J12,CL_3.1_FOMP_Parameters[Category ID],CL_3.1_FOMP_Parameters[Pool_ID],,0,)</f>
        <v>#N/A</v>
      </c>
      <c r="L12" s="152"/>
      <c r="M12" s="8"/>
    </row>
    <row r="13" spans="1:13" x14ac:dyDescent="0.25">
      <c r="A13" s="156" t="b">
        <v>0</v>
      </c>
      <c r="B13" s="7">
        <f t="shared" si="0"/>
        <v>12</v>
      </c>
      <c r="C13" s="7" t="e">
        <f>_xlfn.XLOOKUP($D13,Tab_Def_Processes[Process_Name],Tab_Def_Processes[Process_ID],,0,)</f>
        <v>#N/A</v>
      </c>
      <c r="D13" s="152" t="s">
        <v>30</v>
      </c>
      <c r="E13" s="7" t="e">
        <f>_xlfn.XLOOKUP($D13,Tab_Def_Processes[Process_Name],Tab_Def_Processes[Process_Logic],,0,)</f>
        <v>#N/A</v>
      </c>
      <c r="F13" s="7" t="e">
        <f>_xlfn.XLOOKUP($D13,Tab_Def_Processes[Process_Name],Tab_Def_Processes[TC_Configuration],,0,)</f>
        <v>#N/A</v>
      </c>
      <c r="G13" s="7" t="e">
        <f>_xlfn.XLOOKUP($D13,Tab_Def_Processes[Process_Name],Tab_Def_Processes[Stock_Configuration],,0,)</f>
        <v>#N/A</v>
      </c>
      <c r="H13" s="7" t="e">
        <f>_xlfn.XLOOKUP(Tab_FOMP[[#This Row],[Process_Name]],Tab_Def_Processes[Process_Name],Tab_Def_Processes[Nr. Outflows],,0,)</f>
        <v>#N/A</v>
      </c>
      <c r="I13" s="8"/>
      <c r="J13" s="152"/>
      <c r="K13" s="7" t="e">
        <f>"P"&amp;Tab_FOMP[[#This Row],[Process_ID]]&amp;"_"&amp;_xlfn.XLOOKUP($J13,CL_3.1_FOMP_Parameters[Category ID],CL_3.1_FOMP_Parameters[Pool_ID],,0,)</f>
        <v>#N/A</v>
      </c>
      <c r="L13" s="152"/>
      <c r="M13" s="8"/>
    </row>
    <row r="14" spans="1:13" x14ac:dyDescent="0.25">
      <c r="A14" s="156" t="b">
        <v>0</v>
      </c>
      <c r="B14" s="7">
        <f t="shared" si="0"/>
        <v>13</v>
      </c>
      <c r="C14" s="7" t="e">
        <f>_xlfn.XLOOKUP($D14,Tab_Def_Processes[Process_Name],Tab_Def_Processes[Process_ID],,0,)</f>
        <v>#N/A</v>
      </c>
      <c r="D14" s="152" t="s">
        <v>30</v>
      </c>
      <c r="E14" s="7" t="e">
        <f>_xlfn.XLOOKUP($D14,Tab_Def_Processes[Process_Name],Tab_Def_Processes[Process_Logic],,0,)</f>
        <v>#N/A</v>
      </c>
      <c r="F14" s="7" t="e">
        <f>_xlfn.XLOOKUP($D14,Tab_Def_Processes[Process_Name],Tab_Def_Processes[TC_Configuration],,0,)</f>
        <v>#N/A</v>
      </c>
      <c r="G14" s="7" t="e">
        <f>_xlfn.XLOOKUP($D14,Tab_Def_Processes[Process_Name],Tab_Def_Processes[Stock_Configuration],,0,)</f>
        <v>#N/A</v>
      </c>
      <c r="H14" s="7" t="e">
        <f>_xlfn.XLOOKUP(Tab_FOMP[[#This Row],[Process_Name]],Tab_Def_Processes[Process_Name],Tab_Def_Processes[Nr. Outflows],,0,)</f>
        <v>#N/A</v>
      </c>
      <c r="I14" s="8"/>
      <c r="J14" s="152"/>
      <c r="K14" s="7" t="e">
        <f>"P"&amp;Tab_FOMP[[#This Row],[Process_ID]]&amp;"_"&amp;_xlfn.XLOOKUP($J14,CL_3.1_FOMP_Parameters[Category ID],CL_3.1_FOMP_Parameters[Pool_ID],,0,)</f>
        <v>#N/A</v>
      </c>
      <c r="L14" s="152"/>
      <c r="M14" s="8"/>
    </row>
    <row r="15" spans="1:13" x14ac:dyDescent="0.25">
      <c r="A15" s="156" t="b">
        <v>0</v>
      </c>
      <c r="B15" s="7">
        <f t="shared" si="0"/>
        <v>14</v>
      </c>
      <c r="C15" s="7" t="e">
        <f>_xlfn.XLOOKUP($D15,Tab_Def_Processes[Process_Name],Tab_Def_Processes[Process_ID],,0,)</f>
        <v>#N/A</v>
      </c>
      <c r="D15" s="152" t="s">
        <v>30</v>
      </c>
      <c r="E15" s="7" t="e">
        <f>_xlfn.XLOOKUP($D15,Tab_Def_Processes[Process_Name],Tab_Def_Processes[Process_Logic],,0,)</f>
        <v>#N/A</v>
      </c>
      <c r="F15" s="7" t="e">
        <f>_xlfn.XLOOKUP($D15,Tab_Def_Processes[Process_Name],Tab_Def_Processes[TC_Configuration],,0,)</f>
        <v>#N/A</v>
      </c>
      <c r="G15" s="7" t="e">
        <f>_xlfn.XLOOKUP($D15,Tab_Def_Processes[Process_Name],Tab_Def_Processes[Stock_Configuration],,0,)</f>
        <v>#N/A</v>
      </c>
      <c r="H15" s="7" t="e">
        <f>_xlfn.XLOOKUP(Tab_FOMP[[#This Row],[Process_Name]],Tab_Def_Processes[Process_Name],Tab_Def_Processes[Nr. Outflows],,0,)</f>
        <v>#N/A</v>
      </c>
      <c r="I15" s="8"/>
      <c r="J15" s="152"/>
      <c r="K15" s="7" t="e">
        <f>"P"&amp;Tab_FOMP[[#This Row],[Process_ID]]&amp;"_"&amp;_xlfn.XLOOKUP($J15,CL_3.1_FOMP_Parameters[Category ID],CL_3.1_FOMP_Parameters[Pool_ID],,0,)</f>
        <v>#N/A</v>
      </c>
      <c r="L15" s="152"/>
      <c r="M15" s="8"/>
    </row>
    <row r="16" spans="1:13" x14ac:dyDescent="0.25">
      <c r="A16" s="156" t="b">
        <v>0</v>
      </c>
      <c r="B16" s="7">
        <f t="shared" si="0"/>
        <v>15</v>
      </c>
      <c r="C16" s="7" t="e">
        <f>_xlfn.XLOOKUP($D16,Tab_Def_Processes[Process_Name],Tab_Def_Processes[Process_ID],,0,)</f>
        <v>#N/A</v>
      </c>
      <c r="D16" s="152" t="s">
        <v>30</v>
      </c>
      <c r="E16" s="7" t="e">
        <f>_xlfn.XLOOKUP($D16,Tab_Def_Processes[Process_Name],Tab_Def_Processes[Process_Logic],,0,)</f>
        <v>#N/A</v>
      </c>
      <c r="F16" s="7" t="e">
        <f>_xlfn.XLOOKUP($D16,Tab_Def_Processes[Process_Name],Tab_Def_Processes[TC_Configuration],,0,)</f>
        <v>#N/A</v>
      </c>
      <c r="G16" s="7" t="e">
        <f>_xlfn.XLOOKUP($D16,Tab_Def_Processes[Process_Name],Tab_Def_Processes[Stock_Configuration],,0,)</f>
        <v>#N/A</v>
      </c>
      <c r="H16" s="7" t="e">
        <f>_xlfn.XLOOKUP(Tab_FOMP[[#This Row],[Process_Name]],Tab_Def_Processes[Process_Name],Tab_Def_Processes[Nr. Outflows],,0,)</f>
        <v>#N/A</v>
      </c>
      <c r="I16" s="8"/>
      <c r="J16" s="152"/>
      <c r="K16" s="7" t="e">
        <f>"P"&amp;Tab_FOMP[[#This Row],[Process_ID]]&amp;"_"&amp;_xlfn.XLOOKUP($J16,CL_3.1_FOMP_Parameters[Category ID],CL_3.1_FOMP_Parameters[Pool_ID],,0,)</f>
        <v>#N/A</v>
      </c>
      <c r="L16" s="152"/>
      <c r="M16" s="8"/>
    </row>
    <row r="17" spans="1:13" x14ac:dyDescent="0.25">
      <c r="A17" s="156" t="b">
        <v>0</v>
      </c>
      <c r="B17" s="7">
        <f t="shared" si="0"/>
        <v>16</v>
      </c>
      <c r="C17" s="7" t="e">
        <f>_xlfn.XLOOKUP($D17,Tab_Def_Processes[Process_Name],Tab_Def_Processes[Process_ID],,0,)</f>
        <v>#N/A</v>
      </c>
      <c r="D17" s="152" t="s">
        <v>30</v>
      </c>
      <c r="E17" s="7" t="e">
        <f>_xlfn.XLOOKUP($D17,Tab_Def_Processes[Process_Name],Tab_Def_Processes[Process_Logic],,0,)</f>
        <v>#N/A</v>
      </c>
      <c r="F17" s="7" t="e">
        <f>_xlfn.XLOOKUP($D17,Tab_Def_Processes[Process_Name],Tab_Def_Processes[TC_Configuration],,0,)</f>
        <v>#N/A</v>
      </c>
      <c r="G17" s="7" t="e">
        <f>_xlfn.XLOOKUP($D17,Tab_Def_Processes[Process_Name],Tab_Def_Processes[Stock_Configuration],,0,)</f>
        <v>#N/A</v>
      </c>
      <c r="H17" s="7" t="e">
        <f>_xlfn.XLOOKUP(Tab_FOMP[[#This Row],[Process_Name]],Tab_Def_Processes[Process_Name],Tab_Def_Processes[Nr. Outflows],,0,)</f>
        <v>#N/A</v>
      </c>
      <c r="I17" s="8"/>
      <c r="J17" s="152"/>
      <c r="K17" s="7" t="e">
        <f>"P"&amp;Tab_FOMP[[#This Row],[Process_ID]]&amp;"_"&amp;_xlfn.XLOOKUP($J17,CL_3.1_FOMP_Parameters[Category ID],CL_3.1_FOMP_Parameters[Pool_ID],,0,)</f>
        <v>#N/A</v>
      </c>
      <c r="L17" s="152"/>
      <c r="M17" s="8"/>
    </row>
    <row r="18" spans="1:13" x14ac:dyDescent="0.25">
      <c r="A18" s="156" t="b">
        <v>0</v>
      </c>
      <c r="B18" s="7">
        <f t="shared" si="0"/>
        <v>17</v>
      </c>
      <c r="C18" s="7" t="e">
        <f>_xlfn.XLOOKUP($D18,Tab_Def_Processes[Process_Name],Tab_Def_Processes[Process_ID],,0,)</f>
        <v>#N/A</v>
      </c>
      <c r="D18" s="152" t="s">
        <v>30</v>
      </c>
      <c r="E18" s="7" t="e">
        <f>_xlfn.XLOOKUP($D18,Tab_Def_Processes[Process_Name],Tab_Def_Processes[Process_Logic],,0,)</f>
        <v>#N/A</v>
      </c>
      <c r="F18" s="7" t="e">
        <f>_xlfn.XLOOKUP($D18,Tab_Def_Processes[Process_Name],Tab_Def_Processes[TC_Configuration],,0,)</f>
        <v>#N/A</v>
      </c>
      <c r="G18" s="7" t="e">
        <f>_xlfn.XLOOKUP($D18,Tab_Def_Processes[Process_Name],Tab_Def_Processes[Stock_Configuration],,0,)</f>
        <v>#N/A</v>
      </c>
      <c r="H18" s="7" t="e">
        <f>_xlfn.XLOOKUP(Tab_FOMP[[#This Row],[Process_Name]],Tab_Def_Processes[Process_Name],Tab_Def_Processes[Nr. Outflows],,0,)</f>
        <v>#N/A</v>
      </c>
      <c r="I18" s="8"/>
      <c r="J18" s="152"/>
      <c r="K18" s="7" t="e">
        <f>"P"&amp;Tab_FOMP[[#This Row],[Process_ID]]&amp;"_"&amp;_xlfn.XLOOKUP($J18,CL_3.1_FOMP_Parameters[Category ID],CL_3.1_FOMP_Parameters[Pool_ID],,0,)</f>
        <v>#N/A</v>
      </c>
      <c r="L18" s="152"/>
      <c r="M18" s="8"/>
    </row>
    <row r="19" spans="1:13" x14ac:dyDescent="0.25">
      <c r="A19" s="156" t="b">
        <v>0</v>
      </c>
      <c r="B19" s="7">
        <f t="shared" si="0"/>
        <v>18</v>
      </c>
      <c r="C19" s="7" t="e">
        <f>_xlfn.XLOOKUP($D19,Tab_Def_Processes[Process_Name],Tab_Def_Processes[Process_ID],,0,)</f>
        <v>#N/A</v>
      </c>
      <c r="D19" s="152" t="s">
        <v>30</v>
      </c>
      <c r="E19" s="7" t="e">
        <f>_xlfn.XLOOKUP($D19,Tab_Def_Processes[Process_Name],Tab_Def_Processes[Process_Logic],,0,)</f>
        <v>#N/A</v>
      </c>
      <c r="F19" s="7" t="e">
        <f>_xlfn.XLOOKUP($D19,Tab_Def_Processes[Process_Name],Tab_Def_Processes[TC_Configuration],,0,)</f>
        <v>#N/A</v>
      </c>
      <c r="G19" s="7" t="e">
        <f>_xlfn.XLOOKUP($D19,Tab_Def_Processes[Process_Name],Tab_Def_Processes[Stock_Configuration],,0,)</f>
        <v>#N/A</v>
      </c>
      <c r="H19" s="7" t="e">
        <f>_xlfn.XLOOKUP(Tab_FOMP[[#This Row],[Process_Name]],Tab_Def_Processes[Process_Name],Tab_Def_Processes[Nr. Outflows],,0,)</f>
        <v>#N/A</v>
      </c>
      <c r="I19" s="8"/>
      <c r="J19" s="152"/>
      <c r="K19" s="7" t="e">
        <f>"P"&amp;Tab_FOMP[[#This Row],[Process_ID]]&amp;"_"&amp;_xlfn.XLOOKUP($J19,CL_3.1_FOMP_Parameters[Category ID],CL_3.1_FOMP_Parameters[Pool_ID],,0,)</f>
        <v>#N/A</v>
      </c>
      <c r="L19" s="152"/>
      <c r="M19" s="8"/>
    </row>
    <row r="20" spans="1:13" x14ac:dyDescent="0.25">
      <c r="A20" s="156" t="b">
        <v>0</v>
      </c>
      <c r="B20" s="7">
        <f t="shared" si="0"/>
        <v>19</v>
      </c>
      <c r="C20" s="7" t="e">
        <f>_xlfn.XLOOKUP($D20,Tab_Def_Processes[Process_Name],Tab_Def_Processes[Process_ID],,0,)</f>
        <v>#N/A</v>
      </c>
      <c r="D20" s="152" t="s">
        <v>30</v>
      </c>
      <c r="E20" s="7" t="e">
        <f>_xlfn.XLOOKUP($D20,Tab_Def_Processes[Process_Name],Tab_Def_Processes[Process_Logic],,0,)</f>
        <v>#N/A</v>
      </c>
      <c r="F20" s="7" t="e">
        <f>_xlfn.XLOOKUP($D20,Tab_Def_Processes[Process_Name],Tab_Def_Processes[TC_Configuration],,0,)</f>
        <v>#N/A</v>
      </c>
      <c r="G20" s="7" t="e">
        <f>_xlfn.XLOOKUP($D20,Tab_Def_Processes[Process_Name],Tab_Def_Processes[Stock_Configuration],,0,)</f>
        <v>#N/A</v>
      </c>
      <c r="H20" s="7" t="e">
        <f>_xlfn.XLOOKUP(Tab_FOMP[[#This Row],[Process_Name]],Tab_Def_Processes[Process_Name],Tab_Def_Processes[Nr. Outflows],,0,)</f>
        <v>#N/A</v>
      </c>
      <c r="I20" s="8"/>
      <c r="J20" s="152"/>
      <c r="K20" s="7" t="e">
        <f>"P"&amp;Tab_FOMP[[#This Row],[Process_ID]]&amp;"_"&amp;_xlfn.XLOOKUP($J20,CL_3.1_FOMP_Parameters[Category ID],CL_3.1_FOMP_Parameters[Pool_ID],,0,)</f>
        <v>#N/A</v>
      </c>
      <c r="L20" s="152"/>
      <c r="M20" s="8"/>
    </row>
    <row r="21" spans="1:13" x14ac:dyDescent="0.25">
      <c r="A21" s="156" t="b">
        <v>0</v>
      </c>
      <c r="B21" s="7">
        <f t="shared" si="0"/>
        <v>20</v>
      </c>
      <c r="C21" s="7" t="e">
        <f>_xlfn.XLOOKUP($D21,Tab_Def_Processes[Process_Name],Tab_Def_Processes[Process_ID],,0,)</f>
        <v>#N/A</v>
      </c>
      <c r="D21" s="152" t="s">
        <v>30</v>
      </c>
      <c r="E21" s="7" t="e">
        <f>_xlfn.XLOOKUP($D21,Tab_Def_Processes[Process_Name],Tab_Def_Processes[Process_Logic],,0,)</f>
        <v>#N/A</v>
      </c>
      <c r="F21" s="7" t="e">
        <f>_xlfn.XLOOKUP($D21,Tab_Def_Processes[Process_Name],Tab_Def_Processes[TC_Configuration],,0,)</f>
        <v>#N/A</v>
      </c>
      <c r="G21" s="7" t="e">
        <f>_xlfn.XLOOKUP($D21,Tab_Def_Processes[Process_Name],Tab_Def_Processes[Stock_Configuration],,0,)</f>
        <v>#N/A</v>
      </c>
      <c r="H21" s="7" t="e">
        <f>_xlfn.XLOOKUP(Tab_FOMP[[#This Row],[Process_Name]],Tab_Def_Processes[Process_Name],Tab_Def_Processes[Nr. Outflows],,0,)</f>
        <v>#N/A</v>
      </c>
      <c r="I21" s="8"/>
      <c r="J21" s="152"/>
      <c r="K21" s="7" t="e">
        <f>"P"&amp;Tab_FOMP[[#This Row],[Process_ID]]&amp;"_"&amp;_xlfn.XLOOKUP($J21,CL_3.1_FOMP_Parameters[Category ID],CL_3.1_FOMP_Parameters[Pool_ID],,0,)</f>
        <v>#N/A</v>
      </c>
      <c r="L21" s="152"/>
      <c r="M21" s="8"/>
    </row>
    <row r="22" spans="1:13" x14ac:dyDescent="0.25">
      <c r="A22" s="156" t="b">
        <v>0</v>
      </c>
      <c r="B22" s="7">
        <f t="shared" si="0"/>
        <v>21</v>
      </c>
      <c r="C22" s="7" t="e">
        <f>_xlfn.XLOOKUP($D22,Tab_Def_Processes[Process_Name],Tab_Def_Processes[Process_ID],,0,)</f>
        <v>#N/A</v>
      </c>
      <c r="D22" s="152" t="s">
        <v>30</v>
      </c>
      <c r="E22" s="7" t="e">
        <f>_xlfn.XLOOKUP($D22,Tab_Def_Processes[Process_Name],Tab_Def_Processes[Process_Logic],,0,)</f>
        <v>#N/A</v>
      </c>
      <c r="F22" s="7" t="e">
        <f>_xlfn.XLOOKUP($D22,Tab_Def_Processes[Process_Name],Tab_Def_Processes[TC_Configuration],,0,)</f>
        <v>#N/A</v>
      </c>
      <c r="G22" s="7" t="e">
        <f>_xlfn.XLOOKUP($D22,Tab_Def_Processes[Process_Name],Tab_Def_Processes[Stock_Configuration],,0,)</f>
        <v>#N/A</v>
      </c>
      <c r="H22" s="7" t="e">
        <f>_xlfn.XLOOKUP(Tab_FOMP[[#This Row],[Process_Name]],Tab_Def_Processes[Process_Name],Tab_Def_Processes[Nr. Outflows],,0,)</f>
        <v>#N/A</v>
      </c>
      <c r="I22" s="8"/>
      <c r="J22" s="152"/>
      <c r="K22" s="7" t="e">
        <f>"P"&amp;Tab_FOMP[[#This Row],[Process_ID]]&amp;"_"&amp;_xlfn.XLOOKUP($J22,CL_3.1_FOMP_Parameters[Category ID],CL_3.1_FOMP_Parameters[Pool_ID],,0,)</f>
        <v>#N/A</v>
      </c>
      <c r="L22" s="152"/>
      <c r="M22" s="8"/>
    </row>
    <row r="23" spans="1:13" x14ac:dyDescent="0.25">
      <c r="A23" s="156" t="b">
        <v>0</v>
      </c>
      <c r="B23" s="7">
        <f t="shared" si="0"/>
        <v>22</v>
      </c>
      <c r="C23" s="7" t="e">
        <f>_xlfn.XLOOKUP($D23,Tab_Def_Processes[Process_Name],Tab_Def_Processes[Process_ID],,0,)</f>
        <v>#N/A</v>
      </c>
      <c r="D23" s="152" t="s">
        <v>30</v>
      </c>
      <c r="E23" s="7" t="e">
        <f>_xlfn.XLOOKUP($D23,Tab_Def_Processes[Process_Name],Tab_Def_Processes[Process_Logic],,0,)</f>
        <v>#N/A</v>
      </c>
      <c r="F23" s="7" t="e">
        <f>_xlfn.XLOOKUP($D23,Tab_Def_Processes[Process_Name],Tab_Def_Processes[TC_Configuration],,0,)</f>
        <v>#N/A</v>
      </c>
      <c r="G23" s="7" t="e">
        <f>_xlfn.XLOOKUP($D23,Tab_Def_Processes[Process_Name],Tab_Def_Processes[Stock_Configuration],,0,)</f>
        <v>#N/A</v>
      </c>
      <c r="H23" s="7" t="e">
        <f>_xlfn.XLOOKUP(Tab_FOMP[[#This Row],[Process_Name]],Tab_Def_Processes[Process_Name],Tab_Def_Processes[Nr. Outflows],,0,)</f>
        <v>#N/A</v>
      </c>
      <c r="I23" s="8"/>
      <c r="J23" s="152"/>
      <c r="K23" s="7" t="e">
        <f>"P"&amp;Tab_FOMP[[#This Row],[Process_ID]]&amp;"_"&amp;_xlfn.XLOOKUP($J23,CL_3.1_FOMP_Parameters[Category ID],CL_3.1_FOMP_Parameters[Pool_ID],,0,)</f>
        <v>#N/A</v>
      </c>
      <c r="L23" s="152"/>
      <c r="M23" s="8"/>
    </row>
    <row r="24" spans="1:13" x14ac:dyDescent="0.25">
      <c r="A24" s="156" t="b">
        <v>0</v>
      </c>
      <c r="B24" s="7">
        <f t="shared" si="0"/>
        <v>23</v>
      </c>
      <c r="C24" s="7" t="e">
        <f>_xlfn.XLOOKUP($D24,Tab_Def_Processes[Process_Name],Tab_Def_Processes[Process_ID],,0,)</f>
        <v>#N/A</v>
      </c>
      <c r="D24" s="152" t="s">
        <v>30</v>
      </c>
      <c r="E24" s="7" t="e">
        <f>_xlfn.XLOOKUP($D24,Tab_Def_Processes[Process_Name],Tab_Def_Processes[Process_Logic],,0,)</f>
        <v>#N/A</v>
      </c>
      <c r="F24" s="7" t="e">
        <f>_xlfn.XLOOKUP($D24,Tab_Def_Processes[Process_Name],Tab_Def_Processes[TC_Configuration],,0,)</f>
        <v>#N/A</v>
      </c>
      <c r="G24" s="7" t="e">
        <f>_xlfn.XLOOKUP($D24,Tab_Def_Processes[Process_Name],Tab_Def_Processes[Stock_Configuration],,0,)</f>
        <v>#N/A</v>
      </c>
      <c r="H24" s="7" t="e">
        <f>_xlfn.XLOOKUP(Tab_FOMP[[#This Row],[Process_Name]],Tab_Def_Processes[Process_Name],Tab_Def_Processes[Nr. Outflows],,0,)</f>
        <v>#N/A</v>
      </c>
      <c r="I24" s="8"/>
      <c r="J24" s="152"/>
      <c r="K24" s="7" t="e">
        <f>"P"&amp;Tab_FOMP[[#This Row],[Process_ID]]&amp;"_"&amp;_xlfn.XLOOKUP($J24,CL_3.1_FOMP_Parameters[Category ID],CL_3.1_FOMP_Parameters[Pool_ID],,0,)</f>
        <v>#N/A</v>
      </c>
      <c r="L24" s="152"/>
      <c r="M24" s="8"/>
    </row>
    <row r="25" spans="1:13" x14ac:dyDescent="0.25">
      <c r="A25" s="156" t="b">
        <v>0</v>
      </c>
      <c r="B25" s="7">
        <f t="shared" si="0"/>
        <v>24</v>
      </c>
      <c r="C25" s="7" t="e">
        <f>_xlfn.XLOOKUP($D25,Tab_Def_Processes[Process_Name],Tab_Def_Processes[Process_ID],,0,)</f>
        <v>#N/A</v>
      </c>
      <c r="D25" s="152" t="s">
        <v>30</v>
      </c>
      <c r="E25" s="7" t="e">
        <f>_xlfn.XLOOKUP($D25,Tab_Def_Processes[Process_Name],Tab_Def_Processes[Process_Logic],,0,)</f>
        <v>#N/A</v>
      </c>
      <c r="F25" s="7" t="e">
        <f>_xlfn.XLOOKUP($D25,Tab_Def_Processes[Process_Name],Tab_Def_Processes[TC_Configuration],,0,)</f>
        <v>#N/A</v>
      </c>
      <c r="G25" s="7" t="e">
        <f>_xlfn.XLOOKUP($D25,Tab_Def_Processes[Process_Name],Tab_Def_Processes[Stock_Configuration],,0,)</f>
        <v>#N/A</v>
      </c>
      <c r="H25" s="7" t="e">
        <f>_xlfn.XLOOKUP(Tab_FOMP[[#This Row],[Process_Name]],Tab_Def_Processes[Process_Name],Tab_Def_Processes[Nr. Outflows],,0,)</f>
        <v>#N/A</v>
      </c>
      <c r="I25" s="8"/>
      <c r="J25" s="152"/>
      <c r="K25" s="7" t="e">
        <f>"P"&amp;Tab_FOMP[[#This Row],[Process_ID]]&amp;"_"&amp;_xlfn.XLOOKUP($J25,CL_3.1_FOMP_Parameters[Category ID],CL_3.1_FOMP_Parameters[Pool_ID],,0,)</f>
        <v>#N/A</v>
      </c>
      <c r="L25" s="152"/>
      <c r="M25" s="8"/>
    </row>
    <row r="26" spans="1:13" x14ac:dyDescent="0.25">
      <c r="A26" s="156" t="b">
        <v>0</v>
      </c>
      <c r="B26" s="7">
        <f t="shared" si="0"/>
        <v>25</v>
      </c>
      <c r="C26" s="7" t="e">
        <f>_xlfn.XLOOKUP($D26,Tab_Def_Processes[Process_Name],Tab_Def_Processes[Process_ID],,0,)</f>
        <v>#N/A</v>
      </c>
      <c r="D26" s="152" t="s">
        <v>30</v>
      </c>
      <c r="E26" s="7" t="e">
        <f>_xlfn.XLOOKUP($D26,Tab_Def_Processes[Process_Name],Tab_Def_Processes[Process_Logic],,0,)</f>
        <v>#N/A</v>
      </c>
      <c r="F26" s="7" t="e">
        <f>_xlfn.XLOOKUP($D26,Tab_Def_Processes[Process_Name],Tab_Def_Processes[TC_Configuration],,0,)</f>
        <v>#N/A</v>
      </c>
      <c r="G26" s="7" t="e">
        <f>_xlfn.XLOOKUP($D26,Tab_Def_Processes[Process_Name],Tab_Def_Processes[Stock_Configuration],,0,)</f>
        <v>#N/A</v>
      </c>
      <c r="H26" s="7" t="e">
        <f>_xlfn.XLOOKUP(Tab_FOMP[[#This Row],[Process_Name]],Tab_Def_Processes[Process_Name],Tab_Def_Processes[Nr. Outflows],,0,)</f>
        <v>#N/A</v>
      </c>
      <c r="I26" s="8"/>
      <c r="J26" s="152"/>
      <c r="K26" s="7" t="e">
        <f>"P"&amp;Tab_FOMP[[#This Row],[Process_ID]]&amp;"_"&amp;_xlfn.XLOOKUP($J26,CL_3.1_FOMP_Parameters[Category ID],CL_3.1_FOMP_Parameters[Pool_ID],,0,)</f>
        <v>#N/A</v>
      </c>
      <c r="L26" s="152"/>
      <c r="M26" s="8"/>
    </row>
    <row r="27" spans="1:13" x14ac:dyDescent="0.25">
      <c r="A27" s="156" t="b">
        <v>0</v>
      </c>
      <c r="B27" s="7">
        <f t="shared" si="0"/>
        <v>26</v>
      </c>
      <c r="C27" s="7" t="e">
        <f>_xlfn.XLOOKUP($D27,Tab_Def_Processes[Process_Name],Tab_Def_Processes[Process_ID],,0,)</f>
        <v>#N/A</v>
      </c>
      <c r="D27" s="152" t="s">
        <v>30</v>
      </c>
      <c r="E27" s="7" t="e">
        <f>_xlfn.XLOOKUP($D27,Tab_Def_Processes[Process_Name],Tab_Def_Processes[Process_Logic],,0,)</f>
        <v>#N/A</v>
      </c>
      <c r="F27" s="7" t="e">
        <f>_xlfn.XLOOKUP($D27,Tab_Def_Processes[Process_Name],Tab_Def_Processes[TC_Configuration],,0,)</f>
        <v>#N/A</v>
      </c>
      <c r="G27" s="7" t="e">
        <f>_xlfn.XLOOKUP($D27,Tab_Def_Processes[Process_Name],Tab_Def_Processes[Stock_Configuration],,0,)</f>
        <v>#N/A</v>
      </c>
      <c r="H27" s="7" t="e">
        <f>_xlfn.XLOOKUP(Tab_FOMP[[#This Row],[Process_Name]],Tab_Def_Processes[Process_Name],Tab_Def_Processes[Nr. Outflows],,0,)</f>
        <v>#N/A</v>
      </c>
      <c r="I27" s="8"/>
      <c r="J27" s="152"/>
      <c r="K27" s="7" t="e">
        <f>"P"&amp;Tab_FOMP[[#This Row],[Process_ID]]&amp;"_"&amp;_xlfn.XLOOKUP($J27,CL_3.1_FOMP_Parameters[Category ID],CL_3.1_FOMP_Parameters[Pool_ID],,0,)</f>
        <v>#N/A</v>
      </c>
      <c r="L27" s="152"/>
      <c r="M27" s="8"/>
    </row>
    <row r="28" spans="1:13" x14ac:dyDescent="0.25">
      <c r="A28" s="156" t="b">
        <v>0</v>
      </c>
      <c r="B28" s="7">
        <f t="shared" si="0"/>
        <v>27</v>
      </c>
      <c r="C28" s="7" t="e">
        <f>_xlfn.XLOOKUP($D28,Tab_Def_Processes[Process_Name],Tab_Def_Processes[Process_ID],,0,)</f>
        <v>#N/A</v>
      </c>
      <c r="D28" s="152" t="s">
        <v>30</v>
      </c>
      <c r="E28" s="7" t="e">
        <f>_xlfn.XLOOKUP($D28,Tab_Def_Processes[Process_Name],Tab_Def_Processes[Process_Logic],,0,)</f>
        <v>#N/A</v>
      </c>
      <c r="F28" s="7" t="e">
        <f>_xlfn.XLOOKUP($D28,Tab_Def_Processes[Process_Name],Tab_Def_Processes[TC_Configuration],,0,)</f>
        <v>#N/A</v>
      </c>
      <c r="G28" s="7" t="e">
        <f>_xlfn.XLOOKUP($D28,Tab_Def_Processes[Process_Name],Tab_Def_Processes[Stock_Configuration],,0,)</f>
        <v>#N/A</v>
      </c>
      <c r="H28" s="7" t="e">
        <f>_xlfn.XLOOKUP(Tab_FOMP[[#This Row],[Process_Name]],Tab_Def_Processes[Process_Name],Tab_Def_Processes[Nr. Outflows],,0,)</f>
        <v>#N/A</v>
      </c>
      <c r="I28" s="8"/>
      <c r="J28" s="152"/>
      <c r="K28" s="7" t="e">
        <f>"P"&amp;Tab_FOMP[[#This Row],[Process_ID]]&amp;"_"&amp;_xlfn.XLOOKUP($J28,CL_3.1_FOMP_Parameters[Category ID],CL_3.1_FOMP_Parameters[Pool_ID],,0,)</f>
        <v>#N/A</v>
      </c>
      <c r="L28" s="152"/>
      <c r="M28" s="8"/>
    </row>
    <row r="29" spans="1:13" x14ac:dyDescent="0.25">
      <c r="A29" s="156" t="b">
        <v>0</v>
      </c>
      <c r="B29" s="7">
        <f t="shared" si="0"/>
        <v>28</v>
      </c>
      <c r="C29" s="7" t="e">
        <f>_xlfn.XLOOKUP($D29,Tab_Def_Processes[Process_Name],Tab_Def_Processes[Process_ID],,0,)</f>
        <v>#N/A</v>
      </c>
      <c r="D29" s="152" t="s">
        <v>30</v>
      </c>
      <c r="E29" s="7" t="e">
        <f>_xlfn.XLOOKUP($D29,Tab_Def_Processes[Process_Name],Tab_Def_Processes[Process_Logic],,0,)</f>
        <v>#N/A</v>
      </c>
      <c r="F29" s="7" t="e">
        <f>_xlfn.XLOOKUP($D29,Tab_Def_Processes[Process_Name],Tab_Def_Processes[TC_Configuration],,0,)</f>
        <v>#N/A</v>
      </c>
      <c r="G29" s="7" t="e">
        <f>_xlfn.XLOOKUP($D29,Tab_Def_Processes[Process_Name],Tab_Def_Processes[Stock_Configuration],,0,)</f>
        <v>#N/A</v>
      </c>
      <c r="H29" s="7" t="e">
        <f>_xlfn.XLOOKUP(Tab_FOMP[[#This Row],[Process_Name]],Tab_Def_Processes[Process_Name],Tab_Def_Processes[Nr. Outflows],,0,)</f>
        <v>#N/A</v>
      </c>
      <c r="I29" s="8"/>
      <c r="J29" s="152"/>
      <c r="K29" s="7" t="e">
        <f>"P"&amp;Tab_FOMP[[#This Row],[Process_ID]]&amp;"_"&amp;_xlfn.XLOOKUP($J29,CL_3.1_FOMP_Parameters[Category ID],CL_3.1_FOMP_Parameters[Pool_ID],,0,)</f>
        <v>#N/A</v>
      </c>
      <c r="L29" s="152"/>
      <c r="M29" s="8"/>
    </row>
    <row r="30" spans="1:13" x14ac:dyDescent="0.25">
      <c r="A30" s="156" t="b">
        <v>0</v>
      </c>
      <c r="B30" s="7">
        <f t="shared" si="0"/>
        <v>29</v>
      </c>
      <c r="C30" s="7" t="e">
        <f>_xlfn.XLOOKUP($D30,Tab_Def_Processes[Process_Name],Tab_Def_Processes[Process_ID],,0,)</f>
        <v>#N/A</v>
      </c>
      <c r="D30" s="152" t="s">
        <v>30</v>
      </c>
      <c r="E30" s="7" t="e">
        <f>_xlfn.XLOOKUP($D30,Tab_Def_Processes[Process_Name],Tab_Def_Processes[Process_Logic],,0,)</f>
        <v>#N/A</v>
      </c>
      <c r="F30" s="7" t="e">
        <f>_xlfn.XLOOKUP($D30,Tab_Def_Processes[Process_Name],Tab_Def_Processes[TC_Configuration],,0,)</f>
        <v>#N/A</v>
      </c>
      <c r="G30" s="7" t="e">
        <f>_xlfn.XLOOKUP($D30,Tab_Def_Processes[Process_Name],Tab_Def_Processes[Stock_Configuration],,0,)</f>
        <v>#N/A</v>
      </c>
      <c r="H30" s="7" t="e">
        <f>_xlfn.XLOOKUP(Tab_FOMP[[#This Row],[Process_Name]],Tab_Def_Processes[Process_Name],Tab_Def_Processes[Nr. Outflows],,0,)</f>
        <v>#N/A</v>
      </c>
      <c r="I30" s="8"/>
      <c r="J30" s="152"/>
      <c r="K30" s="7" t="e">
        <f>"P"&amp;Tab_FOMP[[#This Row],[Process_ID]]&amp;"_"&amp;_xlfn.XLOOKUP($J30,CL_3.1_FOMP_Parameters[Category ID],CL_3.1_FOMP_Parameters[Pool_ID],,0,)</f>
        <v>#N/A</v>
      </c>
      <c r="L30" s="152"/>
      <c r="M30" s="8"/>
    </row>
    <row r="31" spans="1:13" x14ac:dyDescent="0.25">
      <c r="A31" s="156" t="b">
        <v>0</v>
      </c>
      <c r="B31" s="7">
        <f t="shared" si="0"/>
        <v>30</v>
      </c>
      <c r="C31" s="7" t="e">
        <f>_xlfn.XLOOKUP($D31,Tab_Def_Processes[Process_Name],Tab_Def_Processes[Process_ID],,0,)</f>
        <v>#N/A</v>
      </c>
      <c r="D31" s="152" t="s">
        <v>30</v>
      </c>
      <c r="E31" s="7" t="e">
        <f>_xlfn.XLOOKUP($D31,Tab_Def_Processes[Process_Name],Tab_Def_Processes[Process_Logic],,0,)</f>
        <v>#N/A</v>
      </c>
      <c r="F31" s="7" t="e">
        <f>_xlfn.XLOOKUP($D31,Tab_Def_Processes[Process_Name],Tab_Def_Processes[TC_Configuration],,0,)</f>
        <v>#N/A</v>
      </c>
      <c r="G31" s="7" t="e">
        <f>_xlfn.XLOOKUP($D31,Tab_Def_Processes[Process_Name],Tab_Def_Processes[Stock_Configuration],,0,)</f>
        <v>#N/A</v>
      </c>
      <c r="H31" s="7" t="e">
        <f>_xlfn.XLOOKUP(Tab_FOMP[[#This Row],[Process_Name]],Tab_Def_Processes[Process_Name],Tab_Def_Processes[Nr. Outflows],,0,)</f>
        <v>#N/A</v>
      </c>
      <c r="I31" s="8"/>
      <c r="J31" s="152"/>
      <c r="K31" s="7" t="e">
        <f>"P"&amp;Tab_FOMP[[#This Row],[Process_ID]]&amp;"_"&amp;_xlfn.XLOOKUP($J31,CL_3.1_FOMP_Parameters[Category ID],CL_3.1_FOMP_Parameters[Pool_ID],,0,)</f>
        <v>#N/A</v>
      </c>
      <c r="L31" s="152"/>
      <c r="M31" s="8"/>
    </row>
    <row r="32" spans="1:13" x14ac:dyDescent="0.25">
      <c r="A32" s="156" t="b">
        <v>0</v>
      </c>
      <c r="B32" s="7">
        <f t="shared" si="0"/>
        <v>31</v>
      </c>
      <c r="C32" s="7" t="e">
        <f>_xlfn.XLOOKUP($D32,Tab_Def_Processes[Process_Name],Tab_Def_Processes[Process_ID],,0,)</f>
        <v>#N/A</v>
      </c>
      <c r="D32" s="152" t="s">
        <v>30</v>
      </c>
      <c r="E32" s="7" t="e">
        <f>_xlfn.XLOOKUP($D32,Tab_Def_Processes[Process_Name],Tab_Def_Processes[Process_Logic],,0,)</f>
        <v>#N/A</v>
      </c>
      <c r="F32" s="7" t="e">
        <f>_xlfn.XLOOKUP($D32,Tab_Def_Processes[Process_Name],Tab_Def_Processes[TC_Configuration],,0,)</f>
        <v>#N/A</v>
      </c>
      <c r="G32" s="7" t="e">
        <f>_xlfn.XLOOKUP($D32,Tab_Def_Processes[Process_Name],Tab_Def_Processes[Stock_Configuration],,0,)</f>
        <v>#N/A</v>
      </c>
      <c r="H32" s="7" t="e">
        <f>_xlfn.XLOOKUP(Tab_FOMP[[#This Row],[Process_Name]],Tab_Def_Processes[Process_Name],Tab_Def_Processes[Nr. Outflows],,0,)</f>
        <v>#N/A</v>
      </c>
      <c r="I32" s="8"/>
      <c r="J32" s="152"/>
      <c r="K32" s="7" t="e">
        <f>"P"&amp;Tab_FOMP[[#This Row],[Process_ID]]&amp;"_"&amp;_xlfn.XLOOKUP($J32,CL_3.1_FOMP_Parameters[Category ID],CL_3.1_FOMP_Parameters[Pool_ID],,0,)</f>
        <v>#N/A</v>
      </c>
      <c r="L32" s="152"/>
      <c r="M32" s="8"/>
    </row>
    <row r="33" spans="1:13" x14ac:dyDescent="0.25">
      <c r="A33" s="156" t="b">
        <v>0</v>
      </c>
      <c r="B33" s="7">
        <f t="shared" si="0"/>
        <v>32</v>
      </c>
      <c r="C33" s="7" t="e">
        <f>_xlfn.XLOOKUP($D33,Tab_Def_Processes[Process_Name],Tab_Def_Processes[Process_ID],,0,)</f>
        <v>#N/A</v>
      </c>
      <c r="D33" s="152" t="s">
        <v>30</v>
      </c>
      <c r="E33" s="7" t="e">
        <f>_xlfn.XLOOKUP($D33,Tab_Def_Processes[Process_Name],Tab_Def_Processes[Process_Logic],,0,)</f>
        <v>#N/A</v>
      </c>
      <c r="F33" s="7" t="e">
        <f>_xlfn.XLOOKUP($D33,Tab_Def_Processes[Process_Name],Tab_Def_Processes[TC_Configuration],,0,)</f>
        <v>#N/A</v>
      </c>
      <c r="G33" s="7" t="e">
        <f>_xlfn.XLOOKUP($D33,Tab_Def_Processes[Process_Name],Tab_Def_Processes[Stock_Configuration],,0,)</f>
        <v>#N/A</v>
      </c>
      <c r="H33" s="7" t="e">
        <f>_xlfn.XLOOKUP(Tab_FOMP[[#This Row],[Process_Name]],Tab_Def_Processes[Process_Name],Tab_Def_Processes[Nr. Outflows],,0,)</f>
        <v>#N/A</v>
      </c>
      <c r="I33" s="8"/>
      <c r="J33" s="152"/>
      <c r="K33" s="7" t="e">
        <f>"P"&amp;Tab_FOMP[[#This Row],[Process_ID]]&amp;"_"&amp;_xlfn.XLOOKUP($J33,CL_3.1_FOMP_Parameters[Category ID],CL_3.1_FOMP_Parameters[Pool_ID],,0,)</f>
        <v>#N/A</v>
      </c>
      <c r="L33" s="152"/>
      <c r="M33" s="8"/>
    </row>
    <row r="34" spans="1:13" x14ac:dyDescent="0.25">
      <c r="A34" s="156" t="b">
        <v>0</v>
      </c>
      <c r="B34" s="7">
        <f t="shared" si="0"/>
        <v>33</v>
      </c>
      <c r="C34" s="7" t="e">
        <f>_xlfn.XLOOKUP($D34,Tab_Def_Processes[Process_Name],Tab_Def_Processes[Process_ID],,0,)</f>
        <v>#N/A</v>
      </c>
      <c r="D34" s="152" t="s">
        <v>30</v>
      </c>
      <c r="E34" s="7" t="e">
        <f>_xlfn.XLOOKUP($D34,Tab_Def_Processes[Process_Name],Tab_Def_Processes[Process_Logic],,0,)</f>
        <v>#N/A</v>
      </c>
      <c r="F34" s="7" t="e">
        <f>_xlfn.XLOOKUP($D34,Tab_Def_Processes[Process_Name],Tab_Def_Processes[TC_Configuration],,0,)</f>
        <v>#N/A</v>
      </c>
      <c r="G34" s="7" t="e">
        <f>_xlfn.XLOOKUP($D34,Tab_Def_Processes[Process_Name],Tab_Def_Processes[Stock_Configuration],,0,)</f>
        <v>#N/A</v>
      </c>
      <c r="H34" s="7" t="e">
        <f>_xlfn.XLOOKUP(Tab_FOMP[[#This Row],[Process_Name]],Tab_Def_Processes[Process_Name],Tab_Def_Processes[Nr. Outflows],,0,)</f>
        <v>#N/A</v>
      </c>
      <c r="I34" s="8"/>
      <c r="J34" s="152"/>
      <c r="K34" s="7" t="e">
        <f>"P"&amp;Tab_FOMP[[#This Row],[Process_ID]]&amp;"_"&amp;_xlfn.XLOOKUP($J34,CL_3.1_FOMP_Parameters[Category ID],CL_3.1_FOMP_Parameters[Pool_ID],,0,)</f>
        <v>#N/A</v>
      </c>
      <c r="L34" s="152"/>
      <c r="M34" s="8"/>
    </row>
    <row r="35" spans="1:13" x14ac:dyDescent="0.25">
      <c r="A35" s="156" t="b">
        <v>0</v>
      </c>
      <c r="B35" s="7">
        <f t="shared" si="0"/>
        <v>34</v>
      </c>
      <c r="C35" s="7" t="e">
        <f>_xlfn.XLOOKUP($D35,Tab_Def_Processes[Process_Name],Tab_Def_Processes[Process_ID],,0,)</f>
        <v>#N/A</v>
      </c>
      <c r="D35" s="152" t="s">
        <v>30</v>
      </c>
      <c r="E35" s="7" t="e">
        <f>_xlfn.XLOOKUP($D35,Tab_Def_Processes[Process_Name],Tab_Def_Processes[Process_Logic],,0,)</f>
        <v>#N/A</v>
      </c>
      <c r="F35" s="7" t="e">
        <f>_xlfn.XLOOKUP($D35,Tab_Def_Processes[Process_Name],Tab_Def_Processes[TC_Configuration],,0,)</f>
        <v>#N/A</v>
      </c>
      <c r="G35" s="7" t="e">
        <f>_xlfn.XLOOKUP($D35,Tab_Def_Processes[Process_Name],Tab_Def_Processes[Stock_Configuration],,0,)</f>
        <v>#N/A</v>
      </c>
      <c r="H35" s="7" t="e">
        <f>_xlfn.XLOOKUP(Tab_FOMP[[#This Row],[Process_Name]],Tab_Def_Processes[Process_Name],Tab_Def_Processes[Nr. Outflows],,0,)</f>
        <v>#N/A</v>
      </c>
      <c r="I35" s="8"/>
      <c r="J35" s="152"/>
      <c r="K35" s="7" t="e">
        <f>"P"&amp;Tab_FOMP[[#This Row],[Process_ID]]&amp;"_"&amp;_xlfn.XLOOKUP($J35,CL_3.1_FOMP_Parameters[Category ID],CL_3.1_FOMP_Parameters[Pool_ID],,0,)</f>
        <v>#N/A</v>
      </c>
      <c r="L35" s="152"/>
      <c r="M35" s="8"/>
    </row>
    <row r="36" spans="1:13" x14ac:dyDescent="0.25">
      <c r="A36" s="156" t="b">
        <v>0</v>
      </c>
      <c r="B36" s="7">
        <f t="shared" si="0"/>
        <v>35</v>
      </c>
      <c r="C36" s="7" t="e">
        <f>_xlfn.XLOOKUP($D36,Tab_Def_Processes[Process_Name],Tab_Def_Processes[Process_ID],,0,)</f>
        <v>#N/A</v>
      </c>
      <c r="D36" s="152" t="s">
        <v>30</v>
      </c>
      <c r="E36" s="7" t="e">
        <f>_xlfn.XLOOKUP($D36,Tab_Def_Processes[Process_Name],Tab_Def_Processes[Process_Logic],,0,)</f>
        <v>#N/A</v>
      </c>
      <c r="F36" s="7" t="e">
        <f>_xlfn.XLOOKUP($D36,Tab_Def_Processes[Process_Name],Tab_Def_Processes[TC_Configuration],,0,)</f>
        <v>#N/A</v>
      </c>
      <c r="G36" s="7" t="e">
        <f>_xlfn.XLOOKUP($D36,Tab_Def_Processes[Process_Name],Tab_Def_Processes[Stock_Configuration],,0,)</f>
        <v>#N/A</v>
      </c>
      <c r="H36" s="7" t="e">
        <f>_xlfn.XLOOKUP(Tab_FOMP[[#This Row],[Process_Name]],Tab_Def_Processes[Process_Name],Tab_Def_Processes[Nr. Outflows],,0,)</f>
        <v>#N/A</v>
      </c>
      <c r="I36" s="8"/>
      <c r="J36" s="152"/>
      <c r="K36" s="7" t="e">
        <f>"P"&amp;Tab_FOMP[[#This Row],[Process_ID]]&amp;"_"&amp;_xlfn.XLOOKUP($J36,CL_3.1_FOMP_Parameters[Category ID],CL_3.1_FOMP_Parameters[Pool_ID],,0,)</f>
        <v>#N/A</v>
      </c>
      <c r="L36" s="152"/>
      <c r="M36" s="8"/>
    </row>
    <row r="37" spans="1:13" x14ac:dyDescent="0.25">
      <c r="A37" s="156" t="b">
        <v>0</v>
      </c>
      <c r="B37" s="7">
        <f t="shared" si="0"/>
        <v>36</v>
      </c>
      <c r="C37" s="7" t="e">
        <f>_xlfn.XLOOKUP($D37,Tab_Def_Processes[Process_Name],Tab_Def_Processes[Process_ID],,0,)</f>
        <v>#N/A</v>
      </c>
      <c r="D37" s="152" t="s">
        <v>30</v>
      </c>
      <c r="E37" s="7" t="e">
        <f>_xlfn.XLOOKUP($D37,Tab_Def_Processes[Process_Name],Tab_Def_Processes[Process_Logic],,0,)</f>
        <v>#N/A</v>
      </c>
      <c r="F37" s="7" t="e">
        <f>_xlfn.XLOOKUP($D37,Tab_Def_Processes[Process_Name],Tab_Def_Processes[TC_Configuration],,0,)</f>
        <v>#N/A</v>
      </c>
      <c r="G37" s="7" t="e">
        <f>_xlfn.XLOOKUP($D37,Tab_Def_Processes[Process_Name],Tab_Def_Processes[Stock_Configuration],,0,)</f>
        <v>#N/A</v>
      </c>
      <c r="H37" s="7" t="e">
        <f>_xlfn.XLOOKUP(Tab_FOMP[[#This Row],[Process_Name]],Tab_Def_Processes[Process_Name],Tab_Def_Processes[Nr. Outflows],,0,)</f>
        <v>#N/A</v>
      </c>
      <c r="I37" s="8"/>
      <c r="J37" s="152"/>
      <c r="K37" s="7" t="e">
        <f>"P"&amp;Tab_FOMP[[#This Row],[Process_ID]]&amp;"_"&amp;_xlfn.XLOOKUP($J37,CL_3.1_FOMP_Parameters[Category ID],CL_3.1_FOMP_Parameters[Pool_ID],,0,)</f>
        <v>#N/A</v>
      </c>
      <c r="L37" s="152"/>
      <c r="M37" s="8"/>
    </row>
    <row r="38" spans="1:13" x14ac:dyDescent="0.25">
      <c r="A38" s="156" t="b">
        <v>0</v>
      </c>
      <c r="B38" s="7">
        <f t="shared" si="0"/>
        <v>37</v>
      </c>
      <c r="C38" s="7" t="e">
        <f>_xlfn.XLOOKUP($D38,Tab_Def_Processes[Process_Name],Tab_Def_Processes[Process_ID],,0,)</f>
        <v>#N/A</v>
      </c>
      <c r="D38" s="152" t="s">
        <v>30</v>
      </c>
      <c r="E38" s="7" t="e">
        <f>_xlfn.XLOOKUP($D38,Tab_Def_Processes[Process_Name],Tab_Def_Processes[Process_Logic],,0,)</f>
        <v>#N/A</v>
      </c>
      <c r="F38" s="7" t="e">
        <f>_xlfn.XLOOKUP($D38,Tab_Def_Processes[Process_Name],Tab_Def_Processes[TC_Configuration],,0,)</f>
        <v>#N/A</v>
      </c>
      <c r="G38" s="7" t="e">
        <f>_xlfn.XLOOKUP($D38,Tab_Def_Processes[Process_Name],Tab_Def_Processes[Stock_Configuration],,0,)</f>
        <v>#N/A</v>
      </c>
      <c r="H38" s="7" t="e">
        <f>_xlfn.XLOOKUP(Tab_FOMP[[#This Row],[Process_Name]],Tab_Def_Processes[Process_Name],Tab_Def_Processes[Nr. Outflows],,0,)</f>
        <v>#N/A</v>
      </c>
      <c r="I38" s="8"/>
      <c r="J38" s="152"/>
      <c r="K38" s="7" t="e">
        <f>"P"&amp;Tab_FOMP[[#This Row],[Process_ID]]&amp;"_"&amp;_xlfn.XLOOKUP($J38,CL_3.1_FOMP_Parameters[Category ID],CL_3.1_FOMP_Parameters[Pool_ID],,0,)</f>
        <v>#N/A</v>
      </c>
      <c r="L38" s="152"/>
      <c r="M38" s="8"/>
    </row>
    <row r="39" spans="1:13" x14ac:dyDescent="0.25">
      <c r="A39" s="156" t="b">
        <v>0</v>
      </c>
      <c r="B39" s="7">
        <f t="shared" si="0"/>
        <v>38</v>
      </c>
      <c r="C39" s="7" t="e">
        <f>_xlfn.XLOOKUP($D39,Tab_Def_Processes[Process_Name],Tab_Def_Processes[Process_ID],,0,)</f>
        <v>#N/A</v>
      </c>
      <c r="D39" s="152" t="s">
        <v>30</v>
      </c>
      <c r="E39" s="7" t="e">
        <f>_xlfn.XLOOKUP($D39,Tab_Def_Processes[Process_Name],Tab_Def_Processes[Process_Logic],,0,)</f>
        <v>#N/A</v>
      </c>
      <c r="F39" s="7" t="e">
        <f>_xlfn.XLOOKUP($D39,Tab_Def_Processes[Process_Name],Tab_Def_Processes[TC_Configuration],,0,)</f>
        <v>#N/A</v>
      </c>
      <c r="G39" s="7" t="e">
        <f>_xlfn.XLOOKUP($D39,Tab_Def_Processes[Process_Name],Tab_Def_Processes[Stock_Configuration],,0,)</f>
        <v>#N/A</v>
      </c>
      <c r="H39" s="7" t="e">
        <f>_xlfn.XLOOKUP(Tab_FOMP[[#This Row],[Process_Name]],Tab_Def_Processes[Process_Name],Tab_Def_Processes[Nr. Outflows],,0,)</f>
        <v>#N/A</v>
      </c>
      <c r="I39" s="8"/>
      <c r="J39" s="152"/>
      <c r="K39" s="7" t="e">
        <f>"P"&amp;Tab_FOMP[[#This Row],[Process_ID]]&amp;"_"&amp;_xlfn.XLOOKUP($J39,CL_3.1_FOMP_Parameters[Category ID],CL_3.1_FOMP_Parameters[Pool_ID],,0,)</f>
        <v>#N/A</v>
      </c>
      <c r="L39" s="152"/>
      <c r="M39" s="8"/>
    </row>
    <row r="40" spans="1:13" x14ac:dyDescent="0.25">
      <c r="A40" s="156" t="b">
        <v>0</v>
      </c>
      <c r="B40" s="7">
        <f t="shared" si="0"/>
        <v>39</v>
      </c>
      <c r="C40" s="7" t="e">
        <f>_xlfn.XLOOKUP($D40,Tab_Def_Processes[Process_Name],Tab_Def_Processes[Process_ID],,0,)</f>
        <v>#N/A</v>
      </c>
      <c r="D40" s="152" t="s">
        <v>30</v>
      </c>
      <c r="E40" s="7" t="e">
        <f>_xlfn.XLOOKUP($D40,Tab_Def_Processes[Process_Name],Tab_Def_Processes[Process_Logic],,0,)</f>
        <v>#N/A</v>
      </c>
      <c r="F40" s="7" t="e">
        <f>_xlfn.XLOOKUP($D40,Tab_Def_Processes[Process_Name],Tab_Def_Processes[TC_Configuration],,0,)</f>
        <v>#N/A</v>
      </c>
      <c r="G40" s="7" t="e">
        <f>_xlfn.XLOOKUP($D40,Tab_Def_Processes[Process_Name],Tab_Def_Processes[Stock_Configuration],,0,)</f>
        <v>#N/A</v>
      </c>
      <c r="H40" s="7" t="e">
        <f>_xlfn.XLOOKUP(Tab_FOMP[[#This Row],[Process_Name]],Tab_Def_Processes[Process_Name],Tab_Def_Processes[Nr. Outflows],,0,)</f>
        <v>#N/A</v>
      </c>
      <c r="I40" s="8"/>
      <c r="J40" s="152"/>
      <c r="K40" s="7" t="e">
        <f>"P"&amp;Tab_FOMP[[#This Row],[Process_ID]]&amp;"_"&amp;_xlfn.XLOOKUP($J40,CL_3.1_FOMP_Parameters[Category ID],CL_3.1_FOMP_Parameters[Pool_ID],,0,)</f>
        <v>#N/A</v>
      </c>
      <c r="L40" s="152"/>
      <c r="M40" s="8"/>
    </row>
    <row r="41" spans="1:13" x14ac:dyDescent="0.25">
      <c r="A41" s="156" t="b">
        <v>0</v>
      </c>
      <c r="B41" s="148">
        <f t="shared" si="0"/>
        <v>40</v>
      </c>
      <c r="C41" s="148" t="e">
        <f>_xlfn.XLOOKUP($D41,Tab_Def_Processes[Process_Name],Tab_Def_Processes[Process_ID],,0,)</f>
        <v>#N/A</v>
      </c>
      <c r="D41" s="152" t="s">
        <v>30</v>
      </c>
      <c r="E41" s="7" t="e">
        <f>_xlfn.XLOOKUP($D41,Tab_Def_Processes[Process_Name],Tab_Def_Processes[Process_Logic],,0,)</f>
        <v>#N/A</v>
      </c>
      <c r="F41" s="148" t="e">
        <f>_xlfn.XLOOKUP($D41,Tab_Def_Processes[Process_Name],Tab_Def_Processes[TC_Configuration],,0,)</f>
        <v>#N/A</v>
      </c>
      <c r="G41" s="148" t="e">
        <f>_xlfn.XLOOKUP($D41,Tab_Def_Processes[Process_Name],Tab_Def_Processes[Stock_Configuration],,0,)</f>
        <v>#N/A</v>
      </c>
      <c r="H41" s="7" t="e">
        <f>_xlfn.XLOOKUP(Tab_FOMP[[#This Row],[Process_Name]],Tab_Def_Processes[Process_Name],Tab_Def_Processes[Nr. Outflows],,0,)</f>
        <v>#N/A</v>
      </c>
      <c r="I41" s="8"/>
      <c r="J41" s="152"/>
      <c r="K41" s="7" t="e">
        <f>"P"&amp;Tab_FOMP[[#This Row],[Process_ID]]&amp;"_"&amp;_xlfn.XLOOKUP($J41,CL_3.1_FOMP_Parameters[Category ID],CL_3.1_FOMP_Parameters[Pool_ID],,0,)</f>
        <v>#N/A</v>
      </c>
      <c r="L41" s="152"/>
      <c r="M41" s="8"/>
    </row>
  </sheetData>
  <phoneticPr fontId="2" type="noConversion"/>
  <dataValidations count="1">
    <dataValidation type="whole" allowBlank="1" showInputMessage="1" showErrorMessage="1" sqref="H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L2:L41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J2:J41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M39" sqref="M39"/>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5" t="s">
        <v>27</v>
      </c>
      <c r="B1" s="155" t="s">
        <v>336</v>
      </c>
      <c r="C1" s="155" t="s">
        <v>161</v>
      </c>
      <c r="D1" s="155" t="s">
        <v>302</v>
      </c>
      <c r="E1" s="155" t="s">
        <v>232</v>
      </c>
      <c r="F1" s="155" t="s">
        <v>330</v>
      </c>
      <c r="G1" s="155" t="s">
        <v>303</v>
      </c>
      <c r="H1" s="155" t="s">
        <v>581</v>
      </c>
      <c r="I1" s="155" t="s">
        <v>582</v>
      </c>
      <c r="J1" s="155" t="s">
        <v>37</v>
      </c>
    </row>
    <row r="2" spans="1:10" x14ac:dyDescent="0.25">
      <c r="A2" s="7">
        <f>ROW()-1</f>
        <v>1</v>
      </c>
      <c r="B2" s="152" t="s">
        <v>622</v>
      </c>
      <c r="C2" s="152"/>
      <c r="D2" s="152"/>
      <c r="E2" s="152" t="s">
        <v>624</v>
      </c>
      <c r="F2" s="152" t="s">
        <v>334</v>
      </c>
      <c r="G2" s="150" t="s">
        <v>627</v>
      </c>
      <c r="H2" s="150">
        <v>2025</v>
      </c>
      <c r="I2" s="244">
        <v>2040</v>
      </c>
      <c r="J2" s="18"/>
    </row>
    <row r="3" spans="1:10" ht="12" customHeight="1" x14ac:dyDescent="0.25">
      <c r="A3" s="7">
        <f t="shared" ref="A3:A18" si="0">ROW()-1</f>
        <v>2</v>
      </c>
      <c r="B3" s="152" t="s">
        <v>622</v>
      </c>
      <c r="C3" s="152"/>
      <c r="D3" s="152"/>
      <c r="E3" s="152" t="s">
        <v>625</v>
      </c>
      <c r="F3" s="152" t="s">
        <v>334</v>
      </c>
      <c r="G3" s="150" t="s">
        <v>627</v>
      </c>
      <c r="H3" s="150">
        <v>2025</v>
      </c>
      <c r="I3" s="244">
        <v>2040</v>
      </c>
      <c r="J3" s="18"/>
    </row>
    <row r="4" spans="1:10" x14ac:dyDescent="0.25">
      <c r="A4" s="7">
        <f t="shared" ref="A4:A17" si="1">ROW()-1</f>
        <v>3</v>
      </c>
      <c r="B4" s="152" t="s">
        <v>622</v>
      </c>
      <c r="C4" s="152"/>
      <c r="D4" s="152"/>
      <c r="E4" s="152" t="s">
        <v>626</v>
      </c>
      <c r="F4" s="152" t="s">
        <v>334</v>
      </c>
      <c r="G4" s="150" t="s">
        <v>627</v>
      </c>
      <c r="H4" s="150">
        <v>2025</v>
      </c>
      <c r="I4" s="244">
        <v>2040</v>
      </c>
      <c r="J4" s="18"/>
    </row>
    <row r="5" spans="1:10" x14ac:dyDescent="0.25">
      <c r="A5" s="7">
        <f t="shared" si="1"/>
        <v>4</v>
      </c>
      <c r="B5" s="152" t="s">
        <v>623</v>
      </c>
      <c r="C5" s="152"/>
      <c r="D5" s="152"/>
      <c r="E5" s="152" t="s">
        <v>624</v>
      </c>
      <c r="F5" s="152" t="s">
        <v>334</v>
      </c>
      <c r="G5" s="245" t="s">
        <v>628</v>
      </c>
      <c r="H5" s="150">
        <v>2025</v>
      </c>
      <c r="I5" s="244">
        <v>2040</v>
      </c>
      <c r="J5" s="18"/>
    </row>
    <row r="6" spans="1:10" x14ac:dyDescent="0.25">
      <c r="A6" s="7">
        <f t="shared" ref="A6:A15" si="2">ROW()-1</f>
        <v>5</v>
      </c>
      <c r="B6" s="152" t="s">
        <v>623</v>
      </c>
      <c r="C6" s="152"/>
      <c r="D6" s="152"/>
      <c r="E6" s="152" t="s">
        <v>625</v>
      </c>
      <c r="F6" s="152" t="s">
        <v>334</v>
      </c>
      <c r="G6" s="245" t="s">
        <v>628</v>
      </c>
      <c r="H6" s="150">
        <v>2025</v>
      </c>
      <c r="I6" s="244">
        <v>2040</v>
      </c>
      <c r="J6" s="18"/>
    </row>
    <row r="7" spans="1:10" x14ac:dyDescent="0.25">
      <c r="A7" s="7">
        <f t="shared" si="2"/>
        <v>6</v>
      </c>
      <c r="B7" s="152" t="s">
        <v>623</v>
      </c>
      <c r="C7" s="152"/>
      <c r="D7" s="152"/>
      <c r="E7" s="152" t="s">
        <v>626</v>
      </c>
      <c r="F7" s="152" t="s">
        <v>334</v>
      </c>
      <c r="G7" s="245" t="s">
        <v>628</v>
      </c>
      <c r="H7" s="150">
        <v>2025</v>
      </c>
      <c r="I7" s="244">
        <v>2040</v>
      </c>
      <c r="J7" s="18"/>
    </row>
    <row r="8" spans="1:10" x14ac:dyDescent="0.25">
      <c r="A8" s="7">
        <f t="shared" si="2"/>
        <v>7</v>
      </c>
      <c r="B8" s="152"/>
      <c r="C8" s="152"/>
      <c r="D8" s="152"/>
      <c r="E8" s="152"/>
      <c r="F8" s="152"/>
      <c r="G8" s="150"/>
      <c r="H8" s="150"/>
      <c r="I8" s="150"/>
      <c r="J8" s="18"/>
    </row>
    <row r="9" spans="1:10" x14ac:dyDescent="0.25">
      <c r="A9" s="7">
        <f t="shared" si="2"/>
        <v>8</v>
      </c>
      <c r="B9" s="152"/>
      <c r="C9" s="152"/>
      <c r="D9" s="152"/>
      <c r="E9" s="152"/>
      <c r="F9" s="152"/>
      <c r="G9" s="150"/>
      <c r="H9" s="150"/>
      <c r="I9" s="150"/>
      <c r="J9" s="18"/>
    </row>
    <row r="10" spans="1:10" x14ac:dyDescent="0.25">
      <c r="A10" s="7">
        <f t="shared" si="2"/>
        <v>9</v>
      </c>
      <c r="B10" s="152"/>
      <c r="C10" s="152"/>
      <c r="D10" s="152"/>
      <c r="E10" s="152"/>
      <c r="F10" s="152"/>
      <c r="G10" s="150"/>
      <c r="H10" s="150"/>
      <c r="I10" s="150"/>
      <c r="J10" s="18"/>
    </row>
    <row r="11" spans="1:10" x14ac:dyDescent="0.25">
      <c r="A11" s="7">
        <f t="shared" si="2"/>
        <v>10</v>
      </c>
      <c r="B11" s="152"/>
      <c r="C11" s="152"/>
      <c r="D11" s="152"/>
      <c r="E11" s="152"/>
      <c r="F11" s="152"/>
      <c r="G11" s="150"/>
      <c r="H11" s="150"/>
      <c r="I11" s="150"/>
      <c r="J11" s="18"/>
    </row>
    <row r="12" spans="1:10" x14ac:dyDescent="0.25">
      <c r="A12" s="7">
        <f t="shared" si="2"/>
        <v>11</v>
      </c>
      <c r="B12" s="152"/>
      <c r="C12" s="152"/>
      <c r="D12" s="152"/>
      <c r="E12" s="152"/>
      <c r="F12" s="152"/>
      <c r="G12" s="150"/>
      <c r="H12" s="150"/>
      <c r="I12" s="150"/>
      <c r="J12" s="18"/>
    </row>
    <row r="13" spans="1:10" x14ac:dyDescent="0.25">
      <c r="A13" s="7">
        <f t="shared" si="2"/>
        <v>12</v>
      </c>
      <c r="B13" s="152"/>
      <c r="C13" s="152"/>
      <c r="D13" s="152"/>
      <c r="E13" s="152"/>
      <c r="F13" s="152"/>
      <c r="G13" s="150"/>
      <c r="H13" s="150"/>
      <c r="I13" s="150"/>
      <c r="J13" s="18"/>
    </row>
    <row r="14" spans="1:10" x14ac:dyDescent="0.25">
      <c r="A14" s="7">
        <f t="shared" si="2"/>
        <v>13</v>
      </c>
      <c r="B14" s="152"/>
      <c r="C14" s="152"/>
      <c r="D14" s="152"/>
      <c r="E14" s="152"/>
      <c r="F14" s="152"/>
      <c r="G14" s="150"/>
      <c r="H14" s="150"/>
      <c r="I14" s="150"/>
      <c r="J14" s="18"/>
    </row>
    <row r="15" spans="1:10" x14ac:dyDescent="0.25">
      <c r="A15" s="7">
        <f t="shared" si="2"/>
        <v>14</v>
      </c>
      <c r="B15" s="152"/>
      <c r="C15" s="152"/>
      <c r="D15" s="152"/>
      <c r="E15" s="152"/>
      <c r="F15" s="152"/>
      <c r="G15" s="150"/>
      <c r="H15" s="150"/>
      <c r="I15" s="150"/>
      <c r="J15" s="18"/>
    </row>
    <row r="16" spans="1:10" x14ac:dyDescent="0.25">
      <c r="A16" s="7">
        <f t="shared" si="1"/>
        <v>15</v>
      </c>
      <c r="B16" s="152"/>
      <c r="C16" s="152"/>
      <c r="D16" s="152"/>
      <c r="E16" s="152"/>
      <c r="F16" s="152"/>
      <c r="G16" s="150"/>
      <c r="H16" s="150"/>
      <c r="I16" s="150"/>
      <c r="J16" s="18"/>
    </row>
    <row r="17" spans="1:10" x14ac:dyDescent="0.25">
      <c r="A17" s="7">
        <f t="shared" si="1"/>
        <v>16</v>
      </c>
      <c r="B17" s="152"/>
      <c r="C17" s="152"/>
      <c r="D17" s="152"/>
      <c r="E17" s="152"/>
      <c r="F17" s="152"/>
      <c r="G17" s="150"/>
      <c r="H17" s="150"/>
      <c r="I17" s="150"/>
      <c r="J17" s="18"/>
    </row>
    <row r="18" spans="1:10" x14ac:dyDescent="0.25">
      <c r="A18" s="7">
        <f t="shared" si="0"/>
        <v>17</v>
      </c>
      <c r="B18" s="152"/>
      <c r="C18" s="152"/>
      <c r="D18" s="152"/>
      <c r="E18" s="152"/>
      <c r="F18" s="152"/>
      <c r="G18" s="150"/>
      <c r="H18" s="150"/>
      <c r="I18" s="150"/>
      <c r="J18" s="18"/>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5" t="s">
        <v>27</v>
      </c>
      <c r="B1" s="155" t="s">
        <v>161</v>
      </c>
      <c r="C1" s="155" t="s">
        <v>302</v>
      </c>
      <c r="D1" s="155" t="s">
        <v>232</v>
      </c>
      <c r="E1" s="155" t="s">
        <v>233</v>
      </c>
      <c r="F1" s="155" t="s">
        <v>234</v>
      </c>
      <c r="G1" s="155" t="s">
        <v>235</v>
      </c>
      <c r="H1" s="155" t="s">
        <v>236</v>
      </c>
      <c r="I1" s="155" t="s">
        <v>237</v>
      </c>
      <c r="J1" s="155" t="s">
        <v>238</v>
      </c>
    </row>
    <row r="2" spans="1:10" x14ac:dyDescent="0.25">
      <c r="A2" s="7">
        <f>ROW()-1</f>
        <v>1</v>
      </c>
      <c r="B2" s="152"/>
      <c r="C2" s="152"/>
      <c r="D2" s="152"/>
      <c r="E2" s="152"/>
      <c r="F2" s="8"/>
      <c r="G2" s="8"/>
      <c r="H2" s="8"/>
      <c r="I2" s="8"/>
      <c r="J2" s="8"/>
    </row>
    <row r="3" spans="1:10" x14ac:dyDescent="0.25">
      <c r="A3" s="7">
        <f t="shared" ref="A3:A13" si="0">ROW()-1</f>
        <v>2</v>
      </c>
      <c r="B3" s="152"/>
      <c r="C3" s="152"/>
      <c r="D3" s="152"/>
      <c r="E3" s="152"/>
      <c r="F3" s="8"/>
      <c r="G3" s="8"/>
      <c r="H3" s="8"/>
      <c r="I3" s="8"/>
      <c r="J3" s="8"/>
    </row>
    <row r="4" spans="1:10" x14ac:dyDescent="0.25">
      <c r="A4" s="7">
        <f t="shared" si="0"/>
        <v>3</v>
      </c>
      <c r="B4" s="152"/>
      <c r="C4" s="152"/>
      <c r="D4" s="152"/>
      <c r="E4" s="152"/>
      <c r="F4" s="8"/>
      <c r="G4" s="8"/>
      <c r="H4" s="8"/>
      <c r="I4" s="8"/>
      <c r="J4" s="8"/>
    </row>
    <row r="5" spans="1:10" x14ac:dyDescent="0.25">
      <c r="A5" s="7">
        <f t="shared" si="0"/>
        <v>4</v>
      </c>
      <c r="B5" s="152"/>
      <c r="C5" s="152"/>
      <c r="D5" s="152"/>
      <c r="E5" s="152"/>
      <c r="F5" s="8"/>
      <c r="G5" s="8"/>
      <c r="H5" s="8"/>
      <c r="I5" s="8"/>
      <c r="J5" s="8"/>
    </row>
    <row r="6" spans="1:10" x14ac:dyDescent="0.25">
      <c r="A6" s="7">
        <f t="shared" si="0"/>
        <v>5</v>
      </c>
      <c r="B6" s="152"/>
      <c r="C6" s="152"/>
      <c r="D6" s="152"/>
      <c r="E6" s="152"/>
      <c r="F6" s="8"/>
      <c r="G6" s="8"/>
      <c r="H6" s="8"/>
      <c r="I6" s="8"/>
      <c r="J6" s="8"/>
    </row>
    <row r="7" spans="1:10" x14ac:dyDescent="0.25">
      <c r="A7" s="7">
        <f t="shared" si="0"/>
        <v>6</v>
      </c>
      <c r="B7" s="152"/>
      <c r="C7" s="152"/>
      <c r="D7" s="152"/>
      <c r="E7" s="152"/>
      <c r="F7" s="8"/>
      <c r="G7" s="8"/>
      <c r="H7" s="8"/>
      <c r="I7" s="8"/>
      <c r="J7" s="8"/>
    </row>
    <row r="8" spans="1:10" x14ac:dyDescent="0.25">
      <c r="A8" s="7">
        <f t="shared" si="0"/>
        <v>7</v>
      </c>
      <c r="B8" s="152"/>
      <c r="C8" s="152"/>
      <c r="D8" s="152"/>
      <c r="E8" s="152"/>
      <c r="F8" s="8"/>
      <c r="G8" s="8"/>
      <c r="H8" s="8"/>
      <c r="I8" s="8"/>
      <c r="J8" s="8"/>
    </row>
    <row r="9" spans="1:10" x14ac:dyDescent="0.25">
      <c r="A9" s="7">
        <f t="shared" si="0"/>
        <v>8</v>
      </c>
      <c r="B9" s="152"/>
      <c r="C9" s="152"/>
      <c r="D9" s="152"/>
      <c r="E9" s="152"/>
      <c r="F9" s="8"/>
      <c r="G9" s="8"/>
      <c r="H9" s="8"/>
      <c r="I9" s="8"/>
      <c r="J9" s="8"/>
    </row>
    <row r="10" spans="1:10" x14ac:dyDescent="0.25">
      <c r="A10" s="7">
        <f>ROW()-1</f>
        <v>9</v>
      </c>
      <c r="B10" s="152"/>
      <c r="C10" s="152"/>
      <c r="D10" s="152"/>
      <c r="E10" s="152"/>
      <c r="F10" s="8"/>
      <c r="G10" s="8"/>
      <c r="H10" s="8"/>
      <c r="I10" s="8"/>
      <c r="J10" s="8"/>
    </row>
    <row r="11" spans="1:10" x14ac:dyDescent="0.25">
      <c r="A11" s="7">
        <f t="shared" si="0"/>
        <v>10</v>
      </c>
      <c r="B11" s="152"/>
      <c r="C11" s="152"/>
      <c r="D11" s="152"/>
      <c r="E11" s="152"/>
      <c r="F11" s="8"/>
      <c r="G11" s="8"/>
      <c r="H11" s="8"/>
      <c r="I11" s="8"/>
      <c r="J11" s="8"/>
    </row>
    <row r="12" spans="1:10" x14ac:dyDescent="0.25">
      <c r="A12" s="7">
        <f t="shared" si="0"/>
        <v>11</v>
      </c>
      <c r="B12" s="152"/>
      <c r="C12" s="152"/>
      <c r="D12" s="152"/>
      <c r="E12" s="152"/>
      <c r="F12" s="8"/>
      <c r="G12" s="8"/>
      <c r="H12" s="8"/>
      <c r="I12" s="8"/>
      <c r="J12" s="8"/>
    </row>
    <row r="13" spans="1:10" x14ac:dyDescent="0.25">
      <c r="A13" s="7">
        <f t="shared" si="0"/>
        <v>12</v>
      </c>
      <c r="B13" s="152"/>
      <c r="C13" s="152"/>
      <c r="D13" s="152"/>
      <c r="E13" s="152"/>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P51" sqref="P51"/>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71" t="s">
        <v>52</v>
      </c>
      <c r="B1" s="171" t="s">
        <v>27</v>
      </c>
      <c r="C1" s="171" t="s">
        <v>48</v>
      </c>
      <c r="D1" s="171" t="s">
        <v>54</v>
      </c>
      <c r="E1" s="172" t="s">
        <v>515</v>
      </c>
      <c r="F1" s="172" t="s">
        <v>374</v>
      </c>
      <c r="G1" s="172" t="s">
        <v>377</v>
      </c>
      <c r="H1" s="172" t="s">
        <v>535</v>
      </c>
      <c r="I1" t="s">
        <v>536</v>
      </c>
      <c r="J1" s="172" t="s">
        <v>537</v>
      </c>
      <c r="K1" s="172" t="s">
        <v>540</v>
      </c>
      <c r="L1" s="172" t="s">
        <v>538</v>
      </c>
      <c r="M1" s="172" t="s">
        <v>541</v>
      </c>
      <c r="N1" s="172" t="s">
        <v>539</v>
      </c>
      <c r="O1" t="s">
        <v>542</v>
      </c>
      <c r="P1" t="s">
        <v>5</v>
      </c>
    </row>
    <row r="2" spans="1:16" x14ac:dyDescent="0.25">
      <c r="A2" s="173" t="b">
        <v>0</v>
      </c>
      <c r="B2" s="7">
        <f t="shared" ref="B2:B47" si="0">ROW()-1</f>
        <v>1</v>
      </c>
      <c r="C2" s="25" t="str">
        <f>_xlfn.XLOOKUP($D2,Tab_Def_Processes[Process_Name],Tab_Def_Processes[ID],,0,)</f>
        <v>00</v>
      </c>
      <c r="D2" s="7" t="str">
        <f>Tab_Def_Processes[[#This Row],[Process_Name]]</f>
        <v>Reifenherstellung</v>
      </c>
      <c r="E2" s="174" t="s">
        <v>426</v>
      </c>
      <c r="F2" s="174" t="s">
        <v>427</v>
      </c>
      <c r="G2" s="7" t="str">
        <f>_xlfn.XLOOKUP($F2,Table32[Color_Name],Table32[Hex_Code],,0,)</f>
        <v>#228B22</v>
      </c>
      <c r="H2" s="8">
        <v>0.01</v>
      </c>
      <c r="I2" s="8">
        <v>0.2</v>
      </c>
      <c r="J2" s="8">
        <v>0.1</v>
      </c>
      <c r="K2" s="8">
        <v>0.2</v>
      </c>
      <c r="L2" s="8">
        <v>0.1</v>
      </c>
      <c r="M2" s="8">
        <v>0.2</v>
      </c>
      <c r="N2" s="8">
        <v>0.1</v>
      </c>
      <c r="O2" s="8">
        <v>0.2</v>
      </c>
      <c r="P2" s="8"/>
    </row>
    <row r="3" spans="1:16" x14ac:dyDescent="0.25">
      <c r="A3" s="173" t="b">
        <v>0</v>
      </c>
      <c r="B3" s="7">
        <f t="shared" si="0"/>
        <v>2</v>
      </c>
      <c r="C3" s="25" t="str">
        <f>_xlfn.XLOOKUP($D3,Tab_Def_Processes[Process_Name],Tab_Def_Processes[ID],,0,)</f>
        <v>01</v>
      </c>
      <c r="D3" s="7" t="str">
        <f>Tab_Def_Processes[[#This Row],[Process_Name]]</f>
        <v>Reifennutzung</v>
      </c>
      <c r="E3" s="174" t="s">
        <v>426</v>
      </c>
      <c r="F3" s="174" t="s">
        <v>443</v>
      </c>
      <c r="G3" s="7" t="str">
        <f>_xlfn.XLOOKUP($F3,Table32[Color_Name],Table32[Hex_Code],,0,)</f>
        <v>#F5DEB3</v>
      </c>
      <c r="H3" s="8">
        <v>0.01</v>
      </c>
      <c r="I3" s="8">
        <v>0.2</v>
      </c>
      <c r="J3" s="8">
        <v>0.5</v>
      </c>
      <c r="K3" s="8">
        <v>0.2</v>
      </c>
      <c r="L3" s="8">
        <v>0.5</v>
      </c>
      <c r="M3" s="8">
        <v>0.2</v>
      </c>
      <c r="N3" s="8">
        <v>0.5</v>
      </c>
      <c r="O3" s="8">
        <v>0.2</v>
      </c>
      <c r="P3" s="8"/>
    </row>
    <row r="4" spans="1:16" x14ac:dyDescent="0.25">
      <c r="A4" s="173" t="b">
        <v>0</v>
      </c>
      <c r="B4" s="7">
        <f t="shared" si="0"/>
        <v>3</v>
      </c>
      <c r="C4" s="25" t="str">
        <f>_xlfn.XLOOKUP($D4,Tab_Def_Processes[Process_Name],Tab_Def_Processes[ID],,0,)</f>
        <v>02</v>
      </c>
      <c r="D4" s="7" t="str">
        <f>Tab_Def_Processes[[#This Row],[Process_Name]]</f>
        <v>Abrieb &amp; Akkumulation in der Umwelt</v>
      </c>
      <c r="E4" s="174" t="s">
        <v>426</v>
      </c>
      <c r="F4" s="174" t="s">
        <v>443</v>
      </c>
      <c r="G4" s="7" t="str">
        <f>_xlfn.XLOOKUP($F4,Table32[Color_Name],Table32[Hex_Code],,0,)</f>
        <v>#F5DEB3</v>
      </c>
      <c r="H4" s="8">
        <v>0.2</v>
      </c>
      <c r="I4" s="8">
        <v>0.2</v>
      </c>
      <c r="J4" s="8">
        <v>0.6</v>
      </c>
      <c r="K4" s="8">
        <v>0.4</v>
      </c>
      <c r="L4" s="8">
        <v>0.6</v>
      </c>
      <c r="M4" s="8">
        <v>0.4</v>
      </c>
      <c r="N4" s="8">
        <v>0.6</v>
      </c>
      <c r="O4" s="8">
        <v>0.4</v>
      </c>
      <c r="P4" s="8"/>
    </row>
    <row r="5" spans="1:16" x14ac:dyDescent="0.25">
      <c r="A5" s="173" t="b">
        <v>0</v>
      </c>
      <c r="B5" s="7">
        <f t="shared" si="0"/>
        <v>4</v>
      </c>
      <c r="C5" s="25" t="str">
        <f>_xlfn.XLOOKUP($D5,Tab_Def_Processes[Process_Name],Tab_Def_Processes[ID],,0,)</f>
        <v>03</v>
      </c>
      <c r="D5" s="7" t="str">
        <f>Tab_Def_Processes[[#This Row],[Process_Name]]</f>
        <v>Altreifensammlung</v>
      </c>
      <c r="E5" s="174" t="s">
        <v>426</v>
      </c>
      <c r="F5" s="174" t="s">
        <v>443</v>
      </c>
      <c r="G5" s="7" t="str">
        <f>_xlfn.XLOOKUP($F5,Table32[Color_Name],Table32[Hex_Code],,0,)</f>
        <v>#F5DEB3</v>
      </c>
      <c r="H5" s="8">
        <v>0.5</v>
      </c>
      <c r="I5" s="8">
        <v>0.2</v>
      </c>
      <c r="J5" s="8">
        <v>0.4</v>
      </c>
      <c r="K5" s="8">
        <v>0.2</v>
      </c>
      <c r="L5" s="8">
        <v>0.4</v>
      </c>
      <c r="M5" s="8">
        <v>0.2</v>
      </c>
      <c r="N5" s="8">
        <v>0.4</v>
      </c>
      <c r="O5" s="8">
        <v>0.2</v>
      </c>
      <c r="P5" s="8"/>
    </row>
    <row r="6" spans="1:16" x14ac:dyDescent="0.25">
      <c r="A6" s="173" t="b">
        <v>0</v>
      </c>
      <c r="B6" s="7">
        <f t="shared" si="0"/>
        <v>5</v>
      </c>
      <c r="C6" s="25" t="str">
        <f>_xlfn.XLOOKUP($D6,Tab_Def_Processes[Process_Name],Tab_Def_Processes[ID],,0,)</f>
        <v>04</v>
      </c>
      <c r="D6" s="7" t="str">
        <f>Tab_Def_Processes[[#This Row],[Process_Name]]</f>
        <v>Runderneuerung</v>
      </c>
      <c r="E6" s="174" t="s">
        <v>426</v>
      </c>
      <c r="F6" s="174" t="s">
        <v>443</v>
      </c>
      <c r="G6" s="7" t="str">
        <f>_xlfn.XLOOKUP($F6,Table32[Color_Name],Table32[Hex_Code],,0,)</f>
        <v>#F5DEB3</v>
      </c>
      <c r="H6" s="8">
        <v>0.1</v>
      </c>
      <c r="I6" s="8">
        <v>0.5</v>
      </c>
      <c r="J6" s="8">
        <v>0.2</v>
      </c>
      <c r="K6" s="8">
        <v>0.5</v>
      </c>
      <c r="L6" s="8">
        <v>0.2</v>
      </c>
      <c r="M6" s="8">
        <v>0.5</v>
      </c>
      <c r="N6" s="8">
        <v>0.2</v>
      </c>
      <c r="O6" s="8">
        <v>0.5</v>
      </c>
      <c r="P6" s="8"/>
    </row>
    <row r="7" spans="1:16" x14ac:dyDescent="0.25">
      <c r="A7" s="173" t="b">
        <v>0</v>
      </c>
      <c r="B7" s="7">
        <f t="shared" si="0"/>
        <v>6</v>
      </c>
      <c r="C7" s="25" t="str">
        <f>_xlfn.XLOOKUP($D7,Tab_Def_Processes[Process_Name],Tab_Def_Processes[ID],,0,)</f>
        <v>05</v>
      </c>
      <c r="D7" s="7" t="str">
        <f>Tab_Def_Processes[[#This Row],[Process_Name]]</f>
        <v>Werkstoffliche Verwertung</v>
      </c>
      <c r="E7" s="174" t="s">
        <v>426</v>
      </c>
      <c r="F7" s="174" t="s">
        <v>443</v>
      </c>
      <c r="G7" s="7" t="str">
        <f>_xlfn.XLOOKUP($F7,Table32[Color_Name],Table32[Hex_Code],,0,)</f>
        <v>#F5DEB3</v>
      </c>
      <c r="H7" s="8">
        <v>0.2</v>
      </c>
      <c r="I7" s="8">
        <v>0.5</v>
      </c>
      <c r="J7" s="8">
        <v>0.3</v>
      </c>
      <c r="K7" s="8">
        <v>0.5</v>
      </c>
      <c r="L7" s="8">
        <v>0.3</v>
      </c>
      <c r="M7" s="8">
        <v>0.5</v>
      </c>
      <c r="N7" s="8">
        <v>0.3</v>
      </c>
      <c r="O7" s="8">
        <v>0.5</v>
      </c>
      <c r="P7" s="8"/>
    </row>
    <row r="8" spans="1:16" x14ac:dyDescent="0.25">
      <c r="A8" s="173" t="b">
        <v>0</v>
      </c>
      <c r="B8" s="7">
        <f t="shared" si="0"/>
        <v>7</v>
      </c>
      <c r="C8" s="25" t="str">
        <f>_xlfn.XLOOKUP($D8,Tab_Def_Processes[Process_Name],Tab_Def_Processes[ID],,0,)</f>
        <v>06</v>
      </c>
      <c r="D8" s="7" t="str">
        <f>Tab_Def_Processes[[#This Row],[Process_Name]]</f>
        <v>Thermische Vwerwertung</v>
      </c>
      <c r="E8" s="174" t="s">
        <v>426</v>
      </c>
      <c r="F8" s="174" t="s">
        <v>443</v>
      </c>
      <c r="G8" s="7" t="str">
        <f>_xlfn.XLOOKUP($F8,Table32[Color_Name],Table32[Hex_Code],,0,)</f>
        <v>#F5DEB3</v>
      </c>
      <c r="H8" s="8">
        <v>0.5</v>
      </c>
      <c r="I8" s="8">
        <v>0.5</v>
      </c>
      <c r="J8" s="8">
        <v>0.4</v>
      </c>
      <c r="K8" s="8">
        <v>0.6</v>
      </c>
      <c r="L8" s="8">
        <v>0.4</v>
      </c>
      <c r="M8" s="8">
        <v>0.6</v>
      </c>
      <c r="N8" s="8">
        <v>0.4</v>
      </c>
      <c r="O8" s="8">
        <v>0.6</v>
      </c>
      <c r="P8" s="8"/>
    </row>
    <row r="9" spans="1:16" x14ac:dyDescent="0.25">
      <c r="A9" s="173" t="b">
        <v>0</v>
      </c>
      <c r="B9" s="7">
        <f t="shared" si="0"/>
        <v>8</v>
      </c>
      <c r="C9" s="25" t="str">
        <f>_xlfn.XLOOKUP($D9,Tab_Def_Processes[Process_Name],Tab_Def_Processes[ID],,0,)</f>
        <v>07</v>
      </c>
      <c r="D9" s="7" t="str">
        <f>Tab_Def_Processes[[#This Row],[Process_Name]]</f>
        <v>Export</v>
      </c>
      <c r="E9" s="174" t="s">
        <v>426</v>
      </c>
      <c r="F9" s="174" t="s">
        <v>439</v>
      </c>
      <c r="G9" s="7" t="str">
        <f>_xlfn.XLOOKUP($F9,Table32[Color_Name],Table32[Hex_Code],,0,)</f>
        <v>#8B4513</v>
      </c>
      <c r="H9" s="8">
        <v>0.7</v>
      </c>
      <c r="I9" s="8">
        <v>0.6</v>
      </c>
      <c r="J9" s="8">
        <v>0.9</v>
      </c>
      <c r="K9" s="8">
        <v>0.6</v>
      </c>
      <c r="L9" s="8">
        <v>0.9</v>
      </c>
      <c r="M9" s="8">
        <v>0.6</v>
      </c>
      <c r="N9" s="8">
        <v>0.9</v>
      </c>
      <c r="O9" s="8">
        <v>0.6</v>
      </c>
      <c r="P9" s="8"/>
    </row>
    <row r="10" spans="1:16" x14ac:dyDescent="0.25">
      <c r="A10" s="173" t="b">
        <v>0</v>
      </c>
      <c r="B10" s="7">
        <f t="shared" si="0"/>
        <v>9</v>
      </c>
      <c r="C10" s="25" t="str">
        <f>_xlfn.XLOOKUP($D10,Tab_Def_Processes[Process_Name],Tab_Def_Processes[ID],,0,)</f>
        <v>08</v>
      </c>
      <c r="D10" s="7" t="str">
        <f>Tab_Def_Processes[[#This Row],[Process_Name]]</f>
        <v>Zementmischung</v>
      </c>
      <c r="E10" s="174" t="s">
        <v>426</v>
      </c>
      <c r="F10" s="174" t="s">
        <v>443</v>
      </c>
      <c r="G10" s="7" t="str">
        <f>_xlfn.XLOOKUP($F10,Table32[Color_Name],Table32[Hex_Code],,0,)</f>
        <v>#F5DEB3</v>
      </c>
      <c r="H10" s="8">
        <v>0.7</v>
      </c>
      <c r="I10" s="8">
        <v>0.6</v>
      </c>
      <c r="J10" s="8">
        <v>0.6</v>
      </c>
      <c r="K10" s="8">
        <v>0.6</v>
      </c>
      <c r="L10" s="8">
        <v>0.6</v>
      </c>
      <c r="M10" s="8">
        <v>0.6</v>
      </c>
      <c r="N10" s="8">
        <v>0.6</v>
      </c>
      <c r="O10" s="8">
        <v>0.6</v>
      </c>
      <c r="P10" s="8"/>
    </row>
    <row r="11" spans="1:16" x14ac:dyDescent="0.25">
      <c r="A11" s="173" t="b">
        <v>0</v>
      </c>
      <c r="B11" s="7">
        <f t="shared" si="0"/>
        <v>10</v>
      </c>
      <c r="C11" s="25" t="str">
        <f>_xlfn.XLOOKUP($D11,Tab_Def_Processes[Process_Name],Tab_Def_Processes[ID],,0,)</f>
        <v>09</v>
      </c>
      <c r="D11" s="7" t="str">
        <f>Tab_Def_Processes[[#This Row],[Process_Name]]</f>
        <v>C-Emissionen</v>
      </c>
      <c r="E11" s="174" t="s">
        <v>426</v>
      </c>
      <c r="F11" s="174" t="s">
        <v>460</v>
      </c>
      <c r="G11" s="7" t="str">
        <f>_xlfn.XLOOKUP($F11,Table32[Color_Name],Table32[Hex_Code],,0,)</f>
        <v>#87CEEB</v>
      </c>
      <c r="H11" s="8">
        <v>0.01</v>
      </c>
      <c r="I11" s="8">
        <v>0.8</v>
      </c>
      <c r="J11" s="8">
        <v>0.1</v>
      </c>
      <c r="K11" s="8">
        <v>0.8</v>
      </c>
      <c r="L11" s="8">
        <v>0.1</v>
      </c>
      <c r="M11" s="8">
        <v>0.8</v>
      </c>
      <c r="N11" s="8">
        <v>0.1</v>
      </c>
      <c r="O11" s="8">
        <v>0.8</v>
      </c>
      <c r="P11" s="8"/>
    </row>
    <row r="12" spans="1:16" x14ac:dyDescent="0.25">
      <c r="A12" s="173" t="b">
        <v>0</v>
      </c>
      <c r="B12" s="7">
        <f t="shared" si="0"/>
        <v>11</v>
      </c>
      <c r="C12" s="25" t="str">
        <f>_xlfn.XLOOKUP($D12,Tab_Def_Processes[Process_Name],Tab_Def_Processes[ID],,0,)</f>
        <v>10</v>
      </c>
      <c r="D12" s="7" t="str">
        <f>Tab_Def_Processes[[#This Row],[Process_Name]]</f>
        <v>Stahlrecycling</v>
      </c>
      <c r="E12" s="174" t="s">
        <v>426</v>
      </c>
      <c r="F12" s="174" t="s">
        <v>439</v>
      </c>
      <c r="G12" s="7" t="str">
        <f>_xlfn.XLOOKUP($F12,Table32[Color_Name],Table32[Hex_Code],,0,)</f>
        <v>#8B4513</v>
      </c>
      <c r="H12" s="8">
        <v>0.9</v>
      </c>
      <c r="I12" s="8">
        <v>0.8</v>
      </c>
      <c r="J12" s="8">
        <v>0.9</v>
      </c>
      <c r="K12" s="8">
        <v>0.6</v>
      </c>
      <c r="L12" s="8">
        <v>0.9</v>
      </c>
      <c r="M12" s="8">
        <v>0.6</v>
      </c>
      <c r="N12" s="8">
        <v>0.9</v>
      </c>
      <c r="O12" s="8">
        <v>0.6</v>
      </c>
      <c r="P12" s="8"/>
    </row>
    <row r="13" spans="1:16" x14ac:dyDescent="0.25">
      <c r="A13" s="173" t="b">
        <v>0</v>
      </c>
      <c r="B13" s="7">
        <f t="shared" si="0"/>
        <v>12</v>
      </c>
      <c r="C13" s="25" t="str">
        <f>_xlfn.XLOOKUP($D13,Tab_Def_Processes[Process_Name],Tab_Def_Processes[ID],,0,)</f>
        <v>11</v>
      </c>
      <c r="D13" s="7" t="str">
        <f>Tab_Def_Processes[[#This Row],[Process_Name]]</f>
        <v>sonstige Verwendung als Füllstoff</v>
      </c>
      <c r="E13" s="174" t="s">
        <v>481</v>
      </c>
      <c r="F13" s="174" t="s">
        <v>439</v>
      </c>
      <c r="G13" s="7" t="str">
        <f>_xlfn.XLOOKUP($F13,Table32[Color_Name],Table32[Hex_Code],,0,)</f>
        <v>#8B4513</v>
      </c>
      <c r="H13" s="8"/>
      <c r="I13" s="8"/>
      <c r="J13" s="8"/>
      <c r="K13" s="8"/>
      <c r="L13" s="8"/>
      <c r="M13" s="8"/>
      <c r="N13" s="8"/>
      <c r="O13" s="8"/>
      <c r="P13" s="8"/>
    </row>
    <row r="14" spans="1:16" x14ac:dyDescent="0.25">
      <c r="A14" s="173" t="b">
        <v>0</v>
      </c>
      <c r="B14" s="7">
        <f t="shared" si="0"/>
        <v>13</v>
      </c>
      <c r="C14" s="25" t="str">
        <f>_xlfn.XLOOKUP($D14,Tab_Def_Processes[Process_Name],Tab_Def_Processes[ID],,0,)</f>
        <v>12</v>
      </c>
      <c r="D14" s="7" t="str">
        <f>Tab_Def_Processes[[#This Row],[Process_Name]]</f>
        <v>Natur-&amp; Synthesekautchouck</v>
      </c>
      <c r="E14" s="174" t="s">
        <v>481</v>
      </c>
      <c r="F14" s="174" t="s">
        <v>439</v>
      </c>
      <c r="G14" s="7" t="str">
        <f>_xlfn.XLOOKUP($F14,Table32[Color_Name],Table32[Hex_Code],,0,)</f>
        <v>#8B4513</v>
      </c>
      <c r="H14" s="8"/>
      <c r="I14" s="8"/>
      <c r="J14" s="8"/>
      <c r="K14" s="8"/>
      <c r="L14" s="8"/>
      <c r="M14" s="8"/>
      <c r="N14" s="8"/>
      <c r="O14" s="8"/>
      <c r="P14" s="8"/>
    </row>
    <row r="15" spans="1:16" x14ac:dyDescent="0.25">
      <c r="A15" s="173" t="b">
        <v>0</v>
      </c>
      <c r="B15" s="7">
        <f t="shared" si="0"/>
        <v>14</v>
      </c>
      <c r="C15" s="25" t="str">
        <f>_xlfn.XLOOKUP($D15,Tab_Def_Processes[Process_Name],Tab_Def_Processes[ID],,0,)</f>
        <v>13</v>
      </c>
      <c r="D15" s="7" t="str">
        <f>Tab_Def_Processes[[#This Row],[Process_Name]]</f>
        <v>Füllstoffe (Ruß &amp; Kieselgel)</v>
      </c>
      <c r="E15" s="174" t="s">
        <v>481</v>
      </c>
      <c r="F15" s="174" t="s">
        <v>439</v>
      </c>
      <c r="G15" s="7" t="str">
        <f>_xlfn.XLOOKUP($F15,Table32[Color_Name],Table32[Hex_Code],,0,)</f>
        <v>#8B4513</v>
      </c>
      <c r="H15" s="8"/>
      <c r="I15" s="8"/>
      <c r="J15" s="8"/>
      <c r="K15" s="8"/>
      <c r="L15" s="8"/>
      <c r="M15" s="8"/>
      <c r="N15" s="8"/>
      <c r="O15" s="8"/>
      <c r="P15" s="8"/>
    </row>
    <row r="16" spans="1:16" x14ac:dyDescent="0.25">
      <c r="A16" s="173" t="b">
        <v>0</v>
      </c>
      <c r="B16" s="7">
        <f t="shared" si="0"/>
        <v>15</v>
      </c>
      <c r="C16" s="25" t="str">
        <f>_xlfn.XLOOKUP($D16,Tab_Def_Processes[Process_Name],Tab_Def_Processes[ID],,0,)</f>
        <v>14</v>
      </c>
      <c r="D16" s="7" t="str">
        <f>Tab_Def_Processes[[#This Row],[Process_Name]]</f>
        <v>Stahldraht + Textilfaser</v>
      </c>
      <c r="E16" s="174" t="s">
        <v>481</v>
      </c>
      <c r="F16" s="174" t="s">
        <v>439</v>
      </c>
      <c r="G16" s="7" t="str">
        <f>_xlfn.XLOOKUP($F16,Table32[Color_Name],Table32[Hex_Code],,0,)</f>
        <v>#8B4513</v>
      </c>
      <c r="H16" s="8"/>
      <c r="I16" s="8"/>
      <c r="J16" s="8"/>
      <c r="K16" s="8"/>
      <c r="L16" s="8"/>
      <c r="M16" s="8"/>
      <c r="N16" s="8"/>
      <c r="O16" s="8"/>
      <c r="P16" s="8"/>
    </row>
    <row r="17" spans="1:16" x14ac:dyDescent="0.25">
      <c r="A17" s="173" t="b">
        <v>0</v>
      </c>
      <c r="B17" s="7">
        <f t="shared" si="0"/>
        <v>16</v>
      </c>
      <c r="C17" s="25" t="e">
        <f>_xlfn.XLOOKUP($D17,Tab_Def_Processes[Process_Name],Tab_Def_Processes[ID],,0,)</f>
        <v>#N/A</v>
      </c>
      <c r="D17" s="7">
        <f>Tab_Def_Processes[[#This Row],[Process_Name]]</f>
        <v>0</v>
      </c>
      <c r="E17" s="174"/>
      <c r="F17" s="174"/>
      <c r="G17" s="7" t="e">
        <f>_xlfn.XLOOKUP($F17,Table32[Color_Name],Table32[Hex_Code],,0,)</f>
        <v>#N/A</v>
      </c>
      <c r="H17" s="8"/>
      <c r="I17" s="8"/>
      <c r="J17" s="8"/>
      <c r="K17" s="8"/>
      <c r="L17" s="8"/>
      <c r="M17" s="8"/>
      <c r="N17" s="8"/>
      <c r="O17" s="8"/>
      <c r="P17" s="8"/>
    </row>
    <row r="18" spans="1:16" x14ac:dyDescent="0.25">
      <c r="A18" s="173" t="b">
        <v>0</v>
      </c>
      <c r="B18" s="7">
        <f t="shared" si="0"/>
        <v>17</v>
      </c>
      <c r="C18" s="25" t="e">
        <f>_xlfn.XLOOKUP($D18,Tab_Def_Processes[Process_Name],Tab_Def_Processes[ID],,0,)</f>
        <v>#N/A</v>
      </c>
      <c r="D18" s="7">
        <f>Tab_Def_Processes[[#This Row],[Process_Name]]</f>
        <v>0</v>
      </c>
      <c r="E18" s="174"/>
      <c r="F18" s="174"/>
      <c r="G18" s="7" t="e">
        <f>_xlfn.XLOOKUP($F18,Table32[Color_Name],Table32[Hex_Code],,0,)</f>
        <v>#N/A</v>
      </c>
      <c r="H18" s="8"/>
      <c r="I18" s="8"/>
      <c r="J18" s="8"/>
      <c r="K18" s="8"/>
      <c r="L18" s="8"/>
      <c r="M18" s="8"/>
      <c r="N18" s="8"/>
      <c r="O18" s="8"/>
      <c r="P18" s="8"/>
    </row>
    <row r="19" spans="1:16" x14ac:dyDescent="0.25">
      <c r="A19" s="173" t="b">
        <v>0</v>
      </c>
      <c r="B19" s="7">
        <f t="shared" si="0"/>
        <v>18</v>
      </c>
      <c r="C19" s="25" t="e">
        <f>_xlfn.XLOOKUP($D19,Tab_Def_Processes[Process_Name],Tab_Def_Processes[ID],,0,)</f>
        <v>#N/A</v>
      </c>
      <c r="D19" s="7">
        <f>Tab_Def_Processes[[#This Row],[Process_Name]]</f>
        <v>0</v>
      </c>
      <c r="E19" s="174"/>
      <c r="F19" s="174"/>
      <c r="G19" s="7" t="e">
        <f>_xlfn.XLOOKUP($F19,Table32[Color_Name],Table32[Hex_Code],,0,)</f>
        <v>#N/A</v>
      </c>
      <c r="H19" s="8"/>
      <c r="I19" s="8"/>
      <c r="J19" s="8"/>
      <c r="K19" s="8"/>
      <c r="L19" s="8"/>
      <c r="M19" s="8"/>
      <c r="N19" s="8"/>
      <c r="O19" s="8"/>
      <c r="P19" s="8"/>
    </row>
    <row r="20" spans="1:16" x14ac:dyDescent="0.25">
      <c r="A20" s="173" t="b">
        <v>0</v>
      </c>
      <c r="B20" s="7">
        <f t="shared" si="0"/>
        <v>19</v>
      </c>
      <c r="C20" s="25" t="e">
        <f>_xlfn.XLOOKUP($D20,Tab_Def_Processes[Process_Name],Tab_Def_Processes[ID],,0,)</f>
        <v>#N/A</v>
      </c>
      <c r="D20" s="7">
        <f>Tab_Def_Processes[[#This Row],[Process_Name]]</f>
        <v>0</v>
      </c>
      <c r="E20" s="174"/>
      <c r="F20" s="174"/>
      <c r="G20" s="7" t="e">
        <f>_xlfn.XLOOKUP($F20,Table32[Color_Name],Table32[Hex_Code],,0,)</f>
        <v>#N/A</v>
      </c>
      <c r="H20" s="8"/>
      <c r="I20" s="8"/>
      <c r="J20" s="8"/>
      <c r="K20" s="8"/>
      <c r="L20" s="8"/>
      <c r="M20" s="8"/>
      <c r="N20" s="8"/>
      <c r="O20" s="8"/>
      <c r="P20" s="8"/>
    </row>
    <row r="21" spans="1:16" x14ac:dyDescent="0.25">
      <c r="A21" s="173" t="b">
        <v>0</v>
      </c>
      <c r="B21" s="7">
        <f t="shared" si="0"/>
        <v>20</v>
      </c>
      <c r="C21" s="25" t="e">
        <f>_xlfn.XLOOKUP($D21,Tab_Def_Processes[Process_Name],Tab_Def_Processes[ID],,0,)</f>
        <v>#N/A</v>
      </c>
      <c r="D21" s="7">
        <f>Tab_Def_Processes[[#This Row],[Process_Name]]</f>
        <v>0</v>
      </c>
      <c r="E21" s="174"/>
      <c r="F21" s="174"/>
      <c r="G21" s="7" t="e">
        <f>_xlfn.XLOOKUP($F21,Table32[Color_Name],Table32[Hex_Code],,0,)</f>
        <v>#N/A</v>
      </c>
      <c r="H21" s="8"/>
      <c r="I21" s="8"/>
      <c r="J21" s="8"/>
      <c r="K21" s="8"/>
      <c r="L21" s="8"/>
      <c r="M21" s="8"/>
      <c r="N21" s="8"/>
      <c r="O21" s="8"/>
      <c r="P21" s="8"/>
    </row>
    <row r="22" spans="1:16" x14ac:dyDescent="0.25">
      <c r="A22" s="173" t="b">
        <v>0</v>
      </c>
      <c r="B22" s="7">
        <f t="shared" si="0"/>
        <v>21</v>
      </c>
      <c r="C22" s="25" t="e">
        <f>_xlfn.XLOOKUP($D22,Tab_Def_Processes[Process_Name],Tab_Def_Processes[ID],,0,)</f>
        <v>#N/A</v>
      </c>
      <c r="D22" s="7">
        <f>Tab_Def_Processes[[#This Row],[Process_Name]]</f>
        <v>0</v>
      </c>
      <c r="E22" s="174"/>
      <c r="F22" s="174"/>
      <c r="G22" s="7" t="e">
        <f>_xlfn.XLOOKUP($F22,Table32[Color_Name],Table32[Hex_Code],,0,)</f>
        <v>#N/A</v>
      </c>
      <c r="H22" s="8"/>
      <c r="I22" s="8"/>
      <c r="J22" s="8"/>
      <c r="K22" s="8"/>
      <c r="L22" s="8"/>
      <c r="M22" s="8"/>
      <c r="N22" s="8"/>
      <c r="O22" s="8"/>
      <c r="P22" s="8"/>
    </row>
    <row r="23" spans="1:16" x14ac:dyDescent="0.25">
      <c r="A23" s="173" t="b">
        <v>0</v>
      </c>
      <c r="B23" s="7">
        <f t="shared" si="0"/>
        <v>22</v>
      </c>
      <c r="C23" s="25" t="e">
        <f>_xlfn.XLOOKUP($D23,Tab_Def_Processes[Process_Name],Tab_Def_Processes[ID],,0,)</f>
        <v>#N/A</v>
      </c>
      <c r="D23" s="7">
        <f>Tab_Def_Processes[[#This Row],[Process_Name]]</f>
        <v>0</v>
      </c>
      <c r="E23" s="174"/>
      <c r="F23" s="174"/>
      <c r="G23" s="7" t="e">
        <f>_xlfn.XLOOKUP($F23,Table32[Color_Name],Table32[Hex_Code],,0,)</f>
        <v>#N/A</v>
      </c>
      <c r="H23" s="8"/>
      <c r="I23" s="8"/>
      <c r="J23" s="8"/>
      <c r="K23" s="8"/>
      <c r="L23" s="8"/>
      <c r="M23" s="8"/>
      <c r="N23" s="8"/>
      <c r="O23" s="8"/>
      <c r="P23" s="8"/>
    </row>
    <row r="24" spans="1:16" x14ac:dyDescent="0.25">
      <c r="A24" s="173" t="b">
        <v>0</v>
      </c>
      <c r="B24" s="7">
        <f t="shared" si="0"/>
        <v>23</v>
      </c>
      <c r="C24" s="25" t="e">
        <f>_xlfn.XLOOKUP($D24,Tab_Def_Processes[Process_Name],Tab_Def_Processes[ID],,0,)</f>
        <v>#N/A</v>
      </c>
      <c r="D24" s="7">
        <f>Tab_Def_Processes[[#This Row],[Process_Name]]</f>
        <v>0</v>
      </c>
      <c r="E24" s="174"/>
      <c r="F24" s="174"/>
      <c r="G24" s="7" t="e">
        <f>_xlfn.XLOOKUP($F24,Table32[Color_Name],Table32[Hex_Code],,0,)</f>
        <v>#N/A</v>
      </c>
      <c r="H24" s="8"/>
      <c r="I24" s="8"/>
      <c r="J24" s="8"/>
      <c r="K24" s="8"/>
      <c r="L24" s="8"/>
      <c r="M24" s="8"/>
      <c r="N24" s="8"/>
      <c r="O24" s="8"/>
      <c r="P24" s="8"/>
    </row>
    <row r="25" spans="1:16" x14ac:dyDescent="0.25">
      <c r="A25" s="173" t="b">
        <v>0</v>
      </c>
      <c r="B25" s="7">
        <f t="shared" si="0"/>
        <v>24</v>
      </c>
      <c r="C25" s="25" t="e">
        <f>_xlfn.XLOOKUP($D25,Tab_Def_Processes[Process_Name],Tab_Def_Processes[ID],,0,)</f>
        <v>#N/A</v>
      </c>
      <c r="D25" s="7">
        <f>Tab_Def_Processes[[#This Row],[Process_Name]]</f>
        <v>0</v>
      </c>
      <c r="E25" s="174"/>
      <c r="F25" s="174"/>
      <c r="G25" s="7" t="e">
        <f>_xlfn.XLOOKUP($F25,Table32[Color_Name],Table32[Hex_Code],,0,)</f>
        <v>#N/A</v>
      </c>
      <c r="H25" s="8"/>
      <c r="I25" s="8"/>
      <c r="J25" s="8"/>
      <c r="K25" s="8"/>
      <c r="L25" s="8"/>
      <c r="M25" s="8"/>
      <c r="N25" s="8"/>
      <c r="O25" s="8"/>
      <c r="P25" s="8"/>
    </row>
    <row r="26" spans="1:16" x14ac:dyDescent="0.25">
      <c r="A26" s="173" t="b">
        <v>0</v>
      </c>
      <c r="B26" s="7">
        <f t="shared" si="0"/>
        <v>25</v>
      </c>
      <c r="C26" s="25" t="e">
        <f>_xlfn.XLOOKUP($D26,Tab_Def_Processes[Process_Name],Tab_Def_Processes[ID],,0,)</f>
        <v>#N/A</v>
      </c>
      <c r="D26" s="7">
        <f>Tab_Def_Processes[[#This Row],[Process_Name]]</f>
        <v>0</v>
      </c>
      <c r="E26" s="174"/>
      <c r="F26" s="174"/>
      <c r="G26" s="7" t="e">
        <f>_xlfn.XLOOKUP($F26,Table32[Color_Name],Table32[Hex_Code],,0,)</f>
        <v>#N/A</v>
      </c>
      <c r="H26" s="8"/>
      <c r="I26" s="8"/>
      <c r="J26" s="8"/>
      <c r="K26" s="8"/>
      <c r="L26" s="8"/>
      <c r="M26" s="8"/>
      <c r="N26" s="8"/>
      <c r="O26" s="8"/>
      <c r="P26" s="8"/>
    </row>
    <row r="27" spans="1:16" x14ac:dyDescent="0.25">
      <c r="A27" s="173" t="b">
        <v>0</v>
      </c>
      <c r="B27" s="7">
        <f t="shared" si="0"/>
        <v>26</v>
      </c>
      <c r="C27" s="25" t="e">
        <f>_xlfn.XLOOKUP($D27,Tab_Def_Processes[Process_Name],Tab_Def_Processes[ID],,0,)</f>
        <v>#N/A</v>
      </c>
      <c r="D27" s="7">
        <f>Tab_Def_Processes[[#This Row],[Process_Name]]</f>
        <v>0</v>
      </c>
      <c r="E27" s="174"/>
      <c r="F27" s="174"/>
      <c r="G27" s="7" t="e">
        <f>_xlfn.XLOOKUP($F27,Table32[Color_Name],Table32[Hex_Code],,0,)</f>
        <v>#N/A</v>
      </c>
      <c r="H27" s="8"/>
      <c r="I27" s="8"/>
      <c r="J27" s="8"/>
      <c r="K27" s="8"/>
      <c r="L27" s="8"/>
      <c r="M27" s="8"/>
      <c r="N27" s="8"/>
      <c r="O27" s="8"/>
      <c r="P27" s="8"/>
    </row>
    <row r="28" spans="1:16" x14ac:dyDescent="0.25">
      <c r="A28" s="173" t="b">
        <v>0</v>
      </c>
      <c r="B28" s="7">
        <f t="shared" si="0"/>
        <v>27</v>
      </c>
      <c r="C28" s="25" t="e">
        <f>_xlfn.XLOOKUP($D28,Tab_Def_Processes[Process_Name],Tab_Def_Processes[ID],,0,)</f>
        <v>#N/A</v>
      </c>
      <c r="D28" s="7">
        <f>Tab_Def_Processes[[#This Row],[Process_Name]]</f>
        <v>0</v>
      </c>
      <c r="E28" s="174"/>
      <c r="F28" s="174"/>
      <c r="G28" s="7" t="e">
        <f>_xlfn.XLOOKUP($F28,Table32[Color_Name],Table32[Hex_Code],,0,)</f>
        <v>#N/A</v>
      </c>
      <c r="H28" s="8"/>
      <c r="I28" s="8"/>
      <c r="J28" s="8"/>
      <c r="K28" s="8"/>
      <c r="L28" s="8"/>
      <c r="M28" s="8"/>
      <c r="N28" s="8"/>
      <c r="O28" s="8"/>
      <c r="P28" s="8"/>
    </row>
    <row r="29" spans="1:16" x14ac:dyDescent="0.25">
      <c r="A29" s="173" t="b">
        <v>0</v>
      </c>
      <c r="B29" s="7">
        <f t="shared" si="0"/>
        <v>28</v>
      </c>
      <c r="C29" s="25" t="e">
        <f>_xlfn.XLOOKUP($D29,Tab_Def_Processes[Process_Name],Tab_Def_Processes[ID],,0,)</f>
        <v>#N/A</v>
      </c>
      <c r="D29" s="7">
        <f>Tab_Def_Processes[[#This Row],[Process_Name]]</f>
        <v>0</v>
      </c>
      <c r="E29" s="174"/>
      <c r="F29" s="174"/>
      <c r="G29" s="7" t="e">
        <f>_xlfn.XLOOKUP($F29,Table32[Color_Name],Table32[Hex_Code],,0,)</f>
        <v>#N/A</v>
      </c>
      <c r="H29" s="8"/>
      <c r="I29" s="8"/>
      <c r="J29" s="8"/>
      <c r="K29" s="8"/>
      <c r="L29" s="8"/>
      <c r="M29" s="8"/>
      <c r="N29" s="8"/>
      <c r="O29" s="8"/>
      <c r="P29" s="8"/>
    </row>
    <row r="30" spans="1:16" x14ac:dyDescent="0.25">
      <c r="A30" s="173" t="b">
        <v>0</v>
      </c>
      <c r="B30" s="7">
        <f t="shared" si="0"/>
        <v>29</v>
      </c>
      <c r="C30" s="25" t="e">
        <f>_xlfn.XLOOKUP($D30,Tab_Def_Processes[Process_Name],Tab_Def_Processes[ID],,0,)</f>
        <v>#N/A</v>
      </c>
      <c r="D30" s="7">
        <f>Tab_Def_Processes[[#This Row],[Process_Name]]</f>
        <v>0</v>
      </c>
      <c r="E30" s="174"/>
      <c r="F30" s="174"/>
      <c r="G30" s="7" t="e">
        <f>_xlfn.XLOOKUP($F30,Table32[Color_Name],Table32[Hex_Code],,0,)</f>
        <v>#N/A</v>
      </c>
      <c r="H30" s="8"/>
      <c r="I30" s="8"/>
      <c r="J30" s="8"/>
      <c r="K30" s="8"/>
      <c r="L30" s="8"/>
      <c r="M30" s="8"/>
      <c r="N30" s="8"/>
      <c r="O30" s="8"/>
      <c r="P30" s="8"/>
    </row>
    <row r="31" spans="1:16" x14ac:dyDescent="0.25">
      <c r="A31" s="173" t="b">
        <v>0</v>
      </c>
      <c r="B31" s="7">
        <f t="shared" si="0"/>
        <v>30</v>
      </c>
      <c r="C31" s="25" t="e">
        <f>_xlfn.XLOOKUP($D31,Tab_Def_Processes[Process_Name],Tab_Def_Processes[ID],,0,)</f>
        <v>#N/A</v>
      </c>
      <c r="D31" s="7">
        <f>Tab_Def_Processes[[#This Row],[Process_Name]]</f>
        <v>0</v>
      </c>
      <c r="E31" s="174"/>
      <c r="F31" s="174"/>
      <c r="G31" s="7" t="e">
        <f>_xlfn.XLOOKUP($F31,Table32[Color_Name],Table32[Hex_Code],,0,)</f>
        <v>#N/A</v>
      </c>
      <c r="H31" s="8"/>
      <c r="I31" s="8"/>
      <c r="J31" s="8"/>
      <c r="K31" s="8"/>
      <c r="L31" s="8"/>
      <c r="M31" s="8"/>
      <c r="N31" s="8"/>
      <c r="O31" s="8"/>
      <c r="P31" s="8"/>
    </row>
    <row r="32" spans="1:16" x14ac:dyDescent="0.25">
      <c r="A32" s="173" t="b">
        <v>0</v>
      </c>
      <c r="B32" s="7">
        <f t="shared" si="0"/>
        <v>31</v>
      </c>
      <c r="C32" s="25" t="e">
        <f>_xlfn.XLOOKUP($D32,Tab_Def_Processes[Process_Name],Tab_Def_Processes[ID],,0,)</f>
        <v>#N/A</v>
      </c>
      <c r="D32" s="7">
        <f>Tab_Def_Processes[[#This Row],[Process_Name]]</f>
        <v>0</v>
      </c>
      <c r="E32" s="174"/>
      <c r="F32" s="174"/>
      <c r="G32" s="7" t="e">
        <f>_xlfn.XLOOKUP($F32,Table32[Color_Name],Table32[Hex_Code],,0,)</f>
        <v>#N/A</v>
      </c>
      <c r="H32" s="8"/>
      <c r="I32" s="8"/>
      <c r="J32" s="8"/>
      <c r="K32" s="8"/>
      <c r="L32" s="8"/>
      <c r="M32" s="8"/>
      <c r="N32" s="8"/>
      <c r="O32" s="8"/>
      <c r="P32" s="8"/>
    </row>
    <row r="33" spans="1:16" x14ac:dyDescent="0.25">
      <c r="A33" s="173" t="b">
        <v>0</v>
      </c>
      <c r="B33" s="7">
        <f t="shared" si="0"/>
        <v>32</v>
      </c>
      <c r="C33" s="25" t="e">
        <f>_xlfn.XLOOKUP($D33,Tab_Def_Processes[Process_Name],Tab_Def_Processes[ID],,0,)</f>
        <v>#N/A</v>
      </c>
      <c r="D33" s="7">
        <f>Tab_Def_Processes[[#This Row],[Process_Name]]</f>
        <v>0</v>
      </c>
      <c r="E33" s="174"/>
      <c r="F33" s="174"/>
      <c r="G33" s="7" t="e">
        <f>_xlfn.XLOOKUP($F33,Table32[Color_Name],Table32[Hex_Code],,0,)</f>
        <v>#N/A</v>
      </c>
      <c r="H33" s="8"/>
      <c r="I33" s="8"/>
      <c r="J33" s="8"/>
      <c r="K33" s="8"/>
      <c r="L33" s="8"/>
      <c r="M33" s="8"/>
      <c r="N33" s="8"/>
      <c r="O33" s="8"/>
      <c r="P33" s="8"/>
    </row>
    <row r="34" spans="1:16" x14ac:dyDescent="0.25">
      <c r="A34" s="173" t="b">
        <v>0</v>
      </c>
      <c r="B34" s="7">
        <f t="shared" si="0"/>
        <v>33</v>
      </c>
      <c r="C34" s="25" t="e">
        <f>_xlfn.XLOOKUP($D34,Tab_Def_Processes[Process_Name],Tab_Def_Processes[ID],,0,)</f>
        <v>#N/A</v>
      </c>
      <c r="D34" s="7">
        <f>Tab_Def_Processes[[#This Row],[Process_Name]]</f>
        <v>0</v>
      </c>
      <c r="E34" s="174"/>
      <c r="F34" s="174"/>
      <c r="G34" s="7" t="e">
        <f>_xlfn.XLOOKUP($F34,Table32[Color_Name],Table32[Hex_Code],,0,)</f>
        <v>#N/A</v>
      </c>
      <c r="H34" s="8"/>
      <c r="I34" s="8"/>
      <c r="J34" s="8"/>
      <c r="K34" s="8"/>
      <c r="L34" s="8"/>
      <c r="M34" s="8"/>
      <c r="N34" s="8"/>
      <c r="O34" s="8"/>
      <c r="P34" s="8"/>
    </row>
    <row r="35" spans="1:16" x14ac:dyDescent="0.25">
      <c r="A35" s="173" t="b">
        <v>0</v>
      </c>
      <c r="B35" s="7">
        <f t="shared" si="0"/>
        <v>34</v>
      </c>
      <c r="C35" s="25" t="e">
        <f>_xlfn.XLOOKUP($D35,Tab_Def_Processes[Process_Name],Tab_Def_Processes[ID],,0,)</f>
        <v>#N/A</v>
      </c>
      <c r="D35" s="7">
        <f>Tab_Def_Processes[[#This Row],[Process_Name]]</f>
        <v>0</v>
      </c>
      <c r="E35" s="174"/>
      <c r="F35" s="174"/>
      <c r="G35" s="7" t="e">
        <f>_xlfn.XLOOKUP($F35,Table32[Color_Name],Table32[Hex_Code],,0,)</f>
        <v>#N/A</v>
      </c>
      <c r="H35" s="8"/>
      <c r="I35" s="8"/>
      <c r="J35" s="8"/>
      <c r="K35" s="8"/>
      <c r="L35" s="8"/>
      <c r="M35" s="8"/>
      <c r="N35" s="8"/>
      <c r="O35" s="8"/>
      <c r="P35" s="8"/>
    </row>
    <row r="36" spans="1:16" x14ac:dyDescent="0.25">
      <c r="A36" s="173" t="b">
        <v>0</v>
      </c>
      <c r="B36" s="7">
        <f t="shared" si="0"/>
        <v>35</v>
      </c>
      <c r="C36" s="25" t="e">
        <f>_xlfn.XLOOKUP($D36,Tab_Def_Processes[Process_Name],Tab_Def_Processes[ID],,0,)</f>
        <v>#N/A</v>
      </c>
      <c r="D36" s="7">
        <f>Tab_Def_Processes[[#This Row],[Process_Name]]</f>
        <v>0</v>
      </c>
      <c r="E36" s="174"/>
      <c r="F36" s="174"/>
      <c r="G36" s="7" t="e">
        <f>_xlfn.XLOOKUP($F36,Table32[Color_Name],Table32[Hex_Code],,0,)</f>
        <v>#N/A</v>
      </c>
      <c r="H36" s="8"/>
      <c r="I36" s="8"/>
      <c r="J36" s="8"/>
      <c r="K36" s="8"/>
      <c r="L36" s="8"/>
      <c r="M36" s="8"/>
      <c r="N36" s="8"/>
      <c r="O36" s="8"/>
      <c r="P36" s="8"/>
    </row>
    <row r="37" spans="1:16" x14ac:dyDescent="0.25">
      <c r="A37" s="173" t="b">
        <v>0</v>
      </c>
      <c r="B37" s="7">
        <f t="shared" si="0"/>
        <v>36</v>
      </c>
      <c r="C37" s="25" t="e">
        <f>_xlfn.XLOOKUP($D37,Tab_Def_Processes[Process_Name],Tab_Def_Processes[ID],,0,)</f>
        <v>#N/A</v>
      </c>
      <c r="D37" s="7">
        <f>Tab_Def_Processes[[#This Row],[Process_Name]]</f>
        <v>0</v>
      </c>
      <c r="E37" s="174"/>
      <c r="F37" s="174"/>
      <c r="G37" s="7" t="e">
        <f>_xlfn.XLOOKUP($F37,Table32[Color_Name],Table32[Hex_Code],,0,)</f>
        <v>#N/A</v>
      </c>
      <c r="H37" s="8"/>
      <c r="I37" s="8"/>
      <c r="J37" s="8"/>
      <c r="K37" s="8"/>
      <c r="L37" s="8"/>
      <c r="M37" s="8"/>
      <c r="N37" s="8"/>
      <c r="O37" s="8"/>
      <c r="P37" s="8"/>
    </row>
    <row r="38" spans="1:16" x14ac:dyDescent="0.25">
      <c r="A38" s="173" t="b">
        <v>0</v>
      </c>
      <c r="B38" s="7">
        <f t="shared" si="0"/>
        <v>37</v>
      </c>
      <c r="C38" s="25" t="e">
        <f>_xlfn.XLOOKUP($D38,Tab_Def_Processes[Process_Name],Tab_Def_Processes[ID],,0,)</f>
        <v>#N/A</v>
      </c>
      <c r="D38" s="7">
        <f>Tab_Def_Processes[[#This Row],[Process_Name]]</f>
        <v>0</v>
      </c>
      <c r="E38" s="174"/>
      <c r="F38" s="174"/>
      <c r="G38" s="7" t="e">
        <f>_xlfn.XLOOKUP($F38,Table32[Color_Name],Table32[Hex_Code],,0,)</f>
        <v>#N/A</v>
      </c>
      <c r="H38" s="8"/>
      <c r="I38" s="8"/>
      <c r="J38" s="8"/>
      <c r="K38" s="8"/>
      <c r="L38" s="8"/>
      <c r="M38" s="8"/>
      <c r="N38" s="8"/>
      <c r="O38" s="8"/>
      <c r="P38" s="8"/>
    </row>
    <row r="39" spans="1:16" x14ac:dyDescent="0.25">
      <c r="A39" s="173" t="b">
        <v>0</v>
      </c>
      <c r="B39" s="7">
        <f t="shared" si="0"/>
        <v>38</v>
      </c>
      <c r="C39" s="25" t="e">
        <f>_xlfn.XLOOKUP($D39,Tab_Def_Processes[Process_Name],Tab_Def_Processes[ID],,0,)</f>
        <v>#N/A</v>
      </c>
      <c r="D39" s="7">
        <f>Tab_Def_Processes[[#This Row],[Process_Name]]</f>
        <v>0</v>
      </c>
      <c r="E39" s="174"/>
      <c r="F39" s="174"/>
      <c r="G39" s="7" t="e">
        <f>_xlfn.XLOOKUP($F39,Table32[Color_Name],Table32[Hex_Code],,0,)</f>
        <v>#N/A</v>
      </c>
      <c r="H39" s="8"/>
      <c r="I39" s="8"/>
      <c r="J39" s="8"/>
      <c r="K39" s="8"/>
      <c r="L39" s="8"/>
      <c r="M39" s="8"/>
      <c r="N39" s="8"/>
      <c r="O39" s="8"/>
      <c r="P39" s="8"/>
    </row>
    <row r="40" spans="1:16" x14ac:dyDescent="0.25">
      <c r="A40" s="173" t="b">
        <v>0</v>
      </c>
      <c r="B40" s="7">
        <f t="shared" si="0"/>
        <v>39</v>
      </c>
      <c r="C40" s="25" t="e">
        <f>_xlfn.XLOOKUP($D40,Tab_Def_Processes[Process_Name],Tab_Def_Processes[ID],,0,)</f>
        <v>#N/A</v>
      </c>
      <c r="D40" s="7">
        <f>Tab_Def_Processes[[#This Row],[Process_Name]]</f>
        <v>0</v>
      </c>
      <c r="E40" s="174"/>
      <c r="F40" s="174"/>
      <c r="G40" s="7" t="e">
        <f>_xlfn.XLOOKUP($F40,Table32[Color_Name],Table32[Hex_Code],,0,)</f>
        <v>#N/A</v>
      </c>
      <c r="H40" s="8"/>
      <c r="I40" s="8"/>
      <c r="J40" s="8"/>
      <c r="K40" s="8"/>
      <c r="L40" s="8"/>
      <c r="M40" s="8"/>
      <c r="N40" s="8"/>
      <c r="O40" s="8"/>
      <c r="P40" s="8"/>
    </row>
    <row r="41" spans="1:16" x14ac:dyDescent="0.25">
      <c r="A41" s="173" t="b">
        <v>0</v>
      </c>
      <c r="B41" s="7">
        <f t="shared" si="0"/>
        <v>40</v>
      </c>
      <c r="C41" s="25" t="e">
        <f>_xlfn.XLOOKUP($D41,Tab_Def_Processes[Process_Name],Tab_Def_Processes[ID],,0,)</f>
        <v>#N/A</v>
      </c>
      <c r="D41" s="7">
        <f>Tab_Def_Processes[[#This Row],[Process_Name]]</f>
        <v>0</v>
      </c>
      <c r="E41" s="174"/>
      <c r="F41" s="174"/>
      <c r="G41" s="7" t="e">
        <f>_xlfn.XLOOKUP($F41,Table32[Color_Name],Table32[Hex_Code],,0,)</f>
        <v>#N/A</v>
      </c>
      <c r="H41" s="8"/>
      <c r="I41" s="8"/>
      <c r="J41" s="8"/>
      <c r="K41" s="8"/>
      <c r="L41" s="8"/>
      <c r="M41" s="8"/>
      <c r="N41" s="8"/>
      <c r="O41" s="8"/>
      <c r="P41" s="8"/>
    </row>
    <row r="42" spans="1:16" x14ac:dyDescent="0.25">
      <c r="A42" s="173" t="b">
        <v>0</v>
      </c>
      <c r="B42" s="7">
        <f t="shared" si="0"/>
        <v>41</v>
      </c>
      <c r="C42" s="25" t="e">
        <f>_xlfn.XLOOKUP($D42,Tab_Def_Processes[Process_Name],Tab_Def_Processes[ID],,0,)</f>
        <v>#N/A</v>
      </c>
      <c r="D42" s="7">
        <f>Tab_Def_Processes[[#This Row],[Process_Name]]</f>
        <v>0</v>
      </c>
      <c r="E42" s="174"/>
      <c r="F42" s="174"/>
      <c r="G42" s="7" t="e">
        <f>_xlfn.XLOOKUP($F42,Table32[Color_Name],Table32[Hex_Code],,0,)</f>
        <v>#N/A</v>
      </c>
      <c r="H42" s="8"/>
      <c r="I42" s="8"/>
      <c r="J42" s="8"/>
      <c r="K42" s="8"/>
      <c r="L42" s="8"/>
      <c r="M42" s="8"/>
      <c r="N42" s="8"/>
      <c r="O42" s="8"/>
      <c r="P42" s="8"/>
    </row>
    <row r="43" spans="1:16" x14ac:dyDescent="0.25">
      <c r="A43" s="173" t="b">
        <v>0</v>
      </c>
      <c r="B43" s="7">
        <f t="shared" si="0"/>
        <v>42</v>
      </c>
      <c r="C43" s="25" t="e">
        <f>_xlfn.XLOOKUP($D43,Tab_Def_Processes[Process_Name],Tab_Def_Processes[ID],,0,)</f>
        <v>#N/A</v>
      </c>
      <c r="D43" s="7">
        <f>Tab_Def_Processes[[#This Row],[Process_Name]]</f>
        <v>0</v>
      </c>
      <c r="E43" s="174"/>
      <c r="F43" s="174"/>
      <c r="G43" s="7" t="e">
        <f>_xlfn.XLOOKUP($F43,Table32[Color_Name],Table32[Hex_Code],,0,)</f>
        <v>#N/A</v>
      </c>
      <c r="H43" s="8"/>
      <c r="I43" s="8"/>
      <c r="J43" s="8"/>
      <c r="K43" s="8"/>
      <c r="L43" s="8"/>
      <c r="M43" s="8"/>
      <c r="N43" s="8"/>
      <c r="O43" s="8"/>
      <c r="P43" s="8"/>
    </row>
    <row r="44" spans="1:16" x14ac:dyDescent="0.25">
      <c r="A44" s="173" t="b">
        <v>0</v>
      </c>
      <c r="B44" s="7">
        <f t="shared" si="0"/>
        <v>43</v>
      </c>
      <c r="C44" s="25" t="e">
        <f>_xlfn.XLOOKUP($D44,Tab_Def_Processes[Process_Name],Tab_Def_Processes[ID],,0,)</f>
        <v>#N/A</v>
      </c>
      <c r="D44" s="7">
        <f>Tab_Def_Processes[[#This Row],[Process_Name]]</f>
        <v>0</v>
      </c>
      <c r="E44" s="174"/>
      <c r="F44" s="174"/>
      <c r="G44" s="7" t="e">
        <f>_xlfn.XLOOKUP($F44,Table32[Color_Name],Table32[Hex_Code],,0,)</f>
        <v>#N/A</v>
      </c>
      <c r="H44" s="8"/>
      <c r="I44" s="8"/>
      <c r="J44" s="8"/>
      <c r="K44" s="8"/>
      <c r="L44" s="8"/>
      <c r="M44" s="8"/>
      <c r="N44" s="8"/>
      <c r="O44" s="8"/>
      <c r="P44" s="8"/>
    </row>
    <row r="45" spans="1:16" x14ac:dyDescent="0.25">
      <c r="A45" s="173" t="b">
        <v>0</v>
      </c>
      <c r="B45" s="7">
        <f t="shared" si="0"/>
        <v>44</v>
      </c>
      <c r="C45" s="25" t="e">
        <f>_xlfn.XLOOKUP($D45,Tab_Def_Processes[Process_Name],Tab_Def_Processes[ID],,0,)</f>
        <v>#N/A</v>
      </c>
      <c r="D45" s="7">
        <f>Tab_Def_Processes[[#This Row],[Process_Name]]</f>
        <v>0</v>
      </c>
      <c r="E45" s="174"/>
      <c r="F45" s="174"/>
      <c r="G45" s="7" t="e">
        <f>_xlfn.XLOOKUP($F45,Table32[Color_Name],Table32[Hex_Code],,0,)</f>
        <v>#N/A</v>
      </c>
      <c r="H45" s="8"/>
      <c r="I45" s="8"/>
      <c r="J45" s="8"/>
      <c r="K45" s="8"/>
      <c r="L45" s="8"/>
      <c r="M45" s="8"/>
      <c r="N45" s="8"/>
      <c r="O45" s="8"/>
      <c r="P45" s="8"/>
    </row>
    <row r="46" spans="1:16" x14ac:dyDescent="0.25">
      <c r="A46" s="173" t="b">
        <v>0</v>
      </c>
      <c r="B46" s="7">
        <f t="shared" si="0"/>
        <v>45</v>
      </c>
      <c r="C46" s="25" t="e">
        <f>_xlfn.XLOOKUP($D46,Tab_Def_Processes[Process_Name],Tab_Def_Processes[ID],,0,)</f>
        <v>#N/A</v>
      </c>
      <c r="D46" s="7">
        <f>Tab_Def_Processes[[#This Row],[Process_Name]]</f>
        <v>0</v>
      </c>
      <c r="E46" s="174"/>
      <c r="F46" s="174"/>
      <c r="G46" s="7" t="e">
        <f>_xlfn.XLOOKUP($F46,Table32[Color_Name],Table32[Hex_Code],,0,)</f>
        <v>#N/A</v>
      </c>
      <c r="H46" s="8"/>
      <c r="I46" s="8"/>
      <c r="J46" s="8"/>
      <c r="K46" s="8"/>
      <c r="L46" s="8"/>
      <c r="M46" s="8"/>
      <c r="N46" s="8"/>
      <c r="O46" s="8"/>
      <c r="P46" s="8"/>
    </row>
    <row r="47" spans="1:16" x14ac:dyDescent="0.25">
      <c r="A47" s="173" t="b">
        <v>0</v>
      </c>
      <c r="B47" s="7">
        <f t="shared" si="0"/>
        <v>46</v>
      </c>
      <c r="C47" s="25" t="e">
        <f>_xlfn.XLOOKUP($D47,Tab_Def_Processes[Process_Name],Tab_Def_Processes[ID],,0,)</f>
        <v>#N/A</v>
      </c>
      <c r="D47" s="7">
        <f>Tab_Def_Processes[[#This Row],[Process_Name]]</f>
        <v>0</v>
      </c>
      <c r="E47" s="174"/>
      <c r="F47" s="174"/>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45" sqref="K45"/>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5" t="s">
        <v>27</v>
      </c>
      <c r="B1" s="155" t="s">
        <v>36</v>
      </c>
      <c r="C1" s="155" t="s">
        <v>54</v>
      </c>
      <c r="D1" s="175" t="s">
        <v>397</v>
      </c>
      <c r="E1" s="175" t="s">
        <v>516</v>
      </c>
      <c r="F1" s="175" t="s">
        <v>5</v>
      </c>
    </row>
    <row r="2" spans="1:6" x14ac:dyDescent="0.25">
      <c r="A2" s="9">
        <f>ROW()-1</f>
        <v>1</v>
      </c>
      <c r="B2" s="7" t="str">
        <f>_xlfn.XLOOKUP(C2,Tab_Def_Flows[Flow_Name],Tab_Def_Flows[Flow_ID],,0,)</f>
        <v>F_12_00</v>
      </c>
      <c r="C2" s="7" t="str">
        <f>Tab_Def_Flows[[#This Row],[Flow_Name]]</f>
        <v>Natur &amp; Synthese Kautchouk</v>
      </c>
      <c r="D2" s="152" t="s">
        <v>460</v>
      </c>
      <c r="E2" s="7" t="str">
        <f>_xlfn.XLOOKUP($D2,Table32[Color_Name],Table32[Hex_Code],,0,)</f>
        <v>#87CEEB</v>
      </c>
      <c r="F2" s="18"/>
    </row>
    <row r="3" spans="1:6" x14ac:dyDescent="0.25">
      <c r="A3" s="9">
        <f t="shared" ref="A3:A51" si="0">ROW()-1</f>
        <v>2</v>
      </c>
      <c r="B3" s="7" t="str">
        <f>_xlfn.XLOOKUP(C3,Tab_Def_Flows[Flow_Name],Tab_Def_Flows[Flow_ID],,0,)</f>
        <v>F_13_00</v>
      </c>
      <c r="C3" s="7" t="str">
        <f>Tab_Def_Flows[[#This Row],[Flow_Name]]</f>
        <v>Füllstoffe (Ruß &amp; Kieselgel)</v>
      </c>
      <c r="D3" s="152" t="s">
        <v>427</v>
      </c>
      <c r="E3" s="7" t="str">
        <f>_xlfn.XLOOKUP($D3,Table32[Color_Name],Table32[Hex_Code],,0,)</f>
        <v>#228B22</v>
      </c>
      <c r="F3" s="18"/>
    </row>
    <row r="4" spans="1:6" x14ac:dyDescent="0.25">
      <c r="A4" s="9">
        <f t="shared" si="0"/>
        <v>3</v>
      </c>
      <c r="B4" s="7" t="str">
        <f>_xlfn.XLOOKUP(C4,Tab_Def_Flows[Flow_Name],Tab_Def_Flows[Flow_ID],,0,)</f>
        <v>F_14_00</v>
      </c>
      <c r="C4" s="7" t="str">
        <f>Tab_Def_Flows[[#This Row],[Flow_Name]]</f>
        <v>Stahldraht &amp; Textilfaser</v>
      </c>
      <c r="D4" s="152" t="s">
        <v>443</v>
      </c>
      <c r="E4" s="7" t="str">
        <f>_xlfn.XLOOKUP($D4,Table32[Color_Name],Table32[Hex_Code],,0,)</f>
        <v>#F5DEB3</v>
      </c>
      <c r="F4" s="18"/>
    </row>
    <row r="5" spans="1:6" x14ac:dyDescent="0.25">
      <c r="A5" s="9">
        <f t="shared" si="0"/>
        <v>4</v>
      </c>
      <c r="B5" s="7" t="str">
        <f>_xlfn.XLOOKUP(C5,Tab_Def_Flows[Flow_Name],Tab_Def_Flows[Flow_ID],,0,)</f>
        <v>F_00_01</v>
      </c>
      <c r="C5" s="7" t="str">
        <f>Tab_Def_Flows[[#This Row],[Flow_Name]]</f>
        <v>Reifen</v>
      </c>
      <c r="D5" s="152" t="s">
        <v>443</v>
      </c>
      <c r="E5" s="7" t="str">
        <f>_xlfn.XLOOKUP($D5,Table32[Color_Name],Table32[Hex_Code],,0,)</f>
        <v>#F5DEB3</v>
      </c>
      <c r="F5" s="18"/>
    </row>
    <row r="6" spans="1:6" x14ac:dyDescent="0.25">
      <c r="A6" s="9">
        <f t="shared" si="0"/>
        <v>5</v>
      </c>
      <c r="B6" s="7" t="str">
        <f>_xlfn.XLOOKUP(C6,Tab_Def_Flows[Flow_Name],Tab_Def_Flows[Flow_ID],,0,)</f>
        <v>F_01_02</v>
      </c>
      <c r="C6" s="7" t="str">
        <f>Tab_Def_Flows[[#This Row],[Flow_Name]]</f>
        <v>Abrieb</v>
      </c>
      <c r="D6" s="152" t="s">
        <v>443</v>
      </c>
      <c r="E6" s="7" t="str">
        <f>_xlfn.XLOOKUP($D6,Table32[Color_Name],Table32[Hex_Code],,0,)</f>
        <v>#F5DEB3</v>
      </c>
      <c r="F6" s="18"/>
    </row>
    <row r="7" spans="1:6" x14ac:dyDescent="0.25">
      <c r="A7" s="9">
        <f t="shared" si="0"/>
        <v>6</v>
      </c>
      <c r="B7" s="7" t="str">
        <f>_xlfn.XLOOKUP(C7,Tab_Def_Flows[Flow_Name],Tab_Def_Flows[Flow_ID],,0,)</f>
        <v>F_01_03</v>
      </c>
      <c r="C7" s="7" t="str">
        <f>Tab_Def_Flows[[#This Row],[Flow_Name]]</f>
        <v>Altreifen</v>
      </c>
      <c r="D7" s="152" t="s">
        <v>460</v>
      </c>
      <c r="E7" s="7" t="str">
        <f>_xlfn.XLOOKUP($D7,Table32[Color_Name],Table32[Hex_Code],,0,)</f>
        <v>#87CEEB</v>
      </c>
      <c r="F7" s="18"/>
    </row>
    <row r="8" spans="1:6" x14ac:dyDescent="0.25">
      <c r="A8" s="9">
        <f t="shared" si="0"/>
        <v>7</v>
      </c>
      <c r="B8" s="7" t="str">
        <f>_xlfn.XLOOKUP(C8,Tab_Def_Flows[Flow_Name],Tab_Def_Flows[Flow_ID],,0,)</f>
        <v>F_03_04</v>
      </c>
      <c r="C8" s="7" t="str">
        <f>Tab_Def_Flows[[#This Row],[Flow_Name]]</f>
        <v>Altreifen_Erneuerung</v>
      </c>
      <c r="D8" s="152" t="s">
        <v>427</v>
      </c>
      <c r="E8" s="7" t="str">
        <f>_xlfn.XLOOKUP($D8,Table32[Color_Name],Table32[Hex_Code],,0,)</f>
        <v>#228B22</v>
      </c>
      <c r="F8" s="18"/>
    </row>
    <row r="9" spans="1:6" x14ac:dyDescent="0.25">
      <c r="A9" s="9">
        <f t="shared" si="0"/>
        <v>8</v>
      </c>
      <c r="B9" s="7" t="str">
        <f>_xlfn.XLOOKUP(C9,Tab_Def_Flows[Flow_Name],Tab_Def_Flows[Flow_ID],,0,)</f>
        <v>F_03_05</v>
      </c>
      <c r="C9" s="7" t="str">
        <f>Tab_Def_Flows[[#This Row],[Flow_Name]]</f>
        <v>Altreifen_Werkstofflich</v>
      </c>
      <c r="D9" s="152" t="s">
        <v>443</v>
      </c>
      <c r="E9" s="7" t="str">
        <f>_xlfn.XLOOKUP($D9,Table32[Color_Name],Table32[Hex_Code],,0,)</f>
        <v>#F5DEB3</v>
      </c>
      <c r="F9" s="18"/>
    </row>
    <row r="10" spans="1:6" x14ac:dyDescent="0.25">
      <c r="A10" s="9">
        <f t="shared" si="0"/>
        <v>9</v>
      </c>
      <c r="B10" s="7" t="str">
        <f>_xlfn.XLOOKUP(C10,Tab_Def_Flows[Flow_Name],Tab_Def_Flows[Flow_ID],,0,)</f>
        <v>F_03_06</v>
      </c>
      <c r="C10" s="7" t="str">
        <f>Tab_Def_Flows[[#This Row],[Flow_Name]]</f>
        <v>Altreifen_Thermisch</v>
      </c>
      <c r="D10" s="152" t="s">
        <v>443</v>
      </c>
      <c r="E10" s="7" t="str">
        <f>_xlfn.XLOOKUP($D10,Table32[Color_Name],Table32[Hex_Code],,0,)</f>
        <v>#F5DEB3</v>
      </c>
      <c r="F10" s="18"/>
    </row>
    <row r="11" spans="1:6" x14ac:dyDescent="0.25">
      <c r="A11" s="9">
        <f t="shared" si="0"/>
        <v>10</v>
      </c>
      <c r="B11" s="7" t="str">
        <f>_xlfn.XLOOKUP(C11,Tab_Def_Flows[Flow_Name],Tab_Def_Flows[Flow_ID],,0,)</f>
        <v>F_03_07</v>
      </c>
      <c r="C11" s="7" t="str">
        <f>Tab_Def_Flows[[#This Row],[Flow_Name]]</f>
        <v>Altreifen_export</v>
      </c>
      <c r="D11" s="152" t="s">
        <v>443</v>
      </c>
      <c r="E11" s="7" t="str">
        <f>_xlfn.XLOOKUP($D11,Table32[Color_Name],Table32[Hex_Code],,0,)</f>
        <v>#F5DEB3</v>
      </c>
      <c r="F11" s="18"/>
    </row>
    <row r="12" spans="1:6" x14ac:dyDescent="0.25">
      <c r="A12" s="9">
        <f t="shared" si="0"/>
        <v>11</v>
      </c>
      <c r="B12" s="7" t="str">
        <f>_xlfn.XLOOKUP(C12,Tab_Def_Flows[Flow_Name],Tab_Def_Flows[Flow_ID],,0,)</f>
        <v>F_04_01</v>
      </c>
      <c r="C12" s="7" t="str">
        <f>Tab_Def_Flows[[#This Row],[Flow_Name]]</f>
        <v>Reifen_runderneuert</v>
      </c>
      <c r="D12" s="152" t="s">
        <v>460</v>
      </c>
      <c r="E12" s="7" t="str">
        <f>_xlfn.XLOOKUP($D12,Table32[Color_Name],Table32[Hex_Code],,0,)</f>
        <v>#87CEEB</v>
      </c>
      <c r="F12" s="18"/>
    </row>
    <row r="13" spans="1:6" x14ac:dyDescent="0.25">
      <c r="A13" s="9">
        <f t="shared" si="0"/>
        <v>12</v>
      </c>
      <c r="B13" s="7" t="str">
        <f>_xlfn.XLOOKUP(C13,Tab_Def_Flows[Flow_Name],Tab_Def_Flows[Flow_ID],,0,)</f>
        <v>F_05_10</v>
      </c>
      <c r="C13" s="7" t="str">
        <f>Tab_Def_Flows[[#This Row],[Flow_Name]]</f>
        <v>Stahldraht</v>
      </c>
      <c r="D13" s="152" t="s">
        <v>427</v>
      </c>
      <c r="E13" s="7" t="str">
        <f>_xlfn.XLOOKUP($D13,Table32[Color_Name],Table32[Hex_Code],,0,)</f>
        <v>#228B22</v>
      </c>
      <c r="F13" s="18"/>
    </row>
    <row r="14" spans="1:6" x14ac:dyDescent="0.25">
      <c r="A14" s="9">
        <f t="shared" si="0"/>
        <v>13</v>
      </c>
      <c r="B14" s="7" t="str">
        <f>_xlfn.XLOOKUP(C14,Tab_Def_Flows[Flow_Name],Tab_Def_Flows[Flow_ID],,0,)</f>
        <v>F_05_11</v>
      </c>
      <c r="C14" s="7" t="str">
        <f>Tab_Def_Flows[[#This Row],[Flow_Name]]</f>
        <v>Kunststoffgranulat</v>
      </c>
      <c r="D14" s="152" t="s">
        <v>460</v>
      </c>
      <c r="E14" s="7" t="str">
        <f>_xlfn.XLOOKUP($D14,Table32[Color_Name],Table32[Hex_Code],,0,)</f>
        <v>#87CEEB</v>
      </c>
      <c r="F14" s="18"/>
    </row>
    <row r="15" spans="1:6" x14ac:dyDescent="0.25">
      <c r="A15" s="9">
        <f t="shared" si="0"/>
        <v>14</v>
      </c>
      <c r="B15" s="7" t="str">
        <f>_xlfn.XLOOKUP(C15,Tab_Def_Flows[Flow_Name],Tab_Def_Flows[Flow_ID],,0,)</f>
        <v>F_06_09</v>
      </c>
      <c r="C15" s="7" t="str">
        <f>Tab_Def_Flows[[#This Row],[Flow_Name]]</f>
        <v>Kohlenstoff</v>
      </c>
      <c r="D15" s="152" t="s">
        <v>427</v>
      </c>
      <c r="E15" s="7" t="str">
        <f>_xlfn.XLOOKUP($D15,Table32[Color_Name],Table32[Hex_Code],,0,)</f>
        <v>#228B22</v>
      </c>
      <c r="F15" s="18"/>
    </row>
    <row r="16" spans="1:6" x14ac:dyDescent="0.25">
      <c r="A16" s="9">
        <f t="shared" si="0"/>
        <v>15</v>
      </c>
      <c r="B16" s="7" t="str">
        <f>_xlfn.XLOOKUP(C16,Tab_Def_Flows[Flow_Name],Tab_Def_Flows[Flow_ID],,0,)</f>
        <v>F_06_08</v>
      </c>
      <c r="C16" s="7" t="str">
        <f>Tab_Def_Flows[[#This Row],[Flow_Name]]</f>
        <v>Stahldraht &amp; Textilfaser_Zement</v>
      </c>
      <c r="D16" s="152" t="s">
        <v>443</v>
      </c>
      <c r="E16" s="7" t="str">
        <f>_xlfn.XLOOKUP($D16,Table32[Color_Name],Table32[Hex_Code],,0,)</f>
        <v>#F5DEB3</v>
      </c>
      <c r="F16" s="18"/>
    </row>
    <row r="17" spans="1:6" x14ac:dyDescent="0.25">
      <c r="A17" s="9">
        <f t="shared" si="0"/>
        <v>16</v>
      </c>
      <c r="B17" s="7" t="e">
        <f>_xlfn.XLOOKUP(C17,Tab_Def_Flows[Flow_Name],Tab_Def_Flows[Flow_ID],,0,)</f>
        <v>#N/A</v>
      </c>
      <c r="C17" s="7">
        <f>Tab_Def_Flows[[#This Row],[Flow_Name]]</f>
        <v>0</v>
      </c>
      <c r="D17" s="152" t="s">
        <v>460</v>
      </c>
      <c r="E17" s="7" t="str">
        <f>_xlfn.XLOOKUP($D17,Table32[Color_Name],Table32[Hex_Code],,0,)</f>
        <v>#87CEEB</v>
      </c>
      <c r="F17" s="18"/>
    </row>
    <row r="18" spans="1:6" x14ac:dyDescent="0.25">
      <c r="A18" s="9">
        <f t="shared" si="0"/>
        <v>17</v>
      </c>
      <c r="B18" s="7" t="e">
        <f>_xlfn.XLOOKUP(C18,Tab_Def_Flows[Flow_Name],Tab_Def_Flows[Flow_ID],,0,)</f>
        <v>#N/A</v>
      </c>
      <c r="C18" s="7">
        <f>Tab_Def_Flows[[#This Row],[Flow_Name]]</f>
        <v>0</v>
      </c>
      <c r="D18" s="152" t="s">
        <v>427</v>
      </c>
      <c r="E18" s="7" t="str">
        <f>_xlfn.XLOOKUP($D18,Table32[Color_Name],Table32[Hex_Code],,0,)</f>
        <v>#228B22</v>
      </c>
      <c r="F18" s="18"/>
    </row>
    <row r="19" spans="1:6" x14ac:dyDescent="0.25">
      <c r="A19" s="9">
        <f t="shared" si="0"/>
        <v>18</v>
      </c>
      <c r="B19" s="7" t="e">
        <f>_xlfn.XLOOKUP(C19,Tab_Def_Flows[Flow_Name],Tab_Def_Flows[Flow_ID],,0,)</f>
        <v>#N/A</v>
      </c>
      <c r="C19" s="7">
        <f>Tab_Def_Flows[[#This Row],[Flow_Name]]</f>
        <v>0</v>
      </c>
      <c r="D19" s="152" t="s">
        <v>460</v>
      </c>
      <c r="E19" s="7" t="str">
        <f>_xlfn.XLOOKUP($D19,Table32[Color_Name],Table32[Hex_Code],,0,)</f>
        <v>#87CEEB</v>
      </c>
      <c r="F19" s="18"/>
    </row>
    <row r="20" spans="1:6" x14ac:dyDescent="0.25">
      <c r="A20" s="9">
        <f t="shared" si="0"/>
        <v>19</v>
      </c>
      <c r="B20" s="7" t="e">
        <f>_xlfn.XLOOKUP(C20,Tab_Def_Flows[Flow_Name],Tab_Def_Flows[Flow_ID],,0,)</f>
        <v>#N/A</v>
      </c>
      <c r="C20" s="7">
        <f>Tab_Def_Flows[[#This Row],[Flow_Name]]</f>
        <v>0</v>
      </c>
      <c r="D20" s="152" t="s">
        <v>427</v>
      </c>
      <c r="E20" s="7" t="str">
        <f>_xlfn.XLOOKUP($D20,Table32[Color_Name],Table32[Hex_Code],,0,)</f>
        <v>#228B22</v>
      </c>
      <c r="F20" s="18"/>
    </row>
    <row r="21" spans="1:6" x14ac:dyDescent="0.25">
      <c r="A21" s="9">
        <f t="shared" si="0"/>
        <v>20</v>
      </c>
      <c r="B21" s="7" t="e">
        <f>_xlfn.XLOOKUP(C21,Tab_Def_Flows[Flow_Name],Tab_Def_Flows[Flow_ID],,0,)</f>
        <v>#N/A</v>
      </c>
      <c r="C21" s="7">
        <f>Tab_Def_Flows[[#This Row],[Flow_Name]]</f>
        <v>0</v>
      </c>
      <c r="D21" s="152" t="s">
        <v>443</v>
      </c>
      <c r="E21" s="7" t="str">
        <f>_xlfn.XLOOKUP($D21,Table32[Color_Name],Table32[Hex_Code],,0,)</f>
        <v>#F5DEB3</v>
      </c>
      <c r="F21" s="18"/>
    </row>
    <row r="22" spans="1:6" x14ac:dyDescent="0.25">
      <c r="A22" s="9">
        <f t="shared" si="0"/>
        <v>21</v>
      </c>
      <c r="B22" s="7" t="e">
        <f>_xlfn.XLOOKUP(C22,Tab_Def_Flows[Flow_Name],Tab_Def_Flows[Flow_ID],,0,)</f>
        <v>#N/A</v>
      </c>
      <c r="C22" s="7">
        <f>Tab_Def_Flows[[#This Row],[Flow_Name]]</f>
        <v>0</v>
      </c>
      <c r="D22" s="152" t="s">
        <v>427</v>
      </c>
      <c r="E22" s="7" t="str">
        <f>_xlfn.XLOOKUP($D22,Table32[Color_Name],Table32[Hex_Code],,0,)</f>
        <v>#228B22</v>
      </c>
      <c r="F22" s="18"/>
    </row>
    <row r="23" spans="1:6" x14ac:dyDescent="0.25">
      <c r="A23" s="9">
        <f t="shared" si="0"/>
        <v>22</v>
      </c>
      <c r="B23" s="7" t="e">
        <f>_xlfn.XLOOKUP(C23,Tab_Def_Flows[Flow_Name],Tab_Def_Flows[Flow_ID],,0,)</f>
        <v>#N/A</v>
      </c>
      <c r="C23" s="7">
        <f>Tab_Def_Flows[[#This Row],[Flow_Name]]</f>
        <v>0</v>
      </c>
      <c r="D23" s="152" t="s">
        <v>427</v>
      </c>
      <c r="E23" s="7" t="str">
        <f>_xlfn.XLOOKUP($D23,Table32[Color_Name],Table32[Hex_Code],,0,)</f>
        <v>#228B22</v>
      </c>
      <c r="F23" s="18"/>
    </row>
    <row r="24" spans="1:6" x14ac:dyDescent="0.25">
      <c r="A24" s="9">
        <f t="shared" si="0"/>
        <v>23</v>
      </c>
      <c r="B24" s="7" t="e">
        <f>_xlfn.XLOOKUP(C24,Tab_Def_Flows[Flow_Name],Tab_Def_Flows[Flow_ID],,0,)</f>
        <v>#N/A</v>
      </c>
      <c r="C24" s="7">
        <f>Tab_Def_Flows[[#This Row],[Flow_Name]]</f>
        <v>0</v>
      </c>
      <c r="D24" s="152" t="s">
        <v>427</v>
      </c>
      <c r="E24" s="7" t="str">
        <f>_xlfn.XLOOKUP($D24,Table32[Color_Name],Table32[Hex_Code],,0,)</f>
        <v>#228B22</v>
      </c>
      <c r="F24" s="18"/>
    </row>
    <row r="25" spans="1:6" x14ac:dyDescent="0.25">
      <c r="A25" s="9">
        <f t="shared" si="0"/>
        <v>24</v>
      </c>
      <c r="B25" s="7" t="e">
        <f>_xlfn.XLOOKUP(C25,Tab_Def_Flows[Flow_Name],Tab_Def_Flows[Flow_ID],,0,)</f>
        <v>#N/A</v>
      </c>
      <c r="C25" s="7">
        <f>Tab_Def_Flows[[#This Row],[Flow_Name]]</f>
        <v>0</v>
      </c>
      <c r="D25" s="152" t="s">
        <v>427</v>
      </c>
      <c r="E25" s="7" t="str">
        <f>_xlfn.XLOOKUP($D25,Table32[Color_Name],Table32[Hex_Code],,0,)</f>
        <v>#228B22</v>
      </c>
      <c r="F25" s="18"/>
    </row>
    <row r="26" spans="1:6" x14ac:dyDescent="0.25">
      <c r="A26" s="9">
        <f t="shared" si="0"/>
        <v>25</v>
      </c>
      <c r="B26" s="7" t="e">
        <f>_xlfn.XLOOKUP(C26,Tab_Def_Flows[Flow_Name],Tab_Def_Flows[Flow_ID],,0,)</f>
        <v>#N/A</v>
      </c>
      <c r="C26" s="7">
        <f>Tab_Def_Flows[[#This Row],[Flow_Name]]</f>
        <v>0</v>
      </c>
      <c r="D26" s="152"/>
      <c r="E26" s="7" t="e">
        <f>_xlfn.XLOOKUP($D26,Table32[Color_Name],Table32[Hex_Code],,0,)</f>
        <v>#N/A</v>
      </c>
      <c r="F26" s="18"/>
    </row>
    <row r="27" spans="1:6" x14ac:dyDescent="0.25">
      <c r="A27" s="9">
        <f t="shared" si="0"/>
        <v>26</v>
      </c>
      <c r="B27" s="7" t="e">
        <f>_xlfn.XLOOKUP(C27,Tab_Def_Flows[Flow_Name],Tab_Def_Flows[Flow_ID],,0,)</f>
        <v>#N/A</v>
      </c>
      <c r="C27" s="7">
        <f>Tab_Def_Flows[[#This Row],[Flow_Name]]</f>
        <v>0</v>
      </c>
      <c r="D27" s="152"/>
      <c r="E27" s="7" t="e">
        <f>_xlfn.XLOOKUP($D27,Table32[Color_Name],Table32[Hex_Code],,0,)</f>
        <v>#N/A</v>
      </c>
      <c r="F27" s="18"/>
    </row>
    <row r="28" spans="1:6" x14ac:dyDescent="0.25">
      <c r="A28" s="9">
        <f t="shared" si="0"/>
        <v>27</v>
      </c>
      <c r="B28" s="7" t="e">
        <f>_xlfn.XLOOKUP(C28,Tab_Def_Flows[Flow_Name],Tab_Def_Flows[Flow_ID],,0,)</f>
        <v>#N/A</v>
      </c>
      <c r="C28" s="7">
        <f>Tab_Def_Flows[[#This Row],[Flow_Name]]</f>
        <v>0</v>
      </c>
      <c r="D28" s="152"/>
      <c r="E28" s="7" t="e">
        <f>_xlfn.XLOOKUP($D28,Table32[Color_Name],Table32[Hex_Code],,0,)</f>
        <v>#N/A</v>
      </c>
      <c r="F28" s="18"/>
    </row>
    <row r="29" spans="1:6" x14ac:dyDescent="0.25">
      <c r="A29" s="9">
        <f t="shared" si="0"/>
        <v>28</v>
      </c>
      <c r="B29" s="7" t="e">
        <f>_xlfn.XLOOKUP(C29,Tab_Def_Flows[Flow_Name],Tab_Def_Flows[Flow_ID],,0,)</f>
        <v>#N/A</v>
      </c>
      <c r="C29" s="7">
        <f>Tab_Def_Flows[[#This Row],[Flow_Name]]</f>
        <v>0</v>
      </c>
      <c r="D29" s="152"/>
      <c r="E29" s="7" t="e">
        <f>_xlfn.XLOOKUP($D29,Table32[Color_Name],Table32[Hex_Code],,0,)</f>
        <v>#N/A</v>
      </c>
      <c r="F29" s="18"/>
    </row>
    <row r="30" spans="1:6" x14ac:dyDescent="0.25">
      <c r="A30" s="9">
        <f t="shared" si="0"/>
        <v>29</v>
      </c>
      <c r="B30" s="7" t="e">
        <f>_xlfn.XLOOKUP(C30,Tab_Def_Flows[Flow_Name],Tab_Def_Flows[Flow_ID],,0,)</f>
        <v>#N/A</v>
      </c>
      <c r="C30" s="7">
        <f>Tab_Def_Flows[[#This Row],[Flow_Name]]</f>
        <v>0</v>
      </c>
      <c r="D30" s="152"/>
      <c r="E30" s="7" t="e">
        <f>_xlfn.XLOOKUP($D30,Table32[Color_Name],Table32[Hex_Code],,0,)</f>
        <v>#N/A</v>
      </c>
      <c r="F30" s="18"/>
    </row>
    <row r="31" spans="1:6" x14ac:dyDescent="0.25">
      <c r="A31" s="9">
        <f t="shared" si="0"/>
        <v>30</v>
      </c>
      <c r="B31" s="7" t="e">
        <f>_xlfn.XLOOKUP(C31,Tab_Def_Flows[Flow_Name],Tab_Def_Flows[Flow_ID],,0,)</f>
        <v>#N/A</v>
      </c>
      <c r="C31" s="7">
        <f>Tab_Def_Flows[[#This Row],[Flow_Name]]</f>
        <v>0</v>
      </c>
      <c r="D31" s="152"/>
      <c r="E31" s="7" t="e">
        <f>_xlfn.XLOOKUP($D31,Table32[Color_Name],Table32[Hex_Code],,0,)</f>
        <v>#N/A</v>
      </c>
      <c r="F31" s="18"/>
    </row>
    <row r="32" spans="1:6" x14ac:dyDescent="0.25">
      <c r="A32" s="9">
        <f t="shared" si="0"/>
        <v>31</v>
      </c>
      <c r="B32" s="7" t="e">
        <f>_xlfn.XLOOKUP(C32,Tab_Def_Flows[Flow_Name],Tab_Def_Flows[Flow_ID],,0,)</f>
        <v>#N/A</v>
      </c>
      <c r="C32" s="7">
        <f>Tab_Def_Flows[[#This Row],[Flow_Name]]</f>
        <v>0</v>
      </c>
      <c r="D32" s="152"/>
      <c r="E32" s="7" t="e">
        <f>_xlfn.XLOOKUP($D32,Table32[Color_Name],Table32[Hex_Code],,0,)</f>
        <v>#N/A</v>
      </c>
      <c r="F32" s="18"/>
    </row>
    <row r="33" spans="1:6" x14ac:dyDescent="0.25">
      <c r="A33" s="9">
        <f t="shared" si="0"/>
        <v>32</v>
      </c>
      <c r="B33" s="7" t="e">
        <f>_xlfn.XLOOKUP(C33,Tab_Def_Flows[Flow_Name],Tab_Def_Flows[Flow_ID],,0,)</f>
        <v>#N/A</v>
      </c>
      <c r="C33" s="7">
        <f>Tab_Def_Flows[[#This Row],[Flow_Name]]</f>
        <v>0</v>
      </c>
      <c r="D33" s="152"/>
      <c r="E33" s="7" t="e">
        <f>_xlfn.XLOOKUP($D33,Table32[Color_Name],Table32[Hex_Code],,0,)</f>
        <v>#N/A</v>
      </c>
      <c r="F33" s="18"/>
    </row>
    <row r="34" spans="1:6" x14ac:dyDescent="0.25">
      <c r="A34" s="9">
        <f t="shared" si="0"/>
        <v>33</v>
      </c>
      <c r="B34" s="7" t="e">
        <f>_xlfn.XLOOKUP(C34,Tab_Def_Flows[Flow_Name],Tab_Def_Flows[Flow_ID],,0,)</f>
        <v>#N/A</v>
      </c>
      <c r="C34" s="7">
        <f>Tab_Def_Flows[[#This Row],[Flow_Name]]</f>
        <v>0</v>
      </c>
      <c r="D34" s="152"/>
      <c r="E34" s="7" t="e">
        <f>_xlfn.XLOOKUP($D34,Table32[Color_Name],Table32[Hex_Code],,0,)</f>
        <v>#N/A</v>
      </c>
      <c r="F34" s="18"/>
    </row>
    <row r="35" spans="1:6" x14ac:dyDescent="0.25">
      <c r="A35" s="9">
        <f t="shared" si="0"/>
        <v>34</v>
      </c>
      <c r="B35" s="7" t="e">
        <f>_xlfn.XLOOKUP(C35,Tab_Def_Flows[Flow_Name],Tab_Def_Flows[Flow_ID],,0,)</f>
        <v>#N/A</v>
      </c>
      <c r="C35" s="7">
        <f>Tab_Def_Flows[[#This Row],[Flow_Name]]</f>
        <v>0</v>
      </c>
      <c r="D35" s="152"/>
      <c r="E35" s="7" t="e">
        <f>_xlfn.XLOOKUP($D35,Table32[Color_Name],Table32[Hex_Code],,0,)</f>
        <v>#N/A</v>
      </c>
      <c r="F35" s="18"/>
    </row>
    <row r="36" spans="1:6" x14ac:dyDescent="0.25">
      <c r="A36" s="9">
        <f t="shared" si="0"/>
        <v>35</v>
      </c>
      <c r="B36" s="7" t="e">
        <f>_xlfn.XLOOKUP(C36,Tab_Def_Flows[Flow_Name],Tab_Def_Flows[Flow_ID],,0,)</f>
        <v>#N/A</v>
      </c>
      <c r="C36" s="7">
        <f>Tab_Def_Flows[[#This Row],[Flow_Name]]</f>
        <v>0</v>
      </c>
      <c r="D36" s="152"/>
      <c r="E36" s="7" t="e">
        <f>_xlfn.XLOOKUP($D36,Table32[Color_Name],Table32[Hex_Code],,0,)</f>
        <v>#N/A</v>
      </c>
      <c r="F36" s="18"/>
    </row>
    <row r="37" spans="1:6" x14ac:dyDescent="0.25">
      <c r="A37" s="9">
        <f t="shared" si="0"/>
        <v>36</v>
      </c>
      <c r="B37" s="7" t="e">
        <f>_xlfn.XLOOKUP(C37,Tab_Def_Flows[Flow_Name],Tab_Def_Flows[Flow_ID],,0,)</f>
        <v>#N/A</v>
      </c>
      <c r="C37" s="7">
        <f>Tab_Def_Flows[[#This Row],[Flow_Name]]</f>
        <v>0</v>
      </c>
      <c r="D37" s="152"/>
      <c r="E37" s="7" t="e">
        <f>_xlfn.XLOOKUP($D37,Table32[Color_Name],Table32[Hex_Code],,0,)</f>
        <v>#N/A</v>
      </c>
      <c r="F37" s="18"/>
    </row>
    <row r="38" spans="1:6" x14ac:dyDescent="0.25">
      <c r="A38" s="9">
        <f t="shared" si="0"/>
        <v>37</v>
      </c>
      <c r="B38" s="7" t="e">
        <f>_xlfn.XLOOKUP(C38,Tab_Def_Flows[Flow_Name],Tab_Def_Flows[Flow_ID],,0,)</f>
        <v>#N/A</v>
      </c>
      <c r="C38" s="7">
        <f>Tab_Def_Flows[[#This Row],[Flow_Name]]</f>
        <v>0</v>
      </c>
      <c r="D38" s="152"/>
      <c r="E38" s="7" t="e">
        <f>_xlfn.XLOOKUP($D38,Table32[Color_Name],Table32[Hex_Code],,0,)</f>
        <v>#N/A</v>
      </c>
      <c r="F38" s="18"/>
    </row>
    <row r="39" spans="1:6" x14ac:dyDescent="0.25">
      <c r="A39" s="9">
        <f t="shared" si="0"/>
        <v>38</v>
      </c>
      <c r="B39" s="7" t="e">
        <f>_xlfn.XLOOKUP(C39,Tab_Def_Flows[Flow_Name],Tab_Def_Flows[Flow_ID],,0,)</f>
        <v>#N/A</v>
      </c>
      <c r="C39" s="7">
        <f>Tab_Def_Flows[[#This Row],[Flow_Name]]</f>
        <v>0</v>
      </c>
      <c r="D39" s="152"/>
      <c r="E39" s="7" t="e">
        <f>_xlfn.XLOOKUP($D39,Table32[Color_Name],Table32[Hex_Code],,0,)</f>
        <v>#N/A</v>
      </c>
      <c r="F39" s="18"/>
    </row>
    <row r="40" spans="1:6" x14ac:dyDescent="0.25">
      <c r="A40" s="9">
        <f t="shared" si="0"/>
        <v>39</v>
      </c>
      <c r="B40" s="7" t="e">
        <f>_xlfn.XLOOKUP(C40,Tab_Def_Flows[Flow_Name],Tab_Def_Flows[Flow_ID],,0,)</f>
        <v>#N/A</v>
      </c>
      <c r="C40" s="7">
        <f>Tab_Def_Flows[[#This Row],[Flow_Name]]</f>
        <v>0</v>
      </c>
      <c r="D40" s="152"/>
      <c r="E40" s="7" t="e">
        <f>_xlfn.XLOOKUP($D40,Table32[Color_Name],Table32[Hex_Code],,0,)</f>
        <v>#N/A</v>
      </c>
      <c r="F40" s="18"/>
    </row>
    <row r="41" spans="1:6" x14ac:dyDescent="0.25">
      <c r="A41" s="9">
        <f t="shared" si="0"/>
        <v>40</v>
      </c>
      <c r="B41" s="7" t="e">
        <f>_xlfn.XLOOKUP(C41,Tab_Def_Flows[Flow_Name],Tab_Def_Flows[Flow_ID],,0,)</f>
        <v>#N/A</v>
      </c>
      <c r="C41" s="7">
        <f>Tab_Def_Flows[[#This Row],[Flow_Name]]</f>
        <v>0</v>
      </c>
      <c r="D41" s="152"/>
      <c r="E41" s="7" t="e">
        <f>_xlfn.XLOOKUP($D41,Table32[Color_Name],Table32[Hex_Code],,0,)</f>
        <v>#N/A</v>
      </c>
      <c r="F41" s="18"/>
    </row>
    <row r="42" spans="1:6" x14ac:dyDescent="0.25">
      <c r="A42" s="9">
        <f t="shared" si="0"/>
        <v>41</v>
      </c>
      <c r="B42" s="7" t="e">
        <f>_xlfn.XLOOKUP(C42,Tab_Def_Flows[Flow_Name],Tab_Def_Flows[Flow_ID],,0,)</f>
        <v>#N/A</v>
      </c>
      <c r="C42" s="7">
        <f>Tab_Def_Flows[[#This Row],[Flow_Name]]</f>
        <v>0</v>
      </c>
      <c r="D42" s="152"/>
      <c r="E42" s="7" t="e">
        <f>_xlfn.XLOOKUP($D42,Table32[Color_Name],Table32[Hex_Code],,0,)</f>
        <v>#N/A</v>
      </c>
      <c r="F42" s="18"/>
    </row>
    <row r="43" spans="1:6" x14ac:dyDescent="0.25">
      <c r="A43" s="9">
        <f t="shared" si="0"/>
        <v>42</v>
      </c>
      <c r="B43" s="7" t="e">
        <f>_xlfn.XLOOKUP(C43,Tab_Def_Flows[Flow_Name],Tab_Def_Flows[Flow_ID],,0,)</f>
        <v>#N/A</v>
      </c>
      <c r="C43" s="7">
        <f>Tab_Def_Flows[[#This Row],[Flow_Name]]</f>
        <v>0</v>
      </c>
      <c r="D43" s="152"/>
      <c r="E43" s="7" t="e">
        <f>_xlfn.XLOOKUP($D43,Table32[Color_Name],Table32[Hex_Code],,0,)</f>
        <v>#N/A</v>
      </c>
      <c r="F43" s="18"/>
    </row>
    <row r="44" spans="1:6" x14ac:dyDescent="0.25">
      <c r="A44" s="9">
        <f t="shared" si="0"/>
        <v>43</v>
      </c>
      <c r="B44" s="7" t="e">
        <f>_xlfn.XLOOKUP(C44,Tab_Def_Flows[Flow_Name],Tab_Def_Flows[Flow_ID],,0,)</f>
        <v>#N/A</v>
      </c>
      <c r="C44" s="7">
        <f>Tab_Def_Flows[[#This Row],[Flow_Name]]</f>
        <v>0</v>
      </c>
      <c r="D44" s="152"/>
      <c r="E44" s="7" t="e">
        <f>_xlfn.XLOOKUP($D44,Table32[Color_Name],Table32[Hex_Code],,0,)</f>
        <v>#N/A</v>
      </c>
      <c r="F44" s="18"/>
    </row>
    <row r="45" spans="1:6" x14ac:dyDescent="0.25">
      <c r="A45" s="9">
        <f t="shared" si="0"/>
        <v>44</v>
      </c>
      <c r="B45" s="7" t="e">
        <f>_xlfn.XLOOKUP(C45,Tab_Def_Flows[Flow_Name],Tab_Def_Flows[Flow_ID],,0,)</f>
        <v>#N/A</v>
      </c>
      <c r="C45" s="7">
        <f>Tab_Def_Flows[[#This Row],[Flow_Name]]</f>
        <v>0</v>
      </c>
      <c r="D45" s="152"/>
      <c r="E45" s="7" t="e">
        <f>_xlfn.XLOOKUP($D45,Table32[Color_Name],Table32[Hex_Code],,0,)</f>
        <v>#N/A</v>
      </c>
      <c r="F45" s="18"/>
    </row>
    <row r="46" spans="1:6" x14ac:dyDescent="0.25">
      <c r="A46" s="9">
        <f t="shared" si="0"/>
        <v>45</v>
      </c>
      <c r="B46" s="7" t="e">
        <f>_xlfn.XLOOKUP(C46,Tab_Def_Flows[Flow_Name],Tab_Def_Flows[Flow_ID],,0,)</f>
        <v>#N/A</v>
      </c>
      <c r="C46" s="7">
        <f>Tab_Def_Flows[[#This Row],[Flow_Name]]</f>
        <v>0</v>
      </c>
      <c r="D46" s="152"/>
      <c r="E46" s="7" t="e">
        <f>_xlfn.XLOOKUP($D46,Table32[Color_Name],Table32[Hex_Code],,0,)</f>
        <v>#N/A</v>
      </c>
      <c r="F46" s="18"/>
    </row>
    <row r="47" spans="1:6" x14ac:dyDescent="0.25">
      <c r="A47" s="9">
        <f t="shared" si="0"/>
        <v>46</v>
      </c>
      <c r="B47" s="7" t="e">
        <f>_xlfn.XLOOKUP(C47,Tab_Def_Flows[Flow_Name],Tab_Def_Flows[Flow_ID],,0,)</f>
        <v>#N/A</v>
      </c>
      <c r="C47" s="7">
        <f>Tab_Def_Flows[[#This Row],[Flow_Name]]</f>
        <v>0</v>
      </c>
      <c r="D47" s="152"/>
      <c r="E47" s="7" t="e">
        <f>_xlfn.XLOOKUP($D47,Table32[Color_Name],Table32[Hex_Code],,0,)</f>
        <v>#N/A</v>
      </c>
      <c r="F47" s="18"/>
    </row>
    <row r="48" spans="1:6" x14ac:dyDescent="0.25">
      <c r="A48" s="9">
        <f t="shared" si="0"/>
        <v>47</v>
      </c>
      <c r="B48" s="7" t="e">
        <f>_xlfn.XLOOKUP(C48,Tab_Def_Flows[Flow_Name],Tab_Def_Flows[Flow_ID],,0,)</f>
        <v>#N/A</v>
      </c>
      <c r="C48" s="7">
        <f>Tab_Def_Flows[[#This Row],[Flow_Name]]</f>
        <v>0</v>
      </c>
      <c r="D48" s="152"/>
      <c r="E48" s="7" t="e">
        <f>_xlfn.XLOOKUP($D48,Table32[Color_Name],Table32[Hex_Code],,0,)</f>
        <v>#N/A</v>
      </c>
      <c r="F48" s="18"/>
    </row>
    <row r="49" spans="1:6" x14ac:dyDescent="0.25">
      <c r="A49" s="9">
        <f t="shared" si="0"/>
        <v>48</v>
      </c>
      <c r="B49" s="7" t="e">
        <f>_xlfn.XLOOKUP(C49,Tab_Def_Flows[Flow_Name],Tab_Def_Flows[Flow_ID],,0,)</f>
        <v>#N/A</v>
      </c>
      <c r="C49" s="7">
        <f>Tab_Def_Flows[[#This Row],[Flow_Name]]</f>
        <v>0</v>
      </c>
      <c r="D49" s="152"/>
      <c r="E49" s="7" t="e">
        <f>_xlfn.XLOOKUP($D49,Table32[Color_Name],Table32[Hex_Code],,0,)</f>
        <v>#N/A</v>
      </c>
      <c r="F49" s="18"/>
    </row>
    <row r="50" spans="1:6" x14ac:dyDescent="0.25">
      <c r="A50" s="9">
        <f t="shared" si="0"/>
        <v>49</v>
      </c>
      <c r="B50" s="7" t="e">
        <f>_xlfn.XLOOKUP(C50,Tab_Def_Flows[Flow_Name],Tab_Def_Flows[Flow_ID],,0,)</f>
        <v>#N/A</v>
      </c>
      <c r="C50" s="7">
        <f>Tab_Def_Flows[[#This Row],[Flow_Name]]</f>
        <v>0</v>
      </c>
      <c r="D50" s="152"/>
      <c r="E50" s="7" t="e">
        <f>_xlfn.XLOOKUP($D50,Table32[Color_Name],Table32[Hex_Code],,0,)</f>
        <v>#N/A</v>
      </c>
      <c r="F50" s="18"/>
    </row>
    <row r="51" spans="1:6" x14ac:dyDescent="0.25">
      <c r="A51" s="9">
        <f t="shared" si="0"/>
        <v>50</v>
      </c>
      <c r="B51" s="7" t="e">
        <f>_xlfn.XLOOKUP(C51,Tab_Def_Flows[Flow_Name],Tab_Def_Flows[Flow_ID],,0,)</f>
        <v>#N/A</v>
      </c>
      <c r="C51" s="7">
        <f>Tab_Def_Flows[[#This Row],[Flow_Name]]</f>
        <v>0</v>
      </c>
      <c r="D51" s="152"/>
      <c r="E51" s="7" t="e">
        <f>_xlfn.XLOOKUP($D51,Table32[Color_Name],Table32[Hex_Code],,0,)</f>
        <v>#N/A</v>
      </c>
      <c r="F51" s="18"/>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76" t="s">
        <v>402</v>
      </c>
      <c r="B1" s="176" t="s">
        <v>216</v>
      </c>
      <c r="C1" s="176" t="s">
        <v>5</v>
      </c>
      <c r="D1" s="176" t="s">
        <v>403</v>
      </c>
      <c r="E1" s="176" t="s">
        <v>207</v>
      </c>
    </row>
    <row r="2" spans="1:5" x14ac:dyDescent="0.25">
      <c r="A2" s="7" t="s">
        <v>404</v>
      </c>
      <c r="B2" s="8">
        <v>0.5</v>
      </c>
      <c r="C2" s="18" t="s">
        <v>405</v>
      </c>
      <c r="D2" s="18" t="s">
        <v>406</v>
      </c>
      <c r="E2" s="18"/>
    </row>
    <row r="3" spans="1:5" x14ac:dyDescent="0.25">
      <c r="A3" s="7" t="s">
        <v>407</v>
      </c>
      <c r="B3" s="8">
        <v>0.5</v>
      </c>
      <c r="C3" s="18" t="s">
        <v>408</v>
      </c>
      <c r="D3" s="18" t="s">
        <v>406</v>
      </c>
      <c r="E3" s="18"/>
    </row>
    <row r="4" spans="1:5" x14ac:dyDescent="0.25">
      <c r="A4" s="7" t="s">
        <v>409</v>
      </c>
      <c r="B4" s="8">
        <v>0.3</v>
      </c>
      <c r="C4" s="18" t="s">
        <v>410</v>
      </c>
      <c r="D4" s="18" t="s">
        <v>411</v>
      </c>
      <c r="E4" s="18"/>
    </row>
    <row r="5" spans="1:5" x14ac:dyDescent="0.25">
      <c r="A5" s="7" t="s">
        <v>412</v>
      </c>
      <c r="B5" s="8" t="s">
        <v>543</v>
      </c>
      <c r="C5" s="18" t="s">
        <v>413</v>
      </c>
      <c r="D5" s="18" t="s">
        <v>414</v>
      </c>
      <c r="E5" s="18"/>
    </row>
    <row r="6" spans="1:5" x14ac:dyDescent="0.25">
      <c r="A6" s="7" t="s">
        <v>415</v>
      </c>
      <c r="B6" s="8" t="s">
        <v>416</v>
      </c>
      <c r="C6" s="18" t="s">
        <v>417</v>
      </c>
      <c r="D6" s="18" t="s">
        <v>418</v>
      </c>
      <c r="E6" s="18"/>
    </row>
    <row r="7" spans="1:5" x14ac:dyDescent="0.25">
      <c r="A7" s="7" t="s">
        <v>419</v>
      </c>
      <c r="B7" s="8" t="s">
        <v>420</v>
      </c>
      <c r="C7" s="18" t="s">
        <v>421</v>
      </c>
      <c r="D7" s="18" t="s">
        <v>418</v>
      </c>
      <c r="E7" s="18"/>
    </row>
    <row r="8" spans="1:5" x14ac:dyDescent="0.25">
      <c r="A8" s="7" t="s">
        <v>517</v>
      </c>
      <c r="B8" s="8">
        <v>1600</v>
      </c>
      <c r="C8" s="18" t="s">
        <v>518</v>
      </c>
      <c r="D8" s="18"/>
      <c r="E8" s="18"/>
    </row>
    <row r="9" spans="1:5" x14ac:dyDescent="0.25">
      <c r="A9" s="7" t="s">
        <v>520</v>
      </c>
      <c r="B9" s="8">
        <v>1200</v>
      </c>
      <c r="C9" s="18" t="s">
        <v>521</v>
      </c>
      <c r="D9" s="18"/>
      <c r="E9" s="18"/>
    </row>
    <row r="10" spans="1:5" x14ac:dyDescent="0.25">
      <c r="A10" s="7" t="s">
        <v>522</v>
      </c>
      <c r="B10" s="8">
        <v>1</v>
      </c>
      <c r="C10" s="18" t="s">
        <v>523</v>
      </c>
      <c r="D10" s="18" t="s">
        <v>524</v>
      </c>
      <c r="E10" s="18" t="s">
        <v>519</v>
      </c>
    </row>
    <row r="11" spans="1:5" x14ac:dyDescent="0.25">
      <c r="A11" s="7" t="s">
        <v>525</v>
      </c>
      <c r="B11" s="8">
        <v>1</v>
      </c>
      <c r="C11" s="18" t="s">
        <v>526</v>
      </c>
      <c r="D11" s="18" t="s">
        <v>524</v>
      </c>
      <c r="E11" s="18" t="s">
        <v>519</v>
      </c>
    </row>
    <row r="12" spans="1:5" x14ac:dyDescent="0.25">
      <c r="A12" s="7" t="s">
        <v>527</v>
      </c>
      <c r="B12" s="8" t="b">
        <v>1</v>
      </c>
      <c r="C12" s="18" t="s">
        <v>528</v>
      </c>
      <c r="D12" s="18" t="s">
        <v>524</v>
      </c>
      <c r="E12" s="18" t="s">
        <v>519</v>
      </c>
    </row>
    <row r="13" spans="1:5" x14ac:dyDescent="0.25">
      <c r="A13" s="7" t="s">
        <v>529</v>
      </c>
      <c r="B13" s="8">
        <v>0.3</v>
      </c>
      <c r="C13" s="18" t="s">
        <v>530</v>
      </c>
      <c r="D13" s="18" t="s">
        <v>524</v>
      </c>
      <c r="E13" s="18" t="s">
        <v>519</v>
      </c>
    </row>
    <row r="14" spans="1:5" x14ac:dyDescent="0.25">
      <c r="A14" s="7" t="s">
        <v>531</v>
      </c>
      <c r="B14" s="8">
        <v>3</v>
      </c>
      <c r="C14" s="18" t="s">
        <v>532</v>
      </c>
      <c r="D14" s="18" t="s">
        <v>524</v>
      </c>
      <c r="E14" s="18" t="s">
        <v>519</v>
      </c>
    </row>
    <row r="15" spans="1:5" x14ac:dyDescent="0.25">
      <c r="A15" s="7" t="s">
        <v>533</v>
      </c>
      <c r="B15" s="8" t="s">
        <v>543</v>
      </c>
      <c r="C15" s="18" t="s">
        <v>534</v>
      </c>
      <c r="D15" s="18" t="s">
        <v>524</v>
      </c>
      <c r="E15" s="18" t="s">
        <v>519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374</v>
      </c>
      <c r="C2" t="s">
        <v>375</v>
      </c>
      <c r="D2" t="s">
        <v>376</v>
      </c>
      <c r="E2" t="s">
        <v>398</v>
      </c>
      <c r="F2" t="s">
        <v>378</v>
      </c>
      <c r="G2" t="s">
        <v>379</v>
      </c>
      <c r="H2" t="s">
        <v>380</v>
      </c>
      <c r="I2" t="s">
        <v>381</v>
      </c>
      <c r="J2" t="s">
        <v>382</v>
      </c>
      <c r="K2" t="s">
        <v>383</v>
      </c>
      <c r="L2" t="s">
        <v>384</v>
      </c>
      <c r="M2" t="s">
        <v>385</v>
      </c>
      <c r="N2" t="s">
        <v>386</v>
      </c>
      <c r="O2" t="s">
        <v>387</v>
      </c>
      <c r="P2" t="s">
        <v>388</v>
      </c>
    </row>
    <row r="3" spans="2:16" x14ac:dyDescent="0.25">
      <c r="C3" t="s">
        <v>389</v>
      </c>
      <c r="D3" t="s">
        <v>392</v>
      </c>
      <c r="E3" t="s">
        <v>399</v>
      </c>
    </row>
    <row r="4" spans="2:16" x14ac:dyDescent="0.25">
      <c r="C4" t="s">
        <v>390</v>
      </c>
      <c r="D4" t="s">
        <v>393</v>
      </c>
      <c r="E4" t="s">
        <v>400</v>
      </c>
    </row>
    <row r="5" spans="2:16" x14ac:dyDescent="0.25">
      <c r="C5" t="s">
        <v>391</v>
      </c>
      <c r="D5" t="s">
        <v>394</v>
      </c>
      <c r="E5" t="s">
        <v>401</v>
      </c>
    </row>
    <row r="6" spans="2:16" x14ac:dyDescent="0.25">
      <c r="C6" t="s">
        <v>396</v>
      </c>
      <c r="D6" t="s">
        <v>395</v>
      </c>
    </row>
    <row r="20" spans="2:6" x14ac:dyDescent="0.25">
      <c r="B20" t="s">
        <v>374</v>
      </c>
      <c r="C20" t="s">
        <v>377</v>
      </c>
    </row>
    <row r="21" spans="2:6" x14ac:dyDescent="0.25">
      <c r="B21" s="176" t="s">
        <v>339</v>
      </c>
      <c r="C21" s="176" t="s">
        <v>422</v>
      </c>
      <c r="D21" s="176" t="s">
        <v>423</v>
      </c>
      <c r="E21" s="176" t="s">
        <v>424</v>
      </c>
      <c r="F21" s="176" t="s">
        <v>425</v>
      </c>
    </row>
    <row r="22" spans="2:6" x14ac:dyDescent="0.25">
      <c r="B22" t="s">
        <v>426</v>
      </c>
      <c r="C22" t="s">
        <v>427</v>
      </c>
      <c r="D22" t="s">
        <v>428</v>
      </c>
      <c r="E22" t="s">
        <v>429</v>
      </c>
      <c r="F22" t="s">
        <v>430</v>
      </c>
    </row>
    <row r="23" spans="2:6" x14ac:dyDescent="0.25">
      <c r="B23" t="s">
        <v>426</v>
      </c>
      <c r="C23" t="s">
        <v>431</v>
      </c>
      <c r="D23" t="s">
        <v>432</v>
      </c>
      <c r="E23" t="s">
        <v>433</v>
      </c>
      <c r="F23" t="s">
        <v>434</v>
      </c>
    </row>
    <row r="24" spans="2:6" x14ac:dyDescent="0.25">
      <c r="B24" t="s">
        <v>426</v>
      </c>
      <c r="C24" t="s">
        <v>435</v>
      </c>
      <c r="D24" t="s">
        <v>436</v>
      </c>
      <c r="E24" t="s">
        <v>437</v>
      </c>
      <c r="F24" t="s">
        <v>438</v>
      </c>
    </row>
    <row r="25" spans="2:6" x14ac:dyDescent="0.25">
      <c r="B25" t="s">
        <v>426</v>
      </c>
      <c r="C25" t="s">
        <v>439</v>
      </c>
      <c r="D25" t="s">
        <v>440</v>
      </c>
      <c r="E25" t="s">
        <v>441</v>
      </c>
      <c r="F25" t="s">
        <v>442</v>
      </c>
    </row>
    <row r="26" spans="2:6" x14ac:dyDescent="0.25">
      <c r="B26" t="s">
        <v>426</v>
      </c>
      <c r="C26" t="s">
        <v>443</v>
      </c>
      <c r="D26" t="s">
        <v>444</v>
      </c>
      <c r="E26" t="s">
        <v>445</v>
      </c>
      <c r="F26" t="s">
        <v>446</v>
      </c>
    </row>
    <row r="27" spans="2:6" x14ac:dyDescent="0.25">
      <c r="B27" t="s">
        <v>447</v>
      </c>
      <c r="C27" t="s">
        <v>448</v>
      </c>
      <c r="D27" t="s">
        <v>449</v>
      </c>
      <c r="E27" t="s">
        <v>450</v>
      </c>
      <c r="F27" t="s">
        <v>451</v>
      </c>
    </row>
    <row r="28" spans="2:6" x14ac:dyDescent="0.25">
      <c r="B28" t="s">
        <v>447</v>
      </c>
      <c r="C28" t="s">
        <v>452</v>
      </c>
      <c r="D28" t="s">
        <v>453</v>
      </c>
      <c r="E28" t="s">
        <v>454</v>
      </c>
      <c r="F28" t="s">
        <v>455</v>
      </c>
    </row>
    <row r="29" spans="2:6" x14ac:dyDescent="0.25">
      <c r="B29" t="s">
        <v>447</v>
      </c>
      <c r="C29" t="s">
        <v>456</v>
      </c>
      <c r="D29" t="s">
        <v>457</v>
      </c>
      <c r="E29" t="s">
        <v>458</v>
      </c>
      <c r="F29" t="s">
        <v>459</v>
      </c>
    </row>
    <row r="30" spans="2:6" x14ac:dyDescent="0.25">
      <c r="B30" t="s">
        <v>447</v>
      </c>
      <c r="C30" t="s">
        <v>460</v>
      </c>
      <c r="D30" t="s">
        <v>461</v>
      </c>
      <c r="E30" t="s">
        <v>462</v>
      </c>
      <c r="F30" t="s">
        <v>463</v>
      </c>
    </row>
    <row r="31" spans="2:6" x14ac:dyDescent="0.25">
      <c r="B31" t="s">
        <v>464</v>
      </c>
      <c r="C31" t="s">
        <v>465</v>
      </c>
      <c r="D31" t="s">
        <v>466</v>
      </c>
      <c r="E31" t="s">
        <v>467</v>
      </c>
      <c r="F31" t="s">
        <v>468</v>
      </c>
    </row>
    <row r="32" spans="2:6" x14ac:dyDescent="0.25">
      <c r="B32" t="s">
        <v>464</v>
      </c>
      <c r="C32" t="s">
        <v>469</v>
      </c>
      <c r="D32" t="s">
        <v>470</v>
      </c>
      <c r="E32" t="s">
        <v>471</v>
      </c>
      <c r="F32" t="s">
        <v>472</v>
      </c>
    </row>
    <row r="33" spans="2:6" x14ac:dyDescent="0.25">
      <c r="B33" t="s">
        <v>464</v>
      </c>
      <c r="C33" t="s">
        <v>473</v>
      </c>
      <c r="D33" t="s">
        <v>474</v>
      </c>
      <c r="E33" t="s">
        <v>475</v>
      </c>
      <c r="F33" t="s">
        <v>476</v>
      </c>
    </row>
    <row r="34" spans="2:6" x14ac:dyDescent="0.25">
      <c r="B34" t="s">
        <v>464</v>
      </c>
      <c r="C34" t="s">
        <v>477</v>
      </c>
      <c r="D34" t="s">
        <v>478</v>
      </c>
      <c r="E34" t="s">
        <v>479</v>
      </c>
      <c r="F34" t="s">
        <v>480</v>
      </c>
    </row>
    <row r="35" spans="2:6" x14ac:dyDescent="0.25">
      <c r="B35" t="s">
        <v>481</v>
      </c>
      <c r="C35" t="s">
        <v>482</v>
      </c>
      <c r="D35" t="s">
        <v>483</v>
      </c>
      <c r="E35" t="s">
        <v>484</v>
      </c>
      <c r="F35" t="s">
        <v>485</v>
      </c>
    </row>
    <row r="36" spans="2:6" x14ac:dyDescent="0.25">
      <c r="B36" t="s">
        <v>481</v>
      </c>
      <c r="C36" t="s">
        <v>486</v>
      </c>
      <c r="D36" t="s">
        <v>487</v>
      </c>
      <c r="E36" t="s">
        <v>488</v>
      </c>
      <c r="F36" t="s">
        <v>489</v>
      </c>
    </row>
    <row r="37" spans="2:6" x14ac:dyDescent="0.25">
      <c r="B37" t="s">
        <v>481</v>
      </c>
      <c r="C37" t="s">
        <v>490</v>
      </c>
      <c r="D37" t="s">
        <v>491</v>
      </c>
      <c r="E37" t="s">
        <v>492</v>
      </c>
      <c r="F37" t="s">
        <v>493</v>
      </c>
    </row>
    <row r="38" spans="2:6" x14ac:dyDescent="0.25">
      <c r="B38" t="s">
        <v>481</v>
      </c>
      <c r="C38" t="s">
        <v>494</v>
      </c>
      <c r="D38" t="s">
        <v>495</v>
      </c>
      <c r="E38" t="s">
        <v>496</v>
      </c>
      <c r="F38" t="s">
        <v>497</v>
      </c>
    </row>
    <row r="39" spans="2:6" x14ac:dyDescent="0.25">
      <c r="B39" t="s">
        <v>498</v>
      </c>
      <c r="C39" t="s">
        <v>499</v>
      </c>
      <c r="D39" t="s">
        <v>500</v>
      </c>
      <c r="E39" t="s">
        <v>501</v>
      </c>
      <c r="F39" t="s">
        <v>502</v>
      </c>
    </row>
    <row r="40" spans="2:6" x14ac:dyDescent="0.25">
      <c r="B40" t="s">
        <v>498</v>
      </c>
      <c r="C40" t="s">
        <v>503</v>
      </c>
      <c r="D40" t="s">
        <v>504</v>
      </c>
      <c r="E40" t="s">
        <v>505</v>
      </c>
      <c r="F40" t="s">
        <v>506</v>
      </c>
    </row>
    <row r="41" spans="2:6" x14ac:dyDescent="0.25">
      <c r="B41" t="s">
        <v>498</v>
      </c>
      <c r="C41" t="s">
        <v>507</v>
      </c>
      <c r="D41" t="s">
        <v>508</v>
      </c>
      <c r="E41" t="s">
        <v>509</v>
      </c>
      <c r="F41" t="s">
        <v>510</v>
      </c>
    </row>
    <row r="42" spans="2:6" x14ac:dyDescent="0.25">
      <c r="B42" t="s">
        <v>498</v>
      </c>
      <c r="C42" t="s">
        <v>511</v>
      </c>
      <c r="D42" t="s">
        <v>512</v>
      </c>
      <c r="E42" t="s">
        <v>513</v>
      </c>
      <c r="F42" t="s">
        <v>514</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28" t="s">
        <v>205</v>
      </c>
      <c r="B1" s="184" t="str">
        <f>'2_1_Definition_Processes'!D2</f>
        <v>Reifenherstellung</v>
      </c>
      <c r="C1" s="184"/>
      <c r="D1" s="184"/>
      <c r="E1" s="184"/>
      <c r="F1" s="184"/>
      <c r="G1" s="184"/>
      <c r="H1" s="184"/>
      <c r="I1" s="128" t="s">
        <v>204</v>
      </c>
      <c r="J1" s="185" t="s">
        <v>85</v>
      </c>
      <c r="K1" s="185"/>
      <c r="L1" s="185"/>
      <c r="M1" s="185"/>
    </row>
    <row r="2" spans="1:22" ht="16.5" thickBot="1" x14ac:dyDescent="0.3">
      <c r="A2" s="186" t="s">
        <v>203</v>
      </c>
      <c r="B2" s="187"/>
      <c r="C2" s="187"/>
      <c r="D2" s="187"/>
      <c r="E2" s="187"/>
      <c r="F2" s="187"/>
      <c r="G2" s="187"/>
      <c r="H2" s="187"/>
      <c r="I2" s="187"/>
      <c r="J2" s="187"/>
      <c r="K2" s="187"/>
      <c r="L2" s="187"/>
      <c r="M2" s="188"/>
    </row>
    <row r="3" spans="1:22" ht="126.75" customHeight="1" thickBot="1" x14ac:dyDescent="0.3">
      <c r="A3" s="189"/>
      <c r="B3" s="190"/>
      <c r="C3" s="190"/>
      <c r="D3" s="190"/>
      <c r="E3" s="190"/>
      <c r="F3" s="190"/>
      <c r="G3" s="190"/>
      <c r="H3" s="190"/>
      <c r="I3" s="190"/>
      <c r="J3" s="190"/>
      <c r="K3" s="190"/>
      <c r="L3" s="190"/>
      <c r="M3" s="191"/>
    </row>
    <row r="4" spans="1:22" ht="31.5" customHeight="1" x14ac:dyDescent="0.25">
      <c r="A4" s="127" t="s">
        <v>202</v>
      </c>
      <c r="B4" s="192"/>
      <c r="C4" s="193"/>
      <c r="D4" s="194"/>
      <c r="E4" s="195" t="s">
        <v>201</v>
      </c>
      <c r="F4" s="196"/>
      <c r="G4" s="132"/>
      <c r="H4" s="132"/>
      <c r="I4" s="126"/>
      <c r="J4" s="126"/>
      <c r="K4" s="126"/>
      <c r="L4" s="126"/>
      <c r="M4" s="126"/>
    </row>
    <row r="5" spans="1:22" ht="16.5" customHeight="1" x14ac:dyDescent="0.25">
      <c r="A5" s="129" t="s">
        <v>200</v>
      </c>
      <c r="B5" s="197" t="s">
        <v>311</v>
      </c>
      <c r="C5" s="197"/>
      <c r="D5" s="198"/>
      <c r="E5" s="129" t="s">
        <v>200</v>
      </c>
      <c r="F5" s="199" t="e">
        <f>_xlfn.XLOOKUP(J1,Tab_Def_Processes[Process_ID],#REF!,"No_flow.",0,1)</f>
        <v>#REF!</v>
      </c>
      <c r="G5" s="199"/>
      <c r="H5" s="200"/>
      <c r="I5" s="130"/>
      <c r="J5" s="125"/>
      <c r="K5" s="125"/>
      <c r="L5" s="125"/>
      <c r="M5" s="122"/>
    </row>
    <row r="6" spans="1:22" ht="16.5" customHeight="1" x14ac:dyDescent="0.25">
      <c r="A6" s="129" t="s">
        <v>199</v>
      </c>
      <c r="B6" s="199" t="s">
        <v>312</v>
      </c>
      <c r="C6" s="199"/>
      <c r="D6" s="200"/>
      <c r="E6" s="129" t="s">
        <v>199</v>
      </c>
      <c r="F6" s="199" t="e">
        <f>_xlfn.XLOOKUP(J1,Tab_Def_Processes[Process_ID],#REF!,"No_flow.",0,1)</f>
        <v>#REF!</v>
      </c>
      <c r="G6" s="199"/>
      <c r="H6" s="200"/>
      <c r="I6" s="130"/>
      <c r="J6" s="125"/>
      <c r="K6" s="125"/>
      <c r="L6" s="125"/>
      <c r="M6" s="122"/>
    </row>
    <row r="7" spans="1:22" ht="16.5" customHeight="1" x14ac:dyDescent="0.25">
      <c r="A7" s="124" t="s">
        <v>198</v>
      </c>
      <c r="B7" s="199" t="e">
        <f>_xlfn.XLOOKUP(J1,Tab_Def_Processes[Process_ID],#REF!,"No_flow.",0,1)</f>
        <v>#REF!</v>
      </c>
      <c r="C7" s="199"/>
      <c r="D7" s="200"/>
      <c r="E7" s="124" t="s">
        <v>198</v>
      </c>
      <c r="F7" s="199" t="e">
        <f>_xlfn.XLOOKUP(J1,Tab_Def_Processes[Process_ID],#REF!,"No_flow.",0,1)</f>
        <v>#REF!</v>
      </c>
      <c r="G7" s="199"/>
      <c r="H7" s="200"/>
      <c r="I7" s="131"/>
      <c r="J7" s="123"/>
      <c r="K7" s="123"/>
      <c r="L7" s="123"/>
      <c r="M7" s="122"/>
    </row>
    <row r="8" spans="1:22" ht="16.5" customHeight="1" x14ac:dyDescent="0.25">
      <c r="A8" s="124" t="s">
        <v>197</v>
      </c>
      <c r="B8" s="199" t="e">
        <f>_xlfn.XLOOKUP(J1,Tab_Def_Processes[Process_ID],#REF!,"No_flow.",0,1)</f>
        <v>#REF!</v>
      </c>
      <c r="C8" s="199"/>
      <c r="D8" s="200"/>
      <c r="E8" s="124" t="s">
        <v>197</v>
      </c>
      <c r="F8" s="199" t="e">
        <f>_xlfn.XLOOKUP(J1,Tab_Def_Processes[Process_ID],#REF!,"No_flow.",0,1)</f>
        <v>#REF!</v>
      </c>
      <c r="G8" s="199"/>
      <c r="H8" s="200"/>
      <c r="I8" s="131"/>
      <c r="J8" s="123"/>
      <c r="K8" s="123"/>
      <c r="L8" s="123"/>
      <c r="M8" s="122"/>
    </row>
    <row r="9" spans="1:22" ht="16.5" customHeight="1" x14ac:dyDescent="0.25">
      <c r="A9" s="124" t="s">
        <v>196</v>
      </c>
      <c r="B9" s="199" t="e">
        <f>_xlfn.XLOOKUP(J1,Tab_Def_Processes[Process_ID],#REF!,"No_flow.",0,1)</f>
        <v>#REF!</v>
      </c>
      <c r="C9" s="199"/>
      <c r="D9" s="200"/>
      <c r="E9" s="124" t="s">
        <v>196</v>
      </c>
      <c r="F9" s="199" t="e">
        <f>_xlfn.XLOOKUP(J1,Tab_Def_Processes[Process_ID],#REF!,"No_flow.",0,1)</f>
        <v>#REF!</v>
      </c>
      <c r="G9" s="199"/>
      <c r="H9" s="200"/>
      <c r="I9" s="131"/>
      <c r="J9" s="123"/>
      <c r="K9" s="123"/>
      <c r="L9" s="123"/>
      <c r="M9" s="122"/>
    </row>
    <row r="10" spans="1:22" ht="16.5" customHeight="1" thickBot="1" x14ac:dyDescent="0.3">
      <c r="A10" s="133" t="s">
        <v>195</v>
      </c>
      <c r="B10" s="207"/>
      <c r="C10" s="207"/>
      <c r="D10" s="208"/>
      <c r="E10" s="133" t="s">
        <v>195</v>
      </c>
      <c r="F10" s="207"/>
      <c r="G10" s="207"/>
      <c r="H10" s="208"/>
      <c r="I10" s="131"/>
      <c r="J10" s="123"/>
      <c r="K10" s="123"/>
      <c r="L10" s="123"/>
      <c r="M10" s="122"/>
    </row>
    <row r="11" spans="1:22" ht="16.5" thickBot="1" x14ac:dyDescent="0.3">
      <c r="A11" s="186" t="s">
        <v>194</v>
      </c>
      <c r="B11" s="187"/>
      <c r="C11" s="187"/>
      <c r="D11" s="187"/>
      <c r="E11" s="187"/>
      <c r="F11" s="187"/>
      <c r="G11" s="187"/>
      <c r="H11" s="187"/>
      <c r="I11" s="187"/>
      <c r="J11" s="187"/>
      <c r="K11" s="187"/>
      <c r="L11" s="187"/>
      <c r="M11" s="188"/>
    </row>
    <row r="12" spans="1:22" ht="33" customHeight="1" thickBot="1" x14ac:dyDescent="0.3">
      <c r="A12" s="121">
        <v>1000</v>
      </c>
      <c r="B12" s="120" t="s">
        <v>193</v>
      </c>
      <c r="C12" s="119"/>
      <c r="D12" s="119"/>
      <c r="E12" s="119"/>
      <c r="F12" s="119"/>
      <c r="G12" s="119"/>
      <c r="H12" s="119"/>
      <c r="I12" s="119"/>
      <c r="J12" s="119"/>
      <c r="K12" s="119"/>
      <c r="L12" s="119"/>
      <c r="M12" s="118"/>
    </row>
    <row r="13" spans="1:22" ht="16.5" thickBot="1" x14ac:dyDescent="0.3">
      <c r="A13" s="209" t="s">
        <v>192</v>
      </c>
      <c r="B13" s="210"/>
      <c r="C13" s="210"/>
      <c r="D13" s="210"/>
      <c r="E13" s="210"/>
      <c r="F13" s="210"/>
      <c r="G13" s="210"/>
      <c r="H13" s="210"/>
      <c r="I13" s="210"/>
      <c r="J13" s="210"/>
      <c r="K13" s="210"/>
      <c r="L13" s="210"/>
      <c r="M13" s="211"/>
    </row>
    <row r="14" spans="1:22" ht="16.5" thickBot="1" x14ac:dyDescent="0.3">
      <c r="A14" s="79" t="s">
        <v>178</v>
      </c>
      <c r="B14" s="212" t="s">
        <v>190</v>
      </c>
      <c r="C14" s="213"/>
      <c r="D14" s="214"/>
      <c r="E14" s="215" t="s">
        <v>189</v>
      </c>
      <c r="F14" s="216"/>
      <c r="G14" s="216"/>
      <c r="H14" s="217"/>
      <c r="I14" s="218" t="s">
        <v>188</v>
      </c>
      <c r="J14" s="219"/>
      <c r="K14" s="219"/>
      <c r="L14" s="219"/>
      <c r="M14" s="220"/>
      <c r="P14" s="163">
        <v>0.2384</v>
      </c>
      <c r="Q14" s="32" t="s">
        <v>135</v>
      </c>
      <c r="R14" s="163">
        <v>0.76160000000000005</v>
      </c>
      <c r="S14" s="32" t="s">
        <v>135</v>
      </c>
      <c r="T14" s="163">
        <v>0</v>
      </c>
      <c r="U14" s="32" t="s">
        <v>135</v>
      </c>
      <c r="V14" s="153">
        <f>Tab_Def_Flows[[#This Row],[Flow_CC_DM'[%']]]*Tab_Def_Flows[[#This Row],[Flow_DM]]</f>
        <v>0</v>
      </c>
    </row>
    <row r="15" spans="1:22" ht="63.75" thickBot="1" x14ac:dyDescent="0.3">
      <c r="A15" s="40"/>
      <c r="B15" s="53" t="s">
        <v>187</v>
      </c>
      <c r="C15" s="106" t="s">
        <v>186</v>
      </c>
      <c r="D15" s="105" t="s">
        <v>179</v>
      </c>
      <c r="E15" s="104" t="s">
        <v>185</v>
      </c>
      <c r="F15" s="52" t="s">
        <v>184</v>
      </c>
      <c r="G15" s="52" t="s">
        <v>183</v>
      </c>
      <c r="H15" s="103" t="s">
        <v>179</v>
      </c>
      <c r="I15" s="102" t="s">
        <v>182</v>
      </c>
      <c r="J15" s="51" t="s">
        <v>181</v>
      </c>
      <c r="K15" s="51" t="s">
        <v>180</v>
      </c>
      <c r="L15" s="51" t="s">
        <v>179</v>
      </c>
      <c r="M15" s="101"/>
      <c r="P15" s="163">
        <v>0.14000000000000001</v>
      </c>
      <c r="Q15" s="32" t="s">
        <v>135</v>
      </c>
      <c r="R15" s="163">
        <v>0.86</v>
      </c>
      <c r="S15" s="32" t="s">
        <v>135</v>
      </c>
      <c r="T15" s="163">
        <v>0.48</v>
      </c>
      <c r="U15" s="32" t="s">
        <v>135</v>
      </c>
      <c r="V15" s="153">
        <f>Tab_Def_Flows[[#This Row],[Flow_CC_DM'[%']]]*Tab_Def_Flows[[#This Row],[Flow_DM]]</f>
        <v>0</v>
      </c>
    </row>
    <row r="16" spans="1:22" ht="23.25" customHeight="1" x14ac:dyDescent="0.25">
      <c r="A16" s="73" t="str">
        <f t="shared" ref="A16:A21" si="0">B5</f>
        <v>Atmosphere input</v>
      </c>
      <c r="B16" s="49">
        <v>297904.57</v>
      </c>
      <c r="C16" s="100">
        <f t="shared" ref="C16:C21" si="1">B16/$B$22</f>
        <v>0.41279999855889421</v>
      </c>
      <c r="D16" s="99" t="s">
        <v>151</v>
      </c>
      <c r="E16" s="98">
        <v>0</v>
      </c>
      <c r="F16" s="48">
        <f t="shared" ref="F16:F21" si="2">E16*B16</f>
        <v>0</v>
      </c>
      <c r="G16" s="97">
        <f t="shared" ref="G16:G21" si="3">F16/$F$22</f>
        <v>0</v>
      </c>
      <c r="H16" s="96" t="s">
        <v>151</v>
      </c>
      <c r="I16" s="95">
        <f>1-E16</f>
        <v>1</v>
      </c>
      <c r="J16" s="47">
        <f t="shared" ref="J16:J21" si="4">I16*B16</f>
        <v>297904.57</v>
      </c>
      <c r="K16" s="115">
        <f t="shared" ref="K16:K21" si="5">J16/$J$22</f>
        <v>0.47999999832429568</v>
      </c>
      <c r="L16" s="92" t="s">
        <v>151</v>
      </c>
      <c r="M16" s="92"/>
    </row>
    <row r="17" spans="1:23" ht="23.25" customHeight="1" x14ac:dyDescent="0.25">
      <c r="A17" s="73" t="str">
        <f t="shared" si="0"/>
        <v>Environment Input</v>
      </c>
      <c r="B17" s="49">
        <v>423763.48</v>
      </c>
      <c r="C17" s="100">
        <f t="shared" si="1"/>
        <v>0.58720000144110573</v>
      </c>
      <c r="D17" s="99" t="s">
        <v>151</v>
      </c>
      <c r="E17" s="98">
        <v>0.23841961794348115</v>
      </c>
      <c r="F17" s="48">
        <f t="shared" si="2"/>
        <v>101033.52700000002</v>
      </c>
      <c r="G17" s="97">
        <f t="shared" si="3"/>
        <v>1</v>
      </c>
      <c r="H17" s="96" t="s">
        <v>151</v>
      </c>
      <c r="I17" s="95">
        <f>1-E17</f>
        <v>0.76158038205651879</v>
      </c>
      <c r="J17" s="47">
        <f t="shared" si="4"/>
        <v>322729.95299999992</v>
      </c>
      <c r="K17" s="115">
        <f t="shared" si="5"/>
        <v>0.52000000167570437</v>
      </c>
      <c r="L17" s="92" t="s">
        <v>151</v>
      </c>
      <c r="M17" s="92"/>
    </row>
    <row r="18" spans="1:23" ht="23.25" customHeight="1" x14ac:dyDescent="0.25">
      <c r="A18" s="73" t="e">
        <f t="shared" si="0"/>
        <v>#REF!</v>
      </c>
      <c r="B18" s="49"/>
      <c r="C18" s="100">
        <f t="shared" si="1"/>
        <v>0</v>
      </c>
      <c r="D18" s="99"/>
      <c r="E18" s="98"/>
      <c r="F18" s="48">
        <f t="shared" si="2"/>
        <v>0</v>
      </c>
      <c r="G18" s="97">
        <f t="shared" si="3"/>
        <v>0</v>
      </c>
      <c r="H18" s="96"/>
      <c r="I18" s="95"/>
      <c r="J18" s="47">
        <f t="shared" si="4"/>
        <v>0</v>
      </c>
      <c r="K18" s="115">
        <f t="shared" si="5"/>
        <v>0</v>
      </c>
      <c r="L18" s="93"/>
      <c r="M18" s="92"/>
    </row>
    <row r="19" spans="1:23" ht="23.25" customHeight="1" x14ac:dyDescent="0.25">
      <c r="A19" s="73" t="e">
        <f t="shared" si="0"/>
        <v>#REF!</v>
      </c>
      <c r="B19" s="49"/>
      <c r="C19" s="100">
        <f t="shared" si="1"/>
        <v>0</v>
      </c>
      <c r="D19" s="99"/>
      <c r="E19" s="98"/>
      <c r="F19" s="48">
        <f t="shared" si="2"/>
        <v>0</v>
      </c>
      <c r="G19" s="97">
        <f t="shared" si="3"/>
        <v>0</v>
      </c>
      <c r="H19" s="117"/>
      <c r="I19" s="116"/>
      <c r="J19" s="47">
        <f t="shared" si="4"/>
        <v>0</v>
      </c>
      <c r="K19" s="115">
        <f t="shared" si="5"/>
        <v>0</v>
      </c>
      <c r="L19" s="93"/>
      <c r="M19" s="92"/>
    </row>
    <row r="20" spans="1:23" ht="23.25" customHeight="1" x14ac:dyDescent="0.25">
      <c r="A20" s="73" t="e">
        <f t="shared" si="0"/>
        <v>#REF!</v>
      </c>
      <c r="B20" s="49"/>
      <c r="C20" s="100">
        <f t="shared" si="1"/>
        <v>0</v>
      </c>
      <c r="D20" s="99"/>
      <c r="E20" s="98"/>
      <c r="F20" s="48">
        <f t="shared" si="2"/>
        <v>0</v>
      </c>
      <c r="G20" s="97">
        <f t="shared" si="3"/>
        <v>0</v>
      </c>
      <c r="H20" s="117"/>
      <c r="I20" s="116"/>
      <c r="J20" s="47">
        <f t="shared" si="4"/>
        <v>0</v>
      </c>
      <c r="K20" s="115">
        <f t="shared" si="5"/>
        <v>0</v>
      </c>
      <c r="L20" s="93"/>
      <c r="M20" s="92"/>
    </row>
    <row r="21" spans="1:23" ht="23.25" customHeight="1" thickBot="1" x14ac:dyDescent="0.3">
      <c r="A21" s="73">
        <f t="shared" si="0"/>
        <v>0</v>
      </c>
      <c r="B21" s="49"/>
      <c r="C21" s="100">
        <f t="shared" si="1"/>
        <v>0</v>
      </c>
      <c r="D21" s="99"/>
      <c r="E21" s="98"/>
      <c r="F21" s="48">
        <f t="shared" si="2"/>
        <v>0</v>
      </c>
      <c r="G21" s="97">
        <f t="shared" si="3"/>
        <v>0</v>
      </c>
      <c r="H21" s="117"/>
      <c r="I21" s="116"/>
      <c r="J21" s="47">
        <f t="shared" si="4"/>
        <v>0</v>
      </c>
      <c r="K21" s="115">
        <f t="shared" si="5"/>
        <v>0</v>
      </c>
      <c r="L21" s="93"/>
      <c r="M21" s="92"/>
    </row>
    <row r="22" spans="1:23" ht="16.5" thickBot="1" x14ac:dyDescent="0.3">
      <c r="A22" s="63" t="s">
        <v>153</v>
      </c>
      <c r="B22" s="91">
        <f>SUM(B16:B19)</f>
        <v>721668.05</v>
      </c>
      <c r="C22" s="114">
        <f>C16+C17+C18</f>
        <v>1</v>
      </c>
      <c r="D22" s="89"/>
      <c r="E22" s="88">
        <f>F22/B22</f>
        <v>0.14000000000000001</v>
      </c>
      <c r="F22" s="87">
        <f>SUM(F16:F19)</f>
        <v>101033.52700000002</v>
      </c>
      <c r="G22" s="113">
        <f>SUM(G16:G19)</f>
        <v>1</v>
      </c>
      <c r="H22" s="85"/>
      <c r="I22" s="84">
        <f>J22/B22</f>
        <v>0.85999999999999988</v>
      </c>
      <c r="J22" s="83">
        <f>J16+J17+J18</f>
        <v>620634.52299999993</v>
      </c>
      <c r="K22" s="112">
        <f>SUM(K16:K19)</f>
        <v>1</v>
      </c>
      <c r="L22" s="81"/>
      <c r="M22" s="80"/>
    </row>
    <row r="23" spans="1:23" ht="16.5" customHeight="1" thickBot="1" x14ac:dyDescent="0.3">
      <c r="A23" s="143" t="s">
        <v>178</v>
      </c>
      <c r="B23" s="201" t="s">
        <v>177</v>
      </c>
      <c r="C23" s="202"/>
      <c r="D23" s="202"/>
      <c r="E23" s="202"/>
      <c r="F23" s="202"/>
      <c r="G23" s="202"/>
      <c r="H23" s="203"/>
      <c r="I23" s="204" t="s">
        <v>176</v>
      </c>
      <c r="J23" s="205"/>
      <c r="K23" s="205"/>
      <c r="L23" s="205"/>
      <c r="M23" s="206"/>
    </row>
    <row r="24" spans="1:23" ht="63.75" thickBot="1" x14ac:dyDescent="0.3">
      <c r="A24" s="6"/>
      <c r="B24" s="78" t="s">
        <v>175</v>
      </c>
      <c r="C24" s="77" t="s">
        <v>174</v>
      </c>
      <c r="D24" s="77" t="s">
        <v>173</v>
      </c>
      <c r="E24" s="77" t="s">
        <v>172</v>
      </c>
      <c r="F24" s="78" t="s">
        <v>171</v>
      </c>
      <c r="G24" s="77" t="s">
        <v>170</v>
      </c>
      <c r="H24" s="142" t="s">
        <v>169</v>
      </c>
      <c r="I24" s="76" t="s">
        <v>168</v>
      </c>
      <c r="J24" s="75" t="s">
        <v>167</v>
      </c>
      <c r="K24" s="75" t="s">
        <v>166</v>
      </c>
      <c r="L24" s="75" t="s">
        <v>165</v>
      </c>
      <c r="M24" s="74" t="s">
        <v>164</v>
      </c>
      <c r="P24" s="163">
        <v>0.14000000000000001</v>
      </c>
      <c r="Q24" s="32" t="s">
        <v>135</v>
      </c>
      <c r="R24" s="163">
        <v>0.86</v>
      </c>
      <c r="S24" s="32" t="s">
        <v>135</v>
      </c>
      <c r="T24" s="163">
        <v>0.48</v>
      </c>
      <c r="U24" s="32" t="s">
        <v>135</v>
      </c>
      <c r="V24" s="153">
        <f>Tab_Def_Flows[[#This Row],[Flow_CC_DM'[%']]]*Tab_Def_Flows[[#This Row],[Flow_DM]]</f>
        <v>0</v>
      </c>
      <c r="W24" s="164" t="s">
        <v>136</v>
      </c>
    </row>
    <row r="25" spans="1:23" ht="27" customHeight="1" x14ac:dyDescent="0.25">
      <c r="A25" s="73" t="str">
        <f t="shared" ref="A25:A30" si="6">B5</f>
        <v>Atmosphere input</v>
      </c>
      <c r="B25" s="72">
        <v>1</v>
      </c>
      <c r="C25" s="70">
        <f>J16*B25</f>
        <v>297904.57</v>
      </c>
      <c r="D25" s="71">
        <f t="shared" ref="D25:D30" si="7">C25/$C$31</f>
        <v>1</v>
      </c>
      <c r="E25" s="70" t="s">
        <v>151</v>
      </c>
      <c r="F25" s="69">
        <f t="shared" ref="F25:F30" si="8">B25*E16</f>
        <v>0</v>
      </c>
      <c r="G25" s="68">
        <f t="shared" ref="G25:G30" si="9">B25*E16*B16</f>
        <v>0</v>
      </c>
      <c r="H25" s="67" t="e">
        <f t="shared" ref="H25:H30" si="10">G25/$G$31</f>
        <v>#DIV/0!</v>
      </c>
      <c r="I25" s="111">
        <f t="shared" ref="I25:I30" si="11">$A$12*C16</f>
        <v>412.79999855889423</v>
      </c>
      <c r="J25" s="110">
        <f t="shared" ref="J25:J30" si="12">I25*E16</f>
        <v>0</v>
      </c>
      <c r="K25" s="110">
        <f t="shared" ref="K25:K30" si="13">I25*I16</f>
        <v>412.79999855889423</v>
      </c>
      <c r="L25" s="110">
        <f t="shared" ref="L25:L30" si="14">SUM(J25:K25)</f>
        <v>412.79999855889423</v>
      </c>
      <c r="M25" s="109">
        <f t="shared" ref="M25:M30" si="15">I25*F25</f>
        <v>0</v>
      </c>
    </row>
    <row r="26" spans="1:23" ht="31.5" x14ac:dyDescent="0.25">
      <c r="A26" s="73" t="str">
        <f t="shared" si="6"/>
        <v>Environment Input</v>
      </c>
      <c r="B26" s="72">
        <v>0</v>
      </c>
      <c r="C26" s="70">
        <f>J17*B26</f>
        <v>0</v>
      </c>
      <c r="D26" s="71">
        <f t="shared" si="7"/>
        <v>0</v>
      </c>
      <c r="E26" s="70" t="s">
        <v>151</v>
      </c>
      <c r="F26" s="69">
        <f t="shared" si="8"/>
        <v>0</v>
      </c>
      <c r="G26" s="68">
        <f t="shared" si="9"/>
        <v>0</v>
      </c>
      <c r="H26" s="67" t="e">
        <f t="shared" si="10"/>
        <v>#DIV/0!</v>
      </c>
      <c r="I26" s="111">
        <f t="shared" si="11"/>
        <v>587.20000144110577</v>
      </c>
      <c r="J26" s="110">
        <f t="shared" si="12"/>
        <v>140.00000000000003</v>
      </c>
      <c r="K26" s="110">
        <f t="shared" si="13"/>
        <v>447.20000144110571</v>
      </c>
      <c r="L26" s="110">
        <f t="shared" si="14"/>
        <v>587.20000144110577</v>
      </c>
      <c r="M26" s="109">
        <f t="shared" si="15"/>
        <v>0</v>
      </c>
    </row>
    <row r="27" spans="1:23" ht="15.75" x14ac:dyDescent="0.25">
      <c r="A27" s="73" t="e">
        <f t="shared" si="6"/>
        <v>#REF!</v>
      </c>
      <c r="B27" s="72">
        <v>0</v>
      </c>
      <c r="C27" s="70">
        <f t="shared" ref="C27:C30" si="16">F18*B27</f>
        <v>0</v>
      </c>
      <c r="D27" s="71">
        <f t="shared" si="7"/>
        <v>0</v>
      </c>
      <c r="E27" s="70"/>
      <c r="F27" s="69">
        <f t="shared" si="8"/>
        <v>0</v>
      </c>
      <c r="G27" s="68">
        <f t="shared" si="9"/>
        <v>0</v>
      </c>
      <c r="H27" s="67" t="e">
        <f t="shared" si="10"/>
        <v>#DIV/0!</v>
      </c>
      <c r="I27" s="111">
        <f t="shared" si="11"/>
        <v>0</v>
      </c>
      <c r="J27" s="110">
        <f t="shared" si="12"/>
        <v>0</v>
      </c>
      <c r="K27" s="110">
        <f t="shared" si="13"/>
        <v>0</v>
      </c>
      <c r="L27" s="110">
        <f t="shared" si="14"/>
        <v>0</v>
      </c>
      <c r="M27" s="109">
        <f t="shared" si="15"/>
        <v>0</v>
      </c>
      <c r="Q27">
        <v>0.76158038205651879</v>
      </c>
    </row>
    <row r="28" spans="1:23" ht="15.75" x14ac:dyDescent="0.25">
      <c r="A28" s="73" t="e">
        <f t="shared" si="6"/>
        <v>#REF!</v>
      </c>
      <c r="B28" s="72">
        <v>0</v>
      </c>
      <c r="C28" s="70">
        <f t="shared" si="16"/>
        <v>0</v>
      </c>
      <c r="D28" s="71">
        <f t="shared" si="7"/>
        <v>0</v>
      </c>
      <c r="E28" s="70"/>
      <c r="F28" s="69">
        <f t="shared" si="8"/>
        <v>0</v>
      </c>
      <c r="G28" s="68">
        <f t="shared" si="9"/>
        <v>0</v>
      </c>
      <c r="H28" s="67" t="e">
        <f t="shared" si="10"/>
        <v>#DIV/0!</v>
      </c>
      <c r="I28" s="111">
        <f t="shared" si="11"/>
        <v>0</v>
      </c>
      <c r="J28" s="110">
        <f t="shared" si="12"/>
        <v>0</v>
      </c>
      <c r="K28" s="110">
        <f t="shared" si="13"/>
        <v>0</v>
      </c>
      <c r="L28" s="110">
        <f t="shared" si="14"/>
        <v>0</v>
      </c>
      <c r="M28" s="109">
        <f t="shared" si="15"/>
        <v>0</v>
      </c>
    </row>
    <row r="29" spans="1:23" ht="15.75" x14ac:dyDescent="0.25">
      <c r="A29" s="73" t="e">
        <f t="shared" si="6"/>
        <v>#REF!</v>
      </c>
      <c r="B29" s="72">
        <v>0</v>
      </c>
      <c r="C29" s="70">
        <f t="shared" si="16"/>
        <v>0</v>
      </c>
      <c r="D29" s="71">
        <f t="shared" si="7"/>
        <v>0</v>
      </c>
      <c r="E29" s="70"/>
      <c r="F29" s="69">
        <f t="shared" si="8"/>
        <v>0</v>
      </c>
      <c r="G29" s="68">
        <f t="shared" si="9"/>
        <v>0</v>
      </c>
      <c r="H29" s="67" t="e">
        <f t="shared" si="10"/>
        <v>#DIV/0!</v>
      </c>
      <c r="I29" s="111">
        <f t="shared" si="11"/>
        <v>0</v>
      </c>
      <c r="J29" s="110">
        <f t="shared" si="12"/>
        <v>0</v>
      </c>
      <c r="K29" s="110">
        <f t="shared" si="13"/>
        <v>0</v>
      </c>
      <c r="L29" s="110">
        <f t="shared" si="14"/>
        <v>0</v>
      </c>
      <c r="M29" s="109">
        <f t="shared" si="15"/>
        <v>0</v>
      </c>
    </row>
    <row r="30" spans="1:23" ht="16.5" thickBot="1" x14ac:dyDescent="0.3">
      <c r="A30" s="73">
        <f t="shared" si="6"/>
        <v>0</v>
      </c>
      <c r="B30" s="72">
        <v>0</v>
      </c>
      <c r="C30" s="70">
        <f t="shared" si="16"/>
        <v>0</v>
      </c>
      <c r="D30" s="71">
        <f t="shared" si="7"/>
        <v>0</v>
      </c>
      <c r="E30" s="70"/>
      <c r="F30" s="69">
        <f t="shared" si="8"/>
        <v>0</v>
      </c>
      <c r="G30" s="68">
        <f t="shared" si="9"/>
        <v>0</v>
      </c>
      <c r="H30" s="67" t="e">
        <f t="shared" si="10"/>
        <v>#DIV/0!</v>
      </c>
      <c r="I30" s="111">
        <f t="shared" si="11"/>
        <v>0</v>
      </c>
      <c r="J30" s="110">
        <f t="shared" si="12"/>
        <v>0</v>
      </c>
      <c r="K30" s="110">
        <f t="shared" si="13"/>
        <v>0</v>
      </c>
      <c r="L30" s="110">
        <f t="shared" si="14"/>
        <v>0</v>
      </c>
      <c r="M30" s="109">
        <f t="shared" si="15"/>
        <v>0</v>
      </c>
    </row>
    <row r="31" spans="1:23" ht="16.5" thickBot="1" x14ac:dyDescent="0.3">
      <c r="A31" s="63" t="s">
        <v>153</v>
      </c>
      <c r="B31" s="62">
        <f>C31/F22</f>
        <v>2.9485714182778153</v>
      </c>
      <c r="C31" s="60">
        <f>SUM(C25:C30)</f>
        <v>297904.57</v>
      </c>
      <c r="D31" s="108">
        <f>SUM(D24:D30)</f>
        <v>1</v>
      </c>
      <c r="E31" s="60"/>
      <c r="F31" s="107">
        <f>G31/B22</f>
        <v>0</v>
      </c>
      <c r="G31" s="58">
        <f t="shared" ref="G31:M31" si="17">SUM(G25:G30)</f>
        <v>0</v>
      </c>
      <c r="H31" s="57" t="e">
        <f t="shared" si="17"/>
        <v>#DIV/0!</v>
      </c>
      <c r="I31" s="56">
        <f t="shared" si="17"/>
        <v>1000</v>
      </c>
      <c r="J31" s="55">
        <f t="shared" si="17"/>
        <v>140.00000000000003</v>
      </c>
      <c r="K31" s="55">
        <f t="shared" si="17"/>
        <v>860</v>
      </c>
      <c r="L31" s="55">
        <f t="shared" si="17"/>
        <v>1000</v>
      </c>
      <c r="M31" s="54">
        <f t="shared" si="17"/>
        <v>0</v>
      </c>
    </row>
    <row r="32" spans="1:23" ht="16.5" thickBot="1" x14ac:dyDescent="0.3">
      <c r="A32" s="221" t="s">
        <v>191</v>
      </c>
      <c r="B32" s="222"/>
      <c r="C32" s="222"/>
      <c r="D32" s="222"/>
      <c r="E32" s="222"/>
      <c r="F32" s="222"/>
      <c r="G32" s="222"/>
      <c r="H32" s="222"/>
      <c r="I32" s="222"/>
      <c r="J32" s="222"/>
      <c r="K32" s="222"/>
      <c r="L32" s="222"/>
      <c r="M32" s="223"/>
    </row>
    <row r="33" spans="1:18" ht="16.5" customHeight="1" thickBot="1" x14ac:dyDescent="0.3">
      <c r="A33" s="79" t="s">
        <v>178</v>
      </c>
      <c r="B33" s="224" t="s">
        <v>190</v>
      </c>
      <c r="C33" s="225"/>
      <c r="D33" s="226"/>
      <c r="E33" s="227" t="s">
        <v>189</v>
      </c>
      <c r="F33" s="228"/>
      <c r="G33" s="228"/>
      <c r="H33" s="229"/>
      <c r="I33" s="230" t="s">
        <v>188</v>
      </c>
      <c r="J33" s="231"/>
      <c r="K33" s="231"/>
      <c r="L33" s="231"/>
      <c r="M33" s="232"/>
    </row>
    <row r="34" spans="1:18" ht="62.25" customHeight="1" thickBot="1" x14ac:dyDescent="0.3">
      <c r="A34" s="40"/>
      <c r="B34" s="53" t="s">
        <v>187</v>
      </c>
      <c r="C34" s="106" t="s">
        <v>186</v>
      </c>
      <c r="D34" s="105" t="s">
        <v>179</v>
      </c>
      <c r="E34" s="104" t="s">
        <v>185</v>
      </c>
      <c r="F34" s="52" t="s">
        <v>184</v>
      </c>
      <c r="G34" s="52" t="s">
        <v>183</v>
      </c>
      <c r="H34" s="103" t="s">
        <v>179</v>
      </c>
      <c r="I34" s="102" t="s">
        <v>182</v>
      </c>
      <c r="J34" s="51" t="s">
        <v>181</v>
      </c>
      <c r="K34" s="51" t="s">
        <v>180</v>
      </c>
      <c r="L34" s="51" t="s">
        <v>179</v>
      </c>
      <c r="M34" s="101"/>
    </row>
    <row r="35" spans="1:18" ht="15.75" x14ac:dyDescent="0.25">
      <c r="A35" s="73" t="e">
        <f t="shared" ref="A35:A40" si="18">F5</f>
        <v>#REF!</v>
      </c>
      <c r="B35" s="49">
        <f>B22</f>
        <v>721668.05</v>
      </c>
      <c r="C35" s="100">
        <f t="shared" ref="C35:C40" si="19">B35/$B$41</f>
        <v>1</v>
      </c>
      <c r="D35" s="99" t="s">
        <v>151</v>
      </c>
      <c r="E35" s="98">
        <v>0.14000000000000001</v>
      </c>
      <c r="F35" s="48">
        <f>E35*B35</f>
        <v>101033.52700000002</v>
      </c>
      <c r="G35" s="97">
        <f t="shared" ref="G35:G40" si="20">F35/$F$41</f>
        <v>1</v>
      </c>
      <c r="H35" s="96" t="s">
        <v>151</v>
      </c>
      <c r="I35" s="95">
        <f>1-E35</f>
        <v>0.86</v>
      </c>
      <c r="J35" s="47">
        <f t="shared" ref="J35:J40" si="21">I35*B35</f>
        <v>620634.52300000004</v>
      </c>
      <c r="K35" s="94">
        <f>J35/$J$41</f>
        <v>1</v>
      </c>
      <c r="L35" s="93" t="s">
        <v>151</v>
      </c>
      <c r="M35" s="92"/>
      <c r="R35">
        <f>C54/B17</f>
        <v>0.23841961794348115</v>
      </c>
    </row>
    <row r="36" spans="1:18" ht="15.75" x14ac:dyDescent="0.25">
      <c r="A36" s="73" t="e">
        <f t="shared" si="18"/>
        <v>#REF!</v>
      </c>
      <c r="B36" s="49">
        <v>0</v>
      </c>
      <c r="C36" s="100">
        <f t="shared" si="19"/>
        <v>0</v>
      </c>
      <c r="D36" s="99" t="s">
        <v>151</v>
      </c>
      <c r="E36" s="98">
        <v>0</v>
      </c>
      <c r="F36" s="48">
        <f t="shared" ref="F36:F40" si="22">E36*B36</f>
        <v>0</v>
      </c>
      <c r="G36" s="97">
        <f t="shared" si="20"/>
        <v>0</v>
      </c>
      <c r="H36" s="96" t="s">
        <v>151</v>
      </c>
      <c r="I36" s="95">
        <f>1-E36</f>
        <v>1</v>
      </c>
      <c r="J36" s="47">
        <f t="shared" si="21"/>
        <v>0</v>
      </c>
      <c r="K36" s="94">
        <f>J36/$J$41</f>
        <v>0</v>
      </c>
      <c r="L36" s="93" t="s">
        <v>151</v>
      </c>
      <c r="M36" s="92"/>
    </row>
    <row r="37" spans="1:18" ht="15.75" x14ac:dyDescent="0.25">
      <c r="A37" s="73" t="e">
        <f t="shared" si="18"/>
        <v>#REF!</v>
      </c>
      <c r="B37" s="49">
        <v>0</v>
      </c>
      <c r="C37" s="100">
        <f t="shared" si="19"/>
        <v>0</v>
      </c>
      <c r="D37" s="99"/>
      <c r="E37" s="98">
        <v>0</v>
      </c>
      <c r="F37" s="48">
        <f t="shared" si="22"/>
        <v>0</v>
      </c>
      <c r="G37" s="97">
        <f t="shared" si="20"/>
        <v>0</v>
      </c>
      <c r="H37" s="96"/>
      <c r="I37" s="95">
        <f>1-E37</f>
        <v>1</v>
      </c>
      <c r="J37" s="47">
        <f t="shared" si="21"/>
        <v>0</v>
      </c>
      <c r="K37" s="94">
        <f>J37/$J$41</f>
        <v>0</v>
      </c>
      <c r="L37" s="93"/>
      <c r="M37" s="92"/>
    </row>
    <row r="38" spans="1:18" ht="15.75" x14ac:dyDescent="0.25">
      <c r="A38" s="73" t="e">
        <f t="shared" si="18"/>
        <v>#REF!</v>
      </c>
      <c r="B38" s="49"/>
      <c r="C38" s="100">
        <f t="shared" si="19"/>
        <v>0</v>
      </c>
      <c r="D38" s="99"/>
      <c r="E38" s="98"/>
      <c r="F38" s="48">
        <f t="shared" si="22"/>
        <v>0</v>
      </c>
      <c r="G38" s="97">
        <f t="shared" si="20"/>
        <v>0</v>
      </c>
      <c r="H38" s="96"/>
      <c r="I38" s="95"/>
      <c r="J38" s="47">
        <f t="shared" si="21"/>
        <v>0</v>
      </c>
      <c r="K38" s="94">
        <f>J38/$J$41</f>
        <v>0</v>
      </c>
      <c r="L38" s="93"/>
      <c r="M38" s="92"/>
    </row>
    <row r="39" spans="1:18" ht="15.75" x14ac:dyDescent="0.25">
      <c r="A39" s="73" t="e">
        <f t="shared" si="18"/>
        <v>#REF!</v>
      </c>
      <c r="B39" s="49"/>
      <c r="C39" s="100">
        <f t="shared" si="19"/>
        <v>0</v>
      </c>
      <c r="D39" s="99"/>
      <c r="E39" s="98"/>
      <c r="F39" s="48">
        <f t="shared" si="22"/>
        <v>0</v>
      </c>
      <c r="G39" s="97">
        <f t="shared" si="20"/>
        <v>0</v>
      </c>
      <c r="H39" s="96"/>
      <c r="I39" s="95"/>
      <c r="J39" s="47">
        <f t="shared" si="21"/>
        <v>0</v>
      </c>
      <c r="K39" s="94">
        <f>J39/$J$41</f>
        <v>0</v>
      </c>
      <c r="L39" s="93"/>
      <c r="M39" s="92"/>
    </row>
    <row r="40" spans="1:18" ht="16.5" thickBot="1" x14ac:dyDescent="0.3">
      <c r="A40" s="73">
        <f t="shared" si="18"/>
        <v>0</v>
      </c>
      <c r="B40" s="49"/>
      <c r="C40" s="100">
        <f t="shared" si="19"/>
        <v>0</v>
      </c>
      <c r="D40" s="99"/>
      <c r="E40" s="98"/>
      <c r="F40" s="48">
        <f t="shared" si="22"/>
        <v>0</v>
      </c>
      <c r="G40" s="97">
        <f t="shared" si="20"/>
        <v>0</v>
      </c>
      <c r="H40" s="96"/>
      <c r="I40" s="95"/>
      <c r="J40" s="47">
        <f t="shared" si="21"/>
        <v>0</v>
      </c>
      <c r="K40" s="94">
        <f>J40/$J$22</f>
        <v>0</v>
      </c>
      <c r="L40" s="93"/>
      <c r="M40" s="92"/>
    </row>
    <row r="41" spans="1:18" ht="16.5" thickBot="1" x14ac:dyDescent="0.3">
      <c r="A41" s="63" t="s">
        <v>153</v>
      </c>
      <c r="B41" s="91">
        <f>SUM(B35:B40)</f>
        <v>721668.05</v>
      </c>
      <c r="C41" s="90">
        <f>SUM(C35:C40)</f>
        <v>1</v>
      </c>
      <c r="D41" s="89"/>
      <c r="E41" s="88">
        <f>F41/B41</f>
        <v>0.14000000000000001</v>
      </c>
      <c r="F41" s="87">
        <f>SUM(F35:F40)</f>
        <v>101033.52700000002</v>
      </c>
      <c r="G41" s="86">
        <f>SUM(G35:G40)</f>
        <v>1</v>
      </c>
      <c r="H41" s="85"/>
      <c r="I41" s="84">
        <f>J41/B41</f>
        <v>0.86</v>
      </c>
      <c r="J41" s="83">
        <f>SUM(J35:J40)</f>
        <v>620634.52300000004</v>
      </c>
      <c r="K41" s="82">
        <f>SUM(K35:K40)</f>
        <v>1</v>
      </c>
      <c r="L41" s="81"/>
      <c r="M41" s="80"/>
    </row>
    <row r="42" spans="1:18" ht="16.5" customHeight="1" thickBot="1" x14ac:dyDescent="0.3">
      <c r="A42" s="143" t="s">
        <v>178</v>
      </c>
      <c r="B42" s="201" t="s">
        <v>177</v>
      </c>
      <c r="C42" s="202"/>
      <c r="D42" s="202"/>
      <c r="E42" s="202"/>
      <c r="F42" s="202"/>
      <c r="G42" s="202"/>
      <c r="H42" s="203"/>
      <c r="I42" s="204" t="s">
        <v>176</v>
      </c>
      <c r="J42" s="205"/>
      <c r="K42" s="205"/>
      <c r="L42" s="205"/>
      <c r="M42" s="206"/>
    </row>
    <row r="43" spans="1:18" ht="63.75" thickBot="1" x14ac:dyDescent="0.3">
      <c r="A43" s="6"/>
      <c r="B43" s="78" t="s">
        <v>175</v>
      </c>
      <c r="C43" s="77" t="s">
        <v>174</v>
      </c>
      <c r="D43" s="77" t="s">
        <v>173</v>
      </c>
      <c r="E43" s="77" t="s">
        <v>172</v>
      </c>
      <c r="F43" s="78" t="s">
        <v>171</v>
      </c>
      <c r="G43" s="77" t="s">
        <v>170</v>
      </c>
      <c r="H43" s="142" t="s">
        <v>169</v>
      </c>
      <c r="I43" s="76" t="s">
        <v>168</v>
      </c>
      <c r="J43" s="75" t="s">
        <v>167</v>
      </c>
      <c r="K43" s="75" t="s">
        <v>166</v>
      </c>
      <c r="L43" s="75" t="s">
        <v>165</v>
      </c>
      <c r="M43" s="74" t="s">
        <v>164</v>
      </c>
    </row>
    <row r="44" spans="1:18" ht="15.75" x14ac:dyDescent="0.25">
      <c r="A44" s="73" t="e">
        <f t="shared" ref="A44:A49" si="23">A35</f>
        <v>#REF!</v>
      </c>
      <c r="B44" s="72">
        <v>0.48</v>
      </c>
      <c r="C44" s="70">
        <f>J35*B44</f>
        <v>297904.57104000001</v>
      </c>
      <c r="D44" s="71">
        <f t="shared" ref="D44:D49" si="24">C44/$C$50</f>
        <v>1</v>
      </c>
      <c r="E44" s="70" t="s">
        <v>151</v>
      </c>
      <c r="F44" s="69">
        <f>B44*I35</f>
        <v>0.4128</v>
      </c>
      <c r="G44" s="68">
        <f>B44*I35*B35</f>
        <v>297904.57104000001</v>
      </c>
      <c r="H44" s="67">
        <f t="shared" ref="H44:H49" si="25">G44/$G$50</f>
        <v>1</v>
      </c>
      <c r="I44" s="66">
        <f t="shared" ref="I44:I49" si="26">$A$12*B58</f>
        <v>1000</v>
      </c>
      <c r="J44" s="65">
        <f t="shared" ref="J44:J49" si="27">I44*E35</f>
        <v>140</v>
      </c>
      <c r="K44" s="65">
        <f t="shared" ref="K44:K49" si="28">I44*I35</f>
        <v>860</v>
      </c>
      <c r="L44" s="65">
        <f t="shared" ref="L44:L49" si="29">SUM(J44:K44)</f>
        <v>1000</v>
      </c>
      <c r="M44" s="64">
        <f t="shared" ref="M44:M49" si="30">I44*F44</f>
        <v>412.8</v>
      </c>
    </row>
    <row r="45" spans="1:18" ht="15.75" x14ac:dyDescent="0.25">
      <c r="A45" s="73" t="e">
        <f t="shared" si="23"/>
        <v>#REF!</v>
      </c>
      <c r="B45" s="72">
        <v>0</v>
      </c>
      <c r="C45" s="70">
        <f t="shared" ref="C45:C49" si="31">F36*B45</f>
        <v>0</v>
      </c>
      <c r="D45" s="71">
        <f t="shared" si="24"/>
        <v>0</v>
      </c>
      <c r="E45" s="70" t="s">
        <v>151</v>
      </c>
      <c r="F45" s="69">
        <f t="shared" ref="F45:F49" si="32">B45*E36</f>
        <v>0</v>
      </c>
      <c r="G45" s="68">
        <f t="shared" ref="G45:G49" si="33">B45*E36*B36</f>
        <v>0</v>
      </c>
      <c r="H45" s="67">
        <f t="shared" si="25"/>
        <v>0</v>
      </c>
      <c r="I45" s="66">
        <f t="shared" si="26"/>
        <v>0</v>
      </c>
      <c r="J45" s="65">
        <f t="shared" si="27"/>
        <v>0</v>
      </c>
      <c r="K45" s="65">
        <f t="shared" si="28"/>
        <v>0</v>
      </c>
      <c r="L45" s="65">
        <f t="shared" si="29"/>
        <v>0</v>
      </c>
      <c r="M45" s="64">
        <f t="shared" si="30"/>
        <v>0</v>
      </c>
    </row>
    <row r="46" spans="1:18" ht="15.75" x14ac:dyDescent="0.25">
      <c r="A46" s="73" t="e">
        <f t="shared" si="23"/>
        <v>#REF!</v>
      </c>
      <c r="B46" s="72">
        <v>0</v>
      </c>
      <c r="C46" s="70">
        <f t="shared" si="31"/>
        <v>0</v>
      </c>
      <c r="D46" s="71">
        <f t="shared" si="24"/>
        <v>0</v>
      </c>
      <c r="E46" s="70" t="s">
        <v>151</v>
      </c>
      <c r="F46" s="69">
        <f t="shared" si="32"/>
        <v>0</v>
      </c>
      <c r="G46" s="68">
        <f t="shared" si="33"/>
        <v>0</v>
      </c>
      <c r="H46" s="67">
        <f t="shared" si="25"/>
        <v>0</v>
      </c>
      <c r="I46" s="66">
        <f t="shared" si="26"/>
        <v>0</v>
      </c>
      <c r="J46" s="65">
        <f t="shared" si="27"/>
        <v>0</v>
      </c>
      <c r="K46" s="65">
        <f t="shared" si="28"/>
        <v>0</v>
      </c>
      <c r="L46" s="65">
        <f t="shared" si="29"/>
        <v>0</v>
      </c>
      <c r="M46" s="64">
        <f t="shared" si="30"/>
        <v>0</v>
      </c>
    </row>
    <row r="47" spans="1:18" ht="15.75" x14ac:dyDescent="0.25">
      <c r="A47" s="73" t="e">
        <f t="shared" si="23"/>
        <v>#REF!</v>
      </c>
      <c r="B47" s="72"/>
      <c r="C47" s="70">
        <f t="shared" si="31"/>
        <v>0</v>
      </c>
      <c r="D47" s="71">
        <f t="shared" si="24"/>
        <v>0</v>
      </c>
      <c r="E47" s="70"/>
      <c r="F47" s="69">
        <f t="shared" si="32"/>
        <v>0</v>
      </c>
      <c r="G47" s="68">
        <f t="shared" si="33"/>
        <v>0</v>
      </c>
      <c r="H47" s="67">
        <f t="shared" si="25"/>
        <v>0</v>
      </c>
      <c r="I47" s="66">
        <f t="shared" si="26"/>
        <v>0</v>
      </c>
      <c r="J47" s="65">
        <f t="shared" si="27"/>
        <v>0</v>
      </c>
      <c r="K47" s="65">
        <f t="shared" si="28"/>
        <v>0</v>
      </c>
      <c r="L47" s="65">
        <f t="shared" si="29"/>
        <v>0</v>
      </c>
      <c r="M47" s="64">
        <f t="shared" si="30"/>
        <v>0</v>
      </c>
    </row>
    <row r="48" spans="1:18" ht="15.75" x14ac:dyDescent="0.25">
      <c r="A48" s="73" t="e">
        <f t="shared" si="23"/>
        <v>#REF!</v>
      </c>
      <c r="B48" s="72"/>
      <c r="C48" s="70">
        <f t="shared" si="31"/>
        <v>0</v>
      </c>
      <c r="D48" s="71">
        <f t="shared" si="24"/>
        <v>0</v>
      </c>
      <c r="E48" s="70"/>
      <c r="F48" s="69">
        <f t="shared" si="32"/>
        <v>0</v>
      </c>
      <c r="G48" s="68">
        <f t="shared" si="33"/>
        <v>0</v>
      </c>
      <c r="H48" s="67">
        <f t="shared" si="25"/>
        <v>0</v>
      </c>
      <c r="I48" s="66">
        <f t="shared" si="26"/>
        <v>0</v>
      </c>
      <c r="J48" s="65">
        <f t="shared" si="27"/>
        <v>0</v>
      </c>
      <c r="K48" s="65">
        <f t="shared" si="28"/>
        <v>0</v>
      </c>
      <c r="L48" s="65">
        <f t="shared" si="29"/>
        <v>0</v>
      </c>
      <c r="M48" s="64">
        <f t="shared" si="30"/>
        <v>0</v>
      </c>
    </row>
    <row r="49" spans="1:17" ht="16.5" thickBot="1" x14ac:dyDescent="0.3">
      <c r="A49" s="73">
        <f t="shared" si="23"/>
        <v>0</v>
      </c>
      <c r="B49" s="72"/>
      <c r="C49" s="70">
        <f t="shared" si="31"/>
        <v>0</v>
      </c>
      <c r="D49" s="71">
        <f t="shared" si="24"/>
        <v>0</v>
      </c>
      <c r="E49" s="70"/>
      <c r="F49" s="69">
        <f t="shared" si="32"/>
        <v>0</v>
      </c>
      <c r="G49" s="68">
        <f t="shared" si="33"/>
        <v>0</v>
      </c>
      <c r="H49" s="67">
        <f t="shared" si="25"/>
        <v>0</v>
      </c>
      <c r="I49" s="66">
        <f t="shared" si="26"/>
        <v>0</v>
      </c>
      <c r="J49" s="65">
        <f t="shared" si="27"/>
        <v>0</v>
      </c>
      <c r="K49" s="65">
        <f t="shared" si="28"/>
        <v>0</v>
      </c>
      <c r="L49" s="65">
        <f t="shared" si="29"/>
        <v>0</v>
      </c>
      <c r="M49" s="64">
        <f t="shared" si="30"/>
        <v>0</v>
      </c>
      <c r="Q49" s="165"/>
    </row>
    <row r="50" spans="1:17" ht="16.5" thickBot="1" x14ac:dyDescent="0.3">
      <c r="A50" s="63" t="s">
        <v>153</v>
      </c>
      <c r="B50" s="62">
        <f>C50/F41</f>
        <v>2.9485714285714284</v>
      </c>
      <c r="C50" s="60">
        <f>SUM(C44:C49)</f>
        <v>297904.57104000001</v>
      </c>
      <c r="D50" s="61">
        <f>SUM(D44:D49)</f>
        <v>1</v>
      </c>
      <c r="E50" s="60"/>
      <c r="F50" s="59">
        <f>G50/B41</f>
        <v>0.4128</v>
      </c>
      <c r="G50" s="58">
        <f t="shared" ref="G50:M50" si="34">SUM(G44:G49)</f>
        <v>297904.57104000001</v>
      </c>
      <c r="H50" s="57">
        <f t="shared" si="34"/>
        <v>1</v>
      </c>
      <c r="I50" s="56">
        <f t="shared" si="34"/>
        <v>1000</v>
      </c>
      <c r="J50" s="55">
        <f t="shared" si="34"/>
        <v>140</v>
      </c>
      <c r="K50" s="55">
        <f t="shared" si="34"/>
        <v>860</v>
      </c>
      <c r="L50" s="55">
        <f t="shared" si="34"/>
        <v>1000</v>
      </c>
      <c r="M50" s="54">
        <f t="shared" si="34"/>
        <v>412.8</v>
      </c>
    </row>
    <row r="51" spans="1:17" ht="15.75" thickBot="1" x14ac:dyDescent="0.3">
      <c r="A51" s="233" t="s">
        <v>163</v>
      </c>
      <c r="B51" s="234"/>
      <c r="C51" s="234"/>
      <c r="D51" s="234"/>
      <c r="E51" s="235"/>
      <c r="F51" s="236" t="s">
        <v>162</v>
      </c>
      <c r="G51" s="237"/>
      <c r="H51" s="237"/>
      <c r="I51" s="237"/>
      <c r="J51" s="237"/>
      <c r="K51" s="237"/>
      <c r="L51" s="237"/>
      <c r="M51" s="238"/>
    </row>
    <row r="52" spans="1:17" ht="16.5" thickBot="1" x14ac:dyDescent="0.3">
      <c r="A52" s="4" t="s">
        <v>161</v>
      </c>
      <c r="B52" s="53" t="s">
        <v>160</v>
      </c>
      <c r="C52" s="52" t="s">
        <v>133</v>
      </c>
      <c r="D52" s="51" t="s">
        <v>132</v>
      </c>
      <c r="E52" s="50" t="s">
        <v>159</v>
      </c>
      <c r="F52" s="183"/>
      <c r="G52" s="183"/>
      <c r="H52" s="183"/>
      <c r="I52" s="183"/>
      <c r="J52" s="183"/>
      <c r="K52" s="183"/>
      <c r="L52" s="183"/>
      <c r="M52" s="239"/>
    </row>
    <row r="53" spans="1:17" ht="15.75" x14ac:dyDescent="0.25">
      <c r="A53" s="5" t="s">
        <v>158</v>
      </c>
      <c r="B53" s="49">
        <f>B22</f>
        <v>721668.05</v>
      </c>
      <c r="C53" s="48">
        <f>F22</f>
        <v>101033.52700000002</v>
      </c>
      <c r="D53" s="47">
        <f>J22</f>
        <v>620634.52299999993</v>
      </c>
      <c r="E53" s="46">
        <f>C31</f>
        <v>297904.57</v>
      </c>
      <c r="F53" s="183"/>
      <c r="G53" s="183"/>
      <c r="H53" s="183"/>
      <c r="I53" s="183"/>
      <c r="J53" s="183"/>
      <c r="K53" s="183"/>
      <c r="L53" s="183"/>
      <c r="M53" s="239"/>
    </row>
    <row r="54" spans="1:17" ht="16.5" thickBot="1" x14ac:dyDescent="0.3">
      <c r="A54" s="5" t="s">
        <v>157</v>
      </c>
      <c r="B54" s="49">
        <f>B41</f>
        <v>721668.05</v>
      </c>
      <c r="C54" s="48">
        <f>F41</f>
        <v>101033.52700000002</v>
      </c>
      <c r="D54" s="47">
        <f>J41</f>
        <v>620634.52300000004</v>
      </c>
      <c r="E54" s="46">
        <f>C50</f>
        <v>297904.57104000001</v>
      </c>
      <c r="F54" s="183"/>
      <c r="G54" s="183"/>
      <c r="H54" s="183"/>
      <c r="I54" s="183"/>
      <c r="J54" s="183"/>
      <c r="K54" s="183"/>
      <c r="L54" s="183"/>
      <c r="M54" s="239"/>
    </row>
    <row r="55" spans="1:17" ht="15.75" x14ac:dyDescent="0.25">
      <c r="A55" s="4" t="s">
        <v>156</v>
      </c>
      <c r="B55" s="138">
        <f>B53-B54</f>
        <v>0</v>
      </c>
      <c r="C55" s="139">
        <f>C53-C54</f>
        <v>0</v>
      </c>
      <c r="D55" s="140">
        <f>D53-D54</f>
        <v>0</v>
      </c>
      <c r="E55" s="141">
        <f>E53-E54</f>
        <v>-1.0400000028312206E-3</v>
      </c>
      <c r="F55" s="183"/>
      <c r="G55" s="183"/>
      <c r="H55" s="183"/>
      <c r="I55" s="183"/>
      <c r="J55" s="183"/>
      <c r="K55" s="183"/>
      <c r="L55" s="183"/>
      <c r="M55" s="239"/>
    </row>
    <row r="56" spans="1:17" ht="16.5" thickBot="1" x14ac:dyDescent="0.3">
      <c r="A56" s="6" t="s">
        <v>155</v>
      </c>
      <c r="B56" s="45">
        <f>B53/B54</f>
        <v>1</v>
      </c>
      <c r="C56" s="43">
        <f>C53/C54</f>
        <v>1</v>
      </c>
      <c r="D56" s="42">
        <f>D53/D54</f>
        <v>0.99999999999999978</v>
      </c>
      <c r="E56" s="41">
        <f>E53/E54</f>
        <v>0.99999999650894911</v>
      </c>
      <c r="F56" s="183"/>
      <c r="G56" s="183"/>
      <c r="H56" s="183"/>
      <c r="I56" s="183"/>
      <c r="J56" s="183"/>
      <c r="K56" s="183"/>
      <c r="L56" s="183"/>
      <c r="M56" s="239"/>
    </row>
    <row r="57" spans="1:17" ht="15.75" thickBot="1" x14ac:dyDescent="0.3">
      <c r="A57" s="233" t="s">
        <v>154</v>
      </c>
      <c r="B57" s="234"/>
      <c r="C57" s="234"/>
      <c r="D57" s="234"/>
      <c r="E57" s="235"/>
      <c r="F57" s="183"/>
      <c r="G57" s="183"/>
      <c r="H57" s="183"/>
      <c r="I57" s="183"/>
      <c r="J57" s="183"/>
      <c r="K57" s="183"/>
      <c r="L57" s="183"/>
      <c r="M57" s="239"/>
    </row>
    <row r="58" spans="1:17" ht="16.5" thickBot="1" x14ac:dyDescent="0.3">
      <c r="A58" s="40" t="e">
        <f t="shared" ref="A58:A63" si="35">A44</f>
        <v>#REF!</v>
      </c>
      <c r="B58" s="39">
        <f t="shared" ref="B58:B63" si="36">(B35*$C$41)/($B$22*$C$22)</f>
        <v>1</v>
      </c>
      <c r="C58" s="38">
        <f>(E35*B35)/($B$22*$E$22)</f>
        <v>1</v>
      </c>
      <c r="D58" s="37">
        <f t="shared" ref="D58:D63" si="37">(I35*B35)/($B$22*$I$22)</f>
        <v>1.0000000000000002</v>
      </c>
      <c r="E58" s="36" t="e">
        <f t="shared" ref="E58:E63" si="38">(F44*B35)/($B$22*$F$31)</f>
        <v>#DIV/0!</v>
      </c>
      <c r="F58" s="183"/>
      <c r="G58" s="183"/>
      <c r="H58" s="183"/>
      <c r="I58" s="183"/>
      <c r="J58" s="183"/>
      <c r="K58" s="183"/>
      <c r="L58" s="183"/>
      <c r="M58" s="239"/>
    </row>
    <row r="59" spans="1:17" ht="16.5" thickBot="1" x14ac:dyDescent="0.3">
      <c r="A59" s="6" t="e">
        <f t="shared" si="35"/>
        <v>#REF!</v>
      </c>
      <c r="B59" s="44">
        <f t="shared" si="36"/>
        <v>0</v>
      </c>
      <c r="C59" s="43">
        <f>(E36*B36)/($B$22*$E$22)</f>
        <v>0</v>
      </c>
      <c r="D59" s="42">
        <f t="shared" si="37"/>
        <v>0</v>
      </c>
      <c r="E59" s="41" t="e">
        <f t="shared" si="38"/>
        <v>#DIV/0!</v>
      </c>
      <c r="F59" s="183"/>
      <c r="G59" s="183"/>
      <c r="H59" s="183"/>
      <c r="I59" s="183"/>
      <c r="J59" s="183"/>
      <c r="K59" s="183"/>
      <c r="L59" s="183"/>
      <c r="M59" s="239"/>
    </row>
    <row r="60" spans="1:17" ht="16.5" thickBot="1" x14ac:dyDescent="0.3">
      <c r="A60" s="6" t="e">
        <f t="shared" si="35"/>
        <v>#REF!</v>
      </c>
      <c r="B60" s="44">
        <f t="shared" si="36"/>
        <v>0</v>
      </c>
      <c r="C60" s="43">
        <f>(E37*B37)/($B$22*$E$22)</f>
        <v>0</v>
      </c>
      <c r="D60" s="42">
        <f t="shared" si="37"/>
        <v>0</v>
      </c>
      <c r="E60" s="41" t="e">
        <f t="shared" si="38"/>
        <v>#DIV/0!</v>
      </c>
      <c r="F60" s="183"/>
      <c r="G60" s="183"/>
      <c r="H60" s="183"/>
      <c r="I60" s="183"/>
      <c r="J60" s="183"/>
      <c r="K60" s="183"/>
      <c r="L60" s="183"/>
      <c r="M60" s="239"/>
    </row>
    <row r="61" spans="1:17" ht="16.5" thickBot="1" x14ac:dyDescent="0.3">
      <c r="A61" s="6" t="e">
        <f t="shared" si="35"/>
        <v>#REF!</v>
      </c>
      <c r="B61" s="44">
        <f t="shared" si="36"/>
        <v>0</v>
      </c>
      <c r="C61" s="43">
        <f>($G$41*F38)/($B$22*$E$22)</f>
        <v>0</v>
      </c>
      <c r="D61" s="42">
        <f t="shared" si="37"/>
        <v>0</v>
      </c>
      <c r="E61" s="41" t="e">
        <f t="shared" si="38"/>
        <v>#DIV/0!</v>
      </c>
      <c r="F61" s="183"/>
      <c r="G61" s="183"/>
      <c r="H61" s="183"/>
      <c r="I61" s="183"/>
      <c r="J61" s="183"/>
      <c r="K61" s="183"/>
      <c r="L61" s="183"/>
      <c r="M61" s="239"/>
    </row>
    <row r="62" spans="1:17" ht="16.5" thickBot="1" x14ac:dyDescent="0.3">
      <c r="A62" s="6" t="e">
        <f t="shared" si="35"/>
        <v>#REF!</v>
      </c>
      <c r="B62" s="44">
        <f t="shared" si="36"/>
        <v>0</v>
      </c>
      <c r="C62" s="43">
        <f>(B39*E39)/($B$22*$E$22)</f>
        <v>0</v>
      </c>
      <c r="D62" s="42">
        <f t="shared" si="37"/>
        <v>0</v>
      </c>
      <c r="E62" s="41" t="e">
        <f t="shared" si="38"/>
        <v>#DIV/0!</v>
      </c>
      <c r="F62" s="183"/>
      <c r="G62" s="183"/>
      <c r="H62" s="183"/>
      <c r="I62" s="183"/>
      <c r="J62" s="183"/>
      <c r="K62" s="183"/>
      <c r="L62" s="183"/>
      <c r="M62" s="239"/>
    </row>
    <row r="63" spans="1:17" ht="16.5" thickBot="1" x14ac:dyDescent="0.3">
      <c r="A63" s="6">
        <f t="shared" si="35"/>
        <v>0</v>
      </c>
      <c r="B63" s="44">
        <f t="shared" si="36"/>
        <v>0</v>
      </c>
      <c r="C63" s="43">
        <f>(B40*E40)/($B$22*$E$22)</f>
        <v>0</v>
      </c>
      <c r="D63" s="42">
        <f t="shared" si="37"/>
        <v>0</v>
      </c>
      <c r="E63" s="41" t="e">
        <f t="shared" si="38"/>
        <v>#DIV/0!</v>
      </c>
      <c r="F63" s="183"/>
      <c r="G63" s="183"/>
      <c r="H63" s="183"/>
      <c r="I63" s="183"/>
      <c r="J63" s="183"/>
      <c r="K63" s="183"/>
      <c r="L63" s="183"/>
      <c r="M63" s="239"/>
    </row>
    <row r="64" spans="1:17" ht="16.5" thickBot="1" x14ac:dyDescent="0.3">
      <c r="A64" s="4" t="s">
        <v>153</v>
      </c>
      <c r="B64" s="134">
        <f>SUM(B58:B63)</f>
        <v>1</v>
      </c>
      <c r="C64" s="135">
        <f>SUM(C58:C63)</f>
        <v>1</v>
      </c>
      <c r="D64" s="136">
        <f>SUM(D58:D63)</f>
        <v>1.0000000000000002</v>
      </c>
      <c r="E64" s="137" t="e">
        <f>SUM(E58:E63)</f>
        <v>#DIV/0!</v>
      </c>
      <c r="F64" s="183"/>
      <c r="G64" s="183"/>
      <c r="H64" s="183"/>
      <c r="I64" s="183"/>
      <c r="J64" s="183"/>
      <c r="K64" s="183"/>
      <c r="L64" s="183"/>
      <c r="M64" s="239"/>
    </row>
    <row r="65" spans="1:13" ht="16.5" thickBot="1" x14ac:dyDescent="0.3">
      <c r="A65" s="209" t="s">
        <v>152</v>
      </c>
      <c r="B65" s="210"/>
      <c r="C65" s="210"/>
      <c r="D65" s="210"/>
      <c r="E65" s="210"/>
      <c r="F65" s="210"/>
      <c r="G65" s="210"/>
      <c r="H65" s="210"/>
      <c r="I65" s="210"/>
      <c r="J65" s="210"/>
      <c r="K65" s="210"/>
      <c r="L65" s="210"/>
      <c r="M65" s="211"/>
    </row>
    <row r="66" spans="1:13" x14ac:dyDescent="0.25">
      <c r="A66" s="5" t="s">
        <v>151</v>
      </c>
      <c r="B66" s="240" t="s">
        <v>150</v>
      </c>
      <c r="C66" s="240"/>
      <c r="D66" s="240"/>
      <c r="E66" s="240"/>
      <c r="F66" s="240"/>
      <c r="G66" s="5" t="s">
        <v>149</v>
      </c>
      <c r="M66" s="35"/>
    </row>
    <row r="67" spans="1:13" ht="18.75" customHeight="1" x14ac:dyDescent="0.25">
      <c r="A67" s="5" t="s">
        <v>148</v>
      </c>
      <c r="B67" s="183" t="s">
        <v>135</v>
      </c>
      <c r="C67" s="183"/>
      <c r="D67" s="183"/>
      <c r="E67" s="183"/>
      <c r="F67" s="183"/>
      <c r="G67" s="5" t="s">
        <v>147</v>
      </c>
      <c r="M67" s="35"/>
    </row>
    <row r="68" spans="1:13" x14ac:dyDescent="0.25">
      <c r="A68" s="5" t="s">
        <v>146</v>
      </c>
      <c r="G68" s="5" t="s">
        <v>145</v>
      </c>
      <c r="M68" s="35"/>
    </row>
    <row r="69" spans="1:13" x14ac:dyDescent="0.25">
      <c r="A69" s="5" t="s">
        <v>144</v>
      </c>
      <c r="G69" s="5" t="s">
        <v>143</v>
      </c>
      <c r="M69" s="35"/>
    </row>
    <row r="70" spans="1:13" x14ac:dyDescent="0.25">
      <c r="A70" s="5" t="s">
        <v>142</v>
      </c>
      <c r="G70" s="5" t="s">
        <v>141</v>
      </c>
      <c r="M70" s="35"/>
    </row>
    <row r="71" spans="1:13" x14ac:dyDescent="0.25">
      <c r="A71" s="5" t="s">
        <v>140</v>
      </c>
      <c r="G71" s="5" t="s">
        <v>139</v>
      </c>
      <c r="M71" s="35"/>
    </row>
    <row r="72" spans="1:13" ht="15.75" thickBot="1" x14ac:dyDescent="0.3">
      <c r="A72" s="6" t="s">
        <v>138</v>
      </c>
      <c r="B72" s="34"/>
      <c r="C72" s="34"/>
      <c r="D72" s="34"/>
      <c r="E72" s="34"/>
      <c r="F72" s="34"/>
      <c r="G72" s="6" t="s">
        <v>137</v>
      </c>
      <c r="H72" s="34"/>
      <c r="I72" s="34"/>
      <c r="J72" s="34"/>
      <c r="K72" s="34"/>
      <c r="L72" s="34"/>
      <c r="M72" s="3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134"/>
  <sheetViews>
    <sheetView topLeftCell="A105" zoomScaleNormal="100" workbookViewId="0">
      <selection activeCell="D143" sqref="D143"/>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9" max="9" width="19.5703125" customWidth="1"/>
    <col min="10" max="10" width="18" customWidth="1"/>
    <col min="11" max="11" width="87.5703125" customWidth="1"/>
    <col min="12" max="12" width="33.42578125" customWidth="1"/>
    <col min="13" max="13" width="11" customWidth="1"/>
    <col min="14" max="14" width="13.140625" customWidth="1"/>
    <col min="15" max="15" width="11" customWidth="1"/>
    <col min="18" max="18" width="21.42578125" customWidth="1"/>
  </cols>
  <sheetData>
    <row r="1" spans="1:15" x14ac:dyDescent="0.25">
      <c r="A1" s="241" t="s">
        <v>246</v>
      </c>
      <c r="B1" s="241"/>
      <c r="C1" s="241"/>
      <c r="E1" s="241" t="s">
        <v>247</v>
      </c>
      <c r="F1" s="241"/>
      <c r="G1" s="241"/>
    </row>
    <row r="2" spans="1:15" x14ac:dyDescent="0.25">
      <c r="A2" s="12" t="s">
        <v>27</v>
      </c>
      <c r="B2" s="12" t="s">
        <v>28</v>
      </c>
      <c r="C2" s="12" t="s">
        <v>5</v>
      </c>
      <c r="E2" s="12" t="s">
        <v>27</v>
      </c>
      <c r="F2" s="12" t="s">
        <v>28</v>
      </c>
      <c r="G2" s="12" t="s">
        <v>5</v>
      </c>
      <c r="I2" s="12" t="s">
        <v>27</v>
      </c>
      <c r="J2" s="12" t="s">
        <v>28</v>
      </c>
      <c r="K2" s="12" t="s">
        <v>5</v>
      </c>
      <c r="L2" s="177"/>
      <c r="M2" s="12" t="s">
        <v>27</v>
      </c>
      <c r="N2" s="12" t="s">
        <v>28</v>
      </c>
      <c r="O2" s="12" t="s">
        <v>5</v>
      </c>
    </row>
    <row r="3" spans="1:15" ht="45" x14ac:dyDescent="0.25">
      <c r="A3" s="3">
        <v>1</v>
      </c>
      <c r="B3" s="3" t="s">
        <v>158</v>
      </c>
      <c r="C3" s="3"/>
      <c r="E3" s="3">
        <v>1</v>
      </c>
      <c r="F3" s="3" t="s">
        <v>77</v>
      </c>
      <c r="G3" s="3" t="s">
        <v>79</v>
      </c>
      <c r="I3" s="3">
        <v>1</v>
      </c>
      <c r="J3" s="3" t="s">
        <v>545</v>
      </c>
      <c r="K3" s="178" t="s">
        <v>550</v>
      </c>
    </row>
    <row r="4" spans="1:15" ht="90" x14ac:dyDescent="0.25">
      <c r="A4" s="3">
        <v>2</v>
      </c>
      <c r="B4" s="3" t="s">
        <v>157</v>
      </c>
      <c r="C4" s="3"/>
      <c r="E4" s="3">
        <v>2</v>
      </c>
      <c r="F4" s="3" t="s">
        <v>78</v>
      </c>
      <c r="G4" s="3" t="s">
        <v>80</v>
      </c>
      <c r="I4">
        <v>2</v>
      </c>
      <c r="J4" t="s">
        <v>546</v>
      </c>
      <c r="K4" s="1" t="s">
        <v>551</v>
      </c>
    </row>
    <row r="5" spans="1:15" x14ac:dyDescent="0.25">
      <c r="A5">
        <v>3</v>
      </c>
      <c r="B5" t="s">
        <v>74</v>
      </c>
      <c r="E5" s="3">
        <v>3</v>
      </c>
      <c r="F5" s="3" t="s">
        <v>82</v>
      </c>
      <c r="G5" s="3" t="s">
        <v>83</v>
      </c>
      <c r="I5" s="3">
        <v>3</v>
      </c>
      <c r="J5" s="3" t="s">
        <v>654</v>
      </c>
      <c r="K5" s="3"/>
    </row>
    <row r="6" spans="1:15" x14ac:dyDescent="0.25">
      <c r="E6" s="3">
        <v>4</v>
      </c>
      <c r="F6" s="3" t="s">
        <v>76</v>
      </c>
      <c r="G6" s="3" t="s">
        <v>81</v>
      </c>
      <c r="I6">
        <v>4</v>
      </c>
      <c r="J6" t="s">
        <v>655</v>
      </c>
    </row>
    <row r="7" spans="1:15" x14ac:dyDescent="0.25">
      <c r="I7" s="3">
        <v>5</v>
      </c>
      <c r="J7" s="3" t="s">
        <v>371</v>
      </c>
      <c r="K7" s="3"/>
    </row>
    <row r="8" spans="1:15" x14ac:dyDescent="0.25">
      <c r="I8" s="3">
        <v>6</v>
      </c>
      <c r="J8" s="3" t="s">
        <v>158</v>
      </c>
      <c r="K8" s="3"/>
    </row>
    <row r="9" spans="1:15" x14ac:dyDescent="0.25">
      <c r="A9" s="241" t="s">
        <v>248</v>
      </c>
      <c r="B9" s="241"/>
      <c r="C9" s="241"/>
      <c r="I9" s="3">
        <v>7</v>
      </c>
      <c r="J9" s="3" t="s">
        <v>157</v>
      </c>
      <c r="K9" s="3"/>
    </row>
    <row r="10" spans="1:15" x14ac:dyDescent="0.25">
      <c r="A10" t="s">
        <v>27</v>
      </c>
      <c r="B10" t="s">
        <v>161</v>
      </c>
      <c r="C10" t="s">
        <v>5</v>
      </c>
      <c r="E10" s="241"/>
      <c r="F10" s="241"/>
      <c r="G10" s="241"/>
    </row>
    <row r="11" spans="1:15" x14ac:dyDescent="0.25">
      <c r="B11" t="s">
        <v>314</v>
      </c>
      <c r="E11" s="161"/>
      <c r="F11" s="161"/>
      <c r="G11" s="161"/>
    </row>
    <row r="12" spans="1:15" x14ac:dyDescent="0.25">
      <c r="B12" t="s">
        <v>324</v>
      </c>
      <c r="E12" s="161"/>
      <c r="F12" s="161"/>
      <c r="G12" s="161"/>
    </row>
    <row r="13" spans="1:15" x14ac:dyDescent="0.25">
      <c r="B13" t="s">
        <v>326</v>
      </c>
      <c r="E13" s="161"/>
      <c r="F13" s="161"/>
      <c r="G13" s="161"/>
    </row>
    <row r="14" spans="1:15" x14ac:dyDescent="0.25">
      <c r="B14" t="s">
        <v>325</v>
      </c>
      <c r="C14" t="s">
        <v>315</v>
      </c>
      <c r="E14" s="161"/>
      <c r="F14" s="161"/>
      <c r="G14" s="161"/>
    </row>
    <row r="15" spans="1:15" x14ac:dyDescent="0.25">
      <c r="B15" t="s">
        <v>327</v>
      </c>
      <c r="E15" s="161"/>
      <c r="F15" s="161"/>
      <c r="G15" s="161"/>
    </row>
    <row r="16" spans="1:15" x14ac:dyDescent="0.25">
      <c r="B16" t="s">
        <v>317</v>
      </c>
      <c r="E16" s="161"/>
      <c r="F16" s="161"/>
      <c r="G16" s="161"/>
    </row>
    <row r="17" spans="1:12" x14ac:dyDescent="0.25">
      <c r="B17" t="s">
        <v>323</v>
      </c>
      <c r="E17" s="161"/>
      <c r="F17" s="161"/>
      <c r="G17" s="161"/>
    </row>
    <row r="18" spans="1:12" x14ac:dyDescent="0.25">
      <c r="B18" t="s">
        <v>318</v>
      </c>
      <c r="E18" s="161"/>
      <c r="F18" s="161"/>
      <c r="G18" s="161"/>
    </row>
    <row r="19" spans="1:12" x14ac:dyDescent="0.25">
      <c r="E19" s="161"/>
      <c r="F19" s="161"/>
      <c r="G19" s="161"/>
    </row>
    <row r="20" spans="1:12" x14ac:dyDescent="0.25">
      <c r="A20" s="241" t="s">
        <v>321</v>
      </c>
      <c r="B20" s="241"/>
      <c r="C20" s="241"/>
    </row>
    <row r="21" spans="1:12" x14ac:dyDescent="0.25">
      <c r="A21" t="s">
        <v>221</v>
      </c>
      <c r="B21" t="s">
        <v>316</v>
      </c>
      <c r="C21" t="s">
        <v>5</v>
      </c>
    </row>
    <row r="22" spans="1:12" x14ac:dyDescent="0.25">
      <c r="A22" t="s">
        <v>325</v>
      </c>
      <c r="B22" t="s">
        <v>325</v>
      </c>
    </row>
    <row r="23" spans="1:12" x14ac:dyDescent="0.25">
      <c r="A23" t="s">
        <v>324</v>
      </c>
      <c r="B23" t="s">
        <v>324</v>
      </c>
    </row>
    <row r="24" spans="1:12" x14ac:dyDescent="0.25">
      <c r="A24" t="s">
        <v>327</v>
      </c>
      <c r="B24" t="s">
        <v>327</v>
      </c>
    </row>
    <row r="25" spans="1:12" x14ac:dyDescent="0.25">
      <c r="A25" t="s">
        <v>326</v>
      </c>
      <c r="B25" t="s">
        <v>326</v>
      </c>
    </row>
    <row r="26" spans="1:12" x14ac:dyDescent="0.25">
      <c r="A26" t="s">
        <v>319</v>
      </c>
      <c r="B26" t="s">
        <v>319</v>
      </c>
    </row>
    <row r="27" spans="1:12" x14ac:dyDescent="0.25">
      <c r="A27" t="s">
        <v>320</v>
      </c>
      <c r="B27" t="s">
        <v>320</v>
      </c>
    </row>
    <row r="28" spans="1:12" x14ac:dyDescent="0.25">
      <c r="J28" s="242" t="s">
        <v>49</v>
      </c>
      <c r="K28" s="242"/>
      <c r="L28" s="242"/>
    </row>
    <row r="29" spans="1:12" x14ac:dyDescent="0.25">
      <c r="J29" s="2" t="s">
        <v>27</v>
      </c>
      <c r="K29" s="2" t="s">
        <v>28</v>
      </c>
      <c r="L29" s="2" t="s">
        <v>5</v>
      </c>
    </row>
    <row r="30" spans="1:12" x14ac:dyDescent="0.25">
      <c r="J30" s="3">
        <v>1</v>
      </c>
      <c r="K30" s="3" t="s">
        <v>56</v>
      </c>
      <c r="L30" s="3" t="s">
        <v>56</v>
      </c>
    </row>
    <row r="31" spans="1:12" x14ac:dyDescent="0.25">
      <c r="A31" s="241" t="s">
        <v>249</v>
      </c>
      <c r="B31" s="241"/>
      <c r="C31" s="241"/>
      <c r="J31">
        <v>2</v>
      </c>
      <c r="K31" t="s">
        <v>12</v>
      </c>
      <c r="L31" t="s">
        <v>12</v>
      </c>
    </row>
    <row r="32" spans="1:12" x14ac:dyDescent="0.25">
      <c r="A32" t="s">
        <v>27</v>
      </c>
      <c r="B32" t="s">
        <v>250</v>
      </c>
      <c r="C32" t="s">
        <v>5</v>
      </c>
      <c r="J32" s="3">
        <v>3</v>
      </c>
      <c r="K32" s="3" t="s">
        <v>57</v>
      </c>
      <c r="L32" s="3" t="s">
        <v>57</v>
      </c>
    </row>
    <row r="33" spans="1:12" x14ac:dyDescent="0.25">
      <c r="A33">
        <v>1</v>
      </c>
      <c r="B33" t="s">
        <v>229</v>
      </c>
      <c r="C33" t="s">
        <v>251</v>
      </c>
      <c r="J33">
        <v>4</v>
      </c>
      <c r="K33" t="s">
        <v>58</v>
      </c>
      <c r="L33" t="s">
        <v>58</v>
      </c>
    </row>
    <row r="34" spans="1:12" x14ac:dyDescent="0.25">
      <c r="A34">
        <v>2</v>
      </c>
      <c r="B34" t="s">
        <v>230</v>
      </c>
      <c r="C34" t="s">
        <v>252</v>
      </c>
      <c r="J34" s="3">
        <v>5</v>
      </c>
      <c r="K34" s="3" t="s">
        <v>59</v>
      </c>
      <c r="L34" s="3" t="s">
        <v>59</v>
      </c>
    </row>
    <row r="35" spans="1:12" x14ac:dyDescent="0.25">
      <c r="A35">
        <v>3</v>
      </c>
      <c r="B35" t="s">
        <v>231</v>
      </c>
      <c r="C35" t="s">
        <v>253</v>
      </c>
    </row>
    <row r="36" spans="1:12" x14ac:dyDescent="0.25">
      <c r="A36">
        <v>4</v>
      </c>
    </row>
    <row r="38" spans="1:12" x14ac:dyDescent="0.25">
      <c r="A38" s="241" t="s">
        <v>254</v>
      </c>
      <c r="B38" s="241"/>
      <c r="C38" s="241"/>
    </row>
    <row r="39" spans="1:12" x14ac:dyDescent="0.25">
      <c r="A39" t="s">
        <v>221</v>
      </c>
      <c r="B39" t="s">
        <v>255</v>
      </c>
      <c r="C39" t="s">
        <v>5</v>
      </c>
    </row>
    <row r="40" spans="1:12" x14ac:dyDescent="0.25">
      <c r="A40">
        <v>1</v>
      </c>
      <c r="B40" t="s">
        <v>222</v>
      </c>
      <c r="F40" s="241" t="s">
        <v>50</v>
      </c>
      <c r="G40" s="241"/>
      <c r="H40" s="241"/>
    </row>
    <row r="41" spans="1:12" x14ac:dyDescent="0.25">
      <c r="A41">
        <v>2</v>
      </c>
      <c r="B41" t="s">
        <v>223</v>
      </c>
      <c r="F41" t="s">
        <v>27</v>
      </c>
      <c r="G41" t="s">
        <v>28</v>
      </c>
      <c r="H41" t="s">
        <v>5</v>
      </c>
    </row>
    <row r="42" spans="1:12" x14ac:dyDescent="0.25">
      <c r="A42">
        <v>3</v>
      </c>
      <c r="B42" t="s">
        <v>224</v>
      </c>
      <c r="F42">
        <v>1</v>
      </c>
      <c r="G42" t="s">
        <v>29</v>
      </c>
      <c r="H42" t="s">
        <v>29</v>
      </c>
    </row>
    <row r="43" spans="1:12" x14ac:dyDescent="0.25">
      <c r="A43">
        <v>4</v>
      </c>
      <c r="B43" t="s">
        <v>225</v>
      </c>
      <c r="F43">
        <v>2</v>
      </c>
      <c r="G43" t="s">
        <v>10</v>
      </c>
      <c r="H43" t="s">
        <v>10</v>
      </c>
    </row>
    <row r="44" spans="1:12" x14ac:dyDescent="0.25">
      <c r="A44">
        <v>5</v>
      </c>
      <c r="B44" t="s">
        <v>226</v>
      </c>
      <c r="F44">
        <v>3</v>
      </c>
      <c r="G44" t="s">
        <v>11</v>
      </c>
      <c r="H44" t="s">
        <v>11</v>
      </c>
    </row>
    <row r="45" spans="1:12" x14ac:dyDescent="0.25">
      <c r="A45">
        <v>6</v>
      </c>
      <c r="B45" t="s">
        <v>227</v>
      </c>
      <c r="F45">
        <v>4</v>
      </c>
      <c r="G45" t="s">
        <v>60</v>
      </c>
      <c r="H45" t="s">
        <v>60</v>
      </c>
    </row>
    <row r="46" spans="1:12" x14ac:dyDescent="0.25">
      <c r="A46">
        <v>7</v>
      </c>
      <c r="B46" t="s">
        <v>228</v>
      </c>
      <c r="F46">
        <v>5</v>
      </c>
    </row>
    <row r="47" spans="1:12" x14ac:dyDescent="0.25">
      <c r="A47">
        <v>8</v>
      </c>
      <c r="F47">
        <v>6</v>
      </c>
    </row>
    <row r="48" spans="1:12" x14ac:dyDescent="0.25">
      <c r="A48">
        <v>9</v>
      </c>
      <c r="F48">
        <v>7</v>
      </c>
    </row>
    <row r="49" spans="1:9" x14ac:dyDescent="0.25">
      <c r="F49">
        <v>8</v>
      </c>
    </row>
    <row r="51" spans="1:9" x14ac:dyDescent="0.25">
      <c r="A51" s="241" t="s">
        <v>589</v>
      </c>
      <c r="B51" s="241"/>
      <c r="E51" s="241" t="s">
        <v>588</v>
      </c>
      <c r="F51" s="241"/>
      <c r="H51" s="241" t="s">
        <v>658</v>
      </c>
      <c r="I51" s="241"/>
    </row>
    <row r="52" spans="1:9" x14ac:dyDescent="0.25">
      <c r="A52" t="s">
        <v>27</v>
      </c>
      <c r="B52" t="s">
        <v>31</v>
      </c>
      <c r="E52" t="s">
        <v>27</v>
      </c>
      <c r="F52" t="s">
        <v>585</v>
      </c>
      <c r="H52" t="s">
        <v>27</v>
      </c>
      <c r="I52" t="s">
        <v>585</v>
      </c>
    </row>
    <row r="53" spans="1:9" x14ac:dyDescent="0.25">
      <c r="A53">
        <v>1</v>
      </c>
      <c r="B53" t="s">
        <v>6</v>
      </c>
      <c r="E53">
        <v>1</v>
      </c>
      <c r="F53" t="s">
        <v>587</v>
      </c>
      <c r="H53">
        <v>1</v>
      </c>
      <c r="I53" t="s">
        <v>660</v>
      </c>
    </row>
    <row r="54" spans="1:9" x14ac:dyDescent="0.25">
      <c r="A54">
        <v>2</v>
      </c>
      <c r="B54" t="s">
        <v>7</v>
      </c>
      <c r="E54">
        <v>2</v>
      </c>
      <c r="F54" t="s">
        <v>586</v>
      </c>
      <c r="H54">
        <v>2</v>
      </c>
      <c r="I54" t="s">
        <v>661</v>
      </c>
    </row>
    <row r="55" spans="1:9" x14ac:dyDescent="0.25">
      <c r="E55">
        <v>3</v>
      </c>
      <c r="F55" t="s">
        <v>590</v>
      </c>
      <c r="H55">
        <v>3</v>
      </c>
      <c r="I55" t="s">
        <v>659</v>
      </c>
    </row>
    <row r="56" spans="1:9" x14ac:dyDescent="0.25">
      <c r="A56" t="s">
        <v>221</v>
      </c>
      <c r="B56" t="s">
        <v>255</v>
      </c>
      <c r="C56" t="s">
        <v>5</v>
      </c>
    </row>
    <row r="57" spans="1:9" x14ac:dyDescent="0.25">
      <c r="A57">
        <v>1</v>
      </c>
    </row>
    <row r="58" spans="1:9" x14ac:dyDescent="0.25">
      <c r="A58">
        <v>2</v>
      </c>
    </row>
    <row r="59" spans="1:9" x14ac:dyDescent="0.25">
      <c r="A59">
        <v>3</v>
      </c>
    </row>
    <row r="60" spans="1:9" x14ac:dyDescent="0.25">
      <c r="A60">
        <v>4</v>
      </c>
    </row>
    <row r="61" spans="1:9" x14ac:dyDescent="0.25">
      <c r="A61">
        <v>5</v>
      </c>
    </row>
    <row r="62" spans="1:9" x14ac:dyDescent="0.25">
      <c r="A62">
        <v>6</v>
      </c>
    </row>
    <row r="63" spans="1:9" x14ac:dyDescent="0.25">
      <c r="A63">
        <v>7</v>
      </c>
    </row>
    <row r="64" spans="1:9" x14ac:dyDescent="0.25">
      <c r="A64">
        <v>8</v>
      </c>
    </row>
    <row r="65" spans="1:23" x14ac:dyDescent="0.25">
      <c r="A65">
        <v>9</v>
      </c>
    </row>
    <row r="68" spans="1:23" x14ac:dyDescent="0.25">
      <c r="A68" t="s">
        <v>221</v>
      </c>
      <c r="B68" t="s">
        <v>304</v>
      </c>
      <c r="C68" t="s">
        <v>5</v>
      </c>
      <c r="E68" t="s">
        <v>221</v>
      </c>
      <c r="F68" t="s">
        <v>298</v>
      </c>
      <c r="G68" t="s">
        <v>5</v>
      </c>
      <c r="I68" t="s">
        <v>221</v>
      </c>
      <c r="J68" t="s">
        <v>299</v>
      </c>
      <c r="K68" t="s">
        <v>5</v>
      </c>
      <c r="M68" t="s">
        <v>221</v>
      </c>
      <c r="N68" t="s">
        <v>300</v>
      </c>
      <c r="O68" t="s">
        <v>5</v>
      </c>
      <c r="Q68" t="s">
        <v>221</v>
      </c>
      <c r="R68" t="s">
        <v>301</v>
      </c>
      <c r="S68" t="s">
        <v>5</v>
      </c>
      <c r="U68" t="s">
        <v>221</v>
      </c>
      <c r="V68" t="s">
        <v>305</v>
      </c>
      <c r="W68" t="s">
        <v>5</v>
      </c>
    </row>
    <row r="69" spans="1:23" x14ac:dyDescent="0.25">
      <c r="A69">
        <v>1</v>
      </c>
      <c r="B69" t="s">
        <v>306</v>
      </c>
      <c r="E69">
        <v>1</v>
      </c>
      <c r="F69" t="s">
        <v>289</v>
      </c>
      <c r="I69">
        <v>1</v>
      </c>
      <c r="J69" t="s">
        <v>291</v>
      </c>
      <c r="M69">
        <v>1</v>
      </c>
      <c r="N69" t="s">
        <v>293</v>
      </c>
      <c r="Q69">
        <v>1</v>
      </c>
      <c r="R69" t="s">
        <v>295</v>
      </c>
      <c r="U69">
        <v>1</v>
      </c>
      <c r="V69" t="s">
        <v>289</v>
      </c>
    </row>
    <row r="70" spans="1:23" x14ac:dyDescent="0.25">
      <c r="A70">
        <v>2</v>
      </c>
      <c r="B70" t="s">
        <v>309</v>
      </c>
      <c r="E70">
        <v>2</v>
      </c>
      <c r="F70" t="s">
        <v>290</v>
      </c>
      <c r="I70">
        <v>2</v>
      </c>
      <c r="J70" t="s">
        <v>292</v>
      </c>
      <c r="M70">
        <v>2</v>
      </c>
      <c r="N70" t="s">
        <v>294</v>
      </c>
      <c r="Q70">
        <v>2</v>
      </c>
      <c r="R70" t="s">
        <v>296</v>
      </c>
      <c r="U70">
        <v>2</v>
      </c>
      <c r="V70" t="s">
        <v>290</v>
      </c>
    </row>
    <row r="71" spans="1:23" x14ac:dyDescent="0.25">
      <c r="A71">
        <v>3</v>
      </c>
      <c r="B71" t="s">
        <v>307</v>
      </c>
      <c r="E71">
        <v>3</v>
      </c>
      <c r="I71">
        <v>3</v>
      </c>
      <c r="M71">
        <v>3</v>
      </c>
      <c r="Q71">
        <v>3</v>
      </c>
      <c r="R71" t="s">
        <v>297</v>
      </c>
      <c r="U71">
        <v>3</v>
      </c>
      <c r="V71" t="s">
        <v>291</v>
      </c>
    </row>
    <row r="72" spans="1:23" x14ac:dyDescent="0.25">
      <c r="A72">
        <v>4</v>
      </c>
      <c r="B72" t="s">
        <v>308</v>
      </c>
      <c r="E72">
        <v>4</v>
      </c>
      <c r="I72">
        <v>4</v>
      </c>
      <c r="M72">
        <v>4</v>
      </c>
      <c r="Q72">
        <v>4</v>
      </c>
      <c r="U72">
        <v>4</v>
      </c>
      <c r="V72" t="s">
        <v>292</v>
      </c>
    </row>
    <row r="73" spans="1:23" x14ac:dyDescent="0.25">
      <c r="A73">
        <v>5</v>
      </c>
      <c r="B73" t="s">
        <v>310</v>
      </c>
      <c r="E73">
        <v>5</v>
      </c>
      <c r="I73">
        <v>5</v>
      </c>
      <c r="M73">
        <v>5</v>
      </c>
      <c r="Q73">
        <v>5</v>
      </c>
      <c r="U73">
        <v>5</v>
      </c>
      <c r="V73" t="s">
        <v>293</v>
      </c>
    </row>
    <row r="74" spans="1:23" x14ac:dyDescent="0.25">
      <c r="A74">
        <v>6</v>
      </c>
      <c r="E74">
        <v>6</v>
      </c>
      <c r="I74">
        <v>6</v>
      </c>
      <c r="M74">
        <v>6</v>
      </c>
      <c r="Q74">
        <v>6</v>
      </c>
      <c r="U74">
        <v>6</v>
      </c>
      <c r="V74" t="s">
        <v>294</v>
      </c>
    </row>
    <row r="75" spans="1:23" x14ac:dyDescent="0.25">
      <c r="A75">
        <v>7</v>
      </c>
      <c r="E75">
        <v>7</v>
      </c>
      <c r="I75">
        <v>7</v>
      </c>
      <c r="M75">
        <v>7</v>
      </c>
      <c r="Q75">
        <v>7</v>
      </c>
      <c r="U75">
        <v>7</v>
      </c>
      <c r="V75" t="s">
        <v>295</v>
      </c>
    </row>
    <row r="76" spans="1:23" x14ac:dyDescent="0.25">
      <c r="A76">
        <v>8</v>
      </c>
      <c r="E76">
        <v>8</v>
      </c>
      <c r="I76">
        <v>8</v>
      </c>
      <c r="M76">
        <v>8</v>
      </c>
      <c r="Q76">
        <v>8</v>
      </c>
      <c r="U76">
        <v>8</v>
      </c>
      <c r="V76" t="s">
        <v>296</v>
      </c>
    </row>
    <row r="77" spans="1:23" x14ac:dyDescent="0.25">
      <c r="A77">
        <v>9</v>
      </c>
      <c r="E77">
        <v>9</v>
      </c>
      <c r="I77">
        <v>9</v>
      </c>
      <c r="M77">
        <v>9</v>
      </c>
      <c r="Q77">
        <v>9</v>
      </c>
      <c r="U77">
        <v>9</v>
      </c>
      <c r="V77" t="s">
        <v>297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221</v>
      </c>
      <c r="B88" t="s">
        <v>331</v>
      </c>
      <c r="C88" t="s">
        <v>5</v>
      </c>
    </row>
    <row r="89" spans="1:21" x14ac:dyDescent="0.25">
      <c r="A89">
        <v>1</v>
      </c>
      <c r="B89" t="s">
        <v>328</v>
      </c>
      <c r="C89" t="s">
        <v>332</v>
      </c>
    </row>
    <row r="90" spans="1:21" ht="135" x14ac:dyDescent="0.25">
      <c r="A90">
        <v>2</v>
      </c>
      <c r="B90" t="s">
        <v>334</v>
      </c>
      <c r="C90" s="1" t="s">
        <v>333</v>
      </c>
    </row>
    <row r="91" spans="1:21" ht="75" x14ac:dyDescent="0.25">
      <c r="A91">
        <v>3</v>
      </c>
      <c r="B91" t="s">
        <v>329</v>
      </c>
      <c r="C91" s="1" t="s">
        <v>335</v>
      </c>
    </row>
    <row r="92" spans="1:21" x14ac:dyDescent="0.25">
      <c r="A92">
        <v>4</v>
      </c>
    </row>
    <row r="93" spans="1:21" x14ac:dyDescent="0.25">
      <c r="A93">
        <v>5</v>
      </c>
    </row>
    <row r="94" spans="1:21" x14ac:dyDescent="0.25">
      <c r="A94">
        <v>6</v>
      </c>
    </row>
    <row r="95" spans="1:21" x14ac:dyDescent="0.25">
      <c r="A95">
        <v>7</v>
      </c>
    </row>
    <row r="96" spans="1:21" x14ac:dyDescent="0.25">
      <c r="A96">
        <v>8</v>
      </c>
    </row>
    <row r="120" spans="1:3" x14ac:dyDescent="0.25">
      <c r="A120" t="s">
        <v>221</v>
      </c>
      <c r="B120" t="s">
        <v>331</v>
      </c>
      <c r="C120" t="s">
        <v>5</v>
      </c>
    </row>
    <row r="121" spans="1:3" x14ac:dyDescent="0.25">
      <c r="A121">
        <v>1</v>
      </c>
      <c r="B121" s="246" t="s">
        <v>630</v>
      </c>
      <c r="C121" t="s">
        <v>332</v>
      </c>
    </row>
    <row r="122" spans="1:3" ht="135" x14ac:dyDescent="0.25">
      <c r="A122">
        <v>2</v>
      </c>
      <c r="B122" s="246" t="s">
        <v>631</v>
      </c>
      <c r="C122" s="1" t="s">
        <v>333</v>
      </c>
    </row>
    <row r="123" spans="1:3" ht="75" x14ac:dyDescent="0.25">
      <c r="A123">
        <v>3</v>
      </c>
      <c r="B123" s="246" t="s">
        <v>632</v>
      </c>
      <c r="C123" s="1" t="s">
        <v>335</v>
      </c>
    </row>
    <row r="124" spans="1:3" x14ac:dyDescent="0.25">
      <c r="A124">
        <v>4</v>
      </c>
      <c r="B124" s="246" t="s">
        <v>633</v>
      </c>
    </row>
    <row r="125" spans="1:3" x14ac:dyDescent="0.25">
      <c r="A125">
        <v>5</v>
      </c>
      <c r="B125" s="246" t="s">
        <v>634</v>
      </c>
    </row>
    <row r="126" spans="1:3" x14ac:dyDescent="0.25">
      <c r="A126">
        <v>6</v>
      </c>
      <c r="B126" s="246" t="s">
        <v>640</v>
      </c>
    </row>
    <row r="127" spans="1:3" x14ac:dyDescent="0.25">
      <c r="A127">
        <v>7</v>
      </c>
      <c r="B127" s="246" t="s">
        <v>641</v>
      </c>
    </row>
    <row r="128" spans="1:3" x14ac:dyDescent="0.25">
      <c r="A128">
        <v>8</v>
      </c>
      <c r="B128" s="246" t="s">
        <v>642</v>
      </c>
    </row>
    <row r="129" spans="1:2" x14ac:dyDescent="0.25">
      <c r="A129">
        <v>9</v>
      </c>
      <c r="B129" s="246" t="s">
        <v>643</v>
      </c>
    </row>
    <row r="130" spans="1:2" x14ac:dyDescent="0.25">
      <c r="A130">
        <v>10</v>
      </c>
      <c r="B130" s="246" t="s">
        <v>644</v>
      </c>
    </row>
    <row r="131" spans="1:2" x14ac:dyDescent="0.25">
      <c r="A131">
        <v>11</v>
      </c>
      <c r="B131" s="246" t="s">
        <v>645</v>
      </c>
    </row>
    <row r="132" spans="1:2" x14ac:dyDescent="0.25">
      <c r="A132">
        <v>12</v>
      </c>
      <c r="B132" s="246" t="s">
        <v>646</v>
      </c>
    </row>
    <row r="133" spans="1:2" x14ac:dyDescent="0.25">
      <c r="A133">
        <v>13</v>
      </c>
      <c r="B133" s="246" t="s">
        <v>647</v>
      </c>
    </row>
    <row r="134" spans="1:2" x14ac:dyDescent="0.25">
      <c r="A134">
        <v>14</v>
      </c>
      <c r="B134" s="246" t="s">
        <v>648</v>
      </c>
    </row>
  </sheetData>
  <mergeCells count="12">
    <mergeCell ref="A51:B51"/>
    <mergeCell ref="E1:G1"/>
    <mergeCell ref="F40:H40"/>
    <mergeCell ref="J28:L28"/>
    <mergeCell ref="A1:C1"/>
    <mergeCell ref="A38:C38"/>
    <mergeCell ref="A31:C31"/>
    <mergeCell ref="A9:C9"/>
    <mergeCell ref="E10:G10"/>
    <mergeCell ref="A20:C20"/>
    <mergeCell ref="E51:F51"/>
    <mergeCell ref="H51:I51"/>
  </mergeCells>
  <phoneticPr fontId="2" type="noConversion"/>
  <pageMargins left="0.7" right="0.7" top="0.78740157499999996" bottom="0.78740157499999996" header="0.3" footer="0.3"/>
  <pageSetup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0_ReadMe</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5_1_Scenario_Manager</vt:lpstr>
      <vt:lpstr>4_1_Uncertainty_Parameters</vt:lpstr>
      <vt:lpstr>6_1_Visualization_Processes</vt:lpstr>
      <vt:lpstr>6_2_Visualization_Flows</vt:lpstr>
      <vt:lpstr>6_3_Layout_Configuration</vt:lpstr>
      <vt:lpstr>6_4_CL_Visualisation</vt:lpstr>
      <vt:lpstr>PX - Template</vt:lpstr>
      <vt:lpstr>4_1 Codelists</vt:lpstr>
      <vt:lpstr>List_DSM_Parameters</vt:lpstr>
      <vt:lpstr>List_Flow_Parameters</vt:lpstr>
      <vt:lpstr>List_FOMP_Parameters</vt:lpstr>
      <vt:lpstr>List_Initial_Stock_Parameters</vt:lpstr>
      <vt:lpstr>List_Transfer_Coefficients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2025-10-10T09:48:18Z</dcterms:modified>
</cp:coreProperties>
</file>