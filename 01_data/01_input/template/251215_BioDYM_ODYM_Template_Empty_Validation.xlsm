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comments2.xml" ContentType="application/vnd.openxmlformats-officedocument.spreadsheetml.comments+xml"/>
  <Override PartName="/xl/tables/table10.xml" ContentType="application/vnd.openxmlformats-officedocument.spreadsheetml.table+xml"/>
  <Override PartName="/xl/comments3.xml" ContentType="application/vnd.openxmlformats-officedocument.spreadsheetml.comments+xml"/>
  <Override PartName="/xl/tables/table11.xml" ContentType="application/vnd.openxmlformats-officedocument.spreadsheetml.table+xml"/>
  <Override PartName="/xl/comments4.xml" ContentType="application/vnd.openxmlformats-officedocument.spreadsheetml.comments+xml"/>
  <Override PartName="/xl/tables/table12.xml" ContentType="application/vnd.openxmlformats-officedocument.spreadsheetml.table+xml"/>
  <Override PartName="/xl/comments5.xml" ContentType="application/vnd.openxmlformats-officedocument.spreadsheetml.comments+xml"/>
  <Override PartName="/xl/tables/table13.xml" ContentType="application/vnd.openxmlformats-officedocument.spreadsheetml.table+xml"/>
  <Override PartName="/xl/comments6.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comments7.xml" ContentType="application/vnd.openxmlformats-officedocument.spreadsheetml.comments+xml"/>
  <Override PartName="/xl/tables/table16.xml" ContentType="application/vnd.openxmlformats-officedocument.spreadsheetml.table+xml"/>
  <Override PartName="/xl/tables/table17.xml" ContentType="application/vnd.openxmlformats-officedocument.spreadsheetml.table+xml"/>
  <Override PartName="/xl/comments8.xml" ContentType="application/vnd.openxmlformats-officedocument.spreadsheetml.comments+xml"/>
  <Override PartName="/xl/tables/table18.xml" ContentType="application/vnd.openxmlformats-officedocument.spreadsheetml.table+xml"/>
  <Override PartName="/xl/comments9.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comments10.xml" ContentType="application/vnd.openxmlformats-officedocument.spreadsheetml.comments+xml"/>
  <Override PartName="/xl/tables/table21.xml" ContentType="application/vnd.openxmlformats-officedocument.spreadsheetml.table+xml"/>
  <Override PartName="/xl/comments11.xml" ContentType="application/vnd.openxmlformats-officedocument.spreadsheetml.comments+xml"/>
  <Override PartName="/xl/tables/table22.xml" ContentType="application/vnd.openxmlformats-officedocument.spreadsheetml.table+xml"/>
  <Override PartName="/xl/comments12.xml" ContentType="application/vnd.openxmlformats-officedocument.spreadsheetml.comments+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template\"/>
    </mc:Choice>
  </mc:AlternateContent>
  <xr:revisionPtr revIDLastSave="0" documentId="13_ncr:11_{90A6C8D1-838E-4C54-BFAD-8BC416C1B04F}" xr6:coauthVersionLast="47" xr6:coauthVersionMax="47" xr10:uidLastSave="{00000000-0000-0000-0000-000000000000}"/>
  <bookViews>
    <workbookView xWindow="-120" yWindow="-120" windowWidth="38640" windowHeight="21120" tabRatio="840" activeTab="6" xr2:uid="{00000000-000D-0000-FFFF-FFFF00000000}"/>
  </bookViews>
  <sheets>
    <sheet name="BioDYM_README" sheetId="55" r:id="rId1"/>
    <sheet name="0_Configuration" sheetId="40" r:id="rId2"/>
    <sheet name="1_1_Definition_Flows" sheetId="15" r:id="rId3"/>
    <sheet name="1_2_Data_Flows" sheetId="2" r:id="rId4"/>
    <sheet name="2_1_Definition_Processes" sheetId="16" r:id="rId5"/>
    <sheet name="2_2_static_TCs" sheetId="39" r:id="rId6"/>
    <sheet name="2_3_dynamic_TCs" sheetId="33" r:id="rId7"/>
    <sheet name="2_4_Initial_Stock" sheetId="21" r:id="rId8"/>
    <sheet name="3_1_Definition_DSM" sheetId="35" r:id="rId9"/>
    <sheet name="3_2_Definition_FOMP" sheetId="37" r:id="rId10"/>
    <sheet name="4_1_Uncertainty_Parameters" sheetId="38" r:id="rId11"/>
    <sheet name="5_1_Scenario_Manager" sheetId="42" r:id="rId12"/>
    <sheet name="6_1_Reference_Manager" sheetId="56" r:id="rId13"/>
    <sheet name="7_2_Codelists" sheetId="17" r:id="rId14"/>
  </sheets>
  <functionGroups builtInGroupCount="19"/>
  <definedNames>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6">Tab_Process_TCs2527[]</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04" i="2" l="1"/>
  <c r="L305" i="2"/>
  <c r="L306" i="2"/>
  <c r="L307" i="2"/>
  <c r="L308" i="2"/>
  <c r="L309" i="2"/>
  <c r="L310" i="2"/>
  <c r="L311" i="2"/>
  <c r="L312" i="2"/>
  <c r="L313" i="2"/>
  <c r="L314" i="2"/>
  <c r="L315" i="2"/>
  <c r="L316" i="2"/>
  <c r="L317" i="2"/>
  <c r="L318" i="2"/>
  <c r="L319" i="2"/>
  <c r="L320" i="2"/>
  <c r="L321" i="2"/>
  <c r="L322" i="2"/>
  <c r="L323" i="2"/>
  <c r="L324" i="2"/>
  <c r="L325" i="2"/>
  <c r="L326" i="2"/>
  <c r="L327" i="2"/>
  <c r="L328" i="2"/>
  <c r="L329" i="2"/>
  <c r="L330" i="2"/>
  <c r="L331" i="2"/>
  <c r="L332" i="2"/>
  <c r="L333" i="2"/>
  <c r="L334" i="2"/>
  <c r="L335" i="2"/>
  <c r="L336" i="2"/>
  <c r="L337" i="2"/>
  <c r="L338" i="2"/>
  <c r="L339" i="2"/>
  <c r="L340" i="2"/>
  <c r="L341" i="2"/>
  <c r="L342" i="2"/>
  <c r="L343" i="2"/>
  <c r="L344" i="2"/>
  <c r="L345" i="2"/>
  <c r="L346" i="2"/>
  <c r="L347" i="2"/>
  <c r="L348" i="2"/>
  <c r="L349" i="2"/>
  <c r="L350" i="2"/>
  <c r="C3" i="56"/>
  <c r="C4" i="56"/>
  <c r="C5" i="56"/>
  <c r="C6" i="56"/>
  <c r="C7" i="56"/>
  <c r="C8" i="56"/>
  <c r="C9" i="56"/>
  <c r="C10" i="56"/>
  <c r="C11" i="56"/>
  <c r="C12" i="56"/>
  <c r="C13" i="56"/>
  <c r="C14" i="56"/>
  <c r="C15" i="56"/>
  <c r="C16" i="56"/>
  <c r="C17" i="56"/>
  <c r="C18" i="56"/>
  <c r="C19" i="56"/>
  <c r="C20" i="56"/>
  <c r="C21" i="56"/>
  <c r="C22" i="56"/>
  <c r="C23" i="56"/>
  <c r="C24" i="56"/>
  <c r="C25" i="56"/>
  <c r="C26" i="56"/>
  <c r="C27" i="56"/>
  <c r="C28" i="56"/>
  <c r="C29" i="56"/>
  <c r="C30" i="56"/>
  <c r="C31" i="56"/>
  <c r="C32" i="56"/>
  <c r="C33" i="56"/>
  <c r="C34" i="56"/>
  <c r="C35" i="56"/>
  <c r="C36" i="56"/>
  <c r="C37" i="56"/>
  <c r="C38" i="56"/>
  <c r="C39" i="56"/>
  <c r="C40" i="56"/>
  <c r="C41" i="56"/>
  <c r="C42" i="56"/>
  <c r="C43" i="56"/>
  <c r="C44" i="56"/>
  <c r="C45" i="56"/>
  <c r="C46" i="56"/>
  <c r="C47" i="56"/>
  <c r="C48" i="56"/>
  <c r="C49" i="56"/>
  <c r="C2" i="56"/>
  <c r="B3" i="56"/>
  <c r="B4" i="56"/>
  <c r="B5" i="56"/>
  <c r="B6" i="56"/>
  <c r="B7" i="56"/>
  <c r="B8" i="56"/>
  <c r="B9" i="56"/>
  <c r="B10" i="56"/>
  <c r="B11" i="56"/>
  <c r="B12" i="56"/>
  <c r="B13" i="56"/>
  <c r="B14" i="56"/>
  <c r="B15" i="56"/>
  <c r="B16" i="56"/>
  <c r="B17" i="56"/>
  <c r="B18" i="56"/>
  <c r="B19" i="56"/>
  <c r="B20" i="56"/>
  <c r="B21" i="56"/>
  <c r="B22" i="56"/>
  <c r="B23" i="56"/>
  <c r="B24" i="56"/>
  <c r="B25" i="56"/>
  <c r="B26" i="56"/>
  <c r="B27" i="56"/>
  <c r="B28" i="56"/>
  <c r="B29" i="56"/>
  <c r="B30" i="56"/>
  <c r="B31" i="56"/>
  <c r="B32" i="56"/>
  <c r="B33" i="56"/>
  <c r="B34" i="56"/>
  <c r="B35" i="56"/>
  <c r="B36" i="56"/>
  <c r="B37" i="56"/>
  <c r="B38" i="56"/>
  <c r="B39" i="56"/>
  <c r="B40" i="56"/>
  <c r="B41" i="56"/>
  <c r="B42" i="56"/>
  <c r="B43" i="56"/>
  <c r="B44" i="56"/>
  <c r="B45" i="56"/>
  <c r="B46" i="56"/>
  <c r="B47" i="56"/>
  <c r="B48" i="56"/>
  <c r="B49" i="56"/>
  <c r="B2" i="56"/>
  <c r="AG3" i="2" l="1"/>
  <c r="AG4" i="2"/>
  <c r="AG5" i="2"/>
  <c r="AG6" i="2"/>
  <c r="AG7" i="2"/>
  <c r="AG8" i="2"/>
  <c r="AG9" i="2"/>
  <c r="AG10" i="2"/>
  <c r="AG11" i="2"/>
  <c r="AG12" i="2"/>
  <c r="AG13" i="2"/>
  <c r="AG14" i="2"/>
  <c r="AG15" i="2"/>
  <c r="AG16" i="2"/>
  <c r="AG17" i="2"/>
  <c r="AG18" i="2"/>
  <c r="AG19" i="2"/>
  <c r="AG20" i="2"/>
  <c r="AG21" i="2"/>
  <c r="AG22" i="2"/>
  <c r="AG23" i="2"/>
  <c r="AG24" i="2"/>
  <c r="AG25" i="2"/>
  <c r="AG26" i="2"/>
  <c r="AG27" i="2"/>
  <c r="AG28" i="2"/>
  <c r="AG29" i="2"/>
  <c r="AG30" i="2"/>
  <c r="AG31" i="2"/>
  <c r="AG32" i="2"/>
  <c r="AG33" i="2"/>
  <c r="AG34" i="2"/>
  <c r="AG35" i="2"/>
  <c r="AG36" i="2"/>
  <c r="AG37" i="2"/>
  <c r="AG38" i="2"/>
  <c r="AG39" i="2"/>
  <c r="AG40" i="2"/>
  <c r="AG41" i="2"/>
  <c r="AG42" i="2"/>
  <c r="AG43" i="2"/>
  <c r="AG44" i="2"/>
  <c r="AG45" i="2"/>
  <c r="AG46" i="2"/>
  <c r="AG47" i="2"/>
  <c r="AG48" i="2"/>
  <c r="AG49" i="2"/>
  <c r="AG50" i="2"/>
  <c r="AG51" i="2"/>
  <c r="AG52" i="2"/>
  <c r="AG53" i="2"/>
  <c r="AG54" i="2"/>
  <c r="AG55" i="2"/>
  <c r="AG56" i="2"/>
  <c r="AG57" i="2"/>
  <c r="AG58" i="2"/>
  <c r="AG59" i="2"/>
  <c r="AG60" i="2"/>
  <c r="AG61" i="2"/>
  <c r="AG62" i="2"/>
  <c r="AG63" i="2"/>
  <c r="AG64" i="2"/>
  <c r="AG65" i="2"/>
  <c r="AG66" i="2"/>
  <c r="AG67" i="2"/>
  <c r="AG68" i="2"/>
  <c r="AG69" i="2"/>
  <c r="AG70" i="2"/>
  <c r="AG71" i="2"/>
  <c r="AG72" i="2"/>
  <c r="AG73" i="2"/>
  <c r="AG74" i="2"/>
  <c r="AG75" i="2"/>
  <c r="AG76" i="2"/>
  <c r="AG77" i="2"/>
  <c r="AG78" i="2"/>
  <c r="AG79" i="2"/>
  <c r="AG80" i="2"/>
  <c r="AG81" i="2"/>
  <c r="AG82" i="2"/>
  <c r="AG83" i="2"/>
  <c r="AG84" i="2"/>
  <c r="AG85" i="2"/>
  <c r="AG86" i="2"/>
  <c r="AG87" i="2"/>
  <c r="AG88" i="2"/>
  <c r="AG89" i="2"/>
  <c r="AG90" i="2"/>
  <c r="AG91" i="2"/>
  <c r="AG92" i="2"/>
  <c r="AG93" i="2"/>
  <c r="AG94" i="2"/>
  <c r="AG95" i="2"/>
  <c r="AG96" i="2"/>
  <c r="AG97" i="2"/>
  <c r="AG98" i="2"/>
  <c r="AG99" i="2"/>
  <c r="AG100" i="2"/>
  <c r="AG101" i="2"/>
  <c r="AG102" i="2"/>
  <c r="AG103" i="2"/>
  <c r="AG104" i="2"/>
  <c r="AG105" i="2"/>
  <c r="AG106" i="2"/>
  <c r="AG107" i="2"/>
  <c r="AG108" i="2"/>
  <c r="AG109" i="2"/>
  <c r="AG110" i="2"/>
  <c r="AG111" i="2"/>
  <c r="AG112" i="2"/>
  <c r="AG113" i="2"/>
  <c r="AG114" i="2"/>
  <c r="AG115" i="2"/>
  <c r="AG116" i="2"/>
  <c r="AG117" i="2"/>
  <c r="AG118" i="2"/>
  <c r="AG119" i="2"/>
  <c r="AG120" i="2"/>
  <c r="AG121" i="2"/>
  <c r="AG122" i="2"/>
  <c r="AG123" i="2"/>
  <c r="AG124" i="2"/>
  <c r="AG125" i="2"/>
  <c r="AG126" i="2"/>
  <c r="AG127" i="2"/>
  <c r="AG128" i="2"/>
  <c r="AG129" i="2"/>
  <c r="AG130" i="2"/>
  <c r="AG131" i="2"/>
  <c r="AG132" i="2"/>
  <c r="AG133" i="2"/>
  <c r="AG134" i="2"/>
  <c r="AG135" i="2"/>
  <c r="AG136" i="2"/>
  <c r="AG137" i="2"/>
  <c r="AG138" i="2"/>
  <c r="AG139" i="2"/>
  <c r="AG140" i="2"/>
  <c r="AG141" i="2"/>
  <c r="AG142" i="2"/>
  <c r="AG143" i="2"/>
  <c r="AG144" i="2"/>
  <c r="AG145" i="2"/>
  <c r="AG146" i="2"/>
  <c r="AG147" i="2"/>
  <c r="AG148" i="2"/>
  <c r="AG149" i="2"/>
  <c r="AG150" i="2"/>
  <c r="AG151" i="2"/>
  <c r="AG152" i="2"/>
  <c r="AG153" i="2"/>
  <c r="AG154" i="2"/>
  <c r="AG155" i="2"/>
  <c r="AG156" i="2"/>
  <c r="AG157" i="2"/>
  <c r="AG158" i="2"/>
  <c r="AG159" i="2"/>
  <c r="AG160" i="2"/>
  <c r="AG161" i="2"/>
  <c r="AG162" i="2"/>
  <c r="AG163" i="2"/>
  <c r="AG164" i="2"/>
  <c r="AG165" i="2"/>
  <c r="AG166" i="2"/>
  <c r="AG167" i="2"/>
  <c r="AG168" i="2"/>
  <c r="AG169" i="2"/>
  <c r="AG170" i="2"/>
  <c r="AG171" i="2"/>
  <c r="AG172" i="2"/>
  <c r="AG173" i="2"/>
  <c r="AG174" i="2"/>
  <c r="AG175" i="2"/>
  <c r="AG176" i="2"/>
  <c r="AG177" i="2"/>
  <c r="AG178" i="2"/>
  <c r="AG179" i="2"/>
  <c r="AG180" i="2"/>
  <c r="AG181" i="2"/>
  <c r="AG182" i="2"/>
  <c r="AG183" i="2"/>
  <c r="AG184" i="2"/>
  <c r="AG185" i="2"/>
  <c r="AG186" i="2"/>
  <c r="AG187" i="2"/>
  <c r="AG188" i="2"/>
  <c r="AG189" i="2"/>
  <c r="AG190" i="2"/>
  <c r="AG191" i="2"/>
  <c r="AG192" i="2"/>
  <c r="AG193" i="2"/>
  <c r="AG194" i="2"/>
  <c r="AG195" i="2"/>
  <c r="AG196" i="2"/>
  <c r="AG197" i="2"/>
  <c r="AG198" i="2"/>
  <c r="AG199" i="2"/>
  <c r="AG200" i="2"/>
  <c r="AG201" i="2"/>
  <c r="AG202" i="2"/>
  <c r="AG203" i="2"/>
  <c r="AG204" i="2"/>
  <c r="AG205" i="2"/>
  <c r="AG206" i="2"/>
  <c r="AG207" i="2"/>
  <c r="AG208" i="2"/>
  <c r="AG209" i="2"/>
  <c r="AG210" i="2"/>
  <c r="AG211" i="2"/>
  <c r="AG212" i="2"/>
  <c r="AG213" i="2"/>
  <c r="AG214" i="2"/>
  <c r="AG215" i="2"/>
  <c r="AG216" i="2"/>
  <c r="AG217" i="2"/>
  <c r="AG218" i="2"/>
  <c r="AG219" i="2"/>
  <c r="AG220" i="2"/>
  <c r="AG221" i="2"/>
  <c r="AG222" i="2"/>
  <c r="AG223" i="2"/>
  <c r="AG224" i="2"/>
  <c r="AG225" i="2"/>
  <c r="AG226" i="2"/>
  <c r="AG227" i="2"/>
  <c r="AG228" i="2"/>
  <c r="AG229" i="2"/>
  <c r="AG230" i="2"/>
  <c r="AG231" i="2"/>
  <c r="AG232" i="2"/>
  <c r="AG233" i="2"/>
  <c r="AG234" i="2"/>
  <c r="AG235" i="2"/>
  <c r="AG236" i="2"/>
  <c r="AG237" i="2"/>
  <c r="AG238" i="2"/>
  <c r="AG239" i="2"/>
  <c r="AG240" i="2"/>
  <c r="AG241" i="2"/>
  <c r="AG242" i="2"/>
  <c r="AG243" i="2"/>
  <c r="AG244" i="2"/>
  <c r="AG245" i="2"/>
  <c r="AG246" i="2"/>
  <c r="AG247" i="2"/>
  <c r="AG248" i="2"/>
  <c r="AG249" i="2"/>
  <c r="AG250" i="2"/>
  <c r="AG251" i="2"/>
  <c r="AG252" i="2"/>
  <c r="AG253" i="2"/>
  <c r="AG254" i="2"/>
  <c r="AG255" i="2"/>
  <c r="AG256" i="2"/>
  <c r="AG257" i="2"/>
  <c r="AG258" i="2"/>
  <c r="AG259" i="2"/>
  <c r="AG260" i="2"/>
  <c r="AG261" i="2"/>
  <c r="AG262" i="2"/>
  <c r="AG263" i="2"/>
  <c r="AG264" i="2"/>
  <c r="AG265" i="2"/>
  <c r="AG266" i="2"/>
  <c r="AG267" i="2"/>
  <c r="AG268" i="2"/>
  <c r="AG269" i="2"/>
  <c r="AG270" i="2"/>
  <c r="AG271" i="2"/>
  <c r="AG272" i="2"/>
  <c r="AG273" i="2"/>
  <c r="AG274" i="2"/>
  <c r="AG275" i="2"/>
  <c r="AG276" i="2"/>
  <c r="AG277" i="2"/>
  <c r="AG278" i="2"/>
  <c r="AG279" i="2"/>
  <c r="AG280" i="2"/>
  <c r="AG281" i="2"/>
  <c r="AG282" i="2"/>
  <c r="AG283" i="2"/>
  <c r="AG284" i="2"/>
  <c r="AG285" i="2"/>
  <c r="AG286" i="2"/>
  <c r="AG287" i="2"/>
  <c r="AG288" i="2"/>
  <c r="AG289" i="2"/>
  <c r="AG290" i="2"/>
  <c r="AG291" i="2"/>
  <c r="AG292" i="2"/>
  <c r="AG293" i="2"/>
  <c r="AG294" i="2"/>
  <c r="AG295" i="2"/>
  <c r="AG296" i="2"/>
  <c r="AG297" i="2"/>
  <c r="AG298" i="2"/>
  <c r="AG299" i="2"/>
  <c r="AG300" i="2"/>
  <c r="AG301" i="2"/>
  <c r="AG302" i="2"/>
  <c r="AG303" i="2"/>
  <c r="AG304" i="2"/>
  <c r="AG305" i="2"/>
  <c r="AG306" i="2"/>
  <c r="AG307" i="2"/>
  <c r="AG308" i="2"/>
  <c r="AG309" i="2"/>
  <c r="AG310" i="2"/>
  <c r="AG311" i="2"/>
  <c r="AG312" i="2"/>
  <c r="AG313" i="2"/>
  <c r="AG314" i="2"/>
  <c r="AG315" i="2"/>
  <c r="AG316" i="2"/>
  <c r="AG317" i="2"/>
  <c r="AG318" i="2"/>
  <c r="AG319" i="2"/>
  <c r="AG320" i="2"/>
  <c r="AG321" i="2"/>
  <c r="AG322" i="2"/>
  <c r="AG323" i="2"/>
  <c r="AG324" i="2"/>
  <c r="AG325" i="2"/>
  <c r="AG326" i="2"/>
  <c r="AG327" i="2"/>
  <c r="AG328" i="2"/>
  <c r="AG329" i="2"/>
  <c r="AG330" i="2"/>
  <c r="AG331" i="2"/>
  <c r="AG332" i="2"/>
  <c r="AG333" i="2"/>
  <c r="AG334" i="2"/>
  <c r="AG335" i="2"/>
  <c r="AG336" i="2"/>
  <c r="AG337" i="2"/>
  <c r="AG338" i="2"/>
  <c r="AG339" i="2"/>
  <c r="AG340" i="2"/>
  <c r="AG341" i="2"/>
  <c r="AG342" i="2"/>
  <c r="AG343" i="2"/>
  <c r="AG344" i="2"/>
  <c r="AG345" i="2"/>
  <c r="AG346" i="2"/>
  <c r="AG347" i="2"/>
  <c r="AG348" i="2"/>
  <c r="AG349" i="2"/>
  <c r="AG350"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I305" i="2"/>
  <c r="I306" i="2"/>
  <c r="I307" i="2"/>
  <c r="I308" i="2"/>
  <c r="I309" i="2"/>
  <c r="I310" i="2"/>
  <c r="I311" i="2"/>
  <c r="I312" i="2"/>
  <c r="I313" i="2"/>
  <c r="I314" i="2"/>
  <c r="I315" i="2"/>
  <c r="I316" i="2"/>
  <c r="I317" i="2"/>
  <c r="I318" i="2"/>
  <c r="I319" i="2"/>
  <c r="I320" i="2"/>
  <c r="I321" i="2"/>
  <c r="I322" i="2"/>
  <c r="I323" i="2"/>
  <c r="I324" i="2"/>
  <c r="I325" i="2"/>
  <c r="I326" i="2"/>
  <c r="I327" i="2"/>
  <c r="I328" i="2"/>
  <c r="I329" i="2"/>
  <c r="I330" i="2"/>
  <c r="I331" i="2"/>
  <c r="I332" i="2"/>
  <c r="I333" i="2"/>
  <c r="I334" i="2"/>
  <c r="I335" i="2"/>
  <c r="I336" i="2"/>
  <c r="I337" i="2"/>
  <c r="I338" i="2"/>
  <c r="I339" i="2"/>
  <c r="I340" i="2"/>
  <c r="I341" i="2"/>
  <c r="I342" i="2"/>
  <c r="I343" i="2"/>
  <c r="I344" i="2"/>
  <c r="I345" i="2"/>
  <c r="I346" i="2"/>
  <c r="I347" i="2"/>
  <c r="I348" i="2"/>
  <c r="I349" i="2"/>
  <c r="I350" i="2"/>
  <c r="I2" i="2"/>
  <c r="AD2" i="2"/>
  <c r="X2" i="2"/>
  <c r="AG2" i="2"/>
  <c r="AA2" i="2"/>
  <c r="AD3" i="2" l="1"/>
  <c r="AD4" i="2"/>
  <c r="AD5" i="2"/>
  <c r="AD6" i="2"/>
  <c r="AD7" i="2"/>
  <c r="AD8" i="2"/>
  <c r="AD9" i="2"/>
  <c r="AD10" i="2"/>
  <c r="AD11" i="2"/>
  <c r="AD12" i="2"/>
  <c r="AD13" i="2"/>
  <c r="AD14" i="2"/>
  <c r="AD15" i="2"/>
  <c r="AD16" i="2"/>
  <c r="AD17" i="2"/>
  <c r="AD18" i="2"/>
  <c r="AD19" i="2"/>
  <c r="AD20" i="2"/>
  <c r="AD21" i="2"/>
  <c r="AD22" i="2"/>
  <c r="AD23" i="2"/>
  <c r="AD24" i="2"/>
  <c r="AD25" i="2"/>
  <c r="AD26" i="2"/>
  <c r="AD27" i="2"/>
  <c r="AD28" i="2"/>
  <c r="AD29" i="2"/>
  <c r="AD30" i="2"/>
  <c r="AD31" i="2"/>
  <c r="AD32" i="2"/>
  <c r="AD33" i="2"/>
  <c r="AD34" i="2"/>
  <c r="AD35" i="2"/>
  <c r="AD36" i="2"/>
  <c r="AD37" i="2"/>
  <c r="AD38" i="2"/>
  <c r="AD39" i="2"/>
  <c r="AD40" i="2"/>
  <c r="AD41" i="2"/>
  <c r="AD42" i="2"/>
  <c r="AD43" i="2"/>
  <c r="AD44" i="2"/>
  <c r="AD45" i="2"/>
  <c r="AD46" i="2"/>
  <c r="AD47" i="2"/>
  <c r="AD48" i="2"/>
  <c r="AD49" i="2"/>
  <c r="AD50" i="2"/>
  <c r="AD51" i="2"/>
  <c r="AD52" i="2"/>
  <c r="AD53" i="2"/>
  <c r="AD54" i="2"/>
  <c r="AD55" i="2"/>
  <c r="AD56" i="2"/>
  <c r="AD57" i="2"/>
  <c r="AD58" i="2"/>
  <c r="AD59" i="2"/>
  <c r="AD60" i="2"/>
  <c r="AD61" i="2"/>
  <c r="AD62" i="2"/>
  <c r="AD63" i="2"/>
  <c r="AD64" i="2"/>
  <c r="AD65" i="2"/>
  <c r="AD66" i="2"/>
  <c r="AD67" i="2"/>
  <c r="AD68" i="2"/>
  <c r="AD69" i="2"/>
  <c r="AD70" i="2"/>
  <c r="AD71" i="2"/>
  <c r="AD72" i="2"/>
  <c r="AD73" i="2"/>
  <c r="AD74" i="2"/>
  <c r="AD75" i="2"/>
  <c r="AD76" i="2"/>
  <c r="AD77" i="2"/>
  <c r="AD78" i="2"/>
  <c r="AD79" i="2"/>
  <c r="AD80" i="2"/>
  <c r="AD81" i="2"/>
  <c r="AD82" i="2"/>
  <c r="AD83" i="2"/>
  <c r="AD84" i="2"/>
  <c r="AD85" i="2"/>
  <c r="AD86" i="2"/>
  <c r="AD87" i="2"/>
  <c r="AD88" i="2"/>
  <c r="AD89" i="2"/>
  <c r="AD90" i="2"/>
  <c r="AD91" i="2"/>
  <c r="AD92" i="2"/>
  <c r="AD93" i="2"/>
  <c r="AD94" i="2"/>
  <c r="AD95" i="2"/>
  <c r="AD96" i="2"/>
  <c r="AD97" i="2"/>
  <c r="AD98" i="2"/>
  <c r="AD99" i="2"/>
  <c r="AD100" i="2"/>
  <c r="AD101" i="2"/>
  <c r="AD102" i="2"/>
  <c r="AD103" i="2"/>
  <c r="AD104" i="2"/>
  <c r="AD105" i="2"/>
  <c r="AD106" i="2"/>
  <c r="AD107" i="2"/>
  <c r="AD108" i="2"/>
  <c r="AD109" i="2"/>
  <c r="AD110" i="2"/>
  <c r="AD111" i="2"/>
  <c r="AD112" i="2"/>
  <c r="AD113" i="2"/>
  <c r="AD114" i="2"/>
  <c r="AD115" i="2"/>
  <c r="AD116" i="2"/>
  <c r="AD117" i="2"/>
  <c r="AD118" i="2"/>
  <c r="AD119" i="2"/>
  <c r="AD120" i="2"/>
  <c r="AD121" i="2"/>
  <c r="AD122" i="2"/>
  <c r="AD123" i="2"/>
  <c r="AD124" i="2"/>
  <c r="AD125" i="2"/>
  <c r="AD126" i="2"/>
  <c r="AD127" i="2"/>
  <c r="AD128" i="2"/>
  <c r="AD129" i="2"/>
  <c r="AD130" i="2"/>
  <c r="AD131" i="2"/>
  <c r="AD132" i="2"/>
  <c r="AD133" i="2"/>
  <c r="AD134" i="2"/>
  <c r="AD135" i="2"/>
  <c r="AD136" i="2"/>
  <c r="AD137" i="2"/>
  <c r="AD138" i="2"/>
  <c r="AD139" i="2"/>
  <c r="AD140" i="2"/>
  <c r="AD141" i="2"/>
  <c r="AD142" i="2"/>
  <c r="AD143" i="2"/>
  <c r="AD144" i="2"/>
  <c r="AD145" i="2"/>
  <c r="AD146" i="2"/>
  <c r="AD147" i="2"/>
  <c r="AD148" i="2"/>
  <c r="AD149" i="2"/>
  <c r="AD150" i="2"/>
  <c r="AD151" i="2"/>
  <c r="AD152" i="2"/>
  <c r="AD153" i="2"/>
  <c r="AD154" i="2"/>
  <c r="AD155" i="2"/>
  <c r="AD156" i="2"/>
  <c r="AD157" i="2"/>
  <c r="AD158" i="2"/>
  <c r="AD159" i="2"/>
  <c r="AD160" i="2"/>
  <c r="AD161" i="2"/>
  <c r="AD162" i="2"/>
  <c r="AD163" i="2"/>
  <c r="AD164" i="2"/>
  <c r="AD165" i="2"/>
  <c r="AD166" i="2"/>
  <c r="AD167" i="2"/>
  <c r="AD168" i="2"/>
  <c r="AD169" i="2"/>
  <c r="AD170" i="2"/>
  <c r="AD171" i="2"/>
  <c r="AD172" i="2"/>
  <c r="AD173" i="2"/>
  <c r="AD174" i="2"/>
  <c r="AD175" i="2"/>
  <c r="AD176" i="2"/>
  <c r="AD177" i="2"/>
  <c r="AD178" i="2"/>
  <c r="AD179" i="2"/>
  <c r="AD180" i="2"/>
  <c r="AD181" i="2"/>
  <c r="AD182" i="2"/>
  <c r="AD183" i="2"/>
  <c r="AD184" i="2"/>
  <c r="AD185" i="2"/>
  <c r="AD186" i="2"/>
  <c r="AD187" i="2"/>
  <c r="AD188" i="2"/>
  <c r="AD189" i="2"/>
  <c r="AD190" i="2"/>
  <c r="AD191" i="2"/>
  <c r="AD192" i="2"/>
  <c r="AD193" i="2"/>
  <c r="AD194" i="2"/>
  <c r="AD195" i="2"/>
  <c r="AD196" i="2"/>
  <c r="AD197" i="2"/>
  <c r="AD198" i="2"/>
  <c r="AD199" i="2"/>
  <c r="AD200" i="2"/>
  <c r="AD201" i="2"/>
  <c r="AD202" i="2"/>
  <c r="AD203" i="2"/>
  <c r="AD204" i="2"/>
  <c r="AD205" i="2"/>
  <c r="AD206" i="2"/>
  <c r="AD207" i="2"/>
  <c r="AD208" i="2"/>
  <c r="AD209" i="2"/>
  <c r="AD210" i="2"/>
  <c r="AD211" i="2"/>
  <c r="AD212" i="2"/>
  <c r="AD213" i="2"/>
  <c r="AD214" i="2"/>
  <c r="AD215" i="2"/>
  <c r="AD216" i="2"/>
  <c r="AD217" i="2"/>
  <c r="AD218" i="2"/>
  <c r="AD219" i="2"/>
  <c r="AD220" i="2"/>
  <c r="AD221" i="2"/>
  <c r="AD222" i="2"/>
  <c r="AD223" i="2"/>
  <c r="AD224" i="2"/>
  <c r="AD225" i="2"/>
  <c r="AD226" i="2"/>
  <c r="AD227" i="2"/>
  <c r="AD228" i="2"/>
  <c r="AD229" i="2"/>
  <c r="AD230" i="2"/>
  <c r="AD231" i="2"/>
  <c r="AD232" i="2"/>
  <c r="AD233" i="2"/>
  <c r="AD234" i="2"/>
  <c r="AD235" i="2"/>
  <c r="AD236" i="2"/>
  <c r="AD237" i="2"/>
  <c r="AD238" i="2"/>
  <c r="AD239" i="2"/>
  <c r="AD240" i="2"/>
  <c r="AD241" i="2"/>
  <c r="AD242" i="2"/>
  <c r="AD243" i="2"/>
  <c r="AD244" i="2"/>
  <c r="AD245" i="2"/>
  <c r="AD246" i="2"/>
  <c r="AD247" i="2"/>
  <c r="AD248" i="2"/>
  <c r="AD249" i="2"/>
  <c r="AD250" i="2"/>
  <c r="AD251" i="2"/>
  <c r="AD252" i="2"/>
  <c r="AD253" i="2"/>
  <c r="AD254" i="2"/>
  <c r="AD255" i="2"/>
  <c r="AD256" i="2"/>
  <c r="AD257" i="2"/>
  <c r="AD258" i="2"/>
  <c r="AD259" i="2"/>
  <c r="AD260" i="2"/>
  <c r="AD261" i="2"/>
  <c r="AD262" i="2"/>
  <c r="AD263" i="2"/>
  <c r="AD264" i="2"/>
  <c r="AD265" i="2"/>
  <c r="AD266" i="2"/>
  <c r="AD267" i="2"/>
  <c r="AD268" i="2"/>
  <c r="AD269" i="2"/>
  <c r="AD270" i="2"/>
  <c r="AD271" i="2"/>
  <c r="AD272" i="2"/>
  <c r="AD273" i="2"/>
  <c r="AD274" i="2"/>
  <c r="AD275" i="2"/>
  <c r="AD276" i="2"/>
  <c r="AD277" i="2"/>
  <c r="AD278" i="2"/>
  <c r="AD279" i="2"/>
  <c r="AD280" i="2"/>
  <c r="AD281" i="2"/>
  <c r="AD282" i="2"/>
  <c r="AD283" i="2"/>
  <c r="AD284" i="2"/>
  <c r="AD285" i="2"/>
  <c r="AD286" i="2"/>
  <c r="AD287" i="2"/>
  <c r="AD288" i="2"/>
  <c r="AD289" i="2"/>
  <c r="AD290" i="2"/>
  <c r="AD291" i="2"/>
  <c r="AD292" i="2"/>
  <c r="AD293" i="2"/>
  <c r="AD294" i="2"/>
  <c r="AD295" i="2"/>
  <c r="AD296" i="2"/>
  <c r="AD297" i="2"/>
  <c r="AD298" i="2"/>
  <c r="AD299" i="2"/>
  <c r="AD300" i="2"/>
  <c r="AD301" i="2"/>
  <c r="AD302" i="2"/>
  <c r="AD303" i="2"/>
  <c r="AD304" i="2"/>
  <c r="AD305" i="2"/>
  <c r="AD306" i="2"/>
  <c r="AD307" i="2"/>
  <c r="AD308" i="2"/>
  <c r="AD309" i="2"/>
  <c r="AD310" i="2"/>
  <c r="AD311" i="2"/>
  <c r="AD312" i="2"/>
  <c r="AD313" i="2"/>
  <c r="AD314" i="2"/>
  <c r="AD315" i="2"/>
  <c r="AD316" i="2"/>
  <c r="AD317" i="2"/>
  <c r="AD318" i="2"/>
  <c r="AD319" i="2"/>
  <c r="AD320" i="2"/>
  <c r="AD321" i="2"/>
  <c r="AD322" i="2"/>
  <c r="AD323" i="2"/>
  <c r="AD324" i="2"/>
  <c r="AD325" i="2"/>
  <c r="AD326" i="2"/>
  <c r="AD327" i="2"/>
  <c r="AD328" i="2"/>
  <c r="AD329" i="2"/>
  <c r="AD330" i="2"/>
  <c r="AD331" i="2"/>
  <c r="AD332" i="2"/>
  <c r="AD333" i="2"/>
  <c r="AD334" i="2"/>
  <c r="AD335" i="2"/>
  <c r="AD336" i="2"/>
  <c r="AD337" i="2"/>
  <c r="AD338" i="2"/>
  <c r="AD339" i="2"/>
  <c r="AD340" i="2"/>
  <c r="AD341" i="2"/>
  <c r="AD342" i="2"/>
  <c r="AD343" i="2"/>
  <c r="AD344" i="2"/>
  <c r="AD345" i="2"/>
  <c r="AD346" i="2"/>
  <c r="AD347" i="2"/>
  <c r="AD348" i="2"/>
  <c r="AD349" i="2"/>
  <c r="AD350" i="2"/>
  <c r="S2" i="2"/>
  <c r="AH2" i="2" s="1"/>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78" i="2"/>
  <c r="R79" i="2"/>
  <c r="R80" i="2"/>
  <c r="R81" i="2"/>
  <c r="R82" i="2"/>
  <c r="R83" i="2"/>
  <c r="R84" i="2"/>
  <c r="R85" i="2"/>
  <c r="R86" i="2"/>
  <c r="R87" i="2"/>
  <c r="R88" i="2"/>
  <c r="R89" i="2"/>
  <c r="R90" i="2"/>
  <c r="R91" i="2"/>
  <c r="R92" i="2"/>
  <c r="R93" i="2"/>
  <c r="R94" i="2"/>
  <c r="R95" i="2"/>
  <c r="R96" i="2"/>
  <c r="R97" i="2"/>
  <c r="R98" i="2"/>
  <c r="R99" i="2"/>
  <c r="R100" i="2"/>
  <c r="R101" i="2"/>
  <c r="R102" i="2"/>
  <c r="R103" i="2"/>
  <c r="R104" i="2"/>
  <c r="R105" i="2"/>
  <c r="R106" i="2"/>
  <c r="R107" i="2"/>
  <c r="R108" i="2"/>
  <c r="R109" i="2"/>
  <c r="R110" i="2"/>
  <c r="R111" i="2"/>
  <c r="R112" i="2"/>
  <c r="R113" i="2"/>
  <c r="R114" i="2"/>
  <c r="R115" i="2"/>
  <c r="R116" i="2"/>
  <c r="R117" i="2"/>
  <c r="R118" i="2"/>
  <c r="R119" i="2"/>
  <c r="R120" i="2"/>
  <c r="R121" i="2"/>
  <c r="R122" i="2"/>
  <c r="R123" i="2"/>
  <c r="R124" i="2"/>
  <c r="R125" i="2"/>
  <c r="R126" i="2"/>
  <c r="R127" i="2"/>
  <c r="R128"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6" i="2"/>
  <c r="R327" i="2"/>
  <c r="R328" i="2"/>
  <c r="R329" i="2"/>
  <c r="R330" i="2"/>
  <c r="R331" i="2"/>
  <c r="R332" i="2"/>
  <c r="R333" i="2"/>
  <c r="R334" i="2"/>
  <c r="R335" i="2"/>
  <c r="R336" i="2"/>
  <c r="R337" i="2"/>
  <c r="R338" i="2"/>
  <c r="R339" i="2"/>
  <c r="R340" i="2"/>
  <c r="R341" i="2"/>
  <c r="R342" i="2"/>
  <c r="R343" i="2"/>
  <c r="R344" i="2"/>
  <c r="R345" i="2"/>
  <c r="R346" i="2"/>
  <c r="R347" i="2"/>
  <c r="R348" i="2"/>
  <c r="R349" i="2"/>
  <c r="R350" i="2"/>
  <c r="R2" i="2"/>
  <c r="U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F350" i="2"/>
  <c r="H2" i="2"/>
  <c r="G2" i="2"/>
  <c r="F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2" i="2"/>
  <c r="D2" i="2"/>
  <c r="L4" i="16"/>
  <c r="N4" i="16"/>
  <c r="P4" i="16"/>
  <c r="R4" i="16"/>
  <c r="S4" i="16"/>
  <c r="T4" i="16"/>
  <c r="V4" i="16"/>
  <c r="L5" i="16"/>
  <c r="N5" i="16"/>
  <c r="P5" i="16"/>
  <c r="R5" i="16"/>
  <c r="S5" i="16"/>
  <c r="T5" i="16"/>
  <c r="V5" i="16"/>
  <c r="L6" i="16"/>
  <c r="N6" i="16"/>
  <c r="P6" i="16"/>
  <c r="R6" i="16"/>
  <c r="S6" i="16"/>
  <c r="T6" i="16"/>
  <c r="V6" i="16"/>
  <c r="L7" i="16"/>
  <c r="N7" i="16"/>
  <c r="P7" i="16"/>
  <c r="R7" i="16"/>
  <c r="S7" i="16"/>
  <c r="T7" i="16"/>
  <c r="V7" i="16"/>
  <c r="L8" i="16"/>
  <c r="N8" i="16"/>
  <c r="P8" i="16"/>
  <c r="R8" i="16"/>
  <c r="S8" i="16"/>
  <c r="T8" i="16"/>
  <c r="V8" i="16"/>
  <c r="L9" i="16"/>
  <c r="N9" i="16"/>
  <c r="P9" i="16"/>
  <c r="R9" i="16"/>
  <c r="S9" i="16"/>
  <c r="T9" i="16"/>
  <c r="V9" i="16"/>
  <c r="L10" i="16"/>
  <c r="N10" i="16"/>
  <c r="P10" i="16"/>
  <c r="R10" i="16"/>
  <c r="S10" i="16"/>
  <c r="T10" i="16"/>
  <c r="V10" i="16"/>
  <c r="L11" i="16"/>
  <c r="N11" i="16"/>
  <c r="P11" i="16"/>
  <c r="R11" i="16"/>
  <c r="S11" i="16"/>
  <c r="T11" i="16"/>
  <c r="V11" i="16"/>
  <c r="L12" i="16"/>
  <c r="N12" i="16"/>
  <c r="P12" i="16"/>
  <c r="R12" i="16"/>
  <c r="S12" i="16"/>
  <c r="T12" i="16"/>
  <c r="V12" i="16"/>
  <c r="L13" i="16"/>
  <c r="N13" i="16"/>
  <c r="P13" i="16"/>
  <c r="R13" i="16"/>
  <c r="S13" i="16"/>
  <c r="T13" i="16"/>
  <c r="V13" i="16"/>
  <c r="L14" i="16"/>
  <c r="N14" i="16"/>
  <c r="P14" i="16"/>
  <c r="R14" i="16"/>
  <c r="S14" i="16"/>
  <c r="T14" i="16"/>
  <c r="V14" i="16"/>
  <c r="L15" i="16"/>
  <c r="N15" i="16"/>
  <c r="P15" i="16"/>
  <c r="R15" i="16"/>
  <c r="S15" i="16"/>
  <c r="T15" i="16"/>
  <c r="V15" i="16"/>
  <c r="L16" i="16"/>
  <c r="N16" i="16"/>
  <c r="P16" i="16"/>
  <c r="R16" i="16"/>
  <c r="S16" i="16"/>
  <c r="T16" i="16"/>
  <c r="V16" i="16"/>
  <c r="L17" i="16"/>
  <c r="N17" i="16"/>
  <c r="P17" i="16"/>
  <c r="R17" i="16"/>
  <c r="S17" i="16"/>
  <c r="T17" i="16"/>
  <c r="V17" i="16"/>
  <c r="L18" i="16"/>
  <c r="N18" i="16"/>
  <c r="P18" i="16"/>
  <c r="R18" i="16"/>
  <c r="S18" i="16"/>
  <c r="T18" i="16"/>
  <c r="V18" i="16"/>
  <c r="L19" i="16"/>
  <c r="N19" i="16"/>
  <c r="P19" i="16"/>
  <c r="R19" i="16"/>
  <c r="S19" i="16"/>
  <c r="T19" i="16"/>
  <c r="V19" i="16"/>
  <c r="L20" i="16"/>
  <c r="N20" i="16"/>
  <c r="P20" i="16"/>
  <c r="R20" i="16"/>
  <c r="S20" i="16"/>
  <c r="T20" i="16"/>
  <c r="V20" i="16"/>
  <c r="L21" i="16"/>
  <c r="N21" i="16"/>
  <c r="P21" i="16"/>
  <c r="R21" i="16"/>
  <c r="S21" i="16"/>
  <c r="T21" i="16"/>
  <c r="V21" i="16"/>
  <c r="L22" i="16"/>
  <c r="N22" i="16"/>
  <c r="P22" i="16"/>
  <c r="R22" i="16"/>
  <c r="S22" i="16"/>
  <c r="T22" i="16"/>
  <c r="V22" i="16"/>
  <c r="L23" i="16"/>
  <c r="N23" i="16"/>
  <c r="P23" i="16"/>
  <c r="R23" i="16"/>
  <c r="S23" i="16"/>
  <c r="T23" i="16"/>
  <c r="V23" i="16"/>
  <c r="L24" i="16"/>
  <c r="N24" i="16"/>
  <c r="P24" i="16"/>
  <c r="R24" i="16"/>
  <c r="S24" i="16"/>
  <c r="T24" i="16"/>
  <c r="V24" i="16"/>
  <c r="L25" i="16"/>
  <c r="N25" i="16"/>
  <c r="P25" i="16"/>
  <c r="R25" i="16"/>
  <c r="S25" i="16"/>
  <c r="T25" i="16"/>
  <c r="V25" i="16"/>
  <c r="L26" i="16"/>
  <c r="N26" i="16"/>
  <c r="P26" i="16"/>
  <c r="R26" i="16"/>
  <c r="S26" i="16"/>
  <c r="T26" i="16"/>
  <c r="V26" i="16"/>
  <c r="L27" i="16"/>
  <c r="N27" i="16"/>
  <c r="P27" i="16"/>
  <c r="R27" i="16"/>
  <c r="S27" i="16"/>
  <c r="T27" i="16"/>
  <c r="V27" i="16"/>
  <c r="L28" i="16"/>
  <c r="N28" i="16"/>
  <c r="P28" i="16"/>
  <c r="R28" i="16"/>
  <c r="S28" i="16"/>
  <c r="T28" i="16"/>
  <c r="V28" i="16"/>
  <c r="L29" i="16"/>
  <c r="N29" i="16"/>
  <c r="P29" i="16"/>
  <c r="R29" i="16"/>
  <c r="S29" i="16"/>
  <c r="T29" i="16"/>
  <c r="V29" i="16"/>
  <c r="L30" i="16"/>
  <c r="N30" i="16"/>
  <c r="P30" i="16"/>
  <c r="R30" i="16"/>
  <c r="S30" i="16"/>
  <c r="T30" i="16"/>
  <c r="V30" i="16"/>
  <c r="L31" i="16"/>
  <c r="N31" i="16"/>
  <c r="P31" i="16"/>
  <c r="R31" i="16"/>
  <c r="S31" i="16"/>
  <c r="T31" i="16"/>
  <c r="V31" i="16"/>
  <c r="L32" i="16"/>
  <c r="N32" i="16"/>
  <c r="P32" i="16"/>
  <c r="R32" i="16"/>
  <c r="S32" i="16"/>
  <c r="T32" i="16"/>
  <c r="V32" i="16"/>
  <c r="L33" i="16"/>
  <c r="N33" i="16"/>
  <c r="P33" i="16"/>
  <c r="R33" i="16"/>
  <c r="S33" i="16"/>
  <c r="T33" i="16"/>
  <c r="V33" i="16"/>
  <c r="L34" i="16"/>
  <c r="N34" i="16"/>
  <c r="P34" i="16"/>
  <c r="R34" i="16"/>
  <c r="S34" i="16"/>
  <c r="T34" i="16"/>
  <c r="V34" i="16"/>
  <c r="L35" i="16"/>
  <c r="N35" i="16"/>
  <c r="P35" i="16"/>
  <c r="R35" i="16"/>
  <c r="S35" i="16"/>
  <c r="T35" i="16"/>
  <c r="V35" i="16"/>
  <c r="L36" i="16"/>
  <c r="N36" i="16"/>
  <c r="P36" i="16"/>
  <c r="R36" i="16"/>
  <c r="S36" i="16"/>
  <c r="T36" i="16"/>
  <c r="V36" i="16"/>
  <c r="L37" i="16"/>
  <c r="N37" i="16"/>
  <c r="P37" i="16"/>
  <c r="R37" i="16"/>
  <c r="S37" i="16"/>
  <c r="T37" i="16"/>
  <c r="V37" i="16"/>
  <c r="L38" i="16"/>
  <c r="N38" i="16"/>
  <c r="P38" i="16"/>
  <c r="R38" i="16"/>
  <c r="S38" i="16"/>
  <c r="T38" i="16"/>
  <c r="V38" i="16"/>
  <c r="L39" i="16"/>
  <c r="N39" i="16"/>
  <c r="P39" i="16"/>
  <c r="R39" i="16"/>
  <c r="S39" i="16"/>
  <c r="T39" i="16"/>
  <c r="V39" i="16"/>
  <c r="L40" i="16"/>
  <c r="N40" i="16"/>
  <c r="P40" i="16"/>
  <c r="R40" i="16"/>
  <c r="S40" i="16"/>
  <c r="T40" i="16"/>
  <c r="V40" i="16"/>
  <c r="L41" i="16"/>
  <c r="N41" i="16"/>
  <c r="P41" i="16"/>
  <c r="R41" i="16"/>
  <c r="S41" i="16"/>
  <c r="T41" i="16"/>
  <c r="V41" i="16"/>
  <c r="L42" i="16"/>
  <c r="N42" i="16"/>
  <c r="P42" i="16"/>
  <c r="R42" i="16"/>
  <c r="S42" i="16"/>
  <c r="T42" i="16"/>
  <c r="V42" i="16"/>
  <c r="L43" i="16"/>
  <c r="N43" i="16"/>
  <c r="P43" i="16"/>
  <c r="R43" i="16"/>
  <c r="S43" i="16"/>
  <c r="T43" i="16"/>
  <c r="V43" i="16"/>
  <c r="L44" i="16"/>
  <c r="N44" i="16"/>
  <c r="P44" i="16"/>
  <c r="R44" i="16"/>
  <c r="S44" i="16"/>
  <c r="T44" i="16"/>
  <c r="V44" i="16"/>
  <c r="L45" i="16"/>
  <c r="N45" i="16"/>
  <c r="P45" i="16"/>
  <c r="R45" i="16"/>
  <c r="S45" i="16"/>
  <c r="T45" i="16"/>
  <c r="V45" i="16"/>
  <c r="L46" i="16"/>
  <c r="N46" i="16"/>
  <c r="P46" i="16"/>
  <c r="R46" i="16"/>
  <c r="S46" i="16"/>
  <c r="T46" i="16"/>
  <c r="V46" i="16"/>
  <c r="L3" i="16"/>
  <c r="V3" i="16"/>
  <c r="T3" i="16"/>
  <c r="S3" i="16"/>
  <c r="R3" i="16"/>
  <c r="P3" i="16"/>
  <c r="N3" i="16"/>
  <c r="V2" i="16"/>
  <c r="T2" i="16"/>
  <c r="S2" i="16"/>
  <c r="R2" i="16"/>
  <c r="P2" i="16"/>
  <c r="N2" i="16"/>
  <c r="L2" i="16"/>
  <c r="AM3" i="15"/>
  <c r="AM4" i="15"/>
  <c r="AM5" i="15"/>
  <c r="AM6" i="15"/>
  <c r="AM7" i="15"/>
  <c r="AM8" i="15"/>
  <c r="AM9" i="15"/>
  <c r="AM10" i="15"/>
  <c r="AM11" i="15"/>
  <c r="AM12" i="15"/>
  <c r="AM13" i="15"/>
  <c r="AM14" i="15"/>
  <c r="AM15" i="15"/>
  <c r="AM16" i="15"/>
  <c r="AM17" i="15"/>
  <c r="AM18" i="15"/>
  <c r="AM19" i="15"/>
  <c r="AM20" i="15"/>
  <c r="AM21" i="15"/>
  <c r="AM22" i="15"/>
  <c r="AM23" i="15"/>
  <c r="AM24" i="15"/>
  <c r="AM25" i="15"/>
  <c r="AM26" i="15"/>
  <c r="AM27" i="15"/>
  <c r="AM28" i="15"/>
  <c r="AM29" i="15"/>
  <c r="AM30" i="15"/>
  <c r="AM31" i="15"/>
  <c r="AM32" i="15"/>
  <c r="AM33" i="15"/>
  <c r="AM34" i="15"/>
  <c r="AM35" i="15"/>
  <c r="AM36" i="15"/>
  <c r="AM37" i="15"/>
  <c r="AM38" i="15"/>
  <c r="AM39" i="15"/>
  <c r="AM40" i="15"/>
  <c r="AM41" i="15"/>
  <c r="AM42" i="15"/>
  <c r="AM43" i="15"/>
  <c r="AM44" i="15"/>
  <c r="AM45" i="15"/>
  <c r="AM46" i="15"/>
  <c r="AM47" i="15"/>
  <c r="AM48" i="15"/>
  <c r="AM49" i="15"/>
  <c r="AM50" i="15"/>
  <c r="AM51" i="15"/>
  <c r="AM52" i="15"/>
  <c r="AM53" i="15"/>
  <c r="AM54" i="15"/>
  <c r="AM55" i="15"/>
  <c r="AM56" i="15"/>
  <c r="AM57" i="15"/>
  <c r="AM58" i="15"/>
  <c r="AM59" i="15"/>
  <c r="AM60" i="15"/>
  <c r="AM61" i="15"/>
  <c r="AM62" i="15"/>
  <c r="AM63" i="15"/>
  <c r="AM64" i="15"/>
  <c r="AM65" i="15"/>
  <c r="AM66" i="15"/>
  <c r="AM67" i="15"/>
  <c r="AM68" i="15"/>
  <c r="AM69" i="15"/>
  <c r="AM70" i="15"/>
  <c r="AM71" i="15"/>
  <c r="AM72" i="15"/>
  <c r="AM73" i="15"/>
  <c r="AM74" i="15"/>
  <c r="AM75" i="15"/>
  <c r="AM76" i="15"/>
  <c r="AM77" i="15"/>
  <c r="AM78" i="15"/>
  <c r="AM79" i="15"/>
  <c r="AM80" i="15"/>
  <c r="AM81" i="15"/>
  <c r="AM82" i="15"/>
  <c r="AM83" i="15"/>
  <c r="AM84" i="15"/>
  <c r="AM85" i="15"/>
  <c r="AM86" i="15"/>
  <c r="AM87" i="15"/>
  <c r="AM88" i="15"/>
  <c r="AM89" i="15"/>
  <c r="AM90" i="15"/>
  <c r="AM91" i="15"/>
  <c r="AM92" i="15"/>
  <c r="AM93" i="15"/>
  <c r="AM94" i="15"/>
  <c r="AM2" i="15"/>
  <c r="AQ3" i="15"/>
  <c r="AQ4" i="15"/>
  <c r="AQ5" i="15"/>
  <c r="AQ6" i="15"/>
  <c r="AQ7" i="15"/>
  <c r="AQ8" i="15"/>
  <c r="AQ9" i="15"/>
  <c r="AQ10" i="15"/>
  <c r="AQ11" i="15"/>
  <c r="AQ12" i="15"/>
  <c r="AQ13" i="15"/>
  <c r="AQ14" i="15"/>
  <c r="AQ15" i="15"/>
  <c r="AQ16" i="15"/>
  <c r="AQ17" i="15"/>
  <c r="AQ18" i="15"/>
  <c r="AQ19" i="15"/>
  <c r="AQ20" i="15"/>
  <c r="AQ21" i="15"/>
  <c r="AQ22" i="15"/>
  <c r="AQ23" i="15"/>
  <c r="AQ24" i="15"/>
  <c r="AQ25" i="15"/>
  <c r="AQ26" i="15"/>
  <c r="AQ27" i="15"/>
  <c r="AQ28" i="15"/>
  <c r="AQ29" i="15"/>
  <c r="AQ30" i="15"/>
  <c r="AQ31" i="15"/>
  <c r="AQ32" i="15"/>
  <c r="AQ33" i="15"/>
  <c r="AQ34" i="15"/>
  <c r="AQ35" i="15"/>
  <c r="AQ36" i="15"/>
  <c r="AQ37" i="15"/>
  <c r="AQ38" i="15"/>
  <c r="AQ39" i="15"/>
  <c r="AQ40" i="15"/>
  <c r="AQ41" i="15"/>
  <c r="AQ42" i="15"/>
  <c r="AQ43" i="15"/>
  <c r="AQ44" i="15"/>
  <c r="AQ45" i="15"/>
  <c r="AQ46" i="15"/>
  <c r="AQ47" i="15"/>
  <c r="AQ48" i="15"/>
  <c r="AQ49" i="15"/>
  <c r="AQ50" i="15"/>
  <c r="AQ51" i="15"/>
  <c r="AQ52" i="15"/>
  <c r="AQ53" i="15"/>
  <c r="AQ54" i="15"/>
  <c r="AQ55" i="15"/>
  <c r="AQ56" i="15"/>
  <c r="AQ57" i="15"/>
  <c r="AQ58" i="15"/>
  <c r="AQ59" i="15"/>
  <c r="AQ60" i="15"/>
  <c r="AQ61" i="15"/>
  <c r="AQ62" i="15"/>
  <c r="AQ63" i="15"/>
  <c r="AQ64" i="15"/>
  <c r="AQ65" i="15"/>
  <c r="AQ66" i="15"/>
  <c r="AQ67" i="15"/>
  <c r="AQ68" i="15"/>
  <c r="AQ69" i="15"/>
  <c r="AQ70" i="15"/>
  <c r="AQ71" i="15"/>
  <c r="AQ72" i="15"/>
  <c r="AQ73" i="15"/>
  <c r="AQ74" i="15"/>
  <c r="AQ75" i="15"/>
  <c r="AQ76" i="15"/>
  <c r="AQ77" i="15"/>
  <c r="AQ78" i="15"/>
  <c r="AQ79" i="15"/>
  <c r="AQ80" i="15"/>
  <c r="AQ81" i="15"/>
  <c r="AQ82" i="15"/>
  <c r="AQ83" i="15"/>
  <c r="AQ84" i="15"/>
  <c r="AQ85" i="15"/>
  <c r="AQ86" i="15"/>
  <c r="AQ87" i="15"/>
  <c r="AQ88" i="15"/>
  <c r="AQ89" i="15"/>
  <c r="AQ90" i="15"/>
  <c r="AQ91" i="15"/>
  <c r="AQ92" i="15"/>
  <c r="AQ93" i="15"/>
  <c r="AQ94" i="15"/>
  <c r="AQ2" i="15"/>
  <c r="AS3" i="15"/>
  <c r="AS4" i="15"/>
  <c r="AS5" i="15"/>
  <c r="AS6" i="15"/>
  <c r="AS7" i="15"/>
  <c r="AS8" i="15"/>
  <c r="AS9" i="15"/>
  <c r="AS10" i="15"/>
  <c r="AS11" i="15"/>
  <c r="AS12" i="15"/>
  <c r="AS13" i="15"/>
  <c r="AS14" i="15"/>
  <c r="AS15" i="15"/>
  <c r="AS16" i="15"/>
  <c r="AS17" i="15"/>
  <c r="AS18" i="15"/>
  <c r="AS19" i="15"/>
  <c r="AS20" i="15"/>
  <c r="AS21" i="15"/>
  <c r="AS22" i="15"/>
  <c r="AS23" i="15"/>
  <c r="AS24" i="15"/>
  <c r="AS25" i="15"/>
  <c r="AS26" i="15"/>
  <c r="AS27" i="15"/>
  <c r="AS28" i="15"/>
  <c r="AS29" i="15"/>
  <c r="AS30" i="15"/>
  <c r="AS31" i="15"/>
  <c r="AS32" i="15"/>
  <c r="AS33" i="15"/>
  <c r="AS34" i="15"/>
  <c r="AS35" i="15"/>
  <c r="AS36" i="15"/>
  <c r="AS37" i="15"/>
  <c r="AS38" i="15"/>
  <c r="AS39" i="15"/>
  <c r="AS40" i="15"/>
  <c r="AS41" i="15"/>
  <c r="AS42" i="15"/>
  <c r="AS43" i="15"/>
  <c r="AS44" i="15"/>
  <c r="AS45" i="15"/>
  <c r="AS46" i="15"/>
  <c r="AS47" i="15"/>
  <c r="AS48" i="15"/>
  <c r="AS49" i="15"/>
  <c r="AS50" i="15"/>
  <c r="AS51" i="15"/>
  <c r="AS52" i="15"/>
  <c r="AS53" i="15"/>
  <c r="AS54" i="15"/>
  <c r="AS55" i="15"/>
  <c r="AS56" i="15"/>
  <c r="AS57" i="15"/>
  <c r="AS58" i="15"/>
  <c r="AS59" i="15"/>
  <c r="AS60" i="15"/>
  <c r="AS61" i="15"/>
  <c r="AS62" i="15"/>
  <c r="AS63" i="15"/>
  <c r="AS64" i="15"/>
  <c r="AS65" i="15"/>
  <c r="AS66" i="15"/>
  <c r="AS67" i="15"/>
  <c r="AS68" i="15"/>
  <c r="AS69" i="15"/>
  <c r="AS70" i="15"/>
  <c r="AS71" i="15"/>
  <c r="AS72" i="15"/>
  <c r="AS73" i="15"/>
  <c r="AS74" i="15"/>
  <c r="AS75" i="15"/>
  <c r="AS76" i="15"/>
  <c r="AS77" i="15"/>
  <c r="AS78" i="15"/>
  <c r="AS79" i="15"/>
  <c r="AS80" i="15"/>
  <c r="AS81" i="15"/>
  <c r="AS82" i="15"/>
  <c r="AS83" i="15"/>
  <c r="AS84" i="15"/>
  <c r="AS85" i="15"/>
  <c r="AS86" i="15"/>
  <c r="AS87" i="15"/>
  <c r="AS88" i="15"/>
  <c r="AS89" i="15"/>
  <c r="AS90" i="15"/>
  <c r="AS91" i="15"/>
  <c r="AS92" i="15"/>
  <c r="AS93" i="15"/>
  <c r="AS94" i="15"/>
  <c r="AS2" i="15"/>
  <c r="AK3" i="15"/>
  <c r="AK4" i="15"/>
  <c r="AK5" i="15"/>
  <c r="AK6" i="15"/>
  <c r="AK7" i="15"/>
  <c r="AK8" i="15"/>
  <c r="AK9" i="15"/>
  <c r="AK10" i="15"/>
  <c r="AK11" i="15"/>
  <c r="AK12" i="15"/>
  <c r="AK13" i="15"/>
  <c r="AK14" i="15"/>
  <c r="AK15" i="15"/>
  <c r="AK16" i="15"/>
  <c r="AK17" i="15"/>
  <c r="AK18" i="15"/>
  <c r="AK19" i="15"/>
  <c r="AK20" i="15"/>
  <c r="AK21" i="15"/>
  <c r="AK22" i="15"/>
  <c r="AK23" i="15"/>
  <c r="AK24" i="15"/>
  <c r="AK25" i="15"/>
  <c r="AK26" i="15"/>
  <c r="AK27" i="15"/>
  <c r="AK28" i="15"/>
  <c r="AK29" i="15"/>
  <c r="AK30" i="15"/>
  <c r="AK31" i="15"/>
  <c r="AK32" i="15"/>
  <c r="AK33" i="15"/>
  <c r="AK34" i="15"/>
  <c r="AK35" i="15"/>
  <c r="AK36" i="15"/>
  <c r="AK37" i="15"/>
  <c r="AK38" i="15"/>
  <c r="AK39" i="15"/>
  <c r="AK40" i="15"/>
  <c r="AK41" i="15"/>
  <c r="AK42" i="15"/>
  <c r="AK43" i="15"/>
  <c r="AK44" i="15"/>
  <c r="AK45" i="15"/>
  <c r="AK46" i="15"/>
  <c r="AK47" i="15"/>
  <c r="AK48" i="15"/>
  <c r="AK49" i="15"/>
  <c r="AK50" i="15"/>
  <c r="AK51" i="15"/>
  <c r="AK52" i="15"/>
  <c r="AK53" i="15"/>
  <c r="AK54" i="15"/>
  <c r="AK55" i="15"/>
  <c r="AK56" i="15"/>
  <c r="AK57" i="15"/>
  <c r="AK58" i="15"/>
  <c r="AK59" i="15"/>
  <c r="AK60" i="15"/>
  <c r="AK61" i="15"/>
  <c r="AK62" i="15"/>
  <c r="AK63" i="15"/>
  <c r="AK64" i="15"/>
  <c r="AK65" i="15"/>
  <c r="AK66" i="15"/>
  <c r="AK67" i="15"/>
  <c r="AK68" i="15"/>
  <c r="AK69" i="15"/>
  <c r="AK70" i="15"/>
  <c r="AK71" i="15"/>
  <c r="AK72" i="15"/>
  <c r="AK73" i="15"/>
  <c r="AK74" i="15"/>
  <c r="AK75" i="15"/>
  <c r="AK76" i="15"/>
  <c r="AK77" i="15"/>
  <c r="AK78" i="15"/>
  <c r="AK79" i="15"/>
  <c r="AK80" i="15"/>
  <c r="AK81" i="15"/>
  <c r="AK82" i="15"/>
  <c r="AK83" i="15"/>
  <c r="AK84" i="15"/>
  <c r="AK85" i="15"/>
  <c r="AK86" i="15"/>
  <c r="AK87" i="15"/>
  <c r="AK88" i="15"/>
  <c r="AK89" i="15"/>
  <c r="AK90" i="15"/>
  <c r="AK91" i="15"/>
  <c r="AK92" i="15"/>
  <c r="AK93" i="15"/>
  <c r="AK94" i="15"/>
  <c r="AK2" i="15"/>
  <c r="AI3" i="15"/>
  <c r="AI4" i="15"/>
  <c r="AI5" i="15"/>
  <c r="AI6" i="15"/>
  <c r="AI7" i="15"/>
  <c r="AI8" i="15"/>
  <c r="AI9" i="15"/>
  <c r="AI10" i="15"/>
  <c r="AI11" i="15"/>
  <c r="AI12" i="15"/>
  <c r="AI13" i="15"/>
  <c r="AI14" i="15"/>
  <c r="AI15" i="15"/>
  <c r="AI16" i="15"/>
  <c r="AI17" i="15"/>
  <c r="AI18" i="15"/>
  <c r="AI19" i="15"/>
  <c r="AI20" i="15"/>
  <c r="AI21" i="15"/>
  <c r="AI22" i="15"/>
  <c r="AI23" i="15"/>
  <c r="AI24" i="15"/>
  <c r="AI25" i="15"/>
  <c r="AI26" i="15"/>
  <c r="AI27" i="15"/>
  <c r="AI28" i="15"/>
  <c r="AI29" i="15"/>
  <c r="AI30" i="15"/>
  <c r="AI31" i="15"/>
  <c r="AI32" i="15"/>
  <c r="AI33" i="15"/>
  <c r="AI34" i="15"/>
  <c r="AI35" i="15"/>
  <c r="AI36" i="15"/>
  <c r="AI37" i="15"/>
  <c r="AI38" i="15"/>
  <c r="AI39" i="15"/>
  <c r="AI40" i="15"/>
  <c r="AI41" i="15"/>
  <c r="AI42" i="15"/>
  <c r="AI43" i="15"/>
  <c r="AI44" i="15"/>
  <c r="AI45" i="15"/>
  <c r="AI46" i="15"/>
  <c r="AI47" i="15"/>
  <c r="AI48" i="15"/>
  <c r="AI49" i="15"/>
  <c r="AI50" i="15"/>
  <c r="AI51" i="15"/>
  <c r="AI52" i="15"/>
  <c r="AI53" i="15"/>
  <c r="AI54" i="15"/>
  <c r="AI55" i="15"/>
  <c r="AI56" i="15"/>
  <c r="AI57" i="15"/>
  <c r="AI58" i="15"/>
  <c r="AI59" i="15"/>
  <c r="AI60" i="15"/>
  <c r="AI61" i="15"/>
  <c r="AI62" i="15"/>
  <c r="AI63" i="15"/>
  <c r="AI64" i="15"/>
  <c r="AI65" i="15"/>
  <c r="AI66" i="15"/>
  <c r="AI67" i="15"/>
  <c r="AI68" i="15"/>
  <c r="AI69" i="15"/>
  <c r="AI70" i="15"/>
  <c r="AI71" i="15"/>
  <c r="AI72" i="15"/>
  <c r="AI73" i="15"/>
  <c r="AI74" i="15"/>
  <c r="AI75" i="15"/>
  <c r="AI76" i="15"/>
  <c r="AI77" i="15"/>
  <c r="AI78" i="15"/>
  <c r="AI79" i="15"/>
  <c r="AI80" i="15"/>
  <c r="AI81" i="15"/>
  <c r="AI82" i="15"/>
  <c r="AI83" i="15"/>
  <c r="AI84" i="15"/>
  <c r="AI85" i="15"/>
  <c r="AI86" i="15"/>
  <c r="AI87" i="15"/>
  <c r="AI88" i="15"/>
  <c r="AI89" i="15"/>
  <c r="AI90" i="15"/>
  <c r="AI91" i="15"/>
  <c r="AI92" i="15"/>
  <c r="AI93" i="15"/>
  <c r="AI94" i="15"/>
  <c r="AI2" i="15"/>
  <c r="AP3" i="15"/>
  <c r="AP4" i="15"/>
  <c r="AP5" i="15"/>
  <c r="AP6" i="15"/>
  <c r="AP7" i="15"/>
  <c r="AP8" i="15"/>
  <c r="AP9" i="15"/>
  <c r="AP10" i="15"/>
  <c r="AP11" i="15"/>
  <c r="AP12" i="15"/>
  <c r="AP13" i="15"/>
  <c r="AP14" i="15"/>
  <c r="AP15" i="15"/>
  <c r="AP16" i="15"/>
  <c r="AP17" i="15"/>
  <c r="AP18" i="15"/>
  <c r="AP19" i="15"/>
  <c r="AP20" i="15"/>
  <c r="AP21" i="15"/>
  <c r="AP22" i="15"/>
  <c r="AP23" i="15"/>
  <c r="AP24" i="15"/>
  <c r="AP25" i="15"/>
  <c r="AP26" i="15"/>
  <c r="AP27" i="15"/>
  <c r="AP28" i="15"/>
  <c r="AP29" i="15"/>
  <c r="AP30" i="15"/>
  <c r="AP31" i="15"/>
  <c r="AP32" i="15"/>
  <c r="AP33" i="15"/>
  <c r="AP34" i="15"/>
  <c r="AP35" i="15"/>
  <c r="AP36" i="15"/>
  <c r="AP37" i="15"/>
  <c r="AP38" i="15"/>
  <c r="AP39" i="15"/>
  <c r="AP40" i="15"/>
  <c r="AP41" i="15"/>
  <c r="AP42" i="15"/>
  <c r="AP43" i="15"/>
  <c r="AP44" i="15"/>
  <c r="AP45" i="15"/>
  <c r="AP46" i="15"/>
  <c r="AP47" i="15"/>
  <c r="AP48" i="15"/>
  <c r="AP49" i="15"/>
  <c r="AP50" i="15"/>
  <c r="AP51" i="15"/>
  <c r="AP52" i="15"/>
  <c r="AP53" i="15"/>
  <c r="AP54" i="15"/>
  <c r="AP55" i="15"/>
  <c r="AP56" i="15"/>
  <c r="AP57" i="15"/>
  <c r="AP58" i="15"/>
  <c r="AP59" i="15"/>
  <c r="AP60" i="15"/>
  <c r="AP61" i="15"/>
  <c r="AP62" i="15"/>
  <c r="AP63" i="15"/>
  <c r="AP64" i="15"/>
  <c r="AP65" i="15"/>
  <c r="AP66" i="15"/>
  <c r="AP67" i="15"/>
  <c r="AP68" i="15"/>
  <c r="AP69" i="15"/>
  <c r="AP70" i="15"/>
  <c r="AP71" i="15"/>
  <c r="AP72" i="15"/>
  <c r="AP73" i="15"/>
  <c r="AP74" i="15"/>
  <c r="AP75" i="15"/>
  <c r="AP76" i="15"/>
  <c r="AP77" i="15"/>
  <c r="AP78" i="15"/>
  <c r="AP79" i="15"/>
  <c r="AP80" i="15"/>
  <c r="AP81" i="15"/>
  <c r="AP82" i="15"/>
  <c r="AP83" i="15"/>
  <c r="AP84" i="15"/>
  <c r="AP85" i="15"/>
  <c r="AP86" i="15"/>
  <c r="AP87" i="15"/>
  <c r="AP88" i="15"/>
  <c r="AP89" i="15"/>
  <c r="AP90" i="15"/>
  <c r="AP91" i="15"/>
  <c r="AP92" i="15"/>
  <c r="AP93" i="15"/>
  <c r="AP94" i="15"/>
  <c r="AP2" i="15"/>
  <c r="AO3" i="15"/>
  <c r="AO4" i="15"/>
  <c r="AO5" i="15"/>
  <c r="AO6" i="15"/>
  <c r="AO7" i="15"/>
  <c r="AO8" i="15"/>
  <c r="AO9" i="15"/>
  <c r="AO10" i="15"/>
  <c r="AO11" i="15"/>
  <c r="AO12" i="15"/>
  <c r="AO13" i="15"/>
  <c r="AO14" i="15"/>
  <c r="AO15" i="15"/>
  <c r="AO16" i="15"/>
  <c r="AO17" i="15"/>
  <c r="AO18" i="15"/>
  <c r="AO19" i="15"/>
  <c r="AO20" i="15"/>
  <c r="AO21" i="15"/>
  <c r="AO22" i="15"/>
  <c r="AO23" i="15"/>
  <c r="AO24" i="15"/>
  <c r="AO25" i="15"/>
  <c r="AO26" i="15"/>
  <c r="AO27" i="15"/>
  <c r="AO28" i="15"/>
  <c r="AO29" i="15"/>
  <c r="AO30" i="15"/>
  <c r="AO31" i="15"/>
  <c r="AO32" i="15"/>
  <c r="AO33" i="15"/>
  <c r="AO34" i="15"/>
  <c r="AO35" i="15"/>
  <c r="AO36" i="15"/>
  <c r="AO37" i="15"/>
  <c r="AO38" i="15"/>
  <c r="AO39" i="15"/>
  <c r="AO40" i="15"/>
  <c r="AO41" i="15"/>
  <c r="AO42" i="15"/>
  <c r="AO43" i="15"/>
  <c r="AO44" i="15"/>
  <c r="AO45" i="15"/>
  <c r="AO46" i="15"/>
  <c r="AO47" i="15"/>
  <c r="AO48" i="15"/>
  <c r="AO49" i="15"/>
  <c r="AO50" i="15"/>
  <c r="AO51" i="15"/>
  <c r="AO52" i="15"/>
  <c r="AO53" i="15"/>
  <c r="AO54" i="15"/>
  <c r="AO55" i="15"/>
  <c r="AO56" i="15"/>
  <c r="AO57" i="15"/>
  <c r="AO58" i="15"/>
  <c r="AO59" i="15"/>
  <c r="AO60" i="15"/>
  <c r="AO61" i="15"/>
  <c r="AO62" i="15"/>
  <c r="AO63" i="15"/>
  <c r="AO64" i="15"/>
  <c r="AO65" i="15"/>
  <c r="AO66" i="15"/>
  <c r="AO67" i="15"/>
  <c r="AO68" i="15"/>
  <c r="AO69" i="15"/>
  <c r="AO70" i="15"/>
  <c r="AO71" i="15"/>
  <c r="AO72" i="15"/>
  <c r="AO73" i="15"/>
  <c r="AO74" i="15"/>
  <c r="AO75" i="15"/>
  <c r="AO76" i="15"/>
  <c r="AO77" i="15"/>
  <c r="AO78" i="15"/>
  <c r="AO79" i="15"/>
  <c r="AO80" i="15"/>
  <c r="AO81" i="15"/>
  <c r="AO82" i="15"/>
  <c r="AO83" i="15"/>
  <c r="AO84" i="15"/>
  <c r="AO85" i="15"/>
  <c r="AO86" i="15"/>
  <c r="AO87" i="15"/>
  <c r="AO88" i="15"/>
  <c r="AO89" i="15"/>
  <c r="AO90" i="15"/>
  <c r="AO91" i="15"/>
  <c r="AO92" i="15"/>
  <c r="AO93" i="15"/>
  <c r="AO94" i="15"/>
  <c r="AO2" i="15"/>
  <c r="B25" i="39"/>
  <c r="C25" i="39"/>
  <c r="E25" i="39"/>
  <c r="F25" i="39"/>
  <c r="G25" i="39"/>
  <c r="H25" i="39"/>
  <c r="B29" i="15"/>
  <c r="Y2" i="2" l="1"/>
  <c r="V2" i="2"/>
  <c r="AE2" i="2"/>
  <c r="AB2" i="2"/>
  <c r="AV91" i="15"/>
  <c r="AV67" i="15"/>
  <c r="AV55" i="15"/>
  <c r="AV31" i="15"/>
  <c r="AV19" i="15"/>
  <c r="AV9" i="15"/>
  <c r="AV66" i="15"/>
  <c r="AV30" i="15"/>
  <c r="AV78" i="15"/>
  <c r="AV42" i="15"/>
  <c r="AV65" i="15"/>
  <c r="AV77" i="15"/>
  <c r="AV29" i="15"/>
  <c r="AV16" i="15"/>
  <c r="AV5" i="15"/>
  <c r="AV83" i="15"/>
  <c r="AV71" i="15"/>
  <c r="AV47" i="15"/>
  <c r="AV35" i="15"/>
  <c r="AV11" i="15"/>
  <c r="X44" i="16"/>
  <c r="X32" i="16"/>
  <c r="X20" i="16"/>
  <c r="X8" i="16"/>
  <c r="AV18" i="15"/>
  <c r="AV7" i="15"/>
  <c r="AV6" i="15"/>
  <c r="AV2" i="15"/>
  <c r="AV59" i="15"/>
  <c r="AV82" i="15"/>
  <c r="AV70" i="15"/>
  <c r="AV46" i="15"/>
  <c r="AV34" i="15"/>
  <c r="X43" i="16"/>
  <c r="X31" i="16"/>
  <c r="AV89" i="15"/>
  <c r="X41" i="16"/>
  <c r="AV23" i="15"/>
  <c r="AV81" i="15"/>
  <c r="AV69" i="15"/>
  <c r="AV33" i="15"/>
  <c r="AV90" i="15"/>
  <c r="AV54" i="15"/>
  <c r="AV53" i="15"/>
  <c r="AV17" i="15"/>
  <c r="AV41" i="15"/>
  <c r="AV93" i="15"/>
  <c r="AV57" i="15"/>
  <c r="AV45" i="15"/>
  <c r="AV21" i="15"/>
  <c r="AV10" i="15"/>
  <c r="AV68" i="15"/>
  <c r="AV32" i="15"/>
  <c r="AV94" i="15"/>
  <c r="AV58" i="15"/>
  <c r="AV22" i="15"/>
  <c r="AV79" i="15"/>
  <c r="AV43" i="15"/>
  <c r="AV8" i="15"/>
  <c r="AV56" i="15"/>
  <c r="AV76" i="15"/>
  <c r="AV52" i="15"/>
  <c r="AV92" i="15"/>
  <c r="AV44" i="15"/>
  <c r="AV20" i="15"/>
  <c r="AV88" i="15"/>
  <c r="AV64" i="15"/>
  <c r="AV28" i="15"/>
  <c r="AV80" i="15"/>
  <c r="AV87" i="15"/>
  <c r="AV75" i="15"/>
  <c r="AV63" i="15"/>
  <c r="AV51" i="15"/>
  <c r="AV39" i="15"/>
  <c r="AV27" i="15"/>
  <c r="AV15" i="15"/>
  <c r="AV86" i="15"/>
  <c r="AV74" i="15"/>
  <c r="AV62" i="15"/>
  <c r="AV50" i="15"/>
  <c r="AV38" i="15"/>
  <c r="AV26" i="15"/>
  <c r="AV14" i="15"/>
  <c r="AV4" i="15"/>
  <c r="AV85" i="15"/>
  <c r="AV61" i="15"/>
  <c r="AV49" i="15"/>
  <c r="AV37" i="15"/>
  <c r="AV25" i="15"/>
  <c r="AV3" i="15"/>
  <c r="AV73" i="15"/>
  <c r="AV13" i="15"/>
  <c r="AV84" i="15"/>
  <c r="AV72" i="15"/>
  <c r="AV60" i="15"/>
  <c r="AV48" i="15"/>
  <c r="X37" i="16"/>
  <c r="X25" i="16"/>
  <c r="X13" i="16"/>
  <c r="Y2" i="16"/>
  <c r="X36" i="16"/>
  <c r="AV40" i="15"/>
  <c r="Y15" i="16"/>
  <c r="Y14" i="16"/>
  <c r="AV36" i="15"/>
  <c r="AV24" i="15"/>
  <c r="AV12" i="15"/>
  <c r="X15" i="16"/>
  <c r="X27" i="16"/>
  <c r="Y4" i="16"/>
  <c r="Y12" i="16"/>
  <c r="Y26" i="16"/>
  <c r="X40" i="16"/>
  <c r="X39" i="16"/>
  <c r="X24" i="16"/>
  <c r="X46" i="16"/>
  <c r="X34" i="16"/>
  <c r="X22" i="16"/>
  <c r="X10" i="16"/>
  <c r="X35" i="16"/>
  <c r="X23" i="16"/>
  <c r="X11" i="16"/>
  <c r="Y45" i="16"/>
  <c r="Y33" i="16"/>
  <c r="X21" i="16"/>
  <c r="Y9" i="16"/>
  <c r="Y36" i="16"/>
  <c r="X19" i="16"/>
  <c r="X7" i="16"/>
  <c r="X2" i="16"/>
  <c r="Y39" i="16"/>
  <c r="X30" i="16"/>
  <c r="Y41" i="16"/>
  <c r="X29" i="16"/>
  <c r="X17" i="16"/>
  <c r="X6" i="16"/>
  <c r="X18" i="16"/>
  <c r="Y40" i="16"/>
  <c r="Y28" i="16"/>
  <c r="X16" i="16"/>
  <c r="X5" i="16"/>
  <c r="X12" i="16"/>
  <c r="X42" i="16"/>
  <c r="Y27" i="16"/>
  <c r="X4" i="16"/>
  <c r="X38" i="16"/>
  <c r="X26" i="16"/>
  <c r="X14" i="16"/>
  <c r="Y3" i="16"/>
  <c r="Y34" i="16"/>
  <c r="Y46" i="16"/>
  <c r="X45" i="16"/>
  <c r="X33" i="16"/>
  <c r="X28" i="16"/>
  <c r="Y22" i="16"/>
  <c r="Y38" i="16"/>
  <c r="X9" i="16"/>
  <c r="Y18" i="16"/>
  <c r="Y42" i="16"/>
  <c r="Y30" i="16"/>
  <c r="Y24" i="16"/>
  <c r="Y21" i="16"/>
  <c r="Y10" i="16"/>
  <c r="Y43" i="16"/>
  <c r="Y35" i="16"/>
  <c r="Y31" i="16"/>
  <c r="Y23" i="16"/>
  <c r="Y19" i="16"/>
  <c r="Y11" i="16"/>
  <c r="Y7" i="16"/>
  <c r="Y44" i="16"/>
  <c r="Y32" i="16"/>
  <c r="Y20" i="16"/>
  <c r="Y16" i="16"/>
  <c r="Y8" i="16"/>
  <c r="Y5" i="16"/>
  <c r="AU22" i="15"/>
  <c r="X3" i="16"/>
  <c r="Y37" i="16"/>
  <c r="Y29" i="16"/>
  <c r="Y25" i="16"/>
  <c r="Y17" i="16"/>
  <c r="Y13" i="16"/>
  <c r="Y6" i="16"/>
  <c r="AU2" i="15"/>
  <c r="AU59" i="15"/>
  <c r="AU37" i="15"/>
  <c r="AU3" i="15"/>
  <c r="AU70" i="15"/>
  <c r="AU93" i="15"/>
  <c r="AU45" i="15"/>
  <c r="AU68" i="15"/>
  <c r="AU73" i="15"/>
  <c r="AU25" i="15"/>
  <c r="AU82" i="15"/>
  <c r="AU34" i="15"/>
  <c r="AU57" i="15"/>
  <c r="AU56" i="15"/>
  <c r="AU20" i="15"/>
  <c r="AU85" i="15"/>
  <c r="AU49" i="15"/>
  <c r="AU13" i="15"/>
  <c r="AU94" i="15"/>
  <c r="AU58" i="15"/>
  <c r="AU46" i="15"/>
  <c r="AU81" i="15"/>
  <c r="AU69" i="15"/>
  <c r="AU33" i="15"/>
  <c r="AU92" i="15"/>
  <c r="AU80" i="15"/>
  <c r="AU44" i="15"/>
  <c r="AU32" i="15"/>
  <c r="AU9" i="15"/>
  <c r="AU61" i="15"/>
  <c r="AU21" i="15"/>
  <c r="AU60" i="15"/>
  <c r="AU72" i="15"/>
  <c r="AU12" i="15"/>
  <c r="AU48" i="15"/>
  <c r="AU36" i="15"/>
  <c r="AU4" i="15"/>
  <c r="AU84" i="15"/>
  <c r="AU42" i="15"/>
  <c r="AU89" i="15"/>
  <c r="AU17" i="15"/>
  <c r="AU16" i="15"/>
  <c r="AU55" i="15"/>
  <c r="AU88" i="15"/>
  <c r="AU5" i="15"/>
  <c r="AU10" i="15"/>
  <c r="AU19" i="15"/>
  <c r="AU78" i="15"/>
  <c r="AU41" i="15"/>
  <c r="AU6" i="15"/>
  <c r="AU76" i="15"/>
  <c r="AU40" i="15"/>
  <c r="AU28" i="15"/>
  <c r="AU87" i="15"/>
  <c r="AU75" i="15"/>
  <c r="AU63" i="15"/>
  <c r="AU51" i="15"/>
  <c r="AU39" i="15"/>
  <c r="AU27" i="15"/>
  <c r="AU15" i="15"/>
  <c r="AU86" i="15"/>
  <c r="AU74" i="15"/>
  <c r="AU62" i="15"/>
  <c r="AU50" i="15"/>
  <c r="AU38" i="15"/>
  <c r="AU14" i="15"/>
  <c r="AU43" i="15"/>
  <c r="AU66" i="15"/>
  <c r="AU79" i="15"/>
  <c r="AU90" i="15"/>
  <c r="AU18" i="15"/>
  <c r="AU53" i="15"/>
  <c r="AU64" i="15"/>
  <c r="AU26" i="15"/>
  <c r="AU67" i="15"/>
  <c r="AU31" i="15"/>
  <c r="AU8" i="15"/>
  <c r="AU54" i="15"/>
  <c r="AU30" i="15"/>
  <c r="AU77" i="15"/>
  <c r="AU65" i="15"/>
  <c r="AU29" i="15"/>
  <c r="AU52" i="15"/>
  <c r="AU83" i="15"/>
  <c r="AU71" i="15"/>
  <c r="AU47" i="15"/>
  <c r="AU35" i="15"/>
  <c r="AU23" i="15"/>
  <c r="AU11" i="15"/>
  <c r="AU91" i="15"/>
  <c r="AU7" i="15"/>
  <c r="AU24" i="15"/>
  <c r="B11" i="15"/>
  <c r="B45" i="15"/>
  <c r="B46" i="15"/>
  <c r="B34" i="15"/>
  <c r="B35" i="15"/>
  <c r="B30" i="15"/>
  <c r="B31" i="15"/>
  <c r="B20" i="15"/>
  <c r="B21" i="15"/>
  <c r="B22" i="15"/>
  <c r="B23" i="15"/>
  <c r="B24" i="15"/>
  <c r="B38" i="15"/>
  <c r="B39" i="15"/>
  <c r="B10" i="15"/>
  <c r="B16" i="15"/>
  <c r="B17" i="15"/>
  <c r="B14" i="15"/>
  <c r="B15" i="15"/>
  <c r="B3" i="15"/>
  <c r="B4" i="15"/>
  <c r="B5" i="15"/>
  <c r="B6" i="15"/>
  <c r="B7" i="15"/>
  <c r="B8" i="15"/>
  <c r="C83" i="17" l="1"/>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2" i="2"/>
  <c r="C16" i="17"/>
  <c r="C127" i="17"/>
  <c r="C5" i="17"/>
  <c r="C107" i="17"/>
  <c r="C96" i="17"/>
  <c r="C60" i="17"/>
  <c r="C36" i="17"/>
  <c r="C46" i="17"/>
  <c r="C29" i="17"/>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H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G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F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E2" i="33"/>
  <c r="E3" i="33"/>
  <c r="E4" i="33"/>
  <c r="E5" i="33"/>
  <c r="E6" i="33"/>
  <c r="E7" i="33"/>
  <c r="E8" i="33"/>
  <c r="E9" i="33"/>
  <c r="E10" i="33"/>
  <c r="E11" i="33"/>
  <c r="E12" i="33"/>
  <c r="E13" i="33"/>
  <c r="E14" i="33"/>
  <c r="E15" i="33"/>
  <c r="E16" i="33"/>
  <c r="E17" i="33"/>
  <c r="E18" i="33"/>
  <c r="E19" i="33"/>
  <c r="E20" i="33"/>
  <c r="E21" i="33"/>
  <c r="E22" i="33"/>
  <c r="E23" i="33"/>
  <c r="E24" i="33"/>
  <c r="E25" i="33"/>
  <c r="E26" i="33"/>
  <c r="E27" i="33"/>
  <c r="E28" i="33"/>
  <c r="E29" i="33"/>
  <c r="E30" i="33"/>
  <c r="E31" i="33"/>
  <c r="E32" i="33"/>
  <c r="E33" i="33"/>
  <c r="E34" i="33"/>
  <c r="E35" i="33"/>
  <c r="E36" i="33"/>
  <c r="E37" i="33"/>
  <c r="E38" i="33"/>
  <c r="E39" i="33"/>
  <c r="E40" i="33"/>
  <c r="E41" i="33"/>
  <c r="E42" i="33"/>
  <c r="E43" i="33"/>
  <c r="E44" i="33"/>
  <c r="E45" i="33"/>
  <c r="E46" i="33"/>
  <c r="E47" i="33"/>
  <c r="E48" i="33"/>
  <c r="E49" i="33"/>
  <c r="E50" i="33"/>
  <c r="E51" i="33"/>
  <c r="E52" i="33"/>
  <c r="E53" i="33"/>
  <c r="E54" i="33"/>
  <c r="E55" i="33"/>
  <c r="E56" i="33"/>
  <c r="E57" i="33"/>
  <c r="E58" i="33"/>
  <c r="E59" i="33"/>
  <c r="E60" i="33"/>
  <c r="E61" i="33"/>
  <c r="E62" i="33"/>
  <c r="E63" i="33"/>
  <c r="E64" i="33"/>
  <c r="E65" i="33"/>
  <c r="E66" i="33"/>
  <c r="E67" i="33"/>
  <c r="E68" i="33"/>
  <c r="E69" i="33"/>
  <c r="E70" i="33"/>
  <c r="E71" i="33"/>
  <c r="E72" i="33"/>
  <c r="E73" i="33"/>
  <c r="E74" i="33"/>
  <c r="E75" i="33"/>
  <c r="E76" i="33"/>
  <c r="E77" i="33"/>
  <c r="E78" i="33"/>
  <c r="E79" i="33"/>
  <c r="E80" i="33"/>
  <c r="E81" i="33"/>
  <c r="E82" i="33"/>
  <c r="E83" i="33"/>
  <c r="E84" i="33"/>
  <c r="E85" i="33"/>
  <c r="E86" i="33"/>
  <c r="E87" i="33"/>
  <c r="E88" i="33"/>
  <c r="E89" i="33"/>
  <c r="E90" i="33"/>
  <c r="E91" i="33"/>
  <c r="E92" i="33"/>
  <c r="E93" i="33"/>
  <c r="E94" i="33"/>
  <c r="E95" i="33"/>
  <c r="E96" i="33"/>
  <c r="E97" i="33"/>
  <c r="E98" i="33"/>
  <c r="E99" i="33"/>
  <c r="E100" i="33"/>
  <c r="E101" i="33"/>
  <c r="E102" i="33"/>
  <c r="E103" i="33"/>
  <c r="E104" i="33"/>
  <c r="E105" i="33"/>
  <c r="E106" i="33"/>
  <c r="E107" i="33"/>
  <c r="E108" i="33"/>
  <c r="E109" i="33"/>
  <c r="E110" i="33"/>
  <c r="E111" i="33"/>
  <c r="E112" i="33"/>
  <c r="E113" i="33"/>
  <c r="E114" i="33"/>
  <c r="E115" i="33"/>
  <c r="E116" i="33"/>
  <c r="E117" i="33"/>
  <c r="E118" i="33"/>
  <c r="E119" i="33"/>
  <c r="E120" i="33"/>
  <c r="E121" i="33"/>
  <c r="E122" i="33"/>
  <c r="E123" i="33"/>
  <c r="E124" i="33"/>
  <c r="E125" i="33"/>
  <c r="E126" i="33"/>
  <c r="E127" i="33"/>
  <c r="E128" i="33"/>
  <c r="E129" i="33"/>
  <c r="E130" i="33"/>
  <c r="E131" i="33"/>
  <c r="E132" i="33"/>
  <c r="E133" i="33"/>
  <c r="E134" i="33"/>
  <c r="E135" i="33"/>
  <c r="E136" i="33"/>
  <c r="E137" i="33"/>
  <c r="E138" i="33"/>
  <c r="E139" i="33"/>
  <c r="E140" i="33"/>
  <c r="E141" i="33"/>
  <c r="E142" i="33"/>
  <c r="E143" i="33"/>
  <c r="E144" i="33"/>
  <c r="E145" i="33"/>
  <c r="E146" i="33"/>
  <c r="E147" i="33"/>
  <c r="E148" i="33"/>
  <c r="E149" i="33"/>
  <c r="AF337" i="2" l="1"/>
  <c r="AI337" i="2"/>
  <c r="AF348" i="2"/>
  <c r="AI348" i="2"/>
  <c r="AF312" i="2"/>
  <c r="AI312" i="2"/>
  <c r="AF311" i="2"/>
  <c r="AI311" i="2"/>
  <c r="AF314" i="2"/>
  <c r="AI314" i="2"/>
  <c r="AF313" i="2"/>
  <c r="AI313" i="2"/>
  <c r="AF336" i="2"/>
  <c r="AI336" i="2"/>
  <c r="AF346" i="2"/>
  <c r="AI346" i="2"/>
  <c r="AF334" i="2"/>
  <c r="AI334" i="2"/>
  <c r="AF322" i="2"/>
  <c r="AI322" i="2"/>
  <c r="AF310" i="2"/>
  <c r="AI310" i="2"/>
  <c r="AF338" i="2"/>
  <c r="AI338" i="2"/>
  <c r="AF345" i="2"/>
  <c r="AI345" i="2"/>
  <c r="AF333" i="2"/>
  <c r="AI333" i="2"/>
  <c r="AF321" i="2"/>
  <c r="AI321" i="2"/>
  <c r="AF309" i="2"/>
  <c r="AI309" i="2"/>
  <c r="AF350" i="2"/>
  <c r="AI350" i="2"/>
  <c r="AF344" i="2"/>
  <c r="AI344" i="2"/>
  <c r="AF332" i="2"/>
  <c r="AI332" i="2"/>
  <c r="AF320" i="2"/>
  <c r="AI320" i="2"/>
  <c r="AF308" i="2"/>
  <c r="AI308" i="2"/>
  <c r="AF347" i="2"/>
  <c r="AI347" i="2"/>
  <c r="AF343" i="2"/>
  <c r="AI343" i="2"/>
  <c r="AF331" i="2"/>
  <c r="AI331" i="2"/>
  <c r="AF319" i="2"/>
  <c r="AI319" i="2"/>
  <c r="AF307" i="2"/>
  <c r="AI307" i="2"/>
  <c r="AF323" i="2"/>
  <c r="AI323" i="2"/>
  <c r="AF342" i="2"/>
  <c r="AI342" i="2"/>
  <c r="AF330" i="2"/>
  <c r="AI330" i="2"/>
  <c r="AF318" i="2"/>
  <c r="AI318" i="2"/>
  <c r="AF306" i="2"/>
  <c r="AI306" i="2"/>
  <c r="AF335" i="2"/>
  <c r="AI335" i="2"/>
  <c r="AF341" i="2"/>
  <c r="AI341" i="2"/>
  <c r="AF329" i="2"/>
  <c r="AI329" i="2"/>
  <c r="AF317" i="2"/>
  <c r="AI317" i="2"/>
  <c r="AF305" i="2"/>
  <c r="AI305" i="2"/>
  <c r="AF349" i="2"/>
  <c r="AI349" i="2"/>
  <c r="AF340" i="2"/>
  <c r="AI340" i="2"/>
  <c r="AF328" i="2"/>
  <c r="AI328" i="2"/>
  <c r="AF316" i="2"/>
  <c r="AI316" i="2"/>
  <c r="AF304" i="2"/>
  <c r="AI304" i="2"/>
  <c r="AF326" i="2"/>
  <c r="AI326" i="2"/>
  <c r="AF325" i="2"/>
  <c r="AI325" i="2"/>
  <c r="AF324" i="2"/>
  <c r="AI324" i="2"/>
  <c r="AF339" i="2"/>
  <c r="AI339" i="2"/>
  <c r="AF327" i="2"/>
  <c r="AI327" i="2"/>
  <c r="AF315" i="2"/>
  <c r="AI315" i="2"/>
  <c r="T272" i="2"/>
  <c r="T212" i="2"/>
  <c r="T164" i="2"/>
  <c r="T92" i="2"/>
  <c r="T247" i="2"/>
  <c r="T187" i="2"/>
  <c r="T115" i="2"/>
  <c r="T290" i="2"/>
  <c r="T254" i="2"/>
  <c r="T206" i="2"/>
  <c r="T182" i="2"/>
  <c r="T158" i="2"/>
  <c r="T134" i="2"/>
  <c r="T122" i="2"/>
  <c r="T98" i="2"/>
  <c r="T74" i="2"/>
  <c r="T50" i="2"/>
  <c r="T26" i="2"/>
  <c r="T301" i="2"/>
  <c r="T289" i="2"/>
  <c r="T277" i="2"/>
  <c r="T265" i="2"/>
  <c r="T253" i="2"/>
  <c r="T241" i="2"/>
  <c r="T229" i="2"/>
  <c r="T217" i="2"/>
  <c r="T205" i="2"/>
  <c r="T193" i="2"/>
  <c r="T181" i="2"/>
  <c r="T169" i="2"/>
  <c r="T157" i="2"/>
  <c r="T145" i="2"/>
  <c r="T133" i="2"/>
  <c r="T121" i="2"/>
  <c r="T109" i="2"/>
  <c r="T97" i="2"/>
  <c r="T85" i="2"/>
  <c r="T73" i="2"/>
  <c r="T61" i="2"/>
  <c r="T49" i="2"/>
  <c r="T37" i="2"/>
  <c r="T25" i="2"/>
  <c r="T13" i="2"/>
  <c r="T296" i="2"/>
  <c r="T248" i="2"/>
  <c r="T176" i="2"/>
  <c r="T152" i="2"/>
  <c r="T116" i="2"/>
  <c r="T68" i="2"/>
  <c r="T295" i="2"/>
  <c r="T223" i="2"/>
  <c r="T175" i="2"/>
  <c r="T139" i="2"/>
  <c r="T103" i="2"/>
  <c r="T67" i="2"/>
  <c r="T7" i="2"/>
  <c r="T302" i="2"/>
  <c r="T278" i="2"/>
  <c r="T266" i="2"/>
  <c r="T242" i="2"/>
  <c r="T230" i="2"/>
  <c r="T218" i="2"/>
  <c r="T194" i="2"/>
  <c r="T170" i="2"/>
  <c r="T146" i="2"/>
  <c r="T110" i="2"/>
  <c r="T86" i="2"/>
  <c r="T62" i="2"/>
  <c r="T38" i="2"/>
  <c r="T14" i="2"/>
  <c r="T300" i="2"/>
  <c r="T288" i="2"/>
  <c r="T276" i="2"/>
  <c r="T264" i="2"/>
  <c r="T252" i="2"/>
  <c r="T240" i="2"/>
  <c r="T228" i="2"/>
  <c r="T216" i="2"/>
  <c r="T204" i="2"/>
  <c r="T192" i="2"/>
  <c r="T180" i="2"/>
  <c r="T168" i="2"/>
  <c r="T156" i="2"/>
  <c r="T144" i="2"/>
  <c r="T132" i="2"/>
  <c r="T120" i="2"/>
  <c r="T108" i="2"/>
  <c r="T96" i="2"/>
  <c r="T84" i="2"/>
  <c r="T72" i="2"/>
  <c r="T60" i="2"/>
  <c r="T48" i="2"/>
  <c r="T36" i="2"/>
  <c r="T24" i="2"/>
  <c r="T12" i="2"/>
  <c r="T200" i="2"/>
  <c r="T56" i="2"/>
  <c r="T43" i="2"/>
  <c r="T275" i="2"/>
  <c r="T83" i="2"/>
  <c r="T284" i="2"/>
  <c r="T236" i="2"/>
  <c r="T188" i="2"/>
  <c r="T140" i="2"/>
  <c r="T80" i="2"/>
  <c r="T283" i="2"/>
  <c r="T235" i="2"/>
  <c r="T163" i="2"/>
  <c r="T79" i="2"/>
  <c r="T19" i="2"/>
  <c r="T299" i="2"/>
  <c r="T287" i="2"/>
  <c r="T263" i="2"/>
  <c r="T251" i="2"/>
  <c r="T239" i="2"/>
  <c r="T227" i="2"/>
  <c r="T215" i="2"/>
  <c r="T203" i="2"/>
  <c r="T191" i="2"/>
  <c r="T179" i="2"/>
  <c r="T167" i="2"/>
  <c r="T155" i="2"/>
  <c r="T143" i="2"/>
  <c r="T131" i="2"/>
  <c r="T119" i="2"/>
  <c r="T107" i="2"/>
  <c r="T95" i="2"/>
  <c r="T71" i="2"/>
  <c r="T59" i="2"/>
  <c r="T47" i="2"/>
  <c r="T35" i="2"/>
  <c r="T23" i="2"/>
  <c r="T11" i="2"/>
  <c r="T298" i="2"/>
  <c r="T286" i="2"/>
  <c r="T274" i="2"/>
  <c r="T262" i="2"/>
  <c r="T250" i="2"/>
  <c r="T238" i="2"/>
  <c r="T226" i="2"/>
  <c r="T214" i="2"/>
  <c r="T202" i="2"/>
  <c r="T190" i="2"/>
  <c r="T178" i="2"/>
  <c r="T166" i="2"/>
  <c r="T154" i="2"/>
  <c r="T142" i="2"/>
  <c r="T130" i="2"/>
  <c r="T118" i="2"/>
  <c r="T106" i="2"/>
  <c r="T94" i="2"/>
  <c r="T82" i="2"/>
  <c r="T70" i="2"/>
  <c r="T58" i="2"/>
  <c r="T46" i="2"/>
  <c r="T34" i="2"/>
  <c r="T22" i="2"/>
  <c r="T10" i="2"/>
  <c r="T260" i="2"/>
  <c r="T128" i="2"/>
  <c r="T8" i="2"/>
  <c r="T297" i="2"/>
  <c r="T285" i="2"/>
  <c r="T273" i="2"/>
  <c r="T261" i="2"/>
  <c r="T249" i="2"/>
  <c r="T237" i="2"/>
  <c r="T225" i="2"/>
  <c r="T213" i="2"/>
  <c r="T201" i="2"/>
  <c r="T189" i="2"/>
  <c r="T177" i="2"/>
  <c r="T165" i="2"/>
  <c r="T153" i="2"/>
  <c r="T141" i="2"/>
  <c r="T129" i="2"/>
  <c r="T117" i="2"/>
  <c r="T105" i="2"/>
  <c r="T93" i="2"/>
  <c r="T81" i="2"/>
  <c r="T69" i="2"/>
  <c r="T57" i="2"/>
  <c r="T45" i="2"/>
  <c r="T33" i="2"/>
  <c r="T21" i="2"/>
  <c r="T9" i="2"/>
  <c r="T104" i="2"/>
  <c r="T211" i="2"/>
  <c r="T31" i="2"/>
  <c r="T102" i="2"/>
  <c r="T20" i="2"/>
  <c r="T271" i="2"/>
  <c r="T199" i="2"/>
  <c r="T91" i="2"/>
  <c r="T294" i="2"/>
  <c r="T270" i="2"/>
  <c r="T234" i="2"/>
  <c r="T198" i="2"/>
  <c r="T162" i="2"/>
  <c r="T126" i="2"/>
  <c r="T90" i="2"/>
  <c r="T54" i="2"/>
  <c r="T30" i="2"/>
  <c r="T293" i="2"/>
  <c r="T281" i="2"/>
  <c r="T269" i="2"/>
  <c r="T257" i="2"/>
  <c r="T245" i="2"/>
  <c r="T233" i="2"/>
  <c r="T221" i="2"/>
  <c r="T209" i="2"/>
  <c r="T197" i="2"/>
  <c r="T185" i="2"/>
  <c r="T173" i="2"/>
  <c r="T161" i="2"/>
  <c r="T149" i="2"/>
  <c r="T137" i="2"/>
  <c r="T125" i="2"/>
  <c r="T113" i="2"/>
  <c r="T101" i="2"/>
  <c r="T89" i="2"/>
  <c r="T77" i="2"/>
  <c r="T65" i="2"/>
  <c r="T53" i="2"/>
  <c r="T41" i="2"/>
  <c r="T29" i="2"/>
  <c r="T17" i="2"/>
  <c r="T5" i="2"/>
  <c r="T32" i="2"/>
  <c r="T127" i="2"/>
  <c r="T282" i="2"/>
  <c r="T246" i="2"/>
  <c r="T210" i="2"/>
  <c r="T174" i="2"/>
  <c r="T138" i="2"/>
  <c r="T78" i="2"/>
  <c r="T42" i="2"/>
  <c r="T6" i="2"/>
  <c r="T2" i="2"/>
  <c r="AI2" i="2" s="1"/>
  <c r="T292" i="2"/>
  <c r="T280" i="2"/>
  <c r="T268" i="2"/>
  <c r="T256" i="2"/>
  <c r="T244" i="2"/>
  <c r="T232" i="2"/>
  <c r="T220" i="2"/>
  <c r="T208" i="2"/>
  <c r="T196" i="2"/>
  <c r="T184" i="2"/>
  <c r="T172" i="2"/>
  <c r="T160" i="2"/>
  <c r="T148" i="2"/>
  <c r="T136" i="2"/>
  <c r="T124" i="2"/>
  <c r="T112" i="2"/>
  <c r="T100" i="2"/>
  <c r="T88" i="2"/>
  <c r="T76" i="2"/>
  <c r="T64" i="2"/>
  <c r="T52" i="2"/>
  <c r="T40" i="2"/>
  <c r="T28" i="2"/>
  <c r="T16" i="2"/>
  <c r="T4" i="2"/>
  <c r="T224" i="2"/>
  <c r="T44" i="2"/>
  <c r="T259" i="2"/>
  <c r="T151" i="2"/>
  <c r="T55" i="2"/>
  <c r="T258" i="2"/>
  <c r="T222" i="2"/>
  <c r="T186" i="2"/>
  <c r="T150" i="2"/>
  <c r="T114" i="2"/>
  <c r="T66" i="2"/>
  <c r="T18" i="2"/>
  <c r="T303" i="2"/>
  <c r="T291" i="2"/>
  <c r="T279" i="2"/>
  <c r="T267" i="2"/>
  <c r="T255" i="2"/>
  <c r="T243" i="2"/>
  <c r="T231" i="2"/>
  <c r="T219" i="2"/>
  <c r="T207" i="2"/>
  <c r="T195" i="2"/>
  <c r="T183" i="2"/>
  <c r="T171" i="2"/>
  <c r="T159" i="2"/>
  <c r="T147" i="2"/>
  <c r="T135" i="2"/>
  <c r="T123" i="2"/>
  <c r="T111" i="2"/>
  <c r="T99" i="2"/>
  <c r="T87" i="2"/>
  <c r="T75" i="2"/>
  <c r="T63" i="2"/>
  <c r="T51" i="2"/>
  <c r="T39" i="2"/>
  <c r="T27" i="2"/>
  <c r="T15" i="2"/>
  <c r="T3" i="2"/>
  <c r="B48" i="35"/>
  <c r="E48" i="35"/>
  <c r="F48" i="35"/>
  <c r="G48" i="35"/>
  <c r="H48" i="35"/>
  <c r="B49" i="35"/>
  <c r="E49" i="35"/>
  <c r="F49" i="35"/>
  <c r="G49" i="35"/>
  <c r="H49" i="35"/>
  <c r="B50" i="35"/>
  <c r="E50" i="35"/>
  <c r="F50" i="35"/>
  <c r="G50" i="35"/>
  <c r="H50" i="35"/>
  <c r="B51" i="35"/>
  <c r="C51" i="35"/>
  <c r="I51" i="35" s="1"/>
  <c r="E51" i="35"/>
  <c r="F51" i="35"/>
  <c r="G51" i="35"/>
  <c r="H51" i="35"/>
  <c r="B52" i="35"/>
  <c r="C52" i="35"/>
  <c r="I52" i="35" s="1"/>
  <c r="E52" i="35"/>
  <c r="F52" i="35"/>
  <c r="G52" i="35"/>
  <c r="H52" i="35"/>
  <c r="B53" i="35"/>
  <c r="C53" i="35"/>
  <c r="I53" i="35" s="1"/>
  <c r="E53" i="35"/>
  <c r="F53" i="35"/>
  <c r="G53" i="35"/>
  <c r="H53" i="35"/>
  <c r="B54" i="35"/>
  <c r="C54" i="35"/>
  <c r="I54" i="35" s="1"/>
  <c r="E54" i="35"/>
  <c r="F54" i="35"/>
  <c r="G54" i="35"/>
  <c r="H54" i="35"/>
  <c r="B55" i="35"/>
  <c r="C55" i="35"/>
  <c r="I55" i="35" s="1"/>
  <c r="E55" i="35"/>
  <c r="F55" i="35"/>
  <c r="G55" i="35"/>
  <c r="H55" i="35"/>
  <c r="B56" i="35"/>
  <c r="C56" i="35"/>
  <c r="I56" i="35" s="1"/>
  <c r="E56" i="35"/>
  <c r="F56" i="35"/>
  <c r="G56" i="35"/>
  <c r="H56" i="35"/>
  <c r="B57" i="35"/>
  <c r="C57" i="35"/>
  <c r="I57" i="35" s="1"/>
  <c r="E57" i="35"/>
  <c r="F57" i="35"/>
  <c r="G57" i="35"/>
  <c r="H57" i="35"/>
  <c r="B58" i="35"/>
  <c r="C58" i="35"/>
  <c r="I58" i="35" s="1"/>
  <c r="E58" i="35"/>
  <c r="F58" i="35"/>
  <c r="G58" i="35"/>
  <c r="H58" i="35"/>
  <c r="B59" i="35"/>
  <c r="C59" i="35"/>
  <c r="I59" i="35" s="1"/>
  <c r="E59" i="35"/>
  <c r="F59" i="35"/>
  <c r="G59" i="35"/>
  <c r="H59" i="35"/>
  <c r="B60" i="35"/>
  <c r="C60" i="35"/>
  <c r="I60" i="35" s="1"/>
  <c r="E60" i="35"/>
  <c r="F60" i="35"/>
  <c r="G60" i="35"/>
  <c r="H60" i="35"/>
  <c r="B61" i="35"/>
  <c r="C61" i="35"/>
  <c r="I61" i="35" s="1"/>
  <c r="E61" i="35"/>
  <c r="F61" i="35"/>
  <c r="G61" i="35"/>
  <c r="H61" i="35"/>
  <c r="B62" i="35"/>
  <c r="C62" i="35"/>
  <c r="I62" i="35" s="1"/>
  <c r="E62" i="35"/>
  <c r="F62" i="35"/>
  <c r="G62" i="35"/>
  <c r="H62" i="35"/>
  <c r="B63" i="35"/>
  <c r="C63" i="35"/>
  <c r="I63" i="35" s="1"/>
  <c r="E63" i="35"/>
  <c r="F63" i="35"/>
  <c r="G63" i="35"/>
  <c r="H63" i="35"/>
  <c r="B64" i="35"/>
  <c r="C64" i="35"/>
  <c r="I64" i="35" s="1"/>
  <c r="E64" i="35"/>
  <c r="F64" i="35"/>
  <c r="G64" i="35"/>
  <c r="H64" i="35"/>
  <c r="B65" i="35"/>
  <c r="C65" i="35"/>
  <c r="I65" i="35" s="1"/>
  <c r="E65" i="35"/>
  <c r="F65" i="35"/>
  <c r="G65" i="35"/>
  <c r="H65" i="35"/>
  <c r="B66" i="35"/>
  <c r="C66" i="35"/>
  <c r="I66" i="35" s="1"/>
  <c r="E66" i="35"/>
  <c r="F66" i="35"/>
  <c r="G66" i="35"/>
  <c r="H66" i="35"/>
  <c r="B67" i="35"/>
  <c r="C67" i="35"/>
  <c r="I67" i="35" s="1"/>
  <c r="E67" i="35"/>
  <c r="F67" i="35"/>
  <c r="G67" i="35"/>
  <c r="H67" i="35"/>
  <c r="B68" i="35"/>
  <c r="C68" i="35"/>
  <c r="I68" i="35" s="1"/>
  <c r="E68" i="35"/>
  <c r="F68" i="35"/>
  <c r="G68" i="35"/>
  <c r="H68" i="35"/>
  <c r="B69" i="35"/>
  <c r="C69" i="35"/>
  <c r="I69" i="35" s="1"/>
  <c r="E69" i="35"/>
  <c r="F69" i="35"/>
  <c r="G69" i="35"/>
  <c r="H69" i="35"/>
  <c r="B70" i="35"/>
  <c r="C70" i="35"/>
  <c r="I70" i="35" s="1"/>
  <c r="E70" i="35"/>
  <c r="F70" i="35"/>
  <c r="G70" i="35"/>
  <c r="H70" i="35"/>
  <c r="B71" i="35"/>
  <c r="C71" i="35"/>
  <c r="I71" i="35" s="1"/>
  <c r="E71" i="35"/>
  <c r="F71" i="35"/>
  <c r="G71" i="35"/>
  <c r="H71" i="35"/>
  <c r="B72" i="35"/>
  <c r="C72" i="35"/>
  <c r="I72" i="35" s="1"/>
  <c r="E72" i="35"/>
  <c r="F72" i="35"/>
  <c r="G72" i="35"/>
  <c r="H72" i="35"/>
  <c r="B73" i="35"/>
  <c r="C73" i="35"/>
  <c r="I73" i="35" s="1"/>
  <c r="E73" i="35"/>
  <c r="F73" i="35"/>
  <c r="G73" i="35"/>
  <c r="H73" i="35"/>
  <c r="B74" i="35"/>
  <c r="C74" i="35"/>
  <c r="I74" i="35" s="1"/>
  <c r="E74" i="35"/>
  <c r="F74" i="35"/>
  <c r="G74" i="35"/>
  <c r="H74" i="35"/>
  <c r="B75" i="35"/>
  <c r="C75" i="35"/>
  <c r="I75" i="35" s="1"/>
  <c r="E75" i="35"/>
  <c r="F75" i="35"/>
  <c r="G75" i="35"/>
  <c r="H75" i="35"/>
  <c r="B76" i="35"/>
  <c r="C76" i="35"/>
  <c r="I76" i="35" s="1"/>
  <c r="E76" i="35"/>
  <c r="F76" i="35"/>
  <c r="G76" i="35"/>
  <c r="H76" i="35"/>
  <c r="B77" i="35"/>
  <c r="C77" i="35"/>
  <c r="I77" i="35" s="1"/>
  <c r="E77" i="35"/>
  <c r="F77" i="35"/>
  <c r="G77" i="35"/>
  <c r="H77" i="35"/>
  <c r="B78" i="35"/>
  <c r="C78" i="35"/>
  <c r="I78" i="35" s="1"/>
  <c r="E78" i="35"/>
  <c r="F78" i="35"/>
  <c r="G78" i="35"/>
  <c r="H78" i="35"/>
  <c r="B79" i="35"/>
  <c r="C79" i="35"/>
  <c r="I79" i="35" s="1"/>
  <c r="E79" i="35"/>
  <c r="F79" i="35"/>
  <c r="G79" i="35"/>
  <c r="H79" i="35"/>
  <c r="B80" i="35"/>
  <c r="C80" i="35"/>
  <c r="I80" i="35" s="1"/>
  <c r="E80" i="35"/>
  <c r="F80" i="35"/>
  <c r="G80" i="35"/>
  <c r="H80" i="35"/>
  <c r="B81" i="35"/>
  <c r="C81" i="35"/>
  <c r="I81" i="35" s="1"/>
  <c r="E81" i="35"/>
  <c r="F81" i="35"/>
  <c r="G81" i="35"/>
  <c r="H81" i="35"/>
  <c r="B15" i="33"/>
  <c r="B16" i="33"/>
  <c r="C24" i="33"/>
  <c r="C25"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AF291" i="2" l="1"/>
  <c r="AI291" i="2"/>
  <c r="AF10" i="2"/>
  <c r="AI10" i="2"/>
  <c r="AF295" i="2"/>
  <c r="AI295" i="2"/>
  <c r="AF15" i="2"/>
  <c r="AI15" i="2"/>
  <c r="AF32" i="2"/>
  <c r="AI32" i="2"/>
  <c r="AF199" i="2"/>
  <c r="AI199" i="2"/>
  <c r="AF69" i="2"/>
  <c r="AI69" i="2"/>
  <c r="AF213" i="2"/>
  <c r="AI213" i="2"/>
  <c r="AF11" i="2"/>
  <c r="AI11" i="2"/>
  <c r="AF230" i="2"/>
  <c r="AI230" i="2"/>
  <c r="AF85" i="2"/>
  <c r="AI85" i="2"/>
  <c r="AF229" i="2"/>
  <c r="AI229" i="2"/>
  <c r="AF134" i="2"/>
  <c r="AI134" i="2"/>
  <c r="AF272" i="2"/>
  <c r="AI272" i="2"/>
  <c r="AF27" i="2"/>
  <c r="AI27" i="2"/>
  <c r="AF171" i="2"/>
  <c r="AI171" i="2"/>
  <c r="AF18" i="2"/>
  <c r="AI18" i="2"/>
  <c r="AF4" i="2"/>
  <c r="AI4" i="2"/>
  <c r="AF148" i="2"/>
  <c r="AI148" i="2"/>
  <c r="AF292" i="2"/>
  <c r="AI292" i="2"/>
  <c r="AF5" i="2"/>
  <c r="AI5" i="2"/>
  <c r="AF149" i="2"/>
  <c r="AI149" i="2"/>
  <c r="AF293" i="2"/>
  <c r="AI293" i="2"/>
  <c r="AF271" i="2"/>
  <c r="AI271" i="2"/>
  <c r="AF81" i="2"/>
  <c r="AI81" i="2"/>
  <c r="AF225" i="2"/>
  <c r="AI225" i="2"/>
  <c r="AF34" i="2"/>
  <c r="AI34" i="2"/>
  <c r="AF178" i="2"/>
  <c r="AI178" i="2"/>
  <c r="AF23" i="2"/>
  <c r="AI23" i="2"/>
  <c r="AF179" i="2"/>
  <c r="AI179" i="2"/>
  <c r="AF163" i="2"/>
  <c r="AI163" i="2"/>
  <c r="AF200" i="2"/>
  <c r="AI200" i="2"/>
  <c r="AF144" i="2"/>
  <c r="AI144" i="2"/>
  <c r="AF288" i="2"/>
  <c r="AI288" i="2"/>
  <c r="AF242" i="2"/>
  <c r="AI242" i="2"/>
  <c r="AF116" i="2"/>
  <c r="AI116" i="2"/>
  <c r="AF97" i="2"/>
  <c r="AI97" i="2"/>
  <c r="AF241" i="2"/>
  <c r="AI241" i="2"/>
  <c r="AF158" i="2"/>
  <c r="AI158" i="2"/>
  <c r="AF44" i="2"/>
  <c r="AI44" i="2"/>
  <c r="AF201" i="2"/>
  <c r="AI201" i="2"/>
  <c r="AF43" i="2"/>
  <c r="AI43" i="2"/>
  <c r="AF122" i="2"/>
  <c r="AI122" i="2"/>
  <c r="AF303" i="2"/>
  <c r="AI303" i="2"/>
  <c r="AF79" i="2"/>
  <c r="AI79" i="2"/>
  <c r="AF39" i="2"/>
  <c r="AI39" i="2"/>
  <c r="AF17" i="2"/>
  <c r="AI17" i="2"/>
  <c r="AF237" i="2"/>
  <c r="AI237" i="2"/>
  <c r="AF191" i="2"/>
  <c r="AI191" i="2"/>
  <c r="AF253" i="2"/>
  <c r="AI253" i="2"/>
  <c r="AF51" i="2"/>
  <c r="AI51" i="2"/>
  <c r="AF195" i="2"/>
  <c r="AI195" i="2"/>
  <c r="AF114" i="2"/>
  <c r="AI114" i="2"/>
  <c r="AF28" i="2"/>
  <c r="AI28" i="2"/>
  <c r="AF172" i="2"/>
  <c r="AI172" i="2"/>
  <c r="AF6" i="2"/>
  <c r="AI6" i="2"/>
  <c r="AF29" i="2"/>
  <c r="AI29" i="2"/>
  <c r="AF173" i="2"/>
  <c r="AI173" i="2"/>
  <c r="AF54" i="2"/>
  <c r="AI54" i="2"/>
  <c r="AF102" i="2"/>
  <c r="AI102" i="2"/>
  <c r="AF105" i="2"/>
  <c r="AI105" i="2"/>
  <c r="AF249" i="2"/>
  <c r="AI249" i="2"/>
  <c r="AF58" i="2"/>
  <c r="AI58" i="2"/>
  <c r="AF202" i="2"/>
  <c r="AI202" i="2"/>
  <c r="AF47" i="2"/>
  <c r="AI47" i="2"/>
  <c r="AF203" i="2"/>
  <c r="AI203" i="2"/>
  <c r="AF283" i="2"/>
  <c r="AI283" i="2"/>
  <c r="AF24" i="2"/>
  <c r="AI24" i="2"/>
  <c r="AF168" i="2"/>
  <c r="AI168" i="2"/>
  <c r="AF14" i="2"/>
  <c r="AI14" i="2"/>
  <c r="AF278" i="2"/>
  <c r="AI278" i="2"/>
  <c r="AF176" i="2"/>
  <c r="AI176" i="2"/>
  <c r="AF121" i="2"/>
  <c r="AI121" i="2"/>
  <c r="AF265" i="2"/>
  <c r="AI265" i="2"/>
  <c r="AF206" i="2"/>
  <c r="AI206" i="2"/>
  <c r="AF147" i="2"/>
  <c r="AI147" i="2"/>
  <c r="AF91" i="2"/>
  <c r="AI91" i="2"/>
  <c r="AF120" i="2"/>
  <c r="AI120" i="2"/>
  <c r="AF159" i="2"/>
  <c r="AI159" i="2"/>
  <c r="AF22" i="2"/>
  <c r="AI22" i="2"/>
  <c r="AF35" i="2"/>
  <c r="AI35" i="2"/>
  <c r="AF152" i="2"/>
  <c r="AI152" i="2"/>
  <c r="AF63" i="2"/>
  <c r="AI63" i="2"/>
  <c r="AF184" i="2"/>
  <c r="AI184" i="2"/>
  <c r="AF42" i="2"/>
  <c r="AI42" i="2"/>
  <c r="AF41" i="2"/>
  <c r="AI41" i="2"/>
  <c r="AF185" i="2"/>
  <c r="AI185" i="2"/>
  <c r="AF90" i="2"/>
  <c r="AI90" i="2"/>
  <c r="AF31" i="2"/>
  <c r="AI31" i="2"/>
  <c r="AF117" i="2"/>
  <c r="AI117" i="2"/>
  <c r="AF261" i="2"/>
  <c r="AI261" i="2"/>
  <c r="AF70" i="2"/>
  <c r="AI70" i="2"/>
  <c r="AF214" i="2"/>
  <c r="AI214" i="2"/>
  <c r="AF59" i="2"/>
  <c r="AI59" i="2"/>
  <c r="AF215" i="2"/>
  <c r="AI215" i="2"/>
  <c r="AF80" i="2"/>
  <c r="AI80" i="2"/>
  <c r="AF36" i="2"/>
  <c r="AI36" i="2"/>
  <c r="AF180" i="2"/>
  <c r="AI180" i="2"/>
  <c r="AF38" i="2"/>
  <c r="AI38" i="2"/>
  <c r="AF302" i="2"/>
  <c r="AI302" i="2"/>
  <c r="AF248" i="2"/>
  <c r="AI248" i="2"/>
  <c r="AF133" i="2"/>
  <c r="AI133" i="2"/>
  <c r="AF277" i="2"/>
  <c r="AI277" i="2"/>
  <c r="AF254" i="2"/>
  <c r="AI254" i="2"/>
  <c r="AF124" i="2"/>
  <c r="AI124" i="2"/>
  <c r="AF298" i="2"/>
  <c r="AI298" i="2"/>
  <c r="AF132" i="2"/>
  <c r="AI132" i="2"/>
  <c r="AF160" i="2"/>
  <c r="AI160" i="2"/>
  <c r="AF46" i="2"/>
  <c r="AI46" i="2"/>
  <c r="AF266" i="2"/>
  <c r="AI266" i="2"/>
  <c r="AF75" i="2"/>
  <c r="AI75" i="2"/>
  <c r="AF219" i="2"/>
  <c r="AI219" i="2"/>
  <c r="AF186" i="2"/>
  <c r="AI186" i="2"/>
  <c r="AF52" i="2"/>
  <c r="AI52" i="2"/>
  <c r="AF196" i="2"/>
  <c r="AI196" i="2"/>
  <c r="AF78" i="2"/>
  <c r="AI78" i="2"/>
  <c r="AF53" i="2"/>
  <c r="AI53" i="2"/>
  <c r="AF197" i="2"/>
  <c r="AI197" i="2"/>
  <c r="AF126" i="2"/>
  <c r="AI126" i="2"/>
  <c r="AF211" i="2"/>
  <c r="AI211" i="2"/>
  <c r="AF129" i="2"/>
  <c r="AI129" i="2"/>
  <c r="AF273" i="2"/>
  <c r="AI273" i="2"/>
  <c r="AF82" i="2"/>
  <c r="AI82" i="2"/>
  <c r="AF226" i="2"/>
  <c r="AI226" i="2"/>
  <c r="AF71" i="2"/>
  <c r="AI71" i="2"/>
  <c r="AF227" i="2"/>
  <c r="AI227" i="2"/>
  <c r="AF140" i="2"/>
  <c r="AI140" i="2"/>
  <c r="AF48" i="2"/>
  <c r="AI48" i="2"/>
  <c r="AF192" i="2"/>
  <c r="AI192" i="2"/>
  <c r="AF62" i="2"/>
  <c r="AI62" i="2"/>
  <c r="AF7" i="2"/>
  <c r="AI7" i="2"/>
  <c r="AF296" i="2"/>
  <c r="AI296" i="2"/>
  <c r="AF145" i="2"/>
  <c r="AI145" i="2"/>
  <c r="AF289" i="2"/>
  <c r="AI289" i="2"/>
  <c r="AF290" i="2"/>
  <c r="AI290" i="2"/>
  <c r="AF268" i="2"/>
  <c r="AI268" i="2"/>
  <c r="AF19" i="2"/>
  <c r="AI19" i="2"/>
  <c r="AF280" i="2"/>
  <c r="AI280" i="2"/>
  <c r="AF281" i="2"/>
  <c r="AI281" i="2"/>
  <c r="AF276" i="2"/>
  <c r="AI276" i="2"/>
  <c r="AF66" i="2"/>
  <c r="AI66" i="2"/>
  <c r="AF93" i="2"/>
  <c r="AI93" i="2"/>
  <c r="AF300" i="2"/>
  <c r="AI300" i="2"/>
  <c r="AF87" i="2"/>
  <c r="AI87" i="2"/>
  <c r="AF231" i="2"/>
  <c r="AI231" i="2"/>
  <c r="AF222" i="2"/>
  <c r="AI222" i="2"/>
  <c r="AF64" i="2"/>
  <c r="AI64" i="2"/>
  <c r="AF208" i="2"/>
  <c r="AI208" i="2"/>
  <c r="AF138" i="2"/>
  <c r="AI138" i="2"/>
  <c r="AF65" i="2"/>
  <c r="AI65" i="2"/>
  <c r="AF209" i="2"/>
  <c r="AI209" i="2"/>
  <c r="AF162" i="2"/>
  <c r="AI162" i="2"/>
  <c r="AF104" i="2"/>
  <c r="AI104" i="2"/>
  <c r="AF141" i="2"/>
  <c r="AI141" i="2"/>
  <c r="AF285" i="2"/>
  <c r="AI285" i="2"/>
  <c r="AF94" i="2"/>
  <c r="AI94" i="2"/>
  <c r="AF238" i="2"/>
  <c r="AI238" i="2"/>
  <c r="AF95" i="2"/>
  <c r="AI95" i="2"/>
  <c r="AF239" i="2"/>
  <c r="AI239" i="2"/>
  <c r="AF188" i="2"/>
  <c r="AI188" i="2"/>
  <c r="AF60" i="2"/>
  <c r="AI60" i="2"/>
  <c r="AF204" i="2"/>
  <c r="AI204" i="2"/>
  <c r="AF86" i="2"/>
  <c r="AI86" i="2"/>
  <c r="AF67" i="2"/>
  <c r="AI67" i="2"/>
  <c r="AF13" i="2"/>
  <c r="AI13" i="2"/>
  <c r="AF157" i="2"/>
  <c r="AI157" i="2"/>
  <c r="AF301" i="2"/>
  <c r="AI301" i="2"/>
  <c r="AF115" i="2"/>
  <c r="AI115" i="2"/>
  <c r="AF269" i="2"/>
  <c r="AI269" i="2"/>
  <c r="AF264" i="2"/>
  <c r="AI264" i="2"/>
  <c r="AF137" i="2"/>
  <c r="AI137" i="2"/>
  <c r="AF68" i="2"/>
  <c r="AI68" i="2"/>
  <c r="AF30" i="2"/>
  <c r="AI30" i="2"/>
  <c r="AF156" i="2"/>
  <c r="AI156" i="2"/>
  <c r="AF40" i="2"/>
  <c r="AI40" i="2"/>
  <c r="AF99" i="2"/>
  <c r="AI99" i="2"/>
  <c r="AF243" i="2"/>
  <c r="AI243" i="2"/>
  <c r="AF258" i="2"/>
  <c r="AI258" i="2"/>
  <c r="AF76" i="2"/>
  <c r="AI76" i="2"/>
  <c r="AF220" i="2"/>
  <c r="AI220" i="2"/>
  <c r="AF174" i="2"/>
  <c r="AI174" i="2"/>
  <c r="AF77" i="2"/>
  <c r="AI77" i="2"/>
  <c r="AF221" i="2"/>
  <c r="AI221" i="2"/>
  <c r="AF198" i="2"/>
  <c r="AI198" i="2"/>
  <c r="AF9" i="2"/>
  <c r="AI9" i="2"/>
  <c r="AF153" i="2"/>
  <c r="AI153" i="2"/>
  <c r="AF297" i="2"/>
  <c r="AI297" i="2"/>
  <c r="AF106" i="2"/>
  <c r="AI106" i="2"/>
  <c r="AF250" i="2"/>
  <c r="AI250" i="2"/>
  <c r="AF107" i="2"/>
  <c r="AI107" i="2"/>
  <c r="AF251" i="2"/>
  <c r="AI251" i="2"/>
  <c r="AF236" i="2"/>
  <c r="AI236" i="2"/>
  <c r="AF72" i="2"/>
  <c r="AI72" i="2"/>
  <c r="AF216" i="2"/>
  <c r="AI216" i="2"/>
  <c r="AF110" i="2"/>
  <c r="AI110" i="2"/>
  <c r="AF103" i="2"/>
  <c r="AI103" i="2"/>
  <c r="AF25" i="2"/>
  <c r="AI25" i="2"/>
  <c r="AF169" i="2"/>
  <c r="AI169" i="2"/>
  <c r="AF26" i="2"/>
  <c r="AI26" i="2"/>
  <c r="AF187" i="2"/>
  <c r="AI187" i="2"/>
  <c r="AF127" i="2"/>
  <c r="AI127" i="2"/>
  <c r="AF154" i="2"/>
  <c r="AI154" i="2"/>
  <c r="AF212" i="2"/>
  <c r="AI212" i="2"/>
  <c r="AF136" i="2"/>
  <c r="AI136" i="2"/>
  <c r="AF166" i="2"/>
  <c r="AI166" i="2"/>
  <c r="AF161" i="2"/>
  <c r="AI161" i="2"/>
  <c r="AF12" i="2"/>
  <c r="AI12" i="2"/>
  <c r="AF111" i="2"/>
  <c r="AI111" i="2"/>
  <c r="AF255" i="2"/>
  <c r="AI255" i="2"/>
  <c r="AF55" i="2"/>
  <c r="AI55" i="2"/>
  <c r="AF88" i="2"/>
  <c r="AI88" i="2"/>
  <c r="AF232" i="2"/>
  <c r="AI232" i="2"/>
  <c r="AF210" i="2"/>
  <c r="AI210" i="2"/>
  <c r="AF89" i="2"/>
  <c r="AI89" i="2"/>
  <c r="AF233" i="2"/>
  <c r="AI233" i="2"/>
  <c r="AF234" i="2"/>
  <c r="AI234" i="2"/>
  <c r="AF21" i="2"/>
  <c r="AI21" i="2"/>
  <c r="AF165" i="2"/>
  <c r="AI165" i="2"/>
  <c r="AF8" i="2"/>
  <c r="AI8" i="2"/>
  <c r="AF118" i="2"/>
  <c r="AI118" i="2"/>
  <c r="AF262" i="2"/>
  <c r="AI262" i="2"/>
  <c r="AF119" i="2"/>
  <c r="AI119" i="2"/>
  <c r="AF263" i="2"/>
  <c r="AI263" i="2"/>
  <c r="AF284" i="2"/>
  <c r="AI284" i="2"/>
  <c r="AF84" i="2"/>
  <c r="AI84" i="2"/>
  <c r="AF228" i="2"/>
  <c r="AI228" i="2"/>
  <c r="AF146" i="2"/>
  <c r="AI146" i="2"/>
  <c r="AF139" i="2"/>
  <c r="AI139" i="2"/>
  <c r="AF37" i="2"/>
  <c r="AI37" i="2"/>
  <c r="AF181" i="2"/>
  <c r="AI181" i="2"/>
  <c r="AF50" i="2"/>
  <c r="AI50" i="2"/>
  <c r="AF247" i="2"/>
  <c r="AI247" i="2"/>
  <c r="AF3" i="2"/>
  <c r="AI3" i="2"/>
  <c r="AF57" i="2"/>
  <c r="AI57" i="2"/>
  <c r="AF218" i="2"/>
  <c r="AI218" i="2"/>
  <c r="AF224" i="2"/>
  <c r="AI224" i="2"/>
  <c r="AF167" i="2"/>
  <c r="AI167" i="2"/>
  <c r="AF16" i="2"/>
  <c r="AI16" i="2"/>
  <c r="AF190" i="2"/>
  <c r="AI190" i="2"/>
  <c r="AF109" i="2"/>
  <c r="AI109" i="2"/>
  <c r="AF207" i="2"/>
  <c r="AI207" i="2"/>
  <c r="AF123" i="2"/>
  <c r="AI123" i="2"/>
  <c r="AF267" i="2"/>
  <c r="AI267" i="2"/>
  <c r="AF151" i="2"/>
  <c r="AI151" i="2"/>
  <c r="AF100" i="2"/>
  <c r="AI100" i="2"/>
  <c r="AF244" i="2"/>
  <c r="AI244" i="2"/>
  <c r="AF246" i="2"/>
  <c r="AI246" i="2"/>
  <c r="AF101" i="2"/>
  <c r="AI101" i="2"/>
  <c r="AF245" i="2"/>
  <c r="AI245" i="2"/>
  <c r="AF270" i="2"/>
  <c r="AI270" i="2"/>
  <c r="AF33" i="2"/>
  <c r="AI33" i="2"/>
  <c r="AF177" i="2"/>
  <c r="AI177" i="2"/>
  <c r="AF128" i="2"/>
  <c r="AI128" i="2"/>
  <c r="AF130" i="2"/>
  <c r="AI130" i="2"/>
  <c r="AF274" i="2"/>
  <c r="AI274" i="2"/>
  <c r="AF131" i="2"/>
  <c r="AI131" i="2"/>
  <c r="AF287" i="2"/>
  <c r="AI287" i="2"/>
  <c r="AF83" i="2"/>
  <c r="AI83" i="2"/>
  <c r="AF96" i="2"/>
  <c r="AI96" i="2"/>
  <c r="AF240" i="2"/>
  <c r="AI240" i="2"/>
  <c r="AF170" i="2"/>
  <c r="AI170" i="2"/>
  <c r="AF175" i="2"/>
  <c r="AI175" i="2"/>
  <c r="AF49" i="2"/>
  <c r="AI49" i="2"/>
  <c r="AF193" i="2"/>
  <c r="AI193" i="2"/>
  <c r="AF74" i="2"/>
  <c r="AI74" i="2"/>
  <c r="AF92" i="2"/>
  <c r="AI92" i="2"/>
  <c r="AF125" i="2"/>
  <c r="AI125" i="2"/>
  <c r="AF155" i="2"/>
  <c r="AI155" i="2"/>
  <c r="AF73" i="2"/>
  <c r="AI73" i="2"/>
  <c r="AF217" i="2"/>
  <c r="AI217" i="2"/>
  <c r="AF56" i="2"/>
  <c r="AI56" i="2"/>
  <c r="AF183" i="2"/>
  <c r="AI183" i="2"/>
  <c r="AF20" i="2"/>
  <c r="AI20" i="2"/>
  <c r="AF235" i="2"/>
  <c r="AI235" i="2"/>
  <c r="AF182" i="2"/>
  <c r="AI182" i="2"/>
  <c r="AF150" i="2"/>
  <c r="AI150" i="2"/>
  <c r="AF135" i="2"/>
  <c r="AI135" i="2"/>
  <c r="AF279" i="2"/>
  <c r="AI279" i="2"/>
  <c r="AF259" i="2"/>
  <c r="AI259" i="2"/>
  <c r="AF112" i="2"/>
  <c r="AI112" i="2"/>
  <c r="AF256" i="2"/>
  <c r="AI256" i="2"/>
  <c r="AF282" i="2"/>
  <c r="AI282" i="2"/>
  <c r="AF113" i="2"/>
  <c r="AI113" i="2"/>
  <c r="AF257" i="2"/>
  <c r="AI257" i="2"/>
  <c r="AF294" i="2"/>
  <c r="AI294" i="2"/>
  <c r="AF45" i="2"/>
  <c r="AI45" i="2"/>
  <c r="AF189" i="2"/>
  <c r="AI189" i="2"/>
  <c r="AF260" i="2"/>
  <c r="AI260" i="2"/>
  <c r="AF142" i="2"/>
  <c r="AI142" i="2"/>
  <c r="AF286" i="2"/>
  <c r="AI286" i="2"/>
  <c r="AF143" i="2"/>
  <c r="AI143" i="2"/>
  <c r="AF299" i="2"/>
  <c r="AI299" i="2"/>
  <c r="AF275" i="2"/>
  <c r="AI275" i="2"/>
  <c r="AF108" i="2"/>
  <c r="AI108" i="2"/>
  <c r="AF252" i="2"/>
  <c r="AI252" i="2"/>
  <c r="AF194" i="2"/>
  <c r="AI194" i="2"/>
  <c r="AF223" i="2"/>
  <c r="AI223" i="2"/>
  <c r="AF61" i="2"/>
  <c r="AI61" i="2"/>
  <c r="AF205" i="2"/>
  <c r="AI205" i="2"/>
  <c r="AF98" i="2"/>
  <c r="AI98" i="2"/>
  <c r="AF164" i="2"/>
  <c r="AI164" i="2"/>
  <c r="AC2" i="2"/>
  <c r="AF2" i="2"/>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40" i="37"/>
  <c r="E41"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B19" i="33"/>
  <c r="B20"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S12" i="2" l="1"/>
  <c r="AH12" i="2" s="1"/>
  <c r="B18" i="15"/>
  <c r="C94" i="15"/>
  <c r="B13" i="15"/>
  <c r="J3" i="33" l="1"/>
  <c r="J16" i="33"/>
  <c r="J28" i="33"/>
  <c r="J40" i="33"/>
  <c r="J52" i="33"/>
  <c r="J64" i="33"/>
  <c r="J76" i="33"/>
  <c r="J100" i="33"/>
  <c r="J30" i="33"/>
  <c r="J78" i="33"/>
  <c r="J67" i="33"/>
  <c r="J56" i="33"/>
  <c r="J140" i="33"/>
  <c r="J5" i="33"/>
  <c r="J17" i="33"/>
  <c r="J29" i="33"/>
  <c r="J41" i="33"/>
  <c r="J53" i="33"/>
  <c r="J65" i="33"/>
  <c r="J77" i="33"/>
  <c r="J89" i="33"/>
  <c r="J101" i="33"/>
  <c r="J113" i="33"/>
  <c r="J125" i="33"/>
  <c r="J137" i="33"/>
  <c r="J149" i="33"/>
  <c r="J18" i="33"/>
  <c r="J42" i="33"/>
  <c r="J102" i="33"/>
  <c r="J2" i="33"/>
  <c r="J103" i="33"/>
  <c r="J68" i="33"/>
  <c r="J6" i="33"/>
  <c r="J7" i="33"/>
  <c r="J8" i="33"/>
  <c r="J9" i="33"/>
  <c r="J21" i="33"/>
  <c r="J33" i="33"/>
  <c r="J45" i="33"/>
  <c r="J57" i="33"/>
  <c r="J69" i="33"/>
  <c r="J81" i="33"/>
  <c r="J93" i="33"/>
  <c r="J105" i="33"/>
  <c r="J117" i="33"/>
  <c r="J129" i="33"/>
  <c r="J141" i="33"/>
  <c r="J142" i="33"/>
  <c r="J114" i="33"/>
  <c r="J79" i="33"/>
  <c r="J104" i="33"/>
  <c r="J10" i="33"/>
  <c r="J22" i="33"/>
  <c r="J34" i="33"/>
  <c r="J46" i="33"/>
  <c r="J58" i="33"/>
  <c r="J70" i="33"/>
  <c r="J82" i="33"/>
  <c r="J94" i="33"/>
  <c r="J106" i="33"/>
  <c r="J118" i="33"/>
  <c r="J130" i="33"/>
  <c r="J121" i="33"/>
  <c r="J126" i="33"/>
  <c r="J115" i="33"/>
  <c r="J92" i="33"/>
  <c r="J11" i="33"/>
  <c r="J23" i="33"/>
  <c r="J35" i="33"/>
  <c r="J47" i="33"/>
  <c r="J59" i="33"/>
  <c r="J71" i="33"/>
  <c r="J83" i="33"/>
  <c r="J95" i="33"/>
  <c r="J107" i="33"/>
  <c r="J119" i="33"/>
  <c r="J131" i="33"/>
  <c r="J143" i="33"/>
  <c r="J133" i="33"/>
  <c r="J19" i="33"/>
  <c r="J20" i="33"/>
  <c r="J12" i="33"/>
  <c r="J24" i="33"/>
  <c r="J36" i="33"/>
  <c r="J48" i="33"/>
  <c r="J60" i="33"/>
  <c r="J72" i="33"/>
  <c r="J84" i="33"/>
  <c r="J96" i="33"/>
  <c r="J108" i="33"/>
  <c r="J120" i="33"/>
  <c r="J132" i="33"/>
  <c r="J144" i="33"/>
  <c r="J145" i="33"/>
  <c r="J55" i="33"/>
  <c r="J44" i="33"/>
  <c r="J13" i="33"/>
  <c r="J25" i="33"/>
  <c r="J37" i="33"/>
  <c r="J49" i="33"/>
  <c r="J61" i="33"/>
  <c r="J73" i="33"/>
  <c r="J85" i="33"/>
  <c r="J97" i="33"/>
  <c r="J109" i="33"/>
  <c r="J31" i="33"/>
  <c r="J139" i="33"/>
  <c r="J116" i="33"/>
  <c r="J14" i="33"/>
  <c r="J26" i="33"/>
  <c r="J38" i="33"/>
  <c r="J50" i="33"/>
  <c r="J62" i="33"/>
  <c r="J74" i="33"/>
  <c r="J86" i="33"/>
  <c r="J98" i="33"/>
  <c r="J110" i="33"/>
  <c r="J122" i="33"/>
  <c r="J134" i="33"/>
  <c r="J146" i="33"/>
  <c r="J88" i="33"/>
  <c r="J124" i="33"/>
  <c r="J148" i="33"/>
  <c r="J66" i="33"/>
  <c r="J138" i="33"/>
  <c r="J91" i="33"/>
  <c r="J32" i="33"/>
  <c r="J128" i="33"/>
  <c r="J15" i="33"/>
  <c r="J27" i="33"/>
  <c r="J39" i="33"/>
  <c r="J51" i="33"/>
  <c r="J63" i="33"/>
  <c r="J75" i="33"/>
  <c r="J87" i="33"/>
  <c r="J99" i="33"/>
  <c r="J111" i="33"/>
  <c r="J123" i="33"/>
  <c r="J135" i="33"/>
  <c r="J147" i="33"/>
  <c r="J112" i="33"/>
  <c r="J136" i="33"/>
  <c r="J54" i="33"/>
  <c r="J90" i="33"/>
  <c r="J43" i="33"/>
  <c r="J127" i="33"/>
  <c r="J80" i="33"/>
  <c r="AC94" i="15"/>
  <c r="AF94" i="15"/>
  <c r="AB12" i="2"/>
  <c r="AE12" i="2"/>
  <c r="Q94" i="15"/>
  <c r="W94" i="15"/>
  <c r="Z94" i="15"/>
  <c r="T94" i="15"/>
  <c r="B304" i="2"/>
  <c r="B13" i="39" l="1"/>
  <c r="C13" i="39"/>
  <c r="E13" i="39"/>
  <c r="F13" i="39"/>
  <c r="G13" i="39"/>
  <c r="H13" i="39"/>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304" i="2" l="1"/>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W2" i="2"/>
  <c r="Z2" i="2"/>
  <c r="E6" i="39" l="1"/>
  <c r="E7" i="39"/>
  <c r="E10" i="39"/>
  <c r="E11" i="39"/>
  <c r="E12" i="39"/>
  <c r="E14" i="39"/>
  <c r="E15" i="39"/>
  <c r="E16" i="39"/>
  <c r="E17" i="39"/>
  <c r="E18" i="39"/>
  <c r="E19" i="39"/>
  <c r="E20" i="39"/>
  <c r="E21" i="39"/>
  <c r="E22" i="39"/>
  <c r="E23" i="39"/>
  <c r="E24" i="39"/>
  <c r="E26" i="39"/>
  <c r="E27" i="39"/>
  <c r="E28" i="39"/>
  <c r="E29" i="39"/>
  <c r="E30" i="39"/>
  <c r="E31" i="39"/>
  <c r="E32" i="39"/>
  <c r="E33" i="39"/>
  <c r="E34" i="39"/>
  <c r="E35" i="39"/>
  <c r="E36" i="39"/>
  <c r="E37" i="39"/>
  <c r="E38" i="39"/>
  <c r="E39" i="39"/>
  <c r="E40" i="39"/>
  <c r="E41" i="39"/>
  <c r="E42" i="39"/>
  <c r="E43" i="39"/>
  <c r="E44" i="39"/>
  <c r="E45" i="39"/>
  <c r="E46" i="39"/>
  <c r="E47" i="39"/>
  <c r="E48" i="39"/>
  <c r="E49" i="39"/>
  <c r="E50" i="39"/>
  <c r="E51" i="39"/>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A18" i="42" l="1"/>
  <c r="A3" i="42"/>
  <c r="A2" i="42"/>
  <c r="A10" i="38" l="1"/>
  <c r="A11" i="38"/>
  <c r="A12" i="38"/>
  <c r="A13" i="38"/>
  <c r="A3" i="38"/>
  <c r="A4" i="38"/>
  <c r="A5" i="38"/>
  <c r="A6" i="38"/>
  <c r="A7" i="38"/>
  <c r="A8" i="38"/>
  <c r="A9" i="38"/>
  <c r="A2" i="38"/>
  <c r="B9" i="15"/>
  <c r="B12" i="15"/>
  <c r="B19" i="15"/>
  <c r="B25" i="15"/>
  <c r="B26" i="15"/>
  <c r="B27" i="15"/>
  <c r="B28" i="15"/>
  <c r="B32" i="15"/>
  <c r="B33" i="15"/>
  <c r="B36" i="15"/>
  <c r="B37" i="15"/>
  <c r="B40" i="15"/>
  <c r="B41" i="15"/>
  <c r="B42" i="15"/>
  <c r="B43" i="15"/>
  <c r="B44"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H6" i="39"/>
  <c r="H7" i="39"/>
  <c r="H10" i="39"/>
  <c r="H11" i="39"/>
  <c r="H12" i="39"/>
  <c r="H14" i="39"/>
  <c r="H15" i="39"/>
  <c r="H16" i="39"/>
  <c r="H17" i="39"/>
  <c r="H18" i="39"/>
  <c r="H19" i="39"/>
  <c r="H20" i="39"/>
  <c r="H21" i="39"/>
  <c r="H22" i="39"/>
  <c r="H23" i="39"/>
  <c r="H24"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H51" i="39"/>
  <c r="G51" i="39"/>
  <c r="F51" i="39"/>
  <c r="C51" i="39"/>
  <c r="B51" i="39"/>
  <c r="G50" i="39"/>
  <c r="F50" i="39"/>
  <c r="C50" i="39"/>
  <c r="B50" i="39"/>
  <c r="G49" i="39"/>
  <c r="F49" i="39"/>
  <c r="C49" i="39"/>
  <c r="B49"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41" i="37"/>
  <c r="F41" i="37"/>
  <c r="B41" i="37"/>
  <c r="G40" i="37"/>
  <c r="F40" i="37"/>
  <c r="B40" i="37"/>
  <c r="G39" i="37"/>
  <c r="F39" i="37"/>
  <c r="B39" i="37"/>
  <c r="G38" i="37"/>
  <c r="F38" i="37"/>
  <c r="B38" i="37"/>
  <c r="G37" i="37"/>
  <c r="F37" i="37"/>
  <c r="B37" i="37"/>
  <c r="G36" i="37"/>
  <c r="F36" i="37"/>
  <c r="B36" i="37"/>
  <c r="G35" i="37"/>
  <c r="F35" i="37"/>
  <c r="B35" i="37"/>
  <c r="G34" i="37"/>
  <c r="F34" i="37"/>
  <c r="B34" i="37"/>
  <c r="G33" i="37"/>
  <c r="F33" i="37"/>
  <c r="B33" i="37"/>
  <c r="G32" i="37"/>
  <c r="F32" i="37"/>
  <c r="B32" i="37"/>
  <c r="G31" i="37"/>
  <c r="F31" i="37"/>
  <c r="B31" i="37"/>
  <c r="G30" i="37"/>
  <c r="F30" i="37"/>
  <c r="B30" i="37"/>
  <c r="G29" i="37"/>
  <c r="F29" i="37"/>
  <c r="B29" i="37"/>
  <c r="G28" i="37"/>
  <c r="F28" i="37"/>
  <c r="B28" i="37"/>
  <c r="G27" i="37"/>
  <c r="F27" i="37"/>
  <c r="B27" i="37"/>
  <c r="G26" i="37"/>
  <c r="F26" i="37"/>
  <c r="B26" i="37"/>
  <c r="G25" i="37"/>
  <c r="F25" i="37"/>
  <c r="B25" i="37"/>
  <c r="G24" i="37"/>
  <c r="F24" i="37"/>
  <c r="B24" i="37"/>
  <c r="G23" i="37"/>
  <c r="F23" i="37"/>
  <c r="B23" i="37"/>
  <c r="G22" i="37"/>
  <c r="F22" i="37"/>
  <c r="B22" i="37"/>
  <c r="G21" i="37"/>
  <c r="F21" i="37"/>
  <c r="B21" i="37"/>
  <c r="G20" i="37"/>
  <c r="F20" i="37"/>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I46" i="35" s="1"/>
  <c r="B46" i="35"/>
  <c r="G45" i="35"/>
  <c r="F45" i="35"/>
  <c r="B45" i="35"/>
  <c r="G44" i="35"/>
  <c r="F44" i="35"/>
  <c r="B44" i="35"/>
  <c r="G43" i="35"/>
  <c r="F43" i="35"/>
  <c r="C43" i="35"/>
  <c r="I43" i="35" s="1"/>
  <c r="B43" i="35"/>
  <c r="G42" i="35"/>
  <c r="F42" i="35"/>
  <c r="B42" i="35"/>
  <c r="G41" i="35"/>
  <c r="F41" i="35"/>
  <c r="B41" i="35"/>
  <c r="G40" i="35"/>
  <c r="F40" i="35"/>
  <c r="C40" i="35"/>
  <c r="I40" i="35" s="1"/>
  <c r="B40" i="35"/>
  <c r="G39" i="35"/>
  <c r="F39" i="35"/>
  <c r="B39" i="35"/>
  <c r="G38" i="35"/>
  <c r="F38" i="35"/>
  <c r="B38" i="35"/>
  <c r="G37" i="35"/>
  <c r="F37" i="35"/>
  <c r="C37" i="35"/>
  <c r="I37" i="35" s="1"/>
  <c r="B37" i="35"/>
  <c r="G36" i="35"/>
  <c r="F36" i="35"/>
  <c r="B36" i="35"/>
  <c r="G35" i="35"/>
  <c r="F35" i="35"/>
  <c r="B35" i="35"/>
  <c r="G34" i="35"/>
  <c r="F34" i="35"/>
  <c r="C34" i="35"/>
  <c r="I34" i="35" s="1"/>
  <c r="B34" i="35"/>
  <c r="G33" i="35"/>
  <c r="F33" i="35"/>
  <c r="B33" i="35"/>
  <c r="G32" i="35"/>
  <c r="F32" i="35"/>
  <c r="B32" i="35"/>
  <c r="G31" i="35"/>
  <c r="F31" i="35"/>
  <c r="C31" i="35"/>
  <c r="I31" i="35" s="1"/>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B2" i="15"/>
  <c r="C37" i="37" l="1"/>
  <c r="I37" i="37" s="1"/>
  <c r="C41" i="37"/>
  <c r="I41" i="37" s="1"/>
  <c r="C31" i="37"/>
  <c r="I31" i="37" s="1"/>
  <c r="H20" i="15"/>
  <c r="H21" i="15"/>
  <c r="C34" i="37"/>
  <c r="I34" i="37" s="1"/>
  <c r="H45" i="15"/>
  <c r="H46" i="15"/>
  <c r="H10" i="15"/>
  <c r="J8" i="15"/>
  <c r="H11" i="15"/>
  <c r="C28" i="37"/>
  <c r="I28" i="37" s="1"/>
  <c r="J3" i="15"/>
  <c r="H8" i="15"/>
  <c r="J6" i="15"/>
  <c r="J5" i="15"/>
  <c r="H34" i="15"/>
  <c r="H35" i="15"/>
  <c r="H2" i="15"/>
  <c r="J30" i="15"/>
  <c r="J23" i="15"/>
  <c r="H4" i="15"/>
  <c r="J45" i="15"/>
  <c r="J34" i="15"/>
  <c r="J16" i="15"/>
  <c r="J20" i="15"/>
  <c r="J38" i="15"/>
  <c r="J14" i="15"/>
  <c r="J10" i="15"/>
  <c r="H5" i="15"/>
  <c r="C25" i="37"/>
  <c r="I25" i="37" s="1"/>
  <c r="H15" i="15"/>
  <c r="H14" i="15"/>
  <c r="J11" i="15"/>
  <c r="H30" i="15"/>
  <c r="H31" i="15"/>
  <c r="C22" i="37"/>
  <c r="I22" i="37" s="1"/>
  <c r="C40" i="37"/>
  <c r="I40" i="37" s="1"/>
  <c r="J4" i="15"/>
  <c r="H29" i="15"/>
  <c r="J7" i="15"/>
  <c r="C47" i="35"/>
  <c r="I47" i="35" s="1"/>
  <c r="H22" i="15"/>
  <c r="H38" i="15"/>
  <c r="H39" i="15"/>
  <c r="H16" i="15"/>
  <c r="H17" i="15"/>
  <c r="C6" i="37"/>
  <c r="I6" i="37" s="1"/>
  <c r="J22" i="15"/>
  <c r="H24" i="15"/>
  <c r="H23" i="15"/>
  <c r="J29" i="15"/>
  <c r="H3" i="15"/>
  <c r="H7" i="15"/>
  <c r="J35" i="15"/>
  <c r="J46" i="15"/>
  <c r="J31" i="15"/>
  <c r="H6" i="15"/>
  <c r="C6" i="15" s="1"/>
  <c r="J24" i="15"/>
  <c r="J15" i="15"/>
  <c r="J39" i="15"/>
  <c r="J17" i="15"/>
  <c r="J21" i="15"/>
  <c r="C21" i="37"/>
  <c r="I21" i="37" s="1"/>
  <c r="C24" i="37"/>
  <c r="I24" i="37" s="1"/>
  <c r="C27" i="37"/>
  <c r="I27" i="37" s="1"/>
  <c r="C30" i="37"/>
  <c r="I30" i="37" s="1"/>
  <c r="C33" i="37"/>
  <c r="I33" i="37" s="1"/>
  <c r="C36" i="37"/>
  <c r="I36" i="37" s="1"/>
  <c r="C39" i="37"/>
  <c r="I39" i="37" s="1"/>
  <c r="C7" i="37"/>
  <c r="I7" i="37" s="1"/>
  <c r="C20" i="37"/>
  <c r="I20" i="37" s="1"/>
  <c r="C23" i="37"/>
  <c r="I23" i="37" s="1"/>
  <c r="C26" i="37"/>
  <c r="I26" i="37" s="1"/>
  <c r="C29" i="37"/>
  <c r="I29" i="37" s="1"/>
  <c r="C32" i="37"/>
  <c r="I32" i="37" s="1"/>
  <c r="C35" i="37"/>
  <c r="I35" i="37" s="1"/>
  <c r="C38" i="37"/>
  <c r="I38" i="37" s="1"/>
  <c r="C15" i="33"/>
  <c r="C9" i="33"/>
  <c r="C16" i="33"/>
  <c r="C10" i="33"/>
  <c r="C11" i="33"/>
  <c r="C12" i="33"/>
  <c r="C17" i="33"/>
  <c r="C13" i="33"/>
  <c r="C14" i="33"/>
  <c r="C4" i="33"/>
  <c r="C5" i="33"/>
  <c r="C6" i="33"/>
  <c r="C7" i="33"/>
  <c r="C8" i="33"/>
  <c r="C3" i="33"/>
  <c r="C2" i="33"/>
  <c r="C29" i="35"/>
  <c r="I29" i="35" s="1"/>
  <c r="C32" i="35"/>
  <c r="I32" i="35" s="1"/>
  <c r="C35" i="35"/>
  <c r="I35" i="35" s="1"/>
  <c r="C38" i="35"/>
  <c r="I38" i="35" s="1"/>
  <c r="C41" i="35"/>
  <c r="I41" i="35" s="1"/>
  <c r="C44" i="35"/>
  <c r="I44" i="35" s="1"/>
  <c r="C25" i="35"/>
  <c r="I25" i="35" s="1"/>
  <c r="C49" i="35"/>
  <c r="I49" i="35" s="1"/>
  <c r="C48" i="35"/>
  <c r="I48" i="35" s="1"/>
  <c r="C50" i="35"/>
  <c r="I50" i="35" s="1"/>
  <c r="C30" i="35"/>
  <c r="I30" i="35" s="1"/>
  <c r="C33" i="35"/>
  <c r="I33" i="35" s="1"/>
  <c r="C36" i="35"/>
  <c r="I36" i="35" s="1"/>
  <c r="C39" i="35"/>
  <c r="I39" i="35" s="1"/>
  <c r="C42" i="35"/>
  <c r="I42" i="35" s="1"/>
  <c r="C45" i="35"/>
  <c r="I45" i="35" s="1"/>
  <c r="C18" i="33"/>
  <c r="C19" i="33"/>
  <c r="C20" i="33"/>
  <c r="C21" i="33"/>
  <c r="C22" i="33"/>
  <c r="C23" i="33"/>
  <c r="C18" i="35"/>
  <c r="I18" i="35" s="1"/>
  <c r="C14" i="35"/>
  <c r="I14" i="35" s="1"/>
  <c r="C26" i="35"/>
  <c r="I26" i="35" s="1"/>
  <c r="C3" i="35"/>
  <c r="I3" i="35" s="1"/>
  <c r="C9" i="35"/>
  <c r="I9" i="35" s="1"/>
  <c r="C15" i="35"/>
  <c r="I15" i="35" s="1"/>
  <c r="C17" i="35"/>
  <c r="I17" i="35" s="1"/>
  <c r="C21" i="35"/>
  <c r="I21" i="35" s="1"/>
  <c r="C19" i="35"/>
  <c r="I19" i="35" s="1"/>
  <c r="C27" i="35"/>
  <c r="I27" i="35" s="1"/>
  <c r="C6" i="35"/>
  <c r="I6" i="35" s="1"/>
  <c r="C16" i="35"/>
  <c r="I16" i="35" s="1"/>
  <c r="C28" i="35"/>
  <c r="I28" i="35" s="1"/>
  <c r="C11" i="35"/>
  <c r="I11" i="35" s="1"/>
  <c r="C23" i="35"/>
  <c r="I23" i="35" s="1"/>
  <c r="C13" i="35"/>
  <c r="I13" i="35" s="1"/>
  <c r="H9" i="15"/>
  <c r="D2" i="21"/>
  <c r="C20" i="35"/>
  <c r="I20" i="35" s="1"/>
  <c r="C10" i="35"/>
  <c r="I10" i="35" s="1"/>
  <c r="C22" i="35"/>
  <c r="I22" i="35" s="1"/>
  <c r="C12" i="35"/>
  <c r="I12" i="35" s="1"/>
  <c r="C24" i="35"/>
  <c r="I24" i="35" s="1"/>
  <c r="C11" i="37"/>
  <c r="I11" i="37" s="1"/>
  <c r="J13" i="15"/>
  <c r="H12" i="15"/>
  <c r="H18" i="15"/>
  <c r="H13" i="15"/>
  <c r="C19" i="37"/>
  <c r="I19" i="37" s="1"/>
  <c r="J18" i="15"/>
  <c r="C10" i="37"/>
  <c r="I10" i="37" s="1"/>
  <c r="C14" i="37"/>
  <c r="I14" i="37" s="1"/>
  <c r="C18" i="37"/>
  <c r="I18" i="37" s="1"/>
  <c r="C9" i="37"/>
  <c r="I9" i="37" s="1"/>
  <c r="C13" i="37"/>
  <c r="I13" i="37" s="1"/>
  <c r="C17" i="37"/>
  <c r="I17" i="37" s="1"/>
  <c r="C8" i="37"/>
  <c r="I8" i="37" s="1"/>
  <c r="C12" i="37"/>
  <c r="I12" i="37" s="1"/>
  <c r="C16" i="37"/>
  <c r="I16" i="37" s="1"/>
  <c r="C15" i="37"/>
  <c r="I15" i="37" s="1"/>
  <c r="H25" i="15"/>
  <c r="H26" i="15"/>
  <c r="J33" i="15"/>
  <c r="H19" i="15"/>
  <c r="H27" i="15"/>
  <c r="H40" i="15"/>
  <c r="H52" i="15"/>
  <c r="H64" i="15"/>
  <c r="H76" i="15"/>
  <c r="H88" i="15"/>
  <c r="J50" i="15"/>
  <c r="J62" i="15"/>
  <c r="J74" i="15"/>
  <c r="J86" i="15"/>
  <c r="H53" i="15"/>
  <c r="H65" i="15"/>
  <c r="H77" i="15"/>
  <c r="H89" i="15"/>
  <c r="J37" i="15"/>
  <c r="J51" i="15"/>
  <c r="J63" i="15"/>
  <c r="J75" i="15"/>
  <c r="J87" i="15"/>
  <c r="H66" i="15"/>
  <c r="H78" i="15"/>
  <c r="H90" i="15"/>
  <c r="J40" i="15"/>
  <c r="J52" i="15"/>
  <c r="J64" i="15"/>
  <c r="J88" i="15"/>
  <c r="H79" i="15"/>
  <c r="H91" i="15"/>
  <c r="J53" i="15"/>
  <c r="J77" i="15"/>
  <c r="J48" i="15"/>
  <c r="H37" i="15"/>
  <c r="H87" i="15"/>
  <c r="J61" i="15"/>
  <c r="H54" i="15"/>
  <c r="J76" i="15"/>
  <c r="J65" i="15"/>
  <c r="J60" i="15"/>
  <c r="H63" i="15"/>
  <c r="H41" i="15"/>
  <c r="H55" i="15"/>
  <c r="H67" i="15"/>
  <c r="J89" i="15"/>
  <c r="H51" i="15"/>
  <c r="J73" i="15"/>
  <c r="H42" i="15"/>
  <c r="H56" i="15"/>
  <c r="H68" i="15"/>
  <c r="H80" i="15"/>
  <c r="H92" i="15"/>
  <c r="J54" i="15"/>
  <c r="J66" i="15"/>
  <c r="J78" i="15"/>
  <c r="J90" i="15"/>
  <c r="H57" i="15"/>
  <c r="H69" i="15"/>
  <c r="H93" i="15"/>
  <c r="J55" i="15"/>
  <c r="J79" i="15"/>
  <c r="H44" i="15"/>
  <c r="H70" i="15"/>
  <c r="H82" i="15"/>
  <c r="J42" i="15"/>
  <c r="J56" i="15"/>
  <c r="J80" i="15"/>
  <c r="J47" i="15"/>
  <c r="H50" i="15"/>
  <c r="H74" i="15"/>
  <c r="J84" i="15"/>
  <c r="H75" i="15"/>
  <c r="J85" i="15"/>
  <c r="H43" i="15"/>
  <c r="H81" i="15"/>
  <c r="J41" i="15"/>
  <c r="J67" i="15"/>
  <c r="J91" i="15"/>
  <c r="H58" i="15"/>
  <c r="J68" i="15"/>
  <c r="J92" i="15"/>
  <c r="J71" i="15"/>
  <c r="H62" i="15"/>
  <c r="J49" i="15"/>
  <c r="H47" i="15"/>
  <c r="H59" i="15"/>
  <c r="H71" i="15"/>
  <c r="H83" i="15"/>
  <c r="J43" i="15"/>
  <c r="J57" i="15"/>
  <c r="J69" i="15"/>
  <c r="J81" i="15"/>
  <c r="J93" i="15"/>
  <c r="H48" i="15"/>
  <c r="H60" i="15"/>
  <c r="H72" i="15"/>
  <c r="H84" i="15"/>
  <c r="J44" i="15"/>
  <c r="J58" i="15"/>
  <c r="J70" i="15"/>
  <c r="J82" i="15"/>
  <c r="H49" i="15"/>
  <c r="H61" i="15"/>
  <c r="H73" i="15"/>
  <c r="H85" i="15"/>
  <c r="J59" i="15"/>
  <c r="J83" i="15"/>
  <c r="H86" i="15"/>
  <c r="J72" i="15"/>
  <c r="H36" i="15"/>
  <c r="J32" i="15"/>
  <c r="H33" i="15"/>
  <c r="J36" i="15"/>
  <c r="H32" i="15"/>
  <c r="J28" i="15"/>
  <c r="H28" i="15"/>
  <c r="J27" i="15"/>
  <c r="C5" i="37"/>
  <c r="I5" i="37" s="1"/>
  <c r="C4" i="37"/>
  <c r="I4" i="37" s="1"/>
  <c r="C8" i="35"/>
  <c r="I8" i="35" s="1"/>
  <c r="C7" i="35"/>
  <c r="I7" i="35" s="1"/>
  <c r="C3" i="37"/>
  <c r="I3" i="37" s="1"/>
  <c r="C2" i="37"/>
  <c r="I2" i="37" s="1"/>
  <c r="C4" i="35"/>
  <c r="I4" i="35" s="1"/>
  <c r="C2" i="35"/>
  <c r="I2" i="35" s="1"/>
  <c r="C5" i="35"/>
  <c r="B138" i="33"/>
  <c r="B139" i="33"/>
  <c r="B140" i="33"/>
  <c r="B141" i="33"/>
  <c r="B142" i="33"/>
  <c r="B143" i="33"/>
  <c r="B144" i="33"/>
  <c r="B145" i="33"/>
  <c r="B146" i="33"/>
  <c r="B4" i="33"/>
  <c r="B2" i="33"/>
  <c r="B147" i="33"/>
  <c r="B148" i="33"/>
  <c r="B149" i="33"/>
  <c r="B3" i="33"/>
  <c r="B7" i="33"/>
  <c r="B8" i="33"/>
  <c r="B9" i="33"/>
  <c r="B10" i="33"/>
  <c r="B11" i="33"/>
  <c r="B12" i="33"/>
  <c r="B13" i="33"/>
  <c r="B14" i="33"/>
  <c r="B17" i="33"/>
  <c r="B18" i="33"/>
  <c r="B21" i="33"/>
  <c r="B22" i="33"/>
  <c r="B23" i="33"/>
  <c r="B24" i="33"/>
  <c r="V24" i="33"/>
  <c r="B25" i="33"/>
  <c r="V25" i="33"/>
  <c r="B26" i="33"/>
  <c r="V26" i="33"/>
  <c r="B27" i="33"/>
  <c r="V27" i="33"/>
  <c r="B28" i="33"/>
  <c r="V28" i="33"/>
  <c r="B29" i="33"/>
  <c r="V29" i="33"/>
  <c r="B30" i="33"/>
  <c r="V30" i="33"/>
  <c r="B31" i="33"/>
  <c r="V31" i="33"/>
  <c r="B32" i="33"/>
  <c r="V32" i="33"/>
  <c r="B33" i="33"/>
  <c r="V33" i="33"/>
  <c r="B34" i="33"/>
  <c r="V34" i="33"/>
  <c r="B35" i="33"/>
  <c r="V35" i="33"/>
  <c r="B36" i="33"/>
  <c r="V36" i="33"/>
  <c r="B37" i="33"/>
  <c r="V37" i="33"/>
  <c r="B38" i="33"/>
  <c r="V38" i="33"/>
  <c r="B39" i="33"/>
  <c r="V39" i="33"/>
  <c r="B40" i="33"/>
  <c r="V40" i="33"/>
  <c r="B41" i="33"/>
  <c r="V41" i="33"/>
  <c r="B42" i="33"/>
  <c r="V42" i="33"/>
  <c r="B43" i="33"/>
  <c r="V43" i="33"/>
  <c r="B44" i="33"/>
  <c r="V44" i="33"/>
  <c r="B45" i="33"/>
  <c r="V45" i="33"/>
  <c r="B46" i="33"/>
  <c r="V46" i="33"/>
  <c r="B47" i="33"/>
  <c r="V47" i="33"/>
  <c r="B48" i="33"/>
  <c r="V48" i="33"/>
  <c r="B49" i="33"/>
  <c r="V49" i="33"/>
  <c r="B50" i="33"/>
  <c r="V50" i="33"/>
  <c r="B51" i="33"/>
  <c r="V51" i="33"/>
  <c r="B52" i="33"/>
  <c r="V52" i="33"/>
  <c r="B53" i="33"/>
  <c r="V53" i="33"/>
  <c r="B54" i="33"/>
  <c r="V54" i="33"/>
  <c r="B55" i="33"/>
  <c r="V55" i="33"/>
  <c r="B56" i="33"/>
  <c r="V56" i="33"/>
  <c r="B57" i="33"/>
  <c r="V57" i="33"/>
  <c r="B58" i="33"/>
  <c r="V58" i="33"/>
  <c r="B59" i="33"/>
  <c r="V59" i="33"/>
  <c r="B60" i="33"/>
  <c r="V60" i="33"/>
  <c r="B61" i="33"/>
  <c r="V61" i="33"/>
  <c r="B62" i="33"/>
  <c r="V62" i="33"/>
  <c r="B63" i="33"/>
  <c r="V63" i="33"/>
  <c r="B64" i="33"/>
  <c r="V64" i="33"/>
  <c r="B65" i="33"/>
  <c r="V65" i="33"/>
  <c r="B66" i="33"/>
  <c r="V66" i="33"/>
  <c r="B67" i="33"/>
  <c r="V67" i="33"/>
  <c r="B68" i="33"/>
  <c r="V68" i="33"/>
  <c r="B69" i="33"/>
  <c r="V69" i="33"/>
  <c r="B70" i="33"/>
  <c r="V70" i="33"/>
  <c r="B71" i="33"/>
  <c r="V71" i="33"/>
  <c r="B72" i="33"/>
  <c r="V72" i="33"/>
  <c r="B73" i="33"/>
  <c r="V73" i="33"/>
  <c r="B74" i="33"/>
  <c r="V74" i="33"/>
  <c r="B75" i="33"/>
  <c r="V75" i="33"/>
  <c r="B76" i="33"/>
  <c r="V76" i="33"/>
  <c r="B77" i="33"/>
  <c r="V77" i="33"/>
  <c r="B78" i="33"/>
  <c r="V78" i="33"/>
  <c r="B79" i="33"/>
  <c r="V79" i="33"/>
  <c r="B80" i="33"/>
  <c r="V80" i="33"/>
  <c r="B81" i="33"/>
  <c r="V81" i="33"/>
  <c r="B82" i="33"/>
  <c r="V82" i="33"/>
  <c r="B83" i="33"/>
  <c r="V83" i="33"/>
  <c r="B84" i="33"/>
  <c r="V84" i="33"/>
  <c r="B85" i="33"/>
  <c r="V85" i="33"/>
  <c r="B86" i="33"/>
  <c r="V86" i="33"/>
  <c r="B87" i="33"/>
  <c r="V87" i="33"/>
  <c r="B88" i="33"/>
  <c r="V88" i="33"/>
  <c r="B89" i="33"/>
  <c r="V89" i="33"/>
  <c r="B90" i="33"/>
  <c r="V90" i="33"/>
  <c r="B91" i="33"/>
  <c r="V91" i="33"/>
  <c r="B92" i="33"/>
  <c r="V92" i="33"/>
  <c r="B93" i="33"/>
  <c r="V93" i="33"/>
  <c r="B94" i="33"/>
  <c r="V94" i="33"/>
  <c r="B95" i="33"/>
  <c r="V95" i="33"/>
  <c r="B96" i="33"/>
  <c r="V96" i="33"/>
  <c r="B97" i="33"/>
  <c r="V97" i="33"/>
  <c r="B98" i="33"/>
  <c r="V98" i="33"/>
  <c r="B99" i="33"/>
  <c r="V99" i="33"/>
  <c r="B100" i="33"/>
  <c r="V100" i="33"/>
  <c r="B101" i="33"/>
  <c r="V101" i="33"/>
  <c r="B102" i="33"/>
  <c r="V102" i="33"/>
  <c r="B103" i="33"/>
  <c r="V103" i="33"/>
  <c r="B104" i="33"/>
  <c r="V104" i="33"/>
  <c r="B105" i="33"/>
  <c r="V105" i="33"/>
  <c r="B106" i="33"/>
  <c r="V106" i="33"/>
  <c r="B107" i="33"/>
  <c r="V107" i="33"/>
  <c r="B108" i="33"/>
  <c r="V108" i="33"/>
  <c r="B109" i="33"/>
  <c r="V109" i="33"/>
  <c r="B110" i="33"/>
  <c r="V110" i="33"/>
  <c r="B111" i="33"/>
  <c r="V111" i="33"/>
  <c r="B112" i="33"/>
  <c r="V112" i="33"/>
  <c r="B113" i="33"/>
  <c r="V113" i="33"/>
  <c r="B114" i="33"/>
  <c r="V114" i="33"/>
  <c r="B115" i="33"/>
  <c r="V115" i="33"/>
  <c r="B116" i="33"/>
  <c r="V116" i="33"/>
  <c r="B117" i="33"/>
  <c r="V117" i="33"/>
  <c r="B118" i="33"/>
  <c r="V118" i="33"/>
  <c r="B119" i="33"/>
  <c r="V119" i="33"/>
  <c r="B120" i="33"/>
  <c r="V120" i="33"/>
  <c r="B121" i="33"/>
  <c r="V121" i="33"/>
  <c r="B122" i="33"/>
  <c r="V122" i="33"/>
  <c r="B123" i="33"/>
  <c r="V123" i="33"/>
  <c r="B124" i="33"/>
  <c r="V124" i="33"/>
  <c r="B125" i="33"/>
  <c r="V125" i="33"/>
  <c r="B126" i="33"/>
  <c r="V126" i="33"/>
  <c r="B127" i="33"/>
  <c r="V127" i="33"/>
  <c r="B128" i="33"/>
  <c r="V128" i="33"/>
  <c r="B129" i="33"/>
  <c r="V129" i="33"/>
  <c r="B130" i="33"/>
  <c r="V130" i="33"/>
  <c r="B131" i="33"/>
  <c r="V131" i="33"/>
  <c r="B132" i="33"/>
  <c r="V132" i="33"/>
  <c r="B133" i="33"/>
  <c r="V133" i="33"/>
  <c r="B134" i="33"/>
  <c r="V134" i="33"/>
  <c r="B135" i="33"/>
  <c r="V135" i="33"/>
  <c r="B136" i="33"/>
  <c r="V136" i="33"/>
  <c r="B137" i="33"/>
  <c r="V137" i="33"/>
  <c r="B6" i="33"/>
  <c r="B5" i="33"/>
  <c r="I5" i="35" l="1"/>
  <c r="AC6" i="15"/>
  <c r="AF6" i="15"/>
  <c r="C38" i="15"/>
  <c r="C29" i="15"/>
  <c r="L116" i="33"/>
  <c r="T116" i="33"/>
  <c r="T62" i="33"/>
  <c r="L62" i="33"/>
  <c r="L127" i="33"/>
  <c r="T127" i="33"/>
  <c r="L79" i="33"/>
  <c r="T79" i="33"/>
  <c r="T73" i="33"/>
  <c r="L73" i="33"/>
  <c r="L67" i="33"/>
  <c r="T67" i="33"/>
  <c r="T61" i="33"/>
  <c r="L61" i="33"/>
  <c r="L55" i="33"/>
  <c r="T55" i="33"/>
  <c r="T49" i="33"/>
  <c r="L49" i="33"/>
  <c r="L43" i="33"/>
  <c r="T43" i="33"/>
  <c r="T37" i="33"/>
  <c r="L37" i="33"/>
  <c r="L31" i="33"/>
  <c r="T31" i="33"/>
  <c r="T25" i="33"/>
  <c r="L25" i="33"/>
  <c r="T134" i="33"/>
  <c r="L134" i="33"/>
  <c r="T86" i="33"/>
  <c r="L86" i="33"/>
  <c r="L32" i="33"/>
  <c r="T32" i="33"/>
  <c r="T97" i="33"/>
  <c r="L97" i="33"/>
  <c r="L120" i="33"/>
  <c r="T120" i="33"/>
  <c r="L108" i="33"/>
  <c r="T108" i="33"/>
  <c r="L96" i="33"/>
  <c r="T96" i="33"/>
  <c r="L84" i="33"/>
  <c r="T84" i="33"/>
  <c r="L72" i="33"/>
  <c r="T72" i="33"/>
  <c r="L60" i="33"/>
  <c r="T60" i="33"/>
  <c r="L42" i="33"/>
  <c r="T42" i="33"/>
  <c r="L92" i="33"/>
  <c r="T92" i="33"/>
  <c r="T38" i="33"/>
  <c r="L38" i="33"/>
  <c r="T121" i="33"/>
  <c r="L121" i="33"/>
  <c r="L132" i="33"/>
  <c r="T132" i="33"/>
  <c r="L114" i="33"/>
  <c r="T114" i="33"/>
  <c r="L102" i="33"/>
  <c r="T102" i="33"/>
  <c r="L90" i="33"/>
  <c r="T90" i="33"/>
  <c r="L78" i="33"/>
  <c r="T78" i="33"/>
  <c r="L66" i="33"/>
  <c r="T66" i="33"/>
  <c r="L54" i="33"/>
  <c r="T54" i="33"/>
  <c r="L48" i="33"/>
  <c r="T48" i="33"/>
  <c r="L36" i="33"/>
  <c r="T36" i="33"/>
  <c r="L30" i="33"/>
  <c r="T30" i="33"/>
  <c r="L24" i="33"/>
  <c r="T24" i="33"/>
  <c r="T98" i="33"/>
  <c r="L98" i="33"/>
  <c r="L44" i="33"/>
  <c r="T44" i="33"/>
  <c r="L115" i="33"/>
  <c r="T115" i="33"/>
  <c r="L126" i="33"/>
  <c r="T126" i="33"/>
  <c r="T113" i="33"/>
  <c r="L113" i="33"/>
  <c r="T89" i="33"/>
  <c r="L89" i="33"/>
  <c r="L83" i="33"/>
  <c r="T83" i="33"/>
  <c r="T77" i="33"/>
  <c r="L77" i="33"/>
  <c r="L71" i="33"/>
  <c r="T71" i="33"/>
  <c r="L59" i="33"/>
  <c r="T59" i="33"/>
  <c r="T53" i="33"/>
  <c r="L53" i="33"/>
  <c r="L47" i="33"/>
  <c r="T47" i="33"/>
  <c r="T41" i="33"/>
  <c r="L41" i="33"/>
  <c r="L35" i="33"/>
  <c r="T35" i="33"/>
  <c r="T29" i="33"/>
  <c r="L29" i="33"/>
  <c r="T122" i="33"/>
  <c r="L122" i="33"/>
  <c r="T74" i="33"/>
  <c r="L74" i="33"/>
  <c r="L56" i="33"/>
  <c r="T56" i="33"/>
  <c r="L95" i="33"/>
  <c r="T95" i="33"/>
  <c r="T65" i="33"/>
  <c r="L65" i="33"/>
  <c r="L128" i="33"/>
  <c r="T128" i="33"/>
  <c r="L80" i="33"/>
  <c r="T80" i="33"/>
  <c r="T26" i="33"/>
  <c r="L26" i="33"/>
  <c r="L91" i="33"/>
  <c r="T91" i="33"/>
  <c r="T125" i="33"/>
  <c r="L125" i="33"/>
  <c r="T136" i="33"/>
  <c r="L136" i="33"/>
  <c r="T124" i="33"/>
  <c r="L124" i="33"/>
  <c r="T112" i="33"/>
  <c r="L112" i="33"/>
  <c r="T100" i="33"/>
  <c r="L100" i="33"/>
  <c r="T88" i="33"/>
  <c r="L88" i="33"/>
  <c r="T76" i="33"/>
  <c r="L76" i="33"/>
  <c r="T64" i="33"/>
  <c r="L64" i="33"/>
  <c r="T52" i="33"/>
  <c r="L52" i="33"/>
  <c r="T40" i="33"/>
  <c r="L40" i="33"/>
  <c r="T28" i="33"/>
  <c r="L28" i="33"/>
  <c r="L103" i="33"/>
  <c r="T103" i="33"/>
  <c r="L131" i="33"/>
  <c r="T131" i="33"/>
  <c r="T101" i="33"/>
  <c r="L101" i="33"/>
  <c r="L130" i="33"/>
  <c r="T130" i="33"/>
  <c r="L118" i="33"/>
  <c r="T118" i="33"/>
  <c r="L106" i="33"/>
  <c r="T106" i="33"/>
  <c r="L94" i="33"/>
  <c r="T94" i="33"/>
  <c r="L82" i="33"/>
  <c r="T82" i="33"/>
  <c r="L70" i="33"/>
  <c r="T70" i="33"/>
  <c r="L58" i="33"/>
  <c r="T58" i="33"/>
  <c r="L46" i="33"/>
  <c r="T46" i="33"/>
  <c r="L34" i="33"/>
  <c r="T34" i="33"/>
  <c r="L104" i="33"/>
  <c r="T104" i="33"/>
  <c r="T50" i="33"/>
  <c r="L50" i="33"/>
  <c r="T109" i="33"/>
  <c r="L109" i="33"/>
  <c r="T137" i="33"/>
  <c r="L137" i="33"/>
  <c r="L107" i="33"/>
  <c r="T107" i="33"/>
  <c r="L129" i="33"/>
  <c r="T129" i="33"/>
  <c r="L117" i="33"/>
  <c r="T117" i="33"/>
  <c r="L105" i="33"/>
  <c r="T105" i="33"/>
  <c r="L93" i="33"/>
  <c r="T93" i="33"/>
  <c r="L81" i="33"/>
  <c r="T81" i="33"/>
  <c r="T63" i="33"/>
  <c r="L63" i="33"/>
  <c r="T51" i="33"/>
  <c r="L51" i="33"/>
  <c r="T39" i="33"/>
  <c r="L39" i="33"/>
  <c r="T27" i="33"/>
  <c r="L27" i="33"/>
  <c r="T110" i="33"/>
  <c r="L110" i="33"/>
  <c r="L68" i="33"/>
  <c r="T68" i="33"/>
  <c r="T133" i="33"/>
  <c r="L133" i="33"/>
  <c r="T85" i="33"/>
  <c r="L85" i="33"/>
  <c r="L119" i="33"/>
  <c r="T119" i="33"/>
  <c r="T135" i="33"/>
  <c r="L135" i="33"/>
  <c r="T123" i="33"/>
  <c r="L123" i="33"/>
  <c r="T111" i="33"/>
  <c r="L111" i="33"/>
  <c r="T99" i="33"/>
  <c r="L99" i="33"/>
  <c r="T87" i="33"/>
  <c r="L87" i="33"/>
  <c r="T75" i="33"/>
  <c r="L75" i="33"/>
  <c r="L69" i="33"/>
  <c r="T69" i="33"/>
  <c r="L57" i="33"/>
  <c r="T57" i="33"/>
  <c r="L45" i="33"/>
  <c r="T45" i="33"/>
  <c r="L33" i="33"/>
  <c r="T33" i="33"/>
  <c r="R137" i="33"/>
  <c r="N137" i="33"/>
  <c r="P137" i="33"/>
  <c r="R128" i="33"/>
  <c r="N128" i="33"/>
  <c r="P128" i="33"/>
  <c r="N116" i="33"/>
  <c r="R116" i="33"/>
  <c r="P116" i="33"/>
  <c r="R104" i="33"/>
  <c r="N104" i="33"/>
  <c r="P104" i="33"/>
  <c r="R92" i="33"/>
  <c r="N92" i="33"/>
  <c r="P92" i="33"/>
  <c r="R80" i="33"/>
  <c r="N80" i="33"/>
  <c r="P80" i="33"/>
  <c r="R68" i="33"/>
  <c r="N68" i="33"/>
  <c r="P68" i="33"/>
  <c r="N56" i="33"/>
  <c r="R56" i="33"/>
  <c r="P56" i="33"/>
  <c r="R44" i="33"/>
  <c r="N44" i="33"/>
  <c r="P44" i="33"/>
  <c r="R32" i="33"/>
  <c r="N32" i="33"/>
  <c r="P32" i="33"/>
  <c r="R134" i="33"/>
  <c r="N134" i="33"/>
  <c r="P134" i="33"/>
  <c r="R122" i="33"/>
  <c r="N122" i="33"/>
  <c r="P122" i="33"/>
  <c r="R110" i="33"/>
  <c r="N110" i="33"/>
  <c r="P110" i="33"/>
  <c r="R98" i="33"/>
  <c r="N98" i="33"/>
  <c r="P98" i="33"/>
  <c r="R86" i="33"/>
  <c r="N86" i="33"/>
  <c r="P86" i="33"/>
  <c r="R74" i="33"/>
  <c r="N74" i="33"/>
  <c r="P74" i="33"/>
  <c r="R62" i="33"/>
  <c r="N62" i="33"/>
  <c r="P62" i="33"/>
  <c r="R50" i="33"/>
  <c r="N50" i="33"/>
  <c r="P50" i="33"/>
  <c r="R38" i="33"/>
  <c r="N38" i="33"/>
  <c r="P38" i="33"/>
  <c r="R26" i="33"/>
  <c r="N26" i="33"/>
  <c r="P26" i="33"/>
  <c r="R133" i="33"/>
  <c r="P133" i="33"/>
  <c r="N133" i="33"/>
  <c r="R121" i="33"/>
  <c r="P121" i="33"/>
  <c r="N121" i="33"/>
  <c r="R109" i="33"/>
  <c r="P109" i="33"/>
  <c r="N109" i="33"/>
  <c r="R97" i="33"/>
  <c r="P97" i="33"/>
  <c r="N97" i="33"/>
  <c r="R85" i="33"/>
  <c r="P85" i="33"/>
  <c r="N85" i="33"/>
  <c r="P79" i="33"/>
  <c r="R79" i="33"/>
  <c r="N79" i="33"/>
  <c r="P67" i="33"/>
  <c r="R67" i="33"/>
  <c r="N67" i="33"/>
  <c r="P55" i="33"/>
  <c r="R55" i="33"/>
  <c r="N55" i="33"/>
  <c r="P43" i="33"/>
  <c r="R43" i="33"/>
  <c r="N43" i="33"/>
  <c r="R37" i="33"/>
  <c r="P37" i="33"/>
  <c r="N37" i="33"/>
  <c r="P31" i="33"/>
  <c r="R31" i="33"/>
  <c r="N31" i="33"/>
  <c r="R25" i="33"/>
  <c r="P25" i="33"/>
  <c r="N25" i="33"/>
  <c r="N107" i="33"/>
  <c r="P107" i="33"/>
  <c r="R107" i="33"/>
  <c r="P127" i="33"/>
  <c r="R127" i="33"/>
  <c r="N127" i="33"/>
  <c r="P115" i="33"/>
  <c r="R115" i="33"/>
  <c r="N115" i="33"/>
  <c r="P103" i="33"/>
  <c r="R103" i="33"/>
  <c r="N103" i="33"/>
  <c r="P91" i="33"/>
  <c r="R91" i="33"/>
  <c r="N91" i="33"/>
  <c r="R73" i="33"/>
  <c r="P73" i="33"/>
  <c r="N73" i="33"/>
  <c r="R61" i="33"/>
  <c r="P61" i="33"/>
  <c r="N61" i="33"/>
  <c r="R49" i="33"/>
  <c r="P49" i="33"/>
  <c r="N49" i="33"/>
  <c r="N132" i="33"/>
  <c r="P132" i="33"/>
  <c r="R132" i="33"/>
  <c r="N120" i="33"/>
  <c r="P120" i="33"/>
  <c r="R120" i="33"/>
  <c r="N108" i="33"/>
  <c r="P108" i="33"/>
  <c r="R108" i="33"/>
  <c r="N96" i="33"/>
  <c r="P96" i="33"/>
  <c r="R96" i="33"/>
  <c r="N84" i="33"/>
  <c r="P84" i="33"/>
  <c r="R84" i="33"/>
  <c r="N72" i="33"/>
  <c r="P72" i="33"/>
  <c r="R72" i="33"/>
  <c r="N60" i="33"/>
  <c r="P60" i="33"/>
  <c r="R60" i="33"/>
  <c r="N48" i="33"/>
  <c r="P48" i="33"/>
  <c r="R48" i="33"/>
  <c r="N36" i="33"/>
  <c r="P36" i="33"/>
  <c r="R36" i="33"/>
  <c r="N24" i="33"/>
  <c r="P24" i="33"/>
  <c r="R24" i="33"/>
  <c r="N95" i="33"/>
  <c r="P95" i="33"/>
  <c r="R95" i="33"/>
  <c r="P126" i="33"/>
  <c r="R126" i="33"/>
  <c r="N126" i="33"/>
  <c r="P114" i="33"/>
  <c r="R114" i="33"/>
  <c r="N114" i="33"/>
  <c r="P102" i="33"/>
  <c r="R102" i="33"/>
  <c r="N102" i="33"/>
  <c r="P90" i="33"/>
  <c r="R90" i="33"/>
  <c r="N90" i="33"/>
  <c r="P78" i="33"/>
  <c r="R78" i="33"/>
  <c r="N78" i="33"/>
  <c r="P66" i="33"/>
  <c r="R66" i="33"/>
  <c r="N66" i="33"/>
  <c r="P54" i="33"/>
  <c r="R54" i="33"/>
  <c r="N54" i="33"/>
  <c r="P42" i="33"/>
  <c r="R42" i="33"/>
  <c r="N42" i="33"/>
  <c r="P30" i="33"/>
  <c r="R30" i="33"/>
  <c r="N30" i="33"/>
  <c r="R125" i="33"/>
  <c r="N125" i="33"/>
  <c r="P125" i="33"/>
  <c r="R77" i="33"/>
  <c r="N77" i="33"/>
  <c r="P77" i="33"/>
  <c r="N59" i="33"/>
  <c r="P59" i="33"/>
  <c r="R59" i="33"/>
  <c r="R53" i="33"/>
  <c r="N53" i="33"/>
  <c r="P53" i="33"/>
  <c r="N47" i="33"/>
  <c r="P47" i="33"/>
  <c r="R47" i="33"/>
  <c r="R41" i="33"/>
  <c r="N41" i="33"/>
  <c r="P41" i="33"/>
  <c r="N35" i="33"/>
  <c r="P35" i="33"/>
  <c r="R35" i="33"/>
  <c r="R29" i="33"/>
  <c r="N29" i="33"/>
  <c r="P29" i="33"/>
  <c r="R101" i="33"/>
  <c r="N101" i="33"/>
  <c r="P101" i="33"/>
  <c r="R65" i="33"/>
  <c r="N65" i="33"/>
  <c r="P65" i="33"/>
  <c r="R136" i="33"/>
  <c r="N136" i="33"/>
  <c r="P136" i="33"/>
  <c r="R112" i="33"/>
  <c r="N112" i="33"/>
  <c r="P112" i="33"/>
  <c r="R88" i="33"/>
  <c r="N88" i="33"/>
  <c r="P88" i="33"/>
  <c r="R76" i="33"/>
  <c r="N76" i="33"/>
  <c r="P76" i="33"/>
  <c r="R64" i="33"/>
  <c r="N64" i="33"/>
  <c r="P64" i="33"/>
  <c r="R52" i="33"/>
  <c r="N52" i="33"/>
  <c r="P52" i="33"/>
  <c r="R40" i="33"/>
  <c r="N40" i="33"/>
  <c r="P40" i="33"/>
  <c r="R28" i="33"/>
  <c r="N28" i="33"/>
  <c r="P28" i="33"/>
  <c r="N119" i="33"/>
  <c r="P119" i="33"/>
  <c r="R119" i="33"/>
  <c r="N83" i="33"/>
  <c r="P83" i="33"/>
  <c r="R83" i="33"/>
  <c r="P130" i="33"/>
  <c r="R130" i="33"/>
  <c r="N130" i="33"/>
  <c r="R100" i="33"/>
  <c r="N100" i="33"/>
  <c r="P100" i="33"/>
  <c r="P82" i="33"/>
  <c r="R82" i="33"/>
  <c r="N82" i="33"/>
  <c r="P70" i="33"/>
  <c r="R70" i="33"/>
  <c r="N70" i="33"/>
  <c r="P58" i="33"/>
  <c r="R58" i="33"/>
  <c r="N58" i="33"/>
  <c r="P46" i="33"/>
  <c r="R46" i="33"/>
  <c r="N46" i="33"/>
  <c r="P34" i="33"/>
  <c r="R34" i="33"/>
  <c r="N34" i="33"/>
  <c r="N131" i="33"/>
  <c r="P131" i="33"/>
  <c r="R131" i="33"/>
  <c r="R89" i="33"/>
  <c r="N89" i="33"/>
  <c r="P89" i="33"/>
  <c r="R124" i="33"/>
  <c r="N124" i="33"/>
  <c r="P124" i="33"/>
  <c r="P94" i="33"/>
  <c r="R94" i="33"/>
  <c r="N94" i="33"/>
  <c r="N123" i="33"/>
  <c r="P123" i="33"/>
  <c r="R123" i="33"/>
  <c r="N111" i="33"/>
  <c r="P111" i="33"/>
  <c r="R111" i="33"/>
  <c r="P93" i="33"/>
  <c r="R93" i="33"/>
  <c r="N93" i="33"/>
  <c r="P81" i="33"/>
  <c r="R81" i="33"/>
  <c r="N81" i="33"/>
  <c r="N63" i="33"/>
  <c r="P63" i="33"/>
  <c r="R63" i="33"/>
  <c r="N51" i="33"/>
  <c r="P51" i="33"/>
  <c r="R51" i="33"/>
  <c r="N39" i="33"/>
  <c r="P39" i="33"/>
  <c r="R39" i="33"/>
  <c r="P33" i="33"/>
  <c r="R33" i="33"/>
  <c r="N33" i="33"/>
  <c r="R113" i="33"/>
  <c r="N113" i="33"/>
  <c r="P113" i="33"/>
  <c r="N71" i="33"/>
  <c r="P71" i="33"/>
  <c r="R71" i="33"/>
  <c r="P118" i="33"/>
  <c r="R118" i="33"/>
  <c r="N118" i="33"/>
  <c r="P106" i="33"/>
  <c r="R106" i="33"/>
  <c r="N106" i="33"/>
  <c r="N135" i="33"/>
  <c r="P135" i="33"/>
  <c r="R135" i="33"/>
  <c r="P129" i="33"/>
  <c r="R129" i="33"/>
  <c r="N129" i="33"/>
  <c r="P117" i="33"/>
  <c r="R117" i="33"/>
  <c r="N117" i="33"/>
  <c r="P105" i="33"/>
  <c r="R105" i="33"/>
  <c r="N105" i="33"/>
  <c r="N99" i="33"/>
  <c r="P99" i="33"/>
  <c r="R99" i="33"/>
  <c r="N87" i="33"/>
  <c r="P87" i="33"/>
  <c r="R87" i="33"/>
  <c r="N75" i="33"/>
  <c r="P75" i="33"/>
  <c r="R75" i="33"/>
  <c r="P69" i="33"/>
  <c r="R69" i="33"/>
  <c r="N69" i="33"/>
  <c r="P57" i="33"/>
  <c r="R57" i="33"/>
  <c r="N57" i="33"/>
  <c r="P45" i="33"/>
  <c r="R45" i="33"/>
  <c r="N45" i="33"/>
  <c r="N27" i="33"/>
  <c r="P27" i="33"/>
  <c r="R27" i="33"/>
  <c r="Q6" i="15"/>
  <c r="T6" i="15"/>
  <c r="W6" i="15"/>
  <c r="Z6" i="15"/>
  <c r="W38" i="15"/>
  <c r="Z38" i="15"/>
  <c r="Q38" i="15"/>
  <c r="T38" i="15"/>
  <c r="C14" i="15"/>
  <c r="Q29" i="15"/>
  <c r="T29" i="15"/>
  <c r="W29" i="15"/>
  <c r="Z29" i="15"/>
  <c r="C21" i="15"/>
  <c r="C4" i="15"/>
  <c r="C5" i="15"/>
  <c r="C23" i="15"/>
  <c r="C46" i="15"/>
  <c r="C15" i="15"/>
  <c r="C24" i="15"/>
  <c r="C30" i="15"/>
  <c r="C31" i="15"/>
  <c r="C8" i="15"/>
  <c r="C16" i="15"/>
  <c r="C11" i="15"/>
  <c r="C10" i="15"/>
  <c r="C35" i="15"/>
  <c r="C22" i="15"/>
  <c r="C7" i="15"/>
  <c r="C3" i="15"/>
  <c r="C45" i="15"/>
  <c r="C17" i="15"/>
  <c r="C34" i="15"/>
  <c r="C39" i="15"/>
  <c r="C20" i="15"/>
  <c r="C86" i="15"/>
  <c r="C50" i="15"/>
  <c r="C58" i="15"/>
  <c r="C13" i="15"/>
  <c r="C85" i="15"/>
  <c r="C49" i="15"/>
  <c r="C18" i="15"/>
  <c r="C61" i="15"/>
  <c r="C63" i="15"/>
  <c r="C60" i="15"/>
  <c r="C37" i="15"/>
  <c r="C40" i="15"/>
  <c r="C28" i="15"/>
  <c r="C55" i="15"/>
  <c r="C73" i="15"/>
  <c r="C88" i="15"/>
  <c r="C79" i="15"/>
  <c r="C74" i="15"/>
  <c r="C83" i="15"/>
  <c r="C82" i="15"/>
  <c r="C59" i="15"/>
  <c r="C43" i="15"/>
  <c r="C84" i="15"/>
  <c r="C33" i="15"/>
  <c r="V20" i="33"/>
  <c r="C32" i="15"/>
  <c r="C67" i="15"/>
  <c r="C41" i="15"/>
  <c r="C91" i="15"/>
  <c r="C76" i="15"/>
  <c r="C64" i="15"/>
  <c r="C36" i="15"/>
  <c r="C71" i="15"/>
  <c r="C81" i="15"/>
  <c r="C70" i="15"/>
  <c r="C92" i="15"/>
  <c r="C52" i="15"/>
  <c r="C89" i="15"/>
  <c r="C44" i="15"/>
  <c r="C47" i="15"/>
  <c r="C68" i="15"/>
  <c r="C77" i="15"/>
  <c r="C27" i="15"/>
  <c r="C72" i="15"/>
  <c r="C75" i="15"/>
  <c r="C56" i="15"/>
  <c r="C54" i="15"/>
  <c r="C65" i="15"/>
  <c r="C80" i="15"/>
  <c r="C62" i="15"/>
  <c r="C93" i="15"/>
  <c r="C42" i="15"/>
  <c r="C90" i="15"/>
  <c r="C53" i="15"/>
  <c r="C48" i="15"/>
  <c r="C69" i="15"/>
  <c r="C87" i="15"/>
  <c r="C78" i="15"/>
  <c r="C57" i="15"/>
  <c r="C51" i="15"/>
  <c r="C66" i="15"/>
  <c r="AC44" i="15" l="1"/>
  <c r="AF44" i="15"/>
  <c r="AC11" i="15"/>
  <c r="AF11" i="15"/>
  <c r="AC86" i="15"/>
  <c r="AF86" i="15"/>
  <c r="AC8" i="15"/>
  <c r="AF8" i="15"/>
  <c r="AC58" i="15"/>
  <c r="AF58" i="15"/>
  <c r="AC66" i="15"/>
  <c r="AF66" i="15"/>
  <c r="AC65" i="15"/>
  <c r="AF65" i="15"/>
  <c r="AC33" i="15"/>
  <c r="AF33" i="15"/>
  <c r="AC20" i="15"/>
  <c r="AF20" i="15"/>
  <c r="AC54" i="15"/>
  <c r="AF54" i="15"/>
  <c r="AC84" i="15"/>
  <c r="AF84" i="15"/>
  <c r="AC37" i="15"/>
  <c r="AF37" i="15"/>
  <c r="AC39" i="15"/>
  <c r="AF39" i="15"/>
  <c r="AC31" i="15"/>
  <c r="AF31" i="15"/>
  <c r="AC16" i="15"/>
  <c r="AF16" i="15"/>
  <c r="AC51" i="15"/>
  <c r="AF51" i="15"/>
  <c r="AC92" i="15"/>
  <c r="AF92" i="15"/>
  <c r="AC40" i="15"/>
  <c r="AF40" i="15"/>
  <c r="AC57" i="15"/>
  <c r="AF57" i="15"/>
  <c r="AC70" i="15"/>
  <c r="AF70" i="15"/>
  <c r="AC78" i="15"/>
  <c r="AF78" i="15"/>
  <c r="AC56" i="15"/>
  <c r="AF56" i="15"/>
  <c r="AC81" i="15"/>
  <c r="AF81" i="15"/>
  <c r="AC43" i="15"/>
  <c r="AF43" i="15"/>
  <c r="AC60" i="15"/>
  <c r="AF60" i="15"/>
  <c r="AC34" i="15"/>
  <c r="AF34" i="15"/>
  <c r="AC30" i="15"/>
  <c r="AF30" i="15"/>
  <c r="AC14" i="15"/>
  <c r="AF14" i="15"/>
  <c r="AC21" i="15"/>
  <c r="AF21" i="15"/>
  <c r="AC50" i="15"/>
  <c r="AF50" i="15"/>
  <c r="AC75" i="15"/>
  <c r="AF75" i="15"/>
  <c r="AC24" i="15"/>
  <c r="AF24" i="15"/>
  <c r="AC67" i="15"/>
  <c r="AF67" i="15"/>
  <c r="AC62" i="15"/>
  <c r="AF62" i="15"/>
  <c r="AC55" i="15"/>
  <c r="AF55" i="15"/>
  <c r="AC28" i="15"/>
  <c r="AF28" i="15"/>
  <c r="AC87" i="15"/>
  <c r="AF87" i="15"/>
  <c r="AC71" i="15"/>
  <c r="AF71" i="15"/>
  <c r="AC59" i="15"/>
  <c r="AF59" i="15"/>
  <c r="AC63" i="15"/>
  <c r="AF63" i="15"/>
  <c r="AC17" i="15"/>
  <c r="AF17" i="15"/>
  <c r="AC69" i="15"/>
  <c r="AF69" i="15"/>
  <c r="AC72" i="15"/>
  <c r="AF72" i="15"/>
  <c r="AC36" i="15"/>
  <c r="AF36" i="15"/>
  <c r="AC82" i="15"/>
  <c r="AF82" i="15"/>
  <c r="AC61" i="15"/>
  <c r="AF61" i="15"/>
  <c r="AC45" i="15"/>
  <c r="AF45" i="15"/>
  <c r="AC15" i="15"/>
  <c r="AF15" i="15"/>
  <c r="AC32" i="15"/>
  <c r="AF32" i="15"/>
  <c r="AC80" i="15"/>
  <c r="AF80" i="15"/>
  <c r="AC27" i="15"/>
  <c r="AF27" i="15"/>
  <c r="AC18" i="15"/>
  <c r="AF18" i="15"/>
  <c r="AC29" i="15"/>
  <c r="AF29" i="15"/>
  <c r="AC93" i="15"/>
  <c r="AF93" i="15"/>
  <c r="AC89" i="15"/>
  <c r="AF89" i="15"/>
  <c r="AC52" i="15"/>
  <c r="AF52" i="15"/>
  <c r="AC48" i="15"/>
  <c r="AF48" i="15"/>
  <c r="AC46" i="15"/>
  <c r="AF46" i="15"/>
  <c r="AC76" i="15"/>
  <c r="AF76" i="15"/>
  <c r="AC23" i="15"/>
  <c r="AF23" i="15"/>
  <c r="AC38" i="15"/>
  <c r="AF38" i="15"/>
  <c r="AC10" i="15"/>
  <c r="AF10" i="15"/>
  <c r="AC64" i="15"/>
  <c r="AF64" i="15"/>
  <c r="AC77" i="15"/>
  <c r="AF77" i="15"/>
  <c r="AC7" i="15"/>
  <c r="AF7" i="15"/>
  <c r="AC68" i="15"/>
  <c r="AF68" i="15"/>
  <c r="AC85" i="15"/>
  <c r="AF85" i="15"/>
  <c r="AC73" i="15"/>
  <c r="AF73" i="15"/>
  <c r="AC83" i="15"/>
  <c r="AF83" i="15"/>
  <c r="AC3" i="15"/>
  <c r="AF3" i="15"/>
  <c r="AC53" i="15"/>
  <c r="AF53" i="15"/>
  <c r="AC74" i="15"/>
  <c r="AF74" i="15"/>
  <c r="AC49" i="15"/>
  <c r="AF49" i="15"/>
  <c r="AC90" i="15"/>
  <c r="AF90" i="15"/>
  <c r="AC91" i="15"/>
  <c r="AF91" i="15"/>
  <c r="AC79" i="15"/>
  <c r="AF79" i="15"/>
  <c r="AC22" i="15"/>
  <c r="AF22" i="15"/>
  <c r="AC5" i="15"/>
  <c r="AF5" i="15"/>
  <c r="AC42" i="15"/>
  <c r="AF42" i="15"/>
  <c r="AC47" i="15"/>
  <c r="AF47" i="15"/>
  <c r="AC41" i="15"/>
  <c r="AF41" i="15"/>
  <c r="AC88" i="15"/>
  <c r="AF88" i="15"/>
  <c r="AC13" i="15"/>
  <c r="AF13" i="15"/>
  <c r="AC35" i="15"/>
  <c r="AF35" i="15"/>
  <c r="AC4" i="15"/>
  <c r="AF4" i="15"/>
  <c r="L20" i="33"/>
  <c r="T20" i="33"/>
  <c r="R20" i="33"/>
  <c r="N20" i="33"/>
  <c r="P20" i="33"/>
  <c r="W45" i="15"/>
  <c r="T45" i="15"/>
  <c r="Q45" i="15"/>
  <c r="Z45" i="15"/>
  <c r="Q53" i="15"/>
  <c r="T53" i="15"/>
  <c r="W53" i="15"/>
  <c r="Z53" i="15"/>
  <c r="Q77" i="15"/>
  <c r="T77" i="15"/>
  <c r="W77" i="15"/>
  <c r="Z77" i="15"/>
  <c r="Q76" i="15"/>
  <c r="T76" i="15"/>
  <c r="W76" i="15"/>
  <c r="Z76" i="15"/>
  <c r="W74" i="15"/>
  <c r="Z74" i="15"/>
  <c r="T74" i="15"/>
  <c r="Q74" i="15"/>
  <c r="Z49" i="15"/>
  <c r="W49" i="15"/>
  <c r="Q49" i="15"/>
  <c r="T49" i="15"/>
  <c r="Z3" i="15"/>
  <c r="T3" i="15"/>
  <c r="Q3" i="15"/>
  <c r="W3" i="15"/>
  <c r="T15" i="15"/>
  <c r="W15" i="15"/>
  <c r="Z15" i="15"/>
  <c r="Q15" i="15"/>
  <c r="Q18" i="15"/>
  <c r="T18" i="15"/>
  <c r="W18" i="15"/>
  <c r="Z18" i="15"/>
  <c r="Q48" i="15"/>
  <c r="Z48" i="15"/>
  <c r="T48" i="15"/>
  <c r="W48" i="15"/>
  <c r="Q90" i="15"/>
  <c r="T90" i="15"/>
  <c r="W90" i="15"/>
  <c r="Z90" i="15"/>
  <c r="Q46" i="15"/>
  <c r="T46" i="15"/>
  <c r="Z46" i="15"/>
  <c r="W46" i="15"/>
  <c r="Q42" i="15"/>
  <c r="T42" i="15"/>
  <c r="W42" i="15"/>
  <c r="Z42" i="15"/>
  <c r="Q47" i="15"/>
  <c r="Z47" i="15"/>
  <c r="T47" i="15"/>
  <c r="W47" i="15"/>
  <c r="Q41" i="15"/>
  <c r="T41" i="15"/>
  <c r="W41" i="15"/>
  <c r="Z41" i="15"/>
  <c r="Q88" i="15"/>
  <c r="T88" i="15"/>
  <c r="W88" i="15"/>
  <c r="Z88" i="15"/>
  <c r="Z13" i="15"/>
  <c r="Q13" i="15"/>
  <c r="W13" i="15"/>
  <c r="T13" i="15"/>
  <c r="T22" i="15"/>
  <c r="Q22" i="15"/>
  <c r="W22" i="15"/>
  <c r="Z22" i="15"/>
  <c r="Q23" i="15"/>
  <c r="W23" i="15"/>
  <c r="Z23" i="15"/>
  <c r="T23" i="15"/>
  <c r="Z79" i="15"/>
  <c r="Q79" i="15"/>
  <c r="T79" i="15"/>
  <c r="W79" i="15"/>
  <c r="Q7" i="15"/>
  <c r="T7" i="15"/>
  <c r="W7" i="15"/>
  <c r="Z7" i="15"/>
  <c r="W93" i="15"/>
  <c r="Q93" i="15"/>
  <c r="T93" i="15"/>
  <c r="Z93" i="15"/>
  <c r="Z44" i="15"/>
  <c r="Q44" i="15"/>
  <c r="W44" i="15"/>
  <c r="T44" i="15"/>
  <c r="Q67" i="15"/>
  <c r="T67" i="15"/>
  <c r="Z67" i="15"/>
  <c r="W67" i="15"/>
  <c r="Z73" i="15"/>
  <c r="T73" i="15"/>
  <c r="Q73" i="15"/>
  <c r="W73" i="15"/>
  <c r="T58" i="15"/>
  <c r="Q58" i="15"/>
  <c r="W58" i="15"/>
  <c r="Z58" i="15"/>
  <c r="Q35" i="15"/>
  <c r="T35" i="15"/>
  <c r="Z35" i="15"/>
  <c r="W35" i="15"/>
  <c r="Q5" i="15"/>
  <c r="T5" i="15"/>
  <c r="W5" i="15"/>
  <c r="Z5" i="15"/>
  <c r="Q68" i="15"/>
  <c r="W68" i="15"/>
  <c r="Z68" i="15"/>
  <c r="T68" i="15"/>
  <c r="W62" i="15"/>
  <c r="Z62" i="15"/>
  <c r="Q62" i="15"/>
  <c r="T62" i="15"/>
  <c r="Q89" i="15"/>
  <c r="T89" i="15"/>
  <c r="W89" i="15"/>
  <c r="Z89" i="15"/>
  <c r="W32" i="15"/>
  <c r="Q32" i="15"/>
  <c r="T32" i="15"/>
  <c r="Z32" i="15"/>
  <c r="Q55" i="15"/>
  <c r="T55" i="15"/>
  <c r="W55" i="15"/>
  <c r="Z55" i="15"/>
  <c r="W50" i="15"/>
  <c r="Z50" i="15"/>
  <c r="Q50" i="15"/>
  <c r="T50" i="15"/>
  <c r="W10" i="15"/>
  <c r="Q10" i="15"/>
  <c r="T10" i="15"/>
  <c r="Z10" i="15"/>
  <c r="W4" i="15"/>
  <c r="Z4" i="15"/>
  <c r="T4" i="15"/>
  <c r="Q4" i="15"/>
  <c r="Q66" i="15"/>
  <c r="T66" i="15"/>
  <c r="W66" i="15"/>
  <c r="Z66" i="15"/>
  <c r="W80" i="15"/>
  <c r="Z80" i="15"/>
  <c r="Q80" i="15"/>
  <c r="T80" i="15"/>
  <c r="Q52" i="15"/>
  <c r="T52" i="15"/>
  <c r="W52" i="15"/>
  <c r="Z52" i="15"/>
  <c r="Q28" i="15"/>
  <c r="T28" i="15"/>
  <c r="W28" i="15"/>
  <c r="Z28" i="15"/>
  <c r="W86" i="15"/>
  <c r="Z86" i="15"/>
  <c r="Q86" i="15"/>
  <c r="T86" i="15"/>
  <c r="Q11" i="15"/>
  <c r="T11" i="15"/>
  <c r="W11" i="15"/>
  <c r="Z11" i="15"/>
  <c r="W21" i="15"/>
  <c r="T21" i="15"/>
  <c r="Q21" i="15"/>
  <c r="Z21" i="15"/>
  <c r="Q64" i="15"/>
  <c r="T64" i="15"/>
  <c r="W64" i="15"/>
  <c r="Z64" i="15"/>
  <c r="Z85" i="15"/>
  <c r="Q85" i="15"/>
  <c r="W85" i="15"/>
  <c r="T85" i="15"/>
  <c r="T33" i="15"/>
  <c r="W33" i="15"/>
  <c r="Q33" i="15"/>
  <c r="Z33" i="15"/>
  <c r="T57" i="15"/>
  <c r="W57" i="15"/>
  <c r="Q57" i="15"/>
  <c r="Z57" i="15"/>
  <c r="Q84" i="15"/>
  <c r="Z84" i="15"/>
  <c r="T84" i="15"/>
  <c r="W84" i="15"/>
  <c r="Z20" i="15"/>
  <c r="Q20" i="15"/>
  <c r="W20" i="15"/>
  <c r="T20" i="15"/>
  <c r="Q8" i="15"/>
  <c r="T8" i="15"/>
  <c r="Z8" i="15"/>
  <c r="W8" i="15"/>
  <c r="T51" i="15"/>
  <c r="W51" i="15"/>
  <c r="Z51" i="15"/>
  <c r="Q51" i="15"/>
  <c r="T27" i="15"/>
  <c r="W27" i="15"/>
  <c r="Z27" i="15"/>
  <c r="Q27" i="15"/>
  <c r="Z92" i="15"/>
  <c r="Q92" i="15"/>
  <c r="W92" i="15"/>
  <c r="T92" i="15"/>
  <c r="Q16" i="15"/>
  <c r="T16" i="15"/>
  <c r="W16" i="15"/>
  <c r="Z16" i="15"/>
  <c r="T70" i="15"/>
  <c r="Q70" i="15"/>
  <c r="W70" i="15"/>
  <c r="Z70" i="15"/>
  <c r="Z43" i="15"/>
  <c r="Q43" i="15"/>
  <c r="T43" i="15"/>
  <c r="W43" i="15"/>
  <c r="T63" i="15"/>
  <c r="W63" i="15"/>
  <c r="Z63" i="15"/>
  <c r="Q63" i="15"/>
  <c r="Q34" i="15"/>
  <c r="T34" i="15"/>
  <c r="W34" i="15"/>
  <c r="Z34" i="15"/>
  <c r="Q30" i="15"/>
  <c r="T30" i="15"/>
  <c r="W30" i="15"/>
  <c r="Z30" i="15"/>
  <c r="Q83" i="15"/>
  <c r="Z83" i="15"/>
  <c r="T83" i="15"/>
  <c r="W83" i="15"/>
  <c r="Q91" i="15"/>
  <c r="T91" i="15"/>
  <c r="Z91" i="15"/>
  <c r="W91" i="15"/>
  <c r="Q65" i="15"/>
  <c r="T65" i="15"/>
  <c r="W65" i="15"/>
  <c r="Z65" i="15"/>
  <c r="Q40" i="15"/>
  <c r="T40" i="15"/>
  <c r="W40" i="15"/>
  <c r="Z40" i="15"/>
  <c r="Q54" i="15"/>
  <c r="T54" i="15"/>
  <c r="W54" i="15"/>
  <c r="Z54" i="15"/>
  <c r="Z37" i="15"/>
  <c r="T37" i="15"/>
  <c r="Q37" i="15"/>
  <c r="W37" i="15"/>
  <c r="Q78" i="15"/>
  <c r="T78" i="15"/>
  <c r="W78" i="15"/>
  <c r="Z78" i="15"/>
  <c r="Z56" i="15"/>
  <c r="W56" i="15"/>
  <c r="Q56" i="15"/>
  <c r="T56" i="15"/>
  <c r="T81" i="15"/>
  <c r="W81" i="15"/>
  <c r="Q81" i="15"/>
  <c r="Z81" i="15"/>
  <c r="W60" i="15"/>
  <c r="Q60" i="15"/>
  <c r="Z60" i="15"/>
  <c r="T60" i="15"/>
  <c r="T39" i="15"/>
  <c r="W39" i="15"/>
  <c r="Z39" i="15"/>
  <c r="Q39" i="15"/>
  <c r="Z31" i="15"/>
  <c r="Q31" i="15"/>
  <c r="T31" i="15"/>
  <c r="W31" i="15"/>
  <c r="T87" i="15"/>
  <c r="W87" i="15"/>
  <c r="Z87" i="15"/>
  <c r="Q87" i="15"/>
  <c r="T75" i="15"/>
  <c r="W75" i="15"/>
  <c r="Z75" i="15"/>
  <c r="Q75" i="15"/>
  <c r="Q71" i="15"/>
  <c r="T71" i="15"/>
  <c r="Z71" i="15"/>
  <c r="W71" i="15"/>
  <c r="Q59" i="15"/>
  <c r="W59" i="15"/>
  <c r="Z59" i="15"/>
  <c r="T59" i="15"/>
  <c r="W69" i="15"/>
  <c r="T69" i="15"/>
  <c r="Q69" i="15"/>
  <c r="Z69" i="15"/>
  <c r="Q72" i="15"/>
  <c r="T72" i="15"/>
  <c r="Z72" i="15"/>
  <c r="W72" i="15"/>
  <c r="Z36" i="15"/>
  <c r="T36" i="15"/>
  <c r="Q36" i="15"/>
  <c r="W36" i="15"/>
  <c r="T82" i="15"/>
  <c r="Q82" i="15"/>
  <c r="Z82" i="15"/>
  <c r="W82" i="15"/>
  <c r="Z61" i="15"/>
  <c r="W61" i="15"/>
  <c r="Q61" i="15"/>
  <c r="T61" i="15"/>
  <c r="Q17" i="15"/>
  <c r="T17" i="15"/>
  <c r="W17" i="15"/>
  <c r="Z17" i="15"/>
  <c r="W24" i="15"/>
  <c r="Q24" i="15"/>
  <c r="T24" i="15"/>
  <c r="Z24" i="15"/>
  <c r="W14" i="15"/>
  <c r="Z14" i="15"/>
  <c r="Q14" i="15"/>
  <c r="T14" i="15"/>
  <c r="V19" i="33"/>
  <c r="V23" i="33"/>
  <c r="V7" i="33"/>
  <c r="L7" i="33" l="1"/>
  <c r="T7" i="33"/>
  <c r="L23" i="33"/>
  <c r="T23" i="33"/>
  <c r="L19" i="33"/>
  <c r="T19" i="33"/>
  <c r="P19" i="33"/>
  <c r="R19" i="33"/>
  <c r="N19" i="33"/>
  <c r="P7" i="33"/>
  <c r="R7" i="33"/>
  <c r="N7" i="33"/>
  <c r="N23" i="33"/>
  <c r="P23" i="33"/>
  <c r="R23" i="33"/>
  <c r="AC6" i="2" l="1"/>
  <c r="S346" i="2" l="1"/>
  <c r="AH346" i="2" s="1"/>
  <c r="S347" i="2"/>
  <c r="AH347" i="2" s="1"/>
  <c r="S348" i="2"/>
  <c r="AH348" i="2" s="1"/>
  <c r="S349" i="2"/>
  <c r="AH349" i="2" s="1"/>
  <c r="S350" i="2"/>
  <c r="AH350" i="2" s="1"/>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E350" i="2" l="1"/>
  <c r="AB350" i="2"/>
  <c r="AB349" i="2"/>
  <c r="AE349" i="2"/>
  <c r="AE348" i="2"/>
  <c r="AB348" i="2"/>
  <c r="AE347" i="2"/>
  <c r="AB347" i="2"/>
  <c r="AE346" i="2"/>
  <c r="AB346" i="2"/>
  <c r="V350" i="2"/>
  <c r="Y350" i="2"/>
  <c r="V349" i="2"/>
  <c r="Y349" i="2"/>
  <c r="Y348" i="2"/>
  <c r="V348" i="2"/>
  <c r="V347" i="2"/>
  <c r="Y347" i="2"/>
  <c r="V346" i="2"/>
  <c r="Y346" i="2"/>
  <c r="S60" i="2"/>
  <c r="AH60" i="2" s="1"/>
  <c r="AB60" i="2" l="1"/>
  <c r="AE60" i="2"/>
  <c r="V60" i="2"/>
  <c r="Y60" i="2"/>
  <c r="S280" i="2"/>
  <c r="AH280" i="2" s="1"/>
  <c r="S274" i="2"/>
  <c r="AH274" i="2" s="1"/>
  <c r="S273" i="2"/>
  <c r="AH273" i="2" s="1"/>
  <c r="S269" i="2"/>
  <c r="AH269" i="2" s="1"/>
  <c r="S268" i="2"/>
  <c r="AH268" i="2" s="1"/>
  <c r="S259" i="2"/>
  <c r="AH259" i="2" s="1"/>
  <c r="S255" i="2"/>
  <c r="AH255" i="2" s="1"/>
  <c r="S254" i="2"/>
  <c r="AH254" i="2" s="1"/>
  <c r="S253" i="2"/>
  <c r="AH253" i="2" s="1"/>
  <c r="S251" i="2"/>
  <c r="AH251" i="2" s="1"/>
  <c r="S247" i="2"/>
  <c r="AH247" i="2" s="1"/>
  <c r="S243" i="2"/>
  <c r="AH243" i="2" s="1"/>
  <c r="S242" i="2"/>
  <c r="AH242" i="2" s="1"/>
  <c r="S241" i="2"/>
  <c r="AH241" i="2" s="1"/>
  <c r="S239" i="2"/>
  <c r="AH239" i="2" s="1"/>
  <c r="S235" i="2"/>
  <c r="AH235" i="2" s="1"/>
  <c r="S31" i="2"/>
  <c r="AH31" i="2" s="1"/>
  <c r="S89" i="2"/>
  <c r="AH89" i="2" s="1"/>
  <c r="S205" i="2"/>
  <c r="AH205" i="2" s="1"/>
  <c r="S234" i="2"/>
  <c r="AH234" i="2" s="1"/>
  <c r="S236" i="2"/>
  <c r="AH236" i="2" s="1"/>
  <c r="S237" i="2"/>
  <c r="AH237" i="2" s="1"/>
  <c r="S238" i="2"/>
  <c r="AH238" i="2" s="1"/>
  <c r="S240" i="2"/>
  <c r="AH240" i="2" s="1"/>
  <c r="S244" i="2"/>
  <c r="AH244" i="2" s="1"/>
  <c r="S245" i="2"/>
  <c r="AH245" i="2" s="1"/>
  <c r="S246" i="2"/>
  <c r="AH246" i="2" s="1"/>
  <c r="S248" i="2"/>
  <c r="AH248" i="2" s="1"/>
  <c r="S249" i="2"/>
  <c r="AH249" i="2" s="1"/>
  <c r="S250" i="2"/>
  <c r="AH250" i="2" s="1"/>
  <c r="S252" i="2"/>
  <c r="AH252" i="2" s="1"/>
  <c r="S256" i="2"/>
  <c r="AH256" i="2" s="1"/>
  <c r="S257" i="2"/>
  <c r="AH257" i="2" s="1"/>
  <c r="S258" i="2"/>
  <c r="AH258" i="2" s="1"/>
  <c r="S260" i="2"/>
  <c r="AH260" i="2" s="1"/>
  <c r="S261" i="2"/>
  <c r="AH261" i="2" s="1"/>
  <c r="S262" i="2"/>
  <c r="AH262" i="2" s="1"/>
  <c r="S264" i="2"/>
  <c r="AH264" i="2" s="1"/>
  <c r="S265" i="2"/>
  <c r="AH265" i="2" s="1"/>
  <c r="S266" i="2"/>
  <c r="AH266" i="2" s="1"/>
  <c r="S267" i="2"/>
  <c r="AH267" i="2" s="1"/>
  <c r="S270" i="2"/>
  <c r="AH270" i="2" s="1"/>
  <c r="S271" i="2"/>
  <c r="AH271" i="2" s="1"/>
  <c r="S272" i="2"/>
  <c r="AH272" i="2" s="1"/>
  <c r="S275" i="2"/>
  <c r="AH275" i="2" s="1"/>
  <c r="S276" i="2"/>
  <c r="AH276" i="2" s="1"/>
  <c r="S277" i="2"/>
  <c r="AH277" i="2" s="1"/>
  <c r="S278" i="2"/>
  <c r="AH278" i="2" s="1"/>
  <c r="S279" i="2"/>
  <c r="AH279" i="2" s="1"/>
  <c r="W204" i="2"/>
  <c r="Z204" i="2"/>
  <c r="AC204" i="2"/>
  <c r="W183" i="2"/>
  <c r="W184" i="2"/>
  <c r="W185" i="2"/>
  <c r="W186" i="2"/>
  <c r="W187" i="2"/>
  <c r="W188" i="2"/>
  <c r="W189" i="2"/>
  <c r="W190" i="2"/>
  <c r="W191" i="2"/>
  <c r="W192" i="2"/>
  <c r="W193" i="2"/>
  <c r="W194" i="2"/>
  <c r="W195" i="2"/>
  <c r="W196" i="2"/>
  <c r="W197" i="2"/>
  <c r="W198" i="2"/>
  <c r="W199" i="2"/>
  <c r="W200" i="2"/>
  <c r="W201" i="2"/>
  <c r="W202" i="2"/>
  <c r="W203" i="2"/>
  <c r="Z183" i="2"/>
  <c r="Z184" i="2"/>
  <c r="Z185" i="2"/>
  <c r="Z186" i="2"/>
  <c r="Z187" i="2"/>
  <c r="Z188" i="2"/>
  <c r="Z189" i="2"/>
  <c r="Z190" i="2"/>
  <c r="Z191" i="2"/>
  <c r="Z192" i="2"/>
  <c r="Z193" i="2"/>
  <c r="Z194" i="2"/>
  <c r="Z195" i="2"/>
  <c r="Z196" i="2"/>
  <c r="Z197" i="2"/>
  <c r="Z198" i="2"/>
  <c r="Z199" i="2"/>
  <c r="Z200" i="2"/>
  <c r="Z201" i="2"/>
  <c r="Z202" i="2"/>
  <c r="Z203" i="2"/>
  <c r="AC183" i="2"/>
  <c r="AC184" i="2"/>
  <c r="AC185" i="2"/>
  <c r="AC186" i="2"/>
  <c r="AC187" i="2"/>
  <c r="AC188" i="2"/>
  <c r="AC189" i="2"/>
  <c r="AC190" i="2"/>
  <c r="AC191" i="2"/>
  <c r="AC192" i="2"/>
  <c r="AC193" i="2"/>
  <c r="AC194" i="2"/>
  <c r="AC195" i="2"/>
  <c r="AC196" i="2"/>
  <c r="AC197" i="2"/>
  <c r="AC198" i="2"/>
  <c r="AC199" i="2"/>
  <c r="AC200" i="2"/>
  <c r="AC201" i="2"/>
  <c r="AC202" i="2"/>
  <c r="AC203" i="2"/>
  <c r="W172" i="2"/>
  <c r="W173" i="2"/>
  <c r="W174" i="2"/>
  <c r="W175" i="2"/>
  <c r="Z172" i="2"/>
  <c r="Z173" i="2"/>
  <c r="Z174" i="2"/>
  <c r="Z175" i="2"/>
  <c r="AC172" i="2"/>
  <c r="AC173" i="2"/>
  <c r="AC174" i="2"/>
  <c r="AC175" i="2"/>
  <c r="W154" i="2"/>
  <c r="W155" i="2"/>
  <c r="W156" i="2"/>
  <c r="W157" i="2"/>
  <c r="W158" i="2"/>
  <c r="W159" i="2"/>
  <c r="W160" i="2"/>
  <c r="W161" i="2"/>
  <c r="W162" i="2"/>
  <c r="W163" i="2"/>
  <c r="W164" i="2"/>
  <c r="W165" i="2"/>
  <c r="W166" i="2"/>
  <c r="W167" i="2"/>
  <c r="W168" i="2"/>
  <c r="W169" i="2"/>
  <c r="W170" i="2"/>
  <c r="W171" i="2"/>
  <c r="Z154" i="2"/>
  <c r="Z155" i="2"/>
  <c r="Z156" i="2"/>
  <c r="Z157" i="2"/>
  <c r="Z158" i="2"/>
  <c r="Z159" i="2"/>
  <c r="Z160" i="2"/>
  <c r="Z161" i="2"/>
  <c r="Z162" i="2"/>
  <c r="Z163" i="2"/>
  <c r="Z164" i="2"/>
  <c r="Z165" i="2"/>
  <c r="Z166" i="2"/>
  <c r="Z167" i="2"/>
  <c r="Z168" i="2"/>
  <c r="Z169" i="2"/>
  <c r="Z170" i="2"/>
  <c r="Z171" i="2"/>
  <c r="AC154" i="2"/>
  <c r="AC155" i="2"/>
  <c r="AC156" i="2"/>
  <c r="AC157" i="2"/>
  <c r="AC158" i="2"/>
  <c r="AC159" i="2"/>
  <c r="AC160" i="2"/>
  <c r="AC161" i="2"/>
  <c r="AC162" i="2"/>
  <c r="AC163" i="2"/>
  <c r="AC164" i="2"/>
  <c r="AC165" i="2"/>
  <c r="AC166" i="2"/>
  <c r="AC167" i="2"/>
  <c r="AC168" i="2"/>
  <c r="AC169" i="2"/>
  <c r="AC170" i="2"/>
  <c r="AC171" i="2"/>
  <c r="W137" i="2"/>
  <c r="W138" i="2"/>
  <c r="W139" i="2"/>
  <c r="W140" i="2"/>
  <c r="W141" i="2"/>
  <c r="W142" i="2"/>
  <c r="W143" i="2"/>
  <c r="W144" i="2"/>
  <c r="W145" i="2"/>
  <c r="W146" i="2"/>
  <c r="Z137" i="2"/>
  <c r="Z138" i="2"/>
  <c r="Z139" i="2"/>
  <c r="Z140" i="2"/>
  <c r="Z141" i="2"/>
  <c r="Z142" i="2"/>
  <c r="Z143" i="2"/>
  <c r="Z144" i="2"/>
  <c r="Z145" i="2"/>
  <c r="Z146" i="2"/>
  <c r="AC137" i="2"/>
  <c r="AC138" i="2"/>
  <c r="AC139" i="2"/>
  <c r="AC140" i="2"/>
  <c r="AC141" i="2"/>
  <c r="AC142" i="2"/>
  <c r="AC143" i="2"/>
  <c r="AC144" i="2"/>
  <c r="AC145" i="2"/>
  <c r="AC146" i="2"/>
  <c r="W125" i="2"/>
  <c r="W126" i="2"/>
  <c r="W127" i="2"/>
  <c r="W128" i="2"/>
  <c r="W129" i="2"/>
  <c r="W130" i="2"/>
  <c r="W131" i="2"/>
  <c r="W132" i="2"/>
  <c r="W133" i="2"/>
  <c r="W134" i="2"/>
  <c r="W135" i="2"/>
  <c r="W136" i="2"/>
  <c r="Z125" i="2"/>
  <c r="Z126" i="2"/>
  <c r="Z127" i="2"/>
  <c r="Z128" i="2"/>
  <c r="Z129" i="2"/>
  <c r="Z130" i="2"/>
  <c r="Z131" i="2"/>
  <c r="Z132" i="2"/>
  <c r="Z133" i="2"/>
  <c r="Z134" i="2"/>
  <c r="Z135" i="2"/>
  <c r="Z136" i="2"/>
  <c r="AC125" i="2"/>
  <c r="AC126" i="2"/>
  <c r="AC127" i="2"/>
  <c r="AC128" i="2"/>
  <c r="AC129" i="2"/>
  <c r="AC130" i="2"/>
  <c r="AC131" i="2"/>
  <c r="AC132" i="2"/>
  <c r="AC133" i="2"/>
  <c r="AC134" i="2"/>
  <c r="AC135" i="2"/>
  <c r="AC136" i="2"/>
  <c r="W111" i="2"/>
  <c r="W112" i="2"/>
  <c r="W113" i="2"/>
  <c r="W114" i="2"/>
  <c r="W115" i="2"/>
  <c r="W116" i="2"/>
  <c r="W117" i="2"/>
  <c r="Z111" i="2"/>
  <c r="Z112" i="2"/>
  <c r="Z113" i="2"/>
  <c r="Z114" i="2"/>
  <c r="Z115" i="2"/>
  <c r="Z116" i="2"/>
  <c r="Z117" i="2"/>
  <c r="AC111" i="2"/>
  <c r="AC112" i="2"/>
  <c r="AC113" i="2"/>
  <c r="AC114" i="2"/>
  <c r="AC115" i="2"/>
  <c r="AC116" i="2"/>
  <c r="AC117" i="2"/>
  <c r="W96" i="2"/>
  <c r="W97" i="2"/>
  <c r="W98" i="2"/>
  <c r="W99" i="2"/>
  <c r="W100" i="2"/>
  <c r="W101" i="2"/>
  <c r="W102" i="2"/>
  <c r="W103" i="2"/>
  <c r="W104" i="2"/>
  <c r="W105" i="2"/>
  <c r="W106" i="2"/>
  <c r="W107" i="2"/>
  <c r="W108" i="2"/>
  <c r="W109" i="2"/>
  <c r="W110" i="2"/>
  <c r="Z96" i="2"/>
  <c r="Z97" i="2"/>
  <c r="Z98" i="2"/>
  <c r="Z99" i="2"/>
  <c r="Z100" i="2"/>
  <c r="Z101" i="2"/>
  <c r="Z102" i="2"/>
  <c r="Z103" i="2"/>
  <c r="Z104" i="2"/>
  <c r="Z105" i="2"/>
  <c r="Z106" i="2"/>
  <c r="Z107" i="2"/>
  <c r="Z108" i="2"/>
  <c r="Z109" i="2"/>
  <c r="Z110" i="2"/>
  <c r="AC96" i="2"/>
  <c r="AC97" i="2"/>
  <c r="AC98" i="2"/>
  <c r="AC99" i="2"/>
  <c r="AC100" i="2"/>
  <c r="AC101" i="2"/>
  <c r="AC102" i="2"/>
  <c r="AC103" i="2"/>
  <c r="AC104" i="2"/>
  <c r="AC105" i="2"/>
  <c r="AC106" i="2"/>
  <c r="AC107" i="2"/>
  <c r="AC108" i="2"/>
  <c r="AC109" i="2"/>
  <c r="AC110" i="2"/>
  <c r="W67" i="2"/>
  <c r="W68" i="2"/>
  <c r="W69" i="2"/>
  <c r="W70" i="2"/>
  <c r="W71" i="2"/>
  <c r="W72" i="2"/>
  <c r="W73" i="2"/>
  <c r="W74" i="2"/>
  <c r="W75" i="2"/>
  <c r="W76" i="2"/>
  <c r="W77" i="2"/>
  <c r="W78" i="2"/>
  <c r="W79" i="2"/>
  <c r="W80" i="2"/>
  <c r="W81" i="2"/>
  <c r="W82" i="2"/>
  <c r="W83" i="2"/>
  <c r="W84" i="2"/>
  <c r="W85" i="2"/>
  <c r="W86" i="2"/>
  <c r="W87" i="2"/>
  <c r="W88" i="2"/>
  <c r="Z67" i="2"/>
  <c r="Z68" i="2"/>
  <c r="Z69" i="2"/>
  <c r="Z70" i="2"/>
  <c r="Z71" i="2"/>
  <c r="Z72" i="2"/>
  <c r="Z73" i="2"/>
  <c r="Z74" i="2"/>
  <c r="Z75" i="2"/>
  <c r="Z76" i="2"/>
  <c r="Z77" i="2"/>
  <c r="Z78" i="2"/>
  <c r="Z79" i="2"/>
  <c r="Z80" i="2"/>
  <c r="Z81" i="2"/>
  <c r="Z82" i="2"/>
  <c r="Z83" i="2"/>
  <c r="Z84" i="2"/>
  <c r="Z85" i="2"/>
  <c r="Z86" i="2"/>
  <c r="Z87" i="2"/>
  <c r="Z88" i="2"/>
  <c r="AC67" i="2"/>
  <c r="AC68" i="2"/>
  <c r="AC69" i="2"/>
  <c r="AC70" i="2"/>
  <c r="AC71" i="2"/>
  <c r="AC72" i="2"/>
  <c r="AC73" i="2"/>
  <c r="AC74" i="2"/>
  <c r="AC75" i="2"/>
  <c r="AC76" i="2"/>
  <c r="AC77" i="2"/>
  <c r="AC78" i="2"/>
  <c r="AC79" i="2"/>
  <c r="AC80" i="2"/>
  <c r="AC81" i="2"/>
  <c r="AC82" i="2"/>
  <c r="AC83" i="2"/>
  <c r="AC84" i="2"/>
  <c r="AC85" i="2"/>
  <c r="AC86" i="2"/>
  <c r="AC87" i="2"/>
  <c r="AC88" i="2"/>
  <c r="W38" i="2"/>
  <c r="W39" i="2"/>
  <c r="W40" i="2"/>
  <c r="W41" i="2"/>
  <c r="W42" i="2"/>
  <c r="W43" i="2"/>
  <c r="W44" i="2"/>
  <c r="W45" i="2"/>
  <c r="W46" i="2"/>
  <c r="W47" i="2"/>
  <c r="W48" i="2"/>
  <c r="W49" i="2"/>
  <c r="W50" i="2"/>
  <c r="W51" i="2"/>
  <c r="W52" i="2"/>
  <c r="W53" i="2"/>
  <c r="W54" i="2"/>
  <c r="W55" i="2"/>
  <c r="W56" i="2"/>
  <c r="W57" i="2"/>
  <c r="W58" i="2"/>
  <c r="W59" i="2"/>
  <c r="Z38" i="2"/>
  <c r="Z39" i="2"/>
  <c r="Z40" i="2"/>
  <c r="Z41" i="2"/>
  <c r="Z42" i="2"/>
  <c r="Z43" i="2"/>
  <c r="Z44" i="2"/>
  <c r="Z45" i="2"/>
  <c r="Z46" i="2"/>
  <c r="Z47" i="2"/>
  <c r="Z48" i="2"/>
  <c r="Z49" i="2"/>
  <c r="Z50" i="2"/>
  <c r="Z51" i="2"/>
  <c r="Z52" i="2"/>
  <c r="Z53" i="2"/>
  <c r="Z54" i="2"/>
  <c r="Z55" i="2"/>
  <c r="Z56" i="2"/>
  <c r="Z57" i="2"/>
  <c r="Z58" i="2"/>
  <c r="Z59" i="2"/>
  <c r="AC38" i="2"/>
  <c r="AC39" i="2"/>
  <c r="AC40" i="2"/>
  <c r="AC41" i="2"/>
  <c r="AC42" i="2"/>
  <c r="AC43" i="2"/>
  <c r="AC44" i="2"/>
  <c r="AC45" i="2"/>
  <c r="AC46" i="2"/>
  <c r="AC47" i="2"/>
  <c r="AC48" i="2"/>
  <c r="AC49" i="2"/>
  <c r="AC50" i="2"/>
  <c r="AC51" i="2"/>
  <c r="AC52" i="2"/>
  <c r="AC53" i="2"/>
  <c r="AC54" i="2"/>
  <c r="AC55" i="2"/>
  <c r="AC56" i="2"/>
  <c r="AC57" i="2"/>
  <c r="AC58" i="2"/>
  <c r="AC59" i="2"/>
  <c r="W24" i="2"/>
  <c r="W25" i="2"/>
  <c r="W26" i="2"/>
  <c r="W27" i="2"/>
  <c r="W28" i="2"/>
  <c r="W29" i="2"/>
  <c r="W30" i="2"/>
  <c r="Z24" i="2"/>
  <c r="Z25" i="2"/>
  <c r="Z26" i="2"/>
  <c r="Z27" i="2"/>
  <c r="Z28" i="2"/>
  <c r="Z29" i="2"/>
  <c r="Z30" i="2"/>
  <c r="AC24" i="2"/>
  <c r="AC25" i="2"/>
  <c r="AC26" i="2"/>
  <c r="AC27" i="2"/>
  <c r="AC28" i="2"/>
  <c r="AC29" i="2"/>
  <c r="AC30" i="2"/>
  <c r="W9" i="2"/>
  <c r="W10" i="2"/>
  <c r="W11" i="2"/>
  <c r="W12" i="2"/>
  <c r="W13" i="2"/>
  <c r="W14" i="2"/>
  <c r="W15" i="2"/>
  <c r="W16" i="2"/>
  <c r="W17" i="2"/>
  <c r="W18" i="2"/>
  <c r="W19" i="2"/>
  <c r="W20" i="2"/>
  <c r="W21" i="2"/>
  <c r="W22" i="2"/>
  <c r="W23" i="2"/>
  <c r="Z9" i="2"/>
  <c r="Z10" i="2"/>
  <c r="Z11" i="2"/>
  <c r="Z12" i="2"/>
  <c r="Z13" i="2"/>
  <c r="Z14" i="2"/>
  <c r="Z15" i="2"/>
  <c r="Z16" i="2"/>
  <c r="Z17" i="2"/>
  <c r="Z18" i="2"/>
  <c r="Z19" i="2"/>
  <c r="Z20" i="2"/>
  <c r="Z21" i="2"/>
  <c r="Z22" i="2"/>
  <c r="Z23" i="2"/>
  <c r="AC9" i="2"/>
  <c r="AC10" i="2"/>
  <c r="AC11" i="2"/>
  <c r="AC12" i="2"/>
  <c r="AC13" i="2"/>
  <c r="AC14" i="2"/>
  <c r="AC15" i="2"/>
  <c r="AC16" i="2"/>
  <c r="AC17" i="2"/>
  <c r="AC18" i="2"/>
  <c r="AC19" i="2"/>
  <c r="AC20" i="2"/>
  <c r="AC21" i="2"/>
  <c r="AC22" i="2"/>
  <c r="AC23" i="2"/>
  <c r="S33" i="2"/>
  <c r="AH33" i="2" s="1"/>
  <c r="A2" i="2"/>
  <c r="W3" i="2"/>
  <c r="Z3" i="2"/>
  <c r="AC3" i="2"/>
  <c r="W4" i="2"/>
  <c r="Z4" i="2"/>
  <c r="AC4" i="2"/>
  <c r="W5" i="2"/>
  <c r="Z5" i="2"/>
  <c r="AC5" i="2"/>
  <c r="W6" i="2"/>
  <c r="Z6" i="2"/>
  <c r="W7" i="2"/>
  <c r="Z7" i="2"/>
  <c r="AC7" i="2"/>
  <c r="W8" i="2"/>
  <c r="Z8" i="2"/>
  <c r="AC8" i="2"/>
  <c r="W31" i="2"/>
  <c r="Z31" i="2"/>
  <c r="AC31" i="2"/>
  <c r="W32" i="2"/>
  <c r="Z32" i="2"/>
  <c r="AC32" i="2"/>
  <c r="W33" i="2"/>
  <c r="Z33" i="2"/>
  <c r="AC33" i="2"/>
  <c r="W34" i="2"/>
  <c r="Z34" i="2"/>
  <c r="AC34" i="2"/>
  <c r="W35" i="2"/>
  <c r="Z35" i="2"/>
  <c r="AC35" i="2"/>
  <c r="W36" i="2"/>
  <c r="Z36" i="2"/>
  <c r="AC36" i="2"/>
  <c r="W37" i="2"/>
  <c r="Z37" i="2"/>
  <c r="AC37" i="2"/>
  <c r="W60" i="2"/>
  <c r="Z60" i="2"/>
  <c r="AC60" i="2"/>
  <c r="S61" i="2"/>
  <c r="AH61" i="2" s="1"/>
  <c r="W61" i="2"/>
  <c r="Z61" i="2"/>
  <c r="AC61" i="2"/>
  <c r="W62" i="2"/>
  <c r="Z62" i="2"/>
  <c r="AC62" i="2"/>
  <c r="W63" i="2"/>
  <c r="Z63" i="2"/>
  <c r="AC63" i="2"/>
  <c r="W64" i="2"/>
  <c r="Z64" i="2"/>
  <c r="AC64" i="2"/>
  <c r="W65" i="2"/>
  <c r="Z65" i="2"/>
  <c r="AC65" i="2"/>
  <c r="W66" i="2"/>
  <c r="Z66" i="2"/>
  <c r="AC66" i="2"/>
  <c r="W89" i="2"/>
  <c r="Z89" i="2"/>
  <c r="AC89" i="2"/>
  <c r="S90" i="2"/>
  <c r="AH90" i="2" s="1"/>
  <c r="W90" i="2"/>
  <c r="Z90" i="2"/>
  <c r="AC90" i="2"/>
  <c r="W91" i="2"/>
  <c r="Z91" i="2"/>
  <c r="AC91" i="2"/>
  <c r="W92" i="2"/>
  <c r="Z92" i="2"/>
  <c r="AC92" i="2"/>
  <c r="W93" i="2"/>
  <c r="Z93" i="2"/>
  <c r="AC93" i="2"/>
  <c r="W94" i="2"/>
  <c r="Z94" i="2"/>
  <c r="AC94" i="2"/>
  <c r="W95" i="2"/>
  <c r="Z95" i="2"/>
  <c r="AC95" i="2"/>
  <c r="AB252" i="2" l="1"/>
  <c r="AE252" i="2"/>
  <c r="AB259" i="2"/>
  <c r="AE259" i="2"/>
  <c r="AE31" i="2"/>
  <c r="AB31" i="2"/>
  <c r="AE266" i="2"/>
  <c r="AB266" i="2"/>
  <c r="AE248" i="2"/>
  <c r="AB248" i="2"/>
  <c r="AB235" i="2"/>
  <c r="AE235" i="2"/>
  <c r="AE269" i="2"/>
  <c r="AB269" i="2"/>
  <c r="AB271" i="2"/>
  <c r="AE271" i="2"/>
  <c r="AB268" i="2"/>
  <c r="AE268" i="2"/>
  <c r="AE61" i="2"/>
  <c r="AB61" i="2"/>
  <c r="AE265" i="2"/>
  <c r="AB265" i="2"/>
  <c r="AE246" i="2"/>
  <c r="AB246" i="2"/>
  <c r="AE239" i="2"/>
  <c r="AB239" i="2"/>
  <c r="AE273" i="2"/>
  <c r="AB273" i="2"/>
  <c r="AE272" i="2"/>
  <c r="AB272" i="2"/>
  <c r="AB249" i="2"/>
  <c r="AE249" i="2"/>
  <c r="AE264" i="2"/>
  <c r="AB264" i="2"/>
  <c r="AE245" i="2"/>
  <c r="AB245" i="2"/>
  <c r="AB241" i="2"/>
  <c r="AE241" i="2"/>
  <c r="AE274" i="2"/>
  <c r="AB274" i="2"/>
  <c r="AB254" i="2"/>
  <c r="AE254" i="2"/>
  <c r="AE255" i="2"/>
  <c r="AB255" i="2"/>
  <c r="AE89" i="2"/>
  <c r="AB89" i="2"/>
  <c r="AE279" i="2"/>
  <c r="AB279" i="2"/>
  <c r="AE262" i="2"/>
  <c r="AB262" i="2"/>
  <c r="AE244" i="2"/>
  <c r="AB244" i="2"/>
  <c r="AE242" i="2"/>
  <c r="AB242" i="2"/>
  <c r="AE280" i="2"/>
  <c r="AB280" i="2"/>
  <c r="AB33" i="2"/>
  <c r="AE33" i="2"/>
  <c r="AE205" i="2"/>
  <c r="AB205" i="2"/>
  <c r="AE278" i="2"/>
  <c r="AB278" i="2"/>
  <c r="AE261" i="2"/>
  <c r="AB261" i="2"/>
  <c r="AB240" i="2"/>
  <c r="AE240" i="2"/>
  <c r="AE243" i="2"/>
  <c r="AB243" i="2"/>
  <c r="AE250" i="2"/>
  <c r="AB250" i="2"/>
  <c r="AB277" i="2"/>
  <c r="AE277" i="2"/>
  <c r="AE260" i="2"/>
  <c r="AB260" i="2"/>
  <c r="AE238" i="2"/>
  <c r="AB238" i="2"/>
  <c r="AB247" i="2"/>
  <c r="AE247" i="2"/>
  <c r="AE234" i="2"/>
  <c r="AB234" i="2"/>
  <c r="AE90" i="2"/>
  <c r="AB90" i="2"/>
  <c r="AE276" i="2"/>
  <c r="AB276" i="2"/>
  <c r="AE258" i="2"/>
  <c r="AB258" i="2"/>
  <c r="AE237" i="2"/>
  <c r="AB237" i="2"/>
  <c r="AE251" i="2"/>
  <c r="AB251" i="2"/>
  <c r="AE256" i="2"/>
  <c r="AB256" i="2"/>
  <c r="AE270" i="2"/>
  <c r="AB270" i="2"/>
  <c r="AE267" i="2"/>
  <c r="AB267" i="2"/>
  <c r="AE275" i="2"/>
  <c r="AB275" i="2"/>
  <c r="AB257" i="2"/>
  <c r="AE257" i="2"/>
  <c r="AE236" i="2"/>
  <c r="AB236" i="2"/>
  <c r="AB253" i="2"/>
  <c r="AE253" i="2"/>
  <c r="V271" i="2"/>
  <c r="Y271" i="2"/>
  <c r="V252" i="2"/>
  <c r="Y252" i="2"/>
  <c r="V205" i="2"/>
  <c r="Y205" i="2"/>
  <c r="V255" i="2"/>
  <c r="Y255" i="2"/>
  <c r="V270" i="2"/>
  <c r="Y270" i="2"/>
  <c r="V250" i="2"/>
  <c r="Y250" i="2"/>
  <c r="V89" i="2"/>
  <c r="Y89" i="2"/>
  <c r="V259" i="2"/>
  <c r="Y259" i="2"/>
  <c r="V267" i="2"/>
  <c r="Y267" i="2"/>
  <c r="V249" i="2"/>
  <c r="Y249" i="2"/>
  <c r="V31" i="2"/>
  <c r="Y31" i="2"/>
  <c r="V268" i="2"/>
  <c r="Y268" i="2"/>
  <c r="V266" i="2"/>
  <c r="Y266" i="2"/>
  <c r="V248" i="2"/>
  <c r="Y248" i="2"/>
  <c r="V235" i="2"/>
  <c r="Y235" i="2"/>
  <c r="V269" i="2"/>
  <c r="Y269" i="2"/>
  <c r="V265" i="2"/>
  <c r="Y265" i="2"/>
  <c r="V246" i="2"/>
  <c r="Y246" i="2"/>
  <c r="V239" i="2"/>
  <c r="Y239" i="2"/>
  <c r="V273" i="2"/>
  <c r="Y273" i="2"/>
  <c r="V272" i="2"/>
  <c r="Y272" i="2"/>
  <c r="V264" i="2"/>
  <c r="Y264" i="2"/>
  <c r="V245" i="2"/>
  <c r="Y245" i="2"/>
  <c r="V241" i="2"/>
  <c r="Y241" i="2"/>
  <c r="V274" i="2"/>
  <c r="Y274" i="2"/>
  <c r="V33" i="2"/>
  <c r="Y33" i="2"/>
  <c r="V279" i="2"/>
  <c r="Y279" i="2"/>
  <c r="V262" i="2"/>
  <c r="Y262" i="2"/>
  <c r="V244" i="2"/>
  <c r="Y244" i="2"/>
  <c r="V242" i="2"/>
  <c r="Y242" i="2"/>
  <c r="V280" i="2"/>
  <c r="Y280" i="2"/>
  <c r="V256" i="2"/>
  <c r="Y256" i="2"/>
  <c r="V61" i="2"/>
  <c r="Y61" i="2"/>
  <c r="V278" i="2"/>
  <c r="Y278" i="2"/>
  <c r="V261" i="2"/>
  <c r="Y261" i="2"/>
  <c r="V240" i="2"/>
  <c r="Y240" i="2"/>
  <c r="V243" i="2"/>
  <c r="Y243" i="2"/>
  <c r="V254" i="2"/>
  <c r="Y254" i="2"/>
  <c r="V277" i="2"/>
  <c r="Y277" i="2"/>
  <c r="V260" i="2"/>
  <c r="Y260" i="2"/>
  <c r="V238" i="2"/>
  <c r="Y238" i="2"/>
  <c r="V247" i="2"/>
  <c r="Y247" i="2"/>
  <c r="V234" i="2"/>
  <c r="Y234" i="2"/>
  <c r="V90" i="2"/>
  <c r="Y90" i="2"/>
  <c r="V276" i="2"/>
  <c r="Y276" i="2"/>
  <c r="V258" i="2"/>
  <c r="Y258" i="2"/>
  <c r="V237" i="2"/>
  <c r="Y237" i="2"/>
  <c r="V251" i="2"/>
  <c r="Y251" i="2"/>
  <c r="V275" i="2"/>
  <c r="Y275" i="2"/>
  <c r="V257" i="2"/>
  <c r="Y257" i="2"/>
  <c r="V236" i="2"/>
  <c r="Y236" i="2"/>
  <c r="V253" i="2"/>
  <c r="Y253" i="2"/>
  <c r="S32" i="2"/>
  <c r="AH32" i="2" s="1"/>
  <c r="S3" i="2"/>
  <c r="AH3" i="2" s="1"/>
  <c r="S62" i="2"/>
  <c r="AH62" i="2" s="1"/>
  <c r="S34" i="2"/>
  <c r="AH34" i="2" s="1"/>
  <c r="S4" i="2"/>
  <c r="AH4" i="2" s="1"/>
  <c r="S91" i="2"/>
  <c r="AH91" i="2" s="1"/>
  <c r="AB34" i="2" l="1"/>
  <c r="AE34" i="2"/>
  <c r="AB91" i="2"/>
  <c r="AE91" i="2"/>
  <c r="AE4" i="2"/>
  <c r="AB4" i="2"/>
  <c r="AE62" i="2"/>
  <c r="AB62" i="2"/>
  <c r="AB3" i="2"/>
  <c r="AE3" i="2"/>
  <c r="AE32" i="2"/>
  <c r="AB32" i="2"/>
  <c r="V34" i="2"/>
  <c r="Y34" i="2"/>
  <c r="V62" i="2"/>
  <c r="Y62" i="2"/>
  <c r="V32" i="2"/>
  <c r="Y32" i="2"/>
  <c r="V91" i="2"/>
  <c r="Y91" i="2"/>
  <c r="S63" i="2"/>
  <c r="AH63" i="2" s="1"/>
  <c r="S92" i="2"/>
  <c r="AH92" i="2" s="1"/>
  <c r="S35" i="2"/>
  <c r="AH35" i="2" s="1"/>
  <c r="S5" i="2"/>
  <c r="AH5" i="2" s="1"/>
  <c r="AE92" i="2" l="1"/>
  <c r="AB92" i="2"/>
  <c r="AE5" i="2"/>
  <c r="AB5" i="2"/>
  <c r="AE35" i="2"/>
  <c r="AB35" i="2"/>
  <c r="AE63" i="2"/>
  <c r="AB63" i="2"/>
  <c r="V35" i="2"/>
  <c r="Y35" i="2"/>
  <c r="V63" i="2"/>
  <c r="Y63" i="2"/>
  <c r="V92" i="2"/>
  <c r="Y92" i="2"/>
  <c r="S64" i="2"/>
  <c r="AH64" i="2" s="1"/>
  <c r="S93" i="2"/>
  <c r="AH93" i="2" s="1"/>
  <c r="S6" i="2"/>
  <c r="AH6" i="2" s="1"/>
  <c r="S36" i="2"/>
  <c r="AH36" i="2" s="1"/>
  <c r="AE6" i="2" l="1"/>
  <c r="AB6" i="2"/>
  <c r="AE93" i="2"/>
  <c r="AB93" i="2"/>
  <c r="AB36" i="2"/>
  <c r="AE36" i="2"/>
  <c r="AB64" i="2"/>
  <c r="AE64" i="2"/>
  <c r="V36" i="2"/>
  <c r="Y36" i="2"/>
  <c r="V93" i="2"/>
  <c r="Y93" i="2"/>
  <c r="V64" i="2"/>
  <c r="Y64" i="2"/>
  <c r="S65" i="2"/>
  <c r="AH65" i="2" s="1"/>
  <c r="S7" i="2"/>
  <c r="AH7" i="2" s="1"/>
  <c r="S94" i="2"/>
  <c r="AH94" i="2" s="1"/>
  <c r="AE94" i="2" l="1"/>
  <c r="AB94" i="2"/>
  <c r="AE7" i="2"/>
  <c r="AB7" i="2"/>
  <c r="AE65" i="2"/>
  <c r="AB65" i="2"/>
  <c r="V94" i="2"/>
  <c r="Y94" i="2"/>
  <c r="V65" i="2"/>
  <c r="Y65" i="2"/>
  <c r="S8" i="2"/>
  <c r="AH8" i="2" s="1"/>
  <c r="S37" i="2"/>
  <c r="AH37" i="2" s="1"/>
  <c r="AB37" i="2" l="1"/>
  <c r="AE37" i="2"/>
  <c r="AE8" i="2"/>
  <c r="AB8" i="2"/>
  <c r="V37" i="2"/>
  <c r="Y37" i="2"/>
  <c r="S9" i="2"/>
  <c r="AH9" i="2" s="1"/>
  <c r="S38" i="2"/>
  <c r="AH38" i="2" s="1"/>
  <c r="S66" i="2"/>
  <c r="AH66" i="2" s="1"/>
  <c r="S95" i="2"/>
  <c r="AH95" i="2" s="1"/>
  <c r="AB38" i="2" l="1"/>
  <c r="AE38" i="2"/>
  <c r="AE95" i="2"/>
  <c r="AB95" i="2"/>
  <c r="AE66" i="2"/>
  <c r="AB66" i="2"/>
  <c r="AE9" i="2"/>
  <c r="AB9" i="2"/>
  <c r="V95" i="2"/>
  <c r="Y95" i="2"/>
  <c r="V66" i="2"/>
  <c r="Y66" i="2"/>
  <c r="V38" i="2"/>
  <c r="Y38" i="2"/>
  <c r="S10" i="2"/>
  <c r="AH10" i="2" s="1"/>
  <c r="S39" i="2"/>
  <c r="AH39" i="2" s="1"/>
  <c r="S67" i="2"/>
  <c r="AH67" i="2" s="1"/>
  <c r="S96" i="2"/>
  <c r="AH96" i="2" s="1"/>
  <c r="W206" i="2"/>
  <c r="Z206" i="2"/>
  <c r="AC206" i="2"/>
  <c r="W207" i="2"/>
  <c r="Z207" i="2"/>
  <c r="AC207" i="2"/>
  <c r="W208" i="2"/>
  <c r="Z208" i="2"/>
  <c r="AC208" i="2"/>
  <c r="W209" i="2"/>
  <c r="Z209" i="2"/>
  <c r="AC209" i="2"/>
  <c r="W210" i="2"/>
  <c r="Z210" i="2"/>
  <c r="AC210" i="2"/>
  <c r="W211" i="2"/>
  <c r="Z211" i="2"/>
  <c r="AC211" i="2"/>
  <c r="W177" i="2"/>
  <c r="Z177" i="2"/>
  <c r="AC177" i="2"/>
  <c r="W178" i="2"/>
  <c r="Z178" i="2"/>
  <c r="AC178" i="2"/>
  <c r="W179" i="2"/>
  <c r="Z179" i="2"/>
  <c r="AC179" i="2"/>
  <c r="W180" i="2"/>
  <c r="Z180" i="2"/>
  <c r="AC180" i="2"/>
  <c r="W181" i="2"/>
  <c r="Z181" i="2"/>
  <c r="AC181" i="2"/>
  <c r="W182" i="2"/>
  <c r="Z182" i="2"/>
  <c r="AC182" i="2"/>
  <c r="W148" i="2"/>
  <c r="Z148" i="2"/>
  <c r="AC148" i="2"/>
  <c r="W149" i="2"/>
  <c r="Z149" i="2"/>
  <c r="AC149" i="2"/>
  <c r="W150" i="2"/>
  <c r="Z150" i="2"/>
  <c r="AC150" i="2"/>
  <c r="W151" i="2"/>
  <c r="Z151" i="2"/>
  <c r="AC151" i="2"/>
  <c r="W152" i="2"/>
  <c r="Z152" i="2"/>
  <c r="AC152" i="2"/>
  <c r="W153" i="2"/>
  <c r="Z153" i="2"/>
  <c r="AC153" i="2"/>
  <c r="W119" i="2"/>
  <c r="Z119" i="2"/>
  <c r="AC119" i="2"/>
  <c r="W120" i="2"/>
  <c r="Z120" i="2"/>
  <c r="AC120" i="2"/>
  <c r="W121" i="2"/>
  <c r="Z121" i="2"/>
  <c r="AC121" i="2"/>
  <c r="W122" i="2"/>
  <c r="Z122" i="2"/>
  <c r="AC122" i="2"/>
  <c r="W123" i="2"/>
  <c r="Z123" i="2"/>
  <c r="AC123" i="2"/>
  <c r="W124" i="2"/>
  <c r="Z124" i="2"/>
  <c r="AC124" i="2"/>
  <c r="AB96" i="2" l="1"/>
  <c r="AE96" i="2"/>
  <c r="AB67" i="2"/>
  <c r="AE67" i="2"/>
  <c r="AE39" i="2"/>
  <c r="AB39" i="2"/>
  <c r="AE10" i="2"/>
  <c r="AB10" i="2"/>
  <c r="V96" i="2"/>
  <c r="Y96" i="2"/>
  <c r="V67" i="2"/>
  <c r="Y67" i="2"/>
  <c r="V39" i="2"/>
  <c r="Y39" i="2"/>
  <c r="S207" i="2"/>
  <c r="AH207" i="2" s="1"/>
  <c r="S206" i="2"/>
  <c r="AH206" i="2" s="1"/>
  <c r="S11" i="2"/>
  <c r="AH11" i="2" s="1"/>
  <c r="S40" i="2"/>
  <c r="AH40" i="2" s="1"/>
  <c r="S68" i="2"/>
  <c r="AH68" i="2" s="1"/>
  <c r="S97" i="2"/>
  <c r="AH97" i="2" s="1"/>
  <c r="AE40" i="2" l="1"/>
  <c r="AB40" i="2"/>
  <c r="AE206" i="2"/>
  <c r="AB206" i="2"/>
  <c r="AB97" i="2"/>
  <c r="AE97" i="2"/>
  <c r="AE68" i="2"/>
  <c r="AB68" i="2"/>
  <c r="AE11" i="2"/>
  <c r="AB11" i="2"/>
  <c r="AE207" i="2"/>
  <c r="AB207" i="2"/>
  <c r="V40" i="2"/>
  <c r="Y40" i="2"/>
  <c r="V206" i="2"/>
  <c r="Y206" i="2"/>
  <c r="V97" i="2"/>
  <c r="Y97" i="2"/>
  <c r="V68" i="2"/>
  <c r="Y68" i="2"/>
  <c r="V207" i="2"/>
  <c r="Y207" i="2"/>
  <c r="S41" i="2"/>
  <c r="AH41" i="2" s="1"/>
  <c r="S69" i="2"/>
  <c r="AH69" i="2" s="1"/>
  <c r="S98" i="2"/>
  <c r="AH98" i="2" s="1"/>
  <c r="S208" i="2"/>
  <c r="AH208" i="2" s="1"/>
  <c r="J12" i="15"/>
  <c r="Z118" i="2"/>
  <c r="Z147" i="2"/>
  <c r="Z176" i="2"/>
  <c r="Z205"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AC118" i="2"/>
  <c r="AC147" i="2"/>
  <c r="AC176" i="2"/>
  <c r="AC205"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W118" i="2"/>
  <c r="W147" i="2"/>
  <c r="W176" i="2"/>
  <c r="W205"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AE69" i="2" l="1"/>
  <c r="AB69" i="2"/>
  <c r="AE41" i="2"/>
  <c r="AB41" i="2"/>
  <c r="AE208" i="2"/>
  <c r="AB208" i="2"/>
  <c r="AE98" i="2"/>
  <c r="AB98" i="2"/>
  <c r="V98" i="2"/>
  <c r="Y98" i="2"/>
  <c r="V69" i="2"/>
  <c r="Y69" i="2"/>
  <c r="V41" i="2"/>
  <c r="Y41" i="2"/>
  <c r="V208" i="2"/>
  <c r="Y208" i="2"/>
  <c r="C12" i="15"/>
  <c r="V5" i="33" s="1"/>
  <c r="J19" i="15"/>
  <c r="C19" i="15" s="1"/>
  <c r="J2" i="15"/>
  <c r="C2" i="15" s="1"/>
  <c r="J4" i="33" s="1"/>
  <c r="J9" i="15"/>
  <c r="C9" i="15" s="1"/>
  <c r="S13" i="2"/>
  <c r="AH13" i="2" s="1"/>
  <c r="S42" i="2"/>
  <c r="AH42" i="2" s="1"/>
  <c r="S70" i="2"/>
  <c r="AH70" i="2" s="1"/>
  <c r="S99" i="2"/>
  <c r="AH99" i="2" s="1"/>
  <c r="S209" i="2"/>
  <c r="AH209" i="2" s="1"/>
  <c r="J25" i="39" l="1"/>
  <c r="J28" i="39"/>
  <c r="R5" i="33"/>
  <c r="N5" i="33"/>
  <c r="P5" i="33"/>
  <c r="T5" i="33"/>
  <c r="L5" i="33"/>
  <c r="AE99" i="2"/>
  <c r="AB99" i="2"/>
  <c r="AB13" i="2"/>
  <c r="AE13" i="2"/>
  <c r="AB70" i="2"/>
  <c r="AE70" i="2"/>
  <c r="AE42" i="2"/>
  <c r="AB42" i="2"/>
  <c r="AE209" i="2"/>
  <c r="AB209" i="2"/>
  <c r="AC9" i="15"/>
  <c r="AF9" i="15"/>
  <c r="AC2" i="15"/>
  <c r="AF2" i="15"/>
  <c r="AC19" i="15"/>
  <c r="AF19" i="15"/>
  <c r="AC12" i="15"/>
  <c r="AF12" i="15"/>
  <c r="Q2" i="15"/>
  <c r="W2" i="15"/>
  <c r="T2" i="15"/>
  <c r="Z2" i="15"/>
  <c r="Z19" i="15"/>
  <c r="Q19" i="15"/>
  <c r="T19" i="15"/>
  <c r="W19" i="15"/>
  <c r="W9" i="15"/>
  <c r="Q9" i="15"/>
  <c r="Z9" i="15"/>
  <c r="T9" i="15"/>
  <c r="Z12" i="15"/>
  <c r="Q12" i="15"/>
  <c r="W12" i="15"/>
  <c r="T12" i="15"/>
  <c r="V16" i="33"/>
  <c r="V15" i="33"/>
  <c r="J9" i="39"/>
  <c r="U9" i="39" s="1"/>
  <c r="J8" i="39"/>
  <c r="U8" i="39" s="1"/>
  <c r="V209" i="2"/>
  <c r="Y209" i="2"/>
  <c r="V42" i="2"/>
  <c r="Y42" i="2"/>
  <c r="V99" i="2"/>
  <c r="Y99" i="2"/>
  <c r="V70" i="2"/>
  <c r="Y70" i="2"/>
  <c r="V17" i="33"/>
  <c r="S14" i="2"/>
  <c r="AH14" i="2" s="1"/>
  <c r="S43" i="2"/>
  <c r="AH43" i="2" s="1"/>
  <c r="S71" i="2"/>
  <c r="AH71" i="2" s="1"/>
  <c r="S100" i="2"/>
  <c r="AH100" i="2" s="1"/>
  <c r="S210" i="2"/>
  <c r="AH210" i="2" s="1"/>
  <c r="S281" i="2"/>
  <c r="AH281" i="2" s="1"/>
  <c r="S282" i="2"/>
  <c r="AH282" i="2" s="1"/>
  <c r="S283" i="2"/>
  <c r="AH283" i="2" s="1"/>
  <c r="S284" i="2"/>
  <c r="AH284" i="2" s="1"/>
  <c r="S285" i="2"/>
  <c r="AH285" i="2" s="1"/>
  <c r="S286" i="2"/>
  <c r="AH286" i="2" s="1"/>
  <c r="S287" i="2"/>
  <c r="AH287" i="2" s="1"/>
  <c r="S288" i="2"/>
  <c r="AH288" i="2" s="1"/>
  <c r="S289" i="2"/>
  <c r="AH289" i="2" s="1"/>
  <c r="S290" i="2"/>
  <c r="AH290" i="2" s="1"/>
  <c r="S291" i="2"/>
  <c r="AH291" i="2" s="1"/>
  <c r="S292" i="2"/>
  <c r="AH292" i="2" s="1"/>
  <c r="S293" i="2"/>
  <c r="AH293" i="2" s="1"/>
  <c r="S294" i="2"/>
  <c r="AH294" i="2" s="1"/>
  <c r="S295" i="2"/>
  <c r="AH295" i="2" s="1"/>
  <c r="S296" i="2"/>
  <c r="AH296" i="2" s="1"/>
  <c r="S297" i="2"/>
  <c r="AH297" i="2" s="1"/>
  <c r="S298" i="2"/>
  <c r="AH298" i="2" s="1"/>
  <c r="S299" i="2"/>
  <c r="AH299" i="2" s="1"/>
  <c r="S300" i="2"/>
  <c r="AH300" i="2" s="1"/>
  <c r="S301" i="2"/>
  <c r="AH301" i="2" s="1"/>
  <c r="S302" i="2"/>
  <c r="AH302" i="2" s="1"/>
  <c r="S303" i="2"/>
  <c r="AH303" i="2" s="1"/>
  <c r="S304" i="2"/>
  <c r="AH304" i="2" s="1"/>
  <c r="S305" i="2"/>
  <c r="AH305" i="2" s="1"/>
  <c r="S306" i="2"/>
  <c r="AH306" i="2" s="1"/>
  <c r="S307" i="2"/>
  <c r="AH307" i="2" s="1"/>
  <c r="S308" i="2"/>
  <c r="AH308" i="2" s="1"/>
  <c r="S309" i="2"/>
  <c r="AH309" i="2" s="1"/>
  <c r="S310" i="2"/>
  <c r="AH310" i="2" s="1"/>
  <c r="S311" i="2"/>
  <c r="AH311" i="2" s="1"/>
  <c r="S312" i="2"/>
  <c r="AH312" i="2" s="1"/>
  <c r="S313" i="2"/>
  <c r="AH313" i="2" s="1"/>
  <c r="S314" i="2"/>
  <c r="AH314" i="2" s="1"/>
  <c r="S315" i="2"/>
  <c r="AH315" i="2" s="1"/>
  <c r="S316" i="2"/>
  <c r="AH316" i="2" s="1"/>
  <c r="S317" i="2"/>
  <c r="AH317" i="2" s="1"/>
  <c r="S318" i="2"/>
  <c r="AH318" i="2" s="1"/>
  <c r="S319" i="2"/>
  <c r="AH319" i="2" s="1"/>
  <c r="S320" i="2"/>
  <c r="AH320" i="2" s="1"/>
  <c r="S321" i="2"/>
  <c r="AH321" i="2" s="1"/>
  <c r="S322" i="2"/>
  <c r="AH322" i="2" s="1"/>
  <c r="S323" i="2"/>
  <c r="AH323" i="2" s="1"/>
  <c r="S324" i="2"/>
  <c r="AH324" i="2" s="1"/>
  <c r="S325" i="2"/>
  <c r="AH325" i="2" s="1"/>
  <c r="S326" i="2"/>
  <c r="AH326" i="2" s="1"/>
  <c r="S327" i="2"/>
  <c r="AH327" i="2" s="1"/>
  <c r="S328" i="2"/>
  <c r="AH328" i="2" s="1"/>
  <c r="S329" i="2"/>
  <c r="AH329" i="2" s="1"/>
  <c r="S330" i="2"/>
  <c r="AH330" i="2" s="1"/>
  <c r="S331" i="2"/>
  <c r="AH331" i="2" s="1"/>
  <c r="S332" i="2"/>
  <c r="AH332" i="2" s="1"/>
  <c r="S333" i="2"/>
  <c r="AH333" i="2" s="1"/>
  <c r="S334" i="2"/>
  <c r="AH334" i="2" s="1"/>
  <c r="S335" i="2"/>
  <c r="AH335" i="2" s="1"/>
  <c r="S336" i="2"/>
  <c r="AH336" i="2" s="1"/>
  <c r="S337" i="2"/>
  <c r="AH337" i="2" s="1"/>
  <c r="S338" i="2"/>
  <c r="AH338" i="2" s="1"/>
  <c r="S339" i="2"/>
  <c r="AH339" i="2" s="1"/>
  <c r="S340" i="2"/>
  <c r="AH340" i="2" s="1"/>
  <c r="S341" i="2"/>
  <c r="AH341" i="2" s="1"/>
  <c r="S342" i="2"/>
  <c r="AH342" i="2" s="1"/>
  <c r="S343" i="2"/>
  <c r="AH343" i="2" s="1"/>
  <c r="S344" i="2"/>
  <c r="AH344" i="2" s="1"/>
  <c r="S345" i="2"/>
  <c r="AH345" i="2" s="1"/>
  <c r="A347" i="2"/>
  <c r="A348" i="2"/>
  <c r="A349" i="2"/>
  <c r="A350" i="2"/>
  <c r="U28" i="39" l="1"/>
  <c r="S28" i="39"/>
  <c r="K28" i="39"/>
  <c r="O28" i="39"/>
  <c r="M28" i="39"/>
  <c r="Q28" i="39"/>
  <c r="O25" i="39"/>
  <c r="U25" i="39"/>
  <c r="M25" i="39"/>
  <c r="Q25" i="39"/>
  <c r="K25" i="39"/>
  <c r="S25" i="39"/>
  <c r="AB323" i="2"/>
  <c r="AE323" i="2"/>
  <c r="AE296" i="2"/>
  <c r="AB296" i="2"/>
  <c r="AE335" i="2"/>
  <c r="AB335" i="2"/>
  <c r="AE334" i="2"/>
  <c r="AB334" i="2"/>
  <c r="AE297" i="2"/>
  <c r="AB297" i="2"/>
  <c r="AB295" i="2"/>
  <c r="AE295" i="2"/>
  <c r="AE283" i="2"/>
  <c r="AB283" i="2"/>
  <c r="AE299" i="2"/>
  <c r="AB299" i="2"/>
  <c r="AE345" i="2"/>
  <c r="AB345" i="2"/>
  <c r="AE330" i="2"/>
  <c r="AB330" i="2"/>
  <c r="AE311" i="2"/>
  <c r="AB311" i="2"/>
  <c r="AB322" i="2"/>
  <c r="AE322" i="2"/>
  <c r="AE333" i="2"/>
  <c r="AB333" i="2"/>
  <c r="AE332" i="2"/>
  <c r="AB332" i="2"/>
  <c r="AB343" i="2"/>
  <c r="AE343" i="2"/>
  <c r="AE294" i="2"/>
  <c r="AB294" i="2"/>
  <c r="AE341" i="2"/>
  <c r="AB341" i="2"/>
  <c r="AE293" i="2"/>
  <c r="AB293" i="2"/>
  <c r="AB340" i="2"/>
  <c r="AE340" i="2"/>
  <c r="AE328" i="2"/>
  <c r="AB328" i="2"/>
  <c r="AE316" i="2"/>
  <c r="AB316" i="2"/>
  <c r="AE304" i="2"/>
  <c r="AB304" i="2"/>
  <c r="AE292" i="2"/>
  <c r="AB292" i="2"/>
  <c r="AE210" i="2"/>
  <c r="AB210" i="2"/>
  <c r="AE287" i="2"/>
  <c r="AB287" i="2"/>
  <c r="AE298" i="2"/>
  <c r="AB298" i="2"/>
  <c r="AE309" i="2"/>
  <c r="AB309" i="2"/>
  <c r="AE308" i="2"/>
  <c r="AB308" i="2"/>
  <c r="AE282" i="2"/>
  <c r="AB282" i="2"/>
  <c r="AE305" i="2"/>
  <c r="AB305" i="2"/>
  <c r="AE281" i="2"/>
  <c r="AB281" i="2"/>
  <c r="AE339" i="2"/>
  <c r="AB339" i="2"/>
  <c r="AE327" i="2"/>
  <c r="AB327" i="2"/>
  <c r="AE315" i="2"/>
  <c r="AB315" i="2"/>
  <c r="AB303" i="2"/>
  <c r="AE303" i="2"/>
  <c r="AB291" i="2"/>
  <c r="AE291" i="2"/>
  <c r="AE100" i="2"/>
  <c r="AB100" i="2"/>
  <c r="AB286" i="2"/>
  <c r="AE286" i="2"/>
  <c r="AE284" i="2"/>
  <c r="AB284" i="2"/>
  <c r="AB307" i="2"/>
  <c r="AE307" i="2"/>
  <c r="AE318" i="2"/>
  <c r="AB318" i="2"/>
  <c r="AB338" i="2"/>
  <c r="AE338" i="2"/>
  <c r="AE302" i="2"/>
  <c r="AB302" i="2"/>
  <c r="AE71" i="2"/>
  <c r="AB71" i="2"/>
  <c r="AE310" i="2"/>
  <c r="AB310" i="2"/>
  <c r="AE321" i="2"/>
  <c r="AB321" i="2"/>
  <c r="AE320" i="2"/>
  <c r="AB320" i="2"/>
  <c r="AB331" i="2"/>
  <c r="AE331" i="2"/>
  <c r="AB306" i="2"/>
  <c r="AE306" i="2"/>
  <c r="AB329" i="2"/>
  <c r="AE329" i="2"/>
  <c r="AB326" i="2"/>
  <c r="AE326" i="2"/>
  <c r="AB325" i="2"/>
  <c r="AE325" i="2"/>
  <c r="AB313" i="2"/>
  <c r="AE313" i="2"/>
  <c r="AB301" i="2"/>
  <c r="AE301" i="2"/>
  <c r="AB289" i="2"/>
  <c r="AE289" i="2"/>
  <c r="AE43" i="2"/>
  <c r="AB43" i="2"/>
  <c r="AE285" i="2"/>
  <c r="AB285" i="2"/>
  <c r="AB344" i="2"/>
  <c r="AE344" i="2"/>
  <c r="AB319" i="2"/>
  <c r="AE319" i="2"/>
  <c r="AE342" i="2"/>
  <c r="AB342" i="2"/>
  <c r="AE317" i="2"/>
  <c r="AB317" i="2"/>
  <c r="AE314" i="2"/>
  <c r="AB314" i="2"/>
  <c r="AE290" i="2"/>
  <c r="AB290" i="2"/>
  <c r="AE337" i="2"/>
  <c r="AB337" i="2"/>
  <c r="AE336" i="2"/>
  <c r="AB336" i="2"/>
  <c r="AE324" i="2"/>
  <c r="AB324" i="2"/>
  <c r="AE312" i="2"/>
  <c r="AB312" i="2"/>
  <c r="AE300" i="2"/>
  <c r="AB300" i="2"/>
  <c r="AB288" i="2"/>
  <c r="AE288" i="2"/>
  <c r="AE14" i="2"/>
  <c r="AB14" i="2"/>
  <c r="T16" i="33"/>
  <c r="L16" i="33"/>
  <c r="T17" i="33"/>
  <c r="L17" i="33"/>
  <c r="T15" i="33"/>
  <c r="L15" i="33"/>
  <c r="N15" i="33"/>
  <c r="P15" i="33"/>
  <c r="R15" i="33"/>
  <c r="R16" i="33"/>
  <c r="N16" i="33"/>
  <c r="P16" i="33"/>
  <c r="K9" i="39"/>
  <c r="Q9" i="39"/>
  <c r="O9" i="39"/>
  <c r="M9" i="39"/>
  <c r="S9" i="39"/>
  <c r="S8" i="39"/>
  <c r="Q8" i="39"/>
  <c r="O8" i="39"/>
  <c r="M8" i="39"/>
  <c r="K8" i="39"/>
  <c r="R17" i="33"/>
  <c r="N17" i="33"/>
  <c r="P17" i="33"/>
  <c r="V324" i="2"/>
  <c r="Y324" i="2"/>
  <c r="Y334" i="2"/>
  <c r="V334" i="2"/>
  <c r="Y309" i="2"/>
  <c r="V309" i="2"/>
  <c r="Y331" i="2"/>
  <c r="V331" i="2"/>
  <c r="V336" i="2"/>
  <c r="Y336" i="2"/>
  <c r="V335" i="2"/>
  <c r="Y335" i="2"/>
  <c r="V308" i="2"/>
  <c r="Y308" i="2"/>
  <c r="V319" i="2"/>
  <c r="Y319" i="2"/>
  <c r="Y342" i="2"/>
  <c r="V342" i="2"/>
  <c r="V318" i="2"/>
  <c r="Y318" i="2"/>
  <c r="Y306" i="2"/>
  <c r="V306" i="2"/>
  <c r="V341" i="2"/>
  <c r="Y341" i="2"/>
  <c r="Y329" i="2"/>
  <c r="V329" i="2"/>
  <c r="Y317" i="2"/>
  <c r="V317" i="2"/>
  <c r="Y305" i="2"/>
  <c r="V305" i="2"/>
  <c r="Y340" i="2"/>
  <c r="V340" i="2"/>
  <c r="Y328" i="2"/>
  <c r="V328" i="2"/>
  <c r="V316" i="2"/>
  <c r="Y316" i="2"/>
  <c r="Y304" i="2"/>
  <c r="V304" i="2"/>
  <c r="Y312" i="2"/>
  <c r="V312" i="2"/>
  <c r="V323" i="2"/>
  <c r="Y323" i="2"/>
  <c r="V322" i="2"/>
  <c r="Y322" i="2"/>
  <c r="Y321" i="2"/>
  <c r="V321" i="2"/>
  <c r="Y320" i="2"/>
  <c r="V320" i="2"/>
  <c r="Y343" i="2"/>
  <c r="V343" i="2"/>
  <c r="V311" i="2"/>
  <c r="Y311" i="2"/>
  <c r="Y310" i="2"/>
  <c r="V310" i="2"/>
  <c r="Y345" i="2"/>
  <c r="V345" i="2"/>
  <c r="Y344" i="2"/>
  <c r="V344" i="2"/>
  <c r="V330" i="2"/>
  <c r="Y330" i="2"/>
  <c r="V339" i="2"/>
  <c r="Y339" i="2"/>
  <c r="V315" i="2"/>
  <c r="Y315" i="2"/>
  <c r="Y338" i="2"/>
  <c r="V338" i="2"/>
  <c r="Y326" i="2"/>
  <c r="V326" i="2"/>
  <c r="V314" i="2"/>
  <c r="Y314" i="2"/>
  <c r="V333" i="2"/>
  <c r="Y333" i="2"/>
  <c r="Y332" i="2"/>
  <c r="V332" i="2"/>
  <c r="V307" i="2"/>
  <c r="Y307" i="2"/>
  <c r="Y327" i="2"/>
  <c r="V327" i="2"/>
  <c r="Y337" i="2"/>
  <c r="V337" i="2"/>
  <c r="Y325" i="2"/>
  <c r="V325" i="2"/>
  <c r="Y313" i="2"/>
  <c r="V313" i="2"/>
  <c r="V13" i="2"/>
  <c r="V3" i="2"/>
  <c r="V6" i="2"/>
  <c r="V8" i="2"/>
  <c r="V9" i="2"/>
  <c r="V10" i="2"/>
  <c r="V11" i="2"/>
  <c r="V12" i="2"/>
  <c r="V4" i="2"/>
  <c r="V5" i="2"/>
  <c r="V7" i="2"/>
  <c r="V14" i="2"/>
  <c r="Y14" i="2"/>
  <c r="Y4" i="2"/>
  <c r="Y7" i="2"/>
  <c r="Y9" i="2"/>
  <c r="Y10" i="2"/>
  <c r="Y11" i="2"/>
  <c r="Y12" i="2"/>
  <c r="Y13" i="2"/>
  <c r="Y8" i="2"/>
  <c r="Y3" i="2"/>
  <c r="Y5" i="2"/>
  <c r="Y6" i="2"/>
  <c r="V298" i="2"/>
  <c r="Y298" i="2"/>
  <c r="V286" i="2"/>
  <c r="Y286" i="2"/>
  <c r="V284" i="2"/>
  <c r="Y284" i="2"/>
  <c r="V295" i="2"/>
  <c r="Y295" i="2"/>
  <c r="V282" i="2"/>
  <c r="Y282" i="2"/>
  <c r="V281" i="2"/>
  <c r="Y281" i="2"/>
  <c r="V292" i="2"/>
  <c r="Y292" i="2"/>
  <c r="V210" i="2"/>
  <c r="Y210" i="2"/>
  <c r="V297" i="2"/>
  <c r="Y297" i="2"/>
  <c r="V285" i="2"/>
  <c r="Y285" i="2"/>
  <c r="V100" i="2"/>
  <c r="Y100" i="2"/>
  <c r="V302" i="2"/>
  <c r="Y302" i="2"/>
  <c r="V290" i="2"/>
  <c r="Y290" i="2"/>
  <c r="V71" i="2"/>
  <c r="Y71" i="2"/>
  <c r="V294" i="2"/>
  <c r="Y294" i="2"/>
  <c r="V291" i="2"/>
  <c r="Y291" i="2"/>
  <c r="V301" i="2"/>
  <c r="Y301" i="2"/>
  <c r="V289" i="2"/>
  <c r="Y289" i="2"/>
  <c r="V43" i="2"/>
  <c r="Y43" i="2"/>
  <c r="V296" i="2"/>
  <c r="Y296" i="2"/>
  <c r="V303" i="2"/>
  <c r="Y303" i="2"/>
  <c r="V300" i="2"/>
  <c r="Y300" i="2"/>
  <c r="V288" i="2"/>
  <c r="Y288" i="2"/>
  <c r="V283" i="2"/>
  <c r="Y283" i="2"/>
  <c r="V293" i="2"/>
  <c r="Y293" i="2"/>
  <c r="V299" i="2"/>
  <c r="Y299" i="2"/>
  <c r="V287" i="2"/>
  <c r="Y287" i="2"/>
  <c r="V9" i="33"/>
  <c r="V21" i="33"/>
  <c r="V22" i="33"/>
  <c r="V18" i="33"/>
  <c r="V14" i="33"/>
  <c r="S15" i="2"/>
  <c r="AH15" i="2" s="1"/>
  <c r="S44" i="2"/>
  <c r="AH44" i="2" s="1"/>
  <c r="S72" i="2"/>
  <c r="AH72" i="2" s="1"/>
  <c r="S101" i="2"/>
  <c r="AH101" i="2" s="1"/>
  <c r="S211" i="2"/>
  <c r="AH211" i="2" s="1"/>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AE211" i="2" l="1"/>
  <c r="AB211" i="2"/>
  <c r="AE72" i="2"/>
  <c r="AB72" i="2"/>
  <c r="AE44" i="2"/>
  <c r="AB44" i="2"/>
  <c r="AE101" i="2"/>
  <c r="AB101" i="2"/>
  <c r="AE15" i="2"/>
  <c r="AB15" i="2"/>
  <c r="L9" i="33"/>
  <c r="T9" i="33"/>
  <c r="T14" i="33"/>
  <c r="L14" i="33"/>
  <c r="L18" i="33"/>
  <c r="T18" i="33"/>
  <c r="L21" i="33"/>
  <c r="T21" i="33"/>
  <c r="L22" i="33"/>
  <c r="T22" i="33"/>
  <c r="R14" i="33"/>
  <c r="N14" i="33"/>
  <c r="P14" i="33"/>
  <c r="P22" i="33"/>
  <c r="R22" i="33"/>
  <c r="N22" i="33"/>
  <c r="P9" i="33"/>
  <c r="R9" i="33"/>
  <c r="N9" i="33"/>
  <c r="P18" i="33"/>
  <c r="R18" i="33"/>
  <c r="N18" i="33"/>
  <c r="P21" i="33"/>
  <c r="R21" i="33"/>
  <c r="N21" i="33"/>
  <c r="V15" i="2"/>
  <c r="Y15" i="2"/>
  <c r="V44" i="2"/>
  <c r="Y44" i="2"/>
  <c r="V211" i="2"/>
  <c r="Y211" i="2"/>
  <c r="V72" i="2"/>
  <c r="Y72" i="2"/>
  <c r="V101" i="2"/>
  <c r="Y101" i="2"/>
  <c r="S16" i="2"/>
  <c r="AH16" i="2" s="1"/>
  <c r="S45" i="2"/>
  <c r="AH45" i="2" s="1"/>
  <c r="S73" i="2"/>
  <c r="AH73" i="2" s="1"/>
  <c r="S102" i="2"/>
  <c r="AH102" i="2" s="1"/>
  <c r="S212" i="2"/>
  <c r="AH212" i="2" s="1"/>
  <c r="J25" i="15"/>
  <c r="C25" i="15" s="1"/>
  <c r="AE45" i="2" l="1"/>
  <c r="AB45" i="2"/>
  <c r="AB73" i="2"/>
  <c r="AE73" i="2"/>
  <c r="AE212" i="2"/>
  <c r="AB212" i="2"/>
  <c r="AE16" i="2"/>
  <c r="AB16" i="2"/>
  <c r="AE102" i="2"/>
  <c r="AB102" i="2"/>
  <c r="AC25" i="15"/>
  <c r="AF25" i="15"/>
  <c r="Z25" i="15"/>
  <c r="W25" i="15"/>
  <c r="Q25" i="15"/>
  <c r="T25" i="15"/>
  <c r="J4" i="39"/>
  <c r="U4" i="39" s="1"/>
  <c r="J2" i="39"/>
  <c r="V4" i="33"/>
  <c r="V8" i="33"/>
  <c r="V73" i="2"/>
  <c r="Y73" i="2"/>
  <c r="V45" i="2"/>
  <c r="Y45" i="2"/>
  <c r="V212" i="2"/>
  <c r="Y212" i="2"/>
  <c r="V102" i="2"/>
  <c r="Y102" i="2"/>
  <c r="V16" i="2"/>
  <c r="Y16" i="2"/>
  <c r="S17" i="2"/>
  <c r="AH17" i="2" s="1"/>
  <c r="S46" i="2"/>
  <c r="AH46" i="2" s="1"/>
  <c r="S74" i="2"/>
  <c r="AH74" i="2" s="1"/>
  <c r="S103" i="2"/>
  <c r="AH103" i="2" s="1"/>
  <c r="S213" i="2"/>
  <c r="AH213" i="2" s="1"/>
  <c r="K2" i="39" l="1"/>
  <c r="U2" i="39"/>
  <c r="AE74" i="2"/>
  <c r="AB74" i="2"/>
  <c r="AE46" i="2"/>
  <c r="AB46" i="2"/>
  <c r="AB103" i="2"/>
  <c r="AE103" i="2"/>
  <c r="AE17" i="2"/>
  <c r="AB17" i="2"/>
  <c r="AE213" i="2"/>
  <c r="AB213" i="2"/>
  <c r="L8" i="33"/>
  <c r="T8" i="33"/>
  <c r="T4" i="33"/>
  <c r="L4" i="33"/>
  <c r="Q2" i="39"/>
  <c r="O2" i="39"/>
  <c r="M2" i="39"/>
  <c r="S2" i="39"/>
  <c r="R8" i="33"/>
  <c r="N8" i="33"/>
  <c r="P8" i="33"/>
  <c r="R4" i="33"/>
  <c r="N4" i="33"/>
  <c r="P4" i="33"/>
  <c r="Q4" i="39"/>
  <c r="O4" i="39"/>
  <c r="M4" i="39"/>
  <c r="S4" i="39"/>
  <c r="K4" i="39"/>
  <c r="V46" i="2"/>
  <c r="Y46" i="2"/>
  <c r="V213" i="2"/>
  <c r="Y213" i="2"/>
  <c r="V103" i="2"/>
  <c r="Y103" i="2"/>
  <c r="V74" i="2"/>
  <c r="Y74" i="2"/>
  <c r="V17" i="2"/>
  <c r="Y17" i="2"/>
  <c r="S18" i="2"/>
  <c r="AH18" i="2" s="1"/>
  <c r="S47" i="2"/>
  <c r="AH47" i="2" s="1"/>
  <c r="S75" i="2"/>
  <c r="AH75" i="2" s="1"/>
  <c r="S104" i="2"/>
  <c r="AH104" i="2" s="1"/>
  <c r="S214" i="2"/>
  <c r="AH214" i="2" s="1"/>
  <c r="AE75" i="2" l="1"/>
  <c r="AB75" i="2"/>
  <c r="AE104" i="2"/>
  <c r="AB104" i="2"/>
  <c r="AB18" i="2"/>
  <c r="AE18" i="2"/>
  <c r="AB214" i="2"/>
  <c r="AE214" i="2"/>
  <c r="AE47" i="2"/>
  <c r="AB47" i="2"/>
  <c r="V75" i="2"/>
  <c r="Y75" i="2"/>
  <c r="V214" i="2"/>
  <c r="Y214" i="2"/>
  <c r="V18" i="2"/>
  <c r="Y18" i="2"/>
  <c r="V47" i="2"/>
  <c r="Y47" i="2"/>
  <c r="V104" i="2"/>
  <c r="Y104" i="2"/>
  <c r="S19" i="2"/>
  <c r="AH19" i="2" s="1"/>
  <c r="S48" i="2"/>
  <c r="AH48" i="2" s="1"/>
  <c r="S76" i="2"/>
  <c r="AH76" i="2" s="1"/>
  <c r="S105" i="2"/>
  <c r="AH105" i="2" s="1"/>
  <c r="S215" i="2"/>
  <c r="AH215" i="2" s="1"/>
  <c r="AE76" i="2" l="1"/>
  <c r="AB76" i="2"/>
  <c r="AE19" i="2"/>
  <c r="AB19" i="2"/>
  <c r="AB105" i="2"/>
  <c r="AE105" i="2"/>
  <c r="AB48" i="2"/>
  <c r="AE48" i="2"/>
  <c r="AE215" i="2"/>
  <c r="AB215" i="2"/>
  <c r="V105" i="2"/>
  <c r="Y105" i="2"/>
  <c r="V215" i="2"/>
  <c r="Y215" i="2"/>
  <c r="V76" i="2"/>
  <c r="Y76" i="2"/>
  <c r="V19" i="2"/>
  <c r="Y19" i="2"/>
  <c r="V48" i="2"/>
  <c r="Y48" i="2"/>
  <c r="S20" i="2"/>
  <c r="AH20" i="2" s="1"/>
  <c r="S49" i="2"/>
  <c r="AH49" i="2" s="1"/>
  <c r="S77" i="2"/>
  <c r="AH77" i="2" s="1"/>
  <c r="S106" i="2"/>
  <c r="AH106" i="2" s="1"/>
  <c r="S216" i="2"/>
  <c r="AH216" i="2" s="1"/>
  <c r="D51" i="21"/>
  <c r="C51" i="21" s="1"/>
  <c r="J51" i="21" s="1"/>
  <c r="D50" i="21"/>
  <c r="C50" i="21" s="1"/>
  <c r="J50" i="21" s="1"/>
  <c r="D49" i="21"/>
  <c r="C49" i="21" s="1"/>
  <c r="J49" i="21" s="1"/>
  <c r="D48" i="21"/>
  <c r="C48" i="21" s="1"/>
  <c r="J48" i="21" s="1"/>
  <c r="D47" i="21"/>
  <c r="C47" i="21" s="1"/>
  <c r="J47" i="21" s="1"/>
  <c r="D46" i="21"/>
  <c r="C46" i="21" s="1"/>
  <c r="J46" i="21" s="1"/>
  <c r="D45" i="21"/>
  <c r="C45" i="21" s="1"/>
  <c r="J45" i="21" s="1"/>
  <c r="D44" i="21"/>
  <c r="C44" i="21" s="1"/>
  <c r="J44" i="21" s="1"/>
  <c r="D43" i="21"/>
  <c r="C43" i="21" s="1"/>
  <c r="J43" i="21" s="1"/>
  <c r="D42" i="21"/>
  <c r="C42" i="21" s="1"/>
  <c r="J42" i="21" s="1"/>
  <c r="D41" i="21"/>
  <c r="C41" i="21" s="1"/>
  <c r="J41" i="21" s="1"/>
  <c r="D40" i="21"/>
  <c r="C40" i="21" s="1"/>
  <c r="J40" i="21" s="1"/>
  <c r="D39" i="21"/>
  <c r="C39" i="21" s="1"/>
  <c r="J39" i="21" s="1"/>
  <c r="D38" i="21"/>
  <c r="C38" i="21" s="1"/>
  <c r="J38" i="21" s="1"/>
  <c r="D37" i="21"/>
  <c r="C37" i="21" s="1"/>
  <c r="J37" i="21" s="1"/>
  <c r="D36" i="21"/>
  <c r="C36" i="21" s="1"/>
  <c r="J36" i="21" s="1"/>
  <c r="D35" i="21"/>
  <c r="C35" i="21" s="1"/>
  <c r="J35" i="21" s="1"/>
  <c r="D34" i="21"/>
  <c r="C34" i="21" s="1"/>
  <c r="J34" i="21" s="1"/>
  <c r="D33" i="21"/>
  <c r="C33" i="21" s="1"/>
  <c r="J33" i="21" s="1"/>
  <c r="D32" i="21"/>
  <c r="C32" i="21" s="1"/>
  <c r="J32" i="21" s="1"/>
  <c r="D31" i="21"/>
  <c r="C31" i="21" s="1"/>
  <c r="J31" i="21" s="1"/>
  <c r="D30" i="21"/>
  <c r="C30" i="21" s="1"/>
  <c r="J30" i="21" s="1"/>
  <c r="D29" i="21"/>
  <c r="C29" i="21" s="1"/>
  <c r="J29" i="21" s="1"/>
  <c r="D28" i="21"/>
  <c r="C28" i="21" s="1"/>
  <c r="J28" i="21" s="1"/>
  <c r="D27" i="21"/>
  <c r="C27" i="21" s="1"/>
  <c r="J27" i="21" s="1"/>
  <c r="D26" i="21"/>
  <c r="C26" i="21" s="1"/>
  <c r="J26" i="21" s="1"/>
  <c r="D25" i="21"/>
  <c r="C25" i="21" s="1"/>
  <c r="J25" i="21" s="1"/>
  <c r="D24" i="21"/>
  <c r="C24" i="21" s="1"/>
  <c r="J24" i="21" s="1"/>
  <c r="D23" i="21"/>
  <c r="C23" i="21" s="1"/>
  <c r="J23" i="21" s="1"/>
  <c r="D22" i="21"/>
  <c r="C22" i="21" s="1"/>
  <c r="J22" i="21" s="1"/>
  <c r="D21" i="21"/>
  <c r="C21" i="21" s="1"/>
  <c r="J21" i="21" s="1"/>
  <c r="D20" i="21"/>
  <c r="C20" i="21" s="1"/>
  <c r="J20" i="21" s="1"/>
  <c r="D19" i="21"/>
  <c r="C19" i="21" s="1"/>
  <c r="J19" i="21" s="1"/>
  <c r="D18" i="21"/>
  <c r="C18" i="21" s="1"/>
  <c r="J18" i="21" s="1"/>
  <c r="D17" i="21"/>
  <c r="C17" i="21" s="1"/>
  <c r="J17" i="21" s="1"/>
  <c r="D16" i="21"/>
  <c r="C16" i="21" s="1"/>
  <c r="J16" i="21" s="1"/>
  <c r="D15" i="21"/>
  <c r="C15" i="21" s="1"/>
  <c r="J15" i="21" s="1"/>
  <c r="D14" i="21"/>
  <c r="C14" i="21" s="1"/>
  <c r="J14" i="21" s="1"/>
  <c r="D13" i="21"/>
  <c r="C13" i="21" s="1"/>
  <c r="J13" i="21" s="1"/>
  <c r="D12" i="21"/>
  <c r="C12" i="21" s="1"/>
  <c r="J12" i="21" s="1"/>
  <c r="D11" i="21"/>
  <c r="C11" i="21" s="1"/>
  <c r="J11" i="21" s="1"/>
  <c r="D10" i="21"/>
  <c r="C10" i="21" s="1"/>
  <c r="J10" i="21" s="1"/>
  <c r="D9" i="21"/>
  <c r="C9" i="21" s="1"/>
  <c r="J9" i="21" s="1"/>
  <c r="D8" i="21"/>
  <c r="C8" i="21" s="1"/>
  <c r="J8" i="21" s="1"/>
  <c r="D7" i="21"/>
  <c r="C7" i="21" s="1"/>
  <c r="J7" i="21" s="1"/>
  <c r="D6" i="21"/>
  <c r="C6" i="21" s="1"/>
  <c r="J6" i="21" s="1"/>
  <c r="AE49" i="2" l="1"/>
  <c r="AB49" i="2"/>
  <c r="AE20" i="2"/>
  <c r="AB20" i="2"/>
  <c r="AE106" i="2"/>
  <c r="AB106" i="2"/>
  <c r="AE77" i="2"/>
  <c r="AB77" i="2"/>
  <c r="AE216" i="2"/>
  <c r="AB216" i="2"/>
  <c r="V216" i="2"/>
  <c r="Y216" i="2"/>
  <c r="V106" i="2"/>
  <c r="Y106" i="2"/>
  <c r="V77" i="2"/>
  <c r="Y77" i="2"/>
  <c r="V49" i="2"/>
  <c r="Y49" i="2"/>
  <c r="V20" i="2"/>
  <c r="Y20" i="2"/>
  <c r="V140" i="33"/>
  <c r="V143" i="33"/>
  <c r="V146" i="33"/>
  <c r="S21" i="2"/>
  <c r="AH21" i="2" s="1"/>
  <c r="S50" i="2"/>
  <c r="AH50" i="2" s="1"/>
  <c r="S78" i="2"/>
  <c r="AH78" i="2" s="1"/>
  <c r="S107" i="2"/>
  <c r="AH107" i="2" s="1"/>
  <c r="S217" i="2"/>
  <c r="AH217" i="2" s="1"/>
  <c r="C2" i="21"/>
  <c r="J2" i="21" s="1"/>
  <c r="D4" i="21"/>
  <c r="C4" i="21" s="1"/>
  <c r="J4" i="21" s="1"/>
  <c r="D5" i="21"/>
  <c r="C5" i="21" s="1"/>
  <c r="J5" i="21" s="1"/>
  <c r="D3" i="21"/>
  <c r="C3" i="21" s="1"/>
  <c r="J3" i="21" s="1"/>
  <c r="AE107" i="2" l="1"/>
  <c r="AB107" i="2"/>
  <c r="AE21" i="2"/>
  <c r="AB21" i="2"/>
  <c r="AB217" i="2"/>
  <c r="AE217" i="2"/>
  <c r="AE78" i="2"/>
  <c r="AB78" i="2"/>
  <c r="AB50" i="2"/>
  <c r="AE50" i="2"/>
  <c r="T146" i="33"/>
  <c r="L146" i="33"/>
  <c r="L143" i="33"/>
  <c r="T143" i="33"/>
  <c r="L140" i="33"/>
  <c r="T140" i="33"/>
  <c r="N140" i="33"/>
  <c r="R140" i="33"/>
  <c r="P140" i="33"/>
  <c r="N143" i="33"/>
  <c r="P143" i="33"/>
  <c r="R143" i="33"/>
  <c r="R146" i="33"/>
  <c r="N146" i="33"/>
  <c r="P146" i="33"/>
  <c r="V50" i="2"/>
  <c r="Y50" i="2"/>
  <c r="V21" i="2"/>
  <c r="Y21" i="2"/>
  <c r="V217" i="2"/>
  <c r="Y217" i="2"/>
  <c r="V107" i="2"/>
  <c r="Y107" i="2"/>
  <c r="V78" i="2"/>
  <c r="Y78" i="2"/>
  <c r="S22" i="2"/>
  <c r="AH22" i="2" s="1"/>
  <c r="S51" i="2"/>
  <c r="AH51" i="2" s="1"/>
  <c r="S79" i="2"/>
  <c r="AH79" i="2" s="1"/>
  <c r="S108" i="2"/>
  <c r="AH108" i="2" s="1"/>
  <c r="S218" i="2"/>
  <c r="AH218" i="2" s="1"/>
  <c r="J26" i="15"/>
  <c r="C26" i="15" s="1"/>
  <c r="AB108" i="2" l="1"/>
  <c r="AE108" i="2"/>
  <c r="AE22" i="2"/>
  <c r="AB22" i="2"/>
  <c r="AE218" i="2"/>
  <c r="AB218" i="2"/>
  <c r="AE79" i="2"/>
  <c r="AB79" i="2"/>
  <c r="AE51" i="2"/>
  <c r="AB51" i="2"/>
  <c r="AC26" i="15"/>
  <c r="AF26" i="15"/>
  <c r="W26" i="15"/>
  <c r="Z26" i="15"/>
  <c r="T26" i="15"/>
  <c r="Q26" i="15"/>
  <c r="J5" i="39"/>
  <c r="U5" i="39" s="1"/>
  <c r="J3" i="39"/>
  <c r="U3" i="39" s="1"/>
  <c r="V6" i="33"/>
  <c r="V10" i="33"/>
  <c r="V218" i="2"/>
  <c r="Y218" i="2"/>
  <c r="V22" i="2"/>
  <c r="Y22" i="2"/>
  <c r="V108" i="2"/>
  <c r="Y108" i="2"/>
  <c r="V79" i="2"/>
  <c r="Y79" i="2"/>
  <c r="V51" i="2"/>
  <c r="Y51" i="2"/>
  <c r="S23" i="2"/>
  <c r="AH23" i="2" s="1"/>
  <c r="S52" i="2"/>
  <c r="AH52" i="2" s="1"/>
  <c r="S80" i="2"/>
  <c r="AH80" i="2" s="1"/>
  <c r="S109" i="2"/>
  <c r="AH109" i="2" s="1"/>
  <c r="S219" i="2"/>
  <c r="AH219" i="2" s="1"/>
  <c r="AB109" i="2" l="1"/>
  <c r="AE109" i="2"/>
  <c r="AB52" i="2"/>
  <c r="AE52" i="2"/>
  <c r="AB219" i="2"/>
  <c r="AE219" i="2"/>
  <c r="AE80" i="2"/>
  <c r="AB80" i="2"/>
  <c r="AE23" i="2"/>
  <c r="AB23" i="2"/>
  <c r="L6" i="33"/>
  <c r="T6" i="33"/>
  <c r="L10" i="33"/>
  <c r="T10" i="33"/>
  <c r="P10" i="33"/>
  <c r="R10" i="33"/>
  <c r="N10" i="33"/>
  <c r="P6" i="33"/>
  <c r="R6" i="33"/>
  <c r="N6" i="33"/>
  <c r="Q3" i="39"/>
  <c r="M3" i="39"/>
  <c r="K3" i="39"/>
  <c r="S3" i="39"/>
  <c r="O3" i="39"/>
  <c r="O5" i="39"/>
  <c r="M5" i="39"/>
  <c r="Q5" i="39"/>
  <c r="K5" i="39"/>
  <c r="S5" i="39"/>
  <c r="V109" i="2"/>
  <c r="Y109" i="2"/>
  <c r="V219" i="2"/>
  <c r="Y219" i="2"/>
  <c r="V80" i="2"/>
  <c r="Y80" i="2"/>
  <c r="V52" i="2"/>
  <c r="Y52" i="2"/>
  <c r="V23" i="2"/>
  <c r="Y23" i="2"/>
  <c r="J13" i="39"/>
  <c r="U13" i="39" s="1"/>
  <c r="J33" i="39"/>
  <c r="U33" i="39" s="1"/>
  <c r="J16" i="39"/>
  <c r="U16" i="39" s="1"/>
  <c r="J24" i="39"/>
  <c r="U24" i="39" s="1"/>
  <c r="J12" i="39"/>
  <c r="U12" i="39" s="1"/>
  <c r="J35" i="39"/>
  <c r="U35" i="39" s="1"/>
  <c r="J6" i="39"/>
  <c r="U6" i="39" s="1"/>
  <c r="J40" i="39"/>
  <c r="U40" i="39" s="1"/>
  <c r="J17" i="39"/>
  <c r="U17" i="39" s="1"/>
  <c r="J42" i="39"/>
  <c r="U42" i="39" s="1"/>
  <c r="J34" i="39"/>
  <c r="U34" i="39" s="1"/>
  <c r="J20" i="39"/>
  <c r="U20" i="39" s="1"/>
  <c r="J45" i="39"/>
  <c r="U45" i="39" s="1"/>
  <c r="J47" i="39"/>
  <c r="U47" i="39" s="1"/>
  <c r="J50" i="39"/>
  <c r="U50" i="39" s="1"/>
  <c r="J23" i="39"/>
  <c r="U23" i="39" s="1"/>
  <c r="J27" i="39"/>
  <c r="U27" i="39" s="1"/>
  <c r="J41" i="39"/>
  <c r="U41" i="39" s="1"/>
  <c r="J44" i="39"/>
  <c r="U44" i="39" s="1"/>
  <c r="J31" i="39"/>
  <c r="U31" i="39" s="1"/>
  <c r="J30" i="39"/>
  <c r="U30" i="39" s="1"/>
  <c r="J48" i="39"/>
  <c r="U48" i="39" s="1"/>
  <c r="J21" i="39"/>
  <c r="U21" i="39" s="1"/>
  <c r="J43" i="39"/>
  <c r="U43" i="39" s="1"/>
  <c r="J22" i="39"/>
  <c r="U22" i="39" s="1"/>
  <c r="J38" i="39"/>
  <c r="U38" i="39" s="1"/>
  <c r="J11" i="39"/>
  <c r="U11" i="39" s="1"/>
  <c r="J26" i="39"/>
  <c r="U26" i="39" s="1"/>
  <c r="J15" i="39"/>
  <c r="U15" i="39" s="1"/>
  <c r="J51" i="39"/>
  <c r="U51" i="39" s="1"/>
  <c r="J29" i="39"/>
  <c r="U29" i="39" s="1"/>
  <c r="J32" i="39"/>
  <c r="U32" i="39" s="1"/>
  <c r="J7" i="39"/>
  <c r="U7" i="39" s="1"/>
  <c r="J36" i="39"/>
  <c r="U36" i="39" s="1"/>
  <c r="J18" i="39"/>
  <c r="U18" i="39" s="1"/>
  <c r="J10" i="39"/>
  <c r="U10" i="39" s="1"/>
  <c r="J14" i="39"/>
  <c r="U14" i="39" s="1"/>
  <c r="J46" i="39"/>
  <c r="U46" i="39" s="1"/>
  <c r="J19" i="39"/>
  <c r="U19" i="39" s="1"/>
  <c r="J49" i="39"/>
  <c r="U49" i="39" s="1"/>
  <c r="J37" i="39"/>
  <c r="U37" i="39" s="1"/>
  <c r="J39" i="39"/>
  <c r="U39" i="39" s="1"/>
  <c r="V3" i="33"/>
  <c r="V13" i="33"/>
  <c r="V11" i="33"/>
  <c r="V12" i="33"/>
  <c r="V149" i="33"/>
  <c r="V148" i="33"/>
  <c r="V147" i="33"/>
  <c r="V2" i="33"/>
  <c r="V139" i="33"/>
  <c r="V142" i="33"/>
  <c r="V145" i="33"/>
  <c r="V138" i="33"/>
  <c r="V141" i="33"/>
  <c r="V144"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350"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S24" i="2"/>
  <c r="AH24" i="2" s="1"/>
  <c r="S53" i="2"/>
  <c r="AH53" i="2" s="1"/>
  <c r="S81" i="2"/>
  <c r="AH81" i="2" s="1"/>
  <c r="S110" i="2"/>
  <c r="AH110" i="2" s="1"/>
  <c r="S220" i="2"/>
  <c r="AH220" i="2" s="1"/>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AE220" i="2" l="1"/>
  <c r="AB220" i="2"/>
  <c r="AB110" i="2"/>
  <c r="AE110" i="2"/>
  <c r="AE81" i="2"/>
  <c r="AB81" i="2"/>
  <c r="AE53" i="2"/>
  <c r="AB53" i="2"/>
  <c r="AB24" i="2"/>
  <c r="AE24" i="2"/>
  <c r="T145" i="33"/>
  <c r="L145" i="33"/>
  <c r="L139" i="33"/>
  <c r="T139" i="33"/>
  <c r="T2" i="33"/>
  <c r="L2" i="33"/>
  <c r="T3" i="33"/>
  <c r="L3" i="33"/>
  <c r="L142" i="33"/>
  <c r="T142" i="33"/>
  <c r="T147" i="33"/>
  <c r="L147" i="33"/>
  <c r="T148" i="33"/>
  <c r="L148" i="33"/>
  <c r="T149" i="33"/>
  <c r="L149" i="33"/>
  <c r="L138" i="33"/>
  <c r="T138" i="33"/>
  <c r="L12" i="33"/>
  <c r="T12" i="33"/>
  <c r="L144" i="33"/>
  <c r="T144" i="33"/>
  <c r="L11" i="33"/>
  <c r="T11" i="33"/>
  <c r="L141" i="33"/>
  <c r="T141" i="33"/>
  <c r="T13" i="33"/>
  <c r="L13" i="33"/>
  <c r="P141" i="33"/>
  <c r="R141" i="33"/>
  <c r="N141" i="33"/>
  <c r="R13" i="33"/>
  <c r="P13" i="33"/>
  <c r="N13" i="33"/>
  <c r="S32" i="39"/>
  <c r="Q32" i="39"/>
  <c r="O32" i="39"/>
  <c r="K32" i="39"/>
  <c r="M32" i="39"/>
  <c r="S31" i="39"/>
  <c r="K31" i="39"/>
  <c r="Q31" i="39"/>
  <c r="O31" i="39"/>
  <c r="M31" i="39"/>
  <c r="K33" i="39"/>
  <c r="Q33" i="39"/>
  <c r="O33" i="39"/>
  <c r="S33" i="39"/>
  <c r="M33" i="39"/>
  <c r="P138" i="33"/>
  <c r="R138" i="33"/>
  <c r="N138" i="33"/>
  <c r="N3" i="33"/>
  <c r="P3" i="33"/>
  <c r="R3" i="33"/>
  <c r="O29" i="39"/>
  <c r="M29" i="39"/>
  <c r="S29" i="39"/>
  <c r="K29" i="39"/>
  <c r="Q29" i="39"/>
  <c r="S44" i="39"/>
  <c r="Q44" i="39"/>
  <c r="O44" i="39"/>
  <c r="M44" i="39"/>
  <c r="K44" i="39"/>
  <c r="Q40" i="39"/>
  <c r="O40" i="39"/>
  <c r="M40" i="39"/>
  <c r="S40" i="39"/>
  <c r="K40" i="39"/>
  <c r="O13" i="39"/>
  <c r="S13" i="39"/>
  <c r="K13" i="39"/>
  <c r="Q13" i="39"/>
  <c r="M13" i="39"/>
  <c r="R145" i="33"/>
  <c r="P145" i="33"/>
  <c r="N145" i="33"/>
  <c r="Q39" i="39"/>
  <c r="M39" i="39"/>
  <c r="K39" i="39"/>
  <c r="S39" i="39"/>
  <c r="O39" i="39"/>
  <c r="Q51" i="39"/>
  <c r="M51" i="39"/>
  <c r="K51" i="39"/>
  <c r="S51" i="39"/>
  <c r="O51" i="39"/>
  <c r="O41" i="39"/>
  <c r="M41" i="39"/>
  <c r="S41" i="39"/>
  <c r="Q41" i="39"/>
  <c r="K41" i="39"/>
  <c r="P142" i="33"/>
  <c r="R142" i="33"/>
  <c r="N142" i="33"/>
  <c r="O37" i="39"/>
  <c r="S37" i="39"/>
  <c r="K37" i="39"/>
  <c r="M37" i="39"/>
  <c r="Q37" i="39"/>
  <c r="Q15" i="39"/>
  <c r="M15" i="39"/>
  <c r="K15" i="39"/>
  <c r="S15" i="39"/>
  <c r="O15" i="39"/>
  <c r="Q27" i="39"/>
  <c r="M27" i="39"/>
  <c r="K27" i="39"/>
  <c r="S27" i="39"/>
  <c r="O27" i="39"/>
  <c r="K6" i="39"/>
  <c r="Q6" i="39"/>
  <c r="O6" i="39"/>
  <c r="M6" i="39"/>
  <c r="S6" i="39"/>
  <c r="P139" i="33"/>
  <c r="R139" i="33"/>
  <c r="N139" i="33"/>
  <c r="O49" i="39"/>
  <c r="S49" i="39"/>
  <c r="K49" i="39"/>
  <c r="M49" i="39"/>
  <c r="Q49" i="39"/>
  <c r="O26" i="39"/>
  <c r="M26" i="39"/>
  <c r="S26" i="39"/>
  <c r="K26" i="39"/>
  <c r="Q26" i="39"/>
  <c r="M23" i="39"/>
  <c r="S23" i="39"/>
  <c r="K23" i="39"/>
  <c r="Q23" i="39"/>
  <c r="O23" i="39"/>
  <c r="R2" i="33"/>
  <c r="N2" i="33"/>
  <c r="P2" i="33"/>
  <c r="S19" i="39"/>
  <c r="K19" i="39"/>
  <c r="Q19" i="39"/>
  <c r="O19" i="39"/>
  <c r="M19" i="39"/>
  <c r="M11" i="39"/>
  <c r="S11" i="39"/>
  <c r="K11" i="39"/>
  <c r="Q11" i="39"/>
  <c r="O11" i="39"/>
  <c r="O50" i="39"/>
  <c r="M50" i="39"/>
  <c r="S50" i="39"/>
  <c r="K50" i="39"/>
  <c r="Q50" i="39"/>
  <c r="S46" i="39"/>
  <c r="K46" i="39"/>
  <c r="Q46" i="39"/>
  <c r="M46" i="39"/>
  <c r="O46" i="39"/>
  <c r="O38" i="39"/>
  <c r="M38" i="39"/>
  <c r="S38" i="39"/>
  <c r="K38" i="39"/>
  <c r="Q38" i="39"/>
  <c r="M47" i="39"/>
  <c r="S47" i="39"/>
  <c r="K47" i="39"/>
  <c r="Q47" i="39"/>
  <c r="O47" i="39"/>
  <c r="M35" i="39"/>
  <c r="S35" i="39"/>
  <c r="K35" i="39"/>
  <c r="Q35" i="39"/>
  <c r="O35" i="39"/>
  <c r="N147" i="33"/>
  <c r="P147" i="33"/>
  <c r="R147" i="33"/>
  <c r="O14" i="39"/>
  <c r="M14" i="39"/>
  <c r="S14" i="39"/>
  <c r="K14" i="39"/>
  <c r="Q14" i="39"/>
  <c r="S22" i="39"/>
  <c r="K22" i="39"/>
  <c r="Q22" i="39"/>
  <c r="O22" i="39"/>
  <c r="M22" i="39"/>
  <c r="K45" i="39"/>
  <c r="Q45" i="39"/>
  <c r="O45" i="39"/>
  <c r="M45" i="39"/>
  <c r="S45" i="39"/>
  <c r="M12" i="39"/>
  <c r="S12" i="39"/>
  <c r="Q12" i="39"/>
  <c r="K12" i="39"/>
  <c r="O12" i="39"/>
  <c r="R148" i="33"/>
  <c r="N148" i="33"/>
  <c r="P148" i="33"/>
  <c r="S10" i="39"/>
  <c r="K10" i="39"/>
  <c r="O10" i="39"/>
  <c r="Q10" i="39"/>
  <c r="M10" i="39"/>
  <c r="S43" i="39"/>
  <c r="K43" i="39"/>
  <c r="Q43" i="39"/>
  <c r="O43" i="39"/>
  <c r="M43" i="39"/>
  <c r="S20" i="39"/>
  <c r="Q20" i="39"/>
  <c r="O20" i="39"/>
  <c r="K20" i="39"/>
  <c r="M20" i="39"/>
  <c r="M24" i="39"/>
  <c r="S24" i="39"/>
  <c r="K24" i="39"/>
  <c r="Q24" i="39"/>
  <c r="O24" i="39"/>
  <c r="R149" i="33"/>
  <c r="N149" i="33"/>
  <c r="P149" i="33"/>
  <c r="K18" i="39"/>
  <c r="Q18" i="39"/>
  <c r="O18" i="39"/>
  <c r="M18" i="39"/>
  <c r="S18" i="39"/>
  <c r="K21" i="39"/>
  <c r="Q21" i="39"/>
  <c r="O21" i="39"/>
  <c r="S21" i="39"/>
  <c r="M21" i="39"/>
  <c r="S34" i="39"/>
  <c r="K34" i="39"/>
  <c r="Q34" i="39"/>
  <c r="O34" i="39"/>
  <c r="M34" i="39"/>
  <c r="Q16" i="39"/>
  <c r="O16" i="39"/>
  <c r="M16" i="39"/>
  <c r="S16" i="39"/>
  <c r="K16" i="39"/>
  <c r="N12" i="33"/>
  <c r="P12" i="33"/>
  <c r="R12" i="33"/>
  <c r="M36" i="39"/>
  <c r="S36" i="39"/>
  <c r="K36" i="39"/>
  <c r="Q36" i="39"/>
  <c r="O36" i="39"/>
  <c r="M48" i="39"/>
  <c r="S48" i="39"/>
  <c r="Q48" i="39"/>
  <c r="K48" i="39"/>
  <c r="O48" i="39"/>
  <c r="K42" i="39"/>
  <c r="Q42" i="39"/>
  <c r="O42" i="39"/>
  <c r="M42" i="39"/>
  <c r="S42" i="39"/>
  <c r="N144" i="33"/>
  <c r="P144" i="33"/>
  <c r="R144" i="33"/>
  <c r="N11" i="33"/>
  <c r="P11" i="33"/>
  <c r="R11" i="33"/>
  <c r="S7" i="39"/>
  <c r="K7" i="39"/>
  <c r="Q7" i="39"/>
  <c r="O7" i="39"/>
  <c r="M7" i="39"/>
  <c r="K30" i="39"/>
  <c r="Q30" i="39"/>
  <c r="O30" i="39"/>
  <c r="M30" i="39"/>
  <c r="S30" i="39"/>
  <c r="O17" i="39"/>
  <c r="M17" i="39"/>
  <c r="S17" i="39"/>
  <c r="K17" i="39"/>
  <c r="Q17" i="39"/>
  <c r="V53" i="2"/>
  <c r="Y53" i="2"/>
  <c r="V24" i="2"/>
  <c r="Y24" i="2"/>
  <c r="V220" i="2"/>
  <c r="Y220" i="2"/>
  <c r="V110" i="2"/>
  <c r="Y110" i="2"/>
  <c r="V81" i="2"/>
  <c r="Y81" i="2"/>
  <c r="S25" i="2"/>
  <c r="AH25" i="2" s="1"/>
  <c r="S54" i="2"/>
  <c r="AH54" i="2" s="1"/>
  <c r="S82" i="2"/>
  <c r="AH82" i="2" s="1"/>
  <c r="S111" i="2"/>
  <c r="AH111" i="2" s="1"/>
  <c r="S221" i="2"/>
  <c r="AH221" i="2" s="1"/>
  <c r="AE111" i="2" l="1"/>
  <c r="AB111" i="2"/>
  <c r="AE221" i="2"/>
  <c r="AB221" i="2"/>
  <c r="AE82" i="2"/>
  <c r="AB82" i="2"/>
  <c r="AE54" i="2"/>
  <c r="AB54" i="2"/>
  <c r="AB25" i="2"/>
  <c r="AE25" i="2"/>
  <c r="V221" i="2"/>
  <c r="Y221" i="2"/>
  <c r="V111" i="2"/>
  <c r="Y111" i="2"/>
  <c r="V82" i="2"/>
  <c r="Y82" i="2"/>
  <c r="V54" i="2"/>
  <c r="Y54" i="2"/>
  <c r="V25" i="2"/>
  <c r="Y25" i="2"/>
  <c r="S26" i="2"/>
  <c r="AH26" i="2" s="1"/>
  <c r="S55" i="2"/>
  <c r="AH55" i="2" s="1"/>
  <c r="S83" i="2"/>
  <c r="AH83" i="2" s="1"/>
  <c r="S112" i="2"/>
  <c r="AH112" i="2" s="1"/>
  <c r="S222" i="2"/>
  <c r="AH222" i="2" s="1"/>
  <c r="AB83" i="2" l="1"/>
  <c r="AE83" i="2"/>
  <c r="AE55" i="2"/>
  <c r="AB55" i="2"/>
  <c r="AE112" i="2"/>
  <c r="AB112" i="2"/>
  <c r="AE26" i="2"/>
  <c r="AB26" i="2"/>
  <c r="AE222" i="2"/>
  <c r="AB222" i="2"/>
  <c r="V83" i="2"/>
  <c r="Y83" i="2"/>
  <c r="V222" i="2"/>
  <c r="Y222" i="2"/>
  <c r="V55" i="2"/>
  <c r="Y55" i="2"/>
  <c r="V112" i="2"/>
  <c r="Y112" i="2"/>
  <c r="V26" i="2"/>
  <c r="Y26" i="2"/>
  <c r="S27" i="2"/>
  <c r="AH27" i="2" s="1"/>
  <c r="S56" i="2"/>
  <c r="AH56" i="2" s="1"/>
  <c r="S84" i="2"/>
  <c r="AH84" i="2" s="1"/>
  <c r="S113" i="2"/>
  <c r="AH113" i="2" s="1"/>
  <c r="S223" i="2"/>
  <c r="AH223" i="2" s="1"/>
  <c r="AB56" i="2" l="1"/>
  <c r="AE56" i="2"/>
  <c r="AB113" i="2"/>
  <c r="AE113" i="2"/>
  <c r="AE84" i="2"/>
  <c r="AB84" i="2"/>
  <c r="AE27" i="2"/>
  <c r="AB27" i="2"/>
  <c r="AB223" i="2"/>
  <c r="AE223" i="2"/>
  <c r="V223" i="2"/>
  <c r="Y223" i="2"/>
  <c r="V56" i="2"/>
  <c r="Y56" i="2"/>
  <c r="V113" i="2"/>
  <c r="Y113" i="2"/>
  <c r="V27" i="2"/>
  <c r="Y27" i="2"/>
  <c r="V84" i="2"/>
  <c r="Y84" i="2"/>
  <c r="S28" i="2"/>
  <c r="AH28" i="2" s="1"/>
  <c r="S57" i="2"/>
  <c r="AH57" i="2" s="1"/>
  <c r="S85" i="2"/>
  <c r="AH85" i="2" s="1"/>
  <c r="S114" i="2"/>
  <c r="AH114" i="2" s="1"/>
  <c r="S224" i="2"/>
  <c r="AH224" i="2" s="1"/>
  <c r="AB85" i="2" l="1"/>
  <c r="AE85" i="2"/>
  <c r="AE57" i="2"/>
  <c r="AB57" i="2"/>
  <c r="AE114" i="2"/>
  <c r="AB114" i="2"/>
  <c r="AE28" i="2"/>
  <c r="AB28" i="2"/>
  <c r="AE224" i="2"/>
  <c r="AB224" i="2"/>
  <c r="V114" i="2"/>
  <c r="Y114" i="2"/>
  <c r="V57" i="2"/>
  <c r="Y57" i="2"/>
  <c r="V224" i="2"/>
  <c r="Y224" i="2"/>
  <c r="V85" i="2"/>
  <c r="Y85" i="2"/>
  <c r="V28" i="2"/>
  <c r="Y28" i="2"/>
  <c r="S30" i="2"/>
  <c r="AH30" i="2" s="1"/>
  <c r="S29" i="2"/>
  <c r="AH29" i="2" s="1"/>
  <c r="S59" i="2"/>
  <c r="AH59" i="2" s="1"/>
  <c r="S58" i="2"/>
  <c r="AH58" i="2" s="1"/>
  <c r="S86" i="2"/>
  <c r="AH86" i="2" s="1"/>
  <c r="S115" i="2"/>
  <c r="AH115" i="2" s="1"/>
  <c r="S225" i="2"/>
  <c r="AH225" i="2" s="1"/>
  <c r="AE58" i="2" l="1"/>
  <c r="AB58" i="2"/>
  <c r="AE29" i="2"/>
  <c r="AB29" i="2"/>
  <c r="AE30" i="2"/>
  <c r="AB30" i="2"/>
  <c r="AE59" i="2"/>
  <c r="AB59" i="2"/>
  <c r="AE225" i="2"/>
  <c r="AB225" i="2"/>
  <c r="AB115" i="2"/>
  <c r="AE115" i="2"/>
  <c r="AE86" i="2"/>
  <c r="AB86" i="2"/>
  <c r="V86" i="2"/>
  <c r="Y86" i="2"/>
  <c r="V225" i="2"/>
  <c r="Y225" i="2"/>
  <c r="V29" i="2"/>
  <c r="Y29" i="2"/>
  <c r="V30" i="2"/>
  <c r="Y30" i="2"/>
  <c r="V115" i="2"/>
  <c r="Y115" i="2"/>
  <c r="V58" i="2"/>
  <c r="Y58" i="2"/>
  <c r="V59" i="2"/>
  <c r="Y59" i="2"/>
  <c r="S88" i="2"/>
  <c r="AH88" i="2" s="1"/>
  <c r="S87" i="2"/>
  <c r="AH87" i="2" s="1"/>
  <c r="S117" i="2"/>
  <c r="AH117" i="2" s="1"/>
  <c r="S116" i="2"/>
  <c r="AH116" i="2" s="1"/>
  <c r="S226" i="2"/>
  <c r="AH226" i="2" s="1"/>
  <c r="AE117" i="2" l="1"/>
  <c r="AB117" i="2"/>
  <c r="AE88" i="2"/>
  <c r="AB88" i="2"/>
  <c r="AE116" i="2"/>
  <c r="AB116" i="2"/>
  <c r="AE87" i="2"/>
  <c r="AB87" i="2"/>
  <c r="AE226" i="2"/>
  <c r="AB226" i="2"/>
  <c r="V88" i="2"/>
  <c r="Y88" i="2"/>
  <c r="V87" i="2"/>
  <c r="Y87" i="2"/>
  <c r="V226" i="2"/>
  <c r="Y226" i="2"/>
  <c r="V117" i="2"/>
  <c r="Y117" i="2"/>
  <c r="V116" i="2"/>
  <c r="Y116" i="2"/>
  <c r="S227" i="2"/>
  <c r="AH227" i="2" s="1"/>
  <c r="AE227" i="2" l="1"/>
  <c r="AB227" i="2"/>
  <c r="V227" i="2"/>
  <c r="Y227" i="2"/>
  <c r="S228" i="2"/>
  <c r="AH228" i="2" s="1"/>
  <c r="AB228" i="2" l="1"/>
  <c r="AE228" i="2"/>
  <c r="V228" i="2"/>
  <c r="Y228" i="2"/>
  <c r="S229" i="2"/>
  <c r="AH229" i="2" s="1"/>
  <c r="AB229" i="2" l="1"/>
  <c r="AE229" i="2"/>
  <c r="V229" i="2"/>
  <c r="Y229" i="2"/>
  <c r="S230" i="2"/>
  <c r="AH230" i="2" s="1"/>
  <c r="AE230" i="2" l="1"/>
  <c r="AB230" i="2"/>
  <c r="V230" i="2"/>
  <c r="Y230" i="2"/>
  <c r="S231" i="2"/>
  <c r="AH231" i="2" s="1"/>
  <c r="AE231" i="2" l="1"/>
  <c r="AB231" i="2"/>
  <c r="V231" i="2"/>
  <c r="Y231" i="2"/>
  <c r="S233" i="2"/>
  <c r="AH233" i="2" s="1"/>
  <c r="S232" i="2"/>
  <c r="AH232" i="2" s="1"/>
  <c r="AE232" i="2" l="1"/>
  <c r="AB232" i="2"/>
  <c r="AE233" i="2"/>
  <c r="AB233" i="2"/>
  <c r="V233" i="2"/>
  <c r="Y233" i="2"/>
  <c r="V232" i="2"/>
  <c r="Y232" i="2"/>
  <c r="S118" i="2"/>
  <c r="AH118" i="2" s="1"/>
  <c r="S119" i="2"/>
  <c r="AH119" i="2" s="1"/>
  <c r="AB118" i="2" l="1"/>
  <c r="AE118" i="2"/>
  <c r="AB119" i="2"/>
  <c r="AE119" i="2"/>
  <c r="V119" i="2"/>
  <c r="Y119" i="2"/>
  <c r="V118" i="2"/>
  <c r="Y118" i="2"/>
  <c r="S121" i="2"/>
  <c r="AH121" i="2" s="1"/>
  <c r="S120" i="2"/>
  <c r="AH120" i="2" s="1"/>
  <c r="AB120" i="2" l="1"/>
  <c r="AE120" i="2"/>
  <c r="AB121" i="2"/>
  <c r="AE121" i="2"/>
  <c r="V121" i="2"/>
  <c r="Y121" i="2"/>
  <c r="V120" i="2"/>
  <c r="Y120" i="2"/>
  <c r="S122" i="2"/>
  <c r="AH122" i="2" s="1"/>
  <c r="AB122" i="2" l="1"/>
  <c r="AE122" i="2"/>
  <c r="V122" i="2"/>
  <c r="Y122" i="2"/>
  <c r="S123" i="2"/>
  <c r="AH123" i="2" s="1"/>
  <c r="AE123" i="2" l="1"/>
  <c r="AB123" i="2"/>
  <c r="V123" i="2"/>
  <c r="Y123" i="2"/>
  <c r="S124" i="2"/>
  <c r="AH124" i="2" s="1"/>
  <c r="AE124" i="2" l="1"/>
  <c r="AB124" i="2"/>
  <c r="V124" i="2"/>
  <c r="Y124" i="2"/>
  <c r="S125" i="2"/>
  <c r="AH125" i="2" s="1"/>
  <c r="AE125" i="2" l="1"/>
  <c r="AB125" i="2"/>
  <c r="V125" i="2"/>
  <c r="Y125" i="2"/>
  <c r="S126" i="2"/>
  <c r="AH126" i="2" s="1"/>
  <c r="AE126" i="2" l="1"/>
  <c r="AB126" i="2"/>
  <c r="V126" i="2"/>
  <c r="Y126" i="2"/>
  <c r="S127" i="2"/>
  <c r="AH127" i="2" s="1"/>
  <c r="AB127" i="2" l="1"/>
  <c r="AE127" i="2"/>
  <c r="V127" i="2"/>
  <c r="Y127" i="2"/>
  <c r="S128" i="2"/>
  <c r="AH128" i="2" s="1"/>
  <c r="AE128" i="2" l="1"/>
  <c r="AB128" i="2"/>
  <c r="V128" i="2"/>
  <c r="Y128" i="2"/>
  <c r="S129" i="2"/>
  <c r="AH129" i="2" s="1"/>
  <c r="AE129" i="2" l="1"/>
  <c r="AB129" i="2"/>
  <c r="V129" i="2"/>
  <c r="Y129" i="2"/>
  <c r="S130" i="2"/>
  <c r="AH130" i="2" s="1"/>
  <c r="AE130" i="2" l="1"/>
  <c r="AB130" i="2"/>
  <c r="V130" i="2"/>
  <c r="Y130" i="2"/>
  <c r="S131" i="2"/>
  <c r="AH131" i="2" s="1"/>
  <c r="AE131" i="2" l="1"/>
  <c r="AB131" i="2"/>
  <c r="V131" i="2"/>
  <c r="Y131" i="2"/>
  <c r="S132" i="2"/>
  <c r="AH132" i="2" s="1"/>
  <c r="AB132" i="2" l="1"/>
  <c r="AE132" i="2"/>
  <c r="V132" i="2"/>
  <c r="Y132" i="2"/>
  <c r="S133" i="2"/>
  <c r="AH133" i="2" s="1"/>
  <c r="AE133" i="2" l="1"/>
  <c r="AB133" i="2"/>
  <c r="V133" i="2"/>
  <c r="Y133" i="2"/>
  <c r="S134" i="2"/>
  <c r="AH134" i="2" s="1"/>
  <c r="AE134" i="2" l="1"/>
  <c r="AB134" i="2"/>
  <c r="V134" i="2"/>
  <c r="Y134" i="2"/>
  <c r="S135" i="2"/>
  <c r="AH135" i="2" s="1"/>
  <c r="AE135" i="2" l="1"/>
  <c r="AB135" i="2"/>
  <c r="V135" i="2"/>
  <c r="Y135" i="2"/>
  <c r="S136" i="2"/>
  <c r="AH136" i="2" s="1"/>
  <c r="AE136" i="2" l="1"/>
  <c r="AB136" i="2"/>
  <c r="V136" i="2"/>
  <c r="Y136" i="2"/>
  <c r="S137" i="2"/>
  <c r="AH137" i="2" s="1"/>
  <c r="AE137" i="2" l="1"/>
  <c r="AB137" i="2"/>
  <c r="V137" i="2"/>
  <c r="Y137" i="2"/>
  <c r="S138" i="2"/>
  <c r="AH138" i="2" s="1"/>
  <c r="AE138" i="2" l="1"/>
  <c r="AB138" i="2"/>
  <c r="V138" i="2"/>
  <c r="Y138" i="2"/>
  <c r="S139" i="2"/>
  <c r="AH139" i="2" s="1"/>
  <c r="AE139" i="2" l="1"/>
  <c r="AB139" i="2"/>
  <c r="V139" i="2"/>
  <c r="Y139" i="2"/>
  <c r="S140" i="2"/>
  <c r="AH140" i="2" s="1"/>
  <c r="AE140" i="2" l="1"/>
  <c r="AB140" i="2"/>
  <c r="V140" i="2"/>
  <c r="Y140" i="2"/>
  <c r="S141" i="2"/>
  <c r="AH141" i="2" s="1"/>
  <c r="AE141" i="2" l="1"/>
  <c r="AB141" i="2"/>
  <c r="V141" i="2"/>
  <c r="Y141" i="2"/>
  <c r="S142" i="2"/>
  <c r="AH142" i="2" s="1"/>
  <c r="AE142" i="2" l="1"/>
  <c r="AB142" i="2"/>
  <c r="V142" i="2"/>
  <c r="Y142" i="2"/>
  <c r="S143" i="2"/>
  <c r="AH143" i="2" s="1"/>
  <c r="AE143" i="2" l="1"/>
  <c r="AB143" i="2"/>
  <c r="V143" i="2"/>
  <c r="Y143" i="2"/>
  <c r="S144" i="2"/>
  <c r="AH144" i="2" s="1"/>
  <c r="AE144" i="2" l="1"/>
  <c r="AB144" i="2"/>
  <c r="V144" i="2"/>
  <c r="Y144" i="2"/>
  <c r="S145" i="2"/>
  <c r="AH145" i="2" s="1"/>
  <c r="S146" i="2"/>
  <c r="AH146" i="2" s="1"/>
  <c r="AB145" i="2" l="1"/>
  <c r="AE145" i="2"/>
  <c r="AE146" i="2"/>
  <c r="AB146" i="2"/>
  <c r="V146" i="2"/>
  <c r="Y146" i="2"/>
  <c r="V145" i="2"/>
  <c r="Y145" i="2"/>
  <c r="S147" i="2"/>
  <c r="AH147" i="2" s="1"/>
  <c r="S149" i="2"/>
  <c r="AH149" i="2" s="1"/>
  <c r="AB147" i="2" l="1"/>
  <c r="AE147" i="2"/>
  <c r="AE149" i="2"/>
  <c r="AB149" i="2"/>
  <c r="V147" i="2"/>
  <c r="Y147" i="2"/>
  <c r="V149" i="2"/>
  <c r="Y149" i="2"/>
  <c r="S148" i="2"/>
  <c r="AH148" i="2" s="1"/>
  <c r="AE148" i="2" l="1"/>
  <c r="AB148" i="2"/>
  <c r="V148" i="2"/>
  <c r="Y148" i="2"/>
  <c r="S150" i="2"/>
  <c r="AH150" i="2" s="1"/>
  <c r="AE150" i="2" l="1"/>
  <c r="AB150" i="2"/>
  <c r="V150" i="2"/>
  <c r="Y150" i="2"/>
  <c r="S151" i="2"/>
  <c r="AH151" i="2" s="1"/>
  <c r="AB151" i="2" l="1"/>
  <c r="AE151" i="2"/>
  <c r="V151" i="2"/>
  <c r="Y151" i="2"/>
  <c r="S152" i="2"/>
  <c r="AH152" i="2" s="1"/>
  <c r="AE152" i="2" l="1"/>
  <c r="AB152" i="2"/>
  <c r="V152" i="2"/>
  <c r="Y152" i="2"/>
  <c r="S153" i="2"/>
  <c r="AH153" i="2" s="1"/>
  <c r="AE153" i="2" l="1"/>
  <c r="AB153" i="2"/>
  <c r="V153" i="2"/>
  <c r="Y153" i="2"/>
  <c r="S154" i="2"/>
  <c r="AH154" i="2" s="1"/>
  <c r="AE154" i="2" l="1"/>
  <c r="AB154" i="2"/>
  <c r="V154" i="2"/>
  <c r="Y154" i="2"/>
  <c r="S155" i="2"/>
  <c r="AH155" i="2" s="1"/>
  <c r="AE155" i="2" l="1"/>
  <c r="AB155" i="2"/>
  <c r="V155" i="2"/>
  <c r="Y155" i="2"/>
  <c r="S156" i="2"/>
  <c r="AH156" i="2" s="1"/>
  <c r="AE156" i="2" l="1"/>
  <c r="AB156" i="2"/>
  <c r="V156" i="2"/>
  <c r="Y156" i="2"/>
  <c r="S157" i="2"/>
  <c r="AH157" i="2" s="1"/>
  <c r="AB157" i="2" l="1"/>
  <c r="AE157" i="2"/>
  <c r="V157" i="2"/>
  <c r="Y157" i="2"/>
  <c r="S158" i="2"/>
  <c r="AH158" i="2" s="1"/>
  <c r="AE158" i="2" l="1"/>
  <c r="AB158" i="2"/>
  <c r="V158" i="2"/>
  <c r="Y158" i="2"/>
  <c r="S159" i="2"/>
  <c r="AH159" i="2" s="1"/>
  <c r="AE159" i="2" l="1"/>
  <c r="AB159" i="2"/>
  <c r="V159" i="2"/>
  <c r="Y159" i="2"/>
  <c r="S160" i="2"/>
  <c r="AH160" i="2" s="1"/>
  <c r="AE160" i="2" l="1"/>
  <c r="AB160" i="2"/>
  <c r="V160" i="2"/>
  <c r="Y160" i="2"/>
  <c r="S161" i="2"/>
  <c r="AH161" i="2" s="1"/>
  <c r="AE161" i="2" l="1"/>
  <c r="AB161" i="2"/>
  <c r="V161" i="2"/>
  <c r="Y161" i="2"/>
  <c r="S162" i="2"/>
  <c r="AH162" i="2" s="1"/>
  <c r="AB162" i="2" l="1"/>
  <c r="AE162" i="2"/>
  <c r="V162" i="2"/>
  <c r="Y162" i="2"/>
  <c r="S163" i="2"/>
  <c r="AH163" i="2" s="1"/>
  <c r="AB163" i="2" l="1"/>
  <c r="AE163" i="2"/>
  <c r="V163" i="2"/>
  <c r="Y163" i="2"/>
  <c r="S164" i="2"/>
  <c r="AH164" i="2" s="1"/>
  <c r="AE164" i="2" l="1"/>
  <c r="AB164" i="2"/>
  <c r="V164" i="2"/>
  <c r="Y164" i="2"/>
  <c r="S165" i="2"/>
  <c r="AH165" i="2" s="1"/>
  <c r="AE165" i="2" l="1"/>
  <c r="AB165" i="2"/>
  <c r="V165" i="2"/>
  <c r="Y165" i="2"/>
  <c r="S166" i="2"/>
  <c r="AH166" i="2" s="1"/>
  <c r="AE166" i="2" l="1"/>
  <c r="AB166" i="2"/>
  <c r="V166" i="2"/>
  <c r="Y166" i="2"/>
  <c r="S167" i="2"/>
  <c r="AH167" i="2" s="1"/>
  <c r="AE167" i="2" l="1"/>
  <c r="AB167" i="2"/>
  <c r="V167" i="2"/>
  <c r="Y167" i="2"/>
  <c r="S168" i="2"/>
  <c r="AH168" i="2" s="1"/>
  <c r="AB168" i="2" l="1"/>
  <c r="AE168" i="2"/>
  <c r="V168" i="2"/>
  <c r="Y168" i="2"/>
  <c r="S169" i="2"/>
  <c r="AH169" i="2" s="1"/>
  <c r="AB169" i="2" l="1"/>
  <c r="AE169" i="2"/>
  <c r="V169" i="2"/>
  <c r="Y169" i="2"/>
  <c r="S170" i="2"/>
  <c r="AH170" i="2" s="1"/>
  <c r="AE170" i="2" l="1"/>
  <c r="AB170" i="2"/>
  <c r="V170" i="2"/>
  <c r="Y170" i="2"/>
  <c r="S171" i="2"/>
  <c r="AH171" i="2" s="1"/>
  <c r="AE171" i="2" l="1"/>
  <c r="AB171" i="2"/>
  <c r="V171" i="2"/>
  <c r="Y171" i="2"/>
  <c r="S172" i="2"/>
  <c r="AH172" i="2" s="1"/>
  <c r="AE172" i="2" l="1"/>
  <c r="AB172" i="2"/>
  <c r="V172" i="2"/>
  <c r="Y172" i="2"/>
  <c r="S173" i="2"/>
  <c r="AH173" i="2" s="1"/>
  <c r="AE173" i="2" l="1"/>
  <c r="AB173" i="2"/>
  <c r="V173" i="2"/>
  <c r="Y173" i="2"/>
  <c r="S174" i="2"/>
  <c r="AH174" i="2" s="1"/>
  <c r="S175" i="2"/>
  <c r="AH175" i="2" s="1"/>
  <c r="AB175" i="2" l="1"/>
  <c r="AE175" i="2"/>
  <c r="AE174" i="2"/>
  <c r="AB174" i="2"/>
  <c r="V174" i="2"/>
  <c r="Y174" i="2"/>
  <c r="V175" i="2"/>
  <c r="Y175" i="2"/>
  <c r="S263" i="2"/>
  <c r="AH263" i="2" s="1"/>
  <c r="AE263" i="2" l="1"/>
  <c r="AB263" i="2"/>
  <c r="V263" i="2"/>
  <c r="Y263" i="2"/>
  <c r="S176" i="2"/>
  <c r="AH176" i="2" s="1"/>
  <c r="S177" i="2"/>
  <c r="AH177" i="2" s="1"/>
  <c r="AE176" i="2" l="1"/>
  <c r="AB176" i="2"/>
  <c r="AB177" i="2"/>
  <c r="AE177" i="2"/>
  <c r="V177" i="2"/>
  <c r="Y177" i="2"/>
  <c r="V176" i="2"/>
  <c r="Y176" i="2"/>
  <c r="S179" i="2"/>
  <c r="AH179" i="2" s="1"/>
  <c r="S178" i="2"/>
  <c r="AH178" i="2" s="1"/>
  <c r="AE178" i="2" l="1"/>
  <c r="AB178" i="2"/>
  <c r="AE179" i="2"/>
  <c r="AB179" i="2"/>
  <c r="V178" i="2"/>
  <c r="Y178" i="2"/>
  <c r="V179" i="2"/>
  <c r="Y179" i="2"/>
  <c r="S180" i="2"/>
  <c r="AH180" i="2" s="1"/>
  <c r="AB180" i="2" l="1"/>
  <c r="AE180" i="2"/>
  <c r="V180" i="2"/>
  <c r="Y180" i="2"/>
  <c r="S181" i="2"/>
  <c r="AH181" i="2" s="1"/>
  <c r="AB181" i="2" l="1"/>
  <c r="AE181" i="2"/>
  <c r="V181" i="2"/>
  <c r="Y181" i="2"/>
  <c r="S182" i="2"/>
  <c r="AH182" i="2" s="1"/>
  <c r="AB182" i="2" l="1"/>
  <c r="AE182" i="2"/>
  <c r="V182" i="2"/>
  <c r="Y182" i="2"/>
  <c r="S183" i="2"/>
  <c r="AH183" i="2" s="1"/>
  <c r="AE183" i="2" l="1"/>
  <c r="AB183" i="2"/>
  <c r="V183" i="2"/>
  <c r="Y183" i="2"/>
  <c r="S184" i="2"/>
  <c r="AH184" i="2" s="1"/>
  <c r="AE184" i="2" l="1"/>
  <c r="AB184" i="2"/>
  <c r="V184" i="2"/>
  <c r="Y184" i="2"/>
  <c r="S185" i="2"/>
  <c r="AH185" i="2" s="1"/>
  <c r="AB185" i="2" l="1"/>
  <c r="AE185" i="2"/>
  <c r="V185" i="2"/>
  <c r="Y185" i="2"/>
  <c r="S186" i="2"/>
  <c r="AH186" i="2" s="1"/>
  <c r="AE186" i="2" l="1"/>
  <c r="AB186" i="2"/>
  <c r="V186" i="2"/>
  <c r="Y186" i="2"/>
  <c r="S187" i="2"/>
  <c r="AH187" i="2" s="1"/>
  <c r="AB187" i="2" l="1"/>
  <c r="AE187" i="2"/>
  <c r="V187" i="2"/>
  <c r="Y187" i="2"/>
  <c r="S188" i="2"/>
  <c r="AH188" i="2" s="1"/>
  <c r="AE188" i="2" l="1"/>
  <c r="AB188" i="2"/>
  <c r="V188" i="2"/>
  <c r="Y188" i="2"/>
  <c r="S189" i="2"/>
  <c r="AH189" i="2" s="1"/>
  <c r="AE189" i="2" l="1"/>
  <c r="AB189" i="2"/>
  <c r="V189" i="2"/>
  <c r="Y189" i="2"/>
  <c r="S190" i="2"/>
  <c r="AH190" i="2" s="1"/>
  <c r="AE190" i="2" l="1"/>
  <c r="AB190" i="2"/>
  <c r="V190" i="2"/>
  <c r="Y190" i="2"/>
  <c r="S191" i="2"/>
  <c r="AH191" i="2" s="1"/>
  <c r="AB191" i="2" l="1"/>
  <c r="AE191" i="2"/>
  <c r="V191" i="2"/>
  <c r="Y191" i="2"/>
  <c r="S192" i="2"/>
  <c r="AH192" i="2" s="1"/>
  <c r="AB192" i="2" l="1"/>
  <c r="AE192" i="2"/>
  <c r="V192" i="2"/>
  <c r="Y192" i="2"/>
  <c r="S193" i="2"/>
  <c r="AH193" i="2" s="1"/>
  <c r="AE193" i="2" l="1"/>
  <c r="AB193" i="2"/>
  <c r="V193" i="2"/>
  <c r="Y193" i="2"/>
  <c r="S194" i="2"/>
  <c r="AH194" i="2" s="1"/>
  <c r="AB194" i="2" l="1"/>
  <c r="AE194" i="2"/>
  <c r="V194" i="2"/>
  <c r="Y194" i="2"/>
  <c r="S195" i="2"/>
  <c r="AH195" i="2" s="1"/>
  <c r="AE195" i="2" l="1"/>
  <c r="AB195" i="2"/>
  <c r="V195" i="2"/>
  <c r="Y195" i="2"/>
  <c r="S196" i="2"/>
  <c r="AH196" i="2" s="1"/>
  <c r="AB196" i="2" l="1"/>
  <c r="AE196" i="2"/>
  <c r="V196" i="2"/>
  <c r="Y196" i="2"/>
  <c r="S197" i="2"/>
  <c r="AH197" i="2" s="1"/>
  <c r="AE197" i="2" l="1"/>
  <c r="AB197" i="2"/>
  <c r="V197" i="2"/>
  <c r="Y197" i="2"/>
  <c r="S198" i="2"/>
  <c r="AH198" i="2" s="1"/>
  <c r="AE198" i="2" l="1"/>
  <c r="AB198" i="2"/>
  <c r="V198" i="2"/>
  <c r="Y198" i="2"/>
  <c r="S199" i="2"/>
  <c r="AH199" i="2" s="1"/>
  <c r="AB199" i="2" l="1"/>
  <c r="AE199" i="2"/>
  <c r="V199" i="2"/>
  <c r="Y199" i="2"/>
  <c r="S200" i="2"/>
  <c r="AH200" i="2" s="1"/>
  <c r="AE200" i="2" l="1"/>
  <c r="AB200" i="2"/>
  <c r="V200" i="2"/>
  <c r="Y200" i="2"/>
  <c r="S201" i="2"/>
  <c r="AH201" i="2" s="1"/>
  <c r="AE201" i="2" l="1"/>
  <c r="AB201" i="2"/>
  <c r="V201" i="2"/>
  <c r="Y201" i="2"/>
  <c r="S202" i="2"/>
  <c r="AH202" i="2" s="1"/>
  <c r="AE202" i="2" l="1"/>
  <c r="AB202" i="2"/>
  <c r="V202" i="2"/>
  <c r="Y202" i="2"/>
  <c r="S204" i="2"/>
  <c r="AH204" i="2" s="1"/>
  <c r="S203" i="2"/>
  <c r="AH203" i="2" s="1"/>
  <c r="AE203" i="2" l="1"/>
  <c r="AB203" i="2"/>
  <c r="AB204" i="2"/>
  <c r="AE204" i="2"/>
  <c r="V203" i="2"/>
  <c r="Y203" i="2"/>
  <c r="V204" i="2"/>
  <c r="Y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757A7C57-3E79-4A54-9FC0-C9677D3A201A}">
      <text>
        <r>
          <rPr>
            <sz val="9"/>
            <color indexed="81"/>
            <rFont val="Tahoma"/>
            <charset val="1"/>
          </rPr>
          <t>Configuration parameter value
PURPOSE: Sets the actual value for each configuration setting
ACTION: Enter appropriate value based on Setting_Name:
- Years: Numeric (e.g., 2020)
- Elements: Comma-separated list (e.g., material, WC, DM, CC)
- Flags: Yes/No
EXAMPLE: For Start_Year → 2000</t>
        </r>
      </text>
    </comment>
    <comment ref="D1" authorId="0" shapeId="0" xr:uid="{DC83AB30-7BF4-4D33-88D4-2FCF84C087CE}">
      <text>
        <r>
          <rPr>
            <sz val="9"/>
            <color indexed="81"/>
            <rFont val="Tahoma"/>
            <charset val="1"/>
          </rPr>
          <t>ODYM framework field
PURPOSE: Technical field for framework integration
ACTION: Auto-generated. Do not modify.
NOTE: Used for dimensional indexing.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0859EF1B-BE48-47C6-96DC-9190E5534F60}">
      <text>
        <r>
          <rPr>
            <sz val="9"/>
            <color indexed="81"/>
            <rFont val="Tahoma"/>
            <charset val="1"/>
          </rPr>
          <t>Completion flag
PURPOSE: Mark row as verified and complete
ACTION: Check box after all data verified
Used for progress tracking.</t>
        </r>
      </text>
    </comment>
    <comment ref="B1" authorId="0" shapeId="0" xr:uid="{FD78D013-625A-4D61-9C48-335EB5044545}">
      <text>
        <r>
          <rPr>
            <sz val="9"/>
            <color indexed="81"/>
            <rFont val="Tahoma"/>
            <charset val="1"/>
          </rPr>
          <t>Auto-generated row identifier
PURPOSE: Unique sequential number for data integrity
ACTION: System-generated. Do not modify.</t>
        </r>
      </text>
    </comment>
    <comment ref="C1" authorId="0" shapeId="0" xr:uid="{7A6A6E6E-E11F-4D7B-B622-5EDB4A7B3CB6}">
      <text>
        <r>
          <rPr>
            <sz val="9"/>
            <color indexed="81"/>
            <rFont val="Tahoma"/>
            <charset val="1"/>
          </rPr>
          <t>Unique flow identifier
PURPOSE: System identifier for this flow
ACTION: Enter unique ID using convention F_##_Description
Use sequential numbering (F_01, F_02, etc.)
EXAMPLE: F_01_Timber_Harvest</t>
        </r>
      </text>
    </comment>
    <comment ref="D1" authorId="0" shapeId="0" xr:uid="{4B3FDB4A-CB1E-4F2C-8E62-12957FEEE750}">
      <text>
        <r>
          <rPr>
            <sz val="9"/>
            <color indexed="81"/>
            <rFont val="Tahoma"/>
            <charset val="1"/>
          </rPr>
          <t>Descriptive flow name
PURPOSE: Human-readable name displayed in visualizations
ACTION: Enter clear, concise name describing the material flow
EXAMPLE: Timber from Forest to Sawmill</t>
        </r>
      </text>
    </comment>
    <comment ref="E1" authorId="0" shapeId="0" xr:uid="{C0D480C9-7C74-43A7-B378-92118E39D790}">
      <text>
        <r>
          <rPr>
            <sz val="9"/>
            <color indexed="81"/>
            <rFont val="Tahoma"/>
            <charset val="1"/>
          </rPr>
          <t>Additional notes or clarifications
PURPOSE: Free-text field for documentation
ACTION: Optional notes about data quality, assumptions, or special conditions</t>
        </r>
      </text>
    </comment>
    <comment ref="F1" authorId="0" shapeId="0" xr:uid="{A2A50AF5-F025-4A83-B569-C0C2DDA8F9B2}">
      <text>
        <r>
          <rPr>
            <sz val="9"/>
            <color indexed="81"/>
            <rFont val="Tahoma"/>
            <charset val="1"/>
          </rPr>
          <t>ODYM framework field
PURPOSE: Technical field for framework integration
ACTION: Auto-generated. Do not modify.
NOTE: Used for dimensional indexing.</t>
        </r>
      </text>
    </comment>
    <comment ref="G1" authorId="0" shapeId="0" xr:uid="{62A50D04-D970-45CA-BCE7-CF88FB54894F}">
      <text>
        <r>
          <rPr>
            <sz val="9"/>
            <color indexed="81"/>
            <rFont val="Tahoma"/>
            <charset val="1"/>
          </rPr>
          <t>Source process name
PURPOSE: Defines where this flow originates
ACTION: Select from process names defined in 2_1_Definition_Processes
Must match exactly.
EXAMPLE: Forest (for timber harvest flow)</t>
        </r>
      </text>
    </comment>
    <comment ref="I1" authorId="0" shapeId="0" xr:uid="{ACA257C7-899B-466C-B0D3-4EF5AAF85672}">
      <text>
        <r>
          <rPr>
            <sz val="9"/>
            <color indexed="81"/>
            <rFont val="Tahoma"/>
            <charset val="1"/>
          </rPr>
          <t>Destination process name
PURPOSE: Defines where this flow goes
ACTION: Select from process names defined in 2_1_Definition_Processes
Must match exactly.
EXAMPLE: Sawmill (for timber processing)</t>
        </r>
      </text>
    </comment>
    <comment ref="S1" authorId="0" shapeId="0" xr:uid="{2BB7463A-E3C2-4785-B15B-4AA80CFD2BEB}">
      <text>
        <r>
          <rPr>
            <sz val="9"/>
            <color indexed="81"/>
            <rFont val="Tahoma"/>
            <charset val="1"/>
          </rPr>
          <t>Reference for element data (E1-E6)
PURPOSE: Document data source for element composition
ACTION: Enter Reference_ID from 6_1_Reference_Manager sheet
EXAMPLE: R003 (links to journal article or dataset)</t>
        </r>
      </text>
    </comment>
    <comment ref="V1" authorId="0" shapeId="0" xr:uid="{8D409968-6B0F-4703-BA2B-89C216953190}">
      <text>
        <r>
          <rPr>
            <sz val="9"/>
            <color indexed="81"/>
            <rFont val="Tahoma"/>
            <charset val="1"/>
          </rPr>
          <t>Reference for element data (E1-E6)
PURPOSE: Document data source for element composition
ACTION: Enter Reference_ID from 6_1_Reference_Manager sheet
EXAMPLE: R003 (links to journal article or dataset)</t>
        </r>
      </text>
    </comment>
    <comment ref="Y1" authorId="0" shapeId="0" xr:uid="{CB6E03E4-D002-453C-8526-C80F67E9088B}">
      <text>
        <r>
          <rPr>
            <sz val="9"/>
            <color indexed="81"/>
            <rFont val="Tahoma"/>
            <charset val="1"/>
          </rPr>
          <t>Reference for element data (E1-E6)
PURPOSE: Document data source for element composition
ACTION: Enter Reference_ID from 6_1_Reference_Manager sheet
EXAMPLE: R003 (links to journal article or dataset)</t>
        </r>
      </text>
    </comment>
    <comment ref="AB1" authorId="0" shapeId="0" xr:uid="{DB7E9DB2-F4BA-4ABF-BA92-89D911B44797}">
      <text>
        <r>
          <rPr>
            <sz val="9"/>
            <color indexed="81"/>
            <rFont val="Tahoma"/>
            <charset val="1"/>
          </rPr>
          <t>Reference for element data (E1-E6)
PURPOSE: Document data source for element composition
ACTION: Enter Reference_ID from 6_1_Reference_Manager sheet
EXAMPLE: R003 (links to journal article or dataset)</t>
        </r>
      </text>
    </comment>
    <comment ref="AE1" authorId="0" shapeId="0" xr:uid="{6985B3D3-3CEE-4A27-8CC3-D308709604CA}">
      <text>
        <r>
          <rPr>
            <sz val="9"/>
            <color indexed="81"/>
            <rFont val="Tahoma"/>
            <charset val="1"/>
          </rPr>
          <t>Reference for element data (E1-E6)
PURPOSE: Document data source for element composition
ACTION: Enter Reference_ID from 6_1_Reference_Manager sheet
EXAMPLE: R003 (links to journal article or dataset)</t>
        </r>
      </text>
    </comment>
    <comment ref="AH1" authorId="0" shapeId="0" xr:uid="{3EF5504E-CED1-4149-8FE7-D124A3C2C5E1}">
      <text>
        <r>
          <rPr>
            <sz val="9"/>
            <color indexed="81"/>
            <rFont val="Tahoma"/>
            <charset val="1"/>
          </rPr>
          <t>Reference for element data (E1-E6)
PURPOSE: Document data source for element composition
ACTION: Enter Reference_ID from 6_1_Reference_Manager sheet
EXAMPLE: R003 (links to journal article or dataset)</t>
        </r>
      </text>
    </comment>
    <comment ref="AI1" authorId="0" shapeId="0" xr:uid="{5A070A52-879F-42EA-BF7C-38E803DE3BD4}">
      <text>
        <r>
          <rPr>
            <sz val="9"/>
            <color indexed="81"/>
            <rFont val="Tahoma"/>
            <charset val="1"/>
          </rPr>
          <t>ODYM framework field
PURPOSE: Technical field for framework integration
ACTION: Auto-generated. Do not modify.
NOTE: Used for dimensional indexing.</t>
        </r>
      </text>
    </comment>
    <comment ref="AJ1" authorId="0" shapeId="0" xr:uid="{3ACB9663-0A39-427E-9F04-7595E7564B93}">
      <text>
        <r>
          <rPr>
            <sz val="9"/>
            <color indexed="81"/>
            <rFont val="Tahoma"/>
            <charset val="1"/>
          </rPr>
          <t>ODYM framework field
PURPOSE: Technical field for framework integration
ACTION: Auto-generated. Do not modify.
NOTE: Used for dimensional indexing.</t>
        </r>
      </text>
    </comment>
    <comment ref="AK1" authorId="0" shapeId="0" xr:uid="{ACD6BEEF-EE30-4D08-A8F3-E925A208738C}">
      <text>
        <r>
          <rPr>
            <sz val="9"/>
            <color indexed="81"/>
            <rFont val="Tahoma"/>
            <charset val="1"/>
          </rPr>
          <t>ODYM framework field
PURPOSE: Technical field for framework integration
ACTION: Auto-generated. Do not modify.
NOTE: Used for dimensional indexing.</t>
        </r>
      </text>
    </comment>
    <comment ref="AL1" authorId="0" shapeId="0" xr:uid="{17DCB337-3100-4964-9B77-D00A0B892E66}">
      <text>
        <r>
          <rPr>
            <sz val="9"/>
            <color indexed="81"/>
            <rFont val="Tahoma"/>
            <charset val="1"/>
          </rPr>
          <t>ODYM framework field
PURPOSE: Technical field for framework integration
ACTION: Auto-generated. Do not modify.
NOTE: Used for dimensional indexing.</t>
        </r>
      </text>
    </comment>
    <comment ref="AM1" authorId="0" shapeId="0" xr:uid="{39925D41-04BC-4E2C-AEC2-B863AEB9A32D}">
      <text>
        <r>
          <rPr>
            <sz val="9"/>
            <color indexed="81"/>
            <rFont val="Tahoma"/>
            <charset val="1"/>
          </rPr>
          <t>ODYM framework field
PURPOSE: Technical field for framework integration
ACTION: Auto-generated. Do not modify.
NOTE: Used for dimensional indexing.</t>
        </r>
      </text>
    </comment>
    <comment ref="AN1" authorId="0" shapeId="0" xr:uid="{DE78DF4A-8736-4125-B6A8-D132F33DB652}">
      <text>
        <r>
          <rPr>
            <sz val="9"/>
            <color indexed="81"/>
            <rFont val="Tahoma"/>
            <charset val="1"/>
          </rPr>
          <t>ODYM framework field
PURPOSE: Technical field for framework integration
ACTION: Auto-generated. Do not modify.
NOTE: Used for dimensional indexing.</t>
        </r>
      </text>
    </comment>
    <comment ref="AO1" authorId="0" shapeId="0" xr:uid="{CFDC2501-8DD3-496F-99C8-84968F9D2702}">
      <text>
        <r>
          <rPr>
            <sz val="9"/>
            <color indexed="81"/>
            <rFont val="Tahoma"/>
            <charset val="1"/>
          </rPr>
          <t>ODYM framework field
PURPOSE: Technical field for framework integration
ACTION: Auto-generated. Do not modify.
NOTE: Used for dimensional indexing.</t>
        </r>
      </text>
    </comment>
    <comment ref="AP1" authorId="0" shapeId="0" xr:uid="{A23120A3-27D7-4EEE-A74C-3527EA355789}">
      <text>
        <r>
          <rPr>
            <sz val="9"/>
            <color indexed="81"/>
            <rFont val="Tahoma"/>
            <charset val="1"/>
          </rPr>
          <t>ODYM framework field
PURPOSE: Technical field for framework integration
ACTION: Auto-generated. Do not modify.
NOTE: Used for dimensional indexing.</t>
        </r>
      </text>
    </comment>
    <comment ref="AQ1" authorId="0" shapeId="0" xr:uid="{392422AE-CC72-42B2-95A9-92B0597C6F41}">
      <text>
        <r>
          <rPr>
            <sz val="9"/>
            <color indexed="81"/>
            <rFont val="Tahoma"/>
            <charset val="1"/>
          </rPr>
          <t>ODYM framework field
PURPOSE: Technical field for framework integration
ACTION: Auto-generated. Do not modify.
NOTE: Used for dimensional indexing.</t>
        </r>
      </text>
    </comment>
    <comment ref="AR1" authorId="0" shapeId="0" xr:uid="{1730995D-FD67-4A84-91A9-032CDF853F28}">
      <text>
        <r>
          <rPr>
            <sz val="9"/>
            <color indexed="81"/>
            <rFont val="Tahoma"/>
            <charset val="1"/>
          </rPr>
          <t>ODYM framework field
PURPOSE: Technical field for framework integration
ACTION: Auto-generated. Do not modify.
NOTE: Used for dimensional indexing.</t>
        </r>
      </text>
    </comment>
    <comment ref="AS1" authorId="0" shapeId="0" xr:uid="{F51FC928-CEF1-4C9A-AECA-A31609E2D5EC}">
      <text>
        <r>
          <rPr>
            <sz val="9"/>
            <color indexed="81"/>
            <rFont val="Tahoma"/>
            <charset val="1"/>
          </rPr>
          <t>ODYM framework field
PURPOSE: Technical field for framework integration
ACTION: Auto-generated. Do not modify.
NOTE: Used for dimensional indexing.</t>
        </r>
      </text>
    </comment>
    <comment ref="AT1" authorId="0" shapeId="0" xr:uid="{9DBF4F87-1E3C-489C-ADED-8C6B27303EB8}">
      <text>
        <r>
          <rPr>
            <sz val="9"/>
            <color indexed="81"/>
            <rFont val="Tahoma"/>
            <charset val="1"/>
          </rPr>
          <t>ODYM framework field
PURPOSE: Technical field for framework integration
ACTION: Auto-generated. Do not modify.
NOTE: Used for dimensional indexing.</t>
        </r>
      </text>
    </comment>
    <comment ref="AU1" authorId="0" shapeId="0" xr:uid="{0A2E7470-0EC3-42A4-8434-0BE056CA5966}">
      <text>
        <r>
          <rPr>
            <sz val="9"/>
            <color indexed="81"/>
            <rFont val="Tahoma"/>
            <charset val="1"/>
          </rPr>
          <t>ODYM framework field
PURPOSE: Technical field for framework integration
ACTION: Auto-generated. Do not modify.
NOTE: Used for dimensional indexing.</t>
        </r>
      </text>
    </comment>
    <comment ref="AV1" authorId="0" shapeId="0" xr:uid="{D1910590-BBB6-4436-BCC9-B23DB8D20855}">
      <text>
        <r>
          <rPr>
            <sz val="9"/>
            <color indexed="81"/>
            <rFont val="Tahoma"/>
            <charset val="1"/>
          </rPr>
          <t>ODYM framework field
PURPOSE: Technical field for framework integration
ACTION: Auto-generated. Do not modify.
NOTE: Used for dimensional indexing.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043576E9-F8F7-4685-9623-2040ADDF4DE7}">
      <text>
        <r>
          <rPr>
            <sz val="9"/>
            <color indexed="81"/>
            <rFont val="Tahoma"/>
            <charset val="1"/>
          </rPr>
          <t>Auto-generated row identifier
PURPOSE: Unique sequential number for data integrity
ACTION: System-generated. Do not modify.</t>
        </r>
      </text>
    </comment>
    <comment ref="B1" authorId="0" shapeId="0" xr:uid="{EB750FD3-32B3-40C8-80A3-4F14242AB979}">
      <text>
        <r>
          <rPr>
            <sz val="9"/>
            <color indexed="81"/>
            <rFont val="Tahoma"/>
            <charset val="1"/>
          </rPr>
          <t>Flow identifier
PURPOSE: Links data to flow definition
ACTION: Select from Flow_IDs defined in 1_1_Definition_Flows
Must match exactly.
EXAMPLE: F_01_Timber_Harvest</t>
        </r>
      </text>
    </comment>
    <comment ref="J1" authorId="0" shapeId="0" xr:uid="{5070C327-F8AE-4565-94BE-CBA266C57A9B}">
      <text>
        <r>
          <rPr>
            <sz val="9"/>
            <color indexed="81"/>
            <rFont val="Tahoma"/>
            <charset val="1"/>
          </rPr>
          <t>Data year
PURPOSE: Temporal dimension for flow data
ACTION: Enter year as 4-digit number (e.g., 2020)
Must be within Start_Year to End_Year range defined in configuration.
EXAMPLE: 2020</t>
        </r>
      </text>
    </comment>
    <comment ref="K1" authorId="0" shapeId="0" xr:uid="{54D39F22-1D3F-4EF6-B48F-6A9A10088C79}">
      <text>
        <r>
          <rPr>
            <sz val="9"/>
            <color indexed="81"/>
            <rFont val="Tahoma"/>
            <charset val="1"/>
          </rPr>
          <t>Flow quantity (total material)
PURPOSE: Primary flow value representing total material quantity
ACTION: Enter numeric value for total flow in this year
EXAMPLE: 15000 (representing 15,000 tons)
NOTE: This is typically E1 (material) value. Element-specific values
calculated based on fractions defined in flow definition.</t>
        </r>
      </text>
    </comment>
    <comment ref="L1" authorId="0" shapeId="0" xr:uid="{78EF754C-D461-44C9-865E-2E9D95836272}">
      <text>
        <r>
          <rPr>
            <sz val="9"/>
            <color indexed="81"/>
            <rFont val="Tahoma"/>
            <charset val="1"/>
          </rPr>
          <t>Unit of measurement
PURPOSE: Specifies unit for flow value
ACTION: Select from unit codelist (mg, g, Kg, Mg, Gg)
Typically: Mg (megagram = metric ton)
EXAMPLE: Mg</t>
        </r>
      </text>
    </comment>
    <comment ref="M1" authorId="0" shapeId="0" xr:uid="{5F7BFDB2-E417-4B2E-B1DC-8D4E284F7D9D}">
      <text>
        <r>
          <rPr>
            <sz val="9"/>
            <color indexed="81"/>
            <rFont val="Tahoma"/>
            <charset val="1"/>
          </rPr>
          <t>Flow data reference
PURPOSE: Document data source
ACTION: Enter Reference_ID from 6_1_Reference_Manager
EXAMPLE: R005 (links to statistical database)
NOTE: Use this to cite where flow data originated</t>
        </r>
      </text>
    </comment>
    <comment ref="N1" authorId="0" shapeId="0" xr:uid="{6125234F-2BDC-4FBD-867D-85CB6DF91BE6}">
      <text>
        <r>
          <rPr>
            <sz val="9"/>
            <color indexed="81"/>
            <rFont val="Tahoma"/>
            <charset val="1"/>
          </rPr>
          <t>Conversion factor required flag
PURPOSE: Indicates if calculation adjustment needed
ACTION: Select Yes if Flow value needs adjustment
Select No if value used directly
EXAMPLE: Yes (if only partial flow relevant or unit conversion needed)</t>
        </r>
      </text>
    </comment>
    <comment ref="O1" authorId="0" shapeId="0" xr:uid="{3B080622-2620-4246-8150-DD39F2E7737A}">
      <text>
        <r>
          <rPr>
            <sz val="9"/>
            <color indexed="81"/>
            <rFont val="Tahoma"/>
            <charset val="1"/>
          </rPr>
          <t>Conversion/calculation factor value
PURPOSE: Factor to adjust flow value
ACTION: Enter factor as decimal number
EXAMPLE:
- Partial flow: 0.8 (only 80% of flow is relevant)
- Unit conversion: 0.5 (converts between units)
REQUIRED: When CF_required? = Yes</t>
        </r>
      </text>
    </comment>
    <comment ref="P1" authorId="0" shapeId="0" xr:uid="{982B4E01-1DB5-4585-9B26-F8F566AF7414}">
      <text>
        <r>
          <rPr>
            <sz val="9"/>
            <color indexed="81"/>
            <rFont val="Tahoma"/>
            <charset val="1"/>
          </rPr>
          <t>Conversion factor description
PURPOSE: Explains what conversion factor represents
ACTION: Enter brief description
EXAMPLE: Partial flow factor or Density conversion
REQUIRED: When CF_required? = Yes</t>
        </r>
      </text>
    </comment>
    <comment ref="Q1" authorId="0" shapeId="0" xr:uid="{8D106586-4A7E-4F76-AB84-7F7A6BA63EE1}">
      <text>
        <r>
          <rPr>
            <sz val="9"/>
            <color indexed="81"/>
            <rFont val="Tahoma"/>
            <charset val="1"/>
          </rPr>
          <t>Conversion factor reference
PURPOSE: Document source for conversion factor
ACTION: Enter Reference_ID for conversion factor source
EXAMPLE: R012 (links to conversion standard)</t>
        </r>
      </text>
    </comment>
    <comment ref="R1" authorId="0" shapeId="0" xr:uid="{C79827E0-DDAB-467E-A214-8FBEA1617042}">
      <text>
        <r>
          <rPr>
            <sz val="9"/>
            <color indexed="81"/>
            <rFont val="Tahoma"/>
            <charset val="1"/>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U1" authorId="0" shapeId="0" xr:uid="{C23BD5CE-6ABF-4110-BDEA-6F497C7ED834}">
      <text>
        <r>
          <rPr>
            <sz val="9"/>
            <color indexed="81"/>
            <rFont val="Tahoma"/>
            <charset val="1"/>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X1" authorId="0" shapeId="0" xr:uid="{A7089EF8-F4F0-49E9-B1E7-1DA8A263A2E7}">
      <text>
        <r>
          <rPr>
            <sz val="9"/>
            <color indexed="81"/>
            <rFont val="Tahoma"/>
            <charset val="1"/>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A1" authorId="0" shapeId="0" xr:uid="{A4C05E1E-1FB1-4A60-8E8E-5052B3418147}">
      <text>
        <r>
          <rPr>
            <sz val="9"/>
            <color indexed="81"/>
            <rFont val="Tahoma"/>
            <charset val="1"/>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D1" authorId="0" shapeId="0" xr:uid="{D070F121-54DE-4F5E-8769-0D5A481ACE1D}">
      <text>
        <r>
          <rPr>
            <sz val="9"/>
            <color indexed="81"/>
            <rFont val="Tahoma"/>
            <charset val="1"/>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G1" authorId="0" shapeId="0" xr:uid="{F8DB0904-C27C-49CE-9530-E1EED6EF3A21}">
      <text>
        <r>
          <rPr>
            <sz val="9"/>
            <color indexed="81"/>
            <rFont val="Tahoma"/>
            <charset val="1"/>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11182D96-394B-49D7-B1EF-2313D574DB42}">
      <text>
        <r>
          <rPr>
            <sz val="9"/>
            <color indexed="81"/>
            <rFont val="Tahoma"/>
            <charset val="1"/>
          </rPr>
          <t>Completion flag
PURPOSE: Mark row as verified and complete
ACTION: Check box after all data verified
Used for progress tracking.</t>
        </r>
      </text>
    </comment>
    <comment ref="B1" authorId="0" shapeId="0" xr:uid="{9FC3CE2C-DEC8-4FCD-AE80-D7F070F45E57}">
      <text>
        <r>
          <rPr>
            <sz val="9"/>
            <color indexed="81"/>
            <rFont val="Tahoma"/>
            <charset val="1"/>
          </rPr>
          <t>Auto-generated row identifier
PURPOSE: Unique sequential number for data integrity
ACTION: System-generated. Do not modify.</t>
        </r>
      </text>
    </comment>
    <comment ref="C1" authorId="0" shapeId="0" xr:uid="{F0770D15-9B5A-4DDE-A896-BAC6407B7101}">
      <text>
        <r>
          <rPr>
            <sz val="9"/>
            <color indexed="81"/>
            <rFont val="Tahoma"/>
            <charset val="1"/>
          </rPr>
          <t>Unique process identifier
PURPOSE: System identifier for this process
ACTION: Enter unique ID using sequential numbering (1, 2, 3, ...)
EXAMPLE: 1 (for first process)
NOTE: Referenced by flows, TCs, stocks, DSM, FOMP</t>
        </r>
      </text>
    </comment>
    <comment ref="D1" authorId="0" shapeId="0" xr:uid="{D1769F84-9647-49B6-922B-E8BDDD418DAD}">
      <text>
        <r>
          <rPr>
            <sz val="9"/>
            <color indexed="81"/>
            <rFont val="Tahoma"/>
            <charset val="1"/>
          </rPr>
          <t>Descriptive process name
PURPOSE: Human-readable name for process
ACTION: Enter clear, concise name
EXAMPLE: Sawmill or Recycling_Facility
NOTE: Used in visualizations and reports</t>
        </r>
      </text>
    </comment>
    <comment ref="E1" authorId="0" shapeId="0" xr:uid="{11473535-473C-49CC-A55C-A6E0E84644A6}">
      <text>
        <r>
          <rPr>
            <sz val="9"/>
            <color indexed="81"/>
            <rFont val="Tahoma"/>
            <charset val="1"/>
          </rPr>
          <t>ODYM framework field
PURPOSE: Technical field for framework integration
ACTION: Auto-generated. Do not modify.
NOTE: Used for dimensional indexing.</t>
        </r>
      </text>
    </comment>
    <comment ref="F1" authorId="0" shapeId="0" xr:uid="{D6AE65E4-7203-4713-847C-9951E37EB7A1}">
      <text>
        <r>
          <rPr>
            <sz val="9"/>
            <color indexed="81"/>
            <rFont val="Tahoma"/>
            <charset val="1"/>
          </rPr>
          <t>ODYM framework field
PURPOSE: Technical field for framework integration
ACTION: Auto-generated. Do not modify.
NOTE: Used for dimensional indexing.</t>
        </r>
      </text>
    </comment>
    <comment ref="G1" authorId="0" shapeId="0" xr:uid="{9C07EF66-D665-4AA2-B30F-FEE73888AEAC}">
      <text>
        <r>
          <rPr>
            <sz val="9"/>
            <color indexed="81"/>
            <rFont val="Tahoma"/>
            <charset val="1"/>
          </rPr>
          <t>Process description
PURPOSE: Detailed explanation of process function
ACTION: Enter free-text description of what this process does
EXAMPLE: Sorts end-of-life wood products for recycling or disposal</t>
        </r>
      </text>
    </comment>
    <comment ref="H1" authorId="0" shapeId="0" xr:uid="{348167A8-BA89-4757-A3CA-15632B0B6D35}">
      <text>
        <r>
          <rPr>
            <sz val="9"/>
            <color indexed="81"/>
            <rFont val="Tahoma"/>
            <charset val="1"/>
          </rPr>
          <t>Process behavior type
PURPOSE: Defines how process handles material flows
ACTION: Select from dropdown (see codelist for option descriptions):
Input, Output, Splitter, Transformer, DSM, FOMP, Pass-through
EXAMPLE: Splitter (for sorting facility)
NOTE: Process_Logic determines which parameters required in other sheets</t>
        </r>
      </text>
    </comment>
    <comment ref="I1" authorId="0" shapeId="0" xr:uid="{165251C6-8AB8-49F4-A95C-9D8E750ECAF3}">
      <text>
        <r>
          <rPr>
            <sz val="9"/>
            <color indexed="81"/>
            <rFont val="Tahoma"/>
            <charset val="1"/>
          </rPr>
          <t>Transfer coefficient configuration
PURPOSE: Defines how outflow distribution is determined
ACTION: Select from dropdown (see codelist):
Static, Dynamic, No TC
EXAMPLE: Static (for fixed distribution rates)
REQUIRED: For Splitter and Transformer processes</t>
        </r>
      </text>
    </comment>
    <comment ref="J1" authorId="0" shapeId="0" xr:uid="{94382C79-6083-4C6F-9F9E-F7EA52BFD76B}">
      <text>
        <r>
          <rPr>
            <sz val="9"/>
            <color indexed="81"/>
            <rFont val="Tahoma"/>
            <charset val="1"/>
          </rPr>
          <t>Stock configuration
PURPOSE: Defines if and how process stores material
ACTION: Select from dropdown (see codelist):
Stock, No Stock, Initial Stock
EXAMPLE: Stock (for use-phase accumulation)</t>
        </r>
      </text>
    </comment>
    <comment ref="L1" authorId="0" shapeId="0" xr:uid="{F4224D58-4817-40C7-8241-930AC23D9230}">
      <text>
        <r>
          <rPr>
            <sz val="9"/>
            <color indexed="81"/>
            <rFont val="Tahoma"/>
            <charset val="1"/>
          </rPr>
          <t>ODYM framework field
PURPOSE: Technical field for framework integration
ACTION: Auto-generated. Do not modify.
NOTE: Used for dimensional indexing.</t>
        </r>
      </text>
    </comment>
    <comment ref="M1" authorId="0" shapeId="0" xr:uid="{9D531079-1E2E-4634-BF66-D4D20184BF57}">
      <text>
        <r>
          <rPr>
            <sz val="9"/>
            <color indexed="81"/>
            <rFont val="Tahoma"/>
            <charset val="1"/>
          </rPr>
          <t>ODYM framework field
PURPOSE: Technical field for framework integration
ACTION: Auto-generated. Do not modify.
NOTE: Used for dimensional indexing.</t>
        </r>
      </text>
    </comment>
    <comment ref="N1" authorId="0" shapeId="0" xr:uid="{D090205B-A7CA-4D06-AF6C-AD266AAB8B4D}">
      <text>
        <r>
          <rPr>
            <sz val="9"/>
            <color indexed="81"/>
            <rFont val="Tahoma"/>
            <charset val="1"/>
          </rPr>
          <t>ODYM framework field
PURPOSE: Technical field for framework integration
ACTION: Auto-generated. Do not modify.
NOTE: Used for dimensional indexing.</t>
        </r>
      </text>
    </comment>
    <comment ref="O1" authorId="0" shapeId="0" xr:uid="{DCE593AB-4DB4-4E69-8489-318C4175EE8B}">
      <text>
        <r>
          <rPr>
            <sz val="9"/>
            <color indexed="81"/>
            <rFont val="Tahoma"/>
            <charset val="1"/>
          </rPr>
          <t>ODYM framework field
PURPOSE: Technical field for framework integration
ACTION: Auto-generated. Do not modify.
NOTE: Used for dimensional indexing.</t>
        </r>
      </text>
    </comment>
    <comment ref="P1" authorId="0" shapeId="0" xr:uid="{CAEF117D-B312-454D-828B-94FE6BA69824}">
      <text>
        <r>
          <rPr>
            <sz val="9"/>
            <color indexed="81"/>
            <rFont val="Tahoma"/>
            <charset val="1"/>
          </rPr>
          <t>ODYM framework field
PURPOSE: Technical field for framework integration
ACTION: Auto-generated. Do not modify.
NOTE: Used for dimensional indexing.</t>
        </r>
      </text>
    </comment>
    <comment ref="Q1" authorId="0" shapeId="0" xr:uid="{6DC1F02A-2053-471D-BE34-0458958D2E45}">
      <text>
        <r>
          <rPr>
            <sz val="9"/>
            <color indexed="81"/>
            <rFont val="Tahoma"/>
            <charset val="1"/>
          </rPr>
          <t>ODYM framework field
PURPOSE: Technical field for framework integration
ACTION: Auto-generated. Do not modify.
NOTE: Used for dimensional indexing.</t>
        </r>
      </text>
    </comment>
    <comment ref="R1" authorId="0" shapeId="0" xr:uid="{C0225AA5-3741-42C3-8125-83CE9D6A7261}">
      <text>
        <r>
          <rPr>
            <sz val="9"/>
            <color indexed="81"/>
            <rFont val="Tahoma"/>
            <charset val="1"/>
          </rPr>
          <t>ODYM framework field
PURPOSE: Technical field for framework integration
ACTION: Auto-generated. Do not modify.
NOTE: Used for dimensional indexing.</t>
        </r>
      </text>
    </comment>
    <comment ref="S1" authorId="0" shapeId="0" xr:uid="{56D30F85-DFEB-438E-BA98-792DE6B89420}">
      <text>
        <r>
          <rPr>
            <sz val="9"/>
            <color indexed="81"/>
            <rFont val="Tahoma"/>
            <charset val="1"/>
          </rPr>
          <t>ODYM framework field
PURPOSE: Technical field for framework integration
ACTION: Auto-generated. Do not modify.
NOTE: Used for dimensional indexing.</t>
        </r>
      </text>
    </comment>
    <comment ref="T1" authorId="0" shapeId="0" xr:uid="{F464E700-1022-4C75-ADA0-BF21673F94A0}">
      <text>
        <r>
          <rPr>
            <sz val="9"/>
            <color indexed="81"/>
            <rFont val="Tahoma"/>
            <charset val="1"/>
          </rPr>
          <t>ODYM framework field
PURPOSE: Technical field for framework integration
ACTION: Auto-generated. Do not modify.
NOTE: Used for dimensional indexing.</t>
        </r>
      </text>
    </comment>
    <comment ref="U1" authorId="0" shapeId="0" xr:uid="{0B406752-0B6A-489A-8F2E-5E461E840624}">
      <text>
        <r>
          <rPr>
            <sz val="9"/>
            <color indexed="81"/>
            <rFont val="Tahoma"/>
            <charset val="1"/>
          </rPr>
          <t>ODYM framework field
PURPOSE: Technical field for framework integration
ACTION: Auto-generated. Do not modify.
NOTE: Used for dimensional indexing.</t>
        </r>
      </text>
    </comment>
    <comment ref="V1" authorId="0" shapeId="0" xr:uid="{6B9EC918-2226-4E55-9C87-9A378AB1FBDF}">
      <text>
        <r>
          <rPr>
            <sz val="9"/>
            <color indexed="81"/>
            <rFont val="Tahoma"/>
            <charset val="1"/>
          </rPr>
          <t>ODYM framework field
PURPOSE: Technical field for framework integration
ACTION: Auto-generated. Do not modify.
NOTE: Used for dimensional indexing.</t>
        </r>
      </text>
    </comment>
    <comment ref="W1" authorId="0" shapeId="0" xr:uid="{31D7EC5F-2BFC-4C96-BDB4-6F82AD5DB686}">
      <text>
        <r>
          <rPr>
            <sz val="9"/>
            <color indexed="81"/>
            <rFont val="Tahoma"/>
            <charset val="1"/>
          </rPr>
          <t>ODYM framework field
PURPOSE: Technical field for framework integration
ACTION: Auto-generated. Do not modify.
NOTE: Used for dimensional indexing.</t>
        </r>
      </text>
    </comment>
    <comment ref="X1" authorId="0" shapeId="0" xr:uid="{369C6D50-6CE5-4A84-AF94-23774C371A23}">
      <text>
        <r>
          <rPr>
            <sz val="9"/>
            <color indexed="81"/>
            <rFont val="Tahoma"/>
            <charset val="1"/>
          </rPr>
          <t>ODYM framework field
PURPOSE: Technical field for framework integration
ACTION: Auto-generated. Do not modify.
NOTE: Used for dimensional indexing.</t>
        </r>
      </text>
    </comment>
    <comment ref="Y1" authorId="0" shapeId="0" xr:uid="{0628291E-9C1E-4BF2-9AB9-71B7C0E625FD}">
      <text>
        <r>
          <rPr>
            <sz val="9"/>
            <color indexed="81"/>
            <rFont val="Tahoma"/>
            <charset val="1"/>
          </rPr>
          <t>ODYM framework field
PURPOSE: Technical field for framework integration
ACTION: Auto-generated. Do not modify.
NOTE: Used for dimensional indexing.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CFBA95D-064B-44EA-917F-365F6579A86F}">
      <text>
        <r>
          <rPr>
            <sz val="9"/>
            <color indexed="81"/>
            <rFont val="Tahoma"/>
            <charset val="1"/>
          </rPr>
          <t>Completion flag
PURPOSE: Mark row as verified and complete
ACTION: Check box after all data verified
Used for progress tracking.</t>
        </r>
      </text>
    </comment>
    <comment ref="B1" authorId="0" shapeId="0" xr:uid="{74ACA063-72D5-4B04-9AE5-87AD077BBDB2}">
      <text>
        <r>
          <rPr>
            <sz val="9"/>
            <color indexed="81"/>
            <rFont val="Tahoma"/>
            <charset val="1"/>
          </rPr>
          <t>Auto-generated row identifier
PURPOSE: Unique sequential number for data integrity
ACTION: System-generated. Do not modify.</t>
        </r>
      </text>
    </comment>
    <comment ref="I1" authorId="0" shapeId="0" xr:uid="{AC96E1B6-908B-4776-8D91-C898DEA1B7DE}">
      <text>
        <r>
          <rPr>
            <sz val="9"/>
            <color indexed="81"/>
            <rFont val="Tahoma"/>
            <charset val="1"/>
          </rPr>
          <t>Output flow name
PURPOSE: Identifies which output flow this TC applies to
ACTION: Select from Flow_Names where this process is the output process
EXAMPLE: F_05_Recycled_Material
NOTE: Each output flow needs its own TC row</t>
        </r>
      </text>
    </comment>
    <comment ref="K1" authorId="0" shapeId="0" xr:uid="{2F3BE662-6254-4038-AC99-8587844EAAAF}">
      <text>
        <r>
          <rPr>
            <sz val="9"/>
            <color indexed="81"/>
            <rFont val="Tahoma"/>
            <charset val="1"/>
          </rPr>
          <t>Transfer coefficient identifier (E1-E6)
PURPOSE: Unique name for this TC parameter
ACTION: Enter descriptive ID using convention TC_Description
EXAMPLE: TC_Recycling_Rate
REQUIRED: E1 always for Splitter/Transformer; E2-E6 only for Transformer</t>
        </r>
      </text>
    </comment>
    <comment ref="L1" authorId="0" shapeId="0" xr:uid="{A5207377-418A-41F7-B6F2-B025B81922A5}">
      <text>
        <r>
          <rPr>
            <sz val="9"/>
            <color indexed="81"/>
            <rFont val="Tahoma"/>
            <charset val="1"/>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M1" authorId="0" shapeId="0" xr:uid="{8226D575-44A3-4E93-BF98-E2C607F1556F}">
      <text>
        <r>
          <rPr>
            <sz val="9"/>
            <color indexed="81"/>
            <rFont val="Tahoma"/>
            <charset val="1"/>
          </rPr>
          <t>Transfer coefficient identifier (E1-E6)
PURPOSE: Unique name for this TC parameter
ACTION: Enter descriptive ID using convention TC_Description
EXAMPLE: TC_Recycling_Rate
REQUIRED: E1 always for Splitter/Transformer; E2-E6 only for Transformer</t>
        </r>
      </text>
    </comment>
    <comment ref="N1" authorId="0" shapeId="0" xr:uid="{8E43F3BE-8DB7-430F-A342-551E03B9312C}">
      <text>
        <r>
          <rPr>
            <sz val="9"/>
            <color indexed="81"/>
            <rFont val="Tahoma"/>
            <charset val="1"/>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O1" authorId="0" shapeId="0" xr:uid="{D5C1365D-9658-486D-BD1A-DB54A14E6B37}">
      <text>
        <r>
          <rPr>
            <sz val="9"/>
            <color indexed="81"/>
            <rFont val="Tahoma"/>
            <charset val="1"/>
          </rPr>
          <t>Transfer coefficient identifier (E1-E6)
PURPOSE: Unique name for this TC parameter
ACTION: Enter descriptive ID using convention TC_Description
EXAMPLE: TC_Recycling_Rate
REQUIRED: E1 always for Splitter/Transformer; E2-E6 only for Transformer</t>
        </r>
      </text>
    </comment>
    <comment ref="P1" authorId="0" shapeId="0" xr:uid="{266E7AD0-80EF-4EC7-A2D0-C159A6CEF466}">
      <text>
        <r>
          <rPr>
            <sz val="9"/>
            <color indexed="81"/>
            <rFont val="Tahoma"/>
            <charset val="1"/>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Q1" authorId="0" shapeId="0" xr:uid="{7A9C4EE1-B3CD-41A7-9C3E-DEAF31BC6F5F}">
      <text>
        <r>
          <rPr>
            <sz val="9"/>
            <color indexed="81"/>
            <rFont val="Tahoma"/>
            <charset val="1"/>
          </rPr>
          <t>Transfer coefficient identifier (E1-E6)
PURPOSE: Unique name for this TC parameter
ACTION: Enter descriptive ID using convention TC_Description
EXAMPLE: TC_Recycling_Rate
REQUIRED: E1 always for Splitter/Transformer; E2-E6 only for Transformer</t>
        </r>
      </text>
    </comment>
    <comment ref="R1" authorId="0" shapeId="0" xr:uid="{5FD30B9D-DBC9-425C-98AA-CF3CE0307CCB}">
      <text>
        <r>
          <rPr>
            <sz val="9"/>
            <color indexed="81"/>
            <rFont val="Tahoma"/>
            <charset val="1"/>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S1" authorId="0" shapeId="0" xr:uid="{A39EC146-96BD-4047-BD79-F09B1B5B8822}">
      <text>
        <r>
          <rPr>
            <sz val="9"/>
            <color indexed="81"/>
            <rFont val="Tahoma"/>
            <charset val="1"/>
          </rPr>
          <t>Transfer coefficient identifier (E1-E6)
PURPOSE: Unique name for this TC parameter
ACTION: Enter descriptive ID using convention TC_Description
EXAMPLE: TC_Recycling_Rate
REQUIRED: E1 always for Splitter/Transformer; E2-E6 only for Transformer</t>
        </r>
      </text>
    </comment>
    <comment ref="T1" authorId="0" shapeId="0" xr:uid="{EDB121FC-5C3B-4272-B170-6C176860E898}">
      <text>
        <r>
          <rPr>
            <sz val="9"/>
            <color indexed="81"/>
            <rFont val="Tahoma"/>
            <charset val="1"/>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U1" authorId="0" shapeId="0" xr:uid="{8739517B-B33B-471C-9CBA-EF514D2A9C81}">
      <text>
        <r>
          <rPr>
            <sz val="9"/>
            <color indexed="81"/>
            <rFont val="Tahoma"/>
            <charset val="1"/>
          </rPr>
          <t>Transfer coefficient identifier (E1-E6)
PURPOSE: Unique name for this TC parameter
ACTION: Enter descriptive ID using convention TC_Description
EXAMPLE: TC_Recycling_Rate
REQUIRED: E1 always for Splitter/Transformer; E2-E6 only for Transformer</t>
        </r>
      </text>
    </comment>
    <comment ref="V1" authorId="0" shapeId="0" xr:uid="{F4C7D24C-AB07-44AB-808F-F511C04F74BF}">
      <text>
        <r>
          <rPr>
            <sz val="9"/>
            <color indexed="81"/>
            <rFont val="Tahoma"/>
            <charset val="1"/>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W1" authorId="0" shapeId="0" xr:uid="{886CC7E0-A420-401E-A2A0-28A5B4E14943}">
      <text>
        <r>
          <rPr>
            <sz val="9"/>
            <color indexed="81"/>
            <rFont val="Tahoma"/>
            <charset val="1"/>
          </rPr>
          <t>Additional notes
PURPOSE: Free-text documentation
ACTION: Optional notes about assumptions or special conditions</t>
        </r>
      </text>
    </comment>
    <comment ref="X1" authorId="0" shapeId="0" xr:uid="{1EBA4147-7784-4A8D-927F-7EB7B6B6D6BB}">
      <text>
        <r>
          <rPr>
            <sz val="9"/>
            <color indexed="81"/>
            <rFont val="Tahoma"/>
            <charset val="1"/>
          </rPr>
          <t>Transfer coefficient reference
PURPOSE: Document source for TC value
ACTION: Enter Reference_ID from 6_1_Reference_Manager
EXAMPLE: R008</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34D25D6-7B5E-4E21-BE92-50C072933ABF}">
      <text>
        <r>
          <rPr>
            <sz val="9"/>
            <color indexed="81"/>
            <rFont val="Tahoma"/>
            <charset val="1"/>
          </rPr>
          <t>Completion flag
PURPOSE: Mark row as verified and complete
ACTION: Check box after all data verified
Used for progress tracking.</t>
        </r>
      </text>
    </comment>
    <comment ref="B1" authorId="0" shapeId="0" xr:uid="{A583D96D-BEF0-4380-921C-F35C1A786A19}">
      <text>
        <r>
          <rPr>
            <sz val="9"/>
            <color indexed="81"/>
            <rFont val="Tahoma"/>
            <charset val="1"/>
          </rPr>
          <t>Auto-generated row identifier
PURPOSE: Unique sequential number for data integrity
ACTION: System-generated. Do not modify.</t>
        </r>
      </text>
    </comment>
    <comment ref="I1" authorId="0" shapeId="0" xr:uid="{6D9777BB-70C3-43CC-A938-257691618353}">
      <text>
        <r>
          <rPr>
            <sz val="9"/>
            <color indexed="81"/>
            <rFont val="Tahoma"/>
            <charset val="1"/>
          </rPr>
          <t>Output flow name
PURPOSE: Identifies which output flow this TC applies to
ACTION: Select from Flow_Names
EXAMPLE: F_05_Recycled_Material</t>
        </r>
      </text>
    </comment>
    <comment ref="L1" authorId="0" shapeId="0" xr:uid="{F302004C-DA86-45F1-B524-5A3CDFFA0C3B}">
      <text>
        <r>
          <rPr>
            <sz val="9"/>
            <color indexed="81"/>
            <rFont val="Tahoma"/>
            <charset val="1"/>
          </rPr>
          <t>Transfer coefficient identifier (E1-E6)
PURPOSE: Unique name for this dynamic TC parameter
ACTION: Enter descriptive ID - must be consistent across all years
EXAMPLE: TC_Recycling_Rate_Dynamic
REQUIRED: E1 always; E2-E6 for Transformer</t>
        </r>
      </text>
    </comment>
    <comment ref="M1" authorId="0" shapeId="0" xr:uid="{FF6E0C6F-80FB-4E2C-B640-8F324FAE62F2}">
      <text>
        <r>
          <rPr>
            <sz val="9"/>
            <color indexed="81"/>
            <rFont val="Tahoma"/>
            <charset val="1"/>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N1" authorId="0" shapeId="0" xr:uid="{BA525BAD-75F6-495B-A2C0-8219B9E70C22}">
      <text>
        <r>
          <rPr>
            <sz val="9"/>
            <color indexed="81"/>
            <rFont val="Tahoma"/>
            <charset val="1"/>
          </rPr>
          <t>Transfer coefficient identifier (E1-E6)
PURPOSE: Unique name for this dynamic TC parameter
ACTION: Enter descriptive ID - must be consistent across all years
EXAMPLE: TC_Recycling_Rate_Dynamic
REQUIRED: E1 always; E2-E6 for Transformer</t>
        </r>
      </text>
    </comment>
    <comment ref="O1" authorId="0" shapeId="0" xr:uid="{36138607-06F5-4D7F-92C0-ACC959B80DAF}">
      <text>
        <r>
          <rPr>
            <sz val="9"/>
            <color indexed="81"/>
            <rFont val="Tahoma"/>
            <charset val="1"/>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P1" authorId="0" shapeId="0" xr:uid="{C20607B4-DF55-4BDC-92C9-947795B1EA0D}">
      <text>
        <r>
          <rPr>
            <sz val="9"/>
            <color indexed="81"/>
            <rFont val="Tahoma"/>
            <charset val="1"/>
          </rPr>
          <t>Transfer coefficient identifier (E1-E6)
PURPOSE: Unique name for this dynamic TC parameter
ACTION: Enter descriptive ID - must be consistent across all years
EXAMPLE: TC_Recycling_Rate_Dynamic
REQUIRED: E1 always; E2-E6 for Transformer</t>
        </r>
      </text>
    </comment>
    <comment ref="Q1" authorId="0" shapeId="0" xr:uid="{6F7BD8B8-C279-4846-89E1-E361A10400F7}">
      <text>
        <r>
          <rPr>
            <sz val="9"/>
            <color indexed="81"/>
            <rFont val="Tahoma"/>
            <charset val="1"/>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R1" authorId="0" shapeId="0" xr:uid="{FD8725AA-A212-4F4B-8474-EFDC1BDD035F}">
      <text>
        <r>
          <rPr>
            <sz val="9"/>
            <color indexed="81"/>
            <rFont val="Tahoma"/>
            <charset val="1"/>
          </rPr>
          <t>Transfer coefficient identifier (E1-E6)
PURPOSE: Unique name for this dynamic TC parameter
ACTION: Enter descriptive ID - must be consistent across all years
EXAMPLE: TC_Recycling_Rate_Dynamic
REQUIRED: E1 always; E2-E6 for Transformer</t>
        </r>
      </text>
    </comment>
    <comment ref="S1" authorId="0" shapeId="0" xr:uid="{4933091D-BC79-4B0E-A5E9-D5EA936A1B90}">
      <text>
        <r>
          <rPr>
            <sz val="9"/>
            <color indexed="81"/>
            <rFont val="Tahoma"/>
            <charset val="1"/>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T1" authorId="0" shapeId="0" xr:uid="{37CEF1BC-94C7-41F2-B1C0-FECE9B5D8ACF}">
      <text>
        <r>
          <rPr>
            <sz val="9"/>
            <color indexed="81"/>
            <rFont val="Tahoma"/>
            <charset val="1"/>
          </rPr>
          <t>Transfer coefficient identifier (E1-E6)
PURPOSE: Unique name for this dynamic TC parameter
ACTION: Enter descriptive ID - must be consistent across all years
EXAMPLE: TC_Recycling_Rate_Dynamic
REQUIRED: E1 always; E2-E6 for Transformer</t>
        </r>
      </text>
    </comment>
    <comment ref="U1" authorId="0" shapeId="0" xr:uid="{1C60C015-F084-499A-9891-2A924FBCDAD2}">
      <text>
        <r>
          <rPr>
            <sz val="9"/>
            <color indexed="81"/>
            <rFont val="Tahoma"/>
            <charset val="1"/>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V1" authorId="0" shapeId="0" xr:uid="{2919AB3A-6C04-44C6-AF89-E6163A26E862}">
      <text>
        <r>
          <rPr>
            <sz val="9"/>
            <color indexed="81"/>
            <rFont val="Tahoma"/>
            <charset val="1"/>
          </rPr>
          <t>Transfer coefficient identifier (E1-E6)
PURPOSE: Unique name for this dynamic TC parameter
ACTION: Enter descriptive ID - must be consistent across all years
EXAMPLE: TC_Recycling_Rate_Dynamic
REQUIRED: E1 always; E2-E6 for Transformer</t>
        </r>
      </text>
    </comment>
    <comment ref="W1" authorId="0" shapeId="0" xr:uid="{9C4D84A9-02D0-4392-A555-0365700C0DE0}">
      <text>
        <r>
          <rPr>
            <sz val="9"/>
            <color indexed="81"/>
            <rFont val="Tahoma"/>
            <charset val="1"/>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Y1" authorId="0" shapeId="0" xr:uid="{2AE19CEE-2E83-4460-90F5-73A931FDB74C}">
      <text>
        <r>
          <rPr>
            <sz val="9"/>
            <color indexed="81"/>
            <rFont val="Tahoma"/>
            <charset val="1"/>
          </rPr>
          <t>Dynamic TC reference
PURPOSE: Document source for time-varying TC data
ACTION: Enter Reference_ID from 6_1_Reference_Manager
EXAMPLE: R015</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898439B-A3B8-4B92-AD65-B8D1CD33C7F9}">
      <text>
        <r>
          <rPr>
            <sz val="9"/>
            <color indexed="81"/>
            <rFont val="Tahoma"/>
            <charset val="1"/>
          </rPr>
          <t>Completion flag
PURPOSE: Mark row as verified and complete
ACTION: Check box after all data verified
Used for progress tracking.</t>
        </r>
      </text>
    </comment>
    <comment ref="B1" authorId="0" shapeId="0" xr:uid="{43255BBA-3391-4ED5-BE3B-2755492D8628}">
      <text>
        <r>
          <rPr>
            <sz val="9"/>
            <color indexed="81"/>
            <rFont val="Tahoma"/>
            <charset val="1"/>
          </rPr>
          <t>Auto-generated row identifier
PURPOSE: Unique sequential number for data integrity
ACTION: System-generated. Do not modify.</t>
        </r>
      </text>
    </comment>
    <comment ref="N1" authorId="0" shapeId="0" xr:uid="{8ABE5D70-7A35-4AD8-9B74-8D7E1DAB1234}">
      <text>
        <r>
          <rPr>
            <sz val="9"/>
            <color indexed="81"/>
            <rFont val="Tahoma"/>
            <charset val="1"/>
          </rPr>
          <t>Initial stock reference
PURPOSE: Document source for initial stock estimate
ACTION: Enter Reference_ID from 6_1_Reference_Manager
EXAMPLE: R020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097E75F-8002-4668-A029-3A619F825843}">
      <text>
        <r>
          <rPr>
            <sz val="9"/>
            <color indexed="81"/>
            <rFont val="Tahoma"/>
            <charset val="1"/>
          </rPr>
          <t>Completion flag
PURPOSE: Mark row as verified and complete
ACTION: Check box after all data verified
Used for progress tracking.</t>
        </r>
      </text>
    </comment>
    <comment ref="B1" authorId="0" shapeId="0" xr:uid="{84EE0F05-4752-4A7A-B1D5-2FA4DF2DB0FB}">
      <text>
        <r>
          <rPr>
            <sz val="9"/>
            <color indexed="81"/>
            <rFont val="Tahoma"/>
            <charset val="1"/>
          </rPr>
          <t>Auto-generated row identifier
PURPOSE: Unique sequential number for data integrity
ACTION: System-generated. Do not modify.</t>
        </r>
      </text>
    </comment>
    <comment ref="K1" authorId="0" shapeId="0" xr:uid="{0005F48A-7CE6-4D5C-B420-DF05C98F99B6}">
      <text>
        <r>
          <rPr>
            <sz val="9"/>
            <color indexed="81"/>
            <rFont val="Tahoma"/>
            <charset val="1"/>
          </rPr>
          <t>DSM parameter name
PURPOSE: Identifies which DSM parameter this row defines
ACTION: Use standardized naming (see codelist for full list):
- DSM_Inflow_Split_Cat_#
- DSM_Lifetime_Type_Cat_#
- DSM_Lifetime_Mean_Cat_#
- DSM_Lifetime_StdDev_Cat_#
- DSM_Category_Name_Cat_#
- DSM_Output_#_Split_Cat_#
- DSM_Output_#_Flow_ID_Cat_#
EXAMPLE: DSM_Lifetime_Mean_Cat_1
NOTE: Categories numbered sequentially (Cat_1, Cat_2, ...)</t>
        </r>
      </text>
    </comment>
    <comment ref="L1" authorId="0" shapeId="0" xr:uid="{E77B0383-ACC9-4195-B70F-E68A9B185932}">
      <text>
        <r>
          <rPr>
            <sz val="9"/>
            <color indexed="81"/>
            <rFont val="Tahoma"/>
            <charset val="1"/>
          </rPr>
          <t>DSM parameter value
PURPOSE: Value for the specified DSM parameter
ACTION: Enter value based on parameter type (see codelist for details):
- Inflow_Split: Fraction 0-1
- Lifetime_Type: Normal, Fixed, or Weibull
- Lifetime_Mean: Years (e.g., 30)
- Lifetime_StdDev: Years (e.g., 5)
- Category_Name: Text
- Output_Split: Fraction 0-1
- Flow_ID: Flow identifier
EXAMPLE: 30 (for 30-year average lifetime)
NOTE: StdDev &gt;80% of Mean triggers warning</t>
        </r>
      </text>
    </comment>
    <comment ref="N1" authorId="0" shapeId="0" xr:uid="{2B002143-3558-4C15-9BD9-52FF9A3C6C97}">
      <text>
        <r>
          <rPr>
            <sz val="9"/>
            <color indexed="81"/>
            <rFont val="Tahoma"/>
            <charset val="1"/>
          </rPr>
          <t>DSM parameter reference
PURPOSE: Document source for DSM parameters
ACTION: Enter Reference_ID from 6_1_Reference_Manager
EXAMPLE: R025</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F346EC6-EDC9-4816-ABDB-716D43D3C0F7}">
      <text>
        <r>
          <rPr>
            <sz val="9"/>
            <color indexed="81"/>
            <rFont val="Tahoma"/>
            <charset val="1"/>
          </rPr>
          <t>Completion flag
PURPOSE: Mark row as verified and complete
ACTION: Check box after all data verified
Used for progress tracking.</t>
        </r>
      </text>
    </comment>
    <comment ref="B1" authorId="0" shapeId="0" xr:uid="{4F7EAB6F-4DC4-4B02-A7AA-2B2C361CA862}">
      <text>
        <r>
          <rPr>
            <sz val="9"/>
            <color indexed="81"/>
            <rFont val="Tahoma"/>
            <charset val="1"/>
          </rPr>
          <t>Auto-generated row identifier
PURPOSE: Unique sequential number for data integrity
ACTION: System-generated. Do not modify.</t>
        </r>
      </text>
    </comment>
    <comment ref="I1" authorId="0" shapeId="0" xr:uid="{6FD31DF2-5387-44BB-BA02-ABAFE0236587}">
      <text>
        <r>
          <rPr>
            <sz val="9"/>
            <color indexed="81"/>
            <rFont val="Tahoma"/>
            <charset val="1"/>
          </rPr>
          <t>FOMP parameter identifier
PURPOSE: Identifies which FOMP parameter this row defines
ACTION: Use naming convention P{ProcessID}_{ParameterName}_{Pool}
See codelist for standard parameters.
EXAMPLE: P04_Inflow_fraction_f_Labile
NOTE: Each FOMP typically has 2 pools (Labile and Recalcitrant)</t>
        </r>
      </text>
    </comment>
    <comment ref="K1" authorId="0" shapeId="0" xr:uid="{1D80F6CD-ED91-4556-8045-5F90D8EECE91}">
      <text>
        <r>
          <rPr>
            <sz val="9"/>
            <color indexed="81"/>
            <rFont val="Tahoma"/>
            <charset val="1"/>
          </rPr>
          <t>FOMP parameter value
PURPOSE: Value for the specified FOMP parameter
ACTION: Enter value based on parameter type (see codelist):
- Inflow_fraction: 0-1
- Half_life: Years
- Pool_name: Text
EXAMPLE: 0.7 (70% to labile pool)
NOTE: Half-life determines decay rate: k = ln(2)/t_half</t>
        </r>
      </text>
    </comment>
    <comment ref="M1" authorId="0" shapeId="0" xr:uid="{FE4D71B2-59E3-4E4C-8B6B-8908CFC786C1}">
      <text>
        <r>
          <rPr>
            <sz val="9"/>
            <color indexed="81"/>
            <rFont val="Tahoma"/>
            <charset val="1"/>
          </rPr>
          <t>FOMP parameter reference
PURPOSE: Document source for decay parameters
ACTION: Enter Reference_ID from 6_1_Reference_Manager
EXAMPLE: R030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8F3FAD47-0EFE-4214-B2E4-8301A17345B3}">
      <text>
        <r>
          <rPr>
            <sz val="9"/>
            <color indexed="81"/>
            <rFont val="Tahoma"/>
            <charset val="1"/>
          </rPr>
          <t>Auto-generated row identifier
PURPOSE: Unique sequential number for data integrity
ACTION: System-generated. Do not modify.</t>
        </r>
      </text>
    </comment>
    <comment ref="D1" authorId="0" shapeId="0" xr:uid="{2CBC331A-8109-4F62-B1E0-0CC93E420972}">
      <text>
        <r>
          <rPr>
            <sz val="9"/>
            <color indexed="81"/>
            <rFont val="Tahoma"/>
            <charset val="1"/>
          </rPr>
          <t>Parameter name for uncertainty analysis
PURPOSE: Identifies which parameter to vary in Monte Carlo
ACTION: Enter parameter name exactly as defined elsewhere:
TC_ID, Flow_ID, or DSM/FOMP parameter name
EXAMPLE: TC_Recycling_Rate</t>
        </r>
      </text>
    </comment>
    <comment ref="E1" authorId="0" shapeId="0" xr:uid="{C2398E62-399F-40D8-AC8C-F1C37D830B70}">
      <text>
        <r>
          <rPr>
            <sz val="9"/>
            <color indexed="81"/>
            <rFont val="Tahoma"/>
            <charset val="1"/>
          </rPr>
          <t>Probability distribution type
PURPOSE: Defines how parameter varies
ACTION: Select from dropdown (see codelist for descriptions):
Uniform, Normal, Triangular
EXAMPLE: Normal
NOTE: Determines which distribution parameters required</t>
        </r>
      </text>
    </comment>
    <comment ref="F1" authorId="0" shapeId="0" xr:uid="{BE152A23-69E1-4904-B87E-F822503395F5}">
      <text>
        <r>
          <rPr>
            <sz val="9"/>
            <color indexed="81"/>
            <rFont val="Tahoma"/>
            <charset val="1"/>
          </rPr>
          <t>Mean value
PURPOSE: Center of normal distribution
ACTION: Enter average/expected value
EXAMPLE: 0.75
REQUIRED: For Normal</t>
        </r>
      </text>
    </comment>
    <comment ref="G1" authorId="0" shapeId="0" xr:uid="{206A7CB6-FEF1-42D3-9EDF-59507EF69FD2}">
      <text>
        <r>
          <rPr>
            <sz val="9"/>
            <color indexed="81"/>
            <rFont val="Tahoma"/>
            <charset val="1"/>
          </rPr>
          <t>Standard deviation
PURPOSE: Spread of normal distribution
ACTION: Enter standard deviation
EXAMPLE: 0.05
REQUIRED: For Normal
NOTE: ~68% within ±1 StdDev, ~95% within ±2 StdDev</t>
        </r>
      </text>
    </comment>
    <comment ref="H1" authorId="0" shapeId="0" xr:uid="{5D4527DC-A33E-4C49-A232-7A3461FA3282}">
      <text>
        <r>
          <rPr>
            <sz val="9"/>
            <color indexed="81"/>
            <rFont val="Tahoma"/>
            <charset val="1"/>
          </rPr>
          <t>Minimum value
PURPOSE: Lower bound for parameter
ACTION: Enter minimum plausible value
EXAMPLE: 0.5
REQUIRED: For Uniform and Triangular</t>
        </r>
      </text>
    </comment>
    <comment ref="I1" authorId="0" shapeId="0" xr:uid="{0675BA61-6859-4CC1-9F0D-6AF510AD6E6F}">
      <text>
        <r>
          <rPr>
            <sz val="9"/>
            <color indexed="81"/>
            <rFont val="Tahoma"/>
            <charset val="1"/>
          </rPr>
          <t>Maximum value
PURPOSE: Upper bound for parameter
ACTION: Enter maximum plausible value
EXAMPLE: 0.9
REQUIRED: For Uniform and Triangular</t>
        </r>
      </text>
    </comment>
    <comment ref="J1" authorId="0" shapeId="0" xr:uid="{8635DAAC-71B4-4FE1-B91E-8D212BD2DC46}">
      <text>
        <r>
          <rPr>
            <sz val="9"/>
            <color indexed="81"/>
            <rFont val="Tahoma"/>
            <charset val="1"/>
          </rPr>
          <t>Most likely value
PURPOSE: Peak of triangular distribution
ACTION: Enter most probable value (between Min and Max)
EXAMPLE: 0.75
REQUIRED: For Triangular only</t>
        </r>
      </text>
    </comment>
    <comment ref="L1" authorId="0" shapeId="0" xr:uid="{EFA3D164-11F3-4E0B-9919-918422CBB666}">
      <text>
        <r>
          <rPr>
            <sz val="9"/>
            <color indexed="81"/>
            <rFont val="Tahoma"/>
            <charset val="1"/>
          </rPr>
          <t>Uncertainty parameter reference
PURPOSE: Document source for uncertainty range
ACTION: Enter Reference_ID from 6_1_Reference_Manager
EXAMPLE: R035</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8D98C618-8271-49F2-9A56-3531A50D34E8}">
      <text>
        <r>
          <rPr>
            <sz val="9"/>
            <color indexed="81"/>
            <rFont val="Tahoma"/>
            <charset val="1"/>
          </rPr>
          <t>Auto-generated row identifier
PURPOSE: Unique sequential number for data integrity
ACTION: System-generated. Do not modify.</t>
        </r>
      </text>
    </comment>
    <comment ref="B1" authorId="0" shapeId="0" xr:uid="{2A5887C5-6C33-4551-BA2C-F6A8FB12EA23}">
      <text>
        <r>
          <rPr>
            <sz val="9"/>
            <color indexed="81"/>
            <rFont val="Tahoma"/>
            <charset val="1"/>
          </rPr>
          <t>Scenario identifier
PURPOSE: Unique name for this scenario
ACTION: Enter descriptive name
Multiple rows with same name define one scenario.
EXAMPLE: Increased_Recycling_Policy</t>
        </r>
      </text>
    </comment>
    <comment ref="E1" authorId="0" shapeId="0" xr:uid="{990A4F85-BC8D-418D-B203-AE88C7BE1705}">
      <text>
        <r>
          <rPr>
            <sz val="9"/>
            <color indexed="81"/>
            <rFont val="Tahoma"/>
            <charset val="1"/>
          </rPr>
          <t>Parameter to modify
PURPOSE: Identifies specific parameter
ACTION: Enter exact parameter name from other sheets
EXAMPLE: TC_Recycling_Rate</t>
        </r>
      </text>
    </comment>
    <comment ref="J1" authorId="0" shapeId="0" xr:uid="{E12A2856-190E-4DE5-A6B0-784CAB702A8C}">
      <text>
        <r>
          <rPr>
            <sz val="9"/>
            <color indexed="81"/>
            <rFont val="Tahoma"/>
            <charset val="1"/>
          </rPr>
          <t>Scenario description
PURPOSE: Explain scenario rationale
ACTION: Optional explanation of assumptions or policy drivers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B731E50-09F6-4776-ABC4-0300D9C6ADDD}">
      <text>
        <r>
          <rPr>
            <sz val="9"/>
            <color indexed="81"/>
            <rFont val="Tahoma"/>
            <charset val="1"/>
          </rPr>
          <t>Completion flag
PURPOSE: Mark row as verified and complete
ACTION: Check box after all data verified
Used for progress tracking.</t>
        </r>
      </text>
    </comment>
    <comment ref="B1" authorId="0" shapeId="0" xr:uid="{28469170-94FF-4A84-B8B7-2C53DA0172E4}">
      <text>
        <r>
          <rPr>
            <sz val="9"/>
            <color indexed="81"/>
            <rFont val="Tahoma"/>
            <charset val="1"/>
          </rPr>
          <t>Auto-generated row identifier
PURPOSE: Unique sequential number for data integrity
ACTION: System-generated. Do not modify.</t>
        </r>
      </text>
    </comment>
    <comment ref="C1" authorId="0" shapeId="0" xr:uid="{51D665BC-1588-46EB-8E3A-270F11F0F7C5}">
      <text>
        <r>
          <rPr>
            <sz val="9"/>
            <color indexed="81"/>
            <rFont val="Tahoma"/>
            <charset val="1"/>
          </rPr>
          <t>Unique reference identifier
PURPOSE: ID for citing this source throughout template
ACTION: Enter unique code:
R### for external sources (R001, R002...)
ASM### for assumptions (ASM001, ASM002...)
EXAMPLE: R003
NOTE: Used in all _Ref columns to link data to sources</t>
        </r>
      </text>
    </comment>
    <comment ref="D1" authorId="0" shapeId="0" xr:uid="{40B052C3-58FB-4413-9997-5BF673C79EC6}">
      <text>
        <r>
          <rPr>
            <sz val="9"/>
            <color indexed="81"/>
            <rFont val="Tahoma"/>
            <charset val="1"/>
          </rPr>
          <t>Literature type
PURPOSE: Categorizes source type
ACTION: Select from codelist (see 7_2_Codelists for full descriptions):
JA, RP, DS, BK, TH, ST, WB, PC, AS, GL
EXAMPLE: JA (Journal Article)</t>
        </r>
      </text>
    </comment>
    <comment ref="E1" authorId="0" shapeId="0" xr:uid="{16728BC4-04D8-4AAF-9521-C3363897C632}">
      <text>
        <r>
          <rPr>
            <sz val="9"/>
            <color indexed="81"/>
            <rFont val="Tahoma"/>
            <charset val="1"/>
          </rPr>
          <t>Author names
PURPOSE: Primary author(s) or institution
ACTION: Enter last name(s) or institution
Multiple authors: Use semicolon separator
EXAMPLE: Smith, J.; Mueller, A.</t>
        </r>
      </text>
    </comment>
    <comment ref="F1" authorId="0" shapeId="0" xr:uid="{C7F9F816-D06F-4199-B774-B46117AB9981}">
      <text>
        <r>
          <rPr>
            <sz val="9"/>
            <color indexed="81"/>
            <rFont val="Tahoma"/>
            <charset val="1"/>
          </rPr>
          <t>Publication year
PURPOSE: Year source was published
ACTION: Enter 4-digit year
EXAMPLE: 2022</t>
        </r>
      </text>
    </comment>
    <comment ref="G1" authorId="0" shapeId="0" xr:uid="{975D5102-50F2-4D31-9808-FD7B460CFC79}">
      <text>
        <r>
          <rPr>
            <sz val="9"/>
            <color indexed="81"/>
            <rFont val="Tahoma"/>
            <charset val="1"/>
          </rPr>
          <t>Source title
PURPOSE: Full title or brief description
ACTION: Enter complete title or descriptive summary
EXAMPLE: Material Flow Analysis of Timber Products</t>
        </r>
      </text>
    </comment>
    <comment ref="H1" authorId="0" shapeId="0" xr:uid="{B268B77E-6D06-463D-8AF7-003570BEAF70}">
      <text>
        <r>
          <rPr>
            <sz val="9"/>
            <color indexed="81"/>
            <rFont val="Tahoma"/>
            <charset val="1"/>
          </rPr>
          <t>Digital identifier or web address
PURPOSE: Direct link to source
ACTION: Enter DOI (preferred) or URL
EXAMPLE: 10.1016/j.resconrec.2022.01234
NOTE: DOIs more permanent than URLs</t>
        </r>
      </text>
    </comment>
    <comment ref="I1" authorId="0" shapeId="0" xr:uid="{22CA7C18-BF7F-4F91-A472-2FDFE22907DF}">
      <text>
        <r>
          <rPr>
            <sz val="9"/>
            <color indexed="81"/>
            <rFont val="Tahoma"/>
            <charset val="1"/>
          </rPr>
          <t>Usage notes
PURPOSE: Explain how source was used
ACTION: Note specific tables, figures, or data used
EXAMPLE: Table 3 for transfer coefficients; Figure 2 for validation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sharedStrings.xml><?xml version="1.0" encoding="utf-8"?>
<sst xmlns="http://schemas.openxmlformats.org/spreadsheetml/2006/main" count="3194" uniqueCount="674">
  <si>
    <t>Year</t>
  </si>
  <si>
    <t>Description</t>
  </si>
  <si>
    <t>Yes</t>
  </si>
  <si>
    <t>No</t>
  </si>
  <si>
    <t>ID</t>
  </si>
  <si>
    <t>N.A.</t>
  </si>
  <si>
    <t>Flow_ID</t>
  </si>
  <si>
    <t>Comment</t>
  </si>
  <si>
    <t>CF_required?</t>
  </si>
  <si>
    <t>CF</t>
  </si>
  <si>
    <t>Name_CF</t>
  </si>
  <si>
    <t>UoM_Source</t>
  </si>
  <si>
    <t>Process_ID</t>
  </si>
  <si>
    <t>Complete?</t>
  </si>
  <si>
    <t>Stock_ID</t>
  </si>
  <si>
    <t>01</t>
  </si>
  <si>
    <t>02</t>
  </si>
  <si>
    <t>03</t>
  </si>
  <si>
    <t>04</t>
  </si>
  <si>
    <t>05</t>
  </si>
  <si>
    <t>06</t>
  </si>
  <si>
    <t>07</t>
  </si>
  <si>
    <t>08</t>
  </si>
  <si>
    <t>09</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</si>
  <si>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</si>
  <si>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</si>
  <si>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</si>
  <si>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</si>
  <si>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</si>
  <si>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</si>
  <si>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</si>
  <si>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</si>
  <si>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</si>
  <si>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</si>
  <si>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</si>
  <si>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</si>
  <si>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</si>
  <si>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</si>
  <si>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</si>
  <si>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</si>
  <si>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</si>
  <si>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</si>
  <si>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</si>
  <si>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</si>
  <si>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</si>
  <si>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</si>
  <si>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</si>
  <si>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</si>
  <si>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</si>
  <si>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</si>
  <si>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</si>
  <si>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</si>
  <si>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</si>
  <si>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</si>
  <si>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</si>
  <si>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</si>
  <si>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</si>
  <si>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</si>
  <si>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</si>
  <si>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</si>
  <si>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Assumption</t>
  </si>
  <si>
    <t>Output</t>
  </si>
  <si>
    <t>Input</t>
  </si>
  <si>
    <t>Column1</t>
  </si>
  <si>
    <t>Lukas Hoppe</t>
  </si>
  <si>
    <t>Mg</t>
  </si>
  <si>
    <t>Output_Flow</t>
  </si>
  <si>
    <t>Value</t>
  </si>
  <si>
    <t>Category ID</t>
  </si>
  <si>
    <t>Normal</t>
  </si>
  <si>
    <t>Parameter_Name</t>
  </si>
  <si>
    <t>Mean</t>
  </si>
  <si>
    <t>StdDev</t>
  </si>
  <si>
    <t>Min</t>
  </si>
  <si>
    <t>Max</t>
  </si>
  <si>
    <t>Mode</t>
  </si>
  <si>
    <t>data/02_output/results.xlsx</t>
  </si>
  <si>
    <t>Parameter_Selection</t>
  </si>
  <si>
    <t>New_Value</t>
  </si>
  <si>
    <t>List_FOMP_Parameters</t>
  </si>
  <si>
    <t>List_Initial_Stock_Parameters</t>
  </si>
  <si>
    <t>List_DSM_Parameters</t>
  </si>
  <si>
    <t>List_Flow_Parameters</t>
  </si>
  <si>
    <t>Pool_Name</t>
  </si>
  <si>
    <t>decay rate constant</t>
  </si>
  <si>
    <t>output_carbon_id</t>
  </si>
  <si>
    <t>output_elemental_id</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</si>
  <si>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</si>
  <si>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</si>
  <si>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</si>
  <si>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</si>
  <si>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</si>
  <si>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</si>
  <si>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</si>
  <si>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</si>
  <si>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</si>
  <si>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multiply</t>
  </si>
  <si>
    <t>This takes the entire series and adds the New_Value to every yearly value.</t>
  </si>
  <si>
    <t>Scenario_Name</t>
  </si>
  <si>
    <t>Run_Scenario_Analysis</t>
  </si>
  <si>
    <t>Category</t>
  </si>
  <si>
    <t>Status</t>
  </si>
  <si>
    <t>Start_Year</t>
  </si>
  <si>
    <t>Core</t>
  </si>
  <si>
    <t>End_Year</t>
  </si>
  <si>
    <t>Input_File</t>
  </si>
  <si>
    <t>data/01_input/250902_CS1_Wheat_Straw.xlsx</t>
  </si>
  <si>
    <t>Path to Excel input file</t>
  </si>
  <si>
    <t>Output_File</t>
  </si>
  <si>
    <t>Path for results output</t>
  </si>
  <si>
    <t>CALCULATION SETTINGS</t>
  </si>
  <si>
    <t>Run_DSM_Calculation</t>
  </si>
  <si>
    <t>Enable Dynamic Stock Model calculation</t>
  </si>
  <si>
    <t>Calculation</t>
  </si>
  <si>
    <t>Run_FOMP_Calculation</t>
  </si>
  <si>
    <t>Enable First-Order Material Process calculation</t>
  </si>
  <si>
    <t>Enable Monte Carlo uncertainty analysis</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</si>
  <si>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</si>
  <si>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</si>
  <si>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</si>
  <si>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</si>
  <si>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</si>
  <si>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</si>
  <si>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</si>
  <si>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</si>
  <si>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</si>
  <si>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</si>
  <si>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</si>
  <si>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Process_Logic</t>
  </si>
  <si>
    <t>Splitter</t>
  </si>
  <si>
    <t>Transformer</t>
  </si>
  <si>
    <t xml:space="preserve"> Selected Scenario Name 1</t>
  </si>
  <si>
    <t xml:space="preserve"> Selected Scenario Name 3</t>
  </si>
  <si>
    <t xml:space="preserve"> Selected Scenario Name 2</t>
  </si>
  <si>
    <t>Flow_Data_Year</t>
  </si>
  <si>
    <t>Flow</t>
  </si>
  <si>
    <t>Flow_Name</t>
  </si>
  <si>
    <t>Input_Process_ID</t>
  </si>
  <si>
    <t>Flow_Output_Process</t>
  </si>
  <si>
    <t>Flow_Output_Process_ID</t>
  </si>
  <si>
    <t>Flow_Input_Process</t>
  </si>
  <si>
    <t>Process_Name</t>
  </si>
  <si>
    <t>start_year</t>
  </si>
  <si>
    <t>end_year</t>
  </si>
  <si>
    <t xml:space="preserve"> Selected Scenario Name 4</t>
  </si>
  <si>
    <t>Dynamic</t>
  </si>
  <si>
    <t>Static</t>
  </si>
  <si>
    <t>No TC</t>
  </si>
  <si>
    <t>DSM_Category_Name</t>
  </si>
  <si>
    <t>DSM_Inflow_Split_[%]</t>
  </si>
  <si>
    <t>DSM_Lifetime_Type</t>
  </si>
  <si>
    <t>DSM_Lifetime_Mean</t>
  </si>
  <si>
    <t>DSM_Lifetime_StdDev</t>
  </si>
  <si>
    <t>DSM_Parameter_type</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</si>
  <si>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</si>
  <si>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</si>
  <si>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</si>
  <si>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</si>
  <si>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</si>
  <si>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</si>
  <si>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</si>
  <si>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</si>
  <si>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</si>
  <si>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</si>
  <si>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Pass-through</t>
  </si>
  <si>
    <t>DSM</t>
  </si>
  <si>
    <t>TC_Configuration</t>
  </si>
  <si>
    <t>Stock_Configuration</t>
  </si>
  <si>
    <t>CL_Stock_Configuration</t>
  </si>
  <si>
    <t>No_Stock</t>
  </si>
  <si>
    <t>Stock</t>
  </si>
  <si>
    <t>Setting_Name</t>
  </si>
  <si>
    <t>1_1_Definition_Flows</t>
  </si>
  <si>
    <t>1_2_Data_Flows</t>
  </si>
  <si>
    <t>2_1_Definition_Processes</t>
  </si>
  <si>
    <t>3_1_Definition_DSM</t>
  </si>
  <si>
    <t>3_2_Definition_FOMP</t>
  </si>
  <si>
    <t>5_1_Scenario_Manager</t>
  </si>
  <si>
    <t>4_1_Uncertainty_Parameters</t>
  </si>
  <si>
    <t>Outflow_count</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</si>
  <si>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</si>
  <si>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</si>
  <si>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</si>
  <si>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</si>
  <si>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</si>
  <si>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</si>
  <si>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</si>
  <si>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</si>
  <si>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</si>
  <si>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</si>
  <si>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</si>
  <si>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</si>
  <si>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</si>
  <si>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</si>
  <si>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</si>
  <si>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CL_ Scenario_Manager</t>
  </si>
  <si>
    <t>FOMP_Parameter_Value</t>
  </si>
  <si>
    <t>FOMP_Parameter_type</t>
  </si>
  <si>
    <t>DSM_Parameter_ID</t>
  </si>
  <si>
    <t>FOMP_Parameter_ID</t>
  </si>
  <si>
    <t/>
  </si>
  <si>
    <t>Sheet Name</t>
  </si>
  <si>
    <t>Purpose</t>
  </si>
  <si>
    <t>What to Check</t>
  </si>
  <si>
    <t>Problem</t>
  </si>
  <si>
    <t>Quick Fix</t>
  </si>
  <si>
    <t>Tip</t>
  </si>
  <si>
    <t>Why It Helps</t>
  </si>
  <si>
    <t>Example</t>
  </si>
  <si>
    <t>1. VISUAL WORKFLOW GUIDE</t>
  </si>
  <si>
    <t>Step</t>
  </si>
  <si>
    <t>Instructions</t>
  </si>
  <si>
    <t>=HYPERLINK("#'2_1_Definition_Processes'!A1","2_1_Definition_Processes")</t>
  </si>
  <si>
    <t>=HYPERLINK("#'1_1_Definition_Flows'!A1","1_1_Definition_Flows")</t>
  </si>
  <si>
    <t>=HYPERLINK("#'1_2_Data_Flows'!A1","1_2_Data_Flows")</t>
  </si>
  <si>
    <t>=HYPERLINK("#'2_2_static_TCs'!A1","2_2_static_TCs / 2_3_dynamic_TCs")</t>
  </si>
  <si>
    <t>3. SHEET OVERVIEW</t>
  </si>
  <si>
    <t>Click to Visit</t>
  </si>
  <si>
    <t>4. CORE CONCEPTS EXPLAINED</t>
  </si>
  <si>
    <t>Concept</t>
  </si>
  <si>
    <t>Explanation</t>
  </si>
  <si>
    <t>Process</t>
  </si>
  <si>
    <t>'P01_Forest', 'P02_Sawmill', 'P03_Landfill'</t>
  </si>
  <si>
    <t>'F_01_02' could be the flow of 'Raw Timber' from the 'Forest' to the 'Sawmill'.</t>
  </si>
  <si>
    <t>Transfer Coefficient (TC)</t>
  </si>
  <si>
    <t>If a sawmill produces 80% lumber and 20% sawdust from timber, the TCs for the output flows would be 0.8 and 0.2.</t>
  </si>
  <si>
    <t>Static vs. Dynamic TCs</t>
  </si>
  <si>
    <t>Use 'Static' for sorting plastic bottles. Use 'Dynamic' for composting, where water evaporates and carbon is emitted.</t>
  </si>
  <si>
    <t>Use DSM to model buildings that are demolished after a certain lifetime. Use FOMP to model soil carbon decomposition.</t>
  </si>
  <si>
    <t>5. TROUBLESHOOTING &amp; FAQ</t>
  </si>
  <si>
    <t>MFA calculation fails or gives strange results</t>
  </si>
  <si>
    <t>Ensure that for each process, the sum of outgoing TCs equals 1 (or 100%). Also check that no process has ONLY inputs or ONLY outputs.</t>
  </si>
  <si>
    <t>A process or flow is missing from the results</t>
  </si>
  <si>
    <t>Make sure the 'Process_Logic' is set correctly in '2_1_Definition_Processes'. Ensure all Flow_IDs are correct and consistent across all sheets.</t>
  </si>
  <si>
    <t>I get a '#VALUE!' or other Excel error</t>
  </si>
  <si>
    <t>Make sure numbers are formatted as numbers, not text. Ensure percentages are entered as decimals (e.g., 50% is 0.5).</t>
  </si>
  <si>
    <t>6. BEST PRACTICES</t>
  </si>
  <si>
    <t>Start Small</t>
  </si>
  <si>
    <t>Use Descriptive Names</t>
  </si>
  <si>
    <t>Check Your Units</t>
  </si>
  <si>
    <t>Sheets: 2_1_Definition_Processes, 1_1_Definition_Flows</t>
  </si>
  <si>
    <t>Scenario_Parameter</t>
  </si>
  <si>
    <t>MC_Parameter</t>
  </si>
  <si>
    <t>Normal distribution</t>
  </si>
  <si>
    <t>uniform</t>
  </si>
  <si>
    <t>Uniform distribution</t>
  </si>
  <si>
    <t>triangular</t>
  </si>
  <si>
    <t>Triangular distribution</t>
  </si>
  <si>
    <t>CL_Distribution_Type</t>
  </si>
  <si>
    <t>Distribution_Type</t>
  </si>
  <si>
    <t xml:space="preserve">Version </t>
  </si>
  <si>
    <t>Last Updated:</t>
  </si>
  <si>
    <t>Johannes Scholz</t>
  </si>
  <si>
    <t>Contact:</t>
  </si>
  <si>
    <t>j.scholz@tu-berlin.de</t>
  </si>
  <si>
    <t>2. QUICK START GUIDE (Follow these 5 steps to get your first model running. Click the blue links to jump to the correct sheet.)</t>
  </si>
  <si>
    <t>Stage</t>
  </si>
  <si>
    <t>Instruction</t>
  </si>
  <si>
    <t>Sheets</t>
  </si>
  <si>
    <t>Sheets: 0_Configuration</t>
  </si>
  <si>
    <t>Color Code</t>
  </si>
  <si>
    <t>Discription</t>
  </si>
  <si>
    <t>Data Input</t>
  </si>
  <si>
    <t>Drop_Down</t>
  </si>
  <si>
    <t>Auto_Calculation</t>
  </si>
  <si>
    <t>Comments</t>
  </si>
  <si>
    <t>Green fields require a manual data input</t>
  </si>
  <si>
    <t>Blue fields require the use of an drop down menue</t>
  </si>
  <si>
    <t>Red fields are reserved for Autocalculations</t>
  </si>
  <si>
    <t>Yellow fields are optional and intended for comments</t>
  </si>
  <si>
    <t>Definition of Processes, Flows</t>
  </si>
  <si>
    <t>Selection of Process Options</t>
  </si>
  <si>
    <t>Process and Flow Ids</t>
  </si>
  <si>
    <t>Sources, Descriptions, etc</t>
  </si>
  <si>
    <t>List_Process_Parameters</t>
  </si>
  <si>
    <t>List_dynamic_TC_Parameters</t>
  </si>
  <si>
    <t>List_static_TC_Parameters</t>
  </si>
  <si>
    <t>List_Flow_Data</t>
  </si>
  <si>
    <t>MC/Uncertainty_Parameters</t>
  </si>
  <si>
    <t>Flow_Quantity</t>
  </si>
  <si>
    <t>Authors:</t>
  </si>
  <si>
    <t>Unit_of_Measurement</t>
  </si>
  <si>
    <t>mg</t>
  </si>
  <si>
    <t>g</t>
  </si>
  <si>
    <t>Kg</t>
  </si>
  <si>
    <t>Gg</t>
  </si>
  <si>
    <t>IS_Parameter_type</t>
  </si>
  <si>
    <t>IS_Parameter_ID</t>
  </si>
  <si>
    <t>CL_Initial_Stock</t>
  </si>
  <si>
    <t>IS_Parameter_Value</t>
  </si>
  <si>
    <t>Scenario 1</t>
  </si>
  <si>
    <t>Scenario 4</t>
  </si>
  <si>
    <t>Scenario 3</t>
  </si>
  <si>
    <t>Time</t>
  </si>
  <si>
    <t>Time steps:</t>
  </si>
  <si>
    <t>Time in steps of 1 year</t>
  </si>
  <si>
    <t>Enable elements?</t>
  </si>
  <si>
    <t>Enable ODYM Dimension_Materials</t>
  </si>
  <si>
    <t>Enable ODYM Dimension_Region</t>
  </si>
  <si>
    <t>Enable ODYM Dimension_Process</t>
  </si>
  <si>
    <t>Enable ODYM Dimension_Goods</t>
  </si>
  <si>
    <t>Region ID 1</t>
  </si>
  <si>
    <t>Region ID 2</t>
  </si>
  <si>
    <t>ODYM Dimension: Time (t)</t>
  </si>
  <si>
    <t>ODYM Dimension: Good (g)</t>
  </si>
  <si>
    <t>ODYM Dimension: Material (m)</t>
  </si>
  <si>
    <t>ODYM Dimension: Process (p)</t>
  </si>
  <si>
    <t>ODYM Dimension: Region (r )</t>
  </si>
  <si>
    <t xml:space="preserve">ODYM Dimension: Elements (e ) </t>
  </si>
  <si>
    <t>ODYM Dimension "Good (g) is always automaticly activated. The goods of the system are defined within sheet 1_1_Definition_Flows</t>
  </si>
  <si>
    <t>ODYM Dimension "Process (p) is always automaticly activated. The Processes of the system are defined within the sheet 2_1_Definition_Processes</t>
  </si>
  <si>
    <t>ODYM Dimension "Material (m) is always automaticly activated. The Materials of the system are limited to the typical composition of biomass, which consists out of Watercontent (WC) and Dry Mass (DM).</t>
  </si>
  <si>
    <t>Watercontent (WC)</t>
  </si>
  <si>
    <t>Dry Mass (DM)</t>
  </si>
  <si>
    <t xml:space="preserve">ODYM Dimension "Element (e) is . The elements of the system are currently limited to carbon (C) and remaining DM. The list of elements can be extended for typical elements. </t>
  </si>
  <si>
    <t>Elemental Carbon</t>
  </si>
  <si>
    <t>Material ID 1</t>
  </si>
  <si>
    <t>Material ID 2</t>
  </si>
  <si>
    <t>ODYM Dimension time (t) is always automaticly activated. The time settings of the system are defined within the model configuration</t>
  </si>
  <si>
    <t>Default time step of 1 year</t>
  </si>
  <si>
    <t>Start year of the calculation</t>
  </si>
  <si>
    <t>End year of the calculation</t>
  </si>
  <si>
    <t>Case_Study_Region</t>
  </si>
  <si>
    <t xml:space="preserve">Defined region of the Case_Study. Always activated. </t>
  </si>
  <si>
    <t>ODYM Dimension Region (r ) is always activated. Additional Regions can be used to located processes. Regions are definend in _</t>
  </si>
  <si>
    <t>Material ID 3</t>
  </si>
  <si>
    <t>Material ID 4</t>
  </si>
  <si>
    <t>Good Type 1</t>
  </si>
  <si>
    <t>Good Type 2</t>
  </si>
  <si>
    <t>Good Type 3</t>
  </si>
  <si>
    <t>Good Type 4</t>
  </si>
  <si>
    <t>Good Type 5</t>
  </si>
  <si>
    <t>Good Type 6</t>
  </si>
  <si>
    <t>Process Type 1</t>
  </si>
  <si>
    <t>Process Type 2</t>
  </si>
  <si>
    <t>Process Type 3</t>
  </si>
  <si>
    <t>Process Type 4</t>
  </si>
  <si>
    <t>Process Type 5</t>
  </si>
  <si>
    <t>Process Type 6</t>
  </si>
  <si>
    <t>Biomass Production</t>
  </si>
  <si>
    <t>Biomass Processing</t>
  </si>
  <si>
    <t>Use-Phase</t>
  </si>
  <si>
    <t>EoL-Phase</t>
  </si>
  <si>
    <t>Raw Material</t>
  </si>
  <si>
    <t>Processed Product</t>
  </si>
  <si>
    <t>Product</t>
  </si>
  <si>
    <t>Waste</t>
  </si>
  <si>
    <t>Region ID 3</t>
  </si>
  <si>
    <t>ODYM_ID</t>
  </si>
  <si>
    <t>ODYM_Time_ID</t>
  </si>
  <si>
    <t>ODYM_Region_ID</t>
  </si>
  <si>
    <t>ODYM_Good_ID</t>
  </si>
  <si>
    <t>ODYM_Material_ID</t>
  </si>
  <si>
    <t>ODYM_Element_ID</t>
  </si>
  <si>
    <t>ODYM_Process_ID</t>
  </si>
  <si>
    <t>All</t>
  </si>
  <si>
    <t>ODYM_Indices</t>
  </si>
  <si>
    <t>ODYM_Good_(g)2</t>
  </si>
  <si>
    <t>ODYM_time_(t)</t>
  </si>
  <si>
    <t>ODYM_Region_(r)</t>
  </si>
  <si>
    <t>ODYM_process_(p)</t>
  </si>
  <si>
    <t>ODYM_material_(m)</t>
  </si>
  <si>
    <t>ODYM_element_(e)</t>
  </si>
  <si>
    <t>ODYM_Good_Type</t>
  </si>
  <si>
    <t>ODYM_Region_Type</t>
  </si>
  <si>
    <t>ODYM_Process_Type</t>
  </si>
  <si>
    <t>ODYM_Indices_Id</t>
  </si>
  <si>
    <t>material</t>
  </si>
  <si>
    <t>fresh material</t>
  </si>
  <si>
    <t xml:space="preserve"> </t>
  </si>
  <si>
    <t>Element_ID_1</t>
  </si>
  <si>
    <t>Element_ID_3</t>
  </si>
  <si>
    <t>Element_ID_2</t>
  </si>
  <si>
    <t>Parent_Element_ID_2</t>
  </si>
  <si>
    <t>Parent_Element_ID_3</t>
  </si>
  <si>
    <t>Parent_Element_ID_4</t>
  </si>
  <si>
    <t>Parent_Element_ID_5</t>
  </si>
  <si>
    <t>Element_ID_5</t>
  </si>
  <si>
    <t>Element_ID_4</t>
  </si>
  <si>
    <t>Flow_E4_Fraction[%]</t>
  </si>
  <si>
    <t>Flow_E5_Fraction[%]</t>
  </si>
  <si>
    <t>Flow_E1_Fraction[%]</t>
  </si>
  <si>
    <t>Flow_E2_Fraction[%]</t>
  </si>
  <si>
    <t>Flow_E3_Fraction[%]</t>
  </si>
  <si>
    <t>E1_Fraction[%]</t>
  </si>
  <si>
    <t>E1_value</t>
  </si>
  <si>
    <t>E1_UoM</t>
  </si>
  <si>
    <t>E2_Fraction[%]</t>
  </si>
  <si>
    <t>E2_value</t>
  </si>
  <si>
    <t>E2_UoM</t>
  </si>
  <si>
    <t>E3_Fraction[%]</t>
  </si>
  <si>
    <t>E3_value</t>
  </si>
  <si>
    <t>E3_UoM</t>
  </si>
  <si>
    <t>E4_Fraction[%]</t>
  </si>
  <si>
    <t>E4_value</t>
  </si>
  <si>
    <t>E4_UoM</t>
  </si>
  <si>
    <t>E5_Fraction[%]</t>
  </si>
  <si>
    <t>E5_value</t>
  </si>
  <si>
    <t>E5_UoM</t>
  </si>
  <si>
    <t>E1_TC_ID</t>
  </si>
  <si>
    <t>E2_TC_ID</t>
  </si>
  <si>
    <t>E1_TC_Value[%]</t>
  </si>
  <si>
    <t>E2_TC_Value[%]</t>
  </si>
  <si>
    <t>E3_TC_ID</t>
  </si>
  <si>
    <t>E3_TC_Value[%]</t>
  </si>
  <si>
    <t>E4_TC_ID</t>
  </si>
  <si>
    <t>E4_TC_Value[%]</t>
  </si>
  <si>
    <t>E5_TC_ID</t>
  </si>
  <si>
    <t>E5_TC_Value[%]</t>
  </si>
  <si>
    <t>Use_E5</t>
  </si>
  <si>
    <t>Use_E4</t>
  </si>
  <si>
    <t>Use_E3</t>
  </si>
  <si>
    <t>Use_E2</t>
  </si>
  <si>
    <t>Use_E1</t>
  </si>
  <si>
    <t>Flow_ID_E1</t>
  </si>
  <si>
    <t>Flow_ID_E2</t>
  </si>
  <si>
    <t>Flow_ID_E3</t>
  </si>
  <si>
    <t>Flow_ID_E4</t>
  </si>
  <si>
    <t>Flow_ID_E5</t>
  </si>
  <si>
    <t>Flow_ID_E6</t>
  </si>
  <si>
    <t>Flow_E6_Fraction[%]</t>
  </si>
  <si>
    <t>Element_ID_6</t>
  </si>
  <si>
    <t>Parent_Element_ID_6</t>
  </si>
  <si>
    <t>DPP_Scenario</t>
  </si>
  <si>
    <t>E6_UoM</t>
  </si>
  <si>
    <t>E6_value</t>
  </si>
  <si>
    <t>E6_Fraction[%]</t>
  </si>
  <si>
    <t>Use_E6</t>
  </si>
  <si>
    <t>E6_TC_ID</t>
  </si>
  <si>
    <t>E6_TC_Value[%]</t>
  </si>
  <si>
    <t>sadsad</t>
  </si>
  <si>
    <t>TC_E1_ID</t>
  </si>
  <si>
    <t>TC_E2_ID</t>
  </si>
  <si>
    <t>TC_E3_ID</t>
  </si>
  <si>
    <t>TC_E4_ID</t>
  </si>
  <si>
    <t>TC_E5_ID</t>
  </si>
  <si>
    <t>TC_E6_ID</t>
  </si>
  <si>
    <t>WELCOME TO bioDYM</t>
  </si>
  <si>
    <t>Albrecht Fritze</t>
  </si>
  <si>
    <t>Vera Susanne Rotter</t>
  </si>
  <si>
    <t>Technische Universität Berlin</t>
  </si>
  <si>
    <t>Coming soon</t>
  </si>
  <si>
    <t>Ready</t>
  </si>
  <si>
    <t>Reference_ID</t>
  </si>
  <si>
    <t>Type</t>
  </si>
  <si>
    <t>Author(s)</t>
  </si>
  <si>
    <t>Title</t>
  </si>
  <si>
    <t>DOI/URL</t>
  </si>
  <si>
    <t>Code</t>
  </si>
  <si>
    <t>JA</t>
  </si>
  <si>
    <t>Journal Article</t>
  </si>
  <si>
    <t>Peer-reviewed scientific paper</t>
  </si>
  <si>
    <t>RP</t>
  </si>
  <si>
    <t>Report</t>
  </si>
  <si>
    <t>Technical/government report</t>
  </si>
  <si>
    <t>DS</t>
  </si>
  <si>
    <t>Dataset</t>
  </si>
  <si>
    <t>Statistical dataset</t>
  </si>
  <si>
    <t>BK</t>
  </si>
  <si>
    <t>Book</t>
  </si>
  <si>
    <t>Published book</t>
  </si>
  <si>
    <t>TH</t>
  </si>
  <si>
    <t>Thesis</t>
  </si>
  <si>
    <t>PhD/Master thesis</t>
  </si>
  <si>
    <t>ST</t>
  </si>
  <si>
    <t>Standard</t>
  </si>
  <si>
    <t>Technical standard (ISO, DIN, etc.)</t>
  </si>
  <si>
    <t>WB</t>
  </si>
  <si>
    <t>Website</t>
  </si>
  <si>
    <t>Web resource</t>
  </si>
  <si>
    <t>PC</t>
  </si>
  <si>
    <t>Personal Comm.</t>
  </si>
  <si>
    <t>Expert consultation</t>
  </si>
  <si>
    <t>AS</t>
  </si>
  <si>
    <t>Model assumption</t>
  </si>
  <si>
    <t>GL</t>
  </si>
  <si>
    <t>Grey Literature</t>
  </si>
  <si>
    <t>Non-peer-reviewed publication</t>
  </si>
  <si>
    <t>Notes (How was the source used)?</t>
  </si>
  <si>
    <t>E1_Ref</t>
  </si>
  <si>
    <t>E2_Ref</t>
  </si>
  <si>
    <t>E3_Ref</t>
  </si>
  <si>
    <t>E4_Ref</t>
  </si>
  <si>
    <t>E5_Ref</t>
  </si>
  <si>
    <t>E6_Ref</t>
  </si>
  <si>
    <t>Flow_Ref</t>
  </si>
  <si>
    <t>CF_Ref</t>
  </si>
  <si>
    <t>Static_TC_Ref</t>
  </si>
  <si>
    <t>IS_Ref</t>
  </si>
  <si>
    <t>Dyn_TC_Ref</t>
  </si>
  <si>
    <t>FOMP_Ref</t>
  </si>
  <si>
    <t>DSM_Ref</t>
  </si>
  <si>
    <t>MC_Ref</t>
  </si>
  <si>
    <t>Configure the system basics (time range, elements, analysis options)</t>
  </si>
  <si>
    <t>→ Define processes (the "boxes" in your model)
→ Define flows (the "arrows" connecting processes)</t>
  </si>
  <si>
    <t>→ Input flow quantities (measured or estimated values)
→ Define transfer coefficients (how processes split/transform flows)
→ Define initial stocks (starting amounts in processes)
→ Document data sources (references for transparency)</t>
  </si>
  <si>
    <t>→ Set up Dynamic Stock Models (DSM) for age-cohort tracking
→ Set up First-Order Mineralization Processes (FOMP) for organic decay</t>
  </si>
  <si>
    <t>STAGE 1: SYSTEM CONFIGURATION</t>
  </si>
  <si>
    <t>STAGE 2: DEFINE SYSTEM STRUCTURE</t>
  </si>
  <si>
    <t>STAGE 3: ENTER DATA</t>
  </si>
  <si>
    <t>STAGE 4: CONFIGURE ADVANCED MODELS (if needed)</t>
  </si>
  <si>
    <t>→ Sheets: 3_1_Definition_DSM, 3_2_Definition_FOMP</t>
  </si>
  <si>
    <t>STAGE 5: UNCERTAINTY &amp; SCENARIOS (optional)</t>
  </si>
  <si>
    <t>→ Define parameter uncertainty for Monte Carlo analysis
→ Create scenario definitions for comparative analysis</t>
  </si>
  <si>
    <t>→ Sheets: 4_1_Uncertainty_Parameters, 5_1_Scenario_Manager</t>
  </si>
  <si>
    <t>→ Sheets: 1_2_Data_Flows, 2_2_static_TCs, 2_3_dynamic_TCs,
          2_4_Initial_Stock, 6_1_Reference_Manager</t>
  </si>
  <si>
    <t>STAGE 6: RUN ANALYSIS</t>
  </si>
  <si>
    <t>→ Open Jupyter notebook: 00_BioDYM_Workflow.ipynb
→ Update input file path in notebook
→ Run all cells (Kernel → Restart &amp; Run All)
→ View results in visualizations and exports</t>
  </si>
  <si>
    <t>STEP 1: Define Your Processes</t>
  </si>
  <si>
    <t>→ List all processes in your system (e.g., Forest, Sawmill, Landfill)
→ Assign Process_Logic to each (Input, Output, Splitter, Transformer, etc.)
→ Configure TC and Stock settings</t>
  </si>
  <si>
    <t>STEP 2: Define Your Flows</t>
  </si>
  <si>
    <t>→ List all flows connecting your processes
→ Define elemental composition (E1-E6: material, WC, DM, CC, etc.)</t>
  </si>
  <si>
    <t>STEP 3: Enter Flow Data</t>
  </si>
  <si>
    <t>→ Enter measured/estimated values for each flow and year
→ Specify units and conversion factors if needed
→ Document data sources using Reference_ID</t>
  </si>
  <si>
    <t>STEP 4: Set Transfer Coefficients (TCs)</t>
  </si>
  <si>
    <t>→ For Splitter/Transformer processes, define how flows are distributed
→ Use static TCs for fixed distributions
→ Use dynamic TCs for time-varying distributions
→ Document TC sources using Reference_ID</t>
  </si>
  <si>
    <t>STEP 5: Add References (IMPORTANT for transparency!)</t>
  </si>
  <si>
    <t>→ Document all data sources in Reference Manager
→ Link data to references using Reference_ID in _Ref columns</t>
  </si>
  <si>
    <t>STEP 6: Run the Analysis</t>
  </si>
  <si>
    <t>→ Save your Excel file
→ Open: 00_BioDYM_Workflow.ipynb
→ Update input_file path to your Excel file
→ Run: Kernel → Restart &amp; Run All
→ Results appear in visualizations and exported files</t>
  </si>
  <si>
    <t>A "box" in your model representing a physical location,
transformation, or system boundary. Can store material (stock) or just
transform/split flows.</t>
  </si>
  <si>
    <t>Movement of material between processes. Defined by source process,
destination process, and elemental composition.</t>
  </si>
  <si>
    <t>Defines HOW a process behaves. This is the most important setting!OPTIONS:
- Input: Boundary process receiving from outside (data-driven, no TCs)
- Output: Boundary process sending outside (requires stock, no TCs)
- Splitter: Splits flow to outputs (uses E1 TCs only, composition unchanged)
- Transformer: Changes composition (uses E1-E6 TCs, composition changes)
- DSM: Dynamic Stock Model with age-cohort tracking
- FOMP: First-Order Mineralization (organic matter decay)
- Pass-through: Flows pass unchanged (no TCs needed)</t>
  </si>
  <si>
    <t>- Forest = Input (receives growth from environment)
- Sorting facility = Splitter (separates materials)
- Composting = Transformer (water evaporates, changes composition)
- Buildings = DSM (stock accumulates, demolished after lifetime)</t>
  </si>
  <si>
    <t>EXPLANATION: Fraction (0-1 or 0-100%) defining how much of an inflow goes to
each outflow. For each process, sum of all TCs must equal 1.0 (100%).</t>
  </si>
  <si>
    <t>EXPLANATION:
- Static TCs: Fixed values, don't change over time
- Dynamic TCs: Time-varying values, interpolated between data points
USE WHEN:
- Static: Fixed recycling rate (always 70%)
- Dynamic: Increasing recycling rate (2020: 60% → 2030: 80%)
NOTE: System automatically normalizes dynamic TCs to ensure they sum to 100%</t>
  </si>
  <si>
    <t>Elements (E1-E6)</t>
  </si>
  <si>
    <t>EXPLANATION: Different material properties tracked simultaneously:
- E1: Material (total mass) - always required
- E2: Water Content (WC)
- E3: Dry Matter (DM)
- E4: Carbon Content (CC)
- E5-E6: User-defined elements
Elements can be hierarchical (e.g., CC as fraction of DM, not total material)</t>
  </si>
  <si>
    <t>DSM (Dynamic Stock Model)</t>
  </si>
  <si>
    <t>EXPLANATION: Models processes where material accumulates and exits after a
lifetime. Uses age-cohort tracking and lifetime distributions (Normal, Fixed,
Weibull).
EXAMPLE: Buildings (constructed, used for 30±5 years, then demolished)
KEY PARAMETERS:
- Lifetime_Mean: Average product lifetime (years)
- Lifetime_StdDev: Variability (WARNING: &gt;80% of mean may cause issues)
- Inflow_Split: Fraction to each product category
- Output_Split: Fraction to each outflow when product reaches end-of-life</t>
  </si>
  <si>
    <t>FOMP (First-Order Mineralization Process)</t>
  </si>
  <si>
    <t>EXPLANATION: Models organic matter decomposition with multiple pools
(labile/recalcitrant) and different decay rates.
EXAMPLE: Compost (fast labile pool, slow recalcitrant pool)
KEY PARAMETERS:
- Inflow_fraction: Fraction to each pool (sum = 1.0)
- Half_life: Decay half-life for each pool (years)
- Shorter half-life = faster decay</t>
  </si>
  <si>
    <t>Reference Manager</t>
  </si>
  <si>
    <t>EXPLANATION: Central database for documenting ALL data sources. Improves
transparency, reproducibility, and scientific rigor.
USE FOR:
- Flow data sources (statistics, measurements)
- TC value sources (literature, expert estimates)
- DSM lifetime assumptions (building surveys, studies)
- Uncertainty ranges (sensitivity analyses)
HOW TO USE:
1. Add reference in 6_1_Reference_Manager (assign Reference_ID)
2. Link data to reference using _Ref columns throughout template
   (Flow_Ref, Static_TC_Ref, DSM_Ref, etc.)</t>
  </si>
  <si>
    <t>→ Check TCs sum to 100% for each process
→ Verify no process has ONLY inputs or ONLY outputs (except Input/Output types)
→ Check Process_Logic is set correctly
→ Ensure dynamic TCs have data points at multiple years</t>
  </si>
  <si>
    <t>FIX:
→ Verify Process_Logic matches process function
→ Check Flow_ID consistency across all sheets
→ Ensure Flow_Output_Process and Flow_Input_Process are defined
→ Verify flows are connected in correct direction</t>
  </si>
  <si>
    <t>FIX:
→ Check number formatting (numbers as numbers, not text)
→ Verify percentages entered correctly (0.75 or 75% depending on column)
→ Check for empty cells that should contain 0</t>
  </si>
  <si>
    <t>→ Build a simple model (3-5 processes) first
→ Verify mass balance works
→ Gradually add complexity
→ WHY: Much easier to debug small models</t>
  </si>
  <si>
    <t>→ Processes: Use_Phase_Buildings (not P03)
→ Flows: Timber_Harvest (not F_01)
→ TCs: TC_Recycling_Rate (not TC_1)
→ WHY: Model easier to understand and maintain</t>
  </si>
  <si>
    <t>→ Use Comment columns throughout
→ Add ALL sources to Reference_Manager
→ Link data to sources via _Ref columns
→ WHY: Reproducibility and scientific credibility</t>
  </si>
  <si>
    <t>Document Everything</t>
  </si>
  <si>
    <t>→ Use consistent units (Mg recommended)
→ Document units in UoM columns
→ Use conversion factors (CF) if source data in different units
→ WHY: Unit mixing is #1 source of MFA errors</t>
  </si>
  <si>
    <t>Validate Incrementally</t>
  </si>
  <si>
    <t>→ Check mass balance after each addition
→ Use validation plots in notebook
→ Run mass balance checks frequently
→ WHY: Catch errors early, easier to fix</t>
  </si>
  <si>
    <t>Save Versions</t>
  </si>
  <si>
    <t>→ Save as: my_model_v1.xlsm, my_model_v2.xlsm
→ Keep working copies separate from final
→ Use git for version control (recommended)
→ WHY: Easy to revert if something breaks</t>
  </si>
  <si>
    <t>→ Define hierarchy in Configuration sheet
→ E1 (material) always parent
→ E2-E4 can be children of each other (e.g., CC as fraction of DM)
→ WHY: Enables realistic composition modeling</t>
  </si>
  <si>
    <t>Use Element Hierarchy Wisely</t>
  </si>
  <si>
    <t>Test with Simple Data First</t>
  </si>
  <si>
    <t>→ Use round numbers initially (100, 1000, etc.)
→ Verify calculations by hand
→ Then replace with real data
→ WHY: Easy to spot calculation errors with simple numbers</t>
  </si>
  <si>
    <t>0_Configuration</t>
  </si>
  <si>
    <t>configuration</t>
  </si>
  <si>
    <t>6_1_Reference_Manager</t>
  </si>
  <si>
    <t>7_2_Codelists</t>
  </si>
  <si>
    <t>System configuration (time, elements, options)</t>
  </si>
  <si>
    <t>Define all flows (what moves between processes)</t>
  </si>
  <si>
    <t>Enter flow quantities and composition data</t>
  </si>
  <si>
    <t>Define all processes and their behavior</t>
  </si>
  <si>
    <t>Define fixed transfer coefficients</t>
  </si>
  <si>
    <t>Define time-varying transfer coefficients</t>
  </si>
  <si>
    <t>Define initial stock amounts</t>
  </si>
  <si>
    <t>Configure Dynamic Stock Models (age-cohort)</t>
  </si>
  <si>
    <t>Configure First-Order Mineralization Processes</t>
  </si>
  <si>
    <t>Define parameter uncertainty for Monte Carlo</t>
  </si>
  <si>
    <t>Define scenarios for comparative analysis</t>
  </si>
  <si>
    <t xml:space="preserve"> Document all data sources</t>
  </si>
  <si>
    <t>Reference lists for dropdown options</t>
  </si>
  <si>
    <t>1.0</t>
  </si>
  <si>
    <t>Scenario_Ref</t>
  </si>
  <si>
    <t>Stock_with_InitialStock_Cohort</t>
  </si>
  <si>
    <t>Stock_with_InitialStock_Decay</t>
  </si>
  <si>
    <t>Basic_Material_Quantity[UoM]</t>
  </si>
  <si>
    <t>Basic_E1_Fraction[%]</t>
  </si>
  <si>
    <t>Total initial stock</t>
  </si>
  <si>
    <t>Basic_E2_Fraction[%]</t>
  </si>
  <si>
    <t>Basic_E3_Fraction[%]</t>
  </si>
  <si>
    <t>Basic_E4_Fraction[%]</t>
  </si>
  <si>
    <t>Basic_E5_Fraction[%]</t>
  </si>
  <si>
    <t>Basic_E6_Fraction[%]</t>
  </si>
  <si>
    <t>Splitter_Annual_Consumption_Rate[1/year]</t>
  </si>
  <si>
    <t>Splitter_Outflow_1_FlowID</t>
  </si>
  <si>
    <t>Splitter_Outflow_1_Split[%]</t>
  </si>
  <si>
    <t>Splitter_Outflow_2_FlowID</t>
  </si>
  <si>
    <t>Splitter_Outflow_3_Split[%]</t>
  </si>
  <si>
    <t>Splitter_Outflow_2_Split[%]</t>
  </si>
  <si>
    <t>Splitter_Outflow_3_FlowID</t>
  </si>
  <si>
    <t>Splitter_Outflow_4_FlowID</t>
  </si>
  <si>
    <t>Splitter_Outflow_4_Split[%]</t>
  </si>
  <si>
    <t>Cohort_Age_Distribution_Type</t>
  </si>
  <si>
    <t>Cohort_Max_Age[years]</t>
  </si>
  <si>
    <t>Cohort_Decay_Constant[years]</t>
  </si>
  <si>
    <t>Fixed</t>
  </si>
  <si>
    <t>LogNormal</t>
  </si>
  <si>
    <t>FoldedNormal</t>
  </si>
  <si>
    <t>Weibull</t>
  </si>
  <si>
    <t>normal</t>
  </si>
  <si>
    <t>lognormal</t>
  </si>
  <si>
    <t>Id</t>
  </si>
  <si>
    <t>BASIC PARAMETERS - Required for ALL</t>
  </si>
  <si>
    <t>F_3_4</t>
  </si>
  <si>
    <t>F_3_5</t>
  </si>
  <si>
    <t>Expected_Value_Type</t>
  </si>
  <si>
    <t>Required</t>
  </si>
  <si>
    <t>Notes</t>
  </si>
  <si>
    <t>Number (positive)</t>
  </si>
  <si>
    <t>YES</t>
  </si>
  <si>
    <t>Total mass of initial stock</t>
  </si>
  <si>
    <t>Decimal 0.0-1.0</t>
  </si>
  <si>
    <t>Optional</t>
  </si>
  <si>
    <t>60% water</t>
  </si>
  <si>
    <t>40% dry matter</t>
  </si>
  <si>
    <t>18% carbon</t>
  </si>
  <si>
    <t>2% nitrogen</t>
  </si>
  <si>
    <t>SPLITTER PARAMETERS - Process_Logic = Splitter only</t>
  </si>
  <si>
    <t>For Splitters</t>
  </si>
  <si>
    <t>10% consumed per year</t>
  </si>
  <si>
    <t>Text: F_X_Y</t>
  </si>
  <si>
    <t>Flow from Process 3 to 4</t>
  </si>
  <si>
    <t>70% goes here</t>
  </si>
  <si>
    <t>Flow from Process 3 to 5</t>
  </si>
  <si>
    <t>30% goes here (splits must sum to 100%)</t>
  </si>
  <si>
    <t>COHORT PARAMETERS - Stock_Config = Cohort only</t>
  </si>
  <si>
    <t>uniform OR exponential</t>
  </si>
  <si>
    <t>For Cohort</t>
  </si>
  <si>
    <t>How ages are distributed</t>
  </si>
  <si>
    <t>Number (years)</t>
  </si>
  <si>
    <t>Oldest item age</t>
  </si>
  <si>
    <t>Default = Max_Age/3</t>
  </si>
  <si>
    <t>All items leave at exact age</t>
  </si>
  <si>
    <t>Bell curve around mean</t>
  </si>
  <si>
    <t>Skewed right, no negatives</t>
  </si>
  <si>
    <t>Normal folded at zero</t>
  </si>
  <si>
    <t>DSM_Lifetime_Scale</t>
  </si>
  <si>
    <t>Flexible bathtub curve</t>
  </si>
  <si>
    <t>DSM_Lifetime_Shape</t>
  </si>
  <si>
    <t>Param_1_Required</t>
  </si>
  <si>
    <t>Param_1_Example</t>
  </si>
  <si>
    <t>Use_For</t>
  </si>
  <si>
    <t>min</t>
  </si>
  <si>
    <t>Flat distribution</t>
  </si>
  <si>
    <t>Range only, no preference</t>
  </si>
  <si>
    <t>max</t>
  </si>
  <si>
    <t>Triangle peaked at mode</t>
  </si>
  <si>
    <t>Range + best guess</t>
  </si>
  <si>
    <t>mode</t>
  </si>
  <si>
    <t>mean</t>
  </si>
  <si>
    <t>Bell curve ±std</t>
  </si>
  <si>
    <t>Measured data</t>
  </si>
  <si>
    <t>Skewed, always positive</t>
  </si>
  <si>
    <t>Positive values, outliers</t>
  </si>
  <si>
    <t>1a)</t>
  </si>
  <si>
    <t>2a)</t>
  </si>
  <si>
    <t>3a)</t>
  </si>
  <si>
    <t>4a)</t>
  </si>
  <si>
    <t>5a)</t>
  </si>
  <si>
    <t>2b)</t>
  </si>
  <si>
    <t>3b)</t>
  </si>
  <si>
    <t>4b)</t>
  </si>
  <si>
    <t>5b)</t>
  </si>
  <si>
    <t>Sub</t>
  </si>
  <si>
    <t>DSM_Lifetime_type</t>
  </si>
  <si>
    <t>Required DSM_Parameter</t>
  </si>
  <si>
    <t>DSM_Value_Example</t>
  </si>
  <si>
    <t>Explainer for the selection of DSM_Lifetime_type</t>
  </si>
  <si>
    <t>This is for time-series. It takes the entire series (for an inflow like F_00_01 or a dynamic TC) and multiplies every yearly value by the New_Value</t>
  </si>
  <si>
    <t>What it is: A Transformer process represents a fundamental change to the material. This includes chemical reactions, biological processes, or significant physical changes like drying.</t>
  </si>
  <si>
    <t>What it is: A Splitter process represents a physical division or distribution of material. It separates inflows into two or more outflows, but it does not change the chemical or physical composition of the material itself.</t>
  </si>
  <si>
    <t>CL_Unit_of_Measurement</t>
  </si>
  <si>
    <t>miligram</t>
  </si>
  <si>
    <t>gram</t>
  </si>
  <si>
    <t>kilogram</t>
  </si>
  <si>
    <t>megagram</t>
  </si>
  <si>
    <t>gigagram</t>
  </si>
  <si>
    <t>Lognormal distribution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</si>
</sst>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4"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u/>
      <sz val="11"/>
      <color theme="10"/>
      <name val="Calibri"/>
      <family val="2"/>
      <scheme val="minor"/>
    </font>
    <font>
      <sz val="9"/>
      <color indexed="81"/>
      <name val="Tahoma"/>
      <charset val="1"/>
    </font>
    <font>
      <b/>
      <sz val="24"/>
      <name val="Calibri"/>
      <family val="2"/>
      <scheme val="minor"/>
    </font>
    <font>
      <b/>
      <sz val="48"/>
      <color theme="1"/>
      <name val="Calibri"/>
      <family val="2"/>
      <scheme val="minor"/>
    </font>
    <font>
      <sz val="48"/>
      <color theme="1"/>
      <name val="Calibri"/>
      <family val="2"/>
      <scheme val="minor"/>
    </font>
    <font>
      <b/>
      <sz val="11"/>
      <color rgb="FFFF0000"/>
      <name val="Calibri"/>
      <family val="2"/>
      <scheme val="minor"/>
    </font>
    <font>
      <sz val="11"/>
      <color theme="1"/>
      <name val="Arial"/>
      <family val="2"/>
    </font>
  </fonts>
  <fills count="13">
    <fill>
      <patternFill patternType="none"/>
    </fill>
    <fill>
      <patternFill patternType="gray125"/>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5" tint="-0.249977111117893"/>
        <bgColor indexed="64"/>
      </patternFill>
    </fill>
    <fill>
      <patternFill patternType="gray0625">
        <bgColor theme="5" tint="0.79998168889431442"/>
      </patternFill>
    </fill>
    <fill>
      <patternFill patternType="solid">
        <fgColor rgb="FFFF0000"/>
        <bgColor indexed="64"/>
      </patternFill>
    </fill>
    <fill>
      <patternFill patternType="solid">
        <fgColor theme="0" tint="-0.14996795556505021"/>
        <bgColor indexed="64"/>
      </patternFill>
    </fill>
  </fills>
  <borders count="27">
    <border>
      <left/>
      <right/>
      <top/>
      <bottom/>
      <diagonal/>
    </border>
    <border>
      <left/>
      <right/>
      <top/>
      <bottom style="thin">
        <color theme="1"/>
      </bottom>
      <diagonal/>
    </border>
    <border>
      <left/>
      <right/>
      <top style="medium">
        <color indexed="64"/>
      </top>
      <bottom/>
      <diagonal/>
    </border>
    <border>
      <left style="medium">
        <color indexed="64"/>
      </left>
      <right/>
      <top/>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style="dotted">
        <color auto="1"/>
      </top>
      <bottom/>
      <diagonal/>
    </border>
    <border>
      <left/>
      <right/>
      <top style="medium">
        <color indexed="64"/>
      </top>
      <bottom style="dotted">
        <color auto="1"/>
      </bottom>
      <diagonal/>
    </border>
    <border>
      <left/>
      <right/>
      <top style="thin">
        <color theme="9" tint="0.39997558519241921"/>
      </top>
      <bottom style="thin">
        <color theme="9" tint="0.39997558519241921"/>
      </bottom>
      <diagonal/>
    </border>
    <border>
      <left style="medium">
        <color indexed="64"/>
      </left>
      <right/>
      <top style="medium">
        <color indexed="64"/>
      </top>
      <bottom style="dotted">
        <color auto="1"/>
      </bottom>
      <diagonal/>
    </border>
    <border>
      <left style="medium">
        <color indexed="64"/>
      </left>
      <right/>
      <top style="dotted">
        <color auto="1"/>
      </top>
      <bottom style="medium">
        <color indexed="64"/>
      </bottom>
      <diagonal/>
    </border>
    <border>
      <left/>
      <right style="medium">
        <color indexed="64"/>
      </right>
      <top style="medium">
        <color indexed="64"/>
      </top>
      <bottom style="dotted">
        <color auto="1"/>
      </bottom>
      <diagonal/>
    </border>
    <border>
      <left style="medium">
        <color indexed="64"/>
      </left>
      <right/>
      <top style="dotted">
        <color auto="1"/>
      </top>
      <bottom/>
      <diagonal/>
    </border>
    <border>
      <left/>
      <right style="medium">
        <color indexed="64"/>
      </right>
      <top style="dotted">
        <color auto="1"/>
      </top>
      <bottom/>
      <diagonal/>
    </border>
    <border>
      <left/>
      <right style="medium">
        <color indexed="64"/>
      </right>
      <top/>
      <bottom style="dotted">
        <color auto="1"/>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3">
    <xf numFmtId="0" fontId="0" fillId="0" borderId="0"/>
    <xf numFmtId="9" fontId="1" fillId="0" borderId="0" applyFont="0" applyFill="0" applyBorder="0" applyAlignment="0" applyProtection="0"/>
    <xf numFmtId="0" fontId="4" fillId="2" borderId="0" applyNumberFormat="0" applyBorder="0" applyAlignment="0" applyProtection="0"/>
    <xf numFmtId="0" fontId="5" fillId="10" borderId="4" applyAlignment="0"/>
    <xf numFmtId="0" fontId="5" fillId="4" borderId="4" applyAlignment="0">
      <protection locked="0"/>
    </xf>
    <xf numFmtId="0" fontId="6" fillId="6" borderId="4" applyAlignment="0">
      <protection locked="0"/>
    </xf>
    <xf numFmtId="49" fontId="13" fillId="12" borderId="0"/>
    <xf numFmtId="0" fontId="5" fillId="5" borderId="4" applyAlignment="0">
      <protection locked="0"/>
    </xf>
    <xf numFmtId="0" fontId="5" fillId="3" borderId="4" applyAlignment="0"/>
    <xf numFmtId="9" fontId="5" fillId="4" borderId="4" applyAlignment="0">
      <protection locked="0"/>
    </xf>
    <xf numFmtId="0" fontId="5" fillId="8" borderId="4">
      <alignment horizontal="left"/>
    </xf>
    <xf numFmtId="0" fontId="7" fillId="0" borderId="0" applyNumberFormat="0" applyFill="0" applyBorder="0" applyAlignment="0" applyProtection="0"/>
    <xf numFmtId="0" fontId="5" fillId="4" borderId="4" applyAlignment="0"/>
  </cellStyleXfs>
  <cellXfs count="114">
    <xf numFmtId="0" fontId="0" fillId="0" borderId="0" xfId="0"/>
    <xf numFmtId="0" fontId="0" fillId="0" borderId="0" xfId="0" applyAlignment="1">
      <alignment wrapText="1"/>
    </xf>
    <xf numFmtId="0" fontId="0" fillId="0" borderId="3" xfId="0" applyBorder="1"/>
    <xf numFmtId="0" fontId="5" fillId="10" borderId="4" xfId="3"/>
    <xf numFmtId="0" fontId="5" fillId="4" borderId="4" xfId="4">
      <protection locked="0"/>
    </xf>
    <xf numFmtId="0" fontId="5" fillId="10" borderId="5" xfId="3" applyBorder="1"/>
    <xf numFmtId="0" fontId="5" fillId="10" borderId="6" xfId="3" applyBorder="1"/>
    <xf numFmtId="0" fontId="5" fillId="10" borderId="7" xfId="3" applyBorder="1"/>
    <xf numFmtId="0" fontId="3" fillId="0" borderId="1" xfId="0" applyFont="1" applyBorder="1"/>
    <xf numFmtId="4" fontId="5" fillId="10" borderId="4" xfId="3" applyNumberFormat="1"/>
    <xf numFmtId="0" fontId="6" fillId="6" borderId="4" xfId="5">
      <protection locked="0"/>
    </xf>
    <xf numFmtId="0" fontId="5" fillId="4" borderId="4" xfId="1" applyNumberFormat="1" applyFont="1" applyFill="1" applyBorder="1"/>
    <xf numFmtId="0" fontId="5" fillId="10" borderId="10" xfId="3" applyBorder="1"/>
    <xf numFmtId="49" fontId="5" fillId="10" borderId="4" xfId="3" applyNumberFormat="1" applyAlignment="1">
      <alignment horizontal="right"/>
    </xf>
    <xf numFmtId="9" fontId="5" fillId="3" borderId="10" xfId="1" applyFont="1" applyFill="1" applyBorder="1"/>
    <xf numFmtId="9" fontId="5" fillId="3" borderId="4" xfId="1" applyFont="1" applyFill="1" applyBorder="1"/>
    <xf numFmtId="0" fontId="0" fillId="0" borderId="0" xfId="0" applyAlignment="1">
      <alignment horizontal="right"/>
    </xf>
    <xf numFmtId="0" fontId="5" fillId="10" borderId="4" xfId="3" applyAlignment="1">
      <alignment horizontal="right"/>
    </xf>
    <xf numFmtId="4" fontId="5" fillId="4" borderId="4" xfId="4" applyNumberFormat="1">
      <protection locked="0"/>
    </xf>
    <xf numFmtId="0" fontId="5" fillId="10" borderId="9" xfId="3" applyBorder="1"/>
    <xf numFmtId="10" fontId="5" fillId="4" borderId="4" xfId="4" applyNumberFormat="1">
      <protection locked="0"/>
    </xf>
    <xf numFmtId="0" fontId="5" fillId="10" borderId="14" xfId="3" applyBorder="1"/>
    <xf numFmtId="2" fontId="5" fillId="4" borderId="4" xfId="4" applyNumberFormat="1">
      <protection locked="0"/>
    </xf>
    <xf numFmtId="0" fontId="5" fillId="5" borderId="4" xfId="7">
      <protection locked="0"/>
    </xf>
    <xf numFmtId="9" fontId="5" fillId="10" borderId="4" xfId="1" applyFont="1" applyFill="1" applyBorder="1"/>
    <xf numFmtId="9" fontId="5" fillId="4" borderId="4" xfId="9">
      <protection locked="0"/>
    </xf>
    <xf numFmtId="0" fontId="5" fillId="8" borderId="4" xfId="10">
      <alignment horizontal="left"/>
    </xf>
    <xf numFmtId="0" fontId="6" fillId="6" borderId="4" xfId="5">
      <protection locked="0"/>
      <extLst>
        <ext xmlns:xfpb="http://schemas.microsoft.com/office/spreadsheetml/2022/featurepropertybag" uri="{C7286773-470A-42A8-94C5-96B5CB345126}">
          <xfpb:xfComplement i="0"/>
        </ext>
      </extLst>
    </xf>
    <xf numFmtId="0" fontId="5" fillId="4" borderId="7" xfId="4" applyBorder="1">
      <protection locked="0"/>
    </xf>
    <xf numFmtId="9" fontId="5" fillId="4" borderId="4" xfId="1" applyFont="1" applyFill="1" applyBorder="1" applyProtection="1">
      <protection locked="0"/>
    </xf>
    <xf numFmtId="0" fontId="0" fillId="0" borderId="0" xfId="0" applyAlignment="1">
      <alignment horizontal="center"/>
    </xf>
    <xf numFmtId="10" fontId="0" fillId="0" borderId="0" xfId="0" applyNumberFormat="1"/>
    <xf numFmtId="0" fontId="5" fillId="10" borderId="15" xfId="3" applyBorder="1"/>
    <xf numFmtId="0" fontId="6" fillId="6" borderId="14" xfId="5" applyBorder="1">
      <protection locked="0"/>
    </xf>
    <xf numFmtId="0" fontId="6" fillId="6" borderId="15" xfId="5" applyBorder="1">
      <protection locked="0"/>
    </xf>
    <xf numFmtId="0" fontId="6" fillId="6" borderId="7" xfId="5" applyBorder="1">
      <protection locked="0"/>
    </xf>
    <xf numFmtId="0" fontId="5" fillId="10" borderId="4" xfId="3" applyAlignment="1">
      <alignment textRotation="90" wrapText="1"/>
    </xf>
    <xf numFmtId="0" fontId="3" fillId="0" borderId="0" xfId="0" applyFont="1"/>
    <xf numFmtId="0" fontId="3" fillId="0" borderId="0" xfId="0" applyFont="1" applyAlignment="1">
      <alignment wrapText="1"/>
    </xf>
    <xf numFmtId="0" fontId="5" fillId="4" borderId="4" xfId="4">
      <protection locked="0"/>
      <extLst>
        <ext xmlns:xfpb="http://schemas.microsoft.com/office/spreadsheetml/2022/featurepropertybag" uri="{C7286773-470A-42A8-94C5-96B5CB345126}">
          <xfpb:xfComplement i="0"/>
        </ext>
      </extLst>
    </xf>
    <xf numFmtId="0" fontId="0" fillId="7" borderId="0" xfId="0" applyFill="1"/>
    <xf numFmtId="0" fontId="0" fillId="7" borderId="16" xfId="0" applyFill="1" applyBorder="1"/>
    <xf numFmtId="14" fontId="0" fillId="0" borderId="0" xfId="0" applyNumberFormat="1" applyAlignment="1">
      <alignment wrapText="1"/>
    </xf>
    <xf numFmtId="0" fontId="7" fillId="0" borderId="0" xfId="11" applyFill="1" applyBorder="1" applyAlignment="1">
      <alignment wrapText="1"/>
    </xf>
    <xf numFmtId="0" fontId="5" fillId="4" borderId="0" xfId="4" applyBorder="1">
      <protection locked="0"/>
    </xf>
    <xf numFmtId="0" fontId="5" fillId="5" borderId="0" xfId="7" applyBorder="1">
      <protection locked="0"/>
    </xf>
    <xf numFmtId="0" fontId="5" fillId="10" borderId="0" xfId="3" applyBorder="1"/>
    <xf numFmtId="0" fontId="6" fillId="6" borderId="0" xfId="5" applyBorder="1">
      <protection locked="0"/>
    </xf>
    <xf numFmtId="0" fontId="0" fillId="7" borderId="0" xfId="0" applyFill="1" applyAlignment="1">
      <alignment wrapText="1"/>
    </xf>
    <xf numFmtId="0" fontId="0" fillId="6" borderId="0" xfId="0" applyFill="1" applyAlignment="1">
      <alignment wrapText="1"/>
    </xf>
    <xf numFmtId="0" fontId="5" fillId="4" borderId="4" xfId="4" applyAlignment="1">
      <alignment horizontal="right"/>
      <protection locked="0"/>
    </xf>
    <xf numFmtId="0" fontId="5" fillId="5" borderId="4" xfId="7" applyAlignment="1">
      <alignment horizontal="right"/>
      <protection locked="0"/>
    </xf>
    <xf numFmtId="0" fontId="5" fillId="4" borderId="4" xfId="12"/>
    <xf numFmtId="4" fontId="5" fillId="4" borderId="4" xfId="12" applyNumberFormat="1"/>
    <xf numFmtId="0" fontId="5" fillId="4" borderId="4" xfId="4" applyAlignment="1">
      <alignment wrapText="1"/>
      <protection locked="0"/>
    </xf>
    <xf numFmtId="164" fontId="6" fillId="6" borderId="4" xfId="5" applyNumberFormat="1">
      <protection locked="0"/>
    </xf>
    <xf numFmtId="0" fontId="6" fillId="6" borderId="10" xfId="5" applyBorder="1">
      <protection locked="0"/>
    </xf>
    <xf numFmtId="0" fontId="5" fillId="4" borderId="10" xfId="4" applyBorder="1">
      <protection locked="0"/>
    </xf>
    <xf numFmtId="0" fontId="5" fillId="10" borderId="4" xfId="3">
      <extLst>
        <ext xmlns:xfpb="http://schemas.microsoft.com/office/spreadsheetml/2022/featurepropertybag" uri="{C7286773-470A-42A8-94C5-96B5CB345126}">
          <xfpb:xfComplement i="0"/>
        </ext>
      </extLst>
    </xf>
    <xf numFmtId="0" fontId="5" fillId="10" borderId="17" xfId="3" applyBorder="1"/>
    <xf numFmtId="0" fontId="5" fillId="10" borderId="2" xfId="3" applyBorder="1"/>
    <xf numFmtId="0" fontId="5" fillId="10" borderId="15" xfId="3" applyBorder="1">
      <extLst>
        <ext xmlns:xfpb="http://schemas.microsoft.com/office/spreadsheetml/2022/featurepropertybag" uri="{C7286773-470A-42A8-94C5-96B5CB345126}">
          <xfpb:xfComplement i="0"/>
        </ext>
      </extLst>
    </xf>
    <xf numFmtId="0" fontId="6" fillId="6" borderId="19" xfId="5" applyBorder="1">
      <protection locked="0"/>
    </xf>
    <xf numFmtId="0" fontId="6" fillId="6" borderId="6" xfId="5" applyBorder="1">
      <protection locked="0"/>
    </xf>
    <xf numFmtId="0" fontId="5" fillId="10" borderId="18" xfId="3" applyBorder="1"/>
    <xf numFmtId="0" fontId="6" fillId="6" borderId="8" xfId="5" applyBorder="1">
      <protection locked="0"/>
    </xf>
    <xf numFmtId="0" fontId="5" fillId="4" borderId="15" xfId="4" applyBorder="1">
      <protection locked="0"/>
      <extLst>
        <ext xmlns:xfpb="http://schemas.microsoft.com/office/spreadsheetml/2022/featurepropertybag" uri="{C7286773-470A-42A8-94C5-96B5CB345126}">
          <xfpb:xfComplement i="0"/>
        </ext>
      </extLst>
    </xf>
    <xf numFmtId="0" fontId="5" fillId="10" borderId="13" xfId="3" applyBorder="1"/>
    <xf numFmtId="0" fontId="5" fillId="10" borderId="12" xfId="3" applyBorder="1"/>
    <xf numFmtId="0" fontId="6" fillId="6" borderId="12" xfId="5" applyBorder="1">
      <protection locked="0"/>
    </xf>
    <xf numFmtId="0" fontId="6" fillId="6" borderId="11" xfId="5" applyBorder="1">
      <protection locked="0"/>
    </xf>
    <xf numFmtId="0" fontId="6" fillId="6" borderId="12" xfId="5" applyBorder="1" applyAlignment="1">
      <alignment wrapText="1"/>
      <protection locked="0"/>
    </xf>
    <xf numFmtId="0" fontId="6" fillId="6" borderId="4" xfId="5" applyAlignment="1">
      <alignment wrapText="1"/>
      <protection locked="0"/>
    </xf>
    <xf numFmtId="0" fontId="6" fillId="6" borderId="2" xfId="5" applyBorder="1" applyAlignment="1">
      <alignment wrapText="1"/>
      <protection locked="0"/>
    </xf>
    <xf numFmtId="0" fontId="5" fillId="10" borderId="20" xfId="3" applyBorder="1"/>
    <xf numFmtId="0" fontId="5" fillId="4" borderId="14" xfId="4" applyBorder="1">
      <protection locked="0"/>
    </xf>
    <xf numFmtId="0" fontId="6" fillId="6" borderId="21" xfId="5" applyBorder="1">
      <protection locked="0"/>
    </xf>
    <xf numFmtId="0" fontId="5" fillId="10" borderId="12" xfId="3" applyBorder="1">
      <extLst>
        <ext xmlns:xfpb="http://schemas.microsoft.com/office/spreadsheetml/2022/featurepropertybag" uri="{C7286773-470A-42A8-94C5-96B5CB345126}">
          <xfpb:xfComplement i="0"/>
        </ext>
      </extLst>
    </xf>
    <xf numFmtId="0" fontId="5" fillId="10" borderId="5" xfId="3" applyBorder="1" applyAlignment="1">
      <alignment textRotation="90" wrapText="1"/>
    </xf>
    <xf numFmtId="0" fontId="5" fillId="10" borderId="18" xfId="3" applyBorder="1" applyAlignment="1">
      <alignment textRotation="90" wrapText="1"/>
    </xf>
    <xf numFmtId="0" fontId="6" fillId="6" borderId="15" xfId="5" applyBorder="1" applyAlignment="1">
      <alignment wrapText="1"/>
      <protection locked="0"/>
    </xf>
    <xf numFmtId="0" fontId="5" fillId="10" borderId="14" xfId="3" applyBorder="1" applyAlignment="1">
      <alignment textRotation="90" wrapText="1"/>
    </xf>
    <xf numFmtId="0" fontId="12" fillId="4" borderId="4" xfId="4" applyFont="1">
      <protection locked="0"/>
    </xf>
    <xf numFmtId="0" fontId="3" fillId="4" borderId="4" xfId="4" applyFont="1">
      <protection locked="0"/>
    </xf>
    <xf numFmtId="0" fontId="5" fillId="10" borderId="17" xfId="3" applyBorder="1" applyAlignment="1">
      <alignment textRotation="90" wrapText="1"/>
    </xf>
    <xf numFmtId="0" fontId="5" fillId="5" borderId="15" xfId="7" applyBorder="1">
      <protection locked="0"/>
    </xf>
    <xf numFmtId="0" fontId="5" fillId="10" borderId="10" xfId="3" applyBorder="1">
      <extLst>
        <ext xmlns:xfpb="http://schemas.microsoft.com/office/spreadsheetml/2022/featurepropertybag" uri="{C7286773-470A-42A8-94C5-96B5CB345126}">
          <xfpb:xfComplement i="0"/>
        </ext>
      </extLst>
    </xf>
    <xf numFmtId="0" fontId="6" fillId="6" borderId="10" xfId="5" applyBorder="1" applyAlignment="1">
      <alignment wrapText="1"/>
      <protection locked="0"/>
    </xf>
    <xf numFmtId="0" fontId="6" fillId="6" borderId="22" xfId="5" applyBorder="1">
      <protection locked="0"/>
    </xf>
    <xf numFmtId="0" fontId="6" fillId="6" borderId="4" xfId="5" applyAlignment="1">
      <alignment horizontal="right"/>
      <protection locked="0"/>
    </xf>
    <xf numFmtId="49" fontId="0" fillId="0" borderId="0" xfId="0" applyNumberFormat="1" applyAlignment="1">
      <alignment wrapText="1"/>
    </xf>
    <xf numFmtId="49" fontId="0" fillId="0" borderId="0" xfId="0" quotePrefix="1" applyNumberFormat="1" applyAlignment="1">
      <alignment wrapText="1"/>
    </xf>
    <xf numFmtId="0" fontId="5" fillId="8" borderId="5" xfId="10" applyBorder="1">
      <alignment horizontal="left"/>
    </xf>
    <xf numFmtId="0" fontId="5" fillId="8" borderId="6" xfId="10" applyBorder="1">
      <alignment horizontal="left"/>
    </xf>
    <xf numFmtId="49" fontId="13" fillId="12" borderId="0" xfId="6"/>
    <xf numFmtId="49" fontId="13" fillId="12" borderId="3" xfId="6" applyBorder="1"/>
    <xf numFmtId="49" fontId="13" fillId="12" borderId="23" xfId="6" applyBorder="1"/>
    <xf numFmtId="49" fontId="13" fillId="12" borderId="24" xfId="6" applyBorder="1"/>
    <xf numFmtId="49" fontId="13" fillId="12" borderId="25" xfId="6" applyBorder="1"/>
    <xf numFmtId="49" fontId="13" fillId="12" borderId="26" xfId="6" applyBorder="1"/>
    <xf numFmtId="0" fontId="0" fillId="0" borderId="0" xfId="0" applyAlignment="1">
      <alignment horizontal="left" wrapText="1"/>
    </xf>
    <xf numFmtId="0" fontId="9" fillId="7" borderId="0" xfId="10" applyFont="1" applyFill="1" applyBorder="1" applyAlignment="1">
      <alignment horizontal="center" wrapText="1"/>
    </xf>
    <xf numFmtId="0" fontId="0" fillId="0" borderId="0" xfId="0" applyAlignment="1">
      <alignment horizontal="center" wrapText="1"/>
    </xf>
    <xf numFmtId="0" fontId="0" fillId="0" borderId="0" xfId="0" applyAlignment="1">
      <alignment horizontal="center"/>
    </xf>
    <xf numFmtId="0" fontId="10" fillId="0" borderId="0" xfId="0" quotePrefix="1" applyFont="1" applyAlignment="1">
      <alignment horizontal="center" wrapText="1"/>
    </xf>
    <xf numFmtId="0" fontId="11" fillId="0" borderId="0" xfId="0" quotePrefix="1" applyFont="1" applyAlignment="1">
      <alignment horizontal="center" wrapText="1"/>
    </xf>
    <xf numFmtId="0" fontId="6" fillId="6" borderId="17" xfId="5" applyBorder="1" applyAlignment="1">
      <alignment horizontal="center"/>
      <protection locked="0"/>
    </xf>
    <xf numFmtId="0" fontId="6" fillId="6" borderId="15" xfId="5" applyBorder="1" applyAlignment="1">
      <alignment horizontal="center"/>
      <protection locked="0"/>
    </xf>
    <xf numFmtId="0" fontId="6" fillId="6" borderId="19" xfId="5" applyBorder="1" applyAlignment="1">
      <alignment horizontal="center"/>
      <protection locked="0"/>
    </xf>
    <xf numFmtId="0" fontId="0" fillId="7" borderId="0" xfId="0" applyFill="1" applyAlignment="1">
      <alignment horizontal="center"/>
    </xf>
    <xf numFmtId="0" fontId="0" fillId="9" borderId="0" xfId="0" applyFill="1" applyAlignment="1">
      <alignment horizontal="center"/>
    </xf>
    <xf numFmtId="0" fontId="0" fillId="11" borderId="0" xfId="0" applyFill="1" applyAlignment="1">
      <alignment horizontal="center"/>
    </xf>
    <xf numFmtId="0" fontId="5" fillId="8" borderId="10" xfId="10" applyBorder="1">
      <alignment horizontal="left"/>
    </xf>
    <xf numFmtId="49" fontId="13" fillId="12" borderId="0" xfId="6" applyBorder="1"/>
  </cellXfs>
  <cellStyles count="13">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Ausfüllen" xfId="12" xr:uid="{E5822405-93F3-4B86-A2DC-8BE787BD963C}"/>
    <cellStyle name="Automatisch" xfId="8" xr:uid="{AB3CF321-670F-4285-9BA9-23F48ED325F0}"/>
    <cellStyle name="Explainer" xfId="6" xr:uid="{27C05C50-1692-41BD-902E-FB699DD63B0D}"/>
    <cellStyle name="Hyperlink" xfId="11" builtinId="8"/>
    <cellStyle name="Neutral" xfId="2" builtinId="28" customBuiltin="1"/>
    <cellStyle name="Normal" xfId="0" builtinId="0"/>
    <cellStyle name="Percent" xfId="1" builtinId="5"/>
  </cellStyles>
  <dxfs count="150">
    <dxf>
      <border diagonalUp="0" diagonalDown="0">
        <left style="medium">
          <color indexed="64"/>
        </left>
        <right style="medium">
          <color indexed="64"/>
        </right>
        <top style="medium">
          <color indexed="64"/>
        </top>
        <bottom style="medium">
          <color indexed="64"/>
        </bottom>
      </border>
    </dxf>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numFmt numFmtId="2" formatCode="0.00"/>
    </dxf>
    <dxf>
      <numFmt numFmtId="2" formatCode="0.00"/>
    </dxf>
    <dxf>
      <numFmt numFmtId="2" formatCode="0.00"/>
    </dxf>
    <dxf>
      <numFmt numFmtId="2" formatCode="0.00"/>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border outline="0">
        <top style="thin">
          <color auto="1"/>
        </top>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border outline="0">
        <top style="thin">
          <color auto="1"/>
        </top>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numFmt numFmtId="4" formatCode="#,##0.00"/>
    </dxf>
    <dxf>
      <numFmt numFmtId="0" formatCode="General"/>
    </dxf>
    <dxf>
      <numFmt numFmtId="0" formatCode="General"/>
    </dxf>
    <dxf>
      <numFmt numFmtId="3" formatCode="#,##0"/>
    </dxf>
    <dxf>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bottom style="thin">
          <color theme="9" tint="0.39997558519241921"/>
        </bottom>
      </border>
    </dxf>
    <dxf>
      <fill>
        <patternFill patternType="none">
          <bgColor auto="1"/>
        </patternFill>
      </fill>
      <alignment vertical="bottom" textRotation="0" wrapText="1" indent="0" justifyLastLine="0" shrinkToFit="0" readingOrder="0"/>
    </dxf>
    <dxf>
      <fill>
        <patternFill patternType="solid">
          <fgColor indexed="64"/>
          <bgColor theme="7" tint="0.79998168889431442"/>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30" formatCode="@"/>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1019175</xdr:colOff>
      <xdr:row>1</xdr:row>
      <xdr:rowOff>9525</xdr:rowOff>
    </xdr:from>
    <xdr:to>
      <xdr:col>3</xdr:col>
      <xdr:colOff>3497453</xdr:colOff>
      <xdr:row>15</xdr:row>
      <xdr:rowOff>47154</xdr:rowOff>
    </xdr:to>
    <xdr:pic>
      <xdr:nvPicPr>
        <xdr:cNvPr id="3" name="Picture 2">
          <a:extLst>
            <a:ext uri="{FF2B5EF4-FFF2-40B4-BE49-F238E27FC236}">
              <a16:creationId xmlns:a16="http://schemas.microsoft.com/office/drawing/2014/main" id="{78534E45-E2AD-2CF6-6EF8-55EB2AF97D7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81125" y="200025"/>
          <a:ext cx="10815828" cy="2701454"/>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50:D63" totalsRowShown="0" headerRowDxfId="149" dataDxfId="148" tableBorderDxfId="147">
  <autoFilter ref="A50:D63" xr:uid="{5BF56347-6A9C-4798-B4F7-BBE2DD93DBFB}"/>
  <tableColumns count="4">
    <tableColumn id="4" xr3:uid="{F250B4D6-8709-4529-BEC9-885138840856}" name="ID" dataDxfId="146"/>
    <tableColumn id="1" xr3:uid="{9E6747DB-124B-42A7-A41E-12980D2B739B}" name="Sheet Name" dataDxfId="145"/>
    <tableColumn id="2" xr3:uid="{104F7507-AB9D-4E24-BEBC-36411C3C8A16}" name="Purpose" dataDxfId="144"/>
    <tableColumn id="3" xr3:uid="{5455BD38-24E6-4A4B-A4D4-0D13156AA586}" name="Click to Visit" dataDxfId="143"/>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42:D48" totalsRowShown="0" headerRowDxfId="142" dataDxfId="141" tableBorderDxfId="140">
  <autoFilter ref="A42:D48" xr:uid="{577305D5-7405-4B8A-BB2F-23B9AEF0E305}"/>
  <tableColumns count="4">
    <tableColumn id="4" xr3:uid="{C84969DD-6344-4E4D-A7EE-3BB0E1CDD2DD}" name="ID" dataDxfId="139"/>
    <tableColumn id="1" xr3:uid="{B1FFD532-2777-429F-BDD1-B6CBE5008BB1}" name="Step" dataDxfId="138"/>
    <tableColumn id="2" xr3:uid="{99666ABC-2265-419D-BBFA-965400BDC471}" name="Instructions" dataDxfId="137"/>
    <tableColumn id="3" xr3:uid="{823AC7A5-7353-43BD-9797-FC5D8A3FB81E}" name="Click to Visit" dataDxfId="136"/>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le27" displayName="Table27" ref="A66:D75" totalsRowShown="0" headerRowDxfId="135" dataDxfId="133" headerRowBorderDxfId="134" tableBorderDxfId="132" totalsRowBorderDxfId="131">
  <autoFilter ref="A66:D75" xr:uid="{42AB2D1B-41C9-4097-81D6-8438F3FF1CEA}"/>
  <tableColumns count="4">
    <tableColumn id="4" xr3:uid="{EC03A51B-1F74-4A83-A01A-77288F2B4BA8}" name="ID" dataDxfId="130"/>
    <tableColumn id="1" xr3:uid="{086BC66A-BDB7-4920-B63C-82329817C1F9}" name="Concept" dataDxfId="129"/>
    <tableColumn id="2" xr3:uid="{16C510CD-923F-4918-9B7C-39923184521D}" name="Explanation" dataDxfId="128"/>
    <tableColumn id="3" xr3:uid="{5309A456-4F5C-415C-8918-32DE33682023}" name="Example" dataDxfId="127"/>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le28" displayName="Table28" ref="A82:D90" totalsRowShown="0" headerRowDxfId="126" dataDxfId="124" headerRowBorderDxfId="125" tableBorderDxfId="123" totalsRowBorderDxfId="122">
  <autoFilter ref="A82:D90" xr:uid="{069E0463-CD99-487A-B4F1-E6CC17A1991B}"/>
  <tableColumns count="4">
    <tableColumn id="4" xr3:uid="{98C04902-4686-4241-BE4A-87F25C056AF7}" name="ID" dataDxfId="121"/>
    <tableColumn id="1" xr3:uid="{4AACA95F-07B3-4FFE-884A-3DB7B616208A}" name="Tip" dataDxfId="120"/>
    <tableColumn id="2" xr3:uid="{2C96A191-096B-4FDB-8EDD-D830DB1DEB52}" name="Why It Helps" dataDxfId="119"/>
    <tableColumn id="3" xr3:uid="{30BFF993-E51F-4E14-91F0-C6105DC06560}" name="Column1" dataDxfId="118"/>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A44A74D-1D0F-4470-A2E4-738B5B0F6B40}" name="Table41" displayName="Table41" ref="A28:D34" totalsRowShown="0" headerRowDxfId="117" dataDxfId="116" tableBorderDxfId="115">
  <autoFilter ref="A28:D34" xr:uid="{6A44A74D-1D0F-4470-A2E4-738B5B0F6B40}"/>
  <tableColumns count="4">
    <tableColumn id="4" xr3:uid="{F7FB85E5-BAF6-4EA9-8C90-B481B6531280}" name="ID" dataDxfId="114"/>
    <tableColumn id="1" xr3:uid="{2E2D8E7D-3174-4794-9566-B8F8C00300E4}" name="Stage" dataDxfId="113"/>
    <tableColumn id="2" xr3:uid="{17A40570-54E5-4FBB-85D3-20CC2DFF3395}" name="Instruction" dataDxfId="112"/>
    <tableColumn id="3" xr3:uid="{56AC20F0-8754-4236-B44F-0607D3478424}" name="Sheets" dataDxfId="111"/>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le42" displayName="Table42" ref="A77:D80" totalsRowShown="0" headerRowDxfId="110" dataDxfId="108" headerRowBorderDxfId="109" tableBorderDxfId="107" totalsRowBorderDxfId="106">
  <autoFilter ref="A77:D80" xr:uid="{AAA3A8DA-80C7-488B-AEDE-B3731DA422F0}"/>
  <tableColumns count="4">
    <tableColumn id="4" xr3:uid="{6B388F59-3BCF-4E91-A6E4-B3220D5E90D4}" name="ID" dataDxfId="105"/>
    <tableColumn id="1" xr3:uid="{07DCE594-CAA9-4C9F-BDCF-CE48B11D95B1}" name="Problem" dataDxfId="104"/>
    <tableColumn id="2" xr3:uid="{7155BF65-9CC1-4B52-9CD7-E026796431FE}" name="Quick Fix" dataDxfId="103"/>
    <tableColumn id="3" xr3:uid="{BC1A93EB-16A7-413F-B9B6-6215BE15AB94}" name="What to Check" dataDxfId="102"/>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6:D40" totalsRowShown="0" tableBorderDxfId="101">
  <autoFilter ref="A36:D40"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_Configuration" displayName="Tab_Configuration" ref="A1:G52" totalsRowShown="0" tableBorderDxfId="100">
  <autoFilter ref="A1:G52" xr:uid="{1C80BA90-6303-48FE-B877-0863368B268A}"/>
  <tableColumns count="7">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7" xr3:uid="{D24DA9D3-ACD9-457E-8078-5DAD71BC7926}" name="ODYM_ID"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AV94" totalsRowShown="0" headerRowCellStyle="05_Header">
  <autoFilter ref="A1:AV94" xr:uid="{DA5E02B4-C3D5-4EC6-A468-E6098B9805CF}"/>
  <tableColumns count="48">
    <tableColumn id="13" xr3:uid="{660990D7-F8E8-451E-A19A-9F23873E1903}" name="Complete?" dataDxfId="99" dataCellStyle="04_Comments"/>
    <tableColumn id="1" xr3:uid="{23E8F131-81B2-4705-927A-A42C393BEDCE}" name="ID" dataDxfId="98">
      <calculatedColumnFormula>ROW()-1</calculatedColumnFormula>
    </tableColumn>
    <tableColumn id="2" xr3:uid="{D694ED25-71D4-4BD1-B627-FBE0FAE9FC8B}" name="Flow_ID" dataDxfId="97">
      <calculatedColumnFormula>"F_"&amp;LEFT(H2,2)&amp;"_"&amp;LEFT(J2,2)</calculatedColumnFormula>
    </tableColumn>
    <tableColumn id="3" xr3:uid="{CA1C6FA9-65CA-47E1-94EA-BBB750256C84}" name="Flow_Name" dataDxfId="96"/>
    <tableColumn id="47" xr3:uid="{89C43513-5C6C-413A-9A09-0CA6E605F5C6}" name="Comment" dataCellStyle="04_Comments"/>
    <tableColumn id="12" xr3:uid="{22BBCC6C-69FE-46DB-B181-EE82C025C852}" name="ODYM_Good_Type" dataCellStyle="03_Auto_Calcaulation"/>
    <tableColumn id="5" xr3:uid="{E4010E64-B53A-47D0-A7D2-47D03F95861B}" name="Flow_Output_Process" dataCellStyle="02_Data_Input (DD)"/>
    <tableColumn id="6" xr3:uid="{6B50AC7E-8239-487E-AA74-DF3B748A4DBC}" name="Flow_Output_Process_ID">
      <calculatedColumnFormula>_xlfn.XLOOKUP(G2,Tab_Def_Processes[Process_Name],Tab_Def_Processes[Process_ID],,0,)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95">
      <calculatedColumnFormula>_xlfn.XLOOKUP(I2,Tab_Def_Processes[Process_Name],Tab_Def_Processes[Process_ID],,0,)</calculatedColumnFormula>
    </tableColumn>
    <tableColumn id="9" xr3:uid="{0E9B3B6E-2DF0-49A7-BFA9-2513136E622E}" name="Use_E1" dataCellStyle="02_Data_Input (DD)"/>
    <tableColumn id="30" xr3:uid="{DA510605-9FC6-4FA7-8526-C7C6BB1A1315}" name="Use_E2" dataCellStyle="02_Data_Input (DD)"/>
    <tableColumn id="15" xr3:uid="{6E0C6841-1496-4DDD-9174-61F6DC51267E}" name="Use_E3" dataCellStyle="02_Data_Input (DD)"/>
    <tableColumn id="27" xr3:uid="{74E2944E-DAA0-4D42-90AE-07CD6F8D9AF1}" name="Use_E4" dataCellStyle="02_Data_Input (DD)"/>
    <tableColumn id="28" xr3:uid="{12D0501C-BCE9-4F14-BE99-72E1ECB5A2F8}" name="Use_E5" dataCellStyle="02_Data_Input (DD)"/>
    <tableColumn id="29" xr3:uid="{097A8EB1-D23F-4B5D-A47E-0D43BBB9DB3C}" name="Use_E6" dataCellStyle="02_Data_Input (DD)"/>
    <tableColumn id="4" xr3:uid="{7EC28FE6-0C9F-4BB6-8A7C-75CB078DE8B1}" name="Flow_ID_E1" dataCellStyle="03_Auto_Calcaulation">
      <calculatedColumnFormula>Tab_Def_Flows[[#This Row],[Flow_ID]]&amp;"_E1"</calculatedColumnFormula>
    </tableColumn>
    <tableColumn id="41" xr3:uid="{C611D132-6C3F-4CD9-BF35-FA9A0E616EC7}" name="Flow_E1_Fraction[%]" dataCellStyle="01_Data_Input [%]"/>
    <tableColumn id="44" xr3:uid="{A8B6168B-034B-4188-A91F-39D563CF8CA4}" name="E1_Ref" dataCellStyle="04_Comments"/>
    <tableColumn id="42" xr3:uid="{DE6B5B33-EF69-4172-B909-331E93B4A343}" name="Flow_ID_E2" dataCellStyle="03_Auto_Calcaulation">
      <calculatedColumnFormula>Tab_Def_Flows[[#This Row],[Flow_ID]]&amp;"_E2"</calculatedColumnFormula>
    </tableColumn>
    <tableColumn id="18" xr3:uid="{AFBC221B-4B6A-49DF-8BB0-8E40EB019E1C}" name="Flow_E2_Fraction[%]" dataDxfId="94"/>
    <tableColumn id="22" xr3:uid="{ABA27704-56CF-4C30-88CB-BB6E944F7F08}" name="E2_Ref" dataCellStyle="04_Comments"/>
    <tableColumn id="10" xr3:uid="{D0034047-8042-40C2-8630-B9AC9A67EFA6}" name="Flow_ID_E3" dataDxfId="93" dataCellStyle="03_Auto_Calcaulation">
      <calculatedColumnFormula>Tab_Def_Flows[[#This Row],[Flow_ID]]&amp;"_E3"</calculatedColumnFormula>
    </tableColumn>
    <tableColumn id="23" xr3:uid="{5CA0D08F-32C9-451C-A223-78F9E163EE87}" name="Flow_E3_Fraction[%]" dataDxfId="92"/>
    <tableColumn id="19" xr3:uid="{B3649430-F3A4-4F10-84D0-61D5F3B7C06D}" name="E3_Ref" dataCellStyle="04_Comments"/>
    <tableColumn id="11" xr3:uid="{91581563-959B-455B-A64C-F0988CFED587}" name="Flow_ID_E4" dataCellStyle="03_Auto_Calcaulation">
      <calculatedColumnFormula>Tab_Def_Flows[[#This Row],[Flow_ID]]&amp;"_E4"</calculatedColumnFormula>
    </tableColumn>
    <tableColumn id="20" xr3:uid="{826B197D-7E74-49DB-8367-DD0E48B963C3}" name="Flow_E4_Fraction[%]" dataDxfId="91"/>
    <tableColumn id="21" xr3:uid="{D903DE25-FD16-43E6-ADC2-67C346513E4D}" name="E4_Ref" dataCellStyle="04_Comments"/>
    <tableColumn id="24" xr3:uid="{97A60092-8CFB-4931-B347-B7F41423089C}" name="Flow_ID_E5" dataCellStyle="Percent">
      <calculatedColumnFormula>Tab_Def_Flows[[#This Row],[Flow_ID]]&amp;"_E5"</calculatedColumnFormula>
    </tableColumn>
    <tableColumn id="45" xr3:uid="{9CBD429C-EBFB-416E-A6CC-A11EAA71593F}" name="Flow_E5_Fraction[%]" dataCellStyle="01_Data_Input [%]"/>
    <tableColumn id="25" xr3:uid="{FA3B4865-4DDA-42CE-A93F-8C26CE150F7A}" name="E5_Ref" dataCellStyle="04_Comments"/>
    <tableColumn id="16" xr3:uid="{7017C325-6D0F-42FF-BB35-041AF43F920E}" name="Flow_ID_E6" dataCellStyle="03_Auto_Calcaulation">
      <calculatedColumnFormula>Tab_Def_Flows[[#This Row],[Flow_ID]]&amp;"_E6"</calculatedColumnFormula>
    </tableColumn>
    <tableColumn id="17" xr3:uid="{E7AAB6D3-F2DD-42D3-B5D0-80610F11CB67}" name="Flow_E6_Fraction[%]" dataCellStyle="01_Data_Input [%]"/>
    <tableColumn id="26" xr3:uid="{81B84EAF-9E74-43B5-B58A-AFAA73AE65AD}" name="E6_Ref" dataCellStyle="04_Comments"/>
    <tableColumn id="48" xr3:uid="{FEE26633-5DA4-45DE-B4DE-7A967F77F890}" name="ODYM_time_(t)" dataDxfId="90" dataCellStyle="03_Auto_Calcaulation">
      <calculatedColumnFormula>'0_Configuration'!$C$2</calculatedColumnFormula>
    </tableColumn>
    <tableColumn id="31" xr3:uid="{0C39A028-4746-45FD-B58E-97CB20AC49B8}" name="ODYM_Time_ID" dataCellStyle="03_Auto_Calcaulation"/>
    <tableColumn id="46" xr3:uid="{6A63752F-3A33-4CDD-860F-E4FA2B0C2A05}" name="ODYM_Region_(r)" dataCellStyle="03_Auto_Calcaulation">
      <calculatedColumnFormula>'0_Configuration'!$C$6</calculatedColumnFormula>
    </tableColumn>
    <tableColumn id="33" xr3:uid="{3B0806FC-2FF0-411F-8F62-8A4AEDBE5569}" name="ODYM_Region_ID" dataCellStyle="03_Auto_Calcaulation"/>
    <tableColumn id="43" xr3:uid="{6326F8BA-9FED-466A-99E8-CD161D3B8FC8}" name="ODYM_process_(p)" dataDxfId="89" dataCellStyle="03_Auto_Calcaulation">
      <calculatedColumnFormula>'0_Configuration'!$C$10</calculatedColumnFormula>
    </tableColumn>
    <tableColumn id="38" xr3:uid="{ED238920-2A45-46DF-B701-E0F70D28F65A}" name="ODYM_Process_ID" dataCellStyle="03_Auto_Calcaulation"/>
    <tableColumn id="14" xr3:uid="{D3073D40-B86A-44C7-BB77-672CE9312837}" name="ODYM_Good_(g)2" dataDxfId="88" dataCellStyle="03_Auto_Calcaulation">
      <calculatedColumnFormula>'0_Configuration'!$C$17</calculatedColumnFormula>
    </tableColumn>
    <tableColumn id="34" xr3:uid="{8976B1A2-83BB-4624-8D81-E59A8B61115A}" name="ODYM_Good_ID" dataCellStyle="03_Auto_Calcaulation">
      <calculatedColumnFormula>_xlfn.XLOOKUP(Tab_Def_Flows[[#This Row],[ODYM_Good_Type]],Tab_Configuration[Value],Tab_Configuration[ODYM_ID],,0,)</calculatedColumnFormula>
    </tableColumn>
    <tableColumn id="39" xr3:uid="{D9696A7D-473E-40B8-9DEB-51FD09BD94C6}" name="ODYM_material_(m)" dataDxfId="87" dataCellStyle="03_Auto_Calcaulation">
      <calculatedColumnFormula>'0_Configuration'!$C$24</calculatedColumnFormula>
    </tableColumn>
    <tableColumn id="35" xr3:uid="{721CD534-7A1F-46AD-9BEA-EF49FF41A4B4}" name="ODYM_Material_ID" dataCellStyle="03_Auto_Calcaulation"/>
    <tableColumn id="40" xr3:uid="{03403EF7-078E-4CAF-BE8E-8B68CAA9CD5B}" name="ODYM_element_(e)" dataDxfId="86" dataCellStyle="03_Auto_Calcaulation">
      <calculatedColumnFormula>'0_Configuration'!$C$29</calculatedColumnFormula>
    </tableColumn>
    <tableColumn id="36" xr3:uid="{EE12CFFD-62BB-4DAF-8383-74669088F95F}" name="ODYM_Element_ID" dataCellStyle="03_Auto_Calcaulation"/>
    <tableColumn id="37" xr3:uid="{8A867BC2-51BD-44D8-9ED1-340C6E442652}" name="ODYM_Indices" dataCellStyle="03_Auto_Calcaulation">
      <calculatedColumnFormula>IF(Tab_Def_Flows[[#This Row],[ODYM_time_(t)]],"t,","")&amp;IF(Tab_Def_Flows[[#This Row],[ODYM_Region_(r)]],"r,","")&amp;IF(Tab_Def_Flows[[#This Row],[ODYM_process_(p)]],"p,","")&amp;IF(Tab_Def_Flows[[#This Row],[ODYM_Good_(g)2]],"g,","")&amp;IF(Tab_Def_Flows[[#This Row],[ODYM_material_(m)]],"m,","")&amp;IF(Tab_Def_Flows[[#This Row],[ODYM_element_(e)]],"e","")</calculatedColumnFormula>
    </tableColumn>
    <tableColumn id="32" xr3:uid="{B0BD919C-EEEC-4FED-B0BD-34D6FDC120BE}" name="ODYM_Indices_Id" dataCellStyle="03_Auto_Calcaulation">
      <calculatedColumnFormula>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calculatedColumnFormula>
    </tableColumn>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I350" totalsRowShown="0" headerRowCellStyle="05_Header">
  <autoFilter ref="A1:AI350" xr:uid="{323CB71B-2A7B-4CEF-9473-A7F5A1E6FAAA}"/>
  <tableColumns count="35">
    <tableColumn id="1" xr3:uid="{4E4AA63C-992A-498F-9D6C-B8B8E27D6E01}" name="ID" dataDxfId="85"/>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Use_E1" dataDxfId="84">
      <calculatedColumnFormula>_xlfn.XLOOKUP(C2,Tab_Def_Flows[Flow_Name],Tab_Def_Flows[Use_E1],,0,)</calculatedColumnFormula>
    </tableColumn>
    <tableColumn id="31" xr3:uid="{24B36152-385D-4D3C-A274-72EA56B6819A}" name="Use_E2" dataDxfId="83">
      <calculatedColumnFormula>_xlfn.XLOOKUP(C2,Tab_Def_Flows[Flow_Name],Tab_Def_Flows[Use_E2],,0,)</calculatedColumnFormula>
    </tableColumn>
    <tableColumn id="7" xr3:uid="{DE5360D6-37DD-467B-A2B6-FC709E5F5063}" name="Use_E3" dataDxfId="82" dataCellStyle="03_Auto_Calcaulation">
      <calculatedColumnFormula>_xlfn.XLOOKUP(C2,Tab_Def_Flows[Flow_Name],Tab_Def_Flows[Use_E3],,0,)</calculatedColumnFormula>
    </tableColumn>
    <tableColumn id="22" xr3:uid="{BBBD4420-E9DE-4292-97BD-D1B3698B0F70}" name="Use_E4" dataDxfId="81" dataCellStyle="03_Auto_Calcaulation">
      <calculatedColumnFormula>_xlfn.XLOOKUP(C2,Tab_Def_Flows[Flow_Name],Tab_Def_Flows[Use_E4],,0,)</calculatedColumnFormula>
    </tableColumn>
    <tableColumn id="32" xr3:uid="{A086924B-597B-4B7A-B9B2-8397025FD97B}" name="Use_E5" dataDxfId="80">
      <calculatedColumnFormula>_xlfn.XLOOKUP(C2,Tab_Def_Flows[Flow_Name],Tab_Def_Flows[Use_E5],,0,)</calculatedColumnFormula>
    </tableColumn>
    <tableColumn id="27" xr3:uid="{2F4BF275-BDFB-4207-BF75-5632C8016B68}" name="Use_E6" dataDxfId="79" dataCellStyle="03_Auto_Calcaulation">
      <calculatedColumnFormula>_xlfn.XLOOKUP(C2,Tab_Def_Flows[Flow_Name],Tab_Def_Flows[Use_E6],,0,)</calculatedColumnFormula>
    </tableColumn>
    <tableColumn id="8" xr3:uid="{99596DFE-48B5-4290-B0F6-A898E061D3F8}" name="Flow_Data_Year"/>
    <tableColumn id="9" xr3:uid="{1ACF4DEC-161A-4C25-85DA-AEB0305665A1}" name="Flow" dataDxfId="78"/>
    <tableColumn id="10" xr3:uid="{830F5101-5C33-4F82-BC56-E2BC7AF81364}" name="UoM_Source" dataCellStyle="03_Auto_Calcaulation"/>
    <tableColumn id="11" xr3:uid="{4CDA8F79-829B-47EF-ADFC-3E43B62F90A4}" name="Flow_Ref" dataCellStyle="04_Comments"/>
    <tableColumn id="23" xr3:uid="{C9D770EA-2F51-4DF1-9F28-8BE644026B42}" name="CF_required?" dataCellStyle="02_Data_Input (DD)"/>
    <tableColumn id="24" xr3:uid="{A0B3F6E9-7AAD-4DC9-BD30-F93F045797DC}" name="CF" dataDxfId="77"/>
    <tableColumn id="25" xr3:uid="{94996270-9A62-4B8C-B04B-D56A7F9FDE30}" name="Name_CF" dataDxfId="76">
      <calculatedColumnFormula>#REF!</calculatedColumnFormula>
    </tableColumn>
    <tableColumn id="6" xr3:uid="{78C2D005-8F45-42CD-9004-B6A3D5E38763}" name="CF_Ref" dataCellStyle="04_Comments"/>
    <tableColumn id="39" xr3:uid="{7A6C9A45-BFC0-4D14-AC46-4E9DC9B75C4C}" name="E1_Fraction[%]" dataCellStyle="03_Auto_Calcaulation">
      <calculatedColumnFormula>_xlfn.XLOOKUP(Tab_Data_Flows[[#This Row],[Flow_Name]],Tab_Def_Flows[Flow_Name],Tab_Def_Flows[Flow_E1_Fraction'[%']],"N.A.",0,1)</calculatedColumnFormula>
    </tableColumn>
    <tableColumn id="17" xr3:uid="{E761CF85-B508-4386-AFDF-6ABE121824EE}" name="E1_value" dataDxfId="75"/>
    <tableColumn id="18" xr3:uid="{9637D90E-56CA-40AA-A989-2B3406B7446B}" name="E1_UoM" dataCellStyle="03_Auto_Calcaulation">
      <calculatedColumnFormula>Tab_Data_Flows[[#This Row],[UoM_Source]]</calculatedColumnFormula>
    </tableColumn>
    <tableColumn id="35" xr3:uid="{D533411F-8317-4C7A-82C5-6CC35DCA0045}" name="E2_Fraction[%]" dataCellStyle="Percent">
      <calculatedColumnFormula>_xlfn.XLOOKUP(Tab_Data_Flows[[#This Row],[Flow_Name]],Tab_Def_Flows[Flow_Name],Tab_Def_Flows[Flow_E2_Fraction'[%']],"N.A.",0,1)</calculatedColumnFormula>
    </tableColumn>
    <tableColumn id="19" xr3:uid="{B38F996B-A4B1-4EAB-934E-3A03DA2EACD8}" name="E2_value" dataCellStyle="03_Auto_Calcaulation">
      <calculatedColumnFormula>IF(D2="Yes",S2*Tab_Data_Flows[[#This Row],[E2_Fraction'[%']]],"N.A.")</calculatedColumnFormula>
    </tableColumn>
    <tableColumn id="20" xr3:uid="{9FC71200-3D77-4369-ADCB-57624AA5954C}" name="E2_UoM" dataCellStyle="03_Auto_Calcaulation">
      <calculatedColumnFormula>Tab_Data_Flows[[#This Row],[E1_UoM]]</calculatedColumnFormula>
    </tableColumn>
    <tableColumn id="36" xr3:uid="{B0BEC211-F9B4-42EF-AC89-C039D617733A}" name="E3_Fraction[%]" dataCellStyle="Percent">
      <calculatedColumnFormula>_xlfn.XLOOKUP(Tab_Data_Flows[[#This Row],[Flow_Name]],Tab_Def_Flows[Flow_Name],Tab_Def_Flows[Flow_E3_Fraction'[%']],"N.A.",0,1)</calculatedColumnFormula>
    </tableColumn>
    <tableColumn id="16" xr3:uid="{5870FF88-1089-4405-BE76-38B3B4593EF0}" name="E3_value" dataCellStyle="03_Auto_Calcaulation">
      <calculatedColumnFormula>IF(E2="Yes",X2*Tab_Data_Flows[[#This Row],[E1_value]],"N.A.")</calculatedColumnFormula>
    </tableColumn>
    <tableColumn id="28" xr3:uid="{B86549E5-0BB3-4C5A-A918-3D47E08025CB}" name="E3_UoM" dataCellStyle="03_Auto_Calcaulation">
      <calculatedColumnFormula>Tab_Data_Flows[[#This Row],[E1_UoM]]</calculatedColumnFormula>
    </tableColumn>
    <tableColumn id="37" xr3:uid="{7058A0AA-4684-4D9A-936D-EC68E6F28D3A}" name="E4_Fraction[%]" dataCellStyle="Percent">
      <calculatedColumnFormula>_xlfn.XLOOKUP(Tab_Data_Flows[[#This Row],[Flow_Name]],Tab_Def_Flows[Flow_Name],Tab_Def_Flows[Flow_E4_Fraction'[%']],"N.A.",0,1)</calculatedColumnFormula>
    </tableColumn>
    <tableColumn id="33" xr3:uid="{03419921-2398-41C8-A2B6-2F0431969219}" name="E4_value" dataCellStyle="03_Auto_Calcaulation">
      <calculatedColumnFormula>IF(H2="Yes",Tab_Data_Flows[[#This Row],[E4_Fraction'[%']]]*Tab_Data_Flows[[#This Row],[E1_value]],"N.A.")</calculatedColumnFormula>
    </tableColumn>
    <tableColumn id="26" xr3:uid="{7A10083C-C702-46C8-983D-24F7DEBBC944}" name="E4_UoM" dataCellStyle="03_Auto_Calcaulation">
      <calculatedColumnFormula>Tab_Data_Flows[[#This Row],[E1_UoM]]</calculatedColumnFormula>
    </tableColumn>
    <tableColumn id="38" xr3:uid="{CAA75C1F-0F58-429D-AEBD-6ECBDD1323CB}" name="E5_Fraction[%]" dataCellStyle="03_Auto_Calcaulation">
      <calculatedColumnFormula>_xlfn.XLOOKUP(Tab_Data_Flows[[#This Row],[Flow_Name]],Tab_Def_Flows[Flow_Name],Tab_Def_Flows[Flow_E5_Fraction'[%']],"N.A.",0,1)</calculatedColumnFormula>
    </tableColumn>
    <tableColumn id="34" xr3:uid="{4BF55C5F-AEC3-4547-A7B3-AB6FF1D71807}" name="E5_value" dataCellStyle="03_Auto_Calcaulation">
      <calculatedColumnFormula>IF(H2="Yes",Tab_Data_Flows[[#This Row],[E5_Fraction'[%']]]*Tab_Data_Flows[[#This Row],[E1_value]],"N.A.")</calculatedColumnFormula>
    </tableColumn>
    <tableColumn id="29" xr3:uid="{1891F07F-F500-4F38-84AE-0CF9BF7F81C5}" name="E5_UoM" dataCellStyle="03_Auto_Calcaulation">
      <calculatedColumnFormula>Tab_Data_Flows[[#This Row],[E1_UoM]]</calculatedColumnFormula>
    </tableColumn>
    <tableColumn id="5" xr3:uid="{992830CE-590A-432D-A273-22747EA4F908}" name="E6_Fraction[%]" dataCellStyle="03_Auto_Calcaulation">
      <calculatedColumnFormula>_xlfn.XLOOKUP(Tab_Data_Flows[[#This Row],[Flow_Name]],Tab_Def_Flows[Flow_Name],Tab_Def_Flows[Flow_E6_Fraction'[%']],"N.A.",0,1)</calculatedColumnFormula>
    </tableColumn>
    <tableColumn id="3" xr3:uid="{6B56161F-C46E-4D87-B85D-70B36708223A}" name="E6_value" dataCellStyle="03_Auto_Calcaulation">
      <calculatedColumnFormula>IF(Tab_Data_Flows[[#This Row],[Use_E6]]="Yes",Tab_Data_Flows[[#This Row],[E6_Fraction'[%']]]*Tab_Data_Flows[[#This Row],[E1_value]],"N.A.")</calculatedColumnFormula>
    </tableColumn>
    <tableColumn id="4" xr3:uid="{2EBCFE6C-5A83-46E6-8788-EE2198A2723E}" name="E6_UoM" dataCellStyle="03_Auto_Calcaulation">
      <calculatedColumnFormula>Tab_Data_Flows[[#This Row],[E1_UoM]]</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Y46" totalsRowShown="0" headerRowCellStyle="05_Header">
  <autoFilter ref="A1:Y46" xr:uid="{CEDB6F7C-CFD3-4534-80A6-FB20E3898B22}"/>
  <tableColumns count="25">
    <tableColumn id="39" xr3:uid="{488AB972-9613-4DA9-9600-5BFBE3896251}" name="Complete?" dataDxfId="74" dataCellStyle="04_Comments"/>
    <tableColumn id="1" xr3:uid="{A63F92FA-2376-4B5A-A2DF-588878E604E1}" name="ID" dataDxfId="73">
      <calculatedColumnFormula>ROW()-1</calculatedColumnFormula>
    </tableColumn>
    <tableColumn id="2" xr3:uid="{6D346BEA-29CA-401C-8ABB-6C62791A731A}" name="Process_ID" dataDxfId="72">
      <calculatedColumnFormula>LEFT(B2,2)</calculatedColumnFormula>
    </tableColumn>
    <tableColumn id="3" xr3:uid="{23E701E0-D1E5-4551-AEF1-EE173D6FB3F0}" name="Process_Name"/>
    <tableColumn id="7" xr3:uid="{63DD4D8F-B953-47CA-8C95-07C815A436D3}" name="ODYM_Process_Type" dataCellStyle="01_Data_Input"/>
    <tableColumn id="6" xr3:uid="{37423341-0918-4CDC-A266-29F7885E9B92}" name="ODYM_Region_Type" dataCellStyle="01_Data_Input"/>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 id="8" xr3:uid="{613AAB4A-6A76-4C4C-A23C-B7AD456AB887}" name="ODYM_time_(t)" dataCellStyle="03_Auto_Calcaulation"/>
    <tableColumn id="10" xr3:uid="{F5B963B4-E048-40D1-AC01-D97D5F67AE76}" name="ODYM_Time_ID" dataCellStyle="03_Auto_Calcaulation"/>
    <tableColumn id="11" xr3:uid="{43ED79A9-519F-4C23-BA22-194E10516D9C}" name="ODYM_Region_(r)" dataCellStyle="03_Auto_Calcaulation"/>
    <tableColumn id="13" xr3:uid="{B57F12D7-00FD-493C-92A3-4D6DB243EF6F}" name="ODYM_Region_ID" dataCellStyle="03_Auto_Calcaulation"/>
    <tableColumn id="14" xr3:uid="{F2EE43E3-5A91-469F-A915-5877475A75FE}" name="ODYM_process_(p)" dataCellStyle="03_Auto_Calcaulation"/>
    <tableColumn id="15" xr3:uid="{9B2E773D-DA51-4352-9D94-B49832A9EBE1}" name="ODYM_Process_ID" dataCellStyle="03_Auto_Calcaulation"/>
    <tableColumn id="16" xr3:uid="{3227CEEB-58E2-42A7-AC5B-854A61B2704F}" name="ODYM_Good_(g)2" dataCellStyle="03_Auto_Calcaulation"/>
    <tableColumn id="17" xr3:uid="{13104E55-02AC-4314-8B8C-52D346888E23}" name="ODYM_Good_ID" dataCellStyle="03_Auto_Calcaulation"/>
    <tableColumn id="18" xr3:uid="{E00DB407-250D-494D-BB28-74434A589ADA}" name="ODYM_material_(m)" dataCellStyle="03_Auto_Calcaulation"/>
    <tableColumn id="19" xr3:uid="{A29150FC-978D-4A0F-8418-569362C48849}" name="ODYM_Material_ID" dataCellStyle="03_Auto_Calcaulation"/>
    <tableColumn id="20" xr3:uid="{0BA130D7-3A6D-4B10-AAA6-93BD96CF1C81}" name="ODYM_element_(e)" dataCellStyle="03_Auto_Calcaulation"/>
    <tableColumn id="21" xr3:uid="{D5B31B89-AAE5-4BBD-8A7C-A7D9DC6336AA}" name="ODYM_Element_ID" dataCellStyle="03_Auto_Calcaulation"/>
    <tableColumn id="22" xr3:uid="{D34D498B-9D3F-46B0-AC54-AE1454116FBB}" name="ODYM_Indices" dataCellStyle="03_Auto_Calcaulation"/>
    <tableColumn id="23" xr3:uid="{9456BA84-5504-4786-B226-8BFC3D7F3C12}" name="ODYM_Indices_Id" dataCellStyle="03_Auto_Calcaulation"/>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X51" totalsRowShown="0" tableBorderDxfId="71" headerRowCellStyle="05_Header">
  <autoFilter ref="A1:X51" xr:uid="{7602A998-85E6-499A-B1A3-C584F22BB41F}"/>
  <tableColumns count="24">
    <tableColumn id="33" xr3:uid="{2E104FB0-3B3F-413B-B1B0-969D126AA7B1}" name="Complete?" dataDxfId="70" dataCellStyle="04_Comments"/>
    <tableColumn id="1" xr3:uid="{B9E05773-FB7F-407B-8FB3-BE93F6BB50D9}" name="ID" dataDxfId="69">
      <calculatedColumnFormula>ROW()-1</calculatedColumnFormula>
    </tableColumn>
    <tableColumn id="2" xr3:uid="{4324CFF4-5791-4829-80A7-8BA4CF2CD799}" name="Process_ID" dataDxfId="68">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E1_TC_ID">
      <calculatedColumnFormula>"TC_E1"&amp;"_"&amp;RIGHT(J2,5)</calculatedColumnFormula>
    </tableColumn>
    <tableColumn id="6" xr3:uid="{FFED5F6C-3218-4158-B83E-E36CBDBE66D3}" name="E1_TC_Value[%]" dataCellStyle="01_Data_Input [%]"/>
    <tableColumn id="5" xr3:uid="{26CB53AE-C2DA-498F-83BC-637846312E64}" name="E2_TC_ID" dataCellStyle="01_Data_Input [%]">
      <calculatedColumnFormula>"TC_E2"&amp;"_"&amp;RIGHT(J2,5)</calculatedColumnFormula>
    </tableColumn>
    <tableColumn id="14" xr3:uid="{C58A0316-8CD5-40B7-8DAC-47E491863B51}" name="E2_TC_Value[%]" dataCellStyle="01_Data_Input [%]"/>
    <tableColumn id="7" xr3:uid="{D1AB31D7-FE03-4FA3-A841-2C6BF096BA38}" name="E3_TC_ID" dataCellStyle="01_Data_Input [%]">
      <calculatedColumnFormula>"TC_E3"&amp;"_"&amp;RIGHT(J2,5)</calculatedColumnFormula>
    </tableColumn>
    <tableColumn id="17" xr3:uid="{60C7719A-F2C4-4AA3-A9B0-A771C56BADEA}" name="E3_TC_Value[%]" dataCellStyle="01_Data_Input [%]"/>
    <tableColumn id="13" xr3:uid="{FA3232AA-9699-474E-89ED-66751D08AE6B}" name="E4_TC_ID" dataCellStyle="03_Auto_Calcaulation">
      <calculatedColumnFormula>"TC_E4"&amp;"_"&amp;RIGHT(J2,5)</calculatedColumnFormula>
    </tableColumn>
    <tableColumn id="19" xr3:uid="{11A00852-E330-489D-8B56-1C73C3A9C691}" name="E4_TC_Value[%]" dataCellStyle="01_Data_Input [%]"/>
    <tableColumn id="8" xr3:uid="{77EDBC0E-BDF7-4682-92C0-661F8E312A34}" name="E5_TC_ID" dataCellStyle="01_Data_Input [%]">
      <calculatedColumnFormula>"TC_E5"&amp;"_"&amp;RIGHT(J2,5)</calculatedColumnFormula>
    </tableColumn>
    <tableColumn id="9" xr3:uid="{49742E43-7315-4577-8422-C485B1C7EA82}" name="E5_TC_Value[%]" dataCellStyle="01_Data_Input [%]"/>
    <tableColumn id="11" xr3:uid="{88E975CA-F2D8-44B2-BA98-6C3708B14932}" name="E6_TC_ID" dataCellStyle="01_Data_Input [%]">
      <calculatedColumnFormula>"TC_E5"&amp;"_"&amp;RIGHT(J2,5)</calculatedColumnFormula>
    </tableColumn>
    <tableColumn id="12" xr3:uid="{40BC332F-5106-49AA-BDD6-5B38368DD552}" name="E6_TC_Value[%]" dataCellStyle="01_Data_Input [%]"/>
    <tableColumn id="48" xr3:uid="{9C12809D-8D40-408C-A396-D73EB8541DC7}" name="Comment" dataCellStyle="04_Comments"/>
    <tableColumn id="49" xr3:uid="{387957CD-8D09-40B8-A8FF-B016791D738C}" name="Static_TC_Ref"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Process_TCs2527" displayName="Tab_Process_TCs2527" ref="A1:Y149" totalsRowShown="0" headerRowDxfId="67" headerRowBorderDxfId="66" tableBorderDxfId="65">
  <autoFilter ref="A1:Y149" xr:uid="{7602A998-85E6-499A-B1A3-C584F22BB41F}"/>
  <sortState xmlns:xlrd2="http://schemas.microsoft.com/office/spreadsheetml/2017/richdata2" ref="A2:Y149">
    <sortCondition ref="D1:D149"/>
  </sortState>
  <tableColumns count="25">
    <tableColumn id="33" xr3:uid="{8D32234C-9537-417C-B55D-065038402726}" name="Complete?" dataDxfId="64" dataCellStyle="04_Comments"/>
    <tableColumn id="1" xr3:uid="{CE7CE076-C32F-4791-85A9-C6321A66E672}" name="ID" dataDxfId="63">
      <calculatedColumnFormula>ROW()-1</calculatedColumnFormula>
    </tableColumn>
    <tableColumn id="2" xr3:uid="{F7259AFD-9D16-4ACC-BDB2-8D0DCC203B92}" name="Process_ID" dataDxfId="62"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61" dataCellStyle="03_Auto_Calcaulation">
      <calculatedColumnFormula>_xlfn.XLOOKUP($D2,Tab_Def_Processes[Process_Name],Tab_Def_Processes[TC_Configuration],,0,)</calculatedColumnFormula>
    </tableColumn>
    <tableColumn id="10" xr3:uid="{1437CDCC-E7D9-4D67-98AD-AAB0084EBF1F}" name="Stock_Configuration" dataDxfId="60" dataCellStyle="03_Auto_Calcaulation">
      <calculatedColumnFormula>_xlfn.XLOOKUP($D2,Tab_Def_Processes[Process_Name],Tab_Def_Processes[Stock_Configuration],,0,)</calculatedColumnFormula>
    </tableColumn>
    <tableColumn id="8" xr3:uid="{FF6BEEBF-476A-4FA3-AABC-B42AD9B68C8F}" name="Outflow_count" dataDxfId="59" dataCellStyle="03_Auto_Calcaulation">
      <calculatedColumnFormula>_xlfn.XLOOKUP($D2,Tab_Def_Processes[Process_Name],Tab_Def_Processes[Outflow_count],,0,)</calculatedColumnFormula>
    </tableColumn>
    <tableColumn id="13" xr3:uid="{D50D257A-B253-4967-8EAD-E6A5964541AE}" name="Output_Flow" dataDxfId="58" dataCellStyle="02_Data_Input (DD)"/>
    <tableColumn id="58" xr3:uid="{30CA6363-44CF-47BB-852F-FC99B7871DBF}" name="Flow_ID">
      <calculatedColumnFormula>_xlfn.XLOOKUP($I2,Tab_Def_Flows[Flow_Name],Tab_Def_Flows[Flow_ID],,0,1)</calculatedColumnFormula>
    </tableColumn>
    <tableColumn id="5" xr3:uid="{14178014-57A1-4060-85AD-87A3EE5DEB58}" name="Year" dataCellStyle="01_Data_Input"/>
    <tableColumn id="47" xr3:uid="{216BDA3B-897B-4778-B689-9FC4086F4AC2}" name="E1_TC_ID">
      <calculatedColumnFormula>"TC_E1"&amp;"_"&amp;RIGHT(J2,5)</calculatedColumnFormula>
    </tableColumn>
    <tableColumn id="7" xr3:uid="{B6501728-CFCD-4CAF-8AE6-9FFFB31BB3EE}" name="E1_TC_Value[%]" dataCellStyle="01_Data_Input [%]"/>
    <tableColumn id="130" xr3:uid="{597A00C3-62A3-4A2E-9873-EF4CCC3D399C}" name="E2_TC_ID" dataDxfId="57" dataCellStyle="03_Auto_Calcaulation">
      <calculatedColumnFormula>"TC_E2"&amp;"_"&amp;RIGHT(J2,5)</calculatedColumnFormula>
    </tableColumn>
    <tableColumn id="3" xr3:uid="{F2AB626C-8252-40EA-BF3F-741936847253}" name="E2_TC_Value[%]" dataCellStyle="01_Data_Input [%]"/>
    <tableColumn id="9" xr3:uid="{237AC8FD-4E0C-4FE4-8F17-1BF1C65D5D48}" name="E3_TC_ID" dataCellStyle="01_Data_Input">
      <calculatedColumnFormula>"TC_E3"&amp;"_"&amp;RIGHT(J2,5)</calculatedColumnFormula>
    </tableColumn>
    <tableColumn id="62" xr3:uid="{8B4BDA15-ED38-4949-803C-738CA8CD4711}" name="E3_TC_Value[%]" dataCellStyle="01_Data_Input [%]"/>
    <tableColumn id="72" xr3:uid="{B8B4579E-4BDB-4E09-B029-B8A230690748}" name="E4_TC_ID" dataCellStyle="01_Data_Input">
      <calculatedColumnFormula>"TC_E4"&amp;"_"&amp;RIGHT(J2,5)</calculatedColumnFormula>
    </tableColumn>
    <tableColumn id="74" xr3:uid="{ACD058AB-4ED3-4363-A497-3E2D653AE01B}" name="E4_TC_Value[%]" dataCellStyle="01_Data_Input"/>
    <tableColumn id="11" xr3:uid="{8AF8DA49-8554-4F72-BA88-31B71DF63D9E}" name="E5_TC_ID" dataCellStyle="01_Data_Input">
      <calculatedColumnFormula>"TC_E5"&amp;"_"&amp;RIGHT(J2,5)</calculatedColumnFormula>
    </tableColumn>
    <tableColumn id="12" xr3:uid="{5854163A-C0AE-4C50-AB94-53EAD8DE575D}" name="E5_TC_Value[%]" dataCellStyle="01_Data_Input"/>
    <tableColumn id="16" xr3:uid="{641AF815-F49C-45A1-8CB6-CDB093E1F903}" name="E6_TC_ID" dataCellStyle="01_Data_Input">
      <calculatedColumnFormula>"TC_E6"&amp;"_"&amp;RIGHT(J2,5)</calculatedColumnFormula>
    </tableColumn>
    <tableColumn id="15" xr3:uid="{F0D83DE0-B476-48D2-898C-DE498E4FC95C}" name="E6_TC_Value[%]" dataCellStyle="01_Data_Input"/>
    <tableColumn id="52" xr3:uid="{926766EE-597F-4E0B-80BC-39D093C2EE72}" name="Comment" dataCellStyle="04_Comments"/>
    <tableColumn id="56" xr3:uid="{8A9A92CB-143A-4805-9B5B-6D25EEEC49C2}" name="Dyn_TC_Ref"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Process_Stock" displayName="Tab_Process_Stock" ref="A1:N51" totalsRowShown="0" tableBorderDxfId="56" headerRowCellStyle="05_Header">
  <autoFilter ref="A1:N51" xr:uid="{7602A998-85E6-499A-B1A3-C584F22BB41F}"/>
  <tableColumns count="14">
    <tableColumn id="24" xr3:uid="{799CF049-9A74-47E4-BCE6-68EB92DFEDD4}" name="Complete?" dataDxfId="55" dataCellStyle="04_Comments"/>
    <tableColumn id="1" xr3:uid="{75AB9428-C675-46D8-B904-74A952E29611}" name="ID" dataDxfId="54">
      <calculatedColumnFormula>ROW()-1</calculatedColumnFormula>
    </tableColumn>
    <tableColumn id="22" xr3:uid="{055CB3E4-C1DF-486D-9F8E-E65039E95278}" name="Stock_ID" dataDxfId="53">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6" xr3:uid="{DAE427B7-4679-42ED-84B1-C1B65D0B90A1}" name="IS_Parameter_ID" dataDxfId="52" dataCellStyle="03_Auto_Calcaulation"/>
    <tableColumn id="17" xr3:uid="{B0D60035-A4D1-4384-BE92-567E3D049F49}" name="IS_Parameter_type" dataDxfId="51" dataCellStyle="02_Data_Input (DD)"/>
    <tableColumn id="18" xr3:uid="{AA418A52-865B-4FB0-8CFC-493764532481}" name="IS_Parameter_Value" dataDxfId="50" dataCellStyle="01_Data_Input"/>
    <tableColumn id="3" xr3:uid="{DE11DF5F-FBE7-4B11-BB02-A382E53EFACF}" name="Comment" dataDxfId="49" dataCellStyle="04_Comments"/>
    <tableColumn id="5" xr3:uid="{D46F66B7-6AF3-4972-AC1F-C6188647601A}" name="IS_Ref" dataDxfId="48" dataCellStyle="04_Comments"/>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3A06D87-EA29-40BA-AF7A-DCE5038F2574}" name="Table14" displayName="Table14" ref="Q1:U22" totalsRowShown="0" tableBorderDxfId="47" headerRowCellStyle="05_Header" dataCellStyle="Explainer">
  <autoFilter ref="Q1:U22" xr:uid="{73A06D87-EA29-40BA-AF7A-DCE5038F2574}"/>
  <tableColumns count="5">
    <tableColumn id="2" xr3:uid="{41525730-E673-4549-B56E-9B3278701775}" name="IS_Parameter_type" dataCellStyle="Explainer"/>
    <tableColumn id="3" xr3:uid="{31CA290E-7DA1-4190-B555-F202E09C6292}" name="Expected_Value_Type" dataCellStyle="Explainer"/>
    <tableColumn id="4" xr3:uid="{AD1DD583-224E-4FCA-BF4E-1E859F94D351}" name="Required" dataCellStyle="Explainer"/>
    <tableColumn id="5" xr3:uid="{8D89C87B-96CF-4DE3-8D9B-4E970C22F600}" name="Example" dataCellStyle="Explainer"/>
    <tableColumn id="6" xr3:uid="{214ACB6A-EFDE-42C8-8338-AF6E8AAC019C}" name="Notes" dataCellStyle="Explainer"/>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N81" totalsRowShown="0" headerRowDxfId="46" dataDxfId="45" tableBorderDxfId="44">
  <autoFilter ref="A1:N81" xr:uid="{258723AD-03F6-4700-9C12-0435A55E108D}"/>
  <tableColumns count="14">
    <tableColumn id="1" xr3:uid="{33B8EF63-7663-4BA6-9B91-D446C0C9C276}" name="Complete?" dataCellStyle="04_Comments"/>
    <tableColumn id="2" xr3:uid="{6589C290-508A-4E8E-8896-B6E09EB1B594}" name="ID" dataDxfId="43">
      <calculatedColumnFormula>ROW()-1</calculatedColumnFormula>
    </tableColumn>
    <tableColumn id="4" xr3:uid="{F4E33EB8-7313-4BD5-8A0A-D0E18A2A18E9}" name="Process_ID" dataDxfId="42">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41">
      <calculatedColumnFormula>_xlfn.XLOOKUP($D2,Tab_Def_Processes[Process_Name],Tab_Def_Processes[Process_Logic],,0,)</calculatedColumnFormula>
    </tableColumn>
    <tableColumn id="12" xr3:uid="{A2F17CD8-5CAE-47C5-88AC-65F98D1E04A7}" name="TC_Configuration" dataDxfId="40">
      <calculatedColumnFormula>_xlfn.XLOOKUP($D2,Tab_Def_Processes[Process_Name],Tab_Def_Processes[TC_Configuration],,0,)</calculatedColumnFormula>
    </tableColumn>
    <tableColumn id="13" xr3:uid="{AAC3F32E-5E29-4B43-870A-6E7FC451D4C7}" name="Stock_Configuration" dataDxfId="39">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8" xr3:uid="{99A3121A-CD5C-4B52-91C0-62487C50A0D3}" name="DSM_Parameter_ID" dataCellStyle="03_Auto_Calcaulation">
      <calculatedColumnFormula>"P"&amp;Tab_DSM[[#This Row],[Process_ID]]&amp;"_"&amp;Tab_DSM[[#This Row],[DSM_Parameter_type]]&amp;"_Cat_"&amp;Tab_DSM[[#This Row],[DSM_material_count]]</calculatedColumnFormula>
    </tableColumn>
    <tableColumn id="9" xr3:uid="{70C64FF4-49A3-43A9-AA21-2E029546034F}" name="DSM_material_count" dataCellStyle="02_Data_Input (DD)"/>
    <tableColumn id="22" xr3:uid="{F69D3397-C898-470A-8F69-3BB568D42273}" name="DSM_Parameter_type" dataCellStyle="02_Data_Input (DD)"/>
    <tableColumn id="23" xr3:uid="{FE908E5D-0CE5-4674-AFB4-9BE63E440FEE}" name="DSM_Value" dataCellStyle="01_Data_Input"/>
    <tableColumn id="3" xr3:uid="{57750A80-FB91-4C6E-9189-2E99EE183050}" name="Comment" dataCellStyle="04_Comments"/>
    <tableColumn id="7" xr3:uid="{0B2BC397-B6C3-49CD-BEB0-F689F5EDEB49}" name="DSM_Ref" dataCellStyle="04_Comments"/>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C34C5FF-277A-48C7-AAE6-D43EA526D9DB}" name="Table11" displayName="Table11" ref="P2:U11" totalsRowShown="0" tableBorderDxfId="38" headerRowCellStyle="05_Header" dataCellStyle="Explainer">
  <autoFilter ref="P2:U11" xr:uid="{0C34C5FF-277A-48C7-AAE6-D43EA526D9DB}"/>
  <tableColumns count="6">
    <tableColumn id="6" xr3:uid="{3A64DE33-E497-41FA-B95D-19F62DDF4B1E}" name="ID" dataCellStyle="Explainer"/>
    <tableColumn id="1" xr3:uid="{560FCAD4-BB0D-447D-8AB5-1682245A9E97}" name="DSM_Lifetime_type" dataCellStyle="Explainer"/>
    <tableColumn id="8" xr3:uid="{04C08FA3-74C0-4D72-885C-DD18EC6D53D9}" name="Sub" dataCellStyle="Explainer"/>
    <tableColumn id="3" xr3:uid="{9002A1A2-1A0D-470C-B416-40DDDB560F80}" name="Required DSM_Parameter" dataCellStyle="Explainer"/>
    <tableColumn id="5" xr3:uid="{352C7F78-4AF4-4FE8-A264-0D06EAF07A8E}" name="DSM_Value_Example" dataCellStyle="Explainer"/>
    <tableColumn id="7" xr3:uid="{22FE2985-668B-4A0B-B545-2395206467E4}" name="Description" dataCellStyle="Explainer"/>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M41" totalsRowShown="0" dataDxfId="37" tableBorderDxfId="36" headerRowCellStyle="05_Header">
  <autoFilter ref="A1:M41" xr:uid="{258723AD-03F6-4700-9C12-0435A55E108D}"/>
  <tableColumns count="13">
    <tableColumn id="1" xr3:uid="{45321D18-7A58-4FFA-814A-4BFE5587094A}" name="Complete?" dataCellStyle="04_Comments"/>
    <tableColumn id="2" xr3:uid="{EC881CBD-180B-4D64-9A86-8AA6EC24B7F6}" name="ID" dataDxfId="35">
      <calculatedColumnFormula>ROW()-1</calculatedColumnFormula>
    </tableColumn>
    <tableColumn id="4" xr3:uid="{844E5006-9125-4DE3-A7C3-7D82AE3725EE}" name="Process_ID" dataDxfId="34">
      <calculatedColumnFormula>_xlfn.XLOOKUP($D2,Tab_Def_Processes[Process_Name],Tab_Def_Processes[Process_ID],,0,)</calculatedColumnFormula>
    </tableColumn>
    <tableColumn id="5" xr3:uid="{0A9A4390-230F-4C39-9AF5-D72E04524EC5}" name="Process_Name" dataCellStyle="02_Data_Input (DD)"/>
    <tableColumn id="6" xr3:uid="{27F8000C-3015-4447-BAA8-364798FFAAFF}" name="Process_Logic" dataDxfId="33">
      <calculatedColumnFormula>_xlfn.XLOOKUP($D2,Tab_Def_Processes[Process_Name],#REF!,,0,)</calculatedColumnFormula>
    </tableColumn>
    <tableColumn id="12" xr3:uid="{E84B3ABE-4E12-4E6F-A681-7D39D8B20B42}" name="TC_Configuration" dataDxfId="32">
      <calculatedColumnFormula>_xlfn.XLOOKUP($D2,Tab_Def_Processes[Process_Name],Tab_Def_Processes[TC_Configuration],,0,)</calculatedColumnFormula>
    </tableColumn>
    <tableColumn id="13" xr3:uid="{981DEE9B-FA47-4F47-8F80-39B1E8690449}" name="Stock_Configuration" dataDxfId="31">
      <calculatedColumnFormula>_xlfn.XLOOKUP($D2,Tab_Def_Processes[Process_Name],Tab_Def_Processes[Stock_Configuration],,0,)</calculatedColumnFormula>
    </tableColumn>
    <tableColumn id="3" xr3:uid="{781F7BA1-6A07-4128-9F11-258500CE741A}" name="Outflow_count" dataCellStyle="03_Auto_Calcaulation">
      <calculatedColumnFormula>_xlfn.XLOOKUP(Tab_FOMP[[#This Row],[Process_Name]],Tab_Def_Processes[Process_Name],Tab_Def_Processes[Outflow_count],,0,)</calculatedColumnFormula>
    </tableColumn>
    <tableColumn id="20" xr3:uid="{6A5DD362-CBD4-4CCE-A37A-ABE89C2CE35E}" name="FOMP_Parameter_ID" dataCellStyle="01_Data_Input">
      <calculatedColumnFormula>"P"&amp;Tab_FOMP[[#This Row],[Process_ID]]&amp;"_"&amp;Tab_FOMP[[#This Row],[FOMP_Parameter_type]]</calculatedColumnFormula>
    </tableColumn>
    <tableColumn id="9" xr3:uid="{545D9E22-DCCF-4BE4-8AE0-C675DDC76185}" name="FOMP_Parameter_type" dataCellStyle="02_Data_Input (DD)"/>
    <tableColumn id="15" xr3:uid="{3D2C668B-2C1F-4776-877F-9EF8A202650F}" name="FOMP_Parameter_Value"/>
    <tableColumn id="7" xr3:uid="{7FA70795-CD29-45F6-A55D-70574FC823AC}" name="Comment" dataDxfId="30"/>
    <tableColumn id="8" xr3:uid="{B91AF410-6B19-4204-A4A9-792FBB7D8207}" name="FOMP_Ref" dataDxfId="29"/>
  </tableColumns>
  <tableStyleInfo name="TableStyleLight8"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le1" displayName="Table1" ref="A1:L13" totalsRowShown="0" headerRowCellStyle="05_Header">
  <autoFilter ref="A1:L13" xr:uid="{3095CCF5-492B-4C20-9D33-0920A98FD616}"/>
  <tableColumns count="12">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 id="11" xr3:uid="{3624CE9D-75D7-4DB8-B24D-F02F3C379CE2}" name="Comment" dataCellStyle="01_Data_Input"/>
    <tableColumn id="12" xr3:uid="{1282AC53-0EBD-4AD2-80AA-8FFDE4F2289F}" name="MC_Ref" dataCellStyle="01_Data_Input"/>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ABAC9C-120A-4AAF-A960-80725C6E6D00}" name="Table12" displayName="Table12" ref="N1:T10" totalsRowShown="0" tableBorderDxfId="0" headerRowCellStyle="05_Header" dataCellStyle="Explainer">
  <autoFilter ref="N1:T10" xr:uid="{71ABAC9C-120A-4AAF-A960-80725C6E6D00}"/>
  <tableColumns count="7">
    <tableColumn id="1" xr3:uid="{CC8CAE7B-A134-4B95-8D76-209BEC53F278}" name="Id" dataCellStyle="Explainer"/>
    <tableColumn id="2" xr3:uid="{723C9DB9-F213-48AB-B044-96CB5CAE9D80}" name="Distribution_Type" dataCellStyle="Explainer"/>
    <tableColumn id="4" xr3:uid="{C588A139-F2BA-41DE-A8BA-BE60363F928B}" name="Parameter_Name" dataCellStyle="Explainer"/>
    <tableColumn id="5" xr3:uid="{BB60DCD0-3B37-4F12-A57C-3332CBABCF9D}" name="Param_1_Required" dataCellStyle="Explainer"/>
    <tableColumn id="6" xr3:uid="{0B20BD24-B127-4EE7-8331-8340148BD112}" name="Param_1_Example" dataCellStyle="Explainer"/>
    <tableColumn id="7" xr3:uid="{8687AE0B-3579-4820-810E-36729E4D457D}" name="Description" dataCellStyle="Explainer"/>
    <tableColumn id="8" xr3:uid="{0394282B-AF63-43A3-9131-1C2625FD49BF}" name="Use_For" dataCellStyle="Explainer"/>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le16" displayName="Table16" ref="A1:K18" totalsRowShown="0" headerRowCellStyle="05_Header">
  <autoFilter ref="A1:K18" xr:uid="{3095CCF5-492B-4C20-9D33-0920A98FD616}"/>
  <tableColumns count="11">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Name" dataCellStyle="02_Data_Input (DD)"/>
    <tableColumn id="2" xr3:uid="{6AF4B16C-D4A4-408D-B966-C9B1733D4F40}" name="Operation" dataCellStyle="02_Data_Input (DD)"/>
    <tableColumn id="3" xr3:uid="{EE97CA12-5E52-4F80-A451-F35FCA4D2F7B}" name="New_Value" dataDxfId="28" dataCellStyle="01_Data_Input"/>
    <tableColumn id="6" xr3:uid="{1B45FB7A-4CA2-4F7D-81DB-270B1D81AE53}" name="start_year" dataDxfId="27" dataCellStyle="01_Data_Input"/>
    <tableColumn id="5" xr3:uid="{A6D89D25-2F1B-4F9D-86FE-506D7CB5C8C3}" name="end_year" dataDxfId="26" dataCellStyle="01_Data_Input"/>
    <tableColumn id="4" xr3:uid="{B6084BCA-CF8C-4192-8E9B-085760694F2E}" name="Comment" dataCellStyle="04_Comments"/>
    <tableColumn id="7" xr3:uid="{2EF0C295-E4DE-4F6A-A13E-D389351E8291}" name="Scenario_Ref" dataDxfId="25" dataCellStyle="01_Data_Input"/>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8114B6D-AE10-4313-AC8D-D018600E6709}" name="Table7" displayName="Table7" ref="A1:I49" totalsRowShown="0" headerRowCellStyle="05_Header">
  <autoFilter ref="A1:I49" xr:uid="{98114B6D-AE10-4313-AC8D-D018600E6709}"/>
  <tableColumns count="9">
    <tableColumn id="9" xr3:uid="{D30835E3-6F52-47C2-B388-8400EFE73FA4}" name="Complete?"/>
    <tableColumn id="1" xr3:uid="{D8E38F96-7A8F-43A9-B443-820C08C1C602}" name="ID" dataCellStyle="03_Auto_Calcaulation">
      <calculatedColumnFormula>ROW()-1</calculatedColumnFormula>
    </tableColumn>
    <tableColumn id="2" xr3:uid="{40390C4E-0FD9-4C63-B1CD-EE69262B7AA8}" name="Reference_ID" dataCellStyle="03_Auto_Calcaulation">
      <calculatedColumnFormula>IF(Table7[[#This Row],[Complete?]],"["&amp;Table7[[#This Row],[ID]]&amp;"]","not_complete")</calculatedColumnFormula>
    </tableColumn>
    <tableColumn id="3" xr3:uid="{C7586A95-2D4A-4FCD-A6DE-3D7F8F67E03B}" name="Type" dataCellStyle="02_Data_Input (DD)"/>
    <tableColumn id="4" xr3:uid="{4A55C403-85CA-4CD6-B2B1-5DBCCC0817A7}" name="Author(s)" dataCellStyle="01_Data_Input"/>
    <tableColumn id="5" xr3:uid="{E1D405D5-F14B-48AB-82D7-550E43C47393}" name="Year" dataCellStyle="01_Data_Input"/>
    <tableColumn id="6" xr3:uid="{D86D4907-4D91-4A3C-8987-430E578C9FCD}" name="Title" dataCellStyle="01_Data_Input"/>
    <tableColumn id="7" xr3:uid="{A450843F-4218-4000-8042-545B68942D0A}" name="DOI/URL" dataCellStyle="01_Data_Input"/>
    <tableColumn id="8" xr3:uid="{63D67C95-A082-4559-86EE-ACD5A37DBECF}" name="Notes (How was the source used)?" dataCellStyle="01_Data_Input"/>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24" dataDxfId="22" headerRowBorderDxfId="23" tableBorderDxfId="21">
  <autoFilter ref="A2:C4" xr:uid="{A751E245-CE06-4120-A5B6-983A2C16A83A}"/>
  <tableColumns count="3">
    <tableColumn id="1" xr3:uid="{BEE55201-A320-416B-B2A6-D70873C69341}" name="ID" totalsRowLabel="Total" dataDxfId="20" totalsRowDxfId="19"/>
    <tableColumn id="2" xr3:uid="{D971DC75-914A-4C09-B5D7-6AC4DBA907AE}" name="YesNo" dataDxfId="18" totalsRowDxfId="17"/>
    <tableColumn id="3" xr3:uid="{45A829CF-CF33-4932-9C29-ADB5FCB61638}" name="Description" totalsRowFunction="count" dataDxfId="16" totalsRowDxfId="15"/>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10:C118" totalsRowShown="0">
  <autoFilter ref="A110:C118"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36:J152" totalsRowShown="0">
  <autoFilter ref="A136:J152"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23:C127" totalsRowCount="1">
  <autoFilter ref="A123:C126"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1:C29" totalsRowCount="1" headerRowDxfId="14" dataDxfId="12" headerRowBorderDxfId="13" tableBorderDxfId="11">
  <autoFilter ref="A21:C28" xr:uid="{A4BAA253-5F93-43FA-B29F-0B6F3C3B9A9C}"/>
  <tableColumns count="3">
    <tableColumn id="1" xr3:uid="{3A2104AE-491E-45BA-88C6-52AF33E41E9B}" name="ID" totalsRowLabel="Total" dataDxfId="10"/>
    <tableColumn id="2" xr3:uid="{AAD1EC56-358F-4A14-A0AD-C4BC8B6E13DE}" name="Process_Logic" dataDxfId="9"/>
    <tableColumn id="3" xr3:uid="{1EB10FD9-8576-45BA-8784-E6052E611FF6}" name="Description" totalsRowFunction="count" dataDxfId="8"/>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39:C46" totalsRowCount="1">
  <autoFilter ref="A39:C45"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99:C107" totalsRowCount="1">
  <autoFilter ref="A99:C106" xr:uid="{357A56F8-9C08-4E91-AAD5-843DF5BC4E7B}"/>
  <tableColumns count="3">
    <tableColumn id="1" xr3:uid="{CCE101C1-A936-41F4-8163-63F3E5FAE155}" name="ID" totalsRowLabel="Total"/>
    <tableColumn id="2" xr3:uid="{E9D08057-D839-40B6-93C9-DA0BB1526F44}" name="DSM_Parameter_type" dataCellStyle="Normal"/>
    <tableColumn id="3" xr3:uid="{5062C71F-54BB-4FE5-8513-4F73539C39F4}" name="Description" totalsRowFunction="count"/>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2:C36" totalsRowCount="1">
  <autoFilter ref="A32:C35"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Table35" displayName="Table35" ref="A49:C60" totalsRowCount="1">
  <autoFilter ref="A49:C59"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86:C96" totalsRowCount="1">
  <autoFilter ref="A86:C95"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30:C134" totalsRowShown="0">
  <autoFilter ref="A130:C134"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Process_Logic3" displayName="CL_Process_Logic3" ref="A8:C16" totalsRowCount="1" headerRowDxfId="7" dataDxfId="5" headerRowBorderDxfId="6" tableBorderDxfId="4">
  <autoFilter ref="A8:C15" xr:uid="{E2293C0A-5756-426A-B8A4-A89491BD1F7E}"/>
  <tableColumns count="3">
    <tableColumn id="1" xr3:uid="{505A46C4-98F2-4944-9378-7D9D5EF097BF}" name="ID" totalsRowLabel="Total" dataDxfId="3"/>
    <tableColumn id="2" xr3:uid="{0205D6CD-02D0-4DBA-AB67-24E2273A5C75}" name="Unit_of_Measurement" dataDxfId="2"/>
    <tableColumn id="3" xr3:uid="{0D3F2421-A05F-4A0A-9536-D3F214963F8C}" name="Description" totalsRowFunction="count" dataDxfId="1"/>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8A11AF-C2F8-4E01-B8D6-67E2CCC1A4D5}" name="Table354" displayName="Table354" ref="A63:C83" totalsRowCount="1">
  <autoFilter ref="A63:C82" xr:uid="{AD8A11AF-C2F8-4E01-B8D6-67E2CCC1A4D5}"/>
  <tableColumns count="3">
    <tableColumn id="1" xr3:uid="{5C952513-DAA3-4B99-B61C-6ADB68D7F1D6}" name="ID" totalsRowLabel="Total"/>
    <tableColumn id="2" xr3:uid="{1E1CA0CF-37FA-4A04-BC0F-EFEA62931305}" name="IS_Parameter_type" dataCellStyle="Normal"/>
    <tableColumn id="3" xr3:uid="{AD8C2F01-F200-417E-AED5-3B712F1D0384}" name="Description" totalsRowFunction="count"/>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B6F5DEC-3365-466A-95FA-3472FE926238}" name="Table9" displayName="Table9" ref="A155:D165" totalsRowShown="0">
  <autoFilter ref="A155:D165" xr:uid="{3B6F5DEC-3365-466A-95FA-3472FE926238}"/>
  <tableColumns count="4">
    <tableColumn id="1" xr3:uid="{2BDCBC25-48C6-400D-99E5-6A317CCD16AC}" name="ID"/>
    <tableColumn id="2" xr3:uid="{E4BB1D00-572F-4056-9602-89CAEC20A1F7}" name="Code"/>
    <tableColumn id="3" xr3:uid="{21EDA0EF-2CAF-4700-8CCD-F0E6A2ECD1A8}" name="Type"/>
    <tableColumn id="4" xr3:uid="{56394AFA-8A7D-4296-89E1-9222048B99BF}" name="Descriptio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8.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9.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3.vml"/><Relationship Id="rId1" Type="http://schemas.openxmlformats.org/officeDocument/2006/relationships/printerSettings" Target="../printerSettings/printerSettings1.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4.vml"/><Relationship Id="rId1" Type="http://schemas.openxmlformats.org/officeDocument/2006/relationships/printerSettings" Target="../printerSettings/printerSettings2.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2.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3.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vmlDrawing" Target="../drawings/vmlDrawing7.vml"/><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table" Target="../tables/table16.xml"/><Relationship Id="rId1" Type="http://schemas.openxmlformats.org/officeDocument/2006/relationships/vmlDrawing" Target="../drawings/vmlDrawing8.vml"/><Relationship Id="rId4"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8.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table" Target="../tables/table19.xml"/><Relationship Id="rId1" Type="http://schemas.openxmlformats.org/officeDocument/2006/relationships/vmlDrawing" Target="../drawings/vmlDrawing10.vml"/><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21.xml"/><Relationship Id="rId1" Type="http://schemas.openxmlformats.org/officeDocument/2006/relationships/vmlDrawing" Target="../drawings/vmlDrawing11.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22.xml"/><Relationship Id="rId1"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3" Type="http://schemas.openxmlformats.org/officeDocument/2006/relationships/table" Target="../tables/table24.xml"/><Relationship Id="rId7" Type="http://schemas.openxmlformats.org/officeDocument/2006/relationships/table" Target="../tables/table28.xml"/><Relationship Id="rId12" Type="http://schemas.openxmlformats.org/officeDocument/2006/relationships/table" Target="../tables/table33.xml"/><Relationship Id="rId2" Type="http://schemas.openxmlformats.org/officeDocument/2006/relationships/table" Target="../tables/table23.xml"/><Relationship Id="rId1" Type="http://schemas.openxmlformats.org/officeDocument/2006/relationships/printerSettings" Target="../printerSettings/printerSettings3.bin"/><Relationship Id="rId6" Type="http://schemas.openxmlformats.org/officeDocument/2006/relationships/table" Target="../tables/table27.xml"/><Relationship Id="rId11" Type="http://schemas.openxmlformats.org/officeDocument/2006/relationships/table" Target="../tables/table32.xml"/><Relationship Id="rId5" Type="http://schemas.openxmlformats.org/officeDocument/2006/relationships/table" Target="../tables/table26.xml"/><Relationship Id="rId15" Type="http://schemas.openxmlformats.org/officeDocument/2006/relationships/table" Target="../tables/table36.xml"/><Relationship Id="rId10" Type="http://schemas.openxmlformats.org/officeDocument/2006/relationships/table" Target="../tables/table31.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codeName="Sheet1">
    <tabColor rgb="FFFFFF00"/>
  </sheetPr>
  <dimension ref="A1:E91"/>
  <sheetViews>
    <sheetView topLeftCell="A69" zoomScale="40" zoomScaleNormal="40" workbookViewId="0">
      <selection activeCell="AL125" sqref="AL125"/>
    </sheetView>
  </sheetViews>
  <sheetFormatPr defaultRowHeight="15" x14ac:dyDescent="0.25"/>
  <cols>
    <col min="1" max="1" width="5.42578125" customWidth="1"/>
    <col min="2" max="2" width="43.85546875" style="1" customWidth="1"/>
    <col min="3" max="4" width="81.140625" style="1" bestFit="1" customWidth="1"/>
    <col min="5" max="5" width="2.85546875" customWidth="1"/>
  </cols>
  <sheetData>
    <row r="1" spans="5:5" x14ac:dyDescent="0.25">
      <c r="E1" s="40"/>
    </row>
    <row r="2" spans="5:5" x14ac:dyDescent="0.25">
      <c r="E2" s="40"/>
    </row>
    <row r="3" spans="5:5" x14ac:dyDescent="0.25">
      <c r="E3" s="40"/>
    </row>
    <row r="4" spans="5:5" x14ac:dyDescent="0.25">
      <c r="E4" s="40"/>
    </row>
    <row r="5" spans="5:5" x14ac:dyDescent="0.25">
      <c r="E5" s="40"/>
    </row>
    <row r="6" spans="5:5" x14ac:dyDescent="0.25">
      <c r="E6" s="40"/>
    </row>
    <row r="7" spans="5:5" x14ac:dyDescent="0.25">
      <c r="E7" s="40"/>
    </row>
    <row r="8" spans="5:5" x14ac:dyDescent="0.25">
      <c r="E8" s="40"/>
    </row>
    <row r="9" spans="5:5" x14ac:dyDescent="0.25">
      <c r="E9" s="40"/>
    </row>
    <row r="10" spans="5:5" x14ac:dyDescent="0.25">
      <c r="E10" s="40"/>
    </row>
    <row r="11" spans="5:5" x14ac:dyDescent="0.25">
      <c r="E11" s="40"/>
    </row>
    <row r="12" spans="5:5" x14ac:dyDescent="0.25">
      <c r="E12" s="40"/>
    </row>
    <row r="13" spans="5:5" x14ac:dyDescent="0.25">
      <c r="E13" s="40"/>
    </row>
    <row r="14" spans="5:5" x14ac:dyDescent="0.25">
      <c r="E14" s="40"/>
    </row>
    <row r="15" spans="5:5" x14ac:dyDescent="0.25">
      <c r="E15" s="40"/>
    </row>
    <row r="16" spans="5:5" x14ac:dyDescent="0.25">
      <c r="E16" s="40"/>
    </row>
    <row r="17" spans="1:5" ht="66" customHeight="1" x14ac:dyDescent="0.9">
      <c r="B17" s="104" t="s">
        <v>437</v>
      </c>
      <c r="C17" s="105"/>
      <c r="D17" s="105"/>
      <c r="E17" s="40"/>
    </row>
    <row r="18" spans="1:5" x14ac:dyDescent="0.25">
      <c r="B18" s="1" t="s">
        <v>250</v>
      </c>
      <c r="C18" s="1" t="s">
        <v>567</v>
      </c>
      <c r="E18" s="40"/>
    </row>
    <row r="19" spans="1:5" x14ac:dyDescent="0.25">
      <c r="B19" s="1" t="s">
        <v>251</v>
      </c>
      <c r="C19" s="42">
        <v>45985</v>
      </c>
      <c r="E19" s="40"/>
    </row>
    <row r="20" spans="1:5" x14ac:dyDescent="0.25">
      <c r="B20" s="1" t="s">
        <v>280</v>
      </c>
      <c r="C20" s="1" t="s">
        <v>252</v>
      </c>
      <c r="D20" s="1" t="s">
        <v>440</v>
      </c>
      <c r="E20" s="40"/>
    </row>
    <row r="21" spans="1:5" x14ac:dyDescent="0.25">
      <c r="C21" s="1" t="s">
        <v>438</v>
      </c>
      <c r="D21" s="1" t="s">
        <v>440</v>
      </c>
      <c r="E21" s="40"/>
    </row>
    <row r="22" spans="1:5" x14ac:dyDescent="0.25">
      <c r="C22" s="1" t="s">
        <v>64</v>
      </c>
      <c r="D22" s="1" t="s">
        <v>440</v>
      </c>
      <c r="E22" s="40"/>
    </row>
    <row r="23" spans="1:5" x14ac:dyDescent="0.25">
      <c r="C23" s="1" t="s">
        <v>439</v>
      </c>
      <c r="D23" s="1" t="s">
        <v>440</v>
      </c>
      <c r="E23" s="40"/>
    </row>
    <row r="24" spans="1:5" x14ac:dyDescent="0.25">
      <c r="B24" s="1" t="s">
        <v>253</v>
      </c>
      <c r="C24" s="43" t="s">
        <v>254</v>
      </c>
      <c r="E24" s="40"/>
    </row>
    <row r="25" spans="1:5" x14ac:dyDescent="0.25">
      <c r="E25" s="40"/>
    </row>
    <row r="26" spans="1:5" x14ac:dyDescent="0.25">
      <c r="E26" s="40"/>
    </row>
    <row r="27" spans="1:5" ht="31.5" customHeight="1" x14ac:dyDescent="0.5">
      <c r="A27" s="101" t="s">
        <v>209</v>
      </c>
      <c r="B27" s="101"/>
      <c r="C27" s="101"/>
      <c r="D27" s="101"/>
      <c r="E27" s="40"/>
    </row>
    <row r="28" spans="1:5" x14ac:dyDescent="0.25">
      <c r="A28" s="49" t="s">
        <v>4</v>
      </c>
      <c r="B28" s="49" t="s">
        <v>256</v>
      </c>
      <c r="C28" s="49" t="s">
        <v>257</v>
      </c>
      <c r="D28" s="49" t="s">
        <v>258</v>
      </c>
      <c r="E28" s="40"/>
    </row>
    <row r="29" spans="1:5" x14ac:dyDescent="0.25">
      <c r="A29" s="1">
        <v>1</v>
      </c>
      <c r="B29" s="1" t="s">
        <v>497</v>
      </c>
      <c r="C29" s="1" t="s">
        <v>493</v>
      </c>
      <c r="D29" s="1" t="s">
        <v>259</v>
      </c>
      <c r="E29" s="40"/>
    </row>
    <row r="30" spans="1:5" ht="30" x14ac:dyDescent="0.25">
      <c r="A30" s="1">
        <v>2</v>
      </c>
      <c r="B30" s="1" t="s">
        <v>498</v>
      </c>
      <c r="C30" s="1" t="s">
        <v>494</v>
      </c>
      <c r="D30" s="1" t="s">
        <v>240</v>
      </c>
      <c r="E30" s="40"/>
    </row>
    <row r="31" spans="1:5" ht="60" x14ac:dyDescent="0.25">
      <c r="A31" s="1">
        <v>3</v>
      </c>
      <c r="B31" s="1" t="s">
        <v>499</v>
      </c>
      <c r="C31" s="1" t="s">
        <v>495</v>
      </c>
      <c r="D31" s="1" t="s">
        <v>505</v>
      </c>
      <c r="E31" s="40"/>
    </row>
    <row r="32" spans="1:5" ht="30" x14ac:dyDescent="0.25">
      <c r="A32" s="1">
        <v>4</v>
      </c>
      <c r="B32" s="1" t="s">
        <v>500</v>
      </c>
      <c r="C32" s="1" t="s">
        <v>496</v>
      </c>
      <c r="D32" s="1" t="s">
        <v>501</v>
      </c>
      <c r="E32" s="40"/>
    </row>
    <row r="33" spans="1:5" ht="30" x14ac:dyDescent="0.25">
      <c r="A33" s="1">
        <v>5</v>
      </c>
      <c r="B33" s="1" t="s">
        <v>502</v>
      </c>
      <c r="C33" s="1" t="s">
        <v>503</v>
      </c>
      <c r="D33" s="1" t="s">
        <v>504</v>
      </c>
      <c r="E33" s="40"/>
    </row>
    <row r="34" spans="1:5" ht="60" x14ac:dyDescent="0.25">
      <c r="A34" s="1">
        <v>6</v>
      </c>
      <c r="B34" s="1" t="s">
        <v>506</v>
      </c>
      <c r="C34" s="1" t="s">
        <v>507</v>
      </c>
      <c r="E34" s="40"/>
    </row>
    <row r="35" spans="1:5" x14ac:dyDescent="0.25">
      <c r="A35" s="102"/>
      <c r="B35" s="103"/>
      <c r="C35" s="103"/>
      <c r="D35" s="103"/>
      <c r="E35" s="40"/>
    </row>
    <row r="36" spans="1:5" x14ac:dyDescent="0.25">
      <c r="A36" t="s">
        <v>4</v>
      </c>
      <c r="B36" s="1" t="s">
        <v>260</v>
      </c>
      <c r="C36" s="1" t="s">
        <v>261</v>
      </c>
      <c r="D36" s="1" t="s">
        <v>208</v>
      </c>
      <c r="E36" s="40"/>
    </row>
    <row r="37" spans="1:5" x14ac:dyDescent="0.25">
      <c r="A37" s="44">
        <v>1</v>
      </c>
      <c r="B37" s="44" t="s">
        <v>262</v>
      </c>
      <c r="C37" s="44" t="s">
        <v>266</v>
      </c>
      <c r="D37" s="44" t="s">
        <v>270</v>
      </c>
      <c r="E37" s="40"/>
    </row>
    <row r="38" spans="1:5" x14ac:dyDescent="0.25">
      <c r="A38" s="45">
        <v>2</v>
      </c>
      <c r="B38" s="45" t="s">
        <v>263</v>
      </c>
      <c r="C38" s="45" t="s">
        <v>267</v>
      </c>
      <c r="D38" s="45" t="s">
        <v>271</v>
      </c>
      <c r="E38" s="40"/>
    </row>
    <row r="39" spans="1:5" x14ac:dyDescent="0.25">
      <c r="A39" s="46">
        <v>3</v>
      </c>
      <c r="B39" s="46" t="s">
        <v>264</v>
      </c>
      <c r="C39" s="46" t="s">
        <v>268</v>
      </c>
      <c r="D39" s="46" t="s">
        <v>272</v>
      </c>
      <c r="E39" s="40"/>
    </row>
    <row r="40" spans="1:5" x14ac:dyDescent="0.25">
      <c r="A40" s="47">
        <v>4</v>
      </c>
      <c r="B40" s="47" t="s">
        <v>265</v>
      </c>
      <c r="C40" s="47" t="s">
        <v>269</v>
      </c>
      <c r="D40" s="47" t="s">
        <v>273</v>
      </c>
      <c r="E40" s="40"/>
    </row>
    <row r="41" spans="1:5" ht="31.5" customHeight="1" x14ac:dyDescent="0.5">
      <c r="A41" s="101" t="s">
        <v>255</v>
      </c>
      <c r="B41" s="101"/>
      <c r="C41" s="101"/>
      <c r="D41" s="101"/>
      <c r="E41" s="40"/>
    </row>
    <row r="42" spans="1:5" x14ac:dyDescent="0.25">
      <c r="A42" s="1" t="s">
        <v>4</v>
      </c>
      <c r="B42" s="1" t="s">
        <v>210</v>
      </c>
      <c r="C42" s="1" t="s">
        <v>211</v>
      </c>
      <c r="D42" s="38" t="s">
        <v>217</v>
      </c>
      <c r="E42" s="41"/>
    </row>
    <row r="43" spans="1:5" ht="45" x14ac:dyDescent="0.25">
      <c r="A43" s="1">
        <v>1</v>
      </c>
      <c r="B43" s="1" t="s">
        <v>508</v>
      </c>
      <c r="C43" s="1" t="s">
        <v>509</v>
      </c>
      <c r="D43" s="1" t="s">
        <v>212</v>
      </c>
      <c r="E43" s="41"/>
    </row>
    <row r="44" spans="1:5" ht="30" x14ac:dyDescent="0.25">
      <c r="A44" s="1">
        <v>2</v>
      </c>
      <c r="B44" s="1" t="s">
        <v>510</v>
      </c>
      <c r="C44" s="1" t="s">
        <v>511</v>
      </c>
      <c r="D44" s="1" t="s">
        <v>213</v>
      </c>
      <c r="E44" s="41"/>
    </row>
    <row r="45" spans="1:5" ht="45" x14ac:dyDescent="0.25">
      <c r="A45" s="1">
        <v>3</v>
      </c>
      <c r="B45" s="1" t="s">
        <v>512</v>
      </c>
      <c r="C45" s="1" t="s">
        <v>513</v>
      </c>
      <c r="D45" s="1" t="s">
        <v>214</v>
      </c>
      <c r="E45" s="41"/>
    </row>
    <row r="46" spans="1:5" ht="60" x14ac:dyDescent="0.25">
      <c r="A46" s="1">
        <v>4</v>
      </c>
      <c r="B46" s="1" t="s">
        <v>514</v>
      </c>
      <c r="C46" s="1" t="s">
        <v>515</v>
      </c>
      <c r="D46" s="1" t="s">
        <v>215</v>
      </c>
      <c r="E46" s="41"/>
    </row>
    <row r="47" spans="1:5" ht="30" x14ac:dyDescent="0.25">
      <c r="A47" s="1">
        <v>5</v>
      </c>
      <c r="B47" s="1" t="s">
        <v>516</v>
      </c>
      <c r="C47" s="1" t="s">
        <v>517</v>
      </c>
      <c r="E47" s="40"/>
    </row>
    <row r="48" spans="1:5" ht="75" x14ac:dyDescent="0.25">
      <c r="A48" s="1">
        <v>6</v>
      </c>
      <c r="B48" s="1" t="s">
        <v>518</v>
      </c>
      <c r="C48" s="1" t="s">
        <v>519</v>
      </c>
      <c r="D48" s="1" t="s">
        <v>200</v>
      </c>
      <c r="E48" s="40"/>
    </row>
    <row r="49" spans="1:5" ht="31.5" x14ac:dyDescent="0.5">
      <c r="A49" s="101" t="s">
        <v>216</v>
      </c>
      <c r="B49" s="101"/>
      <c r="C49" s="101"/>
      <c r="D49" s="101"/>
      <c r="E49" s="40"/>
    </row>
    <row r="50" spans="1:5" x14ac:dyDescent="0.25">
      <c r="A50" s="1" t="s">
        <v>4</v>
      </c>
      <c r="B50" s="1" t="s">
        <v>201</v>
      </c>
      <c r="C50" s="1" t="s">
        <v>202</v>
      </c>
      <c r="D50" s="1" t="s">
        <v>217</v>
      </c>
      <c r="E50" s="40"/>
    </row>
    <row r="51" spans="1:5" x14ac:dyDescent="0.25">
      <c r="A51" s="1">
        <v>1</v>
      </c>
      <c r="B51" t="s">
        <v>550</v>
      </c>
      <c r="C51" s="1" t="s">
        <v>554</v>
      </c>
      <c r="D51" s="1" t="s">
        <v>551</v>
      </c>
      <c r="E51" s="40"/>
    </row>
    <row r="52" spans="1:5" x14ac:dyDescent="0.25">
      <c r="A52" s="1">
        <v>2</v>
      </c>
      <c r="B52" t="s">
        <v>172</v>
      </c>
      <c r="C52" s="1" t="s">
        <v>555</v>
      </c>
      <c r="E52" s="40"/>
    </row>
    <row r="53" spans="1:5" x14ac:dyDescent="0.25">
      <c r="A53" s="1">
        <v>3</v>
      </c>
      <c r="B53" t="s">
        <v>173</v>
      </c>
      <c r="C53" s="1" t="s">
        <v>556</v>
      </c>
      <c r="E53" s="40"/>
    </row>
    <row r="54" spans="1:5" x14ac:dyDescent="0.25">
      <c r="A54" s="1">
        <v>4</v>
      </c>
      <c r="B54" t="s">
        <v>174</v>
      </c>
      <c r="C54" s="1" t="s">
        <v>557</v>
      </c>
      <c r="E54" s="40"/>
    </row>
    <row r="55" spans="1:5" x14ac:dyDescent="0.25">
      <c r="A55" s="1">
        <v>5</v>
      </c>
      <c r="B55" t="s">
        <v>180</v>
      </c>
      <c r="C55" s="1" t="s">
        <v>558</v>
      </c>
      <c r="E55" s="40"/>
    </row>
    <row r="56" spans="1:5" x14ac:dyDescent="0.25">
      <c r="A56" s="1">
        <v>6</v>
      </c>
      <c r="B56" t="s">
        <v>181</v>
      </c>
      <c r="C56" s="1" t="s">
        <v>559</v>
      </c>
      <c r="E56" s="40"/>
    </row>
    <row r="57" spans="1:5" x14ac:dyDescent="0.25">
      <c r="A57" s="1">
        <v>7</v>
      </c>
      <c r="B57" t="s">
        <v>182</v>
      </c>
      <c r="C57" s="1" t="s">
        <v>560</v>
      </c>
      <c r="E57" s="40"/>
    </row>
    <row r="58" spans="1:5" x14ac:dyDescent="0.25">
      <c r="A58" s="1">
        <v>8</v>
      </c>
      <c r="B58" t="s">
        <v>175</v>
      </c>
      <c r="C58" s="1" t="s">
        <v>561</v>
      </c>
      <c r="E58" s="40"/>
    </row>
    <row r="59" spans="1:5" x14ac:dyDescent="0.25">
      <c r="A59" s="1">
        <v>9</v>
      </c>
      <c r="B59" t="s">
        <v>176</v>
      </c>
      <c r="C59" s="1" t="s">
        <v>562</v>
      </c>
      <c r="E59" s="40"/>
    </row>
    <row r="60" spans="1:5" x14ac:dyDescent="0.25">
      <c r="A60" s="1">
        <v>10</v>
      </c>
      <c r="B60" t="s">
        <v>178</v>
      </c>
      <c r="C60" s="1" t="s">
        <v>563</v>
      </c>
      <c r="E60" s="40"/>
    </row>
    <row r="61" spans="1:5" x14ac:dyDescent="0.25">
      <c r="A61" s="1">
        <v>11</v>
      </c>
      <c r="B61" t="s">
        <v>177</v>
      </c>
      <c r="C61" s="1" t="s">
        <v>564</v>
      </c>
      <c r="E61" s="40"/>
    </row>
    <row r="62" spans="1:5" x14ac:dyDescent="0.25">
      <c r="A62" s="1">
        <v>12</v>
      </c>
      <c r="B62" t="s">
        <v>552</v>
      </c>
      <c r="C62" s="1" t="s">
        <v>565</v>
      </c>
      <c r="E62" s="40"/>
    </row>
    <row r="63" spans="1:5" x14ac:dyDescent="0.25">
      <c r="A63" s="1">
        <v>13</v>
      </c>
      <c r="B63" t="s">
        <v>553</v>
      </c>
      <c r="C63" s="1" t="s">
        <v>566</v>
      </c>
      <c r="E63" s="40"/>
    </row>
    <row r="64" spans="1:5" x14ac:dyDescent="0.25">
      <c r="E64" s="40"/>
    </row>
    <row r="65" spans="1:5" ht="31.5" customHeight="1" x14ac:dyDescent="0.5">
      <c r="A65" s="101" t="s">
        <v>218</v>
      </c>
      <c r="B65" s="101"/>
      <c r="C65" s="101"/>
      <c r="D65" s="101"/>
      <c r="E65" s="40"/>
    </row>
    <row r="66" spans="1:5" x14ac:dyDescent="0.25">
      <c r="A66" s="1" t="s">
        <v>4</v>
      </c>
      <c r="B66" s="1" t="s">
        <v>219</v>
      </c>
      <c r="C66" s="1" t="s">
        <v>220</v>
      </c>
      <c r="D66" s="1" t="s">
        <v>208</v>
      </c>
      <c r="E66" s="40"/>
    </row>
    <row r="67" spans="1:5" ht="45" x14ac:dyDescent="0.25">
      <c r="A67" s="1">
        <v>1</v>
      </c>
      <c r="B67" s="1" t="s">
        <v>221</v>
      </c>
      <c r="C67" s="90" t="s">
        <v>520</v>
      </c>
      <c r="D67" s="1" t="s">
        <v>222</v>
      </c>
      <c r="E67" s="40"/>
    </row>
    <row r="68" spans="1:5" ht="30" x14ac:dyDescent="0.25">
      <c r="A68" s="1">
        <v>2</v>
      </c>
      <c r="B68" s="1" t="s">
        <v>135</v>
      </c>
      <c r="C68" s="90" t="s">
        <v>521</v>
      </c>
      <c r="D68" s="1" t="s">
        <v>223</v>
      </c>
      <c r="E68" s="40"/>
    </row>
    <row r="69" spans="1:5" ht="120" x14ac:dyDescent="0.25">
      <c r="A69" s="1">
        <v>3</v>
      </c>
      <c r="B69" s="1" t="s">
        <v>128</v>
      </c>
      <c r="C69" s="90" t="s">
        <v>522</v>
      </c>
      <c r="D69" s="90" t="s">
        <v>523</v>
      </c>
      <c r="E69" s="40"/>
    </row>
    <row r="70" spans="1:5" ht="30" x14ac:dyDescent="0.25">
      <c r="A70" s="1">
        <v>4</v>
      </c>
      <c r="B70" s="1" t="s">
        <v>224</v>
      </c>
      <c r="C70" s="90" t="s">
        <v>524</v>
      </c>
      <c r="D70" s="1" t="s">
        <v>225</v>
      </c>
      <c r="E70" s="40"/>
    </row>
    <row r="71" spans="1:5" ht="135" x14ac:dyDescent="0.25">
      <c r="A71" s="1">
        <v>5</v>
      </c>
      <c r="B71" s="1" t="s">
        <v>226</v>
      </c>
      <c r="C71" s="91" t="s">
        <v>525</v>
      </c>
      <c r="D71" s="1" t="s">
        <v>227</v>
      </c>
      <c r="E71" s="40"/>
    </row>
    <row r="72" spans="1:5" ht="120" x14ac:dyDescent="0.25">
      <c r="A72" s="1"/>
      <c r="B72" s="1" t="s">
        <v>526</v>
      </c>
      <c r="C72" s="91" t="s">
        <v>527</v>
      </c>
      <c r="E72" s="40"/>
    </row>
    <row r="73" spans="1:5" ht="150" x14ac:dyDescent="0.25">
      <c r="A73" s="1"/>
      <c r="B73" s="1" t="s">
        <v>528</v>
      </c>
      <c r="C73" s="91" t="s">
        <v>529</v>
      </c>
      <c r="E73" s="40"/>
    </row>
    <row r="74" spans="1:5" ht="120" x14ac:dyDescent="0.25">
      <c r="A74" s="1"/>
      <c r="B74" s="1" t="s">
        <v>530</v>
      </c>
      <c r="C74" s="91" t="s">
        <v>531</v>
      </c>
      <c r="E74" s="40"/>
    </row>
    <row r="75" spans="1:5" ht="195" x14ac:dyDescent="0.25">
      <c r="A75" s="1">
        <v>6</v>
      </c>
      <c r="B75" s="1" t="s">
        <v>532</v>
      </c>
      <c r="C75" s="90" t="s">
        <v>533</v>
      </c>
      <c r="D75" s="1" t="s">
        <v>228</v>
      </c>
      <c r="E75" s="41" t="s">
        <v>200</v>
      </c>
    </row>
    <row r="76" spans="1:5" ht="31.5" customHeight="1" x14ac:dyDescent="0.5">
      <c r="A76" s="101" t="s">
        <v>229</v>
      </c>
      <c r="B76" s="101"/>
      <c r="C76" s="101"/>
      <c r="D76" s="101"/>
      <c r="E76" s="41" t="s">
        <v>200</v>
      </c>
    </row>
    <row r="77" spans="1:5" x14ac:dyDescent="0.25">
      <c r="A77" s="1" t="s">
        <v>4</v>
      </c>
      <c r="B77" s="1" t="s">
        <v>204</v>
      </c>
      <c r="C77" s="1" t="s">
        <v>205</v>
      </c>
      <c r="D77" s="1" t="s">
        <v>203</v>
      </c>
      <c r="E77" s="41" t="s">
        <v>200</v>
      </c>
    </row>
    <row r="78" spans="1:5" ht="60" x14ac:dyDescent="0.25">
      <c r="A78" s="1"/>
      <c r="B78" s="1" t="s">
        <v>230</v>
      </c>
      <c r="C78" s="1" t="s">
        <v>534</v>
      </c>
      <c r="D78" s="1" t="s">
        <v>231</v>
      </c>
      <c r="E78" s="41" t="s">
        <v>200</v>
      </c>
    </row>
    <row r="79" spans="1:5" ht="75" x14ac:dyDescent="0.25">
      <c r="A79" s="1"/>
      <c r="B79" s="1" t="s">
        <v>232</v>
      </c>
      <c r="C79" s="1" t="s">
        <v>535</v>
      </c>
      <c r="D79" s="1" t="s">
        <v>233</v>
      </c>
      <c r="E79" s="41" t="s">
        <v>200</v>
      </c>
    </row>
    <row r="80" spans="1:5" ht="60" x14ac:dyDescent="0.25">
      <c r="A80" s="1"/>
      <c r="B80" s="1" t="s">
        <v>234</v>
      </c>
      <c r="C80" s="1" t="s">
        <v>536</v>
      </c>
      <c r="D80" s="1" t="s">
        <v>235</v>
      </c>
      <c r="E80" s="41" t="s">
        <v>200</v>
      </c>
    </row>
    <row r="81" spans="1:5" ht="31.5" customHeight="1" x14ac:dyDescent="0.5">
      <c r="A81" s="101" t="s">
        <v>236</v>
      </c>
      <c r="B81" s="101"/>
      <c r="C81" s="101"/>
      <c r="D81" s="101"/>
      <c r="E81" s="40"/>
    </row>
    <row r="82" spans="1:5" x14ac:dyDescent="0.25">
      <c r="A82" s="1" t="s">
        <v>4</v>
      </c>
      <c r="B82" s="1" t="s">
        <v>206</v>
      </c>
      <c r="C82" s="1" t="s">
        <v>207</v>
      </c>
      <c r="D82" s="1" t="s">
        <v>63</v>
      </c>
      <c r="E82" s="40"/>
    </row>
    <row r="83" spans="1:5" ht="60" x14ac:dyDescent="0.25">
      <c r="A83" s="1">
        <v>1</v>
      </c>
      <c r="B83" s="1" t="s">
        <v>237</v>
      </c>
      <c r="C83" s="1" t="s">
        <v>537</v>
      </c>
      <c r="E83" s="40"/>
    </row>
    <row r="84" spans="1:5" ht="60" x14ac:dyDescent="0.25">
      <c r="A84" s="1">
        <v>2</v>
      </c>
      <c r="B84" s="1" t="s">
        <v>238</v>
      </c>
      <c r="C84" s="1" t="s">
        <v>538</v>
      </c>
      <c r="E84" s="40"/>
    </row>
    <row r="85" spans="1:5" ht="60" x14ac:dyDescent="0.25">
      <c r="A85" s="1">
        <v>3</v>
      </c>
      <c r="B85" s="1" t="s">
        <v>540</v>
      </c>
      <c r="C85" s="1" t="s">
        <v>539</v>
      </c>
      <c r="E85" s="40"/>
    </row>
    <row r="86" spans="1:5" ht="60" x14ac:dyDescent="0.25">
      <c r="A86" s="1">
        <v>4</v>
      </c>
      <c r="B86" s="1" t="s">
        <v>239</v>
      </c>
      <c r="C86" s="1" t="s">
        <v>541</v>
      </c>
      <c r="E86" s="40"/>
    </row>
    <row r="87" spans="1:5" ht="60" x14ac:dyDescent="0.25">
      <c r="A87" s="1">
        <v>5</v>
      </c>
      <c r="B87" s="1" t="s">
        <v>542</v>
      </c>
      <c r="C87" s="1" t="s">
        <v>543</v>
      </c>
      <c r="E87" s="40"/>
    </row>
    <row r="88" spans="1:5" ht="60" x14ac:dyDescent="0.25">
      <c r="A88" s="1">
        <v>6</v>
      </c>
      <c r="B88" s="1" t="s">
        <v>544</v>
      </c>
      <c r="C88" s="1" t="s">
        <v>545</v>
      </c>
      <c r="E88" s="40"/>
    </row>
    <row r="89" spans="1:5" ht="60" x14ac:dyDescent="0.25">
      <c r="A89" s="1">
        <v>7</v>
      </c>
      <c r="B89" s="1" t="s">
        <v>547</v>
      </c>
      <c r="C89" s="1" t="s">
        <v>546</v>
      </c>
      <c r="E89" s="40"/>
    </row>
    <row r="90" spans="1:5" ht="60" x14ac:dyDescent="0.25">
      <c r="A90" s="1">
        <v>8</v>
      </c>
      <c r="B90" s="1" t="s">
        <v>548</v>
      </c>
      <c r="C90" s="1" t="s">
        <v>549</v>
      </c>
      <c r="E90" s="40"/>
    </row>
    <row r="91" spans="1:5" x14ac:dyDescent="0.25">
      <c r="A91" s="40"/>
      <c r="B91" s="48"/>
      <c r="C91" s="48"/>
      <c r="D91" s="48"/>
      <c r="E91" s="40"/>
    </row>
  </sheetData>
  <mergeCells count="8">
    <mergeCell ref="A76:D76"/>
    <mergeCell ref="A81:D81"/>
    <mergeCell ref="A35:D35"/>
    <mergeCell ref="B17:D17"/>
    <mergeCell ref="A27:D27"/>
    <mergeCell ref="A41:D41"/>
    <mergeCell ref="A49:D49"/>
    <mergeCell ref="A65:D65"/>
  </mergeCells>
  <phoneticPr fontId="2" type="noConversion"/>
  <hyperlinks>
    <hyperlink ref="C24" r:id="rId1" xr:uid="{F5A5B9F7-3B79-4E7B-A617-F0BFC3531349}"/>
  </hyperlinks>
  <pageMargins left="0.7" right="0.7" top="0.75" bottom="0.75" header="0.3" footer="0.3"/>
  <drawing r:id="rId2"/>
  <tableParts count="7">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G52"/>
  <sheetViews>
    <sheetView zoomScale="130" zoomScaleNormal="130" workbookViewId="0">
      <selection activeCell="C46" sqref="C46"/>
    </sheetView>
  </sheetViews>
  <sheetFormatPr defaultRowHeight="15" x14ac:dyDescent="0.25"/>
  <cols>
    <col min="1" max="1" width="27.85546875" customWidth="1"/>
    <col min="2" max="2" width="35" customWidth="1"/>
    <col min="3" max="4" width="31.28515625" customWidth="1"/>
    <col min="5" max="5" width="13.85546875" customWidth="1"/>
    <col min="6" max="6" width="43.42578125" customWidth="1"/>
    <col min="7" max="7" width="17" customWidth="1"/>
    <col min="8" max="8" width="20.5703125" customWidth="1"/>
  </cols>
  <sheetData>
    <row r="1" spans="1:7" ht="15.75" thickBot="1" x14ac:dyDescent="0.3">
      <c r="A1" t="s">
        <v>126</v>
      </c>
      <c r="B1" t="s">
        <v>171</v>
      </c>
      <c r="C1" t="s">
        <v>67</v>
      </c>
      <c r="D1" t="s">
        <v>348</v>
      </c>
      <c r="E1" t="s">
        <v>1</v>
      </c>
      <c r="F1" t="s">
        <v>100</v>
      </c>
      <c r="G1" t="s">
        <v>101</v>
      </c>
    </row>
    <row r="2" spans="1:7" ht="40.5" customHeight="1" x14ac:dyDescent="0.25">
      <c r="A2" s="59" t="s">
        <v>303</v>
      </c>
      <c r="B2" s="60" t="s">
        <v>293</v>
      </c>
      <c r="C2" s="61" t="b">
        <v>1</v>
      </c>
      <c r="D2" s="32"/>
      <c r="E2" s="80" t="s">
        <v>318</v>
      </c>
      <c r="F2" s="34"/>
      <c r="G2" s="62" t="s">
        <v>442</v>
      </c>
    </row>
    <row r="3" spans="1:7" ht="15" customHeight="1" x14ac:dyDescent="0.25">
      <c r="A3" s="5"/>
      <c r="B3" s="3" t="s">
        <v>294</v>
      </c>
      <c r="C3" s="3" t="s">
        <v>295</v>
      </c>
      <c r="D3" s="3"/>
      <c r="E3" s="10" t="s">
        <v>319</v>
      </c>
      <c r="F3" s="10"/>
      <c r="G3" s="63" t="s">
        <v>442</v>
      </c>
    </row>
    <row r="4" spans="1:7" ht="15" customHeight="1" x14ac:dyDescent="0.25">
      <c r="A4" s="5"/>
      <c r="B4" s="12" t="s">
        <v>102</v>
      </c>
      <c r="C4" s="57">
        <v>2025</v>
      </c>
      <c r="D4" s="3"/>
      <c r="E4" s="10" t="s">
        <v>320</v>
      </c>
      <c r="F4" s="10"/>
      <c r="G4" s="63" t="s">
        <v>442</v>
      </c>
    </row>
    <row r="5" spans="1:7" ht="15" customHeight="1" thickBot="1" x14ac:dyDescent="0.3">
      <c r="A5" s="64"/>
      <c r="B5" s="7" t="s">
        <v>104</v>
      </c>
      <c r="C5" s="28">
        <v>2050</v>
      </c>
      <c r="D5" s="3"/>
      <c r="E5" s="35" t="s">
        <v>321</v>
      </c>
      <c r="F5" s="35"/>
      <c r="G5" s="65" t="s">
        <v>442</v>
      </c>
    </row>
    <row r="6" spans="1:7" ht="40.5" customHeight="1" x14ac:dyDescent="0.25">
      <c r="A6" s="59" t="s">
        <v>307</v>
      </c>
      <c r="B6" s="32" t="s">
        <v>298</v>
      </c>
      <c r="C6" s="58" t="b">
        <v>0</v>
      </c>
      <c r="D6" s="3"/>
      <c r="E6" s="80" t="s">
        <v>324</v>
      </c>
      <c r="F6" s="34"/>
      <c r="G6" s="62" t="s">
        <v>441</v>
      </c>
    </row>
    <row r="7" spans="1:7" ht="15" customHeight="1" x14ac:dyDescent="0.25">
      <c r="A7" s="5"/>
      <c r="B7" s="3" t="s">
        <v>301</v>
      </c>
      <c r="C7" s="3" t="s">
        <v>322</v>
      </c>
      <c r="D7" s="3"/>
      <c r="E7" s="10" t="s">
        <v>323</v>
      </c>
      <c r="F7" s="10"/>
      <c r="G7" s="63" t="s">
        <v>441</v>
      </c>
    </row>
    <row r="8" spans="1:7" ht="15" customHeight="1" x14ac:dyDescent="0.25">
      <c r="A8" s="5"/>
      <c r="B8" s="3" t="s">
        <v>302</v>
      </c>
      <c r="C8" s="3"/>
      <c r="D8" s="3"/>
      <c r="E8" s="10"/>
      <c r="F8" s="10"/>
      <c r="G8" s="63" t="s">
        <v>441</v>
      </c>
    </row>
    <row r="9" spans="1:7" ht="15" customHeight="1" thickBot="1" x14ac:dyDescent="0.3">
      <c r="A9" s="74"/>
      <c r="B9" s="21" t="s">
        <v>347</v>
      </c>
      <c r="C9" s="3"/>
      <c r="D9" s="3"/>
      <c r="E9" s="33"/>
      <c r="F9" s="33"/>
      <c r="G9" s="76" t="s">
        <v>441</v>
      </c>
    </row>
    <row r="10" spans="1:7" ht="44.25" customHeight="1" thickBot="1" x14ac:dyDescent="0.3">
      <c r="A10" s="67" t="s">
        <v>306</v>
      </c>
      <c r="B10" s="68" t="s">
        <v>299</v>
      </c>
      <c r="C10" s="77" t="b">
        <v>0</v>
      </c>
      <c r="D10" s="68"/>
      <c r="E10" s="71" t="s">
        <v>310</v>
      </c>
      <c r="F10" s="69"/>
      <c r="G10" s="70" t="s">
        <v>441</v>
      </c>
    </row>
    <row r="11" spans="1:7" ht="21.75" customHeight="1" x14ac:dyDescent="0.25">
      <c r="A11" s="3"/>
      <c r="B11" s="3" t="s">
        <v>333</v>
      </c>
      <c r="C11" s="3" t="s">
        <v>339</v>
      </c>
      <c r="D11" s="3">
        <v>1</v>
      </c>
      <c r="E11" s="72"/>
      <c r="F11" s="10"/>
      <c r="G11" s="10" t="s">
        <v>441</v>
      </c>
    </row>
    <row r="12" spans="1:7" ht="21.75" customHeight="1" x14ac:dyDescent="0.25">
      <c r="A12" s="3"/>
      <c r="B12" s="3" t="s">
        <v>334</v>
      </c>
      <c r="C12" s="3" t="s">
        <v>340</v>
      </c>
      <c r="D12" s="3">
        <v>2</v>
      </c>
      <c r="E12" s="72"/>
      <c r="F12" s="10"/>
      <c r="G12" s="10" t="s">
        <v>441</v>
      </c>
    </row>
    <row r="13" spans="1:7" ht="21.75" customHeight="1" x14ac:dyDescent="0.25">
      <c r="A13" s="3"/>
      <c r="B13" s="3" t="s">
        <v>335</v>
      </c>
      <c r="C13" s="3" t="s">
        <v>341</v>
      </c>
      <c r="D13" s="3">
        <v>3</v>
      </c>
      <c r="E13" s="72"/>
      <c r="F13" s="10"/>
      <c r="G13" s="10" t="s">
        <v>441</v>
      </c>
    </row>
    <row r="14" spans="1:7" ht="21.75" customHeight="1" x14ac:dyDescent="0.25">
      <c r="A14" s="3"/>
      <c r="B14" s="3" t="s">
        <v>336</v>
      </c>
      <c r="C14" s="3" t="s">
        <v>342</v>
      </c>
      <c r="D14" s="3">
        <v>4</v>
      </c>
      <c r="E14" s="72"/>
      <c r="F14" s="10"/>
      <c r="G14" s="10" t="s">
        <v>441</v>
      </c>
    </row>
    <row r="15" spans="1:7" ht="21.75" customHeight="1" x14ac:dyDescent="0.25">
      <c r="A15" s="3"/>
      <c r="B15" s="3" t="s">
        <v>337</v>
      </c>
      <c r="C15" s="3"/>
      <c r="D15" s="3">
        <v>5</v>
      </c>
      <c r="E15" s="72"/>
      <c r="F15" s="10"/>
      <c r="G15" s="10" t="s">
        <v>441</v>
      </c>
    </row>
    <row r="16" spans="1:7" ht="21.75" customHeight="1" thickBot="1" x14ac:dyDescent="0.3">
      <c r="A16" s="3"/>
      <c r="B16" s="3" t="s">
        <v>338</v>
      </c>
      <c r="C16" s="3"/>
      <c r="D16" s="3">
        <v>6</v>
      </c>
      <c r="E16" s="72"/>
      <c r="F16" s="10"/>
      <c r="G16" s="10" t="s">
        <v>441</v>
      </c>
    </row>
    <row r="17" spans="1:7" ht="42.75" customHeight="1" thickBot="1" x14ac:dyDescent="0.3">
      <c r="A17" s="67" t="s">
        <v>304</v>
      </c>
      <c r="B17" s="68" t="s">
        <v>300</v>
      </c>
      <c r="C17" s="77" t="b">
        <v>0</v>
      </c>
      <c r="D17" s="68"/>
      <c r="E17" s="71" t="s">
        <v>309</v>
      </c>
      <c r="F17" s="69"/>
      <c r="G17" s="70" t="s">
        <v>441</v>
      </c>
    </row>
    <row r="18" spans="1:7" ht="20.25" customHeight="1" x14ac:dyDescent="0.25">
      <c r="A18" s="3"/>
      <c r="B18" s="3" t="s">
        <v>327</v>
      </c>
      <c r="C18" s="3" t="s">
        <v>343</v>
      </c>
      <c r="D18" s="3">
        <v>1</v>
      </c>
      <c r="E18" s="72"/>
      <c r="F18" s="10"/>
      <c r="G18" s="10" t="s">
        <v>441</v>
      </c>
    </row>
    <row r="19" spans="1:7" ht="20.25" customHeight="1" x14ac:dyDescent="0.25">
      <c r="A19" s="3"/>
      <c r="B19" s="3" t="s">
        <v>328</v>
      </c>
      <c r="C19" s="3" t="s">
        <v>344</v>
      </c>
      <c r="D19" s="3">
        <v>2</v>
      </c>
      <c r="E19" s="72"/>
      <c r="F19" s="10"/>
      <c r="G19" s="10" t="s">
        <v>441</v>
      </c>
    </row>
    <row r="20" spans="1:7" ht="20.25" customHeight="1" x14ac:dyDescent="0.25">
      <c r="A20" s="3"/>
      <c r="B20" s="3" t="s">
        <v>329</v>
      </c>
      <c r="C20" s="3" t="s">
        <v>345</v>
      </c>
      <c r="D20" s="3">
        <v>3</v>
      </c>
      <c r="E20" s="72"/>
      <c r="F20" s="10"/>
      <c r="G20" s="10" t="s">
        <v>441</v>
      </c>
    </row>
    <row r="21" spans="1:7" ht="20.25" customHeight="1" x14ac:dyDescent="0.25">
      <c r="A21" s="3"/>
      <c r="B21" s="3" t="s">
        <v>330</v>
      </c>
      <c r="C21" s="3" t="s">
        <v>346</v>
      </c>
      <c r="D21" s="3">
        <v>4</v>
      </c>
      <c r="E21" s="72"/>
      <c r="F21" s="10"/>
      <c r="G21" s="10" t="s">
        <v>441</v>
      </c>
    </row>
    <row r="22" spans="1:7" ht="20.25" customHeight="1" x14ac:dyDescent="0.25">
      <c r="A22" s="3"/>
      <c r="B22" s="3" t="s">
        <v>331</v>
      </c>
      <c r="C22" s="3"/>
      <c r="D22" s="3">
        <v>5</v>
      </c>
      <c r="E22" s="72"/>
      <c r="F22" s="10"/>
      <c r="G22" s="10" t="s">
        <v>441</v>
      </c>
    </row>
    <row r="23" spans="1:7" ht="20.25" customHeight="1" thickBot="1" x14ac:dyDescent="0.3">
      <c r="A23" s="3"/>
      <c r="B23" s="3" t="s">
        <v>332</v>
      </c>
      <c r="C23" s="3"/>
      <c r="D23" s="3">
        <v>6</v>
      </c>
      <c r="E23" s="72"/>
      <c r="F23" s="10"/>
      <c r="G23" s="10" t="s">
        <v>441</v>
      </c>
    </row>
    <row r="24" spans="1:7" ht="52.5" customHeight="1" x14ac:dyDescent="0.25">
      <c r="A24" s="59" t="s">
        <v>305</v>
      </c>
      <c r="B24" s="32" t="s">
        <v>297</v>
      </c>
      <c r="C24" s="61" t="b">
        <v>0</v>
      </c>
      <c r="D24" s="60"/>
      <c r="E24" s="73" t="s">
        <v>311</v>
      </c>
      <c r="F24" s="34"/>
      <c r="G24" s="62" t="s">
        <v>441</v>
      </c>
    </row>
    <row r="25" spans="1:7" ht="15" customHeight="1" x14ac:dyDescent="0.25">
      <c r="A25" s="78"/>
      <c r="B25" s="3" t="s">
        <v>316</v>
      </c>
      <c r="C25" s="3"/>
      <c r="D25" s="3">
        <v>1</v>
      </c>
      <c r="E25" s="56"/>
      <c r="F25" s="10"/>
      <c r="G25" s="63" t="s">
        <v>441</v>
      </c>
    </row>
    <row r="26" spans="1:7" ht="15" customHeight="1" x14ac:dyDescent="0.25">
      <c r="A26" s="78"/>
      <c r="B26" s="3" t="s">
        <v>317</v>
      </c>
      <c r="C26" s="3"/>
      <c r="D26" s="3">
        <v>2</v>
      </c>
      <c r="E26" s="56"/>
      <c r="F26" s="10"/>
      <c r="G26" s="63" t="s">
        <v>441</v>
      </c>
    </row>
    <row r="27" spans="1:7" ht="15" customHeight="1" x14ac:dyDescent="0.25">
      <c r="A27" s="78"/>
      <c r="B27" s="3" t="s">
        <v>325</v>
      </c>
      <c r="C27" s="3"/>
      <c r="D27" s="3">
        <v>3</v>
      </c>
      <c r="E27" s="10"/>
      <c r="F27" s="10"/>
      <c r="G27" s="63" t="s">
        <v>441</v>
      </c>
    </row>
    <row r="28" spans="1:7" ht="15" customHeight="1" thickBot="1" x14ac:dyDescent="0.3">
      <c r="A28" s="79"/>
      <c r="B28" s="7" t="s">
        <v>326</v>
      </c>
      <c r="C28" s="7"/>
      <c r="D28" s="7">
        <v>4</v>
      </c>
      <c r="E28" s="35"/>
      <c r="F28" s="35"/>
      <c r="G28" s="65" t="s">
        <v>441</v>
      </c>
    </row>
    <row r="29" spans="1:7" ht="55.5" customHeight="1" x14ac:dyDescent="0.25">
      <c r="A29" s="19" t="s">
        <v>308</v>
      </c>
      <c r="B29" s="12" t="s">
        <v>296</v>
      </c>
      <c r="C29" s="86" t="b">
        <v>1</v>
      </c>
      <c r="D29" s="12"/>
      <c r="E29" s="87" t="s">
        <v>314</v>
      </c>
      <c r="F29" s="56"/>
      <c r="G29" s="88" t="s">
        <v>442</v>
      </c>
    </row>
    <row r="30" spans="1:7" ht="15" customHeight="1" x14ac:dyDescent="0.25">
      <c r="A30" s="78"/>
      <c r="B30" s="3" t="s">
        <v>370</v>
      </c>
      <c r="C30" s="3" t="s">
        <v>367</v>
      </c>
      <c r="D30" s="3">
        <v>1</v>
      </c>
      <c r="E30" s="10" t="s">
        <v>368</v>
      </c>
      <c r="F30" s="10"/>
      <c r="G30" s="63" t="s">
        <v>442</v>
      </c>
    </row>
    <row r="31" spans="1:7" ht="15" customHeight="1" x14ac:dyDescent="0.25">
      <c r="A31" s="78"/>
      <c r="B31" s="3" t="s">
        <v>372</v>
      </c>
      <c r="C31" s="4"/>
      <c r="D31" s="3">
        <v>2</v>
      </c>
      <c r="E31" s="10" t="s">
        <v>312</v>
      </c>
      <c r="F31" s="10"/>
      <c r="G31" s="63" t="s">
        <v>442</v>
      </c>
    </row>
    <row r="32" spans="1:7" ht="15" customHeight="1" x14ac:dyDescent="0.25">
      <c r="A32" s="36"/>
      <c r="B32" s="3" t="s">
        <v>373</v>
      </c>
      <c r="C32" s="4"/>
      <c r="D32" s="3"/>
      <c r="E32" s="10"/>
      <c r="F32" s="10"/>
      <c r="G32" s="10" t="s">
        <v>442</v>
      </c>
    </row>
    <row r="33" spans="1:7" ht="15" customHeight="1" x14ac:dyDescent="0.25">
      <c r="A33" s="78"/>
      <c r="B33" s="3" t="s">
        <v>371</v>
      </c>
      <c r="C33" s="4"/>
      <c r="D33" s="3">
        <v>3</v>
      </c>
      <c r="E33" s="10" t="s">
        <v>313</v>
      </c>
      <c r="F33" s="10"/>
      <c r="G33" s="63" t="s">
        <v>442</v>
      </c>
    </row>
    <row r="34" spans="1:7" ht="15" customHeight="1" x14ac:dyDescent="0.25">
      <c r="A34" s="36"/>
      <c r="B34" s="3" t="s">
        <v>374</v>
      </c>
      <c r="C34" s="4"/>
      <c r="D34" s="3"/>
      <c r="E34" s="10"/>
      <c r="F34" s="10"/>
      <c r="G34" s="10" t="s">
        <v>442</v>
      </c>
    </row>
    <row r="35" spans="1:7" ht="15" customHeight="1" x14ac:dyDescent="0.25">
      <c r="A35" s="78"/>
      <c r="B35" s="3" t="s">
        <v>378</v>
      </c>
      <c r="C35" s="4"/>
      <c r="D35" s="3">
        <v>4</v>
      </c>
      <c r="E35" s="10" t="s">
        <v>315</v>
      </c>
      <c r="F35" s="10"/>
      <c r="G35" s="63" t="s">
        <v>442</v>
      </c>
    </row>
    <row r="36" spans="1:7" ht="15" customHeight="1" x14ac:dyDescent="0.25">
      <c r="A36" s="36"/>
      <c r="B36" s="3" t="s">
        <v>375</v>
      </c>
      <c r="C36" s="4"/>
      <c r="D36" s="3"/>
      <c r="E36" s="10"/>
      <c r="F36" s="10"/>
      <c r="G36" s="10" t="s">
        <v>442</v>
      </c>
    </row>
    <row r="37" spans="1:7" ht="15" customHeight="1" x14ac:dyDescent="0.25">
      <c r="A37" s="78"/>
      <c r="B37" s="3" t="s">
        <v>377</v>
      </c>
      <c r="C37" s="4"/>
      <c r="D37" s="3">
        <v>5</v>
      </c>
      <c r="E37" s="10"/>
      <c r="F37" s="10"/>
      <c r="G37" s="63" t="s">
        <v>442</v>
      </c>
    </row>
    <row r="38" spans="1:7" ht="15" customHeight="1" x14ac:dyDescent="0.25">
      <c r="A38" s="78"/>
      <c r="B38" s="3" t="s">
        <v>376</v>
      </c>
      <c r="C38" s="4"/>
      <c r="D38" s="3"/>
      <c r="E38" s="10"/>
      <c r="F38" s="10"/>
      <c r="G38" s="63" t="s">
        <v>442</v>
      </c>
    </row>
    <row r="39" spans="1:7" ht="15" customHeight="1" x14ac:dyDescent="0.25">
      <c r="A39" s="36"/>
      <c r="B39" s="3" t="s">
        <v>421</v>
      </c>
      <c r="C39" s="4"/>
      <c r="D39" s="3">
        <v>6</v>
      </c>
      <c r="E39" s="10"/>
      <c r="F39" s="10"/>
      <c r="G39" s="10" t="s">
        <v>442</v>
      </c>
    </row>
    <row r="40" spans="1:7" ht="15" customHeight="1" thickBot="1" x14ac:dyDescent="0.3">
      <c r="A40" s="81"/>
      <c r="B40" s="21" t="s">
        <v>422</v>
      </c>
      <c r="C40" s="75"/>
      <c r="D40" s="3"/>
      <c r="E40" s="33"/>
      <c r="F40" s="33"/>
      <c r="G40" s="33" t="s">
        <v>442</v>
      </c>
    </row>
    <row r="41" spans="1:7" ht="15" customHeight="1" x14ac:dyDescent="0.25">
      <c r="A41" s="84"/>
      <c r="B41" s="32" t="s">
        <v>281</v>
      </c>
      <c r="C41" s="85" t="s">
        <v>65</v>
      </c>
      <c r="D41" s="85"/>
      <c r="E41" s="34"/>
      <c r="F41" s="34"/>
      <c r="G41" s="62" t="s">
        <v>442</v>
      </c>
    </row>
    <row r="42" spans="1:7" x14ac:dyDescent="0.25">
      <c r="A42" s="78"/>
      <c r="B42" s="3" t="s">
        <v>105</v>
      </c>
      <c r="C42" s="3" t="s">
        <v>106</v>
      </c>
      <c r="D42" s="3"/>
      <c r="E42" s="10" t="s">
        <v>107</v>
      </c>
      <c r="F42" s="10" t="s">
        <v>103</v>
      </c>
      <c r="G42" s="63" t="s">
        <v>442</v>
      </c>
    </row>
    <row r="43" spans="1:7" ht="15.75" thickBot="1" x14ac:dyDescent="0.3">
      <c r="A43" s="79"/>
      <c r="B43" s="7" t="s">
        <v>108</v>
      </c>
      <c r="C43" s="7" t="s">
        <v>76</v>
      </c>
      <c r="D43" s="7"/>
      <c r="E43" s="35" t="s">
        <v>109</v>
      </c>
      <c r="F43" s="35" t="s">
        <v>103</v>
      </c>
      <c r="G43" s="65" t="s">
        <v>442</v>
      </c>
    </row>
    <row r="44" spans="1:7" x14ac:dyDescent="0.25">
      <c r="A44" s="59" t="s">
        <v>110</v>
      </c>
      <c r="B44" s="32" t="s">
        <v>111</v>
      </c>
      <c r="C44" s="66" t="b">
        <v>1</v>
      </c>
      <c r="D44" s="3"/>
      <c r="E44" s="34" t="s">
        <v>112</v>
      </c>
      <c r="F44" s="34" t="s">
        <v>113</v>
      </c>
      <c r="G44" s="62" t="s">
        <v>442</v>
      </c>
    </row>
    <row r="45" spans="1:7" ht="15" customHeight="1" x14ac:dyDescent="0.25">
      <c r="A45" s="5"/>
      <c r="B45" s="3" t="s">
        <v>114</v>
      </c>
      <c r="C45" s="39" t="b">
        <v>0</v>
      </c>
      <c r="D45" s="3"/>
      <c r="E45" s="10" t="s">
        <v>115</v>
      </c>
      <c r="F45" s="10" t="s">
        <v>113</v>
      </c>
      <c r="G45" s="63" t="s">
        <v>442</v>
      </c>
    </row>
    <row r="46" spans="1:7" x14ac:dyDescent="0.25">
      <c r="A46" s="5"/>
      <c r="B46" s="3" t="s">
        <v>127</v>
      </c>
      <c r="C46" s="39" t="b">
        <v>0</v>
      </c>
      <c r="D46" s="3"/>
      <c r="E46" s="10" t="s">
        <v>116</v>
      </c>
      <c r="F46" s="10" t="s">
        <v>113</v>
      </c>
      <c r="G46" s="63" t="s">
        <v>442</v>
      </c>
    </row>
    <row r="47" spans="1:7" ht="15.75" thickBot="1" x14ac:dyDescent="0.3">
      <c r="A47" s="64"/>
      <c r="B47" s="7" t="s">
        <v>117</v>
      </c>
      <c r="C47" s="28">
        <v>150</v>
      </c>
      <c r="D47" s="3"/>
      <c r="E47" s="35" t="s">
        <v>118</v>
      </c>
      <c r="F47" s="35" t="s">
        <v>113</v>
      </c>
      <c r="G47" s="65" t="s">
        <v>442</v>
      </c>
    </row>
    <row r="48" spans="1:7" ht="15" customHeight="1" x14ac:dyDescent="0.25">
      <c r="A48" s="32" t="s">
        <v>119</v>
      </c>
      <c r="B48" s="32" t="s">
        <v>99</v>
      </c>
      <c r="C48" s="39" t="b">
        <v>1</v>
      </c>
      <c r="D48" s="3"/>
      <c r="E48" s="34" t="s">
        <v>120</v>
      </c>
      <c r="F48" s="34" t="s">
        <v>121</v>
      </c>
      <c r="G48" s="34" t="s">
        <v>442</v>
      </c>
    </row>
    <row r="49" spans="1:7" x14ac:dyDescent="0.25">
      <c r="A49" s="3"/>
      <c r="B49" s="3" t="s">
        <v>131</v>
      </c>
      <c r="C49" s="4" t="s">
        <v>290</v>
      </c>
      <c r="D49" s="3"/>
      <c r="E49" s="10" t="s">
        <v>122</v>
      </c>
      <c r="F49" s="10" t="s">
        <v>121</v>
      </c>
      <c r="G49" s="10" t="s">
        <v>442</v>
      </c>
    </row>
    <row r="50" spans="1:7" x14ac:dyDescent="0.25">
      <c r="A50" s="3"/>
      <c r="B50" s="3" t="s">
        <v>133</v>
      </c>
      <c r="C50" s="4" t="s">
        <v>423</v>
      </c>
      <c r="D50" s="3"/>
      <c r="E50" s="10" t="s">
        <v>123</v>
      </c>
      <c r="F50" s="10" t="s">
        <v>121</v>
      </c>
      <c r="G50" s="10" t="s">
        <v>442</v>
      </c>
    </row>
    <row r="51" spans="1:7" x14ac:dyDescent="0.25">
      <c r="A51" s="3"/>
      <c r="B51" s="3" t="s">
        <v>132</v>
      </c>
      <c r="C51" s="4" t="s">
        <v>292</v>
      </c>
      <c r="D51" s="3"/>
      <c r="E51" s="10"/>
      <c r="F51" s="10"/>
      <c r="G51" s="10" t="s">
        <v>442</v>
      </c>
    </row>
    <row r="52" spans="1:7" x14ac:dyDescent="0.25">
      <c r="A52" s="21"/>
      <c r="B52" s="21" t="s">
        <v>144</v>
      </c>
      <c r="C52" s="4" t="s">
        <v>291</v>
      </c>
      <c r="D52" s="3"/>
      <c r="E52" s="33" t="s">
        <v>124</v>
      </c>
      <c r="F52" s="33" t="s">
        <v>121</v>
      </c>
      <c r="G52" s="33" t="s">
        <v>442</v>
      </c>
    </row>
  </sheetData>
  <sheetProtection selectLockedCells="1"/>
  <phoneticPr fontId="2" type="noConversion"/>
  <dataValidations xWindow="1025" yWindow="650" count="5">
    <dataValidation allowBlank="1" showInputMessage="1" showErrorMessage="1" promptTitle="End Year" prompt="Please define the End Year of the Study_x000a_" sqref="C25:C26 C7:D7 D30:D40 C30" xr:uid="{B7CD650F-E479-45DE-83FD-5B53F2073038}"/>
    <dataValidation type="whole" allowBlank="1" showInputMessage="1" showErrorMessage="1" promptTitle="Start Year" prompt="Please define the starting year of the study_x000a_" sqref="C4:D4" xr:uid="{38800C7C-91D9-4E8B-B4AF-1666E2946F4E}">
      <formula1>0</formula1>
      <formula2>5000</formula2>
    </dataValidation>
    <dataValidation type="whole" allowBlank="1" showInputMessage="1" showErrorMessage="1" promptTitle="End Year" prompt="Please define the End Year of the Study_x000a_" sqref="C8:D9 C5:D5" xr:uid="{338B3D3F-1EE9-4F50-9740-2DEE1DAE2FDE}">
      <formula1>0</formula1>
      <formula2>5000</formula2>
    </dataValidation>
    <dataValidation type="whole" allowBlank="1" showInputMessage="1" showErrorMessage="1" promptTitle="Number MC_Iterations" prompt="Please define the Numbers of requested MC_Simulations_x000a_" sqref="C47:D47" xr:uid="{FDD0B9D5-92CA-44D0-B7BD-80F903F0851A}">
      <formula1>0</formula1>
      <formula2>20000</formula2>
    </dataValidation>
    <dataValidation allowBlank="1" showInputMessage="1" showErrorMessage="1" promptTitle="Elements of the study" prompt="Please define the Elements and the parent Elements to describe a hierarchy within the system" sqref="C31:C40" xr:uid="{5E7AF9EE-3CA3-4CF6-953C-A4E3CA80F607}"/>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xWindow="1025" yWindow="650" count="1">
        <x14:dataValidation type="list" allowBlank="1" showInputMessage="1" showErrorMessage="1" promptTitle="End Year" prompt="Please define the End Year of the Study_x000a_" xr:uid="{D2290C63-F065-41A8-AFE6-43983731F1F4}">
          <x14:formula1>
            <xm:f>'7_2_Codelists'!$B$9:$B$15</xm:f>
          </x14:formula1>
          <xm:sqref>C41:D41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AX94"/>
  <sheetViews>
    <sheetView zoomScale="130" zoomScaleNormal="130" workbookViewId="0">
      <selection activeCell="A12" sqref="A12"/>
    </sheetView>
  </sheetViews>
  <sheetFormatPr defaultColWidth="10.85546875" defaultRowHeight="15" x14ac:dyDescent="0.25"/>
  <cols>
    <col min="1" max="1" width="14.42578125" customWidth="1"/>
    <col min="2" max="2" width="10.28515625" customWidth="1"/>
    <col min="3" max="3" width="10.7109375" customWidth="1"/>
    <col min="4" max="4" width="46" customWidth="1"/>
    <col min="5" max="5" width="26.28515625" customWidth="1"/>
    <col min="6" max="6" width="22.28515625" customWidth="1"/>
    <col min="7" max="7" width="25.42578125" customWidth="1"/>
    <col min="8" max="8" width="12.7109375" customWidth="1"/>
    <col min="9" max="9" width="30.42578125" customWidth="1"/>
    <col min="10" max="10" width="25.85546875" customWidth="1"/>
    <col min="11" max="16" width="10.42578125" customWidth="1"/>
    <col min="17" max="18" width="23.5703125" customWidth="1"/>
    <col min="19" max="19" width="15.28515625" customWidth="1"/>
    <col min="20" max="20" width="24.7109375" customWidth="1"/>
    <col min="21" max="21" width="14.42578125" customWidth="1"/>
    <col min="22" max="22" width="20.85546875" customWidth="1"/>
    <col min="23" max="23" width="16.42578125" customWidth="1"/>
    <col min="24" max="24" width="14.7109375" customWidth="1"/>
    <col min="25" max="25" width="27.7109375" customWidth="1"/>
    <col min="26" max="26" width="24" customWidth="1"/>
    <col min="27" max="27" width="19.42578125" customWidth="1"/>
    <col min="28" max="29" width="20.140625" customWidth="1"/>
    <col min="30" max="33" width="15.42578125" customWidth="1"/>
    <col min="34" max="34" width="16.7109375" customWidth="1"/>
    <col min="35" max="36" width="23.140625" customWidth="1"/>
    <col min="37" max="37" width="20.140625" customWidth="1"/>
    <col min="38" max="38" width="19.42578125" customWidth="1"/>
    <col min="39" max="39" width="17.5703125" customWidth="1"/>
    <col min="40" max="40" width="18" customWidth="1"/>
    <col min="41" max="41" width="17.85546875" customWidth="1"/>
    <col min="42" max="42" width="22.28515625" customWidth="1"/>
    <col min="43" max="44" width="19.140625" customWidth="1"/>
    <col min="45" max="45" width="26" customWidth="1"/>
    <col min="46" max="46" width="25.28515625" customWidth="1"/>
    <col min="47" max="47" width="27.5703125" customWidth="1"/>
    <col min="49" max="49" width="19.85546875" customWidth="1"/>
  </cols>
  <sheetData>
    <row r="1" spans="1:50" x14ac:dyDescent="0.25">
      <c r="A1" s="26" t="s">
        <v>13</v>
      </c>
      <c r="B1" s="26" t="s">
        <v>4</v>
      </c>
      <c r="C1" s="26" t="s">
        <v>6</v>
      </c>
      <c r="D1" s="26" t="s">
        <v>136</v>
      </c>
      <c r="E1" s="26" t="s">
        <v>7</v>
      </c>
      <c r="F1" s="26" t="s">
        <v>363</v>
      </c>
      <c r="G1" s="26" t="s">
        <v>138</v>
      </c>
      <c r="H1" s="26" t="s">
        <v>139</v>
      </c>
      <c r="I1" s="26" t="s">
        <v>140</v>
      </c>
      <c r="J1" s="26" t="s">
        <v>137</v>
      </c>
      <c r="K1" s="26" t="s">
        <v>413</v>
      </c>
      <c r="L1" s="26" t="s">
        <v>412</v>
      </c>
      <c r="M1" s="26" t="s">
        <v>411</v>
      </c>
      <c r="N1" s="26" t="s">
        <v>410</v>
      </c>
      <c r="O1" s="26" t="s">
        <v>409</v>
      </c>
      <c r="P1" s="26" t="s">
        <v>427</v>
      </c>
      <c r="Q1" s="26" t="s">
        <v>414</v>
      </c>
      <c r="R1" s="26" t="s">
        <v>381</v>
      </c>
      <c r="S1" s="26" t="s">
        <v>479</v>
      </c>
      <c r="T1" s="26" t="s">
        <v>415</v>
      </c>
      <c r="U1" s="26" t="s">
        <v>382</v>
      </c>
      <c r="V1" s="26" t="s">
        <v>480</v>
      </c>
      <c r="W1" s="26" t="s">
        <v>416</v>
      </c>
      <c r="X1" s="26" t="s">
        <v>383</v>
      </c>
      <c r="Y1" s="26" t="s">
        <v>481</v>
      </c>
      <c r="Z1" s="26" t="s">
        <v>417</v>
      </c>
      <c r="AA1" s="26" t="s">
        <v>379</v>
      </c>
      <c r="AB1" s="26" t="s">
        <v>482</v>
      </c>
      <c r="AC1" s="26" t="s">
        <v>418</v>
      </c>
      <c r="AD1" s="26" t="s">
        <v>380</v>
      </c>
      <c r="AE1" s="26" t="s">
        <v>483</v>
      </c>
      <c r="AF1" s="26" t="s">
        <v>419</v>
      </c>
      <c r="AG1" s="26" t="s">
        <v>420</v>
      </c>
      <c r="AH1" s="26" t="s">
        <v>484</v>
      </c>
      <c r="AI1" s="26" t="s">
        <v>358</v>
      </c>
      <c r="AJ1" s="26" t="s">
        <v>349</v>
      </c>
      <c r="AK1" s="26" t="s">
        <v>359</v>
      </c>
      <c r="AL1" s="26" t="s">
        <v>350</v>
      </c>
      <c r="AM1" s="26" t="s">
        <v>360</v>
      </c>
      <c r="AN1" s="26" t="s">
        <v>354</v>
      </c>
      <c r="AO1" s="26" t="s">
        <v>357</v>
      </c>
      <c r="AP1" s="26" t="s">
        <v>351</v>
      </c>
      <c r="AQ1" s="26" t="s">
        <v>361</v>
      </c>
      <c r="AR1" s="26" t="s">
        <v>352</v>
      </c>
      <c r="AS1" s="26" t="s">
        <v>362</v>
      </c>
      <c r="AT1" s="26" t="s">
        <v>353</v>
      </c>
      <c r="AU1" s="26" t="s">
        <v>356</v>
      </c>
      <c r="AV1" s="26" t="s">
        <v>366</v>
      </c>
    </row>
    <row r="2" spans="1:50" x14ac:dyDescent="0.25">
      <c r="A2" s="27" t="b">
        <v>0</v>
      </c>
      <c r="B2" s="13">
        <f t="shared" ref="B2:B76" si="0">ROW()-1</f>
        <v>1</v>
      </c>
      <c r="C2" s="3" t="str">
        <f>"F_"&amp;LEFT(H2,2)&amp;"_"&amp;LEFT(J2,2)</f>
        <v>F_01_01</v>
      </c>
      <c r="D2" s="4"/>
      <c r="E2" s="10"/>
      <c r="F2" s="3"/>
      <c r="G2" s="23"/>
      <c r="H2" s="3" t="str">
        <f>_xlfn.XLOOKUP(G2,Tab_Def_Processes[Process_Name],Tab_Def_Processes[Process_ID],,0,)</f>
        <v>01</v>
      </c>
      <c r="I2" s="23"/>
      <c r="J2" s="6" t="str">
        <f>_xlfn.XLOOKUP(I2,Tab_Def_Processes[Process_Name],Tab_Def_Processes[Process_ID],,0,)</f>
        <v>01</v>
      </c>
      <c r="K2" s="23" t="s">
        <v>2</v>
      </c>
      <c r="L2" s="23" t="s">
        <v>2</v>
      </c>
      <c r="M2" s="23" t="s">
        <v>2</v>
      </c>
      <c r="N2" s="23" t="s">
        <v>2</v>
      </c>
      <c r="O2" s="23" t="s">
        <v>2</v>
      </c>
      <c r="P2" s="23" t="s">
        <v>2</v>
      </c>
      <c r="Q2" s="3" t="str">
        <f>Tab_Def_Flows[[#This Row],[Flow_ID]]&amp;"_E1"</f>
        <v>F_01_01_E1</v>
      </c>
      <c r="R2" s="25"/>
      <c r="S2" s="10"/>
      <c r="T2" s="3" t="str">
        <f>Tab_Def_Flows[[#This Row],[Flow_ID]]&amp;"_E2"</f>
        <v>F_01_01_E2</v>
      </c>
      <c r="U2" s="20"/>
      <c r="V2" s="10"/>
      <c r="W2" s="3" t="str">
        <f>Tab_Def_Flows[[#This Row],[Flow_ID]]&amp;"_E3"</f>
        <v>F_01_01_E3</v>
      </c>
      <c r="X2" s="20"/>
      <c r="Y2" s="10"/>
      <c r="Z2" s="3" t="str">
        <f>Tab_Def_Flows[[#This Row],[Flow_ID]]&amp;"_E4"</f>
        <v>F_01_01_E4</v>
      </c>
      <c r="AA2" s="20"/>
      <c r="AB2" s="10"/>
      <c r="AC2" s="3" t="str">
        <f>Tab_Def_Flows[[#This Row],[Flow_ID]]&amp;"_E5"</f>
        <v>F_01_01_E5</v>
      </c>
      <c r="AD2" s="25"/>
      <c r="AE2" s="10"/>
      <c r="AF2" s="3" t="str">
        <f>Tab_Def_Flows[[#This Row],[Flow_ID]]&amp;"_E6"</f>
        <v>F_01_01_E6</v>
      </c>
      <c r="AG2" s="25"/>
      <c r="AH2" s="10"/>
      <c r="AI2" s="58" t="b">
        <f>'0_Configuration'!$C$2</f>
        <v>1</v>
      </c>
      <c r="AJ2" s="3"/>
      <c r="AK2" s="58" t="b">
        <f>'0_Configuration'!$C$6</f>
        <v>0</v>
      </c>
      <c r="AL2" s="3" t="s">
        <v>355</v>
      </c>
      <c r="AM2" s="58" t="b">
        <f>'0_Configuration'!$C$10</f>
        <v>0</v>
      </c>
      <c r="AN2" s="3" t="s">
        <v>355</v>
      </c>
      <c r="AO2" s="58" t="b">
        <f>'0_Configuration'!$C$17</f>
        <v>0</v>
      </c>
      <c r="AP2" s="3">
        <f>_xlfn.XLOOKUP(Tab_Def_Flows[[#This Row],[ODYM_Good_Type]],Tab_Configuration[Value],Tab_Configuration[ODYM_ID],,0,)</f>
        <v>0</v>
      </c>
      <c r="AQ2" s="58" t="b">
        <f>'0_Configuration'!$C$24</f>
        <v>0</v>
      </c>
      <c r="AR2" s="3"/>
      <c r="AS2" s="58" t="b">
        <f>'0_Configuration'!$C$29</f>
        <v>1</v>
      </c>
      <c r="AT2" s="3" t="s">
        <v>369</v>
      </c>
      <c r="AU2" s="3" t="str">
        <f>IF(Tab_Def_Flows[[#This Row],[ODYM_time_(t)]],"t,","")&amp;IF(Tab_Def_Flows[[#This Row],[ODYM_Region_(r)]],"r,","")&amp;IF(Tab_Def_Flows[[#This Row],[ODYM_process_(p)]],"p,","")&amp;IF(Tab_Def_Flows[[#This Row],[ODYM_Good_(g)2]],"g,","")&amp;IF(Tab_Def_Flows[[#This Row],[ODYM_material_(m)]],"m,","")&amp;IF(Tab_Def_Flows[[#This Row],[ODYM_element_(e)]],"e","")</f>
        <v>t,e</v>
      </c>
      <c r="AV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 spans="1:50" x14ac:dyDescent="0.25">
      <c r="A3" s="27" t="b">
        <v>0</v>
      </c>
      <c r="B3" s="13">
        <f t="shared" ref="B3:B8" si="1">ROW()-1</f>
        <v>2</v>
      </c>
      <c r="C3" s="3" t="str">
        <f t="shared" ref="C3:C8" si="2">"F_"&amp;LEFT(H3,2)&amp;"_"&amp;LEFT(J3,2)</f>
        <v>F_01_01</v>
      </c>
      <c r="D3" s="4"/>
      <c r="E3" s="10"/>
      <c r="F3" s="3"/>
      <c r="G3" s="23"/>
      <c r="H3" s="3" t="str">
        <f>_xlfn.XLOOKUP(G3,Tab_Def_Processes[Process_Name],Tab_Def_Processes[Process_ID],,0,)</f>
        <v>01</v>
      </c>
      <c r="I3" s="23"/>
      <c r="J3" s="6" t="str">
        <f>_xlfn.XLOOKUP(I3,Tab_Def_Processes[Process_Name],Tab_Def_Processes[Process_ID],,0,)</f>
        <v>01</v>
      </c>
      <c r="K3" s="23" t="s">
        <v>2</v>
      </c>
      <c r="L3" s="23" t="s">
        <v>2</v>
      </c>
      <c r="M3" s="23" t="s">
        <v>2</v>
      </c>
      <c r="N3" s="23" t="s">
        <v>2</v>
      </c>
      <c r="O3" s="23" t="s">
        <v>2</v>
      </c>
      <c r="P3" s="23" t="s">
        <v>2</v>
      </c>
      <c r="Q3" s="3" t="str">
        <f>Tab_Def_Flows[[#This Row],[Flow_ID]]&amp;"_E1"</f>
        <v>F_01_01_E1</v>
      </c>
      <c r="R3" s="25"/>
      <c r="S3" s="10"/>
      <c r="T3" s="3" t="str">
        <f>Tab_Def_Flows[[#This Row],[Flow_ID]]&amp;"_E2"</f>
        <v>F_01_01_E2</v>
      </c>
      <c r="U3" s="20"/>
      <c r="V3" s="10"/>
      <c r="W3" s="3" t="str">
        <f>Tab_Def_Flows[[#This Row],[Flow_ID]]&amp;"_E3"</f>
        <v>F_01_01_E3</v>
      </c>
      <c r="X3" s="20"/>
      <c r="Y3" s="10"/>
      <c r="Z3" s="3" t="str">
        <f>Tab_Def_Flows[[#This Row],[Flow_ID]]&amp;"_E4"</f>
        <v>F_01_01_E4</v>
      </c>
      <c r="AA3" s="20"/>
      <c r="AB3" s="10"/>
      <c r="AC3" s="3" t="str">
        <f>Tab_Def_Flows[[#This Row],[Flow_ID]]&amp;"_E5"</f>
        <v>F_01_01_E5</v>
      </c>
      <c r="AD3" s="25"/>
      <c r="AE3" s="10"/>
      <c r="AF3" s="3" t="str">
        <f>Tab_Def_Flows[[#This Row],[Flow_ID]]&amp;"_E6"</f>
        <v>F_01_01_E6</v>
      </c>
      <c r="AG3" s="25"/>
      <c r="AH3" s="10"/>
      <c r="AI3" s="58" t="b">
        <f>'0_Configuration'!$C$2</f>
        <v>1</v>
      </c>
      <c r="AJ3" s="3"/>
      <c r="AK3" s="58" t="b">
        <f>'0_Configuration'!$C$6</f>
        <v>0</v>
      </c>
      <c r="AL3" s="3" t="s">
        <v>355</v>
      </c>
      <c r="AM3" s="58" t="b">
        <f>'0_Configuration'!$C$10</f>
        <v>0</v>
      </c>
      <c r="AN3" s="3" t="s">
        <v>355</v>
      </c>
      <c r="AO3" s="58" t="b">
        <f>'0_Configuration'!$C$17</f>
        <v>0</v>
      </c>
      <c r="AP3" s="3">
        <f>_xlfn.XLOOKUP(Tab_Def_Flows[[#This Row],[ODYM_Good_Type]],Tab_Configuration[Value],Tab_Configuration[ODYM_ID],,0,)</f>
        <v>0</v>
      </c>
      <c r="AQ3" s="58" t="b">
        <f>'0_Configuration'!$C$24</f>
        <v>0</v>
      </c>
      <c r="AR3" s="3"/>
      <c r="AS3" s="58" t="b">
        <f>'0_Configuration'!$C$29</f>
        <v>1</v>
      </c>
      <c r="AT3" s="3" t="s">
        <v>369</v>
      </c>
      <c r="AU3" s="3" t="str">
        <f>IF(Tab_Def_Flows[[#This Row],[ODYM_time_(t)]],"t,","")&amp;IF(Tab_Def_Flows[[#This Row],[ODYM_Region_(r)]],"r,","")&amp;IF(Tab_Def_Flows[[#This Row],[ODYM_process_(p)]],"p,","")&amp;IF(Tab_Def_Flows[[#This Row],[ODYM_Good_(g)2]],"g,","")&amp;IF(Tab_Def_Flows[[#This Row],[ODYM_material_(m)]],"m,","")&amp;IF(Tab_Def_Flows[[#This Row],[ODYM_element_(e)]],"e","")</f>
        <v>t,e</v>
      </c>
      <c r="AV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 spans="1:50" x14ac:dyDescent="0.25">
      <c r="A4" s="27" t="b">
        <v>0</v>
      </c>
      <c r="B4" s="13">
        <f t="shared" si="1"/>
        <v>3</v>
      </c>
      <c r="C4" s="3" t="str">
        <f t="shared" si="2"/>
        <v>F_01_01</v>
      </c>
      <c r="D4" s="4"/>
      <c r="E4" s="10"/>
      <c r="F4" s="3"/>
      <c r="G4" s="23"/>
      <c r="H4" s="3" t="str">
        <f>_xlfn.XLOOKUP(G4,Tab_Def_Processes[Process_Name],Tab_Def_Processes[Process_ID],,0,)</f>
        <v>01</v>
      </c>
      <c r="I4" s="23"/>
      <c r="J4" s="6" t="str">
        <f>_xlfn.XLOOKUP(I4,Tab_Def_Processes[Process_Name],Tab_Def_Processes[Process_ID],,0,)</f>
        <v>01</v>
      </c>
      <c r="K4" s="23" t="s">
        <v>2</v>
      </c>
      <c r="L4" s="23" t="s">
        <v>2</v>
      </c>
      <c r="M4" s="23" t="s">
        <v>2</v>
      </c>
      <c r="N4" s="23" t="s">
        <v>2</v>
      </c>
      <c r="O4" s="23" t="s">
        <v>2</v>
      </c>
      <c r="P4" s="23" t="s">
        <v>2</v>
      </c>
      <c r="Q4" s="3" t="str">
        <f>Tab_Def_Flows[[#This Row],[Flow_ID]]&amp;"_E1"</f>
        <v>F_01_01_E1</v>
      </c>
      <c r="R4" s="25"/>
      <c r="S4" s="10"/>
      <c r="T4" s="3" t="str">
        <f>Tab_Def_Flows[[#This Row],[Flow_ID]]&amp;"_E2"</f>
        <v>F_01_01_E2</v>
      </c>
      <c r="U4" s="20"/>
      <c r="V4" s="10"/>
      <c r="W4" s="3" t="str">
        <f>Tab_Def_Flows[[#This Row],[Flow_ID]]&amp;"_E3"</f>
        <v>F_01_01_E3</v>
      </c>
      <c r="X4" s="20"/>
      <c r="Y4" s="10"/>
      <c r="Z4" s="3" t="str">
        <f>Tab_Def_Flows[[#This Row],[Flow_ID]]&amp;"_E4"</f>
        <v>F_01_01_E4</v>
      </c>
      <c r="AA4" s="20"/>
      <c r="AB4" s="10"/>
      <c r="AC4" s="3" t="str">
        <f>Tab_Def_Flows[[#This Row],[Flow_ID]]&amp;"_E5"</f>
        <v>F_01_01_E5</v>
      </c>
      <c r="AD4" s="25"/>
      <c r="AE4" s="10"/>
      <c r="AF4" s="3" t="str">
        <f>Tab_Def_Flows[[#This Row],[Flow_ID]]&amp;"_E6"</f>
        <v>F_01_01_E6</v>
      </c>
      <c r="AG4" s="25"/>
      <c r="AH4" s="10"/>
      <c r="AI4" s="58" t="b">
        <f>'0_Configuration'!$C$2</f>
        <v>1</v>
      </c>
      <c r="AJ4" s="3"/>
      <c r="AK4" s="58" t="b">
        <f>'0_Configuration'!$C$6</f>
        <v>0</v>
      </c>
      <c r="AL4" s="3" t="s">
        <v>355</v>
      </c>
      <c r="AM4" s="58" t="b">
        <f>'0_Configuration'!$C$10</f>
        <v>0</v>
      </c>
      <c r="AN4" s="3" t="s">
        <v>355</v>
      </c>
      <c r="AO4" s="58" t="b">
        <f>'0_Configuration'!$C$17</f>
        <v>0</v>
      </c>
      <c r="AP4" s="3">
        <f>_xlfn.XLOOKUP(Tab_Def_Flows[[#This Row],[ODYM_Good_Type]],Tab_Configuration[Value],Tab_Configuration[ODYM_ID],,0,)</f>
        <v>0</v>
      </c>
      <c r="AQ4" s="58" t="b">
        <f>'0_Configuration'!$C$24</f>
        <v>0</v>
      </c>
      <c r="AR4" s="3"/>
      <c r="AS4" s="58" t="b">
        <f>'0_Configuration'!$C$29</f>
        <v>1</v>
      </c>
      <c r="AT4" s="3" t="s">
        <v>369</v>
      </c>
      <c r="AU4" s="3" t="str">
        <f>IF(Tab_Def_Flows[[#This Row],[ODYM_time_(t)]],"t,","")&amp;IF(Tab_Def_Flows[[#This Row],[ODYM_Region_(r)]],"r,","")&amp;IF(Tab_Def_Flows[[#This Row],[ODYM_process_(p)]],"p,","")&amp;IF(Tab_Def_Flows[[#This Row],[ODYM_Good_(g)2]],"g,","")&amp;IF(Tab_Def_Flows[[#This Row],[ODYM_material_(m)]],"m,","")&amp;IF(Tab_Def_Flows[[#This Row],[ODYM_element_(e)]],"e","")</f>
        <v>t,e</v>
      </c>
      <c r="AV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 spans="1:50" x14ac:dyDescent="0.25">
      <c r="A5" s="27" t="b">
        <v>0</v>
      </c>
      <c r="B5" s="13">
        <f t="shared" si="1"/>
        <v>4</v>
      </c>
      <c r="C5" s="3" t="str">
        <f t="shared" si="2"/>
        <v>F_01_01</v>
      </c>
      <c r="D5" s="4"/>
      <c r="E5" s="10"/>
      <c r="F5" s="3"/>
      <c r="G5" s="23"/>
      <c r="H5" s="3" t="str">
        <f>_xlfn.XLOOKUP(G5,Tab_Def_Processes[Process_Name],Tab_Def_Processes[Process_ID],,0,)</f>
        <v>01</v>
      </c>
      <c r="I5" s="23"/>
      <c r="J5" s="6" t="str">
        <f>_xlfn.XLOOKUP(I5,Tab_Def_Processes[Process_Name],Tab_Def_Processes[Process_ID],,0,)</f>
        <v>01</v>
      </c>
      <c r="K5" s="23" t="s">
        <v>2</v>
      </c>
      <c r="L5" s="23" t="s">
        <v>2</v>
      </c>
      <c r="M5" s="23" t="s">
        <v>2</v>
      </c>
      <c r="N5" s="23" t="s">
        <v>2</v>
      </c>
      <c r="O5" s="23" t="s">
        <v>2</v>
      </c>
      <c r="P5" s="23" t="s">
        <v>2</v>
      </c>
      <c r="Q5" s="3" t="str">
        <f>Tab_Def_Flows[[#This Row],[Flow_ID]]&amp;"_E1"</f>
        <v>F_01_01_E1</v>
      </c>
      <c r="R5" s="25"/>
      <c r="S5" s="10"/>
      <c r="T5" s="3" t="str">
        <f>Tab_Def_Flows[[#This Row],[Flow_ID]]&amp;"_E2"</f>
        <v>F_01_01_E2</v>
      </c>
      <c r="U5" s="20"/>
      <c r="V5" s="10"/>
      <c r="W5" s="3" t="str">
        <f>Tab_Def_Flows[[#This Row],[Flow_ID]]&amp;"_E3"</f>
        <v>F_01_01_E3</v>
      </c>
      <c r="X5" s="20"/>
      <c r="Y5" s="10"/>
      <c r="Z5" s="3" t="str">
        <f>Tab_Def_Flows[[#This Row],[Flow_ID]]&amp;"_E4"</f>
        <v>F_01_01_E4</v>
      </c>
      <c r="AA5" s="20"/>
      <c r="AB5" s="10"/>
      <c r="AC5" s="3" t="str">
        <f>Tab_Def_Flows[[#This Row],[Flow_ID]]&amp;"_E5"</f>
        <v>F_01_01_E5</v>
      </c>
      <c r="AD5" s="25"/>
      <c r="AE5" s="10"/>
      <c r="AF5" s="3" t="str">
        <f>Tab_Def_Flows[[#This Row],[Flow_ID]]&amp;"_E6"</f>
        <v>F_01_01_E6</v>
      </c>
      <c r="AG5" s="25"/>
      <c r="AH5" s="10"/>
      <c r="AI5" s="58" t="b">
        <f>'0_Configuration'!$C$2</f>
        <v>1</v>
      </c>
      <c r="AJ5" s="3"/>
      <c r="AK5" s="58" t="b">
        <f>'0_Configuration'!$C$6</f>
        <v>0</v>
      </c>
      <c r="AL5" s="3" t="s">
        <v>355</v>
      </c>
      <c r="AM5" s="58" t="b">
        <f>'0_Configuration'!$C$10</f>
        <v>0</v>
      </c>
      <c r="AN5" s="3" t="s">
        <v>355</v>
      </c>
      <c r="AO5" s="58" t="b">
        <f>'0_Configuration'!$C$17</f>
        <v>0</v>
      </c>
      <c r="AP5" s="3">
        <f>_xlfn.XLOOKUP(Tab_Def_Flows[[#This Row],[ODYM_Good_Type]],Tab_Configuration[Value],Tab_Configuration[ODYM_ID],,0,)</f>
        <v>0</v>
      </c>
      <c r="AQ5" s="58" t="b">
        <f>'0_Configuration'!$C$24</f>
        <v>0</v>
      </c>
      <c r="AR5" s="3"/>
      <c r="AS5" s="58" t="b">
        <f>'0_Configuration'!$C$29</f>
        <v>1</v>
      </c>
      <c r="AT5" s="3" t="s">
        <v>369</v>
      </c>
      <c r="AU5" s="3" t="str">
        <f>IF(Tab_Def_Flows[[#This Row],[ODYM_time_(t)]],"t,","")&amp;IF(Tab_Def_Flows[[#This Row],[ODYM_Region_(r)]],"r,","")&amp;IF(Tab_Def_Flows[[#This Row],[ODYM_process_(p)]],"p,","")&amp;IF(Tab_Def_Flows[[#This Row],[ODYM_Good_(g)2]],"g,","")&amp;IF(Tab_Def_Flows[[#This Row],[ODYM_material_(m)]],"m,","")&amp;IF(Tab_Def_Flows[[#This Row],[ODYM_element_(e)]],"e","")</f>
        <v>t,e</v>
      </c>
      <c r="AV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 spans="1:50" x14ac:dyDescent="0.25">
      <c r="A6" s="27" t="b">
        <v>0</v>
      </c>
      <c r="B6" s="13">
        <f t="shared" si="1"/>
        <v>5</v>
      </c>
      <c r="C6" s="3" t="str">
        <f t="shared" si="2"/>
        <v>F_01_01</v>
      </c>
      <c r="D6" s="4"/>
      <c r="E6" s="10"/>
      <c r="F6" s="3"/>
      <c r="G6" s="23"/>
      <c r="H6" s="3" t="str">
        <f>_xlfn.XLOOKUP(G6,Tab_Def_Processes[Process_Name],Tab_Def_Processes[Process_ID],,0,)</f>
        <v>01</v>
      </c>
      <c r="I6" s="23"/>
      <c r="J6" s="6" t="str">
        <f>_xlfn.XLOOKUP(I6,Tab_Def_Processes[Process_Name],Tab_Def_Processes[Process_ID],,0,)</f>
        <v>01</v>
      </c>
      <c r="K6" s="23" t="s">
        <v>2</v>
      </c>
      <c r="L6" s="23" t="s">
        <v>2</v>
      </c>
      <c r="M6" s="23" t="s">
        <v>2</v>
      </c>
      <c r="N6" s="23" t="s">
        <v>2</v>
      </c>
      <c r="O6" s="23" t="s">
        <v>2</v>
      </c>
      <c r="P6" s="23" t="s">
        <v>2</v>
      </c>
      <c r="Q6" s="3" t="str">
        <f>Tab_Def_Flows[[#This Row],[Flow_ID]]&amp;"_E1"</f>
        <v>F_01_01_E1</v>
      </c>
      <c r="R6" s="25"/>
      <c r="S6" s="10"/>
      <c r="T6" s="3" t="str">
        <f>Tab_Def_Flows[[#This Row],[Flow_ID]]&amp;"_E2"</f>
        <v>F_01_01_E2</v>
      </c>
      <c r="U6" s="20"/>
      <c r="V6" s="10"/>
      <c r="W6" s="3" t="str">
        <f>Tab_Def_Flows[[#This Row],[Flow_ID]]&amp;"_E3"</f>
        <v>F_01_01_E3</v>
      </c>
      <c r="X6" s="20"/>
      <c r="Y6" s="10"/>
      <c r="Z6" s="3" t="str">
        <f>Tab_Def_Flows[[#This Row],[Flow_ID]]&amp;"_E4"</f>
        <v>F_01_01_E4</v>
      </c>
      <c r="AA6" s="20"/>
      <c r="AB6" s="10"/>
      <c r="AC6" s="3" t="str">
        <f>Tab_Def_Flows[[#This Row],[Flow_ID]]&amp;"_E5"</f>
        <v>F_01_01_E5</v>
      </c>
      <c r="AD6" s="25"/>
      <c r="AE6" s="10"/>
      <c r="AF6" s="3" t="str">
        <f>Tab_Def_Flows[[#This Row],[Flow_ID]]&amp;"_E6"</f>
        <v>F_01_01_E6</v>
      </c>
      <c r="AG6" s="25"/>
      <c r="AH6" s="10"/>
      <c r="AI6" s="58" t="b">
        <f>'0_Configuration'!$C$2</f>
        <v>1</v>
      </c>
      <c r="AJ6" s="3"/>
      <c r="AK6" s="58" t="b">
        <f>'0_Configuration'!$C$6</f>
        <v>0</v>
      </c>
      <c r="AL6" s="3" t="s">
        <v>355</v>
      </c>
      <c r="AM6" s="58" t="b">
        <f>'0_Configuration'!$C$10</f>
        <v>0</v>
      </c>
      <c r="AN6" s="3" t="s">
        <v>355</v>
      </c>
      <c r="AO6" s="58" t="b">
        <f>'0_Configuration'!$C$17</f>
        <v>0</v>
      </c>
      <c r="AP6" s="3">
        <f>_xlfn.XLOOKUP(Tab_Def_Flows[[#This Row],[ODYM_Good_Type]],Tab_Configuration[Value],Tab_Configuration[ODYM_ID],,0,)</f>
        <v>0</v>
      </c>
      <c r="AQ6" s="58" t="b">
        <f>'0_Configuration'!$C$24</f>
        <v>0</v>
      </c>
      <c r="AR6" s="3"/>
      <c r="AS6" s="58" t="b">
        <f>'0_Configuration'!$C$29</f>
        <v>1</v>
      </c>
      <c r="AT6" s="3" t="s">
        <v>369</v>
      </c>
      <c r="AU6" s="3" t="str">
        <f>IF(Tab_Def_Flows[[#This Row],[ODYM_time_(t)]],"t,","")&amp;IF(Tab_Def_Flows[[#This Row],[ODYM_Region_(r)]],"r,","")&amp;IF(Tab_Def_Flows[[#This Row],[ODYM_process_(p)]],"p,","")&amp;IF(Tab_Def_Flows[[#This Row],[ODYM_Good_(g)2]],"g,","")&amp;IF(Tab_Def_Flows[[#This Row],[ODYM_material_(m)]],"m,","")&amp;IF(Tab_Def_Flows[[#This Row],[ODYM_element_(e)]],"e","")</f>
        <v>t,e</v>
      </c>
      <c r="AV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 spans="1:50" x14ac:dyDescent="0.25">
      <c r="A7" s="27" t="b">
        <v>0</v>
      </c>
      <c r="B7" s="13">
        <f t="shared" si="1"/>
        <v>6</v>
      </c>
      <c r="C7" s="3" t="str">
        <f t="shared" si="2"/>
        <v>F_01_01</v>
      </c>
      <c r="D7" s="83"/>
      <c r="E7" s="10"/>
      <c r="F7" s="3"/>
      <c r="G7" s="23"/>
      <c r="H7" s="3" t="str">
        <f>_xlfn.XLOOKUP(G7,Tab_Def_Processes[Process_Name],Tab_Def_Processes[Process_ID],,0,)</f>
        <v>01</v>
      </c>
      <c r="I7" s="23"/>
      <c r="J7" s="6" t="str">
        <f>_xlfn.XLOOKUP(I7,Tab_Def_Processes[Process_Name],Tab_Def_Processes[Process_ID],,0,)</f>
        <v>01</v>
      </c>
      <c r="K7" s="23" t="s">
        <v>2</v>
      </c>
      <c r="L7" s="23" t="s">
        <v>2</v>
      </c>
      <c r="M7" s="23" t="s">
        <v>2</v>
      </c>
      <c r="N7" s="23" t="s">
        <v>2</v>
      </c>
      <c r="O7" s="23" t="s">
        <v>2</v>
      </c>
      <c r="P7" s="23" t="s">
        <v>2</v>
      </c>
      <c r="Q7" s="3" t="str">
        <f>Tab_Def_Flows[[#This Row],[Flow_ID]]&amp;"_E1"</f>
        <v>F_01_01_E1</v>
      </c>
      <c r="R7" s="25"/>
      <c r="S7" s="10"/>
      <c r="T7" s="3" t="str">
        <f>Tab_Def_Flows[[#This Row],[Flow_ID]]&amp;"_E2"</f>
        <v>F_01_01_E2</v>
      </c>
      <c r="U7" s="20"/>
      <c r="V7" s="10"/>
      <c r="W7" s="3" t="str">
        <f>Tab_Def_Flows[[#This Row],[Flow_ID]]&amp;"_E3"</f>
        <v>F_01_01_E3</v>
      </c>
      <c r="X7" s="20"/>
      <c r="Y7" s="10"/>
      <c r="Z7" s="3" t="str">
        <f>Tab_Def_Flows[[#This Row],[Flow_ID]]&amp;"_E4"</f>
        <v>F_01_01_E4</v>
      </c>
      <c r="AA7" s="20"/>
      <c r="AB7" s="10"/>
      <c r="AC7" s="3" t="str">
        <f>Tab_Def_Flows[[#This Row],[Flow_ID]]&amp;"_E5"</f>
        <v>F_01_01_E5</v>
      </c>
      <c r="AD7" s="25"/>
      <c r="AE7" s="10"/>
      <c r="AF7" s="3" t="str">
        <f>Tab_Def_Flows[[#This Row],[Flow_ID]]&amp;"_E6"</f>
        <v>F_01_01_E6</v>
      </c>
      <c r="AG7" s="25"/>
      <c r="AH7" s="10"/>
      <c r="AI7" s="58" t="b">
        <f>'0_Configuration'!$C$2</f>
        <v>1</v>
      </c>
      <c r="AJ7" s="3"/>
      <c r="AK7" s="58" t="b">
        <f>'0_Configuration'!$C$6</f>
        <v>0</v>
      </c>
      <c r="AL7" s="3" t="s">
        <v>355</v>
      </c>
      <c r="AM7" s="58" t="b">
        <f>'0_Configuration'!$C$10</f>
        <v>0</v>
      </c>
      <c r="AN7" s="3" t="s">
        <v>355</v>
      </c>
      <c r="AO7" s="58" t="b">
        <f>'0_Configuration'!$C$17</f>
        <v>0</v>
      </c>
      <c r="AP7" s="3">
        <f>_xlfn.XLOOKUP(Tab_Def_Flows[[#This Row],[ODYM_Good_Type]],Tab_Configuration[Value],Tab_Configuration[ODYM_ID],,0,)</f>
        <v>0</v>
      </c>
      <c r="AQ7" s="58" t="b">
        <f>'0_Configuration'!$C$24</f>
        <v>0</v>
      </c>
      <c r="AR7" s="3"/>
      <c r="AS7" s="58" t="b">
        <f>'0_Configuration'!$C$29</f>
        <v>1</v>
      </c>
      <c r="AT7" s="3" t="s">
        <v>369</v>
      </c>
      <c r="AU7" s="3" t="str">
        <f>IF(Tab_Def_Flows[[#This Row],[ODYM_time_(t)]],"t,","")&amp;IF(Tab_Def_Flows[[#This Row],[ODYM_Region_(r)]],"r,","")&amp;IF(Tab_Def_Flows[[#This Row],[ODYM_process_(p)]],"p,","")&amp;IF(Tab_Def_Flows[[#This Row],[ODYM_Good_(g)2]],"g,","")&amp;IF(Tab_Def_Flows[[#This Row],[ODYM_material_(m)]],"m,","")&amp;IF(Tab_Def_Flows[[#This Row],[ODYM_element_(e)]],"e","")</f>
        <v>t,e</v>
      </c>
      <c r="AV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 spans="1:50" x14ac:dyDescent="0.25">
      <c r="A8" s="27" t="b">
        <v>0</v>
      </c>
      <c r="B8" s="13">
        <f t="shared" si="1"/>
        <v>7</v>
      </c>
      <c r="C8" s="3" t="str">
        <f t="shared" si="2"/>
        <v>F_01_01</v>
      </c>
      <c r="D8" s="82"/>
      <c r="E8" s="10"/>
      <c r="F8" s="3"/>
      <c r="G8" s="23"/>
      <c r="H8" s="3" t="str">
        <f>_xlfn.XLOOKUP(G8,Tab_Def_Processes[Process_Name],Tab_Def_Processes[Process_ID],,0,)</f>
        <v>01</v>
      </c>
      <c r="I8" s="23"/>
      <c r="J8" s="6" t="str">
        <f>_xlfn.XLOOKUP(I8,Tab_Def_Processes[Process_Name],Tab_Def_Processes[Process_ID],,0,)</f>
        <v>01</v>
      </c>
      <c r="K8" s="23" t="s">
        <v>2</v>
      </c>
      <c r="L8" s="23" t="s">
        <v>2</v>
      </c>
      <c r="M8" s="23" t="s">
        <v>2</v>
      </c>
      <c r="N8" s="23" t="s">
        <v>2</v>
      </c>
      <c r="O8" s="23" t="s">
        <v>2</v>
      </c>
      <c r="P8" s="23" t="s">
        <v>2</v>
      </c>
      <c r="Q8" s="3" t="str">
        <f>Tab_Def_Flows[[#This Row],[Flow_ID]]&amp;"_E1"</f>
        <v>F_01_01_E1</v>
      </c>
      <c r="R8" s="25"/>
      <c r="S8" s="10"/>
      <c r="T8" s="3" t="str">
        <f>Tab_Def_Flows[[#This Row],[Flow_ID]]&amp;"_E2"</f>
        <v>F_01_01_E2</v>
      </c>
      <c r="U8" s="20"/>
      <c r="V8" s="10"/>
      <c r="W8" s="3" t="str">
        <f>Tab_Def_Flows[[#This Row],[Flow_ID]]&amp;"_E3"</f>
        <v>F_01_01_E3</v>
      </c>
      <c r="X8" s="20"/>
      <c r="Y8" s="10"/>
      <c r="Z8" s="3" t="str">
        <f>Tab_Def_Flows[[#This Row],[Flow_ID]]&amp;"_E4"</f>
        <v>F_01_01_E4</v>
      </c>
      <c r="AA8" s="20"/>
      <c r="AB8" s="10"/>
      <c r="AC8" s="3" t="str">
        <f>Tab_Def_Flows[[#This Row],[Flow_ID]]&amp;"_E5"</f>
        <v>F_01_01_E5</v>
      </c>
      <c r="AD8" s="25"/>
      <c r="AE8" s="10"/>
      <c r="AF8" s="3" t="str">
        <f>Tab_Def_Flows[[#This Row],[Flow_ID]]&amp;"_E6"</f>
        <v>F_01_01_E6</v>
      </c>
      <c r="AG8" s="25"/>
      <c r="AH8" s="10"/>
      <c r="AI8" s="58" t="b">
        <f>'0_Configuration'!$C$2</f>
        <v>1</v>
      </c>
      <c r="AJ8" s="3"/>
      <c r="AK8" s="58" t="b">
        <f>'0_Configuration'!$C$6</f>
        <v>0</v>
      </c>
      <c r="AL8" s="3" t="s">
        <v>355</v>
      </c>
      <c r="AM8" s="58" t="b">
        <f>'0_Configuration'!$C$10</f>
        <v>0</v>
      </c>
      <c r="AN8" s="3" t="s">
        <v>355</v>
      </c>
      <c r="AO8" s="58" t="b">
        <f>'0_Configuration'!$C$17</f>
        <v>0</v>
      </c>
      <c r="AP8" s="3">
        <f>_xlfn.XLOOKUP(Tab_Def_Flows[[#This Row],[ODYM_Good_Type]],Tab_Configuration[Value],Tab_Configuration[ODYM_ID],,0,)</f>
        <v>0</v>
      </c>
      <c r="AQ8" s="58" t="b">
        <f>'0_Configuration'!$C$24</f>
        <v>0</v>
      </c>
      <c r="AR8" s="3"/>
      <c r="AS8" s="58" t="b">
        <f>'0_Configuration'!$C$29</f>
        <v>1</v>
      </c>
      <c r="AT8" s="3" t="s">
        <v>369</v>
      </c>
      <c r="AU8" s="3" t="str">
        <f>IF(Tab_Def_Flows[[#This Row],[ODYM_time_(t)]],"t,","")&amp;IF(Tab_Def_Flows[[#This Row],[ODYM_Region_(r)]],"r,","")&amp;IF(Tab_Def_Flows[[#This Row],[ODYM_process_(p)]],"p,","")&amp;IF(Tab_Def_Flows[[#This Row],[ODYM_Good_(g)2]],"g,","")&amp;IF(Tab_Def_Flows[[#This Row],[ODYM_material_(m)]],"m,","")&amp;IF(Tab_Def_Flows[[#This Row],[ODYM_element_(e)]],"e","")</f>
        <v>t,e</v>
      </c>
      <c r="AV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 spans="1:50" x14ac:dyDescent="0.25">
      <c r="A9" s="27" t="b">
        <v>0</v>
      </c>
      <c r="B9" s="13">
        <f t="shared" si="0"/>
        <v>8</v>
      </c>
      <c r="C9" s="3" t="str">
        <f t="shared" ref="C9:C89" si="3">"F_"&amp;LEFT(H9,2)&amp;"_"&amp;LEFT(J9,2)</f>
        <v>F_01_01</v>
      </c>
      <c r="D9" s="4"/>
      <c r="E9" s="10"/>
      <c r="F9" s="3"/>
      <c r="G9" s="23"/>
      <c r="H9" s="3" t="str">
        <f>_xlfn.XLOOKUP(G9,Tab_Def_Processes[Process_Name],Tab_Def_Processes[Process_ID],,0,)</f>
        <v>01</v>
      </c>
      <c r="I9" s="23"/>
      <c r="J9" s="6" t="str">
        <f>_xlfn.XLOOKUP(I9,Tab_Def_Processes[Process_Name],Tab_Def_Processes[Process_ID],,0,)</f>
        <v>01</v>
      </c>
      <c r="K9" s="23" t="s">
        <v>2</v>
      </c>
      <c r="L9" s="23" t="s">
        <v>2</v>
      </c>
      <c r="M9" s="23" t="s">
        <v>2</v>
      </c>
      <c r="N9" s="23" t="s">
        <v>2</v>
      </c>
      <c r="O9" s="23" t="s">
        <v>2</v>
      </c>
      <c r="P9" s="23" t="s">
        <v>2</v>
      </c>
      <c r="Q9" s="3" t="str">
        <f>Tab_Def_Flows[[#This Row],[Flow_ID]]&amp;"_E1"</f>
        <v>F_01_01_E1</v>
      </c>
      <c r="R9" s="25"/>
      <c r="S9" s="10"/>
      <c r="T9" s="3" t="str">
        <f>Tab_Def_Flows[[#This Row],[Flow_ID]]&amp;"_E2"</f>
        <v>F_01_01_E2</v>
      </c>
      <c r="U9" s="20"/>
      <c r="V9" s="10"/>
      <c r="W9" s="3" t="str">
        <f>Tab_Def_Flows[[#This Row],[Flow_ID]]&amp;"_E3"</f>
        <v>F_01_01_E3</v>
      </c>
      <c r="X9" s="20"/>
      <c r="Y9" s="10"/>
      <c r="Z9" s="3" t="str">
        <f>Tab_Def_Flows[[#This Row],[Flow_ID]]&amp;"_E4"</f>
        <v>F_01_01_E4</v>
      </c>
      <c r="AA9" s="20"/>
      <c r="AB9" s="10"/>
      <c r="AC9" s="3" t="str">
        <f>Tab_Def_Flows[[#This Row],[Flow_ID]]&amp;"_E5"</f>
        <v>F_01_01_E5</v>
      </c>
      <c r="AD9" s="25"/>
      <c r="AE9" s="10"/>
      <c r="AF9" s="3" t="str">
        <f>Tab_Def_Flows[[#This Row],[Flow_ID]]&amp;"_E6"</f>
        <v>F_01_01_E6</v>
      </c>
      <c r="AG9" s="25"/>
      <c r="AH9" s="10"/>
      <c r="AI9" s="58" t="b">
        <f>'0_Configuration'!$C$2</f>
        <v>1</v>
      </c>
      <c r="AJ9" s="3"/>
      <c r="AK9" s="58" t="b">
        <f>'0_Configuration'!$C$6</f>
        <v>0</v>
      </c>
      <c r="AL9" s="3" t="s">
        <v>355</v>
      </c>
      <c r="AM9" s="58" t="b">
        <f>'0_Configuration'!$C$10</f>
        <v>0</v>
      </c>
      <c r="AN9" s="3" t="s">
        <v>355</v>
      </c>
      <c r="AO9" s="58" t="b">
        <f>'0_Configuration'!$C$17</f>
        <v>0</v>
      </c>
      <c r="AP9" s="3">
        <f>_xlfn.XLOOKUP(Tab_Def_Flows[[#This Row],[ODYM_Good_Type]],Tab_Configuration[Value],Tab_Configuration[ODYM_ID],,0,)</f>
        <v>0</v>
      </c>
      <c r="AQ9" s="58" t="b">
        <f>'0_Configuration'!$C$24</f>
        <v>0</v>
      </c>
      <c r="AR9" s="3"/>
      <c r="AS9" s="58" t="b">
        <f>'0_Configuration'!$C$29</f>
        <v>1</v>
      </c>
      <c r="AT9" s="3" t="s">
        <v>369</v>
      </c>
      <c r="AU9" s="3" t="str">
        <f>IF(Tab_Def_Flows[[#This Row],[ODYM_time_(t)]],"t,","")&amp;IF(Tab_Def_Flows[[#This Row],[ODYM_Region_(r)]],"r,","")&amp;IF(Tab_Def_Flows[[#This Row],[ODYM_process_(p)]],"p,","")&amp;IF(Tab_Def_Flows[[#This Row],[ODYM_Good_(g)2]],"g,","")&amp;IF(Tab_Def_Flows[[#This Row],[ODYM_material_(m)]],"m,","")&amp;IF(Tab_Def_Flows[[#This Row],[ODYM_element_(e)]],"e","")</f>
        <v>t,e</v>
      </c>
      <c r="AV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0" spans="1:50" x14ac:dyDescent="0.25">
      <c r="A10" s="27" t="b">
        <v>0</v>
      </c>
      <c r="B10" s="13">
        <f>ROW()-1</f>
        <v>9</v>
      </c>
      <c r="C10" s="3" t="str">
        <f>"F_"&amp;LEFT(H10,2)&amp;"_"&amp;LEFT(J10,2)</f>
        <v>F_01_01</v>
      </c>
      <c r="D10" s="4"/>
      <c r="E10" s="10"/>
      <c r="F10" s="3"/>
      <c r="G10" s="23"/>
      <c r="H10" s="3" t="str">
        <f>_xlfn.XLOOKUP(G10,Tab_Def_Processes[Process_Name],Tab_Def_Processes[Process_ID],,0,)</f>
        <v>01</v>
      </c>
      <c r="I10" s="23"/>
      <c r="J10" s="6" t="str">
        <f>_xlfn.XLOOKUP(I10,Tab_Def_Processes[Process_Name],Tab_Def_Processes[Process_ID],,0,)</f>
        <v>01</v>
      </c>
      <c r="K10" s="23" t="s">
        <v>2</v>
      </c>
      <c r="L10" s="23" t="s">
        <v>2</v>
      </c>
      <c r="M10" s="23" t="s">
        <v>2</v>
      </c>
      <c r="N10" s="23" t="s">
        <v>2</v>
      </c>
      <c r="O10" s="23" t="s">
        <v>2</v>
      </c>
      <c r="P10" s="23" t="s">
        <v>2</v>
      </c>
      <c r="Q10" s="3" t="str">
        <f>Tab_Def_Flows[[#This Row],[Flow_ID]]&amp;"_E1"</f>
        <v>F_01_01_E1</v>
      </c>
      <c r="R10" s="25"/>
      <c r="S10" s="10"/>
      <c r="T10" s="3" t="str">
        <f>Tab_Def_Flows[[#This Row],[Flow_ID]]&amp;"_E2"</f>
        <v>F_01_01_E2</v>
      </c>
      <c r="U10" s="20"/>
      <c r="V10" s="10"/>
      <c r="W10" s="3" t="str">
        <f>Tab_Def_Flows[[#This Row],[Flow_ID]]&amp;"_E3"</f>
        <v>F_01_01_E3</v>
      </c>
      <c r="X10" s="20"/>
      <c r="Y10" s="10"/>
      <c r="Z10" s="3" t="str">
        <f>Tab_Def_Flows[[#This Row],[Flow_ID]]&amp;"_E4"</f>
        <v>F_01_01_E4</v>
      </c>
      <c r="AA10" s="20"/>
      <c r="AB10" s="10"/>
      <c r="AC10" s="3" t="str">
        <f>Tab_Def_Flows[[#This Row],[Flow_ID]]&amp;"_E5"</f>
        <v>F_01_01_E5</v>
      </c>
      <c r="AD10" s="25"/>
      <c r="AE10" s="10"/>
      <c r="AF10" s="3" t="str">
        <f>Tab_Def_Flows[[#This Row],[Flow_ID]]&amp;"_E6"</f>
        <v>F_01_01_E6</v>
      </c>
      <c r="AG10" s="25"/>
      <c r="AH10" s="10"/>
      <c r="AI10" s="58" t="b">
        <f>'0_Configuration'!$C$2</f>
        <v>1</v>
      </c>
      <c r="AJ10" s="3"/>
      <c r="AK10" s="58" t="b">
        <f>'0_Configuration'!$C$6</f>
        <v>0</v>
      </c>
      <c r="AL10" s="3" t="s">
        <v>355</v>
      </c>
      <c r="AM10" s="58" t="b">
        <f>'0_Configuration'!$C$10</f>
        <v>0</v>
      </c>
      <c r="AN10" s="3" t="s">
        <v>355</v>
      </c>
      <c r="AO10" s="58" t="b">
        <f>'0_Configuration'!$C$17</f>
        <v>0</v>
      </c>
      <c r="AP10" s="3">
        <f>_xlfn.XLOOKUP(Tab_Def_Flows[[#This Row],[ODYM_Good_Type]],Tab_Configuration[Value],Tab_Configuration[ODYM_ID],,0,)</f>
        <v>0</v>
      </c>
      <c r="AQ10" s="58" t="b">
        <f>'0_Configuration'!$C$24</f>
        <v>0</v>
      </c>
      <c r="AR10" s="3"/>
      <c r="AS10" s="58" t="b">
        <f>'0_Configuration'!$C$29</f>
        <v>1</v>
      </c>
      <c r="AT10" s="3" t="s">
        <v>369</v>
      </c>
      <c r="AU10" s="3" t="str">
        <f>IF(Tab_Def_Flows[[#This Row],[ODYM_time_(t)]],"t,","")&amp;IF(Tab_Def_Flows[[#This Row],[ODYM_Region_(r)]],"r,","")&amp;IF(Tab_Def_Flows[[#This Row],[ODYM_process_(p)]],"p,","")&amp;IF(Tab_Def_Flows[[#This Row],[ODYM_Good_(g)2]],"g,","")&amp;IF(Tab_Def_Flows[[#This Row],[ODYM_material_(m)]],"m,","")&amp;IF(Tab_Def_Flows[[#This Row],[ODYM_element_(e)]],"e","")</f>
        <v>t,e</v>
      </c>
      <c r="AV1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1" spans="1:50" x14ac:dyDescent="0.25">
      <c r="A11" s="27" t="b">
        <v>0</v>
      </c>
      <c r="B11" s="13">
        <f>ROW()-1</f>
        <v>10</v>
      </c>
      <c r="C11" s="3" t="str">
        <f>"F_"&amp;LEFT(H11,2)&amp;"_"&amp;LEFT(J11,2)</f>
        <v>F_01_01</v>
      </c>
      <c r="D11" s="4"/>
      <c r="E11" s="10"/>
      <c r="F11" s="3"/>
      <c r="G11" s="23"/>
      <c r="H11" s="3" t="str">
        <f>_xlfn.XLOOKUP(G11,Tab_Def_Processes[Process_Name],Tab_Def_Processes[Process_ID],,0,)</f>
        <v>01</v>
      </c>
      <c r="I11" s="23"/>
      <c r="J11" s="6" t="str">
        <f>_xlfn.XLOOKUP(I11,Tab_Def_Processes[Process_Name],Tab_Def_Processes[Process_ID],,0,)</f>
        <v>01</v>
      </c>
      <c r="K11" s="23" t="s">
        <v>2</v>
      </c>
      <c r="L11" s="23" t="s">
        <v>2</v>
      </c>
      <c r="M11" s="23" t="s">
        <v>2</v>
      </c>
      <c r="N11" s="23" t="s">
        <v>2</v>
      </c>
      <c r="O11" s="23" t="s">
        <v>2</v>
      </c>
      <c r="P11" s="23" t="s">
        <v>2</v>
      </c>
      <c r="Q11" s="3" t="str">
        <f>Tab_Def_Flows[[#This Row],[Flow_ID]]&amp;"_E1"</f>
        <v>F_01_01_E1</v>
      </c>
      <c r="R11" s="25"/>
      <c r="S11" s="10"/>
      <c r="T11" s="3" t="str">
        <f>Tab_Def_Flows[[#This Row],[Flow_ID]]&amp;"_E2"</f>
        <v>F_01_01_E2</v>
      </c>
      <c r="U11" s="20"/>
      <c r="V11" s="10"/>
      <c r="W11" s="3" t="str">
        <f>Tab_Def_Flows[[#This Row],[Flow_ID]]&amp;"_E3"</f>
        <v>F_01_01_E3</v>
      </c>
      <c r="X11" s="20"/>
      <c r="Y11" s="10"/>
      <c r="Z11" s="3" t="str">
        <f>Tab_Def_Flows[[#This Row],[Flow_ID]]&amp;"_E4"</f>
        <v>F_01_01_E4</v>
      </c>
      <c r="AA11" s="20"/>
      <c r="AB11" s="10"/>
      <c r="AC11" s="3" t="str">
        <f>Tab_Def_Flows[[#This Row],[Flow_ID]]&amp;"_E5"</f>
        <v>F_01_01_E5</v>
      </c>
      <c r="AD11" s="25"/>
      <c r="AE11" s="10"/>
      <c r="AF11" s="3" t="str">
        <f>Tab_Def_Flows[[#This Row],[Flow_ID]]&amp;"_E6"</f>
        <v>F_01_01_E6</v>
      </c>
      <c r="AG11" s="25"/>
      <c r="AH11" s="10"/>
      <c r="AI11" s="58" t="b">
        <f>'0_Configuration'!$C$2</f>
        <v>1</v>
      </c>
      <c r="AJ11" s="3"/>
      <c r="AK11" s="58" t="b">
        <f>'0_Configuration'!$C$6</f>
        <v>0</v>
      </c>
      <c r="AL11" s="3" t="s">
        <v>355</v>
      </c>
      <c r="AM11" s="58" t="b">
        <f>'0_Configuration'!$C$10</f>
        <v>0</v>
      </c>
      <c r="AN11" s="3" t="s">
        <v>355</v>
      </c>
      <c r="AO11" s="58" t="b">
        <f>'0_Configuration'!$C$17</f>
        <v>0</v>
      </c>
      <c r="AP11" s="3">
        <f>_xlfn.XLOOKUP(Tab_Def_Flows[[#This Row],[ODYM_Good_Type]],Tab_Configuration[Value],Tab_Configuration[ODYM_ID],,0,)</f>
        <v>0</v>
      </c>
      <c r="AQ11" s="58" t="b">
        <f>'0_Configuration'!$C$24</f>
        <v>0</v>
      </c>
      <c r="AR11" s="3"/>
      <c r="AS11" s="58" t="b">
        <f>'0_Configuration'!$C$29</f>
        <v>1</v>
      </c>
      <c r="AT11" s="3" t="s">
        <v>369</v>
      </c>
      <c r="AU11" s="3" t="str">
        <f>IF(Tab_Def_Flows[[#This Row],[ODYM_time_(t)]],"t,","")&amp;IF(Tab_Def_Flows[[#This Row],[ODYM_Region_(r)]],"r,","")&amp;IF(Tab_Def_Flows[[#This Row],[ODYM_process_(p)]],"p,","")&amp;IF(Tab_Def_Flows[[#This Row],[ODYM_Good_(g)2]],"g,","")&amp;IF(Tab_Def_Flows[[#This Row],[ODYM_material_(m)]],"m,","")&amp;IF(Tab_Def_Flows[[#This Row],[ODYM_element_(e)]],"e","")</f>
        <v>t,e</v>
      </c>
      <c r="AV1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2" spans="1:50" x14ac:dyDescent="0.25">
      <c r="A12" s="27" t="b">
        <v>0</v>
      </c>
      <c r="B12" s="13">
        <f t="shared" si="0"/>
        <v>11</v>
      </c>
      <c r="C12" s="3" t="str">
        <f t="shared" si="3"/>
        <v>F_01_01</v>
      </c>
      <c r="D12" s="4"/>
      <c r="E12" s="10"/>
      <c r="F12" s="3"/>
      <c r="G12" s="23"/>
      <c r="H12" s="3" t="str">
        <f>_xlfn.XLOOKUP(G12,Tab_Def_Processes[Process_Name],Tab_Def_Processes[Process_ID],,0,)</f>
        <v>01</v>
      </c>
      <c r="I12" s="23"/>
      <c r="J12" s="6" t="str">
        <f>_xlfn.XLOOKUP(I12,Tab_Def_Processes[Process_Name],Tab_Def_Processes[Process_ID],,0,)</f>
        <v>01</v>
      </c>
      <c r="K12" s="23" t="s">
        <v>2</v>
      </c>
      <c r="L12" s="23" t="s">
        <v>2</v>
      </c>
      <c r="M12" s="23" t="s">
        <v>2</v>
      </c>
      <c r="N12" s="23" t="s">
        <v>2</v>
      </c>
      <c r="O12" s="23" t="s">
        <v>2</v>
      </c>
      <c r="P12" s="23" t="s">
        <v>2</v>
      </c>
      <c r="Q12" s="3" t="str">
        <f>Tab_Def_Flows[[#This Row],[Flow_ID]]&amp;"_E1"</f>
        <v>F_01_01_E1</v>
      </c>
      <c r="R12" s="25"/>
      <c r="S12" s="10"/>
      <c r="T12" s="3" t="str">
        <f>Tab_Def_Flows[[#This Row],[Flow_ID]]&amp;"_E2"</f>
        <v>F_01_01_E2</v>
      </c>
      <c r="U12" s="20"/>
      <c r="V12" s="10"/>
      <c r="W12" s="3" t="str">
        <f>Tab_Def_Flows[[#This Row],[Flow_ID]]&amp;"_E3"</f>
        <v>F_01_01_E3</v>
      </c>
      <c r="X12" s="20"/>
      <c r="Y12" s="10"/>
      <c r="Z12" s="3" t="str">
        <f>Tab_Def_Flows[[#This Row],[Flow_ID]]&amp;"_E4"</f>
        <v>F_01_01_E4</v>
      </c>
      <c r="AA12" s="20"/>
      <c r="AB12" s="10"/>
      <c r="AC12" s="3" t="str">
        <f>Tab_Def_Flows[[#This Row],[Flow_ID]]&amp;"_E5"</f>
        <v>F_01_01_E5</v>
      </c>
      <c r="AD12" s="25"/>
      <c r="AE12" s="10"/>
      <c r="AF12" s="3" t="str">
        <f>Tab_Def_Flows[[#This Row],[Flow_ID]]&amp;"_E6"</f>
        <v>F_01_01_E6</v>
      </c>
      <c r="AG12" s="25"/>
      <c r="AH12" s="10"/>
      <c r="AI12" s="58" t="b">
        <f>'0_Configuration'!$C$2</f>
        <v>1</v>
      </c>
      <c r="AJ12" s="3"/>
      <c r="AK12" s="58" t="b">
        <f>'0_Configuration'!$C$6</f>
        <v>0</v>
      </c>
      <c r="AL12" s="3" t="s">
        <v>355</v>
      </c>
      <c r="AM12" s="58" t="b">
        <f>'0_Configuration'!$C$10</f>
        <v>0</v>
      </c>
      <c r="AN12" s="3" t="s">
        <v>355</v>
      </c>
      <c r="AO12" s="58" t="b">
        <f>'0_Configuration'!$C$17</f>
        <v>0</v>
      </c>
      <c r="AP12" s="3">
        <f>_xlfn.XLOOKUP(Tab_Def_Flows[[#This Row],[ODYM_Good_Type]],Tab_Configuration[Value],Tab_Configuration[ODYM_ID],,0,)</f>
        <v>0</v>
      </c>
      <c r="AQ12" s="58" t="b">
        <f>'0_Configuration'!$C$24</f>
        <v>0</v>
      </c>
      <c r="AR12" s="3"/>
      <c r="AS12" s="58" t="b">
        <f>'0_Configuration'!$C$29</f>
        <v>1</v>
      </c>
      <c r="AT12" s="3" t="s">
        <v>369</v>
      </c>
      <c r="AU12" s="3" t="str">
        <f>IF(Tab_Def_Flows[[#This Row],[ODYM_time_(t)]],"t,","")&amp;IF(Tab_Def_Flows[[#This Row],[ODYM_Region_(r)]],"r,","")&amp;IF(Tab_Def_Flows[[#This Row],[ODYM_process_(p)]],"p,","")&amp;IF(Tab_Def_Flows[[#This Row],[ODYM_Good_(g)2]],"g,","")&amp;IF(Tab_Def_Flows[[#This Row],[ODYM_material_(m)]],"m,","")&amp;IF(Tab_Def_Flows[[#This Row],[ODYM_element_(e)]],"e","")</f>
        <v>t,e</v>
      </c>
      <c r="AV1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2" s="31"/>
    </row>
    <row r="13" spans="1:50" x14ac:dyDescent="0.25">
      <c r="A13" s="27" t="b">
        <v>0</v>
      </c>
      <c r="B13" s="13">
        <f t="shared" ref="B13:B18" si="4">ROW()-1</f>
        <v>12</v>
      </c>
      <c r="C13" s="3" t="str">
        <f t="shared" si="3"/>
        <v>F_01_01</v>
      </c>
      <c r="D13" s="4"/>
      <c r="E13" s="10"/>
      <c r="F13" s="3"/>
      <c r="G13" s="23"/>
      <c r="H13" s="3" t="str">
        <f>_xlfn.XLOOKUP(G13,Tab_Def_Processes[Process_Name],Tab_Def_Processes[Process_ID],,0,)</f>
        <v>01</v>
      </c>
      <c r="I13" s="23"/>
      <c r="J13" s="6" t="str">
        <f>_xlfn.XLOOKUP(I13,Tab_Def_Processes[Process_Name],Tab_Def_Processes[Process_ID],,0,)</f>
        <v>01</v>
      </c>
      <c r="K13" s="23" t="s">
        <v>2</v>
      </c>
      <c r="L13" s="23" t="s">
        <v>2</v>
      </c>
      <c r="M13" s="23" t="s">
        <v>2</v>
      </c>
      <c r="N13" s="23" t="s">
        <v>2</v>
      </c>
      <c r="O13" s="23" t="s">
        <v>2</v>
      </c>
      <c r="P13" s="23" t="s">
        <v>2</v>
      </c>
      <c r="Q13" s="3" t="str">
        <f>Tab_Def_Flows[[#This Row],[Flow_ID]]&amp;"_E1"</f>
        <v>F_01_01_E1</v>
      </c>
      <c r="R13" s="25"/>
      <c r="S13" s="10"/>
      <c r="T13" s="3" t="str">
        <f>Tab_Def_Flows[[#This Row],[Flow_ID]]&amp;"_E2"</f>
        <v>F_01_01_E2</v>
      </c>
      <c r="U13" s="20"/>
      <c r="V13" s="10"/>
      <c r="W13" s="3" t="str">
        <f>Tab_Def_Flows[[#This Row],[Flow_ID]]&amp;"_E3"</f>
        <v>F_01_01_E3</v>
      </c>
      <c r="X13" s="20"/>
      <c r="Y13" s="10"/>
      <c r="Z13" s="3" t="str">
        <f>Tab_Def_Flows[[#This Row],[Flow_ID]]&amp;"_E4"</f>
        <v>F_01_01_E4</v>
      </c>
      <c r="AA13" s="20"/>
      <c r="AB13" s="10"/>
      <c r="AC13" s="3" t="str">
        <f>Tab_Def_Flows[[#This Row],[Flow_ID]]&amp;"_E5"</f>
        <v>F_01_01_E5</v>
      </c>
      <c r="AD13" s="25"/>
      <c r="AE13" s="10"/>
      <c r="AF13" s="3" t="str">
        <f>Tab_Def_Flows[[#This Row],[Flow_ID]]&amp;"_E6"</f>
        <v>F_01_01_E6</v>
      </c>
      <c r="AG13" s="25"/>
      <c r="AH13" s="10"/>
      <c r="AI13" s="58" t="b">
        <f>'0_Configuration'!$C$2</f>
        <v>1</v>
      </c>
      <c r="AJ13" s="3"/>
      <c r="AK13" s="58" t="b">
        <f>'0_Configuration'!$C$6</f>
        <v>0</v>
      </c>
      <c r="AL13" s="3" t="s">
        <v>355</v>
      </c>
      <c r="AM13" s="58" t="b">
        <f>'0_Configuration'!$C$10</f>
        <v>0</v>
      </c>
      <c r="AN13" s="3" t="s">
        <v>355</v>
      </c>
      <c r="AO13" s="58" t="b">
        <f>'0_Configuration'!$C$17</f>
        <v>0</v>
      </c>
      <c r="AP13" s="3">
        <f>_xlfn.XLOOKUP(Tab_Def_Flows[[#This Row],[ODYM_Good_Type]],Tab_Configuration[Value],Tab_Configuration[ODYM_ID],,0,)</f>
        <v>0</v>
      </c>
      <c r="AQ13" s="58" t="b">
        <f>'0_Configuration'!$C$24</f>
        <v>0</v>
      </c>
      <c r="AR13" s="3"/>
      <c r="AS13" s="58" t="b">
        <f>'0_Configuration'!$C$29</f>
        <v>1</v>
      </c>
      <c r="AT13" s="3" t="s">
        <v>369</v>
      </c>
      <c r="AU13" s="3" t="str">
        <f>IF(Tab_Def_Flows[[#This Row],[ODYM_time_(t)]],"t,","")&amp;IF(Tab_Def_Flows[[#This Row],[ODYM_Region_(r)]],"r,","")&amp;IF(Tab_Def_Flows[[#This Row],[ODYM_process_(p)]],"p,","")&amp;IF(Tab_Def_Flows[[#This Row],[ODYM_Good_(g)2]],"g,","")&amp;IF(Tab_Def_Flows[[#This Row],[ODYM_material_(m)]],"m,","")&amp;IF(Tab_Def_Flows[[#This Row],[ODYM_element_(e)]],"e","")</f>
        <v>t,e</v>
      </c>
      <c r="AV1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3" s="31"/>
    </row>
    <row r="14" spans="1:50" x14ac:dyDescent="0.25">
      <c r="A14" s="27" t="b">
        <v>0</v>
      </c>
      <c r="B14" s="13">
        <f t="shared" si="4"/>
        <v>13</v>
      </c>
      <c r="C14" s="3" t="str">
        <f>"F_"&amp;LEFT(H14,2)&amp;"_"&amp;LEFT(J14,2)</f>
        <v>F_01_01</v>
      </c>
      <c r="D14" s="4"/>
      <c r="E14" s="10"/>
      <c r="F14" s="3"/>
      <c r="G14" s="23"/>
      <c r="H14" s="3" t="str">
        <f>_xlfn.XLOOKUP(G14,Tab_Def_Processes[Process_Name],Tab_Def_Processes[Process_ID],,0,)</f>
        <v>01</v>
      </c>
      <c r="I14" s="23"/>
      <c r="J14" s="6" t="str">
        <f>_xlfn.XLOOKUP(I14,Tab_Def_Processes[Process_Name],Tab_Def_Processes[Process_ID],,0,)</f>
        <v>01</v>
      </c>
      <c r="K14" s="23" t="s">
        <v>2</v>
      </c>
      <c r="L14" s="23" t="s">
        <v>2</v>
      </c>
      <c r="M14" s="23" t="s">
        <v>2</v>
      </c>
      <c r="N14" s="23" t="s">
        <v>2</v>
      </c>
      <c r="O14" s="23" t="s">
        <v>2</v>
      </c>
      <c r="P14" s="23" t="s">
        <v>2</v>
      </c>
      <c r="Q14" s="3" t="str">
        <f>Tab_Def_Flows[[#This Row],[Flow_ID]]&amp;"_E1"</f>
        <v>F_01_01_E1</v>
      </c>
      <c r="R14" s="25"/>
      <c r="S14" s="10"/>
      <c r="T14" s="3" t="str">
        <f>Tab_Def_Flows[[#This Row],[Flow_ID]]&amp;"_E2"</f>
        <v>F_01_01_E2</v>
      </c>
      <c r="U14" s="20"/>
      <c r="V14" s="10"/>
      <c r="W14" s="3" t="str">
        <f>Tab_Def_Flows[[#This Row],[Flow_ID]]&amp;"_E3"</f>
        <v>F_01_01_E3</v>
      </c>
      <c r="X14" s="20"/>
      <c r="Y14" s="10"/>
      <c r="Z14" s="3" t="str">
        <f>Tab_Def_Flows[[#This Row],[Flow_ID]]&amp;"_E4"</f>
        <v>F_01_01_E4</v>
      </c>
      <c r="AA14" s="20"/>
      <c r="AB14" s="10"/>
      <c r="AC14" s="3" t="str">
        <f>Tab_Def_Flows[[#This Row],[Flow_ID]]&amp;"_E5"</f>
        <v>F_01_01_E5</v>
      </c>
      <c r="AD14" s="25"/>
      <c r="AE14" s="10"/>
      <c r="AF14" s="3" t="str">
        <f>Tab_Def_Flows[[#This Row],[Flow_ID]]&amp;"_E6"</f>
        <v>F_01_01_E6</v>
      </c>
      <c r="AG14" s="25"/>
      <c r="AH14" s="10"/>
      <c r="AI14" s="58" t="b">
        <f>'0_Configuration'!$C$2</f>
        <v>1</v>
      </c>
      <c r="AJ14" s="3"/>
      <c r="AK14" s="58" t="b">
        <f>'0_Configuration'!$C$6</f>
        <v>0</v>
      </c>
      <c r="AL14" s="3" t="s">
        <v>355</v>
      </c>
      <c r="AM14" s="58" t="b">
        <f>'0_Configuration'!$C$10</f>
        <v>0</v>
      </c>
      <c r="AN14" s="3" t="s">
        <v>355</v>
      </c>
      <c r="AO14" s="58" t="b">
        <f>'0_Configuration'!$C$17</f>
        <v>0</v>
      </c>
      <c r="AP14" s="3">
        <f>_xlfn.XLOOKUP(Tab_Def_Flows[[#This Row],[ODYM_Good_Type]],Tab_Configuration[Value],Tab_Configuration[ODYM_ID],,0,)</f>
        <v>0</v>
      </c>
      <c r="AQ14" s="58" t="b">
        <f>'0_Configuration'!$C$24</f>
        <v>0</v>
      </c>
      <c r="AR14" s="3"/>
      <c r="AS14" s="58" t="b">
        <f>'0_Configuration'!$C$29</f>
        <v>1</v>
      </c>
      <c r="AT14" s="3" t="s">
        <v>369</v>
      </c>
      <c r="AU14" s="3" t="str">
        <f>IF(Tab_Def_Flows[[#This Row],[ODYM_time_(t)]],"t,","")&amp;IF(Tab_Def_Flows[[#This Row],[ODYM_Region_(r)]],"r,","")&amp;IF(Tab_Def_Flows[[#This Row],[ODYM_process_(p)]],"p,","")&amp;IF(Tab_Def_Flows[[#This Row],[ODYM_Good_(g)2]],"g,","")&amp;IF(Tab_Def_Flows[[#This Row],[ODYM_material_(m)]],"m,","")&amp;IF(Tab_Def_Flows[[#This Row],[ODYM_element_(e)]],"e","")</f>
        <v>t,e</v>
      </c>
      <c r="AV1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4" s="31"/>
    </row>
    <row r="15" spans="1:50" x14ac:dyDescent="0.25">
      <c r="A15" s="27" t="b">
        <v>0</v>
      </c>
      <c r="B15" s="13">
        <f t="shared" si="4"/>
        <v>14</v>
      </c>
      <c r="C15" s="3" t="str">
        <f>"F_"&amp;LEFT(H15,2)&amp;"_"&amp;LEFT(J15,2)</f>
        <v>F_01_01</v>
      </c>
      <c r="D15" s="4"/>
      <c r="E15" s="10"/>
      <c r="F15" s="3"/>
      <c r="G15" s="23"/>
      <c r="H15" s="3" t="str">
        <f>_xlfn.XLOOKUP(G15,Tab_Def_Processes[Process_Name],Tab_Def_Processes[Process_ID],,0,)</f>
        <v>01</v>
      </c>
      <c r="I15" s="23"/>
      <c r="J15" s="6" t="str">
        <f>_xlfn.XLOOKUP(I15,Tab_Def_Processes[Process_Name],Tab_Def_Processes[Process_ID],,0,)</f>
        <v>01</v>
      </c>
      <c r="K15" s="23" t="s">
        <v>2</v>
      </c>
      <c r="L15" s="23" t="s">
        <v>2</v>
      </c>
      <c r="M15" s="23" t="s">
        <v>2</v>
      </c>
      <c r="N15" s="23" t="s">
        <v>2</v>
      </c>
      <c r="O15" s="23" t="s">
        <v>2</v>
      </c>
      <c r="P15" s="23" t="s">
        <v>2</v>
      </c>
      <c r="Q15" s="3" t="str">
        <f>Tab_Def_Flows[[#This Row],[Flow_ID]]&amp;"_E1"</f>
        <v>F_01_01_E1</v>
      </c>
      <c r="R15" s="25"/>
      <c r="S15" s="10"/>
      <c r="T15" s="3" t="str">
        <f>Tab_Def_Flows[[#This Row],[Flow_ID]]&amp;"_E2"</f>
        <v>F_01_01_E2</v>
      </c>
      <c r="U15" s="20"/>
      <c r="V15" s="10"/>
      <c r="W15" s="3" t="str">
        <f>Tab_Def_Flows[[#This Row],[Flow_ID]]&amp;"_E3"</f>
        <v>F_01_01_E3</v>
      </c>
      <c r="X15" s="20"/>
      <c r="Y15" s="10"/>
      <c r="Z15" s="3" t="str">
        <f>Tab_Def_Flows[[#This Row],[Flow_ID]]&amp;"_E4"</f>
        <v>F_01_01_E4</v>
      </c>
      <c r="AA15" s="20"/>
      <c r="AB15" s="10"/>
      <c r="AC15" s="3" t="str">
        <f>Tab_Def_Flows[[#This Row],[Flow_ID]]&amp;"_E5"</f>
        <v>F_01_01_E5</v>
      </c>
      <c r="AD15" s="25"/>
      <c r="AE15" s="10"/>
      <c r="AF15" s="3" t="str">
        <f>Tab_Def_Flows[[#This Row],[Flow_ID]]&amp;"_E6"</f>
        <v>F_01_01_E6</v>
      </c>
      <c r="AG15" s="25"/>
      <c r="AH15" s="10"/>
      <c r="AI15" s="58" t="b">
        <f>'0_Configuration'!$C$2</f>
        <v>1</v>
      </c>
      <c r="AJ15" s="3"/>
      <c r="AK15" s="58" t="b">
        <f>'0_Configuration'!$C$6</f>
        <v>0</v>
      </c>
      <c r="AL15" s="3" t="s">
        <v>355</v>
      </c>
      <c r="AM15" s="58" t="b">
        <f>'0_Configuration'!$C$10</f>
        <v>0</v>
      </c>
      <c r="AN15" s="3" t="s">
        <v>355</v>
      </c>
      <c r="AO15" s="58" t="b">
        <f>'0_Configuration'!$C$17</f>
        <v>0</v>
      </c>
      <c r="AP15" s="3">
        <f>_xlfn.XLOOKUP(Tab_Def_Flows[[#This Row],[ODYM_Good_Type]],Tab_Configuration[Value],Tab_Configuration[ODYM_ID],,0,)</f>
        <v>0</v>
      </c>
      <c r="AQ15" s="58" t="b">
        <f>'0_Configuration'!$C$24</f>
        <v>0</v>
      </c>
      <c r="AR15" s="3"/>
      <c r="AS15" s="58" t="b">
        <f>'0_Configuration'!$C$29</f>
        <v>1</v>
      </c>
      <c r="AT15" s="3" t="s">
        <v>369</v>
      </c>
      <c r="AU15" s="3" t="str">
        <f>IF(Tab_Def_Flows[[#This Row],[ODYM_time_(t)]],"t,","")&amp;IF(Tab_Def_Flows[[#This Row],[ODYM_Region_(r)]],"r,","")&amp;IF(Tab_Def_Flows[[#This Row],[ODYM_process_(p)]],"p,","")&amp;IF(Tab_Def_Flows[[#This Row],[ODYM_Good_(g)2]],"g,","")&amp;IF(Tab_Def_Flows[[#This Row],[ODYM_material_(m)]],"m,","")&amp;IF(Tab_Def_Flows[[#This Row],[ODYM_element_(e)]],"e","")</f>
        <v>t,e</v>
      </c>
      <c r="AV1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5" s="31"/>
    </row>
    <row r="16" spans="1:50" x14ac:dyDescent="0.25">
      <c r="A16" s="27" t="b">
        <v>0</v>
      </c>
      <c r="B16" s="13">
        <f t="shared" si="4"/>
        <v>15</v>
      </c>
      <c r="C16" s="3" t="str">
        <f>"F_"&amp;LEFT(H16,2)&amp;"_"&amp;LEFT(J16,2)</f>
        <v>F_01_01</v>
      </c>
      <c r="D16" s="83"/>
      <c r="E16" s="10"/>
      <c r="F16" s="3"/>
      <c r="G16" s="23"/>
      <c r="H16" s="3" t="str">
        <f>_xlfn.XLOOKUP(G16,Tab_Def_Processes[Process_Name],Tab_Def_Processes[Process_ID],,0,)</f>
        <v>01</v>
      </c>
      <c r="I16" s="23"/>
      <c r="J16" s="6" t="str">
        <f>_xlfn.XLOOKUP(I16,Tab_Def_Processes[Process_Name],Tab_Def_Processes[Process_ID],,0,)</f>
        <v>01</v>
      </c>
      <c r="K16" s="23" t="s">
        <v>2</v>
      </c>
      <c r="L16" s="23" t="s">
        <v>2</v>
      </c>
      <c r="M16" s="23" t="s">
        <v>2</v>
      </c>
      <c r="N16" s="23" t="s">
        <v>2</v>
      </c>
      <c r="O16" s="23" t="s">
        <v>2</v>
      </c>
      <c r="P16" s="23" t="s">
        <v>2</v>
      </c>
      <c r="Q16" s="3" t="str">
        <f>Tab_Def_Flows[[#This Row],[Flow_ID]]&amp;"_E1"</f>
        <v>F_01_01_E1</v>
      </c>
      <c r="R16" s="25"/>
      <c r="S16" s="10"/>
      <c r="T16" s="3" t="str">
        <f>Tab_Def_Flows[[#This Row],[Flow_ID]]&amp;"_E2"</f>
        <v>F_01_01_E2</v>
      </c>
      <c r="U16" s="20"/>
      <c r="V16" s="10"/>
      <c r="W16" s="3" t="str">
        <f>Tab_Def_Flows[[#This Row],[Flow_ID]]&amp;"_E3"</f>
        <v>F_01_01_E3</v>
      </c>
      <c r="X16" s="20"/>
      <c r="Y16" s="10"/>
      <c r="Z16" s="3" t="str">
        <f>Tab_Def_Flows[[#This Row],[Flow_ID]]&amp;"_E4"</f>
        <v>F_01_01_E4</v>
      </c>
      <c r="AA16" s="20"/>
      <c r="AB16" s="10"/>
      <c r="AC16" s="3" t="str">
        <f>Tab_Def_Flows[[#This Row],[Flow_ID]]&amp;"_E5"</f>
        <v>F_01_01_E5</v>
      </c>
      <c r="AD16" s="25"/>
      <c r="AE16" s="10"/>
      <c r="AF16" s="3" t="str">
        <f>Tab_Def_Flows[[#This Row],[Flow_ID]]&amp;"_E6"</f>
        <v>F_01_01_E6</v>
      </c>
      <c r="AG16" s="25"/>
      <c r="AH16" s="10"/>
      <c r="AI16" s="58" t="b">
        <f>'0_Configuration'!$C$2</f>
        <v>1</v>
      </c>
      <c r="AJ16" s="3"/>
      <c r="AK16" s="58" t="b">
        <f>'0_Configuration'!$C$6</f>
        <v>0</v>
      </c>
      <c r="AL16" s="3" t="s">
        <v>355</v>
      </c>
      <c r="AM16" s="58" t="b">
        <f>'0_Configuration'!$C$10</f>
        <v>0</v>
      </c>
      <c r="AN16" s="3" t="s">
        <v>355</v>
      </c>
      <c r="AO16" s="58" t="b">
        <f>'0_Configuration'!$C$17</f>
        <v>0</v>
      </c>
      <c r="AP16" s="3">
        <f>_xlfn.XLOOKUP(Tab_Def_Flows[[#This Row],[ODYM_Good_Type]],Tab_Configuration[Value],Tab_Configuration[ODYM_ID],,0,)</f>
        <v>0</v>
      </c>
      <c r="AQ16" s="58" t="b">
        <f>'0_Configuration'!$C$24</f>
        <v>0</v>
      </c>
      <c r="AR16" s="3"/>
      <c r="AS16" s="58" t="b">
        <f>'0_Configuration'!$C$29</f>
        <v>1</v>
      </c>
      <c r="AT16" s="3" t="s">
        <v>369</v>
      </c>
      <c r="AU16" s="3" t="str">
        <f>IF(Tab_Def_Flows[[#This Row],[ODYM_time_(t)]],"t,","")&amp;IF(Tab_Def_Flows[[#This Row],[ODYM_Region_(r)]],"r,","")&amp;IF(Tab_Def_Flows[[#This Row],[ODYM_process_(p)]],"p,","")&amp;IF(Tab_Def_Flows[[#This Row],[ODYM_Good_(g)2]],"g,","")&amp;IF(Tab_Def_Flows[[#This Row],[ODYM_material_(m)]],"m,","")&amp;IF(Tab_Def_Flows[[#This Row],[ODYM_element_(e)]],"e","")</f>
        <v>t,e</v>
      </c>
      <c r="AV1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6" s="31"/>
    </row>
    <row r="17" spans="1:50" x14ac:dyDescent="0.25">
      <c r="A17" s="27" t="b">
        <v>0</v>
      </c>
      <c r="B17" s="13">
        <f t="shared" si="4"/>
        <v>16</v>
      </c>
      <c r="C17" s="3" t="str">
        <f>"F_"&amp;LEFT(H17,2)&amp;"_"&amp;LEFT(J17,2)</f>
        <v>F_01_01</v>
      </c>
      <c r="D17" s="82"/>
      <c r="E17" s="10"/>
      <c r="F17" s="3"/>
      <c r="G17" s="23"/>
      <c r="H17" s="3" t="str">
        <f>_xlfn.XLOOKUP(G17,Tab_Def_Processes[Process_Name],Tab_Def_Processes[Process_ID],,0,)</f>
        <v>01</v>
      </c>
      <c r="I17" s="23"/>
      <c r="J17" s="6" t="str">
        <f>_xlfn.XLOOKUP(I17,Tab_Def_Processes[Process_Name],Tab_Def_Processes[Process_ID],,0,)</f>
        <v>01</v>
      </c>
      <c r="K17" s="23" t="s">
        <v>2</v>
      </c>
      <c r="L17" s="23" t="s">
        <v>2</v>
      </c>
      <c r="M17" s="23" t="s">
        <v>2</v>
      </c>
      <c r="N17" s="23" t="s">
        <v>2</v>
      </c>
      <c r="O17" s="23" t="s">
        <v>2</v>
      </c>
      <c r="P17" s="23" t="s">
        <v>2</v>
      </c>
      <c r="Q17" s="3" t="str">
        <f>Tab_Def_Flows[[#This Row],[Flow_ID]]&amp;"_E1"</f>
        <v>F_01_01_E1</v>
      </c>
      <c r="R17" s="25"/>
      <c r="S17" s="10"/>
      <c r="T17" s="3" t="str">
        <f>Tab_Def_Flows[[#This Row],[Flow_ID]]&amp;"_E2"</f>
        <v>F_01_01_E2</v>
      </c>
      <c r="U17" s="20"/>
      <c r="V17" s="10"/>
      <c r="W17" s="3" t="str">
        <f>Tab_Def_Flows[[#This Row],[Flow_ID]]&amp;"_E3"</f>
        <v>F_01_01_E3</v>
      </c>
      <c r="X17" s="20"/>
      <c r="Y17" s="10"/>
      <c r="Z17" s="3" t="str">
        <f>Tab_Def_Flows[[#This Row],[Flow_ID]]&amp;"_E4"</f>
        <v>F_01_01_E4</v>
      </c>
      <c r="AA17" s="20"/>
      <c r="AB17" s="10"/>
      <c r="AC17" s="3" t="str">
        <f>Tab_Def_Flows[[#This Row],[Flow_ID]]&amp;"_E5"</f>
        <v>F_01_01_E5</v>
      </c>
      <c r="AD17" s="25"/>
      <c r="AE17" s="10"/>
      <c r="AF17" s="3" t="str">
        <f>Tab_Def_Flows[[#This Row],[Flow_ID]]&amp;"_E6"</f>
        <v>F_01_01_E6</v>
      </c>
      <c r="AG17" s="25"/>
      <c r="AH17" s="10"/>
      <c r="AI17" s="58" t="b">
        <f>'0_Configuration'!$C$2</f>
        <v>1</v>
      </c>
      <c r="AJ17" s="3"/>
      <c r="AK17" s="58" t="b">
        <f>'0_Configuration'!$C$6</f>
        <v>0</v>
      </c>
      <c r="AL17" s="3" t="s">
        <v>355</v>
      </c>
      <c r="AM17" s="58" t="b">
        <f>'0_Configuration'!$C$10</f>
        <v>0</v>
      </c>
      <c r="AN17" s="3" t="s">
        <v>355</v>
      </c>
      <c r="AO17" s="58" t="b">
        <f>'0_Configuration'!$C$17</f>
        <v>0</v>
      </c>
      <c r="AP17" s="3">
        <f>_xlfn.XLOOKUP(Tab_Def_Flows[[#This Row],[ODYM_Good_Type]],Tab_Configuration[Value],Tab_Configuration[ODYM_ID],,0,)</f>
        <v>0</v>
      </c>
      <c r="AQ17" s="58" t="b">
        <f>'0_Configuration'!$C$24</f>
        <v>0</v>
      </c>
      <c r="AR17" s="3"/>
      <c r="AS17" s="58" t="b">
        <f>'0_Configuration'!$C$29</f>
        <v>1</v>
      </c>
      <c r="AT17" s="3" t="s">
        <v>369</v>
      </c>
      <c r="AU17" s="3" t="str">
        <f>IF(Tab_Def_Flows[[#This Row],[ODYM_time_(t)]],"t,","")&amp;IF(Tab_Def_Flows[[#This Row],[ODYM_Region_(r)]],"r,","")&amp;IF(Tab_Def_Flows[[#This Row],[ODYM_process_(p)]],"p,","")&amp;IF(Tab_Def_Flows[[#This Row],[ODYM_Good_(g)2]],"g,","")&amp;IF(Tab_Def_Flows[[#This Row],[ODYM_material_(m)]],"m,","")&amp;IF(Tab_Def_Flows[[#This Row],[ODYM_element_(e)]],"e","")</f>
        <v>t,e</v>
      </c>
      <c r="AV1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7" s="31"/>
    </row>
    <row r="18" spans="1:50" x14ac:dyDescent="0.25">
      <c r="A18" s="27" t="b">
        <v>0</v>
      </c>
      <c r="B18" s="13">
        <f t="shared" si="4"/>
        <v>17</v>
      </c>
      <c r="C18" s="3" t="str">
        <f>"F_"&amp;LEFT(H18,2)&amp;"_"&amp;LEFT(J18,2)</f>
        <v>F_01_01</v>
      </c>
      <c r="D18" s="4"/>
      <c r="E18" s="10"/>
      <c r="F18" s="3"/>
      <c r="G18" s="23"/>
      <c r="H18" s="3" t="str">
        <f>_xlfn.XLOOKUP(G18,Tab_Def_Processes[Process_Name],Tab_Def_Processes[Process_ID],,0,)</f>
        <v>01</v>
      </c>
      <c r="I18" s="23"/>
      <c r="J18" s="6" t="str">
        <f>_xlfn.XLOOKUP(I18,Tab_Def_Processes[Process_Name],Tab_Def_Processes[Process_ID],,0,)</f>
        <v>01</v>
      </c>
      <c r="K18" s="23" t="s">
        <v>2</v>
      </c>
      <c r="L18" s="23" t="s">
        <v>2</v>
      </c>
      <c r="M18" s="23" t="s">
        <v>2</v>
      </c>
      <c r="N18" s="23" t="s">
        <v>2</v>
      </c>
      <c r="O18" s="23" t="s">
        <v>2</v>
      </c>
      <c r="P18" s="23" t="s">
        <v>2</v>
      </c>
      <c r="Q18" s="3" t="str">
        <f>Tab_Def_Flows[[#This Row],[Flow_ID]]&amp;"_E1"</f>
        <v>F_01_01_E1</v>
      </c>
      <c r="R18" s="25"/>
      <c r="S18" s="10"/>
      <c r="T18" s="3" t="str">
        <f>Tab_Def_Flows[[#This Row],[Flow_ID]]&amp;"_E2"</f>
        <v>F_01_01_E2</v>
      </c>
      <c r="U18" s="20"/>
      <c r="V18" s="10"/>
      <c r="W18" s="3" t="str">
        <f>Tab_Def_Flows[[#This Row],[Flow_ID]]&amp;"_E3"</f>
        <v>F_01_01_E3</v>
      </c>
      <c r="X18" s="20"/>
      <c r="Y18" s="10"/>
      <c r="Z18" s="3" t="str">
        <f>Tab_Def_Flows[[#This Row],[Flow_ID]]&amp;"_E4"</f>
        <v>F_01_01_E4</v>
      </c>
      <c r="AA18" s="20"/>
      <c r="AB18" s="10"/>
      <c r="AC18" s="3" t="str">
        <f>Tab_Def_Flows[[#This Row],[Flow_ID]]&amp;"_E5"</f>
        <v>F_01_01_E5</v>
      </c>
      <c r="AD18" s="25"/>
      <c r="AE18" s="10"/>
      <c r="AF18" s="3" t="str">
        <f>Tab_Def_Flows[[#This Row],[Flow_ID]]&amp;"_E6"</f>
        <v>F_01_01_E6</v>
      </c>
      <c r="AG18" s="25"/>
      <c r="AH18" s="10"/>
      <c r="AI18" s="58" t="b">
        <f>'0_Configuration'!$C$2</f>
        <v>1</v>
      </c>
      <c r="AJ18" s="3"/>
      <c r="AK18" s="58" t="b">
        <f>'0_Configuration'!$C$6</f>
        <v>0</v>
      </c>
      <c r="AL18" s="3" t="s">
        <v>355</v>
      </c>
      <c r="AM18" s="58" t="b">
        <f>'0_Configuration'!$C$10</f>
        <v>0</v>
      </c>
      <c r="AN18" s="3" t="s">
        <v>355</v>
      </c>
      <c r="AO18" s="58" t="b">
        <f>'0_Configuration'!$C$17</f>
        <v>0</v>
      </c>
      <c r="AP18" s="3">
        <f>_xlfn.XLOOKUP(Tab_Def_Flows[[#This Row],[ODYM_Good_Type]],Tab_Configuration[Value],Tab_Configuration[ODYM_ID],,0,)</f>
        <v>0</v>
      </c>
      <c r="AQ18" s="58" t="b">
        <f>'0_Configuration'!$C$24</f>
        <v>0</v>
      </c>
      <c r="AR18" s="3"/>
      <c r="AS18" s="58" t="b">
        <f>'0_Configuration'!$C$29</f>
        <v>1</v>
      </c>
      <c r="AT18" s="3" t="s">
        <v>369</v>
      </c>
      <c r="AU18" s="3" t="str">
        <f>IF(Tab_Def_Flows[[#This Row],[ODYM_time_(t)]],"t,","")&amp;IF(Tab_Def_Flows[[#This Row],[ODYM_Region_(r)]],"r,","")&amp;IF(Tab_Def_Flows[[#This Row],[ODYM_process_(p)]],"p,","")&amp;IF(Tab_Def_Flows[[#This Row],[ODYM_Good_(g)2]],"g,","")&amp;IF(Tab_Def_Flows[[#This Row],[ODYM_material_(m)]],"m,","")&amp;IF(Tab_Def_Flows[[#This Row],[ODYM_element_(e)]],"e","")</f>
        <v>t,e</v>
      </c>
      <c r="AV1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8" s="31"/>
    </row>
    <row r="19" spans="1:50" x14ac:dyDescent="0.25">
      <c r="A19" s="27" t="b">
        <v>0</v>
      </c>
      <c r="B19" s="13">
        <f t="shared" si="0"/>
        <v>18</v>
      </c>
      <c r="C19" s="3" t="str">
        <f t="shared" si="3"/>
        <v>F_01_01</v>
      </c>
      <c r="D19" s="4"/>
      <c r="E19" s="10"/>
      <c r="F19" s="3"/>
      <c r="G19" s="23"/>
      <c r="H19" s="3" t="str">
        <f>_xlfn.XLOOKUP(G19,Tab_Def_Processes[Process_Name],Tab_Def_Processes[Process_ID],,0,)</f>
        <v>01</v>
      </c>
      <c r="I19" s="23"/>
      <c r="J19" s="6" t="str">
        <f>_xlfn.XLOOKUP(I19,Tab_Def_Processes[Process_Name],Tab_Def_Processes[Process_ID],,0,)</f>
        <v>01</v>
      </c>
      <c r="K19" s="23" t="s">
        <v>2</v>
      </c>
      <c r="L19" s="23" t="s">
        <v>2</v>
      </c>
      <c r="M19" s="23" t="s">
        <v>2</v>
      </c>
      <c r="N19" s="23" t="s">
        <v>2</v>
      </c>
      <c r="O19" s="23" t="s">
        <v>2</v>
      </c>
      <c r="P19" s="23" t="s">
        <v>2</v>
      </c>
      <c r="Q19" s="3" t="str">
        <f>Tab_Def_Flows[[#This Row],[Flow_ID]]&amp;"_E1"</f>
        <v>F_01_01_E1</v>
      </c>
      <c r="R19" s="25"/>
      <c r="S19" s="10"/>
      <c r="T19" s="3" t="str">
        <f>Tab_Def_Flows[[#This Row],[Flow_ID]]&amp;"_E2"</f>
        <v>F_01_01_E2</v>
      </c>
      <c r="U19" s="20"/>
      <c r="V19" s="10"/>
      <c r="W19" s="3" t="str">
        <f>Tab_Def_Flows[[#This Row],[Flow_ID]]&amp;"_E3"</f>
        <v>F_01_01_E3</v>
      </c>
      <c r="X19" s="20"/>
      <c r="Y19" s="10"/>
      <c r="Z19" s="3" t="str">
        <f>Tab_Def_Flows[[#This Row],[Flow_ID]]&amp;"_E4"</f>
        <v>F_01_01_E4</v>
      </c>
      <c r="AA19" s="20"/>
      <c r="AB19" s="10"/>
      <c r="AC19" s="3" t="str">
        <f>Tab_Def_Flows[[#This Row],[Flow_ID]]&amp;"_E5"</f>
        <v>F_01_01_E5</v>
      </c>
      <c r="AD19" s="25"/>
      <c r="AE19" s="10"/>
      <c r="AF19" s="3" t="str">
        <f>Tab_Def_Flows[[#This Row],[Flow_ID]]&amp;"_E6"</f>
        <v>F_01_01_E6</v>
      </c>
      <c r="AG19" s="25"/>
      <c r="AH19" s="10"/>
      <c r="AI19" s="58" t="b">
        <f>'0_Configuration'!$C$2</f>
        <v>1</v>
      </c>
      <c r="AJ19" s="3"/>
      <c r="AK19" s="58" t="b">
        <f>'0_Configuration'!$C$6</f>
        <v>0</v>
      </c>
      <c r="AL19" s="3" t="s">
        <v>355</v>
      </c>
      <c r="AM19" s="58" t="b">
        <f>'0_Configuration'!$C$10</f>
        <v>0</v>
      </c>
      <c r="AN19" s="3" t="s">
        <v>355</v>
      </c>
      <c r="AO19" s="58" t="b">
        <f>'0_Configuration'!$C$17</f>
        <v>0</v>
      </c>
      <c r="AP19" s="3">
        <f>_xlfn.XLOOKUP(Tab_Def_Flows[[#This Row],[ODYM_Good_Type]],Tab_Configuration[Value],Tab_Configuration[ODYM_ID],,0,)</f>
        <v>0</v>
      </c>
      <c r="AQ19" s="58" t="b">
        <f>'0_Configuration'!$C$24</f>
        <v>0</v>
      </c>
      <c r="AR19" s="3"/>
      <c r="AS19" s="58" t="b">
        <f>'0_Configuration'!$C$29</f>
        <v>1</v>
      </c>
      <c r="AT19" s="3" t="s">
        <v>369</v>
      </c>
      <c r="AU19" s="3" t="str">
        <f>IF(Tab_Def_Flows[[#This Row],[ODYM_time_(t)]],"t,","")&amp;IF(Tab_Def_Flows[[#This Row],[ODYM_Region_(r)]],"r,","")&amp;IF(Tab_Def_Flows[[#This Row],[ODYM_process_(p)]],"p,","")&amp;IF(Tab_Def_Flows[[#This Row],[ODYM_Good_(g)2]],"g,","")&amp;IF(Tab_Def_Flows[[#This Row],[ODYM_material_(m)]],"m,","")&amp;IF(Tab_Def_Flows[[#This Row],[ODYM_element_(e)]],"e","")</f>
        <v>t,e</v>
      </c>
      <c r="AV1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0" spans="1:50" x14ac:dyDescent="0.25">
      <c r="A20" s="27" t="b">
        <v>0</v>
      </c>
      <c r="B20" s="13">
        <f>ROW()-1</f>
        <v>19</v>
      </c>
      <c r="C20" s="3" t="str">
        <f>"F_"&amp;LEFT(H20,2)&amp;"_"&amp;LEFT(J20,2)</f>
        <v>F_01_01</v>
      </c>
      <c r="D20" s="4"/>
      <c r="E20" s="10"/>
      <c r="F20" s="3"/>
      <c r="G20" s="23"/>
      <c r="H20" s="3" t="str">
        <f>_xlfn.XLOOKUP(G20,Tab_Def_Processes[Process_Name],Tab_Def_Processes[Process_ID],,0,)</f>
        <v>01</v>
      </c>
      <c r="I20" s="23"/>
      <c r="J20" s="6" t="str">
        <f>_xlfn.XLOOKUP(I20,Tab_Def_Processes[Process_Name],Tab_Def_Processes[Process_ID],,0,)</f>
        <v>01</v>
      </c>
      <c r="K20" s="23" t="s">
        <v>2</v>
      </c>
      <c r="L20" s="23" t="s">
        <v>2</v>
      </c>
      <c r="M20" s="23" t="s">
        <v>2</v>
      </c>
      <c r="N20" s="23" t="s">
        <v>2</v>
      </c>
      <c r="O20" s="23" t="s">
        <v>2</v>
      </c>
      <c r="P20" s="23" t="s">
        <v>2</v>
      </c>
      <c r="Q20" s="3" t="str">
        <f>Tab_Def_Flows[[#This Row],[Flow_ID]]&amp;"_E1"</f>
        <v>F_01_01_E1</v>
      </c>
      <c r="R20" s="25"/>
      <c r="S20" s="10"/>
      <c r="T20" s="3" t="str">
        <f>Tab_Def_Flows[[#This Row],[Flow_ID]]&amp;"_E2"</f>
        <v>F_01_01_E2</v>
      </c>
      <c r="U20" s="20"/>
      <c r="V20" s="10"/>
      <c r="W20" s="3" t="str">
        <f>Tab_Def_Flows[[#This Row],[Flow_ID]]&amp;"_E3"</f>
        <v>F_01_01_E3</v>
      </c>
      <c r="X20" s="20"/>
      <c r="Y20" s="10"/>
      <c r="Z20" s="3" t="str">
        <f>Tab_Def_Flows[[#This Row],[Flow_ID]]&amp;"_E4"</f>
        <v>F_01_01_E4</v>
      </c>
      <c r="AA20" s="20"/>
      <c r="AB20" s="10"/>
      <c r="AC20" s="3" t="str">
        <f>Tab_Def_Flows[[#This Row],[Flow_ID]]&amp;"_E5"</f>
        <v>F_01_01_E5</v>
      </c>
      <c r="AD20" s="25"/>
      <c r="AE20" s="10"/>
      <c r="AF20" s="3" t="str">
        <f>Tab_Def_Flows[[#This Row],[Flow_ID]]&amp;"_E6"</f>
        <v>F_01_01_E6</v>
      </c>
      <c r="AG20" s="25"/>
      <c r="AH20" s="10"/>
      <c r="AI20" s="58" t="b">
        <f>'0_Configuration'!$C$2</f>
        <v>1</v>
      </c>
      <c r="AJ20" s="3"/>
      <c r="AK20" s="58" t="b">
        <f>'0_Configuration'!$C$6</f>
        <v>0</v>
      </c>
      <c r="AL20" s="3" t="s">
        <v>355</v>
      </c>
      <c r="AM20" s="58" t="b">
        <f>'0_Configuration'!$C$10</f>
        <v>0</v>
      </c>
      <c r="AN20" s="3" t="s">
        <v>355</v>
      </c>
      <c r="AO20" s="58" t="b">
        <f>'0_Configuration'!$C$17</f>
        <v>0</v>
      </c>
      <c r="AP20" s="3">
        <f>_xlfn.XLOOKUP(Tab_Def_Flows[[#This Row],[ODYM_Good_Type]],Tab_Configuration[Value],Tab_Configuration[ODYM_ID],,0,)</f>
        <v>0</v>
      </c>
      <c r="AQ20" s="58" t="b">
        <f>'0_Configuration'!$C$24</f>
        <v>0</v>
      </c>
      <c r="AR20" s="3"/>
      <c r="AS20" s="58" t="b">
        <f>'0_Configuration'!$C$29</f>
        <v>1</v>
      </c>
      <c r="AT20" s="3" t="s">
        <v>369</v>
      </c>
      <c r="AU20" s="3" t="str">
        <f>IF(Tab_Def_Flows[[#This Row],[ODYM_time_(t)]],"t,","")&amp;IF(Tab_Def_Flows[[#This Row],[ODYM_Region_(r)]],"r,","")&amp;IF(Tab_Def_Flows[[#This Row],[ODYM_process_(p)]],"p,","")&amp;IF(Tab_Def_Flows[[#This Row],[ODYM_Good_(g)2]],"g,","")&amp;IF(Tab_Def_Flows[[#This Row],[ODYM_material_(m)]],"m,","")&amp;IF(Tab_Def_Flows[[#This Row],[ODYM_element_(e)]],"e","")</f>
        <v>t,e</v>
      </c>
      <c r="AV2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1" spans="1:50" x14ac:dyDescent="0.25">
      <c r="A21" s="27" t="b">
        <v>0</v>
      </c>
      <c r="B21" s="13">
        <f>ROW()-1</f>
        <v>20</v>
      </c>
      <c r="C21" s="3" t="str">
        <f>"F_"&amp;LEFT(H21,2)&amp;"_"&amp;LEFT(J21,2)</f>
        <v>F_01_01</v>
      </c>
      <c r="D21" s="4"/>
      <c r="E21" s="10"/>
      <c r="F21" s="3"/>
      <c r="G21" s="23"/>
      <c r="H21" s="3" t="str">
        <f>_xlfn.XLOOKUP(G21,Tab_Def_Processes[Process_Name],Tab_Def_Processes[Process_ID],,0,)</f>
        <v>01</v>
      </c>
      <c r="I21" s="23"/>
      <c r="J21" s="6" t="str">
        <f>_xlfn.XLOOKUP(I21,Tab_Def_Processes[Process_Name],Tab_Def_Processes[Process_ID],,0,)</f>
        <v>01</v>
      </c>
      <c r="K21" s="23" t="s">
        <v>2</v>
      </c>
      <c r="L21" s="23" t="s">
        <v>2</v>
      </c>
      <c r="M21" s="23" t="s">
        <v>2</v>
      </c>
      <c r="N21" s="23" t="s">
        <v>2</v>
      </c>
      <c r="O21" s="23" t="s">
        <v>2</v>
      </c>
      <c r="P21" s="23" t="s">
        <v>2</v>
      </c>
      <c r="Q21" s="3" t="str">
        <f>Tab_Def_Flows[[#This Row],[Flow_ID]]&amp;"_E1"</f>
        <v>F_01_01_E1</v>
      </c>
      <c r="R21" s="25"/>
      <c r="S21" s="10"/>
      <c r="T21" s="3" t="str">
        <f>Tab_Def_Flows[[#This Row],[Flow_ID]]&amp;"_E2"</f>
        <v>F_01_01_E2</v>
      </c>
      <c r="U21" s="20"/>
      <c r="V21" s="10"/>
      <c r="W21" s="3" t="str">
        <f>Tab_Def_Flows[[#This Row],[Flow_ID]]&amp;"_E3"</f>
        <v>F_01_01_E3</v>
      </c>
      <c r="X21" s="20"/>
      <c r="Y21" s="10"/>
      <c r="Z21" s="3" t="str">
        <f>Tab_Def_Flows[[#This Row],[Flow_ID]]&amp;"_E4"</f>
        <v>F_01_01_E4</v>
      </c>
      <c r="AA21" s="20"/>
      <c r="AB21" s="10"/>
      <c r="AC21" s="3" t="str">
        <f>Tab_Def_Flows[[#This Row],[Flow_ID]]&amp;"_E5"</f>
        <v>F_01_01_E5</v>
      </c>
      <c r="AD21" s="25"/>
      <c r="AE21" s="10"/>
      <c r="AF21" s="3" t="str">
        <f>Tab_Def_Flows[[#This Row],[Flow_ID]]&amp;"_E6"</f>
        <v>F_01_01_E6</v>
      </c>
      <c r="AG21" s="25"/>
      <c r="AH21" s="10"/>
      <c r="AI21" s="58" t="b">
        <f>'0_Configuration'!$C$2</f>
        <v>1</v>
      </c>
      <c r="AJ21" s="3"/>
      <c r="AK21" s="58" t="b">
        <f>'0_Configuration'!$C$6</f>
        <v>0</v>
      </c>
      <c r="AL21" s="3" t="s">
        <v>355</v>
      </c>
      <c r="AM21" s="58" t="b">
        <f>'0_Configuration'!$C$10</f>
        <v>0</v>
      </c>
      <c r="AN21" s="3" t="s">
        <v>355</v>
      </c>
      <c r="AO21" s="58" t="b">
        <f>'0_Configuration'!$C$17</f>
        <v>0</v>
      </c>
      <c r="AP21" s="3">
        <f>_xlfn.XLOOKUP(Tab_Def_Flows[[#This Row],[ODYM_Good_Type]],Tab_Configuration[Value],Tab_Configuration[ODYM_ID],,0,)</f>
        <v>0</v>
      </c>
      <c r="AQ21" s="58" t="b">
        <f>'0_Configuration'!$C$24</f>
        <v>0</v>
      </c>
      <c r="AR21" s="3"/>
      <c r="AS21" s="58" t="b">
        <f>'0_Configuration'!$C$29</f>
        <v>1</v>
      </c>
      <c r="AT21" s="3" t="s">
        <v>369</v>
      </c>
      <c r="AU21" s="3" t="str">
        <f>IF(Tab_Def_Flows[[#This Row],[ODYM_time_(t)]],"t,","")&amp;IF(Tab_Def_Flows[[#This Row],[ODYM_Region_(r)]],"r,","")&amp;IF(Tab_Def_Flows[[#This Row],[ODYM_process_(p)]],"p,","")&amp;IF(Tab_Def_Flows[[#This Row],[ODYM_Good_(g)2]],"g,","")&amp;IF(Tab_Def_Flows[[#This Row],[ODYM_material_(m)]],"m,","")&amp;IF(Tab_Def_Flows[[#This Row],[ODYM_element_(e)]],"e","")</f>
        <v>t,e</v>
      </c>
      <c r="AV2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2" spans="1:50" x14ac:dyDescent="0.25">
      <c r="A22" s="27" t="b">
        <v>0</v>
      </c>
      <c r="B22" s="13">
        <f>ROW()-1</f>
        <v>21</v>
      </c>
      <c r="C22" s="3" t="str">
        <f>"F_"&amp;LEFT(H22,2)&amp;"_"&amp;LEFT(J22,2)</f>
        <v>F_01_01</v>
      </c>
      <c r="D22" s="4"/>
      <c r="E22" s="10"/>
      <c r="F22" s="3"/>
      <c r="G22" s="23"/>
      <c r="H22" s="3" t="str">
        <f>_xlfn.XLOOKUP(G22,Tab_Def_Processes[Process_Name],Tab_Def_Processes[Process_ID],,0,)</f>
        <v>01</v>
      </c>
      <c r="I22" s="23"/>
      <c r="J22" s="6" t="str">
        <f>_xlfn.XLOOKUP(I22,Tab_Def_Processes[Process_Name],Tab_Def_Processes[Process_ID],,0,)</f>
        <v>01</v>
      </c>
      <c r="K22" s="23" t="s">
        <v>2</v>
      </c>
      <c r="L22" s="23" t="s">
        <v>2</v>
      </c>
      <c r="M22" s="23" t="s">
        <v>2</v>
      </c>
      <c r="N22" s="23" t="s">
        <v>2</v>
      </c>
      <c r="O22" s="23" t="s">
        <v>2</v>
      </c>
      <c r="P22" s="23" t="s">
        <v>2</v>
      </c>
      <c r="Q22" s="3" t="str">
        <f>Tab_Def_Flows[[#This Row],[Flow_ID]]&amp;"_E1"</f>
        <v>F_01_01_E1</v>
      </c>
      <c r="R22" s="25"/>
      <c r="S22" s="10"/>
      <c r="T22" s="3" t="str">
        <f>Tab_Def_Flows[[#This Row],[Flow_ID]]&amp;"_E2"</f>
        <v>F_01_01_E2</v>
      </c>
      <c r="U22" s="20"/>
      <c r="V22" s="10"/>
      <c r="W22" s="3" t="str">
        <f>Tab_Def_Flows[[#This Row],[Flow_ID]]&amp;"_E3"</f>
        <v>F_01_01_E3</v>
      </c>
      <c r="X22" s="20"/>
      <c r="Y22" s="10"/>
      <c r="Z22" s="3" t="str">
        <f>Tab_Def_Flows[[#This Row],[Flow_ID]]&amp;"_E4"</f>
        <v>F_01_01_E4</v>
      </c>
      <c r="AA22" s="20"/>
      <c r="AB22" s="10"/>
      <c r="AC22" s="3" t="str">
        <f>Tab_Def_Flows[[#This Row],[Flow_ID]]&amp;"_E5"</f>
        <v>F_01_01_E5</v>
      </c>
      <c r="AD22" s="25"/>
      <c r="AE22" s="10"/>
      <c r="AF22" s="3" t="str">
        <f>Tab_Def_Flows[[#This Row],[Flow_ID]]&amp;"_E6"</f>
        <v>F_01_01_E6</v>
      </c>
      <c r="AG22" s="25"/>
      <c r="AH22" s="10"/>
      <c r="AI22" s="58" t="b">
        <f>'0_Configuration'!$C$2</f>
        <v>1</v>
      </c>
      <c r="AJ22" s="3"/>
      <c r="AK22" s="58" t="b">
        <f>'0_Configuration'!$C$6</f>
        <v>0</v>
      </c>
      <c r="AL22" s="3" t="s">
        <v>355</v>
      </c>
      <c r="AM22" s="58" t="b">
        <f>'0_Configuration'!$C$10</f>
        <v>0</v>
      </c>
      <c r="AN22" s="3" t="s">
        <v>355</v>
      </c>
      <c r="AO22" s="58" t="b">
        <f>'0_Configuration'!$C$17</f>
        <v>0</v>
      </c>
      <c r="AP22" s="3">
        <f>_xlfn.XLOOKUP(Tab_Def_Flows[[#This Row],[ODYM_Good_Type]],Tab_Configuration[Value],Tab_Configuration[ODYM_ID],,0,)</f>
        <v>0</v>
      </c>
      <c r="AQ22" s="58" t="b">
        <f>'0_Configuration'!$C$24</f>
        <v>0</v>
      </c>
      <c r="AR22" s="3"/>
      <c r="AS22" s="58" t="b">
        <f>'0_Configuration'!$C$29</f>
        <v>1</v>
      </c>
      <c r="AT22" s="3" t="s">
        <v>369</v>
      </c>
      <c r="AU22" s="3" t="str">
        <f>IF(Tab_Def_Flows[[#This Row],[ODYM_time_(t)]],"t,","")&amp;IF(Tab_Def_Flows[[#This Row],[ODYM_Region_(r)]],"r,","")&amp;IF(Tab_Def_Flows[[#This Row],[ODYM_process_(p)]],"p,","")&amp;IF(Tab_Def_Flows[[#This Row],[ODYM_Good_(g)2]],"g,","")&amp;IF(Tab_Def_Flows[[#This Row],[ODYM_material_(m)]],"m,","")&amp;IF(Tab_Def_Flows[[#This Row],[ODYM_element_(e)]],"e","")</f>
        <v>t,e</v>
      </c>
      <c r="AV2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3" spans="1:50" x14ac:dyDescent="0.25">
      <c r="A23" s="27" t="b">
        <v>0</v>
      </c>
      <c r="B23" s="13">
        <f>ROW()-1</f>
        <v>22</v>
      </c>
      <c r="C23" s="3" t="str">
        <f>"F_"&amp;LEFT(H23,2)&amp;"_"&amp;LEFT(J23,2)</f>
        <v>F_01_01</v>
      </c>
      <c r="D23" s="4"/>
      <c r="E23" s="10"/>
      <c r="F23" s="3"/>
      <c r="G23" s="23"/>
      <c r="H23" s="3" t="str">
        <f>_xlfn.XLOOKUP(G23,Tab_Def_Processes[Process_Name],Tab_Def_Processes[Process_ID],,0,)</f>
        <v>01</v>
      </c>
      <c r="I23" s="23"/>
      <c r="J23" s="6" t="str">
        <f>_xlfn.XLOOKUP(I23,Tab_Def_Processes[Process_Name],Tab_Def_Processes[Process_ID],,0,)</f>
        <v>01</v>
      </c>
      <c r="K23" s="23" t="s">
        <v>2</v>
      </c>
      <c r="L23" s="23" t="s">
        <v>2</v>
      </c>
      <c r="M23" s="23" t="s">
        <v>2</v>
      </c>
      <c r="N23" s="23" t="s">
        <v>2</v>
      </c>
      <c r="O23" s="23" t="s">
        <v>2</v>
      </c>
      <c r="P23" s="23" t="s">
        <v>2</v>
      </c>
      <c r="Q23" s="3" t="str">
        <f>Tab_Def_Flows[[#This Row],[Flow_ID]]&amp;"_E1"</f>
        <v>F_01_01_E1</v>
      </c>
      <c r="R23" s="25"/>
      <c r="S23" s="10"/>
      <c r="T23" s="3" t="str">
        <f>Tab_Def_Flows[[#This Row],[Flow_ID]]&amp;"_E2"</f>
        <v>F_01_01_E2</v>
      </c>
      <c r="U23" s="20"/>
      <c r="V23" s="10"/>
      <c r="W23" s="3" t="str">
        <f>Tab_Def_Flows[[#This Row],[Flow_ID]]&amp;"_E3"</f>
        <v>F_01_01_E3</v>
      </c>
      <c r="X23" s="20"/>
      <c r="Y23" s="10"/>
      <c r="Z23" s="3" t="str">
        <f>Tab_Def_Flows[[#This Row],[Flow_ID]]&amp;"_E4"</f>
        <v>F_01_01_E4</v>
      </c>
      <c r="AA23" s="20"/>
      <c r="AB23" s="10"/>
      <c r="AC23" s="3" t="str">
        <f>Tab_Def_Flows[[#This Row],[Flow_ID]]&amp;"_E5"</f>
        <v>F_01_01_E5</v>
      </c>
      <c r="AD23" s="25"/>
      <c r="AE23" s="10"/>
      <c r="AF23" s="3" t="str">
        <f>Tab_Def_Flows[[#This Row],[Flow_ID]]&amp;"_E6"</f>
        <v>F_01_01_E6</v>
      </c>
      <c r="AG23" s="25"/>
      <c r="AH23" s="10"/>
      <c r="AI23" s="58" t="b">
        <f>'0_Configuration'!$C$2</f>
        <v>1</v>
      </c>
      <c r="AJ23" s="3"/>
      <c r="AK23" s="58" t="b">
        <f>'0_Configuration'!$C$6</f>
        <v>0</v>
      </c>
      <c r="AL23" s="3" t="s">
        <v>355</v>
      </c>
      <c r="AM23" s="58" t="b">
        <f>'0_Configuration'!$C$10</f>
        <v>0</v>
      </c>
      <c r="AN23" s="3" t="s">
        <v>355</v>
      </c>
      <c r="AO23" s="58" t="b">
        <f>'0_Configuration'!$C$17</f>
        <v>0</v>
      </c>
      <c r="AP23" s="3">
        <f>_xlfn.XLOOKUP(Tab_Def_Flows[[#This Row],[ODYM_Good_Type]],Tab_Configuration[Value],Tab_Configuration[ODYM_ID],,0,)</f>
        <v>0</v>
      </c>
      <c r="AQ23" s="58" t="b">
        <f>'0_Configuration'!$C$24</f>
        <v>0</v>
      </c>
      <c r="AR23" s="3"/>
      <c r="AS23" s="58" t="b">
        <f>'0_Configuration'!$C$29</f>
        <v>1</v>
      </c>
      <c r="AT23" s="3" t="s">
        <v>369</v>
      </c>
      <c r="AU23" s="3" t="str">
        <f>IF(Tab_Def_Flows[[#This Row],[ODYM_time_(t)]],"t,","")&amp;IF(Tab_Def_Flows[[#This Row],[ODYM_Region_(r)]],"r,","")&amp;IF(Tab_Def_Flows[[#This Row],[ODYM_process_(p)]],"p,","")&amp;IF(Tab_Def_Flows[[#This Row],[ODYM_Good_(g)2]],"g,","")&amp;IF(Tab_Def_Flows[[#This Row],[ODYM_material_(m)]],"m,","")&amp;IF(Tab_Def_Flows[[#This Row],[ODYM_element_(e)]],"e","")</f>
        <v>t,e</v>
      </c>
      <c r="AV2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4" spans="1:50" x14ac:dyDescent="0.25">
      <c r="A24" s="27" t="b">
        <v>0</v>
      </c>
      <c r="B24" s="13">
        <f>ROW()-1</f>
        <v>23</v>
      </c>
      <c r="C24" s="3" t="str">
        <f>"F_"&amp;LEFT(H24,2)&amp;"_"&amp;LEFT(J24,2)</f>
        <v>F_01_01</v>
      </c>
      <c r="D24" s="4"/>
      <c r="E24" s="10"/>
      <c r="F24" s="3"/>
      <c r="G24" s="23"/>
      <c r="H24" s="3" t="str">
        <f>_xlfn.XLOOKUP(G24,Tab_Def_Processes[Process_Name],Tab_Def_Processes[Process_ID],,0,)</f>
        <v>01</v>
      </c>
      <c r="I24" s="23"/>
      <c r="J24" s="6" t="str">
        <f>_xlfn.XLOOKUP(I24,Tab_Def_Processes[Process_Name],Tab_Def_Processes[Process_ID],,0,)</f>
        <v>01</v>
      </c>
      <c r="K24" s="23" t="s">
        <v>2</v>
      </c>
      <c r="L24" s="23" t="s">
        <v>2</v>
      </c>
      <c r="M24" s="23" t="s">
        <v>2</v>
      </c>
      <c r="N24" s="23" t="s">
        <v>2</v>
      </c>
      <c r="O24" s="23" t="s">
        <v>2</v>
      </c>
      <c r="P24" s="23" t="s">
        <v>2</v>
      </c>
      <c r="Q24" s="3" t="str">
        <f>Tab_Def_Flows[[#This Row],[Flow_ID]]&amp;"_E1"</f>
        <v>F_01_01_E1</v>
      </c>
      <c r="R24" s="25"/>
      <c r="S24" s="10"/>
      <c r="T24" s="3" t="str">
        <f>Tab_Def_Flows[[#This Row],[Flow_ID]]&amp;"_E2"</f>
        <v>F_01_01_E2</v>
      </c>
      <c r="U24" s="20"/>
      <c r="V24" s="10"/>
      <c r="W24" s="3" t="str">
        <f>Tab_Def_Flows[[#This Row],[Flow_ID]]&amp;"_E3"</f>
        <v>F_01_01_E3</v>
      </c>
      <c r="X24" s="20"/>
      <c r="Y24" s="10"/>
      <c r="Z24" s="3" t="str">
        <f>Tab_Def_Flows[[#This Row],[Flow_ID]]&amp;"_E4"</f>
        <v>F_01_01_E4</v>
      </c>
      <c r="AA24" s="20"/>
      <c r="AB24" s="10"/>
      <c r="AC24" s="3" t="str">
        <f>Tab_Def_Flows[[#This Row],[Flow_ID]]&amp;"_E5"</f>
        <v>F_01_01_E5</v>
      </c>
      <c r="AD24" s="25"/>
      <c r="AE24" s="10"/>
      <c r="AF24" s="3" t="str">
        <f>Tab_Def_Flows[[#This Row],[Flow_ID]]&amp;"_E6"</f>
        <v>F_01_01_E6</v>
      </c>
      <c r="AG24" s="25"/>
      <c r="AH24" s="10"/>
      <c r="AI24" s="58" t="b">
        <f>'0_Configuration'!$C$2</f>
        <v>1</v>
      </c>
      <c r="AJ24" s="3"/>
      <c r="AK24" s="58" t="b">
        <f>'0_Configuration'!$C$6</f>
        <v>0</v>
      </c>
      <c r="AL24" s="3" t="s">
        <v>355</v>
      </c>
      <c r="AM24" s="58" t="b">
        <f>'0_Configuration'!$C$10</f>
        <v>0</v>
      </c>
      <c r="AN24" s="3" t="s">
        <v>355</v>
      </c>
      <c r="AO24" s="58" t="b">
        <f>'0_Configuration'!$C$17</f>
        <v>0</v>
      </c>
      <c r="AP24" s="3">
        <f>_xlfn.XLOOKUP(Tab_Def_Flows[[#This Row],[ODYM_Good_Type]],Tab_Configuration[Value],Tab_Configuration[ODYM_ID],,0,)</f>
        <v>0</v>
      </c>
      <c r="AQ24" s="58" t="b">
        <f>'0_Configuration'!$C$24</f>
        <v>0</v>
      </c>
      <c r="AR24" s="3"/>
      <c r="AS24" s="58" t="b">
        <f>'0_Configuration'!$C$29</f>
        <v>1</v>
      </c>
      <c r="AT24" s="3" t="s">
        <v>369</v>
      </c>
      <c r="AU24" s="3" t="str">
        <f>IF(Tab_Def_Flows[[#This Row],[ODYM_time_(t)]],"t,","")&amp;IF(Tab_Def_Flows[[#This Row],[ODYM_Region_(r)]],"r,","")&amp;IF(Tab_Def_Flows[[#This Row],[ODYM_process_(p)]],"p,","")&amp;IF(Tab_Def_Flows[[#This Row],[ODYM_Good_(g)2]],"g,","")&amp;IF(Tab_Def_Flows[[#This Row],[ODYM_material_(m)]],"m,","")&amp;IF(Tab_Def_Flows[[#This Row],[ODYM_element_(e)]],"e","")</f>
        <v>t,e</v>
      </c>
      <c r="AV2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5" spans="1:50" x14ac:dyDescent="0.25">
      <c r="A25" s="27" t="b">
        <v>0</v>
      </c>
      <c r="B25" s="13">
        <f t="shared" si="0"/>
        <v>24</v>
      </c>
      <c r="C25" s="3" t="str">
        <f t="shared" si="3"/>
        <v>F_01_01</v>
      </c>
      <c r="D25" s="4"/>
      <c r="E25" s="10"/>
      <c r="F25" s="3"/>
      <c r="G25" s="23"/>
      <c r="H25" s="3" t="str">
        <f>_xlfn.XLOOKUP(G25,Tab_Def_Processes[Process_Name],Tab_Def_Processes[Process_ID],,0,)</f>
        <v>01</v>
      </c>
      <c r="I25" s="23"/>
      <c r="J25" s="6" t="str">
        <f>_xlfn.XLOOKUP(I25,Tab_Def_Processes[Process_Name],Tab_Def_Processes[Process_ID],,0,)</f>
        <v>01</v>
      </c>
      <c r="K25" s="23" t="s">
        <v>2</v>
      </c>
      <c r="L25" s="23" t="s">
        <v>2</v>
      </c>
      <c r="M25" s="23" t="s">
        <v>2</v>
      </c>
      <c r="N25" s="23" t="s">
        <v>2</v>
      </c>
      <c r="O25" s="23" t="s">
        <v>2</v>
      </c>
      <c r="P25" s="23" t="s">
        <v>2</v>
      </c>
      <c r="Q25" s="3" t="str">
        <f>Tab_Def_Flows[[#This Row],[Flow_ID]]&amp;"_E1"</f>
        <v>F_01_01_E1</v>
      </c>
      <c r="R25" s="25"/>
      <c r="S25" s="10"/>
      <c r="T25" s="3" t="str">
        <f>Tab_Def_Flows[[#This Row],[Flow_ID]]&amp;"_E2"</f>
        <v>F_01_01_E2</v>
      </c>
      <c r="U25" s="20"/>
      <c r="V25" s="10"/>
      <c r="W25" s="3" t="str">
        <f>Tab_Def_Flows[[#This Row],[Flow_ID]]&amp;"_E3"</f>
        <v>F_01_01_E3</v>
      </c>
      <c r="X25" s="20"/>
      <c r="Y25" s="10"/>
      <c r="Z25" s="3" t="str">
        <f>Tab_Def_Flows[[#This Row],[Flow_ID]]&amp;"_E4"</f>
        <v>F_01_01_E4</v>
      </c>
      <c r="AA25" s="20"/>
      <c r="AB25" s="10"/>
      <c r="AC25" s="3" t="str">
        <f>Tab_Def_Flows[[#This Row],[Flow_ID]]&amp;"_E5"</f>
        <v>F_01_01_E5</v>
      </c>
      <c r="AD25" s="25"/>
      <c r="AE25" s="10"/>
      <c r="AF25" s="3" t="str">
        <f>Tab_Def_Flows[[#This Row],[Flow_ID]]&amp;"_E6"</f>
        <v>F_01_01_E6</v>
      </c>
      <c r="AG25" s="25"/>
      <c r="AH25" s="10"/>
      <c r="AI25" s="58" t="b">
        <f>'0_Configuration'!$C$2</f>
        <v>1</v>
      </c>
      <c r="AJ25" s="3"/>
      <c r="AK25" s="58" t="b">
        <f>'0_Configuration'!$C$6</f>
        <v>0</v>
      </c>
      <c r="AL25" s="3" t="s">
        <v>355</v>
      </c>
      <c r="AM25" s="58" t="b">
        <f>'0_Configuration'!$C$10</f>
        <v>0</v>
      </c>
      <c r="AN25" s="3" t="s">
        <v>355</v>
      </c>
      <c r="AO25" s="58" t="b">
        <f>'0_Configuration'!$C$17</f>
        <v>0</v>
      </c>
      <c r="AP25" s="3">
        <f>_xlfn.XLOOKUP(Tab_Def_Flows[[#This Row],[ODYM_Good_Type]],Tab_Configuration[Value],Tab_Configuration[ODYM_ID],,0,)</f>
        <v>0</v>
      </c>
      <c r="AQ25" s="58" t="b">
        <f>'0_Configuration'!$C$24</f>
        <v>0</v>
      </c>
      <c r="AR25" s="3"/>
      <c r="AS25" s="58" t="b">
        <f>'0_Configuration'!$C$29</f>
        <v>1</v>
      </c>
      <c r="AT25" s="3" t="s">
        <v>369</v>
      </c>
      <c r="AU25" s="3" t="str">
        <f>IF(Tab_Def_Flows[[#This Row],[ODYM_time_(t)]],"t,","")&amp;IF(Tab_Def_Flows[[#This Row],[ODYM_Region_(r)]],"r,","")&amp;IF(Tab_Def_Flows[[#This Row],[ODYM_process_(p)]],"p,","")&amp;IF(Tab_Def_Flows[[#This Row],[ODYM_Good_(g)2]],"g,","")&amp;IF(Tab_Def_Flows[[#This Row],[ODYM_material_(m)]],"m,","")&amp;IF(Tab_Def_Flows[[#This Row],[ODYM_element_(e)]],"e","")</f>
        <v>t,e</v>
      </c>
      <c r="AV2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6" spans="1:50" x14ac:dyDescent="0.25">
      <c r="A26" s="27" t="b">
        <v>0</v>
      </c>
      <c r="B26" s="13">
        <f t="shared" si="0"/>
        <v>25</v>
      </c>
      <c r="C26" s="3" t="str">
        <f t="shared" si="3"/>
        <v>F_01_01</v>
      </c>
      <c r="D26" s="4"/>
      <c r="E26" s="10"/>
      <c r="F26" s="3"/>
      <c r="G26" s="23"/>
      <c r="H26" s="3" t="str">
        <f>_xlfn.XLOOKUP(G26,Tab_Def_Processes[Process_Name],Tab_Def_Processes[Process_ID],,0,)</f>
        <v>01</v>
      </c>
      <c r="I26" s="23"/>
      <c r="J26" s="6" t="str">
        <f>_xlfn.XLOOKUP(I26,Tab_Def_Processes[Process_Name],Tab_Def_Processes[Process_ID],,0,)</f>
        <v>01</v>
      </c>
      <c r="K26" s="23" t="s">
        <v>2</v>
      </c>
      <c r="L26" s="23" t="s">
        <v>2</v>
      </c>
      <c r="M26" s="23" t="s">
        <v>2</v>
      </c>
      <c r="N26" s="23" t="s">
        <v>2</v>
      </c>
      <c r="O26" s="23" t="s">
        <v>2</v>
      </c>
      <c r="P26" s="23" t="s">
        <v>2</v>
      </c>
      <c r="Q26" s="3" t="str">
        <f>Tab_Def_Flows[[#This Row],[Flow_ID]]&amp;"_E1"</f>
        <v>F_01_01_E1</v>
      </c>
      <c r="R26" s="25"/>
      <c r="S26" s="10"/>
      <c r="T26" s="3" t="str">
        <f>Tab_Def_Flows[[#This Row],[Flow_ID]]&amp;"_E2"</f>
        <v>F_01_01_E2</v>
      </c>
      <c r="U26" s="20"/>
      <c r="V26" s="10"/>
      <c r="W26" s="3" t="str">
        <f>Tab_Def_Flows[[#This Row],[Flow_ID]]&amp;"_E3"</f>
        <v>F_01_01_E3</v>
      </c>
      <c r="X26" s="20"/>
      <c r="Y26" s="10"/>
      <c r="Z26" s="3" t="str">
        <f>Tab_Def_Flows[[#This Row],[Flow_ID]]&amp;"_E4"</f>
        <v>F_01_01_E4</v>
      </c>
      <c r="AA26" s="20"/>
      <c r="AB26" s="10"/>
      <c r="AC26" s="3" t="str">
        <f>Tab_Def_Flows[[#This Row],[Flow_ID]]&amp;"_E5"</f>
        <v>F_01_01_E5</v>
      </c>
      <c r="AD26" s="25"/>
      <c r="AE26" s="10"/>
      <c r="AF26" s="3" t="str">
        <f>Tab_Def_Flows[[#This Row],[Flow_ID]]&amp;"_E6"</f>
        <v>F_01_01_E6</v>
      </c>
      <c r="AG26" s="25"/>
      <c r="AH26" s="10"/>
      <c r="AI26" s="58" t="b">
        <f>'0_Configuration'!$C$2</f>
        <v>1</v>
      </c>
      <c r="AJ26" s="3"/>
      <c r="AK26" s="58" t="b">
        <f>'0_Configuration'!$C$6</f>
        <v>0</v>
      </c>
      <c r="AL26" s="3" t="s">
        <v>355</v>
      </c>
      <c r="AM26" s="58" t="b">
        <f>'0_Configuration'!$C$10</f>
        <v>0</v>
      </c>
      <c r="AN26" s="3" t="s">
        <v>355</v>
      </c>
      <c r="AO26" s="58" t="b">
        <f>'0_Configuration'!$C$17</f>
        <v>0</v>
      </c>
      <c r="AP26" s="3">
        <f>_xlfn.XLOOKUP(Tab_Def_Flows[[#This Row],[ODYM_Good_Type]],Tab_Configuration[Value],Tab_Configuration[ODYM_ID],,0,)</f>
        <v>0</v>
      </c>
      <c r="AQ26" s="58" t="b">
        <f>'0_Configuration'!$C$24</f>
        <v>0</v>
      </c>
      <c r="AR26" s="3"/>
      <c r="AS26" s="58" t="b">
        <f>'0_Configuration'!$C$29</f>
        <v>1</v>
      </c>
      <c r="AT26" s="3" t="s">
        <v>369</v>
      </c>
      <c r="AU26" s="3" t="str">
        <f>IF(Tab_Def_Flows[[#This Row],[ODYM_time_(t)]],"t,","")&amp;IF(Tab_Def_Flows[[#This Row],[ODYM_Region_(r)]],"r,","")&amp;IF(Tab_Def_Flows[[#This Row],[ODYM_process_(p)]],"p,","")&amp;IF(Tab_Def_Flows[[#This Row],[ODYM_Good_(g)2]],"g,","")&amp;IF(Tab_Def_Flows[[#This Row],[ODYM_material_(m)]],"m,","")&amp;IF(Tab_Def_Flows[[#This Row],[ODYM_element_(e)]],"e","")</f>
        <v>t,e</v>
      </c>
      <c r="AV2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7" spans="1:50" x14ac:dyDescent="0.25">
      <c r="A27" s="27" t="b">
        <v>0</v>
      </c>
      <c r="B27" s="13">
        <f t="shared" si="0"/>
        <v>26</v>
      </c>
      <c r="C27" s="3" t="str">
        <f t="shared" si="3"/>
        <v>F_01_01</v>
      </c>
      <c r="D27" s="4"/>
      <c r="E27" s="10"/>
      <c r="F27" s="3"/>
      <c r="G27" s="23"/>
      <c r="H27" s="3" t="str">
        <f>_xlfn.XLOOKUP(G27,Tab_Def_Processes[Process_Name],Tab_Def_Processes[Process_ID],,0,)</f>
        <v>01</v>
      </c>
      <c r="I27" s="23"/>
      <c r="J27" s="6" t="str">
        <f>_xlfn.XLOOKUP(I27,Tab_Def_Processes[Process_Name],Tab_Def_Processes[Process_ID],,0,)</f>
        <v>01</v>
      </c>
      <c r="K27" s="23" t="s">
        <v>2</v>
      </c>
      <c r="L27" s="23" t="s">
        <v>2</v>
      </c>
      <c r="M27" s="23" t="s">
        <v>2</v>
      </c>
      <c r="N27" s="23" t="s">
        <v>2</v>
      </c>
      <c r="O27" s="23" t="s">
        <v>2</v>
      </c>
      <c r="P27" s="23" t="s">
        <v>2</v>
      </c>
      <c r="Q27" s="3" t="str">
        <f>Tab_Def_Flows[[#This Row],[Flow_ID]]&amp;"_E1"</f>
        <v>F_01_01_E1</v>
      </c>
      <c r="R27" s="25"/>
      <c r="S27" s="10"/>
      <c r="T27" s="3" t="str">
        <f>Tab_Def_Flows[[#This Row],[Flow_ID]]&amp;"_E2"</f>
        <v>F_01_01_E2</v>
      </c>
      <c r="U27" s="20"/>
      <c r="V27" s="10"/>
      <c r="W27" s="3" t="str">
        <f>Tab_Def_Flows[[#This Row],[Flow_ID]]&amp;"_E3"</f>
        <v>F_01_01_E3</v>
      </c>
      <c r="X27" s="20"/>
      <c r="Y27" s="10"/>
      <c r="Z27" s="3" t="str">
        <f>Tab_Def_Flows[[#This Row],[Flow_ID]]&amp;"_E4"</f>
        <v>F_01_01_E4</v>
      </c>
      <c r="AA27" s="20"/>
      <c r="AB27" s="10"/>
      <c r="AC27" s="3" t="str">
        <f>Tab_Def_Flows[[#This Row],[Flow_ID]]&amp;"_E5"</f>
        <v>F_01_01_E5</v>
      </c>
      <c r="AD27" s="25"/>
      <c r="AE27" s="10"/>
      <c r="AF27" s="3" t="str">
        <f>Tab_Def_Flows[[#This Row],[Flow_ID]]&amp;"_E6"</f>
        <v>F_01_01_E6</v>
      </c>
      <c r="AG27" s="25"/>
      <c r="AH27" s="10"/>
      <c r="AI27" s="58" t="b">
        <f>'0_Configuration'!$C$2</f>
        <v>1</v>
      </c>
      <c r="AJ27" s="3"/>
      <c r="AK27" s="58" t="b">
        <f>'0_Configuration'!$C$6</f>
        <v>0</v>
      </c>
      <c r="AL27" s="3" t="s">
        <v>355</v>
      </c>
      <c r="AM27" s="58" t="b">
        <f>'0_Configuration'!$C$10</f>
        <v>0</v>
      </c>
      <c r="AN27" s="3" t="s">
        <v>355</v>
      </c>
      <c r="AO27" s="58" t="b">
        <f>'0_Configuration'!$C$17</f>
        <v>0</v>
      </c>
      <c r="AP27" s="3">
        <f>_xlfn.XLOOKUP(Tab_Def_Flows[[#This Row],[ODYM_Good_Type]],Tab_Configuration[Value],Tab_Configuration[ODYM_ID],,0,)</f>
        <v>0</v>
      </c>
      <c r="AQ27" s="58" t="b">
        <f>'0_Configuration'!$C$24</f>
        <v>0</v>
      </c>
      <c r="AR27" s="3"/>
      <c r="AS27" s="58" t="b">
        <f>'0_Configuration'!$C$29</f>
        <v>1</v>
      </c>
      <c r="AT27" s="3" t="s">
        <v>369</v>
      </c>
      <c r="AU27" s="3" t="str">
        <f>IF(Tab_Def_Flows[[#This Row],[ODYM_time_(t)]],"t,","")&amp;IF(Tab_Def_Flows[[#This Row],[ODYM_Region_(r)]],"r,","")&amp;IF(Tab_Def_Flows[[#This Row],[ODYM_process_(p)]],"p,","")&amp;IF(Tab_Def_Flows[[#This Row],[ODYM_Good_(g)2]],"g,","")&amp;IF(Tab_Def_Flows[[#This Row],[ODYM_material_(m)]],"m,","")&amp;IF(Tab_Def_Flows[[#This Row],[ODYM_element_(e)]],"e","")</f>
        <v>t,e</v>
      </c>
      <c r="AV2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8" spans="1:50" x14ac:dyDescent="0.25">
      <c r="A28" s="27" t="b">
        <v>0</v>
      </c>
      <c r="B28" s="13">
        <f t="shared" si="0"/>
        <v>27</v>
      </c>
      <c r="C28" s="3" t="str">
        <f t="shared" si="3"/>
        <v>F_01_01</v>
      </c>
      <c r="D28" s="4"/>
      <c r="E28" s="10"/>
      <c r="F28" s="3"/>
      <c r="G28" s="23"/>
      <c r="H28" s="3" t="str">
        <f>_xlfn.XLOOKUP(G28,Tab_Def_Processes[Process_Name],Tab_Def_Processes[Process_ID],,0,)</f>
        <v>01</v>
      </c>
      <c r="I28" s="23"/>
      <c r="J28" s="6" t="str">
        <f>_xlfn.XLOOKUP(I28,Tab_Def_Processes[Process_Name],Tab_Def_Processes[Process_ID],,0,)</f>
        <v>01</v>
      </c>
      <c r="K28" s="23" t="s">
        <v>2</v>
      </c>
      <c r="L28" s="23" t="s">
        <v>2</v>
      </c>
      <c r="M28" s="23" t="s">
        <v>2</v>
      </c>
      <c r="N28" s="23" t="s">
        <v>2</v>
      </c>
      <c r="O28" s="23" t="s">
        <v>2</v>
      </c>
      <c r="P28" s="23" t="s">
        <v>2</v>
      </c>
      <c r="Q28" s="3" t="str">
        <f>Tab_Def_Flows[[#This Row],[Flow_ID]]&amp;"_E1"</f>
        <v>F_01_01_E1</v>
      </c>
      <c r="R28" s="25"/>
      <c r="S28" s="10"/>
      <c r="T28" s="3" t="str">
        <f>Tab_Def_Flows[[#This Row],[Flow_ID]]&amp;"_E2"</f>
        <v>F_01_01_E2</v>
      </c>
      <c r="U28" s="20"/>
      <c r="V28" s="10"/>
      <c r="W28" s="3" t="str">
        <f>Tab_Def_Flows[[#This Row],[Flow_ID]]&amp;"_E3"</f>
        <v>F_01_01_E3</v>
      </c>
      <c r="X28" s="20"/>
      <c r="Y28" s="10"/>
      <c r="Z28" s="3" t="str">
        <f>Tab_Def_Flows[[#This Row],[Flow_ID]]&amp;"_E4"</f>
        <v>F_01_01_E4</v>
      </c>
      <c r="AA28" s="20"/>
      <c r="AB28" s="10"/>
      <c r="AC28" s="3" t="str">
        <f>Tab_Def_Flows[[#This Row],[Flow_ID]]&amp;"_E5"</f>
        <v>F_01_01_E5</v>
      </c>
      <c r="AD28" s="25"/>
      <c r="AE28" s="10"/>
      <c r="AF28" s="3" t="str">
        <f>Tab_Def_Flows[[#This Row],[Flow_ID]]&amp;"_E6"</f>
        <v>F_01_01_E6</v>
      </c>
      <c r="AG28" s="25"/>
      <c r="AH28" s="10"/>
      <c r="AI28" s="58" t="b">
        <f>'0_Configuration'!$C$2</f>
        <v>1</v>
      </c>
      <c r="AJ28" s="3"/>
      <c r="AK28" s="58" t="b">
        <f>'0_Configuration'!$C$6</f>
        <v>0</v>
      </c>
      <c r="AL28" s="3" t="s">
        <v>355</v>
      </c>
      <c r="AM28" s="58" t="b">
        <f>'0_Configuration'!$C$10</f>
        <v>0</v>
      </c>
      <c r="AN28" s="3" t="s">
        <v>355</v>
      </c>
      <c r="AO28" s="58" t="b">
        <f>'0_Configuration'!$C$17</f>
        <v>0</v>
      </c>
      <c r="AP28" s="3">
        <f>_xlfn.XLOOKUP(Tab_Def_Flows[[#This Row],[ODYM_Good_Type]],Tab_Configuration[Value],Tab_Configuration[ODYM_ID],,0,)</f>
        <v>0</v>
      </c>
      <c r="AQ28" s="58" t="b">
        <f>'0_Configuration'!$C$24</f>
        <v>0</v>
      </c>
      <c r="AR28" s="3"/>
      <c r="AS28" s="58" t="b">
        <f>'0_Configuration'!$C$29</f>
        <v>1</v>
      </c>
      <c r="AT28" s="3" t="s">
        <v>369</v>
      </c>
      <c r="AU28" s="3" t="str">
        <f>IF(Tab_Def_Flows[[#This Row],[ODYM_time_(t)]],"t,","")&amp;IF(Tab_Def_Flows[[#This Row],[ODYM_Region_(r)]],"r,","")&amp;IF(Tab_Def_Flows[[#This Row],[ODYM_process_(p)]],"p,","")&amp;IF(Tab_Def_Flows[[#This Row],[ODYM_Good_(g)2]],"g,","")&amp;IF(Tab_Def_Flows[[#This Row],[ODYM_material_(m)]],"m,","")&amp;IF(Tab_Def_Flows[[#This Row],[ODYM_element_(e)]],"e","")</f>
        <v>t,e</v>
      </c>
      <c r="AV2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9" spans="1:50" x14ac:dyDescent="0.25">
      <c r="A29" s="27" t="b">
        <v>0</v>
      </c>
      <c r="B29" s="13">
        <f>ROW()-1</f>
        <v>28</v>
      </c>
      <c r="C29" s="3" t="str">
        <f>"F_"&amp;LEFT(H29,2)&amp;"_"&amp;LEFT(J29,2)</f>
        <v>F_01_01</v>
      </c>
      <c r="D29" s="4"/>
      <c r="E29" s="10"/>
      <c r="F29" s="3"/>
      <c r="G29" s="23"/>
      <c r="H29" s="3" t="str">
        <f>_xlfn.XLOOKUP(G29,Tab_Def_Processes[Process_Name],Tab_Def_Processes[Process_ID],,0,)</f>
        <v>01</v>
      </c>
      <c r="I29" s="23"/>
      <c r="J29" s="6" t="str">
        <f>_xlfn.XLOOKUP(I29,Tab_Def_Processes[Process_Name],Tab_Def_Processes[Process_ID],,0,)</f>
        <v>01</v>
      </c>
      <c r="K29" s="23" t="s">
        <v>2</v>
      </c>
      <c r="L29" s="23" t="s">
        <v>2</v>
      </c>
      <c r="M29" s="23" t="s">
        <v>2</v>
      </c>
      <c r="N29" s="23" t="s">
        <v>2</v>
      </c>
      <c r="O29" s="23" t="s">
        <v>2</v>
      </c>
      <c r="P29" s="23" t="s">
        <v>2</v>
      </c>
      <c r="Q29" s="3" t="str">
        <f>Tab_Def_Flows[[#This Row],[Flow_ID]]&amp;"_E1"</f>
        <v>F_01_01_E1</v>
      </c>
      <c r="R29" s="25"/>
      <c r="S29" s="10"/>
      <c r="T29" s="3" t="str">
        <f>Tab_Def_Flows[[#This Row],[Flow_ID]]&amp;"_E2"</f>
        <v>F_01_01_E2</v>
      </c>
      <c r="U29" s="20"/>
      <c r="V29" s="10"/>
      <c r="W29" s="3" t="str">
        <f>Tab_Def_Flows[[#This Row],[Flow_ID]]&amp;"_E3"</f>
        <v>F_01_01_E3</v>
      </c>
      <c r="X29" s="20"/>
      <c r="Y29" s="10"/>
      <c r="Z29" s="3" t="str">
        <f>Tab_Def_Flows[[#This Row],[Flow_ID]]&amp;"_E4"</f>
        <v>F_01_01_E4</v>
      </c>
      <c r="AA29" s="20"/>
      <c r="AB29" s="10"/>
      <c r="AC29" s="3" t="str">
        <f>Tab_Def_Flows[[#This Row],[Flow_ID]]&amp;"_E5"</f>
        <v>F_01_01_E5</v>
      </c>
      <c r="AD29" s="25"/>
      <c r="AE29" s="10"/>
      <c r="AF29" s="3" t="str">
        <f>Tab_Def_Flows[[#This Row],[Flow_ID]]&amp;"_E6"</f>
        <v>F_01_01_E6</v>
      </c>
      <c r="AG29" s="25"/>
      <c r="AH29" s="10"/>
      <c r="AI29" s="58" t="b">
        <f>'0_Configuration'!$C$2</f>
        <v>1</v>
      </c>
      <c r="AJ29" s="3"/>
      <c r="AK29" s="58" t="b">
        <f>'0_Configuration'!$C$6</f>
        <v>0</v>
      </c>
      <c r="AL29" s="3" t="s">
        <v>355</v>
      </c>
      <c r="AM29" s="58" t="b">
        <f>'0_Configuration'!$C$10</f>
        <v>0</v>
      </c>
      <c r="AN29" s="3" t="s">
        <v>355</v>
      </c>
      <c r="AO29" s="58" t="b">
        <f>'0_Configuration'!$C$17</f>
        <v>0</v>
      </c>
      <c r="AP29" s="3">
        <f>_xlfn.XLOOKUP(Tab_Def_Flows[[#This Row],[ODYM_Good_Type]],Tab_Configuration[Value],Tab_Configuration[ODYM_ID],,0,)</f>
        <v>0</v>
      </c>
      <c r="AQ29" s="58" t="b">
        <f>'0_Configuration'!$C$24</f>
        <v>0</v>
      </c>
      <c r="AR29" s="3"/>
      <c r="AS29" s="58" t="b">
        <f>'0_Configuration'!$C$29</f>
        <v>1</v>
      </c>
      <c r="AT29" s="3" t="s">
        <v>369</v>
      </c>
      <c r="AU29" s="3" t="str">
        <f>IF(Tab_Def_Flows[[#This Row],[ODYM_time_(t)]],"t,","")&amp;IF(Tab_Def_Flows[[#This Row],[ODYM_Region_(r)]],"r,","")&amp;IF(Tab_Def_Flows[[#This Row],[ODYM_process_(p)]],"p,","")&amp;IF(Tab_Def_Flows[[#This Row],[ODYM_Good_(g)2]],"g,","")&amp;IF(Tab_Def_Flows[[#This Row],[ODYM_material_(m)]],"m,","")&amp;IF(Tab_Def_Flows[[#This Row],[ODYM_element_(e)]],"e","")</f>
        <v>t,e</v>
      </c>
      <c r="AV2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0" spans="1:50" x14ac:dyDescent="0.25">
      <c r="A30" s="27" t="b">
        <v>0</v>
      </c>
      <c r="B30" s="13">
        <f>ROW()-1</f>
        <v>29</v>
      </c>
      <c r="C30" s="3" t="str">
        <f>"F_"&amp;LEFT(H30,2)&amp;"_"&amp;LEFT(J30,2)</f>
        <v>F_01_01</v>
      </c>
      <c r="D30" s="4"/>
      <c r="E30" s="10"/>
      <c r="F30" s="3"/>
      <c r="G30" s="23"/>
      <c r="H30" s="3" t="str">
        <f>_xlfn.XLOOKUP(G30,Tab_Def_Processes[Process_Name],Tab_Def_Processes[Process_ID],,0,)</f>
        <v>01</v>
      </c>
      <c r="I30" s="23"/>
      <c r="J30" s="6" t="str">
        <f>_xlfn.XLOOKUP(I30,Tab_Def_Processes[Process_Name],Tab_Def_Processes[Process_ID],,0,)</f>
        <v>01</v>
      </c>
      <c r="K30" s="23" t="s">
        <v>2</v>
      </c>
      <c r="L30" s="23" t="s">
        <v>2</v>
      </c>
      <c r="M30" s="23" t="s">
        <v>2</v>
      </c>
      <c r="N30" s="23" t="s">
        <v>2</v>
      </c>
      <c r="O30" s="23" t="s">
        <v>2</v>
      </c>
      <c r="P30" s="23" t="s">
        <v>2</v>
      </c>
      <c r="Q30" s="3" t="str">
        <f>Tab_Def_Flows[[#This Row],[Flow_ID]]&amp;"_E1"</f>
        <v>F_01_01_E1</v>
      </c>
      <c r="R30" s="25"/>
      <c r="S30" s="10"/>
      <c r="T30" s="3" t="str">
        <f>Tab_Def_Flows[[#This Row],[Flow_ID]]&amp;"_E2"</f>
        <v>F_01_01_E2</v>
      </c>
      <c r="U30" s="20"/>
      <c r="V30" s="10"/>
      <c r="W30" s="3" t="str">
        <f>Tab_Def_Flows[[#This Row],[Flow_ID]]&amp;"_E3"</f>
        <v>F_01_01_E3</v>
      </c>
      <c r="X30" s="20"/>
      <c r="Y30" s="10"/>
      <c r="Z30" s="3" t="str">
        <f>Tab_Def_Flows[[#This Row],[Flow_ID]]&amp;"_E4"</f>
        <v>F_01_01_E4</v>
      </c>
      <c r="AA30" s="20"/>
      <c r="AB30" s="10"/>
      <c r="AC30" s="3" t="str">
        <f>Tab_Def_Flows[[#This Row],[Flow_ID]]&amp;"_E5"</f>
        <v>F_01_01_E5</v>
      </c>
      <c r="AD30" s="25"/>
      <c r="AE30" s="10"/>
      <c r="AF30" s="3" t="str">
        <f>Tab_Def_Flows[[#This Row],[Flow_ID]]&amp;"_E6"</f>
        <v>F_01_01_E6</v>
      </c>
      <c r="AG30" s="25"/>
      <c r="AH30" s="10"/>
      <c r="AI30" s="58" t="b">
        <f>'0_Configuration'!$C$2</f>
        <v>1</v>
      </c>
      <c r="AJ30" s="3"/>
      <c r="AK30" s="58" t="b">
        <f>'0_Configuration'!$C$6</f>
        <v>0</v>
      </c>
      <c r="AL30" s="3" t="s">
        <v>355</v>
      </c>
      <c r="AM30" s="58" t="b">
        <f>'0_Configuration'!$C$10</f>
        <v>0</v>
      </c>
      <c r="AN30" s="3" t="s">
        <v>355</v>
      </c>
      <c r="AO30" s="58" t="b">
        <f>'0_Configuration'!$C$17</f>
        <v>0</v>
      </c>
      <c r="AP30" s="3">
        <f>_xlfn.XLOOKUP(Tab_Def_Flows[[#This Row],[ODYM_Good_Type]],Tab_Configuration[Value],Tab_Configuration[ODYM_ID],,0,)</f>
        <v>0</v>
      </c>
      <c r="AQ30" s="58" t="b">
        <f>'0_Configuration'!$C$24</f>
        <v>0</v>
      </c>
      <c r="AR30" s="3"/>
      <c r="AS30" s="58" t="b">
        <f>'0_Configuration'!$C$29</f>
        <v>1</v>
      </c>
      <c r="AT30" s="3" t="s">
        <v>369</v>
      </c>
      <c r="AU30" s="3" t="str">
        <f>IF(Tab_Def_Flows[[#This Row],[ODYM_time_(t)]],"t,","")&amp;IF(Tab_Def_Flows[[#This Row],[ODYM_Region_(r)]],"r,","")&amp;IF(Tab_Def_Flows[[#This Row],[ODYM_process_(p)]],"p,","")&amp;IF(Tab_Def_Flows[[#This Row],[ODYM_Good_(g)2]],"g,","")&amp;IF(Tab_Def_Flows[[#This Row],[ODYM_material_(m)]],"m,","")&amp;IF(Tab_Def_Flows[[#This Row],[ODYM_element_(e)]],"e","")</f>
        <v>t,e</v>
      </c>
      <c r="AV3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1" spans="1:50" x14ac:dyDescent="0.25">
      <c r="A31" s="27" t="b">
        <v>0</v>
      </c>
      <c r="B31" s="13">
        <f>ROW()-1</f>
        <v>30</v>
      </c>
      <c r="C31" s="3" t="str">
        <f>"F_"&amp;LEFT(H31,2)&amp;"_"&amp;LEFT(J31,2)</f>
        <v>F_01_01</v>
      </c>
      <c r="D31" s="4"/>
      <c r="E31" s="10"/>
      <c r="F31" s="3"/>
      <c r="G31" s="23"/>
      <c r="H31" s="3" t="str">
        <f>_xlfn.XLOOKUP(G31,Tab_Def_Processes[Process_Name],Tab_Def_Processes[Process_ID],,0,)</f>
        <v>01</v>
      </c>
      <c r="I31" s="23"/>
      <c r="J31" s="6" t="str">
        <f>_xlfn.XLOOKUP(I31,Tab_Def_Processes[Process_Name],Tab_Def_Processes[Process_ID],,0,)</f>
        <v>01</v>
      </c>
      <c r="K31" s="23" t="s">
        <v>2</v>
      </c>
      <c r="L31" s="23" t="s">
        <v>2</v>
      </c>
      <c r="M31" s="23" t="s">
        <v>2</v>
      </c>
      <c r="N31" s="23" t="s">
        <v>2</v>
      </c>
      <c r="O31" s="23" t="s">
        <v>2</v>
      </c>
      <c r="P31" s="23" t="s">
        <v>2</v>
      </c>
      <c r="Q31" s="3" t="str">
        <f>Tab_Def_Flows[[#This Row],[Flow_ID]]&amp;"_E1"</f>
        <v>F_01_01_E1</v>
      </c>
      <c r="R31" s="25"/>
      <c r="S31" s="10"/>
      <c r="T31" s="3" t="str">
        <f>Tab_Def_Flows[[#This Row],[Flow_ID]]&amp;"_E2"</f>
        <v>F_01_01_E2</v>
      </c>
      <c r="U31" s="20"/>
      <c r="V31" s="10"/>
      <c r="W31" s="3" t="str">
        <f>Tab_Def_Flows[[#This Row],[Flow_ID]]&amp;"_E3"</f>
        <v>F_01_01_E3</v>
      </c>
      <c r="X31" s="20"/>
      <c r="Y31" s="10"/>
      <c r="Z31" s="3" t="str">
        <f>Tab_Def_Flows[[#This Row],[Flow_ID]]&amp;"_E4"</f>
        <v>F_01_01_E4</v>
      </c>
      <c r="AA31" s="20"/>
      <c r="AB31" s="10"/>
      <c r="AC31" s="3" t="str">
        <f>Tab_Def_Flows[[#This Row],[Flow_ID]]&amp;"_E5"</f>
        <v>F_01_01_E5</v>
      </c>
      <c r="AD31" s="25"/>
      <c r="AE31" s="10"/>
      <c r="AF31" s="3" t="str">
        <f>Tab_Def_Flows[[#This Row],[Flow_ID]]&amp;"_E6"</f>
        <v>F_01_01_E6</v>
      </c>
      <c r="AG31" s="25"/>
      <c r="AH31" s="10"/>
      <c r="AI31" s="58" t="b">
        <f>'0_Configuration'!$C$2</f>
        <v>1</v>
      </c>
      <c r="AJ31" s="3"/>
      <c r="AK31" s="58" t="b">
        <f>'0_Configuration'!$C$6</f>
        <v>0</v>
      </c>
      <c r="AL31" s="3" t="s">
        <v>355</v>
      </c>
      <c r="AM31" s="58" t="b">
        <f>'0_Configuration'!$C$10</f>
        <v>0</v>
      </c>
      <c r="AN31" s="3" t="s">
        <v>355</v>
      </c>
      <c r="AO31" s="58" t="b">
        <f>'0_Configuration'!$C$17</f>
        <v>0</v>
      </c>
      <c r="AP31" s="3">
        <f>_xlfn.XLOOKUP(Tab_Def_Flows[[#This Row],[ODYM_Good_Type]],Tab_Configuration[Value],Tab_Configuration[ODYM_ID],,0,)</f>
        <v>0</v>
      </c>
      <c r="AQ31" s="58" t="b">
        <f>'0_Configuration'!$C$24</f>
        <v>0</v>
      </c>
      <c r="AR31" s="3"/>
      <c r="AS31" s="58" t="b">
        <f>'0_Configuration'!$C$29</f>
        <v>1</v>
      </c>
      <c r="AT31" s="3" t="s">
        <v>369</v>
      </c>
      <c r="AU31" s="3" t="str">
        <f>IF(Tab_Def_Flows[[#This Row],[ODYM_time_(t)]],"t,","")&amp;IF(Tab_Def_Flows[[#This Row],[ODYM_Region_(r)]],"r,","")&amp;IF(Tab_Def_Flows[[#This Row],[ODYM_process_(p)]],"p,","")&amp;IF(Tab_Def_Flows[[#This Row],[ODYM_Good_(g)2]],"g,","")&amp;IF(Tab_Def_Flows[[#This Row],[ODYM_material_(m)]],"m,","")&amp;IF(Tab_Def_Flows[[#This Row],[ODYM_element_(e)]],"e","")</f>
        <v>t,e</v>
      </c>
      <c r="AV3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2" spans="1:50" x14ac:dyDescent="0.25">
      <c r="A32" s="27" t="b">
        <v>0</v>
      </c>
      <c r="B32" s="13">
        <f t="shared" si="0"/>
        <v>31</v>
      </c>
      <c r="C32" s="3" t="str">
        <f t="shared" si="3"/>
        <v>F_01_01</v>
      </c>
      <c r="D32" s="4"/>
      <c r="E32" s="10"/>
      <c r="F32" s="3"/>
      <c r="G32" s="23"/>
      <c r="H32" s="3" t="str">
        <f>_xlfn.XLOOKUP(G32,Tab_Def_Processes[Process_Name],Tab_Def_Processes[Process_ID],,0,)</f>
        <v>01</v>
      </c>
      <c r="I32" s="23"/>
      <c r="J32" s="6" t="str">
        <f>_xlfn.XLOOKUP(I32,Tab_Def_Processes[Process_Name],Tab_Def_Processes[Process_ID],,0,)</f>
        <v>01</v>
      </c>
      <c r="K32" s="23" t="s">
        <v>2</v>
      </c>
      <c r="L32" s="23" t="s">
        <v>2</v>
      </c>
      <c r="M32" s="23" t="s">
        <v>2</v>
      </c>
      <c r="N32" s="23" t="s">
        <v>2</v>
      </c>
      <c r="O32" s="23" t="s">
        <v>2</v>
      </c>
      <c r="P32" s="23" t="s">
        <v>2</v>
      </c>
      <c r="Q32" s="3" t="str">
        <f>Tab_Def_Flows[[#This Row],[Flow_ID]]&amp;"_E1"</f>
        <v>F_01_01_E1</v>
      </c>
      <c r="R32" s="25"/>
      <c r="S32" s="10"/>
      <c r="T32" s="3" t="str">
        <f>Tab_Def_Flows[[#This Row],[Flow_ID]]&amp;"_E2"</f>
        <v>F_01_01_E2</v>
      </c>
      <c r="U32" s="20"/>
      <c r="V32" s="10"/>
      <c r="W32" s="3" t="str">
        <f>Tab_Def_Flows[[#This Row],[Flow_ID]]&amp;"_E3"</f>
        <v>F_01_01_E3</v>
      </c>
      <c r="X32" s="20"/>
      <c r="Y32" s="10"/>
      <c r="Z32" s="3" t="str">
        <f>Tab_Def_Flows[[#This Row],[Flow_ID]]&amp;"_E4"</f>
        <v>F_01_01_E4</v>
      </c>
      <c r="AA32" s="20"/>
      <c r="AB32" s="10"/>
      <c r="AC32" s="3" t="str">
        <f>Tab_Def_Flows[[#This Row],[Flow_ID]]&amp;"_E5"</f>
        <v>F_01_01_E5</v>
      </c>
      <c r="AD32" s="25"/>
      <c r="AE32" s="10"/>
      <c r="AF32" s="3" t="str">
        <f>Tab_Def_Flows[[#This Row],[Flow_ID]]&amp;"_E6"</f>
        <v>F_01_01_E6</v>
      </c>
      <c r="AG32" s="25"/>
      <c r="AH32" s="10"/>
      <c r="AI32" s="58" t="b">
        <f>'0_Configuration'!$C$2</f>
        <v>1</v>
      </c>
      <c r="AJ32" s="3"/>
      <c r="AK32" s="58" t="b">
        <f>'0_Configuration'!$C$6</f>
        <v>0</v>
      </c>
      <c r="AL32" s="3" t="s">
        <v>355</v>
      </c>
      <c r="AM32" s="58" t="b">
        <f>'0_Configuration'!$C$10</f>
        <v>0</v>
      </c>
      <c r="AN32" s="3" t="s">
        <v>355</v>
      </c>
      <c r="AO32" s="58" t="b">
        <f>'0_Configuration'!$C$17</f>
        <v>0</v>
      </c>
      <c r="AP32" s="3">
        <f>_xlfn.XLOOKUP(Tab_Def_Flows[[#This Row],[ODYM_Good_Type]],Tab_Configuration[Value],Tab_Configuration[ODYM_ID],,0,)</f>
        <v>0</v>
      </c>
      <c r="AQ32" s="58" t="b">
        <f>'0_Configuration'!$C$24</f>
        <v>0</v>
      </c>
      <c r="AR32" s="3"/>
      <c r="AS32" s="58" t="b">
        <f>'0_Configuration'!$C$29</f>
        <v>1</v>
      </c>
      <c r="AT32" s="3" t="s">
        <v>369</v>
      </c>
      <c r="AU32" s="3" t="str">
        <f>IF(Tab_Def_Flows[[#This Row],[ODYM_time_(t)]],"t,","")&amp;IF(Tab_Def_Flows[[#This Row],[ODYM_Region_(r)]],"r,","")&amp;IF(Tab_Def_Flows[[#This Row],[ODYM_process_(p)]],"p,","")&amp;IF(Tab_Def_Flows[[#This Row],[ODYM_Good_(g)2]],"g,","")&amp;IF(Tab_Def_Flows[[#This Row],[ODYM_material_(m)]],"m,","")&amp;IF(Tab_Def_Flows[[#This Row],[ODYM_element_(e)]],"e","")</f>
        <v>t,e</v>
      </c>
      <c r="AV3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3" spans="1:48" x14ac:dyDescent="0.25">
      <c r="A33" s="27" t="b">
        <v>0</v>
      </c>
      <c r="B33" s="13">
        <f t="shared" si="0"/>
        <v>32</v>
      </c>
      <c r="C33" s="3" t="str">
        <f t="shared" si="3"/>
        <v>F_01_01</v>
      </c>
      <c r="D33" s="4"/>
      <c r="E33" s="10"/>
      <c r="F33" s="3"/>
      <c r="G33" s="23"/>
      <c r="H33" s="3" t="str">
        <f>_xlfn.XLOOKUP(G33,Tab_Def_Processes[Process_Name],Tab_Def_Processes[Process_ID],,0,)</f>
        <v>01</v>
      </c>
      <c r="I33" s="23"/>
      <c r="J33" s="6" t="str">
        <f>_xlfn.XLOOKUP(I33,Tab_Def_Processes[Process_Name],Tab_Def_Processes[Process_ID],,0,)</f>
        <v>01</v>
      </c>
      <c r="K33" s="23" t="s">
        <v>2</v>
      </c>
      <c r="L33" s="23" t="s">
        <v>2</v>
      </c>
      <c r="M33" s="23" t="s">
        <v>2</v>
      </c>
      <c r="N33" s="23" t="s">
        <v>2</v>
      </c>
      <c r="O33" s="23" t="s">
        <v>2</v>
      </c>
      <c r="P33" s="23" t="s">
        <v>2</v>
      </c>
      <c r="Q33" s="3" t="str">
        <f>Tab_Def_Flows[[#This Row],[Flow_ID]]&amp;"_E1"</f>
        <v>F_01_01_E1</v>
      </c>
      <c r="R33" s="25"/>
      <c r="S33" s="10"/>
      <c r="T33" s="3" t="str">
        <f>Tab_Def_Flows[[#This Row],[Flow_ID]]&amp;"_E2"</f>
        <v>F_01_01_E2</v>
      </c>
      <c r="U33" s="20"/>
      <c r="V33" s="10"/>
      <c r="W33" s="3" t="str">
        <f>Tab_Def_Flows[[#This Row],[Flow_ID]]&amp;"_E3"</f>
        <v>F_01_01_E3</v>
      </c>
      <c r="X33" s="20"/>
      <c r="Y33" s="10"/>
      <c r="Z33" s="3" t="str">
        <f>Tab_Def_Flows[[#This Row],[Flow_ID]]&amp;"_E4"</f>
        <v>F_01_01_E4</v>
      </c>
      <c r="AA33" s="20"/>
      <c r="AB33" s="10"/>
      <c r="AC33" s="3" t="str">
        <f>Tab_Def_Flows[[#This Row],[Flow_ID]]&amp;"_E5"</f>
        <v>F_01_01_E5</v>
      </c>
      <c r="AD33" s="25"/>
      <c r="AE33" s="10"/>
      <c r="AF33" s="3" t="str">
        <f>Tab_Def_Flows[[#This Row],[Flow_ID]]&amp;"_E6"</f>
        <v>F_01_01_E6</v>
      </c>
      <c r="AG33" s="25"/>
      <c r="AH33" s="10"/>
      <c r="AI33" s="58" t="b">
        <f>'0_Configuration'!$C$2</f>
        <v>1</v>
      </c>
      <c r="AJ33" s="3"/>
      <c r="AK33" s="58" t="b">
        <f>'0_Configuration'!$C$6</f>
        <v>0</v>
      </c>
      <c r="AL33" s="3" t="s">
        <v>355</v>
      </c>
      <c r="AM33" s="58" t="b">
        <f>'0_Configuration'!$C$10</f>
        <v>0</v>
      </c>
      <c r="AN33" s="3" t="s">
        <v>355</v>
      </c>
      <c r="AO33" s="58" t="b">
        <f>'0_Configuration'!$C$17</f>
        <v>0</v>
      </c>
      <c r="AP33" s="3">
        <f>_xlfn.XLOOKUP(Tab_Def_Flows[[#This Row],[ODYM_Good_Type]],Tab_Configuration[Value],Tab_Configuration[ODYM_ID],,0,)</f>
        <v>0</v>
      </c>
      <c r="AQ33" s="58" t="b">
        <f>'0_Configuration'!$C$24</f>
        <v>0</v>
      </c>
      <c r="AR33" s="3"/>
      <c r="AS33" s="58" t="b">
        <f>'0_Configuration'!$C$29</f>
        <v>1</v>
      </c>
      <c r="AT33" s="3" t="s">
        <v>369</v>
      </c>
      <c r="AU33" s="3" t="str">
        <f>IF(Tab_Def_Flows[[#This Row],[ODYM_time_(t)]],"t,","")&amp;IF(Tab_Def_Flows[[#This Row],[ODYM_Region_(r)]],"r,","")&amp;IF(Tab_Def_Flows[[#This Row],[ODYM_process_(p)]],"p,","")&amp;IF(Tab_Def_Flows[[#This Row],[ODYM_Good_(g)2]],"g,","")&amp;IF(Tab_Def_Flows[[#This Row],[ODYM_material_(m)]],"m,","")&amp;IF(Tab_Def_Flows[[#This Row],[ODYM_element_(e)]],"e","")</f>
        <v>t,e</v>
      </c>
      <c r="AV3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4" spans="1:48" x14ac:dyDescent="0.25">
      <c r="A34" s="27" t="b">
        <v>0</v>
      </c>
      <c r="B34" s="13">
        <f>ROW()-1</f>
        <v>33</v>
      </c>
      <c r="C34" s="3" t="str">
        <f>"F_"&amp;LEFT(H34,2)&amp;"_"&amp;LEFT(J34,2)</f>
        <v>F_01_01</v>
      </c>
      <c r="D34" s="4"/>
      <c r="E34" s="10"/>
      <c r="F34" s="3"/>
      <c r="G34" s="23"/>
      <c r="H34" s="3" t="str">
        <f>_xlfn.XLOOKUP(G34,Tab_Def_Processes[Process_Name],Tab_Def_Processes[Process_ID],,0,)</f>
        <v>01</v>
      </c>
      <c r="I34" s="23"/>
      <c r="J34" s="6" t="str">
        <f>_xlfn.XLOOKUP(I34,Tab_Def_Processes[Process_Name],Tab_Def_Processes[Process_ID],,0,)</f>
        <v>01</v>
      </c>
      <c r="K34" s="23" t="s">
        <v>2</v>
      </c>
      <c r="L34" s="23" t="s">
        <v>2</v>
      </c>
      <c r="M34" s="23" t="s">
        <v>2</v>
      </c>
      <c r="N34" s="23" t="s">
        <v>2</v>
      </c>
      <c r="O34" s="23" t="s">
        <v>2</v>
      </c>
      <c r="P34" s="23" t="s">
        <v>2</v>
      </c>
      <c r="Q34" s="3" t="str">
        <f>Tab_Def_Flows[[#This Row],[Flow_ID]]&amp;"_E1"</f>
        <v>F_01_01_E1</v>
      </c>
      <c r="R34" s="25"/>
      <c r="S34" s="10"/>
      <c r="T34" s="3" t="str">
        <f>Tab_Def_Flows[[#This Row],[Flow_ID]]&amp;"_E2"</f>
        <v>F_01_01_E2</v>
      </c>
      <c r="U34" s="20"/>
      <c r="V34" s="10"/>
      <c r="W34" s="3" t="str">
        <f>Tab_Def_Flows[[#This Row],[Flow_ID]]&amp;"_E3"</f>
        <v>F_01_01_E3</v>
      </c>
      <c r="X34" s="20"/>
      <c r="Y34" s="10"/>
      <c r="Z34" s="3" t="str">
        <f>Tab_Def_Flows[[#This Row],[Flow_ID]]&amp;"_E4"</f>
        <v>F_01_01_E4</v>
      </c>
      <c r="AA34" s="20"/>
      <c r="AB34" s="10"/>
      <c r="AC34" s="3" t="str">
        <f>Tab_Def_Flows[[#This Row],[Flow_ID]]&amp;"_E5"</f>
        <v>F_01_01_E5</v>
      </c>
      <c r="AD34" s="25"/>
      <c r="AE34" s="10"/>
      <c r="AF34" s="3" t="str">
        <f>Tab_Def_Flows[[#This Row],[Flow_ID]]&amp;"_E6"</f>
        <v>F_01_01_E6</v>
      </c>
      <c r="AG34" s="25"/>
      <c r="AH34" s="10"/>
      <c r="AI34" s="58" t="b">
        <f>'0_Configuration'!$C$2</f>
        <v>1</v>
      </c>
      <c r="AJ34" s="3"/>
      <c r="AK34" s="58" t="b">
        <f>'0_Configuration'!$C$6</f>
        <v>0</v>
      </c>
      <c r="AL34" s="3" t="s">
        <v>355</v>
      </c>
      <c r="AM34" s="58" t="b">
        <f>'0_Configuration'!$C$10</f>
        <v>0</v>
      </c>
      <c r="AN34" s="3" t="s">
        <v>355</v>
      </c>
      <c r="AO34" s="58" t="b">
        <f>'0_Configuration'!$C$17</f>
        <v>0</v>
      </c>
      <c r="AP34" s="3">
        <f>_xlfn.XLOOKUP(Tab_Def_Flows[[#This Row],[ODYM_Good_Type]],Tab_Configuration[Value],Tab_Configuration[ODYM_ID],,0,)</f>
        <v>0</v>
      </c>
      <c r="AQ34" s="58" t="b">
        <f>'0_Configuration'!$C$24</f>
        <v>0</v>
      </c>
      <c r="AR34" s="3"/>
      <c r="AS34" s="58" t="b">
        <f>'0_Configuration'!$C$29</f>
        <v>1</v>
      </c>
      <c r="AT34" s="3" t="s">
        <v>369</v>
      </c>
      <c r="AU34" s="3" t="str">
        <f>IF(Tab_Def_Flows[[#This Row],[ODYM_time_(t)]],"t,","")&amp;IF(Tab_Def_Flows[[#This Row],[ODYM_Region_(r)]],"r,","")&amp;IF(Tab_Def_Flows[[#This Row],[ODYM_process_(p)]],"p,","")&amp;IF(Tab_Def_Flows[[#This Row],[ODYM_Good_(g)2]],"g,","")&amp;IF(Tab_Def_Flows[[#This Row],[ODYM_material_(m)]],"m,","")&amp;IF(Tab_Def_Flows[[#This Row],[ODYM_element_(e)]],"e","")</f>
        <v>t,e</v>
      </c>
      <c r="AV3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5" spans="1:48" x14ac:dyDescent="0.25">
      <c r="A35" s="27" t="b">
        <v>0</v>
      </c>
      <c r="B35" s="13">
        <f>ROW()-1</f>
        <v>34</v>
      </c>
      <c r="C35" s="3" t="str">
        <f>"F_"&amp;LEFT(H35,2)&amp;"_"&amp;LEFT(J35,2)</f>
        <v>F_01_01</v>
      </c>
      <c r="D35" s="4"/>
      <c r="E35" s="10"/>
      <c r="F35" s="3"/>
      <c r="G35" s="23"/>
      <c r="H35" s="3" t="str">
        <f>_xlfn.XLOOKUP(G35,Tab_Def_Processes[Process_Name],Tab_Def_Processes[Process_ID],,0,)</f>
        <v>01</v>
      </c>
      <c r="I35" s="23"/>
      <c r="J35" s="6" t="str">
        <f>_xlfn.XLOOKUP(I35,Tab_Def_Processes[Process_Name],Tab_Def_Processes[Process_ID],,0,)</f>
        <v>01</v>
      </c>
      <c r="K35" s="23" t="s">
        <v>2</v>
      </c>
      <c r="L35" s="23" t="s">
        <v>2</v>
      </c>
      <c r="M35" s="23" t="s">
        <v>2</v>
      </c>
      <c r="N35" s="23" t="s">
        <v>2</v>
      </c>
      <c r="O35" s="23" t="s">
        <v>2</v>
      </c>
      <c r="P35" s="23" t="s">
        <v>2</v>
      </c>
      <c r="Q35" s="3" t="str">
        <f>Tab_Def_Flows[[#This Row],[Flow_ID]]&amp;"_E1"</f>
        <v>F_01_01_E1</v>
      </c>
      <c r="R35" s="25"/>
      <c r="S35" s="10"/>
      <c r="T35" s="3" t="str">
        <f>Tab_Def_Flows[[#This Row],[Flow_ID]]&amp;"_E2"</f>
        <v>F_01_01_E2</v>
      </c>
      <c r="U35" s="20"/>
      <c r="V35" s="10"/>
      <c r="W35" s="3" t="str">
        <f>Tab_Def_Flows[[#This Row],[Flow_ID]]&amp;"_E3"</f>
        <v>F_01_01_E3</v>
      </c>
      <c r="X35" s="20"/>
      <c r="Y35" s="10"/>
      <c r="Z35" s="3" t="str">
        <f>Tab_Def_Flows[[#This Row],[Flow_ID]]&amp;"_E4"</f>
        <v>F_01_01_E4</v>
      </c>
      <c r="AA35" s="20"/>
      <c r="AB35" s="10"/>
      <c r="AC35" s="3" t="str">
        <f>Tab_Def_Flows[[#This Row],[Flow_ID]]&amp;"_E5"</f>
        <v>F_01_01_E5</v>
      </c>
      <c r="AD35" s="25"/>
      <c r="AE35" s="10"/>
      <c r="AF35" s="3" t="str">
        <f>Tab_Def_Flows[[#This Row],[Flow_ID]]&amp;"_E6"</f>
        <v>F_01_01_E6</v>
      </c>
      <c r="AG35" s="25"/>
      <c r="AH35" s="10"/>
      <c r="AI35" s="58" t="b">
        <f>'0_Configuration'!$C$2</f>
        <v>1</v>
      </c>
      <c r="AJ35" s="3"/>
      <c r="AK35" s="58" t="b">
        <f>'0_Configuration'!$C$6</f>
        <v>0</v>
      </c>
      <c r="AL35" s="3" t="s">
        <v>355</v>
      </c>
      <c r="AM35" s="58" t="b">
        <f>'0_Configuration'!$C$10</f>
        <v>0</v>
      </c>
      <c r="AN35" s="3" t="s">
        <v>355</v>
      </c>
      <c r="AO35" s="58" t="b">
        <f>'0_Configuration'!$C$17</f>
        <v>0</v>
      </c>
      <c r="AP35" s="3">
        <f>_xlfn.XLOOKUP(Tab_Def_Flows[[#This Row],[ODYM_Good_Type]],Tab_Configuration[Value],Tab_Configuration[ODYM_ID],,0,)</f>
        <v>0</v>
      </c>
      <c r="AQ35" s="58" t="b">
        <f>'0_Configuration'!$C$24</f>
        <v>0</v>
      </c>
      <c r="AR35" s="3"/>
      <c r="AS35" s="58" t="b">
        <f>'0_Configuration'!$C$29</f>
        <v>1</v>
      </c>
      <c r="AT35" s="3" t="s">
        <v>369</v>
      </c>
      <c r="AU35" s="3" t="str">
        <f>IF(Tab_Def_Flows[[#This Row],[ODYM_time_(t)]],"t,","")&amp;IF(Tab_Def_Flows[[#This Row],[ODYM_Region_(r)]],"r,","")&amp;IF(Tab_Def_Flows[[#This Row],[ODYM_process_(p)]],"p,","")&amp;IF(Tab_Def_Flows[[#This Row],[ODYM_Good_(g)2]],"g,","")&amp;IF(Tab_Def_Flows[[#This Row],[ODYM_material_(m)]],"m,","")&amp;IF(Tab_Def_Flows[[#This Row],[ODYM_element_(e)]],"e","")</f>
        <v>t,e</v>
      </c>
      <c r="AV3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6" spans="1:48" x14ac:dyDescent="0.25">
      <c r="A36" s="27" t="b">
        <v>0</v>
      </c>
      <c r="B36" s="13">
        <f t="shared" si="0"/>
        <v>35</v>
      </c>
      <c r="C36" s="3" t="str">
        <f t="shared" si="3"/>
        <v>F_01_01</v>
      </c>
      <c r="D36" s="4"/>
      <c r="E36" s="10"/>
      <c r="F36" s="3"/>
      <c r="G36" s="23"/>
      <c r="H36" s="3" t="str">
        <f>_xlfn.XLOOKUP(G36,Tab_Def_Processes[Process_Name],Tab_Def_Processes[Process_ID],,0,)</f>
        <v>01</v>
      </c>
      <c r="I36" s="23"/>
      <c r="J36" s="6" t="str">
        <f>_xlfn.XLOOKUP(I36,Tab_Def_Processes[Process_Name],Tab_Def_Processes[Process_ID],,0,)</f>
        <v>01</v>
      </c>
      <c r="K36" s="23" t="s">
        <v>2</v>
      </c>
      <c r="L36" s="23" t="s">
        <v>2</v>
      </c>
      <c r="M36" s="23" t="s">
        <v>2</v>
      </c>
      <c r="N36" s="23" t="s">
        <v>2</v>
      </c>
      <c r="O36" s="23" t="s">
        <v>2</v>
      </c>
      <c r="P36" s="23" t="s">
        <v>2</v>
      </c>
      <c r="Q36" s="3" t="str">
        <f>Tab_Def_Flows[[#This Row],[Flow_ID]]&amp;"_E1"</f>
        <v>F_01_01_E1</v>
      </c>
      <c r="R36" s="25"/>
      <c r="S36" s="10"/>
      <c r="T36" s="3" t="str">
        <f>Tab_Def_Flows[[#This Row],[Flow_ID]]&amp;"_E2"</f>
        <v>F_01_01_E2</v>
      </c>
      <c r="U36" s="20"/>
      <c r="V36" s="10"/>
      <c r="W36" s="3" t="str">
        <f>Tab_Def_Flows[[#This Row],[Flow_ID]]&amp;"_E3"</f>
        <v>F_01_01_E3</v>
      </c>
      <c r="X36" s="20"/>
      <c r="Y36" s="10"/>
      <c r="Z36" s="3" t="str">
        <f>Tab_Def_Flows[[#This Row],[Flow_ID]]&amp;"_E4"</f>
        <v>F_01_01_E4</v>
      </c>
      <c r="AA36" s="20"/>
      <c r="AB36" s="10"/>
      <c r="AC36" s="3" t="str">
        <f>Tab_Def_Flows[[#This Row],[Flow_ID]]&amp;"_E5"</f>
        <v>F_01_01_E5</v>
      </c>
      <c r="AD36" s="25"/>
      <c r="AE36" s="10"/>
      <c r="AF36" s="3" t="str">
        <f>Tab_Def_Flows[[#This Row],[Flow_ID]]&amp;"_E6"</f>
        <v>F_01_01_E6</v>
      </c>
      <c r="AG36" s="25"/>
      <c r="AH36" s="10"/>
      <c r="AI36" s="58" t="b">
        <f>'0_Configuration'!$C$2</f>
        <v>1</v>
      </c>
      <c r="AJ36" s="3"/>
      <c r="AK36" s="58" t="b">
        <f>'0_Configuration'!$C$6</f>
        <v>0</v>
      </c>
      <c r="AL36" s="3" t="s">
        <v>355</v>
      </c>
      <c r="AM36" s="58" t="b">
        <f>'0_Configuration'!$C$10</f>
        <v>0</v>
      </c>
      <c r="AN36" s="3" t="s">
        <v>355</v>
      </c>
      <c r="AO36" s="58" t="b">
        <f>'0_Configuration'!$C$17</f>
        <v>0</v>
      </c>
      <c r="AP36" s="3">
        <f>_xlfn.XLOOKUP(Tab_Def_Flows[[#This Row],[ODYM_Good_Type]],Tab_Configuration[Value],Tab_Configuration[ODYM_ID],,0,)</f>
        <v>0</v>
      </c>
      <c r="AQ36" s="58" t="b">
        <f>'0_Configuration'!$C$24</f>
        <v>0</v>
      </c>
      <c r="AR36" s="3"/>
      <c r="AS36" s="58" t="b">
        <f>'0_Configuration'!$C$29</f>
        <v>1</v>
      </c>
      <c r="AT36" s="3" t="s">
        <v>369</v>
      </c>
      <c r="AU36" s="3" t="str">
        <f>IF(Tab_Def_Flows[[#This Row],[ODYM_time_(t)]],"t,","")&amp;IF(Tab_Def_Flows[[#This Row],[ODYM_Region_(r)]],"r,","")&amp;IF(Tab_Def_Flows[[#This Row],[ODYM_process_(p)]],"p,","")&amp;IF(Tab_Def_Flows[[#This Row],[ODYM_Good_(g)2]],"g,","")&amp;IF(Tab_Def_Flows[[#This Row],[ODYM_material_(m)]],"m,","")&amp;IF(Tab_Def_Flows[[#This Row],[ODYM_element_(e)]],"e","")</f>
        <v>t,e</v>
      </c>
      <c r="AV3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7" spans="1:48" x14ac:dyDescent="0.25">
      <c r="A37" s="27" t="b">
        <v>0</v>
      </c>
      <c r="B37" s="13">
        <f t="shared" si="0"/>
        <v>36</v>
      </c>
      <c r="C37" s="3" t="str">
        <f t="shared" si="3"/>
        <v>F_01_01</v>
      </c>
      <c r="D37" s="4"/>
      <c r="E37" s="10"/>
      <c r="F37" s="3"/>
      <c r="G37" s="23"/>
      <c r="H37" s="3" t="str">
        <f>_xlfn.XLOOKUP(G37,Tab_Def_Processes[Process_Name],Tab_Def_Processes[Process_ID],,0,)</f>
        <v>01</v>
      </c>
      <c r="I37" s="23"/>
      <c r="J37" s="6" t="str">
        <f>_xlfn.XLOOKUP(I37,Tab_Def_Processes[Process_Name],Tab_Def_Processes[Process_ID],,0,)</f>
        <v>01</v>
      </c>
      <c r="K37" s="23" t="s">
        <v>2</v>
      </c>
      <c r="L37" s="23" t="s">
        <v>2</v>
      </c>
      <c r="M37" s="23" t="s">
        <v>2</v>
      </c>
      <c r="N37" s="23" t="s">
        <v>2</v>
      </c>
      <c r="O37" s="23" t="s">
        <v>2</v>
      </c>
      <c r="P37" s="23" t="s">
        <v>2</v>
      </c>
      <c r="Q37" s="3" t="str">
        <f>Tab_Def_Flows[[#This Row],[Flow_ID]]&amp;"_E1"</f>
        <v>F_01_01_E1</v>
      </c>
      <c r="R37" s="25"/>
      <c r="S37" s="10"/>
      <c r="T37" s="3" t="str">
        <f>Tab_Def_Flows[[#This Row],[Flow_ID]]&amp;"_E2"</f>
        <v>F_01_01_E2</v>
      </c>
      <c r="U37" s="20"/>
      <c r="V37" s="10"/>
      <c r="W37" s="3" t="str">
        <f>Tab_Def_Flows[[#This Row],[Flow_ID]]&amp;"_E3"</f>
        <v>F_01_01_E3</v>
      </c>
      <c r="X37" s="20"/>
      <c r="Y37" s="10"/>
      <c r="Z37" s="3" t="str">
        <f>Tab_Def_Flows[[#This Row],[Flow_ID]]&amp;"_E4"</f>
        <v>F_01_01_E4</v>
      </c>
      <c r="AA37" s="20"/>
      <c r="AB37" s="10"/>
      <c r="AC37" s="3" t="str">
        <f>Tab_Def_Flows[[#This Row],[Flow_ID]]&amp;"_E5"</f>
        <v>F_01_01_E5</v>
      </c>
      <c r="AD37" s="25"/>
      <c r="AE37" s="10"/>
      <c r="AF37" s="3" t="str">
        <f>Tab_Def_Flows[[#This Row],[Flow_ID]]&amp;"_E6"</f>
        <v>F_01_01_E6</v>
      </c>
      <c r="AG37" s="25"/>
      <c r="AH37" s="10"/>
      <c r="AI37" s="58" t="b">
        <f>'0_Configuration'!$C$2</f>
        <v>1</v>
      </c>
      <c r="AJ37" s="3"/>
      <c r="AK37" s="58" t="b">
        <f>'0_Configuration'!$C$6</f>
        <v>0</v>
      </c>
      <c r="AL37" s="3" t="s">
        <v>355</v>
      </c>
      <c r="AM37" s="58" t="b">
        <f>'0_Configuration'!$C$10</f>
        <v>0</v>
      </c>
      <c r="AN37" s="3" t="s">
        <v>355</v>
      </c>
      <c r="AO37" s="58" t="b">
        <f>'0_Configuration'!$C$17</f>
        <v>0</v>
      </c>
      <c r="AP37" s="3">
        <f>_xlfn.XLOOKUP(Tab_Def_Flows[[#This Row],[ODYM_Good_Type]],Tab_Configuration[Value],Tab_Configuration[ODYM_ID],,0,)</f>
        <v>0</v>
      </c>
      <c r="AQ37" s="58" t="b">
        <f>'0_Configuration'!$C$24</f>
        <v>0</v>
      </c>
      <c r="AR37" s="3"/>
      <c r="AS37" s="58" t="b">
        <f>'0_Configuration'!$C$29</f>
        <v>1</v>
      </c>
      <c r="AT37" s="3" t="s">
        <v>369</v>
      </c>
      <c r="AU37" s="3" t="str">
        <f>IF(Tab_Def_Flows[[#This Row],[ODYM_time_(t)]],"t,","")&amp;IF(Tab_Def_Flows[[#This Row],[ODYM_Region_(r)]],"r,","")&amp;IF(Tab_Def_Flows[[#This Row],[ODYM_process_(p)]],"p,","")&amp;IF(Tab_Def_Flows[[#This Row],[ODYM_Good_(g)2]],"g,","")&amp;IF(Tab_Def_Flows[[#This Row],[ODYM_material_(m)]],"m,","")&amp;IF(Tab_Def_Flows[[#This Row],[ODYM_element_(e)]],"e","")</f>
        <v>t,e</v>
      </c>
      <c r="AV3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8" spans="1:48" x14ac:dyDescent="0.25">
      <c r="A38" s="27" t="b">
        <v>0</v>
      </c>
      <c r="B38" s="13">
        <f>ROW()-1</f>
        <v>37</v>
      </c>
      <c r="C38" s="3" t="str">
        <f>"F_"&amp;LEFT(H38,2)&amp;"_"&amp;LEFT(J38,2)</f>
        <v>F_01_01</v>
      </c>
      <c r="D38" s="4"/>
      <c r="E38" s="10"/>
      <c r="F38" s="3"/>
      <c r="G38" s="23"/>
      <c r="H38" s="3" t="str">
        <f>_xlfn.XLOOKUP(G38,Tab_Def_Processes[Process_Name],Tab_Def_Processes[Process_ID],,0,)</f>
        <v>01</v>
      </c>
      <c r="I38" s="23"/>
      <c r="J38" s="6" t="str">
        <f>_xlfn.XLOOKUP(I38,Tab_Def_Processes[Process_Name],Tab_Def_Processes[Process_ID],,0,)</f>
        <v>01</v>
      </c>
      <c r="K38" s="23" t="s">
        <v>2</v>
      </c>
      <c r="L38" s="23" t="s">
        <v>2</v>
      </c>
      <c r="M38" s="23" t="s">
        <v>2</v>
      </c>
      <c r="N38" s="23" t="s">
        <v>2</v>
      </c>
      <c r="O38" s="23" t="s">
        <v>2</v>
      </c>
      <c r="P38" s="23" t="s">
        <v>2</v>
      </c>
      <c r="Q38" s="3" t="str">
        <f>Tab_Def_Flows[[#This Row],[Flow_ID]]&amp;"_E1"</f>
        <v>F_01_01_E1</v>
      </c>
      <c r="R38" s="25"/>
      <c r="S38" s="10"/>
      <c r="T38" s="3" t="str">
        <f>Tab_Def_Flows[[#This Row],[Flow_ID]]&amp;"_E2"</f>
        <v>F_01_01_E2</v>
      </c>
      <c r="U38" s="20"/>
      <c r="V38" s="10"/>
      <c r="W38" s="3" t="str">
        <f>Tab_Def_Flows[[#This Row],[Flow_ID]]&amp;"_E3"</f>
        <v>F_01_01_E3</v>
      </c>
      <c r="X38" s="20"/>
      <c r="Y38" s="10"/>
      <c r="Z38" s="3" t="str">
        <f>Tab_Def_Flows[[#This Row],[Flow_ID]]&amp;"_E4"</f>
        <v>F_01_01_E4</v>
      </c>
      <c r="AA38" s="20"/>
      <c r="AB38" s="10"/>
      <c r="AC38" s="3" t="str">
        <f>Tab_Def_Flows[[#This Row],[Flow_ID]]&amp;"_E5"</f>
        <v>F_01_01_E5</v>
      </c>
      <c r="AD38" s="25"/>
      <c r="AE38" s="10"/>
      <c r="AF38" s="3" t="str">
        <f>Tab_Def_Flows[[#This Row],[Flow_ID]]&amp;"_E6"</f>
        <v>F_01_01_E6</v>
      </c>
      <c r="AG38" s="25"/>
      <c r="AH38" s="10"/>
      <c r="AI38" s="58" t="b">
        <f>'0_Configuration'!$C$2</f>
        <v>1</v>
      </c>
      <c r="AJ38" s="3"/>
      <c r="AK38" s="58" t="b">
        <f>'0_Configuration'!$C$6</f>
        <v>0</v>
      </c>
      <c r="AL38" s="3" t="s">
        <v>355</v>
      </c>
      <c r="AM38" s="58" t="b">
        <f>'0_Configuration'!$C$10</f>
        <v>0</v>
      </c>
      <c r="AN38" s="3" t="s">
        <v>355</v>
      </c>
      <c r="AO38" s="58" t="b">
        <f>'0_Configuration'!$C$17</f>
        <v>0</v>
      </c>
      <c r="AP38" s="3">
        <f>_xlfn.XLOOKUP(Tab_Def_Flows[[#This Row],[ODYM_Good_Type]],Tab_Configuration[Value],Tab_Configuration[ODYM_ID],,0,)</f>
        <v>0</v>
      </c>
      <c r="AQ38" s="58" t="b">
        <f>'0_Configuration'!$C$24</f>
        <v>0</v>
      </c>
      <c r="AR38" s="3"/>
      <c r="AS38" s="58" t="b">
        <f>'0_Configuration'!$C$29</f>
        <v>1</v>
      </c>
      <c r="AT38" s="3" t="s">
        <v>369</v>
      </c>
      <c r="AU38" s="3" t="str">
        <f>IF(Tab_Def_Flows[[#This Row],[ODYM_time_(t)]],"t,","")&amp;IF(Tab_Def_Flows[[#This Row],[ODYM_Region_(r)]],"r,","")&amp;IF(Tab_Def_Flows[[#This Row],[ODYM_process_(p)]],"p,","")&amp;IF(Tab_Def_Flows[[#This Row],[ODYM_Good_(g)2]],"g,","")&amp;IF(Tab_Def_Flows[[#This Row],[ODYM_material_(m)]],"m,","")&amp;IF(Tab_Def_Flows[[#This Row],[ODYM_element_(e)]],"e","")</f>
        <v>t,e</v>
      </c>
      <c r="AV3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9" spans="1:48" x14ac:dyDescent="0.25">
      <c r="A39" s="27" t="b">
        <v>0</v>
      </c>
      <c r="B39" s="13">
        <f>ROW()-1</f>
        <v>38</v>
      </c>
      <c r="C39" s="3" t="str">
        <f>"F_"&amp;LEFT(H39,2)&amp;"_"&amp;LEFT(J39,2)</f>
        <v>F_01_01</v>
      </c>
      <c r="D39" s="4"/>
      <c r="E39" s="10"/>
      <c r="F39" s="3"/>
      <c r="G39" s="23"/>
      <c r="H39" s="3" t="str">
        <f>_xlfn.XLOOKUP(G39,Tab_Def_Processes[Process_Name],Tab_Def_Processes[Process_ID],,0,)</f>
        <v>01</v>
      </c>
      <c r="I39" s="23"/>
      <c r="J39" s="6" t="str">
        <f>_xlfn.XLOOKUP(I39,Tab_Def_Processes[Process_Name],Tab_Def_Processes[Process_ID],,0,)</f>
        <v>01</v>
      </c>
      <c r="K39" s="23" t="s">
        <v>2</v>
      </c>
      <c r="L39" s="23" t="s">
        <v>2</v>
      </c>
      <c r="M39" s="23" t="s">
        <v>2</v>
      </c>
      <c r="N39" s="23" t="s">
        <v>2</v>
      </c>
      <c r="O39" s="23" t="s">
        <v>2</v>
      </c>
      <c r="P39" s="23" t="s">
        <v>2</v>
      </c>
      <c r="Q39" s="3" t="str">
        <f>Tab_Def_Flows[[#This Row],[Flow_ID]]&amp;"_E1"</f>
        <v>F_01_01_E1</v>
      </c>
      <c r="R39" s="25"/>
      <c r="S39" s="10"/>
      <c r="T39" s="3" t="str">
        <f>Tab_Def_Flows[[#This Row],[Flow_ID]]&amp;"_E2"</f>
        <v>F_01_01_E2</v>
      </c>
      <c r="U39" s="20"/>
      <c r="V39" s="10"/>
      <c r="W39" s="3" t="str">
        <f>Tab_Def_Flows[[#This Row],[Flow_ID]]&amp;"_E3"</f>
        <v>F_01_01_E3</v>
      </c>
      <c r="X39" s="20"/>
      <c r="Y39" s="10"/>
      <c r="Z39" s="3" t="str">
        <f>Tab_Def_Flows[[#This Row],[Flow_ID]]&amp;"_E4"</f>
        <v>F_01_01_E4</v>
      </c>
      <c r="AA39" s="20"/>
      <c r="AB39" s="10"/>
      <c r="AC39" s="3" t="str">
        <f>Tab_Def_Flows[[#This Row],[Flow_ID]]&amp;"_E5"</f>
        <v>F_01_01_E5</v>
      </c>
      <c r="AD39" s="25"/>
      <c r="AE39" s="10"/>
      <c r="AF39" s="3" t="str">
        <f>Tab_Def_Flows[[#This Row],[Flow_ID]]&amp;"_E6"</f>
        <v>F_01_01_E6</v>
      </c>
      <c r="AG39" s="25"/>
      <c r="AH39" s="10"/>
      <c r="AI39" s="58" t="b">
        <f>'0_Configuration'!$C$2</f>
        <v>1</v>
      </c>
      <c r="AJ39" s="3"/>
      <c r="AK39" s="58" t="b">
        <f>'0_Configuration'!$C$6</f>
        <v>0</v>
      </c>
      <c r="AL39" s="3" t="s">
        <v>355</v>
      </c>
      <c r="AM39" s="58" t="b">
        <f>'0_Configuration'!$C$10</f>
        <v>0</v>
      </c>
      <c r="AN39" s="3" t="s">
        <v>355</v>
      </c>
      <c r="AO39" s="58" t="b">
        <f>'0_Configuration'!$C$17</f>
        <v>0</v>
      </c>
      <c r="AP39" s="3">
        <f>_xlfn.XLOOKUP(Tab_Def_Flows[[#This Row],[ODYM_Good_Type]],Tab_Configuration[Value],Tab_Configuration[ODYM_ID],,0,)</f>
        <v>0</v>
      </c>
      <c r="AQ39" s="58" t="b">
        <f>'0_Configuration'!$C$24</f>
        <v>0</v>
      </c>
      <c r="AR39" s="3"/>
      <c r="AS39" s="58" t="b">
        <f>'0_Configuration'!$C$29</f>
        <v>1</v>
      </c>
      <c r="AT39" s="3" t="s">
        <v>369</v>
      </c>
      <c r="AU39" s="3" t="str">
        <f>IF(Tab_Def_Flows[[#This Row],[ODYM_time_(t)]],"t,","")&amp;IF(Tab_Def_Flows[[#This Row],[ODYM_Region_(r)]],"r,","")&amp;IF(Tab_Def_Flows[[#This Row],[ODYM_process_(p)]],"p,","")&amp;IF(Tab_Def_Flows[[#This Row],[ODYM_Good_(g)2]],"g,","")&amp;IF(Tab_Def_Flows[[#This Row],[ODYM_material_(m)]],"m,","")&amp;IF(Tab_Def_Flows[[#This Row],[ODYM_element_(e)]],"e","")</f>
        <v>t,e</v>
      </c>
      <c r="AV3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0" spans="1:48" x14ac:dyDescent="0.25">
      <c r="A40" s="27" t="b">
        <v>0</v>
      </c>
      <c r="B40" s="13">
        <f t="shared" si="0"/>
        <v>39</v>
      </c>
      <c r="C40" s="3" t="str">
        <f t="shared" si="3"/>
        <v>F_01_01</v>
      </c>
      <c r="D40" s="52"/>
      <c r="E40" s="10"/>
      <c r="F40" s="3"/>
      <c r="G40" s="23"/>
      <c r="H40" s="3" t="str">
        <f>_xlfn.XLOOKUP(G40,Tab_Def_Processes[Process_Name],Tab_Def_Processes[Process_ID],,0,)</f>
        <v>01</v>
      </c>
      <c r="I40" s="23"/>
      <c r="J40" s="6" t="str">
        <f>_xlfn.XLOOKUP(I40,Tab_Def_Processes[Process_Name],Tab_Def_Processes[Process_ID],,0,)</f>
        <v>01</v>
      </c>
      <c r="K40" s="23" t="s">
        <v>2</v>
      </c>
      <c r="L40" s="23" t="s">
        <v>2</v>
      </c>
      <c r="M40" s="23" t="s">
        <v>2</v>
      </c>
      <c r="N40" s="23" t="s">
        <v>2</v>
      </c>
      <c r="O40" s="23" t="s">
        <v>2</v>
      </c>
      <c r="P40" s="23" t="s">
        <v>2</v>
      </c>
      <c r="Q40" s="3" t="str">
        <f>Tab_Def_Flows[[#This Row],[Flow_ID]]&amp;"_E1"</f>
        <v>F_01_01_E1</v>
      </c>
      <c r="R40" s="25"/>
      <c r="S40" s="10"/>
      <c r="T40" s="3" t="str">
        <f>Tab_Def_Flows[[#This Row],[Flow_ID]]&amp;"_E2"</f>
        <v>F_01_01_E2</v>
      </c>
      <c r="U40" s="20"/>
      <c r="V40" s="10"/>
      <c r="W40" s="3" t="str">
        <f>Tab_Def_Flows[[#This Row],[Flow_ID]]&amp;"_E3"</f>
        <v>F_01_01_E3</v>
      </c>
      <c r="X40" s="20"/>
      <c r="Y40" s="10"/>
      <c r="Z40" s="3" t="str">
        <f>Tab_Def_Flows[[#This Row],[Flow_ID]]&amp;"_E4"</f>
        <v>F_01_01_E4</v>
      </c>
      <c r="AA40" s="20"/>
      <c r="AB40" s="10"/>
      <c r="AC40" s="3" t="str">
        <f>Tab_Def_Flows[[#This Row],[Flow_ID]]&amp;"_E5"</f>
        <v>F_01_01_E5</v>
      </c>
      <c r="AD40" s="25"/>
      <c r="AE40" s="10"/>
      <c r="AF40" s="3" t="str">
        <f>Tab_Def_Flows[[#This Row],[Flow_ID]]&amp;"_E6"</f>
        <v>F_01_01_E6</v>
      </c>
      <c r="AG40" s="25"/>
      <c r="AH40" s="10"/>
      <c r="AI40" s="58" t="b">
        <f>'0_Configuration'!$C$2</f>
        <v>1</v>
      </c>
      <c r="AJ40" s="3"/>
      <c r="AK40" s="58" t="b">
        <f>'0_Configuration'!$C$6</f>
        <v>0</v>
      </c>
      <c r="AL40" s="3" t="s">
        <v>355</v>
      </c>
      <c r="AM40" s="58" t="b">
        <f>'0_Configuration'!$C$10</f>
        <v>0</v>
      </c>
      <c r="AN40" s="3" t="s">
        <v>355</v>
      </c>
      <c r="AO40" s="58" t="b">
        <f>'0_Configuration'!$C$17</f>
        <v>0</v>
      </c>
      <c r="AP40" s="3">
        <f>_xlfn.XLOOKUP(Tab_Def_Flows[[#This Row],[ODYM_Good_Type]],Tab_Configuration[Value],Tab_Configuration[ODYM_ID],,0,)</f>
        <v>0</v>
      </c>
      <c r="AQ40" s="58" t="b">
        <f>'0_Configuration'!$C$24</f>
        <v>0</v>
      </c>
      <c r="AR40" s="3"/>
      <c r="AS40" s="58" t="b">
        <f>'0_Configuration'!$C$29</f>
        <v>1</v>
      </c>
      <c r="AT40" s="3" t="s">
        <v>369</v>
      </c>
      <c r="AU40" s="3" t="str">
        <f>IF(Tab_Def_Flows[[#This Row],[ODYM_time_(t)]],"t,","")&amp;IF(Tab_Def_Flows[[#This Row],[ODYM_Region_(r)]],"r,","")&amp;IF(Tab_Def_Flows[[#This Row],[ODYM_process_(p)]],"p,","")&amp;IF(Tab_Def_Flows[[#This Row],[ODYM_Good_(g)2]],"g,","")&amp;IF(Tab_Def_Flows[[#This Row],[ODYM_material_(m)]],"m,","")&amp;IF(Tab_Def_Flows[[#This Row],[ODYM_element_(e)]],"e","")</f>
        <v>t,e</v>
      </c>
      <c r="AV4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1" spans="1:48" x14ac:dyDescent="0.25">
      <c r="A41" s="27" t="b">
        <v>0</v>
      </c>
      <c r="B41" s="13">
        <f t="shared" si="0"/>
        <v>40</v>
      </c>
      <c r="C41" s="3" t="str">
        <f t="shared" si="3"/>
        <v>F_01_01</v>
      </c>
      <c r="D41" s="52"/>
      <c r="E41" s="10"/>
      <c r="F41" s="3"/>
      <c r="G41" s="23"/>
      <c r="H41" s="3" t="str">
        <f>_xlfn.XLOOKUP(G41,Tab_Def_Processes[Process_Name],Tab_Def_Processes[Process_ID],,0,)</f>
        <v>01</v>
      </c>
      <c r="I41" s="23"/>
      <c r="J41" s="6" t="str">
        <f>_xlfn.XLOOKUP(I41,Tab_Def_Processes[Process_Name],Tab_Def_Processes[Process_ID],,0,)</f>
        <v>01</v>
      </c>
      <c r="K41" s="23" t="s">
        <v>2</v>
      </c>
      <c r="L41" s="23" t="s">
        <v>2</v>
      </c>
      <c r="M41" s="23" t="s">
        <v>2</v>
      </c>
      <c r="N41" s="23" t="s">
        <v>2</v>
      </c>
      <c r="O41" s="23" t="s">
        <v>2</v>
      </c>
      <c r="P41" s="23" t="s">
        <v>2</v>
      </c>
      <c r="Q41" s="3" t="str">
        <f>Tab_Def_Flows[[#This Row],[Flow_ID]]&amp;"_E1"</f>
        <v>F_01_01_E1</v>
      </c>
      <c r="R41" s="25"/>
      <c r="S41" s="10"/>
      <c r="T41" s="3" t="str">
        <f>Tab_Def_Flows[[#This Row],[Flow_ID]]&amp;"_E2"</f>
        <v>F_01_01_E2</v>
      </c>
      <c r="U41" s="20"/>
      <c r="V41" s="10"/>
      <c r="W41" s="3" t="str">
        <f>Tab_Def_Flows[[#This Row],[Flow_ID]]&amp;"_E3"</f>
        <v>F_01_01_E3</v>
      </c>
      <c r="X41" s="20"/>
      <c r="Y41" s="10"/>
      <c r="Z41" s="3" t="str">
        <f>Tab_Def_Flows[[#This Row],[Flow_ID]]&amp;"_E4"</f>
        <v>F_01_01_E4</v>
      </c>
      <c r="AA41" s="20"/>
      <c r="AB41" s="10"/>
      <c r="AC41" s="3" t="str">
        <f>Tab_Def_Flows[[#This Row],[Flow_ID]]&amp;"_E5"</f>
        <v>F_01_01_E5</v>
      </c>
      <c r="AD41" s="25"/>
      <c r="AE41" s="10"/>
      <c r="AF41" s="3" t="str">
        <f>Tab_Def_Flows[[#This Row],[Flow_ID]]&amp;"_E6"</f>
        <v>F_01_01_E6</v>
      </c>
      <c r="AG41" s="25"/>
      <c r="AH41" s="10"/>
      <c r="AI41" s="58" t="b">
        <f>'0_Configuration'!$C$2</f>
        <v>1</v>
      </c>
      <c r="AJ41" s="3"/>
      <c r="AK41" s="58" t="b">
        <f>'0_Configuration'!$C$6</f>
        <v>0</v>
      </c>
      <c r="AL41" s="3" t="s">
        <v>355</v>
      </c>
      <c r="AM41" s="58" t="b">
        <f>'0_Configuration'!$C$10</f>
        <v>0</v>
      </c>
      <c r="AN41" s="3" t="s">
        <v>355</v>
      </c>
      <c r="AO41" s="58" t="b">
        <f>'0_Configuration'!$C$17</f>
        <v>0</v>
      </c>
      <c r="AP41" s="3">
        <f>_xlfn.XLOOKUP(Tab_Def_Flows[[#This Row],[ODYM_Good_Type]],Tab_Configuration[Value],Tab_Configuration[ODYM_ID],,0,)</f>
        <v>0</v>
      </c>
      <c r="AQ41" s="58" t="b">
        <f>'0_Configuration'!$C$24</f>
        <v>0</v>
      </c>
      <c r="AR41" s="3"/>
      <c r="AS41" s="58" t="b">
        <f>'0_Configuration'!$C$29</f>
        <v>1</v>
      </c>
      <c r="AT41" s="3" t="s">
        <v>369</v>
      </c>
      <c r="AU41" s="3" t="str">
        <f>IF(Tab_Def_Flows[[#This Row],[ODYM_time_(t)]],"t,","")&amp;IF(Tab_Def_Flows[[#This Row],[ODYM_Region_(r)]],"r,","")&amp;IF(Tab_Def_Flows[[#This Row],[ODYM_process_(p)]],"p,","")&amp;IF(Tab_Def_Flows[[#This Row],[ODYM_Good_(g)2]],"g,","")&amp;IF(Tab_Def_Flows[[#This Row],[ODYM_material_(m)]],"m,","")&amp;IF(Tab_Def_Flows[[#This Row],[ODYM_element_(e)]],"e","")</f>
        <v>t,e</v>
      </c>
      <c r="AV4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2" spans="1:48" x14ac:dyDescent="0.25">
      <c r="A42" s="27" t="b">
        <v>0</v>
      </c>
      <c r="B42" s="13">
        <f t="shared" si="0"/>
        <v>41</v>
      </c>
      <c r="C42" s="3" t="str">
        <f t="shared" si="3"/>
        <v>F_01_01</v>
      </c>
      <c r="D42" s="52"/>
      <c r="E42" s="10"/>
      <c r="F42" s="3"/>
      <c r="G42" s="23"/>
      <c r="H42" s="3" t="str">
        <f>_xlfn.XLOOKUP(G42,Tab_Def_Processes[Process_Name],Tab_Def_Processes[Process_ID],,0,)</f>
        <v>01</v>
      </c>
      <c r="I42" s="23"/>
      <c r="J42" s="6" t="str">
        <f>_xlfn.XLOOKUP(I42,Tab_Def_Processes[Process_Name],Tab_Def_Processes[Process_ID],,0,)</f>
        <v>01</v>
      </c>
      <c r="K42" s="23" t="s">
        <v>2</v>
      </c>
      <c r="L42" s="23" t="s">
        <v>2</v>
      </c>
      <c r="M42" s="23" t="s">
        <v>2</v>
      </c>
      <c r="N42" s="23" t="s">
        <v>2</v>
      </c>
      <c r="O42" s="23" t="s">
        <v>2</v>
      </c>
      <c r="P42" s="23" t="s">
        <v>2</v>
      </c>
      <c r="Q42" s="3" t="str">
        <f>Tab_Def_Flows[[#This Row],[Flow_ID]]&amp;"_E1"</f>
        <v>F_01_01_E1</v>
      </c>
      <c r="R42" s="25"/>
      <c r="S42" s="10"/>
      <c r="T42" s="3" t="str">
        <f>Tab_Def_Flows[[#This Row],[Flow_ID]]&amp;"_E2"</f>
        <v>F_01_01_E2</v>
      </c>
      <c r="U42" s="20"/>
      <c r="V42" s="10"/>
      <c r="W42" s="3" t="str">
        <f>Tab_Def_Flows[[#This Row],[Flow_ID]]&amp;"_E3"</f>
        <v>F_01_01_E3</v>
      </c>
      <c r="X42" s="20"/>
      <c r="Y42" s="10"/>
      <c r="Z42" s="3" t="str">
        <f>Tab_Def_Flows[[#This Row],[Flow_ID]]&amp;"_E4"</f>
        <v>F_01_01_E4</v>
      </c>
      <c r="AA42" s="20"/>
      <c r="AB42" s="10"/>
      <c r="AC42" s="3" t="str">
        <f>Tab_Def_Flows[[#This Row],[Flow_ID]]&amp;"_E5"</f>
        <v>F_01_01_E5</v>
      </c>
      <c r="AD42" s="25"/>
      <c r="AE42" s="10"/>
      <c r="AF42" s="3" t="str">
        <f>Tab_Def_Flows[[#This Row],[Flow_ID]]&amp;"_E6"</f>
        <v>F_01_01_E6</v>
      </c>
      <c r="AG42" s="25"/>
      <c r="AH42" s="10"/>
      <c r="AI42" s="58" t="b">
        <f>'0_Configuration'!$C$2</f>
        <v>1</v>
      </c>
      <c r="AJ42" s="3"/>
      <c r="AK42" s="58" t="b">
        <f>'0_Configuration'!$C$6</f>
        <v>0</v>
      </c>
      <c r="AL42" s="3" t="s">
        <v>355</v>
      </c>
      <c r="AM42" s="58" t="b">
        <f>'0_Configuration'!$C$10</f>
        <v>0</v>
      </c>
      <c r="AN42" s="3" t="s">
        <v>355</v>
      </c>
      <c r="AO42" s="58" t="b">
        <f>'0_Configuration'!$C$17</f>
        <v>0</v>
      </c>
      <c r="AP42" s="3">
        <f>_xlfn.XLOOKUP(Tab_Def_Flows[[#This Row],[ODYM_Good_Type]],Tab_Configuration[Value],Tab_Configuration[ODYM_ID],,0,)</f>
        <v>0</v>
      </c>
      <c r="AQ42" s="58" t="b">
        <f>'0_Configuration'!$C$24</f>
        <v>0</v>
      </c>
      <c r="AR42" s="3"/>
      <c r="AS42" s="58" t="b">
        <f>'0_Configuration'!$C$29</f>
        <v>1</v>
      </c>
      <c r="AT42" s="3" t="s">
        <v>369</v>
      </c>
      <c r="AU42" s="3" t="str">
        <f>IF(Tab_Def_Flows[[#This Row],[ODYM_time_(t)]],"t,","")&amp;IF(Tab_Def_Flows[[#This Row],[ODYM_Region_(r)]],"r,","")&amp;IF(Tab_Def_Flows[[#This Row],[ODYM_process_(p)]],"p,","")&amp;IF(Tab_Def_Flows[[#This Row],[ODYM_Good_(g)2]],"g,","")&amp;IF(Tab_Def_Flows[[#This Row],[ODYM_material_(m)]],"m,","")&amp;IF(Tab_Def_Flows[[#This Row],[ODYM_element_(e)]],"e","")</f>
        <v>t,e</v>
      </c>
      <c r="AV4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3" spans="1:48" x14ac:dyDescent="0.25">
      <c r="A43" s="27" t="b">
        <v>0</v>
      </c>
      <c r="B43" s="13">
        <f t="shared" si="0"/>
        <v>42</v>
      </c>
      <c r="C43" s="3" t="str">
        <f t="shared" si="3"/>
        <v>F_01_01</v>
      </c>
      <c r="D43" s="52"/>
      <c r="E43" s="10"/>
      <c r="F43" s="3"/>
      <c r="G43" s="23"/>
      <c r="H43" s="3" t="str">
        <f>_xlfn.XLOOKUP(G43,Tab_Def_Processes[Process_Name],Tab_Def_Processes[Process_ID],,0,)</f>
        <v>01</v>
      </c>
      <c r="I43" s="23"/>
      <c r="J43" s="6" t="str">
        <f>_xlfn.XLOOKUP(I43,Tab_Def_Processes[Process_Name],Tab_Def_Processes[Process_ID],,0,)</f>
        <v>01</v>
      </c>
      <c r="K43" s="23" t="s">
        <v>2</v>
      </c>
      <c r="L43" s="23" t="s">
        <v>2</v>
      </c>
      <c r="M43" s="23" t="s">
        <v>2</v>
      </c>
      <c r="N43" s="23" t="s">
        <v>2</v>
      </c>
      <c r="O43" s="23" t="s">
        <v>2</v>
      </c>
      <c r="P43" s="23" t="s">
        <v>2</v>
      </c>
      <c r="Q43" s="3" t="str">
        <f>Tab_Def_Flows[[#This Row],[Flow_ID]]&amp;"_E1"</f>
        <v>F_01_01_E1</v>
      </c>
      <c r="R43" s="25"/>
      <c r="S43" s="10"/>
      <c r="T43" s="3" t="str">
        <f>Tab_Def_Flows[[#This Row],[Flow_ID]]&amp;"_E2"</f>
        <v>F_01_01_E2</v>
      </c>
      <c r="U43" s="20"/>
      <c r="V43" s="10"/>
      <c r="W43" s="3" t="str">
        <f>Tab_Def_Flows[[#This Row],[Flow_ID]]&amp;"_E3"</f>
        <v>F_01_01_E3</v>
      </c>
      <c r="X43" s="20"/>
      <c r="Y43" s="10"/>
      <c r="Z43" s="3" t="str">
        <f>Tab_Def_Flows[[#This Row],[Flow_ID]]&amp;"_E4"</f>
        <v>F_01_01_E4</v>
      </c>
      <c r="AA43" s="20"/>
      <c r="AB43" s="10"/>
      <c r="AC43" s="3" t="str">
        <f>Tab_Def_Flows[[#This Row],[Flow_ID]]&amp;"_E5"</f>
        <v>F_01_01_E5</v>
      </c>
      <c r="AD43" s="25"/>
      <c r="AE43" s="10"/>
      <c r="AF43" s="3" t="str">
        <f>Tab_Def_Flows[[#This Row],[Flow_ID]]&amp;"_E6"</f>
        <v>F_01_01_E6</v>
      </c>
      <c r="AG43" s="25"/>
      <c r="AH43" s="10"/>
      <c r="AI43" s="58" t="b">
        <f>'0_Configuration'!$C$2</f>
        <v>1</v>
      </c>
      <c r="AJ43" s="3"/>
      <c r="AK43" s="58" t="b">
        <f>'0_Configuration'!$C$6</f>
        <v>0</v>
      </c>
      <c r="AL43" s="3" t="s">
        <v>355</v>
      </c>
      <c r="AM43" s="58" t="b">
        <f>'0_Configuration'!$C$10</f>
        <v>0</v>
      </c>
      <c r="AN43" s="3" t="s">
        <v>355</v>
      </c>
      <c r="AO43" s="58" t="b">
        <f>'0_Configuration'!$C$17</f>
        <v>0</v>
      </c>
      <c r="AP43" s="3">
        <f>_xlfn.XLOOKUP(Tab_Def_Flows[[#This Row],[ODYM_Good_Type]],Tab_Configuration[Value],Tab_Configuration[ODYM_ID],,0,)</f>
        <v>0</v>
      </c>
      <c r="AQ43" s="58" t="b">
        <f>'0_Configuration'!$C$24</f>
        <v>0</v>
      </c>
      <c r="AR43" s="3"/>
      <c r="AS43" s="58" t="b">
        <f>'0_Configuration'!$C$29</f>
        <v>1</v>
      </c>
      <c r="AT43" s="3" t="s">
        <v>369</v>
      </c>
      <c r="AU43" s="3" t="str">
        <f>IF(Tab_Def_Flows[[#This Row],[ODYM_time_(t)]],"t,","")&amp;IF(Tab_Def_Flows[[#This Row],[ODYM_Region_(r)]],"r,","")&amp;IF(Tab_Def_Flows[[#This Row],[ODYM_process_(p)]],"p,","")&amp;IF(Tab_Def_Flows[[#This Row],[ODYM_Good_(g)2]],"g,","")&amp;IF(Tab_Def_Flows[[#This Row],[ODYM_material_(m)]],"m,","")&amp;IF(Tab_Def_Flows[[#This Row],[ODYM_element_(e)]],"e","")</f>
        <v>t,e</v>
      </c>
      <c r="AV4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4" spans="1:48" x14ac:dyDescent="0.25">
      <c r="A44" s="27" t="b">
        <v>0</v>
      </c>
      <c r="B44" s="13">
        <f t="shared" si="0"/>
        <v>43</v>
      </c>
      <c r="C44" s="3" t="str">
        <f t="shared" si="3"/>
        <v>F_01_01</v>
      </c>
      <c r="D44" s="52"/>
      <c r="E44" s="10"/>
      <c r="F44" s="3"/>
      <c r="G44" s="23"/>
      <c r="H44" s="3" t="str">
        <f>_xlfn.XLOOKUP(G44,Tab_Def_Processes[Process_Name],Tab_Def_Processes[Process_ID],,0,)</f>
        <v>01</v>
      </c>
      <c r="I44" s="23"/>
      <c r="J44" s="6" t="str">
        <f>_xlfn.XLOOKUP(I44,Tab_Def_Processes[Process_Name],Tab_Def_Processes[Process_ID],,0,)</f>
        <v>01</v>
      </c>
      <c r="K44" s="23" t="s">
        <v>2</v>
      </c>
      <c r="L44" s="23" t="s">
        <v>2</v>
      </c>
      <c r="M44" s="23" t="s">
        <v>2</v>
      </c>
      <c r="N44" s="23" t="s">
        <v>2</v>
      </c>
      <c r="O44" s="23" t="s">
        <v>2</v>
      </c>
      <c r="P44" s="23" t="s">
        <v>2</v>
      </c>
      <c r="Q44" s="3" t="str">
        <f>Tab_Def_Flows[[#This Row],[Flow_ID]]&amp;"_E1"</f>
        <v>F_01_01_E1</v>
      </c>
      <c r="R44" s="25"/>
      <c r="S44" s="10"/>
      <c r="T44" s="3" t="str">
        <f>Tab_Def_Flows[[#This Row],[Flow_ID]]&amp;"_E2"</f>
        <v>F_01_01_E2</v>
      </c>
      <c r="U44" s="20"/>
      <c r="V44" s="10"/>
      <c r="W44" s="3" t="str">
        <f>Tab_Def_Flows[[#This Row],[Flow_ID]]&amp;"_E3"</f>
        <v>F_01_01_E3</v>
      </c>
      <c r="X44" s="20"/>
      <c r="Y44" s="10"/>
      <c r="Z44" s="3" t="str">
        <f>Tab_Def_Flows[[#This Row],[Flow_ID]]&amp;"_E4"</f>
        <v>F_01_01_E4</v>
      </c>
      <c r="AA44" s="20"/>
      <c r="AB44" s="10"/>
      <c r="AC44" s="3" t="str">
        <f>Tab_Def_Flows[[#This Row],[Flow_ID]]&amp;"_E5"</f>
        <v>F_01_01_E5</v>
      </c>
      <c r="AD44" s="25"/>
      <c r="AE44" s="10"/>
      <c r="AF44" s="3" t="str">
        <f>Tab_Def_Flows[[#This Row],[Flow_ID]]&amp;"_E6"</f>
        <v>F_01_01_E6</v>
      </c>
      <c r="AG44" s="25"/>
      <c r="AH44" s="10"/>
      <c r="AI44" s="58" t="b">
        <f>'0_Configuration'!$C$2</f>
        <v>1</v>
      </c>
      <c r="AJ44" s="3"/>
      <c r="AK44" s="58" t="b">
        <f>'0_Configuration'!$C$6</f>
        <v>0</v>
      </c>
      <c r="AL44" s="3" t="s">
        <v>355</v>
      </c>
      <c r="AM44" s="58" t="b">
        <f>'0_Configuration'!$C$10</f>
        <v>0</v>
      </c>
      <c r="AN44" s="3" t="s">
        <v>355</v>
      </c>
      <c r="AO44" s="58" t="b">
        <f>'0_Configuration'!$C$17</f>
        <v>0</v>
      </c>
      <c r="AP44" s="3">
        <f>_xlfn.XLOOKUP(Tab_Def_Flows[[#This Row],[ODYM_Good_Type]],Tab_Configuration[Value],Tab_Configuration[ODYM_ID],,0,)</f>
        <v>0</v>
      </c>
      <c r="AQ44" s="58" t="b">
        <f>'0_Configuration'!$C$24</f>
        <v>0</v>
      </c>
      <c r="AR44" s="3"/>
      <c r="AS44" s="58" t="b">
        <f>'0_Configuration'!$C$29</f>
        <v>1</v>
      </c>
      <c r="AT44" s="3" t="s">
        <v>369</v>
      </c>
      <c r="AU44" s="3" t="str">
        <f>IF(Tab_Def_Flows[[#This Row],[ODYM_time_(t)]],"t,","")&amp;IF(Tab_Def_Flows[[#This Row],[ODYM_Region_(r)]],"r,","")&amp;IF(Tab_Def_Flows[[#This Row],[ODYM_process_(p)]],"p,","")&amp;IF(Tab_Def_Flows[[#This Row],[ODYM_Good_(g)2]],"g,","")&amp;IF(Tab_Def_Flows[[#This Row],[ODYM_material_(m)]],"m,","")&amp;IF(Tab_Def_Flows[[#This Row],[ODYM_element_(e)]],"e","")</f>
        <v>t,e</v>
      </c>
      <c r="AV4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5" spans="1:48" x14ac:dyDescent="0.25">
      <c r="A45" s="27" t="b">
        <v>0</v>
      </c>
      <c r="B45" s="13">
        <f>ROW()-1</f>
        <v>44</v>
      </c>
      <c r="C45" s="3" t="str">
        <f>"F_"&amp;LEFT(H45,2)&amp;"_"&amp;LEFT(J45,2)</f>
        <v>F_01_01</v>
      </c>
      <c r="D45" s="52"/>
      <c r="E45" s="10"/>
      <c r="F45" s="3"/>
      <c r="G45" s="23"/>
      <c r="H45" s="3" t="str">
        <f>_xlfn.XLOOKUP(G45,Tab_Def_Processes[Process_Name],Tab_Def_Processes[Process_ID],,0,)</f>
        <v>01</v>
      </c>
      <c r="I45" s="23"/>
      <c r="J45" s="6" t="str">
        <f>_xlfn.XLOOKUP(I45,Tab_Def_Processes[Process_Name],Tab_Def_Processes[Process_ID],,0,)</f>
        <v>01</v>
      </c>
      <c r="K45" s="23" t="s">
        <v>2</v>
      </c>
      <c r="L45" s="23" t="s">
        <v>2</v>
      </c>
      <c r="M45" s="23" t="s">
        <v>2</v>
      </c>
      <c r="N45" s="23" t="s">
        <v>2</v>
      </c>
      <c r="O45" s="23" t="s">
        <v>2</v>
      </c>
      <c r="P45" s="23" t="s">
        <v>2</v>
      </c>
      <c r="Q45" s="3" t="str">
        <f>Tab_Def_Flows[[#This Row],[Flow_ID]]&amp;"_E1"</f>
        <v>F_01_01_E1</v>
      </c>
      <c r="R45" s="25"/>
      <c r="S45" s="10"/>
      <c r="T45" s="3" t="str">
        <f>Tab_Def_Flows[[#This Row],[Flow_ID]]&amp;"_E2"</f>
        <v>F_01_01_E2</v>
      </c>
      <c r="U45" s="20"/>
      <c r="V45" s="10"/>
      <c r="W45" s="3" t="str">
        <f>Tab_Def_Flows[[#This Row],[Flow_ID]]&amp;"_E3"</f>
        <v>F_01_01_E3</v>
      </c>
      <c r="X45" s="20"/>
      <c r="Y45" s="10"/>
      <c r="Z45" s="3" t="str">
        <f>Tab_Def_Flows[[#This Row],[Flow_ID]]&amp;"_E4"</f>
        <v>F_01_01_E4</v>
      </c>
      <c r="AA45" s="20"/>
      <c r="AB45" s="10"/>
      <c r="AC45" s="3" t="str">
        <f>Tab_Def_Flows[[#This Row],[Flow_ID]]&amp;"_E5"</f>
        <v>F_01_01_E5</v>
      </c>
      <c r="AD45" s="25"/>
      <c r="AE45" s="10"/>
      <c r="AF45" s="3" t="str">
        <f>Tab_Def_Flows[[#This Row],[Flow_ID]]&amp;"_E6"</f>
        <v>F_01_01_E6</v>
      </c>
      <c r="AG45" s="25"/>
      <c r="AH45" s="10"/>
      <c r="AI45" s="58" t="b">
        <f>'0_Configuration'!$C$2</f>
        <v>1</v>
      </c>
      <c r="AJ45" s="3"/>
      <c r="AK45" s="58" t="b">
        <f>'0_Configuration'!$C$6</f>
        <v>0</v>
      </c>
      <c r="AL45" s="3" t="s">
        <v>355</v>
      </c>
      <c r="AM45" s="58" t="b">
        <f>'0_Configuration'!$C$10</f>
        <v>0</v>
      </c>
      <c r="AN45" s="3" t="s">
        <v>355</v>
      </c>
      <c r="AO45" s="58" t="b">
        <f>'0_Configuration'!$C$17</f>
        <v>0</v>
      </c>
      <c r="AP45" s="3">
        <f>_xlfn.XLOOKUP(Tab_Def_Flows[[#This Row],[ODYM_Good_Type]],Tab_Configuration[Value],Tab_Configuration[ODYM_ID],,0,)</f>
        <v>0</v>
      </c>
      <c r="AQ45" s="58" t="b">
        <f>'0_Configuration'!$C$24</f>
        <v>0</v>
      </c>
      <c r="AR45" s="3"/>
      <c r="AS45" s="58" t="b">
        <f>'0_Configuration'!$C$29</f>
        <v>1</v>
      </c>
      <c r="AT45" s="3" t="s">
        <v>369</v>
      </c>
      <c r="AU45" s="3" t="str">
        <f>IF(Tab_Def_Flows[[#This Row],[ODYM_time_(t)]],"t,","")&amp;IF(Tab_Def_Flows[[#This Row],[ODYM_Region_(r)]],"r,","")&amp;IF(Tab_Def_Flows[[#This Row],[ODYM_process_(p)]],"p,","")&amp;IF(Tab_Def_Flows[[#This Row],[ODYM_Good_(g)2]],"g,","")&amp;IF(Tab_Def_Flows[[#This Row],[ODYM_material_(m)]],"m,","")&amp;IF(Tab_Def_Flows[[#This Row],[ODYM_element_(e)]],"e","")</f>
        <v>t,e</v>
      </c>
      <c r="AV4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6" spans="1:48" x14ac:dyDescent="0.25">
      <c r="A46" s="27" t="b">
        <v>0</v>
      </c>
      <c r="B46" s="13">
        <f>ROW()-1</f>
        <v>45</v>
      </c>
      <c r="C46" s="3" t="str">
        <f>"F_"&amp;LEFT(H46,2)&amp;"_"&amp;LEFT(J46,2)</f>
        <v>F_01_01</v>
      </c>
      <c r="D46" s="52"/>
      <c r="E46" s="10"/>
      <c r="F46" s="3"/>
      <c r="G46" s="23"/>
      <c r="H46" s="3" t="str">
        <f>_xlfn.XLOOKUP(G46,Tab_Def_Processes[Process_Name],Tab_Def_Processes[Process_ID],,0,)</f>
        <v>01</v>
      </c>
      <c r="I46" s="23"/>
      <c r="J46" s="6" t="str">
        <f>_xlfn.XLOOKUP(I46,Tab_Def_Processes[Process_Name],Tab_Def_Processes[Process_ID],,0,)</f>
        <v>01</v>
      </c>
      <c r="K46" s="23" t="s">
        <v>2</v>
      </c>
      <c r="L46" s="23" t="s">
        <v>2</v>
      </c>
      <c r="M46" s="23" t="s">
        <v>2</v>
      </c>
      <c r="N46" s="23" t="s">
        <v>2</v>
      </c>
      <c r="O46" s="23" t="s">
        <v>2</v>
      </c>
      <c r="P46" s="23" t="s">
        <v>2</v>
      </c>
      <c r="Q46" s="3" t="str">
        <f>Tab_Def_Flows[[#This Row],[Flow_ID]]&amp;"_E1"</f>
        <v>F_01_01_E1</v>
      </c>
      <c r="R46" s="25"/>
      <c r="S46" s="10"/>
      <c r="T46" s="3" t="str">
        <f>Tab_Def_Flows[[#This Row],[Flow_ID]]&amp;"_E2"</f>
        <v>F_01_01_E2</v>
      </c>
      <c r="U46" s="20"/>
      <c r="V46" s="10"/>
      <c r="W46" s="3" t="str">
        <f>Tab_Def_Flows[[#This Row],[Flow_ID]]&amp;"_E3"</f>
        <v>F_01_01_E3</v>
      </c>
      <c r="X46" s="20"/>
      <c r="Y46" s="10"/>
      <c r="Z46" s="3" t="str">
        <f>Tab_Def_Flows[[#This Row],[Flow_ID]]&amp;"_E4"</f>
        <v>F_01_01_E4</v>
      </c>
      <c r="AA46" s="20"/>
      <c r="AB46" s="10"/>
      <c r="AC46" s="3" t="str">
        <f>Tab_Def_Flows[[#This Row],[Flow_ID]]&amp;"_E5"</f>
        <v>F_01_01_E5</v>
      </c>
      <c r="AD46" s="25"/>
      <c r="AE46" s="10"/>
      <c r="AF46" s="3" t="str">
        <f>Tab_Def_Flows[[#This Row],[Flow_ID]]&amp;"_E6"</f>
        <v>F_01_01_E6</v>
      </c>
      <c r="AG46" s="25"/>
      <c r="AH46" s="10"/>
      <c r="AI46" s="58" t="b">
        <f>'0_Configuration'!$C$2</f>
        <v>1</v>
      </c>
      <c r="AJ46" s="3"/>
      <c r="AK46" s="58" t="b">
        <f>'0_Configuration'!$C$6</f>
        <v>0</v>
      </c>
      <c r="AL46" s="3" t="s">
        <v>355</v>
      </c>
      <c r="AM46" s="58" t="b">
        <f>'0_Configuration'!$C$10</f>
        <v>0</v>
      </c>
      <c r="AN46" s="3" t="s">
        <v>355</v>
      </c>
      <c r="AO46" s="58" t="b">
        <f>'0_Configuration'!$C$17</f>
        <v>0</v>
      </c>
      <c r="AP46" s="3">
        <f>_xlfn.XLOOKUP(Tab_Def_Flows[[#This Row],[ODYM_Good_Type]],Tab_Configuration[Value],Tab_Configuration[ODYM_ID],,0,)</f>
        <v>0</v>
      </c>
      <c r="AQ46" s="58" t="b">
        <f>'0_Configuration'!$C$24</f>
        <v>0</v>
      </c>
      <c r="AR46" s="3"/>
      <c r="AS46" s="58" t="b">
        <f>'0_Configuration'!$C$29</f>
        <v>1</v>
      </c>
      <c r="AT46" s="3" t="s">
        <v>369</v>
      </c>
      <c r="AU46" s="3" t="str">
        <f>IF(Tab_Def_Flows[[#This Row],[ODYM_time_(t)]],"t,","")&amp;IF(Tab_Def_Flows[[#This Row],[ODYM_Region_(r)]],"r,","")&amp;IF(Tab_Def_Flows[[#This Row],[ODYM_process_(p)]],"p,","")&amp;IF(Tab_Def_Flows[[#This Row],[ODYM_Good_(g)2]],"g,","")&amp;IF(Tab_Def_Flows[[#This Row],[ODYM_material_(m)]],"m,","")&amp;IF(Tab_Def_Flows[[#This Row],[ODYM_element_(e)]],"e","")</f>
        <v>t,e</v>
      </c>
      <c r="AV4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7" spans="1:48" x14ac:dyDescent="0.25">
      <c r="A47" s="27" t="b">
        <v>0</v>
      </c>
      <c r="B47" s="13">
        <f t="shared" si="0"/>
        <v>46</v>
      </c>
      <c r="C47" s="3" t="str">
        <f t="shared" si="3"/>
        <v>F_01_01</v>
      </c>
      <c r="D47" s="52"/>
      <c r="E47" s="10"/>
      <c r="F47" s="3"/>
      <c r="G47" s="23"/>
      <c r="H47" s="3" t="str">
        <f>_xlfn.XLOOKUP(G47,Tab_Def_Processes[Process_Name],Tab_Def_Processes[Process_ID],,0,)</f>
        <v>01</v>
      </c>
      <c r="I47" s="23"/>
      <c r="J47" s="6" t="str">
        <f>_xlfn.XLOOKUP(I47,Tab_Def_Processes[Process_Name],Tab_Def_Processes[Process_ID],,0,)</f>
        <v>01</v>
      </c>
      <c r="K47" s="23" t="s">
        <v>2</v>
      </c>
      <c r="L47" s="23" t="s">
        <v>2</v>
      </c>
      <c r="M47" s="23" t="s">
        <v>2</v>
      </c>
      <c r="N47" s="23" t="s">
        <v>2</v>
      </c>
      <c r="O47" s="23" t="s">
        <v>2</v>
      </c>
      <c r="P47" s="23" t="s">
        <v>2</v>
      </c>
      <c r="Q47" s="3" t="str">
        <f>Tab_Def_Flows[[#This Row],[Flow_ID]]&amp;"_E1"</f>
        <v>F_01_01_E1</v>
      </c>
      <c r="R47" s="25"/>
      <c r="S47" s="10"/>
      <c r="T47" s="3" t="str">
        <f>Tab_Def_Flows[[#This Row],[Flow_ID]]&amp;"_E2"</f>
        <v>F_01_01_E2</v>
      </c>
      <c r="U47" s="20"/>
      <c r="V47" s="10"/>
      <c r="W47" s="3" t="str">
        <f>Tab_Def_Flows[[#This Row],[Flow_ID]]&amp;"_E3"</f>
        <v>F_01_01_E3</v>
      </c>
      <c r="X47" s="20"/>
      <c r="Y47" s="10"/>
      <c r="Z47" s="3" t="str">
        <f>Tab_Def_Flows[[#This Row],[Flow_ID]]&amp;"_E4"</f>
        <v>F_01_01_E4</v>
      </c>
      <c r="AA47" s="20"/>
      <c r="AB47" s="10"/>
      <c r="AC47" s="3" t="str">
        <f>Tab_Def_Flows[[#This Row],[Flow_ID]]&amp;"_E5"</f>
        <v>F_01_01_E5</v>
      </c>
      <c r="AD47" s="25"/>
      <c r="AE47" s="10"/>
      <c r="AF47" s="3" t="str">
        <f>Tab_Def_Flows[[#This Row],[Flow_ID]]&amp;"_E6"</f>
        <v>F_01_01_E6</v>
      </c>
      <c r="AG47" s="25"/>
      <c r="AH47" s="10"/>
      <c r="AI47" s="58" t="b">
        <f>'0_Configuration'!$C$2</f>
        <v>1</v>
      </c>
      <c r="AJ47" s="3"/>
      <c r="AK47" s="58" t="b">
        <f>'0_Configuration'!$C$6</f>
        <v>0</v>
      </c>
      <c r="AL47" s="3" t="s">
        <v>355</v>
      </c>
      <c r="AM47" s="58" t="b">
        <f>'0_Configuration'!$C$10</f>
        <v>0</v>
      </c>
      <c r="AN47" s="3" t="s">
        <v>355</v>
      </c>
      <c r="AO47" s="58" t="b">
        <f>'0_Configuration'!$C$17</f>
        <v>0</v>
      </c>
      <c r="AP47" s="3">
        <f>_xlfn.XLOOKUP(Tab_Def_Flows[[#This Row],[ODYM_Good_Type]],Tab_Configuration[Value],Tab_Configuration[ODYM_ID],,0,)</f>
        <v>0</v>
      </c>
      <c r="AQ47" s="58" t="b">
        <f>'0_Configuration'!$C$24</f>
        <v>0</v>
      </c>
      <c r="AR47" s="3"/>
      <c r="AS47" s="58" t="b">
        <f>'0_Configuration'!$C$29</f>
        <v>1</v>
      </c>
      <c r="AT47" s="3" t="s">
        <v>369</v>
      </c>
      <c r="AU47" s="3" t="str">
        <f>IF(Tab_Def_Flows[[#This Row],[ODYM_time_(t)]],"t,","")&amp;IF(Tab_Def_Flows[[#This Row],[ODYM_Region_(r)]],"r,","")&amp;IF(Tab_Def_Flows[[#This Row],[ODYM_process_(p)]],"p,","")&amp;IF(Tab_Def_Flows[[#This Row],[ODYM_Good_(g)2]],"g,","")&amp;IF(Tab_Def_Flows[[#This Row],[ODYM_material_(m)]],"m,","")&amp;IF(Tab_Def_Flows[[#This Row],[ODYM_element_(e)]],"e","")</f>
        <v>t,e</v>
      </c>
      <c r="AV4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8" spans="1:48" x14ac:dyDescent="0.25">
      <c r="A48" s="27" t="b">
        <v>0</v>
      </c>
      <c r="B48" s="13">
        <f t="shared" si="0"/>
        <v>47</v>
      </c>
      <c r="C48" s="3" t="str">
        <f t="shared" si="3"/>
        <v>F_01_01</v>
      </c>
      <c r="D48" s="52"/>
      <c r="E48" s="10"/>
      <c r="F48" s="3"/>
      <c r="G48" s="23"/>
      <c r="H48" s="3" t="str">
        <f>_xlfn.XLOOKUP(G48,Tab_Def_Processes[Process_Name],Tab_Def_Processes[Process_ID],,0,)</f>
        <v>01</v>
      </c>
      <c r="I48" s="23"/>
      <c r="J48" s="6" t="str">
        <f>_xlfn.XLOOKUP(I48,Tab_Def_Processes[Process_Name],Tab_Def_Processes[Process_ID],,0,)</f>
        <v>01</v>
      </c>
      <c r="K48" s="23" t="s">
        <v>2</v>
      </c>
      <c r="L48" s="23" t="s">
        <v>2</v>
      </c>
      <c r="M48" s="23" t="s">
        <v>2</v>
      </c>
      <c r="N48" s="23" t="s">
        <v>2</v>
      </c>
      <c r="O48" s="23" t="s">
        <v>2</v>
      </c>
      <c r="P48" s="23" t="s">
        <v>2</v>
      </c>
      <c r="Q48" s="3" t="str">
        <f>Tab_Def_Flows[[#This Row],[Flow_ID]]&amp;"_E1"</f>
        <v>F_01_01_E1</v>
      </c>
      <c r="R48" s="25"/>
      <c r="S48" s="10"/>
      <c r="T48" s="3" t="str">
        <f>Tab_Def_Flows[[#This Row],[Flow_ID]]&amp;"_E2"</f>
        <v>F_01_01_E2</v>
      </c>
      <c r="U48" s="20"/>
      <c r="V48" s="10"/>
      <c r="W48" s="3" t="str">
        <f>Tab_Def_Flows[[#This Row],[Flow_ID]]&amp;"_E3"</f>
        <v>F_01_01_E3</v>
      </c>
      <c r="X48" s="20"/>
      <c r="Y48" s="10"/>
      <c r="Z48" s="3" t="str">
        <f>Tab_Def_Flows[[#This Row],[Flow_ID]]&amp;"_E4"</f>
        <v>F_01_01_E4</v>
      </c>
      <c r="AA48" s="20"/>
      <c r="AB48" s="10"/>
      <c r="AC48" s="3" t="str">
        <f>Tab_Def_Flows[[#This Row],[Flow_ID]]&amp;"_E5"</f>
        <v>F_01_01_E5</v>
      </c>
      <c r="AD48" s="25"/>
      <c r="AE48" s="10"/>
      <c r="AF48" s="3" t="str">
        <f>Tab_Def_Flows[[#This Row],[Flow_ID]]&amp;"_E6"</f>
        <v>F_01_01_E6</v>
      </c>
      <c r="AG48" s="25"/>
      <c r="AH48" s="10"/>
      <c r="AI48" s="58" t="b">
        <f>'0_Configuration'!$C$2</f>
        <v>1</v>
      </c>
      <c r="AJ48" s="3"/>
      <c r="AK48" s="58" t="b">
        <f>'0_Configuration'!$C$6</f>
        <v>0</v>
      </c>
      <c r="AL48" s="3" t="s">
        <v>355</v>
      </c>
      <c r="AM48" s="58" t="b">
        <f>'0_Configuration'!$C$10</f>
        <v>0</v>
      </c>
      <c r="AN48" s="3" t="s">
        <v>355</v>
      </c>
      <c r="AO48" s="58" t="b">
        <f>'0_Configuration'!$C$17</f>
        <v>0</v>
      </c>
      <c r="AP48" s="3">
        <f>_xlfn.XLOOKUP(Tab_Def_Flows[[#This Row],[ODYM_Good_Type]],Tab_Configuration[Value],Tab_Configuration[ODYM_ID],,0,)</f>
        <v>0</v>
      </c>
      <c r="AQ48" s="58" t="b">
        <f>'0_Configuration'!$C$24</f>
        <v>0</v>
      </c>
      <c r="AR48" s="3"/>
      <c r="AS48" s="58" t="b">
        <f>'0_Configuration'!$C$29</f>
        <v>1</v>
      </c>
      <c r="AT48" s="3" t="s">
        <v>369</v>
      </c>
      <c r="AU48" s="3" t="str">
        <f>IF(Tab_Def_Flows[[#This Row],[ODYM_time_(t)]],"t,","")&amp;IF(Tab_Def_Flows[[#This Row],[ODYM_Region_(r)]],"r,","")&amp;IF(Tab_Def_Flows[[#This Row],[ODYM_process_(p)]],"p,","")&amp;IF(Tab_Def_Flows[[#This Row],[ODYM_Good_(g)2]],"g,","")&amp;IF(Tab_Def_Flows[[#This Row],[ODYM_material_(m)]],"m,","")&amp;IF(Tab_Def_Flows[[#This Row],[ODYM_element_(e)]],"e","")</f>
        <v>t,e</v>
      </c>
      <c r="AV4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9" spans="1:48" x14ac:dyDescent="0.25">
      <c r="A49" s="27" t="b">
        <v>0</v>
      </c>
      <c r="B49" s="13">
        <f t="shared" si="0"/>
        <v>48</v>
      </c>
      <c r="C49" s="3" t="str">
        <f t="shared" si="3"/>
        <v>F_01_01</v>
      </c>
      <c r="D49" s="52"/>
      <c r="E49" s="10"/>
      <c r="F49" s="3"/>
      <c r="G49" s="23"/>
      <c r="H49" s="3" t="str">
        <f>_xlfn.XLOOKUP(G49,Tab_Def_Processes[Process_Name],Tab_Def_Processes[Process_ID],,0,)</f>
        <v>01</v>
      </c>
      <c r="I49" s="23"/>
      <c r="J49" s="6" t="str">
        <f>_xlfn.XLOOKUP(I49,Tab_Def_Processes[Process_Name],Tab_Def_Processes[Process_ID],,0,)</f>
        <v>01</v>
      </c>
      <c r="K49" s="23" t="s">
        <v>2</v>
      </c>
      <c r="L49" s="23" t="s">
        <v>2</v>
      </c>
      <c r="M49" s="23" t="s">
        <v>2</v>
      </c>
      <c r="N49" s="23" t="s">
        <v>2</v>
      </c>
      <c r="O49" s="23" t="s">
        <v>2</v>
      </c>
      <c r="P49" s="23" t="s">
        <v>2</v>
      </c>
      <c r="Q49" s="3" t="str">
        <f>Tab_Def_Flows[[#This Row],[Flow_ID]]&amp;"_E1"</f>
        <v>F_01_01_E1</v>
      </c>
      <c r="R49" s="25"/>
      <c r="S49" s="10"/>
      <c r="T49" s="3" t="str">
        <f>Tab_Def_Flows[[#This Row],[Flow_ID]]&amp;"_E2"</f>
        <v>F_01_01_E2</v>
      </c>
      <c r="U49" s="20"/>
      <c r="V49" s="10"/>
      <c r="W49" s="3" t="str">
        <f>Tab_Def_Flows[[#This Row],[Flow_ID]]&amp;"_E3"</f>
        <v>F_01_01_E3</v>
      </c>
      <c r="X49" s="20"/>
      <c r="Y49" s="10"/>
      <c r="Z49" s="3" t="str">
        <f>Tab_Def_Flows[[#This Row],[Flow_ID]]&amp;"_E4"</f>
        <v>F_01_01_E4</v>
      </c>
      <c r="AA49" s="20"/>
      <c r="AB49" s="10"/>
      <c r="AC49" s="3" t="str">
        <f>Tab_Def_Flows[[#This Row],[Flow_ID]]&amp;"_E5"</f>
        <v>F_01_01_E5</v>
      </c>
      <c r="AD49" s="25"/>
      <c r="AE49" s="10"/>
      <c r="AF49" s="3" t="str">
        <f>Tab_Def_Flows[[#This Row],[Flow_ID]]&amp;"_E6"</f>
        <v>F_01_01_E6</v>
      </c>
      <c r="AG49" s="25"/>
      <c r="AH49" s="10"/>
      <c r="AI49" s="58" t="b">
        <f>'0_Configuration'!$C$2</f>
        <v>1</v>
      </c>
      <c r="AJ49" s="3"/>
      <c r="AK49" s="58" t="b">
        <f>'0_Configuration'!$C$6</f>
        <v>0</v>
      </c>
      <c r="AL49" s="3" t="s">
        <v>355</v>
      </c>
      <c r="AM49" s="58" t="b">
        <f>'0_Configuration'!$C$10</f>
        <v>0</v>
      </c>
      <c r="AN49" s="3" t="s">
        <v>355</v>
      </c>
      <c r="AO49" s="58" t="b">
        <f>'0_Configuration'!$C$17</f>
        <v>0</v>
      </c>
      <c r="AP49" s="3">
        <f>_xlfn.XLOOKUP(Tab_Def_Flows[[#This Row],[ODYM_Good_Type]],Tab_Configuration[Value],Tab_Configuration[ODYM_ID],,0,)</f>
        <v>0</v>
      </c>
      <c r="AQ49" s="58" t="b">
        <f>'0_Configuration'!$C$24</f>
        <v>0</v>
      </c>
      <c r="AR49" s="3"/>
      <c r="AS49" s="58" t="b">
        <f>'0_Configuration'!$C$29</f>
        <v>1</v>
      </c>
      <c r="AT49" s="3" t="s">
        <v>369</v>
      </c>
      <c r="AU49" s="3" t="str">
        <f>IF(Tab_Def_Flows[[#This Row],[ODYM_time_(t)]],"t,","")&amp;IF(Tab_Def_Flows[[#This Row],[ODYM_Region_(r)]],"r,","")&amp;IF(Tab_Def_Flows[[#This Row],[ODYM_process_(p)]],"p,","")&amp;IF(Tab_Def_Flows[[#This Row],[ODYM_Good_(g)2]],"g,","")&amp;IF(Tab_Def_Flows[[#This Row],[ODYM_material_(m)]],"m,","")&amp;IF(Tab_Def_Flows[[#This Row],[ODYM_element_(e)]],"e","")</f>
        <v>t,e</v>
      </c>
      <c r="AV4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0" spans="1:48" x14ac:dyDescent="0.25">
      <c r="A50" s="27" t="b">
        <v>0</v>
      </c>
      <c r="B50" s="13">
        <f t="shared" si="0"/>
        <v>49</v>
      </c>
      <c r="C50" s="3" t="str">
        <f t="shared" si="3"/>
        <v>F_01_01</v>
      </c>
      <c r="D50" s="52"/>
      <c r="E50" s="10"/>
      <c r="F50" s="3"/>
      <c r="G50" s="23"/>
      <c r="H50" s="3" t="str">
        <f>_xlfn.XLOOKUP(G50,Tab_Def_Processes[Process_Name],Tab_Def_Processes[Process_ID],,0,)</f>
        <v>01</v>
      </c>
      <c r="I50" s="23"/>
      <c r="J50" s="6" t="str">
        <f>_xlfn.XLOOKUP(I50,Tab_Def_Processes[Process_Name],Tab_Def_Processes[Process_ID],,0,)</f>
        <v>01</v>
      </c>
      <c r="K50" s="23" t="s">
        <v>2</v>
      </c>
      <c r="L50" s="23" t="s">
        <v>2</v>
      </c>
      <c r="M50" s="23" t="s">
        <v>2</v>
      </c>
      <c r="N50" s="23" t="s">
        <v>2</v>
      </c>
      <c r="O50" s="23" t="s">
        <v>2</v>
      </c>
      <c r="P50" s="23" t="s">
        <v>2</v>
      </c>
      <c r="Q50" s="3" t="str">
        <f>Tab_Def_Flows[[#This Row],[Flow_ID]]&amp;"_E1"</f>
        <v>F_01_01_E1</v>
      </c>
      <c r="R50" s="25"/>
      <c r="S50" s="10"/>
      <c r="T50" s="3" t="str">
        <f>Tab_Def_Flows[[#This Row],[Flow_ID]]&amp;"_E2"</f>
        <v>F_01_01_E2</v>
      </c>
      <c r="U50" s="20"/>
      <c r="V50" s="10"/>
      <c r="W50" s="3" t="str">
        <f>Tab_Def_Flows[[#This Row],[Flow_ID]]&amp;"_E3"</f>
        <v>F_01_01_E3</v>
      </c>
      <c r="X50" s="20"/>
      <c r="Y50" s="10"/>
      <c r="Z50" s="3" t="str">
        <f>Tab_Def_Flows[[#This Row],[Flow_ID]]&amp;"_E4"</f>
        <v>F_01_01_E4</v>
      </c>
      <c r="AA50" s="20"/>
      <c r="AB50" s="10"/>
      <c r="AC50" s="3" t="str">
        <f>Tab_Def_Flows[[#This Row],[Flow_ID]]&amp;"_E5"</f>
        <v>F_01_01_E5</v>
      </c>
      <c r="AD50" s="25"/>
      <c r="AE50" s="10"/>
      <c r="AF50" s="3" t="str">
        <f>Tab_Def_Flows[[#This Row],[Flow_ID]]&amp;"_E6"</f>
        <v>F_01_01_E6</v>
      </c>
      <c r="AG50" s="25"/>
      <c r="AH50" s="10"/>
      <c r="AI50" s="58" t="b">
        <f>'0_Configuration'!$C$2</f>
        <v>1</v>
      </c>
      <c r="AJ50" s="3"/>
      <c r="AK50" s="58" t="b">
        <f>'0_Configuration'!$C$6</f>
        <v>0</v>
      </c>
      <c r="AL50" s="3" t="s">
        <v>355</v>
      </c>
      <c r="AM50" s="58" t="b">
        <f>'0_Configuration'!$C$10</f>
        <v>0</v>
      </c>
      <c r="AN50" s="3" t="s">
        <v>355</v>
      </c>
      <c r="AO50" s="58" t="b">
        <f>'0_Configuration'!$C$17</f>
        <v>0</v>
      </c>
      <c r="AP50" s="3">
        <f>_xlfn.XLOOKUP(Tab_Def_Flows[[#This Row],[ODYM_Good_Type]],Tab_Configuration[Value],Tab_Configuration[ODYM_ID],,0,)</f>
        <v>0</v>
      </c>
      <c r="AQ50" s="58" t="b">
        <f>'0_Configuration'!$C$24</f>
        <v>0</v>
      </c>
      <c r="AR50" s="3"/>
      <c r="AS50" s="58" t="b">
        <f>'0_Configuration'!$C$29</f>
        <v>1</v>
      </c>
      <c r="AT50" s="3" t="s">
        <v>369</v>
      </c>
      <c r="AU50" s="3" t="str">
        <f>IF(Tab_Def_Flows[[#This Row],[ODYM_time_(t)]],"t,","")&amp;IF(Tab_Def_Flows[[#This Row],[ODYM_Region_(r)]],"r,","")&amp;IF(Tab_Def_Flows[[#This Row],[ODYM_process_(p)]],"p,","")&amp;IF(Tab_Def_Flows[[#This Row],[ODYM_Good_(g)2]],"g,","")&amp;IF(Tab_Def_Flows[[#This Row],[ODYM_material_(m)]],"m,","")&amp;IF(Tab_Def_Flows[[#This Row],[ODYM_element_(e)]],"e","")</f>
        <v>t,e</v>
      </c>
      <c r="AV5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1" spans="1:48" x14ac:dyDescent="0.25">
      <c r="A51" s="27" t="b">
        <v>0</v>
      </c>
      <c r="B51" s="13">
        <f t="shared" si="0"/>
        <v>50</v>
      </c>
      <c r="C51" s="3" t="str">
        <f t="shared" si="3"/>
        <v>F_01_01</v>
      </c>
      <c r="D51" s="52"/>
      <c r="E51" s="10"/>
      <c r="F51" s="3"/>
      <c r="G51" s="23"/>
      <c r="H51" s="3" t="str">
        <f>_xlfn.XLOOKUP(G51,Tab_Def_Processes[Process_Name],Tab_Def_Processes[Process_ID],,0,)</f>
        <v>01</v>
      </c>
      <c r="I51" s="23"/>
      <c r="J51" s="6" t="str">
        <f>_xlfn.XLOOKUP(I51,Tab_Def_Processes[Process_Name],Tab_Def_Processes[Process_ID],,0,)</f>
        <v>01</v>
      </c>
      <c r="K51" s="23" t="s">
        <v>2</v>
      </c>
      <c r="L51" s="23" t="s">
        <v>2</v>
      </c>
      <c r="M51" s="23" t="s">
        <v>2</v>
      </c>
      <c r="N51" s="23" t="s">
        <v>2</v>
      </c>
      <c r="O51" s="23" t="s">
        <v>2</v>
      </c>
      <c r="P51" s="23" t="s">
        <v>2</v>
      </c>
      <c r="Q51" s="3" t="str">
        <f>Tab_Def_Flows[[#This Row],[Flow_ID]]&amp;"_E1"</f>
        <v>F_01_01_E1</v>
      </c>
      <c r="R51" s="25"/>
      <c r="S51" s="10"/>
      <c r="T51" s="3" t="str">
        <f>Tab_Def_Flows[[#This Row],[Flow_ID]]&amp;"_E2"</f>
        <v>F_01_01_E2</v>
      </c>
      <c r="U51" s="20"/>
      <c r="V51" s="10"/>
      <c r="W51" s="3" t="str">
        <f>Tab_Def_Flows[[#This Row],[Flow_ID]]&amp;"_E3"</f>
        <v>F_01_01_E3</v>
      </c>
      <c r="X51" s="20"/>
      <c r="Y51" s="10"/>
      <c r="Z51" s="3" t="str">
        <f>Tab_Def_Flows[[#This Row],[Flow_ID]]&amp;"_E4"</f>
        <v>F_01_01_E4</v>
      </c>
      <c r="AA51" s="20"/>
      <c r="AB51" s="10"/>
      <c r="AC51" s="3" t="str">
        <f>Tab_Def_Flows[[#This Row],[Flow_ID]]&amp;"_E5"</f>
        <v>F_01_01_E5</v>
      </c>
      <c r="AD51" s="25"/>
      <c r="AE51" s="10"/>
      <c r="AF51" s="3" t="str">
        <f>Tab_Def_Flows[[#This Row],[Flow_ID]]&amp;"_E6"</f>
        <v>F_01_01_E6</v>
      </c>
      <c r="AG51" s="25"/>
      <c r="AH51" s="10"/>
      <c r="AI51" s="58" t="b">
        <f>'0_Configuration'!$C$2</f>
        <v>1</v>
      </c>
      <c r="AJ51" s="3"/>
      <c r="AK51" s="58" t="b">
        <f>'0_Configuration'!$C$6</f>
        <v>0</v>
      </c>
      <c r="AL51" s="3" t="s">
        <v>355</v>
      </c>
      <c r="AM51" s="58" t="b">
        <f>'0_Configuration'!$C$10</f>
        <v>0</v>
      </c>
      <c r="AN51" s="3" t="s">
        <v>355</v>
      </c>
      <c r="AO51" s="58" t="b">
        <f>'0_Configuration'!$C$17</f>
        <v>0</v>
      </c>
      <c r="AP51" s="3">
        <f>_xlfn.XLOOKUP(Tab_Def_Flows[[#This Row],[ODYM_Good_Type]],Tab_Configuration[Value],Tab_Configuration[ODYM_ID],,0,)</f>
        <v>0</v>
      </c>
      <c r="AQ51" s="58" t="b">
        <f>'0_Configuration'!$C$24</f>
        <v>0</v>
      </c>
      <c r="AR51" s="3"/>
      <c r="AS51" s="58" t="b">
        <f>'0_Configuration'!$C$29</f>
        <v>1</v>
      </c>
      <c r="AT51" s="3" t="s">
        <v>369</v>
      </c>
      <c r="AU51" s="3" t="str">
        <f>IF(Tab_Def_Flows[[#This Row],[ODYM_time_(t)]],"t,","")&amp;IF(Tab_Def_Flows[[#This Row],[ODYM_Region_(r)]],"r,","")&amp;IF(Tab_Def_Flows[[#This Row],[ODYM_process_(p)]],"p,","")&amp;IF(Tab_Def_Flows[[#This Row],[ODYM_Good_(g)2]],"g,","")&amp;IF(Tab_Def_Flows[[#This Row],[ODYM_material_(m)]],"m,","")&amp;IF(Tab_Def_Flows[[#This Row],[ODYM_element_(e)]],"e","")</f>
        <v>t,e</v>
      </c>
      <c r="AV5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2" spans="1:48" x14ac:dyDescent="0.25">
      <c r="A52" s="27" t="b">
        <v>0</v>
      </c>
      <c r="B52" s="13">
        <f t="shared" si="0"/>
        <v>51</v>
      </c>
      <c r="C52" s="3" t="str">
        <f t="shared" si="3"/>
        <v>F_01_01</v>
      </c>
      <c r="D52" s="52"/>
      <c r="E52" s="10"/>
      <c r="F52" s="3"/>
      <c r="G52" s="23"/>
      <c r="H52" s="3" t="str">
        <f>_xlfn.XLOOKUP(G52,Tab_Def_Processes[Process_Name],Tab_Def_Processes[Process_ID],,0,)</f>
        <v>01</v>
      </c>
      <c r="I52" s="23"/>
      <c r="J52" s="6" t="str">
        <f>_xlfn.XLOOKUP(I52,Tab_Def_Processes[Process_Name],Tab_Def_Processes[Process_ID],,0,)</f>
        <v>01</v>
      </c>
      <c r="K52" s="23" t="s">
        <v>2</v>
      </c>
      <c r="L52" s="23" t="s">
        <v>2</v>
      </c>
      <c r="M52" s="23" t="s">
        <v>2</v>
      </c>
      <c r="N52" s="23" t="s">
        <v>2</v>
      </c>
      <c r="O52" s="23" t="s">
        <v>2</v>
      </c>
      <c r="P52" s="23" t="s">
        <v>2</v>
      </c>
      <c r="Q52" s="3" t="str">
        <f>Tab_Def_Flows[[#This Row],[Flow_ID]]&amp;"_E1"</f>
        <v>F_01_01_E1</v>
      </c>
      <c r="R52" s="25"/>
      <c r="S52" s="10"/>
      <c r="T52" s="3" t="str">
        <f>Tab_Def_Flows[[#This Row],[Flow_ID]]&amp;"_E2"</f>
        <v>F_01_01_E2</v>
      </c>
      <c r="U52" s="20"/>
      <c r="V52" s="10"/>
      <c r="W52" s="3" t="str">
        <f>Tab_Def_Flows[[#This Row],[Flow_ID]]&amp;"_E3"</f>
        <v>F_01_01_E3</v>
      </c>
      <c r="X52" s="20"/>
      <c r="Y52" s="10"/>
      <c r="Z52" s="3" t="str">
        <f>Tab_Def_Flows[[#This Row],[Flow_ID]]&amp;"_E4"</f>
        <v>F_01_01_E4</v>
      </c>
      <c r="AA52" s="20"/>
      <c r="AB52" s="10"/>
      <c r="AC52" s="3" t="str">
        <f>Tab_Def_Flows[[#This Row],[Flow_ID]]&amp;"_E5"</f>
        <v>F_01_01_E5</v>
      </c>
      <c r="AD52" s="25"/>
      <c r="AE52" s="10"/>
      <c r="AF52" s="3" t="str">
        <f>Tab_Def_Flows[[#This Row],[Flow_ID]]&amp;"_E6"</f>
        <v>F_01_01_E6</v>
      </c>
      <c r="AG52" s="25"/>
      <c r="AH52" s="10"/>
      <c r="AI52" s="58" t="b">
        <f>'0_Configuration'!$C$2</f>
        <v>1</v>
      </c>
      <c r="AJ52" s="3"/>
      <c r="AK52" s="58" t="b">
        <f>'0_Configuration'!$C$6</f>
        <v>0</v>
      </c>
      <c r="AL52" s="3" t="s">
        <v>355</v>
      </c>
      <c r="AM52" s="58" t="b">
        <f>'0_Configuration'!$C$10</f>
        <v>0</v>
      </c>
      <c r="AN52" s="3" t="s">
        <v>355</v>
      </c>
      <c r="AO52" s="58" t="b">
        <f>'0_Configuration'!$C$17</f>
        <v>0</v>
      </c>
      <c r="AP52" s="3">
        <f>_xlfn.XLOOKUP(Tab_Def_Flows[[#This Row],[ODYM_Good_Type]],Tab_Configuration[Value],Tab_Configuration[ODYM_ID],,0,)</f>
        <v>0</v>
      </c>
      <c r="AQ52" s="58" t="b">
        <f>'0_Configuration'!$C$24</f>
        <v>0</v>
      </c>
      <c r="AR52" s="3"/>
      <c r="AS52" s="58" t="b">
        <f>'0_Configuration'!$C$29</f>
        <v>1</v>
      </c>
      <c r="AT52" s="3" t="s">
        <v>369</v>
      </c>
      <c r="AU52" s="3" t="str">
        <f>IF(Tab_Def_Flows[[#This Row],[ODYM_time_(t)]],"t,","")&amp;IF(Tab_Def_Flows[[#This Row],[ODYM_Region_(r)]],"r,","")&amp;IF(Tab_Def_Flows[[#This Row],[ODYM_process_(p)]],"p,","")&amp;IF(Tab_Def_Flows[[#This Row],[ODYM_Good_(g)2]],"g,","")&amp;IF(Tab_Def_Flows[[#This Row],[ODYM_material_(m)]],"m,","")&amp;IF(Tab_Def_Flows[[#This Row],[ODYM_element_(e)]],"e","")</f>
        <v>t,e</v>
      </c>
      <c r="AV5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3" spans="1:48" x14ac:dyDescent="0.25">
      <c r="A53" s="27" t="b">
        <v>0</v>
      </c>
      <c r="B53" s="13">
        <f t="shared" si="0"/>
        <v>52</v>
      </c>
      <c r="C53" s="3" t="str">
        <f t="shared" si="3"/>
        <v>F_01_01</v>
      </c>
      <c r="D53" s="52"/>
      <c r="E53" s="10"/>
      <c r="F53" s="3"/>
      <c r="G53" s="23"/>
      <c r="H53" s="3" t="str">
        <f>_xlfn.XLOOKUP(G53,Tab_Def_Processes[Process_Name],Tab_Def_Processes[Process_ID],,0,)</f>
        <v>01</v>
      </c>
      <c r="I53" s="23"/>
      <c r="J53" s="6" t="str">
        <f>_xlfn.XLOOKUP(I53,Tab_Def_Processes[Process_Name],Tab_Def_Processes[Process_ID],,0,)</f>
        <v>01</v>
      </c>
      <c r="K53" s="23" t="s">
        <v>2</v>
      </c>
      <c r="L53" s="23" t="s">
        <v>2</v>
      </c>
      <c r="M53" s="23" t="s">
        <v>2</v>
      </c>
      <c r="N53" s="23" t="s">
        <v>2</v>
      </c>
      <c r="O53" s="23" t="s">
        <v>2</v>
      </c>
      <c r="P53" s="23" t="s">
        <v>2</v>
      </c>
      <c r="Q53" s="3" t="str">
        <f>Tab_Def_Flows[[#This Row],[Flow_ID]]&amp;"_E1"</f>
        <v>F_01_01_E1</v>
      </c>
      <c r="R53" s="25"/>
      <c r="S53" s="10"/>
      <c r="T53" s="3" t="str">
        <f>Tab_Def_Flows[[#This Row],[Flow_ID]]&amp;"_E2"</f>
        <v>F_01_01_E2</v>
      </c>
      <c r="U53" s="20"/>
      <c r="V53" s="10"/>
      <c r="W53" s="3" t="str">
        <f>Tab_Def_Flows[[#This Row],[Flow_ID]]&amp;"_E3"</f>
        <v>F_01_01_E3</v>
      </c>
      <c r="X53" s="20"/>
      <c r="Y53" s="10"/>
      <c r="Z53" s="3" t="str">
        <f>Tab_Def_Flows[[#This Row],[Flow_ID]]&amp;"_E4"</f>
        <v>F_01_01_E4</v>
      </c>
      <c r="AA53" s="20"/>
      <c r="AB53" s="10"/>
      <c r="AC53" s="3" t="str">
        <f>Tab_Def_Flows[[#This Row],[Flow_ID]]&amp;"_E5"</f>
        <v>F_01_01_E5</v>
      </c>
      <c r="AD53" s="25"/>
      <c r="AE53" s="10"/>
      <c r="AF53" s="3" t="str">
        <f>Tab_Def_Flows[[#This Row],[Flow_ID]]&amp;"_E6"</f>
        <v>F_01_01_E6</v>
      </c>
      <c r="AG53" s="25"/>
      <c r="AH53" s="10"/>
      <c r="AI53" s="58" t="b">
        <f>'0_Configuration'!$C$2</f>
        <v>1</v>
      </c>
      <c r="AJ53" s="3"/>
      <c r="AK53" s="58" t="b">
        <f>'0_Configuration'!$C$6</f>
        <v>0</v>
      </c>
      <c r="AL53" s="3" t="s">
        <v>355</v>
      </c>
      <c r="AM53" s="58" t="b">
        <f>'0_Configuration'!$C$10</f>
        <v>0</v>
      </c>
      <c r="AN53" s="3" t="s">
        <v>355</v>
      </c>
      <c r="AO53" s="58" t="b">
        <f>'0_Configuration'!$C$17</f>
        <v>0</v>
      </c>
      <c r="AP53" s="3">
        <f>_xlfn.XLOOKUP(Tab_Def_Flows[[#This Row],[ODYM_Good_Type]],Tab_Configuration[Value],Tab_Configuration[ODYM_ID],,0,)</f>
        <v>0</v>
      </c>
      <c r="AQ53" s="58" t="b">
        <f>'0_Configuration'!$C$24</f>
        <v>0</v>
      </c>
      <c r="AR53" s="3"/>
      <c r="AS53" s="58" t="b">
        <f>'0_Configuration'!$C$29</f>
        <v>1</v>
      </c>
      <c r="AT53" s="3" t="s">
        <v>369</v>
      </c>
      <c r="AU53" s="3" t="str">
        <f>IF(Tab_Def_Flows[[#This Row],[ODYM_time_(t)]],"t,","")&amp;IF(Tab_Def_Flows[[#This Row],[ODYM_Region_(r)]],"r,","")&amp;IF(Tab_Def_Flows[[#This Row],[ODYM_process_(p)]],"p,","")&amp;IF(Tab_Def_Flows[[#This Row],[ODYM_Good_(g)2]],"g,","")&amp;IF(Tab_Def_Flows[[#This Row],[ODYM_material_(m)]],"m,","")&amp;IF(Tab_Def_Flows[[#This Row],[ODYM_element_(e)]],"e","")</f>
        <v>t,e</v>
      </c>
      <c r="AV5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4" spans="1:48" x14ac:dyDescent="0.25">
      <c r="A54" s="27" t="b">
        <v>0</v>
      </c>
      <c r="B54" s="13">
        <f t="shared" si="0"/>
        <v>53</v>
      </c>
      <c r="C54" s="3" t="str">
        <f t="shared" si="3"/>
        <v>F_01_01</v>
      </c>
      <c r="D54" s="52"/>
      <c r="E54" s="10"/>
      <c r="F54" s="3"/>
      <c r="G54" s="23"/>
      <c r="H54" s="3" t="str">
        <f>_xlfn.XLOOKUP(G54,Tab_Def_Processes[Process_Name],Tab_Def_Processes[Process_ID],,0,)</f>
        <v>01</v>
      </c>
      <c r="I54" s="23"/>
      <c r="J54" s="6" t="str">
        <f>_xlfn.XLOOKUP(I54,Tab_Def_Processes[Process_Name],Tab_Def_Processes[Process_ID],,0,)</f>
        <v>01</v>
      </c>
      <c r="K54" s="23" t="s">
        <v>2</v>
      </c>
      <c r="L54" s="23" t="s">
        <v>2</v>
      </c>
      <c r="M54" s="23" t="s">
        <v>2</v>
      </c>
      <c r="N54" s="23" t="s">
        <v>2</v>
      </c>
      <c r="O54" s="23" t="s">
        <v>2</v>
      </c>
      <c r="P54" s="23" t="s">
        <v>2</v>
      </c>
      <c r="Q54" s="3" t="str">
        <f>Tab_Def_Flows[[#This Row],[Flow_ID]]&amp;"_E1"</f>
        <v>F_01_01_E1</v>
      </c>
      <c r="R54" s="25"/>
      <c r="S54" s="10"/>
      <c r="T54" s="3" t="str">
        <f>Tab_Def_Flows[[#This Row],[Flow_ID]]&amp;"_E2"</f>
        <v>F_01_01_E2</v>
      </c>
      <c r="U54" s="20"/>
      <c r="V54" s="10"/>
      <c r="W54" s="3" t="str">
        <f>Tab_Def_Flows[[#This Row],[Flow_ID]]&amp;"_E3"</f>
        <v>F_01_01_E3</v>
      </c>
      <c r="X54" s="20"/>
      <c r="Y54" s="10"/>
      <c r="Z54" s="3" t="str">
        <f>Tab_Def_Flows[[#This Row],[Flow_ID]]&amp;"_E4"</f>
        <v>F_01_01_E4</v>
      </c>
      <c r="AA54" s="20"/>
      <c r="AB54" s="10"/>
      <c r="AC54" s="3" t="str">
        <f>Tab_Def_Flows[[#This Row],[Flow_ID]]&amp;"_E5"</f>
        <v>F_01_01_E5</v>
      </c>
      <c r="AD54" s="25"/>
      <c r="AE54" s="10"/>
      <c r="AF54" s="3" t="str">
        <f>Tab_Def_Flows[[#This Row],[Flow_ID]]&amp;"_E6"</f>
        <v>F_01_01_E6</v>
      </c>
      <c r="AG54" s="25"/>
      <c r="AH54" s="10"/>
      <c r="AI54" s="58" t="b">
        <f>'0_Configuration'!$C$2</f>
        <v>1</v>
      </c>
      <c r="AJ54" s="3"/>
      <c r="AK54" s="58" t="b">
        <f>'0_Configuration'!$C$6</f>
        <v>0</v>
      </c>
      <c r="AL54" s="3" t="s">
        <v>355</v>
      </c>
      <c r="AM54" s="58" t="b">
        <f>'0_Configuration'!$C$10</f>
        <v>0</v>
      </c>
      <c r="AN54" s="3" t="s">
        <v>355</v>
      </c>
      <c r="AO54" s="58" t="b">
        <f>'0_Configuration'!$C$17</f>
        <v>0</v>
      </c>
      <c r="AP54" s="3">
        <f>_xlfn.XLOOKUP(Tab_Def_Flows[[#This Row],[ODYM_Good_Type]],Tab_Configuration[Value],Tab_Configuration[ODYM_ID],,0,)</f>
        <v>0</v>
      </c>
      <c r="AQ54" s="58" t="b">
        <f>'0_Configuration'!$C$24</f>
        <v>0</v>
      </c>
      <c r="AR54" s="3"/>
      <c r="AS54" s="58" t="b">
        <f>'0_Configuration'!$C$29</f>
        <v>1</v>
      </c>
      <c r="AT54" s="3" t="s">
        <v>369</v>
      </c>
      <c r="AU54" s="3" t="str">
        <f>IF(Tab_Def_Flows[[#This Row],[ODYM_time_(t)]],"t,","")&amp;IF(Tab_Def_Flows[[#This Row],[ODYM_Region_(r)]],"r,","")&amp;IF(Tab_Def_Flows[[#This Row],[ODYM_process_(p)]],"p,","")&amp;IF(Tab_Def_Flows[[#This Row],[ODYM_Good_(g)2]],"g,","")&amp;IF(Tab_Def_Flows[[#This Row],[ODYM_material_(m)]],"m,","")&amp;IF(Tab_Def_Flows[[#This Row],[ODYM_element_(e)]],"e","")</f>
        <v>t,e</v>
      </c>
      <c r="AV5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5" spans="1:48" x14ac:dyDescent="0.25">
      <c r="A55" s="27" t="b">
        <v>0</v>
      </c>
      <c r="B55" s="13">
        <f t="shared" si="0"/>
        <v>54</v>
      </c>
      <c r="C55" s="3" t="str">
        <f t="shared" si="3"/>
        <v>F_01_01</v>
      </c>
      <c r="D55" s="52"/>
      <c r="E55" s="10"/>
      <c r="F55" s="3"/>
      <c r="G55" s="23"/>
      <c r="H55" s="3" t="str">
        <f>_xlfn.XLOOKUP(G55,Tab_Def_Processes[Process_Name],Tab_Def_Processes[Process_ID],,0,)</f>
        <v>01</v>
      </c>
      <c r="I55" s="23"/>
      <c r="J55" s="6" t="str">
        <f>_xlfn.XLOOKUP(I55,Tab_Def_Processes[Process_Name],Tab_Def_Processes[Process_ID],,0,)</f>
        <v>01</v>
      </c>
      <c r="K55" s="23" t="s">
        <v>2</v>
      </c>
      <c r="L55" s="23" t="s">
        <v>2</v>
      </c>
      <c r="M55" s="23" t="s">
        <v>2</v>
      </c>
      <c r="N55" s="23" t="s">
        <v>2</v>
      </c>
      <c r="O55" s="23" t="s">
        <v>2</v>
      </c>
      <c r="P55" s="23" t="s">
        <v>2</v>
      </c>
      <c r="Q55" s="3" t="str">
        <f>Tab_Def_Flows[[#This Row],[Flow_ID]]&amp;"_E1"</f>
        <v>F_01_01_E1</v>
      </c>
      <c r="R55" s="25"/>
      <c r="S55" s="10"/>
      <c r="T55" s="3" t="str">
        <f>Tab_Def_Flows[[#This Row],[Flow_ID]]&amp;"_E2"</f>
        <v>F_01_01_E2</v>
      </c>
      <c r="U55" s="20"/>
      <c r="V55" s="10"/>
      <c r="W55" s="3" t="str">
        <f>Tab_Def_Flows[[#This Row],[Flow_ID]]&amp;"_E3"</f>
        <v>F_01_01_E3</v>
      </c>
      <c r="X55" s="20"/>
      <c r="Y55" s="10"/>
      <c r="Z55" s="3" t="str">
        <f>Tab_Def_Flows[[#This Row],[Flow_ID]]&amp;"_E4"</f>
        <v>F_01_01_E4</v>
      </c>
      <c r="AA55" s="20"/>
      <c r="AB55" s="10"/>
      <c r="AC55" s="3" t="str">
        <f>Tab_Def_Flows[[#This Row],[Flow_ID]]&amp;"_E5"</f>
        <v>F_01_01_E5</v>
      </c>
      <c r="AD55" s="25"/>
      <c r="AE55" s="10"/>
      <c r="AF55" s="3" t="str">
        <f>Tab_Def_Flows[[#This Row],[Flow_ID]]&amp;"_E6"</f>
        <v>F_01_01_E6</v>
      </c>
      <c r="AG55" s="25"/>
      <c r="AH55" s="10"/>
      <c r="AI55" s="58" t="b">
        <f>'0_Configuration'!$C$2</f>
        <v>1</v>
      </c>
      <c r="AJ55" s="3"/>
      <c r="AK55" s="58" t="b">
        <f>'0_Configuration'!$C$6</f>
        <v>0</v>
      </c>
      <c r="AL55" s="3" t="s">
        <v>355</v>
      </c>
      <c r="AM55" s="58" t="b">
        <f>'0_Configuration'!$C$10</f>
        <v>0</v>
      </c>
      <c r="AN55" s="3" t="s">
        <v>355</v>
      </c>
      <c r="AO55" s="58" t="b">
        <f>'0_Configuration'!$C$17</f>
        <v>0</v>
      </c>
      <c r="AP55" s="3">
        <f>_xlfn.XLOOKUP(Tab_Def_Flows[[#This Row],[ODYM_Good_Type]],Tab_Configuration[Value],Tab_Configuration[ODYM_ID],,0,)</f>
        <v>0</v>
      </c>
      <c r="AQ55" s="58" t="b">
        <f>'0_Configuration'!$C$24</f>
        <v>0</v>
      </c>
      <c r="AR55" s="3"/>
      <c r="AS55" s="58" t="b">
        <f>'0_Configuration'!$C$29</f>
        <v>1</v>
      </c>
      <c r="AT55" s="3" t="s">
        <v>369</v>
      </c>
      <c r="AU55" s="3" t="str">
        <f>IF(Tab_Def_Flows[[#This Row],[ODYM_time_(t)]],"t,","")&amp;IF(Tab_Def_Flows[[#This Row],[ODYM_Region_(r)]],"r,","")&amp;IF(Tab_Def_Flows[[#This Row],[ODYM_process_(p)]],"p,","")&amp;IF(Tab_Def_Flows[[#This Row],[ODYM_Good_(g)2]],"g,","")&amp;IF(Tab_Def_Flows[[#This Row],[ODYM_material_(m)]],"m,","")&amp;IF(Tab_Def_Flows[[#This Row],[ODYM_element_(e)]],"e","")</f>
        <v>t,e</v>
      </c>
      <c r="AV5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6" spans="1:48" x14ac:dyDescent="0.25">
      <c r="A56" s="27" t="b">
        <v>0</v>
      </c>
      <c r="B56" s="13">
        <f t="shared" si="0"/>
        <v>55</v>
      </c>
      <c r="C56" s="3" t="str">
        <f t="shared" si="3"/>
        <v>F_01_01</v>
      </c>
      <c r="D56" s="52"/>
      <c r="E56" s="10"/>
      <c r="F56" s="3"/>
      <c r="G56" s="23"/>
      <c r="H56" s="3" t="str">
        <f>_xlfn.XLOOKUP(G56,Tab_Def_Processes[Process_Name],Tab_Def_Processes[Process_ID],,0,)</f>
        <v>01</v>
      </c>
      <c r="I56" s="23"/>
      <c r="J56" s="6" t="str">
        <f>_xlfn.XLOOKUP(I56,Tab_Def_Processes[Process_Name],Tab_Def_Processes[Process_ID],,0,)</f>
        <v>01</v>
      </c>
      <c r="K56" s="23" t="s">
        <v>2</v>
      </c>
      <c r="L56" s="23" t="s">
        <v>2</v>
      </c>
      <c r="M56" s="23" t="s">
        <v>2</v>
      </c>
      <c r="N56" s="23" t="s">
        <v>2</v>
      </c>
      <c r="O56" s="23" t="s">
        <v>2</v>
      </c>
      <c r="P56" s="23" t="s">
        <v>2</v>
      </c>
      <c r="Q56" s="3" t="str">
        <f>Tab_Def_Flows[[#This Row],[Flow_ID]]&amp;"_E1"</f>
        <v>F_01_01_E1</v>
      </c>
      <c r="R56" s="25"/>
      <c r="S56" s="10"/>
      <c r="T56" s="3" t="str">
        <f>Tab_Def_Flows[[#This Row],[Flow_ID]]&amp;"_E2"</f>
        <v>F_01_01_E2</v>
      </c>
      <c r="U56" s="20"/>
      <c r="V56" s="10"/>
      <c r="W56" s="3" t="str">
        <f>Tab_Def_Flows[[#This Row],[Flow_ID]]&amp;"_E3"</f>
        <v>F_01_01_E3</v>
      </c>
      <c r="X56" s="20"/>
      <c r="Y56" s="10"/>
      <c r="Z56" s="3" t="str">
        <f>Tab_Def_Flows[[#This Row],[Flow_ID]]&amp;"_E4"</f>
        <v>F_01_01_E4</v>
      </c>
      <c r="AA56" s="20"/>
      <c r="AB56" s="10"/>
      <c r="AC56" s="3" t="str">
        <f>Tab_Def_Flows[[#This Row],[Flow_ID]]&amp;"_E5"</f>
        <v>F_01_01_E5</v>
      </c>
      <c r="AD56" s="25"/>
      <c r="AE56" s="10"/>
      <c r="AF56" s="3" t="str">
        <f>Tab_Def_Flows[[#This Row],[Flow_ID]]&amp;"_E6"</f>
        <v>F_01_01_E6</v>
      </c>
      <c r="AG56" s="25"/>
      <c r="AH56" s="10"/>
      <c r="AI56" s="58" t="b">
        <f>'0_Configuration'!$C$2</f>
        <v>1</v>
      </c>
      <c r="AJ56" s="3"/>
      <c r="AK56" s="58" t="b">
        <f>'0_Configuration'!$C$6</f>
        <v>0</v>
      </c>
      <c r="AL56" s="3" t="s">
        <v>355</v>
      </c>
      <c r="AM56" s="58" t="b">
        <f>'0_Configuration'!$C$10</f>
        <v>0</v>
      </c>
      <c r="AN56" s="3" t="s">
        <v>355</v>
      </c>
      <c r="AO56" s="58" t="b">
        <f>'0_Configuration'!$C$17</f>
        <v>0</v>
      </c>
      <c r="AP56" s="3">
        <f>_xlfn.XLOOKUP(Tab_Def_Flows[[#This Row],[ODYM_Good_Type]],Tab_Configuration[Value],Tab_Configuration[ODYM_ID],,0,)</f>
        <v>0</v>
      </c>
      <c r="AQ56" s="58" t="b">
        <f>'0_Configuration'!$C$24</f>
        <v>0</v>
      </c>
      <c r="AR56" s="3"/>
      <c r="AS56" s="58" t="b">
        <f>'0_Configuration'!$C$29</f>
        <v>1</v>
      </c>
      <c r="AT56" s="3" t="s">
        <v>369</v>
      </c>
      <c r="AU56" s="3" t="str">
        <f>IF(Tab_Def_Flows[[#This Row],[ODYM_time_(t)]],"t,","")&amp;IF(Tab_Def_Flows[[#This Row],[ODYM_Region_(r)]],"r,","")&amp;IF(Tab_Def_Flows[[#This Row],[ODYM_process_(p)]],"p,","")&amp;IF(Tab_Def_Flows[[#This Row],[ODYM_Good_(g)2]],"g,","")&amp;IF(Tab_Def_Flows[[#This Row],[ODYM_material_(m)]],"m,","")&amp;IF(Tab_Def_Flows[[#This Row],[ODYM_element_(e)]],"e","")</f>
        <v>t,e</v>
      </c>
      <c r="AV5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7" spans="1:48" x14ac:dyDescent="0.25">
      <c r="A57" s="27" t="b">
        <v>0</v>
      </c>
      <c r="B57" s="13">
        <f t="shared" si="0"/>
        <v>56</v>
      </c>
      <c r="C57" s="3" t="str">
        <f t="shared" si="3"/>
        <v>F_01_01</v>
      </c>
      <c r="D57" s="52"/>
      <c r="E57" s="10"/>
      <c r="F57" s="3"/>
      <c r="G57" s="23"/>
      <c r="H57" s="3" t="str">
        <f>_xlfn.XLOOKUP(G57,Tab_Def_Processes[Process_Name],Tab_Def_Processes[Process_ID],,0,)</f>
        <v>01</v>
      </c>
      <c r="I57" s="23"/>
      <c r="J57" s="6" t="str">
        <f>_xlfn.XLOOKUP(I57,Tab_Def_Processes[Process_Name],Tab_Def_Processes[Process_ID],,0,)</f>
        <v>01</v>
      </c>
      <c r="K57" s="23" t="s">
        <v>2</v>
      </c>
      <c r="L57" s="23" t="s">
        <v>2</v>
      </c>
      <c r="M57" s="23" t="s">
        <v>2</v>
      </c>
      <c r="N57" s="23" t="s">
        <v>2</v>
      </c>
      <c r="O57" s="23" t="s">
        <v>2</v>
      </c>
      <c r="P57" s="23" t="s">
        <v>2</v>
      </c>
      <c r="Q57" s="3" t="str">
        <f>Tab_Def_Flows[[#This Row],[Flow_ID]]&amp;"_E1"</f>
        <v>F_01_01_E1</v>
      </c>
      <c r="R57" s="25"/>
      <c r="S57" s="10"/>
      <c r="T57" s="3" t="str">
        <f>Tab_Def_Flows[[#This Row],[Flow_ID]]&amp;"_E2"</f>
        <v>F_01_01_E2</v>
      </c>
      <c r="U57" s="20"/>
      <c r="V57" s="10"/>
      <c r="W57" s="3" t="str">
        <f>Tab_Def_Flows[[#This Row],[Flow_ID]]&amp;"_E3"</f>
        <v>F_01_01_E3</v>
      </c>
      <c r="X57" s="20"/>
      <c r="Y57" s="10"/>
      <c r="Z57" s="3" t="str">
        <f>Tab_Def_Flows[[#This Row],[Flow_ID]]&amp;"_E4"</f>
        <v>F_01_01_E4</v>
      </c>
      <c r="AA57" s="20"/>
      <c r="AB57" s="10"/>
      <c r="AC57" s="3" t="str">
        <f>Tab_Def_Flows[[#This Row],[Flow_ID]]&amp;"_E5"</f>
        <v>F_01_01_E5</v>
      </c>
      <c r="AD57" s="25"/>
      <c r="AE57" s="10"/>
      <c r="AF57" s="3" t="str">
        <f>Tab_Def_Flows[[#This Row],[Flow_ID]]&amp;"_E6"</f>
        <v>F_01_01_E6</v>
      </c>
      <c r="AG57" s="25"/>
      <c r="AH57" s="10"/>
      <c r="AI57" s="58" t="b">
        <f>'0_Configuration'!$C$2</f>
        <v>1</v>
      </c>
      <c r="AJ57" s="3"/>
      <c r="AK57" s="58" t="b">
        <f>'0_Configuration'!$C$6</f>
        <v>0</v>
      </c>
      <c r="AL57" s="3" t="s">
        <v>355</v>
      </c>
      <c r="AM57" s="58" t="b">
        <f>'0_Configuration'!$C$10</f>
        <v>0</v>
      </c>
      <c r="AN57" s="3" t="s">
        <v>355</v>
      </c>
      <c r="AO57" s="58" t="b">
        <f>'0_Configuration'!$C$17</f>
        <v>0</v>
      </c>
      <c r="AP57" s="3">
        <f>_xlfn.XLOOKUP(Tab_Def_Flows[[#This Row],[ODYM_Good_Type]],Tab_Configuration[Value],Tab_Configuration[ODYM_ID],,0,)</f>
        <v>0</v>
      </c>
      <c r="AQ57" s="58" t="b">
        <f>'0_Configuration'!$C$24</f>
        <v>0</v>
      </c>
      <c r="AR57" s="3"/>
      <c r="AS57" s="58" t="b">
        <f>'0_Configuration'!$C$29</f>
        <v>1</v>
      </c>
      <c r="AT57" s="3" t="s">
        <v>369</v>
      </c>
      <c r="AU57" s="3" t="str">
        <f>IF(Tab_Def_Flows[[#This Row],[ODYM_time_(t)]],"t,","")&amp;IF(Tab_Def_Flows[[#This Row],[ODYM_Region_(r)]],"r,","")&amp;IF(Tab_Def_Flows[[#This Row],[ODYM_process_(p)]],"p,","")&amp;IF(Tab_Def_Flows[[#This Row],[ODYM_Good_(g)2]],"g,","")&amp;IF(Tab_Def_Flows[[#This Row],[ODYM_material_(m)]],"m,","")&amp;IF(Tab_Def_Flows[[#This Row],[ODYM_element_(e)]],"e","")</f>
        <v>t,e</v>
      </c>
      <c r="AV5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8" spans="1:48" x14ac:dyDescent="0.25">
      <c r="A58" s="27" t="b">
        <v>0</v>
      </c>
      <c r="B58" s="13">
        <f t="shared" si="0"/>
        <v>57</v>
      </c>
      <c r="C58" s="3" t="str">
        <f t="shared" si="3"/>
        <v>F_01_01</v>
      </c>
      <c r="D58" s="52"/>
      <c r="E58" s="10"/>
      <c r="F58" s="3"/>
      <c r="G58" s="23"/>
      <c r="H58" s="3" t="str">
        <f>_xlfn.XLOOKUP(G58,Tab_Def_Processes[Process_Name],Tab_Def_Processes[Process_ID],,0,)</f>
        <v>01</v>
      </c>
      <c r="I58" s="23"/>
      <c r="J58" s="6" t="str">
        <f>_xlfn.XLOOKUP(I58,Tab_Def_Processes[Process_Name],Tab_Def_Processes[Process_ID],,0,)</f>
        <v>01</v>
      </c>
      <c r="K58" s="23" t="s">
        <v>2</v>
      </c>
      <c r="L58" s="23" t="s">
        <v>2</v>
      </c>
      <c r="M58" s="23" t="s">
        <v>2</v>
      </c>
      <c r="N58" s="23" t="s">
        <v>2</v>
      </c>
      <c r="O58" s="23" t="s">
        <v>2</v>
      </c>
      <c r="P58" s="23" t="s">
        <v>2</v>
      </c>
      <c r="Q58" s="3" t="str">
        <f>Tab_Def_Flows[[#This Row],[Flow_ID]]&amp;"_E1"</f>
        <v>F_01_01_E1</v>
      </c>
      <c r="R58" s="25"/>
      <c r="S58" s="10"/>
      <c r="T58" s="3" t="str">
        <f>Tab_Def_Flows[[#This Row],[Flow_ID]]&amp;"_E2"</f>
        <v>F_01_01_E2</v>
      </c>
      <c r="U58" s="20"/>
      <c r="V58" s="10"/>
      <c r="W58" s="3" t="str">
        <f>Tab_Def_Flows[[#This Row],[Flow_ID]]&amp;"_E3"</f>
        <v>F_01_01_E3</v>
      </c>
      <c r="X58" s="20"/>
      <c r="Y58" s="10"/>
      <c r="Z58" s="3" t="str">
        <f>Tab_Def_Flows[[#This Row],[Flow_ID]]&amp;"_E4"</f>
        <v>F_01_01_E4</v>
      </c>
      <c r="AA58" s="20"/>
      <c r="AB58" s="10"/>
      <c r="AC58" s="3" t="str">
        <f>Tab_Def_Flows[[#This Row],[Flow_ID]]&amp;"_E5"</f>
        <v>F_01_01_E5</v>
      </c>
      <c r="AD58" s="25"/>
      <c r="AE58" s="10"/>
      <c r="AF58" s="3" t="str">
        <f>Tab_Def_Flows[[#This Row],[Flow_ID]]&amp;"_E6"</f>
        <v>F_01_01_E6</v>
      </c>
      <c r="AG58" s="25"/>
      <c r="AH58" s="10"/>
      <c r="AI58" s="58" t="b">
        <f>'0_Configuration'!$C$2</f>
        <v>1</v>
      </c>
      <c r="AJ58" s="3"/>
      <c r="AK58" s="58" t="b">
        <f>'0_Configuration'!$C$6</f>
        <v>0</v>
      </c>
      <c r="AL58" s="3" t="s">
        <v>355</v>
      </c>
      <c r="AM58" s="58" t="b">
        <f>'0_Configuration'!$C$10</f>
        <v>0</v>
      </c>
      <c r="AN58" s="3" t="s">
        <v>355</v>
      </c>
      <c r="AO58" s="58" t="b">
        <f>'0_Configuration'!$C$17</f>
        <v>0</v>
      </c>
      <c r="AP58" s="3">
        <f>_xlfn.XLOOKUP(Tab_Def_Flows[[#This Row],[ODYM_Good_Type]],Tab_Configuration[Value],Tab_Configuration[ODYM_ID],,0,)</f>
        <v>0</v>
      </c>
      <c r="AQ58" s="58" t="b">
        <f>'0_Configuration'!$C$24</f>
        <v>0</v>
      </c>
      <c r="AR58" s="3"/>
      <c r="AS58" s="58" t="b">
        <f>'0_Configuration'!$C$29</f>
        <v>1</v>
      </c>
      <c r="AT58" s="3" t="s">
        <v>369</v>
      </c>
      <c r="AU58" s="3" t="str">
        <f>IF(Tab_Def_Flows[[#This Row],[ODYM_time_(t)]],"t,","")&amp;IF(Tab_Def_Flows[[#This Row],[ODYM_Region_(r)]],"r,","")&amp;IF(Tab_Def_Flows[[#This Row],[ODYM_process_(p)]],"p,","")&amp;IF(Tab_Def_Flows[[#This Row],[ODYM_Good_(g)2]],"g,","")&amp;IF(Tab_Def_Flows[[#This Row],[ODYM_material_(m)]],"m,","")&amp;IF(Tab_Def_Flows[[#This Row],[ODYM_element_(e)]],"e","")</f>
        <v>t,e</v>
      </c>
      <c r="AV5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9" spans="1:48" x14ac:dyDescent="0.25">
      <c r="A59" s="27" t="b">
        <v>0</v>
      </c>
      <c r="B59" s="13">
        <f t="shared" si="0"/>
        <v>58</v>
      </c>
      <c r="C59" s="3" t="str">
        <f t="shared" si="3"/>
        <v>F_01_01</v>
      </c>
      <c r="D59" s="52"/>
      <c r="E59" s="10"/>
      <c r="F59" s="3"/>
      <c r="G59" s="23"/>
      <c r="H59" s="3" t="str">
        <f>_xlfn.XLOOKUP(G59,Tab_Def_Processes[Process_Name],Tab_Def_Processes[Process_ID],,0,)</f>
        <v>01</v>
      </c>
      <c r="I59" s="23"/>
      <c r="J59" s="6" t="str">
        <f>_xlfn.XLOOKUP(I59,Tab_Def_Processes[Process_Name],Tab_Def_Processes[Process_ID],,0,)</f>
        <v>01</v>
      </c>
      <c r="K59" s="23" t="s">
        <v>2</v>
      </c>
      <c r="L59" s="23" t="s">
        <v>2</v>
      </c>
      <c r="M59" s="23" t="s">
        <v>2</v>
      </c>
      <c r="N59" s="23" t="s">
        <v>2</v>
      </c>
      <c r="O59" s="23" t="s">
        <v>2</v>
      </c>
      <c r="P59" s="23" t="s">
        <v>2</v>
      </c>
      <c r="Q59" s="3" t="str">
        <f>Tab_Def_Flows[[#This Row],[Flow_ID]]&amp;"_E1"</f>
        <v>F_01_01_E1</v>
      </c>
      <c r="R59" s="25"/>
      <c r="S59" s="10"/>
      <c r="T59" s="3" t="str">
        <f>Tab_Def_Flows[[#This Row],[Flow_ID]]&amp;"_E2"</f>
        <v>F_01_01_E2</v>
      </c>
      <c r="U59" s="20"/>
      <c r="V59" s="10"/>
      <c r="W59" s="3" t="str">
        <f>Tab_Def_Flows[[#This Row],[Flow_ID]]&amp;"_E3"</f>
        <v>F_01_01_E3</v>
      </c>
      <c r="X59" s="20"/>
      <c r="Y59" s="10"/>
      <c r="Z59" s="3" t="str">
        <f>Tab_Def_Flows[[#This Row],[Flow_ID]]&amp;"_E4"</f>
        <v>F_01_01_E4</v>
      </c>
      <c r="AA59" s="20"/>
      <c r="AB59" s="10"/>
      <c r="AC59" s="3" t="str">
        <f>Tab_Def_Flows[[#This Row],[Flow_ID]]&amp;"_E5"</f>
        <v>F_01_01_E5</v>
      </c>
      <c r="AD59" s="25"/>
      <c r="AE59" s="10"/>
      <c r="AF59" s="3" t="str">
        <f>Tab_Def_Flows[[#This Row],[Flow_ID]]&amp;"_E6"</f>
        <v>F_01_01_E6</v>
      </c>
      <c r="AG59" s="25"/>
      <c r="AH59" s="10"/>
      <c r="AI59" s="58" t="b">
        <f>'0_Configuration'!$C$2</f>
        <v>1</v>
      </c>
      <c r="AJ59" s="3"/>
      <c r="AK59" s="58" t="b">
        <f>'0_Configuration'!$C$6</f>
        <v>0</v>
      </c>
      <c r="AL59" s="3" t="s">
        <v>355</v>
      </c>
      <c r="AM59" s="58" t="b">
        <f>'0_Configuration'!$C$10</f>
        <v>0</v>
      </c>
      <c r="AN59" s="3" t="s">
        <v>355</v>
      </c>
      <c r="AO59" s="58" t="b">
        <f>'0_Configuration'!$C$17</f>
        <v>0</v>
      </c>
      <c r="AP59" s="3">
        <f>_xlfn.XLOOKUP(Tab_Def_Flows[[#This Row],[ODYM_Good_Type]],Tab_Configuration[Value],Tab_Configuration[ODYM_ID],,0,)</f>
        <v>0</v>
      </c>
      <c r="AQ59" s="58" t="b">
        <f>'0_Configuration'!$C$24</f>
        <v>0</v>
      </c>
      <c r="AR59" s="3"/>
      <c r="AS59" s="58" t="b">
        <f>'0_Configuration'!$C$29</f>
        <v>1</v>
      </c>
      <c r="AT59" s="3" t="s">
        <v>369</v>
      </c>
      <c r="AU59" s="3" t="str">
        <f>IF(Tab_Def_Flows[[#This Row],[ODYM_time_(t)]],"t,","")&amp;IF(Tab_Def_Flows[[#This Row],[ODYM_Region_(r)]],"r,","")&amp;IF(Tab_Def_Flows[[#This Row],[ODYM_process_(p)]],"p,","")&amp;IF(Tab_Def_Flows[[#This Row],[ODYM_Good_(g)2]],"g,","")&amp;IF(Tab_Def_Flows[[#This Row],[ODYM_material_(m)]],"m,","")&amp;IF(Tab_Def_Flows[[#This Row],[ODYM_element_(e)]],"e","")</f>
        <v>t,e</v>
      </c>
      <c r="AV5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0" spans="1:48" ht="15.75" customHeight="1" x14ac:dyDescent="0.25">
      <c r="A60" s="27" t="b">
        <v>0</v>
      </c>
      <c r="B60" s="13">
        <f t="shared" si="0"/>
        <v>59</v>
      </c>
      <c r="C60" s="3" t="str">
        <f t="shared" si="3"/>
        <v>F_01_01</v>
      </c>
      <c r="D60" s="52"/>
      <c r="E60" s="10"/>
      <c r="F60" s="3"/>
      <c r="G60" s="23"/>
      <c r="H60" s="3" t="str">
        <f>_xlfn.XLOOKUP(G60,Tab_Def_Processes[Process_Name],Tab_Def_Processes[Process_ID],,0,)</f>
        <v>01</v>
      </c>
      <c r="I60" s="23"/>
      <c r="J60" s="6" t="str">
        <f>_xlfn.XLOOKUP(I60,Tab_Def_Processes[Process_Name],Tab_Def_Processes[Process_ID],,0,)</f>
        <v>01</v>
      </c>
      <c r="K60" s="23" t="s">
        <v>2</v>
      </c>
      <c r="L60" s="23" t="s">
        <v>2</v>
      </c>
      <c r="M60" s="23" t="s">
        <v>2</v>
      </c>
      <c r="N60" s="23" t="s">
        <v>2</v>
      </c>
      <c r="O60" s="23" t="s">
        <v>2</v>
      </c>
      <c r="P60" s="23" t="s">
        <v>2</v>
      </c>
      <c r="Q60" s="3" t="str">
        <f>Tab_Def_Flows[[#This Row],[Flow_ID]]&amp;"_E1"</f>
        <v>F_01_01_E1</v>
      </c>
      <c r="R60" s="25"/>
      <c r="S60" s="10"/>
      <c r="T60" s="3" t="str">
        <f>Tab_Def_Flows[[#This Row],[Flow_ID]]&amp;"_E2"</f>
        <v>F_01_01_E2</v>
      </c>
      <c r="U60" s="20"/>
      <c r="V60" s="10"/>
      <c r="W60" s="3" t="str">
        <f>Tab_Def_Flows[[#This Row],[Flow_ID]]&amp;"_E3"</f>
        <v>F_01_01_E3</v>
      </c>
      <c r="X60" s="20"/>
      <c r="Y60" s="10"/>
      <c r="Z60" s="3" t="str">
        <f>Tab_Def_Flows[[#This Row],[Flow_ID]]&amp;"_E4"</f>
        <v>F_01_01_E4</v>
      </c>
      <c r="AA60" s="20"/>
      <c r="AB60" s="10"/>
      <c r="AC60" s="3" t="str">
        <f>Tab_Def_Flows[[#This Row],[Flow_ID]]&amp;"_E5"</f>
        <v>F_01_01_E5</v>
      </c>
      <c r="AD60" s="25"/>
      <c r="AE60" s="10"/>
      <c r="AF60" s="3" t="str">
        <f>Tab_Def_Flows[[#This Row],[Flow_ID]]&amp;"_E6"</f>
        <v>F_01_01_E6</v>
      </c>
      <c r="AG60" s="25"/>
      <c r="AH60" s="10"/>
      <c r="AI60" s="58" t="b">
        <f>'0_Configuration'!$C$2</f>
        <v>1</v>
      </c>
      <c r="AJ60" s="3"/>
      <c r="AK60" s="58" t="b">
        <f>'0_Configuration'!$C$6</f>
        <v>0</v>
      </c>
      <c r="AL60" s="3" t="s">
        <v>355</v>
      </c>
      <c r="AM60" s="58" t="b">
        <f>'0_Configuration'!$C$10</f>
        <v>0</v>
      </c>
      <c r="AN60" s="3" t="s">
        <v>355</v>
      </c>
      <c r="AO60" s="58" t="b">
        <f>'0_Configuration'!$C$17</f>
        <v>0</v>
      </c>
      <c r="AP60" s="3">
        <f>_xlfn.XLOOKUP(Tab_Def_Flows[[#This Row],[ODYM_Good_Type]],Tab_Configuration[Value],Tab_Configuration[ODYM_ID],,0,)</f>
        <v>0</v>
      </c>
      <c r="AQ60" s="58" t="b">
        <f>'0_Configuration'!$C$24</f>
        <v>0</v>
      </c>
      <c r="AR60" s="3"/>
      <c r="AS60" s="58" t="b">
        <f>'0_Configuration'!$C$29</f>
        <v>1</v>
      </c>
      <c r="AT60" s="3" t="s">
        <v>369</v>
      </c>
      <c r="AU60" s="3" t="str">
        <f>IF(Tab_Def_Flows[[#This Row],[ODYM_time_(t)]],"t,","")&amp;IF(Tab_Def_Flows[[#This Row],[ODYM_Region_(r)]],"r,","")&amp;IF(Tab_Def_Flows[[#This Row],[ODYM_process_(p)]],"p,","")&amp;IF(Tab_Def_Flows[[#This Row],[ODYM_Good_(g)2]],"g,","")&amp;IF(Tab_Def_Flows[[#This Row],[ODYM_material_(m)]],"m,","")&amp;IF(Tab_Def_Flows[[#This Row],[ODYM_element_(e)]],"e","")</f>
        <v>t,e</v>
      </c>
      <c r="AV6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1" spans="1:48" x14ac:dyDescent="0.25">
      <c r="A61" s="27" t="b">
        <v>0</v>
      </c>
      <c r="B61" s="13">
        <f t="shared" si="0"/>
        <v>60</v>
      </c>
      <c r="C61" s="3" t="str">
        <f t="shared" si="3"/>
        <v>F_01_01</v>
      </c>
      <c r="D61" s="52"/>
      <c r="E61" s="10"/>
      <c r="F61" s="3"/>
      <c r="G61" s="23"/>
      <c r="H61" s="3" t="str">
        <f>_xlfn.XLOOKUP(G61,Tab_Def_Processes[Process_Name],Tab_Def_Processes[Process_ID],,0,)</f>
        <v>01</v>
      </c>
      <c r="I61" s="23"/>
      <c r="J61" s="6" t="str">
        <f>_xlfn.XLOOKUP(I61,Tab_Def_Processes[Process_Name],Tab_Def_Processes[Process_ID],,0,)</f>
        <v>01</v>
      </c>
      <c r="K61" s="23" t="s">
        <v>2</v>
      </c>
      <c r="L61" s="23" t="s">
        <v>2</v>
      </c>
      <c r="M61" s="23" t="s">
        <v>2</v>
      </c>
      <c r="N61" s="23" t="s">
        <v>2</v>
      </c>
      <c r="O61" s="23" t="s">
        <v>2</v>
      </c>
      <c r="P61" s="23" t="s">
        <v>2</v>
      </c>
      <c r="Q61" s="3" t="str">
        <f>Tab_Def_Flows[[#This Row],[Flow_ID]]&amp;"_E1"</f>
        <v>F_01_01_E1</v>
      </c>
      <c r="R61" s="25"/>
      <c r="S61" s="10"/>
      <c r="T61" s="3" t="str">
        <f>Tab_Def_Flows[[#This Row],[Flow_ID]]&amp;"_E2"</f>
        <v>F_01_01_E2</v>
      </c>
      <c r="U61" s="20"/>
      <c r="V61" s="10"/>
      <c r="W61" s="3" t="str">
        <f>Tab_Def_Flows[[#This Row],[Flow_ID]]&amp;"_E3"</f>
        <v>F_01_01_E3</v>
      </c>
      <c r="X61" s="20"/>
      <c r="Y61" s="10"/>
      <c r="Z61" s="3" t="str">
        <f>Tab_Def_Flows[[#This Row],[Flow_ID]]&amp;"_E4"</f>
        <v>F_01_01_E4</v>
      </c>
      <c r="AA61" s="20"/>
      <c r="AB61" s="10"/>
      <c r="AC61" s="3" t="str">
        <f>Tab_Def_Flows[[#This Row],[Flow_ID]]&amp;"_E5"</f>
        <v>F_01_01_E5</v>
      </c>
      <c r="AD61" s="25"/>
      <c r="AE61" s="10"/>
      <c r="AF61" s="3" t="str">
        <f>Tab_Def_Flows[[#This Row],[Flow_ID]]&amp;"_E6"</f>
        <v>F_01_01_E6</v>
      </c>
      <c r="AG61" s="25"/>
      <c r="AH61" s="10"/>
      <c r="AI61" s="58" t="b">
        <f>'0_Configuration'!$C$2</f>
        <v>1</v>
      </c>
      <c r="AJ61" s="3"/>
      <c r="AK61" s="58" t="b">
        <f>'0_Configuration'!$C$6</f>
        <v>0</v>
      </c>
      <c r="AL61" s="3" t="s">
        <v>355</v>
      </c>
      <c r="AM61" s="58" t="b">
        <f>'0_Configuration'!$C$10</f>
        <v>0</v>
      </c>
      <c r="AN61" s="3" t="s">
        <v>355</v>
      </c>
      <c r="AO61" s="58" t="b">
        <f>'0_Configuration'!$C$17</f>
        <v>0</v>
      </c>
      <c r="AP61" s="3">
        <f>_xlfn.XLOOKUP(Tab_Def_Flows[[#This Row],[ODYM_Good_Type]],Tab_Configuration[Value],Tab_Configuration[ODYM_ID],,0,)</f>
        <v>0</v>
      </c>
      <c r="AQ61" s="58" t="b">
        <f>'0_Configuration'!$C$24</f>
        <v>0</v>
      </c>
      <c r="AR61" s="3"/>
      <c r="AS61" s="58" t="b">
        <f>'0_Configuration'!$C$29</f>
        <v>1</v>
      </c>
      <c r="AT61" s="3" t="s">
        <v>369</v>
      </c>
      <c r="AU61" s="3" t="str">
        <f>IF(Tab_Def_Flows[[#This Row],[ODYM_time_(t)]],"t,","")&amp;IF(Tab_Def_Flows[[#This Row],[ODYM_Region_(r)]],"r,","")&amp;IF(Tab_Def_Flows[[#This Row],[ODYM_process_(p)]],"p,","")&amp;IF(Tab_Def_Flows[[#This Row],[ODYM_Good_(g)2]],"g,","")&amp;IF(Tab_Def_Flows[[#This Row],[ODYM_material_(m)]],"m,","")&amp;IF(Tab_Def_Flows[[#This Row],[ODYM_element_(e)]],"e","")</f>
        <v>t,e</v>
      </c>
      <c r="AV6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2" spans="1:48" x14ac:dyDescent="0.25">
      <c r="A62" s="27" t="b">
        <v>0</v>
      </c>
      <c r="B62" s="13">
        <f t="shared" si="0"/>
        <v>61</v>
      </c>
      <c r="C62" s="3" t="str">
        <f t="shared" si="3"/>
        <v>F_01_01</v>
      </c>
      <c r="D62" s="52"/>
      <c r="E62" s="10"/>
      <c r="F62" s="3"/>
      <c r="G62" s="23"/>
      <c r="H62" s="3" t="str">
        <f>_xlfn.XLOOKUP(G62,Tab_Def_Processes[Process_Name],Tab_Def_Processes[Process_ID],,0,)</f>
        <v>01</v>
      </c>
      <c r="I62" s="23"/>
      <c r="J62" s="6" t="str">
        <f>_xlfn.XLOOKUP(I62,Tab_Def_Processes[Process_Name],Tab_Def_Processes[Process_ID],,0,)</f>
        <v>01</v>
      </c>
      <c r="K62" s="23" t="s">
        <v>2</v>
      </c>
      <c r="L62" s="23" t="s">
        <v>2</v>
      </c>
      <c r="M62" s="23" t="s">
        <v>2</v>
      </c>
      <c r="N62" s="23" t="s">
        <v>2</v>
      </c>
      <c r="O62" s="23" t="s">
        <v>2</v>
      </c>
      <c r="P62" s="23" t="s">
        <v>2</v>
      </c>
      <c r="Q62" s="3" t="str">
        <f>Tab_Def_Flows[[#This Row],[Flow_ID]]&amp;"_E1"</f>
        <v>F_01_01_E1</v>
      </c>
      <c r="R62" s="25"/>
      <c r="S62" s="10"/>
      <c r="T62" s="3" t="str">
        <f>Tab_Def_Flows[[#This Row],[Flow_ID]]&amp;"_E2"</f>
        <v>F_01_01_E2</v>
      </c>
      <c r="U62" s="20"/>
      <c r="V62" s="10"/>
      <c r="W62" s="3" t="str">
        <f>Tab_Def_Flows[[#This Row],[Flow_ID]]&amp;"_E3"</f>
        <v>F_01_01_E3</v>
      </c>
      <c r="X62" s="20"/>
      <c r="Y62" s="10"/>
      <c r="Z62" s="3" t="str">
        <f>Tab_Def_Flows[[#This Row],[Flow_ID]]&amp;"_E4"</f>
        <v>F_01_01_E4</v>
      </c>
      <c r="AA62" s="20"/>
      <c r="AB62" s="10"/>
      <c r="AC62" s="3" t="str">
        <f>Tab_Def_Flows[[#This Row],[Flow_ID]]&amp;"_E5"</f>
        <v>F_01_01_E5</v>
      </c>
      <c r="AD62" s="25"/>
      <c r="AE62" s="10"/>
      <c r="AF62" s="3" t="str">
        <f>Tab_Def_Flows[[#This Row],[Flow_ID]]&amp;"_E6"</f>
        <v>F_01_01_E6</v>
      </c>
      <c r="AG62" s="25"/>
      <c r="AH62" s="10"/>
      <c r="AI62" s="58" t="b">
        <f>'0_Configuration'!$C$2</f>
        <v>1</v>
      </c>
      <c r="AJ62" s="3"/>
      <c r="AK62" s="58" t="b">
        <f>'0_Configuration'!$C$6</f>
        <v>0</v>
      </c>
      <c r="AL62" s="3" t="s">
        <v>355</v>
      </c>
      <c r="AM62" s="58" t="b">
        <f>'0_Configuration'!$C$10</f>
        <v>0</v>
      </c>
      <c r="AN62" s="3" t="s">
        <v>355</v>
      </c>
      <c r="AO62" s="58" t="b">
        <f>'0_Configuration'!$C$17</f>
        <v>0</v>
      </c>
      <c r="AP62" s="3">
        <f>_xlfn.XLOOKUP(Tab_Def_Flows[[#This Row],[ODYM_Good_Type]],Tab_Configuration[Value],Tab_Configuration[ODYM_ID],,0,)</f>
        <v>0</v>
      </c>
      <c r="AQ62" s="58" t="b">
        <f>'0_Configuration'!$C$24</f>
        <v>0</v>
      </c>
      <c r="AR62" s="3"/>
      <c r="AS62" s="58" t="b">
        <f>'0_Configuration'!$C$29</f>
        <v>1</v>
      </c>
      <c r="AT62" s="3" t="s">
        <v>369</v>
      </c>
      <c r="AU62" s="3" t="str">
        <f>IF(Tab_Def_Flows[[#This Row],[ODYM_time_(t)]],"t,","")&amp;IF(Tab_Def_Flows[[#This Row],[ODYM_Region_(r)]],"r,","")&amp;IF(Tab_Def_Flows[[#This Row],[ODYM_process_(p)]],"p,","")&amp;IF(Tab_Def_Flows[[#This Row],[ODYM_Good_(g)2]],"g,","")&amp;IF(Tab_Def_Flows[[#This Row],[ODYM_material_(m)]],"m,","")&amp;IF(Tab_Def_Flows[[#This Row],[ODYM_element_(e)]],"e","")</f>
        <v>t,e</v>
      </c>
      <c r="AV6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3" spans="1:48" x14ac:dyDescent="0.25">
      <c r="A63" s="27" t="b">
        <v>0</v>
      </c>
      <c r="B63" s="13">
        <f t="shared" si="0"/>
        <v>62</v>
      </c>
      <c r="C63" s="3" t="str">
        <f t="shared" si="3"/>
        <v>F_01_01</v>
      </c>
      <c r="D63" s="52"/>
      <c r="E63" s="10"/>
      <c r="F63" s="3"/>
      <c r="G63" s="23"/>
      <c r="H63" s="3" t="str">
        <f>_xlfn.XLOOKUP(G63,Tab_Def_Processes[Process_Name],Tab_Def_Processes[Process_ID],,0,)</f>
        <v>01</v>
      </c>
      <c r="I63" s="23"/>
      <c r="J63" s="6" t="str">
        <f>_xlfn.XLOOKUP(I63,Tab_Def_Processes[Process_Name],Tab_Def_Processes[Process_ID],,0,)</f>
        <v>01</v>
      </c>
      <c r="K63" s="23" t="s">
        <v>2</v>
      </c>
      <c r="L63" s="23" t="s">
        <v>2</v>
      </c>
      <c r="M63" s="23" t="s">
        <v>2</v>
      </c>
      <c r="N63" s="23" t="s">
        <v>2</v>
      </c>
      <c r="O63" s="23" t="s">
        <v>2</v>
      </c>
      <c r="P63" s="23" t="s">
        <v>2</v>
      </c>
      <c r="Q63" s="3" t="str">
        <f>Tab_Def_Flows[[#This Row],[Flow_ID]]&amp;"_E1"</f>
        <v>F_01_01_E1</v>
      </c>
      <c r="R63" s="25"/>
      <c r="S63" s="10"/>
      <c r="T63" s="3" t="str">
        <f>Tab_Def_Flows[[#This Row],[Flow_ID]]&amp;"_E2"</f>
        <v>F_01_01_E2</v>
      </c>
      <c r="U63" s="20"/>
      <c r="V63" s="10"/>
      <c r="W63" s="3" t="str">
        <f>Tab_Def_Flows[[#This Row],[Flow_ID]]&amp;"_E3"</f>
        <v>F_01_01_E3</v>
      </c>
      <c r="X63" s="20"/>
      <c r="Y63" s="10"/>
      <c r="Z63" s="3" t="str">
        <f>Tab_Def_Flows[[#This Row],[Flow_ID]]&amp;"_E4"</f>
        <v>F_01_01_E4</v>
      </c>
      <c r="AA63" s="20"/>
      <c r="AB63" s="10"/>
      <c r="AC63" s="3" t="str">
        <f>Tab_Def_Flows[[#This Row],[Flow_ID]]&amp;"_E5"</f>
        <v>F_01_01_E5</v>
      </c>
      <c r="AD63" s="25"/>
      <c r="AE63" s="10"/>
      <c r="AF63" s="3" t="str">
        <f>Tab_Def_Flows[[#This Row],[Flow_ID]]&amp;"_E6"</f>
        <v>F_01_01_E6</v>
      </c>
      <c r="AG63" s="25"/>
      <c r="AH63" s="10"/>
      <c r="AI63" s="58" t="b">
        <f>'0_Configuration'!$C$2</f>
        <v>1</v>
      </c>
      <c r="AJ63" s="3"/>
      <c r="AK63" s="58" t="b">
        <f>'0_Configuration'!$C$6</f>
        <v>0</v>
      </c>
      <c r="AL63" s="3" t="s">
        <v>355</v>
      </c>
      <c r="AM63" s="58" t="b">
        <f>'0_Configuration'!$C$10</f>
        <v>0</v>
      </c>
      <c r="AN63" s="3" t="s">
        <v>355</v>
      </c>
      <c r="AO63" s="58" t="b">
        <f>'0_Configuration'!$C$17</f>
        <v>0</v>
      </c>
      <c r="AP63" s="3">
        <f>_xlfn.XLOOKUP(Tab_Def_Flows[[#This Row],[ODYM_Good_Type]],Tab_Configuration[Value],Tab_Configuration[ODYM_ID],,0,)</f>
        <v>0</v>
      </c>
      <c r="AQ63" s="58" t="b">
        <f>'0_Configuration'!$C$24</f>
        <v>0</v>
      </c>
      <c r="AR63" s="3"/>
      <c r="AS63" s="58" t="b">
        <f>'0_Configuration'!$C$29</f>
        <v>1</v>
      </c>
      <c r="AT63" s="3" t="s">
        <v>369</v>
      </c>
      <c r="AU63" s="3" t="str">
        <f>IF(Tab_Def_Flows[[#This Row],[ODYM_time_(t)]],"t,","")&amp;IF(Tab_Def_Flows[[#This Row],[ODYM_Region_(r)]],"r,","")&amp;IF(Tab_Def_Flows[[#This Row],[ODYM_process_(p)]],"p,","")&amp;IF(Tab_Def_Flows[[#This Row],[ODYM_Good_(g)2]],"g,","")&amp;IF(Tab_Def_Flows[[#This Row],[ODYM_material_(m)]],"m,","")&amp;IF(Tab_Def_Flows[[#This Row],[ODYM_element_(e)]],"e","")</f>
        <v>t,e</v>
      </c>
      <c r="AV6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4" spans="1:48" x14ac:dyDescent="0.25">
      <c r="A64" s="27" t="b">
        <v>0</v>
      </c>
      <c r="B64" s="13">
        <f t="shared" si="0"/>
        <v>63</v>
      </c>
      <c r="C64" s="3" t="str">
        <f t="shared" si="3"/>
        <v>F_01_01</v>
      </c>
      <c r="D64" s="52"/>
      <c r="E64" s="10"/>
      <c r="F64" s="3"/>
      <c r="G64" s="23"/>
      <c r="H64" s="3" t="str">
        <f>_xlfn.XLOOKUP(G64,Tab_Def_Processes[Process_Name],Tab_Def_Processes[Process_ID],,0,)</f>
        <v>01</v>
      </c>
      <c r="I64" s="23"/>
      <c r="J64" s="6" t="str">
        <f>_xlfn.XLOOKUP(I64,Tab_Def_Processes[Process_Name],Tab_Def_Processes[Process_ID],,0,)</f>
        <v>01</v>
      </c>
      <c r="K64" s="23" t="s">
        <v>2</v>
      </c>
      <c r="L64" s="23" t="s">
        <v>2</v>
      </c>
      <c r="M64" s="23" t="s">
        <v>2</v>
      </c>
      <c r="N64" s="23" t="s">
        <v>2</v>
      </c>
      <c r="O64" s="23" t="s">
        <v>2</v>
      </c>
      <c r="P64" s="23" t="s">
        <v>2</v>
      </c>
      <c r="Q64" s="3" t="str">
        <f>Tab_Def_Flows[[#This Row],[Flow_ID]]&amp;"_E1"</f>
        <v>F_01_01_E1</v>
      </c>
      <c r="R64" s="25"/>
      <c r="S64" s="10"/>
      <c r="T64" s="3" t="str">
        <f>Tab_Def_Flows[[#This Row],[Flow_ID]]&amp;"_E2"</f>
        <v>F_01_01_E2</v>
      </c>
      <c r="U64" s="20"/>
      <c r="V64" s="10"/>
      <c r="W64" s="3" t="str">
        <f>Tab_Def_Flows[[#This Row],[Flow_ID]]&amp;"_E3"</f>
        <v>F_01_01_E3</v>
      </c>
      <c r="X64" s="20"/>
      <c r="Y64" s="10"/>
      <c r="Z64" s="3" t="str">
        <f>Tab_Def_Flows[[#This Row],[Flow_ID]]&amp;"_E4"</f>
        <v>F_01_01_E4</v>
      </c>
      <c r="AA64" s="20"/>
      <c r="AB64" s="10"/>
      <c r="AC64" s="3" t="str">
        <f>Tab_Def_Flows[[#This Row],[Flow_ID]]&amp;"_E5"</f>
        <v>F_01_01_E5</v>
      </c>
      <c r="AD64" s="25"/>
      <c r="AE64" s="10"/>
      <c r="AF64" s="3" t="str">
        <f>Tab_Def_Flows[[#This Row],[Flow_ID]]&amp;"_E6"</f>
        <v>F_01_01_E6</v>
      </c>
      <c r="AG64" s="25"/>
      <c r="AH64" s="10"/>
      <c r="AI64" s="58" t="b">
        <f>'0_Configuration'!$C$2</f>
        <v>1</v>
      </c>
      <c r="AJ64" s="3"/>
      <c r="AK64" s="58" t="b">
        <f>'0_Configuration'!$C$6</f>
        <v>0</v>
      </c>
      <c r="AL64" s="3" t="s">
        <v>355</v>
      </c>
      <c r="AM64" s="58" t="b">
        <f>'0_Configuration'!$C$10</f>
        <v>0</v>
      </c>
      <c r="AN64" s="3" t="s">
        <v>355</v>
      </c>
      <c r="AO64" s="58" t="b">
        <f>'0_Configuration'!$C$17</f>
        <v>0</v>
      </c>
      <c r="AP64" s="3">
        <f>_xlfn.XLOOKUP(Tab_Def_Flows[[#This Row],[ODYM_Good_Type]],Tab_Configuration[Value],Tab_Configuration[ODYM_ID],,0,)</f>
        <v>0</v>
      </c>
      <c r="AQ64" s="58" t="b">
        <f>'0_Configuration'!$C$24</f>
        <v>0</v>
      </c>
      <c r="AR64" s="3"/>
      <c r="AS64" s="58" t="b">
        <f>'0_Configuration'!$C$29</f>
        <v>1</v>
      </c>
      <c r="AT64" s="3" t="s">
        <v>369</v>
      </c>
      <c r="AU64" s="3" t="str">
        <f>IF(Tab_Def_Flows[[#This Row],[ODYM_time_(t)]],"t,","")&amp;IF(Tab_Def_Flows[[#This Row],[ODYM_Region_(r)]],"r,","")&amp;IF(Tab_Def_Flows[[#This Row],[ODYM_process_(p)]],"p,","")&amp;IF(Tab_Def_Flows[[#This Row],[ODYM_Good_(g)2]],"g,","")&amp;IF(Tab_Def_Flows[[#This Row],[ODYM_material_(m)]],"m,","")&amp;IF(Tab_Def_Flows[[#This Row],[ODYM_element_(e)]],"e","")</f>
        <v>t,e</v>
      </c>
      <c r="AV6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5" spans="1:48" x14ac:dyDescent="0.25">
      <c r="A65" s="27" t="b">
        <v>0</v>
      </c>
      <c r="B65" s="13">
        <f t="shared" si="0"/>
        <v>64</v>
      </c>
      <c r="C65" s="3" t="str">
        <f t="shared" si="3"/>
        <v>F_01_01</v>
      </c>
      <c r="D65" s="52"/>
      <c r="E65" s="10"/>
      <c r="F65" s="3"/>
      <c r="G65" s="23"/>
      <c r="H65" s="3" t="str">
        <f>_xlfn.XLOOKUP(G65,Tab_Def_Processes[Process_Name],Tab_Def_Processes[Process_ID],,0,)</f>
        <v>01</v>
      </c>
      <c r="I65" s="23"/>
      <c r="J65" s="6" t="str">
        <f>_xlfn.XLOOKUP(I65,Tab_Def_Processes[Process_Name],Tab_Def_Processes[Process_ID],,0,)</f>
        <v>01</v>
      </c>
      <c r="K65" s="23" t="s">
        <v>2</v>
      </c>
      <c r="L65" s="23" t="s">
        <v>2</v>
      </c>
      <c r="M65" s="23" t="s">
        <v>2</v>
      </c>
      <c r="N65" s="23" t="s">
        <v>2</v>
      </c>
      <c r="O65" s="23" t="s">
        <v>2</v>
      </c>
      <c r="P65" s="23" t="s">
        <v>2</v>
      </c>
      <c r="Q65" s="3" t="str">
        <f>Tab_Def_Flows[[#This Row],[Flow_ID]]&amp;"_E1"</f>
        <v>F_01_01_E1</v>
      </c>
      <c r="R65" s="25"/>
      <c r="S65" s="10"/>
      <c r="T65" s="3" t="str">
        <f>Tab_Def_Flows[[#This Row],[Flow_ID]]&amp;"_E2"</f>
        <v>F_01_01_E2</v>
      </c>
      <c r="U65" s="20"/>
      <c r="V65" s="10"/>
      <c r="W65" s="3" t="str">
        <f>Tab_Def_Flows[[#This Row],[Flow_ID]]&amp;"_E3"</f>
        <v>F_01_01_E3</v>
      </c>
      <c r="X65" s="20"/>
      <c r="Y65" s="10"/>
      <c r="Z65" s="3" t="str">
        <f>Tab_Def_Flows[[#This Row],[Flow_ID]]&amp;"_E4"</f>
        <v>F_01_01_E4</v>
      </c>
      <c r="AA65" s="20"/>
      <c r="AB65" s="10"/>
      <c r="AC65" s="3" t="str">
        <f>Tab_Def_Flows[[#This Row],[Flow_ID]]&amp;"_E5"</f>
        <v>F_01_01_E5</v>
      </c>
      <c r="AD65" s="25"/>
      <c r="AE65" s="10"/>
      <c r="AF65" s="3" t="str">
        <f>Tab_Def_Flows[[#This Row],[Flow_ID]]&amp;"_E6"</f>
        <v>F_01_01_E6</v>
      </c>
      <c r="AG65" s="25"/>
      <c r="AH65" s="10"/>
      <c r="AI65" s="58" t="b">
        <f>'0_Configuration'!$C$2</f>
        <v>1</v>
      </c>
      <c r="AJ65" s="3"/>
      <c r="AK65" s="58" t="b">
        <f>'0_Configuration'!$C$6</f>
        <v>0</v>
      </c>
      <c r="AL65" s="3" t="s">
        <v>355</v>
      </c>
      <c r="AM65" s="58" t="b">
        <f>'0_Configuration'!$C$10</f>
        <v>0</v>
      </c>
      <c r="AN65" s="3" t="s">
        <v>355</v>
      </c>
      <c r="AO65" s="58" t="b">
        <f>'0_Configuration'!$C$17</f>
        <v>0</v>
      </c>
      <c r="AP65" s="3">
        <f>_xlfn.XLOOKUP(Tab_Def_Flows[[#This Row],[ODYM_Good_Type]],Tab_Configuration[Value],Tab_Configuration[ODYM_ID],,0,)</f>
        <v>0</v>
      </c>
      <c r="AQ65" s="58" t="b">
        <f>'0_Configuration'!$C$24</f>
        <v>0</v>
      </c>
      <c r="AR65" s="3"/>
      <c r="AS65" s="58" t="b">
        <f>'0_Configuration'!$C$29</f>
        <v>1</v>
      </c>
      <c r="AT65" s="3" t="s">
        <v>369</v>
      </c>
      <c r="AU65" s="3" t="str">
        <f>IF(Tab_Def_Flows[[#This Row],[ODYM_time_(t)]],"t,","")&amp;IF(Tab_Def_Flows[[#This Row],[ODYM_Region_(r)]],"r,","")&amp;IF(Tab_Def_Flows[[#This Row],[ODYM_process_(p)]],"p,","")&amp;IF(Tab_Def_Flows[[#This Row],[ODYM_Good_(g)2]],"g,","")&amp;IF(Tab_Def_Flows[[#This Row],[ODYM_material_(m)]],"m,","")&amp;IF(Tab_Def_Flows[[#This Row],[ODYM_element_(e)]],"e","")</f>
        <v>t,e</v>
      </c>
      <c r="AV6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6" spans="1:48" x14ac:dyDescent="0.25">
      <c r="A66" s="27" t="b">
        <v>0</v>
      </c>
      <c r="B66" s="13">
        <f t="shared" si="0"/>
        <v>65</v>
      </c>
      <c r="C66" s="3" t="str">
        <f t="shared" si="3"/>
        <v>F_01_01</v>
      </c>
      <c r="D66" s="52"/>
      <c r="E66" s="10"/>
      <c r="F66" s="3"/>
      <c r="G66" s="23"/>
      <c r="H66" s="3" t="str">
        <f>_xlfn.XLOOKUP(G66,Tab_Def_Processes[Process_Name],Tab_Def_Processes[Process_ID],,0,)</f>
        <v>01</v>
      </c>
      <c r="I66" s="23"/>
      <c r="J66" s="6" t="str">
        <f>_xlfn.XLOOKUP(I66,Tab_Def_Processes[Process_Name],Tab_Def_Processes[Process_ID],,0,)</f>
        <v>01</v>
      </c>
      <c r="K66" s="23" t="s">
        <v>2</v>
      </c>
      <c r="L66" s="23" t="s">
        <v>2</v>
      </c>
      <c r="M66" s="23" t="s">
        <v>2</v>
      </c>
      <c r="N66" s="23" t="s">
        <v>2</v>
      </c>
      <c r="O66" s="23" t="s">
        <v>2</v>
      </c>
      <c r="P66" s="23" t="s">
        <v>2</v>
      </c>
      <c r="Q66" s="3" t="str">
        <f>Tab_Def_Flows[[#This Row],[Flow_ID]]&amp;"_E1"</f>
        <v>F_01_01_E1</v>
      </c>
      <c r="R66" s="25"/>
      <c r="S66" s="10"/>
      <c r="T66" s="3" t="str">
        <f>Tab_Def_Flows[[#This Row],[Flow_ID]]&amp;"_E2"</f>
        <v>F_01_01_E2</v>
      </c>
      <c r="U66" s="20"/>
      <c r="V66" s="10"/>
      <c r="W66" s="3" t="str">
        <f>Tab_Def_Flows[[#This Row],[Flow_ID]]&amp;"_E3"</f>
        <v>F_01_01_E3</v>
      </c>
      <c r="X66" s="20"/>
      <c r="Y66" s="10"/>
      <c r="Z66" s="3" t="str">
        <f>Tab_Def_Flows[[#This Row],[Flow_ID]]&amp;"_E4"</f>
        <v>F_01_01_E4</v>
      </c>
      <c r="AA66" s="20"/>
      <c r="AB66" s="10"/>
      <c r="AC66" s="3" t="str">
        <f>Tab_Def_Flows[[#This Row],[Flow_ID]]&amp;"_E5"</f>
        <v>F_01_01_E5</v>
      </c>
      <c r="AD66" s="25"/>
      <c r="AE66" s="10"/>
      <c r="AF66" s="3" t="str">
        <f>Tab_Def_Flows[[#This Row],[Flow_ID]]&amp;"_E6"</f>
        <v>F_01_01_E6</v>
      </c>
      <c r="AG66" s="25"/>
      <c r="AH66" s="10"/>
      <c r="AI66" s="58" t="b">
        <f>'0_Configuration'!$C$2</f>
        <v>1</v>
      </c>
      <c r="AJ66" s="3"/>
      <c r="AK66" s="58" t="b">
        <f>'0_Configuration'!$C$6</f>
        <v>0</v>
      </c>
      <c r="AL66" s="3" t="s">
        <v>355</v>
      </c>
      <c r="AM66" s="58" t="b">
        <f>'0_Configuration'!$C$10</f>
        <v>0</v>
      </c>
      <c r="AN66" s="3" t="s">
        <v>355</v>
      </c>
      <c r="AO66" s="58" t="b">
        <f>'0_Configuration'!$C$17</f>
        <v>0</v>
      </c>
      <c r="AP66" s="3">
        <f>_xlfn.XLOOKUP(Tab_Def_Flows[[#This Row],[ODYM_Good_Type]],Tab_Configuration[Value],Tab_Configuration[ODYM_ID],,0,)</f>
        <v>0</v>
      </c>
      <c r="AQ66" s="58" t="b">
        <f>'0_Configuration'!$C$24</f>
        <v>0</v>
      </c>
      <c r="AR66" s="3"/>
      <c r="AS66" s="58" t="b">
        <f>'0_Configuration'!$C$29</f>
        <v>1</v>
      </c>
      <c r="AT66" s="3" t="s">
        <v>369</v>
      </c>
      <c r="AU66" s="3" t="str">
        <f>IF(Tab_Def_Flows[[#This Row],[ODYM_time_(t)]],"t,","")&amp;IF(Tab_Def_Flows[[#This Row],[ODYM_Region_(r)]],"r,","")&amp;IF(Tab_Def_Flows[[#This Row],[ODYM_process_(p)]],"p,","")&amp;IF(Tab_Def_Flows[[#This Row],[ODYM_Good_(g)2]],"g,","")&amp;IF(Tab_Def_Flows[[#This Row],[ODYM_material_(m)]],"m,","")&amp;IF(Tab_Def_Flows[[#This Row],[ODYM_element_(e)]],"e","")</f>
        <v>t,e</v>
      </c>
      <c r="AV6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7" spans="1:48" x14ac:dyDescent="0.25">
      <c r="A67" s="27" t="b">
        <v>0</v>
      </c>
      <c r="B67" s="13">
        <f t="shared" si="0"/>
        <v>66</v>
      </c>
      <c r="C67" s="3" t="str">
        <f t="shared" si="3"/>
        <v>F_01_01</v>
      </c>
      <c r="D67" s="52"/>
      <c r="E67" s="10"/>
      <c r="F67" s="3"/>
      <c r="G67" s="23"/>
      <c r="H67" s="3" t="str">
        <f>_xlfn.XLOOKUP(G67,Tab_Def_Processes[Process_Name],Tab_Def_Processes[Process_ID],,0,)</f>
        <v>01</v>
      </c>
      <c r="I67" s="23"/>
      <c r="J67" s="6" t="str">
        <f>_xlfn.XLOOKUP(I67,Tab_Def_Processes[Process_Name],Tab_Def_Processes[Process_ID],,0,)</f>
        <v>01</v>
      </c>
      <c r="K67" s="23" t="s">
        <v>2</v>
      </c>
      <c r="L67" s="23" t="s">
        <v>2</v>
      </c>
      <c r="M67" s="23" t="s">
        <v>2</v>
      </c>
      <c r="N67" s="23" t="s">
        <v>2</v>
      </c>
      <c r="O67" s="23" t="s">
        <v>2</v>
      </c>
      <c r="P67" s="23" t="s">
        <v>2</v>
      </c>
      <c r="Q67" s="3" t="str">
        <f>Tab_Def_Flows[[#This Row],[Flow_ID]]&amp;"_E1"</f>
        <v>F_01_01_E1</v>
      </c>
      <c r="R67" s="25"/>
      <c r="S67" s="10"/>
      <c r="T67" s="3" t="str">
        <f>Tab_Def_Flows[[#This Row],[Flow_ID]]&amp;"_E2"</f>
        <v>F_01_01_E2</v>
      </c>
      <c r="U67" s="20"/>
      <c r="V67" s="10"/>
      <c r="W67" s="3" t="str">
        <f>Tab_Def_Flows[[#This Row],[Flow_ID]]&amp;"_E3"</f>
        <v>F_01_01_E3</v>
      </c>
      <c r="X67" s="20"/>
      <c r="Y67" s="10"/>
      <c r="Z67" s="3" t="str">
        <f>Tab_Def_Flows[[#This Row],[Flow_ID]]&amp;"_E4"</f>
        <v>F_01_01_E4</v>
      </c>
      <c r="AA67" s="20"/>
      <c r="AB67" s="10"/>
      <c r="AC67" s="3" t="str">
        <f>Tab_Def_Flows[[#This Row],[Flow_ID]]&amp;"_E5"</f>
        <v>F_01_01_E5</v>
      </c>
      <c r="AD67" s="25"/>
      <c r="AE67" s="10"/>
      <c r="AF67" s="3" t="str">
        <f>Tab_Def_Flows[[#This Row],[Flow_ID]]&amp;"_E6"</f>
        <v>F_01_01_E6</v>
      </c>
      <c r="AG67" s="25"/>
      <c r="AH67" s="10"/>
      <c r="AI67" s="58" t="b">
        <f>'0_Configuration'!$C$2</f>
        <v>1</v>
      </c>
      <c r="AJ67" s="3"/>
      <c r="AK67" s="58" t="b">
        <f>'0_Configuration'!$C$6</f>
        <v>0</v>
      </c>
      <c r="AL67" s="3" t="s">
        <v>355</v>
      </c>
      <c r="AM67" s="58" t="b">
        <f>'0_Configuration'!$C$10</f>
        <v>0</v>
      </c>
      <c r="AN67" s="3" t="s">
        <v>355</v>
      </c>
      <c r="AO67" s="58" t="b">
        <f>'0_Configuration'!$C$17</f>
        <v>0</v>
      </c>
      <c r="AP67" s="3">
        <f>_xlfn.XLOOKUP(Tab_Def_Flows[[#This Row],[ODYM_Good_Type]],Tab_Configuration[Value],Tab_Configuration[ODYM_ID],,0,)</f>
        <v>0</v>
      </c>
      <c r="AQ67" s="58" t="b">
        <f>'0_Configuration'!$C$24</f>
        <v>0</v>
      </c>
      <c r="AR67" s="3"/>
      <c r="AS67" s="58" t="b">
        <f>'0_Configuration'!$C$29</f>
        <v>1</v>
      </c>
      <c r="AT67" s="3" t="s">
        <v>369</v>
      </c>
      <c r="AU67" s="3" t="str">
        <f>IF(Tab_Def_Flows[[#This Row],[ODYM_time_(t)]],"t,","")&amp;IF(Tab_Def_Flows[[#This Row],[ODYM_Region_(r)]],"r,","")&amp;IF(Tab_Def_Flows[[#This Row],[ODYM_process_(p)]],"p,","")&amp;IF(Tab_Def_Flows[[#This Row],[ODYM_Good_(g)2]],"g,","")&amp;IF(Tab_Def_Flows[[#This Row],[ODYM_material_(m)]],"m,","")&amp;IF(Tab_Def_Flows[[#This Row],[ODYM_element_(e)]],"e","")</f>
        <v>t,e</v>
      </c>
      <c r="AV6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8" spans="1:48" x14ac:dyDescent="0.25">
      <c r="A68" s="27" t="b">
        <v>0</v>
      </c>
      <c r="B68" s="13">
        <f t="shared" si="0"/>
        <v>67</v>
      </c>
      <c r="C68" s="3" t="str">
        <f t="shared" si="3"/>
        <v>F_01_01</v>
      </c>
      <c r="D68" s="52"/>
      <c r="E68" s="10"/>
      <c r="F68" s="3"/>
      <c r="G68" s="23"/>
      <c r="H68" s="3" t="str">
        <f>_xlfn.XLOOKUP(G68,Tab_Def_Processes[Process_Name],Tab_Def_Processes[Process_ID],,0,)</f>
        <v>01</v>
      </c>
      <c r="I68" s="23"/>
      <c r="J68" s="6" t="str">
        <f>_xlfn.XLOOKUP(I68,Tab_Def_Processes[Process_Name],Tab_Def_Processes[Process_ID],,0,)</f>
        <v>01</v>
      </c>
      <c r="K68" s="23" t="s">
        <v>2</v>
      </c>
      <c r="L68" s="23" t="s">
        <v>2</v>
      </c>
      <c r="M68" s="23" t="s">
        <v>2</v>
      </c>
      <c r="N68" s="23" t="s">
        <v>2</v>
      </c>
      <c r="O68" s="23" t="s">
        <v>2</v>
      </c>
      <c r="P68" s="23" t="s">
        <v>2</v>
      </c>
      <c r="Q68" s="3" t="str">
        <f>Tab_Def_Flows[[#This Row],[Flow_ID]]&amp;"_E1"</f>
        <v>F_01_01_E1</v>
      </c>
      <c r="R68" s="25"/>
      <c r="S68" s="10"/>
      <c r="T68" s="3" t="str">
        <f>Tab_Def_Flows[[#This Row],[Flow_ID]]&amp;"_E2"</f>
        <v>F_01_01_E2</v>
      </c>
      <c r="U68" s="20"/>
      <c r="V68" s="10"/>
      <c r="W68" s="3" t="str">
        <f>Tab_Def_Flows[[#This Row],[Flow_ID]]&amp;"_E3"</f>
        <v>F_01_01_E3</v>
      </c>
      <c r="X68" s="20"/>
      <c r="Y68" s="10"/>
      <c r="Z68" s="3" t="str">
        <f>Tab_Def_Flows[[#This Row],[Flow_ID]]&amp;"_E4"</f>
        <v>F_01_01_E4</v>
      </c>
      <c r="AA68" s="20"/>
      <c r="AB68" s="10"/>
      <c r="AC68" s="3" t="str">
        <f>Tab_Def_Flows[[#This Row],[Flow_ID]]&amp;"_E5"</f>
        <v>F_01_01_E5</v>
      </c>
      <c r="AD68" s="25"/>
      <c r="AE68" s="10"/>
      <c r="AF68" s="3" t="str">
        <f>Tab_Def_Flows[[#This Row],[Flow_ID]]&amp;"_E6"</f>
        <v>F_01_01_E6</v>
      </c>
      <c r="AG68" s="25"/>
      <c r="AH68" s="10"/>
      <c r="AI68" s="58" t="b">
        <f>'0_Configuration'!$C$2</f>
        <v>1</v>
      </c>
      <c r="AJ68" s="3"/>
      <c r="AK68" s="58" t="b">
        <f>'0_Configuration'!$C$6</f>
        <v>0</v>
      </c>
      <c r="AL68" s="3" t="s">
        <v>355</v>
      </c>
      <c r="AM68" s="58" t="b">
        <f>'0_Configuration'!$C$10</f>
        <v>0</v>
      </c>
      <c r="AN68" s="3" t="s">
        <v>355</v>
      </c>
      <c r="AO68" s="58" t="b">
        <f>'0_Configuration'!$C$17</f>
        <v>0</v>
      </c>
      <c r="AP68" s="3">
        <f>_xlfn.XLOOKUP(Tab_Def_Flows[[#This Row],[ODYM_Good_Type]],Tab_Configuration[Value],Tab_Configuration[ODYM_ID],,0,)</f>
        <v>0</v>
      </c>
      <c r="AQ68" s="58" t="b">
        <f>'0_Configuration'!$C$24</f>
        <v>0</v>
      </c>
      <c r="AR68" s="3"/>
      <c r="AS68" s="58" t="b">
        <f>'0_Configuration'!$C$29</f>
        <v>1</v>
      </c>
      <c r="AT68" s="3" t="s">
        <v>369</v>
      </c>
      <c r="AU68" s="3" t="str">
        <f>IF(Tab_Def_Flows[[#This Row],[ODYM_time_(t)]],"t,","")&amp;IF(Tab_Def_Flows[[#This Row],[ODYM_Region_(r)]],"r,","")&amp;IF(Tab_Def_Flows[[#This Row],[ODYM_process_(p)]],"p,","")&amp;IF(Tab_Def_Flows[[#This Row],[ODYM_Good_(g)2]],"g,","")&amp;IF(Tab_Def_Flows[[#This Row],[ODYM_material_(m)]],"m,","")&amp;IF(Tab_Def_Flows[[#This Row],[ODYM_element_(e)]],"e","")</f>
        <v>t,e</v>
      </c>
      <c r="AV6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9" spans="1:48" ht="15" customHeight="1" x14ac:dyDescent="0.25">
      <c r="A69" s="27" t="b">
        <v>0</v>
      </c>
      <c r="B69" s="13">
        <f t="shared" si="0"/>
        <v>68</v>
      </c>
      <c r="C69" s="3" t="str">
        <f t="shared" si="3"/>
        <v>F_01_01</v>
      </c>
      <c r="D69" s="52"/>
      <c r="E69" s="10"/>
      <c r="F69" s="3"/>
      <c r="G69" s="23"/>
      <c r="H69" s="3" t="str">
        <f>_xlfn.XLOOKUP(G69,Tab_Def_Processes[Process_Name],Tab_Def_Processes[Process_ID],,0,)</f>
        <v>01</v>
      </c>
      <c r="I69" s="23"/>
      <c r="J69" s="6" t="str">
        <f>_xlfn.XLOOKUP(I69,Tab_Def_Processes[Process_Name],Tab_Def_Processes[Process_ID],,0,)</f>
        <v>01</v>
      </c>
      <c r="K69" s="23" t="s">
        <v>2</v>
      </c>
      <c r="L69" s="23" t="s">
        <v>2</v>
      </c>
      <c r="M69" s="23" t="s">
        <v>2</v>
      </c>
      <c r="N69" s="23" t="s">
        <v>2</v>
      </c>
      <c r="O69" s="23" t="s">
        <v>2</v>
      </c>
      <c r="P69" s="23" t="s">
        <v>2</v>
      </c>
      <c r="Q69" s="3" t="str">
        <f>Tab_Def_Flows[[#This Row],[Flow_ID]]&amp;"_E1"</f>
        <v>F_01_01_E1</v>
      </c>
      <c r="R69" s="25"/>
      <c r="S69" s="10"/>
      <c r="T69" s="3" t="str">
        <f>Tab_Def_Flows[[#This Row],[Flow_ID]]&amp;"_E2"</f>
        <v>F_01_01_E2</v>
      </c>
      <c r="U69" s="20"/>
      <c r="V69" s="10"/>
      <c r="W69" s="3" t="str">
        <f>Tab_Def_Flows[[#This Row],[Flow_ID]]&amp;"_E3"</f>
        <v>F_01_01_E3</v>
      </c>
      <c r="X69" s="20"/>
      <c r="Y69" s="10"/>
      <c r="Z69" s="3" t="str">
        <f>Tab_Def_Flows[[#This Row],[Flow_ID]]&amp;"_E4"</f>
        <v>F_01_01_E4</v>
      </c>
      <c r="AA69" s="20"/>
      <c r="AB69" s="10"/>
      <c r="AC69" s="3" t="str">
        <f>Tab_Def_Flows[[#This Row],[Flow_ID]]&amp;"_E5"</f>
        <v>F_01_01_E5</v>
      </c>
      <c r="AD69" s="25"/>
      <c r="AE69" s="10"/>
      <c r="AF69" s="3" t="str">
        <f>Tab_Def_Flows[[#This Row],[Flow_ID]]&amp;"_E6"</f>
        <v>F_01_01_E6</v>
      </c>
      <c r="AG69" s="25"/>
      <c r="AH69" s="10"/>
      <c r="AI69" s="58" t="b">
        <f>'0_Configuration'!$C$2</f>
        <v>1</v>
      </c>
      <c r="AJ69" s="3"/>
      <c r="AK69" s="58" t="b">
        <f>'0_Configuration'!$C$6</f>
        <v>0</v>
      </c>
      <c r="AL69" s="3" t="s">
        <v>355</v>
      </c>
      <c r="AM69" s="58" t="b">
        <f>'0_Configuration'!$C$10</f>
        <v>0</v>
      </c>
      <c r="AN69" s="3" t="s">
        <v>355</v>
      </c>
      <c r="AO69" s="58" t="b">
        <f>'0_Configuration'!$C$17</f>
        <v>0</v>
      </c>
      <c r="AP69" s="3">
        <f>_xlfn.XLOOKUP(Tab_Def_Flows[[#This Row],[ODYM_Good_Type]],Tab_Configuration[Value],Tab_Configuration[ODYM_ID],,0,)</f>
        <v>0</v>
      </c>
      <c r="AQ69" s="58" t="b">
        <f>'0_Configuration'!$C$24</f>
        <v>0</v>
      </c>
      <c r="AR69" s="3"/>
      <c r="AS69" s="58" t="b">
        <f>'0_Configuration'!$C$29</f>
        <v>1</v>
      </c>
      <c r="AT69" s="3" t="s">
        <v>369</v>
      </c>
      <c r="AU69" s="3" t="str">
        <f>IF(Tab_Def_Flows[[#This Row],[ODYM_time_(t)]],"t,","")&amp;IF(Tab_Def_Flows[[#This Row],[ODYM_Region_(r)]],"r,","")&amp;IF(Tab_Def_Flows[[#This Row],[ODYM_process_(p)]],"p,","")&amp;IF(Tab_Def_Flows[[#This Row],[ODYM_Good_(g)2]],"g,","")&amp;IF(Tab_Def_Flows[[#This Row],[ODYM_material_(m)]],"m,","")&amp;IF(Tab_Def_Flows[[#This Row],[ODYM_element_(e)]],"e","")</f>
        <v>t,e</v>
      </c>
      <c r="AV6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0" spans="1:48" ht="15" customHeight="1" x14ac:dyDescent="0.25">
      <c r="A70" s="27" t="b">
        <v>0</v>
      </c>
      <c r="B70" s="13">
        <f t="shared" si="0"/>
        <v>69</v>
      </c>
      <c r="C70" s="3" t="str">
        <f t="shared" si="3"/>
        <v>F_01_01</v>
      </c>
      <c r="D70" s="52"/>
      <c r="E70" s="10"/>
      <c r="F70" s="3"/>
      <c r="G70" s="23"/>
      <c r="H70" s="3" t="str">
        <f>_xlfn.XLOOKUP(G70,Tab_Def_Processes[Process_Name],Tab_Def_Processes[Process_ID],,0,)</f>
        <v>01</v>
      </c>
      <c r="I70" s="23"/>
      <c r="J70" s="6" t="str">
        <f>_xlfn.XLOOKUP(I70,Tab_Def_Processes[Process_Name],Tab_Def_Processes[Process_ID],,0,)</f>
        <v>01</v>
      </c>
      <c r="K70" s="23" t="s">
        <v>2</v>
      </c>
      <c r="L70" s="23" t="s">
        <v>2</v>
      </c>
      <c r="M70" s="23" t="s">
        <v>2</v>
      </c>
      <c r="N70" s="23" t="s">
        <v>2</v>
      </c>
      <c r="O70" s="23" t="s">
        <v>2</v>
      </c>
      <c r="P70" s="23" t="s">
        <v>2</v>
      </c>
      <c r="Q70" s="3" t="str">
        <f>Tab_Def_Flows[[#This Row],[Flow_ID]]&amp;"_E1"</f>
        <v>F_01_01_E1</v>
      </c>
      <c r="R70" s="25"/>
      <c r="S70" s="10"/>
      <c r="T70" s="3" t="str">
        <f>Tab_Def_Flows[[#This Row],[Flow_ID]]&amp;"_E2"</f>
        <v>F_01_01_E2</v>
      </c>
      <c r="U70" s="20"/>
      <c r="V70" s="10"/>
      <c r="W70" s="3" t="str">
        <f>Tab_Def_Flows[[#This Row],[Flow_ID]]&amp;"_E3"</f>
        <v>F_01_01_E3</v>
      </c>
      <c r="X70" s="20"/>
      <c r="Y70" s="10"/>
      <c r="Z70" s="3" t="str">
        <f>Tab_Def_Flows[[#This Row],[Flow_ID]]&amp;"_E4"</f>
        <v>F_01_01_E4</v>
      </c>
      <c r="AA70" s="20"/>
      <c r="AB70" s="10"/>
      <c r="AC70" s="3" t="str">
        <f>Tab_Def_Flows[[#This Row],[Flow_ID]]&amp;"_E5"</f>
        <v>F_01_01_E5</v>
      </c>
      <c r="AD70" s="25"/>
      <c r="AE70" s="10"/>
      <c r="AF70" s="3" t="str">
        <f>Tab_Def_Flows[[#This Row],[Flow_ID]]&amp;"_E6"</f>
        <v>F_01_01_E6</v>
      </c>
      <c r="AG70" s="25"/>
      <c r="AH70" s="10"/>
      <c r="AI70" s="58" t="b">
        <f>'0_Configuration'!$C$2</f>
        <v>1</v>
      </c>
      <c r="AJ70" s="3"/>
      <c r="AK70" s="58" t="b">
        <f>'0_Configuration'!$C$6</f>
        <v>0</v>
      </c>
      <c r="AL70" s="3" t="s">
        <v>355</v>
      </c>
      <c r="AM70" s="58" t="b">
        <f>'0_Configuration'!$C$10</f>
        <v>0</v>
      </c>
      <c r="AN70" s="3" t="s">
        <v>355</v>
      </c>
      <c r="AO70" s="58" t="b">
        <f>'0_Configuration'!$C$17</f>
        <v>0</v>
      </c>
      <c r="AP70" s="3">
        <f>_xlfn.XLOOKUP(Tab_Def_Flows[[#This Row],[ODYM_Good_Type]],Tab_Configuration[Value],Tab_Configuration[ODYM_ID],,0,)</f>
        <v>0</v>
      </c>
      <c r="AQ70" s="58" t="b">
        <f>'0_Configuration'!$C$24</f>
        <v>0</v>
      </c>
      <c r="AR70" s="3"/>
      <c r="AS70" s="58" t="b">
        <f>'0_Configuration'!$C$29</f>
        <v>1</v>
      </c>
      <c r="AT70" s="3" t="s">
        <v>369</v>
      </c>
      <c r="AU70" s="3" t="str">
        <f>IF(Tab_Def_Flows[[#This Row],[ODYM_time_(t)]],"t,","")&amp;IF(Tab_Def_Flows[[#This Row],[ODYM_Region_(r)]],"r,","")&amp;IF(Tab_Def_Flows[[#This Row],[ODYM_process_(p)]],"p,","")&amp;IF(Tab_Def_Flows[[#This Row],[ODYM_Good_(g)2]],"g,","")&amp;IF(Tab_Def_Flows[[#This Row],[ODYM_material_(m)]],"m,","")&amp;IF(Tab_Def_Flows[[#This Row],[ODYM_element_(e)]],"e","")</f>
        <v>t,e</v>
      </c>
      <c r="AV7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1" spans="1:48" ht="15" customHeight="1" x14ac:dyDescent="0.25">
      <c r="A71" s="27" t="b">
        <v>0</v>
      </c>
      <c r="B71" s="13">
        <f t="shared" si="0"/>
        <v>70</v>
      </c>
      <c r="C71" s="3" t="str">
        <f t="shared" si="3"/>
        <v>F_01_01</v>
      </c>
      <c r="D71" s="52"/>
      <c r="E71" s="10"/>
      <c r="F71" s="3"/>
      <c r="G71" s="23"/>
      <c r="H71" s="3" t="str">
        <f>_xlfn.XLOOKUP(G71,Tab_Def_Processes[Process_Name],Tab_Def_Processes[Process_ID],,0,)</f>
        <v>01</v>
      </c>
      <c r="I71" s="23"/>
      <c r="J71" s="6" t="str">
        <f>_xlfn.XLOOKUP(I71,Tab_Def_Processes[Process_Name],Tab_Def_Processes[Process_ID],,0,)</f>
        <v>01</v>
      </c>
      <c r="K71" s="23" t="s">
        <v>2</v>
      </c>
      <c r="L71" s="23" t="s">
        <v>2</v>
      </c>
      <c r="M71" s="23" t="s">
        <v>2</v>
      </c>
      <c r="N71" s="23" t="s">
        <v>2</v>
      </c>
      <c r="O71" s="23" t="s">
        <v>2</v>
      </c>
      <c r="P71" s="23" t="s">
        <v>2</v>
      </c>
      <c r="Q71" s="3" t="str">
        <f>Tab_Def_Flows[[#This Row],[Flow_ID]]&amp;"_E1"</f>
        <v>F_01_01_E1</v>
      </c>
      <c r="R71" s="25"/>
      <c r="S71" s="10"/>
      <c r="T71" s="3" t="str">
        <f>Tab_Def_Flows[[#This Row],[Flow_ID]]&amp;"_E2"</f>
        <v>F_01_01_E2</v>
      </c>
      <c r="U71" s="20"/>
      <c r="V71" s="10"/>
      <c r="W71" s="3" t="str">
        <f>Tab_Def_Flows[[#This Row],[Flow_ID]]&amp;"_E3"</f>
        <v>F_01_01_E3</v>
      </c>
      <c r="X71" s="20"/>
      <c r="Y71" s="10"/>
      <c r="Z71" s="3" t="str">
        <f>Tab_Def_Flows[[#This Row],[Flow_ID]]&amp;"_E4"</f>
        <v>F_01_01_E4</v>
      </c>
      <c r="AA71" s="20"/>
      <c r="AB71" s="10"/>
      <c r="AC71" s="3" t="str">
        <f>Tab_Def_Flows[[#This Row],[Flow_ID]]&amp;"_E5"</f>
        <v>F_01_01_E5</v>
      </c>
      <c r="AD71" s="25"/>
      <c r="AE71" s="10"/>
      <c r="AF71" s="3" t="str">
        <f>Tab_Def_Flows[[#This Row],[Flow_ID]]&amp;"_E6"</f>
        <v>F_01_01_E6</v>
      </c>
      <c r="AG71" s="25"/>
      <c r="AH71" s="10"/>
      <c r="AI71" s="58" t="b">
        <f>'0_Configuration'!$C$2</f>
        <v>1</v>
      </c>
      <c r="AJ71" s="3"/>
      <c r="AK71" s="58" t="b">
        <f>'0_Configuration'!$C$6</f>
        <v>0</v>
      </c>
      <c r="AL71" s="3" t="s">
        <v>355</v>
      </c>
      <c r="AM71" s="58" t="b">
        <f>'0_Configuration'!$C$10</f>
        <v>0</v>
      </c>
      <c r="AN71" s="3" t="s">
        <v>355</v>
      </c>
      <c r="AO71" s="58" t="b">
        <f>'0_Configuration'!$C$17</f>
        <v>0</v>
      </c>
      <c r="AP71" s="3">
        <f>_xlfn.XLOOKUP(Tab_Def_Flows[[#This Row],[ODYM_Good_Type]],Tab_Configuration[Value],Tab_Configuration[ODYM_ID],,0,)</f>
        <v>0</v>
      </c>
      <c r="AQ71" s="58" t="b">
        <f>'0_Configuration'!$C$24</f>
        <v>0</v>
      </c>
      <c r="AR71" s="3"/>
      <c r="AS71" s="58" t="b">
        <f>'0_Configuration'!$C$29</f>
        <v>1</v>
      </c>
      <c r="AT71" s="3" t="s">
        <v>369</v>
      </c>
      <c r="AU71" s="3" t="str">
        <f>IF(Tab_Def_Flows[[#This Row],[ODYM_time_(t)]],"t,","")&amp;IF(Tab_Def_Flows[[#This Row],[ODYM_Region_(r)]],"r,","")&amp;IF(Tab_Def_Flows[[#This Row],[ODYM_process_(p)]],"p,","")&amp;IF(Tab_Def_Flows[[#This Row],[ODYM_Good_(g)2]],"g,","")&amp;IF(Tab_Def_Flows[[#This Row],[ODYM_material_(m)]],"m,","")&amp;IF(Tab_Def_Flows[[#This Row],[ODYM_element_(e)]],"e","")</f>
        <v>t,e</v>
      </c>
      <c r="AV7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2" spans="1:48" ht="15" customHeight="1" x14ac:dyDescent="0.25">
      <c r="A72" s="27" t="b">
        <v>0</v>
      </c>
      <c r="B72" s="13">
        <f t="shared" si="0"/>
        <v>71</v>
      </c>
      <c r="C72" s="3" t="str">
        <f t="shared" si="3"/>
        <v>F_01_01</v>
      </c>
      <c r="D72" s="52"/>
      <c r="E72" s="10"/>
      <c r="F72" s="3"/>
      <c r="G72" s="23"/>
      <c r="H72" s="3" t="str">
        <f>_xlfn.XLOOKUP(G72,Tab_Def_Processes[Process_Name],Tab_Def_Processes[Process_ID],,0,)</f>
        <v>01</v>
      </c>
      <c r="I72" s="23"/>
      <c r="J72" s="6" t="str">
        <f>_xlfn.XLOOKUP(I72,Tab_Def_Processes[Process_Name],Tab_Def_Processes[Process_ID],,0,)</f>
        <v>01</v>
      </c>
      <c r="K72" s="23" t="s">
        <v>2</v>
      </c>
      <c r="L72" s="23" t="s">
        <v>2</v>
      </c>
      <c r="M72" s="23" t="s">
        <v>2</v>
      </c>
      <c r="N72" s="23" t="s">
        <v>2</v>
      </c>
      <c r="O72" s="23" t="s">
        <v>2</v>
      </c>
      <c r="P72" s="23" t="s">
        <v>2</v>
      </c>
      <c r="Q72" s="3" t="str">
        <f>Tab_Def_Flows[[#This Row],[Flow_ID]]&amp;"_E1"</f>
        <v>F_01_01_E1</v>
      </c>
      <c r="R72" s="25"/>
      <c r="S72" s="10"/>
      <c r="T72" s="3" t="str">
        <f>Tab_Def_Flows[[#This Row],[Flow_ID]]&amp;"_E2"</f>
        <v>F_01_01_E2</v>
      </c>
      <c r="U72" s="20"/>
      <c r="V72" s="10"/>
      <c r="W72" s="3" t="str">
        <f>Tab_Def_Flows[[#This Row],[Flow_ID]]&amp;"_E3"</f>
        <v>F_01_01_E3</v>
      </c>
      <c r="X72" s="20"/>
      <c r="Y72" s="10"/>
      <c r="Z72" s="3" t="str">
        <f>Tab_Def_Flows[[#This Row],[Flow_ID]]&amp;"_E4"</f>
        <v>F_01_01_E4</v>
      </c>
      <c r="AA72" s="20"/>
      <c r="AB72" s="10"/>
      <c r="AC72" s="3" t="str">
        <f>Tab_Def_Flows[[#This Row],[Flow_ID]]&amp;"_E5"</f>
        <v>F_01_01_E5</v>
      </c>
      <c r="AD72" s="25"/>
      <c r="AE72" s="10"/>
      <c r="AF72" s="3" t="str">
        <f>Tab_Def_Flows[[#This Row],[Flow_ID]]&amp;"_E6"</f>
        <v>F_01_01_E6</v>
      </c>
      <c r="AG72" s="25"/>
      <c r="AH72" s="10"/>
      <c r="AI72" s="58" t="b">
        <f>'0_Configuration'!$C$2</f>
        <v>1</v>
      </c>
      <c r="AJ72" s="3"/>
      <c r="AK72" s="58" t="b">
        <f>'0_Configuration'!$C$6</f>
        <v>0</v>
      </c>
      <c r="AL72" s="3" t="s">
        <v>355</v>
      </c>
      <c r="AM72" s="58" t="b">
        <f>'0_Configuration'!$C$10</f>
        <v>0</v>
      </c>
      <c r="AN72" s="3" t="s">
        <v>355</v>
      </c>
      <c r="AO72" s="58" t="b">
        <f>'0_Configuration'!$C$17</f>
        <v>0</v>
      </c>
      <c r="AP72" s="3">
        <f>_xlfn.XLOOKUP(Tab_Def_Flows[[#This Row],[ODYM_Good_Type]],Tab_Configuration[Value],Tab_Configuration[ODYM_ID],,0,)</f>
        <v>0</v>
      </c>
      <c r="AQ72" s="58" t="b">
        <f>'0_Configuration'!$C$24</f>
        <v>0</v>
      </c>
      <c r="AR72" s="3"/>
      <c r="AS72" s="58" t="b">
        <f>'0_Configuration'!$C$29</f>
        <v>1</v>
      </c>
      <c r="AT72" s="3" t="s">
        <v>369</v>
      </c>
      <c r="AU72" s="3" t="str">
        <f>IF(Tab_Def_Flows[[#This Row],[ODYM_time_(t)]],"t,","")&amp;IF(Tab_Def_Flows[[#This Row],[ODYM_Region_(r)]],"r,","")&amp;IF(Tab_Def_Flows[[#This Row],[ODYM_process_(p)]],"p,","")&amp;IF(Tab_Def_Flows[[#This Row],[ODYM_Good_(g)2]],"g,","")&amp;IF(Tab_Def_Flows[[#This Row],[ODYM_material_(m)]],"m,","")&amp;IF(Tab_Def_Flows[[#This Row],[ODYM_element_(e)]],"e","")</f>
        <v>t,e</v>
      </c>
      <c r="AV7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3" spans="1:48" ht="15" customHeight="1" x14ac:dyDescent="0.25">
      <c r="A73" s="27" t="b">
        <v>0</v>
      </c>
      <c r="B73" s="13">
        <f t="shared" si="0"/>
        <v>72</v>
      </c>
      <c r="C73" s="3" t="str">
        <f t="shared" si="3"/>
        <v>F_01_01</v>
      </c>
      <c r="D73" s="52"/>
      <c r="E73" s="10"/>
      <c r="F73" s="3"/>
      <c r="G73" s="23"/>
      <c r="H73" s="3" t="str">
        <f>_xlfn.XLOOKUP(G73,Tab_Def_Processes[Process_Name],Tab_Def_Processes[Process_ID],,0,)</f>
        <v>01</v>
      </c>
      <c r="I73" s="23"/>
      <c r="J73" s="6" t="str">
        <f>_xlfn.XLOOKUP(I73,Tab_Def_Processes[Process_Name],Tab_Def_Processes[Process_ID],,0,)</f>
        <v>01</v>
      </c>
      <c r="K73" s="23" t="s">
        <v>2</v>
      </c>
      <c r="L73" s="23" t="s">
        <v>2</v>
      </c>
      <c r="M73" s="23" t="s">
        <v>2</v>
      </c>
      <c r="N73" s="23" t="s">
        <v>2</v>
      </c>
      <c r="O73" s="23" t="s">
        <v>2</v>
      </c>
      <c r="P73" s="23" t="s">
        <v>2</v>
      </c>
      <c r="Q73" s="3" t="str">
        <f>Tab_Def_Flows[[#This Row],[Flow_ID]]&amp;"_E1"</f>
        <v>F_01_01_E1</v>
      </c>
      <c r="R73" s="25"/>
      <c r="S73" s="10"/>
      <c r="T73" s="3" t="str">
        <f>Tab_Def_Flows[[#This Row],[Flow_ID]]&amp;"_E2"</f>
        <v>F_01_01_E2</v>
      </c>
      <c r="U73" s="20"/>
      <c r="V73" s="10"/>
      <c r="W73" s="3" t="str">
        <f>Tab_Def_Flows[[#This Row],[Flow_ID]]&amp;"_E3"</f>
        <v>F_01_01_E3</v>
      </c>
      <c r="X73" s="20"/>
      <c r="Y73" s="10"/>
      <c r="Z73" s="3" t="str">
        <f>Tab_Def_Flows[[#This Row],[Flow_ID]]&amp;"_E4"</f>
        <v>F_01_01_E4</v>
      </c>
      <c r="AA73" s="20"/>
      <c r="AB73" s="10"/>
      <c r="AC73" s="3" t="str">
        <f>Tab_Def_Flows[[#This Row],[Flow_ID]]&amp;"_E5"</f>
        <v>F_01_01_E5</v>
      </c>
      <c r="AD73" s="25"/>
      <c r="AE73" s="10"/>
      <c r="AF73" s="3" t="str">
        <f>Tab_Def_Flows[[#This Row],[Flow_ID]]&amp;"_E6"</f>
        <v>F_01_01_E6</v>
      </c>
      <c r="AG73" s="25"/>
      <c r="AH73" s="10"/>
      <c r="AI73" s="58" t="b">
        <f>'0_Configuration'!$C$2</f>
        <v>1</v>
      </c>
      <c r="AJ73" s="3"/>
      <c r="AK73" s="58" t="b">
        <f>'0_Configuration'!$C$6</f>
        <v>0</v>
      </c>
      <c r="AL73" s="3" t="s">
        <v>355</v>
      </c>
      <c r="AM73" s="58" t="b">
        <f>'0_Configuration'!$C$10</f>
        <v>0</v>
      </c>
      <c r="AN73" s="3" t="s">
        <v>355</v>
      </c>
      <c r="AO73" s="58" t="b">
        <f>'0_Configuration'!$C$17</f>
        <v>0</v>
      </c>
      <c r="AP73" s="3">
        <f>_xlfn.XLOOKUP(Tab_Def_Flows[[#This Row],[ODYM_Good_Type]],Tab_Configuration[Value],Tab_Configuration[ODYM_ID],,0,)</f>
        <v>0</v>
      </c>
      <c r="AQ73" s="58" t="b">
        <f>'0_Configuration'!$C$24</f>
        <v>0</v>
      </c>
      <c r="AR73" s="3"/>
      <c r="AS73" s="58" t="b">
        <f>'0_Configuration'!$C$29</f>
        <v>1</v>
      </c>
      <c r="AT73" s="3" t="s">
        <v>369</v>
      </c>
      <c r="AU73" s="3" t="str">
        <f>IF(Tab_Def_Flows[[#This Row],[ODYM_time_(t)]],"t,","")&amp;IF(Tab_Def_Flows[[#This Row],[ODYM_Region_(r)]],"r,","")&amp;IF(Tab_Def_Flows[[#This Row],[ODYM_process_(p)]],"p,","")&amp;IF(Tab_Def_Flows[[#This Row],[ODYM_Good_(g)2]],"g,","")&amp;IF(Tab_Def_Flows[[#This Row],[ODYM_material_(m)]],"m,","")&amp;IF(Tab_Def_Flows[[#This Row],[ODYM_element_(e)]],"e","")</f>
        <v>t,e</v>
      </c>
      <c r="AV7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4" spans="1:48" ht="15" customHeight="1" x14ac:dyDescent="0.25">
      <c r="A74" s="27" t="b">
        <v>0</v>
      </c>
      <c r="B74" s="13">
        <f t="shared" si="0"/>
        <v>73</v>
      </c>
      <c r="C74" s="3" t="str">
        <f t="shared" si="3"/>
        <v>F_01_01</v>
      </c>
      <c r="D74" s="4"/>
      <c r="E74" s="10"/>
      <c r="F74" s="3"/>
      <c r="G74" s="23"/>
      <c r="H74" s="3" t="str">
        <f>_xlfn.XLOOKUP(G74,Tab_Def_Processes[Process_Name],Tab_Def_Processes[Process_ID],,0,)</f>
        <v>01</v>
      </c>
      <c r="I74" s="23"/>
      <c r="J74" s="6" t="str">
        <f>_xlfn.XLOOKUP(I74,Tab_Def_Processes[Process_Name],Tab_Def_Processes[Process_ID],,0,)</f>
        <v>01</v>
      </c>
      <c r="K74" s="23" t="s">
        <v>2</v>
      </c>
      <c r="L74" s="23" t="s">
        <v>2</v>
      </c>
      <c r="M74" s="23" t="s">
        <v>2</v>
      </c>
      <c r="N74" s="23" t="s">
        <v>2</v>
      </c>
      <c r="O74" s="23" t="s">
        <v>2</v>
      </c>
      <c r="P74" s="23" t="s">
        <v>2</v>
      </c>
      <c r="Q74" s="3" t="str">
        <f>Tab_Def_Flows[[#This Row],[Flow_ID]]&amp;"_E1"</f>
        <v>F_01_01_E1</v>
      </c>
      <c r="R74" s="25"/>
      <c r="S74" s="10"/>
      <c r="T74" s="3" t="str">
        <f>Tab_Def_Flows[[#This Row],[Flow_ID]]&amp;"_E2"</f>
        <v>F_01_01_E2</v>
      </c>
      <c r="U74" s="20"/>
      <c r="V74" s="10"/>
      <c r="W74" s="3" t="str">
        <f>Tab_Def_Flows[[#This Row],[Flow_ID]]&amp;"_E3"</f>
        <v>F_01_01_E3</v>
      </c>
      <c r="X74" s="20"/>
      <c r="Y74" s="10"/>
      <c r="Z74" s="3" t="str">
        <f>Tab_Def_Flows[[#This Row],[Flow_ID]]&amp;"_E4"</f>
        <v>F_01_01_E4</v>
      </c>
      <c r="AA74" s="20"/>
      <c r="AB74" s="10"/>
      <c r="AC74" s="3" t="str">
        <f>Tab_Def_Flows[[#This Row],[Flow_ID]]&amp;"_E5"</f>
        <v>F_01_01_E5</v>
      </c>
      <c r="AD74" s="25"/>
      <c r="AE74" s="10"/>
      <c r="AF74" s="3" t="str">
        <f>Tab_Def_Flows[[#This Row],[Flow_ID]]&amp;"_E6"</f>
        <v>F_01_01_E6</v>
      </c>
      <c r="AG74" s="25"/>
      <c r="AH74" s="10"/>
      <c r="AI74" s="58" t="b">
        <f>'0_Configuration'!$C$2</f>
        <v>1</v>
      </c>
      <c r="AJ74" s="3"/>
      <c r="AK74" s="58" t="b">
        <f>'0_Configuration'!$C$6</f>
        <v>0</v>
      </c>
      <c r="AL74" s="3" t="s">
        <v>355</v>
      </c>
      <c r="AM74" s="58" t="b">
        <f>'0_Configuration'!$C$10</f>
        <v>0</v>
      </c>
      <c r="AN74" s="3" t="s">
        <v>355</v>
      </c>
      <c r="AO74" s="58" t="b">
        <f>'0_Configuration'!$C$17</f>
        <v>0</v>
      </c>
      <c r="AP74" s="3">
        <f>_xlfn.XLOOKUP(Tab_Def_Flows[[#This Row],[ODYM_Good_Type]],Tab_Configuration[Value],Tab_Configuration[ODYM_ID],,0,)</f>
        <v>0</v>
      </c>
      <c r="AQ74" s="58" t="b">
        <f>'0_Configuration'!$C$24</f>
        <v>0</v>
      </c>
      <c r="AR74" s="3"/>
      <c r="AS74" s="58" t="b">
        <f>'0_Configuration'!$C$29</f>
        <v>1</v>
      </c>
      <c r="AT74" s="3" t="s">
        <v>369</v>
      </c>
      <c r="AU74" s="3" t="str">
        <f>IF(Tab_Def_Flows[[#This Row],[ODYM_time_(t)]],"t,","")&amp;IF(Tab_Def_Flows[[#This Row],[ODYM_Region_(r)]],"r,","")&amp;IF(Tab_Def_Flows[[#This Row],[ODYM_process_(p)]],"p,","")&amp;IF(Tab_Def_Flows[[#This Row],[ODYM_Good_(g)2]],"g,","")&amp;IF(Tab_Def_Flows[[#This Row],[ODYM_material_(m)]],"m,","")&amp;IF(Tab_Def_Flows[[#This Row],[ODYM_element_(e)]],"e","")</f>
        <v>t,e</v>
      </c>
      <c r="AV7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5" spans="1:48" ht="15" customHeight="1" x14ac:dyDescent="0.25">
      <c r="A75" s="27" t="b">
        <v>0</v>
      </c>
      <c r="B75" s="13">
        <f t="shared" si="0"/>
        <v>74</v>
      </c>
      <c r="C75" s="3" t="str">
        <f t="shared" si="3"/>
        <v>F_01_01</v>
      </c>
      <c r="D75" s="4"/>
      <c r="E75" s="10"/>
      <c r="F75" s="3"/>
      <c r="G75" s="23"/>
      <c r="H75" s="3" t="str">
        <f>_xlfn.XLOOKUP(G75,Tab_Def_Processes[Process_Name],Tab_Def_Processes[Process_ID],,0,)</f>
        <v>01</v>
      </c>
      <c r="I75" s="23"/>
      <c r="J75" s="6" t="str">
        <f>_xlfn.XLOOKUP(I75,Tab_Def_Processes[Process_Name],Tab_Def_Processes[Process_ID],,0,)</f>
        <v>01</v>
      </c>
      <c r="K75" s="23" t="s">
        <v>2</v>
      </c>
      <c r="L75" s="23" t="s">
        <v>2</v>
      </c>
      <c r="M75" s="23" t="s">
        <v>2</v>
      </c>
      <c r="N75" s="23" t="s">
        <v>2</v>
      </c>
      <c r="O75" s="23" t="s">
        <v>2</v>
      </c>
      <c r="P75" s="23" t="s">
        <v>2</v>
      </c>
      <c r="Q75" s="3" t="str">
        <f>Tab_Def_Flows[[#This Row],[Flow_ID]]&amp;"_E1"</f>
        <v>F_01_01_E1</v>
      </c>
      <c r="R75" s="25"/>
      <c r="S75" s="10"/>
      <c r="T75" s="3" t="str">
        <f>Tab_Def_Flows[[#This Row],[Flow_ID]]&amp;"_E2"</f>
        <v>F_01_01_E2</v>
      </c>
      <c r="U75" s="20"/>
      <c r="V75" s="10"/>
      <c r="W75" s="3" t="str">
        <f>Tab_Def_Flows[[#This Row],[Flow_ID]]&amp;"_E3"</f>
        <v>F_01_01_E3</v>
      </c>
      <c r="X75" s="20"/>
      <c r="Y75" s="10"/>
      <c r="Z75" s="3" t="str">
        <f>Tab_Def_Flows[[#This Row],[Flow_ID]]&amp;"_E4"</f>
        <v>F_01_01_E4</v>
      </c>
      <c r="AA75" s="20"/>
      <c r="AB75" s="10"/>
      <c r="AC75" s="3" t="str">
        <f>Tab_Def_Flows[[#This Row],[Flow_ID]]&amp;"_E5"</f>
        <v>F_01_01_E5</v>
      </c>
      <c r="AD75" s="25"/>
      <c r="AE75" s="10"/>
      <c r="AF75" s="3" t="str">
        <f>Tab_Def_Flows[[#This Row],[Flow_ID]]&amp;"_E6"</f>
        <v>F_01_01_E6</v>
      </c>
      <c r="AG75" s="25"/>
      <c r="AH75" s="10"/>
      <c r="AI75" s="58" t="b">
        <f>'0_Configuration'!$C$2</f>
        <v>1</v>
      </c>
      <c r="AJ75" s="3"/>
      <c r="AK75" s="58" t="b">
        <f>'0_Configuration'!$C$6</f>
        <v>0</v>
      </c>
      <c r="AL75" s="3" t="s">
        <v>355</v>
      </c>
      <c r="AM75" s="58" t="b">
        <f>'0_Configuration'!$C$10</f>
        <v>0</v>
      </c>
      <c r="AN75" s="3" t="s">
        <v>355</v>
      </c>
      <c r="AO75" s="58" t="b">
        <f>'0_Configuration'!$C$17</f>
        <v>0</v>
      </c>
      <c r="AP75" s="3">
        <f>_xlfn.XLOOKUP(Tab_Def_Flows[[#This Row],[ODYM_Good_Type]],Tab_Configuration[Value],Tab_Configuration[ODYM_ID],,0,)</f>
        <v>0</v>
      </c>
      <c r="AQ75" s="58" t="b">
        <f>'0_Configuration'!$C$24</f>
        <v>0</v>
      </c>
      <c r="AR75" s="3"/>
      <c r="AS75" s="58" t="b">
        <f>'0_Configuration'!$C$29</f>
        <v>1</v>
      </c>
      <c r="AT75" s="3" t="s">
        <v>369</v>
      </c>
      <c r="AU75" s="3" t="str">
        <f>IF(Tab_Def_Flows[[#This Row],[ODYM_time_(t)]],"t,","")&amp;IF(Tab_Def_Flows[[#This Row],[ODYM_Region_(r)]],"r,","")&amp;IF(Tab_Def_Flows[[#This Row],[ODYM_process_(p)]],"p,","")&amp;IF(Tab_Def_Flows[[#This Row],[ODYM_Good_(g)2]],"g,","")&amp;IF(Tab_Def_Flows[[#This Row],[ODYM_material_(m)]],"m,","")&amp;IF(Tab_Def_Flows[[#This Row],[ODYM_element_(e)]],"e","")</f>
        <v>t,e</v>
      </c>
      <c r="AV7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6" spans="1:48" ht="15" customHeight="1" x14ac:dyDescent="0.25">
      <c r="A76" s="27" t="b">
        <v>0</v>
      </c>
      <c r="B76" s="13">
        <f t="shared" si="0"/>
        <v>75</v>
      </c>
      <c r="C76" s="3" t="str">
        <f t="shared" si="3"/>
        <v>F_01_01</v>
      </c>
      <c r="D76" s="4"/>
      <c r="E76" s="10"/>
      <c r="F76" s="3"/>
      <c r="G76" s="23"/>
      <c r="H76" s="3" t="str">
        <f>_xlfn.XLOOKUP(G76,Tab_Def_Processes[Process_Name],Tab_Def_Processes[Process_ID],,0,)</f>
        <v>01</v>
      </c>
      <c r="I76" s="23"/>
      <c r="J76" s="6" t="str">
        <f>_xlfn.XLOOKUP(I76,Tab_Def_Processes[Process_Name],Tab_Def_Processes[Process_ID],,0,)</f>
        <v>01</v>
      </c>
      <c r="K76" s="23" t="s">
        <v>2</v>
      </c>
      <c r="L76" s="23" t="s">
        <v>2</v>
      </c>
      <c r="M76" s="23" t="s">
        <v>2</v>
      </c>
      <c r="N76" s="23" t="s">
        <v>2</v>
      </c>
      <c r="O76" s="23" t="s">
        <v>2</v>
      </c>
      <c r="P76" s="23" t="s">
        <v>2</v>
      </c>
      <c r="Q76" s="3" t="str">
        <f>Tab_Def_Flows[[#This Row],[Flow_ID]]&amp;"_E1"</f>
        <v>F_01_01_E1</v>
      </c>
      <c r="R76" s="25"/>
      <c r="S76" s="10"/>
      <c r="T76" s="3" t="str">
        <f>Tab_Def_Flows[[#This Row],[Flow_ID]]&amp;"_E2"</f>
        <v>F_01_01_E2</v>
      </c>
      <c r="U76" s="20"/>
      <c r="V76" s="10"/>
      <c r="W76" s="3" t="str">
        <f>Tab_Def_Flows[[#This Row],[Flow_ID]]&amp;"_E3"</f>
        <v>F_01_01_E3</v>
      </c>
      <c r="X76" s="20"/>
      <c r="Y76" s="10"/>
      <c r="Z76" s="3" t="str">
        <f>Tab_Def_Flows[[#This Row],[Flow_ID]]&amp;"_E4"</f>
        <v>F_01_01_E4</v>
      </c>
      <c r="AA76" s="20"/>
      <c r="AB76" s="10"/>
      <c r="AC76" s="3" t="str">
        <f>Tab_Def_Flows[[#This Row],[Flow_ID]]&amp;"_E5"</f>
        <v>F_01_01_E5</v>
      </c>
      <c r="AD76" s="25"/>
      <c r="AE76" s="10"/>
      <c r="AF76" s="3" t="str">
        <f>Tab_Def_Flows[[#This Row],[Flow_ID]]&amp;"_E6"</f>
        <v>F_01_01_E6</v>
      </c>
      <c r="AG76" s="25"/>
      <c r="AH76" s="10"/>
      <c r="AI76" s="58" t="b">
        <f>'0_Configuration'!$C$2</f>
        <v>1</v>
      </c>
      <c r="AJ76" s="3"/>
      <c r="AK76" s="58" t="b">
        <f>'0_Configuration'!$C$6</f>
        <v>0</v>
      </c>
      <c r="AL76" s="3" t="s">
        <v>355</v>
      </c>
      <c r="AM76" s="58" t="b">
        <f>'0_Configuration'!$C$10</f>
        <v>0</v>
      </c>
      <c r="AN76" s="3" t="s">
        <v>355</v>
      </c>
      <c r="AO76" s="58" t="b">
        <f>'0_Configuration'!$C$17</f>
        <v>0</v>
      </c>
      <c r="AP76" s="3">
        <f>_xlfn.XLOOKUP(Tab_Def_Flows[[#This Row],[ODYM_Good_Type]],Tab_Configuration[Value],Tab_Configuration[ODYM_ID],,0,)</f>
        <v>0</v>
      </c>
      <c r="AQ76" s="58" t="b">
        <f>'0_Configuration'!$C$24</f>
        <v>0</v>
      </c>
      <c r="AR76" s="3"/>
      <c r="AS76" s="58" t="b">
        <f>'0_Configuration'!$C$29</f>
        <v>1</v>
      </c>
      <c r="AT76" s="3" t="s">
        <v>369</v>
      </c>
      <c r="AU76" s="3" t="str">
        <f>IF(Tab_Def_Flows[[#This Row],[ODYM_time_(t)]],"t,","")&amp;IF(Tab_Def_Flows[[#This Row],[ODYM_Region_(r)]],"r,","")&amp;IF(Tab_Def_Flows[[#This Row],[ODYM_process_(p)]],"p,","")&amp;IF(Tab_Def_Flows[[#This Row],[ODYM_Good_(g)2]],"g,","")&amp;IF(Tab_Def_Flows[[#This Row],[ODYM_material_(m)]],"m,","")&amp;IF(Tab_Def_Flows[[#This Row],[ODYM_element_(e)]],"e","")</f>
        <v>t,e</v>
      </c>
      <c r="AV7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7" spans="1:48" x14ac:dyDescent="0.25">
      <c r="A77" s="27" t="b">
        <v>0</v>
      </c>
      <c r="B77" s="13">
        <f t="shared" ref="B77:B94" si="5">ROW()-1</f>
        <v>76</v>
      </c>
      <c r="C77" s="3" t="str">
        <f t="shared" si="3"/>
        <v>F_01_01</v>
      </c>
      <c r="D77" s="4"/>
      <c r="E77" s="10"/>
      <c r="F77" s="3"/>
      <c r="G77" s="23"/>
      <c r="H77" s="3" t="str">
        <f>_xlfn.XLOOKUP(G77,Tab_Def_Processes[Process_Name],Tab_Def_Processes[Process_ID],,0,)</f>
        <v>01</v>
      </c>
      <c r="I77" s="23"/>
      <c r="J77" s="6" t="str">
        <f>_xlfn.XLOOKUP(I77,Tab_Def_Processes[Process_Name],Tab_Def_Processes[Process_ID],,0,)</f>
        <v>01</v>
      </c>
      <c r="K77" s="23" t="s">
        <v>2</v>
      </c>
      <c r="L77" s="23" t="s">
        <v>2</v>
      </c>
      <c r="M77" s="23" t="s">
        <v>2</v>
      </c>
      <c r="N77" s="23" t="s">
        <v>2</v>
      </c>
      <c r="O77" s="23" t="s">
        <v>2</v>
      </c>
      <c r="P77" s="23" t="s">
        <v>2</v>
      </c>
      <c r="Q77" s="3" t="str">
        <f>Tab_Def_Flows[[#This Row],[Flow_ID]]&amp;"_E1"</f>
        <v>F_01_01_E1</v>
      </c>
      <c r="R77" s="25"/>
      <c r="S77" s="10"/>
      <c r="T77" s="3" t="str">
        <f>Tab_Def_Flows[[#This Row],[Flow_ID]]&amp;"_E2"</f>
        <v>F_01_01_E2</v>
      </c>
      <c r="U77" s="20"/>
      <c r="V77" s="10"/>
      <c r="W77" s="3" t="str">
        <f>Tab_Def_Flows[[#This Row],[Flow_ID]]&amp;"_E3"</f>
        <v>F_01_01_E3</v>
      </c>
      <c r="X77" s="20"/>
      <c r="Y77" s="10"/>
      <c r="Z77" s="3" t="str">
        <f>Tab_Def_Flows[[#This Row],[Flow_ID]]&amp;"_E4"</f>
        <v>F_01_01_E4</v>
      </c>
      <c r="AA77" s="20"/>
      <c r="AB77" s="10"/>
      <c r="AC77" s="3" t="str">
        <f>Tab_Def_Flows[[#This Row],[Flow_ID]]&amp;"_E5"</f>
        <v>F_01_01_E5</v>
      </c>
      <c r="AD77" s="25"/>
      <c r="AE77" s="10"/>
      <c r="AF77" s="3" t="str">
        <f>Tab_Def_Flows[[#This Row],[Flow_ID]]&amp;"_E6"</f>
        <v>F_01_01_E6</v>
      </c>
      <c r="AG77" s="25"/>
      <c r="AH77" s="10"/>
      <c r="AI77" s="58" t="b">
        <f>'0_Configuration'!$C$2</f>
        <v>1</v>
      </c>
      <c r="AJ77" s="3"/>
      <c r="AK77" s="58" t="b">
        <f>'0_Configuration'!$C$6</f>
        <v>0</v>
      </c>
      <c r="AL77" s="3" t="s">
        <v>355</v>
      </c>
      <c r="AM77" s="58" t="b">
        <f>'0_Configuration'!$C$10</f>
        <v>0</v>
      </c>
      <c r="AN77" s="3" t="s">
        <v>355</v>
      </c>
      <c r="AO77" s="58" t="b">
        <f>'0_Configuration'!$C$17</f>
        <v>0</v>
      </c>
      <c r="AP77" s="3">
        <f>_xlfn.XLOOKUP(Tab_Def_Flows[[#This Row],[ODYM_Good_Type]],Tab_Configuration[Value],Tab_Configuration[ODYM_ID],,0,)</f>
        <v>0</v>
      </c>
      <c r="AQ77" s="58" t="b">
        <f>'0_Configuration'!$C$24</f>
        <v>0</v>
      </c>
      <c r="AR77" s="3"/>
      <c r="AS77" s="58" t="b">
        <f>'0_Configuration'!$C$29</f>
        <v>1</v>
      </c>
      <c r="AT77" s="3" t="s">
        <v>369</v>
      </c>
      <c r="AU77" s="3" t="str">
        <f>IF(Tab_Def_Flows[[#This Row],[ODYM_time_(t)]],"t,","")&amp;IF(Tab_Def_Flows[[#This Row],[ODYM_Region_(r)]],"r,","")&amp;IF(Tab_Def_Flows[[#This Row],[ODYM_process_(p)]],"p,","")&amp;IF(Tab_Def_Flows[[#This Row],[ODYM_Good_(g)2]],"g,","")&amp;IF(Tab_Def_Flows[[#This Row],[ODYM_material_(m)]],"m,","")&amp;IF(Tab_Def_Flows[[#This Row],[ODYM_element_(e)]],"e","")</f>
        <v>t,e</v>
      </c>
      <c r="AV7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8" spans="1:48" x14ac:dyDescent="0.25">
      <c r="A78" s="27" t="b">
        <v>0</v>
      </c>
      <c r="B78" s="13">
        <f t="shared" si="5"/>
        <v>77</v>
      </c>
      <c r="C78" s="3" t="str">
        <f t="shared" si="3"/>
        <v>F_01_01</v>
      </c>
      <c r="D78" s="4"/>
      <c r="E78" s="10"/>
      <c r="F78" s="3"/>
      <c r="G78" s="23"/>
      <c r="H78" s="3" t="str">
        <f>_xlfn.XLOOKUP(G78,Tab_Def_Processes[Process_Name],Tab_Def_Processes[Process_ID],,0,)</f>
        <v>01</v>
      </c>
      <c r="I78" s="23"/>
      <c r="J78" s="6" t="str">
        <f>_xlfn.XLOOKUP(I78,Tab_Def_Processes[Process_Name],Tab_Def_Processes[Process_ID],,0,)</f>
        <v>01</v>
      </c>
      <c r="K78" s="23" t="s">
        <v>2</v>
      </c>
      <c r="L78" s="23" t="s">
        <v>2</v>
      </c>
      <c r="M78" s="23" t="s">
        <v>2</v>
      </c>
      <c r="N78" s="23" t="s">
        <v>2</v>
      </c>
      <c r="O78" s="23" t="s">
        <v>2</v>
      </c>
      <c r="P78" s="23" t="s">
        <v>2</v>
      </c>
      <c r="Q78" s="3" t="str">
        <f>Tab_Def_Flows[[#This Row],[Flow_ID]]&amp;"_E1"</f>
        <v>F_01_01_E1</v>
      </c>
      <c r="R78" s="25"/>
      <c r="S78" s="10"/>
      <c r="T78" s="3" t="str">
        <f>Tab_Def_Flows[[#This Row],[Flow_ID]]&amp;"_E2"</f>
        <v>F_01_01_E2</v>
      </c>
      <c r="U78" s="20"/>
      <c r="V78" s="10"/>
      <c r="W78" s="3" t="str">
        <f>Tab_Def_Flows[[#This Row],[Flow_ID]]&amp;"_E3"</f>
        <v>F_01_01_E3</v>
      </c>
      <c r="X78" s="20"/>
      <c r="Y78" s="10"/>
      <c r="Z78" s="3" t="str">
        <f>Tab_Def_Flows[[#This Row],[Flow_ID]]&amp;"_E4"</f>
        <v>F_01_01_E4</v>
      </c>
      <c r="AA78" s="20"/>
      <c r="AB78" s="10"/>
      <c r="AC78" s="3" t="str">
        <f>Tab_Def_Flows[[#This Row],[Flow_ID]]&amp;"_E5"</f>
        <v>F_01_01_E5</v>
      </c>
      <c r="AD78" s="25"/>
      <c r="AE78" s="10"/>
      <c r="AF78" s="3" t="str">
        <f>Tab_Def_Flows[[#This Row],[Flow_ID]]&amp;"_E6"</f>
        <v>F_01_01_E6</v>
      </c>
      <c r="AG78" s="25"/>
      <c r="AH78" s="10"/>
      <c r="AI78" s="58" t="b">
        <f>'0_Configuration'!$C$2</f>
        <v>1</v>
      </c>
      <c r="AJ78" s="3"/>
      <c r="AK78" s="58" t="b">
        <f>'0_Configuration'!$C$6</f>
        <v>0</v>
      </c>
      <c r="AL78" s="3" t="s">
        <v>355</v>
      </c>
      <c r="AM78" s="58" t="b">
        <f>'0_Configuration'!$C$10</f>
        <v>0</v>
      </c>
      <c r="AN78" s="3" t="s">
        <v>355</v>
      </c>
      <c r="AO78" s="58" t="b">
        <f>'0_Configuration'!$C$17</f>
        <v>0</v>
      </c>
      <c r="AP78" s="3">
        <f>_xlfn.XLOOKUP(Tab_Def_Flows[[#This Row],[ODYM_Good_Type]],Tab_Configuration[Value],Tab_Configuration[ODYM_ID],,0,)</f>
        <v>0</v>
      </c>
      <c r="AQ78" s="58" t="b">
        <f>'0_Configuration'!$C$24</f>
        <v>0</v>
      </c>
      <c r="AR78" s="3"/>
      <c r="AS78" s="58" t="b">
        <f>'0_Configuration'!$C$29</f>
        <v>1</v>
      </c>
      <c r="AT78" s="3" t="s">
        <v>369</v>
      </c>
      <c r="AU78" s="3" t="str">
        <f>IF(Tab_Def_Flows[[#This Row],[ODYM_time_(t)]],"t,","")&amp;IF(Tab_Def_Flows[[#This Row],[ODYM_Region_(r)]],"r,","")&amp;IF(Tab_Def_Flows[[#This Row],[ODYM_process_(p)]],"p,","")&amp;IF(Tab_Def_Flows[[#This Row],[ODYM_Good_(g)2]],"g,","")&amp;IF(Tab_Def_Flows[[#This Row],[ODYM_material_(m)]],"m,","")&amp;IF(Tab_Def_Flows[[#This Row],[ODYM_element_(e)]],"e","")</f>
        <v>t,e</v>
      </c>
      <c r="AV7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9" spans="1:48" x14ac:dyDescent="0.25">
      <c r="A79" s="27" t="b">
        <v>0</v>
      </c>
      <c r="B79" s="13">
        <f t="shared" si="5"/>
        <v>78</v>
      </c>
      <c r="C79" s="3" t="str">
        <f t="shared" si="3"/>
        <v>F_01_01</v>
      </c>
      <c r="D79" s="4"/>
      <c r="E79" s="10"/>
      <c r="F79" s="3"/>
      <c r="G79" s="23"/>
      <c r="H79" s="3" t="str">
        <f>_xlfn.XLOOKUP(G79,Tab_Def_Processes[Process_Name],Tab_Def_Processes[Process_ID],,0,)</f>
        <v>01</v>
      </c>
      <c r="I79" s="23"/>
      <c r="J79" s="6" t="str">
        <f>_xlfn.XLOOKUP(I79,Tab_Def_Processes[Process_Name],Tab_Def_Processes[Process_ID],,0,)</f>
        <v>01</v>
      </c>
      <c r="K79" s="23" t="s">
        <v>2</v>
      </c>
      <c r="L79" s="23" t="s">
        <v>2</v>
      </c>
      <c r="M79" s="23" t="s">
        <v>2</v>
      </c>
      <c r="N79" s="23" t="s">
        <v>2</v>
      </c>
      <c r="O79" s="23" t="s">
        <v>2</v>
      </c>
      <c r="P79" s="23" t="s">
        <v>2</v>
      </c>
      <c r="Q79" s="3" t="str">
        <f>Tab_Def_Flows[[#This Row],[Flow_ID]]&amp;"_E1"</f>
        <v>F_01_01_E1</v>
      </c>
      <c r="R79" s="25"/>
      <c r="S79" s="10"/>
      <c r="T79" s="3" t="str">
        <f>Tab_Def_Flows[[#This Row],[Flow_ID]]&amp;"_E2"</f>
        <v>F_01_01_E2</v>
      </c>
      <c r="U79" s="20"/>
      <c r="V79" s="10"/>
      <c r="W79" s="3" t="str">
        <f>Tab_Def_Flows[[#This Row],[Flow_ID]]&amp;"_E3"</f>
        <v>F_01_01_E3</v>
      </c>
      <c r="X79" s="20"/>
      <c r="Y79" s="10"/>
      <c r="Z79" s="3" t="str">
        <f>Tab_Def_Flows[[#This Row],[Flow_ID]]&amp;"_E4"</f>
        <v>F_01_01_E4</v>
      </c>
      <c r="AA79" s="20"/>
      <c r="AB79" s="10"/>
      <c r="AC79" s="3" t="str">
        <f>Tab_Def_Flows[[#This Row],[Flow_ID]]&amp;"_E5"</f>
        <v>F_01_01_E5</v>
      </c>
      <c r="AD79" s="25"/>
      <c r="AE79" s="10"/>
      <c r="AF79" s="3" t="str">
        <f>Tab_Def_Flows[[#This Row],[Flow_ID]]&amp;"_E6"</f>
        <v>F_01_01_E6</v>
      </c>
      <c r="AG79" s="25"/>
      <c r="AH79" s="10"/>
      <c r="AI79" s="58" t="b">
        <f>'0_Configuration'!$C$2</f>
        <v>1</v>
      </c>
      <c r="AJ79" s="3"/>
      <c r="AK79" s="58" t="b">
        <f>'0_Configuration'!$C$6</f>
        <v>0</v>
      </c>
      <c r="AL79" s="3" t="s">
        <v>355</v>
      </c>
      <c r="AM79" s="58" t="b">
        <f>'0_Configuration'!$C$10</f>
        <v>0</v>
      </c>
      <c r="AN79" s="3" t="s">
        <v>355</v>
      </c>
      <c r="AO79" s="58" t="b">
        <f>'0_Configuration'!$C$17</f>
        <v>0</v>
      </c>
      <c r="AP79" s="3">
        <f>_xlfn.XLOOKUP(Tab_Def_Flows[[#This Row],[ODYM_Good_Type]],Tab_Configuration[Value],Tab_Configuration[ODYM_ID],,0,)</f>
        <v>0</v>
      </c>
      <c r="AQ79" s="58" t="b">
        <f>'0_Configuration'!$C$24</f>
        <v>0</v>
      </c>
      <c r="AR79" s="3"/>
      <c r="AS79" s="58" t="b">
        <f>'0_Configuration'!$C$29</f>
        <v>1</v>
      </c>
      <c r="AT79" s="3" t="s">
        <v>369</v>
      </c>
      <c r="AU79" s="3" t="str">
        <f>IF(Tab_Def_Flows[[#This Row],[ODYM_time_(t)]],"t,","")&amp;IF(Tab_Def_Flows[[#This Row],[ODYM_Region_(r)]],"r,","")&amp;IF(Tab_Def_Flows[[#This Row],[ODYM_process_(p)]],"p,","")&amp;IF(Tab_Def_Flows[[#This Row],[ODYM_Good_(g)2]],"g,","")&amp;IF(Tab_Def_Flows[[#This Row],[ODYM_material_(m)]],"m,","")&amp;IF(Tab_Def_Flows[[#This Row],[ODYM_element_(e)]],"e","")</f>
        <v>t,e</v>
      </c>
      <c r="AV7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0" spans="1:48" x14ac:dyDescent="0.25">
      <c r="A80" s="27" t="b">
        <v>0</v>
      </c>
      <c r="B80" s="13">
        <f t="shared" si="5"/>
        <v>79</v>
      </c>
      <c r="C80" s="3" t="str">
        <f t="shared" si="3"/>
        <v>F_01_01</v>
      </c>
      <c r="D80" s="4"/>
      <c r="E80" s="10"/>
      <c r="F80" s="3"/>
      <c r="G80" s="23"/>
      <c r="H80" s="3" t="str">
        <f>_xlfn.XLOOKUP(G80,Tab_Def_Processes[Process_Name],Tab_Def_Processes[Process_ID],,0,)</f>
        <v>01</v>
      </c>
      <c r="I80" s="23"/>
      <c r="J80" s="6" t="str">
        <f>_xlfn.XLOOKUP(I80,Tab_Def_Processes[Process_Name],Tab_Def_Processes[Process_ID],,0,)</f>
        <v>01</v>
      </c>
      <c r="K80" s="23" t="s">
        <v>2</v>
      </c>
      <c r="L80" s="23" t="s">
        <v>2</v>
      </c>
      <c r="M80" s="23" t="s">
        <v>2</v>
      </c>
      <c r="N80" s="23" t="s">
        <v>2</v>
      </c>
      <c r="O80" s="23" t="s">
        <v>2</v>
      </c>
      <c r="P80" s="23" t="s">
        <v>2</v>
      </c>
      <c r="Q80" s="3" t="str">
        <f>Tab_Def_Flows[[#This Row],[Flow_ID]]&amp;"_E1"</f>
        <v>F_01_01_E1</v>
      </c>
      <c r="R80" s="25"/>
      <c r="S80" s="10"/>
      <c r="T80" s="3" t="str">
        <f>Tab_Def_Flows[[#This Row],[Flow_ID]]&amp;"_E2"</f>
        <v>F_01_01_E2</v>
      </c>
      <c r="U80" s="20"/>
      <c r="V80" s="10"/>
      <c r="W80" s="3" t="str">
        <f>Tab_Def_Flows[[#This Row],[Flow_ID]]&amp;"_E3"</f>
        <v>F_01_01_E3</v>
      </c>
      <c r="X80" s="20"/>
      <c r="Y80" s="10"/>
      <c r="Z80" s="3" t="str">
        <f>Tab_Def_Flows[[#This Row],[Flow_ID]]&amp;"_E4"</f>
        <v>F_01_01_E4</v>
      </c>
      <c r="AA80" s="20"/>
      <c r="AB80" s="10"/>
      <c r="AC80" s="3" t="str">
        <f>Tab_Def_Flows[[#This Row],[Flow_ID]]&amp;"_E5"</f>
        <v>F_01_01_E5</v>
      </c>
      <c r="AD80" s="25"/>
      <c r="AE80" s="10"/>
      <c r="AF80" s="3" t="str">
        <f>Tab_Def_Flows[[#This Row],[Flow_ID]]&amp;"_E6"</f>
        <v>F_01_01_E6</v>
      </c>
      <c r="AG80" s="25"/>
      <c r="AH80" s="10"/>
      <c r="AI80" s="58" t="b">
        <f>'0_Configuration'!$C$2</f>
        <v>1</v>
      </c>
      <c r="AJ80" s="3"/>
      <c r="AK80" s="58" t="b">
        <f>'0_Configuration'!$C$6</f>
        <v>0</v>
      </c>
      <c r="AL80" s="3" t="s">
        <v>355</v>
      </c>
      <c r="AM80" s="58" t="b">
        <f>'0_Configuration'!$C$10</f>
        <v>0</v>
      </c>
      <c r="AN80" s="3" t="s">
        <v>355</v>
      </c>
      <c r="AO80" s="58" t="b">
        <f>'0_Configuration'!$C$17</f>
        <v>0</v>
      </c>
      <c r="AP80" s="3">
        <f>_xlfn.XLOOKUP(Tab_Def_Flows[[#This Row],[ODYM_Good_Type]],Tab_Configuration[Value],Tab_Configuration[ODYM_ID],,0,)</f>
        <v>0</v>
      </c>
      <c r="AQ80" s="58" t="b">
        <f>'0_Configuration'!$C$24</f>
        <v>0</v>
      </c>
      <c r="AR80" s="3"/>
      <c r="AS80" s="58" t="b">
        <f>'0_Configuration'!$C$29</f>
        <v>1</v>
      </c>
      <c r="AT80" s="3" t="s">
        <v>369</v>
      </c>
      <c r="AU80" s="3" t="str">
        <f>IF(Tab_Def_Flows[[#This Row],[ODYM_time_(t)]],"t,","")&amp;IF(Tab_Def_Flows[[#This Row],[ODYM_Region_(r)]],"r,","")&amp;IF(Tab_Def_Flows[[#This Row],[ODYM_process_(p)]],"p,","")&amp;IF(Tab_Def_Flows[[#This Row],[ODYM_Good_(g)2]],"g,","")&amp;IF(Tab_Def_Flows[[#This Row],[ODYM_material_(m)]],"m,","")&amp;IF(Tab_Def_Flows[[#This Row],[ODYM_element_(e)]],"e","")</f>
        <v>t,e</v>
      </c>
      <c r="AV8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1" spans="1:48" x14ac:dyDescent="0.25">
      <c r="A81" s="27" t="b">
        <v>0</v>
      </c>
      <c r="B81" s="13">
        <f t="shared" si="5"/>
        <v>80</v>
      </c>
      <c r="C81" s="3" t="str">
        <f t="shared" si="3"/>
        <v>F_01_01</v>
      </c>
      <c r="D81" s="4"/>
      <c r="E81" s="10"/>
      <c r="F81" s="3"/>
      <c r="G81" s="23"/>
      <c r="H81" s="3" t="str">
        <f>_xlfn.XLOOKUP(G81,Tab_Def_Processes[Process_Name],Tab_Def_Processes[Process_ID],,0,)</f>
        <v>01</v>
      </c>
      <c r="I81" s="23"/>
      <c r="J81" s="6" t="str">
        <f>_xlfn.XLOOKUP(I81,Tab_Def_Processes[Process_Name],Tab_Def_Processes[Process_ID],,0,)</f>
        <v>01</v>
      </c>
      <c r="K81" s="23" t="s">
        <v>2</v>
      </c>
      <c r="L81" s="23" t="s">
        <v>2</v>
      </c>
      <c r="M81" s="23" t="s">
        <v>2</v>
      </c>
      <c r="N81" s="23" t="s">
        <v>2</v>
      </c>
      <c r="O81" s="23" t="s">
        <v>2</v>
      </c>
      <c r="P81" s="23" t="s">
        <v>2</v>
      </c>
      <c r="Q81" s="3" t="str">
        <f>Tab_Def_Flows[[#This Row],[Flow_ID]]&amp;"_E1"</f>
        <v>F_01_01_E1</v>
      </c>
      <c r="R81" s="25"/>
      <c r="S81" s="10"/>
      <c r="T81" s="3" t="str">
        <f>Tab_Def_Flows[[#This Row],[Flow_ID]]&amp;"_E2"</f>
        <v>F_01_01_E2</v>
      </c>
      <c r="U81" s="20"/>
      <c r="V81" s="10"/>
      <c r="W81" s="3" t="str">
        <f>Tab_Def_Flows[[#This Row],[Flow_ID]]&amp;"_E3"</f>
        <v>F_01_01_E3</v>
      </c>
      <c r="X81" s="20"/>
      <c r="Y81" s="10"/>
      <c r="Z81" s="3" t="str">
        <f>Tab_Def_Flows[[#This Row],[Flow_ID]]&amp;"_E4"</f>
        <v>F_01_01_E4</v>
      </c>
      <c r="AA81" s="20"/>
      <c r="AB81" s="10"/>
      <c r="AC81" s="3" t="str">
        <f>Tab_Def_Flows[[#This Row],[Flow_ID]]&amp;"_E5"</f>
        <v>F_01_01_E5</v>
      </c>
      <c r="AD81" s="25"/>
      <c r="AE81" s="10"/>
      <c r="AF81" s="3" t="str">
        <f>Tab_Def_Flows[[#This Row],[Flow_ID]]&amp;"_E6"</f>
        <v>F_01_01_E6</v>
      </c>
      <c r="AG81" s="25"/>
      <c r="AH81" s="10"/>
      <c r="AI81" s="58" t="b">
        <f>'0_Configuration'!$C$2</f>
        <v>1</v>
      </c>
      <c r="AJ81" s="3"/>
      <c r="AK81" s="58" t="b">
        <f>'0_Configuration'!$C$6</f>
        <v>0</v>
      </c>
      <c r="AL81" s="3" t="s">
        <v>355</v>
      </c>
      <c r="AM81" s="58" t="b">
        <f>'0_Configuration'!$C$10</f>
        <v>0</v>
      </c>
      <c r="AN81" s="3" t="s">
        <v>355</v>
      </c>
      <c r="AO81" s="58" t="b">
        <f>'0_Configuration'!$C$17</f>
        <v>0</v>
      </c>
      <c r="AP81" s="3">
        <f>_xlfn.XLOOKUP(Tab_Def_Flows[[#This Row],[ODYM_Good_Type]],Tab_Configuration[Value],Tab_Configuration[ODYM_ID],,0,)</f>
        <v>0</v>
      </c>
      <c r="AQ81" s="58" t="b">
        <f>'0_Configuration'!$C$24</f>
        <v>0</v>
      </c>
      <c r="AR81" s="3"/>
      <c r="AS81" s="58" t="b">
        <f>'0_Configuration'!$C$29</f>
        <v>1</v>
      </c>
      <c r="AT81" s="3" t="s">
        <v>369</v>
      </c>
      <c r="AU81" s="3" t="str">
        <f>IF(Tab_Def_Flows[[#This Row],[ODYM_time_(t)]],"t,","")&amp;IF(Tab_Def_Flows[[#This Row],[ODYM_Region_(r)]],"r,","")&amp;IF(Tab_Def_Flows[[#This Row],[ODYM_process_(p)]],"p,","")&amp;IF(Tab_Def_Flows[[#This Row],[ODYM_Good_(g)2]],"g,","")&amp;IF(Tab_Def_Flows[[#This Row],[ODYM_material_(m)]],"m,","")&amp;IF(Tab_Def_Flows[[#This Row],[ODYM_element_(e)]],"e","")</f>
        <v>t,e</v>
      </c>
      <c r="AV8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2" spans="1:48" x14ac:dyDescent="0.25">
      <c r="A82" s="27" t="b">
        <v>0</v>
      </c>
      <c r="B82" s="13">
        <f t="shared" si="5"/>
        <v>81</v>
      </c>
      <c r="C82" s="3" t="str">
        <f t="shared" si="3"/>
        <v>F_01_01</v>
      </c>
      <c r="D82" s="52"/>
      <c r="E82" s="10"/>
      <c r="F82" s="3"/>
      <c r="G82" s="23"/>
      <c r="H82" s="3" t="str">
        <f>_xlfn.XLOOKUP(G82,Tab_Def_Processes[Process_Name],Tab_Def_Processes[Process_ID],,0,)</f>
        <v>01</v>
      </c>
      <c r="I82" s="23"/>
      <c r="J82" s="6" t="str">
        <f>_xlfn.XLOOKUP(I82,Tab_Def_Processes[Process_Name],Tab_Def_Processes[Process_ID],,0,)</f>
        <v>01</v>
      </c>
      <c r="K82" s="23" t="s">
        <v>2</v>
      </c>
      <c r="L82" s="23" t="s">
        <v>2</v>
      </c>
      <c r="M82" s="23" t="s">
        <v>2</v>
      </c>
      <c r="N82" s="23" t="s">
        <v>2</v>
      </c>
      <c r="O82" s="23" t="s">
        <v>2</v>
      </c>
      <c r="P82" s="23" t="s">
        <v>2</v>
      </c>
      <c r="Q82" s="3" t="str">
        <f>Tab_Def_Flows[[#This Row],[Flow_ID]]&amp;"_E1"</f>
        <v>F_01_01_E1</v>
      </c>
      <c r="R82" s="25"/>
      <c r="S82" s="10"/>
      <c r="T82" s="3" t="str">
        <f>Tab_Def_Flows[[#This Row],[Flow_ID]]&amp;"_E2"</f>
        <v>F_01_01_E2</v>
      </c>
      <c r="U82" s="20"/>
      <c r="V82" s="10"/>
      <c r="W82" s="3" t="str">
        <f>Tab_Def_Flows[[#This Row],[Flow_ID]]&amp;"_E3"</f>
        <v>F_01_01_E3</v>
      </c>
      <c r="X82" s="20"/>
      <c r="Y82" s="10"/>
      <c r="Z82" s="3" t="str">
        <f>Tab_Def_Flows[[#This Row],[Flow_ID]]&amp;"_E4"</f>
        <v>F_01_01_E4</v>
      </c>
      <c r="AA82" s="20"/>
      <c r="AB82" s="10"/>
      <c r="AC82" s="3" t="str">
        <f>Tab_Def_Flows[[#This Row],[Flow_ID]]&amp;"_E5"</f>
        <v>F_01_01_E5</v>
      </c>
      <c r="AD82" s="25"/>
      <c r="AE82" s="10"/>
      <c r="AF82" s="3" t="str">
        <f>Tab_Def_Flows[[#This Row],[Flow_ID]]&amp;"_E6"</f>
        <v>F_01_01_E6</v>
      </c>
      <c r="AG82" s="25"/>
      <c r="AH82" s="10"/>
      <c r="AI82" s="58" t="b">
        <f>'0_Configuration'!$C$2</f>
        <v>1</v>
      </c>
      <c r="AJ82" s="3"/>
      <c r="AK82" s="58" t="b">
        <f>'0_Configuration'!$C$6</f>
        <v>0</v>
      </c>
      <c r="AL82" s="3" t="s">
        <v>355</v>
      </c>
      <c r="AM82" s="58" t="b">
        <f>'0_Configuration'!$C$10</f>
        <v>0</v>
      </c>
      <c r="AN82" s="3" t="s">
        <v>355</v>
      </c>
      <c r="AO82" s="58" t="b">
        <f>'0_Configuration'!$C$17</f>
        <v>0</v>
      </c>
      <c r="AP82" s="3">
        <f>_xlfn.XLOOKUP(Tab_Def_Flows[[#This Row],[ODYM_Good_Type]],Tab_Configuration[Value],Tab_Configuration[ODYM_ID],,0,)</f>
        <v>0</v>
      </c>
      <c r="AQ82" s="58" t="b">
        <f>'0_Configuration'!$C$24</f>
        <v>0</v>
      </c>
      <c r="AR82" s="3"/>
      <c r="AS82" s="58" t="b">
        <f>'0_Configuration'!$C$29</f>
        <v>1</v>
      </c>
      <c r="AT82" s="3" t="s">
        <v>369</v>
      </c>
      <c r="AU82" s="3" t="str">
        <f>IF(Tab_Def_Flows[[#This Row],[ODYM_time_(t)]],"t,","")&amp;IF(Tab_Def_Flows[[#This Row],[ODYM_Region_(r)]],"r,","")&amp;IF(Tab_Def_Flows[[#This Row],[ODYM_process_(p)]],"p,","")&amp;IF(Tab_Def_Flows[[#This Row],[ODYM_Good_(g)2]],"g,","")&amp;IF(Tab_Def_Flows[[#This Row],[ODYM_material_(m)]],"m,","")&amp;IF(Tab_Def_Flows[[#This Row],[ODYM_element_(e)]],"e","")</f>
        <v>t,e</v>
      </c>
      <c r="AV8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3" spans="1:48" x14ac:dyDescent="0.25">
      <c r="A83" s="27" t="b">
        <v>0</v>
      </c>
      <c r="B83" s="13">
        <f t="shared" si="5"/>
        <v>82</v>
      </c>
      <c r="C83" s="3" t="str">
        <f t="shared" si="3"/>
        <v>F_01_01</v>
      </c>
      <c r="D83" s="52"/>
      <c r="E83" s="10"/>
      <c r="F83" s="3"/>
      <c r="G83" s="23"/>
      <c r="H83" s="3" t="str">
        <f>_xlfn.XLOOKUP(G83,Tab_Def_Processes[Process_Name],Tab_Def_Processes[Process_ID],,0,)</f>
        <v>01</v>
      </c>
      <c r="I83" s="23"/>
      <c r="J83" s="6" t="str">
        <f>_xlfn.XLOOKUP(I83,Tab_Def_Processes[Process_Name],Tab_Def_Processes[Process_ID],,0,)</f>
        <v>01</v>
      </c>
      <c r="K83" s="23" t="s">
        <v>2</v>
      </c>
      <c r="L83" s="23" t="s">
        <v>2</v>
      </c>
      <c r="M83" s="23" t="s">
        <v>2</v>
      </c>
      <c r="N83" s="23" t="s">
        <v>2</v>
      </c>
      <c r="O83" s="23" t="s">
        <v>2</v>
      </c>
      <c r="P83" s="23" t="s">
        <v>2</v>
      </c>
      <c r="Q83" s="3" t="str">
        <f>Tab_Def_Flows[[#This Row],[Flow_ID]]&amp;"_E1"</f>
        <v>F_01_01_E1</v>
      </c>
      <c r="R83" s="25"/>
      <c r="S83" s="10"/>
      <c r="T83" s="3" t="str">
        <f>Tab_Def_Flows[[#This Row],[Flow_ID]]&amp;"_E2"</f>
        <v>F_01_01_E2</v>
      </c>
      <c r="U83" s="20"/>
      <c r="V83" s="10"/>
      <c r="W83" s="3" t="str">
        <f>Tab_Def_Flows[[#This Row],[Flow_ID]]&amp;"_E3"</f>
        <v>F_01_01_E3</v>
      </c>
      <c r="X83" s="20"/>
      <c r="Y83" s="10"/>
      <c r="Z83" s="3" t="str">
        <f>Tab_Def_Flows[[#This Row],[Flow_ID]]&amp;"_E4"</f>
        <v>F_01_01_E4</v>
      </c>
      <c r="AA83" s="20"/>
      <c r="AB83" s="10"/>
      <c r="AC83" s="3" t="str">
        <f>Tab_Def_Flows[[#This Row],[Flow_ID]]&amp;"_E5"</f>
        <v>F_01_01_E5</v>
      </c>
      <c r="AD83" s="25"/>
      <c r="AE83" s="10"/>
      <c r="AF83" s="3" t="str">
        <f>Tab_Def_Flows[[#This Row],[Flow_ID]]&amp;"_E6"</f>
        <v>F_01_01_E6</v>
      </c>
      <c r="AG83" s="25"/>
      <c r="AH83" s="10"/>
      <c r="AI83" s="58" t="b">
        <f>'0_Configuration'!$C$2</f>
        <v>1</v>
      </c>
      <c r="AJ83" s="3"/>
      <c r="AK83" s="58" t="b">
        <f>'0_Configuration'!$C$6</f>
        <v>0</v>
      </c>
      <c r="AL83" s="3" t="s">
        <v>355</v>
      </c>
      <c r="AM83" s="58" t="b">
        <f>'0_Configuration'!$C$10</f>
        <v>0</v>
      </c>
      <c r="AN83" s="3" t="s">
        <v>355</v>
      </c>
      <c r="AO83" s="58" t="b">
        <f>'0_Configuration'!$C$17</f>
        <v>0</v>
      </c>
      <c r="AP83" s="3">
        <f>_xlfn.XLOOKUP(Tab_Def_Flows[[#This Row],[ODYM_Good_Type]],Tab_Configuration[Value],Tab_Configuration[ODYM_ID],,0,)</f>
        <v>0</v>
      </c>
      <c r="AQ83" s="58" t="b">
        <f>'0_Configuration'!$C$24</f>
        <v>0</v>
      </c>
      <c r="AR83" s="3"/>
      <c r="AS83" s="58" t="b">
        <f>'0_Configuration'!$C$29</f>
        <v>1</v>
      </c>
      <c r="AT83" s="3" t="s">
        <v>369</v>
      </c>
      <c r="AU83" s="3" t="str">
        <f>IF(Tab_Def_Flows[[#This Row],[ODYM_time_(t)]],"t,","")&amp;IF(Tab_Def_Flows[[#This Row],[ODYM_Region_(r)]],"r,","")&amp;IF(Tab_Def_Flows[[#This Row],[ODYM_process_(p)]],"p,","")&amp;IF(Tab_Def_Flows[[#This Row],[ODYM_Good_(g)2]],"g,","")&amp;IF(Tab_Def_Flows[[#This Row],[ODYM_material_(m)]],"m,","")&amp;IF(Tab_Def_Flows[[#This Row],[ODYM_element_(e)]],"e","")</f>
        <v>t,e</v>
      </c>
      <c r="AV8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4" spans="1:48" x14ac:dyDescent="0.25">
      <c r="A84" s="27" t="b">
        <v>0</v>
      </c>
      <c r="B84" s="13">
        <f t="shared" si="5"/>
        <v>83</v>
      </c>
      <c r="C84" s="3" t="str">
        <f t="shared" si="3"/>
        <v>F_01_01</v>
      </c>
      <c r="D84" s="52"/>
      <c r="E84" s="10"/>
      <c r="F84" s="3"/>
      <c r="G84" s="23"/>
      <c r="H84" s="3" t="str">
        <f>_xlfn.XLOOKUP(G84,Tab_Def_Processes[Process_Name],Tab_Def_Processes[Process_ID],,0,)</f>
        <v>01</v>
      </c>
      <c r="I84" s="23"/>
      <c r="J84" s="6" t="str">
        <f>_xlfn.XLOOKUP(I84,Tab_Def_Processes[Process_Name],Tab_Def_Processes[Process_ID],,0,)</f>
        <v>01</v>
      </c>
      <c r="K84" s="23" t="s">
        <v>2</v>
      </c>
      <c r="L84" s="23" t="s">
        <v>2</v>
      </c>
      <c r="M84" s="23" t="s">
        <v>2</v>
      </c>
      <c r="N84" s="23" t="s">
        <v>2</v>
      </c>
      <c r="O84" s="23" t="s">
        <v>2</v>
      </c>
      <c r="P84" s="23" t="s">
        <v>2</v>
      </c>
      <c r="Q84" s="3" t="str">
        <f>Tab_Def_Flows[[#This Row],[Flow_ID]]&amp;"_E1"</f>
        <v>F_01_01_E1</v>
      </c>
      <c r="R84" s="25"/>
      <c r="S84" s="10"/>
      <c r="T84" s="3" t="str">
        <f>Tab_Def_Flows[[#This Row],[Flow_ID]]&amp;"_E2"</f>
        <v>F_01_01_E2</v>
      </c>
      <c r="U84" s="20"/>
      <c r="V84" s="10"/>
      <c r="W84" s="3" t="str">
        <f>Tab_Def_Flows[[#This Row],[Flow_ID]]&amp;"_E3"</f>
        <v>F_01_01_E3</v>
      </c>
      <c r="X84" s="20"/>
      <c r="Y84" s="10"/>
      <c r="Z84" s="3" t="str">
        <f>Tab_Def_Flows[[#This Row],[Flow_ID]]&amp;"_E4"</f>
        <v>F_01_01_E4</v>
      </c>
      <c r="AA84" s="20"/>
      <c r="AB84" s="10"/>
      <c r="AC84" s="3" t="str">
        <f>Tab_Def_Flows[[#This Row],[Flow_ID]]&amp;"_E5"</f>
        <v>F_01_01_E5</v>
      </c>
      <c r="AD84" s="25"/>
      <c r="AE84" s="10"/>
      <c r="AF84" s="3" t="str">
        <f>Tab_Def_Flows[[#This Row],[Flow_ID]]&amp;"_E6"</f>
        <v>F_01_01_E6</v>
      </c>
      <c r="AG84" s="25"/>
      <c r="AH84" s="10"/>
      <c r="AI84" s="58" t="b">
        <f>'0_Configuration'!$C$2</f>
        <v>1</v>
      </c>
      <c r="AJ84" s="3"/>
      <c r="AK84" s="58" t="b">
        <f>'0_Configuration'!$C$6</f>
        <v>0</v>
      </c>
      <c r="AL84" s="3" t="s">
        <v>355</v>
      </c>
      <c r="AM84" s="58" t="b">
        <f>'0_Configuration'!$C$10</f>
        <v>0</v>
      </c>
      <c r="AN84" s="3" t="s">
        <v>355</v>
      </c>
      <c r="AO84" s="58" t="b">
        <f>'0_Configuration'!$C$17</f>
        <v>0</v>
      </c>
      <c r="AP84" s="3">
        <f>_xlfn.XLOOKUP(Tab_Def_Flows[[#This Row],[ODYM_Good_Type]],Tab_Configuration[Value],Tab_Configuration[ODYM_ID],,0,)</f>
        <v>0</v>
      </c>
      <c r="AQ84" s="58" t="b">
        <f>'0_Configuration'!$C$24</f>
        <v>0</v>
      </c>
      <c r="AR84" s="3"/>
      <c r="AS84" s="58" t="b">
        <f>'0_Configuration'!$C$29</f>
        <v>1</v>
      </c>
      <c r="AT84" s="3" t="s">
        <v>369</v>
      </c>
      <c r="AU84" s="3" t="str">
        <f>IF(Tab_Def_Flows[[#This Row],[ODYM_time_(t)]],"t,","")&amp;IF(Tab_Def_Flows[[#This Row],[ODYM_Region_(r)]],"r,","")&amp;IF(Tab_Def_Flows[[#This Row],[ODYM_process_(p)]],"p,","")&amp;IF(Tab_Def_Flows[[#This Row],[ODYM_Good_(g)2]],"g,","")&amp;IF(Tab_Def_Flows[[#This Row],[ODYM_material_(m)]],"m,","")&amp;IF(Tab_Def_Flows[[#This Row],[ODYM_element_(e)]],"e","")</f>
        <v>t,e</v>
      </c>
      <c r="AV8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5" spans="1:48" x14ac:dyDescent="0.25">
      <c r="A85" s="27" t="b">
        <v>0</v>
      </c>
      <c r="B85" s="13">
        <f t="shared" si="5"/>
        <v>84</v>
      </c>
      <c r="C85" s="3" t="str">
        <f t="shared" si="3"/>
        <v>F_01_01</v>
      </c>
      <c r="D85" s="52"/>
      <c r="E85" s="10"/>
      <c r="F85" s="3"/>
      <c r="G85" s="23"/>
      <c r="H85" s="3" t="str">
        <f>_xlfn.XLOOKUP(G85,Tab_Def_Processes[Process_Name],Tab_Def_Processes[Process_ID],,0,)</f>
        <v>01</v>
      </c>
      <c r="I85" s="23"/>
      <c r="J85" s="6" t="str">
        <f>_xlfn.XLOOKUP(I85,Tab_Def_Processes[Process_Name],Tab_Def_Processes[Process_ID],,0,)</f>
        <v>01</v>
      </c>
      <c r="K85" s="23" t="s">
        <v>2</v>
      </c>
      <c r="L85" s="23" t="s">
        <v>2</v>
      </c>
      <c r="M85" s="23" t="s">
        <v>2</v>
      </c>
      <c r="N85" s="23" t="s">
        <v>2</v>
      </c>
      <c r="O85" s="23" t="s">
        <v>2</v>
      </c>
      <c r="P85" s="23" t="s">
        <v>2</v>
      </c>
      <c r="Q85" s="3" t="str">
        <f>Tab_Def_Flows[[#This Row],[Flow_ID]]&amp;"_E1"</f>
        <v>F_01_01_E1</v>
      </c>
      <c r="R85" s="25"/>
      <c r="S85" s="10"/>
      <c r="T85" s="3" t="str">
        <f>Tab_Def_Flows[[#This Row],[Flow_ID]]&amp;"_E2"</f>
        <v>F_01_01_E2</v>
      </c>
      <c r="U85" s="20"/>
      <c r="V85" s="10"/>
      <c r="W85" s="3" t="str">
        <f>Tab_Def_Flows[[#This Row],[Flow_ID]]&amp;"_E3"</f>
        <v>F_01_01_E3</v>
      </c>
      <c r="X85" s="20"/>
      <c r="Y85" s="10"/>
      <c r="Z85" s="3" t="str">
        <f>Tab_Def_Flows[[#This Row],[Flow_ID]]&amp;"_E4"</f>
        <v>F_01_01_E4</v>
      </c>
      <c r="AA85" s="20"/>
      <c r="AB85" s="10"/>
      <c r="AC85" s="3" t="str">
        <f>Tab_Def_Flows[[#This Row],[Flow_ID]]&amp;"_E5"</f>
        <v>F_01_01_E5</v>
      </c>
      <c r="AD85" s="25"/>
      <c r="AE85" s="10"/>
      <c r="AF85" s="3" t="str">
        <f>Tab_Def_Flows[[#This Row],[Flow_ID]]&amp;"_E6"</f>
        <v>F_01_01_E6</v>
      </c>
      <c r="AG85" s="25"/>
      <c r="AH85" s="10"/>
      <c r="AI85" s="58" t="b">
        <f>'0_Configuration'!$C$2</f>
        <v>1</v>
      </c>
      <c r="AJ85" s="3"/>
      <c r="AK85" s="58" t="b">
        <f>'0_Configuration'!$C$6</f>
        <v>0</v>
      </c>
      <c r="AL85" s="3" t="s">
        <v>355</v>
      </c>
      <c r="AM85" s="58" t="b">
        <f>'0_Configuration'!$C$10</f>
        <v>0</v>
      </c>
      <c r="AN85" s="3" t="s">
        <v>355</v>
      </c>
      <c r="AO85" s="58" t="b">
        <f>'0_Configuration'!$C$17</f>
        <v>0</v>
      </c>
      <c r="AP85" s="3">
        <f>_xlfn.XLOOKUP(Tab_Def_Flows[[#This Row],[ODYM_Good_Type]],Tab_Configuration[Value],Tab_Configuration[ODYM_ID],,0,)</f>
        <v>0</v>
      </c>
      <c r="AQ85" s="58" t="b">
        <f>'0_Configuration'!$C$24</f>
        <v>0</v>
      </c>
      <c r="AR85" s="3"/>
      <c r="AS85" s="58" t="b">
        <f>'0_Configuration'!$C$29</f>
        <v>1</v>
      </c>
      <c r="AT85" s="3" t="s">
        <v>369</v>
      </c>
      <c r="AU85" s="3" t="str">
        <f>IF(Tab_Def_Flows[[#This Row],[ODYM_time_(t)]],"t,","")&amp;IF(Tab_Def_Flows[[#This Row],[ODYM_Region_(r)]],"r,","")&amp;IF(Tab_Def_Flows[[#This Row],[ODYM_process_(p)]],"p,","")&amp;IF(Tab_Def_Flows[[#This Row],[ODYM_Good_(g)2]],"g,","")&amp;IF(Tab_Def_Flows[[#This Row],[ODYM_material_(m)]],"m,","")&amp;IF(Tab_Def_Flows[[#This Row],[ODYM_element_(e)]],"e","")</f>
        <v>t,e</v>
      </c>
      <c r="AV8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6" spans="1:48" x14ac:dyDescent="0.25">
      <c r="A86" s="27" t="b">
        <v>0</v>
      </c>
      <c r="B86" s="13">
        <f t="shared" si="5"/>
        <v>85</v>
      </c>
      <c r="C86" s="3" t="str">
        <f t="shared" si="3"/>
        <v>F_01_01</v>
      </c>
      <c r="D86" s="52"/>
      <c r="E86" s="10"/>
      <c r="F86" s="3"/>
      <c r="G86" s="23"/>
      <c r="H86" s="3" t="str">
        <f>_xlfn.XLOOKUP(G86,Tab_Def_Processes[Process_Name],Tab_Def_Processes[Process_ID],,0,)</f>
        <v>01</v>
      </c>
      <c r="I86" s="23"/>
      <c r="J86" s="6" t="str">
        <f>_xlfn.XLOOKUP(I86,Tab_Def_Processes[Process_Name],Tab_Def_Processes[Process_ID],,0,)</f>
        <v>01</v>
      </c>
      <c r="K86" s="23" t="s">
        <v>2</v>
      </c>
      <c r="L86" s="23" t="s">
        <v>2</v>
      </c>
      <c r="M86" s="23" t="s">
        <v>2</v>
      </c>
      <c r="N86" s="23" t="s">
        <v>2</v>
      </c>
      <c r="O86" s="23" t="s">
        <v>2</v>
      </c>
      <c r="P86" s="23" t="s">
        <v>2</v>
      </c>
      <c r="Q86" s="3" t="str">
        <f>Tab_Def_Flows[[#This Row],[Flow_ID]]&amp;"_E1"</f>
        <v>F_01_01_E1</v>
      </c>
      <c r="R86" s="25"/>
      <c r="S86" s="10"/>
      <c r="T86" s="3" t="str">
        <f>Tab_Def_Flows[[#This Row],[Flow_ID]]&amp;"_E2"</f>
        <v>F_01_01_E2</v>
      </c>
      <c r="U86" s="20"/>
      <c r="V86" s="10"/>
      <c r="W86" s="3" t="str">
        <f>Tab_Def_Flows[[#This Row],[Flow_ID]]&amp;"_E3"</f>
        <v>F_01_01_E3</v>
      </c>
      <c r="X86" s="20"/>
      <c r="Y86" s="10"/>
      <c r="Z86" s="3" t="str">
        <f>Tab_Def_Flows[[#This Row],[Flow_ID]]&amp;"_E4"</f>
        <v>F_01_01_E4</v>
      </c>
      <c r="AA86" s="20"/>
      <c r="AB86" s="10"/>
      <c r="AC86" s="3" t="str">
        <f>Tab_Def_Flows[[#This Row],[Flow_ID]]&amp;"_E5"</f>
        <v>F_01_01_E5</v>
      </c>
      <c r="AD86" s="25"/>
      <c r="AE86" s="10"/>
      <c r="AF86" s="3" t="str">
        <f>Tab_Def_Flows[[#This Row],[Flow_ID]]&amp;"_E6"</f>
        <v>F_01_01_E6</v>
      </c>
      <c r="AG86" s="25"/>
      <c r="AH86" s="10"/>
      <c r="AI86" s="58" t="b">
        <f>'0_Configuration'!$C$2</f>
        <v>1</v>
      </c>
      <c r="AJ86" s="3"/>
      <c r="AK86" s="58" t="b">
        <f>'0_Configuration'!$C$6</f>
        <v>0</v>
      </c>
      <c r="AL86" s="3" t="s">
        <v>355</v>
      </c>
      <c r="AM86" s="58" t="b">
        <f>'0_Configuration'!$C$10</f>
        <v>0</v>
      </c>
      <c r="AN86" s="3" t="s">
        <v>355</v>
      </c>
      <c r="AO86" s="58" t="b">
        <f>'0_Configuration'!$C$17</f>
        <v>0</v>
      </c>
      <c r="AP86" s="3">
        <f>_xlfn.XLOOKUP(Tab_Def_Flows[[#This Row],[ODYM_Good_Type]],Tab_Configuration[Value],Tab_Configuration[ODYM_ID],,0,)</f>
        <v>0</v>
      </c>
      <c r="AQ86" s="58" t="b">
        <f>'0_Configuration'!$C$24</f>
        <v>0</v>
      </c>
      <c r="AR86" s="3"/>
      <c r="AS86" s="58" t="b">
        <f>'0_Configuration'!$C$29</f>
        <v>1</v>
      </c>
      <c r="AT86" s="3" t="s">
        <v>369</v>
      </c>
      <c r="AU86" s="3" t="str">
        <f>IF(Tab_Def_Flows[[#This Row],[ODYM_time_(t)]],"t,","")&amp;IF(Tab_Def_Flows[[#This Row],[ODYM_Region_(r)]],"r,","")&amp;IF(Tab_Def_Flows[[#This Row],[ODYM_process_(p)]],"p,","")&amp;IF(Tab_Def_Flows[[#This Row],[ODYM_Good_(g)2]],"g,","")&amp;IF(Tab_Def_Flows[[#This Row],[ODYM_material_(m)]],"m,","")&amp;IF(Tab_Def_Flows[[#This Row],[ODYM_element_(e)]],"e","")</f>
        <v>t,e</v>
      </c>
      <c r="AV8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7" spans="1:48" x14ac:dyDescent="0.25">
      <c r="A87" s="27" t="b">
        <v>0</v>
      </c>
      <c r="B87" s="13">
        <f t="shared" si="5"/>
        <v>86</v>
      </c>
      <c r="C87" s="3" t="str">
        <f t="shared" si="3"/>
        <v>F_01_01</v>
      </c>
      <c r="D87" s="52"/>
      <c r="E87" s="10"/>
      <c r="F87" s="3"/>
      <c r="G87" s="23"/>
      <c r="H87" s="3" t="str">
        <f>_xlfn.XLOOKUP(G87,Tab_Def_Processes[Process_Name],Tab_Def_Processes[Process_ID],,0,)</f>
        <v>01</v>
      </c>
      <c r="I87" s="23"/>
      <c r="J87" s="6" t="str">
        <f>_xlfn.XLOOKUP(I87,Tab_Def_Processes[Process_Name],Tab_Def_Processes[Process_ID],,0,)</f>
        <v>01</v>
      </c>
      <c r="K87" s="23" t="s">
        <v>2</v>
      </c>
      <c r="L87" s="23" t="s">
        <v>2</v>
      </c>
      <c r="M87" s="23" t="s">
        <v>2</v>
      </c>
      <c r="N87" s="23" t="s">
        <v>2</v>
      </c>
      <c r="O87" s="23" t="s">
        <v>2</v>
      </c>
      <c r="P87" s="23" t="s">
        <v>2</v>
      </c>
      <c r="Q87" s="3" t="str">
        <f>Tab_Def_Flows[[#This Row],[Flow_ID]]&amp;"_E1"</f>
        <v>F_01_01_E1</v>
      </c>
      <c r="R87" s="25"/>
      <c r="S87" s="10"/>
      <c r="T87" s="3" t="str">
        <f>Tab_Def_Flows[[#This Row],[Flow_ID]]&amp;"_E2"</f>
        <v>F_01_01_E2</v>
      </c>
      <c r="U87" s="20"/>
      <c r="V87" s="10"/>
      <c r="W87" s="3" t="str">
        <f>Tab_Def_Flows[[#This Row],[Flow_ID]]&amp;"_E3"</f>
        <v>F_01_01_E3</v>
      </c>
      <c r="X87" s="20"/>
      <c r="Y87" s="10"/>
      <c r="Z87" s="3" t="str">
        <f>Tab_Def_Flows[[#This Row],[Flow_ID]]&amp;"_E4"</f>
        <v>F_01_01_E4</v>
      </c>
      <c r="AA87" s="20"/>
      <c r="AB87" s="10"/>
      <c r="AC87" s="3" t="str">
        <f>Tab_Def_Flows[[#This Row],[Flow_ID]]&amp;"_E5"</f>
        <v>F_01_01_E5</v>
      </c>
      <c r="AD87" s="25"/>
      <c r="AE87" s="10"/>
      <c r="AF87" s="3" t="str">
        <f>Tab_Def_Flows[[#This Row],[Flow_ID]]&amp;"_E6"</f>
        <v>F_01_01_E6</v>
      </c>
      <c r="AG87" s="25"/>
      <c r="AH87" s="10"/>
      <c r="AI87" s="58" t="b">
        <f>'0_Configuration'!$C$2</f>
        <v>1</v>
      </c>
      <c r="AJ87" s="3"/>
      <c r="AK87" s="58" t="b">
        <f>'0_Configuration'!$C$6</f>
        <v>0</v>
      </c>
      <c r="AL87" s="3" t="s">
        <v>355</v>
      </c>
      <c r="AM87" s="58" t="b">
        <f>'0_Configuration'!$C$10</f>
        <v>0</v>
      </c>
      <c r="AN87" s="3" t="s">
        <v>355</v>
      </c>
      <c r="AO87" s="58" t="b">
        <f>'0_Configuration'!$C$17</f>
        <v>0</v>
      </c>
      <c r="AP87" s="3">
        <f>_xlfn.XLOOKUP(Tab_Def_Flows[[#This Row],[ODYM_Good_Type]],Tab_Configuration[Value],Tab_Configuration[ODYM_ID],,0,)</f>
        <v>0</v>
      </c>
      <c r="AQ87" s="58" t="b">
        <f>'0_Configuration'!$C$24</f>
        <v>0</v>
      </c>
      <c r="AR87" s="3"/>
      <c r="AS87" s="58" t="b">
        <f>'0_Configuration'!$C$29</f>
        <v>1</v>
      </c>
      <c r="AT87" s="3" t="s">
        <v>369</v>
      </c>
      <c r="AU87" s="3" t="str">
        <f>IF(Tab_Def_Flows[[#This Row],[ODYM_time_(t)]],"t,","")&amp;IF(Tab_Def_Flows[[#This Row],[ODYM_Region_(r)]],"r,","")&amp;IF(Tab_Def_Flows[[#This Row],[ODYM_process_(p)]],"p,","")&amp;IF(Tab_Def_Flows[[#This Row],[ODYM_Good_(g)2]],"g,","")&amp;IF(Tab_Def_Flows[[#This Row],[ODYM_material_(m)]],"m,","")&amp;IF(Tab_Def_Flows[[#This Row],[ODYM_element_(e)]],"e","")</f>
        <v>t,e</v>
      </c>
      <c r="AV8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8" spans="1:48" x14ac:dyDescent="0.25">
      <c r="A88" s="27" t="b">
        <v>0</v>
      </c>
      <c r="B88" s="13">
        <f t="shared" si="5"/>
        <v>87</v>
      </c>
      <c r="C88" s="3" t="str">
        <f t="shared" si="3"/>
        <v>F_01_01</v>
      </c>
      <c r="D88" s="52"/>
      <c r="E88" s="10"/>
      <c r="F88" s="3"/>
      <c r="G88" s="23"/>
      <c r="H88" s="3" t="str">
        <f>_xlfn.XLOOKUP(G88,Tab_Def_Processes[Process_Name],Tab_Def_Processes[Process_ID],,0,)</f>
        <v>01</v>
      </c>
      <c r="I88" s="23"/>
      <c r="J88" s="6" t="str">
        <f>_xlfn.XLOOKUP(I88,Tab_Def_Processes[Process_Name],Tab_Def_Processes[Process_ID],,0,)</f>
        <v>01</v>
      </c>
      <c r="K88" s="23" t="s">
        <v>2</v>
      </c>
      <c r="L88" s="23" t="s">
        <v>2</v>
      </c>
      <c r="M88" s="23" t="s">
        <v>2</v>
      </c>
      <c r="N88" s="23" t="s">
        <v>2</v>
      </c>
      <c r="O88" s="23" t="s">
        <v>2</v>
      </c>
      <c r="P88" s="23" t="s">
        <v>2</v>
      </c>
      <c r="Q88" s="3" t="str">
        <f>Tab_Def_Flows[[#This Row],[Flow_ID]]&amp;"_E1"</f>
        <v>F_01_01_E1</v>
      </c>
      <c r="R88" s="25"/>
      <c r="S88" s="10"/>
      <c r="T88" s="3" t="str">
        <f>Tab_Def_Flows[[#This Row],[Flow_ID]]&amp;"_E2"</f>
        <v>F_01_01_E2</v>
      </c>
      <c r="U88" s="20"/>
      <c r="V88" s="10"/>
      <c r="W88" s="3" t="str">
        <f>Tab_Def_Flows[[#This Row],[Flow_ID]]&amp;"_E3"</f>
        <v>F_01_01_E3</v>
      </c>
      <c r="X88" s="20"/>
      <c r="Y88" s="10"/>
      <c r="Z88" s="3" t="str">
        <f>Tab_Def_Flows[[#This Row],[Flow_ID]]&amp;"_E4"</f>
        <v>F_01_01_E4</v>
      </c>
      <c r="AA88" s="20"/>
      <c r="AB88" s="10"/>
      <c r="AC88" s="3" t="str">
        <f>Tab_Def_Flows[[#This Row],[Flow_ID]]&amp;"_E5"</f>
        <v>F_01_01_E5</v>
      </c>
      <c r="AD88" s="25"/>
      <c r="AE88" s="10"/>
      <c r="AF88" s="3" t="str">
        <f>Tab_Def_Flows[[#This Row],[Flow_ID]]&amp;"_E6"</f>
        <v>F_01_01_E6</v>
      </c>
      <c r="AG88" s="25"/>
      <c r="AH88" s="10"/>
      <c r="AI88" s="58" t="b">
        <f>'0_Configuration'!$C$2</f>
        <v>1</v>
      </c>
      <c r="AJ88" s="3"/>
      <c r="AK88" s="58" t="b">
        <f>'0_Configuration'!$C$6</f>
        <v>0</v>
      </c>
      <c r="AL88" s="3" t="s">
        <v>355</v>
      </c>
      <c r="AM88" s="58" t="b">
        <f>'0_Configuration'!$C$10</f>
        <v>0</v>
      </c>
      <c r="AN88" s="3" t="s">
        <v>355</v>
      </c>
      <c r="AO88" s="58" t="b">
        <f>'0_Configuration'!$C$17</f>
        <v>0</v>
      </c>
      <c r="AP88" s="3">
        <f>_xlfn.XLOOKUP(Tab_Def_Flows[[#This Row],[ODYM_Good_Type]],Tab_Configuration[Value],Tab_Configuration[ODYM_ID],,0,)</f>
        <v>0</v>
      </c>
      <c r="AQ88" s="58" t="b">
        <f>'0_Configuration'!$C$24</f>
        <v>0</v>
      </c>
      <c r="AR88" s="3"/>
      <c r="AS88" s="58" t="b">
        <f>'0_Configuration'!$C$29</f>
        <v>1</v>
      </c>
      <c r="AT88" s="3" t="s">
        <v>369</v>
      </c>
      <c r="AU88" s="3" t="str">
        <f>IF(Tab_Def_Flows[[#This Row],[ODYM_time_(t)]],"t,","")&amp;IF(Tab_Def_Flows[[#This Row],[ODYM_Region_(r)]],"r,","")&amp;IF(Tab_Def_Flows[[#This Row],[ODYM_process_(p)]],"p,","")&amp;IF(Tab_Def_Flows[[#This Row],[ODYM_Good_(g)2]],"g,","")&amp;IF(Tab_Def_Flows[[#This Row],[ODYM_material_(m)]],"m,","")&amp;IF(Tab_Def_Flows[[#This Row],[ODYM_element_(e)]],"e","")</f>
        <v>t,e</v>
      </c>
      <c r="AV8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9" spans="1:48" x14ac:dyDescent="0.25">
      <c r="A89" s="27" t="b">
        <v>0</v>
      </c>
      <c r="B89" s="13">
        <f t="shared" si="5"/>
        <v>88</v>
      </c>
      <c r="C89" s="3" t="str">
        <f t="shared" si="3"/>
        <v>F_01_01</v>
      </c>
      <c r="D89" s="4"/>
      <c r="E89" s="10"/>
      <c r="F89" s="3"/>
      <c r="G89" s="23"/>
      <c r="H89" s="3" t="str">
        <f>_xlfn.XLOOKUP(G89,Tab_Def_Processes[Process_Name],Tab_Def_Processes[Process_ID],,0,)</f>
        <v>01</v>
      </c>
      <c r="I89" s="23"/>
      <c r="J89" s="6" t="str">
        <f>_xlfn.XLOOKUP(I89,Tab_Def_Processes[Process_Name],Tab_Def_Processes[Process_ID],,0,)</f>
        <v>01</v>
      </c>
      <c r="K89" s="23" t="s">
        <v>2</v>
      </c>
      <c r="L89" s="23" t="s">
        <v>2</v>
      </c>
      <c r="M89" s="23" t="s">
        <v>2</v>
      </c>
      <c r="N89" s="23" t="s">
        <v>2</v>
      </c>
      <c r="O89" s="23" t="s">
        <v>2</v>
      </c>
      <c r="P89" s="23" t="s">
        <v>2</v>
      </c>
      <c r="Q89" s="3" t="str">
        <f>Tab_Def_Flows[[#This Row],[Flow_ID]]&amp;"_E1"</f>
        <v>F_01_01_E1</v>
      </c>
      <c r="R89" s="25"/>
      <c r="S89" s="10"/>
      <c r="T89" s="3" t="str">
        <f>Tab_Def_Flows[[#This Row],[Flow_ID]]&amp;"_E2"</f>
        <v>F_01_01_E2</v>
      </c>
      <c r="U89" s="20"/>
      <c r="V89" s="10"/>
      <c r="W89" s="3" t="str">
        <f>Tab_Def_Flows[[#This Row],[Flow_ID]]&amp;"_E3"</f>
        <v>F_01_01_E3</v>
      </c>
      <c r="X89" s="20"/>
      <c r="Y89" s="10"/>
      <c r="Z89" s="3" t="str">
        <f>Tab_Def_Flows[[#This Row],[Flow_ID]]&amp;"_E4"</f>
        <v>F_01_01_E4</v>
      </c>
      <c r="AA89" s="20"/>
      <c r="AB89" s="10"/>
      <c r="AC89" s="3" t="str">
        <f>Tab_Def_Flows[[#This Row],[Flow_ID]]&amp;"_E5"</f>
        <v>F_01_01_E5</v>
      </c>
      <c r="AD89" s="25"/>
      <c r="AE89" s="10"/>
      <c r="AF89" s="3" t="str">
        <f>Tab_Def_Flows[[#This Row],[Flow_ID]]&amp;"_E6"</f>
        <v>F_01_01_E6</v>
      </c>
      <c r="AG89" s="25"/>
      <c r="AH89" s="10"/>
      <c r="AI89" s="58" t="b">
        <f>'0_Configuration'!$C$2</f>
        <v>1</v>
      </c>
      <c r="AJ89" s="3"/>
      <c r="AK89" s="58" t="b">
        <f>'0_Configuration'!$C$6</f>
        <v>0</v>
      </c>
      <c r="AL89" s="3" t="s">
        <v>355</v>
      </c>
      <c r="AM89" s="58" t="b">
        <f>'0_Configuration'!$C$10</f>
        <v>0</v>
      </c>
      <c r="AN89" s="3" t="s">
        <v>355</v>
      </c>
      <c r="AO89" s="58" t="b">
        <f>'0_Configuration'!$C$17</f>
        <v>0</v>
      </c>
      <c r="AP89" s="3">
        <f>_xlfn.XLOOKUP(Tab_Def_Flows[[#This Row],[ODYM_Good_Type]],Tab_Configuration[Value],Tab_Configuration[ODYM_ID],,0,)</f>
        <v>0</v>
      </c>
      <c r="AQ89" s="58" t="b">
        <f>'0_Configuration'!$C$24</f>
        <v>0</v>
      </c>
      <c r="AR89" s="3"/>
      <c r="AS89" s="58" t="b">
        <f>'0_Configuration'!$C$29</f>
        <v>1</v>
      </c>
      <c r="AT89" s="3" t="s">
        <v>369</v>
      </c>
      <c r="AU89" s="3" t="str">
        <f>IF(Tab_Def_Flows[[#This Row],[ODYM_time_(t)]],"t,","")&amp;IF(Tab_Def_Flows[[#This Row],[ODYM_Region_(r)]],"r,","")&amp;IF(Tab_Def_Flows[[#This Row],[ODYM_process_(p)]],"p,","")&amp;IF(Tab_Def_Flows[[#This Row],[ODYM_Good_(g)2]],"g,","")&amp;IF(Tab_Def_Flows[[#This Row],[ODYM_material_(m)]],"m,","")&amp;IF(Tab_Def_Flows[[#This Row],[ODYM_element_(e)]],"e","")</f>
        <v>t,e</v>
      </c>
      <c r="AV8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0" spans="1:48" x14ac:dyDescent="0.25">
      <c r="A90" s="27" t="b">
        <v>0</v>
      </c>
      <c r="B90" s="13">
        <f t="shared" si="5"/>
        <v>89</v>
      </c>
      <c r="C90" s="3" t="str">
        <f>"F_"&amp;LEFT(H90,2)&amp;"_"&amp;LEFT(J90,2)</f>
        <v>F_01_01</v>
      </c>
      <c r="D90" s="4"/>
      <c r="E90" s="10"/>
      <c r="F90" s="3"/>
      <c r="G90" s="23"/>
      <c r="H90" s="3" t="str">
        <f>_xlfn.XLOOKUP(G90,Tab_Def_Processes[Process_Name],Tab_Def_Processes[Process_ID],,0,)</f>
        <v>01</v>
      </c>
      <c r="I90" s="23"/>
      <c r="J90" s="6" t="str">
        <f>_xlfn.XLOOKUP(I90,Tab_Def_Processes[Process_Name],Tab_Def_Processes[Process_ID],,0,)</f>
        <v>01</v>
      </c>
      <c r="K90" s="23" t="s">
        <v>2</v>
      </c>
      <c r="L90" s="23" t="s">
        <v>2</v>
      </c>
      <c r="M90" s="23" t="s">
        <v>2</v>
      </c>
      <c r="N90" s="23" t="s">
        <v>2</v>
      </c>
      <c r="O90" s="23" t="s">
        <v>2</v>
      </c>
      <c r="P90" s="23" t="s">
        <v>2</v>
      </c>
      <c r="Q90" s="3" t="str">
        <f>Tab_Def_Flows[[#This Row],[Flow_ID]]&amp;"_E1"</f>
        <v>F_01_01_E1</v>
      </c>
      <c r="R90" s="25"/>
      <c r="S90" s="10"/>
      <c r="T90" s="3" t="str">
        <f>Tab_Def_Flows[[#This Row],[Flow_ID]]&amp;"_E2"</f>
        <v>F_01_01_E2</v>
      </c>
      <c r="U90" s="20"/>
      <c r="V90" s="10"/>
      <c r="W90" s="3" t="str">
        <f>Tab_Def_Flows[[#This Row],[Flow_ID]]&amp;"_E3"</f>
        <v>F_01_01_E3</v>
      </c>
      <c r="X90" s="20"/>
      <c r="Y90" s="10"/>
      <c r="Z90" s="3" t="str">
        <f>Tab_Def_Flows[[#This Row],[Flow_ID]]&amp;"_E4"</f>
        <v>F_01_01_E4</v>
      </c>
      <c r="AA90" s="20"/>
      <c r="AB90" s="10"/>
      <c r="AC90" s="3" t="str">
        <f>Tab_Def_Flows[[#This Row],[Flow_ID]]&amp;"_E5"</f>
        <v>F_01_01_E5</v>
      </c>
      <c r="AD90" s="25"/>
      <c r="AE90" s="10"/>
      <c r="AF90" s="3" t="str">
        <f>Tab_Def_Flows[[#This Row],[Flow_ID]]&amp;"_E6"</f>
        <v>F_01_01_E6</v>
      </c>
      <c r="AG90" s="25"/>
      <c r="AH90" s="10"/>
      <c r="AI90" s="58" t="b">
        <f>'0_Configuration'!$C$2</f>
        <v>1</v>
      </c>
      <c r="AJ90" s="3"/>
      <c r="AK90" s="58" t="b">
        <f>'0_Configuration'!$C$6</f>
        <v>0</v>
      </c>
      <c r="AL90" s="3" t="s">
        <v>355</v>
      </c>
      <c r="AM90" s="58" t="b">
        <f>'0_Configuration'!$C$10</f>
        <v>0</v>
      </c>
      <c r="AN90" s="3" t="s">
        <v>355</v>
      </c>
      <c r="AO90" s="58" t="b">
        <f>'0_Configuration'!$C$17</f>
        <v>0</v>
      </c>
      <c r="AP90" s="3">
        <f>_xlfn.XLOOKUP(Tab_Def_Flows[[#This Row],[ODYM_Good_Type]],Tab_Configuration[Value],Tab_Configuration[ODYM_ID],,0,)</f>
        <v>0</v>
      </c>
      <c r="AQ90" s="58" t="b">
        <f>'0_Configuration'!$C$24</f>
        <v>0</v>
      </c>
      <c r="AR90" s="3"/>
      <c r="AS90" s="58" t="b">
        <f>'0_Configuration'!$C$29</f>
        <v>1</v>
      </c>
      <c r="AT90" s="3" t="s">
        <v>369</v>
      </c>
      <c r="AU90" s="3" t="str">
        <f>IF(Tab_Def_Flows[[#This Row],[ODYM_time_(t)]],"t,","")&amp;IF(Tab_Def_Flows[[#This Row],[ODYM_Region_(r)]],"r,","")&amp;IF(Tab_Def_Flows[[#This Row],[ODYM_process_(p)]],"p,","")&amp;IF(Tab_Def_Flows[[#This Row],[ODYM_Good_(g)2]],"g,","")&amp;IF(Tab_Def_Flows[[#This Row],[ODYM_material_(m)]],"m,","")&amp;IF(Tab_Def_Flows[[#This Row],[ODYM_element_(e)]],"e","")</f>
        <v>t,e</v>
      </c>
      <c r="AV9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1" spans="1:48" x14ac:dyDescent="0.25">
      <c r="A91" s="27" t="b">
        <v>0</v>
      </c>
      <c r="B91" s="13">
        <f t="shared" si="5"/>
        <v>90</v>
      </c>
      <c r="C91" s="3" t="str">
        <f>"F_"&amp;LEFT(H91,2)&amp;"_"&amp;LEFT(J91,2)</f>
        <v>F_01_01</v>
      </c>
      <c r="D91" s="4"/>
      <c r="E91" s="10"/>
      <c r="F91" s="3"/>
      <c r="G91" s="23"/>
      <c r="H91" s="3" t="str">
        <f>_xlfn.XLOOKUP(G91,Tab_Def_Processes[Process_Name],Tab_Def_Processes[Process_ID],,0,)</f>
        <v>01</v>
      </c>
      <c r="I91" s="23"/>
      <c r="J91" s="6" t="str">
        <f>_xlfn.XLOOKUP(I91,Tab_Def_Processes[Process_Name],Tab_Def_Processes[Process_ID],,0,)</f>
        <v>01</v>
      </c>
      <c r="K91" s="23" t="s">
        <v>2</v>
      </c>
      <c r="L91" s="23" t="s">
        <v>2</v>
      </c>
      <c r="M91" s="23" t="s">
        <v>2</v>
      </c>
      <c r="N91" s="23" t="s">
        <v>2</v>
      </c>
      <c r="O91" s="23" t="s">
        <v>2</v>
      </c>
      <c r="P91" s="23" t="s">
        <v>2</v>
      </c>
      <c r="Q91" s="3" t="str">
        <f>Tab_Def_Flows[[#This Row],[Flow_ID]]&amp;"_E1"</f>
        <v>F_01_01_E1</v>
      </c>
      <c r="R91" s="25"/>
      <c r="S91" s="10"/>
      <c r="T91" s="3" t="str">
        <f>Tab_Def_Flows[[#This Row],[Flow_ID]]&amp;"_E2"</f>
        <v>F_01_01_E2</v>
      </c>
      <c r="U91" s="20"/>
      <c r="V91" s="10"/>
      <c r="W91" s="3" t="str">
        <f>Tab_Def_Flows[[#This Row],[Flow_ID]]&amp;"_E3"</f>
        <v>F_01_01_E3</v>
      </c>
      <c r="X91" s="20"/>
      <c r="Y91" s="10"/>
      <c r="Z91" s="3" t="str">
        <f>Tab_Def_Flows[[#This Row],[Flow_ID]]&amp;"_E4"</f>
        <v>F_01_01_E4</v>
      </c>
      <c r="AA91" s="20"/>
      <c r="AB91" s="10"/>
      <c r="AC91" s="3" t="str">
        <f>Tab_Def_Flows[[#This Row],[Flow_ID]]&amp;"_E5"</f>
        <v>F_01_01_E5</v>
      </c>
      <c r="AD91" s="25"/>
      <c r="AE91" s="10"/>
      <c r="AF91" s="3" t="str">
        <f>Tab_Def_Flows[[#This Row],[Flow_ID]]&amp;"_E6"</f>
        <v>F_01_01_E6</v>
      </c>
      <c r="AG91" s="25"/>
      <c r="AH91" s="10"/>
      <c r="AI91" s="58" t="b">
        <f>'0_Configuration'!$C$2</f>
        <v>1</v>
      </c>
      <c r="AJ91" s="3"/>
      <c r="AK91" s="58" t="b">
        <f>'0_Configuration'!$C$6</f>
        <v>0</v>
      </c>
      <c r="AL91" s="3" t="s">
        <v>355</v>
      </c>
      <c r="AM91" s="58" t="b">
        <f>'0_Configuration'!$C$10</f>
        <v>0</v>
      </c>
      <c r="AN91" s="3" t="s">
        <v>355</v>
      </c>
      <c r="AO91" s="58" t="b">
        <f>'0_Configuration'!$C$17</f>
        <v>0</v>
      </c>
      <c r="AP91" s="3">
        <f>_xlfn.XLOOKUP(Tab_Def_Flows[[#This Row],[ODYM_Good_Type]],Tab_Configuration[Value],Tab_Configuration[ODYM_ID],,0,)</f>
        <v>0</v>
      </c>
      <c r="AQ91" s="58" t="b">
        <f>'0_Configuration'!$C$24</f>
        <v>0</v>
      </c>
      <c r="AR91" s="3"/>
      <c r="AS91" s="58" t="b">
        <f>'0_Configuration'!$C$29</f>
        <v>1</v>
      </c>
      <c r="AT91" s="3" t="s">
        <v>369</v>
      </c>
      <c r="AU91" s="3" t="str">
        <f>IF(Tab_Def_Flows[[#This Row],[ODYM_time_(t)]],"t,","")&amp;IF(Tab_Def_Flows[[#This Row],[ODYM_Region_(r)]],"r,","")&amp;IF(Tab_Def_Flows[[#This Row],[ODYM_process_(p)]],"p,","")&amp;IF(Tab_Def_Flows[[#This Row],[ODYM_Good_(g)2]],"g,","")&amp;IF(Tab_Def_Flows[[#This Row],[ODYM_material_(m)]],"m,","")&amp;IF(Tab_Def_Flows[[#This Row],[ODYM_element_(e)]],"e","")</f>
        <v>t,e</v>
      </c>
      <c r="AV9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2" spans="1:48" x14ac:dyDescent="0.25">
      <c r="A92" s="27" t="b">
        <v>0</v>
      </c>
      <c r="B92" s="13">
        <f t="shared" si="5"/>
        <v>91</v>
      </c>
      <c r="C92" s="3" t="str">
        <f>"F_"&amp;LEFT(H92,2)&amp;"_"&amp;LEFT(J92,2)</f>
        <v>F_01_01</v>
      </c>
      <c r="D92" s="4"/>
      <c r="E92" s="10"/>
      <c r="F92" s="3"/>
      <c r="G92" s="23"/>
      <c r="H92" s="3" t="str">
        <f>_xlfn.XLOOKUP(G92,Tab_Def_Processes[Process_Name],Tab_Def_Processes[Process_ID],,0,)</f>
        <v>01</v>
      </c>
      <c r="I92" s="23"/>
      <c r="J92" s="6" t="str">
        <f>_xlfn.XLOOKUP(I92,Tab_Def_Processes[Process_Name],Tab_Def_Processes[Process_ID],,0,)</f>
        <v>01</v>
      </c>
      <c r="K92" s="23" t="s">
        <v>2</v>
      </c>
      <c r="L92" s="23" t="s">
        <v>2</v>
      </c>
      <c r="M92" s="23" t="s">
        <v>2</v>
      </c>
      <c r="N92" s="23" t="s">
        <v>2</v>
      </c>
      <c r="O92" s="23" t="s">
        <v>2</v>
      </c>
      <c r="P92" s="23" t="s">
        <v>2</v>
      </c>
      <c r="Q92" s="3" t="str">
        <f>Tab_Def_Flows[[#This Row],[Flow_ID]]&amp;"_E1"</f>
        <v>F_01_01_E1</v>
      </c>
      <c r="R92" s="25"/>
      <c r="S92" s="10"/>
      <c r="T92" s="3" t="str">
        <f>Tab_Def_Flows[[#This Row],[Flow_ID]]&amp;"_E2"</f>
        <v>F_01_01_E2</v>
      </c>
      <c r="U92" s="20"/>
      <c r="V92" s="10"/>
      <c r="W92" s="3" t="str">
        <f>Tab_Def_Flows[[#This Row],[Flow_ID]]&amp;"_E3"</f>
        <v>F_01_01_E3</v>
      </c>
      <c r="X92" s="20"/>
      <c r="Y92" s="10"/>
      <c r="Z92" s="3" t="str">
        <f>Tab_Def_Flows[[#This Row],[Flow_ID]]&amp;"_E4"</f>
        <v>F_01_01_E4</v>
      </c>
      <c r="AA92" s="20"/>
      <c r="AB92" s="10"/>
      <c r="AC92" s="3" t="str">
        <f>Tab_Def_Flows[[#This Row],[Flow_ID]]&amp;"_E5"</f>
        <v>F_01_01_E5</v>
      </c>
      <c r="AD92" s="25"/>
      <c r="AE92" s="10"/>
      <c r="AF92" s="3" t="str">
        <f>Tab_Def_Flows[[#This Row],[Flow_ID]]&amp;"_E6"</f>
        <v>F_01_01_E6</v>
      </c>
      <c r="AG92" s="25"/>
      <c r="AH92" s="10"/>
      <c r="AI92" s="58" t="b">
        <f>'0_Configuration'!$C$2</f>
        <v>1</v>
      </c>
      <c r="AJ92" s="3"/>
      <c r="AK92" s="58" t="b">
        <f>'0_Configuration'!$C$6</f>
        <v>0</v>
      </c>
      <c r="AL92" s="3" t="s">
        <v>355</v>
      </c>
      <c r="AM92" s="58" t="b">
        <f>'0_Configuration'!$C$10</f>
        <v>0</v>
      </c>
      <c r="AN92" s="3" t="s">
        <v>355</v>
      </c>
      <c r="AO92" s="58" t="b">
        <f>'0_Configuration'!$C$17</f>
        <v>0</v>
      </c>
      <c r="AP92" s="3">
        <f>_xlfn.XLOOKUP(Tab_Def_Flows[[#This Row],[ODYM_Good_Type]],Tab_Configuration[Value],Tab_Configuration[ODYM_ID],,0,)</f>
        <v>0</v>
      </c>
      <c r="AQ92" s="58" t="b">
        <f>'0_Configuration'!$C$24</f>
        <v>0</v>
      </c>
      <c r="AR92" s="3"/>
      <c r="AS92" s="58" t="b">
        <f>'0_Configuration'!$C$29</f>
        <v>1</v>
      </c>
      <c r="AT92" s="3" t="s">
        <v>369</v>
      </c>
      <c r="AU92" s="3" t="str">
        <f>IF(Tab_Def_Flows[[#This Row],[ODYM_time_(t)]],"t,","")&amp;IF(Tab_Def_Flows[[#This Row],[ODYM_Region_(r)]],"r,","")&amp;IF(Tab_Def_Flows[[#This Row],[ODYM_process_(p)]],"p,","")&amp;IF(Tab_Def_Flows[[#This Row],[ODYM_Good_(g)2]],"g,","")&amp;IF(Tab_Def_Flows[[#This Row],[ODYM_material_(m)]],"m,","")&amp;IF(Tab_Def_Flows[[#This Row],[ODYM_element_(e)]],"e","")</f>
        <v>t,e</v>
      </c>
      <c r="AV9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3" spans="1:48" x14ac:dyDescent="0.25">
      <c r="A93" s="27" t="b">
        <v>0</v>
      </c>
      <c r="B93" s="13">
        <f t="shared" si="5"/>
        <v>92</v>
      </c>
      <c r="C93" s="3" t="str">
        <f>"F_"&amp;LEFT(H93,2)&amp;"_"&amp;LEFT(J93,2)</f>
        <v>F_01_01</v>
      </c>
      <c r="D93" s="4"/>
      <c r="E93" s="10"/>
      <c r="F93" s="3"/>
      <c r="G93" s="23"/>
      <c r="H93" s="3" t="str">
        <f>_xlfn.XLOOKUP(G93,Tab_Def_Processes[Process_Name],Tab_Def_Processes[Process_ID],,0,)</f>
        <v>01</v>
      </c>
      <c r="I93" s="23"/>
      <c r="J93" s="6" t="str">
        <f>_xlfn.XLOOKUP(I93,Tab_Def_Processes[Process_Name],Tab_Def_Processes[Process_ID],,0,)</f>
        <v>01</v>
      </c>
      <c r="K93" s="23" t="s">
        <v>2</v>
      </c>
      <c r="L93" s="23" t="s">
        <v>2</v>
      </c>
      <c r="M93" s="23" t="s">
        <v>2</v>
      </c>
      <c r="N93" s="23" t="s">
        <v>2</v>
      </c>
      <c r="O93" s="23" t="s">
        <v>2</v>
      </c>
      <c r="P93" s="23" t="s">
        <v>2</v>
      </c>
      <c r="Q93" s="3" t="str">
        <f>Tab_Def_Flows[[#This Row],[Flow_ID]]&amp;"_E1"</f>
        <v>F_01_01_E1</v>
      </c>
      <c r="R93" s="25"/>
      <c r="S93" s="10"/>
      <c r="T93" s="3" t="str">
        <f>Tab_Def_Flows[[#This Row],[Flow_ID]]&amp;"_E2"</f>
        <v>F_01_01_E2</v>
      </c>
      <c r="U93" s="20"/>
      <c r="V93" s="10"/>
      <c r="W93" s="3" t="str">
        <f>Tab_Def_Flows[[#This Row],[Flow_ID]]&amp;"_E3"</f>
        <v>F_01_01_E3</v>
      </c>
      <c r="X93" s="20"/>
      <c r="Y93" s="10"/>
      <c r="Z93" s="3" t="str">
        <f>Tab_Def_Flows[[#This Row],[Flow_ID]]&amp;"_E4"</f>
        <v>F_01_01_E4</v>
      </c>
      <c r="AA93" s="20"/>
      <c r="AB93" s="10"/>
      <c r="AC93" s="3" t="str">
        <f>Tab_Def_Flows[[#This Row],[Flow_ID]]&amp;"_E5"</f>
        <v>F_01_01_E5</v>
      </c>
      <c r="AD93" s="25"/>
      <c r="AE93" s="10"/>
      <c r="AF93" s="3" t="str">
        <f>Tab_Def_Flows[[#This Row],[Flow_ID]]&amp;"_E6"</f>
        <v>F_01_01_E6</v>
      </c>
      <c r="AG93" s="25"/>
      <c r="AH93" s="10"/>
      <c r="AI93" s="58" t="b">
        <f>'0_Configuration'!$C$2</f>
        <v>1</v>
      </c>
      <c r="AJ93" s="3"/>
      <c r="AK93" s="58" t="b">
        <f>'0_Configuration'!$C$6</f>
        <v>0</v>
      </c>
      <c r="AL93" s="3" t="s">
        <v>355</v>
      </c>
      <c r="AM93" s="58" t="b">
        <f>'0_Configuration'!$C$10</f>
        <v>0</v>
      </c>
      <c r="AN93" s="3" t="s">
        <v>355</v>
      </c>
      <c r="AO93" s="58" t="b">
        <f>'0_Configuration'!$C$17</f>
        <v>0</v>
      </c>
      <c r="AP93" s="3">
        <f>_xlfn.XLOOKUP(Tab_Def_Flows[[#This Row],[ODYM_Good_Type]],Tab_Configuration[Value],Tab_Configuration[ODYM_ID],,0,)</f>
        <v>0</v>
      </c>
      <c r="AQ93" s="58" t="b">
        <f>'0_Configuration'!$C$24</f>
        <v>0</v>
      </c>
      <c r="AR93" s="3"/>
      <c r="AS93" s="58" t="b">
        <f>'0_Configuration'!$C$29</f>
        <v>1</v>
      </c>
      <c r="AT93" s="3" t="s">
        <v>369</v>
      </c>
      <c r="AU93" s="3" t="str">
        <f>IF(Tab_Def_Flows[[#This Row],[ODYM_time_(t)]],"t,","")&amp;IF(Tab_Def_Flows[[#This Row],[ODYM_Region_(r)]],"r,","")&amp;IF(Tab_Def_Flows[[#This Row],[ODYM_process_(p)]],"p,","")&amp;IF(Tab_Def_Flows[[#This Row],[ODYM_Good_(g)2]],"g,","")&amp;IF(Tab_Def_Flows[[#This Row],[ODYM_material_(m)]],"m,","")&amp;IF(Tab_Def_Flows[[#This Row],[ODYM_element_(e)]],"e","")</f>
        <v>t,e</v>
      </c>
      <c r="AV9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4" spans="1:48" x14ac:dyDescent="0.25">
      <c r="A94" s="27" t="b">
        <v>0</v>
      </c>
      <c r="B94" s="13">
        <f t="shared" si="5"/>
        <v>93</v>
      </c>
      <c r="C94" s="3" t="str">
        <f>"F_"&amp;LEFT(H94,2)&amp;"_"&amp;LEFT(J94,2)</f>
        <v>F__</v>
      </c>
      <c r="D94" s="4" t="s">
        <v>5</v>
      </c>
      <c r="E94" s="10"/>
      <c r="F94" s="3"/>
      <c r="G94" s="23"/>
      <c r="H94" s="3"/>
      <c r="I94" s="23"/>
      <c r="J94" s="6"/>
      <c r="K94" s="23" t="s">
        <v>2</v>
      </c>
      <c r="L94" s="23" t="s">
        <v>2</v>
      </c>
      <c r="M94" s="23" t="s">
        <v>2</v>
      </c>
      <c r="N94" s="23" t="s">
        <v>2</v>
      </c>
      <c r="O94" s="23" t="s">
        <v>2</v>
      </c>
      <c r="P94" s="23" t="s">
        <v>2</v>
      </c>
      <c r="Q94" s="3" t="str">
        <f>Tab_Def_Flows[[#This Row],[Flow_ID]]&amp;"_E1"</f>
        <v>F___E1</v>
      </c>
      <c r="R94" s="25"/>
      <c r="S94" s="10"/>
      <c r="T94" s="3" t="str">
        <f>Tab_Def_Flows[[#This Row],[Flow_ID]]&amp;"_E2"</f>
        <v>F___E2</v>
      </c>
      <c r="U94" s="20"/>
      <c r="V94" s="10"/>
      <c r="W94" s="3" t="str">
        <f>Tab_Def_Flows[[#This Row],[Flow_ID]]&amp;"_E3"</f>
        <v>F___E3</v>
      </c>
      <c r="X94" s="20"/>
      <c r="Y94" s="10"/>
      <c r="Z94" s="3" t="str">
        <f>Tab_Def_Flows[[#This Row],[Flow_ID]]&amp;"_E4"</f>
        <v>F___E4</v>
      </c>
      <c r="AA94" s="20"/>
      <c r="AB94" s="10"/>
      <c r="AC94" s="3" t="str">
        <f>Tab_Def_Flows[[#This Row],[Flow_ID]]&amp;"_E5"</f>
        <v>F___E5</v>
      </c>
      <c r="AD94" s="25"/>
      <c r="AE94" s="10"/>
      <c r="AF94" s="3" t="str">
        <f>Tab_Def_Flows[[#This Row],[Flow_ID]]&amp;"_E6"</f>
        <v>F___E6</v>
      </c>
      <c r="AG94" s="25"/>
      <c r="AH94" s="10"/>
      <c r="AI94" s="58" t="b">
        <f>'0_Configuration'!$C$2</f>
        <v>1</v>
      </c>
      <c r="AJ94" s="3"/>
      <c r="AK94" s="58" t="b">
        <f>'0_Configuration'!$C$6</f>
        <v>0</v>
      </c>
      <c r="AL94" s="3" t="s">
        <v>355</v>
      </c>
      <c r="AM94" s="58" t="b">
        <f>'0_Configuration'!$C$10</f>
        <v>0</v>
      </c>
      <c r="AN94" s="3" t="s">
        <v>355</v>
      </c>
      <c r="AO94" s="58" t="b">
        <f>'0_Configuration'!$C$17</f>
        <v>0</v>
      </c>
      <c r="AP94" s="3">
        <f>_xlfn.XLOOKUP(Tab_Def_Flows[[#This Row],[ODYM_Good_Type]],Tab_Configuration[Value],Tab_Configuration[ODYM_ID],,0,)</f>
        <v>0</v>
      </c>
      <c r="AQ94" s="58" t="b">
        <f>'0_Configuration'!$C$24</f>
        <v>0</v>
      </c>
      <c r="AR94" s="3"/>
      <c r="AS94" s="58" t="b">
        <f>'0_Configuration'!$C$29</f>
        <v>1</v>
      </c>
      <c r="AT94" s="3" t="s">
        <v>369</v>
      </c>
      <c r="AU94" s="3" t="str">
        <f>IF(Tab_Def_Flows[[#This Row],[ODYM_time_(t)]],"t,","")&amp;IF(Tab_Def_Flows[[#This Row],[ODYM_Region_(r)]],"r,","")&amp;IF(Tab_Def_Flows[[#This Row],[ODYM_process_(p)]],"p,","")&amp;IF(Tab_Def_Flows[[#This Row],[ODYM_Good_(g)2]],"g,","")&amp;IF(Tab_Def_Flows[[#This Row],[ODYM_material_(m)]],"m,","")&amp;IF(Tab_Def_Flows[[#This Row],[ODYM_element_(e)]],"e","")</f>
        <v>t,e</v>
      </c>
      <c r="AV9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CB86BBCA-BDCE-4D1A-8B11-508B05897210}">
          <x14:formula1>
            <xm:f>'7_2_Codelists'!$B$3:$B$4</xm:f>
          </x14:formula1>
          <xm:sqref>K2:P94</xm:sqref>
        </x14:dataValidation>
        <x14:dataValidation type="list" allowBlank="1" showInputMessage="1" showErrorMessage="1" promptTitle="Definition of Input Process" prompt="Select the Input Process of the flow" xr:uid="{A58C2CFA-06E6-4D5F-BA0E-D718BD14A466}">
          <x14:formula1>
            <xm:f>'2_1_Definition_Processes'!$D$2:$D$46</xm:f>
          </x14:formula1>
          <xm:sqref>I2:I94</xm:sqref>
        </x14:dataValidation>
        <x14:dataValidation type="list" allowBlank="1" showInputMessage="1" showErrorMessage="1" xr:uid="{4AD812CF-0290-4F19-8FF8-9598289F4519}">
          <x14:formula1>
            <xm:f>'0_Configuration'!$C$18:$C$23</xm:f>
          </x14:formula1>
          <xm:sqref>F28:F94 F2:F26</xm:sqref>
        </x14:dataValidation>
        <x14:dataValidation type="list" allowBlank="1" showInputMessage="1" showErrorMessage="1" xr:uid="{2734313A-3043-4431-A64B-16DD178D12E1}">
          <x14:formula1>
            <xm:f>'6_1_Reference_Manager'!$C$2:$C$49</xm:f>
          </x14:formula1>
          <xm:sqref>S2:S94 V2:V94 Y2:Y94 AB2:AB94 AE2:AE94 AH2:AH94</xm:sqref>
        </x14:dataValidation>
        <x14:dataValidation type="list" allowBlank="1" showInputMessage="1" showErrorMessage="1" promptTitle="Definition of Output Process" prompt="Select the Output Process of the flow" xr:uid="{2F52C72A-BB6C-44DA-84B2-814216CCB8AA}">
          <x14:formula1>
            <xm:f>'2_1_Definition_Processes'!$D$2:$D$46</xm:f>
          </x14:formula1>
          <xm:sqref>G2:G94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I351"/>
  <sheetViews>
    <sheetView zoomScale="130" zoomScaleNormal="130" workbookViewId="0">
      <selection activeCell="C44" sqref="C44"/>
    </sheetView>
  </sheetViews>
  <sheetFormatPr defaultColWidth="10.85546875" defaultRowHeight="15" x14ac:dyDescent="0.25"/>
  <cols>
    <col min="2" max="2" width="18.7109375" customWidth="1"/>
    <col min="3" max="3" width="37.28515625" customWidth="1"/>
    <col min="4" max="9" width="9.42578125" customWidth="1"/>
    <col min="10" max="10" width="18.7109375" customWidth="1"/>
    <col min="11" max="11" width="16.42578125" customWidth="1"/>
    <col min="12" max="12" width="17.5703125" customWidth="1"/>
    <col min="13" max="14" width="14.140625" customWidth="1"/>
    <col min="15" max="15" width="15.5703125" customWidth="1"/>
    <col min="16" max="16" width="32.28515625" customWidth="1"/>
    <col min="17" max="17" width="17" customWidth="1"/>
    <col min="18" max="18" width="15.42578125" customWidth="1"/>
    <col min="19" max="19" width="9.7109375" customWidth="1"/>
    <col min="20" max="20" width="15.140625" customWidth="1"/>
    <col min="21" max="21" width="14.140625" customWidth="1"/>
    <col min="22" max="22" width="9.28515625" customWidth="1"/>
    <col min="23" max="23" width="19.85546875" style="15" customWidth="1"/>
    <col min="24" max="24" width="16.5703125" customWidth="1"/>
    <col min="25" max="25" width="8.5703125" customWidth="1"/>
    <col min="26" max="26" width="19.7109375" customWidth="1"/>
    <col min="27" max="27" width="19.28515625" customWidth="1"/>
    <col min="28" max="28" width="8.7109375" customWidth="1"/>
    <col min="29" max="29" width="19.28515625" customWidth="1"/>
    <col min="30" max="30" width="19" style="3" customWidth="1"/>
    <col min="31" max="31" width="8.7109375" customWidth="1"/>
    <col min="34" max="34" width="9.28515625" customWidth="1"/>
  </cols>
  <sheetData>
    <row r="1" spans="1:35" x14ac:dyDescent="0.25">
      <c r="A1" s="26" t="s">
        <v>4</v>
      </c>
      <c r="B1" s="26" t="s">
        <v>6</v>
      </c>
      <c r="C1" s="26" t="s">
        <v>136</v>
      </c>
      <c r="D1" s="26" t="s">
        <v>413</v>
      </c>
      <c r="E1" s="26" t="s">
        <v>412</v>
      </c>
      <c r="F1" s="26" t="s">
        <v>411</v>
      </c>
      <c r="G1" s="26" t="s">
        <v>410</v>
      </c>
      <c r="H1" s="26" t="s">
        <v>409</v>
      </c>
      <c r="I1" s="26" t="s">
        <v>427</v>
      </c>
      <c r="J1" s="26" t="s">
        <v>134</v>
      </c>
      <c r="K1" s="26" t="s">
        <v>135</v>
      </c>
      <c r="L1" s="26" t="s">
        <v>11</v>
      </c>
      <c r="M1" s="26" t="s">
        <v>485</v>
      </c>
      <c r="N1" s="26" t="s">
        <v>8</v>
      </c>
      <c r="O1" s="26" t="s">
        <v>9</v>
      </c>
      <c r="P1" s="26" t="s">
        <v>10</v>
      </c>
      <c r="Q1" s="26" t="s">
        <v>486</v>
      </c>
      <c r="R1" s="26" t="s">
        <v>384</v>
      </c>
      <c r="S1" s="26" t="s">
        <v>385</v>
      </c>
      <c r="T1" s="26" t="s">
        <v>386</v>
      </c>
      <c r="U1" s="26" t="s">
        <v>387</v>
      </c>
      <c r="V1" s="26" t="s">
        <v>388</v>
      </c>
      <c r="W1" s="26" t="s">
        <v>389</v>
      </c>
      <c r="X1" s="26" t="s">
        <v>390</v>
      </c>
      <c r="Y1" s="26" t="s">
        <v>391</v>
      </c>
      <c r="Z1" s="26" t="s">
        <v>392</v>
      </c>
      <c r="AA1" s="26" t="s">
        <v>393</v>
      </c>
      <c r="AB1" s="26" t="s">
        <v>394</v>
      </c>
      <c r="AC1" s="26" t="s">
        <v>395</v>
      </c>
      <c r="AD1" s="26" t="s">
        <v>396</v>
      </c>
      <c r="AE1" s="26" t="s">
        <v>397</v>
      </c>
      <c r="AF1" s="26" t="s">
        <v>398</v>
      </c>
      <c r="AG1" s="26" t="s">
        <v>426</v>
      </c>
      <c r="AH1" s="26" t="s">
        <v>425</v>
      </c>
      <c r="AI1" s="26" t="s">
        <v>424</v>
      </c>
    </row>
    <row r="2" spans="1:35" x14ac:dyDescent="0.25">
      <c r="A2" s="5">
        <f>ROW()-1</f>
        <v>1</v>
      </c>
      <c r="B2" s="3" t="str">
        <f>_xlfn.XLOOKUP(C2,Tab_Def_Flows[Flow_Name],Tab_Def_Flows[Flow_ID],,0,)</f>
        <v>F__</v>
      </c>
      <c r="C2" s="23" t="s">
        <v>5</v>
      </c>
      <c r="D2" s="6" t="str">
        <f>_xlfn.XLOOKUP(C2,Tab_Def_Flows[Flow_Name],Tab_Def_Flows[Use_E1],,0,)</f>
        <v>Yes</v>
      </c>
      <c r="E2" s="6" t="str">
        <f>_xlfn.XLOOKUP(C2,Tab_Def_Flows[Flow_Name],Tab_Def_Flows[Use_E2],,0,)</f>
        <v>Yes</v>
      </c>
      <c r="F2" s="6" t="str">
        <f>_xlfn.XLOOKUP(C2,Tab_Def_Flows[Flow_Name],Tab_Def_Flows[Use_E3],,0,)</f>
        <v>Yes</v>
      </c>
      <c r="G2" s="6" t="str">
        <f>_xlfn.XLOOKUP(C2,Tab_Def_Flows[Flow_Name],Tab_Def_Flows[Use_E4],,0,)</f>
        <v>Yes</v>
      </c>
      <c r="H2" s="6" t="str">
        <f>_xlfn.XLOOKUP(C2,Tab_Def_Flows[Flow_Name],Tab_Def_Flows[Use_E5],,0,)</f>
        <v>Yes</v>
      </c>
      <c r="I2" s="6" t="str">
        <f>_xlfn.XLOOKUP(C2,Tab_Def_Flows[Flow_Name],Tab_Def_Flows[Use_E6],,0,)</f>
        <v>Yes</v>
      </c>
      <c r="J2" s="52"/>
      <c r="K2" s="53"/>
      <c r="L2" s="3" t="str">
        <f>'0_Configuration'!$C$41</f>
        <v>Mg</v>
      </c>
      <c r="M2" s="10"/>
      <c r="N2" s="23" t="s">
        <v>2</v>
      </c>
      <c r="O2" s="11"/>
      <c r="P2" s="4"/>
      <c r="Q2" s="10"/>
      <c r="R2" s="3">
        <f>_xlfn.XLOOKUP(Tab_Data_Flows[[#This Row],[Flow_Name]],Tab_Def_Flows[Flow_Name],Tab_Def_Flows[Flow_E1_Fraction'[%']],"N.A.",0,1)</f>
        <v>0</v>
      </c>
      <c r="S2" s="9">
        <f t="shared" ref="S2:S65" si="0">IF(N2="no",K2,K2*O2)</f>
        <v>0</v>
      </c>
      <c r="T2" s="3" t="str">
        <f>Tab_Data_Flows[[#This Row],[UoM_Source]]</f>
        <v>Mg</v>
      </c>
      <c r="U2" s="24">
        <f>_xlfn.XLOOKUP(Tab_Data_Flows[[#This Row],[Flow_Name]],Tab_Def_Flows[Flow_Name],Tab_Def_Flows[Flow_E2_Fraction'[%']],"N.A.",0,1)</f>
        <v>0</v>
      </c>
      <c r="V2" s="3">
        <f>IF(E2="Yes",S2*Tab_Data_Flows[[#This Row],[E2_Fraction'[%']]],"N.A.")</f>
        <v>0</v>
      </c>
      <c r="W2" s="3" t="str">
        <f>Tab_Data_Flows[[#This Row],[E1_UoM]]</f>
        <v>Mg</v>
      </c>
      <c r="X2" s="24">
        <f>_xlfn.XLOOKUP(Tab_Data_Flows[[#This Row],[Flow_Name]],Tab_Def_Flows[Flow_Name],Tab_Def_Flows[Flow_E3_Fraction'[%']],"N.A.",0,1)</f>
        <v>0</v>
      </c>
      <c r="Y2" s="3">
        <f>IF(E2="Yes",X2*Tab_Data_Flows[[#This Row],[E1_value]],"N.A.")</f>
        <v>0</v>
      </c>
      <c r="Z2" s="3" t="str">
        <f>Tab_Data_Flows[[#This Row],[E1_UoM]]</f>
        <v>Mg</v>
      </c>
      <c r="AA2" s="24">
        <f>_xlfn.XLOOKUP(Tab_Data_Flows[[#This Row],[Flow_Name]],Tab_Def_Flows[Flow_Name],Tab_Def_Flows[Flow_E4_Fraction'[%']],"N.A.",0,1)</f>
        <v>0</v>
      </c>
      <c r="AB2" s="3">
        <f>IF(H2="Yes",Tab_Data_Flows[[#This Row],[E4_Fraction'[%']]]*Tab_Data_Flows[[#This Row],[E1_value]],"N.A.")</f>
        <v>0</v>
      </c>
      <c r="AC2" s="3" t="str">
        <f>Tab_Data_Flows[[#This Row],[E1_UoM]]</f>
        <v>Mg</v>
      </c>
      <c r="AD2" s="24">
        <f>_xlfn.XLOOKUP(Tab_Data_Flows[[#This Row],[Flow_Name]],Tab_Def_Flows[Flow_Name],Tab_Def_Flows[Flow_E5_Fraction'[%']],"N.A.",0,1)</f>
        <v>0</v>
      </c>
      <c r="AE2" s="3">
        <f>IF(H2="Yes",Tab_Data_Flows[[#This Row],[E5_Fraction'[%']]]*Tab_Data_Flows[[#This Row],[E1_value]],"N.A.")</f>
        <v>0</v>
      </c>
      <c r="AF2" s="3" t="str">
        <f>Tab_Data_Flows[[#This Row],[E1_UoM]]</f>
        <v>Mg</v>
      </c>
      <c r="AG2" s="24">
        <f>_xlfn.XLOOKUP(Tab_Data_Flows[[#This Row],[Flow_Name]],Tab_Def_Flows[Flow_Name],Tab_Def_Flows[Flow_E6_Fraction'[%']],"N.A.",0,1)</f>
        <v>0</v>
      </c>
      <c r="AH2" s="3">
        <f>IF(Tab_Data_Flows[[#This Row],[Use_E6]]="Yes",Tab_Data_Flows[[#This Row],[E6_Fraction'[%']]]*Tab_Data_Flows[[#This Row],[E1_value]],"N.A.")</f>
        <v>0</v>
      </c>
      <c r="AI2" s="3" t="str">
        <f>Tab_Data_Flows[[#This Row],[E1_UoM]]</f>
        <v>Mg</v>
      </c>
    </row>
    <row r="3" spans="1:35" x14ac:dyDescent="0.25">
      <c r="A3" s="5">
        <f t="shared" ref="A3:A66" si="1">ROW()-1</f>
        <v>2</v>
      </c>
      <c r="B3" s="3" t="str">
        <f>_xlfn.XLOOKUP(C3,Tab_Def_Flows[Flow_Name],Tab_Def_Flows[Flow_ID],,0,)</f>
        <v>F__</v>
      </c>
      <c r="C3" s="23" t="s">
        <v>5</v>
      </c>
      <c r="D3" s="6" t="str">
        <f>_xlfn.XLOOKUP(C3,Tab_Def_Flows[Flow_Name],Tab_Def_Flows[Use_E1],,0,)</f>
        <v>Yes</v>
      </c>
      <c r="E3" s="6" t="str">
        <f>_xlfn.XLOOKUP(C3,Tab_Def_Flows[Flow_Name],Tab_Def_Flows[Use_E2],,0,)</f>
        <v>Yes</v>
      </c>
      <c r="F3" s="6" t="str">
        <f>_xlfn.XLOOKUP(C3,Tab_Def_Flows[Flow_Name],Tab_Def_Flows[Use_E3],,0,)</f>
        <v>Yes</v>
      </c>
      <c r="G3" s="6" t="str">
        <f>_xlfn.XLOOKUP(C3,Tab_Def_Flows[Flow_Name],Tab_Def_Flows[Use_E4],,0,)</f>
        <v>Yes</v>
      </c>
      <c r="H3" s="6" t="str">
        <f>_xlfn.XLOOKUP(C3,Tab_Def_Flows[Flow_Name],Tab_Def_Flows[Use_E5],,0,)</f>
        <v>Yes</v>
      </c>
      <c r="I3" s="6" t="str">
        <f>_xlfn.XLOOKUP(C3,Tab_Def_Flows[Flow_Name],Tab_Def_Flows[Use_E6],,0,)</f>
        <v>Yes</v>
      </c>
      <c r="J3" s="52"/>
      <c r="K3" s="53"/>
      <c r="L3" s="3" t="str">
        <f>'0_Configuration'!$C$41</f>
        <v>Mg</v>
      </c>
      <c r="M3" s="10"/>
      <c r="N3" s="23" t="s">
        <v>3</v>
      </c>
      <c r="O3" s="11"/>
      <c r="P3" s="4"/>
      <c r="Q3" s="10"/>
      <c r="R3" s="3">
        <f>_xlfn.XLOOKUP(Tab_Data_Flows[[#This Row],[Flow_Name]],Tab_Def_Flows[Flow_Name],Tab_Def_Flows[Flow_E1_Fraction'[%']],"N.A.",0,1)</f>
        <v>0</v>
      </c>
      <c r="S3" s="9">
        <f t="shared" si="0"/>
        <v>0</v>
      </c>
      <c r="T3" s="3" t="str">
        <f>Tab_Data_Flows[[#This Row],[UoM_Source]]</f>
        <v>Mg</v>
      </c>
      <c r="U3" s="24">
        <f>_xlfn.XLOOKUP(Tab_Data_Flows[[#This Row],[Flow_Name]],Tab_Def_Flows[Flow_Name],Tab_Def_Flows[Flow_E2_Fraction'[%']],"N.A.",0,1)</f>
        <v>0</v>
      </c>
      <c r="V3" s="3">
        <f>IF(D3="Yes",S3*Tab_Data_Flows[[#This Row],[E2_Fraction'[%']]],"N.A.")</f>
        <v>0</v>
      </c>
      <c r="W3" s="3" t="str">
        <f>Tab_Data_Flows[[#This Row],[E1_UoM]]</f>
        <v>Mg</v>
      </c>
      <c r="X3" s="24">
        <f>_xlfn.XLOOKUP(Tab_Data_Flows[[#This Row],[Flow_Name]],Tab_Def_Flows[Flow_Name],Tab_Def_Flows[Flow_E3_Fraction'[%']],"N.A.",0,1)</f>
        <v>0</v>
      </c>
      <c r="Y3" s="3">
        <f>IF(E3="Yes",X3*Tab_Data_Flows[[#This Row],[E1_value]],"N.A.")</f>
        <v>0</v>
      </c>
      <c r="Z3" s="3" t="str">
        <f>Tab_Data_Flows[[#This Row],[E1_UoM]]</f>
        <v>Mg</v>
      </c>
      <c r="AA3" s="24">
        <f>_xlfn.XLOOKUP(Tab_Data_Flows[[#This Row],[Flow_Name]],Tab_Def_Flows[Flow_Name],Tab_Def_Flows[Flow_E4_Fraction'[%']],"N.A.",0,1)</f>
        <v>0</v>
      </c>
      <c r="AB3" s="3">
        <f>IF(H3="Yes",Tab_Data_Flows[[#This Row],[E4_Fraction'[%']]]*Tab_Data_Flows[[#This Row],[E1_value]],"N.A.")</f>
        <v>0</v>
      </c>
      <c r="AC3" s="3" t="str">
        <f>Tab_Data_Flows[[#This Row],[E1_UoM]]</f>
        <v>Mg</v>
      </c>
      <c r="AD3" s="24">
        <f>_xlfn.XLOOKUP(Tab_Data_Flows[[#This Row],[Flow_Name]],Tab_Def_Flows[Flow_Name],Tab_Def_Flows[Flow_E5_Fraction'[%']],"N.A.",0,1)</f>
        <v>0</v>
      </c>
      <c r="AE3" s="3">
        <f>IF(H3="Yes",Tab_Data_Flows[[#This Row],[E5_Fraction'[%']]]*Tab_Data_Flows[[#This Row],[E1_value]],"N.A.")</f>
        <v>0</v>
      </c>
      <c r="AF3" s="3" t="str">
        <f>Tab_Data_Flows[[#This Row],[E1_UoM]]</f>
        <v>Mg</v>
      </c>
      <c r="AG3" s="24">
        <f>_xlfn.XLOOKUP(Tab_Data_Flows[[#This Row],[Flow_Name]],Tab_Def_Flows[Flow_Name],Tab_Def_Flows[Flow_E6_Fraction'[%']],"N.A.",0,1)</f>
        <v>0</v>
      </c>
      <c r="AH3" s="3">
        <f>IF(Tab_Data_Flows[[#This Row],[Use_E6]]="Yes",Tab_Data_Flows[[#This Row],[E6_Fraction'[%']]]*Tab_Data_Flows[[#This Row],[E1_value]],"N.A.")</f>
        <v>0</v>
      </c>
      <c r="AI3" s="3" t="str">
        <f>Tab_Data_Flows[[#This Row],[E1_UoM]]</f>
        <v>Mg</v>
      </c>
    </row>
    <row r="4" spans="1:35" x14ac:dyDescent="0.25">
      <c r="A4" s="5">
        <f t="shared" si="1"/>
        <v>3</v>
      </c>
      <c r="B4" s="3" t="str">
        <f>_xlfn.XLOOKUP(C4,Tab_Def_Flows[Flow_Name],Tab_Def_Flows[Flow_ID],,0,)</f>
        <v>F__</v>
      </c>
      <c r="C4" s="23" t="s">
        <v>5</v>
      </c>
      <c r="D4" s="6" t="str">
        <f>_xlfn.XLOOKUP(C4,Tab_Def_Flows[Flow_Name],Tab_Def_Flows[Use_E1],,0,)</f>
        <v>Yes</v>
      </c>
      <c r="E4" s="6" t="str">
        <f>_xlfn.XLOOKUP(C4,Tab_Def_Flows[Flow_Name],Tab_Def_Flows[Use_E2],,0,)</f>
        <v>Yes</v>
      </c>
      <c r="F4" s="6" t="str">
        <f>_xlfn.XLOOKUP(C4,Tab_Def_Flows[Flow_Name],Tab_Def_Flows[Use_E3],,0,)</f>
        <v>Yes</v>
      </c>
      <c r="G4" s="6" t="str">
        <f>_xlfn.XLOOKUP(C4,Tab_Def_Flows[Flow_Name],Tab_Def_Flows[Use_E4],,0,)</f>
        <v>Yes</v>
      </c>
      <c r="H4" s="6" t="str">
        <f>_xlfn.XLOOKUP(C4,Tab_Def_Flows[Flow_Name],Tab_Def_Flows[Use_E5],,0,)</f>
        <v>Yes</v>
      </c>
      <c r="I4" s="6" t="str">
        <f>_xlfn.XLOOKUP(C4,Tab_Def_Flows[Flow_Name],Tab_Def_Flows[Use_E6],,0,)</f>
        <v>Yes</v>
      </c>
      <c r="J4" s="52"/>
      <c r="K4" s="53"/>
      <c r="L4" s="3" t="str">
        <f>'0_Configuration'!$C$41</f>
        <v>Mg</v>
      </c>
      <c r="M4" s="10"/>
      <c r="N4" s="23" t="s">
        <v>3</v>
      </c>
      <c r="O4" s="11"/>
      <c r="P4" s="4"/>
      <c r="Q4" s="10"/>
      <c r="R4" s="3">
        <f>_xlfn.XLOOKUP(Tab_Data_Flows[[#This Row],[Flow_Name]],Tab_Def_Flows[Flow_Name],Tab_Def_Flows[Flow_E1_Fraction'[%']],"N.A.",0,1)</f>
        <v>0</v>
      </c>
      <c r="S4" s="9">
        <f t="shared" si="0"/>
        <v>0</v>
      </c>
      <c r="T4" s="3" t="str">
        <f>Tab_Data_Flows[[#This Row],[UoM_Source]]</f>
        <v>Mg</v>
      </c>
      <c r="U4" s="24">
        <f>_xlfn.XLOOKUP(Tab_Data_Flows[[#This Row],[Flow_Name]],Tab_Def_Flows[Flow_Name],Tab_Def_Flows[Flow_E2_Fraction'[%']],"N.A.",0,1)</f>
        <v>0</v>
      </c>
      <c r="V4" s="3">
        <f>IF(D4="Yes",S4*Tab_Data_Flows[[#This Row],[E2_Fraction'[%']]],"N.A.")</f>
        <v>0</v>
      </c>
      <c r="W4" s="3" t="str">
        <f>Tab_Data_Flows[[#This Row],[E1_UoM]]</f>
        <v>Mg</v>
      </c>
      <c r="X4" s="24">
        <f>_xlfn.XLOOKUP(Tab_Data_Flows[[#This Row],[Flow_Name]],Tab_Def_Flows[Flow_Name],Tab_Def_Flows[Flow_E3_Fraction'[%']],"N.A.",0,1)</f>
        <v>0</v>
      </c>
      <c r="Y4" s="3">
        <f>IF(E4="Yes",X4*Tab_Data_Flows[[#This Row],[E1_value]],"N.A.")</f>
        <v>0</v>
      </c>
      <c r="Z4" s="3" t="str">
        <f>Tab_Data_Flows[[#This Row],[E1_UoM]]</f>
        <v>Mg</v>
      </c>
      <c r="AA4" s="24">
        <f>_xlfn.XLOOKUP(Tab_Data_Flows[[#This Row],[Flow_Name]],Tab_Def_Flows[Flow_Name],Tab_Def_Flows[Flow_E4_Fraction'[%']],"N.A.",0,1)</f>
        <v>0</v>
      </c>
      <c r="AB4" s="3">
        <f>IF(H4="Yes",Tab_Data_Flows[[#This Row],[E4_Fraction'[%']]]*Tab_Data_Flows[[#This Row],[E1_value]],"N.A.")</f>
        <v>0</v>
      </c>
      <c r="AC4" s="3" t="str">
        <f>Tab_Data_Flows[[#This Row],[E1_UoM]]</f>
        <v>Mg</v>
      </c>
      <c r="AD4" s="24">
        <f>_xlfn.XLOOKUP(Tab_Data_Flows[[#This Row],[Flow_Name]],Tab_Def_Flows[Flow_Name],Tab_Def_Flows[Flow_E5_Fraction'[%']],"N.A.",0,1)</f>
        <v>0</v>
      </c>
      <c r="AE4" s="3">
        <f>IF(H4="Yes",Tab_Data_Flows[[#This Row],[E5_Fraction'[%']]]*Tab_Data_Flows[[#This Row],[E1_value]],"N.A.")</f>
        <v>0</v>
      </c>
      <c r="AF4" s="3" t="str">
        <f>Tab_Data_Flows[[#This Row],[E1_UoM]]</f>
        <v>Mg</v>
      </c>
      <c r="AG4" s="24">
        <f>_xlfn.XLOOKUP(Tab_Data_Flows[[#This Row],[Flow_Name]],Tab_Def_Flows[Flow_Name],Tab_Def_Flows[Flow_E6_Fraction'[%']],"N.A.",0,1)</f>
        <v>0</v>
      </c>
      <c r="AH4" s="3">
        <f>IF(Tab_Data_Flows[[#This Row],[Use_E6]]="Yes",Tab_Data_Flows[[#This Row],[E6_Fraction'[%']]]*Tab_Data_Flows[[#This Row],[E1_value]],"N.A.")</f>
        <v>0</v>
      </c>
      <c r="AI4" s="3" t="str">
        <f>Tab_Data_Flows[[#This Row],[E1_UoM]]</f>
        <v>Mg</v>
      </c>
    </row>
    <row r="5" spans="1:35" x14ac:dyDescent="0.25">
      <c r="A5" s="5">
        <f t="shared" si="1"/>
        <v>4</v>
      </c>
      <c r="B5" s="3" t="str">
        <f>_xlfn.XLOOKUP(C5,Tab_Def_Flows[Flow_Name],Tab_Def_Flows[Flow_ID],,0,)</f>
        <v>F__</v>
      </c>
      <c r="C5" s="23" t="s">
        <v>5</v>
      </c>
      <c r="D5" s="6" t="str">
        <f>_xlfn.XLOOKUP(C5,Tab_Def_Flows[Flow_Name],Tab_Def_Flows[Use_E1],,0,)</f>
        <v>Yes</v>
      </c>
      <c r="E5" s="6" t="str">
        <f>_xlfn.XLOOKUP(C5,Tab_Def_Flows[Flow_Name],Tab_Def_Flows[Use_E2],,0,)</f>
        <v>Yes</v>
      </c>
      <c r="F5" s="6" t="str">
        <f>_xlfn.XLOOKUP(C5,Tab_Def_Flows[Flow_Name],Tab_Def_Flows[Use_E3],,0,)</f>
        <v>Yes</v>
      </c>
      <c r="G5" s="6" t="str">
        <f>_xlfn.XLOOKUP(C5,Tab_Def_Flows[Flow_Name],Tab_Def_Flows[Use_E4],,0,)</f>
        <v>Yes</v>
      </c>
      <c r="H5" s="6" t="str">
        <f>_xlfn.XLOOKUP(C5,Tab_Def_Flows[Flow_Name],Tab_Def_Flows[Use_E5],,0,)</f>
        <v>Yes</v>
      </c>
      <c r="I5" s="6" t="str">
        <f>_xlfn.XLOOKUP(C5,Tab_Def_Flows[Flow_Name],Tab_Def_Flows[Use_E6],,0,)</f>
        <v>Yes</v>
      </c>
      <c r="J5" s="52"/>
      <c r="K5" s="53"/>
      <c r="L5" s="3" t="str">
        <f>'0_Configuration'!$C$41</f>
        <v>Mg</v>
      </c>
      <c r="M5" s="10"/>
      <c r="N5" s="23" t="s">
        <v>3</v>
      </c>
      <c r="O5" s="11"/>
      <c r="P5" s="4"/>
      <c r="Q5" s="10"/>
      <c r="R5" s="3">
        <f>_xlfn.XLOOKUP(Tab_Data_Flows[[#This Row],[Flow_Name]],Tab_Def_Flows[Flow_Name],Tab_Def_Flows[Flow_E1_Fraction'[%']],"N.A.",0,1)</f>
        <v>0</v>
      </c>
      <c r="S5" s="9">
        <f t="shared" si="0"/>
        <v>0</v>
      </c>
      <c r="T5" s="3" t="str">
        <f>Tab_Data_Flows[[#This Row],[UoM_Source]]</f>
        <v>Mg</v>
      </c>
      <c r="U5" s="24">
        <f>_xlfn.XLOOKUP(Tab_Data_Flows[[#This Row],[Flow_Name]],Tab_Def_Flows[Flow_Name],Tab_Def_Flows[Flow_E2_Fraction'[%']],"N.A.",0,1)</f>
        <v>0</v>
      </c>
      <c r="V5" s="3">
        <f>IF(D5="Yes",S5*Tab_Data_Flows[[#This Row],[E2_Fraction'[%']]],"N.A.")</f>
        <v>0</v>
      </c>
      <c r="W5" s="3" t="str">
        <f>Tab_Data_Flows[[#This Row],[E1_UoM]]</f>
        <v>Mg</v>
      </c>
      <c r="X5" s="24">
        <f>_xlfn.XLOOKUP(Tab_Data_Flows[[#This Row],[Flow_Name]],Tab_Def_Flows[Flow_Name],Tab_Def_Flows[Flow_E3_Fraction'[%']],"N.A.",0,1)</f>
        <v>0</v>
      </c>
      <c r="Y5" s="3">
        <f>IF(E5="Yes",X5*Tab_Data_Flows[[#This Row],[E1_value]],"N.A.")</f>
        <v>0</v>
      </c>
      <c r="Z5" s="3" t="str">
        <f>Tab_Data_Flows[[#This Row],[E1_UoM]]</f>
        <v>Mg</v>
      </c>
      <c r="AA5" s="24">
        <f>_xlfn.XLOOKUP(Tab_Data_Flows[[#This Row],[Flow_Name]],Tab_Def_Flows[Flow_Name],Tab_Def_Flows[Flow_E4_Fraction'[%']],"N.A.",0,1)</f>
        <v>0</v>
      </c>
      <c r="AB5" s="3">
        <f>IF(H5="Yes",Tab_Data_Flows[[#This Row],[E4_Fraction'[%']]]*Tab_Data_Flows[[#This Row],[E1_value]],"N.A.")</f>
        <v>0</v>
      </c>
      <c r="AC5" s="3" t="str">
        <f>Tab_Data_Flows[[#This Row],[E1_UoM]]</f>
        <v>Mg</v>
      </c>
      <c r="AD5" s="24">
        <f>_xlfn.XLOOKUP(Tab_Data_Flows[[#This Row],[Flow_Name]],Tab_Def_Flows[Flow_Name],Tab_Def_Flows[Flow_E5_Fraction'[%']],"N.A.",0,1)</f>
        <v>0</v>
      </c>
      <c r="AE5" s="3">
        <f>IF(H5="Yes",Tab_Data_Flows[[#This Row],[E5_Fraction'[%']]]*Tab_Data_Flows[[#This Row],[E1_value]],"N.A.")</f>
        <v>0</v>
      </c>
      <c r="AF5" s="3" t="str">
        <f>Tab_Data_Flows[[#This Row],[E1_UoM]]</f>
        <v>Mg</v>
      </c>
      <c r="AG5" s="24">
        <f>_xlfn.XLOOKUP(Tab_Data_Flows[[#This Row],[Flow_Name]],Tab_Def_Flows[Flow_Name],Tab_Def_Flows[Flow_E6_Fraction'[%']],"N.A.",0,1)</f>
        <v>0</v>
      </c>
      <c r="AH5" s="3">
        <f>IF(Tab_Data_Flows[[#This Row],[Use_E6]]="Yes",Tab_Data_Flows[[#This Row],[E6_Fraction'[%']]]*Tab_Data_Flows[[#This Row],[E1_value]],"N.A.")</f>
        <v>0</v>
      </c>
      <c r="AI5" s="3" t="str">
        <f>Tab_Data_Flows[[#This Row],[E1_UoM]]</f>
        <v>Mg</v>
      </c>
    </row>
    <row r="6" spans="1:35" x14ac:dyDescent="0.25">
      <c r="A6" s="5">
        <f t="shared" si="1"/>
        <v>5</v>
      </c>
      <c r="B6" s="3" t="str">
        <f>_xlfn.XLOOKUP(C6,Tab_Def_Flows[Flow_Name],Tab_Def_Flows[Flow_ID],,0,)</f>
        <v>F__</v>
      </c>
      <c r="C6" s="23" t="s">
        <v>5</v>
      </c>
      <c r="D6" s="6" t="str">
        <f>_xlfn.XLOOKUP(C6,Tab_Def_Flows[Flow_Name],Tab_Def_Flows[Use_E1],,0,)</f>
        <v>Yes</v>
      </c>
      <c r="E6" s="6" t="str">
        <f>_xlfn.XLOOKUP(C6,Tab_Def_Flows[Flow_Name],Tab_Def_Flows[Use_E2],,0,)</f>
        <v>Yes</v>
      </c>
      <c r="F6" s="6" t="str">
        <f>_xlfn.XLOOKUP(C6,Tab_Def_Flows[Flow_Name],Tab_Def_Flows[Use_E3],,0,)</f>
        <v>Yes</v>
      </c>
      <c r="G6" s="6" t="str">
        <f>_xlfn.XLOOKUP(C6,Tab_Def_Flows[Flow_Name],Tab_Def_Flows[Use_E4],,0,)</f>
        <v>Yes</v>
      </c>
      <c r="H6" s="6" t="str">
        <f>_xlfn.XLOOKUP(C6,Tab_Def_Flows[Flow_Name],Tab_Def_Flows[Use_E5],,0,)</f>
        <v>Yes</v>
      </c>
      <c r="I6" s="6" t="str">
        <f>_xlfn.XLOOKUP(C6,Tab_Def_Flows[Flow_Name],Tab_Def_Flows[Use_E6],,0,)</f>
        <v>Yes</v>
      </c>
      <c r="J6" s="52"/>
      <c r="K6" s="53"/>
      <c r="L6" s="3" t="str">
        <f>'0_Configuration'!$C$41</f>
        <v>Mg</v>
      </c>
      <c r="M6" s="10"/>
      <c r="N6" s="23" t="s">
        <v>3</v>
      </c>
      <c r="O6" s="11"/>
      <c r="P6" s="4"/>
      <c r="Q6" s="10"/>
      <c r="R6" s="3">
        <f>_xlfn.XLOOKUP(Tab_Data_Flows[[#This Row],[Flow_Name]],Tab_Def_Flows[Flow_Name],Tab_Def_Flows[Flow_E1_Fraction'[%']],"N.A.",0,1)</f>
        <v>0</v>
      </c>
      <c r="S6" s="9">
        <f t="shared" si="0"/>
        <v>0</v>
      </c>
      <c r="T6" s="3" t="str">
        <f>Tab_Data_Flows[[#This Row],[UoM_Source]]</f>
        <v>Mg</v>
      </c>
      <c r="U6" s="24">
        <f>_xlfn.XLOOKUP(Tab_Data_Flows[[#This Row],[Flow_Name]],Tab_Def_Flows[Flow_Name],Tab_Def_Flows[Flow_E2_Fraction'[%']],"N.A.",0,1)</f>
        <v>0</v>
      </c>
      <c r="V6" s="3">
        <f>IF(D6="Yes",S6*Tab_Data_Flows[[#This Row],[E2_Fraction'[%']]],"N.A.")</f>
        <v>0</v>
      </c>
      <c r="W6" s="3" t="str">
        <f>Tab_Data_Flows[[#This Row],[E1_UoM]]</f>
        <v>Mg</v>
      </c>
      <c r="X6" s="24">
        <f>_xlfn.XLOOKUP(Tab_Data_Flows[[#This Row],[Flow_Name]],Tab_Def_Flows[Flow_Name],Tab_Def_Flows[Flow_E3_Fraction'[%']],"N.A.",0,1)</f>
        <v>0</v>
      </c>
      <c r="Y6" s="3">
        <f>IF(E6="Yes",X6*Tab_Data_Flows[[#This Row],[E1_value]],"N.A.")</f>
        <v>0</v>
      </c>
      <c r="Z6" s="3" t="str">
        <f>Tab_Data_Flows[[#This Row],[E1_UoM]]</f>
        <v>Mg</v>
      </c>
      <c r="AA6" s="24">
        <f>_xlfn.XLOOKUP(Tab_Data_Flows[[#This Row],[Flow_Name]],Tab_Def_Flows[Flow_Name],Tab_Def_Flows[Flow_E4_Fraction'[%']],"N.A.",0,1)</f>
        <v>0</v>
      </c>
      <c r="AB6" s="3">
        <f>IF(H6="Yes",Tab_Data_Flows[[#This Row],[E4_Fraction'[%']]]*Tab_Data_Flows[[#This Row],[E1_value]],"N.A.")</f>
        <v>0</v>
      </c>
      <c r="AC6" s="3" t="str">
        <f>Tab_Data_Flows[[#This Row],[E1_UoM]]</f>
        <v>Mg</v>
      </c>
      <c r="AD6" s="24">
        <f>_xlfn.XLOOKUP(Tab_Data_Flows[[#This Row],[Flow_Name]],Tab_Def_Flows[Flow_Name],Tab_Def_Flows[Flow_E5_Fraction'[%']],"N.A.",0,1)</f>
        <v>0</v>
      </c>
      <c r="AE6" s="3">
        <f>IF(H6="Yes",Tab_Data_Flows[[#This Row],[E5_Fraction'[%']]]*Tab_Data_Flows[[#This Row],[E1_value]],"N.A.")</f>
        <v>0</v>
      </c>
      <c r="AF6" s="3" t="str">
        <f>Tab_Data_Flows[[#This Row],[E1_UoM]]</f>
        <v>Mg</v>
      </c>
      <c r="AG6" s="24">
        <f>_xlfn.XLOOKUP(Tab_Data_Flows[[#This Row],[Flow_Name]],Tab_Def_Flows[Flow_Name],Tab_Def_Flows[Flow_E6_Fraction'[%']],"N.A.",0,1)</f>
        <v>0</v>
      </c>
      <c r="AH6" s="3">
        <f>IF(Tab_Data_Flows[[#This Row],[Use_E6]]="Yes",Tab_Data_Flows[[#This Row],[E6_Fraction'[%']]]*Tab_Data_Flows[[#This Row],[E1_value]],"N.A.")</f>
        <v>0</v>
      </c>
      <c r="AI6" s="3" t="str">
        <f>Tab_Data_Flows[[#This Row],[E1_UoM]]</f>
        <v>Mg</v>
      </c>
    </row>
    <row r="7" spans="1:35" x14ac:dyDescent="0.25">
      <c r="A7" s="5">
        <f t="shared" si="1"/>
        <v>6</v>
      </c>
      <c r="B7" s="3" t="str">
        <f>_xlfn.XLOOKUP(C7,Tab_Def_Flows[Flow_Name],Tab_Def_Flows[Flow_ID],,0,)</f>
        <v>F__</v>
      </c>
      <c r="C7" s="23" t="s">
        <v>5</v>
      </c>
      <c r="D7" s="6" t="str">
        <f>_xlfn.XLOOKUP(C7,Tab_Def_Flows[Flow_Name],Tab_Def_Flows[Use_E1],,0,)</f>
        <v>Yes</v>
      </c>
      <c r="E7" s="6" t="str">
        <f>_xlfn.XLOOKUP(C7,Tab_Def_Flows[Flow_Name],Tab_Def_Flows[Use_E2],,0,)</f>
        <v>Yes</v>
      </c>
      <c r="F7" s="6" t="str">
        <f>_xlfn.XLOOKUP(C7,Tab_Def_Flows[Flow_Name],Tab_Def_Flows[Use_E3],,0,)</f>
        <v>Yes</v>
      </c>
      <c r="G7" s="6" t="str">
        <f>_xlfn.XLOOKUP(C7,Tab_Def_Flows[Flow_Name],Tab_Def_Flows[Use_E4],,0,)</f>
        <v>Yes</v>
      </c>
      <c r="H7" s="6" t="str">
        <f>_xlfn.XLOOKUP(C7,Tab_Def_Flows[Flow_Name],Tab_Def_Flows[Use_E5],,0,)</f>
        <v>Yes</v>
      </c>
      <c r="I7" s="6" t="str">
        <f>_xlfn.XLOOKUP(C7,Tab_Def_Flows[Flow_Name],Tab_Def_Flows[Use_E6],,0,)</f>
        <v>Yes</v>
      </c>
      <c r="J7" s="52"/>
      <c r="K7" s="53"/>
      <c r="L7" s="3" t="str">
        <f>'0_Configuration'!$C$41</f>
        <v>Mg</v>
      </c>
      <c r="M7" s="10"/>
      <c r="N7" s="23" t="s">
        <v>3</v>
      </c>
      <c r="O7" s="11"/>
      <c r="P7" s="4"/>
      <c r="Q7" s="10"/>
      <c r="R7" s="3">
        <f>_xlfn.XLOOKUP(Tab_Data_Flows[[#This Row],[Flow_Name]],Tab_Def_Flows[Flow_Name],Tab_Def_Flows[Flow_E1_Fraction'[%']],"N.A.",0,1)</f>
        <v>0</v>
      </c>
      <c r="S7" s="9">
        <f t="shared" si="0"/>
        <v>0</v>
      </c>
      <c r="T7" s="3" t="str">
        <f>Tab_Data_Flows[[#This Row],[UoM_Source]]</f>
        <v>Mg</v>
      </c>
      <c r="U7" s="24">
        <f>_xlfn.XLOOKUP(Tab_Data_Flows[[#This Row],[Flow_Name]],Tab_Def_Flows[Flow_Name],Tab_Def_Flows[Flow_E2_Fraction'[%']],"N.A.",0,1)</f>
        <v>0</v>
      </c>
      <c r="V7" s="3">
        <f>IF(D7="Yes",S7*Tab_Data_Flows[[#This Row],[E2_Fraction'[%']]],"N.A.")</f>
        <v>0</v>
      </c>
      <c r="W7" s="3" t="str">
        <f>Tab_Data_Flows[[#This Row],[E1_UoM]]</f>
        <v>Mg</v>
      </c>
      <c r="X7" s="24">
        <f>_xlfn.XLOOKUP(Tab_Data_Flows[[#This Row],[Flow_Name]],Tab_Def_Flows[Flow_Name],Tab_Def_Flows[Flow_E3_Fraction'[%']],"N.A.",0,1)</f>
        <v>0</v>
      </c>
      <c r="Y7" s="3">
        <f>IF(E7="Yes",X7*Tab_Data_Flows[[#This Row],[E1_value]],"N.A.")</f>
        <v>0</v>
      </c>
      <c r="Z7" s="3" t="str">
        <f>Tab_Data_Flows[[#This Row],[E1_UoM]]</f>
        <v>Mg</v>
      </c>
      <c r="AA7" s="24">
        <f>_xlfn.XLOOKUP(Tab_Data_Flows[[#This Row],[Flow_Name]],Tab_Def_Flows[Flow_Name],Tab_Def_Flows[Flow_E4_Fraction'[%']],"N.A.",0,1)</f>
        <v>0</v>
      </c>
      <c r="AB7" s="3">
        <f>IF(H7="Yes",Tab_Data_Flows[[#This Row],[E4_Fraction'[%']]]*Tab_Data_Flows[[#This Row],[E1_value]],"N.A.")</f>
        <v>0</v>
      </c>
      <c r="AC7" s="3" t="str">
        <f>Tab_Data_Flows[[#This Row],[E1_UoM]]</f>
        <v>Mg</v>
      </c>
      <c r="AD7" s="24">
        <f>_xlfn.XLOOKUP(Tab_Data_Flows[[#This Row],[Flow_Name]],Tab_Def_Flows[Flow_Name],Tab_Def_Flows[Flow_E5_Fraction'[%']],"N.A.",0,1)</f>
        <v>0</v>
      </c>
      <c r="AE7" s="3">
        <f>IF(H7="Yes",Tab_Data_Flows[[#This Row],[E5_Fraction'[%']]]*Tab_Data_Flows[[#This Row],[E1_value]],"N.A.")</f>
        <v>0</v>
      </c>
      <c r="AF7" s="3" t="str">
        <f>Tab_Data_Flows[[#This Row],[E1_UoM]]</f>
        <v>Mg</v>
      </c>
      <c r="AG7" s="24">
        <f>_xlfn.XLOOKUP(Tab_Data_Flows[[#This Row],[Flow_Name]],Tab_Def_Flows[Flow_Name],Tab_Def_Flows[Flow_E6_Fraction'[%']],"N.A.",0,1)</f>
        <v>0</v>
      </c>
      <c r="AH7" s="3">
        <f>IF(Tab_Data_Flows[[#This Row],[Use_E6]]="Yes",Tab_Data_Flows[[#This Row],[E6_Fraction'[%']]]*Tab_Data_Flows[[#This Row],[E1_value]],"N.A.")</f>
        <v>0</v>
      </c>
      <c r="AI7" s="3" t="str">
        <f>Tab_Data_Flows[[#This Row],[E1_UoM]]</f>
        <v>Mg</v>
      </c>
    </row>
    <row r="8" spans="1:35" x14ac:dyDescent="0.25">
      <c r="A8" s="5">
        <f t="shared" si="1"/>
        <v>7</v>
      </c>
      <c r="B8" s="3" t="str">
        <f>_xlfn.XLOOKUP(C8,Tab_Def_Flows[Flow_Name],Tab_Def_Flows[Flow_ID],,0,)</f>
        <v>F__</v>
      </c>
      <c r="C8" s="23" t="s">
        <v>5</v>
      </c>
      <c r="D8" s="6" t="str">
        <f>_xlfn.XLOOKUP(C8,Tab_Def_Flows[Flow_Name],Tab_Def_Flows[Use_E1],,0,)</f>
        <v>Yes</v>
      </c>
      <c r="E8" s="6" t="str">
        <f>_xlfn.XLOOKUP(C8,Tab_Def_Flows[Flow_Name],Tab_Def_Flows[Use_E2],,0,)</f>
        <v>Yes</v>
      </c>
      <c r="F8" s="6" t="str">
        <f>_xlfn.XLOOKUP(C8,Tab_Def_Flows[Flow_Name],Tab_Def_Flows[Use_E3],,0,)</f>
        <v>Yes</v>
      </c>
      <c r="G8" s="6" t="str">
        <f>_xlfn.XLOOKUP(C8,Tab_Def_Flows[Flow_Name],Tab_Def_Flows[Use_E4],,0,)</f>
        <v>Yes</v>
      </c>
      <c r="H8" s="6" t="str">
        <f>_xlfn.XLOOKUP(C8,Tab_Def_Flows[Flow_Name],Tab_Def_Flows[Use_E5],,0,)</f>
        <v>Yes</v>
      </c>
      <c r="I8" s="6" t="str">
        <f>_xlfn.XLOOKUP(C8,Tab_Def_Flows[Flow_Name],Tab_Def_Flows[Use_E6],,0,)</f>
        <v>Yes</v>
      </c>
      <c r="J8" s="52"/>
      <c r="K8" s="53"/>
      <c r="L8" s="3" t="str">
        <f>'0_Configuration'!$C$41</f>
        <v>Mg</v>
      </c>
      <c r="M8" s="10"/>
      <c r="N8" s="23" t="s">
        <v>3</v>
      </c>
      <c r="O8" s="11"/>
      <c r="P8" s="4"/>
      <c r="Q8" s="10"/>
      <c r="R8" s="3">
        <f>_xlfn.XLOOKUP(Tab_Data_Flows[[#This Row],[Flow_Name]],Tab_Def_Flows[Flow_Name],Tab_Def_Flows[Flow_E1_Fraction'[%']],"N.A.",0,1)</f>
        <v>0</v>
      </c>
      <c r="S8" s="9">
        <f t="shared" si="0"/>
        <v>0</v>
      </c>
      <c r="T8" s="3" t="str">
        <f>Tab_Data_Flows[[#This Row],[UoM_Source]]</f>
        <v>Mg</v>
      </c>
      <c r="U8" s="24">
        <f>_xlfn.XLOOKUP(Tab_Data_Flows[[#This Row],[Flow_Name]],Tab_Def_Flows[Flow_Name],Tab_Def_Flows[Flow_E2_Fraction'[%']],"N.A.",0,1)</f>
        <v>0</v>
      </c>
      <c r="V8" s="3">
        <f>IF(D8="Yes",S8*Tab_Data_Flows[[#This Row],[E2_Fraction'[%']]],"N.A.")</f>
        <v>0</v>
      </c>
      <c r="W8" s="3" t="str">
        <f>Tab_Data_Flows[[#This Row],[E1_UoM]]</f>
        <v>Mg</v>
      </c>
      <c r="X8" s="24">
        <f>_xlfn.XLOOKUP(Tab_Data_Flows[[#This Row],[Flow_Name]],Tab_Def_Flows[Flow_Name],Tab_Def_Flows[Flow_E3_Fraction'[%']],"N.A.",0,1)</f>
        <v>0</v>
      </c>
      <c r="Y8" s="3">
        <f>IF(E8="Yes",X8*Tab_Data_Flows[[#This Row],[E1_value]],"N.A.")</f>
        <v>0</v>
      </c>
      <c r="Z8" s="3" t="str">
        <f>Tab_Data_Flows[[#This Row],[E1_UoM]]</f>
        <v>Mg</v>
      </c>
      <c r="AA8" s="24">
        <f>_xlfn.XLOOKUP(Tab_Data_Flows[[#This Row],[Flow_Name]],Tab_Def_Flows[Flow_Name],Tab_Def_Flows[Flow_E4_Fraction'[%']],"N.A.",0,1)</f>
        <v>0</v>
      </c>
      <c r="AB8" s="3">
        <f>IF(H8="Yes",Tab_Data_Flows[[#This Row],[E4_Fraction'[%']]]*Tab_Data_Flows[[#This Row],[E1_value]],"N.A.")</f>
        <v>0</v>
      </c>
      <c r="AC8" s="3" t="str">
        <f>Tab_Data_Flows[[#This Row],[E1_UoM]]</f>
        <v>Mg</v>
      </c>
      <c r="AD8" s="24">
        <f>_xlfn.XLOOKUP(Tab_Data_Flows[[#This Row],[Flow_Name]],Tab_Def_Flows[Flow_Name],Tab_Def_Flows[Flow_E5_Fraction'[%']],"N.A.",0,1)</f>
        <v>0</v>
      </c>
      <c r="AE8" s="3">
        <f>IF(H8="Yes",Tab_Data_Flows[[#This Row],[E5_Fraction'[%']]]*Tab_Data_Flows[[#This Row],[E1_value]],"N.A.")</f>
        <v>0</v>
      </c>
      <c r="AF8" s="3" t="str">
        <f>Tab_Data_Flows[[#This Row],[E1_UoM]]</f>
        <v>Mg</v>
      </c>
      <c r="AG8" s="24">
        <f>_xlfn.XLOOKUP(Tab_Data_Flows[[#This Row],[Flow_Name]],Tab_Def_Flows[Flow_Name],Tab_Def_Flows[Flow_E6_Fraction'[%']],"N.A.",0,1)</f>
        <v>0</v>
      </c>
      <c r="AH8" s="3">
        <f>IF(Tab_Data_Flows[[#This Row],[Use_E6]]="Yes",Tab_Data_Flows[[#This Row],[E6_Fraction'[%']]]*Tab_Data_Flows[[#This Row],[E1_value]],"N.A.")</f>
        <v>0</v>
      </c>
      <c r="AI8" s="3" t="str">
        <f>Tab_Data_Flows[[#This Row],[E1_UoM]]</f>
        <v>Mg</v>
      </c>
    </row>
    <row r="9" spans="1:35" x14ac:dyDescent="0.25">
      <c r="A9" s="5">
        <f t="shared" si="1"/>
        <v>8</v>
      </c>
      <c r="B9" s="3" t="str">
        <f>_xlfn.XLOOKUP(C9,Tab_Def_Flows[Flow_Name],Tab_Def_Flows[Flow_ID],,0,)</f>
        <v>F__</v>
      </c>
      <c r="C9" s="23" t="s">
        <v>5</v>
      </c>
      <c r="D9" s="6" t="str">
        <f>_xlfn.XLOOKUP(C9,Tab_Def_Flows[Flow_Name],Tab_Def_Flows[Use_E1],,0,)</f>
        <v>Yes</v>
      </c>
      <c r="E9" s="6" t="str">
        <f>_xlfn.XLOOKUP(C9,Tab_Def_Flows[Flow_Name],Tab_Def_Flows[Use_E2],,0,)</f>
        <v>Yes</v>
      </c>
      <c r="F9" s="6" t="str">
        <f>_xlfn.XLOOKUP(C9,Tab_Def_Flows[Flow_Name],Tab_Def_Flows[Use_E3],,0,)</f>
        <v>Yes</v>
      </c>
      <c r="G9" s="6" t="str">
        <f>_xlfn.XLOOKUP(C9,Tab_Def_Flows[Flow_Name],Tab_Def_Flows[Use_E4],,0,)</f>
        <v>Yes</v>
      </c>
      <c r="H9" s="6" t="str">
        <f>_xlfn.XLOOKUP(C9,Tab_Def_Flows[Flow_Name],Tab_Def_Flows[Use_E5],,0,)</f>
        <v>Yes</v>
      </c>
      <c r="I9" s="6" t="str">
        <f>_xlfn.XLOOKUP(C9,Tab_Def_Flows[Flow_Name],Tab_Def_Flows[Use_E6],,0,)</f>
        <v>Yes</v>
      </c>
      <c r="J9" s="52"/>
      <c r="K9" s="53"/>
      <c r="L9" s="3" t="str">
        <f>'0_Configuration'!$C$41</f>
        <v>Mg</v>
      </c>
      <c r="M9" s="10"/>
      <c r="N9" s="23" t="s">
        <v>3</v>
      </c>
      <c r="O9" s="4"/>
      <c r="P9" s="4"/>
      <c r="Q9" s="10"/>
      <c r="R9" s="3">
        <f>_xlfn.XLOOKUP(Tab_Data_Flows[[#This Row],[Flow_Name]],Tab_Def_Flows[Flow_Name],Tab_Def_Flows[Flow_E1_Fraction'[%']],"N.A.",0,1)</f>
        <v>0</v>
      </c>
      <c r="S9" s="9">
        <f t="shared" si="0"/>
        <v>0</v>
      </c>
      <c r="T9" s="3" t="str">
        <f>Tab_Data_Flows[[#This Row],[UoM_Source]]</f>
        <v>Mg</v>
      </c>
      <c r="U9" s="24">
        <f>_xlfn.XLOOKUP(Tab_Data_Flows[[#This Row],[Flow_Name]],Tab_Def_Flows[Flow_Name],Tab_Def_Flows[Flow_E2_Fraction'[%']],"N.A.",0,1)</f>
        <v>0</v>
      </c>
      <c r="V9" s="3">
        <f>IF(D9="Yes",S9*Tab_Data_Flows[[#This Row],[E2_Fraction'[%']]],"N.A.")</f>
        <v>0</v>
      </c>
      <c r="W9" s="3" t="str">
        <f>Tab_Data_Flows[[#This Row],[E1_UoM]]</f>
        <v>Mg</v>
      </c>
      <c r="X9" s="24">
        <f>_xlfn.XLOOKUP(Tab_Data_Flows[[#This Row],[Flow_Name]],Tab_Def_Flows[Flow_Name],Tab_Def_Flows[Flow_E3_Fraction'[%']],"N.A.",0,1)</f>
        <v>0</v>
      </c>
      <c r="Y9" s="3">
        <f>IF(E9="Yes",X9*Tab_Data_Flows[[#This Row],[E1_value]],"N.A.")</f>
        <v>0</v>
      </c>
      <c r="Z9" s="3" t="str">
        <f>Tab_Data_Flows[[#This Row],[E1_UoM]]</f>
        <v>Mg</v>
      </c>
      <c r="AA9" s="24">
        <f>_xlfn.XLOOKUP(Tab_Data_Flows[[#This Row],[Flow_Name]],Tab_Def_Flows[Flow_Name],Tab_Def_Flows[Flow_E4_Fraction'[%']],"N.A.",0,1)</f>
        <v>0</v>
      </c>
      <c r="AB9" s="3">
        <f>IF(H9="Yes",Tab_Data_Flows[[#This Row],[E4_Fraction'[%']]]*Tab_Data_Flows[[#This Row],[E1_value]],"N.A.")</f>
        <v>0</v>
      </c>
      <c r="AC9" s="3" t="str">
        <f>Tab_Data_Flows[[#This Row],[E1_UoM]]</f>
        <v>Mg</v>
      </c>
      <c r="AD9" s="24">
        <f>_xlfn.XLOOKUP(Tab_Data_Flows[[#This Row],[Flow_Name]],Tab_Def_Flows[Flow_Name],Tab_Def_Flows[Flow_E5_Fraction'[%']],"N.A.",0,1)</f>
        <v>0</v>
      </c>
      <c r="AE9" s="3">
        <f>IF(H9="Yes",Tab_Data_Flows[[#This Row],[E5_Fraction'[%']]]*Tab_Data_Flows[[#This Row],[E1_value]],"N.A.")</f>
        <v>0</v>
      </c>
      <c r="AF9" s="3" t="str">
        <f>Tab_Data_Flows[[#This Row],[E1_UoM]]</f>
        <v>Mg</v>
      </c>
      <c r="AG9" s="24">
        <f>_xlfn.XLOOKUP(Tab_Data_Flows[[#This Row],[Flow_Name]],Tab_Def_Flows[Flow_Name],Tab_Def_Flows[Flow_E6_Fraction'[%']],"N.A.",0,1)</f>
        <v>0</v>
      </c>
      <c r="AH9" s="3">
        <f>IF(Tab_Data_Flows[[#This Row],[Use_E6]]="Yes",Tab_Data_Flows[[#This Row],[E6_Fraction'[%']]]*Tab_Data_Flows[[#This Row],[E1_value]],"N.A.")</f>
        <v>0</v>
      </c>
      <c r="AI9" s="3" t="str">
        <f>Tab_Data_Flows[[#This Row],[E1_UoM]]</f>
        <v>Mg</v>
      </c>
    </row>
    <row r="10" spans="1:35" x14ac:dyDescent="0.25">
      <c r="A10" s="5">
        <f t="shared" si="1"/>
        <v>9</v>
      </c>
      <c r="B10" s="3" t="str">
        <f>_xlfn.XLOOKUP(C10,Tab_Def_Flows[Flow_Name],Tab_Def_Flows[Flow_ID],,0,)</f>
        <v>F__</v>
      </c>
      <c r="C10" s="23" t="s">
        <v>5</v>
      </c>
      <c r="D10" s="6" t="str">
        <f>_xlfn.XLOOKUP(C10,Tab_Def_Flows[Flow_Name],Tab_Def_Flows[Use_E1],,0,)</f>
        <v>Yes</v>
      </c>
      <c r="E10" s="6" t="str">
        <f>_xlfn.XLOOKUP(C10,Tab_Def_Flows[Flow_Name],Tab_Def_Flows[Use_E2],,0,)</f>
        <v>Yes</v>
      </c>
      <c r="F10" s="6" t="str">
        <f>_xlfn.XLOOKUP(C10,Tab_Def_Flows[Flow_Name],Tab_Def_Flows[Use_E3],,0,)</f>
        <v>Yes</v>
      </c>
      <c r="G10" s="6" t="str">
        <f>_xlfn.XLOOKUP(C10,Tab_Def_Flows[Flow_Name],Tab_Def_Flows[Use_E4],,0,)</f>
        <v>Yes</v>
      </c>
      <c r="H10" s="6" t="str">
        <f>_xlfn.XLOOKUP(C10,Tab_Def_Flows[Flow_Name],Tab_Def_Flows[Use_E5],,0,)</f>
        <v>Yes</v>
      </c>
      <c r="I10" s="6" t="str">
        <f>_xlfn.XLOOKUP(C10,Tab_Def_Flows[Flow_Name],Tab_Def_Flows[Use_E6],,0,)</f>
        <v>Yes</v>
      </c>
      <c r="J10" s="52"/>
      <c r="K10" s="53"/>
      <c r="L10" s="3" t="str">
        <f>'0_Configuration'!$C$41</f>
        <v>Mg</v>
      </c>
      <c r="M10" s="10"/>
      <c r="N10" s="23" t="s">
        <v>3</v>
      </c>
      <c r="O10" s="4"/>
      <c r="P10" s="4"/>
      <c r="Q10" s="10"/>
      <c r="R10" s="3">
        <f>_xlfn.XLOOKUP(Tab_Data_Flows[[#This Row],[Flow_Name]],Tab_Def_Flows[Flow_Name],Tab_Def_Flows[Flow_E1_Fraction'[%']],"N.A.",0,1)</f>
        <v>0</v>
      </c>
      <c r="S10" s="9">
        <f t="shared" si="0"/>
        <v>0</v>
      </c>
      <c r="T10" s="3" t="str">
        <f>Tab_Data_Flows[[#This Row],[UoM_Source]]</f>
        <v>Mg</v>
      </c>
      <c r="U10" s="24">
        <f>_xlfn.XLOOKUP(Tab_Data_Flows[[#This Row],[Flow_Name]],Tab_Def_Flows[Flow_Name],Tab_Def_Flows[Flow_E2_Fraction'[%']],"N.A.",0,1)</f>
        <v>0</v>
      </c>
      <c r="V10" s="3">
        <f>IF(D10="Yes",S10*Tab_Data_Flows[[#This Row],[E2_Fraction'[%']]],"N.A.")</f>
        <v>0</v>
      </c>
      <c r="W10" s="3" t="str">
        <f>Tab_Data_Flows[[#This Row],[E1_UoM]]</f>
        <v>Mg</v>
      </c>
      <c r="X10" s="24">
        <f>_xlfn.XLOOKUP(Tab_Data_Flows[[#This Row],[Flow_Name]],Tab_Def_Flows[Flow_Name],Tab_Def_Flows[Flow_E3_Fraction'[%']],"N.A.",0,1)</f>
        <v>0</v>
      </c>
      <c r="Y10" s="3">
        <f>IF(E10="Yes",X10*Tab_Data_Flows[[#This Row],[E1_value]],"N.A.")</f>
        <v>0</v>
      </c>
      <c r="Z10" s="3" t="str">
        <f>Tab_Data_Flows[[#This Row],[E1_UoM]]</f>
        <v>Mg</v>
      </c>
      <c r="AA10" s="24">
        <f>_xlfn.XLOOKUP(Tab_Data_Flows[[#This Row],[Flow_Name]],Tab_Def_Flows[Flow_Name],Tab_Def_Flows[Flow_E4_Fraction'[%']],"N.A.",0,1)</f>
        <v>0</v>
      </c>
      <c r="AB10" s="3">
        <f>IF(H10="Yes",Tab_Data_Flows[[#This Row],[E4_Fraction'[%']]]*Tab_Data_Flows[[#This Row],[E1_value]],"N.A.")</f>
        <v>0</v>
      </c>
      <c r="AC10" s="3" t="str">
        <f>Tab_Data_Flows[[#This Row],[E1_UoM]]</f>
        <v>Mg</v>
      </c>
      <c r="AD10" s="24">
        <f>_xlfn.XLOOKUP(Tab_Data_Flows[[#This Row],[Flow_Name]],Tab_Def_Flows[Flow_Name],Tab_Def_Flows[Flow_E5_Fraction'[%']],"N.A.",0,1)</f>
        <v>0</v>
      </c>
      <c r="AE10" s="3">
        <f>IF(H10="Yes",Tab_Data_Flows[[#This Row],[E5_Fraction'[%']]]*Tab_Data_Flows[[#This Row],[E1_value]],"N.A.")</f>
        <v>0</v>
      </c>
      <c r="AF10" s="3" t="str">
        <f>Tab_Data_Flows[[#This Row],[E1_UoM]]</f>
        <v>Mg</v>
      </c>
      <c r="AG10" s="24">
        <f>_xlfn.XLOOKUP(Tab_Data_Flows[[#This Row],[Flow_Name]],Tab_Def_Flows[Flow_Name],Tab_Def_Flows[Flow_E6_Fraction'[%']],"N.A.",0,1)</f>
        <v>0</v>
      </c>
      <c r="AH10" s="3">
        <f>IF(Tab_Data_Flows[[#This Row],[Use_E6]]="Yes",Tab_Data_Flows[[#This Row],[E6_Fraction'[%']]]*Tab_Data_Flows[[#This Row],[E1_value]],"N.A.")</f>
        <v>0</v>
      </c>
      <c r="AI10" s="3" t="str">
        <f>Tab_Data_Flows[[#This Row],[E1_UoM]]</f>
        <v>Mg</v>
      </c>
    </row>
    <row r="11" spans="1:35" x14ac:dyDescent="0.25">
      <c r="A11" s="5">
        <f t="shared" si="1"/>
        <v>10</v>
      </c>
      <c r="B11" s="3" t="str">
        <f>_xlfn.XLOOKUP(C11,Tab_Def_Flows[Flow_Name],Tab_Def_Flows[Flow_ID],,0,)</f>
        <v>F__</v>
      </c>
      <c r="C11" s="23" t="s">
        <v>5</v>
      </c>
      <c r="D11" s="6" t="str">
        <f>_xlfn.XLOOKUP(C11,Tab_Def_Flows[Flow_Name],Tab_Def_Flows[Use_E1],,0,)</f>
        <v>Yes</v>
      </c>
      <c r="E11" s="6" t="str">
        <f>_xlfn.XLOOKUP(C11,Tab_Def_Flows[Flow_Name],Tab_Def_Flows[Use_E2],,0,)</f>
        <v>Yes</v>
      </c>
      <c r="F11" s="6" t="str">
        <f>_xlfn.XLOOKUP(C11,Tab_Def_Flows[Flow_Name],Tab_Def_Flows[Use_E3],,0,)</f>
        <v>Yes</v>
      </c>
      <c r="G11" s="6" t="str">
        <f>_xlfn.XLOOKUP(C11,Tab_Def_Flows[Flow_Name],Tab_Def_Flows[Use_E4],,0,)</f>
        <v>Yes</v>
      </c>
      <c r="H11" s="6" t="str">
        <f>_xlfn.XLOOKUP(C11,Tab_Def_Flows[Flow_Name],Tab_Def_Flows[Use_E5],,0,)</f>
        <v>Yes</v>
      </c>
      <c r="I11" s="6" t="str">
        <f>_xlfn.XLOOKUP(C11,Tab_Def_Flows[Flow_Name],Tab_Def_Flows[Use_E6],,0,)</f>
        <v>Yes</v>
      </c>
      <c r="J11" s="52"/>
      <c r="K11" s="53"/>
      <c r="L11" s="3" t="str">
        <f>'0_Configuration'!$C$41</f>
        <v>Mg</v>
      </c>
      <c r="M11" s="10"/>
      <c r="N11" s="23" t="s">
        <v>3</v>
      </c>
      <c r="O11" s="4"/>
      <c r="P11" s="4"/>
      <c r="Q11" s="10"/>
      <c r="R11" s="3">
        <f>_xlfn.XLOOKUP(Tab_Data_Flows[[#This Row],[Flow_Name]],Tab_Def_Flows[Flow_Name],Tab_Def_Flows[Flow_E1_Fraction'[%']],"N.A.",0,1)</f>
        <v>0</v>
      </c>
      <c r="S11" s="9">
        <f t="shared" si="0"/>
        <v>0</v>
      </c>
      <c r="T11" s="3" t="str">
        <f>Tab_Data_Flows[[#This Row],[UoM_Source]]</f>
        <v>Mg</v>
      </c>
      <c r="U11" s="24">
        <f>_xlfn.XLOOKUP(Tab_Data_Flows[[#This Row],[Flow_Name]],Tab_Def_Flows[Flow_Name],Tab_Def_Flows[Flow_E2_Fraction'[%']],"N.A.",0,1)</f>
        <v>0</v>
      </c>
      <c r="V11" s="3">
        <f>IF(D11="Yes",S11*Tab_Data_Flows[[#This Row],[E2_Fraction'[%']]],"N.A.")</f>
        <v>0</v>
      </c>
      <c r="W11" s="3" t="str">
        <f>Tab_Data_Flows[[#This Row],[E1_UoM]]</f>
        <v>Mg</v>
      </c>
      <c r="X11" s="24">
        <f>_xlfn.XLOOKUP(Tab_Data_Flows[[#This Row],[Flow_Name]],Tab_Def_Flows[Flow_Name],Tab_Def_Flows[Flow_E3_Fraction'[%']],"N.A.",0,1)</f>
        <v>0</v>
      </c>
      <c r="Y11" s="3">
        <f>IF(E11="Yes",X11*Tab_Data_Flows[[#This Row],[E1_value]],"N.A.")</f>
        <v>0</v>
      </c>
      <c r="Z11" s="3" t="str">
        <f>Tab_Data_Flows[[#This Row],[E1_UoM]]</f>
        <v>Mg</v>
      </c>
      <c r="AA11" s="24">
        <f>_xlfn.XLOOKUP(Tab_Data_Flows[[#This Row],[Flow_Name]],Tab_Def_Flows[Flow_Name],Tab_Def_Flows[Flow_E4_Fraction'[%']],"N.A.",0,1)</f>
        <v>0</v>
      </c>
      <c r="AB11" s="3">
        <f>IF(H11="Yes",Tab_Data_Flows[[#This Row],[E4_Fraction'[%']]]*Tab_Data_Flows[[#This Row],[E1_value]],"N.A.")</f>
        <v>0</v>
      </c>
      <c r="AC11" s="3" t="str">
        <f>Tab_Data_Flows[[#This Row],[E1_UoM]]</f>
        <v>Mg</v>
      </c>
      <c r="AD11" s="24">
        <f>_xlfn.XLOOKUP(Tab_Data_Flows[[#This Row],[Flow_Name]],Tab_Def_Flows[Flow_Name],Tab_Def_Flows[Flow_E5_Fraction'[%']],"N.A.",0,1)</f>
        <v>0</v>
      </c>
      <c r="AE11" s="3">
        <f>IF(H11="Yes",Tab_Data_Flows[[#This Row],[E5_Fraction'[%']]]*Tab_Data_Flows[[#This Row],[E1_value]],"N.A.")</f>
        <v>0</v>
      </c>
      <c r="AF11" s="3" t="str">
        <f>Tab_Data_Flows[[#This Row],[E1_UoM]]</f>
        <v>Mg</v>
      </c>
      <c r="AG11" s="24">
        <f>_xlfn.XLOOKUP(Tab_Data_Flows[[#This Row],[Flow_Name]],Tab_Def_Flows[Flow_Name],Tab_Def_Flows[Flow_E6_Fraction'[%']],"N.A.",0,1)</f>
        <v>0</v>
      </c>
      <c r="AH11" s="3">
        <f>IF(Tab_Data_Flows[[#This Row],[Use_E6]]="Yes",Tab_Data_Flows[[#This Row],[E6_Fraction'[%']]]*Tab_Data_Flows[[#This Row],[E1_value]],"N.A.")</f>
        <v>0</v>
      </c>
      <c r="AI11" s="3" t="str">
        <f>Tab_Data_Flows[[#This Row],[E1_UoM]]</f>
        <v>Mg</v>
      </c>
    </row>
    <row r="12" spans="1:35" x14ac:dyDescent="0.25">
      <c r="A12" s="5">
        <f t="shared" si="1"/>
        <v>11</v>
      </c>
      <c r="B12" s="3" t="str">
        <f>_xlfn.XLOOKUP(C12,Tab_Def_Flows[Flow_Name],Tab_Def_Flows[Flow_ID],,0,)</f>
        <v>F__</v>
      </c>
      <c r="C12" s="23" t="s">
        <v>5</v>
      </c>
      <c r="D12" s="6" t="str">
        <f>_xlfn.XLOOKUP(C12,Tab_Def_Flows[Flow_Name],Tab_Def_Flows[Use_E1],,0,)</f>
        <v>Yes</v>
      </c>
      <c r="E12" s="6" t="str">
        <f>_xlfn.XLOOKUP(C12,Tab_Def_Flows[Flow_Name],Tab_Def_Flows[Use_E2],,0,)</f>
        <v>Yes</v>
      </c>
      <c r="F12" s="6" t="str">
        <f>_xlfn.XLOOKUP(C12,Tab_Def_Flows[Flow_Name],Tab_Def_Flows[Use_E3],,0,)</f>
        <v>Yes</v>
      </c>
      <c r="G12" s="6" t="str">
        <f>_xlfn.XLOOKUP(C12,Tab_Def_Flows[Flow_Name],Tab_Def_Flows[Use_E4],,0,)</f>
        <v>Yes</v>
      </c>
      <c r="H12" s="6" t="str">
        <f>_xlfn.XLOOKUP(C12,Tab_Def_Flows[Flow_Name],Tab_Def_Flows[Use_E5],,0,)</f>
        <v>Yes</v>
      </c>
      <c r="I12" s="6" t="str">
        <f>_xlfn.XLOOKUP(C12,Tab_Def_Flows[Flow_Name],Tab_Def_Flows[Use_E6],,0,)</f>
        <v>Yes</v>
      </c>
      <c r="J12" s="52"/>
      <c r="K12" s="53"/>
      <c r="L12" s="3" t="str">
        <f>'0_Configuration'!$C$41</f>
        <v>Mg</v>
      </c>
      <c r="M12" s="10"/>
      <c r="N12" s="23" t="s">
        <v>3</v>
      </c>
      <c r="O12" s="4"/>
      <c r="P12" s="4"/>
      <c r="Q12" s="10"/>
      <c r="R12" s="3">
        <f>_xlfn.XLOOKUP(Tab_Data_Flows[[#This Row],[Flow_Name]],Tab_Def_Flows[Flow_Name],Tab_Def_Flows[Flow_E1_Fraction'[%']],"N.A.",0,1)</f>
        <v>0</v>
      </c>
      <c r="S12" s="9">
        <f t="shared" si="0"/>
        <v>0</v>
      </c>
      <c r="T12" s="3" t="str">
        <f>Tab_Data_Flows[[#This Row],[UoM_Source]]</f>
        <v>Mg</v>
      </c>
      <c r="U12" s="24">
        <f>_xlfn.XLOOKUP(Tab_Data_Flows[[#This Row],[Flow_Name]],Tab_Def_Flows[Flow_Name],Tab_Def_Flows[Flow_E2_Fraction'[%']],"N.A.",0,1)</f>
        <v>0</v>
      </c>
      <c r="V12" s="3">
        <f>IF(D12="Yes",S12*Tab_Data_Flows[[#This Row],[E2_Fraction'[%']]],"N.A.")</f>
        <v>0</v>
      </c>
      <c r="W12" s="3" t="str">
        <f>Tab_Data_Flows[[#This Row],[E1_UoM]]</f>
        <v>Mg</v>
      </c>
      <c r="X12" s="24">
        <f>_xlfn.XLOOKUP(Tab_Data_Flows[[#This Row],[Flow_Name]],Tab_Def_Flows[Flow_Name],Tab_Def_Flows[Flow_E3_Fraction'[%']],"N.A.",0,1)</f>
        <v>0</v>
      </c>
      <c r="Y12" s="3">
        <f>IF(E12="Yes",X12*Tab_Data_Flows[[#This Row],[E1_value]],"N.A.")</f>
        <v>0</v>
      </c>
      <c r="Z12" s="3" t="str">
        <f>Tab_Data_Flows[[#This Row],[E1_UoM]]</f>
        <v>Mg</v>
      </c>
      <c r="AA12" s="24">
        <f>_xlfn.XLOOKUP(Tab_Data_Flows[[#This Row],[Flow_Name]],Tab_Def_Flows[Flow_Name],Tab_Def_Flows[Flow_E4_Fraction'[%']],"N.A.",0,1)</f>
        <v>0</v>
      </c>
      <c r="AB12" s="3">
        <f>IF(H12="Yes",Tab_Data_Flows[[#This Row],[E4_Fraction'[%']]]*Tab_Data_Flows[[#This Row],[E1_value]],"N.A.")</f>
        <v>0</v>
      </c>
      <c r="AC12" s="3" t="str">
        <f>Tab_Data_Flows[[#This Row],[E1_UoM]]</f>
        <v>Mg</v>
      </c>
      <c r="AD12" s="24">
        <f>_xlfn.XLOOKUP(Tab_Data_Flows[[#This Row],[Flow_Name]],Tab_Def_Flows[Flow_Name],Tab_Def_Flows[Flow_E5_Fraction'[%']],"N.A.",0,1)</f>
        <v>0</v>
      </c>
      <c r="AE12" s="3">
        <f>IF(H12="Yes",Tab_Data_Flows[[#This Row],[E5_Fraction'[%']]]*Tab_Data_Flows[[#This Row],[E1_value]],"N.A.")</f>
        <v>0</v>
      </c>
      <c r="AF12" s="3" t="str">
        <f>Tab_Data_Flows[[#This Row],[E1_UoM]]</f>
        <v>Mg</v>
      </c>
      <c r="AG12" s="24">
        <f>_xlfn.XLOOKUP(Tab_Data_Flows[[#This Row],[Flow_Name]],Tab_Def_Flows[Flow_Name],Tab_Def_Flows[Flow_E6_Fraction'[%']],"N.A.",0,1)</f>
        <v>0</v>
      </c>
      <c r="AH12" s="3">
        <f>IF(Tab_Data_Flows[[#This Row],[Use_E6]]="Yes",Tab_Data_Flows[[#This Row],[E6_Fraction'[%']]]*Tab_Data_Flows[[#This Row],[E1_value]],"N.A.")</f>
        <v>0</v>
      </c>
      <c r="AI12" s="3" t="str">
        <f>Tab_Data_Flows[[#This Row],[E1_UoM]]</f>
        <v>Mg</v>
      </c>
    </row>
    <row r="13" spans="1:35" x14ac:dyDescent="0.25">
      <c r="A13" s="5">
        <f t="shared" si="1"/>
        <v>12</v>
      </c>
      <c r="B13" s="3" t="str">
        <f>_xlfn.XLOOKUP(C13,Tab_Def_Flows[Flow_Name],Tab_Def_Flows[Flow_ID],,0,)</f>
        <v>F__</v>
      </c>
      <c r="C13" s="23" t="s">
        <v>5</v>
      </c>
      <c r="D13" s="6" t="str">
        <f>_xlfn.XLOOKUP(C13,Tab_Def_Flows[Flow_Name],Tab_Def_Flows[Use_E1],,0,)</f>
        <v>Yes</v>
      </c>
      <c r="E13" s="6" t="str">
        <f>_xlfn.XLOOKUP(C13,Tab_Def_Flows[Flow_Name],Tab_Def_Flows[Use_E2],,0,)</f>
        <v>Yes</v>
      </c>
      <c r="F13" s="6" t="str">
        <f>_xlfn.XLOOKUP(C13,Tab_Def_Flows[Flow_Name],Tab_Def_Flows[Use_E3],,0,)</f>
        <v>Yes</v>
      </c>
      <c r="G13" s="6" t="str">
        <f>_xlfn.XLOOKUP(C13,Tab_Def_Flows[Flow_Name],Tab_Def_Flows[Use_E4],,0,)</f>
        <v>Yes</v>
      </c>
      <c r="H13" s="6" t="str">
        <f>_xlfn.XLOOKUP(C13,Tab_Def_Flows[Flow_Name],Tab_Def_Flows[Use_E5],,0,)</f>
        <v>Yes</v>
      </c>
      <c r="I13" s="6" t="str">
        <f>_xlfn.XLOOKUP(C13,Tab_Def_Flows[Flow_Name],Tab_Def_Flows[Use_E6],,0,)</f>
        <v>Yes</v>
      </c>
      <c r="J13" s="52"/>
      <c r="K13" s="53"/>
      <c r="L13" s="3" t="str">
        <f>'0_Configuration'!$C$41</f>
        <v>Mg</v>
      </c>
      <c r="M13" s="10"/>
      <c r="N13" s="23" t="s">
        <v>3</v>
      </c>
      <c r="O13" s="4"/>
      <c r="P13" s="4"/>
      <c r="Q13" s="10"/>
      <c r="R13" s="3">
        <f>_xlfn.XLOOKUP(Tab_Data_Flows[[#This Row],[Flow_Name]],Tab_Def_Flows[Flow_Name],Tab_Def_Flows[Flow_E1_Fraction'[%']],"N.A.",0,1)</f>
        <v>0</v>
      </c>
      <c r="S13" s="9">
        <f t="shared" si="0"/>
        <v>0</v>
      </c>
      <c r="T13" s="3" t="str">
        <f>Tab_Data_Flows[[#This Row],[UoM_Source]]</f>
        <v>Mg</v>
      </c>
      <c r="U13" s="24">
        <f>_xlfn.XLOOKUP(Tab_Data_Flows[[#This Row],[Flow_Name]],Tab_Def_Flows[Flow_Name],Tab_Def_Flows[Flow_E2_Fraction'[%']],"N.A.",0,1)</f>
        <v>0</v>
      </c>
      <c r="V13" s="3">
        <f>IF(D13="Yes",S13*Tab_Data_Flows[[#This Row],[E2_Fraction'[%']]],"N.A.")</f>
        <v>0</v>
      </c>
      <c r="W13" s="3" t="str">
        <f>Tab_Data_Flows[[#This Row],[E1_UoM]]</f>
        <v>Mg</v>
      </c>
      <c r="X13" s="24">
        <f>_xlfn.XLOOKUP(Tab_Data_Flows[[#This Row],[Flow_Name]],Tab_Def_Flows[Flow_Name],Tab_Def_Flows[Flow_E3_Fraction'[%']],"N.A.",0,1)</f>
        <v>0</v>
      </c>
      <c r="Y13" s="3">
        <f>IF(E13="Yes",X13*Tab_Data_Flows[[#This Row],[E1_value]],"N.A.")</f>
        <v>0</v>
      </c>
      <c r="Z13" s="3" t="str">
        <f>Tab_Data_Flows[[#This Row],[E1_UoM]]</f>
        <v>Mg</v>
      </c>
      <c r="AA13" s="24">
        <f>_xlfn.XLOOKUP(Tab_Data_Flows[[#This Row],[Flow_Name]],Tab_Def_Flows[Flow_Name],Tab_Def_Flows[Flow_E4_Fraction'[%']],"N.A.",0,1)</f>
        <v>0</v>
      </c>
      <c r="AB13" s="3">
        <f>IF(H13="Yes",Tab_Data_Flows[[#This Row],[E4_Fraction'[%']]]*Tab_Data_Flows[[#This Row],[E1_value]],"N.A.")</f>
        <v>0</v>
      </c>
      <c r="AC13" s="3" t="str">
        <f>Tab_Data_Flows[[#This Row],[E1_UoM]]</f>
        <v>Mg</v>
      </c>
      <c r="AD13" s="24">
        <f>_xlfn.XLOOKUP(Tab_Data_Flows[[#This Row],[Flow_Name]],Tab_Def_Flows[Flow_Name],Tab_Def_Flows[Flow_E5_Fraction'[%']],"N.A.",0,1)</f>
        <v>0</v>
      </c>
      <c r="AE13" s="3">
        <f>IF(H13="Yes",Tab_Data_Flows[[#This Row],[E5_Fraction'[%']]]*Tab_Data_Flows[[#This Row],[E1_value]],"N.A.")</f>
        <v>0</v>
      </c>
      <c r="AF13" s="3" t="str">
        <f>Tab_Data_Flows[[#This Row],[E1_UoM]]</f>
        <v>Mg</v>
      </c>
      <c r="AG13" s="24">
        <f>_xlfn.XLOOKUP(Tab_Data_Flows[[#This Row],[Flow_Name]],Tab_Def_Flows[Flow_Name],Tab_Def_Flows[Flow_E6_Fraction'[%']],"N.A.",0,1)</f>
        <v>0</v>
      </c>
      <c r="AH13" s="3">
        <f>IF(Tab_Data_Flows[[#This Row],[Use_E6]]="Yes",Tab_Data_Flows[[#This Row],[E6_Fraction'[%']]]*Tab_Data_Flows[[#This Row],[E1_value]],"N.A.")</f>
        <v>0</v>
      </c>
      <c r="AI13" s="3" t="str">
        <f>Tab_Data_Flows[[#This Row],[E1_UoM]]</f>
        <v>Mg</v>
      </c>
    </row>
    <row r="14" spans="1:35" x14ac:dyDescent="0.25">
      <c r="A14" s="5">
        <f t="shared" si="1"/>
        <v>13</v>
      </c>
      <c r="B14" s="3" t="str">
        <f>_xlfn.XLOOKUP(C14,Tab_Def_Flows[Flow_Name],Tab_Def_Flows[Flow_ID],,0,)</f>
        <v>F__</v>
      </c>
      <c r="C14" s="23" t="s">
        <v>5</v>
      </c>
      <c r="D14" s="6" t="str">
        <f>_xlfn.XLOOKUP(C14,Tab_Def_Flows[Flow_Name],Tab_Def_Flows[Use_E1],,0,)</f>
        <v>Yes</v>
      </c>
      <c r="E14" s="6" t="str">
        <f>_xlfn.XLOOKUP(C14,Tab_Def_Flows[Flow_Name],Tab_Def_Flows[Use_E2],,0,)</f>
        <v>Yes</v>
      </c>
      <c r="F14" s="6" t="str">
        <f>_xlfn.XLOOKUP(C14,Tab_Def_Flows[Flow_Name],Tab_Def_Flows[Use_E3],,0,)</f>
        <v>Yes</v>
      </c>
      <c r="G14" s="6" t="str">
        <f>_xlfn.XLOOKUP(C14,Tab_Def_Flows[Flow_Name],Tab_Def_Flows[Use_E4],,0,)</f>
        <v>Yes</v>
      </c>
      <c r="H14" s="6" t="str">
        <f>_xlfn.XLOOKUP(C14,Tab_Def_Flows[Flow_Name],Tab_Def_Flows[Use_E5],,0,)</f>
        <v>Yes</v>
      </c>
      <c r="I14" s="6" t="str">
        <f>_xlfn.XLOOKUP(C14,Tab_Def_Flows[Flow_Name],Tab_Def_Flows[Use_E6],,0,)</f>
        <v>Yes</v>
      </c>
      <c r="J14" s="52"/>
      <c r="K14" s="53"/>
      <c r="L14" s="3" t="str">
        <f>'0_Configuration'!$C$41</f>
        <v>Mg</v>
      </c>
      <c r="M14" s="10"/>
      <c r="N14" s="23" t="s">
        <v>3</v>
      </c>
      <c r="O14" s="4"/>
      <c r="P14" s="4"/>
      <c r="Q14" s="10"/>
      <c r="R14" s="3">
        <f>_xlfn.XLOOKUP(Tab_Data_Flows[[#This Row],[Flow_Name]],Tab_Def_Flows[Flow_Name],Tab_Def_Flows[Flow_E1_Fraction'[%']],"N.A.",0,1)</f>
        <v>0</v>
      </c>
      <c r="S14" s="9">
        <f t="shared" si="0"/>
        <v>0</v>
      </c>
      <c r="T14" s="3" t="str">
        <f>Tab_Data_Flows[[#This Row],[UoM_Source]]</f>
        <v>Mg</v>
      </c>
      <c r="U14" s="24">
        <f>_xlfn.XLOOKUP(Tab_Data_Flows[[#This Row],[Flow_Name]],Tab_Def_Flows[Flow_Name],Tab_Def_Flows[Flow_E2_Fraction'[%']],"N.A.",0,1)</f>
        <v>0</v>
      </c>
      <c r="V14" s="3">
        <f>IF(D14="Yes",S14*Tab_Data_Flows[[#This Row],[E2_Fraction'[%']]],"N.A.")</f>
        <v>0</v>
      </c>
      <c r="W14" s="3" t="str">
        <f>Tab_Data_Flows[[#This Row],[E1_UoM]]</f>
        <v>Mg</v>
      </c>
      <c r="X14" s="24">
        <f>_xlfn.XLOOKUP(Tab_Data_Flows[[#This Row],[Flow_Name]],Tab_Def_Flows[Flow_Name],Tab_Def_Flows[Flow_E3_Fraction'[%']],"N.A.",0,1)</f>
        <v>0</v>
      </c>
      <c r="Y14" s="3">
        <f>IF(E14="Yes",X14*Tab_Data_Flows[[#This Row],[E1_value]],"N.A.")</f>
        <v>0</v>
      </c>
      <c r="Z14" s="3" t="str">
        <f>Tab_Data_Flows[[#This Row],[E1_UoM]]</f>
        <v>Mg</v>
      </c>
      <c r="AA14" s="24">
        <f>_xlfn.XLOOKUP(Tab_Data_Flows[[#This Row],[Flow_Name]],Tab_Def_Flows[Flow_Name],Tab_Def_Flows[Flow_E4_Fraction'[%']],"N.A.",0,1)</f>
        <v>0</v>
      </c>
      <c r="AB14" s="3">
        <f>IF(H14="Yes",Tab_Data_Flows[[#This Row],[E4_Fraction'[%']]]*Tab_Data_Flows[[#This Row],[E1_value]],"N.A.")</f>
        <v>0</v>
      </c>
      <c r="AC14" s="3" t="str">
        <f>Tab_Data_Flows[[#This Row],[E1_UoM]]</f>
        <v>Mg</v>
      </c>
      <c r="AD14" s="24">
        <f>_xlfn.XLOOKUP(Tab_Data_Flows[[#This Row],[Flow_Name]],Tab_Def_Flows[Flow_Name],Tab_Def_Flows[Flow_E5_Fraction'[%']],"N.A.",0,1)</f>
        <v>0</v>
      </c>
      <c r="AE14" s="3">
        <f>IF(H14="Yes",Tab_Data_Flows[[#This Row],[E5_Fraction'[%']]]*Tab_Data_Flows[[#This Row],[E1_value]],"N.A.")</f>
        <v>0</v>
      </c>
      <c r="AF14" s="3" t="str">
        <f>Tab_Data_Flows[[#This Row],[E1_UoM]]</f>
        <v>Mg</v>
      </c>
      <c r="AG14" s="24">
        <f>_xlfn.XLOOKUP(Tab_Data_Flows[[#This Row],[Flow_Name]],Tab_Def_Flows[Flow_Name],Tab_Def_Flows[Flow_E6_Fraction'[%']],"N.A.",0,1)</f>
        <v>0</v>
      </c>
      <c r="AH14" s="3">
        <f>IF(Tab_Data_Flows[[#This Row],[Use_E6]]="Yes",Tab_Data_Flows[[#This Row],[E6_Fraction'[%']]]*Tab_Data_Flows[[#This Row],[E1_value]],"N.A.")</f>
        <v>0</v>
      </c>
      <c r="AI14" s="3" t="str">
        <f>Tab_Data_Flows[[#This Row],[E1_UoM]]</f>
        <v>Mg</v>
      </c>
    </row>
    <row r="15" spans="1:35" x14ac:dyDescent="0.25">
      <c r="A15" s="5">
        <f t="shared" si="1"/>
        <v>14</v>
      </c>
      <c r="B15" s="3" t="str">
        <f>_xlfn.XLOOKUP(C15,Tab_Def_Flows[Flow_Name],Tab_Def_Flows[Flow_ID],,0,)</f>
        <v>F__</v>
      </c>
      <c r="C15" s="23" t="s">
        <v>5</v>
      </c>
      <c r="D15" s="6" t="str">
        <f>_xlfn.XLOOKUP(C15,Tab_Def_Flows[Flow_Name],Tab_Def_Flows[Use_E1],,0,)</f>
        <v>Yes</v>
      </c>
      <c r="E15" s="6" t="str">
        <f>_xlfn.XLOOKUP(C15,Tab_Def_Flows[Flow_Name],Tab_Def_Flows[Use_E2],,0,)</f>
        <v>Yes</v>
      </c>
      <c r="F15" s="6" t="str">
        <f>_xlfn.XLOOKUP(C15,Tab_Def_Flows[Flow_Name],Tab_Def_Flows[Use_E3],,0,)</f>
        <v>Yes</v>
      </c>
      <c r="G15" s="6" t="str">
        <f>_xlfn.XLOOKUP(C15,Tab_Def_Flows[Flow_Name],Tab_Def_Flows[Use_E4],,0,)</f>
        <v>Yes</v>
      </c>
      <c r="H15" s="6" t="str">
        <f>_xlfn.XLOOKUP(C15,Tab_Def_Flows[Flow_Name],Tab_Def_Flows[Use_E5],,0,)</f>
        <v>Yes</v>
      </c>
      <c r="I15" s="6" t="str">
        <f>_xlfn.XLOOKUP(C15,Tab_Def_Flows[Flow_Name],Tab_Def_Flows[Use_E6],,0,)</f>
        <v>Yes</v>
      </c>
      <c r="J15" s="52"/>
      <c r="K15" s="53"/>
      <c r="L15" s="3" t="str">
        <f>'0_Configuration'!$C$41</f>
        <v>Mg</v>
      </c>
      <c r="M15" s="10"/>
      <c r="N15" s="23" t="s">
        <v>3</v>
      </c>
      <c r="O15" s="4"/>
      <c r="P15" s="4"/>
      <c r="Q15" s="10"/>
      <c r="R15" s="3">
        <f>_xlfn.XLOOKUP(Tab_Data_Flows[[#This Row],[Flow_Name]],Tab_Def_Flows[Flow_Name],Tab_Def_Flows[Flow_E1_Fraction'[%']],"N.A.",0,1)</f>
        <v>0</v>
      </c>
      <c r="S15" s="9">
        <f t="shared" si="0"/>
        <v>0</v>
      </c>
      <c r="T15" s="3" t="str">
        <f>Tab_Data_Flows[[#This Row],[UoM_Source]]</f>
        <v>Mg</v>
      </c>
      <c r="U15" s="24">
        <f>_xlfn.XLOOKUP(Tab_Data_Flows[[#This Row],[Flow_Name]],Tab_Def_Flows[Flow_Name],Tab_Def_Flows[Flow_E2_Fraction'[%']],"N.A.",0,1)</f>
        <v>0</v>
      </c>
      <c r="V15" s="3">
        <f>IF(D15="Yes",S15*Tab_Data_Flows[[#This Row],[E2_Fraction'[%']]],"N.A.")</f>
        <v>0</v>
      </c>
      <c r="W15" s="3" t="str">
        <f>Tab_Data_Flows[[#This Row],[E1_UoM]]</f>
        <v>Mg</v>
      </c>
      <c r="X15" s="24">
        <f>_xlfn.XLOOKUP(Tab_Data_Flows[[#This Row],[Flow_Name]],Tab_Def_Flows[Flow_Name],Tab_Def_Flows[Flow_E3_Fraction'[%']],"N.A.",0,1)</f>
        <v>0</v>
      </c>
      <c r="Y15" s="3">
        <f>IF(E15="Yes",X15*Tab_Data_Flows[[#This Row],[E1_value]],"N.A.")</f>
        <v>0</v>
      </c>
      <c r="Z15" s="3" t="str">
        <f>Tab_Data_Flows[[#This Row],[E1_UoM]]</f>
        <v>Mg</v>
      </c>
      <c r="AA15" s="24">
        <f>_xlfn.XLOOKUP(Tab_Data_Flows[[#This Row],[Flow_Name]],Tab_Def_Flows[Flow_Name],Tab_Def_Flows[Flow_E4_Fraction'[%']],"N.A.",0,1)</f>
        <v>0</v>
      </c>
      <c r="AB15" s="3">
        <f>IF(H15="Yes",Tab_Data_Flows[[#This Row],[E4_Fraction'[%']]]*Tab_Data_Flows[[#This Row],[E1_value]],"N.A.")</f>
        <v>0</v>
      </c>
      <c r="AC15" s="3" t="str">
        <f>Tab_Data_Flows[[#This Row],[E1_UoM]]</f>
        <v>Mg</v>
      </c>
      <c r="AD15" s="24">
        <f>_xlfn.XLOOKUP(Tab_Data_Flows[[#This Row],[Flow_Name]],Tab_Def_Flows[Flow_Name],Tab_Def_Flows[Flow_E5_Fraction'[%']],"N.A.",0,1)</f>
        <v>0</v>
      </c>
      <c r="AE15" s="3">
        <f>IF(H15="Yes",Tab_Data_Flows[[#This Row],[E5_Fraction'[%']]]*Tab_Data_Flows[[#This Row],[E1_value]],"N.A.")</f>
        <v>0</v>
      </c>
      <c r="AF15" s="3" t="str">
        <f>Tab_Data_Flows[[#This Row],[E1_UoM]]</f>
        <v>Mg</v>
      </c>
      <c r="AG15" s="24">
        <f>_xlfn.XLOOKUP(Tab_Data_Flows[[#This Row],[Flow_Name]],Tab_Def_Flows[Flow_Name],Tab_Def_Flows[Flow_E6_Fraction'[%']],"N.A.",0,1)</f>
        <v>0</v>
      </c>
      <c r="AH15" s="3">
        <f>IF(Tab_Data_Flows[[#This Row],[Use_E6]]="Yes",Tab_Data_Flows[[#This Row],[E6_Fraction'[%']]]*Tab_Data_Flows[[#This Row],[E1_value]],"N.A.")</f>
        <v>0</v>
      </c>
      <c r="AI15" s="3" t="str">
        <f>Tab_Data_Flows[[#This Row],[E1_UoM]]</f>
        <v>Mg</v>
      </c>
    </row>
    <row r="16" spans="1:35" x14ac:dyDescent="0.25">
      <c r="A16" s="5">
        <f t="shared" si="1"/>
        <v>15</v>
      </c>
      <c r="B16" s="3" t="str">
        <f>_xlfn.XLOOKUP(C16,Tab_Def_Flows[Flow_Name],Tab_Def_Flows[Flow_ID],,0,)</f>
        <v>F__</v>
      </c>
      <c r="C16" s="23" t="s">
        <v>5</v>
      </c>
      <c r="D16" s="6" t="str">
        <f>_xlfn.XLOOKUP(C16,Tab_Def_Flows[Flow_Name],Tab_Def_Flows[Use_E1],,0,)</f>
        <v>Yes</v>
      </c>
      <c r="E16" s="6" t="str">
        <f>_xlfn.XLOOKUP(C16,Tab_Def_Flows[Flow_Name],Tab_Def_Flows[Use_E2],,0,)</f>
        <v>Yes</v>
      </c>
      <c r="F16" s="6" t="str">
        <f>_xlfn.XLOOKUP(C16,Tab_Def_Flows[Flow_Name],Tab_Def_Flows[Use_E3],,0,)</f>
        <v>Yes</v>
      </c>
      <c r="G16" s="6" t="str">
        <f>_xlfn.XLOOKUP(C16,Tab_Def_Flows[Flow_Name],Tab_Def_Flows[Use_E4],,0,)</f>
        <v>Yes</v>
      </c>
      <c r="H16" s="6" t="str">
        <f>_xlfn.XLOOKUP(C16,Tab_Def_Flows[Flow_Name],Tab_Def_Flows[Use_E5],,0,)</f>
        <v>Yes</v>
      </c>
      <c r="I16" s="6" t="str">
        <f>_xlfn.XLOOKUP(C16,Tab_Def_Flows[Flow_Name],Tab_Def_Flows[Use_E6],,0,)</f>
        <v>Yes</v>
      </c>
      <c r="J16" s="52"/>
      <c r="K16" s="53"/>
      <c r="L16" s="3" t="str">
        <f>'0_Configuration'!$C$41</f>
        <v>Mg</v>
      </c>
      <c r="M16" s="10"/>
      <c r="N16" s="23" t="s">
        <v>3</v>
      </c>
      <c r="O16" s="4"/>
      <c r="P16" s="4"/>
      <c r="Q16" s="10"/>
      <c r="R16" s="3">
        <f>_xlfn.XLOOKUP(Tab_Data_Flows[[#This Row],[Flow_Name]],Tab_Def_Flows[Flow_Name],Tab_Def_Flows[Flow_E1_Fraction'[%']],"N.A.",0,1)</f>
        <v>0</v>
      </c>
      <c r="S16" s="9">
        <f t="shared" si="0"/>
        <v>0</v>
      </c>
      <c r="T16" s="3" t="str">
        <f>Tab_Data_Flows[[#This Row],[UoM_Source]]</f>
        <v>Mg</v>
      </c>
      <c r="U16" s="24">
        <f>_xlfn.XLOOKUP(Tab_Data_Flows[[#This Row],[Flow_Name]],Tab_Def_Flows[Flow_Name],Tab_Def_Flows[Flow_E2_Fraction'[%']],"N.A.",0,1)</f>
        <v>0</v>
      </c>
      <c r="V16" s="3">
        <f>IF(D16="Yes",S16*Tab_Data_Flows[[#This Row],[E2_Fraction'[%']]],"N.A.")</f>
        <v>0</v>
      </c>
      <c r="W16" s="3" t="str">
        <f>Tab_Data_Flows[[#This Row],[E1_UoM]]</f>
        <v>Mg</v>
      </c>
      <c r="X16" s="24">
        <f>_xlfn.XLOOKUP(Tab_Data_Flows[[#This Row],[Flow_Name]],Tab_Def_Flows[Flow_Name],Tab_Def_Flows[Flow_E3_Fraction'[%']],"N.A.",0,1)</f>
        <v>0</v>
      </c>
      <c r="Y16" s="3">
        <f>IF(E16="Yes",X16*Tab_Data_Flows[[#This Row],[E1_value]],"N.A.")</f>
        <v>0</v>
      </c>
      <c r="Z16" s="3" t="str">
        <f>Tab_Data_Flows[[#This Row],[E1_UoM]]</f>
        <v>Mg</v>
      </c>
      <c r="AA16" s="24">
        <f>_xlfn.XLOOKUP(Tab_Data_Flows[[#This Row],[Flow_Name]],Tab_Def_Flows[Flow_Name],Tab_Def_Flows[Flow_E4_Fraction'[%']],"N.A.",0,1)</f>
        <v>0</v>
      </c>
      <c r="AB16" s="3">
        <f>IF(H16="Yes",Tab_Data_Flows[[#This Row],[E4_Fraction'[%']]]*Tab_Data_Flows[[#This Row],[E1_value]],"N.A.")</f>
        <v>0</v>
      </c>
      <c r="AC16" s="3" t="str">
        <f>Tab_Data_Flows[[#This Row],[E1_UoM]]</f>
        <v>Mg</v>
      </c>
      <c r="AD16" s="24">
        <f>_xlfn.XLOOKUP(Tab_Data_Flows[[#This Row],[Flow_Name]],Tab_Def_Flows[Flow_Name],Tab_Def_Flows[Flow_E5_Fraction'[%']],"N.A.",0,1)</f>
        <v>0</v>
      </c>
      <c r="AE16" s="3">
        <f>IF(H16="Yes",Tab_Data_Flows[[#This Row],[E5_Fraction'[%']]]*Tab_Data_Flows[[#This Row],[E1_value]],"N.A.")</f>
        <v>0</v>
      </c>
      <c r="AF16" s="3" t="str">
        <f>Tab_Data_Flows[[#This Row],[E1_UoM]]</f>
        <v>Mg</v>
      </c>
      <c r="AG16" s="24">
        <f>_xlfn.XLOOKUP(Tab_Data_Flows[[#This Row],[Flow_Name]],Tab_Def_Flows[Flow_Name],Tab_Def_Flows[Flow_E6_Fraction'[%']],"N.A.",0,1)</f>
        <v>0</v>
      </c>
      <c r="AH16" s="3">
        <f>IF(Tab_Data_Flows[[#This Row],[Use_E6]]="Yes",Tab_Data_Flows[[#This Row],[E6_Fraction'[%']]]*Tab_Data_Flows[[#This Row],[E1_value]],"N.A.")</f>
        <v>0</v>
      </c>
      <c r="AI16" s="3" t="str">
        <f>Tab_Data_Flows[[#This Row],[E1_UoM]]</f>
        <v>Mg</v>
      </c>
    </row>
    <row r="17" spans="1:35" x14ac:dyDescent="0.25">
      <c r="A17" s="5">
        <f t="shared" si="1"/>
        <v>16</v>
      </c>
      <c r="B17" s="3" t="str">
        <f>_xlfn.XLOOKUP(C17,Tab_Def_Flows[Flow_Name],Tab_Def_Flows[Flow_ID],,0,)</f>
        <v>F__</v>
      </c>
      <c r="C17" s="23" t="s">
        <v>5</v>
      </c>
      <c r="D17" s="6" t="str">
        <f>_xlfn.XLOOKUP(C17,Tab_Def_Flows[Flow_Name],Tab_Def_Flows[Use_E1],,0,)</f>
        <v>Yes</v>
      </c>
      <c r="E17" s="6" t="str">
        <f>_xlfn.XLOOKUP(C17,Tab_Def_Flows[Flow_Name],Tab_Def_Flows[Use_E2],,0,)</f>
        <v>Yes</v>
      </c>
      <c r="F17" s="6" t="str">
        <f>_xlfn.XLOOKUP(C17,Tab_Def_Flows[Flow_Name],Tab_Def_Flows[Use_E3],,0,)</f>
        <v>Yes</v>
      </c>
      <c r="G17" s="6" t="str">
        <f>_xlfn.XLOOKUP(C17,Tab_Def_Flows[Flow_Name],Tab_Def_Flows[Use_E4],,0,)</f>
        <v>Yes</v>
      </c>
      <c r="H17" s="6" t="str">
        <f>_xlfn.XLOOKUP(C17,Tab_Def_Flows[Flow_Name],Tab_Def_Flows[Use_E5],,0,)</f>
        <v>Yes</v>
      </c>
      <c r="I17" s="6" t="str">
        <f>_xlfn.XLOOKUP(C17,Tab_Def_Flows[Flow_Name],Tab_Def_Flows[Use_E6],,0,)</f>
        <v>Yes</v>
      </c>
      <c r="J17" s="52"/>
      <c r="K17" s="53"/>
      <c r="L17" s="3" t="str">
        <f>'0_Configuration'!$C$41</f>
        <v>Mg</v>
      </c>
      <c r="M17" s="10"/>
      <c r="N17" s="23" t="s">
        <v>3</v>
      </c>
      <c r="O17" s="4"/>
      <c r="P17" s="4"/>
      <c r="Q17" s="10"/>
      <c r="R17" s="3">
        <f>_xlfn.XLOOKUP(Tab_Data_Flows[[#This Row],[Flow_Name]],Tab_Def_Flows[Flow_Name],Tab_Def_Flows[Flow_E1_Fraction'[%']],"N.A.",0,1)</f>
        <v>0</v>
      </c>
      <c r="S17" s="9">
        <f t="shared" si="0"/>
        <v>0</v>
      </c>
      <c r="T17" s="3" t="str">
        <f>Tab_Data_Flows[[#This Row],[UoM_Source]]</f>
        <v>Mg</v>
      </c>
      <c r="U17" s="24">
        <f>_xlfn.XLOOKUP(Tab_Data_Flows[[#This Row],[Flow_Name]],Tab_Def_Flows[Flow_Name],Tab_Def_Flows[Flow_E2_Fraction'[%']],"N.A.",0,1)</f>
        <v>0</v>
      </c>
      <c r="V17" s="3">
        <f>IF(D17="Yes",S17*Tab_Data_Flows[[#This Row],[E2_Fraction'[%']]],"N.A.")</f>
        <v>0</v>
      </c>
      <c r="W17" s="3" t="str">
        <f>Tab_Data_Flows[[#This Row],[E1_UoM]]</f>
        <v>Mg</v>
      </c>
      <c r="X17" s="24">
        <f>_xlfn.XLOOKUP(Tab_Data_Flows[[#This Row],[Flow_Name]],Tab_Def_Flows[Flow_Name],Tab_Def_Flows[Flow_E3_Fraction'[%']],"N.A.",0,1)</f>
        <v>0</v>
      </c>
      <c r="Y17" s="3">
        <f>IF(E17="Yes",X17*Tab_Data_Flows[[#This Row],[E1_value]],"N.A.")</f>
        <v>0</v>
      </c>
      <c r="Z17" s="3" t="str">
        <f>Tab_Data_Flows[[#This Row],[E1_UoM]]</f>
        <v>Mg</v>
      </c>
      <c r="AA17" s="24">
        <f>_xlfn.XLOOKUP(Tab_Data_Flows[[#This Row],[Flow_Name]],Tab_Def_Flows[Flow_Name],Tab_Def_Flows[Flow_E4_Fraction'[%']],"N.A.",0,1)</f>
        <v>0</v>
      </c>
      <c r="AB17" s="3">
        <f>IF(H17="Yes",Tab_Data_Flows[[#This Row],[E4_Fraction'[%']]]*Tab_Data_Flows[[#This Row],[E1_value]],"N.A.")</f>
        <v>0</v>
      </c>
      <c r="AC17" s="3" t="str">
        <f>Tab_Data_Flows[[#This Row],[E1_UoM]]</f>
        <v>Mg</v>
      </c>
      <c r="AD17" s="24">
        <f>_xlfn.XLOOKUP(Tab_Data_Flows[[#This Row],[Flow_Name]],Tab_Def_Flows[Flow_Name],Tab_Def_Flows[Flow_E5_Fraction'[%']],"N.A.",0,1)</f>
        <v>0</v>
      </c>
      <c r="AE17" s="3">
        <f>IF(H17="Yes",Tab_Data_Flows[[#This Row],[E5_Fraction'[%']]]*Tab_Data_Flows[[#This Row],[E1_value]],"N.A.")</f>
        <v>0</v>
      </c>
      <c r="AF17" s="3" t="str">
        <f>Tab_Data_Flows[[#This Row],[E1_UoM]]</f>
        <v>Mg</v>
      </c>
      <c r="AG17" s="24">
        <f>_xlfn.XLOOKUP(Tab_Data_Flows[[#This Row],[Flow_Name]],Tab_Def_Flows[Flow_Name],Tab_Def_Flows[Flow_E6_Fraction'[%']],"N.A.",0,1)</f>
        <v>0</v>
      </c>
      <c r="AH17" s="3">
        <f>IF(Tab_Data_Flows[[#This Row],[Use_E6]]="Yes",Tab_Data_Flows[[#This Row],[E6_Fraction'[%']]]*Tab_Data_Flows[[#This Row],[E1_value]],"N.A.")</f>
        <v>0</v>
      </c>
      <c r="AI17" s="3" t="str">
        <f>Tab_Data_Flows[[#This Row],[E1_UoM]]</f>
        <v>Mg</v>
      </c>
    </row>
    <row r="18" spans="1:35" x14ac:dyDescent="0.25">
      <c r="A18" s="5">
        <f t="shared" si="1"/>
        <v>17</v>
      </c>
      <c r="B18" s="3" t="str">
        <f>_xlfn.XLOOKUP(C18,Tab_Def_Flows[Flow_Name],Tab_Def_Flows[Flow_ID],,0,)</f>
        <v>F__</v>
      </c>
      <c r="C18" s="23" t="s">
        <v>5</v>
      </c>
      <c r="D18" s="6" t="str">
        <f>_xlfn.XLOOKUP(C18,Tab_Def_Flows[Flow_Name],Tab_Def_Flows[Use_E1],,0,)</f>
        <v>Yes</v>
      </c>
      <c r="E18" s="6" t="str">
        <f>_xlfn.XLOOKUP(C18,Tab_Def_Flows[Flow_Name],Tab_Def_Flows[Use_E2],,0,)</f>
        <v>Yes</v>
      </c>
      <c r="F18" s="6" t="str">
        <f>_xlfn.XLOOKUP(C18,Tab_Def_Flows[Flow_Name],Tab_Def_Flows[Use_E3],,0,)</f>
        <v>Yes</v>
      </c>
      <c r="G18" s="6" t="str">
        <f>_xlfn.XLOOKUP(C18,Tab_Def_Flows[Flow_Name],Tab_Def_Flows[Use_E4],,0,)</f>
        <v>Yes</v>
      </c>
      <c r="H18" s="6" t="str">
        <f>_xlfn.XLOOKUP(C18,Tab_Def_Flows[Flow_Name],Tab_Def_Flows[Use_E5],,0,)</f>
        <v>Yes</v>
      </c>
      <c r="I18" s="6" t="str">
        <f>_xlfn.XLOOKUP(C18,Tab_Def_Flows[Flow_Name],Tab_Def_Flows[Use_E6],,0,)</f>
        <v>Yes</v>
      </c>
      <c r="J18" s="52"/>
      <c r="K18" s="53"/>
      <c r="L18" s="3" t="str">
        <f>'0_Configuration'!$C$41</f>
        <v>Mg</v>
      </c>
      <c r="M18" s="10"/>
      <c r="N18" s="23" t="s">
        <v>3</v>
      </c>
      <c r="O18" s="4"/>
      <c r="P18" s="4"/>
      <c r="Q18" s="10"/>
      <c r="R18" s="3">
        <f>_xlfn.XLOOKUP(Tab_Data_Flows[[#This Row],[Flow_Name]],Tab_Def_Flows[Flow_Name],Tab_Def_Flows[Flow_E1_Fraction'[%']],"N.A.",0,1)</f>
        <v>0</v>
      </c>
      <c r="S18" s="9">
        <f t="shared" si="0"/>
        <v>0</v>
      </c>
      <c r="T18" s="3" t="str">
        <f>Tab_Data_Flows[[#This Row],[UoM_Source]]</f>
        <v>Mg</v>
      </c>
      <c r="U18" s="24">
        <f>_xlfn.XLOOKUP(Tab_Data_Flows[[#This Row],[Flow_Name]],Tab_Def_Flows[Flow_Name],Tab_Def_Flows[Flow_E2_Fraction'[%']],"N.A.",0,1)</f>
        <v>0</v>
      </c>
      <c r="V18" s="3">
        <f>IF(D18="Yes",S18*Tab_Data_Flows[[#This Row],[E2_Fraction'[%']]],"N.A.")</f>
        <v>0</v>
      </c>
      <c r="W18" s="3" t="str">
        <f>Tab_Data_Flows[[#This Row],[E1_UoM]]</f>
        <v>Mg</v>
      </c>
      <c r="X18" s="24">
        <f>_xlfn.XLOOKUP(Tab_Data_Flows[[#This Row],[Flow_Name]],Tab_Def_Flows[Flow_Name],Tab_Def_Flows[Flow_E3_Fraction'[%']],"N.A.",0,1)</f>
        <v>0</v>
      </c>
      <c r="Y18" s="3">
        <f>IF(E18="Yes",X18*Tab_Data_Flows[[#This Row],[E1_value]],"N.A.")</f>
        <v>0</v>
      </c>
      <c r="Z18" s="3" t="str">
        <f>Tab_Data_Flows[[#This Row],[E1_UoM]]</f>
        <v>Mg</v>
      </c>
      <c r="AA18" s="24">
        <f>_xlfn.XLOOKUP(Tab_Data_Flows[[#This Row],[Flow_Name]],Tab_Def_Flows[Flow_Name],Tab_Def_Flows[Flow_E4_Fraction'[%']],"N.A.",0,1)</f>
        <v>0</v>
      </c>
      <c r="AB18" s="3">
        <f>IF(H18="Yes",Tab_Data_Flows[[#This Row],[E4_Fraction'[%']]]*Tab_Data_Flows[[#This Row],[E1_value]],"N.A.")</f>
        <v>0</v>
      </c>
      <c r="AC18" s="3" t="str">
        <f>Tab_Data_Flows[[#This Row],[E1_UoM]]</f>
        <v>Mg</v>
      </c>
      <c r="AD18" s="24">
        <f>_xlfn.XLOOKUP(Tab_Data_Flows[[#This Row],[Flow_Name]],Tab_Def_Flows[Flow_Name],Tab_Def_Flows[Flow_E5_Fraction'[%']],"N.A.",0,1)</f>
        <v>0</v>
      </c>
      <c r="AE18" s="3">
        <f>IF(H18="Yes",Tab_Data_Flows[[#This Row],[E5_Fraction'[%']]]*Tab_Data_Flows[[#This Row],[E1_value]],"N.A.")</f>
        <v>0</v>
      </c>
      <c r="AF18" s="3" t="str">
        <f>Tab_Data_Flows[[#This Row],[E1_UoM]]</f>
        <v>Mg</v>
      </c>
      <c r="AG18" s="24">
        <f>_xlfn.XLOOKUP(Tab_Data_Flows[[#This Row],[Flow_Name]],Tab_Def_Flows[Flow_Name],Tab_Def_Flows[Flow_E6_Fraction'[%']],"N.A.",0,1)</f>
        <v>0</v>
      </c>
      <c r="AH18" s="3">
        <f>IF(Tab_Data_Flows[[#This Row],[Use_E6]]="Yes",Tab_Data_Flows[[#This Row],[E6_Fraction'[%']]]*Tab_Data_Flows[[#This Row],[E1_value]],"N.A.")</f>
        <v>0</v>
      </c>
      <c r="AI18" s="3" t="str">
        <f>Tab_Data_Flows[[#This Row],[E1_UoM]]</f>
        <v>Mg</v>
      </c>
    </row>
    <row r="19" spans="1:35" x14ac:dyDescent="0.25">
      <c r="A19" s="5">
        <f t="shared" si="1"/>
        <v>18</v>
      </c>
      <c r="B19" s="3" t="str">
        <f>_xlfn.XLOOKUP(C19,Tab_Def_Flows[Flow_Name],Tab_Def_Flows[Flow_ID],,0,)</f>
        <v>F__</v>
      </c>
      <c r="C19" s="23" t="s">
        <v>5</v>
      </c>
      <c r="D19" s="6" t="str">
        <f>_xlfn.XLOOKUP(C19,Tab_Def_Flows[Flow_Name],Tab_Def_Flows[Use_E1],,0,)</f>
        <v>Yes</v>
      </c>
      <c r="E19" s="6" t="str">
        <f>_xlfn.XLOOKUP(C19,Tab_Def_Flows[Flow_Name],Tab_Def_Flows[Use_E2],,0,)</f>
        <v>Yes</v>
      </c>
      <c r="F19" s="6" t="str">
        <f>_xlfn.XLOOKUP(C19,Tab_Def_Flows[Flow_Name],Tab_Def_Flows[Use_E3],,0,)</f>
        <v>Yes</v>
      </c>
      <c r="G19" s="6" t="str">
        <f>_xlfn.XLOOKUP(C19,Tab_Def_Flows[Flow_Name],Tab_Def_Flows[Use_E4],,0,)</f>
        <v>Yes</v>
      </c>
      <c r="H19" s="6" t="str">
        <f>_xlfn.XLOOKUP(C19,Tab_Def_Flows[Flow_Name],Tab_Def_Flows[Use_E5],,0,)</f>
        <v>Yes</v>
      </c>
      <c r="I19" s="6" t="str">
        <f>_xlfn.XLOOKUP(C19,Tab_Def_Flows[Flow_Name],Tab_Def_Flows[Use_E6],,0,)</f>
        <v>Yes</v>
      </c>
      <c r="J19" s="52"/>
      <c r="K19" s="53"/>
      <c r="L19" s="3" t="str">
        <f>'0_Configuration'!$C$41</f>
        <v>Mg</v>
      </c>
      <c r="M19" s="10"/>
      <c r="N19" s="23" t="s">
        <v>3</v>
      </c>
      <c r="O19" s="4"/>
      <c r="P19" s="4"/>
      <c r="Q19" s="10"/>
      <c r="R19" s="3">
        <f>_xlfn.XLOOKUP(Tab_Data_Flows[[#This Row],[Flow_Name]],Tab_Def_Flows[Flow_Name],Tab_Def_Flows[Flow_E1_Fraction'[%']],"N.A.",0,1)</f>
        <v>0</v>
      </c>
      <c r="S19" s="9">
        <f t="shared" si="0"/>
        <v>0</v>
      </c>
      <c r="T19" s="3" t="str">
        <f>Tab_Data_Flows[[#This Row],[UoM_Source]]</f>
        <v>Mg</v>
      </c>
      <c r="U19" s="24">
        <f>_xlfn.XLOOKUP(Tab_Data_Flows[[#This Row],[Flow_Name]],Tab_Def_Flows[Flow_Name],Tab_Def_Flows[Flow_E2_Fraction'[%']],"N.A.",0,1)</f>
        <v>0</v>
      </c>
      <c r="V19" s="3">
        <f>IF(D19="Yes",S19*Tab_Data_Flows[[#This Row],[E2_Fraction'[%']]],"N.A.")</f>
        <v>0</v>
      </c>
      <c r="W19" s="3" t="str">
        <f>Tab_Data_Flows[[#This Row],[E1_UoM]]</f>
        <v>Mg</v>
      </c>
      <c r="X19" s="24">
        <f>_xlfn.XLOOKUP(Tab_Data_Flows[[#This Row],[Flow_Name]],Tab_Def_Flows[Flow_Name],Tab_Def_Flows[Flow_E3_Fraction'[%']],"N.A.",0,1)</f>
        <v>0</v>
      </c>
      <c r="Y19" s="3">
        <f>IF(E19="Yes",X19*Tab_Data_Flows[[#This Row],[E1_value]],"N.A.")</f>
        <v>0</v>
      </c>
      <c r="Z19" s="3" t="str">
        <f>Tab_Data_Flows[[#This Row],[E1_UoM]]</f>
        <v>Mg</v>
      </c>
      <c r="AA19" s="24">
        <f>_xlfn.XLOOKUP(Tab_Data_Flows[[#This Row],[Flow_Name]],Tab_Def_Flows[Flow_Name],Tab_Def_Flows[Flow_E4_Fraction'[%']],"N.A.",0,1)</f>
        <v>0</v>
      </c>
      <c r="AB19" s="3">
        <f>IF(H19="Yes",Tab_Data_Flows[[#This Row],[E4_Fraction'[%']]]*Tab_Data_Flows[[#This Row],[E1_value]],"N.A.")</f>
        <v>0</v>
      </c>
      <c r="AC19" s="3" t="str">
        <f>Tab_Data_Flows[[#This Row],[E1_UoM]]</f>
        <v>Mg</v>
      </c>
      <c r="AD19" s="24">
        <f>_xlfn.XLOOKUP(Tab_Data_Flows[[#This Row],[Flow_Name]],Tab_Def_Flows[Flow_Name],Tab_Def_Flows[Flow_E5_Fraction'[%']],"N.A.",0,1)</f>
        <v>0</v>
      </c>
      <c r="AE19" s="3">
        <f>IF(H19="Yes",Tab_Data_Flows[[#This Row],[E5_Fraction'[%']]]*Tab_Data_Flows[[#This Row],[E1_value]],"N.A.")</f>
        <v>0</v>
      </c>
      <c r="AF19" s="3" t="str">
        <f>Tab_Data_Flows[[#This Row],[E1_UoM]]</f>
        <v>Mg</v>
      </c>
      <c r="AG19" s="24">
        <f>_xlfn.XLOOKUP(Tab_Data_Flows[[#This Row],[Flow_Name]],Tab_Def_Flows[Flow_Name],Tab_Def_Flows[Flow_E6_Fraction'[%']],"N.A.",0,1)</f>
        <v>0</v>
      </c>
      <c r="AH19" s="3">
        <f>IF(Tab_Data_Flows[[#This Row],[Use_E6]]="Yes",Tab_Data_Flows[[#This Row],[E6_Fraction'[%']]]*Tab_Data_Flows[[#This Row],[E1_value]],"N.A.")</f>
        <v>0</v>
      </c>
      <c r="AI19" s="3" t="str">
        <f>Tab_Data_Flows[[#This Row],[E1_UoM]]</f>
        <v>Mg</v>
      </c>
    </row>
    <row r="20" spans="1:35" x14ac:dyDescent="0.25">
      <c r="A20" s="5">
        <f t="shared" si="1"/>
        <v>19</v>
      </c>
      <c r="B20" s="3" t="str">
        <f>_xlfn.XLOOKUP(C20,Tab_Def_Flows[Flow_Name],Tab_Def_Flows[Flow_ID],,0,)</f>
        <v>F__</v>
      </c>
      <c r="C20" s="23" t="s">
        <v>5</v>
      </c>
      <c r="D20" s="6" t="str">
        <f>_xlfn.XLOOKUP(C20,Tab_Def_Flows[Flow_Name],Tab_Def_Flows[Use_E1],,0,)</f>
        <v>Yes</v>
      </c>
      <c r="E20" s="6" t="str">
        <f>_xlfn.XLOOKUP(C20,Tab_Def_Flows[Flow_Name],Tab_Def_Flows[Use_E2],,0,)</f>
        <v>Yes</v>
      </c>
      <c r="F20" s="6" t="str">
        <f>_xlfn.XLOOKUP(C20,Tab_Def_Flows[Flow_Name],Tab_Def_Flows[Use_E3],,0,)</f>
        <v>Yes</v>
      </c>
      <c r="G20" s="6" t="str">
        <f>_xlfn.XLOOKUP(C20,Tab_Def_Flows[Flow_Name],Tab_Def_Flows[Use_E4],,0,)</f>
        <v>Yes</v>
      </c>
      <c r="H20" s="6" t="str">
        <f>_xlfn.XLOOKUP(C20,Tab_Def_Flows[Flow_Name],Tab_Def_Flows[Use_E5],,0,)</f>
        <v>Yes</v>
      </c>
      <c r="I20" s="6" t="str">
        <f>_xlfn.XLOOKUP(C20,Tab_Def_Flows[Flow_Name],Tab_Def_Flows[Use_E6],,0,)</f>
        <v>Yes</v>
      </c>
      <c r="J20" s="52"/>
      <c r="K20" s="53"/>
      <c r="L20" s="3" t="str">
        <f>'0_Configuration'!$C$41</f>
        <v>Mg</v>
      </c>
      <c r="M20" s="10"/>
      <c r="N20" s="23" t="s">
        <v>3</v>
      </c>
      <c r="O20" s="4"/>
      <c r="P20" s="4"/>
      <c r="Q20" s="10"/>
      <c r="R20" s="3">
        <f>_xlfn.XLOOKUP(Tab_Data_Flows[[#This Row],[Flow_Name]],Tab_Def_Flows[Flow_Name],Tab_Def_Flows[Flow_E1_Fraction'[%']],"N.A.",0,1)</f>
        <v>0</v>
      </c>
      <c r="S20" s="9">
        <f t="shared" si="0"/>
        <v>0</v>
      </c>
      <c r="T20" s="3" t="str">
        <f>Tab_Data_Flows[[#This Row],[UoM_Source]]</f>
        <v>Mg</v>
      </c>
      <c r="U20" s="24">
        <f>_xlfn.XLOOKUP(Tab_Data_Flows[[#This Row],[Flow_Name]],Tab_Def_Flows[Flow_Name],Tab_Def_Flows[Flow_E2_Fraction'[%']],"N.A.",0,1)</f>
        <v>0</v>
      </c>
      <c r="V20" s="3">
        <f>IF(D20="Yes",S20*Tab_Data_Flows[[#This Row],[E2_Fraction'[%']]],"N.A.")</f>
        <v>0</v>
      </c>
      <c r="W20" s="3" t="str">
        <f>Tab_Data_Flows[[#This Row],[E1_UoM]]</f>
        <v>Mg</v>
      </c>
      <c r="X20" s="24">
        <f>_xlfn.XLOOKUP(Tab_Data_Flows[[#This Row],[Flow_Name]],Tab_Def_Flows[Flow_Name],Tab_Def_Flows[Flow_E3_Fraction'[%']],"N.A.",0,1)</f>
        <v>0</v>
      </c>
      <c r="Y20" s="3">
        <f>IF(E20="Yes",X20*Tab_Data_Flows[[#This Row],[E1_value]],"N.A.")</f>
        <v>0</v>
      </c>
      <c r="Z20" s="3" t="str">
        <f>Tab_Data_Flows[[#This Row],[E1_UoM]]</f>
        <v>Mg</v>
      </c>
      <c r="AA20" s="24">
        <f>_xlfn.XLOOKUP(Tab_Data_Flows[[#This Row],[Flow_Name]],Tab_Def_Flows[Flow_Name],Tab_Def_Flows[Flow_E4_Fraction'[%']],"N.A.",0,1)</f>
        <v>0</v>
      </c>
      <c r="AB20" s="3">
        <f>IF(H20="Yes",Tab_Data_Flows[[#This Row],[E4_Fraction'[%']]]*Tab_Data_Flows[[#This Row],[E1_value]],"N.A.")</f>
        <v>0</v>
      </c>
      <c r="AC20" s="3" t="str">
        <f>Tab_Data_Flows[[#This Row],[E1_UoM]]</f>
        <v>Mg</v>
      </c>
      <c r="AD20" s="24">
        <f>_xlfn.XLOOKUP(Tab_Data_Flows[[#This Row],[Flow_Name]],Tab_Def_Flows[Flow_Name],Tab_Def_Flows[Flow_E5_Fraction'[%']],"N.A.",0,1)</f>
        <v>0</v>
      </c>
      <c r="AE20" s="3">
        <f>IF(H20="Yes",Tab_Data_Flows[[#This Row],[E5_Fraction'[%']]]*Tab_Data_Flows[[#This Row],[E1_value]],"N.A.")</f>
        <v>0</v>
      </c>
      <c r="AF20" s="3" t="str">
        <f>Tab_Data_Flows[[#This Row],[E1_UoM]]</f>
        <v>Mg</v>
      </c>
      <c r="AG20" s="24">
        <f>_xlfn.XLOOKUP(Tab_Data_Flows[[#This Row],[Flow_Name]],Tab_Def_Flows[Flow_Name],Tab_Def_Flows[Flow_E6_Fraction'[%']],"N.A.",0,1)</f>
        <v>0</v>
      </c>
      <c r="AH20" s="3">
        <f>IF(Tab_Data_Flows[[#This Row],[Use_E6]]="Yes",Tab_Data_Flows[[#This Row],[E6_Fraction'[%']]]*Tab_Data_Flows[[#This Row],[E1_value]],"N.A.")</f>
        <v>0</v>
      </c>
      <c r="AI20" s="3" t="str">
        <f>Tab_Data_Flows[[#This Row],[E1_UoM]]</f>
        <v>Mg</v>
      </c>
    </row>
    <row r="21" spans="1:35" x14ac:dyDescent="0.25">
      <c r="A21" s="5">
        <f t="shared" si="1"/>
        <v>20</v>
      </c>
      <c r="B21" s="3" t="str">
        <f>_xlfn.XLOOKUP(C21,Tab_Def_Flows[Flow_Name],Tab_Def_Flows[Flow_ID],,0,)</f>
        <v>F__</v>
      </c>
      <c r="C21" s="23" t="s">
        <v>5</v>
      </c>
      <c r="D21" s="6" t="str">
        <f>_xlfn.XLOOKUP(C21,Tab_Def_Flows[Flow_Name],Tab_Def_Flows[Use_E1],,0,)</f>
        <v>Yes</v>
      </c>
      <c r="E21" s="6" t="str">
        <f>_xlfn.XLOOKUP(C21,Tab_Def_Flows[Flow_Name],Tab_Def_Flows[Use_E2],,0,)</f>
        <v>Yes</v>
      </c>
      <c r="F21" s="6" t="str">
        <f>_xlfn.XLOOKUP(C21,Tab_Def_Flows[Flow_Name],Tab_Def_Flows[Use_E3],,0,)</f>
        <v>Yes</v>
      </c>
      <c r="G21" s="6" t="str">
        <f>_xlfn.XLOOKUP(C21,Tab_Def_Flows[Flow_Name],Tab_Def_Flows[Use_E4],,0,)</f>
        <v>Yes</v>
      </c>
      <c r="H21" s="6" t="str">
        <f>_xlfn.XLOOKUP(C21,Tab_Def_Flows[Flow_Name],Tab_Def_Flows[Use_E5],,0,)</f>
        <v>Yes</v>
      </c>
      <c r="I21" s="6" t="str">
        <f>_xlfn.XLOOKUP(C21,Tab_Def_Flows[Flow_Name],Tab_Def_Flows[Use_E6],,0,)</f>
        <v>Yes</v>
      </c>
      <c r="J21" s="52"/>
      <c r="K21" s="53"/>
      <c r="L21" s="3" t="str">
        <f>'0_Configuration'!$C$41</f>
        <v>Mg</v>
      </c>
      <c r="M21" s="10"/>
      <c r="N21" s="23" t="s">
        <v>3</v>
      </c>
      <c r="O21" s="4"/>
      <c r="P21" s="4"/>
      <c r="Q21" s="10"/>
      <c r="R21" s="3">
        <f>_xlfn.XLOOKUP(Tab_Data_Flows[[#This Row],[Flow_Name]],Tab_Def_Flows[Flow_Name],Tab_Def_Flows[Flow_E1_Fraction'[%']],"N.A.",0,1)</f>
        <v>0</v>
      </c>
      <c r="S21" s="9">
        <f t="shared" si="0"/>
        <v>0</v>
      </c>
      <c r="T21" s="3" t="str">
        <f>Tab_Data_Flows[[#This Row],[UoM_Source]]</f>
        <v>Mg</v>
      </c>
      <c r="U21" s="24">
        <f>_xlfn.XLOOKUP(Tab_Data_Flows[[#This Row],[Flow_Name]],Tab_Def_Flows[Flow_Name],Tab_Def_Flows[Flow_E2_Fraction'[%']],"N.A.",0,1)</f>
        <v>0</v>
      </c>
      <c r="V21" s="3">
        <f>IF(D21="Yes",S21*Tab_Data_Flows[[#This Row],[E2_Fraction'[%']]],"N.A.")</f>
        <v>0</v>
      </c>
      <c r="W21" s="3" t="str">
        <f>Tab_Data_Flows[[#This Row],[E1_UoM]]</f>
        <v>Mg</v>
      </c>
      <c r="X21" s="24">
        <f>_xlfn.XLOOKUP(Tab_Data_Flows[[#This Row],[Flow_Name]],Tab_Def_Flows[Flow_Name],Tab_Def_Flows[Flow_E3_Fraction'[%']],"N.A.",0,1)</f>
        <v>0</v>
      </c>
      <c r="Y21" s="3">
        <f>IF(E21="Yes",X21*Tab_Data_Flows[[#This Row],[E1_value]],"N.A.")</f>
        <v>0</v>
      </c>
      <c r="Z21" s="3" t="str">
        <f>Tab_Data_Flows[[#This Row],[E1_UoM]]</f>
        <v>Mg</v>
      </c>
      <c r="AA21" s="24">
        <f>_xlfn.XLOOKUP(Tab_Data_Flows[[#This Row],[Flow_Name]],Tab_Def_Flows[Flow_Name],Tab_Def_Flows[Flow_E4_Fraction'[%']],"N.A.",0,1)</f>
        <v>0</v>
      </c>
      <c r="AB21" s="3">
        <f>IF(H21="Yes",Tab_Data_Flows[[#This Row],[E4_Fraction'[%']]]*Tab_Data_Flows[[#This Row],[E1_value]],"N.A.")</f>
        <v>0</v>
      </c>
      <c r="AC21" s="3" t="str">
        <f>Tab_Data_Flows[[#This Row],[E1_UoM]]</f>
        <v>Mg</v>
      </c>
      <c r="AD21" s="24">
        <f>_xlfn.XLOOKUP(Tab_Data_Flows[[#This Row],[Flow_Name]],Tab_Def_Flows[Flow_Name],Tab_Def_Flows[Flow_E5_Fraction'[%']],"N.A.",0,1)</f>
        <v>0</v>
      </c>
      <c r="AE21" s="3">
        <f>IF(H21="Yes",Tab_Data_Flows[[#This Row],[E5_Fraction'[%']]]*Tab_Data_Flows[[#This Row],[E1_value]],"N.A.")</f>
        <v>0</v>
      </c>
      <c r="AF21" s="3" t="str">
        <f>Tab_Data_Flows[[#This Row],[E1_UoM]]</f>
        <v>Mg</v>
      </c>
      <c r="AG21" s="24">
        <f>_xlfn.XLOOKUP(Tab_Data_Flows[[#This Row],[Flow_Name]],Tab_Def_Flows[Flow_Name],Tab_Def_Flows[Flow_E6_Fraction'[%']],"N.A.",0,1)</f>
        <v>0</v>
      </c>
      <c r="AH21" s="3">
        <f>IF(Tab_Data_Flows[[#This Row],[Use_E6]]="Yes",Tab_Data_Flows[[#This Row],[E6_Fraction'[%']]]*Tab_Data_Flows[[#This Row],[E1_value]],"N.A.")</f>
        <v>0</v>
      </c>
      <c r="AI21" s="3" t="str">
        <f>Tab_Data_Flows[[#This Row],[E1_UoM]]</f>
        <v>Mg</v>
      </c>
    </row>
    <row r="22" spans="1:35" x14ac:dyDescent="0.25">
      <c r="A22" s="5">
        <f t="shared" si="1"/>
        <v>21</v>
      </c>
      <c r="B22" s="3" t="str">
        <f>_xlfn.XLOOKUP(C22,Tab_Def_Flows[Flow_Name],Tab_Def_Flows[Flow_ID],,0,)</f>
        <v>F__</v>
      </c>
      <c r="C22" s="23" t="s">
        <v>5</v>
      </c>
      <c r="D22" s="6" t="str">
        <f>_xlfn.XLOOKUP(C22,Tab_Def_Flows[Flow_Name],Tab_Def_Flows[Use_E1],,0,)</f>
        <v>Yes</v>
      </c>
      <c r="E22" s="6" t="str">
        <f>_xlfn.XLOOKUP(C22,Tab_Def_Flows[Flow_Name],Tab_Def_Flows[Use_E2],,0,)</f>
        <v>Yes</v>
      </c>
      <c r="F22" s="6" t="str">
        <f>_xlfn.XLOOKUP(C22,Tab_Def_Flows[Flow_Name],Tab_Def_Flows[Use_E3],,0,)</f>
        <v>Yes</v>
      </c>
      <c r="G22" s="6" t="str">
        <f>_xlfn.XLOOKUP(C22,Tab_Def_Flows[Flow_Name],Tab_Def_Flows[Use_E4],,0,)</f>
        <v>Yes</v>
      </c>
      <c r="H22" s="6" t="str">
        <f>_xlfn.XLOOKUP(C22,Tab_Def_Flows[Flow_Name],Tab_Def_Flows[Use_E5],,0,)</f>
        <v>Yes</v>
      </c>
      <c r="I22" s="6" t="str">
        <f>_xlfn.XLOOKUP(C22,Tab_Def_Flows[Flow_Name],Tab_Def_Flows[Use_E6],,0,)</f>
        <v>Yes</v>
      </c>
      <c r="J22" s="52"/>
      <c r="K22" s="53"/>
      <c r="L22" s="3" t="str">
        <f>'0_Configuration'!$C$41</f>
        <v>Mg</v>
      </c>
      <c r="M22" s="10"/>
      <c r="N22" s="23" t="s">
        <v>3</v>
      </c>
      <c r="O22" s="4"/>
      <c r="P22" s="4"/>
      <c r="Q22" s="10"/>
      <c r="R22" s="3">
        <f>_xlfn.XLOOKUP(Tab_Data_Flows[[#This Row],[Flow_Name]],Tab_Def_Flows[Flow_Name],Tab_Def_Flows[Flow_E1_Fraction'[%']],"N.A.",0,1)</f>
        <v>0</v>
      </c>
      <c r="S22" s="9">
        <f t="shared" si="0"/>
        <v>0</v>
      </c>
      <c r="T22" s="3" t="str">
        <f>Tab_Data_Flows[[#This Row],[UoM_Source]]</f>
        <v>Mg</v>
      </c>
      <c r="U22" s="24">
        <f>_xlfn.XLOOKUP(Tab_Data_Flows[[#This Row],[Flow_Name]],Tab_Def_Flows[Flow_Name],Tab_Def_Flows[Flow_E2_Fraction'[%']],"N.A.",0,1)</f>
        <v>0</v>
      </c>
      <c r="V22" s="3">
        <f>IF(D22="Yes",S22*Tab_Data_Flows[[#This Row],[E2_Fraction'[%']]],"N.A.")</f>
        <v>0</v>
      </c>
      <c r="W22" s="3" t="str">
        <f>Tab_Data_Flows[[#This Row],[E1_UoM]]</f>
        <v>Mg</v>
      </c>
      <c r="X22" s="24">
        <f>_xlfn.XLOOKUP(Tab_Data_Flows[[#This Row],[Flow_Name]],Tab_Def_Flows[Flow_Name],Tab_Def_Flows[Flow_E3_Fraction'[%']],"N.A.",0,1)</f>
        <v>0</v>
      </c>
      <c r="Y22" s="3">
        <f>IF(E22="Yes",X22*Tab_Data_Flows[[#This Row],[E1_value]],"N.A.")</f>
        <v>0</v>
      </c>
      <c r="Z22" s="3" t="str">
        <f>Tab_Data_Flows[[#This Row],[E1_UoM]]</f>
        <v>Mg</v>
      </c>
      <c r="AA22" s="24">
        <f>_xlfn.XLOOKUP(Tab_Data_Flows[[#This Row],[Flow_Name]],Tab_Def_Flows[Flow_Name],Tab_Def_Flows[Flow_E4_Fraction'[%']],"N.A.",0,1)</f>
        <v>0</v>
      </c>
      <c r="AB22" s="3">
        <f>IF(H22="Yes",Tab_Data_Flows[[#This Row],[E4_Fraction'[%']]]*Tab_Data_Flows[[#This Row],[E1_value]],"N.A.")</f>
        <v>0</v>
      </c>
      <c r="AC22" s="3" t="str">
        <f>Tab_Data_Flows[[#This Row],[E1_UoM]]</f>
        <v>Mg</v>
      </c>
      <c r="AD22" s="24">
        <f>_xlfn.XLOOKUP(Tab_Data_Flows[[#This Row],[Flow_Name]],Tab_Def_Flows[Flow_Name],Tab_Def_Flows[Flow_E5_Fraction'[%']],"N.A.",0,1)</f>
        <v>0</v>
      </c>
      <c r="AE22" s="3">
        <f>IF(H22="Yes",Tab_Data_Flows[[#This Row],[E5_Fraction'[%']]]*Tab_Data_Flows[[#This Row],[E1_value]],"N.A.")</f>
        <v>0</v>
      </c>
      <c r="AF22" s="3" t="str">
        <f>Tab_Data_Flows[[#This Row],[E1_UoM]]</f>
        <v>Mg</v>
      </c>
      <c r="AG22" s="24">
        <f>_xlfn.XLOOKUP(Tab_Data_Flows[[#This Row],[Flow_Name]],Tab_Def_Flows[Flow_Name],Tab_Def_Flows[Flow_E6_Fraction'[%']],"N.A.",0,1)</f>
        <v>0</v>
      </c>
      <c r="AH22" s="3">
        <f>IF(Tab_Data_Flows[[#This Row],[Use_E6]]="Yes",Tab_Data_Flows[[#This Row],[E6_Fraction'[%']]]*Tab_Data_Flows[[#This Row],[E1_value]],"N.A.")</f>
        <v>0</v>
      </c>
      <c r="AI22" s="3" t="str">
        <f>Tab_Data_Flows[[#This Row],[E1_UoM]]</f>
        <v>Mg</v>
      </c>
    </row>
    <row r="23" spans="1:35" x14ac:dyDescent="0.25">
      <c r="A23" s="5">
        <f t="shared" si="1"/>
        <v>22</v>
      </c>
      <c r="B23" s="3" t="str">
        <f>_xlfn.XLOOKUP(C23,Tab_Def_Flows[Flow_Name],Tab_Def_Flows[Flow_ID],,0,)</f>
        <v>F__</v>
      </c>
      <c r="C23" s="23" t="s">
        <v>5</v>
      </c>
      <c r="D23" s="6" t="str">
        <f>_xlfn.XLOOKUP(C23,Tab_Def_Flows[Flow_Name],Tab_Def_Flows[Use_E1],,0,)</f>
        <v>Yes</v>
      </c>
      <c r="E23" s="6" t="str">
        <f>_xlfn.XLOOKUP(C23,Tab_Def_Flows[Flow_Name],Tab_Def_Flows[Use_E2],,0,)</f>
        <v>Yes</v>
      </c>
      <c r="F23" s="6" t="str">
        <f>_xlfn.XLOOKUP(C23,Tab_Def_Flows[Flow_Name],Tab_Def_Flows[Use_E3],,0,)</f>
        <v>Yes</v>
      </c>
      <c r="G23" s="6" t="str">
        <f>_xlfn.XLOOKUP(C23,Tab_Def_Flows[Flow_Name],Tab_Def_Flows[Use_E4],,0,)</f>
        <v>Yes</v>
      </c>
      <c r="H23" s="6" t="str">
        <f>_xlfn.XLOOKUP(C23,Tab_Def_Flows[Flow_Name],Tab_Def_Flows[Use_E5],,0,)</f>
        <v>Yes</v>
      </c>
      <c r="I23" s="6" t="str">
        <f>_xlfn.XLOOKUP(C23,Tab_Def_Flows[Flow_Name],Tab_Def_Flows[Use_E6],,0,)</f>
        <v>Yes</v>
      </c>
      <c r="J23" s="52"/>
      <c r="K23" s="53"/>
      <c r="L23" s="3" t="str">
        <f>'0_Configuration'!$C$41</f>
        <v>Mg</v>
      </c>
      <c r="M23" s="10"/>
      <c r="N23" s="23" t="s">
        <v>3</v>
      </c>
      <c r="O23" s="4"/>
      <c r="P23" s="4"/>
      <c r="Q23" s="10"/>
      <c r="R23" s="3">
        <f>_xlfn.XLOOKUP(Tab_Data_Flows[[#This Row],[Flow_Name]],Tab_Def_Flows[Flow_Name],Tab_Def_Flows[Flow_E1_Fraction'[%']],"N.A.",0,1)</f>
        <v>0</v>
      </c>
      <c r="S23" s="9">
        <f t="shared" si="0"/>
        <v>0</v>
      </c>
      <c r="T23" s="3" t="str">
        <f>Tab_Data_Flows[[#This Row],[UoM_Source]]</f>
        <v>Mg</v>
      </c>
      <c r="U23" s="24">
        <f>_xlfn.XLOOKUP(Tab_Data_Flows[[#This Row],[Flow_Name]],Tab_Def_Flows[Flow_Name],Tab_Def_Flows[Flow_E2_Fraction'[%']],"N.A.",0,1)</f>
        <v>0</v>
      </c>
      <c r="V23" s="3">
        <f>IF(D23="Yes",S23*Tab_Data_Flows[[#This Row],[E2_Fraction'[%']]],"N.A.")</f>
        <v>0</v>
      </c>
      <c r="W23" s="3" t="str">
        <f>Tab_Data_Flows[[#This Row],[E1_UoM]]</f>
        <v>Mg</v>
      </c>
      <c r="X23" s="24">
        <f>_xlfn.XLOOKUP(Tab_Data_Flows[[#This Row],[Flow_Name]],Tab_Def_Flows[Flow_Name],Tab_Def_Flows[Flow_E3_Fraction'[%']],"N.A.",0,1)</f>
        <v>0</v>
      </c>
      <c r="Y23" s="3">
        <f>IF(E23="Yes",X23*Tab_Data_Flows[[#This Row],[E1_value]],"N.A.")</f>
        <v>0</v>
      </c>
      <c r="Z23" s="3" t="str">
        <f>Tab_Data_Flows[[#This Row],[E1_UoM]]</f>
        <v>Mg</v>
      </c>
      <c r="AA23" s="24">
        <f>_xlfn.XLOOKUP(Tab_Data_Flows[[#This Row],[Flow_Name]],Tab_Def_Flows[Flow_Name],Tab_Def_Flows[Flow_E4_Fraction'[%']],"N.A.",0,1)</f>
        <v>0</v>
      </c>
      <c r="AB23" s="3">
        <f>IF(H23="Yes",Tab_Data_Flows[[#This Row],[E4_Fraction'[%']]]*Tab_Data_Flows[[#This Row],[E1_value]],"N.A.")</f>
        <v>0</v>
      </c>
      <c r="AC23" s="3" t="str">
        <f>Tab_Data_Flows[[#This Row],[E1_UoM]]</f>
        <v>Mg</v>
      </c>
      <c r="AD23" s="24">
        <f>_xlfn.XLOOKUP(Tab_Data_Flows[[#This Row],[Flow_Name]],Tab_Def_Flows[Flow_Name],Tab_Def_Flows[Flow_E5_Fraction'[%']],"N.A.",0,1)</f>
        <v>0</v>
      </c>
      <c r="AE23" s="3">
        <f>IF(H23="Yes",Tab_Data_Flows[[#This Row],[E5_Fraction'[%']]]*Tab_Data_Flows[[#This Row],[E1_value]],"N.A.")</f>
        <v>0</v>
      </c>
      <c r="AF23" s="3" t="str">
        <f>Tab_Data_Flows[[#This Row],[E1_UoM]]</f>
        <v>Mg</v>
      </c>
      <c r="AG23" s="24">
        <f>_xlfn.XLOOKUP(Tab_Data_Flows[[#This Row],[Flow_Name]],Tab_Def_Flows[Flow_Name],Tab_Def_Flows[Flow_E6_Fraction'[%']],"N.A.",0,1)</f>
        <v>0</v>
      </c>
      <c r="AH23" s="3">
        <f>IF(Tab_Data_Flows[[#This Row],[Use_E6]]="Yes",Tab_Data_Flows[[#This Row],[E6_Fraction'[%']]]*Tab_Data_Flows[[#This Row],[E1_value]],"N.A.")</f>
        <v>0</v>
      </c>
      <c r="AI23" s="3" t="str">
        <f>Tab_Data_Flows[[#This Row],[E1_UoM]]</f>
        <v>Mg</v>
      </c>
    </row>
    <row r="24" spans="1:35" x14ac:dyDescent="0.25">
      <c r="A24" s="5">
        <f t="shared" si="1"/>
        <v>23</v>
      </c>
      <c r="B24" s="3" t="str">
        <f>_xlfn.XLOOKUP(C24,Tab_Def_Flows[Flow_Name],Tab_Def_Flows[Flow_ID],,0,)</f>
        <v>F__</v>
      </c>
      <c r="C24" s="23" t="s">
        <v>5</v>
      </c>
      <c r="D24" s="6" t="str">
        <f>_xlfn.XLOOKUP(C24,Tab_Def_Flows[Flow_Name],Tab_Def_Flows[Use_E1],,0,)</f>
        <v>Yes</v>
      </c>
      <c r="E24" s="6" t="str">
        <f>_xlfn.XLOOKUP(C24,Tab_Def_Flows[Flow_Name],Tab_Def_Flows[Use_E2],,0,)</f>
        <v>Yes</v>
      </c>
      <c r="F24" s="6" t="str">
        <f>_xlfn.XLOOKUP(C24,Tab_Def_Flows[Flow_Name],Tab_Def_Flows[Use_E3],,0,)</f>
        <v>Yes</v>
      </c>
      <c r="G24" s="6" t="str">
        <f>_xlfn.XLOOKUP(C24,Tab_Def_Flows[Flow_Name],Tab_Def_Flows[Use_E4],,0,)</f>
        <v>Yes</v>
      </c>
      <c r="H24" s="6" t="str">
        <f>_xlfn.XLOOKUP(C24,Tab_Def_Flows[Flow_Name],Tab_Def_Flows[Use_E5],,0,)</f>
        <v>Yes</v>
      </c>
      <c r="I24" s="6" t="str">
        <f>_xlfn.XLOOKUP(C24,Tab_Def_Flows[Flow_Name],Tab_Def_Flows[Use_E6],,0,)</f>
        <v>Yes</v>
      </c>
      <c r="J24" s="52"/>
      <c r="K24" s="53"/>
      <c r="L24" s="3" t="str">
        <f>'0_Configuration'!$C$41</f>
        <v>Mg</v>
      </c>
      <c r="M24" s="10"/>
      <c r="N24" s="23" t="s">
        <v>3</v>
      </c>
      <c r="O24" s="4"/>
      <c r="P24" s="4"/>
      <c r="Q24" s="10"/>
      <c r="R24" s="3">
        <f>_xlfn.XLOOKUP(Tab_Data_Flows[[#This Row],[Flow_Name]],Tab_Def_Flows[Flow_Name],Tab_Def_Flows[Flow_E1_Fraction'[%']],"N.A.",0,1)</f>
        <v>0</v>
      </c>
      <c r="S24" s="9">
        <f t="shared" si="0"/>
        <v>0</v>
      </c>
      <c r="T24" s="3" t="str">
        <f>Tab_Data_Flows[[#This Row],[UoM_Source]]</f>
        <v>Mg</v>
      </c>
      <c r="U24" s="24">
        <f>_xlfn.XLOOKUP(Tab_Data_Flows[[#This Row],[Flow_Name]],Tab_Def_Flows[Flow_Name],Tab_Def_Flows[Flow_E2_Fraction'[%']],"N.A.",0,1)</f>
        <v>0</v>
      </c>
      <c r="V24" s="3">
        <f>IF(D24="Yes",S24*Tab_Data_Flows[[#This Row],[E2_Fraction'[%']]],"N.A.")</f>
        <v>0</v>
      </c>
      <c r="W24" s="3" t="str">
        <f>Tab_Data_Flows[[#This Row],[E1_UoM]]</f>
        <v>Mg</v>
      </c>
      <c r="X24" s="24">
        <f>_xlfn.XLOOKUP(Tab_Data_Flows[[#This Row],[Flow_Name]],Tab_Def_Flows[Flow_Name],Tab_Def_Flows[Flow_E3_Fraction'[%']],"N.A.",0,1)</f>
        <v>0</v>
      </c>
      <c r="Y24" s="3">
        <f>IF(E24="Yes",X24*Tab_Data_Flows[[#This Row],[E1_value]],"N.A.")</f>
        <v>0</v>
      </c>
      <c r="Z24" s="3" t="str">
        <f>Tab_Data_Flows[[#This Row],[E1_UoM]]</f>
        <v>Mg</v>
      </c>
      <c r="AA24" s="24">
        <f>_xlfn.XLOOKUP(Tab_Data_Flows[[#This Row],[Flow_Name]],Tab_Def_Flows[Flow_Name],Tab_Def_Flows[Flow_E4_Fraction'[%']],"N.A.",0,1)</f>
        <v>0</v>
      </c>
      <c r="AB24" s="3">
        <f>IF(H24="Yes",Tab_Data_Flows[[#This Row],[E4_Fraction'[%']]]*Tab_Data_Flows[[#This Row],[E1_value]],"N.A.")</f>
        <v>0</v>
      </c>
      <c r="AC24" s="3" t="str">
        <f>Tab_Data_Flows[[#This Row],[E1_UoM]]</f>
        <v>Mg</v>
      </c>
      <c r="AD24" s="24">
        <f>_xlfn.XLOOKUP(Tab_Data_Flows[[#This Row],[Flow_Name]],Tab_Def_Flows[Flow_Name],Tab_Def_Flows[Flow_E5_Fraction'[%']],"N.A.",0,1)</f>
        <v>0</v>
      </c>
      <c r="AE24" s="3">
        <f>IF(H24="Yes",Tab_Data_Flows[[#This Row],[E5_Fraction'[%']]]*Tab_Data_Flows[[#This Row],[E1_value]],"N.A.")</f>
        <v>0</v>
      </c>
      <c r="AF24" s="3" t="str">
        <f>Tab_Data_Flows[[#This Row],[E1_UoM]]</f>
        <v>Mg</v>
      </c>
      <c r="AG24" s="24">
        <f>_xlfn.XLOOKUP(Tab_Data_Flows[[#This Row],[Flow_Name]],Tab_Def_Flows[Flow_Name],Tab_Def_Flows[Flow_E6_Fraction'[%']],"N.A.",0,1)</f>
        <v>0</v>
      </c>
      <c r="AH24" s="3">
        <f>IF(Tab_Data_Flows[[#This Row],[Use_E6]]="Yes",Tab_Data_Flows[[#This Row],[E6_Fraction'[%']]]*Tab_Data_Flows[[#This Row],[E1_value]],"N.A.")</f>
        <v>0</v>
      </c>
      <c r="AI24" s="3" t="str">
        <f>Tab_Data_Flows[[#This Row],[E1_UoM]]</f>
        <v>Mg</v>
      </c>
    </row>
    <row r="25" spans="1:35" x14ac:dyDescent="0.25">
      <c r="A25" s="5">
        <f t="shared" si="1"/>
        <v>24</v>
      </c>
      <c r="B25" s="3" t="str">
        <f>_xlfn.XLOOKUP(C25,Tab_Def_Flows[Flow_Name],Tab_Def_Flows[Flow_ID],,0,)</f>
        <v>F__</v>
      </c>
      <c r="C25" s="23" t="s">
        <v>5</v>
      </c>
      <c r="D25" s="6" t="str">
        <f>_xlfn.XLOOKUP(C25,Tab_Def_Flows[Flow_Name],Tab_Def_Flows[Use_E1],,0,)</f>
        <v>Yes</v>
      </c>
      <c r="E25" s="6" t="str">
        <f>_xlfn.XLOOKUP(C25,Tab_Def_Flows[Flow_Name],Tab_Def_Flows[Use_E2],,0,)</f>
        <v>Yes</v>
      </c>
      <c r="F25" s="6" t="str">
        <f>_xlfn.XLOOKUP(C25,Tab_Def_Flows[Flow_Name],Tab_Def_Flows[Use_E3],,0,)</f>
        <v>Yes</v>
      </c>
      <c r="G25" s="6" t="str">
        <f>_xlfn.XLOOKUP(C25,Tab_Def_Flows[Flow_Name],Tab_Def_Flows[Use_E4],,0,)</f>
        <v>Yes</v>
      </c>
      <c r="H25" s="6" t="str">
        <f>_xlfn.XLOOKUP(C25,Tab_Def_Flows[Flow_Name],Tab_Def_Flows[Use_E5],,0,)</f>
        <v>Yes</v>
      </c>
      <c r="I25" s="6" t="str">
        <f>_xlfn.XLOOKUP(C25,Tab_Def_Flows[Flow_Name],Tab_Def_Flows[Use_E6],,0,)</f>
        <v>Yes</v>
      </c>
      <c r="J25" s="52"/>
      <c r="K25" s="53"/>
      <c r="L25" s="3" t="str">
        <f>'0_Configuration'!$C$41</f>
        <v>Mg</v>
      </c>
      <c r="M25" s="10"/>
      <c r="N25" s="23" t="s">
        <v>3</v>
      </c>
      <c r="O25" s="4"/>
      <c r="P25" s="4"/>
      <c r="Q25" s="10"/>
      <c r="R25" s="3">
        <f>_xlfn.XLOOKUP(Tab_Data_Flows[[#This Row],[Flow_Name]],Tab_Def_Flows[Flow_Name],Tab_Def_Flows[Flow_E1_Fraction'[%']],"N.A.",0,1)</f>
        <v>0</v>
      </c>
      <c r="S25" s="9">
        <f t="shared" si="0"/>
        <v>0</v>
      </c>
      <c r="T25" s="3" t="str">
        <f>Tab_Data_Flows[[#This Row],[UoM_Source]]</f>
        <v>Mg</v>
      </c>
      <c r="U25" s="24">
        <f>_xlfn.XLOOKUP(Tab_Data_Flows[[#This Row],[Flow_Name]],Tab_Def_Flows[Flow_Name],Tab_Def_Flows[Flow_E2_Fraction'[%']],"N.A.",0,1)</f>
        <v>0</v>
      </c>
      <c r="V25" s="3">
        <f>IF(D25="Yes",S25*Tab_Data_Flows[[#This Row],[E2_Fraction'[%']]],"N.A.")</f>
        <v>0</v>
      </c>
      <c r="W25" s="3" t="str">
        <f>Tab_Data_Flows[[#This Row],[E1_UoM]]</f>
        <v>Mg</v>
      </c>
      <c r="X25" s="24">
        <f>_xlfn.XLOOKUP(Tab_Data_Flows[[#This Row],[Flow_Name]],Tab_Def_Flows[Flow_Name],Tab_Def_Flows[Flow_E3_Fraction'[%']],"N.A.",0,1)</f>
        <v>0</v>
      </c>
      <c r="Y25" s="3">
        <f>IF(E25="Yes",X25*Tab_Data_Flows[[#This Row],[E1_value]],"N.A.")</f>
        <v>0</v>
      </c>
      <c r="Z25" s="3" t="str">
        <f>Tab_Data_Flows[[#This Row],[E1_UoM]]</f>
        <v>Mg</v>
      </c>
      <c r="AA25" s="24">
        <f>_xlfn.XLOOKUP(Tab_Data_Flows[[#This Row],[Flow_Name]],Tab_Def_Flows[Flow_Name],Tab_Def_Flows[Flow_E4_Fraction'[%']],"N.A.",0,1)</f>
        <v>0</v>
      </c>
      <c r="AB25" s="3">
        <f>IF(H25="Yes",Tab_Data_Flows[[#This Row],[E4_Fraction'[%']]]*Tab_Data_Flows[[#This Row],[E1_value]],"N.A.")</f>
        <v>0</v>
      </c>
      <c r="AC25" s="3" t="str">
        <f>Tab_Data_Flows[[#This Row],[E1_UoM]]</f>
        <v>Mg</v>
      </c>
      <c r="AD25" s="24">
        <f>_xlfn.XLOOKUP(Tab_Data_Flows[[#This Row],[Flow_Name]],Tab_Def_Flows[Flow_Name],Tab_Def_Flows[Flow_E5_Fraction'[%']],"N.A.",0,1)</f>
        <v>0</v>
      </c>
      <c r="AE25" s="3">
        <f>IF(H25="Yes",Tab_Data_Flows[[#This Row],[E5_Fraction'[%']]]*Tab_Data_Flows[[#This Row],[E1_value]],"N.A.")</f>
        <v>0</v>
      </c>
      <c r="AF25" s="3" t="str">
        <f>Tab_Data_Flows[[#This Row],[E1_UoM]]</f>
        <v>Mg</v>
      </c>
      <c r="AG25" s="24">
        <f>_xlfn.XLOOKUP(Tab_Data_Flows[[#This Row],[Flow_Name]],Tab_Def_Flows[Flow_Name],Tab_Def_Flows[Flow_E6_Fraction'[%']],"N.A.",0,1)</f>
        <v>0</v>
      </c>
      <c r="AH25" s="3">
        <f>IF(Tab_Data_Flows[[#This Row],[Use_E6]]="Yes",Tab_Data_Flows[[#This Row],[E6_Fraction'[%']]]*Tab_Data_Flows[[#This Row],[E1_value]],"N.A.")</f>
        <v>0</v>
      </c>
      <c r="AI25" s="3" t="str">
        <f>Tab_Data_Flows[[#This Row],[E1_UoM]]</f>
        <v>Mg</v>
      </c>
    </row>
    <row r="26" spans="1:35" x14ac:dyDescent="0.25">
      <c r="A26" s="5">
        <f t="shared" si="1"/>
        <v>25</v>
      </c>
      <c r="B26" s="3" t="str">
        <f>_xlfn.XLOOKUP(C26,Tab_Def_Flows[Flow_Name],Tab_Def_Flows[Flow_ID],,0,)</f>
        <v>F__</v>
      </c>
      <c r="C26" s="23" t="s">
        <v>5</v>
      </c>
      <c r="D26" s="6" t="str">
        <f>_xlfn.XLOOKUP(C26,Tab_Def_Flows[Flow_Name],Tab_Def_Flows[Use_E1],,0,)</f>
        <v>Yes</v>
      </c>
      <c r="E26" s="6" t="str">
        <f>_xlfn.XLOOKUP(C26,Tab_Def_Flows[Flow_Name],Tab_Def_Flows[Use_E2],,0,)</f>
        <v>Yes</v>
      </c>
      <c r="F26" s="6" t="str">
        <f>_xlfn.XLOOKUP(C26,Tab_Def_Flows[Flow_Name],Tab_Def_Flows[Use_E3],,0,)</f>
        <v>Yes</v>
      </c>
      <c r="G26" s="6" t="str">
        <f>_xlfn.XLOOKUP(C26,Tab_Def_Flows[Flow_Name],Tab_Def_Flows[Use_E4],,0,)</f>
        <v>Yes</v>
      </c>
      <c r="H26" s="6" t="str">
        <f>_xlfn.XLOOKUP(C26,Tab_Def_Flows[Flow_Name],Tab_Def_Flows[Use_E5],,0,)</f>
        <v>Yes</v>
      </c>
      <c r="I26" s="6" t="str">
        <f>_xlfn.XLOOKUP(C26,Tab_Def_Flows[Flow_Name],Tab_Def_Flows[Use_E6],,0,)</f>
        <v>Yes</v>
      </c>
      <c r="J26" s="52"/>
      <c r="K26" s="53"/>
      <c r="L26" s="3" t="str">
        <f>'0_Configuration'!$C$41</f>
        <v>Mg</v>
      </c>
      <c r="M26" s="10"/>
      <c r="N26" s="23" t="s">
        <v>3</v>
      </c>
      <c r="O26" s="4"/>
      <c r="P26" s="4"/>
      <c r="Q26" s="10"/>
      <c r="R26" s="3">
        <f>_xlfn.XLOOKUP(Tab_Data_Flows[[#This Row],[Flow_Name]],Tab_Def_Flows[Flow_Name],Tab_Def_Flows[Flow_E1_Fraction'[%']],"N.A.",0,1)</f>
        <v>0</v>
      </c>
      <c r="S26" s="9">
        <f t="shared" si="0"/>
        <v>0</v>
      </c>
      <c r="T26" s="3" t="str">
        <f>Tab_Data_Flows[[#This Row],[UoM_Source]]</f>
        <v>Mg</v>
      </c>
      <c r="U26" s="24">
        <f>_xlfn.XLOOKUP(Tab_Data_Flows[[#This Row],[Flow_Name]],Tab_Def_Flows[Flow_Name],Tab_Def_Flows[Flow_E2_Fraction'[%']],"N.A.",0,1)</f>
        <v>0</v>
      </c>
      <c r="V26" s="3">
        <f>IF(D26="Yes",S26*Tab_Data_Flows[[#This Row],[E2_Fraction'[%']]],"N.A.")</f>
        <v>0</v>
      </c>
      <c r="W26" s="3" t="str">
        <f>Tab_Data_Flows[[#This Row],[E1_UoM]]</f>
        <v>Mg</v>
      </c>
      <c r="X26" s="24">
        <f>_xlfn.XLOOKUP(Tab_Data_Flows[[#This Row],[Flow_Name]],Tab_Def_Flows[Flow_Name],Tab_Def_Flows[Flow_E3_Fraction'[%']],"N.A.",0,1)</f>
        <v>0</v>
      </c>
      <c r="Y26" s="3">
        <f>IF(E26="Yes",X26*Tab_Data_Flows[[#This Row],[E1_value]],"N.A.")</f>
        <v>0</v>
      </c>
      <c r="Z26" s="3" t="str">
        <f>Tab_Data_Flows[[#This Row],[E1_UoM]]</f>
        <v>Mg</v>
      </c>
      <c r="AA26" s="24">
        <f>_xlfn.XLOOKUP(Tab_Data_Flows[[#This Row],[Flow_Name]],Tab_Def_Flows[Flow_Name],Tab_Def_Flows[Flow_E4_Fraction'[%']],"N.A.",0,1)</f>
        <v>0</v>
      </c>
      <c r="AB26" s="3">
        <f>IF(H26="Yes",Tab_Data_Flows[[#This Row],[E4_Fraction'[%']]]*Tab_Data_Flows[[#This Row],[E1_value]],"N.A.")</f>
        <v>0</v>
      </c>
      <c r="AC26" s="3" t="str">
        <f>Tab_Data_Flows[[#This Row],[E1_UoM]]</f>
        <v>Mg</v>
      </c>
      <c r="AD26" s="24">
        <f>_xlfn.XLOOKUP(Tab_Data_Flows[[#This Row],[Flow_Name]],Tab_Def_Flows[Flow_Name],Tab_Def_Flows[Flow_E5_Fraction'[%']],"N.A.",0,1)</f>
        <v>0</v>
      </c>
      <c r="AE26" s="3">
        <f>IF(H26="Yes",Tab_Data_Flows[[#This Row],[E5_Fraction'[%']]]*Tab_Data_Flows[[#This Row],[E1_value]],"N.A.")</f>
        <v>0</v>
      </c>
      <c r="AF26" s="3" t="str">
        <f>Tab_Data_Flows[[#This Row],[E1_UoM]]</f>
        <v>Mg</v>
      </c>
      <c r="AG26" s="24">
        <f>_xlfn.XLOOKUP(Tab_Data_Flows[[#This Row],[Flow_Name]],Tab_Def_Flows[Flow_Name],Tab_Def_Flows[Flow_E6_Fraction'[%']],"N.A.",0,1)</f>
        <v>0</v>
      </c>
      <c r="AH26" s="3">
        <f>IF(Tab_Data_Flows[[#This Row],[Use_E6]]="Yes",Tab_Data_Flows[[#This Row],[E6_Fraction'[%']]]*Tab_Data_Flows[[#This Row],[E1_value]],"N.A.")</f>
        <v>0</v>
      </c>
      <c r="AI26" s="3" t="str">
        <f>Tab_Data_Flows[[#This Row],[E1_UoM]]</f>
        <v>Mg</v>
      </c>
    </row>
    <row r="27" spans="1:35" x14ac:dyDescent="0.25">
      <c r="A27" s="5">
        <f t="shared" si="1"/>
        <v>26</v>
      </c>
      <c r="B27" s="3" t="str">
        <f>_xlfn.XLOOKUP(C27,Tab_Def_Flows[Flow_Name],Tab_Def_Flows[Flow_ID],,0,)</f>
        <v>F__</v>
      </c>
      <c r="C27" s="23" t="s">
        <v>5</v>
      </c>
      <c r="D27" s="6" t="str">
        <f>_xlfn.XLOOKUP(C27,Tab_Def_Flows[Flow_Name],Tab_Def_Flows[Use_E1],,0,)</f>
        <v>Yes</v>
      </c>
      <c r="E27" s="6" t="str">
        <f>_xlfn.XLOOKUP(C27,Tab_Def_Flows[Flow_Name],Tab_Def_Flows[Use_E2],,0,)</f>
        <v>Yes</v>
      </c>
      <c r="F27" s="6" t="str">
        <f>_xlfn.XLOOKUP(C27,Tab_Def_Flows[Flow_Name],Tab_Def_Flows[Use_E3],,0,)</f>
        <v>Yes</v>
      </c>
      <c r="G27" s="6" t="str">
        <f>_xlfn.XLOOKUP(C27,Tab_Def_Flows[Flow_Name],Tab_Def_Flows[Use_E4],,0,)</f>
        <v>Yes</v>
      </c>
      <c r="H27" s="6" t="str">
        <f>_xlfn.XLOOKUP(C27,Tab_Def_Flows[Flow_Name],Tab_Def_Flows[Use_E5],,0,)</f>
        <v>Yes</v>
      </c>
      <c r="I27" s="6" t="str">
        <f>_xlfn.XLOOKUP(C27,Tab_Def_Flows[Flow_Name],Tab_Def_Flows[Use_E6],,0,)</f>
        <v>Yes</v>
      </c>
      <c r="J27" s="52"/>
      <c r="K27" s="53"/>
      <c r="L27" s="3" t="str">
        <f>'0_Configuration'!$C$41</f>
        <v>Mg</v>
      </c>
      <c r="M27" s="10"/>
      <c r="N27" s="23" t="s">
        <v>3</v>
      </c>
      <c r="O27" s="4"/>
      <c r="P27" s="4"/>
      <c r="Q27" s="10"/>
      <c r="R27" s="3">
        <f>_xlfn.XLOOKUP(Tab_Data_Flows[[#This Row],[Flow_Name]],Tab_Def_Flows[Flow_Name],Tab_Def_Flows[Flow_E1_Fraction'[%']],"N.A.",0,1)</f>
        <v>0</v>
      </c>
      <c r="S27" s="9">
        <f t="shared" si="0"/>
        <v>0</v>
      </c>
      <c r="T27" s="3" t="str">
        <f>Tab_Data_Flows[[#This Row],[UoM_Source]]</f>
        <v>Mg</v>
      </c>
      <c r="U27" s="24">
        <f>_xlfn.XLOOKUP(Tab_Data_Flows[[#This Row],[Flow_Name]],Tab_Def_Flows[Flow_Name],Tab_Def_Flows[Flow_E2_Fraction'[%']],"N.A.",0,1)</f>
        <v>0</v>
      </c>
      <c r="V27" s="3">
        <f>IF(D27="Yes",S27*Tab_Data_Flows[[#This Row],[E2_Fraction'[%']]],"N.A.")</f>
        <v>0</v>
      </c>
      <c r="W27" s="3" t="str">
        <f>Tab_Data_Flows[[#This Row],[E1_UoM]]</f>
        <v>Mg</v>
      </c>
      <c r="X27" s="24">
        <f>_xlfn.XLOOKUP(Tab_Data_Flows[[#This Row],[Flow_Name]],Tab_Def_Flows[Flow_Name],Tab_Def_Flows[Flow_E3_Fraction'[%']],"N.A.",0,1)</f>
        <v>0</v>
      </c>
      <c r="Y27" s="3">
        <f>IF(E27="Yes",X27*Tab_Data_Flows[[#This Row],[E1_value]],"N.A.")</f>
        <v>0</v>
      </c>
      <c r="Z27" s="3" t="str">
        <f>Tab_Data_Flows[[#This Row],[E1_UoM]]</f>
        <v>Mg</v>
      </c>
      <c r="AA27" s="24">
        <f>_xlfn.XLOOKUP(Tab_Data_Flows[[#This Row],[Flow_Name]],Tab_Def_Flows[Flow_Name],Tab_Def_Flows[Flow_E4_Fraction'[%']],"N.A.",0,1)</f>
        <v>0</v>
      </c>
      <c r="AB27" s="3">
        <f>IF(H27="Yes",Tab_Data_Flows[[#This Row],[E4_Fraction'[%']]]*Tab_Data_Flows[[#This Row],[E1_value]],"N.A.")</f>
        <v>0</v>
      </c>
      <c r="AC27" s="3" t="str">
        <f>Tab_Data_Flows[[#This Row],[E1_UoM]]</f>
        <v>Mg</v>
      </c>
      <c r="AD27" s="24">
        <f>_xlfn.XLOOKUP(Tab_Data_Flows[[#This Row],[Flow_Name]],Tab_Def_Flows[Flow_Name],Tab_Def_Flows[Flow_E5_Fraction'[%']],"N.A.",0,1)</f>
        <v>0</v>
      </c>
      <c r="AE27" s="3">
        <f>IF(H27="Yes",Tab_Data_Flows[[#This Row],[E5_Fraction'[%']]]*Tab_Data_Flows[[#This Row],[E1_value]],"N.A.")</f>
        <v>0</v>
      </c>
      <c r="AF27" s="3" t="str">
        <f>Tab_Data_Flows[[#This Row],[E1_UoM]]</f>
        <v>Mg</v>
      </c>
      <c r="AG27" s="24">
        <f>_xlfn.XLOOKUP(Tab_Data_Flows[[#This Row],[Flow_Name]],Tab_Def_Flows[Flow_Name],Tab_Def_Flows[Flow_E6_Fraction'[%']],"N.A.",0,1)</f>
        <v>0</v>
      </c>
      <c r="AH27" s="3">
        <f>IF(Tab_Data_Flows[[#This Row],[Use_E6]]="Yes",Tab_Data_Flows[[#This Row],[E6_Fraction'[%']]]*Tab_Data_Flows[[#This Row],[E1_value]],"N.A.")</f>
        <v>0</v>
      </c>
      <c r="AI27" s="3" t="str">
        <f>Tab_Data_Flows[[#This Row],[E1_UoM]]</f>
        <v>Mg</v>
      </c>
    </row>
    <row r="28" spans="1:35" x14ac:dyDescent="0.25">
      <c r="A28" s="5">
        <f t="shared" si="1"/>
        <v>27</v>
      </c>
      <c r="B28" s="3" t="str">
        <f>_xlfn.XLOOKUP(C28,Tab_Def_Flows[Flow_Name],Tab_Def_Flows[Flow_ID],,0,)</f>
        <v>F__</v>
      </c>
      <c r="C28" s="23" t="s">
        <v>5</v>
      </c>
      <c r="D28" s="6" t="str">
        <f>_xlfn.XLOOKUP(C28,Tab_Def_Flows[Flow_Name],Tab_Def_Flows[Use_E1],,0,)</f>
        <v>Yes</v>
      </c>
      <c r="E28" s="6" t="str">
        <f>_xlfn.XLOOKUP(C28,Tab_Def_Flows[Flow_Name],Tab_Def_Flows[Use_E2],,0,)</f>
        <v>Yes</v>
      </c>
      <c r="F28" s="6" t="str">
        <f>_xlfn.XLOOKUP(C28,Tab_Def_Flows[Flow_Name],Tab_Def_Flows[Use_E3],,0,)</f>
        <v>Yes</v>
      </c>
      <c r="G28" s="6" t="str">
        <f>_xlfn.XLOOKUP(C28,Tab_Def_Flows[Flow_Name],Tab_Def_Flows[Use_E4],,0,)</f>
        <v>Yes</v>
      </c>
      <c r="H28" s="6" t="str">
        <f>_xlfn.XLOOKUP(C28,Tab_Def_Flows[Flow_Name],Tab_Def_Flows[Use_E5],,0,)</f>
        <v>Yes</v>
      </c>
      <c r="I28" s="6" t="str">
        <f>_xlfn.XLOOKUP(C28,Tab_Def_Flows[Flow_Name],Tab_Def_Flows[Use_E6],,0,)</f>
        <v>Yes</v>
      </c>
      <c r="J28" s="52"/>
      <c r="K28" s="53"/>
      <c r="L28" s="3" t="str">
        <f>'0_Configuration'!$C$41</f>
        <v>Mg</v>
      </c>
      <c r="M28" s="10"/>
      <c r="N28" s="23" t="s">
        <v>3</v>
      </c>
      <c r="O28" s="4"/>
      <c r="P28" s="4"/>
      <c r="Q28" s="10"/>
      <c r="R28" s="3">
        <f>_xlfn.XLOOKUP(Tab_Data_Flows[[#This Row],[Flow_Name]],Tab_Def_Flows[Flow_Name],Tab_Def_Flows[Flow_E1_Fraction'[%']],"N.A.",0,1)</f>
        <v>0</v>
      </c>
      <c r="S28" s="9">
        <f t="shared" si="0"/>
        <v>0</v>
      </c>
      <c r="T28" s="3" t="str">
        <f>Tab_Data_Flows[[#This Row],[UoM_Source]]</f>
        <v>Mg</v>
      </c>
      <c r="U28" s="24">
        <f>_xlfn.XLOOKUP(Tab_Data_Flows[[#This Row],[Flow_Name]],Tab_Def_Flows[Flow_Name],Tab_Def_Flows[Flow_E2_Fraction'[%']],"N.A.",0,1)</f>
        <v>0</v>
      </c>
      <c r="V28" s="3">
        <f>IF(D28="Yes",S28*Tab_Data_Flows[[#This Row],[E2_Fraction'[%']]],"N.A.")</f>
        <v>0</v>
      </c>
      <c r="W28" s="3" t="str">
        <f>Tab_Data_Flows[[#This Row],[E1_UoM]]</f>
        <v>Mg</v>
      </c>
      <c r="X28" s="24">
        <f>_xlfn.XLOOKUP(Tab_Data_Flows[[#This Row],[Flow_Name]],Tab_Def_Flows[Flow_Name],Tab_Def_Flows[Flow_E3_Fraction'[%']],"N.A.",0,1)</f>
        <v>0</v>
      </c>
      <c r="Y28" s="3">
        <f>IF(E28="Yes",X28*Tab_Data_Flows[[#This Row],[E1_value]],"N.A.")</f>
        <v>0</v>
      </c>
      <c r="Z28" s="3" t="str">
        <f>Tab_Data_Flows[[#This Row],[E1_UoM]]</f>
        <v>Mg</v>
      </c>
      <c r="AA28" s="24">
        <f>_xlfn.XLOOKUP(Tab_Data_Flows[[#This Row],[Flow_Name]],Tab_Def_Flows[Flow_Name],Tab_Def_Flows[Flow_E4_Fraction'[%']],"N.A.",0,1)</f>
        <v>0</v>
      </c>
      <c r="AB28" s="3">
        <f>IF(H28="Yes",Tab_Data_Flows[[#This Row],[E4_Fraction'[%']]]*Tab_Data_Flows[[#This Row],[E1_value]],"N.A.")</f>
        <v>0</v>
      </c>
      <c r="AC28" s="3" t="str">
        <f>Tab_Data_Flows[[#This Row],[E1_UoM]]</f>
        <v>Mg</v>
      </c>
      <c r="AD28" s="24">
        <f>_xlfn.XLOOKUP(Tab_Data_Flows[[#This Row],[Flow_Name]],Tab_Def_Flows[Flow_Name],Tab_Def_Flows[Flow_E5_Fraction'[%']],"N.A.",0,1)</f>
        <v>0</v>
      </c>
      <c r="AE28" s="3">
        <f>IF(H28="Yes",Tab_Data_Flows[[#This Row],[E5_Fraction'[%']]]*Tab_Data_Flows[[#This Row],[E1_value]],"N.A.")</f>
        <v>0</v>
      </c>
      <c r="AF28" s="3" t="str">
        <f>Tab_Data_Flows[[#This Row],[E1_UoM]]</f>
        <v>Mg</v>
      </c>
      <c r="AG28" s="24">
        <f>_xlfn.XLOOKUP(Tab_Data_Flows[[#This Row],[Flow_Name]],Tab_Def_Flows[Flow_Name],Tab_Def_Flows[Flow_E6_Fraction'[%']],"N.A.",0,1)</f>
        <v>0</v>
      </c>
      <c r="AH28" s="3">
        <f>IF(Tab_Data_Flows[[#This Row],[Use_E6]]="Yes",Tab_Data_Flows[[#This Row],[E6_Fraction'[%']]]*Tab_Data_Flows[[#This Row],[E1_value]],"N.A.")</f>
        <v>0</v>
      </c>
      <c r="AI28" s="3" t="str">
        <f>Tab_Data_Flows[[#This Row],[E1_UoM]]</f>
        <v>Mg</v>
      </c>
    </row>
    <row r="29" spans="1:35" x14ac:dyDescent="0.25">
      <c r="A29" s="5">
        <f t="shared" si="1"/>
        <v>28</v>
      </c>
      <c r="B29" s="3" t="str">
        <f>_xlfn.XLOOKUP(C29,Tab_Def_Flows[Flow_Name],Tab_Def_Flows[Flow_ID],,0,)</f>
        <v>F__</v>
      </c>
      <c r="C29" s="23" t="s">
        <v>5</v>
      </c>
      <c r="D29" s="6" t="str">
        <f>_xlfn.XLOOKUP(C29,Tab_Def_Flows[Flow_Name],Tab_Def_Flows[Use_E1],,0,)</f>
        <v>Yes</v>
      </c>
      <c r="E29" s="6" t="str">
        <f>_xlfn.XLOOKUP(C29,Tab_Def_Flows[Flow_Name],Tab_Def_Flows[Use_E2],,0,)</f>
        <v>Yes</v>
      </c>
      <c r="F29" s="6" t="str">
        <f>_xlfn.XLOOKUP(C29,Tab_Def_Flows[Flow_Name],Tab_Def_Flows[Use_E3],,0,)</f>
        <v>Yes</v>
      </c>
      <c r="G29" s="6" t="str">
        <f>_xlfn.XLOOKUP(C29,Tab_Def_Flows[Flow_Name],Tab_Def_Flows[Use_E4],,0,)</f>
        <v>Yes</v>
      </c>
      <c r="H29" s="6" t="str">
        <f>_xlfn.XLOOKUP(C29,Tab_Def_Flows[Flow_Name],Tab_Def_Flows[Use_E5],,0,)</f>
        <v>Yes</v>
      </c>
      <c r="I29" s="6" t="str">
        <f>_xlfn.XLOOKUP(C29,Tab_Def_Flows[Flow_Name],Tab_Def_Flows[Use_E6],,0,)</f>
        <v>Yes</v>
      </c>
      <c r="J29" s="52"/>
      <c r="K29" s="53"/>
      <c r="L29" s="3" t="str">
        <f>'0_Configuration'!$C$41</f>
        <v>Mg</v>
      </c>
      <c r="M29" s="10"/>
      <c r="N29" s="23" t="s">
        <v>3</v>
      </c>
      <c r="O29" s="4"/>
      <c r="P29" s="4"/>
      <c r="Q29" s="10"/>
      <c r="R29" s="3">
        <f>_xlfn.XLOOKUP(Tab_Data_Flows[[#This Row],[Flow_Name]],Tab_Def_Flows[Flow_Name],Tab_Def_Flows[Flow_E1_Fraction'[%']],"N.A.",0,1)</f>
        <v>0</v>
      </c>
      <c r="S29" s="9">
        <f t="shared" si="0"/>
        <v>0</v>
      </c>
      <c r="T29" s="3" t="str">
        <f>Tab_Data_Flows[[#This Row],[UoM_Source]]</f>
        <v>Mg</v>
      </c>
      <c r="U29" s="24">
        <f>_xlfn.XLOOKUP(Tab_Data_Flows[[#This Row],[Flow_Name]],Tab_Def_Flows[Flow_Name],Tab_Def_Flows[Flow_E2_Fraction'[%']],"N.A.",0,1)</f>
        <v>0</v>
      </c>
      <c r="V29" s="3">
        <f>IF(D29="Yes",S29*Tab_Data_Flows[[#This Row],[E2_Fraction'[%']]],"N.A.")</f>
        <v>0</v>
      </c>
      <c r="W29" s="3" t="str">
        <f>Tab_Data_Flows[[#This Row],[E1_UoM]]</f>
        <v>Mg</v>
      </c>
      <c r="X29" s="24">
        <f>_xlfn.XLOOKUP(Tab_Data_Flows[[#This Row],[Flow_Name]],Tab_Def_Flows[Flow_Name],Tab_Def_Flows[Flow_E3_Fraction'[%']],"N.A.",0,1)</f>
        <v>0</v>
      </c>
      <c r="Y29" s="3">
        <f>IF(E29="Yes",X29*Tab_Data_Flows[[#This Row],[E1_value]],"N.A.")</f>
        <v>0</v>
      </c>
      <c r="Z29" s="3" t="str">
        <f>Tab_Data_Flows[[#This Row],[E1_UoM]]</f>
        <v>Mg</v>
      </c>
      <c r="AA29" s="24">
        <f>_xlfn.XLOOKUP(Tab_Data_Flows[[#This Row],[Flow_Name]],Tab_Def_Flows[Flow_Name],Tab_Def_Flows[Flow_E4_Fraction'[%']],"N.A.",0,1)</f>
        <v>0</v>
      </c>
      <c r="AB29" s="3">
        <f>IF(H29="Yes",Tab_Data_Flows[[#This Row],[E4_Fraction'[%']]]*Tab_Data_Flows[[#This Row],[E1_value]],"N.A.")</f>
        <v>0</v>
      </c>
      <c r="AC29" s="3" t="str">
        <f>Tab_Data_Flows[[#This Row],[E1_UoM]]</f>
        <v>Mg</v>
      </c>
      <c r="AD29" s="24">
        <f>_xlfn.XLOOKUP(Tab_Data_Flows[[#This Row],[Flow_Name]],Tab_Def_Flows[Flow_Name],Tab_Def_Flows[Flow_E5_Fraction'[%']],"N.A.",0,1)</f>
        <v>0</v>
      </c>
      <c r="AE29" s="3">
        <f>IF(H29="Yes",Tab_Data_Flows[[#This Row],[E5_Fraction'[%']]]*Tab_Data_Flows[[#This Row],[E1_value]],"N.A.")</f>
        <v>0</v>
      </c>
      <c r="AF29" s="3" t="str">
        <f>Tab_Data_Flows[[#This Row],[E1_UoM]]</f>
        <v>Mg</v>
      </c>
      <c r="AG29" s="24">
        <f>_xlfn.XLOOKUP(Tab_Data_Flows[[#This Row],[Flow_Name]],Tab_Def_Flows[Flow_Name],Tab_Def_Flows[Flow_E6_Fraction'[%']],"N.A.",0,1)</f>
        <v>0</v>
      </c>
      <c r="AH29" s="3">
        <f>IF(Tab_Data_Flows[[#This Row],[Use_E6]]="Yes",Tab_Data_Flows[[#This Row],[E6_Fraction'[%']]]*Tab_Data_Flows[[#This Row],[E1_value]],"N.A.")</f>
        <v>0</v>
      </c>
      <c r="AI29" s="3" t="str">
        <f>Tab_Data_Flows[[#This Row],[E1_UoM]]</f>
        <v>Mg</v>
      </c>
    </row>
    <row r="30" spans="1:35" x14ac:dyDescent="0.25">
      <c r="A30" s="5">
        <f t="shared" si="1"/>
        <v>29</v>
      </c>
      <c r="B30" s="3" t="str">
        <f>_xlfn.XLOOKUP(C30,Tab_Def_Flows[Flow_Name],Tab_Def_Flows[Flow_ID],,0,)</f>
        <v>F__</v>
      </c>
      <c r="C30" s="23" t="s">
        <v>5</v>
      </c>
      <c r="D30" s="6" t="str">
        <f>_xlfn.XLOOKUP(C30,Tab_Def_Flows[Flow_Name],Tab_Def_Flows[Use_E1],,0,)</f>
        <v>Yes</v>
      </c>
      <c r="E30" s="6" t="str">
        <f>_xlfn.XLOOKUP(C30,Tab_Def_Flows[Flow_Name],Tab_Def_Flows[Use_E2],,0,)</f>
        <v>Yes</v>
      </c>
      <c r="F30" s="6" t="str">
        <f>_xlfn.XLOOKUP(C30,Tab_Def_Flows[Flow_Name],Tab_Def_Flows[Use_E3],,0,)</f>
        <v>Yes</v>
      </c>
      <c r="G30" s="6" t="str">
        <f>_xlfn.XLOOKUP(C30,Tab_Def_Flows[Flow_Name],Tab_Def_Flows[Use_E4],,0,)</f>
        <v>Yes</v>
      </c>
      <c r="H30" s="6" t="str">
        <f>_xlfn.XLOOKUP(C30,Tab_Def_Flows[Flow_Name],Tab_Def_Flows[Use_E5],,0,)</f>
        <v>Yes</v>
      </c>
      <c r="I30" s="6" t="str">
        <f>_xlfn.XLOOKUP(C30,Tab_Def_Flows[Flow_Name],Tab_Def_Flows[Use_E6],,0,)</f>
        <v>Yes</v>
      </c>
      <c r="J30" s="52"/>
      <c r="K30" s="53"/>
      <c r="L30" s="3" t="str">
        <f>'0_Configuration'!$C$41</f>
        <v>Mg</v>
      </c>
      <c r="M30" s="10"/>
      <c r="N30" s="23" t="s">
        <v>3</v>
      </c>
      <c r="O30" s="4"/>
      <c r="P30" s="4"/>
      <c r="Q30" s="10"/>
      <c r="R30" s="3">
        <f>_xlfn.XLOOKUP(Tab_Data_Flows[[#This Row],[Flow_Name]],Tab_Def_Flows[Flow_Name],Tab_Def_Flows[Flow_E1_Fraction'[%']],"N.A.",0,1)</f>
        <v>0</v>
      </c>
      <c r="S30" s="9">
        <f t="shared" si="0"/>
        <v>0</v>
      </c>
      <c r="T30" s="3" t="str">
        <f>Tab_Data_Flows[[#This Row],[UoM_Source]]</f>
        <v>Mg</v>
      </c>
      <c r="U30" s="24">
        <f>_xlfn.XLOOKUP(Tab_Data_Flows[[#This Row],[Flow_Name]],Tab_Def_Flows[Flow_Name],Tab_Def_Flows[Flow_E2_Fraction'[%']],"N.A.",0,1)</f>
        <v>0</v>
      </c>
      <c r="V30" s="3">
        <f>IF(D30="Yes",S30*Tab_Data_Flows[[#This Row],[E2_Fraction'[%']]],"N.A.")</f>
        <v>0</v>
      </c>
      <c r="W30" s="3" t="str">
        <f>Tab_Data_Flows[[#This Row],[E1_UoM]]</f>
        <v>Mg</v>
      </c>
      <c r="X30" s="24">
        <f>_xlfn.XLOOKUP(Tab_Data_Flows[[#This Row],[Flow_Name]],Tab_Def_Flows[Flow_Name],Tab_Def_Flows[Flow_E3_Fraction'[%']],"N.A.",0,1)</f>
        <v>0</v>
      </c>
      <c r="Y30" s="3">
        <f>IF(E30="Yes",X30*Tab_Data_Flows[[#This Row],[E1_value]],"N.A.")</f>
        <v>0</v>
      </c>
      <c r="Z30" s="3" t="str">
        <f>Tab_Data_Flows[[#This Row],[E1_UoM]]</f>
        <v>Mg</v>
      </c>
      <c r="AA30" s="24">
        <f>_xlfn.XLOOKUP(Tab_Data_Flows[[#This Row],[Flow_Name]],Tab_Def_Flows[Flow_Name],Tab_Def_Flows[Flow_E4_Fraction'[%']],"N.A.",0,1)</f>
        <v>0</v>
      </c>
      <c r="AB30" s="3">
        <f>IF(H30="Yes",Tab_Data_Flows[[#This Row],[E4_Fraction'[%']]]*Tab_Data_Flows[[#This Row],[E1_value]],"N.A.")</f>
        <v>0</v>
      </c>
      <c r="AC30" s="3" t="str">
        <f>Tab_Data_Flows[[#This Row],[E1_UoM]]</f>
        <v>Mg</v>
      </c>
      <c r="AD30" s="24">
        <f>_xlfn.XLOOKUP(Tab_Data_Flows[[#This Row],[Flow_Name]],Tab_Def_Flows[Flow_Name],Tab_Def_Flows[Flow_E5_Fraction'[%']],"N.A.",0,1)</f>
        <v>0</v>
      </c>
      <c r="AE30" s="3">
        <f>IF(H30="Yes",Tab_Data_Flows[[#This Row],[E5_Fraction'[%']]]*Tab_Data_Flows[[#This Row],[E1_value]],"N.A.")</f>
        <v>0</v>
      </c>
      <c r="AF30" s="3" t="str">
        <f>Tab_Data_Flows[[#This Row],[E1_UoM]]</f>
        <v>Mg</v>
      </c>
      <c r="AG30" s="24">
        <f>_xlfn.XLOOKUP(Tab_Data_Flows[[#This Row],[Flow_Name]],Tab_Def_Flows[Flow_Name],Tab_Def_Flows[Flow_E6_Fraction'[%']],"N.A.",0,1)</f>
        <v>0</v>
      </c>
      <c r="AH30" s="3">
        <f>IF(Tab_Data_Flows[[#This Row],[Use_E6]]="Yes",Tab_Data_Flows[[#This Row],[E6_Fraction'[%']]]*Tab_Data_Flows[[#This Row],[E1_value]],"N.A.")</f>
        <v>0</v>
      </c>
      <c r="AI30" s="3" t="str">
        <f>Tab_Data_Flows[[#This Row],[E1_UoM]]</f>
        <v>Mg</v>
      </c>
    </row>
    <row r="31" spans="1:35" x14ac:dyDescent="0.25">
      <c r="A31" s="5">
        <f t="shared" si="1"/>
        <v>30</v>
      </c>
      <c r="B31" s="3" t="str">
        <f>_xlfn.XLOOKUP(C31,Tab_Def_Flows[Flow_Name],Tab_Def_Flows[Flow_ID],,0,)</f>
        <v>F__</v>
      </c>
      <c r="C31" s="23" t="s">
        <v>5</v>
      </c>
      <c r="D31" s="6" t="str">
        <f>_xlfn.XLOOKUP(C31,Tab_Def_Flows[Flow_Name],Tab_Def_Flows[Use_E1],,0,)</f>
        <v>Yes</v>
      </c>
      <c r="E31" s="6" t="str">
        <f>_xlfn.XLOOKUP(C31,Tab_Def_Flows[Flow_Name],Tab_Def_Flows[Use_E2],,0,)</f>
        <v>Yes</v>
      </c>
      <c r="F31" s="6" t="str">
        <f>_xlfn.XLOOKUP(C31,Tab_Def_Flows[Flow_Name],Tab_Def_Flows[Use_E3],,0,)</f>
        <v>Yes</v>
      </c>
      <c r="G31" s="6" t="str">
        <f>_xlfn.XLOOKUP(C31,Tab_Def_Flows[Flow_Name],Tab_Def_Flows[Use_E4],,0,)</f>
        <v>Yes</v>
      </c>
      <c r="H31" s="6" t="str">
        <f>_xlfn.XLOOKUP(C31,Tab_Def_Flows[Flow_Name],Tab_Def_Flows[Use_E5],,0,)</f>
        <v>Yes</v>
      </c>
      <c r="I31" s="6" t="str">
        <f>_xlfn.XLOOKUP(C31,Tab_Def_Flows[Flow_Name],Tab_Def_Flows[Use_E6],,0,)</f>
        <v>Yes</v>
      </c>
      <c r="J31" s="52"/>
      <c r="K31" s="53"/>
      <c r="L31" s="3" t="str">
        <f>'0_Configuration'!$C$41</f>
        <v>Mg</v>
      </c>
      <c r="M31" s="10"/>
      <c r="N31" s="23" t="s">
        <v>3</v>
      </c>
      <c r="O31" s="11"/>
      <c r="P31" s="4"/>
      <c r="Q31" s="10"/>
      <c r="R31" s="3">
        <f>_xlfn.XLOOKUP(Tab_Data_Flows[[#This Row],[Flow_Name]],Tab_Def_Flows[Flow_Name],Tab_Def_Flows[Flow_E1_Fraction'[%']],"N.A.",0,1)</f>
        <v>0</v>
      </c>
      <c r="S31" s="9">
        <f t="shared" si="0"/>
        <v>0</v>
      </c>
      <c r="T31" s="3" t="str">
        <f>Tab_Data_Flows[[#This Row],[UoM_Source]]</f>
        <v>Mg</v>
      </c>
      <c r="U31" s="24">
        <f>_xlfn.XLOOKUP(Tab_Data_Flows[[#This Row],[Flow_Name]],Tab_Def_Flows[Flow_Name],Tab_Def_Flows[Flow_E2_Fraction'[%']],"N.A.",0,1)</f>
        <v>0</v>
      </c>
      <c r="V31" s="3">
        <f>IF(D31="Yes",S31*Tab_Data_Flows[[#This Row],[E2_Fraction'[%']]],"N.A.")</f>
        <v>0</v>
      </c>
      <c r="W31" s="3" t="str">
        <f>Tab_Data_Flows[[#This Row],[E1_UoM]]</f>
        <v>Mg</v>
      </c>
      <c r="X31" s="24">
        <f>_xlfn.XLOOKUP(Tab_Data_Flows[[#This Row],[Flow_Name]],Tab_Def_Flows[Flow_Name],Tab_Def_Flows[Flow_E3_Fraction'[%']],"N.A.",0,1)</f>
        <v>0</v>
      </c>
      <c r="Y31" s="3">
        <f>IF(E31="Yes",X31*Tab_Data_Flows[[#This Row],[E1_value]],"N.A.")</f>
        <v>0</v>
      </c>
      <c r="Z31" s="3" t="str">
        <f>Tab_Data_Flows[[#This Row],[E1_UoM]]</f>
        <v>Mg</v>
      </c>
      <c r="AA31" s="24">
        <f>_xlfn.XLOOKUP(Tab_Data_Flows[[#This Row],[Flow_Name]],Tab_Def_Flows[Flow_Name],Tab_Def_Flows[Flow_E4_Fraction'[%']],"N.A.",0,1)</f>
        <v>0</v>
      </c>
      <c r="AB31" s="3">
        <f>IF(H31="Yes",Tab_Data_Flows[[#This Row],[E4_Fraction'[%']]]*Tab_Data_Flows[[#This Row],[E1_value]],"N.A.")</f>
        <v>0</v>
      </c>
      <c r="AC31" s="3" t="str">
        <f>Tab_Data_Flows[[#This Row],[E1_UoM]]</f>
        <v>Mg</v>
      </c>
      <c r="AD31" s="24">
        <f>_xlfn.XLOOKUP(Tab_Data_Flows[[#This Row],[Flow_Name]],Tab_Def_Flows[Flow_Name],Tab_Def_Flows[Flow_E5_Fraction'[%']],"N.A.",0,1)</f>
        <v>0</v>
      </c>
      <c r="AE31" s="3">
        <f>IF(H31="Yes",Tab_Data_Flows[[#This Row],[E5_Fraction'[%']]]*Tab_Data_Flows[[#This Row],[E1_value]],"N.A.")</f>
        <v>0</v>
      </c>
      <c r="AF31" s="3" t="str">
        <f>Tab_Data_Flows[[#This Row],[E1_UoM]]</f>
        <v>Mg</v>
      </c>
      <c r="AG31" s="24">
        <f>_xlfn.XLOOKUP(Tab_Data_Flows[[#This Row],[Flow_Name]],Tab_Def_Flows[Flow_Name],Tab_Def_Flows[Flow_E6_Fraction'[%']],"N.A.",0,1)</f>
        <v>0</v>
      </c>
      <c r="AH31" s="3">
        <f>IF(Tab_Data_Flows[[#This Row],[Use_E6]]="Yes",Tab_Data_Flows[[#This Row],[E6_Fraction'[%']]]*Tab_Data_Flows[[#This Row],[E1_value]],"N.A.")</f>
        <v>0</v>
      </c>
      <c r="AI31" s="3" t="str">
        <f>Tab_Data_Flows[[#This Row],[E1_UoM]]</f>
        <v>Mg</v>
      </c>
    </row>
    <row r="32" spans="1:35" x14ac:dyDescent="0.25">
      <c r="A32" s="5">
        <f t="shared" si="1"/>
        <v>31</v>
      </c>
      <c r="B32" s="3" t="str">
        <f>_xlfn.XLOOKUP(C32,Tab_Def_Flows[Flow_Name],Tab_Def_Flows[Flow_ID],,0,)</f>
        <v>F__</v>
      </c>
      <c r="C32" s="23" t="s">
        <v>5</v>
      </c>
      <c r="D32" s="6" t="str">
        <f>_xlfn.XLOOKUP(C32,Tab_Def_Flows[Flow_Name],Tab_Def_Flows[Use_E1],,0,)</f>
        <v>Yes</v>
      </c>
      <c r="E32" s="6" t="str">
        <f>_xlfn.XLOOKUP(C32,Tab_Def_Flows[Flow_Name],Tab_Def_Flows[Use_E2],,0,)</f>
        <v>Yes</v>
      </c>
      <c r="F32" s="6" t="str">
        <f>_xlfn.XLOOKUP(C32,Tab_Def_Flows[Flow_Name],Tab_Def_Flows[Use_E3],,0,)</f>
        <v>Yes</v>
      </c>
      <c r="G32" s="6" t="str">
        <f>_xlfn.XLOOKUP(C32,Tab_Def_Flows[Flow_Name],Tab_Def_Flows[Use_E4],,0,)</f>
        <v>Yes</v>
      </c>
      <c r="H32" s="6" t="str">
        <f>_xlfn.XLOOKUP(C32,Tab_Def_Flows[Flow_Name],Tab_Def_Flows[Use_E5],,0,)</f>
        <v>Yes</v>
      </c>
      <c r="I32" s="6" t="str">
        <f>_xlfn.XLOOKUP(C32,Tab_Def_Flows[Flow_Name],Tab_Def_Flows[Use_E6],,0,)</f>
        <v>Yes</v>
      </c>
      <c r="J32" s="52"/>
      <c r="K32" s="53"/>
      <c r="L32" s="3" t="str">
        <f>'0_Configuration'!$C$41</f>
        <v>Mg</v>
      </c>
      <c r="M32" s="10"/>
      <c r="N32" s="23" t="s">
        <v>3</v>
      </c>
      <c r="O32" s="11"/>
      <c r="P32" s="4"/>
      <c r="Q32" s="10"/>
      <c r="R32" s="3">
        <f>_xlfn.XLOOKUP(Tab_Data_Flows[[#This Row],[Flow_Name]],Tab_Def_Flows[Flow_Name],Tab_Def_Flows[Flow_E1_Fraction'[%']],"N.A.",0,1)</f>
        <v>0</v>
      </c>
      <c r="S32" s="9">
        <f t="shared" si="0"/>
        <v>0</v>
      </c>
      <c r="T32" s="3" t="str">
        <f>Tab_Data_Flows[[#This Row],[UoM_Source]]</f>
        <v>Mg</v>
      </c>
      <c r="U32" s="24">
        <f>_xlfn.XLOOKUP(Tab_Data_Flows[[#This Row],[Flow_Name]],Tab_Def_Flows[Flow_Name],Tab_Def_Flows[Flow_E2_Fraction'[%']],"N.A.",0,1)</f>
        <v>0</v>
      </c>
      <c r="V32" s="3">
        <f>IF(D32="Yes",S32*Tab_Data_Flows[[#This Row],[E2_Fraction'[%']]],"N.A.")</f>
        <v>0</v>
      </c>
      <c r="W32" s="3" t="str">
        <f>Tab_Data_Flows[[#This Row],[E1_UoM]]</f>
        <v>Mg</v>
      </c>
      <c r="X32" s="24">
        <f>_xlfn.XLOOKUP(Tab_Data_Flows[[#This Row],[Flow_Name]],Tab_Def_Flows[Flow_Name],Tab_Def_Flows[Flow_E3_Fraction'[%']],"N.A.",0,1)</f>
        <v>0</v>
      </c>
      <c r="Y32" s="3">
        <f>IF(E32="Yes",X32*Tab_Data_Flows[[#This Row],[E1_value]],"N.A.")</f>
        <v>0</v>
      </c>
      <c r="Z32" s="3" t="str">
        <f>Tab_Data_Flows[[#This Row],[E1_UoM]]</f>
        <v>Mg</v>
      </c>
      <c r="AA32" s="24">
        <f>_xlfn.XLOOKUP(Tab_Data_Flows[[#This Row],[Flow_Name]],Tab_Def_Flows[Flow_Name],Tab_Def_Flows[Flow_E4_Fraction'[%']],"N.A.",0,1)</f>
        <v>0</v>
      </c>
      <c r="AB32" s="3">
        <f>IF(H32="Yes",Tab_Data_Flows[[#This Row],[E4_Fraction'[%']]]*Tab_Data_Flows[[#This Row],[E1_value]],"N.A.")</f>
        <v>0</v>
      </c>
      <c r="AC32" s="3" t="str">
        <f>Tab_Data_Flows[[#This Row],[E1_UoM]]</f>
        <v>Mg</v>
      </c>
      <c r="AD32" s="24">
        <f>_xlfn.XLOOKUP(Tab_Data_Flows[[#This Row],[Flow_Name]],Tab_Def_Flows[Flow_Name],Tab_Def_Flows[Flow_E5_Fraction'[%']],"N.A.",0,1)</f>
        <v>0</v>
      </c>
      <c r="AE32" s="3">
        <f>IF(H32="Yes",Tab_Data_Flows[[#This Row],[E5_Fraction'[%']]]*Tab_Data_Flows[[#This Row],[E1_value]],"N.A.")</f>
        <v>0</v>
      </c>
      <c r="AF32" s="3" t="str">
        <f>Tab_Data_Flows[[#This Row],[E1_UoM]]</f>
        <v>Mg</v>
      </c>
      <c r="AG32" s="24">
        <f>_xlfn.XLOOKUP(Tab_Data_Flows[[#This Row],[Flow_Name]],Tab_Def_Flows[Flow_Name],Tab_Def_Flows[Flow_E6_Fraction'[%']],"N.A.",0,1)</f>
        <v>0</v>
      </c>
      <c r="AH32" s="3">
        <f>IF(Tab_Data_Flows[[#This Row],[Use_E6]]="Yes",Tab_Data_Flows[[#This Row],[E6_Fraction'[%']]]*Tab_Data_Flows[[#This Row],[E1_value]],"N.A.")</f>
        <v>0</v>
      </c>
      <c r="AI32" s="3" t="str">
        <f>Tab_Data_Flows[[#This Row],[E1_UoM]]</f>
        <v>Mg</v>
      </c>
    </row>
    <row r="33" spans="1:35" x14ac:dyDescent="0.25">
      <c r="A33" s="5">
        <f t="shared" si="1"/>
        <v>32</v>
      </c>
      <c r="B33" s="3" t="str">
        <f>_xlfn.XLOOKUP(C33,Tab_Def_Flows[Flow_Name],Tab_Def_Flows[Flow_ID],,0,)</f>
        <v>F__</v>
      </c>
      <c r="C33" s="23" t="s">
        <v>5</v>
      </c>
      <c r="D33" s="6" t="str">
        <f>_xlfn.XLOOKUP(C33,Tab_Def_Flows[Flow_Name],Tab_Def_Flows[Use_E1],,0,)</f>
        <v>Yes</v>
      </c>
      <c r="E33" s="6" t="str">
        <f>_xlfn.XLOOKUP(C33,Tab_Def_Flows[Flow_Name],Tab_Def_Flows[Use_E2],,0,)</f>
        <v>Yes</v>
      </c>
      <c r="F33" s="6" t="str">
        <f>_xlfn.XLOOKUP(C33,Tab_Def_Flows[Flow_Name],Tab_Def_Flows[Use_E3],,0,)</f>
        <v>Yes</v>
      </c>
      <c r="G33" s="6" t="str">
        <f>_xlfn.XLOOKUP(C33,Tab_Def_Flows[Flow_Name],Tab_Def_Flows[Use_E4],,0,)</f>
        <v>Yes</v>
      </c>
      <c r="H33" s="6" t="str">
        <f>_xlfn.XLOOKUP(C33,Tab_Def_Flows[Flow_Name],Tab_Def_Flows[Use_E5],,0,)</f>
        <v>Yes</v>
      </c>
      <c r="I33" s="6" t="str">
        <f>_xlfn.XLOOKUP(C33,Tab_Def_Flows[Flow_Name],Tab_Def_Flows[Use_E6],,0,)</f>
        <v>Yes</v>
      </c>
      <c r="J33" s="52"/>
      <c r="K33" s="53"/>
      <c r="L33" s="3" t="str">
        <f>'0_Configuration'!$C$41</f>
        <v>Mg</v>
      </c>
      <c r="M33" s="10"/>
      <c r="N33" s="23" t="s">
        <v>3</v>
      </c>
      <c r="O33" s="11"/>
      <c r="P33" s="4"/>
      <c r="Q33" s="10"/>
      <c r="R33" s="3">
        <f>_xlfn.XLOOKUP(Tab_Data_Flows[[#This Row],[Flow_Name]],Tab_Def_Flows[Flow_Name],Tab_Def_Flows[Flow_E1_Fraction'[%']],"N.A.",0,1)</f>
        <v>0</v>
      </c>
      <c r="S33" s="9">
        <f t="shared" si="0"/>
        <v>0</v>
      </c>
      <c r="T33" s="3" t="str">
        <f>Tab_Data_Flows[[#This Row],[UoM_Source]]</f>
        <v>Mg</v>
      </c>
      <c r="U33" s="24">
        <f>_xlfn.XLOOKUP(Tab_Data_Flows[[#This Row],[Flow_Name]],Tab_Def_Flows[Flow_Name],Tab_Def_Flows[Flow_E2_Fraction'[%']],"N.A.",0,1)</f>
        <v>0</v>
      </c>
      <c r="V33" s="3">
        <f>IF(D33="Yes",S33*Tab_Data_Flows[[#This Row],[E2_Fraction'[%']]],"N.A.")</f>
        <v>0</v>
      </c>
      <c r="W33" s="3" t="str">
        <f>Tab_Data_Flows[[#This Row],[E1_UoM]]</f>
        <v>Mg</v>
      </c>
      <c r="X33" s="24">
        <f>_xlfn.XLOOKUP(Tab_Data_Flows[[#This Row],[Flow_Name]],Tab_Def_Flows[Flow_Name],Tab_Def_Flows[Flow_E3_Fraction'[%']],"N.A.",0,1)</f>
        <v>0</v>
      </c>
      <c r="Y33" s="3">
        <f>IF(E33="Yes",X33*Tab_Data_Flows[[#This Row],[E1_value]],"N.A.")</f>
        <v>0</v>
      </c>
      <c r="Z33" s="3" t="str">
        <f>Tab_Data_Flows[[#This Row],[E1_UoM]]</f>
        <v>Mg</v>
      </c>
      <c r="AA33" s="24">
        <f>_xlfn.XLOOKUP(Tab_Data_Flows[[#This Row],[Flow_Name]],Tab_Def_Flows[Flow_Name],Tab_Def_Flows[Flow_E4_Fraction'[%']],"N.A.",0,1)</f>
        <v>0</v>
      </c>
      <c r="AB33" s="3">
        <f>IF(H33="Yes",Tab_Data_Flows[[#This Row],[E4_Fraction'[%']]]*Tab_Data_Flows[[#This Row],[E1_value]],"N.A.")</f>
        <v>0</v>
      </c>
      <c r="AC33" s="3" t="str">
        <f>Tab_Data_Flows[[#This Row],[E1_UoM]]</f>
        <v>Mg</v>
      </c>
      <c r="AD33" s="24">
        <f>_xlfn.XLOOKUP(Tab_Data_Flows[[#This Row],[Flow_Name]],Tab_Def_Flows[Flow_Name],Tab_Def_Flows[Flow_E5_Fraction'[%']],"N.A.",0,1)</f>
        <v>0</v>
      </c>
      <c r="AE33" s="3">
        <f>IF(H33="Yes",Tab_Data_Flows[[#This Row],[E5_Fraction'[%']]]*Tab_Data_Flows[[#This Row],[E1_value]],"N.A.")</f>
        <v>0</v>
      </c>
      <c r="AF33" s="3" t="str">
        <f>Tab_Data_Flows[[#This Row],[E1_UoM]]</f>
        <v>Mg</v>
      </c>
      <c r="AG33" s="24">
        <f>_xlfn.XLOOKUP(Tab_Data_Flows[[#This Row],[Flow_Name]],Tab_Def_Flows[Flow_Name],Tab_Def_Flows[Flow_E6_Fraction'[%']],"N.A.",0,1)</f>
        <v>0</v>
      </c>
      <c r="AH33" s="3">
        <f>IF(Tab_Data_Flows[[#This Row],[Use_E6]]="Yes",Tab_Data_Flows[[#This Row],[E6_Fraction'[%']]]*Tab_Data_Flows[[#This Row],[E1_value]],"N.A.")</f>
        <v>0</v>
      </c>
      <c r="AI33" s="3" t="str">
        <f>Tab_Data_Flows[[#This Row],[E1_UoM]]</f>
        <v>Mg</v>
      </c>
    </row>
    <row r="34" spans="1:35" x14ac:dyDescent="0.25">
      <c r="A34" s="5">
        <f t="shared" si="1"/>
        <v>33</v>
      </c>
      <c r="B34" s="3" t="str">
        <f>_xlfn.XLOOKUP(C34,Tab_Def_Flows[Flow_Name],Tab_Def_Flows[Flow_ID],,0,)</f>
        <v>F__</v>
      </c>
      <c r="C34" s="23" t="s">
        <v>5</v>
      </c>
      <c r="D34" s="6" t="str">
        <f>_xlfn.XLOOKUP(C34,Tab_Def_Flows[Flow_Name],Tab_Def_Flows[Use_E1],,0,)</f>
        <v>Yes</v>
      </c>
      <c r="E34" s="6" t="str">
        <f>_xlfn.XLOOKUP(C34,Tab_Def_Flows[Flow_Name],Tab_Def_Flows[Use_E2],,0,)</f>
        <v>Yes</v>
      </c>
      <c r="F34" s="6" t="str">
        <f>_xlfn.XLOOKUP(C34,Tab_Def_Flows[Flow_Name],Tab_Def_Flows[Use_E3],,0,)</f>
        <v>Yes</v>
      </c>
      <c r="G34" s="6" t="str">
        <f>_xlfn.XLOOKUP(C34,Tab_Def_Flows[Flow_Name],Tab_Def_Flows[Use_E4],,0,)</f>
        <v>Yes</v>
      </c>
      <c r="H34" s="6" t="str">
        <f>_xlfn.XLOOKUP(C34,Tab_Def_Flows[Flow_Name],Tab_Def_Flows[Use_E5],,0,)</f>
        <v>Yes</v>
      </c>
      <c r="I34" s="6" t="str">
        <f>_xlfn.XLOOKUP(C34,Tab_Def_Flows[Flow_Name],Tab_Def_Flows[Use_E6],,0,)</f>
        <v>Yes</v>
      </c>
      <c r="J34" s="52"/>
      <c r="K34" s="53"/>
      <c r="L34" s="3" t="str">
        <f>'0_Configuration'!$C$41</f>
        <v>Mg</v>
      </c>
      <c r="M34" s="10"/>
      <c r="N34" s="23" t="s">
        <v>3</v>
      </c>
      <c r="O34" s="11"/>
      <c r="P34" s="4"/>
      <c r="Q34" s="10"/>
      <c r="R34" s="3">
        <f>_xlfn.XLOOKUP(Tab_Data_Flows[[#This Row],[Flow_Name]],Tab_Def_Flows[Flow_Name],Tab_Def_Flows[Flow_E1_Fraction'[%']],"N.A.",0,1)</f>
        <v>0</v>
      </c>
      <c r="S34" s="9">
        <f t="shared" si="0"/>
        <v>0</v>
      </c>
      <c r="T34" s="3" t="str">
        <f>Tab_Data_Flows[[#This Row],[UoM_Source]]</f>
        <v>Mg</v>
      </c>
      <c r="U34" s="24">
        <f>_xlfn.XLOOKUP(Tab_Data_Flows[[#This Row],[Flow_Name]],Tab_Def_Flows[Flow_Name],Tab_Def_Flows[Flow_E2_Fraction'[%']],"N.A.",0,1)</f>
        <v>0</v>
      </c>
      <c r="V34" s="3">
        <f>IF(D34="Yes",S34*Tab_Data_Flows[[#This Row],[E2_Fraction'[%']]],"N.A.")</f>
        <v>0</v>
      </c>
      <c r="W34" s="3" t="str">
        <f>Tab_Data_Flows[[#This Row],[E1_UoM]]</f>
        <v>Mg</v>
      </c>
      <c r="X34" s="24">
        <f>_xlfn.XLOOKUP(Tab_Data_Flows[[#This Row],[Flow_Name]],Tab_Def_Flows[Flow_Name],Tab_Def_Flows[Flow_E3_Fraction'[%']],"N.A.",0,1)</f>
        <v>0</v>
      </c>
      <c r="Y34" s="3">
        <f>IF(E34="Yes",X34*Tab_Data_Flows[[#This Row],[E1_value]],"N.A.")</f>
        <v>0</v>
      </c>
      <c r="Z34" s="3" t="str">
        <f>Tab_Data_Flows[[#This Row],[E1_UoM]]</f>
        <v>Mg</v>
      </c>
      <c r="AA34" s="24">
        <f>_xlfn.XLOOKUP(Tab_Data_Flows[[#This Row],[Flow_Name]],Tab_Def_Flows[Flow_Name],Tab_Def_Flows[Flow_E4_Fraction'[%']],"N.A.",0,1)</f>
        <v>0</v>
      </c>
      <c r="AB34" s="3">
        <f>IF(H34="Yes",Tab_Data_Flows[[#This Row],[E4_Fraction'[%']]]*Tab_Data_Flows[[#This Row],[E1_value]],"N.A.")</f>
        <v>0</v>
      </c>
      <c r="AC34" s="3" t="str">
        <f>Tab_Data_Flows[[#This Row],[E1_UoM]]</f>
        <v>Mg</v>
      </c>
      <c r="AD34" s="24">
        <f>_xlfn.XLOOKUP(Tab_Data_Flows[[#This Row],[Flow_Name]],Tab_Def_Flows[Flow_Name],Tab_Def_Flows[Flow_E5_Fraction'[%']],"N.A.",0,1)</f>
        <v>0</v>
      </c>
      <c r="AE34" s="3">
        <f>IF(H34="Yes",Tab_Data_Flows[[#This Row],[E5_Fraction'[%']]]*Tab_Data_Flows[[#This Row],[E1_value]],"N.A.")</f>
        <v>0</v>
      </c>
      <c r="AF34" s="3" t="str">
        <f>Tab_Data_Flows[[#This Row],[E1_UoM]]</f>
        <v>Mg</v>
      </c>
      <c r="AG34" s="24">
        <f>_xlfn.XLOOKUP(Tab_Data_Flows[[#This Row],[Flow_Name]],Tab_Def_Flows[Flow_Name],Tab_Def_Flows[Flow_E6_Fraction'[%']],"N.A.",0,1)</f>
        <v>0</v>
      </c>
      <c r="AH34" s="3">
        <f>IF(Tab_Data_Flows[[#This Row],[Use_E6]]="Yes",Tab_Data_Flows[[#This Row],[E6_Fraction'[%']]]*Tab_Data_Flows[[#This Row],[E1_value]],"N.A.")</f>
        <v>0</v>
      </c>
      <c r="AI34" s="3" t="str">
        <f>Tab_Data_Flows[[#This Row],[E1_UoM]]</f>
        <v>Mg</v>
      </c>
    </row>
    <row r="35" spans="1:35" x14ac:dyDescent="0.25">
      <c r="A35" s="5">
        <f t="shared" si="1"/>
        <v>34</v>
      </c>
      <c r="B35" s="3" t="str">
        <f>_xlfn.XLOOKUP(C35,Tab_Def_Flows[Flow_Name],Tab_Def_Flows[Flow_ID],,0,)</f>
        <v>F__</v>
      </c>
      <c r="C35" s="23" t="s">
        <v>5</v>
      </c>
      <c r="D35" s="6" t="str">
        <f>_xlfn.XLOOKUP(C35,Tab_Def_Flows[Flow_Name],Tab_Def_Flows[Use_E1],,0,)</f>
        <v>Yes</v>
      </c>
      <c r="E35" s="6" t="str">
        <f>_xlfn.XLOOKUP(C35,Tab_Def_Flows[Flow_Name],Tab_Def_Flows[Use_E2],,0,)</f>
        <v>Yes</v>
      </c>
      <c r="F35" s="6" t="str">
        <f>_xlfn.XLOOKUP(C35,Tab_Def_Flows[Flow_Name],Tab_Def_Flows[Use_E3],,0,)</f>
        <v>Yes</v>
      </c>
      <c r="G35" s="6" t="str">
        <f>_xlfn.XLOOKUP(C35,Tab_Def_Flows[Flow_Name],Tab_Def_Flows[Use_E4],,0,)</f>
        <v>Yes</v>
      </c>
      <c r="H35" s="6" t="str">
        <f>_xlfn.XLOOKUP(C35,Tab_Def_Flows[Flow_Name],Tab_Def_Flows[Use_E5],,0,)</f>
        <v>Yes</v>
      </c>
      <c r="I35" s="6" t="str">
        <f>_xlfn.XLOOKUP(C35,Tab_Def_Flows[Flow_Name],Tab_Def_Flows[Use_E6],,0,)</f>
        <v>Yes</v>
      </c>
      <c r="J35" s="52"/>
      <c r="K35" s="53"/>
      <c r="L35" s="3" t="str">
        <f>'0_Configuration'!$C$41</f>
        <v>Mg</v>
      </c>
      <c r="M35" s="10"/>
      <c r="N35" s="23" t="s">
        <v>3</v>
      </c>
      <c r="O35" s="11"/>
      <c r="P35" s="4"/>
      <c r="Q35" s="10"/>
      <c r="R35" s="3">
        <f>_xlfn.XLOOKUP(Tab_Data_Flows[[#This Row],[Flow_Name]],Tab_Def_Flows[Flow_Name],Tab_Def_Flows[Flow_E1_Fraction'[%']],"N.A.",0,1)</f>
        <v>0</v>
      </c>
      <c r="S35" s="9">
        <f t="shared" si="0"/>
        <v>0</v>
      </c>
      <c r="T35" s="3" t="str">
        <f>Tab_Data_Flows[[#This Row],[UoM_Source]]</f>
        <v>Mg</v>
      </c>
      <c r="U35" s="24">
        <f>_xlfn.XLOOKUP(Tab_Data_Flows[[#This Row],[Flow_Name]],Tab_Def_Flows[Flow_Name],Tab_Def_Flows[Flow_E2_Fraction'[%']],"N.A.",0,1)</f>
        <v>0</v>
      </c>
      <c r="V35" s="3">
        <f>IF(D35="Yes",S35*Tab_Data_Flows[[#This Row],[E2_Fraction'[%']]],"N.A.")</f>
        <v>0</v>
      </c>
      <c r="W35" s="3" t="str">
        <f>Tab_Data_Flows[[#This Row],[E1_UoM]]</f>
        <v>Mg</v>
      </c>
      <c r="X35" s="24">
        <f>_xlfn.XLOOKUP(Tab_Data_Flows[[#This Row],[Flow_Name]],Tab_Def_Flows[Flow_Name],Tab_Def_Flows[Flow_E3_Fraction'[%']],"N.A.",0,1)</f>
        <v>0</v>
      </c>
      <c r="Y35" s="3">
        <f>IF(E35="Yes",X35*Tab_Data_Flows[[#This Row],[E1_value]],"N.A.")</f>
        <v>0</v>
      </c>
      <c r="Z35" s="3" t="str">
        <f>Tab_Data_Flows[[#This Row],[E1_UoM]]</f>
        <v>Mg</v>
      </c>
      <c r="AA35" s="24">
        <f>_xlfn.XLOOKUP(Tab_Data_Flows[[#This Row],[Flow_Name]],Tab_Def_Flows[Flow_Name],Tab_Def_Flows[Flow_E4_Fraction'[%']],"N.A.",0,1)</f>
        <v>0</v>
      </c>
      <c r="AB35" s="3">
        <f>IF(H35="Yes",Tab_Data_Flows[[#This Row],[E4_Fraction'[%']]]*Tab_Data_Flows[[#This Row],[E1_value]],"N.A.")</f>
        <v>0</v>
      </c>
      <c r="AC35" s="3" t="str">
        <f>Tab_Data_Flows[[#This Row],[E1_UoM]]</f>
        <v>Mg</v>
      </c>
      <c r="AD35" s="24">
        <f>_xlfn.XLOOKUP(Tab_Data_Flows[[#This Row],[Flow_Name]],Tab_Def_Flows[Flow_Name],Tab_Def_Flows[Flow_E5_Fraction'[%']],"N.A.",0,1)</f>
        <v>0</v>
      </c>
      <c r="AE35" s="3">
        <f>IF(H35="Yes",Tab_Data_Flows[[#This Row],[E5_Fraction'[%']]]*Tab_Data_Flows[[#This Row],[E1_value]],"N.A.")</f>
        <v>0</v>
      </c>
      <c r="AF35" s="3" t="str">
        <f>Tab_Data_Flows[[#This Row],[E1_UoM]]</f>
        <v>Mg</v>
      </c>
      <c r="AG35" s="24">
        <f>_xlfn.XLOOKUP(Tab_Data_Flows[[#This Row],[Flow_Name]],Tab_Def_Flows[Flow_Name],Tab_Def_Flows[Flow_E6_Fraction'[%']],"N.A.",0,1)</f>
        <v>0</v>
      </c>
      <c r="AH35" s="3">
        <f>IF(Tab_Data_Flows[[#This Row],[Use_E6]]="Yes",Tab_Data_Flows[[#This Row],[E6_Fraction'[%']]]*Tab_Data_Flows[[#This Row],[E1_value]],"N.A.")</f>
        <v>0</v>
      </c>
      <c r="AI35" s="3" t="str">
        <f>Tab_Data_Flows[[#This Row],[E1_UoM]]</f>
        <v>Mg</v>
      </c>
    </row>
    <row r="36" spans="1:35" x14ac:dyDescent="0.25">
      <c r="A36" s="5">
        <f t="shared" si="1"/>
        <v>35</v>
      </c>
      <c r="B36" s="3" t="str">
        <f>_xlfn.XLOOKUP(C36,Tab_Def_Flows[Flow_Name],Tab_Def_Flows[Flow_ID],,0,)</f>
        <v>F__</v>
      </c>
      <c r="C36" s="23" t="s">
        <v>5</v>
      </c>
      <c r="D36" s="6" t="str">
        <f>_xlfn.XLOOKUP(C36,Tab_Def_Flows[Flow_Name],Tab_Def_Flows[Use_E1],,0,)</f>
        <v>Yes</v>
      </c>
      <c r="E36" s="6" t="str">
        <f>_xlfn.XLOOKUP(C36,Tab_Def_Flows[Flow_Name],Tab_Def_Flows[Use_E2],,0,)</f>
        <v>Yes</v>
      </c>
      <c r="F36" s="6" t="str">
        <f>_xlfn.XLOOKUP(C36,Tab_Def_Flows[Flow_Name],Tab_Def_Flows[Use_E3],,0,)</f>
        <v>Yes</v>
      </c>
      <c r="G36" s="6" t="str">
        <f>_xlfn.XLOOKUP(C36,Tab_Def_Flows[Flow_Name],Tab_Def_Flows[Use_E4],,0,)</f>
        <v>Yes</v>
      </c>
      <c r="H36" s="6" t="str">
        <f>_xlfn.XLOOKUP(C36,Tab_Def_Flows[Flow_Name],Tab_Def_Flows[Use_E5],,0,)</f>
        <v>Yes</v>
      </c>
      <c r="I36" s="6" t="str">
        <f>_xlfn.XLOOKUP(C36,Tab_Def_Flows[Flow_Name],Tab_Def_Flows[Use_E6],,0,)</f>
        <v>Yes</v>
      </c>
      <c r="J36" s="52"/>
      <c r="K36" s="53"/>
      <c r="L36" s="3" t="str">
        <f>'0_Configuration'!$C$41</f>
        <v>Mg</v>
      </c>
      <c r="M36" s="10"/>
      <c r="N36" s="23" t="s">
        <v>3</v>
      </c>
      <c r="O36" s="11"/>
      <c r="P36" s="4"/>
      <c r="Q36" s="10"/>
      <c r="R36" s="3">
        <f>_xlfn.XLOOKUP(Tab_Data_Flows[[#This Row],[Flow_Name]],Tab_Def_Flows[Flow_Name],Tab_Def_Flows[Flow_E1_Fraction'[%']],"N.A.",0,1)</f>
        <v>0</v>
      </c>
      <c r="S36" s="9">
        <f t="shared" si="0"/>
        <v>0</v>
      </c>
      <c r="T36" s="3" t="str">
        <f>Tab_Data_Flows[[#This Row],[UoM_Source]]</f>
        <v>Mg</v>
      </c>
      <c r="U36" s="24">
        <f>_xlfn.XLOOKUP(Tab_Data_Flows[[#This Row],[Flow_Name]],Tab_Def_Flows[Flow_Name],Tab_Def_Flows[Flow_E2_Fraction'[%']],"N.A.",0,1)</f>
        <v>0</v>
      </c>
      <c r="V36" s="3">
        <f>IF(D36="Yes",S36*Tab_Data_Flows[[#This Row],[E2_Fraction'[%']]],"N.A.")</f>
        <v>0</v>
      </c>
      <c r="W36" s="3" t="str">
        <f>Tab_Data_Flows[[#This Row],[E1_UoM]]</f>
        <v>Mg</v>
      </c>
      <c r="X36" s="24">
        <f>_xlfn.XLOOKUP(Tab_Data_Flows[[#This Row],[Flow_Name]],Tab_Def_Flows[Flow_Name],Tab_Def_Flows[Flow_E3_Fraction'[%']],"N.A.",0,1)</f>
        <v>0</v>
      </c>
      <c r="Y36" s="3">
        <f>IF(E36="Yes",X36*Tab_Data_Flows[[#This Row],[E1_value]],"N.A.")</f>
        <v>0</v>
      </c>
      <c r="Z36" s="3" t="str">
        <f>Tab_Data_Flows[[#This Row],[E1_UoM]]</f>
        <v>Mg</v>
      </c>
      <c r="AA36" s="24">
        <f>_xlfn.XLOOKUP(Tab_Data_Flows[[#This Row],[Flow_Name]],Tab_Def_Flows[Flow_Name],Tab_Def_Flows[Flow_E4_Fraction'[%']],"N.A.",0,1)</f>
        <v>0</v>
      </c>
      <c r="AB36" s="3">
        <f>IF(H36="Yes",Tab_Data_Flows[[#This Row],[E4_Fraction'[%']]]*Tab_Data_Flows[[#This Row],[E1_value]],"N.A.")</f>
        <v>0</v>
      </c>
      <c r="AC36" s="3" t="str">
        <f>Tab_Data_Flows[[#This Row],[E1_UoM]]</f>
        <v>Mg</v>
      </c>
      <c r="AD36" s="24">
        <f>_xlfn.XLOOKUP(Tab_Data_Flows[[#This Row],[Flow_Name]],Tab_Def_Flows[Flow_Name],Tab_Def_Flows[Flow_E5_Fraction'[%']],"N.A.",0,1)</f>
        <v>0</v>
      </c>
      <c r="AE36" s="3">
        <f>IF(H36="Yes",Tab_Data_Flows[[#This Row],[E5_Fraction'[%']]]*Tab_Data_Flows[[#This Row],[E1_value]],"N.A.")</f>
        <v>0</v>
      </c>
      <c r="AF36" s="3" t="str">
        <f>Tab_Data_Flows[[#This Row],[E1_UoM]]</f>
        <v>Mg</v>
      </c>
      <c r="AG36" s="24">
        <f>_xlfn.XLOOKUP(Tab_Data_Flows[[#This Row],[Flow_Name]],Tab_Def_Flows[Flow_Name],Tab_Def_Flows[Flow_E6_Fraction'[%']],"N.A.",0,1)</f>
        <v>0</v>
      </c>
      <c r="AH36" s="3">
        <f>IF(Tab_Data_Flows[[#This Row],[Use_E6]]="Yes",Tab_Data_Flows[[#This Row],[E6_Fraction'[%']]]*Tab_Data_Flows[[#This Row],[E1_value]],"N.A.")</f>
        <v>0</v>
      </c>
      <c r="AI36" s="3" t="str">
        <f>Tab_Data_Flows[[#This Row],[E1_UoM]]</f>
        <v>Mg</v>
      </c>
    </row>
    <row r="37" spans="1:35" x14ac:dyDescent="0.25">
      <c r="A37" s="5">
        <f t="shared" si="1"/>
        <v>36</v>
      </c>
      <c r="B37" s="3" t="str">
        <f>_xlfn.XLOOKUP(C37,Tab_Def_Flows[Flow_Name],Tab_Def_Flows[Flow_ID],,0,)</f>
        <v>F__</v>
      </c>
      <c r="C37" s="23" t="s">
        <v>5</v>
      </c>
      <c r="D37" s="6" t="str">
        <f>_xlfn.XLOOKUP(C37,Tab_Def_Flows[Flow_Name],Tab_Def_Flows[Use_E1],,0,)</f>
        <v>Yes</v>
      </c>
      <c r="E37" s="6" t="str">
        <f>_xlfn.XLOOKUP(C37,Tab_Def_Flows[Flow_Name],Tab_Def_Flows[Use_E2],,0,)</f>
        <v>Yes</v>
      </c>
      <c r="F37" s="6" t="str">
        <f>_xlfn.XLOOKUP(C37,Tab_Def_Flows[Flow_Name],Tab_Def_Flows[Use_E3],,0,)</f>
        <v>Yes</v>
      </c>
      <c r="G37" s="6" t="str">
        <f>_xlfn.XLOOKUP(C37,Tab_Def_Flows[Flow_Name],Tab_Def_Flows[Use_E4],,0,)</f>
        <v>Yes</v>
      </c>
      <c r="H37" s="6" t="str">
        <f>_xlfn.XLOOKUP(C37,Tab_Def_Flows[Flow_Name],Tab_Def_Flows[Use_E5],,0,)</f>
        <v>Yes</v>
      </c>
      <c r="I37" s="6" t="str">
        <f>_xlfn.XLOOKUP(C37,Tab_Def_Flows[Flow_Name],Tab_Def_Flows[Use_E6],,0,)</f>
        <v>Yes</v>
      </c>
      <c r="J37" s="52"/>
      <c r="K37" s="53"/>
      <c r="L37" s="3" t="str">
        <f>'0_Configuration'!$C$41</f>
        <v>Mg</v>
      </c>
      <c r="M37" s="10"/>
      <c r="N37" s="23" t="s">
        <v>3</v>
      </c>
      <c r="O37" s="11"/>
      <c r="P37" s="4"/>
      <c r="Q37" s="10"/>
      <c r="R37" s="3">
        <f>_xlfn.XLOOKUP(Tab_Data_Flows[[#This Row],[Flow_Name]],Tab_Def_Flows[Flow_Name],Tab_Def_Flows[Flow_E1_Fraction'[%']],"N.A.",0,1)</f>
        <v>0</v>
      </c>
      <c r="S37" s="9">
        <f t="shared" si="0"/>
        <v>0</v>
      </c>
      <c r="T37" s="3" t="str">
        <f>Tab_Data_Flows[[#This Row],[UoM_Source]]</f>
        <v>Mg</v>
      </c>
      <c r="U37" s="24">
        <f>_xlfn.XLOOKUP(Tab_Data_Flows[[#This Row],[Flow_Name]],Tab_Def_Flows[Flow_Name],Tab_Def_Flows[Flow_E2_Fraction'[%']],"N.A.",0,1)</f>
        <v>0</v>
      </c>
      <c r="V37" s="3">
        <f>IF(D37="Yes",S37*Tab_Data_Flows[[#This Row],[E2_Fraction'[%']]],"N.A.")</f>
        <v>0</v>
      </c>
      <c r="W37" s="3" t="str">
        <f>Tab_Data_Flows[[#This Row],[E1_UoM]]</f>
        <v>Mg</v>
      </c>
      <c r="X37" s="24">
        <f>_xlfn.XLOOKUP(Tab_Data_Flows[[#This Row],[Flow_Name]],Tab_Def_Flows[Flow_Name],Tab_Def_Flows[Flow_E3_Fraction'[%']],"N.A.",0,1)</f>
        <v>0</v>
      </c>
      <c r="Y37" s="3">
        <f>IF(E37="Yes",X37*Tab_Data_Flows[[#This Row],[E1_value]],"N.A.")</f>
        <v>0</v>
      </c>
      <c r="Z37" s="3" t="str">
        <f>Tab_Data_Flows[[#This Row],[E1_UoM]]</f>
        <v>Mg</v>
      </c>
      <c r="AA37" s="24">
        <f>_xlfn.XLOOKUP(Tab_Data_Flows[[#This Row],[Flow_Name]],Tab_Def_Flows[Flow_Name],Tab_Def_Flows[Flow_E4_Fraction'[%']],"N.A.",0,1)</f>
        <v>0</v>
      </c>
      <c r="AB37" s="3">
        <f>IF(H37="Yes",Tab_Data_Flows[[#This Row],[E4_Fraction'[%']]]*Tab_Data_Flows[[#This Row],[E1_value]],"N.A.")</f>
        <v>0</v>
      </c>
      <c r="AC37" s="3" t="str">
        <f>Tab_Data_Flows[[#This Row],[E1_UoM]]</f>
        <v>Mg</v>
      </c>
      <c r="AD37" s="24">
        <f>_xlfn.XLOOKUP(Tab_Data_Flows[[#This Row],[Flow_Name]],Tab_Def_Flows[Flow_Name],Tab_Def_Flows[Flow_E5_Fraction'[%']],"N.A.",0,1)</f>
        <v>0</v>
      </c>
      <c r="AE37" s="3">
        <f>IF(H37="Yes",Tab_Data_Flows[[#This Row],[E5_Fraction'[%']]]*Tab_Data_Flows[[#This Row],[E1_value]],"N.A.")</f>
        <v>0</v>
      </c>
      <c r="AF37" s="3" t="str">
        <f>Tab_Data_Flows[[#This Row],[E1_UoM]]</f>
        <v>Mg</v>
      </c>
      <c r="AG37" s="24">
        <f>_xlfn.XLOOKUP(Tab_Data_Flows[[#This Row],[Flow_Name]],Tab_Def_Flows[Flow_Name],Tab_Def_Flows[Flow_E6_Fraction'[%']],"N.A.",0,1)</f>
        <v>0</v>
      </c>
      <c r="AH37" s="3">
        <f>IF(Tab_Data_Flows[[#This Row],[Use_E6]]="Yes",Tab_Data_Flows[[#This Row],[E6_Fraction'[%']]]*Tab_Data_Flows[[#This Row],[E1_value]],"N.A.")</f>
        <v>0</v>
      </c>
      <c r="AI37" s="3" t="str">
        <f>Tab_Data_Flows[[#This Row],[E1_UoM]]</f>
        <v>Mg</v>
      </c>
    </row>
    <row r="38" spans="1:35" x14ac:dyDescent="0.25">
      <c r="A38" s="5">
        <f t="shared" si="1"/>
        <v>37</v>
      </c>
      <c r="B38" s="3" t="str">
        <f>_xlfn.XLOOKUP(C38,Tab_Def_Flows[Flow_Name],Tab_Def_Flows[Flow_ID],,0,)</f>
        <v>F__</v>
      </c>
      <c r="C38" s="23" t="s">
        <v>5</v>
      </c>
      <c r="D38" s="6" t="str">
        <f>_xlfn.XLOOKUP(C38,Tab_Def_Flows[Flow_Name],Tab_Def_Flows[Use_E1],,0,)</f>
        <v>Yes</v>
      </c>
      <c r="E38" s="6" t="str">
        <f>_xlfn.XLOOKUP(C38,Tab_Def_Flows[Flow_Name],Tab_Def_Flows[Use_E2],,0,)</f>
        <v>Yes</v>
      </c>
      <c r="F38" s="6" t="str">
        <f>_xlfn.XLOOKUP(C38,Tab_Def_Flows[Flow_Name],Tab_Def_Flows[Use_E3],,0,)</f>
        <v>Yes</v>
      </c>
      <c r="G38" s="6" t="str">
        <f>_xlfn.XLOOKUP(C38,Tab_Def_Flows[Flow_Name],Tab_Def_Flows[Use_E4],,0,)</f>
        <v>Yes</v>
      </c>
      <c r="H38" s="6" t="str">
        <f>_xlfn.XLOOKUP(C38,Tab_Def_Flows[Flow_Name],Tab_Def_Flows[Use_E5],,0,)</f>
        <v>Yes</v>
      </c>
      <c r="I38" s="6" t="str">
        <f>_xlfn.XLOOKUP(C38,Tab_Def_Flows[Flow_Name],Tab_Def_Flows[Use_E6],,0,)</f>
        <v>Yes</v>
      </c>
      <c r="J38" s="52"/>
      <c r="K38" s="53"/>
      <c r="L38" s="3" t="str">
        <f>'0_Configuration'!$C$41</f>
        <v>Mg</v>
      </c>
      <c r="M38" s="10"/>
      <c r="N38" s="23" t="s">
        <v>3</v>
      </c>
      <c r="O38" s="4"/>
      <c r="P38" s="4"/>
      <c r="Q38" s="10"/>
      <c r="R38" s="3">
        <f>_xlfn.XLOOKUP(Tab_Data_Flows[[#This Row],[Flow_Name]],Tab_Def_Flows[Flow_Name],Tab_Def_Flows[Flow_E1_Fraction'[%']],"N.A.",0,1)</f>
        <v>0</v>
      </c>
      <c r="S38" s="9">
        <f t="shared" si="0"/>
        <v>0</v>
      </c>
      <c r="T38" s="3" t="str">
        <f>Tab_Data_Flows[[#This Row],[UoM_Source]]</f>
        <v>Mg</v>
      </c>
      <c r="U38" s="24">
        <f>_xlfn.XLOOKUP(Tab_Data_Flows[[#This Row],[Flow_Name]],Tab_Def_Flows[Flow_Name],Tab_Def_Flows[Flow_E2_Fraction'[%']],"N.A.",0,1)</f>
        <v>0</v>
      </c>
      <c r="V38" s="3">
        <f>IF(D38="Yes",S38*Tab_Data_Flows[[#This Row],[E2_Fraction'[%']]],"N.A.")</f>
        <v>0</v>
      </c>
      <c r="W38" s="3" t="str">
        <f>Tab_Data_Flows[[#This Row],[E1_UoM]]</f>
        <v>Mg</v>
      </c>
      <c r="X38" s="24">
        <f>_xlfn.XLOOKUP(Tab_Data_Flows[[#This Row],[Flow_Name]],Tab_Def_Flows[Flow_Name],Tab_Def_Flows[Flow_E3_Fraction'[%']],"N.A.",0,1)</f>
        <v>0</v>
      </c>
      <c r="Y38" s="3">
        <f>IF(E38="Yes",X38*Tab_Data_Flows[[#This Row],[E1_value]],"N.A.")</f>
        <v>0</v>
      </c>
      <c r="Z38" s="3" t="str">
        <f>Tab_Data_Flows[[#This Row],[E1_UoM]]</f>
        <v>Mg</v>
      </c>
      <c r="AA38" s="24">
        <f>_xlfn.XLOOKUP(Tab_Data_Flows[[#This Row],[Flow_Name]],Tab_Def_Flows[Flow_Name],Tab_Def_Flows[Flow_E4_Fraction'[%']],"N.A.",0,1)</f>
        <v>0</v>
      </c>
      <c r="AB38" s="3">
        <f>IF(H38="Yes",Tab_Data_Flows[[#This Row],[E4_Fraction'[%']]]*Tab_Data_Flows[[#This Row],[E1_value]],"N.A.")</f>
        <v>0</v>
      </c>
      <c r="AC38" s="3" t="str">
        <f>Tab_Data_Flows[[#This Row],[E1_UoM]]</f>
        <v>Mg</v>
      </c>
      <c r="AD38" s="24">
        <f>_xlfn.XLOOKUP(Tab_Data_Flows[[#This Row],[Flow_Name]],Tab_Def_Flows[Flow_Name],Tab_Def_Flows[Flow_E5_Fraction'[%']],"N.A.",0,1)</f>
        <v>0</v>
      </c>
      <c r="AE38" s="3">
        <f>IF(H38="Yes",Tab_Data_Flows[[#This Row],[E5_Fraction'[%']]]*Tab_Data_Flows[[#This Row],[E1_value]],"N.A.")</f>
        <v>0</v>
      </c>
      <c r="AF38" s="3" t="str">
        <f>Tab_Data_Flows[[#This Row],[E1_UoM]]</f>
        <v>Mg</v>
      </c>
      <c r="AG38" s="24">
        <f>_xlfn.XLOOKUP(Tab_Data_Flows[[#This Row],[Flow_Name]],Tab_Def_Flows[Flow_Name],Tab_Def_Flows[Flow_E6_Fraction'[%']],"N.A.",0,1)</f>
        <v>0</v>
      </c>
      <c r="AH38" s="3">
        <f>IF(Tab_Data_Flows[[#This Row],[Use_E6]]="Yes",Tab_Data_Flows[[#This Row],[E6_Fraction'[%']]]*Tab_Data_Flows[[#This Row],[E1_value]],"N.A.")</f>
        <v>0</v>
      </c>
      <c r="AI38" s="3" t="str">
        <f>Tab_Data_Flows[[#This Row],[E1_UoM]]</f>
        <v>Mg</v>
      </c>
    </row>
    <row r="39" spans="1:35" x14ac:dyDescent="0.25">
      <c r="A39" s="5">
        <f t="shared" si="1"/>
        <v>38</v>
      </c>
      <c r="B39" s="3" t="str">
        <f>_xlfn.XLOOKUP(C39,Tab_Def_Flows[Flow_Name],Tab_Def_Flows[Flow_ID],,0,)</f>
        <v>F__</v>
      </c>
      <c r="C39" s="23" t="s">
        <v>5</v>
      </c>
      <c r="D39" s="6" t="str">
        <f>_xlfn.XLOOKUP(C39,Tab_Def_Flows[Flow_Name],Tab_Def_Flows[Use_E1],,0,)</f>
        <v>Yes</v>
      </c>
      <c r="E39" s="6" t="str">
        <f>_xlfn.XLOOKUP(C39,Tab_Def_Flows[Flow_Name],Tab_Def_Flows[Use_E2],,0,)</f>
        <v>Yes</v>
      </c>
      <c r="F39" s="6" t="str">
        <f>_xlfn.XLOOKUP(C39,Tab_Def_Flows[Flow_Name],Tab_Def_Flows[Use_E3],,0,)</f>
        <v>Yes</v>
      </c>
      <c r="G39" s="6" t="str">
        <f>_xlfn.XLOOKUP(C39,Tab_Def_Flows[Flow_Name],Tab_Def_Flows[Use_E4],,0,)</f>
        <v>Yes</v>
      </c>
      <c r="H39" s="6" t="str">
        <f>_xlfn.XLOOKUP(C39,Tab_Def_Flows[Flow_Name],Tab_Def_Flows[Use_E5],,0,)</f>
        <v>Yes</v>
      </c>
      <c r="I39" s="6" t="str">
        <f>_xlfn.XLOOKUP(C39,Tab_Def_Flows[Flow_Name],Tab_Def_Flows[Use_E6],,0,)</f>
        <v>Yes</v>
      </c>
      <c r="J39" s="52"/>
      <c r="K39" s="53"/>
      <c r="L39" s="3" t="str">
        <f>'0_Configuration'!$C$41</f>
        <v>Mg</v>
      </c>
      <c r="M39" s="10"/>
      <c r="N39" s="23" t="s">
        <v>3</v>
      </c>
      <c r="O39" s="4"/>
      <c r="P39" s="4"/>
      <c r="Q39" s="10"/>
      <c r="R39" s="3">
        <f>_xlfn.XLOOKUP(Tab_Data_Flows[[#This Row],[Flow_Name]],Tab_Def_Flows[Flow_Name],Tab_Def_Flows[Flow_E1_Fraction'[%']],"N.A.",0,1)</f>
        <v>0</v>
      </c>
      <c r="S39" s="9">
        <f t="shared" si="0"/>
        <v>0</v>
      </c>
      <c r="T39" s="3" t="str">
        <f>Tab_Data_Flows[[#This Row],[UoM_Source]]</f>
        <v>Mg</v>
      </c>
      <c r="U39" s="24">
        <f>_xlfn.XLOOKUP(Tab_Data_Flows[[#This Row],[Flow_Name]],Tab_Def_Flows[Flow_Name],Tab_Def_Flows[Flow_E2_Fraction'[%']],"N.A.",0,1)</f>
        <v>0</v>
      </c>
      <c r="V39" s="3">
        <f>IF(D39="Yes",S39*Tab_Data_Flows[[#This Row],[E2_Fraction'[%']]],"N.A.")</f>
        <v>0</v>
      </c>
      <c r="W39" s="3" t="str">
        <f>Tab_Data_Flows[[#This Row],[E1_UoM]]</f>
        <v>Mg</v>
      </c>
      <c r="X39" s="24">
        <f>_xlfn.XLOOKUP(Tab_Data_Flows[[#This Row],[Flow_Name]],Tab_Def_Flows[Flow_Name],Tab_Def_Flows[Flow_E3_Fraction'[%']],"N.A.",0,1)</f>
        <v>0</v>
      </c>
      <c r="Y39" s="3">
        <f>IF(E39="Yes",X39*Tab_Data_Flows[[#This Row],[E1_value]],"N.A.")</f>
        <v>0</v>
      </c>
      <c r="Z39" s="3" t="str">
        <f>Tab_Data_Flows[[#This Row],[E1_UoM]]</f>
        <v>Mg</v>
      </c>
      <c r="AA39" s="24">
        <f>_xlfn.XLOOKUP(Tab_Data_Flows[[#This Row],[Flow_Name]],Tab_Def_Flows[Flow_Name],Tab_Def_Flows[Flow_E4_Fraction'[%']],"N.A.",0,1)</f>
        <v>0</v>
      </c>
      <c r="AB39" s="3">
        <f>IF(H39="Yes",Tab_Data_Flows[[#This Row],[E4_Fraction'[%']]]*Tab_Data_Flows[[#This Row],[E1_value]],"N.A.")</f>
        <v>0</v>
      </c>
      <c r="AC39" s="3" t="str">
        <f>Tab_Data_Flows[[#This Row],[E1_UoM]]</f>
        <v>Mg</v>
      </c>
      <c r="AD39" s="24">
        <f>_xlfn.XLOOKUP(Tab_Data_Flows[[#This Row],[Flow_Name]],Tab_Def_Flows[Flow_Name],Tab_Def_Flows[Flow_E5_Fraction'[%']],"N.A.",0,1)</f>
        <v>0</v>
      </c>
      <c r="AE39" s="3">
        <f>IF(H39="Yes",Tab_Data_Flows[[#This Row],[E5_Fraction'[%']]]*Tab_Data_Flows[[#This Row],[E1_value]],"N.A.")</f>
        <v>0</v>
      </c>
      <c r="AF39" s="3" t="str">
        <f>Tab_Data_Flows[[#This Row],[E1_UoM]]</f>
        <v>Mg</v>
      </c>
      <c r="AG39" s="24">
        <f>_xlfn.XLOOKUP(Tab_Data_Flows[[#This Row],[Flow_Name]],Tab_Def_Flows[Flow_Name],Tab_Def_Flows[Flow_E6_Fraction'[%']],"N.A.",0,1)</f>
        <v>0</v>
      </c>
      <c r="AH39" s="3">
        <f>IF(Tab_Data_Flows[[#This Row],[Use_E6]]="Yes",Tab_Data_Flows[[#This Row],[E6_Fraction'[%']]]*Tab_Data_Flows[[#This Row],[E1_value]],"N.A.")</f>
        <v>0</v>
      </c>
      <c r="AI39" s="3" t="str">
        <f>Tab_Data_Flows[[#This Row],[E1_UoM]]</f>
        <v>Mg</v>
      </c>
    </row>
    <row r="40" spans="1:35" x14ac:dyDescent="0.25">
      <c r="A40" s="5">
        <f t="shared" si="1"/>
        <v>39</v>
      </c>
      <c r="B40" s="3" t="str">
        <f>_xlfn.XLOOKUP(C40,Tab_Def_Flows[Flow_Name],Tab_Def_Flows[Flow_ID],,0,)</f>
        <v>F__</v>
      </c>
      <c r="C40" s="23" t="s">
        <v>5</v>
      </c>
      <c r="D40" s="6" t="str">
        <f>_xlfn.XLOOKUP(C40,Tab_Def_Flows[Flow_Name],Tab_Def_Flows[Use_E1],,0,)</f>
        <v>Yes</v>
      </c>
      <c r="E40" s="6" t="str">
        <f>_xlfn.XLOOKUP(C40,Tab_Def_Flows[Flow_Name],Tab_Def_Flows[Use_E2],,0,)</f>
        <v>Yes</v>
      </c>
      <c r="F40" s="6" t="str">
        <f>_xlfn.XLOOKUP(C40,Tab_Def_Flows[Flow_Name],Tab_Def_Flows[Use_E3],,0,)</f>
        <v>Yes</v>
      </c>
      <c r="G40" s="6" t="str">
        <f>_xlfn.XLOOKUP(C40,Tab_Def_Flows[Flow_Name],Tab_Def_Flows[Use_E4],,0,)</f>
        <v>Yes</v>
      </c>
      <c r="H40" s="6" t="str">
        <f>_xlfn.XLOOKUP(C40,Tab_Def_Flows[Flow_Name],Tab_Def_Flows[Use_E5],,0,)</f>
        <v>Yes</v>
      </c>
      <c r="I40" s="6" t="str">
        <f>_xlfn.XLOOKUP(C40,Tab_Def_Flows[Flow_Name],Tab_Def_Flows[Use_E6],,0,)</f>
        <v>Yes</v>
      </c>
      <c r="J40" s="52"/>
      <c r="K40" s="53"/>
      <c r="L40" s="3" t="str">
        <f>'0_Configuration'!$C$41</f>
        <v>Mg</v>
      </c>
      <c r="M40" s="10"/>
      <c r="N40" s="23" t="s">
        <v>3</v>
      </c>
      <c r="O40" s="4"/>
      <c r="P40" s="4"/>
      <c r="Q40" s="10"/>
      <c r="R40" s="3">
        <f>_xlfn.XLOOKUP(Tab_Data_Flows[[#This Row],[Flow_Name]],Tab_Def_Flows[Flow_Name],Tab_Def_Flows[Flow_E1_Fraction'[%']],"N.A.",0,1)</f>
        <v>0</v>
      </c>
      <c r="S40" s="9">
        <f t="shared" si="0"/>
        <v>0</v>
      </c>
      <c r="T40" s="3" t="str">
        <f>Tab_Data_Flows[[#This Row],[UoM_Source]]</f>
        <v>Mg</v>
      </c>
      <c r="U40" s="24">
        <f>_xlfn.XLOOKUP(Tab_Data_Flows[[#This Row],[Flow_Name]],Tab_Def_Flows[Flow_Name],Tab_Def_Flows[Flow_E2_Fraction'[%']],"N.A.",0,1)</f>
        <v>0</v>
      </c>
      <c r="V40" s="3">
        <f>IF(D40="Yes",S40*Tab_Data_Flows[[#This Row],[E2_Fraction'[%']]],"N.A.")</f>
        <v>0</v>
      </c>
      <c r="W40" s="3" t="str">
        <f>Tab_Data_Flows[[#This Row],[E1_UoM]]</f>
        <v>Mg</v>
      </c>
      <c r="X40" s="24">
        <f>_xlfn.XLOOKUP(Tab_Data_Flows[[#This Row],[Flow_Name]],Tab_Def_Flows[Flow_Name],Tab_Def_Flows[Flow_E3_Fraction'[%']],"N.A.",0,1)</f>
        <v>0</v>
      </c>
      <c r="Y40" s="3">
        <f>IF(E40="Yes",X40*Tab_Data_Flows[[#This Row],[E1_value]],"N.A.")</f>
        <v>0</v>
      </c>
      <c r="Z40" s="3" t="str">
        <f>Tab_Data_Flows[[#This Row],[E1_UoM]]</f>
        <v>Mg</v>
      </c>
      <c r="AA40" s="24">
        <f>_xlfn.XLOOKUP(Tab_Data_Flows[[#This Row],[Flow_Name]],Tab_Def_Flows[Flow_Name],Tab_Def_Flows[Flow_E4_Fraction'[%']],"N.A.",0,1)</f>
        <v>0</v>
      </c>
      <c r="AB40" s="3">
        <f>IF(H40="Yes",Tab_Data_Flows[[#This Row],[E4_Fraction'[%']]]*Tab_Data_Flows[[#This Row],[E1_value]],"N.A.")</f>
        <v>0</v>
      </c>
      <c r="AC40" s="3" t="str">
        <f>Tab_Data_Flows[[#This Row],[E1_UoM]]</f>
        <v>Mg</v>
      </c>
      <c r="AD40" s="24">
        <f>_xlfn.XLOOKUP(Tab_Data_Flows[[#This Row],[Flow_Name]],Tab_Def_Flows[Flow_Name],Tab_Def_Flows[Flow_E5_Fraction'[%']],"N.A.",0,1)</f>
        <v>0</v>
      </c>
      <c r="AE40" s="3">
        <f>IF(H40="Yes",Tab_Data_Flows[[#This Row],[E5_Fraction'[%']]]*Tab_Data_Flows[[#This Row],[E1_value]],"N.A.")</f>
        <v>0</v>
      </c>
      <c r="AF40" s="3" t="str">
        <f>Tab_Data_Flows[[#This Row],[E1_UoM]]</f>
        <v>Mg</v>
      </c>
      <c r="AG40" s="24">
        <f>_xlfn.XLOOKUP(Tab_Data_Flows[[#This Row],[Flow_Name]],Tab_Def_Flows[Flow_Name],Tab_Def_Flows[Flow_E6_Fraction'[%']],"N.A.",0,1)</f>
        <v>0</v>
      </c>
      <c r="AH40" s="3">
        <f>IF(Tab_Data_Flows[[#This Row],[Use_E6]]="Yes",Tab_Data_Flows[[#This Row],[E6_Fraction'[%']]]*Tab_Data_Flows[[#This Row],[E1_value]],"N.A.")</f>
        <v>0</v>
      </c>
      <c r="AI40" s="3" t="str">
        <f>Tab_Data_Flows[[#This Row],[E1_UoM]]</f>
        <v>Mg</v>
      </c>
    </row>
    <row r="41" spans="1:35" x14ac:dyDescent="0.25">
      <c r="A41" s="5">
        <f t="shared" si="1"/>
        <v>40</v>
      </c>
      <c r="B41" s="3" t="str">
        <f>_xlfn.XLOOKUP(C41,Tab_Def_Flows[Flow_Name],Tab_Def_Flows[Flow_ID],,0,)</f>
        <v>F__</v>
      </c>
      <c r="C41" s="23" t="s">
        <v>5</v>
      </c>
      <c r="D41" s="6" t="str">
        <f>_xlfn.XLOOKUP(C41,Tab_Def_Flows[Flow_Name],Tab_Def_Flows[Use_E1],,0,)</f>
        <v>Yes</v>
      </c>
      <c r="E41" s="6" t="str">
        <f>_xlfn.XLOOKUP(C41,Tab_Def_Flows[Flow_Name],Tab_Def_Flows[Use_E2],,0,)</f>
        <v>Yes</v>
      </c>
      <c r="F41" s="6" t="str">
        <f>_xlfn.XLOOKUP(C41,Tab_Def_Flows[Flow_Name],Tab_Def_Flows[Use_E3],,0,)</f>
        <v>Yes</v>
      </c>
      <c r="G41" s="6" t="str">
        <f>_xlfn.XLOOKUP(C41,Tab_Def_Flows[Flow_Name],Tab_Def_Flows[Use_E4],,0,)</f>
        <v>Yes</v>
      </c>
      <c r="H41" s="6" t="str">
        <f>_xlfn.XLOOKUP(C41,Tab_Def_Flows[Flow_Name],Tab_Def_Flows[Use_E5],,0,)</f>
        <v>Yes</v>
      </c>
      <c r="I41" s="6" t="str">
        <f>_xlfn.XLOOKUP(C41,Tab_Def_Flows[Flow_Name],Tab_Def_Flows[Use_E6],,0,)</f>
        <v>Yes</v>
      </c>
      <c r="J41" s="52"/>
      <c r="K41" s="53"/>
      <c r="L41" s="3" t="str">
        <f>'0_Configuration'!$C$41</f>
        <v>Mg</v>
      </c>
      <c r="M41" s="10"/>
      <c r="N41" s="23" t="s">
        <v>3</v>
      </c>
      <c r="O41" s="4"/>
      <c r="P41" s="4"/>
      <c r="Q41" s="10"/>
      <c r="R41" s="3">
        <f>_xlfn.XLOOKUP(Tab_Data_Flows[[#This Row],[Flow_Name]],Tab_Def_Flows[Flow_Name],Tab_Def_Flows[Flow_E1_Fraction'[%']],"N.A.",0,1)</f>
        <v>0</v>
      </c>
      <c r="S41" s="9">
        <f t="shared" si="0"/>
        <v>0</v>
      </c>
      <c r="T41" s="3" t="str">
        <f>Tab_Data_Flows[[#This Row],[UoM_Source]]</f>
        <v>Mg</v>
      </c>
      <c r="U41" s="24">
        <f>_xlfn.XLOOKUP(Tab_Data_Flows[[#This Row],[Flow_Name]],Tab_Def_Flows[Flow_Name],Tab_Def_Flows[Flow_E2_Fraction'[%']],"N.A.",0,1)</f>
        <v>0</v>
      </c>
      <c r="V41" s="3">
        <f>IF(D41="Yes",S41*Tab_Data_Flows[[#This Row],[E2_Fraction'[%']]],"N.A.")</f>
        <v>0</v>
      </c>
      <c r="W41" s="3" t="str">
        <f>Tab_Data_Flows[[#This Row],[E1_UoM]]</f>
        <v>Mg</v>
      </c>
      <c r="X41" s="24">
        <f>_xlfn.XLOOKUP(Tab_Data_Flows[[#This Row],[Flow_Name]],Tab_Def_Flows[Flow_Name],Tab_Def_Flows[Flow_E3_Fraction'[%']],"N.A.",0,1)</f>
        <v>0</v>
      </c>
      <c r="Y41" s="3">
        <f>IF(E41="Yes",X41*Tab_Data_Flows[[#This Row],[E1_value]],"N.A.")</f>
        <v>0</v>
      </c>
      <c r="Z41" s="3" t="str">
        <f>Tab_Data_Flows[[#This Row],[E1_UoM]]</f>
        <v>Mg</v>
      </c>
      <c r="AA41" s="24">
        <f>_xlfn.XLOOKUP(Tab_Data_Flows[[#This Row],[Flow_Name]],Tab_Def_Flows[Flow_Name],Tab_Def_Flows[Flow_E4_Fraction'[%']],"N.A.",0,1)</f>
        <v>0</v>
      </c>
      <c r="AB41" s="3">
        <f>IF(H41="Yes",Tab_Data_Flows[[#This Row],[E4_Fraction'[%']]]*Tab_Data_Flows[[#This Row],[E1_value]],"N.A.")</f>
        <v>0</v>
      </c>
      <c r="AC41" s="3" t="str">
        <f>Tab_Data_Flows[[#This Row],[E1_UoM]]</f>
        <v>Mg</v>
      </c>
      <c r="AD41" s="24">
        <f>_xlfn.XLOOKUP(Tab_Data_Flows[[#This Row],[Flow_Name]],Tab_Def_Flows[Flow_Name],Tab_Def_Flows[Flow_E5_Fraction'[%']],"N.A.",0,1)</f>
        <v>0</v>
      </c>
      <c r="AE41" s="3">
        <f>IF(H41="Yes",Tab_Data_Flows[[#This Row],[E5_Fraction'[%']]]*Tab_Data_Flows[[#This Row],[E1_value]],"N.A.")</f>
        <v>0</v>
      </c>
      <c r="AF41" s="3" t="str">
        <f>Tab_Data_Flows[[#This Row],[E1_UoM]]</f>
        <v>Mg</v>
      </c>
      <c r="AG41" s="24">
        <f>_xlfn.XLOOKUP(Tab_Data_Flows[[#This Row],[Flow_Name]],Tab_Def_Flows[Flow_Name],Tab_Def_Flows[Flow_E6_Fraction'[%']],"N.A.",0,1)</f>
        <v>0</v>
      </c>
      <c r="AH41" s="3">
        <f>IF(Tab_Data_Flows[[#This Row],[Use_E6]]="Yes",Tab_Data_Flows[[#This Row],[E6_Fraction'[%']]]*Tab_Data_Flows[[#This Row],[E1_value]],"N.A.")</f>
        <v>0</v>
      </c>
      <c r="AI41" s="3" t="str">
        <f>Tab_Data_Flows[[#This Row],[E1_UoM]]</f>
        <v>Mg</v>
      </c>
    </row>
    <row r="42" spans="1:35" x14ac:dyDescent="0.25">
      <c r="A42" s="5">
        <f t="shared" si="1"/>
        <v>41</v>
      </c>
      <c r="B42" s="3" t="str">
        <f>_xlfn.XLOOKUP(C42,Tab_Def_Flows[Flow_Name],Tab_Def_Flows[Flow_ID],,0,)</f>
        <v>F__</v>
      </c>
      <c r="C42" s="23" t="s">
        <v>5</v>
      </c>
      <c r="D42" s="6" t="str">
        <f>_xlfn.XLOOKUP(C42,Tab_Def_Flows[Flow_Name],Tab_Def_Flows[Use_E1],,0,)</f>
        <v>Yes</v>
      </c>
      <c r="E42" s="6" t="str">
        <f>_xlfn.XLOOKUP(C42,Tab_Def_Flows[Flow_Name],Tab_Def_Flows[Use_E2],,0,)</f>
        <v>Yes</v>
      </c>
      <c r="F42" s="6" t="str">
        <f>_xlfn.XLOOKUP(C42,Tab_Def_Flows[Flow_Name],Tab_Def_Flows[Use_E3],,0,)</f>
        <v>Yes</v>
      </c>
      <c r="G42" s="6" t="str">
        <f>_xlfn.XLOOKUP(C42,Tab_Def_Flows[Flow_Name],Tab_Def_Flows[Use_E4],,0,)</f>
        <v>Yes</v>
      </c>
      <c r="H42" s="6" t="str">
        <f>_xlfn.XLOOKUP(C42,Tab_Def_Flows[Flow_Name],Tab_Def_Flows[Use_E5],,0,)</f>
        <v>Yes</v>
      </c>
      <c r="I42" s="6" t="str">
        <f>_xlfn.XLOOKUP(C42,Tab_Def_Flows[Flow_Name],Tab_Def_Flows[Use_E6],,0,)</f>
        <v>Yes</v>
      </c>
      <c r="J42" s="52"/>
      <c r="K42" s="53"/>
      <c r="L42" s="3" t="str">
        <f>'0_Configuration'!$C$41</f>
        <v>Mg</v>
      </c>
      <c r="M42" s="10"/>
      <c r="N42" s="23" t="s">
        <v>3</v>
      </c>
      <c r="O42" s="4"/>
      <c r="P42" s="4"/>
      <c r="Q42" s="10"/>
      <c r="R42" s="3">
        <f>_xlfn.XLOOKUP(Tab_Data_Flows[[#This Row],[Flow_Name]],Tab_Def_Flows[Flow_Name],Tab_Def_Flows[Flow_E1_Fraction'[%']],"N.A.",0,1)</f>
        <v>0</v>
      </c>
      <c r="S42" s="9">
        <f t="shared" si="0"/>
        <v>0</v>
      </c>
      <c r="T42" s="3" t="str">
        <f>Tab_Data_Flows[[#This Row],[UoM_Source]]</f>
        <v>Mg</v>
      </c>
      <c r="U42" s="24">
        <f>_xlfn.XLOOKUP(Tab_Data_Flows[[#This Row],[Flow_Name]],Tab_Def_Flows[Flow_Name],Tab_Def_Flows[Flow_E2_Fraction'[%']],"N.A.",0,1)</f>
        <v>0</v>
      </c>
      <c r="V42" s="3">
        <f>IF(D42="Yes",S42*Tab_Data_Flows[[#This Row],[E2_Fraction'[%']]],"N.A.")</f>
        <v>0</v>
      </c>
      <c r="W42" s="3" t="str">
        <f>Tab_Data_Flows[[#This Row],[E1_UoM]]</f>
        <v>Mg</v>
      </c>
      <c r="X42" s="24">
        <f>_xlfn.XLOOKUP(Tab_Data_Flows[[#This Row],[Flow_Name]],Tab_Def_Flows[Flow_Name],Tab_Def_Flows[Flow_E3_Fraction'[%']],"N.A.",0,1)</f>
        <v>0</v>
      </c>
      <c r="Y42" s="3">
        <f>IF(E42="Yes",X42*Tab_Data_Flows[[#This Row],[E1_value]],"N.A.")</f>
        <v>0</v>
      </c>
      <c r="Z42" s="3" t="str">
        <f>Tab_Data_Flows[[#This Row],[E1_UoM]]</f>
        <v>Mg</v>
      </c>
      <c r="AA42" s="24">
        <f>_xlfn.XLOOKUP(Tab_Data_Flows[[#This Row],[Flow_Name]],Tab_Def_Flows[Flow_Name],Tab_Def_Flows[Flow_E4_Fraction'[%']],"N.A.",0,1)</f>
        <v>0</v>
      </c>
      <c r="AB42" s="3">
        <f>IF(H42="Yes",Tab_Data_Flows[[#This Row],[E4_Fraction'[%']]]*Tab_Data_Flows[[#This Row],[E1_value]],"N.A.")</f>
        <v>0</v>
      </c>
      <c r="AC42" s="3" t="str">
        <f>Tab_Data_Flows[[#This Row],[E1_UoM]]</f>
        <v>Mg</v>
      </c>
      <c r="AD42" s="24">
        <f>_xlfn.XLOOKUP(Tab_Data_Flows[[#This Row],[Flow_Name]],Tab_Def_Flows[Flow_Name],Tab_Def_Flows[Flow_E5_Fraction'[%']],"N.A.",0,1)</f>
        <v>0</v>
      </c>
      <c r="AE42" s="3">
        <f>IF(H42="Yes",Tab_Data_Flows[[#This Row],[E5_Fraction'[%']]]*Tab_Data_Flows[[#This Row],[E1_value]],"N.A.")</f>
        <v>0</v>
      </c>
      <c r="AF42" s="3" t="str">
        <f>Tab_Data_Flows[[#This Row],[E1_UoM]]</f>
        <v>Mg</v>
      </c>
      <c r="AG42" s="24">
        <f>_xlfn.XLOOKUP(Tab_Data_Flows[[#This Row],[Flow_Name]],Tab_Def_Flows[Flow_Name],Tab_Def_Flows[Flow_E6_Fraction'[%']],"N.A.",0,1)</f>
        <v>0</v>
      </c>
      <c r="AH42" s="3">
        <f>IF(Tab_Data_Flows[[#This Row],[Use_E6]]="Yes",Tab_Data_Flows[[#This Row],[E6_Fraction'[%']]]*Tab_Data_Flows[[#This Row],[E1_value]],"N.A.")</f>
        <v>0</v>
      </c>
      <c r="AI42" s="3" t="str">
        <f>Tab_Data_Flows[[#This Row],[E1_UoM]]</f>
        <v>Mg</v>
      </c>
    </row>
    <row r="43" spans="1:35" x14ac:dyDescent="0.25">
      <c r="A43" s="5">
        <f t="shared" si="1"/>
        <v>42</v>
      </c>
      <c r="B43" s="3" t="str">
        <f>_xlfn.XLOOKUP(C43,Tab_Def_Flows[Flow_Name],Tab_Def_Flows[Flow_ID],,0,)</f>
        <v>F__</v>
      </c>
      <c r="C43" s="23" t="s">
        <v>5</v>
      </c>
      <c r="D43" s="6" t="str">
        <f>_xlfn.XLOOKUP(C43,Tab_Def_Flows[Flow_Name],Tab_Def_Flows[Use_E1],,0,)</f>
        <v>Yes</v>
      </c>
      <c r="E43" s="6" t="str">
        <f>_xlfn.XLOOKUP(C43,Tab_Def_Flows[Flow_Name],Tab_Def_Flows[Use_E2],,0,)</f>
        <v>Yes</v>
      </c>
      <c r="F43" s="6" t="str">
        <f>_xlfn.XLOOKUP(C43,Tab_Def_Flows[Flow_Name],Tab_Def_Flows[Use_E3],,0,)</f>
        <v>Yes</v>
      </c>
      <c r="G43" s="6" t="str">
        <f>_xlfn.XLOOKUP(C43,Tab_Def_Flows[Flow_Name],Tab_Def_Flows[Use_E4],,0,)</f>
        <v>Yes</v>
      </c>
      <c r="H43" s="6" t="str">
        <f>_xlfn.XLOOKUP(C43,Tab_Def_Flows[Flow_Name],Tab_Def_Flows[Use_E5],,0,)</f>
        <v>Yes</v>
      </c>
      <c r="I43" s="6" t="str">
        <f>_xlfn.XLOOKUP(C43,Tab_Def_Flows[Flow_Name],Tab_Def_Flows[Use_E6],,0,)</f>
        <v>Yes</v>
      </c>
      <c r="J43" s="52"/>
      <c r="K43" s="53"/>
      <c r="L43" s="3" t="str">
        <f>'0_Configuration'!$C$41</f>
        <v>Mg</v>
      </c>
      <c r="M43" s="10"/>
      <c r="N43" s="23" t="s">
        <v>3</v>
      </c>
      <c r="O43" s="4"/>
      <c r="P43" s="4"/>
      <c r="Q43" s="10"/>
      <c r="R43" s="3">
        <f>_xlfn.XLOOKUP(Tab_Data_Flows[[#This Row],[Flow_Name]],Tab_Def_Flows[Flow_Name],Tab_Def_Flows[Flow_E1_Fraction'[%']],"N.A.",0,1)</f>
        <v>0</v>
      </c>
      <c r="S43" s="9">
        <f t="shared" si="0"/>
        <v>0</v>
      </c>
      <c r="T43" s="3" t="str">
        <f>Tab_Data_Flows[[#This Row],[UoM_Source]]</f>
        <v>Mg</v>
      </c>
      <c r="U43" s="24">
        <f>_xlfn.XLOOKUP(Tab_Data_Flows[[#This Row],[Flow_Name]],Tab_Def_Flows[Flow_Name],Tab_Def_Flows[Flow_E2_Fraction'[%']],"N.A.",0,1)</f>
        <v>0</v>
      </c>
      <c r="V43" s="3">
        <f>IF(D43="Yes",S43*Tab_Data_Flows[[#This Row],[E2_Fraction'[%']]],"N.A.")</f>
        <v>0</v>
      </c>
      <c r="W43" s="3" t="str">
        <f>Tab_Data_Flows[[#This Row],[E1_UoM]]</f>
        <v>Mg</v>
      </c>
      <c r="X43" s="24">
        <f>_xlfn.XLOOKUP(Tab_Data_Flows[[#This Row],[Flow_Name]],Tab_Def_Flows[Flow_Name],Tab_Def_Flows[Flow_E3_Fraction'[%']],"N.A.",0,1)</f>
        <v>0</v>
      </c>
      <c r="Y43" s="3">
        <f>IF(E43="Yes",X43*Tab_Data_Flows[[#This Row],[E1_value]],"N.A.")</f>
        <v>0</v>
      </c>
      <c r="Z43" s="3" t="str">
        <f>Tab_Data_Flows[[#This Row],[E1_UoM]]</f>
        <v>Mg</v>
      </c>
      <c r="AA43" s="24">
        <f>_xlfn.XLOOKUP(Tab_Data_Flows[[#This Row],[Flow_Name]],Tab_Def_Flows[Flow_Name],Tab_Def_Flows[Flow_E4_Fraction'[%']],"N.A.",0,1)</f>
        <v>0</v>
      </c>
      <c r="AB43" s="3">
        <f>IF(H43="Yes",Tab_Data_Flows[[#This Row],[E4_Fraction'[%']]]*Tab_Data_Flows[[#This Row],[E1_value]],"N.A.")</f>
        <v>0</v>
      </c>
      <c r="AC43" s="3" t="str">
        <f>Tab_Data_Flows[[#This Row],[E1_UoM]]</f>
        <v>Mg</v>
      </c>
      <c r="AD43" s="24">
        <f>_xlfn.XLOOKUP(Tab_Data_Flows[[#This Row],[Flow_Name]],Tab_Def_Flows[Flow_Name],Tab_Def_Flows[Flow_E5_Fraction'[%']],"N.A.",0,1)</f>
        <v>0</v>
      </c>
      <c r="AE43" s="3">
        <f>IF(H43="Yes",Tab_Data_Flows[[#This Row],[E5_Fraction'[%']]]*Tab_Data_Flows[[#This Row],[E1_value]],"N.A.")</f>
        <v>0</v>
      </c>
      <c r="AF43" s="3" t="str">
        <f>Tab_Data_Flows[[#This Row],[E1_UoM]]</f>
        <v>Mg</v>
      </c>
      <c r="AG43" s="24">
        <f>_xlfn.XLOOKUP(Tab_Data_Flows[[#This Row],[Flow_Name]],Tab_Def_Flows[Flow_Name],Tab_Def_Flows[Flow_E6_Fraction'[%']],"N.A.",0,1)</f>
        <v>0</v>
      </c>
      <c r="AH43" s="3">
        <f>IF(Tab_Data_Flows[[#This Row],[Use_E6]]="Yes",Tab_Data_Flows[[#This Row],[E6_Fraction'[%']]]*Tab_Data_Flows[[#This Row],[E1_value]],"N.A.")</f>
        <v>0</v>
      </c>
      <c r="AI43" s="3" t="str">
        <f>Tab_Data_Flows[[#This Row],[E1_UoM]]</f>
        <v>Mg</v>
      </c>
    </row>
    <row r="44" spans="1:35" x14ac:dyDescent="0.25">
      <c r="A44" s="5">
        <f t="shared" si="1"/>
        <v>43</v>
      </c>
      <c r="B44" s="3" t="str">
        <f>_xlfn.XLOOKUP(C44,Tab_Def_Flows[Flow_Name],Tab_Def_Flows[Flow_ID],,0,)</f>
        <v>F__</v>
      </c>
      <c r="C44" s="23" t="s">
        <v>5</v>
      </c>
      <c r="D44" s="6" t="str">
        <f>_xlfn.XLOOKUP(C44,Tab_Def_Flows[Flow_Name],Tab_Def_Flows[Use_E1],,0,)</f>
        <v>Yes</v>
      </c>
      <c r="E44" s="6" t="str">
        <f>_xlfn.XLOOKUP(C44,Tab_Def_Flows[Flow_Name],Tab_Def_Flows[Use_E2],,0,)</f>
        <v>Yes</v>
      </c>
      <c r="F44" s="6" t="str">
        <f>_xlfn.XLOOKUP(C44,Tab_Def_Flows[Flow_Name],Tab_Def_Flows[Use_E3],,0,)</f>
        <v>Yes</v>
      </c>
      <c r="G44" s="6" t="str">
        <f>_xlfn.XLOOKUP(C44,Tab_Def_Flows[Flow_Name],Tab_Def_Flows[Use_E4],,0,)</f>
        <v>Yes</v>
      </c>
      <c r="H44" s="6" t="str">
        <f>_xlfn.XLOOKUP(C44,Tab_Def_Flows[Flow_Name],Tab_Def_Flows[Use_E5],,0,)</f>
        <v>Yes</v>
      </c>
      <c r="I44" s="6" t="str">
        <f>_xlfn.XLOOKUP(C44,Tab_Def_Flows[Flow_Name],Tab_Def_Flows[Use_E6],,0,)</f>
        <v>Yes</v>
      </c>
      <c r="J44" s="52"/>
      <c r="K44" s="53"/>
      <c r="L44" s="3" t="str">
        <f>'0_Configuration'!$C$41</f>
        <v>Mg</v>
      </c>
      <c r="M44" s="10"/>
      <c r="N44" s="23" t="s">
        <v>3</v>
      </c>
      <c r="O44" s="4"/>
      <c r="P44" s="4"/>
      <c r="Q44" s="10"/>
      <c r="R44" s="3">
        <f>_xlfn.XLOOKUP(Tab_Data_Flows[[#This Row],[Flow_Name]],Tab_Def_Flows[Flow_Name],Tab_Def_Flows[Flow_E1_Fraction'[%']],"N.A.",0,1)</f>
        <v>0</v>
      </c>
      <c r="S44" s="9">
        <f t="shared" si="0"/>
        <v>0</v>
      </c>
      <c r="T44" s="3" t="str">
        <f>Tab_Data_Flows[[#This Row],[UoM_Source]]</f>
        <v>Mg</v>
      </c>
      <c r="U44" s="24">
        <f>_xlfn.XLOOKUP(Tab_Data_Flows[[#This Row],[Flow_Name]],Tab_Def_Flows[Flow_Name],Tab_Def_Flows[Flow_E2_Fraction'[%']],"N.A.",0,1)</f>
        <v>0</v>
      </c>
      <c r="V44" s="3">
        <f>IF(D44="Yes",S44*Tab_Data_Flows[[#This Row],[E2_Fraction'[%']]],"N.A.")</f>
        <v>0</v>
      </c>
      <c r="W44" s="3" t="str">
        <f>Tab_Data_Flows[[#This Row],[E1_UoM]]</f>
        <v>Mg</v>
      </c>
      <c r="X44" s="24">
        <f>_xlfn.XLOOKUP(Tab_Data_Flows[[#This Row],[Flow_Name]],Tab_Def_Flows[Flow_Name],Tab_Def_Flows[Flow_E3_Fraction'[%']],"N.A.",0,1)</f>
        <v>0</v>
      </c>
      <c r="Y44" s="3">
        <f>IF(E44="Yes",X44*Tab_Data_Flows[[#This Row],[E1_value]],"N.A.")</f>
        <v>0</v>
      </c>
      <c r="Z44" s="3" t="str">
        <f>Tab_Data_Flows[[#This Row],[E1_UoM]]</f>
        <v>Mg</v>
      </c>
      <c r="AA44" s="24">
        <f>_xlfn.XLOOKUP(Tab_Data_Flows[[#This Row],[Flow_Name]],Tab_Def_Flows[Flow_Name],Tab_Def_Flows[Flow_E4_Fraction'[%']],"N.A.",0,1)</f>
        <v>0</v>
      </c>
      <c r="AB44" s="3">
        <f>IF(H44="Yes",Tab_Data_Flows[[#This Row],[E4_Fraction'[%']]]*Tab_Data_Flows[[#This Row],[E1_value]],"N.A.")</f>
        <v>0</v>
      </c>
      <c r="AC44" s="3" t="str">
        <f>Tab_Data_Flows[[#This Row],[E1_UoM]]</f>
        <v>Mg</v>
      </c>
      <c r="AD44" s="24">
        <f>_xlfn.XLOOKUP(Tab_Data_Flows[[#This Row],[Flow_Name]],Tab_Def_Flows[Flow_Name],Tab_Def_Flows[Flow_E5_Fraction'[%']],"N.A.",0,1)</f>
        <v>0</v>
      </c>
      <c r="AE44" s="3">
        <f>IF(H44="Yes",Tab_Data_Flows[[#This Row],[E5_Fraction'[%']]]*Tab_Data_Flows[[#This Row],[E1_value]],"N.A.")</f>
        <v>0</v>
      </c>
      <c r="AF44" s="3" t="str">
        <f>Tab_Data_Flows[[#This Row],[E1_UoM]]</f>
        <v>Mg</v>
      </c>
      <c r="AG44" s="24">
        <f>_xlfn.XLOOKUP(Tab_Data_Flows[[#This Row],[Flow_Name]],Tab_Def_Flows[Flow_Name],Tab_Def_Flows[Flow_E6_Fraction'[%']],"N.A.",0,1)</f>
        <v>0</v>
      </c>
      <c r="AH44" s="3">
        <f>IF(Tab_Data_Flows[[#This Row],[Use_E6]]="Yes",Tab_Data_Flows[[#This Row],[E6_Fraction'[%']]]*Tab_Data_Flows[[#This Row],[E1_value]],"N.A.")</f>
        <v>0</v>
      </c>
      <c r="AI44" s="3" t="str">
        <f>Tab_Data_Flows[[#This Row],[E1_UoM]]</f>
        <v>Mg</v>
      </c>
    </row>
    <row r="45" spans="1:35" x14ac:dyDescent="0.25">
      <c r="A45" s="5">
        <f t="shared" si="1"/>
        <v>44</v>
      </c>
      <c r="B45" s="3" t="str">
        <f>_xlfn.XLOOKUP(C45,Tab_Def_Flows[Flow_Name],Tab_Def_Flows[Flow_ID],,0,)</f>
        <v>F__</v>
      </c>
      <c r="C45" s="23" t="s">
        <v>5</v>
      </c>
      <c r="D45" s="6" t="str">
        <f>_xlfn.XLOOKUP(C45,Tab_Def_Flows[Flow_Name],Tab_Def_Flows[Use_E1],,0,)</f>
        <v>Yes</v>
      </c>
      <c r="E45" s="6" t="str">
        <f>_xlfn.XLOOKUP(C45,Tab_Def_Flows[Flow_Name],Tab_Def_Flows[Use_E2],,0,)</f>
        <v>Yes</v>
      </c>
      <c r="F45" s="6" t="str">
        <f>_xlfn.XLOOKUP(C45,Tab_Def_Flows[Flow_Name],Tab_Def_Flows[Use_E3],,0,)</f>
        <v>Yes</v>
      </c>
      <c r="G45" s="6" t="str">
        <f>_xlfn.XLOOKUP(C45,Tab_Def_Flows[Flow_Name],Tab_Def_Flows[Use_E4],,0,)</f>
        <v>Yes</v>
      </c>
      <c r="H45" s="6" t="str">
        <f>_xlfn.XLOOKUP(C45,Tab_Def_Flows[Flow_Name],Tab_Def_Flows[Use_E5],,0,)</f>
        <v>Yes</v>
      </c>
      <c r="I45" s="6" t="str">
        <f>_xlfn.XLOOKUP(C45,Tab_Def_Flows[Flow_Name],Tab_Def_Flows[Use_E6],,0,)</f>
        <v>Yes</v>
      </c>
      <c r="J45" s="52"/>
      <c r="K45" s="53"/>
      <c r="L45" s="3" t="str">
        <f>'0_Configuration'!$C$41</f>
        <v>Mg</v>
      </c>
      <c r="M45" s="10"/>
      <c r="N45" s="23" t="s">
        <v>3</v>
      </c>
      <c r="O45" s="4"/>
      <c r="P45" s="4"/>
      <c r="Q45" s="10"/>
      <c r="R45" s="3">
        <f>_xlfn.XLOOKUP(Tab_Data_Flows[[#This Row],[Flow_Name]],Tab_Def_Flows[Flow_Name],Tab_Def_Flows[Flow_E1_Fraction'[%']],"N.A.",0,1)</f>
        <v>0</v>
      </c>
      <c r="S45" s="9">
        <f t="shared" si="0"/>
        <v>0</v>
      </c>
      <c r="T45" s="3" t="str">
        <f>Tab_Data_Flows[[#This Row],[UoM_Source]]</f>
        <v>Mg</v>
      </c>
      <c r="U45" s="24">
        <f>_xlfn.XLOOKUP(Tab_Data_Flows[[#This Row],[Flow_Name]],Tab_Def_Flows[Flow_Name],Tab_Def_Flows[Flow_E2_Fraction'[%']],"N.A.",0,1)</f>
        <v>0</v>
      </c>
      <c r="V45" s="3">
        <f>IF(D45="Yes",S45*Tab_Data_Flows[[#This Row],[E2_Fraction'[%']]],"N.A.")</f>
        <v>0</v>
      </c>
      <c r="W45" s="3" t="str">
        <f>Tab_Data_Flows[[#This Row],[E1_UoM]]</f>
        <v>Mg</v>
      </c>
      <c r="X45" s="24">
        <f>_xlfn.XLOOKUP(Tab_Data_Flows[[#This Row],[Flow_Name]],Tab_Def_Flows[Flow_Name],Tab_Def_Flows[Flow_E3_Fraction'[%']],"N.A.",0,1)</f>
        <v>0</v>
      </c>
      <c r="Y45" s="3">
        <f>IF(E45="Yes",X45*Tab_Data_Flows[[#This Row],[E1_value]],"N.A.")</f>
        <v>0</v>
      </c>
      <c r="Z45" s="3" t="str">
        <f>Tab_Data_Flows[[#This Row],[E1_UoM]]</f>
        <v>Mg</v>
      </c>
      <c r="AA45" s="24">
        <f>_xlfn.XLOOKUP(Tab_Data_Flows[[#This Row],[Flow_Name]],Tab_Def_Flows[Flow_Name],Tab_Def_Flows[Flow_E4_Fraction'[%']],"N.A.",0,1)</f>
        <v>0</v>
      </c>
      <c r="AB45" s="3">
        <f>IF(H45="Yes",Tab_Data_Flows[[#This Row],[E4_Fraction'[%']]]*Tab_Data_Flows[[#This Row],[E1_value]],"N.A.")</f>
        <v>0</v>
      </c>
      <c r="AC45" s="3" t="str">
        <f>Tab_Data_Flows[[#This Row],[E1_UoM]]</f>
        <v>Mg</v>
      </c>
      <c r="AD45" s="24">
        <f>_xlfn.XLOOKUP(Tab_Data_Flows[[#This Row],[Flow_Name]],Tab_Def_Flows[Flow_Name],Tab_Def_Flows[Flow_E5_Fraction'[%']],"N.A.",0,1)</f>
        <v>0</v>
      </c>
      <c r="AE45" s="3">
        <f>IF(H45="Yes",Tab_Data_Flows[[#This Row],[E5_Fraction'[%']]]*Tab_Data_Flows[[#This Row],[E1_value]],"N.A.")</f>
        <v>0</v>
      </c>
      <c r="AF45" s="3" t="str">
        <f>Tab_Data_Flows[[#This Row],[E1_UoM]]</f>
        <v>Mg</v>
      </c>
      <c r="AG45" s="24">
        <f>_xlfn.XLOOKUP(Tab_Data_Flows[[#This Row],[Flow_Name]],Tab_Def_Flows[Flow_Name],Tab_Def_Flows[Flow_E6_Fraction'[%']],"N.A.",0,1)</f>
        <v>0</v>
      </c>
      <c r="AH45" s="3">
        <f>IF(Tab_Data_Flows[[#This Row],[Use_E6]]="Yes",Tab_Data_Flows[[#This Row],[E6_Fraction'[%']]]*Tab_Data_Flows[[#This Row],[E1_value]],"N.A.")</f>
        <v>0</v>
      </c>
      <c r="AI45" s="3" t="str">
        <f>Tab_Data_Flows[[#This Row],[E1_UoM]]</f>
        <v>Mg</v>
      </c>
    </row>
    <row r="46" spans="1:35" x14ac:dyDescent="0.25">
      <c r="A46" s="5">
        <f t="shared" si="1"/>
        <v>45</v>
      </c>
      <c r="B46" s="3" t="str">
        <f>_xlfn.XLOOKUP(C46,Tab_Def_Flows[Flow_Name],Tab_Def_Flows[Flow_ID],,0,)</f>
        <v>F__</v>
      </c>
      <c r="C46" s="23" t="s">
        <v>5</v>
      </c>
      <c r="D46" s="6" t="str">
        <f>_xlfn.XLOOKUP(C46,Tab_Def_Flows[Flow_Name],Tab_Def_Flows[Use_E1],,0,)</f>
        <v>Yes</v>
      </c>
      <c r="E46" s="6" t="str">
        <f>_xlfn.XLOOKUP(C46,Tab_Def_Flows[Flow_Name],Tab_Def_Flows[Use_E2],,0,)</f>
        <v>Yes</v>
      </c>
      <c r="F46" s="6" t="str">
        <f>_xlfn.XLOOKUP(C46,Tab_Def_Flows[Flow_Name],Tab_Def_Flows[Use_E3],,0,)</f>
        <v>Yes</v>
      </c>
      <c r="G46" s="6" t="str">
        <f>_xlfn.XLOOKUP(C46,Tab_Def_Flows[Flow_Name],Tab_Def_Flows[Use_E4],,0,)</f>
        <v>Yes</v>
      </c>
      <c r="H46" s="6" t="str">
        <f>_xlfn.XLOOKUP(C46,Tab_Def_Flows[Flow_Name],Tab_Def_Flows[Use_E5],,0,)</f>
        <v>Yes</v>
      </c>
      <c r="I46" s="6" t="str">
        <f>_xlfn.XLOOKUP(C46,Tab_Def_Flows[Flow_Name],Tab_Def_Flows[Use_E6],,0,)</f>
        <v>Yes</v>
      </c>
      <c r="J46" s="52"/>
      <c r="K46" s="53"/>
      <c r="L46" s="3" t="str">
        <f>'0_Configuration'!$C$41</f>
        <v>Mg</v>
      </c>
      <c r="M46" s="10"/>
      <c r="N46" s="23" t="s">
        <v>3</v>
      </c>
      <c r="O46" s="4"/>
      <c r="P46" s="4"/>
      <c r="Q46" s="10"/>
      <c r="R46" s="3">
        <f>_xlfn.XLOOKUP(Tab_Data_Flows[[#This Row],[Flow_Name]],Tab_Def_Flows[Flow_Name],Tab_Def_Flows[Flow_E1_Fraction'[%']],"N.A.",0,1)</f>
        <v>0</v>
      </c>
      <c r="S46" s="9">
        <f t="shared" si="0"/>
        <v>0</v>
      </c>
      <c r="T46" s="3" t="str">
        <f>Tab_Data_Flows[[#This Row],[UoM_Source]]</f>
        <v>Mg</v>
      </c>
      <c r="U46" s="24">
        <f>_xlfn.XLOOKUP(Tab_Data_Flows[[#This Row],[Flow_Name]],Tab_Def_Flows[Flow_Name],Tab_Def_Flows[Flow_E2_Fraction'[%']],"N.A.",0,1)</f>
        <v>0</v>
      </c>
      <c r="V46" s="3">
        <f>IF(D46="Yes",S46*Tab_Data_Flows[[#This Row],[E2_Fraction'[%']]],"N.A.")</f>
        <v>0</v>
      </c>
      <c r="W46" s="3" t="str">
        <f>Tab_Data_Flows[[#This Row],[E1_UoM]]</f>
        <v>Mg</v>
      </c>
      <c r="X46" s="24">
        <f>_xlfn.XLOOKUP(Tab_Data_Flows[[#This Row],[Flow_Name]],Tab_Def_Flows[Flow_Name],Tab_Def_Flows[Flow_E3_Fraction'[%']],"N.A.",0,1)</f>
        <v>0</v>
      </c>
      <c r="Y46" s="3">
        <f>IF(E46="Yes",X46*Tab_Data_Flows[[#This Row],[E1_value]],"N.A.")</f>
        <v>0</v>
      </c>
      <c r="Z46" s="3" t="str">
        <f>Tab_Data_Flows[[#This Row],[E1_UoM]]</f>
        <v>Mg</v>
      </c>
      <c r="AA46" s="24">
        <f>_xlfn.XLOOKUP(Tab_Data_Flows[[#This Row],[Flow_Name]],Tab_Def_Flows[Flow_Name],Tab_Def_Flows[Flow_E4_Fraction'[%']],"N.A.",0,1)</f>
        <v>0</v>
      </c>
      <c r="AB46" s="3">
        <f>IF(H46="Yes",Tab_Data_Flows[[#This Row],[E4_Fraction'[%']]]*Tab_Data_Flows[[#This Row],[E1_value]],"N.A.")</f>
        <v>0</v>
      </c>
      <c r="AC46" s="3" t="str">
        <f>Tab_Data_Flows[[#This Row],[E1_UoM]]</f>
        <v>Mg</v>
      </c>
      <c r="AD46" s="24">
        <f>_xlfn.XLOOKUP(Tab_Data_Flows[[#This Row],[Flow_Name]],Tab_Def_Flows[Flow_Name],Tab_Def_Flows[Flow_E5_Fraction'[%']],"N.A.",0,1)</f>
        <v>0</v>
      </c>
      <c r="AE46" s="3">
        <f>IF(H46="Yes",Tab_Data_Flows[[#This Row],[E5_Fraction'[%']]]*Tab_Data_Flows[[#This Row],[E1_value]],"N.A.")</f>
        <v>0</v>
      </c>
      <c r="AF46" s="3" t="str">
        <f>Tab_Data_Flows[[#This Row],[E1_UoM]]</f>
        <v>Mg</v>
      </c>
      <c r="AG46" s="24">
        <f>_xlfn.XLOOKUP(Tab_Data_Flows[[#This Row],[Flow_Name]],Tab_Def_Flows[Flow_Name],Tab_Def_Flows[Flow_E6_Fraction'[%']],"N.A.",0,1)</f>
        <v>0</v>
      </c>
      <c r="AH46" s="3">
        <f>IF(Tab_Data_Flows[[#This Row],[Use_E6]]="Yes",Tab_Data_Flows[[#This Row],[E6_Fraction'[%']]]*Tab_Data_Flows[[#This Row],[E1_value]],"N.A.")</f>
        <v>0</v>
      </c>
      <c r="AI46" s="3" t="str">
        <f>Tab_Data_Flows[[#This Row],[E1_UoM]]</f>
        <v>Mg</v>
      </c>
    </row>
    <row r="47" spans="1:35" x14ac:dyDescent="0.25">
      <c r="A47" s="5">
        <f t="shared" si="1"/>
        <v>46</v>
      </c>
      <c r="B47" s="3" t="str">
        <f>_xlfn.XLOOKUP(C47,Tab_Def_Flows[Flow_Name],Tab_Def_Flows[Flow_ID],,0,)</f>
        <v>F__</v>
      </c>
      <c r="C47" s="23" t="s">
        <v>5</v>
      </c>
      <c r="D47" s="6" t="str">
        <f>_xlfn.XLOOKUP(C47,Tab_Def_Flows[Flow_Name],Tab_Def_Flows[Use_E1],,0,)</f>
        <v>Yes</v>
      </c>
      <c r="E47" s="6" t="str">
        <f>_xlfn.XLOOKUP(C47,Tab_Def_Flows[Flow_Name],Tab_Def_Flows[Use_E2],,0,)</f>
        <v>Yes</v>
      </c>
      <c r="F47" s="6" t="str">
        <f>_xlfn.XLOOKUP(C47,Tab_Def_Flows[Flow_Name],Tab_Def_Flows[Use_E3],,0,)</f>
        <v>Yes</v>
      </c>
      <c r="G47" s="6" t="str">
        <f>_xlfn.XLOOKUP(C47,Tab_Def_Flows[Flow_Name],Tab_Def_Flows[Use_E4],,0,)</f>
        <v>Yes</v>
      </c>
      <c r="H47" s="6" t="str">
        <f>_xlfn.XLOOKUP(C47,Tab_Def_Flows[Flow_Name],Tab_Def_Flows[Use_E5],,0,)</f>
        <v>Yes</v>
      </c>
      <c r="I47" s="6" t="str">
        <f>_xlfn.XLOOKUP(C47,Tab_Def_Flows[Flow_Name],Tab_Def_Flows[Use_E6],,0,)</f>
        <v>Yes</v>
      </c>
      <c r="J47" s="52"/>
      <c r="K47" s="53"/>
      <c r="L47" s="3" t="str">
        <f>'0_Configuration'!$C$41</f>
        <v>Mg</v>
      </c>
      <c r="M47" s="10"/>
      <c r="N47" s="23" t="s">
        <v>3</v>
      </c>
      <c r="O47" s="4"/>
      <c r="P47" s="4"/>
      <c r="Q47" s="10"/>
      <c r="R47" s="3">
        <f>_xlfn.XLOOKUP(Tab_Data_Flows[[#This Row],[Flow_Name]],Tab_Def_Flows[Flow_Name],Tab_Def_Flows[Flow_E1_Fraction'[%']],"N.A.",0,1)</f>
        <v>0</v>
      </c>
      <c r="S47" s="9">
        <f t="shared" si="0"/>
        <v>0</v>
      </c>
      <c r="T47" s="3" t="str">
        <f>Tab_Data_Flows[[#This Row],[UoM_Source]]</f>
        <v>Mg</v>
      </c>
      <c r="U47" s="24">
        <f>_xlfn.XLOOKUP(Tab_Data_Flows[[#This Row],[Flow_Name]],Tab_Def_Flows[Flow_Name],Tab_Def_Flows[Flow_E2_Fraction'[%']],"N.A.",0,1)</f>
        <v>0</v>
      </c>
      <c r="V47" s="3">
        <f>IF(D47="Yes",S47*Tab_Data_Flows[[#This Row],[E2_Fraction'[%']]],"N.A.")</f>
        <v>0</v>
      </c>
      <c r="W47" s="3" t="str">
        <f>Tab_Data_Flows[[#This Row],[E1_UoM]]</f>
        <v>Mg</v>
      </c>
      <c r="X47" s="24">
        <f>_xlfn.XLOOKUP(Tab_Data_Flows[[#This Row],[Flow_Name]],Tab_Def_Flows[Flow_Name],Tab_Def_Flows[Flow_E3_Fraction'[%']],"N.A.",0,1)</f>
        <v>0</v>
      </c>
      <c r="Y47" s="3">
        <f>IF(E47="Yes",X47*Tab_Data_Flows[[#This Row],[E1_value]],"N.A.")</f>
        <v>0</v>
      </c>
      <c r="Z47" s="3" t="str">
        <f>Tab_Data_Flows[[#This Row],[E1_UoM]]</f>
        <v>Mg</v>
      </c>
      <c r="AA47" s="24">
        <f>_xlfn.XLOOKUP(Tab_Data_Flows[[#This Row],[Flow_Name]],Tab_Def_Flows[Flow_Name],Tab_Def_Flows[Flow_E4_Fraction'[%']],"N.A.",0,1)</f>
        <v>0</v>
      </c>
      <c r="AB47" s="3">
        <f>IF(H47="Yes",Tab_Data_Flows[[#This Row],[E4_Fraction'[%']]]*Tab_Data_Flows[[#This Row],[E1_value]],"N.A.")</f>
        <v>0</v>
      </c>
      <c r="AC47" s="3" t="str">
        <f>Tab_Data_Flows[[#This Row],[E1_UoM]]</f>
        <v>Mg</v>
      </c>
      <c r="AD47" s="24">
        <f>_xlfn.XLOOKUP(Tab_Data_Flows[[#This Row],[Flow_Name]],Tab_Def_Flows[Flow_Name],Tab_Def_Flows[Flow_E5_Fraction'[%']],"N.A.",0,1)</f>
        <v>0</v>
      </c>
      <c r="AE47" s="3">
        <f>IF(H47="Yes",Tab_Data_Flows[[#This Row],[E5_Fraction'[%']]]*Tab_Data_Flows[[#This Row],[E1_value]],"N.A.")</f>
        <v>0</v>
      </c>
      <c r="AF47" s="3" t="str">
        <f>Tab_Data_Flows[[#This Row],[E1_UoM]]</f>
        <v>Mg</v>
      </c>
      <c r="AG47" s="24">
        <f>_xlfn.XLOOKUP(Tab_Data_Flows[[#This Row],[Flow_Name]],Tab_Def_Flows[Flow_Name],Tab_Def_Flows[Flow_E6_Fraction'[%']],"N.A.",0,1)</f>
        <v>0</v>
      </c>
      <c r="AH47" s="3">
        <f>IF(Tab_Data_Flows[[#This Row],[Use_E6]]="Yes",Tab_Data_Flows[[#This Row],[E6_Fraction'[%']]]*Tab_Data_Flows[[#This Row],[E1_value]],"N.A.")</f>
        <v>0</v>
      </c>
      <c r="AI47" s="3" t="str">
        <f>Tab_Data_Flows[[#This Row],[E1_UoM]]</f>
        <v>Mg</v>
      </c>
    </row>
    <row r="48" spans="1:35" x14ac:dyDescent="0.25">
      <c r="A48" s="5">
        <f t="shared" si="1"/>
        <v>47</v>
      </c>
      <c r="B48" s="3" t="str">
        <f>_xlfn.XLOOKUP(C48,Tab_Def_Flows[Flow_Name],Tab_Def_Flows[Flow_ID],,0,)</f>
        <v>F__</v>
      </c>
      <c r="C48" s="23" t="s">
        <v>5</v>
      </c>
      <c r="D48" s="6" t="str">
        <f>_xlfn.XLOOKUP(C48,Tab_Def_Flows[Flow_Name],Tab_Def_Flows[Use_E1],,0,)</f>
        <v>Yes</v>
      </c>
      <c r="E48" s="6" t="str">
        <f>_xlfn.XLOOKUP(C48,Tab_Def_Flows[Flow_Name],Tab_Def_Flows[Use_E2],,0,)</f>
        <v>Yes</v>
      </c>
      <c r="F48" s="6" t="str">
        <f>_xlfn.XLOOKUP(C48,Tab_Def_Flows[Flow_Name],Tab_Def_Flows[Use_E3],,0,)</f>
        <v>Yes</v>
      </c>
      <c r="G48" s="6" t="str">
        <f>_xlfn.XLOOKUP(C48,Tab_Def_Flows[Flow_Name],Tab_Def_Flows[Use_E4],,0,)</f>
        <v>Yes</v>
      </c>
      <c r="H48" s="6" t="str">
        <f>_xlfn.XLOOKUP(C48,Tab_Def_Flows[Flow_Name],Tab_Def_Flows[Use_E5],,0,)</f>
        <v>Yes</v>
      </c>
      <c r="I48" s="6" t="str">
        <f>_xlfn.XLOOKUP(C48,Tab_Def_Flows[Flow_Name],Tab_Def_Flows[Use_E6],,0,)</f>
        <v>Yes</v>
      </c>
      <c r="J48" s="52"/>
      <c r="K48" s="53"/>
      <c r="L48" s="3" t="str">
        <f>'0_Configuration'!$C$41</f>
        <v>Mg</v>
      </c>
      <c r="M48" s="10"/>
      <c r="N48" s="23" t="s">
        <v>3</v>
      </c>
      <c r="O48" s="4"/>
      <c r="P48" s="4"/>
      <c r="Q48" s="10"/>
      <c r="R48" s="3">
        <f>_xlfn.XLOOKUP(Tab_Data_Flows[[#This Row],[Flow_Name]],Tab_Def_Flows[Flow_Name],Tab_Def_Flows[Flow_E1_Fraction'[%']],"N.A.",0,1)</f>
        <v>0</v>
      </c>
      <c r="S48" s="9">
        <f t="shared" si="0"/>
        <v>0</v>
      </c>
      <c r="T48" s="3" t="str">
        <f>Tab_Data_Flows[[#This Row],[UoM_Source]]</f>
        <v>Mg</v>
      </c>
      <c r="U48" s="24">
        <f>_xlfn.XLOOKUP(Tab_Data_Flows[[#This Row],[Flow_Name]],Tab_Def_Flows[Flow_Name],Tab_Def_Flows[Flow_E2_Fraction'[%']],"N.A.",0,1)</f>
        <v>0</v>
      </c>
      <c r="V48" s="3">
        <f>IF(D48="Yes",S48*Tab_Data_Flows[[#This Row],[E2_Fraction'[%']]],"N.A.")</f>
        <v>0</v>
      </c>
      <c r="W48" s="3" t="str">
        <f>Tab_Data_Flows[[#This Row],[E1_UoM]]</f>
        <v>Mg</v>
      </c>
      <c r="X48" s="24">
        <f>_xlfn.XLOOKUP(Tab_Data_Flows[[#This Row],[Flow_Name]],Tab_Def_Flows[Flow_Name],Tab_Def_Flows[Flow_E3_Fraction'[%']],"N.A.",0,1)</f>
        <v>0</v>
      </c>
      <c r="Y48" s="3">
        <f>IF(E48="Yes",X48*Tab_Data_Flows[[#This Row],[E1_value]],"N.A.")</f>
        <v>0</v>
      </c>
      <c r="Z48" s="3" t="str">
        <f>Tab_Data_Flows[[#This Row],[E1_UoM]]</f>
        <v>Mg</v>
      </c>
      <c r="AA48" s="24">
        <f>_xlfn.XLOOKUP(Tab_Data_Flows[[#This Row],[Flow_Name]],Tab_Def_Flows[Flow_Name],Tab_Def_Flows[Flow_E4_Fraction'[%']],"N.A.",0,1)</f>
        <v>0</v>
      </c>
      <c r="AB48" s="3">
        <f>IF(H48="Yes",Tab_Data_Flows[[#This Row],[E4_Fraction'[%']]]*Tab_Data_Flows[[#This Row],[E1_value]],"N.A.")</f>
        <v>0</v>
      </c>
      <c r="AC48" s="3" t="str">
        <f>Tab_Data_Flows[[#This Row],[E1_UoM]]</f>
        <v>Mg</v>
      </c>
      <c r="AD48" s="24">
        <f>_xlfn.XLOOKUP(Tab_Data_Flows[[#This Row],[Flow_Name]],Tab_Def_Flows[Flow_Name],Tab_Def_Flows[Flow_E5_Fraction'[%']],"N.A.",0,1)</f>
        <v>0</v>
      </c>
      <c r="AE48" s="3">
        <f>IF(H48="Yes",Tab_Data_Flows[[#This Row],[E5_Fraction'[%']]]*Tab_Data_Flows[[#This Row],[E1_value]],"N.A.")</f>
        <v>0</v>
      </c>
      <c r="AF48" s="3" t="str">
        <f>Tab_Data_Flows[[#This Row],[E1_UoM]]</f>
        <v>Mg</v>
      </c>
      <c r="AG48" s="24">
        <f>_xlfn.XLOOKUP(Tab_Data_Flows[[#This Row],[Flow_Name]],Tab_Def_Flows[Flow_Name],Tab_Def_Flows[Flow_E6_Fraction'[%']],"N.A.",0,1)</f>
        <v>0</v>
      </c>
      <c r="AH48" s="3">
        <f>IF(Tab_Data_Flows[[#This Row],[Use_E6]]="Yes",Tab_Data_Flows[[#This Row],[E6_Fraction'[%']]]*Tab_Data_Flows[[#This Row],[E1_value]],"N.A.")</f>
        <v>0</v>
      </c>
      <c r="AI48" s="3" t="str">
        <f>Tab_Data_Flows[[#This Row],[E1_UoM]]</f>
        <v>Mg</v>
      </c>
    </row>
    <row r="49" spans="1:35" x14ac:dyDescent="0.25">
      <c r="A49" s="5">
        <f t="shared" si="1"/>
        <v>48</v>
      </c>
      <c r="B49" s="3" t="str">
        <f>_xlfn.XLOOKUP(C49,Tab_Def_Flows[Flow_Name],Tab_Def_Flows[Flow_ID],,0,)</f>
        <v>F__</v>
      </c>
      <c r="C49" s="23" t="s">
        <v>5</v>
      </c>
      <c r="D49" s="6" t="str">
        <f>_xlfn.XLOOKUP(C49,Tab_Def_Flows[Flow_Name],Tab_Def_Flows[Use_E1],,0,)</f>
        <v>Yes</v>
      </c>
      <c r="E49" s="6" t="str">
        <f>_xlfn.XLOOKUP(C49,Tab_Def_Flows[Flow_Name],Tab_Def_Flows[Use_E2],,0,)</f>
        <v>Yes</v>
      </c>
      <c r="F49" s="6" t="str">
        <f>_xlfn.XLOOKUP(C49,Tab_Def_Flows[Flow_Name],Tab_Def_Flows[Use_E3],,0,)</f>
        <v>Yes</v>
      </c>
      <c r="G49" s="6" t="str">
        <f>_xlfn.XLOOKUP(C49,Tab_Def_Flows[Flow_Name],Tab_Def_Flows[Use_E4],,0,)</f>
        <v>Yes</v>
      </c>
      <c r="H49" s="6" t="str">
        <f>_xlfn.XLOOKUP(C49,Tab_Def_Flows[Flow_Name],Tab_Def_Flows[Use_E5],,0,)</f>
        <v>Yes</v>
      </c>
      <c r="I49" s="6" t="str">
        <f>_xlfn.XLOOKUP(C49,Tab_Def_Flows[Flow_Name],Tab_Def_Flows[Use_E6],,0,)</f>
        <v>Yes</v>
      </c>
      <c r="J49" s="52"/>
      <c r="K49" s="53"/>
      <c r="L49" s="3" t="str">
        <f>'0_Configuration'!$C$41</f>
        <v>Mg</v>
      </c>
      <c r="M49" s="10"/>
      <c r="N49" s="23" t="s">
        <v>3</v>
      </c>
      <c r="O49" s="4"/>
      <c r="P49" s="4"/>
      <c r="Q49" s="10"/>
      <c r="R49" s="3">
        <f>_xlfn.XLOOKUP(Tab_Data_Flows[[#This Row],[Flow_Name]],Tab_Def_Flows[Flow_Name],Tab_Def_Flows[Flow_E1_Fraction'[%']],"N.A.",0,1)</f>
        <v>0</v>
      </c>
      <c r="S49" s="9">
        <f t="shared" si="0"/>
        <v>0</v>
      </c>
      <c r="T49" s="3" t="str">
        <f>Tab_Data_Flows[[#This Row],[UoM_Source]]</f>
        <v>Mg</v>
      </c>
      <c r="U49" s="24">
        <f>_xlfn.XLOOKUP(Tab_Data_Flows[[#This Row],[Flow_Name]],Tab_Def_Flows[Flow_Name],Tab_Def_Flows[Flow_E2_Fraction'[%']],"N.A.",0,1)</f>
        <v>0</v>
      </c>
      <c r="V49" s="3">
        <f>IF(D49="Yes",S49*Tab_Data_Flows[[#This Row],[E2_Fraction'[%']]],"N.A.")</f>
        <v>0</v>
      </c>
      <c r="W49" s="3" t="str">
        <f>Tab_Data_Flows[[#This Row],[E1_UoM]]</f>
        <v>Mg</v>
      </c>
      <c r="X49" s="24">
        <f>_xlfn.XLOOKUP(Tab_Data_Flows[[#This Row],[Flow_Name]],Tab_Def_Flows[Flow_Name],Tab_Def_Flows[Flow_E3_Fraction'[%']],"N.A.",0,1)</f>
        <v>0</v>
      </c>
      <c r="Y49" s="3">
        <f>IF(E49="Yes",X49*Tab_Data_Flows[[#This Row],[E1_value]],"N.A.")</f>
        <v>0</v>
      </c>
      <c r="Z49" s="3" t="str">
        <f>Tab_Data_Flows[[#This Row],[E1_UoM]]</f>
        <v>Mg</v>
      </c>
      <c r="AA49" s="24">
        <f>_xlfn.XLOOKUP(Tab_Data_Flows[[#This Row],[Flow_Name]],Tab_Def_Flows[Flow_Name],Tab_Def_Flows[Flow_E4_Fraction'[%']],"N.A.",0,1)</f>
        <v>0</v>
      </c>
      <c r="AB49" s="3">
        <f>IF(H49="Yes",Tab_Data_Flows[[#This Row],[E4_Fraction'[%']]]*Tab_Data_Flows[[#This Row],[E1_value]],"N.A.")</f>
        <v>0</v>
      </c>
      <c r="AC49" s="3" t="str">
        <f>Tab_Data_Flows[[#This Row],[E1_UoM]]</f>
        <v>Mg</v>
      </c>
      <c r="AD49" s="24">
        <f>_xlfn.XLOOKUP(Tab_Data_Flows[[#This Row],[Flow_Name]],Tab_Def_Flows[Flow_Name],Tab_Def_Flows[Flow_E5_Fraction'[%']],"N.A.",0,1)</f>
        <v>0</v>
      </c>
      <c r="AE49" s="3">
        <f>IF(H49="Yes",Tab_Data_Flows[[#This Row],[E5_Fraction'[%']]]*Tab_Data_Flows[[#This Row],[E1_value]],"N.A.")</f>
        <v>0</v>
      </c>
      <c r="AF49" s="3" t="str">
        <f>Tab_Data_Flows[[#This Row],[E1_UoM]]</f>
        <v>Mg</v>
      </c>
      <c r="AG49" s="24">
        <f>_xlfn.XLOOKUP(Tab_Data_Flows[[#This Row],[Flow_Name]],Tab_Def_Flows[Flow_Name],Tab_Def_Flows[Flow_E6_Fraction'[%']],"N.A.",0,1)</f>
        <v>0</v>
      </c>
      <c r="AH49" s="3">
        <f>IF(Tab_Data_Flows[[#This Row],[Use_E6]]="Yes",Tab_Data_Flows[[#This Row],[E6_Fraction'[%']]]*Tab_Data_Flows[[#This Row],[E1_value]],"N.A.")</f>
        <v>0</v>
      </c>
      <c r="AI49" s="3" t="str">
        <f>Tab_Data_Flows[[#This Row],[E1_UoM]]</f>
        <v>Mg</v>
      </c>
    </row>
    <row r="50" spans="1:35" x14ac:dyDescent="0.25">
      <c r="A50" s="5">
        <f t="shared" si="1"/>
        <v>49</v>
      </c>
      <c r="B50" s="3" t="str">
        <f>_xlfn.XLOOKUP(C50,Tab_Def_Flows[Flow_Name],Tab_Def_Flows[Flow_ID],,0,)</f>
        <v>F__</v>
      </c>
      <c r="C50" s="23" t="s">
        <v>5</v>
      </c>
      <c r="D50" s="6" t="str">
        <f>_xlfn.XLOOKUP(C50,Tab_Def_Flows[Flow_Name],Tab_Def_Flows[Use_E1],,0,)</f>
        <v>Yes</v>
      </c>
      <c r="E50" s="6" t="str">
        <f>_xlfn.XLOOKUP(C50,Tab_Def_Flows[Flow_Name],Tab_Def_Flows[Use_E2],,0,)</f>
        <v>Yes</v>
      </c>
      <c r="F50" s="6" t="str">
        <f>_xlfn.XLOOKUP(C50,Tab_Def_Flows[Flow_Name],Tab_Def_Flows[Use_E3],,0,)</f>
        <v>Yes</v>
      </c>
      <c r="G50" s="6" t="str">
        <f>_xlfn.XLOOKUP(C50,Tab_Def_Flows[Flow_Name],Tab_Def_Flows[Use_E4],,0,)</f>
        <v>Yes</v>
      </c>
      <c r="H50" s="6" t="str">
        <f>_xlfn.XLOOKUP(C50,Tab_Def_Flows[Flow_Name],Tab_Def_Flows[Use_E5],,0,)</f>
        <v>Yes</v>
      </c>
      <c r="I50" s="6" t="str">
        <f>_xlfn.XLOOKUP(C50,Tab_Def_Flows[Flow_Name],Tab_Def_Flows[Use_E6],,0,)</f>
        <v>Yes</v>
      </c>
      <c r="J50" s="52"/>
      <c r="K50" s="53"/>
      <c r="L50" s="3" t="str">
        <f>'0_Configuration'!$C$41</f>
        <v>Mg</v>
      </c>
      <c r="M50" s="10"/>
      <c r="N50" s="23" t="s">
        <v>3</v>
      </c>
      <c r="O50" s="4"/>
      <c r="P50" s="4"/>
      <c r="Q50" s="10"/>
      <c r="R50" s="3">
        <f>_xlfn.XLOOKUP(Tab_Data_Flows[[#This Row],[Flow_Name]],Tab_Def_Flows[Flow_Name],Tab_Def_Flows[Flow_E1_Fraction'[%']],"N.A.",0,1)</f>
        <v>0</v>
      </c>
      <c r="S50" s="9">
        <f t="shared" si="0"/>
        <v>0</v>
      </c>
      <c r="T50" s="3" t="str">
        <f>Tab_Data_Flows[[#This Row],[UoM_Source]]</f>
        <v>Mg</v>
      </c>
      <c r="U50" s="24">
        <f>_xlfn.XLOOKUP(Tab_Data_Flows[[#This Row],[Flow_Name]],Tab_Def_Flows[Flow_Name],Tab_Def_Flows[Flow_E2_Fraction'[%']],"N.A.",0,1)</f>
        <v>0</v>
      </c>
      <c r="V50" s="3">
        <f>IF(D50="Yes",S50*Tab_Data_Flows[[#This Row],[E2_Fraction'[%']]],"N.A.")</f>
        <v>0</v>
      </c>
      <c r="W50" s="3" t="str">
        <f>Tab_Data_Flows[[#This Row],[E1_UoM]]</f>
        <v>Mg</v>
      </c>
      <c r="X50" s="24">
        <f>_xlfn.XLOOKUP(Tab_Data_Flows[[#This Row],[Flow_Name]],Tab_Def_Flows[Flow_Name],Tab_Def_Flows[Flow_E3_Fraction'[%']],"N.A.",0,1)</f>
        <v>0</v>
      </c>
      <c r="Y50" s="3">
        <f>IF(E50="Yes",X50*Tab_Data_Flows[[#This Row],[E1_value]],"N.A.")</f>
        <v>0</v>
      </c>
      <c r="Z50" s="3" t="str">
        <f>Tab_Data_Flows[[#This Row],[E1_UoM]]</f>
        <v>Mg</v>
      </c>
      <c r="AA50" s="24">
        <f>_xlfn.XLOOKUP(Tab_Data_Flows[[#This Row],[Flow_Name]],Tab_Def_Flows[Flow_Name],Tab_Def_Flows[Flow_E4_Fraction'[%']],"N.A.",0,1)</f>
        <v>0</v>
      </c>
      <c r="AB50" s="3">
        <f>IF(H50="Yes",Tab_Data_Flows[[#This Row],[E4_Fraction'[%']]]*Tab_Data_Flows[[#This Row],[E1_value]],"N.A.")</f>
        <v>0</v>
      </c>
      <c r="AC50" s="3" t="str">
        <f>Tab_Data_Flows[[#This Row],[E1_UoM]]</f>
        <v>Mg</v>
      </c>
      <c r="AD50" s="24">
        <f>_xlfn.XLOOKUP(Tab_Data_Flows[[#This Row],[Flow_Name]],Tab_Def_Flows[Flow_Name],Tab_Def_Flows[Flow_E5_Fraction'[%']],"N.A.",0,1)</f>
        <v>0</v>
      </c>
      <c r="AE50" s="3">
        <f>IF(H50="Yes",Tab_Data_Flows[[#This Row],[E5_Fraction'[%']]]*Tab_Data_Flows[[#This Row],[E1_value]],"N.A.")</f>
        <v>0</v>
      </c>
      <c r="AF50" s="3" t="str">
        <f>Tab_Data_Flows[[#This Row],[E1_UoM]]</f>
        <v>Mg</v>
      </c>
      <c r="AG50" s="24">
        <f>_xlfn.XLOOKUP(Tab_Data_Flows[[#This Row],[Flow_Name]],Tab_Def_Flows[Flow_Name],Tab_Def_Flows[Flow_E6_Fraction'[%']],"N.A.",0,1)</f>
        <v>0</v>
      </c>
      <c r="AH50" s="3">
        <f>IF(Tab_Data_Flows[[#This Row],[Use_E6]]="Yes",Tab_Data_Flows[[#This Row],[E6_Fraction'[%']]]*Tab_Data_Flows[[#This Row],[E1_value]],"N.A.")</f>
        <v>0</v>
      </c>
      <c r="AI50" s="3" t="str">
        <f>Tab_Data_Flows[[#This Row],[E1_UoM]]</f>
        <v>Mg</v>
      </c>
    </row>
    <row r="51" spans="1:35" x14ac:dyDescent="0.25">
      <c r="A51" s="5">
        <f t="shared" si="1"/>
        <v>50</v>
      </c>
      <c r="B51" s="3" t="str">
        <f>_xlfn.XLOOKUP(C51,Tab_Def_Flows[Flow_Name],Tab_Def_Flows[Flow_ID],,0,)</f>
        <v>F__</v>
      </c>
      <c r="C51" s="23" t="s">
        <v>5</v>
      </c>
      <c r="D51" s="6" t="str">
        <f>_xlfn.XLOOKUP(C51,Tab_Def_Flows[Flow_Name],Tab_Def_Flows[Use_E1],,0,)</f>
        <v>Yes</v>
      </c>
      <c r="E51" s="6" t="str">
        <f>_xlfn.XLOOKUP(C51,Tab_Def_Flows[Flow_Name],Tab_Def_Flows[Use_E2],,0,)</f>
        <v>Yes</v>
      </c>
      <c r="F51" s="6" t="str">
        <f>_xlfn.XLOOKUP(C51,Tab_Def_Flows[Flow_Name],Tab_Def_Flows[Use_E3],,0,)</f>
        <v>Yes</v>
      </c>
      <c r="G51" s="6" t="str">
        <f>_xlfn.XLOOKUP(C51,Tab_Def_Flows[Flow_Name],Tab_Def_Flows[Use_E4],,0,)</f>
        <v>Yes</v>
      </c>
      <c r="H51" s="6" t="str">
        <f>_xlfn.XLOOKUP(C51,Tab_Def_Flows[Flow_Name],Tab_Def_Flows[Use_E5],,0,)</f>
        <v>Yes</v>
      </c>
      <c r="I51" s="6" t="str">
        <f>_xlfn.XLOOKUP(C51,Tab_Def_Flows[Flow_Name],Tab_Def_Flows[Use_E6],,0,)</f>
        <v>Yes</v>
      </c>
      <c r="J51" s="52"/>
      <c r="K51" s="53"/>
      <c r="L51" s="3" t="str">
        <f>'0_Configuration'!$C$41</f>
        <v>Mg</v>
      </c>
      <c r="M51" s="10"/>
      <c r="N51" s="23" t="s">
        <v>3</v>
      </c>
      <c r="O51" s="4"/>
      <c r="P51" s="4"/>
      <c r="Q51" s="10"/>
      <c r="R51" s="3">
        <f>_xlfn.XLOOKUP(Tab_Data_Flows[[#This Row],[Flow_Name]],Tab_Def_Flows[Flow_Name],Tab_Def_Flows[Flow_E1_Fraction'[%']],"N.A.",0,1)</f>
        <v>0</v>
      </c>
      <c r="S51" s="9">
        <f t="shared" si="0"/>
        <v>0</v>
      </c>
      <c r="T51" s="3" t="str">
        <f>Tab_Data_Flows[[#This Row],[UoM_Source]]</f>
        <v>Mg</v>
      </c>
      <c r="U51" s="24">
        <f>_xlfn.XLOOKUP(Tab_Data_Flows[[#This Row],[Flow_Name]],Tab_Def_Flows[Flow_Name],Tab_Def_Flows[Flow_E2_Fraction'[%']],"N.A.",0,1)</f>
        <v>0</v>
      </c>
      <c r="V51" s="3">
        <f>IF(D51="Yes",S51*Tab_Data_Flows[[#This Row],[E2_Fraction'[%']]],"N.A.")</f>
        <v>0</v>
      </c>
      <c r="W51" s="3" t="str">
        <f>Tab_Data_Flows[[#This Row],[E1_UoM]]</f>
        <v>Mg</v>
      </c>
      <c r="X51" s="24">
        <f>_xlfn.XLOOKUP(Tab_Data_Flows[[#This Row],[Flow_Name]],Tab_Def_Flows[Flow_Name],Tab_Def_Flows[Flow_E3_Fraction'[%']],"N.A.",0,1)</f>
        <v>0</v>
      </c>
      <c r="Y51" s="3">
        <f>IF(E51="Yes",X51*Tab_Data_Flows[[#This Row],[E1_value]],"N.A.")</f>
        <v>0</v>
      </c>
      <c r="Z51" s="3" t="str">
        <f>Tab_Data_Flows[[#This Row],[E1_UoM]]</f>
        <v>Mg</v>
      </c>
      <c r="AA51" s="24">
        <f>_xlfn.XLOOKUP(Tab_Data_Flows[[#This Row],[Flow_Name]],Tab_Def_Flows[Flow_Name],Tab_Def_Flows[Flow_E4_Fraction'[%']],"N.A.",0,1)</f>
        <v>0</v>
      </c>
      <c r="AB51" s="3">
        <f>IF(H51="Yes",Tab_Data_Flows[[#This Row],[E4_Fraction'[%']]]*Tab_Data_Flows[[#This Row],[E1_value]],"N.A.")</f>
        <v>0</v>
      </c>
      <c r="AC51" s="3" t="str">
        <f>Tab_Data_Flows[[#This Row],[E1_UoM]]</f>
        <v>Mg</v>
      </c>
      <c r="AD51" s="24">
        <f>_xlfn.XLOOKUP(Tab_Data_Flows[[#This Row],[Flow_Name]],Tab_Def_Flows[Flow_Name],Tab_Def_Flows[Flow_E5_Fraction'[%']],"N.A.",0,1)</f>
        <v>0</v>
      </c>
      <c r="AE51" s="3">
        <f>IF(H51="Yes",Tab_Data_Flows[[#This Row],[E5_Fraction'[%']]]*Tab_Data_Flows[[#This Row],[E1_value]],"N.A.")</f>
        <v>0</v>
      </c>
      <c r="AF51" s="3" t="str">
        <f>Tab_Data_Flows[[#This Row],[E1_UoM]]</f>
        <v>Mg</v>
      </c>
      <c r="AG51" s="24">
        <f>_xlfn.XLOOKUP(Tab_Data_Flows[[#This Row],[Flow_Name]],Tab_Def_Flows[Flow_Name],Tab_Def_Flows[Flow_E6_Fraction'[%']],"N.A.",0,1)</f>
        <v>0</v>
      </c>
      <c r="AH51" s="3">
        <f>IF(Tab_Data_Flows[[#This Row],[Use_E6]]="Yes",Tab_Data_Flows[[#This Row],[E6_Fraction'[%']]]*Tab_Data_Flows[[#This Row],[E1_value]],"N.A.")</f>
        <v>0</v>
      </c>
      <c r="AI51" s="3" t="str">
        <f>Tab_Data_Flows[[#This Row],[E1_UoM]]</f>
        <v>Mg</v>
      </c>
    </row>
    <row r="52" spans="1:35" x14ac:dyDescent="0.25">
      <c r="A52" s="5">
        <f t="shared" si="1"/>
        <v>51</v>
      </c>
      <c r="B52" s="3" t="str">
        <f>_xlfn.XLOOKUP(C52,Tab_Def_Flows[Flow_Name],Tab_Def_Flows[Flow_ID],,0,)</f>
        <v>F__</v>
      </c>
      <c r="C52" s="23" t="s">
        <v>5</v>
      </c>
      <c r="D52" s="6" t="str">
        <f>_xlfn.XLOOKUP(C52,Tab_Def_Flows[Flow_Name],Tab_Def_Flows[Use_E1],,0,)</f>
        <v>Yes</v>
      </c>
      <c r="E52" s="6" t="str">
        <f>_xlfn.XLOOKUP(C52,Tab_Def_Flows[Flow_Name],Tab_Def_Flows[Use_E2],,0,)</f>
        <v>Yes</v>
      </c>
      <c r="F52" s="6" t="str">
        <f>_xlfn.XLOOKUP(C52,Tab_Def_Flows[Flow_Name],Tab_Def_Flows[Use_E3],,0,)</f>
        <v>Yes</v>
      </c>
      <c r="G52" s="6" t="str">
        <f>_xlfn.XLOOKUP(C52,Tab_Def_Flows[Flow_Name],Tab_Def_Flows[Use_E4],,0,)</f>
        <v>Yes</v>
      </c>
      <c r="H52" s="6" t="str">
        <f>_xlfn.XLOOKUP(C52,Tab_Def_Flows[Flow_Name],Tab_Def_Flows[Use_E5],,0,)</f>
        <v>Yes</v>
      </c>
      <c r="I52" s="6" t="str">
        <f>_xlfn.XLOOKUP(C52,Tab_Def_Flows[Flow_Name],Tab_Def_Flows[Use_E6],,0,)</f>
        <v>Yes</v>
      </c>
      <c r="J52" s="52"/>
      <c r="K52" s="53"/>
      <c r="L52" s="3" t="str">
        <f>'0_Configuration'!$C$41</f>
        <v>Mg</v>
      </c>
      <c r="M52" s="10"/>
      <c r="N52" s="23" t="s">
        <v>3</v>
      </c>
      <c r="O52" s="4"/>
      <c r="P52" s="4"/>
      <c r="Q52" s="10"/>
      <c r="R52" s="3">
        <f>_xlfn.XLOOKUP(Tab_Data_Flows[[#This Row],[Flow_Name]],Tab_Def_Flows[Flow_Name],Tab_Def_Flows[Flow_E1_Fraction'[%']],"N.A.",0,1)</f>
        <v>0</v>
      </c>
      <c r="S52" s="9">
        <f t="shared" si="0"/>
        <v>0</v>
      </c>
      <c r="T52" s="3" t="str">
        <f>Tab_Data_Flows[[#This Row],[UoM_Source]]</f>
        <v>Mg</v>
      </c>
      <c r="U52" s="24">
        <f>_xlfn.XLOOKUP(Tab_Data_Flows[[#This Row],[Flow_Name]],Tab_Def_Flows[Flow_Name],Tab_Def_Flows[Flow_E2_Fraction'[%']],"N.A.",0,1)</f>
        <v>0</v>
      </c>
      <c r="V52" s="3">
        <f>IF(D52="Yes",S52*Tab_Data_Flows[[#This Row],[E2_Fraction'[%']]],"N.A.")</f>
        <v>0</v>
      </c>
      <c r="W52" s="3" t="str">
        <f>Tab_Data_Flows[[#This Row],[E1_UoM]]</f>
        <v>Mg</v>
      </c>
      <c r="X52" s="24">
        <f>_xlfn.XLOOKUP(Tab_Data_Flows[[#This Row],[Flow_Name]],Tab_Def_Flows[Flow_Name],Tab_Def_Flows[Flow_E3_Fraction'[%']],"N.A.",0,1)</f>
        <v>0</v>
      </c>
      <c r="Y52" s="3">
        <f>IF(E52="Yes",X52*Tab_Data_Flows[[#This Row],[E1_value]],"N.A.")</f>
        <v>0</v>
      </c>
      <c r="Z52" s="3" t="str">
        <f>Tab_Data_Flows[[#This Row],[E1_UoM]]</f>
        <v>Mg</v>
      </c>
      <c r="AA52" s="24">
        <f>_xlfn.XLOOKUP(Tab_Data_Flows[[#This Row],[Flow_Name]],Tab_Def_Flows[Flow_Name],Tab_Def_Flows[Flow_E4_Fraction'[%']],"N.A.",0,1)</f>
        <v>0</v>
      </c>
      <c r="AB52" s="3">
        <f>IF(H52="Yes",Tab_Data_Flows[[#This Row],[E4_Fraction'[%']]]*Tab_Data_Flows[[#This Row],[E1_value]],"N.A.")</f>
        <v>0</v>
      </c>
      <c r="AC52" s="3" t="str">
        <f>Tab_Data_Flows[[#This Row],[E1_UoM]]</f>
        <v>Mg</v>
      </c>
      <c r="AD52" s="24">
        <f>_xlfn.XLOOKUP(Tab_Data_Flows[[#This Row],[Flow_Name]],Tab_Def_Flows[Flow_Name],Tab_Def_Flows[Flow_E5_Fraction'[%']],"N.A.",0,1)</f>
        <v>0</v>
      </c>
      <c r="AE52" s="3">
        <f>IF(H52="Yes",Tab_Data_Flows[[#This Row],[E5_Fraction'[%']]]*Tab_Data_Flows[[#This Row],[E1_value]],"N.A.")</f>
        <v>0</v>
      </c>
      <c r="AF52" s="3" t="str">
        <f>Tab_Data_Flows[[#This Row],[E1_UoM]]</f>
        <v>Mg</v>
      </c>
      <c r="AG52" s="24">
        <f>_xlfn.XLOOKUP(Tab_Data_Flows[[#This Row],[Flow_Name]],Tab_Def_Flows[Flow_Name],Tab_Def_Flows[Flow_E6_Fraction'[%']],"N.A.",0,1)</f>
        <v>0</v>
      </c>
      <c r="AH52" s="3">
        <f>IF(Tab_Data_Flows[[#This Row],[Use_E6]]="Yes",Tab_Data_Flows[[#This Row],[E6_Fraction'[%']]]*Tab_Data_Flows[[#This Row],[E1_value]],"N.A.")</f>
        <v>0</v>
      </c>
      <c r="AI52" s="3" t="str">
        <f>Tab_Data_Flows[[#This Row],[E1_UoM]]</f>
        <v>Mg</v>
      </c>
    </row>
    <row r="53" spans="1:35" x14ac:dyDescent="0.25">
      <c r="A53" s="5">
        <f t="shared" si="1"/>
        <v>52</v>
      </c>
      <c r="B53" s="3" t="str">
        <f>_xlfn.XLOOKUP(C53,Tab_Def_Flows[Flow_Name],Tab_Def_Flows[Flow_ID],,0,)</f>
        <v>F__</v>
      </c>
      <c r="C53" s="23" t="s">
        <v>5</v>
      </c>
      <c r="D53" s="6" t="str">
        <f>_xlfn.XLOOKUP(C53,Tab_Def_Flows[Flow_Name],Tab_Def_Flows[Use_E1],,0,)</f>
        <v>Yes</v>
      </c>
      <c r="E53" s="6" t="str">
        <f>_xlfn.XLOOKUP(C53,Tab_Def_Flows[Flow_Name],Tab_Def_Flows[Use_E2],,0,)</f>
        <v>Yes</v>
      </c>
      <c r="F53" s="6" t="str">
        <f>_xlfn.XLOOKUP(C53,Tab_Def_Flows[Flow_Name],Tab_Def_Flows[Use_E3],,0,)</f>
        <v>Yes</v>
      </c>
      <c r="G53" s="6" t="str">
        <f>_xlfn.XLOOKUP(C53,Tab_Def_Flows[Flow_Name],Tab_Def_Flows[Use_E4],,0,)</f>
        <v>Yes</v>
      </c>
      <c r="H53" s="6" t="str">
        <f>_xlfn.XLOOKUP(C53,Tab_Def_Flows[Flow_Name],Tab_Def_Flows[Use_E5],,0,)</f>
        <v>Yes</v>
      </c>
      <c r="I53" s="6" t="str">
        <f>_xlfn.XLOOKUP(C53,Tab_Def_Flows[Flow_Name],Tab_Def_Flows[Use_E6],,0,)</f>
        <v>Yes</v>
      </c>
      <c r="J53" s="52"/>
      <c r="K53" s="53"/>
      <c r="L53" s="3" t="str">
        <f>'0_Configuration'!$C$41</f>
        <v>Mg</v>
      </c>
      <c r="M53" s="10"/>
      <c r="N53" s="23" t="s">
        <v>3</v>
      </c>
      <c r="O53" s="4"/>
      <c r="P53" s="4"/>
      <c r="Q53" s="10"/>
      <c r="R53" s="3">
        <f>_xlfn.XLOOKUP(Tab_Data_Flows[[#This Row],[Flow_Name]],Tab_Def_Flows[Flow_Name],Tab_Def_Flows[Flow_E1_Fraction'[%']],"N.A.",0,1)</f>
        <v>0</v>
      </c>
      <c r="S53" s="9">
        <f t="shared" si="0"/>
        <v>0</v>
      </c>
      <c r="T53" s="3" t="str">
        <f>Tab_Data_Flows[[#This Row],[UoM_Source]]</f>
        <v>Mg</v>
      </c>
      <c r="U53" s="24">
        <f>_xlfn.XLOOKUP(Tab_Data_Flows[[#This Row],[Flow_Name]],Tab_Def_Flows[Flow_Name],Tab_Def_Flows[Flow_E2_Fraction'[%']],"N.A.",0,1)</f>
        <v>0</v>
      </c>
      <c r="V53" s="3">
        <f>IF(D53="Yes",S53*Tab_Data_Flows[[#This Row],[E2_Fraction'[%']]],"N.A.")</f>
        <v>0</v>
      </c>
      <c r="W53" s="3" t="str">
        <f>Tab_Data_Flows[[#This Row],[E1_UoM]]</f>
        <v>Mg</v>
      </c>
      <c r="X53" s="24">
        <f>_xlfn.XLOOKUP(Tab_Data_Flows[[#This Row],[Flow_Name]],Tab_Def_Flows[Flow_Name],Tab_Def_Flows[Flow_E3_Fraction'[%']],"N.A.",0,1)</f>
        <v>0</v>
      </c>
      <c r="Y53" s="3">
        <f>IF(E53="Yes",X53*Tab_Data_Flows[[#This Row],[E1_value]],"N.A.")</f>
        <v>0</v>
      </c>
      <c r="Z53" s="3" t="str">
        <f>Tab_Data_Flows[[#This Row],[E1_UoM]]</f>
        <v>Mg</v>
      </c>
      <c r="AA53" s="24">
        <f>_xlfn.XLOOKUP(Tab_Data_Flows[[#This Row],[Flow_Name]],Tab_Def_Flows[Flow_Name],Tab_Def_Flows[Flow_E4_Fraction'[%']],"N.A.",0,1)</f>
        <v>0</v>
      </c>
      <c r="AB53" s="3">
        <f>IF(H53="Yes",Tab_Data_Flows[[#This Row],[E4_Fraction'[%']]]*Tab_Data_Flows[[#This Row],[E1_value]],"N.A.")</f>
        <v>0</v>
      </c>
      <c r="AC53" s="3" t="str">
        <f>Tab_Data_Flows[[#This Row],[E1_UoM]]</f>
        <v>Mg</v>
      </c>
      <c r="AD53" s="24">
        <f>_xlfn.XLOOKUP(Tab_Data_Flows[[#This Row],[Flow_Name]],Tab_Def_Flows[Flow_Name],Tab_Def_Flows[Flow_E5_Fraction'[%']],"N.A.",0,1)</f>
        <v>0</v>
      </c>
      <c r="AE53" s="3">
        <f>IF(H53="Yes",Tab_Data_Flows[[#This Row],[E5_Fraction'[%']]]*Tab_Data_Flows[[#This Row],[E1_value]],"N.A.")</f>
        <v>0</v>
      </c>
      <c r="AF53" s="3" t="str">
        <f>Tab_Data_Flows[[#This Row],[E1_UoM]]</f>
        <v>Mg</v>
      </c>
      <c r="AG53" s="24">
        <f>_xlfn.XLOOKUP(Tab_Data_Flows[[#This Row],[Flow_Name]],Tab_Def_Flows[Flow_Name],Tab_Def_Flows[Flow_E6_Fraction'[%']],"N.A.",0,1)</f>
        <v>0</v>
      </c>
      <c r="AH53" s="3">
        <f>IF(Tab_Data_Flows[[#This Row],[Use_E6]]="Yes",Tab_Data_Flows[[#This Row],[E6_Fraction'[%']]]*Tab_Data_Flows[[#This Row],[E1_value]],"N.A.")</f>
        <v>0</v>
      </c>
      <c r="AI53" s="3" t="str">
        <f>Tab_Data_Flows[[#This Row],[E1_UoM]]</f>
        <v>Mg</v>
      </c>
    </row>
    <row r="54" spans="1:35" x14ac:dyDescent="0.25">
      <c r="A54" s="5">
        <f t="shared" si="1"/>
        <v>53</v>
      </c>
      <c r="B54" s="3" t="str">
        <f>_xlfn.XLOOKUP(C54,Tab_Def_Flows[Flow_Name],Tab_Def_Flows[Flow_ID],,0,)</f>
        <v>F__</v>
      </c>
      <c r="C54" s="23" t="s">
        <v>5</v>
      </c>
      <c r="D54" s="6" t="str">
        <f>_xlfn.XLOOKUP(C54,Tab_Def_Flows[Flow_Name],Tab_Def_Flows[Use_E1],,0,)</f>
        <v>Yes</v>
      </c>
      <c r="E54" s="6" t="str">
        <f>_xlfn.XLOOKUP(C54,Tab_Def_Flows[Flow_Name],Tab_Def_Flows[Use_E2],,0,)</f>
        <v>Yes</v>
      </c>
      <c r="F54" s="6" t="str">
        <f>_xlfn.XLOOKUP(C54,Tab_Def_Flows[Flow_Name],Tab_Def_Flows[Use_E3],,0,)</f>
        <v>Yes</v>
      </c>
      <c r="G54" s="6" t="str">
        <f>_xlfn.XLOOKUP(C54,Tab_Def_Flows[Flow_Name],Tab_Def_Flows[Use_E4],,0,)</f>
        <v>Yes</v>
      </c>
      <c r="H54" s="6" t="str">
        <f>_xlfn.XLOOKUP(C54,Tab_Def_Flows[Flow_Name],Tab_Def_Flows[Use_E5],,0,)</f>
        <v>Yes</v>
      </c>
      <c r="I54" s="6" t="str">
        <f>_xlfn.XLOOKUP(C54,Tab_Def_Flows[Flow_Name],Tab_Def_Flows[Use_E6],,0,)</f>
        <v>Yes</v>
      </c>
      <c r="J54" s="52"/>
      <c r="K54" s="53"/>
      <c r="L54" s="3" t="str">
        <f>'0_Configuration'!$C$41</f>
        <v>Mg</v>
      </c>
      <c r="M54" s="10"/>
      <c r="N54" s="23" t="s">
        <v>3</v>
      </c>
      <c r="O54" s="4"/>
      <c r="P54" s="4"/>
      <c r="Q54" s="10"/>
      <c r="R54" s="3">
        <f>_xlfn.XLOOKUP(Tab_Data_Flows[[#This Row],[Flow_Name]],Tab_Def_Flows[Flow_Name],Tab_Def_Flows[Flow_E1_Fraction'[%']],"N.A.",0,1)</f>
        <v>0</v>
      </c>
      <c r="S54" s="9">
        <f t="shared" si="0"/>
        <v>0</v>
      </c>
      <c r="T54" s="3" t="str">
        <f>Tab_Data_Flows[[#This Row],[UoM_Source]]</f>
        <v>Mg</v>
      </c>
      <c r="U54" s="24">
        <f>_xlfn.XLOOKUP(Tab_Data_Flows[[#This Row],[Flow_Name]],Tab_Def_Flows[Flow_Name],Tab_Def_Flows[Flow_E2_Fraction'[%']],"N.A.",0,1)</f>
        <v>0</v>
      </c>
      <c r="V54" s="3">
        <f>IF(D54="Yes",S54*Tab_Data_Flows[[#This Row],[E2_Fraction'[%']]],"N.A.")</f>
        <v>0</v>
      </c>
      <c r="W54" s="3" t="str">
        <f>Tab_Data_Flows[[#This Row],[E1_UoM]]</f>
        <v>Mg</v>
      </c>
      <c r="X54" s="24">
        <f>_xlfn.XLOOKUP(Tab_Data_Flows[[#This Row],[Flow_Name]],Tab_Def_Flows[Flow_Name],Tab_Def_Flows[Flow_E3_Fraction'[%']],"N.A.",0,1)</f>
        <v>0</v>
      </c>
      <c r="Y54" s="3">
        <f>IF(E54="Yes",X54*Tab_Data_Flows[[#This Row],[E1_value]],"N.A.")</f>
        <v>0</v>
      </c>
      <c r="Z54" s="3" t="str">
        <f>Tab_Data_Flows[[#This Row],[E1_UoM]]</f>
        <v>Mg</v>
      </c>
      <c r="AA54" s="24">
        <f>_xlfn.XLOOKUP(Tab_Data_Flows[[#This Row],[Flow_Name]],Tab_Def_Flows[Flow_Name],Tab_Def_Flows[Flow_E4_Fraction'[%']],"N.A.",0,1)</f>
        <v>0</v>
      </c>
      <c r="AB54" s="3">
        <f>IF(H54="Yes",Tab_Data_Flows[[#This Row],[E4_Fraction'[%']]]*Tab_Data_Flows[[#This Row],[E1_value]],"N.A.")</f>
        <v>0</v>
      </c>
      <c r="AC54" s="3" t="str">
        <f>Tab_Data_Flows[[#This Row],[E1_UoM]]</f>
        <v>Mg</v>
      </c>
      <c r="AD54" s="24">
        <f>_xlfn.XLOOKUP(Tab_Data_Flows[[#This Row],[Flow_Name]],Tab_Def_Flows[Flow_Name],Tab_Def_Flows[Flow_E5_Fraction'[%']],"N.A.",0,1)</f>
        <v>0</v>
      </c>
      <c r="AE54" s="3">
        <f>IF(H54="Yes",Tab_Data_Flows[[#This Row],[E5_Fraction'[%']]]*Tab_Data_Flows[[#This Row],[E1_value]],"N.A.")</f>
        <v>0</v>
      </c>
      <c r="AF54" s="3" t="str">
        <f>Tab_Data_Flows[[#This Row],[E1_UoM]]</f>
        <v>Mg</v>
      </c>
      <c r="AG54" s="24">
        <f>_xlfn.XLOOKUP(Tab_Data_Flows[[#This Row],[Flow_Name]],Tab_Def_Flows[Flow_Name],Tab_Def_Flows[Flow_E6_Fraction'[%']],"N.A.",0,1)</f>
        <v>0</v>
      </c>
      <c r="AH54" s="3">
        <f>IF(Tab_Data_Flows[[#This Row],[Use_E6]]="Yes",Tab_Data_Flows[[#This Row],[E6_Fraction'[%']]]*Tab_Data_Flows[[#This Row],[E1_value]],"N.A.")</f>
        <v>0</v>
      </c>
      <c r="AI54" s="3" t="str">
        <f>Tab_Data_Flows[[#This Row],[E1_UoM]]</f>
        <v>Mg</v>
      </c>
    </row>
    <row r="55" spans="1:35" x14ac:dyDescent="0.25">
      <c r="A55" s="5">
        <f t="shared" si="1"/>
        <v>54</v>
      </c>
      <c r="B55" s="3" t="str">
        <f>_xlfn.XLOOKUP(C55,Tab_Def_Flows[Flow_Name],Tab_Def_Flows[Flow_ID],,0,)</f>
        <v>F__</v>
      </c>
      <c r="C55" s="23" t="s">
        <v>5</v>
      </c>
      <c r="D55" s="6" t="str">
        <f>_xlfn.XLOOKUP(C55,Tab_Def_Flows[Flow_Name],Tab_Def_Flows[Use_E1],,0,)</f>
        <v>Yes</v>
      </c>
      <c r="E55" s="6" t="str">
        <f>_xlfn.XLOOKUP(C55,Tab_Def_Flows[Flow_Name],Tab_Def_Flows[Use_E2],,0,)</f>
        <v>Yes</v>
      </c>
      <c r="F55" s="6" t="str">
        <f>_xlfn.XLOOKUP(C55,Tab_Def_Flows[Flow_Name],Tab_Def_Flows[Use_E3],,0,)</f>
        <v>Yes</v>
      </c>
      <c r="G55" s="6" t="str">
        <f>_xlfn.XLOOKUP(C55,Tab_Def_Flows[Flow_Name],Tab_Def_Flows[Use_E4],,0,)</f>
        <v>Yes</v>
      </c>
      <c r="H55" s="6" t="str">
        <f>_xlfn.XLOOKUP(C55,Tab_Def_Flows[Flow_Name],Tab_Def_Flows[Use_E5],,0,)</f>
        <v>Yes</v>
      </c>
      <c r="I55" s="6" t="str">
        <f>_xlfn.XLOOKUP(C55,Tab_Def_Flows[Flow_Name],Tab_Def_Flows[Use_E6],,0,)</f>
        <v>Yes</v>
      </c>
      <c r="J55" s="52"/>
      <c r="K55" s="53"/>
      <c r="L55" s="3" t="str">
        <f>'0_Configuration'!$C$41</f>
        <v>Mg</v>
      </c>
      <c r="M55" s="10"/>
      <c r="N55" s="23" t="s">
        <v>3</v>
      </c>
      <c r="O55" s="4"/>
      <c r="P55" s="4"/>
      <c r="Q55" s="10"/>
      <c r="R55" s="3">
        <f>_xlfn.XLOOKUP(Tab_Data_Flows[[#This Row],[Flow_Name]],Tab_Def_Flows[Flow_Name],Tab_Def_Flows[Flow_E1_Fraction'[%']],"N.A.",0,1)</f>
        <v>0</v>
      </c>
      <c r="S55" s="9">
        <f t="shared" si="0"/>
        <v>0</v>
      </c>
      <c r="T55" s="3" t="str">
        <f>Tab_Data_Flows[[#This Row],[UoM_Source]]</f>
        <v>Mg</v>
      </c>
      <c r="U55" s="24">
        <f>_xlfn.XLOOKUP(Tab_Data_Flows[[#This Row],[Flow_Name]],Tab_Def_Flows[Flow_Name],Tab_Def_Flows[Flow_E2_Fraction'[%']],"N.A.",0,1)</f>
        <v>0</v>
      </c>
      <c r="V55" s="3">
        <f>IF(D55="Yes",S55*Tab_Data_Flows[[#This Row],[E2_Fraction'[%']]],"N.A.")</f>
        <v>0</v>
      </c>
      <c r="W55" s="3" t="str">
        <f>Tab_Data_Flows[[#This Row],[E1_UoM]]</f>
        <v>Mg</v>
      </c>
      <c r="X55" s="24">
        <f>_xlfn.XLOOKUP(Tab_Data_Flows[[#This Row],[Flow_Name]],Tab_Def_Flows[Flow_Name],Tab_Def_Flows[Flow_E3_Fraction'[%']],"N.A.",0,1)</f>
        <v>0</v>
      </c>
      <c r="Y55" s="3">
        <f>IF(E55="Yes",X55*Tab_Data_Flows[[#This Row],[E1_value]],"N.A.")</f>
        <v>0</v>
      </c>
      <c r="Z55" s="3" t="str">
        <f>Tab_Data_Flows[[#This Row],[E1_UoM]]</f>
        <v>Mg</v>
      </c>
      <c r="AA55" s="24">
        <f>_xlfn.XLOOKUP(Tab_Data_Flows[[#This Row],[Flow_Name]],Tab_Def_Flows[Flow_Name],Tab_Def_Flows[Flow_E4_Fraction'[%']],"N.A.",0,1)</f>
        <v>0</v>
      </c>
      <c r="AB55" s="3">
        <f>IF(H55="Yes",Tab_Data_Flows[[#This Row],[E4_Fraction'[%']]]*Tab_Data_Flows[[#This Row],[E1_value]],"N.A.")</f>
        <v>0</v>
      </c>
      <c r="AC55" s="3" t="str">
        <f>Tab_Data_Flows[[#This Row],[E1_UoM]]</f>
        <v>Mg</v>
      </c>
      <c r="AD55" s="24">
        <f>_xlfn.XLOOKUP(Tab_Data_Flows[[#This Row],[Flow_Name]],Tab_Def_Flows[Flow_Name],Tab_Def_Flows[Flow_E5_Fraction'[%']],"N.A.",0,1)</f>
        <v>0</v>
      </c>
      <c r="AE55" s="3">
        <f>IF(H55="Yes",Tab_Data_Flows[[#This Row],[E5_Fraction'[%']]]*Tab_Data_Flows[[#This Row],[E1_value]],"N.A.")</f>
        <v>0</v>
      </c>
      <c r="AF55" s="3" t="str">
        <f>Tab_Data_Flows[[#This Row],[E1_UoM]]</f>
        <v>Mg</v>
      </c>
      <c r="AG55" s="24">
        <f>_xlfn.XLOOKUP(Tab_Data_Flows[[#This Row],[Flow_Name]],Tab_Def_Flows[Flow_Name],Tab_Def_Flows[Flow_E6_Fraction'[%']],"N.A.",0,1)</f>
        <v>0</v>
      </c>
      <c r="AH55" s="3">
        <f>IF(Tab_Data_Flows[[#This Row],[Use_E6]]="Yes",Tab_Data_Flows[[#This Row],[E6_Fraction'[%']]]*Tab_Data_Flows[[#This Row],[E1_value]],"N.A.")</f>
        <v>0</v>
      </c>
      <c r="AI55" s="3" t="str">
        <f>Tab_Data_Flows[[#This Row],[E1_UoM]]</f>
        <v>Mg</v>
      </c>
    </row>
    <row r="56" spans="1:35" x14ac:dyDescent="0.25">
      <c r="A56" s="5">
        <f t="shared" si="1"/>
        <v>55</v>
      </c>
      <c r="B56" s="3" t="str">
        <f>_xlfn.XLOOKUP(C56,Tab_Def_Flows[Flow_Name],Tab_Def_Flows[Flow_ID],,0,)</f>
        <v>F__</v>
      </c>
      <c r="C56" s="23" t="s">
        <v>5</v>
      </c>
      <c r="D56" s="6" t="str">
        <f>_xlfn.XLOOKUP(C56,Tab_Def_Flows[Flow_Name],Tab_Def_Flows[Use_E1],,0,)</f>
        <v>Yes</v>
      </c>
      <c r="E56" s="6" t="str">
        <f>_xlfn.XLOOKUP(C56,Tab_Def_Flows[Flow_Name],Tab_Def_Flows[Use_E2],,0,)</f>
        <v>Yes</v>
      </c>
      <c r="F56" s="6" t="str">
        <f>_xlfn.XLOOKUP(C56,Tab_Def_Flows[Flow_Name],Tab_Def_Flows[Use_E3],,0,)</f>
        <v>Yes</v>
      </c>
      <c r="G56" s="6" t="str">
        <f>_xlfn.XLOOKUP(C56,Tab_Def_Flows[Flow_Name],Tab_Def_Flows[Use_E4],,0,)</f>
        <v>Yes</v>
      </c>
      <c r="H56" s="6" t="str">
        <f>_xlfn.XLOOKUP(C56,Tab_Def_Flows[Flow_Name],Tab_Def_Flows[Use_E5],,0,)</f>
        <v>Yes</v>
      </c>
      <c r="I56" s="6" t="str">
        <f>_xlfn.XLOOKUP(C56,Tab_Def_Flows[Flow_Name],Tab_Def_Flows[Use_E6],,0,)</f>
        <v>Yes</v>
      </c>
      <c r="J56" s="52"/>
      <c r="K56" s="53"/>
      <c r="L56" s="3" t="str">
        <f>'0_Configuration'!$C$41</f>
        <v>Mg</v>
      </c>
      <c r="M56" s="10"/>
      <c r="N56" s="23" t="s">
        <v>3</v>
      </c>
      <c r="O56" s="4"/>
      <c r="P56" s="4"/>
      <c r="Q56" s="10"/>
      <c r="R56" s="3">
        <f>_xlfn.XLOOKUP(Tab_Data_Flows[[#This Row],[Flow_Name]],Tab_Def_Flows[Flow_Name],Tab_Def_Flows[Flow_E1_Fraction'[%']],"N.A.",0,1)</f>
        <v>0</v>
      </c>
      <c r="S56" s="9">
        <f t="shared" si="0"/>
        <v>0</v>
      </c>
      <c r="T56" s="3" t="str">
        <f>Tab_Data_Flows[[#This Row],[UoM_Source]]</f>
        <v>Mg</v>
      </c>
      <c r="U56" s="24">
        <f>_xlfn.XLOOKUP(Tab_Data_Flows[[#This Row],[Flow_Name]],Tab_Def_Flows[Flow_Name],Tab_Def_Flows[Flow_E2_Fraction'[%']],"N.A.",0,1)</f>
        <v>0</v>
      </c>
      <c r="V56" s="3">
        <f>IF(D56="Yes",S56*Tab_Data_Flows[[#This Row],[E2_Fraction'[%']]],"N.A.")</f>
        <v>0</v>
      </c>
      <c r="W56" s="3" t="str">
        <f>Tab_Data_Flows[[#This Row],[E1_UoM]]</f>
        <v>Mg</v>
      </c>
      <c r="X56" s="24">
        <f>_xlfn.XLOOKUP(Tab_Data_Flows[[#This Row],[Flow_Name]],Tab_Def_Flows[Flow_Name],Tab_Def_Flows[Flow_E3_Fraction'[%']],"N.A.",0,1)</f>
        <v>0</v>
      </c>
      <c r="Y56" s="3">
        <f>IF(E56="Yes",X56*Tab_Data_Flows[[#This Row],[E1_value]],"N.A.")</f>
        <v>0</v>
      </c>
      <c r="Z56" s="3" t="str">
        <f>Tab_Data_Flows[[#This Row],[E1_UoM]]</f>
        <v>Mg</v>
      </c>
      <c r="AA56" s="24">
        <f>_xlfn.XLOOKUP(Tab_Data_Flows[[#This Row],[Flow_Name]],Tab_Def_Flows[Flow_Name],Tab_Def_Flows[Flow_E4_Fraction'[%']],"N.A.",0,1)</f>
        <v>0</v>
      </c>
      <c r="AB56" s="3">
        <f>IF(H56="Yes",Tab_Data_Flows[[#This Row],[E4_Fraction'[%']]]*Tab_Data_Flows[[#This Row],[E1_value]],"N.A.")</f>
        <v>0</v>
      </c>
      <c r="AC56" s="3" t="str">
        <f>Tab_Data_Flows[[#This Row],[E1_UoM]]</f>
        <v>Mg</v>
      </c>
      <c r="AD56" s="24">
        <f>_xlfn.XLOOKUP(Tab_Data_Flows[[#This Row],[Flow_Name]],Tab_Def_Flows[Flow_Name],Tab_Def_Flows[Flow_E5_Fraction'[%']],"N.A.",0,1)</f>
        <v>0</v>
      </c>
      <c r="AE56" s="3">
        <f>IF(H56="Yes",Tab_Data_Flows[[#This Row],[E5_Fraction'[%']]]*Tab_Data_Flows[[#This Row],[E1_value]],"N.A.")</f>
        <v>0</v>
      </c>
      <c r="AF56" s="3" t="str">
        <f>Tab_Data_Flows[[#This Row],[E1_UoM]]</f>
        <v>Mg</v>
      </c>
      <c r="AG56" s="24">
        <f>_xlfn.XLOOKUP(Tab_Data_Flows[[#This Row],[Flow_Name]],Tab_Def_Flows[Flow_Name],Tab_Def_Flows[Flow_E6_Fraction'[%']],"N.A.",0,1)</f>
        <v>0</v>
      </c>
      <c r="AH56" s="3">
        <f>IF(Tab_Data_Flows[[#This Row],[Use_E6]]="Yes",Tab_Data_Flows[[#This Row],[E6_Fraction'[%']]]*Tab_Data_Flows[[#This Row],[E1_value]],"N.A.")</f>
        <v>0</v>
      </c>
      <c r="AI56" s="3" t="str">
        <f>Tab_Data_Flows[[#This Row],[E1_UoM]]</f>
        <v>Mg</v>
      </c>
    </row>
    <row r="57" spans="1:35" x14ac:dyDescent="0.25">
      <c r="A57" s="5">
        <f t="shared" si="1"/>
        <v>56</v>
      </c>
      <c r="B57" s="3" t="str">
        <f>_xlfn.XLOOKUP(C57,Tab_Def_Flows[Flow_Name],Tab_Def_Flows[Flow_ID],,0,)</f>
        <v>F__</v>
      </c>
      <c r="C57" s="23" t="s">
        <v>5</v>
      </c>
      <c r="D57" s="6" t="str">
        <f>_xlfn.XLOOKUP(C57,Tab_Def_Flows[Flow_Name],Tab_Def_Flows[Use_E1],,0,)</f>
        <v>Yes</v>
      </c>
      <c r="E57" s="6" t="str">
        <f>_xlfn.XLOOKUP(C57,Tab_Def_Flows[Flow_Name],Tab_Def_Flows[Use_E2],,0,)</f>
        <v>Yes</v>
      </c>
      <c r="F57" s="6" t="str">
        <f>_xlfn.XLOOKUP(C57,Tab_Def_Flows[Flow_Name],Tab_Def_Flows[Use_E3],,0,)</f>
        <v>Yes</v>
      </c>
      <c r="G57" s="6" t="str">
        <f>_xlfn.XLOOKUP(C57,Tab_Def_Flows[Flow_Name],Tab_Def_Flows[Use_E4],,0,)</f>
        <v>Yes</v>
      </c>
      <c r="H57" s="6" t="str">
        <f>_xlfn.XLOOKUP(C57,Tab_Def_Flows[Flow_Name],Tab_Def_Flows[Use_E5],,0,)</f>
        <v>Yes</v>
      </c>
      <c r="I57" s="6" t="str">
        <f>_xlfn.XLOOKUP(C57,Tab_Def_Flows[Flow_Name],Tab_Def_Flows[Use_E6],,0,)</f>
        <v>Yes</v>
      </c>
      <c r="J57" s="52"/>
      <c r="K57" s="53"/>
      <c r="L57" s="3" t="str">
        <f>'0_Configuration'!$C$41</f>
        <v>Mg</v>
      </c>
      <c r="M57" s="10"/>
      <c r="N57" s="23" t="s">
        <v>3</v>
      </c>
      <c r="O57" s="4"/>
      <c r="P57" s="4"/>
      <c r="Q57" s="10"/>
      <c r="R57" s="3">
        <f>_xlfn.XLOOKUP(Tab_Data_Flows[[#This Row],[Flow_Name]],Tab_Def_Flows[Flow_Name],Tab_Def_Flows[Flow_E1_Fraction'[%']],"N.A.",0,1)</f>
        <v>0</v>
      </c>
      <c r="S57" s="9">
        <f t="shared" si="0"/>
        <v>0</v>
      </c>
      <c r="T57" s="3" t="str">
        <f>Tab_Data_Flows[[#This Row],[UoM_Source]]</f>
        <v>Mg</v>
      </c>
      <c r="U57" s="24">
        <f>_xlfn.XLOOKUP(Tab_Data_Flows[[#This Row],[Flow_Name]],Tab_Def_Flows[Flow_Name],Tab_Def_Flows[Flow_E2_Fraction'[%']],"N.A.",0,1)</f>
        <v>0</v>
      </c>
      <c r="V57" s="3">
        <f>IF(D57="Yes",S57*Tab_Data_Flows[[#This Row],[E2_Fraction'[%']]],"N.A.")</f>
        <v>0</v>
      </c>
      <c r="W57" s="3" t="str">
        <f>Tab_Data_Flows[[#This Row],[E1_UoM]]</f>
        <v>Mg</v>
      </c>
      <c r="X57" s="24">
        <f>_xlfn.XLOOKUP(Tab_Data_Flows[[#This Row],[Flow_Name]],Tab_Def_Flows[Flow_Name],Tab_Def_Flows[Flow_E3_Fraction'[%']],"N.A.",0,1)</f>
        <v>0</v>
      </c>
      <c r="Y57" s="3">
        <f>IF(E57="Yes",X57*Tab_Data_Flows[[#This Row],[E1_value]],"N.A.")</f>
        <v>0</v>
      </c>
      <c r="Z57" s="3" t="str">
        <f>Tab_Data_Flows[[#This Row],[E1_UoM]]</f>
        <v>Mg</v>
      </c>
      <c r="AA57" s="24">
        <f>_xlfn.XLOOKUP(Tab_Data_Flows[[#This Row],[Flow_Name]],Tab_Def_Flows[Flow_Name],Tab_Def_Flows[Flow_E4_Fraction'[%']],"N.A.",0,1)</f>
        <v>0</v>
      </c>
      <c r="AB57" s="3">
        <f>IF(H57="Yes",Tab_Data_Flows[[#This Row],[E4_Fraction'[%']]]*Tab_Data_Flows[[#This Row],[E1_value]],"N.A.")</f>
        <v>0</v>
      </c>
      <c r="AC57" s="3" t="str">
        <f>Tab_Data_Flows[[#This Row],[E1_UoM]]</f>
        <v>Mg</v>
      </c>
      <c r="AD57" s="24">
        <f>_xlfn.XLOOKUP(Tab_Data_Flows[[#This Row],[Flow_Name]],Tab_Def_Flows[Flow_Name],Tab_Def_Flows[Flow_E5_Fraction'[%']],"N.A.",0,1)</f>
        <v>0</v>
      </c>
      <c r="AE57" s="3">
        <f>IF(H57="Yes",Tab_Data_Flows[[#This Row],[E5_Fraction'[%']]]*Tab_Data_Flows[[#This Row],[E1_value]],"N.A.")</f>
        <v>0</v>
      </c>
      <c r="AF57" s="3" t="str">
        <f>Tab_Data_Flows[[#This Row],[E1_UoM]]</f>
        <v>Mg</v>
      </c>
      <c r="AG57" s="24">
        <f>_xlfn.XLOOKUP(Tab_Data_Flows[[#This Row],[Flow_Name]],Tab_Def_Flows[Flow_Name],Tab_Def_Flows[Flow_E6_Fraction'[%']],"N.A.",0,1)</f>
        <v>0</v>
      </c>
      <c r="AH57" s="3">
        <f>IF(Tab_Data_Flows[[#This Row],[Use_E6]]="Yes",Tab_Data_Flows[[#This Row],[E6_Fraction'[%']]]*Tab_Data_Flows[[#This Row],[E1_value]],"N.A.")</f>
        <v>0</v>
      </c>
      <c r="AI57" s="3" t="str">
        <f>Tab_Data_Flows[[#This Row],[E1_UoM]]</f>
        <v>Mg</v>
      </c>
    </row>
    <row r="58" spans="1:35" x14ac:dyDescent="0.25">
      <c r="A58" s="5">
        <f t="shared" si="1"/>
        <v>57</v>
      </c>
      <c r="B58" s="3" t="str">
        <f>_xlfn.XLOOKUP(C58,Tab_Def_Flows[Flow_Name],Tab_Def_Flows[Flow_ID],,0,)</f>
        <v>F__</v>
      </c>
      <c r="C58" s="23" t="s">
        <v>5</v>
      </c>
      <c r="D58" s="6" t="str">
        <f>_xlfn.XLOOKUP(C58,Tab_Def_Flows[Flow_Name],Tab_Def_Flows[Use_E1],,0,)</f>
        <v>Yes</v>
      </c>
      <c r="E58" s="6" t="str">
        <f>_xlfn.XLOOKUP(C58,Tab_Def_Flows[Flow_Name],Tab_Def_Flows[Use_E2],,0,)</f>
        <v>Yes</v>
      </c>
      <c r="F58" s="6" t="str">
        <f>_xlfn.XLOOKUP(C58,Tab_Def_Flows[Flow_Name],Tab_Def_Flows[Use_E3],,0,)</f>
        <v>Yes</v>
      </c>
      <c r="G58" s="6" t="str">
        <f>_xlfn.XLOOKUP(C58,Tab_Def_Flows[Flow_Name],Tab_Def_Flows[Use_E4],,0,)</f>
        <v>Yes</v>
      </c>
      <c r="H58" s="6" t="str">
        <f>_xlfn.XLOOKUP(C58,Tab_Def_Flows[Flow_Name],Tab_Def_Flows[Use_E5],,0,)</f>
        <v>Yes</v>
      </c>
      <c r="I58" s="6" t="str">
        <f>_xlfn.XLOOKUP(C58,Tab_Def_Flows[Flow_Name],Tab_Def_Flows[Use_E6],,0,)</f>
        <v>Yes</v>
      </c>
      <c r="J58" s="52"/>
      <c r="K58" s="53"/>
      <c r="L58" s="3" t="str">
        <f>'0_Configuration'!$C$41</f>
        <v>Mg</v>
      </c>
      <c r="M58" s="10"/>
      <c r="N58" s="23" t="s">
        <v>3</v>
      </c>
      <c r="O58" s="4"/>
      <c r="P58" s="4"/>
      <c r="Q58" s="10"/>
      <c r="R58" s="3">
        <f>_xlfn.XLOOKUP(Tab_Data_Flows[[#This Row],[Flow_Name]],Tab_Def_Flows[Flow_Name],Tab_Def_Flows[Flow_E1_Fraction'[%']],"N.A.",0,1)</f>
        <v>0</v>
      </c>
      <c r="S58" s="9">
        <f t="shared" si="0"/>
        <v>0</v>
      </c>
      <c r="T58" s="3" t="str">
        <f>Tab_Data_Flows[[#This Row],[UoM_Source]]</f>
        <v>Mg</v>
      </c>
      <c r="U58" s="24">
        <f>_xlfn.XLOOKUP(Tab_Data_Flows[[#This Row],[Flow_Name]],Tab_Def_Flows[Flow_Name],Tab_Def_Flows[Flow_E2_Fraction'[%']],"N.A.",0,1)</f>
        <v>0</v>
      </c>
      <c r="V58" s="3">
        <f>IF(D58="Yes",S58*Tab_Data_Flows[[#This Row],[E2_Fraction'[%']]],"N.A.")</f>
        <v>0</v>
      </c>
      <c r="W58" s="3" t="str">
        <f>Tab_Data_Flows[[#This Row],[E1_UoM]]</f>
        <v>Mg</v>
      </c>
      <c r="X58" s="24">
        <f>_xlfn.XLOOKUP(Tab_Data_Flows[[#This Row],[Flow_Name]],Tab_Def_Flows[Flow_Name],Tab_Def_Flows[Flow_E3_Fraction'[%']],"N.A.",0,1)</f>
        <v>0</v>
      </c>
      <c r="Y58" s="3">
        <f>IF(E58="Yes",X58*Tab_Data_Flows[[#This Row],[E1_value]],"N.A.")</f>
        <v>0</v>
      </c>
      <c r="Z58" s="3" t="str">
        <f>Tab_Data_Flows[[#This Row],[E1_UoM]]</f>
        <v>Mg</v>
      </c>
      <c r="AA58" s="24">
        <f>_xlfn.XLOOKUP(Tab_Data_Flows[[#This Row],[Flow_Name]],Tab_Def_Flows[Flow_Name],Tab_Def_Flows[Flow_E4_Fraction'[%']],"N.A.",0,1)</f>
        <v>0</v>
      </c>
      <c r="AB58" s="3">
        <f>IF(H58="Yes",Tab_Data_Flows[[#This Row],[E4_Fraction'[%']]]*Tab_Data_Flows[[#This Row],[E1_value]],"N.A.")</f>
        <v>0</v>
      </c>
      <c r="AC58" s="3" t="str">
        <f>Tab_Data_Flows[[#This Row],[E1_UoM]]</f>
        <v>Mg</v>
      </c>
      <c r="AD58" s="24">
        <f>_xlfn.XLOOKUP(Tab_Data_Flows[[#This Row],[Flow_Name]],Tab_Def_Flows[Flow_Name],Tab_Def_Flows[Flow_E5_Fraction'[%']],"N.A.",0,1)</f>
        <v>0</v>
      </c>
      <c r="AE58" s="3">
        <f>IF(H58="Yes",Tab_Data_Flows[[#This Row],[E5_Fraction'[%']]]*Tab_Data_Flows[[#This Row],[E1_value]],"N.A.")</f>
        <v>0</v>
      </c>
      <c r="AF58" s="3" t="str">
        <f>Tab_Data_Flows[[#This Row],[E1_UoM]]</f>
        <v>Mg</v>
      </c>
      <c r="AG58" s="24">
        <f>_xlfn.XLOOKUP(Tab_Data_Flows[[#This Row],[Flow_Name]],Tab_Def_Flows[Flow_Name],Tab_Def_Flows[Flow_E6_Fraction'[%']],"N.A.",0,1)</f>
        <v>0</v>
      </c>
      <c r="AH58" s="3">
        <f>IF(Tab_Data_Flows[[#This Row],[Use_E6]]="Yes",Tab_Data_Flows[[#This Row],[E6_Fraction'[%']]]*Tab_Data_Flows[[#This Row],[E1_value]],"N.A.")</f>
        <v>0</v>
      </c>
      <c r="AI58" s="3" t="str">
        <f>Tab_Data_Flows[[#This Row],[E1_UoM]]</f>
        <v>Mg</v>
      </c>
    </row>
    <row r="59" spans="1:35" x14ac:dyDescent="0.25">
      <c r="A59" s="5">
        <f t="shared" si="1"/>
        <v>58</v>
      </c>
      <c r="B59" s="3" t="str">
        <f>_xlfn.XLOOKUP(C59,Tab_Def_Flows[Flow_Name],Tab_Def_Flows[Flow_ID],,0,)</f>
        <v>F__</v>
      </c>
      <c r="C59" s="23" t="s">
        <v>5</v>
      </c>
      <c r="D59" s="6" t="str">
        <f>_xlfn.XLOOKUP(C59,Tab_Def_Flows[Flow_Name],Tab_Def_Flows[Use_E1],,0,)</f>
        <v>Yes</v>
      </c>
      <c r="E59" s="6" t="str">
        <f>_xlfn.XLOOKUP(C59,Tab_Def_Flows[Flow_Name],Tab_Def_Flows[Use_E2],,0,)</f>
        <v>Yes</v>
      </c>
      <c r="F59" s="6" t="str">
        <f>_xlfn.XLOOKUP(C59,Tab_Def_Flows[Flow_Name],Tab_Def_Flows[Use_E3],,0,)</f>
        <v>Yes</v>
      </c>
      <c r="G59" s="6" t="str">
        <f>_xlfn.XLOOKUP(C59,Tab_Def_Flows[Flow_Name],Tab_Def_Flows[Use_E4],,0,)</f>
        <v>Yes</v>
      </c>
      <c r="H59" s="6" t="str">
        <f>_xlfn.XLOOKUP(C59,Tab_Def_Flows[Flow_Name],Tab_Def_Flows[Use_E5],,0,)</f>
        <v>Yes</v>
      </c>
      <c r="I59" s="6" t="str">
        <f>_xlfn.XLOOKUP(C59,Tab_Def_Flows[Flow_Name],Tab_Def_Flows[Use_E6],,0,)</f>
        <v>Yes</v>
      </c>
      <c r="J59" s="52"/>
      <c r="K59" s="53"/>
      <c r="L59" s="3" t="str">
        <f>'0_Configuration'!$C$41</f>
        <v>Mg</v>
      </c>
      <c r="M59" s="10"/>
      <c r="N59" s="23" t="s">
        <v>3</v>
      </c>
      <c r="O59" s="4"/>
      <c r="P59" s="4"/>
      <c r="Q59" s="10"/>
      <c r="R59" s="3">
        <f>_xlfn.XLOOKUP(Tab_Data_Flows[[#This Row],[Flow_Name]],Tab_Def_Flows[Flow_Name],Tab_Def_Flows[Flow_E1_Fraction'[%']],"N.A.",0,1)</f>
        <v>0</v>
      </c>
      <c r="S59" s="9">
        <f t="shared" si="0"/>
        <v>0</v>
      </c>
      <c r="T59" s="3" t="str">
        <f>Tab_Data_Flows[[#This Row],[UoM_Source]]</f>
        <v>Mg</v>
      </c>
      <c r="U59" s="24">
        <f>_xlfn.XLOOKUP(Tab_Data_Flows[[#This Row],[Flow_Name]],Tab_Def_Flows[Flow_Name],Tab_Def_Flows[Flow_E2_Fraction'[%']],"N.A.",0,1)</f>
        <v>0</v>
      </c>
      <c r="V59" s="3">
        <f>IF(D59="Yes",S59*Tab_Data_Flows[[#This Row],[E2_Fraction'[%']]],"N.A.")</f>
        <v>0</v>
      </c>
      <c r="W59" s="3" t="str">
        <f>Tab_Data_Flows[[#This Row],[E1_UoM]]</f>
        <v>Mg</v>
      </c>
      <c r="X59" s="24">
        <f>_xlfn.XLOOKUP(Tab_Data_Flows[[#This Row],[Flow_Name]],Tab_Def_Flows[Flow_Name],Tab_Def_Flows[Flow_E3_Fraction'[%']],"N.A.",0,1)</f>
        <v>0</v>
      </c>
      <c r="Y59" s="3">
        <f>IF(E59="Yes",X59*Tab_Data_Flows[[#This Row],[E1_value]],"N.A.")</f>
        <v>0</v>
      </c>
      <c r="Z59" s="3" t="str">
        <f>Tab_Data_Flows[[#This Row],[E1_UoM]]</f>
        <v>Mg</v>
      </c>
      <c r="AA59" s="24">
        <f>_xlfn.XLOOKUP(Tab_Data_Flows[[#This Row],[Flow_Name]],Tab_Def_Flows[Flow_Name],Tab_Def_Flows[Flow_E4_Fraction'[%']],"N.A.",0,1)</f>
        <v>0</v>
      </c>
      <c r="AB59" s="3">
        <f>IF(H59="Yes",Tab_Data_Flows[[#This Row],[E4_Fraction'[%']]]*Tab_Data_Flows[[#This Row],[E1_value]],"N.A.")</f>
        <v>0</v>
      </c>
      <c r="AC59" s="3" t="str">
        <f>Tab_Data_Flows[[#This Row],[E1_UoM]]</f>
        <v>Mg</v>
      </c>
      <c r="AD59" s="24">
        <f>_xlfn.XLOOKUP(Tab_Data_Flows[[#This Row],[Flow_Name]],Tab_Def_Flows[Flow_Name],Tab_Def_Flows[Flow_E5_Fraction'[%']],"N.A.",0,1)</f>
        <v>0</v>
      </c>
      <c r="AE59" s="3">
        <f>IF(H59="Yes",Tab_Data_Flows[[#This Row],[E5_Fraction'[%']]]*Tab_Data_Flows[[#This Row],[E1_value]],"N.A.")</f>
        <v>0</v>
      </c>
      <c r="AF59" s="3" t="str">
        <f>Tab_Data_Flows[[#This Row],[E1_UoM]]</f>
        <v>Mg</v>
      </c>
      <c r="AG59" s="24">
        <f>_xlfn.XLOOKUP(Tab_Data_Flows[[#This Row],[Flow_Name]],Tab_Def_Flows[Flow_Name],Tab_Def_Flows[Flow_E6_Fraction'[%']],"N.A.",0,1)</f>
        <v>0</v>
      </c>
      <c r="AH59" s="3">
        <f>IF(Tab_Data_Flows[[#This Row],[Use_E6]]="Yes",Tab_Data_Flows[[#This Row],[E6_Fraction'[%']]]*Tab_Data_Flows[[#This Row],[E1_value]],"N.A.")</f>
        <v>0</v>
      </c>
      <c r="AI59" s="3" t="str">
        <f>Tab_Data_Flows[[#This Row],[E1_UoM]]</f>
        <v>Mg</v>
      </c>
    </row>
    <row r="60" spans="1:35" x14ac:dyDescent="0.25">
      <c r="A60" s="5">
        <f t="shared" si="1"/>
        <v>59</v>
      </c>
      <c r="B60" s="3" t="str">
        <f>_xlfn.XLOOKUP(C60,Tab_Def_Flows[Flow_Name],Tab_Def_Flows[Flow_ID],,0,)</f>
        <v>F__</v>
      </c>
      <c r="C60" s="23" t="s">
        <v>5</v>
      </c>
      <c r="D60" s="6" t="str">
        <f>_xlfn.XLOOKUP(C60,Tab_Def_Flows[Flow_Name],Tab_Def_Flows[Use_E1],,0,)</f>
        <v>Yes</v>
      </c>
      <c r="E60" s="6" t="str">
        <f>_xlfn.XLOOKUP(C60,Tab_Def_Flows[Flow_Name],Tab_Def_Flows[Use_E2],,0,)</f>
        <v>Yes</v>
      </c>
      <c r="F60" s="6" t="str">
        <f>_xlfn.XLOOKUP(C60,Tab_Def_Flows[Flow_Name],Tab_Def_Flows[Use_E3],,0,)</f>
        <v>Yes</v>
      </c>
      <c r="G60" s="6" t="str">
        <f>_xlfn.XLOOKUP(C60,Tab_Def_Flows[Flow_Name],Tab_Def_Flows[Use_E4],,0,)</f>
        <v>Yes</v>
      </c>
      <c r="H60" s="6" t="str">
        <f>_xlfn.XLOOKUP(C60,Tab_Def_Flows[Flow_Name],Tab_Def_Flows[Use_E5],,0,)</f>
        <v>Yes</v>
      </c>
      <c r="I60" s="6" t="str">
        <f>_xlfn.XLOOKUP(C60,Tab_Def_Flows[Flow_Name],Tab_Def_Flows[Use_E6],,0,)</f>
        <v>Yes</v>
      </c>
      <c r="J60" s="52"/>
      <c r="K60" s="53"/>
      <c r="L60" s="3" t="str">
        <f>'0_Configuration'!$C$41</f>
        <v>Mg</v>
      </c>
      <c r="M60" s="10"/>
      <c r="N60" s="23" t="s">
        <v>3</v>
      </c>
      <c r="O60" s="11"/>
      <c r="P60" s="4"/>
      <c r="Q60" s="10"/>
      <c r="R60" s="3">
        <f>_xlfn.XLOOKUP(Tab_Data_Flows[[#This Row],[Flow_Name]],Tab_Def_Flows[Flow_Name],Tab_Def_Flows[Flow_E1_Fraction'[%']],"N.A.",0,1)</f>
        <v>0</v>
      </c>
      <c r="S60" s="9">
        <f t="shared" si="0"/>
        <v>0</v>
      </c>
      <c r="T60" s="3" t="str">
        <f>Tab_Data_Flows[[#This Row],[UoM_Source]]</f>
        <v>Mg</v>
      </c>
      <c r="U60" s="24">
        <f>_xlfn.XLOOKUP(Tab_Data_Flows[[#This Row],[Flow_Name]],Tab_Def_Flows[Flow_Name],Tab_Def_Flows[Flow_E2_Fraction'[%']],"N.A.",0,1)</f>
        <v>0</v>
      </c>
      <c r="V60" s="3">
        <f>IF(D60="Yes",S60*Tab_Data_Flows[[#This Row],[E2_Fraction'[%']]],"N.A.")</f>
        <v>0</v>
      </c>
      <c r="W60" s="3" t="str">
        <f>Tab_Data_Flows[[#This Row],[E1_UoM]]</f>
        <v>Mg</v>
      </c>
      <c r="X60" s="24">
        <f>_xlfn.XLOOKUP(Tab_Data_Flows[[#This Row],[Flow_Name]],Tab_Def_Flows[Flow_Name],Tab_Def_Flows[Flow_E3_Fraction'[%']],"N.A.",0,1)</f>
        <v>0</v>
      </c>
      <c r="Y60" s="3">
        <f>IF(E60="Yes",X60*Tab_Data_Flows[[#This Row],[E1_value]],"N.A.")</f>
        <v>0</v>
      </c>
      <c r="Z60" s="3" t="str">
        <f>Tab_Data_Flows[[#This Row],[E1_UoM]]</f>
        <v>Mg</v>
      </c>
      <c r="AA60" s="24">
        <f>_xlfn.XLOOKUP(Tab_Data_Flows[[#This Row],[Flow_Name]],Tab_Def_Flows[Flow_Name],Tab_Def_Flows[Flow_E4_Fraction'[%']],"N.A.",0,1)</f>
        <v>0</v>
      </c>
      <c r="AB60" s="3">
        <f>IF(H60="Yes",Tab_Data_Flows[[#This Row],[E4_Fraction'[%']]]*Tab_Data_Flows[[#This Row],[E1_value]],"N.A.")</f>
        <v>0</v>
      </c>
      <c r="AC60" s="3" t="str">
        <f>Tab_Data_Flows[[#This Row],[E1_UoM]]</f>
        <v>Mg</v>
      </c>
      <c r="AD60" s="24">
        <f>_xlfn.XLOOKUP(Tab_Data_Flows[[#This Row],[Flow_Name]],Tab_Def_Flows[Flow_Name],Tab_Def_Flows[Flow_E5_Fraction'[%']],"N.A.",0,1)</f>
        <v>0</v>
      </c>
      <c r="AE60" s="3">
        <f>IF(H60="Yes",Tab_Data_Flows[[#This Row],[E5_Fraction'[%']]]*Tab_Data_Flows[[#This Row],[E1_value]],"N.A.")</f>
        <v>0</v>
      </c>
      <c r="AF60" s="3" t="str">
        <f>Tab_Data_Flows[[#This Row],[E1_UoM]]</f>
        <v>Mg</v>
      </c>
      <c r="AG60" s="24">
        <f>_xlfn.XLOOKUP(Tab_Data_Flows[[#This Row],[Flow_Name]],Tab_Def_Flows[Flow_Name],Tab_Def_Flows[Flow_E6_Fraction'[%']],"N.A.",0,1)</f>
        <v>0</v>
      </c>
      <c r="AH60" s="3">
        <f>IF(Tab_Data_Flows[[#This Row],[Use_E6]]="Yes",Tab_Data_Flows[[#This Row],[E6_Fraction'[%']]]*Tab_Data_Flows[[#This Row],[E1_value]],"N.A.")</f>
        <v>0</v>
      </c>
      <c r="AI60" s="3" t="str">
        <f>Tab_Data_Flows[[#This Row],[E1_UoM]]</f>
        <v>Mg</v>
      </c>
    </row>
    <row r="61" spans="1:35" x14ac:dyDescent="0.25">
      <c r="A61" s="5">
        <f t="shared" si="1"/>
        <v>60</v>
      </c>
      <c r="B61" s="3" t="str">
        <f>_xlfn.XLOOKUP(C61,Tab_Def_Flows[Flow_Name],Tab_Def_Flows[Flow_ID],,0,)</f>
        <v>F__</v>
      </c>
      <c r="C61" s="23" t="s">
        <v>5</v>
      </c>
      <c r="D61" s="6" t="str">
        <f>_xlfn.XLOOKUP(C61,Tab_Def_Flows[Flow_Name],Tab_Def_Flows[Use_E1],,0,)</f>
        <v>Yes</v>
      </c>
      <c r="E61" s="6" t="str">
        <f>_xlfn.XLOOKUP(C61,Tab_Def_Flows[Flow_Name],Tab_Def_Flows[Use_E2],,0,)</f>
        <v>Yes</v>
      </c>
      <c r="F61" s="6" t="str">
        <f>_xlfn.XLOOKUP(C61,Tab_Def_Flows[Flow_Name],Tab_Def_Flows[Use_E3],,0,)</f>
        <v>Yes</v>
      </c>
      <c r="G61" s="6" t="str">
        <f>_xlfn.XLOOKUP(C61,Tab_Def_Flows[Flow_Name],Tab_Def_Flows[Use_E4],,0,)</f>
        <v>Yes</v>
      </c>
      <c r="H61" s="6" t="str">
        <f>_xlfn.XLOOKUP(C61,Tab_Def_Flows[Flow_Name],Tab_Def_Flows[Use_E5],,0,)</f>
        <v>Yes</v>
      </c>
      <c r="I61" s="6" t="str">
        <f>_xlfn.XLOOKUP(C61,Tab_Def_Flows[Flow_Name],Tab_Def_Flows[Use_E6],,0,)</f>
        <v>Yes</v>
      </c>
      <c r="J61" s="52"/>
      <c r="K61" s="53"/>
      <c r="L61" s="3" t="str">
        <f>'0_Configuration'!$C$41</f>
        <v>Mg</v>
      </c>
      <c r="M61" s="10"/>
      <c r="N61" s="23" t="s">
        <v>3</v>
      </c>
      <c r="O61" s="11"/>
      <c r="P61" s="4"/>
      <c r="Q61" s="10"/>
      <c r="R61" s="3">
        <f>_xlfn.XLOOKUP(Tab_Data_Flows[[#This Row],[Flow_Name]],Tab_Def_Flows[Flow_Name],Tab_Def_Flows[Flow_E1_Fraction'[%']],"N.A.",0,1)</f>
        <v>0</v>
      </c>
      <c r="S61" s="9">
        <f t="shared" si="0"/>
        <v>0</v>
      </c>
      <c r="T61" s="3" t="str">
        <f>Tab_Data_Flows[[#This Row],[UoM_Source]]</f>
        <v>Mg</v>
      </c>
      <c r="U61" s="24">
        <f>_xlfn.XLOOKUP(Tab_Data_Flows[[#This Row],[Flow_Name]],Tab_Def_Flows[Flow_Name],Tab_Def_Flows[Flow_E2_Fraction'[%']],"N.A.",0,1)</f>
        <v>0</v>
      </c>
      <c r="V61" s="3">
        <f>IF(D61="Yes",S61*Tab_Data_Flows[[#This Row],[E2_Fraction'[%']]],"N.A.")</f>
        <v>0</v>
      </c>
      <c r="W61" s="3" t="str">
        <f>Tab_Data_Flows[[#This Row],[E1_UoM]]</f>
        <v>Mg</v>
      </c>
      <c r="X61" s="24">
        <f>_xlfn.XLOOKUP(Tab_Data_Flows[[#This Row],[Flow_Name]],Tab_Def_Flows[Flow_Name],Tab_Def_Flows[Flow_E3_Fraction'[%']],"N.A.",0,1)</f>
        <v>0</v>
      </c>
      <c r="Y61" s="3">
        <f>IF(E61="Yes",X61*Tab_Data_Flows[[#This Row],[E1_value]],"N.A.")</f>
        <v>0</v>
      </c>
      <c r="Z61" s="3" t="str">
        <f>Tab_Data_Flows[[#This Row],[E1_UoM]]</f>
        <v>Mg</v>
      </c>
      <c r="AA61" s="24">
        <f>_xlfn.XLOOKUP(Tab_Data_Flows[[#This Row],[Flow_Name]],Tab_Def_Flows[Flow_Name],Tab_Def_Flows[Flow_E4_Fraction'[%']],"N.A.",0,1)</f>
        <v>0</v>
      </c>
      <c r="AB61" s="3">
        <f>IF(H61="Yes",Tab_Data_Flows[[#This Row],[E4_Fraction'[%']]]*Tab_Data_Flows[[#This Row],[E1_value]],"N.A.")</f>
        <v>0</v>
      </c>
      <c r="AC61" s="3" t="str">
        <f>Tab_Data_Flows[[#This Row],[E1_UoM]]</f>
        <v>Mg</v>
      </c>
      <c r="AD61" s="24">
        <f>_xlfn.XLOOKUP(Tab_Data_Flows[[#This Row],[Flow_Name]],Tab_Def_Flows[Flow_Name],Tab_Def_Flows[Flow_E5_Fraction'[%']],"N.A.",0,1)</f>
        <v>0</v>
      </c>
      <c r="AE61" s="3">
        <f>IF(H61="Yes",Tab_Data_Flows[[#This Row],[E5_Fraction'[%']]]*Tab_Data_Flows[[#This Row],[E1_value]],"N.A.")</f>
        <v>0</v>
      </c>
      <c r="AF61" s="3" t="str">
        <f>Tab_Data_Flows[[#This Row],[E1_UoM]]</f>
        <v>Mg</v>
      </c>
      <c r="AG61" s="24">
        <f>_xlfn.XLOOKUP(Tab_Data_Flows[[#This Row],[Flow_Name]],Tab_Def_Flows[Flow_Name],Tab_Def_Flows[Flow_E6_Fraction'[%']],"N.A.",0,1)</f>
        <v>0</v>
      </c>
      <c r="AH61" s="3">
        <f>IF(Tab_Data_Flows[[#This Row],[Use_E6]]="Yes",Tab_Data_Flows[[#This Row],[E6_Fraction'[%']]]*Tab_Data_Flows[[#This Row],[E1_value]],"N.A.")</f>
        <v>0</v>
      </c>
      <c r="AI61" s="3" t="str">
        <f>Tab_Data_Flows[[#This Row],[E1_UoM]]</f>
        <v>Mg</v>
      </c>
    </row>
    <row r="62" spans="1:35" x14ac:dyDescent="0.25">
      <c r="A62" s="5">
        <f t="shared" si="1"/>
        <v>61</v>
      </c>
      <c r="B62" s="3" t="str">
        <f>_xlfn.XLOOKUP(C62,Tab_Def_Flows[Flow_Name],Tab_Def_Flows[Flow_ID],,0,)</f>
        <v>F__</v>
      </c>
      <c r="C62" s="23" t="s">
        <v>5</v>
      </c>
      <c r="D62" s="6" t="str">
        <f>_xlfn.XLOOKUP(C62,Tab_Def_Flows[Flow_Name],Tab_Def_Flows[Use_E1],,0,)</f>
        <v>Yes</v>
      </c>
      <c r="E62" s="6" t="str">
        <f>_xlfn.XLOOKUP(C62,Tab_Def_Flows[Flow_Name],Tab_Def_Flows[Use_E2],,0,)</f>
        <v>Yes</v>
      </c>
      <c r="F62" s="6" t="str">
        <f>_xlfn.XLOOKUP(C62,Tab_Def_Flows[Flow_Name],Tab_Def_Flows[Use_E3],,0,)</f>
        <v>Yes</v>
      </c>
      <c r="G62" s="6" t="str">
        <f>_xlfn.XLOOKUP(C62,Tab_Def_Flows[Flow_Name],Tab_Def_Flows[Use_E4],,0,)</f>
        <v>Yes</v>
      </c>
      <c r="H62" s="6" t="str">
        <f>_xlfn.XLOOKUP(C62,Tab_Def_Flows[Flow_Name],Tab_Def_Flows[Use_E5],,0,)</f>
        <v>Yes</v>
      </c>
      <c r="I62" s="6" t="str">
        <f>_xlfn.XLOOKUP(C62,Tab_Def_Flows[Flow_Name],Tab_Def_Flows[Use_E6],,0,)</f>
        <v>Yes</v>
      </c>
      <c r="J62" s="52"/>
      <c r="K62" s="53"/>
      <c r="L62" s="3" t="str">
        <f>'0_Configuration'!$C$41</f>
        <v>Mg</v>
      </c>
      <c r="M62" s="10"/>
      <c r="N62" s="23" t="s">
        <v>3</v>
      </c>
      <c r="O62" s="11"/>
      <c r="P62" s="4"/>
      <c r="Q62" s="10"/>
      <c r="R62" s="3">
        <f>_xlfn.XLOOKUP(Tab_Data_Flows[[#This Row],[Flow_Name]],Tab_Def_Flows[Flow_Name],Tab_Def_Flows[Flow_E1_Fraction'[%']],"N.A.",0,1)</f>
        <v>0</v>
      </c>
      <c r="S62" s="9">
        <f t="shared" si="0"/>
        <v>0</v>
      </c>
      <c r="T62" s="3" t="str">
        <f>Tab_Data_Flows[[#This Row],[UoM_Source]]</f>
        <v>Mg</v>
      </c>
      <c r="U62" s="24">
        <f>_xlfn.XLOOKUP(Tab_Data_Flows[[#This Row],[Flow_Name]],Tab_Def_Flows[Flow_Name],Tab_Def_Flows[Flow_E2_Fraction'[%']],"N.A.",0,1)</f>
        <v>0</v>
      </c>
      <c r="V62" s="3">
        <f>IF(D62="Yes",S62*Tab_Data_Flows[[#This Row],[E2_Fraction'[%']]],"N.A.")</f>
        <v>0</v>
      </c>
      <c r="W62" s="3" t="str">
        <f>Tab_Data_Flows[[#This Row],[E1_UoM]]</f>
        <v>Mg</v>
      </c>
      <c r="X62" s="24">
        <f>_xlfn.XLOOKUP(Tab_Data_Flows[[#This Row],[Flow_Name]],Tab_Def_Flows[Flow_Name],Tab_Def_Flows[Flow_E3_Fraction'[%']],"N.A.",0,1)</f>
        <v>0</v>
      </c>
      <c r="Y62" s="3">
        <f>IF(E62="Yes",X62*Tab_Data_Flows[[#This Row],[E1_value]],"N.A.")</f>
        <v>0</v>
      </c>
      <c r="Z62" s="3" t="str">
        <f>Tab_Data_Flows[[#This Row],[E1_UoM]]</f>
        <v>Mg</v>
      </c>
      <c r="AA62" s="24">
        <f>_xlfn.XLOOKUP(Tab_Data_Flows[[#This Row],[Flow_Name]],Tab_Def_Flows[Flow_Name],Tab_Def_Flows[Flow_E4_Fraction'[%']],"N.A.",0,1)</f>
        <v>0</v>
      </c>
      <c r="AB62" s="3">
        <f>IF(H62="Yes",Tab_Data_Flows[[#This Row],[E4_Fraction'[%']]]*Tab_Data_Flows[[#This Row],[E1_value]],"N.A.")</f>
        <v>0</v>
      </c>
      <c r="AC62" s="3" t="str">
        <f>Tab_Data_Flows[[#This Row],[E1_UoM]]</f>
        <v>Mg</v>
      </c>
      <c r="AD62" s="24">
        <f>_xlfn.XLOOKUP(Tab_Data_Flows[[#This Row],[Flow_Name]],Tab_Def_Flows[Flow_Name],Tab_Def_Flows[Flow_E5_Fraction'[%']],"N.A.",0,1)</f>
        <v>0</v>
      </c>
      <c r="AE62" s="3">
        <f>IF(H62="Yes",Tab_Data_Flows[[#This Row],[E5_Fraction'[%']]]*Tab_Data_Flows[[#This Row],[E1_value]],"N.A.")</f>
        <v>0</v>
      </c>
      <c r="AF62" s="3" t="str">
        <f>Tab_Data_Flows[[#This Row],[E1_UoM]]</f>
        <v>Mg</v>
      </c>
      <c r="AG62" s="24">
        <f>_xlfn.XLOOKUP(Tab_Data_Flows[[#This Row],[Flow_Name]],Tab_Def_Flows[Flow_Name],Tab_Def_Flows[Flow_E6_Fraction'[%']],"N.A.",0,1)</f>
        <v>0</v>
      </c>
      <c r="AH62" s="3">
        <f>IF(Tab_Data_Flows[[#This Row],[Use_E6]]="Yes",Tab_Data_Flows[[#This Row],[E6_Fraction'[%']]]*Tab_Data_Flows[[#This Row],[E1_value]],"N.A.")</f>
        <v>0</v>
      </c>
      <c r="AI62" s="3" t="str">
        <f>Tab_Data_Flows[[#This Row],[E1_UoM]]</f>
        <v>Mg</v>
      </c>
    </row>
    <row r="63" spans="1:35" x14ac:dyDescent="0.25">
      <c r="A63" s="5">
        <f t="shared" si="1"/>
        <v>62</v>
      </c>
      <c r="B63" s="3" t="str">
        <f>_xlfn.XLOOKUP(C63,Tab_Def_Flows[Flow_Name],Tab_Def_Flows[Flow_ID],,0,)</f>
        <v>F__</v>
      </c>
      <c r="C63" s="23" t="s">
        <v>5</v>
      </c>
      <c r="D63" s="6" t="str">
        <f>_xlfn.XLOOKUP(C63,Tab_Def_Flows[Flow_Name],Tab_Def_Flows[Use_E1],,0,)</f>
        <v>Yes</v>
      </c>
      <c r="E63" s="6" t="str">
        <f>_xlfn.XLOOKUP(C63,Tab_Def_Flows[Flow_Name],Tab_Def_Flows[Use_E2],,0,)</f>
        <v>Yes</v>
      </c>
      <c r="F63" s="6" t="str">
        <f>_xlfn.XLOOKUP(C63,Tab_Def_Flows[Flow_Name],Tab_Def_Flows[Use_E3],,0,)</f>
        <v>Yes</v>
      </c>
      <c r="G63" s="6" t="str">
        <f>_xlfn.XLOOKUP(C63,Tab_Def_Flows[Flow_Name],Tab_Def_Flows[Use_E4],,0,)</f>
        <v>Yes</v>
      </c>
      <c r="H63" s="6" t="str">
        <f>_xlfn.XLOOKUP(C63,Tab_Def_Flows[Flow_Name],Tab_Def_Flows[Use_E5],,0,)</f>
        <v>Yes</v>
      </c>
      <c r="I63" s="6" t="str">
        <f>_xlfn.XLOOKUP(C63,Tab_Def_Flows[Flow_Name],Tab_Def_Flows[Use_E6],,0,)</f>
        <v>Yes</v>
      </c>
      <c r="J63" s="52"/>
      <c r="K63" s="53"/>
      <c r="L63" s="3" t="str">
        <f>'0_Configuration'!$C$41</f>
        <v>Mg</v>
      </c>
      <c r="M63" s="10"/>
      <c r="N63" s="23" t="s">
        <v>3</v>
      </c>
      <c r="O63" s="11"/>
      <c r="P63" s="4"/>
      <c r="Q63" s="10"/>
      <c r="R63" s="3">
        <f>_xlfn.XLOOKUP(Tab_Data_Flows[[#This Row],[Flow_Name]],Tab_Def_Flows[Flow_Name],Tab_Def_Flows[Flow_E1_Fraction'[%']],"N.A.",0,1)</f>
        <v>0</v>
      </c>
      <c r="S63" s="9">
        <f t="shared" si="0"/>
        <v>0</v>
      </c>
      <c r="T63" s="3" t="str">
        <f>Tab_Data_Flows[[#This Row],[UoM_Source]]</f>
        <v>Mg</v>
      </c>
      <c r="U63" s="24">
        <f>_xlfn.XLOOKUP(Tab_Data_Flows[[#This Row],[Flow_Name]],Tab_Def_Flows[Flow_Name],Tab_Def_Flows[Flow_E2_Fraction'[%']],"N.A.",0,1)</f>
        <v>0</v>
      </c>
      <c r="V63" s="3">
        <f>IF(D63="Yes",S63*Tab_Data_Flows[[#This Row],[E2_Fraction'[%']]],"N.A.")</f>
        <v>0</v>
      </c>
      <c r="W63" s="3" t="str">
        <f>Tab_Data_Flows[[#This Row],[E1_UoM]]</f>
        <v>Mg</v>
      </c>
      <c r="X63" s="24">
        <f>_xlfn.XLOOKUP(Tab_Data_Flows[[#This Row],[Flow_Name]],Tab_Def_Flows[Flow_Name],Tab_Def_Flows[Flow_E3_Fraction'[%']],"N.A.",0,1)</f>
        <v>0</v>
      </c>
      <c r="Y63" s="3">
        <f>IF(E63="Yes",X63*Tab_Data_Flows[[#This Row],[E1_value]],"N.A.")</f>
        <v>0</v>
      </c>
      <c r="Z63" s="3" t="str">
        <f>Tab_Data_Flows[[#This Row],[E1_UoM]]</f>
        <v>Mg</v>
      </c>
      <c r="AA63" s="24">
        <f>_xlfn.XLOOKUP(Tab_Data_Flows[[#This Row],[Flow_Name]],Tab_Def_Flows[Flow_Name],Tab_Def_Flows[Flow_E4_Fraction'[%']],"N.A.",0,1)</f>
        <v>0</v>
      </c>
      <c r="AB63" s="3">
        <f>IF(H63="Yes",Tab_Data_Flows[[#This Row],[E4_Fraction'[%']]]*Tab_Data_Flows[[#This Row],[E1_value]],"N.A.")</f>
        <v>0</v>
      </c>
      <c r="AC63" s="3" t="str">
        <f>Tab_Data_Flows[[#This Row],[E1_UoM]]</f>
        <v>Mg</v>
      </c>
      <c r="AD63" s="24">
        <f>_xlfn.XLOOKUP(Tab_Data_Flows[[#This Row],[Flow_Name]],Tab_Def_Flows[Flow_Name],Tab_Def_Flows[Flow_E5_Fraction'[%']],"N.A.",0,1)</f>
        <v>0</v>
      </c>
      <c r="AE63" s="3">
        <f>IF(H63="Yes",Tab_Data_Flows[[#This Row],[E5_Fraction'[%']]]*Tab_Data_Flows[[#This Row],[E1_value]],"N.A.")</f>
        <v>0</v>
      </c>
      <c r="AF63" s="3" t="str">
        <f>Tab_Data_Flows[[#This Row],[E1_UoM]]</f>
        <v>Mg</v>
      </c>
      <c r="AG63" s="24">
        <f>_xlfn.XLOOKUP(Tab_Data_Flows[[#This Row],[Flow_Name]],Tab_Def_Flows[Flow_Name],Tab_Def_Flows[Flow_E6_Fraction'[%']],"N.A.",0,1)</f>
        <v>0</v>
      </c>
      <c r="AH63" s="3">
        <f>IF(Tab_Data_Flows[[#This Row],[Use_E6]]="Yes",Tab_Data_Flows[[#This Row],[E6_Fraction'[%']]]*Tab_Data_Flows[[#This Row],[E1_value]],"N.A.")</f>
        <v>0</v>
      </c>
      <c r="AI63" s="3" t="str">
        <f>Tab_Data_Flows[[#This Row],[E1_UoM]]</f>
        <v>Mg</v>
      </c>
    </row>
    <row r="64" spans="1:35" x14ac:dyDescent="0.25">
      <c r="A64" s="5">
        <f t="shared" si="1"/>
        <v>63</v>
      </c>
      <c r="B64" s="3" t="str">
        <f>_xlfn.XLOOKUP(C64,Tab_Def_Flows[Flow_Name],Tab_Def_Flows[Flow_ID],,0,)</f>
        <v>F__</v>
      </c>
      <c r="C64" s="23" t="s">
        <v>5</v>
      </c>
      <c r="D64" s="6" t="str">
        <f>_xlfn.XLOOKUP(C64,Tab_Def_Flows[Flow_Name],Tab_Def_Flows[Use_E1],,0,)</f>
        <v>Yes</v>
      </c>
      <c r="E64" s="6" t="str">
        <f>_xlfn.XLOOKUP(C64,Tab_Def_Flows[Flow_Name],Tab_Def_Flows[Use_E2],,0,)</f>
        <v>Yes</v>
      </c>
      <c r="F64" s="6" t="str">
        <f>_xlfn.XLOOKUP(C64,Tab_Def_Flows[Flow_Name],Tab_Def_Flows[Use_E3],,0,)</f>
        <v>Yes</v>
      </c>
      <c r="G64" s="6" t="str">
        <f>_xlfn.XLOOKUP(C64,Tab_Def_Flows[Flow_Name],Tab_Def_Flows[Use_E4],,0,)</f>
        <v>Yes</v>
      </c>
      <c r="H64" s="6" t="str">
        <f>_xlfn.XLOOKUP(C64,Tab_Def_Flows[Flow_Name],Tab_Def_Flows[Use_E5],,0,)</f>
        <v>Yes</v>
      </c>
      <c r="I64" s="6" t="str">
        <f>_xlfn.XLOOKUP(C64,Tab_Def_Flows[Flow_Name],Tab_Def_Flows[Use_E6],,0,)</f>
        <v>Yes</v>
      </c>
      <c r="J64" s="52"/>
      <c r="K64" s="53"/>
      <c r="L64" s="3" t="str">
        <f>'0_Configuration'!$C$41</f>
        <v>Mg</v>
      </c>
      <c r="M64" s="10"/>
      <c r="N64" s="23" t="s">
        <v>3</v>
      </c>
      <c r="O64" s="11"/>
      <c r="P64" s="4"/>
      <c r="Q64" s="10"/>
      <c r="R64" s="3">
        <f>_xlfn.XLOOKUP(Tab_Data_Flows[[#This Row],[Flow_Name]],Tab_Def_Flows[Flow_Name],Tab_Def_Flows[Flow_E1_Fraction'[%']],"N.A.",0,1)</f>
        <v>0</v>
      </c>
      <c r="S64" s="9">
        <f t="shared" si="0"/>
        <v>0</v>
      </c>
      <c r="T64" s="3" t="str">
        <f>Tab_Data_Flows[[#This Row],[UoM_Source]]</f>
        <v>Mg</v>
      </c>
      <c r="U64" s="24">
        <f>_xlfn.XLOOKUP(Tab_Data_Flows[[#This Row],[Flow_Name]],Tab_Def_Flows[Flow_Name],Tab_Def_Flows[Flow_E2_Fraction'[%']],"N.A.",0,1)</f>
        <v>0</v>
      </c>
      <c r="V64" s="3">
        <f>IF(D64="Yes",S64*Tab_Data_Flows[[#This Row],[E2_Fraction'[%']]],"N.A.")</f>
        <v>0</v>
      </c>
      <c r="W64" s="3" t="str">
        <f>Tab_Data_Flows[[#This Row],[E1_UoM]]</f>
        <v>Mg</v>
      </c>
      <c r="X64" s="24">
        <f>_xlfn.XLOOKUP(Tab_Data_Flows[[#This Row],[Flow_Name]],Tab_Def_Flows[Flow_Name],Tab_Def_Flows[Flow_E3_Fraction'[%']],"N.A.",0,1)</f>
        <v>0</v>
      </c>
      <c r="Y64" s="3">
        <f>IF(E64="Yes",X64*Tab_Data_Flows[[#This Row],[E1_value]],"N.A.")</f>
        <v>0</v>
      </c>
      <c r="Z64" s="3" t="str">
        <f>Tab_Data_Flows[[#This Row],[E1_UoM]]</f>
        <v>Mg</v>
      </c>
      <c r="AA64" s="24">
        <f>_xlfn.XLOOKUP(Tab_Data_Flows[[#This Row],[Flow_Name]],Tab_Def_Flows[Flow_Name],Tab_Def_Flows[Flow_E4_Fraction'[%']],"N.A.",0,1)</f>
        <v>0</v>
      </c>
      <c r="AB64" s="3">
        <f>IF(H64="Yes",Tab_Data_Flows[[#This Row],[E4_Fraction'[%']]]*Tab_Data_Flows[[#This Row],[E1_value]],"N.A.")</f>
        <v>0</v>
      </c>
      <c r="AC64" s="3" t="str">
        <f>Tab_Data_Flows[[#This Row],[E1_UoM]]</f>
        <v>Mg</v>
      </c>
      <c r="AD64" s="24">
        <f>_xlfn.XLOOKUP(Tab_Data_Flows[[#This Row],[Flow_Name]],Tab_Def_Flows[Flow_Name],Tab_Def_Flows[Flow_E5_Fraction'[%']],"N.A.",0,1)</f>
        <v>0</v>
      </c>
      <c r="AE64" s="3">
        <f>IF(H64="Yes",Tab_Data_Flows[[#This Row],[E5_Fraction'[%']]]*Tab_Data_Flows[[#This Row],[E1_value]],"N.A.")</f>
        <v>0</v>
      </c>
      <c r="AF64" s="3" t="str">
        <f>Tab_Data_Flows[[#This Row],[E1_UoM]]</f>
        <v>Mg</v>
      </c>
      <c r="AG64" s="24">
        <f>_xlfn.XLOOKUP(Tab_Data_Flows[[#This Row],[Flow_Name]],Tab_Def_Flows[Flow_Name],Tab_Def_Flows[Flow_E6_Fraction'[%']],"N.A.",0,1)</f>
        <v>0</v>
      </c>
      <c r="AH64" s="3">
        <f>IF(Tab_Data_Flows[[#This Row],[Use_E6]]="Yes",Tab_Data_Flows[[#This Row],[E6_Fraction'[%']]]*Tab_Data_Flows[[#This Row],[E1_value]],"N.A.")</f>
        <v>0</v>
      </c>
      <c r="AI64" s="3" t="str">
        <f>Tab_Data_Flows[[#This Row],[E1_UoM]]</f>
        <v>Mg</v>
      </c>
    </row>
    <row r="65" spans="1:35" x14ac:dyDescent="0.25">
      <c r="A65" s="5">
        <f t="shared" si="1"/>
        <v>64</v>
      </c>
      <c r="B65" s="3" t="str">
        <f>_xlfn.XLOOKUP(C65,Tab_Def_Flows[Flow_Name],Tab_Def_Flows[Flow_ID],,0,)</f>
        <v>F__</v>
      </c>
      <c r="C65" s="23" t="s">
        <v>5</v>
      </c>
      <c r="D65" s="6" t="str">
        <f>_xlfn.XLOOKUP(C65,Tab_Def_Flows[Flow_Name],Tab_Def_Flows[Use_E1],,0,)</f>
        <v>Yes</v>
      </c>
      <c r="E65" s="6" t="str">
        <f>_xlfn.XLOOKUP(C65,Tab_Def_Flows[Flow_Name],Tab_Def_Flows[Use_E2],,0,)</f>
        <v>Yes</v>
      </c>
      <c r="F65" s="6" t="str">
        <f>_xlfn.XLOOKUP(C65,Tab_Def_Flows[Flow_Name],Tab_Def_Flows[Use_E3],,0,)</f>
        <v>Yes</v>
      </c>
      <c r="G65" s="6" t="str">
        <f>_xlfn.XLOOKUP(C65,Tab_Def_Flows[Flow_Name],Tab_Def_Flows[Use_E4],,0,)</f>
        <v>Yes</v>
      </c>
      <c r="H65" s="6" t="str">
        <f>_xlfn.XLOOKUP(C65,Tab_Def_Flows[Flow_Name],Tab_Def_Flows[Use_E5],,0,)</f>
        <v>Yes</v>
      </c>
      <c r="I65" s="6" t="str">
        <f>_xlfn.XLOOKUP(C65,Tab_Def_Flows[Flow_Name],Tab_Def_Flows[Use_E6],,0,)</f>
        <v>Yes</v>
      </c>
      <c r="J65" s="52"/>
      <c r="K65" s="53"/>
      <c r="L65" s="3" t="str">
        <f>'0_Configuration'!$C$41</f>
        <v>Mg</v>
      </c>
      <c r="M65" s="10"/>
      <c r="N65" s="23" t="s">
        <v>3</v>
      </c>
      <c r="O65" s="11"/>
      <c r="P65" s="4"/>
      <c r="Q65" s="10"/>
      <c r="R65" s="3">
        <f>_xlfn.XLOOKUP(Tab_Data_Flows[[#This Row],[Flow_Name]],Tab_Def_Flows[Flow_Name],Tab_Def_Flows[Flow_E1_Fraction'[%']],"N.A.",0,1)</f>
        <v>0</v>
      </c>
      <c r="S65" s="9">
        <f t="shared" si="0"/>
        <v>0</v>
      </c>
      <c r="T65" s="3" t="str">
        <f>Tab_Data_Flows[[#This Row],[UoM_Source]]</f>
        <v>Mg</v>
      </c>
      <c r="U65" s="24">
        <f>_xlfn.XLOOKUP(Tab_Data_Flows[[#This Row],[Flow_Name]],Tab_Def_Flows[Flow_Name],Tab_Def_Flows[Flow_E2_Fraction'[%']],"N.A.",0,1)</f>
        <v>0</v>
      </c>
      <c r="V65" s="3">
        <f>IF(D65="Yes",S65*Tab_Data_Flows[[#This Row],[E2_Fraction'[%']]],"N.A.")</f>
        <v>0</v>
      </c>
      <c r="W65" s="3" t="str">
        <f>Tab_Data_Flows[[#This Row],[E1_UoM]]</f>
        <v>Mg</v>
      </c>
      <c r="X65" s="24">
        <f>_xlfn.XLOOKUP(Tab_Data_Flows[[#This Row],[Flow_Name]],Tab_Def_Flows[Flow_Name],Tab_Def_Flows[Flow_E3_Fraction'[%']],"N.A.",0,1)</f>
        <v>0</v>
      </c>
      <c r="Y65" s="3">
        <f>IF(E65="Yes",X65*Tab_Data_Flows[[#This Row],[E1_value]],"N.A.")</f>
        <v>0</v>
      </c>
      <c r="Z65" s="3" t="str">
        <f>Tab_Data_Flows[[#This Row],[E1_UoM]]</f>
        <v>Mg</v>
      </c>
      <c r="AA65" s="24">
        <f>_xlfn.XLOOKUP(Tab_Data_Flows[[#This Row],[Flow_Name]],Tab_Def_Flows[Flow_Name],Tab_Def_Flows[Flow_E4_Fraction'[%']],"N.A.",0,1)</f>
        <v>0</v>
      </c>
      <c r="AB65" s="3">
        <f>IF(H65="Yes",Tab_Data_Flows[[#This Row],[E4_Fraction'[%']]]*Tab_Data_Flows[[#This Row],[E1_value]],"N.A.")</f>
        <v>0</v>
      </c>
      <c r="AC65" s="3" t="str">
        <f>Tab_Data_Flows[[#This Row],[E1_UoM]]</f>
        <v>Mg</v>
      </c>
      <c r="AD65" s="24">
        <f>_xlfn.XLOOKUP(Tab_Data_Flows[[#This Row],[Flow_Name]],Tab_Def_Flows[Flow_Name],Tab_Def_Flows[Flow_E5_Fraction'[%']],"N.A.",0,1)</f>
        <v>0</v>
      </c>
      <c r="AE65" s="3">
        <f>IF(H65="Yes",Tab_Data_Flows[[#This Row],[E5_Fraction'[%']]]*Tab_Data_Flows[[#This Row],[E1_value]],"N.A.")</f>
        <v>0</v>
      </c>
      <c r="AF65" s="3" t="str">
        <f>Tab_Data_Flows[[#This Row],[E1_UoM]]</f>
        <v>Mg</v>
      </c>
      <c r="AG65" s="24">
        <f>_xlfn.XLOOKUP(Tab_Data_Flows[[#This Row],[Flow_Name]],Tab_Def_Flows[Flow_Name],Tab_Def_Flows[Flow_E6_Fraction'[%']],"N.A.",0,1)</f>
        <v>0</v>
      </c>
      <c r="AH65" s="3">
        <f>IF(Tab_Data_Flows[[#This Row],[Use_E6]]="Yes",Tab_Data_Flows[[#This Row],[E6_Fraction'[%']]]*Tab_Data_Flows[[#This Row],[E1_value]],"N.A.")</f>
        <v>0</v>
      </c>
      <c r="AI65" s="3" t="str">
        <f>Tab_Data_Flows[[#This Row],[E1_UoM]]</f>
        <v>Mg</v>
      </c>
    </row>
    <row r="66" spans="1:35" x14ac:dyDescent="0.25">
      <c r="A66" s="5">
        <f t="shared" si="1"/>
        <v>65</v>
      </c>
      <c r="B66" s="3" t="str">
        <f>_xlfn.XLOOKUP(C66,Tab_Def_Flows[Flow_Name],Tab_Def_Flows[Flow_ID],,0,)</f>
        <v>F__</v>
      </c>
      <c r="C66" s="23" t="s">
        <v>5</v>
      </c>
      <c r="D66" s="6" t="str">
        <f>_xlfn.XLOOKUP(C66,Tab_Def_Flows[Flow_Name],Tab_Def_Flows[Use_E1],,0,)</f>
        <v>Yes</v>
      </c>
      <c r="E66" s="6" t="str">
        <f>_xlfn.XLOOKUP(C66,Tab_Def_Flows[Flow_Name],Tab_Def_Flows[Use_E2],,0,)</f>
        <v>Yes</v>
      </c>
      <c r="F66" s="6" t="str">
        <f>_xlfn.XLOOKUP(C66,Tab_Def_Flows[Flow_Name],Tab_Def_Flows[Use_E3],,0,)</f>
        <v>Yes</v>
      </c>
      <c r="G66" s="6" t="str">
        <f>_xlfn.XLOOKUP(C66,Tab_Def_Flows[Flow_Name],Tab_Def_Flows[Use_E4],,0,)</f>
        <v>Yes</v>
      </c>
      <c r="H66" s="6" t="str">
        <f>_xlfn.XLOOKUP(C66,Tab_Def_Flows[Flow_Name],Tab_Def_Flows[Use_E5],,0,)</f>
        <v>Yes</v>
      </c>
      <c r="I66" s="6" t="str">
        <f>_xlfn.XLOOKUP(C66,Tab_Def_Flows[Flow_Name],Tab_Def_Flows[Use_E6],,0,)</f>
        <v>Yes</v>
      </c>
      <c r="J66" s="52"/>
      <c r="K66" s="53"/>
      <c r="L66" s="3" t="str">
        <f>'0_Configuration'!$C$41</f>
        <v>Mg</v>
      </c>
      <c r="M66" s="10"/>
      <c r="N66" s="23" t="s">
        <v>3</v>
      </c>
      <c r="O66" s="11"/>
      <c r="P66" s="4"/>
      <c r="Q66" s="10"/>
      <c r="R66" s="3">
        <f>_xlfn.XLOOKUP(Tab_Data_Flows[[#This Row],[Flow_Name]],Tab_Def_Flows[Flow_Name],Tab_Def_Flows[Flow_E1_Fraction'[%']],"N.A.",0,1)</f>
        <v>0</v>
      </c>
      <c r="S66" s="9">
        <f t="shared" ref="S66:S129" si="2">IF(N66="no",K66,K66*O66)</f>
        <v>0</v>
      </c>
      <c r="T66" s="3" t="str">
        <f>Tab_Data_Flows[[#This Row],[UoM_Source]]</f>
        <v>Mg</v>
      </c>
      <c r="U66" s="24">
        <f>_xlfn.XLOOKUP(Tab_Data_Flows[[#This Row],[Flow_Name]],Tab_Def_Flows[Flow_Name],Tab_Def_Flows[Flow_E2_Fraction'[%']],"N.A.",0,1)</f>
        <v>0</v>
      </c>
      <c r="V66" s="3">
        <f>IF(D66="Yes",S66*Tab_Data_Flows[[#This Row],[E2_Fraction'[%']]],"N.A.")</f>
        <v>0</v>
      </c>
      <c r="W66" s="3" t="str">
        <f>Tab_Data_Flows[[#This Row],[E1_UoM]]</f>
        <v>Mg</v>
      </c>
      <c r="X66" s="24">
        <f>_xlfn.XLOOKUP(Tab_Data_Flows[[#This Row],[Flow_Name]],Tab_Def_Flows[Flow_Name],Tab_Def_Flows[Flow_E3_Fraction'[%']],"N.A.",0,1)</f>
        <v>0</v>
      </c>
      <c r="Y66" s="3">
        <f>IF(E66="Yes",X66*Tab_Data_Flows[[#This Row],[E1_value]],"N.A.")</f>
        <v>0</v>
      </c>
      <c r="Z66" s="3" t="str">
        <f>Tab_Data_Flows[[#This Row],[E1_UoM]]</f>
        <v>Mg</v>
      </c>
      <c r="AA66" s="24">
        <f>_xlfn.XLOOKUP(Tab_Data_Flows[[#This Row],[Flow_Name]],Tab_Def_Flows[Flow_Name],Tab_Def_Flows[Flow_E4_Fraction'[%']],"N.A.",0,1)</f>
        <v>0</v>
      </c>
      <c r="AB66" s="3">
        <f>IF(H66="Yes",Tab_Data_Flows[[#This Row],[E4_Fraction'[%']]]*Tab_Data_Flows[[#This Row],[E1_value]],"N.A.")</f>
        <v>0</v>
      </c>
      <c r="AC66" s="3" t="str">
        <f>Tab_Data_Flows[[#This Row],[E1_UoM]]</f>
        <v>Mg</v>
      </c>
      <c r="AD66" s="24">
        <f>_xlfn.XLOOKUP(Tab_Data_Flows[[#This Row],[Flow_Name]],Tab_Def_Flows[Flow_Name],Tab_Def_Flows[Flow_E5_Fraction'[%']],"N.A.",0,1)</f>
        <v>0</v>
      </c>
      <c r="AE66" s="3">
        <f>IF(H66="Yes",Tab_Data_Flows[[#This Row],[E5_Fraction'[%']]]*Tab_Data_Flows[[#This Row],[E1_value]],"N.A.")</f>
        <v>0</v>
      </c>
      <c r="AF66" s="3" t="str">
        <f>Tab_Data_Flows[[#This Row],[E1_UoM]]</f>
        <v>Mg</v>
      </c>
      <c r="AG66" s="24">
        <f>_xlfn.XLOOKUP(Tab_Data_Flows[[#This Row],[Flow_Name]],Tab_Def_Flows[Flow_Name],Tab_Def_Flows[Flow_E6_Fraction'[%']],"N.A.",0,1)</f>
        <v>0</v>
      </c>
      <c r="AH66" s="3">
        <f>IF(Tab_Data_Flows[[#This Row],[Use_E6]]="Yes",Tab_Data_Flows[[#This Row],[E6_Fraction'[%']]]*Tab_Data_Flows[[#This Row],[E1_value]],"N.A.")</f>
        <v>0</v>
      </c>
      <c r="AI66" s="3" t="str">
        <f>Tab_Data_Flows[[#This Row],[E1_UoM]]</f>
        <v>Mg</v>
      </c>
    </row>
    <row r="67" spans="1:35" x14ac:dyDescent="0.25">
      <c r="A67" s="5">
        <f t="shared" ref="A67:A130" si="3">ROW()-1</f>
        <v>66</v>
      </c>
      <c r="B67" s="3" t="str">
        <f>_xlfn.XLOOKUP(C67,Tab_Def_Flows[Flow_Name],Tab_Def_Flows[Flow_ID],,0,)</f>
        <v>F__</v>
      </c>
      <c r="C67" s="23" t="s">
        <v>5</v>
      </c>
      <c r="D67" s="6" t="str">
        <f>_xlfn.XLOOKUP(C67,Tab_Def_Flows[Flow_Name],Tab_Def_Flows[Use_E1],,0,)</f>
        <v>Yes</v>
      </c>
      <c r="E67" s="6" t="str">
        <f>_xlfn.XLOOKUP(C67,Tab_Def_Flows[Flow_Name],Tab_Def_Flows[Use_E2],,0,)</f>
        <v>Yes</v>
      </c>
      <c r="F67" s="6" t="str">
        <f>_xlfn.XLOOKUP(C67,Tab_Def_Flows[Flow_Name],Tab_Def_Flows[Use_E3],,0,)</f>
        <v>Yes</v>
      </c>
      <c r="G67" s="6" t="str">
        <f>_xlfn.XLOOKUP(C67,Tab_Def_Flows[Flow_Name],Tab_Def_Flows[Use_E4],,0,)</f>
        <v>Yes</v>
      </c>
      <c r="H67" s="6" t="str">
        <f>_xlfn.XLOOKUP(C67,Tab_Def_Flows[Flow_Name],Tab_Def_Flows[Use_E5],,0,)</f>
        <v>Yes</v>
      </c>
      <c r="I67" s="6" t="str">
        <f>_xlfn.XLOOKUP(C67,Tab_Def_Flows[Flow_Name],Tab_Def_Flows[Use_E6],,0,)</f>
        <v>Yes</v>
      </c>
      <c r="J67" s="52"/>
      <c r="K67" s="53"/>
      <c r="L67" s="3" t="str">
        <f>'0_Configuration'!$C$41</f>
        <v>Mg</v>
      </c>
      <c r="M67" s="10"/>
      <c r="N67" s="23" t="s">
        <v>3</v>
      </c>
      <c r="O67" s="4"/>
      <c r="P67" s="4"/>
      <c r="Q67" s="10"/>
      <c r="R67" s="3">
        <f>_xlfn.XLOOKUP(Tab_Data_Flows[[#This Row],[Flow_Name]],Tab_Def_Flows[Flow_Name],Tab_Def_Flows[Flow_E1_Fraction'[%']],"N.A.",0,1)</f>
        <v>0</v>
      </c>
      <c r="S67" s="9">
        <f t="shared" si="2"/>
        <v>0</v>
      </c>
      <c r="T67" s="3" t="str">
        <f>Tab_Data_Flows[[#This Row],[UoM_Source]]</f>
        <v>Mg</v>
      </c>
      <c r="U67" s="24">
        <f>_xlfn.XLOOKUP(Tab_Data_Flows[[#This Row],[Flow_Name]],Tab_Def_Flows[Flow_Name],Tab_Def_Flows[Flow_E2_Fraction'[%']],"N.A.",0,1)</f>
        <v>0</v>
      </c>
      <c r="V67" s="3">
        <f>IF(D67="Yes",S67*Tab_Data_Flows[[#This Row],[E2_Fraction'[%']]],"N.A.")</f>
        <v>0</v>
      </c>
      <c r="W67" s="3" t="str">
        <f>Tab_Data_Flows[[#This Row],[E1_UoM]]</f>
        <v>Mg</v>
      </c>
      <c r="X67" s="24">
        <f>_xlfn.XLOOKUP(Tab_Data_Flows[[#This Row],[Flow_Name]],Tab_Def_Flows[Flow_Name],Tab_Def_Flows[Flow_E3_Fraction'[%']],"N.A.",0,1)</f>
        <v>0</v>
      </c>
      <c r="Y67" s="3">
        <f>IF(E67="Yes",X67*Tab_Data_Flows[[#This Row],[E1_value]],"N.A.")</f>
        <v>0</v>
      </c>
      <c r="Z67" s="3" t="str">
        <f>Tab_Data_Flows[[#This Row],[E1_UoM]]</f>
        <v>Mg</v>
      </c>
      <c r="AA67" s="24">
        <f>_xlfn.XLOOKUP(Tab_Data_Flows[[#This Row],[Flow_Name]],Tab_Def_Flows[Flow_Name],Tab_Def_Flows[Flow_E4_Fraction'[%']],"N.A.",0,1)</f>
        <v>0</v>
      </c>
      <c r="AB67" s="3">
        <f>IF(H67="Yes",Tab_Data_Flows[[#This Row],[E4_Fraction'[%']]]*Tab_Data_Flows[[#This Row],[E1_value]],"N.A.")</f>
        <v>0</v>
      </c>
      <c r="AC67" s="3" t="str">
        <f>Tab_Data_Flows[[#This Row],[E1_UoM]]</f>
        <v>Mg</v>
      </c>
      <c r="AD67" s="24">
        <f>_xlfn.XLOOKUP(Tab_Data_Flows[[#This Row],[Flow_Name]],Tab_Def_Flows[Flow_Name],Tab_Def_Flows[Flow_E5_Fraction'[%']],"N.A.",0,1)</f>
        <v>0</v>
      </c>
      <c r="AE67" s="3">
        <f>IF(H67="Yes",Tab_Data_Flows[[#This Row],[E5_Fraction'[%']]]*Tab_Data_Flows[[#This Row],[E1_value]],"N.A.")</f>
        <v>0</v>
      </c>
      <c r="AF67" s="3" t="str">
        <f>Tab_Data_Flows[[#This Row],[E1_UoM]]</f>
        <v>Mg</v>
      </c>
      <c r="AG67" s="24">
        <f>_xlfn.XLOOKUP(Tab_Data_Flows[[#This Row],[Flow_Name]],Tab_Def_Flows[Flow_Name],Tab_Def_Flows[Flow_E6_Fraction'[%']],"N.A.",0,1)</f>
        <v>0</v>
      </c>
      <c r="AH67" s="3">
        <f>IF(Tab_Data_Flows[[#This Row],[Use_E6]]="Yes",Tab_Data_Flows[[#This Row],[E6_Fraction'[%']]]*Tab_Data_Flows[[#This Row],[E1_value]],"N.A.")</f>
        <v>0</v>
      </c>
      <c r="AI67" s="3" t="str">
        <f>Tab_Data_Flows[[#This Row],[E1_UoM]]</f>
        <v>Mg</v>
      </c>
    </row>
    <row r="68" spans="1:35" x14ac:dyDescent="0.25">
      <c r="A68" s="5">
        <f t="shared" si="3"/>
        <v>67</v>
      </c>
      <c r="B68" s="3" t="str">
        <f>_xlfn.XLOOKUP(C68,Tab_Def_Flows[Flow_Name],Tab_Def_Flows[Flow_ID],,0,)</f>
        <v>F__</v>
      </c>
      <c r="C68" s="23" t="s">
        <v>5</v>
      </c>
      <c r="D68" s="6" t="str">
        <f>_xlfn.XLOOKUP(C68,Tab_Def_Flows[Flow_Name],Tab_Def_Flows[Use_E1],,0,)</f>
        <v>Yes</v>
      </c>
      <c r="E68" s="6" t="str">
        <f>_xlfn.XLOOKUP(C68,Tab_Def_Flows[Flow_Name],Tab_Def_Flows[Use_E2],,0,)</f>
        <v>Yes</v>
      </c>
      <c r="F68" s="6" t="str">
        <f>_xlfn.XLOOKUP(C68,Tab_Def_Flows[Flow_Name],Tab_Def_Flows[Use_E3],,0,)</f>
        <v>Yes</v>
      </c>
      <c r="G68" s="6" t="str">
        <f>_xlfn.XLOOKUP(C68,Tab_Def_Flows[Flow_Name],Tab_Def_Flows[Use_E4],,0,)</f>
        <v>Yes</v>
      </c>
      <c r="H68" s="6" t="str">
        <f>_xlfn.XLOOKUP(C68,Tab_Def_Flows[Flow_Name],Tab_Def_Flows[Use_E5],,0,)</f>
        <v>Yes</v>
      </c>
      <c r="I68" s="6" t="str">
        <f>_xlfn.XLOOKUP(C68,Tab_Def_Flows[Flow_Name],Tab_Def_Flows[Use_E6],,0,)</f>
        <v>Yes</v>
      </c>
      <c r="J68" s="52"/>
      <c r="K68" s="53"/>
      <c r="L68" s="3" t="str">
        <f>'0_Configuration'!$C$41</f>
        <v>Mg</v>
      </c>
      <c r="M68" s="10"/>
      <c r="N68" s="23" t="s">
        <v>3</v>
      </c>
      <c r="O68" s="4"/>
      <c r="P68" s="4"/>
      <c r="Q68" s="10"/>
      <c r="R68" s="3">
        <f>_xlfn.XLOOKUP(Tab_Data_Flows[[#This Row],[Flow_Name]],Tab_Def_Flows[Flow_Name],Tab_Def_Flows[Flow_E1_Fraction'[%']],"N.A.",0,1)</f>
        <v>0</v>
      </c>
      <c r="S68" s="9">
        <f t="shared" si="2"/>
        <v>0</v>
      </c>
      <c r="T68" s="3" t="str">
        <f>Tab_Data_Flows[[#This Row],[UoM_Source]]</f>
        <v>Mg</v>
      </c>
      <c r="U68" s="24">
        <f>_xlfn.XLOOKUP(Tab_Data_Flows[[#This Row],[Flow_Name]],Tab_Def_Flows[Flow_Name],Tab_Def_Flows[Flow_E2_Fraction'[%']],"N.A.",0,1)</f>
        <v>0</v>
      </c>
      <c r="V68" s="3">
        <f>IF(D68="Yes",S68*Tab_Data_Flows[[#This Row],[E2_Fraction'[%']]],"N.A.")</f>
        <v>0</v>
      </c>
      <c r="W68" s="3" t="str">
        <f>Tab_Data_Flows[[#This Row],[E1_UoM]]</f>
        <v>Mg</v>
      </c>
      <c r="X68" s="24">
        <f>_xlfn.XLOOKUP(Tab_Data_Flows[[#This Row],[Flow_Name]],Tab_Def_Flows[Flow_Name],Tab_Def_Flows[Flow_E3_Fraction'[%']],"N.A.",0,1)</f>
        <v>0</v>
      </c>
      <c r="Y68" s="3">
        <f>IF(E68="Yes",X68*Tab_Data_Flows[[#This Row],[E1_value]],"N.A.")</f>
        <v>0</v>
      </c>
      <c r="Z68" s="3" t="str">
        <f>Tab_Data_Flows[[#This Row],[E1_UoM]]</f>
        <v>Mg</v>
      </c>
      <c r="AA68" s="24">
        <f>_xlfn.XLOOKUP(Tab_Data_Flows[[#This Row],[Flow_Name]],Tab_Def_Flows[Flow_Name],Tab_Def_Flows[Flow_E4_Fraction'[%']],"N.A.",0,1)</f>
        <v>0</v>
      </c>
      <c r="AB68" s="3">
        <f>IF(H68="Yes",Tab_Data_Flows[[#This Row],[E4_Fraction'[%']]]*Tab_Data_Flows[[#This Row],[E1_value]],"N.A.")</f>
        <v>0</v>
      </c>
      <c r="AC68" s="3" t="str">
        <f>Tab_Data_Flows[[#This Row],[E1_UoM]]</f>
        <v>Mg</v>
      </c>
      <c r="AD68" s="24">
        <f>_xlfn.XLOOKUP(Tab_Data_Flows[[#This Row],[Flow_Name]],Tab_Def_Flows[Flow_Name],Tab_Def_Flows[Flow_E5_Fraction'[%']],"N.A.",0,1)</f>
        <v>0</v>
      </c>
      <c r="AE68" s="3">
        <f>IF(H68="Yes",Tab_Data_Flows[[#This Row],[E5_Fraction'[%']]]*Tab_Data_Flows[[#This Row],[E1_value]],"N.A.")</f>
        <v>0</v>
      </c>
      <c r="AF68" s="3" t="str">
        <f>Tab_Data_Flows[[#This Row],[E1_UoM]]</f>
        <v>Mg</v>
      </c>
      <c r="AG68" s="24">
        <f>_xlfn.XLOOKUP(Tab_Data_Flows[[#This Row],[Flow_Name]],Tab_Def_Flows[Flow_Name],Tab_Def_Flows[Flow_E6_Fraction'[%']],"N.A.",0,1)</f>
        <v>0</v>
      </c>
      <c r="AH68" s="3">
        <f>IF(Tab_Data_Flows[[#This Row],[Use_E6]]="Yes",Tab_Data_Flows[[#This Row],[E6_Fraction'[%']]]*Tab_Data_Flows[[#This Row],[E1_value]],"N.A.")</f>
        <v>0</v>
      </c>
      <c r="AI68" s="3" t="str">
        <f>Tab_Data_Flows[[#This Row],[E1_UoM]]</f>
        <v>Mg</v>
      </c>
    </row>
    <row r="69" spans="1:35" x14ac:dyDescent="0.25">
      <c r="A69" s="5">
        <f t="shared" si="3"/>
        <v>68</v>
      </c>
      <c r="B69" s="3" t="str">
        <f>_xlfn.XLOOKUP(C69,Tab_Def_Flows[Flow_Name],Tab_Def_Flows[Flow_ID],,0,)</f>
        <v>F__</v>
      </c>
      <c r="C69" s="23" t="s">
        <v>5</v>
      </c>
      <c r="D69" s="6" t="str">
        <f>_xlfn.XLOOKUP(C69,Tab_Def_Flows[Flow_Name],Tab_Def_Flows[Use_E1],,0,)</f>
        <v>Yes</v>
      </c>
      <c r="E69" s="6" t="str">
        <f>_xlfn.XLOOKUP(C69,Tab_Def_Flows[Flow_Name],Tab_Def_Flows[Use_E2],,0,)</f>
        <v>Yes</v>
      </c>
      <c r="F69" s="6" t="str">
        <f>_xlfn.XLOOKUP(C69,Tab_Def_Flows[Flow_Name],Tab_Def_Flows[Use_E3],,0,)</f>
        <v>Yes</v>
      </c>
      <c r="G69" s="6" t="str">
        <f>_xlfn.XLOOKUP(C69,Tab_Def_Flows[Flow_Name],Tab_Def_Flows[Use_E4],,0,)</f>
        <v>Yes</v>
      </c>
      <c r="H69" s="6" t="str">
        <f>_xlfn.XLOOKUP(C69,Tab_Def_Flows[Flow_Name],Tab_Def_Flows[Use_E5],,0,)</f>
        <v>Yes</v>
      </c>
      <c r="I69" s="6" t="str">
        <f>_xlfn.XLOOKUP(C69,Tab_Def_Flows[Flow_Name],Tab_Def_Flows[Use_E6],,0,)</f>
        <v>Yes</v>
      </c>
      <c r="J69" s="52"/>
      <c r="K69" s="53"/>
      <c r="L69" s="3" t="str">
        <f>'0_Configuration'!$C$41</f>
        <v>Mg</v>
      </c>
      <c r="M69" s="10"/>
      <c r="N69" s="23" t="s">
        <v>3</v>
      </c>
      <c r="O69" s="4"/>
      <c r="P69" s="4"/>
      <c r="Q69" s="10"/>
      <c r="R69" s="3">
        <f>_xlfn.XLOOKUP(Tab_Data_Flows[[#This Row],[Flow_Name]],Tab_Def_Flows[Flow_Name],Tab_Def_Flows[Flow_E1_Fraction'[%']],"N.A.",0,1)</f>
        <v>0</v>
      </c>
      <c r="S69" s="9">
        <f t="shared" si="2"/>
        <v>0</v>
      </c>
      <c r="T69" s="3" t="str">
        <f>Tab_Data_Flows[[#This Row],[UoM_Source]]</f>
        <v>Mg</v>
      </c>
      <c r="U69" s="24">
        <f>_xlfn.XLOOKUP(Tab_Data_Flows[[#This Row],[Flow_Name]],Tab_Def_Flows[Flow_Name],Tab_Def_Flows[Flow_E2_Fraction'[%']],"N.A.",0,1)</f>
        <v>0</v>
      </c>
      <c r="V69" s="3">
        <f>IF(D69="Yes",S69*Tab_Data_Flows[[#This Row],[E2_Fraction'[%']]],"N.A.")</f>
        <v>0</v>
      </c>
      <c r="W69" s="3" t="str">
        <f>Tab_Data_Flows[[#This Row],[E1_UoM]]</f>
        <v>Mg</v>
      </c>
      <c r="X69" s="24">
        <f>_xlfn.XLOOKUP(Tab_Data_Flows[[#This Row],[Flow_Name]],Tab_Def_Flows[Flow_Name],Tab_Def_Flows[Flow_E3_Fraction'[%']],"N.A.",0,1)</f>
        <v>0</v>
      </c>
      <c r="Y69" s="3">
        <f>IF(E69="Yes",X69*Tab_Data_Flows[[#This Row],[E1_value]],"N.A.")</f>
        <v>0</v>
      </c>
      <c r="Z69" s="3" t="str">
        <f>Tab_Data_Flows[[#This Row],[E1_UoM]]</f>
        <v>Mg</v>
      </c>
      <c r="AA69" s="24">
        <f>_xlfn.XLOOKUP(Tab_Data_Flows[[#This Row],[Flow_Name]],Tab_Def_Flows[Flow_Name],Tab_Def_Flows[Flow_E4_Fraction'[%']],"N.A.",0,1)</f>
        <v>0</v>
      </c>
      <c r="AB69" s="3">
        <f>IF(H69="Yes",Tab_Data_Flows[[#This Row],[E4_Fraction'[%']]]*Tab_Data_Flows[[#This Row],[E1_value]],"N.A.")</f>
        <v>0</v>
      </c>
      <c r="AC69" s="3" t="str">
        <f>Tab_Data_Flows[[#This Row],[E1_UoM]]</f>
        <v>Mg</v>
      </c>
      <c r="AD69" s="24">
        <f>_xlfn.XLOOKUP(Tab_Data_Flows[[#This Row],[Flow_Name]],Tab_Def_Flows[Flow_Name],Tab_Def_Flows[Flow_E5_Fraction'[%']],"N.A.",0,1)</f>
        <v>0</v>
      </c>
      <c r="AE69" s="3">
        <f>IF(H69="Yes",Tab_Data_Flows[[#This Row],[E5_Fraction'[%']]]*Tab_Data_Flows[[#This Row],[E1_value]],"N.A.")</f>
        <v>0</v>
      </c>
      <c r="AF69" s="3" t="str">
        <f>Tab_Data_Flows[[#This Row],[E1_UoM]]</f>
        <v>Mg</v>
      </c>
      <c r="AG69" s="24">
        <f>_xlfn.XLOOKUP(Tab_Data_Flows[[#This Row],[Flow_Name]],Tab_Def_Flows[Flow_Name],Tab_Def_Flows[Flow_E6_Fraction'[%']],"N.A.",0,1)</f>
        <v>0</v>
      </c>
      <c r="AH69" s="3">
        <f>IF(Tab_Data_Flows[[#This Row],[Use_E6]]="Yes",Tab_Data_Flows[[#This Row],[E6_Fraction'[%']]]*Tab_Data_Flows[[#This Row],[E1_value]],"N.A.")</f>
        <v>0</v>
      </c>
      <c r="AI69" s="3" t="str">
        <f>Tab_Data_Flows[[#This Row],[E1_UoM]]</f>
        <v>Mg</v>
      </c>
    </row>
    <row r="70" spans="1:35" x14ac:dyDescent="0.25">
      <c r="A70" s="5">
        <f t="shared" si="3"/>
        <v>69</v>
      </c>
      <c r="B70" s="3" t="str">
        <f>_xlfn.XLOOKUP(C70,Tab_Def_Flows[Flow_Name],Tab_Def_Flows[Flow_ID],,0,)</f>
        <v>F__</v>
      </c>
      <c r="C70" s="23" t="s">
        <v>5</v>
      </c>
      <c r="D70" s="6" t="str">
        <f>_xlfn.XLOOKUP(C70,Tab_Def_Flows[Flow_Name],Tab_Def_Flows[Use_E1],,0,)</f>
        <v>Yes</v>
      </c>
      <c r="E70" s="6" t="str">
        <f>_xlfn.XLOOKUP(C70,Tab_Def_Flows[Flow_Name],Tab_Def_Flows[Use_E2],,0,)</f>
        <v>Yes</v>
      </c>
      <c r="F70" s="6" t="str">
        <f>_xlfn.XLOOKUP(C70,Tab_Def_Flows[Flow_Name],Tab_Def_Flows[Use_E3],,0,)</f>
        <v>Yes</v>
      </c>
      <c r="G70" s="6" t="str">
        <f>_xlfn.XLOOKUP(C70,Tab_Def_Flows[Flow_Name],Tab_Def_Flows[Use_E4],,0,)</f>
        <v>Yes</v>
      </c>
      <c r="H70" s="6" t="str">
        <f>_xlfn.XLOOKUP(C70,Tab_Def_Flows[Flow_Name],Tab_Def_Flows[Use_E5],,0,)</f>
        <v>Yes</v>
      </c>
      <c r="I70" s="6" t="str">
        <f>_xlfn.XLOOKUP(C70,Tab_Def_Flows[Flow_Name],Tab_Def_Flows[Use_E6],,0,)</f>
        <v>Yes</v>
      </c>
      <c r="J70" s="52"/>
      <c r="K70" s="53"/>
      <c r="L70" s="3" t="str">
        <f>'0_Configuration'!$C$41</f>
        <v>Mg</v>
      </c>
      <c r="M70" s="10"/>
      <c r="N70" s="23" t="s">
        <v>3</v>
      </c>
      <c r="O70" s="4"/>
      <c r="P70" s="4"/>
      <c r="Q70" s="10"/>
      <c r="R70" s="3">
        <f>_xlfn.XLOOKUP(Tab_Data_Flows[[#This Row],[Flow_Name]],Tab_Def_Flows[Flow_Name],Tab_Def_Flows[Flow_E1_Fraction'[%']],"N.A.",0,1)</f>
        <v>0</v>
      </c>
      <c r="S70" s="9">
        <f t="shared" si="2"/>
        <v>0</v>
      </c>
      <c r="T70" s="3" t="str">
        <f>Tab_Data_Flows[[#This Row],[UoM_Source]]</f>
        <v>Mg</v>
      </c>
      <c r="U70" s="24">
        <f>_xlfn.XLOOKUP(Tab_Data_Flows[[#This Row],[Flow_Name]],Tab_Def_Flows[Flow_Name],Tab_Def_Flows[Flow_E2_Fraction'[%']],"N.A.",0,1)</f>
        <v>0</v>
      </c>
      <c r="V70" s="3">
        <f>IF(D70="Yes",S70*Tab_Data_Flows[[#This Row],[E2_Fraction'[%']]],"N.A.")</f>
        <v>0</v>
      </c>
      <c r="W70" s="3" t="str">
        <f>Tab_Data_Flows[[#This Row],[E1_UoM]]</f>
        <v>Mg</v>
      </c>
      <c r="X70" s="24">
        <f>_xlfn.XLOOKUP(Tab_Data_Flows[[#This Row],[Flow_Name]],Tab_Def_Flows[Flow_Name],Tab_Def_Flows[Flow_E3_Fraction'[%']],"N.A.",0,1)</f>
        <v>0</v>
      </c>
      <c r="Y70" s="3">
        <f>IF(E70="Yes",X70*Tab_Data_Flows[[#This Row],[E1_value]],"N.A.")</f>
        <v>0</v>
      </c>
      <c r="Z70" s="3" t="str">
        <f>Tab_Data_Flows[[#This Row],[E1_UoM]]</f>
        <v>Mg</v>
      </c>
      <c r="AA70" s="24">
        <f>_xlfn.XLOOKUP(Tab_Data_Flows[[#This Row],[Flow_Name]],Tab_Def_Flows[Flow_Name],Tab_Def_Flows[Flow_E4_Fraction'[%']],"N.A.",0,1)</f>
        <v>0</v>
      </c>
      <c r="AB70" s="3">
        <f>IF(H70="Yes",Tab_Data_Flows[[#This Row],[E4_Fraction'[%']]]*Tab_Data_Flows[[#This Row],[E1_value]],"N.A.")</f>
        <v>0</v>
      </c>
      <c r="AC70" s="3" t="str">
        <f>Tab_Data_Flows[[#This Row],[E1_UoM]]</f>
        <v>Mg</v>
      </c>
      <c r="AD70" s="24">
        <f>_xlfn.XLOOKUP(Tab_Data_Flows[[#This Row],[Flow_Name]],Tab_Def_Flows[Flow_Name],Tab_Def_Flows[Flow_E5_Fraction'[%']],"N.A.",0,1)</f>
        <v>0</v>
      </c>
      <c r="AE70" s="3">
        <f>IF(H70="Yes",Tab_Data_Flows[[#This Row],[E5_Fraction'[%']]]*Tab_Data_Flows[[#This Row],[E1_value]],"N.A.")</f>
        <v>0</v>
      </c>
      <c r="AF70" s="3" t="str">
        <f>Tab_Data_Flows[[#This Row],[E1_UoM]]</f>
        <v>Mg</v>
      </c>
      <c r="AG70" s="24">
        <f>_xlfn.XLOOKUP(Tab_Data_Flows[[#This Row],[Flow_Name]],Tab_Def_Flows[Flow_Name],Tab_Def_Flows[Flow_E6_Fraction'[%']],"N.A.",0,1)</f>
        <v>0</v>
      </c>
      <c r="AH70" s="3">
        <f>IF(Tab_Data_Flows[[#This Row],[Use_E6]]="Yes",Tab_Data_Flows[[#This Row],[E6_Fraction'[%']]]*Tab_Data_Flows[[#This Row],[E1_value]],"N.A.")</f>
        <v>0</v>
      </c>
      <c r="AI70" s="3" t="str">
        <f>Tab_Data_Flows[[#This Row],[E1_UoM]]</f>
        <v>Mg</v>
      </c>
    </row>
    <row r="71" spans="1:35" x14ac:dyDescent="0.25">
      <c r="A71" s="5">
        <f t="shared" si="3"/>
        <v>70</v>
      </c>
      <c r="B71" s="3" t="str">
        <f>_xlfn.XLOOKUP(C71,Tab_Def_Flows[Flow_Name],Tab_Def_Flows[Flow_ID],,0,)</f>
        <v>F__</v>
      </c>
      <c r="C71" s="23" t="s">
        <v>5</v>
      </c>
      <c r="D71" s="6" t="str">
        <f>_xlfn.XLOOKUP(C71,Tab_Def_Flows[Flow_Name],Tab_Def_Flows[Use_E1],,0,)</f>
        <v>Yes</v>
      </c>
      <c r="E71" s="6" t="str">
        <f>_xlfn.XLOOKUP(C71,Tab_Def_Flows[Flow_Name],Tab_Def_Flows[Use_E2],,0,)</f>
        <v>Yes</v>
      </c>
      <c r="F71" s="6" t="str">
        <f>_xlfn.XLOOKUP(C71,Tab_Def_Flows[Flow_Name],Tab_Def_Flows[Use_E3],,0,)</f>
        <v>Yes</v>
      </c>
      <c r="G71" s="6" t="str">
        <f>_xlfn.XLOOKUP(C71,Tab_Def_Flows[Flow_Name],Tab_Def_Flows[Use_E4],,0,)</f>
        <v>Yes</v>
      </c>
      <c r="H71" s="6" t="str">
        <f>_xlfn.XLOOKUP(C71,Tab_Def_Flows[Flow_Name],Tab_Def_Flows[Use_E5],,0,)</f>
        <v>Yes</v>
      </c>
      <c r="I71" s="6" t="str">
        <f>_xlfn.XLOOKUP(C71,Tab_Def_Flows[Flow_Name],Tab_Def_Flows[Use_E6],,0,)</f>
        <v>Yes</v>
      </c>
      <c r="J71" s="52"/>
      <c r="K71" s="53"/>
      <c r="L71" s="3" t="str">
        <f>'0_Configuration'!$C$41</f>
        <v>Mg</v>
      </c>
      <c r="M71" s="10"/>
      <c r="N71" s="23" t="s">
        <v>3</v>
      </c>
      <c r="O71" s="4"/>
      <c r="P71" s="4"/>
      <c r="Q71" s="10"/>
      <c r="R71" s="3">
        <f>_xlfn.XLOOKUP(Tab_Data_Flows[[#This Row],[Flow_Name]],Tab_Def_Flows[Flow_Name],Tab_Def_Flows[Flow_E1_Fraction'[%']],"N.A.",0,1)</f>
        <v>0</v>
      </c>
      <c r="S71" s="9">
        <f t="shared" si="2"/>
        <v>0</v>
      </c>
      <c r="T71" s="3" t="str">
        <f>Tab_Data_Flows[[#This Row],[UoM_Source]]</f>
        <v>Mg</v>
      </c>
      <c r="U71" s="24">
        <f>_xlfn.XLOOKUP(Tab_Data_Flows[[#This Row],[Flow_Name]],Tab_Def_Flows[Flow_Name],Tab_Def_Flows[Flow_E2_Fraction'[%']],"N.A.",0,1)</f>
        <v>0</v>
      </c>
      <c r="V71" s="3">
        <f>IF(D71="Yes",S71*Tab_Data_Flows[[#This Row],[E2_Fraction'[%']]],"N.A.")</f>
        <v>0</v>
      </c>
      <c r="W71" s="3" t="str">
        <f>Tab_Data_Flows[[#This Row],[E1_UoM]]</f>
        <v>Mg</v>
      </c>
      <c r="X71" s="24">
        <f>_xlfn.XLOOKUP(Tab_Data_Flows[[#This Row],[Flow_Name]],Tab_Def_Flows[Flow_Name],Tab_Def_Flows[Flow_E3_Fraction'[%']],"N.A.",0,1)</f>
        <v>0</v>
      </c>
      <c r="Y71" s="3">
        <f>IF(E71="Yes",X71*Tab_Data_Flows[[#This Row],[E1_value]],"N.A.")</f>
        <v>0</v>
      </c>
      <c r="Z71" s="3" t="str">
        <f>Tab_Data_Flows[[#This Row],[E1_UoM]]</f>
        <v>Mg</v>
      </c>
      <c r="AA71" s="24">
        <f>_xlfn.XLOOKUP(Tab_Data_Flows[[#This Row],[Flow_Name]],Tab_Def_Flows[Flow_Name],Tab_Def_Flows[Flow_E4_Fraction'[%']],"N.A.",0,1)</f>
        <v>0</v>
      </c>
      <c r="AB71" s="3">
        <f>IF(H71="Yes",Tab_Data_Flows[[#This Row],[E4_Fraction'[%']]]*Tab_Data_Flows[[#This Row],[E1_value]],"N.A.")</f>
        <v>0</v>
      </c>
      <c r="AC71" s="3" t="str">
        <f>Tab_Data_Flows[[#This Row],[E1_UoM]]</f>
        <v>Mg</v>
      </c>
      <c r="AD71" s="24">
        <f>_xlfn.XLOOKUP(Tab_Data_Flows[[#This Row],[Flow_Name]],Tab_Def_Flows[Flow_Name],Tab_Def_Flows[Flow_E5_Fraction'[%']],"N.A.",0,1)</f>
        <v>0</v>
      </c>
      <c r="AE71" s="3">
        <f>IF(H71="Yes",Tab_Data_Flows[[#This Row],[E5_Fraction'[%']]]*Tab_Data_Flows[[#This Row],[E1_value]],"N.A.")</f>
        <v>0</v>
      </c>
      <c r="AF71" s="3" t="str">
        <f>Tab_Data_Flows[[#This Row],[E1_UoM]]</f>
        <v>Mg</v>
      </c>
      <c r="AG71" s="24">
        <f>_xlfn.XLOOKUP(Tab_Data_Flows[[#This Row],[Flow_Name]],Tab_Def_Flows[Flow_Name],Tab_Def_Flows[Flow_E6_Fraction'[%']],"N.A.",0,1)</f>
        <v>0</v>
      </c>
      <c r="AH71" s="3">
        <f>IF(Tab_Data_Flows[[#This Row],[Use_E6]]="Yes",Tab_Data_Flows[[#This Row],[E6_Fraction'[%']]]*Tab_Data_Flows[[#This Row],[E1_value]],"N.A.")</f>
        <v>0</v>
      </c>
      <c r="AI71" s="3" t="str">
        <f>Tab_Data_Flows[[#This Row],[E1_UoM]]</f>
        <v>Mg</v>
      </c>
    </row>
    <row r="72" spans="1:35" x14ac:dyDescent="0.25">
      <c r="A72" s="5">
        <f t="shared" si="3"/>
        <v>71</v>
      </c>
      <c r="B72" s="3" t="str">
        <f>_xlfn.XLOOKUP(C72,Tab_Def_Flows[Flow_Name],Tab_Def_Flows[Flow_ID],,0,)</f>
        <v>F__</v>
      </c>
      <c r="C72" s="23" t="s">
        <v>5</v>
      </c>
      <c r="D72" s="6" t="str">
        <f>_xlfn.XLOOKUP(C72,Tab_Def_Flows[Flow_Name],Tab_Def_Flows[Use_E1],,0,)</f>
        <v>Yes</v>
      </c>
      <c r="E72" s="6" t="str">
        <f>_xlfn.XLOOKUP(C72,Tab_Def_Flows[Flow_Name],Tab_Def_Flows[Use_E2],,0,)</f>
        <v>Yes</v>
      </c>
      <c r="F72" s="6" t="str">
        <f>_xlfn.XLOOKUP(C72,Tab_Def_Flows[Flow_Name],Tab_Def_Flows[Use_E3],,0,)</f>
        <v>Yes</v>
      </c>
      <c r="G72" s="6" t="str">
        <f>_xlfn.XLOOKUP(C72,Tab_Def_Flows[Flow_Name],Tab_Def_Flows[Use_E4],,0,)</f>
        <v>Yes</v>
      </c>
      <c r="H72" s="6" t="str">
        <f>_xlfn.XLOOKUP(C72,Tab_Def_Flows[Flow_Name],Tab_Def_Flows[Use_E5],,0,)</f>
        <v>Yes</v>
      </c>
      <c r="I72" s="6" t="str">
        <f>_xlfn.XLOOKUP(C72,Tab_Def_Flows[Flow_Name],Tab_Def_Flows[Use_E6],,0,)</f>
        <v>Yes</v>
      </c>
      <c r="J72" s="52"/>
      <c r="K72" s="53"/>
      <c r="L72" s="3" t="str">
        <f>'0_Configuration'!$C$41</f>
        <v>Mg</v>
      </c>
      <c r="M72" s="10"/>
      <c r="N72" s="23" t="s">
        <v>3</v>
      </c>
      <c r="O72" s="4"/>
      <c r="P72" s="4"/>
      <c r="Q72" s="10"/>
      <c r="R72" s="3">
        <f>_xlfn.XLOOKUP(Tab_Data_Flows[[#This Row],[Flow_Name]],Tab_Def_Flows[Flow_Name],Tab_Def_Flows[Flow_E1_Fraction'[%']],"N.A.",0,1)</f>
        <v>0</v>
      </c>
      <c r="S72" s="9">
        <f t="shared" si="2"/>
        <v>0</v>
      </c>
      <c r="T72" s="3" t="str">
        <f>Tab_Data_Flows[[#This Row],[UoM_Source]]</f>
        <v>Mg</v>
      </c>
      <c r="U72" s="24">
        <f>_xlfn.XLOOKUP(Tab_Data_Flows[[#This Row],[Flow_Name]],Tab_Def_Flows[Flow_Name],Tab_Def_Flows[Flow_E2_Fraction'[%']],"N.A.",0,1)</f>
        <v>0</v>
      </c>
      <c r="V72" s="3">
        <f>IF(D72="Yes",S72*Tab_Data_Flows[[#This Row],[E2_Fraction'[%']]],"N.A.")</f>
        <v>0</v>
      </c>
      <c r="W72" s="3" t="str">
        <f>Tab_Data_Flows[[#This Row],[E1_UoM]]</f>
        <v>Mg</v>
      </c>
      <c r="X72" s="24">
        <f>_xlfn.XLOOKUP(Tab_Data_Flows[[#This Row],[Flow_Name]],Tab_Def_Flows[Flow_Name],Tab_Def_Flows[Flow_E3_Fraction'[%']],"N.A.",0,1)</f>
        <v>0</v>
      </c>
      <c r="Y72" s="3">
        <f>IF(E72="Yes",X72*Tab_Data_Flows[[#This Row],[E1_value]],"N.A.")</f>
        <v>0</v>
      </c>
      <c r="Z72" s="3" t="str">
        <f>Tab_Data_Flows[[#This Row],[E1_UoM]]</f>
        <v>Mg</v>
      </c>
      <c r="AA72" s="24">
        <f>_xlfn.XLOOKUP(Tab_Data_Flows[[#This Row],[Flow_Name]],Tab_Def_Flows[Flow_Name],Tab_Def_Flows[Flow_E4_Fraction'[%']],"N.A.",0,1)</f>
        <v>0</v>
      </c>
      <c r="AB72" s="3">
        <f>IF(H72="Yes",Tab_Data_Flows[[#This Row],[E4_Fraction'[%']]]*Tab_Data_Flows[[#This Row],[E1_value]],"N.A.")</f>
        <v>0</v>
      </c>
      <c r="AC72" s="3" t="str">
        <f>Tab_Data_Flows[[#This Row],[E1_UoM]]</f>
        <v>Mg</v>
      </c>
      <c r="AD72" s="24">
        <f>_xlfn.XLOOKUP(Tab_Data_Flows[[#This Row],[Flow_Name]],Tab_Def_Flows[Flow_Name],Tab_Def_Flows[Flow_E5_Fraction'[%']],"N.A.",0,1)</f>
        <v>0</v>
      </c>
      <c r="AE72" s="3">
        <f>IF(H72="Yes",Tab_Data_Flows[[#This Row],[E5_Fraction'[%']]]*Tab_Data_Flows[[#This Row],[E1_value]],"N.A.")</f>
        <v>0</v>
      </c>
      <c r="AF72" s="3" t="str">
        <f>Tab_Data_Flows[[#This Row],[E1_UoM]]</f>
        <v>Mg</v>
      </c>
      <c r="AG72" s="24">
        <f>_xlfn.XLOOKUP(Tab_Data_Flows[[#This Row],[Flow_Name]],Tab_Def_Flows[Flow_Name],Tab_Def_Flows[Flow_E6_Fraction'[%']],"N.A.",0,1)</f>
        <v>0</v>
      </c>
      <c r="AH72" s="3">
        <f>IF(Tab_Data_Flows[[#This Row],[Use_E6]]="Yes",Tab_Data_Flows[[#This Row],[E6_Fraction'[%']]]*Tab_Data_Flows[[#This Row],[E1_value]],"N.A.")</f>
        <v>0</v>
      </c>
      <c r="AI72" s="3" t="str">
        <f>Tab_Data_Flows[[#This Row],[E1_UoM]]</f>
        <v>Mg</v>
      </c>
    </row>
    <row r="73" spans="1:35" x14ac:dyDescent="0.25">
      <c r="A73" s="5">
        <f t="shared" si="3"/>
        <v>72</v>
      </c>
      <c r="B73" s="3" t="str">
        <f>_xlfn.XLOOKUP(C73,Tab_Def_Flows[Flow_Name],Tab_Def_Flows[Flow_ID],,0,)</f>
        <v>F__</v>
      </c>
      <c r="C73" s="23" t="s">
        <v>5</v>
      </c>
      <c r="D73" s="6" t="str">
        <f>_xlfn.XLOOKUP(C73,Tab_Def_Flows[Flow_Name],Tab_Def_Flows[Use_E1],,0,)</f>
        <v>Yes</v>
      </c>
      <c r="E73" s="6" t="str">
        <f>_xlfn.XLOOKUP(C73,Tab_Def_Flows[Flow_Name],Tab_Def_Flows[Use_E2],,0,)</f>
        <v>Yes</v>
      </c>
      <c r="F73" s="6" t="str">
        <f>_xlfn.XLOOKUP(C73,Tab_Def_Flows[Flow_Name],Tab_Def_Flows[Use_E3],,0,)</f>
        <v>Yes</v>
      </c>
      <c r="G73" s="6" t="str">
        <f>_xlfn.XLOOKUP(C73,Tab_Def_Flows[Flow_Name],Tab_Def_Flows[Use_E4],,0,)</f>
        <v>Yes</v>
      </c>
      <c r="H73" s="6" t="str">
        <f>_xlfn.XLOOKUP(C73,Tab_Def_Flows[Flow_Name],Tab_Def_Flows[Use_E5],,0,)</f>
        <v>Yes</v>
      </c>
      <c r="I73" s="6" t="str">
        <f>_xlfn.XLOOKUP(C73,Tab_Def_Flows[Flow_Name],Tab_Def_Flows[Use_E6],,0,)</f>
        <v>Yes</v>
      </c>
      <c r="J73" s="52"/>
      <c r="K73" s="53"/>
      <c r="L73" s="3" t="str">
        <f>'0_Configuration'!$C$41</f>
        <v>Mg</v>
      </c>
      <c r="M73" s="10"/>
      <c r="N73" s="23" t="s">
        <v>3</v>
      </c>
      <c r="O73" s="4"/>
      <c r="P73" s="4"/>
      <c r="Q73" s="10"/>
      <c r="R73" s="3">
        <f>_xlfn.XLOOKUP(Tab_Data_Flows[[#This Row],[Flow_Name]],Tab_Def_Flows[Flow_Name],Tab_Def_Flows[Flow_E1_Fraction'[%']],"N.A.",0,1)</f>
        <v>0</v>
      </c>
      <c r="S73" s="9">
        <f t="shared" si="2"/>
        <v>0</v>
      </c>
      <c r="T73" s="3" t="str">
        <f>Tab_Data_Flows[[#This Row],[UoM_Source]]</f>
        <v>Mg</v>
      </c>
      <c r="U73" s="24">
        <f>_xlfn.XLOOKUP(Tab_Data_Flows[[#This Row],[Flow_Name]],Tab_Def_Flows[Flow_Name],Tab_Def_Flows[Flow_E2_Fraction'[%']],"N.A.",0,1)</f>
        <v>0</v>
      </c>
      <c r="V73" s="3">
        <f>IF(D73="Yes",S73*Tab_Data_Flows[[#This Row],[E2_Fraction'[%']]],"N.A.")</f>
        <v>0</v>
      </c>
      <c r="W73" s="3" t="str">
        <f>Tab_Data_Flows[[#This Row],[E1_UoM]]</f>
        <v>Mg</v>
      </c>
      <c r="X73" s="24">
        <f>_xlfn.XLOOKUP(Tab_Data_Flows[[#This Row],[Flow_Name]],Tab_Def_Flows[Flow_Name],Tab_Def_Flows[Flow_E3_Fraction'[%']],"N.A.",0,1)</f>
        <v>0</v>
      </c>
      <c r="Y73" s="3">
        <f>IF(E73="Yes",X73*Tab_Data_Flows[[#This Row],[E1_value]],"N.A.")</f>
        <v>0</v>
      </c>
      <c r="Z73" s="3" t="str">
        <f>Tab_Data_Flows[[#This Row],[E1_UoM]]</f>
        <v>Mg</v>
      </c>
      <c r="AA73" s="24">
        <f>_xlfn.XLOOKUP(Tab_Data_Flows[[#This Row],[Flow_Name]],Tab_Def_Flows[Flow_Name],Tab_Def_Flows[Flow_E4_Fraction'[%']],"N.A.",0,1)</f>
        <v>0</v>
      </c>
      <c r="AB73" s="3">
        <f>IF(H73="Yes",Tab_Data_Flows[[#This Row],[E4_Fraction'[%']]]*Tab_Data_Flows[[#This Row],[E1_value]],"N.A.")</f>
        <v>0</v>
      </c>
      <c r="AC73" s="3" t="str">
        <f>Tab_Data_Flows[[#This Row],[E1_UoM]]</f>
        <v>Mg</v>
      </c>
      <c r="AD73" s="24">
        <f>_xlfn.XLOOKUP(Tab_Data_Flows[[#This Row],[Flow_Name]],Tab_Def_Flows[Flow_Name],Tab_Def_Flows[Flow_E5_Fraction'[%']],"N.A.",0,1)</f>
        <v>0</v>
      </c>
      <c r="AE73" s="3">
        <f>IF(H73="Yes",Tab_Data_Flows[[#This Row],[E5_Fraction'[%']]]*Tab_Data_Flows[[#This Row],[E1_value]],"N.A.")</f>
        <v>0</v>
      </c>
      <c r="AF73" s="3" t="str">
        <f>Tab_Data_Flows[[#This Row],[E1_UoM]]</f>
        <v>Mg</v>
      </c>
      <c r="AG73" s="24">
        <f>_xlfn.XLOOKUP(Tab_Data_Flows[[#This Row],[Flow_Name]],Tab_Def_Flows[Flow_Name],Tab_Def_Flows[Flow_E6_Fraction'[%']],"N.A.",0,1)</f>
        <v>0</v>
      </c>
      <c r="AH73" s="3">
        <f>IF(Tab_Data_Flows[[#This Row],[Use_E6]]="Yes",Tab_Data_Flows[[#This Row],[E6_Fraction'[%']]]*Tab_Data_Flows[[#This Row],[E1_value]],"N.A.")</f>
        <v>0</v>
      </c>
      <c r="AI73" s="3" t="str">
        <f>Tab_Data_Flows[[#This Row],[E1_UoM]]</f>
        <v>Mg</v>
      </c>
    </row>
    <row r="74" spans="1:35" x14ac:dyDescent="0.25">
      <c r="A74" s="5">
        <f t="shared" si="3"/>
        <v>73</v>
      </c>
      <c r="B74" s="3" t="str">
        <f>_xlfn.XLOOKUP(C74,Tab_Def_Flows[Flow_Name],Tab_Def_Flows[Flow_ID],,0,)</f>
        <v>F__</v>
      </c>
      <c r="C74" s="23" t="s">
        <v>5</v>
      </c>
      <c r="D74" s="6" t="str">
        <f>_xlfn.XLOOKUP(C74,Tab_Def_Flows[Flow_Name],Tab_Def_Flows[Use_E1],,0,)</f>
        <v>Yes</v>
      </c>
      <c r="E74" s="6" t="str">
        <f>_xlfn.XLOOKUP(C74,Tab_Def_Flows[Flow_Name],Tab_Def_Flows[Use_E2],,0,)</f>
        <v>Yes</v>
      </c>
      <c r="F74" s="6" t="str">
        <f>_xlfn.XLOOKUP(C74,Tab_Def_Flows[Flow_Name],Tab_Def_Flows[Use_E3],,0,)</f>
        <v>Yes</v>
      </c>
      <c r="G74" s="6" t="str">
        <f>_xlfn.XLOOKUP(C74,Tab_Def_Flows[Flow_Name],Tab_Def_Flows[Use_E4],,0,)</f>
        <v>Yes</v>
      </c>
      <c r="H74" s="6" t="str">
        <f>_xlfn.XLOOKUP(C74,Tab_Def_Flows[Flow_Name],Tab_Def_Flows[Use_E5],,0,)</f>
        <v>Yes</v>
      </c>
      <c r="I74" s="6" t="str">
        <f>_xlfn.XLOOKUP(C74,Tab_Def_Flows[Flow_Name],Tab_Def_Flows[Use_E6],,0,)</f>
        <v>Yes</v>
      </c>
      <c r="J74" s="52"/>
      <c r="K74" s="53"/>
      <c r="L74" s="3" t="str">
        <f>'0_Configuration'!$C$41</f>
        <v>Mg</v>
      </c>
      <c r="M74" s="10"/>
      <c r="N74" s="23" t="s">
        <v>3</v>
      </c>
      <c r="O74" s="4"/>
      <c r="P74" s="4"/>
      <c r="Q74" s="10"/>
      <c r="R74" s="3">
        <f>_xlfn.XLOOKUP(Tab_Data_Flows[[#This Row],[Flow_Name]],Tab_Def_Flows[Flow_Name],Tab_Def_Flows[Flow_E1_Fraction'[%']],"N.A.",0,1)</f>
        <v>0</v>
      </c>
      <c r="S74" s="9">
        <f t="shared" si="2"/>
        <v>0</v>
      </c>
      <c r="T74" s="3" t="str">
        <f>Tab_Data_Flows[[#This Row],[UoM_Source]]</f>
        <v>Mg</v>
      </c>
      <c r="U74" s="24">
        <f>_xlfn.XLOOKUP(Tab_Data_Flows[[#This Row],[Flow_Name]],Tab_Def_Flows[Flow_Name],Tab_Def_Flows[Flow_E2_Fraction'[%']],"N.A.",0,1)</f>
        <v>0</v>
      </c>
      <c r="V74" s="3">
        <f>IF(D74="Yes",S74*Tab_Data_Flows[[#This Row],[E2_Fraction'[%']]],"N.A.")</f>
        <v>0</v>
      </c>
      <c r="W74" s="3" t="str">
        <f>Tab_Data_Flows[[#This Row],[E1_UoM]]</f>
        <v>Mg</v>
      </c>
      <c r="X74" s="24">
        <f>_xlfn.XLOOKUP(Tab_Data_Flows[[#This Row],[Flow_Name]],Tab_Def_Flows[Flow_Name],Tab_Def_Flows[Flow_E3_Fraction'[%']],"N.A.",0,1)</f>
        <v>0</v>
      </c>
      <c r="Y74" s="3">
        <f>IF(E74="Yes",X74*Tab_Data_Flows[[#This Row],[E1_value]],"N.A.")</f>
        <v>0</v>
      </c>
      <c r="Z74" s="3" t="str">
        <f>Tab_Data_Flows[[#This Row],[E1_UoM]]</f>
        <v>Mg</v>
      </c>
      <c r="AA74" s="24">
        <f>_xlfn.XLOOKUP(Tab_Data_Flows[[#This Row],[Flow_Name]],Tab_Def_Flows[Flow_Name],Tab_Def_Flows[Flow_E4_Fraction'[%']],"N.A.",0,1)</f>
        <v>0</v>
      </c>
      <c r="AB74" s="3">
        <f>IF(H74="Yes",Tab_Data_Flows[[#This Row],[E4_Fraction'[%']]]*Tab_Data_Flows[[#This Row],[E1_value]],"N.A.")</f>
        <v>0</v>
      </c>
      <c r="AC74" s="3" t="str">
        <f>Tab_Data_Flows[[#This Row],[E1_UoM]]</f>
        <v>Mg</v>
      </c>
      <c r="AD74" s="24">
        <f>_xlfn.XLOOKUP(Tab_Data_Flows[[#This Row],[Flow_Name]],Tab_Def_Flows[Flow_Name],Tab_Def_Flows[Flow_E5_Fraction'[%']],"N.A.",0,1)</f>
        <v>0</v>
      </c>
      <c r="AE74" s="3">
        <f>IF(H74="Yes",Tab_Data_Flows[[#This Row],[E5_Fraction'[%']]]*Tab_Data_Flows[[#This Row],[E1_value]],"N.A.")</f>
        <v>0</v>
      </c>
      <c r="AF74" s="3" t="str">
        <f>Tab_Data_Flows[[#This Row],[E1_UoM]]</f>
        <v>Mg</v>
      </c>
      <c r="AG74" s="24">
        <f>_xlfn.XLOOKUP(Tab_Data_Flows[[#This Row],[Flow_Name]],Tab_Def_Flows[Flow_Name],Tab_Def_Flows[Flow_E6_Fraction'[%']],"N.A.",0,1)</f>
        <v>0</v>
      </c>
      <c r="AH74" s="3">
        <f>IF(Tab_Data_Flows[[#This Row],[Use_E6]]="Yes",Tab_Data_Flows[[#This Row],[E6_Fraction'[%']]]*Tab_Data_Flows[[#This Row],[E1_value]],"N.A.")</f>
        <v>0</v>
      </c>
      <c r="AI74" s="3" t="str">
        <f>Tab_Data_Flows[[#This Row],[E1_UoM]]</f>
        <v>Mg</v>
      </c>
    </row>
    <row r="75" spans="1:35" x14ac:dyDescent="0.25">
      <c r="A75" s="5">
        <f t="shared" si="3"/>
        <v>74</v>
      </c>
      <c r="B75" s="3" t="str">
        <f>_xlfn.XLOOKUP(C75,Tab_Def_Flows[Flow_Name],Tab_Def_Flows[Flow_ID],,0,)</f>
        <v>F__</v>
      </c>
      <c r="C75" s="23" t="s">
        <v>5</v>
      </c>
      <c r="D75" s="6" t="str">
        <f>_xlfn.XLOOKUP(C75,Tab_Def_Flows[Flow_Name],Tab_Def_Flows[Use_E1],,0,)</f>
        <v>Yes</v>
      </c>
      <c r="E75" s="6" t="str">
        <f>_xlfn.XLOOKUP(C75,Tab_Def_Flows[Flow_Name],Tab_Def_Flows[Use_E2],,0,)</f>
        <v>Yes</v>
      </c>
      <c r="F75" s="6" t="str">
        <f>_xlfn.XLOOKUP(C75,Tab_Def_Flows[Flow_Name],Tab_Def_Flows[Use_E3],,0,)</f>
        <v>Yes</v>
      </c>
      <c r="G75" s="6" t="str">
        <f>_xlfn.XLOOKUP(C75,Tab_Def_Flows[Flow_Name],Tab_Def_Flows[Use_E4],,0,)</f>
        <v>Yes</v>
      </c>
      <c r="H75" s="6" t="str">
        <f>_xlfn.XLOOKUP(C75,Tab_Def_Flows[Flow_Name],Tab_Def_Flows[Use_E5],,0,)</f>
        <v>Yes</v>
      </c>
      <c r="I75" s="6" t="str">
        <f>_xlfn.XLOOKUP(C75,Tab_Def_Flows[Flow_Name],Tab_Def_Flows[Use_E6],,0,)</f>
        <v>Yes</v>
      </c>
      <c r="J75" s="52"/>
      <c r="K75" s="53"/>
      <c r="L75" s="3" t="str">
        <f>'0_Configuration'!$C$41</f>
        <v>Mg</v>
      </c>
      <c r="M75" s="10"/>
      <c r="N75" s="23" t="s">
        <v>3</v>
      </c>
      <c r="O75" s="4"/>
      <c r="P75" s="4"/>
      <c r="Q75" s="10"/>
      <c r="R75" s="3">
        <f>_xlfn.XLOOKUP(Tab_Data_Flows[[#This Row],[Flow_Name]],Tab_Def_Flows[Flow_Name],Tab_Def_Flows[Flow_E1_Fraction'[%']],"N.A.",0,1)</f>
        <v>0</v>
      </c>
      <c r="S75" s="9">
        <f t="shared" si="2"/>
        <v>0</v>
      </c>
      <c r="T75" s="3" t="str">
        <f>Tab_Data_Flows[[#This Row],[UoM_Source]]</f>
        <v>Mg</v>
      </c>
      <c r="U75" s="24">
        <f>_xlfn.XLOOKUP(Tab_Data_Flows[[#This Row],[Flow_Name]],Tab_Def_Flows[Flow_Name],Tab_Def_Flows[Flow_E2_Fraction'[%']],"N.A.",0,1)</f>
        <v>0</v>
      </c>
      <c r="V75" s="3">
        <f>IF(D75="Yes",S75*Tab_Data_Flows[[#This Row],[E2_Fraction'[%']]],"N.A.")</f>
        <v>0</v>
      </c>
      <c r="W75" s="3" t="str">
        <f>Tab_Data_Flows[[#This Row],[E1_UoM]]</f>
        <v>Mg</v>
      </c>
      <c r="X75" s="24">
        <f>_xlfn.XLOOKUP(Tab_Data_Flows[[#This Row],[Flow_Name]],Tab_Def_Flows[Flow_Name],Tab_Def_Flows[Flow_E3_Fraction'[%']],"N.A.",0,1)</f>
        <v>0</v>
      </c>
      <c r="Y75" s="3">
        <f>IF(E75="Yes",X75*Tab_Data_Flows[[#This Row],[E1_value]],"N.A.")</f>
        <v>0</v>
      </c>
      <c r="Z75" s="3" t="str">
        <f>Tab_Data_Flows[[#This Row],[E1_UoM]]</f>
        <v>Mg</v>
      </c>
      <c r="AA75" s="24">
        <f>_xlfn.XLOOKUP(Tab_Data_Flows[[#This Row],[Flow_Name]],Tab_Def_Flows[Flow_Name],Tab_Def_Flows[Flow_E4_Fraction'[%']],"N.A.",0,1)</f>
        <v>0</v>
      </c>
      <c r="AB75" s="3">
        <f>IF(H75="Yes",Tab_Data_Flows[[#This Row],[E4_Fraction'[%']]]*Tab_Data_Flows[[#This Row],[E1_value]],"N.A.")</f>
        <v>0</v>
      </c>
      <c r="AC75" s="3" t="str">
        <f>Tab_Data_Flows[[#This Row],[E1_UoM]]</f>
        <v>Mg</v>
      </c>
      <c r="AD75" s="24">
        <f>_xlfn.XLOOKUP(Tab_Data_Flows[[#This Row],[Flow_Name]],Tab_Def_Flows[Flow_Name],Tab_Def_Flows[Flow_E5_Fraction'[%']],"N.A.",0,1)</f>
        <v>0</v>
      </c>
      <c r="AE75" s="3">
        <f>IF(H75="Yes",Tab_Data_Flows[[#This Row],[E5_Fraction'[%']]]*Tab_Data_Flows[[#This Row],[E1_value]],"N.A.")</f>
        <v>0</v>
      </c>
      <c r="AF75" s="3" t="str">
        <f>Tab_Data_Flows[[#This Row],[E1_UoM]]</f>
        <v>Mg</v>
      </c>
      <c r="AG75" s="24">
        <f>_xlfn.XLOOKUP(Tab_Data_Flows[[#This Row],[Flow_Name]],Tab_Def_Flows[Flow_Name],Tab_Def_Flows[Flow_E6_Fraction'[%']],"N.A.",0,1)</f>
        <v>0</v>
      </c>
      <c r="AH75" s="3">
        <f>IF(Tab_Data_Flows[[#This Row],[Use_E6]]="Yes",Tab_Data_Flows[[#This Row],[E6_Fraction'[%']]]*Tab_Data_Flows[[#This Row],[E1_value]],"N.A.")</f>
        <v>0</v>
      </c>
      <c r="AI75" s="3" t="str">
        <f>Tab_Data_Flows[[#This Row],[E1_UoM]]</f>
        <v>Mg</v>
      </c>
    </row>
    <row r="76" spans="1:35" x14ac:dyDescent="0.25">
      <c r="A76" s="5">
        <f t="shared" si="3"/>
        <v>75</v>
      </c>
      <c r="B76" s="3" t="str">
        <f>_xlfn.XLOOKUP(C76,Tab_Def_Flows[Flow_Name],Tab_Def_Flows[Flow_ID],,0,)</f>
        <v>F__</v>
      </c>
      <c r="C76" s="23" t="s">
        <v>5</v>
      </c>
      <c r="D76" s="6" t="str">
        <f>_xlfn.XLOOKUP(C76,Tab_Def_Flows[Flow_Name],Tab_Def_Flows[Use_E1],,0,)</f>
        <v>Yes</v>
      </c>
      <c r="E76" s="6" t="str">
        <f>_xlfn.XLOOKUP(C76,Tab_Def_Flows[Flow_Name],Tab_Def_Flows[Use_E2],,0,)</f>
        <v>Yes</v>
      </c>
      <c r="F76" s="6" t="str">
        <f>_xlfn.XLOOKUP(C76,Tab_Def_Flows[Flow_Name],Tab_Def_Flows[Use_E3],,0,)</f>
        <v>Yes</v>
      </c>
      <c r="G76" s="6" t="str">
        <f>_xlfn.XLOOKUP(C76,Tab_Def_Flows[Flow_Name],Tab_Def_Flows[Use_E4],,0,)</f>
        <v>Yes</v>
      </c>
      <c r="H76" s="6" t="str">
        <f>_xlfn.XLOOKUP(C76,Tab_Def_Flows[Flow_Name],Tab_Def_Flows[Use_E5],,0,)</f>
        <v>Yes</v>
      </c>
      <c r="I76" s="6" t="str">
        <f>_xlfn.XLOOKUP(C76,Tab_Def_Flows[Flow_Name],Tab_Def_Flows[Use_E6],,0,)</f>
        <v>Yes</v>
      </c>
      <c r="J76" s="52"/>
      <c r="K76" s="53"/>
      <c r="L76" s="3" t="str">
        <f>'0_Configuration'!$C$41</f>
        <v>Mg</v>
      </c>
      <c r="M76" s="10"/>
      <c r="N76" s="23" t="s">
        <v>3</v>
      </c>
      <c r="O76" s="4"/>
      <c r="P76" s="4"/>
      <c r="Q76" s="10"/>
      <c r="R76" s="3">
        <f>_xlfn.XLOOKUP(Tab_Data_Flows[[#This Row],[Flow_Name]],Tab_Def_Flows[Flow_Name],Tab_Def_Flows[Flow_E1_Fraction'[%']],"N.A.",0,1)</f>
        <v>0</v>
      </c>
      <c r="S76" s="9">
        <f t="shared" si="2"/>
        <v>0</v>
      </c>
      <c r="T76" s="3" t="str">
        <f>Tab_Data_Flows[[#This Row],[UoM_Source]]</f>
        <v>Mg</v>
      </c>
      <c r="U76" s="24">
        <f>_xlfn.XLOOKUP(Tab_Data_Flows[[#This Row],[Flow_Name]],Tab_Def_Flows[Flow_Name],Tab_Def_Flows[Flow_E2_Fraction'[%']],"N.A.",0,1)</f>
        <v>0</v>
      </c>
      <c r="V76" s="3">
        <f>IF(D76="Yes",S76*Tab_Data_Flows[[#This Row],[E2_Fraction'[%']]],"N.A.")</f>
        <v>0</v>
      </c>
      <c r="W76" s="3" t="str">
        <f>Tab_Data_Flows[[#This Row],[E1_UoM]]</f>
        <v>Mg</v>
      </c>
      <c r="X76" s="24">
        <f>_xlfn.XLOOKUP(Tab_Data_Flows[[#This Row],[Flow_Name]],Tab_Def_Flows[Flow_Name],Tab_Def_Flows[Flow_E3_Fraction'[%']],"N.A.",0,1)</f>
        <v>0</v>
      </c>
      <c r="Y76" s="3">
        <f>IF(E76="Yes",X76*Tab_Data_Flows[[#This Row],[E1_value]],"N.A.")</f>
        <v>0</v>
      </c>
      <c r="Z76" s="3" t="str">
        <f>Tab_Data_Flows[[#This Row],[E1_UoM]]</f>
        <v>Mg</v>
      </c>
      <c r="AA76" s="24">
        <f>_xlfn.XLOOKUP(Tab_Data_Flows[[#This Row],[Flow_Name]],Tab_Def_Flows[Flow_Name],Tab_Def_Flows[Flow_E4_Fraction'[%']],"N.A.",0,1)</f>
        <v>0</v>
      </c>
      <c r="AB76" s="3">
        <f>IF(H76="Yes",Tab_Data_Flows[[#This Row],[E4_Fraction'[%']]]*Tab_Data_Flows[[#This Row],[E1_value]],"N.A.")</f>
        <v>0</v>
      </c>
      <c r="AC76" s="3" t="str">
        <f>Tab_Data_Flows[[#This Row],[E1_UoM]]</f>
        <v>Mg</v>
      </c>
      <c r="AD76" s="24">
        <f>_xlfn.XLOOKUP(Tab_Data_Flows[[#This Row],[Flow_Name]],Tab_Def_Flows[Flow_Name],Tab_Def_Flows[Flow_E5_Fraction'[%']],"N.A.",0,1)</f>
        <v>0</v>
      </c>
      <c r="AE76" s="3">
        <f>IF(H76="Yes",Tab_Data_Flows[[#This Row],[E5_Fraction'[%']]]*Tab_Data_Flows[[#This Row],[E1_value]],"N.A.")</f>
        <v>0</v>
      </c>
      <c r="AF76" s="3" t="str">
        <f>Tab_Data_Flows[[#This Row],[E1_UoM]]</f>
        <v>Mg</v>
      </c>
      <c r="AG76" s="24">
        <f>_xlfn.XLOOKUP(Tab_Data_Flows[[#This Row],[Flow_Name]],Tab_Def_Flows[Flow_Name],Tab_Def_Flows[Flow_E6_Fraction'[%']],"N.A.",0,1)</f>
        <v>0</v>
      </c>
      <c r="AH76" s="3">
        <f>IF(Tab_Data_Flows[[#This Row],[Use_E6]]="Yes",Tab_Data_Flows[[#This Row],[E6_Fraction'[%']]]*Tab_Data_Flows[[#This Row],[E1_value]],"N.A.")</f>
        <v>0</v>
      </c>
      <c r="AI76" s="3" t="str">
        <f>Tab_Data_Flows[[#This Row],[E1_UoM]]</f>
        <v>Mg</v>
      </c>
    </row>
    <row r="77" spans="1:35" x14ac:dyDescent="0.25">
      <c r="A77" s="5">
        <f t="shared" si="3"/>
        <v>76</v>
      </c>
      <c r="B77" s="3" t="str">
        <f>_xlfn.XLOOKUP(C77,Tab_Def_Flows[Flow_Name],Tab_Def_Flows[Flow_ID],,0,)</f>
        <v>F__</v>
      </c>
      <c r="C77" s="23" t="s">
        <v>5</v>
      </c>
      <c r="D77" s="6" t="str">
        <f>_xlfn.XLOOKUP(C77,Tab_Def_Flows[Flow_Name],Tab_Def_Flows[Use_E1],,0,)</f>
        <v>Yes</v>
      </c>
      <c r="E77" s="6" t="str">
        <f>_xlfn.XLOOKUP(C77,Tab_Def_Flows[Flow_Name],Tab_Def_Flows[Use_E2],,0,)</f>
        <v>Yes</v>
      </c>
      <c r="F77" s="6" t="str">
        <f>_xlfn.XLOOKUP(C77,Tab_Def_Flows[Flow_Name],Tab_Def_Flows[Use_E3],,0,)</f>
        <v>Yes</v>
      </c>
      <c r="G77" s="6" t="str">
        <f>_xlfn.XLOOKUP(C77,Tab_Def_Flows[Flow_Name],Tab_Def_Flows[Use_E4],,0,)</f>
        <v>Yes</v>
      </c>
      <c r="H77" s="6" t="str">
        <f>_xlfn.XLOOKUP(C77,Tab_Def_Flows[Flow_Name],Tab_Def_Flows[Use_E5],,0,)</f>
        <v>Yes</v>
      </c>
      <c r="I77" s="6" t="str">
        <f>_xlfn.XLOOKUP(C77,Tab_Def_Flows[Flow_Name],Tab_Def_Flows[Use_E6],,0,)</f>
        <v>Yes</v>
      </c>
      <c r="J77" s="52"/>
      <c r="K77" s="53"/>
      <c r="L77" s="3" t="str">
        <f>'0_Configuration'!$C$41</f>
        <v>Mg</v>
      </c>
      <c r="M77" s="10"/>
      <c r="N77" s="23" t="s">
        <v>3</v>
      </c>
      <c r="O77" s="4"/>
      <c r="P77" s="4"/>
      <c r="Q77" s="10"/>
      <c r="R77" s="3">
        <f>_xlfn.XLOOKUP(Tab_Data_Flows[[#This Row],[Flow_Name]],Tab_Def_Flows[Flow_Name],Tab_Def_Flows[Flow_E1_Fraction'[%']],"N.A.",0,1)</f>
        <v>0</v>
      </c>
      <c r="S77" s="9">
        <f t="shared" si="2"/>
        <v>0</v>
      </c>
      <c r="T77" s="3" t="str">
        <f>Tab_Data_Flows[[#This Row],[UoM_Source]]</f>
        <v>Mg</v>
      </c>
      <c r="U77" s="24">
        <f>_xlfn.XLOOKUP(Tab_Data_Flows[[#This Row],[Flow_Name]],Tab_Def_Flows[Flow_Name],Tab_Def_Flows[Flow_E2_Fraction'[%']],"N.A.",0,1)</f>
        <v>0</v>
      </c>
      <c r="V77" s="3">
        <f>IF(D77="Yes",S77*Tab_Data_Flows[[#This Row],[E2_Fraction'[%']]],"N.A.")</f>
        <v>0</v>
      </c>
      <c r="W77" s="3" t="str">
        <f>Tab_Data_Flows[[#This Row],[E1_UoM]]</f>
        <v>Mg</v>
      </c>
      <c r="X77" s="24">
        <f>_xlfn.XLOOKUP(Tab_Data_Flows[[#This Row],[Flow_Name]],Tab_Def_Flows[Flow_Name],Tab_Def_Flows[Flow_E3_Fraction'[%']],"N.A.",0,1)</f>
        <v>0</v>
      </c>
      <c r="Y77" s="3">
        <f>IF(E77="Yes",X77*Tab_Data_Flows[[#This Row],[E1_value]],"N.A.")</f>
        <v>0</v>
      </c>
      <c r="Z77" s="3" t="str">
        <f>Tab_Data_Flows[[#This Row],[E1_UoM]]</f>
        <v>Mg</v>
      </c>
      <c r="AA77" s="24">
        <f>_xlfn.XLOOKUP(Tab_Data_Flows[[#This Row],[Flow_Name]],Tab_Def_Flows[Flow_Name],Tab_Def_Flows[Flow_E4_Fraction'[%']],"N.A.",0,1)</f>
        <v>0</v>
      </c>
      <c r="AB77" s="3">
        <f>IF(H77="Yes",Tab_Data_Flows[[#This Row],[E4_Fraction'[%']]]*Tab_Data_Flows[[#This Row],[E1_value]],"N.A.")</f>
        <v>0</v>
      </c>
      <c r="AC77" s="3" t="str">
        <f>Tab_Data_Flows[[#This Row],[E1_UoM]]</f>
        <v>Mg</v>
      </c>
      <c r="AD77" s="24">
        <f>_xlfn.XLOOKUP(Tab_Data_Flows[[#This Row],[Flow_Name]],Tab_Def_Flows[Flow_Name],Tab_Def_Flows[Flow_E5_Fraction'[%']],"N.A.",0,1)</f>
        <v>0</v>
      </c>
      <c r="AE77" s="3">
        <f>IF(H77="Yes",Tab_Data_Flows[[#This Row],[E5_Fraction'[%']]]*Tab_Data_Flows[[#This Row],[E1_value]],"N.A.")</f>
        <v>0</v>
      </c>
      <c r="AF77" s="3" t="str">
        <f>Tab_Data_Flows[[#This Row],[E1_UoM]]</f>
        <v>Mg</v>
      </c>
      <c r="AG77" s="24">
        <f>_xlfn.XLOOKUP(Tab_Data_Flows[[#This Row],[Flow_Name]],Tab_Def_Flows[Flow_Name],Tab_Def_Flows[Flow_E6_Fraction'[%']],"N.A.",0,1)</f>
        <v>0</v>
      </c>
      <c r="AH77" s="3">
        <f>IF(Tab_Data_Flows[[#This Row],[Use_E6]]="Yes",Tab_Data_Flows[[#This Row],[E6_Fraction'[%']]]*Tab_Data_Flows[[#This Row],[E1_value]],"N.A.")</f>
        <v>0</v>
      </c>
      <c r="AI77" s="3" t="str">
        <f>Tab_Data_Flows[[#This Row],[E1_UoM]]</f>
        <v>Mg</v>
      </c>
    </row>
    <row r="78" spans="1:35" x14ac:dyDescent="0.25">
      <c r="A78" s="5">
        <f t="shared" si="3"/>
        <v>77</v>
      </c>
      <c r="B78" s="3" t="str">
        <f>_xlfn.XLOOKUP(C78,Tab_Def_Flows[Flow_Name],Tab_Def_Flows[Flow_ID],,0,)</f>
        <v>F__</v>
      </c>
      <c r="C78" s="23" t="s">
        <v>5</v>
      </c>
      <c r="D78" s="6" t="str">
        <f>_xlfn.XLOOKUP(C78,Tab_Def_Flows[Flow_Name],Tab_Def_Flows[Use_E1],,0,)</f>
        <v>Yes</v>
      </c>
      <c r="E78" s="6" t="str">
        <f>_xlfn.XLOOKUP(C78,Tab_Def_Flows[Flow_Name],Tab_Def_Flows[Use_E2],,0,)</f>
        <v>Yes</v>
      </c>
      <c r="F78" s="6" t="str">
        <f>_xlfn.XLOOKUP(C78,Tab_Def_Flows[Flow_Name],Tab_Def_Flows[Use_E3],,0,)</f>
        <v>Yes</v>
      </c>
      <c r="G78" s="6" t="str">
        <f>_xlfn.XLOOKUP(C78,Tab_Def_Flows[Flow_Name],Tab_Def_Flows[Use_E4],,0,)</f>
        <v>Yes</v>
      </c>
      <c r="H78" s="6" t="str">
        <f>_xlfn.XLOOKUP(C78,Tab_Def_Flows[Flow_Name],Tab_Def_Flows[Use_E5],,0,)</f>
        <v>Yes</v>
      </c>
      <c r="I78" s="6" t="str">
        <f>_xlfn.XLOOKUP(C78,Tab_Def_Flows[Flow_Name],Tab_Def_Flows[Use_E6],,0,)</f>
        <v>Yes</v>
      </c>
      <c r="J78" s="52"/>
      <c r="K78" s="53"/>
      <c r="L78" s="3" t="str">
        <f>'0_Configuration'!$C$41</f>
        <v>Mg</v>
      </c>
      <c r="M78" s="10"/>
      <c r="N78" s="23" t="s">
        <v>3</v>
      </c>
      <c r="O78" s="4"/>
      <c r="P78" s="4"/>
      <c r="Q78" s="10"/>
      <c r="R78" s="3">
        <f>_xlfn.XLOOKUP(Tab_Data_Flows[[#This Row],[Flow_Name]],Tab_Def_Flows[Flow_Name],Tab_Def_Flows[Flow_E1_Fraction'[%']],"N.A.",0,1)</f>
        <v>0</v>
      </c>
      <c r="S78" s="9">
        <f t="shared" si="2"/>
        <v>0</v>
      </c>
      <c r="T78" s="3" t="str">
        <f>Tab_Data_Flows[[#This Row],[UoM_Source]]</f>
        <v>Mg</v>
      </c>
      <c r="U78" s="24">
        <f>_xlfn.XLOOKUP(Tab_Data_Flows[[#This Row],[Flow_Name]],Tab_Def_Flows[Flow_Name],Tab_Def_Flows[Flow_E2_Fraction'[%']],"N.A.",0,1)</f>
        <v>0</v>
      </c>
      <c r="V78" s="3">
        <f>IF(D78="Yes",S78*Tab_Data_Flows[[#This Row],[E2_Fraction'[%']]],"N.A.")</f>
        <v>0</v>
      </c>
      <c r="W78" s="3" t="str">
        <f>Tab_Data_Flows[[#This Row],[E1_UoM]]</f>
        <v>Mg</v>
      </c>
      <c r="X78" s="24">
        <f>_xlfn.XLOOKUP(Tab_Data_Flows[[#This Row],[Flow_Name]],Tab_Def_Flows[Flow_Name],Tab_Def_Flows[Flow_E3_Fraction'[%']],"N.A.",0,1)</f>
        <v>0</v>
      </c>
      <c r="Y78" s="3">
        <f>IF(E78="Yes",X78*Tab_Data_Flows[[#This Row],[E1_value]],"N.A.")</f>
        <v>0</v>
      </c>
      <c r="Z78" s="3" t="str">
        <f>Tab_Data_Flows[[#This Row],[E1_UoM]]</f>
        <v>Mg</v>
      </c>
      <c r="AA78" s="24">
        <f>_xlfn.XLOOKUP(Tab_Data_Flows[[#This Row],[Flow_Name]],Tab_Def_Flows[Flow_Name],Tab_Def_Flows[Flow_E4_Fraction'[%']],"N.A.",0,1)</f>
        <v>0</v>
      </c>
      <c r="AB78" s="3">
        <f>IF(H78="Yes",Tab_Data_Flows[[#This Row],[E4_Fraction'[%']]]*Tab_Data_Flows[[#This Row],[E1_value]],"N.A.")</f>
        <v>0</v>
      </c>
      <c r="AC78" s="3" t="str">
        <f>Tab_Data_Flows[[#This Row],[E1_UoM]]</f>
        <v>Mg</v>
      </c>
      <c r="AD78" s="24">
        <f>_xlfn.XLOOKUP(Tab_Data_Flows[[#This Row],[Flow_Name]],Tab_Def_Flows[Flow_Name],Tab_Def_Flows[Flow_E5_Fraction'[%']],"N.A.",0,1)</f>
        <v>0</v>
      </c>
      <c r="AE78" s="3">
        <f>IF(H78="Yes",Tab_Data_Flows[[#This Row],[E5_Fraction'[%']]]*Tab_Data_Flows[[#This Row],[E1_value]],"N.A.")</f>
        <v>0</v>
      </c>
      <c r="AF78" s="3" t="str">
        <f>Tab_Data_Flows[[#This Row],[E1_UoM]]</f>
        <v>Mg</v>
      </c>
      <c r="AG78" s="24">
        <f>_xlfn.XLOOKUP(Tab_Data_Flows[[#This Row],[Flow_Name]],Tab_Def_Flows[Flow_Name],Tab_Def_Flows[Flow_E6_Fraction'[%']],"N.A.",0,1)</f>
        <v>0</v>
      </c>
      <c r="AH78" s="3">
        <f>IF(Tab_Data_Flows[[#This Row],[Use_E6]]="Yes",Tab_Data_Flows[[#This Row],[E6_Fraction'[%']]]*Tab_Data_Flows[[#This Row],[E1_value]],"N.A.")</f>
        <v>0</v>
      </c>
      <c r="AI78" s="3" t="str">
        <f>Tab_Data_Flows[[#This Row],[E1_UoM]]</f>
        <v>Mg</v>
      </c>
    </row>
    <row r="79" spans="1:35" x14ac:dyDescent="0.25">
      <c r="A79" s="5">
        <f t="shared" si="3"/>
        <v>78</v>
      </c>
      <c r="B79" s="3" t="str">
        <f>_xlfn.XLOOKUP(C79,Tab_Def_Flows[Flow_Name],Tab_Def_Flows[Flow_ID],,0,)</f>
        <v>F__</v>
      </c>
      <c r="C79" s="23" t="s">
        <v>5</v>
      </c>
      <c r="D79" s="6" t="str">
        <f>_xlfn.XLOOKUP(C79,Tab_Def_Flows[Flow_Name],Tab_Def_Flows[Use_E1],,0,)</f>
        <v>Yes</v>
      </c>
      <c r="E79" s="6" t="str">
        <f>_xlfn.XLOOKUP(C79,Tab_Def_Flows[Flow_Name],Tab_Def_Flows[Use_E2],,0,)</f>
        <v>Yes</v>
      </c>
      <c r="F79" s="6" t="str">
        <f>_xlfn.XLOOKUP(C79,Tab_Def_Flows[Flow_Name],Tab_Def_Flows[Use_E3],,0,)</f>
        <v>Yes</v>
      </c>
      <c r="G79" s="6" t="str">
        <f>_xlfn.XLOOKUP(C79,Tab_Def_Flows[Flow_Name],Tab_Def_Flows[Use_E4],,0,)</f>
        <v>Yes</v>
      </c>
      <c r="H79" s="6" t="str">
        <f>_xlfn.XLOOKUP(C79,Tab_Def_Flows[Flow_Name],Tab_Def_Flows[Use_E5],,0,)</f>
        <v>Yes</v>
      </c>
      <c r="I79" s="6" t="str">
        <f>_xlfn.XLOOKUP(C79,Tab_Def_Flows[Flow_Name],Tab_Def_Flows[Use_E6],,0,)</f>
        <v>Yes</v>
      </c>
      <c r="J79" s="52"/>
      <c r="K79" s="53"/>
      <c r="L79" s="3" t="str">
        <f>'0_Configuration'!$C$41</f>
        <v>Mg</v>
      </c>
      <c r="M79" s="10"/>
      <c r="N79" s="23" t="s">
        <v>3</v>
      </c>
      <c r="O79" s="4"/>
      <c r="P79" s="4"/>
      <c r="Q79" s="10"/>
      <c r="R79" s="3">
        <f>_xlfn.XLOOKUP(Tab_Data_Flows[[#This Row],[Flow_Name]],Tab_Def_Flows[Flow_Name],Tab_Def_Flows[Flow_E1_Fraction'[%']],"N.A.",0,1)</f>
        <v>0</v>
      </c>
      <c r="S79" s="9">
        <f t="shared" si="2"/>
        <v>0</v>
      </c>
      <c r="T79" s="3" t="str">
        <f>Tab_Data_Flows[[#This Row],[UoM_Source]]</f>
        <v>Mg</v>
      </c>
      <c r="U79" s="24">
        <f>_xlfn.XLOOKUP(Tab_Data_Flows[[#This Row],[Flow_Name]],Tab_Def_Flows[Flow_Name],Tab_Def_Flows[Flow_E2_Fraction'[%']],"N.A.",0,1)</f>
        <v>0</v>
      </c>
      <c r="V79" s="3">
        <f>IF(D79="Yes",S79*Tab_Data_Flows[[#This Row],[E2_Fraction'[%']]],"N.A.")</f>
        <v>0</v>
      </c>
      <c r="W79" s="3" t="str">
        <f>Tab_Data_Flows[[#This Row],[E1_UoM]]</f>
        <v>Mg</v>
      </c>
      <c r="X79" s="24">
        <f>_xlfn.XLOOKUP(Tab_Data_Flows[[#This Row],[Flow_Name]],Tab_Def_Flows[Flow_Name],Tab_Def_Flows[Flow_E3_Fraction'[%']],"N.A.",0,1)</f>
        <v>0</v>
      </c>
      <c r="Y79" s="3">
        <f>IF(E79="Yes",X79*Tab_Data_Flows[[#This Row],[E1_value]],"N.A.")</f>
        <v>0</v>
      </c>
      <c r="Z79" s="3" t="str">
        <f>Tab_Data_Flows[[#This Row],[E1_UoM]]</f>
        <v>Mg</v>
      </c>
      <c r="AA79" s="24">
        <f>_xlfn.XLOOKUP(Tab_Data_Flows[[#This Row],[Flow_Name]],Tab_Def_Flows[Flow_Name],Tab_Def_Flows[Flow_E4_Fraction'[%']],"N.A.",0,1)</f>
        <v>0</v>
      </c>
      <c r="AB79" s="3">
        <f>IF(H79="Yes",Tab_Data_Flows[[#This Row],[E4_Fraction'[%']]]*Tab_Data_Flows[[#This Row],[E1_value]],"N.A.")</f>
        <v>0</v>
      </c>
      <c r="AC79" s="3" t="str">
        <f>Tab_Data_Flows[[#This Row],[E1_UoM]]</f>
        <v>Mg</v>
      </c>
      <c r="AD79" s="24">
        <f>_xlfn.XLOOKUP(Tab_Data_Flows[[#This Row],[Flow_Name]],Tab_Def_Flows[Flow_Name],Tab_Def_Flows[Flow_E5_Fraction'[%']],"N.A.",0,1)</f>
        <v>0</v>
      </c>
      <c r="AE79" s="3">
        <f>IF(H79="Yes",Tab_Data_Flows[[#This Row],[E5_Fraction'[%']]]*Tab_Data_Flows[[#This Row],[E1_value]],"N.A.")</f>
        <v>0</v>
      </c>
      <c r="AF79" s="3" t="str">
        <f>Tab_Data_Flows[[#This Row],[E1_UoM]]</f>
        <v>Mg</v>
      </c>
      <c r="AG79" s="24">
        <f>_xlfn.XLOOKUP(Tab_Data_Flows[[#This Row],[Flow_Name]],Tab_Def_Flows[Flow_Name],Tab_Def_Flows[Flow_E6_Fraction'[%']],"N.A.",0,1)</f>
        <v>0</v>
      </c>
      <c r="AH79" s="3">
        <f>IF(Tab_Data_Flows[[#This Row],[Use_E6]]="Yes",Tab_Data_Flows[[#This Row],[E6_Fraction'[%']]]*Tab_Data_Flows[[#This Row],[E1_value]],"N.A.")</f>
        <v>0</v>
      </c>
      <c r="AI79" s="3" t="str">
        <f>Tab_Data_Flows[[#This Row],[E1_UoM]]</f>
        <v>Mg</v>
      </c>
    </row>
    <row r="80" spans="1:35" x14ac:dyDescent="0.25">
      <c r="A80" s="5">
        <f t="shared" si="3"/>
        <v>79</v>
      </c>
      <c r="B80" s="3" t="str">
        <f>_xlfn.XLOOKUP(C80,Tab_Def_Flows[Flow_Name],Tab_Def_Flows[Flow_ID],,0,)</f>
        <v>F__</v>
      </c>
      <c r="C80" s="23" t="s">
        <v>5</v>
      </c>
      <c r="D80" s="6" t="str">
        <f>_xlfn.XLOOKUP(C80,Tab_Def_Flows[Flow_Name],Tab_Def_Flows[Use_E1],,0,)</f>
        <v>Yes</v>
      </c>
      <c r="E80" s="6" t="str">
        <f>_xlfn.XLOOKUP(C80,Tab_Def_Flows[Flow_Name],Tab_Def_Flows[Use_E2],,0,)</f>
        <v>Yes</v>
      </c>
      <c r="F80" s="6" t="str">
        <f>_xlfn.XLOOKUP(C80,Tab_Def_Flows[Flow_Name],Tab_Def_Flows[Use_E3],,0,)</f>
        <v>Yes</v>
      </c>
      <c r="G80" s="6" t="str">
        <f>_xlfn.XLOOKUP(C80,Tab_Def_Flows[Flow_Name],Tab_Def_Flows[Use_E4],,0,)</f>
        <v>Yes</v>
      </c>
      <c r="H80" s="6" t="str">
        <f>_xlfn.XLOOKUP(C80,Tab_Def_Flows[Flow_Name],Tab_Def_Flows[Use_E5],,0,)</f>
        <v>Yes</v>
      </c>
      <c r="I80" s="6" t="str">
        <f>_xlfn.XLOOKUP(C80,Tab_Def_Flows[Flow_Name],Tab_Def_Flows[Use_E6],,0,)</f>
        <v>Yes</v>
      </c>
      <c r="J80" s="52"/>
      <c r="K80" s="53"/>
      <c r="L80" s="3" t="str">
        <f>'0_Configuration'!$C$41</f>
        <v>Mg</v>
      </c>
      <c r="M80" s="10"/>
      <c r="N80" s="23" t="s">
        <v>3</v>
      </c>
      <c r="O80" s="4"/>
      <c r="P80" s="4"/>
      <c r="Q80" s="10"/>
      <c r="R80" s="3">
        <f>_xlfn.XLOOKUP(Tab_Data_Flows[[#This Row],[Flow_Name]],Tab_Def_Flows[Flow_Name],Tab_Def_Flows[Flow_E1_Fraction'[%']],"N.A.",0,1)</f>
        <v>0</v>
      </c>
      <c r="S80" s="9">
        <f t="shared" si="2"/>
        <v>0</v>
      </c>
      <c r="T80" s="3" t="str">
        <f>Tab_Data_Flows[[#This Row],[UoM_Source]]</f>
        <v>Mg</v>
      </c>
      <c r="U80" s="24">
        <f>_xlfn.XLOOKUP(Tab_Data_Flows[[#This Row],[Flow_Name]],Tab_Def_Flows[Flow_Name],Tab_Def_Flows[Flow_E2_Fraction'[%']],"N.A.",0,1)</f>
        <v>0</v>
      </c>
      <c r="V80" s="3">
        <f>IF(D80="Yes",S80*Tab_Data_Flows[[#This Row],[E2_Fraction'[%']]],"N.A.")</f>
        <v>0</v>
      </c>
      <c r="W80" s="3" t="str">
        <f>Tab_Data_Flows[[#This Row],[E1_UoM]]</f>
        <v>Mg</v>
      </c>
      <c r="X80" s="24">
        <f>_xlfn.XLOOKUP(Tab_Data_Flows[[#This Row],[Flow_Name]],Tab_Def_Flows[Flow_Name],Tab_Def_Flows[Flow_E3_Fraction'[%']],"N.A.",0,1)</f>
        <v>0</v>
      </c>
      <c r="Y80" s="3">
        <f>IF(E80="Yes",X80*Tab_Data_Flows[[#This Row],[E1_value]],"N.A.")</f>
        <v>0</v>
      </c>
      <c r="Z80" s="3" t="str">
        <f>Tab_Data_Flows[[#This Row],[E1_UoM]]</f>
        <v>Mg</v>
      </c>
      <c r="AA80" s="24">
        <f>_xlfn.XLOOKUP(Tab_Data_Flows[[#This Row],[Flow_Name]],Tab_Def_Flows[Flow_Name],Tab_Def_Flows[Flow_E4_Fraction'[%']],"N.A.",0,1)</f>
        <v>0</v>
      </c>
      <c r="AB80" s="3">
        <f>IF(H80="Yes",Tab_Data_Flows[[#This Row],[E4_Fraction'[%']]]*Tab_Data_Flows[[#This Row],[E1_value]],"N.A.")</f>
        <v>0</v>
      </c>
      <c r="AC80" s="3" t="str">
        <f>Tab_Data_Flows[[#This Row],[E1_UoM]]</f>
        <v>Mg</v>
      </c>
      <c r="AD80" s="24">
        <f>_xlfn.XLOOKUP(Tab_Data_Flows[[#This Row],[Flow_Name]],Tab_Def_Flows[Flow_Name],Tab_Def_Flows[Flow_E5_Fraction'[%']],"N.A.",0,1)</f>
        <v>0</v>
      </c>
      <c r="AE80" s="3">
        <f>IF(H80="Yes",Tab_Data_Flows[[#This Row],[E5_Fraction'[%']]]*Tab_Data_Flows[[#This Row],[E1_value]],"N.A.")</f>
        <v>0</v>
      </c>
      <c r="AF80" s="3" t="str">
        <f>Tab_Data_Flows[[#This Row],[E1_UoM]]</f>
        <v>Mg</v>
      </c>
      <c r="AG80" s="24">
        <f>_xlfn.XLOOKUP(Tab_Data_Flows[[#This Row],[Flow_Name]],Tab_Def_Flows[Flow_Name],Tab_Def_Flows[Flow_E6_Fraction'[%']],"N.A.",0,1)</f>
        <v>0</v>
      </c>
      <c r="AH80" s="3">
        <f>IF(Tab_Data_Flows[[#This Row],[Use_E6]]="Yes",Tab_Data_Flows[[#This Row],[E6_Fraction'[%']]]*Tab_Data_Flows[[#This Row],[E1_value]],"N.A.")</f>
        <v>0</v>
      </c>
      <c r="AI80" s="3" t="str">
        <f>Tab_Data_Flows[[#This Row],[E1_UoM]]</f>
        <v>Mg</v>
      </c>
    </row>
    <row r="81" spans="1:35" x14ac:dyDescent="0.25">
      <c r="A81" s="5">
        <f t="shared" si="3"/>
        <v>80</v>
      </c>
      <c r="B81" s="3" t="str">
        <f>_xlfn.XLOOKUP(C81,Tab_Def_Flows[Flow_Name],Tab_Def_Flows[Flow_ID],,0,)</f>
        <v>F__</v>
      </c>
      <c r="C81" s="23" t="s">
        <v>5</v>
      </c>
      <c r="D81" s="6" t="str">
        <f>_xlfn.XLOOKUP(C81,Tab_Def_Flows[Flow_Name],Tab_Def_Flows[Use_E1],,0,)</f>
        <v>Yes</v>
      </c>
      <c r="E81" s="6" t="str">
        <f>_xlfn.XLOOKUP(C81,Tab_Def_Flows[Flow_Name],Tab_Def_Flows[Use_E2],,0,)</f>
        <v>Yes</v>
      </c>
      <c r="F81" s="6" t="str">
        <f>_xlfn.XLOOKUP(C81,Tab_Def_Flows[Flow_Name],Tab_Def_Flows[Use_E3],,0,)</f>
        <v>Yes</v>
      </c>
      <c r="G81" s="6" t="str">
        <f>_xlfn.XLOOKUP(C81,Tab_Def_Flows[Flow_Name],Tab_Def_Flows[Use_E4],,0,)</f>
        <v>Yes</v>
      </c>
      <c r="H81" s="6" t="str">
        <f>_xlfn.XLOOKUP(C81,Tab_Def_Flows[Flow_Name],Tab_Def_Flows[Use_E5],,0,)</f>
        <v>Yes</v>
      </c>
      <c r="I81" s="6" t="str">
        <f>_xlfn.XLOOKUP(C81,Tab_Def_Flows[Flow_Name],Tab_Def_Flows[Use_E6],,0,)</f>
        <v>Yes</v>
      </c>
      <c r="J81" s="52"/>
      <c r="K81" s="53"/>
      <c r="L81" s="3" t="str">
        <f>'0_Configuration'!$C$41</f>
        <v>Mg</v>
      </c>
      <c r="M81" s="10"/>
      <c r="N81" s="23" t="s">
        <v>3</v>
      </c>
      <c r="O81" s="4"/>
      <c r="P81" s="4"/>
      <c r="Q81" s="10"/>
      <c r="R81" s="3">
        <f>_xlfn.XLOOKUP(Tab_Data_Flows[[#This Row],[Flow_Name]],Tab_Def_Flows[Flow_Name],Tab_Def_Flows[Flow_E1_Fraction'[%']],"N.A.",0,1)</f>
        <v>0</v>
      </c>
      <c r="S81" s="9">
        <f t="shared" si="2"/>
        <v>0</v>
      </c>
      <c r="T81" s="3" t="str">
        <f>Tab_Data_Flows[[#This Row],[UoM_Source]]</f>
        <v>Mg</v>
      </c>
      <c r="U81" s="24">
        <f>_xlfn.XLOOKUP(Tab_Data_Flows[[#This Row],[Flow_Name]],Tab_Def_Flows[Flow_Name],Tab_Def_Flows[Flow_E2_Fraction'[%']],"N.A.",0,1)</f>
        <v>0</v>
      </c>
      <c r="V81" s="3">
        <f>IF(D81="Yes",S81*Tab_Data_Flows[[#This Row],[E2_Fraction'[%']]],"N.A.")</f>
        <v>0</v>
      </c>
      <c r="W81" s="3" t="str">
        <f>Tab_Data_Flows[[#This Row],[E1_UoM]]</f>
        <v>Mg</v>
      </c>
      <c r="X81" s="24">
        <f>_xlfn.XLOOKUP(Tab_Data_Flows[[#This Row],[Flow_Name]],Tab_Def_Flows[Flow_Name],Tab_Def_Flows[Flow_E3_Fraction'[%']],"N.A.",0,1)</f>
        <v>0</v>
      </c>
      <c r="Y81" s="3">
        <f>IF(E81="Yes",X81*Tab_Data_Flows[[#This Row],[E1_value]],"N.A.")</f>
        <v>0</v>
      </c>
      <c r="Z81" s="3" t="str">
        <f>Tab_Data_Flows[[#This Row],[E1_UoM]]</f>
        <v>Mg</v>
      </c>
      <c r="AA81" s="24">
        <f>_xlfn.XLOOKUP(Tab_Data_Flows[[#This Row],[Flow_Name]],Tab_Def_Flows[Flow_Name],Tab_Def_Flows[Flow_E4_Fraction'[%']],"N.A.",0,1)</f>
        <v>0</v>
      </c>
      <c r="AB81" s="3">
        <f>IF(H81="Yes",Tab_Data_Flows[[#This Row],[E4_Fraction'[%']]]*Tab_Data_Flows[[#This Row],[E1_value]],"N.A.")</f>
        <v>0</v>
      </c>
      <c r="AC81" s="3" t="str">
        <f>Tab_Data_Flows[[#This Row],[E1_UoM]]</f>
        <v>Mg</v>
      </c>
      <c r="AD81" s="24">
        <f>_xlfn.XLOOKUP(Tab_Data_Flows[[#This Row],[Flow_Name]],Tab_Def_Flows[Flow_Name],Tab_Def_Flows[Flow_E5_Fraction'[%']],"N.A.",0,1)</f>
        <v>0</v>
      </c>
      <c r="AE81" s="3">
        <f>IF(H81="Yes",Tab_Data_Flows[[#This Row],[E5_Fraction'[%']]]*Tab_Data_Flows[[#This Row],[E1_value]],"N.A.")</f>
        <v>0</v>
      </c>
      <c r="AF81" s="3" t="str">
        <f>Tab_Data_Flows[[#This Row],[E1_UoM]]</f>
        <v>Mg</v>
      </c>
      <c r="AG81" s="24">
        <f>_xlfn.XLOOKUP(Tab_Data_Flows[[#This Row],[Flow_Name]],Tab_Def_Flows[Flow_Name],Tab_Def_Flows[Flow_E6_Fraction'[%']],"N.A.",0,1)</f>
        <v>0</v>
      </c>
      <c r="AH81" s="3">
        <f>IF(Tab_Data_Flows[[#This Row],[Use_E6]]="Yes",Tab_Data_Flows[[#This Row],[E6_Fraction'[%']]]*Tab_Data_Flows[[#This Row],[E1_value]],"N.A.")</f>
        <v>0</v>
      </c>
      <c r="AI81" s="3" t="str">
        <f>Tab_Data_Flows[[#This Row],[E1_UoM]]</f>
        <v>Mg</v>
      </c>
    </row>
    <row r="82" spans="1:35" x14ac:dyDescent="0.25">
      <c r="A82" s="5">
        <f t="shared" si="3"/>
        <v>81</v>
      </c>
      <c r="B82" s="3" t="str">
        <f>_xlfn.XLOOKUP(C82,Tab_Def_Flows[Flow_Name],Tab_Def_Flows[Flow_ID],,0,)</f>
        <v>F__</v>
      </c>
      <c r="C82" s="23" t="s">
        <v>5</v>
      </c>
      <c r="D82" s="6" t="str">
        <f>_xlfn.XLOOKUP(C82,Tab_Def_Flows[Flow_Name],Tab_Def_Flows[Use_E1],,0,)</f>
        <v>Yes</v>
      </c>
      <c r="E82" s="6" t="str">
        <f>_xlfn.XLOOKUP(C82,Tab_Def_Flows[Flow_Name],Tab_Def_Flows[Use_E2],,0,)</f>
        <v>Yes</v>
      </c>
      <c r="F82" s="6" t="str">
        <f>_xlfn.XLOOKUP(C82,Tab_Def_Flows[Flow_Name],Tab_Def_Flows[Use_E3],,0,)</f>
        <v>Yes</v>
      </c>
      <c r="G82" s="6" t="str">
        <f>_xlfn.XLOOKUP(C82,Tab_Def_Flows[Flow_Name],Tab_Def_Flows[Use_E4],,0,)</f>
        <v>Yes</v>
      </c>
      <c r="H82" s="6" t="str">
        <f>_xlfn.XLOOKUP(C82,Tab_Def_Flows[Flow_Name],Tab_Def_Flows[Use_E5],,0,)</f>
        <v>Yes</v>
      </c>
      <c r="I82" s="6" t="str">
        <f>_xlfn.XLOOKUP(C82,Tab_Def_Flows[Flow_Name],Tab_Def_Flows[Use_E6],,0,)</f>
        <v>Yes</v>
      </c>
      <c r="J82" s="52"/>
      <c r="K82" s="53"/>
      <c r="L82" s="3" t="str">
        <f>'0_Configuration'!$C$41</f>
        <v>Mg</v>
      </c>
      <c r="M82" s="10"/>
      <c r="N82" s="23" t="s">
        <v>3</v>
      </c>
      <c r="O82" s="4"/>
      <c r="P82" s="4"/>
      <c r="Q82" s="10"/>
      <c r="R82" s="3">
        <f>_xlfn.XLOOKUP(Tab_Data_Flows[[#This Row],[Flow_Name]],Tab_Def_Flows[Flow_Name],Tab_Def_Flows[Flow_E1_Fraction'[%']],"N.A.",0,1)</f>
        <v>0</v>
      </c>
      <c r="S82" s="9">
        <f t="shared" si="2"/>
        <v>0</v>
      </c>
      <c r="T82" s="3" t="str">
        <f>Tab_Data_Flows[[#This Row],[UoM_Source]]</f>
        <v>Mg</v>
      </c>
      <c r="U82" s="24">
        <f>_xlfn.XLOOKUP(Tab_Data_Flows[[#This Row],[Flow_Name]],Tab_Def_Flows[Flow_Name],Tab_Def_Flows[Flow_E2_Fraction'[%']],"N.A.",0,1)</f>
        <v>0</v>
      </c>
      <c r="V82" s="3">
        <f>IF(D82="Yes",S82*Tab_Data_Flows[[#This Row],[E2_Fraction'[%']]],"N.A.")</f>
        <v>0</v>
      </c>
      <c r="W82" s="3" t="str">
        <f>Tab_Data_Flows[[#This Row],[E1_UoM]]</f>
        <v>Mg</v>
      </c>
      <c r="X82" s="24">
        <f>_xlfn.XLOOKUP(Tab_Data_Flows[[#This Row],[Flow_Name]],Tab_Def_Flows[Flow_Name],Tab_Def_Flows[Flow_E3_Fraction'[%']],"N.A.",0,1)</f>
        <v>0</v>
      </c>
      <c r="Y82" s="3">
        <f>IF(E82="Yes",X82*Tab_Data_Flows[[#This Row],[E1_value]],"N.A.")</f>
        <v>0</v>
      </c>
      <c r="Z82" s="3" t="str">
        <f>Tab_Data_Flows[[#This Row],[E1_UoM]]</f>
        <v>Mg</v>
      </c>
      <c r="AA82" s="24">
        <f>_xlfn.XLOOKUP(Tab_Data_Flows[[#This Row],[Flow_Name]],Tab_Def_Flows[Flow_Name],Tab_Def_Flows[Flow_E4_Fraction'[%']],"N.A.",0,1)</f>
        <v>0</v>
      </c>
      <c r="AB82" s="3">
        <f>IF(H82="Yes",Tab_Data_Flows[[#This Row],[E4_Fraction'[%']]]*Tab_Data_Flows[[#This Row],[E1_value]],"N.A.")</f>
        <v>0</v>
      </c>
      <c r="AC82" s="3" t="str">
        <f>Tab_Data_Flows[[#This Row],[E1_UoM]]</f>
        <v>Mg</v>
      </c>
      <c r="AD82" s="24">
        <f>_xlfn.XLOOKUP(Tab_Data_Flows[[#This Row],[Flow_Name]],Tab_Def_Flows[Flow_Name],Tab_Def_Flows[Flow_E5_Fraction'[%']],"N.A.",0,1)</f>
        <v>0</v>
      </c>
      <c r="AE82" s="3">
        <f>IF(H82="Yes",Tab_Data_Flows[[#This Row],[E5_Fraction'[%']]]*Tab_Data_Flows[[#This Row],[E1_value]],"N.A.")</f>
        <v>0</v>
      </c>
      <c r="AF82" s="3" t="str">
        <f>Tab_Data_Flows[[#This Row],[E1_UoM]]</f>
        <v>Mg</v>
      </c>
      <c r="AG82" s="24">
        <f>_xlfn.XLOOKUP(Tab_Data_Flows[[#This Row],[Flow_Name]],Tab_Def_Flows[Flow_Name],Tab_Def_Flows[Flow_E6_Fraction'[%']],"N.A.",0,1)</f>
        <v>0</v>
      </c>
      <c r="AH82" s="3">
        <f>IF(Tab_Data_Flows[[#This Row],[Use_E6]]="Yes",Tab_Data_Flows[[#This Row],[E6_Fraction'[%']]]*Tab_Data_Flows[[#This Row],[E1_value]],"N.A.")</f>
        <v>0</v>
      </c>
      <c r="AI82" s="3" t="str">
        <f>Tab_Data_Flows[[#This Row],[E1_UoM]]</f>
        <v>Mg</v>
      </c>
    </row>
    <row r="83" spans="1:35" x14ac:dyDescent="0.25">
      <c r="A83" s="5">
        <f t="shared" si="3"/>
        <v>82</v>
      </c>
      <c r="B83" s="3" t="str">
        <f>_xlfn.XLOOKUP(C83,Tab_Def_Flows[Flow_Name],Tab_Def_Flows[Flow_ID],,0,)</f>
        <v>F__</v>
      </c>
      <c r="C83" s="23" t="s">
        <v>5</v>
      </c>
      <c r="D83" s="6" t="str">
        <f>_xlfn.XLOOKUP(C83,Tab_Def_Flows[Flow_Name],Tab_Def_Flows[Use_E1],,0,)</f>
        <v>Yes</v>
      </c>
      <c r="E83" s="6" t="str">
        <f>_xlfn.XLOOKUP(C83,Tab_Def_Flows[Flow_Name],Tab_Def_Flows[Use_E2],,0,)</f>
        <v>Yes</v>
      </c>
      <c r="F83" s="6" t="str">
        <f>_xlfn.XLOOKUP(C83,Tab_Def_Flows[Flow_Name],Tab_Def_Flows[Use_E3],,0,)</f>
        <v>Yes</v>
      </c>
      <c r="G83" s="6" t="str">
        <f>_xlfn.XLOOKUP(C83,Tab_Def_Flows[Flow_Name],Tab_Def_Flows[Use_E4],,0,)</f>
        <v>Yes</v>
      </c>
      <c r="H83" s="6" t="str">
        <f>_xlfn.XLOOKUP(C83,Tab_Def_Flows[Flow_Name],Tab_Def_Flows[Use_E5],,0,)</f>
        <v>Yes</v>
      </c>
      <c r="I83" s="6" t="str">
        <f>_xlfn.XLOOKUP(C83,Tab_Def_Flows[Flow_Name],Tab_Def_Flows[Use_E6],,0,)</f>
        <v>Yes</v>
      </c>
      <c r="J83" s="52"/>
      <c r="K83" s="53"/>
      <c r="L83" s="3" t="str">
        <f>'0_Configuration'!$C$41</f>
        <v>Mg</v>
      </c>
      <c r="M83" s="10"/>
      <c r="N83" s="23" t="s">
        <v>3</v>
      </c>
      <c r="O83" s="4"/>
      <c r="P83" s="4"/>
      <c r="Q83" s="10"/>
      <c r="R83" s="3">
        <f>_xlfn.XLOOKUP(Tab_Data_Flows[[#This Row],[Flow_Name]],Tab_Def_Flows[Flow_Name],Tab_Def_Flows[Flow_E1_Fraction'[%']],"N.A.",0,1)</f>
        <v>0</v>
      </c>
      <c r="S83" s="9">
        <f t="shared" si="2"/>
        <v>0</v>
      </c>
      <c r="T83" s="3" t="str">
        <f>Tab_Data_Flows[[#This Row],[UoM_Source]]</f>
        <v>Mg</v>
      </c>
      <c r="U83" s="24">
        <f>_xlfn.XLOOKUP(Tab_Data_Flows[[#This Row],[Flow_Name]],Tab_Def_Flows[Flow_Name],Tab_Def_Flows[Flow_E2_Fraction'[%']],"N.A.",0,1)</f>
        <v>0</v>
      </c>
      <c r="V83" s="3">
        <f>IF(D83="Yes",S83*Tab_Data_Flows[[#This Row],[E2_Fraction'[%']]],"N.A.")</f>
        <v>0</v>
      </c>
      <c r="W83" s="3" t="str">
        <f>Tab_Data_Flows[[#This Row],[E1_UoM]]</f>
        <v>Mg</v>
      </c>
      <c r="X83" s="24">
        <f>_xlfn.XLOOKUP(Tab_Data_Flows[[#This Row],[Flow_Name]],Tab_Def_Flows[Flow_Name],Tab_Def_Flows[Flow_E3_Fraction'[%']],"N.A.",0,1)</f>
        <v>0</v>
      </c>
      <c r="Y83" s="3">
        <f>IF(E83="Yes",X83*Tab_Data_Flows[[#This Row],[E1_value]],"N.A.")</f>
        <v>0</v>
      </c>
      <c r="Z83" s="3" t="str">
        <f>Tab_Data_Flows[[#This Row],[E1_UoM]]</f>
        <v>Mg</v>
      </c>
      <c r="AA83" s="24">
        <f>_xlfn.XLOOKUP(Tab_Data_Flows[[#This Row],[Flow_Name]],Tab_Def_Flows[Flow_Name],Tab_Def_Flows[Flow_E4_Fraction'[%']],"N.A.",0,1)</f>
        <v>0</v>
      </c>
      <c r="AB83" s="3">
        <f>IF(H83="Yes",Tab_Data_Flows[[#This Row],[E4_Fraction'[%']]]*Tab_Data_Flows[[#This Row],[E1_value]],"N.A.")</f>
        <v>0</v>
      </c>
      <c r="AC83" s="3" t="str">
        <f>Tab_Data_Flows[[#This Row],[E1_UoM]]</f>
        <v>Mg</v>
      </c>
      <c r="AD83" s="24">
        <f>_xlfn.XLOOKUP(Tab_Data_Flows[[#This Row],[Flow_Name]],Tab_Def_Flows[Flow_Name],Tab_Def_Flows[Flow_E5_Fraction'[%']],"N.A.",0,1)</f>
        <v>0</v>
      </c>
      <c r="AE83" s="3">
        <f>IF(H83="Yes",Tab_Data_Flows[[#This Row],[E5_Fraction'[%']]]*Tab_Data_Flows[[#This Row],[E1_value]],"N.A.")</f>
        <v>0</v>
      </c>
      <c r="AF83" s="3" t="str">
        <f>Tab_Data_Flows[[#This Row],[E1_UoM]]</f>
        <v>Mg</v>
      </c>
      <c r="AG83" s="24">
        <f>_xlfn.XLOOKUP(Tab_Data_Flows[[#This Row],[Flow_Name]],Tab_Def_Flows[Flow_Name],Tab_Def_Flows[Flow_E6_Fraction'[%']],"N.A.",0,1)</f>
        <v>0</v>
      </c>
      <c r="AH83" s="3">
        <f>IF(Tab_Data_Flows[[#This Row],[Use_E6]]="Yes",Tab_Data_Flows[[#This Row],[E6_Fraction'[%']]]*Tab_Data_Flows[[#This Row],[E1_value]],"N.A.")</f>
        <v>0</v>
      </c>
      <c r="AI83" s="3" t="str">
        <f>Tab_Data_Flows[[#This Row],[E1_UoM]]</f>
        <v>Mg</v>
      </c>
    </row>
    <row r="84" spans="1:35" x14ac:dyDescent="0.25">
      <c r="A84" s="5">
        <f t="shared" si="3"/>
        <v>83</v>
      </c>
      <c r="B84" s="3" t="str">
        <f>_xlfn.XLOOKUP(C84,Tab_Def_Flows[Flow_Name],Tab_Def_Flows[Flow_ID],,0,)</f>
        <v>F__</v>
      </c>
      <c r="C84" s="23" t="s">
        <v>5</v>
      </c>
      <c r="D84" s="6" t="str">
        <f>_xlfn.XLOOKUP(C84,Tab_Def_Flows[Flow_Name],Tab_Def_Flows[Use_E1],,0,)</f>
        <v>Yes</v>
      </c>
      <c r="E84" s="6" t="str">
        <f>_xlfn.XLOOKUP(C84,Tab_Def_Flows[Flow_Name],Tab_Def_Flows[Use_E2],,0,)</f>
        <v>Yes</v>
      </c>
      <c r="F84" s="6" t="str">
        <f>_xlfn.XLOOKUP(C84,Tab_Def_Flows[Flow_Name],Tab_Def_Flows[Use_E3],,0,)</f>
        <v>Yes</v>
      </c>
      <c r="G84" s="6" t="str">
        <f>_xlfn.XLOOKUP(C84,Tab_Def_Flows[Flow_Name],Tab_Def_Flows[Use_E4],,0,)</f>
        <v>Yes</v>
      </c>
      <c r="H84" s="6" t="str">
        <f>_xlfn.XLOOKUP(C84,Tab_Def_Flows[Flow_Name],Tab_Def_Flows[Use_E5],,0,)</f>
        <v>Yes</v>
      </c>
      <c r="I84" s="6" t="str">
        <f>_xlfn.XLOOKUP(C84,Tab_Def_Flows[Flow_Name],Tab_Def_Flows[Use_E6],,0,)</f>
        <v>Yes</v>
      </c>
      <c r="J84" s="52"/>
      <c r="K84" s="53"/>
      <c r="L84" s="3" t="str">
        <f>'0_Configuration'!$C$41</f>
        <v>Mg</v>
      </c>
      <c r="M84" s="10"/>
      <c r="N84" s="23" t="s">
        <v>3</v>
      </c>
      <c r="O84" s="4"/>
      <c r="P84" s="4"/>
      <c r="Q84" s="10"/>
      <c r="R84" s="3">
        <f>_xlfn.XLOOKUP(Tab_Data_Flows[[#This Row],[Flow_Name]],Tab_Def_Flows[Flow_Name],Tab_Def_Flows[Flow_E1_Fraction'[%']],"N.A.",0,1)</f>
        <v>0</v>
      </c>
      <c r="S84" s="9">
        <f t="shared" si="2"/>
        <v>0</v>
      </c>
      <c r="T84" s="3" t="str">
        <f>Tab_Data_Flows[[#This Row],[UoM_Source]]</f>
        <v>Mg</v>
      </c>
      <c r="U84" s="24">
        <f>_xlfn.XLOOKUP(Tab_Data_Flows[[#This Row],[Flow_Name]],Tab_Def_Flows[Flow_Name],Tab_Def_Flows[Flow_E2_Fraction'[%']],"N.A.",0,1)</f>
        <v>0</v>
      </c>
      <c r="V84" s="3">
        <f>IF(D84="Yes",S84*Tab_Data_Flows[[#This Row],[E2_Fraction'[%']]],"N.A.")</f>
        <v>0</v>
      </c>
      <c r="W84" s="3" t="str">
        <f>Tab_Data_Flows[[#This Row],[E1_UoM]]</f>
        <v>Mg</v>
      </c>
      <c r="X84" s="24">
        <f>_xlfn.XLOOKUP(Tab_Data_Flows[[#This Row],[Flow_Name]],Tab_Def_Flows[Flow_Name],Tab_Def_Flows[Flow_E3_Fraction'[%']],"N.A.",0,1)</f>
        <v>0</v>
      </c>
      <c r="Y84" s="3">
        <f>IF(E84="Yes",X84*Tab_Data_Flows[[#This Row],[E1_value]],"N.A.")</f>
        <v>0</v>
      </c>
      <c r="Z84" s="3" t="str">
        <f>Tab_Data_Flows[[#This Row],[E1_UoM]]</f>
        <v>Mg</v>
      </c>
      <c r="AA84" s="24">
        <f>_xlfn.XLOOKUP(Tab_Data_Flows[[#This Row],[Flow_Name]],Tab_Def_Flows[Flow_Name],Tab_Def_Flows[Flow_E4_Fraction'[%']],"N.A.",0,1)</f>
        <v>0</v>
      </c>
      <c r="AB84" s="3">
        <f>IF(H84="Yes",Tab_Data_Flows[[#This Row],[E4_Fraction'[%']]]*Tab_Data_Flows[[#This Row],[E1_value]],"N.A.")</f>
        <v>0</v>
      </c>
      <c r="AC84" s="3" t="str">
        <f>Tab_Data_Flows[[#This Row],[E1_UoM]]</f>
        <v>Mg</v>
      </c>
      <c r="AD84" s="24">
        <f>_xlfn.XLOOKUP(Tab_Data_Flows[[#This Row],[Flow_Name]],Tab_Def_Flows[Flow_Name],Tab_Def_Flows[Flow_E5_Fraction'[%']],"N.A.",0,1)</f>
        <v>0</v>
      </c>
      <c r="AE84" s="3">
        <f>IF(H84="Yes",Tab_Data_Flows[[#This Row],[E5_Fraction'[%']]]*Tab_Data_Flows[[#This Row],[E1_value]],"N.A.")</f>
        <v>0</v>
      </c>
      <c r="AF84" s="3" t="str">
        <f>Tab_Data_Flows[[#This Row],[E1_UoM]]</f>
        <v>Mg</v>
      </c>
      <c r="AG84" s="24">
        <f>_xlfn.XLOOKUP(Tab_Data_Flows[[#This Row],[Flow_Name]],Tab_Def_Flows[Flow_Name],Tab_Def_Flows[Flow_E6_Fraction'[%']],"N.A.",0,1)</f>
        <v>0</v>
      </c>
      <c r="AH84" s="3">
        <f>IF(Tab_Data_Flows[[#This Row],[Use_E6]]="Yes",Tab_Data_Flows[[#This Row],[E6_Fraction'[%']]]*Tab_Data_Flows[[#This Row],[E1_value]],"N.A.")</f>
        <v>0</v>
      </c>
      <c r="AI84" s="3" t="str">
        <f>Tab_Data_Flows[[#This Row],[E1_UoM]]</f>
        <v>Mg</v>
      </c>
    </row>
    <row r="85" spans="1:35" x14ac:dyDescent="0.25">
      <c r="A85" s="5">
        <f t="shared" si="3"/>
        <v>84</v>
      </c>
      <c r="B85" s="3" t="str">
        <f>_xlfn.XLOOKUP(C85,Tab_Def_Flows[Flow_Name],Tab_Def_Flows[Flow_ID],,0,)</f>
        <v>F__</v>
      </c>
      <c r="C85" s="23" t="s">
        <v>5</v>
      </c>
      <c r="D85" s="6" t="str">
        <f>_xlfn.XLOOKUP(C85,Tab_Def_Flows[Flow_Name],Tab_Def_Flows[Use_E1],,0,)</f>
        <v>Yes</v>
      </c>
      <c r="E85" s="6" t="str">
        <f>_xlfn.XLOOKUP(C85,Tab_Def_Flows[Flow_Name],Tab_Def_Flows[Use_E2],,0,)</f>
        <v>Yes</v>
      </c>
      <c r="F85" s="6" t="str">
        <f>_xlfn.XLOOKUP(C85,Tab_Def_Flows[Flow_Name],Tab_Def_Flows[Use_E3],,0,)</f>
        <v>Yes</v>
      </c>
      <c r="G85" s="6" t="str">
        <f>_xlfn.XLOOKUP(C85,Tab_Def_Flows[Flow_Name],Tab_Def_Flows[Use_E4],,0,)</f>
        <v>Yes</v>
      </c>
      <c r="H85" s="6" t="str">
        <f>_xlfn.XLOOKUP(C85,Tab_Def_Flows[Flow_Name],Tab_Def_Flows[Use_E5],,0,)</f>
        <v>Yes</v>
      </c>
      <c r="I85" s="6" t="str">
        <f>_xlfn.XLOOKUP(C85,Tab_Def_Flows[Flow_Name],Tab_Def_Flows[Use_E6],,0,)</f>
        <v>Yes</v>
      </c>
      <c r="J85" s="52"/>
      <c r="K85" s="53"/>
      <c r="L85" s="3" t="str">
        <f>'0_Configuration'!$C$41</f>
        <v>Mg</v>
      </c>
      <c r="M85" s="10"/>
      <c r="N85" s="23" t="s">
        <v>3</v>
      </c>
      <c r="O85" s="4"/>
      <c r="P85" s="4"/>
      <c r="Q85" s="10"/>
      <c r="R85" s="3">
        <f>_xlfn.XLOOKUP(Tab_Data_Flows[[#This Row],[Flow_Name]],Tab_Def_Flows[Flow_Name],Tab_Def_Flows[Flow_E1_Fraction'[%']],"N.A.",0,1)</f>
        <v>0</v>
      </c>
      <c r="S85" s="9">
        <f t="shared" si="2"/>
        <v>0</v>
      </c>
      <c r="T85" s="3" t="str">
        <f>Tab_Data_Flows[[#This Row],[UoM_Source]]</f>
        <v>Mg</v>
      </c>
      <c r="U85" s="24">
        <f>_xlfn.XLOOKUP(Tab_Data_Flows[[#This Row],[Flow_Name]],Tab_Def_Flows[Flow_Name],Tab_Def_Flows[Flow_E2_Fraction'[%']],"N.A.",0,1)</f>
        <v>0</v>
      </c>
      <c r="V85" s="3">
        <f>IF(D85="Yes",S85*Tab_Data_Flows[[#This Row],[E2_Fraction'[%']]],"N.A.")</f>
        <v>0</v>
      </c>
      <c r="W85" s="3" t="str">
        <f>Tab_Data_Flows[[#This Row],[E1_UoM]]</f>
        <v>Mg</v>
      </c>
      <c r="X85" s="24">
        <f>_xlfn.XLOOKUP(Tab_Data_Flows[[#This Row],[Flow_Name]],Tab_Def_Flows[Flow_Name],Tab_Def_Flows[Flow_E3_Fraction'[%']],"N.A.",0,1)</f>
        <v>0</v>
      </c>
      <c r="Y85" s="3">
        <f>IF(E85="Yes",X85*Tab_Data_Flows[[#This Row],[E1_value]],"N.A.")</f>
        <v>0</v>
      </c>
      <c r="Z85" s="3" t="str">
        <f>Tab_Data_Flows[[#This Row],[E1_UoM]]</f>
        <v>Mg</v>
      </c>
      <c r="AA85" s="24">
        <f>_xlfn.XLOOKUP(Tab_Data_Flows[[#This Row],[Flow_Name]],Tab_Def_Flows[Flow_Name],Tab_Def_Flows[Flow_E4_Fraction'[%']],"N.A.",0,1)</f>
        <v>0</v>
      </c>
      <c r="AB85" s="3">
        <f>IF(H85="Yes",Tab_Data_Flows[[#This Row],[E4_Fraction'[%']]]*Tab_Data_Flows[[#This Row],[E1_value]],"N.A.")</f>
        <v>0</v>
      </c>
      <c r="AC85" s="3" t="str">
        <f>Tab_Data_Flows[[#This Row],[E1_UoM]]</f>
        <v>Mg</v>
      </c>
      <c r="AD85" s="24">
        <f>_xlfn.XLOOKUP(Tab_Data_Flows[[#This Row],[Flow_Name]],Tab_Def_Flows[Flow_Name],Tab_Def_Flows[Flow_E5_Fraction'[%']],"N.A.",0,1)</f>
        <v>0</v>
      </c>
      <c r="AE85" s="3">
        <f>IF(H85="Yes",Tab_Data_Flows[[#This Row],[E5_Fraction'[%']]]*Tab_Data_Flows[[#This Row],[E1_value]],"N.A.")</f>
        <v>0</v>
      </c>
      <c r="AF85" s="3" t="str">
        <f>Tab_Data_Flows[[#This Row],[E1_UoM]]</f>
        <v>Mg</v>
      </c>
      <c r="AG85" s="24">
        <f>_xlfn.XLOOKUP(Tab_Data_Flows[[#This Row],[Flow_Name]],Tab_Def_Flows[Flow_Name],Tab_Def_Flows[Flow_E6_Fraction'[%']],"N.A.",0,1)</f>
        <v>0</v>
      </c>
      <c r="AH85" s="3">
        <f>IF(Tab_Data_Flows[[#This Row],[Use_E6]]="Yes",Tab_Data_Flows[[#This Row],[E6_Fraction'[%']]]*Tab_Data_Flows[[#This Row],[E1_value]],"N.A.")</f>
        <v>0</v>
      </c>
      <c r="AI85" s="3" t="str">
        <f>Tab_Data_Flows[[#This Row],[E1_UoM]]</f>
        <v>Mg</v>
      </c>
    </row>
    <row r="86" spans="1:35" x14ac:dyDescent="0.25">
      <c r="A86" s="5">
        <f t="shared" si="3"/>
        <v>85</v>
      </c>
      <c r="B86" s="3" t="str">
        <f>_xlfn.XLOOKUP(C86,Tab_Def_Flows[Flow_Name],Tab_Def_Flows[Flow_ID],,0,)</f>
        <v>F__</v>
      </c>
      <c r="C86" s="23" t="s">
        <v>5</v>
      </c>
      <c r="D86" s="6" t="str">
        <f>_xlfn.XLOOKUP(C86,Tab_Def_Flows[Flow_Name],Tab_Def_Flows[Use_E1],,0,)</f>
        <v>Yes</v>
      </c>
      <c r="E86" s="6" t="str">
        <f>_xlfn.XLOOKUP(C86,Tab_Def_Flows[Flow_Name],Tab_Def_Flows[Use_E2],,0,)</f>
        <v>Yes</v>
      </c>
      <c r="F86" s="6" t="str">
        <f>_xlfn.XLOOKUP(C86,Tab_Def_Flows[Flow_Name],Tab_Def_Flows[Use_E3],,0,)</f>
        <v>Yes</v>
      </c>
      <c r="G86" s="6" t="str">
        <f>_xlfn.XLOOKUP(C86,Tab_Def_Flows[Flow_Name],Tab_Def_Flows[Use_E4],,0,)</f>
        <v>Yes</v>
      </c>
      <c r="H86" s="6" t="str">
        <f>_xlfn.XLOOKUP(C86,Tab_Def_Flows[Flow_Name],Tab_Def_Flows[Use_E5],,0,)</f>
        <v>Yes</v>
      </c>
      <c r="I86" s="6" t="str">
        <f>_xlfn.XLOOKUP(C86,Tab_Def_Flows[Flow_Name],Tab_Def_Flows[Use_E6],,0,)</f>
        <v>Yes</v>
      </c>
      <c r="J86" s="52"/>
      <c r="K86" s="53"/>
      <c r="L86" s="3" t="str">
        <f>'0_Configuration'!$C$41</f>
        <v>Mg</v>
      </c>
      <c r="M86" s="10"/>
      <c r="N86" s="23" t="s">
        <v>3</v>
      </c>
      <c r="O86" s="4"/>
      <c r="P86" s="4"/>
      <c r="Q86" s="10"/>
      <c r="R86" s="3">
        <f>_xlfn.XLOOKUP(Tab_Data_Flows[[#This Row],[Flow_Name]],Tab_Def_Flows[Flow_Name],Tab_Def_Flows[Flow_E1_Fraction'[%']],"N.A.",0,1)</f>
        <v>0</v>
      </c>
      <c r="S86" s="9">
        <f t="shared" si="2"/>
        <v>0</v>
      </c>
      <c r="T86" s="3" t="str">
        <f>Tab_Data_Flows[[#This Row],[UoM_Source]]</f>
        <v>Mg</v>
      </c>
      <c r="U86" s="24">
        <f>_xlfn.XLOOKUP(Tab_Data_Flows[[#This Row],[Flow_Name]],Tab_Def_Flows[Flow_Name],Tab_Def_Flows[Flow_E2_Fraction'[%']],"N.A.",0,1)</f>
        <v>0</v>
      </c>
      <c r="V86" s="3">
        <f>IF(D86="Yes",S86*Tab_Data_Flows[[#This Row],[E2_Fraction'[%']]],"N.A.")</f>
        <v>0</v>
      </c>
      <c r="W86" s="3" t="str">
        <f>Tab_Data_Flows[[#This Row],[E1_UoM]]</f>
        <v>Mg</v>
      </c>
      <c r="X86" s="24">
        <f>_xlfn.XLOOKUP(Tab_Data_Flows[[#This Row],[Flow_Name]],Tab_Def_Flows[Flow_Name],Tab_Def_Flows[Flow_E3_Fraction'[%']],"N.A.",0,1)</f>
        <v>0</v>
      </c>
      <c r="Y86" s="3">
        <f>IF(E86="Yes",X86*Tab_Data_Flows[[#This Row],[E1_value]],"N.A.")</f>
        <v>0</v>
      </c>
      <c r="Z86" s="3" t="str">
        <f>Tab_Data_Flows[[#This Row],[E1_UoM]]</f>
        <v>Mg</v>
      </c>
      <c r="AA86" s="24">
        <f>_xlfn.XLOOKUP(Tab_Data_Flows[[#This Row],[Flow_Name]],Tab_Def_Flows[Flow_Name],Tab_Def_Flows[Flow_E4_Fraction'[%']],"N.A.",0,1)</f>
        <v>0</v>
      </c>
      <c r="AB86" s="3">
        <f>IF(H86="Yes",Tab_Data_Flows[[#This Row],[E4_Fraction'[%']]]*Tab_Data_Flows[[#This Row],[E1_value]],"N.A.")</f>
        <v>0</v>
      </c>
      <c r="AC86" s="3" t="str">
        <f>Tab_Data_Flows[[#This Row],[E1_UoM]]</f>
        <v>Mg</v>
      </c>
      <c r="AD86" s="24">
        <f>_xlfn.XLOOKUP(Tab_Data_Flows[[#This Row],[Flow_Name]],Tab_Def_Flows[Flow_Name],Tab_Def_Flows[Flow_E5_Fraction'[%']],"N.A.",0,1)</f>
        <v>0</v>
      </c>
      <c r="AE86" s="3">
        <f>IF(H86="Yes",Tab_Data_Flows[[#This Row],[E5_Fraction'[%']]]*Tab_Data_Flows[[#This Row],[E1_value]],"N.A.")</f>
        <v>0</v>
      </c>
      <c r="AF86" s="3" t="str">
        <f>Tab_Data_Flows[[#This Row],[E1_UoM]]</f>
        <v>Mg</v>
      </c>
      <c r="AG86" s="24">
        <f>_xlfn.XLOOKUP(Tab_Data_Flows[[#This Row],[Flow_Name]],Tab_Def_Flows[Flow_Name],Tab_Def_Flows[Flow_E6_Fraction'[%']],"N.A.",0,1)</f>
        <v>0</v>
      </c>
      <c r="AH86" s="3">
        <f>IF(Tab_Data_Flows[[#This Row],[Use_E6]]="Yes",Tab_Data_Flows[[#This Row],[E6_Fraction'[%']]]*Tab_Data_Flows[[#This Row],[E1_value]],"N.A.")</f>
        <v>0</v>
      </c>
      <c r="AI86" s="3" t="str">
        <f>Tab_Data_Flows[[#This Row],[E1_UoM]]</f>
        <v>Mg</v>
      </c>
    </row>
    <row r="87" spans="1:35" x14ac:dyDescent="0.25">
      <c r="A87" s="5">
        <f t="shared" si="3"/>
        <v>86</v>
      </c>
      <c r="B87" s="3" t="str">
        <f>_xlfn.XLOOKUP(C87,Tab_Def_Flows[Flow_Name],Tab_Def_Flows[Flow_ID],,0,)</f>
        <v>F__</v>
      </c>
      <c r="C87" s="23" t="s">
        <v>5</v>
      </c>
      <c r="D87" s="6" t="str">
        <f>_xlfn.XLOOKUP(C87,Tab_Def_Flows[Flow_Name],Tab_Def_Flows[Use_E1],,0,)</f>
        <v>Yes</v>
      </c>
      <c r="E87" s="6" t="str">
        <f>_xlfn.XLOOKUP(C87,Tab_Def_Flows[Flow_Name],Tab_Def_Flows[Use_E2],,0,)</f>
        <v>Yes</v>
      </c>
      <c r="F87" s="6" t="str">
        <f>_xlfn.XLOOKUP(C87,Tab_Def_Flows[Flow_Name],Tab_Def_Flows[Use_E3],,0,)</f>
        <v>Yes</v>
      </c>
      <c r="G87" s="6" t="str">
        <f>_xlfn.XLOOKUP(C87,Tab_Def_Flows[Flow_Name],Tab_Def_Flows[Use_E4],,0,)</f>
        <v>Yes</v>
      </c>
      <c r="H87" s="6" t="str">
        <f>_xlfn.XLOOKUP(C87,Tab_Def_Flows[Flow_Name],Tab_Def_Flows[Use_E5],,0,)</f>
        <v>Yes</v>
      </c>
      <c r="I87" s="6" t="str">
        <f>_xlfn.XLOOKUP(C87,Tab_Def_Flows[Flow_Name],Tab_Def_Flows[Use_E6],,0,)</f>
        <v>Yes</v>
      </c>
      <c r="J87" s="52"/>
      <c r="K87" s="53"/>
      <c r="L87" s="3" t="str">
        <f>'0_Configuration'!$C$41</f>
        <v>Mg</v>
      </c>
      <c r="M87" s="10"/>
      <c r="N87" s="23" t="s">
        <v>3</v>
      </c>
      <c r="O87" s="4"/>
      <c r="P87" s="4"/>
      <c r="Q87" s="10"/>
      <c r="R87" s="3">
        <f>_xlfn.XLOOKUP(Tab_Data_Flows[[#This Row],[Flow_Name]],Tab_Def_Flows[Flow_Name],Tab_Def_Flows[Flow_E1_Fraction'[%']],"N.A.",0,1)</f>
        <v>0</v>
      </c>
      <c r="S87" s="9">
        <f t="shared" si="2"/>
        <v>0</v>
      </c>
      <c r="T87" s="3" t="str">
        <f>Tab_Data_Flows[[#This Row],[UoM_Source]]</f>
        <v>Mg</v>
      </c>
      <c r="U87" s="24">
        <f>_xlfn.XLOOKUP(Tab_Data_Flows[[#This Row],[Flow_Name]],Tab_Def_Flows[Flow_Name],Tab_Def_Flows[Flow_E2_Fraction'[%']],"N.A.",0,1)</f>
        <v>0</v>
      </c>
      <c r="V87" s="3">
        <f>IF(D87="Yes",S87*Tab_Data_Flows[[#This Row],[E2_Fraction'[%']]],"N.A.")</f>
        <v>0</v>
      </c>
      <c r="W87" s="3" t="str">
        <f>Tab_Data_Flows[[#This Row],[E1_UoM]]</f>
        <v>Mg</v>
      </c>
      <c r="X87" s="24">
        <f>_xlfn.XLOOKUP(Tab_Data_Flows[[#This Row],[Flow_Name]],Tab_Def_Flows[Flow_Name],Tab_Def_Flows[Flow_E3_Fraction'[%']],"N.A.",0,1)</f>
        <v>0</v>
      </c>
      <c r="Y87" s="3">
        <f>IF(E87="Yes",X87*Tab_Data_Flows[[#This Row],[E1_value]],"N.A.")</f>
        <v>0</v>
      </c>
      <c r="Z87" s="3" t="str">
        <f>Tab_Data_Flows[[#This Row],[E1_UoM]]</f>
        <v>Mg</v>
      </c>
      <c r="AA87" s="24">
        <f>_xlfn.XLOOKUP(Tab_Data_Flows[[#This Row],[Flow_Name]],Tab_Def_Flows[Flow_Name],Tab_Def_Flows[Flow_E4_Fraction'[%']],"N.A.",0,1)</f>
        <v>0</v>
      </c>
      <c r="AB87" s="3">
        <f>IF(H87="Yes",Tab_Data_Flows[[#This Row],[E4_Fraction'[%']]]*Tab_Data_Flows[[#This Row],[E1_value]],"N.A.")</f>
        <v>0</v>
      </c>
      <c r="AC87" s="3" t="str">
        <f>Tab_Data_Flows[[#This Row],[E1_UoM]]</f>
        <v>Mg</v>
      </c>
      <c r="AD87" s="24">
        <f>_xlfn.XLOOKUP(Tab_Data_Flows[[#This Row],[Flow_Name]],Tab_Def_Flows[Flow_Name],Tab_Def_Flows[Flow_E5_Fraction'[%']],"N.A.",0,1)</f>
        <v>0</v>
      </c>
      <c r="AE87" s="3">
        <f>IF(H87="Yes",Tab_Data_Flows[[#This Row],[E5_Fraction'[%']]]*Tab_Data_Flows[[#This Row],[E1_value]],"N.A.")</f>
        <v>0</v>
      </c>
      <c r="AF87" s="3" t="str">
        <f>Tab_Data_Flows[[#This Row],[E1_UoM]]</f>
        <v>Mg</v>
      </c>
      <c r="AG87" s="24">
        <f>_xlfn.XLOOKUP(Tab_Data_Flows[[#This Row],[Flow_Name]],Tab_Def_Flows[Flow_Name],Tab_Def_Flows[Flow_E6_Fraction'[%']],"N.A.",0,1)</f>
        <v>0</v>
      </c>
      <c r="AH87" s="3">
        <f>IF(Tab_Data_Flows[[#This Row],[Use_E6]]="Yes",Tab_Data_Flows[[#This Row],[E6_Fraction'[%']]]*Tab_Data_Flows[[#This Row],[E1_value]],"N.A.")</f>
        <v>0</v>
      </c>
      <c r="AI87" s="3" t="str">
        <f>Tab_Data_Flows[[#This Row],[E1_UoM]]</f>
        <v>Mg</v>
      </c>
    </row>
    <row r="88" spans="1:35" x14ac:dyDescent="0.25">
      <c r="A88" s="5">
        <f t="shared" si="3"/>
        <v>87</v>
      </c>
      <c r="B88" s="3" t="str">
        <f>_xlfn.XLOOKUP(C88,Tab_Def_Flows[Flow_Name],Tab_Def_Flows[Flow_ID],,0,)</f>
        <v>F__</v>
      </c>
      <c r="C88" s="23" t="s">
        <v>5</v>
      </c>
      <c r="D88" s="6" t="str">
        <f>_xlfn.XLOOKUP(C88,Tab_Def_Flows[Flow_Name],Tab_Def_Flows[Use_E1],,0,)</f>
        <v>Yes</v>
      </c>
      <c r="E88" s="6" t="str">
        <f>_xlfn.XLOOKUP(C88,Tab_Def_Flows[Flow_Name],Tab_Def_Flows[Use_E2],,0,)</f>
        <v>Yes</v>
      </c>
      <c r="F88" s="6" t="str">
        <f>_xlfn.XLOOKUP(C88,Tab_Def_Flows[Flow_Name],Tab_Def_Flows[Use_E3],,0,)</f>
        <v>Yes</v>
      </c>
      <c r="G88" s="6" t="str">
        <f>_xlfn.XLOOKUP(C88,Tab_Def_Flows[Flow_Name],Tab_Def_Flows[Use_E4],,0,)</f>
        <v>Yes</v>
      </c>
      <c r="H88" s="6" t="str">
        <f>_xlfn.XLOOKUP(C88,Tab_Def_Flows[Flow_Name],Tab_Def_Flows[Use_E5],,0,)</f>
        <v>Yes</v>
      </c>
      <c r="I88" s="6" t="str">
        <f>_xlfn.XLOOKUP(C88,Tab_Def_Flows[Flow_Name],Tab_Def_Flows[Use_E6],,0,)</f>
        <v>Yes</v>
      </c>
      <c r="J88" s="52"/>
      <c r="K88" s="53"/>
      <c r="L88" s="3" t="str">
        <f>'0_Configuration'!$C$41</f>
        <v>Mg</v>
      </c>
      <c r="M88" s="10"/>
      <c r="N88" s="23" t="s">
        <v>3</v>
      </c>
      <c r="O88" s="4"/>
      <c r="P88" s="4"/>
      <c r="Q88" s="10"/>
      <c r="R88" s="3">
        <f>_xlfn.XLOOKUP(Tab_Data_Flows[[#This Row],[Flow_Name]],Tab_Def_Flows[Flow_Name],Tab_Def_Flows[Flow_E1_Fraction'[%']],"N.A.",0,1)</f>
        <v>0</v>
      </c>
      <c r="S88" s="9">
        <f t="shared" si="2"/>
        <v>0</v>
      </c>
      <c r="T88" s="3" t="str">
        <f>Tab_Data_Flows[[#This Row],[UoM_Source]]</f>
        <v>Mg</v>
      </c>
      <c r="U88" s="24">
        <f>_xlfn.XLOOKUP(Tab_Data_Flows[[#This Row],[Flow_Name]],Tab_Def_Flows[Flow_Name],Tab_Def_Flows[Flow_E2_Fraction'[%']],"N.A.",0,1)</f>
        <v>0</v>
      </c>
      <c r="V88" s="3">
        <f>IF(D88="Yes",S88*Tab_Data_Flows[[#This Row],[E2_Fraction'[%']]],"N.A.")</f>
        <v>0</v>
      </c>
      <c r="W88" s="3" t="str">
        <f>Tab_Data_Flows[[#This Row],[E1_UoM]]</f>
        <v>Mg</v>
      </c>
      <c r="X88" s="24">
        <f>_xlfn.XLOOKUP(Tab_Data_Flows[[#This Row],[Flow_Name]],Tab_Def_Flows[Flow_Name],Tab_Def_Flows[Flow_E3_Fraction'[%']],"N.A.",0,1)</f>
        <v>0</v>
      </c>
      <c r="Y88" s="3">
        <f>IF(E88="Yes",X88*Tab_Data_Flows[[#This Row],[E1_value]],"N.A.")</f>
        <v>0</v>
      </c>
      <c r="Z88" s="3" t="str">
        <f>Tab_Data_Flows[[#This Row],[E1_UoM]]</f>
        <v>Mg</v>
      </c>
      <c r="AA88" s="24">
        <f>_xlfn.XLOOKUP(Tab_Data_Flows[[#This Row],[Flow_Name]],Tab_Def_Flows[Flow_Name],Tab_Def_Flows[Flow_E4_Fraction'[%']],"N.A.",0,1)</f>
        <v>0</v>
      </c>
      <c r="AB88" s="3">
        <f>IF(H88="Yes",Tab_Data_Flows[[#This Row],[E4_Fraction'[%']]]*Tab_Data_Flows[[#This Row],[E1_value]],"N.A.")</f>
        <v>0</v>
      </c>
      <c r="AC88" s="3" t="str">
        <f>Tab_Data_Flows[[#This Row],[E1_UoM]]</f>
        <v>Mg</v>
      </c>
      <c r="AD88" s="24">
        <f>_xlfn.XLOOKUP(Tab_Data_Flows[[#This Row],[Flow_Name]],Tab_Def_Flows[Flow_Name],Tab_Def_Flows[Flow_E5_Fraction'[%']],"N.A.",0,1)</f>
        <v>0</v>
      </c>
      <c r="AE88" s="3">
        <f>IF(H88="Yes",Tab_Data_Flows[[#This Row],[E5_Fraction'[%']]]*Tab_Data_Flows[[#This Row],[E1_value]],"N.A.")</f>
        <v>0</v>
      </c>
      <c r="AF88" s="3" t="str">
        <f>Tab_Data_Flows[[#This Row],[E1_UoM]]</f>
        <v>Mg</v>
      </c>
      <c r="AG88" s="24">
        <f>_xlfn.XLOOKUP(Tab_Data_Flows[[#This Row],[Flow_Name]],Tab_Def_Flows[Flow_Name],Tab_Def_Flows[Flow_E6_Fraction'[%']],"N.A.",0,1)</f>
        <v>0</v>
      </c>
      <c r="AH88" s="3">
        <f>IF(Tab_Data_Flows[[#This Row],[Use_E6]]="Yes",Tab_Data_Flows[[#This Row],[E6_Fraction'[%']]]*Tab_Data_Flows[[#This Row],[E1_value]],"N.A.")</f>
        <v>0</v>
      </c>
      <c r="AI88" s="3" t="str">
        <f>Tab_Data_Flows[[#This Row],[E1_UoM]]</f>
        <v>Mg</v>
      </c>
    </row>
    <row r="89" spans="1:35" x14ac:dyDescent="0.25">
      <c r="A89" s="5">
        <f t="shared" si="3"/>
        <v>88</v>
      </c>
      <c r="B89" s="3" t="str">
        <f>_xlfn.XLOOKUP(C89,Tab_Def_Flows[Flow_Name],Tab_Def_Flows[Flow_ID],,0,)</f>
        <v>F__</v>
      </c>
      <c r="C89" s="23" t="s">
        <v>5</v>
      </c>
      <c r="D89" s="6" t="str">
        <f>_xlfn.XLOOKUP(C89,Tab_Def_Flows[Flow_Name],Tab_Def_Flows[Use_E1],,0,)</f>
        <v>Yes</v>
      </c>
      <c r="E89" s="6" t="str">
        <f>_xlfn.XLOOKUP(C89,Tab_Def_Flows[Flow_Name],Tab_Def_Flows[Use_E2],,0,)</f>
        <v>Yes</v>
      </c>
      <c r="F89" s="6" t="str">
        <f>_xlfn.XLOOKUP(C89,Tab_Def_Flows[Flow_Name],Tab_Def_Flows[Use_E3],,0,)</f>
        <v>Yes</v>
      </c>
      <c r="G89" s="6" t="str">
        <f>_xlfn.XLOOKUP(C89,Tab_Def_Flows[Flow_Name],Tab_Def_Flows[Use_E4],,0,)</f>
        <v>Yes</v>
      </c>
      <c r="H89" s="6" t="str">
        <f>_xlfn.XLOOKUP(C89,Tab_Def_Flows[Flow_Name],Tab_Def_Flows[Use_E5],,0,)</f>
        <v>Yes</v>
      </c>
      <c r="I89" s="6" t="str">
        <f>_xlfn.XLOOKUP(C89,Tab_Def_Flows[Flow_Name],Tab_Def_Flows[Use_E6],,0,)</f>
        <v>Yes</v>
      </c>
      <c r="J89" s="52"/>
      <c r="K89" s="53"/>
      <c r="L89" s="3" t="str">
        <f>'0_Configuration'!$C$41</f>
        <v>Mg</v>
      </c>
      <c r="M89" s="10"/>
      <c r="N89" s="23" t="s">
        <v>3</v>
      </c>
      <c r="O89" s="11"/>
      <c r="P89" s="4"/>
      <c r="Q89" s="10"/>
      <c r="R89" s="3">
        <f>_xlfn.XLOOKUP(Tab_Data_Flows[[#This Row],[Flow_Name]],Tab_Def_Flows[Flow_Name],Tab_Def_Flows[Flow_E1_Fraction'[%']],"N.A.",0,1)</f>
        <v>0</v>
      </c>
      <c r="S89" s="9">
        <f t="shared" si="2"/>
        <v>0</v>
      </c>
      <c r="T89" s="3" t="str">
        <f>Tab_Data_Flows[[#This Row],[UoM_Source]]</f>
        <v>Mg</v>
      </c>
      <c r="U89" s="24">
        <f>_xlfn.XLOOKUP(Tab_Data_Flows[[#This Row],[Flow_Name]],Tab_Def_Flows[Flow_Name],Tab_Def_Flows[Flow_E2_Fraction'[%']],"N.A.",0,1)</f>
        <v>0</v>
      </c>
      <c r="V89" s="3">
        <f>IF(D89="Yes",S89*Tab_Data_Flows[[#This Row],[E2_Fraction'[%']]],"N.A.")</f>
        <v>0</v>
      </c>
      <c r="W89" s="3" t="str">
        <f>Tab_Data_Flows[[#This Row],[E1_UoM]]</f>
        <v>Mg</v>
      </c>
      <c r="X89" s="24">
        <f>_xlfn.XLOOKUP(Tab_Data_Flows[[#This Row],[Flow_Name]],Tab_Def_Flows[Flow_Name],Tab_Def_Flows[Flow_E3_Fraction'[%']],"N.A.",0,1)</f>
        <v>0</v>
      </c>
      <c r="Y89" s="3">
        <f>IF(E89="Yes",X89*Tab_Data_Flows[[#This Row],[E1_value]],"N.A.")</f>
        <v>0</v>
      </c>
      <c r="Z89" s="3" t="str">
        <f>Tab_Data_Flows[[#This Row],[E1_UoM]]</f>
        <v>Mg</v>
      </c>
      <c r="AA89" s="24">
        <f>_xlfn.XLOOKUP(Tab_Data_Flows[[#This Row],[Flow_Name]],Tab_Def_Flows[Flow_Name],Tab_Def_Flows[Flow_E4_Fraction'[%']],"N.A.",0,1)</f>
        <v>0</v>
      </c>
      <c r="AB89" s="3">
        <f>IF(H89="Yes",Tab_Data_Flows[[#This Row],[E4_Fraction'[%']]]*Tab_Data_Flows[[#This Row],[E1_value]],"N.A.")</f>
        <v>0</v>
      </c>
      <c r="AC89" s="3" t="str">
        <f>Tab_Data_Flows[[#This Row],[E1_UoM]]</f>
        <v>Mg</v>
      </c>
      <c r="AD89" s="24">
        <f>_xlfn.XLOOKUP(Tab_Data_Flows[[#This Row],[Flow_Name]],Tab_Def_Flows[Flow_Name],Tab_Def_Flows[Flow_E5_Fraction'[%']],"N.A.",0,1)</f>
        <v>0</v>
      </c>
      <c r="AE89" s="3">
        <f>IF(H89="Yes",Tab_Data_Flows[[#This Row],[E5_Fraction'[%']]]*Tab_Data_Flows[[#This Row],[E1_value]],"N.A.")</f>
        <v>0</v>
      </c>
      <c r="AF89" s="3" t="str">
        <f>Tab_Data_Flows[[#This Row],[E1_UoM]]</f>
        <v>Mg</v>
      </c>
      <c r="AG89" s="24">
        <f>_xlfn.XLOOKUP(Tab_Data_Flows[[#This Row],[Flow_Name]],Tab_Def_Flows[Flow_Name],Tab_Def_Flows[Flow_E6_Fraction'[%']],"N.A.",0,1)</f>
        <v>0</v>
      </c>
      <c r="AH89" s="3">
        <f>IF(Tab_Data_Flows[[#This Row],[Use_E6]]="Yes",Tab_Data_Flows[[#This Row],[E6_Fraction'[%']]]*Tab_Data_Flows[[#This Row],[E1_value]],"N.A.")</f>
        <v>0</v>
      </c>
      <c r="AI89" s="3" t="str">
        <f>Tab_Data_Flows[[#This Row],[E1_UoM]]</f>
        <v>Mg</v>
      </c>
    </row>
    <row r="90" spans="1:35" x14ac:dyDescent="0.25">
      <c r="A90" s="5">
        <f t="shared" si="3"/>
        <v>89</v>
      </c>
      <c r="B90" s="3" t="str">
        <f>_xlfn.XLOOKUP(C90,Tab_Def_Flows[Flow_Name],Tab_Def_Flows[Flow_ID],,0,)</f>
        <v>F__</v>
      </c>
      <c r="C90" s="23" t="s">
        <v>5</v>
      </c>
      <c r="D90" s="6" t="str">
        <f>_xlfn.XLOOKUP(C90,Tab_Def_Flows[Flow_Name],Tab_Def_Flows[Use_E1],,0,)</f>
        <v>Yes</v>
      </c>
      <c r="E90" s="6" t="str">
        <f>_xlfn.XLOOKUP(C90,Tab_Def_Flows[Flow_Name],Tab_Def_Flows[Use_E2],,0,)</f>
        <v>Yes</v>
      </c>
      <c r="F90" s="6" t="str">
        <f>_xlfn.XLOOKUP(C90,Tab_Def_Flows[Flow_Name],Tab_Def_Flows[Use_E3],,0,)</f>
        <v>Yes</v>
      </c>
      <c r="G90" s="6" t="str">
        <f>_xlfn.XLOOKUP(C90,Tab_Def_Flows[Flow_Name],Tab_Def_Flows[Use_E4],,0,)</f>
        <v>Yes</v>
      </c>
      <c r="H90" s="6" t="str">
        <f>_xlfn.XLOOKUP(C90,Tab_Def_Flows[Flow_Name],Tab_Def_Flows[Use_E5],,0,)</f>
        <v>Yes</v>
      </c>
      <c r="I90" s="6" t="str">
        <f>_xlfn.XLOOKUP(C90,Tab_Def_Flows[Flow_Name],Tab_Def_Flows[Use_E6],,0,)</f>
        <v>Yes</v>
      </c>
      <c r="J90" s="52"/>
      <c r="K90" s="53"/>
      <c r="L90" s="3" t="str">
        <f>'0_Configuration'!$C$41</f>
        <v>Mg</v>
      </c>
      <c r="M90" s="10"/>
      <c r="N90" s="23" t="s">
        <v>3</v>
      </c>
      <c r="O90" s="11"/>
      <c r="P90" s="4"/>
      <c r="Q90" s="10"/>
      <c r="R90" s="3">
        <f>_xlfn.XLOOKUP(Tab_Data_Flows[[#This Row],[Flow_Name]],Tab_Def_Flows[Flow_Name],Tab_Def_Flows[Flow_E1_Fraction'[%']],"N.A.",0,1)</f>
        <v>0</v>
      </c>
      <c r="S90" s="9">
        <f t="shared" si="2"/>
        <v>0</v>
      </c>
      <c r="T90" s="3" t="str">
        <f>Tab_Data_Flows[[#This Row],[UoM_Source]]</f>
        <v>Mg</v>
      </c>
      <c r="U90" s="24">
        <f>_xlfn.XLOOKUP(Tab_Data_Flows[[#This Row],[Flow_Name]],Tab_Def_Flows[Flow_Name],Tab_Def_Flows[Flow_E2_Fraction'[%']],"N.A.",0,1)</f>
        <v>0</v>
      </c>
      <c r="V90" s="3">
        <f>IF(D90="Yes",S90*Tab_Data_Flows[[#This Row],[E2_Fraction'[%']]],"N.A.")</f>
        <v>0</v>
      </c>
      <c r="W90" s="3" t="str">
        <f>Tab_Data_Flows[[#This Row],[E1_UoM]]</f>
        <v>Mg</v>
      </c>
      <c r="X90" s="24">
        <f>_xlfn.XLOOKUP(Tab_Data_Flows[[#This Row],[Flow_Name]],Tab_Def_Flows[Flow_Name],Tab_Def_Flows[Flow_E3_Fraction'[%']],"N.A.",0,1)</f>
        <v>0</v>
      </c>
      <c r="Y90" s="3">
        <f>IF(E90="Yes",X90*Tab_Data_Flows[[#This Row],[E1_value]],"N.A.")</f>
        <v>0</v>
      </c>
      <c r="Z90" s="3" t="str">
        <f>Tab_Data_Flows[[#This Row],[E1_UoM]]</f>
        <v>Mg</v>
      </c>
      <c r="AA90" s="24">
        <f>_xlfn.XLOOKUP(Tab_Data_Flows[[#This Row],[Flow_Name]],Tab_Def_Flows[Flow_Name],Tab_Def_Flows[Flow_E4_Fraction'[%']],"N.A.",0,1)</f>
        <v>0</v>
      </c>
      <c r="AB90" s="3">
        <f>IF(H90="Yes",Tab_Data_Flows[[#This Row],[E4_Fraction'[%']]]*Tab_Data_Flows[[#This Row],[E1_value]],"N.A.")</f>
        <v>0</v>
      </c>
      <c r="AC90" s="3" t="str">
        <f>Tab_Data_Flows[[#This Row],[E1_UoM]]</f>
        <v>Mg</v>
      </c>
      <c r="AD90" s="24">
        <f>_xlfn.XLOOKUP(Tab_Data_Flows[[#This Row],[Flow_Name]],Tab_Def_Flows[Flow_Name],Tab_Def_Flows[Flow_E5_Fraction'[%']],"N.A.",0,1)</f>
        <v>0</v>
      </c>
      <c r="AE90" s="3">
        <f>IF(H90="Yes",Tab_Data_Flows[[#This Row],[E5_Fraction'[%']]]*Tab_Data_Flows[[#This Row],[E1_value]],"N.A.")</f>
        <v>0</v>
      </c>
      <c r="AF90" s="3" t="str">
        <f>Tab_Data_Flows[[#This Row],[E1_UoM]]</f>
        <v>Mg</v>
      </c>
      <c r="AG90" s="24">
        <f>_xlfn.XLOOKUP(Tab_Data_Flows[[#This Row],[Flow_Name]],Tab_Def_Flows[Flow_Name],Tab_Def_Flows[Flow_E6_Fraction'[%']],"N.A.",0,1)</f>
        <v>0</v>
      </c>
      <c r="AH90" s="3">
        <f>IF(Tab_Data_Flows[[#This Row],[Use_E6]]="Yes",Tab_Data_Flows[[#This Row],[E6_Fraction'[%']]]*Tab_Data_Flows[[#This Row],[E1_value]],"N.A.")</f>
        <v>0</v>
      </c>
      <c r="AI90" s="3" t="str">
        <f>Tab_Data_Flows[[#This Row],[E1_UoM]]</f>
        <v>Mg</v>
      </c>
    </row>
    <row r="91" spans="1:35" x14ac:dyDescent="0.25">
      <c r="A91" s="5">
        <f t="shared" si="3"/>
        <v>90</v>
      </c>
      <c r="B91" s="3" t="str">
        <f>_xlfn.XLOOKUP(C91,Tab_Def_Flows[Flow_Name],Tab_Def_Flows[Flow_ID],,0,)</f>
        <v>F__</v>
      </c>
      <c r="C91" s="23" t="s">
        <v>5</v>
      </c>
      <c r="D91" s="6" t="str">
        <f>_xlfn.XLOOKUP(C91,Tab_Def_Flows[Flow_Name],Tab_Def_Flows[Use_E1],,0,)</f>
        <v>Yes</v>
      </c>
      <c r="E91" s="6" t="str">
        <f>_xlfn.XLOOKUP(C91,Tab_Def_Flows[Flow_Name],Tab_Def_Flows[Use_E2],,0,)</f>
        <v>Yes</v>
      </c>
      <c r="F91" s="6" t="str">
        <f>_xlfn.XLOOKUP(C91,Tab_Def_Flows[Flow_Name],Tab_Def_Flows[Use_E3],,0,)</f>
        <v>Yes</v>
      </c>
      <c r="G91" s="6" t="str">
        <f>_xlfn.XLOOKUP(C91,Tab_Def_Flows[Flow_Name],Tab_Def_Flows[Use_E4],,0,)</f>
        <v>Yes</v>
      </c>
      <c r="H91" s="6" t="str">
        <f>_xlfn.XLOOKUP(C91,Tab_Def_Flows[Flow_Name],Tab_Def_Flows[Use_E5],,0,)</f>
        <v>Yes</v>
      </c>
      <c r="I91" s="6" t="str">
        <f>_xlfn.XLOOKUP(C91,Tab_Def_Flows[Flow_Name],Tab_Def_Flows[Use_E6],,0,)</f>
        <v>Yes</v>
      </c>
      <c r="J91" s="52"/>
      <c r="K91" s="53"/>
      <c r="L91" s="3" t="str">
        <f>'0_Configuration'!$C$41</f>
        <v>Mg</v>
      </c>
      <c r="M91" s="10"/>
      <c r="N91" s="23" t="s">
        <v>3</v>
      </c>
      <c r="O91" s="11"/>
      <c r="P91" s="4"/>
      <c r="Q91" s="10"/>
      <c r="R91" s="3">
        <f>_xlfn.XLOOKUP(Tab_Data_Flows[[#This Row],[Flow_Name]],Tab_Def_Flows[Flow_Name],Tab_Def_Flows[Flow_E1_Fraction'[%']],"N.A.",0,1)</f>
        <v>0</v>
      </c>
      <c r="S91" s="9">
        <f t="shared" si="2"/>
        <v>0</v>
      </c>
      <c r="T91" s="3" t="str">
        <f>Tab_Data_Flows[[#This Row],[UoM_Source]]</f>
        <v>Mg</v>
      </c>
      <c r="U91" s="24">
        <f>_xlfn.XLOOKUP(Tab_Data_Flows[[#This Row],[Flow_Name]],Tab_Def_Flows[Flow_Name],Tab_Def_Flows[Flow_E2_Fraction'[%']],"N.A.",0,1)</f>
        <v>0</v>
      </c>
      <c r="V91" s="3">
        <f>IF(D91="Yes",S91*Tab_Data_Flows[[#This Row],[E2_Fraction'[%']]],"N.A.")</f>
        <v>0</v>
      </c>
      <c r="W91" s="3" t="str">
        <f>Tab_Data_Flows[[#This Row],[E1_UoM]]</f>
        <v>Mg</v>
      </c>
      <c r="X91" s="24">
        <f>_xlfn.XLOOKUP(Tab_Data_Flows[[#This Row],[Flow_Name]],Tab_Def_Flows[Flow_Name],Tab_Def_Flows[Flow_E3_Fraction'[%']],"N.A.",0,1)</f>
        <v>0</v>
      </c>
      <c r="Y91" s="3">
        <f>IF(E91="Yes",X91*Tab_Data_Flows[[#This Row],[E1_value]],"N.A.")</f>
        <v>0</v>
      </c>
      <c r="Z91" s="3" t="str">
        <f>Tab_Data_Flows[[#This Row],[E1_UoM]]</f>
        <v>Mg</v>
      </c>
      <c r="AA91" s="24">
        <f>_xlfn.XLOOKUP(Tab_Data_Flows[[#This Row],[Flow_Name]],Tab_Def_Flows[Flow_Name],Tab_Def_Flows[Flow_E4_Fraction'[%']],"N.A.",0,1)</f>
        <v>0</v>
      </c>
      <c r="AB91" s="3">
        <f>IF(H91="Yes",Tab_Data_Flows[[#This Row],[E4_Fraction'[%']]]*Tab_Data_Flows[[#This Row],[E1_value]],"N.A.")</f>
        <v>0</v>
      </c>
      <c r="AC91" s="3" t="str">
        <f>Tab_Data_Flows[[#This Row],[E1_UoM]]</f>
        <v>Mg</v>
      </c>
      <c r="AD91" s="24">
        <f>_xlfn.XLOOKUP(Tab_Data_Flows[[#This Row],[Flow_Name]],Tab_Def_Flows[Flow_Name],Tab_Def_Flows[Flow_E5_Fraction'[%']],"N.A.",0,1)</f>
        <v>0</v>
      </c>
      <c r="AE91" s="3">
        <f>IF(H91="Yes",Tab_Data_Flows[[#This Row],[E5_Fraction'[%']]]*Tab_Data_Flows[[#This Row],[E1_value]],"N.A.")</f>
        <v>0</v>
      </c>
      <c r="AF91" s="3" t="str">
        <f>Tab_Data_Flows[[#This Row],[E1_UoM]]</f>
        <v>Mg</v>
      </c>
      <c r="AG91" s="24">
        <f>_xlfn.XLOOKUP(Tab_Data_Flows[[#This Row],[Flow_Name]],Tab_Def_Flows[Flow_Name],Tab_Def_Flows[Flow_E6_Fraction'[%']],"N.A.",0,1)</f>
        <v>0</v>
      </c>
      <c r="AH91" s="3">
        <f>IF(Tab_Data_Flows[[#This Row],[Use_E6]]="Yes",Tab_Data_Flows[[#This Row],[E6_Fraction'[%']]]*Tab_Data_Flows[[#This Row],[E1_value]],"N.A.")</f>
        <v>0</v>
      </c>
      <c r="AI91" s="3" t="str">
        <f>Tab_Data_Flows[[#This Row],[E1_UoM]]</f>
        <v>Mg</v>
      </c>
    </row>
    <row r="92" spans="1:35" x14ac:dyDescent="0.25">
      <c r="A92" s="5">
        <f t="shared" si="3"/>
        <v>91</v>
      </c>
      <c r="B92" s="3" t="str">
        <f>_xlfn.XLOOKUP(C92,Tab_Def_Flows[Flow_Name],Tab_Def_Flows[Flow_ID],,0,)</f>
        <v>F__</v>
      </c>
      <c r="C92" s="23" t="s">
        <v>5</v>
      </c>
      <c r="D92" s="6" t="str">
        <f>_xlfn.XLOOKUP(C92,Tab_Def_Flows[Flow_Name],Tab_Def_Flows[Use_E1],,0,)</f>
        <v>Yes</v>
      </c>
      <c r="E92" s="6" t="str">
        <f>_xlfn.XLOOKUP(C92,Tab_Def_Flows[Flow_Name],Tab_Def_Flows[Use_E2],,0,)</f>
        <v>Yes</v>
      </c>
      <c r="F92" s="6" t="str">
        <f>_xlfn.XLOOKUP(C92,Tab_Def_Flows[Flow_Name],Tab_Def_Flows[Use_E3],,0,)</f>
        <v>Yes</v>
      </c>
      <c r="G92" s="6" t="str">
        <f>_xlfn.XLOOKUP(C92,Tab_Def_Flows[Flow_Name],Tab_Def_Flows[Use_E4],,0,)</f>
        <v>Yes</v>
      </c>
      <c r="H92" s="6" t="str">
        <f>_xlfn.XLOOKUP(C92,Tab_Def_Flows[Flow_Name],Tab_Def_Flows[Use_E5],,0,)</f>
        <v>Yes</v>
      </c>
      <c r="I92" s="6" t="str">
        <f>_xlfn.XLOOKUP(C92,Tab_Def_Flows[Flow_Name],Tab_Def_Flows[Use_E6],,0,)</f>
        <v>Yes</v>
      </c>
      <c r="J92" s="52"/>
      <c r="K92" s="53"/>
      <c r="L92" s="3" t="str">
        <f>'0_Configuration'!$C$41</f>
        <v>Mg</v>
      </c>
      <c r="M92" s="10"/>
      <c r="N92" s="23" t="s">
        <v>3</v>
      </c>
      <c r="O92" s="11"/>
      <c r="P92" s="4"/>
      <c r="Q92" s="10"/>
      <c r="R92" s="3">
        <f>_xlfn.XLOOKUP(Tab_Data_Flows[[#This Row],[Flow_Name]],Tab_Def_Flows[Flow_Name],Tab_Def_Flows[Flow_E1_Fraction'[%']],"N.A.",0,1)</f>
        <v>0</v>
      </c>
      <c r="S92" s="9">
        <f t="shared" si="2"/>
        <v>0</v>
      </c>
      <c r="T92" s="3" t="str">
        <f>Tab_Data_Flows[[#This Row],[UoM_Source]]</f>
        <v>Mg</v>
      </c>
      <c r="U92" s="24">
        <f>_xlfn.XLOOKUP(Tab_Data_Flows[[#This Row],[Flow_Name]],Tab_Def_Flows[Flow_Name],Tab_Def_Flows[Flow_E2_Fraction'[%']],"N.A.",0,1)</f>
        <v>0</v>
      </c>
      <c r="V92" s="3">
        <f>IF(D92="Yes",S92*Tab_Data_Flows[[#This Row],[E2_Fraction'[%']]],"N.A.")</f>
        <v>0</v>
      </c>
      <c r="W92" s="3" t="str">
        <f>Tab_Data_Flows[[#This Row],[E1_UoM]]</f>
        <v>Mg</v>
      </c>
      <c r="X92" s="24">
        <f>_xlfn.XLOOKUP(Tab_Data_Flows[[#This Row],[Flow_Name]],Tab_Def_Flows[Flow_Name],Tab_Def_Flows[Flow_E3_Fraction'[%']],"N.A.",0,1)</f>
        <v>0</v>
      </c>
      <c r="Y92" s="3">
        <f>IF(E92="Yes",X92*Tab_Data_Flows[[#This Row],[E1_value]],"N.A.")</f>
        <v>0</v>
      </c>
      <c r="Z92" s="3" t="str">
        <f>Tab_Data_Flows[[#This Row],[E1_UoM]]</f>
        <v>Mg</v>
      </c>
      <c r="AA92" s="24">
        <f>_xlfn.XLOOKUP(Tab_Data_Flows[[#This Row],[Flow_Name]],Tab_Def_Flows[Flow_Name],Tab_Def_Flows[Flow_E4_Fraction'[%']],"N.A.",0,1)</f>
        <v>0</v>
      </c>
      <c r="AB92" s="3">
        <f>IF(H92="Yes",Tab_Data_Flows[[#This Row],[E4_Fraction'[%']]]*Tab_Data_Flows[[#This Row],[E1_value]],"N.A.")</f>
        <v>0</v>
      </c>
      <c r="AC92" s="3" t="str">
        <f>Tab_Data_Flows[[#This Row],[E1_UoM]]</f>
        <v>Mg</v>
      </c>
      <c r="AD92" s="24">
        <f>_xlfn.XLOOKUP(Tab_Data_Flows[[#This Row],[Flow_Name]],Tab_Def_Flows[Flow_Name],Tab_Def_Flows[Flow_E5_Fraction'[%']],"N.A.",0,1)</f>
        <v>0</v>
      </c>
      <c r="AE92" s="3">
        <f>IF(H92="Yes",Tab_Data_Flows[[#This Row],[E5_Fraction'[%']]]*Tab_Data_Flows[[#This Row],[E1_value]],"N.A.")</f>
        <v>0</v>
      </c>
      <c r="AF92" s="3" t="str">
        <f>Tab_Data_Flows[[#This Row],[E1_UoM]]</f>
        <v>Mg</v>
      </c>
      <c r="AG92" s="24">
        <f>_xlfn.XLOOKUP(Tab_Data_Flows[[#This Row],[Flow_Name]],Tab_Def_Flows[Flow_Name],Tab_Def_Flows[Flow_E6_Fraction'[%']],"N.A.",0,1)</f>
        <v>0</v>
      </c>
      <c r="AH92" s="3">
        <f>IF(Tab_Data_Flows[[#This Row],[Use_E6]]="Yes",Tab_Data_Flows[[#This Row],[E6_Fraction'[%']]]*Tab_Data_Flows[[#This Row],[E1_value]],"N.A.")</f>
        <v>0</v>
      </c>
      <c r="AI92" s="3" t="str">
        <f>Tab_Data_Flows[[#This Row],[E1_UoM]]</f>
        <v>Mg</v>
      </c>
    </row>
    <row r="93" spans="1:35" x14ac:dyDescent="0.25">
      <c r="A93" s="5">
        <f t="shared" si="3"/>
        <v>92</v>
      </c>
      <c r="B93" s="3" t="str">
        <f>_xlfn.XLOOKUP(C93,Tab_Def_Flows[Flow_Name],Tab_Def_Flows[Flow_ID],,0,)</f>
        <v>F__</v>
      </c>
      <c r="C93" s="23" t="s">
        <v>5</v>
      </c>
      <c r="D93" s="6" t="str">
        <f>_xlfn.XLOOKUP(C93,Tab_Def_Flows[Flow_Name],Tab_Def_Flows[Use_E1],,0,)</f>
        <v>Yes</v>
      </c>
      <c r="E93" s="6" t="str">
        <f>_xlfn.XLOOKUP(C93,Tab_Def_Flows[Flow_Name],Tab_Def_Flows[Use_E2],,0,)</f>
        <v>Yes</v>
      </c>
      <c r="F93" s="6" t="str">
        <f>_xlfn.XLOOKUP(C93,Tab_Def_Flows[Flow_Name],Tab_Def_Flows[Use_E3],,0,)</f>
        <v>Yes</v>
      </c>
      <c r="G93" s="6" t="str">
        <f>_xlfn.XLOOKUP(C93,Tab_Def_Flows[Flow_Name],Tab_Def_Flows[Use_E4],,0,)</f>
        <v>Yes</v>
      </c>
      <c r="H93" s="6" t="str">
        <f>_xlfn.XLOOKUP(C93,Tab_Def_Flows[Flow_Name],Tab_Def_Flows[Use_E5],,0,)</f>
        <v>Yes</v>
      </c>
      <c r="I93" s="6" t="str">
        <f>_xlfn.XLOOKUP(C93,Tab_Def_Flows[Flow_Name],Tab_Def_Flows[Use_E6],,0,)</f>
        <v>Yes</v>
      </c>
      <c r="J93" s="52"/>
      <c r="K93" s="53"/>
      <c r="L93" s="3" t="str">
        <f>'0_Configuration'!$C$41</f>
        <v>Mg</v>
      </c>
      <c r="M93" s="10"/>
      <c r="N93" s="23" t="s">
        <v>3</v>
      </c>
      <c r="O93" s="11"/>
      <c r="P93" s="4"/>
      <c r="Q93" s="10"/>
      <c r="R93" s="3">
        <f>_xlfn.XLOOKUP(Tab_Data_Flows[[#This Row],[Flow_Name]],Tab_Def_Flows[Flow_Name],Tab_Def_Flows[Flow_E1_Fraction'[%']],"N.A.",0,1)</f>
        <v>0</v>
      </c>
      <c r="S93" s="9">
        <f t="shared" si="2"/>
        <v>0</v>
      </c>
      <c r="T93" s="3" t="str">
        <f>Tab_Data_Flows[[#This Row],[UoM_Source]]</f>
        <v>Mg</v>
      </c>
      <c r="U93" s="24">
        <f>_xlfn.XLOOKUP(Tab_Data_Flows[[#This Row],[Flow_Name]],Tab_Def_Flows[Flow_Name],Tab_Def_Flows[Flow_E2_Fraction'[%']],"N.A.",0,1)</f>
        <v>0</v>
      </c>
      <c r="V93" s="3">
        <f>IF(D93="Yes",S93*Tab_Data_Flows[[#This Row],[E2_Fraction'[%']]],"N.A.")</f>
        <v>0</v>
      </c>
      <c r="W93" s="3" t="str">
        <f>Tab_Data_Flows[[#This Row],[E1_UoM]]</f>
        <v>Mg</v>
      </c>
      <c r="X93" s="24">
        <f>_xlfn.XLOOKUP(Tab_Data_Flows[[#This Row],[Flow_Name]],Tab_Def_Flows[Flow_Name],Tab_Def_Flows[Flow_E3_Fraction'[%']],"N.A.",0,1)</f>
        <v>0</v>
      </c>
      <c r="Y93" s="3">
        <f>IF(E93="Yes",X93*Tab_Data_Flows[[#This Row],[E1_value]],"N.A.")</f>
        <v>0</v>
      </c>
      <c r="Z93" s="3" t="str">
        <f>Tab_Data_Flows[[#This Row],[E1_UoM]]</f>
        <v>Mg</v>
      </c>
      <c r="AA93" s="24">
        <f>_xlfn.XLOOKUP(Tab_Data_Flows[[#This Row],[Flow_Name]],Tab_Def_Flows[Flow_Name],Tab_Def_Flows[Flow_E4_Fraction'[%']],"N.A.",0,1)</f>
        <v>0</v>
      </c>
      <c r="AB93" s="3">
        <f>IF(H93="Yes",Tab_Data_Flows[[#This Row],[E4_Fraction'[%']]]*Tab_Data_Flows[[#This Row],[E1_value]],"N.A.")</f>
        <v>0</v>
      </c>
      <c r="AC93" s="3" t="str">
        <f>Tab_Data_Flows[[#This Row],[E1_UoM]]</f>
        <v>Mg</v>
      </c>
      <c r="AD93" s="24">
        <f>_xlfn.XLOOKUP(Tab_Data_Flows[[#This Row],[Flow_Name]],Tab_Def_Flows[Flow_Name],Tab_Def_Flows[Flow_E5_Fraction'[%']],"N.A.",0,1)</f>
        <v>0</v>
      </c>
      <c r="AE93" s="3">
        <f>IF(H93="Yes",Tab_Data_Flows[[#This Row],[E5_Fraction'[%']]]*Tab_Data_Flows[[#This Row],[E1_value]],"N.A.")</f>
        <v>0</v>
      </c>
      <c r="AF93" s="3" t="str">
        <f>Tab_Data_Flows[[#This Row],[E1_UoM]]</f>
        <v>Mg</v>
      </c>
      <c r="AG93" s="24">
        <f>_xlfn.XLOOKUP(Tab_Data_Flows[[#This Row],[Flow_Name]],Tab_Def_Flows[Flow_Name],Tab_Def_Flows[Flow_E6_Fraction'[%']],"N.A.",0,1)</f>
        <v>0</v>
      </c>
      <c r="AH93" s="3">
        <f>IF(Tab_Data_Flows[[#This Row],[Use_E6]]="Yes",Tab_Data_Flows[[#This Row],[E6_Fraction'[%']]]*Tab_Data_Flows[[#This Row],[E1_value]],"N.A.")</f>
        <v>0</v>
      </c>
      <c r="AI93" s="3" t="str">
        <f>Tab_Data_Flows[[#This Row],[E1_UoM]]</f>
        <v>Mg</v>
      </c>
    </row>
    <row r="94" spans="1:35" x14ac:dyDescent="0.25">
      <c r="A94" s="5">
        <f t="shared" si="3"/>
        <v>93</v>
      </c>
      <c r="B94" s="3" t="str">
        <f>_xlfn.XLOOKUP(C94,Tab_Def_Flows[Flow_Name],Tab_Def_Flows[Flow_ID],,0,)</f>
        <v>F__</v>
      </c>
      <c r="C94" s="23" t="s">
        <v>5</v>
      </c>
      <c r="D94" s="6" t="str">
        <f>_xlfn.XLOOKUP(C94,Tab_Def_Flows[Flow_Name],Tab_Def_Flows[Use_E1],,0,)</f>
        <v>Yes</v>
      </c>
      <c r="E94" s="6" t="str">
        <f>_xlfn.XLOOKUP(C94,Tab_Def_Flows[Flow_Name],Tab_Def_Flows[Use_E2],,0,)</f>
        <v>Yes</v>
      </c>
      <c r="F94" s="6" t="str">
        <f>_xlfn.XLOOKUP(C94,Tab_Def_Flows[Flow_Name],Tab_Def_Flows[Use_E3],,0,)</f>
        <v>Yes</v>
      </c>
      <c r="G94" s="6" t="str">
        <f>_xlfn.XLOOKUP(C94,Tab_Def_Flows[Flow_Name],Tab_Def_Flows[Use_E4],,0,)</f>
        <v>Yes</v>
      </c>
      <c r="H94" s="6" t="str">
        <f>_xlfn.XLOOKUP(C94,Tab_Def_Flows[Flow_Name],Tab_Def_Flows[Use_E5],,0,)</f>
        <v>Yes</v>
      </c>
      <c r="I94" s="6" t="str">
        <f>_xlfn.XLOOKUP(C94,Tab_Def_Flows[Flow_Name],Tab_Def_Flows[Use_E6],,0,)</f>
        <v>Yes</v>
      </c>
      <c r="J94" s="52"/>
      <c r="K94" s="53"/>
      <c r="L94" s="3" t="str">
        <f>'0_Configuration'!$C$41</f>
        <v>Mg</v>
      </c>
      <c r="M94" s="10"/>
      <c r="N94" s="23" t="s">
        <v>3</v>
      </c>
      <c r="O94" s="11"/>
      <c r="P94" s="4"/>
      <c r="Q94" s="10"/>
      <c r="R94" s="3">
        <f>_xlfn.XLOOKUP(Tab_Data_Flows[[#This Row],[Flow_Name]],Tab_Def_Flows[Flow_Name],Tab_Def_Flows[Flow_E1_Fraction'[%']],"N.A.",0,1)</f>
        <v>0</v>
      </c>
      <c r="S94" s="9">
        <f t="shared" si="2"/>
        <v>0</v>
      </c>
      <c r="T94" s="3" t="str">
        <f>Tab_Data_Flows[[#This Row],[UoM_Source]]</f>
        <v>Mg</v>
      </c>
      <c r="U94" s="24">
        <f>_xlfn.XLOOKUP(Tab_Data_Flows[[#This Row],[Flow_Name]],Tab_Def_Flows[Flow_Name],Tab_Def_Flows[Flow_E2_Fraction'[%']],"N.A.",0,1)</f>
        <v>0</v>
      </c>
      <c r="V94" s="3">
        <f>IF(D94="Yes",S94*Tab_Data_Flows[[#This Row],[E2_Fraction'[%']]],"N.A.")</f>
        <v>0</v>
      </c>
      <c r="W94" s="3" t="str">
        <f>Tab_Data_Flows[[#This Row],[E1_UoM]]</f>
        <v>Mg</v>
      </c>
      <c r="X94" s="24">
        <f>_xlfn.XLOOKUP(Tab_Data_Flows[[#This Row],[Flow_Name]],Tab_Def_Flows[Flow_Name],Tab_Def_Flows[Flow_E3_Fraction'[%']],"N.A.",0,1)</f>
        <v>0</v>
      </c>
      <c r="Y94" s="3">
        <f>IF(E94="Yes",X94*Tab_Data_Flows[[#This Row],[E1_value]],"N.A.")</f>
        <v>0</v>
      </c>
      <c r="Z94" s="3" t="str">
        <f>Tab_Data_Flows[[#This Row],[E1_UoM]]</f>
        <v>Mg</v>
      </c>
      <c r="AA94" s="24">
        <f>_xlfn.XLOOKUP(Tab_Data_Flows[[#This Row],[Flow_Name]],Tab_Def_Flows[Flow_Name],Tab_Def_Flows[Flow_E4_Fraction'[%']],"N.A.",0,1)</f>
        <v>0</v>
      </c>
      <c r="AB94" s="3">
        <f>IF(H94="Yes",Tab_Data_Flows[[#This Row],[E4_Fraction'[%']]]*Tab_Data_Flows[[#This Row],[E1_value]],"N.A.")</f>
        <v>0</v>
      </c>
      <c r="AC94" s="3" t="str">
        <f>Tab_Data_Flows[[#This Row],[E1_UoM]]</f>
        <v>Mg</v>
      </c>
      <c r="AD94" s="24">
        <f>_xlfn.XLOOKUP(Tab_Data_Flows[[#This Row],[Flow_Name]],Tab_Def_Flows[Flow_Name],Tab_Def_Flows[Flow_E5_Fraction'[%']],"N.A.",0,1)</f>
        <v>0</v>
      </c>
      <c r="AE94" s="3">
        <f>IF(H94="Yes",Tab_Data_Flows[[#This Row],[E5_Fraction'[%']]]*Tab_Data_Flows[[#This Row],[E1_value]],"N.A.")</f>
        <v>0</v>
      </c>
      <c r="AF94" s="3" t="str">
        <f>Tab_Data_Flows[[#This Row],[E1_UoM]]</f>
        <v>Mg</v>
      </c>
      <c r="AG94" s="24">
        <f>_xlfn.XLOOKUP(Tab_Data_Flows[[#This Row],[Flow_Name]],Tab_Def_Flows[Flow_Name],Tab_Def_Flows[Flow_E6_Fraction'[%']],"N.A.",0,1)</f>
        <v>0</v>
      </c>
      <c r="AH94" s="3">
        <f>IF(Tab_Data_Flows[[#This Row],[Use_E6]]="Yes",Tab_Data_Flows[[#This Row],[E6_Fraction'[%']]]*Tab_Data_Flows[[#This Row],[E1_value]],"N.A.")</f>
        <v>0</v>
      </c>
      <c r="AI94" s="3" t="str">
        <f>Tab_Data_Flows[[#This Row],[E1_UoM]]</f>
        <v>Mg</v>
      </c>
    </row>
    <row r="95" spans="1:35" x14ac:dyDescent="0.25">
      <c r="A95" s="5">
        <f t="shared" si="3"/>
        <v>94</v>
      </c>
      <c r="B95" s="3" t="str">
        <f>_xlfn.XLOOKUP(C95,Tab_Def_Flows[Flow_Name],Tab_Def_Flows[Flow_ID],,0,)</f>
        <v>F__</v>
      </c>
      <c r="C95" s="23" t="s">
        <v>5</v>
      </c>
      <c r="D95" s="6" t="str">
        <f>_xlfn.XLOOKUP(C95,Tab_Def_Flows[Flow_Name],Tab_Def_Flows[Use_E1],,0,)</f>
        <v>Yes</v>
      </c>
      <c r="E95" s="6" t="str">
        <f>_xlfn.XLOOKUP(C95,Tab_Def_Flows[Flow_Name],Tab_Def_Flows[Use_E2],,0,)</f>
        <v>Yes</v>
      </c>
      <c r="F95" s="6" t="str">
        <f>_xlfn.XLOOKUP(C95,Tab_Def_Flows[Flow_Name],Tab_Def_Flows[Use_E3],,0,)</f>
        <v>Yes</v>
      </c>
      <c r="G95" s="6" t="str">
        <f>_xlfn.XLOOKUP(C95,Tab_Def_Flows[Flow_Name],Tab_Def_Flows[Use_E4],,0,)</f>
        <v>Yes</v>
      </c>
      <c r="H95" s="6" t="str">
        <f>_xlfn.XLOOKUP(C95,Tab_Def_Flows[Flow_Name],Tab_Def_Flows[Use_E5],,0,)</f>
        <v>Yes</v>
      </c>
      <c r="I95" s="6" t="str">
        <f>_xlfn.XLOOKUP(C95,Tab_Def_Flows[Flow_Name],Tab_Def_Flows[Use_E6],,0,)</f>
        <v>Yes</v>
      </c>
      <c r="J95" s="52"/>
      <c r="K95" s="53"/>
      <c r="L95" s="3" t="str">
        <f>'0_Configuration'!$C$41</f>
        <v>Mg</v>
      </c>
      <c r="M95" s="10"/>
      <c r="N95" s="23" t="s">
        <v>3</v>
      </c>
      <c r="O95" s="11"/>
      <c r="P95" s="4"/>
      <c r="Q95" s="10"/>
      <c r="R95" s="3">
        <f>_xlfn.XLOOKUP(Tab_Data_Flows[[#This Row],[Flow_Name]],Tab_Def_Flows[Flow_Name],Tab_Def_Flows[Flow_E1_Fraction'[%']],"N.A.",0,1)</f>
        <v>0</v>
      </c>
      <c r="S95" s="9">
        <f t="shared" si="2"/>
        <v>0</v>
      </c>
      <c r="T95" s="3" t="str">
        <f>Tab_Data_Flows[[#This Row],[UoM_Source]]</f>
        <v>Mg</v>
      </c>
      <c r="U95" s="24">
        <f>_xlfn.XLOOKUP(Tab_Data_Flows[[#This Row],[Flow_Name]],Tab_Def_Flows[Flow_Name],Tab_Def_Flows[Flow_E2_Fraction'[%']],"N.A.",0,1)</f>
        <v>0</v>
      </c>
      <c r="V95" s="3">
        <f>IF(D95="Yes",S95*Tab_Data_Flows[[#This Row],[E2_Fraction'[%']]],"N.A.")</f>
        <v>0</v>
      </c>
      <c r="W95" s="3" t="str">
        <f>Tab_Data_Flows[[#This Row],[E1_UoM]]</f>
        <v>Mg</v>
      </c>
      <c r="X95" s="24">
        <f>_xlfn.XLOOKUP(Tab_Data_Flows[[#This Row],[Flow_Name]],Tab_Def_Flows[Flow_Name],Tab_Def_Flows[Flow_E3_Fraction'[%']],"N.A.",0,1)</f>
        <v>0</v>
      </c>
      <c r="Y95" s="3">
        <f>IF(E95="Yes",X95*Tab_Data_Flows[[#This Row],[E1_value]],"N.A.")</f>
        <v>0</v>
      </c>
      <c r="Z95" s="3" t="str">
        <f>Tab_Data_Flows[[#This Row],[E1_UoM]]</f>
        <v>Mg</v>
      </c>
      <c r="AA95" s="24">
        <f>_xlfn.XLOOKUP(Tab_Data_Flows[[#This Row],[Flow_Name]],Tab_Def_Flows[Flow_Name],Tab_Def_Flows[Flow_E4_Fraction'[%']],"N.A.",0,1)</f>
        <v>0</v>
      </c>
      <c r="AB95" s="3">
        <f>IF(H95="Yes",Tab_Data_Flows[[#This Row],[E4_Fraction'[%']]]*Tab_Data_Flows[[#This Row],[E1_value]],"N.A.")</f>
        <v>0</v>
      </c>
      <c r="AC95" s="3" t="str">
        <f>Tab_Data_Flows[[#This Row],[E1_UoM]]</f>
        <v>Mg</v>
      </c>
      <c r="AD95" s="24">
        <f>_xlfn.XLOOKUP(Tab_Data_Flows[[#This Row],[Flow_Name]],Tab_Def_Flows[Flow_Name],Tab_Def_Flows[Flow_E5_Fraction'[%']],"N.A.",0,1)</f>
        <v>0</v>
      </c>
      <c r="AE95" s="3">
        <f>IF(H95="Yes",Tab_Data_Flows[[#This Row],[E5_Fraction'[%']]]*Tab_Data_Flows[[#This Row],[E1_value]],"N.A.")</f>
        <v>0</v>
      </c>
      <c r="AF95" s="3" t="str">
        <f>Tab_Data_Flows[[#This Row],[E1_UoM]]</f>
        <v>Mg</v>
      </c>
      <c r="AG95" s="24">
        <f>_xlfn.XLOOKUP(Tab_Data_Flows[[#This Row],[Flow_Name]],Tab_Def_Flows[Flow_Name],Tab_Def_Flows[Flow_E6_Fraction'[%']],"N.A.",0,1)</f>
        <v>0</v>
      </c>
      <c r="AH95" s="3">
        <f>IF(Tab_Data_Flows[[#This Row],[Use_E6]]="Yes",Tab_Data_Flows[[#This Row],[E6_Fraction'[%']]]*Tab_Data_Flows[[#This Row],[E1_value]],"N.A.")</f>
        <v>0</v>
      </c>
      <c r="AI95" s="3" t="str">
        <f>Tab_Data_Flows[[#This Row],[E1_UoM]]</f>
        <v>Mg</v>
      </c>
    </row>
    <row r="96" spans="1:35" x14ac:dyDescent="0.25">
      <c r="A96" s="5">
        <f t="shared" si="3"/>
        <v>95</v>
      </c>
      <c r="B96" s="3" t="str">
        <f>_xlfn.XLOOKUP(C96,Tab_Def_Flows[Flow_Name],Tab_Def_Flows[Flow_ID],,0,)</f>
        <v>F__</v>
      </c>
      <c r="C96" s="23" t="s">
        <v>5</v>
      </c>
      <c r="D96" s="6" t="str">
        <f>_xlfn.XLOOKUP(C96,Tab_Def_Flows[Flow_Name],Tab_Def_Flows[Use_E1],,0,)</f>
        <v>Yes</v>
      </c>
      <c r="E96" s="6" t="str">
        <f>_xlfn.XLOOKUP(C96,Tab_Def_Flows[Flow_Name],Tab_Def_Flows[Use_E2],,0,)</f>
        <v>Yes</v>
      </c>
      <c r="F96" s="6" t="str">
        <f>_xlfn.XLOOKUP(C96,Tab_Def_Flows[Flow_Name],Tab_Def_Flows[Use_E3],,0,)</f>
        <v>Yes</v>
      </c>
      <c r="G96" s="6" t="str">
        <f>_xlfn.XLOOKUP(C96,Tab_Def_Flows[Flow_Name],Tab_Def_Flows[Use_E4],,0,)</f>
        <v>Yes</v>
      </c>
      <c r="H96" s="6" t="str">
        <f>_xlfn.XLOOKUP(C96,Tab_Def_Flows[Flow_Name],Tab_Def_Flows[Use_E5],,0,)</f>
        <v>Yes</v>
      </c>
      <c r="I96" s="6" t="str">
        <f>_xlfn.XLOOKUP(C96,Tab_Def_Flows[Flow_Name],Tab_Def_Flows[Use_E6],,0,)</f>
        <v>Yes</v>
      </c>
      <c r="J96" s="52"/>
      <c r="K96" s="53"/>
      <c r="L96" s="3" t="str">
        <f>'0_Configuration'!$C$41</f>
        <v>Mg</v>
      </c>
      <c r="M96" s="10"/>
      <c r="N96" s="23" t="s">
        <v>3</v>
      </c>
      <c r="O96" s="4"/>
      <c r="P96" s="4"/>
      <c r="Q96" s="10"/>
      <c r="R96" s="3">
        <f>_xlfn.XLOOKUP(Tab_Data_Flows[[#This Row],[Flow_Name]],Tab_Def_Flows[Flow_Name],Tab_Def_Flows[Flow_E1_Fraction'[%']],"N.A.",0,1)</f>
        <v>0</v>
      </c>
      <c r="S96" s="9">
        <f t="shared" si="2"/>
        <v>0</v>
      </c>
      <c r="T96" s="3" t="str">
        <f>Tab_Data_Flows[[#This Row],[UoM_Source]]</f>
        <v>Mg</v>
      </c>
      <c r="U96" s="24">
        <f>_xlfn.XLOOKUP(Tab_Data_Flows[[#This Row],[Flow_Name]],Tab_Def_Flows[Flow_Name],Tab_Def_Flows[Flow_E2_Fraction'[%']],"N.A.",0,1)</f>
        <v>0</v>
      </c>
      <c r="V96" s="3">
        <f>IF(D96="Yes",S96*Tab_Data_Flows[[#This Row],[E2_Fraction'[%']]],"N.A.")</f>
        <v>0</v>
      </c>
      <c r="W96" s="3" t="str">
        <f>Tab_Data_Flows[[#This Row],[E1_UoM]]</f>
        <v>Mg</v>
      </c>
      <c r="X96" s="24">
        <f>_xlfn.XLOOKUP(Tab_Data_Flows[[#This Row],[Flow_Name]],Tab_Def_Flows[Flow_Name],Tab_Def_Flows[Flow_E3_Fraction'[%']],"N.A.",0,1)</f>
        <v>0</v>
      </c>
      <c r="Y96" s="3">
        <f>IF(E96="Yes",X96*Tab_Data_Flows[[#This Row],[E1_value]],"N.A.")</f>
        <v>0</v>
      </c>
      <c r="Z96" s="3" t="str">
        <f>Tab_Data_Flows[[#This Row],[E1_UoM]]</f>
        <v>Mg</v>
      </c>
      <c r="AA96" s="24">
        <f>_xlfn.XLOOKUP(Tab_Data_Flows[[#This Row],[Flow_Name]],Tab_Def_Flows[Flow_Name],Tab_Def_Flows[Flow_E4_Fraction'[%']],"N.A.",0,1)</f>
        <v>0</v>
      </c>
      <c r="AB96" s="3">
        <f>IF(H96="Yes",Tab_Data_Flows[[#This Row],[E4_Fraction'[%']]]*Tab_Data_Flows[[#This Row],[E1_value]],"N.A.")</f>
        <v>0</v>
      </c>
      <c r="AC96" s="3" t="str">
        <f>Tab_Data_Flows[[#This Row],[E1_UoM]]</f>
        <v>Mg</v>
      </c>
      <c r="AD96" s="24">
        <f>_xlfn.XLOOKUP(Tab_Data_Flows[[#This Row],[Flow_Name]],Tab_Def_Flows[Flow_Name],Tab_Def_Flows[Flow_E5_Fraction'[%']],"N.A.",0,1)</f>
        <v>0</v>
      </c>
      <c r="AE96" s="3">
        <f>IF(H96="Yes",Tab_Data_Flows[[#This Row],[E5_Fraction'[%']]]*Tab_Data_Flows[[#This Row],[E1_value]],"N.A.")</f>
        <v>0</v>
      </c>
      <c r="AF96" s="3" t="str">
        <f>Tab_Data_Flows[[#This Row],[E1_UoM]]</f>
        <v>Mg</v>
      </c>
      <c r="AG96" s="24">
        <f>_xlfn.XLOOKUP(Tab_Data_Flows[[#This Row],[Flow_Name]],Tab_Def_Flows[Flow_Name],Tab_Def_Flows[Flow_E6_Fraction'[%']],"N.A.",0,1)</f>
        <v>0</v>
      </c>
      <c r="AH96" s="3">
        <f>IF(Tab_Data_Flows[[#This Row],[Use_E6]]="Yes",Tab_Data_Flows[[#This Row],[E6_Fraction'[%']]]*Tab_Data_Flows[[#This Row],[E1_value]],"N.A.")</f>
        <v>0</v>
      </c>
      <c r="AI96" s="3" t="str">
        <f>Tab_Data_Flows[[#This Row],[E1_UoM]]</f>
        <v>Mg</v>
      </c>
    </row>
    <row r="97" spans="1:35" x14ac:dyDescent="0.25">
      <c r="A97" s="5">
        <f t="shared" si="3"/>
        <v>96</v>
      </c>
      <c r="B97" s="3" t="str">
        <f>_xlfn.XLOOKUP(C97,Tab_Def_Flows[Flow_Name],Tab_Def_Flows[Flow_ID],,0,)</f>
        <v>F__</v>
      </c>
      <c r="C97" s="23" t="s">
        <v>5</v>
      </c>
      <c r="D97" s="6" t="str">
        <f>_xlfn.XLOOKUP(C97,Tab_Def_Flows[Flow_Name],Tab_Def_Flows[Use_E1],,0,)</f>
        <v>Yes</v>
      </c>
      <c r="E97" s="6" t="str">
        <f>_xlfn.XLOOKUP(C97,Tab_Def_Flows[Flow_Name],Tab_Def_Flows[Use_E2],,0,)</f>
        <v>Yes</v>
      </c>
      <c r="F97" s="6" t="str">
        <f>_xlfn.XLOOKUP(C97,Tab_Def_Flows[Flow_Name],Tab_Def_Flows[Use_E3],,0,)</f>
        <v>Yes</v>
      </c>
      <c r="G97" s="6" t="str">
        <f>_xlfn.XLOOKUP(C97,Tab_Def_Flows[Flow_Name],Tab_Def_Flows[Use_E4],,0,)</f>
        <v>Yes</v>
      </c>
      <c r="H97" s="6" t="str">
        <f>_xlfn.XLOOKUP(C97,Tab_Def_Flows[Flow_Name],Tab_Def_Flows[Use_E5],,0,)</f>
        <v>Yes</v>
      </c>
      <c r="I97" s="6" t="str">
        <f>_xlfn.XLOOKUP(C97,Tab_Def_Flows[Flow_Name],Tab_Def_Flows[Use_E6],,0,)</f>
        <v>Yes</v>
      </c>
      <c r="J97" s="52"/>
      <c r="K97" s="53"/>
      <c r="L97" s="3" t="str">
        <f>'0_Configuration'!$C$41</f>
        <v>Mg</v>
      </c>
      <c r="M97" s="10"/>
      <c r="N97" s="23" t="s">
        <v>3</v>
      </c>
      <c r="O97" s="4"/>
      <c r="P97" s="4"/>
      <c r="Q97" s="10"/>
      <c r="R97" s="3">
        <f>_xlfn.XLOOKUP(Tab_Data_Flows[[#This Row],[Flow_Name]],Tab_Def_Flows[Flow_Name],Tab_Def_Flows[Flow_E1_Fraction'[%']],"N.A.",0,1)</f>
        <v>0</v>
      </c>
      <c r="S97" s="9">
        <f t="shared" si="2"/>
        <v>0</v>
      </c>
      <c r="T97" s="3" t="str">
        <f>Tab_Data_Flows[[#This Row],[UoM_Source]]</f>
        <v>Mg</v>
      </c>
      <c r="U97" s="24">
        <f>_xlfn.XLOOKUP(Tab_Data_Flows[[#This Row],[Flow_Name]],Tab_Def_Flows[Flow_Name],Tab_Def_Flows[Flow_E2_Fraction'[%']],"N.A.",0,1)</f>
        <v>0</v>
      </c>
      <c r="V97" s="3">
        <f>IF(D97="Yes",S97*Tab_Data_Flows[[#This Row],[E2_Fraction'[%']]],"N.A.")</f>
        <v>0</v>
      </c>
      <c r="W97" s="3" t="str">
        <f>Tab_Data_Flows[[#This Row],[E1_UoM]]</f>
        <v>Mg</v>
      </c>
      <c r="X97" s="24">
        <f>_xlfn.XLOOKUP(Tab_Data_Flows[[#This Row],[Flow_Name]],Tab_Def_Flows[Flow_Name],Tab_Def_Flows[Flow_E3_Fraction'[%']],"N.A.",0,1)</f>
        <v>0</v>
      </c>
      <c r="Y97" s="3">
        <f>IF(E97="Yes",X97*Tab_Data_Flows[[#This Row],[E1_value]],"N.A.")</f>
        <v>0</v>
      </c>
      <c r="Z97" s="3" t="str">
        <f>Tab_Data_Flows[[#This Row],[E1_UoM]]</f>
        <v>Mg</v>
      </c>
      <c r="AA97" s="24">
        <f>_xlfn.XLOOKUP(Tab_Data_Flows[[#This Row],[Flow_Name]],Tab_Def_Flows[Flow_Name],Tab_Def_Flows[Flow_E4_Fraction'[%']],"N.A.",0,1)</f>
        <v>0</v>
      </c>
      <c r="AB97" s="3">
        <f>IF(H97="Yes",Tab_Data_Flows[[#This Row],[E4_Fraction'[%']]]*Tab_Data_Flows[[#This Row],[E1_value]],"N.A.")</f>
        <v>0</v>
      </c>
      <c r="AC97" s="3" t="str">
        <f>Tab_Data_Flows[[#This Row],[E1_UoM]]</f>
        <v>Mg</v>
      </c>
      <c r="AD97" s="24">
        <f>_xlfn.XLOOKUP(Tab_Data_Flows[[#This Row],[Flow_Name]],Tab_Def_Flows[Flow_Name],Tab_Def_Flows[Flow_E5_Fraction'[%']],"N.A.",0,1)</f>
        <v>0</v>
      </c>
      <c r="AE97" s="3">
        <f>IF(H97="Yes",Tab_Data_Flows[[#This Row],[E5_Fraction'[%']]]*Tab_Data_Flows[[#This Row],[E1_value]],"N.A.")</f>
        <v>0</v>
      </c>
      <c r="AF97" s="3" t="str">
        <f>Tab_Data_Flows[[#This Row],[E1_UoM]]</f>
        <v>Mg</v>
      </c>
      <c r="AG97" s="24">
        <f>_xlfn.XLOOKUP(Tab_Data_Flows[[#This Row],[Flow_Name]],Tab_Def_Flows[Flow_Name],Tab_Def_Flows[Flow_E6_Fraction'[%']],"N.A.",0,1)</f>
        <v>0</v>
      </c>
      <c r="AH97" s="3">
        <f>IF(Tab_Data_Flows[[#This Row],[Use_E6]]="Yes",Tab_Data_Flows[[#This Row],[E6_Fraction'[%']]]*Tab_Data_Flows[[#This Row],[E1_value]],"N.A.")</f>
        <v>0</v>
      </c>
      <c r="AI97" s="3" t="str">
        <f>Tab_Data_Flows[[#This Row],[E1_UoM]]</f>
        <v>Mg</v>
      </c>
    </row>
    <row r="98" spans="1:35" x14ac:dyDescent="0.25">
      <c r="A98" s="5">
        <f t="shared" si="3"/>
        <v>97</v>
      </c>
      <c r="B98" s="3" t="str">
        <f>_xlfn.XLOOKUP(C98,Tab_Def_Flows[Flow_Name],Tab_Def_Flows[Flow_ID],,0,)</f>
        <v>F__</v>
      </c>
      <c r="C98" s="23" t="s">
        <v>5</v>
      </c>
      <c r="D98" s="6" t="str">
        <f>_xlfn.XLOOKUP(C98,Tab_Def_Flows[Flow_Name],Tab_Def_Flows[Use_E1],,0,)</f>
        <v>Yes</v>
      </c>
      <c r="E98" s="6" t="str">
        <f>_xlfn.XLOOKUP(C98,Tab_Def_Flows[Flow_Name],Tab_Def_Flows[Use_E2],,0,)</f>
        <v>Yes</v>
      </c>
      <c r="F98" s="6" t="str">
        <f>_xlfn.XLOOKUP(C98,Tab_Def_Flows[Flow_Name],Tab_Def_Flows[Use_E3],,0,)</f>
        <v>Yes</v>
      </c>
      <c r="G98" s="6" t="str">
        <f>_xlfn.XLOOKUP(C98,Tab_Def_Flows[Flow_Name],Tab_Def_Flows[Use_E4],,0,)</f>
        <v>Yes</v>
      </c>
      <c r="H98" s="6" t="str">
        <f>_xlfn.XLOOKUP(C98,Tab_Def_Flows[Flow_Name],Tab_Def_Flows[Use_E5],,0,)</f>
        <v>Yes</v>
      </c>
      <c r="I98" s="6" t="str">
        <f>_xlfn.XLOOKUP(C98,Tab_Def_Flows[Flow_Name],Tab_Def_Flows[Use_E6],,0,)</f>
        <v>Yes</v>
      </c>
      <c r="J98" s="52"/>
      <c r="K98" s="53"/>
      <c r="L98" s="3" t="str">
        <f>'0_Configuration'!$C$41</f>
        <v>Mg</v>
      </c>
      <c r="M98" s="10"/>
      <c r="N98" s="23" t="s">
        <v>3</v>
      </c>
      <c r="O98" s="4"/>
      <c r="P98" s="4"/>
      <c r="Q98" s="10"/>
      <c r="R98" s="3">
        <f>_xlfn.XLOOKUP(Tab_Data_Flows[[#This Row],[Flow_Name]],Tab_Def_Flows[Flow_Name],Tab_Def_Flows[Flow_E1_Fraction'[%']],"N.A.",0,1)</f>
        <v>0</v>
      </c>
      <c r="S98" s="9">
        <f t="shared" si="2"/>
        <v>0</v>
      </c>
      <c r="T98" s="3" t="str">
        <f>Tab_Data_Flows[[#This Row],[UoM_Source]]</f>
        <v>Mg</v>
      </c>
      <c r="U98" s="24">
        <f>_xlfn.XLOOKUP(Tab_Data_Flows[[#This Row],[Flow_Name]],Tab_Def_Flows[Flow_Name],Tab_Def_Flows[Flow_E2_Fraction'[%']],"N.A.",0,1)</f>
        <v>0</v>
      </c>
      <c r="V98" s="3">
        <f>IF(D98="Yes",S98*Tab_Data_Flows[[#This Row],[E2_Fraction'[%']]],"N.A.")</f>
        <v>0</v>
      </c>
      <c r="W98" s="3" t="str">
        <f>Tab_Data_Flows[[#This Row],[E1_UoM]]</f>
        <v>Mg</v>
      </c>
      <c r="X98" s="24">
        <f>_xlfn.XLOOKUP(Tab_Data_Flows[[#This Row],[Flow_Name]],Tab_Def_Flows[Flow_Name],Tab_Def_Flows[Flow_E3_Fraction'[%']],"N.A.",0,1)</f>
        <v>0</v>
      </c>
      <c r="Y98" s="3">
        <f>IF(E98="Yes",X98*Tab_Data_Flows[[#This Row],[E1_value]],"N.A.")</f>
        <v>0</v>
      </c>
      <c r="Z98" s="3" t="str">
        <f>Tab_Data_Flows[[#This Row],[E1_UoM]]</f>
        <v>Mg</v>
      </c>
      <c r="AA98" s="24">
        <f>_xlfn.XLOOKUP(Tab_Data_Flows[[#This Row],[Flow_Name]],Tab_Def_Flows[Flow_Name],Tab_Def_Flows[Flow_E4_Fraction'[%']],"N.A.",0,1)</f>
        <v>0</v>
      </c>
      <c r="AB98" s="3">
        <f>IF(H98="Yes",Tab_Data_Flows[[#This Row],[E4_Fraction'[%']]]*Tab_Data_Flows[[#This Row],[E1_value]],"N.A.")</f>
        <v>0</v>
      </c>
      <c r="AC98" s="3" t="str">
        <f>Tab_Data_Flows[[#This Row],[E1_UoM]]</f>
        <v>Mg</v>
      </c>
      <c r="AD98" s="24">
        <f>_xlfn.XLOOKUP(Tab_Data_Flows[[#This Row],[Flow_Name]],Tab_Def_Flows[Flow_Name],Tab_Def_Flows[Flow_E5_Fraction'[%']],"N.A.",0,1)</f>
        <v>0</v>
      </c>
      <c r="AE98" s="3">
        <f>IF(H98="Yes",Tab_Data_Flows[[#This Row],[E5_Fraction'[%']]]*Tab_Data_Flows[[#This Row],[E1_value]],"N.A.")</f>
        <v>0</v>
      </c>
      <c r="AF98" s="3" t="str">
        <f>Tab_Data_Flows[[#This Row],[E1_UoM]]</f>
        <v>Mg</v>
      </c>
      <c r="AG98" s="24">
        <f>_xlfn.XLOOKUP(Tab_Data_Flows[[#This Row],[Flow_Name]],Tab_Def_Flows[Flow_Name],Tab_Def_Flows[Flow_E6_Fraction'[%']],"N.A.",0,1)</f>
        <v>0</v>
      </c>
      <c r="AH98" s="3">
        <f>IF(Tab_Data_Flows[[#This Row],[Use_E6]]="Yes",Tab_Data_Flows[[#This Row],[E6_Fraction'[%']]]*Tab_Data_Flows[[#This Row],[E1_value]],"N.A.")</f>
        <v>0</v>
      </c>
      <c r="AI98" s="3" t="str">
        <f>Tab_Data_Flows[[#This Row],[E1_UoM]]</f>
        <v>Mg</v>
      </c>
    </row>
    <row r="99" spans="1:35" x14ac:dyDescent="0.25">
      <c r="A99" s="5">
        <f t="shared" si="3"/>
        <v>98</v>
      </c>
      <c r="B99" s="3" t="str">
        <f>_xlfn.XLOOKUP(C99,Tab_Def_Flows[Flow_Name],Tab_Def_Flows[Flow_ID],,0,)</f>
        <v>F__</v>
      </c>
      <c r="C99" s="23" t="s">
        <v>5</v>
      </c>
      <c r="D99" s="6" t="str">
        <f>_xlfn.XLOOKUP(C99,Tab_Def_Flows[Flow_Name],Tab_Def_Flows[Use_E1],,0,)</f>
        <v>Yes</v>
      </c>
      <c r="E99" s="6" t="str">
        <f>_xlfn.XLOOKUP(C99,Tab_Def_Flows[Flow_Name],Tab_Def_Flows[Use_E2],,0,)</f>
        <v>Yes</v>
      </c>
      <c r="F99" s="6" t="str">
        <f>_xlfn.XLOOKUP(C99,Tab_Def_Flows[Flow_Name],Tab_Def_Flows[Use_E3],,0,)</f>
        <v>Yes</v>
      </c>
      <c r="G99" s="6" t="str">
        <f>_xlfn.XLOOKUP(C99,Tab_Def_Flows[Flow_Name],Tab_Def_Flows[Use_E4],,0,)</f>
        <v>Yes</v>
      </c>
      <c r="H99" s="6" t="str">
        <f>_xlfn.XLOOKUP(C99,Tab_Def_Flows[Flow_Name],Tab_Def_Flows[Use_E5],,0,)</f>
        <v>Yes</v>
      </c>
      <c r="I99" s="6" t="str">
        <f>_xlfn.XLOOKUP(C99,Tab_Def_Flows[Flow_Name],Tab_Def_Flows[Use_E6],,0,)</f>
        <v>Yes</v>
      </c>
      <c r="J99" s="52"/>
      <c r="K99" s="53"/>
      <c r="L99" s="3" t="str">
        <f>'0_Configuration'!$C$41</f>
        <v>Mg</v>
      </c>
      <c r="M99" s="10"/>
      <c r="N99" s="23" t="s">
        <v>3</v>
      </c>
      <c r="O99" s="4"/>
      <c r="P99" s="4"/>
      <c r="Q99" s="10"/>
      <c r="R99" s="3">
        <f>_xlfn.XLOOKUP(Tab_Data_Flows[[#This Row],[Flow_Name]],Tab_Def_Flows[Flow_Name],Tab_Def_Flows[Flow_E1_Fraction'[%']],"N.A.",0,1)</f>
        <v>0</v>
      </c>
      <c r="S99" s="9">
        <f t="shared" si="2"/>
        <v>0</v>
      </c>
      <c r="T99" s="3" t="str">
        <f>Tab_Data_Flows[[#This Row],[UoM_Source]]</f>
        <v>Mg</v>
      </c>
      <c r="U99" s="24">
        <f>_xlfn.XLOOKUP(Tab_Data_Flows[[#This Row],[Flow_Name]],Tab_Def_Flows[Flow_Name],Tab_Def_Flows[Flow_E2_Fraction'[%']],"N.A.",0,1)</f>
        <v>0</v>
      </c>
      <c r="V99" s="3">
        <f>IF(D99="Yes",S99*Tab_Data_Flows[[#This Row],[E2_Fraction'[%']]],"N.A.")</f>
        <v>0</v>
      </c>
      <c r="W99" s="3" t="str">
        <f>Tab_Data_Flows[[#This Row],[E1_UoM]]</f>
        <v>Mg</v>
      </c>
      <c r="X99" s="24">
        <f>_xlfn.XLOOKUP(Tab_Data_Flows[[#This Row],[Flow_Name]],Tab_Def_Flows[Flow_Name],Tab_Def_Flows[Flow_E3_Fraction'[%']],"N.A.",0,1)</f>
        <v>0</v>
      </c>
      <c r="Y99" s="3">
        <f>IF(E99="Yes",X99*Tab_Data_Flows[[#This Row],[E1_value]],"N.A.")</f>
        <v>0</v>
      </c>
      <c r="Z99" s="3" t="str">
        <f>Tab_Data_Flows[[#This Row],[E1_UoM]]</f>
        <v>Mg</v>
      </c>
      <c r="AA99" s="24">
        <f>_xlfn.XLOOKUP(Tab_Data_Flows[[#This Row],[Flow_Name]],Tab_Def_Flows[Flow_Name],Tab_Def_Flows[Flow_E4_Fraction'[%']],"N.A.",0,1)</f>
        <v>0</v>
      </c>
      <c r="AB99" s="3">
        <f>IF(H99="Yes",Tab_Data_Flows[[#This Row],[E4_Fraction'[%']]]*Tab_Data_Flows[[#This Row],[E1_value]],"N.A.")</f>
        <v>0</v>
      </c>
      <c r="AC99" s="3" t="str">
        <f>Tab_Data_Flows[[#This Row],[E1_UoM]]</f>
        <v>Mg</v>
      </c>
      <c r="AD99" s="24">
        <f>_xlfn.XLOOKUP(Tab_Data_Flows[[#This Row],[Flow_Name]],Tab_Def_Flows[Flow_Name],Tab_Def_Flows[Flow_E5_Fraction'[%']],"N.A.",0,1)</f>
        <v>0</v>
      </c>
      <c r="AE99" s="3">
        <f>IF(H99="Yes",Tab_Data_Flows[[#This Row],[E5_Fraction'[%']]]*Tab_Data_Flows[[#This Row],[E1_value]],"N.A.")</f>
        <v>0</v>
      </c>
      <c r="AF99" s="3" t="str">
        <f>Tab_Data_Flows[[#This Row],[E1_UoM]]</f>
        <v>Mg</v>
      </c>
      <c r="AG99" s="24">
        <f>_xlfn.XLOOKUP(Tab_Data_Flows[[#This Row],[Flow_Name]],Tab_Def_Flows[Flow_Name],Tab_Def_Flows[Flow_E6_Fraction'[%']],"N.A.",0,1)</f>
        <v>0</v>
      </c>
      <c r="AH99" s="3">
        <f>IF(Tab_Data_Flows[[#This Row],[Use_E6]]="Yes",Tab_Data_Flows[[#This Row],[E6_Fraction'[%']]]*Tab_Data_Flows[[#This Row],[E1_value]],"N.A.")</f>
        <v>0</v>
      </c>
      <c r="AI99" s="3" t="str">
        <f>Tab_Data_Flows[[#This Row],[E1_UoM]]</f>
        <v>Mg</v>
      </c>
    </row>
    <row r="100" spans="1:35" x14ac:dyDescent="0.25">
      <c r="A100" s="5">
        <f t="shared" si="3"/>
        <v>99</v>
      </c>
      <c r="B100" s="3" t="str">
        <f>_xlfn.XLOOKUP(C100,Tab_Def_Flows[Flow_Name],Tab_Def_Flows[Flow_ID],,0,)</f>
        <v>F__</v>
      </c>
      <c r="C100" s="23" t="s">
        <v>5</v>
      </c>
      <c r="D100" s="6" t="str">
        <f>_xlfn.XLOOKUP(C100,Tab_Def_Flows[Flow_Name],Tab_Def_Flows[Use_E1],,0,)</f>
        <v>Yes</v>
      </c>
      <c r="E100" s="6" t="str">
        <f>_xlfn.XLOOKUP(C100,Tab_Def_Flows[Flow_Name],Tab_Def_Flows[Use_E2],,0,)</f>
        <v>Yes</v>
      </c>
      <c r="F100" s="6" t="str">
        <f>_xlfn.XLOOKUP(C100,Tab_Def_Flows[Flow_Name],Tab_Def_Flows[Use_E3],,0,)</f>
        <v>Yes</v>
      </c>
      <c r="G100" s="6" t="str">
        <f>_xlfn.XLOOKUP(C100,Tab_Def_Flows[Flow_Name],Tab_Def_Flows[Use_E4],,0,)</f>
        <v>Yes</v>
      </c>
      <c r="H100" s="6" t="str">
        <f>_xlfn.XLOOKUP(C100,Tab_Def_Flows[Flow_Name],Tab_Def_Flows[Use_E5],,0,)</f>
        <v>Yes</v>
      </c>
      <c r="I100" s="6" t="str">
        <f>_xlfn.XLOOKUP(C100,Tab_Def_Flows[Flow_Name],Tab_Def_Flows[Use_E6],,0,)</f>
        <v>Yes</v>
      </c>
      <c r="J100" s="52"/>
      <c r="K100" s="53"/>
      <c r="L100" s="3" t="str">
        <f>'0_Configuration'!$C$41</f>
        <v>Mg</v>
      </c>
      <c r="M100" s="10"/>
      <c r="N100" s="23" t="s">
        <v>3</v>
      </c>
      <c r="O100" s="4"/>
      <c r="P100" s="4"/>
      <c r="Q100" s="10"/>
      <c r="R100" s="3">
        <f>_xlfn.XLOOKUP(Tab_Data_Flows[[#This Row],[Flow_Name]],Tab_Def_Flows[Flow_Name],Tab_Def_Flows[Flow_E1_Fraction'[%']],"N.A.",0,1)</f>
        <v>0</v>
      </c>
      <c r="S100" s="9">
        <f t="shared" si="2"/>
        <v>0</v>
      </c>
      <c r="T100" s="3" t="str">
        <f>Tab_Data_Flows[[#This Row],[UoM_Source]]</f>
        <v>Mg</v>
      </c>
      <c r="U100" s="24">
        <f>_xlfn.XLOOKUP(Tab_Data_Flows[[#This Row],[Flow_Name]],Tab_Def_Flows[Flow_Name],Tab_Def_Flows[Flow_E2_Fraction'[%']],"N.A.",0,1)</f>
        <v>0</v>
      </c>
      <c r="V100" s="3">
        <f>IF(D100="Yes",S100*Tab_Data_Flows[[#This Row],[E2_Fraction'[%']]],"N.A.")</f>
        <v>0</v>
      </c>
      <c r="W100" s="3" t="str">
        <f>Tab_Data_Flows[[#This Row],[E1_UoM]]</f>
        <v>Mg</v>
      </c>
      <c r="X100" s="24">
        <f>_xlfn.XLOOKUP(Tab_Data_Flows[[#This Row],[Flow_Name]],Tab_Def_Flows[Flow_Name],Tab_Def_Flows[Flow_E3_Fraction'[%']],"N.A.",0,1)</f>
        <v>0</v>
      </c>
      <c r="Y100" s="3">
        <f>IF(E100="Yes",X100*Tab_Data_Flows[[#This Row],[E1_value]],"N.A.")</f>
        <v>0</v>
      </c>
      <c r="Z100" s="3" t="str">
        <f>Tab_Data_Flows[[#This Row],[E1_UoM]]</f>
        <v>Mg</v>
      </c>
      <c r="AA100" s="24">
        <f>_xlfn.XLOOKUP(Tab_Data_Flows[[#This Row],[Flow_Name]],Tab_Def_Flows[Flow_Name],Tab_Def_Flows[Flow_E4_Fraction'[%']],"N.A.",0,1)</f>
        <v>0</v>
      </c>
      <c r="AB100" s="3">
        <f>IF(H100="Yes",Tab_Data_Flows[[#This Row],[E4_Fraction'[%']]]*Tab_Data_Flows[[#This Row],[E1_value]],"N.A.")</f>
        <v>0</v>
      </c>
      <c r="AC100" s="3" t="str">
        <f>Tab_Data_Flows[[#This Row],[E1_UoM]]</f>
        <v>Mg</v>
      </c>
      <c r="AD100" s="24">
        <f>_xlfn.XLOOKUP(Tab_Data_Flows[[#This Row],[Flow_Name]],Tab_Def_Flows[Flow_Name],Tab_Def_Flows[Flow_E5_Fraction'[%']],"N.A.",0,1)</f>
        <v>0</v>
      </c>
      <c r="AE100" s="3">
        <f>IF(H100="Yes",Tab_Data_Flows[[#This Row],[E5_Fraction'[%']]]*Tab_Data_Flows[[#This Row],[E1_value]],"N.A.")</f>
        <v>0</v>
      </c>
      <c r="AF100" s="3" t="str">
        <f>Tab_Data_Flows[[#This Row],[E1_UoM]]</f>
        <v>Mg</v>
      </c>
      <c r="AG100" s="24">
        <f>_xlfn.XLOOKUP(Tab_Data_Flows[[#This Row],[Flow_Name]],Tab_Def_Flows[Flow_Name],Tab_Def_Flows[Flow_E6_Fraction'[%']],"N.A.",0,1)</f>
        <v>0</v>
      </c>
      <c r="AH100" s="3">
        <f>IF(Tab_Data_Flows[[#This Row],[Use_E6]]="Yes",Tab_Data_Flows[[#This Row],[E6_Fraction'[%']]]*Tab_Data_Flows[[#This Row],[E1_value]],"N.A.")</f>
        <v>0</v>
      </c>
      <c r="AI100" s="3" t="str">
        <f>Tab_Data_Flows[[#This Row],[E1_UoM]]</f>
        <v>Mg</v>
      </c>
    </row>
    <row r="101" spans="1:35" x14ac:dyDescent="0.25">
      <c r="A101" s="5">
        <f t="shared" si="3"/>
        <v>100</v>
      </c>
      <c r="B101" s="3" t="str">
        <f>_xlfn.XLOOKUP(C101,Tab_Def_Flows[Flow_Name],Tab_Def_Flows[Flow_ID],,0,)</f>
        <v>F__</v>
      </c>
      <c r="C101" s="23" t="s">
        <v>5</v>
      </c>
      <c r="D101" s="6" t="str">
        <f>_xlfn.XLOOKUP(C101,Tab_Def_Flows[Flow_Name],Tab_Def_Flows[Use_E1],,0,)</f>
        <v>Yes</v>
      </c>
      <c r="E101" s="6" t="str">
        <f>_xlfn.XLOOKUP(C101,Tab_Def_Flows[Flow_Name],Tab_Def_Flows[Use_E2],,0,)</f>
        <v>Yes</v>
      </c>
      <c r="F101" s="6" t="str">
        <f>_xlfn.XLOOKUP(C101,Tab_Def_Flows[Flow_Name],Tab_Def_Flows[Use_E3],,0,)</f>
        <v>Yes</v>
      </c>
      <c r="G101" s="6" t="str">
        <f>_xlfn.XLOOKUP(C101,Tab_Def_Flows[Flow_Name],Tab_Def_Flows[Use_E4],,0,)</f>
        <v>Yes</v>
      </c>
      <c r="H101" s="6" t="str">
        <f>_xlfn.XLOOKUP(C101,Tab_Def_Flows[Flow_Name],Tab_Def_Flows[Use_E5],,0,)</f>
        <v>Yes</v>
      </c>
      <c r="I101" s="6" t="str">
        <f>_xlfn.XLOOKUP(C101,Tab_Def_Flows[Flow_Name],Tab_Def_Flows[Use_E6],,0,)</f>
        <v>Yes</v>
      </c>
      <c r="J101" s="52"/>
      <c r="K101" s="53"/>
      <c r="L101" s="3" t="str">
        <f>'0_Configuration'!$C$41</f>
        <v>Mg</v>
      </c>
      <c r="M101" s="10"/>
      <c r="N101" s="23" t="s">
        <v>3</v>
      </c>
      <c r="O101" s="4"/>
      <c r="P101" s="4"/>
      <c r="Q101" s="10"/>
      <c r="R101" s="3">
        <f>_xlfn.XLOOKUP(Tab_Data_Flows[[#This Row],[Flow_Name]],Tab_Def_Flows[Flow_Name],Tab_Def_Flows[Flow_E1_Fraction'[%']],"N.A.",0,1)</f>
        <v>0</v>
      </c>
      <c r="S101" s="9">
        <f t="shared" si="2"/>
        <v>0</v>
      </c>
      <c r="T101" s="3" t="str">
        <f>Tab_Data_Flows[[#This Row],[UoM_Source]]</f>
        <v>Mg</v>
      </c>
      <c r="U101" s="24">
        <f>_xlfn.XLOOKUP(Tab_Data_Flows[[#This Row],[Flow_Name]],Tab_Def_Flows[Flow_Name],Tab_Def_Flows[Flow_E2_Fraction'[%']],"N.A.",0,1)</f>
        <v>0</v>
      </c>
      <c r="V101" s="3">
        <f>IF(D101="Yes",S101*Tab_Data_Flows[[#This Row],[E2_Fraction'[%']]],"N.A.")</f>
        <v>0</v>
      </c>
      <c r="W101" s="3" t="str">
        <f>Tab_Data_Flows[[#This Row],[E1_UoM]]</f>
        <v>Mg</v>
      </c>
      <c r="X101" s="24">
        <f>_xlfn.XLOOKUP(Tab_Data_Flows[[#This Row],[Flow_Name]],Tab_Def_Flows[Flow_Name],Tab_Def_Flows[Flow_E3_Fraction'[%']],"N.A.",0,1)</f>
        <v>0</v>
      </c>
      <c r="Y101" s="3">
        <f>IF(E101="Yes",X101*Tab_Data_Flows[[#This Row],[E1_value]],"N.A.")</f>
        <v>0</v>
      </c>
      <c r="Z101" s="3" t="str">
        <f>Tab_Data_Flows[[#This Row],[E1_UoM]]</f>
        <v>Mg</v>
      </c>
      <c r="AA101" s="24">
        <f>_xlfn.XLOOKUP(Tab_Data_Flows[[#This Row],[Flow_Name]],Tab_Def_Flows[Flow_Name],Tab_Def_Flows[Flow_E4_Fraction'[%']],"N.A.",0,1)</f>
        <v>0</v>
      </c>
      <c r="AB101" s="3">
        <f>IF(H101="Yes",Tab_Data_Flows[[#This Row],[E4_Fraction'[%']]]*Tab_Data_Flows[[#This Row],[E1_value]],"N.A.")</f>
        <v>0</v>
      </c>
      <c r="AC101" s="3" t="str">
        <f>Tab_Data_Flows[[#This Row],[E1_UoM]]</f>
        <v>Mg</v>
      </c>
      <c r="AD101" s="24">
        <f>_xlfn.XLOOKUP(Tab_Data_Flows[[#This Row],[Flow_Name]],Tab_Def_Flows[Flow_Name],Tab_Def_Flows[Flow_E5_Fraction'[%']],"N.A.",0,1)</f>
        <v>0</v>
      </c>
      <c r="AE101" s="3">
        <f>IF(H101="Yes",Tab_Data_Flows[[#This Row],[E5_Fraction'[%']]]*Tab_Data_Flows[[#This Row],[E1_value]],"N.A.")</f>
        <v>0</v>
      </c>
      <c r="AF101" s="3" t="str">
        <f>Tab_Data_Flows[[#This Row],[E1_UoM]]</f>
        <v>Mg</v>
      </c>
      <c r="AG101" s="24">
        <f>_xlfn.XLOOKUP(Tab_Data_Flows[[#This Row],[Flow_Name]],Tab_Def_Flows[Flow_Name],Tab_Def_Flows[Flow_E6_Fraction'[%']],"N.A.",0,1)</f>
        <v>0</v>
      </c>
      <c r="AH101" s="3">
        <f>IF(Tab_Data_Flows[[#This Row],[Use_E6]]="Yes",Tab_Data_Flows[[#This Row],[E6_Fraction'[%']]]*Tab_Data_Flows[[#This Row],[E1_value]],"N.A.")</f>
        <v>0</v>
      </c>
      <c r="AI101" s="3" t="str">
        <f>Tab_Data_Flows[[#This Row],[E1_UoM]]</f>
        <v>Mg</v>
      </c>
    </row>
    <row r="102" spans="1:35" x14ac:dyDescent="0.25">
      <c r="A102" s="5">
        <f t="shared" si="3"/>
        <v>101</v>
      </c>
      <c r="B102" s="3" t="str">
        <f>_xlfn.XLOOKUP(C102,Tab_Def_Flows[Flow_Name],Tab_Def_Flows[Flow_ID],,0,)</f>
        <v>F__</v>
      </c>
      <c r="C102" s="23" t="s">
        <v>5</v>
      </c>
      <c r="D102" s="6" t="str">
        <f>_xlfn.XLOOKUP(C102,Tab_Def_Flows[Flow_Name],Tab_Def_Flows[Use_E1],,0,)</f>
        <v>Yes</v>
      </c>
      <c r="E102" s="6" t="str">
        <f>_xlfn.XLOOKUP(C102,Tab_Def_Flows[Flow_Name],Tab_Def_Flows[Use_E2],,0,)</f>
        <v>Yes</v>
      </c>
      <c r="F102" s="6" t="str">
        <f>_xlfn.XLOOKUP(C102,Tab_Def_Flows[Flow_Name],Tab_Def_Flows[Use_E3],,0,)</f>
        <v>Yes</v>
      </c>
      <c r="G102" s="6" t="str">
        <f>_xlfn.XLOOKUP(C102,Tab_Def_Flows[Flow_Name],Tab_Def_Flows[Use_E4],,0,)</f>
        <v>Yes</v>
      </c>
      <c r="H102" s="6" t="str">
        <f>_xlfn.XLOOKUP(C102,Tab_Def_Flows[Flow_Name],Tab_Def_Flows[Use_E5],,0,)</f>
        <v>Yes</v>
      </c>
      <c r="I102" s="6" t="str">
        <f>_xlfn.XLOOKUP(C102,Tab_Def_Flows[Flow_Name],Tab_Def_Flows[Use_E6],,0,)</f>
        <v>Yes</v>
      </c>
      <c r="J102" s="52"/>
      <c r="K102" s="53"/>
      <c r="L102" s="3" t="str">
        <f>'0_Configuration'!$C$41</f>
        <v>Mg</v>
      </c>
      <c r="M102" s="10"/>
      <c r="N102" s="23" t="s">
        <v>3</v>
      </c>
      <c r="O102" s="4"/>
      <c r="P102" s="4"/>
      <c r="Q102" s="10"/>
      <c r="R102" s="3">
        <f>_xlfn.XLOOKUP(Tab_Data_Flows[[#This Row],[Flow_Name]],Tab_Def_Flows[Flow_Name],Tab_Def_Flows[Flow_E1_Fraction'[%']],"N.A.",0,1)</f>
        <v>0</v>
      </c>
      <c r="S102" s="9">
        <f t="shared" si="2"/>
        <v>0</v>
      </c>
      <c r="T102" s="3" t="str">
        <f>Tab_Data_Flows[[#This Row],[UoM_Source]]</f>
        <v>Mg</v>
      </c>
      <c r="U102" s="24">
        <f>_xlfn.XLOOKUP(Tab_Data_Flows[[#This Row],[Flow_Name]],Tab_Def_Flows[Flow_Name],Tab_Def_Flows[Flow_E2_Fraction'[%']],"N.A.",0,1)</f>
        <v>0</v>
      </c>
      <c r="V102" s="3">
        <f>IF(D102="Yes",S102*Tab_Data_Flows[[#This Row],[E2_Fraction'[%']]],"N.A.")</f>
        <v>0</v>
      </c>
      <c r="W102" s="3" t="str">
        <f>Tab_Data_Flows[[#This Row],[E1_UoM]]</f>
        <v>Mg</v>
      </c>
      <c r="X102" s="24">
        <f>_xlfn.XLOOKUP(Tab_Data_Flows[[#This Row],[Flow_Name]],Tab_Def_Flows[Flow_Name],Tab_Def_Flows[Flow_E3_Fraction'[%']],"N.A.",0,1)</f>
        <v>0</v>
      </c>
      <c r="Y102" s="3">
        <f>IF(E102="Yes",X102*Tab_Data_Flows[[#This Row],[E1_value]],"N.A.")</f>
        <v>0</v>
      </c>
      <c r="Z102" s="3" t="str">
        <f>Tab_Data_Flows[[#This Row],[E1_UoM]]</f>
        <v>Mg</v>
      </c>
      <c r="AA102" s="24">
        <f>_xlfn.XLOOKUP(Tab_Data_Flows[[#This Row],[Flow_Name]],Tab_Def_Flows[Flow_Name],Tab_Def_Flows[Flow_E4_Fraction'[%']],"N.A.",0,1)</f>
        <v>0</v>
      </c>
      <c r="AB102" s="3">
        <f>IF(H102="Yes",Tab_Data_Flows[[#This Row],[E4_Fraction'[%']]]*Tab_Data_Flows[[#This Row],[E1_value]],"N.A.")</f>
        <v>0</v>
      </c>
      <c r="AC102" s="3" t="str">
        <f>Tab_Data_Flows[[#This Row],[E1_UoM]]</f>
        <v>Mg</v>
      </c>
      <c r="AD102" s="24">
        <f>_xlfn.XLOOKUP(Tab_Data_Flows[[#This Row],[Flow_Name]],Tab_Def_Flows[Flow_Name],Tab_Def_Flows[Flow_E5_Fraction'[%']],"N.A.",0,1)</f>
        <v>0</v>
      </c>
      <c r="AE102" s="3">
        <f>IF(H102="Yes",Tab_Data_Flows[[#This Row],[E5_Fraction'[%']]]*Tab_Data_Flows[[#This Row],[E1_value]],"N.A.")</f>
        <v>0</v>
      </c>
      <c r="AF102" s="3" t="str">
        <f>Tab_Data_Flows[[#This Row],[E1_UoM]]</f>
        <v>Mg</v>
      </c>
      <c r="AG102" s="24">
        <f>_xlfn.XLOOKUP(Tab_Data_Flows[[#This Row],[Flow_Name]],Tab_Def_Flows[Flow_Name],Tab_Def_Flows[Flow_E6_Fraction'[%']],"N.A.",0,1)</f>
        <v>0</v>
      </c>
      <c r="AH102" s="3">
        <f>IF(Tab_Data_Flows[[#This Row],[Use_E6]]="Yes",Tab_Data_Flows[[#This Row],[E6_Fraction'[%']]]*Tab_Data_Flows[[#This Row],[E1_value]],"N.A.")</f>
        <v>0</v>
      </c>
      <c r="AI102" s="3" t="str">
        <f>Tab_Data_Flows[[#This Row],[E1_UoM]]</f>
        <v>Mg</v>
      </c>
    </row>
    <row r="103" spans="1:35" x14ac:dyDescent="0.25">
      <c r="A103" s="5">
        <f t="shared" si="3"/>
        <v>102</v>
      </c>
      <c r="B103" s="3" t="str">
        <f>_xlfn.XLOOKUP(C103,Tab_Def_Flows[Flow_Name],Tab_Def_Flows[Flow_ID],,0,)</f>
        <v>F__</v>
      </c>
      <c r="C103" s="23" t="s">
        <v>5</v>
      </c>
      <c r="D103" s="6" t="str">
        <f>_xlfn.XLOOKUP(C103,Tab_Def_Flows[Flow_Name],Tab_Def_Flows[Use_E1],,0,)</f>
        <v>Yes</v>
      </c>
      <c r="E103" s="6" t="str">
        <f>_xlfn.XLOOKUP(C103,Tab_Def_Flows[Flow_Name],Tab_Def_Flows[Use_E2],,0,)</f>
        <v>Yes</v>
      </c>
      <c r="F103" s="6" t="str">
        <f>_xlfn.XLOOKUP(C103,Tab_Def_Flows[Flow_Name],Tab_Def_Flows[Use_E3],,0,)</f>
        <v>Yes</v>
      </c>
      <c r="G103" s="6" t="str">
        <f>_xlfn.XLOOKUP(C103,Tab_Def_Flows[Flow_Name],Tab_Def_Flows[Use_E4],,0,)</f>
        <v>Yes</v>
      </c>
      <c r="H103" s="6" t="str">
        <f>_xlfn.XLOOKUP(C103,Tab_Def_Flows[Flow_Name],Tab_Def_Flows[Use_E5],,0,)</f>
        <v>Yes</v>
      </c>
      <c r="I103" s="6" t="str">
        <f>_xlfn.XLOOKUP(C103,Tab_Def_Flows[Flow_Name],Tab_Def_Flows[Use_E6],,0,)</f>
        <v>Yes</v>
      </c>
      <c r="J103" s="52"/>
      <c r="K103" s="53"/>
      <c r="L103" s="3" t="str">
        <f>'0_Configuration'!$C$41</f>
        <v>Mg</v>
      </c>
      <c r="M103" s="10"/>
      <c r="N103" s="23" t="s">
        <v>3</v>
      </c>
      <c r="O103" s="4"/>
      <c r="P103" s="4"/>
      <c r="Q103" s="10"/>
      <c r="R103" s="3">
        <f>_xlfn.XLOOKUP(Tab_Data_Flows[[#This Row],[Flow_Name]],Tab_Def_Flows[Flow_Name],Tab_Def_Flows[Flow_E1_Fraction'[%']],"N.A.",0,1)</f>
        <v>0</v>
      </c>
      <c r="S103" s="9">
        <f t="shared" si="2"/>
        <v>0</v>
      </c>
      <c r="T103" s="3" t="str">
        <f>Tab_Data_Flows[[#This Row],[UoM_Source]]</f>
        <v>Mg</v>
      </c>
      <c r="U103" s="24">
        <f>_xlfn.XLOOKUP(Tab_Data_Flows[[#This Row],[Flow_Name]],Tab_Def_Flows[Flow_Name],Tab_Def_Flows[Flow_E2_Fraction'[%']],"N.A.",0,1)</f>
        <v>0</v>
      </c>
      <c r="V103" s="3">
        <f>IF(D103="Yes",S103*Tab_Data_Flows[[#This Row],[E2_Fraction'[%']]],"N.A.")</f>
        <v>0</v>
      </c>
      <c r="W103" s="3" t="str">
        <f>Tab_Data_Flows[[#This Row],[E1_UoM]]</f>
        <v>Mg</v>
      </c>
      <c r="X103" s="24">
        <f>_xlfn.XLOOKUP(Tab_Data_Flows[[#This Row],[Flow_Name]],Tab_Def_Flows[Flow_Name],Tab_Def_Flows[Flow_E3_Fraction'[%']],"N.A.",0,1)</f>
        <v>0</v>
      </c>
      <c r="Y103" s="3">
        <f>IF(E103="Yes",X103*Tab_Data_Flows[[#This Row],[E1_value]],"N.A.")</f>
        <v>0</v>
      </c>
      <c r="Z103" s="3" t="str">
        <f>Tab_Data_Flows[[#This Row],[E1_UoM]]</f>
        <v>Mg</v>
      </c>
      <c r="AA103" s="24">
        <f>_xlfn.XLOOKUP(Tab_Data_Flows[[#This Row],[Flow_Name]],Tab_Def_Flows[Flow_Name],Tab_Def_Flows[Flow_E4_Fraction'[%']],"N.A.",0,1)</f>
        <v>0</v>
      </c>
      <c r="AB103" s="3">
        <f>IF(H103="Yes",Tab_Data_Flows[[#This Row],[E4_Fraction'[%']]]*Tab_Data_Flows[[#This Row],[E1_value]],"N.A.")</f>
        <v>0</v>
      </c>
      <c r="AC103" s="3" t="str">
        <f>Tab_Data_Flows[[#This Row],[E1_UoM]]</f>
        <v>Mg</v>
      </c>
      <c r="AD103" s="24">
        <f>_xlfn.XLOOKUP(Tab_Data_Flows[[#This Row],[Flow_Name]],Tab_Def_Flows[Flow_Name],Tab_Def_Flows[Flow_E5_Fraction'[%']],"N.A.",0,1)</f>
        <v>0</v>
      </c>
      <c r="AE103" s="3">
        <f>IF(H103="Yes",Tab_Data_Flows[[#This Row],[E5_Fraction'[%']]]*Tab_Data_Flows[[#This Row],[E1_value]],"N.A.")</f>
        <v>0</v>
      </c>
      <c r="AF103" s="3" t="str">
        <f>Tab_Data_Flows[[#This Row],[E1_UoM]]</f>
        <v>Mg</v>
      </c>
      <c r="AG103" s="24">
        <f>_xlfn.XLOOKUP(Tab_Data_Flows[[#This Row],[Flow_Name]],Tab_Def_Flows[Flow_Name],Tab_Def_Flows[Flow_E6_Fraction'[%']],"N.A.",0,1)</f>
        <v>0</v>
      </c>
      <c r="AH103" s="3">
        <f>IF(Tab_Data_Flows[[#This Row],[Use_E6]]="Yes",Tab_Data_Flows[[#This Row],[E6_Fraction'[%']]]*Tab_Data_Flows[[#This Row],[E1_value]],"N.A.")</f>
        <v>0</v>
      </c>
      <c r="AI103" s="3" t="str">
        <f>Tab_Data_Flows[[#This Row],[E1_UoM]]</f>
        <v>Mg</v>
      </c>
    </row>
    <row r="104" spans="1:35" x14ac:dyDescent="0.25">
      <c r="A104" s="5">
        <f t="shared" si="3"/>
        <v>103</v>
      </c>
      <c r="B104" s="3" t="str">
        <f>_xlfn.XLOOKUP(C104,Tab_Def_Flows[Flow_Name],Tab_Def_Flows[Flow_ID],,0,)</f>
        <v>F__</v>
      </c>
      <c r="C104" s="23" t="s">
        <v>5</v>
      </c>
      <c r="D104" s="6" t="str">
        <f>_xlfn.XLOOKUP(C104,Tab_Def_Flows[Flow_Name],Tab_Def_Flows[Use_E1],,0,)</f>
        <v>Yes</v>
      </c>
      <c r="E104" s="6" t="str">
        <f>_xlfn.XLOOKUP(C104,Tab_Def_Flows[Flow_Name],Tab_Def_Flows[Use_E2],,0,)</f>
        <v>Yes</v>
      </c>
      <c r="F104" s="6" t="str">
        <f>_xlfn.XLOOKUP(C104,Tab_Def_Flows[Flow_Name],Tab_Def_Flows[Use_E3],,0,)</f>
        <v>Yes</v>
      </c>
      <c r="G104" s="6" t="str">
        <f>_xlfn.XLOOKUP(C104,Tab_Def_Flows[Flow_Name],Tab_Def_Flows[Use_E4],,0,)</f>
        <v>Yes</v>
      </c>
      <c r="H104" s="6" t="str">
        <f>_xlfn.XLOOKUP(C104,Tab_Def_Flows[Flow_Name],Tab_Def_Flows[Use_E5],,0,)</f>
        <v>Yes</v>
      </c>
      <c r="I104" s="6" t="str">
        <f>_xlfn.XLOOKUP(C104,Tab_Def_Flows[Flow_Name],Tab_Def_Flows[Use_E6],,0,)</f>
        <v>Yes</v>
      </c>
      <c r="J104" s="52"/>
      <c r="K104" s="53"/>
      <c r="L104" s="3" t="str">
        <f>'0_Configuration'!$C$41</f>
        <v>Mg</v>
      </c>
      <c r="M104" s="10"/>
      <c r="N104" s="23" t="s">
        <v>3</v>
      </c>
      <c r="O104" s="4"/>
      <c r="P104" s="4"/>
      <c r="Q104" s="10"/>
      <c r="R104" s="3">
        <f>_xlfn.XLOOKUP(Tab_Data_Flows[[#This Row],[Flow_Name]],Tab_Def_Flows[Flow_Name],Tab_Def_Flows[Flow_E1_Fraction'[%']],"N.A.",0,1)</f>
        <v>0</v>
      </c>
      <c r="S104" s="9">
        <f t="shared" si="2"/>
        <v>0</v>
      </c>
      <c r="T104" s="3" t="str">
        <f>Tab_Data_Flows[[#This Row],[UoM_Source]]</f>
        <v>Mg</v>
      </c>
      <c r="U104" s="24">
        <f>_xlfn.XLOOKUP(Tab_Data_Flows[[#This Row],[Flow_Name]],Tab_Def_Flows[Flow_Name],Tab_Def_Flows[Flow_E2_Fraction'[%']],"N.A.",0,1)</f>
        <v>0</v>
      </c>
      <c r="V104" s="3">
        <f>IF(D104="Yes",S104*Tab_Data_Flows[[#This Row],[E2_Fraction'[%']]],"N.A.")</f>
        <v>0</v>
      </c>
      <c r="W104" s="3" t="str">
        <f>Tab_Data_Flows[[#This Row],[E1_UoM]]</f>
        <v>Mg</v>
      </c>
      <c r="X104" s="24">
        <f>_xlfn.XLOOKUP(Tab_Data_Flows[[#This Row],[Flow_Name]],Tab_Def_Flows[Flow_Name],Tab_Def_Flows[Flow_E3_Fraction'[%']],"N.A.",0,1)</f>
        <v>0</v>
      </c>
      <c r="Y104" s="3">
        <f>IF(E104="Yes",X104*Tab_Data_Flows[[#This Row],[E1_value]],"N.A.")</f>
        <v>0</v>
      </c>
      <c r="Z104" s="3" t="str">
        <f>Tab_Data_Flows[[#This Row],[E1_UoM]]</f>
        <v>Mg</v>
      </c>
      <c r="AA104" s="24">
        <f>_xlfn.XLOOKUP(Tab_Data_Flows[[#This Row],[Flow_Name]],Tab_Def_Flows[Flow_Name],Tab_Def_Flows[Flow_E4_Fraction'[%']],"N.A.",0,1)</f>
        <v>0</v>
      </c>
      <c r="AB104" s="3">
        <f>IF(H104="Yes",Tab_Data_Flows[[#This Row],[E4_Fraction'[%']]]*Tab_Data_Flows[[#This Row],[E1_value]],"N.A.")</f>
        <v>0</v>
      </c>
      <c r="AC104" s="3" t="str">
        <f>Tab_Data_Flows[[#This Row],[E1_UoM]]</f>
        <v>Mg</v>
      </c>
      <c r="AD104" s="24">
        <f>_xlfn.XLOOKUP(Tab_Data_Flows[[#This Row],[Flow_Name]],Tab_Def_Flows[Flow_Name],Tab_Def_Flows[Flow_E5_Fraction'[%']],"N.A.",0,1)</f>
        <v>0</v>
      </c>
      <c r="AE104" s="3">
        <f>IF(H104="Yes",Tab_Data_Flows[[#This Row],[E5_Fraction'[%']]]*Tab_Data_Flows[[#This Row],[E1_value]],"N.A.")</f>
        <v>0</v>
      </c>
      <c r="AF104" s="3" t="str">
        <f>Tab_Data_Flows[[#This Row],[E1_UoM]]</f>
        <v>Mg</v>
      </c>
      <c r="AG104" s="24">
        <f>_xlfn.XLOOKUP(Tab_Data_Flows[[#This Row],[Flow_Name]],Tab_Def_Flows[Flow_Name],Tab_Def_Flows[Flow_E6_Fraction'[%']],"N.A.",0,1)</f>
        <v>0</v>
      </c>
      <c r="AH104" s="3">
        <f>IF(Tab_Data_Flows[[#This Row],[Use_E6]]="Yes",Tab_Data_Flows[[#This Row],[E6_Fraction'[%']]]*Tab_Data_Flows[[#This Row],[E1_value]],"N.A.")</f>
        <v>0</v>
      </c>
      <c r="AI104" s="3" t="str">
        <f>Tab_Data_Flows[[#This Row],[E1_UoM]]</f>
        <v>Mg</v>
      </c>
    </row>
    <row r="105" spans="1:35" x14ac:dyDescent="0.25">
      <c r="A105" s="5">
        <f t="shared" si="3"/>
        <v>104</v>
      </c>
      <c r="B105" s="3" t="str">
        <f>_xlfn.XLOOKUP(C105,Tab_Def_Flows[Flow_Name],Tab_Def_Flows[Flow_ID],,0,)</f>
        <v>F__</v>
      </c>
      <c r="C105" s="23" t="s">
        <v>5</v>
      </c>
      <c r="D105" s="6" t="str">
        <f>_xlfn.XLOOKUP(C105,Tab_Def_Flows[Flow_Name],Tab_Def_Flows[Use_E1],,0,)</f>
        <v>Yes</v>
      </c>
      <c r="E105" s="6" t="str">
        <f>_xlfn.XLOOKUP(C105,Tab_Def_Flows[Flow_Name],Tab_Def_Flows[Use_E2],,0,)</f>
        <v>Yes</v>
      </c>
      <c r="F105" s="6" t="str">
        <f>_xlfn.XLOOKUP(C105,Tab_Def_Flows[Flow_Name],Tab_Def_Flows[Use_E3],,0,)</f>
        <v>Yes</v>
      </c>
      <c r="G105" s="6" t="str">
        <f>_xlfn.XLOOKUP(C105,Tab_Def_Flows[Flow_Name],Tab_Def_Flows[Use_E4],,0,)</f>
        <v>Yes</v>
      </c>
      <c r="H105" s="6" t="str">
        <f>_xlfn.XLOOKUP(C105,Tab_Def_Flows[Flow_Name],Tab_Def_Flows[Use_E5],,0,)</f>
        <v>Yes</v>
      </c>
      <c r="I105" s="6" t="str">
        <f>_xlfn.XLOOKUP(C105,Tab_Def_Flows[Flow_Name],Tab_Def_Flows[Use_E6],,0,)</f>
        <v>Yes</v>
      </c>
      <c r="J105" s="52"/>
      <c r="K105" s="53"/>
      <c r="L105" s="3" t="str">
        <f>'0_Configuration'!$C$41</f>
        <v>Mg</v>
      </c>
      <c r="M105" s="10"/>
      <c r="N105" s="23" t="s">
        <v>3</v>
      </c>
      <c r="O105" s="4"/>
      <c r="P105" s="4"/>
      <c r="Q105" s="10"/>
      <c r="R105" s="3">
        <f>_xlfn.XLOOKUP(Tab_Data_Flows[[#This Row],[Flow_Name]],Tab_Def_Flows[Flow_Name],Tab_Def_Flows[Flow_E1_Fraction'[%']],"N.A.",0,1)</f>
        <v>0</v>
      </c>
      <c r="S105" s="9">
        <f t="shared" si="2"/>
        <v>0</v>
      </c>
      <c r="T105" s="3" t="str">
        <f>Tab_Data_Flows[[#This Row],[UoM_Source]]</f>
        <v>Mg</v>
      </c>
      <c r="U105" s="24">
        <f>_xlfn.XLOOKUP(Tab_Data_Flows[[#This Row],[Flow_Name]],Tab_Def_Flows[Flow_Name],Tab_Def_Flows[Flow_E2_Fraction'[%']],"N.A.",0,1)</f>
        <v>0</v>
      </c>
      <c r="V105" s="3">
        <f>IF(D105="Yes",S105*Tab_Data_Flows[[#This Row],[E2_Fraction'[%']]],"N.A.")</f>
        <v>0</v>
      </c>
      <c r="W105" s="3" t="str">
        <f>Tab_Data_Flows[[#This Row],[E1_UoM]]</f>
        <v>Mg</v>
      </c>
      <c r="X105" s="24">
        <f>_xlfn.XLOOKUP(Tab_Data_Flows[[#This Row],[Flow_Name]],Tab_Def_Flows[Flow_Name],Tab_Def_Flows[Flow_E3_Fraction'[%']],"N.A.",0,1)</f>
        <v>0</v>
      </c>
      <c r="Y105" s="3">
        <f>IF(E105="Yes",X105*Tab_Data_Flows[[#This Row],[E1_value]],"N.A.")</f>
        <v>0</v>
      </c>
      <c r="Z105" s="3" t="str">
        <f>Tab_Data_Flows[[#This Row],[E1_UoM]]</f>
        <v>Mg</v>
      </c>
      <c r="AA105" s="24">
        <f>_xlfn.XLOOKUP(Tab_Data_Flows[[#This Row],[Flow_Name]],Tab_Def_Flows[Flow_Name],Tab_Def_Flows[Flow_E4_Fraction'[%']],"N.A.",0,1)</f>
        <v>0</v>
      </c>
      <c r="AB105" s="3">
        <f>IF(H105="Yes",Tab_Data_Flows[[#This Row],[E4_Fraction'[%']]]*Tab_Data_Flows[[#This Row],[E1_value]],"N.A.")</f>
        <v>0</v>
      </c>
      <c r="AC105" s="3" t="str">
        <f>Tab_Data_Flows[[#This Row],[E1_UoM]]</f>
        <v>Mg</v>
      </c>
      <c r="AD105" s="24">
        <f>_xlfn.XLOOKUP(Tab_Data_Flows[[#This Row],[Flow_Name]],Tab_Def_Flows[Flow_Name],Tab_Def_Flows[Flow_E5_Fraction'[%']],"N.A.",0,1)</f>
        <v>0</v>
      </c>
      <c r="AE105" s="3">
        <f>IF(H105="Yes",Tab_Data_Flows[[#This Row],[E5_Fraction'[%']]]*Tab_Data_Flows[[#This Row],[E1_value]],"N.A.")</f>
        <v>0</v>
      </c>
      <c r="AF105" s="3" t="str">
        <f>Tab_Data_Flows[[#This Row],[E1_UoM]]</f>
        <v>Mg</v>
      </c>
      <c r="AG105" s="24">
        <f>_xlfn.XLOOKUP(Tab_Data_Flows[[#This Row],[Flow_Name]],Tab_Def_Flows[Flow_Name],Tab_Def_Flows[Flow_E6_Fraction'[%']],"N.A.",0,1)</f>
        <v>0</v>
      </c>
      <c r="AH105" s="3">
        <f>IF(Tab_Data_Flows[[#This Row],[Use_E6]]="Yes",Tab_Data_Flows[[#This Row],[E6_Fraction'[%']]]*Tab_Data_Flows[[#This Row],[E1_value]],"N.A.")</f>
        <v>0</v>
      </c>
      <c r="AI105" s="3" t="str">
        <f>Tab_Data_Flows[[#This Row],[E1_UoM]]</f>
        <v>Mg</v>
      </c>
    </row>
    <row r="106" spans="1:35" x14ac:dyDescent="0.25">
      <c r="A106" s="5">
        <f t="shared" si="3"/>
        <v>105</v>
      </c>
      <c r="B106" s="3" t="str">
        <f>_xlfn.XLOOKUP(C106,Tab_Def_Flows[Flow_Name],Tab_Def_Flows[Flow_ID],,0,)</f>
        <v>F__</v>
      </c>
      <c r="C106" s="23" t="s">
        <v>5</v>
      </c>
      <c r="D106" s="6" t="str">
        <f>_xlfn.XLOOKUP(C106,Tab_Def_Flows[Flow_Name],Tab_Def_Flows[Use_E1],,0,)</f>
        <v>Yes</v>
      </c>
      <c r="E106" s="6" t="str">
        <f>_xlfn.XLOOKUP(C106,Tab_Def_Flows[Flow_Name],Tab_Def_Flows[Use_E2],,0,)</f>
        <v>Yes</v>
      </c>
      <c r="F106" s="6" t="str">
        <f>_xlfn.XLOOKUP(C106,Tab_Def_Flows[Flow_Name],Tab_Def_Flows[Use_E3],,0,)</f>
        <v>Yes</v>
      </c>
      <c r="G106" s="6" t="str">
        <f>_xlfn.XLOOKUP(C106,Tab_Def_Flows[Flow_Name],Tab_Def_Flows[Use_E4],,0,)</f>
        <v>Yes</v>
      </c>
      <c r="H106" s="6" t="str">
        <f>_xlfn.XLOOKUP(C106,Tab_Def_Flows[Flow_Name],Tab_Def_Flows[Use_E5],,0,)</f>
        <v>Yes</v>
      </c>
      <c r="I106" s="6" t="str">
        <f>_xlfn.XLOOKUP(C106,Tab_Def_Flows[Flow_Name],Tab_Def_Flows[Use_E6],,0,)</f>
        <v>Yes</v>
      </c>
      <c r="J106" s="52"/>
      <c r="K106" s="53"/>
      <c r="L106" s="3" t="str">
        <f>'0_Configuration'!$C$41</f>
        <v>Mg</v>
      </c>
      <c r="M106" s="10"/>
      <c r="N106" s="23" t="s">
        <v>3</v>
      </c>
      <c r="O106" s="4"/>
      <c r="P106" s="4"/>
      <c r="Q106" s="10"/>
      <c r="R106" s="3">
        <f>_xlfn.XLOOKUP(Tab_Data_Flows[[#This Row],[Flow_Name]],Tab_Def_Flows[Flow_Name],Tab_Def_Flows[Flow_E1_Fraction'[%']],"N.A.",0,1)</f>
        <v>0</v>
      </c>
      <c r="S106" s="9">
        <f t="shared" si="2"/>
        <v>0</v>
      </c>
      <c r="T106" s="3" t="str">
        <f>Tab_Data_Flows[[#This Row],[UoM_Source]]</f>
        <v>Mg</v>
      </c>
      <c r="U106" s="24">
        <f>_xlfn.XLOOKUP(Tab_Data_Flows[[#This Row],[Flow_Name]],Tab_Def_Flows[Flow_Name],Tab_Def_Flows[Flow_E2_Fraction'[%']],"N.A.",0,1)</f>
        <v>0</v>
      </c>
      <c r="V106" s="3">
        <f>IF(D106="Yes",S106*Tab_Data_Flows[[#This Row],[E2_Fraction'[%']]],"N.A.")</f>
        <v>0</v>
      </c>
      <c r="W106" s="3" t="str">
        <f>Tab_Data_Flows[[#This Row],[E1_UoM]]</f>
        <v>Mg</v>
      </c>
      <c r="X106" s="24">
        <f>_xlfn.XLOOKUP(Tab_Data_Flows[[#This Row],[Flow_Name]],Tab_Def_Flows[Flow_Name],Tab_Def_Flows[Flow_E3_Fraction'[%']],"N.A.",0,1)</f>
        <v>0</v>
      </c>
      <c r="Y106" s="3">
        <f>IF(E106="Yes",X106*Tab_Data_Flows[[#This Row],[E1_value]],"N.A.")</f>
        <v>0</v>
      </c>
      <c r="Z106" s="3" t="str">
        <f>Tab_Data_Flows[[#This Row],[E1_UoM]]</f>
        <v>Mg</v>
      </c>
      <c r="AA106" s="24">
        <f>_xlfn.XLOOKUP(Tab_Data_Flows[[#This Row],[Flow_Name]],Tab_Def_Flows[Flow_Name],Tab_Def_Flows[Flow_E4_Fraction'[%']],"N.A.",0,1)</f>
        <v>0</v>
      </c>
      <c r="AB106" s="3">
        <f>IF(H106="Yes",Tab_Data_Flows[[#This Row],[E4_Fraction'[%']]]*Tab_Data_Flows[[#This Row],[E1_value]],"N.A.")</f>
        <v>0</v>
      </c>
      <c r="AC106" s="3" t="str">
        <f>Tab_Data_Flows[[#This Row],[E1_UoM]]</f>
        <v>Mg</v>
      </c>
      <c r="AD106" s="24">
        <f>_xlfn.XLOOKUP(Tab_Data_Flows[[#This Row],[Flow_Name]],Tab_Def_Flows[Flow_Name],Tab_Def_Flows[Flow_E5_Fraction'[%']],"N.A.",0,1)</f>
        <v>0</v>
      </c>
      <c r="AE106" s="3">
        <f>IF(H106="Yes",Tab_Data_Flows[[#This Row],[E5_Fraction'[%']]]*Tab_Data_Flows[[#This Row],[E1_value]],"N.A.")</f>
        <v>0</v>
      </c>
      <c r="AF106" s="3" t="str">
        <f>Tab_Data_Flows[[#This Row],[E1_UoM]]</f>
        <v>Mg</v>
      </c>
      <c r="AG106" s="24">
        <f>_xlfn.XLOOKUP(Tab_Data_Flows[[#This Row],[Flow_Name]],Tab_Def_Flows[Flow_Name],Tab_Def_Flows[Flow_E6_Fraction'[%']],"N.A.",0,1)</f>
        <v>0</v>
      </c>
      <c r="AH106" s="3">
        <f>IF(Tab_Data_Flows[[#This Row],[Use_E6]]="Yes",Tab_Data_Flows[[#This Row],[E6_Fraction'[%']]]*Tab_Data_Flows[[#This Row],[E1_value]],"N.A.")</f>
        <v>0</v>
      </c>
      <c r="AI106" s="3" t="str">
        <f>Tab_Data_Flows[[#This Row],[E1_UoM]]</f>
        <v>Mg</v>
      </c>
    </row>
    <row r="107" spans="1:35" x14ac:dyDescent="0.25">
      <c r="A107" s="5">
        <f t="shared" si="3"/>
        <v>106</v>
      </c>
      <c r="B107" s="3" t="str">
        <f>_xlfn.XLOOKUP(C107,Tab_Def_Flows[Flow_Name],Tab_Def_Flows[Flow_ID],,0,)</f>
        <v>F__</v>
      </c>
      <c r="C107" s="23" t="s">
        <v>5</v>
      </c>
      <c r="D107" s="6" t="str">
        <f>_xlfn.XLOOKUP(C107,Tab_Def_Flows[Flow_Name],Tab_Def_Flows[Use_E1],,0,)</f>
        <v>Yes</v>
      </c>
      <c r="E107" s="6" t="str">
        <f>_xlfn.XLOOKUP(C107,Tab_Def_Flows[Flow_Name],Tab_Def_Flows[Use_E2],,0,)</f>
        <v>Yes</v>
      </c>
      <c r="F107" s="6" t="str">
        <f>_xlfn.XLOOKUP(C107,Tab_Def_Flows[Flow_Name],Tab_Def_Flows[Use_E3],,0,)</f>
        <v>Yes</v>
      </c>
      <c r="G107" s="6" t="str">
        <f>_xlfn.XLOOKUP(C107,Tab_Def_Flows[Flow_Name],Tab_Def_Flows[Use_E4],,0,)</f>
        <v>Yes</v>
      </c>
      <c r="H107" s="6" t="str">
        <f>_xlfn.XLOOKUP(C107,Tab_Def_Flows[Flow_Name],Tab_Def_Flows[Use_E5],,0,)</f>
        <v>Yes</v>
      </c>
      <c r="I107" s="6" t="str">
        <f>_xlfn.XLOOKUP(C107,Tab_Def_Flows[Flow_Name],Tab_Def_Flows[Use_E6],,0,)</f>
        <v>Yes</v>
      </c>
      <c r="J107" s="52"/>
      <c r="K107" s="53"/>
      <c r="L107" s="3" t="str">
        <f>'0_Configuration'!$C$41</f>
        <v>Mg</v>
      </c>
      <c r="M107" s="10"/>
      <c r="N107" s="23" t="s">
        <v>3</v>
      </c>
      <c r="O107" s="4"/>
      <c r="P107" s="4"/>
      <c r="Q107" s="10"/>
      <c r="R107" s="3">
        <f>_xlfn.XLOOKUP(Tab_Data_Flows[[#This Row],[Flow_Name]],Tab_Def_Flows[Flow_Name],Tab_Def_Flows[Flow_E1_Fraction'[%']],"N.A.",0,1)</f>
        <v>0</v>
      </c>
      <c r="S107" s="9">
        <f t="shared" si="2"/>
        <v>0</v>
      </c>
      <c r="T107" s="3" t="str">
        <f>Tab_Data_Flows[[#This Row],[UoM_Source]]</f>
        <v>Mg</v>
      </c>
      <c r="U107" s="24">
        <f>_xlfn.XLOOKUP(Tab_Data_Flows[[#This Row],[Flow_Name]],Tab_Def_Flows[Flow_Name],Tab_Def_Flows[Flow_E2_Fraction'[%']],"N.A.",0,1)</f>
        <v>0</v>
      </c>
      <c r="V107" s="3">
        <f>IF(D107="Yes",S107*Tab_Data_Flows[[#This Row],[E2_Fraction'[%']]],"N.A.")</f>
        <v>0</v>
      </c>
      <c r="W107" s="3" t="str">
        <f>Tab_Data_Flows[[#This Row],[E1_UoM]]</f>
        <v>Mg</v>
      </c>
      <c r="X107" s="24">
        <f>_xlfn.XLOOKUP(Tab_Data_Flows[[#This Row],[Flow_Name]],Tab_Def_Flows[Flow_Name],Tab_Def_Flows[Flow_E3_Fraction'[%']],"N.A.",0,1)</f>
        <v>0</v>
      </c>
      <c r="Y107" s="3">
        <f>IF(E107="Yes",X107*Tab_Data_Flows[[#This Row],[E1_value]],"N.A.")</f>
        <v>0</v>
      </c>
      <c r="Z107" s="3" t="str">
        <f>Tab_Data_Flows[[#This Row],[E1_UoM]]</f>
        <v>Mg</v>
      </c>
      <c r="AA107" s="24">
        <f>_xlfn.XLOOKUP(Tab_Data_Flows[[#This Row],[Flow_Name]],Tab_Def_Flows[Flow_Name],Tab_Def_Flows[Flow_E4_Fraction'[%']],"N.A.",0,1)</f>
        <v>0</v>
      </c>
      <c r="AB107" s="3">
        <f>IF(H107="Yes",Tab_Data_Flows[[#This Row],[E4_Fraction'[%']]]*Tab_Data_Flows[[#This Row],[E1_value]],"N.A.")</f>
        <v>0</v>
      </c>
      <c r="AC107" s="3" t="str">
        <f>Tab_Data_Flows[[#This Row],[E1_UoM]]</f>
        <v>Mg</v>
      </c>
      <c r="AD107" s="24">
        <f>_xlfn.XLOOKUP(Tab_Data_Flows[[#This Row],[Flow_Name]],Tab_Def_Flows[Flow_Name],Tab_Def_Flows[Flow_E5_Fraction'[%']],"N.A.",0,1)</f>
        <v>0</v>
      </c>
      <c r="AE107" s="3">
        <f>IF(H107="Yes",Tab_Data_Flows[[#This Row],[E5_Fraction'[%']]]*Tab_Data_Flows[[#This Row],[E1_value]],"N.A.")</f>
        <v>0</v>
      </c>
      <c r="AF107" s="3" t="str">
        <f>Tab_Data_Flows[[#This Row],[E1_UoM]]</f>
        <v>Mg</v>
      </c>
      <c r="AG107" s="24">
        <f>_xlfn.XLOOKUP(Tab_Data_Flows[[#This Row],[Flow_Name]],Tab_Def_Flows[Flow_Name],Tab_Def_Flows[Flow_E6_Fraction'[%']],"N.A.",0,1)</f>
        <v>0</v>
      </c>
      <c r="AH107" s="3">
        <f>IF(Tab_Data_Flows[[#This Row],[Use_E6]]="Yes",Tab_Data_Flows[[#This Row],[E6_Fraction'[%']]]*Tab_Data_Flows[[#This Row],[E1_value]],"N.A.")</f>
        <v>0</v>
      </c>
      <c r="AI107" s="3" t="str">
        <f>Tab_Data_Flows[[#This Row],[E1_UoM]]</f>
        <v>Mg</v>
      </c>
    </row>
    <row r="108" spans="1:35" x14ac:dyDescent="0.25">
      <c r="A108" s="5">
        <f t="shared" si="3"/>
        <v>107</v>
      </c>
      <c r="B108" s="3" t="str">
        <f>_xlfn.XLOOKUP(C108,Tab_Def_Flows[Flow_Name],Tab_Def_Flows[Flow_ID],,0,)</f>
        <v>F__</v>
      </c>
      <c r="C108" s="23" t="s">
        <v>5</v>
      </c>
      <c r="D108" s="6" t="str">
        <f>_xlfn.XLOOKUP(C108,Tab_Def_Flows[Flow_Name],Tab_Def_Flows[Use_E1],,0,)</f>
        <v>Yes</v>
      </c>
      <c r="E108" s="6" t="str">
        <f>_xlfn.XLOOKUP(C108,Tab_Def_Flows[Flow_Name],Tab_Def_Flows[Use_E2],,0,)</f>
        <v>Yes</v>
      </c>
      <c r="F108" s="6" t="str">
        <f>_xlfn.XLOOKUP(C108,Tab_Def_Flows[Flow_Name],Tab_Def_Flows[Use_E3],,0,)</f>
        <v>Yes</v>
      </c>
      <c r="G108" s="6" t="str">
        <f>_xlfn.XLOOKUP(C108,Tab_Def_Flows[Flow_Name],Tab_Def_Flows[Use_E4],,0,)</f>
        <v>Yes</v>
      </c>
      <c r="H108" s="6" t="str">
        <f>_xlfn.XLOOKUP(C108,Tab_Def_Flows[Flow_Name],Tab_Def_Flows[Use_E5],,0,)</f>
        <v>Yes</v>
      </c>
      <c r="I108" s="6" t="str">
        <f>_xlfn.XLOOKUP(C108,Tab_Def_Flows[Flow_Name],Tab_Def_Flows[Use_E6],,0,)</f>
        <v>Yes</v>
      </c>
      <c r="J108" s="52"/>
      <c r="K108" s="53"/>
      <c r="L108" s="3" t="str">
        <f>'0_Configuration'!$C$41</f>
        <v>Mg</v>
      </c>
      <c r="M108" s="10"/>
      <c r="N108" s="23" t="s">
        <v>3</v>
      </c>
      <c r="O108" s="4"/>
      <c r="P108" s="4"/>
      <c r="Q108" s="10"/>
      <c r="R108" s="3">
        <f>_xlfn.XLOOKUP(Tab_Data_Flows[[#This Row],[Flow_Name]],Tab_Def_Flows[Flow_Name],Tab_Def_Flows[Flow_E1_Fraction'[%']],"N.A.",0,1)</f>
        <v>0</v>
      </c>
      <c r="S108" s="9">
        <f t="shared" si="2"/>
        <v>0</v>
      </c>
      <c r="T108" s="3" t="str">
        <f>Tab_Data_Flows[[#This Row],[UoM_Source]]</f>
        <v>Mg</v>
      </c>
      <c r="U108" s="24">
        <f>_xlfn.XLOOKUP(Tab_Data_Flows[[#This Row],[Flow_Name]],Tab_Def_Flows[Flow_Name],Tab_Def_Flows[Flow_E2_Fraction'[%']],"N.A.",0,1)</f>
        <v>0</v>
      </c>
      <c r="V108" s="3">
        <f>IF(D108="Yes",S108*Tab_Data_Flows[[#This Row],[E2_Fraction'[%']]],"N.A.")</f>
        <v>0</v>
      </c>
      <c r="W108" s="3" t="str">
        <f>Tab_Data_Flows[[#This Row],[E1_UoM]]</f>
        <v>Mg</v>
      </c>
      <c r="X108" s="24">
        <f>_xlfn.XLOOKUP(Tab_Data_Flows[[#This Row],[Flow_Name]],Tab_Def_Flows[Flow_Name],Tab_Def_Flows[Flow_E3_Fraction'[%']],"N.A.",0,1)</f>
        <v>0</v>
      </c>
      <c r="Y108" s="3">
        <f>IF(E108="Yes",X108*Tab_Data_Flows[[#This Row],[E1_value]],"N.A.")</f>
        <v>0</v>
      </c>
      <c r="Z108" s="3" t="str">
        <f>Tab_Data_Flows[[#This Row],[E1_UoM]]</f>
        <v>Mg</v>
      </c>
      <c r="AA108" s="24">
        <f>_xlfn.XLOOKUP(Tab_Data_Flows[[#This Row],[Flow_Name]],Tab_Def_Flows[Flow_Name],Tab_Def_Flows[Flow_E4_Fraction'[%']],"N.A.",0,1)</f>
        <v>0</v>
      </c>
      <c r="AB108" s="3">
        <f>IF(H108="Yes",Tab_Data_Flows[[#This Row],[E4_Fraction'[%']]]*Tab_Data_Flows[[#This Row],[E1_value]],"N.A.")</f>
        <v>0</v>
      </c>
      <c r="AC108" s="3" t="str">
        <f>Tab_Data_Flows[[#This Row],[E1_UoM]]</f>
        <v>Mg</v>
      </c>
      <c r="AD108" s="24">
        <f>_xlfn.XLOOKUP(Tab_Data_Flows[[#This Row],[Flow_Name]],Tab_Def_Flows[Flow_Name],Tab_Def_Flows[Flow_E5_Fraction'[%']],"N.A.",0,1)</f>
        <v>0</v>
      </c>
      <c r="AE108" s="3">
        <f>IF(H108="Yes",Tab_Data_Flows[[#This Row],[E5_Fraction'[%']]]*Tab_Data_Flows[[#This Row],[E1_value]],"N.A.")</f>
        <v>0</v>
      </c>
      <c r="AF108" s="3" t="str">
        <f>Tab_Data_Flows[[#This Row],[E1_UoM]]</f>
        <v>Mg</v>
      </c>
      <c r="AG108" s="24">
        <f>_xlfn.XLOOKUP(Tab_Data_Flows[[#This Row],[Flow_Name]],Tab_Def_Flows[Flow_Name],Tab_Def_Flows[Flow_E6_Fraction'[%']],"N.A.",0,1)</f>
        <v>0</v>
      </c>
      <c r="AH108" s="3">
        <f>IF(Tab_Data_Flows[[#This Row],[Use_E6]]="Yes",Tab_Data_Flows[[#This Row],[E6_Fraction'[%']]]*Tab_Data_Flows[[#This Row],[E1_value]],"N.A.")</f>
        <v>0</v>
      </c>
      <c r="AI108" s="3" t="str">
        <f>Tab_Data_Flows[[#This Row],[E1_UoM]]</f>
        <v>Mg</v>
      </c>
    </row>
    <row r="109" spans="1:35" x14ac:dyDescent="0.25">
      <c r="A109" s="5">
        <f t="shared" si="3"/>
        <v>108</v>
      </c>
      <c r="B109" s="3" t="str">
        <f>_xlfn.XLOOKUP(C109,Tab_Def_Flows[Flow_Name],Tab_Def_Flows[Flow_ID],,0,)</f>
        <v>F__</v>
      </c>
      <c r="C109" s="23" t="s">
        <v>5</v>
      </c>
      <c r="D109" s="6" t="str">
        <f>_xlfn.XLOOKUP(C109,Tab_Def_Flows[Flow_Name],Tab_Def_Flows[Use_E1],,0,)</f>
        <v>Yes</v>
      </c>
      <c r="E109" s="6" t="str">
        <f>_xlfn.XLOOKUP(C109,Tab_Def_Flows[Flow_Name],Tab_Def_Flows[Use_E2],,0,)</f>
        <v>Yes</v>
      </c>
      <c r="F109" s="6" t="str">
        <f>_xlfn.XLOOKUP(C109,Tab_Def_Flows[Flow_Name],Tab_Def_Flows[Use_E3],,0,)</f>
        <v>Yes</v>
      </c>
      <c r="G109" s="6" t="str">
        <f>_xlfn.XLOOKUP(C109,Tab_Def_Flows[Flow_Name],Tab_Def_Flows[Use_E4],,0,)</f>
        <v>Yes</v>
      </c>
      <c r="H109" s="6" t="str">
        <f>_xlfn.XLOOKUP(C109,Tab_Def_Flows[Flow_Name],Tab_Def_Flows[Use_E5],,0,)</f>
        <v>Yes</v>
      </c>
      <c r="I109" s="6" t="str">
        <f>_xlfn.XLOOKUP(C109,Tab_Def_Flows[Flow_Name],Tab_Def_Flows[Use_E6],,0,)</f>
        <v>Yes</v>
      </c>
      <c r="J109" s="52"/>
      <c r="K109" s="53"/>
      <c r="L109" s="3" t="str">
        <f>'0_Configuration'!$C$41</f>
        <v>Mg</v>
      </c>
      <c r="M109" s="10"/>
      <c r="N109" s="23" t="s">
        <v>3</v>
      </c>
      <c r="O109" s="4"/>
      <c r="P109" s="4"/>
      <c r="Q109" s="10"/>
      <c r="R109" s="3">
        <f>_xlfn.XLOOKUP(Tab_Data_Flows[[#This Row],[Flow_Name]],Tab_Def_Flows[Flow_Name],Tab_Def_Flows[Flow_E1_Fraction'[%']],"N.A.",0,1)</f>
        <v>0</v>
      </c>
      <c r="S109" s="9">
        <f t="shared" si="2"/>
        <v>0</v>
      </c>
      <c r="T109" s="3" t="str">
        <f>Tab_Data_Flows[[#This Row],[UoM_Source]]</f>
        <v>Mg</v>
      </c>
      <c r="U109" s="24">
        <f>_xlfn.XLOOKUP(Tab_Data_Flows[[#This Row],[Flow_Name]],Tab_Def_Flows[Flow_Name],Tab_Def_Flows[Flow_E2_Fraction'[%']],"N.A.",0,1)</f>
        <v>0</v>
      </c>
      <c r="V109" s="3">
        <f>IF(D109="Yes",S109*Tab_Data_Flows[[#This Row],[E2_Fraction'[%']]],"N.A.")</f>
        <v>0</v>
      </c>
      <c r="W109" s="3" t="str">
        <f>Tab_Data_Flows[[#This Row],[E1_UoM]]</f>
        <v>Mg</v>
      </c>
      <c r="X109" s="24">
        <f>_xlfn.XLOOKUP(Tab_Data_Flows[[#This Row],[Flow_Name]],Tab_Def_Flows[Flow_Name],Tab_Def_Flows[Flow_E3_Fraction'[%']],"N.A.",0,1)</f>
        <v>0</v>
      </c>
      <c r="Y109" s="3">
        <f>IF(E109="Yes",X109*Tab_Data_Flows[[#This Row],[E1_value]],"N.A.")</f>
        <v>0</v>
      </c>
      <c r="Z109" s="3" t="str">
        <f>Tab_Data_Flows[[#This Row],[E1_UoM]]</f>
        <v>Mg</v>
      </c>
      <c r="AA109" s="24">
        <f>_xlfn.XLOOKUP(Tab_Data_Flows[[#This Row],[Flow_Name]],Tab_Def_Flows[Flow_Name],Tab_Def_Flows[Flow_E4_Fraction'[%']],"N.A.",0,1)</f>
        <v>0</v>
      </c>
      <c r="AB109" s="3">
        <f>IF(H109="Yes",Tab_Data_Flows[[#This Row],[E4_Fraction'[%']]]*Tab_Data_Flows[[#This Row],[E1_value]],"N.A.")</f>
        <v>0</v>
      </c>
      <c r="AC109" s="3" t="str">
        <f>Tab_Data_Flows[[#This Row],[E1_UoM]]</f>
        <v>Mg</v>
      </c>
      <c r="AD109" s="24">
        <f>_xlfn.XLOOKUP(Tab_Data_Flows[[#This Row],[Flow_Name]],Tab_Def_Flows[Flow_Name],Tab_Def_Flows[Flow_E5_Fraction'[%']],"N.A.",0,1)</f>
        <v>0</v>
      </c>
      <c r="AE109" s="3">
        <f>IF(H109="Yes",Tab_Data_Flows[[#This Row],[E5_Fraction'[%']]]*Tab_Data_Flows[[#This Row],[E1_value]],"N.A.")</f>
        <v>0</v>
      </c>
      <c r="AF109" s="3" t="str">
        <f>Tab_Data_Flows[[#This Row],[E1_UoM]]</f>
        <v>Mg</v>
      </c>
      <c r="AG109" s="24">
        <f>_xlfn.XLOOKUP(Tab_Data_Flows[[#This Row],[Flow_Name]],Tab_Def_Flows[Flow_Name],Tab_Def_Flows[Flow_E6_Fraction'[%']],"N.A.",0,1)</f>
        <v>0</v>
      </c>
      <c r="AH109" s="3">
        <f>IF(Tab_Data_Flows[[#This Row],[Use_E6]]="Yes",Tab_Data_Flows[[#This Row],[E6_Fraction'[%']]]*Tab_Data_Flows[[#This Row],[E1_value]],"N.A.")</f>
        <v>0</v>
      </c>
      <c r="AI109" s="3" t="str">
        <f>Tab_Data_Flows[[#This Row],[E1_UoM]]</f>
        <v>Mg</v>
      </c>
    </row>
    <row r="110" spans="1:35" x14ac:dyDescent="0.25">
      <c r="A110" s="5">
        <f t="shared" si="3"/>
        <v>109</v>
      </c>
      <c r="B110" s="3" t="str">
        <f>_xlfn.XLOOKUP(C110,Tab_Def_Flows[Flow_Name],Tab_Def_Flows[Flow_ID],,0,)</f>
        <v>F__</v>
      </c>
      <c r="C110" s="23" t="s">
        <v>5</v>
      </c>
      <c r="D110" s="6" t="str">
        <f>_xlfn.XLOOKUP(C110,Tab_Def_Flows[Flow_Name],Tab_Def_Flows[Use_E1],,0,)</f>
        <v>Yes</v>
      </c>
      <c r="E110" s="6" t="str">
        <f>_xlfn.XLOOKUP(C110,Tab_Def_Flows[Flow_Name],Tab_Def_Flows[Use_E2],,0,)</f>
        <v>Yes</v>
      </c>
      <c r="F110" s="6" t="str">
        <f>_xlfn.XLOOKUP(C110,Tab_Def_Flows[Flow_Name],Tab_Def_Flows[Use_E3],,0,)</f>
        <v>Yes</v>
      </c>
      <c r="G110" s="6" t="str">
        <f>_xlfn.XLOOKUP(C110,Tab_Def_Flows[Flow_Name],Tab_Def_Flows[Use_E4],,0,)</f>
        <v>Yes</v>
      </c>
      <c r="H110" s="6" t="str">
        <f>_xlfn.XLOOKUP(C110,Tab_Def_Flows[Flow_Name],Tab_Def_Flows[Use_E5],,0,)</f>
        <v>Yes</v>
      </c>
      <c r="I110" s="6" t="str">
        <f>_xlfn.XLOOKUP(C110,Tab_Def_Flows[Flow_Name],Tab_Def_Flows[Use_E6],,0,)</f>
        <v>Yes</v>
      </c>
      <c r="J110" s="52"/>
      <c r="K110" s="53"/>
      <c r="L110" s="3" t="str">
        <f>'0_Configuration'!$C$41</f>
        <v>Mg</v>
      </c>
      <c r="M110" s="10"/>
      <c r="N110" s="23" t="s">
        <v>3</v>
      </c>
      <c r="O110" s="4"/>
      <c r="P110" s="4"/>
      <c r="Q110" s="10"/>
      <c r="R110" s="3">
        <f>_xlfn.XLOOKUP(Tab_Data_Flows[[#This Row],[Flow_Name]],Tab_Def_Flows[Flow_Name],Tab_Def_Flows[Flow_E1_Fraction'[%']],"N.A.",0,1)</f>
        <v>0</v>
      </c>
      <c r="S110" s="9">
        <f t="shared" si="2"/>
        <v>0</v>
      </c>
      <c r="T110" s="3" t="str">
        <f>Tab_Data_Flows[[#This Row],[UoM_Source]]</f>
        <v>Mg</v>
      </c>
      <c r="U110" s="24">
        <f>_xlfn.XLOOKUP(Tab_Data_Flows[[#This Row],[Flow_Name]],Tab_Def_Flows[Flow_Name],Tab_Def_Flows[Flow_E2_Fraction'[%']],"N.A.",0,1)</f>
        <v>0</v>
      </c>
      <c r="V110" s="3">
        <f>IF(D110="Yes",S110*Tab_Data_Flows[[#This Row],[E2_Fraction'[%']]],"N.A.")</f>
        <v>0</v>
      </c>
      <c r="W110" s="3" t="str">
        <f>Tab_Data_Flows[[#This Row],[E1_UoM]]</f>
        <v>Mg</v>
      </c>
      <c r="X110" s="24">
        <f>_xlfn.XLOOKUP(Tab_Data_Flows[[#This Row],[Flow_Name]],Tab_Def_Flows[Flow_Name],Tab_Def_Flows[Flow_E3_Fraction'[%']],"N.A.",0,1)</f>
        <v>0</v>
      </c>
      <c r="Y110" s="3">
        <f>IF(E110="Yes",X110*Tab_Data_Flows[[#This Row],[E1_value]],"N.A.")</f>
        <v>0</v>
      </c>
      <c r="Z110" s="3" t="str">
        <f>Tab_Data_Flows[[#This Row],[E1_UoM]]</f>
        <v>Mg</v>
      </c>
      <c r="AA110" s="24">
        <f>_xlfn.XLOOKUP(Tab_Data_Flows[[#This Row],[Flow_Name]],Tab_Def_Flows[Flow_Name],Tab_Def_Flows[Flow_E4_Fraction'[%']],"N.A.",0,1)</f>
        <v>0</v>
      </c>
      <c r="AB110" s="3">
        <f>IF(H110="Yes",Tab_Data_Flows[[#This Row],[E4_Fraction'[%']]]*Tab_Data_Flows[[#This Row],[E1_value]],"N.A.")</f>
        <v>0</v>
      </c>
      <c r="AC110" s="3" t="str">
        <f>Tab_Data_Flows[[#This Row],[E1_UoM]]</f>
        <v>Mg</v>
      </c>
      <c r="AD110" s="24">
        <f>_xlfn.XLOOKUP(Tab_Data_Flows[[#This Row],[Flow_Name]],Tab_Def_Flows[Flow_Name],Tab_Def_Flows[Flow_E5_Fraction'[%']],"N.A.",0,1)</f>
        <v>0</v>
      </c>
      <c r="AE110" s="3">
        <f>IF(H110="Yes",Tab_Data_Flows[[#This Row],[E5_Fraction'[%']]]*Tab_Data_Flows[[#This Row],[E1_value]],"N.A.")</f>
        <v>0</v>
      </c>
      <c r="AF110" s="3" t="str">
        <f>Tab_Data_Flows[[#This Row],[E1_UoM]]</f>
        <v>Mg</v>
      </c>
      <c r="AG110" s="24">
        <f>_xlfn.XLOOKUP(Tab_Data_Flows[[#This Row],[Flow_Name]],Tab_Def_Flows[Flow_Name],Tab_Def_Flows[Flow_E6_Fraction'[%']],"N.A.",0,1)</f>
        <v>0</v>
      </c>
      <c r="AH110" s="3">
        <f>IF(Tab_Data_Flows[[#This Row],[Use_E6]]="Yes",Tab_Data_Flows[[#This Row],[E6_Fraction'[%']]]*Tab_Data_Flows[[#This Row],[E1_value]],"N.A.")</f>
        <v>0</v>
      </c>
      <c r="AI110" s="3" t="str">
        <f>Tab_Data_Flows[[#This Row],[E1_UoM]]</f>
        <v>Mg</v>
      </c>
    </row>
    <row r="111" spans="1:35" x14ac:dyDescent="0.25">
      <c r="A111" s="5">
        <f t="shared" si="3"/>
        <v>110</v>
      </c>
      <c r="B111" s="3" t="str">
        <f>_xlfn.XLOOKUP(C111,Tab_Def_Flows[Flow_Name],Tab_Def_Flows[Flow_ID],,0,)</f>
        <v>F__</v>
      </c>
      <c r="C111" s="23" t="s">
        <v>5</v>
      </c>
      <c r="D111" s="6" t="str">
        <f>_xlfn.XLOOKUP(C111,Tab_Def_Flows[Flow_Name],Tab_Def_Flows[Use_E1],,0,)</f>
        <v>Yes</v>
      </c>
      <c r="E111" s="6" t="str">
        <f>_xlfn.XLOOKUP(C111,Tab_Def_Flows[Flow_Name],Tab_Def_Flows[Use_E2],,0,)</f>
        <v>Yes</v>
      </c>
      <c r="F111" s="6" t="str">
        <f>_xlfn.XLOOKUP(C111,Tab_Def_Flows[Flow_Name],Tab_Def_Flows[Use_E3],,0,)</f>
        <v>Yes</v>
      </c>
      <c r="G111" s="6" t="str">
        <f>_xlfn.XLOOKUP(C111,Tab_Def_Flows[Flow_Name],Tab_Def_Flows[Use_E4],,0,)</f>
        <v>Yes</v>
      </c>
      <c r="H111" s="6" t="str">
        <f>_xlfn.XLOOKUP(C111,Tab_Def_Flows[Flow_Name],Tab_Def_Flows[Use_E5],,0,)</f>
        <v>Yes</v>
      </c>
      <c r="I111" s="6" t="str">
        <f>_xlfn.XLOOKUP(C111,Tab_Def_Flows[Flow_Name],Tab_Def_Flows[Use_E6],,0,)</f>
        <v>Yes</v>
      </c>
      <c r="J111" s="52"/>
      <c r="K111" s="53"/>
      <c r="L111" s="3" t="str">
        <f>'0_Configuration'!$C$41</f>
        <v>Mg</v>
      </c>
      <c r="M111" s="10"/>
      <c r="N111" s="23" t="s">
        <v>3</v>
      </c>
      <c r="O111" s="4"/>
      <c r="P111" s="4"/>
      <c r="Q111" s="10"/>
      <c r="R111" s="3">
        <f>_xlfn.XLOOKUP(Tab_Data_Flows[[#This Row],[Flow_Name]],Tab_Def_Flows[Flow_Name],Tab_Def_Flows[Flow_E1_Fraction'[%']],"N.A.",0,1)</f>
        <v>0</v>
      </c>
      <c r="S111" s="9">
        <f t="shared" si="2"/>
        <v>0</v>
      </c>
      <c r="T111" s="3" t="str">
        <f>Tab_Data_Flows[[#This Row],[UoM_Source]]</f>
        <v>Mg</v>
      </c>
      <c r="U111" s="24">
        <f>_xlfn.XLOOKUP(Tab_Data_Flows[[#This Row],[Flow_Name]],Tab_Def_Flows[Flow_Name],Tab_Def_Flows[Flow_E2_Fraction'[%']],"N.A.",0,1)</f>
        <v>0</v>
      </c>
      <c r="V111" s="3">
        <f>IF(D111="Yes",S111*Tab_Data_Flows[[#This Row],[E2_Fraction'[%']]],"N.A.")</f>
        <v>0</v>
      </c>
      <c r="W111" s="3" t="str">
        <f>Tab_Data_Flows[[#This Row],[E1_UoM]]</f>
        <v>Mg</v>
      </c>
      <c r="X111" s="24">
        <f>_xlfn.XLOOKUP(Tab_Data_Flows[[#This Row],[Flow_Name]],Tab_Def_Flows[Flow_Name],Tab_Def_Flows[Flow_E3_Fraction'[%']],"N.A.",0,1)</f>
        <v>0</v>
      </c>
      <c r="Y111" s="3">
        <f>IF(E111="Yes",X111*Tab_Data_Flows[[#This Row],[E1_value]],"N.A.")</f>
        <v>0</v>
      </c>
      <c r="Z111" s="3" t="str">
        <f>Tab_Data_Flows[[#This Row],[E1_UoM]]</f>
        <v>Mg</v>
      </c>
      <c r="AA111" s="24">
        <f>_xlfn.XLOOKUP(Tab_Data_Flows[[#This Row],[Flow_Name]],Tab_Def_Flows[Flow_Name],Tab_Def_Flows[Flow_E4_Fraction'[%']],"N.A.",0,1)</f>
        <v>0</v>
      </c>
      <c r="AB111" s="3">
        <f>IF(H111="Yes",Tab_Data_Flows[[#This Row],[E4_Fraction'[%']]]*Tab_Data_Flows[[#This Row],[E1_value]],"N.A.")</f>
        <v>0</v>
      </c>
      <c r="AC111" s="3" t="str">
        <f>Tab_Data_Flows[[#This Row],[E1_UoM]]</f>
        <v>Mg</v>
      </c>
      <c r="AD111" s="24">
        <f>_xlfn.XLOOKUP(Tab_Data_Flows[[#This Row],[Flow_Name]],Tab_Def_Flows[Flow_Name],Tab_Def_Flows[Flow_E5_Fraction'[%']],"N.A.",0,1)</f>
        <v>0</v>
      </c>
      <c r="AE111" s="3">
        <f>IF(H111="Yes",Tab_Data_Flows[[#This Row],[E5_Fraction'[%']]]*Tab_Data_Flows[[#This Row],[E1_value]],"N.A.")</f>
        <v>0</v>
      </c>
      <c r="AF111" s="3" t="str">
        <f>Tab_Data_Flows[[#This Row],[E1_UoM]]</f>
        <v>Mg</v>
      </c>
      <c r="AG111" s="24">
        <f>_xlfn.XLOOKUP(Tab_Data_Flows[[#This Row],[Flow_Name]],Tab_Def_Flows[Flow_Name],Tab_Def_Flows[Flow_E6_Fraction'[%']],"N.A.",0,1)</f>
        <v>0</v>
      </c>
      <c r="AH111" s="3">
        <f>IF(Tab_Data_Flows[[#This Row],[Use_E6]]="Yes",Tab_Data_Flows[[#This Row],[E6_Fraction'[%']]]*Tab_Data_Flows[[#This Row],[E1_value]],"N.A.")</f>
        <v>0</v>
      </c>
      <c r="AI111" s="3" t="str">
        <f>Tab_Data_Flows[[#This Row],[E1_UoM]]</f>
        <v>Mg</v>
      </c>
    </row>
    <row r="112" spans="1:35" x14ac:dyDescent="0.25">
      <c r="A112" s="5">
        <f t="shared" si="3"/>
        <v>111</v>
      </c>
      <c r="B112" s="3" t="str">
        <f>_xlfn.XLOOKUP(C112,Tab_Def_Flows[Flow_Name],Tab_Def_Flows[Flow_ID],,0,)</f>
        <v>F__</v>
      </c>
      <c r="C112" s="23" t="s">
        <v>5</v>
      </c>
      <c r="D112" s="6" t="str">
        <f>_xlfn.XLOOKUP(C112,Tab_Def_Flows[Flow_Name],Tab_Def_Flows[Use_E1],,0,)</f>
        <v>Yes</v>
      </c>
      <c r="E112" s="6" t="str">
        <f>_xlfn.XLOOKUP(C112,Tab_Def_Flows[Flow_Name],Tab_Def_Flows[Use_E2],,0,)</f>
        <v>Yes</v>
      </c>
      <c r="F112" s="6" t="str">
        <f>_xlfn.XLOOKUP(C112,Tab_Def_Flows[Flow_Name],Tab_Def_Flows[Use_E3],,0,)</f>
        <v>Yes</v>
      </c>
      <c r="G112" s="6" t="str">
        <f>_xlfn.XLOOKUP(C112,Tab_Def_Flows[Flow_Name],Tab_Def_Flows[Use_E4],,0,)</f>
        <v>Yes</v>
      </c>
      <c r="H112" s="6" t="str">
        <f>_xlfn.XLOOKUP(C112,Tab_Def_Flows[Flow_Name],Tab_Def_Flows[Use_E5],,0,)</f>
        <v>Yes</v>
      </c>
      <c r="I112" s="6" t="str">
        <f>_xlfn.XLOOKUP(C112,Tab_Def_Flows[Flow_Name],Tab_Def_Flows[Use_E6],,0,)</f>
        <v>Yes</v>
      </c>
      <c r="J112" s="52"/>
      <c r="K112" s="53"/>
      <c r="L112" s="3" t="str">
        <f>'0_Configuration'!$C$41</f>
        <v>Mg</v>
      </c>
      <c r="M112" s="10"/>
      <c r="N112" s="23" t="s">
        <v>3</v>
      </c>
      <c r="O112" s="4"/>
      <c r="P112" s="4"/>
      <c r="Q112" s="10"/>
      <c r="R112" s="3">
        <f>_xlfn.XLOOKUP(Tab_Data_Flows[[#This Row],[Flow_Name]],Tab_Def_Flows[Flow_Name],Tab_Def_Flows[Flow_E1_Fraction'[%']],"N.A.",0,1)</f>
        <v>0</v>
      </c>
      <c r="S112" s="9">
        <f t="shared" si="2"/>
        <v>0</v>
      </c>
      <c r="T112" s="3" t="str">
        <f>Tab_Data_Flows[[#This Row],[UoM_Source]]</f>
        <v>Mg</v>
      </c>
      <c r="U112" s="24">
        <f>_xlfn.XLOOKUP(Tab_Data_Flows[[#This Row],[Flow_Name]],Tab_Def_Flows[Flow_Name],Tab_Def_Flows[Flow_E2_Fraction'[%']],"N.A.",0,1)</f>
        <v>0</v>
      </c>
      <c r="V112" s="3">
        <f>IF(D112="Yes",S112*Tab_Data_Flows[[#This Row],[E2_Fraction'[%']]],"N.A.")</f>
        <v>0</v>
      </c>
      <c r="W112" s="3" t="str">
        <f>Tab_Data_Flows[[#This Row],[E1_UoM]]</f>
        <v>Mg</v>
      </c>
      <c r="X112" s="24">
        <f>_xlfn.XLOOKUP(Tab_Data_Flows[[#This Row],[Flow_Name]],Tab_Def_Flows[Flow_Name],Tab_Def_Flows[Flow_E3_Fraction'[%']],"N.A.",0,1)</f>
        <v>0</v>
      </c>
      <c r="Y112" s="3">
        <f>IF(E112="Yes",X112*Tab_Data_Flows[[#This Row],[E1_value]],"N.A.")</f>
        <v>0</v>
      </c>
      <c r="Z112" s="3" t="str">
        <f>Tab_Data_Flows[[#This Row],[E1_UoM]]</f>
        <v>Mg</v>
      </c>
      <c r="AA112" s="24">
        <f>_xlfn.XLOOKUP(Tab_Data_Flows[[#This Row],[Flow_Name]],Tab_Def_Flows[Flow_Name],Tab_Def_Flows[Flow_E4_Fraction'[%']],"N.A.",0,1)</f>
        <v>0</v>
      </c>
      <c r="AB112" s="3">
        <f>IF(H112="Yes",Tab_Data_Flows[[#This Row],[E4_Fraction'[%']]]*Tab_Data_Flows[[#This Row],[E1_value]],"N.A.")</f>
        <v>0</v>
      </c>
      <c r="AC112" s="3" t="str">
        <f>Tab_Data_Flows[[#This Row],[E1_UoM]]</f>
        <v>Mg</v>
      </c>
      <c r="AD112" s="24">
        <f>_xlfn.XLOOKUP(Tab_Data_Flows[[#This Row],[Flow_Name]],Tab_Def_Flows[Flow_Name],Tab_Def_Flows[Flow_E5_Fraction'[%']],"N.A.",0,1)</f>
        <v>0</v>
      </c>
      <c r="AE112" s="3">
        <f>IF(H112="Yes",Tab_Data_Flows[[#This Row],[E5_Fraction'[%']]]*Tab_Data_Flows[[#This Row],[E1_value]],"N.A.")</f>
        <v>0</v>
      </c>
      <c r="AF112" s="3" t="str">
        <f>Tab_Data_Flows[[#This Row],[E1_UoM]]</f>
        <v>Mg</v>
      </c>
      <c r="AG112" s="24">
        <f>_xlfn.XLOOKUP(Tab_Data_Flows[[#This Row],[Flow_Name]],Tab_Def_Flows[Flow_Name],Tab_Def_Flows[Flow_E6_Fraction'[%']],"N.A.",0,1)</f>
        <v>0</v>
      </c>
      <c r="AH112" s="3">
        <f>IF(Tab_Data_Flows[[#This Row],[Use_E6]]="Yes",Tab_Data_Flows[[#This Row],[E6_Fraction'[%']]]*Tab_Data_Flows[[#This Row],[E1_value]],"N.A.")</f>
        <v>0</v>
      </c>
      <c r="AI112" s="3" t="str">
        <f>Tab_Data_Flows[[#This Row],[E1_UoM]]</f>
        <v>Mg</v>
      </c>
    </row>
    <row r="113" spans="1:35" x14ac:dyDescent="0.25">
      <c r="A113" s="5">
        <f t="shared" si="3"/>
        <v>112</v>
      </c>
      <c r="B113" s="3" t="str">
        <f>_xlfn.XLOOKUP(C113,Tab_Def_Flows[Flow_Name],Tab_Def_Flows[Flow_ID],,0,)</f>
        <v>F__</v>
      </c>
      <c r="C113" s="23" t="s">
        <v>5</v>
      </c>
      <c r="D113" s="6" t="str">
        <f>_xlfn.XLOOKUP(C113,Tab_Def_Flows[Flow_Name],Tab_Def_Flows[Use_E1],,0,)</f>
        <v>Yes</v>
      </c>
      <c r="E113" s="6" t="str">
        <f>_xlfn.XLOOKUP(C113,Tab_Def_Flows[Flow_Name],Tab_Def_Flows[Use_E2],,0,)</f>
        <v>Yes</v>
      </c>
      <c r="F113" s="6" t="str">
        <f>_xlfn.XLOOKUP(C113,Tab_Def_Flows[Flow_Name],Tab_Def_Flows[Use_E3],,0,)</f>
        <v>Yes</v>
      </c>
      <c r="G113" s="6" t="str">
        <f>_xlfn.XLOOKUP(C113,Tab_Def_Flows[Flow_Name],Tab_Def_Flows[Use_E4],,0,)</f>
        <v>Yes</v>
      </c>
      <c r="H113" s="6" t="str">
        <f>_xlfn.XLOOKUP(C113,Tab_Def_Flows[Flow_Name],Tab_Def_Flows[Use_E5],,0,)</f>
        <v>Yes</v>
      </c>
      <c r="I113" s="6" t="str">
        <f>_xlfn.XLOOKUP(C113,Tab_Def_Flows[Flow_Name],Tab_Def_Flows[Use_E6],,0,)</f>
        <v>Yes</v>
      </c>
      <c r="J113" s="52"/>
      <c r="K113" s="53"/>
      <c r="L113" s="3" t="str">
        <f>'0_Configuration'!$C$41</f>
        <v>Mg</v>
      </c>
      <c r="M113" s="10"/>
      <c r="N113" s="23" t="s">
        <v>3</v>
      </c>
      <c r="O113" s="4"/>
      <c r="P113" s="4"/>
      <c r="Q113" s="10"/>
      <c r="R113" s="3">
        <f>_xlfn.XLOOKUP(Tab_Data_Flows[[#This Row],[Flow_Name]],Tab_Def_Flows[Flow_Name],Tab_Def_Flows[Flow_E1_Fraction'[%']],"N.A.",0,1)</f>
        <v>0</v>
      </c>
      <c r="S113" s="9">
        <f t="shared" si="2"/>
        <v>0</v>
      </c>
      <c r="T113" s="3" t="str">
        <f>Tab_Data_Flows[[#This Row],[UoM_Source]]</f>
        <v>Mg</v>
      </c>
      <c r="U113" s="24">
        <f>_xlfn.XLOOKUP(Tab_Data_Flows[[#This Row],[Flow_Name]],Tab_Def_Flows[Flow_Name],Tab_Def_Flows[Flow_E2_Fraction'[%']],"N.A.",0,1)</f>
        <v>0</v>
      </c>
      <c r="V113" s="3">
        <f>IF(D113="Yes",S113*Tab_Data_Flows[[#This Row],[E2_Fraction'[%']]],"N.A.")</f>
        <v>0</v>
      </c>
      <c r="W113" s="3" t="str">
        <f>Tab_Data_Flows[[#This Row],[E1_UoM]]</f>
        <v>Mg</v>
      </c>
      <c r="X113" s="24">
        <f>_xlfn.XLOOKUP(Tab_Data_Flows[[#This Row],[Flow_Name]],Tab_Def_Flows[Flow_Name],Tab_Def_Flows[Flow_E3_Fraction'[%']],"N.A.",0,1)</f>
        <v>0</v>
      </c>
      <c r="Y113" s="3">
        <f>IF(E113="Yes",X113*Tab_Data_Flows[[#This Row],[E1_value]],"N.A.")</f>
        <v>0</v>
      </c>
      <c r="Z113" s="3" t="str">
        <f>Tab_Data_Flows[[#This Row],[E1_UoM]]</f>
        <v>Mg</v>
      </c>
      <c r="AA113" s="24">
        <f>_xlfn.XLOOKUP(Tab_Data_Flows[[#This Row],[Flow_Name]],Tab_Def_Flows[Flow_Name],Tab_Def_Flows[Flow_E4_Fraction'[%']],"N.A.",0,1)</f>
        <v>0</v>
      </c>
      <c r="AB113" s="3">
        <f>IF(H113="Yes",Tab_Data_Flows[[#This Row],[E4_Fraction'[%']]]*Tab_Data_Flows[[#This Row],[E1_value]],"N.A.")</f>
        <v>0</v>
      </c>
      <c r="AC113" s="3" t="str">
        <f>Tab_Data_Flows[[#This Row],[E1_UoM]]</f>
        <v>Mg</v>
      </c>
      <c r="AD113" s="24">
        <f>_xlfn.XLOOKUP(Tab_Data_Flows[[#This Row],[Flow_Name]],Tab_Def_Flows[Flow_Name],Tab_Def_Flows[Flow_E5_Fraction'[%']],"N.A.",0,1)</f>
        <v>0</v>
      </c>
      <c r="AE113" s="3">
        <f>IF(H113="Yes",Tab_Data_Flows[[#This Row],[E5_Fraction'[%']]]*Tab_Data_Flows[[#This Row],[E1_value]],"N.A.")</f>
        <v>0</v>
      </c>
      <c r="AF113" s="3" t="str">
        <f>Tab_Data_Flows[[#This Row],[E1_UoM]]</f>
        <v>Mg</v>
      </c>
      <c r="AG113" s="24">
        <f>_xlfn.XLOOKUP(Tab_Data_Flows[[#This Row],[Flow_Name]],Tab_Def_Flows[Flow_Name],Tab_Def_Flows[Flow_E6_Fraction'[%']],"N.A.",0,1)</f>
        <v>0</v>
      </c>
      <c r="AH113" s="3">
        <f>IF(Tab_Data_Flows[[#This Row],[Use_E6]]="Yes",Tab_Data_Flows[[#This Row],[E6_Fraction'[%']]]*Tab_Data_Flows[[#This Row],[E1_value]],"N.A.")</f>
        <v>0</v>
      </c>
      <c r="AI113" s="3" t="str">
        <f>Tab_Data_Flows[[#This Row],[E1_UoM]]</f>
        <v>Mg</v>
      </c>
    </row>
    <row r="114" spans="1:35" x14ac:dyDescent="0.25">
      <c r="A114" s="5">
        <f t="shared" si="3"/>
        <v>113</v>
      </c>
      <c r="B114" s="3" t="str">
        <f>_xlfn.XLOOKUP(C114,Tab_Def_Flows[Flow_Name],Tab_Def_Flows[Flow_ID],,0,)</f>
        <v>F__</v>
      </c>
      <c r="C114" s="23" t="s">
        <v>5</v>
      </c>
      <c r="D114" s="6" t="str">
        <f>_xlfn.XLOOKUP(C114,Tab_Def_Flows[Flow_Name],Tab_Def_Flows[Use_E1],,0,)</f>
        <v>Yes</v>
      </c>
      <c r="E114" s="6" t="str">
        <f>_xlfn.XLOOKUP(C114,Tab_Def_Flows[Flow_Name],Tab_Def_Flows[Use_E2],,0,)</f>
        <v>Yes</v>
      </c>
      <c r="F114" s="6" t="str">
        <f>_xlfn.XLOOKUP(C114,Tab_Def_Flows[Flow_Name],Tab_Def_Flows[Use_E3],,0,)</f>
        <v>Yes</v>
      </c>
      <c r="G114" s="6" t="str">
        <f>_xlfn.XLOOKUP(C114,Tab_Def_Flows[Flow_Name],Tab_Def_Flows[Use_E4],,0,)</f>
        <v>Yes</v>
      </c>
      <c r="H114" s="6" t="str">
        <f>_xlfn.XLOOKUP(C114,Tab_Def_Flows[Flow_Name],Tab_Def_Flows[Use_E5],,0,)</f>
        <v>Yes</v>
      </c>
      <c r="I114" s="6" t="str">
        <f>_xlfn.XLOOKUP(C114,Tab_Def_Flows[Flow_Name],Tab_Def_Flows[Use_E6],,0,)</f>
        <v>Yes</v>
      </c>
      <c r="J114" s="52"/>
      <c r="K114" s="53"/>
      <c r="L114" s="3" t="str">
        <f>'0_Configuration'!$C$41</f>
        <v>Mg</v>
      </c>
      <c r="M114" s="10"/>
      <c r="N114" s="23" t="s">
        <v>3</v>
      </c>
      <c r="O114" s="4"/>
      <c r="P114" s="4"/>
      <c r="Q114" s="10"/>
      <c r="R114" s="3">
        <f>_xlfn.XLOOKUP(Tab_Data_Flows[[#This Row],[Flow_Name]],Tab_Def_Flows[Flow_Name],Tab_Def_Flows[Flow_E1_Fraction'[%']],"N.A.",0,1)</f>
        <v>0</v>
      </c>
      <c r="S114" s="9">
        <f t="shared" si="2"/>
        <v>0</v>
      </c>
      <c r="T114" s="3" t="str">
        <f>Tab_Data_Flows[[#This Row],[UoM_Source]]</f>
        <v>Mg</v>
      </c>
      <c r="U114" s="24">
        <f>_xlfn.XLOOKUP(Tab_Data_Flows[[#This Row],[Flow_Name]],Tab_Def_Flows[Flow_Name],Tab_Def_Flows[Flow_E2_Fraction'[%']],"N.A.",0,1)</f>
        <v>0</v>
      </c>
      <c r="V114" s="3">
        <f>IF(D114="Yes",S114*Tab_Data_Flows[[#This Row],[E2_Fraction'[%']]],"N.A.")</f>
        <v>0</v>
      </c>
      <c r="W114" s="3" t="str">
        <f>Tab_Data_Flows[[#This Row],[E1_UoM]]</f>
        <v>Mg</v>
      </c>
      <c r="X114" s="24">
        <f>_xlfn.XLOOKUP(Tab_Data_Flows[[#This Row],[Flow_Name]],Tab_Def_Flows[Flow_Name],Tab_Def_Flows[Flow_E3_Fraction'[%']],"N.A.",0,1)</f>
        <v>0</v>
      </c>
      <c r="Y114" s="3">
        <f>IF(E114="Yes",X114*Tab_Data_Flows[[#This Row],[E1_value]],"N.A.")</f>
        <v>0</v>
      </c>
      <c r="Z114" s="3" t="str">
        <f>Tab_Data_Flows[[#This Row],[E1_UoM]]</f>
        <v>Mg</v>
      </c>
      <c r="AA114" s="24">
        <f>_xlfn.XLOOKUP(Tab_Data_Flows[[#This Row],[Flow_Name]],Tab_Def_Flows[Flow_Name],Tab_Def_Flows[Flow_E4_Fraction'[%']],"N.A.",0,1)</f>
        <v>0</v>
      </c>
      <c r="AB114" s="3">
        <f>IF(H114="Yes",Tab_Data_Flows[[#This Row],[E4_Fraction'[%']]]*Tab_Data_Flows[[#This Row],[E1_value]],"N.A.")</f>
        <v>0</v>
      </c>
      <c r="AC114" s="3" t="str">
        <f>Tab_Data_Flows[[#This Row],[E1_UoM]]</f>
        <v>Mg</v>
      </c>
      <c r="AD114" s="24">
        <f>_xlfn.XLOOKUP(Tab_Data_Flows[[#This Row],[Flow_Name]],Tab_Def_Flows[Flow_Name],Tab_Def_Flows[Flow_E5_Fraction'[%']],"N.A.",0,1)</f>
        <v>0</v>
      </c>
      <c r="AE114" s="3">
        <f>IF(H114="Yes",Tab_Data_Flows[[#This Row],[E5_Fraction'[%']]]*Tab_Data_Flows[[#This Row],[E1_value]],"N.A.")</f>
        <v>0</v>
      </c>
      <c r="AF114" s="3" t="str">
        <f>Tab_Data_Flows[[#This Row],[E1_UoM]]</f>
        <v>Mg</v>
      </c>
      <c r="AG114" s="24">
        <f>_xlfn.XLOOKUP(Tab_Data_Flows[[#This Row],[Flow_Name]],Tab_Def_Flows[Flow_Name],Tab_Def_Flows[Flow_E6_Fraction'[%']],"N.A.",0,1)</f>
        <v>0</v>
      </c>
      <c r="AH114" s="3">
        <f>IF(Tab_Data_Flows[[#This Row],[Use_E6]]="Yes",Tab_Data_Flows[[#This Row],[E6_Fraction'[%']]]*Tab_Data_Flows[[#This Row],[E1_value]],"N.A.")</f>
        <v>0</v>
      </c>
      <c r="AI114" s="3" t="str">
        <f>Tab_Data_Flows[[#This Row],[E1_UoM]]</f>
        <v>Mg</v>
      </c>
    </row>
    <row r="115" spans="1:35" x14ac:dyDescent="0.25">
      <c r="A115" s="5">
        <f t="shared" si="3"/>
        <v>114</v>
      </c>
      <c r="B115" s="3" t="str">
        <f>_xlfn.XLOOKUP(C115,Tab_Def_Flows[Flow_Name],Tab_Def_Flows[Flow_ID],,0,)</f>
        <v>F__</v>
      </c>
      <c r="C115" s="23" t="s">
        <v>5</v>
      </c>
      <c r="D115" s="6" t="str">
        <f>_xlfn.XLOOKUP(C115,Tab_Def_Flows[Flow_Name],Tab_Def_Flows[Use_E1],,0,)</f>
        <v>Yes</v>
      </c>
      <c r="E115" s="6" t="str">
        <f>_xlfn.XLOOKUP(C115,Tab_Def_Flows[Flow_Name],Tab_Def_Flows[Use_E2],,0,)</f>
        <v>Yes</v>
      </c>
      <c r="F115" s="6" t="str">
        <f>_xlfn.XLOOKUP(C115,Tab_Def_Flows[Flow_Name],Tab_Def_Flows[Use_E3],,0,)</f>
        <v>Yes</v>
      </c>
      <c r="G115" s="6" t="str">
        <f>_xlfn.XLOOKUP(C115,Tab_Def_Flows[Flow_Name],Tab_Def_Flows[Use_E4],,0,)</f>
        <v>Yes</v>
      </c>
      <c r="H115" s="6" t="str">
        <f>_xlfn.XLOOKUP(C115,Tab_Def_Flows[Flow_Name],Tab_Def_Flows[Use_E5],,0,)</f>
        <v>Yes</v>
      </c>
      <c r="I115" s="6" t="str">
        <f>_xlfn.XLOOKUP(C115,Tab_Def_Flows[Flow_Name],Tab_Def_Flows[Use_E6],,0,)</f>
        <v>Yes</v>
      </c>
      <c r="J115" s="52"/>
      <c r="K115" s="53"/>
      <c r="L115" s="3" t="str">
        <f>'0_Configuration'!$C$41</f>
        <v>Mg</v>
      </c>
      <c r="M115" s="10"/>
      <c r="N115" s="23" t="s">
        <v>3</v>
      </c>
      <c r="O115" s="4"/>
      <c r="P115" s="4"/>
      <c r="Q115" s="10"/>
      <c r="R115" s="3">
        <f>_xlfn.XLOOKUP(Tab_Data_Flows[[#This Row],[Flow_Name]],Tab_Def_Flows[Flow_Name],Tab_Def_Flows[Flow_E1_Fraction'[%']],"N.A.",0,1)</f>
        <v>0</v>
      </c>
      <c r="S115" s="9">
        <f t="shared" si="2"/>
        <v>0</v>
      </c>
      <c r="T115" s="3" t="str">
        <f>Tab_Data_Flows[[#This Row],[UoM_Source]]</f>
        <v>Mg</v>
      </c>
      <c r="U115" s="24">
        <f>_xlfn.XLOOKUP(Tab_Data_Flows[[#This Row],[Flow_Name]],Tab_Def_Flows[Flow_Name],Tab_Def_Flows[Flow_E2_Fraction'[%']],"N.A.",0,1)</f>
        <v>0</v>
      </c>
      <c r="V115" s="3">
        <f>IF(D115="Yes",S115*Tab_Data_Flows[[#This Row],[E2_Fraction'[%']]],"N.A.")</f>
        <v>0</v>
      </c>
      <c r="W115" s="3" t="str">
        <f>Tab_Data_Flows[[#This Row],[E1_UoM]]</f>
        <v>Mg</v>
      </c>
      <c r="X115" s="24">
        <f>_xlfn.XLOOKUP(Tab_Data_Flows[[#This Row],[Flow_Name]],Tab_Def_Flows[Flow_Name],Tab_Def_Flows[Flow_E3_Fraction'[%']],"N.A.",0,1)</f>
        <v>0</v>
      </c>
      <c r="Y115" s="3">
        <f>IF(E115="Yes",X115*Tab_Data_Flows[[#This Row],[E1_value]],"N.A.")</f>
        <v>0</v>
      </c>
      <c r="Z115" s="3" t="str">
        <f>Tab_Data_Flows[[#This Row],[E1_UoM]]</f>
        <v>Mg</v>
      </c>
      <c r="AA115" s="24">
        <f>_xlfn.XLOOKUP(Tab_Data_Flows[[#This Row],[Flow_Name]],Tab_Def_Flows[Flow_Name],Tab_Def_Flows[Flow_E4_Fraction'[%']],"N.A.",0,1)</f>
        <v>0</v>
      </c>
      <c r="AB115" s="3">
        <f>IF(H115="Yes",Tab_Data_Flows[[#This Row],[E4_Fraction'[%']]]*Tab_Data_Flows[[#This Row],[E1_value]],"N.A.")</f>
        <v>0</v>
      </c>
      <c r="AC115" s="3" t="str">
        <f>Tab_Data_Flows[[#This Row],[E1_UoM]]</f>
        <v>Mg</v>
      </c>
      <c r="AD115" s="24">
        <f>_xlfn.XLOOKUP(Tab_Data_Flows[[#This Row],[Flow_Name]],Tab_Def_Flows[Flow_Name],Tab_Def_Flows[Flow_E5_Fraction'[%']],"N.A.",0,1)</f>
        <v>0</v>
      </c>
      <c r="AE115" s="3">
        <f>IF(H115="Yes",Tab_Data_Flows[[#This Row],[E5_Fraction'[%']]]*Tab_Data_Flows[[#This Row],[E1_value]],"N.A.")</f>
        <v>0</v>
      </c>
      <c r="AF115" s="3" t="str">
        <f>Tab_Data_Flows[[#This Row],[E1_UoM]]</f>
        <v>Mg</v>
      </c>
      <c r="AG115" s="24">
        <f>_xlfn.XLOOKUP(Tab_Data_Flows[[#This Row],[Flow_Name]],Tab_Def_Flows[Flow_Name],Tab_Def_Flows[Flow_E6_Fraction'[%']],"N.A.",0,1)</f>
        <v>0</v>
      </c>
      <c r="AH115" s="3">
        <f>IF(Tab_Data_Flows[[#This Row],[Use_E6]]="Yes",Tab_Data_Flows[[#This Row],[E6_Fraction'[%']]]*Tab_Data_Flows[[#This Row],[E1_value]],"N.A.")</f>
        <v>0</v>
      </c>
      <c r="AI115" s="3" t="str">
        <f>Tab_Data_Flows[[#This Row],[E1_UoM]]</f>
        <v>Mg</v>
      </c>
    </row>
    <row r="116" spans="1:35" x14ac:dyDescent="0.25">
      <c r="A116" s="5">
        <f t="shared" si="3"/>
        <v>115</v>
      </c>
      <c r="B116" s="3" t="str">
        <f>_xlfn.XLOOKUP(C116,Tab_Def_Flows[Flow_Name],Tab_Def_Flows[Flow_ID],,0,)</f>
        <v>F__</v>
      </c>
      <c r="C116" s="23" t="s">
        <v>5</v>
      </c>
      <c r="D116" s="6" t="str">
        <f>_xlfn.XLOOKUP(C116,Tab_Def_Flows[Flow_Name],Tab_Def_Flows[Use_E1],,0,)</f>
        <v>Yes</v>
      </c>
      <c r="E116" s="6" t="str">
        <f>_xlfn.XLOOKUP(C116,Tab_Def_Flows[Flow_Name],Tab_Def_Flows[Use_E2],,0,)</f>
        <v>Yes</v>
      </c>
      <c r="F116" s="6" t="str">
        <f>_xlfn.XLOOKUP(C116,Tab_Def_Flows[Flow_Name],Tab_Def_Flows[Use_E3],,0,)</f>
        <v>Yes</v>
      </c>
      <c r="G116" s="6" t="str">
        <f>_xlfn.XLOOKUP(C116,Tab_Def_Flows[Flow_Name],Tab_Def_Flows[Use_E4],,0,)</f>
        <v>Yes</v>
      </c>
      <c r="H116" s="6" t="str">
        <f>_xlfn.XLOOKUP(C116,Tab_Def_Flows[Flow_Name],Tab_Def_Flows[Use_E5],,0,)</f>
        <v>Yes</v>
      </c>
      <c r="I116" s="6" t="str">
        <f>_xlfn.XLOOKUP(C116,Tab_Def_Flows[Flow_Name],Tab_Def_Flows[Use_E6],,0,)</f>
        <v>Yes</v>
      </c>
      <c r="J116" s="52"/>
      <c r="K116" s="53"/>
      <c r="L116" s="3" t="str">
        <f>'0_Configuration'!$C$41</f>
        <v>Mg</v>
      </c>
      <c r="M116" s="10"/>
      <c r="N116" s="23" t="s">
        <v>3</v>
      </c>
      <c r="O116" s="4"/>
      <c r="P116" s="4"/>
      <c r="Q116" s="10"/>
      <c r="R116" s="3">
        <f>_xlfn.XLOOKUP(Tab_Data_Flows[[#This Row],[Flow_Name]],Tab_Def_Flows[Flow_Name],Tab_Def_Flows[Flow_E1_Fraction'[%']],"N.A.",0,1)</f>
        <v>0</v>
      </c>
      <c r="S116" s="9">
        <f t="shared" si="2"/>
        <v>0</v>
      </c>
      <c r="T116" s="3" t="str">
        <f>Tab_Data_Flows[[#This Row],[UoM_Source]]</f>
        <v>Mg</v>
      </c>
      <c r="U116" s="24">
        <f>_xlfn.XLOOKUP(Tab_Data_Flows[[#This Row],[Flow_Name]],Tab_Def_Flows[Flow_Name],Tab_Def_Flows[Flow_E2_Fraction'[%']],"N.A.",0,1)</f>
        <v>0</v>
      </c>
      <c r="V116" s="3">
        <f>IF(D116="Yes",S116*Tab_Data_Flows[[#This Row],[E2_Fraction'[%']]],"N.A.")</f>
        <v>0</v>
      </c>
      <c r="W116" s="3" t="str">
        <f>Tab_Data_Flows[[#This Row],[E1_UoM]]</f>
        <v>Mg</v>
      </c>
      <c r="X116" s="24">
        <f>_xlfn.XLOOKUP(Tab_Data_Flows[[#This Row],[Flow_Name]],Tab_Def_Flows[Flow_Name],Tab_Def_Flows[Flow_E3_Fraction'[%']],"N.A.",0,1)</f>
        <v>0</v>
      </c>
      <c r="Y116" s="3">
        <f>IF(E116="Yes",X116*Tab_Data_Flows[[#This Row],[E1_value]],"N.A.")</f>
        <v>0</v>
      </c>
      <c r="Z116" s="3" t="str">
        <f>Tab_Data_Flows[[#This Row],[E1_UoM]]</f>
        <v>Mg</v>
      </c>
      <c r="AA116" s="24">
        <f>_xlfn.XLOOKUP(Tab_Data_Flows[[#This Row],[Flow_Name]],Tab_Def_Flows[Flow_Name],Tab_Def_Flows[Flow_E4_Fraction'[%']],"N.A.",0,1)</f>
        <v>0</v>
      </c>
      <c r="AB116" s="3">
        <f>IF(H116="Yes",Tab_Data_Flows[[#This Row],[E4_Fraction'[%']]]*Tab_Data_Flows[[#This Row],[E1_value]],"N.A.")</f>
        <v>0</v>
      </c>
      <c r="AC116" s="3" t="str">
        <f>Tab_Data_Flows[[#This Row],[E1_UoM]]</f>
        <v>Mg</v>
      </c>
      <c r="AD116" s="24">
        <f>_xlfn.XLOOKUP(Tab_Data_Flows[[#This Row],[Flow_Name]],Tab_Def_Flows[Flow_Name],Tab_Def_Flows[Flow_E5_Fraction'[%']],"N.A.",0,1)</f>
        <v>0</v>
      </c>
      <c r="AE116" s="3">
        <f>IF(H116="Yes",Tab_Data_Flows[[#This Row],[E5_Fraction'[%']]]*Tab_Data_Flows[[#This Row],[E1_value]],"N.A.")</f>
        <v>0</v>
      </c>
      <c r="AF116" s="3" t="str">
        <f>Tab_Data_Flows[[#This Row],[E1_UoM]]</f>
        <v>Mg</v>
      </c>
      <c r="AG116" s="24">
        <f>_xlfn.XLOOKUP(Tab_Data_Flows[[#This Row],[Flow_Name]],Tab_Def_Flows[Flow_Name],Tab_Def_Flows[Flow_E6_Fraction'[%']],"N.A.",0,1)</f>
        <v>0</v>
      </c>
      <c r="AH116" s="3">
        <f>IF(Tab_Data_Flows[[#This Row],[Use_E6]]="Yes",Tab_Data_Flows[[#This Row],[E6_Fraction'[%']]]*Tab_Data_Flows[[#This Row],[E1_value]],"N.A.")</f>
        <v>0</v>
      </c>
      <c r="AI116" s="3" t="str">
        <f>Tab_Data_Flows[[#This Row],[E1_UoM]]</f>
        <v>Mg</v>
      </c>
    </row>
    <row r="117" spans="1:35" x14ac:dyDescent="0.25">
      <c r="A117" s="5">
        <f t="shared" si="3"/>
        <v>116</v>
      </c>
      <c r="B117" s="3" t="str">
        <f>_xlfn.XLOOKUP(C117,Tab_Def_Flows[Flow_Name],Tab_Def_Flows[Flow_ID],,0,)</f>
        <v>F__</v>
      </c>
      <c r="C117" s="23" t="s">
        <v>5</v>
      </c>
      <c r="D117" s="6" t="str">
        <f>_xlfn.XLOOKUP(C117,Tab_Def_Flows[Flow_Name],Tab_Def_Flows[Use_E1],,0,)</f>
        <v>Yes</v>
      </c>
      <c r="E117" s="6" t="str">
        <f>_xlfn.XLOOKUP(C117,Tab_Def_Flows[Flow_Name],Tab_Def_Flows[Use_E2],,0,)</f>
        <v>Yes</v>
      </c>
      <c r="F117" s="6" t="str">
        <f>_xlfn.XLOOKUP(C117,Tab_Def_Flows[Flow_Name],Tab_Def_Flows[Use_E3],,0,)</f>
        <v>Yes</v>
      </c>
      <c r="G117" s="6" t="str">
        <f>_xlfn.XLOOKUP(C117,Tab_Def_Flows[Flow_Name],Tab_Def_Flows[Use_E4],,0,)</f>
        <v>Yes</v>
      </c>
      <c r="H117" s="6" t="str">
        <f>_xlfn.XLOOKUP(C117,Tab_Def_Flows[Flow_Name],Tab_Def_Flows[Use_E5],,0,)</f>
        <v>Yes</v>
      </c>
      <c r="I117" s="6" t="str">
        <f>_xlfn.XLOOKUP(C117,Tab_Def_Flows[Flow_Name],Tab_Def_Flows[Use_E6],,0,)</f>
        <v>Yes</v>
      </c>
      <c r="J117" s="52"/>
      <c r="K117" s="53"/>
      <c r="L117" s="3" t="str">
        <f>'0_Configuration'!$C$41</f>
        <v>Mg</v>
      </c>
      <c r="M117" s="10"/>
      <c r="N117" s="23" t="s">
        <v>3</v>
      </c>
      <c r="O117" s="4"/>
      <c r="P117" s="4"/>
      <c r="Q117" s="10"/>
      <c r="R117" s="3">
        <f>_xlfn.XLOOKUP(Tab_Data_Flows[[#This Row],[Flow_Name]],Tab_Def_Flows[Flow_Name],Tab_Def_Flows[Flow_E1_Fraction'[%']],"N.A.",0,1)</f>
        <v>0</v>
      </c>
      <c r="S117" s="9">
        <f t="shared" si="2"/>
        <v>0</v>
      </c>
      <c r="T117" s="3" t="str">
        <f>Tab_Data_Flows[[#This Row],[UoM_Source]]</f>
        <v>Mg</v>
      </c>
      <c r="U117" s="24">
        <f>_xlfn.XLOOKUP(Tab_Data_Flows[[#This Row],[Flow_Name]],Tab_Def_Flows[Flow_Name],Tab_Def_Flows[Flow_E2_Fraction'[%']],"N.A.",0,1)</f>
        <v>0</v>
      </c>
      <c r="V117" s="3">
        <f>IF(D117="Yes",S117*Tab_Data_Flows[[#This Row],[E2_Fraction'[%']]],"N.A.")</f>
        <v>0</v>
      </c>
      <c r="W117" s="3" t="str">
        <f>Tab_Data_Flows[[#This Row],[E1_UoM]]</f>
        <v>Mg</v>
      </c>
      <c r="X117" s="24">
        <f>_xlfn.XLOOKUP(Tab_Data_Flows[[#This Row],[Flow_Name]],Tab_Def_Flows[Flow_Name],Tab_Def_Flows[Flow_E3_Fraction'[%']],"N.A.",0,1)</f>
        <v>0</v>
      </c>
      <c r="Y117" s="3">
        <f>IF(E117="Yes",X117*Tab_Data_Flows[[#This Row],[E1_value]],"N.A.")</f>
        <v>0</v>
      </c>
      <c r="Z117" s="3" t="str">
        <f>Tab_Data_Flows[[#This Row],[E1_UoM]]</f>
        <v>Mg</v>
      </c>
      <c r="AA117" s="24">
        <f>_xlfn.XLOOKUP(Tab_Data_Flows[[#This Row],[Flow_Name]],Tab_Def_Flows[Flow_Name],Tab_Def_Flows[Flow_E4_Fraction'[%']],"N.A.",0,1)</f>
        <v>0</v>
      </c>
      <c r="AB117" s="3">
        <f>IF(H117="Yes",Tab_Data_Flows[[#This Row],[E4_Fraction'[%']]]*Tab_Data_Flows[[#This Row],[E1_value]],"N.A.")</f>
        <v>0</v>
      </c>
      <c r="AC117" s="3" t="str">
        <f>Tab_Data_Flows[[#This Row],[E1_UoM]]</f>
        <v>Mg</v>
      </c>
      <c r="AD117" s="24">
        <f>_xlfn.XLOOKUP(Tab_Data_Flows[[#This Row],[Flow_Name]],Tab_Def_Flows[Flow_Name],Tab_Def_Flows[Flow_E5_Fraction'[%']],"N.A.",0,1)</f>
        <v>0</v>
      </c>
      <c r="AE117" s="3">
        <f>IF(H117="Yes",Tab_Data_Flows[[#This Row],[E5_Fraction'[%']]]*Tab_Data_Flows[[#This Row],[E1_value]],"N.A.")</f>
        <v>0</v>
      </c>
      <c r="AF117" s="3" t="str">
        <f>Tab_Data_Flows[[#This Row],[E1_UoM]]</f>
        <v>Mg</v>
      </c>
      <c r="AG117" s="24">
        <f>_xlfn.XLOOKUP(Tab_Data_Flows[[#This Row],[Flow_Name]],Tab_Def_Flows[Flow_Name],Tab_Def_Flows[Flow_E6_Fraction'[%']],"N.A.",0,1)</f>
        <v>0</v>
      </c>
      <c r="AH117" s="3">
        <f>IF(Tab_Data_Flows[[#This Row],[Use_E6]]="Yes",Tab_Data_Flows[[#This Row],[E6_Fraction'[%']]]*Tab_Data_Flows[[#This Row],[E1_value]],"N.A.")</f>
        <v>0</v>
      </c>
      <c r="AI117" s="3" t="str">
        <f>Tab_Data_Flows[[#This Row],[E1_UoM]]</f>
        <v>Mg</v>
      </c>
    </row>
    <row r="118" spans="1:35" x14ac:dyDescent="0.25">
      <c r="A118" s="5">
        <f t="shared" si="3"/>
        <v>117</v>
      </c>
      <c r="B118" s="3" t="str">
        <f>_xlfn.XLOOKUP(C118,Tab_Def_Flows[Flow_Name],Tab_Def_Flows[Flow_ID],,0,)</f>
        <v>F__</v>
      </c>
      <c r="C118" s="23" t="s">
        <v>5</v>
      </c>
      <c r="D118" s="6" t="str">
        <f>_xlfn.XLOOKUP(C118,Tab_Def_Flows[Flow_Name],Tab_Def_Flows[Use_E1],,0,)</f>
        <v>Yes</v>
      </c>
      <c r="E118" s="6" t="str">
        <f>_xlfn.XLOOKUP(C118,Tab_Def_Flows[Flow_Name],Tab_Def_Flows[Use_E2],,0,)</f>
        <v>Yes</v>
      </c>
      <c r="F118" s="6" t="str">
        <f>_xlfn.XLOOKUP(C118,Tab_Def_Flows[Flow_Name],Tab_Def_Flows[Use_E3],,0,)</f>
        <v>Yes</v>
      </c>
      <c r="G118" s="6" t="str">
        <f>_xlfn.XLOOKUP(C118,Tab_Def_Flows[Flow_Name],Tab_Def_Flows[Use_E4],,0,)</f>
        <v>Yes</v>
      </c>
      <c r="H118" s="6" t="str">
        <f>_xlfn.XLOOKUP(C118,Tab_Def_Flows[Flow_Name],Tab_Def_Flows[Use_E5],,0,)</f>
        <v>Yes</v>
      </c>
      <c r="I118" s="6" t="str">
        <f>_xlfn.XLOOKUP(C118,Tab_Def_Flows[Flow_Name],Tab_Def_Flows[Use_E6],,0,)</f>
        <v>Yes</v>
      </c>
      <c r="J118" s="52"/>
      <c r="K118" s="53"/>
      <c r="L118" s="3" t="str">
        <f>'0_Configuration'!$C$41</f>
        <v>Mg</v>
      </c>
      <c r="M118" s="10"/>
      <c r="N118" s="23" t="s">
        <v>3</v>
      </c>
      <c r="O118" s="11"/>
      <c r="P118" s="4"/>
      <c r="Q118" s="10"/>
      <c r="R118" s="3">
        <f>_xlfn.XLOOKUP(Tab_Data_Flows[[#This Row],[Flow_Name]],Tab_Def_Flows[Flow_Name],Tab_Def_Flows[Flow_E1_Fraction'[%']],"N.A.",0,1)</f>
        <v>0</v>
      </c>
      <c r="S118" s="9">
        <f t="shared" si="2"/>
        <v>0</v>
      </c>
      <c r="T118" s="3" t="str">
        <f>Tab_Data_Flows[[#This Row],[UoM_Source]]</f>
        <v>Mg</v>
      </c>
      <c r="U118" s="24">
        <f>_xlfn.XLOOKUP(Tab_Data_Flows[[#This Row],[Flow_Name]],Tab_Def_Flows[Flow_Name],Tab_Def_Flows[Flow_E2_Fraction'[%']],"N.A.",0,1)</f>
        <v>0</v>
      </c>
      <c r="V118" s="3">
        <f>IF(D118="Yes",S118*Tab_Data_Flows[[#This Row],[E2_Fraction'[%']]],"N.A.")</f>
        <v>0</v>
      </c>
      <c r="W118" s="3" t="str">
        <f>Tab_Data_Flows[[#This Row],[E1_UoM]]</f>
        <v>Mg</v>
      </c>
      <c r="X118" s="24">
        <f>_xlfn.XLOOKUP(Tab_Data_Flows[[#This Row],[Flow_Name]],Tab_Def_Flows[Flow_Name],Tab_Def_Flows[Flow_E3_Fraction'[%']],"N.A.",0,1)</f>
        <v>0</v>
      </c>
      <c r="Y118" s="3">
        <f>IF(E118="Yes",X118*Tab_Data_Flows[[#This Row],[E1_value]],"N.A.")</f>
        <v>0</v>
      </c>
      <c r="Z118" s="3" t="str">
        <f>Tab_Data_Flows[[#This Row],[E1_UoM]]</f>
        <v>Mg</v>
      </c>
      <c r="AA118" s="24">
        <f>_xlfn.XLOOKUP(Tab_Data_Flows[[#This Row],[Flow_Name]],Tab_Def_Flows[Flow_Name],Tab_Def_Flows[Flow_E4_Fraction'[%']],"N.A.",0,1)</f>
        <v>0</v>
      </c>
      <c r="AB118" s="3">
        <f>IF(H118="Yes",Tab_Data_Flows[[#This Row],[E4_Fraction'[%']]]*Tab_Data_Flows[[#This Row],[E1_value]],"N.A.")</f>
        <v>0</v>
      </c>
      <c r="AC118" s="3" t="str">
        <f>Tab_Data_Flows[[#This Row],[E1_UoM]]</f>
        <v>Mg</v>
      </c>
      <c r="AD118" s="24">
        <f>_xlfn.XLOOKUP(Tab_Data_Flows[[#This Row],[Flow_Name]],Tab_Def_Flows[Flow_Name],Tab_Def_Flows[Flow_E5_Fraction'[%']],"N.A.",0,1)</f>
        <v>0</v>
      </c>
      <c r="AE118" s="3">
        <f>IF(H118="Yes",Tab_Data_Flows[[#This Row],[E5_Fraction'[%']]]*Tab_Data_Flows[[#This Row],[E1_value]],"N.A.")</f>
        <v>0</v>
      </c>
      <c r="AF118" s="3" t="str">
        <f>Tab_Data_Flows[[#This Row],[E1_UoM]]</f>
        <v>Mg</v>
      </c>
      <c r="AG118" s="24">
        <f>_xlfn.XLOOKUP(Tab_Data_Flows[[#This Row],[Flow_Name]],Tab_Def_Flows[Flow_Name],Tab_Def_Flows[Flow_E6_Fraction'[%']],"N.A.",0,1)</f>
        <v>0</v>
      </c>
      <c r="AH118" s="3">
        <f>IF(Tab_Data_Flows[[#This Row],[Use_E6]]="Yes",Tab_Data_Flows[[#This Row],[E6_Fraction'[%']]]*Tab_Data_Flows[[#This Row],[E1_value]],"N.A.")</f>
        <v>0</v>
      </c>
      <c r="AI118" s="3" t="str">
        <f>Tab_Data_Flows[[#This Row],[E1_UoM]]</f>
        <v>Mg</v>
      </c>
    </row>
    <row r="119" spans="1:35" x14ac:dyDescent="0.25">
      <c r="A119" s="5">
        <f t="shared" si="3"/>
        <v>118</v>
      </c>
      <c r="B119" s="3" t="str">
        <f>_xlfn.XLOOKUP(C119,Tab_Def_Flows[Flow_Name],Tab_Def_Flows[Flow_ID],,0,)</f>
        <v>F__</v>
      </c>
      <c r="C119" s="23" t="s">
        <v>5</v>
      </c>
      <c r="D119" s="6" t="str">
        <f>_xlfn.XLOOKUP(C119,Tab_Def_Flows[Flow_Name],Tab_Def_Flows[Use_E1],,0,)</f>
        <v>Yes</v>
      </c>
      <c r="E119" s="6" t="str">
        <f>_xlfn.XLOOKUP(C119,Tab_Def_Flows[Flow_Name],Tab_Def_Flows[Use_E2],,0,)</f>
        <v>Yes</v>
      </c>
      <c r="F119" s="6" t="str">
        <f>_xlfn.XLOOKUP(C119,Tab_Def_Flows[Flow_Name],Tab_Def_Flows[Use_E3],,0,)</f>
        <v>Yes</v>
      </c>
      <c r="G119" s="6" t="str">
        <f>_xlfn.XLOOKUP(C119,Tab_Def_Flows[Flow_Name],Tab_Def_Flows[Use_E4],,0,)</f>
        <v>Yes</v>
      </c>
      <c r="H119" s="6" t="str">
        <f>_xlfn.XLOOKUP(C119,Tab_Def_Flows[Flow_Name],Tab_Def_Flows[Use_E5],,0,)</f>
        <v>Yes</v>
      </c>
      <c r="I119" s="6" t="str">
        <f>_xlfn.XLOOKUP(C119,Tab_Def_Flows[Flow_Name],Tab_Def_Flows[Use_E6],,0,)</f>
        <v>Yes</v>
      </c>
      <c r="J119" s="52"/>
      <c r="K119" s="53"/>
      <c r="L119" s="3" t="str">
        <f>'0_Configuration'!$C$41</f>
        <v>Mg</v>
      </c>
      <c r="M119" s="10"/>
      <c r="N119" s="23" t="s">
        <v>3</v>
      </c>
      <c r="O119" s="11"/>
      <c r="P119" s="4"/>
      <c r="Q119" s="10"/>
      <c r="R119" s="3">
        <f>_xlfn.XLOOKUP(Tab_Data_Flows[[#This Row],[Flow_Name]],Tab_Def_Flows[Flow_Name],Tab_Def_Flows[Flow_E1_Fraction'[%']],"N.A.",0,1)</f>
        <v>0</v>
      </c>
      <c r="S119" s="9">
        <f t="shared" si="2"/>
        <v>0</v>
      </c>
      <c r="T119" s="3" t="str">
        <f>Tab_Data_Flows[[#This Row],[UoM_Source]]</f>
        <v>Mg</v>
      </c>
      <c r="U119" s="24">
        <f>_xlfn.XLOOKUP(Tab_Data_Flows[[#This Row],[Flow_Name]],Tab_Def_Flows[Flow_Name],Tab_Def_Flows[Flow_E2_Fraction'[%']],"N.A.",0,1)</f>
        <v>0</v>
      </c>
      <c r="V119" s="3">
        <f>IF(D119="Yes",S119*Tab_Data_Flows[[#This Row],[E2_Fraction'[%']]],"N.A.")</f>
        <v>0</v>
      </c>
      <c r="W119" s="3" t="str">
        <f>Tab_Data_Flows[[#This Row],[E1_UoM]]</f>
        <v>Mg</v>
      </c>
      <c r="X119" s="24">
        <f>_xlfn.XLOOKUP(Tab_Data_Flows[[#This Row],[Flow_Name]],Tab_Def_Flows[Flow_Name],Tab_Def_Flows[Flow_E3_Fraction'[%']],"N.A.",0,1)</f>
        <v>0</v>
      </c>
      <c r="Y119" s="3">
        <f>IF(E119="Yes",X119*Tab_Data_Flows[[#This Row],[E1_value]],"N.A.")</f>
        <v>0</v>
      </c>
      <c r="Z119" s="3" t="str">
        <f>Tab_Data_Flows[[#This Row],[E1_UoM]]</f>
        <v>Mg</v>
      </c>
      <c r="AA119" s="24">
        <f>_xlfn.XLOOKUP(Tab_Data_Flows[[#This Row],[Flow_Name]],Tab_Def_Flows[Flow_Name],Tab_Def_Flows[Flow_E4_Fraction'[%']],"N.A.",0,1)</f>
        <v>0</v>
      </c>
      <c r="AB119" s="3">
        <f>IF(H119="Yes",Tab_Data_Flows[[#This Row],[E4_Fraction'[%']]]*Tab_Data_Flows[[#This Row],[E1_value]],"N.A.")</f>
        <v>0</v>
      </c>
      <c r="AC119" s="3" t="str">
        <f>Tab_Data_Flows[[#This Row],[E1_UoM]]</f>
        <v>Mg</v>
      </c>
      <c r="AD119" s="24">
        <f>_xlfn.XLOOKUP(Tab_Data_Flows[[#This Row],[Flow_Name]],Tab_Def_Flows[Flow_Name],Tab_Def_Flows[Flow_E5_Fraction'[%']],"N.A.",0,1)</f>
        <v>0</v>
      </c>
      <c r="AE119" s="3">
        <f>IF(H119="Yes",Tab_Data_Flows[[#This Row],[E5_Fraction'[%']]]*Tab_Data_Flows[[#This Row],[E1_value]],"N.A.")</f>
        <v>0</v>
      </c>
      <c r="AF119" s="3" t="str">
        <f>Tab_Data_Flows[[#This Row],[E1_UoM]]</f>
        <v>Mg</v>
      </c>
      <c r="AG119" s="24">
        <f>_xlfn.XLOOKUP(Tab_Data_Flows[[#This Row],[Flow_Name]],Tab_Def_Flows[Flow_Name],Tab_Def_Flows[Flow_E6_Fraction'[%']],"N.A.",0,1)</f>
        <v>0</v>
      </c>
      <c r="AH119" s="3">
        <f>IF(Tab_Data_Flows[[#This Row],[Use_E6]]="Yes",Tab_Data_Flows[[#This Row],[E6_Fraction'[%']]]*Tab_Data_Flows[[#This Row],[E1_value]],"N.A.")</f>
        <v>0</v>
      </c>
      <c r="AI119" s="3" t="str">
        <f>Tab_Data_Flows[[#This Row],[E1_UoM]]</f>
        <v>Mg</v>
      </c>
    </row>
    <row r="120" spans="1:35" x14ac:dyDescent="0.25">
      <c r="A120" s="5">
        <f t="shared" si="3"/>
        <v>119</v>
      </c>
      <c r="B120" s="3" t="str">
        <f>_xlfn.XLOOKUP(C120,Tab_Def_Flows[Flow_Name],Tab_Def_Flows[Flow_ID],,0,)</f>
        <v>F__</v>
      </c>
      <c r="C120" s="23" t="s">
        <v>5</v>
      </c>
      <c r="D120" s="6" t="str">
        <f>_xlfn.XLOOKUP(C120,Tab_Def_Flows[Flow_Name],Tab_Def_Flows[Use_E1],,0,)</f>
        <v>Yes</v>
      </c>
      <c r="E120" s="6" t="str">
        <f>_xlfn.XLOOKUP(C120,Tab_Def_Flows[Flow_Name],Tab_Def_Flows[Use_E2],,0,)</f>
        <v>Yes</v>
      </c>
      <c r="F120" s="6" t="str">
        <f>_xlfn.XLOOKUP(C120,Tab_Def_Flows[Flow_Name],Tab_Def_Flows[Use_E3],,0,)</f>
        <v>Yes</v>
      </c>
      <c r="G120" s="6" t="str">
        <f>_xlfn.XLOOKUP(C120,Tab_Def_Flows[Flow_Name],Tab_Def_Flows[Use_E4],,0,)</f>
        <v>Yes</v>
      </c>
      <c r="H120" s="6" t="str">
        <f>_xlfn.XLOOKUP(C120,Tab_Def_Flows[Flow_Name],Tab_Def_Flows[Use_E5],,0,)</f>
        <v>Yes</v>
      </c>
      <c r="I120" s="6" t="str">
        <f>_xlfn.XLOOKUP(C120,Tab_Def_Flows[Flow_Name],Tab_Def_Flows[Use_E6],,0,)</f>
        <v>Yes</v>
      </c>
      <c r="J120" s="52"/>
      <c r="K120" s="53"/>
      <c r="L120" s="3" t="str">
        <f>'0_Configuration'!$C$41</f>
        <v>Mg</v>
      </c>
      <c r="M120" s="10"/>
      <c r="N120" s="23" t="s">
        <v>3</v>
      </c>
      <c r="O120" s="11"/>
      <c r="P120" s="4"/>
      <c r="Q120" s="10"/>
      <c r="R120" s="3">
        <f>_xlfn.XLOOKUP(Tab_Data_Flows[[#This Row],[Flow_Name]],Tab_Def_Flows[Flow_Name],Tab_Def_Flows[Flow_E1_Fraction'[%']],"N.A.",0,1)</f>
        <v>0</v>
      </c>
      <c r="S120" s="9">
        <f t="shared" si="2"/>
        <v>0</v>
      </c>
      <c r="T120" s="3" t="str">
        <f>Tab_Data_Flows[[#This Row],[UoM_Source]]</f>
        <v>Mg</v>
      </c>
      <c r="U120" s="24">
        <f>_xlfn.XLOOKUP(Tab_Data_Flows[[#This Row],[Flow_Name]],Tab_Def_Flows[Flow_Name],Tab_Def_Flows[Flow_E2_Fraction'[%']],"N.A.",0,1)</f>
        <v>0</v>
      </c>
      <c r="V120" s="3">
        <f>IF(D120="Yes",S120*Tab_Data_Flows[[#This Row],[E2_Fraction'[%']]],"N.A.")</f>
        <v>0</v>
      </c>
      <c r="W120" s="3" t="str">
        <f>Tab_Data_Flows[[#This Row],[E1_UoM]]</f>
        <v>Mg</v>
      </c>
      <c r="X120" s="24">
        <f>_xlfn.XLOOKUP(Tab_Data_Flows[[#This Row],[Flow_Name]],Tab_Def_Flows[Flow_Name],Tab_Def_Flows[Flow_E3_Fraction'[%']],"N.A.",0,1)</f>
        <v>0</v>
      </c>
      <c r="Y120" s="3">
        <f>IF(E120="Yes",X120*Tab_Data_Flows[[#This Row],[E1_value]],"N.A.")</f>
        <v>0</v>
      </c>
      <c r="Z120" s="3" t="str">
        <f>Tab_Data_Flows[[#This Row],[E1_UoM]]</f>
        <v>Mg</v>
      </c>
      <c r="AA120" s="24">
        <f>_xlfn.XLOOKUP(Tab_Data_Flows[[#This Row],[Flow_Name]],Tab_Def_Flows[Flow_Name],Tab_Def_Flows[Flow_E4_Fraction'[%']],"N.A.",0,1)</f>
        <v>0</v>
      </c>
      <c r="AB120" s="3">
        <f>IF(H120="Yes",Tab_Data_Flows[[#This Row],[E4_Fraction'[%']]]*Tab_Data_Flows[[#This Row],[E1_value]],"N.A.")</f>
        <v>0</v>
      </c>
      <c r="AC120" s="3" t="str">
        <f>Tab_Data_Flows[[#This Row],[E1_UoM]]</f>
        <v>Mg</v>
      </c>
      <c r="AD120" s="24">
        <f>_xlfn.XLOOKUP(Tab_Data_Flows[[#This Row],[Flow_Name]],Tab_Def_Flows[Flow_Name],Tab_Def_Flows[Flow_E5_Fraction'[%']],"N.A.",0,1)</f>
        <v>0</v>
      </c>
      <c r="AE120" s="3">
        <f>IF(H120="Yes",Tab_Data_Flows[[#This Row],[E5_Fraction'[%']]]*Tab_Data_Flows[[#This Row],[E1_value]],"N.A.")</f>
        <v>0</v>
      </c>
      <c r="AF120" s="3" t="str">
        <f>Tab_Data_Flows[[#This Row],[E1_UoM]]</f>
        <v>Mg</v>
      </c>
      <c r="AG120" s="24">
        <f>_xlfn.XLOOKUP(Tab_Data_Flows[[#This Row],[Flow_Name]],Tab_Def_Flows[Flow_Name],Tab_Def_Flows[Flow_E6_Fraction'[%']],"N.A.",0,1)</f>
        <v>0</v>
      </c>
      <c r="AH120" s="3">
        <f>IF(Tab_Data_Flows[[#This Row],[Use_E6]]="Yes",Tab_Data_Flows[[#This Row],[E6_Fraction'[%']]]*Tab_Data_Flows[[#This Row],[E1_value]],"N.A.")</f>
        <v>0</v>
      </c>
      <c r="AI120" s="3" t="str">
        <f>Tab_Data_Flows[[#This Row],[E1_UoM]]</f>
        <v>Mg</v>
      </c>
    </row>
    <row r="121" spans="1:35" x14ac:dyDescent="0.25">
      <c r="A121" s="5">
        <f t="shared" si="3"/>
        <v>120</v>
      </c>
      <c r="B121" s="3" t="str">
        <f>_xlfn.XLOOKUP(C121,Tab_Def_Flows[Flow_Name],Tab_Def_Flows[Flow_ID],,0,)</f>
        <v>F__</v>
      </c>
      <c r="C121" s="23" t="s">
        <v>5</v>
      </c>
      <c r="D121" s="6" t="str">
        <f>_xlfn.XLOOKUP(C121,Tab_Def_Flows[Flow_Name],Tab_Def_Flows[Use_E1],,0,)</f>
        <v>Yes</v>
      </c>
      <c r="E121" s="6" t="str">
        <f>_xlfn.XLOOKUP(C121,Tab_Def_Flows[Flow_Name],Tab_Def_Flows[Use_E2],,0,)</f>
        <v>Yes</v>
      </c>
      <c r="F121" s="6" t="str">
        <f>_xlfn.XLOOKUP(C121,Tab_Def_Flows[Flow_Name],Tab_Def_Flows[Use_E3],,0,)</f>
        <v>Yes</v>
      </c>
      <c r="G121" s="6" t="str">
        <f>_xlfn.XLOOKUP(C121,Tab_Def_Flows[Flow_Name],Tab_Def_Flows[Use_E4],,0,)</f>
        <v>Yes</v>
      </c>
      <c r="H121" s="6" t="str">
        <f>_xlfn.XLOOKUP(C121,Tab_Def_Flows[Flow_Name],Tab_Def_Flows[Use_E5],,0,)</f>
        <v>Yes</v>
      </c>
      <c r="I121" s="6" t="str">
        <f>_xlfn.XLOOKUP(C121,Tab_Def_Flows[Flow_Name],Tab_Def_Flows[Use_E6],,0,)</f>
        <v>Yes</v>
      </c>
      <c r="J121" s="52"/>
      <c r="K121" s="53"/>
      <c r="L121" s="3" t="str">
        <f>'0_Configuration'!$C$41</f>
        <v>Mg</v>
      </c>
      <c r="M121" s="10"/>
      <c r="N121" s="23" t="s">
        <v>3</v>
      </c>
      <c r="O121" s="11"/>
      <c r="P121" s="4"/>
      <c r="Q121" s="10"/>
      <c r="R121" s="3">
        <f>_xlfn.XLOOKUP(Tab_Data_Flows[[#This Row],[Flow_Name]],Tab_Def_Flows[Flow_Name],Tab_Def_Flows[Flow_E1_Fraction'[%']],"N.A.",0,1)</f>
        <v>0</v>
      </c>
      <c r="S121" s="9">
        <f t="shared" si="2"/>
        <v>0</v>
      </c>
      <c r="T121" s="3" t="str">
        <f>Tab_Data_Flows[[#This Row],[UoM_Source]]</f>
        <v>Mg</v>
      </c>
      <c r="U121" s="24">
        <f>_xlfn.XLOOKUP(Tab_Data_Flows[[#This Row],[Flow_Name]],Tab_Def_Flows[Flow_Name],Tab_Def_Flows[Flow_E2_Fraction'[%']],"N.A.",0,1)</f>
        <v>0</v>
      </c>
      <c r="V121" s="3">
        <f>IF(D121="Yes",S121*Tab_Data_Flows[[#This Row],[E2_Fraction'[%']]],"N.A.")</f>
        <v>0</v>
      </c>
      <c r="W121" s="3" t="str">
        <f>Tab_Data_Flows[[#This Row],[E1_UoM]]</f>
        <v>Mg</v>
      </c>
      <c r="X121" s="24">
        <f>_xlfn.XLOOKUP(Tab_Data_Flows[[#This Row],[Flow_Name]],Tab_Def_Flows[Flow_Name],Tab_Def_Flows[Flow_E3_Fraction'[%']],"N.A.",0,1)</f>
        <v>0</v>
      </c>
      <c r="Y121" s="3">
        <f>IF(E121="Yes",X121*Tab_Data_Flows[[#This Row],[E1_value]],"N.A.")</f>
        <v>0</v>
      </c>
      <c r="Z121" s="3" t="str">
        <f>Tab_Data_Flows[[#This Row],[E1_UoM]]</f>
        <v>Mg</v>
      </c>
      <c r="AA121" s="24">
        <f>_xlfn.XLOOKUP(Tab_Data_Flows[[#This Row],[Flow_Name]],Tab_Def_Flows[Flow_Name],Tab_Def_Flows[Flow_E4_Fraction'[%']],"N.A.",0,1)</f>
        <v>0</v>
      </c>
      <c r="AB121" s="3">
        <f>IF(H121="Yes",Tab_Data_Flows[[#This Row],[E4_Fraction'[%']]]*Tab_Data_Flows[[#This Row],[E1_value]],"N.A.")</f>
        <v>0</v>
      </c>
      <c r="AC121" s="3" t="str">
        <f>Tab_Data_Flows[[#This Row],[E1_UoM]]</f>
        <v>Mg</v>
      </c>
      <c r="AD121" s="24">
        <f>_xlfn.XLOOKUP(Tab_Data_Flows[[#This Row],[Flow_Name]],Tab_Def_Flows[Flow_Name],Tab_Def_Flows[Flow_E5_Fraction'[%']],"N.A.",0,1)</f>
        <v>0</v>
      </c>
      <c r="AE121" s="3">
        <f>IF(H121="Yes",Tab_Data_Flows[[#This Row],[E5_Fraction'[%']]]*Tab_Data_Flows[[#This Row],[E1_value]],"N.A.")</f>
        <v>0</v>
      </c>
      <c r="AF121" s="3" t="str">
        <f>Tab_Data_Flows[[#This Row],[E1_UoM]]</f>
        <v>Mg</v>
      </c>
      <c r="AG121" s="24">
        <f>_xlfn.XLOOKUP(Tab_Data_Flows[[#This Row],[Flow_Name]],Tab_Def_Flows[Flow_Name],Tab_Def_Flows[Flow_E6_Fraction'[%']],"N.A.",0,1)</f>
        <v>0</v>
      </c>
      <c r="AH121" s="3">
        <f>IF(Tab_Data_Flows[[#This Row],[Use_E6]]="Yes",Tab_Data_Flows[[#This Row],[E6_Fraction'[%']]]*Tab_Data_Flows[[#This Row],[E1_value]],"N.A.")</f>
        <v>0</v>
      </c>
      <c r="AI121" s="3" t="str">
        <f>Tab_Data_Flows[[#This Row],[E1_UoM]]</f>
        <v>Mg</v>
      </c>
    </row>
    <row r="122" spans="1:35" x14ac:dyDescent="0.25">
      <c r="A122" s="5">
        <f t="shared" si="3"/>
        <v>121</v>
      </c>
      <c r="B122" s="3" t="str">
        <f>_xlfn.XLOOKUP(C122,Tab_Def_Flows[Flow_Name],Tab_Def_Flows[Flow_ID],,0,)</f>
        <v>F__</v>
      </c>
      <c r="C122" s="23" t="s">
        <v>5</v>
      </c>
      <c r="D122" s="6" t="str">
        <f>_xlfn.XLOOKUP(C122,Tab_Def_Flows[Flow_Name],Tab_Def_Flows[Use_E1],,0,)</f>
        <v>Yes</v>
      </c>
      <c r="E122" s="6" t="str">
        <f>_xlfn.XLOOKUP(C122,Tab_Def_Flows[Flow_Name],Tab_Def_Flows[Use_E2],,0,)</f>
        <v>Yes</v>
      </c>
      <c r="F122" s="6" t="str">
        <f>_xlfn.XLOOKUP(C122,Tab_Def_Flows[Flow_Name],Tab_Def_Flows[Use_E3],,0,)</f>
        <v>Yes</v>
      </c>
      <c r="G122" s="6" t="str">
        <f>_xlfn.XLOOKUP(C122,Tab_Def_Flows[Flow_Name],Tab_Def_Flows[Use_E4],,0,)</f>
        <v>Yes</v>
      </c>
      <c r="H122" s="6" t="str">
        <f>_xlfn.XLOOKUP(C122,Tab_Def_Flows[Flow_Name],Tab_Def_Flows[Use_E5],,0,)</f>
        <v>Yes</v>
      </c>
      <c r="I122" s="6" t="str">
        <f>_xlfn.XLOOKUP(C122,Tab_Def_Flows[Flow_Name],Tab_Def_Flows[Use_E6],,0,)</f>
        <v>Yes</v>
      </c>
      <c r="J122" s="52"/>
      <c r="K122" s="53"/>
      <c r="L122" s="3" t="str">
        <f>'0_Configuration'!$C$41</f>
        <v>Mg</v>
      </c>
      <c r="M122" s="10"/>
      <c r="N122" s="23" t="s">
        <v>3</v>
      </c>
      <c r="O122" s="11"/>
      <c r="P122" s="4"/>
      <c r="Q122" s="10"/>
      <c r="R122" s="3">
        <f>_xlfn.XLOOKUP(Tab_Data_Flows[[#This Row],[Flow_Name]],Tab_Def_Flows[Flow_Name],Tab_Def_Flows[Flow_E1_Fraction'[%']],"N.A.",0,1)</f>
        <v>0</v>
      </c>
      <c r="S122" s="9">
        <f t="shared" si="2"/>
        <v>0</v>
      </c>
      <c r="T122" s="3" t="str">
        <f>Tab_Data_Flows[[#This Row],[UoM_Source]]</f>
        <v>Mg</v>
      </c>
      <c r="U122" s="24">
        <f>_xlfn.XLOOKUP(Tab_Data_Flows[[#This Row],[Flow_Name]],Tab_Def_Flows[Flow_Name],Tab_Def_Flows[Flow_E2_Fraction'[%']],"N.A.",0,1)</f>
        <v>0</v>
      </c>
      <c r="V122" s="3">
        <f>IF(D122="Yes",S122*Tab_Data_Flows[[#This Row],[E2_Fraction'[%']]],"N.A.")</f>
        <v>0</v>
      </c>
      <c r="W122" s="3" t="str">
        <f>Tab_Data_Flows[[#This Row],[E1_UoM]]</f>
        <v>Mg</v>
      </c>
      <c r="X122" s="24">
        <f>_xlfn.XLOOKUP(Tab_Data_Flows[[#This Row],[Flow_Name]],Tab_Def_Flows[Flow_Name],Tab_Def_Flows[Flow_E3_Fraction'[%']],"N.A.",0,1)</f>
        <v>0</v>
      </c>
      <c r="Y122" s="3">
        <f>IF(E122="Yes",X122*Tab_Data_Flows[[#This Row],[E1_value]],"N.A.")</f>
        <v>0</v>
      </c>
      <c r="Z122" s="3" t="str">
        <f>Tab_Data_Flows[[#This Row],[E1_UoM]]</f>
        <v>Mg</v>
      </c>
      <c r="AA122" s="24">
        <f>_xlfn.XLOOKUP(Tab_Data_Flows[[#This Row],[Flow_Name]],Tab_Def_Flows[Flow_Name],Tab_Def_Flows[Flow_E4_Fraction'[%']],"N.A.",0,1)</f>
        <v>0</v>
      </c>
      <c r="AB122" s="3">
        <f>IF(H122="Yes",Tab_Data_Flows[[#This Row],[E4_Fraction'[%']]]*Tab_Data_Flows[[#This Row],[E1_value]],"N.A.")</f>
        <v>0</v>
      </c>
      <c r="AC122" s="3" t="str">
        <f>Tab_Data_Flows[[#This Row],[E1_UoM]]</f>
        <v>Mg</v>
      </c>
      <c r="AD122" s="24">
        <f>_xlfn.XLOOKUP(Tab_Data_Flows[[#This Row],[Flow_Name]],Tab_Def_Flows[Flow_Name],Tab_Def_Flows[Flow_E5_Fraction'[%']],"N.A.",0,1)</f>
        <v>0</v>
      </c>
      <c r="AE122" s="3">
        <f>IF(H122="Yes",Tab_Data_Flows[[#This Row],[E5_Fraction'[%']]]*Tab_Data_Flows[[#This Row],[E1_value]],"N.A.")</f>
        <v>0</v>
      </c>
      <c r="AF122" s="3" t="str">
        <f>Tab_Data_Flows[[#This Row],[E1_UoM]]</f>
        <v>Mg</v>
      </c>
      <c r="AG122" s="24">
        <f>_xlfn.XLOOKUP(Tab_Data_Flows[[#This Row],[Flow_Name]],Tab_Def_Flows[Flow_Name],Tab_Def_Flows[Flow_E6_Fraction'[%']],"N.A.",0,1)</f>
        <v>0</v>
      </c>
      <c r="AH122" s="3">
        <f>IF(Tab_Data_Flows[[#This Row],[Use_E6]]="Yes",Tab_Data_Flows[[#This Row],[E6_Fraction'[%']]]*Tab_Data_Flows[[#This Row],[E1_value]],"N.A.")</f>
        <v>0</v>
      </c>
      <c r="AI122" s="3" t="str">
        <f>Tab_Data_Flows[[#This Row],[E1_UoM]]</f>
        <v>Mg</v>
      </c>
    </row>
    <row r="123" spans="1:35" x14ac:dyDescent="0.25">
      <c r="A123" s="5">
        <f t="shared" si="3"/>
        <v>122</v>
      </c>
      <c r="B123" s="3" t="str">
        <f>_xlfn.XLOOKUP(C123,Tab_Def_Flows[Flow_Name],Tab_Def_Flows[Flow_ID],,0,)</f>
        <v>F__</v>
      </c>
      <c r="C123" s="23" t="s">
        <v>5</v>
      </c>
      <c r="D123" s="6" t="str">
        <f>_xlfn.XLOOKUP(C123,Tab_Def_Flows[Flow_Name],Tab_Def_Flows[Use_E1],,0,)</f>
        <v>Yes</v>
      </c>
      <c r="E123" s="6" t="str">
        <f>_xlfn.XLOOKUP(C123,Tab_Def_Flows[Flow_Name],Tab_Def_Flows[Use_E2],,0,)</f>
        <v>Yes</v>
      </c>
      <c r="F123" s="6" t="str">
        <f>_xlfn.XLOOKUP(C123,Tab_Def_Flows[Flow_Name],Tab_Def_Flows[Use_E3],,0,)</f>
        <v>Yes</v>
      </c>
      <c r="G123" s="6" t="str">
        <f>_xlfn.XLOOKUP(C123,Tab_Def_Flows[Flow_Name],Tab_Def_Flows[Use_E4],,0,)</f>
        <v>Yes</v>
      </c>
      <c r="H123" s="6" t="str">
        <f>_xlfn.XLOOKUP(C123,Tab_Def_Flows[Flow_Name],Tab_Def_Flows[Use_E5],,0,)</f>
        <v>Yes</v>
      </c>
      <c r="I123" s="6" t="str">
        <f>_xlfn.XLOOKUP(C123,Tab_Def_Flows[Flow_Name],Tab_Def_Flows[Use_E6],,0,)</f>
        <v>Yes</v>
      </c>
      <c r="J123" s="52"/>
      <c r="K123" s="53"/>
      <c r="L123" s="3" t="str">
        <f>'0_Configuration'!$C$41</f>
        <v>Mg</v>
      </c>
      <c r="M123" s="10"/>
      <c r="N123" s="23" t="s">
        <v>3</v>
      </c>
      <c r="O123" s="11"/>
      <c r="P123" s="4"/>
      <c r="Q123" s="10"/>
      <c r="R123" s="3">
        <f>_xlfn.XLOOKUP(Tab_Data_Flows[[#This Row],[Flow_Name]],Tab_Def_Flows[Flow_Name],Tab_Def_Flows[Flow_E1_Fraction'[%']],"N.A.",0,1)</f>
        <v>0</v>
      </c>
      <c r="S123" s="9">
        <f t="shared" si="2"/>
        <v>0</v>
      </c>
      <c r="T123" s="3" t="str">
        <f>Tab_Data_Flows[[#This Row],[UoM_Source]]</f>
        <v>Mg</v>
      </c>
      <c r="U123" s="24">
        <f>_xlfn.XLOOKUP(Tab_Data_Flows[[#This Row],[Flow_Name]],Tab_Def_Flows[Flow_Name],Tab_Def_Flows[Flow_E2_Fraction'[%']],"N.A.",0,1)</f>
        <v>0</v>
      </c>
      <c r="V123" s="3">
        <f>IF(D123="Yes",S123*Tab_Data_Flows[[#This Row],[E2_Fraction'[%']]],"N.A.")</f>
        <v>0</v>
      </c>
      <c r="W123" s="3" t="str">
        <f>Tab_Data_Flows[[#This Row],[E1_UoM]]</f>
        <v>Mg</v>
      </c>
      <c r="X123" s="24">
        <f>_xlfn.XLOOKUP(Tab_Data_Flows[[#This Row],[Flow_Name]],Tab_Def_Flows[Flow_Name],Tab_Def_Flows[Flow_E3_Fraction'[%']],"N.A.",0,1)</f>
        <v>0</v>
      </c>
      <c r="Y123" s="3">
        <f>IF(E123="Yes",X123*Tab_Data_Flows[[#This Row],[E1_value]],"N.A.")</f>
        <v>0</v>
      </c>
      <c r="Z123" s="3" t="str">
        <f>Tab_Data_Flows[[#This Row],[E1_UoM]]</f>
        <v>Mg</v>
      </c>
      <c r="AA123" s="24">
        <f>_xlfn.XLOOKUP(Tab_Data_Flows[[#This Row],[Flow_Name]],Tab_Def_Flows[Flow_Name],Tab_Def_Flows[Flow_E4_Fraction'[%']],"N.A.",0,1)</f>
        <v>0</v>
      </c>
      <c r="AB123" s="3">
        <f>IF(H123="Yes",Tab_Data_Flows[[#This Row],[E4_Fraction'[%']]]*Tab_Data_Flows[[#This Row],[E1_value]],"N.A.")</f>
        <v>0</v>
      </c>
      <c r="AC123" s="3" t="str">
        <f>Tab_Data_Flows[[#This Row],[E1_UoM]]</f>
        <v>Mg</v>
      </c>
      <c r="AD123" s="24">
        <f>_xlfn.XLOOKUP(Tab_Data_Flows[[#This Row],[Flow_Name]],Tab_Def_Flows[Flow_Name],Tab_Def_Flows[Flow_E5_Fraction'[%']],"N.A.",0,1)</f>
        <v>0</v>
      </c>
      <c r="AE123" s="3">
        <f>IF(H123="Yes",Tab_Data_Flows[[#This Row],[E5_Fraction'[%']]]*Tab_Data_Flows[[#This Row],[E1_value]],"N.A.")</f>
        <v>0</v>
      </c>
      <c r="AF123" s="3" t="str">
        <f>Tab_Data_Flows[[#This Row],[E1_UoM]]</f>
        <v>Mg</v>
      </c>
      <c r="AG123" s="24">
        <f>_xlfn.XLOOKUP(Tab_Data_Flows[[#This Row],[Flow_Name]],Tab_Def_Flows[Flow_Name],Tab_Def_Flows[Flow_E6_Fraction'[%']],"N.A.",0,1)</f>
        <v>0</v>
      </c>
      <c r="AH123" s="3">
        <f>IF(Tab_Data_Flows[[#This Row],[Use_E6]]="Yes",Tab_Data_Flows[[#This Row],[E6_Fraction'[%']]]*Tab_Data_Flows[[#This Row],[E1_value]],"N.A.")</f>
        <v>0</v>
      </c>
      <c r="AI123" s="3" t="str">
        <f>Tab_Data_Flows[[#This Row],[E1_UoM]]</f>
        <v>Mg</v>
      </c>
    </row>
    <row r="124" spans="1:35" x14ac:dyDescent="0.25">
      <c r="A124" s="5">
        <f t="shared" si="3"/>
        <v>123</v>
      </c>
      <c r="B124" s="3" t="str">
        <f>_xlfn.XLOOKUP(C124,Tab_Def_Flows[Flow_Name],Tab_Def_Flows[Flow_ID],,0,)</f>
        <v>F__</v>
      </c>
      <c r="C124" s="23" t="s">
        <v>5</v>
      </c>
      <c r="D124" s="6" t="str">
        <f>_xlfn.XLOOKUP(C124,Tab_Def_Flows[Flow_Name],Tab_Def_Flows[Use_E1],,0,)</f>
        <v>Yes</v>
      </c>
      <c r="E124" s="6" t="str">
        <f>_xlfn.XLOOKUP(C124,Tab_Def_Flows[Flow_Name],Tab_Def_Flows[Use_E2],,0,)</f>
        <v>Yes</v>
      </c>
      <c r="F124" s="6" t="str">
        <f>_xlfn.XLOOKUP(C124,Tab_Def_Flows[Flow_Name],Tab_Def_Flows[Use_E3],,0,)</f>
        <v>Yes</v>
      </c>
      <c r="G124" s="6" t="str">
        <f>_xlfn.XLOOKUP(C124,Tab_Def_Flows[Flow_Name],Tab_Def_Flows[Use_E4],,0,)</f>
        <v>Yes</v>
      </c>
      <c r="H124" s="6" t="str">
        <f>_xlfn.XLOOKUP(C124,Tab_Def_Flows[Flow_Name],Tab_Def_Flows[Use_E5],,0,)</f>
        <v>Yes</v>
      </c>
      <c r="I124" s="6" t="str">
        <f>_xlfn.XLOOKUP(C124,Tab_Def_Flows[Flow_Name],Tab_Def_Flows[Use_E6],,0,)</f>
        <v>Yes</v>
      </c>
      <c r="J124" s="52"/>
      <c r="K124" s="53"/>
      <c r="L124" s="3" t="str">
        <f>'0_Configuration'!$C$41</f>
        <v>Mg</v>
      </c>
      <c r="M124" s="10"/>
      <c r="N124" s="23" t="s">
        <v>3</v>
      </c>
      <c r="O124" s="11"/>
      <c r="P124" s="4"/>
      <c r="Q124" s="10"/>
      <c r="R124" s="3">
        <f>_xlfn.XLOOKUP(Tab_Data_Flows[[#This Row],[Flow_Name]],Tab_Def_Flows[Flow_Name],Tab_Def_Flows[Flow_E1_Fraction'[%']],"N.A.",0,1)</f>
        <v>0</v>
      </c>
      <c r="S124" s="9">
        <f t="shared" si="2"/>
        <v>0</v>
      </c>
      <c r="T124" s="3" t="str">
        <f>Tab_Data_Flows[[#This Row],[UoM_Source]]</f>
        <v>Mg</v>
      </c>
      <c r="U124" s="24">
        <f>_xlfn.XLOOKUP(Tab_Data_Flows[[#This Row],[Flow_Name]],Tab_Def_Flows[Flow_Name],Tab_Def_Flows[Flow_E2_Fraction'[%']],"N.A.",0,1)</f>
        <v>0</v>
      </c>
      <c r="V124" s="3">
        <f>IF(D124="Yes",S124*Tab_Data_Flows[[#This Row],[E2_Fraction'[%']]],"N.A.")</f>
        <v>0</v>
      </c>
      <c r="W124" s="3" t="str">
        <f>Tab_Data_Flows[[#This Row],[E1_UoM]]</f>
        <v>Mg</v>
      </c>
      <c r="X124" s="24">
        <f>_xlfn.XLOOKUP(Tab_Data_Flows[[#This Row],[Flow_Name]],Tab_Def_Flows[Flow_Name],Tab_Def_Flows[Flow_E3_Fraction'[%']],"N.A.",0,1)</f>
        <v>0</v>
      </c>
      <c r="Y124" s="3">
        <f>IF(E124="Yes",X124*Tab_Data_Flows[[#This Row],[E1_value]],"N.A.")</f>
        <v>0</v>
      </c>
      <c r="Z124" s="3" t="str">
        <f>Tab_Data_Flows[[#This Row],[E1_UoM]]</f>
        <v>Mg</v>
      </c>
      <c r="AA124" s="24">
        <f>_xlfn.XLOOKUP(Tab_Data_Flows[[#This Row],[Flow_Name]],Tab_Def_Flows[Flow_Name],Tab_Def_Flows[Flow_E4_Fraction'[%']],"N.A.",0,1)</f>
        <v>0</v>
      </c>
      <c r="AB124" s="3">
        <f>IF(H124="Yes",Tab_Data_Flows[[#This Row],[E4_Fraction'[%']]]*Tab_Data_Flows[[#This Row],[E1_value]],"N.A.")</f>
        <v>0</v>
      </c>
      <c r="AC124" s="3" t="str">
        <f>Tab_Data_Flows[[#This Row],[E1_UoM]]</f>
        <v>Mg</v>
      </c>
      <c r="AD124" s="24">
        <f>_xlfn.XLOOKUP(Tab_Data_Flows[[#This Row],[Flow_Name]],Tab_Def_Flows[Flow_Name],Tab_Def_Flows[Flow_E5_Fraction'[%']],"N.A.",0,1)</f>
        <v>0</v>
      </c>
      <c r="AE124" s="3">
        <f>IF(H124="Yes",Tab_Data_Flows[[#This Row],[E5_Fraction'[%']]]*Tab_Data_Flows[[#This Row],[E1_value]],"N.A.")</f>
        <v>0</v>
      </c>
      <c r="AF124" s="3" t="str">
        <f>Tab_Data_Flows[[#This Row],[E1_UoM]]</f>
        <v>Mg</v>
      </c>
      <c r="AG124" s="24">
        <f>_xlfn.XLOOKUP(Tab_Data_Flows[[#This Row],[Flow_Name]],Tab_Def_Flows[Flow_Name],Tab_Def_Flows[Flow_E6_Fraction'[%']],"N.A.",0,1)</f>
        <v>0</v>
      </c>
      <c r="AH124" s="3">
        <f>IF(Tab_Data_Flows[[#This Row],[Use_E6]]="Yes",Tab_Data_Flows[[#This Row],[E6_Fraction'[%']]]*Tab_Data_Flows[[#This Row],[E1_value]],"N.A.")</f>
        <v>0</v>
      </c>
      <c r="AI124" s="3" t="str">
        <f>Tab_Data_Flows[[#This Row],[E1_UoM]]</f>
        <v>Mg</v>
      </c>
    </row>
    <row r="125" spans="1:35" x14ac:dyDescent="0.25">
      <c r="A125" s="5">
        <f t="shared" si="3"/>
        <v>124</v>
      </c>
      <c r="B125" s="3" t="str">
        <f>_xlfn.XLOOKUP(C125,Tab_Def_Flows[Flow_Name],Tab_Def_Flows[Flow_ID],,0,)</f>
        <v>F__</v>
      </c>
      <c r="C125" s="23" t="s">
        <v>5</v>
      </c>
      <c r="D125" s="6" t="str">
        <f>_xlfn.XLOOKUP(C125,Tab_Def_Flows[Flow_Name],Tab_Def_Flows[Use_E1],,0,)</f>
        <v>Yes</v>
      </c>
      <c r="E125" s="6" t="str">
        <f>_xlfn.XLOOKUP(C125,Tab_Def_Flows[Flow_Name],Tab_Def_Flows[Use_E2],,0,)</f>
        <v>Yes</v>
      </c>
      <c r="F125" s="6" t="str">
        <f>_xlfn.XLOOKUP(C125,Tab_Def_Flows[Flow_Name],Tab_Def_Flows[Use_E3],,0,)</f>
        <v>Yes</v>
      </c>
      <c r="G125" s="6" t="str">
        <f>_xlfn.XLOOKUP(C125,Tab_Def_Flows[Flow_Name],Tab_Def_Flows[Use_E4],,0,)</f>
        <v>Yes</v>
      </c>
      <c r="H125" s="6" t="str">
        <f>_xlfn.XLOOKUP(C125,Tab_Def_Flows[Flow_Name],Tab_Def_Flows[Use_E5],,0,)</f>
        <v>Yes</v>
      </c>
      <c r="I125" s="6" t="str">
        <f>_xlfn.XLOOKUP(C125,Tab_Def_Flows[Flow_Name],Tab_Def_Flows[Use_E6],,0,)</f>
        <v>Yes</v>
      </c>
      <c r="J125" s="52"/>
      <c r="K125" s="53"/>
      <c r="L125" s="3" t="str">
        <f>'0_Configuration'!$C$41</f>
        <v>Mg</v>
      </c>
      <c r="M125" s="10"/>
      <c r="N125" s="23" t="s">
        <v>3</v>
      </c>
      <c r="O125" s="4"/>
      <c r="P125" s="4"/>
      <c r="Q125" s="10"/>
      <c r="R125" s="3">
        <f>_xlfn.XLOOKUP(Tab_Data_Flows[[#This Row],[Flow_Name]],Tab_Def_Flows[Flow_Name],Tab_Def_Flows[Flow_E1_Fraction'[%']],"N.A.",0,1)</f>
        <v>0</v>
      </c>
      <c r="S125" s="9">
        <f t="shared" si="2"/>
        <v>0</v>
      </c>
      <c r="T125" s="3" t="str">
        <f>Tab_Data_Flows[[#This Row],[UoM_Source]]</f>
        <v>Mg</v>
      </c>
      <c r="U125" s="24">
        <f>_xlfn.XLOOKUP(Tab_Data_Flows[[#This Row],[Flow_Name]],Tab_Def_Flows[Flow_Name],Tab_Def_Flows[Flow_E2_Fraction'[%']],"N.A.",0,1)</f>
        <v>0</v>
      </c>
      <c r="V125" s="3">
        <f>IF(D125="Yes",S125*Tab_Data_Flows[[#This Row],[E2_Fraction'[%']]],"N.A.")</f>
        <v>0</v>
      </c>
      <c r="W125" s="3" t="str">
        <f>Tab_Data_Flows[[#This Row],[E1_UoM]]</f>
        <v>Mg</v>
      </c>
      <c r="X125" s="24">
        <f>_xlfn.XLOOKUP(Tab_Data_Flows[[#This Row],[Flow_Name]],Tab_Def_Flows[Flow_Name],Tab_Def_Flows[Flow_E3_Fraction'[%']],"N.A.",0,1)</f>
        <v>0</v>
      </c>
      <c r="Y125" s="3">
        <f>IF(E125="Yes",X125*Tab_Data_Flows[[#This Row],[E1_value]],"N.A.")</f>
        <v>0</v>
      </c>
      <c r="Z125" s="3" t="str">
        <f>Tab_Data_Flows[[#This Row],[E1_UoM]]</f>
        <v>Mg</v>
      </c>
      <c r="AA125" s="24">
        <f>_xlfn.XLOOKUP(Tab_Data_Flows[[#This Row],[Flow_Name]],Tab_Def_Flows[Flow_Name],Tab_Def_Flows[Flow_E4_Fraction'[%']],"N.A.",0,1)</f>
        <v>0</v>
      </c>
      <c r="AB125" s="3">
        <f>IF(H125="Yes",Tab_Data_Flows[[#This Row],[E4_Fraction'[%']]]*Tab_Data_Flows[[#This Row],[E1_value]],"N.A.")</f>
        <v>0</v>
      </c>
      <c r="AC125" s="3" t="str">
        <f>Tab_Data_Flows[[#This Row],[E1_UoM]]</f>
        <v>Mg</v>
      </c>
      <c r="AD125" s="24">
        <f>_xlfn.XLOOKUP(Tab_Data_Flows[[#This Row],[Flow_Name]],Tab_Def_Flows[Flow_Name],Tab_Def_Flows[Flow_E5_Fraction'[%']],"N.A.",0,1)</f>
        <v>0</v>
      </c>
      <c r="AE125" s="3">
        <f>IF(H125="Yes",Tab_Data_Flows[[#This Row],[E5_Fraction'[%']]]*Tab_Data_Flows[[#This Row],[E1_value]],"N.A.")</f>
        <v>0</v>
      </c>
      <c r="AF125" s="3" t="str">
        <f>Tab_Data_Flows[[#This Row],[E1_UoM]]</f>
        <v>Mg</v>
      </c>
      <c r="AG125" s="24">
        <f>_xlfn.XLOOKUP(Tab_Data_Flows[[#This Row],[Flow_Name]],Tab_Def_Flows[Flow_Name],Tab_Def_Flows[Flow_E6_Fraction'[%']],"N.A.",0,1)</f>
        <v>0</v>
      </c>
      <c r="AH125" s="3">
        <f>IF(Tab_Data_Flows[[#This Row],[Use_E6]]="Yes",Tab_Data_Flows[[#This Row],[E6_Fraction'[%']]]*Tab_Data_Flows[[#This Row],[E1_value]],"N.A.")</f>
        <v>0</v>
      </c>
      <c r="AI125" s="3" t="str">
        <f>Tab_Data_Flows[[#This Row],[E1_UoM]]</f>
        <v>Mg</v>
      </c>
    </row>
    <row r="126" spans="1:35" x14ac:dyDescent="0.25">
      <c r="A126" s="5">
        <f t="shared" si="3"/>
        <v>125</v>
      </c>
      <c r="B126" s="3" t="str">
        <f>_xlfn.XLOOKUP(C126,Tab_Def_Flows[Flow_Name],Tab_Def_Flows[Flow_ID],,0,)</f>
        <v>F__</v>
      </c>
      <c r="C126" s="23" t="s">
        <v>5</v>
      </c>
      <c r="D126" s="6" t="str">
        <f>_xlfn.XLOOKUP(C126,Tab_Def_Flows[Flow_Name],Tab_Def_Flows[Use_E1],,0,)</f>
        <v>Yes</v>
      </c>
      <c r="E126" s="6" t="str">
        <f>_xlfn.XLOOKUP(C126,Tab_Def_Flows[Flow_Name],Tab_Def_Flows[Use_E2],,0,)</f>
        <v>Yes</v>
      </c>
      <c r="F126" s="6" t="str">
        <f>_xlfn.XLOOKUP(C126,Tab_Def_Flows[Flow_Name],Tab_Def_Flows[Use_E3],,0,)</f>
        <v>Yes</v>
      </c>
      <c r="G126" s="6" t="str">
        <f>_xlfn.XLOOKUP(C126,Tab_Def_Flows[Flow_Name],Tab_Def_Flows[Use_E4],,0,)</f>
        <v>Yes</v>
      </c>
      <c r="H126" s="6" t="str">
        <f>_xlfn.XLOOKUP(C126,Tab_Def_Flows[Flow_Name],Tab_Def_Flows[Use_E5],,0,)</f>
        <v>Yes</v>
      </c>
      <c r="I126" s="6" t="str">
        <f>_xlfn.XLOOKUP(C126,Tab_Def_Flows[Flow_Name],Tab_Def_Flows[Use_E6],,0,)</f>
        <v>Yes</v>
      </c>
      <c r="J126" s="52"/>
      <c r="K126" s="53"/>
      <c r="L126" s="3" t="str">
        <f>'0_Configuration'!$C$41</f>
        <v>Mg</v>
      </c>
      <c r="M126" s="10"/>
      <c r="N126" s="23" t="s">
        <v>3</v>
      </c>
      <c r="O126" s="4"/>
      <c r="P126" s="4"/>
      <c r="Q126" s="10"/>
      <c r="R126" s="3">
        <f>_xlfn.XLOOKUP(Tab_Data_Flows[[#This Row],[Flow_Name]],Tab_Def_Flows[Flow_Name],Tab_Def_Flows[Flow_E1_Fraction'[%']],"N.A.",0,1)</f>
        <v>0</v>
      </c>
      <c r="S126" s="9">
        <f t="shared" si="2"/>
        <v>0</v>
      </c>
      <c r="T126" s="3" t="str">
        <f>Tab_Data_Flows[[#This Row],[UoM_Source]]</f>
        <v>Mg</v>
      </c>
      <c r="U126" s="24">
        <f>_xlfn.XLOOKUP(Tab_Data_Flows[[#This Row],[Flow_Name]],Tab_Def_Flows[Flow_Name],Tab_Def_Flows[Flow_E2_Fraction'[%']],"N.A.",0,1)</f>
        <v>0</v>
      </c>
      <c r="V126" s="3">
        <f>IF(D126="Yes",S126*Tab_Data_Flows[[#This Row],[E2_Fraction'[%']]],"N.A.")</f>
        <v>0</v>
      </c>
      <c r="W126" s="3" t="str">
        <f>Tab_Data_Flows[[#This Row],[E1_UoM]]</f>
        <v>Mg</v>
      </c>
      <c r="X126" s="24">
        <f>_xlfn.XLOOKUP(Tab_Data_Flows[[#This Row],[Flow_Name]],Tab_Def_Flows[Flow_Name],Tab_Def_Flows[Flow_E3_Fraction'[%']],"N.A.",0,1)</f>
        <v>0</v>
      </c>
      <c r="Y126" s="3">
        <f>IF(E126="Yes",X126*Tab_Data_Flows[[#This Row],[E1_value]],"N.A.")</f>
        <v>0</v>
      </c>
      <c r="Z126" s="3" t="str">
        <f>Tab_Data_Flows[[#This Row],[E1_UoM]]</f>
        <v>Mg</v>
      </c>
      <c r="AA126" s="24">
        <f>_xlfn.XLOOKUP(Tab_Data_Flows[[#This Row],[Flow_Name]],Tab_Def_Flows[Flow_Name],Tab_Def_Flows[Flow_E4_Fraction'[%']],"N.A.",0,1)</f>
        <v>0</v>
      </c>
      <c r="AB126" s="3">
        <f>IF(H126="Yes",Tab_Data_Flows[[#This Row],[E4_Fraction'[%']]]*Tab_Data_Flows[[#This Row],[E1_value]],"N.A.")</f>
        <v>0</v>
      </c>
      <c r="AC126" s="3" t="str">
        <f>Tab_Data_Flows[[#This Row],[E1_UoM]]</f>
        <v>Mg</v>
      </c>
      <c r="AD126" s="24">
        <f>_xlfn.XLOOKUP(Tab_Data_Flows[[#This Row],[Flow_Name]],Tab_Def_Flows[Flow_Name],Tab_Def_Flows[Flow_E5_Fraction'[%']],"N.A.",0,1)</f>
        <v>0</v>
      </c>
      <c r="AE126" s="3">
        <f>IF(H126="Yes",Tab_Data_Flows[[#This Row],[E5_Fraction'[%']]]*Tab_Data_Flows[[#This Row],[E1_value]],"N.A.")</f>
        <v>0</v>
      </c>
      <c r="AF126" s="3" t="str">
        <f>Tab_Data_Flows[[#This Row],[E1_UoM]]</f>
        <v>Mg</v>
      </c>
      <c r="AG126" s="24">
        <f>_xlfn.XLOOKUP(Tab_Data_Flows[[#This Row],[Flow_Name]],Tab_Def_Flows[Flow_Name],Tab_Def_Flows[Flow_E6_Fraction'[%']],"N.A.",0,1)</f>
        <v>0</v>
      </c>
      <c r="AH126" s="3">
        <f>IF(Tab_Data_Flows[[#This Row],[Use_E6]]="Yes",Tab_Data_Flows[[#This Row],[E6_Fraction'[%']]]*Tab_Data_Flows[[#This Row],[E1_value]],"N.A.")</f>
        <v>0</v>
      </c>
      <c r="AI126" s="3" t="str">
        <f>Tab_Data_Flows[[#This Row],[E1_UoM]]</f>
        <v>Mg</v>
      </c>
    </row>
    <row r="127" spans="1:35" x14ac:dyDescent="0.25">
      <c r="A127" s="5">
        <f t="shared" si="3"/>
        <v>126</v>
      </c>
      <c r="B127" s="3" t="str">
        <f>_xlfn.XLOOKUP(C127,Tab_Def_Flows[Flow_Name],Tab_Def_Flows[Flow_ID],,0,)</f>
        <v>F__</v>
      </c>
      <c r="C127" s="23" t="s">
        <v>5</v>
      </c>
      <c r="D127" s="6" t="str">
        <f>_xlfn.XLOOKUP(C127,Tab_Def_Flows[Flow_Name],Tab_Def_Flows[Use_E1],,0,)</f>
        <v>Yes</v>
      </c>
      <c r="E127" s="6" t="str">
        <f>_xlfn.XLOOKUP(C127,Tab_Def_Flows[Flow_Name],Tab_Def_Flows[Use_E2],,0,)</f>
        <v>Yes</v>
      </c>
      <c r="F127" s="6" t="str">
        <f>_xlfn.XLOOKUP(C127,Tab_Def_Flows[Flow_Name],Tab_Def_Flows[Use_E3],,0,)</f>
        <v>Yes</v>
      </c>
      <c r="G127" s="6" t="str">
        <f>_xlfn.XLOOKUP(C127,Tab_Def_Flows[Flow_Name],Tab_Def_Flows[Use_E4],,0,)</f>
        <v>Yes</v>
      </c>
      <c r="H127" s="6" t="str">
        <f>_xlfn.XLOOKUP(C127,Tab_Def_Flows[Flow_Name],Tab_Def_Flows[Use_E5],,0,)</f>
        <v>Yes</v>
      </c>
      <c r="I127" s="6" t="str">
        <f>_xlfn.XLOOKUP(C127,Tab_Def_Flows[Flow_Name],Tab_Def_Flows[Use_E6],,0,)</f>
        <v>Yes</v>
      </c>
      <c r="J127" s="52"/>
      <c r="K127" s="53"/>
      <c r="L127" s="3" t="str">
        <f>'0_Configuration'!$C$41</f>
        <v>Mg</v>
      </c>
      <c r="M127" s="10"/>
      <c r="N127" s="23" t="s">
        <v>3</v>
      </c>
      <c r="O127" s="4"/>
      <c r="P127" s="4"/>
      <c r="Q127" s="10"/>
      <c r="R127" s="3">
        <f>_xlfn.XLOOKUP(Tab_Data_Flows[[#This Row],[Flow_Name]],Tab_Def_Flows[Flow_Name],Tab_Def_Flows[Flow_E1_Fraction'[%']],"N.A.",0,1)</f>
        <v>0</v>
      </c>
      <c r="S127" s="9">
        <f t="shared" si="2"/>
        <v>0</v>
      </c>
      <c r="T127" s="3" t="str">
        <f>Tab_Data_Flows[[#This Row],[UoM_Source]]</f>
        <v>Mg</v>
      </c>
      <c r="U127" s="24">
        <f>_xlfn.XLOOKUP(Tab_Data_Flows[[#This Row],[Flow_Name]],Tab_Def_Flows[Flow_Name],Tab_Def_Flows[Flow_E2_Fraction'[%']],"N.A.",0,1)</f>
        <v>0</v>
      </c>
      <c r="V127" s="3">
        <f>IF(D127="Yes",S127*Tab_Data_Flows[[#This Row],[E2_Fraction'[%']]],"N.A.")</f>
        <v>0</v>
      </c>
      <c r="W127" s="3" t="str">
        <f>Tab_Data_Flows[[#This Row],[E1_UoM]]</f>
        <v>Mg</v>
      </c>
      <c r="X127" s="24">
        <f>_xlfn.XLOOKUP(Tab_Data_Flows[[#This Row],[Flow_Name]],Tab_Def_Flows[Flow_Name],Tab_Def_Flows[Flow_E3_Fraction'[%']],"N.A.",0,1)</f>
        <v>0</v>
      </c>
      <c r="Y127" s="3">
        <f>IF(E127="Yes",X127*Tab_Data_Flows[[#This Row],[E1_value]],"N.A.")</f>
        <v>0</v>
      </c>
      <c r="Z127" s="3" t="str">
        <f>Tab_Data_Flows[[#This Row],[E1_UoM]]</f>
        <v>Mg</v>
      </c>
      <c r="AA127" s="24">
        <f>_xlfn.XLOOKUP(Tab_Data_Flows[[#This Row],[Flow_Name]],Tab_Def_Flows[Flow_Name],Tab_Def_Flows[Flow_E4_Fraction'[%']],"N.A.",0,1)</f>
        <v>0</v>
      </c>
      <c r="AB127" s="3">
        <f>IF(H127="Yes",Tab_Data_Flows[[#This Row],[E4_Fraction'[%']]]*Tab_Data_Flows[[#This Row],[E1_value]],"N.A.")</f>
        <v>0</v>
      </c>
      <c r="AC127" s="3" t="str">
        <f>Tab_Data_Flows[[#This Row],[E1_UoM]]</f>
        <v>Mg</v>
      </c>
      <c r="AD127" s="24">
        <f>_xlfn.XLOOKUP(Tab_Data_Flows[[#This Row],[Flow_Name]],Tab_Def_Flows[Flow_Name],Tab_Def_Flows[Flow_E5_Fraction'[%']],"N.A.",0,1)</f>
        <v>0</v>
      </c>
      <c r="AE127" s="3">
        <f>IF(H127="Yes",Tab_Data_Flows[[#This Row],[E5_Fraction'[%']]]*Tab_Data_Flows[[#This Row],[E1_value]],"N.A.")</f>
        <v>0</v>
      </c>
      <c r="AF127" s="3" t="str">
        <f>Tab_Data_Flows[[#This Row],[E1_UoM]]</f>
        <v>Mg</v>
      </c>
      <c r="AG127" s="24">
        <f>_xlfn.XLOOKUP(Tab_Data_Flows[[#This Row],[Flow_Name]],Tab_Def_Flows[Flow_Name],Tab_Def_Flows[Flow_E6_Fraction'[%']],"N.A.",0,1)</f>
        <v>0</v>
      </c>
      <c r="AH127" s="3">
        <f>IF(Tab_Data_Flows[[#This Row],[Use_E6]]="Yes",Tab_Data_Flows[[#This Row],[E6_Fraction'[%']]]*Tab_Data_Flows[[#This Row],[E1_value]],"N.A.")</f>
        <v>0</v>
      </c>
      <c r="AI127" s="3" t="str">
        <f>Tab_Data_Flows[[#This Row],[E1_UoM]]</f>
        <v>Mg</v>
      </c>
    </row>
    <row r="128" spans="1:35" x14ac:dyDescent="0.25">
      <c r="A128" s="5">
        <f t="shared" si="3"/>
        <v>127</v>
      </c>
      <c r="B128" s="3" t="str">
        <f>_xlfn.XLOOKUP(C128,Tab_Def_Flows[Flow_Name],Tab_Def_Flows[Flow_ID],,0,)</f>
        <v>F__</v>
      </c>
      <c r="C128" s="23" t="s">
        <v>5</v>
      </c>
      <c r="D128" s="6" t="str">
        <f>_xlfn.XLOOKUP(C128,Tab_Def_Flows[Flow_Name],Tab_Def_Flows[Use_E1],,0,)</f>
        <v>Yes</v>
      </c>
      <c r="E128" s="6" t="str">
        <f>_xlfn.XLOOKUP(C128,Tab_Def_Flows[Flow_Name],Tab_Def_Flows[Use_E2],,0,)</f>
        <v>Yes</v>
      </c>
      <c r="F128" s="6" t="str">
        <f>_xlfn.XLOOKUP(C128,Tab_Def_Flows[Flow_Name],Tab_Def_Flows[Use_E3],,0,)</f>
        <v>Yes</v>
      </c>
      <c r="G128" s="6" t="str">
        <f>_xlfn.XLOOKUP(C128,Tab_Def_Flows[Flow_Name],Tab_Def_Flows[Use_E4],,0,)</f>
        <v>Yes</v>
      </c>
      <c r="H128" s="6" t="str">
        <f>_xlfn.XLOOKUP(C128,Tab_Def_Flows[Flow_Name],Tab_Def_Flows[Use_E5],,0,)</f>
        <v>Yes</v>
      </c>
      <c r="I128" s="6" t="str">
        <f>_xlfn.XLOOKUP(C128,Tab_Def_Flows[Flow_Name],Tab_Def_Flows[Use_E6],,0,)</f>
        <v>Yes</v>
      </c>
      <c r="J128" s="52"/>
      <c r="K128" s="53"/>
      <c r="L128" s="3" t="str">
        <f>'0_Configuration'!$C$41</f>
        <v>Mg</v>
      </c>
      <c r="M128" s="10"/>
      <c r="N128" s="23" t="s">
        <v>3</v>
      </c>
      <c r="O128" s="4"/>
      <c r="P128" s="4"/>
      <c r="Q128" s="10"/>
      <c r="R128" s="3">
        <f>_xlfn.XLOOKUP(Tab_Data_Flows[[#This Row],[Flow_Name]],Tab_Def_Flows[Flow_Name],Tab_Def_Flows[Flow_E1_Fraction'[%']],"N.A.",0,1)</f>
        <v>0</v>
      </c>
      <c r="S128" s="9">
        <f t="shared" si="2"/>
        <v>0</v>
      </c>
      <c r="T128" s="3" t="str">
        <f>Tab_Data_Flows[[#This Row],[UoM_Source]]</f>
        <v>Mg</v>
      </c>
      <c r="U128" s="24">
        <f>_xlfn.XLOOKUP(Tab_Data_Flows[[#This Row],[Flow_Name]],Tab_Def_Flows[Flow_Name],Tab_Def_Flows[Flow_E2_Fraction'[%']],"N.A.",0,1)</f>
        <v>0</v>
      </c>
      <c r="V128" s="3">
        <f>IF(D128="Yes",S128*Tab_Data_Flows[[#This Row],[E2_Fraction'[%']]],"N.A.")</f>
        <v>0</v>
      </c>
      <c r="W128" s="3" t="str">
        <f>Tab_Data_Flows[[#This Row],[E1_UoM]]</f>
        <v>Mg</v>
      </c>
      <c r="X128" s="24">
        <f>_xlfn.XLOOKUP(Tab_Data_Flows[[#This Row],[Flow_Name]],Tab_Def_Flows[Flow_Name],Tab_Def_Flows[Flow_E3_Fraction'[%']],"N.A.",0,1)</f>
        <v>0</v>
      </c>
      <c r="Y128" s="3">
        <f>IF(E128="Yes",X128*Tab_Data_Flows[[#This Row],[E1_value]],"N.A.")</f>
        <v>0</v>
      </c>
      <c r="Z128" s="3" t="str">
        <f>Tab_Data_Flows[[#This Row],[E1_UoM]]</f>
        <v>Mg</v>
      </c>
      <c r="AA128" s="24">
        <f>_xlfn.XLOOKUP(Tab_Data_Flows[[#This Row],[Flow_Name]],Tab_Def_Flows[Flow_Name],Tab_Def_Flows[Flow_E4_Fraction'[%']],"N.A.",0,1)</f>
        <v>0</v>
      </c>
      <c r="AB128" s="3">
        <f>IF(H128="Yes",Tab_Data_Flows[[#This Row],[E4_Fraction'[%']]]*Tab_Data_Flows[[#This Row],[E1_value]],"N.A.")</f>
        <v>0</v>
      </c>
      <c r="AC128" s="3" t="str">
        <f>Tab_Data_Flows[[#This Row],[E1_UoM]]</f>
        <v>Mg</v>
      </c>
      <c r="AD128" s="24">
        <f>_xlfn.XLOOKUP(Tab_Data_Flows[[#This Row],[Flow_Name]],Tab_Def_Flows[Flow_Name],Tab_Def_Flows[Flow_E5_Fraction'[%']],"N.A.",0,1)</f>
        <v>0</v>
      </c>
      <c r="AE128" s="3">
        <f>IF(H128="Yes",Tab_Data_Flows[[#This Row],[E5_Fraction'[%']]]*Tab_Data_Flows[[#This Row],[E1_value]],"N.A.")</f>
        <v>0</v>
      </c>
      <c r="AF128" s="3" t="str">
        <f>Tab_Data_Flows[[#This Row],[E1_UoM]]</f>
        <v>Mg</v>
      </c>
      <c r="AG128" s="24">
        <f>_xlfn.XLOOKUP(Tab_Data_Flows[[#This Row],[Flow_Name]],Tab_Def_Flows[Flow_Name],Tab_Def_Flows[Flow_E6_Fraction'[%']],"N.A.",0,1)</f>
        <v>0</v>
      </c>
      <c r="AH128" s="3">
        <f>IF(Tab_Data_Flows[[#This Row],[Use_E6]]="Yes",Tab_Data_Flows[[#This Row],[E6_Fraction'[%']]]*Tab_Data_Flows[[#This Row],[E1_value]],"N.A.")</f>
        <v>0</v>
      </c>
      <c r="AI128" s="3" t="str">
        <f>Tab_Data_Flows[[#This Row],[E1_UoM]]</f>
        <v>Mg</v>
      </c>
    </row>
    <row r="129" spans="1:35" x14ac:dyDescent="0.25">
      <c r="A129" s="5">
        <f t="shared" si="3"/>
        <v>128</v>
      </c>
      <c r="B129" s="3" t="str">
        <f>_xlfn.XLOOKUP(C129,Tab_Def_Flows[Flow_Name],Tab_Def_Flows[Flow_ID],,0,)</f>
        <v>F__</v>
      </c>
      <c r="C129" s="23" t="s">
        <v>5</v>
      </c>
      <c r="D129" s="6" t="str">
        <f>_xlfn.XLOOKUP(C129,Tab_Def_Flows[Flow_Name],Tab_Def_Flows[Use_E1],,0,)</f>
        <v>Yes</v>
      </c>
      <c r="E129" s="6" t="str">
        <f>_xlfn.XLOOKUP(C129,Tab_Def_Flows[Flow_Name],Tab_Def_Flows[Use_E2],,0,)</f>
        <v>Yes</v>
      </c>
      <c r="F129" s="6" t="str">
        <f>_xlfn.XLOOKUP(C129,Tab_Def_Flows[Flow_Name],Tab_Def_Flows[Use_E3],,0,)</f>
        <v>Yes</v>
      </c>
      <c r="G129" s="6" t="str">
        <f>_xlfn.XLOOKUP(C129,Tab_Def_Flows[Flow_Name],Tab_Def_Flows[Use_E4],,0,)</f>
        <v>Yes</v>
      </c>
      <c r="H129" s="6" t="str">
        <f>_xlfn.XLOOKUP(C129,Tab_Def_Flows[Flow_Name],Tab_Def_Flows[Use_E5],,0,)</f>
        <v>Yes</v>
      </c>
      <c r="I129" s="6" t="str">
        <f>_xlfn.XLOOKUP(C129,Tab_Def_Flows[Flow_Name],Tab_Def_Flows[Use_E6],,0,)</f>
        <v>Yes</v>
      </c>
      <c r="J129" s="52"/>
      <c r="K129" s="53"/>
      <c r="L129" s="3" t="str">
        <f>'0_Configuration'!$C$41</f>
        <v>Mg</v>
      </c>
      <c r="M129" s="10"/>
      <c r="N129" s="23" t="s">
        <v>3</v>
      </c>
      <c r="O129" s="4"/>
      <c r="P129" s="4"/>
      <c r="Q129" s="10"/>
      <c r="R129" s="3">
        <f>_xlfn.XLOOKUP(Tab_Data_Flows[[#This Row],[Flow_Name]],Tab_Def_Flows[Flow_Name],Tab_Def_Flows[Flow_E1_Fraction'[%']],"N.A.",0,1)</f>
        <v>0</v>
      </c>
      <c r="S129" s="9">
        <f t="shared" si="2"/>
        <v>0</v>
      </c>
      <c r="T129" s="3" t="str">
        <f>Tab_Data_Flows[[#This Row],[UoM_Source]]</f>
        <v>Mg</v>
      </c>
      <c r="U129" s="24">
        <f>_xlfn.XLOOKUP(Tab_Data_Flows[[#This Row],[Flow_Name]],Tab_Def_Flows[Flow_Name],Tab_Def_Flows[Flow_E2_Fraction'[%']],"N.A.",0,1)</f>
        <v>0</v>
      </c>
      <c r="V129" s="3">
        <f>IF(D129="Yes",S129*Tab_Data_Flows[[#This Row],[E2_Fraction'[%']]],"N.A.")</f>
        <v>0</v>
      </c>
      <c r="W129" s="3" t="str">
        <f>Tab_Data_Flows[[#This Row],[E1_UoM]]</f>
        <v>Mg</v>
      </c>
      <c r="X129" s="24">
        <f>_xlfn.XLOOKUP(Tab_Data_Flows[[#This Row],[Flow_Name]],Tab_Def_Flows[Flow_Name],Tab_Def_Flows[Flow_E3_Fraction'[%']],"N.A.",0,1)</f>
        <v>0</v>
      </c>
      <c r="Y129" s="3">
        <f>IF(E129="Yes",X129*Tab_Data_Flows[[#This Row],[E1_value]],"N.A.")</f>
        <v>0</v>
      </c>
      <c r="Z129" s="3" t="str">
        <f>Tab_Data_Flows[[#This Row],[E1_UoM]]</f>
        <v>Mg</v>
      </c>
      <c r="AA129" s="24">
        <f>_xlfn.XLOOKUP(Tab_Data_Flows[[#This Row],[Flow_Name]],Tab_Def_Flows[Flow_Name],Tab_Def_Flows[Flow_E4_Fraction'[%']],"N.A.",0,1)</f>
        <v>0</v>
      </c>
      <c r="AB129" s="3">
        <f>IF(H129="Yes",Tab_Data_Flows[[#This Row],[E4_Fraction'[%']]]*Tab_Data_Flows[[#This Row],[E1_value]],"N.A.")</f>
        <v>0</v>
      </c>
      <c r="AC129" s="3" t="str">
        <f>Tab_Data_Flows[[#This Row],[E1_UoM]]</f>
        <v>Mg</v>
      </c>
      <c r="AD129" s="24">
        <f>_xlfn.XLOOKUP(Tab_Data_Flows[[#This Row],[Flow_Name]],Tab_Def_Flows[Flow_Name],Tab_Def_Flows[Flow_E5_Fraction'[%']],"N.A.",0,1)</f>
        <v>0</v>
      </c>
      <c r="AE129" s="3">
        <f>IF(H129="Yes",Tab_Data_Flows[[#This Row],[E5_Fraction'[%']]]*Tab_Data_Flows[[#This Row],[E1_value]],"N.A.")</f>
        <v>0</v>
      </c>
      <c r="AF129" s="3" t="str">
        <f>Tab_Data_Flows[[#This Row],[E1_UoM]]</f>
        <v>Mg</v>
      </c>
      <c r="AG129" s="24">
        <f>_xlfn.XLOOKUP(Tab_Data_Flows[[#This Row],[Flow_Name]],Tab_Def_Flows[Flow_Name],Tab_Def_Flows[Flow_E6_Fraction'[%']],"N.A.",0,1)</f>
        <v>0</v>
      </c>
      <c r="AH129" s="3">
        <f>IF(Tab_Data_Flows[[#This Row],[Use_E6]]="Yes",Tab_Data_Flows[[#This Row],[E6_Fraction'[%']]]*Tab_Data_Flows[[#This Row],[E1_value]],"N.A.")</f>
        <v>0</v>
      </c>
      <c r="AI129" s="3" t="str">
        <f>Tab_Data_Flows[[#This Row],[E1_UoM]]</f>
        <v>Mg</v>
      </c>
    </row>
    <row r="130" spans="1:35" x14ac:dyDescent="0.25">
      <c r="A130" s="5">
        <f t="shared" si="3"/>
        <v>129</v>
      </c>
      <c r="B130" s="3" t="str">
        <f>_xlfn.XLOOKUP(C130,Tab_Def_Flows[Flow_Name],Tab_Def_Flows[Flow_ID],,0,)</f>
        <v>F__</v>
      </c>
      <c r="C130" s="23" t="s">
        <v>5</v>
      </c>
      <c r="D130" s="6" t="str">
        <f>_xlfn.XLOOKUP(C130,Tab_Def_Flows[Flow_Name],Tab_Def_Flows[Use_E1],,0,)</f>
        <v>Yes</v>
      </c>
      <c r="E130" s="6" t="str">
        <f>_xlfn.XLOOKUP(C130,Tab_Def_Flows[Flow_Name],Tab_Def_Flows[Use_E2],,0,)</f>
        <v>Yes</v>
      </c>
      <c r="F130" s="6" t="str">
        <f>_xlfn.XLOOKUP(C130,Tab_Def_Flows[Flow_Name],Tab_Def_Flows[Use_E3],,0,)</f>
        <v>Yes</v>
      </c>
      <c r="G130" s="6" t="str">
        <f>_xlfn.XLOOKUP(C130,Tab_Def_Flows[Flow_Name],Tab_Def_Flows[Use_E4],,0,)</f>
        <v>Yes</v>
      </c>
      <c r="H130" s="6" t="str">
        <f>_xlfn.XLOOKUP(C130,Tab_Def_Flows[Flow_Name],Tab_Def_Flows[Use_E5],,0,)</f>
        <v>Yes</v>
      </c>
      <c r="I130" s="6" t="str">
        <f>_xlfn.XLOOKUP(C130,Tab_Def_Flows[Flow_Name],Tab_Def_Flows[Use_E6],,0,)</f>
        <v>Yes</v>
      </c>
      <c r="J130" s="52"/>
      <c r="K130" s="53"/>
      <c r="L130" s="3" t="str">
        <f>'0_Configuration'!$C$41</f>
        <v>Mg</v>
      </c>
      <c r="M130" s="10"/>
      <c r="N130" s="23" t="s">
        <v>3</v>
      </c>
      <c r="O130" s="4"/>
      <c r="P130" s="4"/>
      <c r="Q130" s="10"/>
      <c r="R130" s="3">
        <f>_xlfn.XLOOKUP(Tab_Data_Flows[[#This Row],[Flow_Name]],Tab_Def_Flows[Flow_Name],Tab_Def_Flows[Flow_E1_Fraction'[%']],"N.A.",0,1)</f>
        <v>0</v>
      </c>
      <c r="S130" s="9">
        <f t="shared" ref="S130:S193" si="4">IF(N130="no",K130,K130*O130)</f>
        <v>0</v>
      </c>
      <c r="T130" s="3" t="str">
        <f>Tab_Data_Flows[[#This Row],[UoM_Source]]</f>
        <v>Mg</v>
      </c>
      <c r="U130" s="24">
        <f>_xlfn.XLOOKUP(Tab_Data_Flows[[#This Row],[Flow_Name]],Tab_Def_Flows[Flow_Name],Tab_Def_Flows[Flow_E2_Fraction'[%']],"N.A.",0,1)</f>
        <v>0</v>
      </c>
      <c r="V130" s="3">
        <f>IF(D130="Yes",S130*Tab_Data_Flows[[#This Row],[E2_Fraction'[%']]],"N.A.")</f>
        <v>0</v>
      </c>
      <c r="W130" s="3" t="str">
        <f>Tab_Data_Flows[[#This Row],[E1_UoM]]</f>
        <v>Mg</v>
      </c>
      <c r="X130" s="24">
        <f>_xlfn.XLOOKUP(Tab_Data_Flows[[#This Row],[Flow_Name]],Tab_Def_Flows[Flow_Name],Tab_Def_Flows[Flow_E3_Fraction'[%']],"N.A.",0,1)</f>
        <v>0</v>
      </c>
      <c r="Y130" s="3">
        <f>IF(E130="Yes",X130*Tab_Data_Flows[[#This Row],[E1_value]],"N.A.")</f>
        <v>0</v>
      </c>
      <c r="Z130" s="3" t="str">
        <f>Tab_Data_Flows[[#This Row],[E1_UoM]]</f>
        <v>Mg</v>
      </c>
      <c r="AA130" s="24">
        <f>_xlfn.XLOOKUP(Tab_Data_Flows[[#This Row],[Flow_Name]],Tab_Def_Flows[Flow_Name],Tab_Def_Flows[Flow_E4_Fraction'[%']],"N.A.",0,1)</f>
        <v>0</v>
      </c>
      <c r="AB130" s="3">
        <f>IF(H130="Yes",Tab_Data_Flows[[#This Row],[E4_Fraction'[%']]]*Tab_Data_Flows[[#This Row],[E1_value]],"N.A.")</f>
        <v>0</v>
      </c>
      <c r="AC130" s="3" t="str">
        <f>Tab_Data_Flows[[#This Row],[E1_UoM]]</f>
        <v>Mg</v>
      </c>
      <c r="AD130" s="24">
        <f>_xlfn.XLOOKUP(Tab_Data_Flows[[#This Row],[Flow_Name]],Tab_Def_Flows[Flow_Name],Tab_Def_Flows[Flow_E5_Fraction'[%']],"N.A.",0,1)</f>
        <v>0</v>
      </c>
      <c r="AE130" s="3">
        <f>IF(H130="Yes",Tab_Data_Flows[[#This Row],[E5_Fraction'[%']]]*Tab_Data_Flows[[#This Row],[E1_value]],"N.A.")</f>
        <v>0</v>
      </c>
      <c r="AF130" s="3" t="str">
        <f>Tab_Data_Flows[[#This Row],[E1_UoM]]</f>
        <v>Mg</v>
      </c>
      <c r="AG130" s="24">
        <f>_xlfn.XLOOKUP(Tab_Data_Flows[[#This Row],[Flow_Name]],Tab_Def_Flows[Flow_Name],Tab_Def_Flows[Flow_E6_Fraction'[%']],"N.A.",0,1)</f>
        <v>0</v>
      </c>
      <c r="AH130" s="3">
        <f>IF(Tab_Data_Flows[[#This Row],[Use_E6]]="Yes",Tab_Data_Flows[[#This Row],[E6_Fraction'[%']]]*Tab_Data_Flows[[#This Row],[E1_value]],"N.A.")</f>
        <v>0</v>
      </c>
      <c r="AI130" s="3" t="str">
        <f>Tab_Data_Flows[[#This Row],[E1_UoM]]</f>
        <v>Mg</v>
      </c>
    </row>
    <row r="131" spans="1:35" x14ac:dyDescent="0.25">
      <c r="A131" s="5">
        <f t="shared" ref="A131:A194" si="5">ROW()-1</f>
        <v>130</v>
      </c>
      <c r="B131" s="3" t="str">
        <f>_xlfn.XLOOKUP(C131,Tab_Def_Flows[Flow_Name],Tab_Def_Flows[Flow_ID],,0,)</f>
        <v>F__</v>
      </c>
      <c r="C131" s="23" t="s">
        <v>5</v>
      </c>
      <c r="D131" s="6" t="str">
        <f>_xlfn.XLOOKUP(C131,Tab_Def_Flows[Flow_Name],Tab_Def_Flows[Use_E1],,0,)</f>
        <v>Yes</v>
      </c>
      <c r="E131" s="6" t="str">
        <f>_xlfn.XLOOKUP(C131,Tab_Def_Flows[Flow_Name],Tab_Def_Flows[Use_E2],,0,)</f>
        <v>Yes</v>
      </c>
      <c r="F131" s="6" t="str">
        <f>_xlfn.XLOOKUP(C131,Tab_Def_Flows[Flow_Name],Tab_Def_Flows[Use_E3],,0,)</f>
        <v>Yes</v>
      </c>
      <c r="G131" s="6" t="str">
        <f>_xlfn.XLOOKUP(C131,Tab_Def_Flows[Flow_Name],Tab_Def_Flows[Use_E4],,0,)</f>
        <v>Yes</v>
      </c>
      <c r="H131" s="6" t="str">
        <f>_xlfn.XLOOKUP(C131,Tab_Def_Flows[Flow_Name],Tab_Def_Flows[Use_E5],,0,)</f>
        <v>Yes</v>
      </c>
      <c r="I131" s="6" t="str">
        <f>_xlfn.XLOOKUP(C131,Tab_Def_Flows[Flow_Name],Tab_Def_Flows[Use_E6],,0,)</f>
        <v>Yes</v>
      </c>
      <c r="J131" s="52"/>
      <c r="K131" s="53"/>
      <c r="L131" s="3" t="str">
        <f>'0_Configuration'!$C$41</f>
        <v>Mg</v>
      </c>
      <c r="M131" s="10"/>
      <c r="N131" s="23" t="s">
        <v>3</v>
      </c>
      <c r="O131" s="4"/>
      <c r="P131" s="4"/>
      <c r="Q131" s="10"/>
      <c r="R131" s="3">
        <f>_xlfn.XLOOKUP(Tab_Data_Flows[[#This Row],[Flow_Name]],Tab_Def_Flows[Flow_Name],Tab_Def_Flows[Flow_E1_Fraction'[%']],"N.A.",0,1)</f>
        <v>0</v>
      </c>
      <c r="S131" s="9">
        <f t="shared" si="4"/>
        <v>0</v>
      </c>
      <c r="T131" s="3" t="str">
        <f>Tab_Data_Flows[[#This Row],[UoM_Source]]</f>
        <v>Mg</v>
      </c>
      <c r="U131" s="24">
        <f>_xlfn.XLOOKUP(Tab_Data_Flows[[#This Row],[Flow_Name]],Tab_Def_Flows[Flow_Name],Tab_Def_Flows[Flow_E2_Fraction'[%']],"N.A.",0,1)</f>
        <v>0</v>
      </c>
      <c r="V131" s="3">
        <f>IF(D131="Yes",S131*Tab_Data_Flows[[#This Row],[E2_Fraction'[%']]],"N.A.")</f>
        <v>0</v>
      </c>
      <c r="W131" s="3" t="str">
        <f>Tab_Data_Flows[[#This Row],[E1_UoM]]</f>
        <v>Mg</v>
      </c>
      <c r="X131" s="24">
        <f>_xlfn.XLOOKUP(Tab_Data_Flows[[#This Row],[Flow_Name]],Tab_Def_Flows[Flow_Name],Tab_Def_Flows[Flow_E3_Fraction'[%']],"N.A.",0,1)</f>
        <v>0</v>
      </c>
      <c r="Y131" s="3">
        <f>IF(E131="Yes",X131*Tab_Data_Flows[[#This Row],[E1_value]],"N.A.")</f>
        <v>0</v>
      </c>
      <c r="Z131" s="3" t="str">
        <f>Tab_Data_Flows[[#This Row],[E1_UoM]]</f>
        <v>Mg</v>
      </c>
      <c r="AA131" s="24">
        <f>_xlfn.XLOOKUP(Tab_Data_Flows[[#This Row],[Flow_Name]],Tab_Def_Flows[Flow_Name],Tab_Def_Flows[Flow_E4_Fraction'[%']],"N.A.",0,1)</f>
        <v>0</v>
      </c>
      <c r="AB131" s="3">
        <f>IF(H131="Yes",Tab_Data_Flows[[#This Row],[E4_Fraction'[%']]]*Tab_Data_Flows[[#This Row],[E1_value]],"N.A.")</f>
        <v>0</v>
      </c>
      <c r="AC131" s="3" t="str">
        <f>Tab_Data_Flows[[#This Row],[E1_UoM]]</f>
        <v>Mg</v>
      </c>
      <c r="AD131" s="24">
        <f>_xlfn.XLOOKUP(Tab_Data_Flows[[#This Row],[Flow_Name]],Tab_Def_Flows[Flow_Name],Tab_Def_Flows[Flow_E5_Fraction'[%']],"N.A.",0,1)</f>
        <v>0</v>
      </c>
      <c r="AE131" s="3">
        <f>IF(H131="Yes",Tab_Data_Flows[[#This Row],[E5_Fraction'[%']]]*Tab_Data_Flows[[#This Row],[E1_value]],"N.A.")</f>
        <v>0</v>
      </c>
      <c r="AF131" s="3" t="str">
        <f>Tab_Data_Flows[[#This Row],[E1_UoM]]</f>
        <v>Mg</v>
      </c>
      <c r="AG131" s="24">
        <f>_xlfn.XLOOKUP(Tab_Data_Flows[[#This Row],[Flow_Name]],Tab_Def_Flows[Flow_Name],Tab_Def_Flows[Flow_E6_Fraction'[%']],"N.A.",0,1)</f>
        <v>0</v>
      </c>
      <c r="AH131" s="3">
        <f>IF(Tab_Data_Flows[[#This Row],[Use_E6]]="Yes",Tab_Data_Flows[[#This Row],[E6_Fraction'[%']]]*Tab_Data_Flows[[#This Row],[E1_value]],"N.A.")</f>
        <v>0</v>
      </c>
      <c r="AI131" s="3" t="str">
        <f>Tab_Data_Flows[[#This Row],[E1_UoM]]</f>
        <v>Mg</v>
      </c>
    </row>
    <row r="132" spans="1:35" x14ac:dyDescent="0.25">
      <c r="A132" s="5">
        <f t="shared" si="5"/>
        <v>131</v>
      </c>
      <c r="B132" s="3" t="str">
        <f>_xlfn.XLOOKUP(C132,Tab_Def_Flows[Flow_Name],Tab_Def_Flows[Flow_ID],,0,)</f>
        <v>F__</v>
      </c>
      <c r="C132" s="23" t="s">
        <v>5</v>
      </c>
      <c r="D132" s="6" t="str">
        <f>_xlfn.XLOOKUP(C132,Tab_Def_Flows[Flow_Name],Tab_Def_Flows[Use_E1],,0,)</f>
        <v>Yes</v>
      </c>
      <c r="E132" s="6" t="str">
        <f>_xlfn.XLOOKUP(C132,Tab_Def_Flows[Flow_Name],Tab_Def_Flows[Use_E2],,0,)</f>
        <v>Yes</v>
      </c>
      <c r="F132" s="6" t="str">
        <f>_xlfn.XLOOKUP(C132,Tab_Def_Flows[Flow_Name],Tab_Def_Flows[Use_E3],,0,)</f>
        <v>Yes</v>
      </c>
      <c r="G132" s="6" t="str">
        <f>_xlfn.XLOOKUP(C132,Tab_Def_Flows[Flow_Name],Tab_Def_Flows[Use_E4],,0,)</f>
        <v>Yes</v>
      </c>
      <c r="H132" s="6" t="str">
        <f>_xlfn.XLOOKUP(C132,Tab_Def_Flows[Flow_Name],Tab_Def_Flows[Use_E5],,0,)</f>
        <v>Yes</v>
      </c>
      <c r="I132" s="6" t="str">
        <f>_xlfn.XLOOKUP(C132,Tab_Def_Flows[Flow_Name],Tab_Def_Flows[Use_E6],,0,)</f>
        <v>Yes</v>
      </c>
      <c r="J132" s="52"/>
      <c r="K132" s="53"/>
      <c r="L132" s="3" t="str">
        <f>'0_Configuration'!$C$41</f>
        <v>Mg</v>
      </c>
      <c r="M132" s="10"/>
      <c r="N132" s="23" t="s">
        <v>3</v>
      </c>
      <c r="O132" s="4"/>
      <c r="P132" s="4"/>
      <c r="Q132" s="10"/>
      <c r="R132" s="3">
        <f>_xlfn.XLOOKUP(Tab_Data_Flows[[#This Row],[Flow_Name]],Tab_Def_Flows[Flow_Name],Tab_Def_Flows[Flow_E1_Fraction'[%']],"N.A.",0,1)</f>
        <v>0</v>
      </c>
      <c r="S132" s="9">
        <f t="shared" si="4"/>
        <v>0</v>
      </c>
      <c r="T132" s="3" t="str">
        <f>Tab_Data_Flows[[#This Row],[UoM_Source]]</f>
        <v>Mg</v>
      </c>
      <c r="U132" s="24">
        <f>_xlfn.XLOOKUP(Tab_Data_Flows[[#This Row],[Flow_Name]],Tab_Def_Flows[Flow_Name],Tab_Def_Flows[Flow_E2_Fraction'[%']],"N.A.",0,1)</f>
        <v>0</v>
      </c>
      <c r="V132" s="3">
        <f>IF(D132="Yes",S132*Tab_Data_Flows[[#This Row],[E2_Fraction'[%']]],"N.A.")</f>
        <v>0</v>
      </c>
      <c r="W132" s="3" t="str">
        <f>Tab_Data_Flows[[#This Row],[E1_UoM]]</f>
        <v>Mg</v>
      </c>
      <c r="X132" s="24">
        <f>_xlfn.XLOOKUP(Tab_Data_Flows[[#This Row],[Flow_Name]],Tab_Def_Flows[Flow_Name],Tab_Def_Flows[Flow_E3_Fraction'[%']],"N.A.",0,1)</f>
        <v>0</v>
      </c>
      <c r="Y132" s="3">
        <f>IF(E132="Yes",X132*Tab_Data_Flows[[#This Row],[E1_value]],"N.A.")</f>
        <v>0</v>
      </c>
      <c r="Z132" s="3" t="str">
        <f>Tab_Data_Flows[[#This Row],[E1_UoM]]</f>
        <v>Mg</v>
      </c>
      <c r="AA132" s="24">
        <f>_xlfn.XLOOKUP(Tab_Data_Flows[[#This Row],[Flow_Name]],Tab_Def_Flows[Flow_Name],Tab_Def_Flows[Flow_E4_Fraction'[%']],"N.A.",0,1)</f>
        <v>0</v>
      </c>
      <c r="AB132" s="3">
        <f>IF(H132="Yes",Tab_Data_Flows[[#This Row],[E4_Fraction'[%']]]*Tab_Data_Flows[[#This Row],[E1_value]],"N.A.")</f>
        <v>0</v>
      </c>
      <c r="AC132" s="3" t="str">
        <f>Tab_Data_Flows[[#This Row],[E1_UoM]]</f>
        <v>Mg</v>
      </c>
      <c r="AD132" s="24">
        <f>_xlfn.XLOOKUP(Tab_Data_Flows[[#This Row],[Flow_Name]],Tab_Def_Flows[Flow_Name],Tab_Def_Flows[Flow_E5_Fraction'[%']],"N.A.",0,1)</f>
        <v>0</v>
      </c>
      <c r="AE132" s="3">
        <f>IF(H132="Yes",Tab_Data_Flows[[#This Row],[E5_Fraction'[%']]]*Tab_Data_Flows[[#This Row],[E1_value]],"N.A.")</f>
        <v>0</v>
      </c>
      <c r="AF132" s="3" t="str">
        <f>Tab_Data_Flows[[#This Row],[E1_UoM]]</f>
        <v>Mg</v>
      </c>
      <c r="AG132" s="24">
        <f>_xlfn.XLOOKUP(Tab_Data_Flows[[#This Row],[Flow_Name]],Tab_Def_Flows[Flow_Name],Tab_Def_Flows[Flow_E6_Fraction'[%']],"N.A.",0,1)</f>
        <v>0</v>
      </c>
      <c r="AH132" s="3">
        <f>IF(Tab_Data_Flows[[#This Row],[Use_E6]]="Yes",Tab_Data_Flows[[#This Row],[E6_Fraction'[%']]]*Tab_Data_Flows[[#This Row],[E1_value]],"N.A.")</f>
        <v>0</v>
      </c>
      <c r="AI132" s="3" t="str">
        <f>Tab_Data_Flows[[#This Row],[E1_UoM]]</f>
        <v>Mg</v>
      </c>
    </row>
    <row r="133" spans="1:35" x14ac:dyDescent="0.25">
      <c r="A133" s="5">
        <f t="shared" si="5"/>
        <v>132</v>
      </c>
      <c r="B133" s="3" t="str">
        <f>_xlfn.XLOOKUP(C133,Tab_Def_Flows[Flow_Name],Tab_Def_Flows[Flow_ID],,0,)</f>
        <v>F__</v>
      </c>
      <c r="C133" s="23" t="s">
        <v>5</v>
      </c>
      <c r="D133" s="6" t="str">
        <f>_xlfn.XLOOKUP(C133,Tab_Def_Flows[Flow_Name],Tab_Def_Flows[Use_E1],,0,)</f>
        <v>Yes</v>
      </c>
      <c r="E133" s="6" t="str">
        <f>_xlfn.XLOOKUP(C133,Tab_Def_Flows[Flow_Name],Tab_Def_Flows[Use_E2],,0,)</f>
        <v>Yes</v>
      </c>
      <c r="F133" s="6" t="str">
        <f>_xlfn.XLOOKUP(C133,Tab_Def_Flows[Flow_Name],Tab_Def_Flows[Use_E3],,0,)</f>
        <v>Yes</v>
      </c>
      <c r="G133" s="6" t="str">
        <f>_xlfn.XLOOKUP(C133,Tab_Def_Flows[Flow_Name],Tab_Def_Flows[Use_E4],,0,)</f>
        <v>Yes</v>
      </c>
      <c r="H133" s="6" t="str">
        <f>_xlfn.XLOOKUP(C133,Tab_Def_Flows[Flow_Name],Tab_Def_Flows[Use_E5],,0,)</f>
        <v>Yes</v>
      </c>
      <c r="I133" s="6" t="str">
        <f>_xlfn.XLOOKUP(C133,Tab_Def_Flows[Flow_Name],Tab_Def_Flows[Use_E6],,0,)</f>
        <v>Yes</v>
      </c>
      <c r="J133" s="52"/>
      <c r="K133" s="53"/>
      <c r="L133" s="3" t="str">
        <f>'0_Configuration'!$C$41</f>
        <v>Mg</v>
      </c>
      <c r="M133" s="10"/>
      <c r="N133" s="23" t="s">
        <v>3</v>
      </c>
      <c r="O133" s="4"/>
      <c r="P133" s="4"/>
      <c r="Q133" s="10"/>
      <c r="R133" s="3">
        <f>_xlfn.XLOOKUP(Tab_Data_Flows[[#This Row],[Flow_Name]],Tab_Def_Flows[Flow_Name],Tab_Def_Flows[Flow_E1_Fraction'[%']],"N.A.",0,1)</f>
        <v>0</v>
      </c>
      <c r="S133" s="9">
        <f t="shared" si="4"/>
        <v>0</v>
      </c>
      <c r="T133" s="3" t="str">
        <f>Tab_Data_Flows[[#This Row],[UoM_Source]]</f>
        <v>Mg</v>
      </c>
      <c r="U133" s="24">
        <f>_xlfn.XLOOKUP(Tab_Data_Flows[[#This Row],[Flow_Name]],Tab_Def_Flows[Flow_Name],Tab_Def_Flows[Flow_E2_Fraction'[%']],"N.A.",0,1)</f>
        <v>0</v>
      </c>
      <c r="V133" s="3">
        <f>IF(D133="Yes",S133*Tab_Data_Flows[[#This Row],[E2_Fraction'[%']]],"N.A.")</f>
        <v>0</v>
      </c>
      <c r="W133" s="3" t="str">
        <f>Tab_Data_Flows[[#This Row],[E1_UoM]]</f>
        <v>Mg</v>
      </c>
      <c r="X133" s="24">
        <f>_xlfn.XLOOKUP(Tab_Data_Flows[[#This Row],[Flow_Name]],Tab_Def_Flows[Flow_Name],Tab_Def_Flows[Flow_E3_Fraction'[%']],"N.A.",0,1)</f>
        <v>0</v>
      </c>
      <c r="Y133" s="3">
        <f>IF(E133="Yes",X133*Tab_Data_Flows[[#This Row],[E1_value]],"N.A.")</f>
        <v>0</v>
      </c>
      <c r="Z133" s="3" t="str">
        <f>Tab_Data_Flows[[#This Row],[E1_UoM]]</f>
        <v>Mg</v>
      </c>
      <c r="AA133" s="24">
        <f>_xlfn.XLOOKUP(Tab_Data_Flows[[#This Row],[Flow_Name]],Tab_Def_Flows[Flow_Name],Tab_Def_Flows[Flow_E4_Fraction'[%']],"N.A.",0,1)</f>
        <v>0</v>
      </c>
      <c r="AB133" s="3">
        <f>IF(H133="Yes",Tab_Data_Flows[[#This Row],[E4_Fraction'[%']]]*Tab_Data_Flows[[#This Row],[E1_value]],"N.A.")</f>
        <v>0</v>
      </c>
      <c r="AC133" s="3" t="str">
        <f>Tab_Data_Flows[[#This Row],[E1_UoM]]</f>
        <v>Mg</v>
      </c>
      <c r="AD133" s="24">
        <f>_xlfn.XLOOKUP(Tab_Data_Flows[[#This Row],[Flow_Name]],Tab_Def_Flows[Flow_Name],Tab_Def_Flows[Flow_E5_Fraction'[%']],"N.A.",0,1)</f>
        <v>0</v>
      </c>
      <c r="AE133" s="3">
        <f>IF(H133="Yes",Tab_Data_Flows[[#This Row],[E5_Fraction'[%']]]*Tab_Data_Flows[[#This Row],[E1_value]],"N.A.")</f>
        <v>0</v>
      </c>
      <c r="AF133" s="3" t="str">
        <f>Tab_Data_Flows[[#This Row],[E1_UoM]]</f>
        <v>Mg</v>
      </c>
      <c r="AG133" s="24">
        <f>_xlfn.XLOOKUP(Tab_Data_Flows[[#This Row],[Flow_Name]],Tab_Def_Flows[Flow_Name],Tab_Def_Flows[Flow_E6_Fraction'[%']],"N.A.",0,1)</f>
        <v>0</v>
      </c>
      <c r="AH133" s="3">
        <f>IF(Tab_Data_Flows[[#This Row],[Use_E6]]="Yes",Tab_Data_Flows[[#This Row],[E6_Fraction'[%']]]*Tab_Data_Flows[[#This Row],[E1_value]],"N.A.")</f>
        <v>0</v>
      </c>
      <c r="AI133" s="3" t="str">
        <f>Tab_Data_Flows[[#This Row],[E1_UoM]]</f>
        <v>Mg</v>
      </c>
    </row>
    <row r="134" spans="1:35" x14ac:dyDescent="0.25">
      <c r="A134" s="5">
        <f t="shared" si="5"/>
        <v>133</v>
      </c>
      <c r="B134" s="3" t="str">
        <f>_xlfn.XLOOKUP(C134,Tab_Def_Flows[Flow_Name],Tab_Def_Flows[Flow_ID],,0,)</f>
        <v>F__</v>
      </c>
      <c r="C134" s="23" t="s">
        <v>5</v>
      </c>
      <c r="D134" s="6" t="str">
        <f>_xlfn.XLOOKUP(C134,Tab_Def_Flows[Flow_Name],Tab_Def_Flows[Use_E1],,0,)</f>
        <v>Yes</v>
      </c>
      <c r="E134" s="6" t="str">
        <f>_xlfn.XLOOKUP(C134,Tab_Def_Flows[Flow_Name],Tab_Def_Flows[Use_E2],,0,)</f>
        <v>Yes</v>
      </c>
      <c r="F134" s="6" t="str">
        <f>_xlfn.XLOOKUP(C134,Tab_Def_Flows[Flow_Name],Tab_Def_Flows[Use_E3],,0,)</f>
        <v>Yes</v>
      </c>
      <c r="G134" s="6" t="str">
        <f>_xlfn.XLOOKUP(C134,Tab_Def_Flows[Flow_Name],Tab_Def_Flows[Use_E4],,0,)</f>
        <v>Yes</v>
      </c>
      <c r="H134" s="6" t="str">
        <f>_xlfn.XLOOKUP(C134,Tab_Def_Flows[Flow_Name],Tab_Def_Flows[Use_E5],,0,)</f>
        <v>Yes</v>
      </c>
      <c r="I134" s="6" t="str">
        <f>_xlfn.XLOOKUP(C134,Tab_Def_Flows[Flow_Name],Tab_Def_Flows[Use_E6],,0,)</f>
        <v>Yes</v>
      </c>
      <c r="J134" s="52"/>
      <c r="K134" s="53"/>
      <c r="L134" s="3" t="str">
        <f>'0_Configuration'!$C$41</f>
        <v>Mg</v>
      </c>
      <c r="M134" s="10"/>
      <c r="N134" s="23" t="s">
        <v>3</v>
      </c>
      <c r="O134" s="4"/>
      <c r="P134" s="4"/>
      <c r="Q134" s="10"/>
      <c r="R134" s="3">
        <f>_xlfn.XLOOKUP(Tab_Data_Flows[[#This Row],[Flow_Name]],Tab_Def_Flows[Flow_Name],Tab_Def_Flows[Flow_E1_Fraction'[%']],"N.A.",0,1)</f>
        <v>0</v>
      </c>
      <c r="S134" s="9">
        <f t="shared" si="4"/>
        <v>0</v>
      </c>
      <c r="T134" s="3" t="str">
        <f>Tab_Data_Flows[[#This Row],[UoM_Source]]</f>
        <v>Mg</v>
      </c>
      <c r="U134" s="24">
        <f>_xlfn.XLOOKUP(Tab_Data_Flows[[#This Row],[Flow_Name]],Tab_Def_Flows[Flow_Name],Tab_Def_Flows[Flow_E2_Fraction'[%']],"N.A.",0,1)</f>
        <v>0</v>
      </c>
      <c r="V134" s="3">
        <f>IF(D134="Yes",S134*Tab_Data_Flows[[#This Row],[E2_Fraction'[%']]],"N.A.")</f>
        <v>0</v>
      </c>
      <c r="W134" s="3" t="str">
        <f>Tab_Data_Flows[[#This Row],[E1_UoM]]</f>
        <v>Mg</v>
      </c>
      <c r="X134" s="24">
        <f>_xlfn.XLOOKUP(Tab_Data_Flows[[#This Row],[Flow_Name]],Tab_Def_Flows[Flow_Name],Tab_Def_Flows[Flow_E3_Fraction'[%']],"N.A.",0,1)</f>
        <v>0</v>
      </c>
      <c r="Y134" s="3">
        <f>IF(E134="Yes",X134*Tab_Data_Flows[[#This Row],[E1_value]],"N.A.")</f>
        <v>0</v>
      </c>
      <c r="Z134" s="3" t="str">
        <f>Tab_Data_Flows[[#This Row],[E1_UoM]]</f>
        <v>Mg</v>
      </c>
      <c r="AA134" s="24">
        <f>_xlfn.XLOOKUP(Tab_Data_Flows[[#This Row],[Flow_Name]],Tab_Def_Flows[Flow_Name],Tab_Def_Flows[Flow_E4_Fraction'[%']],"N.A.",0,1)</f>
        <v>0</v>
      </c>
      <c r="AB134" s="3">
        <f>IF(H134="Yes",Tab_Data_Flows[[#This Row],[E4_Fraction'[%']]]*Tab_Data_Flows[[#This Row],[E1_value]],"N.A.")</f>
        <v>0</v>
      </c>
      <c r="AC134" s="3" t="str">
        <f>Tab_Data_Flows[[#This Row],[E1_UoM]]</f>
        <v>Mg</v>
      </c>
      <c r="AD134" s="24">
        <f>_xlfn.XLOOKUP(Tab_Data_Flows[[#This Row],[Flow_Name]],Tab_Def_Flows[Flow_Name],Tab_Def_Flows[Flow_E5_Fraction'[%']],"N.A.",0,1)</f>
        <v>0</v>
      </c>
      <c r="AE134" s="3">
        <f>IF(H134="Yes",Tab_Data_Flows[[#This Row],[E5_Fraction'[%']]]*Tab_Data_Flows[[#This Row],[E1_value]],"N.A.")</f>
        <v>0</v>
      </c>
      <c r="AF134" s="3" t="str">
        <f>Tab_Data_Flows[[#This Row],[E1_UoM]]</f>
        <v>Mg</v>
      </c>
      <c r="AG134" s="24">
        <f>_xlfn.XLOOKUP(Tab_Data_Flows[[#This Row],[Flow_Name]],Tab_Def_Flows[Flow_Name],Tab_Def_Flows[Flow_E6_Fraction'[%']],"N.A.",0,1)</f>
        <v>0</v>
      </c>
      <c r="AH134" s="3">
        <f>IF(Tab_Data_Flows[[#This Row],[Use_E6]]="Yes",Tab_Data_Flows[[#This Row],[E6_Fraction'[%']]]*Tab_Data_Flows[[#This Row],[E1_value]],"N.A.")</f>
        <v>0</v>
      </c>
      <c r="AI134" s="3" t="str">
        <f>Tab_Data_Flows[[#This Row],[E1_UoM]]</f>
        <v>Mg</v>
      </c>
    </row>
    <row r="135" spans="1:35" x14ac:dyDescent="0.25">
      <c r="A135" s="5">
        <f t="shared" si="5"/>
        <v>134</v>
      </c>
      <c r="B135" s="3" t="str">
        <f>_xlfn.XLOOKUP(C135,Tab_Def_Flows[Flow_Name],Tab_Def_Flows[Flow_ID],,0,)</f>
        <v>F__</v>
      </c>
      <c r="C135" s="23" t="s">
        <v>5</v>
      </c>
      <c r="D135" s="6" t="str">
        <f>_xlfn.XLOOKUP(C135,Tab_Def_Flows[Flow_Name],Tab_Def_Flows[Use_E1],,0,)</f>
        <v>Yes</v>
      </c>
      <c r="E135" s="6" t="str">
        <f>_xlfn.XLOOKUP(C135,Tab_Def_Flows[Flow_Name],Tab_Def_Flows[Use_E2],,0,)</f>
        <v>Yes</v>
      </c>
      <c r="F135" s="6" t="str">
        <f>_xlfn.XLOOKUP(C135,Tab_Def_Flows[Flow_Name],Tab_Def_Flows[Use_E3],,0,)</f>
        <v>Yes</v>
      </c>
      <c r="G135" s="6" t="str">
        <f>_xlfn.XLOOKUP(C135,Tab_Def_Flows[Flow_Name],Tab_Def_Flows[Use_E4],,0,)</f>
        <v>Yes</v>
      </c>
      <c r="H135" s="6" t="str">
        <f>_xlfn.XLOOKUP(C135,Tab_Def_Flows[Flow_Name],Tab_Def_Flows[Use_E5],,0,)</f>
        <v>Yes</v>
      </c>
      <c r="I135" s="6" t="str">
        <f>_xlfn.XLOOKUP(C135,Tab_Def_Flows[Flow_Name],Tab_Def_Flows[Use_E6],,0,)</f>
        <v>Yes</v>
      </c>
      <c r="J135" s="52"/>
      <c r="K135" s="53"/>
      <c r="L135" s="3" t="str">
        <f>'0_Configuration'!$C$41</f>
        <v>Mg</v>
      </c>
      <c r="M135" s="10"/>
      <c r="N135" s="23" t="s">
        <v>3</v>
      </c>
      <c r="O135" s="4"/>
      <c r="P135" s="4"/>
      <c r="Q135" s="10"/>
      <c r="R135" s="3">
        <f>_xlfn.XLOOKUP(Tab_Data_Flows[[#This Row],[Flow_Name]],Tab_Def_Flows[Flow_Name],Tab_Def_Flows[Flow_E1_Fraction'[%']],"N.A.",0,1)</f>
        <v>0</v>
      </c>
      <c r="S135" s="9">
        <f t="shared" si="4"/>
        <v>0</v>
      </c>
      <c r="T135" s="3" t="str">
        <f>Tab_Data_Flows[[#This Row],[UoM_Source]]</f>
        <v>Mg</v>
      </c>
      <c r="U135" s="24">
        <f>_xlfn.XLOOKUP(Tab_Data_Flows[[#This Row],[Flow_Name]],Tab_Def_Flows[Flow_Name],Tab_Def_Flows[Flow_E2_Fraction'[%']],"N.A.",0,1)</f>
        <v>0</v>
      </c>
      <c r="V135" s="3">
        <f>IF(D135="Yes",S135*Tab_Data_Flows[[#This Row],[E2_Fraction'[%']]],"N.A.")</f>
        <v>0</v>
      </c>
      <c r="W135" s="3" t="str">
        <f>Tab_Data_Flows[[#This Row],[E1_UoM]]</f>
        <v>Mg</v>
      </c>
      <c r="X135" s="24">
        <f>_xlfn.XLOOKUP(Tab_Data_Flows[[#This Row],[Flow_Name]],Tab_Def_Flows[Flow_Name],Tab_Def_Flows[Flow_E3_Fraction'[%']],"N.A.",0,1)</f>
        <v>0</v>
      </c>
      <c r="Y135" s="3">
        <f>IF(E135="Yes",X135*Tab_Data_Flows[[#This Row],[E1_value]],"N.A.")</f>
        <v>0</v>
      </c>
      <c r="Z135" s="3" t="str">
        <f>Tab_Data_Flows[[#This Row],[E1_UoM]]</f>
        <v>Mg</v>
      </c>
      <c r="AA135" s="24">
        <f>_xlfn.XLOOKUP(Tab_Data_Flows[[#This Row],[Flow_Name]],Tab_Def_Flows[Flow_Name],Tab_Def_Flows[Flow_E4_Fraction'[%']],"N.A.",0,1)</f>
        <v>0</v>
      </c>
      <c r="AB135" s="3">
        <f>IF(H135="Yes",Tab_Data_Flows[[#This Row],[E4_Fraction'[%']]]*Tab_Data_Flows[[#This Row],[E1_value]],"N.A.")</f>
        <v>0</v>
      </c>
      <c r="AC135" s="3" t="str">
        <f>Tab_Data_Flows[[#This Row],[E1_UoM]]</f>
        <v>Mg</v>
      </c>
      <c r="AD135" s="24">
        <f>_xlfn.XLOOKUP(Tab_Data_Flows[[#This Row],[Flow_Name]],Tab_Def_Flows[Flow_Name],Tab_Def_Flows[Flow_E5_Fraction'[%']],"N.A.",0,1)</f>
        <v>0</v>
      </c>
      <c r="AE135" s="3">
        <f>IF(H135="Yes",Tab_Data_Flows[[#This Row],[E5_Fraction'[%']]]*Tab_Data_Flows[[#This Row],[E1_value]],"N.A.")</f>
        <v>0</v>
      </c>
      <c r="AF135" s="3" t="str">
        <f>Tab_Data_Flows[[#This Row],[E1_UoM]]</f>
        <v>Mg</v>
      </c>
      <c r="AG135" s="24">
        <f>_xlfn.XLOOKUP(Tab_Data_Flows[[#This Row],[Flow_Name]],Tab_Def_Flows[Flow_Name],Tab_Def_Flows[Flow_E6_Fraction'[%']],"N.A.",0,1)</f>
        <v>0</v>
      </c>
      <c r="AH135" s="3">
        <f>IF(Tab_Data_Flows[[#This Row],[Use_E6]]="Yes",Tab_Data_Flows[[#This Row],[E6_Fraction'[%']]]*Tab_Data_Flows[[#This Row],[E1_value]],"N.A.")</f>
        <v>0</v>
      </c>
      <c r="AI135" s="3" t="str">
        <f>Tab_Data_Flows[[#This Row],[E1_UoM]]</f>
        <v>Mg</v>
      </c>
    </row>
    <row r="136" spans="1:35" x14ac:dyDescent="0.25">
      <c r="A136" s="5">
        <f t="shared" si="5"/>
        <v>135</v>
      </c>
      <c r="B136" s="3" t="str">
        <f>_xlfn.XLOOKUP(C136,Tab_Def_Flows[Flow_Name],Tab_Def_Flows[Flow_ID],,0,)</f>
        <v>F__</v>
      </c>
      <c r="C136" s="23" t="s">
        <v>5</v>
      </c>
      <c r="D136" s="6" t="str">
        <f>_xlfn.XLOOKUP(C136,Tab_Def_Flows[Flow_Name],Tab_Def_Flows[Use_E1],,0,)</f>
        <v>Yes</v>
      </c>
      <c r="E136" s="6" t="str">
        <f>_xlfn.XLOOKUP(C136,Tab_Def_Flows[Flow_Name],Tab_Def_Flows[Use_E2],,0,)</f>
        <v>Yes</v>
      </c>
      <c r="F136" s="6" t="str">
        <f>_xlfn.XLOOKUP(C136,Tab_Def_Flows[Flow_Name],Tab_Def_Flows[Use_E3],,0,)</f>
        <v>Yes</v>
      </c>
      <c r="G136" s="6" t="str">
        <f>_xlfn.XLOOKUP(C136,Tab_Def_Flows[Flow_Name],Tab_Def_Flows[Use_E4],,0,)</f>
        <v>Yes</v>
      </c>
      <c r="H136" s="6" t="str">
        <f>_xlfn.XLOOKUP(C136,Tab_Def_Flows[Flow_Name],Tab_Def_Flows[Use_E5],,0,)</f>
        <v>Yes</v>
      </c>
      <c r="I136" s="6" t="str">
        <f>_xlfn.XLOOKUP(C136,Tab_Def_Flows[Flow_Name],Tab_Def_Flows[Use_E6],,0,)</f>
        <v>Yes</v>
      </c>
      <c r="J136" s="52"/>
      <c r="K136" s="53"/>
      <c r="L136" s="3" t="str">
        <f>'0_Configuration'!$C$41</f>
        <v>Mg</v>
      </c>
      <c r="M136" s="10"/>
      <c r="N136" s="23" t="s">
        <v>3</v>
      </c>
      <c r="O136" s="4"/>
      <c r="P136" s="4"/>
      <c r="Q136" s="10"/>
      <c r="R136" s="3">
        <f>_xlfn.XLOOKUP(Tab_Data_Flows[[#This Row],[Flow_Name]],Tab_Def_Flows[Flow_Name],Tab_Def_Flows[Flow_E1_Fraction'[%']],"N.A.",0,1)</f>
        <v>0</v>
      </c>
      <c r="S136" s="9">
        <f t="shared" si="4"/>
        <v>0</v>
      </c>
      <c r="T136" s="3" t="str">
        <f>Tab_Data_Flows[[#This Row],[UoM_Source]]</f>
        <v>Mg</v>
      </c>
      <c r="U136" s="24">
        <f>_xlfn.XLOOKUP(Tab_Data_Flows[[#This Row],[Flow_Name]],Tab_Def_Flows[Flow_Name],Tab_Def_Flows[Flow_E2_Fraction'[%']],"N.A.",0,1)</f>
        <v>0</v>
      </c>
      <c r="V136" s="3">
        <f>IF(D136="Yes",S136*Tab_Data_Flows[[#This Row],[E2_Fraction'[%']]],"N.A.")</f>
        <v>0</v>
      </c>
      <c r="W136" s="3" t="str">
        <f>Tab_Data_Flows[[#This Row],[E1_UoM]]</f>
        <v>Mg</v>
      </c>
      <c r="X136" s="24">
        <f>_xlfn.XLOOKUP(Tab_Data_Flows[[#This Row],[Flow_Name]],Tab_Def_Flows[Flow_Name],Tab_Def_Flows[Flow_E3_Fraction'[%']],"N.A.",0,1)</f>
        <v>0</v>
      </c>
      <c r="Y136" s="3">
        <f>IF(E136="Yes",X136*Tab_Data_Flows[[#This Row],[E1_value]],"N.A.")</f>
        <v>0</v>
      </c>
      <c r="Z136" s="3" t="str">
        <f>Tab_Data_Flows[[#This Row],[E1_UoM]]</f>
        <v>Mg</v>
      </c>
      <c r="AA136" s="24">
        <f>_xlfn.XLOOKUP(Tab_Data_Flows[[#This Row],[Flow_Name]],Tab_Def_Flows[Flow_Name],Tab_Def_Flows[Flow_E4_Fraction'[%']],"N.A.",0,1)</f>
        <v>0</v>
      </c>
      <c r="AB136" s="3">
        <f>IF(H136="Yes",Tab_Data_Flows[[#This Row],[E4_Fraction'[%']]]*Tab_Data_Flows[[#This Row],[E1_value]],"N.A.")</f>
        <v>0</v>
      </c>
      <c r="AC136" s="3" t="str">
        <f>Tab_Data_Flows[[#This Row],[E1_UoM]]</f>
        <v>Mg</v>
      </c>
      <c r="AD136" s="24">
        <f>_xlfn.XLOOKUP(Tab_Data_Flows[[#This Row],[Flow_Name]],Tab_Def_Flows[Flow_Name],Tab_Def_Flows[Flow_E5_Fraction'[%']],"N.A.",0,1)</f>
        <v>0</v>
      </c>
      <c r="AE136" s="3">
        <f>IF(H136="Yes",Tab_Data_Flows[[#This Row],[E5_Fraction'[%']]]*Tab_Data_Flows[[#This Row],[E1_value]],"N.A.")</f>
        <v>0</v>
      </c>
      <c r="AF136" s="3" t="str">
        <f>Tab_Data_Flows[[#This Row],[E1_UoM]]</f>
        <v>Mg</v>
      </c>
      <c r="AG136" s="24">
        <f>_xlfn.XLOOKUP(Tab_Data_Flows[[#This Row],[Flow_Name]],Tab_Def_Flows[Flow_Name],Tab_Def_Flows[Flow_E6_Fraction'[%']],"N.A.",0,1)</f>
        <v>0</v>
      </c>
      <c r="AH136" s="3">
        <f>IF(Tab_Data_Flows[[#This Row],[Use_E6]]="Yes",Tab_Data_Flows[[#This Row],[E6_Fraction'[%']]]*Tab_Data_Flows[[#This Row],[E1_value]],"N.A.")</f>
        <v>0</v>
      </c>
      <c r="AI136" s="3" t="str">
        <f>Tab_Data_Flows[[#This Row],[E1_UoM]]</f>
        <v>Mg</v>
      </c>
    </row>
    <row r="137" spans="1:35" x14ac:dyDescent="0.25">
      <c r="A137" s="5">
        <f t="shared" si="5"/>
        <v>136</v>
      </c>
      <c r="B137" s="3" t="str">
        <f>_xlfn.XLOOKUP(C137,Tab_Def_Flows[Flow_Name],Tab_Def_Flows[Flow_ID],,0,)</f>
        <v>F__</v>
      </c>
      <c r="C137" s="23" t="s">
        <v>5</v>
      </c>
      <c r="D137" s="6" t="str">
        <f>_xlfn.XLOOKUP(C137,Tab_Def_Flows[Flow_Name],Tab_Def_Flows[Use_E1],,0,)</f>
        <v>Yes</v>
      </c>
      <c r="E137" s="6" t="str">
        <f>_xlfn.XLOOKUP(C137,Tab_Def_Flows[Flow_Name],Tab_Def_Flows[Use_E2],,0,)</f>
        <v>Yes</v>
      </c>
      <c r="F137" s="6" t="str">
        <f>_xlfn.XLOOKUP(C137,Tab_Def_Flows[Flow_Name],Tab_Def_Flows[Use_E3],,0,)</f>
        <v>Yes</v>
      </c>
      <c r="G137" s="6" t="str">
        <f>_xlfn.XLOOKUP(C137,Tab_Def_Flows[Flow_Name],Tab_Def_Flows[Use_E4],,0,)</f>
        <v>Yes</v>
      </c>
      <c r="H137" s="6" t="str">
        <f>_xlfn.XLOOKUP(C137,Tab_Def_Flows[Flow_Name],Tab_Def_Flows[Use_E5],,0,)</f>
        <v>Yes</v>
      </c>
      <c r="I137" s="6" t="str">
        <f>_xlfn.XLOOKUP(C137,Tab_Def_Flows[Flow_Name],Tab_Def_Flows[Use_E6],,0,)</f>
        <v>Yes</v>
      </c>
      <c r="J137" s="52"/>
      <c r="K137" s="53"/>
      <c r="L137" s="3" t="str">
        <f>'0_Configuration'!$C$41</f>
        <v>Mg</v>
      </c>
      <c r="M137" s="10"/>
      <c r="N137" s="23" t="s">
        <v>3</v>
      </c>
      <c r="O137" s="4"/>
      <c r="P137" s="4"/>
      <c r="Q137" s="10"/>
      <c r="R137" s="3">
        <f>_xlfn.XLOOKUP(Tab_Data_Flows[[#This Row],[Flow_Name]],Tab_Def_Flows[Flow_Name],Tab_Def_Flows[Flow_E1_Fraction'[%']],"N.A.",0,1)</f>
        <v>0</v>
      </c>
      <c r="S137" s="9">
        <f t="shared" si="4"/>
        <v>0</v>
      </c>
      <c r="T137" s="3" t="str">
        <f>Tab_Data_Flows[[#This Row],[UoM_Source]]</f>
        <v>Mg</v>
      </c>
      <c r="U137" s="24">
        <f>_xlfn.XLOOKUP(Tab_Data_Flows[[#This Row],[Flow_Name]],Tab_Def_Flows[Flow_Name],Tab_Def_Flows[Flow_E2_Fraction'[%']],"N.A.",0,1)</f>
        <v>0</v>
      </c>
      <c r="V137" s="3">
        <f>IF(D137="Yes",S137*Tab_Data_Flows[[#This Row],[E2_Fraction'[%']]],"N.A.")</f>
        <v>0</v>
      </c>
      <c r="W137" s="3" t="str">
        <f>Tab_Data_Flows[[#This Row],[E1_UoM]]</f>
        <v>Mg</v>
      </c>
      <c r="X137" s="24">
        <f>_xlfn.XLOOKUP(Tab_Data_Flows[[#This Row],[Flow_Name]],Tab_Def_Flows[Flow_Name],Tab_Def_Flows[Flow_E3_Fraction'[%']],"N.A.",0,1)</f>
        <v>0</v>
      </c>
      <c r="Y137" s="3">
        <f>IF(E137="Yes",X137*Tab_Data_Flows[[#This Row],[E1_value]],"N.A.")</f>
        <v>0</v>
      </c>
      <c r="Z137" s="3" t="str">
        <f>Tab_Data_Flows[[#This Row],[E1_UoM]]</f>
        <v>Mg</v>
      </c>
      <c r="AA137" s="24">
        <f>_xlfn.XLOOKUP(Tab_Data_Flows[[#This Row],[Flow_Name]],Tab_Def_Flows[Flow_Name],Tab_Def_Flows[Flow_E4_Fraction'[%']],"N.A.",0,1)</f>
        <v>0</v>
      </c>
      <c r="AB137" s="3">
        <f>IF(H137="Yes",Tab_Data_Flows[[#This Row],[E4_Fraction'[%']]]*Tab_Data_Flows[[#This Row],[E1_value]],"N.A.")</f>
        <v>0</v>
      </c>
      <c r="AC137" s="3" t="str">
        <f>Tab_Data_Flows[[#This Row],[E1_UoM]]</f>
        <v>Mg</v>
      </c>
      <c r="AD137" s="24">
        <f>_xlfn.XLOOKUP(Tab_Data_Flows[[#This Row],[Flow_Name]],Tab_Def_Flows[Flow_Name],Tab_Def_Flows[Flow_E5_Fraction'[%']],"N.A.",0,1)</f>
        <v>0</v>
      </c>
      <c r="AE137" s="3">
        <f>IF(H137="Yes",Tab_Data_Flows[[#This Row],[E5_Fraction'[%']]]*Tab_Data_Flows[[#This Row],[E1_value]],"N.A.")</f>
        <v>0</v>
      </c>
      <c r="AF137" s="3" t="str">
        <f>Tab_Data_Flows[[#This Row],[E1_UoM]]</f>
        <v>Mg</v>
      </c>
      <c r="AG137" s="24">
        <f>_xlfn.XLOOKUP(Tab_Data_Flows[[#This Row],[Flow_Name]],Tab_Def_Flows[Flow_Name],Tab_Def_Flows[Flow_E6_Fraction'[%']],"N.A.",0,1)</f>
        <v>0</v>
      </c>
      <c r="AH137" s="3">
        <f>IF(Tab_Data_Flows[[#This Row],[Use_E6]]="Yes",Tab_Data_Flows[[#This Row],[E6_Fraction'[%']]]*Tab_Data_Flows[[#This Row],[E1_value]],"N.A.")</f>
        <v>0</v>
      </c>
      <c r="AI137" s="3" t="str">
        <f>Tab_Data_Flows[[#This Row],[E1_UoM]]</f>
        <v>Mg</v>
      </c>
    </row>
    <row r="138" spans="1:35" x14ac:dyDescent="0.25">
      <c r="A138" s="5">
        <f t="shared" si="5"/>
        <v>137</v>
      </c>
      <c r="B138" s="3" t="str">
        <f>_xlfn.XLOOKUP(C138,Tab_Def_Flows[Flow_Name],Tab_Def_Flows[Flow_ID],,0,)</f>
        <v>F__</v>
      </c>
      <c r="C138" s="23" t="s">
        <v>5</v>
      </c>
      <c r="D138" s="6" t="str">
        <f>_xlfn.XLOOKUP(C138,Tab_Def_Flows[Flow_Name],Tab_Def_Flows[Use_E1],,0,)</f>
        <v>Yes</v>
      </c>
      <c r="E138" s="6" t="str">
        <f>_xlfn.XLOOKUP(C138,Tab_Def_Flows[Flow_Name],Tab_Def_Flows[Use_E2],,0,)</f>
        <v>Yes</v>
      </c>
      <c r="F138" s="6" t="str">
        <f>_xlfn.XLOOKUP(C138,Tab_Def_Flows[Flow_Name],Tab_Def_Flows[Use_E3],,0,)</f>
        <v>Yes</v>
      </c>
      <c r="G138" s="6" t="str">
        <f>_xlfn.XLOOKUP(C138,Tab_Def_Flows[Flow_Name],Tab_Def_Flows[Use_E4],,0,)</f>
        <v>Yes</v>
      </c>
      <c r="H138" s="6" t="str">
        <f>_xlfn.XLOOKUP(C138,Tab_Def_Flows[Flow_Name],Tab_Def_Flows[Use_E5],,0,)</f>
        <v>Yes</v>
      </c>
      <c r="I138" s="6" t="str">
        <f>_xlfn.XLOOKUP(C138,Tab_Def_Flows[Flow_Name],Tab_Def_Flows[Use_E6],,0,)</f>
        <v>Yes</v>
      </c>
      <c r="J138" s="52"/>
      <c r="K138" s="53"/>
      <c r="L138" s="3" t="str">
        <f>'0_Configuration'!$C$41</f>
        <v>Mg</v>
      </c>
      <c r="M138" s="10"/>
      <c r="N138" s="23" t="s">
        <v>3</v>
      </c>
      <c r="O138" s="4"/>
      <c r="P138" s="4"/>
      <c r="Q138" s="10"/>
      <c r="R138" s="3">
        <f>_xlfn.XLOOKUP(Tab_Data_Flows[[#This Row],[Flow_Name]],Tab_Def_Flows[Flow_Name],Tab_Def_Flows[Flow_E1_Fraction'[%']],"N.A.",0,1)</f>
        <v>0</v>
      </c>
      <c r="S138" s="9">
        <f t="shared" si="4"/>
        <v>0</v>
      </c>
      <c r="T138" s="3" t="str">
        <f>Tab_Data_Flows[[#This Row],[UoM_Source]]</f>
        <v>Mg</v>
      </c>
      <c r="U138" s="24">
        <f>_xlfn.XLOOKUP(Tab_Data_Flows[[#This Row],[Flow_Name]],Tab_Def_Flows[Flow_Name],Tab_Def_Flows[Flow_E2_Fraction'[%']],"N.A.",0,1)</f>
        <v>0</v>
      </c>
      <c r="V138" s="3">
        <f>IF(D138="Yes",S138*Tab_Data_Flows[[#This Row],[E2_Fraction'[%']]],"N.A.")</f>
        <v>0</v>
      </c>
      <c r="W138" s="3" t="str">
        <f>Tab_Data_Flows[[#This Row],[E1_UoM]]</f>
        <v>Mg</v>
      </c>
      <c r="X138" s="24">
        <f>_xlfn.XLOOKUP(Tab_Data_Flows[[#This Row],[Flow_Name]],Tab_Def_Flows[Flow_Name],Tab_Def_Flows[Flow_E3_Fraction'[%']],"N.A.",0,1)</f>
        <v>0</v>
      </c>
      <c r="Y138" s="3">
        <f>IF(E138="Yes",X138*Tab_Data_Flows[[#This Row],[E1_value]],"N.A.")</f>
        <v>0</v>
      </c>
      <c r="Z138" s="3" t="str">
        <f>Tab_Data_Flows[[#This Row],[E1_UoM]]</f>
        <v>Mg</v>
      </c>
      <c r="AA138" s="24">
        <f>_xlfn.XLOOKUP(Tab_Data_Flows[[#This Row],[Flow_Name]],Tab_Def_Flows[Flow_Name],Tab_Def_Flows[Flow_E4_Fraction'[%']],"N.A.",0,1)</f>
        <v>0</v>
      </c>
      <c r="AB138" s="3">
        <f>IF(H138="Yes",Tab_Data_Flows[[#This Row],[E4_Fraction'[%']]]*Tab_Data_Flows[[#This Row],[E1_value]],"N.A.")</f>
        <v>0</v>
      </c>
      <c r="AC138" s="3" t="str">
        <f>Tab_Data_Flows[[#This Row],[E1_UoM]]</f>
        <v>Mg</v>
      </c>
      <c r="AD138" s="24">
        <f>_xlfn.XLOOKUP(Tab_Data_Flows[[#This Row],[Flow_Name]],Tab_Def_Flows[Flow_Name],Tab_Def_Flows[Flow_E5_Fraction'[%']],"N.A.",0,1)</f>
        <v>0</v>
      </c>
      <c r="AE138" s="3">
        <f>IF(H138="Yes",Tab_Data_Flows[[#This Row],[E5_Fraction'[%']]]*Tab_Data_Flows[[#This Row],[E1_value]],"N.A.")</f>
        <v>0</v>
      </c>
      <c r="AF138" s="3" t="str">
        <f>Tab_Data_Flows[[#This Row],[E1_UoM]]</f>
        <v>Mg</v>
      </c>
      <c r="AG138" s="24">
        <f>_xlfn.XLOOKUP(Tab_Data_Flows[[#This Row],[Flow_Name]],Tab_Def_Flows[Flow_Name],Tab_Def_Flows[Flow_E6_Fraction'[%']],"N.A.",0,1)</f>
        <v>0</v>
      </c>
      <c r="AH138" s="3">
        <f>IF(Tab_Data_Flows[[#This Row],[Use_E6]]="Yes",Tab_Data_Flows[[#This Row],[E6_Fraction'[%']]]*Tab_Data_Flows[[#This Row],[E1_value]],"N.A.")</f>
        <v>0</v>
      </c>
      <c r="AI138" s="3" t="str">
        <f>Tab_Data_Flows[[#This Row],[E1_UoM]]</f>
        <v>Mg</v>
      </c>
    </row>
    <row r="139" spans="1:35" x14ac:dyDescent="0.25">
      <c r="A139" s="5">
        <f t="shared" si="5"/>
        <v>138</v>
      </c>
      <c r="B139" s="3" t="str">
        <f>_xlfn.XLOOKUP(C139,Tab_Def_Flows[Flow_Name],Tab_Def_Flows[Flow_ID],,0,)</f>
        <v>F__</v>
      </c>
      <c r="C139" s="23" t="s">
        <v>5</v>
      </c>
      <c r="D139" s="6" t="str">
        <f>_xlfn.XLOOKUP(C139,Tab_Def_Flows[Flow_Name],Tab_Def_Flows[Use_E1],,0,)</f>
        <v>Yes</v>
      </c>
      <c r="E139" s="6" t="str">
        <f>_xlfn.XLOOKUP(C139,Tab_Def_Flows[Flow_Name],Tab_Def_Flows[Use_E2],,0,)</f>
        <v>Yes</v>
      </c>
      <c r="F139" s="6" t="str">
        <f>_xlfn.XLOOKUP(C139,Tab_Def_Flows[Flow_Name],Tab_Def_Flows[Use_E3],,0,)</f>
        <v>Yes</v>
      </c>
      <c r="G139" s="6" t="str">
        <f>_xlfn.XLOOKUP(C139,Tab_Def_Flows[Flow_Name],Tab_Def_Flows[Use_E4],,0,)</f>
        <v>Yes</v>
      </c>
      <c r="H139" s="6" t="str">
        <f>_xlfn.XLOOKUP(C139,Tab_Def_Flows[Flow_Name],Tab_Def_Flows[Use_E5],,0,)</f>
        <v>Yes</v>
      </c>
      <c r="I139" s="6" t="str">
        <f>_xlfn.XLOOKUP(C139,Tab_Def_Flows[Flow_Name],Tab_Def_Flows[Use_E6],,0,)</f>
        <v>Yes</v>
      </c>
      <c r="J139" s="52"/>
      <c r="K139" s="53"/>
      <c r="L139" s="3" t="str">
        <f>'0_Configuration'!$C$41</f>
        <v>Mg</v>
      </c>
      <c r="M139" s="10"/>
      <c r="N139" s="23" t="s">
        <v>3</v>
      </c>
      <c r="O139" s="4"/>
      <c r="P139" s="4"/>
      <c r="Q139" s="10"/>
      <c r="R139" s="3">
        <f>_xlfn.XLOOKUP(Tab_Data_Flows[[#This Row],[Flow_Name]],Tab_Def_Flows[Flow_Name],Tab_Def_Flows[Flow_E1_Fraction'[%']],"N.A.",0,1)</f>
        <v>0</v>
      </c>
      <c r="S139" s="9">
        <f t="shared" si="4"/>
        <v>0</v>
      </c>
      <c r="T139" s="3" t="str">
        <f>Tab_Data_Flows[[#This Row],[UoM_Source]]</f>
        <v>Mg</v>
      </c>
      <c r="U139" s="24">
        <f>_xlfn.XLOOKUP(Tab_Data_Flows[[#This Row],[Flow_Name]],Tab_Def_Flows[Flow_Name],Tab_Def_Flows[Flow_E2_Fraction'[%']],"N.A.",0,1)</f>
        <v>0</v>
      </c>
      <c r="V139" s="3">
        <f>IF(D139="Yes",S139*Tab_Data_Flows[[#This Row],[E2_Fraction'[%']]],"N.A.")</f>
        <v>0</v>
      </c>
      <c r="W139" s="3" t="str">
        <f>Tab_Data_Flows[[#This Row],[E1_UoM]]</f>
        <v>Mg</v>
      </c>
      <c r="X139" s="24">
        <f>_xlfn.XLOOKUP(Tab_Data_Flows[[#This Row],[Flow_Name]],Tab_Def_Flows[Flow_Name],Tab_Def_Flows[Flow_E3_Fraction'[%']],"N.A.",0,1)</f>
        <v>0</v>
      </c>
      <c r="Y139" s="3">
        <f>IF(E139="Yes",X139*Tab_Data_Flows[[#This Row],[E1_value]],"N.A.")</f>
        <v>0</v>
      </c>
      <c r="Z139" s="3" t="str">
        <f>Tab_Data_Flows[[#This Row],[E1_UoM]]</f>
        <v>Mg</v>
      </c>
      <c r="AA139" s="24">
        <f>_xlfn.XLOOKUP(Tab_Data_Flows[[#This Row],[Flow_Name]],Tab_Def_Flows[Flow_Name],Tab_Def_Flows[Flow_E4_Fraction'[%']],"N.A.",0,1)</f>
        <v>0</v>
      </c>
      <c r="AB139" s="3">
        <f>IF(H139="Yes",Tab_Data_Flows[[#This Row],[E4_Fraction'[%']]]*Tab_Data_Flows[[#This Row],[E1_value]],"N.A.")</f>
        <v>0</v>
      </c>
      <c r="AC139" s="3" t="str">
        <f>Tab_Data_Flows[[#This Row],[E1_UoM]]</f>
        <v>Mg</v>
      </c>
      <c r="AD139" s="24">
        <f>_xlfn.XLOOKUP(Tab_Data_Flows[[#This Row],[Flow_Name]],Tab_Def_Flows[Flow_Name],Tab_Def_Flows[Flow_E5_Fraction'[%']],"N.A.",0,1)</f>
        <v>0</v>
      </c>
      <c r="AE139" s="3">
        <f>IF(H139="Yes",Tab_Data_Flows[[#This Row],[E5_Fraction'[%']]]*Tab_Data_Flows[[#This Row],[E1_value]],"N.A.")</f>
        <v>0</v>
      </c>
      <c r="AF139" s="3" t="str">
        <f>Tab_Data_Flows[[#This Row],[E1_UoM]]</f>
        <v>Mg</v>
      </c>
      <c r="AG139" s="24">
        <f>_xlfn.XLOOKUP(Tab_Data_Flows[[#This Row],[Flow_Name]],Tab_Def_Flows[Flow_Name],Tab_Def_Flows[Flow_E6_Fraction'[%']],"N.A.",0,1)</f>
        <v>0</v>
      </c>
      <c r="AH139" s="3">
        <f>IF(Tab_Data_Flows[[#This Row],[Use_E6]]="Yes",Tab_Data_Flows[[#This Row],[E6_Fraction'[%']]]*Tab_Data_Flows[[#This Row],[E1_value]],"N.A.")</f>
        <v>0</v>
      </c>
      <c r="AI139" s="3" t="str">
        <f>Tab_Data_Flows[[#This Row],[E1_UoM]]</f>
        <v>Mg</v>
      </c>
    </row>
    <row r="140" spans="1:35" x14ac:dyDescent="0.25">
      <c r="A140" s="5">
        <f t="shared" si="5"/>
        <v>139</v>
      </c>
      <c r="B140" s="3" t="str">
        <f>_xlfn.XLOOKUP(C140,Tab_Def_Flows[Flow_Name],Tab_Def_Flows[Flow_ID],,0,)</f>
        <v>F__</v>
      </c>
      <c r="C140" s="23" t="s">
        <v>5</v>
      </c>
      <c r="D140" s="6" t="str">
        <f>_xlfn.XLOOKUP(C140,Tab_Def_Flows[Flow_Name],Tab_Def_Flows[Use_E1],,0,)</f>
        <v>Yes</v>
      </c>
      <c r="E140" s="6" t="str">
        <f>_xlfn.XLOOKUP(C140,Tab_Def_Flows[Flow_Name],Tab_Def_Flows[Use_E2],,0,)</f>
        <v>Yes</v>
      </c>
      <c r="F140" s="6" t="str">
        <f>_xlfn.XLOOKUP(C140,Tab_Def_Flows[Flow_Name],Tab_Def_Flows[Use_E3],,0,)</f>
        <v>Yes</v>
      </c>
      <c r="G140" s="6" t="str">
        <f>_xlfn.XLOOKUP(C140,Tab_Def_Flows[Flow_Name],Tab_Def_Flows[Use_E4],,0,)</f>
        <v>Yes</v>
      </c>
      <c r="H140" s="6" t="str">
        <f>_xlfn.XLOOKUP(C140,Tab_Def_Flows[Flow_Name],Tab_Def_Flows[Use_E5],,0,)</f>
        <v>Yes</v>
      </c>
      <c r="I140" s="6" t="str">
        <f>_xlfn.XLOOKUP(C140,Tab_Def_Flows[Flow_Name],Tab_Def_Flows[Use_E6],,0,)</f>
        <v>Yes</v>
      </c>
      <c r="J140" s="52"/>
      <c r="K140" s="53"/>
      <c r="L140" s="3" t="str">
        <f>'0_Configuration'!$C$41</f>
        <v>Mg</v>
      </c>
      <c r="M140" s="10"/>
      <c r="N140" s="23" t="s">
        <v>3</v>
      </c>
      <c r="O140" s="4"/>
      <c r="P140" s="4"/>
      <c r="Q140" s="10"/>
      <c r="R140" s="3">
        <f>_xlfn.XLOOKUP(Tab_Data_Flows[[#This Row],[Flow_Name]],Tab_Def_Flows[Flow_Name],Tab_Def_Flows[Flow_E1_Fraction'[%']],"N.A.",0,1)</f>
        <v>0</v>
      </c>
      <c r="S140" s="9">
        <f t="shared" si="4"/>
        <v>0</v>
      </c>
      <c r="T140" s="3" t="str">
        <f>Tab_Data_Flows[[#This Row],[UoM_Source]]</f>
        <v>Mg</v>
      </c>
      <c r="U140" s="24">
        <f>_xlfn.XLOOKUP(Tab_Data_Flows[[#This Row],[Flow_Name]],Tab_Def_Flows[Flow_Name],Tab_Def_Flows[Flow_E2_Fraction'[%']],"N.A.",0,1)</f>
        <v>0</v>
      </c>
      <c r="V140" s="3">
        <f>IF(D140="Yes",S140*Tab_Data_Flows[[#This Row],[E2_Fraction'[%']]],"N.A.")</f>
        <v>0</v>
      </c>
      <c r="W140" s="3" t="str">
        <f>Tab_Data_Flows[[#This Row],[E1_UoM]]</f>
        <v>Mg</v>
      </c>
      <c r="X140" s="24">
        <f>_xlfn.XLOOKUP(Tab_Data_Flows[[#This Row],[Flow_Name]],Tab_Def_Flows[Flow_Name],Tab_Def_Flows[Flow_E3_Fraction'[%']],"N.A.",0,1)</f>
        <v>0</v>
      </c>
      <c r="Y140" s="3">
        <f>IF(E140="Yes",X140*Tab_Data_Flows[[#This Row],[E1_value]],"N.A.")</f>
        <v>0</v>
      </c>
      <c r="Z140" s="3" t="str">
        <f>Tab_Data_Flows[[#This Row],[E1_UoM]]</f>
        <v>Mg</v>
      </c>
      <c r="AA140" s="24">
        <f>_xlfn.XLOOKUP(Tab_Data_Flows[[#This Row],[Flow_Name]],Tab_Def_Flows[Flow_Name],Tab_Def_Flows[Flow_E4_Fraction'[%']],"N.A.",0,1)</f>
        <v>0</v>
      </c>
      <c r="AB140" s="3">
        <f>IF(H140="Yes",Tab_Data_Flows[[#This Row],[E4_Fraction'[%']]]*Tab_Data_Flows[[#This Row],[E1_value]],"N.A.")</f>
        <v>0</v>
      </c>
      <c r="AC140" s="3" t="str">
        <f>Tab_Data_Flows[[#This Row],[E1_UoM]]</f>
        <v>Mg</v>
      </c>
      <c r="AD140" s="24">
        <f>_xlfn.XLOOKUP(Tab_Data_Flows[[#This Row],[Flow_Name]],Tab_Def_Flows[Flow_Name],Tab_Def_Flows[Flow_E5_Fraction'[%']],"N.A.",0,1)</f>
        <v>0</v>
      </c>
      <c r="AE140" s="3">
        <f>IF(H140="Yes",Tab_Data_Flows[[#This Row],[E5_Fraction'[%']]]*Tab_Data_Flows[[#This Row],[E1_value]],"N.A.")</f>
        <v>0</v>
      </c>
      <c r="AF140" s="3" t="str">
        <f>Tab_Data_Flows[[#This Row],[E1_UoM]]</f>
        <v>Mg</v>
      </c>
      <c r="AG140" s="24">
        <f>_xlfn.XLOOKUP(Tab_Data_Flows[[#This Row],[Flow_Name]],Tab_Def_Flows[Flow_Name],Tab_Def_Flows[Flow_E6_Fraction'[%']],"N.A.",0,1)</f>
        <v>0</v>
      </c>
      <c r="AH140" s="3">
        <f>IF(Tab_Data_Flows[[#This Row],[Use_E6]]="Yes",Tab_Data_Flows[[#This Row],[E6_Fraction'[%']]]*Tab_Data_Flows[[#This Row],[E1_value]],"N.A.")</f>
        <v>0</v>
      </c>
      <c r="AI140" s="3" t="str">
        <f>Tab_Data_Flows[[#This Row],[E1_UoM]]</f>
        <v>Mg</v>
      </c>
    </row>
    <row r="141" spans="1:35" x14ac:dyDescent="0.25">
      <c r="A141" s="5">
        <f t="shared" si="5"/>
        <v>140</v>
      </c>
      <c r="B141" s="3" t="str">
        <f>_xlfn.XLOOKUP(C141,Tab_Def_Flows[Flow_Name],Tab_Def_Flows[Flow_ID],,0,)</f>
        <v>F__</v>
      </c>
      <c r="C141" s="23" t="s">
        <v>5</v>
      </c>
      <c r="D141" s="6" t="str">
        <f>_xlfn.XLOOKUP(C141,Tab_Def_Flows[Flow_Name],Tab_Def_Flows[Use_E1],,0,)</f>
        <v>Yes</v>
      </c>
      <c r="E141" s="6" t="str">
        <f>_xlfn.XLOOKUP(C141,Tab_Def_Flows[Flow_Name],Tab_Def_Flows[Use_E2],,0,)</f>
        <v>Yes</v>
      </c>
      <c r="F141" s="6" t="str">
        <f>_xlfn.XLOOKUP(C141,Tab_Def_Flows[Flow_Name],Tab_Def_Flows[Use_E3],,0,)</f>
        <v>Yes</v>
      </c>
      <c r="G141" s="6" t="str">
        <f>_xlfn.XLOOKUP(C141,Tab_Def_Flows[Flow_Name],Tab_Def_Flows[Use_E4],,0,)</f>
        <v>Yes</v>
      </c>
      <c r="H141" s="6" t="str">
        <f>_xlfn.XLOOKUP(C141,Tab_Def_Flows[Flow_Name],Tab_Def_Flows[Use_E5],,0,)</f>
        <v>Yes</v>
      </c>
      <c r="I141" s="6" t="str">
        <f>_xlfn.XLOOKUP(C141,Tab_Def_Flows[Flow_Name],Tab_Def_Flows[Use_E6],,0,)</f>
        <v>Yes</v>
      </c>
      <c r="J141" s="52"/>
      <c r="K141" s="53"/>
      <c r="L141" s="3" t="str">
        <f>'0_Configuration'!$C$41</f>
        <v>Mg</v>
      </c>
      <c r="M141" s="10"/>
      <c r="N141" s="23" t="s">
        <v>3</v>
      </c>
      <c r="O141" s="4"/>
      <c r="P141" s="4"/>
      <c r="Q141" s="10"/>
      <c r="R141" s="3">
        <f>_xlfn.XLOOKUP(Tab_Data_Flows[[#This Row],[Flow_Name]],Tab_Def_Flows[Flow_Name],Tab_Def_Flows[Flow_E1_Fraction'[%']],"N.A.",0,1)</f>
        <v>0</v>
      </c>
      <c r="S141" s="9">
        <f t="shared" si="4"/>
        <v>0</v>
      </c>
      <c r="T141" s="3" t="str">
        <f>Tab_Data_Flows[[#This Row],[UoM_Source]]</f>
        <v>Mg</v>
      </c>
      <c r="U141" s="24">
        <f>_xlfn.XLOOKUP(Tab_Data_Flows[[#This Row],[Flow_Name]],Tab_Def_Flows[Flow_Name],Tab_Def_Flows[Flow_E2_Fraction'[%']],"N.A.",0,1)</f>
        <v>0</v>
      </c>
      <c r="V141" s="3">
        <f>IF(D141="Yes",S141*Tab_Data_Flows[[#This Row],[E2_Fraction'[%']]],"N.A.")</f>
        <v>0</v>
      </c>
      <c r="W141" s="3" t="str">
        <f>Tab_Data_Flows[[#This Row],[E1_UoM]]</f>
        <v>Mg</v>
      </c>
      <c r="X141" s="24">
        <f>_xlfn.XLOOKUP(Tab_Data_Flows[[#This Row],[Flow_Name]],Tab_Def_Flows[Flow_Name],Tab_Def_Flows[Flow_E3_Fraction'[%']],"N.A.",0,1)</f>
        <v>0</v>
      </c>
      <c r="Y141" s="3">
        <f>IF(E141="Yes",X141*Tab_Data_Flows[[#This Row],[E1_value]],"N.A.")</f>
        <v>0</v>
      </c>
      <c r="Z141" s="3" t="str">
        <f>Tab_Data_Flows[[#This Row],[E1_UoM]]</f>
        <v>Mg</v>
      </c>
      <c r="AA141" s="24">
        <f>_xlfn.XLOOKUP(Tab_Data_Flows[[#This Row],[Flow_Name]],Tab_Def_Flows[Flow_Name],Tab_Def_Flows[Flow_E4_Fraction'[%']],"N.A.",0,1)</f>
        <v>0</v>
      </c>
      <c r="AB141" s="3">
        <f>IF(H141="Yes",Tab_Data_Flows[[#This Row],[E4_Fraction'[%']]]*Tab_Data_Flows[[#This Row],[E1_value]],"N.A.")</f>
        <v>0</v>
      </c>
      <c r="AC141" s="3" t="str">
        <f>Tab_Data_Flows[[#This Row],[E1_UoM]]</f>
        <v>Mg</v>
      </c>
      <c r="AD141" s="24">
        <f>_xlfn.XLOOKUP(Tab_Data_Flows[[#This Row],[Flow_Name]],Tab_Def_Flows[Flow_Name],Tab_Def_Flows[Flow_E5_Fraction'[%']],"N.A.",0,1)</f>
        <v>0</v>
      </c>
      <c r="AE141" s="3">
        <f>IF(H141="Yes",Tab_Data_Flows[[#This Row],[E5_Fraction'[%']]]*Tab_Data_Flows[[#This Row],[E1_value]],"N.A.")</f>
        <v>0</v>
      </c>
      <c r="AF141" s="3" t="str">
        <f>Tab_Data_Flows[[#This Row],[E1_UoM]]</f>
        <v>Mg</v>
      </c>
      <c r="AG141" s="24">
        <f>_xlfn.XLOOKUP(Tab_Data_Flows[[#This Row],[Flow_Name]],Tab_Def_Flows[Flow_Name],Tab_Def_Flows[Flow_E6_Fraction'[%']],"N.A.",0,1)</f>
        <v>0</v>
      </c>
      <c r="AH141" s="3">
        <f>IF(Tab_Data_Flows[[#This Row],[Use_E6]]="Yes",Tab_Data_Flows[[#This Row],[E6_Fraction'[%']]]*Tab_Data_Flows[[#This Row],[E1_value]],"N.A.")</f>
        <v>0</v>
      </c>
      <c r="AI141" s="3" t="str">
        <f>Tab_Data_Flows[[#This Row],[E1_UoM]]</f>
        <v>Mg</v>
      </c>
    </row>
    <row r="142" spans="1:35" x14ac:dyDescent="0.25">
      <c r="A142" s="5">
        <f t="shared" si="5"/>
        <v>141</v>
      </c>
      <c r="B142" s="3" t="str">
        <f>_xlfn.XLOOKUP(C142,Tab_Def_Flows[Flow_Name],Tab_Def_Flows[Flow_ID],,0,)</f>
        <v>F__</v>
      </c>
      <c r="C142" s="23" t="s">
        <v>5</v>
      </c>
      <c r="D142" s="6" t="str">
        <f>_xlfn.XLOOKUP(C142,Tab_Def_Flows[Flow_Name],Tab_Def_Flows[Use_E1],,0,)</f>
        <v>Yes</v>
      </c>
      <c r="E142" s="6" t="str">
        <f>_xlfn.XLOOKUP(C142,Tab_Def_Flows[Flow_Name],Tab_Def_Flows[Use_E2],,0,)</f>
        <v>Yes</v>
      </c>
      <c r="F142" s="6" t="str">
        <f>_xlfn.XLOOKUP(C142,Tab_Def_Flows[Flow_Name],Tab_Def_Flows[Use_E3],,0,)</f>
        <v>Yes</v>
      </c>
      <c r="G142" s="6" t="str">
        <f>_xlfn.XLOOKUP(C142,Tab_Def_Flows[Flow_Name],Tab_Def_Flows[Use_E4],,0,)</f>
        <v>Yes</v>
      </c>
      <c r="H142" s="6" t="str">
        <f>_xlfn.XLOOKUP(C142,Tab_Def_Flows[Flow_Name],Tab_Def_Flows[Use_E5],,0,)</f>
        <v>Yes</v>
      </c>
      <c r="I142" s="6" t="str">
        <f>_xlfn.XLOOKUP(C142,Tab_Def_Flows[Flow_Name],Tab_Def_Flows[Use_E6],,0,)</f>
        <v>Yes</v>
      </c>
      <c r="J142" s="52"/>
      <c r="K142" s="53"/>
      <c r="L142" s="3" t="str">
        <f>'0_Configuration'!$C$41</f>
        <v>Mg</v>
      </c>
      <c r="M142" s="10"/>
      <c r="N142" s="23" t="s">
        <v>3</v>
      </c>
      <c r="O142" s="4"/>
      <c r="P142" s="4"/>
      <c r="Q142" s="10"/>
      <c r="R142" s="3">
        <f>_xlfn.XLOOKUP(Tab_Data_Flows[[#This Row],[Flow_Name]],Tab_Def_Flows[Flow_Name],Tab_Def_Flows[Flow_E1_Fraction'[%']],"N.A.",0,1)</f>
        <v>0</v>
      </c>
      <c r="S142" s="9">
        <f t="shared" si="4"/>
        <v>0</v>
      </c>
      <c r="T142" s="3" t="str">
        <f>Tab_Data_Flows[[#This Row],[UoM_Source]]</f>
        <v>Mg</v>
      </c>
      <c r="U142" s="24">
        <f>_xlfn.XLOOKUP(Tab_Data_Flows[[#This Row],[Flow_Name]],Tab_Def_Flows[Flow_Name],Tab_Def_Flows[Flow_E2_Fraction'[%']],"N.A.",0,1)</f>
        <v>0</v>
      </c>
      <c r="V142" s="3">
        <f>IF(D142="Yes",S142*Tab_Data_Flows[[#This Row],[E2_Fraction'[%']]],"N.A.")</f>
        <v>0</v>
      </c>
      <c r="W142" s="3" t="str">
        <f>Tab_Data_Flows[[#This Row],[E1_UoM]]</f>
        <v>Mg</v>
      </c>
      <c r="X142" s="24">
        <f>_xlfn.XLOOKUP(Tab_Data_Flows[[#This Row],[Flow_Name]],Tab_Def_Flows[Flow_Name],Tab_Def_Flows[Flow_E3_Fraction'[%']],"N.A.",0,1)</f>
        <v>0</v>
      </c>
      <c r="Y142" s="3">
        <f>IF(E142="Yes",X142*Tab_Data_Flows[[#This Row],[E1_value]],"N.A.")</f>
        <v>0</v>
      </c>
      <c r="Z142" s="3" t="str">
        <f>Tab_Data_Flows[[#This Row],[E1_UoM]]</f>
        <v>Mg</v>
      </c>
      <c r="AA142" s="24">
        <f>_xlfn.XLOOKUP(Tab_Data_Flows[[#This Row],[Flow_Name]],Tab_Def_Flows[Flow_Name],Tab_Def_Flows[Flow_E4_Fraction'[%']],"N.A.",0,1)</f>
        <v>0</v>
      </c>
      <c r="AB142" s="3">
        <f>IF(H142="Yes",Tab_Data_Flows[[#This Row],[E4_Fraction'[%']]]*Tab_Data_Flows[[#This Row],[E1_value]],"N.A.")</f>
        <v>0</v>
      </c>
      <c r="AC142" s="3" t="str">
        <f>Tab_Data_Flows[[#This Row],[E1_UoM]]</f>
        <v>Mg</v>
      </c>
      <c r="AD142" s="24">
        <f>_xlfn.XLOOKUP(Tab_Data_Flows[[#This Row],[Flow_Name]],Tab_Def_Flows[Flow_Name],Tab_Def_Flows[Flow_E5_Fraction'[%']],"N.A.",0,1)</f>
        <v>0</v>
      </c>
      <c r="AE142" s="3">
        <f>IF(H142="Yes",Tab_Data_Flows[[#This Row],[E5_Fraction'[%']]]*Tab_Data_Flows[[#This Row],[E1_value]],"N.A.")</f>
        <v>0</v>
      </c>
      <c r="AF142" s="3" t="str">
        <f>Tab_Data_Flows[[#This Row],[E1_UoM]]</f>
        <v>Mg</v>
      </c>
      <c r="AG142" s="24">
        <f>_xlfn.XLOOKUP(Tab_Data_Flows[[#This Row],[Flow_Name]],Tab_Def_Flows[Flow_Name],Tab_Def_Flows[Flow_E6_Fraction'[%']],"N.A.",0,1)</f>
        <v>0</v>
      </c>
      <c r="AH142" s="3">
        <f>IF(Tab_Data_Flows[[#This Row],[Use_E6]]="Yes",Tab_Data_Flows[[#This Row],[E6_Fraction'[%']]]*Tab_Data_Flows[[#This Row],[E1_value]],"N.A.")</f>
        <v>0</v>
      </c>
      <c r="AI142" s="3" t="str">
        <f>Tab_Data_Flows[[#This Row],[E1_UoM]]</f>
        <v>Mg</v>
      </c>
    </row>
    <row r="143" spans="1:35" x14ac:dyDescent="0.25">
      <c r="A143" s="5">
        <f t="shared" si="5"/>
        <v>142</v>
      </c>
      <c r="B143" s="3" t="str">
        <f>_xlfn.XLOOKUP(C143,Tab_Def_Flows[Flow_Name],Tab_Def_Flows[Flow_ID],,0,)</f>
        <v>F__</v>
      </c>
      <c r="C143" s="23" t="s">
        <v>5</v>
      </c>
      <c r="D143" s="6" t="str">
        <f>_xlfn.XLOOKUP(C143,Tab_Def_Flows[Flow_Name],Tab_Def_Flows[Use_E1],,0,)</f>
        <v>Yes</v>
      </c>
      <c r="E143" s="6" t="str">
        <f>_xlfn.XLOOKUP(C143,Tab_Def_Flows[Flow_Name],Tab_Def_Flows[Use_E2],,0,)</f>
        <v>Yes</v>
      </c>
      <c r="F143" s="6" t="str">
        <f>_xlfn.XLOOKUP(C143,Tab_Def_Flows[Flow_Name],Tab_Def_Flows[Use_E3],,0,)</f>
        <v>Yes</v>
      </c>
      <c r="G143" s="6" t="str">
        <f>_xlfn.XLOOKUP(C143,Tab_Def_Flows[Flow_Name],Tab_Def_Flows[Use_E4],,0,)</f>
        <v>Yes</v>
      </c>
      <c r="H143" s="6" t="str">
        <f>_xlfn.XLOOKUP(C143,Tab_Def_Flows[Flow_Name],Tab_Def_Flows[Use_E5],,0,)</f>
        <v>Yes</v>
      </c>
      <c r="I143" s="6" t="str">
        <f>_xlfn.XLOOKUP(C143,Tab_Def_Flows[Flow_Name],Tab_Def_Flows[Use_E6],,0,)</f>
        <v>Yes</v>
      </c>
      <c r="J143" s="52"/>
      <c r="K143" s="53"/>
      <c r="L143" s="3" t="str">
        <f>'0_Configuration'!$C$41</f>
        <v>Mg</v>
      </c>
      <c r="M143" s="10"/>
      <c r="N143" s="23" t="s">
        <v>3</v>
      </c>
      <c r="O143" s="4"/>
      <c r="P143" s="4"/>
      <c r="Q143" s="10"/>
      <c r="R143" s="3">
        <f>_xlfn.XLOOKUP(Tab_Data_Flows[[#This Row],[Flow_Name]],Tab_Def_Flows[Flow_Name],Tab_Def_Flows[Flow_E1_Fraction'[%']],"N.A.",0,1)</f>
        <v>0</v>
      </c>
      <c r="S143" s="9">
        <f t="shared" si="4"/>
        <v>0</v>
      </c>
      <c r="T143" s="3" t="str">
        <f>Tab_Data_Flows[[#This Row],[UoM_Source]]</f>
        <v>Mg</v>
      </c>
      <c r="U143" s="24">
        <f>_xlfn.XLOOKUP(Tab_Data_Flows[[#This Row],[Flow_Name]],Tab_Def_Flows[Flow_Name],Tab_Def_Flows[Flow_E2_Fraction'[%']],"N.A.",0,1)</f>
        <v>0</v>
      </c>
      <c r="V143" s="3">
        <f>IF(D143="Yes",S143*Tab_Data_Flows[[#This Row],[E2_Fraction'[%']]],"N.A.")</f>
        <v>0</v>
      </c>
      <c r="W143" s="3" t="str">
        <f>Tab_Data_Flows[[#This Row],[E1_UoM]]</f>
        <v>Mg</v>
      </c>
      <c r="X143" s="24">
        <f>_xlfn.XLOOKUP(Tab_Data_Flows[[#This Row],[Flow_Name]],Tab_Def_Flows[Flow_Name],Tab_Def_Flows[Flow_E3_Fraction'[%']],"N.A.",0,1)</f>
        <v>0</v>
      </c>
      <c r="Y143" s="3">
        <f>IF(E143="Yes",X143*Tab_Data_Flows[[#This Row],[E1_value]],"N.A.")</f>
        <v>0</v>
      </c>
      <c r="Z143" s="3" t="str">
        <f>Tab_Data_Flows[[#This Row],[E1_UoM]]</f>
        <v>Mg</v>
      </c>
      <c r="AA143" s="24">
        <f>_xlfn.XLOOKUP(Tab_Data_Flows[[#This Row],[Flow_Name]],Tab_Def_Flows[Flow_Name],Tab_Def_Flows[Flow_E4_Fraction'[%']],"N.A.",0,1)</f>
        <v>0</v>
      </c>
      <c r="AB143" s="3">
        <f>IF(H143="Yes",Tab_Data_Flows[[#This Row],[E4_Fraction'[%']]]*Tab_Data_Flows[[#This Row],[E1_value]],"N.A.")</f>
        <v>0</v>
      </c>
      <c r="AC143" s="3" t="str">
        <f>Tab_Data_Flows[[#This Row],[E1_UoM]]</f>
        <v>Mg</v>
      </c>
      <c r="AD143" s="24">
        <f>_xlfn.XLOOKUP(Tab_Data_Flows[[#This Row],[Flow_Name]],Tab_Def_Flows[Flow_Name],Tab_Def_Flows[Flow_E5_Fraction'[%']],"N.A.",0,1)</f>
        <v>0</v>
      </c>
      <c r="AE143" s="3">
        <f>IF(H143="Yes",Tab_Data_Flows[[#This Row],[E5_Fraction'[%']]]*Tab_Data_Flows[[#This Row],[E1_value]],"N.A.")</f>
        <v>0</v>
      </c>
      <c r="AF143" s="3" t="str">
        <f>Tab_Data_Flows[[#This Row],[E1_UoM]]</f>
        <v>Mg</v>
      </c>
      <c r="AG143" s="24">
        <f>_xlfn.XLOOKUP(Tab_Data_Flows[[#This Row],[Flow_Name]],Tab_Def_Flows[Flow_Name],Tab_Def_Flows[Flow_E6_Fraction'[%']],"N.A.",0,1)</f>
        <v>0</v>
      </c>
      <c r="AH143" s="3">
        <f>IF(Tab_Data_Flows[[#This Row],[Use_E6]]="Yes",Tab_Data_Flows[[#This Row],[E6_Fraction'[%']]]*Tab_Data_Flows[[#This Row],[E1_value]],"N.A.")</f>
        <v>0</v>
      </c>
      <c r="AI143" s="3" t="str">
        <f>Tab_Data_Flows[[#This Row],[E1_UoM]]</f>
        <v>Mg</v>
      </c>
    </row>
    <row r="144" spans="1:35" x14ac:dyDescent="0.25">
      <c r="A144" s="5">
        <f t="shared" si="5"/>
        <v>143</v>
      </c>
      <c r="B144" s="3" t="str">
        <f>_xlfn.XLOOKUP(C144,Tab_Def_Flows[Flow_Name],Tab_Def_Flows[Flow_ID],,0,)</f>
        <v>F__</v>
      </c>
      <c r="C144" s="23" t="s">
        <v>5</v>
      </c>
      <c r="D144" s="6" t="str">
        <f>_xlfn.XLOOKUP(C144,Tab_Def_Flows[Flow_Name],Tab_Def_Flows[Use_E1],,0,)</f>
        <v>Yes</v>
      </c>
      <c r="E144" s="6" t="str">
        <f>_xlfn.XLOOKUP(C144,Tab_Def_Flows[Flow_Name],Tab_Def_Flows[Use_E2],,0,)</f>
        <v>Yes</v>
      </c>
      <c r="F144" s="6" t="str">
        <f>_xlfn.XLOOKUP(C144,Tab_Def_Flows[Flow_Name],Tab_Def_Flows[Use_E3],,0,)</f>
        <v>Yes</v>
      </c>
      <c r="G144" s="6" t="str">
        <f>_xlfn.XLOOKUP(C144,Tab_Def_Flows[Flow_Name],Tab_Def_Flows[Use_E4],,0,)</f>
        <v>Yes</v>
      </c>
      <c r="H144" s="6" t="str">
        <f>_xlfn.XLOOKUP(C144,Tab_Def_Flows[Flow_Name],Tab_Def_Flows[Use_E5],,0,)</f>
        <v>Yes</v>
      </c>
      <c r="I144" s="6" t="str">
        <f>_xlfn.XLOOKUP(C144,Tab_Def_Flows[Flow_Name],Tab_Def_Flows[Use_E6],,0,)</f>
        <v>Yes</v>
      </c>
      <c r="J144" s="52"/>
      <c r="K144" s="53"/>
      <c r="L144" s="3" t="str">
        <f>'0_Configuration'!$C$41</f>
        <v>Mg</v>
      </c>
      <c r="M144" s="10"/>
      <c r="N144" s="23" t="s">
        <v>3</v>
      </c>
      <c r="O144" s="4"/>
      <c r="P144" s="4"/>
      <c r="Q144" s="10"/>
      <c r="R144" s="3">
        <f>_xlfn.XLOOKUP(Tab_Data_Flows[[#This Row],[Flow_Name]],Tab_Def_Flows[Flow_Name],Tab_Def_Flows[Flow_E1_Fraction'[%']],"N.A.",0,1)</f>
        <v>0</v>
      </c>
      <c r="S144" s="9">
        <f t="shared" si="4"/>
        <v>0</v>
      </c>
      <c r="T144" s="3" t="str">
        <f>Tab_Data_Flows[[#This Row],[UoM_Source]]</f>
        <v>Mg</v>
      </c>
      <c r="U144" s="24">
        <f>_xlfn.XLOOKUP(Tab_Data_Flows[[#This Row],[Flow_Name]],Tab_Def_Flows[Flow_Name],Tab_Def_Flows[Flow_E2_Fraction'[%']],"N.A.",0,1)</f>
        <v>0</v>
      </c>
      <c r="V144" s="3">
        <f>IF(D144="Yes",S144*Tab_Data_Flows[[#This Row],[E2_Fraction'[%']]],"N.A.")</f>
        <v>0</v>
      </c>
      <c r="W144" s="3" t="str">
        <f>Tab_Data_Flows[[#This Row],[E1_UoM]]</f>
        <v>Mg</v>
      </c>
      <c r="X144" s="24">
        <f>_xlfn.XLOOKUP(Tab_Data_Flows[[#This Row],[Flow_Name]],Tab_Def_Flows[Flow_Name],Tab_Def_Flows[Flow_E3_Fraction'[%']],"N.A.",0,1)</f>
        <v>0</v>
      </c>
      <c r="Y144" s="3">
        <f>IF(E144="Yes",X144*Tab_Data_Flows[[#This Row],[E1_value]],"N.A.")</f>
        <v>0</v>
      </c>
      <c r="Z144" s="3" t="str">
        <f>Tab_Data_Flows[[#This Row],[E1_UoM]]</f>
        <v>Mg</v>
      </c>
      <c r="AA144" s="24">
        <f>_xlfn.XLOOKUP(Tab_Data_Flows[[#This Row],[Flow_Name]],Tab_Def_Flows[Flow_Name],Tab_Def_Flows[Flow_E4_Fraction'[%']],"N.A.",0,1)</f>
        <v>0</v>
      </c>
      <c r="AB144" s="3">
        <f>IF(H144="Yes",Tab_Data_Flows[[#This Row],[E4_Fraction'[%']]]*Tab_Data_Flows[[#This Row],[E1_value]],"N.A.")</f>
        <v>0</v>
      </c>
      <c r="AC144" s="3" t="str">
        <f>Tab_Data_Flows[[#This Row],[E1_UoM]]</f>
        <v>Mg</v>
      </c>
      <c r="AD144" s="24">
        <f>_xlfn.XLOOKUP(Tab_Data_Flows[[#This Row],[Flow_Name]],Tab_Def_Flows[Flow_Name],Tab_Def_Flows[Flow_E5_Fraction'[%']],"N.A.",0,1)</f>
        <v>0</v>
      </c>
      <c r="AE144" s="3">
        <f>IF(H144="Yes",Tab_Data_Flows[[#This Row],[E5_Fraction'[%']]]*Tab_Data_Flows[[#This Row],[E1_value]],"N.A.")</f>
        <v>0</v>
      </c>
      <c r="AF144" s="3" t="str">
        <f>Tab_Data_Flows[[#This Row],[E1_UoM]]</f>
        <v>Mg</v>
      </c>
      <c r="AG144" s="24">
        <f>_xlfn.XLOOKUP(Tab_Data_Flows[[#This Row],[Flow_Name]],Tab_Def_Flows[Flow_Name],Tab_Def_Flows[Flow_E6_Fraction'[%']],"N.A.",0,1)</f>
        <v>0</v>
      </c>
      <c r="AH144" s="3">
        <f>IF(Tab_Data_Flows[[#This Row],[Use_E6]]="Yes",Tab_Data_Flows[[#This Row],[E6_Fraction'[%']]]*Tab_Data_Flows[[#This Row],[E1_value]],"N.A.")</f>
        <v>0</v>
      </c>
      <c r="AI144" s="3" t="str">
        <f>Tab_Data_Flows[[#This Row],[E1_UoM]]</f>
        <v>Mg</v>
      </c>
    </row>
    <row r="145" spans="1:35" x14ac:dyDescent="0.25">
      <c r="A145" s="5">
        <f t="shared" si="5"/>
        <v>144</v>
      </c>
      <c r="B145" s="3" t="str">
        <f>_xlfn.XLOOKUP(C145,Tab_Def_Flows[Flow_Name],Tab_Def_Flows[Flow_ID],,0,)</f>
        <v>F__</v>
      </c>
      <c r="C145" s="23" t="s">
        <v>5</v>
      </c>
      <c r="D145" s="6" t="str">
        <f>_xlfn.XLOOKUP(C145,Tab_Def_Flows[Flow_Name],Tab_Def_Flows[Use_E1],,0,)</f>
        <v>Yes</v>
      </c>
      <c r="E145" s="6" t="str">
        <f>_xlfn.XLOOKUP(C145,Tab_Def_Flows[Flow_Name],Tab_Def_Flows[Use_E2],,0,)</f>
        <v>Yes</v>
      </c>
      <c r="F145" s="6" t="str">
        <f>_xlfn.XLOOKUP(C145,Tab_Def_Flows[Flow_Name],Tab_Def_Flows[Use_E3],,0,)</f>
        <v>Yes</v>
      </c>
      <c r="G145" s="6" t="str">
        <f>_xlfn.XLOOKUP(C145,Tab_Def_Flows[Flow_Name],Tab_Def_Flows[Use_E4],,0,)</f>
        <v>Yes</v>
      </c>
      <c r="H145" s="6" t="str">
        <f>_xlfn.XLOOKUP(C145,Tab_Def_Flows[Flow_Name],Tab_Def_Flows[Use_E5],,0,)</f>
        <v>Yes</v>
      </c>
      <c r="I145" s="6" t="str">
        <f>_xlfn.XLOOKUP(C145,Tab_Def_Flows[Flow_Name],Tab_Def_Flows[Use_E6],,0,)</f>
        <v>Yes</v>
      </c>
      <c r="J145" s="52"/>
      <c r="K145" s="53"/>
      <c r="L145" s="3" t="str">
        <f>'0_Configuration'!$C$41</f>
        <v>Mg</v>
      </c>
      <c r="M145" s="10"/>
      <c r="N145" s="23" t="s">
        <v>3</v>
      </c>
      <c r="O145" s="4"/>
      <c r="P145" s="4"/>
      <c r="Q145" s="10"/>
      <c r="R145" s="3">
        <f>_xlfn.XLOOKUP(Tab_Data_Flows[[#This Row],[Flow_Name]],Tab_Def_Flows[Flow_Name],Tab_Def_Flows[Flow_E1_Fraction'[%']],"N.A.",0,1)</f>
        <v>0</v>
      </c>
      <c r="S145" s="9">
        <f t="shared" si="4"/>
        <v>0</v>
      </c>
      <c r="T145" s="3" t="str">
        <f>Tab_Data_Flows[[#This Row],[UoM_Source]]</f>
        <v>Mg</v>
      </c>
      <c r="U145" s="24">
        <f>_xlfn.XLOOKUP(Tab_Data_Flows[[#This Row],[Flow_Name]],Tab_Def_Flows[Flow_Name],Tab_Def_Flows[Flow_E2_Fraction'[%']],"N.A.",0,1)</f>
        <v>0</v>
      </c>
      <c r="V145" s="3">
        <f>IF(D145="Yes",S145*Tab_Data_Flows[[#This Row],[E2_Fraction'[%']]],"N.A.")</f>
        <v>0</v>
      </c>
      <c r="W145" s="3" t="str">
        <f>Tab_Data_Flows[[#This Row],[E1_UoM]]</f>
        <v>Mg</v>
      </c>
      <c r="X145" s="24">
        <f>_xlfn.XLOOKUP(Tab_Data_Flows[[#This Row],[Flow_Name]],Tab_Def_Flows[Flow_Name],Tab_Def_Flows[Flow_E3_Fraction'[%']],"N.A.",0,1)</f>
        <v>0</v>
      </c>
      <c r="Y145" s="3">
        <f>IF(E145="Yes",X145*Tab_Data_Flows[[#This Row],[E1_value]],"N.A.")</f>
        <v>0</v>
      </c>
      <c r="Z145" s="3" t="str">
        <f>Tab_Data_Flows[[#This Row],[E1_UoM]]</f>
        <v>Mg</v>
      </c>
      <c r="AA145" s="24">
        <f>_xlfn.XLOOKUP(Tab_Data_Flows[[#This Row],[Flow_Name]],Tab_Def_Flows[Flow_Name],Tab_Def_Flows[Flow_E4_Fraction'[%']],"N.A.",0,1)</f>
        <v>0</v>
      </c>
      <c r="AB145" s="3">
        <f>IF(H145="Yes",Tab_Data_Flows[[#This Row],[E4_Fraction'[%']]]*Tab_Data_Flows[[#This Row],[E1_value]],"N.A.")</f>
        <v>0</v>
      </c>
      <c r="AC145" s="3" t="str">
        <f>Tab_Data_Flows[[#This Row],[E1_UoM]]</f>
        <v>Mg</v>
      </c>
      <c r="AD145" s="24">
        <f>_xlfn.XLOOKUP(Tab_Data_Flows[[#This Row],[Flow_Name]],Tab_Def_Flows[Flow_Name],Tab_Def_Flows[Flow_E5_Fraction'[%']],"N.A.",0,1)</f>
        <v>0</v>
      </c>
      <c r="AE145" s="3">
        <f>IF(H145="Yes",Tab_Data_Flows[[#This Row],[E5_Fraction'[%']]]*Tab_Data_Flows[[#This Row],[E1_value]],"N.A.")</f>
        <v>0</v>
      </c>
      <c r="AF145" s="3" t="str">
        <f>Tab_Data_Flows[[#This Row],[E1_UoM]]</f>
        <v>Mg</v>
      </c>
      <c r="AG145" s="24">
        <f>_xlfn.XLOOKUP(Tab_Data_Flows[[#This Row],[Flow_Name]],Tab_Def_Flows[Flow_Name],Tab_Def_Flows[Flow_E6_Fraction'[%']],"N.A.",0,1)</f>
        <v>0</v>
      </c>
      <c r="AH145" s="3">
        <f>IF(Tab_Data_Flows[[#This Row],[Use_E6]]="Yes",Tab_Data_Flows[[#This Row],[E6_Fraction'[%']]]*Tab_Data_Flows[[#This Row],[E1_value]],"N.A.")</f>
        <v>0</v>
      </c>
      <c r="AI145" s="3" t="str">
        <f>Tab_Data_Flows[[#This Row],[E1_UoM]]</f>
        <v>Mg</v>
      </c>
    </row>
    <row r="146" spans="1:35" x14ac:dyDescent="0.25">
      <c r="A146" s="5">
        <f t="shared" si="5"/>
        <v>145</v>
      </c>
      <c r="B146" s="3" t="str">
        <f>_xlfn.XLOOKUP(C146,Tab_Def_Flows[Flow_Name],Tab_Def_Flows[Flow_ID],,0,)</f>
        <v>F__</v>
      </c>
      <c r="C146" s="23" t="s">
        <v>5</v>
      </c>
      <c r="D146" s="6" t="str">
        <f>_xlfn.XLOOKUP(C146,Tab_Def_Flows[Flow_Name],Tab_Def_Flows[Use_E1],,0,)</f>
        <v>Yes</v>
      </c>
      <c r="E146" s="6" t="str">
        <f>_xlfn.XLOOKUP(C146,Tab_Def_Flows[Flow_Name],Tab_Def_Flows[Use_E2],,0,)</f>
        <v>Yes</v>
      </c>
      <c r="F146" s="6" t="str">
        <f>_xlfn.XLOOKUP(C146,Tab_Def_Flows[Flow_Name],Tab_Def_Flows[Use_E3],,0,)</f>
        <v>Yes</v>
      </c>
      <c r="G146" s="6" t="str">
        <f>_xlfn.XLOOKUP(C146,Tab_Def_Flows[Flow_Name],Tab_Def_Flows[Use_E4],,0,)</f>
        <v>Yes</v>
      </c>
      <c r="H146" s="6" t="str">
        <f>_xlfn.XLOOKUP(C146,Tab_Def_Flows[Flow_Name],Tab_Def_Flows[Use_E5],,0,)</f>
        <v>Yes</v>
      </c>
      <c r="I146" s="6" t="str">
        <f>_xlfn.XLOOKUP(C146,Tab_Def_Flows[Flow_Name],Tab_Def_Flows[Use_E6],,0,)</f>
        <v>Yes</v>
      </c>
      <c r="J146" s="52"/>
      <c r="K146" s="53"/>
      <c r="L146" s="3" t="str">
        <f>'0_Configuration'!$C$41</f>
        <v>Mg</v>
      </c>
      <c r="M146" s="10"/>
      <c r="N146" s="23" t="s">
        <v>3</v>
      </c>
      <c r="O146" s="4"/>
      <c r="P146" s="4"/>
      <c r="Q146" s="10"/>
      <c r="R146" s="3">
        <f>_xlfn.XLOOKUP(Tab_Data_Flows[[#This Row],[Flow_Name]],Tab_Def_Flows[Flow_Name],Tab_Def_Flows[Flow_E1_Fraction'[%']],"N.A.",0,1)</f>
        <v>0</v>
      </c>
      <c r="S146" s="9">
        <f t="shared" si="4"/>
        <v>0</v>
      </c>
      <c r="T146" s="3" t="str">
        <f>Tab_Data_Flows[[#This Row],[UoM_Source]]</f>
        <v>Mg</v>
      </c>
      <c r="U146" s="24">
        <f>_xlfn.XLOOKUP(Tab_Data_Flows[[#This Row],[Flow_Name]],Tab_Def_Flows[Flow_Name],Tab_Def_Flows[Flow_E2_Fraction'[%']],"N.A.",0,1)</f>
        <v>0</v>
      </c>
      <c r="V146" s="3">
        <f>IF(D146="Yes",S146*Tab_Data_Flows[[#This Row],[E2_Fraction'[%']]],"N.A.")</f>
        <v>0</v>
      </c>
      <c r="W146" s="3" t="str">
        <f>Tab_Data_Flows[[#This Row],[E1_UoM]]</f>
        <v>Mg</v>
      </c>
      <c r="X146" s="24">
        <f>_xlfn.XLOOKUP(Tab_Data_Flows[[#This Row],[Flow_Name]],Tab_Def_Flows[Flow_Name],Tab_Def_Flows[Flow_E3_Fraction'[%']],"N.A.",0,1)</f>
        <v>0</v>
      </c>
      <c r="Y146" s="3">
        <f>IF(E146="Yes",X146*Tab_Data_Flows[[#This Row],[E1_value]],"N.A.")</f>
        <v>0</v>
      </c>
      <c r="Z146" s="3" t="str">
        <f>Tab_Data_Flows[[#This Row],[E1_UoM]]</f>
        <v>Mg</v>
      </c>
      <c r="AA146" s="24">
        <f>_xlfn.XLOOKUP(Tab_Data_Flows[[#This Row],[Flow_Name]],Tab_Def_Flows[Flow_Name],Tab_Def_Flows[Flow_E4_Fraction'[%']],"N.A.",0,1)</f>
        <v>0</v>
      </c>
      <c r="AB146" s="3">
        <f>IF(H146="Yes",Tab_Data_Flows[[#This Row],[E4_Fraction'[%']]]*Tab_Data_Flows[[#This Row],[E1_value]],"N.A.")</f>
        <v>0</v>
      </c>
      <c r="AC146" s="3" t="str">
        <f>Tab_Data_Flows[[#This Row],[E1_UoM]]</f>
        <v>Mg</v>
      </c>
      <c r="AD146" s="24">
        <f>_xlfn.XLOOKUP(Tab_Data_Flows[[#This Row],[Flow_Name]],Tab_Def_Flows[Flow_Name],Tab_Def_Flows[Flow_E5_Fraction'[%']],"N.A.",0,1)</f>
        <v>0</v>
      </c>
      <c r="AE146" s="3">
        <f>IF(H146="Yes",Tab_Data_Flows[[#This Row],[E5_Fraction'[%']]]*Tab_Data_Flows[[#This Row],[E1_value]],"N.A.")</f>
        <v>0</v>
      </c>
      <c r="AF146" s="3" t="str">
        <f>Tab_Data_Flows[[#This Row],[E1_UoM]]</f>
        <v>Mg</v>
      </c>
      <c r="AG146" s="24">
        <f>_xlfn.XLOOKUP(Tab_Data_Flows[[#This Row],[Flow_Name]],Tab_Def_Flows[Flow_Name],Tab_Def_Flows[Flow_E6_Fraction'[%']],"N.A.",0,1)</f>
        <v>0</v>
      </c>
      <c r="AH146" s="3">
        <f>IF(Tab_Data_Flows[[#This Row],[Use_E6]]="Yes",Tab_Data_Flows[[#This Row],[E6_Fraction'[%']]]*Tab_Data_Flows[[#This Row],[E1_value]],"N.A.")</f>
        <v>0</v>
      </c>
      <c r="AI146" s="3" t="str">
        <f>Tab_Data_Flows[[#This Row],[E1_UoM]]</f>
        <v>Mg</v>
      </c>
    </row>
    <row r="147" spans="1:35" x14ac:dyDescent="0.25">
      <c r="A147" s="5">
        <f t="shared" si="5"/>
        <v>146</v>
      </c>
      <c r="B147" s="3" t="str">
        <f>_xlfn.XLOOKUP(C147,Tab_Def_Flows[Flow_Name],Tab_Def_Flows[Flow_ID],,0,)</f>
        <v>F__</v>
      </c>
      <c r="C147" s="23" t="s">
        <v>5</v>
      </c>
      <c r="D147" s="6" t="str">
        <f>_xlfn.XLOOKUP(C147,Tab_Def_Flows[Flow_Name],Tab_Def_Flows[Use_E1],,0,)</f>
        <v>Yes</v>
      </c>
      <c r="E147" s="6" t="str">
        <f>_xlfn.XLOOKUP(C147,Tab_Def_Flows[Flow_Name],Tab_Def_Flows[Use_E2],,0,)</f>
        <v>Yes</v>
      </c>
      <c r="F147" s="6" t="str">
        <f>_xlfn.XLOOKUP(C147,Tab_Def_Flows[Flow_Name],Tab_Def_Flows[Use_E3],,0,)</f>
        <v>Yes</v>
      </c>
      <c r="G147" s="6" t="str">
        <f>_xlfn.XLOOKUP(C147,Tab_Def_Flows[Flow_Name],Tab_Def_Flows[Use_E4],,0,)</f>
        <v>Yes</v>
      </c>
      <c r="H147" s="6" t="str">
        <f>_xlfn.XLOOKUP(C147,Tab_Def_Flows[Flow_Name],Tab_Def_Flows[Use_E5],,0,)</f>
        <v>Yes</v>
      </c>
      <c r="I147" s="6" t="str">
        <f>_xlfn.XLOOKUP(C147,Tab_Def_Flows[Flow_Name],Tab_Def_Flows[Use_E6],,0,)</f>
        <v>Yes</v>
      </c>
      <c r="J147" s="52"/>
      <c r="K147" s="53"/>
      <c r="L147" s="3" t="str">
        <f>'0_Configuration'!$C$41</f>
        <v>Mg</v>
      </c>
      <c r="M147" s="10"/>
      <c r="N147" s="23" t="s">
        <v>3</v>
      </c>
      <c r="O147" s="11"/>
      <c r="P147" s="4"/>
      <c r="Q147" s="10"/>
      <c r="R147" s="3">
        <f>_xlfn.XLOOKUP(Tab_Data_Flows[[#This Row],[Flow_Name]],Tab_Def_Flows[Flow_Name],Tab_Def_Flows[Flow_E1_Fraction'[%']],"N.A.",0,1)</f>
        <v>0</v>
      </c>
      <c r="S147" s="9">
        <f t="shared" si="4"/>
        <v>0</v>
      </c>
      <c r="T147" s="3" t="str">
        <f>Tab_Data_Flows[[#This Row],[UoM_Source]]</f>
        <v>Mg</v>
      </c>
      <c r="U147" s="24">
        <f>_xlfn.XLOOKUP(Tab_Data_Flows[[#This Row],[Flow_Name]],Tab_Def_Flows[Flow_Name],Tab_Def_Flows[Flow_E2_Fraction'[%']],"N.A.",0,1)</f>
        <v>0</v>
      </c>
      <c r="V147" s="3">
        <f>IF(D147="Yes",S147*Tab_Data_Flows[[#This Row],[E2_Fraction'[%']]],"N.A.")</f>
        <v>0</v>
      </c>
      <c r="W147" s="3" t="str">
        <f>Tab_Data_Flows[[#This Row],[E1_UoM]]</f>
        <v>Mg</v>
      </c>
      <c r="X147" s="24">
        <f>_xlfn.XLOOKUP(Tab_Data_Flows[[#This Row],[Flow_Name]],Tab_Def_Flows[Flow_Name],Tab_Def_Flows[Flow_E3_Fraction'[%']],"N.A.",0,1)</f>
        <v>0</v>
      </c>
      <c r="Y147" s="3">
        <f>IF(E147="Yes",X147*Tab_Data_Flows[[#This Row],[E1_value]],"N.A.")</f>
        <v>0</v>
      </c>
      <c r="Z147" s="3" t="str">
        <f>Tab_Data_Flows[[#This Row],[E1_UoM]]</f>
        <v>Mg</v>
      </c>
      <c r="AA147" s="24">
        <f>_xlfn.XLOOKUP(Tab_Data_Flows[[#This Row],[Flow_Name]],Tab_Def_Flows[Flow_Name],Tab_Def_Flows[Flow_E4_Fraction'[%']],"N.A.",0,1)</f>
        <v>0</v>
      </c>
      <c r="AB147" s="3">
        <f>IF(H147="Yes",Tab_Data_Flows[[#This Row],[E4_Fraction'[%']]]*Tab_Data_Flows[[#This Row],[E1_value]],"N.A.")</f>
        <v>0</v>
      </c>
      <c r="AC147" s="3" t="str">
        <f>Tab_Data_Flows[[#This Row],[E1_UoM]]</f>
        <v>Mg</v>
      </c>
      <c r="AD147" s="24">
        <f>_xlfn.XLOOKUP(Tab_Data_Flows[[#This Row],[Flow_Name]],Tab_Def_Flows[Flow_Name],Tab_Def_Flows[Flow_E5_Fraction'[%']],"N.A.",0,1)</f>
        <v>0</v>
      </c>
      <c r="AE147" s="3">
        <f>IF(H147="Yes",Tab_Data_Flows[[#This Row],[E5_Fraction'[%']]]*Tab_Data_Flows[[#This Row],[E1_value]],"N.A.")</f>
        <v>0</v>
      </c>
      <c r="AF147" s="3" t="str">
        <f>Tab_Data_Flows[[#This Row],[E1_UoM]]</f>
        <v>Mg</v>
      </c>
      <c r="AG147" s="24">
        <f>_xlfn.XLOOKUP(Tab_Data_Flows[[#This Row],[Flow_Name]],Tab_Def_Flows[Flow_Name],Tab_Def_Flows[Flow_E6_Fraction'[%']],"N.A.",0,1)</f>
        <v>0</v>
      </c>
      <c r="AH147" s="3">
        <f>IF(Tab_Data_Flows[[#This Row],[Use_E6]]="Yes",Tab_Data_Flows[[#This Row],[E6_Fraction'[%']]]*Tab_Data_Flows[[#This Row],[E1_value]],"N.A.")</f>
        <v>0</v>
      </c>
      <c r="AI147" s="3" t="str">
        <f>Tab_Data_Flows[[#This Row],[E1_UoM]]</f>
        <v>Mg</v>
      </c>
    </row>
    <row r="148" spans="1:35" x14ac:dyDescent="0.25">
      <c r="A148" s="5">
        <f t="shared" si="5"/>
        <v>147</v>
      </c>
      <c r="B148" s="3" t="str">
        <f>_xlfn.XLOOKUP(C148,Tab_Def_Flows[Flow_Name],Tab_Def_Flows[Flow_ID],,0,)</f>
        <v>F__</v>
      </c>
      <c r="C148" s="23" t="s">
        <v>5</v>
      </c>
      <c r="D148" s="6" t="str">
        <f>_xlfn.XLOOKUP(C148,Tab_Def_Flows[Flow_Name],Tab_Def_Flows[Use_E1],,0,)</f>
        <v>Yes</v>
      </c>
      <c r="E148" s="6" t="str">
        <f>_xlfn.XLOOKUP(C148,Tab_Def_Flows[Flow_Name],Tab_Def_Flows[Use_E2],,0,)</f>
        <v>Yes</v>
      </c>
      <c r="F148" s="6" t="str">
        <f>_xlfn.XLOOKUP(C148,Tab_Def_Flows[Flow_Name],Tab_Def_Flows[Use_E3],,0,)</f>
        <v>Yes</v>
      </c>
      <c r="G148" s="6" t="str">
        <f>_xlfn.XLOOKUP(C148,Tab_Def_Flows[Flow_Name],Tab_Def_Flows[Use_E4],,0,)</f>
        <v>Yes</v>
      </c>
      <c r="H148" s="6" t="str">
        <f>_xlfn.XLOOKUP(C148,Tab_Def_Flows[Flow_Name],Tab_Def_Flows[Use_E5],,0,)</f>
        <v>Yes</v>
      </c>
      <c r="I148" s="6" t="str">
        <f>_xlfn.XLOOKUP(C148,Tab_Def_Flows[Flow_Name],Tab_Def_Flows[Use_E6],,0,)</f>
        <v>Yes</v>
      </c>
      <c r="J148" s="52"/>
      <c r="K148" s="53"/>
      <c r="L148" s="3" t="str">
        <f>'0_Configuration'!$C$41</f>
        <v>Mg</v>
      </c>
      <c r="M148" s="10"/>
      <c r="N148" s="23" t="s">
        <v>3</v>
      </c>
      <c r="O148" s="11"/>
      <c r="P148" s="4"/>
      <c r="Q148" s="10"/>
      <c r="R148" s="3">
        <f>_xlfn.XLOOKUP(Tab_Data_Flows[[#This Row],[Flow_Name]],Tab_Def_Flows[Flow_Name],Tab_Def_Flows[Flow_E1_Fraction'[%']],"N.A.",0,1)</f>
        <v>0</v>
      </c>
      <c r="S148" s="9">
        <f t="shared" si="4"/>
        <v>0</v>
      </c>
      <c r="T148" s="3" t="str">
        <f>Tab_Data_Flows[[#This Row],[UoM_Source]]</f>
        <v>Mg</v>
      </c>
      <c r="U148" s="24">
        <f>_xlfn.XLOOKUP(Tab_Data_Flows[[#This Row],[Flow_Name]],Tab_Def_Flows[Flow_Name],Tab_Def_Flows[Flow_E2_Fraction'[%']],"N.A.",0,1)</f>
        <v>0</v>
      </c>
      <c r="V148" s="3">
        <f>IF(D148="Yes",S148*Tab_Data_Flows[[#This Row],[E2_Fraction'[%']]],"N.A.")</f>
        <v>0</v>
      </c>
      <c r="W148" s="3" t="str">
        <f>Tab_Data_Flows[[#This Row],[E1_UoM]]</f>
        <v>Mg</v>
      </c>
      <c r="X148" s="24">
        <f>_xlfn.XLOOKUP(Tab_Data_Flows[[#This Row],[Flow_Name]],Tab_Def_Flows[Flow_Name],Tab_Def_Flows[Flow_E3_Fraction'[%']],"N.A.",0,1)</f>
        <v>0</v>
      </c>
      <c r="Y148" s="3">
        <f>IF(E148="Yes",X148*Tab_Data_Flows[[#This Row],[E1_value]],"N.A.")</f>
        <v>0</v>
      </c>
      <c r="Z148" s="3" t="str">
        <f>Tab_Data_Flows[[#This Row],[E1_UoM]]</f>
        <v>Mg</v>
      </c>
      <c r="AA148" s="24">
        <f>_xlfn.XLOOKUP(Tab_Data_Flows[[#This Row],[Flow_Name]],Tab_Def_Flows[Flow_Name],Tab_Def_Flows[Flow_E4_Fraction'[%']],"N.A.",0,1)</f>
        <v>0</v>
      </c>
      <c r="AB148" s="3">
        <f>IF(H148="Yes",Tab_Data_Flows[[#This Row],[E4_Fraction'[%']]]*Tab_Data_Flows[[#This Row],[E1_value]],"N.A.")</f>
        <v>0</v>
      </c>
      <c r="AC148" s="3" t="str">
        <f>Tab_Data_Flows[[#This Row],[E1_UoM]]</f>
        <v>Mg</v>
      </c>
      <c r="AD148" s="24">
        <f>_xlfn.XLOOKUP(Tab_Data_Flows[[#This Row],[Flow_Name]],Tab_Def_Flows[Flow_Name],Tab_Def_Flows[Flow_E5_Fraction'[%']],"N.A.",0,1)</f>
        <v>0</v>
      </c>
      <c r="AE148" s="3">
        <f>IF(H148="Yes",Tab_Data_Flows[[#This Row],[E5_Fraction'[%']]]*Tab_Data_Flows[[#This Row],[E1_value]],"N.A.")</f>
        <v>0</v>
      </c>
      <c r="AF148" s="3" t="str">
        <f>Tab_Data_Flows[[#This Row],[E1_UoM]]</f>
        <v>Mg</v>
      </c>
      <c r="AG148" s="24">
        <f>_xlfn.XLOOKUP(Tab_Data_Flows[[#This Row],[Flow_Name]],Tab_Def_Flows[Flow_Name],Tab_Def_Flows[Flow_E6_Fraction'[%']],"N.A.",0,1)</f>
        <v>0</v>
      </c>
      <c r="AH148" s="3">
        <f>IF(Tab_Data_Flows[[#This Row],[Use_E6]]="Yes",Tab_Data_Flows[[#This Row],[E6_Fraction'[%']]]*Tab_Data_Flows[[#This Row],[E1_value]],"N.A.")</f>
        <v>0</v>
      </c>
      <c r="AI148" s="3" t="str">
        <f>Tab_Data_Flows[[#This Row],[E1_UoM]]</f>
        <v>Mg</v>
      </c>
    </row>
    <row r="149" spans="1:35" x14ac:dyDescent="0.25">
      <c r="A149" s="5">
        <f t="shared" si="5"/>
        <v>148</v>
      </c>
      <c r="B149" s="3" t="str">
        <f>_xlfn.XLOOKUP(C149,Tab_Def_Flows[Flow_Name],Tab_Def_Flows[Flow_ID],,0,)</f>
        <v>F__</v>
      </c>
      <c r="C149" s="23" t="s">
        <v>5</v>
      </c>
      <c r="D149" s="6" t="str">
        <f>_xlfn.XLOOKUP(C149,Tab_Def_Flows[Flow_Name],Tab_Def_Flows[Use_E1],,0,)</f>
        <v>Yes</v>
      </c>
      <c r="E149" s="6" t="str">
        <f>_xlfn.XLOOKUP(C149,Tab_Def_Flows[Flow_Name],Tab_Def_Flows[Use_E2],,0,)</f>
        <v>Yes</v>
      </c>
      <c r="F149" s="6" t="str">
        <f>_xlfn.XLOOKUP(C149,Tab_Def_Flows[Flow_Name],Tab_Def_Flows[Use_E3],,0,)</f>
        <v>Yes</v>
      </c>
      <c r="G149" s="6" t="str">
        <f>_xlfn.XLOOKUP(C149,Tab_Def_Flows[Flow_Name],Tab_Def_Flows[Use_E4],,0,)</f>
        <v>Yes</v>
      </c>
      <c r="H149" s="6" t="str">
        <f>_xlfn.XLOOKUP(C149,Tab_Def_Flows[Flow_Name],Tab_Def_Flows[Use_E5],,0,)</f>
        <v>Yes</v>
      </c>
      <c r="I149" s="6" t="str">
        <f>_xlfn.XLOOKUP(C149,Tab_Def_Flows[Flow_Name],Tab_Def_Flows[Use_E6],,0,)</f>
        <v>Yes</v>
      </c>
      <c r="J149" s="52"/>
      <c r="K149" s="53"/>
      <c r="L149" s="3" t="str">
        <f>'0_Configuration'!$C$41</f>
        <v>Mg</v>
      </c>
      <c r="M149" s="10"/>
      <c r="N149" s="23" t="s">
        <v>3</v>
      </c>
      <c r="O149" s="11"/>
      <c r="P149" s="4"/>
      <c r="Q149" s="10"/>
      <c r="R149" s="3">
        <f>_xlfn.XLOOKUP(Tab_Data_Flows[[#This Row],[Flow_Name]],Tab_Def_Flows[Flow_Name],Tab_Def_Flows[Flow_E1_Fraction'[%']],"N.A.",0,1)</f>
        <v>0</v>
      </c>
      <c r="S149" s="9">
        <f t="shared" si="4"/>
        <v>0</v>
      </c>
      <c r="T149" s="3" t="str">
        <f>Tab_Data_Flows[[#This Row],[UoM_Source]]</f>
        <v>Mg</v>
      </c>
      <c r="U149" s="24">
        <f>_xlfn.XLOOKUP(Tab_Data_Flows[[#This Row],[Flow_Name]],Tab_Def_Flows[Flow_Name],Tab_Def_Flows[Flow_E2_Fraction'[%']],"N.A.",0,1)</f>
        <v>0</v>
      </c>
      <c r="V149" s="3">
        <f>IF(D149="Yes",S149*Tab_Data_Flows[[#This Row],[E2_Fraction'[%']]],"N.A.")</f>
        <v>0</v>
      </c>
      <c r="W149" s="3" t="str">
        <f>Tab_Data_Flows[[#This Row],[E1_UoM]]</f>
        <v>Mg</v>
      </c>
      <c r="X149" s="24">
        <f>_xlfn.XLOOKUP(Tab_Data_Flows[[#This Row],[Flow_Name]],Tab_Def_Flows[Flow_Name],Tab_Def_Flows[Flow_E3_Fraction'[%']],"N.A.",0,1)</f>
        <v>0</v>
      </c>
      <c r="Y149" s="3">
        <f>IF(E149="Yes",X149*Tab_Data_Flows[[#This Row],[E1_value]],"N.A.")</f>
        <v>0</v>
      </c>
      <c r="Z149" s="3" t="str">
        <f>Tab_Data_Flows[[#This Row],[E1_UoM]]</f>
        <v>Mg</v>
      </c>
      <c r="AA149" s="24">
        <f>_xlfn.XLOOKUP(Tab_Data_Flows[[#This Row],[Flow_Name]],Tab_Def_Flows[Flow_Name],Tab_Def_Flows[Flow_E4_Fraction'[%']],"N.A.",0,1)</f>
        <v>0</v>
      </c>
      <c r="AB149" s="3">
        <f>IF(H149="Yes",Tab_Data_Flows[[#This Row],[E4_Fraction'[%']]]*Tab_Data_Flows[[#This Row],[E1_value]],"N.A.")</f>
        <v>0</v>
      </c>
      <c r="AC149" s="3" t="str">
        <f>Tab_Data_Flows[[#This Row],[E1_UoM]]</f>
        <v>Mg</v>
      </c>
      <c r="AD149" s="24">
        <f>_xlfn.XLOOKUP(Tab_Data_Flows[[#This Row],[Flow_Name]],Tab_Def_Flows[Flow_Name],Tab_Def_Flows[Flow_E5_Fraction'[%']],"N.A.",0,1)</f>
        <v>0</v>
      </c>
      <c r="AE149" s="3">
        <f>IF(H149="Yes",Tab_Data_Flows[[#This Row],[E5_Fraction'[%']]]*Tab_Data_Flows[[#This Row],[E1_value]],"N.A.")</f>
        <v>0</v>
      </c>
      <c r="AF149" s="3" t="str">
        <f>Tab_Data_Flows[[#This Row],[E1_UoM]]</f>
        <v>Mg</v>
      </c>
      <c r="AG149" s="24">
        <f>_xlfn.XLOOKUP(Tab_Data_Flows[[#This Row],[Flow_Name]],Tab_Def_Flows[Flow_Name],Tab_Def_Flows[Flow_E6_Fraction'[%']],"N.A.",0,1)</f>
        <v>0</v>
      </c>
      <c r="AH149" s="3">
        <f>IF(Tab_Data_Flows[[#This Row],[Use_E6]]="Yes",Tab_Data_Flows[[#This Row],[E6_Fraction'[%']]]*Tab_Data_Flows[[#This Row],[E1_value]],"N.A.")</f>
        <v>0</v>
      </c>
      <c r="AI149" s="3" t="str">
        <f>Tab_Data_Flows[[#This Row],[E1_UoM]]</f>
        <v>Mg</v>
      </c>
    </row>
    <row r="150" spans="1:35" x14ac:dyDescent="0.25">
      <c r="A150" s="5">
        <f t="shared" si="5"/>
        <v>149</v>
      </c>
      <c r="B150" s="3" t="str">
        <f>_xlfn.XLOOKUP(C150,Tab_Def_Flows[Flow_Name],Tab_Def_Flows[Flow_ID],,0,)</f>
        <v>F__</v>
      </c>
      <c r="C150" s="23" t="s">
        <v>5</v>
      </c>
      <c r="D150" s="6" t="str">
        <f>_xlfn.XLOOKUP(C150,Tab_Def_Flows[Flow_Name],Tab_Def_Flows[Use_E1],,0,)</f>
        <v>Yes</v>
      </c>
      <c r="E150" s="6" t="str">
        <f>_xlfn.XLOOKUP(C150,Tab_Def_Flows[Flow_Name],Tab_Def_Flows[Use_E2],,0,)</f>
        <v>Yes</v>
      </c>
      <c r="F150" s="6" t="str">
        <f>_xlfn.XLOOKUP(C150,Tab_Def_Flows[Flow_Name],Tab_Def_Flows[Use_E3],,0,)</f>
        <v>Yes</v>
      </c>
      <c r="G150" s="6" t="str">
        <f>_xlfn.XLOOKUP(C150,Tab_Def_Flows[Flow_Name],Tab_Def_Flows[Use_E4],,0,)</f>
        <v>Yes</v>
      </c>
      <c r="H150" s="6" t="str">
        <f>_xlfn.XLOOKUP(C150,Tab_Def_Flows[Flow_Name],Tab_Def_Flows[Use_E5],,0,)</f>
        <v>Yes</v>
      </c>
      <c r="I150" s="6" t="str">
        <f>_xlfn.XLOOKUP(C150,Tab_Def_Flows[Flow_Name],Tab_Def_Flows[Use_E6],,0,)</f>
        <v>Yes</v>
      </c>
      <c r="J150" s="52"/>
      <c r="K150" s="53"/>
      <c r="L150" s="3" t="str">
        <f>'0_Configuration'!$C$41</f>
        <v>Mg</v>
      </c>
      <c r="M150" s="10"/>
      <c r="N150" s="23" t="s">
        <v>3</v>
      </c>
      <c r="O150" s="11"/>
      <c r="P150" s="4"/>
      <c r="Q150" s="10"/>
      <c r="R150" s="3">
        <f>_xlfn.XLOOKUP(Tab_Data_Flows[[#This Row],[Flow_Name]],Tab_Def_Flows[Flow_Name],Tab_Def_Flows[Flow_E1_Fraction'[%']],"N.A.",0,1)</f>
        <v>0</v>
      </c>
      <c r="S150" s="9">
        <f t="shared" si="4"/>
        <v>0</v>
      </c>
      <c r="T150" s="3" t="str">
        <f>Tab_Data_Flows[[#This Row],[UoM_Source]]</f>
        <v>Mg</v>
      </c>
      <c r="U150" s="24">
        <f>_xlfn.XLOOKUP(Tab_Data_Flows[[#This Row],[Flow_Name]],Tab_Def_Flows[Flow_Name],Tab_Def_Flows[Flow_E2_Fraction'[%']],"N.A.",0,1)</f>
        <v>0</v>
      </c>
      <c r="V150" s="3">
        <f>IF(D150="Yes",S150*Tab_Data_Flows[[#This Row],[E2_Fraction'[%']]],"N.A.")</f>
        <v>0</v>
      </c>
      <c r="W150" s="3" t="str">
        <f>Tab_Data_Flows[[#This Row],[E1_UoM]]</f>
        <v>Mg</v>
      </c>
      <c r="X150" s="24">
        <f>_xlfn.XLOOKUP(Tab_Data_Flows[[#This Row],[Flow_Name]],Tab_Def_Flows[Flow_Name],Tab_Def_Flows[Flow_E3_Fraction'[%']],"N.A.",0,1)</f>
        <v>0</v>
      </c>
      <c r="Y150" s="3">
        <f>IF(E150="Yes",X150*Tab_Data_Flows[[#This Row],[E1_value]],"N.A.")</f>
        <v>0</v>
      </c>
      <c r="Z150" s="3" t="str">
        <f>Tab_Data_Flows[[#This Row],[E1_UoM]]</f>
        <v>Mg</v>
      </c>
      <c r="AA150" s="24">
        <f>_xlfn.XLOOKUP(Tab_Data_Flows[[#This Row],[Flow_Name]],Tab_Def_Flows[Flow_Name],Tab_Def_Flows[Flow_E4_Fraction'[%']],"N.A.",0,1)</f>
        <v>0</v>
      </c>
      <c r="AB150" s="3">
        <f>IF(H150="Yes",Tab_Data_Flows[[#This Row],[E4_Fraction'[%']]]*Tab_Data_Flows[[#This Row],[E1_value]],"N.A.")</f>
        <v>0</v>
      </c>
      <c r="AC150" s="3" t="str">
        <f>Tab_Data_Flows[[#This Row],[E1_UoM]]</f>
        <v>Mg</v>
      </c>
      <c r="AD150" s="24">
        <f>_xlfn.XLOOKUP(Tab_Data_Flows[[#This Row],[Flow_Name]],Tab_Def_Flows[Flow_Name],Tab_Def_Flows[Flow_E5_Fraction'[%']],"N.A.",0,1)</f>
        <v>0</v>
      </c>
      <c r="AE150" s="3">
        <f>IF(H150="Yes",Tab_Data_Flows[[#This Row],[E5_Fraction'[%']]]*Tab_Data_Flows[[#This Row],[E1_value]],"N.A.")</f>
        <v>0</v>
      </c>
      <c r="AF150" s="3" t="str">
        <f>Tab_Data_Flows[[#This Row],[E1_UoM]]</f>
        <v>Mg</v>
      </c>
      <c r="AG150" s="24">
        <f>_xlfn.XLOOKUP(Tab_Data_Flows[[#This Row],[Flow_Name]],Tab_Def_Flows[Flow_Name],Tab_Def_Flows[Flow_E6_Fraction'[%']],"N.A.",0,1)</f>
        <v>0</v>
      </c>
      <c r="AH150" s="3">
        <f>IF(Tab_Data_Flows[[#This Row],[Use_E6]]="Yes",Tab_Data_Flows[[#This Row],[E6_Fraction'[%']]]*Tab_Data_Flows[[#This Row],[E1_value]],"N.A.")</f>
        <v>0</v>
      </c>
      <c r="AI150" s="3" t="str">
        <f>Tab_Data_Flows[[#This Row],[E1_UoM]]</f>
        <v>Mg</v>
      </c>
    </row>
    <row r="151" spans="1:35" x14ac:dyDescent="0.25">
      <c r="A151" s="5">
        <f t="shared" si="5"/>
        <v>150</v>
      </c>
      <c r="B151" s="3" t="str">
        <f>_xlfn.XLOOKUP(C151,Tab_Def_Flows[Flow_Name],Tab_Def_Flows[Flow_ID],,0,)</f>
        <v>F__</v>
      </c>
      <c r="C151" s="23" t="s">
        <v>5</v>
      </c>
      <c r="D151" s="6" t="str">
        <f>_xlfn.XLOOKUP(C151,Tab_Def_Flows[Flow_Name],Tab_Def_Flows[Use_E1],,0,)</f>
        <v>Yes</v>
      </c>
      <c r="E151" s="6" t="str">
        <f>_xlfn.XLOOKUP(C151,Tab_Def_Flows[Flow_Name],Tab_Def_Flows[Use_E2],,0,)</f>
        <v>Yes</v>
      </c>
      <c r="F151" s="6" t="str">
        <f>_xlfn.XLOOKUP(C151,Tab_Def_Flows[Flow_Name],Tab_Def_Flows[Use_E3],,0,)</f>
        <v>Yes</v>
      </c>
      <c r="G151" s="6" t="str">
        <f>_xlfn.XLOOKUP(C151,Tab_Def_Flows[Flow_Name],Tab_Def_Flows[Use_E4],,0,)</f>
        <v>Yes</v>
      </c>
      <c r="H151" s="6" t="str">
        <f>_xlfn.XLOOKUP(C151,Tab_Def_Flows[Flow_Name],Tab_Def_Flows[Use_E5],,0,)</f>
        <v>Yes</v>
      </c>
      <c r="I151" s="6" t="str">
        <f>_xlfn.XLOOKUP(C151,Tab_Def_Flows[Flow_Name],Tab_Def_Flows[Use_E6],,0,)</f>
        <v>Yes</v>
      </c>
      <c r="J151" s="52"/>
      <c r="K151" s="53"/>
      <c r="L151" s="3" t="str">
        <f>'0_Configuration'!$C$41</f>
        <v>Mg</v>
      </c>
      <c r="M151" s="10"/>
      <c r="N151" s="23" t="s">
        <v>3</v>
      </c>
      <c r="O151" s="11"/>
      <c r="P151" s="4"/>
      <c r="Q151" s="10"/>
      <c r="R151" s="3">
        <f>_xlfn.XLOOKUP(Tab_Data_Flows[[#This Row],[Flow_Name]],Tab_Def_Flows[Flow_Name],Tab_Def_Flows[Flow_E1_Fraction'[%']],"N.A.",0,1)</f>
        <v>0</v>
      </c>
      <c r="S151" s="9">
        <f t="shared" si="4"/>
        <v>0</v>
      </c>
      <c r="T151" s="3" t="str">
        <f>Tab_Data_Flows[[#This Row],[UoM_Source]]</f>
        <v>Mg</v>
      </c>
      <c r="U151" s="24">
        <f>_xlfn.XLOOKUP(Tab_Data_Flows[[#This Row],[Flow_Name]],Tab_Def_Flows[Flow_Name],Tab_Def_Flows[Flow_E2_Fraction'[%']],"N.A.",0,1)</f>
        <v>0</v>
      </c>
      <c r="V151" s="3">
        <f>IF(D151="Yes",S151*Tab_Data_Flows[[#This Row],[E2_Fraction'[%']]],"N.A.")</f>
        <v>0</v>
      </c>
      <c r="W151" s="3" t="str">
        <f>Tab_Data_Flows[[#This Row],[E1_UoM]]</f>
        <v>Mg</v>
      </c>
      <c r="X151" s="24">
        <f>_xlfn.XLOOKUP(Tab_Data_Flows[[#This Row],[Flow_Name]],Tab_Def_Flows[Flow_Name],Tab_Def_Flows[Flow_E3_Fraction'[%']],"N.A.",0,1)</f>
        <v>0</v>
      </c>
      <c r="Y151" s="3">
        <f>IF(E151="Yes",X151*Tab_Data_Flows[[#This Row],[E1_value]],"N.A.")</f>
        <v>0</v>
      </c>
      <c r="Z151" s="3" t="str">
        <f>Tab_Data_Flows[[#This Row],[E1_UoM]]</f>
        <v>Mg</v>
      </c>
      <c r="AA151" s="24">
        <f>_xlfn.XLOOKUP(Tab_Data_Flows[[#This Row],[Flow_Name]],Tab_Def_Flows[Flow_Name],Tab_Def_Flows[Flow_E4_Fraction'[%']],"N.A.",0,1)</f>
        <v>0</v>
      </c>
      <c r="AB151" s="3">
        <f>IF(H151="Yes",Tab_Data_Flows[[#This Row],[E4_Fraction'[%']]]*Tab_Data_Flows[[#This Row],[E1_value]],"N.A.")</f>
        <v>0</v>
      </c>
      <c r="AC151" s="3" t="str">
        <f>Tab_Data_Flows[[#This Row],[E1_UoM]]</f>
        <v>Mg</v>
      </c>
      <c r="AD151" s="24">
        <f>_xlfn.XLOOKUP(Tab_Data_Flows[[#This Row],[Flow_Name]],Tab_Def_Flows[Flow_Name],Tab_Def_Flows[Flow_E5_Fraction'[%']],"N.A.",0,1)</f>
        <v>0</v>
      </c>
      <c r="AE151" s="3">
        <f>IF(H151="Yes",Tab_Data_Flows[[#This Row],[E5_Fraction'[%']]]*Tab_Data_Flows[[#This Row],[E1_value]],"N.A.")</f>
        <v>0</v>
      </c>
      <c r="AF151" s="3" t="str">
        <f>Tab_Data_Flows[[#This Row],[E1_UoM]]</f>
        <v>Mg</v>
      </c>
      <c r="AG151" s="24">
        <f>_xlfn.XLOOKUP(Tab_Data_Flows[[#This Row],[Flow_Name]],Tab_Def_Flows[Flow_Name],Tab_Def_Flows[Flow_E6_Fraction'[%']],"N.A.",0,1)</f>
        <v>0</v>
      </c>
      <c r="AH151" s="3">
        <f>IF(Tab_Data_Flows[[#This Row],[Use_E6]]="Yes",Tab_Data_Flows[[#This Row],[E6_Fraction'[%']]]*Tab_Data_Flows[[#This Row],[E1_value]],"N.A.")</f>
        <v>0</v>
      </c>
      <c r="AI151" s="3" t="str">
        <f>Tab_Data_Flows[[#This Row],[E1_UoM]]</f>
        <v>Mg</v>
      </c>
    </row>
    <row r="152" spans="1:35" x14ac:dyDescent="0.25">
      <c r="A152" s="5">
        <f t="shared" si="5"/>
        <v>151</v>
      </c>
      <c r="B152" s="3" t="str">
        <f>_xlfn.XLOOKUP(C152,Tab_Def_Flows[Flow_Name],Tab_Def_Flows[Flow_ID],,0,)</f>
        <v>F__</v>
      </c>
      <c r="C152" s="23" t="s">
        <v>5</v>
      </c>
      <c r="D152" s="6" t="str">
        <f>_xlfn.XLOOKUP(C152,Tab_Def_Flows[Flow_Name],Tab_Def_Flows[Use_E1],,0,)</f>
        <v>Yes</v>
      </c>
      <c r="E152" s="6" t="str">
        <f>_xlfn.XLOOKUP(C152,Tab_Def_Flows[Flow_Name],Tab_Def_Flows[Use_E2],,0,)</f>
        <v>Yes</v>
      </c>
      <c r="F152" s="6" t="str">
        <f>_xlfn.XLOOKUP(C152,Tab_Def_Flows[Flow_Name],Tab_Def_Flows[Use_E3],,0,)</f>
        <v>Yes</v>
      </c>
      <c r="G152" s="6" t="str">
        <f>_xlfn.XLOOKUP(C152,Tab_Def_Flows[Flow_Name],Tab_Def_Flows[Use_E4],,0,)</f>
        <v>Yes</v>
      </c>
      <c r="H152" s="6" t="str">
        <f>_xlfn.XLOOKUP(C152,Tab_Def_Flows[Flow_Name],Tab_Def_Flows[Use_E5],,0,)</f>
        <v>Yes</v>
      </c>
      <c r="I152" s="6" t="str">
        <f>_xlfn.XLOOKUP(C152,Tab_Def_Flows[Flow_Name],Tab_Def_Flows[Use_E6],,0,)</f>
        <v>Yes</v>
      </c>
      <c r="J152" s="52"/>
      <c r="K152" s="53"/>
      <c r="L152" s="3" t="str">
        <f>'0_Configuration'!$C$41</f>
        <v>Mg</v>
      </c>
      <c r="M152" s="10"/>
      <c r="N152" s="23" t="s">
        <v>3</v>
      </c>
      <c r="O152" s="11"/>
      <c r="P152" s="4"/>
      <c r="Q152" s="10"/>
      <c r="R152" s="3">
        <f>_xlfn.XLOOKUP(Tab_Data_Flows[[#This Row],[Flow_Name]],Tab_Def_Flows[Flow_Name],Tab_Def_Flows[Flow_E1_Fraction'[%']],"N.A.",0,1)</f>
        <v>0</v>
      </c>
      <c r="S152" s="9">
        <f t="shared" si="4"/>
        <v>0</v>
      </c>
      <c r="T152" s="3" t="str">
        <f>Tab_Data_Flows[[#This Row],[UoM_Source]]</f>
        <v>Mg</v>
      </c>
      <c r="U152" s="24">
        <f>_xlfn.XLOOKUP(Tab_Data_Flows[[#This Row],[Flow_Name]],Tab_Def_Flows[Flow_Name],Tab_Def_Flows[Flow_E2_Fraction'[%']],"N.A.",0,1)</f>
        <v>0</v>
      </c>
      <c r="V152" s="3">
        <f>IF(D152="Yes",S152*Tab_Data_Flows[[#This Row],[E2_Fraction'[%']]],"N.A.")</f>
        <v>0</v>
      </c>
      <c r="W152" s="3" t="str">
        <f>Tab_Data_Flows[[#This Row],[E1_UoM]]</f>
        <v>Mg</v>
      </c>
      <c r="X152" s="24">
        <f>_xlfn.XLOOKUP(Tab_Data_Flows[[#This Row],[Flow_Name]],Tab_Def_Flows[Flow_Name],Tab_Def_Flows[Flow_E3_Fraction'[%']],"N.A.",0,1)</f>
        <v>0</v>
      </c>
      <c r="Y152" s="3">
        <f>IF(E152="Yes",X152*Tab_Data_Flows[[#This Row],[E1_value]],"N.A.")</f>
        <v>0</v>
      </c>
      <c r="Z152" s="3" t="str">
        <f>Tab_Data_Flows[[#This Row],[E1_UoM]]</f>
        <v>Mg</v>
      </c>
      <c r="AA152" s="24">
        <f>_xlfn.XLOOKUP(Tab_Data_Flows[[#This Row],[Flow_Name]],Tab_Def_Flows[Flow_Name],Tab_Def_Flows[Flow_E4_Fraction'[%']],"N.A.",0,1)</f>
        <v>0</v>
      </c>
      <c r="AB152" s="3">
        <f>IF(H152="Yes",Tab_Data_Flows[[#This Row],[E4_Fraction'[%']]]*Tab_Data_Flows[[#This Row],[E1_value]],"N.A.")</f>
        <v>0</v>
      </c>
      <c r="AC152" s="3" t="str">
        <f>Tab_Data_Flows[[#This Row],[E1_UoM]]</f>
        <v>Mg</v>
      </c>
      <c r="AD152" s="24">
        <f>_xlfn.XLOOKUP(Tab_Data_Flows[[#This Row],[Flow_Name]],Tab_Def_Flows[Flow_Name],Tab_Def_Flows[Flow_E5_Fraction'[%']],"N.A.",0,1)</f>
        <v>0</v>
      </c>
      <c r="AE152" s="3">
        <f>IF(H152="Yes",Tab_Data_Flows[[#This Row],[E5_Fraction'[%']]]*Tab_Data_Flows[[#This Row],[E1_value]],"N.A.")</f>
        <v>0</v>
      </c>
      <c r="AF152" s="3" t="str">
        <f>Tab_Data_Flows[[#This Row],[E1_UoM]]</f>
        <v>Mg</v>
      </c>
      <c r="AG152" s="24">
        <f>_xlfn.XLOOKUP(Tab_Data_Flows[[#This Row],[Flow_Name]],Tab_Def_Flows[Flow_Name],Tab_Def_Flows[Flow_E6_Fraction'[%']],"N.A.",0,1)</f>
        <v>0</v>
      </c>
      <c r="AH152" s="3">
        <f>IF(Tab_Data_Flows[[#This Row],[Use_E6]]="Yes",Tab_Data_Flows[[#This Row],[E6_Fraction'[%']]]*Tab_Data_Flows[[#This Row],[E1_value]],"N.A.")</f>
        <v>0</v>
      </c>
      <c r="AI152" s="3" t="str">
        <f>Tab_Data_Flows[[#This Row],[E1_UoM]]</f>
        <v>Mg</v>
      </c>
    </row>
    <row r="153" spans="1:35" x14ac:dyDescent="0.25">
      <c r="A153" s="5">
        <f t="shared" si="5"/>
        <v>152</v>
      </c>
      <c r="B153" s="3" t="str">
        <f>_xlfn.XLOOKUP(C153,Tab_Def_Flows[Flow_Name],Tab_Def_Flows[Flow_ID],,0,)</f>
        <v>F__</v>
      </c>
      <c r="C153" s="23" t="s">
        <v>5</v>
      </c>
      <c r="D153" s="6" t="str">
        <f>_xlfn.XLOOKUP(C153,Tab_Def_Flows[Flow_Name],Tab_Def_Flows[Use_E1],,0,)</f>
        <v>Yes</v>
      </c>
      <c r="E153" s="6" t="str">
        <f>_xlfn.XLOOKUP(C153,Tab_Def_Flows[Flow_Name],Tab_Def_Flows[Use_E2],,0,)</f>
        <v>Yes</v>
      </c>
      <c r="F153" s="6" t="str">
        <f>_xlfn.XLOOKUP(C153,Tab_Def_Flows[Flow_Name],Tab_Def_Flows[Use_E3],,0,)</f>
        <v>Yes</v>
      </c>
      <c r="G153" s="6" t="str">
        <f>_xlfn.XLOOKUP(C153,Tab_Def_Flows[Flow_Name],Tab_Def_Flows[Use_E4],,0,)</f>
        <v>Yes</v>
      </c>
      <c r="H153" s="6" t="str">
        <f>_xlfn.XLOOKUP(C153,Tab_Def_Flows[Flow_Name],Tab_Def_Flows[Use_E5],,0,)</f>
        <v>Yes</v>
      </c>
      <c r="I153" s="6" t="str">
        <f>_xlfn.XLOOKUP(C153,Tab_Def_Flows[Flow_Name],Tab_Def_Flows[Use_E6],,0,)</f>
        <v>Yes</v>
      </c>
      <c r="J153" s="52"/>
      <c r="K153" s="53"/>
      <c r="L153" s="3" t="str">
        <f>'0_Configuration'!$C$41</f>
        <v>Mg</v>
      </c>
      <c r="M153" s="10"/>
      <c r="N153" s="23" t="s">
        <v>3</v>
      </c>
      <c r="O153" s="11"/>
      <c r="P153" s="4"/>
      <c r="Q153" s="10"/>
      <c r="R153" s="3">
        <f>_xlfn.XLOOKUP(Tab_Data_Flows[[#This Row],[Flow_Name]],Tab_Def_Flows[Flow_Name],Tab_Def_Flows[Flow_E1_Fraction'[%']],"N.A.",0,1)</f>
        <v>0</v>
      </c>
      <c r="S153" s="9">
        <f t="shared" si="4"/>
        <v>0</v>
      </c>
      <c r="T153" s="3" t="str">
        <f>Tab_Data_Flows[[#This Row],[UoM_Source]]</f>
        <v>Mg</v>
      </c>
      <c r="U153" s="24">
        <f>_xlfn.XLOOKUP(Tab_Data_Flows[[#This Row],[Flow_Name]],Tab_Def_Flows[Flow_Name],Tab_Def_Flows[Flow_E2_Fraction'[%']],"N.A.",0,1)</f>
        <v>0</v>
      </c>
      <c r="V153" s="3">
        <f>IF(D153="Yes",S153*Tab_Data_Flows[[#This Row],[E2_Fraction'[%']]],"N.A.")</f>
        <v>0</v>
      </c>
      <c r="W153" s="3" t="str">
        <f>Tab_Data_Flows[[#This Row],[E1_UoM]]</f>
        <v>Mg</v>
      </c>
      <c r="X153" s="24">
        <f>_xlfn.XLOOKUP(Tab_Data_Flows[[#This Row],[Flow_Name]],Tab_Def_Flows[Flow_Name],Tab_Def_Flows[Flow_E3_Fraction'[%']],"N.A.",0,1)</f>
        <v>0</v>
      </c>
      <c r="Y153" s="3">
        <f>IF(E153="Yes",X153*Tab_Data_Flows[[#This Row],[E1_value]],"N.A.")</f>
        <v>0</v>
      </c>
      <c r="Z153" s="3" t="str">
        <f>Tab_Data_Flows[[#This Row],[E1_UoM]]</f>
        <v>Mg</v>
      </c>
      <c r="AA153" s="24">
        <f>_xlfn.XLOOKUP(Tab_Data_Flows[[#This Row],[Flow_Name]],Tab_Def_Flows[Flow_Name],Tab_Def_Flows[Flow_E4_Fraction'[%']],"N.A.",0,1)</f>
        <v>0</v>
      </c>
      <c r="AB153" s="3">
        <f>IF(H153="Yes",Tab_Data_Flows[[#This Row],[E4_Fraction'[%']]]*Tab_Data_Flows[[#This Row],[E1_value]],"N.A.")</f>
        <v>0</v>
      </c>
      <c r="AC153" s="3" t="str">
        <f>Tab_Data_Flows[[#This Row],[E1_UoM]]</f>
        <v>Mg</v>
      </c>
      <c r="AD153" s="24">
        <f>_xlfn.XLOOKUP(Tab_Data_Flows[[#This Row],[Flow_Name]],Tab_Def_Flows[Flow_Name],Tab_Def_Flows[Flow_E5_Fraction'[%']],"N.A.",0,1)</f>
        <v>0</v>
      </c>
      <c r="AE153" s="3">
        <f>IF(H153="Yes",Tab_Data_Flows[[#This Row],[E5_Fraction'[%']]]*Tab_Data_Flows[[#This Row],[E1_value]],"N.A.")</f>
        <v>0</v>
      </c>
      <c r="AF153" s="3" t="str">
        <f>Tab_Data_Flows[[#This Row],[E1_UoM]]</f>
        <v>Mg</v>
      </c>
      <c r="AG153" s="24">
        <f>_xlfn.XLOOKUP(Tab_Data_Flows[[#This Row],[Flow_Name]],Tab_Def_Flows[Flow_Name],Tab_Def_Flows[Flow_E6_Fraction'[%']],"N.A.",0,1)</f>
        <v>0</v>
      </c>
      <c r="AH153" s="3">
        <f>IF(Tab_Data_Flows[[#This Row],[Use_E6]]="Yes",Tab_Data_Flows[[#This Row],[E6_Fraction'[%']]]*Tab_Data_Flows[[#This Row],[E1_value]],"N.A.")</f>
        <v>0</v>
      </c>
      <c r="AI153" s="3" t="str">
        <f>Tab_Data_Flows[[#This Row],[E1_UoM]]</f>
        <v>Mg</v>
      </c>
    </row>
    <row r="154" spans="1:35" x14ac:dyDescent="0.25">
      <c r="A154" s="5">
        <f t="shared" si="5"/>
        <v>153</v>
      </c>
      <c r="B154" s="3" t="str">
        <f>_xlfn.XLOOKUP(C154,Tab_Def_Flows[Flow_Name],Tab_Def_Flows[Flow_ID],,0,)</f>
        <v>F__</v>
      </c>
      <c r="C154" s="23" t="s">
        <v>5</v>
      </c>
      <c r="D154" s="6" t="str">
        <f>_xlfn.XLOOKUP(C154,Tab_Def_Flows[Flow_Name],Tab_Def_Flows[Use_E1],,0,)</f>
        <v>Yes</v>
      </c>
      <c r="E154" s="6" t="str">
        <f>_xlfn.XLOOKUP(C154,Tab_Def_Flows[Flow_Name],Tab_Def_Flows[Use_E2],,0,)</f>
        <v>Yes</v>
      </c>
      <c r="F154" s="6" t="str">
        <f>_xlfn.XLOOKUP(C154,Tab_Def_Flows[Flow_Name],Tab_Def_Flows[Use_E3],,0,)</f>
        <v>Yes</v>
      </c>
      <c r="G154" s="6" t="str">
        <f>_xlfn.XLOOKUP(C154,Tab_Def_Flows[Flow_Name],Tab_Def_Flows[Use_E4],,0,)</f>
        <v>Yes</v>
      </c>
      <c r="H154" s="6" t="str">
        <f>_xlfn.XLOOKUP(C154,Tab_Def_Flows[Flow_Name],Tab_Def_Flows[Use_E5],,0,)</f>
        <v>Yes</v>
      </c>
      <c r="I154" s="6" t="str">
        <f>_xlfn.XLOOKUP(C154,Tab_Def_Flows[Flow_Name],Tab_Def_Flows[Use_E6],,0,)</f>
        <v>Yes</v>
      </c>
      <c r="J154" s="52"/>
      <c r="K154" s="53"/>
      <c r="L154" s="3" t="str">
        <f>'0_Configuration'!$C$41</f>
        <v>Mg</v>
      </c>
      <c r="M154" s="10"/>
      <c r="N154" s="23" t="s">
        <v>3</v>
      </c>
      <c r="O154" s="4"/>
      <c r="P154" s="4"/>
      <c r="Q154" s="10"/>
      <c r="R154" s="3">
        <f>_xlfn.XLOOKUP(Tab_Data_Flows[[#This Row],[Flow_Name]],Tab_Def_Flows[Flow_Name],Tab_Def_Flows[Flow_E1_Fraction'[%']],"N.A.",0,1)</f>
        <v>0</v>
      </c>
      <c r="S154" s="9">
        <f t="shared" si="4"/>
        <v>0</v>
      </c>
      <c r="T154" s="3" t="str">
        <f>Tab_Data_Flows[[#This Row],[UoM_Source]]</f>
        <v>Mg</v>
      </c>
      <c r="U154" s="24">
        <f>_xlfn.XLOOKUP(Tab_Data_Flows[[#This Row],[Flow_Name]],Tab_Def_Flows[Flow_Name],Tab_Def_Flows[Flow_E2_Fraction'[%']],"N.A.",0,1)</f>
        <v>0</v>
      </c>
      <c r="V154" s="3">
        <f>IF(D154="Yes",S154*Tab_Data_Flows[[#This Row],[E2_Fraction'[%']]],"N.A.")</f>
        <v>0</v>
      </c>
      <c r="W154" s="3" t="str">
        <f>Tab_Data_Flows[[#This Row],[E1_UoM]]</f>
        <v>Mg</v>
      </c>
      <c r="X154" s="24">
        <f>_xlfn.XLOOKUP(Tab_Data_Flows[[#This Row],[Flow_Name]],Tab_Def_Flows[Flow_Name],Tab_Def_Flows[Flow_E3_Fraction'[%']],"N.A.",0,1)</f>
        <v>0</v>
      </c>
      <c r="Y154" s="3">
        <f>IF(E154="Yes",X154*Tab_Data_Flows[[#This Row],[E1_value]],"N.A.")</f>
        <v>0</v>
      </c>
      <c r="Z154" s="3" t="str">
        <f>Tab_Data_Flows[[#This Row],[E1_UoM]]</f>
        <v>Mg</v>
      </c>
      <c r="AA154" s="24">
        <f>_xlfn.XLOOKUP(Tab_Data_Flows[[#This Row],[Flow_Name]],Tab_Def_Flows[Flow_Name],Tab_Def_Flows[Flow_E4_Fraction'[%']],"N.A.",0,1)</f>
        <v>0</v>
      </c>
      <c r="AB154" s="3">
        <f>IF(H154="Yes",Tab_Data_Flows[[#This Row],[E4_Fraction'[%']]]*Tab_Data_Flows[[#This Row],[E1_value]],"N.A.")</f>
        <v>0</v>
      </c>
      <c r="AC154" s="3" t="str">
        <f>Tab_Data_Flows[[#This Row],[E1_UoM]]</f>
        <v>Mg</v>
      </c>
      <c r="AD154" s="24">
        <f>_xlfn.XLOOKUP(Tab_Data_Flows[[#This Row],[Flow_Name]],Tab_Def_Flows[Flow_Name],Tab_Def_Flows[Flow_E5_Fraction'[%']],"N.A.",0,1)</f>
        <v>0</v>
      </c>
      <c r="AE154" s="3">
        <f>IF(H154="Yes",Tab_Data_Flows[[#This Row],[E5_Fraction'[%']]]*Tab_Data_Flows[[#This Row],[E1_value]],"N.A.")</f>
        <v>0</v>
      </c>
      <c r="AF154" s="3" t="str">
        <f>Tab_Data_Flows[[#This Row],[E1_UoM]]</f>
        <v>Mg</v>
      </c>
      <c r="AG154" s="24">
        <f>_xlfn.XLOOKUP(Tab_Data_Flows[[#This Row],[Flow_Name]],Tab_Def_Flows[Flow_Name],Tab_Def_Flows[Flow_E6_Fraction'[%']],"N.A.",0,1)</f>
        <v>0</v>
      </c>
      <c r="AH154" s="3">
        <f>IF(Tab_Data_Flows[[#This Row],[Use_E6]]="Yes",Tab_Data_Flows[[#This Row],[E6_Fraction'[%']]]*Tab_Data_Flows[[#This Row],[E1_value]],"N.A.")</f>
        <v>0</v>
      </c>
      <c r="AI154" s="3" t="str">
        <f>Tab_Data_Flows[[#This Row],[E1_UoM]]</f>
        <v>Mg</v>
      </c>
    </row>
    <row r="155" spans="1:35" x14ac:dyDescent="0.25">
      <c r="A155" s="5">
        <f t="shared" si="5"/>
        <v>154</v>
      </c>
      <c r="B155" s="3" t="str">
        <f>_xlfn.XLOOKUP(C155,Tab_Def_Flows[Flow_Name],Tab_Def_Flows[Flow_ID],,0,)</f>
        <v>F__</v>
      </c>
      <c r="C155" s="23" t="s">
        <v>5</v>
      </c>
      <c r="D155" s="6" t="str">
        <f>_xlfn.XLOOKUP(C155,Tab_Def_Flows[Flow_Name],Tab_Def_Flows[Use_E1],,0,)</f>
        <v>Yes</v>
      </c>
      <c r="E155" s="6" t="str">
        <f>_xlfn.XLOOKUP(C155,Tab_Def_Flows[Flow_Name],Tab_Def_Flows[Use_E2],,0,)</f>
        <v>Yes</v>
      </c>
      <c r="F155" s="6" t="str">
        <f>_xlfn.XLOOKUP(C155,Tab_Def_Flows[Flow_Name],Tab_Def_Flows[Use_E3],,0,)</f>
        <v>Yes</v>
      </c>
      <c r="G155" s="6" t="str">
        <f>_xlfn.XLOOKUP(C155,Tab_Def_Flows[Flow_Name],Tab_Def_Flows[Use_E4],,0,)</f>
        <v>Yes</v>
      </c>
      <c r="H155" s="6" t="str">
        <f>_xlfn.XLOOKUP(C155,Tab_Def_Flows[Flow_Name],Tab_Def_Flows[Use_E5],,0,)</f>
        <v>Yes</v>
      </c>
      <c r="I155" s="6" t="str">
        <f>_xlfn.XLOOKUP(C155,Tab_Def_Flows[Flow_Name],Tab_Def_Flows[Use_E6],,0,)</f>
        <v>Yes</v>
      </c>
      <c r="J155" s="52"/>
      <c r="K155" s="53"/>
      <c r="L155" s="3" t="str">
        <f>'0_Configuration'!$C$41</f>
        <v>Mg</v>
      </c>
      <c r="M155" s="10"/>
      <c r="N155" s="23" t="s">
        <v>3</v>
      </c>
      <c r="O155" s="4"/>
      <c r="P155" s="4"/>
      <c r="Q155" s="10"/>
      <c r="R155" s="3">
        <f>_xlfn.XLOOKUP(Tab_Data_Flows[[#This Row],[Flow_Name]],Tab_Def_Flows[Flow_Name],Tab_Def_Flows[Flow_E1_Fraction'[%']],"N.A.",0,1)</f>
        <v>0</v>
      </c>
      <c r="S155" s="9">
        <f t="shared" si="4"/>
        <v>0</v>
      </c>
      <c r="T155" s="3" t="str">
        <f>Tab_Data_Flows[[#This Row],[UoM_Source]]</f>
        <v>Mg</v>
      </c>
      <c r="U155" s="24">
        <f>_xlfn.XLOOKUP(Tab_Data_Flows[[#This Row],[Flow_Name]],Tab_Def_Flows[Flow_Name],Tab_Def_Flows[Flow_E2_Fraction'[%']],"N.A.",0,1)</f>
        <v>0</v>
      </c>
      <c r="V155" s="3">
        <f>IF(D155="Yes",S155*Tab_Data_Flows[[#This Row],[E2_Fraction'[%']]],"N.A.")</f>
        <v>0</v>
      </c>
      <c r="W155" s="3" t="str">
        <f>Tab_Data_Flows[[#This Row],[E1_UoM]]</f>
        <v>Mg</v>
      </c>
      <c r="X155" s="24">
        <f>_xlfn.XLOOKUP(Tab_Data_Flows[[#This Row],[Flow_Name]],Tab_Def_Flows[Flow_Name],Tab_Def_Flows[Flow_E3_Fraction'[%']],"N.A.",0,1)</f>
        <v>0</v>
      </c>
      <c r="Y155" s="3">
        <f>IF(E155="Yes",X155*Tab_Data_Flows[[#This Row],[E1_value]],"N.A.")</f>
        <v>0</v>
      </c>
      <c r="Z155" s="3" t="str">
        <f>Tab_Data_Flows[[#This Row],[E1_UoM]]</f>
        <v>Mg</v>
      </c>
      <c r="AA155" s="24">
        <f>_xlfn.XLOOKUP(Tab_Data_Flows[[#This Row],[Flow_Name]],Tab_Def_Flows[Flow_Name],Tab_Def_Flows[Flow_E4_Fraction'[%']],"N.A.",0,1)</f>
        <v>0</v>
      </c>
      <c r="AB155" s="3">
        <f>IF(H155="Yes",Tab_Data_Flows[[#This Row],[E4_Fraction'[%']]]*Tab_Data_Flows[[#This Row],[E1_value]],"N.A.")</f>
        <v>0</v>
      </c>
      <c r="AC155" s="3" t="str">
        <f>Tab_Data_Flows[[#This Row],[E1_UoM]]</f>
        <v>Mg</v>
      </c>
      <c r="AD155" s="24">
        <f>_xlfn.XLOOKUP(Tab_Data_Flows[[#This Row],[Flow_Name]],Tab_Def_Flows[Flow_Name],Tab_Def_Flows[Flow_E5_Fraction'[%']],"N.A.",0,1)</f>
        <v>0</v>
      </c>
      <c r="AE155" s="3">
        <f>IF(H155="Yes",Tab_Data_Flows[[#This Row],[E5_Fraction'[%']]]*Tab_Data_Flows[[#This Row],[E1_value]],"N.A.")</f>
        <v>0</v>
      </c>
      <c r="AF155" s="3" t="str">
        <f>Tab_Data_Flows[[#This Row],[E1_UoM]]</f>
        <v>Mg</v>
      </c>
      <c r="AG155" s="24">
        <f>_xlfn.XLOOKUP(Tab_Data_Flows[[#This Row],[Flow_Name]],Tab_Def_Flows[Flow_Name],Tab_Def_Flows[Flow_E6_Fraction'[%']],"N.A.",0,1)</f>
        <v>0</v>
      </c>
      <c r="AH155" s="3">
        <f>IF(Tab_Data_Flows[[#This Row],[Use_E6]]="Yes",Tab_Data_Flows[[#This Row],[E6_Fraction'[%']]]*Tab_Data_Flows[[#This Row],[E1_value]],"N.A.")</f>
        <v>0</v>
      </c>
      <c r="AI155" s="3" t="str">
        <f>Tab_Data_Flows[[#This Row],[E1_UoM]]</f>
        <v>Mg</v>
      </c>
    </row>
    <row r="156" spans="1:35" x14ac:dyDescent="0.25">
      <c r="A156" s="5">
        <f t="shared" si="5"/>
        <v>155</v>
      </c>
      <c r="B156" s="3" t="str">
        <f>_xlfn.XLOOKUP(C156,Tab_Def_Flows[Flow_Name],Tab_Def_Flows[Flow_ID],,0,)</f>
        <v>F__</v>
      </c>
      <c r="C156" s="23" t="s">
        <v>5</v>
      </c>
      <c r="D156" s="6" t="str">
        <f>_xlfn.XLOOKUP(C156,Tab_Def_Flows[Flow_Name],Tab_Def_Flows[Use_E1],,0,)</f>
        <v>Yes</v>
      </c>
      <c r="E156" s="6" t="str">
        <f>_xlfn.XLOOKUP(C156,Tab_Def_Flows[Flow_Name],Tab_Def_Flows[Use_E2],,0,)</f>
        <v>Yes</v>
      </c>
      <c r="F156" s="6" t="str">
        <f>_xlfn.XLOOKUP(C156,Tab_Def_Flows[Flow_Name],Tab_Def_Flows[Use_E3],,0,)</f>
        <v>Yes</v>
      </c>
      <c r="G156" s="6" t="str">
        <f>_xlfn.XLOOKUP(C156,Tab_Def_Flows[Flow_Name],Tab_Def_Flows[Use_E4],,0,)</f>
        <v>Yes</v>
      </c>
      <c r="H156" s="6" t="str">
        <f>_xlfn.XLOOKUP(C156,Tab_Def_Flows[Flow_Name],Tab_Def_Flows[Use_E5],,0,)</f>
        <v>Yes</v>
      </c>
      <c r="I156" s="6" t="str">
        <f>_xlfn.XLOOKUP(C156,Tab_Def_Flows[Flow_Name],Tab_Def_Flows[Use_E6],,0,)</f>
        <v>Yes</v>
      </c>
      <c r="J156" s="52"/>
      <c r="K156" s="53"/>
      <c r="L156" s="3" t="str">
        <f>'0_Configuration'!$C$41</f>
        <v>Mg</v>
      </c>
      <c r="M156" s="10"/>
      <c r="N156" s="23" t="s">
        <v>3</v>
      </c>
      <c r="O156" s="4"/>
      <c r="P156" s="4"/>
      <c r="Q156" s="10"/>
      <c r="R156" s="3">
        <f>_xlfn.XLOOKUP(Tab_Data_Flows[[#This Row],[Flow_Name]],Tab_Def_Flows[Flow_Name],Tab_Def_Flows[Flow_E1_Fraction'[%']],"N.A.",0,1)</f>
        <v>0</v>
      </c>
      <c r="S156" s="9">
        <f t="shared" si="4"/>
        <v>0</v>
      </c>
      <c r="T156" s="3" t="str">
        <f>Tab_Data_Flows[[#This Row],[UoM_Source]]</f>
        <v>Mg</v>
      </c>
      <c r="U156" s="24">
        <f>_xlfn.XLOOKUP(Tab_Data_Flows[[#This Row],[Flow_Name]],Tab_Def_Flows[Flow_Name],Tab_Def_Flows[Flow_E2_Fraction'[%']],"N.A.",0,1)</f>
        <v>0</v>
      </c>
      <c r="V156" s="3">
        <f>IF(D156="Yes",S156*Tab_Data_Flows[[#This Row],[E2_Fraction'[%']]],"N.A.")</f>
        <v>0</v>
      </c>
      <c r="W156" s="3" t="str">
        <f>Tab_Data_Flows[[#This Row],[E1_UoM]]</f>
        <v>Mg</v>
      </c>
      <c r="X156" s="24">
        <f>_xlfn.XLOOKUP(Tab_Data_Flows[[#This Row],[Flow_Name]],Tab_Def_Flows[Flow_Name],Tab_Def_Flows[Flow_E3_Fraction'[%']],"N.A.",0,1)</f>
        <v>0</v>
      </c>
      <c r="Y156" s="3">
        <f>IF(E156="Yes",X156*Tab_Data_Flows[[#This Row],[E1_value]],"N.A.")</f>
        <v>0</v>
      </c>
      <c r="Z156" s="3" t="str">
        <f>Tab_Data_Flows[[#This Row],[E1_UoM]]</f>
        <v>Mg</v>
      </c>
      <c r="AA156" s="24">
        <f>_xlfn.XLOOKUP(Tab_Data_Flows[[#This Row],[Flow_Name]],Tab_Def_Flows[Flow_Name],Tab_Def_Flows[Flow_E4_Fraction'[%']],"N.A.",0,1)</f>
        <v>0</v>
      </c>
      <c r="AB156" s="3">
        <f>IF(H156="Yes",Tab_Data_Flows[[#This Row],[E4_Fraction'[%']]]*Tab_Data_Flows[[#This Row],[E1_value]],"N.A.")</f>
        <v>0</v>
      </c>
      <c r="AC156" s="3" t="str">
        <f>Tab_Data_Flows[[#This Row],[E1_UoM]]</f>
        <v>Mg</v>
      </c>
      <c r="AD156" s="24">
        <f>_xlfn.XLOOKUP(Tab_Data_Flows[[#This Row],[Flow_Name]],Tab_Def_Flows[Flow_Name],Tab_Def_Flows[Flow_E5_Fraction'[%']],"N.A.",0,1)</f>
        <v>0</v>
      </c>
      <c r="AE156" s="3">
        <f>IF(H156="Yes",Tab_Data_Flows[[#This Row],[E5_Fraction'[%']]]*Tab_Data_Flows[[#This Row],[E1_value]],"N.A.")</f>
        <v>0</v>
      </c>
      <c r="AF156" s="3" t="str">
        <f>Tab_Data_Flows[[#This Row],[E1_UoM]]</f>
        <v>Mg</v>
      </c>
      <c r="AG156" s="24">
        <f>_xlfn.XLOOKUP(Tab_Data_Flows[[#This Row],[Flow_Name]],Tab_Def_Flows[Flow_Name],Tab_Def_Flows[Flow_E6_Fraction'[%']],"N.A.",0,1)</f>
        <v>0</v>
      </c>
      <c r="AH156" s="3">
        <f>IF(Tab_Data_Flows[[#This Row],[Use_E6]]="Yes",Tab_Data_Flows[[#This Row],[E6_Fraction'[%']]]*Tab_Data_Flows[[#This Row],[E1_value]],"N.A.")</f>
        <v>0</v>
      </c>
      <c r="AI156" s="3" t="str">
        <f>Tab_Data_Flows[[#This Row],[E1_UoM]]</f>
        <v>Mg</v>
      </c>
    </row>
    <row r="157" spans="1:35" x14ac:dyDescent="0.25">
      <c r="A157" s="5">
        <f t="shared" si="5"/>
        <v>156</v>
      </c>
      <c r="B157" s="3" t="str">
        <f>_xlfn.XLOOKUP(C157,Tab_Def_Flows[Flow_Name],Tab_Def_Flows[Flow_ID],,0,)</f>
        <v>F__</v>
      </c>
      <c r="C157" s="23" t="s">
        <v>5</v>
      </c>
      <c r="D157" s="6" t="str">
        <f>_xlfn.XLOOKUP(C157,Tab_Def_Flows[Flow_Name],Tab_Def_Flows[Use_E1],,0,)</f>
        <v>Yes</v>
      </c>
      <c r="E157" s="6" t="str">
        <f>_xlfn.XLOOKUP(C157,Tab_Def_Flows[Flow_Name],Tab_Def_Flows[Use_E2],,0,)</f>
        <v>Yes</v>
      </c>
      <c r="F157" s="6" t="str">
        <f>_xlfn.XLOOKUP(C157,Tab_Def_Flows[Flow_Name],Tab_Def_Flows[Use_E3],,0,)</f>
        <v>Yes</v>
      </c>
      <c r="G157" s="6" t="str">
        <f>_xlfn.XLOOKUP(C157,Tab_Def_Flows[Flow_Name],Tab_Def_Flows[Use_E4],,0,)</f>
        <v>Yes</v>
      </c>
      <c r="H157" s="6" t="str">
        <f>_xlfn.XLOOKUP(C157,Tab_Def_Flows[Flow_Name],Tab_Def_Flows[Use_E5],,0,)</f>
        <v>Yes</v>
      </c>
      <c r="I157" s="6" t="str">
        <f>_xlfn.XLOOKUP(C157,Tab_Def_Flows[Flow_Name],Tab_Def_Flows[Use_E6],,0,)</f>
        <v>Yes</v>
      </c>
      <c r="J157" s="52"/>
      <c r="K157" s="53"/>
      <c r="L157" s="3" t="str">
        <f>'0_Configuration'!$C$41</f>
        <v>Mg</v>
      </c>
      <c r="M157" s="10"/>
      <c r="N157" s="23" t="s">
        <v>3</v>
      </c>
      <c r="O157" s="4"/>
      <c r="P157" s="4"/>
      <c r="Q157" s="10"/>
      <c r="R157" s="3">
        <f>_xlfn.XLOOKUP(Tab_Data_Flows[[#This Row],[Flow_Name]],Tab_Def_Flows[Flow_Name],Tab_Def_Flows[Flow_E1_Fraction'[%']],"N.A.",0,1)</f>
        <v>0</v>
      </c>
      <c r="S157" s="9">
        <f t="shared" si="4"/>
        <v>0</v>
      </c>
      <c r="T157" s="3" t="str">
        <f>Tab_Data_Flows[[#This Row],[UoM_Source]]</f>
        <v>Mg</v>
      </c>
      <c r="U157" s="24">
        <f>_xlfn.XLOOKUP(Tab_Data_Flows[[#This Row],[Flow_Name]],Tab_Def_Flows[Flow_Name],Tab_Def_Flows[Flow_E2_Fraction'[%']],"N.A.",0,1)</f>
        <v>0</v>
      </c>
      <c r="V157" s="3">
        <f>IF(D157="Yes",S157*Tab_Data_Flows[[#This Row],[E2_Fraction'[%']]],"N.A.")</f>
        <v>0</v>
      </c>
      <c r="W157" s="3" t="str">
        <f>Tab_Data_Flows[[#This Row],[E1_UoM]]</f>
        <v>Mg</v>
      </c>
      <c r="X157" s="24">
        <f>_xlfn.XLOOKUP(Tab_Data_Flows[[#This Row],[Flow_Name]],Tab_Def_Flows[Flow_Name],Tab_Def_Flows[Flow_E3_Fraction'[%']],"N.A.",0,1)</f>
        <v>0</v>
      </c>
      <c r="Y157" s="3">
        <f>IF(E157="Yes",X157*Tab_Data_Flows[[#This Row],[E1_value]],"N.A.")</f>
        <v>0</v>
      </c>
      <c r="Z157" s="3" t="str">
        <f>Tab_Data_Flows[[#This Row],[E1_UoM]]</f>
        <v>Mg</v>
      </c>
      <c r="AA157" s="24">
        <f>_xlfn.XLOOKUP(Tab_Data_Flows[[#This Row],[Flow_Name]],Tab_Def_Flows[Flow_Name],Tab_Def_Flows[Flow_E4_Fraction'[%']],"N.A.",0,1)</f>
        <v>0</v>
      </c>
      <c r="AB157" s="3">
        <f>IF(H157="Yes",Tab_Data_Flows[[#This Row],[E4_Fraction'[%']]]*Tab_Data_Flows[[#This Row],[E1_value]],"N.A.")</f>
        <v>0</v>
      </c>
      <c r="AC157" s="3" t="str">
        <f>Tab_Data_Flows[[#This Row],[E1_UoM]]</f>
        <v>Mg</v>
      </c>
      <c r="AD157" s="24">
        <f>_xlfn.XLOOKUP(Tab_Data_Flows[[#This Row],[Flow_Name]],Tab_Def_Flows[Flow_Name],Tab_Def_Flows[Flow_E5_Fraction'[%']],"N.A.",0,1)</f>
        <v>0</v>
      </c>
      <c r="AE157" s="3">
        <f>IF(H157="Yes",Tab_Data_Flows[[#This Row],[E5_Fraction'[%']]]*Tab_Data_Flows[[#This Row],[E1_value]],"N.A.")</f>
        <v>0</v>
      </c>
      <c r="AF157" s="3" t="str">
        <f>Tab_Data_Flows[[#This Row],[E1_UoM]]</f>
        <v>Mg</v>
      </c>
      <c r="AG157" s="24">
        <f>_xlfn.XLOOKUP(Tab_Data_Flows[[#This Row],[Flow_Name]],Tab_Def_Flows[Flow_Name],Tab_Def_Flows[Flow_E6_Fraction'[%']],"N.A.",0,1)</f>
        <v>0</v>
      </c>
      <c r="AH157" s="3">
        <f>IF(Tab_Data_Flows[[#This Row],[Use_E6]]="Yes",Tab_Data_Flows[[#This Row],[E6_Fraction'[%']]]*Tab_Data_Flows[[#This Row],[E1_value]],"N.A.")</f>
        <v>0</v>
      </c>
      <c r="AI157" s="3" t="str">
        <f>Tab_Data_Flows[[#This Row],[E1_UoM]]</f>
        <v>Mg</v>
      </c>
    </row>
    <row r="158" spans="1:35" x14ac:dyDescent="0.25">
      <c r="A158" s="5">
        <f t="shared" si="5"/>
        <v>157</v>
      </c>
      <c r="B158" s="3" t="str">
        <f>_xlfn.XLOOKUP(C158,Tab_Def_Flows[Flow_Name],Tab_Def_Flows[Flow_ID],,0,)</f>
        <v>F__</v>
      </c>
      <c r="C158" s="23" t="s">
        <v>5</v>
      </c>
      <c r="D158" s="6" t="str">
        <f>_xlfn.XLOOKUP(C158,Tab_Def_Flows[Flow_Name],Tab_Def_Flows[Use_E1],,0,)</f>
        <v>Yes</v>
      </c>
      <c r="E158" s="6" t="str">
        <f>_xlfn.XLOOKUP(C158,Tab_Def_Flows[Flow_Name],Tab_Def_Flows[Use_E2],,0,)</f>
        <v>Yes</v>
      </c>
      <c r="F158" s="6" t="str">
        <f>_xlfn.XLOOKUP(C158,Tab_Def_Flows[Flow_Name],Tab_Def_Flows[Use_E3],,0,)</f>
        <v>Yes</v>
      </c>
      <c r="G158" s="6" t="str">
        <f>_xlfn.XLOOKUP(C158,Tab_Def_Flows[Flow_Name],Tab_Def_Flows[Use_E4],,0,)</f>
        <v>Yes</v>
      </c>
      <c r="H158" s="6" t="str">
        <f>_xlfn.XLOOKUP(C158,Tab_Def_Flows[Flow_Name],Tab_Def_Flows[Use_E5],,0,)</f>
        <v>Yes</v>
      </c>
      <c r="I158" s="6" t="str">
        <f>_xlfn.XLOOKUP(C158,Tab_Def_Flows[Flow_Name],Tab_Def_Flows[Use_E6],,0,)</f>
        <v>Yes</v>
      </c>
      <c r="J158" s="52"/>
      <c r="K158" s="53"/>
      <c r="L158" s="3" t="str">
        <f>'0_Configuration'!$C$41</f>
        <v>Mg</v>
      </c>
      <c r="M158" s="10"/>
      <c r="N158" s="23" t="s">
        <v>3</v>
      </c>
      <c r="O158" s="4"/>
      <c r="P158" s="4"/>
      <c r="Q158" s="10"/>
      <c r="R158" s="3">
        <f>_xlfn.XLOOKUP(Tab_Data_Flows[[#This Row],[Flow_Name]],Tab_Def_Flows[Flow_Name],Tab_Def_Flows[Flow_E1_Fraction'[%']],"N.A.",0,1)</f>
        <v>0</v>
      </c>
      <c r="S158" s="9">
        <f t="shared" si="4"/>
        <v>0</v>
      </c>
      <c r="T158" s="3" t="str">
        <f>Tab_Data_Flows[[#This Row],[UoM_Source]]</f>
        <v>Mg</v>
      </c>
      <c r="U158" s="24">
        <f>_xlfn.XLOOKUP(Tab_Data_Flows[[#This Row],[Flow_Name]],Tab_Def_Flows[Flow_Name],Tab_Def_Flows[Flow_E2_Fraction'[%']],"N.A.",0,1)</f>
        <v>0</v>
      </c>
      <c r="V158" s="3">
        <f>IF(D158="Yes",S158*Tab_Data_Flows[[#This Row],[E2_Fraction'[%']]],"N.A.")</f>
        <v>0</v>
      </c>
      <c r="W158" s="3" t="str">
        <f>Tab_Data_Flows[[#This Row],[E1_UoM]]</f>
        <v>Mg</v>
      </c>
      <c r="X158" s="24">
        <f>_xlfn.XLOOKUP(Tab_Data_Flows[[#This Row],[Flow_Name]],Tab_Def_Flows[Flow_Name],Tab_Def_Flows[Flow_E3_Fraction'[%']],"N.A.",0,1)</f>
        <v>0</v>
      </c>
      <c r="Y158" s="3">
        <f>IF(E158="Yes",X158*Tab_Data_Flows[[#This Row],[E1_value]],"N.A.")</f>
        <v>0</v>
      </c>
      <c r="Z158" s="3" t="str">
        <f>Tab_Data_Flows[[#This Row],[E1_UoM]]</f>
        <v>Mg</v>
      </c>
      <c r="AA158" s="24">
        <f>_xlfn.XLOOKUP(Tab_Data_Flows[[#This Row],[Flow_Name]],Tab_Def_Flows[Flow_Name],Tab_Def_Flows[Flow_E4_Fraction'[%']],"N.A.",0,1)</f>
        <v>0</v>
      </c>
      <c r="AB158" s="3">
        <f>IF(H158="Yes",Tab_Data_Flows[[#This Row],[E4_Fraction'[%']]]*Tab_Data_Flows[[#This Row],[E1_value]],"N.A.")</f>
        <v>0</v>
      </c>
      <c r="AC158" s="3" t="str">
        <f>Tab_Data_Flows[[#This Row],[E1_UoM]]</f>
        <v>Mg</v>
      </c>
      <c r="AD158" s="24">
        <f>_xlfn.XLOOKUP(Tab_Data_Flows[[#This Row],[Flow_Name]],Tab_Def_Flows[Flow_Name],Tab_Def_Flows[Flow_E5_Fraction'[%']],"N.A.",0,1)</f>
        <v>0</v>
      </c>
      <c r="AE158" s="3">
        <f>IF(H158="Yes",Tab_Data_Flows[[#This Row],[E5_Fraction'[%']]]*Tab_Data_Flows[[#This Row],[E1_value]],"N.A.")</f>
        <v>0</v>
      </c>
      <c r="AF158" s="3" t="str">
        <f>Tab_Data_Flows[[#This Row],[E1_UoM]]</f>
        <v>Mg</v>
      </c>
      <c r="AG158" s="24">
        <f>_xlfn.XLOOKUP(Tab_Data_Flows[[#This Row],[Flow_Name]],Tab_Def_Flows[Flow_Name],Tab_Def_Flows[Flow_E6_Fraction'[%']],"N.A.",0,1)</f>
        <v>0</v>
      </c>
      <c r="AH158" s="3">
        <f>IF(Tab_Data_Flows[[#This Row],[Use_E6]]="Yes",Tab_Data_Flows[[#This Row],[E6_Fraction'[%']]]*Tab_Data_Flows[[#This Row],[E1_value]],"N.A.")</f>
        <v>0</v>
      </c>
      <c r="AI158" s="3" t="str">
        <f>Tab_Data_Flows[[#This Row],[E1_UoM]]</f>
        <v>Mg</v>
      </c>
    </row>
    <row r="159" spans="1:35" x14ac:dyDescent="0.25">
      <c r="A159" s="5">
        <f t="shared" si="5"/>
        <v>158</v>
      </c>
      <c r="B159" s="3" t="str">
        <f>_xlfn.XLOOKUP(C159,Tab_Def_Flows[Flow_Name],Tab_Def_Flows[Flow_ID],,0,)</f>
        <v>F__</v>
      </c>
      <c r="C159" s="23" t="s">
        <v>5</v>
      </c>
      <c r="D159" s="6" t="str">
        <f>_xlfn.XLOOKUP(C159,Tab_Def_Flows[Flow_Name],Tab_Def_Flows[Use_E1],,0,)</f>
        <v>Yes</v>
      </c>
      <c r="E159" s="6" t="str">
        <f>_xlfn.XLOOKUP(C159,Tab_Def_Flows[Flow_Name],Tab_Def_Flows[Use_E2],,0,)</f>
        <v>Yes</v>
      </c>
      <c r="F159" s="6" t="str">
        <f>_xlfn.XLOOKUP(C159,Tab_Def_Flows[Flow_Name],Tab_Def_Flows[Use_E3],,0,)</f>
        <v>Yes</v>
      </c>
      <c r="G159" s="6" t="str">
        <f>_xlfn.XLOOKUP(C159,Tab_Def_Flows[Flow_Name],Tab_Def_Flows[Use_E4],,0,)</f>
        <v>Yes</v>
      </c>
      <c r="H159" s="6" t="str">
        <f>_xlfn.XLOOKUP(C159,Tab_Def_Flows[Flow_Name],Tab_Def_Flows[Use_E5],,0,)</f>
        <v>Yes</v>
      </c>
      <c r="I159" s="6" t="str">
        <f>_xlfn.XLOOKUP(C159,Tab_Def_Flows[Flow_Name],Tab_Def_Flows[Use_E6],,0,)</f>
        <v>Yes</v>
      </c>
      <c r="J159" s="52"/>
      <c r="K159" s="53"/>
      <c r="L159" s="3" t="str">
        <f>'0_Configuration'!$C$41</f>
        <v>Mg</v>
      </c>
      <c r="M159" s="10"/>
      <c r="N159" s="23" t="s">
        <v>3</v>
      </c>
      <c r="O159" s="4"/>
      <c r="P159" s="4"/>
      <c r="Q159" s="10"/>
      <c r="R159" s="3">
        <f>_xlfn.XLOOKUP(Tab_Data_Flows[[#This Row],[Flow_Name]],Tab_Def_Flows[Flow_Name],Tab_Def_Flows[Flow_E1_Fraction'[%']],"N.A.",0,1)</f>
        <v>0</v>
      </c>
      <c r="S159" s="9">
        <f t="shared" si="4"/>
        <v>0</v>
      </c>
      <c r="T159" s="3" t="str">
        <f>Tab_Data_Flows[[#This Row],[UoM_Source]]</f>
        <v>Mg</v>
      </c>
      <c r="U159" s="24">
        <f>_xlfn.XLOOKUP(Tab_Data_Flows[[#This Row],[Flow_Name]],Tab_Def_Flows[Flow_Name],Tab_Def_Flows[Flow_E2_Fraction'[%']],"N.A.",0,1)</f>
        <v>0</v>
      </c>
      <c r="V159" s="3">
        <f>IF(D159="Yes",S159*Tab_Data_Flows[[#This Row],[E2_Fraction'[%']]],"N.A.")</f>
        <v>0</v>
      </c>
      <c r="W159" s="3" t="str">
        <f>Tab_Data_Flows[[#This Row],[E1_UoM]]</f>
        <v>Mg</v>
      </c>
      <c r="X159" s="24">
        <f>_xlfn.XLOOKUP(Tab_Data_Flows[[#This Row],[Flow_Name]],Tab_Def_Flows[Flow_Name],Tab_Def_Flows[Flow_E3_Fraction'[%']],"N.A.",0,1)</f>
        <v>0</v>
      </c>
      <c r="Y159" s="3">
        <f>IF(E159="Yes",X159*Tab_Data_Flows[[#This Row],[E1_value]],"N.A.")</f>
        <v>0</v>
      </c>
      <c r="Z159" s="3" t="str">
        <f>Tab_Data_Flows[[#This Row],[E1_UoM]]</f>
        <v>Mg</v>
      </c>
      <c r="AA159" s="24">
        <f>_xlfn.XLOOKUP(Tab_Data_Flows[[#This Row],[Flow_Name]],Tab_Def_Flows[Flow_Name],Tab_Def_Flows[Flow_E4_Fraction'[%']],"N.A.",0,1)</f>
        <v>0</v>
      </c>
      <c r="AB159" s="3">
        <f>IF(H159="Yes",Tab_Data_Flows[[#This Row],[E4_Fraction'[%']]]*Tab_Data_Flows[[#This Row],[E1_value]],"N.A.")</f>
        <v>0</v>
      </c>
      <c r="AC159" s="3" t="str">
        <f>Tab_Data_Flows[[#This Row],[E1_UoM]]</f>
        <v>Mg</v>
      </c>
      <c r="AD159" s="24">
        <f>_xlfn.XLOOKUP(Tab_Data_Flows[[#This Row],[Flow_Name]],Tab_Def_Flows[Flow_Name],Tab_Def_Flows[Flow_E5_Fraction'[%']],"N.A.",0,1)</f>
        <v>0</v>
      </c>
      <c r="AE159" s="3">
        <f>IF(H159="Yes",Tab_Data_Flows[[#This Row],[E5_Fraction'[%']]]*Tab_Data_Flows[[#This Row],[E1_value]],"N.A.")</f>
        <v>0</v>
      </c>
      <c r="AF159" s="3" t="str">
        <f>Tab_Data_Flows[[#This Row],[E1_UoM]]</f>
        <v>Mg</v>
      </c>
      <c r="AG159" s="24">
        <f>_xlfn.XLOOKUP(Tab_Data_Flows[[#This Row],[Flow_Name]],Tab_Def_Flows[Flow_Name],Tab_Def_Flows[Flow_E6_Fraction'[%']],"N.A.",0,1)</f>
        <v>0</v>
      </c>
      <c r="AH159" s="3">
        <f>IF(Tab_Data_Flows[[#This Row],[Use_E6]]="Yes",Tab_Data_Flows[[#This Row],[E6_Fraction'[%']]]*Tab_Data_Flows[[#This Row],[E1_value]],"N.A.")</f>
        <v>0</v>
      </c>
      <c r="AI159" s="3" t="str">
        <f>Tab_Data_Flows[[#This Row],[E1_UoM]]</f>
        <v>Mg</v>
      </c>
    </row>
    <row r="160" spans="1:35" x14ac:dyDescent="0.25">
      <c r="A160" s="5">
        <f t="shared" si="5"/>
        <v>159</v>
      </c>
      <c r="B160" s="3" t="str">
        <f>_xlfn.XLOOKUP(C160,Tab_Def_Flows[Flow_Name],Tab_Def_Flows[Flow_ID],,0,)</f>
        <v>F__</v>
      </c>
      <c r="C160" s="23" t="s">
        <v>5</v>
      </c>
      <c r="D160" s="6" t="str">
        <f>_xlfn.XLOOKUP(C160,Tab_Def_Flows[Flow_Name],Tab_Def_Flows[Use_E1],,0,)</f>
        <v>Yes</v>
      </c>
      <c r="E160" s="6" t="str">
        <f>_xlfn.XLOOKUP(C160,Tab_Def_Flows[Flow_Name],Tab_Def_Flows[Use_E2],,0,)</f>
        <v>Yes</v>
      </c>
      <c r="F160" s="6" t="str">
        <f>_xlfn.XLOOKUP(C160,Tab_Def_Flows[Flow_Name],Tab_Def_Flows[Use_E3],,0,)</f>
        <v>Yes</v>
      </c>
      <c r="G160" s="6" t="str">
        <f>_xlfn.XLOOKUP(C160,Tab_Def_Flows[Flow_Name],Tab_Def_Flows[Use_E4],,0,)</f>
        <v>Yes</v>
      </c>
      <c r="H160" s="6" t="str">
        <f>_xlfn.XLOOKUP(C160,Tab_Def_Flows[Flow_Name],Tab_Def_Flows[Use_E5],,0,)</f>
        <v>Yes</v>
      </c>
      <c r="I160" s="6" t="str">
        <f>_xlfn.XLOOKUP(C160,Tab_Def_Flows[Flow_Name],Tab_Def_Flows[Use_E6],,0,)</f>
        <v>Yes</v>
      </c>
      <c r="J160" s="52"/>
      <c r="K160" s="53"/>
      <c r="L160" s="3" t="str">
        <f>'0_Configuration'!$C$41</f>
        <v>Mg</v>
      </c>
      <c r="M160" s="10"/>
      <c r="N160" s="23" t="s">
        <v>3</v>
      </c>
      <c r="O160" s="4"/>
      <c r="P160" s="4"/>
      <c r="Q160" s="10"/>
      <c r="R160" s="3">
        <f>_xlfn.XLOOKUP(Tab_Data_Flows[[#This Row],[Flow_Name]],Tab_Def_Flows[Flow_Name],Tab_Def_Flows[Flow_E1_Fraction'[%']],"N.A.",0,1)</f>
        <v>0</v>
      </c>
      <c r="S160" s="9">
        <f t="shared" si="4"/>
        <v>0</v>
      </c>
      <c r="T160" s="3" t="str">
        <f>Tab_Data_Flows[[#This Row],[UoM_Source]]</f>
        <v>Mg</v>
      </c>
      <c r="U160" s="24">
        <f>_xlfn.XLOOKUP(Tab_Data_Flows[[#This Row],[Flow_Name]],Tab_Def_Flows[Flow_Name],Tab_Def_Flows[Flow_E2_Fraction'[%']],"N.A.",0,1)</f>
        <v>0</v>
      </c>
      <c r="V160" s="3">
        <f>IF(D160="Yes",S160*Tab_Data_Flows[[#This Row],[E2_Fraction'[%']]],"N.A.")</f>
        <v>0</v>
      </c>
      <c r="W160" s="3" t="str">
        <f>Tab_Data_Flows[[#This Row],[E1_UoM]]</f>
        <v>Mg</v>
      </c>
      <c r="X160" s="24">
        <f>_xlfn.XLOOKUP(Tab_Data_Flows[[#This Row],[Flow_Name]],Tab_Def_Flows[Flow_Name],Tab_Def_Flows[Flow_E3_Fraction'[%']],"N.A.",0,1)</f>
        <v>0</v>
      </c>
      <c r="Y160" s="3">
        <f>IF(E160="Yes",X160*Tab_Data_Flows[[#This Row],[E1_value]],"N.A.")</f>
        <v>0</v>
      </c>
      <c r="Z160" s="3" t="str">
        <f>Tab_Data_Flows[[#This Row],[E1_UoM]]</f>
        <v>Mg</v>
      </c>
      <c r="AA160" s="24">
        <f>_xlfn.XLOOKUP(Tab_Data_Flows[[#This Row],[Flow_Name]],Tab_Def_Flows[Flow_Name],Tab_Def_Flows[Flow_E4_Fraction'[%']],"N.A.",0,1)</f>
        <v>0</v>
      </c>
      <c r="AB160" s="3">
        <f>IF(H160="Yes",Tab_Data_Flows[[#This Row],[E4_Fraction'[%']]]*Tab_Data_Flows[[#This Row],[E1_value]],"N.A.")</f>
        <v>0</v>
      </c>
      <c r="AC160" s="3" t="str">
        <f>Tab_Data_Flows[[#This Row],[E1_UoM]]</f>
        <v>Mg</v>
      </c>
      <c r="AD160" s="24">
        <f>_xlfn.XLOOKUP(Tab_Data_Flows[[#This Row],[Flow_Name]],Tab_Def_Flows[Flow_Name],Tab_Def_Flows[Flow_E5_Fraction'[%']],"N.A.",0,1)</f>
        <v>0</v>
      </c>
      <c r="AE160" s="3">
        <f>IF(H160="Yes",Tab_Data_Flows[[#This Row],[E5_Fraction'[%']]]*Tab_Data_Flows[[#This Row],[E1_value]],"N.A.")</f>
        <v>0</v>
      </c>
      <c r="AF160" s="3" t="str">
        <f>Tab_Data_Flows[[#This Row],[E1_UoM]]</f>
        <v>Mg</v>
      </c>
      <c r="AG160" s="24">
        <f>_xlfn.XLOOKUP(Tab_Data_Flows[[#This Row],[Flow_Name]],Tab_Def_Flows[Flow_Name],Tab_Def_Flows[Flow_E6_Fraction'[%']],"N.A.",0,1)</f>
        <v>0</v>
      </c>
      <c r="AH160" s="3">
        <f>IF(Tab_Data_Flows[[#This Row],[Use_E6]]="Yes",Tab_Data_Flows[[#This Row],[E6_Fraction'[%']]]*Tab_Data_Flows[[#This Row],[E1_value]],"N.A.")</f>
        <v>0</v>
      </c>
      <c r="AI160" s="3" t="str">
        <f>Tab_Data_Flows[[#This Row],[E1_UoM]]</f>
        <v>Mg</v>
      </c>
    </row>
    <row r="161" spans="1:35" x14ac:dyDescent="0.25">
      <c r="A161" s="5">
        <f t="shared" si="5"/>
        <v>160</v>
      </c>
      <c r="B161" s="3" t="str">
        <f>_xlfn.XLOOKUP(C161,Tab_Def_Flows[Flow_Name],Tab_Def_Flows[Flow_ID],,0,)</f>
        <v>F__</v>
      </c>
      <c r="C161" s="23" t="s">
        <v>5</v>
      </c>
      <c r="D161" s="6" t="str">
        <f>_xlfn.XLOOKUP(C161,Tab_Def_Flows[Flow_Name],Tab_Def_Flows[Use_E1],,0,)</f>
        <v>Yes</v>
      </c>
      <c r="E161" s="6" t="str">
        <f>_xlfn.XLOOKUP(C161,Tab_Def_Flows[Flow_Name],Tab_Def_Flows[Use_E2],,0,)</f>
        <v>Yes</v>
      </c>
      <c r="F161" s="6" t="str">
        <f>_xlfn.XLOOKUP(C161,Tab_Def_Flows[Flow_Name],Tab_Def_Flows[Use_E3],,0,)</f>
        <v>Yes</v>
      </c>
      <c r="G161" s="6" t="str">
        <f>_xlfn.XLOOKUP(C161,Tab_Def_Flows[Flow_Name],Tab_Def_Flows[Use_E4],,0,)</f>
        <v>Yes</v>
      </c>
      <c r="H161" s="6" t="str">
        <f>_xlfn.XLOOKUP(C161,Tab_Def_Flows[Flow_Name],Tab_Def_Flows[Use_E5],,0,)</f>
        <v>Yes</v>
      </c>
      <c r="I161" s="6" t="str">
        <f>_xlfn.XLOOKUP(C161,Tab_Def_Flows[Flow_Name],Tab_Def_Flows[Use_E6],,0,)</f>
        <v>Yes</v>
      </c>
      <c r="J161" s="52"/>
      <c r="K161" s="53"/>
      <c r="L161" s="3" t="str">
        <f>'0_Configuration'!$C$41</f>
        <v>Mg</v>
      </c>
      <c r="M161" s="10"/>
      <c r="N161" s="23" t="s">
        <v>3</v>
      </c>
      <c r="O161" s="4"/>
      <c r="P161" s="4"/>
      <c r="Q161" s="10"/>
      <c r="R161" s="3">
        <f>_xlfn.XLOOKUP(Tab_Data_Flows[[#This Row],[Flow_Name]],Tab_Def_Flows[Flow_Name],Tab_Def_Flows[Flow_E1_Fraction'[%']],"N.A.",0,1)</f>
        <v>0</v>
      </c>
      <c r="S161" s="9">
        <f t="shared" si="4"/>
        <v>0</v>
      </c>
      <c r="T161" s="3" t="str">
        <f>Tab_Data_Flows[[#This Row],[UoM_Source]]</f>
        <v>Mg</v>
      </c>
      <c r="U161" s="24">
        <f>_xlfn.XLOOKUP(Tab_Data_Flows[[#This Row],[Flow_Name]],Tab_Def_Flows[Flow_Name],Tab_Def_Flows[Flow_E2_Fraction'[%']],"N.A.",0,1)</f>
        <v>0</v>
      </c>
      <c r="V161" s="3">
        <f>IF(D161="Yes",S161*Tab_Data_Flows[[#This Row],[E2_Fraction'[%']]],"N.A.")</f>
        <v>0</v>
      </c>
      <c r="W161" s="3" t="str">
        <f>Tab_Data_Flows[[#This Row],[E1_UoM]]</f>
        <v>Mg</v>
      </c>
      <c r="X161" s="24">
        <f>_xlfn.XLOOKUP(Tab_Data_Flows[[#This Row],[Flow_Name]],Tab_Def_Flows[Flow_Name],Tab_Def_Flows[Flow_E3_Fraction'[%']],"N.A.",0,1)</f>
        <v>0</v>
      </c>
      <c r="Y161" s="3">
        <f>IF(E161="Yes",X161*Tab_Data_Flows[[#This Row],[E1_value]],"N.A.")</f>
        <v>0</v>
      </c>
      <c r="Z161" s="3" t="str">
        <f>Tab_Data_Flows[[#This Row],[E1_UoM]]</f>
        <v>Mg</v>
      </c>
      <c r="AA161" s="24">
        <f>_xlfn.XLOOKUP(Tab_Data_Flows[[#This Row],[Flow_Name]],Tab_Def_Flows[Flow_Name],Tab_Def_Flows[Flow_E4_Fraction'[%']],"N.A.",0,1)</f>
        <v>0</v>
      </c>
      <c r="AB161" s="3">
        <f>IF(H161="Yes",Tab_Data_Flows[[#This Row],[E4_Fraction'[%']]]*Tab_Data_Flows[[#This Row],[E1_value]],"N.A.")</f>
        <v>0</v>
      </c>
      <c r="AC161" s="3" t="str">
        <f>Tab_Data_Flows[[#This Row],[E1_UoM]]</f>
        <v>Mg</v>
      </c>
      <c r="AD161" s="24">
        <f>_xlfn.XLOOKUP(Tab_Data_Flows[[#This Row],[Flow_Name]],Tab_Def_Flows[Flow_Name],Tab_Def_Flows[Flow_E5_Fraction'[%']],"N.A.",0,1)</f>
        <v>0</v>
      </c>
      <c r="AE161" s="3">
        <f>IF(H161="Yes",Tab_Data_Flows[[#This Row],[E5_Fraction'[%']]]*Tab_Data_Flows[[#This Row],[E1_value]],"N.A.")</f>
        <v>0</v>
      </c>
      <c r="AF161" s="3" t="str">
        <f>Tab_Data_Flows[[#This Row],[E1_UoM]]</f>
        <v>Mg</v>
      </c>
      <c r="AG161" s="24">
        <f>_xlfn.XLOOKUP(Tab_Data_Flows[[#This Row],[Flow_Name]],Tab_Def_Flows[Flow_Name],Tab_Def_Flows[Flow_E6_Fraction'[%']],"N.A.",0,1)</f>
        <v>0</v>
      </c>
      <c r="AH161" s="3">
        <f>IF(Tab_Data_Flows[[#This Row],[Use_E6]]="Yes",Tab_Data_Flows[[#This Row],[E6_Fraction'[%']]]*Tab_Data_Flows[[#This Row],[E1_value]],"N.A.")</f>
        <v>0</v>
      </c>
      <c r="AI161" s="3" t="str">
        <f>Tab_Data_Flows[[#This Row],[E1_UoM]]</f>
        <v>Mg</v>
      </c>
    </row>
    <row r="162" spans="1:35" x14ac:dyDescent="0.25">
      <c r="A162" s="5">
        <f t="shared" si="5"/>
        <v>161</v>
      </c>
      <c r="B162" s="3" t="str">
        <f>_xlfn.XLOOKUP(C162,Tab_Def_Flows[Flow_Name],Tab_Def_Flows[Flow_ID],,0,)</f>
        <v>F__</v>
      </c>
      <c r="C162" s="23" t="s">
        <v>5</v>
      </c>
      <c r="D162" s="6" t="str">
        <f>_xlfn.XLOOKUP(C162,Tab_Def_Flows[Flow_Name],Tab_Def_Flows[Use_E1],,0,)</f>
        <v>Yes</v>
      </c>
      <c r="E162" s="6" t="str">
        <f>_xlfn.XLOOKUP(C162,Tab_Def_Flows[Flow_Name],Tab_Def_Flows[Use_E2],,0,)</f>
        <v>Yes</v>
      </c>
      <c r="F162" s="6" t="str">
        <f>_xlfn.XLOOKUP(C162,Tab_Def_Flows[Flow_Name],Tab_Def_Flows[Use_E3],,0,)</f>
        <v>Yes</v>
      </c>
      <c r="G162" s="6" t="str">
        <f>_xlfn.XLOOKUP(C162,Tab_Def_Flows[Flow_Name],Tab_Def_Flows[Use_E4],,0,)</f>
        <v>Yes</v>
      </c>
      <c r="H162" s="6" t="str">
        <f>_xlfn.XLOOKUP(C162,Tab_Def_Flows[Flow_Name],Tab_Def_Flows[Use_E5],,0,)</f>
        <v>Yes</v>
      </c>
      <c r="I162" s="6" t="str">
        <f>_xlfn.XLOOKUP(C162,Tab_Def_Flows[Flow_Name],Tab_Def_Flows[Use_E6],,0,)</f>
        <v>Yes</v>
      </c>
      <c r="J162" s="52"/>
      <c r="K162" s="53"/>
      <c r="L162" s="3" t="str">
        <f>'0_Configuration'!$C$41</f>
        <v>Mg</v>
      </c>
      <c r="M162" s="10"/>
      <c r="N162" s="23" t="s">
        <v>3</v>
      </c>
      <c r="O162" s="4"/>
      <c r="P162" s="4"/>
      <c r="Q162" s="10"/>
      <c r="R162" s="3">
        <f>_xlfn.XLOOKUP(Tab_Data_Flows[[#This Row],[Flow_Name]],Tab_Def_Flows[Flow_Name],Tab_Def_Flows[Flow_E1_Fraction'[%']],"N.A.",0,1)</f>
        <v>0</v>
      </c>
      <c r="S162" s="9">
        <f t="shared" si="4"/>
        <v>0</v>
      </c>
      <c r="T162" s="3" t="str">
        <f>Tab_Data_Flows[[#This Row],[UoM_Source]]</f>
        <v>Mg</v>
      </c>
      <c r="U162" s="24">
        <f>_xlfn.XLOOKUP(Tab_Data_Flows[[#This Row],[Flow_Name]],Tab_Def_Flows[Flow_Name],Tab_Def_Flows[Flow_E2_Fraction'[%']],"N.A.",0,1)</f>
        <v>0</v>
      </c>
      <c r="V162" s="3">
        <f>IF(D162="Yes",S162*Tab_Data_Flows[[#This Row],[E2_Fraction'[%']]],"N.A.")</f>
        <v>0</v>
      </c>
      <c r="W162" s="3" t="str">
        <f>Tab_Data_Flows[[#This Row],[E1_UoM]]</f>
        <v>Mg</v>
      </c>
      <c r="X162" s="24">
        <f>_xlfn.XLOOKUP(Tab_Data_Flows[[#This Row],[Flow_Name]],Tab_Def_Flows[Flow_Name],Tab_Def_Flows[Flow_E3_Fraction'[%']],"N.A.",0,1)</f>
        <v>0</v>
      </c>
      <c r="Y162" s="3">
        <f>IF(E162="Yes",X162*Tab_Data_Flows[[#This Row],[E1_value]],"N.A.")</f>
        <v>0</v>
      </c>
      <c r="Z162" s="3" t="str">
        <f>Tab_Data_Flows[[#This Row],[E1_UoM]]</f>
        <v>Mg</v>
      </c>
      <c r="AA162" s="24">
        <f>_xlfn.XLOOKUP(Tab_Data_Flows[[#This Row],[Flow_Name]],Tab_Def_Flows[Flow_Name],Tab_Def_Flows[Flow_E4_Fraction'[%']],"N.A.",0,1)</f>
        <v>0</v>
      </c>
      <c r="AB162" s="3">
        <f>IF(H162="Yes",Tab_Data_Flows[[#This Row],[E4_Fraction'[%']]]*Tab_Data_Flows[[#This Row],[E1_value]],"N.A.")</f>
        <v>0</v>
      </c>
      <c r="AC162" s="3" t="str">
        <f>Tab_Data_Flows[[#This Row],[E1_UoM]]</f>
        <v>Mg</v>
      </c>
      <c r="AD162" s="24">
        <f>_xlfn.XLOOKUP(Tab_Data_Flows[[#This Row],[Flow_Name]],Tab_Def_Flows[Flow_Name],Tab_Def_Flows[Flow_E5_Fraction'[%']],"N.A.",0,1)</f>
        <v>0</v>
      </c>
      <c r="AE162" s="3">
        <f>IF(H162="Yes",Tab_Data_Flows[[#This Row],[E5_Fraction'[%']]]*Tab_Data_Flows[[#This Row],[E1_value]],"N.A.")</f>
        <v>0</v>
      </c>
      <c r="AF162" s="3" t="str">
        <f>Tab_Data_Flows[[#This Row],[E1_UoM]]</f>
        <v>Mg</v>
      </c>
      <c r="AG162" s="24">
        <f>_xlfn.XLOOKUP(Tab_Data_Flows[[#This Row],[Flow_Name]],Tab_Def_Flows[Flow_Name],Tab_Def_Flows[Flow_E6_Fraction'[%']],"N.A.",0,1)</f>
        <v>0</v>
      </c>
      <c r="AH162" s="3">
        <f>IF(Tab_Data_Flows[[#This Row],[Use_E6]]="Yes",Tab_Data_Flows[[#This Row],[E6_Fraction'[%']]]*Tab_Data_Flows[[#This Row],[E1_value]],"N.A.")</f>
        <v>0</v>
      </c>
      <c r="AI162" s="3" t="str">
        <f>Tab_Data_Flows[[#This Row],[E1_UoM]]</f>
        <v>Mg</v>
      </c>
    </row>
    <row r="163" spans="1:35" x14ac:dyDescent="0.25">
      <c r="A163" s="5">
        <f t="shared" si="5"/>
        <v>162</v>
      </c>
      <c r="B163" s="3" t="str">
        <f>_xlfn.XLOOKUP(C163,Tab_Def_Flows[Flow_Name],Tab_Def_Flows[Flow_ID],,0,)</f>
        <v>F__</v>
      </c>
      <c r="C163" s="23" t="s">
        <v>5</v>
      </c>
      <c r="D163" s="6" t="str">
        <f>_xlfn.XLOOKUP(C163,Tab_Def_Flows[Flow_Name],Tab_Def_Flows[Use_E1],,0,)</f>
        <v>Yes</v>
      </c>
      <c r="E163" s="6" t="str">
        <f>_xlfn.XLOOKUP(C163,Tab_Def_Flows[Flow_Name],Tab_Def_Flows[Use_E2],,0,)</f>
        <v>Yes</v>
      </c>
      <c r="F163" s="6" t="str">
        <f>_xlfn.XLOOKUP(C163,Tab_Def_Flows[Flow_Name],Tab_Def_Flows[Use_E3],,0,)</f>
        <v>Yes</v>
      </c>
      <c r="G163" s="6" t="str">
        <f>_xlfn.XLOOKUP(C163,Tab_Def_Flows[Flow_Name],Tab_Def_Flows[Use_E4],,0,)</f>
        <v>Yes</v>
      </c>
      <c r="H163" s="6" t="str">
        <f>_xlfn.XLOOKUP(C163,Tab_Def_Flows[Flow_Name],Tab_Def_Flows[Use_E5],,0,)</f>
        <v>Yes</v>
      </c>
      <c r="I163" s="6" t="str">
        <f>_xlfn.XLOOKUP(C163,Tab_Def_Flows[Flow_Name],Tab_Def_Flows[Use_E6],,0,)</f>
        <v>Yes</v>
      </c>
      <c r="J163" s="52"/>
      <c r="K163" s="53"/>
      <c r="L163" s="3" t="str">
        <f>'0_Configuration'!$C$41</f>
        <v>Mg</v>
      </c>
      <c r="M163" s="10"/>
      <c r="N163" s="23" t="s">
        <v>3</v>
      </c>
      <c r="O163" s="4"/>
      <c r="P163" s="4"/>
      <c r="Q163" s="10"/>
      <c r="R163" s="3">
        <f>_xlfn.XLOOKUP(Tab_Data_Flows[[#This Row],[Flow_Name]],Tab_Def_Flows[Flow_Name],Tab_Def_Flows[Flow_E1_Fraction'[%']],"N.A.",0,1)</f>
        <v>0</v>
      </c>
      <c r="S163" s="9">
        <f t="shared" si="4"/>
        <v>0</v>
      </c>
      <c r="T163" s="3" t="str">
        <f>Tab_Data_Flows[[#This Row],[UoM_Source]]</f>
        <v>Mg</v>
      </c>
      <c r="U163" s="24">
        <f>_xlfn.XLOOKUP(Tab_Data_Flows[[#This Row],[Flow_Name]],Tab_Def_Flows[Flow_Name],Tab_Def_Flows[Flow_E2_Fraction'[%']],"N.A.",0,1)</f>
        <v>0</v>
      </c>
      <c r="V163" s="3">
        <f>IF(D163="Yes",S163*Tab_Data_Flows[[#This Row],[E2_Fraction'[%']]],"N.A.")</f>
        <v>0</v>
      </c>
      <c r="W163" s="3" t="str">
        <f>Tab_Data_Flows[[#This Row],[E1_UoM]]</f>
        <v>Mg</v>
      </c>
      <c r="X163" s="24">
        <f>_xlfn.XLOOKUP(Tab_Data_Flows[[#This Row],[Flow_Name]],Tab_Def_Flows[Flow_Name],Tab_Def_Flows[Flow_E3_Fraction'[%']],"N.A.",0,1)</f>
        <v>0</v>
      </c>
      <c r="Y163" s="3">
        <f>IF(E163="Yes",X163*Tab_Data_Flows[[#This Row],[E1_value]],"N.A.")</f>
        <v>0</v>
      </c>
      <c r="Z163" s="3" t="str">
        <f>Tab_Data_Flows[[#This Row],[E1_UoM]]</f>
        <v>Mg</v>
      </c>
      <c r="AA163" s="24">
        <f>_xlfn.XLOOKUP(Tab_Data_Flows[[#This Row],[Flow_Name]],Tab_Def_Flows[Flow_Name],Tab_Def_Flows[Flow_E4_Fraction'[%']],"N.A.",0,1)</f>
        <v>0</v>
      </c>
      <c r="AB163" s="3">
        <f>IF(H163="Yes",Tab_Data_Flows[[#This Row],[E4_Fraction'[%']]]*Tab_Data_Flows[[#This Row],[E1_value]],"N.A.")</f>
        <v>0</v>
      </c>
      <c r="AC163" s="3" t="str">
        <f>Tab_Data_Flows[[#This Row],[E1_UoM]]</f>
        <v>Mg</v>
      </c>
      <c r="AD163" s="24">
        <f>_xlfn.XLOOKUP(Tab_Data_Flows[[#This Row],[Flow_Name]],Tab_Def_Flows[Flow_Name],Tab_Def_Flows[Flow_E5_Fraction'[%']],"N.A.",0,1)</f>
        <v>0</v>
      </c>
      <c r="AE163" s="3">
        <f>IF(H163="Yes",Tab_Data_Flows[[#This Row],[E5_Fraction'[%']]]*Tab_Data_Flows[[#This Row],[E1_value]],"N.A.")</f>
        <v>0</v>
      </c>
      <c r="AF163" s="3" t="str">
        <f>Tab_Data_Flows[[#This Row],[E1_UoM]]</f>
        <v>Mg</v>
      </c>
      <c r="AG163" s="24">
        <f>_xlfn.XLOOKUP(Tab_Data_Flows[[#This Row],[Flow_Name]],Tab_Def_Flows[Flow_Name],Tab_Def_Flows[Flow_E6_Fraction'[%']],"N.A.",0,1)</f>
        <v>0</v>
      </c>
      <c r="AH163" s="3">
        <f>IF(Tab_Data_Flows[[#This Row],[Use_E6]]="Yes",Tab_Data_Flows[[#This Row],[E6_Fraction'[%']]]*Tab_Data_Flows[[#This Row],[E1_value]],"N.A.")</f>
        <v>0</v>
      </c>
      <c r="AI163" s="3" t="str">
        <f>Tab_Data_Flows[[#This Row],[E1_UoM]]</f>
        <v>Mg</v>
      </c>
    </row>
    <row r="164" spans="1:35" x14ac:dyDescent="0.25">
      <c r="A164" s="5">
        <f t="shared" si="5"/>
        <v>163</v>
      </c>
      <c r="B164" s="3" t="str">
        <f>_xlfn.XLOOKUP(C164,Tab_Def_Flows[Flow_Name],Tab_Def_Flows[Flow_ID],,0,)</f>
        <v>F__</v>
      </c>
      <c r="C164" s="23" t="s">
        <v>5</v>
      </c>
      <c r="D164" s="6" t="str">
        <f>_xlfn.XLOOKUP(C164,Tab_Def_Flows[Flow_Name],Tab_Def_Flows[Use_E1],,0,)</f>
        <v>Yes</v>
      </c>
      <c r="E164" s="6" t="str">
        <f>_xlfn.XLOOKUP(C164,Tab_Def_Flows[Flow_Name],Tab_Def_Flows[Use_E2],,0,)</f>
        <v>Yes</v>
      </c>
      <c r="F164" s="6" t="str">
        <f>_xlfn.XLOOKUP(C164,Tab_Def_Flows[Flow_Name],Tab_Def_Flows[Use_E3],,0,)</f>
        <v>Yes</v>
      </c>
      <c r="G164" s="6" t="str">
        <f>_xlfn.XLOOKUP(C164,Tab_Def_Flows[Flow_Name],Tab_Def_Flows[Use_E4],,0,)</f>
        <v>Yes</v>
      </c>
      <c r="H164" s="6" t="str">
        <f>_xlfn.XLOOKUP(C164,Tab_Def_Flows[Flow_Name],Tab_Def_Flows[Use_E5],,0,)</f>
        <v>Yes</v>
      </c>
      <c r="I164" s="6" t="str">
        <f>_xlfn.XLOOKUP(C164,Tab_Def_Flows[Flow_Name],Tab_Def_Flows[Use_E6],,0,)</f>
        <v>Yes</v>
      </c>
      <c r="J164" s="52"/>
      <c r="K164" s="53"/>
      <c r="L164" s="3" t="str">
        <f>'0_Configuration'!$C$41</f>
        <v>Mg</v>
      </c>
      <c r="M164" s="10"/>
      <c r="N164" s="23" t="s">
        <v>3</v>
      </c>
      <c r="O164" s="4"/>
      <c r="P164" s="4"/>
      <c r="Q164" s="10"/>
      <c r="R164" s="3">
        <f>_xlfn.XLOOKUP(Tab_Data_Flows[[#This Row],[Flow_Name]],Tab_Def_Flows[Flow_Name],Tab_Def_Flows[Flow_E1_Fraction'[%']],"N.A.",0,1)</f>
        <v>0</v>
      </c>
      <c r="S164" s="9">
        <f t="shared" si="4"/>
        <v>0</v>
      </c>
      <c r="T164" s="3" t="str">
        <f>Tab_Data_Flows[[#This Row],[UoM_Source]]</f>
        <v>Mg</v>
      </c>
      <c r="U164" s="24">
        <f>_xlfn.XLOOKUP(Tab_Data_Flows[[#This Row],[Flow_Name]],Tab_Def_Flows[Flow_Name],Tab_Def_Flows[Flow_E2_Fraction'[%']],"N.A.",0,1)</f>
        <v>0</v>
      </c>
      <c r="V164" s="3">
        <f>IF(D164="Yes",S164*Tab_Data_Flows[[#This Row],[E2_Fraction'[%']]],"N.A.")</f>
        <v>0</v>
      </c>
      <c r="W164" s="3" t="str">
        <f>Tab_Data_Flows[[#This Row],[E1_UoM]]</f>
        <v>Mg</v>
      </c>
      <c r="X164" s="24">
        <f>_xlfn.XLOOKUP(Tab_Data_Flows[[#This Row],[Flow_Name]],Tab_Def_Flows[Flow_Name],Tab_Def_Flows[Flow_E3_Fraction'[%']],"N.A.",0,1)</f>
        <v>0</v>
      </c>
      <c r="Y164" s="3">
        <f>IF(E164="Yes",X164*Tab_Data_Flows[[#This Row],[E1_value]],"N.A.")</f>
        <v>0</v>
      </c>
      <c r="Z164" s="3" t="str">
        <f>Tab_Data_Flows[[#This Row],[E1_UoM]]</f>
        <v>Mg</v>
      </c>
      <c r="AA164" s="24">
        <f>_xlfn.XLOOKUP(Tab_Data_Flows[[#This Row],[Flow_Name]],Tab_Def_Flows[Flow_Name],Tab_Def_Flows[Flow_E4_Fraction'[%']],"N.A.",0,1)</f>
        <v>0</v>
      </c>
      <c r="AB164" s="3">
        <f>IF(H164="Yes",Tab_Data_Flows[[#This Row],[E4_Fraction'[%']]]*Tab_Data_Flows[[#This Row],[E1_value]],"N.A.")</f>
        <v>0</v>
      </c>
      <c r="AC164" s="3" t="str">
        <f>Tab_Data_Flows[[#This Row],[E1_UoM]]</f>
        <v>Mg</v>
      </c>
      <c r="AD164" s="24">
        <f>_xlfn.XLOOKUP(Tab_Data_Flows[[#This Row],[Flow_Name]],Tab_Def_Flows[Flow_Name],Tab_Def_Flows[Flow_E5_Fraction'[%']],"N.A.",0,1)</f>
        <v>0</v>
      </c>
      <c r="AE164" s="3">
        <f>IF(H164="Yes",Tab_Data_Flows[[#This Row],[E5_Fraction'[%']]]*Tab_Data_Flows[[#This Row],[E1_value]],"N.A.")</f>
        <v>0</v>
      </c>
      <c r="AF164" s="3" t="str">
        <f>Tab_Data_Flows[[#This Row],[E1_UoM]]</f>
        <v>Mg</v>
      </c>
      <c r="AG164" s="24">
        <f>_xlfn.XLOOKUP(Tab_Data_Flows[[#This Row],[Flow_Name]],Tab_Def_Flows[Flow_Name],Tab_Def_Flows[Flow_E6_Fraction'[%']],"N.A.",0,1)</f>
        <v>0</v>
      </c>
      <c r="AH164" s="3">
        <f>IF(Tab_Data_Flows[[#This Row],[Use_E6]]="Yes",Tab_Data_Flows[[#This Row],[E6_Fraction'[%']]]*Tab_Data_Flows[[#This Row],[E1_value]],"N.A.")</f>
        <v>0</v>
      </c>
      <c r="AI164" s="3" t="str">
        <f>Tab_Data_Flows[[#This Row],[E1_UoM]]</f>
        <v>Mg</v>
      </c>
    </row>
    <row r="165" spans="1:35" x14ac:dyDescent="0.25">
      <c r="A165" s="5">
        <f t="shared" si="5"/>
        <v>164</v>
      </c>
      <c r="B165" s="3" t="str">
        <f>_xlfn.XLOOKUP(C165,Tab_Def_Flows[Flow_Name],Tab_Def_Flows[Flow_ID],,0,)</f>
        <v>F__</v>
      </c>
      <c r="C165" s="23" t="s">
        <v>5</v>
      </c>
      <c r="D165" s="6" t="str">
        <f>_xlfn.XLOOKUP(C165,Tab_Def_Flows[Flow_Name],Tab_Def_Flows[Use_E1],,0,)</f>
        <v>Yes</v>
      </c>
      <c r="E165" s="6" t="str">
        <f>_xlfn.XLOOKUP(C165,Tab_Def_Flows[Flow_Name],Tab_Def_Flows[Use_E2],,0,)</f>
        <v>Yes</v>
      </c>
      <c r="F165" s="6" t="str">
        <f>_xlfn.XLOOKUP(C165,Tab_Def_Flows[Flow_Name],Tab_Def_Flows[Use_E3],,0,)</f>
        <v>Yes</v>
      </c>
      <c r="G165" s="6" t="str">
        <f>_xlfn.XLOOKUP(C165,Tab_Def_Flows[Flow_Name],Tab_Def_Flows[Use_E4],,0,)</f>
        <v>Yes</v>
      </c>
      <c r="H165" s="6" t="str">
        <f>_xlfn.XLOOKUP(C165,Tab_Def_Flows[Flow_Name],Tab_Def_Flows[Use_E5],,0,)</f>
        <v>Yes</v>
      </c>
      <c r="I165" s="6" t="str">
        <f>_xlfn.XLOOKUP(C165,Tab_Def_Flows[Flow_Name],Tab_Def_Flows[Use_E6],,0,)</f>
        <v>Yes</v>
      </c>
      <c r="J165" s="52"/>
      <c r="K165" s="53"/>
      <c r="L165" s="3" t="str">
        <f>'0_Configuration'!$C$41</f>
        <v>Mg</v>
      </c>
      <c r="M165" s="10"/>
      <c r="N165" s="23" t="s">
        <v>3</v>
      </c>
      <c r="O165" s="4"/>
      <c r="P165" s="4"/>
      <c r="Q165" s="10"/>
      <c r="R165" s="3">
        <f>_xlfn.XLOOKUP(Tab_Data_Flows[[#This Row],[Flow_Name]],Tab_Def_Flows[Flow_Name],Tab_Def_Flows[Flow_E1_Fraction'[%']],"N.A.",0,1)</f>
        <v>0</v>
      </c>
      <c r="S165" s="9">
        <f t="shared" si="4"/>
        <v>0</v>
      </c>
      <c r="T165" s="3" t="str">
        <f>Tab_Data_Flows[[#This Row],[UoM_Source]]</f>
        <v>Mg</v>
      </c>
      <c r="U165" s="24">
        <f>_xlfn.XLOOKUP(Tab_Data_Flows[[#This Row],[Flow_Name]],Tab_Def_Flows[Flow_Name],Tab_Def_Flows[Flow_E2_Fraction'[%']],"N.A.",0,1)</f>
        <v>0</v>
      </c>
      <c r="V165" s="3">
        <f>IF(D165="Yes",S165*Tab_Data_Flows[[#This Row],[E2_Fraction'[%']]],"N.A.")</f>
        <v>0</v>
      </c>
      <c r="W165" s="3" t="str">
        <f>Tab_Data_Flows[[#This Row],[E1_UoM]]</f>
        <v>Mg</v>
      </c>
      <c r="X165" s="24">
        <f>_xlfn.XLOOKUP(Tab_Data_Flows[[#This Row],[Flow_Name]],Tab_Def_Flows[Flow_Name],Tab_Def_Flows[Flow_E3_Fraction'[%']],"N.A.",0,1)</f>
        <v>0</v>
      </c>
      <c r="Y165" s="3">
        <f>IF(E165="Yes",X165*Tab_Data_Flows[[#This Row],[E1_value]],"N.A.")</f>
        <v>0</v>
      </c>
      <c r="Z165" s="3" t="str">
        <f>Tab_Data_Flows[[#This Row],[E1_UoM]]</f>
        <v>Mg</v>
      </c>
      <c r="AA165" s="24">
        <f>_xlfn.XLOOKUP(Tab_Data_Flows[[#This Row],[Flow_Name]],Tab_Def_Flows[Flow_Name],Tab_Def_Flows[Flow_E4_Fraction'[%']],"N.A.",0,1)</f>
        <v>0</v>
      </c>
      <c r="AB165" s="3">
        <f>IF(H165="Yes",Tab_Data_Flows[[#This Row],[E4_Fraction'[%']]]*Tab_Data_Flows[[#This Row],[E1_value]],"N.A.")</f>
        <v>0</v>
      </c>
      <c r="AC165" s="3" t="str">
        <f>Tab_Data_Flows[[#This Row],[E1_UoM]]</f>
        <v>Mg</v>
      </c>
      <c r="AD165" s="24">
        <f>_xlfn.XLOOKUP(Tab_Data_Flows[[#This Row],[Flow_Name]],Tab_Def_Flows[Flow_Name],Tab_Def_Flows[Flow_E5_Fraction'[%']],"N.A.",0,1)</f>
        <v>0</v>
      </c>
      <c r="AE165" s="3">
        <f>IF(H165="Yes",Tab_Data_Flows[[#This Row],[E5_Fraction'[%']]]*Tab_Data_Flows[[#This Row],[E1_value]],"N.A.")</f>
        <v>0</v>
      </c>
      <c r="AF165" s="3" t="str">
        <f>Tab_Data_Flows[[#This Row],[E1_UoM]]</f>
        <v>Mg</v>
      </c>
      <c r="AG165" s="24">
        <f>_xlfn.XLOOKUP(Tab_Data_Flows[[#This Row],[Flow_Name]],Tab_Def_Flows[Flow_Name],Tab_Def_Flows[Flow_E6_Fraction'[%']],"N.A.",0,1)</f>
        <v>0</v>
      </c>
      <c r="AH165" s="3">
        <f>IF(Tab_Data_Flows[[#This Row],[Use_E6]]="Yes",Tab_Data_Flows[[#This Row],[E6_Fraction'[%']]]*Tab_Data_Flows[[#This Row],[E1_value]],"N.A.")</f>
        <v>0</v>
      </c>
      <c r="AI165" s="3" t="str">
        <f>Tab_Data_Flows[[#This Row],[E1_UoM]]</f>
        <v>Mg</v>
      </c>
    </row>
    <row r="166" spans="1:35" x14ac:dyDescent="0.25">
      <c r="A166" s="5">
        <f t="shared" si="5"/>
        <v>165</v>
      </c>
      <c r="B166" s="3" t="str">
        <f>_xlfn.XLOOKUP(C166,Tab_Def_Flows[Flow_Name],Tab_Def_Flows[Flow_ID],,0,)</f>
        <v>F__</v>
      </c>
      <c r="C166" s="23" t="s">
        <v>5</v>
      </c>
      <c r="D166" s="6" t="str">
        <f>_xlfn.XLOOKUP(C166,Tab_Def_Flows[Flow_Name],Tab_Def_Flows[Use_E1],,0,)</f>
        <v>Yes</v>
      </c>
      <c r="E166" s="6" t="str">
        <f>_xlfn.XLOOKUP(C166,Tab_Def_Flows[Flow_Name],Tab_Def_Flows[Use_E2],,0,)</f>
        <v>Yes</v>
      </c>
      <c r="F166" s="6" t="str">
        <f>_xlfn.XLOOKUP(C166,Tab_Def_Flows[Flow_Name],Tab_Def_Flows[Use_E3],,0,)</f>
        <v>Yes</v>
      </c>
      <c r="G166" s="6" t="str">
        <f>_xlfn.XLOOKUP(C166,Tab_Def_Flows[Flow_Name],Tab_Def_Flows[Use_E4],,0,)</f>
        <v>Yes</v>
      </c>
      <c r="H166" s="6" t="str">
        <f>_xlfn.XLOOKUP(C166,Tab_Def_Flows[Flow_Name],Tab_Def_Flows[Use_E5],,0,)</f>
        <v>Yes</v>
      </c>
      <c r="I166" s="6" t="str">
        <f>_xlfn.XLOOKUP(C166,Tab_Def_Flows[Flow_Name],Tab_Def_Flows[Use_E6],,0,)</f>
        <v>Yes</v>
      </c>
      <c r="J166" s="52"/>
      <c r="K166" s="53"/>
      <c r="L166" s="3" t="str">
        <f>'0_Configuration'!$C$41</f>
        <v>Mg</v>
      </c>
      <c r="M166" s="10"/>
      <c r="N166" s="23" t="s">
        <v>3</v>
      </c>
      <c r="O166" s="4"/>
      <c r="P166" s="4"/>
      <c r="Q166" s="10"/>
      <c r="R166" s="3">
        <f>_xlfn.XLOOKUP(Tab_Data_Flows[[#This Row],[Flow_Name]],Tab_Def_Flows[Flow_Name],Tab_Def_Flows[Flow_E1_Fraction'[%']],"N.A.",0,1)</f>
        <v>0</v>
      </c>
      <c r="S166" s="9">
        <f t="shared" si="4"/>
        <v>0</v>
      </c>
      <c r="T166" s="3" t="str">
        <f>Tab_Data_Flows[[#This Row],[UoM_Source]]</f>
        <v>Mg</v>
      </c>
      <c r="U166" s="24">
        <f>_xlfn.XLOOKUP(Tab_Data_Flows[[#This Row],[Flow_Name]],Tab_Def_Flows[Flow_Name],Tab_Def_Flows[Flow_E2_Fraction'[%']],"N.A.",0,1)</f>
        <v>0</v>
      </c>
      <c r="V166" s="3">
        <f>IF(D166="Yes",S166*Tab_Data_Flows[[#This Row],[E2_Fraction'[%']]],"N.A.")</f>
        <v>0</v>
      </c>
      <c r="W166" s="3" t="str">
        <f>Tab_Data_Flows[[#This Row],[E1_UoM]]</f>
        <v>Mg</v>
      </c>
      <c r="X166" s="24">
        <f>_xlfn.XLOOKUP(Tab_Data_Flows[[#This Row],[Flow_Name]],Tab_Def_Flows[Flow_Name],Tab_Def_Flows[Flow_E3_Fraction'[%']],"N.A.",0,1)</f>
        <v>0</v>
      </c>
      <c r="Y166" s="3">
        <f>IF(E166="Yes",X166*Tab_Data_Flows[[#This Row],[E1_value]],"N.A.")</f>
        <v>0</v>
      </c>
      <c r="Z166" s="3" t="str">
        <f>Tab_Data_Flows[[#This Row],[E1_UoM]]</f>
        <v>Mg</v>
      </c>
      <c r="AA166" s="24">
        <f>_xlfn.XLOOKUP(Tab_Data_Flows[[#This Row],[Flow_Name]],Tab_Def_Flows[Flow_Name],Tab_Def_Flows[Flow_E4_Fraction'[%']],"N.A.",0,1)</f>
        <v>0</v>
      </c>
      <c r="AB166" s="3">
        <f>IF(H166="Yes",Tab_Data_Flows[[#This Row],[E4_Fraction'[%']]]*Tab_Data_Flows[[#This Row],[E1_value]],"N.A.")</f>
        <v>0</v>
      </c>
      <c r="AC166" s="3" t="str">
        <f>Tab_Data_Flows[[#This Row],[E1_UoM]]</f>
        <v>Mg</v>
      </c>
      <c r="AD166" s="24">
        <f>_xlfn.XLOOKUP(Tab_Data_Flows[[#This Row],[Flow_Name]],Tab_Def_Flows[Flow_Name],Tab_Def_Flows[Flow_E5_Fraction'[%']],"N.A.",0,1)</f>
        <v>0</v>
      </c>
      <c r="AE166" s="3">
        <f>IF(H166="Yes",Tab_Data_Flows[[#This Row],[E5_Fraction'[%']]]*Tab_Data_Flows[[#This Row],[E1_value]],"N.A.")</f>
        <v>0</v>
      </c>
      <c r="AF166" s="3" t="str">
        <f>Tab_Data_Flows[[#This Row],[E1_UoM]]</f>
        <v>Mg</v>
      </c>
      <c r="AG166" s="24">
        <f>_xlfn.XLOOKUP(Tab_Data_Flows[[#This Row],[Flow_Name]],Tab_Def_Flows[Flow_Name],Tab_Def_Flows[Flow_E6_Fraction'[%']],"N.A.",0,1)</f>
        <v>0</v>
      </c>
      <c r="AH166" s="3">
        <f>IF(Tab_Data_Flows[[#This Row],[Use_E6]]="Yes",Tab_Data_Flows[[#This Row],[E6_Fraction'[%']]]*Tab_Data_Flows[[#This Row],[E1_value]],"N.A.")</f>
        <v>0</v>
      </c>
      <c r="AI166" s="3" t="str">
        <f>Tab_Data_Flows[[#This Row],[E1_UoM]]</f>
        <v>Mg</v>
      </c>
    </row>
    <row r="167" spans="1:35" x14ac:dyDescent="0.25">
      <c r="A167" s="5">
        <f t="shared" si="5"/>
        <v>166</v>
      </c>
      <c r="B167" s="3" t="str">
        <f>_xlfn.XLOOKUP(C167,Tab_Def_Flows[Flow_Name],Tab_Def_Flows[Flow_ID],,0,)</f>
        <v>F__</v>
      </c>
      <c r="C167" s="23" t="s">
        <v>5</v>
      </c>
      <c r="D167" s="6" t="str">
        <f>_xlfn.XLOOKUP(C167,Tab_Def_Flows[Flow_Name],Tab_Def_Flows[Use_E1],,0,)</f>
        <v>Yes</v>
      </c>
      <c r="E167" s="6" t="str">
        <f>_xlfn.XLOOKUP(C167,Tab_Def_Flows[Flow_Name],Tab_Def_Flows[Use_E2],,0,)</f>
        <v>Yes</v>
      </c>
      <c r="F167" s="6" t="str">
        <f>_xlfn.XLOOKUP(C167,Tab_Def_Flows[Flow_Name],Tab_Def_Flows[Use_E3],,0,)</f>
        <v>Yes</v>
      </c>
      <c r="G167" s="6" t="str">
        <f>_xlfn.XLOOKUP(C167,Tab_Def_Flows[Flow_Name],Tab_Def_Flows[Use_E4],,0,)</f>
        <v>Yes</v>
      </c>
      <c r="H167" s="6" t="str">
        <f>_xlfn.XLOOKUP(C167,Tab_Def_Flows[Flow_Name],Tab_Def_Flows[Use_E5],,0,)</f>
        <v>Yes</v>
      </c>
      <c r="I167" s="6" t="str">
        <f>_xlfn.XLOOKUP(C167,Tab_Def_Flows[Flow_Name],Tab_Def_Flows[Use_E6],,0,)</f>
        <v>Yes</v>
      </c>
      <c r="J167" s="52"/>
      <c r="K167" s="53"/>
      <c r="L167" s="3" t="str">
        <f>'0_Configuration'!$C$41</f>
        <v>Mg</v>
      </c>
      <c r="M167" s="10"/>
      <c r="N167" s="23" t="s">
        <v>3</v>
      </c>
      <c r="O167" s="4"/>
      <c r="P167" s="4"/>
      <c r="Q167" s="10"/>
      <c r="R167" s="3">
        <f>_xlfn.XLOOKUP(Tab_Data_Flows[[#This Row],[Flow_Name]],Tab_Def_Flows[Flow_Name],Tab_Def_Flows[Flow_E1_Fraction'[%']],"N.A.",0,1)</f>
        <v>0</v>
      </c>
      <c r="S167" s="9">
        <f t="shared" si="4"/>
        <v>0</v>
      </c>
      <c r="T167" s="3" t="str">
        <f>Tab_Data_Flows[[#This Row],[UoM_Source]]</f>
        <v>Mg</v>
      </c>
      <c r="U167" s="24">
        <f>_xlfn.XLOOKUP(Tab_Data_Flows[[#This Row],[Flow_Name]],Tab_Def_Flows[Flow_Name],Tab_Def_Flows[Flow_E2_Fraction'[%']],"N.A.",0,1)</f>
        <v>0</v>
      </c>
      <c r="V167" s="3">
        <f>IF(D167="Yes",S167*Tab_Data_Flows[[#This Row],[E2_Fraction'[%']]],"N.A.")</f>
        <v>0</v>
      </c>
      <c r="W167" s="3" t="str">
        <f>Tab_Data_Flows[[#This Row],[E1_UoM]]</f>
        <v>Mg</v>
      </c>
      <c r="X167" s="24">
        <f>_xlfn.XLOOKUP(Tab_Data_Flows[[#This Row],[Flow_Name]],Tab_Def_Flows[Flow_Name],Tab_Def_Flows[Flow_E3_Fraction'[%']],"N.A.",0,1)</f>
        <v>0</v>
      </c>
      <c r="Y167" s="3">
        <f>IF(E167="Yes",X167*Tab_Data_Flows[[#This Row],[E1_value]],"N.A.")</f>
        <v>0</v>
      </c>
      <c r="Z167" s="3" t="str">
        <f>Tab_Data_Flows[[#This Row],[E1_UoM]]</f>
        <v>Mg</v>
      </c>
      <c r="AA167" s="24">
        <f>_xlfn.XLOOKUP(Tab_Data_Flows[[#This Row],[Flow_Name]],Tab_Def_Flows[Flow_Name],Tab_Def_Flows[Flow_E4_Fraction'[%']],"N.A.",0,1)</f>
        <v>0</v>
      </c>
      <c r="AB167" s="3">
        <f>IF(H167="Yes",Tab_Data_Flows[[#This Row],[E4_Fraction'[%']]]*Tab_Data_Flows[[#This Row],[E1_value]],"N.A.")</f>
        <v>0</v>
      </c>
      <c r="AC167" s="3" t="str">
        <f>Tab_Data_Flows[[#This Row],[E1_UoM]]</f>
        <v>Mg</v>
      </c>
      <c r="AD167" s="24">
        <f>_xlfn.XLOOKUP(Tab_Data_Flows[[#This Row],[Flow_Name]],Tab_Def_Flows[Flow_Name],Tab_Def_Flows[Flow_E5_Fraction'[%']],"N.A.",0,1)</f>
        <v>0</v>
      </c>
      <c r="AE167" s="3">
        <f>IF(H167="Yes",Tab_Data_Flows[[#This Row],[E5_Fraction'[%']]]*Tab_Data_Flows[[#This Row],[E1_value]],"N.A.")</f>
        <v>0</v>
      </c>
      <c r="AF167" s="3" t="str">
        <f>Tab_Data_Flows[[#This Row],[E1_UoM]]</f>
        <v>Mg</v>
      </c>
      <c r="AG167" s="24">
        <f>_xlfn.XLOOKUP(Tab_Data_Flows[[#This Row],[Flow_Name]],Tab_Def_Flows[Flow_Name],Tab_Def_Flows[Flow_E6_Fraction'[%']],"N.A.",0,1)</f>
        <v>0</v>
      </c>
      <c r="AH167" s="3">
        <f>IF(Tab_Data_Flows[[#This Row],[Use_E6]]="Yes",Tab_Data_Flows[[#This Row],[E6_Fraction'[%']]]*Tab_Data_Flows[[#This Row],[E1_value]],"N.A.")</f>
        <v>0</v>
      </c>
      <c r="AI167" s="3" t="str">
        <f>Tab_Data_Flows[[#This Row],[E1_UoM]]</f>
        <v>Mg</v>
      </c>
    </row>
    <row r="168" spans="1:35" x14ac:dyDescent="0.25">
      <c r="A168" s="5">
        <f t="shared" si="5"/>
        <v>167</v>
      </c>
      <c r="B168" s="3" t="str">
        <f>_xlfn.XLOOKUP(C168,Tab_Def_Flows[Flow_Name],Tab_Def_Flows[Flow_ID],,0,)</f>
        <v>F__</v>
      </c>
      <c r="C168" s="23" t="s">
        <v>5</v>
      </c>
      <c r="D168" s="6" t="str">
        <f>_xlfn.XLOOKUP(C168,Tab_Def_Flows[Flow_Name],Tab_Def_Flows[Use_E1],,0,)</f>
        <v>Yes</v>
      </c>
      <c r="E168" s="6" t="str">
        <f>_xlfn.XLOOKUP(C168,Tab_Def_Flows[Flow_Name],Tab_Def_Flows[Use_E2],,0,)</f>
        <v>Yes</v>
      </c>
      <c r="F168" s="6" t="str">
        <f>_xlfn.XLOOKUP(C168,Tab_Def_Flows[Flow_Name],Tab_Def_Flows[Use_E3],,0,)</f>
        <v>Yes</v>
      </c>
      <c r="G168" s="6" t="str">
        <f>_xlfn.XLOOKUP(C168,Tab_Def_Flows[Flow_Name],Tab_Def_Flows[Use_E4],,0,)</f>
        <v>Yes</v>
      </c>
      <c r="H168" s="6" t="str">
        <f>_xlfn.XLOOKUP(C168,Tab_Def_Flows[Flow_Name],Tab_Def_Flows[Use_E5],,0,)</f>
        <v>Yes</v>
      </c>
      <c r="I168" s="6" t="str">
        <f>_xlfn.XLOOKUP(C168,Tab_Def_Flows[Flow_Name],Tab_Def_Flows[Use_E6],,0,)</f>
        <v>Yes</v>
      </c>
      <c r="J168" s="52"/>
      <c r="K168" s="53"/>
      <c r="L168" s="3" t="str">
        <f>'0_Configuration'!$C$41</f>
        <v>Mg</v>
      </c>
      <c r="M168" s="10"/>
      <c r="N168" s="23" t="s">
        <v>3</v>
      </c>
      <c r="O168" s="4"/>
      <c r="P168" s="4"/>
      <c r="Q168" s="10"/>
      <c r="R168" s="3">
        <f>_xlfn.XLOOKUP(Tab_Data_Flows[[#This Row],[Flow_Name]],Tab_Def_Flows[Flow_Name],Tab_Def_Flows[Flow_E1_Fraction'[%']],"N.A.",0,1)</f>
        <v>0</v>
      </c>
      <c r="S168" s="9">
        <f t="shared" si="4"/>
        <v>0</v>
      </c>
      <c r="T168" s="3" t="str">
        <f>Tab_Data_Flows[[#This Row],[UoM_Source]]</f>
        <v>Mg</v>
      </c>
      <c r="U168" s="24">
        <f>_xlfn.XLOOKUP(Tab_Data_Flows[[#This Row],[Flow_Name]],Tab_Def_Flows[Flow_Name],Tab_Def_Flows[Flow_E2_Fraction'[%']],"N.A.",0,1)</f>
        <v>0</v>
      </c>
      <c r="V168" s="3">
        <f>IF(D168="Yes",S168*Tab_Data_Flows[[#This Row],[E2_Fraction'[%']]],"N.A.")</f>
        <v>0</v>
      </c>
      <c r="W168" s="3" t="str">
        <f>Tab_Data_Flows[[#This Row],[E1_UoM]]</f>
        <v>Mg</v>
      </c>
      <c r="X168" s="24">
        <f>_xlfn.XLOOKUP(Tab_Data_Flows[[#This Row],[Flow_Name]],Tab_Def_Flows[Flow_Name],Tab_Def_Flows[Flow_E3_Fraction'[%']],"N.A.",0,1)</f>
        <v>0</v>
      </c>
      <c r="Y168" s="3">
        <f>IF(E168="Yes",X168*Tab_Data_Flows[[#This Row],[E1_value]],"N.A.")</f>
        <v>0</v>
      </c>
      <c r="Z168" s="3" t="str">
        <f>Tab_Data_Flows[[#This Row],[E1_UoM]]</f>
        <v>Mg</v>
      </c>
      <c r="AA168" s="24">
        <f>_xlfn.XLOOKUP(Tab_Data_Flows[[#This Row],[Flow_Name]],Tab_Def_Flows[Flow_Name],Tab_Def_Flows[Flow_E4_Fraction'[%']],"N.A.",0,1)</f>
        <v>0</v>
      </c>
      <c r="AB168" s="3">
        <f>IF(H168="Yes",Tab_Data_Flows[[#This Row],[E4_Fraction'[%']]]*Tab_Data_Flows[[#This Row],[E1_value]],"N.A.")</f>
        <v>0</v>
      </c>
      <c r="AC168" s="3" t="str">
        <f>Tab_Data_Flows[[#This Row],[E1_UoM]]</f>
        <v>Mg</v>
      </c>
      <c r="AD168" s="24">
        <f>_xlfn.XLOOKUP(Tab_Data_Flows[[#This Row],[Flow_Name]],Tab_Def_Flows[Flow_Name],Tab_Def_Flows[Flow_E5_Fraction'[%']],"N.A.",0,1)</f>
        <v>0</v>
      </c>
      <c r="AE168" s="3">
        <f>IF(H168="Yes",Tab_Data_Flows[[#This Row],[E5_Fraction'[%']]]*Tab_Data_Flows[[#This Row],[E1_value]],"N.A.")</f>
        <v>0</v>
      </c>
      <c r="AF168" s="3" t="str">
        <f>Tab_Data_Flows[[#This Row],[E1_UoM]]</f>
        <v>Mg</v>
      </c>
      <c r="AG168" s="24">
        <f>_xlfn.XLOOKUP(Tab_Data_Flows[[#This Row],[Flow_Name]],Tab_Def_Flows[Flow_Name],Tab_Def_Flows[Flow_E6_Fraction'[%']],"N.A.",0,1)</f>
        <v>0</v>
      </c>
      <c r="AH168" s="3">
        <f>IF(Tab_Data_Flows[[#This Row],[Use_E6]]="Yes",Tab_Data_Flows[[#This Row],[E6_Fraction'[%']]]*Tab_Data_Flows[[#This Row],[E1_value]],"N.A.")</f>
        <v>0</v>
      </c>
      <c r="AI168" s="3" t="str">
        <f>Tab_Data_Flows[[#This Row],[E1_UoM]]</f>
        <v>Mg</v>
      </c>
    </row>
    <row r="169" spans="1:35" x14ac:dyDescent="0.25">
      <c r="A169" s="5">
        <f t="shared" si="5"/>
        <v>168</v>
      </c>
      <c r="B169" s="3" t="str">
        <f>_xlfn.XLOOKUP(C169,Tab_Def_Flows[Flow_Name],Tab_Def_Flows[Flow_ID],,0,)</f>
        <v>F__</v>
      </c>
      <c r="C169" s="23" t="s">
        <v>5</v>
      </c>
      <c r="D169" s="6" t="str">
        <f>_xlfn.XLOOKUP(C169,Tab_Def_Flows[Flow_Name],Tab_Def_Flows[Use_E1],,0,)</f>
        <v>Yes</v>
      </c>
      <c r="E169" s="6" t="str">
        <f>_xlfn.XLOOKUP(C169,Tab_Def_Flows[Flow_Name],Tab_Def_Flows[Use_E2],,0,)</f>
        <v>Yes</v>
      </c>
      <c r="F169" s="6" t="str">
        <f>_xlfn.XLOOKUP(C169,Tab_Def_Flows[Flow_Name],Tab_Def_Flows[Use_E3],,0,)</f>
        <v>Yes</v>
      </c>
      <c r="G169" s="6" t="str">
        <f>_xlfn.XLOOKUP(C169,Tab_Def_Flows[Flow_Name],Tab_Def_Flows[Use_E4],,0,)</f>
        <v>Yes</v>
      </c>
      <c r="H169" s="6" t="str">
        <f>_xlfn.XLOOKUP(C169,Tab_Def_Flows[Flow_Name],Tab_Def_Flows[Use_E5],,0,)</f>
        <v>Yes</v>
      </c>
      <c r="I169" s="6" t="str">
        <f>_xlfn.XLOOKUP(C169,Tab_Def_Flows[Flow_Name],Tab_Def_Flows[Use_E6],,0,)</f>
        <v>Yes</v>
      </c>
      <c r="J169" s="52"/>
      <c r="K169" s="53"/>
      <c r="L169" s="3" t="str">
        <f>'0_Configuration'!$C$41</f>
        <v>Mg</v>
      </c>
      <c r="M169" s="10"/>
      <c r="N169" s="23" t="s">
        <v>3</v>
      </c>
      <c r="O169" s="4"/>
      <c r="P169" s="4"/>
      <c r="Q169" s="10"/>
      <c r="R169" s="3">
        <f>_xlfn.XLOOKUP(Tab_Data_Flows[[#This Row],[Flow_Name]],Tab_Def_Flows[Flow_Name],Tab_Def_Flows[Flow_E1_Fraction'[%']],"N.A.",0,1)</f>
        <v>0</v>
      </c>
      <c r="S169" s="9">
        <f t="shared" si="4"/>
        <v>0</v>
      </c>
      <c r="T169" s="3" t="str">
        <f>Tab_Data_Flows[[#This Row],[UoM_Source]]</f>
        <v>Mg</v>
      </c>
      <c r="U169" s="24">
        <f>_xlfn.XLOOKUP(Tab_Data_Flows[[#This Row],[Flow_Name]],Tab_Def_Flows[Flow_Name],Tab_Def_Flows[Flow_E2_Fraction'[%']],"N.A.",0,1)</f>
        <v>0</v>
      </c>
      <c r="V169" s="3">
        <f>IF(D169="Yes",S169*Tab_Data_Flows[[#This Row],[E2_Fraction'[%']]],"N.A.")</f>
        <v>0</v>
      </c>
      <c r="W169" s="3" t="str">
        <f>Tab_Data_Flows[[#This Row],[E1_UoM]]</f>
        <v>Mg</v>
      </c>
      <c r="X169" s="24">
        <f>_xlfn.XLOOKUP(Tab_Data_Flows[[#This Row],[Flow_Name]],Tab_Def_Flows[Flow_Name],Tab_Def_Flows[Flow_E3_Fraction'[%']],"N.A.",0,1)</f>
        <v>0</v>
      </c>
      <c r="Y169" s="3">
        <f>IF(E169="Yes",X169*Tab_Data_Flows[[#This Row],[E1_value]],"N.A.")</f>
        <v>0</v>
      </c>
      <c r="Z169" s="3" t="str">
        <f>Tab_Data_Flows[[#This Row],[E1_UoM]]</f>
        <v>Mg</v>
      </c>
      <c r="AA169" s="24">
        <f>_xlfn.XLOOKUP(Tab_Data_Flows[[#This Row],[Flow_Name]],Tab_Def_Flows[Flow_Name],Tab_Def_Flows[Flow_E4_Fraction'[%']],"N.A.",0,1)</f>
        <v>0</v>
      </c>
      <c r="AB169" s="3">
        <f>IF(H169="Yes",Tab_Data_Flows[[#This Row],[E4_Fraction'[%']]]*Tab_Data_Flows[[#This Row],[E1_value]],"N.A.")</f>
        <v>0</v>
      </c>
      <c r="AC169" s="3" t="str">
        <f>Tab_Data_Flows[[#This Row],[E1_UoM]]</f>
        <v>Mg</v>
      </c>
      <c r="AD169" s="24">
        <f>_xlfn.XLOOKUP(Tab_Data_Flows[[#This Row],[Flow_Name]],Tab_Def_Flows[Flow_Name],Tab_Def_Flows[Flow_E5_Fraction'[%']],"N.A.",0,1)</f>
        <v>0</v>
      </c>
      <c r="AE169" s="3">
        <f>IF(H169="Yes",Tab_Data_Flows[[#This Row],[E5_Fraction'[%']]]*Tab_Data_Flows[[#This Row],[E1_value]],"N.A.")</f>
        <v>0</v>
      </c>
      <c r="AF169" s="3" t="str">
        <f>Tab_Data_Flows[[#This Row],[E1_UoM]]</f>
        <v>Mg</v>
      </c>
      <c r="AG169" s="24">
        <f>_xlfn.XLOOKUP(Tab_Data_Flows[[#This Row],[Flow_Name]],Tab_Def_Flows[Flow_Name],Tab_Def_Flows[Flow_E6_Fraction'[%']],"N.A.",0,1)</f>
        <v>0</v>
      </c>
      <c r="AH169" s="3">
        <f>IF(Tab_Data_Flows[[#This Row],[Use_E6]]="Yes",Tab_Data_Flows[[#This Row],[E6_Fraction'[%']]]*Tab_Data_Flows[[#This Row],[E1_value]],"N.A.")</f>
        <v>0</v>
      </c>
      <c r="AI169" s="3" t="str">
        <f>Tab_Data_Flows[[#This Row],[E1_UoM]]</f>
        <v>Mg</v>
      </c>
    </row>
    <row r="170" spans="1:35" x14ac:dyDescent="0.25">
      <c r="A170" s="5">
        <f t="shared" si="5"/>
        <v>169</v>
      </c>
      <c r="B170" s="3" t="str">
        <f>_xlfn.XLOOKUP(C170,Tab_Def_Flows[Flow_Name],Tab_Def_Flows[Flow_ID],,0,)</f>
        <v>F__</v>
      </c>
      <c r="C170" s="23" t="s">
        <v>5</v>
      </c>
      <c r="D170" s="6" t="str">
        <f>_xlfn.XLOOKUP(C170,Tab_Def_Flows[Flow_Name],Tab_Def_Flows[Use_E1],,0,)</f>
        <v>Yes</v>
      </c>
      <c r="E170" s="6" t="str">
        <f>_xlfn.XLOOKUP(C170,Tab_Def_Flows[Flow_Name],Tab_Def_Flows[Use_E2],,0,)</f>
        <v>Yes</v>
      </c>
      <c r="F170" s="6" t="str">
        <f>_xlfn.XLOOKUP(C170,Tab_Def_Flows[Flow_Name],Tab_Def_Flows[Use_E3],,0,)</f>
        <v>Yes</v>
      </c>
      <c r="G170" s="6" t="str">
        <f>_xlfn.XLOOKUP(C170,Tab_Def_Flows[Flow_Name],Tab_Def_Flows[Use_E4],,0,)</f>
        <v>Yes</v>
      </c>
      <c r="H170" s="6" t="str">
        <f>_xlfn.XLOOKUP(C170,Tab_Def_Flows[Flow_Name],Tab_Def_Flows[Use_E5],,0,)</f>
        <v>Yes</v>
      </c>
      <c r="I170" s="6" t="str">
        <f>_xlfn.XLOOKUP(C170,Tab_Def_Flows[Flow_Name],Tab_Def_Flows[Use_E6],,0,)</f>
        <v>Yes</v>
      </c>
      <c r="J170" s="52"/>
      <c r="K170" s="53"/>
      <c r="L170" s="3" t="str">
        <f>'0_Configuration'!$C$41</f>
        <v>Mg</v>
      </c>
      <c r="M170" s="10"/>
      <c r="N170" s="23" t="s">
        <v>3</v>
      </c>
      <c r="O170" s="4"/>
      <c r="P170" s="4"/>
      <c r="Q170" s="10"/>
      <c r="R170" s="3">
        <f>_xlfn.XLOOKUP(Tab_Data_Flows[[#This Row],[Flow_Name]],Tab_Def_Flows[Flow_Name],Tab_Def_Flows[Flow_E1_Fraction'[%']],"N.A.",0,1)</f>
        <v>0</v>
      </c>
      <c r="S170" s="9">
        <f t="shared" si="4"/>
        <v>0</v>
      </c>
      <c r="T170" s="3" t="str">
        <f>Tab_Data_Flows[[#This Row],[UoM_Source]]</f>
        <v>Mg</v>
      </c>
      <c r="U170" s="24">
        <f>_xlfn.XLOOKUP(Tab_Data_Flows[[#This Row],[Flow_Name]],Tab_Def_Flows[Flow_Name],Tab_Def_Flows[Flow_E2_Fraction'[%']],"N.A.",0,1)</f>
        <v>0</v>
      </c>
      <c r="V170" s="3">
        <f>IF(D170="Yes",S170*Tab_Data_Flows[[#This Row],[E2_Fraction'[%']]],"N.A.")</f>
        <v>0</v>
      </c>
      <c r="W170" s="3" t="str">
        <f>Tab_Data_Flows[[#This Row],[E1_UoM]]</f>
        <v>Mg</v>
      </c>
      <c r="X170" s="24">
        <f>_xlfn.XLOOKUP(Tab_Data_Flows[[#This Row],[Flow_Name]],Tab_Def_Flows[Flow_Name],Tab_Def_Flows[Flow_E3_Fraction'[%']],"N.A.",0,1)</f>
        <v>0</v>
      </c>
      <c r="Y170" s="3">
        <f>IF(E170="Yes",X170*Tab_Data_Flows[[#This Row],[E1_value]],"N.A.")</f>
        <v>0</v>
      </c>
      <c r="Z170" s="3" t="str">
        <f>Tab_Data_Flows[[#This Row],[E1_UoM]]</f>
        <v>Mg</v>
      </c>
      <c r="AA170" s="24">
        <f>_xlfn.XLOOKUP(Tab_Data_Flows[[#This Row],[Flow_Name]],Tab_Def_Flows[Flow_Name],Tab_Def_Flows[Flow_E4_Fraction'[%']],"N.A.",0,1)</f>
        <v>0</v>
      </c>
      <c r="AB170" s="3">
        <f>IF(H170="Yes",Tab_Data_Flows[[#This Row],[E4_Fraction'[%']]]*Tab_Data_Flows[[#This Row],[E1_value]],"N.A.")</f>
        <v>0</v>
      </c>
      <c r="AC170" s="3" t="str">
        <f>Tab_Data_Flows[[#This Row],[E1_UoM]]</f>
        <v>Mg</v>
      </c>
      <c r="AD170" s="24">
        <f>_xlfn.XLOOKUP(Tab_Data_Flows[[#This Row],[Flow_Name]],Tab_Def_Flows[Flow_Name],Tab_Def_Flows[Flow_E5_Fraction'[%']],"N.A.",0,1)</f>
        <v>0</v>
      </c>
      <c r="AE170" s="3">
        <f>IF(H170="Yes",Tab_Data_Flows[[#This Row],[E5_Fraction'[%']]]*Tab_Data_Flows[[#This Row],[E1_value]],"N.A.")</f>
        <v>0</v>
      </c>
      <c r="AF170" s="3" t="str">
        <f>Tab_Data_Flows[[#This Row],[E1_UoM]]</f>
        <v>Mg</v>
      </c>
      <c r="AG170" s="24">
        <f>_xlfn.XLOOKUP(Tab_Data_Flows[[#This Row],[Flow_Name]],Tab_Def_Flows[Flow_Name],Tab_Def_Flows[Flow_E6_Fraction'[%']],"N.A.",0,1)</f>
        <v>0</v>
      </c>
      <c r="AH170" s="3">
        <f>IF(Tab_Data_Flows[[#This Row],[Use_E6]]="Yes",Tab_Data_Flows[[#This Row],[E6_Fraction'[%']]]*Tab_Data_Flows[[#This Row],[E1_value]],"N.A.")</f>
        <v>0</v>
      </c>
      <c r="AI170" s="3" t="str">
        <f>Tab_Data_Flows[[#This Row],[E1_UoM]]</f>
        <v>Mg</v>
      </c>
    </row>
    <row r="171" spans="1:35" x14ac:dyDescent="0.25">
      <c r="A171" s="5">
        <f t="shared" si="5"/>
        <v>170</v>
      </c>
      <c r="B171" s="3" t="str">
        <f>_xlfn.XLOOKUP(C171,Tab_Def_Flows[Flow_Name],Tab_Def_Flows[Flow_ID],,0,)</f>
        <v>F__</v>
      </c>
      <c r="C171" s="23" t="s">
        <v>5</v>
      </c>
      <c r="D171" s="6" t="str">
        <f>_xlfn.XLOOKUP(C171,Tab_Def_Flows[Flow_Name],Tab_Def_Flows[Use_E1],,0,)</f>
        <v>Yes</v>
      </c>
      <c r="E171" s="6" t="str">
        <f>_xlfn.XLOOKUP(C171,Tab_Def_Flows[Flow_Name],Tab_Def_Flows[Use_E2],,0,)</f>
        <v>Yes</v>
      </c>
      <c r="F171" s="6" t="str">
        <f>_xlfn.XLOOKUP(C171,Tab_Def_Flows[Flow_Name],Tab_Def_Flows[Use_E3],,0,)</f>
        <v>Yes</v>
      </c>
      <c r="G171" s="6" t="str">
        <f>_xlfn.XLOOKUP(C171,Tab_Def_Flows[Flow_Name],Tab_Def_Flows[Use_E4],,0,)</f>
        <v>Yes</v>
      </c>
      <c r="H171" s="6" t="str">
        <f>_xlfn.XLOOKUP(C171,Tab_Def_Flows[Flow_Name],Tab_Def_Flows[Use_E5],,0,)</f>
        <v>Yes</v>
      </c>
      <c r="I171" s="6" t="str">
        <f>_xlfn.XLOOKUP(C171,Tab_Def_Flows[Flow_Name],Tab_Def_Flows[Use_E6],,0,)</f>
        <v>Yes</v>
      </c>
      <c r="J171" s="52"/>
      <c r="K171" s="53"/>
      <c r="L171" s="3" t="str">
        <f>'0_Configuration'!$C$41</f>
        <v>Mg</v>
      </c>
      <c r="M171" s="10"/>
      <c r="N171" s="23" t="s">
        <v>3</v>
      </c>
      <c r="O171" s="4"/>
      <c r="P171" s="4"/>
      <c r="Q171" s="10"/>
      <c r="R171" s="3">
        <f>_xlfn.XLOOKUP(Tab_Data_Flows[[#This Row],[Flow_Name]],Tab_Def_Flows[Flow_Name],Tab_Def_Flows[Flow_E1_Fraction'[%']],"N.A.",0,1)</f>
        <v>0</v>
      </c>
      <c r="S171" s="9">
        <f t="shared" si="4"/>
        <v>0</v>
      </c>
      <c r="T171" s="3" t="str">
        <f>Tab_Data_Flows[[#This Row],[UoM_Source]]</f>
        <v>Mg</v>
      </c>
      <c r="U171" s="24">
        <f>_xlfn.XLOOKUP(Tab_Data_Flows[[#This Row],[Flow_Name]],Tab_Def_Flows[Flow_Name],Tab_Def_Flows[Flow_E2_Fraction'[%']],"N.A.",0,1)</f>
        <v>0</v>
      </c>
      <c r="V171" s="3">
        <f>IF(D171="Yes",S171*Tab_Data_Flows[[#This Row],[E2_Fraction'[%']]],"N.A.")</f>
        <v>0</v>
      </c>
      <c r="W171" s="3" t="str">
        <f>Tab_Data_Flows[[#This Row],[E1_UoM]]</f>
        <v>Mg</v>
      </c>
      <c r="X171" s="24">
        <f>_xlfn.XLOOKUP(Tab_Data_Flows[[#This Row],[Flow_Name]],Tab_Def_Flows[Flow_Name],Tab_Def_Flows[Flow_E3_Fraction'[%']],"N.A.",0,1)</f>
        <v>0</v>
      </c>
      <c r="Y171" s="3">
        <f>IF(E171="Yes",X171*Tab_Data_Flows[[#This Row],[E1_value]],"N.A.")</f>
        <v>0</v>
      </c>
      <c r="Z171" s="3" t="str">
        <f>Tab_Data_Flows[[#This Row],[E1_UoM]]</f>
        <v>Mg</v>
      </c>
      <c r="AA171" s="24">
        <f>_xlfn.XLOOKUP(Tab_Data_Flows[[#This Row],[Flow_Name]],Tab_Def_Flows[Flow_Name],Tab_Def_Flows[Flow_E4_Fraction'[%']],"N.A.",0,1)</f>
        <v>0</v>
      </c>
      <c r="AB171" s="3">
        <f>IF(H171="Yes",Tab_Data_Flows[[#This Row],[E4_Fraction'[%']]]*Tab_Data_Flows[[#This Row],[E1_value]],"N.A.")</f>
        <v>0</v>
      </c>
      <c r="AC171" s="3" t="str">
        <f>Tab_Data_Flows[[#This Row],[E1_UoM]]</f>
        <v>Mg</v>
      </c>
      <c r="AD171" s="24">
        <f>_xlfn.XLOOKUP(Tab_Data_Flows[[#This Row],[Flow_Name]],Tab_Def_Flows[Flow_Name],Tab_Def_Flows[Flow_E5_Fraction'[%']],"N.A.",0,1)</f>
        <v>0</v>
      </c>
      <c r="AE171" s="3">
        <f>IF(H171="Yes",Tab_Data_Flows[[#This Row],[E5_Fraction'[%']]]*Tab_Data_Flows[[#This Row],[E1_value]],"N.A.")</f>
        <v>0</v>
      </c>
      <c r="AF171" s="3" t="str">
        <f>Tab_Data_Flows[[#This Row],[E1_UoM]]</f>
        <v>Mg</v>
      </c>
      <c r="AG171" s="24">
        <f>_xlfn.XLOOKUP(Tab_Data_Flows[[#This Row],[Flow_Name]],Tab_Def_Flows[Flow_Name],Tab_Def_Flows[Flow_E6_Fraction'[%']],"N.A.",0,1)</f>
        <v>0</v>
      </c>
      <c r="AH171" s="3">
        <f>IF(Tab_Data_Flows[[#This Row],[Use_E6]]="Yes",Tab_Data_Flows[[#This Row],[E6_Fraction'[%']]]*Tab_Data_Flows[[#This Row],[E1_value]],"N.A.")</f>
        <v>0</v>
      </c>
      <c r="AI171" s="3" t="str">
        <f>Tab_Data_Flows[[#This Row],[E1_UoM]]</f>
        <v>Mg</v>
      </c>
    </row>
    <row r="172" spans="1:35" x14ac:dyDescent="0.25">
      <c r="A172" s="5">
        <f t="shared" si="5"/>
        <v>171</v>
      </c>
      <c r="B172" s="3" t="str">
        <f>_xlfn.XLOOKUP(C172,Tab_Def_Flows[Flow_Name],Tab_Def_Flows[Flow_ID],,0,)</f>
        <v>F__</v>
      </c>
      <c r="C172" s="23" t="s">
        <v>5</v>
      </c>
      <c r="D172" s="6" t="str">
        <f>_xlfn.XLOOKUP(C172,Tab_Def_Flows[Flow_Name],Tab_Def_Flows[Use_E1],,0,)</f>
        <v>Yes</v>
      </c>
      <c r="E172" s="6" t="str">
        <f>_xlfn.XLOOKUP(C172,Tab_Def_Flows[Flow_Name],Tab_Def_Flows[Use_E2],,0,)</f>
        <v>Yes</v>
      </c>
      <c r="F172" s="6" t="str">
        <f>_xlfn.XLOOKUP(C172,Tab_Def_Flows[Flow_Name],Tab_Def_Flows[Use_E3],,0,)</f>
        <v>Yes</v>
      </c>
      <c r="G172" s="6" t="str">
        <f>_xlfn.XLOOKUP(C172,Tab_Def_Flows[Flow_Name],Tab_Def_Flows[Use_E4],,0,)</f>
        <v>Yes</v>
      </c>
      <c r="H172" s="6" t="str">
        <f>_xlfn.XLOOKUP(C172,Tab_Def_Flows[Flow_Name],Tab_Def_Flows[Use_E5],,0,)</f>
        <v>Yes</v>
      </c>
      <c r="I172" s="6" t="str">
        <f>_xlfn.XLOOKUP(C172,Tab_Def_Flows[Flow_Name],Tab_Def_Flows[Use_E6],,0,)</f>
        <v>Yes</v>
      </c>
      <c r="J172" s="52"/>
      <c r="K172" s="53"/>
      <c r="L172" s="3" t="str">
        <f>'0_Configuration'!$C$41</f>
        <v>Mg</v>
      </c>
      <c r="M172" s="10"/>
      <c r="N172" s="23" t="s">
        <v>3</v>
      </c>
      <c r="O172" s="4"/>
      <c r="P172" s="4"/>
      <c r="Q172" s="10"/>
      <c r="R172" s="3">
        <f>_xlfn.XLOOKUP(Tab_Data_Flows[[#This Row],[Flow_Name]],Tab_Def_Flows[Flow_Name],Tab_Def_Flows[Flow_E1_Fraction'[%']],"N.A.",0,1)</f>
        <v>0</v>
      </c>
      <c r="S172" s="9">
        <f t="shared" si="4"/>
        <v>0</v>
      </c>
      <c r="T172" s="3" t="str">
        <f>Tab_Data_Flows[[#This Row],[UoM_Source]]</f>
        <v>Mg</v>
      </c>
      <c r="U172" s="24">
        <f>_xlfn.XLOOKUP(Tab_Data_Flows[[#This Row],[Flow_Name]],Tab_Def_Flows[Flow_Name],Tab_Def_Flows[Flow_E2_Fraction'[%']],"N.A.",0,1)</f>
        <v>0</v>
      </c>
      <c r="V172" s="3">
        <f>IF(D172="Yes",S172*Tab_Data_Flows[[#This Row],[E2_Fraction'[%']]],"N.A.")</f>
        <v>0</v>
      </c>
      <c r="W172" s="3" t="str">
        <f>Tab_Data_Flows[[#This Row],[E1_UoM]]</f>
        <v>Mg</v>
      </c>
      <c r="X172" s="24">
        <f>_xlfn.XLOOKUP(Tab_Data_Flows[[#This Row],[Flow_Name]],Tab_Def_Flows[Flow_Name],Tab_Def_Flows[Flow_E3_Fraction'[%']],"N.A.",0,1)</f>
        <v>0</v>
      </c>
      <c r="Y172" s="3">
        <f>IF(E172="Yes",X172*Tab_Data_Flows[[#This Row],[E1_value]],"N.A.")</f>
        <v>0</v>
      </c>
      <c r="Z172" s="3" t="str">
        <f>Tab_Data_Flows[[#This Row],[E1_UoM]]</f>
        <v>Mg</v>
      </c>
      <c r="AA172" s="24">
        <f>_xlfn.XLOOKUP(Tab_Data_Flows[[#This Row],[Flow_Name]],Tab_Def_Flows[Flow_Name],Tab_Def_Flows[Flow_E4_Fraction'[%']],"N.A.",0,1)</f>
        <v>0</v>
      </c>
      <c r="AB172" s="3">
        <f>IF(H172="Yes",Tab_Data_Flows[[#This Row],[E4_Fraction'[%']]]*Tab_Data_Flows[[#This Row],[E1_value]],"N.A.")</f>
        <v>0</v>
      </c>
      <c r="AC172" s="3" t="str">
        <f>Tab_Data_Flows[[#This Row],[E1_UoM]]</f>
        <v>Mg</v>
      </c>
      <c r="AD172" s="24">
        <f>_xlfn.XLOOKUP(Tab_Data_Flows[[#This Row],[Flow_Name]],Tab_Def_Flows[Flow_Name],Tab_Def_Flows[Flow_E5_Fraction'[%']],"N.A.",0,1)</f>
        <v>0</v>
      </c>
      <c r="AE172" s="3">
        <f>IF(H172="Yes",Tab_Data_Flows[[#This Row],[E5_Fraction'[%']]]*Tab_Data_Flows[[#This Row],[E1_value]],"N.A.")</f>
        <v>0</v>
      </c>
      <c r="AF172" s="3" t="str">
        <f>Tab_Data_Flows[[#This Row],[E1_UoM]]</f>
        <v>Mg</v>
      </c>
      <c r="AG172" s="24">
        <f>_xlfn.XLOOKUP(Tab_Data_Flows[[#This Row],[Flow_Name]],Tab_Def_Flows[Flow_Name],Tab_Def_Flows[Flow_E6_Fraction'[%']],"N.A.",0,1)</f>
        <v>0</v>
      </c>
      <c r="AH172" s="3">
        <f>IF(Tab_Data_Flows[[#This Row],[Use_E6]]="Yes",Tab_Data_Flows[[#This Row],[E6_Fraction'[%']]]*Tab_Data_Flows[[#This Row],[E1_value]],"N.A.")</f>
        <v>0</v>
      </c>
      <c r="AI172" s="3" t="str">
        <f>Tab_Data_Flows[[#This Row],[E1_UoM]]</f>
        <v>Mg</v>
      </c>
    </row>
    <row r="173" spans="1:35" x14ac:dyDescent="0.25">
      <c r="A173" s="5">
        <f t="shared" si="5"/>
        <v>172</v>
      </c>
      <c r="B173" s="3" t="str">
        <f>_xlfn.XLOOKUP(C173,Tab_Def_Flows[Flow_Name],Tab_Def_Flows[Flow_ID],,0,)</f>
        <v>F__</v>
      </c>
      <c r="C173" s="23" t="s">
        <v>5</v>
      </c>
      <c r="D173" s="6" t="str">
        <f>_xlfn.XLOOKUP(C173,Tab_Def_Flows[Flow_Name],Tab_Def_Flows[Use_E1],,0,)</f>
        <v>Yes</v>
      </c>
      <c r="E173" s="6" t="str">
        <f>_xlfn.XLOOKUP(C173,Tab_Def_Flows[Flow_Name],Tab_Def_Flows[Use_E2],,0,)</f>
        <v>Yes</v>
      </c>
      <c r="F173" s="6" t="str">
        <f>_xlfn.XLOOKUP(C173,Tab_Def_Flows[Flow_Name],Tab_Def_Flows[Use_E3],,0,)</f>
        <v>Yes</v>
      </c>
      <c r="G173" s="6" t="str">
        <f>_xlfn.XLOOKUP(C173,Tab_Def_Flows[Flow_Name],Tab_Def_Flows[Use_E4],,0,)</f>
        <v>Yes</v>
      </c>
      <c r="H173" s="6" t="str">
        <f>_xlfn.XLOOKUP(C173,Tab_Def_Flows[Flow_Name],Tab_Def_Flows[Use_E5],,0,)</f>
        <v>Yes</v>
      </c>
      <c r="I173" s="6" t="str">
        <f>_xlfn.XLOOKUP(C173,Tab_Def_Flows[Flow_Name],Tab_Def_Flows[Use_E6],,0,)</f>
        <v>Yes</v>
      </c>
      <c r="J173" s="52"/>
      <c r="K173" s="53"/>
      <c r="L173" s="3" t="str">
        <f>'0_Configuration'!$C$41</f>
        <v>Mg</v>
      </c>
      <c r="M173" s="10"/>
      <c r="N173" s="23" t="s">
        <v>3</v>
      </c>
      <c r="O173" s="4"/>
      <c r="P173" s="4"/>
      <c r="Q173" s="10"/>
      <c r="R173" s="3">
        <f>_xlfn.XLOOKUP(Tab_Data_Flows[[#This Row],[Flow_Name]],Tab_Def_Flows[Flow_Name],Tab_Def_Flows[Flow_E1_Fraction'[%']],"N.A.",0,1)</f>
        <v>0</v>
      </c>
      <c r="S173" s="9">
        <f t="shared" si="4"/>
        <v>0</v>
      </c>
      <c r="T173" s="3" t="str">
        <f>Tab_Data_Flows[[#This Row],[UoM_Source]]</f>
        <v>Mg</v>
      </c>
      <c r="U173" s="24">
        <f>_xlfn.XLOOKUP(Tab_Data_Flows[[#This Row],[Flow_Name]],Tab_Def_Flows[Flow_Name],Tab_Def_Flows[Flow_E2_Fraction'[%']],"N.A.",0,1)</f>
        <v>0</v>
      </c>
      <c r="V173" s="3">
        <f>IF(D173="Yes",S173*Tab_Data_Flows[[#This Row],[E2_Fraction'[%']]],"N.A.")</f>
        <v>0</v>
      </c>
      <c r="W173" s="3" t="str">
        <f>Tab_Data_Flows[[#This Row],[E1_UoM]]</f>
        <v>Mg</v>
      </c>
      <c r="X173" s="24">
        <f>_xlfn.XLOOKUP(Tab_Data_Flows[[#This Row],[Flow_Name]],Tab_Def_Flows[Flow_Name],Tab_Def_Flows[Flow_E3_Fraction'[%']],"N.A.",0,1)</f>
        <v>0</v>
      </c>
      <c r="Y173" s="3">
        <f>IF(E173="Yes",X173*Tab_Data_Flows[[#This Row],[E1_value]],"N.A.")</f>
        <v>0</v>
      </c>
      <c r="Z173" s="3" t="str">
        <f>Tab_Data_Flows[[#This Row],[E1_UoM]]</f>
        <v>Mg</v>
      </c>
      <c r="AA173" s="24">
        <f>_xlfn.XLOOKUP(Tab_Data_Flows[[#This Row],[Flow_Name]],Tab_Def_Flows[Flow_Name],Tab_Def_Flows[Flow_E4_Fraction'[%']],"N.A.",0,1)</f>
        <v>0</v>
      </c>
      <c r="AB173" s="3">
        <f>IF(H173="Yes",Tab_Data_Flows[[#This Row],[E4_Fraction'[%']]]*Tab_Data_Flows[[#This Row],[E1_value]],"N.A.")</f>
        <v>0</v>
      </c>
      <c r="AC173" s="3" t="str">
        <f>Tab_Data_Flows[[#This Row],[E1_UoM]]</f>
        <v>Mg</v>
      </c>
      <c r="AD173" s="24">
        <f>_xlfn.XLOOKUP(Tab_Data_Flows[[#This Row],[Flow_Name]],Tab_Def_Flows[Flow_Name],Tab_Def_Flows[Flow_E5_Fraction'[%']],"N.A.",0,1)</f>
        <v>0</v>
      </c>
      <c r="AE173" s="3">
        <f>IF(H173="Yes",Tab_Data_Flows[[#This Row],[E5_Fraction'[%']]]*Tab_Data_Flows[[#This Row],[E1_value]],"N.A.")</f>
        <v>0</v>
      </c>
      <c r="AF173" s="3" t="str">
        <f>Tab_Data_Flows[[#This Row],[E1_UoM]]</f>
        <v>Mg</v>
      </c>
      <c r="AG173" s="24">
        <f>_xlfn.XLOOKUP(Tab_Data_Flows[[#This Row],[Flow_Name]],Tab_Def_Flows[Flow_Name],Tab_Def_Flows[Flow_E6_Fraction'[%']],"N.A.",0,1)</f>
        <v>0</v>
      </c>
      <c r="AH173" s="3">
        <f>IF(Tab_Data_Flows[[#This Row],[Use_E6]]="Yes",Tab_Data_Flows[[#This Row],[E6_Fraction'[%']]]*Tab_Data_Flows[[#This Row],[E1_value]],"N.A.")</f>
        <v>0</v>
      </c>
      <c r="AI173" s="3" t="str">
        <f>Tab_Data_Flows[[#This Row],[E1_UoM]]</f>
        <v>Mg</v>
      </c>
    </row>
    <row r="174" spans="1:35" x14ac:dyDescent="0.25">
      <c r="A174" s="5">
        <f t="shared" si="5"/>
        <v>173</v>
      </c>
      <c r="B174" s="3" t="str">
        <f>_xlfn.XLOOKUP(C174,Tab_Def_Flows[Flow_Name],Tab_Def_Flows[Flow_ID],,0,)</f>
        <v>F__</v>
      </c>
      <c r="C174" s="23" t="s">
        <v>5</v>
      </c>
      <c r="D174" s="6" t="str">
        <f>_xlfn.XLOOKUP(C174,Tab_Def_Flows[Flow_Name],Tab_Def_Flows[Use_E1],,0,)</f>
        <v>Yes</v>
      </c>
      <c r="E174" s="6" t="str">
        <f>_xlfn.XLOOKUP(C174,Tab_Def_Flows[Flow_Name],Tab_Def_Flows[Use_E2],,0,)</f>
        <v>Yes</v>
      </c>
      <c r="F174" s="6" t="str">
        <f>_xlfn.XLOOKUP(C174,Tab_Def_Flows[Flow_Name],Tab_Def_Flows[Use_E3],,0,)</f>
        <v>Yes</v>
      </c>
      <c r="G174" s="6" t="str">
        <f>_xlfn.XLOOKUP(C174,Tab_Def_Flows[Flow_Name],Tab_Def_Flows[Use_E4],,0,)</f>
        <v>Yes</v>
      </c>
      <c r="H174" s="6" t="str">
        <f>_xlfn.XLOOKUP(C174,Tab_Def_Flows[Flow_Name],Tab_Def_Flows[Use_E5],,0,)</f>
        <v>Yes</v>
      </c>
      <c r="I174" s="6" t="str">
        <f>_xlfn.XLOOKUP(C174,Tab_Def_Flows[Flow_Name],Tab_Def_Flows[Use_E6],,0,)</f>
        <v>Yes</v>
      </c>
      <c r="J174" s="52"/>
      <c r="K174" s="53"/>
      <c r="L174" s="3" t="str">
        <f>'0_Configuration'!$C$41</f>
        <v>Mg</v>
      </c>
      <c r="M174" s="10"/>
      <c r="N174" s="23" t="s">
        <v>3</v>
      </c>
      <c r="O174" s="4"/>
      <c r="P174" s="4"/>
      <c r="Q174" s="10"/>
      <c r="R174" s="3">
        <f>_xlfn.XLOOKUP(Tab_Data_Flows[[#This Row],[Flow_Name]],Tab_Def_Flows[Flow_Name],Tab_Def_Flows[Flow_E1_Fraction'[%']],"N.A.",0,1)</f>
        <v>0</v>
      </c>
      <c r="S174" s="9">
        <f t="shared" si="4"/>
        <v>0</v>
      </c>
      <c r="T174" s="3" t="str">
        <f>Tab_Data_Flows[[#This Row],[UoM_Source]]</f>
        <v>Mg</v>
      </c>
      <c r="U174" s="24">
        <f>_xlfn.XLOOKUP(Tab_Data_Flows[[#This Row],[Flow_Name]],Tab_Def_Flows[Flow_Name],Tab_Def_Flows[Flow_E2_Fraction'[%']],"N.A.",0,1)</f>
        <v>0</v>
      </c>
      <c r="V174" s="3">
        <f>IF(D174="Yes",S174*Tab_Data_Flows[[#This Row],[E2_Fraction'[%']]],"N.A.")</f>
        <v>0</v>
      </c>
      <c r="W174" s="3" t="str">
        <f>Tab_Data_Flows[[#This Row],[E1_UoM]]</f>
        <v>Mg</v>
      </c>
      <c r="X174" s="24">
        <f>_xlfn.XLOOKUP(Tab_Data_Flows[[#This Row],[Flow_Name]],Tab_Def_Flows[Flow_Name],Tab_Def_Flows[Flow_E3_Fraction'[%']],"N.A.",0,1)</f>
        <v>0</v>
      </c>
      <c r="Y174" s="3">
        <f>IF(E174="Yes",X174*Tab_Data_Flows[[#This Row],[E1_value]],"N.A.")</f>
        <v>0</v>
      </c>
      <c r="Z174" s="3" t="str">
        <f>Tab_Data_Flows[[#This Row],[E1_UoM]]</f>
        <v>Mg</v>
      </c>
      <c r="AA174" s="24">
        <f>_xlfn.XLOOKUP(Tab_Data_Flows[[#This Row],[Flow_Name]],Tab_Def_Flows[Flow_Name],Tab_Def_Flows[Flow_E4_Fraction'[%']],"N.A.",0,1)</f>
        <v>0</v>
      </c>
      <c r="AB174" s="3">
        <f>IF(H174="Yes",Tab_Data_Flows[[#This Row],[E4_Fraction'[%']]]*Tab_Data_Flows[[#This Row],[E1_value]],"N.A.")</f>
        <v>0</v>
      </c>
      <c r="AC174" s="3" t="str">
        <f>Tab_Data_Flows[[#This Row],[E1_UoM]]</f>
        <v>Mg</v>
      </c>
      <c r="AD174" s="24">
        <f>_xlfn.XLOOKUP(Tab_Data_Flows[[#This Row],[Flow_Name]],Tab_Def_Flows[Flow_Name],Tab_Def_Flows[Flow_E5_Fraction'[%']],"N.A.",0,1)</f>
        <v>0</v>
      </c>
      <c r="AE174" s="3">
        <f>IF(H174="Yes",Tab_Data_Flows[[#This Row],[E5_Fraction'[%']]]*Tab_Data_Flows[[#This Row],[E1_value]],"N.A.")</f>
        <v>0</v>
      </c>
      <c r="AF174" s="3" t="str">
        <f>Tab_Data_Flows[[#This Row],[E1_UoM]]</f>
        <v>Mg</v>
      </c>
      <c r="AG174" s="24">
        <f>_xlfn.XLOOKUP(Tab_Data_Flows[[#This Row],[Flow_Name]],Tab_Def_Flows[Flow_Name],Tab_Def_Flows[Flow_E6_Fraction'[%']],"N.A.",0,1)</f>
        <v>0</v>
      </c>
      <c r="AH174" s="3">
        <f>IF(Tab_Data_Flows[[#This Row],[Use_E6]]="Yes",Tab_Data_Flows[[#This Row],[E6_Fraction'[%']]]*Tab_Data_Flows[[#This Row],[E1_value]],"N.A.")</f>
        <v>0</v>
      </c>
      <c r="AI174" s="3" t="str">
        <f>Tab_Data_Flows[[#This Row],[E1_UoM]]</f>
        <v>Mg</v>
      </c>
    </row>
    <row r="175" spans="1:35" x14ac:dyDescent="0.25">
      <c r="A175" s="5">
        <f t="shared" si="5"/>
        <v>174</v>
      </c>
      <c r="B175" s="3" t="str">
        <f>_xlfn.XLOOKUP(C175,Tab_Def_Flows[Flow_Name],Tab_Def_Flows[Flow_ID],,0,)</f>
        <v>F__</v>
      </c>
      <c r="C175" s="23" t="s">
        <v>5</v>
      </c>
      <c r="D175" s="6" t="str">
        <f>_xlfn.XLOOKUP(C175,Tab_Def_Flows[Flow_Name],Tab_Def_Flows[Use_E1],,0,)</f>
        <v>Yes</v>
      </c>
      <c r="E175" s="6" t="str">
        <f>_xlfn.XLOOKUP(C175,Tab_Def_Flows[Flow_Name],Tab_Def_Flows[Use_E2],,0,)</f>
        <v>Yes</v>
      </c>
      <c r="F175" s="6" t="str">
        <f>_xlfn.XLOOKUP(C175,Tab_Def_Flows[Flow_Name],Tab_Def_Flows[Use_E3],,0,)</f>
        <v>Yes</v>
      </c>
      <c r="G175" s="6" t="str">
        <f>_xlfn.XLOOKUP(C175,Tab_Def_Flows[Flow_Name],Tab_Def_Flows[Use_E4],,0,)</f>
        <v>Yes</v>
      </c>
      <c r="H175" s="6" t="str">
        <f>_xlfn.XLOOKUP(C175,Tab_Def_Flows[Flow_Name],Tab_Def_Flows[Use_E5],,0,)</f>
        <v>Yes</v>
      </c>
      <c r="I175" s="6" t="str">
        <f>_xlfn.XLOOKUP(C175,Tab_Def_Flows[Flow_Name],Tab_Def_Flows[Use_E6],,0,)</f>
        <v>Yes</v>
      </c>
      <c r="J175" s="52"/>
      <c r="K175" s="53"/>
      <c r="L175" s="3" t="str">
        <f>'0_Configuration'!$C$41</f>
        <v>Mg</v>
      </c>
      <c r="M175" s="10"/>
      <c r="N175" s="23" t="s">
        <v>3</v>
      </c>
      <c r="O175" s="4"/>
      <c r="P175" s="4"/>
      <c r="Q175" s="10"/>
      <c r="R175" s="3">
        <f>_xlfn.XLOOKUP(Tab_Data_Flows[[#This Row],[Flow_Name]],Tab_Def_Flows[Flow_Name],Tab_Def_Flows[Flow_E1_Fraction'[%']],"N.A.",0,1)</f>
        <v>0</v>
      </c>
      <c r="S175" s="9">
        <f t="shared" si="4"/>
        <v>0</v>
      </c>
      <c r="T175" s="3" t="str">
        <f>Tab_Data_Flows[[#This Row],[UoM_Source]]</f>
        <v>Mg</v>
      </c>
      <c r="U175" s="24">
        <f>_xlfn.XLOOKUP(Tab_Data_Flows[[#This Row],[Flow_Name]],Tab_Def_Flows[Flow_Name],Tab_Def_Flows[Flow_E2_Fraction'[%']],"N.A.",0,1)</f>
        <v>0</v>
      </c>
      <c r="V175" s="3">
        <f>IF(D175="Yes",S175*Tab_Data_Flows[[#This Row],[E2_Fraction'[%']]],"N.A.")</f>
        <v>0</v>
      </c>
      <c r="W175" s="3" t="str">
        <f>Tab_Data_Flows[[#This Row],[E1_UoM]]</f>
        <v>Mg</v>
      </c>
      <c r="X175" s="24">
        <f>_xlfn.XLOOKUP(Tab_Data_Flows[[#This Row],[Flow_Name]],Tab_Def_Flows[Flow_Name],Tab_Def_Flows[Flow_E3_Fraction'[%']],"N.A.",0,1)</f>
        <v>0</v>
      </c>
      <c r="Y175" s="3">
        <f>IF(E175="Yes",X175*Tab_Data_Flows[[#This Row],[E1_value]],"N.A.")</f>
        <v>0</v>
      </c>
      <c r="Z175" s="3" t="str">
        <f>Tab_Data_Flows[[#This Row],[E1_UoM]]</f>
        <v>Mg</v>
      </c>
      <c r="AA175" s="24">
        <f>_xlfn.XLOOKUP(Tab_Data_Flows[[#This Row],[Flow_Name]],Tab_Def_Flows[Flow_Name],Tab_Def_Flows[Flow_E4_Fraction'[%']],"N.A.",0,1)</f>
        <v>0</v>
      </c>
      <c r="AB175" s="3">
        <f>IF(H175="Yes",Tab_Data_Flows[[#This Row],[E4_Fraction'[%']]]*Tab_Data_Flows[[#This Row],[E1_value]],"N.A.")</f>
        <v>0</v>
      </c>
      <c r="AC175" s="3" t="str">
        <f>Tab_Data_Flows[[#This Row],[E1_UoM]]</f>
        <v>Mg</v>
      </c>
      <c r="AD175" s="24">
        <f>_xlfn.XLOOKUP(Tab_Data_Flows[[#This Row],[Flow_Name]],Tab_Def_Flows[Flow_Name],Tab_Def_Flows[Flow_E5_Fraction'[%']],"N.A.",0,1)</f>
        <v>0</v>
      </c>
      <c r="AE175" s="3">
        <f>IF(H175="Yes",Tab_Data_Flows[[#This Row],[E5_Fraction'[%']]]*Tab_Data_Flows[[#This Row],[E1_value]],"N.A.")</f>
        <v>0</v>
      </c>
      <c r="AF175" s="3" t="str">
        <f>Tab_Data_Flows[[#This Row],[E1_UoM]]</f>
        <v>Mg</v>
      </c>
      <c r="AG175" s="24">
        <f>_xlfn.XLOOKUP(Tab_Data_Flows[[#This Row],[Flow_Name]],Tab_Def_Flows[Flow_Name],Tab_Def_Flows[Flow_E6_Fraction'[%']],"N.A.",0,1)</f>
        <v>0</v>
      </c>
      <c r="AH175" s="3">
        <f>IF(Tab_Data_Flows[[#This Row],[Use_E6]]="Yes",Tab_Data_Flows[[#This Row],[E6_Fraction'[%']]]*Tab_Data_Flows[[#This Row],[E1_value]],"N.A.")</f>
        <v>0</v>
      </c>
      <c r="AI175" s="3" t="str">
        <f>Tab_Data_Flows[[#This Row],[E1_UoM]]</f>
        <v>Mg</v>
      </c>
    </row>
    <row r="176" spans="1:35" x14ac:dyDescent="0.25">
      <c r="A176" s="5">
        <f t="shared" si="5"/>
        <v>175</v>
      </c>
      <c r="B176" s="3" t="str">
        <f>_xlfn.XLOOKUP(C176,Tab_Def_Flows[Flow_Name],Tab_Def_Flows[Flow_ID],,0,)</f>
        <v>F__</v>
      </c>
      <c r="C176" s="23" t="s">
        <v>5</v>
      </c>
      <c r="D176" s="6" t="str">
        <f>_xlfn.XLOOKUP(C176,Tab_Def_Flows[Flow_Name],Tab_Def_Flows[Use_E1],,0,)</f>
        <v>Yes</v>
      </c>
      <c r="E176" s="6" t="str">
        <f>_xlfn.XLOOKUP(C176,Tab_Def_Flows[Flow_Name],Tab_Def_Flows[Use_E2],,0,)</f>
        <v>Yes</v>
      </c>
      <c r="F176" s="6" t="str">
        <f>_xlfn.XLOOKUP(C176,Tab_Def_Flows[Flow_Name],Tab_Def_Flows[Use_E3],,0,)</f>
        <v>Yes</v>
      </c>
      <c r="G176" s="6" t="str">
        <f>_xlfn.XLOOKUP(C176,Tab_Def_Flows[Flow_Name],Tab_Def_Flows[Use_E4],,0,)</f>
        <v>Yes</v>
      </c>
      <c r="H176" s="6" t="str">
        <f>_xlfn.XLOOKUP(C176,Tab_Def_Flows[Flow_Name],Tab_Def_Flows[Use_E5],,0,)</f>
        <v>Yes</v>
      </c>
      <c r="I176" s="6" t="str">
        <f>_xlfn.XLOOKUP(C176,Tab_Def_Flows[Flow_Name],Tab_Def_Flows[Use_E6],,0,)</f>
        <v>Yes</v>
      </c>
      <c r="J176" s="52"/>
      <c r="K176" s="53"/>
      <c r="L176" s="3" t="str">
        <f>'0_Configuration'!$C$41</f>
        <v>Mg</v>
      </c>
      <c r="M176" s="10"/>
      <c r="N176" s="23" t="s">
        <v>3</v>
      </c>
      <c r="O176" s="11"/>
      <c r="P176" s="4"/>
      <c r="Q176" s="10"/>
      <c r="R176" s="3">
        <f>_xlfn.XLOOKUP(Tab_Data_Flows[[#This Row],[Flow_Name]],Tab_Def_Flows[Flow_Name],Tab_Def_Flows[Flow_E1_Fraction'[%']],"N.A.",0,1)</f>
        <v>0</v>
      </c>
      <c r="S176" s="9">
        <f t="shared" si="4"/>
        <v>0</v>
      </c>
      <c r="T176" s="3" t="str">
        <f>Tab_Data_Flows[[#This Row],[UoM_Source]]</f>
        <v>Mg</v>
      </c>
      <c r="U176" s="24">
        <f>_xlfn.XLOOKUP(Tab_Data_Flows[[#This Row],[Flow_Name]],Tab_Def_Flows[Flow_Name],Tab_Def_Flows[Flow_E2_Fraction'[%']],"N.A.",0,1)</f>
        <v>0</v>
      </c>
      <c r="V176" s="3">
        <f>IF(D176="Yes",S176*Tab_Data_Flows[[#This Row],[E2_Fraction'[%']]],"N.A.")</f>
        <v>0</v>
      </c>
      <c r="W176" s="3" t="str">
        <f>Tab_Data_Flows[[#This Row],[E1_UoM]]</f>
        <v>Mg</v>
      </c>
      <c r="X176" s="24">
        <f>_xlfn.XLOOKUP(Tab_Data_Flows[[#This Row],[Flow_Name]],Tab_Def_Flows[Flow_Name],Tab_Def_Flows[Flow_E3_Fraction'[%']],"N.A.",0,1)</f>
        <v>0</v>
      </c>
      <c r="Y176" s="3">
        <f>IF(E176="Yes",X176*Tab_Data_Flows[[#This Row],[E1_value]],"N.A.")</f>
        <v>0</v>
      </c>
      <c r="Z176" s="3" t="str">
        <f>Tab_Data_Flows[[#This Row],[E1_UoM]]</f>
        <v>Mg</v>
      </c>
      <c r="AA176" s="24">
        <f>_xlfn.XLOOKUP(Tab_Data_Flows[[#This Row],[Flow_Name]],Tab_Def_Flows[Flow_Name],Tab_Def_Flows[Flow_E4_Fraction'[%']],"N.A.",0,1)</f>
        <v>0</v>
      </c>
      <c r="AB176" s="3">
        <f>IF(H176="Yes",Tab_Data_Flows[[#This Row],[E4_Fraction'[%']]]*Tab_Data_Flows[[#This Row],[E1_value]],"N.A.")</f>
        <v>0</v>
      </c>
      <c r="AC176" s="3" t="str">
        <f>Tab_Data_Flows[[#This Row],[E1_UoM]]</f>
        <v>Mg</v>
      </c>
      <c r="AD176" s="24">
        <f>_xlfn.XLOOKUP(Tab_Data_Flows[[#This Row],[Flow_Name]],Tab_Def_Flows[Flow_Name],Tab_Def_Flows[Flow_E5_Fraction'[%']],"N.A.",0,1)</f>
        <v>0</v>
      </c>
      <c r="AE176" s="3">
        <f>IF(H176="Yes",Tab_Data_Flows[[#This Row],[E5_Fraction'[%']]]*Tab_Data_Flows[[#This Row],[E1_value]],"N.A.")</f>
        <v>0</v>
      </c>
      <c r="AF176" s="3" t="str">
        <f>Tab_Data_Flows[[#This Row],[E1_UoM]]</f>
        <v>Mg</v>
      </c>
      <c r="AG176" s="24">
        <f>_xlfn.XLOOKUP(Tab_Data_Flows[[#This Row],[Flow_Name]],Tab_Def_Flows[Flow_Name],Tab_Def_Flows[Flow_E6_Fraction'[%']],"N.A.",0,1)</f>
        <v>0</v>
      </c>
      <c r="AH176" s="3">
        <f>IF(Tab_Data_Flows[[#This Row],[Use_E6]]="Yes",Tab_Data_Flows[[#This Row],[E6_Fraction'[%']]]*Tab_Data_Flows[[#This Row],[E1_value]],"N.A.")</f>
        <v>0</v>
      </c>
      <c r="AI176" s="3" t="str">
        <f>Tab_Data_Flows[[#This Row],[E1_UoM]]</f>
        <v>Mg</v>
      </c>
    </row>
    <row r="177" spans="1:35" x14ac:dyDescent="0.25">
      <c r="A177" s="5">
        <f t="shared" si="5"/>
        <v>176</v>
      </c>
      <c r="B177" s="3" t="str">
        <f>_xlfn.XLOOKUP(C177,Tab_Def_Flows[Flow_Name],Tab_Def_Flows[Flow_ID],,0,)</f>
        <v>F__</v>
      </c>
      <c r="C177" s="23" t="s">
        <v>5</v>
      </c>
      <c r="D177" s="6" t="str">
        <f>_xlfn.XLOOKUP(C177,Tab_Def_Flows[Flow_Name],Tab_Def_Flows[Use_E1],,0,)</f>
        <v>Yes</v>
      </c>
      <c r="E177" s="6" t="str">
        <f>_xlfn.XLOOKUP(C177,Tab_Def_Flows[Flow_Name],Tab_Def_Flows[Use_E2],,0,)</f>
        <v>Yes</v>
      </c>
      <c r="F177" s="6" t="str">
        <f>_xlfn.XLOOKUP(C177,Tab_Def_Flows[Flow_Name],Tab_Def_Flows[Use_E3],,0,)</f>
        <v>Yes</v>
      </c>
      <c r="G177" s="6" t="str">
        <f>_xlfn.XLOOKUP(C177,Tab_Def_Flows[Flow_Name],Tab_Def_Flows[Use_E4],,0,)</f>
        <v>Yes</v>
      </c>
      <c r="H177" s="6" t="str">
        <f>_xlfn.XLOOKUP(C177,Tab_Def_Flows[Flow_Name],Tab_Def_Flows[Use_E5],,0,)</f>
        <v>Yes</v>
      </c>
      <c r="I177" s="6" t="str">
        <f>_xlfn.XLOOKUP(C177,Tab_Def_Flows[Flow_Name],Tab_Def_Flows[Use_E6],,0,)</f>
        <v>Yes</v>
      </c>
      <c r="J177" s="52"/>
      <c r="K177" s="53"/>
      <c r="L177" s="3" t="str">
        <f>'0_Configuration'!$C$41</f>
        <v>Mg</v>
      </c>
      <c r="M177" s="10"/>
      <c r="N177" s="23" t="s">
        <v>3</v>
      </c>
      <c r="O177" s="11"/>
      <c r="P177" s="4"/>
      <c r="Q177" s="10"/>
      <c r="R177" s="3">
        <f>_xlfn.XLOOKUP(Tab_Data_Flows[[#This Row],[Flow_Name]],Tab_Def_Flows[Flow_Name],Tab_Def_Flows[Flow_E1_Fraction'[%']],"N.A.",0,1)</f>
        <v>0</v>
      </c>
      <c r="S177" s="9">
        <f t="shared" si="4"/>
        <v>0</v>
      </c>
      <c r="T177" s="3" t="str">
        <f>Tab_Data_Flows[[#This Row],[UoM_Source]]</f>
        <v>Mg</v>
      </c>
      <c r="U177" s="24">
        <f>_xlfn.XLOOKUP(Tab_Data_Flows[[#This Row],[Flow_Name]],Tab_Def_Flows[Flow_Name],Tab_Def_Flows[Flow_E2_Fraction'[%']],"N.A.",0,1)</f>
        <v>0</v>
      </c>
      <c r="V177" s="3">
        <f>IF(D177="Yes",S177*Tab_Data_Flows[[#This Row],[E2_Fraction'[%']]],"N.A.")</f>
        <v>0</v>
      </c>
      <c r="W177" s="3" t="str">
        <f>Tab_Data_Flows[[#This Row],[E1_UoM]]</f>
        <v>Mg</v>
      </c>
      <c r="X177" s="24">
        <f>_xlfn.XLOOKUP(Tab_Data_Flows[[#This Row],[Flow_Name]],Tab_Def_Flows[Flow_Name],Tab_Def_Flows[Flow_E3_Fraction'[%']],"N.A.",0,1)</f>
        <v>0</v>
      </c>
      <c r="Y177" s="3">
        <f>IF(E177="Yes",X177*Tab_Data_Flows[[#This Row],[E1_value]],"N.A.")</f>
        <v>0</v>
      </c>
      <c r="Z177" s="3" t="str">
        <f>Tab_Data_Flows[[#This Row],[E1_UoM]]</f>
        <v>Mg</v>
      </c>
      <c r="AA177" s="24">
        <f>_xlfn.XLOOKUP(Tab_Data_Flows[[#This Row],[Flow_Name]],Tab_Def_Flows[Flow_Name],Tab_Def_Flows[Flow_E4_Fraction'[%']],"N.A.",0,1)</f>
        <v>0</v>
      </c>
      <c r="AB177" s="3">
        <f>IF(H177="Yes",Tab_Data_Flows[[#This Row],[E4_Fraction'[%']]]*Tab_Data_Flows[[#This Row],[E1_value]],"N.A.")</f>
        <v>0</v>
      </c>
      <c r="AC177" s="3" t="str">
        <f>Tab_Data_Flows[[#This Row],[E1_UoM]]</f>
        <v>Mg</v>
      </c>
      <c r="AD177" s="24">
        <f>_xlfn.XLOOKUP(Tab_Data_Flows[[#This Row],[Flow_Name]],Tab_Def_Flows[Flow_Name],Tab_Def_Flows[Flow_E5_Fraction'[%']],"N.A.",0,1)</f>
        <v>0</v>
      </c>
      <c r="AE177" s="3">
        <f>IF(H177="Yes",Tab_Data_Flows[[#This Row],[E5_Fraction'[%']]]*Tab_Data_Flows[[#This Row],[E1_value]],"N.A.")</f>
        <v>0</v>
      </c>
      <c r="AF177" s="3" t="str">
        <f>Tab_Data_Flows[[#This Row],[E1_UoM]]</f>
        <v>Mg</v>
      </c>
      <c r="AG177" s="24">
        <f>_xlfn.XLOOKUP(Tab_Data_Flows[[#This Row],[Flow_Name]],Tab_Def_Flows[Flow_Name],Tab_Def_Flows[Flow_E6_Fraction'[%']],"N.A.",0,1)</f>
        <v>0</v>
      </c>
      <c r="AH177" s="3">
        <f>IF(Tab_Data_Flows[[#This Row],[Use_E6]]="Yes",Tab_Data_Flows[[#This Row],[E6_Fraction'[%']]]*Tab_Data_Flows[[#This Row],[E1_value]],"N.A.")</f>
        <v>0</v>
      </c>
      <c r="AI177" s="3" t="str">
        <f>Tab_Data_Flows[[#This Row],[E1_UoM]]</f>
        <v>Mg</v>
      </c>
    </row>
    <row r="178" spans="1:35" x14ac:dyDescent="0.25">
      <c r="A178" s="5">
        <f t="shared" si="5"/>
        <v>177</v>
      </c>
      <c r="B178" s="3" t="str">
        <f>_xlfn.XLOOKUP(C178,Tab_Def_Flows[Flow_Name],Tab_Def_Flows[Flow_ID],,0,)</f>
        <v>F__</v>
      </c>
      <c r="C178" s="23" t="s">
        <v>5</v>
      </c>
      <c r="D178" s="6" t="str">
        <f>_xlfn.XLOOKUP(C178,Tab_Def_Flows[Flow_Name],Tab_Def_Flows[Use_E1],,0,)</f>
        <v>Yes</v>
      </c>
      <c r="E178" s="6" t="str">
        <f>_xlfn.XLOOKUP(C178,Tab_Def_Flows[Flow_Name],Tab_Def_Flows[Use_E2],,0,)</f>
        <v>Yes</v>
      </c>
      <c r="F178" s="6" t="str">
        <f>_xlfn.XLOOKUP(C178,Tab_Def_Flows[Flow_Name],Tab_Def_Flows[Use_E3],,0,)</f>
        <v>Yes</v>
      </c>
      <c r="G178" s="6" t="str">
        <f>_xlfn.XLOOKUP(C178,Tab_Def_Flows[Flow_Name],Tab_Def_Flows[Use_E4],,0,)</f>
        <v>Yes</v>
      </c>
      <c r="H178" s="6" t="str">
        <f>_xlfn.XLOOKUP(C178,Tab_Def_Flows[Flow_Name],Tab_Def_Flows[Use_E5],,0,)</f>
        <v>Yes</v>
      </c>
      <c r="I178" s="6" t="str">
        <f>_xlfn.XLOOKUP(C178,Tab_Def_Flows[Flow_Name],Tab_Def_Flows[Use_E6],,0,)</f>
        <v>Yes</v>
      </c>
      <c r="J178" s="52"/>
      <c r="K178" s="53"/>
      <c r="L178" s="3" t="str">
        <f>'0_Configuration'!$C$41</f>
        <v>Mg</v>
      </c>
      <c r="M178" s="10"/>
      <c r="N178" s="23" t="s">
        <v>3</v>
      </c>
      <c r="O178" s="11"/>
      <c r="P178" s="4"/>
      <c r="Q178" s="10"/>
      <c r="R178" s="3">
        <f>_xlfn.XLOOKUP(Tab_Data_Flows[[#This Row],[Flow_Name]],Tab_Def_Flows[Flow_Name],Tab_Def_Flows[Flow_E1_Fraction'[%']],"N.A.",0,1)</f>
        <v>0</v>
      </c>
      <c r="S178" s="9">
        <f t="shared" si="4"/>
        <v>0</v>
      </c>
      <c r="T178" s="3" t="str">
        <f>Tab_Data_Flows[[#This Row],[UoM_Source]]</f>
        <v>Mg</v>
      </c>
      <c r="U178" s="24">
        <f>_xlfn.XLOOKUP(Tab_Data_Flows[[#This Row],[Flow_Name]],Tab_Def_Flows[Flow_Name],Tab_Def_Flows[Flow_E2_Fraction'[%']],"N.A.",0,1)</f>
        <v>0</v>
      </c>
      <c r="V178" s="3">
        <f>IF(D178="Yes",S178*Tab_Data_Flows[[#This Row],[E2_Fraction'[%']]],"N.A.")</f>
        <v>0</v>
      </c>
      <c r="W178" s="3" t="str">
        <f>Tab_Data_Flows[[#This Row],[E1_UoM]]</f>
        <v>Mg</v>
      </c>
      <c r="X178" s="24">
        <f>_xlfn.XLOOKUP(Tab_Data_Flows[[#This Row],[Flow_Name]],Tab_Def_Flows[Flow_Name],Tab_Def_Flows[Flow_E3_Fraction'[%']],"N.A.",0,1)</f>
        <v>0</v>
      </c>
      <c r="Y178" s="3">
        <f>IF(E178="Yes",X178*Tab_Data_Flows[[#This Row],[E1_value]],"N.A.")</f>
        <v>0</v>
      </c>
      <c r="Z178" s="3" t="str">
        <f>Tab_Data_Flows[[#This Row],[E1_UoM]]</f>
        <v>Mg</v>
      </c>
      <c r="AA178" s="24">
        <f>_xlfn.XLOOKUP(Tab_Data_Flows[[#This Row],[Flow_Name]],Tab_Def_Flows[Flow_Name],Tab_Def_Flows[Flow_E4_Fraction'[%']],"N.A.",0,1)</f>
        <v>0</v>
      </c>
      <c r="AB178" s="3">
        <f>IF(H178="Yes",Tab_Data_Flows[[#This Row],[E4_Fraction'[%']]]*Tab_Data_Flows[[#This Row],[E1_value]],"N.A.")</f>
        <v>0</v>
      </c>
      <c r="AC178" s="3" t="str">
        <f>Tab_Data_Flows[[#This Row],[E1_UoM]]</f>
        <v>Mg</v>
      </c>
      <c r="AD178" s="24">
        <f>_xlfn.XLOOKUP(Tab_Data_Flows[[#This Row],[Flow_Name]],Tab_Def_Flows[Flow_Name],Tab_Def_Flows[Flow_E5_Fraction'[%']],"N.A.",0,1)</f>
        <v>0</v>
      </c>
      <c r="AE178" s="3">
        <f>IF(H178="Yes",Tab_Data_Flows[[#This Row],[E5_Fraction'[%']]]*Tab_Data_Flows[[#This Row],[E1_value]],"N.A.")</f>
        <v>0</v>
      </c>
      <c r="AF178" s="3" t="str">
        <f>Tab_Data_Flows[[#This Row],[E1_UoM]]</f>
        <v>Mg</v>
      </c>
      <c r="AG178" s="24">
        <f>_xlfn.XLOOKUP(Tab_Data_Flows[[#This Row],[Flow_Name]],Tab_Def_Flows[Flow_Name],Tab_Def_Flows[Flow_E6_Fraction'[%']],"N.A.",0,1)</f>
        <v>0</v>
      </c>
      <c r="AH178" s="3">
        <f>IF(Tab_Data_Flows[[#This Row],[Use_E6]]="Yes",Tab_Data_Flows[[#This Row],[E6_Fraction'[%']]]*Tab_Data_Flows[[#This Row],[E1_value]],"N.A.")</f>
        <v>0</v>
      </c>
      <c r="AI178" s="3" t="str">
        <f>Tab_Data_Flows[[#This Row],[E1_UoM]]</f>
        <v>Mg</v>
      </c>
    </row>
    <row r="179" spans="1:35" x14ac:dyDescent="0.25">
      <c r="A179" s="5">
        <f t="shared" si="5"/>
        <v>178</v>
      </c>
      <c r="B179" s="3" t="str">
        <f>_xlfn.XLOOKUP(C179,Tab_Def_Flows[Flow_Name],Tab_Def_Flows[Flow_ID],,0,)</f>
        <v>F__</v>
      </c>
      <c r="C179" s="23" t="s">
        <v>5</v>
      </c>
      <c r="D179" s="6" t="str">
        <f>_xlfn.XLOOKUP(C179,Tab_Def_Flows[Flow_Name],Tab_Def_Flows[Use_E1],,0,)</f>
        <v>Yes</v>
      </c>
      <c r="E179" s="6" t="str">
        <f>_xlfn.XLOOKUP(C179,Tab_Def_Flows[Flow_Name],Tab_Def_Flows[Use_E2],,0,)</f>
        <v>Yes</v>
      </c>
      <c r="F179" s="6" t="str">
        <f>_xlfn.XLOOKUP(C179,Tab_Def_Flows[Flow_Name],Tab_Def_Flows[Use_E3],,0,)</f>
        <v>Yes</v>
      </c>
      <c r="G179" s="6" t="str">
        <f>_xlfn.XLOOKUP(C179,Tab_Def_Flows[Flow_Name],Tab_Def_Flows[Use_E4],,0,)</f>
        <v>Yes</v>
      </c>
      <c r="H179" s="6" t="str">
        <f>_xlfn.XLOOKUP(C179,Tab_Def_Flows[Flow_Name],Tab_Def_Flows[Use_E5],,0,)</f>
        <v>Yes</v>
      </c>
      <c r="I179" s="6" t="str">
        <f>_xlfn.XLOOKUP(C179,Tab_Def_Flows[Flow_Name],Tab_Def_Flows[Use_E6],,0,)</f>
        <v>Yes</v>
      </c>
      <c r="J179" s="52"/>
      <c r="K179" s="53"/>
      <c r="L179" s="3" t="str">
        <f>'0_Configuration'!$C$41</f>
        <v>Mg</v>
      </c>
      <c r="M179" s="10"/>
      <c r="N179" s="23" t="s">
        <v>3</v>
      </c>
      <c r="O179" s="11"/>
      <c r="P179" s="4"/>
      <c r="Q179" s="10"/>
      <c r="R179" s="3">
        <f>_xlfn.XLOOKUP(Tab_Data_Flows[[#This Row],[Flow_Name]],Tab_Def_Flows[Flow_Name],Tab_Def_Flows[Flow_E1_Fraction'[%']],"N.A.",0,1)</f>
        <v>0</v>
      </c>
      <c r="S179" s="9">
        <f t="shared" si="4"/>
        <v>0</v>
      </c>
      <c r="T179" s="3" t="str">
        <f>Tab_Data_Flows[[#This Row],[UoM_Source]]</f>
        <v>Mg</v>
      </c>
      <c r="U179" s="24">
        <f>_xlfn.XLOOKUP(Tab_Data_Flows[[#This Row],[Flow_Name]],Tab_Def_Flows[Flow_Name],Tab_Def_Flows[Flow_E2_Fraction'[%']],"N.A.",0,1)</f>
        <v>0</v>
      </c>
      <c r="V179" s="3">
        <f>IF(D179="Yes",S179*Tab_Data_Flows[[#This Row],[E2_Fraction'[%']]],"N.A.")</f>
        <v>0</v>
      </c>
      <c r="W179" s="3" t="str">
        <f>Tab_Data_Flows[[#This Row],[E1_UoM]]</f>
        <v>Mg</v>
      </c>
      <c r="X179" s="24">
        <f>_xlfn.XLOOKUP(Tab_Data_Flows[[#This Row],[Flow_Name]],Tab_Def_Flows[Flow_Name],Tab_Def_Flows[Flow_E3_Fraction'[%']],"N.A.",0,1)</f>
        <v>0</v>
      </c>
      <c r="Y179" s="3">
        <f>IF(E179="Yes",X179*Tab_Data_Flows[[#This Row],[E1_value]],"N.A.")</f>
        <v>0</v>
      </c>
      <c r="Z179" s="3" t="str">
        <f>Tab_Data_Flows[[#This Row],[E1_UoM]]</f>
        <v>Mg</v>
      </c>
      <c r="AA179" s="24">
        <f>_xlfn.XLOOKUP(Tab_Data_Flows[[#This Row],[Flow_Name]],Tab_Def_Flows[Flow_Name],Tab_Def_Flows[Flow_E4_Fraction'[%']],"N.A.",0,1)</f>
        <v>0</v>
      </c>
      <c r="AB179" s="3">
        <f>IF(H179="Yes",Tab_Data_Flows[[#This Row],[E4_Fraction'[%']]]*Tab_Data_Flows[[#This Row],[E1_value]],"N.A.")</f>
        <v>0</v>
      </c>
      <c r="AC179" s="3" t="str">
        <f>Tab_Data_Flows[[#This Row],[E1_UoM]]</f>
        <v>Mg</v>
      </c>
      <c r="AD179" s="24">
        <f>_xlfn.XLOOKUP(Tab_Data_Flows[[#This Row],[Flow_Name]],Tab_Def_Flows[Flow_Name],Tab_Def_Flows[Flow_E5_Fraction'[%']],"N.A.",0,1)</f>
        <v>0</v>
      </c>
      <c r="AE179" s="3">
        <f>IF(H179="Yes",Tab_Data_Flows[[#This Row],[E5_Fraction'[%']]]*Tab_Data_Flows[[#This Row],[E1_value]],"N.A.")</f>
        <v>0</v>
      </c>
      <c r="AF179" s="3" t="str">
        <f>Tab_Data_Flows[[#This Row],[E1_UoM]]</f>
        <v>Mg</v>
      </c>
      <c r="AG179" s="24">
        <f>_xlfn.XLOOKUP(Tab_Data_Flows[[#This Row],[Flow_Name]],Tab_Def_Flows[Flow_Name],Tab_Def_Flows[Flow_E6_Fraction'[%']],"N.A.",0,1)</f>
        <v>0</v>
      </c>
      <c r="AH179" s="3">
        <f>IF(Tab_Data_Flows[[#This Row],[Use_E6]]="Yes",Tab_Data_Flows[[#This Row],[E6_Fraction'[%']]]*Tab_Data_Flows[[#This Row],[E1_value]],"N.A.")</f>
        <v>0</v>
      </c>
      <c r="AI179" s="3" t="str">
        <f>Tab_Data_Flows[[#This Row],[E1_UoM]]</f>
        <v>Mg</v>
      </c>
    </row>
    <row r="180" spans="1:35" x14ac:dyDescent="0.25">
      <c r="A180" s="5">
        <f t="shared" si="5"/>
        <v>179</v>
      </c>
      <c r="B180" s="3" t="str">
        <f>_xlfn.XLOOKUP(C180,Tab_Def_Flows[Flow_Name],Tab_Def_Flows[Flow_ID],,0,)</f>
        <v>F__</v>
      </c>
      <c r="C180" s="23" t="s">
        <v>5</v>
      </c>
      <c r="D180" s="6" t="str">
        <f>_xlfn.XLOOKUP(C180,Tab_Def_Flows[Flow_Name],Tab_Def_Flows[Use_E1],,0,)</f>
        <v>Yes</v>
      </c>
      <c r="E180" s="6" t="str">
        <f>_xlfn.XLOOKUP(C180,Tab_Def_Flows[Flow_Name],Tab_Def_Flows[Use_E2],,0,)</f>
        <v>Yes</v>
      </c>
      <c r="F180" s="6" t="str">
        <f>_xlfn.XLOOKUP(C180,Tab_Def_Flows[Flow_Name],Tab_Def_Flows[Use_E3],,0,)</f>
        <v>Yes</v>
      </c>
      <c r="G180" s="6" t="str">
        <f>_xlfn.XLOOKUP(C180,Tab_Def_Flows[Flow_Name],Tab_Def_Flows[Use_E4],,0,)</f>
        <v>Yes</v>
      </c>
      <c r="H180" s="6" t="str">
        <f>_xlfn.XLOOKUP(C180,Tab_Def_Flows[Flow_Name],Tab_Def_Flows[Use_E5],,0,)</f>
        <v>Yes</v>
      </c>
      <c r="I180" s="6" t="str">
        <f>_xlfn.XLOOKUP(C180,Tab_Def_Flows[Flow_Name],Tab_Def_Flows[Use_E6],,0,)</f>
        <v>Yes</v>
      </c>
      <c r="J180" s="52"/>
      <c r="K180" s="53"/>
      <c r="L180" s="3" t="str">
        <f>'0_Configuration'!$C$41</f>
        <v>Mg</v>
      </c>
      <c r="M180" s="10"/>
      <c r="N180" s="23" t="s">
        <v>3</v>
      </c>
      <c r="O180" s="11"/>
      <c r="P180" s="4"/>
      <c r="Q180" s="10"/>
      <c r="R180" s="3">
        <f>_xlfn.XLOOKUP(Tab_Data_Flows[[#This Row],[Flow_Name]],Tab_Def_Flows[Flow_Name],Tab_Def_Flows[Flow_E1_Fraction'[%']],"N.A.",0,1)</f>
        <v>0</v>
      </c>
      <c r="S180" s="9">
        <f t="shared" si="4"/>
        <v>0</v>
      </c>
      <c r="T180" s="3" t="str">
        <f>Tab_Data_Flows[[#This Row],[UoM_Source]]</f>
        <v>Mg</v>
      </c>
      <c r="U180" s="24">
        <f>_xlfn.XLOOKUP(Tab_Data_Flows[[#This Row],[Flow_Name]],Tab_Def_Flows[Flow_Name],Tab_Def_Flows[Flow_E2_Fraction'[%']],"N.A.",0,1)</f>
        <v>0</v>
      </c>
      <c r="V180" s="3">
        <f>IF(D180="Yes",S180*Tab_Data_Flows[[#This Row],[E2_Fraction'[%']]],"N.A.")</f>
        <v>0</v>
      </c>
      <c r="W180" s="3" t="str">
        <f>Tab_Data_Flows[[#This Row],[E1_UoM]]</f>
        <v>Mg</v>
      </c>
      <c r="X180" s="24">
        <f>_xlfn.XLOOKUP(Tab_Data_Flows[[#This Row],[Flow_Name]],Tab_Def_Flows[Flow_Name],Tab_Def_Flows[Flow_E3_Fraction'[%']],"N.A.",0,1)</f>
        <v>0</v>
      </c>
      <c r="Y180" s="3">
        <f>IF(E180="Yes",X180*Tab_Data_Flows[[#This Row],[E1_value]],"N.A.")</f>
        <v>0</v>
      </c>
      <c r="Z180" s="3" t="str">
        <f>Tab_Data_Flows[[#This Row],[E1_UoM]]</f>
        <v>Mg</v>
      </c>
      <c r="AA180" s="24">
        <f>_xlfn.XLOOKUP(Tab_Data_Flows[[#This Row],[Flow_Name]],Tab_Def_Flows[Flow_Name],Tab_Def_Flows[Flow_E4_Fraction'[%']],"N.A.",0,1)</f>
        <v>0</v>
      </c>
      <c r="AB180" s="3">
        <f>IF(H180="Yes",Tab_Data_Flows[[#This Row],[E4_Fraction'[%']]]*Tab_Data_Flows[[#This Row],[E1_value]],"N.A.")</f>
        <v>0</v>
      </c>
      <c r="AC180" s="3" t="str">
        <f>Tab_Data_Flows[[#This Row],[E1_UoM]]</f>
        <v>Mg</v>
      </c>
      <c r="AD180" s="24">
        <f>_xlfn.XLOOKUP(Tab_Data_Flows[[#This Row],[Flow_Name]],Tab_Def_Flows[Flow_Name],Tab_Def_Flows[Flow_E5_Fraction'[%']],"N.A.",0,1)</f>
        <v>0</v>
      </c>
      <c r="AE180" s="3">
        <f>IF(H180="Yes",Tab_Data_Flows[[#This Row],[E5_Fraction'[%']]]*Tab_Data_Flows[[#This Row],[E1_value]],"N.A.")</f>
        <v>0</v>
      </c>
      <c r="AF180" s="3" t="str">
        <f>Tab_Data_Flows[[#This Row],[E1_UoM]]</f>
        <v>Mg</v>
      </c>
      <c r="AG180" s="24">
        <f>_xlfn.XLOOKUP(Tab_Data_Flows[[#This Row],[Flow_Name]],Tab_Def_Flows[Flow_Name],Tab_Def_Flows[Flow_E6_Fraction'[%']],"N.A.",0,1)</f>
        <v>0</v>
      </c>
      <c r="AH180" s="3">
        <f>IF(Tab_Data_Flows[[#This Row],[Use_E6]]="Yes",Tab_Data_Flows[[#This Row],[E6_Fraction'[%']]]*Tab_Data_Flows[[#This Row],[E1_value]],"N.A.")</f>
        <v>0</v>
      </c>
      <c r="AI180" s="3" t="str">
        <f>Tab_Data_Flows[[#This Row],[E1_UoM]]</f>
        <v>Mg</v>
      </c>
    </row>
    <row r="181" spans="1:35" x14ac:dyDescent="0.25">
      <c r="A181" s="5">
        <f t="shared" si="5"/>
        <v>180</v>
      </c>
      <c r="B181" s="3" t="str">
        <f>_xlfn.XLOOKUP(C181,Tab_Def_Flows[Flow_Name],Tab_Def_Flows[Flow_ID],,0,)</f>
        <v>F__</v>
      </c>
      <c r="C181" s="23" t="s">
        <v>5</v>
      </c>
      <c r="D181" s="6" t="str">
        <f>_xlfn.XLOOKUP(C181,Tab_Def_Flows[Flow_Name],Tab_Def_Flows[Use_E1],,0,)</f>
        <v>Yes</v>
      </c>
      <c r="E181" s="6" t="str">
        <f>_xlfn.XLOOKUP(C181,Tab_Def_Flows[Flow_Name],Tab_Def_Flows[Use_E2],,0,)</f>
        <v>Yes</v>
      </c>
      <c r="F181" s="6" t="str">
        <f>_xlfn.XLOOKUP(C181,Tab_Def_Flows[Flow_Name],Tab_Def_Flows[Use_E3],,0,)</f>
        <v>Yes</v>
      </c>
      <c r="G181" s="6" t="str">
        <f>_xlfn.XLOOKUP(C181,Tab_Def_Flows[Flow_Name],Tab_Def_Flows[Use_E4],,0,)</f>
        <v>Yes</v>
      </c>
      <c r="H181" s="6" t="str">
        <f>_xlfn.XLOOKUP(C181,Tab_Def_Flows[Flow_Name],Tab_Def_Flows[Use_E5],,0,)</f>
        <v>Yes</v>
      </c>
      <c r="I181" s="6" t="str">
        <f>_xlfn.XLOOKUP(C181,Tab_Def_Flows[Flow_Name],Tab_Def_Flows[Use_E6],,0,)</f>
        <v>Yes</v>
      </c>
      <c r="J181" s="52"/>
      <c r="K181" s="53"/>
      <c r="L181" s="3" t="str">
        <f>'0_Configuration'!$C$41</f>
        <v>Mg</v>
      </c>
      <c r="M181" s="10"/>
      <c r="N181" s="23" t="s">
        <v>3</v>
      </c>
      <c r="O181" s="11"/>
      <c r="P181" s="4"/>
      <c r="Q181" s="10"/>
      <c r="R181" s="3">
        <f>_xlfn.XLOOKUP(Tab_Data_Flows[[#This Row],[Flow_Name]],Tab_Def_Flows[Flow_Name],Tab_Def_Flows[Flow_E1_Fraction'[%']],"N.A.",0,1)</f>
        <v>0</v>
      </c>
      <c r="S181" s="9">
        <f t="shared" si="4"/>
        <v>0</v>
      </c>
      <c r="T181" s="3" t="str">
        <f>Tab_Data_Flows[[#This Row],[UoM_Source]]</f>
        <v>Mg</v>
      </c>
      <c r="U181" s="24">
        <f>_xlfn.XLOOKUP(Tab_Data_Flows[[#This Row],[Flow_Name]],Tab_Def_Flows[Flow_Name],Tab_Def_Flows[Flow_E2_Fraction'[%']],"N.A.",0,1)</f>
        <v>0</v>
      </c>
      <c r="V181" s="3">
        <f>IF(D181="Yes",S181*Tab_Data_Flows[[#This Row],[E2_Fraction'[%']]],"N.A.")</f>
        <v>0</v>
      </c>
      <c r="W181" s="3" t="str">
        <f>Tab_Data_Flows[[#This Row],[E1_UoM]]</f>
        <v>Mg</v>
      </c>
      <c r="X181" s="24">
        <f>_xlfn.XLOOKUP(Tab_Data_Flows[[#This Row],[Flow_Name]],Tab_Def_Flows[Flow_Name],Tab_Def_Flows[Flow_E3_Fraction'[%']],"N.A.",0,1)</f>
        <v>0</v>
      </c>
      <c r="Y181" s="3">
        <f>IF(E181="Yes",X181*Tab_Data_Flows[[#This Row],[E1_value]],"N.A.")</f>
        <v>0</v>
      </c>
      <c r="Z181" s="3" t="str">
        <f>Tab_Data_Flows[[#This Row],[E1_UoM]]</f>
        <v>Mg</v>
      </c>
      <c r="AA181" s="24">
        <f>_xlfn.XLOOKUP(Tab_Data_Flows[[#This Row],[Flow_Name]],Tab_Def_Flows[Flow_Name],Tab_Def_Flows[Flow_E4_Fraction'[%']],"N.A.",0,1)</f>
        <v>0</v>
      </c>
      <c r="AB181" s="3">
        <f>IF(H181="Yes",Tab_Data_Flows[[#This Row],[E4_Fraction'[%']]]*Tab_Data_Flows[[#This Row],[E1_value]],"N.A.")</f>
        <v>0</v>
      </c>
      <c r="AC181" s="3" t="str">
        <f>Tab_Data_Flows[[#This Row],[E1_UoM]]</f>
        <v>Mg</v>
      </c>
      <c r="AD181" s="24">
        <f>_xlfn.XLOOKUP(Tab_Data_Flows[[#This Row],[Flow_Name]],Tab_Def_Flows[Flow_Name],Tab_Def_Flows[Flow_E5_Fraction'[%']],"N.A.",0,1)</f>
        <v>0</v>
      </c>
      <c r="AE181" s="3">
        <f>IF(H181="Yes",Tab_Data_Flows[[#This Row],[E5_Fraction'[%']]]*Tab_Data_Flows[[#This Row],[E1_value]],"N.A.")</f>
        <v>0</v>
      </c>
      <c r="AF181" s="3" t="str">
        <f>Tab_Data_Flows[[#This Row],[E1_UoM]]</f>
        <v>Mg</v>
      </c>
      <c r="AG181" s="24">
        <f>_xlfn.XLOOKUP(Tab_Data_Flows[[#This Row],[Flow_Name]],Tab_Def_Flows[Flow_Name],Tab_Def_Flows[Flow_E6_Fraction'[%']],"N.A.",0,1)</f>
        <v>0</v>
      </c>
      <c r="AH181" s="3">
        <f>IF(Tab_Data_Flows[[#This Row],[Use_E6]]="Yes",Tab_Data_Flows[[#This Row],[E6_Fraction'[%']]]*Tab_Data_Flows[[#This Row],[E1_value]],"N.A.")</f>
        <v>0</v>
      </c>
      <c r="AI181" s="3" t="str">
        <f>Tab_Data_Flows[[#This Row],[E1_UoM]]</f>
        <v>Mg</v>
      </c>
    </row>
    <row r="182" spans="1:35" x14ac:dyDescent="0.25">
      <c r="A182" s="5">
        <f t="shared" si="5"/>
        <v>181</v>
      </c>
      <c r="B182" s="3" t="str">
        <f>_xlfn.XLOOKUP(C182,Tab_Def_Flows[Flow_Name],Tab_Def_Flows[Flow_ID],,0,)</f>
        <v>F__</v>
      </c>
      <c r="C182" s="23" t="s">
        <v>5</v>
      </c>
      <c r="D182" s="6" t="str">
        <f>_xlfn.XLOOKUP(C182,Tab_Def_Flows[Flow_Name],Tab_Def_Flows[Use_E1],,0,)</f>
        <v>Yes</v>
      </c>
      <c r="E182" s="6" t="str">
        <f>_xlfn.XLOOKUP(C182,Tab_Def_Flows[Flow_Name],Tab_Def_Flows[Use_E2],,0,)</f>
        <v>Yes</v>
      </c>
      <c r="F182" s="6" t="str">
        <f>_xlfn.XLOOKUP(C182,Tab_Def_Flows[Flow_Name],Tab_Def_Flows[Use_E3],,0,)</f>
        <v>Yes</v>
      </c>
      <c r="G182" s="6" t="str">
        <f>_xlfn.XLOOKUP(C182,Tab_Def_Flows[Flow_Name],Tab_Def_Flows[Use_E4],,0,)</f>
        <v>Yes</v>
      </c>
      <c r="H182" s="6" t="str">
        <f>_xlfn.XLOOKUP(C182,Tab_Def_Flows[Flow_Name],Tab_Def_Flows[Use_E5],,0,)</f>
        <v>Yes</v>
      </c>
      <c r="I182" s="6" t="str">
        <f>_xlfn.XLOOKUP(C182,Tab_Def_Flows[Flow_Name],Tab_Def_Flows[Use_E6],,0,)</f>
        <v>Yes</v>
      </c>
      <c r="J182" s="52"/>
      <c r="K182" s="53"/>
      <c r="L182" s="3" t="str">
        <f>'0_Configuration'!$C$41</f>
        <v>Mg</v>
      </c>
      <c r="M182" s="10"/>
      <c r="N182" s="23" t="s">
        <v>3</v>
      </c>
      <c r="O182" s="11"/>
      <c r="P182" s="4"/>
      <c r="Q182" s="10"/>
      <c r="R182" s="3">
        <f>_xlfn.XLOOKUP(Tab_Data_Flows[[#This Row],[Flow_Name]],Tab_Def_Flows[Flow_Name],Tab_Def_Flows[Flow_E1_Fraction'[%']],"N.A.",0,1)</f>
        <v>0</v>
      </c>
      <c r="S182" s="9">
        <f t="shared" si="4"/>
        <v>0</v>
      </c>
      <c r="T182" s="3" t="str">
        <f>Tab_Data_Flows[[#This Row],[UoM_Source]]</f>
        <v>Mg</v>
      </c>
      <c r="U182" s="24">
        <f>_xlfn.XLOOKUP(Tab_Data_Flows[[#This Row],[Flow_Name]],Tab_Def_Flows[Flow_Name],Tab_Def_Flows[Flow_E2_Fraction'[%']],"N.A.",0,1)</f>
        <v>0</v>
      </c>
      <c r="V182" s="3">
        <f>IF(D182="Yes",S182*Tab_Data_Flows[[#This Row],[E2_Fraction'[%']]],"N.A.")</f>
        <v>0</v>
      </c>
      <c r="W182" s="3" t="str">
        <f>Tab_Data_Flows[[#This Row],[E1_UoM]]</f>
        <v>Mg</v>
      </c>
      <c r="X182" s="24">
        <f>_xlfn.XLOOKUP(Tab_Data_Flows[[#This Row],[Flow_Name]],Tab_Def_Flows[Flow_Name],Tab_Def_Flows[Flow_E3_Fraction'[%']],"N.A.",0,1)</f>
        <v>0</v>
      </c>
      <c r="Y182" s="3">
        <f>IF(E182="Yes",X182*Tab_Data_Flows[[#This Row],[E1_value]],"N.A.")</f>
        <v>0</v>
      </c>
      <c r="Z182" s="3" t="str">
        <f>Tab_Data_Flows[[#This Row],[E1_UoM]]</f>
        <v>Mg</v>
      </c>
      <c r="AA182" s="24">
        <f>_xlfn.XLOOKUP(Tab_Data_Flows[[#This Row],[Flow_Name]],Tab_Def_Flows[Flow_Name],Tab_Def_Flows[Flow_E4_Fraction'[%']],"N.A.",0,1)</f>
        <v>0</v>
      </c>
      <c r="AB182" s="3">
        <f>IF(H182="Yes",Tab_Data_Flows[[#This Row],[E4_Fraction'[%']]]*Tab_Data_Flows[[#This Row],[E1_value]],"N.A.")</f>
        <v>0</v>
      </c>
      <c r="AC182" s="3" t="str">
        <f>Tab_Data_Flows[[#This Row],[E1_UoM]]</f>
        <v>Mg</v>
      </c>
      <c r="AD182" s="24">
        <f>_xlfn.XLOOKUP(Tab_Data_Flows[[#This Row],[Flow_Name]],Tab_Def_Flows[Flow_Name],Tab_Def_Flows[Flow_E5_Fraction'[%']],"N.A.",0,1)</f>
        <v>0</v>
      </c>
      <c r="AE182" s="3">
        <f>IF(H182="Yes",Tab_Data_Flows[[#This Row],[E5_Fraction'[%']]]*Tab_Data_Flows[[#This Row],[E1_value]],"N.A.")</f>
        <v>0</v>
      </c>
      <c r="AF182" s="3" t="str">
        <f>Tab_Data_Flows[[#This Row],[E1_UoM]]</f>
        <v>Mg</v>
      </c>
      <c r="AG182" s="24">
        <f>_xlfn.XLOOKUP(Tab_Data_Flows[[#This Row],[Flow_Name]],Tab_Def_Flows[Flow_Name],Tab_Def_Flows[Flow_E6_Fraction'[%']],"N.A.",0,1)</f>
        <v>0</v>
      </c>
      <c r="AH182" s="3">
        <f>IF(Tab_Data_Flows[[#This Row],[Use_E6]]="Yes",Tab_Data_Flows[[#This Row],[E6_Fraction'[%']]]*Tab_Data_Flows[[#This Row],[E1_value]],"N.A.")</f>
        <v>0</v>
      </c>
      <c r="AI182" s="3" t="str">
        <f>Tab_Data_Flows[[#This Row],[E1_UoM]]</f>
        <v>Mg</v>
      </c>
    </row>
    <row r="183" spans="1:35" x14ac:dyDescent="0.25">
      <c r="A183" s="5">
        <f t="shared" si="5"/>
        <v>182</v>
      </c>
      <c r="B183" s="3" t="str">
        <f>_xlfn.XLOOKUP(C183,Tab_Def_Flows[Flow_Name],Tab_Def_Flows[Flow_ID],,0,)</f>
        <v>F__</v>
      </c>
      <c r="C183" s="23" t="s">
        <v>5</v>
      </c>
      <c r="D183" s="6" t="str">
        <f>_xlfn.XLOOKUP(C183,Tab_Def_Flows[Flow_Name],Tab_Def_Flows[Use_E1],,0,)</f>
        <v>Yes</v>
      </c>
      <c r="E183" s="6" t="str">
        <f>_xlfn.XLOOKUP(C183,Tab_Def_Flows[Flow_Name],Tab_Def_Flows[Use_E2],,0,)</f>
        <v>Yes</v>
      </c>
      <c r="F183" s="6" t="str">
        <f>_xlfn.XLOOKUP(C183,Tab_Def_Flows[Flow_Name],Tab_Def_Flows[Use_E3],,0,)</f>
        <v>Yes</v>
      </c>
      <c r="G183" s="6" t="str">
        <f>_xlfn.XLOOKUP(C183,Tab_Def_Flows[Flow_Name],Tab_Def_Flows[Use_E4],,0,)</f>
        <v>Yes</v>
      </c>
      <c r="H183" s="6" t="str">
        <f>_xlfn.XLOOKUP(C183,Tab_Def_Flows[Flow_Name],Tab_Def_Flows[Use_E5],,0,)</f>
        <v>Yes</v>
      </c>
      <c r="I183" s="6" t="str">
        <f>_xlfn.XLOOKUP(C183,Tab_Def_Flows[Flow_Name],Tab_Def_Flows[Use_E6],,0,)</f>
        <v>Yes</v>
      </c>
      <c r="J183" s="52"/>
      <c r="K183" s="53"/>
      <c r="L183" s="3" t="str">
        <f>'0_Configuration'!$C$41</f>
        <v>Mg</v>
      </c>
      <c r="M183" s="10"/>
      <c r="N183" s="23" t="s">
        <v>3</v>
      </c>
      <c r="O183" s="4"/>
      <c r="P183" s="4"/>
      <c r="Q183" s="10"/>
      <c r="R183" s="3">
        <f>_xlfn.XLOOKUP(Tab_Data_Flows[[#This Row],[Flow_Name]],Tab_Def_Flows[Flow_Name],Tab_Def_Flows[Flow_E1_Fraction'[%']],"N.A.",0,1)</f>
        <v>0</v>
      </c>
      <c r="S183" s="9">
        <f t="shared" si="4"/>
        <v>0</v>
      </c>
      <c r="T183" s="3" t="str">
        <f>Tab_Data_Flows[[#This Row],[UoM_Source]]</f>
        <v>Mg</v>
      </c>
      <c r="U183" s="24">
        <f>_xlfn.XLOOKUP(Tab_Data_Flows[[#This Row],[Flow_Name]],Tab_Def_Flows[Flow_Name],Tab_Def_Flows[Flow_E2_Fraction'[%']],"N.A.",0,1)</f>
        <v>0</v>
      </c>
      <c r="V183" s="3">
        <f>IF(D183="Yes",S183*Tab_Data_Flows[[#This Row],[E2_Fraction'[%']]],"N.A.")</f>
        <v>0</v>
      </c>
      <c r="W183" s="3" t="str">
        <f>Tab_Data_Flows[[#This Row],[E1_UoM]]</f>
        <v>Mg</v>
      </c>
      <c r="X183" s="24">
        <f>_xlfn.XLOOKUP(Tab_Data_Flows[[#This Row],[Flow_Name]],Tab_Def_Flows[Flow_Name],Tab_Def_Flows[Flow_E3_Fraction'[%']],"N.A.",0,1)</f>
        <v>0</v>
      </c>
      <c r="Y183" s="3">
        <f>IF(E183="Yes",X183*Tab_Data_Flows[[#This Row],[E1_value]],"N.A.")</f>
        <v>0</v>
      </c>
      <c r="Z183" s="3" t="str">
        <f>Tab_Data_Flows[[#This Row],[E1_UoM]]</f>
        <v>Mg</v>
      </c>
      <c r="AA183" s="24">
        <f>_xlfn.XLOOKUP(Tab_Data_Flows[[#This Row],[Flow_Name]],Tab_Def_Flows[Flow_Name],Tab_Def_Flows[Flow_E4_Fraction'[%']],"N.A.",0,1)</f>
        <v>0</v>
      </c>
      <c r="AB183" s="3">
        <f>IF(H183="Yes",Tab_Data_Flows[[#This Row],[E4_Fraction'[%']]]*Tab_Data_Flows[[#This Row],[E1_value]],"N.A.")</f>
        <v>0</v>
      </c>
      <c r="AC183" s="3" t="str">
        <f>Tab_Data_Flows[[#This Row],[E1_UoM]]</f>
        <v>Mg</v>
      </c>
      <c r="AD183" s="24">
        <f>_xlfn.XLOOKUP(Tab_Data_Flows[[#This Row],[Flow_Name]],Tab_Def_Flows[Flow_Name],Tab_Def_Flows[Flow_E5_Fraction'[%']],"N.A.",0,1)</f>
        <v>0</v>
      </c>
      <c r="AE183" s="3">
        <f>IF(H183="Yes",Tab_Data_Flows[[#This Row],[E5_Fraction'[%']]]*Tab_Data_Flows[[#This Row],[E1_value]],"N.A.")</f>
        <v>0</v>
      </c>
      <c r="AF183" s="3" t="str">
        <f>Tab_Data_Flows[[#This Row],[E1_UoM]]</f>
        <v>Mg</v>
      </c>
      <c r="AG183" s="24">
        <f>_xlfn.XLOOKUP(Tab_Data_Flows[[#This Row],[Flow_Name]],Tab_Def_Flows[Flow_Name],Tab_Def_Flows[Flow_E6_Fraction'[%']],"N.A.",0,1)</f>
        <v>0</v>
      </c>
      <c r="AH183" s="3">
        <f>IF(Tab_Data_Flows[[#This Row],[Use_E6]]="Yes",Tab_Data_Flows[[#This Row],[E6_Fraction'[%']]]*Tab_Data_Flows[[#This Row],[E1_value]],"N.A.")</f>
        <v>0</v>
      </c>
      <c r="AI183" s="3" t="str">
        <f>Tab_Data_Flows[[#This Row],[E1_UoM]]</f>
        <v>Mg</v>
      </c>
    </row>
    <row r="184" spans="1:35" x14ac:dyDescent="0.25">
      <c r="A184" s="5">
        <f t="shared" si="5"/>
        <v>183</v>
      </c>
      <c r="B184" s="3" t="str">
        <f>_xlfn.XLOOKUP(C184,Tab_Def_Flows[Flow_Name],Tab_Def_Flows[Flow_ID],,0,)</f>
        <v>F__</v>
      </c>
      <c r="C184" s="23" t="s">
        <v>5</v>
      </c>
      <c r="D184" s="6" t="str">
        <f>_xlfn.XLOOKUP(C184,Tab_Def_Flows[Flow_Name],Tab_Def_Flows[Use_E1],,0,)</f>
        <v>Yes</v>
      </c>
      <c r="E184" s="6" t="str">
        <f>_xlfn.XLOOKUP(C184,Tab_Def_Flows[Flow_Name],Tab_Def_Flows[Use_E2],,0,)</f>
        <v>Yes</v>
      </c>
      <c r="F184" s="6" t="str">
        <f>_xlfn.XLOOKUP(C184,Tab_Def_Flows[Flow_Name],Tab_Def_Flows[Use_E3],,0,)</f>
        <v>Yes</v>
      </c>
      <c r="G184" s="6" t="str">
        <f>_xlfn.XLOOKUP(C184,Tab_Def_Flows[Flow_Name],Tab_Def_Flows[Use_E4],,0,)</f>
        <v>Yes</v>
      </c>
      <c r="H184" s="6" t="str">
        <f>_xlfn.XLOOKUP(C184,Tab_Def_Flows[Flow_Name],Tab_Def_Flows[Use_E5],,0,)</f>
        <v>Yes</v>
      </c>
      <c r="I184" s="6" t="str">
        <f>_xlfn.XLOOKUP(C184,Tab_Def_Flows[Flow_Name],Tab_Def_Flows[Use_E6],,0,)</f>
        <v>Yes</v>
      </c>
      <c r="J184" s="4"/>
      <c r="K184" s="18"/>
      <c r="L184" s="3" t="str">
        <f>'0_Configuration'!$C$41</f>
        <v>Mg</v>
      </c>
      <c r="M184" s="10"/>
      <c r="N184" s="23" t="s">
        <v>3</v>
      </c>
      <c r="O184" s="4"/>
      <c r="P184" s="4"/>
      <c r="Q184" s="10"/>
      <c r="R184" s="3">
        <f>_xlfn.XLOOKUP(Tab_Data_Flows[[#This Row],[Flow_Name]],Tab_Def_Flows[Flow_Name],Tab_Def_Flows[Flow_E1_Fraction'[%']],"N.A.",0,1)</f>
        <v>0</v>
      </c>
      <c r="S184" s="9">
        <f t="shared" si="4"/>
        <v>0</v>
      </c>
      <c r="T184" s="3" t="str">
        <f>Tab_Data_Flows[[#This Row],[UoM_Source]]</f>
        <v>Mg</v>
      </c>
      <c r="U184" s="24">
        <f>_xlfn.XLOOKUP(Tab_Data_Flows[[#This Row],[Flow_Name]],Tab_Def_Flows[Flow_Name],Tab_Def_Flows[Flow_E2_Fraction'[%']],"N.A.",0,1)</f>
        <v>0</v>
      </c>
      <c r="V184" s="3">
        <f>IF(D184="Yes",S184*Tab_Data_Flows[[#This Row],[E2_Fraction'[%']]],"N.A.")</f>
        <v>0</v>
      </c>
      <c r="W184" s="3" t="str">
        <f>Tab_Data_Flows[[#This Row],[E1_UoM]]</f>
        <v>Mg</v>
      </c>
      <c r="X184" s="24">
        <f>_xlfn.XLOOKUP(Tab_Data_Flows[[#This Row],[Flow_Name]],Tab_Def_Flows[Flow_Name],Tab_Def_Flows[Flow_E3_Fraction'[%']],"N.A.",0,1)</f>
        <v>0</v>
      </c>
      <c r="Y184" s="3">
        <f>IF(E184="Yes",X184*Tab_Data_Flows[[#This Row],[E1_value]],"N.A.")</f>
        <v>0</v>
      </c>
      <c r="Z184" s="3" t="str">
        <f>Tab_Data_Flows[[#This Row],[E1_UoM]]</f>
        <v>Mg</v>
      </c>
      <c r="AA184" s="24">
        <f>_xlfn.XLOOKUP(Tab_Data_Flows[[#This Row],[Flow_Name]],Tab_Def_Flows[Flow_Name],Tab_Def_Flows[Flow_E4_Fraction'[%']],"N.A.",0,1)</f>
        <v>0</v>
      </c>
      <c r="AB184" s="3">
        <f>IF(H184="Yes",Tab_Data_Flows[[#This Row],[E4_Fraction'[%']]]*Tab_Data_Flows[[#This Row],[E1_value]],"N.A.")</f>
        <v>0</v>
      </c>
      <c r="AC184" s="3" t="str">
        <f>Tab_Data_Flows[[#This Row],[E1_UoM]]</f>
        <v>Mg</v>
      </c>
      <c r="AD184" s="24">
        <f>_xlfn.XLOOKUP(Tab_Data_Flows[[#This Row],[Flow_Name]],Tab_Def_Flows[Flow_Name],Tab_Def_Flows[Flow_E5_Fraction'[%']],"N.A.",0,1)</f>
        <v>0</v>
      </c>
      <c r="AE184" s="3">
        <f>IF(H184="Yes",Tab_Data_Flows[[#This Row],[E5_Fraction'[%']]]*Tab_Data_Flows[[#This Row],[E1_value]],"N.A.")</f>
        <v>0</v>
      </c>
      <c r="AF184" s="3" t="str">
        <f>Tab_Data_Flows[[#This Row],[E1_UoM]]</f>
        <v>Mg</v>
      </c>
      <c r="AG184" s="24">
        <f>_xlfn.XLOOKUP(Tab_Data_Flows[[#This Row],[Flow_Name]],Tab_Def_Flows[Flow_Name],Tab_Def_Flows[Flow_E6_Fraction'[%']],"N.A.",0,1)</f>
        <v>0</v>
      </c>
      <c r="AH184" s="3">
        <f>IF(Tab_Data_Flows[[#This Row],[Use_E6]]="Yes",Tab_Data_Flows[[#This Row],[E6_Fraction'[%']]]*Tab_Data_Flows[[#This Row],[E1_value]],"N.A.")</f>
        <v>0</v>
      </c>
      <c r="AI184" s="3" t="str">
        <f>Tab_Data_Flows[[#This Row],[E1_UoM]]</f>
        <v>Mg</v>
      </c>
    </row>
    <row r="185" spans="1:35" x14ac:dyDescent="0.25">
      <c r="A185" s="5">
        <f t="shared" si="5"/>
        <v>184</v>
      </c>
      <c r="B185" s="3" t="str">
        <f>_xlfn.XLOOKUP(C185,Tab_Def_Flows[Flow_Name],Tab_Def_Flows[Flow_ID],,0,)</f>
        <v>F__</v>
      </c>
      <c r="C185" s="23" t="s">
        <v>5</v>
      </c>
      <c r="D185" s="6" t="str">
        <f>_xlfn.XLOOKUP(C185,Tab_Def_Flows[Flow_Name],Tab_Def_Flows[Use_E1],,0,)</f>
        <v>Yes</v>
      </c>
      <c r="E185" s="6" t="str">
        <f>_xlfn.XLOOKUP(C185,Tab_Def_Flows[Flow_Name],Tab_Def_Flows[Use_E2],,0,)</f>
        <v>Yes</v>
      </c>
      <c r="F185" s="6" t="str">
        <f>_xlfn.XLOOKUP(C185,Tab_Def_Flows[Flow_Name],Tab_Def_Flows[Use_E3],,0,)</f>
        <v>Yes</v>
      </c>
      <c r="G185" s="6" t="str">
        <f>_xlfn.XLOOKUP(C185,Tab_Def_Flows[Flow_Name],Tab_Def_Flows[Use_E4],,0,)</f>
        <v>Yes</v>
      </c>
      <c r="H185" s="6" t="str">
        <f>_xlfn.XLOOKUP(C185,Tab_Def_Flows[Flow_Name],Tab_Def_Flows[Use_E5],,0,)</f>
        <v>Yes</v>
      </c>
      <c r="I185" s="6" t="str">
        <f>_xlfn.XLOOKUP(C185,Tab_Def_Flows[Flow_Name],Tab_Def_Flows[Use_E6],,0,)</f>
        <v>Yes</v>
      </c>
      <c r="J185" s="4"/>
      <c r="K185" s="18"/>
      <c r="L185" s="3" t="str">
        <f>'0_Configuration'!$C$41</f>
        <v>Mg</v>
      </c>
      <c r="M185" s="10"/>
      <c r="N185" s="23" t="s">
        <v>3</v>
      </c>
      <c r="O185" s="4"/>
      <c r="P185" s="4"/>
      <c r="Q185" s="10"/>
      <c r="R185" s="3">
        <f>_xlfn.XLOOKUP(Tab_Data_Flows[[#This Row],[Flow_Name]],Tab_Def_Flows[Flow_Name],Tab_Def_Flows[Flow_E1_Fraction'[%']],"N.A.",0,1)</f>
        <v>0</v>
      </c>
      <c r="S185" s="9">
        <f t="shared" si="4"/>
        <v>0</v>
      </c>
      <c r="T185" s="3" t="str">
        <f>Tab_Data_Flows[[#This Row],[UoM_Source]]</f>
        <v>Mg</v>
      </c>
      <c r="U185" s="24">
        <f>_xlfn.XLOOKUP(Tab_Data_Flows[[#This Row],[Flow_Name]],Tab_Def_Flows[Flow_Name],Tab_Def_Flows[Flow_E2_Fraction'[%']],"N.A.",0,1)</f>
        <v>0</v>
      </c>
      <c r="V185" s="3">
        <f>IF(D185="Yes",S185*Tab_Data_Flows[[#This Row],[E2_Fraction'[%']]],"N.A.")</f>
        <v>0</v>
      </c>
      <c r="W185" s="3" t="str">
        <f>Tab_Data_Flows[[#This Row],[E1_UoM]]</f>
        <v>Mg</v>
      </c>
      <c r="X185" s="24">
        <f>_xlfn.XLOOKUP(Tab_Data_Flows[[#This Row],[Flow_Name]],Tab_Def_Flows[Flow_Name],Tab_Def_Flows[Flow_E3_Fraction'[%']],"N.A.",0,1)</f>
        <v>0</v>
      </c>
      <c r="Y185" s="3">
        <f>IF(E185="Yes",X185*Tab_Data_Flows[[#This Row],[E1_value]],"N.A.")</f>
        <v>0</v>
      </c>
      <c r="Z185" s="3" t="str">
        <f>Tab_Data_Flows[[#This Row],[E1_UoM]]</f>
        <v>Mg</v>
      </c>
      <c r="AA185" s="24">
        <f>_xlfn.XLOOKUP(Tab_Data_Flows[[#This Row],[Flow_Name]],Tab_Def_Flows[Flow_Name],Tab_Def_Flows[Flow_E4_Fraction'[%']],"N.A.",0,1)</f>
        <v>0</v>
      </c>
      <c r="AB185" s="3">
        <f>IF(H185="Yes",Tab_Data_Flows[[#This Row],[E4_Fraction'[%']]]*Tab_Data_Flows[[#This Row],[E1_value]],"N.A.")</f>
        <v>0</v>
      </c>
      <c r="AC185" s="3" t="str">
        <f>Tab_Data_Flows[[#This Row],[E1_UoM]]</f>
        <v>Mg</v>
      </c>
      <c r="AD185" s="24">
        <f>_xlfn.XLOOKUP(Tab_Data_Flows[[#This Row],[Flow_Name]],Tab_Def_Flows[Flow_Name],Tab_Def_Flows[Flow_E5_Fraction'[%']],"N.A.",0,1)</f>
        <v>0</v>
      </c>
      <c r="AE185" s="3">
        <f>IF(H185="Yes",Tab_Data_Flows[[#This Row],[E5_Fraction'[%']]]*Tab_Data_Flows[[#This Row],[E1_value]],"N.A.")</f>
        <v>0</v>
      </c>
      <c r="AF185" s="3" t="str">
        <f>Tab_Data_Flows[[#This Row],[E1_UoM]]</f>
        <v>Mg</v>
      </c>
      <c r="AG185" s="24">
        <f>_xlfn.XLOOKUP(Tab_Data_Flows[[#This Row],[Flow_Name]],Tab_Def_Flows[Flow_Name],Tab_Def_Flows[Flow_E6_Fraction'[%']],"N.A.",0,1)</f>
        <v>0</v>
      </c>
      <c r="AH185" s="3">
        <f>IF(Tab_Data_Flows[[#This Row],[Use_E6]]="Yes",Tab_Data_Flows[[#This Row],[E6_Fraction'[%']]]*Tab_Data_Flows[[#This Row],[E1_value]],"N.A.")</f>
        <v>0</v>
      </c>
      <c r="AI185" s="3" t="str">
        <f>Tab_Data_Flows[[#This Row],[E1_UoM]]</f>
        <v>Mg</v>
      </c>
    </row>
    <row r="186" spans="1:35" x14ac:dyDescent="0.25">
      <c r="A186" s="5">
        <f t="shared" si="5"/>
        <v>185</v>
      </c>
      <c r="B186" s="3" t="str">
        <f>_xlfn.XLOOKUP(C186,Tab_Def_Flows[Flow_Name],Tab_Def_Flows[Flow_ID],,0,)</f>
        <v>F__</v>
      </c>
      <c r="C186" s="23" t="s">
        <v>5</v>
      </c>
      <c r="D186" s="6" t="str">
        <f>_xlfn.XLOOKUP(C186,Tab_Def_Flows[Flow_Name],Tab_Def_Flows[Use_E1],,0,)</f>
        <v>Yes</v>
      </c>
      <c r="E186" s="6" t="str">
        <f>_xlfn.XLOOKUP(C186,Tab_Def_Flows[Flow_Name],Tab_Def_Flows[Use_E2],,0,)</f>
        <v>Yes</v>
      </c>
      <c r="F186" s="6" t="str">
        <f>_xlfn.XLOOKUP(C186,Tab_Def_Flows[Flow_Name],Tab_Def_Flows[Use_E3],,0,)</f>
        <v>Yes</v>
      </c>
      <c r="G186" s="6" t="str">
        <f>_xlfn.XLOOKUP(C186,Tab_Def_Flows[Flow_Name],Tab_Def_Flows[Use_E4],,0,)</f>
        <v>Yes</v>
      </c>
      <c r="H186" s="6" t="str">
        <f>_xlfn.XLOOKUP(C186,Tab_Def_Flows[Flow_Name],Tab_Def_Flows[Use_E5],,0,)</f>
        <v>Yes</v>
      </c>
      <c r="I186" s="6" t="str">
        <f>_xlfn.XLOOKUP(C186,Tab_Def_Flows[Flow_Name],Tab_Def_Flows[Use_E6],,0,)</f>
        <v>Yes</v>
      </c>
      <c r="J186" s="4"/>
      <c r="K186" s="18"/>
      <c r="L186" s="3" t="str">
        <f>'0_Configuration'!$C$41</f>
        <v>Mg</v>
      </c>
      <c r="M186" s="10"/>
      <c r="N186" s="23" t="s">
        <v>3</v>
      </c>
      <c r="O186" s="4"/>
      <c r="P186" s="4"/>
      <c r="Q186" s="10"/>
      <c r="R186" s="3">
        <f>_xlfn.XLOOKUP(Tab_Data_Flows[[#This Row],[Flow_Name]],Tab_Def_Flows[Flow_Name],Tab_Def_Flows[Flow_E1_Fraction'[%']],"N.A.",0,1)</f>
        <v>0</v>
      </c>
      <c r="S186" s="9">
        <f t="shared" si="4"/>
        <v>0</v>
      </c>
      <c r="T186" s="3" t="str">
        <f>Tab_Data_Flows[[#This Row],[UoM_Source]]</f>
        <v>Mg</v>
      </c>
      <c r="U186" s="24">
        <f>_xlfn.XLOOKUP(Tab_Data_Flows[[#This Row],[Flow_Name]],Tab_Def_Flows[Flow_Name],Tab_Def_Flows[Flow_E2_Fraction'[%']],"N.A.",0,1)</f>
        <v>0</v>
      </c>
      <c r="V186" s="3">
        <f>IF(D186="Yes",S186*Tab_Data_Flows[[#This Row],[E2_Fraction'[%']]],"N.A.")</f>
        <v>0</v>
      </c>
      <c r="W186" s="3" t="str">
        <f>Tab_Data_Flows[[#This Row],[E1_UoM]]</f>
        <v>Mg</v>
      </c>
      <c r="X186" s="24">
        <f>_xlfn.XLOOKUP(Tab_Data_Flows[[#This Row],[Flow_Name]],Tab_Def_Flows[Flow_Name],Tab_Def_Flows[Flow_E3_Fraction'[%']],"N.A.",0,1)</f>
        <v>0</v>
      </c>
      <c r="Y186" s="3">
        <f>IF(E186="Yes",X186*Tab_Data_Flows[[#This Row],[E1_value]],"N.A.")</f>
        <v>0</v>
      </c>
      <c r="Z186" s="3" t="str">
        <f>Tab_Data_Flows[[#This Row],[E1_UoM]]</f>
        <v>Mg</v>
      </c>
      <c r="AA186" s="24">
        <f>_xlfn.XLOOKUP(Tab_Data_Flows[[#This Row],[Flow_Name]],Tab_Def_Flows[Flow_Name],Tab_Def_Flows[Flow_E4_Fraction'[%']],"N.A.",0,1)</f>
        <v>0</v>
      </c>
      <c r="AB186" s="3">
        <f>IF(H186="Yes",Tab_Data_Flows[[#This Row],[E4_Fraction'[%']]]*Tab_Data_Flows[[#This Row],[E1_value]],"N.A.")</f>
        <v>0</v>
      </c>
      <c r="AC186" s="3" t="str">
        <f>Tab_Data_Flows[[#This Row],[E1_UoM]]</f>
        <v>Mg</v>
      </c>
      <c r="AD186" s="24">
        <f>_xlfn.XLOOKUP(Tab_Data_Flows[[#This Row],[Flow_Name]],Tab_Def_Flows[Flow_Name],Tab_Def_Flows[Flow_E5_Fraction'[%']],"N.A.",0,1)</f>
        <v>0</v>
      </c>
      <c r="AE186" s="3">
        <f>IF(H186="Yes",Tab_Data_Flows[[#This Row],[E5_Fraction'[%']]]*Tab_Data_Flows[[#This Row],[E1_value]],"N.A.")</f>
        <v>0</v>
      </c>
      <c r="AF186" s="3" t="str">
        <f>Tab_Data_Flows[[#This Row],[E1_UoM]]</f>
        <v>Mg</v>
      </c>
      <c r="AG186" s="24">
        <f>_xlfn.XLOOKUP(Tab_Data_Flows[[#This Row],[Flow_Name]],Tab_Def_Flows[Flow_Name],Tab_Def_Flows[Flow_E6_Fraction'[%']],"N.A.",0,1)</f>
        <v>0</v>
      </c>
      <c r="AH186" s="3">
        <f>IF(Tab_Data_Flows[[#This Row],[Use_E6]]="Yes",Tab_Data_Flows[[#This Row],[E6_Fraction'[%']]]*Tab_Data_Flows[[#This Row],[E1_value]],"N.A.")</f>
        <v>0</v>
      </c>
      <c r="AI186" s="3" t="str">
        <f>Tab_Data_Flows[[#This Row],[E1_UoM]]</f>
        <v>Mg</v>
      </c>
    </row>
    <row r="187" spans="1:35" x14ac:dyDescent="0.25">
      <c r="A187" s="5">
        <f t="shared" si="5"/>
        <v>186</v>
      </c>
      <c r="B187" s="3" t="str">
        <f>_xlfn.XLOOKUP(C187,Tab_Def_Flows[Flow_Name],Tab_Def_Flows[Flow_ID],,0,)</f>
        <v>F__</v>
      </c>
      <c r="C187" s="23" t="s">
        <v>5</v>
      </c>
      <c r="D187" s="6" t="str">
        <f>_xlfn.XLOOKUP(C187,Tab_Def_Flows[Flow_Name],Tab_Def_Flows[Use_E1],,0,)</f>
        <v>Yes</v>
      </c>
      <c r="E187" s="6" t="str">
        <f>_xlfn.XLOOKUP(C187,Tab_Def_Flows[Flow_Name],Tab_Def_Flows[Use_E2],,0,)</f>
        <v>Yes</v>
      </c>
      <c r="F187" s="6" t="str">
        <f>_xlfn.XLOOKUP(C187,Tab_Def_Flows[Flow_Name],Tab_Def_Flows[Use_E3],,0,)</f>
        <v>Yes</v>
      </c>
      <c r="G187" s="6" t="str">
        <f>_xlfn.XLOOKUP(C187,Tab_Def_Flows[Flow_Name],Tab_Def_Flows[Use_E4],,0,)</f>
        <v>Yes</v>
      </c>
      <c r="H187" s="6" t="str">
        <f>_xlfn.XLOOKUP(C187,Tab_Def_Flows[Flow_Name],Tab_Def_Flows[Use_E5],,0,)</f>
        <v>Yes</v>
      </c>
      <c r="I187" s="6" t="str">
        <f>_xlfn.XLOOKUP(C187,Tab_Def_Flows[Flow_Name],Tab_Def_Flows[Use_E6],,0,)</f>
        <v>Yes</v>
      </c>
      <c r="J187" s="4"/>
      <c r="K187" s="18"/>
      <c r="L187" s="3" t="str">
        <f>'0_Configuration'!$C$41</f>
        <v>Mg</v>
      </c>
      <c r="M187" s="10"/>
      <c r="N187" s="23" t="s">
        <v>3</v>
      </c>
      <c r="O187" s="4"/>
      <c r="P187" s="4"/>
      <c r="Q187" s="10"/>
      <c r="R187" s="3">
        <f>_xlfn.XLOOKUP(Tab_Data_Flows[[#This Row],[Flow_Name]],Tab_Def_Flows[Flow_Name],Tab_Def_Flows[Flow_E1_Fraction'[%']],"N.A.",0,1)</f>
        <v>0</v>
      </c>
      <c r="S187" s="9">
        <f t="shared" si="4"/>
        <v>0</v>
      </c>
      <c r="T187" s="3" t="str">
        <f>Tab_Data_Flows[[#This Row],[UoM_Source]]</f>
        <v>Mg</v>
      </c>
      <c r="U187" s="24">
        <f>_xlfn.XLOOKUP(Tab_Data_Flows[[#This Row],[Flow_Name]],Tab_Def_Flows[Flow_Name],Tab_Def_Flows[Flow_E2_Fraction'[%']],"N.A.",0,1)</f>
        <v>0</v>
      </c>
      <c r="V187" s="3">
        <f>IF(D187="Yes",S187*Tab_Data_Flows[[#This Row],[E2_Fraction'[%']]],"N.A.")</f>
        <v>0</v>
      </c>
      <c r="W187" s="3" t="str">
        <f>Tab_Data_Flows[[#This Row],[E1_UoM]]</f>
        <v>Mg</v>
      </c>
      <c r="X187" s="24">
        <f>_xlfn.XLOOKUP(Tab_Data_Flows[[#This Row],[Flow_Name]],Tab_Def_Flows[Flow_Name],Tab_Def_Flows[Flow_E3_Fraction'[%']],"N.A.",0,1)</f>
        <v>0</v>
      </c>
      <c r="Y187" s="3">
        <f>IF(E187="Yes",X187*Tab_Data_Flows[[#This Row],[E1_value]],"N.A.")</f>
        <v>0</v>
      </c>
      <c r="Z187" s="3" t="str">
        <f>Tab_Data_Flows[[#This Row],[E1_UoM]]</f>
        <v>Mg</v>
      </c>
      <c r="AA187" s="24">
        <f>_xlfn.XLOOKUP(Tab_Data_Flows[[#This Row],[Flow_Name]],Tab_Def_Flows[Flow_Name],Tab_Def_Flows[Flow_E4_Fraction'[%']],"N.A.",0,1)</f>
        <v>0</v>
      </c>
      <c r="AB187" s="3">
        <f>IF(H187="Yes",Tab_Data_Flows[[#This Row],[E4_Fraction'[%']]]*Tab_Data_Flows[[#This Row],[E1_value]],"N.A.")</f>
        <v>0</v>
      </c>
      <c r="AC187" s="3" t="str">
        <f>Tab_Data_Flows[[#This Row],[E1_UoM]]</f>
        <v>Mg</v>
      </c>
      <c r="AD187" s="24">
        <f>_xlfn.XLOOKUP(Tab_Data_Flows[[#This Row],[Flow_Name]],Tab_Def_Flows[Flow_Name],Tab_Def_Flows[Flow_E5_Fraction'[%']],"N.A.",0,1)</f>
        <v>0</v>
      </c>
      <c r="AE187" s="3">
        <f>IF(H187="Yes",Tab_Data_Flows[[#This Row],[E5_Fraction'[%']]]*Tab_Data_Flows[[#This Row],[E1_value]],"N.A.")</f>
        <v>0</v>
      </c>
      <c r="AF187" s="3" t="str">
        <f>Tab_Data_Flows[[#This Row],[E1_UoM]]</f>
        <v>Mg</v>
      </c>
      <c r="AG187" s="24">
        <f>_xlfn.XLOOKUP(Tab_Data_Flows[[#This Row],[Flow_Name]],Tab_Def_Flows[Flow_Name],Tab_Def_Flows[Flow_E6_Fraction'[%']],"N.A.",0,1)</f>
        <v>0</v>
      </c>
      <c r="AH187" s="3">
        <f>IF(Tab_Data_Flows[[#This Row],[Use_E6]]="Yes",Tab_Data_Flows[[#This Row],[E6_Fraction'[%']]]*Tab_Data_Flows[[#This Row],[E1_value]],"N.A.")</f>
        <v>0</v>
      </c>
      <c r="AI187" s="3" t="str">
        <f>Tab_Data_Flows[[#This Row],[E1_UoM]]</f>
        <v>Mg</v>
      </c>
    </row>
    <row r="188" spans="1:35" x14ac:dyDescent="0.25">
      <c r="A188" s="5">
        <f t="shared" si="5"/>
        <v>187</v>
      </c>
      <c r="B188" s="3" t="str">
        <f>_xlfn.XLOOKUP(C188,Tab_Def_Flows[Flow_Name],Tab_Def_Flows[Flow_ID],,0,)</f>
        <v>F__</v>
      </c>
      <c r="C188" s="23" t="s">
        <v>5</v>
      </c>
      <c r="D188" s="6" t="str">
        <f>_xlfn.XLOOKUP(C188,Tab_Def_Flows[Flow_Name],Tab_Def_Flows[Use_E1],,0,)</f>
        <v>Yes</v>
      </c>
      <c r="E188" s="6" t="str">
        <f>_xlfn.XLOOKUP(C188,Tab_Def_Flows[Flow_Name],Tab_Def_Flows[Use_E2],,0,)</f>
        <v>Yes</v>
      </c>
      <c r="F188" s="6" t="str">
        <f>_xlfn.XLOOKUP(C188,Tab_Def_Flows[Flow_Name],Tab_Def_Flows[Use_E3],,0,)</f>
        <v>Yes</v>
      </c>
      <c r="G188" s="6" t="str">
        <f>_xlfn.XLOOKUP(C188,Tab_Def_Flows[Flow_Name],Tab_Def_Flows[Use_E4],,0,)</f>
        <v>Yes</v>
      </c>
      <c r="H188" s="6" t="str">
        <f>_xlfn.XLOOKUP(C188,Tab_Def_Flows[Flow_Name],Tab_Def_Flows[Use_E5],,0,)</f>
        <v>Yes</v>
      </c>
      <c r="I188" s="6" t="str">
        <f>_xlfn.XLOOKUP(C188,Tab_Def_Flows[Flow_Name],Tab_Def_Flows[Use_E6],,0,)</f>
        <v>Yes</v>
      </c>
      <c r="J188" s="4"/>
      <c r="K188" s="18"/>
      <c r="L188" s="3" t="str">
        <f>'0_Configuration'!$C$41</f>
        <v>Mg</v>
      </c>
      <c r="M188" s="10"/>
      <c r="N188" s="23" t="s">
        <v>3</v>
      </c>
      <c r="O188" s="4"/>
      <c r="P188" s="4"/>
      <c r="Q188" s="10"/>
      <c r="R188" s="3">
        <f>_xlfn.XLOOKUP(Tab_Data_Flows[[#This Row],[Flow_Name]],Tab_Def_Flows[Flow_Name],Tab_Def_Flows[Flow_E1_Fraction'[%']],"N.A.",0,1)</f>
        <v>0</v>
      </c>
      <c r="S188" s="9">
        <f t="shared" si="4"/>
        <v>0</v>
      </c>
      <c r="T188" s="3" t="str">
        <f>Tab_Data_Flows[[#This Row],[UoM_Source]]</f>
        <v>Mg</v>
      </c>
      <c r="U188" s="24">
        <f>_xlfn.XLOOKUP(Tab_Data_Flows[[#This Row],[Flow_Name]],Tab_Def_Flows[Flow_Name],Tab_Def_Flows[Flow_E2_Fraction'[%']],"N.A.",0,1)</f>
        <v>0</v>
      </c>
      <c r="V188" s="3">
        <f>IF(D188="Yes",S188*Tab_Data_Flows[[#This Row],[E2_Fraction'[%']]],"N.A.")</f>
        <v>0</v>
      </c>
      <c r="W188" s="3" t="str">
        <f>Tab_Data_Flows[[#This Row],[E1_UoM]]</f>
        <v>Mg</v>
      </c>
      <c r="X188" s="24">
        <f>_xlfn.XLOOKUP(Tab_Data_Flows[[#This Row],[Flow_Name]],Tab_Def_Flows[Flow_Name],Tab_Def_Flows[Flow_E3_Fraction'[%']],"N.A.",0,1)</f>
        <v>0</v>
      </c>
      <c r="Y188" s="3">
        <f>IF(E188="Yes",X188*Tab_Data_Flows[[#This Row],[E1_value]],"N.A.")</f>
        <v>0</v>
      </c>
      <c r="Z188" s="3" t="str">
        <f>Tab_Data_Flows[[#This Row],[E1_UoM]]</f>
        <v>Mg</v>
      </c>
      <c r="AA188" s="24">
        <f>_xlfn.XLOOKUP(Tab_Data_Flows[[#This Row],[Flow_Name]],Tab_Def_Flows[Flow_Name],Tab_Def_Flows[Flow_E4_Fraction'[%']],"N.A.",0,1)</f>
        <v>0</v>
      </c>
      <c r="AB188" s="3">
        <f>IF(H188="Yes",Tab_Data_Flows[[#This Row],[E4_Fraction'[%']]]*Tab_Data_Flows[[#This Row],[E1_value]],"N.A.")</f>
        <v>0</v>
      </c>
      <c r="AC188" s="3" t="str">
        <f>Tab_Data_Flows[[#This Row],[E1_UoM]]</f>
        <v>Mg</v>
      </c>
      <c r="AD188" s="24">
        <f>_xlfn.XLOOKUP(Tab_Data_Flows[[#This Row],[Flow_Name]],Tab_Def_Flows[Flow_Name],Tab_Def_Flows[Flow_E5_Fraction'[%']],"N.A.",0,1)</f>
        <v>0</v>
      </c>
      <c r="AE188" s="3">
        <f>IF(H188="Yes",Tab_Data_Flows[[#This Row],[E5_Fraction'[%']]]*Tab_Data_Flows[[#This Row],[E1_value]],"N.A.")</f>
        <v>0</v>
      </c>
      <c r="AF188" s="3" t="str">
        <f>Tab_Data_Flows[[#This Row],[E1_UoM]]</f>
        <v>Mg</v>
      </c>
      <c r="AG188" s="24">
        <f>_xlfn.XLOOKUP(Tab_Data_Flows[[#This Row],[Flow_Name]],Tab_Def_Flows[Flow_Name],Tab_Def_Flows[Flow_E6_Fraction'[%']],"N.A.",0,1)</f>
        <v>0</v>
      </c>
      <c r="AH188" s="3">
        <f>IF(Tab_Data_Flows[[#This Row],[Use_E6]]="Yes",Tab_Data_Flows[[#This Row],[E6_Fraction'[%']]]*Tab_Data_Flows[[#This Row],[E1_value]],"N.A.")</f>
        <v>0</v>
      </c>
      <c r="AI188" s="3" t="str">
        <f>Tab_Data_Flows[[#This Row],[E1_UoM]]</f>
        <v>Mg</v>
      </c>
    </row>
    <row r="189" spans="1:35" x14ac:dyDescent="0.25">
      <c r="A189" s="5">
        <f t="shared" si="5"/>
        <v>188</v>
      </c>
      <c r="B189" s="3" t="str">
        <f>_xlfn.XLOOKUP(C189,Tab_Def_Flows[Flow_Name],Tab_Def_Flows[Flow_ID],,0,)</f>
        <v>F__</v>
      </c>
      <c r="C189" s="23" t="s">
        <v>5</v>
      </c>
      <c r="D189" s="6" t="str">
        <f>_xlfn.XLOOKUP(C189,Tab_Def_Flows[Flow_Name],Tab_Def_Flows[Use_E1],,0,)</f>
        <v>Yes</v>
      </c>
      <c r="E189" s="6" t="str">
        <f>_xlfn.XLOOKUP(C189,Tab_Def_Flows[Flow_Name],Tab_Def_Flows[Use_E2],,0,)</f>
        <v>Yes</v>
      </c>
      <c r="F189" s="6" t="str">
        <f>_xlfn.XLOOKUP(C189,Tab_Def_Flows[Flow_Name],Tab_Def_Flows[Use_E3],,0,)</f>
        <v>Yes</v>
      </c>
      <c r="G189" s="6" t="str">
        <f>_xlfn.XLOOKUP(C189,Tab_Def_Flows[Flow_Name],Tab_Def_Flows[Use_E4],,0,)</f>
        <v>Yes</v>
      </c>
      <c r="H189" s="6" t="str">
        <f>_xlfn.XLOOKUP(C189,Tab_Def_Flows[Flow_Name],Tab_Def_Flows[Use_E5],,0,)</f>
        <v>Yes</v>
      </c>
      <c r="I189" s="6" t="str">
        <f>_xlfn.XLOOKUP(C189,Tab_Def_Flows[Flow_Name],Tab_Def_Flows[Use_E6],,0,)</f>
        <v>Yes</v>
      </c>
      <c r="J189" s="4"/>
      <c r="K189" s="18"/>
      <c r="L189" s="3" t="str">
        <f>'0_Configuration'!$C$41</f>
        <v>Mg</v>
      </c>
      <c r="M189" s="10"/>
      <c r="N189" s="23" t="s">
        <v>3</v>
      </c>
      <c r="O189" s="4"/>
      <c r="P189" s="4"/>
      <c r="Q189" s="10"/>
      <c r="R189" s="3">
        <f>_xlfn.XLOOKUP(Tab_Data_Flows[[#This Row],[Flow_Name]],Tab_Def_Flows[Flow_Name],Tab_Def_Flows[Flow_E1_Fraction'[%']],"N.A.",0,1)</f>
        <v>0</v>
      </c>
      <c r="S189" s="9">
        <f t="shared" si="4"/>
        <v>0</v>
      </c>
      <c r="T189" s="3" t="str">
        <f>Tab_Data_Flows[[#This Row],[UoM_Source]]</f>
        <v>Mg</v>
      </c>
      <c r="U189" s="24">
        <f>_xlfn.XLOOKUP(Tab_Data_Flows[[#This Row],[Flow_Name]],Tab_Def_Flows[Flow_Name],Tab_Def_Flows[Flow_E2_Fraction'[%']],"N.A.",0,1)</f>
        <v>0</v>
      </c>
      <c r="V189" s="3">
        <f>IF(D189="Yes",S189*Tab_Data_Flows[[#This Row],[E2_Fraction'[%']]],"N.A.")</f>
        <v>0</v>
      </c>
      <c r="W189" s="3" t="str">
        <f>Tab_Data_Flows[[#This Row],[E1_UoM]]</f>
        <v>Mg</v>
      </c>
      <c r="X189" s="24">
        <f>_xlfn.XLOOKUP(Tab_Data_Flows[[#This Row],[Flow_Name]],Tab_Def_Flows[Flow_Name],Tab_Def_Flows[Flow_E3_Fraction'[%']],"N.A.",0,1)</f>
        <v>0</v>
      </c>
      <c r="Y189" s="3">
        <f>IF(E189="Yes",X189*Tab_Data_Flows[[#This Row],[E1_value]],"N.A.")</f>
        <v>0</v>
      </c>
      <c r="Z189" s="3" t="str">
        <f>Tab_Data_Flows[[#This Row],[E1_UoM]]</f>
        <v>Mg</v>
      </c>
      <c r="AA189" s="24">
        <f>_xlfn.XLOOKUP(Tab_Data_Flows[[#This Row],[Flow_Name]],Tab_Def_Flows[Flow_Name],Tab_Def_Flows[Flow_E4_Fraction'[%']],"N.A.",0,1)</f>
        <v>0</v>
      </c>
      <c r="AB189" s="3">
        <f>IF(H189="Yes",Tab_Data_Flows[[#This Row],[E4_Fraction'[%']]]*Tab_Data_Flows[[#This Row],[E1_value]],"N.A.")</f>
        <v>0</v>
      </c>
      <c r="AC189" s="3" t="str">
        <f>Tab_Data_Flows[[#This Row],[E1_UoM]]</f>
        <v>Mg</v>
      </c>
      <c r="AD189" s="24">
        <f>_xlfn.XLOOKUP(Tab_Data_Flows[[#This Row],[Flow_Name]],Tab_Def_Flows[Flow_Name],Tab_Def_Flows[Flow_E5_Fraction'[%']],"N.A.",0,1)</f>
        <v>0</v>
      </c>
      <c r="AE189" s="3">
        <f>IF(H189="Yes",Tab_Data_Flows[[#This Row],[E5_Fraction'[%']]]*Tab_Data_Flows[[#This Row],[E1_value]],"N.A.")</f>
        <v>0</v>
      </c>
      <c r="AF189" s="3" t="str">
        <f>Tab_Data_Flows[[#This Row],[E1_UoM]]</f>
        <v>Mg</v>
      </c>
      <c r="AG189" s="24">
        <f>_xlfn.XLOOKUP(Tab_Data_Flows[[#This Row],[Flow_Name]],Tab_Def_Flows[Flow_Name],Tab_Def_Flows[Flow_E6_Fraction'[%']],"N.A.",0,1)</f>
        <v>0</v>
      </c>
      <c r="AH189" s="3">
        <f>IF(Tab_Data_Flows[[#This Row],[Use_E6]]="Yes",Tab_Data_Flows[[#This Row],[E6_Fraction'[%']]]*Tab_Data_Flows[[#This Row],[E1_value]],"N.A.")</f>
        <v>0</v>
      </c>
      <c r="AI189" s="3" t="str">
        <f>Tab_Data_Flows[[#This Row],[E1_UoM]]</f>
        <v>Mg</v>
      </c>
    </row>
    <row r="190" spans="1:35" x14ac:dyDescent="0.25">
      <c r="A190" s="5">
        <f t="shared" si="5"/>
        <v>189</v>
      </c>
      <c r="B190" s="3" t="str">
        <f>_xlfn.XLOOKUP(C190,Tab_Def_Flows[Flow_Name],Tab_Def_Flows[Flow_ID],,0,)</f>
        <v>F__</v>
      </c>
      <c r="C190" s="23" t="s">
        <v>5</v>
      </c>
      <c r="D190" s="6" t="str">
        <f>_xlfn.XLOOKUP(C190,Tab_Def_Flows[Flow_Name],Tab_Def_Flows[Use_E1],,0,)</f>
        <v>Yes</v>
      </c>
      <c r="E190" s="6" t="str">
        <f>_xlfn.XLOOKUP(C190,Tab_Def_Flows[Flow_Name],Tab_Def_Flows[Use_E2],,0,)</f>
        <v>Yes</v>
      </c>
      <c r="F190" s="6" t="str">
        <f>_xlfn.XLOOKUP(C190,Tab_Def_Flows[Flow_Name],Tab_Def_Flows[Use_E3],,0,)</f>
        <v>Yes</v>
      </c>
      <c r="G190" s="6" t="str">
        <f>_xlfn.XLOOKUP(C190,Tab_Def_Flows[Flow_Name],Tab_Def_Flows[Use_E4],,0,)</f>
        <v>Yes</v>
      </c>
      <c r="H190" s="6" t="str">
        <f>_xlfn.XLOOKUP(C190,Tab_Def_Flows[Flow_Name],Tab_Def_Flows[Use_E5],,0,)</f>
        <v>Yes</v>
      </c>
      <c r="I190" s="6" t="str">
        <f>_xlfn.XLOOKUP(C190,Tab_Def_Flows[Flow_Name],Tab_Def_Flows[Use_E6],,0,)</f>
        <v>Yes</v>
      </c>
      <c r="J190" s="4"/>
      <c r="K190" s="18"/>
      <c r="L190" s="3" t="str">
        <f>'0_Configuration'!$C$41</f>
        <v>Mg</v>
      </c>
      <c r="M190" s="10"/>
      <c r="N190" s="23" t="s">
        <v>3</v>
      </c>
      <c r="O190" s="4"/>
      <c r="P190" s="4"/>
      <c r="Q190" s="10"/>
      <c r="R190" s="3">
        <f>_xlfn.XLOOKUP(Tab_Data_Flows[[#This Row],[Flow_Name]],Tab_Def_Flows[Flow_Name],Tab_Def_Flows[Flow_E1_Fraction'[%']],"N.A.",0,1)</f>
        <v>0</v>
      </c>
      <c r="S190" s="9">
        <f t="shared" si="4"/>
        <v>0</v>
      </c>
      <c r="T190" s="3" t="str">
        <f>Tab_Data_Flows[[#This Row],[UoM_Source]]</f>
        <v>Mg</v>
      </c>
      <c r="U190" s="24">
        <f>_xlfn.XLOOKUP(Tab_Data_Flows[[#This Row],[Flow_Name]],Tab_Def_Flows[Flow_Name],Tab_Def_Flows[Flow_E2_Fraction'[%']],"N.A.",0,1)</f>
        <v>0</v>
      </c>
      <c r="V190" s="3">
        <f>IF(D190="Yes",S190*Tab_Data_Flows[[#This Row],[E2_Fraction'[%']]],"N.A.")</f>
        <v>0</v>
      </c>
      <c r="W190" s="3" t="str">
        <f>Tab_Data_Flows[[#This Row],[E1_UoM]]</f>
        <v>Mg</v>
      </c>
      <c r="X190" s="24">
        <f>_xlfn.XLOOKUP(Tab_Data_Flows[[#This Row],[Flow_Name]],Tab_Def_Flows[Flow_Name],Tab_Def_Flows[Flow_E3_Fraction'[%']],"N.A.",0,1)</f>
        <v>0</v>
      </c>
      <c r="Y190" s="3">
        <f>IF(E190="Yes",X190*Tab_Data_Flows[[#This Row],[E1_value]],"N.A.")</f>
        <v>0</v>
      </c>
      <c r="Z190" s="3" t="str">
        <f>Tab_Data_Flows[[#This Row],[E1_UoM]]</f>
        <v>Mg</v>
      </c>
      <c r="AA190" s="24">
        <f>_xlfn.XLOOKUP(Tab_Data_Flows[[#This Row],[Flow_Name]],Tab_Def_Flows[Flow_Name],Tab_Def_Flows[Flow_E4_Fraction'[%']],"N.A.",0,1)</f>
        <v>0</v>
      </c>
      <c r="AB190" s="3">
        <f>IF(H190="Yes",Tab_Data_Flows[[#This Row],[E4_Fraction'[%']]]*Tab_Data_Flows[[#This Row],[E1_value]],"N.A.")</f>
        <v>0</v>
      </c>
      <c r="AC190" s="3" t="str">
        <f>Tab_Data_Flows[[#This Row],[E1_UoM]]</f>
        <v>Mg</v>
      </c>
      <c r="AD190" s="24">
        <f>_xlfn.XLOOKUP(Tab_Data_Flows[[#This Row],[Flow_Name]],Tab_Def_Flows[Flow_Name],Tab_Def_Flows[Flow_E5_Fraction'[%']],"N.A.",0,1)</f>
        <v>0</v>
      </c>
      <c r="AE190" s="3">
        <f>IF(H190="Yes",Tab_Data_Flows[[#This Row],[E5_Fraction'[%']]]*Tab_Data_Flows[[#This Row],[E1_value]],"N.A.")</f>
        <v>0</v>
      </c>
      <c r="AF190" s="3" t="str">
        <f>Tab_Data_Flows[[#This Row],[E1_UoM]]</f>
        <v>Mg</v>
      </c>
      <c r="AG190" s="24">
        <f>_xlfn.XLOOKUP(Tab_Data_Flows[[#This Row],[Flow_Name]],Tab_Def_Flows[Flow_Name],Tab_Def_Flows[Flow_E6_Fraction'[%']],"N.A.",0,1)</f>
        <v>0</v>
      </c>
      <c r="AH190" s="3">
        <f>IF(Tab_Data_Flows[[#This Row],[Use_E6]]="Yes",Tab_Data_Flows[[#This Row],[E6_Fraction'[%']]]*Tab_Data_Flows[[#This Row],[E1_value]],"N.A.")</f>
        <v>0</v>
      </c>
      <c r="AI190" s="3" t="str">
        <f>Tab_Data_Flows[[#This Row],[E1_UoM]]</f>
        <v>Mg</v>
      </c>
    </row>
    <row r="191" spans="1:35" x14ac:dyDescent="0.25">
      <c r="A191" s="5">
        <f t="shared" si="5"/>
        <v>190</v>
      </c>
      <c r="B191" s="3" t="str">
        <f>_xlfn.XLOOKUP(C191,Tab_Def_Flows[Flow_Name],Tab_Def_Flows[Flow_ID],,0,)</f>
        <v>F__</v>
      </c>
      <c r="C191" s="23" t="s">
        <v>5</v>
      </c>
      <c r="D191" s="6" t="str">
        <f>_xlfn.XLOOKUP(C191,Tab_Def_Flows[Flow_Name],Tab_Def_Flows[Use_E1],,0,)</f>
        <v>Yes</v>
      </c>
      <c r="E191" s="6" t="str">
        <f>_xlfn.XLOOKUP(C191,Tab_Def_Flows[Flow_Name],Tab_Def_Flows[Use_E2],,0,)</f>
        <v>Yes</v>
      </c>
      <c r="F191" s="6" t="str">
        <f>_xlfn.XLOOKUP(C191,Tab_Def_Flows[Flow_Name],Tab_Def_Flows[Use_E3],,0,)</f>
        <v>Yes</v>
      </c>
      <c r="G191" s="6" t="str">
        <f>_xlfn.XLOOKUP(C191,Tab_Def_Flows[Flow_Name],Tab_Def_Flows[Use_E4],,0,)</f>
        <v>Yes</v>
      </c>
      <c r="H191" s="6" t="str">
        <f>_xlfn.XLOOKUP(C191,Tab_Def_Flows[Flow_Name],Tab_Def_Flows[Use_E5],,0,)</f>
        <v>Yes</v>
      </c>
      <c r="I191" s="6" t="str">
        <f>_xlfn.XLOOKUP(C191,Tab_Def_Flows[Flow_Name],Tab_Def_Flows[Use_E6],,0,)</f>
        <v>Yes</v>
      </c>
      <c r="J191" s="4"/>
      <c r="K191" s="18"/>
      <c r="L191" s="3" t="str">
        <f>'0_Configuration'!$C$41</f>
        <v>Mg</v>
      </c>
      <c r="M191" s="10"/>
      <c r="N191" s="23" t="s">
        <v>3</v>
      </c>
      <c r="O191" s="4"/>
      <c r="P191" s="4"/>
      <c r="Q191" s="10"/>
      <c r="R191" s="3">
        <f>_xlfn.XLOOKUP(Tab_Data_Flows[[#This Row],[Flow_Name]],Tab_Def_Flows[Flow_Name],Tab_Def_Flows[Flow_E1_Fraction'[%']],"N.A.",0,1)</f>
        <v>0</v>
      </c>
      <c r="S191" s="9">
        <f t="shared" si="4"/>
        <v>0</v>
      </c>
      <c r="T191" s="3" t="str">
        <f>Tab_Data_Flows[[#This Row],[UoM_Source]]</f>
        <v>Mg</v>
      </c>
      <c r="U191" s="24">
        <f>_xlfn.XLOOKUP(Tab_Data_Flows[[#This Row],[Flow_Name]],Tab_Def_Flows[Flow_Name],Tab_Def_Flows[Flow_E2_Fraction'[%']],"N.A.",0,1)</f>
        <v>0</v>
      </c>
      <c r="V191" s="3">
        <f>IF(D191="Yes",S191*Tab_Data_Flows[[#This Row],[E2_Fraction'[%']]],"N.A.")</f>
        <v>0</v>
      </c>
      <c r="W191" s="3" t="str">
        <f>Tab_Data_Flows[[#This Row],[E1_UoM]]</f>
        <v>Mg</v>
      </c>
      <c r="X191" s="24">
        <f>_xlfn.XLOOKUP(Tab_Data_Flows[[#This Row],[Flow_Name]],Tab_Def_Flows[Flow_Name],Tab_Def_Flows[Flow_E3_Fraction'[%']],"N.A.",0,1)</f>
        <v>0</v>
      </c>
      <c r="Y191" s="3">
        <f>IF(E191="Yes",X191*Tab_Data_Flows[[#This Row],[E1_value]],"N.A.")</f>
        <v>0</v>
      </c>
      <c r="Z191" s="3" t="str">
        <f>Tab_Data_Flows[[#This Row],[E1_UoM]]</f>
        <v>Mg</v>
      </c>
      <c r="AA191" s="24">
        <f>_xlfn.XLOOKUP(Tab_Data_Flows[[#This Row],[Flow_Name]],Tab_Def_Flows[Flow_Name],Tab_Def_Flows[Flow_E4_Fraction'[%']],"N.A.",0,1)</f>
        <v>0</v>
      </c>
      <c r="AB191" s="3">
        <f>IF(H191="Yes",Tab_Data_Flows[[#This Row],[E4_Fraction'[%']]]*Tab_Data_Flows[[#This Row],[E1_value]],"N.A.")</f>
        <v>0</v>
      </c>
      <c r="AC191" s="3" t="str">
        <f>Tab_Data_Flows[[#This Row],[E1_UoM]]</f>
        <v>Mg</v>
      </c>
      <c r="AD191" s="24">
        <f>_xlfn.XLOOKUP(Tab_Data_Flows[[#This Row],[Flow_Name]],Tab_Def_Flows[Flow_Name],Tab_Def_Flows[Flow_E5_Fraction'[%']],"N.A.",0,1)</f>
        <v>0</v>
      </c>
      <c r="AE191" s="3">
        <f>IF(H191="Yes",Tab_Data_Flows[[#This Row],[E5_Fraction'[%']]]*Tab_Data_Flows[[#This Row],[E1_value]],"N.A.")</f>
        <v>0</v>
      </c>
      <c r="AF191" s="3" t="str">
        <f>Tab_Data_Flows[[#This Row],[E1_UoM]]</f>
        <v>Mg</v>
      </c>
      <c r="AG191" s="24">
        <f>_xlfn.XLOOKUP(Tab_Data_Flows[[#This Row],[Flow_Name]],Tab_Def_Flows[Flow_Name],Tab_Def_Flows[Flow_E6_Fraction'[%']],"N.A.",0,1)</f>
        <v>0</v>
      </c>
      <c r="AH191" s="3">
        <f>IF(Tab_Data_Flows[[#This Row],[Use_E6]]="Yes",Tab_Data_Flows[[#This Row],[E6_Fraction'[%']]]*Tab_Data_Flows[[#This Row],[E1_value]],"N.A.")</f>
        <v>0</v>
      </c>
      <c r="AI191" s="3" t="str">
        <f>Tab_Data_Flows[[#This Row],[E1_UoM]]</f>
        <v>Mg</v>
      </c>
    </row>
    <row r="192" spans="1:35" x14ac:dyDescent="0.25">
      <c r="A192" s="5">
        <f t="shared" si="5"/>
        <v>191</v>
      </c>
      <c r="B192" s="3" t="str">
        <f>_xlfn.XLOOKUP(C192,Tab_Def_Flows[Flow_Name],Tab_Def_Flows[Flow_ID],,0,)</f>
        <v>F__</v>
      </c>
      <c r="C192" s="23" t="s">
        <v>5</v>
      </c>
      <c r="D192" s="6" t="str">
        <f>_xlfn.XLOOKUP(C192,Tab_Def_Flows[Flow_Name],Tab_Def_Flows[Use_E1],,0,)</f>
        <v>Yes</v>
      </c>
      <c r="E192" s="6" t="str">
        <f>_xlfn.XLOOKUP(C192,Tab_Def_Flows[Flow_Name],Tab_Def_Flows[Use_E2],,0,)</f>
        <v>Yes</v>
      </c>
      <c r="F192" s="6" t="str">
        <f>_xlfn.XLOOKUP(C192,Tab_Def_Flows[Flow_Name],Tab_Def_Flows[Use_E3],,0,)</f>
        <v>Yes</v>
      </c>
      <c r="G192" s="6" t="str">
        <f>_xlfn.XLOOKUP(C192,Tab_Def_Flows[Flow_Name],Tab_Def_Flows[Use_E4],,0,)</f>
        <v>Yes</v>
      </c>
      <c r="H192" s="6" t="str">
        <f>_xlfn.XLOOKUP(C192,Tab_Def_Flows[Flow_Name],Tab_Def_Flows[Use_E5],,0,)</f>
        <v>Yes</v>
      </c>
      <c r="I192" s="6" t="str">
        <f>_xlfn.XLOOKUP(C192,Tab_Def_Flows[Flow_Name],Tab_Def_Flows[Use_E6],,0,)</f>
        <v>Yes</v>
      </c>
      <c r="J192" s="4"/>
      <c r="K192" s="18"/>
      <c r="L192" s="3" t="str">
        <f>'0_Configuration'!$C$41</f>
        <v>Mg</v>
      </c>
      <c r="M192" s="10"/>
      <c r="N192" s="23" t="s">
        <v>3</v>
      </c>
      <c r="O192" s="4"/>
      <c r="P192" s="4"/>
      <c r="Q192" s="10"/>
      <c r="R192" s="3">
        <f>_xlfn.XLOOKUP(Tab_Data_Flows[[#This Row],[Flow_Name]],Tab_Def_Flows[Flow_Name],Tab_Def_Flows[Flow_E1_Fraction'[%']],"N.A.",0,1)</f>
        <v>0</v>
      </c>
      <c r="S192" s="9">
        <f t="shared" si="4"/>
        <v>0</v>
      </c>
      <c r="T192" s="3" t="str">
        <f>Tab_Data_Flows[[#This Row],[UoM_Source]]</f>
        <v>Mg</v>
      </c>
      <c r="U192" s="24">
        <f>_xlfn.XLOOKUP(Tab_Data_Flows[[#This Row],[Flow_Name]],Tab_Def_Flows[Flow_Name],Tab_Def_Flows[Flow_E2_Fraction'[%']],"N.A.",0,1)</f>
        <v>0</v>
      </c>
      <c r="V192" s="3">
        <f>IF(D192="Yes",S192*Tab_Data_Flows[[#This Row],[E2_Fraction'[%']]],"N.A.")</f>
        <v>0</v>
      </c>
      <c r="W192" s="3" t="str">
        <f>Tab_Data_Flows[[#This Row],[E1_UoM]]</f>
        <v>Mg</v>
      </c>
      <c r="X192" s="24">
        <f>_xlfn.XLOOKUP(Tab_Data_Flows[[#This Row],[Flow_Name]],Tab_Def_Flows[Flow_Name],Tab_Def_Flows[Flow_E3_Fraction'[%']],"N.A.",0,1)</f>
        <v>0</v>
      </c>
      <c r="Y192" s="3">
        <f>IF(E192="Yes",X192*Tab_Data_Flows[[#This Row],[E1_value]],"N.A.")</f>
        <v>0</v>
      </c>
      <c r="Z192" s="3" t="str">
        <f>Tab_Data_Flows[[#This Row],[E1_UoM]]</f>
        <v>Mg</v>
      </c>
      <c r="AA192" s="24">
        <f>_xlfn.XLOOKUP(Tab_Data_Flows[[#This Row],[Flow_Name]],Tab_Def_Flows[Flow_Name],Tab_Def_Flows[Flow_E4_Fraction'[%']],"N.A.",0,1)</f>
        <v>0</v>
      </c>
      <c r="AB192" s="3">
        <f>IF(H192="Yes",Tab_Data_Flows[[#This Row],[E4_Fraction'[%']]]*Tab_Data_Flows[[#This Row],[E1_value]],"N.A.")</f>
        <v>0</v>
      </c>
      <c r="AC192" s="3" t="str">
        <f>Tab_Data_Flows[[#This Row],[E1_UoM]]</f>
        <v>Mg</v>
      </c>
      <c r="AD192" s="24">
        <f>_xlfn.XLOOKUP(Tab_Data_Flows[[#This Row],[Flow_Name]],Tab_Def_Flows[Flow_Name],Tab_Def_Flows[Flow_E5_Fraction'[%']],"N.A.",0,1)</f>
        <v>0</v>
      </c>
      <c r="AE192" s="3">
        <f>IF(H192="Yes",Tab_Data_Flows[[#This Row],[E5_Fraction'[%']]]*Tab_Data_Flows[[#This Row],[E1_value]],"N.A.")</f>
        <v>0</v>
      </c>
      <c r="AF192" s="3" t="str">
        <f>Tab_Data_Flows[[#This Row],[E1_UoM]]</f>
        <v>Mg</v>
      </c>
      <c r="AG192" s="24">
        <f>_xlfn.XLOOKUP(Tab_Data_Flows[[#This Row],[Flow_Name]],Tab_Def_Flows[Flow_Name],Tab_Def_Flows[Flow_E6_Fraction'[%']],"N.A.",0,1)</f>
        <v>0</v>
      </c>
      <c r="AH192" s="3">
        <f>IF(Tab_Data_Flows[[#This Row],[Use_E6]]="Yes",Tab_Data_Flows[[#This Row],[E6_Fraction'[%']]]*Tab_Data_Flows[[#This Row],[E1_value]],"N.A.")</f>
        <v>0</v>
      </c>
      <c r="AI192" s="3" t="str">
        <f>Tab_Data_Flows[[#This Row],[E1_UoM]]</f>
        <v>Mg</v>
      </c>
    </row>
    <row r="193" spans="1:35" x14ac:dyDescent="0.25">
      <c r="A193" s="5">
        <f t="shared" si="5"/>
        <v>192</v>
      </c>
      <c r="B193" s="3" t="str">
        <f>_xlfn.XLOOKUP(C193,Tab_Def_Flows[Flow_Name],Tab_Def_Flows[Flow_ID],,0,)</f>
        <v>F__</v>
      </c>
      <c r="C193" s="23" t="s">
        <v>5</v>
      </c>
      <c r="D193" s="6" t="str">
        <f>_xlfn.XLOOKUP(C193,Tab_Def_Flows[Flow_Name],Tab_Def_Flows[Use_E1],,0,)</f>
        <v>Yes</v>
      </c>
      <c r="E193" s="6" t="str">
        <f>_xlfn.XLOOKUP(C193,Tab_Def_Flows[Flow_Name],Tab_Def_Flows[Use_E2],,0,)</f>
        <v>Yes</v>
      </c>
      <c r="F193" s="6" t="str">
        <f>_xlfn.XLOOKUP(C193,Tab_Def_Flows[Flow_Name],Tab_Def_Flows[Use_E3],,0,)</f>
        <v>Yes</v>
      </c>
      <c r="G193" s="6" t="str">
        <f>_xlfn.XLOOKUP(C193,Tab_Def_Flows[Flow_Name],Tab_Def_Flows[Use_E4],,0,)</f>
        <v>Yes</v>
      </c>
      <c r="H193" s="6" t="str">
        <f>_xlfn.XLOOKUP(C193,Tab_Def_Flows[Flow_Name],Tab_Def_Flows[Use_E5],,0,)</f>
        <v>Yes</v>
      </c>
      <c r="I193" s="6" t="str">
        <f>_xlfn.XLOOKUP(C193,Tab_Def_Flows[Flow_Name],Tab_Def_Flows[Use_E6],,0,)</f>
        <v>Yes</v>
      </c>
      <c r="J193" s="4"/>
      <c r="K193" s="18"/>
      <c r="L193" s="3" t="str">
        <f>'0_Configuration'!$C$41</f>
        <v>Mg</v>
      </c>
      <c r="M193" s="10"/>
      <c r="N193" s="23" t="s">
        <v>3</v>
      </c>
      <c r="O193" s="4"/>
      <c r="P193" s="4"/>
      <c r="Q193" s="10"/>
      <c r="R193" s="3">
        <f>_xlfn.XLOOKUP(Tab_Data_Flows[[#This Row],[Flow_Name]],Tab_Def_Flows[Flow_Name],Tab_Def_Flows[Flow_E1_Fraction'[%']],"N.A.",0,1)</f>
        <v>0</v>
      </c>
      <c r="S193" s="9">
        <f t="shared" si="4"/>
        <v>0</v>
      </c>
      <c r="T193" s="3" t="str">
        <f>Tab_Data_Flows[[#This Row],[UoM_Source]]</f>
        <v>Mg</v>
      </c>
      <c r="U193" s="24">
        <f>_xlfn.XLOOKUP(Tab_Data_Flows[[#This Row],[Flow_Name]],Tab_Def_Flows[Flow_Name],Tab_Def_Flows[Flow_E2_Fraction'[%']],"N.A.",0,1)</f>
        <v>0</v>
      </c>
      <c r="V193" s="3">
        <f>IF(D193="Yes",S193*Tab_Data_Flows[[#This Row],[E2_Fraction'[%']]],"N.A.")</f>
        <v>0</v>
      </c>
      <c r="W193" s="3" t="str">
        <f>Tab_Data_Flows[[#This Row],[E1_UoM]]</f>
        <v>Mg</v>
      </c>
      <c r="X193" s="24">
        <f>_xlfn.XLOOKUP(Tab_Data_Flows[[#This Row],[Flow_Name]],Tab_Def_Flows[Flow_Name],Tab_Def_Flows[Flow_E3_Fraction'[%']],"N.A.",0,1)</f>
        <v>0</v>
      </c>
      <c r="Y193" s="3">
        <f>IF(E193="Yes",X193*Tab_Data_Flows[[#This Row],[E1_value]],"N.A.")</f>
        <v>0</v>
      </c>
      <c r="Z193" s="3" t="str">
        <f>Tab_Data_Flows[[#This Row],[E1_UoM]]</f>
        <v>Mg</v>
      </c>
      <c r="AA193" s="24">
        <f>_xlfn.XLOOKUP(Tab_Data_Flows[[#This Row],[Flow_Name]],Tab_Def_Flows[Flow_Name],Tab_Def_Flows[Flow_E4_Fraction'[%']],"N.A.",0,1)</f>
        <v>0</v>
      </c>
      <c r="AB193" s="3">
        <f>IF(H193="Yes",Tab_Data_Flows[[#This Row],[E4_Fraction'[%']]]*Tab_Data_Flows[[#This Row],[E1_value]],"N.A.")</f>
        <v>0</v>
      </c>
      <c r="AC193" s="3" t="str">
        <f>Tab_Data_Flows[[#This Row],[E1_UoM]]</f>
        <v>Mg</v>
      </c>
      <c r="AD193" s="24">
        <f>_xlfn.XLOOKUP(Tab_Data_Flows[[#This Row],[Flow_Name]],Tab_Def_Flows[Flow_Name],Tab_Def_Flows[Flow_E5_Fraction'[%']],"N.A.",0,1)</f>
        <v>0</v>
      </c>
      <c r="AE193" s="3">
        <f>IF(H193="Yes",Tab_Data_Flows[[#This Row],[E5_Fraction'[%']]]*Tab_Data_Flows[[#This Row],[E1_value]],"N.A.")</f>
        <v>0</v>
      </c>
      <c r="AF193" s="3" t="str">
        <f>Tab_Data_Flows[[#This Row],[E1_UoM]]</f>
        <v>Mg</v>
      </c>
      <c r="AG193" s="24">
        <f>_xlfn.XLOOKUP(Tab_Data_Flows[[#This Row],[Flow_Name]],Tab_Def_Flows[Flow_Name],Tab_Def_Flows[Flow_E6_Fraction'[%']],"N.A.",0,1)</f>
        <v>0</v>
      </c>
      <c r="AH193" s="3">
        <f>IF(Tab_Data_Flows[[#This Row],[Use_E6]]="Yes",Tab_Data_Flows[[#This Row],[E6_Fraction'[%']]]*Tab_Data_Flows[[#This Row],[E1_value]],"N.A.")</f>
        <v>0</v>
      </c>
      <c r="AI193" s="3" t="str">
        <f>Tab_Data_Flows[[#This Row],[E1_UoM]]</f>
        <v>Mg</v>
      </c>
    </row>
    <row r="194" spans="1:35" x14ac:dyDescent="0.25">
      <c r="A194" s="5">
        <f t="shared" si="5"/>
        <v>193</v>
      </c>
      <c r="B194" s="3" t="str">
        <f>_xlfn.XLOOKUP(C194,Tab_Def_Flows[Flow_Name],Tab_Def_Flows[Flow_ID],,0,)</f>
        <v>F__</v>
      </c>
      <c r="C194" s="23" t="s">
        <v>5</v>
      </c>
      <c r="D194" s="6" t="str">
        <f>_xlfn.XLOOKUP(C194,Tab_Def_Flows[Flow_Name],Tab_Def_Flows[Use_E1],,0,)</f>
        <v>Yes</v>
      </c>
      <c r="E194" s="6" t="str">
        <f>_xlfn.XLOOKUP(C194,Tab_Def_Flows[Flow_Name],Tab_Def_Flows[Use_E2],,0,)</f>
        <v>Yes</v>
      </c>
      <c r="F194" s="6" t="str">
        <f>_xlfn.XLOOKUP(C194,Tab_Def_Flows[Flow_Name],Tab_Def_Flows[Use_E3],,0,)</f>
        <v>Yes</v>
      </c>
      <c r="G194" s="6" t="str">
        <f>_xlfn.XLOOKUP(C194,Tab_Def_Flows[Flow_Name],Tab_Def_Flows[Use_E4],,0,)</f>
        <v>Yes</v>
      </c>
      <c r="H194" s="6" t="str">
        <f>_xlfn.XLOOKUP(C194,Tab_Def_Flows[Flow_Name],Tab_Def_Flows[Use_E5],,0,)</f>
        <v>Yes</v>
      </c>
      <c r="I194" s="6" t="str">
        <f>_xlfn.XLOOKUP(C194,Tab_Def_Flows[Flow_Name],Tab_Def_Flows[Use_E6],,0,)</f>
        <v>Yes</v>
      </c>
      <c r="J194" s="4"/>
      <c r="K194" s="18"/>
      <c r="L194" s="3" t="str">
        <f>'0_Configuration'!$C$41</f>
        <v>Mg</v>
      </c>
      <c r="M194" s="10"/>
      <c r="N194" s="23" t="s">
        <v>3</v>
      </c>
      <c r="O194" s="4"/>
      <c r="P194" s="4"/>
      <c r="Q194" s="10"/>
      <c r="R194" s="3">
        <f>_xlfn.XLOOKUP(Tab_Data_Flows[[#This Row],[Flow_Name]],Tab_Def_Flows[Flow_Name],Tab_Def_Flows[Flow_E1_Fraction'[%']],"N.A.",0,1)</f>
        <v>0</v>
      </c>
      <c r="S194" s="9">
        <f t="shared" ref="S194:S257" si="6">IF(N194="no",K194,K194*O194)</f>
        <v>0</v>
      </c>
      <c r="T194" s="3" t="str">
        <f>Tab_Data_Flows[[#This Row],[UoM_Source]]</f>
        <v>Mg</v>
      </c>
      <c r="U194" s="24">
        <f>_xlfn.XLOOKUP(Tab_Data_Flows[[#This Row],[Flow_Name]],Tab_Def_Flows[Flow_Name],Tab_Def_Flows[Flow_E2_Fraction'[%']],"N.A.",0,1)</f>
        <v>0</v>
      </c>
      <c r="V194" s="3">
        <f>IF(D194="Yes",S194*Tab_Data_Flows[[#This Row],[E2_Fraction'[%']]],"N.A.")</f>
        <v>0</v>
      </c>
      <c r="W194" s="3" t="str">
        <f>Tab_Data_Flows[[#This Row],[E1_UoM]]</f>
        <v>Mg</v>
      </c>
      <c r="X194" s="24">
        <f>_xlfn.XLOOKUP(Tab_Data_Flows[[#This Row],[Flow_Name]],Tab_Def_Flows[Flow_Name],Tab_Def_Flows[Flow_E3_Fraction'[%']],"N.A.",0,1)</f>
        <v>0</v>
      </c>
      <c r="Y194" s="3">
        <f>IF(E194="Yes",X194*Tab_Data_Flows[[#This Row],[E1_value]],"N.A.")</f>
        <v>0</v>
      </c>
      <c r="Z194" s="3" t="str">
        <f>Tab_Data_Flows[[#This Row],[E1_UoM]]</f>
        <v>Mg</v>
      </c>
      <c r="AA194" s="24">
        <f>_xlfn.XLOOKUP(Tab_Data_Flows[[#This Row],[Flow_Name]],Tab_Def_Flows[Flow_Name],Tab_Def_Flows[Flow_E4_Fraction'[%']],"N.A.",0,1)</f>
        <v>0</v>
      </c>
      <c r="AB194" s="3">
        <f>IF(H194="Yes",Tab_Data_Flows[[#This Row],[E4_Fraction'[%']]]*Tab_Data_Flows[[#This Row],[E1_value]],"N.A.")</f>
        <v>0</v>
      </c>
      <c r="AC194" s="3" t="str">
        <f>Tab_Data_Flows[[#This Row],[E1_UoM]]</f>
        <v>Mg</v>
      </c>
      <c r="AD194" s="24">
        <f>_xlfn.XLOOKUP(Tab_Data_Flows[[#This Row],[Flow_Name]],Tab_Def_Flows[Flow_Name],Tab_Def_Flows[Flow_E5_Fraction'[%']],"N.A.",0,1)</f>
        <v>0</v>
      </c>
      <c r="AE194" s="3">
        <f>IF(H194="Yes",Tab_Data_Flows[[#This Row],[E5_Fraction'[%']]]*Tab_Data_Flows[[#This Row],[E1_value]],"N.A.")</f>
        <v>0</v>
      </c>
      <c r="AF194" s="3" t="str">
        <f>Tab_Data_Flows[[#This Row],[E1_UoM]]</f>
        <v>Mg</v>
      </c>
      <c r="AG194" s="24">
        <f>_xlfn.XLOOKUP(Tab_Data_Flows[[#This Row],[Flow_Name]],Tab_Def_Flows[Flow_Name],Tab_Def_Flows[Flow_E6_Fraction'[%']],"N.A.",0,1)</f>
        <v>0</v>
      </c>
      <c r="AH194" s="3">
        <f>IF(Tab_Data_Flows[[#This Row],[Use_E6]]="Yes",Tab_Data_Flows[[#This Row],[E6_Fraction'[%']]]*Tab_Data_Flows[[#This Row],[E1_value]],"N.A.")</f>
        <v>0</v>
      </c>
      <c r="AI194" s="3" t="str">
        <f>Tab_Data_Flows[[#This Row],[E1_UoM]]</f>
        <v>Mg</v>
      </c>
    </row>
    <row r="195" spans="1:35" x14ac:dyDescent="0.25">
      <c r="A195" s="5">
        <f t="shared" ref="A195:A258" si="7">ROW()-1</f>
        <v>194</v>
      </c>
      <c r="B195" s="3" t="str">
        <f>_xlfn.XLOOKUP(C195,Tab_Def_Flows[Flow_Name],Tab_Def_Flows[Flow_ID],,0,)</f>
        <v>F__</v>
      </c>
      <c r="C195" s="23" t="s">
        <v>5</v>
      </c>
      <c r="D195" s="6" t="str">
        <f>_xlfn.XLOOKUP(C195,Tab_Def_Flows[Flow_Name],Tab_Def_Flows[Use_E1],,0,)</f>
        <v>Yes</v>
      </c>
      <c r="E195" s="6" t="str">
        <f>_xlfn.XLOOKUP(C195,Tab_Def_Flows[Flow_Name],Tab_Def_Flows[Use_E2],,0,)</f>
        <v>Yes</v>
      </c>
      <c r="F195" s="6" t="str">
        <f>_xlfn.XLOOKUP(C195,Tab_Def_Flows[Flow_Name],Tab_Def_Flows[Use_E3],,0,)</f>
        <v>Yes</v>
      </c>
      <c r="G195" s="6" t="str">
        <f>_xlfn.XLOOKUP(C195,Tab_Def_Flows[Flow_Name],Tab_Def_Flows[Use_E4],,0,)</f>
        <v>Yes</v>
      </c>
      <c r="H195" s="6" t="str">
        <f>_xlfn.XLOOKUP(C195,Tab_Def_Flows[Flow_Name],Tab_Def_Flows[Use_E5],,0,)</f>
        <v>Yes</v>
      </c>
      <c r="I195" s="6" t="str">
        <f>_xlfn.XLOOKUP(C195,Tab_Def_Flows[Flow_Name],Tab_Def_Flows[Use_E6],,0,)</f>
        <v>Yes</v>
      </c>
      <c r="J195" s="4"/>
      <c r="K195" s="18"/>
      <c r="L195" s="3" t="str">
        <f>'0_Configuration'!$C$41</f>
        <v>Mg</v>
      </c>
      <c r="M195" s="10"/>
      <c r="N195" s="23" t="s">
        <v>3</v>
      </c>
      <c r="O195" s="4"/>
      <c r="P195" s="4"/>
      <c r="Q195" s="10"/>
      <c r="R195" s="3">
        <f>_xlfn.XLOOKUP(Tab_Data_Flows[[#This Row],[Flow_Name]],Tab_Def_Flows[Flow_Name],Tab_Def_Flows[Flow_E1_Fraction'[%']],"N.A.",0,1)</f>
        <v>0</v>
      </c>
      <c r="S195" s="9">
        <f t="shared" si="6"/>
        <v>0</v>
      </c>
      <c r="T195" s="3" t="str">
        <f>Tab_Data_Flows[[#This Row],[UoM_Source]]</f>
        <v>Mg</v>
      </c>
      <c r="U195" s="24">
        <f>_xlfn.XLOOKUP(Tab_Data_Flows[[#This Row],[Flow_Name]],Tab_Def_Flows[Flow_Name],Tab_Def_Flows[Flow_E2_Fraction'[%']],"N.A.",0,1)</f>
        <v>0</v>
      </c>
      <c r="V195" s="3">
        <f>IF(D195="Yes",S195*Tab_Data_Flows[[#This Row],[E2_Fraction'[%']]],"N.A.")</f>
        <v>0</v>
      </c>
      <c r="W195" s="3" t="str">
        <f>Tab_Data_Flows[[#This Row],[E1_UoM]]</f>
        <v>Mg</v>
      </c>
      <c r="X195" s="24">
        <f>_xlfn.XLOOKUP(Tab_Data_Flows[[#This Row],[Flow_Name]],Tab_Def_Flows[Flow_Name],Tab_Def_Flows[Flow_E3_Fraction'[%']],"N.A.",0,1)</f>
        <v>0</v>
      </c>
      <c r="Y195" s="3">
        <f>IF(E195="Yes",X195*Tab_Data_Flows[[#This Row],[E1_value]],"N.A.")</f>
        <v>0</v>
      </c>
      <c r="Z195" s="3" t="str">
        <f>Tab_Data_Flows[[#This Row],[E1_UoM]]</f>
        <v>Mg</v>
      </c>
      <c r="AA195" s="24">
        <f>_xlfn.XLOOKUP(Tab_Data_Flows[[#This Row],[Flow_Name]],Tab_Def_Flows[Flow_Name],Tab_Def_Flows[Flow_E4_Fraction'[%']],"N.A.",0,1)</f>
        <v>0</v>
      </c>
      <c r="AB195" s="3">
        <f>IF(H195="Yes",Tab_Data_Flows[[#This Row],[E4_Fraction'[%']]]*Tab_Data_Flows[[#This Row],[E1_value]],"N.A.")</f>
        <v>0</v>
      </c>
      <c r="AC195" s="3" t="str">
        <f>Tab_Data_Flows[[#This Row],[E1_UoM]]</f>
        <v>Mg</v>
      </c>
      <c r="AD195" s="24">
        <f>_xlfn.XLOOKUP(Tab_Data_Flows[[#This Row],[Flow_Name]],Tab_Def_Flows[Flow_Name],Tab_Def_Flows[Flow_E5_Fraction'[%']],"N.A.",0,1)</f>
        <v>0</v>
      </c>
      <c r="AE195" s="3">
        <f>IF(H195="Yes",Tab_Data_Flows[[#This Row],[E5_Fraction'[%']]]*Tab_Data_Flows[[#This Row],[E1_value]],"N.A.")</f>
        <v>0</v>
      </c>
      <c r="AF195" s="3" t="str">
        <f>Tab_Data_Flows[[#This Row],[E1_UoM]]</f>
        <v>Mg</v>
      </c>
      <c r="AG195" s="24">
        <f>_xlfn.XLOOKUP(Tab_Data_Flows[[#This Row],[Flow_Name]],Tab_Def_Flows[Flow_Name],Tab_Def_Flows[Flow_E6_Fraction'[%']],"N.A.",0,1)</f>
        <v>0</v>
      </c>
      <c r="AH195" s="3">
        <f>IF(Tab_Data_Flows[[#This Row],[Use_E6]]="Yes",Tab_Data_Flows[[#This Row],[E6_Fraction'[%']]]*Tab_Data_Flows[[#This Row],[E1_value]],"N.A.")</f>
        <v>0</v>
      </c>
      <c r="AI195" s="3" t="str">
        <f>Tab_Data_Flows[[#This Row],[E1_UoM]]</f>
        <v>Mg</v>
      </c>
    </row>
    <row r="196" spans="1:35" x14ac:dyDescent="0.25">
      <c r="A196" s="5">
        <f t="shared" si="7"/>
        <v>195</v>
      </c>
      <c r="B196" s="3" t="str">
        <f>_xlfn.XLOOKUP(C196,Tab_Def_Flows[Flow_Name],Tab_Def_Flows[Flow_ID],,0,)</f>
        <v>F__</v>
      </c>
      <c r="C196" s="23" t="s">
        <v>5</v>
      </c>
      <c r="D196" s="6" t="str">
        <f>_xlfn.XLOOKUP(C196,Tab_Def_Flows[Flow_Name],Tab_Def_Flows[Use_E1],,0,)</f>
        <v>Yes</v>
      </c>
      <c r="E196" s="6" t="str">
        <f>_xlfn.XLOOKUP(C196,Tab_Def_Flows[Flow_Name],Tab_Def_Flows[Use_E2],,0,)</f>
        <v>Yes</v>
      </c>
      <c r="F196" s="6" t="str">
        <f>_xlfn.XLOOKUP(C196,Tab_Def_Flows[Flow_Name],Tab_Def_Flows[Use_E3],,0,)</f>
        <v>Yes</v>
      </c>
      <c r="G196" s="6" t="str">
        <f>_xlfn.XLOOKUP(C196,Tab_Def_Flows[Flow_Name],Tab_Def_Flows[Use_E4],,0,)</f>
        <v>Yes</v>
      </c>
      <c r="H196" s="6" t="str">
        <f>_xlfn.XLOOKUP(C196,Tab_Def_Flows[Flow_Name],Tab_Def_Flows[Use_E5],,0,)</f>
        <v>Yes</v>
      </c>
      <c r="I196" s="6" t="str">
        <f>_xlfn.XLOOKUP(C196,Tab_Def_Flows[Flow_Name],Tab_Def_Flows[Use_E6],,0,)</f>
        <v>Yes</v>
      </c>
      <c r="J196" s="4"/>
      <c r="K196" s="18"/>
      <c r="L196" s="3" t="str">
        <f>'0_Configuration'!$C$41</f>
        <v>Mg</v>
      </c>
      <c r="M196" s="10"/>
      <c r="N196" s="23" t="s">
        <v>3</v>
      </c>
      <c r="O196" s="4"/>
      <c r="P196" s="4"/>
      <c r="Q196" s="10"/>
      <c r="R196" s="3">
        <f>_xlfn.XLOOKUP(Tab_Data_Flows[[#This Row],[Flow_Name]],Tab_Def_Flows[Flow_Name],Tab_Def_Flows[Flow_E1_Fraction'[%']],"N.A.",0,1)</f>
        <v>0</v>
      </c>
      <c r="S196" s="9">
        <f t="shared" si="6"/>
        <v>0</v>
      </c>
      <c r="T196" s="3" t="str">
        <f>Tab_Data_Flows[[#This Row],[UoM_Source]]</f>
        <v>Mg</v>
      </c>
      <c r="U196" s="24">
        <f>_xlfn.XLOOKUP(Tab_Data_Flows[[#This Row],[Flow_Name]],Tab_Def_Flows[Flow_Name],Tab_Def_Flows[Flow_E2_Fraction'[%']],"N.A.",0,1)</f>
        <v>0</v>
      </c>
      <c r="V196" s="3">
        <f>IF(D196="Yes",S196*Tab_Data_Flows[[#This Row],[E2_Fraction'[%']]],"N.A.")</f>
        <v>0</v>
      </c>
      <c r="W196" s="3" t="str">
        <f>Tab_Data_Flows[[#This Row],[E1_UoM]]</f>
        <v>Mg</v>
      </c>
      <c r="X196" s="24">
        <f>_xlfn.XLOOKUP(Tab_Data_Flows[[#This Row],[Flow_Name]],Tab_Def_Flows[Flow_Name],Tab_Def_Flows[Flow_E3_Fraction'[%']],"N.A.",0,1)</f>
        <v>0</v>
      </c>
      <c r="Y196" s="3">
        <f>IF(E196="Yes",X196*Tab_Data_Flows[[#This Row],[E1_value]],"N.A.")</f>
        <v>0</v>
      </c>
      <c r="Z196" s="3" t="str">
        <f>Tab_Data_Flows[[#This Row],[E1_UoM]]</f>
        <v>Mg</v>
      </c>
      <c r="AA196" s="24">
        <f>_xlfn.XLOOKUP(Tab_Data_Flows[[#This Row],[Flow_Name]],Tab_Def_Flows[Flow_Name],Tab_Def_Flows[Flow_E4_Fraction'[%']],"N.A.",0,1)</f>
        <v>0</v>
      </c>
      <c r="AB196" s="3">
        <f>IF(H196="Yes",Tab_Data_Flows[[#This Row],[E4_Fraction'[%']]]*Tab_Data_Flows[[#This Row],[E1_value]],"N.A.")</f>
        <v>0</v>
      </c>
      <c r="AC196" s="3" t="str">
        <f>Tab_Data_Flows[[#This Row],[E1_UoM]]</f>
        <v>Mg</v>
      </c>
      <c r="AD196" s="24">
        <f>_xlfn.XLOOKUP(Tab_Data_Flows[[#This Row],[Flow_Name]],Tab_Def_Flows[Flow_Name],Tab_Def_Flows[Flow_E5_Fraction'[%']],"N.A.",0,1)</f>
        <v>0</v>
      </c>
      <c r="AE196" s="3">
        <f>IF(H196="Yes",Tab_Data_Flows[[#This Row],[E5_Fraction'[%']]]*Tab_Data_Flows[[#This Row],[E1_value]],"N.A.")</f>
        <v>0</v>
      </c>
      <c r="AF196" s="3" t="str">
        <f>Tab_Data_Flows[[#This Row],[E1_UoM]]</f>
        <v>Mg</v>
      </c>
      <c r="AG196" s="24">
        <f>_xlfn.XLOOKUP(Tab_Data_Flows[[#This Row],[Flow_Name]],Tab_Def_Flows[Flow_Name],Tab_Def_Flows[Flow_E6_Fraction'[%']],"N.A.",0,1)</f>
        <v>0</v>
      </c>
      <c r="AH196" s="3">
        <f>IF(Tab_Data_Flows[[#This Row],[Use_E6]]="Yes",Tab_Data_Flows[[#This Row],[E6_Fraction'[%']]]*Tab_Data_Flows[[#This Row],[E1_value]],"N.A.")</f>
        <v>0</v>
      </c>
      <c r="AI196" s="3" t="str">
        <f>Tab_Data_Flows[[#This Row],[E1_UoM]]</f>
        <v>Mg</v>
      </c>
    </row>
    <row r="197" spans="1:35" x14ac:dyDescent="0.25">
      <c r="A197" s="5">
        <f t="shared" si="7"/>
        <v>196</v>
      </c>
      <c r="B197" s="3" t="str">
        <f>_xlfn.XLOOKUP(C197,Tab_Def_Flows[Flow_Name],Tab_Def_Flows[Flow_ID],,0,)</f>
        <v>F__</v>
      </c>
      <c r="C197" s="23" t="s">
        <v>5</v>
      </c>
      <c r="D197" s="6" t="str">
        <f>_xlfn.XLOOKUP(C197,Tab_Def_Flows[Flow_Name],Tab_Def_Flows[Use_E1],,0,)</f>
        <v>Yes</v>
      </c>
      <c r="E197" s="6" t="str">
        <f>_xlfn.XLOOKUP(C197,Tab_Def_Flows[Flow_Name],Tab_Def_Flows[Use_E2],,0,)</f>
        <v>Yes</v>
      </c>
      <c r="F197" s="6" t="str">
        <f>_xlfn.XLOOKUP(C197,Tab_Def_Flows[Flow_Name],Tab_Def_Flows[Use_E3],,0,)</f>
        <v>Yes</v>
      </c>
      <c r="G197" s="6" t="str">
        <f>_xlfn.XLOOKUP(C197,Tab_Def_Flows[Flow_Name],Tab_Def_Flows[Use_E4],,0,)</f>
        <v>Yes</v>
      </c>
      <c r="H197" s="6" t="str">
        <f>_xlfn.XLOOKUP(C197,Tab_Def_Flows[Flow_Name],Tab_Def_Flows[Use_E5],,0,)</f>
        <v>Yes</v>
      </c>
      <c r="I197" s="6" t="str">
        <f>_xlfn.XLOOKUP(C197,Tab_Def_Flows[Flow_Name],Tab_Def_Flows[Use_E6],,0,)</f>
        <v>Yes</v>
      </c>
      <c r="J197" s="4"/>
      <c r="K197" s="18"/>
      <c r="L197" s="3" t="str">
        <f>'0_Configuration'!$C$41</f>
        <v>Mg</v>
      </c>
      <c r="M197" s="10"/>
      <c r="N197" s="23" t="s">
        <v>3</v>
      </c>
      <c r="O197" s="4"/>
      <c r="P197" s="4"/>
      <c r="Q197" s="10"/>
      <c r="R197" s="3">
        <f>_xlfn.XLOOKUP(Tab_Data_Flows[[#This Row],[Flow_Name]],Tab_Def_Flows[Flow_Name],Tab_Def_Flows[Flow_E1_Fraction'[%']],"N.A.",0,1)</f>
        <v>0</v>
      </c>
      <c r="S197" s="9">
        <f t="shared" si="6"/>
        <v>0</v>
      </c>
      <c r="T197" s="3" t="str">
        <f>Tab_Data_Flows[[#This Row],[UoM_Source]]</f>
        <v>Mg</v>
      </c>
      <c r="U197" s="24">
        <f>_xlfn.XLOOKUP(Tab_Data_Flows[[#This Row],[Flow_Name]],Tab_Def_Flows[Flow_Name],Tab_Def_Flows[Flow_E2_Fraction'[%']],"N.A.",0,1)</f>
        <v>0</v>
      </c>
      <c r="V197" s="3">
        <f>IF(D197="Yes",S197*Tab_Data_Flows[[#This Row],[E2_Fraction'[%']]],"N.A.")</f>
        <v>0</v>
      </c>
      <c r="W197" s="3" t="str">
        <f>Tab_Data_Flows[[#This Row],[E1_UoM]]</f>
        <v>Mg</v>
      </c>
      <c r="X197" s="24">
        <f>_xlfn.XLOOKUP(Tab_Data_Flows[[#This Row],[Flow_Name]],Tab_Def_Flows[Flow_Name],Tab_Def_Flows[Flow_E3_Fraction'[%']],"N.A.",0,1)</f>
        <v>0</v>
      </c>
      <c r="Y197" s="3">
        <f>IF(E197="Yes",X197*Tab_Data_Flows[[#This Row],[E1_value]],"N.A.")</f>
        <v>0</v>
      </c>
      <c r="Z197" s="3" t="str">
        <f>Tab_Data_Flows[[#This Row],[E1_UoM]]</f>
        <v>Mg</v>
      </c>
      <c r="AA197" s="24">
        <f>_xlfn.XLOOKUP(Tab_Data_Flows[[#This Row],[Flow_Name]],Tab_Def_Flows[Flow_Name],Tab_Def_Flows[Flow_E4_Fraction'[%']],"N.A.",0,1)</f>
        <v>0</v>
      </c>
      <c r="AB197" s="3">
        <f>IF(H197="Yes",Tab_Data_Flows[[#This Row],[E4_Fraction'[%']]]*Tab_Data_Flows[[#This Row],[E1_value]],"N.A.")</f>
        <v>0</v>
      </c>
      <c r="AC197" s="3" t="str">
        <f>Tab_Data_Flows[[#This Row],[E1_UoM]]</f>
        <v>Mg</v>
      </c>
      <c r="AD197" s="24">
        <f>_xlfn.XLOOKUP(Tab_Data_Flows[[#This Row],[Flow_Name]],Tab_Def_Flows[Flow_Name],Tab_Def_Flows[Flow_E5_Fraction'[%']],"N.A.",0,1)</f>
        <v>0</v>
      </c>
      <c r="AE197" s="3">
        <f>IF(H197="Yes",Tab_Data_Flows[[#This Row],[E5_Fraction'[%']]]*Tab_Data_Flows[[#This Row],[E1_value]],"N.A.")</f>
        <v>0</v>
      </c>
      <c r="AF197" s="3" t="str">
        <f>Tab_Data_Flows[[#This Row],[E1_UoM]]</f>
        <v>Mg</v>
      </c>
      <c r="AG197" s="24">
        <f>_xlfn.XLOOKUP(Tab_Data_Flows[[#This Row],[Flow_Name]],Tab_Def_Flows[Flow_Name],Tab_Def_Flows[Flow_E6_Fraction'[%']],"N.A.",0,1)</f>
        <v>0</v>
      </c>
      <c r="AH197" s="3">
        <f>IF(Tab_Data_Flows[[#This Row],[Use_E6]]="Yes",Tab_Data_Flows[[#This Row],[E6_Fraction'[%']]]*Tab_Data_Flows[[#This Row],[E1_value]],"N.A.")</f>
        <v>0</v>
      </c>
      <c r="AI197" s="3" t="str">
        <f>Tab_Data_Flows[[#This Row],[E1_UoM]]</f>
        <v>Mg</v>
      </c>
    </row>
    <row r="198" spans="1:35" x14ac:dyDescent="0.25">
      <c r="A198" s="5">
        <f t="shared" si="7"/>
        <v>197</v>
      </c>
      <c r="B198" s="3" t="str">
        <f>_xlfn.XLOOKUP(C198,Tab_Def_Flows[Flow_Name],Tab_Def_Flows[Flow_ID],,0,)</f>
        <v>F__</v>
      </c>
      <c r="C198" s="23" t="s">
        <v>5</v>
      </c>
      <c r="D198" s="6" t="str">
        <f>_xlfn.XLOOKUP(C198,Tab_Def_Flows[Flow_Name],Tab_Def_Flows[Use_E1],,0,)</f>
        <v>Yes</v>
      </c>
      <c r="E198" s="6" t="str">
        <f>_xlfn.XLOOKUP(C198,Tab_Def_Flows[Flow_Name],Tab_Def_Flows[Use_E2],,0,)</f>
        <v>Yes</v>
      </c>
      <c r="F198" s="6" t="str">
        <f>_xlfn.XLOOKUP(C198,Tab_Def_Flows[Flow_Name],Tab_Def_Flows[Use_E3],,0,)</f>
        <v>Yes</v>
      </c>
      <c r="G198" s="6" t="str">
        <f>_xlfn.XLOOKUP(C198,Tab_Def_Flows[Flow_Name],Tab_Def_Flows[Use_E4],,0,)</f>
        <v>Yes</v>
      </c>
      <c r="H198" s="6" t="str">
        <f>_xlfn.XLOOKUP(C198,Tab_Def_Flows[Flow_Name],Tab_Def_Flows[Use_E5],,0,)</f>
        <v>Yes</v>
      </c>
      <c r="I198" s="6" t="str">
        <f>_xlfn.XLOOKUP(C198,Tab_Def_Flows[Flow_Name],Tab_Def_Flows[Use_E6],,0,)</f>
        <v>Yes</v>
      </c>
      <c r="J198" s="4"/>
      <c r="K198" s="18"/>
      <c r="L198" s="3" t="str">
        <f>'0_Configuration'!$C$41</f>
        <v>Mg</v>
      </c>
      <c r="M198" s="10"/>
      <c r="N198" s="23" t="s">
        <v>3</v>
      </c>
      <c r="O198" s="4"/>
      <c r="P198" s="4"/>
      <c r="Q198" s="10"/>
      <c r="R198" s="3">
        <f>_xlfn.XLOOKUP(Tab_Data_Flows[[#This Row],[Flow_Name]],Tab_Def_Flows[Flow_Name],Tab_Def_Flows[Flow_E1_Fraction'[%']],"N.A.",0,1)</f>
        <v>0</v>
      </c>
      <c r="S198" s="9">
        <f t="shared" si="6"/>
        <v>0</v>
      </c>
      <c r="T198" s="3" t="str">
        <f>Tab_Data_Flows[[#This Row],[UoM_Source]]</f>
        <v>Mg</v>
      </c>
      <c r="U198" s="24">
        <f>_xlfn.XLOOKUP(Tab_Data_Flows[[#This Row],[Flow_Name]],Tab_Def_Flows[Flow_Name],Tab_Def_Flows[Flow_E2_Fraction'[%']],"N.A.",0,1)</f>
        <v>0</v>
      </c>
      <c r="V198" s="3">
        <f>IF(D198="Yes",S198*Tab_Data_Flows[[#This Row],[E2_Fraction'[%']]],"N.A.")</f>
        <v>0</v>
      </c>
      <c r="W198" s="3" t="str">
        <f>Tab_Data_Flows[[#This Row],[E1_UoM]]</f>
        <v>Mg</v>
      </c>
      <c r="X198" s="24">
        <f>_xlfn.XLOOKUP(Tab_Data_Flows[[#This Row],[Flow_Name]],Tab_Def_Flows[Flow_Name],Tab_Def_Flows[Flow_E3_Fraction'[%']],"N.A.",0,1)</f>
        <v>0</v>
      </c>
      <c r="Y198" s="3">
        <f>IF(E198="Yes",X198*Tab_Data_Flows[[#This Row],[E1_value]],"N.A.")</f>
        <v>0</v>
      </c>
      <c r="Z198" s="3" t="str">
        <f>Tab_Data_Flows[[#This Row],[E1_UoM]]</f>
        <v>Mg</v>
      </c>
      <c r="AA198" s="24">
        <f>_xlfn.XLOOKUP(Tab_Data_Flows[[#This Row],[Flow_Name]],Tab_Def_Flows[Flow_Name],Tab_Def_Flows[Flow_E4_Fraction'[%']],"N.A.",0,1)</f>
        <v>0</v>
      </c>
      <c r="AB198" s="3">
        <f>IF(H198="Yes",Tab_Data_Flows[[#This Row],[E4_Fraction'[%']]]*Tab_Data_Flows[[#This Row],[E1_value]],"N.A.")</f>
        <v>0</v>
      </c>
      <c r="AC198" s="3" t="str">
        <f>Tab_Data_Flows[[#This Row],[E1_UoM]]</f>
        <v>Mg</v>
      </c>
      <c r="AD198" s="24">
        <f>_xlfn.XLOOKUP(Tab_Data_Flows[[#This Row],[Flow_Name]],Tab_Def_Flows[Flow_Name],Tab_Def_Flows[Flow_E5_Fraction'[%']],"N.A.",0,1)</f>
        <v>0</v>
      </c>
      <c r="AE198" s="3">
        <f>IF(H198="Yes",Tab_Data_Flows[[#This Row],[E5_Fraction'[%']]]*Tab_Data_Flows[[#This Row],[E1_value]],"N.A.")</f>
        <v>0</v>
      </c>
      <c r="AF198" s="3" t="str">
        <f>Tab_Data_Flows[[#This Row],[E1_UoM]]</f>
        <v>Mg</v>
      </c>
      <c r="AG198" s="24">
        <f>_xlfn.XLOOKUP(Tab_Data_Flows[[#This Row],[Flow_Name]],Tab_Def_Flows[Flow_Name],Tab_Def_Flows[Flow_E6_Fraction'[%']],"N.A.",0,1)</f>
        <v>0</v>
      </c>
      <c r="AH198" s="3">
        <f>IF(Tab_Data_Flows[[#This Row],[Use_E6]]="Yes",Tab_Data_Flows[[#This Row],[E6_Fraction'[%']]]*Tab_Data_Flows[[#This Row],[E1_value]],"N.A.")</f>
        <v>0</v>
      </c>
      <c r="AI198" s="3" t="str">
        <f>Tab_Data_Flows[[#This Row],[E1_UoM]]</f>
        <v>Mg</v>
      </c>
    </row>
    <row r="199" spans="1:35" x14ac:dyDescent="0.25">
      <c r="A199" s="5">
        <f t="shared" si="7"/>
        <v>198</v>
      </c>
      <c r="B199" s="3" t="str">
        <f>_xlfn.XLOOKUP(C199,Tab_Def_Flows[Flow_Name],Tab_Def_Flows[Flow_ID],,0,)</f>
        <v>F__</v>
      </c>
      <c r="C199" s="23" t="s">
        <v>5</v>
      </c>
      <c r="D199" s="6" t="str">
        <f>_xlfn.XLOOKUP(C199,Tab_Def_Flows[Flow_Name],Tab_Def_Flows[Use_E1],,0,)</f>
        <v>Yes</v>
      </c>
      <c r="E199" s="6" t="str">
        <f>_xlfn.XLOOKUP(C199,Tab_Def_Flows[Flow_Name],Tab_Def_Flows[Use_E2],,0,)</f>
        <v>Yes</v>
      </c>
      <c r="F199" s="6" t="str">
        <f>_xlfn.XLOOKUP(C199,Tab_Def_Flows[Flow_Name],Tab_Def_Flows[Use_E3],,0,)</f>
        <v>Yes</v>
      </c>
      <c r="G199" s="6" t="str">
        <f>_xlfn.XLOOKUP(C199,Tab_Def_Flows[Flow_Name],Tab_Def_Flows[Use_E4],,0,)</f>
        <v>Yes</v>
      </c>
      <c r="H199" s="6" t="str">
        <f>_xlfn.XLOOKUP(C199,Tab_Def_Flows[Flow_Name],Tab_Def_Flows[Use_E5],,0,)</f>
        <v>Yes</v>
      </c>
      <c r="I199" s="6" t="str">
        <f>_xlfn.XLOOKUP(C199,Tab_Def_Flows[Flow_Name],Tab_Def_Flows[Use_E6],,0,)</f>
        <v>Yes</v>
      </c>
      <c r="J199" s="4"/>
      <c r="K199" s="18"/>
      <c r="L199" s="3" t="str">
        <f>'0_Configuration'!$C$41</f>
        <v>Mg</v>
      </c>
      <c r="M199" s="10"/>
      <c r="N199" s="23" t="s">
        <v>3</v>
      </c>
      <c r="O199" s="4"/>
      <c r="P199" s="4"/>
      <c r="Q199" s="10"/>
      <c r="R199" s="3">
        <f>_xlfn.XLOOKUP(Tab_Data_Flows[[#This Row],[Flow_Name]],Tab_Def_Flows[Flow_Name],Tab_Def_Flows[Flow_E1_Fraction'[%']],"N.A.",0,1)</f>
        <v>0</v>
      </c>
      <c r="S199" s="9">
        <f t="shared" si="6"/>
        <v>0</v>
      </c>
      <c r="T199" s="3" t="str">
        <f>Tab_Data_Flows[[#This Row],[UoM_Source]]</f>
        <v>Mg</v>
      </c>
      <c r="U199" s="24">
        <f>_xlfn.XLOOKUP(Tab_Data_Flows[[#This Row],[Flow_Name]],Tab_Def_Flows[Flow_Name],Tab_Def_Flows[Flow_E2_Fraction'[%']],"N.A.",0,1)</f>
        <v>0</v>
      </c>
      <c r="V199" s="3">
        <f>IF(D199="Yes",S199*Tab_Data_Flows[[#This Row],[E2_Fraction'[%']]],"N.A.")</f>
        <v>0</v>
      </c>
      <c r="W199" s="3" t="str">
        <f>Tab_Data_Flows[[#This Row],[E1_UoM]]</f>
        <v>Mg</v>
      </c>
      <c r="X199" s="24">
        <f>_xlfn.XLOOKUP(Tab_Data_Flows[[#This Row],[Flow_Name]],Tab_Def_Flows[Flow_Name],Tab_Def_Flows[Flow_E3_Fraction'[%']],"N.A.",0,1)</f>
        <v>0</v>
      </c>
      <c r="Y199" s="3">
        <f>IF(E199="Yes",X199*Tab_Data_Flows[[#This Row],[E1_value]],"N.A.")</f>
        <v>0</v>
      </c>
      <c r="Z199" s="3" t="str">
        <f>Tab_Data_Flows[[#This Row],[E1_UoM]]</f>
        <v>Mg</v>
      </c>
      <c r="AA199" s="24">
        <f>_xlfn.XLOOKUP(Tab_Data_Flows[[#This Row],[Flow_Name]],Tab_Def_Flows[Flow_Name],Tab_Def_Flows[Flow_E4_Fraction'[%']],"N.A.",0,1)</f>
        <v>0</v>
      </c>
      <c r="AB199" s="3">
        <f>IF(H199="Yes",Tab_Data_Flows[[#This Row],[E4_Fraction'[%']]]*Tab_Data_Flows[[#This Row],[E1_value]],"N.A.")</f>
        <v>0</v>
      </c>
      <c r="AC199" s="3" t="str">
        <f>Tab_Data_Flows[[#This Row],[E1_UoM]]</f>
        <v>Mg</v>
      </c>
      <c r="AD199" s="24">
        <f>_xlfn.XLOOKUP(Tab_Data_Flows[[#This Row],[Flow_Name]],Tab_Def_Flows[Flow_Name],Tab_Def_Flows[Flow_E5_Fraction'[%']],"N.A.",0,1)</f>
        <v>0</v>
      </c>
      <c r="AE199" s="3">
        <f>IF(H199="Yes",Tab_Data_Flows[[#This Row],[E5_Fraction'[%']]]*Tab_Data_Flows[[#This Row],[E1_value]],"N.A.")</f>
        <v>0</v>
      </c>
      <c r="AF199" s="3" t="str">
        <f>Tab_Data_Flows[[#This Row],[E1_UoM]]</f>
        <v>Mg</v>
      </c>
      <c r="AG199" s="24">
        <f>_xlfn.XLOOKUP(Tab_Data_Flows[[#This Row],[Flow_Name]],Tab_Def_Flows[Flow_Name],Tab_Def_Flows[Flow_E6_Fraction'[%']],"N.A.",0,1)</f>
        <v>0</v>
      </c>
      <c r="AH199" s="3">
        <f>IF(Tab_Data_Flows[[#This Row],[Use_E6]]="Yes",Tab_Data_Flows[[#This Row],[E6_Fraction'[%']]]*Tab_Data_Flows[[#This Row],[E1_value]],"N.A.")</f>
        <v>0</v>
      </c>
      <c r="AI199" s="3" t="str">
        <f>Tab_Data_Flows[[#This Row],[E1_UoM]]</f>
        <v>Mg</v>
      </c>
    </row>
    <row r="200" spans="1:35" x14ac:dyDescent="0.25">
      <c r="A200" s="5">
        <f t="shared" si="7"/>
        <v>199</v>
      </c>
      <c r="B200" s="3" t="str">
        <f>_xlfn.XLOOKUP(C200,Tab_Def_Flows[Flow_Name],Tab_Def_Flows[Flow_ID],,0,)</f>
        <v>F__</v>
      </c>
      <c r="C200" s="23" t="s">
        <v>5</v>
      </c>
      <c r="D200" s="6" t="str">
        <f>_xlfn.XLOOKUP(C200,Tab_Def_Flows[Flow_Name],Tab_Def_Flows[Use_E1],,0,)</f>
        <v>Yes</v>
      </c>
      <c r="E200" s="6" t="str">
        <f>_xlfn.XLOOKUP(C200,Tab_Def_Flows[Flow_Name],Tab_Def_Flows[Use_E2],,0,)</f>
        <v>Yes</v>
      </c>
      <c r="F200" s="6" t="str">
        <f>_xlfn.XLOOKUP(C200,Tab_Def_Flows[Flow_Name],Tab_Def_Flows[Use_E3],,0,)</f>
        <v>Yes</v>
      </c>
      <c r="G200" s="6" t="str">
        <f>_xlfn.XLOOKUP(C200,Tab_Def_Flows[Flow_Name],Tab_Def_Flows[Use_E4],,0,)</f>
        <v>Yes</v>
      </c>
      <c r="H200" s="6" t="str">
        <f>_xlfn.XLOOKUP(C200,Tab_Def_Flows[Flow_Name],Tab_Def_Flows[Use_E5],,0,)</f>
        <v>Yes</v>
      </c>
      <c r="I200" s="6" t="str">
        <f>_xlfn.XLOOKUP(C200,Tab_Def_Flows[Flow_Name],Tab_Def_Flows[Use_E6],,0,)</f>
        <v>Yes</v>
      </c>
      <c r="J200" s="4"/>
      <c r="K200" s="18"/>
      <c r="L200" s="3" t="str">
        <f>'0_Configuration'!$C$41</f>
        <v>Mg</v>
      </c>
      <c r="M200" s="10"/>
      <c r="N200" s="23" t="s">
        <v>3</v>
      </c>
      <c r="O200" s="4"/>
      <c r="P200" s="4"/>
      <c r="Q200" s="10"/>
      <c r="R200" s="3">
        <f>_xlfn.XLOOKUP(Tab_Data_Flows[[#This Row],[Flow_Name]],Tab_Def_Flows[Flow_Name],Tab_Def_Flows[Flow_E1_Fraction'[%']],"N.A.",0,1)</f>
        <v>0</v>
      </c>
      <c r="S200" s="9">
        <f t="shared" si="6"/>
        <v>0</v>
      </c>
      <c r="T200" s="3" t="str">
        <f>Tab_Data_Flows[[#This Row],[UoM_Source]]</f>
        <v>Mg</v>
      </c>
      <c r="U200" s="24">
        <f>_xlfn.XLOOKUP(Tab_Data_Flows[[#This Row],[Flow_Name]],Tab_Def_Flows[Flow_Name],Tab_Def_Flows[Flow_E2_Fraction'[%']],"N.A.",0,1)</f>
        <v>0</v>
      </c>
      <c r="V200" s="3">
        <f>IF(D200="Yes",S200*Tab_Data_Flows[[#This Row],[E2_Fraction'[%']]],"N.A.")</f>
        <v>0</v>
      </c>
      <c r="W200" s="3" t="str">
        <f>Tab_Data_Flows[[#This Row],[E1_UoM]]</f>
        <v>Mg</v>
      </c>
      <c r="X200" s="24">
        <f>_xlfn.XLOOKUP(Tab_Data_Flows[[#This Row],[Flow_Name]],Tab_Def_Flows[Flow_Name],Tab_Def_Flows[Flow_E3_Fraction'[%']],"N.A.",0,1)</f>
        <v>0</v>
      </c>
      <c r="Y200" s="3">
        <f>IF(E200="Yes",X200*Tab_Data_Flows[[#This Row],[E1_value]],"N.A.")</f>
        <v>0</v>
      </c>
      <c r="Z200" s="3" t="str">
        <f>Tab_Data_Flows[[#This Row],[E1_UoM]]</f>
        <v>Mg</v>
      </c>
      <c r="AA200" s="24">
        <f>_xlfn.XLOOKUP(Tab_Data_Flows[[#This Row],[Flow_Name]],Tab_Def_Flows[Flow_Name],Tab_Def_Flows[Flow_E4_Fraction'[%']],"N.A.",0,1)</f>
        <v>0</v>
      </c>
      <c r="AB200" s="3">
        <f>IF(H200="Yes",Tab_Data_Flows[[#This Row],[E4_Fraction'[%']]]*Tab_Data_Flows[[#This Row],[E1_value]],"N.A.")</f>
        <v>0</v>
      </c>
      <c r="AC200" s="3" t="str">
        <f>Tab_Data_Flows[[#This Row],[E1_UoM]]</f>
        <v>Mg</v>
      </c>
      <c r="AD200" s="24">
        <f>_xlfn.XLOOKUP(Tab_Data_Flows[[#This Row],[Flow_Name]],Tab_Def_Flows[Flow_Name],Tab_Def_Flows[Flow_E5_Fraction'[%']],"N.A.",0,1)</f>
        <v>0</v>
      </c>
      <c r="AE200" s="3">
        <f>IF(H200="Yes",Tab_Data_Flows[[#This Row],[E5_Fraction'[%']]]*Tab_Data_Flows[[#This Row],[E1_value]],"N.A.")</f>
        <v>0</v>
      </c>
      <c r="AF200" s="3" t="str">
        <f>Tab_Data_Flows[[#This Row],[E1_UoM]]</f>
        <v>Mg</v>
      </c>
      <c r="AG200" s="24">
        <f>_xlfn.XLOOKUP(Tab_Data_Flows[[#This Row],[Flow_Name]],Tab_Def_Flows[Flow_Name],Tab_Def_Flows[Flow_E6_Fraction'[%']],"N.A.",0,1)</f>
        <v>0</v>
      </c>
      <c r="AH200" s="3">
        <f>IF(Tab_Data_Flows[[#This Row],[Use_E6]]="Yes",Tab_Data_Flows[[#This Row],[E6_Fraction'[%']]]*Tab_Data_Flows[[#This Row],[E1_value]],"N.A.")</f>
        <v>0</v>
      </c>
      <c r="AI200" s="3" t="str">
        <f>Tab_Data_Flows[[#This Row],[E1_UoM]]</f>
        <v>Mg</v>
      </c>
    </row>
    <row r="201" spans="1:35" x14ac:dyDescent="0.25">
      <c r="A201" s="5">
        <f t="shared" si="7"/>
        <v>200</v>
      </c>
      <c r="B201" s="3" t="str">
        <f>_xlfn.XLOOKUP(C201,Tab_Def_Flows[Flow_Name],Tab_Def_Flows[Flow_ID],,0,)</f>
        <v>F__</v>
      </c>
      <c r="C201" s="23" t="s">
        <v>5</v>
      </c>
      <c r="D201" s="6" t="str">
        <f>_xlfn.XLOOKUP(C201,Tab_Def_Flows[Flow_Name],Tab_Def_Flows[Use_E1],,0,)</f>
        <v>Yes</v>
      </c>
      <c r="E201" s="6" t="str">
        <f>_xlfn.XLOOKUP(C201,Tab_Def_Flows[Flow_Name],Tab_Def_Flows[Use_E2],,0,)</f>
        <v>Yes</v>
      </c>
      <c r="F201" s="6" t="str">
        <f>_xlfn.XLOOKUP(C201,Tab_Def_Flows[Flow_Name],Tab_Def_Flows[Use_E3],,0,)</f>
        <v>Yes</v>
      </c>
      <c r="G201" s="6" t="str">
        <f>_xlfn.XLOOKUP(C201,Tab_Def_Flows[Flow_Name],Tab_Def_Flows[Use_E4],,0,)</f>
        <v>Yes</v>
      </c>
      <c r="H201" s="6" t="str">
        <f>_xlfn.XLOOKUP(C201,Tab_Def_Flows[Flow_Name],Tab_Def_Flows[Use_E5],,0,)</f>
        <v>Yes</v>
      </c>
      <c r="I201" s="6" t="str">
        <f>_xlfn.XLOOKUP(C201,Tab_Def_Flows[Flow_Name],Tab_Def_Flows[Use_E6],,0,)</f>
        <v>Yes</v>
      </c>
      <c r="J201" s="4"/>
      <c r="K201" s="18"/>
      <c r="L201" s="3" t="str">
        <f>'0_Configuration'!$C$41</f>
        <v>Mg</v>
      </c>
      <c r="M201" s="10"/>
      <c r="N201" s="23" t="s">
        <v>3</v>
      </c>
      <c r="O201" s="4"/>
      <c r="P201" s="4"/>
      <c r="Q201" s="10"/>
      <c r="R201" s="3">
        <f>_xlfn.XLOOKUP(Tab_Data_Flows[[#This Row],[Flow_Name]],Tab_Def_Flows[Flow_Name],Tab_Def_Flows[Flow_E1_Fraction'[%']],"N.A.",0,1)</f>
        <v>0</v>
      </c>
      <c r="S201" s="9">
        <f t="shared" si="6"/>
        <v>0</v>
      </c>
      <c r="T201" s="3" t="str">
        <f>Tab_Data_Flows[[#This Row],[UoM_Source]]</f>
        <v>Mg</v>
      </c>
      <c r="U201" s="24">
        <f>_xlfn.XLOOKUP(Tab_Data_Flows[[#This Row],[Flow_Name]],Tab_Def_Flows[Flow_Name],Tab_Def_Flows[Flow_E2_Fraction'[%']],"N.A.",0,1)</f>
        <v>0</v>
      </c>
      <c r="V201" s="3">
        <f>IF(D201="Yes",S201*Tab_Data_Flows[[#This Row],[E2_Fraction'[%']]],"N.A.")</f>
        <v>0</v>
      </c>
      <c r="W201" s="3" t="str">
        <f>Tab_Data_Flows[[#This Row],[E1_UoM]]</f>
        <v>Mg</v>
      </c>
      <c r="X201" s="24">
        <f>_xlfn.XLOOKUP(Tab_Data_Flows[[#This Row],[Flow_Name]],Tab_Def_Flows[Flow_Name],Tab_Def_Flows[Flow_E3_Fraction'[%']],"N.A.",0,1)</f>
        <v>0</v>
      </c>
      <c r="Y201" s="3">
        <f>IF(E201="Yes",X201*Tab_Data_Flows[[#This Row],[E1_value]],"N.A.")</f>
        <v>0</v>
      </c>
      <c r="Z201" s="3" t="str">
        <f>Tab_Data_Flows[[#This Row],[E1_UoM]]</f>
        <v>Mg</v>
      </c>
      <c r="AA201" s="24">
        <f>_xlfn.XLOOKUP(Tab_Data_Flows[[#This Row],[Flow_Name]],Tab_Def_Flows[Flow_Name],Tab_Def_Flows[Flow_E4_Fraction'[%']],"N.A.",0,1)</f>
        <v>0</v>
      </c>
      <c r="AB201" s="3">
        <f>IF(H201="Yes",Tab_Data_Flows[[#This Row],[E4_Fraction'[%']]]*Tab_Data_Flows[[#This Row],[E1_value]],"N.A.")</f>
        <v>0</v>
      </c>
      <c r="AC201" s="3" t="str">
        <f>Tab_Data_Flows[[#This Row],[E1_UoM]]</f>
        <v>Mg</v>
      </c>
      <c r="AD201" s="24">
        <f>_xlfn.XLOOKUP(Tab_Data_Flows[[#This Row],[Flow_Name]],Tab_Def_Flows[Flow_Name],Tab_Def_Flows[Flow_E5_Fraction'[%']],"N.A.",0,1)</f>
        <v>0</v>
      </c>
      <c r="AE201" s="3">
        <f>IF(H201="Yes",Tab_Data_Flows[[#This Row],[E5_Fraction'[%']]]*Tab_Data_Flows[[#This Row],[E1_value]],"N.A.")</f>
        <v>0</v>
      </c>
      <c r="AF201" s="3" t="str">
        <f>Tab_Data_Flows[[#This Row],[E1_UoM]]</f>
        <v>Mg</v>
      </c>
      <c r="AG201" s="24">
        <f>_xlfn.XLOOKUP(Tab_Data_Flows[[#This Row],[Flow_Name]],Tab_Def_Flows[Flow_Name],Tab_Def_Flows[Flow_E6_Fraction'[%']],"N.A.",0,1)</f>
        <v>0</v>
      </c>
      <c r="AH201" s="3">
        <f>IF(Tab_Data_Flows[[#This Row],[Use_E6]]="Yes",Tab_Data_Flows[[#This Row],[E6_Fraction'[%']]]*Tab_Data_Flows[[#This Row],[E1_value]],"N.A.")</f>
        <v>0</v>
      </c>
      <c r="AI201" s="3" t="str">
        <f>Tab_Data_Flows[[#This Row],[E1_UoM]]</f>
        <v>Mg</v>
      </c>
    </row>
    <row r="202" spans="1:35" x14ac:dyDescent="0.25">
      <c r="A202" s="5">
        <f t="shared" si="7"/>
        <v>201</v>
      </c>
      <c r="B202" s="3" t="str">
        <f>_xlfn.XLOOKUP(C202,Tab_Def_Flows[Flow_Name],Tab_Def_Flows[Flow_ID],,0,)</f>
        <v>F__</v>
      </c>
      <c r="C202" s="23" t="s">
        <v>5</v>
      </c>
      <c r="D202" s="6" t="str">
        <f>_xlfn.XLOOKUP(C202,Tab_Def_Flows[Flow_Name],Tab_Def_Flows[Use_E1],,0,)</f>
        <v>Yes</v>
      </c>
      <c r="E202" s="6" t="str">
        <f>_xlfn.XLOOKUP(C202,Tab_Def_Flows[Flow_Name],Tab_Def_Flows[Use_E2],,0,)</f>
        <v>Yes</v>
      </c>
      <c r="F202" s="6" t="str">
        <f>_xlfn.XLOOKUP(C202,Tab_Def_Flows[Flow_Name],Tab_Def_Flows[Use_E3],,0,)</f>
        <v>Yes</v>
      </c>
      <c r="G202" s="6" t="str">
        <f>_xlfn.XLOOKUP(C202,Tab_Def_Flows[Flow_Name],Tab_Def_Flows[Use_E4],,0,)</f>
        <v>Yes</v>
      </c>
      <c r="H202" s="6" t="str">
        <f>_xlfn.XLOOKUP(C202,Tab_Def_Flows[Flow_Name],Tab_Def_Flows[Use_E5],,0,)</f>
        <v>Yes</v>
      </c>
      <c r="I202" s="6" t="str">
        <f>_xlfn.XLOOKUP(C202,Tab_Def_Flows[Flow_Name],Tab_Def_Flows[Use_E6],,0,)</f>
        <v>Yes</v>
      </c>
      <c r="J202" s="4"/>
      <c r="K202" s="18"/>
      <c r="L202" s="3" t="str">
        <f>'0_Configuration'!$C$41</f>
        <v>Mg</v>
      </c>
      <c r="M202" s="10"/>
      <c r="N202" s="23" t="s">
        <v>3</v>
      </c>
      <c r="O202" s="4"/>
      <c r="P202" s="4"/>
      <c r="Q202" s="10"/>
      <c r="R202" s="3">
        <f>_xlfn.XLOOKUP(Tab_Data_Flows[[#This Row],[Flow_Name]],Tab_Def_Flows[Flow_Name],Tab_Def_Flows[Flow_E1_Fraction'[%']],"N.A.",0,1)</f>
        <v>0</v>
      </c>
      <c r="S202" s="9">
        <f t="shared" si="6"/>
        <v>0</v>
      </c>
      <c r="T202" s="3" t="str">
        <f>Tab_Data_Flows[[#This Row],[UoM_Source]]</f>
        <v>Mg</v>
      </c>
      <c r="U202" s="24">
        <f>_xlfn.XLOOKUP(Tab_Data_Flows[[#This Row],[Flow_Name]],Tab_Def_Flows[Flow_Name],Tab_Def_Flows[Flow_E2_Fraction'[%']],"N.A.",0,1)</f>
        <v>0</v>
      </c>
      <c r="V202" s="3">
        <f>IF(D202="Yes",S202*Tab_Data_Flows[[#This Row],[E2_Fraction'[%']]],"N.A.")</f>
        <v>0</v>
      </c>
      <c r="W202" s="3" t="str">
        <f>Tab_Data_Flows[[#This Row],[E1_UoM]]</f>
        <v>Mg</v>
      </c>
      <c r="X202" s="24">
        <f>_xlfn.XLOOKUP(Tab_Data_Flows[[#This Row],[Flow_Name]],Tab_Def_Flows[Flow_Name],Tab_Def_Flows[Flow_E3_Fraction'[%']],"N.A.",0,1)</f>
        <v>0</v>
      </c>
      <c r="Y202" s="3">
        <f>IF(E202="Yes",X202*Tab_Data_Flows[[#This Row],[E1_value]],"N.A.")</f>
        <v>0</v>
      </c>
      <c r="Z202" s="3" t="str">
        <f>Tab_Data_Flows[[#This Row],[E1_UoM]]</f>
        <v>Mg</v>
      </c>
      <c r="AA202" s="24">
        <f>_xlfn.XLOOKUP(Tab_Data_Flows[[#This Row],[Flow_Name]],Tab_Def_Flows[Flow_Name],Tab_Def_Flows[Flow_E4_Fraction'[%']],"N.A.",0,1)</f>
        <v>0</v>
      </c>
      <c r="AB202" s="3">
        <f>IF(H202="Yes",Tab_Data_Flows[[#This Row],[E4_Fraction'[%']]]*Tab_Data_Flows[[#This Row],[E1_value]],"N.A.")</f>
        <v>0</v>
      </c>
      <c r="AC202" s="3" t="str">
        <f>Tab_Data_Flows[[#This Row],[E1_UoM]]</f>
        <v>Mg</v>
      </c>
      <c r="AD202" s="24">
        <f>_xlfn.XLOOKUP(Tab_Data_Flows[[#This Row],[Flow_Name]],Tab_Def_Flows[Flow_Name],Tab_Def_Flows[Flow_E5_Fraction'[%']],"N.A.",0,1)</f>
        <v>0</v>
      </c>
      <c r="AE202" s="3">
        <f>IF(H202="Yes",Tab_Data_Flows[[#This Row],[E5_Fraction'[%']]]*Tab_Data_Flows[[#This Row],[E1_value]],"N.A.")</f>
        <v>0</v>
      </c>
      <c r="AF202" s="3" t="str">
        <f>Tab_Data_Flows[[#This Row],[E1_UoM]]</f>
        <v>Mg</v>
      </c>
      <c r="AG202" s="24">
        <f>_xlfn.XLOOKUP(Tab_Data_Flows[[#This Row],[Flow_Name]],Tab_Def_Flows[Flow_Name],Tab_Def_Flows[Flow_E6_Fraction'[%']],"N.A.",0,1)</f>
        <v>0</v>
      </c>
      <c r="AH202" s="3">
        <f>IF(Tab_Data_Flows[[#This Row],[Use_E6]]="Yes",Tab_Data_Flows[[#This Row],[E6_Fraction'[%']]]*Tab_Data_Flows[[#This Row],[E1_value]],"N.A.")</f>
        <v>0</v>
      </c>
      <c r="AI202" s="3" t="str">
        <f>Tab_Data_Flows[[#This Row],[E1_UoM]]</f>
        <v>Mg</v>
      </c>
    </row>
    <row r="203" spans="1:35" x14ac:dyDescent="0.25">
      <c r="A203" s="5">
        <f t="shared" si="7"/>
        <v>202</v>
      </c>
      <c r="B203" s="3" t="str">
        <f>_xlfn.XLOOKUP(C203,Tab_Def_Flows[Flow_Name],Tab_Def_Flows[Flow_ID],,0,)</f>
        <v>F__</v>
      </c>
      <c r="C203" s="23" t="s">
        <v>5</v>
      </c>
      <c r="D203" s="6" t="str">
        <f>_xlfn.XLOOKUP(C203,Tab_Def_Flows[Flow_Name],Tab_Def_Flows[Use_E1],,0,)</f>
        <v>Yes</v>
      </c>
      <c r="E203" s="6" t="str">
        <f>_xlfn.XLOOKUP(C203,Tab_Def_Flows[Flow_Name],Tab_Def_Flows[Use_E2],,0,)</f>
        <v>Yes</v>
      </c>
      <c r="F203" s="6" t="str">
        <f>_xlfn.XLOOKUP(C203,Tab_Def_Flows[Flow_Name],Tab_Def_Flows[Use_E3],,0,)</f>
        <v>Yes</v>
      </c>
      <c r="G203" s="6" t="str">
        <f>_xlfn.XLOOKUP(C203,Tab_Def_Flows[Flow_Name],Tab_Def_Flows[Use_E4],,0,)</f>
        <v>Yes</v>
      </c>
      <c r="H203" s="6" t="str">
        <f>_xlfn.XLOOKUP(C203,Tab_Def_Flows[Flow_Name],Tab_Def_Flows[Use_E5],,0,)</f>
        <v>Yes</v>
      </c>
      <c r="I203" s="6" t="str">
        <f>_xlfn.XLOOKUP(C203,Tab_Def_Flows[Flow_Name],Tab_Def_Flows[Use_E6],,0,)</f>
        <v>Yes</v>
      </c>
      <c r="J203" s="4"/>
      <c r="K203" s="18"/>
      <c r="L203" s="3" t="str">
        <f>'0_Configuration'!$C$41</f>
        <v>Mg</v>
      </c>
      <c r="M203" s="10"/>
      <c r="N203" s="23" t="s">
        <v>3</v>
      </c>
      <c r="O203" s="4"/>
      <c r="P203" s="4"/>
      <c r="Q203" s="10"/>
      <c r="R203" s="3">
        <f>_xlfn.XLOOKUP(Tab_Data_Flows[[#This Row],[Flow_Name]],Tab_Def_Flows[Flow_Name],Tab_Def_Flows[Flow_E1_Fraction'[%']],"N.A.",0,1)</f>
        <v>0</v>
      </c>
      <c r="S203" s="9">
        <f t="shared" si="6"/>
        <v>0</v>
      </c>
      <c r="T203" s="3" t="str">
        <f>Tab_Data_Flows[[#This Row],[UoM_Source]]</f>
        <v>Mg</v>
      </c>
      <c r="U203" s="24">
        <f>_xlfn.XLOOKUP(Tab_Data_Flows[[#This Row],[Flow_Name]],Tab_Def_Flows[Flow_Name],Tab_Def_Flows[Flow_E2_Fraction'[%']],"N.A.",0,1)</f>
        <v>0</v>
      </c>
      <c r="V203" s="3">
        <f>IF(D203="Yes",S203*Tab_Data_Flows[[#This Row],[E2_Fraction'[%']]],"N.A.")</f>
        <v>0</v>
      </c>
      <c r="W203" s="3" t="str">
        <f>Tab_Data_Flows[[#This Row],[E1_UoM]]</f>
        <v>Mg</v>
      </c>
      <c r="X203" s="24">
        <f>_xlfn.XLOOKUP(Tab_Data_Flows[[#This Row],[Flow_Name]],Tab_Def_Flows[Flow_Name],Tab_Def_Flows[Flow_E3_Fraction'[%']],"N.A.",0,1)</f>
        <v>0</v>
      </c>
      <c r="Y203" s="3">
        <f>IF(E203="Yes",X203*Tab_Data_Flows[[#This Row],[E1_value]],"N.A.")</f>
        <v>0</v>
      </c>
      <c r="Z203" s="3" t="str">
        <f>Tab_Data_Flows[[#This Row],[E1_UoM]]</f>
        <v>Mg</v>
      </c>
      <c r="AA203" s="24">
        <f>_xlfn.XLOOKUP(Tab_Data_Flows[[#This Row],[Flow_Name]],Tab_Def_Flows[Flow_Name],Tab_Def_Flows[Flow_E4_Fraction'[%']],"N.A.",0,1)</f>
        <v>0</v>
      </c>
      <c r="AB203" s="3">
        <f>IF(H203="Yes",Tab_Data_Flows[[#This Row],[E4_Fraction'[%']]]*Tab_Data_Flows[[#This Row],[E1_value]],"N.A.")</f>
        <v>0</v>
      </c>
      <c r="AC203" s="3" t="str">
        <f>Tab_Data_Flows[[#This Row],[E1_UoM]]</f>
        <v>Mg</v>
      </c>
      <c r="AD203" s="24">
        <f>_xlfn.XLOOKUP(Tab_Data_Flows[[#This Row],[Flow_Name]],Tab_Def_Flows[Flow_Name],Tab_Def_Flows[Flow_E5_Fraction'[%']],"N.A.",0,1)</f>
        <v>0</v>
      </c>
      <c r="AE203" s="3">
        <f>IF(H203="Yes",Tab_Data_Flows[[#This Row],[E5_Fraction'[%']]]*Tab_Data_Flows[[#This Row],[E1_value]],"N.A.")</f>
        <v>0</v>
      </c>
      <c r="AF203" s="3" t="str">
        <f>Tab_Data_Flows[[#This Row],[E1_UoM]]</f>
        <v>Mg</v>
      </c>
      <c r="AG203" s="24">
        <f>_xlfn.XLOOKUP(Tab_Data_Flows[[#This Row],[Flow_Name]],Tab_Def_Flows[Flow_Name],Tab_Def_Flows[Flow_E6_Fraction'[%']],"N.A.",0,1)</f>
        <v>0</v>
      </c>
      <c r="AH203" s="3">
        <f>IF(Tab_Data_Flows[[#This Row],[Use_E6]]="Yes",Tab_Data_Flows[[#This Row],[E6_Fraction'[%']]]*Tab_Data_Flows[[#This Row],[E1_value]],"N.A.")</f>
        <v>0</v>
      </c>
      <c r="AI203" s="3" t="str">
        <f>Tab_Data_Flows[[#This Row],[E1_UoM]]</f>
        <v>Mg</v>
      </c>
    </row>
    <row r="204" spans="1:35" x14ac:dyDescent="0.25">
      <c r="A204" s="5">
        <f t="shared" si="7"/>
        <v>203</v>
      </c>
      <c r="B204" s="3" t="str">
        <f>_xlfn.XLOOKUP(C204,Tab_Def_Flows[Flow_Name],Tab_Def_Flows[Flow_ID],,0,)</f>
        <v>F__</v>
      </c>
      <c r="C204" s="23" t="s">
        <v>5</v>
      </c>
      <c r="D204" s="6" t="str">
        <f>_xlfn.XLOOKUP(C204,Tab_Def_Flows[Flow_Name],Tab_Def_Flows[Use_E1],,0,)</f>
        <v>Yes</v>
      </c>
      <c r="E204" s="6" t="str">
        <f>_xlfn.XLOOKUP(C204,Tab_Def_Flows[Flow_Name],Tab_Def_Flows[Use_E2],,0,)</f>
        <v>Yes</v>
      </c>
      <c r="F204" s="6" t="str">
        <f>_xlfn.XLOOKUP(C204,Tab_Def_Flows[Flow_Name],Tab_Def_Flows[Use_E3],,0,)</f>
        <v>Yes</v>
      </c>
      <c r="G204" s="6" t="str">
        <f>_xlfn.XLOOKUP(C204,Tab_Def_Flows[Flow_Name],Tab_Def_Flows[Use_E4],,0,)</f>
        <v>Yes</v>
      </c>
      <c r="H204" s="6" t="str">
        <f>_xlfn.XLOOKUP(C204,Tab_Def_Flows[Flow_Name],Tab_Def_Flows[Use_E5],,0,)</f>
        <v>Yes</v>
      </c>
      <c r="I204" s="6" t="str">
        <f>_xlfn.XLOOKUP(C204,Tab_Def_Flows[Flow_Name],Tab_Def_Flows[Use_E6],,0,)</f>
        <v>Yes</v>
      </c>
      <c r="J204" s="4"/>
      <c r="K204" s="18"/>
      <c r="L204" s="3" t="str">
        <f>'0_Configuration'!$C$41</f>
        <v>Mg</v>
      </c>
      <c r="M204" s="10"/>
      <c r="N204" s="23" t="s">
        <v>3</v>
      </c>
      <c r="O204" s="4"/>
      <c r="P204" s="4"/>
      <c r="Q204" s="10"/>
      <c r="R204" s="3">
        <f>_xlfn.XLOOKUP(Tab_Data_Flows[[#This Row],[Flow_Name]],Tab_Def_Flows[Flow_Name],Tab_Def_Flows[Flow_E1_Fraction'[%']],"N.A.",0,1)</f>
        <v>0</v>
      </c>
      <c r="S204" s="9">
        <f t="shared" si="6"/>
        <v>0</v>
      </c>
      <c r="T204" s="3" t="str">
        <f>Tab_Data_Flows[[#This Row],[UoM_Source]]</f>
        <v>Mg</v>
      </c>
      <c r="U204" s="24">
        <f>_xlfn.XLOOKUP(Tab_Data_Flows[[#This Row],[Flow_Name]],Tab_Def_Flows[Flow_Name],Tab_Def_Flows[Flow_E2_Fraction'[%']],"N.A.",0,1)</f>
        <v>0</v>
      </c>
      <c r="V204" s="3">
        <f>IF(D204="Yes",S204*Tab_Data_Flows[[#This Row],[E2_Fraction'[%']]],"N.A.")</f>
        <v>0</v>
      </c>
      <c r="W204" s="3" t="str">
        <f>Tab_Data_Flows[[#This Row],[E1_UoM]]</f>
        <v>Mg</v>
      </c>
      <c r="X204" s="24">
        <f>_xlfn.XLOOKUP(Tab_Data_Flows[[#This Row],[Flow_Name]],Tab_Def_Flows[Flow_Name],Tab_Def_Flows[Flow_E3_Fraction'[%']],"N.A.",0,1)</f>
        <v>0</v>
      </c>
      <c r="Y204" s="3">
        <f>IF(E204="Yes",X204*Tab_Data_Flows[[#This Row],[E1_value]],"N.A.")</f>
        <v>0</v>
      </c>
      <c r="Z204" s="3" t="str">
        <f>Tab_Data_Flows[[#This Row],[E1_UoM]]</f>
        <v>Mg</v>
      </c>
      <c r="AA204" s="24">
        <f>_xlfn.XLOOKUP(Tab_Data_Flows[[#This Row],[Flow_Name]],Tab_Def_Flows[Flow_Name],Tab_Def_Flows[Flow_E4_Fraction'[%']],"N.A.",0,1)</f>
        <v>0</v>
      </c>
      <c r="AB204" s="3">
        <f>IF(H204="Yes",Tab_Data_Flows[[#This Row],[E4_Fraction'[%']]]*Tab_Data_Flows[[#This Row],[E1_value]],"N.A.")</f>
        <v>0</v>
      </c>
      <c r="AC204" s="3" t="str">
        <f>Tab_Data_Flows[[#This Row],[E1_UoM]]</f>
        <v>Mg</v>
      </c>
      <c r="AD204" s="24">
        <f>_xlfn.XLOOKUP(Tab_Data_Flows[[#This Row],[Flow_Name]],Tab_Def_Flows[Flow_Name],Tab_Def_Flows[Flow_E5_Fraction'[%']],"N.A.",0,1)</f>
        <v>0</v>
      </c>
      <c r="AE204" s="3">
        <f>IF(H204="Yes",Tab_Data_Flows[[#This Row],[E5_Fraction'[%']]]*Tab_Data_Flows[[#This Row],[E1_value]],"N.A.")</f>
        <v>0</v>
      </c>
      <c r="AF204" s="3" t="str">
        <f>Tab_Data_Flows[[#This Row],[E1_UoM]]</f>
        <v>Mg</v>
      </c>
      <c r="AG204" s="24">
        <f>_xlfn.XLOOKUP(Tab_Data_Flows[[#This Row],[Flow_Name]],Tab_Def_Flows[Flow_Name],Tab_Def_Flows[Flow_E6_Fraction'[%']],"N.A.",0,1)</f>
        <v>0</v>
      </c>
      <c r="AH204" s="3">
        <f>IF(Tab_Data_Flows[[#This Row],[Use_E6]]="Yes",Tab_Data_Flows[[#This Row],[E6_Fraction'[%']]]*Tab_Data_Flows[[#This Row],[E1_value]],"N.A.")</f>
        <v>0</v>
      </c>
      <c r="AI204" s="3" t="str">
        <f>Tab_Data_Flows[[#This Row],[E1_UoM]]</f>
        <v>Mg</v>
      </c>
    </row>
    <row r="205" spans="1:35" x14ac:dyDescent="0.25">
      <c r="A205" s="5">
        <f t="shared" si="7"/>
        <v>204</v>
      </c>
      <c r="B205" s="3" t="str">
        <f>_xlfn.XLOOKUP(C205,Tab_Def_Flows[Flow_Name],Tab_Def_Flows[Flow_ID],,0,)</f>
        <v>F__</v>
      </c>
      <c r="C205" s="23" t="s">
        <v>5</v>
      </c>
      <c r="D205" s="6" t="str">
        <f>_xlfn.XLOOKUP(C205,Tab_Def_Flows[Flow_Name],Tab_Def_Flows[Use_E1],,0,)</f>
        <v>Yes</v>
      </c>
      <c r="E205" s="6" t="str">
        <f>_xlfn.XLOOKUP(C205,Tab_Def_Flows[Flow_Name],Tab_Def_Flows[Use_E2],,0,)</f>
        <v>Yes</v>
      </c>
      <c r="F205" s="6" t="str">
        <f>_xlfn.XLOOKUP(C205,Tab_Def_Flows[Flow_Name],Tab_Def_Flows[Use_E3],,0,)</f>
        <v>Yes</v>
      </c>
      <c r="G205" s="6" t="str">
        <f>_xlfn.XLOOKUP(C205,Tab_Def_Flows[Flow_Name],Tab_Def_Flows[Use_E4],,0,)</f>
        <v>Yes</v>
      </c>
      <c r="H205" s="6" t="str">
        <f>_xlfn.XLOOKUP(C205,Tab_Def_Flows[Flow_Name],Tab_Def_Flows[Use_E5],,0,)</f>
        <v>Yes</v>
      </c>
      <c r="I205" s="6" t="str">
        <f>_xlfn.XLOOKUP(C205,Tab_Def_Flows[Flow_Name],Tab_Def_Flows[Use_E6],,0,)</f>
        <v>Yes</v>
      </c>
      <c r="J205" s="4"/>
      <c r="K205" s="18"/>
      <c r="L205" s="3" t="str">
        <f>'0_Configuration'!$C$41</f>
        <v>Mg</v>
      </c>
      <c r="M205" s="10"/>
      <c r="N205" s="23" t="s">
        <v>3</v>
      </c>
      <c r="O205" s="11"/>
      <c r="P205" s="4"/>
      <c r="Q205" s="10"/>
      <c r="R205" s="3">
        <f>_xlfn.XLOOKUP(Tab_Data_Flows[[#This Row],[Flow_Name]],Tab_Def_Flows[Flow_Name],Tab_Def_Flows[Flow_E1_Fraction'[%']],"N.A.",0,1)</f>
        <v>0</v>
      </c>
      <c r="S205" s="9">
        <f t="shared" si="6"/>
        <v>0</v>
      </c>
      <c r="T205" s="3" t="str">
        <f>Tab_Data_Flows[[#This Row],[UoM_Source]]</f>
        <v>Mg</v>
      </c>
      <c r="U205" s="24">
        <f>_xlfn.XLOOKUP(Tab_Data_Flows[[#This Row],[Flow_Name]],Tab_Def_Flows[Flow_Name],Tab_Def_Flows[Flow_E2_Fraction'[%']],"N.A.",0,1)</f>
        <v>0</v>
      </c>
      <c r="V205" s="3">
        <f>IF(D205="Yes",S205*Tab_Data_Flows[[#This Row],[E2_Fraction'[%']]],"N.A.")</f>
        <v>0</v>
      </c>
      <c r="W205" s="3" t="str">
        <f>Tab_Data_Flows[[#This Row],[E1_UoM]]</f>
        <v>Mg</v>
      </c>
      <c r="X205" s="24">
        <f>_xlfn.XLOOKUP(Tab_Data_Flows[[#This Row],[Flow_Name]],Tab_Def_Flows[Flow_Name],Tab_Def_Flows[Flow_E3_Fraction'[%']],"N.A.",0,1)</f>
        <v>0</v>
      </c>
      <c r="Y205" s="3">
        <f>IF(E205="Yes",X205*Tab_Data_Flows[[#This Row],[E1_value]],"N.A.")</f>
        <v>0</v>
      </c>
      <c r="Z205" s="3" t="str">
        <f>Tab_Data_Flows[[#This Row],[E1_UoM]]</f>
        <v>Mg</v>
      </c>
      <c r="AA205" s="24">
        <f>_xlfn.XLOOKUP(Tab_Data_Flows[[#This Row],[Flow_Name]],Tab_Def_Flows[Flow_Name],Tab_Def_Flows[Flow_E4_Fraction'[%']],"N.A.",0,1)</f>
        <v>0</v>
      </c>
      <c r="AB205" s="3">
        <f>IF(H205="Yes",Tab_Data_Flows[[#This Row],[E4_Fraction'[%']]]*Tab_Data_Flows[[#This Row],[E1_value]],"N.A.")</f>
        <v>0</v>
      </c>
      <c r="AC205" s="3" t="str">
        <f>Tab_Data_Flows[[#This Row],[E1_UoM]]</f>
        <v>Mg</v>
      </c>
      <c r="AD205" s="24">
        <f>_xlfn.XLOOKUP(Tab_Data_Flows[[#This Row],[Flow_Name]],Tab_Def_Flows[Flow_Name],Tab_Def_Flows[Flow_E5_Fraction'[%']],"N.A.",0,1)</f>
        <v>0</v>
      </c>
      <c r="AE205" s="3">
        <f>IF(H205="Yes",Tab_Data_Flows[[#This Row],[E5_Fraction'[%']]]*Tab_Data_Flows[[#This Row],[E1_value]],"N.A.")</f>
        <v>0</v>
      </c>
      <c r="AF205" s="3" t="str">
        <f>Tab_Data_Flows[[#This Row],[E1_UoM]]</f>
        <v>Mg</v>
      </c>
      <c r="AG205" s="24">
        <f>_xlfn.XLOOKUP(Tab_Data_Flows[[#This Row],[Flow_Name]],Tab_Def_Flows[Flow_Name],Tab_Def_Flows[Flow_E6_Fraction'[%']],"N.A.",0,1)</f>
        <v>0</v>
      </c>
      <c r="AH205" s="3">
        <f>IF(Tab_Data_Flows[[#This Row],[Use_E6]]="Yes",Tab_Data_Flows[[#This Row],[E6_Fraction'[%']]]*Tab_Data_Flows[[#This Row],[E1_value]],"N.A.")</f>
        <v>0</v>
      </c>
      <c r="AI205" s="3" t="str">
        <f>Tab_Data_Flows[[#This Row],[E1_UoM]]</f>
        <v>Mg</v>
      </c>
    </row>
    <row r="206" spans="1:35" x14ac:dyDescent="0.25">
      <c r="A206" s="5">
        <f t="shared" si="7"/>
        <v>205</v>
      </c>
      <c r="B206" s="3" t="str">
        <f>_xlfn.XLOOKUP(C206,Tab_Def_Flows[Flow_Name],Tab_Def_Flows[Flow_ID],,0,)</f>
        <v>F__</v>
      </c>
      <c r="C206" s="23" t="s">
        <v>5</v>
      </c>
      <c r="D206" s="6" t="str">
        <f>_xlfn.XLOOKUP(C206,Tab_Def_Flows[Flow_Name],Tab_Def_Flows[Use_E1],,0,)</f>
        <v>Yes</v>
      </c>
      <c r="E206" s="6" t="str">
        <f>_xlfn.XLOOKUP(C206,Tab_Def_Flows[Flow_Name],Tab_Def_Flows[Use_E2],,0,)</f>
        <v>Yes</v>
      </c>
      <c r="F206" s="6" t="str">
        <f>_xlfn.XLOOKUP(C206,Tab_Def_Flows[Flow_Name],Tab_Def_Flows[Use_E3],,0,)</f>
        <v>Yes</v>
      </c>
      <c r="G206" s="6" t="str">
        <f>_xlfn.XLOOKUP(C206,Tab_Def_Flows[Flow_Name],Tab_Def_Flows[Use_E4],,0,)</f>
        <v>Yes</v>
      </c>
      <c r="H206" s="6" t="str">
        <f>_xlfn.XLOOKUP(C206,Tab_Def_Flows[Flow_Name],Tab_Def_Flows[Use_E5],,0,)</f>
        <v>Yes</v>
      </c>
      <c r="I206" s="6" t="str">
        <f>_xlfn.XLOOKUP(C206,Tab_Def_Flows[Flow_Name],Tab_Def_Flows[Use_E6],,0,)</f>
        <v>Yes</v>
      </c>
      <c r="J206" s="4"/>
      <c r="K206" s="18"/>
      <c r="L206" s="3" t="str">
        <f>'0_Configuration'!$C$41</f>
        <v>Mg</v>
      </c>
      <c r="M206" s="10"/>
      <c r="N206" s="23" t="s">
        <v>3</v>
      </c>
      <c r="O206" s="11"/>
      <c r="P206" s="4"/>
      <c r="Q206" s="10"/>
      <c r="R206" s="3">
        <f>_xlfn.XLOOKUP(Tab_Data_Flows[[#This Row],[Flow_Name]],Tab_Def_Flows[Flow_Name],Tab_Def_Flows[Flow_E1_Fraction'[%']],"N.A.",0,1)</f>
        <v>0</v>
      </c>
      <c r="S206" s="9">
        <f t="shared" si="6"/>
        <v>0</v>
      </c>
      <c r="T206" s="3" t="str">
        <f>Tab_Data_Flows[[#This Row],[UoM_Source]]</f>
        <v>Mg</v>
      </c>
      <c r="U206" s="24">
        <f>_xlfn.XLOOKUP(Tab_Data_Flows[[#This Row],[Flow_Name]],Tab_Def_Flows[Flow_Name],Tab_Def_Flows[Flow_E2_Fraction'[%']],"N.A.",0,1)</f>
        <v>0</v>
      </c>
      <c r="V206" s="3">
        <f>IF(D206="Yes",S206*Tab_Data_Flows[[#This Row],[E2_Fraction'[%']]],"N.A.")</f>
        <v>0</v>
      </c>
      <c r="W206" s="3" t="str">
        <f>Tab_Data_Flows[[#This Row],[E1_UoM]]</f>
        <v>Mg</v>
      </c>
      <c r="X206" s="24">
        <f>_xlfn.XLOOKUP(Tab_Data_Flows[[#This Row],[Flow_Name]],Tab_Def_Flows[Flow_Name],Tab_Def_Flows[Flow_E3_Fraction'[%']],"N.A.",0,1)</f>
        <v>0</v>
      </c>
      <c r="Y206" s="3">
        <f>IF(E206="Yes",X206*Tab_Data_Flows[[#This Row],[E1_value]],"N.A.")</f>
        <v>0</v>
      </c>
      <c r="Z206" s="3" t="str">
        <f>Tab_Data_Flows[[#This Row],[E1_UoM]]</f>
        <v>Mg</v>
      </c>
      <c r="AA206" s="24">
        <f>_xlfn.XLOOKUP(Tab_Data_Flows[[#This Row],[Flow_Name]],Tab_Def_Flows[Flow_Name],Tab_Def_Flows[Flow_E4_Fraction'[%']],"N.A.",0,1)</f>
        <v>0</v>
      </c>
      <c r="AB206" s="3">
        <f>IF(H206="Yes",Tab_Data_Flows[[#This Row],[E4_Fraction'[%']]]*Tab_Data_Flows[[#This Row],[E1_value]],"N.A.")</f>
        <v>0</v>
      </c>
      <c r="AC206" s="3" t="str">
        <f>Tab_Data_Flows[[#This Row],[E1_UoM]]</f>
        <v>Mg</v>
      </c>
      <c r="AD206" s="24">
        <f>_xlfn.XLOOKUP(Tab_Data_Flows[[#This Row],[Flow_Name]],Tab_Def_Flows[Flow_Name],Tab_Def_Flows[Flow_E5_Fraction'[%']],"N.A.",0,1)</f>
        <v>0</v>
      </c>
      <c r="AE206" s="3">
        <f>IF(H206="Yes",Tab_Data_Flows[[#This Row],[E5_Fraction'[%']]]*Tab_Data_Flows[[#This Row],[E1_value]],"N.A.")</f>
        <v>0</v>
      </c>
      <c r="AF206" s="3" t="str">
        <f>Tab_Data_Flows[[#This Row],[E1_UoM]]</f>
        <v>Mg</v>
      </c>
      <c r="AG206" s="24">
        <f>_xlfn.XLOOKUP(Tab_Data_Flows[[#This Row],[Flow_Name]],Tab_Def_Flows[Flow_Name],Tab_Def_Flows[Flow_E6_Fraction'[%']],"N.A.",0,1)</f>
        <v>0</v>
      </c>
      <c r="AH206" s="3">
        <f>IF(Tab_Data_Flows[[#This Row],[Use_E6]]="Yes",Tab_Data_Flows[[#This Row],[E6_Fraction'[%']]]*Tab_Data_Flows[[#This Row],[E1_value]],"N.A.")</f>
        <v>0</v>
      </c>
      <c r="AI206" s="3" t="str">
        <f>Tab_Data_Flows[[#This Row],[E1_UoM]]</f>
        <v>Mg</v>
      </c>
    </row>
    <row r="207" spans="1:35" x14ac:dyDescent="0.25">
      <c r="A207" s="5">
        <f t="shared" si="7"/>
        <v>206</v>
      </c>
      <c r="B207" s="3" t="str">
        <f>_xlfn.XLOOKUP(C207,Tab_Def_Flows[Flow_Name],Tab_Def_Flows[Flow_ID],,0,)</f>
        <v>F__</v>
      </c>
      <c r="C207" s="23" t="s">
        <v>5</v>
      </c>
      <c r="D207" s="6" t="str">
        <f>_xlfn.XLOOKUP(C207,Tab_Def_Flows[Flow_Name],Tab_Def_Flows[Use_E1],,0,)</f>
        <v>Yes</v>
      </c>
      <c r="E207" s="6" t="str">
        <f>_xlfn.XLOOKUP(C207,Tab_Def_Flows[Flow_Name],Tab_Def_Flows[Use_E2],,0,)</f>
        <v>Yes</v>
      </c>
      <c r="F207" s="6" t="str">
        <f>_xlfn.XLOOKUP(C207,Tab_Def_Flows[Flow_Name],Tab_Def_Flows[Use_E3],,0,)</f>
        <v>Yes</v>
      </c>
      <c r="G207" s="6" t="str">
        <f>_xlfn.XLOOKUP(C207,Tab_Def_Flows[Flow_Name],Tab_Def_Flows[Use_E4],,0,)</f>
        <v>Yes</v>
      </c>
      <c r="H207" s="6" t="str">
        <f>_xlfn.XLOOKUP(C207,Tab_Def_Flows[Flow_Name],Tab_Def_Flows[Use_E5],,0,)</f>
        <v>Yes</v>
      </c>
      <c r="I207" s="6" t="str">
        <f>_xlfn.XLOOKUP(C207,Tab_Def_Flows[Flow_Name],Tab_Def_Flows[Use_E6],,0,)</f>
        <v>Yes</v>
      </c>
      <c r="J207" s="4"/>
      <c r="K207" s="18"/>
      <c r="L207" s="3" t="str">
        <f>'0_Configuration'!$C$41</f>
        <v>Mg</v>
      </c>
      <c r="M207" s="10"/>
      <c r="N207" s="23" t="s">
        <v>3</v>
      </c>
      <c r="O207" s="11"/>
      <c r="P207" s="4"/>
      <c r="Q207" s="10"/>
      <c r="R207" s="3">
        <f>_xlfn.XLOOKUP(Tab_Data_Flows[[#This Row],[Flow_Name]],Tab_Def_Flows[Flow_Name],Tab_Def_Flows[Flow_E1_Fraction'[%']],"N.A.",0,1)</f>
        <v>0</v>
      </c>
      <c r="S207" s="9">
        <f t="shared" si="6"/>
        <v>0</v>
      </c>
      <c r="T207" s="3" t="str">
        <f>Tab_Data_Flows[[#This Row],[UoM_Source]]</f>
        <v>Mg</v>
      </c>
      <c r="U207" s="24">
        <f>_xlfn.XLOOKUP(Tab_Data_Flows[[#This Row],[Flow_Name]],Tab_Def_Flows[Flow_Name],Tab_Def_Flows[Flow_E2_Fraction'[%']],"N.A.",0,1)</f>
        <v>0</v>
      </c>
      <c r="V207" s="3">
        <f>IF(D207="Yes",S207*Tab_Data_Flows[[#This Row],[E2_Fraction'[%']]],"N.A.")</f>
        <v>0</v>
      </c>
      <c r="W207" s="3" t="str">
        <f>Tab_Data_Flows[[#This Row],[E1_UoM]]</f>
        <v>Mg</v>
      </c>
      <c r="X207" s="24">
        <f>_xlfn.XLOOKUP(Tab_Data_Flows[[#This Row],[Flow_Name]],Tab_Def_Flows[Flow_Name],Tab_Def_Flows[Flow_E3_Fraction'[%']],"N.A.",0,1)</f>
        <v>0</v>
      </c>
      <c r="Y207" s="3">
        <f>IF(E207="Yes",X207*Tab_Data_Flows[[#This Row],[E1_value]],"N.A.")</f>
        <v>0</v>
      </c>
      <c r="Z207" s="3" t="str">
        <f>Tab_Data_Flows[[#This Row],[E1_UoM]]</f>
        <v>Mg</v>
      </c>
      <c r="AA207" s="24">
        <f>_xlfn.XLOOKUP(Tab_Data_Flows[[#This Row],[Flow_Name]],Tab_Def_Flows[Flow_Name],Tab_Def_Flows[Flow_E4_Fraction'[%']],"N.A.",0,1)</f>
        <v>0</v>
      </c>
      <c r="AB207" s="3">
        <f>IF(H207="Yes",Tab_Data_Flows[[#This Row],[E4_Fraction'[%']]]*Tab_Data_Flows[[#This Row],[E1_value]],"N.A.")</f>
        <v>0</v>
      </c>
      <c r="AC207" s="3" t="str">
        <f>Tab_Data_Flows[[#This Row],[E1_UoM]]</f>
        <v>Mg</v>
      </c>
      <c r="AD207" s="24">
        <f>_xlfn.XLOOKUP(Tab_Data_Flows[[#This Row],[Flow_Name]],Tab_Def_Flows[Flow_Name],Tab_Def_Flows[Flow_E5_Fraction'[%']],"N.A.",0,1)</f>
        <v>0</v>
      </c>
      <c r="AE207" s="3">
        <f>IF(H207="Yes",Tab_Data_Flows[[#This Row],[E5_Fraction'[%']]]*Tab_Data_Flows[[#This Row],[E1_value]],"N.A.")</f>
        <v>0</v>
      </c>
      <c r="AF207" s="3" t="str">
        <f>Tab_Data_Flows[[#This Row],[E1_UoM]]</f>
        <v>Mg</v>
      </c>
      <c r="AG207" s="24">
        <f>_xlfn.XLOOKUP(Tab_Data_Flows[[#This Row],[Flow_Name]],Tab_Def_Flows[Flow_Name],Tab_Def_Flows[Flow_E6_Fraction'[%']],"N.A.",0,1)</f>
        <v>0</v>
      </c>
      <c r="AH207" s="3">
        <f>IF(Tab_Data_Flows[[#This Row],[Use_E6]]="Yes",Tab_Data_Flows[[#This Row],[E6_Fraction'[%']]]*Tab_Data_Flows[[#This Row],[E1_value]],"N.A.")</f>
        <v>0</v>
      </c>
      <c r="AI207" s="3" t="str">
        <f>Tab_Data_Flows[[#This Row],[E1_UoM]]</f>
        <v>Mg</v>
      </c>
    </row>
    <row r="208" spans="1:35" x14ac:dyDescent="0.25">
      <c r="A208" s="5">
        <f t="shared" si="7"/>
        <v>207</v>
      </c>
      <c r="B208" s="3" t="str">
        <f>_xlfn.XLOOKUP(C208,Tab_Def_Flows[Flow_Name],Tab_Def_Flows[Flow_ID],,0,)</f>
        <v>F__</v>
      </c>
      <c r="C208" s="23" t="s">
        <v>5</v>
      </c>
      <c r="D208" s="6" t="str">
        <f>_xlfn.XLOOKUP(C208,Tab_Def_Flows[Flow_Name],Tab_Def_Flows[Use_E1],,0,)</f>
        <v>Yes</v>
      </c>
      <c r="E208" s="6" t="str">
        <f>_xlfn.XLOOKUP(C208,Tab_Def_Flows[Flow_Name],Tab_Def_Flows[Use_E2],,0,)</f>
        <v>Yes</v>
      </c>
      <c r="F208" s="6" t="str">
        <f>_xlfn.XLOOKUP(C208,Tab_Def_Flows[Flow_Name],Tab_Def_Flows[Use_E3],,0,)</f>
        <v>Yes</v>
      </c>
      <c r="G208" s="6" t="str">
        <f>_xlfn.XLOOKUP(C208,Tab_Def_Flows[Flow_Name],Tab_Def_Flows[Use_E4],,0,)</f>
        <v>Yes</v>
      </c>
      <c r="H208" s="6" t="str">
        <f>_xlfn.XLOOKUP(C208,Tab_Def_Flows[Flow_Name],Tab_Def_Flows[Use_E5],,0,)</f>
        <v>Yes</v>
      </c>
      <c r="I208" s="6" t="str">
        <f>_xlfn.XLOOKUP(C208,Tab_Def_Flows[Flow_Name],Tab_Def_Flows[Use_E6],,0,)</f>
        <v>Yes</v>
      </c>
      <c r="J208" s="4"/>
      <c r="K208" s="18"/>
      <c r="L208" s="3" t="str">
        <f>'0_Configuration'!$C$41</f>
        <v>Mg</v>
      </c>
      <c r="M208" s="10"/>
      <c r="N208" s="23" t="s">
        <v>3</v>
      </c>
      <c r="O208" s="11"/>
      <c r="P208" s="4"/>
      <c r="Q208" s="10"/>
      <c r="R208" s="3">
        <f>_xlfn.XLOOKUP(Tab_Data_Flows[[#This Row],[Flow_Name]],Tab_Def_Flows[Flow_Name],Tab_Def_Flows[Flow_E1_Fraction'[%']],"N.A.",0,1)</f>
        <v>0</v>
      </c>
      <c r="S208" s="9">
        <f t="shared" si="6"/>
        <v>0</v>
      </c>
      <c r="T208" s="3" t="str">
        <f>Tab_Data_Flows[[#This Row],[UoM_Source]]</f>
        <v>Mg</v>
      </c>
      <c r="U208" s="24">
        <f>_xlfn.XLOOKUP(Tab_Data_Flows[[#This Row],[Flow_Name]],Tab_Def_Flows[Flow_Name],Tab_Def_Flows[Flow_E2_Fraction'[%']],"N.A.",0,1)</f>
        <v>0</v>
      </c>
      <c r="V208" s="3">
        <f>IF(D208="Yes",S208*Tab_Data_Flows[[#This Row],[E2_Fraction'[%']]],"N.A.")</f>
        <v>0</v>
      </c>
      <c r="W208" s="3" t="str">
        <f>Tab_Data_Flows[[#This Row],[E1_UoM]]</f>
        <v>Mg</v>
      </c>
      <c r="X208" s="24">
        <f>_xlfn.XLOOKUP(Tab_Data_Flows[[#This Row],[Flow_Name]],Tab_Def_Flows[Flow_Name],Tab_Def_Flows[Flow_E3_Fraction'[%']],"N.A.",0,1)</f>
        <v>0</v>
      </c>
      <c r="Y208" s="3">
        <f>IF(E208="Yes",X208*Tab_Data_Flows[[#This Row],[E1_value]],"N.A.")</f>
        <v>0</v>
      </c>
      <c r="Z208" s="3" t="str">
        <f>Tab_Data_Flows[[#This Row],[E1_UoM]]</f>
        <v>Mg</v>
      </c>
      <c r="AA208" s="24">
        <f>_xlfn.XLOOKUP(Tab_Data_Flows[[#This Row],[Flow_Name]],Tab_Def_Flows[Flow_Name],Tab_Def_Flows[Flow_E4_Fraction'[%']],"N.A.",0,1)</f>
        <v>0</v>
      </c>
      <c r="AB208" s="3">
        <f>IF(H208="Yes",Tab_Data_Flows[[#This Row],[E4_Fraction'[%']]]*Tab_Data_Flows[[#This Row],[E1_value]],"N.A.")</f>
        <v>0</v>
      </c>
      <c r="AC208" s="3" t="str">
        <f>Tab_Data_Flows[[#This Row],[E1_UoM]]</f>
        <v>Mg</v>
      </c>
      <c r="AD208" s="24">
        <f>_xlfn.XLOOKUP(Tab_Data_Flows[[#This Row],[Flow_Name]],Tab_Def_Flows[Flow_Name],Tab_Def_Flows[Flow_E5_Fraction'[%']],"N.A.",0,1)</f>
        <v>0</v>
      </c>
      <c r="AE208" s="3">
        <f>IF(H208="Yes",Tab_Data_Flows[[#This Row],[E5_Fraction'[%']]]*Tab_Data_Flows[[#This Row],[E1_value]],"N.A.")</f>
        <v>0</v>
      </c>
      <c r="AF208" s="3" t="str">
        <f>Tab_Data_Flows[[#This Row],[E1_UoM]]</f>
        <v>Mg</v>
      </c>
      <c r="AG208" s="24">
        <f>_xlfn.XLOOKUP(Tab_Data_Flows[[#This Row],[Flow_Name]],Tab_Def_Flows[Flow_Name],Tab_Def_Flows[Flow_E6_Fraction'[%']],"N.A.",0,1)</f>
        <v>0</v>
      </c>
      <c r="AH208" s="3">
        <f>IF(Tab_Data_Flows[[#This Row],[Use_E6]]="Yes",Tab_Data_Flows[[#This Row],[E6_Fraction'[%']]]*Tab_Data_Flows[[#This Row],[E1_value]],"N.A.")</f>
        <v>0</v>
      </c>
      <c r="AI208" s="3" t="str">
        <f>Tab_Data_Flows[[#This Row],[E1_UoM]]</f>
        <v>Mg</v>
      </c>
    </row>
    <row r="209" spans="1:35" x14ac:dyDescent="0.25">
      <c r="A209" s="5">
        <f t="shared" si="7"/>
        <v>208</v>
      </c>
      <c r="B209" s="3" t="str">
        <f>_xlfn.XLOOKUP(C209,Tab_Def_Flows[Flow_Name],Tab_Def_Flows[Flow_ID],,0,)</f>
        <v>F__</v>
      </c>
      <c r="C209" s="23" t="s">
        <v>5</v>
      </c>
      <c r="D209" s="6" t="str">
        <f>_xlfn.XLOOKUP(C209,Tab_Def_Flows[Flow_Name],Tab_Def_Flows[Use_E1],,0,)</f>
        <v>Yes</v>
      </c>
      <c r="E209" s="6" t="str">
        <f>_xlfn.XLOOKUP(C209,Tab_Def_Flows[Flow_Name],Tab_Def_Flows[Use_E2],,0,)</f>
        <v>Yes</v>
      </c>
      <c r="F209" s="6" t="str">
        <f>_xlfn.XLOOKUP(C209,Tab_Def_Flows[Flow_Name],Tab_Def_Flows[Use_E3],,0,)</f>
        <v>Yes</v>
      </c>
      <c r="G209" s="6" t="str">
        <f>_xlfn.XLOOKUP(C209,Tab_Def_Flows[Flow_Name],Tab_Def_Flows[Use_E4],,0,)</f>
        <v>Yes</v>
      </c>
      <c r="H209" s="6" t="str">
        <f>_xlfn.XLOOKUP(C209,Tab_Def_Flows[Flow_Name],Tab_Def_Flows[Use_E5],,0,)</f>
        <v>Yes</v>
      </c>
      <c r="I209" s="6" t="str">
        <f>_xlfn.XLOOKUP(C209,Tab_Def_Flows[Flow_Name],Tab_Def_Flows[Use_E6],,0,)</f>
        <v>Yes</v>
      </c>
      <c r="J209" s="4"/>
      <c r="K209" s="18"/>
      <c r="L209" s="3" t="str">
        <f>'0_Configuration'!$C$41</f>
        <v>Mg</v>
      </c>
      <c r="M209" s="10"/>
      <c r="N209" s="23" t="s">
        <v>3</v>
      </c>
      <c r="O209" s="11"/>
      <c r="P209" s="4"/>
      <c r="Q209" s="10"/>
      <c r="R209" s="3">
        <f>_xlfn.XLOOKUP(Tab_Data_Flows[[#This Row],[Flow_Name]],Tab_Def_Flows[Flow_Name],Tab_Def_Flows[Flow_E1_Fraction'[%']],"N.A.",0,1)</f>
        <v>0</v>
      </c>
      <c r="S209" s="9">
        <f t="shared" si="6"/>
        <v>0</v>
      </c>
      <c r="T209" s="3" t="str">
        <f>Tab_Data_Flows[[#This Row],[UoM_Source]]</f>
        <v>Mg</v>
      </c>
      <c r="U209" s="24">
        <f>_xlfn.XLOOKUP(Tab_Data_Flows[[#This Row],[Flow_Name]],Tab_Def_Flows[Flow_Name],Tab_Def_Flows[Flow_E2_Fraction'[%']],"N.A.",0,1)</f>
        <v>0</v>
      </c>
      <c r="V209" s="3">
        <f>IF(D209="Yes",S209*Tab_Data_Flows[[#This Row],[E2_Fraction'[%']]],"N.A.")</f>
        <v>0</v>
      </c>
      <c r="W209" s="3" t="str">
        <f>Tab_Data_Flows[[#This Row],[E1_UoM]]</f>
        <v>Mg</v>
      </c>
      <c r="X209" s="24">
        <f>_xlfn.XLOOKUP(Tab_Data_Flows[[#This Row],[Flow_Name]],Tab_Def_Flows[Flow_Name],Tab_Def_Flows[Flow_E3_Fraction'[%']],"N.A.",0,1)</f>
        <v>0</v>
      </c>
      <c r="Y209" s="3">
        <f>IF(E209="Yes",X209*Tab_Data_Flows[[#This Row],[E1_value]],"N.A.")</f>
        <v>0</v>
      </c>
      <c r="Z209" s="3" t="str">
        <f>Tab_Data_Flows[[#This Row],[E1_UoM]]</f>
        <v>Mg</v>
      </c>
      <c r="AA209" s="24">
        <f>_xlfn.XLOOKUP(Tab_Data_Flows[[#This Row],[Flow_Name]],Tab_Def_Flows[Flow_Name],Tab_Def_Flows[Flow_E4_Fraction'[%']],"N.A.",0,1)</f>
        <v>0</v>
      </c>
      <c r="AB209" s="3">
        <f>IF(H209="Yes",Tab_Data_Flows[[#This Row],[E4_Fraction'[%']]]*Tab_Data_Flows[[#This Row],[E1_value]],"N.A.")</f>
        <v>0</v>
      </c>
      <c r="AC209" s="3" t="str">
        <f>Tab_Data_Flows[[#This Row],[E1_UoM]]</f>
        <v>Mg</v>
      </c>
      <c r="AD209" s="24">
        <f>_xlfn.XLOOKUP(Tab_Data_Flows[[#This Row],[Flow_Name]],Tab_Def_Flows[Flow_Name],Tab_Def_Flows[Flow_E5_Fraction'[%']],"N.A.",0,1)</f>
        <v>0</v>
      </c>
      <c r="AE209" s="3">
        <f>IF(H209="Yes",Tab_Data_Flows[[#This Row],[E5_Fraction'[%']]]*Tab_Data_Flows[[#This Row],[E1_value]],"N.A.")</f>
        <v>0</v>
      </c>
      <c r="AF209" s="3" t="str">
        <f>Tab_Data_Flows[[#This Row],[E1_UoM]]</f>
        <v>Mg</v>
      </c>
      <c r="AG209" s="24">
        <f>_xlfn.XLOOKUP(Tab_Data_Flows[[#This Row],[Flow_Name]],Tab_Def_Flows[Flow_Name],Tab_Def_Flows[Flow_E6_Fraction'[%']],"N.A.",0,1)</f>
        <v>0</v>
      </c>
      <c r="AH209" s="3">
        <f>IF(Tab_Data_Flows[[#This Row],[Use_E6]]="Yes",Tab_Data_Flows[[#This Row],[E6_Fraction'[%']]]*Tab_Data_Flows[[#This Row],[E1_value]],"N.A.")</f>
        <v>0</v>
      </c>
      <c r="AI209" s="3" t="str">
        <f>Tab_Data_Flows[[#This Row],[E1_UoM]]</f>
        <v>Mg</v>
      </c>
    </row>
    <row r="210" spans="1:35" x14ac:dyDescent="0.25">
      <c r="A210" s="5">
        <f t="shared" si="7"/>
        <v>209</v>
      </c>
      <c r="B210" s="3" t="str">
        <f>_xlfn.XLOOKUP(C210,Tab_Def_Flows[Flow_Name],Tab_Def_Flows[Flow_ID],,0,)</f>
        <v>F__</v>
      </c>
      <c r="C210" s="23" t="s">
        <v>5</v>
      </c>
      <c r="D210" s="6" t="str">
        <f>_xlfn.XLOOKUP(C210,Tab_Def_Flows[Flow_Name],Tab_Def_Flows[Use_E1],,0,)</f>
        <v>Yes</v>
      </c>
      <c r="E210" s="6" t="str">
        <f>_xlfn.XLOOKUP(C210,Tab_Def_Flows[Flow_Name],Tab_Def_Flows[Use_E2],,0,)</f>
        <v>Yes</v>
      </c>
      <c r="F210" s="6" t="str">
        <f>_xlfn.XLOOKUP(C210,Tab_Def_Flows[Flow_Name],Tab_Def_Flows[Use_E3],,0,)</f>
        <v>Yes</v>
      </c>
      <c r="G210" s="6" t="str">
        <f>_xlfn.XLOOKUP(C210,Tab_Def_Flows[Flow_Name],Tab_Def_Flows[Use_E4],,0,)</f>
        <v>Yes</v>
      </c>
      <c r="H210" s="6" t="str">
        <f>_xlfn.XLOOKUP(C210,Tab_Def_Flows[Flow_Name],Tab_Def_Flows[Use_E5],,0,)</f>
        <v>Yes</v>
      </c>
      <c r="I210" s="6" t="str">
        <f>_xlfn.XLOOKUP(C210,Tab_Def_Flows[Flow_Name],Tab_Def_Flows[Use_E6],,0,)</f>
        <v>Yes</v>
      </c>
      <c r="J210" s="4"/>
      <c r="K210" s="18"/>
      <c r="L210" s="3" t="str">
        <f>'0_Configuration'!$C$41</f>
        <v>Mg</v>
      </c>
      <c r="M210" s="10"/>
      <c r="N210" s="23" t="s">
        <v>3</v>
      </c>
      <c r="O210" s="11"/>
      <c r="P210" s="4"/>
      <c r="Q210" s="10"/>
      <c r="R210" s="3">
        <f>_xlfn.XLOOKUP(Tab_Data_Flows[[#This Row],[Flow_Name]],Tab_Def_Flows[Flow_Name],Tab_Def_Flows[Flow_E1_Fraction'[%']],"N.A.",0,1)</f>
        <v>0</v>
      </c>
      <c r="S210" s="9">
        <f t="shared" si="6"/>
        <v>0</v>
      </c>
      <c r="T210" s="3" t="str">
        <f>Tab_Data_Flows[[#This Row],[UoM_Source]]</f>
        <v>Mg</v>
      </c>
      <c r="U210" s="24">
        <f>_xlfn.XLOOKUP(Tab_Data_Flows[[#This Row],[Flow_Name]],Tab_Def_Flows[Flow_Name],Tab_Def_Flows[Flow_E2_Fraction'[%']],"N.A.",0,1)</f>
        <v>0</v>
      </c>
      <c r="V210" s="3">
        <f>IF(D210="Yes",S210*Tab_Data_Flows[[#This Row],[E2_Fraction'[%']]],"N.A.")</f>
        <v>0</v>
      </c>
      <c r="W210" s="3" t="str">
        <f>Tab_Data_Flows[[#This Row],[E1_UoM]]</f>
        <v>Mg</v>
      </c>
      <c r="X210" s="24">
        <f>_xlfn.XLOOKUP(Tab_Data_Flows[[#This Row],[Flow_Name]],Tab_Def_Flows[Flow_Name],Tab_Def_Flows[Flow_E3_Fraction'[%']],"N.A.",0,1)</f>
        <v>0</v>
      </c>
      <c r="Y210" s="3">
        <f>IF(E210="Yes",X210*Tab_Data_Flows[[#This Row],[E1_value]],"N.A.")</f>
        <v>0</v>
      </c>
      <c r="Z210" s="3" t="str">
        <f>Tab_Data_Flows[[#This Row],[E1_UoM]]</f>
        <v>Mg</v>
      </c>
      <c r="AA210" s="24">
        <f>_xlfn.XLOOKUP(Tab_Data_Flows[[#This Row],[Flow_Name]],Tab_Def_Flows[Flow_Name],Tab_Def_Flows[Flow_E4_Fraction'[%']],"N.A.",0,1)</f>
        <v>0</v>
      </c>
      <c r="AB210" s="3">
        <f>IF(H210="Yes",Tab_Data_Flows[[#This Row],[E4_Fraction'[%']]]*Tab_Data_Flows[[#This Row],[E1_value]],"N.A.")</f>
        <v>0</v>
      </c>
      <c r="AC210" s="3" t="str">
        <f>Tab_Data_Flows[[#This Row],[E1_UoM]]</f>
        <v>Mg</v>
      </c>
      <c r="AD210" s="24">
        <f>_xlfn.XLOOKUP(Tab_Data_Flows[[#This Row],[Flow_Name]],Tab_Def_Flows[Flow_Name],Tab_Def_Flows[Flow_E5_Fraction'[%']],"N.A.",0,1)</f>
        <v>0</v>
      </c>
      <c r="AE210" s="3">
        <f>IF(H210="Yes",Tab_Data_Flows[[#This Row],[E5_Fraction'[%']]]*Tab_Data_Flows[[#This Row],[E1_value]],"N.A.")</f>
        <v>0</v>
      </c>
      <c r="AF210" s="3" t="str">
        <f>Tab_Data_Flows[[#This Row],[E1_UoM]]</f>
        <v>Mg</v>
      </c>
      <c r="AG210" s="24">
        <f>_xlfn.XLOOKUP(Tab_Data_Flows[[#This Row],[Flow_Name]],Tab_Def_Flows[Flow_Name],Tab_Def_Flows[Flow_E6_Fraction'[%']],"N.A.",0,1)</f>
        <v>0</v>
      </c>
      <c r="AH210" s="3">
        <f>IF(Tab_Data_Flows[[#This Row],[Use_E6]]="Yes",Tab_Data_Flows[[#This Row],[E6_Fraction'[%']]]*Tab_Data_Flows[[#This Row],[E1_value]],"N.A.")</f>
        <v>0</v>
      </c>
      <c r="AI210" s="3" t="str">
        <f>Tab_Data_Flows[[#This Row],[E1_UoM]]</f>
        <v>Mg</v>
      </c>
    </row>
    <row r="211" spans="1:35" x14ac:dyDescent="0.25">
      <c r="A211" s="5">
        <f t="shared" si="7"/>
        <v>210</v>
      </c>
      <c r="B211" s="3" t="str">
        <f>_xlfn.XLOOKUP(C211,Tab_Def_Flows[Flow_Name],Tab_Def_Flows[Flow_ID],,0,)</f>
        <v>F__</v>
      </c>
      <c r="C211" s="23" t="s">
        <v>5</v>
      </c>
      <c r="D211" s="6" t="str">
        <f>_xlfn.XLOOKUP(C211,Tab_Def_Flows[Flow_Name],Tab_Def_Flows[Use_E1],,0,)</f>
        <v>Yes</v>
      </c>
      <c r="E211" s="6" t="str">
        <f>_xlfn.XLOOKUP(C211,Tab_Def_Flows[Flow_Name],Tab_Def_Flows[Use_E2],,0,)</f>
        <v>Yes</v>
      </c>
      <c r="F211" s="6" t="str">
        <f>_xlfn.XLOOKUP(C211,Tab_Def_Flows[Flow_Name],Tab_Def_Flows[Use_E3],,0,)</f>
        <v>Yes</v>
      </c>
      <c r="G211" s="6" t="str">
        <f>_xlfn.XLOOKUP(C211,Tab_Def_Flows[Flow_Name],Tab_Def_Flows[Use_E4],,0,)</f>
        <v>Yes</v>
      </c>
      <c r="H211" s="6" t="str">
        <f>_xlfn.XLOOKUP(C211,Tab_Def_Flows[Flow_Name],Tab_Def_Flows[Use_E5],,0,)</f>
        <v>Yes</v>
      </c>
      <c r="I211" s="6" t="str">
        <f>_xlfn.XLOOKUP(C211,Tab_Def_Flows[Flow_Name],Tab_Def_Flows[Use_E6],,0,)</f>
        <v>Yes</v>
      </c>
      <c r="J211" s="4"/>
      <c r="K211" s="18"/>
      <c r="L211" s="3" t="str">
        <f>'0_Configuration'!$C$41</f>
        <v>Mg</v>
      </c>
      <c r="M211" s="10"/>
      <c r="N211" s="23" t="s">
        <v>3</v>
      </c>
      <c r="O211" s="11"/>
      <c r="P211" s="4"/>
      <c r="Q211" s="10"/>
      <c r="R211" s="3">
        <f>_xlfn.XLOOKUP(Tab_Data_Flows[[#This Row],[Flow_Name]],Tab_Def_Flows[Flow_Name],Tab_Def_Flows[Flow_E1_Fraction'[%']],"N.A.",0,1)</f>
        <v>0</v>
      </c>
      <c r="S211" s="9">
        <f t="shared" si="6"/>
        <v>0</v>
      </c>
      <c r="T211" s="3" t="str">
        <f>Tab_Data_Flows[[#This Row],[UoM_Source]]</f>
        <v>Mg</v>
      </c>
      <c r="U211" s="24">
        <f>_xlfn.XLOOKUP(Tab_Data_Flows[[#This Row],[Flow_Name]],Tab_Def_Flows[Flow_Name],Tab_Def_Flows[Flow_E2_Fraction'[%']],"N.A.",0,1)</f>
        <v>0</v>
      </c>
      <c r="V211" s="3">
        <f>IF(D211="Yes",S211*Tab_Data_Flows[[#This Row],[E2_Fraction'[%']]],"N.A.")</f>
        <v>0</v>
      </c>
      <c r="W211" s="3" t="str">
        <f>Tab_Data_Flows[[#This Row],[E1_UoM]]</f>
        <v>Mg</v>
      </c>
      <c r="X211" s="24">
        <f>_xlfn.XLOOKUP(Tab_Data_Flows[[#This Row],[Flow_Name]],Tab_Def_Flows[Flow_Name],Tab_Def_Flows[Flow_E3_Fraction'[%']],"N.A.",0,1)</f>
        <v>0</v>
      </c>
      <c r="Y211" s="3">
        <f>IF(E211="Yes",X211*Tab_Data_Flows[[#This Row],[E1_value]],"N.A.")</f>
        <v>0</v>
      </c>
      <c r="Z211" s="3" t="str">
        <f>Tab_Data_Flows[[#This Row],[E1_UoM]]</f>
        <v>Mg</v>
      </c>
      <c r="AA211" s="24">
        <f>_xlfn.XLOOKUP(Tab_Data_Flows[[#This Row],[Flow_Name]],Tab_Def_Flows[Flow_Name],Tab_Def_Flows[Flow_E4_Fraction'[%']],"N.A.",0,1)</f>
        <v>0</v>
      </c>
      <c r="AB211" s="3">
        <f>IF(H211="Yes",Tab_Data_Flows[[#This Row],[E4_Fraction'[%']]]*Tab_Data_Flows[[#This Row],[E1_value]],"N.A.")</f>
        <v>0</v>
      </c>
      <c r="AC211" s="3" t="str">
        <f>Tab_Data_Flows[[#This Row],[E1_UoM]]</f>
        <v>Mg</v>
      </c>
      <c r="AD211" s="24">
        <f>_xlfn.XLOOKUP(Tab_Data_Flows[[#This Row],[Flow_Name]],Tab_Def_Flows[Flow_Name],Tab_Def_Flows[Flow_E5_Fraction'[%']],"N.A.",0,1)</f>
        <v>0</v>
      </c>
      <c r="AE211" s="3">
        <f>IF(H211="Yes",Tab_Data_Flows[[#This Row],[E5_Fraction'[%']]]*Tab_Data_Flows[[#This Row],[E1_value]],"N.A.")</f>
        <v>0</v>
      </c>
      <c r="AF211" s="3" t="str">
        <f>Tab_Data_Flows[[#This Row],[E1_UoM]]</f>
        <v>Mg</v>
      </c>
      <c r="AG211" s="24">
        <f>_xlfn.XLOOKUP(Tab_Data_Flows[[#This Row],[Flow_Name]],Tab_Def_Flows[Flow_Name],Tab_Def_Flows[Flow_E6_Fraction'[%']],"N.A.",0,1)</f>
        <v>0</v>
      </c>
      <c r="AH211" s="3">
        <f>IF(Tab_Data_Flows[[#This Row],[Use_E6]]="Yes",Tab_Data_Flows[[#This Row],[E6_Fraction'[%']]]*Tab_Data_Flows[[#This Row],[E1_value]],"N.A.")</f>
        <v>0</v>
      </c>
      <c r="AI211" s="3" t="str">
        <f>Tab_Data_Flows[[#This Row],[E1_UoM]]</f>
        <v>Mg</v>
      </c>
    </row>
    <row r="212" spans="1:35" x14ac:dyDescent="0.25">
      <c r="A212" s="5">
        <f t="shared" si="7"/>
        <v>211</v>
      </c>
      <c r="B212" s="3" t="str">
        <f>_xlfn.XLOOKUP(C212,Tab_Def_Flows[Flow_Name],Tab_Def_Flows[Flow_ID],,0,)</f>
        <v>F__</v>
      </c>
      <c r="C212" s="23" t="s">
        <v>5</v>
      </c>
      <c r="D212" s="6" t="str">
        <f>_xlfn.XLOOKUP(C212,Tab_Def_Flows[Flow_Name],Tab_Def_Flows[Use_E1],,0,)</f>
        <v>Yes</v>
      </c>
      <c r="E212" s="6" t="str">
        <f>_xlfn.XLOOKUP(C212,Tab_Def_Flows[Flow_Name],Tab_Def_Flows[Use_E2],,0,)</f>
        <v>Yes</v>
      </c>
      <c r="F212" s="6" t="str">
        <f>_xlfn.XLOOKUP(C212,Tab_Def_Flows[Flow_Name],Tab_Def_Flows[Use_E3],,0,)</f>
        <v>Yes</v>
      </c>
      <c r="G212" s="6" t="str">
        <f>_xlfn.XLOOKUP(C212,Tab_Def_Flows[Flow_Name],Tab_Def_Flows[Use_E4],,0,)</f>
        <v>Yes</v>
      </c>
      <c r="H212" s="6" t="str">
        <f>_xlfn.XLOOKUP(C212,Tab_Def_Flows[Flow_Name],Tab_Def_Flows[Use_E5],,0,)</f>
        <v>Yes</v>
      </c>
      <c r="I212" s="6" t="str">
        <f>_xlfn.XLOOKUP(C212,Tab_Def_Flows[Flow_Name],Tab_Def_Flows[Use_E6],,0,)</f>
        <v>Yes</v>
      </c>
      <c r="J212" s="4"/>
      <c r="K212" s="18"/>
      <c r="L212" s="3" t="str">
        <f>'0_Configuration'!$C$41</f>
        <v>Mg</v>
      </c>
      <c r="M212" s="10"/>
      <c r="N212" s="23" t="s">
        <v>3</v>
      </c>
      <c r="O212" s="11"/>
      <c r="P212" s="4"/>
      <c r="Q212" s="10"/>
      <c r="R212" s="3">
        <f>_xlfn.XLOOKUP(Tab_Data_Flows[[#This Row],[Flow_Name]],Tab_Def_Flows[Flow_Name],Tab_Def_Flows[Flow_E1_Fraction'[%']],"N.A.",0,1)</f>
        <v>0</v>
      </c>
      <c r="S212" s="9">
        <f t="shared" si="6"/>
        <v>0</v>
      </c>
      <c r="T212" s="3" t="str">
        <f>Tab_Data_Flows[[#This Row],[UoM_Source]]</f>
        <v>Mg</v>
      </c>
      <c r="U212" s="24">
        <f>_xlfn.XLOOKUP(Tab_Data_Flows[[#This Row],[Flow_Name]],Tab_Def_Flows[Flow_Name],Tab_Def_Flows[Flow_E2_Fraction'[%']],"N.A.",0,1)</f>
        <v>0</v>
      </c>
      <c r="V212" s="3">
        <f>IF(D212="Yes",S212*Tab_Data_Flows[[#This Row],[E2_Fraction'[%']]],"N.A.")</f>
        <v>0</v>
      </c>
      <c r="W212" s="3" t="str">
        <f>Tab_Data_Flows[[#This Row],[E1_UoM]]</f>
        <v>Mg</v>
      </c>
      <c r="X212" s="24">
        <f>_xlfn.XLOOKUP(Tab_Data_Flows[[#This Row],[Flow_Name]],Tab_Def_Flows[Flow_Name],Tab_Def_Flows[Flow_E3_Fraction'[%']],"N.A.",0,1)</f>
        <v>0</v>
      </c>
      <c r="Y212" s="3">
        <f>IF(E212="Yes",X212*Tab_Data_Flows[[#This Row],[E1_value]],"N.A.")</f>
        <v>0</v>
      </c>
      <c r="Z212" s="3" t="str">
        <f>Tab_Data_Flows[[#This Row],[E1_UoM]]</f>
        <v>Mg</v>
      </c>
      <c r="AA212" s="24">
        <f>_xlfn.XLOOKUP(Tab_Data_Flows[[#This Row],[Flow_Name]],Tab_Def_Flows[Flow_Name],Tab_Def_Flows[Flow_E4_Fraction'[%']],"N.A.",0,1)</f>
        <v>0</v>
      </c>
      <c r="AB212" s="3">
        <f>IF(H212="Yes",Tab_Data_Flows[[#This Row],[E4_Fraction'[%']]]*Tab_Data_Flows[[#This Row],[E1_value]],"N.A.")</f>
        <v>0</v>
      </c>
      <c r="AC212" s="3" t="str">
        <f>Tab_Data_Flows[[#This Row],[E1_UoM]]</f>
        <v>Mg</v>
      </c>
      <c r="AD212" s="24">
        <f>_xlfn.XLOOKUP(Tab_Data_Flows[[#This Row],[Flow_Name]],Tab_Def_Flows[Flow_Name],Tab_Def_Flows[Flow_E5_Fraction'[%']],"N.A.",0,1)</f>
        <v>0</v>
      </c>
      <c r="AE212" s="3">
        <f>IF(H212="Yes",Tab_Data_Flows[[#This Row],[E5_Fraction'[%']]]*Tab_Data_Flows[[#This Row],[E1_value]],"N.A.")</f>
        <v>0</v>
      </c>
      <c r="AF212" s="3" t="str">
        <f>Tab_Data_Flows[[#This Row],[E1_UoM]]</f>
        <v>Mg</v>
      </c>
      <c r="AG212" s="24">
        <f>_xlfn.XLOOKUP(Tab_Data_Flows[[#This Row],[Flow_Name]],Tab_Def_Flows[Flow_Name],Tab_Def_Flows[Flow_E6_Fraction'[%']],"N.A.",0,1)</f>
        <v>0</v>
      </c>
      <c r="AH212" s="3">
        <f>IF(Tab_Data_Flows[[#This Row],[Use_E6]]="Yes",Tab_Data_Flows[[#This Row],[E6_Fraction'[%']]]*Tab_Data_Flows[[#This Row],[E1_value]],"N.A.")</f>
        <v>0</v>
      </c>
      <c r="AI212" s="3" t="str">
        <f>Tab_Data_Flows[[#This Row],[E1_UoM]]</f>
        <v>Mg</v>
      </c>
    </row>
    <row r="213" spans="1:35" x14ac:dyDescent="0.25">
      <c r="A213" s="5">
        <f t="shared" si="7"/>
        <v>212</v>
      </c>
      <c r="B213" s="3" t="str">
        <f>_xlfn.XLOOKUP(C213,Tab_Def_Flows[Flow_Name],Tab_Def_Flows[Flow_ID],,0,)</f>
        <v>F__</v>
      </c>
      <c r="C213" s="23" t="s">
        <v>5</v>
      </c>
      <c r="D213" s="6" t="str">
        <f>_xlfn.XLOOKUP(C213,Tab_Def_Flows[Flow_Name],Tab_Def_Flows[Use_E1],,0,)</f>
        <v>Yes</v>
      </c>
      <c r="E213" s="6" t="str">
        <f>_xlfn.XLOOKUP(C213,Tab_Def_Flows[Flow_Name],Tab_Def_Flows[Use_E2],,0,)</f>
        <v>Yes</v>
      </c>
      <c r="F213" s="6" t="str">
        <f>_xlfn.XLOOKUP(C213,Tab_Def_Flows[Flow_Name],Tab_Def_Flows[Use_E3],,0,)</f>
        <v>Yes</v>
      </c>
      <c r="G213" s="6" t="str">
        <f>_xlfn.XLOOKUP(C213,Tab_Def_Flows[Flow_Name],Tab_Def_Flows[Use_E4],,0,)</f>
        <v>Yes</v>
      </c>
      <c r="H213" s="6" t="str">
        <f>_xlfn.XLOOKUP(C213,Tab_Def_Flows[Flow_Name],Tab_Def_Flows[Use_E5],,0,)</f>
        <v>Yes</v>
      </c>
      <c r="I213" s="6" t="str">
        <f>_xlfn.XLOOKUP(C213,Tab_Def_Flows[Flow_Name],Tab_Def_Flows[Use_E6],,0,)</f>
        <v>Yes</v>
      </c>
      <c r="J213" s="4"/>
      <c r="K213" s="18"/>
      <c r="L213" s="3" t="str">
        <f>'0_Configuration'!$C$41</f>
        <v>Mg</v>
      </c>
      <c r="M213" s="10"/>
      <c r="N213" s="23" t="s">
        <v>3</v>
      </c>
      <c r="O213" s="11"/>
      <c r="P213" s="4"/>
      <c r="Q213" s="10"/>
      <c r="R213" s="3">
        <f>_xlfn.XLOOKUP(Tab_Data_Flows[[#This Row],[Flow_Name]],Tab_Def_Flows[Flow_Name],Tab_Def_Flows[Flow_E1_Fraction'[%']],"N.A.",0,1)</f>
        <v>0</v>
      </c>
      <c r="S213" s="9">
        <f t="shared" si="6"/>
        <v>0</v>
      </c>
      <c r="T213" s="3" t="str">
        <f>Tab_Data_Flows[[#This Row],[UoM_Source]]</f>
        <v>Mg</v>
      </c>
      <c r="U213" s="24">
        <f>_xlfn.XLOOKUP(Tab_Data_Flows[[#This Row],[Flow_Name]],Tab_Def_Flows[Flow_Name],Tab_Def_Flows[Flow_E2_Fraction'[%']],"N.A.",0,1)</f>
        <v>0</v>
      </c>
      <c r="V213" s="3">
        <f>IF(D213="Yes",S213*Tab_Data_Flows[[#This Row],[E2_Fraction'[%']]],"N.A.")</f>
        <v>0</v>
      </c>
      <c r="W213" s="3" t="str">
        <f>Tab_Data_Flows[[#This Row],[E1_UoM]]</f>
        <v>Mg</v>
      </c>
      <c r="X213" s="24">
        <f>_xlfn.XLOOKUP(Tab_Data_Flows[[#This Row],[Flow_Name]],Tab_Def_Flows[Flow_Name],Tab_Def_Flows[Flow_E3_Fraction'[%']],"N.A.",0,1)</f>
        <v>0</v>
      </c>
      <c r="Y213" s="3">
        <f>IF(E213="Yes",X213*Tab_Data_Flows[[#This Row],[E1_value]],"N.A.")</f>
        <v>0</v>
      </c>
      <c r="Z213" s="3" t="str">
        <f>Tab_Data_Flows[[#This Row],[E1_UoM]]</f>
        <v>Mg</v>
      </c>
      <c r="AA213" s="24">
        <f>_xlfn.XLOOKUP(Tab_Data_Flows[[#This Row],[Flow_Name]],Tab_Def_Flows[Flow_Name],Tab_Def_Flows[Flow_E4_Fraction'[%']],"N.A.",0,1)</f>
        <v>0</v>
      </c>
      <c r="AB213" s="3">
        <f>IF(H213="Yes",Tab_Data_Flows[[#This Row],[E4_Fraction'[%']]]*Tab_Data_Flows[[#This Row],[E1_value]],"N.A.")</f>
        <v>0</v>
      </c>
      <c r="AC213" s="3" t="str">
        <f>Tab_Data_Flows[[#This Row],[E1_UoM]]</f>
        <v>Mg</v>
      </c>
      <c r="AD213" s="24">
        <f>_xlfn.XLOOKUP(Tab_Data_Flows[[#This Row],[Flow_Name]],Tab_Def_Flows[Flow_Name],Tab_Def_Flows[Flow_E5_Fraction'[%']],"N.A.",0,1)</f>
        <v>0</v>
      </c>
      <c r="AE213" s="3">
        <f>IF(H213="Yes",Tab_Data_Flows[[#This Row],[E5_Fraction'[%']]]*Tab_Data_Flows[[#This Row],[E1_value]],"N.A.")</f>
        <v>0</v>
      </c>
      <c r="AF213" s="3" t="str">
        <f>Tab_Data_Flows[[#This Row],[E1_UoM]]</f>
        <v>Mg</v>
      </c>
      <c r="AG213" s="24">
        <f>_xlfn.XLOOKUP(Tab_Data_Flows[[#This Row],[Flow_Name]],Tab_Def_Flows[Flow_Name],Tab_Def_Flows[Flow_E6_Fraction'[%']],"N.A.",0,1)</f>
        <v>0</v>
      </c>
      <c r="AH213" s="3">
        <f>IF(Tab_Data_Flows[[#This Row],[Use_E6]]="Yes",Tab_Data_Flows[[#This Row],[E6_Fraction'[%']]]*Tab_Data_Flows[[#This Row],[E1_value]],"N.A.")</f>
        <v>0</v>
      </c>
      <c r="AI213" s="3" t="str">
        <f>Tab_Data_Flows[[#This Row],[E1_UoM]]</f>
        <v>Mg</v>
      </c>
    </row>
    <row r="214" spans="1:35" x14ac:dyDescent="0.25">
      <c r="A214" s="5">
        <f t="shared" si="7"/>
        <v>213</v>
      </c>
      <c r="B214" s="3" t="str">
        <f>_xlfn.XLOOKUP(C214,Tab_Def_Flows[Flow_Name],Tab_Def_Flows[Flow_ID],,0,)</f>
        <v>F__</v>
      </c>
      <c r="C214" s="23" t="s">
        <v>5</v>
      </c>
      <c r="D214" s="6" t="str">
        <f>_xlfn.XLOOKUP(C214,Tab_Def_Flows[Flow_Name],Tab_Def_Flows[Use_E1],,0,)</f>
        <v>Yes</v>
      </c>
      <c r="E214" s="6" t="str">
        <f>_xlfn.XLOOKUP(C214,Tab_Def_Flows[Flow_Name],Tab_Def_Flows[Use_E2],,0,)</f>
        <v>Yes</v>
      </c>
      <c r="F214" s="6" t="str">
        <f>_xlfn.XLOOKUP(C214,Tab_Def_Flows[Flow_Name],Tab_Def_Flows[Use_E3],,0,)</f>
        <v>Yes</v>
      </c>
      <c r="G214" s="6" t="str">
        <f>_xlfn.XLOOKUP(C214,Tab_Def_Flows[Flow_Name],Tab_Def_Flows[Use_E4],,0,)</f>
        <v>Yes</v>
      </c>
      <c r="H214" s="6" t="str">
        <f>_xlfn.XLOOKUP(C214,Tab_Def_Flows[Flow_Name],Tab_Def_Flows[Use_E5],,0,)</f>
        <v>Yes</v>
      </c>
      <c r="I214" s="6" t="str">
        <f>_xlfn.XLOOKUP(C214,Tab_Def_Flows[Flow_Name],Tab_Def_Flows[Use_E6],,0,)</f>
        <v>Yes</v>
      </c>
      <c r="J214" s="4"/>
      <c r="K214" s="18"/>
      <c r="L214" s="3" t="str">
        <f>'0_Configuration'!$C$41</f>
        <v>Mg</v>
      </c>
      <c r="M214" s="10"/>
      <c r="N214" s="23" t="s">
        <v>3</v>
      </c>
      <c r="O214" s="11"/>
      <c r="P214" s="4"/>
      <c r="Q214" s="10"/>
      <c r="R214" s="3">
        <f>_xlfn.XLOOKUP(Tab_Data_Flows[[#This Row],[Flow_Name]],Tab_Def_Flows[Flow_Name],Tab_Def_Flows[Flow_E1_Fraction'[%']],"N.A.",0,1)</f>
        <v>0</v>
      </c>
      <c r="S214" s="9">
        <f t="shared" si="6"/>
        <v>0</v>
      </c>
      <c r="T214" s="3" t="str">
        <f>Tab_Data_Flows[[#This Row],[UoM_Source]]</f>
        <v>Mg</v>
      </c>
      <c r="U214" s="24">
        <f>_xlfn.XLOOKUP(Tab_Data_Flows[[#This Row],[Flow_Name]],Tab_Def_Flows[Flow_Name],Tab_Def_Flows[Flow_E2_Fraction'[%']],"N.A.",0,1)</f>
        <v>0</v>
      </c>
      <c r="V214" s="3">
        <f>IF(D214="Yes",S214*Tab_Data_Flows[[#This Row],[E2_Fraction'[%']]],"N.A.")</f>
        <v>0</v>
      </c>
      <c r="W214" s="3" t="str">
        <f>Tab_Data_Flows[[#This Row],[E1_UoM]]</f>
        <v>Mg</v>
      </c>
      <c r="X214" s="24">
        <f>_xlfn.XLOOKUP(Tab_Data_Flows[[#This Row],[Flow_Name]],Tab_Def_Flows[Flow_Name],Tab_Def_Flows[Flow_E3_Fraction'[%']],"N.A.",0,1)</f>
        <v>0</v>
      </c>
      <c r="Y214" s="3">
        <f>IF(E214="Yes",X214*Tab_Data_Flows[[#This Row],[E1_value]],"N.A.")</f>
        <v>0</v>
      </c>
      <c r="Z214" s="3" t="str">
        <f>Tab_Data_Flows[[#This Row],[E1_UoM]]</f>
        <v>Mg</v>
      </c>
      <c r="AA214" s="24">
        <f>_xlfn.XLOOKUP(Tab_Data_Flows[[#This Row],[Flow_Name]],Tab_Def_Flows[Flow_Name],Tab_Def_Flows[Flow_E4_Fraction'[%']],"N.A.",0,1)</f>
        <v>0</v>
      </c>
      <c r="AB214" s="3">
        <f>IF(H214="Yes",Tab_Data_Flows[[#This Row],[E4_Fraction'[%']]]*Tab_Data_Flows[[#This Row],[E1_value]],"N.A.")</f>
        <v>0</v>
      </c>
      <c r="AC214" s="3" t="str">
        <f>Tab_Data_Flows[[#This Row],[E1_UoM]]</f>
        <v>Mg</v>
      </c>
      <c r="AD214" s="24">
        <f>_xlfn.XLOOKUP(Tab_Data_Flows[[#This Row],[Flow_Name]],Tab_Def_Flows[Flow_Name],Tab_Def_Flows[Flow_E5_Fraction'[%']],"N.A.",0,1)</f>
        <v>0</v>
      </c>
      <c r="AE214" s="3">
        <f>IF(H214="Yes",Tab_Data_Flows[[#This Row],[E5_Fraction'[%']]]*Tab_Data_Flows[[#This Row],[E1_value]],"N.A.")</f>
        <v>0</v>
      </c>
      <c r="AF214" s="3" t="str">
        <f>Tab_Data_Flows[[#This Row],[E1_UoM]]</f>
        <v>Mg</v>
      </c>
      <c r="AG214" s="24">
        <f>_xlfn.XLOOKUP(Tab_Data_Flows[[#This Row],[Flow_Name]],Tab_Def_Flows[Flow_Name],Tab_Def_Flows[Flow_E6_Fraction'[%']],"N.A.",0,1)</f>
        <v>0</v>
      </c>
      <c r="AH214" s="3">
        <f>IF(Tab_Data_Flows[[#This Row],[Use_E6]]="Yes",Tab_Data_Flows[[#This Row],[E6_Fraction'[%']]]*Tab_Data_Flows[[#This Row],[E1_value]],"N.A.")</f>
        <v>0</v>
      </c>
      <c r="AI214" s="3" t="str">
        <f>Tab_Data_Flows[[#This Row],[E1_UoM]]</f>
        <v>Mg</v>
      </c>
    </row>
    <row r="215" spans="1:35" x14ac:dyDescent="0.25">
      <c r="A215" s="5">
        <f t="shared" si="7"/>
        <v>214</v>
      </c>
      <c r="B215" s="3" t="str">
        <f>_xlfn.XLOOKUP(C215,Tab_Def_Flows[Flow_Name],Tab_Def_Flows[Flow_ID],,0,)</f>
        <v>F__</v>
      </c>
      <c r="C215" s="23" t="s">
        <v>5</v>
      </c>
      <c r="D215" s="6" t="str">
        <f>_xlfn.XLOOKUP(C215,Tab_Def_Flows[Flow_Name],Tab_Def_Flows[Use_E1],,0,)</f>
        <v>Yes</v>
      </c>
      <c r="E215" s="6" t="str">
        <f>_xlfn.XLOOKUP(C215,Tab_Def_Flows[Flow_Name],Tab_Def_Flows[Use_E2],,0,)</f>
        <v>Yes</v>
      </c>
      <c r="F215" s="6" t="str">
        <f>_xlfn.XLOOKUP(C215,Tab_Def_Flows[Flow_Name],Tab_Def_Flows[Use_E3],,0,)</f>
        <v>Yes</v>
      </c>
      <c r="G215" s="6" t="str">
        <f>_xlfn.XLOOKUP(C215,Tab_Def_Flows[Flow_Name],Tab_Def_Flows[Use_E4],,0,)</f>
        <v>Yes</v>
      </c>
      <c r="H215" s="6" t="str">
        <f>_xlfn.XLOOKUP(C215,Tab_Def_Flows[Flow_Name],Tab_Def_Flows[Use_E5],,0,)</f>
        <v>Yes</v>
      </c>
      <c r="I215" s="6" t="str">
        <f>_xlfn.XLOOKUP(C215,Tab_Def_Flows[Flow_Name],Tab_Def_Flows[Use_E6],,0,)</f>
        <v>Yes</v>
      </c>
      <c r="J215" s="4"/>
      <c r="K215" s="18"/>
      <c r="L215" s="3" t="str">
        <f>'0_Configuration'!$C$41</f>
        <v>Mg</v>
      </c>
      <c r="M215" s="10"/>
      <c r="N215" s="23" t="s">
        <v>3</v>
      </c>
      <c r="O215" s="11"/>
      <c r="P215" s="4"/>
      <c r="Q215" s="10"/>
      <c r="R215" s="3">
        <f>_xlfn.XLOOKUP(Tab_Data_Flows[[#This Row],[Flow_Name]],Tab_Def_Flows[Flow_Name],Tab_Def_Flows[Flow_E1_Fraction'[%']],"N.A.",0,1)</f>
        <v>0</v>
      </c>
      <c r="S215" s="9">
        <f t="shared" si="6"/>
        <v>0</v>
      </c>
      <c r="T215" s="3" t="str">
        <f>Tab_Data_Flows[[#This Row],[UoM_Source]]</f>
        <v>Mg</v>
      </c>
      <c r="U215" s="24">
        <f>_xlfn.XLOOKUP(Tab_Data_Flows[[#This Row],[Flow_Name]],Tab_Def_Flows[Flow_Name],Tab_Def_Flows[Flow_E2_Fraction'[%']],"N.A.",0,1)</f>
        <v>0</v>
      </c>
      <c r="V215" s="3">
        <f>IF(D215="Yes",S215*Tab_Data_Flows[[#This Row],[E2_Fraction'[%']]],"N.A.")</f>
        <v>0</v>
      </c>
      <c r="W215" s="3" t="str">
        <f>Tab_Data_Flows[[#This Row],[E1_UoM]]</f>
        <v>Mg</v>
      </c>
      <c r="X215" s="24">
        <f>_xlfn.XLOOKUP(Tab_Data_Flows[[#This Row],[Flow_Name]],Tab_Def_Flows[Flow_Name],Tab_Def_Flows[Flow_E3_Fraction'[%']],"N.A.",0,1)</f>
        <v>0</v>
      </c>
      <c r="Y215" s="3">
        <f>IF(E215="Yes",X215*Tab_Data_Flows[[#This Row],[E1_value]],"N.A.")</f>
        <v>0</v>
      </c>
      <c r="Z215" s="3" t="str">
        <f>Tab_Data_Flows[[#This Row],[E1_UoM]]</f>
        <v>Mg</v>
      </c>
      <c r="AA215" s="24">
        <f>_xlfn.XLOOKUP(Tab_Data_Flows[[#This Row],[Flow_Name]],Tab_Def_Flows[Flow_Name],Tab_Def_Flows[Flow_E4_Fraction'[%']],"N.A.",0,1)</f>
        <v>0</v>
      </c>
      <c r="AB215" s="3">
        <f>IF(H215="Yes",Tab_Data_Flows[[#This Row],[E4_Fraction'[%']]]*Tab_Data_Flows[[#This Row],[E1_value]],"N.A.")</f>
        <v>0</v>
      </c>
      <c r="AC215" s="3" t="str">
        <f>Tab_Data_Flows[[#This Row],[E1_UoM]]</f>
        <v>Mg</v>
      </c>
      <c r="AD215" s="24">
        <f>_xlfn.XLOOKUP(Tab_Data_Flows[[#This Row],[Flow_Name]],Tab_Def_Flows[Flow_Name],Tab_Def_Flows[Flow_E5_Fraction'[%']],"N.A.",0,1)</f>
        <v>0</v>
      </c>
      <c r="AE215" s="3">
        <f>IF(H215="Yes",Tab_Data_Flows[[#This Row],[E5_Fraction'[%']]]*Tab_Data_Flows[[#This Row],[E1_value]],"N.A.")</f>
        <v>0</v>
      </c>
      <c r="AF215" s="3" t="str">
        <f>Tab_Data_Flows[[#This Row],[E1_UoM]]</f>
        <v>Mg</v>
      </c>
      <c r="AG215" s="24">
        <f>_xlfn.XLOOKUP(Tab_Data_Flows[[#This Row],[Flow_Name]],Tab_Def_Flows[Flow_Name],Tab_Def_Flows[Flow_E6_Fraction'[%']],"N.A.",0,1)</f>
        <v>0</v>
      </c>
      <c r="AH215" s="3">
        <f>IF(Tab_Data_Flows[[#This Row],[Use_E6]]="Yes",Tab_Data_Flows[[#This Row],[E6_Fraction'[%']]]*Tab_Data_Flows[[#This Row],[E1_value]],"N.A.")</f>
        <v>0</v>
      </c>
      <c r="AI215" s="3" t="str">
        <f>Tab_Data_Flows[[#This Row],[E1_UoM]]</f>
        <v>Mg</v>
      </c>
    </row>
    <row r="216" spans="1:35" x14ac:dyDescent="0.25">
      <c r="A216" s="5">
        <f t="shared" si="7"/>
        <v>215</v>
      </c>
      <c r="B216" s="3" t="str">
        <f>_xlfn.XLOOKUP(C216,Tab_Def_Flows[Flow_Name],Tab_Def_Flows[Flow_ID],,0,)</f>
        <v>F__</v>
      </c>
      <c r="C216" s="23" t="s">
        <v>5</v>
      </c>
      <c r="D216" s="6" t="str">
        <f>_xlfn.XLOOKUP(C216,Tab_Def_Flows[Flow_Name],Tab_Def_Flows[Use_E1],,0,)</f>
        <v>Yes</v>
      </c>
      <c r="E216" s="6" t="str">
        <f>_xlfn.XLOOKUP(C216,Tab_Def_Flows[Flow_Name],Tab_Def_Flows[Use_E2],,0,)</f>
        <v>Yes</v>
      </c>
      <c r="F216" s="6" t="str">
        <f>_xlfn.XLOOKUP(C216,Tab_Def_Flows[Flow_Name],Tab_Def_Flows[Use_E3],,0,)</f>
        <v>Yes</v>
      </c>
      <c r="G216" s="6" t="str">
        <f>_xlfn.XLOOKUP(C216,Tab_Def_Flows[Flow_Name],Tab_Def_Flows[Use_E4],,0,)</f>
        <v>Yes</v>
      </c>
      <c r="H216" s="6" t="str">
        <f>_xlfn.XLOOKUP(C216,Tab_Def_Flows[Flow_Name],Tab_Def_Flows[Use_E5],,0,)</f>
        <v>Yes</v>
      </c>
      <c r="I216" s="6" t="str">
        <f>_xlfn.XLOOKUP(C216,Tab_Def_Flows[Flow_Name],Tab_Def_Flows[Use_E6],,0,)</f>
        <v>Yes</v>
      </c>
      <c r="J216" s="4"/>
      <c r="K216" s="18"/>
      <c r="L216" s="3" t="str">
        <f>'0_Configuration'!$C$41</f>
        <v>Mg</v>
      </c>
      <c r="M216" s="10"/>
      <c r="N216" s="23" t="s">
        <v>3</v>
      </c>
      <c r="O216" s="11"/>
      <c r="P216" s="4"/>
      <c r="Q216" s="10"/>
      <c r="R216" s="3">
        <f>_xlfn.XLOOKUP(Tab_Data_Flows[[#This Row],[Flow_Name]],Tab_Def_Flows[Flow_Name],Tab_Def_Flows[Flow_E1_Fraction'[%']],"N.A.",0,1)</f>
        <v>0</v>
      </c>
      <c r="S216" s="9">
        <f t="shared" si="6"/>
        <v>0</v>
      </c>
      <c r="T216" s="3" t="str">
        <f>Tab_Data_Flows[[#This Row],[UoM_Source]]</f>
        <v>Mg</v>
      </c>
      <c r="U216" s="24">
        <f>_xlfn.XLOOKUP(Tab_Data_Flows[[#This Row],[Flow_Name]],Tab_Def_Flows[Flow_Name],Tab_Def_Flows[Flow_E2_Fraction'[%']],"N.A.",0,1)</f>
        <v>0</v>
      </c>
      <c r="V216" s="3">
        <f>IF(D216="Yes",S216*Tab_Data_Flows[[#This Row],[E2_Fraction'[%']]],"N.A.")</f>
        <v>0</v>
      </c>
      <c r="W216" s="3" t="str">
        <f>Tab_Data_Flows[[#This Row],[E1_UoM]]</f>
        <v>Mg</v>
      </c>
      <c r="X216" s="24">
        <f>_xlfn.XLOOKUP(Tab_Data_Flows[[#This Row],[Flow_Name]],Tab_Def_Flows[Flow_Name],Tab_Def_Flows[Flow_E3_Fraction'[%']],"N.A.",0,1)</f>
        <v>0</v>
      </c>
      <c r="Y216" s="3">
        <f>IF(E216="Yes",X216*Tab_Data_Flows[[#This Row],[E1_value]],"N.A.")</f>
        <v>0</v>
      </c>
      <c r="Z216" s="3" t="str">
        <f>Tab_Data_Flows[[#This Row],[E1_UoM]]</f>
        <v>Mg</v>
      </c>
      <c r="AA216" s="24">
        <f>_xlfn.XLOOKUP(Tab_Data_Flows[[#This Row],[Flow_Name]],Tab_Def_Flows[Flow_Name],Tab_Def_Flows[Flow_E4_Fraction'[%']],"N.A.",0,1)</f>
        <v>0</v>
      </c>
      <c r="AB216" s="3">
        <f>IF(H216="Yes",Tab_Data_Flows[[#This Row],[E4_Fraction'[%']]]*Tab_Data_Flows[[#This Row],[E1_value]],"N.A.")</f>
        <v>0</v>
      </c>
      <c r="AC216" s="3" t="str">
        <f>Tab_Data_Flows[[#This Row],[E1_UoM]]</f>
        <v>Mg</v>
      </c>
      <c r="AD216" s="24">
        <f>_xlfn.XLOOKUP(Tab_Data_Flows[[#This Row],[Flow_Name]],Tab_Def_Flows[Flow_Name],Tab_Def_Flows[Flow_E5_Fraction'[%']],"N.A.",0,1)</f>
        <v>0</v>
      </c>
      <c r="AE216" s="3">
        <f>IF(H216="Yes",Tab_Data_Flows[[#This Row],[E5_Fraction'[%']]]*Tab_Data_Flows[[#This Row],[E1_value]],"N.A.")</f>
        <v>0</v>
      </c>
      <c r="AF216" s="3" t="str">
        <f>Tab_Data_Flows[[#This Row],[E1_UoM]]</f>
        <v>Mg</v>
      </c>
      <c r="AG216" s="24">
        <f>_xlfn.XLOOKUP(Tab_Data_Flows[[#This Row],[Flow_Name]],Tab_Def_Flows[Flow_Name],Tab_Def_Flows[Flow_E6_Fraction'[%']],"N.A.",0,1)</f>
        <v>0</v>
      </c>
      <c r="AH216" s="3">
        <f>IF(Tab_Data_Flows[[#This Row],[Use_E6]]="Yes",Tab_Data_Flows[[#This Row],[E6_Fraction'[%']]]*Tab_Data_Flows[[#This Row],[E1_value]],"N.A.")</f>
        <v>0</v>
      </c>
      <c r="AI216" s="3" t="str">
        <f>Tab_Data_Flows[[#This Row],[E1_UoM]]</f>
        <v>Mg</v>
      </c>
    </row>
    <row r="217" spans="1:35" x14ac:dyDescent="0.25">
      <c r="A217" s="5">
        <f t="shared" si="7"/>
        <v>216</v>
      </c>
      <c r="B217" s="3" t="str">
        <f>_xlfn.XLOOKUP(C217,Tab_Def_Flows[Flow_Name],Tab_Def_Flows[Flow_ID],,0,)</f>
        <v>F__</v>
      </c>
      <c r="C217" s="23" t="s">
        <v>5</v>
      </c>
      <c r="D217" s="6" t="str">
        <f>_xlfn.XLOOKUP(C217,Tab_Def_Flows[Flow_Name],Tab_Def_Flows[Use_E1],,0,)</f>
        <v>Yes</v>
      </c>
      <c r="E217" s="6" t="str">
        <f>_xlfn.XLOOKUP(C217,Tab_Def_Flows[Flow_Name],Tab_Def_Flows[Use_E2],,0,)</f>
        <v>Yes</v>
      </c>
      <c r="F217" s="6" t="str">
        <f>_xlfn.XLOOKUP(C217,Tab_Def_Flows[Flow_Name],Tab_Def_Flows[Use_E3],,0,)</f>
        <v>Yes</v>
      </c>
      <c r="G217" s="6" t="str">
        <f>_xlfn.XLOOKUP(C217,Tab_Def_Flows[Flow_Name],Tab_Def_Flows[Use_E4],,0,)</f>
        <v>Yes</v>
      </c>
      <c r="H217" s="6" t="str">
        <f>_xlfn.XLOOKUP(C217,Tab_Def_Flows[Flow_Name],Tab_Def_Flows[Use_E5],,0,)</f>
        <v>Yes</v>
      </c>
      <c r="I217" s="6" t="str">
        <f>_xlfn.XLOOKUP(C217,Tab_Def_Flows[Flow_Name],Tab_Def_Flows[Use_E6],,0,)</f>
        <v>Yes</v>
      </c>
      <c r="J217" s="4"/>
      <c r="K217" s="18"/>
      <c r="L217" s="3" t="str">
        <f>'0_Configuration'!$C$41</f>
        <v>Mg</v>
      </c>
      <c r="M217" s="10"/>
      <c r="N217" s="23" t="s">
        <v>3</v>
      </c>
      <c r="O217" s="11"/>
      <c r="P217" s="4"/>
      <c r="Q217" s="10"/>
      <c r="R217" s="3">
        <f>_xlfn.XLOOKUP(Tab_Data_Flows[[#This Row],[Flow_Name]],Tab_Def_Flows[Flow_Name],Tab_Def_Flows[Flow_E1_Fraction'[%']],"N.A.",0,1)</f>
        <v>0</v>
      </c>
      <c r="S217" s="9">
        <f t="shared" si="6"/>
        <v>0</v>
      </c>
      <c r="T217" s="3" t="str">
        <f>Tab_Data_Flows[[#This Row],[UoM_Source]]</f>
        <v>Mg</v>
      </c>
      <c r="U217" s="24">
        <f>_xlfn.XLOOKUP(Tab_Data_Flows[[#This Row],[Flow_Name]],Tab_Def_Flows[Flow_Name],Tab_Def_Flows[Flow_E2_Fraction'[%']],"N.A.",0,1)</f>
        <v>0</v>
      </c>
      <c r="V217" s="3">
        <f>IF(D217="Yes",S217*Tab_Data_Flows[[#This Row],[E2_Fraction'[%']]],"N.A.")</f>
        <v>0</v>
      </c>
      <c r="W217" s="3" t="str">
        <f>Tab_Data_Flows[[#This Row],[E1_UoM]]</f>
        <v>Mg</v>
      </c>
      <c r="X217" s="24">
        <f>_xlfn.XLOOKUP(Tab_Data_Flows[[#This Row],[Flow_Name]],Tab_Def_Flows[Flow_Name],Tab_Def_Flows[Flow_E3_Fraction'[%']],"N.A.",0,1)</f>
        <v>0</v>
      </c>
      <c r="Y217" s="3">
        <f>IF(E217="Yes",X217*Tab_Data_Flows[[#This Row],[E1_value]],"N.A.")</f>
        <v>0</v>
      </c>
      <c r="Z217" s="3" t="str">
        <f>Tab_Data_Flows[[#This Row],[E1_UoM]]</f>
        <v>Mg</v>
      </c>
      <c r="AA217" s="24">
        <f>_xlfn.XLOOKUP(Tab_Data_Flows[[#This Row],[Flow_Name]],Tab_Def_Flows[Flow_Name],Tab_Def_Flows[Flow_E4_Fraction'[%']],"N.A.",0,1)</f>
        <v>0</v>
      </c>
      <c r="AB217" s="3">
        <f>IF(H217="Yes",Tab_Data_Flows[[#This Row],[E4_Fraction'[%']]]*Tab_Data_Flows[[#This Row],[E1_value]],"N.A.")</f>
        <v>0</v>
      </c>
      <c r="AC217" s="3" t="str">
        <f>Tab_Data_Flows[[#This Row],[E1_UoM]]</f>
        <v>Mg</v>
      </c>
      <c r="AD217" s="24">
        <f>_xlfn.XLOOKUP(Tab_Data_Flows[[#This Row],[Flow_Name]],Tab_Def_Flows[Flow_Name],Tab_Def_Flows[Flow_E5_Fraction'[%']],"N.A.",0,1)</f>
        <v>0</v>
      </c>
      <c r="AE217" s="3">
        <f>IF(H217="Yes",Tab_Data_Flows[[#This Row],[E5_Fraction'[%']]]*Tab_Data_Flows[[#This Row],[E1_value]],"N.A.")</f>
        <v>0</v>
      </c>
      <c r="AF217" s="3" t="str">
        <f>Tab_Data_Flows[[#This Row],[E1_UoM]]</f>
        <v>Mg</v>
      </c>
      <c r="AG217" s="24">
        <f>_xlfn.XLOOKUP(Tab_Data_Flows[[#This Row],[Flow_Name]],Tab_Def_Flows[Flow_Name],Tab_Def_Flows[Flow_E6_Fraction'[%']],"N.A.",0,1)</f>
        <v>0</v>
      </c>
      <c r="AH217" s="3">
        <f>IF(Tab_Data_Flows[[#This Row],[Use_E6]]="Yes",Tab_Data_Flows[[#This Row],[E6_Fraction'[%']]]*Tab_Data_Flows[[#This Row],[E1_value]],"N.A.")</f>
        <v>0</v>
      </c>
      <c r="AI217" s="3" t="str">
        <f>Tab_Data_Flows[[#This Row],[E1_UoM]]</f>
        <v>Mg</v>
      </c>
    </row>
    <row r="218" spans="1:35" x14ac:dyDescent="0.25">
      <c r="A218" s="5">
        <f t="shared" si="7"/>
        <v>217</v>
      </c>
      <c r="B218" s="3" t="str">
        <f>_xlfn.XLOOKUP(C218,Tab_Def_Flows[Flow_Name],Tab_Def_Flows[Flow_ID],,0,)</f>
        <v>F__</v>
      </c>
      <c r="C218" s="23" t="s">
        <v>5</v>
      </c>
      <c r="D218" s="6" t="str">
        <f>_xlfn.XLOOKUP(C218,Tab_Def_Flows[Flow_Name],Tab_Def_Flows[Use_E1],,0,)</f>
        <v>Yes</v>
      </c>
      <c r="E218" s="6" t="str">
        <f>_xlfn.XLOOKUP(C218,Tab_Def_Flows[Flow_Name],Tab_Def_Flows[Use_E2],,0,)</f>
        <v>Yes</v>
      </c>
      <c r="F218" s="6" t="str">
        <f>_xlfn.XLOOKUP(C218,Tab_Def_Flows[Flow_Name],Tab_Def_Flows[Use_E3],,0,)</f>
        <v>Yes</v>
      </c>
      <c r="G218" s="6" t="str">
        <f>_xlfn.XLOOKUP(C218,Tab_Def_Flows[Flow_Name],Tab_Def_Flows[Use_E4],,0,)</f>
        <v>Yes</v>
      </c>
      <c r="H218" s="6" t="str">
        <f>_xlfn.XLOOKUP(C218,Tab_Def_Flows[Flow_Name],Tab_Def_Flows[Use_E5],,0,)</f>
        <v>Yes</v>
      </c>
      <c r="I218" s="6" t="str">
        <f>_xlfn.XLOOKUP(C218,Tab_Def_Flows[Flow_Name],Tab_Def_Flows[Use_E6],,0,)</f>
        <v>Yes</v>
      </c>
      <c r="J218" s="4"/>
      <c r="K218" s="18"/>
      <c r="L218" s="3" t="str">
        <f>'0_Configuration'!$C$41</f>
        <v>Mg</v>
      </c>
      <c r="M218" s="10"/>
      <c r="N218" s="23" t="s">
        <v>3</v>
      </c>
      <c r="O218" s="11"/>
      <c r="P218" s="4"/>
      <c r="Q218" s="10"/>
      <c r="R218" s="3">
        <f>_xlfn.XLOOKUP(Tab_Data_Flows[[#This Row],[Flow_Name]],Tab_Def_Flows[Flow_Name],Tab_Def_Flows[Flow_E1_Fraction'[%']],"N.A.",0,1)</f>
        <v>0</v>
      </c>
      <c r="S218" s="9">
        <f t="shared" si="6"/>
        <v>0</v>
      </c>
      <c r="T218" s="3" t="str">
        <f>Tab_Data_Flows[[#This Row],[UoM_Source]]</f>
        <v>Mg</v>
      </c>
      <c r="U218" s="24">
        <f>_xlfn.XLOOKUP(Tab_Data_Flows[[#This Row],[Flow_Name]],Tab_Def_Flows[Flow_Name],Tab_Def_Flows[Flow_E2_Fraction'[%']],"N.A.",0,1)</f>
        <v>0</v>
      </c>
      <c r="V218" s="3">
        <f>IF(D218="Yes",S218*Tab_Data_Flows[[#This Row],[E2_Fraction'[%']]],"N.A.")</f>
        <v>0</v>
      </c>
      <c r="W218" s="3" t="str">
        <f>Tab_Data_Flows[[#This Row],[E1_UoM]]</f>
        <v>Mg</v>
      </c>
      <c r="X218" s="24">
        <f>_xlfn.XLOOKUP(Tab_Data_Flows[[#This Row],[Flow_Name]],Tab_Def_Flows[Flow_Name],Tab_Def_Flows[Flow_E3_Fraction'[%']],"N.A.",0,1)</f>
        <v>0</v>
      </c>
      <c r="Y218" s="3">
        <f>IF(E218="Yes",X218*Tab_Data_Flows[[#This Row],[E1_value]],"N.A.")</f>
        <v>0</v>
      </c>
      <c r="Z218" s="3" t="str">
        <f>Tab_Data_Flows[[#This Row],[E1_UoM]]</f>
        <v>Mg</v>
      </c>
      <c r="AA218" s="24">
        <f>_xlfn.XLOOKUP(Tab_Data_Flows[[#This Row],[Flow_Name]],Tab_Def_Flows[Flow_Name],Tab_Def_Flows[Flow_E4_Fraction'[%']],"N.A.",0,1)</f>
        <v>0</v>
      </c>
      <c r="AB218" s="3">
        <f>IF(H218="Yes",Tab_Data_Flows[[#This Row],[E4_Fraction'[%']]]*Tab_Data_Flows[[#This Row],[E1_value]],"N.A.")</f>
        <v>0</v>
      </c>
      <c r="AC218" s="3" t="str">
        <f>Tab_Data_Flows[[#This Row],[E1_UoM]]</f>
        <v>Mg</v>
      </c>
      <c r="AD218" s="24">
        <f>_xlfn.XLOOKUP(Tab_Data_Flows[[#This Row],[Flow_Name]],Tab_Def_Flows[Flow_Name],Tab_Def_Flows[Flow_E5_Fraction'[%']],"N.A.",0,1)</f>
        <v>0</v>
      </c>
      <c r="AE218" s="3">
        <f>IF(H218="Yes",Tab_Data_Flows[[#This Row],[E5_Fraction'[%']]]*Tab_Data_Flows[[#This Row],[E1_value]],"N.A.")</f>
        <v>0</v>
      </c>
      <c r="AF218" s="3" t="str">
        <f>Tab_Data_Flows[[#This Row],[E1_UoM]]</f>
        <v>Mg</v>
      </c>
      <c r="AG218" s="24">
        <f>_xlfn.XLOOKUP(Tab_Data_Flows[[#This Row],[Flow_Name]],Tab_Def_Flows[Flow_Name],Tab_Def_Flows[Flow_E6_Fraction'[%']],"N.A.",0,1)</f>
        <v>0</v>
      </c>
      <c r="AH218" s="3">
        <f>IF(Tab_Data_Flows[[#This Row],[Use_E6]]="Yes",Tab_Data_Flows[[#This Row],[E6_Fraction'[%']]]*Tab_Data_Flows[[#This Row],[E1_value]],"N.A.")</f>
        <v>0</v>
      </c>
      <c r="AI218" s="3" t="str">
        <f>Tab_Data_Flows[[#This Row],[E1_UoM]]</f>
        <v>Mg</v>
      </c>
    </row>
    <row r="219" spans="1:35" x14ac:dyDescent="0.25">
      <c r="A219" s="5">
        <f t="shared" si="7"/>
        <v>218</v>
      </c>
      <c r="B219" s="3" t="str">
        <f>_xlfn.XLOOKUP(C219,Tab_Def_Flows[Flow_Name],Tab_Def_Flows[Flow_ID],,0,)</f>
        <v>F__</v>
      </c>
      <c r="C219" s="23" t="s">
        <v>5</v>
      </c>
      <c r="D219" s="6" t="str">
        <f>_xlfn.XLOOKUP(C219,Tab_Def_Flows[Flow_Name],Tab_Def_Flows[Use_E1],,0,)</f>
        <v>Yes</v>
      </c>
      <c r="E219" s="6" t="str">
        <f>_xlfn.XLOOKUP(C219,Tab_Def_Flows[Flow_Name],Tab_Def_Flows[Use_E2],,0,)</f>
        <v>Yes</v>
      </c>
      <c r="F219" s="6" t="str">
        <f>_xlfn.XLOOKUP(C219,Tab_Def_Flows[Flow_Name],Tab_Def_Flows[Use_E3],,0,)</f>
        <v>Yes</v>
      </c>
      <c r="G219" s="6" t="str">
        <f>_xlfn.XLOOKUP(C219,Tab_Def_Flows[Flow_Name],Tab_Def_Flows[Use_E4],,0,)</f>
        <v>Yes</v>
      </c>
      <c r="H219" s="6" t="str">
        <f>_xlfn.XLOOKUP(C219,Tab_Def_Flows[Flow_Name],Tab_Def_Flows[Use_E5],,0,)</f>
        <v>Yes</v>
      </c>
      <c r="I219" s="6" t="str">
        <f>_xlfn.XLOOKUP(C219,Tab_Def_Flows[Flow_Name],Tab_Def_Flows[Use_E6],,0,)</f>
        <v>Yes</v>
      </c>
      <c r="J219" s="4"/>
      <c r="K219" s="18"/>
      <c r="L219" s="3" t="str">
        <f>'0_Configuration'!$C$41</f>
        <v>Mg</v>
      </c>
      <c r="M219" s="10"/>
      <c r="N219" s="23" t="s">
        <v>3</v>
      </c>
      <c r="O219" s="11"/>
      <c r="P219" s="4"/>
      <c r="Q219" s="10"/>
      <c r="R219" s="3">
        <f>_xlfn.XLOOKUP(Tab_Data_Flows[[#This Row],[Flow_Name]],Tab_Def_Flows[Flow_Name],Tab_Def_Flows[Flow_E1_Fraction'[%']],"N.A.",0,1)</f>
        <v>0</v>
      </c>
      <c r="S219" s="9">
        <f t="shared" si="6"/>
        <v>0</v>
      </c>
      <c r="T219" s="3" t="str">
        <f>Tab_Data_Flows[[#This Row],[UoM_Source]]</f>
        <v>Mg</v>
      </c>
      <c r="U219" s="24">
        <f>_xlfn.XLOOKUP(Tab_Data_Flows[[#This Row],[Flow_Name]],Tab_Def_Flows[Flow_Name],Tab_Def_Flows[Flow_E2_Fraction'[%']],"N.A.",0,1)</f>
        <v>0</v>
      </c>
      <c r="V219" s="3">
        <f>IF(D219="Yes",S219*Tab_Data_Flows[[#This Row],[E2_Fraction'[%']]],"N.A.")</f>
        <v>0</v>
      </c>
      <c r="W219" s="3" t="str">
        <f>Tab_Data_Flows[[#This Row],[E1_UoM]]</f>
        <v>Mg</v>
      </c>
      <c r="X219" s="24">
        <f>_xlfn.XLOOKUP(Tab_Data_Flows[[#This Row],[Flow_Name]],Tab_Def_Flows[Flow_Name],Tab_Def_Flows[Flow_E3_Fraction'[%']],"N.A.",0,1)</f>
        <v>0</v>
      </c>
      <c r="Y219" s="3">
        <f>IF(E219="Yes",X219*Tab_Data_Flows[[#This Row],[E1_value]],"N.A.")</f>
        <v>0</v>
      </c>
      <c r="Z219" s="3" t="str">
        <f>Tab_Data_Flows[[#This Row],[E1_UoM]]</f>
        <v>Mg</v>
      </c>
      <c r="AA219" s="24">
        <f>_xlfn.XLOOKUP(Tab_Data_Flows[[#This Row],[Flow_Name]],Tab_Def_Flows[Flow_Name],Tab_Def_Flows[Flow_E4_Fraction'[%']],"N.A.",0,1)</f>
        <v>0</v>
      </c>
      <c r="AB219" s="3">
        <f>IF(H219="Yes",Tab_Data_Flows[[#This Row],[E4_Fraction'[%']]]*Tab_Data_Flows[[#This Row],[E1_value]],"N.A.")</f>
        <v>0</v>
      </c>
      <c r="AC219" s="3" t="str">
        <f>Tab_Data_Flows[[#This Row],[E1_UoM]]</f>
        <v>Mg</v>
      </c>
      <c r="AD219" s="24">
        <f>_xlfn.XLOOKUP(Tab_Data_Flows[[#This Row],[Flow_Name]],Tab_Def_Flows[Flow_Name],Tab_Def_Flows[Flow_E5_Fraction'[%']],"N.A.",0,1)</f>
        <v>0</v>
      </c>
      <c r="AE219" s="3">
        <f>IF(H219="Yes",Tab_Data_Flows[[#This Row],[E5_Fraction'[%']]]*Tab_Data_Flows[[#This Row],[E1_value]],"N.A.")</f>
        <v>0</v>
      </c>
      <c r="AF219" s="3" t="str">
        <f>Tab_Data_Flows[[#This Row],[E1_UoM]]</f>
        <v>Mg</v>
      </c>
      <c r="AG219" s="24">
        <f>_xlfn.XLOOKUP(Tab_Data_Flows[[#This Row],[Flow_Name]],Tab_Def_Flows[Flow_Name],Tab_Def_Flows[Flow_E6_Fraction'[%']],"N.A.",0,1)</f>
        <v>0</v>
      </c>
      <c r="AH219" s="3">
        <f>IF(Tab_Data_Flows[[#This Row],[Use_E6]]="Yes",Tab_Data_Flows[[#This Row],[E6_Fraction'[%']]]*Tab_Data_Flows[[#This Row],[E1_value]],"N.A.")</f>
        <v>0</v>
      </c>
      <c r="AI219" s="3" t="str">
        <f>Tab_Data_Flows[[#This Row],[E1_UoM]]</f>
        <v>Mg</v>
      </c>
    </row>
    <row r="220" spans="1:35" x14ac:dyDescent="0.25">
      <c r="A220" s="5">
        <f t="shared" si="7"/>
        <v>219</v>
      </c>
      <c r="B220" s="3" t="str">
        <f>_xlfn.XLOOKUP(C220,Tab_Def_Flows[Flow_Name],Tab_Def_Flows[Flow_ID],,0,)</f>
        <v>F__</v>
      </c>
      <c r="C220" s="23" t="s">
        <v>5</v>
      </c>
      <c r="D220" s="6" t="str">
        <f>_xlfn.XLOOKUP(C220,Tab_Def_Flows[Flow_Name],Tab_Def_Flows[Use_E1],,0,)</f>
        <v>Yes</v>
      </c>
      <c r="E220" s="6" t="str">
        <f>_xlfn.XLOOKUP(C220,Tab_Def_Flows[Flow_Name],Tab_Def_Flows[Use_E2],,0,)</f>
        <v>Yes</v>
      </c>
      <c r="F220" s="6" t="str">
        <f>_xlfn.XLOOKUP(C220,Tab_Def_Flows[Flow_Name],Tab_Def_Flows[Use_E3],,0,)</f>
        <v>Yes</v>
      </c>
      <c r="G220" s="6" t="str">
        <f>_xlfn.XLOOKUP(C220,Tab_Def_Flows[Flow_Name],Tab_Def_Flows[Use_E4],,0,)</f>
        <v>Yes</v>
      </c>
      <c r="H220" s="6" t="str">
        <f>_xlfn.XLOOKUP(C220,Tab_Def_Flows[Flow_Name],Tab_Def_Flows[Use_E5],,0,)</f>
        <v>Yes</v>
      </c>
      <c r="I220" s="6" t="str">
        <f>_xlfn.XLOOKUP(C220,Tab_Def_Flows[Flow_Name],Tab_Def_Flows[Use_E6],,0,)</f>
        <v>Yes</v>
      </c>
      <c r="J220" s="4"/>
      <c r="K220" s="18"/>
      <c r="L220" s="3" t="str">
        <f>'0_Configuration'!$C$41</f>
        <v>Mg</v>
      </c>
      <c r="M220" s="10"/>
      <c r="N220" s="23" t="s">
        <v>3</v>
      </c>
      <c r="O220" s="11"/>
      <c r="P220" s="4"/>
      <c r="Q220" s="10"/>
      <c r="R220" s="3">
        <f>_xlfn.XLOOKUP(Tab_Data_Flows[[#This Row],[Flow_Name]],Tab_Def_Flows[Flow_Name],Tab_Def_Flows[Flow_E1_Fraction'[%']],"N.A.",0,1)</f>
        <v>0</v>
      </c>
      <c r="S220" s="9">
        <f t="shared" si="6"/>
        <v>0</v>
      </c>
      <c r="T220" s="3" t="str">
        <f>Tab_Data_Flows[[#This Row],[UoM_Source]]</f>
        <v>Mg</v>
      </c>
      <c r="U220" s="24">
        <f>_xlfn.XLOOKUP(Tab_Data_Flows[[#This Row],[Flow_Name]],Tab_Def_Flows[Flow_Name],Tab_Def_Flows[Flow_E2_Fraction'[%']],"N.A.",0,1)</f>
        <v>0</v>
      </c>
      <c r="V220" s="3">
        <f>IF(D220="Yes",S220*Tab_Data_Flows[[#This Row],[E2_Fraction'[%']]],"N.A.")</f>
        <v>0</v>
      </c>
      <c r="W220" s="3" t="str">
        <f>Tab_Data_Flows[[#This Row],[E1_UoM]]</f>
        <v>Mg</v>
      </c>
      <c r="X220" s="24">
        <f>_xlfn.XLOOKUP(Tab_Data_Flows[[#This Row],[Flow_Name]],Tab_Def_Flows[Flow_Name],Tab_Def_Flows[Flow_E3_Fraction'[%']],"N.A.",0,1)</f>
        <v>0</v>
      </c>
      <c r="Y220" s="3">
        <f>IF(E220="Yes",X220*Tab_Data_Flows[[#This Row],[E1_value]],"N.A.")</f>
        <v>0</v>
      </c>
      <c r="Z220" s="3" t="str">
        <f>Tab_Data_Flows[[#This Row],[E1_UoM]]</f>
        <v>Mg</v>
      </c>
      <c r="AA220" s="24">
        <f>_xlfn.XLOOKUP(Tab_Data_Flows[[#This Row],[Flow_Name]],Tab_Def_Flows[Flow_Name],Tab_Def_Flows[Flow_E4_Fraction'[%']],"N.A.",0,1)</f>
        <v>0</v>
      </c>
      <c r="AB220" s="3">
        <f>IF(H220="Yes",Tab_Data_Flows[[#This Row],[E4_Fraction'[%']]]*Tab_Data_Flows[[#This Row],[E1_value]],"N.A.")</f>
        <v>0</v>
      </c>
      <c r="AC220" s="3" t="str">
        <f>Tab_Data_Flows[[#This Row],[E1_UoM]]</f>
        <v>Mg</v>
      </c>
      <c r="AD220" s="24">
        <f>_xlfn.XLOOKUP(Tab_Data_Flows[[#This Row],[Flow_Name]],Tab_Def_Flows[Flow_Name],Tab_Def_Flows[Flow_E5_Fraction'[%']],"N.A.",0,1)</f>
        <v>0</v>
      </c>
      <c r="AE220" s="3">
        <f>IF(H220="Yes",Tab_Data_Flows[[#This Row],[E5_Fraction'[%']]]*Tab_Data_Flows[[#This Row],[E1_value]],"N.A.")</f>
        <v>0</v>
      </c>
      <c r="AF220" s="3" t="str">
        <f>Tab_Data_Flows[[#This Row],[E1_UoM]]</f>
        <v>Mg</v>
      </c>
      <c r="AG220" s="24">
        <f>_xlfn.XLOOKUP(Tab_Data_Flows[[#This Row],[Flow_Name]],Tab_Def_Flows[Flow_Name],Tab_Def_Flows[Flow_E6_Fraction'[%']],"N.A.",0,1)</f>
        <v>0</v>
      </c>
      <c r="AH220" s="3">
        <f>IF(Tab_Data_Flows[[#This Row],[Use_E6]]="Yes",Tab_Data_Flows[[#This Row],[E6_Fraction'[%']]]*Tab_Data_Flows[[#This Row],[E1_value]],"N.A.")</f>
        <v>0</v>
      </c>
      <c r="AI220" s="3" t="str">
        <f>Tab_Data_Flows[[#This Row],[E1_UoM]]</f>
        <v>Mg</v>
      </c>
    </row>
    <row r="221" spans="1:35" x14ac:dyDescent="0.25">
      <c r="A221" s="5">
        <f t="shared" si="7"/>
        <v>220</v>
      </c>
      <c r="B221" s="3" t="str">
        <f>_xlfn.XLOOKUP(C221,Tab_Def_Flows[Flow_Name],Tab_Def_Flows[Flow_ID],,0,)</f>
        <v>F__</v>
      </c>
      <c r="C221" s="23" t="s">
        <v>5</v>
      </c>
      <c r="D221" s="6" t="str">
        <f>_xlfn.XLOOKUP(C221,Tab_Def_Flows[Flow_Name],Tab_Def_Flows[Use_E1],,0,)</f>
        <v>Yes</v>
      </c>
      <c r="E221" s="6" t="str">
        <f>_xlfn.XLOOKUP(C221,Tab_Def_Flows[Flow_Name],Tab_Def_Flows[Use_E2],,0,)</f>
        <v>Yes</v>
      </c>
      <c r="F221" s="6" t="str">
        <f>_xlfn.XLOOKUP(C221,Tab_Def_Flows[Flow_Name],Tab_Def_Flows[Use_E3],,0,)</f>
        <v>Yes</v>
      </c>
      <c r="G221" s="6" t="str">
        <f>_xlfn.XLOOKUP(C221,Tab_Def_Flows[Flow_Name],Tab_Def_Flows[Use_E4],,0,)</f>
        <v>Yes</v>
      </c>
      <c r="H221" s="6" t="str">
        <f>_xlfn.XLOOKUP(C221,Tab_Def_Flows[Flow_Name],Tab_Def_Flows[Use_E5],,0,)</f>
        <v>Yes</v>
      </c>
      <c r="I221" s="6" t="str">
        <f>_xlfn.XLOOKUP(C221,Tab_Def_Flows[Flow_Name],Tab_Def_Flows[Use_E6],,0,)</f>
        <v>Yes</v>
      </c>
      <c r="J221" s="4"/>
      <c r="K221" s="18"/>
      <c r="L221" s="3" t="str">
        <f>'0_Configuration'!$C$41</f>
        <v>Mg</v>
      </c>
      <c r="M221" s="10"/>
      <c r="N221" s="23" t="s">
        <v>3</v>
      </c>
      <c r="O221" s="11"/>
      <c r="P221" s="4"/>
      <c r="Q221" s="10"/>
      <c r="R221" s="3">
        <f>_xlfn.XLOOKUP(Tab_Data_Flows[[#This Row],[Flow_Name]],Tab_Def_Flows[Flow_Name],Tab_Def_Flows[Flow_E1_Fraction'[%']],"N.A.",0,1)</f>
        <v>0</v>
      </c>
      <c r="S221" s="9">
        <f t="shared" si="6"/>
        <v>0</v>
      </c>
      <c r="T221" s="3" t="str">
        <f>Tab_Data_Flows[[#This Row],[UoM_Source]]</f>
        <v>Mg</v>
      </c>
      <c r="U221" s="24">
        <f>_xlfn.XLOOKUP(Tab_Data_Flows[[#This Row],[Flow_Name]],Tab_Def_Flows[Flow_Name],Tab_Def_Flows[Flow_E2_Fraction'[%']],"N.A.",0,1)</f>
        <v>0</v>
      </c>
      <c r="V221" s="3">
        <f>IF(D221="Yes",S221*Tab_Data_Flows[[#This Row],[E2_Fraction'[%']]],"N.A.")</f>
        <v>0</v>
      </c>
      <c r="W221" s="3" t="str">
        <f>Tab_Data_Flows[[#This Row],[E1_UoM]]</f>
        <v>Mg</v>
      </c>
      <c r="X221" s="24">
        <f>_xlfn.XLOOKUP(Tab_Data_Flows[[#This Row],[Flow_Name]],Tab_Def_Flows[Flow_Name],Tab_Def_Flows[Flow_E3_Fraction'[%']],"N.A.",0,1)</f>
        <v>0</v>
      </c>
      <c r="Y221" s="3">
        <f>IF(E221="Yes",X221*Tab_Data_Flows[[#This Row],[E1_value]],"N.A.")</f>
        <v>0</v>
      </c>
      <c r="Z221" s="3" t="str">
        <f>Tab_Data_Flows[[#This Row],[E1_UoM]]</f>
        <v>Mg</v>
      </c>
      <c r="AA221" s="24">
        <f>_xlfn.XLOOKUP(Tab_Data_Flows[[#This Row],[Flow_Name]],Tab_Def_Flows[Flow_Name],Tab_Def_Flows[Flow_E4_Fraction'[%']],"N.A.",0,1)</f>
        <v>0</v>
      </c>
      <c r="AB221" s="3">
        <f>IF(H221="Yes",Tab_Data_Flows[[#This Row],[E4_Fraction'[%']]]*Tab_Data_Flows[[#This Row],[E1_value]],"N.A.")</f>
        <v>0</v>
      </c>
      <c r="AC221" s="3" t="str">
        <f>Tab_Data_Flows[[#This Row],[E1_UoM]]</f>
        <v>Mg</v>
      </c>
      <c r="AD221" s="24">
        <f>_xlfn.XLOOKUP(Tab_Data_Flows[[#This Row],[Flow_Name]],Tab_Def_Flows[Flow_Name],Tab_Def_Flows[Flow_E5_Fraction'[%']],"N.A.",0,1)</f>
        <v>0</v>
      </c>
      <c r="AE221" s="3">
        <f>IF(H221="Yes",Tab_Data_Flows[[#This Row],[E5_Fraction'[%']]]*Tab_Data_Flows[[#This Row],[E1_value]],"N.A.")</f>
        <v>0</v>
      </c>
      <c r="AF221" s="3" t="str">
        <f>Tab_Data_Flows[[#This Row],[E1_UoM]]</f>
        <v>Mg</v>
      </c>
      <c r="AG221" s="24">
        <f>_xlfn.XLOOKUP(Tab_Data_Flows[[#This Row],[Flow_Name]],Tab_Def_Flows[Flow_Name],Tab_Def_Flows[Flow_E6_Fraction'[%']],"N.A.",0,1)</f>
        <v>0</v>
      </c>
      <c r="AH221" s="3">
        <f>IF(Tab_Data_Flows[[#This Row],[Use_E6]]="Yes",Tab_Data_Flows[[#This Row],[E6_Fraction'[%']]]*Tab_Data_Flows[[#This Row],[E1_value]],"N.A.")</f>
        <v>0</v>
      </c>
      <c r="AI221" s="3" t="str">
        <f>Tab_Data_Flows[[#This Row],[E1_UoM]]</f>
        <v>Mg</v>
      </c>
    </row>
    <row r="222" spans="1:35" x14ac:dyDescent="0.25">
      <c r="A222" s="5">
        <f t="shared" si="7"/>
        <v>221</v>
      </c>
      <c r="B222" s="3" t="str">
        <f>_xlfn.XLOOKUP(C222,Tab_Def_Flows[Flow_Name],Tab_Def_Flows[Flow_ID],,0,)</f>
        <v>F__</v>
      </c>
      <c r="C222" s="23" t="s">
        <v>5</v>
      </c>
      <c r="D222" s="6" t="str">
        <f>_xlfn.XLOOKUP(C222,Tab_Def_Flows[Flow_Name],Tab_Def_Flows[Use_E1],,0,)</f>
        <v>Yes</v>
      </c>
      <c r="E222" s="6" t="str">
        <f>_xlfn.XLOOKUP(C222,Tab_Def_Flows[Flow_Name],Tab_Def_Flows[Use_E2],,0,)</f>
        <v>Yes</v>
      </c>
      <c r="F222" s="6" t="str">
        <f>_xlfn.XLOOKUP(C222,Tab_Def_Flows[Flow_Name],Tab_Def_Flows[Use_E3],,0,)</f>
        <v>Yes</v>
      </c>
      <c r="G222" s="6" t="str">
        <f>_xlfn.XLOOKUP(C222,Tab_Def_Flows[Flow_Name],Tab_Def_Flows[Use_E4],,0,)</f>
        <v>Yes</v>
      </c>
      <c r="H222" s="6" t="str">
        <f>_xlfn.XLOOKUP(C222,Tab_Def_Flows[Flow_Name],Tab_Def_Flows[Use_E5],,0,)</f>
        <v>Yes</v>
      </c>
      <c r="I222" s="6" t="str">
        <f>_xlfn.XLOOKUP(C222,Tab_Def_Flows[Flow_Name],Tab_Def_Flows[Use_E6],,0,)</f>
        <v>Yes</v>
      </c>
      <c r="J222" s="4"/>
      <c r="K222" s="18"/>
      <c r="L222" s="3" t="str">
        <f>'0_Configuration'!$C$41</f>
        <v>Mg</v>
      </c>
      <c r="M222" s="10"/>
      <c r="N222" s="23" t="s">
        <v>3</v>
      </c>
      <c r="O222" s="11"/>
      <c r="P222" s="4"/>
      <c r="Q222" s="10"/>
      <c r="R222" s="3">
        <f>_xlfn.XLOOKUP(Tab_Data_Flows[[#This Row],[Flow_Name]],Tab_Def_Flows[Flow_Name],Tab_Def_Flows[Flow_E1_Fraction'[%']],"N.A.",0,1)</f>
        <v>0</v>
      </c>
      <c r="S222" s="9">
        <f t="shared" si="6"/>
        <v>0</v>
      </c>
      <c r="T222" s="3" t="str">
        <f>Tab_Data_Flows[[#This Row],[UoM_Source]]</f>
        <v>Mg</v>
      </c>
      <c r="U222" s="24">
        <f>_xlfn.XLOOKUP(Tab_Data_Flows[[#This Row],[Flow_Name]],Tab_Def_Flows[Flow_Name],Tab_Def_Flows[Flow_E2_Fraction'[%']],"N.A.",0,1)</f>
        <v>0</v>
      </c>
      <c r="V222" s="3">
        <f>IF(D222="Yes",S222*Tab_Data_Flows[[#This Row],[E2_Fraction'[%']]],"N.A.")</f>
        <v>0</v>
      </c>
      <c r="W222" s="3" t="str">
        <f>Tab_Data_Flows[[#This Row],[E1_UoM]]</f>
        <v>Mg</v>
      </c>
      <c r="X222" s="24">
        <f>_xlfn.XLOOKUP(Tab_Data_Flows[[#This Row],[Flow_Name]],Tab_Def_Flows[Flow_Name],Tab_Def_Flows[Flow_E3_Fraction'[%']],"N.A.",0,1)</f>
        <v>0</v>
      </c>
      <c r="Y222" s="3">
        <f>IF(E222="Yes",X222*Tab_Data_Flows[[#This Row],[E1_value]],"N.A.")</f>
        <v>0</v>
      </c>
      <c r="Z222" s="3" t="str">
        <f>Tab_Data_Flows[[#This Row],[E1_UoM]]</f>
        <v>Mg</v>
      </c>
      <c r="AA222" s="24">
        <f>_xlfn.XLOOKUP(Tab_Data_Flows[[#This Row],[Flow_Name]],Tab_Def_Flows[Flow_Name],Tab_Def_Flows[Flow_E4_Fraction'[%']],"N.A.",0,1)</f>
        <v>0</v>
      </c>
      <c r="AB222" s="3">
        <f>IF(H222="Yes",Tab_Data_Flows[[#This Row],[E4_Fraction'[%']]]*Tab_Data_Flows[[#This Row],[E1_value]],"N.A.")</f>
        <v>0</v>
      </c>
      <c r="AC222" s="3" t="str">
        <f>Tab_Data_Flows[[#This Row],[E1_UoM]]</f>
        <v>Mg</v>
      </c>
      <c r="AD222" s="24">
        <f>_xlfn.XLOOKUP(Tab_Data_Flows[[#This Row],[Flow_Name]],Tab_Def_Flows[Flow_Name],Tab_Def_Flows[Flow_E5_Fraction'[%']],"N.A.",0,1)</f>
        <v>0</v>
      </c>
      <c r="AE222" s="3">
        <f>IF(H222="Yes",Tab_Data_Flows[[#This Row],[E5_Fraction'[%']]]*Tab_Data_Flows[[#This Row],[E1_value]],"N.A.")</f>
        <v>0</v>
      </c>
      <c r="AF222" s="3" t="str">
        <f>Tab_Data_Flows[[#This Row],[E1_UoM]]</f>
        <v>Mg</v>
      </c>
      <c r="AG222" s="24">
        <f>_xlfn.XLOOKUP(Tab_Data_Flows[[#This Row],[Flow_Name]],Tab_Def_Flows[Flow_Name],Tab_Def_Flows[Flow_E6_Fraction'[%']],"N.A.",0,1)</f>
        <v>0</v>
      </c>
      <c r="AH222" s="3">
        <f>IF(Tab_Data_Flows[[#This Row],[Use_E6]]="Yes",Tab_Data_Flows[[#This Row],[E6_Fraction'[%']]]*Tab_Data_Flows[[#This Row],[E1_value]],"N.A.")</f>
        <v>0</v>
      </c>
      <c r="AI222" s="3" t="str">
        <f>Tab_Data_Flows[[#This Row],[E1_UoM]]</f>
        <v>Mg</v>
      </c>
    </row>
    <row r="223" spans="1:35" x14ac:dyDescent="0.25">
      <c r="A223" s="5">
        <f t="shared" si="7"/>
        <v>222</v>
      </c>
      <c r="B223" s="3" t="str">
        <f>_xlfn.XLOOKUP(C223,Tab_Def_Flows[Flow_Name],Tab_Def_Flows[Flow_ID],,0,)</f>
        <v>F__</v>
      </c>
      <c r="C223" s="23" t="s">
        <v>5</v>
      </c>
      <c r="D223" s="6" t="str">
        <f>_xlfn.XLOOKUP(C223,Tab_Def_Flows[Flow_Name],Tab_Def_Flows[Use_E1],,0,)</f>
        <v>Yes</v>
      </c>
      <c r="E223" s="6" t="str">
        <f>_xlfn.XLOOKUP(C223,Tab_Def_Flows[Flow_Name],Tab_Def_Flows[Use_E2],,0,)</f>
        <v>Yes</v>
      </c>
      <c r="F223" s="6" t="str">
        <f>_xlfn.XLOOKUP(C223,Tab_Def_Flows[Flow_Name],Tab_Def_Flows[Use_E3],,0,)</f>
        <v>Yes</v>
      </c>
      <c r="G223" s="6" t="str">
        <f>_xlfn.XLOOKUP(C223,Tab_Def_Flows[Flow_Name],Tab_Def_Flows[Use_E4],,0,)</f>
        <v>Yes</v>
      </c>
      <c r="H223" s="6" t="str">
        <f>_xlfn.XLOOKUP(C223,Tab_Def_Flows[Flow_Name],Tab_Def_Flows[Use_E5],,0,)</f>
        <v>Yes</v>
      </c>
      <c r="I223" s="6" t="str">
        <f>_xlfn.XLOOKUP(C223,Tab_Def_Flows[Flow_Name],Tab_Def_Flows[Use_E6],,0,)</f>
        <v>Yes</v>
      </c>
      <c r="J223" s="4"/>
      <c r="K223" s="18"/>
      <c r="L223" s="3" t="str">
        <f>'0_Configuration'!$C$41</f>
        <v>Mg</v>
      </c>
      <c r="M223" s="10"/>
      <c r="N223" s="23" t="s">
        <v>3</v>
      </c>
      <c r="O223" s="11"/>
      <c r="P223" s="4"/>
      <c r="Q223" s="10"/>
      <c r="R223" s="3">
        <f>_xlfn.XLOOKUP(Tab_Data_Flows[[#This Row],[Flow_Name]],Tab_Def_Flows[Flow_Name],Tab_Def_Flows[Flow_E1_Fraction'[%']],"N.A.",0,1)</f>
        <v>0</v>
      </c>
      <c r="S223" s="9">
        <f t="shared" si="6"/>
        <v>0</v>
      </c>
      <c r="T223" s="3" t="str">
        <f>Tab_Data_Flows[[#This Row],[UoM_Source]]</f>
        <v>Mg</v>
      </c>
      <c r="U223" s="24">
        <f>_xlfn.XLOOKUP(Tab_Data_Flows[[#This Row],[Flow_Name]],Tab_Def_Flows[Flow_Name],Tab_Def_Flows[Flow_E2_Fraction'[%']],"N.A.",0,1)</f>
        <v>0</v>
      </c>
      <c r="V223" s="3">
        <f>IF(D223="Yes",S223*Tab_Data_Flows[[#This Row],[E2_Fraction'[%']]],"N.A.")</f>
        <v>0</v>
      </c>
      <c r="W223" s="3" t="str">
        <f>Tab_Data_Flows[[#This Row],[E1_UoM]]</f>
        <v>Mg</v>
      </c>
      <c r="X223" s="24">
        <f>_xlfn.XLOOKUP(Tab_Data_Flows[[#This Row],[Flow_Name]],Tab_Def_Flows[Flow_Name],Tab_Def_Flows[Flow_E3_Fraction'[%']],"N.A.",0,1)</f>
        <v>0</v>
      </c>
      <c r="Y223" s="3">
        <f>IF(E223="Yes",X223*Tab_Data_Flows[[#This Row],[E1_value]],"N.A.")</f>
        <v>0</v>
      </c>
      <c r="Z223" s="3" t="str">
        <f>Tab_Data_Flows[[#This Row],[E1_UoM]]</f>
        <v>Mg</v>
      </c>
      <c r="AA223" s="24">
        <f>_xlfn.XLOOKUP(Tab_Data_Flows[[#This Row],[Flow_Name]],Tab_Def_Flows[Flow_Name],Tab_Def_Flows[Flow_E4_Fraction'[%']],"N.A.",0,1)</f>
        <v>0</v>
      </c>
      <c r="AB223" s="3">
        <f>IF(H223="Yes",Tab_Data_Flows[[#This Row],[E4_Fraction'[%']]]*Tab_Data_Flows[[#This Row],[E1_value]],"N.A.")</f>
        <v>0</v>
      </c>
      <c r="AC223" s="3" t="str">
        <f>Tab_Data_Flows[[#This Row],[E1_UoM]]</f>
        <v>Mg</v>
      </c>
      <c r="AD223" s="24">
        <f>_xlfn.XLOOKUP(Tab_Data_Flows[[#This Row],[Flow_Name]],Tab_Def_Flows[Flow_Name],Tab_Def_Flows[Flow_E5_Fraction'[%']],"N.A.",0,1)</f>
        <v>0</v>
      </c>
      <c r="AE223" s="3">
        <f>IF(H223="Yes",Tab_Data_Flows[[#This Row],[E5_Fraction'[%']]]*Tab_Data_Flows[[#This Row],[E1_value]],"N.A.")</f>
        <v>0</v>
      </c>
      <c r="AF223" s="3" t="str">
        <f>Tab_Data_Flows[[#This Row],[E1_UoM]]</f>
        <v>Mg</v>
      </c>
      <c r="AG223" s="24">
        <f>_xlfn.XLOOKUP(Tab_Data_Flows[[#This Row],[Flow_Name]],Tab_Def_Flows[Flow_Name],Tab_Def_Flows[Flow_E6_Fraction'[%']],"N.A.",0,1)</f>
        <v>0</v>
      </c>
      <c r="AH223" s="3">
        <f>IF(Tab_Data_Flows[[#This Row],[Use_E6]]="Yes",Tab_Data_Flows[[#This Row],[E6_Fraction'[%']]]*Tab_Data_Flows[[#This Row],[E1_value]],"N.A.")</f>
        <v>0</v>
      </c>
      <c r="AI223" s="3" t="str">
        <f>Tab_Data_Flows[[#This Row],[E1_UoM]]</f>
        <v>Mg</v>
      </c>
    </row>
    <row r="224" spans="1:35" x14ac:dyDescent="0.25">
      <c r="A224" s="5">
        <f t="shared" si="7"/>
        <v>223</v>
      </c>
      <c r="B224" s="3" t="str">
        <f>_xlfn.XLOOKUP(C224,Tab_Def_Flows[Flow_Name],Tab_Def_Flows[Flow_ID],,0,)</f>
        <v>F__</v>
      </c>
      <c r="C224" s="23" t="s">
        <v>5</v>
      </c>
      <c r="D224" s="6" t="str">
        <f>_xlfn.XLOOKUP(C224,Tab_Def_Flows[Flow_Name],Tab_Def_Flows[Use_E1],,0,)</f>
        <v>Yes</v>
      </c>
      <c r="E224" s="6" t="str">
        <f>_xlfn.XLOOKUP(C224,Tab_Def_Flows[Flow_Name],Tab_Def_Flows[Use_E2],,0,)</f>
        <v>Yes</v>
      </c>
      <c r="F224" s="6" t="str">
        <f>_xlfn.XLOOKUP(C224,Tab_Def_Flows[Flow_Name],Tab_Def_Flows[Use_E3],,0,)</f>
        <v>Yes</v>
      </c>
      <c r="G224" s="6" t="str">
        <f>_xlfn.XLOOKUP(C224,Tab_Def_Flows[Flow_Name],Tab_Def_Flows[Use_E4],,0,)</f>
        <v>Yes</v>
      </c>
      <c r="H224" s="6" t="str">
        <f>_xlfn.XLOOKUP(C224,Tab_Def_Flows[Flow_Name],Tab_Def_Flows[Use_E5],,0,)</f>
        <v>Yes</v>
      </c>
      <c r="I224" s="6" t="str">
        <f>_xlfn.XLOOKUP(C224,Tab_Def_Flows[Flow_Name],Tab_Def_Flows[Use_E6],,0,)</f>
        <v>Yes</v>
      </c>
      <c r="J224" s="4"/>
      <c r="K224" s="18"/>
      <c r="L224" s="3" t="str">
        <f>'0_Configuration'!$C$41</f>
        <v>Mg</v>
      </c>
      <c r="M224" s="10"/>
      <c r="N224" s="23" t="s">
        <v>3</v>
      </c>
      <c r="O224" s="11"/>
      <c r="P224" s="4"/>
      <c r="Q224" s="10"/>
      <c r="R224" s="3">
        <f>_xlfn.XLOOKUP(Tab_Data_Flows[[#This Row],[Flow_Name]],Tab_Def_Flows[Flow_Name],Tab_Def_Flows[Flow_E1_Fraction'[%']],"N.A.",0,1)</f>
        <v>0</v>
      </c>
      <c r="S224" s="9">
        <f t="shared" si="6"/>
        <v>0</v>
      </c>
      <c r="T224" s="3" t="str">
        <f>Tab_Data_Flows[[#This Row],[UoM_Source]]</f>
        <v>Mg</v>
      </c>
      <c r="U224" s="24">
        <f>_xlfn.XLOOKUP(Tab_Data_Flows[[#This Row],[Flow_Name]],Tab_Def_Flows[Flow_Name],Tab_Def_Flows[Flow_E2_Fraction'[%']],"N.A.",0,1)</f>
        <v>0</v>
      </c>
      <c r="V224" s="3">
        <f>IF(D224="Yes",S224*Tab_Data_Flows[[#This Row],[E2_Fraction'[%']]],"N.A.")</f>
        <v>0</v>
      </c>
      <c r="W224" s="3" t="str">
        <f>Tab_Data_Flows[[#This Row],[E1_UoM]]</f>
        <v>Mg</v>
      </c>
      <c r="X224" s="24">
        <f>_xlfn.XLOOKUP(Tab_Data_Flows[[#This Row],[Flow_Name]],Tab_Def_Flows[Flow_Name],Tab_Def_Flows[Flow_E3_Fraction'[%']],"N.A.",0,1)</f>
        <v>0</v>
      </c>
      <c r="Y224" s="3">
        <f>IF(E224="Yes",X224*Tab_Data_Flows[[#This Row],[E1_value]],"N.A.")</f>
        <v>0</v>
      </c>
      <c r="Z224" s="3" t="str">
        <f>Tab_Data_Flows[[#This Row],[E1_UoM]]</f>
        <v>Mg</v>
      </c>
      <c r="AA224" s="24">
        <f>_xlfn.XLOOKUP(Tab_Data_Flows[[#This Row],[Flow_Name]],Tab_Def_Flows[Flow_Name],Tab_Def_Flows[Flow_E4_Fraction'[%']],"N.A.",0,1)</f>
        <v>0</v>
      </c>
      <c r="AB224" s="3">
        <f>IF(H224="Yes",Tab_Data_Flows[[#This Row],[E4_Fraction'[%']]]*Tab_Data_Flows[[#This Row],[E1_value]],"N.A.")</f>
        <v>0</v>
      </c>
      <c r="AC224" s="3" t="str">
        <f>Tab_Data_Flows[[#This Row],[E1_UoM]]</f>
        <v>Mg</v>
      </c>
      <c r="AD224" s="24">
        <f>_xlfn.XLOOKUP(Tab_Data_Flows[[#This Row],[Flow_Name]],Tab_Def_Flows[Flow_Name],Tab_Def_Flows[Flow_E5_Fraction'[%']],"N.A.",0,1)</f>
        <v>0</v>
      </c>
      <c r="AE224" s="3">
        <f>IF(H224="Yes",Tab_Data_Flows[[#This Row],[E5_Fraction'[%']]]*Tab_Data_Flows[[#This Row],[E1_value]],"N.A.")</f>
        <v>0</v>
      </c>
      <c r="AF224" s="3" t="str">
        <f>Tab_Data_Flows[[#This Row],[E1_UoM]]</f>
        <v>Mg</v>
      </c>
      <c r="AG224" s="24">
        <f>_xlfn.XLOOKUP(Tab_Data_Flows[[#This Row],[Flow_Name]],Tab_Def_Flows[Flow_Name],Tab_Def_Flows[Flow_E6_Fraction'[%']],"N.A.",0,1)</f>
        <v>0</v>
      </c>
      <c r="AH224" s="3">
        <f>IF(Tab_Data_Flows[[#This Row],[Use_E6]]="Yes",Tab_Data_Flows[[#This Row],[E6_Fraction'[%']]]*Tab_Data_Flows[[#This Row],[E1_value]],"N.A.")</f>
        <v>0</v>
      </c>
      <c r="AI224" s="3" t="str">
        <f>Tab_Data_Flows[[#This Row],[E1_UoM]]</f>
        <v>Mg</v>
      </c>
    </row>
    <row r="225" spans="1:35" x14ac:dyDescent="0.25">
      <c r="A225" s="5">
        <f t="shared" si="7"/>
        <v>224</v>
      </c>
      <c r="B225" s="3" t="str">
        <f>_xlfn.XLOOKUP(C225,Tab_Def_Flows[Flow_Name],Tab_Def_Flows[Flow_ID],,0,)</f>
        <v>F__</v>
      </c>
      <c r="C225" s="23" t="s">
        <v>5</v>
      </c>
      <c r="D225" s="6" t="str">
        <f>_xlfn.XLOOKUP(C225,Tab_Def_Flows[Flow_Name],Tab_Def_Flows[Use_E1],,0,)</f>
        <v>Yes</v>
      </c>
      <c r="E225" s="6" t="str">
        <f>_xlfn.XLOOKUP(C225,Tab_Def_Flows[Flow_Name],Tab_Def_Flows[Use_E2],,0,)</f>
        <v>Yes</v>
      </c>
      <c r="F225" s="6" t="str">
        <f>_xlfn.XLOOKUP(C225,Tab_Def_Flows[Flow_Name],Tab_Def_Flows[Use_E3],,0,)</f>
        <v>Yes</v>
      </c>
      <c r="G225" s="6" t="str">
        <f>_xlfn.XLOOKUP(C225,Tab_Def_Flows[Flow_Name],Tab_Def_Flows[Use_E4],,0,)</f>
        <v>Yes</v>
      </c>
      <c r="H225" s="6" t="str">
        <f>_xlfn.XLOOKUP(C225,Tab_Def_Flows[Flow_Name],Tab_Def_Flows[Use_E5],,0,)</f>
        <v>Yes</v>
      </c>
      <c r="I225" s="6" t="str">
        <f>_xlfn.XLOOKUP(C225,Tab_Def_Flows[Flow_Name],Tab_Def_Flows[Use_E6],,0,)</f>
        <v>Yes</v>
      </c>
      <c r="J225" s="4"/>
      <c r="K225" s="18"/>
      <c r="L225" s="3" t="str">
        <f>'0_Configuration'!$C$41</f>
        <v>Mg</v>
      </c>
      <c r="M225" s="10"/>
      <c r="N225" s="23" t="s">
        <v>3</v>
      </c>
      <c r="O225" s="11"/>
      <c r="P225" s="4"/>
      <c r="Q225" s="10"/>
      <c r="R225" s="3">
        <f>_xlfn.XLOOKUP(Tab_Data_Flows[[#This Row],[Flow_Name]],Tab_Def_Flows[Flow_Name],Tab_Def_Flows[Flow_E1_Fraction'[%']],"N.A.",0,1)</f>
        <v>0</v>
      </c>
      <c r="S225" s="9">
        <f t="shared" si="6"/>
        <v>0</v>
      </c>
      <c r="T225" s="3" t="str">
        <f>Tab_Data_Flows[[#This Row],[UoM_Source]]</f>
        <v>Mg</v>
      </c>
      <c r="U225" s="24">
        <f>_xlfn.XLOOKUP(Tab_Data_Flows[[#This Row],[Flow_Name]],Tab_Def_Flows[Flow_Name],Tab_Def_Flows[Flow_E2_Fraction'[%']],"N.A.",0,1)</f>
        <v>0</v>
      </c>
      <c r="V225" s="3">
        <f>IF(D225="Yes",S225*Tab_Data_Flows[[#This Row],[E2_Fraction'[%']]],"N.A.")</f>
        <v>0</v>
      </c>
      <c r="W225" s="3" t="str">
        <f>Tab_Data_Flows[[#This Row],[E1_UoM]]</f>
        <v>Mg</v>
      </c>
      <c r="X225" s="24">
        <f>_xlfn.XLOOKUP(Tab_Data_Flows[[#This Row],[Flow_Name]],Tab_Def_Flows[Flow_Name],Tab_Def_Flows[Flow_E3_Fraction'[%']],"N.A.",0,1)</f>
        <v>0</v>
      </c>
      <c r="Y225" s="3">
        <f>IF(E225="Yes",X225*Tab_Data_Flows[[#This Row],[E1_value]],"N.A.")</f>
        <v>0</v>
      </c>
      <c r="Z225" s="3" t="str">
        <f>Tab_Data_Flows[[#This Row],[E1_UoM]]</f>
        <v>Mg</v>
      </c>
      <c r="AA225" s="24">
        <f>_xlfn.XLOOKUP(Tab_Data_Flows[[#This Row],[Flow_Name]],Tab_Def_Flows[Flow_Name],Tab_Def_Flows[Flow_E4_Fraction'[%']],"N.A.",0,1)</f>
        <v>0</v>
      </c>
      <c r="AB225" s="3">
        <f>IF(H225="Yes",Tab_Data_Flows[[#This Row],[E4_Fraction'[%']]]*Tab_Data_Flows[[#This Row],[E1_value]],"N.A.")</f>
        <v>0</v>
      </c>
      <c r="AC225" s="3" t="str">
        <f>Tab_Data_Flows[[#This Row],[E1_UoM]]</f>
        <v>Mg</v>
      </c>
      <c r="AD225" s="24">
        <f>_xlfn.XLOOKUP(Tab_Data_Flows[[#This Row],[Flow_Name]],Tab_Def_Flows[Flow_Name],Tab_Def_Flows[Flow_E5_Fraction'[%']],"N.A.",0,1)</f>
        <v>0</v>
      </c>
      <c r="AE225" s="3">
        <f>IF(H225="Yes",Tab_Data_Flows[[#This Row],[E5_Fraction'[%']]]*Tab_Data_Flows[[#This Row],[E1_value]],"N.A.")</f>
        <v>0</v>
      </c>
      <c r="AF225" s="3" t="str">
        <f>Tab_Data_Flows[[#This Row],[E1_UoM]]</f>
        <v>Mg</v>
      </c>
      <c r="AG225" s="24">
        <f>_xlfn.XLOOKUP(Tab_Data_Flows[[#This Row],[Flow_Name]],Tab_Def_Flows[Flow_Name],Tab_Def_Flows[Flow_E6_Fraction'[%']],"N.A.",0,1)</f>
        <v>0</v>
      </c>
      <c r="AH225" s="3">
        <f>IF(Tab_Data_Flows[[#This Row],[Use_E6]]="Yes",Tab_Data_Flows[[#This Row],[E6_Fraction'[%']]]*Tab_Data_Flows[[#This Row],[E1_value]],"N.A.")</f>
        <v>0</v>
      </c>
      <c r="AI225" s="3" t="str">
        <f>Tab_Data_Flows[[#This Row],[E1_UoM]]</f>
        <v>Mg</v>
      </c>
    </row>
    <row r="226" spans="1:35" x14ac:dyDescent="0.25">
      <c r="A226" s="5">
        <f t="shared" si="7"/>
        <v>225</v>
      </c>
      <c r="B226" s="3" t="str">
        <f>_xlfn.XLOOKUP(C226,Tab_Def_Flows[Flow_Name],Tab_Def_Flows[Flow_ID],,0,)</f>
        <v>F__</v>
      </c>
      <c r="C226" s="23" t="s">
        <v>5</v>
      </c>
      <c r="D226" s="6" t="str">
        <f>_xlfn.XLOOKUP(C226,Tab_Def_Flows[Flow_Name],Tab_Def_Flows[Use_E1],,0,)</f>
        <v>Yes</v>
      </c>
      <c r="E226" s="6" t="str">
        <f>_xlfn.XLOOKUP(C226,Tab_Def_Flows[Flow_Name],Tab_Def_Flows[Use_E2],,0,)</f>
        <v>Yes</v>
      </c>
      <c r="F226" s="6" t="str">
        <f>_xlfn.XLOOKUP(C226,Tab_Def_Flows[Flow_Name],Tab_Def_Flows[Use_E3],,0,)</f>
        <v>Yes</v>
      </c>
      <c r="G226" s="6" t="str">
        <f>_xlfn.XLOOKUP(C226,Tab_Def_Flows[Flow_Name],Tab_Def_Flows[Use_E4],,0,)</f>
        <v>Yes</v>
      </c>
      <c r="H226" s="6" t="str">
        <f>_xlfn.XLOOKUP(C226,Tab_Def_Flows[Flow_Name],Tab_Def_Flows[Use_E5],,0,)</f>
        <v>Yes</v>
      </c>
      <c r="I226" s="6" t="str">
        <f>_xlfn.XLOOKUP(C226,Tab_Def_Flows[Flow_Name],Tab_Def_Flows[Use_E6],,0,)</f>
        <v>Yes</v>
      </c>
      <c r="J226" s="4"/>
      <c r="K226" s="18"/>
      <c r="L226" s="3" t="str">
        <f>'0_Configuration'!$C$41</f>
        <v>Mg</v>
      </c>
      <c r="M226" s="10"/>
      <c r="N226" s="23" t="s">
        <v>3</v>
      </c>
      <c r="O226" s="11"/>
      <c r="P226" s="4"/>
      <c r="Q226" s="10"/>
      <c r="R226" s="3">
        <f>_xlfn.XLOOKUP(Tab_Data_Flows[[#This Row],[Flow_Name]],Tab_Def_Flows[Flow_Name],Tab_Def_Flows[Flow_E1_Fraction'[%']],"N.A.",0,1)</f>
        <v>0</v>
      </c>
      <c r="S226" s="9">
        <f t="shared" si="6"/>
        <v>0</v>
      </c>
      <c r="T226" s="3" t="str">
        <f>Tab_Data_Flows[[#This Row],[UoM_Source]]</f>
        <v>Mg</v>
      </c>
      <c r="U226" s="24">
        <f>_xlfn.XLOOKUP(Tab_Data_Flows[[#This Row],[Flow_Name]],Tab_Def_Flows[Flow_Name],Tab_Def_Flows[Flow_E2_Fraction'[%']],"N.A.",0,1)</f>
        <v>0</v>
      </c>
      <c r="V226" s="3">
        <f>IF(D226="Yes",S226*Tab_Data_Flows[[#This Row],[E2_Fraction'[%']]],"N.A.")</f>
        <v>0</v>
      </c>
      <c r="W226" s="3" t="str">
        <f>Tab_Data_Flows[[#This Row],[E1_UoM]]</f>
        <v>Mg</v>
      </c>
      <c r="X226" s="24">
        <f>_xlfn.XLOOKUP(Tab_Data_Flows[[#This Row],[Flow_Name]],Tab_Def_Flows[Flow_Name],Tab_Def_Flows[Flow_E3_Fraction'[%']],"N.A.",0,1)</f>
        <v>0</v>
      </c>
      <c r="Y226" s="3">
        <f>IF(E226="Yes",X226*Tab_Data_Flows[[#This Row],[E1_value]],"N.A.")</f>
        <v>0</v>
      </c>
      <c r="Z226" s="3" t="str">
        <f>Tab_Data_Flows[[#This Row],[E1_UoM]]</f>
        <v>Mg</v>
      </c>
      <c r="AA226" s="24">
        <f>_xlfn.XLOOKUP(Tab_Data_Flows[[#This Row],[Flow_Name]],Tab_Def_Flows[Flow_Name],Tab_Def_Flows[Flow_E4_Fraction'[%']],"N.A.",0,1)</f>
        <v>0</v>
      </c>
      <c r="AB226" s="3">
        <f>IF(H226="Yes",Tab_Data_Flows[[#This Row],[E4_Fraction'[%']]]*Tab_Data_Flows[[#This Row],[E1_value]],"N.A.")</f>
        <v>0</v>
      </c>
      <c r="AC226" s="3" t="str">
        <f>Tab_Data_Flows[[#This Row],[E1_UoM]]</f>
        <v>Mg</v>
      </c>
      <c r="AD226" s="24">
        <f>_xlfn.XLOOKUP(Tab_Data_Flows[[#This Row],[Flow_Name]],Tab_Def_Flows[Flow_Name],Tab_Def_Flows[Flow_E5_Fraction'[%']],"N.A.",0,1)</f>
        <v>0</v>
      </c>
      <c r="AE226" s="3">
        <f>IF(H226="Yes",Tab_Data_Flows[[#This Row],[E5_Fraction'[%']]]*Tab_Data_Flows[[#This Row],[E1_value]],"N.A.")</f>
        <v>0</v>
      </c>
      <c r="AF226" s="3" t="str">
        <f>Tab_Data_Flows[[#This Row],[E1_UoM]]</f>
        <v>Mg</v>
      </c>
      <c r="AG226" s="24">
        <f>_xlfn.XLOOKUP(Tab_Data_Flows[[#This Row],[Flow_Name]],Tab_Def_Flows[Flow_Name],Tab_Def_Flows[Flow_E6_Fraction'[%']],"N.A.",0,1)</f>
        <v>0</v>
      </c>
      <c r="AH226" s="3">
        <f>IF(Tab_Data_Flows[[#This Row],[Use_E6]]="Yes",Tab_Data_Flows[[#This Row],[E6_Fraction'[%']]]*Tab_Data_Flows[[#This Row],[E1_value]],"N.A.")</f>
        <v>0</v>
      </c>
      <c r="AI226" s="3" t="str">
        <f>Tab_Data_Flows[[#This Row],[E1_UoM]]</f>
        <v>Mg</v>
      </c>
    </row>
    <row r="227" spans="1:35" x14ac:dyDescent="0.25">
      <c r="A227" s="5">
        <f t="shared" si="7"/>
        <v>226</v>
      </c>
      <c r="B227" s="3" t="str">
        <f>_xlfn.XLOOKUP(C227,Tab_Def_Flows[Flow_Name],Tab_Def_Flows[Flow_ID],,0,)</f>
        <v>F__</v>
      </c>
      <c r="C227" s="23" t="s">
        <v>5</v>
      </c>
      <c r="D227" s="6" t="str">
        <f>_xlfn.XLOOKUP(C227,Tab_Def_Flows[Flow_Name],Tab_Def_Flows[Use_E1],,0,)</f>
        <v>Yes</v>
      </c>
      <c r="E227" s="6" t="str">
        <f>_xlfn.XLOOKUP(C227,Tab_Def_Flows[Flow_Name],Tab_Def_Flows[Use_E2],,0,)</f>
        <v>Yes</v>
      </c>
      <c r="F227" s="6" t="str">
        <f>_xlfn.XLOOKUP(C227,Tab_Def_Flows[Flow_Name],Tab_Def_Flows[Use_E3],,0,)</f>
        <v>Yes</v>
      </c>
      <c r="G227" s="6" t="str">
        <f>_xlfn.XLOOKUP(C227,Tab_Def_Flows[Flow_Name],Tab_Def_Flows[Use_E4],,0,)</f>
        <v>Yes</v>
      </c>
      <c r="H227" s="6" t="str">
        <f>_xlfn.XLOOKUP(C227,Tab_Def_Flows[Flow_Name],Tab_Def_Flows[Use_E5],,0,)</f>
        <v>Yes</v>
      </c>
      <c r="I227" s="6" t="str">
        <f>_xlfn.XLOOKUP(C227,Tab_Def_Flows[Flow_Name],Tab_Def_Flows[Use_E6],,0,)</f>
        <v>Yes</v>
      </c>
      <c r="J227" s="4"/>
      <c r="K227" s="18"/>
      <c r="L227" s="3" t="str">
        <f>'0_Configuration'!$C$41</f>
        <v>Mg</v>
      </c>
      <c r="M227" s="10"/>
      <c r="N227" s="23" t="s">
        <v>3</v>
      </c>
      <c r="O227" s="11"/>
      <c r="P227" s="4"/>
      <c r="Q227" s="10"/>
      <c r="R227" s="3">
        <f>_xlfn.XLOOKUP(Tab_Data_Flows[[#This Row],[Flow_Name]],Tab_Def_Flows[Flow_Name],Tab_Def_Flows[Flow_E1_Fraction'[%']],"N.A.",0,1)</f>
        <v>0</v>
      </c>
      <c r="S227" s="9">
        <f t="shared" si="6"/>
        <v>0</v>
      </c>
      <c r="T227" s="3" t="str">
        <f>Tab_Data_Flows[[#This Row],[UoM_Source]]</f>
        <v>Mg</v>
      </c>
      <c r="U227" s="24">
        <f>_xlfn.XLOOKUP(Tab_Data_Flows[[#This Row],[Flow_Name]],Tab_Def_Flows[Flow_Name],Tab_Def_Flows[Flow_E2_Fraction'[%']],"N.A.",0,1)</f>
        <v>0</v>
      </c>
      <c r="V227" s="3">
        <f>IF(D227="Yes",S227*Tab_Data_Flows[[#This Row],[E2_Fraction'[%']]],"N.A.")</f>
        <v>0</v>
      </c>
      <c r="W227" s="3" t="str">
        <f>Tab_Data_Flows[[#This Row],[E1_UoM]]</f>
        <v>Mg</v>
      </c>
      <c r="X227" s="24">
        <f>_xlfn.XLOOKUP(Tab_Data_Flows[[#This Row],[Flow_Name]],Tab_Def_Flows[Flow_Name],Tab_Def_Flows[Flow_E3_Fraction'[%']],"N.A.",0,1)</f>
        <v>0</v>
      </c>
      <c r="Y227" s="3">
        <f>IF(E227="Yes",X227*Tab_Data_Flows[[#This Row],[E1_value]],"N.A.")</f>
        <v>0</v>
      </c>
      <c r="Z227" s="3" t="str">
        <f>Tab_Data_Flows[[#This Row],[E1_UoM]]</f>
        <v>Mg</v>
      </c>
      <c r="AA227" s="24">
        <f>_xlfn.XLOOKUP(Tab_Data_Flows[[#This Row],[Flow_Name]],Tab_Def_Flows[Flow_Name],Tab_Def_Flows[Flow_E4_Fraction'[%']],"N.A.",0,1)</f>
        <v>0</v>
      </c>
      <c r="AB227" s="3">
        <f>IF(H227="Yes",Tab_Data_Flows[[#This Row],[E4_Fraction'[%']]]*Tab_Data_Flows[[#This Row],[E1_value]],"N.A.")</f>
        <v>0</v>
      </c>
      <c r="AC227" s="3" t="str">
        <f>Tab_Data_Flows[[#This Row],[E1_UoM]]</f>
        <v>Mg</v>
      </c>
      <c r="AD227" s="24">
        <f>_xlfn.XLOOKUP(Tab_Data_Flows[[#This Row],[Flow_Name]],Tab_Def_Flows[Flow_Name],Tab_Def_Flows[Flow_E5_Fraction'[%']],"N.A.",0,1)</f>
        <v>0</v>
      </c>
      <c r="AE227" s="3">
        <f>IF(H227="Yes",Tab_Data_Flows[[#This Row],[E5_Fraction'[%']]]*Tab_Data_Flows[[#This Row],[E1_value]],"N.A.")</f>
        <v>0</v>
      </c>
      <c r="AF227" s="3" t="str">
        <f>Tab_Data_Flows[[#This Row],[E1_UoM]]</f>
        <v>Mg</v>
      </c>
      <c r="AG227" s="24">
        <f>_xlfn.XLOOKUP(Tab_Data_Flows[[#This Row],[Flow_Name]],Tab_Def_Flows[Flow_Name],Tab_Def_Flows[Flow_E6_Fraction'[%']],"N.A.",0,1)</f>
        <v>0</v>
      </c>
      <c r="AH227" s="3">
        <f>IF(Tab_Data_Flows[[#This Row],[Use_E6]]="Yes",Tab_Data_Flows[[#This Row],[E6_Fraction'[%']]]*Tab_Data_Flows[[#This Row],[E1_value]],"N.A.")</f>
        <v>0</v>
      </c>
      <c r="AI227" s="3" t="str">
        <f>Tab_Data_Flows[[#This Row],[E1_UoM]]</f>
        <v>Mg</v>
      </c>
    </row>
    <row r="228" spans="1:35" x14ac:dyDescent="0.25">
      <c r="A228" s="5">
        <f t="shared" si="7"/>
        <v>227</v>
      </c>
      <c r="B228" s="3" t="str">
        <f>_xlfn.XLOOKUP(C228,Tab_Def_Flows[Flow_Name],Tab_Def_Flows[Flow_ID],,0,)</f>
        <v>F__</v>
      </c>
      <c r="C228" s="23" t="s">
        <v>5</v>
      </c>
      <c r="D228" s="6" t="str">
        <f>_xlfn.XLOOKUP(C228,Tab_Def_Flows[Flow_Name],Tab_Def_Flows[Use_E1],,0,)</f>
        <v>Yes</v>
      </c>
      <c r="E228" s="6" t="str">
        <f>_xlfn.XLOOKUP(C228,Tab_Def_Flows[Flow_Name],Tab_Def_Flows[Use_E2],,0,)</f>
        <v>Yes</v>
      </c>
      <c r="F228" s="6" t="str">
        <f>_xlfn.XLOOKUP(C228,Tab_Def_Flows[Flow_Name],Tab_Def_Flows[Use_E3],,0,)</f>
        <v>Yes</v>
      </c>
      <c r="G228" s="6" t="str">
        <f>_xlfn.XLOOKUP(C228,Tab_Def_Flows[Flow_Name],Tab_Def_Flows[Use_E4],,0,)</f>
        <v>Yes</v>
      </c>
      <c r="H228" s="6" t="str">
        <f>_xlfn.XLOOKUP(C228,Tab_Def_Flows[Flow_Name],Tab_Def_Flows[Use_E5],,0,)</f>
        <v>Yes</v>
      </c>
      <c r="I228" s="6" t="str">
        <f>_xlfn.XLOOKUP(C228,Tab_Def_Flows[Flow_Name],Tab_Def_Flows[Use_E6],,0,)</f>
        <v>Yes</v>
      </c>
      <c r="J228" s="4"/>
      <c r="K228" s="18"/>
      <c r="L228" s="3" t="str">
        <f>'0_Configuration'!$C$41</f>
        <v>Mg</v>
      </c>
      <c r="M228" s="10"/>
      <c r="N228" s="23" t="s">
        <v>3</v>
      </c>
      <c r="O228" s="11"/>
      <c r="P228" s="4"/>
      <c r="Q228" s="10"/>
      <c r="R228" s="3">
        <f>_xlfn.XLOOKUP(Tab_Data_Flows[[#This Row],[Flow_Name]],Tab_Def_Flows[Flow_Name],Tab_Def_Flows[Flow_E1_Fraction'[%']],"N.A.",0,1)</f>
        <v>0</v>
      </c>
      <c r="S228" s="9">
        <f t="shared" si="6"/>
        <v>0</v>
      </c>
      <c r="T228" s="3" t="str">
        <f>Tab_Data_Flows[[#This Row],[UoM_Source]]</f>
        <v>Mg</v>
      </c>
      <c r="U228" s="24">
        <f>_xlfn.XLOOKUP(Tab_Data_Flows[[#This Row],[Flow_Name]],Tab_Def_Flows[Flow_Name],Tab_Def_Flows[Flow_E2_Fraction'[%']],"N.A.",0,1)</f>
        <v>0</v>
      </c>
      <c r="V228" s="3">
        <f>IF(D228="Yes",S228*Tab_Data_Flows[[#This Row],[E2_Fraction'[%']]],"N.A.")</f>
        <v>0</v>
      </c>
      <c r="W228" s="3" t="str">
        <f>Tab_Data_Flows[[#This Row],[E1_UoM]]</f>
        <v>Mg</v>
      </c>
      <c r="X228" s="24">
        <f>_xlfn.XLOOKUP(Tab_Data_Flows[[#This Row],[Flow_Name]],Tab_Def_Flows[Flow_Name],Tab_Def_Flows[Flow_E3_Fraction'[%']],"N.A.",0,1)</f>
        <v>0</v>
      </c>
      <c r="Y228" s="3">
        <f>IF(E228="Yes",X228*Tab_Data_Flows[[#This Row],[E1_value]],"N.A.")</f>
        <v>0</v>
      </c>
      <c r="Z228" s="3" t="str">
        <f>Tab_Data_Flows[[#This Row],[E1_UoM]]</f>
        <v>Mg</v>
      </c>
      <c r="AA228" s="24">
        <f>_xlfn.XLOOKUP(Tab_Data_Flows[[#This Row],[Flow_Name]],Tab_Def_Flows[Flow_Name],Tab_Def_Flows[Flow_E4_Fraction'[%']],"N.A.",0,1)</f>
        <v>0</v>
      </c>
      <c r="AB228" s="3">
        <f>IF(H228="Yes",Tab_Data_Flows[[#This Row],[E4_Fraction'[%']]]*Tab_Data_Flows[[#This Row],[E1_value]],"N.A.")</f>
        <v>0</v>
      </c>
      <c r="AC228" s="3" t="str">
        <f>Tab_Data_Flows[[#This Row],[E1_UoM]]</f>
        <v>Mg</v>
      </c>
      <c r="AD228" s="24">
        <f>_xlfn.XLOOKUP(Tab_Data_Flows[[#This Row],[Flow_Name]],Tab_Def_Flows[Flow_Name],Tab_Def_Flows[Flow_E5_Fraction'[%']],"N.A.",0,1)</f>
        <v>0</v>
      </c>
      <c r="AE228" s="3">
        <f>IF(H228="Yes",Tab_Data_Flows[[#This Row],[E5_Fraction'[%']]]*Tab_Data_Flows[[#This Row],[E1_value]],"N.A.")</f>
        <v>0</v>
      </c>
      <c r="AF228" s="3" t="str">
        <f>Tab_Data_Flows[[#This Row],[E1_UoM]]</f>
        <v>Mg</v>
      </c>
      <c r="AG228" s="24">
        <f>_xlfn.XLOOKUP(Tab_Data_Flows[[#This Row],[Flow_Name]],Tab_Def_Flows[Flow_Name],Tab_Def_Flows[Flow_E6_Fraction'[%']],"N.A.",0,1)</f>
        <v>0</v>
      </c>
      <c r="AH228" s="3">
        <f>IF(Tab_Data_Flows[[#This Row],[Use_E6]]="Yes",Tab_Data_Flows[[#This Row],[E6_Fraction'[%']]]*Tab_Data_Flows[[#This Row],[E1_value]],"N.A.")</f>
        <v>0</v>
      </c>
      <c r="AI228" s="3" t="str">
        <f>Tab_Data_Flows[[#This Row],[E1_UoM]]</f>
        <v>Mg</v>
      </c>
    </row>
    <row r="229" spans="1:35" x14ac:dyDescent="0.25">
      <c r="A229" s="5">
        <f t="shared" si="7"/>
        <v>228</v>
      </c>
      <c r="B229" s="3" t="str">
        <f>_xlfn.XLOOKUP(C229,Tab_Def_Flows[Flow_Name],Tab_Def_Flows[Flow_ID],,0,)</f>
        <v>F__</v>
      </c>
      <c r="C229" s="23" t="s">
        <v>5</v>
      </c>
      <c r="D229" s="6" t="str">
        <f>_xlfn.XLOOKUP(C229,Tab_Def_Flows[Flow_Name],Tab_Def_Flows[Use_E1],,0,)</f>
        <v>Yes</v>
      </c>
      <c r="E229" s="6" t="str">
        <f>_xlfn.XLOOKUP(C229,Tab_Def_Flows[Flow_Name],Tab_Def_Flows[Use_E2],,0,)</f>
        <v>Yes</v>
      </c>
      <c r="F229" s="6" t="str">
        <f>_xlfn.XLOOKUP(C229,Tab_Def_Flows[Flow_Name],Tab_Def_Flows[Use_E3],,0,)</f>
        <v>Yes</v>
      </c>
      <c r="G229" s="6" t="str">
        <f>_xlfn.XLOOKUP(C229,Tab_Def_Flows[Flow_Name],Tab_Def_Flows[Use_E4],,0,)</f>
        <v>Yes</v>
      </c>
      <c r="H229" s="6" t="str">
        <f>_xlfn.XLOOKUP(C229,Tab_Def_Flows[Flow_Name],Tab_Def_Flows[Use_E5],,0,)</f>
        <v>Yes</v>
      </c>
      <c r="I229" s="6" t="str">
        <f>_xlfn.XLOOKUP(C229,Tab_Def_Flows[Flow_Name],Tab_Def_Flows[Use_E6],,0,)</f>
        <v>Yes</v>
      </c>
      <c r="J229" s="4"/>
      <c r="K229" s="18"/>
      <c r="L229" s="3" t="str">
        <f>'0_Configuration'!$C$41</f>
        <v>Mg</v>
      </c>
      <c r="M229" s="10"/>
      <c r="N229" s="23" t="s">
        <v>3</v>
      </c>
      <c r="O229" s="11"/>
      <c r="P229" s="4"/>
      <c r="Q229" s="10"/>
      <c r="R229" s="3">
        <f>_xlfn.XLOOKUP(Tab_Data_Flows[[#This Row],[Flow_Name]],Tab_Def_Flows[Flow_Name],Tab_Def_Flows[Flow_E1_Fraction'[%']],"N.A.",0,1)</f>
        <v>0</v>
      </c>
      <c r="S229" s="9">
        <f t="shared" si="6"/>
        <v>0</v>
      </c>
      <c r="T229" s="3" t="str">
        <f>Tab_Data_Flows[[#This Row],[UoM_Source]]</f>
        <v>Mg</v>
      </c>
      <c r="U229" s="24">
        <f>_xlfn.XLOOKUP(Tab_Data_Flows[[#This Row],[Flow_Name]],Tab_Def_Flows[Flow_Name],Tab_Def_Flows[Flow_E2_Fraction'[%']],"N.A.",0,1)</f>
        <v>0</v>
      </c>
      <c r="V229" s="3">
        <f>IF(D229="Yes",S229*Tab_Data_Flows[[#This Row],[E2_Fraction'[%']]],"N.A.")</f>
        <v>0</v>
      </c>
      <c r="W229" s="3" t="str">
        <f>Tab_Data_Flows[[#This Row],[E1_UoM]]</f>
        <v>Mg</v>
      </c>
      <c r="X229" s="24">
        <f>_xlfn.XLOOKUP(Tab_Data_Flows[[#This Row],[Flow_Name]],Tab_Def_Flows[Flow_Name],Tab_Def_Flows[Flow_E3_Fraction'[%']],"N.A.",0,1)</f>
        <v>0</v>
      </c>
      <c r="Y229" s="3">
        <f>IF(E229="Yes",X229*Tab_Data_Flows[[#This Row],[E1_value]],"N.A.")</f>
        <v>0</v>
      </c>
      <c r="Z229" s="3" t="str">
        <f>Tab_Data_Flows[[#This Row],[E1_UoM]]</f>
        <v>Mg</v>
      </c>
      <c r="AA229" s="24">
        <f>_xlfn.XLOOKUP(Tab_Data_Flows[[#This Row],[Flow_Name]],Tab_Def_Flows[Flow_Name],Tab_Def_Flows[Flow_E4_Fraction'[%']],"N.A.",0,1)</f>
        <v>0</v>
      </c>
      <c r="AB229" s="3">
        <f>IF(H229="Yes",Tab_Data_Flows[[#This Row],[E4_Fraction'[%']]]*Tab_Data_Flows[[#This Row],[E1_value]],"N.A.")</f>
        <v>0</v>
      </c>
      <c r="AC229" s="3" t="str">
        <f>Tab_Data_Flows[[#This Row],[E1_UoM]]</f>
        <v>Mg</v>
      </c>
      <c r="AD229" s="24">
        <f>_xlfn.XLOOKUP(Tab_Data_Flows[[#This Row],[Flow_Name]],Tab_Def_Flows[Flow_Name],Tab_Def_Flows[Flow_E5_Fraction'[%']],"N.A.",0,1)</f>
        <v>0</v>
      </c>
      <c r="AE229" s="3">
        <f>IF(H229="Yes",Tab_Data_Flows[[#This Row],[E5_Fraction'[%']]]*Tab_Data_Flows[[#This Row],[E1_value]],"N.A.")</f>
        <v>0</v>
      </c>
      <c r="AF229" s="3" t="str">
        <f>Tab_Data_Flows[[#This Row],[E1_UoM]]</f>
        <v>Mg</v>
      </c>
      <c r="AG229" s="24">
        <f>_xlfn.XLOOKUP(Tab_Data_Flows[[#This Row],[Flow_Name]],Tab_Def_Flows[Flow_Name],Tab_Def_Flows[Flow_E6_Fraction'[%']],"N.A.",0,1)</f>
        <v>0</v>
      </c>
      <c r="AH229" s="3">
        <f>IF(Tab_Data_Flows[[#This Row],[Use_E6]]="Yes",Tab_Data_Flows[[#This Row],[E6_Fraction'[%']]]*Tab_Data_Flows[[#This Row],[E1_value]],"N.A.")</f>
        <v>0</v>
      </c>
      <c r="AI229" s="3" t="str">
        <f>Tab_Data_Flows[[#This Row],[E1_UoM]]</f>
        <v>Mg</v>
      </c>
    </row>
    <row r="230" spans="1:35" x14ac:dyDescent="0.25">
      <c r="A230" s="5">
        <f t="shared" si="7"/>
        <v>229</v>
      </c>
      <c r="B230" s="3" t="str">
        <f>_xlfn.XLOOKUP(C230,Tab_Def_Flows[Flow_Name],Tab_Def_Flows[Flow_ID],,0,)</f>
        <v>F__</v>
      </c>
      <c r="C230" s="23" t="s">
        <v>5</v>
      </c>
      <c r="D230" s="6" t="str">
        <f>_xlfn.XLOOKUP(C230,Tab_Def_Flows[Flow_Name],Tab_Def_Flows[Use_E1],,0,)</f>
        <v>Yes</v>
      </c>
      <c r="E230" s="6" t="str">
        <f>_xlfn.XLOOKUP(C230,Tab_Def_Flows[Flow_Name],Tab_Def_Flows[Use_E2],,0,)</f>
        <v>Yes</v>
      </c>
      <c r="F230" s="6" t="str">
        <f>_xlfn.XLOOKUP(C230,Tab_Def_Flows[Flow_Name],Tab_Def_Flows[Use_E3],,0,)</f>
        <v>Yes</v>
      </c>
      <c r="G230" s="6" t="str">
        <f>_xlfn.XLOOKUP(C230,Tab_Def_Flows[Flow_Name],Tab_Def_Flows[Use_E4],,0,)</f>
        <v>Yes</v>
      </c>
      <c r="H230" s="6" t="str">
        <f>_xlfn.XLOOKUP(C230,Tab_Def_Flows[Flow_Name],Tab_Def_Flows[Use_E5],,0,)</f>
        <v>Yes</v>
      </c>
      <c r="I230" s="6" t="str">
        <f>_xlfn.XLOOKUP(C230,Tab_Def_Flows[Flow_Name],Tab_Def_Flows[Use_E6],,0,)</f>
        <v>Yes</v>
      </c>
      <c r="J230" s="4"/>
      <c r="K230" s="18"/>
      <c r="L230" s="3" t="str">
        <f>'0_Configuration'!$C$41</f>
        <v>Mg</v>
      </c>
      <c r="M230" s="10"/>
      <c r="N230" s="23" t="s">
        <v>3</v>
      </c>
      <c r="O230" s="11"/>
      <c r="P230" s="4"/>
      <c r="Q230" s="10"/>
      <c r="R230" s="3">
        <f>_xlfn.XLOOKUP(Tab_Data_Flows[[#This Row],[Flow_Name]],Tab_Def_Flows[Flow_Name],Tab_Def_Flows[Flow_E1_Fraction'[%']],"N.A.",0,1)</f>
        <v>0</v>
      </c>
      <c r="S230" s="9">
        <f t="shared" si="6"/>
        <v>0</v>
      </c>
      <c r="T230" s="3" t="str">
        <f>Tab_Data_Flows[[#This Row],[UoM_Source]]</f>
        <v>Mg</v>
      </c>
      <c r="U230" s="24">
        <f>_xlfn.XLOOKUP(Tab_Data_Flows[[#This Row],[Flow_Name]],Tab_Def_Flows[Flow_Name],Tab_Def_Flows[Flow_E2_Fraction'[%']],"N.A.",0,1)</f>
        <v>0</v>
      </c>
      <c r="V230" s="3">
        <f>IF(D230="Yes",S230*Tab_Data_Flows[[#This Row],[E2_Fraction'[%']]],"N.A.")</f>
        <v>0</v>
      </c>
      <c r="W230" s="3" t="str">
        <f>Tab_Data_Flows[[#This Row],[E1_UoM]]</f>
        <v>Mg</v>
      </c>
      <c r="X230" s="24">
        <f>_xlfn.XLOOKUP(Tab_Data_Flows[[#This Row],[Flow_Name]],Tab_Def_Flows[Flow_Name],Tab_Def_Flows[Flow_E3_Fraction'[%']],"N.A.",0,1)</f>
        <v>0</v>
      </c>
      <c r="Y230" s="3">
        <f>IF(E230="Yes",X230*Tab_Data_Flows[[#This Row],[E1_value]],"N.A.")</f>
        <v>0</v>
      </c>
      <c r="Z230" s="3" t="str">
        <f>Tab_Data_Flows[[#This Row],[E1_UoM]]</f>
        <v>Mg</v>
      </c>
      <c r="AA230" s="24">
        <f>_xlfn.XLOOKUP(Tab_Data_Flows[[#This Row],[Flow_Name]],Tab_Def_Flows[Flow_Name],Tab_Def_Flows[Flow_E4_Fraction'[%']],"N.A.",0,1)</f>
        <v>0</v>
      </c>
      <c r="AB230" s="3">
        <f>IF(H230="Yes",Tab_Data_Flows[[#This Row],[E4_Fraction'[%']]]*Tab_Data_Flows[[#This Row],[E1_value]],"N.A.")</f>
        <v>0</v>
      </c>
      <c r="AC230" s="3" t="str">
        <f>Tab_Data_Flows[[#This Row],[E1_UoM]]</f>
        <v>Mg</v>
      </c>
      <c r="AD230" s="24">
        <f>_xlfn.XLOOKUP(Tab_Data_Flows[[#This Row],[Flow_Name]],Tab_Def_Flows[Flow_Name],Tab_Def_Flows[Flow_E5_Fraction'[%']],"N.A.",0,1)</f>
        <v>0</v>
      </c>
      <c r="AE230" s="3">
        <f>IF(H230="Yes",Tab_Data_Flows[[#This Row],[E5_Fraction'[%']]]*Tab_Data_Flows[[#This Row],[E1_value]],"N.A.")</f>
        <v>0</v>
      </c>
      <c r="AF230" s="3" t="str">
        <f>Tab_Data_Flows[[#This Row],[E1_UoM]]</f>
        <v>Mg</v>
      </c>
      <c r="AG230" s="24">
        <f>_xlfn.XLOOKUP(Tab_Data_Flows[[#This Row],[Flow_Name]],Tab_Def_Flows[Flow_Name],Tab_Def_Flows[Flow_E6_Fraction'[%']],"N.A.",0,1)</f>
        <v>0</v>
      </c>
      <c r="AH230" s="3">
        <f>IF(Tab_Data_Flows[[#This Row],[Use_E6]]="Yes",Tab_Data_Flows[[#This Row],[E6_Fraction'[%']]]*Tab_Data_Flows[[#This Row],[E1_value]],"N.A.")</f>
        <v>0</v>
      </c>
      <c r="AI230" s="3" t="str">
        <f>Tab_Data_Flows[[#This Row],[E1_UoM]]</f>
        <v>Mg</v>
      </c>
    </row>
    <row r="231" spans="1:35" x14ac:dyDescent="0.25">
      <c r="A231" s="5">
        <f t="shared" si="7"/>
        <v>230</v>
      </c>
      <c r="B231" s="3" t="str">
        <f>_xlfn.XLOOKUP(C231,Tab_Def_Flows[Flow_Name],Tab_Def_Flows[Flow_ID],,0,)</f>
        <v>F__</v>
      </c>
      <c r="C231" s="23" t="s">
        <v>5</v>
      </c>
      <c r="D231" s="6" t="str">
        <f>_xlfn.XLOOKUP(C231,Tab_Def_Flows[Flow_Name],Tab_Def_Flows[Use_E1],,0,)</f>
        <v>Yes</v>
      </c>
      <c r="E231" s="6" t="str">
        <f>_xlfn.XLOOKUP(C231,Tab_Def_Flows[Flow_Name],Tab_Def_Flows[Use_E2],,0,)</f>
        <v>Yes</v>
      </c>
      <c r="F231" s="6" t="str">
        <f>_xlfn.XLOOKUP(C231,Tab_Def_Flows[Flow_Name],Tab_Def_Flows[Use_E3],,0,)</f>
        <v>Yes</v>
      </c>
      <c r="G231" s="6" t="str">
        <f>_xlfn.XLOOKUP(C231,Tab_Def_Flows[Flow_Name],Tab_Def_Flows[Use_E4],,0,)</f>
        <v>Yes</v>
      </c>
      <c r="H231" s="6" t="str">
        <f>_xlfn.XLOOKUP(C231,Tab_Def_Flows[Flow_Name],Tab_Def_Flows[Use_E5],,0,)</f>
        <v>Yes</v>
      </c>
      <c r="I231" s="6" t="str">
        <f>_xlfn.XLOOKUP(C231,Tab_Def_Flows[Flow_Name],Tab_Def_Flows[Use_E6],,0,)</f>
        <v>Yes</v>
      </c>
      <c r="J231" s="4"/>
      <c r="K231" s="18"/>
      <c r="L231" s="3" t="str">
        <f>'0_Configuration'!$C$41</f>
        <v>Mg</v>
      </c>
      <c r="M231" s="10"/>
      <c r="N231" s="23" t="s">
        <v>3</v>
      </c>
      <c r="O231" s="11"/>
      <c r="P231" s="4"/>
      <c r="Q231" s="10"/>
      <c r="R231" s="3">
        <f>_xlfn.XLOOKUP(Tab_Data_Flows[[#This Row],[Flow_Name]],Tab_Def_Flows[Flow_Name],Tab_Def_Flows[Flow_E1_Fraction'[%']],"N.A.",0,1)</f>
        <v>0</v>
      </c>
      <c r="S231" s="9">
        <f t="shared" si="6"/>
        <v>0</v>
      </c>
      <c r="T231" s="3" t="str">
        <f>Tab_Data_Flows[[#This Row],[UoM_Source]]</f>
        <v>Mg</v>
      </c>
      <c r="U231" s="24">
        <f>_xlfn.XLOOKUP(Tab_Data_Flows[[#This Row],[Flow_Name]],Tab_Def_Flows[Flow_Name],Tab_Def_Flows[Flow_E2_Fraction'[%']],"N.A.",0,1)</f>
        <v>0</v>
      </c>
      <c r="V231" s="3">
        <f>IF(D231="Yes",S231*Tab_Data_Flows[[#This Row],[E2_Fraction'[%']]],"N.A.")</f>
        <v>0</v>
      </c>
      <c r="W231" s="3" t="str">
        <f>Tab_Data_Flows[[#This Row],[E1_UoM]]</f>
        <v>Mg</v>
      </c>
      <c r="X231" s="24">
        <f>_xlfn.XLOOKUP(Tab_Data_Flows[[#This Row],[Flow_Name]],Tab_Def_Flows[Flow_Name],Tab_Def_Flows[Flow_E3_Fraction'[%']],"N.A.",0,1)</f>
        <v>0</v>
      </c>
      <c r="Y231" s="3">
        <f>IF(E231="Yes",X231*Tab_Data_Flows[[#This Row],[E1_value]],"N.A.")</f>
        <v>0</v>
      </c>
      <c r="Z231" s="3" t="str">
        <f>Tab_Data_Flows[[#This Row],[E1_UoM]]</f>
        <v>Mg</v>
      </c>
      <c r="AA231" s="24">
        <f>_xlfn.XLOOKUP(Tab_Data_Flows[[#This Row],[Flow_Name]],Tab_Def_Flows[Flow_Name],Tab_Def_Flows[Flow_E4_Fraction'[%']],"N.A.",0,1)</f>
        <v>0</v>
      </c>
      <c r="AB231" s="3">
        <f>IF(H231="Yes",Tab_Data_Flows[[#This Row],[E4_Fraction'[%']]]*Tab_Data_Flows[[#This Row],[E1_value]],"N.A.")</f>
        <v>0</v>
      </c>
      <c r="AC231" s="3" t="str">
        <f>Tab_Data_Flows[[#This Row],[E1_UoM]]</f>
        <v>Mg</v>
      </c>
      <c r="AD231" s="24">
        <f>_xlfn.XLOOKUP(Tab_Data_Flows[[#This Row],[Flow_Name]],Tab_Def_Flows[Flow_Name],Tab_Def_Flows[Flow_E5_Fraction'[%']],"N.A.",0,1)</f>
        <v>0</v>
      </c>
      <c r="AE231" s="3">
        <f>IF(H231="Yes",Tab_Data_Flows[[#This Row],[E5_Fraction'[%']]]*Tab_Data_Flows[[#This Row],[E1_value]],"N.A.")</f>
        <v>0</v>
      </c>
      <c r="AF231" s="3" t="str">
        <f>Tab_Data_Flows[[#This Row],[E1_UoM]]</f>
        <v>Mg</v>
      </c>
      <c r="AG231" s="24">
        <f>_xlfn.XLOOKUP(Tab_Data_Flows[[#This Row],[Flow_Name]],Tab_Def_Flows[Flow_Name],Tab_Def_Flows[Flow_E6_Fraction'[%']],"N.A.",0,1)</f>
        <v>0</v>
      </c>
      <c r="AH231" s="3">
        <f>IF(Tab_Data_Flows[[#This Row],[Use_E6]]="Yes",Tab_Data_Flows[[#This Row],[E6_Fraction'[%']]]*Tab_Data_Flows[[#This Row],[E1_value]],"N.A.")</f>
        <v>0</v>
      </c>
      <c r="AI231" s="3" t="str">
        <f>Tab_Data_Flows[[#This Row],[E1_UoM]]</f>
        <v>Mg</v>
      </c>
    </row>
    <row r="232" spans="1:35" x14ac:dyDescent="0.25">
      <c r="A232" s="5">
        <f t="shared" si="7"/>
        <v>231</v>
      </c>
      <c r="B232" s="3" t="str">
        <f>_xlfn.XLOOKUP(C232,Tab_Def_Flows[Flow_Name],Tab_Def_Flows[Flow_ID],,0,)</f>
        <v>F__</v>
      </c>
      <c r="C232" s="23" t="s">
        <v>5</v>
      </c>
      <c r="D232" s="6" t="str">
        <f>_xlfn.XLOOKUP(C232,Tab_Def_Flows[Flow_Name],Tab_Def_Flows[Use_E1],,0,)</f>
        <v>Yes</v>
      </c>
      <c r="E232" s="6" t="str">
        <f>_xlfn.XLOOKUP(C232,Tab_Def_Flows[Flow_Name],Tab_Def_Flows[Use_E2],,0,)</f>
        <v>Yes</v>
      </c>
      <c r="F232" s="6" t="str">
        <f>_xlfn.XLOOKUP(C232,Tab_Def_Flows[Flow_Name],Tab_Def_Flows[Use_E3],,0,)</f>
        <v>Yes</v>
      </c>
      <c r="G232" s="6" t="str">
        <f>_xlfn.XLOOKUP(C232,Tab_Def_Flows[Flow_Name],Tab_Def_Flows[Use_E4],,0,)</f>
        <v>Yes</v>
      </c>
      <c r="H232" s="6" t="str">
        <f>_xlfn.XLOOKUP(C232,Tab_Def_Flows[Flow_Name],Tab_Def_Flows[Use_E5],,0,)</f>
        <v>Yes</v>
      </c>
      <c r="I232" s="6" t="str">
        <f>_xlfn.XLOOKUP(C232,Tab_Def_Flows[Flow_Name],Tab_Def_Flows[Use_E6],,0,)</f>
        <v>Yes</v>
      </c>
      <c r="J232" s="4"/>
      <c r="K232" s="18"/>
      <c r="L232" s="3" t="str">
        <f>'0_Configuration'!$C$41</f>
        <v>Mg</v>
      </c>
      <c r="M232" s="10"/>
      <c r="N232" s="23" t="s">
        <v>3</v>
      </c>
      <c r="O232" s="11"/>
      <c r="P232" s="4"/>
      <c r="Q232" s="10"/>
      <c r="R232" s="3">
        <f>_xlfn.XLOOKUP(Tab_Data_Flows[[#This Row],[Flow_Name]],Tab_Def_Flows[Flow_Name],Tab_Def_Flows[Flow_E1_Fraction'[%']],"N.A.",0,1)</f>
        <v>0</v>
      </c>
      <c r="S232" s="9">
        <f t="shared" si="6"/>
        <v>0</v>
      </c>
      <c r="T232" s="3" t="str">
        <f>Tab_Data_Flows[[#This Row],[UoM_Source]]</f>
        <v>Mg</v>
      </c>
      <c r="U232" s="24">
        <f>_xlfn.XLOOKUP(Tab_Data_Flows[[#This Row],[Flow_Name]],Tab_Def_Flows[Flow_Name],Tab_Def_Flows[Flow_E2_Fraction'[%']],"N.A.",0,1)</f>
        <v>0</v>
      </c>
      <c r="V232" s="3">
        <f>IF(D232="Yes",S232*Tab_Data_Flows[[#This Row],[E2_Fraction'[%']]],"N.A.")</f>
        <v>0</v>
      </c>
      <c r="W232" s="3" t="str">
        <f>Tab_Data_Flows[[#This Row],[E1_UoM]]</f>
        <v>Mg</v>
      </c>
      <c r="X232" s="24">
        <f>_xlfn.XLOOKUP(Tab_Data_Flows[[#This Row],[Flow_Name]],Tab_Def_Flows[Flow_Name],Tab_Def_Flows[Flow_E3_Fraction'[%']],"N.A.",0,1)</f>
        <v>0</v>
      </c>
      <c r="Y232" s="3">
        <f>IF(E232="Yes",X232*Tab_Data_Flows[[#This Row],[E1_value]],"N.A.")</f>
        <v>0</v>
      </c>
      <c r="Z232" s="3" t="str">
        <f>Tab_Data_Flows[[#This Row],[E1_UoM]]</f>
        <v>Mg</v>
      </c>
      <c r="AA232" s="24">
        <f>_xlfn.XLOOKUP(Tab_Data_Flows[[#This Row],[Flow_Name]],Tab_Def_Flows[Flow_Name],Tab_Def_Flows[Flow_E4_Fraction'[%']],"N.A.",0,1)</f>
        <v>0</v>
      </c>
      <c r="AB232" s="3">
        <f>IF(H232="Yes",Tab_Data_Flows[[#This Row],[E4_Fraction'[%']]]*Tab_Data_Flows[[#This Row],[E1_value]],"N.A.")</f>
        <v>0</v>
      </c>
      <c r="AC232" s="3" t="str">
        <f>Tab_Data_Flows[[#This Row],[E1_UoM]]</f>
        <v>Mg</v>
      </c>
      <c r="AD232" s="24">
        <f>_xlfn.XLOOKUP(Tab_Data_Flows[[#This Row],[Flow_Name]],Tab_Def_Flows[Flow_Name],Tab_Def_Flows[Flow_E5_Fraction'[%']],"N.A.",0,1)</f>
        <v>0</v>
      </c>
      <c r="AE232" s="3">
        <f>IF(H232="Yes",Tab_Data_Flows[[#This Row],[E5_Fraction'[%']]]*Tab_Data_Flows[[#This Row],[E1_value]],"N.A.")</f>
        <v>0</v>
      </c>
      <c r="AF232" s="3" t="str">
        <f>Tab_Data_Flows[[#This Row],[E1_UoM]]</f>
        <v>Mg</v>
      </c>
      <c r="AG232" s="24">
        <f>_xlfn.XLOOKUP(Tab_Data_Flows[[#This Row],[Flow_Name]],Tab_Def_Flows[Flow_Name],Tab_Def_Flows[Flow_E6_Fraction'[%']],"N.A.",0,1)</f>
        <v>0</v>
      </c>
      <c r="AH232" s="3">
        <f>IF(Tab_Data_Flows[[#This Row],[Use_E6]]="Yes",Tab_Data_Flows[[#This Row],[E6_Fraction'[%']]]*Tab_Data_Flows[[#This Row],[E1_value]],"N.A.")</f>
        <v>0</v>
      </c>
      <c r="AI232" s="3" t="str">
        <f>Tab_Data_Flows[[#This Row],[E1_UoM]]</f>
        <v>Mg</v>
      </c>
    </row>
    <row r="233" spans="1:35" x14ac:dyDescent="0.25">
      <c r="A233" s="5">
        <f t="shared" si="7"/>
        <v>232</v>
      </c>
      <c r="B233" s="3" t="str">
        <f>_xlfn.XLOOKUP(C233,Tab_Def_Flows[Flow_Name],Tab_Def_Flows[Flow_ID],,0,)</f>
        <v>F__</v>
      </c>
      <c r="C233" s="23" t="s">
        <v>5</v>
      </c>
      <c r="D233" s="6" t="str">
        <f>_xlfn.XLOOKUP(C233,Tab_Def_Flows[Flow_Name],Tab_Def_Flows[Use_E1],,0,)</f>
        <v>Yes</v>
      </c>
      <c r="E233" s="6" t="str">
        <f>_xlfn.XLOOKUP(C233,Tab_Def_Flows[Flow_Name],Tab_Def_Flows[Use_E2],,0,)</f>
        <v>Yes</v>
      </c>
      <c r="F233" s="6" t="str">
        <f>_xlfn.XLOOKUP(C233,Tab_Def_Flows[Flow_Name],Tab_Def_Flows[Use_E3],,0,)</f>
        <v>Yes</v>
      </c>
      <c r="G233" s="6" t="str">
        <f>_xlfn.XLOOKUP(C233,Tab_Def_Flows[Flow_Name],Tab_Def_Flows[Use_E4],,0,)</f>
        <v>Yes</v>
      </c>
      <c r="H233" s="6" t="str">
        <f>_xlfn.XLOOKUP(C233,Tab_Def_Flows[Flow_Name],Tab_Def_Flows[Use_E5],,0,)</f>
        <v>Yes</v>
      </c>
      <c r="I233" s="6" t="str">
        <f>_xlfn.XLOOKUP(C233,Tab_Def_Flows[Flow_Name],Tab_Def_Flows[Use_E6],,0,)</f>
        <v>Yes</v>
      </c>
      <c r="J233" s="4"/>
      <c r="K233" s="18"/>
      <c r="L233" s="3" t="str">
        <f>'0_Configuration'!$C$41</f>
        <v>Mg</v>
      </c>
      <c r="M233" s="10"/>
      <c r="N233" s="23" t="s">
        <v>3</v>
      </c>
      <c r="O233" s="11"/>
      <c r="P233" s="4"/>
      <c r="Q233" s="10"/>
      <c r="R233" s="3">
        <f>_xlfn.XLOOKUP(Tab_Data_Flows[[#This Row],[Flow_Name]],Tab_Def_Flows[Flow_Name],Tab_Def_Flows[Flow_E1_Fraction'[%']],"N.A.",0,1)</f>
        <v>0</v>
      </c>
      <c r="S233" s="9">
        <f t="shared" si="6"/>
        <v>0</v>
      </c>
      <c r="T233" s="3" t="str">
        <f>Tab_Data_Flows[[#This Row],[UoM_Source]]</f>
        <v>Mg</v>
      </c>
      <c r="U233" s="24">
        <f>_xlfn.XLOOKUP(Tab_Data_Flows[[#This Row],[Flow_Name]],Tab_Def_Flows[Flow_Name],Tab_Def_Flows[Flow_E2_Fraction'[%']],"N.A.",0,1)</f>
        <v>0</v>
      </c>
      <c r="V233" s="3">
        <f>IF(D233="Yes",S233*Tab_Data_Flows[[#This Row],[E2_Fraction'[%']]],"N.A.")</f>
        <v>0</v>
      </c>
      <c r="W233" s="3" t="str">
        <f>Tab_Data_Flows[[#This Row],[E1_UoM]]</f>
        <v>Mg</v>
      </c>
      <c r="X233" s="24">
        <f>_xlfn.XLOOKUP(Tab_Data_Flows[[#This Row],[Flow_Name]],Tab_Def_Flows[Flow_Name],Tab_Def_Flows[Flow_E3_Fraction'[%']],"N.A.",0,1)</f>
        <v>0</v>
      </c>
      <c r="Y233" s="3">
        <f>IF(E233="Yes",X233*Tab_Data_Flows[[#This Row],[E1_value]],"N.A.")</f>
        <v>0</v>
      </c>
      <c r="Z233" s="3" t="str">
        <f>Tab_Data_Flows[[#This Row],[E1_UoM]]</f>
        <v>Mg</v>
      </c>
      <c r="AA233" s="24">
        <f>_xlfn.XLOOKUP(Tab_Data_Flows[[#This Row],[Flow_Name]],Tab_Def_Flows[Flow_Name],Tab_Def_Flows[Flow_E4_Fraction'[%']],"N.A.",0,1)</f>
        <v>0</v>
      </c>
      <c r="AB233" s="3">
        <f>IF(H233="Yes",Tab_Data_Flows[[#This Row],[E4_Fraction'[%']]]*Tab_Data_Flows[[#This Row],[E1_value]],"N.A.")</f>
        <v>0</v>
      </c>
      <c r="AC233" s="3" t="str">
        <f>Tab_Data_Flows[[#This Row],[E1_UoM]]</f>
        <v>Mg</v>
      </c>
      <c r="AD233" s="24">
        <f>_xlfn.XLOOKUP(Tab_Data_Flows[[#This Row],[Flow_Name]],Tab_Def_Flows[Flow_Name],Tab_Def_Flows[Flow_E5_Fraction'[%']],"N.A.",0,1)</f>
        <v>0</v>
      </c>
      <c r="AE233" s="3">
        <f>IF(H233="Yes",Tab_Data_Flows[[#This Row],[E5_Fraction'[%']]]*Tab_Data_Flows[[#This Row],[E1_value]],"N.A.")</f>
        <v>0</v>
      </c>
      <c r="AF233" s="3" t="str">
        <f>Tab_Data_Flows[[#This Row],[E1_UoM]]</f>
        <v>Mg</v>
      </c>
      <c r="AG233" s="24">
        <f>_xlfn.XLOOKUP(Tab_Data_Flows[[#This Row],[Flow_Name]],Tab_Def_Flows[Flow_Name],Tab_Def_Flows[Flow_E6_Fraction'[%']],"N.A.",0,1)</f>
        <v>0</v>
      </c>
      <c r="AH233" s="3">
        <f>IF(Tab_Data_Flows[[#This Row],[Use_E6]]="Yes",Tab_Data_Flows[[#This Row],[E6_Fraction'[%']]]*Tab_Data_Flows[[#This Row],[E1_value]],"N.A.")</f>
        <v>0</v>
      </c>
      <c r="AI233" s="3" t="str">
        <f>Tab_Data_Flows[[#This Row],[E1_UoM]]</f>
        <v>Mg</v>
      </c>
    </row>
    <row r="234" spans="1:35" x14ac:dyDescent="0.25">
      <c r="A234" s="5">
        <f t="shared" si="7"/>
        <v>233</v>
      </c>
      <c r="B234" s="3" t="str">
        <f>_xlfn.XLOOKUP(C234,Tab_Def_Flows[Flow_Name],Tab_Def_Flows[Flow_ID],,0,)</f>
        <v>F__</v>
      </c>
      <c r="C234" s="23" t="s">
        <v>5</v>
      </c>
      <c r="D234" s="6" t="str">
        <f>_xlfn.XLOOKUP(C234,Tab_Def_Flows[Flow_Name],Tab_Def_Flows[Use_E1],,0,)</f>
        <v>Yes</v>
      </c>
      <c r="E234" s="6" t="str">
        <f>_xlfn.XLOOKUP(C234,Tab_Def_Flows[Flow_Name],Tab_Def_Flows[Use_E2],,0,)</f>
        <v>Yes</v>
      </c>
      <c r="F234" s="6" t="str">
        <f>_xlfn.XLOOKUP(C234,Tab_Def_Flows[Flow_Name],Tab_Def_Flows[Use_E3],,0,)</f>
        <v>Yes</v>
      </c>
      <c r="G234" s="6" t="str">
        <f>_xlfn.XLOOKUP(C234,Tab_Def_Flows[Flow_Name],Tab_Def_Flows[Use_E4],,0,)</f>
        <v>Yes</v>
      </c>
      <c r="H234" s="6" t="str">
        <f>_xlfn.XLOOKUP(C234,Tab_Def_Flows[Flow_Name],Tab_Def_Flows[Use_E5],,0,)</f>
        <v>Yes</v>
      </c>
      <c r="I234" s="6" t="str">
        <f>_xlfn.XLOOKUP(C234,Tab_Def_Flows[Flow_Name],Tab_Def_Flows[Use_E6],,0,)</f>
        <v>Yes</v>
      </c>
      <c r="J234" s="4"/>
      <c r="K234" s="18"/>
      <c r="L234" s="3" t="str">
        <f>'0_Configuration'!$C$41</f>
        <v>Mg</v>
      </c>
      <c r="M234" s="10"/>
      <c r="N234" s="23" t="s">
        <v>3</v>
      </c>
      <c r="O234" s="11"/>
      <c r="P234" s="4"/>
      <c r="Q234" s="10"/>
      <c r="R234" s="3">
        <f>_xlfn.XLOOKUP(Tab_Data_Flows[[#This Row],[Flow_Name]],Tab_Def_Flows[Flow_Name],Tab_Def_Flows[Flow_E1_Fraction'[%']],"N.A.",0,1)</f>
        <v>0</v>
      </c>
      <c r="S234" s="9">
        <f t="shared" si="6"/>
        <v>0</v>
      </c>
      <c r="T234" s="3" t="str">
        <f>Tab_Data_Flows[[#This Row],[UoM_Source]]</f>
        <v>Mg</v>
      </c>
      <c r="U234" s="24">
        <f>_xlfn.XLOOKUP(Tab_Data_Flows[[#This Row],[Flow_Name]],Tab_Def_Flows[Flow_Name],Tab_Def_Flows[Flow_E2_Fraction'[%']],"N.A.",0,1)</f>
        <v>0</v>
      </c>
      <c r="V234" s="3">
        <f>IF(D234="Yes",S234*Tab_Data_Flows[[#This Row],[E2_Fraction'[%']]],"N.A.")</f>
        <v>0</v>
      </c>
      <c r="W234" s="3" t="str">
        <f>Tab_Data_Flows[[#This Row],[E1_UoM]]</f>
        <v>Mg</v>
      </c>
      <c r="X234" s="24">
        <f>_xlfn.XLOOKUP(Tab_Data_Flows[[#This Row],[Flow_Name]],Tab_Def_Flows[Flow_Name],Tab_Def_Flows[Flow_E3_Fraction'[%']],"N.A.",0,1)</f>
        <v>0</v>
      </c>
      <c r="Y234" s="3">
        <f>IF(E234="Yes",X234*Tab_Data_Flows[[#This Row],[E1_value]],"N.A.")</f>
        <v>0</v>
      </c>
      <c r="Z234" s="3" t="str">
        <f>Tab_Data_Flows[[#This Row],[E1_UoM]]</f>
        <v>Mg</v>
      </c>
      <c r="AA234" s="24">
        <f>_xlfn.XLOOKUP(Tab_Data_Flows[[#This Row],[Flow_Name]],Tab_Def_Flows[Flow_Name],Tab_Def_Flows[Flow_E4_Fraction'[%']],"N.A.",0,1)</f>
        <v>0</v>
      </c>
      <c r="AB234" s="3">
        <f>IF(H234="Yes",Tab_Data_Flows[[#This Row],[E4_Fraction'[%']]]*Tab_Data_Flows[[#This Row],[E1_value]],"N.A.")</f>
        <v>0</v>
      </c>
      <c r="AC234" s="3" t="str">
        <f>Tab_Data_Flows[[#This Row],[E1_UoM]]</f>
        <v>Mg</v>
      </c>
      <c r="AD234" s="24">
        <f>_xlfn.XLOOKUP(Tab_Data_Flows[[#This Row],[Flow_Name]],Tab_Def_Flows[Flow_Name],Tab_Def_Flows[Flow_E5_Fraction'[%']],"N.A.",0,1)</f>
        <v>0</v>
      </c>
      <c r="AE234" s="3">
        <f>IF(H234="Yes",Tab_Data_Flows[[#This Row],[E5_Fraction'[%']]]*Tab_Data_Flows[[#This Row],[E1_value]],"N.A.")</f>
        <v>0</v>
      </c>
      <c r="AF234" s="3" t="str">
        <f>Tab_Data_Flows[[#This Row],[E1_UoM]]</f>
        <v>Mg</v>
      </c>
      <c r="AG234" s="24">
        <f>_xlfn.XLOOKUP(Tab_Data_Flows[[#This Row],[Flow_Name]],Tab_Def_Flows[Flow_Name],Tab_Def_Flows[Flow_E6_Fraction'[%']],"N.A.",0,1)</f>
        <v>0</v>
      </c>
      <c r="AH234" s="3">
        <f>IF(Tab_Data_Flows[[#This Row],[Use_E6]]="Yes",Tab_Data_Flows[[#This Row],[E6_Fraction'[%']]]*Tab_Data_Flows[[#This Row],[E1_value]],"N.A.")</f>
        <v>0</v>
      </c>
      <c r="AI234" s="3" t="str">
        <f>Tab_Data_Flows[[#This Row],[E1_UoM]]</f>
        <v>Mg</v>
      </c>
    </row>
    <row r="235" spans="1:35" x14ac:dyDescent="0.25">
      <c r="A235" s="5">
        <f t="shared" si="7"/>
        <v>234</v>
      </c>
      <c r="B235" s="3" t="str">
        <f>_xlfn.XLOOKUP(C235,Tab_Def_Flows[Flow_Name],Tab_Def_Flows[Flow_ID],,0,)</f>
        <v>F__</v>
      </c>
      <c r="C235" s="23" t="s">
        <v>5</v>
      </c>
      <c r="D235" s="6" t="str">
        <f>_xlfn.XLOOKUP(C235,Tab_Def_Flows[Flow_Name],Tab_Def_Flows[Use_E1],,0,)</f>
        <v>Yes</v>
      </c>
      <c r="E235" s="6" t="str">
        <f>_xlfn.XLOOKUP(C235,Tab_Def_Flows[Flow_Name],Tab_Def_Flows[Use_E2],,0,)</f>
        <v>Yes</v>
      </c>
      <c r="F235" s="6" t="str">
        <f>_xlfn.XLOOKUP(C235,Tab_Def_Flows[Flow_Name],Tab_Def_Flows[Use_E3],,0,)</f>
        <v>Yes</v>
      </c>
      <c r="G235" s="6" t="str">
        <f>_xlfn.XLOOKUP(C235,Tab_Def_Flows[Flow_Name],Tab_Def_Flows[Use_E4],,0,)</f>
        <v>Yes</v>
      </c>
      <c r="H235" s="6" t="str">
        <f>_xlfn.XLOOKUP(C235,Tab_Def_Flows[Flow_Name],Tab_Def_Flows[Use_E5],,0,)</f>
        <v>Yes</v>
      </c>
      <c r="I235" s="6" t="str">
        <f>_xlfn.XLOOKUP(C235,Tab_Def_Flows[Flow_Name],Tab_Def_Flows[Use_E6],,0,)</f>
        <v>Yes</v>
      </c>
      <c r="J235" s="4"/>
      <c r="K235" s="18"/>
      <c r="L235" s="3" t="str">
        <f>'0_Configuration'!$C$41</f>
        <v>Mg</v>
      </c>
      <c r="M235" s="10"/>
      <c r="N235" s="23" t="s">
        <v>3</v>
      </c>
      <c r="O235" s="11"/>
      <c r="P235" s="4"/>
      <c r="Q235" s="10"/>
      <c r="R235" s="3">
        <f>_xlfn.XLOOKUP(Tab_Data_Flows[[#This Row],[Flow_Name]],Tab_Def_Flows[Flow_Name],Tab_Def_Flows[Flow_E1_Fraction'[%']],"N.A.",0,1)</f>
        <v>0</v>
      </c>
      <c r="S235" s="9">
        <f t="shared" si="6"/>
        <v>0</v>
      </c>
      <c r="T235" s="3" t="str">
        <f>Tab_Data_Flows[[#This Row],[UoM_Source]]</f>
        <v>Mg</v>
      </c>
      <c r="U235" s="24">
        <f>_xlfn.XLOOKUP(Tab_Data_Flows[[#This Row],[Flow_Name]],Tab_Def_Flows[Flow_Name],Tab_Def_Flows[Flow_E2_Fraction'[%']],"N.A.",0,1)</f>
        <v>0</v>
      </c>
      <c r="V235" s="3">
        <f>IF(D235="Yes",S235*Tab_Data_Flows[[#This Row],[E2_Fraction'[%']]],"N.A.")</f>
        <v>0</v>
      </c>
      <c r="W235" s="3" t="str">
        <f>Tab_Data_Flows[[#This Row],[E1_UoM]]</f>
        <v>Mg</v>
      </c>
      <c r="X235" s="24">
        <f>_xlfn.XLOOKUP(Tab_Data_Flows[[#This Row],[Flow_Name]],Tab_Def_Flows[Flow_Name],Tab_Def_Flows[Flow_E3_Fraction'[%']],"N.A.",0,1)</f>
        <v>0</v>
      </c>
      <c r="Y235" s="3">
        <f>IF(E235="Yes",X235*Tab_Data_Flows[[#This Row],[E1_value]],"N.A.")</f>
        <v>0</v>
      </c>
      <c r="Z235" s="3" t="str">
        <f>Tab_Data_Flows[[#This Row],[E1_UoM]]</f>
        <v>Mg</v>
      </c>
      <c r="AA235" s="24">
        <f>_xlfn.XLOOKUP(Tab_Data_Flows[[#This Row],[Flow_Name]],Tab_Def_Flows[Flow_Name],Tab_Def_Flows[Flow_E4_Fraction'[%']],"N.A.",0,1)</f>
        <v>0</v>
      </c>
      <c r="AB235" s="3">
        <f>IF(H235="Yes",Tab_Data_Flows[[#This Row],[E4_Fraction'[%']]]*Tab_Data_Flows[[#This Row],[E1_value]],"N.A.")</f>
        <v>0</v>
      </c>
      <c r="AC235" s="3" t="str">
        <f>Tab_Data_Flows[[#This Row],[E1_UoM]]</f>
        <v>Mg</v>
      </c>
      <c r="AD235" s="24">
        <f>_xlfn.XLOOKUP(Tab_Data_Flows[[#This Row],[Flow_Name]],Tab_Def_Flows[Flow_Name],Tab_Def_Flows[Flow_E5_Fraction'[%']],"N.A.",0,1)</f>
        <v>0</v>
      </c>
      <c r="AE235" s="3">
        <f>IF(H235="Yes",Tab_Data_Flows[[#This Row],[E5_Fraction'[%']]]*Tab_Data_Flows[[#This Row],[E1_value]],"N.A.")</f>
        <v>0</v>
      </c>
      <c r="AF235" s="3" t="str">
        <f>Tab_Data_Flows[[#This Row],[E1_UoM]]</f>
        <v>Mg</v>
      </c>
      <c r="AG235" s="24">
        <f>_xlfn.XLOOKUP(Tab_Data_Flows[[#This Row],[Flow_Name]],Tab_Def_Flows[Flow_Name],Tab_Def_Flows[Flow_E6_Fraction'[%']],"N.A.",0,1)</f>
        <v>0</v>
      </c>
      <c r="AH235" s="3">
        <f>IF(Tab_Data_Flows[[#This Row],[Use_E6]]="Yes",Tab_Data_Flows[[#This Row],[E6_Fraction'[%']]]*Tab_Data_Flows[[#This Row],[E1_value]],"N.A.")</f>
        <v>0</v>
      </c>
      <c r="AI235" s="3" t="str">
        <f>Tab_Data_Flows[[#This Row],[E1_UoM]]</f>
        <v>Mg</v>
      </c>
    </row>
    <row r="236" spans="1:35" x14ac:dyDescent="0.25">
      <c r="A236" s="5">
        <f t="shared" si="7"/>
        <v>235</v>
      </c>
      <c r="B236" s="3" t="str">
        <f>_xlfn.XLOOKUP(C236,Tab_Def_Flows[Flow_Name],Tab_Def_Flows[Flow_ID],,0,)</f>
        <v>F__</v>
      </c>
      <c r="C236" s="23" t="s">
        <v>5</v>
      </c>
      <c r="D236" s="6" t="str">
        <f>_xlfn.XLOOKUP(C236,Tab_Def_Flows[Flow_Name],Tab_Def_Flows[Use_E1],,0,)</f>
        <v>Yes</v>
      </c>
      <c r="E236" s="6" t="str">
        <f>_xlfn.XLOOKUP(C236,Tab_Def_Flows[Flow_Name],Tab_Def_Flows[Use_E2],,0,)</f>
        <v>Yes</v>
      </c>
      <c r="F236" s="6" t="str">
        <f>_xlfn.XLOOKUP(C236,Tab_Def_Flows[Flow_Name],Tab_Def_Flows[Use_E3],,0,)</f>
        <v>Yes</v>
      </c>
      <c r="G236" s="6" t="str">
        <f>_xlfn.XLOOKUP(C236,Tab_Def_Flows[Flow_Name],Tab_Def_Flows[Use_E4],,0,)</f>
        <v>Yes</v>
      </c>
      <c r="H236" s="6" t="str">
        <f>_xlfn.XLOOKUP(C236,Tab_Def_Flows[Flow_Name],Tab_Def_Flows[Use_E5],,0,)</f>
        <v>Yes</v>
      </c>
      <c r="I236" s="6" t="str">
        <f>_xlfn.XLOOKUP(C236,Tab_Def_Flows[Flow_Name],Tab_Def_Flows[Use_E6],,0,)</f>
        <v>Yes</v>
      </c>
      <c r="J236" s="4"/>
      <c r="K236" s="18"/>
      <c r="L236" s="3" t="str">
        <f>'0_Configuration'!$C$41</f>
        <v>Mg</v>
      </c>
      <c r="M236" s="10"/>
      <c r="N236" s="23" t="s">
        <v>3</v>
      </c>
      <c r="O236" s="11"/>
      <c r="P236" s="4"/>
      <c r="Q236" s="10"/>
      <c r="R236" s="3">
        <f>_xlfn.XLOOKUP(Tab_Data_Flows[[#This Row],[Flow_Name]],Tab_Def_Flows[Flow_Name],Tab_Def_Flows[Flow_E1_Fraction'[%']],"N.A.",0,1)</f>
        <v>0</v>
      </c>
      <c r="S236" s="9">
        <f t="shared" si="6"/>
        <v>0</v>
      </c>
      <c r="T236" s="3" t="str">
        <f>Tab_Data_Flows[[#This Row],[UoM_Source]]</f>
        <v>Mg</v>
      </c>
      <c r="U236" s="24">
        <f>_xlfn.XLOOKUP(Tab_Data_Flows[[#This Row],[Flow_Name]],Tab_Def_Flows[Flow_Name],Tab_Def_Flows[Flow_E2_Fraction'[%']],"N.A.",0,1)</f>
        <v>0</v>
      </c>
      <c r="V236" s="3">
        <f>IF(D236="Yes",S236*Tab_Data_Flows[[#This Row],[E2_Fraction'[%']]],"N.A.")</f>
        <v>0</v>
      </c>
      <c r="W236" s="3" t="str">
        <f>Tab_Data_Flows[[#This Row],[E1_UoM]]</f>
        <v>Mg</v>
      </c>
      <c r="X236" s="24">
        <f>_xlfn.XLOOKUP(Tab_Data_Flows[[#This Row],[Flow_Name]],Tab_Def_Flows[Flow_Name],Tab_Def_Flows[Flow_E3_Fraction'[%']],"N.A.",0,1)</f>
        <v>0</v>
      </c>
      <c r="Y236" s="3">
        <f>IF(E236="Yes",X236*Tab_Data_Flows[[#This Row],[E1_value]],"N.A.")</f>
        <v>0</v>
      </c>
      <c r="Z236" s="3" t="str">
        <f>Tab_Data_Flows[[#This Row],[E1_UoM]]</f>
        <v>Mg</v>
      </c>
      <c r="AA236" s="24">
        <f>_xlfn.XLOOKUP(Tab_Data_Flows[[#This Row],[Flow_Name]],Tab_Def_Flows[Flow_Name],Tab_Def_Flows[Flow_E4_Fraction'[%']],"N.A.",0,1)</f>
        <v>0</v>
      </c>
      <c r="AB236" s="3">
        <f>IF(H236="Yes",Tab_Data_Flows[[#This Row],[E4_Fraction'[%']]]*Tab_Data_Flows[[#This Row],[E1_value]],"N.A.")</f>
        <v>0</v>
      </c>
      <c r="AC236" s="3" t="str">
        <f>Tab_Data_Flows[[#This Row],[E1_UoM]]</f>
        <v>Mg</v>
      </c>
      <c r="AD236" s="24">
        <f>_xlfn.XLOOKUP(Tab_Data_Flows[[#This Row],[Flow_Name]],Tab_Def_Flows[Flow_Name],Tab_Def_Flows[Flow_E5_Fraction'[%']],"N.A.",0,1)</f>
        <v>0</v>
      </c>
      <c r="AE236" s="3">
        <f>IF(H236="Yes",Tab_Data_Flows[[#This Row],[E5_Fraction'[%']]]*Tab_Data_Flows[[#This Row],[E1_value]],"N.A.")</f>
        <v>0</v>
      </c>
      <c r="AF236" s="3" t="str">
        <f>Tab_Data_Flows[[#This Row],[E1_UoM]]</f>
        <v>Mg</v>
      </c>
      <c r="AG236" s="24">
        <f>_xlfn.XLOOKUP(Tab_Data_Flows[[#This Row],[Flow_Name]],Tab_Def_Flows[Flow_Name],Tab_Def_Flows[Flow_E6_Fraction'[%']],"N.A.",0,1)</f>
        <v>0</v>
      </c>
      <c r="AH236" s="3">
        <f>IF(Tab_Data_Flows[[#This Row],[Use_E6]]="Yes",Tab_Data_Flows[[#This Row],[E6_Fraction'[%']]]*Tab_Data_Flows[[#This Row],[E1_value]],"N.A.")</f>
        <v>0</v>
      </c>
      <c r="AI236" s="3" t="str">
        <f>Tab_Data_Flows[[#This Row],[E1_UoM]]</f>
        <v>Mg</v>
      </c>
    </row>
    <row r="237" spans="1:35" x14ac:dyDescent="0.25">
      <c r="A237" s="5">
        <f t="shared" si="7"/>
        <v>236</v>
      </c>
      <c r="B237" s="3" t="str">
        <f>_xlfn.XLOOKUP(C237,Tab_Def_Flows[Flow_Name],Tab_Def_Flows[Flow_ID],,0,)</f>
        <v>F__</v>
      </c>
      <c r="C237" s="23" t="s">
        <v>5</v>
      </c>
      <c r="D237" s="6" t="str">
        <f>_xlfn.XLOOKUP(C237,Tab_Def_Flows[Flow_Name],Tab_Def_Flows[Use_E1],,0,)</f>
        <v>Yes</v>
      </c>
      <c r="E237" s="6" t="str">
        <f>_xlfn.XLOOKUP(C237,Tab_Def_Flows[Flow_Name],Tab_Def_Flows[Use_E2],,0,)</f>
        <v>Yes</v>
      </c>
      <c r="F237" s="6" t="str">
        <f>_xlfn.XLOOKUP(C237,Tab_Def_Flows[Flow_Name],Tab_Def_Flows[Use_E3],,0,)</f>
        <v>Yes</v>
      </c>
      <c r="G237" s="6" t="str">
        <f>_xlfn.XLOOKUP(C237,Tab_Def_Flows[Flow_Name],Tab_Def_Flows[Use_E4],,0,)</f>
        <v>Yes</v>
      </c>
      <c r="H237" s="6" t="str">
        <f>_xlfn.XLOOKUP(C237,Tab_Def_Flows[Flow_Name],Tab_Def_Flows[Use_E5],,0,)</f>
        <v>Yes</v>
      </c>
      <c r="I237" s="6" t="str">
        <f>_xlfn.XLOOKUP(C237,Tab_Def_Flows[Flow_Name],Tab_Def_Flows[Use_E6],,0,)</f>
        <v>Yes</v>
      </c>
      <c r="J237" s="4"/>
      <c r="K237" s="18"/>
      <c r="L237" s="3" t="str">
        <f>'0_Configuration'!$C$41</f>
        <v>Mg</v>
      </c>
      <c r="M237" s="10"/>
      <c r="N237" s="23" t="s">
        <v>3</v>
      </c>
      <c r="O237" s="11"/>
      <c r="P237" s="4"/>
      <c r="Q237" s="10"/>
      <c r="R237" s="3">
        <f>_xlfn.XLOOKUP(Tab_Data_Flows[[#This Row],[Flow_Name]],Tab_Def_Flows[Flow_Name],Tab_Def_Flows[Flow_E1_Fraction'[%']],"N.A.",0,1)</f>
        <v>0</v>
      </c>
      <c r="S237" s="9">
        <f t="shared" si="6"/>
        <v>0</v>
      </c>
      <c r="T237" s="3" t="str">
        <f>Tab_Data_Flows[[#This Row],[UoM_Source]]</f>
        <v>Mg</v>
      </c>
      <c r="U237" s="24">
        <f>_xlfn.XLOOKUP(Tab_Data_Flows[[#This Row],[Flow_Name]],Tab_Def_Flows[Flow_Name],Tab_Def_Flows[Flow_E2_Fraction'[%']],"N.A.",0,1)</f>
        <v>0</v>
      </c>
      <c r="V237" s="3">
        <f>IF(D237="Yes",S237*Tab_Data_Flows[[#This Row],[E2_Fraction'[%']]],"N.A.")</f>
        <v>0</v>
      </c>
      <c r="W237" s="3" t="str">
        <f>Tab_Data_Flows[[#This Row],[E1_UoM]]</f>
        <v>Mg</v>
      </c>
      <c r="X237" s="24">
        <f>_xlfn.XLOOKUP(Tab_Data_Flows[[#This Row],[Flow_Name]],Tab_Def_Flows[Flow_Name],Tab_Def_Flows[Flow_E3_Fraction'[%']],"N.A.",0,1)</f>
        <v>0</v>
      </c>
      <c r="Y237" s="3">
        <f>IF(E237="Yes",X237*Tab_Data_Flows[[#This Row],[E1_value]],"N.A.")</f>
        <v>0</v>
      </c>
      <c r="Z237" s="3" t="str">
        <f>Tab_Data_Flows[[#This Row],[E1_UoM]]</f>
        <v>Mg</v>
      </c>
      <c r="AA237" s="24">
        <f>_xlfn.XLOOKUP(Tab_Data_Flows[[#This Row],[Flow_Name]],Tab_Def_Flows[Flow_Name],Tab_Def_Flows[Flow_E4_Fraction'[%']],"N.A.",0,1)</f>
        <v>0</v>
      </c>
      <c r="AB237" s="3">
        <f>IF(H237="Yes",Tab_Data_Flows[[#This Row],[E4_Fraction'[%']]]*Tab_Data_Flows[[#This Row],[E1_value]],"N.A.")</f>
        <v>0</v>
      </c>
      <c r="AC237" s="3" t="str">
        <f>Tab_Data_Flows[[#This Row],[E1_UoM]]</f>
        <v>Mg</v>
      </c>
      <c r="AD237" s="24">
        <f>_xlfn.XLOOKUP(Tab_Data_Flows[[#This Row],[Flow_Name]],Tab_Def_Flows[Flow_Name],Tab_Def_Flows[Flow_E5_Fraction'[%']],"N.A.",0,1)</f>
        <v>0</v>
      </c>
      <c r="AE237" s="3">
        <f>IF(H237="Yes",Tab_Data_Flows[[#This Row],[E5_Fraction'[%']]]*Tab_Data_Flows[[#This Row],[E1_value]],"N.A.")</f>
        <v>0</v>
      </c>
      <c r="AF237" s="3" t="str">
        <f>Tab_Data_Flows[[#This Row],[E1_UoM]]</f>
        <v>Mg</v>
      </c>
      <c r="AG237" s="24">
        <f>_xlfn.XLOOKUP(Tab_Data_Flows[[#This Row],[Flow_Name]],Tab_Def_Flows[Flow_Name],Tab_Def_Flows[Flow_E6_Fraction'[%']],"N.A.",0,1)</f>
        <v>0</v>
      </c>
      <c r="AH237" s="3">
        <f>IF(Tab_Data_Flows[[#This Row],[Use_E6]]="Yes",Tab_Data_Flows[[#This Row],[E6_Fraction'[%']]]*Tab_Data_Flows[[#This Row],[E1_value]],"N.A.")</f>
        <v>0</v>
      </c>
      <c r="AI237" s="3" t="str">
        <f>Tab_Data_Flows[[#This Row],[E1_UoM]]</f>
        <v>Mg</v>
      </c>
    </row>
    <row r="238" spans="1:35" x14ac:dyDescent="0.25">
      <c r="A238" s="5">
        <f t="shared" si="7"/>
        <v>237</v>
      </c>
      <c r="B238" s="3" t="str">
        <f>_xlfn.XLOOKUP(C238,Tab_Def_Flows[Flow_Name],Tab_Def_Flows[Flow_ID],,0,)</f>
        <v>F__</v>
      </c>
      <c r="C238" s="23" t="s">
        <v>5</v>
      </c>
      <c r="D238" s="6" t="str">
        <f>_xlfn.XLOOKUP(C238,Tab_Def_Flows[Flow_Name],Tab_Def_Flows[Use_E1],,0,)</f>
        <v>Yes</v>
      </c>
      <c r="E238" s="6" t="str">
        <f>_xlfn.XLOOKUP(C238,Tab_Def_Flows[Flow_Name],Tab_Def_Flows[Use_E2],,0,)</f>
        <v>Yes</v>
      </c>
      <c r="F238" s="6" t="str">
        <f>_xlfn.XLOOKUP(C238,Tab_Def_Flows[Flow_Name],Tab_Def_Flows[Use_E3],,0,)</f>
        <v>Yes</v>
      </c>
      <c r="G238" s="6" t="str">
        <f>_xlfn.XLOOKUP(C238,Tab_Def_Flows[Flow_Name],Tab_Def_Flows[Use_E4],,0,)</f>
        <v>Yes</v>
      </c>
      <c r="H238" s="6" t="str">
        <f>_xlfn.XLOOKUP(C238,Tab_Def_Flows[Flow_Name],Tab_Def_Flows[Use_E5],,0,)</f>
        <v>Yes</v>
      </c>
      <c r="I238" s="6" t="str">
        <f>_xlfn.XLOOKUP(C238,Tab_Def_Flows[Flow_Name],Tab_Def_Flows[Use_E6],,0,)</f>
        <v>Yes</v>
      </c>
      <c r="J238" s="4"/>
      <c r="K238" s="18"/>
      <c r="L238" s="3" t="str">
        <f>'0_Configuration'!$C$41</f>
        <v>Mg</v>
      </c>
      <c r="M238" s="10"/>
      <c r="N238" s="23" t="s">
        <v>3</v>
      </c>
      <c r="O238" s="11"/>
      <c r="P238" s="4"/>
      <c r="Q238" s="10"/>
      <c r="R238" s="3">
        <f>_xlfn.XLOOKUP(Tab_Data_Flows[[#This Row],[Flow_Name]],Tab_Def_Flows[Flow_Name],Tab_Def_Flows[Flow_E1_Fraction'[%']],"N.A.",0,1)</f>
        <v>0</v>
      </c>
      <c r="S238" s="9">
        <f t="shared" si="6"/>
        <v>0</v>
      </c>
      <c r="T238" s="3" t="str">
        <f>Tab_Data_Flows[[#This Row],[UoM_Source]]</f>
        <v>Mg</v>
      </c>
      <c r="U238" s="24">
        <f>_xlfn.XLOOKUP(Tab_Data_Flows[[#This Row],[Flow_Name]],Tab_Def_Flows[Flow_Name],Tab_Def_Flows[Flow_E2_Fraction'[%']],"N.A.",0,1)</f>
        <v>0</v>
      </c>
      <c r="V238" s="3">
        <f>IF(D238="Yes",S238*Tab_Data_Flows[[#This Row],[E2_Fraction'[%']]],"N.A.")</f>
        <v>0</v>
      </c>
      <c r="W238" s="3" t="str">
        <f>Tab_Data_Flows[[#This Row],[E1_UoM]]</f>
        <v>Mg</v>
      </c>
      <c r="X238" s="24">
        <f>_xlfn.XLOOKUP(Tab_Data_Flows[[#This Row],[Flow_Name]],Tab_Def_Flows[Flow_Name],Tab_Def_Flows[Flow_E3_Fraction'[%']],"N.A.",0,1)</f>
        <v>0</v>
      </c>
      <c r="Y238" s="3">
        <f>IF(E238="Yes",X238*Tab_Data_Flows[[#This Row],[E1_value]],"N.A.")</f>
        <v>0</v>
      </c>
      <c r="Z238" s="3" t="str">
        <f>Tab_Data_Flows[[#This Row],[E1_UoM]]</f>
        <v>Mg</v>
      </c>
      <c r="AA238" s="24">
        <f>_xlfn.XLOOKUP(Tab_Data_Flows[[#This Row],[Flow_Name]],Tab_Def_Flows[Flow_Name],Tab_Def_Flows[Flow_E4_Fraction'[%']],"N.A.",0,1)</f>
        <v>0</v>
      </c>
      <c r="AB238" s="3">
        <f>IF(H238="Yes",Tab_Data_Flows[[#This Row],[E4_Fraction'[%']]]*Tab_Data_Flows[[#This Row],[E1_value]],"N.A.")</f>
        <v>0</v>
      </c>
      <c r="AC238" s="3" t="str">
        <f>Tab_Data_Flows[[#This Row],[E1_UoM]]</f>
        <v>Mg</v>
      </c>
      <c r="AD238" s="24">
        <f>_xlfn.XLOOKUP(Tab_Data_Flows[[#This Row],[Flow_Name]],Tab_Def_Flows[Flow_Name],Tab_Def_Flows[Flow_E5_Fraction'[%']],"N.A.",0,1)</f>
        <v>0</v>
      </c>
      <c r="AE238" s="3">
        <f>IF(H238="Yes",Tab_Data_Flows[[#This Row],[E5_Fraction'[%']]]*Tab_Data_Flows[[#This Row],[E1_value]],"N.A.")</f>
        <v>0</v>
      </c>
      <c r="AF238" s="3" t="str">
        <f>Tab_Data_Flows[[#This Row],[E1_UoM]]</f>
        <v>Mg</v>
      </c>
      <c r="AG238" s="24">
        <f>_xlfn.XLOOKUP(Tab_Data_Flows[[#This Row],[Flow_Name]],Tab_Def_Flows[Flow_Name],Tab_Def_Flows[Flow_E6_Fraction'[%']],"N.A.",0,1)</f>
        <v>0</v>
      </c>
      <c r="AH238" s="3">
        <f>IF(Tab_Data_Flows[[#This Row],[Use_E6]]="Yes",Tab_Data_Flows[[#This Row],[E6_Fraction'[%']]]*Tab_Data_Flows[[#This Row],[E1_value]],"N.A.")</f>
        <v>0</v>
      </c>
      <c r="AI238" s="3" t="str">
        <f>Tab_Data_Flows[[#This Row],[E1_UoM]]</f>
        <v>Mg</v>
      </c>
    </row>
    <row r="239" spans="1:35" x14ac:dyDescent="0.25">
      <c r="A239" s="5">
        <f t="shared" si="7"/>
        <v>238</v>
      </c>
      <c r="B239" s="3" t="str">
        <f>_xlfn.XLOOKUP(C239,Tab_Def_Flows[Flow_Name],Tab_Def_Flows[Flow_ID],,0,)</f>
        <v>F__</v>
      </c>
      <c r="C239" s="23" t="s">
        <v>5</v>
      </c>
      <c r="D239" s="6" t="str">
        <f>_xlfn.XLOOKUP(C239,Tab_Def_Flows[Flow_Name],Tab_Def_Flows[Use_E1],,0,)</f>
        <v>Yes</v>
      </c>
      <c r="E239" s="6" t="str">
        <f>_xlfn.XLOOKUP(C239,Tab_Def_Flows[Flow_Name],Tab_Def_Flows[Use_E2],,0,)</f>
        <v>Yes</v>
      </c>
      <c r="F239" s="6" t="str">
        <f>_xlfn.XLOOKUP(C239,Tab_Def_Flows[Flow_Name],Tab_Def_Flows[Use_E3],,0,)</f>
        <v>Yes</v>
      </c>
      <c r="G239" s="6" t="str">
        <f>_xlfn.XLOOKUP(C239,Tab_Def_Flows[Flow_Name],Tab_Def_Flows[Use_E4],,0,)</f>
        <v>Yes</v>
      </c>
      <c r="H239" s="6" t="str">
        <f>_xlfn.XLOOKUP(C239,Tab_Def_Flows[Flow_Name],Tab_Def_Flows[Use_E5],,0,)</f>
        <v>Yes</v>
      </c>
      <c r="I239" s="6" t="str">
        <f>_xlfn.XLOOKUP(C239,Tab_Def_Flows[Flow_Name],Tab_Def_Flows[Use_E6],,0,)</f>
        <v>Yes</v>
      </c>
      <c r="J239" s="4"/>
      <c r="K239" s="18"/>
      <c r="L239" s="3" t="str">
        <f>'0_Configuration'!$C$41</f>
        <v>Mg</v>
      </c>
      <c r="M239" s="10"/>
      <c r="N239" s="23" t="s">
        <v>3</v>
      </c>
      <c r="O239" s="11"/>
      <c r="P239" s="4"/>
      <c r="Q239" s="10"/>
      <c r="R239" s="3">
        <f>_xlfn.XLOOKUP(Tab_Data_Flows[[#This Row],[Flow_Name]],Tab_Def_Flows[Flow_Name],Tab_Def_Flows[Flow_E1_Fraction'[%']],"N.A.",0,1)</f>
        <v>0</v>
      </c>
      <c r="S239" s="9">
        <f t="shared" si="6"/>
        <v>0</v>
      </c>
      <c r="T239" s="3" t="str">
        <f>Tab_Data_Flows[[#This Row],[UoM_Source]]</f>
        <v>Mg</v>
      </c>
      <c r="U239" s="24">
        <f>_xlfn.XLOOKUP(Tab_Data_Flows[[#This Row],[Flow_Name]],Tab_Def_Flows[Flow_Name],Tab_Def_Flows[Flow_E2_Fraction'[%']],"N.A.",0,1)</f>
        <v>0</v>
      </c>
      <c r="V239" s="3">
        <f>IF(D239="Yes",S239*Tab_Data_Flows[[#This Row],[E2_Fraction'[%']]],"N.A.")</f>
        <v>0</v>
      </c>
      <c r="W239" s="3" t="str">
        <f>Tab_Data_Flows[[#This Row],[E1_UoM]]</f>
        <v>Mg</v>
      </c>
      <c r="X239" s="24">
        <f>_xlfn.XLOOKUP(Tab_Data_Flows[[#This Row],[Flow_Name]],Tab_Def_Flows[Flow_Name],Tab_Def_Flows[Flow_E3_Fraction'[%']],"N.A.",0,1)</f>
        <v>0</v>
      </c>
      <c r="Y239" s="3">
        <f>IF(E239="Yes",X239*Tab_Data_Flows[[#This Row],[E1_value]],"N.A.")</f>
        <v>0</v>
      </c>
      <c r="Z239" s="3" t="str">
        <f>Tab_Data_Flows[[#This Row],[E1_UoM]]</f>
        <v>Mg</v>
      </c>
      <c r="AA239" s="24">
        <f>_xlfn.XLOOKUP(Tab_Data_Flows[[#This Row],[Flow_Name]],Tab_Def_Flows[Flow_Name],Tab_Def_Flows[Flow_E4_Fraction'[%']],"N.A.",0,1)</f>
        <v>0</v>
      </c>
      <c r="AB239" s="3">
        <f>IF(H239="Yes",Tab_Data_Flows[[#This Row],[E4_Fraction'[%']]]*Tab_Data_Flows[[#This Row],[E1_value]],"N.A.")</f>
        <v>0</v>
      </c>
      <c r="AC239" s="3" t="str">
        <f>Tab_Data_Flows[[#This Row],[E1_UoM]]</f>
        <v>Mg</v>
      </c>
      <c r="AD239" s="24">
        <f>_xlfn.XLOOKUP(Tab_Data_Flows[[#This Row],[Flow_Name]],Tab_Def_Flows[Flow_Name],Tab_Def_Flows[Flow_E5_Fraction'[%']],"N.A.",0,1)</f>
        <v>0</v>
      </c>
      <c r="AE239" s="3">
        <f>IF(H239="Yes",Tab_Data_Flows[[#This Row],[E5_Fraction'[%']]]*Tab_Data_Flows[[#This Row],[E1_value]],"N.A.")</f>
        <v>0</v>
      </c>
      <c r="AF239" s="3" t="str">
        <f>Tab_Data_Flows[[#This Row],[E1_UoM]]</f>
        <v>Mg</v>
      </c>
      <c r="AG239" s="24">
        <f>_xlfn.XLOOKUP(Tab_Data_Flows[[#This Row],[Flow_Name]],Tab_Def_Flows[Flow_Name],Tab_Def_Flows[Flow_E6_Fraction'[%']],"N.A.",0,1)</f>
        <v>0</v>
      </c>
      <c r="AH239" s="3">
        <f>IF(Tab_Data_Flows[[#This Row],[Use_E6]]="Yes",Tab_Data_Flows[[#This Row],[E6_Fraction'[%']]]*Tab_Data_Flows[[#This Row],[E1_value]],"N.A.")</f>
        <v>0</v>
      </c>
      <c r="AI239" s="3" t="str">
        <f>Tab_Data_Flows[[#This Row],[E1_UoM]]</f>
        <v>Mg</v>
      </c>
    </row>
    <row r="240" spans="1:35" x14ac:dyDescent="0.25">
      <c r="A240" s="5">
        <f t="shared" si="7"/>
        <v>239</v>
      </c>
      <c r="B240" s="3" t="str">
        <f>_xlfn.XLOOKUP(C240,Tab_Def_Flows[Flow_Name],Tab_Def_Flows[Flow_ID],,0,)</f>
        <v>F__</v>
      </c>
      <c r="C240" s="23" t="s">
        <v>5</v>
      </c>
      <c r="D240" s="6" t="str">
        <f>_xlfn.XLOOKUP(C240,Tab_Def_Flows[Flow_Name],Tab_Def_Flows[Use_E1],,0,)</f>
        <v>Yes</v>
      </c>
      <c r="E240" s="6" t="str">
        <f>_xlfn.XLOOKUP(C240,Tab_Def_Flows[Flow_Name],Tab_Def_Flows[Use_E2],,0,)</f>
        <v>Yes</v>
      </c>
      <c r="F240" s="6" t="str">
        <f>_xlfn.XLOOKUP(C240,Tab_Def_Flows[Flow_Name],Tab_Def_Flows[Use_E3],,0,)</f>
        <v>Yes</v>
      </c>
      <c r="G240" s="6" t="str">
        <f>_xlfn.XLOOKUP(C240,Tab_Def_Flows[Flow_Name],Tab_Def_Flows[Use_E4],,0,)</f>
        <v>Yes</v>
      </c>
      <c r="H240" s="6" t="str">
        <f>_xlfn.XLOOKUP(C240,Tab_Def_Flows[Flow_Name],Tab_Def_Flows[Use_E5],,0,)</f>
        <v>Yes</v>
      </c>
      <c r="I240" s="6" t="str">
        <f>_xlfn.XLOOKUP(C240,Tab_Def_Flows[Flow_Name],Tab_Def_Flows[Use_E6],,0,)</f>
        <v>Yes</v>
      </c>
      <c r="J240" s="4"/>
      <c r="K240" s="18"/>
      <c r="L240" s="3" t="str">
        <f>'0_Configuration'!$C$41</f>
        <v>Mg</v>
      </c>
      <c r="M240" s="10"/>
      <c r="N240" s="23" t="s">
        <v>3</v>
      </c>
      <c r="O240" s="11"/>
      <c r="P240" s="4"/>
      <c r="Q240" s="10"/>
      <c r="R240" s="3">
        <f>_xlfn.XLOOKUP(Tab_Data_Flows[[#This Row],[Flow_Name]],Tab_Def_Flows[Flow_Name],Tab_Def_Flows[Flow_E1_Fraction'[%']],"N.A.",0,1)</f>
        <v>0</v>
      </c>
      <c r="S240" s="9">
        <f t="shared" si="6"/>
        <v>0</v>
      </c>
      <c r="T240" s="3" t="str">
        <f>Tab_Data_Flows[[#This Row],[UoM_Source]]</f>
        <v>Mg</v>
      </c>
      <c r="U240" s="24">
        <f>_xlfn.XLOOKUP(Tab_Data_Flows[[#This Row],[Flow_Name]],Tab_Def_Flows[Flow_Name],Tab_Def_Flows[Flow_E2_Fraction'[%']],"N.A.",0,1)</f>
        <v>0</v>
      </c>
      <c r="V240" s="3">
        <f>IF(D240="Yes",S240*Tab_Data_Flows[[#This Row],[E2_Fraction'[%']]],"N.A.")</f>
        <v>0</v>
      </c>
      <c r="W240" s="3" t="str">
        <f>Tab_Data_Flows[[#This Row],[E1_UoM]]</f>
        <v>Mg</v>
      </c>
      <c r="X240" s="24">
        <f>_xlfn.XLOOKUP(Tab_Data_Flows[[#This Row],[Flow_Name]],Tab_Def_Flows[Flow_Name],Tab_Def_Flows[Flow_E3_Fraction'[%']],"N.A.",0,1)</f>
        <v>0</v>
      </c>
      <c r="Y240" s="3">
        <f>IF(E240="Yes",X240*Tab_Data_Flows[[#This Row],[E1_value]],"N.A.")</f>
        <v>0</v>
      </c>
      <c r="Z240" s="3" t="str">
        <f>Tab_Data_Flows[[#This Row],[E1_UoM]]</f>
        <v>Mg</v>
      </c>
      <c r="AA240" s="24">
        <f>_xlfn.XLOOKUP(Tab_Data_Flows[[#This Row],[Flow_Name]],Tab_Def_Flows[Flow_Name],Tab_Def_Flows[Flow_E4_Fraction'[%']],"N.A.",0,1)</f>
        <v>0</v>
      </c>
      <c r="AB240" s="3">
        <f>IF(H240="Yes",Tab_Data_Flows[[#This Row],[E4_Fraction'[%']]]*Tab_Data_Flows[[#This Row],[E1_value]],"N.A.")</f>
        <v>0</v>
      </c>
      <c r="AC240" s="3" t="str">
        <f>Tab_Data_Flows[[#This Row],[E1_UoM]]</f>
        <v>Mg</v>
      </c>
      <c r="AD240" s="24">
        <f>_xlfn.XLOOKUP(Tab_Data_Flows[[#This Row],[Flow_Name]],Tab_Def_Flows[Flow_Name],Tab_Def_Flows[Flow_E5_Fraction'[%']],"N.A.",0,1)</f>
        <v>0</v>
      </c>
      <c r="AE240" s="3">
        <f>IF(H240="Yes",Tab_Data_Flows[[#This Row],[E5_Fraction'[%']]]*Tab_Data_Flows[[#This Row],[E1_value]],"N.A.")</f>
        <v>0</v>
      </c>
      <c r="AF240" s="3" t="str">
        <f>Tab_Data_Flows[[#This Row],[E1_UoM]]</f>
        <v>Mg</v>
      </c>
      <c r="AG240" s="24">
        <f>_xlfn.XLOOKUP(Tab_Data_Flows[[#This Row],[Flow_Name]],Tab_Def_Flows[Flow_Name],Tab_Def_Flows[Flow_E6_Fraction'[%']],"N.A.",0,1)</f>
        <v>0</v>
      </c>
      <c r="AH240" s="3">
        <f>IF(Tab_Data_Flows[[#This Row],[Use_E6]]="Yes",Tab_Data_Flows[[#This Row],[E6_Fraction'[%']]]*Tab_Data_Flows[[#This Row],[E1_value]],"N.A.")</f>
        <v>0</v>
      </c>
      <c r="AI240" s="3" t="str">
        <f>Tab_Data_Flows[[#This Row],[E1_UoM]]</f>
        <v>Mg</v>
      </c>
    </row>
    <row r="241" spans="1:35" x14ac:dyDescent="0.25">
      <c r="A241" s="5">
        <f t="shared" si="7"/>
        <v>240</v>
      </c>
      <c r="B241" s="3" t="str">
        <f>_xlfn.XLOOKUP(C241,Tab_Def_Flows[Flow_Name],Tab_Def_Flows[Flow_ID],,0,)</f>
        <v>F__</v>
      </c>
      <c r="C241" s="23" t="s">
        <v>5</v>
      </c>
      <c r="D241" s="6" t="str">
        <f>_xlfn.XLOOKUP(C241,Tab_Def_Flows[Flow_Name],Tab_Def_Flows[Use_E1],,0,)</f>
        <v>Yes</v>
      </c>
      <c r="E241" s="6" t="str">
        <f>_xlfn.XLOOKUP(C241,Tab_Def_Flows[Flow_Name],Tab_Def_Flows[Use_E2],,0,)</f>
        <v>Yes</v>
      </c>
      <c r="F241" s="6" t="str">
        <f>_xlfn.XLOOKUP(C241,Tab_Def_Flows[Flow_Name],Tab_Def_Flows[Use_E3],,0,)</f>
        <v>Yes</v>
      </c>
      <c r="G241" s="6" t="str">
        <f>_xlfn.XLOOKUP(C241,Tab_Def_Flows[Flow_Name],Tab_Def_Flows[Use_E4],,0,)</f>
        <v>Yes</v>
      </c>
      <c r="H241" s="6" t="str">
        <f>_xlfn.XLOOKUP(C241,Tab_Def_Flows[Flow_Name],Tab_Def_Flows[Use_E5],,0,)</f>
        <v>Yes</v>
      </c>
      <c r="I241" s="6" t="str">
        <f>_xlfn.XLOOKUP(C241,Tab_Def_Flows[Flow_Name],Tab_Def_Flows[Use_E6],,0,)</f>
        <v>Yes</v>
      </c>
      <c r="J241" s="4"/>
      <c r="K241" s="18"/>
      <c r="L241" s="3" t="str">
        <f>'0_Configuration'!$C$41</f>
        <v>Mg</v>
      </c>
      <c r="M241" s="10"/>
      <c r="N241" s="23" t="s">
        <v>3</v>
      </c>
      <c r="O241" s="11"/>
      <c r="P241" s="4"/>
      <c r="Q241" s="10"/>
      <c r="R241" s="3">
        <f>_xlfn.XLOOKUP(Tab_Data_Flows[[#This Row],[Flow_Name]],Tab_Def_Flows[Flow_Name],Tab_Def_Flows[Flow_E1_Fraction'[%']],"N.A.",0,1)</f>
        <v>0</v>
      </c>
      <c r="S241" s="9">
        <f t="shared" si="6"/>
        <v>0</v>
      </c>
      <c r="T241" s="3" t="str">
        <f>Tab_Data_Flows[[#This Row],[UoM_Source]]</f>
        <v>Mg</v>
      </c>
      <c r="U241" s="24">
        <f>_xlfn.XLOOKUP(Tab_Data_Flows[[#This Row],[Flow_Name]],Tab_Def_Flows[Flow_Name],Tab_Def_Flows[Flow_E2_Fraction'[%']],"N.A.",0,1)</f>
        <v>0</v>
      </c>
      <c r="V241" s="3">
        <f>IF(D241="Yes",S241*Tab_Data_Flows[[#This Row],[E2_Fraction'[%']]],"N.A.")</f>
        <v>0</v>
      </c>
      <c r="W241" s="3" t="str">
        <f>Tab_Data_Flows[[#This Row],[E1_UoM]]</f>
        <v>Mg</v>
      </c>
      <c r="X241" s="24">
        <f>_xlfn.XLOOKUP(Tab_Data_Flows[[#This Row],[Flow_Name]],Tab_Def_Flows[Flow_Name],Tab_Def_Flows[Flow_E3_Fraction'[%']],"N.A.",0,1)</f>
        <v>0</v>
      </c>
      <c r="Y241" s="3">
        <f>IF(E241="Yes",X241*Tab_Data_Flows[[#This Row],[E1_value]],"N.A.")</f>
        <v>0</v>
      </c>
      <c r="Z241" s="3" t="str">
        <f>Tab_Data_Flows[[#This Row],[E1_UoM]]</f>
        <v>Mg</v>
      </c>
      <c r="AA241" s="24">
        <f>_xlfn.XLOOKUP(Tab_Data_Flows[[#This Row],[Flow_Name]],Tab_Def_Flows[Flow_Name],Tab_Def_Flows[Flow_E4_Fraction'[%']],"N.A.",0,1)</f>
        <v>0</v>
      </c>
      <c r="AB241" s="3">
        <f>IF(H241="Yes",Tab_Data_Flows[[#This Row],[E4_Fraction'[%']]]*Tab_Data_Flows[[#This Row],[E1_value]],"N.A.")</f>
        <v>0</v>
      </c>
      <c r="AC241" s="3" t="str">
        <f>Tab_Data_Flows[[#This Row],[E1_UoM]]</f>
        <v>Mg</v>
      </c>
      <c r="AD241" s="24">
        <f>_xlfn.XLOOKUP(Tab_Data_Flows[[#This Row],[Flow_Name]],Tab_Def_Flows[Flow_Name],Tab_Def_Flows[Flow_E5_Fraction'[%']],"N.A.",0,1)</f>
        <v>0</v>
      </c>
      <c r="AE241" s="3">
        <f>IF(H241="Yes",Tab_Data_Flows[[#This Row],[E5_Fraction'[%']]]*Tab_Data_Flows[[#This Row],[E1_value]],"N.A.")</f>
        <v>0</v>
      </c>
      <c r="AF241" s="3" t="str">
        <f>Tab_Data_Flows[[#This Row],[E1_UoM]]</f>
        <v>Mg</v>
      </c>
      <c r="AG241" s="24">
        <f>_xlfn.XLOOKUP(Tab_Data_Flows[[#This Row],[Flow_Name]],Tab_Def_Flows[Flow_Name],Tab_Def_Flows[Flow_E6_Fraction'[%']],"N.A.",0,1)</f>
        <v>0</v>
      </c>
      <c r="AH241" s="3">
        <f>IF(Tab_Data_Flows[[#This Row],[Use_E6]]="Yes",Tab_Data_Flows[[#This Row],[E6_Fraction'[%']]]*Tab_Data_Flows[[#This Row],[E1_value]],"N.A.")</f>
        <v>0</v>
      </c>
      <c r="AI241" s="3" t="str">
        <f>Tab_Data_Flows[[#This Row],[E1_UoM]]</f>
        <v>Mg</v>
      </c>
    </row>
    <row r="242" spans="1:35" x14ac:dyDescent="0.25">
      <c r="A242" s="5">
        <f t="shared" si="7"/>
        <v>241</v>
      </c>
      <c r="B242" s="3" t="str">
        <f>_xlfn.XLOOKUP(C242,Tab_Def_Flows[Flow_Name],Tab_Def_Flows[Flow_ID],,0,)</f>
        <v>F__</v>
      </c>
      <c r="C242" s="23" t="s">
        <v>5</v>
      </c>
      <c r="D242" s="6" t="str">
        <f>_xlfn.XLOOKUP(C242,Tab_Def_Flows[Flow_Name],Tab_Def_Flows[Use_E1],,0,)</f>
        <v>Yes</v>
      </c>
      <c r="E242" s="6" t="str">
        <f>_xlfn.XLOOKUP(C242,Tab_Def_Flows[Flow_Name],Tab_Def_Flows[Use_E2],,0,)</f>
        <v>Yes</v>
      </c>
      <c r="F242" s="6" t="str">
        <f>_xlfn.XLOOKUP(C242,Tab_Def_Flows[Flow_Name],Tab_Def_Flows[Use_E3],,0,)</f>
        <v>Yes</v>
      </c>
      <c r="G242" s="6" t="str">
        <f>_xlfn.XLOOKUP(C242,Tab_Def_Flows[Flow_Name],Tab_Def_Flows[Use_E4],,0,)</f>
        <v>Yes</v>
      </c>
      <c r="H242" s="6" t="str">
        <f>_xlfn.XLOOKUP(C242,Tab_Def_Flows[Flow_Name],Tab_Def_Flows[Use_E5],,0,)</f>
        <v>Yes</v>
      </c>
      <c r="I242" s="6" t="str">
        <f>_xlfn.XLOOKUP(C242,Tab_Def_Flows[Flow_Name],Tab_Def_Flows[Use_E6],,0,)</f>
        <v>Yes</v>
      </c>
      <c r="J242" s="4"/>
      <c r="K242" s="18"/>
      <c r="L242" s="3" t="str">
        <f>'0_Configuration'!$C$41</f>
        <v>Mg</v>
      </c>
      <c r="M242" s="10"/>
      <c r="N242" s="23" t="s">
        <v>3</v>
      </c>
      <c r="O242" s="11"/>
      <c r="P242" s="4"/>
      <c r="Q242" s="10"/>
      <c r="R242" s="3">
        <f>_xlfn.XLOOKUP(Tab_Data_Flows[[#This Row],[Flow_Name]],Tab_Def_Flows[Flow_Name],Tab_Def_Flows[Flow_E1_Fraction'[%']],"N.A.",0,1)</f>
        <v>0</v>
      </c>
      <c r="S242" s="9">
        <f t="shared" si="6"/>
        <v>0</v>
      </c>
      <c r="T242" s="3" t="str">
        <f>Tab_Data_Flows[[#This Row],[UoM_Source]]</f>
        <v>Mg</v>
      </c>
      <c r="U242" s="24">
        <f>_xlfn.XLOOKUP(Tab_Data_Flows[[#This Row],[Flow_Name]],Tab_Def_Flows[Flow_Name],Tab_Def_Flows[Flow_E2_Fraction'[%']],"N.A.",0,1)</f>
        <v>0</v>
      </c>
      <c r="V242" s="3">
        <f>IF(D242="Yes",S242*Tab_Data_Flows[[#This Row],[E2_Fraction'[%']]],"N.A.")</f>
        <v>0</v>
      </c>
      <c r="W242" s="3" t="str">
        <f>Tab_Data_Flows[[#This Row],[E1_UoM]]</f>
        <v>Mg</v>
      </c>
      <c r="X242" s="24">
        <f>_xlfn.XLOOKUP(Tab_Data_Flows[[#This Row],[Flow_Name]],Tab_Def_Flows[Flow_Name],Tab_Def_Flows[Flow_E3_Fraction'[%']],"N.A.",0,1)</f>
        <v>0</v>
      </c>
      <c r="Y242" s="3">
        <f>IF(E242="Yes",X242*Tab_Data_Flows[[#This Row],[E1_value]],"N.A.")</f>
        <v>0</v>
      </c>
      <c r="Z242" s="3" t="str">
        <f>Tab_Data_Flows[[#This Row],[E1_UoM]]</f>
        <v>Mg</v>
      </c>
      <c r="AA242" s="24">
        <f>_xlfn.XLOOKUP(Tab_Data_Flows[[#This Row],[Flow_Name]],Tab_Def_Flows[Flow_Name],Tab_Def_Flows[Flow_E4_Fraction'[%']],"N.A.",0,1)</f>
        <v>0</v>
      </c>
      <c r="AB242" s="3">
        <f>IF(H242="Yes",Tab_Data_Flows[[#This Row],[E4_Fraction'[%']]]*Tab_Data_Flows[[#This Row],[E1_value]],"N.A.")</f>
        <v>0</v>
      </c>
      <c r="AC242" s="3" t="str">
        <f>Tab_Data_Flows[[#This Row],[E1_UoM]]</f>
        <v>Mg</v>
      </c>
      <c r="AD242" s="24">
        <f>_xlfn.XLOOKUP(Tab_Data_Flows[[#This Row],[Flow_Name]],Tab_Def_Flows[Flow_Name],Tab_Def_Flows[Flow_E5_Fraction'[%']],"N.A.",0,1)</f>
        <v>0</v>
      </c>
      <c r="AE242" s="3">
        <f>IF(H242="Yes",Tab_Data_Flows[[#This Row],[E5_Fraction'[%']]]*Tab_Data_Flows[[#This Row],[E1_value]],"N.A.")</f>
        <v>0</v>
      </c>
      <c r="AF242" s="3" t="str">
        <f>Tab_Data_Flows[[#This Row],[E1_UoM]]</f>
        <v>Mg</v>
      </c>
      <c r="AG242" s="24">
        <f>_xlfn.XLOOKUP(Tab_Data_Flows[[#This Row],[Flow_Name]],Tab_Def_Flows[Flow_Name],Tab_Def_Flows[Flow_E6_Fraction'[%']],"N.A.",0,1)</f>
        <v>0</v>
      </c>
      <c r="AH242" s="3">
        <f>IF(Tab_Data_Flows[[#This Row],[Use_E6]]="Yes",Tab_Data_Flows[[#This Row],[E6_Fraction'[%']]]*Tab_Data_Flows[[#This Row],[E1_value]],"N.A.")</f>
        <v>0</v>
      </c>
      <c r="AI242" s="3" t="str">
        <f>Tab_Data_Flows[[#This Row],[E1_UoM]]</f>
        <v>Mg</v>
      </c>
    </row>
    <row r="243" spans="1:35" x14ac:dyDescent="0.25">
      <c r="A243" s="5">
        <f t="shared" si="7"/>
        <v>242</v>
      </c>
      <c r="B243" s="3" t="str">
        <f>_xlfn.XLOOKUP(C243,Tab_Def_Flows[Flow_Name],Tab_Def_Flows[Flow_ID],,0,)</f>
        <v>F__</v>
      </c>
      <c r="C243" s="23" t="s">
        <v>5</v>
      </c>
      <c r="D243" s="6" t="str">
        <f>_xlfn.XLOOKUP(C243,Tab_Def_Flows[Flow_Name],Tab_Def_Flows[Use_E1],,0,)</f>
        <v>Yes</v>
      </c>
      <c r="E243" s="6" t="str">
        <f>_xlfn.XLOOKUP(C243,Tab_Def_Flows[Flow_Name],Tab_Def_Flows[Use_E2],,0,)</f>
        <v>Yes</v>
      </c>
      <c r="F243" s="6" t="str">
        <f>_xlfn.XLOOKUP(C243,Tab_Def_Flows[Flow_Name],Tab_Def_Flows[Use_E3],,0,)</f>
        <v>Yes</v>
      </c>
      <c r="G243" s="6" t="str">
        <f>_xlfn.XLOOKUP(C243,Tab_Def_Flows[Flow_Name],Tab_Def_Flows[Use_E4],,0,)</f>
        <v>Yes</v>
      </c>
      <c r="H243" s="6" t="str">
        <f>_xlfn.XLOOKUP(C243,Tab_Def_Flows[Flow_Name],Tab_Def_Flows[Use_E5],,0,)</f>
        <v>Yes</v>
      </c>
      <c r="I243" s="6" t="str">
        <f>_xlfn.XLOOKUP(C243,Tab_Def_Flows[Flow_Name],Tab_Def_Flows[Use_E6],,0,)</f>
        <v>Yes</v>
      </c>
      <c r="J243" s="4"/>
      <c r="K243" s="18"/>
      <c r="L243" s="3" t="str">
        <f>'0_Configuration'!$C$41</f>
        <v>Mg</v>
      </c>
      <c r="M243" s="10"/>
      <c r="N243" s="23" t="s">
        <v>3</v>
      </c>
      <c r="O243" s="11"/>
      <c r="P243" s="4"/>
      <c r="Q243" s="10"/>
      <c r="R243" s="3">
        <f>_xlfn.XLOOKUP(Tab_Data_Flows[[#This Row],[Flow_Name]],Tab_Def_Flows[Flow_Name],Tab_Def_Flows[Flow_E1_Fraction'[%']],"N.A.",0,1)</f>
        <v>0</v>
      </c>
      <c r="S243" s="9">
        <f t="shared" si="6"/>
        <v>0</v>
      </c>
      <c r="T243" s="3" t="str">
        <f>Tab_Data_Flows[[#This Row],[UoM_Source]]</f>
        <v>Mg</v>
      </c>
      <c r="U243" s="24">
        <f>_xlfn.XLOOKUP(Tab_Data_Flows[[#This Row],[Flow_Name]],Tab_Def_Flows[Flow_Name],Tab_Def_Flows[Flow_E2_Fraction'[%']],"N.A.",0,1)</f>
        <v>0</v>
      </c>
      <c r="V243" s="3">
        <f>IF(D243="Yes",S243*Tab_Data_Flows[[#This Row],[E2_Fraction'[%']]],"N.A.")</f>
        <v>0</v>
      </c>
      <c r="W243" s="3" t="str">
        <f>Tab_Data_Flows[[#This Row],[E1_UoM]]</f>
        <v>Mg</v>
      </c>
      <c r="X243" s="24">
        <f>_xlfn.XLOOKUP(Tab_Data_Flows[[#This Row],[Flow_Name]],Tab_Def_Flows[Flow_Name],Tab_Def_Flows[Flow_E3_Fraction'[%']],"N.A.",0,1)</f>
        <v>0</v>
      </c>
      <c r="Y243" s="3">
        <f>IF(E243="Yes",X243*Tab_Data_Flows[[#This Row],[E1_value]],"N.A.")</f>
        <v>0</v>
      </c>
      <c r="Z243" s="3" t="str">
        <f>Tab_Data_Flows[[#This Row],[E1_UoM]]</f>
        <v>Mg</v>
      </c>
      <c r="AA243" s="24">
        <f>_xlfn.XLOOKUP(Tab_Data_Flows[[#This Row],[Flow_Name]],Tab_Def_Flows[Flow_Name],Tab_Def_Flows[Flow_E4_Fraction'[%']],"N.A.",0,1)</f>
        <v>0</v>
      </c>
      <c r="AB243" s="3">
        <f>IF(H243="Yes",Tab_Data_Flows[[#This Row],[E4_Fraction'[%']]]*Tab_Data_Flows[[#This Row],[E1_value]],"N.A.")</f>
        <v>0</v>
      </c>
      <c r="AC243" s="3" t="str">
        <f>Tab_Data_Flows[[#This Row],[E1_UoM]]</f>
        <v>Mg</v>
      </c>
      <c r="AD243" s="24">
        <f>_xlfn.XLOOKUP(Tab_Data_Flows[[#This Row],[Flow_Name]],Tab_Def_Flows[Flow_Name],Tab_Def_Flows[Flow_E5_Fraction'[%']],"N.A.",0,1)</f>
        <v>0</v>
      </c>
      <c r="AE243" s="3">
        <f>IF(H243="Yes",Tab_Data_Flows[[#This Row],[E5_Fraction'[%']]]*Tab_Data_Flows[[#This Row],[E1_value]],"N.A.")</f>
        <v>0</v>
      </c>
      <c r="AF243" s="3" t="str">
        <f>Tab_Data_Flows[[#This Row],[E1_UoM]]</f>
        <v>Mg</v>
      </c>
      <c r="AG243" s="24">
        <f>_xlfn.XLOOKUP(Tab_Data_Flows[[#This Row],[Flow_Name]],Tab_Def_Flows[Flow_Name],Tab_Def_Flows[Flow_E6_Fraction'[%']],"N.A.",0,1)</f>
        <v>0</v>
      </c>
      <c r="AH243" s="3">
        <f>IF(Tab_Data_Flows[[#This Row],[Use_E6]]="Yes",Tab_Data_Flows[[#This Row],[E6_Fraction'[%']]]*Tab_Data_Flows[[#This Row],[E1_value]],"N.A.")</f>
        <v>0</v>
      </c>
      <c r="AI243" s="3" t="str">
        <f>Tab_Data_Flows[[#This Row],[E1_UoM]]</f>
        <v>Mg</v>
      </c>
    </row>
    <row r="244" spans="1:35" x14ac:dyDescent="0.25">
      <c r="A244" s="5">
        <f t="shared" si="7"/>
        <v>243</v>
      </c>
      <c r="B244" s="3" t="str">
        <f>_xlfn.XLOOKUP(C244,Tab_Def_Flows[Flow_Name],Tab_Def_Flows[Flow_ID],,0,)</f>
        <v>F__</v>
      </c>
      <c r="C244" s="23" t="s">
        <v>5</v>
      </c>
      <c r="D244" s="6" t="str">
        <f>_xlfn.XLOOKUP(C244,Tab_Def_Flows[Flow_Name],Tab_Def_Flows[Use_E1],,0,)</f>
        <v>Yes</v>
      </c>
      <c r="E244" s="6" t="str">
        <f>_xlfn.XLOOKUP(C244,Tab_Def_Flows[Flow_Name],Tab_Def_Flows[Use_E2],,0,)</f>
        <v>Yes</v>
      </c>
      <c r="F244" s="6" t="str">
        <f>_xlfn.XLOOKUP(C244,Tab_Def_Flows[Flow_Name],Tab_Def_Flows[Use_E3],,0,)</f>
        <v>Yes</v>
      </c>
      <c r="G244" s="6" t="str">
        <f>_xlfn.XLOOKUP(C244,Tab_Def_Flows[Flow_Name],Tab_Def_Flows[Use_E4],,0,)</f>
        <v>Yes</v>
      </c>
      <c r="H244" s="6" t="str">
        <f>_xlfn.XLOOKUP(C244,Tab_Def_Flows[Flow_Name],Tab_Def_Flows[Use_E5],,0,)</f>
        <v>Yes</v>
      </c>
      <c r="I244" s="6" t="str">
        <f>_xlfn.XLOOKUP(C244,Tab_Def_Flows[Flow_Name],Tab_Def_Flows[Use_E6],,0,)</f>
        <v>Yes</v>
      </c>
      <c r="J244" s="4"/>
      <c r="K244" s="18"/>
      <c r="L244" s="3" t="str">
        <f>'0_Configuration'!$C$41</f>
        <v>Mg</v>
      </c>
      <c r="M244" s="10"/>
      <c r="N244" s="23" t="s">
        <v>3</v>
      </c>
      <c r="O244" s="11"/>
      <c r="P244" s="4"/>
      <c r="Q244" s="10"/>
      <c r="R244" s="3">
        <f>_xlfn.XLOOKUP(Tab_Data_Flows[[#This Row],[Flow_Name]],Tab_Def_Flows[Flow_Name],Tab_Def_Flows[Flow_E1_Fraction'[%']],"N.A.",0,1)</f>
        <v>0</v>
      </c>
      <c r="S244" s="9">
        <f t="shared" si="6"/>
        <v>0</v>
      </c>
      <c r="T244" s="3" t="str">
        <f>Tab_Data_Flows[[#This Row],[UoM_Source]]</f>
        <v>Mg</v>
      </c>
      <c r="U244" s="24">
        <f>_xlfn.XLOOKUP(Tab_Data_Flows[[#This Row],[Flow_Name]],Tab_Def_Flows[Flow_Name],Tab_Def_Flows[Flow_E2_Fraction'[%']],"N.A.",0,1)</f>
        <v>0</v>
      </c>
      <c r="V244" s="3">
        <f>IF(D244="Yes",S244*Tab_Data_Flows[[#This Row],[E2_Fraction'[%']]],"N.A.")</f>
        <v>0</v>
      </c>
      <c r="W244" s="3" t="str">
        <f>Tab_Data_Flows[[#This Row],[E1_UoM]]</f>
        <v>Mg</v>
      </c>
      <c r="X244" s="24">
        <f>_xlfn.XLOOKUP(Tab_Data_Flows[[#This Row],[Flow_Name]],Tab_Def_Flows[Flow_Name],Tab_Def_Flows[Flow_E3_Fraction'[%']],"N.A.",0,1)</f>
        <v>0</v>
      </c>
      <c r="Y244" s="3">
        <f>IF(E244="Yes",X244*Tab_Data_Flows[[#This Row],[E1_value]],"N.A.")</f>
        <v>0</v>
      </c>
      <c r="Z244" s="3" t="str">
        <f>Tab_Data_Flows[[#This Row],[E1_UoM]]</f>
        <v>Mg</v>
      </c>
      <c r="AA244" s="24">
        <f>_xlfn.XLOOKUP(Tab_Data_Flows[[#This Row],[Flow_Name]],Tab_Def_Flows[Flow_Name],Tab_Def_Flows[Flow_E4_Fraction'[%']],"N.A.",0,1)</f>
        <v>0</v>
      </c>
      <c r="AB244" s="3">
        <f>IF(H244="Yes",Tab_Data_Flows[[#This Row],[E4_Fraction'[%']]]*Tab_Data_Flows[[#This Row],[E1_value]],"N.A.")</f>
        <v>0</v>
      </c>
      <c r="AC244" s="3" t="str">
        <f>Tab_Data_Flows[[#This Row],[E1_UoM]]</f>
        <v>Mg</v>
      </c>
      <c r="AD244" s="24">
        <f>_xlfn.XLOOKUP(Tab_Data_Flows[[#This Row],[Flow_Name]],Tab_Def_Flows[Flow_Name],Tab_Def_Flows[Flow_E5_Fraction'[%']],"N.A.",0,1)</f>
        <v>0</v>
      </c>
      <c r="AE244" s="3">
        <f>IF(H244="Yes",Tab_Data_Flows[[#This Row],[E5_Fraction'[%']]]*Tab_Data_Flows[[#This Row],[E1_value]],"N.A.")</f>
        <v>0</v>
      </c>
      <c r="AF244" s="3" t="str">
        <f>Tab_Data_Flows[[#This Row],[E1_UoM]]</f>
        <v>Mg</v>
      </c>
      <c r="AG244" s="24">
        <f>_xlfn.XLOOKUP(Tab_Data_Flows[[#This Row],[Flow_Name]],Tab_Def_Flows[Flow_Name],Tab_Def_Flows[Flow_E6_Fraction'[%']],"N.A.",0,1)</f>
        <v>0</v>
      </c>
      <c r="AH244" s="3">
        <f>IF(Tab_Data_Flows[[#This Row],[Use_E6]]="Yes",Tab_Data_Flows[[#This Row],[E6_Fraction'[%']]]*Tab_Data_Flows[[#This Row],[E1_value]],"N.A.")</f>
        <v>0</v>
      </c>
      <c r="AI244" s="3" t="str">
        <f>Tab_Data_Flows[[#This Row],[E1_UoM]]</f>
        <v>Mg</v>
      </c>
    </row>
    <row r="245" spans="1:35" x14ac:dyDescent="0.25">
      <c r="A245" s="5">
        <f t="shared" si="7"/>
        <v>244</v>
      </c>
      <c r="B245" s="3" t="str">
        <f>_xlfn.XLOOKUP(C245,Tab_Def_Flows[Flow_Name],Tab_Def_Flows[Flow_ID],,0,)</f>
        <v>F__</v>
      </c>
      <c r="C245" s="23" t="s">
        <v>5</v>
      </c>
      <c r="D245" s="6" t="str">
        <f>_xlfn.XLOOKUP(C245,Tab_Def_Flows[Flow_Name],Tab_Def_Flows[Use_E1],,0,)</f>
        <v>Yes</v>
      </c>
      <c r="E245" s="6" t="str">
        <f>_xlfn.XLOOKUP(C245,Tab_Def_Flows[Flow_Name],Tab_Def_Flows[Use_E2],,0,)</f>
        <v>Yes</v>
      </c>
      <c r="F245" s="6" t="str">
        <f>_xlfn.XLOOKUP(C245,Tab_Def_Flows[Flow_Name],Tab_Def_Flows[Use_E3],,0,)</f>
        <v>Yes</v>
      </c>
      <c r="G245" s="6" t="str">
        <f>_xlfn.XLOOKUP(C245,Tab_Def_Flows[Flow_Name],Tab_Def_Flows[Use_E4],,0,)</f>
        <v>Yes</v>
      </c>
      <c r="H245" s="6" t="str">
        <f>_xlfn.XLOOKUP(C245,Tab_Def_Flows[Flow_Name],Tab_Def_Flows[Use_E5],,0,)</f>
        <v>Yes</v>
      </c>
      <c r="I245" s="6" t="str">
        <f>_xlfn.XLOOKUP(C245,Tab_Def_Flows[Flow_Name],Tab_Def_Flows[Use_E6],,0,)</f>
        <v>Yes</v>
      </c>
      <c r="J245" s="4"/>
      <c r="K245" s="18"/>
      <c r="L245" s="3" t="str">
        <f>'0_Configuration'!$C$41</f>
        <v>Mg</v>
      </c>
      <c r="M245" s="10"/>
      <c r="N245" s="23" t="s">
        <v>3</v>
      </c>
      <c r="O245" s="11"/>
      <c r="P245" s="4"/>
      <c r="Q245" s="10"/>
      <c r="R245" s="3">
        <f>_xlfn.XLOOKUP(Tab_Data_Flows[[#This Row],[Flow_Name]],Tab_Def_Flows[Flow_Name],Tab_Def_Flows[Flow_E1_Fraction'[%']],"N.A.",0,1)</f>
        <v>0</v>
      </c>
      <c r="S245" s="9">
        <f t="shared" si="6"/>
        <v>0</v>
      </c>
      <c r="T245" s="3" t="str">
        <f>Tab_Data_Flows[[#This Row],[UoM_Source]]</f>
        <v>Mg</v>
      </c>
      <c r="U245" s="24">
        <f>_xlfn.XLOOKUP(Tab_Data_Flows[[#This Row],[Flow_Name]],Tab_Def_Flows[Flow_Name],Tab_Def_Flows[Flow_E2_Fraction'[%']],"N.A.",0,1)</f>
        <v>0</v>
      </c>
      <c r="V245" s="3">
        <f>IF(D245="Yes",S245*Tab_Data_Flows[[#This Row],[E2_Fraction'[%']]],"N.A.")</f>
        <v>0</v>
      </c>
      <c r="W245" s="3" t="str">
        <f>Tab_Data_Flows[[#This Row],[E1_UoM]]</f>
        <v>Mg</v>
      </c>
      <c r="X245" s="24">
        <f>_xlfn.XLOOKUP(Tab_Data_Flows[[#This Row],[Flow_Name]],Tab_Def_Flows[Flow_Name],Tab_Def_Flows[Flow_E3_Fraction'[%']],"N.A.",0,1)</f>
        <v>0</v>
      </c>
      <c r="Y245" s="3">
        <f>IF(E245="Yes",X245*Tab_Data_Flows[[#This Row],[E1_value]],"N.A.")</f>
        <v>0</v>
      </c>
      <c r="Z245" s="3" t="str">
        <f>Tab_Data_Flows[[#This Row],[E1_UoM]]</f>
        <v>Mg</v>
      </c>
      <c r="AA245" s="24">
        <f>_xlfn.XLOOKUP(Tab_Data_Flows[[#This Row],[Flow_Name]],Tab_Def_Flows[Flow_Name],Tab_Def_Flows[Flow_E4_Fraction'[%']],"N.A.",0,1)</f>
        <v>0</v>
      </c>
      <c r="AB245" s="3">
        <f>IF(H245="Yes",Tab_Data_Flows[[#This Row],[E4_Fraction'[%']]]*Tab_Data_Flows[[#This Row],[E1_value]],"N.A.")</f>
        <v>0</v>
      </c>
      <c r="AC245" s="3" t="str">
        <f>Tab_Data_Flows[[#This Row],[E1_UoM]]</f>
        <v>Mg</v>
      </c>
      <c r="AD245" s="24">
        <f>_xlfn.XLOOKUP(Tab_Data_Flows[[#This Row],[Flow_Name]],Tab_Def_Flows[Flow_Name],Tab_Def_Flows[Flow_E5_Fraction'[%']],"N.A.",0,1)</f>
        <v>0</v>
      </c>
      <c r="AE245" s="3">
        <f>IF(H245="Yes",Tab_Data_Flows[[#This Row],[E5_Fraction'[%']]]*Tab_Data_Flows[[#This Row],[E1_value]],"N.A.")</f>
        <v>0</v>
      </c>
      <c r="AF245" s="3" t="str">
        <f>Tab_Data_Flows[[#This Row],[E1_UoM]]</f>
        <v>Mg</v>
      </c>
      <c r="AG245" s="24">
        <f>_xlfn.XLOOKUP(Tab_Data_Flows[[#This Row],[Flow_Name]],Tab_Def_Flows[Flow_Name],Tab_Def_Flows[Flow_E6_Fraction'[%']],"N.A.",0,1)</f>
        <v>0</v>
      </c>
      <c r="AH245" s="3">
        <f>IF(Tab_Data_Flows[[#This Row],[Use_E6]]="Yes",Tab_Data_Flows[[#This Row],[E6_Fraction'[%']]]*Tab_Data_Flows[[#This Row],[E1_value]],"N.A.")</f>
        <v>0</v>
      </c>
      <c r="AI245" s="3" t="str">
        <f>Tab_Data_Flows[[#This Row],[E1_UoM]]</f>
        <v>Mg</v>
      </c>
    </row>
    <row r="246" spans="1:35" x14ac:dyDescent="0.25">
      <c r="A246" s="5">
        <f t="shared" si="7"/>
        <v>245</v>
      </c>
      <c r="B246" s="3" t="str">
        <f>_xlfn.XLOOKUP(C246,Tab_Def_Flows[Flow_Name],Tab_Def_Flows[Flow_ID],,0,)</f>
        <v>F__</v>
      </c>
      <c r="C246" s="23" t="s">
        <v>5</v>
      </c>
      <c r="D246" s="6" t="str">
        <f>_xlfn.XLOOKUP(C246,Tab_Def_Flows[Flow_Name],Tab_Def_Flows[Use_E1],,0,)</f>
        <v>Yes</v>
      </c>
      <c r="E246" s="6" t="str">
        <f>_xlfn.XLOOKUP(C246,Tab_Def_Flows[Flow_Name],Tab_Def_Flows[Use_E2],,0,)</f>
        <v>Yes</v>
      </c>
      <c r="F246" s="6" t="str">
        <f>_xlfn.XLOOKUP(C246,Tab_Def_Flows[Flow_Name],Tab_Def_Flows[Use_E3],,0,)</f>
        <v>Yes</v>
      </c>
      <c r="G246" s="6" t="str">
        <f>_xlfn.XLOOKUP(C246,Tab_Def_Flows[Flow_Name],Tab_Def_Flows[Use_E4],,0,)</f>
        <v>Yes</v>
      </c>
      <c r="H246" s="6" t="str">
        <f>_xlfn.XLOOKUP(C246,Tab_Def_Flows[Flow_Name],Tab_Def_Flows[Use_E5],,0,)</f>
        <v>Yes</v>
      </c>
      <c r="I246" s="6" t="str">
        <f>_xlfn.XLOOKUP(C246,Tab_Def_Flows[Flow_Name],Tab_Def_Flows[Use_E6],,0,)</f>
        <v>Yes</v>
      </c>
      <c r="J246" s="4"/>
      <c r="K246" s="18"/>
      <c r="L246" s="3" t="str">
        <f>'0_Configuration'!$C$41</f>
        <v>Mg</v>
      </c>
      <c r="M246" s="10"/>
      <c r="N246" s="23" t="s">
        <v>3</v>
      </c>
      <c r="O246" s="11"/>
      <c r="P246" s="4"/>
      <c r="Q246" s="10"/>
      <c r="R246" s="3">
        <f>_xlfn.XLOOKUP(Tab_Data_Flows[[#This Row],[Flow_Name]],Tab_Def_Flows[Flow_Name],Tab_Def_Flows[Flow_E1_Fraction'[%']],"N.A.",0,1)</f>
        <v>0</v>
      </c>
      <c r="S246" s="9">
        <f t="shared" si="6"/>
        <v>0</v>
      </c>
      <c r="T246" s="3" t="str">
        <f>Tab_Data_Flows[[#This Row],[UoM_Source]]</f>
        <v>Mg</v>
      </c>
      <c r="U246" s="24">
        <f>_xlfn.XLOOKUP(Tab_Data_Flows[[#This Row],[Flow_Name]],Tab_Def_Flows[Flow_Name],Tab_Def_Flows[Flow_E2_Fraction'[%']],"N.A.",0,1)</f>
        <v>0</v>
      </c>
      <c r="V246" s="3">
        <f>IF(D246="Yes",S246*Tab_Data_Flows[[#This Row],[E2_Fraction'[%']]],"N.A.")</f>
        <v>0</v>
      </c>
      <c r="W246" s="3" t="str">
        <f>Tab_Data_Flows[[#This Row],[E1_UoM]]</f>
        <v>Mg</v>
      </c>
      <c r="X246" s="24">
        <f>_xlfn.XLOOKUP(Tab_Data_Flows[[#This Row],[Flow_Name]],Tab_Def_Flows[Flow_Name],Tab_Def_Flows[Flow_E3_Fraction'[%']],"N.A.",0,1)</f>
        <v>0</v>
      </c>
      <c r="Y246" s="3">
        <f>IF(E246="Yes",X246*Tab_Data_Flows[[#This Row],[E1_value]],"N.A.")</f>
        <v>0</v>
      </c>
      <c r="Z246" s="3" t="str">
        <f>Tab_Data_Flows[[#This Row],[E1_UoM]]</f>
        <v>Mg</v>
      </c>
      <c r="AA246" s="24">
        <f>_xlfn.XLOOKUP(Tab_Data_Flows[[#This Row],[Flow_Name]],Tab_Def_Flows[Flow_Name],Tab_Def_Flows[Flow_E4_Fraction'[%']],"N.A.",0,1)</f>
        <v>0</v>
      </c>
      <c r="AB246" s="3">
        <f>IF(H246="Yes",Tab_Data_Flows[[#This Row],[E4_Fraction'[%']]]*Tab_Data_Flows[[#This Row],[E1_value]],"N.A.")</f>
        <v>0</v>
      </c>
      <c r="AC246" s="3" t="str">
        <f>Tab_Data_Flows[[#This Row],[E1_UoM]]</f>
        <v>Mg</v>
      </c>
      <c r="AD246" s="24">
        <f>_xlfn.XLOOKUP(Tab_Data_Flows[[#This Row],[Flow_Name]],Tab_Def_Flows[Flow_Name],Tab_Def_Flows[Flow_E5_Fraction'[%']],"N.A.",0,1)</f>
        <v>0</v>
      </c>
      <c r="AE246" s="3">
        <f>IF(H246="Yes",Tab_Data_Flows[[#This Row],[E5_Fraction'[%']]]*Tab_Data_Flows[[#This Row],[E1_value]],"N.A.")</f>
        <v>0</v>
      </c>
      <c r="AF246" s="3" t="str">
        <f>Tab_Data_Flows[[#This Row],[E1_UoM]]</f>
        <v>Mg</v>
      </c>
      <c r="AG246" s="24">
        <f>_xlfn.XLOOKUP(Tab_Data_Flows[[#This Row],[Flow_Name]],Tab_Def_Flows[Flow_Name],Tab_Def_Flows[Flow_E6_Fraction'[%']],"N.A.",0,1)</f>
        <v>0</v>
      </c>
      <c r="AH246" s="3">
        <f>IF(Tab_Data_Flows[[#This Row],[Use_E6]]="Yes",Tab_Data_Flows[[#This Row],[E6_Fraction'[%']]]*Tab_Data_Flows[[#This Row],[E1_value]],"N.A.")</f>
        <v>0</v>
      </c>
      <c r="AI246" s="3" t="str">
        <f>Tab_Data_Flows[[#This Row],[E1_UoM]]</f>
        <v>Mg</v>
      </c>
    </row>
    <row r="247" spans="1:35" x14ac:dyDescent="0.25">
      <c r="A247" s="5">
        <f t="shared" si="7"/>
        <v>246</v>
      </c>
      <c r="B247" s="3" t="str">
        <f>_xlfn.XLOOKUP(C247,Tab_Def_Flows[Flow_Name],Tab_Def_Flows[Flow_ID],,0,)</f>
        <v>F__</v>
      </c>
      <c r="C247" s="23" t="s">
        <v>5</v>
      </c>
      <c r="D247" s="6" t="str">
        <f>_xlfn.XLOOKUP(C247,Tab_Def_Flows[Flow_Name],Tab_Def_Flows[Use_E1],,0,)</f>
        <v>Yes</v>
      </c>
      <c r="E247" s="6" t="str">
        <f>_xlfn.XLOOKUP(C247,Tab_Def_Flows[Flow_Name],Tab_Def_Flows[Use_E2],,0,)</f>
        <v>Yes</v>
      </c>
      <c r="F247" s="6" t="str">
        <f>_xlfn.XLOOKUP(C247,Tab_Def_Flows[Flow_Name],Tab_Def_Flows[Use_E3],,0,)</f>
        <v>Yes</v>
      </c>
      <c r="G247" s="6" t="str">
        <f>_xlfn.XLOOKUP(C247,Tab_Def_Flows[Flow_Name],Tab_Def_Flows[Use_E4],,0,)</f>
        <v>Yes</v>
      </c>
      <c r="H247" s="6" t="str">
        <f>_xlfn.XLOOKUP(C247,Tab_Def_Flows[Flow_Name],Tab_Def_Flows[Use_E5],,0,)</f>
        <v>Yes</v>
      </c>
      <c r="I247" s="6" t="str">
        <f>_xlfn.XLOOKUP(C247,Tab_Def_Flows[Flow_Name],Tab_Def_Flows[Use_E6],,0,)</f>
        <v>Yes</v>
      </c>
      <c r="J247" s="4"/>
      <c r="K247" s="18"/>
      <c r="L247" s="3" t="str">
        <f>'0_Configuration'!$C$41</f>
        <v>Mg</v>
      </c>
      <c r="M247" s="10"/>
      <c r="N247" s="23" t="s">
        <v>3</v>
      </c>
      <c r="O247" s="11"/>
      <c r="P247" s="4"/>
      <c r="Q247" s="10"/>
      <c r="R247" s="3">
        <f>_xlfn.XLOOKUP(Tab_Data_Flows[[#This Row],[Flow_Name]],Tab_Def_Flows[Flow_Name],Tab_Def_Flows[Flow_E1_Fraction'[%']],"N.A.",0,1)</f>
        <v>0</v>
      </c>
      <c r="S247" s="9">
        <f t="shared" si="6"/>
        <v>0</v>
      </c>
      <c r="T247" s="3" t="str">
        <f>Tab_Data_Flows[[#This Row],[UoM_Source]]</f>
        <v>Mg</v>
      </c>
      <c r="U247" s="24">
        <f>_xlfn.XLOOKUP(Tab_Data_Flows[[#This Row],[Flow_Name]],Tab_Def_Flows[Flow_Name],Tab_Def_Flows[Flow_E2_Fraction'[%']],"N.A.",0,1)</f>
        <v>0</v>
      </c>
      <c r="V247" s="3">
        <f>IF(D247="Yes",S247*Tab_Data_Flows[[#This Row],[E2_Fraction'[%']]],"N.A.")</f>
        <v>0</v>
      </c>
      <c r="W247" s="3" t="str">
        <f>Tab_Data_Flows[[#This Row],[E1_UoM]]</f>
        <v>Mg</v>
      </c>
      <c r="X247" s="24">
        <f>_xlfn.XLOOKUP(Tab_Data_Flows[[#This Row],[Flow_Name]],Tab_Def_Flows[Flow_Name],Tab_Def_Flows[Flow_E3_Fraction'[%']],"N.A.",0,1)</f>
        <v>0</v>
      </c>
      <c r="Y247" s="3">
        <f>IF(E247="Yes",X247*Tab_Data_Flows[[#This Row],[E1_value]],"N.A.")</f>
        <v>0</v>
      </c>
      <c r="Z247" s="3" t="str">
        <f>Tab_Data_Flows[[#This Row],[E1_UoM]]</f>
        <v>Mg</v>
      </c>
      <c r="AA247" s="24">
        <f>_xlfn.XLOOKUP(Tab_Data_Flows[[#This Row],[Flow_Name]],Tab_Def_Flows[Flow_Name],Tab_Def_Flows[Flow_E4_Fraction'[%']],"N.A.",0,1)</f>
        <v>0</v>
      </c>
      <c r="AB247" s="3">
        <f>IF(H247="Yes",Tab_Data_Flows[[#This Row],[E4_Fraction'[%']]]*Tab_Data_Flows[[#This Row],[E1_value]],"N.A.")</f>
        <v>0</v>
      </c>
      <c r="AC247" s="3" t="str">
        <f>Tab_Data_Flows[[#This Row],[E1_UoM]]</f>
        <v>Mg</v>
      </c>
      <c r="AD247" s="24">
        <f>_xlfn.XLOOKUP(Tab_Data_Flows[[#This Row],[Flow_Name]],Tab_Def_Flows[Flow_Name],Tab_Def_Flows[Flow_E5_Fraction'[%']],"N.A.",0,1)</f>
        <v>0</v>
      </c>
      <c r="AE247" s="3">
        <f>IF(H247="Yes",Tab_Data_Flows[[#This Row],[E5_Fraction'[%']]]*Tab_Data_Flows[[#This Row],[E1_value]],"N.A.")</f>
        <v>0</v>
      </c>
      <c r="AF247" s="3" t="str">
        <f>Tab_Data_Flows[[#This Row],[E1_UoM]]</f>
        <v>Mg</v>
      </c>
      <c r="AG247" s="24">
        <f>_xlfn.XLOOKUP(Tab_Data_Flows[[#This Row],[Flow_Name]],Tab_Def_Flows[Flow_Name],Tab_Def_Flows[Flow_E6_Fraction'[%']],"N.A.",0,1)</f>
        <v>0</v>
      </c>
      <c r="AH247" s="3">
        <f>IF(Tab_Data_Flows[[#This Row],[Use_E6]]="Yes",Tab_Data_Flows[[#This Row],[E6_Fraction'[%']]]*Tab_Data_Flows[[#This Row],[E1_value]],"N.A.")</f>
        <v>0</v>
      </c>
      <c r="AI247" s="3" t="str">
        <f>Tab_Data_Flows[[#This Row],[E1_UoM]]</f>
        <v>Mg</v>
      </c>
    </row>
    <row r="248" spans="1:35" x14ac:dyDescent="0.25">
      <c r="A248" s="5">
        <f t="shared" si="7"/>
        <v>247</v>
      </c>
      <c r="B248" s="3" t="str">
        <f>_xlfn.XLOOKUP(C248,Tab_Def_Flows[Flow_Name],Tab_Def_Flows[Flow_ID],,0,)</f>
        <v>F__</v>
      </c>
      <c r="C248" s="23" t="s">
        <v>5</v>
      </c>
      <c r="D248" s="6" t="str">
        <f>_xlfn.XLOOKUP(C248,Tab_Def_Flows[Flow_Name],Tab_Def_Flows[Use_E1],,0,)</f>
        <v>Yes</v>
      </c>
      <c r="E248" s="6" t="str">
        <f>_xlfn.XLOOKUP(C248,Tab_Def_Flows[Flow_Name],Tab_Def_Flows[Use_E2],,0,)</f>
        <v>Yes</v>
      </c>
      <c r="F248" s="6" t="str">
        <f>_xlfn.XLOOKUP(C248,Tab_Def_Flows[Flow_Name],Tab_Def_Flows[Use_E3],,0,)</f>
        <v>Yes</v>
      </c>
      <c r="G248" s="6" t="str">
        <f>_xlfn.XLOOKUP(C248,Tab_Def_Flows[Flow_Name],Tab_Def_Flows[Use_E4],,0,)</f>
        <v>Yes</v>
      </c>
      <c r="H248" s="6" t="str">
        <f>_xlfn.XLOOKUP(C248,Tab_Def_Flows[Flow_Name],Tab_Def_Flows[Use_E5],,0,)</f>
        <v>Yes</v>
      </c>
      <c r="I248" s="6" t="str">
        <f>_xlfn.XLOOKUP(C248,Tab_Def_Flows[Flow_Name],Tab_Def_Flows[Use_E6],,0,)</f>
        <v>Yes</v>
      </c>
      <c r="J248" s="4"/>
      <c r="K248" s="18"/>
      <c r="L248" s="3" t="str">
        <f>'0_Configuration'!$C$41</f>
        <v>Mg</v>
      </c>
      <c r="M248" s="10"/>
      <c r="N248" s="23" t="s">
        <v>3</v>
      </c>
      <c r="O248" s="11"/>
      <c r="P248" s="4"/>
      <c r="Q248" s="10"/>
      <c r="R248" s="3">
        <f>_xlfn.XLOOKUP(Tab_Data_Flows[[#This Row],[Flow_Name]],Tab_Def_Flows[Flow_Name],Tab_Def_Flows[Flow_E1_Fraction'[%']],"N.A.",0,1)</f>
        <v>0</v>
      </c>
      <c r="S248" s="9">
        <f t="shared" si="6"/>
        <v>0</v>
      </c>
      <c r="T248" s="3" t="str">
        <f>Tab_Data_Flows[[#This Row],[UoM_Source]]</f>
        <v>Mg</v>
      </c>
      <c r="U248" s="24">
        <f>_xlfn.XLOOKUP(Tab_Data_Flows[[#This Row],[Flow_Name]],Tab_Def_Flows[Flow_Name],Tab_Def_Flows[Flow_E2_Fraction'[%']],"N.A.",0,1)</f>
        <v>0</v>
      </c>
      <c r="V248" s="3">
        <f>IF(D248="Yes",S248*Tab_Data_Flows[[#This Row],[E2_Fraction'[%']]],"N.A.")</f>
        <v>0</v>
      </c>
      <c r="W248" s="3" t="str">
        <f>Tab_Data_Flows[[#This Row],[E1_UoM]]</f>
        <v>Mg</v>
      </c>
      <c r="X248" s="24">
        <f>_xlfn.XLOOKUP(Tab_Data_Flows[[#This Row],[Flow_Name]],Tab_Def_Flows[Flow_Name],Tab_Def_Flows[Flow_E3_Fraction'[%']],"N.A.",0,1)</f>
        <v>0</v>
      </c>
      <c r="Y248" s="3">
        <f>IF(E248="Yes",X248*Tab_Data_Flows[[#This Row],[E1_value]],"N.A.")</f>
        <v>0</v>
      </c>
      <c r="Z248" s="3" t="str">
        <f>Tab_Data_Flows[[#This Row],[E1_UoM]]</f>
        <v>Mg</v>
      </c>
      <c r="AA248" s="24">
        <f>_xlfn.XLOOKUP(Tab_Data_Flows[[#This Row],[Flow_Name]],Tab_Def_Flows[Flow_Name],Tab_Def_Flows[Flow_E4_Fraction'[%']],"N.A.",0,1)</f>
        <v>0</v>
      </c>
      <c r="AB248" s="3">
        <f>IF(H248="Yes",Tab_Data_Flows[[#This Row],[E4_Fraction'[%']]]*Tab_Data_Flows[[#This Row],[E1_value]],"N.A.")</f>
        <v>0</v>
      </c>
      <c r="AC248" s="3" t="str">
        <f>Tab_Data_Flows[[#This Row],[E1_UoM]]</f>
        <v>Mg</v>
      </c>
      <c r="AD248" s="24">
        <f>_xlfn.XLOOKUP(Tab_Data_Flows[[#This Row],[Flow_Name]],Tab_Def_Flows[Flow_Name],Tab_Def_Flows[Flow_E5_Fraction'[%']],"N.A.",0,1)</f>
        <v>0</v>
      </c>
      <c r="AE248" s="3">
        <f>IF(H248="Yes",Tab_Data_Flows[[#This Row],[E5_Fraction'[%']]]*Tab_Data_Flows[[#This Row],[E1_value]],"N.A.")</f>
        <v>0</v>
      </c>
      <c r="AF248" s="3" t="str">
        <f>Tab_Data_Flows[[#This Row],[E1_UoM]]</f>
        <v>Mg</v>
      </c>
      <c r="AG248" s="24">
        <f>_xlfn.XLOOKUP(Tab_Data_Flows[[#This Row],[Flow_Name]],Tab_Def_Flows[Flow_Name],Tab_Def_Flows[Flow_E6_Fraction'[%']],"N.A.",0,1)</f>
        <v>0</v>
      </c>
      <c r="AH248" s="3">
        <f>IF(Tab_Data_Flows[[#This Row],[Use_E6]]="Yes",Tab_Data_Flows[[#This Row],[E6_Fraction'[%']]]*Tab_Data_Flows[[#This Row],[E1_value]],"N.A.")</f>
        <v>0</v>
      </c>
      <c r="AI248" s="3" t="str">
        <f>Tab_Data_Flows[[#This Row],[E1_UoM]]</f>
        <v>Mg</v>
      </c>
    </row>
    <row r="249" spans="1:35" x14ac:dyDescent="0.25">
      <c r="A249" s="5">
        <f t="shared" si="7"/>
        <v>248</v>
      </c>
      <c r="B249" s="3" t="str">
        <f>_xlfn.XLOOKUP(C249,Tab_Def_Flows[Flow_Name],Tab_Def_Flows[Flow_ID],,0,)</f>
        <v>F__</v>
      </c>
      <c r="C249" s="23" t="s">
        <v>5</v>
      </c>
      <c r="D249" s="6" t="str">
        <f>_xlfn.XLOOKUP(C249,Tab_Def_Flows[Flow_Name],Tab_Def_Flows[Use_E1],,0,)</f>
        <v>Yes</v>
      </c>
      <c r="E249" s="6" t="str">
        <f>_xlfn.XLOOKUP(C249,Tab_Def_Flows[Flow_Name],Tab_Def_Flows[Use_E2],,0,)</f>
        <v>Yes</v>
      </c>
      <c r="F249" s="6" t="str">
        <f>_xlfn.XLOOKUP(C249,Tab_Def_Flows[Flow_Name],Tab_Def_Flows[Use_E3],,0,)</f>
        <v>Yes</v>
      </c>
      <c r="G249" s="6" t="str">
        <f>_xlfn.XLOOKUP(C249,Tab_Def_Flows[Flow_Name],Tab_Def_Flows[Use_E4],,0,)</f>
        <v>Yes</v>
      </c>
      <c r="H249" s="6" t="str">
        <f>_xlfn.XLOOKUP(C249,Tab_Def_Flows[Flow_Name],Tab_Def_Flows[Use_E5],,0,)</f>
        <v>Yes</v>
      </c>
      <c r="I249" s="6" t="str">
        <f>_xlfn.XLOOKUP(C249,Tab_Def_Flows[Flow_Name],Tab_Def_Flows[Use_E6],,0,)</f>
        <v>Yes</v>
      </c>
      <c r="J249" s="4"/>
      <c r="K249" s="18"/>
      <c r="L249" s="3" t="str">
        <f>'0_Configuration'!$C$41</f>
        <v>Mg</v>
      </c>
      <c r="M249" s="10"/>
      <c r="N249" s="23" t="s">
        <v>3</v>
      </c>
      <c r="O249" s="11"/>
      <c r="P249" s="4"/>
      <c r="Q249" s="10"/>
      <c r="R249" s="3">
        <f>_xlfn.XLOOKUP(Tab_Data_Flows[[#This Row],[Flow_Name]],Tab_Def_Flows[Flow_Name],Tab_Def_Flows[Flow_E1_Fraction'[%']],"N.A.",0,1)</f>
        <v>0</v>
      </c>
      <c r="S249" s="9">
        <f t="shared" si="6"/>
        <v>0</v>
      </c>
      <c r="T249" s="3" t="str">
        <f>Tab_Data_Flows[[#This Row],[UoM_Source]]</f>
        <v>Mg</v>
      </c>
      <c r="U249" s="24">
        <f>_xlfn.XLOOKUP(Tab_Data_Flows[[#This Row],[Flow_Name]],Tab_Def_Flows[Flow_Name],Tab_Def_Flows[Flow_E2_Fraction'[%']],"N.A.",0,1)</f>
        <v>0</v>
      </c>
      <c r="V249" s="3">
        <f>IF(D249="Yes",S249*Tab_Data_Flows[[#This Row],[E2_Fraction'[%']]],"N.A.")</f>
        <v>0</v>
      </c>
      <c r="W249" s="3" t="str">
        <f>Tab_Data_Flows[[#This Row],[E1_UoM]]</f>
        <v>Mg</v>
      </c>
      <c r="X249" s="24">
        <f>_xlfn.XLOOKUP(Tab_Data_Flows[[#This Row],[Flow_Name]],Tab_Def_Flows[Flow_Name],Tab_Def_Flows[Flow_E3_Fraction'[%']],"N.A.",0,1)</f>
        <v>0</v>
      </c>
      <c r="Y249" s="3">
        <f>IF(E249="Yes",X249*Tab_Data_Flows[[#This Row],[E1_value]],"N.A.")</f>
        <v>0</v>
      </c>
      <c r="Z249" s="3" t="str">
        <f>Tab_Data_Flows[[#This Row],[E1_UoM]]</f>
        <v>Mg</v>
      </c>
      <c r="AA249" s="24">
        <f>_xlfn.XLOOKUP(Tab_Data_Flows[[#This Row],[Flow_Name]],Tab_Def_Flows[Flow_Name],Tab_Def_Flows[Flow_E4_Fraction'[%']],"N.A.",0,1)</f>
        <v>0</v>
      </c>
      <c r="AB249" s="3">
        <f>IF(H249="Yes",Tab_Data_Flows[[#This Row],[E4_Fraction'[%']]]*Tab_Data_Flows[[#This Row],[E1_value]],"N.A.")</f>
        <v>0</v>
      </c>
      <c r="AC249" s="3" t="str">
        <f>Tab_Data_Flows[[#This Row],[E1_UoM]]</f>
        <v>Mg</v>
      </c>
      <c r="AD249" s="24">
        <f>_xlfn.XLOOKUP(Tab_Data_Flows[[#This Row],[Flow_Name]],Tab_Def_Flows[Flow_Name],Tab_Def_Flows[Flow_E5_Fraction'[%']],"N.A.",0,1)</f>
        <v>0</v>
      </c>
      <c r="AE249" s="3">
        <f>IF(H249="Yes",Tab_Data_Flows[[#This Row],[E5_Fraction'[%']]]*Tab_Data_Flows[[#This Row],[E1_value]],"N.A.")</f>
        <v>0</v>
      </c>
      <c r="AF249" s="3" t="str">
        <f>Tab_Data_Flows[[#This Row],[E1_UoM]]</f>
        <v>Mg</v>
      </c>
      <c r="AG249" s="24">
        <f>_xlfn.XLOOKUP(Tab_Data_Flows[[#This Row],[Flow_Name]],Tab_Def_Flows[Flow_Name],Tab_Def_Flows[Flow_E6_Fraction'[%']],"N.A.",0,1)</f>
        <v>0</v>
      </c>
      <c r="AH249" s="3">
        <f>IF(Tab_Data_Flows[[#This Row],[Use_E6]]="Yes",Tab_Data_Flows[[#This Row],[E6_Fraction'[%']]]*Tab_Data_Flows[[#This Row],[E1_value]],"N.A.")</f>
        <v>0</v>
      </c>
      <c r="AI249" s="3" t="str">
        <f>Tab_Data_Flows[[#This Row],[E1_UoM]]</f>
        <v>Mg</v>
      </c>
    </row>
    <row r="250" spans="1:35" x14ac:dyDescent="0.25">
      <c r="A250" s="5">
        <f t="shared" si="7"/>
        <v>249</v>
      </c>
      <c r="B250" s="3" t="str">
        <f>_xlfn.XLOOKUP(C250,Tab_Def_Flows[Flow_Name],Tab_Def_Flows[Flow_ID],,0,)</f>
        <v>F__</v>
      </c>
      <c r="C250" s="23" t="s">
        <v>5</v>
      </c>
      <c r="D250" s="6" t="str">
        <f>_xlfn.XLOOKUP(C250,Tab_Def_Flows[Flow_Name],Tab_Def_Flows[Use_E1],,0,)</f>
        <v>Yes</v>
      </c>
      <c r="E250" s="6" t="str">
        <f>_xlfn.XLOOKUP(C250,Tab_Def_Flows[Flow_Name],Tab_Def_Flows[Use_E2],,0,)</f>
        <v>Yes</v>
      </c>
      <c r="F250" s="6" t="str">
        <f>_xlfn.XLOOKUP(C250,Tab_Def_Flows[Flow_Name],Tab_Def_Flows[Use_E3],,0,)</f>
        <v>Yes</v>
      </c>
      <c r="G250" s="6" t="str">
        <f>_xlfn.XLOOKUP(C250,Tab_Def_Flows[Flow_Name],Tab_Def_Flows[Use_E4],,0,)</f>
        <v>Yes</v>
      </c>
      <c r="H250" s="6" t="str">
        <f>_xlfn.XLOOKUP(C250,Tab_Def_Flows[Flow_Name],Tab_Def_Flows[Use_E5],,0,)</f>
        <v>Yes</v>
      </c>
      <c r="I250" s="6" t="str">
        <f>_xlfn.XLOOKUP(C250,Tab_Def_Flows[Flow_Name],Tab_Def_Flows[Use_E6],,0,)</f>
        <v>Yes</v>
      </c>
      <c r="J250" s="4"/>
      <c r="K250" s="18"/>
      <c r="L250" s="3" t="str">
        <f>'0_Configuration'!$C$41</f>
        <v>Mg</v>
      </c>
      <c r="M250" s="10"/>
      <c r="N250" s="23" t="s">
        <v>3</v>
      </c>
      <c r="O250" s="11"/>
      <c r="P250" s="4"/>
      <c r="Q250" s="10"/>
      <c r="R250" s="3">
        <f>_xlfn.XLOOKUP(Tab_Data_Flows[[#This Row],[Flow_Name]],Tab_Def_Flows[Flow_Name],Tab_Def_Flows[Flow_E1_Fraction'[%']],"N.A.",0,1)</f>
        <v>0</v>
      </c>
      <c r="S250" s="9">
        <f t="shared" si="6"/>
        <v>0</v>
      </c>
      <c r="T250" s="3" t="str">
        <f>Tab_Data_Flows[[#This Row],[UoM_Source]]</f>
        <v>Mg</v>
      </c>
      <c r="U250" s="24">
        <f>_xlfn.XLOOKUP(Tab_Data_Flows[[#This Row],[Flow_Name]],Tab_Def_Flows[Flow_Name],Tab_Def_Flows[Flow_E2_Fraction'[%']],"N.A.",0,1)</f>
        <v>0</v>
      </c>
      <c r="V250" s="3">
        <f>IF(D250="Yes",S250*Tab_Data_Flows[[#This Row],[E2_Fraction'[%']]],"N.A.")</f>
        <v>0</v>
      </c>
      <c r="W250" s="3" t="str">
        <f>Tab_Data_Flows[[#This Row],[E1_UoM]]</f>
        <v>Mg</v>
      </c>
      <c r="X250" s="24">
        <f>_xlfn.XLOOKUP(Tab_Data_Flows[[#This Row],[Flow_Name]],Tab_Def_Flows[Flow_Name],Tab_Def_Flows[Flow_E3_Fraction'[%']],"N.A.",0,1)</f>
        <v>0</v>
      </c>
      <c r="Y250" s="3">
        <f>IF(E250="Yes",X250*Tab_Data_Flows[[#This Row],[E1_value]],"N.A.")</f>
        <v>0</v>
      </c>
      <c r="Z250" s="3" t="str">
        <f>Tab_Data_Flows[[#This Row],[E1_UoM]]</f>
        <v>Mg</v>
      </c>
      <c r="AA250" s="24">
        <f>_xlfn.XLOOKUP(Tab_Data_Flows[[#This Row],[Flow_Name]],Tab_Def_Flows[Flow_Name],Tab_Def_Flows[Flow_E4_Fraction'[%']],"N.A.",0,1)</f>
        <v>0</v>
      </c>
      <c r="AB250" s="3">
        <f>IF(H250="Yes",Tab_Data_Flows[[#This Row],[E4_Fraction'[%']]]*Tab_Data_Flows[[#This Row],[E1_value]],"N.A.")</f>
        <v>0</v>
      </c>
      <c r="AC250" s="3" t="str">
        <f>Tab_Data_Flows[[#This Row],[E1_UoM]]</f>
        <v>Mg</v>
      </c>
      <c r="AD250" s="24">
        <f>_xlfn.XLOOKUP(Tab_Data_Flows[[#This Row],[Flow_Name]],Tab_Def_Flows[Flow_Name],Tab_Def_Flows[Flow_E5_Fraction'[%']],"N.A.",0,1)</f>
        <v>0</v>
      </c>
      <c r="AE250" s="3">
        <f>IF(H250="Yes",Tab_Data_Flows[[#This Row],[E5_Fraction'[%']]]*Tab_Data_Flows[[#This Row],[E1_value]],"N.A.")</f>
        <v>0</v>
      </c>
      <c r="AF250" s="3" t="str">
        <f>Tab_Data_Flows[[#This Row],[E1_UoM]]</f>
        <v>Mg</v>
      </c>
      <c r="AG250" s="24">
        <f>_xlfn.XLOOKUP(Tab_Data_Flows[[#This Row],[Flow_Name]],Tab_Def_Flows[Flow_Name],Tab_Def_Flows[Flow_E6_Fraction'[%']],"N.A.",0,1)</f>
        <v>0</v>
      </c>
      <c r="AH250" s="3">
        <f>IF(Tab_Data_Flows[[#This Row],[Use_E6]]="Yes",Tab_Data_Flows[[#This Row],[E6_Fraction'[%']]]*Tab_Data_Flows[[#This Row],[E1_value]],"N.A.")</f>
        <v>0</v>
      </c>
      <c r="AI250" s="3" t="str">
        <f>Tab_Data_Flows[[#This Row],[E1_UoM]]</f>
        <v>Mg</v>
      </c>
    </row>
    <row r="251" spans="1:35" x14ac:dyDescent="0.25">
      <c r="A251" s="5">
        <f t="shared" si="7"/>
        <v>250</v>
      </c>
      <c r="B251" s="3" t="str">
        <f>_xlfn.XLOOKUP(C251,Tab_Def_Flows[Flow_Name],Tab_Def_Flows[Flow_ID],,0,)</f>
        <v>F__</v>
      </c>
      <c r="C251" s="23" t="s">
        <v>5</v>
      </c>
      <c r="D251" s="6" t="str">
        <f>_xlfn.XLOOKUP(C251,Tab_Def_Flows[Flow_Name],Tab_Def_Flows[Use_E1],,0,)</f>
        <v>Yes</v>
      </c>
      <c r="E251" s="6" t="str">
        <f>_xlfn.XLOOKUP(C251,Tab_Def_Flows[Flow_Name],Tab_Def_Flows[Use_E2],,0,)</f>
        <v>Yes</v>
      </c>
      <c r="F251" s="6" t="str">
        <f>_xlfn.XLOOKUP(C251,Tab_Def_Flows[Flow_Name],Tab_Def_Flows[Use_E3],,0,)</f>
        <v>Yes</v>
      </c>
      <c r="G251" s="6" t="str">
        <f>_xlfn.XLOOKUP(C251,Tab_Def_Flows[Flow_Name],Tab_Def_Flows[Use_E4],,0,)</f>
        <v>Yes</v>
      </c>
      <c r="H251" s="6" t="str">
        <f>_xlfn.XLOOKUP(C251,Tab_Def_Flows[Flow_Name],Tab_Def_Flows[Use_E5],,0,)</f>
        <v>Yes</v>
      </c>
      <c r="I251" s="6" t="str">
        <f>_xlfn.XLOOKUP(C251,Tab_Def_Flows[Flow_Name],Tab_Def_Flows[Use_E6],,0,)</f>
        <v>Yes</v>
      </c>
      <c r="J251" s="4"/>
      <c r="K251" s="18"/>
      <c r="L251" s="3" t="str">
        <f>'0_Configuration'!$C$41</f>
        <v>Mg</v>
      </c>
      <c r="M251" s="10"/>
      <c r="N251" s="23" t="s">
        <v>3</v>
      </c>
      <c r="O251" s="11"/>
      <c r="P251" s="4"/>
      <c r="Q251" s="10"/>
      <c r="R251" s="3">
        <f>_xlfn.XLOOKUP(Tab_Data_Flows[[#This Row],[Flow_Name]],Tab_Def_Flows[Flow_Name],Tab_Def_Flows[Flow_E1_Fraction'[%']],"N.A.",0,1)</f>
        <v>0</v>
      </c>
      <c r="S251" s="9">
        <f t="shared" si="6"/>
        <v>0</v>
      </c>
      <c r="T251" s="3" t="str">
        <f>Tab_Data_Flows[[#This Row],[UoM_Source]]</f>
        <v>Mg</v>
      </c>
      <c r="U251" s="24">
        <f>_xlfn.XLOOKUP(Tab_Data_Flows[[#This Row],[Flow_Name]],Tab_Def_Flows[Flow_Name],Tab_Def_Flows[Flow_E2_Fraction'[%']],"N.A.",0,1)</f>
        <v>0</v>
      </c>
      <c r="V251" s="3">
        <f>IF(D251="Yes",S251*Tab_Data_Flows[[#This Row],[E2_Fraction'[%']]],"N.A.")</f>
        <v>0</v>
      </c>
      <c r="W251" s="3" t="str">
        <f>Tab_Data_Flows[[#This Row],[E1_UoM]]</f>
        <v>Mg</v>
      </c>
      <c r="X251" s="24">
        <f>_xlfn.XLOOKUP(Tab_Data_Flows[[#This Row],[Flow_Name]],Tab_Def_Flows[Flow_Name],Tab_Def_Flows[Flow_E3_Fraction'[%']],"N.A.",0,1)</f>
        <v>0</v>
      </c>
      <c r="Y251" s="3">
        <f>IF(E251="Yes",X251*Tab_Data_Flows[[#This Row],[E1_value]],"N.A.")</f>
        <v>0</v>
      </c>
      <c r="Z251" s="3" t="str">
        <f>Tab_Data_Flows[[#This Row],[E1_UoM]]</f>
        <v>Mg</v>
      </c>
      <c r="AA251" s="24">
        <f>_xlfn.XLOOKUP(Tab_Data_Flows[[#This Row],[Flow_Name]],Tab_Def_Flows[Flow_Name],Tab_Def_Flows[Flow_E4_Fraction'[%']],"N.A.",0,1)</f>
        <v>0</v>
      </c>
      <c r="AB251" s="3">
        <f>IF(H251="Yes",Tab_Data_Flows[[#This Row],[E4_Fraction'[%']]]*Tab_Data_Flows[[#This Row],[E1_value]],"N.A.")</f>
        <v>0</v>
      </c>
      <c r="AC251" s="3" t="str">
        <f>Tab_Data_Flows[[#This Row],[E1_UoM]]</f>
        <v>Mg</v>
      </c>
      <c r="AD251" s="24">
        <f>_xlfn.XLOOKUP(Tab_Data_Flows[[#This Row],[Flow_Name]],Tab_Def_Flows[Flow_Name],Tab_Def_Flows[Flow_E5_Fraction'[%']],"N.A.",0,1)</f>
        <v>0</v>
      </c>
      <c r="AE251" s="3">
        <f>IF(H251="Yes",Tab_Data_Flows[[#This Row],[E5_Fraction'[%']]]*Tab_Data_Flows[[#This Row],[E1_value]],"N.A.")</f>
        <v>0</v>
      </c>
      <c r="AF251" s="3" t="str">
        <f>Tab_Data_Flows[[#This Row],[E1_UoM]]</f>
        <v>Mg</v>
      </c>
      <c r="AG251" s="24">
        <f>_xlfn.XLOOKUP(Tab_Data_Flows[[#This Row],[Flow_Name]],Tab_Def_Flows[Flow_Name],Tab_Def_Flows[Flow_E6_Fraction'[%']],"N.A.",0,1)</f>
        <v>0</v>
      </c>
      <c r="AH251" s="3">
        <f>IF(Tab_Data_Flows[[#This Row],[Use_E6]]="Yes",Tab_Data_Flows[[#This Row],[E6_Fraction'[%']]]*Tab_Data_Flows[[#This Row],[E1_value]],"N.A.")</f>
        <v>0</v>
      </c>
      <c r="AI251" s="3" t="str">
        <f>Tab_Data_Flows[[#This Row],[E1_UoM]]</f>
        <v>Mg</v>
      </c>
    </row>
    <row r="252" spans="1:35" x14ac:dyDescent="0.25">
      <c r="A252" s="5">
        <f t="shared" si="7"/>
        <v>251</v>
      </c>
      <c r="B252" s="3" t="str">
        <f>_xlfn.XLOOKUP(C252,Tab_Def_Flows[Flow_Name],Tab_Def_Flows[Flow_ID],,0,)</f>
        <v>F__</v>
      </c>
      <c r="C252" s="23" t="s">
        <v>5</v>
      </c>
      <c r="D252" s="6" t="str">
        <f>_xlfn.XLOOKUP(C252,Tab_Def_Flows[Flow_Name],Tab_Def_Flows[Use_E1],,0,)</f>
        <v>Yes</v>
      </c>
      <c r="E252" s="6" t="str">
        <f>_xlfn.XLOOKUP(C252,Tab_Def_Flows[Flow_Name],Tab_Def_Flows[Use_E2],,0,)</f>
        <v>Yes</v>
      </c>
      <c r="F252" s="6" t="str">
        <f>_xlfn.XLOOKUP(C252,Tab_Def_Flows[Flow_Name],Tab_Def_Flows[Use_E3],,0,)</f>
        <v>Yes</v>
      </c>
      <c r="G252" s="6" t="str">
        <f>_xlfn.XLOOKUP(C252,Tab_Def_Flows[Flow_Name],Tab_Def_Flows[Use_E4],,0,)</f>
        <v>Yes</v>
      </c>
      <c r="H252" s="6" t="str">
        <f>_xlfn.XLOOKUP(C252,Tab_Def_Flows[Flow_Name],Tab_Def_Flows[Use_E5],,0,)</f>
        <v>Yes</v>
      </c>
      <c r="I252" s="6" t="str">
        <f>_xlfn.XLOOKUP(C252,Tab_Def_Flows[Flow_Name],Tab_Def_Flows[Use_E6],,0,)</f>
        <v>Yes</v>
      </c>
      <c r="J252" s="4"/>
      <c r="K252" s="18"/>
      <c r="L252" s="3" t="str">
        <f>'0_Configuration'!$C$41</f>
        <v>Mg</v>
      </c>
      <c r="M252" s="10"/>
      <c r="N252" s="23" t="s">
        <v>3</v>
      </c>
      <c r="O252" s="11"/>
      <c r="P252" s="4"/>
      <c r="Q252" s="10"/>
      <c r="R252" s="3">
        <f>_xlfn.XLOOKUP(Tab_Data_Flows[[#This Row],[Flow_Name]],Tab_Def_Flows[Flow_Name],Tab_Def_Flows[Flow_E1_Fraction'[%']],"N.A.",0,1)</f>
        <v>0</v>
      </c>
      <c r="S252" s="9">
        <f t="shared" si="6"/>
        <v>0</v>
      </c>
      <c r="T252" s="3" t="str">
        <f>Tab_Data_Flows[[#This Row],[UoM_Source]]</f>
        <v>Mg</v>
      </c>
      <c r="U252" s="24">
        <f>_xlfn.XLOOKUP(Tab_Data_Flows[[#This Row],[Flow_Name]],Tab_Def_Flows[Flow_Name],Tab_Def_Flows[Flow_E2_Fraction'[%']],"N.A.",0,1)</f>
        <v>0</v>
      </c>
      <c r="V252" s="3">
        <f>IF(D252="Yes",S252*Tab_Data_Flows[[#This Row],[E2_Fraction'[%']]],"N.A.")</f>
        <v>0</v>
      </c>
      <c r="W252" s="3" t="str">
        <f>Tab_Data_Flows[[#This Row],[E1_UoM]]</f>
        <v>Mg</v>
      </c>
      <c r="X252" s="24">
        <f>_xlfn.XLOOKUP(Tab_Data_Flows[[#This Row],[Flow_Name]],Tab_Def_Flows[Flow_Name],Tab_Def_Flows[Flow_E3_Fraction'[%']],"N.A.",0,1)</f>
        <v>0</v>
      </c>
      <c r="Y252" s="3">
        <f>IF(E252="Yes",X252*Tab_Data_Flows[[#This Row],[E1_value]],"N.A.")</f>
        <v>0</v>
      </c>
      <c r="Z252" s="3" t="str">
        <f>Tab_Data_Flows[[#This Row],[E1_UoM]]</f>
        <v>Mg</v>
      </c>
      <c r="AA252" s="24">
        <f>_xlfn.XLOOKUP(Tab_Data_Flows[[#This Row],[Flow_Name]],Tab_Def_Flows[Flow_Name],Tab_Def_Flows[Flow_E4_Fraction'[%']],"N.A.",0,1)</f>
        <v>0</v>
      </c>
      <c r="AB252" s="3">
        <f>IF(H252="Yes",Tab_Data_Flows[[#This Row],[E4_Fraction'[%']]]*Tab_Data_Flows[[#This Row],[E1_value]],"N.A.")</f>
        <v>0</v>
      </c>
      <c r="AC252" s="3" t="str">
        <f>Tab_Data_Flows[[#This Row],[E1_UoM]]</f>
        <v>Mg</v>
      </c>
      <c r="AD252" s="24">
        <f>_xlfn.XLOOKUP(Tab_Data_Flows[[#This Row],[Flow_Name]],Tab_Def_Flows[Flow_Name],Tab_Def_Flows[Flow_E5_Fraction'[%']],"N.A.",0,1)</f>
        <v>0</v>
      </c>
      <c r="AE252" s="3">
        <f>IF(H252="Yes",Tab_Data_Flows[[#This Row],[E5_Fraction'[%']]]*Tab_Data_Flows[[#This Row],[E1_value]],"N.A.")</f>
        <v>0</v>
      </c>
      <c r="AF252" s="3" t="str">
        <f>Tab_Data_Flows[[#This Row],[E1_UoM]]</f>
        <v>Mg</v>
      </c>
      <c r="AG252" s="24">
        <f>_xlfn.XLOOKUP(Tab_Data_Flows[[#This Row],[Flow_Name]],Tab_Def_Flows[Flow_Name],Tab_Def_Flows[Flow_E6_Fraction'[%']],"N.A.",0,1)</f>
        <v>0</v>
      </c>
      <c r="AH252" s="3">
        <f>IF(Tab_Data_Flows[[#This Row],[Use_E6]]="Yes",Tab_Data_Flows[[#This Row],[E6_Fraction'[%']]]*Tab_Data_Flows[[#This Row],[E1_value]],"N.A.")</f>
        <v>0</v>
      </c>
      <c r="AI252" s="3" t="str">
        <f>Tab_Data_Flows[[#This Row],[E1_UoM]]</f>
        <v>Mg</v>
      </c>
    </row>
    <row r="253" spans="1:35" x14ac:dyDescent="0.25">
      <c r="A253" s="5">
        <f t="shared" si="7"/>
        <v>252</v>
      </c>
      <c r="B253" s="3" t="str">
        <f>_xlfn.XLOOKUP(C253,Tab_Def_Flows[Flow_Name],Tab_Def_Flows[Flow_ID],,0,)</f>
        <v>F__</v>
      </c>
      <c r="C253" s="23" t="s">
        <v>5</v>
      </c>
      <c r="D253" s="6" t="str">
        <f>_xlfn.XLOOKUP(C253,Tab_Def_Flows[Flow_Name],Tab_Def_Flows[Use_E1],,0,)</f>
        <v>Yes</v>
      </c>
      <c r="E253" s="6" t="str">
        <f>_xlfn.XLOOKUP(C253,Tab_Def_Flows[Flow_Name],Tab_Def_Flows[Use_E2],,0,)</f>
        <v>Yes</v>
      </c>
      <c r="F253" s="6" t="str">
        <f>_xlfn.XLOOKUP(C253,Tab_Def_Flows[Flow_Name],Tab_Def_Flows[Use_E3],,0,)</f>
        <v>Yes</v>
      </c>
      <c r="G253" s="6" t="str">
        <f>_xlfn.XLOOKUP(C253,Tab_Def_Flows[Flow_Name],Tab_Def_Flows[Use_E4],,0,)</f>
        <v>Yes</v>
      </c>
      <c r="H253" s="6" t="str">
        <f>_xlfn.XLOOKUP(C253,Tab_Def_Flows[Flow_Name],Tab_Def_Flows[Use_E5],,0,)</f>
        <v>Yes</v>
      </c>
      <c r="I253" s="6" t="str">
        <f>_xlfn.XLOOKUP(C253,Tab_Def_Flows[Flow_Name],Tab_Def_Flows[Use_E6],,0,)</f>
        <v>Yes</v>
      </c>
      <c r="J253" s="4"/>
      <c r="K253" s="18"/>
      <c r="L253" s="3" t="str">
        <f>'0_Configuration'!$C$41</f>
        <v>Mg</v>
      </c>
      <c r="M253" s="10"/>
      <c r="N253" s="23" t="s">
        <v>3</v>
      </c>
      <c r="O253" s="11"/>
      <c r="P253" s="4"/>
      <c r="Q253" s="10"/>
      <c r="R253" s="3">
        <f>_xlfn.XLOOKUP(Tab_Data_Flows[[#This Row],[Flow_Name]],Tab_Def_Flows[Flow_Name],Tab_Def_Flows[Flow_E1_Fraction'[%']],"N.A.",0,1)</f>
        <v>0</v>
      </c>
      <c r="S253" s="9">
        <f t="shared" si="6"/>
        <v>0</v>
      </c>
      <c r="T253" s="3" t="str">
        <f>Tab_Data_Flows[[#This Row],[UoM_Source]]</f>
        <v>Mg</v>
      </c>
      <c r="U253" s="24">
        <f>_xlfn.XLOOKUP(Tab_Data_Flows[[#This Row],[Flow_Name]],Tab_Def_Flows[Flow_Name],Tab_Def_Flows[Flow_E2_Fraction'[%']],"N.A.",0,1)</f>
        <v>0</v>
      </c>
      <c r="V253" s="3">
        <f>IF(D253="Yes",S253*Tab_Data_Flows[[#This Row],[E2_Fraction'[%']]],"N.A.")</f>
        <v>0</v>
      </c>
      <c r="W253" s="3" t="str">
        <f>Tab_Data_Flows[[#This Row],[E1_UoM]]</f>
        <v>Mg</v>
      </c>
      <c r="X253" s="24">
        <f>_xlfn.XLOOKUP(Tab_Data_Flows[[#This Row],[Flow_Name]],Tab_Def_Flows[Flow_Name],Tab_Def_Flows[Flow_E3_Fraction'[%']],"N.A.",0,1)</f>
        <v>0</v>
      </c>
      <c r="Y253" s="3">
        <f>IF(E253="Yes",X253*Tab_Data_Flows[[#This Row],[E1_value]],"N.A.")</f>
        <v>0</v>
      </c>
      <c r="Z253" s="3" t="str">
        <f>Tab_Data_Flows[[#This Row],[E1_UoM]]</f>
        <v>Mg</v>
      </c>
      <c r="AA253" s="24">
        <f>_xlfn.XLOOKUP(Tab_Data_Flows[[#This Row],[Flow_Name]],Tab_Def_Flows[Flow_Name],Tab_Def_Flows[Flow_E4_Fraction'[%']],"N.A.",0,1)</f>
        <v>0</v>
      </c>
      <c r="AB253" s="3">
        <f>IF(H253="Yes",Tab_Data_Flows[[#This Row],[E4_Fraction'[%']]]*Tab_Data_Flows[[#This Row],[E1_value]],"N.A.")</f>
        <v>0</v>
      </c>
      <c r="AC253" s="3" t="str">
        <f>Tab_Data_Flows[[#This Row],[E1_UoM]]</f>
        <v>Mg</v>
      </c>
      <c r="AD253" s="24">
        <f>_xlfn.XLOOKUP(Tab_Data_Flows[[#This Row],[Flow_Name]],Tab_Def_Flows[Flow_Name],Tab_Def_Flows[Flow_E5_Fraction'[%']],"N.A.",0,1)</f>
        <v>0</v>
      </c>
      <c r="AE253" s="3">
        <f>IF(H253="Yes",Tab_Data_Flows[[#This Row],[E5_Fraction'[%']]]*Tab_Data_Flows[[#This Row],[E1_value]],"N.A.")</f>
        <v>0</v>
      </c>
      <c r="AF253" s="3" t="str">
        <f>Tab_Data_Flows[[#This Row],[E1_UoM]]</f>
        <v>Mg</v>
      </c>
      <c r="AG253" s="24">
        <f>_xlfn.XLOOKUP(Tab_Data_Flows[[#This Row],[Flow_Name]],Tab_Def_Flows[Flow_Name],Tab_Def_Flows[Flow_E6_Fraction'[%']],"N.A.",0,1)</f>
        <v>0</v>
      </c>
      <c r="AH253" s="3">
        <f>IF(Tab_Data_Flows[[#This Row],[Use_E6]]="Yes",Tab_Data_Flows[[#This Row],[E6_Fraction'[%']]]*Tab_Data_Flows[[#This Row],[E1_value]],"N.A.")</f>
        <v>0</v>
      </c>
      <c r="AI253" s="3" t="str">
        <f>Tab_Data_Flows[[#This Row],[E1_UoM]]</f>
        <v>Mg</v>
      </c>
    </row>
    <row r="254" spans="1:35" x14ac:dyDescent="0.25">
      <c r="A254" s="5">
        <f t="shared" si="7"/>
        <v>253</v>
      </c>
      <c r="B254" s="3" t="str">
        <f>_xlfn.XLOOKUP(C254,Tab_Def_Flows[Flow_Name],Tab_Def_Flows[Flow_ID],,0,)</f>
        <v>F__</v>
      </c>
      <c r="C254" s="23" t="s">
        <v>5</v>
      </c>
      <c r="D254" s="6" t="str">
        <f>_xlfn.XLOOKUP(C254,Tab_Def_Flows[Flow_Name],Tab_Def_Flows[Use_E1],,0,)</f>
        <v>Yes</v>
      </c>
      <c r="E254" s="6" t="str">
        <f>_xlfn.XLOOKUP(C254,Tab_Def_Flows[Flow_Name],Tab_Def_Flows[Use_E2],,0,)</f>
        <v>Yes</v>
      </c>
      <c r="F254" s="6" t="str">
        <f>_xlfn.XLOOKUP(C254,Tab_Def_Flows[Flow_Name],Tab_Def_Flows[Use_E3],,0,)</f>
        <v>Yes</v>
      </c>
      <c r="G254" s="6" t="str">
        <f>_xlfn.XLOOKUP(C254,Tab_Def_Flows[Flow_Name],Tab_Def_Flows[Use_E4],,0,)</f>
        <v>Yes</v>
      </c>
      <c r="H254" s="6" t="str">
        <f>_xlfn.XLOOKUP(C254,Tab_Def_Flows[Flow_Name],Tab_Def_Flows[Use_E5],,0,)</f>
        <v>Yes</v>
      </c>
      <c r="I254" s="6" t="str">
        <f>_xlfn.XLOOKUP(C254,Tab_Def_Flows[Flow_Name],Tab_Def_Flows[Use_E6],,0,)</f>
        <v>Yes</v>
      </c>
      <c r="J254" s="4"/>
      <c r="K254" s="18"/>
      <c r="L254" s="3" t="str">
        <f>'0_Configuration'!$C$41</f>
        <v>Mg</v>
      </c>
      <c r="M254" s="10"/>
      <c r="N254" s="23" t="s">
        <v>3</v>
      </c>
      <c r="O254" s="11"/>
      <c r="P254" s="4"/>
      <c r="Q254" s="10"/>
      <c r="R254" s="3">
        <f>_xlfn.XLOOKUP(Tab_Data_Flows[[#This Row],[Flow_Name]],Tab_Def_Flows[Flow_Name],Tab_Def_Flows[Flow_E1_Fraction'[%']],"N.A.",0,1)</f>
        <v>0</v>
      </c>
      <c r="S254" s="9">
        <f t="shared" si="6"/>
        <v>0</v>
      </c>
      <c r="T254" s="3" t="str">
        <f>Tab_Data_Flows[[#This Row],[UoM_Source]]</f>
        <v>Mg</v>
      </c>
      <c r="U254" s="24">
        <f>_xlfn.XLOOKUP(Tab_Data_Flows[[#This Row],[Flow_Name]],Tab_Def_Flows[Flow_Name],Tab_Def_Flows[Flow_E2_Fraction'[%']],"N.A.",0,1)</f>
        <v>0</v>
      </c>
      <c r="V254" s="3">
        <f>IF(D254="Yes",S254*Tab_Data_Flows[[#This Row],[E2_Fraction'[%']]],"N.A.")</f>
        <v>0</v>
      </c>
      <c r="W254" s="3" t="str">
        <f>Tab_Data_Flows[[#This Row],[E1_UoM]]</f>
        <v>Mg</v>
      </c>
      <c r="X254" s="24">
        <f>_xlfn.XLOOKUP(Tab_Data_Flows[[#This Row],[Flow_Name]],Tab_Def_Flows[Flow_Name],Tab_Def_Flows[Flow_E3_Fraction'[%']],"N.A.",0,1)</f>
        <v>0</v>
      </c>
      <c r="Y254" s="3">
        <f>IF(E254="Yes",X254*Tab_Data_Flows[[#This Row],[E1_value]],"N.A.")</f>
        <v>0</v>
      </c>
      <c r="Z254" s="3" t="str">
        <f>Tab_Data_Flows[[#This Row],[E1_UoM]]</f>
        <v>Mg</v>
      </c>
      <c r="AA254" s="24">
        <f>_xlfn.XLOOKUP(Tab_Data_Flows[[#This Row],[Flow_Name]],Tab_Def_Flows[Flow_Name],Tab_Def_Flows[Flow_E4_Fraction'[%']],"N.A.",0,1)</f>
        <v>0</v>
      </c>
      <c r="AB254" s="3">
        <f>IF(H254="Yes",Tab_Data_Flows[[#This Row],[E4_Fraction'[%']]]*Tab_Data_Flows[[#This Row],[E1_value]],"N.A.")</f>
        <v>0</v>
      </c>
      <c r="AC254" s="3" t="str">
        <f>Tab_Data_Flows[[#This Row],[E1_UoM]]</f>
        <v>Mg</v>
      </c>
      <c r="AD254" s="24">
        <f>_xlfn.XLOOKUP(Tab_Data_Flows[[#This Row],[Flow_Name]],Tab_Def_Flows[Flow_Name],Tab_Def_Flows[Flow_E5_Fraction'[%']],"N.A.",0,1)</f>
        <v>0</v>
      </c>
      <c r="AE254" s="3">
        <f>IF(H254="Yes",Tab_Data_Flows[[#This Row],[E5_Fraction'[%']]]*Tab_Data_Flows[[#This Row],[E1_value]],"N.A.")</f>
        <v>0</v>
      </c>
      <c r="AF254" s="3" t="str">
        <f>Tab_Data_Flows[[#This Row],[E1_UoM]]</f>
        <v>Mg</v>
      </c>
      <c r="AG254" s="24">
        <f>_xlfn.XLOOKUP(Tab_Data_Flows[[#This Row],[Flow_Name]],Tab_Def_Flows[Flow_Name],Tab_Def_Flows[Flow_E6_Fraction'[%']],"N.A.",0,1)</f>
        <v>0</v>
      </c>
      <c r="AH254" s="3">
        <f>IF(Tab_Data_Flows[[#This Row],[Use_E6]]="Yes",Tab_Data_Flows[[#This Row],[E6_Fraction'[%']]]*Tab_Data_Flows[[#This Row],[E1_value]],"N.A.")</f>
        <v>0</v>
      </c>
      <c r="AI254" s="3" t="str">
        <f>Tab_Data_Flows[[#This Row],[E1_UoM]]</f>
        <v>Mg</v>
      </c>
    </row>
    <row r="255" spans="1:35" x14ac:dyDescent="0.25">
      <c r="A255" s="5">
        <f t="shared" si="7"/>
        <v>254</v>
      </c>
      <c r="B255" s="3" t="str">
        <f>_xlfn.XLOOKUP(C255,Tab_Def_Flows[Flow_Name],Tab_Def_Flows[Flow_ID],,0,)</f>
        <v>F__</v>
      </c>
      <c r="C255" s="23" t="s">
        <v>5</v>
      </c>
      <c r="D255" s="6" t="str">
        <f>_xlfn.XLOOKUP(C255,Tab_Def_Flows[Flow_Name],Tab_Def_Flows[Use_E1],,0,)</f>
        <v>Yes</v>
      </c>
      <c r="E255" s="6" t="str">
        <f>_xlfn.XLOOKUP(C255,Tab_Def_Flows[Flow_Name],Tab_Def_Flows[Use_E2],,0,)</f>
        <v>Yes</v>
      </c>
      <c r="F255" s="6" t="str">
        <f>_xlfn.XLOOKUP(C255,Tab_Def_Flows[Flow_Name],Tab_Def_Flows[Use_E3],,0,)</f>
        <v>Yes</v>
      </c>
      <c r="G255" s="6" t="str">
        <f>_xlfn.XLOOKUP(C255,Tab_Def_Flows[Flow_Name],Tab_Def_Flows[Use_E4],,0,)</f>
        <v>Yes</v>
      </c>
      <c r="H255" s="6" t="str">
        <f>_xlfn.XLOOKUP(C255,Tab_Def_Flows[Flow_Name],Tab_Def_Flows[Use_E5],,0,)</f>
        <v>Yes</v>
      </c>
      <c r="I255" s="6" t="str">
        <f>_xlfn.XLOOKUP(C255,Tab_Def_Flows[Flow_Name],Tab_Def_Flows[Use_E6],,0,)</f>
        <v>Yes</v>
      </c>
      <c r="J255" s="4"/>
      <c r="K255" s="18"/>
      <c r="L255" s="3" t="str">
        <f>'0_Configuration'!$C$41</f>
        <v>Mg</v>
      </c>
      <c r="M255" s="10"/>
      <c r="N255" s="23" t="s">
        <v>3</v>
      </c>
      <c r="O255" s="11"/>
      <c r="P255" s="4"/>
      <c r="Q255" s="10"/>
      <c r="R255" s="3">
        <f>_xlfn.XLOOKUP(Tab_Data_Flows[[#This Row],[Flow_Name]],Tab_Def_Flows[Flow_Name],Tab_Def_Flows[Flow_E1_Fraction'[%']],"N.A.",0,1)</f>
        <v>0</v>
      </c>
      <c r="S255" s="9">
        <f t="shared" si="6"/>
        <v>0</v>
      </c>
      <c r="T255" s="3" t="str">
        <f>Tab_Data_Flows[[#This Row],[UoM_Source]]</f>
        <v>Mg</v>
      </c>
      <c r="U255" s="24">
        <f>_xlfn.XLOOKUP(Tab_Data_Flows[[#This Row],[Flow_Name]],Tab_Def_Flows[Flow_Name],Tab_Def_Flows[Flow_E2_Fraction'[%']],"N.A.",0,1)</f>
        <v>0</v>
      </c>
      <c r="V255" s="3">
        <f>IF(D255="Yes",S255*Tab_Data_Flows[[#This Row],[E2_Fraction'[%']]],"N.A.")</f>
        <v>0</v>
      </c>
      <c r="W255" s="3" t="str">
        <f>Tab_Data_Flows[[#This Row],[E1_UoM]]</f>
        <v>Mg</v>
      </c>
      <c r="X255" s="24">
        <f>_xlfn.XLOOKUP(Tab_Data_Flows[[#This Row],[Flow_Name]],Tab_Def_Flows[Flow_Name],Tab_Def_Flows[Flow_E3_Fraction'[%']],"N.A.",0,1)</f>
        <v>0</v>
      </c>
      <c r="Y255" s="3">
        <f>IF(E255="Yes",X255*Tab_Data_Flows[[#This Row],[E1_value]],"N.A.")</f>
        <v>0</v>
      </c>
      <c r="Z255" s="3" t="str">
        <f>Tab_Data_Flows[[#This Row],[E1_UoM]]</f>
        <v>Mg</v>
      </c>
      <c r="AA255" s="24">
        <f>_xlfn.XLOOKUP(Tab_Data_Flows[[#This Row],[Flow_Name]],Tab_Def_Flows[Flow_Name],Tab_Def_Flows[Flow_E4_Fraction'[%']],"N.A.",0,1)</f>
        <v>0</v>
      </c>
      <c r="AB255" s="3">
        <f>IF(H255="Yes",Tab_Data_Flows[[#This Row],[E4_Fraction'[%']]]*Tab_Data_Flows[[#This Row],[E1_value]],"N.A.")</f>
        <v>0</v>
      </c>
      <c r="AC255" s="3" t="str">
        <f>Tab_Data_Flows[[#This Row],[E1_UoM]]</f>
        <v>Mg</v>
      </c>
      <c r="AD255" s="24">
        <f>_xlfn.XLOOKUP(Tab_Data_Flows[[#This Row],[Flow_Name]],Tab_Def_Flows[Flow_Name],Tab_Def_Flows[Flow_E5_Fraction'[%']],"N.A.",0,1)</f>
        <v>0</v>
      </c>
      <c r="AE255" s="3">
        <f>IF(H255="Yes",Tab_Data_Flows[[#This Row],[E5_Fraction'[%']]]*Tab_Data_Flows[[#This Row],[E1_value]],"N.A.")</f>
        <v>0</v>
      </c>
      <c r="AF255" s="3" t="str">
        <f>Tab_Data_Flows[[#This Row],[E1_UoM]]</f>
        <v>Mg</v>
      </c>
      <c r="AG255" s="24">
        <f>_xlfn.XLOOKUP(Tab_Data_Flows[[#This Row],[Flow_Name]],Tab_Def_Flows[Flow_Name],Tab_Def_Flows[Flow_E6_Fraction'[%']],"N.A.",0,1)</f>
        <v>0</v>
      </c>
      <c r="AH255" s="3">
        <f>IF(Tab_Data_Flows[[#This Row],[Use_E6]]="Yes",Tab_Data_Flows[[#This Row],[E6_Fraction'[%']]]*Tab_Data_Flows[[#This Row],[E1_value]],"N.A.")</f>
        <v>0</v>
      </c>
      <c r="AI255" s="3" t="str">
        <f>Tab_Data_Flows[[#This Row],[E1_UoM]]</f>
        <v>Mg</v>
      </c>
    </row>
    <row r="256" spans="1:35" x14ac:dyDescent="0.25">
      <c r="A256" s="5">
        <f t="shared" si="7"/>
        <v>255</v>
      </c>
      <c r="B256" s="3" t="str">
        <f>_xlfn.XLOOKUP(C256,Tab_Def_Flows[Flow_Name],Tab_Def_Flows[Flow_ID],,0,)</f>
        <v>F__</v>
      </c>
      <c r="C256" s="23" t="s">
        <v>5</v>
      </c>
      <c r="D256" s="6" t="str">
        <f>_xlfn.XLOOKUP(C256,Tab_Def_Flows[Flow_Name],Tab_Def_Flows[Use_E1],,0,)</f>
        <v>Yes</v>
      </c>
      <c r="E256" s="6" t="str">
        <f>_xlfn.XLOOKUP(C256,Tab_Def_Flows[Flow_Name],Tab_Def_Flows[Use_E2],,0,)</f>
        <v>Yes</v>
      </c>
      <c r="F256" s="6" t="str">
        <f>_xlfn.XLOOKUP(C256,Tab_Def_Flows[Flow_Name],Tab_Def_Flows[Use_E3],,0,)</f>
        <v>Yes</v>
      </c>
      <c r="G256" s="6" t="str">
        <f>_xlfn.XLOOKUP(C256,Tab_Def_Flows[Flow_Name],Tab_Def_Flows[Use_E4],,0,)</f>
        <v>Yes</v>
      </c>
      <c r="H256" s="6" t="str">
        <f>_xlfn.XLOOKUP(C256,Tab_Def_Flows[Flow_Name],Tab_Def_Flows[Use_E5],,0,)</f>
        <v>Yes</v>
      </c>
      <c r="I256" s="6" t="str">
        <f>_xlfn.XLOOKUP(C256,Tab_Def_Flows[Flow_Name],Tab_Def_Flows[Use_E6],,0,)</f>
        <v>Yes</v>
      </c>
      <c r="J256" s="4"/>
      <c r="K256" s="18"/>
      <c r="L256" s="3" t="str">
        <f>'0_Configuration'!$C$41</f>
        <v>Mg</v>
      </c>
      <c r="M256" s="10"/>
      <c r="N256" s="23" t="s">
        <v>3</v>
      </c>
      <c r="O256" s="11"/>
      <c r="P256" s="4"/>
      <c r="Q256" s="10"/>
      <c r="R256" s="3">
        <f>_xlfn.XLOOKUP(Tab_Data_Flows[[#This Row],[Flow_Name]],Tab_Def_Flows[Flow_Name],Tab_Def_Flows[Flow_E1_Fraction'[%']],"N.A.",0,1)</f>
        <v>0</v>
      </c>
      <c r="S256" s="9">
        <f t="shared" si="6"/>
        <v>0</v>
      </c>
      <c r="T256" s="3" t="str">
        <f>Tab_Data_Flows[[#This Row],[UoM_Source]]</f>
        <v>Mg</v>
      </c>
      <c r="U256" s="24">
        <f>_xlfn.XLOOKUP(Tab_Data_Flows[[#This Row],[Flow_Name]],Tab_Def_Flows[Flow_Name],Tab_Def_Flows[Flow_E2_Fraction'[%']],"N.A.",0,1)</f>
        <v>0</v>
      </c>
      <c r="V256" s="3">
        <f>IF(D256="Yes",S256*Tab_Data_Flows[[#This Row],[E2_Fraction'[%']]],"N.A.")</f>
        <v>0</v>
      </c>
      <c r="W256" s="3" t="str">
        <f>Tab_Data_Flows[[#This Row],[E1_UoM]]</f>
        <v>Mg</v>
      </c>
      <c r="X256" s="24">
        <f>_xlfn.XLOOKUP(Tab_Data_Flows[[#This Row],[Flow_Name]],Tab_Def_Flows[Flow_Name],Tab_Def_Flows[Flow_E3_Fraction'[%']],"N.A.",0,1)</f>
        <v>0</v>
      </c>
      <c r="Y256" s="3">
        <f>IF(E256="Yes",X256*Tab_Data_Flows[[#This Row],[E1_value]],"N.A.")</f>
        <v>0</v>
      </c>
      <c r="Z256" s="3" t="str">
        <f>Tab_Data_Flows[[#This Row],[E1_UoM]]</f>
        <v>Mg</v>
      </c>
      <c r="AA256" s="24">
        <f>_xlfn.XLOOKUP(Tab_Data_Flows[[#This Row],[Flow_Name]],Tab_Def_Flows[Flow_Name],Tab_Def_Flows[Flow_E4_Fraction'[%']],"N.A.",0,1)</f>
        <v>0</v>
      </c>
      <c r="AB256" s="3">
        <f>IF(H256="Yes",Tab_Data_Flows[[#This Row],[E4_Fraction'[%']]]*Tab_Data_Flows[[#This Row],[E1_value]],"N.A.")</f>
        <v>0</v>
      </c>
      <c r="AC256" s="3" t="str">
        <f>Tab_Data_Flows[[#This Row],[E1_UoM]]</f>
        <v>Mg</v>
      </c>
      <c r="AD256" s="24">
        <f>_xlfn.XLOOKUP(Tab_Data_Flows[[#This Row],[Flow_Name]],Tab_Def_Flows[Flow_Name],Tab_Def_Flows[Flow_E5_Fraction'[%']],"N.A.",0,1)</f>
        <v>0</v>
      </c>
      <c r="AE256" s="3">
        <f>IF(H256="Yes",Tab_Data_Flows[[#This Row],[E5_Fraction'[%']]]*Tab_Data_Flows[[#This Row],[E1_value]],"N.A.")</f>
        <v>0</v>
      </c>
      <c r="AF256" s="3" t="str">
        <f>Tab_Data_Flows[[#This Row],[E1_UoM]]</f>
        <v>Mg</v>
      </c>
      <c r="AG256" s="24">
        <f>_xlfn.XLOOKUP(Tab_Data_Flows[[#This Row],[Flow_Name]],Tab_Def_Flows[Flow_Name],Tab_Def_Flows[Flow_E6_Fraction'[%']],"N.A.",0,1)</f>
        <v>0</v>
      </c>
      <c r="AH256" s="3">
        <f>IF(Tab_Data_Flows[[#This Row],[Use_E6]]="Yes",Tab_Data_Flows[[#This Row],[E6_Fraction'[%']]]*Tab_Data_Flows[[#This Row],[E1_value]],"N.A.")</f>
        <v>0</v>
      </c>
      <c r="AI256" s="3" t="str">
        <f>Tab_Data_Flows[[#This Row],[E1_UoM]]</f>
        <v>Mg</v>
      </c>
    </row>
    <row r="257" spans="1:35" x14ac:dyDescent="0.25">
      <c r="A257" s="5">
        <f t="shared" si="7"/>
        <v>256</v>
      </c>
      <c r="B257" s="3" t="str">
        <f>_xlfn.XLOOKUP(C257,Tab_Def_Flows[Flow_Name],Tab_Def_Flows[Flow_ID],,0,)</f>
        <v>F__</v>
      </c>
      <c r="C257" s="23" t="s">
        <v>5</v>
      </c>
      <c r="D257" s="6" t="str">
        <f>_xlfn.XLOOKUP(C257,Tab_Def_Flows[Flow_Name],Tab_Def_Flows[Use_E1],,0,)</f>
        <v>Yes</v>
      </c>
      <c r="E257" s="6" t="str">
        <f>_xlfn.XLOOKUP(C257,Tab_Def_Flows[Flow_Name],Tab_Def_Flows[Use_E2],,0,)</f>
        <v>Yes</v>
      </c>
      <c r="F257" s="6" t="str">
        <f>_xlfn.XLOOKUP(C257,Tab_Def_Flows[Flow_Name],Tab_Def_Flows[Use_E3],,0,)</f>
        <v>Yes</v>
      </c>
      <c r="G257" s="6" t="str">
        <f>_xlfn.XLOOKUP(C257,Tab_Def_Flows[Flow_Name],Tab_Def_Flows[Use_E4],,0,)</f>
        <v>Yes</v>
      </c>
      <c r="H257" s="6" t="str">
        <f>_xlfn.XLOOKUP(C257,Tab_Def_Flows[Flow_Name],Tab_Def_Flows[Use_E5],,0,)</f>
        <v>Yes</v>
      </c>
      <c r="I257" s="6" t="str">
        <f>_xlfn.XLOOKUP(C257,Tab_Def_Flows[Flow_Name],Tab_Def_Flows[Use_E6],,0,)</f>
        <v>Yes</v>
      </c>
      <c r="J257" s="4"/>
      <c r="K257" s="18"/>
      <c r="L257" s="3" t="str">
        <f>'0_Configuration'!$C$41</f>
        <v>Mg</v>
      </c>
      <c r="M257" s="10"/>
      <c r="N257" s="23" t="s">
        <v>3</v>
      </c>
      <c r="O257" s="11"/>
      <c r="P257" s="4"/>
      <c r="Q257" s="10"/>
      <c r="R257" s="3">
        <f>_xlfn.XLOOKUP(Tab_Data_Flows[[#This Row],[Flow_Name]],Tab_Def_Flows[Flow_Name],Tab_Def_Flows[Flow_E1_Fraction'[%']],"N.A.",0,1)</f>
        <v>0</v>
      </c>
      <c r="S257" s="9">
        <f t="shared" si="6"/>
        <v>0</v>
      </c>
      <c r="T257" s="3" t="str">
        <f>Tab_Data_Flows[[#This Row],[UoM_Source]]</f>
        <v>Mg</v>
      </c>
      <c r="U257" s="24">
        <f>_xlfn.XLOOKUP(Tab_Data_Flows[[#This Row],[Flow_Name]],Tab_Def_Flows[Flow_Name],Tab_Def_Flows[Flow_E2_Fraction'[%']],"N.A.",0,1)</f>
        <v>0</v>
      </c>
      <c r="V257" s="3">
        <f>IF(D257="Yes",S257*Tab_Data_Flows[[#This Row],[E2_Fraction'[%']]],"N.A.")</f>
        <v>0</v>
      </c>
      <c r="W257" s="3" t="str">
        <f>Tab_Data_Flows[[#This Row],[E1_UoM]]</f>
        <v>Mg</v>
      </c>
      <c r="X257" s="24">
        <f>_xlfn.XLOOKUP(Tab_Data_Flows[[#This Row],[Flow_Name]],Tab_Def_Flows[Flow_Name],Tab_Def_Flows[Flow_E3_Fraction'[%']],"N.A.",0,1)</f>
        <v>0</v>
      </c>
      <c r="Y257" s="3">
        <f>IF(E257="Yes",X257*Tab_Data_Flows[[#This Row],[E1_value]],"N.A.")</f>
        <v>0</v>
      </c>
      <c r="Z257" s="3" t="str">
        <f>Tab_Data_Flows[[#This Row],[E1_UoM]]</f>
        <v>Mg</v>
      </c>
      <c r="AA257" s="24">
        <f>_xlfn.XLOOKUP(Tab_Data_Flows[[#This Row],[Flow_Name]],Tab_Def_Flows[Flow_Name],Tab_Def_Flows[Flow_E4_Fraction'[%']],"N.A.",0,1)</f>
        <v>0</v>
      </c>
      <c r="AB257" s="3">
        <f>IF(H257="Yes",Tab_Data_Flows[[#This Row],[E4_Fraction'[%']]]*Tab_Data_Flows[[#This Row],[E1_value]],"N.A.")</f>
        <v>0</v>
      </c>
      <c r="AC257" s="3" t="str">
        <f>Tab_Data_Flows[[#This Row],[E1_UoM]]</f>
        <v>Mg</v>
      </c>
      <c r="AD257" s="24">
        <f>_xlfn.XLOOKUP(Tab_Data_Flows[[#This Row],[Flow_Name]],Tab_Def_Flows[Flow_Name],Tab_Def_Flows[Flow_E5_Fraction'[%']],"N.A.",0,1)</f>
        <v>0</v>
      </c>
      <c r="AE257" s="3">
        <f>IF(H257="Yes",Tab_Data_Flows[[#This Row],[E5_Fraction'[%']]]*Tab_Data_Flows[[#This Row],[E1_value]],"N.A.")</f>
        <v>0</v>
      </c>
      <c r="AF257" s="3" t="str">
        <f>Tab_Data_Flows[[#This Row],[E1_UoM]]</f>
        <v>Mg</v>
      </c>
      <c r="AG257" s="24">
        <f>_xlfn.XLOOKUP(Tab_Data_Flows[[#This Row],[Flow_Name]],Tab_Def_Flows[Flow_Name],Tab_Def_Flows[Flow_E6_Fraction'[%']],"N.A.",0,1)</f>
        <v>0</v>
      </c>
      <c r="AH257" s="3">
        <f>IF(Tab_Data_Flows[[#This Row],[Use_E6]]="Yes",Tab_Data_Flows[[#This Row],[E6_Fraction'[%']]]*Tab_Data_Flows[[#This Row],[E1_value]],"N.A.")</f>
        <v>0</v>
      </c>
      <c r="AI257" s="3" t="str">
        <f>Tab_Data_Flows[[#This Row],[E1_UoM]]</f>
        <v>Mg</v>
      </c>
    </row>
    <row r="258" spans="1:35" x14ac:dyDescent="0.25">
      <c r="A258" s="5">
        <f t="shared" si="7"/>
        <v>257</v>
      </c>
      <c r="B258" s="3" t="str">
        <f>_xlfn.XLOOKUP(C258,Tab_Def_Flows[Flow_Name],Tab_Def_Flows[Flow_ID],,0,)</f>
        <v>F__</v>
      </c>
      <c r="C258" s="23" t="s">
        <v>5</v>
      </c>
      <c r="D258" s="6" t="str">
        <f>_xlfn.XLOOKUP(C258,Tab_Def_Flows[Flow_Name],Tab_Def_Flows[Use_E1],,0,)</f>
        <v>Yes</v>
      </c>
      <c r="E258" s="6" t="str">
        <f>_xlfn.XLOOKUP(C258,Tab_Def_Flows[Flow_Name],Tab_Def_Flows[Use_E2],,0,)</f>
        <v>Yes</v>
      </c>
      <c r="F258" s="6" t="str">
        <f>_xlfn.XLOOKUP(C258,Tab_Def_Flows[Flow_Name],Tab_Def_Flows[Use_E3],,0,)</f>
        <v>Yes</v>
      </c>
      <c r="G258" s="6" t="str">
        <f>_xlfn.XLOOKUP(C258,Tab_Def_Flows[Flow_Name],Tab_Def_Flows[Use_E4],,0,)</f>
        <v>Yes</v>
      </c>
      <c r="H258" s="6" t="str">
        <f>_xlfn.XLOOKUP(C258,Tab_Def_Flows[Flow_Name],Tab_Def_Flows[Use_E5],,0,)</f>
        <v>Yes</v>
      </c>
      <c r="I258" s="6" t="str">
        <f>_xlfn.XLOOKUP(C258,Tab_Def_Flows[Flow_Name],Tab_Def_Flows[Use_E6],,0,)</f>
        <v>Yes</v>
      </c>
      <c r="J258" s="4"/>
      <c r="K258" s="18"/>
      <c r="L258" s="3" t="str">
        <f>'0_Configuration'!$C$41</f>
        <v>Mg</v>
      </c>
      <c r="M258" s="10"/>
      <c r="N258" s="23" t="s">
        <v>3</v>
      </c>
      <c r="O258" s="11"/>
      <c r="P258" s="4"/>
      <c r="Q258" s="10"/>
      <c r="R258" s="3">
        <f>_xlfn.XLOOKUP(Tab_Data_Flows[[#This Row],[Flow_Name]],Tab_Def_Flows[Flow_Name],Tab_Def_Flows[Flow_E1_Fraction'[%']],"N.A.",0,1)</f>
        <v>0</v>
      </c>
      <c r="S258" s="9">
        <f t="shared" ref="S258:S321" si="8">IF(N258="no",K258,K258*O258)</f>
        <v>0</v>
      </c>
      <c r="T258" s="3" t="str">
        <f>Tab_Data_Flows[[#This Row],[UoM_Source]]</f>
        <v>Mg</v>
      </c>
      <c r="U258" s="24">
        <f>_xlfn.XLOOKUP(Tab_Data_Flows[[#This Row],[Flow_Name]],Tab_Def_Flows[Flow_Name],Tab_Def_Flows[Flow_E2_Fraction'[%']],"N.A.",0,1)</f>
        <v>0</v>
      </c>
      <c r="V258" s="3">
        <f>IF(D258="Yes",S258*Tab_Data_Flows[[#This Row],[E2_Fraction'[%']]],"N.A.")</f>
        <v>0</v>
      </c>
      <c r="W258" s="3" t="str">
        <f>Tab_Data_Flows[[#This Row],[E1_UoM]]</f>
        <v>Mg</v>
      </c>
      <c r="X258" s="24">
        <f>_xlfn.XLOOKUP(Tab_Data_Flows[[#This Row],[Flow_Name]],Tab_Def_Flows[Flow_Name],Tab_Def_Flows[Flow_E3_Fraction'[%']],"N.A.",0,1)</f>
        <v>0</v>
      </c>
      <c r="Y258" s="3">
        <f>IF(E258="Yes",X258*Tab_Data_Flows[[#This Row],[E1_value]],"N.A.")</f>
        <v>0</v>
      </c>
      <c r="Z258" s="3" t="str">
        <f>Tab_Data_Flows[[#This Row],[E1_UoM]]</f>
        <v>Mg</v>
      </c>
      <c r="AA258" s="24">
        <f>_xlfn.XLOOKUP(Tab_Data_Flows[[#This Row],[Flow_Name]],Tab_Def_Flows[Flow_Name],Tab_Def_Flows[Flow_E4_Fraction'[%']],"N.A.",0,1)</f>
        <v>0</v>
      </c>
      <c r="AB258" s="3">
        <f>IF(H258="Yes",Tab_Data_Flows[[#This Row],[E4_Fraction'[%']]]*Tab_Data_Flows[[#This Row],[E1_value]],"N.A.")</f>
        <v>0</v>
      </c>
      <c r="AC258" s="3" t="str">
        <f>Tab_Data_Flows[[#This Row],[E1_UoM]]</f>
        <v>Mg</v>
      </c>
      <c r="AD258" s="24">
        <f>_xlfn.XLOOKUP(Tab_Data_Flows[[#This Row],[Flow_Name]],Tab_Def_Flows[Flow_Name],Tab_Def_Flows[Flow_E5_Fraction'[%']],"N.A.",0,1)</f>
        <v>0</v>
      </c>
      <c r="AE258" s="3">
        <f>IF(H258="Yes",Tab_Data_Flows[[#This Row],[E5_Fraction'[%']]]*Tab_Data_Flows[[#This Row],[E1_value]],"N.A.")</f>
        <v>0</v>
      </c>
      <c r="AF258" s="3" t="str">
        <f>Tab_Data_Flows[[#This Row],[E1_UoM]]</f>
        <v>Mg</v>
      </c>
      <c r="AG258" s="24">
        <f>_xlfn.XLOOKUP(Tab_Data_Flows[[#This Row],[Flow_Name]],Tab_Def_Flows[Flow_Name],Tab_Def_Flows[Flow_E6_Fraction'[%']],"N.A.",0,1)</f>
        <v>0</v>
      </c>
      <c r="AH258" s="3">
        <f>IF(Tab_Data_Flows[[#This Row],[Use_E6]]="Yes",Tab_Data_Flows[[#This Row],[E6_Fraction'[%']]]*Tab_Data_Flows[[#This Row],[E1_value]],"N.A.")</f>
        <v>0</v>
      </c>
      <c r="AI258" s="3" t="str">
        <f>Tab_Data_Flows[[#This Row],[E1_UoM]]</f>
        <v>Mg</v>
      </c>
    </row>
    <row r="259" spans="1:35" x14ac:dyDescent="0.25">
      <c r="A259" s="5">
        <f t="shared" ref="A259:A322" si="9">ROW()-1</f>
        <v>258</v>
      </c>
      <c r="B259" s="3" t="str">
        <f>_xlfn.XLOOKUP(C259,Tab_Def_Flows[Flow_Name],Tab_Def_Flows[Flow_ID],,0,)</f>
        <v>F__</v>
      </c>
      <c r="C259" s="23" t="s">
        <v>5</v>
      </c>
      <c r="D259" s="6" t="str">
        <f>_xlfn.XLOOKUP(C259,Tab_Def_Flows[Flow_Name],Tab_Def_Flows[Use_E1],,0,)</f>
        <v>Yes</v>
      </c>
      <c r="E259" s="6" t="str">
        <f>_xlfn.XLOOKUP(C259,Tab_Def_Flows[Flow_Name],Tab_Def_Flows[Use_E2],,0,)</f>
        <v>Yes</v>
      </c>
      <c r="F259" s="6" t="str">
        <f>_xlfn.XLOOKUP(C259,Tab_Def_Flows[Flow_Name],Tab_Def_Flows[Use_E3],,0,)</f>
        <v>Yes</v>
      </c>
      <c r="G259" s="6" t="str">
        <f>_xlfn.XLOOKUP(C259,Tab_Def_Flows[Flow_Name],Tab_Def_Flows[Use_E4],,0,)</f>
        <v>Yes</v>
      </c>
      <c r="H259" s="6" t="str">
        <f>_xlfn.XLOOKUP(C259,Tab_Def_Flows[Flow_Name],Tab_Def_Flows[Use_E5],,0,)</f>
        <v>Yes</v>
      </c>
      <c r="I259" s="6" t="str">
        <f>_xlfn.XLOOKUP(C259,Tab_Def_Flows[Flow_Name],Tab_Def_Flows[Use_E6],,0,)</f>
        <v>Yes</v>
      </c>
      <c r="J259" s="4"/>
      <c r="K259" s="18"/>
      <c r="L259" s="3" t="str">
        <f>'0_Configuration'!$C$41</f>
        <v>Mg</v>
      </c>
      <c r="M259" s="10"/>
      <c r="N259" s="23" t="s">
        <v>3</v>
      </c>
      <c r="O259" s="11"/>
      <c r="P259" s="4"/>
      <c r="Q259" s="10"/>
      <c r="R259" s="3">
        <f>_xlfn.XLOOKUP(Tab_Data_Flows[[#This Row],[Flow_Name]],Tab_Def_Flows[Flow_Name],Tab_Def_Flows[Flow_E1_Fraction'[%']],"N.A.",0,1)</f>
        <v>0</v>
      </c>
      <c r="S259" s="9">
        <f t="shared" si="8"/>
        <v>0</v>
      </c>
      <c r="T259" s="3" t="str">
        <f>Tab_Data_Flows[[#This Row],[UoM_Source]]</f>
        <v>Mg</v>
      </c>
      <c r="U259" s="24">
        <f>_xlfn.XLOOKUP(Tab_Data_Flows[[#This Row],[Flow_Name]],Tab_Def_Flows[Flow_Name],Tab_Def_Flows[Flow_E2_Fraction'[%']],"N.A.",0,1)</f>
        <v>0</v>
      </c>
      <c r="V259" s="3">
        <f>IF(D259="Yes",S259*Tab_Data_Flows[[#This Row],[E2_Fraction'[%']]],"N.A.")</f>
        <v>0</v>
      </c>
      <c r="W259" s="3" t="str">
        <f>Tab_Data_Flows[[#This Row],[E1_UoM]]</f>
        <v>Mg</v>
      </c>
      <c r="X259" s="24">
        <f>_xlfn.XLOOKUP(Tab_Data_Flows[[#This Row],[Flow_Name]],Tab_Def_Flows[Flow_Name],Tab_Def_Flows[Flow_E3_Fraction'[%']],"N.A.",0,1)</f>
        <v>0</v>
      </c>
      <c r="Y259" s="3">
        <f>IF(E259="Yes",X259*Tab_Data_Flows[[#This Row],[E1_value]],"N.A.")</f>
        <v>0</v>
      </c>
      <c r="Z259" s="3" t="str">
        <f>Tab_Data_Flows[[#This Row],[E1_UoM]]</f>
        <v>Mg</v>
      </c>
      <c r="AA259" s="24">
        <f>_xlfn.XLOOKUP(Tab_Data_Flows[[#This Row],[Flow_Name]],Tab_Def_Flows[Flow_Name],Tab_Def_Flows[Flow_E4_Fraction'[%']],"N.A.",0,1)</f>
        <v>0</v>
      </c>
      <c r="AB259" s="3">
        <f>IF(H259="Yes",Tab_Data_Flows[[#This Row],[E4_Fraction'[%']]]*Tab_Data_Flows[[#This Row],[E1_value]],"N.A.")</f>
        <v>0</v>
      </c>
      <c r="AC259" s="3" t="str">
        <f>Tab_Data_Flows[[#This Row],[E1_UoM]]</f>
        <v>Mg</v>
      </c>
      <c r="AD259" s="24">
        <f>_xlfn.XLOOKUP(Tab_Data_Flows[[#This Row],[Flow_Name]],Tab_Def_Flows[Flow_Name],Tab_Def_Flows[Flow_E5_Fraction'[%']],"N.A.",0,1)</f>
        <v>0</v>
      </c>
      <c r="AE259" s="3">
        <f>IF(H259="Yes",Tab_Data_Flows[[#This Row],[E5_Fraction'[%']]]*Tab_Data_Flows[[#This Row],[E1_value]],"N.A.")</f>
        <v>0</v>
      </c>
      <c r="AF259" s="3" t="str">
        <f>Tab_Data_Flows[[#This Row],[E1_UoM]]</f>
        <v>Mg</v>
      </c>
      <c r="AG259" s="24">
        <f>_xlfn.XLOOKUP(Tab_Data_Flows[[#This Row],[Flow_Name]],Tab_Def_Flows[Flow_Name],Tab_Def_Flows[Flow_E6_Fraction'[%']],"N.A.",0,1)</f>
        <v>0</v>
      </c>
      <c r="AH259" s="3">
        <f>IF(Tab_Data_Flows[[#This Row],[Use_E6]]="Yes",Tab_Data_Flows[[#This Row],[E6_Fraction'[%']]]*Tab_Data_Flows[[#This Row],[E1_value]],"N.A.")</f>
        <v>0</v>
      </c>
      <c r="AI259" s="3" t="str">
        <f>Tab_Data_Flows[[#This Row],[E1_UoM]]</f>
        <v>Mg</v>
      </c>
    </row>
    <row r="260" spans="1:35" x14ac:dyDescent="0.25">
      <c r="A260" s="5">
        <f t="shared" si="9"/>
        <v>259</v>
      </c>
      <c r="B260" s="3" t="str">
        <f>_xlfn.XLOOKUP(C260,Tab_Def_Flows[Flow_Name],Tab_Def_Flows[Flow_ID],,0,)</f>
        <v>F__</v>
      </c>
      <c r="C260" s="23" t="s">
        <v>5</v>
      </c>
      <c r="D260" s="6" t="str">
        <f>_xlfn.XLOOKUP(C260,Tab_Def_Flows[Flow_Name],Tab_Def_Flows[Use_E1],,0,)</f>
        <v>Yes</v>
      </c>
      <c r="E260" s="6" t="str">
        <f>_xlfn.XLOOKUP(C260,Tab_Def_Flows[Flow_Name],Tab_Def_Flows[Use_E2],,0,)</f>
        <v>Yes</v>
      </c>
      <c r="F260" s="6" t="str">
        <f>_xlfn.XLOOKUP(C260,Tab_Def_Flows[Flow_Name],Tab_Def_Flows[Use_E3],,0,)</f>
        <v>Yes</v>
      </c>
      <c r="G260" s="6" t="str">
        <f>_xlfn.XLOOKUP(C260,Tab_Def_Flows[Flow_Name],Tab_Def_Flows[Use_E4],,0,)</f>
        <v>Yes</v>
      </c>
      <c r="H260" s="6" t="str">
        <f>_xlfn.XLOOKUP(C260,Tab_Def_Flows[Flow_Name],Tab_Def_Flows[Use_E5],,0,)</f>
        <v>Yes</v>
      </c>
      <c r="I260" s="6" t="str">
        <f>_xlfn.XLOOKUP(C260,Tab_Def_Flows[Flow_Name],Tab_Def_Flows[Use_E6],,0,)</f>
        <v>Yes</v>
      </c>
      <c r="J260" s="4"/>
      <c r="K260" s="18"/>
      <c r="L260" s="3" t="str">
        <f>'0_Configuration'!$C$41</f>
        <v>Mg</v>
      </c>
      <c r="M260" s="10"/>
      <c r="N260" s="23" t="s">
        <v>3</v>
      </c>
      <c r="O260" s="11"/>
      <c r="P260" s="4"/>
      <c r="Q260" s="10"/>
      <c r="R260" s="3">
        <f>_xlfn.XLOOKUP(Tab_Data_Flows[[#This Row],[Flow_Name]],Tab_Def_Flows[Flow_Name],Tab_Def_Flows[Flow_E1_Fraction'[%']],"N.A.",0,1)</f>
        <v>0</v>
      </c>
      <c r="S260" s="9">
        <f t="shared" si="8"/>
        <v>0</v>
      </c>
      <c r="T260" s="3" t="str">
        <f>Tab_Data_Flows[[#This Row],[UoM_Source]]</f>
        <v>Mg</v>
      </c>
      <c r="U260" s="24">
        <f>_xlfn.XLOOKUP(Tab_Data_Flows[[#This Row],[Flow_Name]],Tab_Def_Flows[Flow_Name],Tab_Def_Flows[Flow_E2_Fraction'[%']],"N.A.",0,1)</f>
        <v>0</v>
      </c>
      <c r="V260" s="3">
        <f>IF(D260="Yes",S260*Tab_Data_Flows[[#This Row],[E2_Fraction'[%']]],"N.A.")</f>
        <v>0</v>
      </c>
      <c r="W260" s="3" t="str">
        <f>Tab_Data_Flows[[#This Row],[E1_UoM]]</f>
        <v>Mg</v>
      </c>
      <c r="X260" s="24">
        <f>_xlfn.XLOOKUP(Tab_Data_Flows[[#This Row],[Flow_Name]],Tab_Def_Flows[Flow_Name],Tab_Def_Flows[Flow_E3_Fraction'[%']],"N.A.",0,1)</f>
        <v>0</v>
      </c>
      <c r="Y260" s="3">
        <f>IF(E260="Yes",X260*Tab_Data_Flows[[#This Row],[E1_value]],"N.A.")</f>
        <v>0</v>
      </c>
      <c r="Z260" s="3" t="str">
        <f>Tab_Data_Flows[[#This Row],[E1_UoM]]</f>
        <v>Mg</v>
      </c>
      <c r="AA260" s="24">
        <f>_xlfn.XLOOKUP(Tab_Data_Flows[[#This Row],[Flow_Name]],Tab_Def_Flows[Flow_Name],Tab_Def_Flows[Flow_E4_Fraction'[%']],"N.A.",0,1)</f>
        <v>0</v>
      </c>
      <c r="AB260" s="3">
        <f>IF(H260="Yes",Tab_Data_Flows[[#This Row],[E4_Fraction'[%']]]*Tab_Data_Flows[[#This Row],[E1_value]],"N.A.")</f>
        <v>0</v>
      </c>
      <c r="AC260" s="3" t="str">
        <f>Tab_Data_Flows[[#This Row],[E1_UoM]]</f>
        <v>Mg</v>
      </c>
      <c r="AD260" s="24">
        <f>_xlfn.XLOOKUP(Tab_Data_Flows[[#This Row],[Flow_Name]],Tab_Def_Flows[Flow_Name],Tab_Def_Flows[Flow_E5_Fraction'[%']],"N.A.",0,1)</f>
        <v>0</v>
      </c>
      <c r="AE260" s="3">
        <f>IF(H260="Yes",Tab_Data_Flows[[#This Row],[E5_Fraction'[%']]]*Tab_Data_Flows[[#This Row],[E1_value]],"N.A.")</f>
        <v>0</v>
      </c>
      <c r="AF260" s="3" t="str">
        <f>Tab_Data_Flows[[#This Row],[E1_UoM]]</f>
        <v>Mg</v>
      </c>
      <c r="AG260" s="24">
        <f>_xlfn.XLOOKUP(Tab_Data_Flows[[#This Row],[Flow_Name]],Tab_Def_Flows[Flow_Name],Tab_Def_Flows[Flow_E6_Fraction'[%']],"N.A.",0,1)</f>
        <v>0</v>
      </c>
      <c r="AH260" s="3">
        <f>IF(Tab_Data_Flows[[#This Row],[Use_E6]]="Yes",Tab_Data_Flows[[#This Row],[E6_Fraction'[%']]]*Tab_Data_Flows[[#This Row],[E1_value]],"N.A.")</f>
        <v>0</v>
      </c>
      <c r="AI260" s="3" t="str">
        <f>Tab_Data_Flows[[#This Row],[E1_UoM]]</f>
        <v>Mg</v>
      </c>
    </row>
    <row r="261" spans="1:35" x14ac:dyDescent="0.25">
      <c r="A261" s="5">
        <f t="shared" si="9"/>
        <v>260</v>
      </c>
      <c r="B261" s="3" t="str">
        <f>_xlfn.XLOOKUP(C261,Tab_Def_Flows[Flow_Name],Tab_Def_Flows[Flow_ID],,0,)</f>
        <v>F__</v>
      </c>
      <c r="C261" s="23" t="s">
        <v>5</v>
      </c>
      <c r="D261" s="6" t="str">
        <f>_xlfn.XLOOKUP(C261,Tab_Def_Flows[Flow_Name],Tab_Def_Flows[Use_E1],,0,)</f>
        <v>Yes</v>
      </c>
      <c r="E261" s="6" t="str">
        <f>_xlfn.XLOOKUP(C261,Tab_Def_Flows[Flow_Name],Tab_Def_Flows[Use_E2],,0,)</f>
        <v>Yes</v>
      </c>
      <c r="F261" s="6" t="str">
        <f>_xlfn.XLOOKUP(C261,Tab_Def_Flows[Flow_Name],Tab_Def_Flows[Use_E3],,0,)</f>
        <v>Yes</v>
      </c>
      <c r="G261" s="6" t="str">
        <f>_xlfn.XLOOKUP(C261,Tab_Def_Flows[Flow_Name],Tab_Def_Flows[Use_E4],,0,)</f>
        <v>Yes</v>
      </c>
      <c r="H261" s="6" t="str">
        <f>_xlfn.XLOOKUP(C261,Tab_Def_Flows[Flow_Name],Tab_Def_Flows[Use_E5],,0,)</f>
        <v>Yes</v>
      </c>
      <c r="I261" s="6" t="str">
        <f>_xlfn.XLOOKUP(C261,Tab_Def_Flows[Flow_Name],Tab_Def_Flows[Use_E6],,0,)</f>
        <v>Yes</v>
      </c>
      <c r="J261" s="4"/>
      <c r="K261" s="18"/>
      <c r="L261" s="3" t="str">
        <f>'0_Configuration'!$C$41</f>
        <v>Mg</v>
      </c>
      <c r="M261" s="10"/>
      <c r="N261" s="23" t="s">
        <v>3</v>
      </c>
      <c r="O261" s="11"/>
      <c r="P261" s="4"/>
      <c r="Q261" s="10"/>
      <c r="R261" s="3">
        <f>_xlfn.XLOOKUP(Tab_Data_Flows[[#This Row],[Flow_Name]],Tab_Def_Flows[Flow_Name],Tab_Def_Flows[Flow_E1_Fraction'[%']],"N.A.",0,1)</f>
        <v>0</v>
      </c>
      <c r="S261" s="9">
        <f t="shared" si="8"/>
        <v>0</v>
      </c>
      <c r="T261" s="3" t="str">
        <f>Tab_Data_Flows[[#This Row],[UoM_Source]]</f>
        <v>Mg</v>
      </c>
      <c r="U261" s="24">
        <f>_xlfn.XLOOKUP(Tab_Data_Flows[[#This Row],[Flow_Name]],Tab_Def_Flows[Flow_Name],Tab_Def_Flows[Flow_E2_Fraction'[%']],"N.A.",0,1)</f>
        <v>0</v>
      </c>
      <c r="V261" s="3">
        <f>IF(D261="Yes",S261*Tab_Data_Flows[[#This Row],[E2_Fraction'[%']]],"N.A.")</f>
        <v>0</v>
      </c>
      <c r="W261" s="3" t="str">
        <f>Tab_Data_Flows[[#This Row],[E1_UoM]]</f>
        <v>Mg</v>
      </c>
      <c r="X261" s="24">
        <f>_xlfn.XLOOKUP(Tab_Data_Flows[[#This Row],[Flow_Name]],Tab_Def_Flows[Flow_Name],Tab_Def_Flows[Flow_E3_Fraction'[%']],"N.A.",0,1)</f>
        <v>0</v>
      </c>
      <c r="Y261" s="3">
        <f>IF(E261="Yes",X261*Tab_Data_Flows[[#This Row],[E1_value]],"N.A.")</f>
        <v>0</v>
      </c>
      <c r="Z261" s="3" t="str">
        <f>Tab_Data_Flows[[#This Row],[E1_UoM]]</f>
        <v>Mg</v>
      </c>
      <c r="AA261" s="24">
        <f>_xlfn.XLOOKUP(Tab_Data_Flows[[#This Row],[Flow_Name]],Tab_Def_Flows[Flow_Name],Tab_Def_Flows[Flow_E4_Fraction'[%']],"N.A.",0,1)</f>
        <v>0</v>
      </c>
      <c r="AB261" s="3">
        <f>IF(H261="Yes",Tab_Data_Flows[[#This Row],[E4_Fraction'[%']]]*Tab_Data_Flows[[#This Row],[E1_value]],"N.A.")</f>
        <v>0</v>
      </c>
      <c r="AC261" s="3" t="str">
        <f>Tab_Data_Flows[[#This Row],[E1_UoM]]</f>
        <v>Mg</v>
      </c>
      <c r="AD261" s="24">
        <f>_xlfn.XLOOKUP(Tab_Data_Flows[[#This Row],[Flow_Name]],Tab_Def_Flows[Flow_Name],Tab_Def_Flows[Flow_E5_Fraction'[%']],"N.A.",0,1)</f>
        <v>0</v>
      </c>
      <c r="AE261" s="3">
        <f>IF(H261="Yes",Tab_Data_Flows[[#This Row],[E5_Fraction'[%']]]*Tab_Data_Flows[[#This Row],[E1_value]],"N.A.")</f>
        <v>0</v>
      </c>
      <c r="AF261" s="3" t="str">
        <f>Tab_Data_Flows[[#This Row],[E1_UoM]]</f>
        <v>Mg</v>
      </c>
      <c r="AG261" s="24">
        <f>_xlfn.XLOOKUP(Tab_Data_Flows[[#This Row],[Flow_Name]],Tab_Def_Flows[Flow_Name],Tab_Def_Flows[Flow_E6_Fraction'[%']],"N.A.",0,1)</f>
        <v>0</v>
      </c>
      <c r="AH261" s="3">
        <f>IF(Tab_Data_Flows[[#This Row],[Use_E6]]="Yes",Tab_Data_Flows[[#This Row],[E6_Fraction'[%']]]*Tab_Data_Flows[[#This Row],[E1_value]],"N.A.")</f>
        <v>0</v>
      </c>
      <c r="AI261" s="3" t="str">
        <f>Tab_Data_Flows[[#This Row],[E1_UoM]]</f>
        <v>Mg</v>
      </c>
    </row>
    <row r="262" spans="1:35" x14ac:dyDescent="0.25">
      <c r="A262" s="5">
        <f t="shared" si="9"/>
        <v>261</v>
      </c>
      <c r="B262" s="3" t="str">
        <f>_xlfn.XLOOKUP(C262,Tab_Def_Flows[Flow_Name],Tab_Def_Flows[Flow_ID],,0,)</f>
        <v>F__</v>
      </c>
      <c r="C262" s="23" t="s">
        <v>5</v>
      </c>
      <c r="D262" s="6" t="str">
        <f>_xlfn.XLOOKUP(C262,Tab_Def_Flows[Flow_Name],Tab_Def_Flows[Use_E1],,0,)</f>
        <v>Yes</v>
      </c>
      <c r="E262" s="6" t="str">
        <f>_xlfn.XLOOKUP(C262,Tab_Def_Flows[Flow_Name],Tab_Def_Flows[Use_E2],,0,)</f>
        <v>Yes</v>
      </c>
      <c r="F262" s="6" t="str">
        <f>_xlfn.XLOOKUP(C262,Tab_Def_Flows[Flow_Name],Tab_Def_Flows[Use_E3],,0,)</f>
        <v>Yes</v>
      </c>
      <c r="G262" s="6" t="str">
        <f>_xlfn.XLOOKUP(C262,Tab_Def_Flows[Flow_Name],Tab_Def_Flows[Use_E4],,0,)</f>
        <v>Yes</v>
      </c>
      <c r="H262" s="6" t="str">
        <f>_xlfn.XLOOKUP(C262,Tab_Def_Flows[Flow_Name],Tab_Def_Flows[Use_E5],,0,)</f>
        <v>Yes</v>
      </c>
      <c r="I262" s="6" t="str">
        <f>_xlfn.XLOOKUP(C262,Tab_Def_Flows[Flow_Name],Tab_Def_Flows[Use_E6],,0,)</f>
        <v>Yes</v>
      </c>
      <c r="J262" s="4"/>
      <c r="K262" s="18"/>
      <c r="L262" s="3" t="str">
        <f>'0_Configuration'!$C$41</f>
        <v>Mg</v>
      </c>
      <c r="M262" s="10"/>
      <c r="N262" s="23" t="s">
        <v>3</v>
      </c>
      <c r="O262" s="11"/>
      <c r="P262" s="4"/>
      <c r="Q262" s="10"/>
      <c r="R262" s="3">
        <f>_xlfn.XLOOKUP(Tab_Data_Flows[[#This Row],[Flow_Name]],Tab_Def_Flows[Flow_Name],Tab_Def_Flows[Flow_E1_Fraction'[%']],"N.A.",0,1)</f>
        <v>0</v>
      </c>
      <c r="S262" s="9">
        <f t="shared" si="8"/>
        <v>0</v>
      </c>
      <c r="T262" s="3" t="str">
        <f>Tab_Data_Flows[[#This Row],[UoM_Source]]</f>
        <v>Mg</v>
      </c>
      <c r="U262" s="24">
        <f>_xlfn.XLOOKUP(Tab_Data_Flows[[#This Row],[Flow_Name]],Tab_Def_Flows[Flow_Name],Tab_Def_Flows[Flow_E2_Fraction'[%']],"N.A.",0,1)</f>
        <v>0</v>
      </c>
      <c r="V262" s="3">
        <f>IF(D262="Yes",S262*Tab_Data_Flows[[#This Row],[E2_Fraction'[%']]],"N.A.")</f>
        <v>0</v>
      </c>
      <c r="W262" s="3" t="str">
        <f>Tab_Data_Flows[[#This Row],[E1_UoM]]</f>
        <v>Mg</v>
      </c>
      <c r="X262" s="24">
        <f>_xlfn.XLOOKUP(Tab_Data_Flows[[#This Row],[Flow_Name]],Tab_Def_Flows[Flow_Name],Tab_Def_Flows[Flow_E3_Fraction'[%']],"N.A.",0,1)</f>
        <v>0</v>
      </c>
      <c r="Y262" s="3">
        <f>IF(E262="Yes",X262*Tab_Data_Flows[[#This Row],[E1_value]],"N.A.")</f>
        <v>0</v>
      </c>
      <c r="Z262" s="3" t="str">
        <f>Tab_Data_Flows[[#This Row],[E1_UoM]]</f>
        <v>Mg</v>
      </c>
      <c r="AA262" s="24">
        <f>_xlfn.XLOOKUP(Tab_Data_Flows[[#This Row],[Flow_Name]],Tab_Def_Flows[Flow_Name],Tab_Def_Flows[Flow_E4_Fraction'[%']],"N.A.",0,1)</f>
        <v>0</v>
      </c>
      <c r="AB262" s="3">
        <f>IF(H262="Yes",Tab_Data_Flows[[#This Row],[E4_Fraction'[%']]]*Tab_Data_Flows[[#This Row],[E1_value]],"N.A.")</f>
        <v>0</v>
      </c>
      <c r="AC262" s="3" t="str">
        <f>Tab_Data_Flows[[#This Row],[E1_UoM]]</f>
        <v>Mg</v>
      </c>
      <c r="AD262" s="24">
        <f>_xlfn.XLOOKUP(Tab_Data_Flows[[#This Row],[Flow_Name]],Tab_Def_Flows[Flow_Name],Tab_Def_Flows[Flow_E5_Fraction'[%']],"N.A.",0,1)</f>
        <v>0</v>
      </c>
      <c r="AE262" s="3">
        <f>IF(H262="Yes",Tab_Data_Flows[[#This Row],[E5_Fraction'[%']]]*Tab_Data_Flows[[#This Row],[E1_value]],"N.A.")</f>
        <v>0</v>
      </c>
      <c r="AF262" s="3" t="str">
        <f>Tab_Data_Flows[[#This Row],[E1_UoM]]</f>
        <v>Mg</v>
      </c>
      <c r="AG262" s="24">
        <f>_xlfn.XLOOKUP(Tab_Data_Flows[[#This Row],[Flow_Name]],Tab_Def_Flows[Flow_Name],Tab_Def_Flows[Flow_E6_Fraction'[%']],"N.A.",0,1)</f>
        <v>0</v>
      </c>
      <c r="AH262" s="3">
        <f>IF(Tab_Data_Flows[[#This Row],[Use_E6]]="Yes",Tab_Data_Flows[[#This Row],[E6_Fraction'[%']]]*Tab_Data_Flows[[#This Row],[E1_value]],"N.A.")</f>
        <v>0</v>
      </c>
      <c r="AI262" s="3" t="str">
        <f>Tab_Data_Flows[[#This Row],[E1_UoM]]</f>
        <v>Mg</v>
      </c>
    </row>
    <row r="263" spans="1:35" x14ac:dyDescent="0.25">
      <c r="A263" s="5">
        <f t="shared" si="9"/>
        <v>262</v>
      </c>
      <c r="B263" s="3" t="str">
        <f>_xlfn.XLOOKUP(C263,Tab_Def_Flows[Flow_Name],Tab_Def_Flows[Flow_ID],,0,)</f>
        <v>F__</v>
      </c>
      <c r="C263" s="23" t="s">
        <v>5</v>
      </c>
      <c r="D263" s="6" t="str">
        <f>_xlfn.XLOOKUP(C263,Tab_Def_Flows[Flow_Name],Tab_Def_Flows[Use_E1],,0,)</f>
        <v>Yes</v>
      </c>
      <c r="E263" s="6" t="str">
        <f>_xlfn.XLOOKUP(C263,Tab_Def_Flows[Flow_Name],Tab_Def_Flows[Use_E2],,0,)</f>
        <v>Yes</v>
      </c>
      <c r="F263" s="6" t="str">
        <f>_xlfn.XLOOKUP(C263,Tab_Def_Flows[Flow_Name],Tab_Def_Flows[Use_E3],,0,)</f>
        <v>Yes</v>
      </c>
      <c r="G263" s="6" t="str">
        <f>_xlfn.XLOOKUP(C263,Tab_Def_Flows[Flow_Name],Tab_Def_Flows[Use_E4],,0,)</f>
        <v>Yes</v>
      </c>
      <c r="H263" s="6" t="str">
        <f>_xlfn.XLOOKUP(C263,Tab_Def_Flows[Flow_Name],Tab_Def_Flows[Use_E5],,0,)</f>
        <v>Yes</v>
      </c>
      <c r="I263" s="6" t="str">
        <f>_xlfn.XLOOKUP(C263,Tab_Def_Flows[Flow_Name],Tab_Def_Flows[Use_E6],,0,)</f>
        <v>Yes</v>
      </c>
      <c r="J263" s="4"/>
      <c r="K263" s="18"/>
      <c r="L263" s="3" t="str">
        <f>'0_Configuration'!$C$41</f>
        <v>Mg</v>
      </c>
      <c r="M263" s="10"/>
      <c r="N263" s="23" t="s">
        <v>3</v>
      </c>
      <c r="O263" s="11"/>
      <c r="P263" s="4"/>
      <c r="Q263" s="10"/>
      <c r="R263" s="3">
        <f>_xlfn.XLOOKUP(Tab_Data_Flows[[#This Row],[Flow_Name]],Tab_Def_Flows[Flow_Name],Tab_Def_Flows[Flow_E1_Fraction'[%']],"N.A.",0,1)</f>
        <v>0</v>
      </c>
      <c r="S263" s="9">
        <f t="shared" si="8"/>
        <v>0</v>
      </c>
      <c r="T263" s="3" t="str">
        <f>Tab_Data_Flows[[#This Row],[UoM_Source]]</f>
        <v>Mg</v>
      </c>
      <c r="U263" s="24">
        <f>_xlfn.XLOOKUP(Tab_Data_Flows[[#This Row],[Flow_Name]],Tab_Def_Flows[Flow_Name],Tab_Def_Flows[Flow_E2_Fraction'[%']],"N.A.",0,1)</f>
        <v>0</v>
      </c>
      <c r="V263" s="3">
        <f>IF(D263="Yes",S263*Tab_Data_Flows[[#This Row],[E2_Fraction'[%']]],"N.A.")</f>
        <v>0</v>
      </c>
      <c r="W263" s="3" t="str">
        <f>Tab_Data_Flows[[#This Row],[E1_UoM]]</f>
        <v>Mg</v>
      </c>
      <c r="X263" s="24">
        <f>_xlfn.XLOOKUP(Tab_Data_Flows[[#This Row],[Flow_Name]],Tab_Def_Flows[Flow_Name],Tab_Def_Flows[Flow_E3_Fraction'[%']],"N.A.",0,1)</f>
        <v>0</v>
      </c>
      <c r="Y263" s="3">
        <f>IF(E263="Yes",X263*Tab_Data_Flows[[#This Row],[E1_value]],"N.A.")</f>
        <v>0</v>
      </c>
      <c r="Z263" s="3" t="str">
        <f>Tab_Data_Flows[[#This Row],[E1_UoM]]</f>
        <v>Mg</v>
      </c>
      <c r="AA263" s="24">
        <f>_xlfn.XLOOKUP(Tab_Data_Flows[[#This Row],[Flow_Name]],Tab_Def_Flows[Flow_Name],Tab_Def_Flows[Flow_E4_Fraction'[%']],"N.A.",0,1)</f>
        <v>0</v>
      </c>
      <c r="AB263" s="3">
        <f>IF(H263="Yes",Tab_Data_Flows[[#This Row],[E4_Fraction'[%']]]*Tab_Data_Flows[[#This Row],[E1_value]],"N.A.")</f>
        <v>0</v>
      </c>
      <c r="AC263" s="3" t="str">
        <f>Tab_Data_Flows[[#This Row],[E1_UoM]]</f>
        <v>Mg</v>
      </c>
      <c r="AD263" s="24">
        <f>_xlfn.XLOOKUP(Tab_Data_Flows[[#This Row],[Flow_Name]],Tab_Def_Flows[Flow_Name],Tab_Def_Flows[Flow_E5_Fraction'[%']],"N.A.",0,1)</f>
        <v>0</v>
      </c>
      <c r="AE263" s="3">
        <f>IF(H263="Yes",Tab_Data_Flows[[#This Row],[E5_Fraction'[%']]]*Tab_Data_Flows[[#This Row],[E1_value]],"N.A.")</f>
        <v>0</v>
      </c>
      <c r="AF263" s="3" t="str">
        <f>Tab_Data_Flows[[#This Row],[E1_UoM]]</f>
        <v>Mg</v>
      </c>
      <c r="AG263" s="24">
        <f>_xlfn.XLOOKUP(Tab_Data_Flows[[#This Row],[Flow_Name]],Tab_Def_Flows[Flow_Name],Tab_Def_Flows[Flow_E6_Fraction'[%']],"N.A.",0,1)</f>
        <v>0</v>
      </c>
      <c r="AH263" s="3">
        <f>IF(Tab_Data_Flows[[#This Row],[Use_E6]]="Yes",Tab_Data_Flows[[#This Row],[E6_Fraction'[%']]]*Tab_Data_Flows[[#This Row],[E1_value]],"N.A.")</f>
        <v>0</v>
      </c>
      <c r="AI263" s="3" t="str">
        <f>Tab_Data_Flows[[#This Row],[E1_UoM]]</f>
        <v>Mg</v>
      </c>
    </row>
    <row r="264" spans="1:35" x14ac:dyDescent="0.25">
      <c r="A264" s="5">
        <f t="shared" si="9"/>
        <v>263</v>
      </c>
      <c r="B264" s="3" t="str">
        <f>_xlfn.XLOOKUP(C264,Tab_Def_Flows[Flow_Name],Tab_Def_Flows[Flow_ID],,0,)</f>
        <v>F__</v>
      </c>
      <c r="C264" s="23" t="s">
        <v>5</v>
      </c>
      <c r="D264" s="6" t="str">
        <f>_xlfn.XLOOKUP(C264,Tab_Def_Flows[Flow_Name],Tab_Def_Flows[Use_E1],,0,)</f>
        <v>Yes</v>
      </c>
      <c r="E264" s="6" t="str">
        <f>_xlfn.XLOOKUP(C264,Tab_Def_Flows[Flow_Name],Tab_Def_Flows[Use_E2],,0,)</f>
        <v>Yes</v>
      </c>
      <c r="F264" s="6" t="str">
        <f>_xlfn.XLOOKUP(C264,Tab_Def_Flows[Flow_Name],Tab_Def_Flows[Use_E3],,0,)</f>
        <v>Yes</v>
      </c>
      <c r="G264" s="6" t="str">
        <f>_xlfn.XLOOKUP(C264,Tab_Def_Flows[Flow_Name],Tab_Def_Flows[Use_E4],,0,)</f>
        <v>Yes</v>
      </c>
      <c r="H264" s="6" t="str">
        <f>_xlfn.XLOOKUP(C264,Tab_Def_Flows[Flow_Name],Tab_Def_Flows[Use_E5],,0,)</f>
        <v>Yes</v>
      </c>
      <c r="I264" s="6" t="str">
        <f>_xlfn.XLOOKUP(C264,Tab_Def_Flows[Flow_Name],Tab_Def_Flows[Use_E6],,0,)</f>
        <v>Yes</v>
      </c>
      <c r="J264" s="4"/>
      <c r="K264" s="18"/>
      <c r="L264" s="3" t="str">
        <f>'0_Configuration'!$C$41</f>
        <v>Mg</v>
      </c>
      <c r="M264" s="10"/>
      <c r="N264" s="23" t="s">
        <v>3</v>
      </c>
      <c r="O264" s="11"/>
      <c r="P264" s="4"/>
      <c r="Q264" s="10"/>
      <c r="R264" s="3">
        <f>_xlfn.XLOOKUP(Tab_Data_Flows[[#This Row],[Flow_Name]],Tab_Def_Flows[Flow_Name],Tab_Def_Flows[Flow_E1_Fraction'[%']],"N.A.",0,1)</f>
        <v>0</v>
      </c>
      <c r="S264" s="9">
        <f t="shared" si="8"/>
        <v>0</v>
      </c>
      <c r="T264" s="3" t="str">
        <f>Tab_Data_Flows[[#This Row],[UoM_Source]]</f>
        <v>Mg</v>
      </c>
      <c r="U264" s="24">
        <f>_xlfn.XLOOKUP(Tab_Data_Flows[[#This Row],[Flow_Name]],Tab_Def_Flows[Flow_Name],Tab_Def_Flows[Flow_E2_Fraction'[%']],"N.A.",0,1)</f>
        <v>0</v>
      </c>
      <c r="V264" s="3">
        <f>IF(D264="Yes",S264*Tab_Data_Flows[[#This Row],[E2_Fraction'[%']]],"N.A.")</f>
        <v>0</v>
      </c>
      <c r="W264" s="3" t="str">
        <f>Tab_Data_Flows[[#This Row],[E1_UoM]]</f>
        <v>Mg</v>
      </c>
      <c r="X264" s="24">
        <f>_xlfn.XLOOKUP(Tab_Data_Flows[[#This Row],[Flow_Name]],Tab_Def_Flows[Flow_Name],Tab_Def_Flows[Flow_E3_Fraction'[%']],"N.A.",0,1)</f>
        <v>0</v>
      </c>
      <c r="Y264" s="3">
        <f>IF(E264="Yes",X264*Tab_Data_Flows[[#This Row],[E1_value]],"N.A.")</f>
        <v>0</v>
      </c>
      <c r="Z264" s="3" t="str">
        <f>Tab_Data_Flows[[#This Row],[E1_UoM]]</f>
        <v>Mg</v>
      </c>
      <c r="AA264" s="24">
        <f>_xlfn.XLOOKUP(Tab_Data_Flows[[#This Row],[Flow_Name]],Tab_Def_Flows[Flow_Name],Tab_Def_Flows[Flow_E4_Fraction'[%']],"N.A.",0,1)</f>
        <v>0</v>
      </c>
      <c r="AB264" s="3">
        <f>IF(H264="Yes",Tab_Data_Flows[[#This Row],[E4_Fraction'[%']]]*Tab_Data_Flows[[#This Row],[E1_value]],"N.A.")</f>
        <v>0</v>
      </c>
      <c r="AC264" s="3" t="str">
        <f>Tab_Data_Flows[[#This Row],[E1_UoM]]</f>
        <v>Mg</v>
      </c>
      <c r="AD264" s="24">
        <f>_xlfn.XLOOKUP(Tab_Data_Flows[[#This Row],[Flow_Name]],Tab_Def_Flows[Flow_Name],Tab_Def_Flows[Flow_E5_Fraction'[%']],"N.A.",0,1)</f>
        <v>0</v>
      </c>
      <c r="AE264" s="3">
        <f>IF(H264="Yes",Tab_Data_Flows[[#This Row],[E5_Fraction'[%']]]*Tab_Data_Flows[[#This Row],[E1_value]],"N.A.")</f>
        <v>0</v>
      </c>
      <c r="AF264" s="3" t="str">
        <f>Tab_Data_Flows[[#This Row],[E1_UoM]]</f>
        <v>Mg</v>
      </c>
      <c r="AG264" s="24">
        <f>_xlfn.XLOOKUP(Tab_Data_Flows[[#This Row],[Flow_Name]],Tab_Def_Flows[Flow_Name],Tab_Def_Flows[Flow_E6_Fraction'[%']],"N.A.",0,1)</f>
        <v>0</v>
      </c>
      <c r="AH264" s="3">
        <f>IF(Tab_Data_Flows[[#This Row],[Use_E6]]="Yes",Tab_Data_Flows[[#This Row],[E6_Fraction'[%']]]*Tab_Data_Flows[[#This Row],[E1_value]],"N.A.")</f>
        <v>0</v>
      </c>
      <c r="AI264" s="3" t="str">
        <f>Tab_Data_Flows[[#This Row],[E1_UoM]]</f>
        <v>Mg</v>
      </c>
    </row>
    <row r="265" spans="1:35" x14ac:dyDescent="0.25">
      <c r="A265" s="5">
        <f t="shared" si="9"/>
        <v>264</v>
      </c>
      <c r="B265" s="3" t="str">
        <f>_xlfn.XLOOKUP(C265,Tab_Def_Flows[Flow_Name],Tab_Def_Flows[Flow_ID],,0,)</f>
        <v>F__</v>
      </c>
      <c r="C265" s="23" t="s">
        <v>5</v>
      </c>
      <c r="D265" s="6" t="str">
        <f>_xlfn.XLOOKUP(C265,Tab_Def_Flows[Flow_Name],Tab_Def_Flows[Use_E1],,0,)</f>
        <v>Yes</v>
      </c>
      <c r="E265" s="6" t="str">
        <f>_xlfn.XLOOKUP(C265,Tab_Def_Flows[Flow_Name],Tab_Def_Flows[Use_E2],,0,)</f>
        <v>Yes</v>
      </c>
      <c r="F265" s="6" t="str">
        <f>_xlfn.XLOOKUP(C265,Tab_Def_Flows[Flow_Name],Tab_Def_Flows[Use_E3],,0,)</f>
        <v>Yes</v>
      </c>
      <c r="G265" s="6" t="str">
        <f>_xlfn.XLOOKUP(C265,Tab_Def_Flows[Flow_Name],Tab_Def_Flows[Use_E4],,0,)</f>
        <v>Yes</v>
      </c>
      <c r="H265" s="6" t="str">
        <f>_xlfn.XLOOKUP(C265,Tab_Def_Flows[Flow_Name],Tab_Def_Flows[Use_E5],,0,)</f>
        <v>Yes</v>
      </c>
      <c r="I265" s="6" t="str">
        <f>_xlfn.XLOOKUP(C265,Tab_Def_Flows[Flow_Name],Tab_Def_Flows[Use_E6],,0,)</f>
        <v>Yes</v>
      </c>
      <c r="J265" s="4"/>
      <c r="K265" s="18"/>
      <c r="L265" s="3" t="str">
        <f>'0_Configuration'!$C$41</f>
        <v>Mg</v>
      </c>
      <c r="M265" s="10"/>
      <c r="N265" s="23" t="s">
        <v>3</v>
      </c>
      <c r="O265" s="11"/>
      <c r="P265" s="4"/>
      <c r="Q265" s="10"/>
      <c r="R265" s="3">
        <f>_xlfn.XLOOKUP(Tab_Data_Flows[[#This Row],[Flow_Name]],Tab_Def_Flows[Flow_Name],Tab_Def_Flows[Flow_E1_Fraction'[%']],"N.A.",0,1)</f>
        <v>0</v>
      </c>
      <c r="S265" s="9">
        <f t="shared" si="8"/>
        <v>0</v>
      </c>
      <c r="T265" s="3" t="str">
        <f>Tab_Data_Flows[[#This Row],[UoM_Source]]</f>
        <v>Mg</v>
      </c>
      <c r="U265" s="24">
        <f>_xlfn.XLOOKUP(Tab_Data_Flows[[#This Row],[Flow_Name]],Tab_Def_Flows[Flow_Name],Tab_Def_Flows[Flow_E2_Fraction'[%']],"N.A.",0,1)</f>
        <v>0</v>
      </c>
      <c r="V265" s="3">
        <f>IF(D265="Yes",S265*Tab_Data_Flows[[#This Row],[E2_Fraction'[%']]],"N.A.")</f>
        <v>0</v>
      </c>
      <c r="W265" s="3" t="str">
        <f>Tab_Data_Flows[[#This Row],[E1_UoM]]</f>
        <v>Mg</v>
      </c>
      <c r="X265" s="24">
        <f>_xlfn.XLOOKUP(Tab_Data_Flows[[#This Row],[Flow_Name]],Tab_Def_Flows[Flow_Name],Tab_Def_Flows[Flow_E3_Fraction'[%']],"N.A.",0,1)</f>
        <v>0</v>
      </c>
      <c r="Y265" s="3">
        <f>IF(E265="Yes",X265*Tab_Data_Flows[[#This Row],[E1_value]],"N.A.")</f>
        <v>0</v>
      </c>
      <c r="Z265" s="3" t="str">
        <f>Tab_Data_Flows[[#This Row],[E1_UoM]]</f>
        <v>Mg</v>
      </c>
      <c r="AA265" s="24">
        <f>_xlfn.XLOOKUP(Tab_Data_Flows[[#This Row],[Flow_Name]],Tab_Def_Flows[Flow_Name],Tab_Def_Flows[Flow_E4_Fraction'[%']],"N.A.",0,1)</f>
        <v>0</v>
      </c>
      <c r="AB265" s="3">
        <f>IF(H265="Yes",Tab_Data_Flows[[#This Row],[E4_Fraction'[%']]]*Tab_Data_Flows[[#This Row],[E1_value]],"N.A.")</f>
        <v>0</v>
      </c>
      <c r="AC265" s="3" t="str">
        <f>Tab_Data_Flows[[#This Row],[E1_UoM]]</f>
        <v>Mg</v>
      </c>
      <c r="AD265" s="24">
        <f>_xlfn.XLOOKUP(Tab_Data_Flows[[#This Row],[Flow_Name]],Tab_Def_Flows[Flow_Name],Tab_Def_Flows[Flow_E5_Fraction'[%']],"N.A.",0,1)</f>
        <v>0</v>
      </c>
      <c r="AE265" s="3">
        <f>IF(H265="Yes",Tab_Data_Flows[[#This Row],[E5_Fraction'[%']]]*Tab_Data_Flows[[#This Row],[E1_value]],"N.A.")</f>
        <v>0</v>
      </c>
      <c r="AF265" s="3" t="str">
        <f>Tab_Data_Flows[[#This Row],[E1_UoM]]</f>
        <v>Mg</v>
      </c>
      <c r="AG265" s="24">
        <f>_xlfn.XLOOKUP(Tab_Data_Flows[[#This Row],[Flow_Name]],Tab_Def_Flows[Flow_Name],Tab_Def_Flows[Flow_E6_Fraction'[%']],"N.A.",0,1)</f>
        <v>0</v>
      </c>
      <c r="AH265" s="3">
        <f>IF(Tab_Data_Flows[[#This Row],[Use_E6]]="Yes",Tab_Data_Flows[[#This Row],[E6_Fraction'[%']]]*Tab_Data_Flows[[#This Row],[E1_value]],"N.A.")</f>
        <v>0</v>
      </c>
      <c r="AI265" s="3" t="str">
        <f>Tab_Data_Flows[[#This Row],[E1_UoM]]</f>
        <v>Mg</v>
      </c>
    </row>
    <row r="266" spans="1:35" x14ac:dyDescent="0.25">
      <c r="A266" s="5">
        <f t="shared" si="9"/>
        <v>265</v>
      </c>
      <c r="B266" s="3" t="str">
        <f>_xlfn.XLOOKUP(C266,Tab_Def_Flows[Flow_Name],Tab_Def_Flows[Flow_ID],,0,)</f>
        <v>F__</v>
      </c>
      <c r="C266" s="23" t="s">
        <v>5</v>
      </c>
      <c r="D266" s="6" t="str">
        <f>_xlfn.XLOOKUP(C266,Tab_Def_Flows[Flow_Name],Tab_Def_Flows[Use_E1],,0,)</f>
        <v>Yes</v>
      </c>
      <c r="E266" s="6" t="str">
        <f>_xlfn.XLOOKUP(C266,Tab_Def_Flows[Flow_Name],Tab_Def_Flows[Use_E2],,0,)</f>
        <v>Yes</v>
      </c>
      <c r="F266" s="6" t="str">
        <f>_xlfn.XLOOKUP(C266,Tab_Def_Flows[Flow_Name],Tab_Def_Flows[Use_E3],,0,)</f>
        <v>Yes</v>
      </c>
      <c r="G266" s="6" t="str">
        <f>_xlfn.XLOOKUP(C266,Tab_Def_Flows[Flow_Name],Tab_Def_Flows[Use_E4],,0,)</f>
        <v>Yes</v>
      </c>
      <c r="H266" s="6" t="str">
        <f>_xlfn.XLOOKUP(C266,Tab_Def_Flows[Flow_Name],Tab_Def_Flows[Use_E5],,0,)</f>
        <v>Yes</v>
      </c>
      <c r="I266" s="6" t="str">
        <f>_xlfn.XLOOKUP(C266,Tab_Def_Flows[Flow_Name],Tab_Def_Flows[Use_E6],,0,)</f>
        <v>Yes</v>
      </c>
      <c r="J266" s="4"/>
      <c r="K266" s="18"/>
      <c r="L266" s="3" t="str">
        <f>'0_Configuration'!$C$41</f>
        <v>Mg</v>
      </c>
      <c r="M266" s="10"/>
      <c r="N266" s="23" t="s">
        <v>3</v>
      </c>
      <c r="O266" s="11"/>
      <c r="P266" s="4"/>
      <c r="Q266" s="10"/>
      <c r="R266" s="3">
        <f>_xlfn.XLOOKUP(Tab_Data_Flows[[#This Row],[Flow_Name]],Tab_Def_Flows[Flow_Name],Tab_Def_Flows[Flow_E1_Fraction'[%']],"N.A.",0,1)</f>
        <v>0</v>
      </c>
      <c r="S266" s="9">
        <f t="shared" si="8"/>
        <v>0</v>
      </c>
      <c r="T266" s="3" t="str">
        <f>Tab_Data_Flows[[#This Row],[UoM_Source]]</f>
        <v>Mg</v>
      </c>
      <c r="U266" s="24">
        <f>_xlfn.XLOOKUP(Tab_Data_Flows[[#This Row],[Flow_Name]],Tab_Def_Flows[Flow_Name],Tab_Def_Flows[Flow_E2_Fraction'[%']],"N.A.",0,1)</f>
        <v>0</v>
      </c>
      <c r="V266" s="3">
        <f>IF(D266="Yes",S266*Tab_Data_Flows[[#This Row],[E2_Fraction'[%']]],"N.A.")</f>
        <v>0</v>
      </c>
      <c r="W266" s="3" t="str">
        <f>Tab_Data_Flows[[#This Row],[E1_UoM]]</f>
        <v>Mg</v>
      </c>
      <c r="X266" s="24">
        <f>_xlfn.XLOOKUP(Tab_Data_Flows[[#This Row],[Flow_Name]],Tab_Def_Flows[Flow_Name],Tab_Def_Flows[Flow_E3_Fraction'[%']],"N.A.",0,1)</f>
        <v>0</v>
      </c>
      <c r="Y266" s="3">
        <f>IF(E266="Yes",X266*Tab_Data_Flows[[#This Row],[E1_value]],"N.A.")</f>
        <v>0</v>
      </c>
      <c r="Z266" s="3" t="str">
        <f>Tab_Data_Flows[[#This Row],[E1_UoM]]</f>
        <v>Mg</v>
      </c>
      <c r="AA266" s="24">
        <f>_xlfn.XLOOKUP(Tab_Data_Flows[[#This Row],[Flow_Name]],Tab_Def_Flows[Flow_Name],Tab_Def_Flows[Flow_E4_Fraction'[%']],"N.A.",0,1)</f>
        <v>0</v>
      </c>
      <c r="AB266" s="3">
        <f>IF(H266="Yes",Tab_Data_Flows[[#This Row],[E4_Fraction'[%']]]*Tab_Data_Flows[[#This Row],[E1_value]],"N.A.")</f>
        <v>0</v>
      </c>
      <c r="AC266" s="3" t="str">
        <f>Tab_Data_Flows[[#This Row],[E1_UoM]]</f>
        <v>Mg</v>
      </c>
      <c r="AD266" s="24">
        <f>_xlfn.XLOOKUP(Tab_Data_Flows[[#This Row],[Flow_Name]],Tab_Def_Flows[Flow_Name],Tab_Def_Flows[Flow_E5_Fraction'[%']],"N.A.",0,1)</f>
        <v>0</v>
      </c>
      <c r="AE266" s="3">
        <f>IF(H266="Yes",Tab_Data_Flows[[#This Row],[E5_Fraction'[%']]]*Tab_Data_Flows[[#This Row],[E1_value]],"N.A.")</f>
        <v>0</v>
      </c>
      <c r="AF266" s="3" t="str">
        <f>Tab_Data_Flows[[#This Row],[E1_UoM]]</f>
        <v>Mg</v>
      </c>
      <c r="AG266" s="24">
        <f>_xlfn.XLOOKUP(Tab_Data_Flows[[#This Row],[Flow_Name]],Tab_Def_Flows[Flow_Name],Tab_Def_Flows[Flow_E6_Fraction'[%']],"N.A.",0,1)</f>
        <v>0</v>
      </c>
      <c r="AH266" s="3">
        <f>IF(Tab_Data_Flows[[#This Row],[Use_E6]]="Yes",Tab_Data_Flows[[#This Row],[E6_Fraction'[%']]]*Tab_Data_Flows[[#This Row],[E1_value]],"N.A.")</f>
        <v>0</v>
      </c>
      <c r="AI266" s="3" t="str">
        <f>Tab_Data_Flows[[#This Row],[E1_UoM]]</f>
        <v>Mg</v>
      </c>
    </row>
    <row r="267" spans="1:35" x14ac:dyDescent="0.25">
      <c r="A267" s="5">
        <f t="shared" si="9"/>
        <v>266</v>
      </c>
      <c r="B267" s="3" t="str">
        <f>_xlfn.XLOOKUP(C267,Tab_Def_Flows[Flow_Name],Tab_Def_Flows[Flow_ID],,0,)</f>
        <v>F__</v>
      </c>
      <c r="C267" s="23" t="s">
        <v>5</v>
      </c>
      <c r="D267" s="6" t="str">
        <f>_xlfn.XLOOKUP(C267,Tab_Def_Flows[Flow_Name],Tab_Def_Flows[Use_E1],,0,)</f>
        <v>Yes</v>
      </c>
      <c r="E267" s="6" t="str">
        <f>_xlfn.XLOOKUP(C267,Tab_Def_Flows[Flow_Name],Tab_Def_Flows[Use_E2],,0,)</f>
        <v>Yes</v>
      </c>
      <c r="F267" s="6" t="str">
        <f>_xlfn.XLOOKUP(C267,Tab_Def_Flows[Flow_Name],Tab_Def_Flows[Use_E3],,0,)</f>
        <v>Yes</v>
      </c>
      <c r="G267" s="6" t="str">
        <f>_xlfn.XLOOKUP(C267,Tab_Def_Flows[Flow_Name],Tab_Def_Flows[Use_E4],,0,)</f>
        <v>Yes</v>
      </c>
      <c r="H267" s="6" t="str">
        <f>_xlfn.XLOOKUP(C267,Tab_Def_Flows[Flow_Name],Tab_Def_Flows[Use_E5],,0,)</f>
        <v>Yes</v>
      </c>
      <c r="I267" s="6" t="str">
        <f>_xlfn.XLOOKUP(C267,Tab_Def_Flows[Flow_Name],Tab_Def_Flows[Use_E6],,0,)</f>
        <v>Yes</v>
      </c>
      <c r="J267" s="4"/>
      <c r="K267" s="18"/>
      <c r="L267" s="3" t="str">
        <f>'0_Configuration'!$C$41</f>
        <v>Mg</v>
      </c>
      <c r="M267" s="10"/>
      <c r="N267" s="23" t="s">
        <v>3</v>
      </c>
      <c r="O267" s="11"/>
      <c r="P267" s="4"/>
      <c r="Q267" s="10"/>
      <c r="R267" s="3">
        <f>_xlfn.XLOOKUP(Tab_Data_Flows[[#This Row],[Flow_Name]],Tab_Def_Flows[Flow_Name],Tab_Def_Flows[Flow_E1_Fraction'[%']],"N.A.",0,1)</f>
        <v>0</v>
      </c>
      <c r="S267" s="9">
        <f t="shared" si="8"/>
        <v>0</v>
      </c>
      <c r="T267" s="3" t="str">
        <f>Tab_Data_Flows[[#This Row],[UoM_Source]]</f>
        <v>Mg</v>
      </c>
      <c r="U267" s="24">
        <f>_xlfn.XLOOKUP(Tab_Data_Flows[[#This Row],[Flow_Name]],Tab_Def_Flows[Flow_Name],Tab_Def_Flows[Flow_E2_Fraction'[%']],"N.A.",0,1)</f>
        <v>0</v>
      </c>
      <c r="V267" s="3">
        <f>IF(D267="Yes",S267*Tab_Data_Flows[[#This Row],[E2_Fraction'[%']]],"N.A.")</f>
        <v>0</v>
      </c>
      <c r="W267" s="3" t="str">
        <f>Tab_Data_Flows[[#This Row],[E1_UoM]]</f>
        <v>Mg</v>
      </c>
      <c r="X267" s="24">
        <f>_xlfn.XLOOKUP(Tab_Data_Flows[[#This Row],[Flow_Name]],Tab_Def_Flows[Flow_Name],Tab_Def_Flows[Flow_E3_Fraction'[%']],"N.A.",0,1)</f>
        <v>0</v>
      </c>
      <c r="Y267" s="3">
        <f>IF(E267="Yes",X267*Tab_Data_Flows[[#This Row],[E1_value]],"N.A.")</f>
        <v>0</v>
      </c>
      <c r="Z267" s="3" t="str">
        <f>Tab_Data_Flows[[#This Row],[E1_UoM]]</f>
        <v>Mg</v>
      </c>
      <c r="AA267" s="24">
        <f>_xlfn.XLOOKUP(Tab_Data_Flows[[#This Row],[Flow_Name]],Tab_Def_Flows[Flow_Name],Tab_Def_Flows[Flow_E4_Fraction'[%']],"N.A.",0,1)</f>
        <v>0</v>
      </c>
      <c r="AB267" s="3">
        <f>IF(H267="Yes",Tab_Data_Flows[[#This Row],[E4_Fraction'[%']]]*Tab_Data_Flows[[#This Row],[E1_value]],"N.A.")</f>
        <v>0</v>
      </c>
      <c r="AC267" s="3" t="str">
        <f>Tab_Data_Flows[[#This Row],[E1_UoM]]</f>
        <v>Mg</v>
      </c>
      <c r="AD267" s="24">
        <f>_xlfn.XLOOKUP(Tab_Data_Flows[[#This Row],[Flow_Name]],Tab_Def_Flows[Flow_Name],Tab_Def_Flows[Flow_E5_Fraction'[%']],"N.A.",0,1)</f>
        <v>0</v>
      </c>
      <c r="AE267" s="3">
        <f>IF(H267="Yes",Tab_Data_Flows[[#This Row],[E5_Fraction'[%']]]*Tab_Data_Flows[[#This Row],[E1_value]],"N.A.")</f>
        <v>0</v>
      </c>
      <c r="AF267" s="3" t="str">
        <f>Tab_Data_Flows[[#This Row],[E1_UoM]]</f>
        <v>Mg</v>
      </c>
      <c r="AG267" s="24">
        <f>_xlfn.XLOOKUP(Tab_Data_Flows[[#This Row],[Flow_Name]],Tab_Def_Flows[Flow_Name],Tab_Def_Flows[Flow_E6_Fraction'[%']],"N.A.",0,1)</f>
        <v>0</v>
      </c>
      <c r="AH267" s="3">
        <f>IF(Tab_Data_Flows[[#This Row],[Use_E6]]="Yes",Tab_Data_Flows[[#This Row],[E6_Fraction'[%']]]*Tab_Data_Flows[[#This Row],[E1_value]],"N.A.")</f>
        <v>0</v>
      </c>
      <c r="AI267" s="3" t="str">
        <f>Tab_Data_Flows[[#This Row],[E1_UoM]]</f>
        <v>Mg</v>
      </c>
    </row>
    <row r="268" spans="1:35" x14ac:dyDescent="0.25">
      <c r="A268" s="5">
        <f t="shared" si="9"/>
        <v>267</v>
      </c>
      <c r="B268" s="3" t="str">
        <f>_xlfn.XLOOKUP(C268,Tab_Def_Flows[Flow_Name],Tab_Def_Flows[Flow_ID],,0,)</f>
        <v>F__</v>
      </c>
      <c r="C268" s="23" t="s">
        <v>5</v>
      </c>
      <c r="D268" s="6" t="str">
        <f>_xlfn.XLOOKUP(C268,Tab_Def_Flows[Flow_Name],Tab_Def_Flows[Use_E1],,0,)</f>
        <v>Yes</v>
      </c>
      <c r="E268" s="6" t="str">
        <f>_xlfn.XLOOKUP(C268,Tab_Def_Flows[Flow_Name],Tab_Def_Flows[Use_E2],,0,)</f>
        <v>Yes</v>
      </c>
      <c r="F268" s="6" t="str">
        <f>_xlfn.XLOOKUP(C268,Tab_Def_Flows[Flow_Name],Tab_Def_Flows[Use_E3],,0,)</f>
        <v>Yes</v>
      </c>
      <c r="G268" s="6" t="str">
        <f>_xlfn.XLOOKUP(C268,Tab_Def_Flows[Flow_Name],Tab_Def_Flows[Use_E4],,0,)</f>
        <v>Yes</v>
      </c>
      <c r="H268" s="6" t="str">
        <f>_xlfn.XLOOKUP(C268,Tab_Def_Flows[Flow_Name],Tab_Def_Flows[Use_E5],,0,)</f>
        <v>Yes</v>
      </c>
      <c r="I268" s="6" t="str">
        <f>_xlfn.XLOOKUP(C268,Tab_Def_Flows[Flow_Name],Tab_Def_Flows[Use_E6],,0,)</f>
        <v>Yes</v>
      </c>
      <c r="J268" s="4"/>
      <c r="K268" s="18"/>
      <c r="L268" s="3" t="str">
        <f>'0_Configuration'!$C$41</f>
        <v>Mg</v>
      </c>
      <c r="M268" s="10"/>
      <c r="N268" s="23" t="s">
        <v>3</v>
      </c>
      <c r="O268" s="11"/>
      <c r="P268" s="4"/>
      <c r="Q268" s="10"/>
      <c r="R268" s="3">
        <f>_xlfn.XLOOKUP(Tab_Data_Flows[[#This Row],[Flow_Name]],Tab_Def_Flows[Flow_Name],Tab_Def_Flows[Flow_E1_Fraction'[%']],"N.A.",0,1)</f>
        <v>0</v>
      </c>
      <c r="S268" s="9">
        <f t="shared" si="8"/>
        <v>0</v>
      </c>
      <c r="T268" s="3" t="str">
        <f>Tab_Data_Flows[[#This Row],[UoM_Source]]</f>
        <v>Mg</v>
      </c>
      <c r="U268" s="24">
        <f>_xlfn.XLOOKUP(Tab_Data_Flows[[#This Row],[Flow_Name]],Tab_Def_Flows[Flow_Name],Tab_Def_Flows[Flow_E2_Fraction'[%']],"N.A.",0,1)</f>
        <v>0</v>
      </c>
      <c r="V268" s="3">
        <f>IF(D268="Yes",S268*Tab_Data_Flows[[#This Row],[E2_Fraction'[%']]],"N.A.")</f>
        <v>0</v>
      </c>
      <c r="W268" s="3" t="str">
        <f>Tab_Data_Flows[[#This Row],[E1_UoM]]</f>
        <v>Mg</v>
      </c>
      <c r="X268" s="24">
        <f>_xlfn.XLOOKUP(Tab_Data_Flows[[#This Row],[Flow_Name]],Tab_Def_Flows[Flow_Name],Tab_Def_Flows[Flow_E3_Fraction'[%']],"N.A.",0,1)</f>
        <v>0</v>
      </c>
      <c r="Y268" s="3">
        <f>IF(E268="Yes",X268*Tab_Data_Flows[[#This Row],[E1_value]],"N.A.")</f>
        <v>0</v>
      </c>
      <c r="Z268" s="3" t="str">
        <f>Tab_Data_Flows[[#This Row],[E1_UoM]]</f>
        <v>Mg</v>
      </c>
      <c r="AA268" s="24">
        <f>_xlfn.XLOOKUP(Tab_Data_Flows[[#This Row],[Flow_Name]],Tab_Def_Flows[Flow_Name],Tab_Def_Flows[Flow_E4_Fraction'[%']],"N.A.",0,1)</f>
        <v>0</v>
      </c>
      <c r="AB268" s="3">
        <f>IF(H268="Yes",Tab_Data_Flows[[#This Row],[E4_Fraction'[%']]]*Tab_Data_Flows[[#This Row],[E1_value]],"N.A.")</f>
        <v>0</v>
      </c>
      <c r="AC268" s="3" t="str">
        <f>Tab_Data_Flows[[#This Row],[E1_UoM]]</f>
        <v>Mg</v>
      </c>
      <c r="AD268" s="24">
        <f>_xlfn.XLOOKUP(Tab_Data_Flows[[#This Row],[Flow_Name]],Tab_Def_Flows[Flow_Name],Tab_Def_Flows[Flow_E5_Fraction'[%']],"N.A.",0,1)</f>
        <v>0</v>
      </c>
      <c r="AE268" s="3">
        <f>IF(H268="Yes",Tab_Data_Flows[[#This Row],[E5_Fraction'[%']]]*Tab_Data_Flows[[#This Row],[E1_value]],"N.A.")</f>
        <v>0</v>
      </c>
      <c r="AF268" s="3" t="str">
        <f>Tab_Data_Flows[[#This Row],[E1_UoM]]</f>
        <v>Mg</v>
      </c>
      <c r="AG268" s="24">
        <f>_xlfn.XLOOKUP(Tab_Data_Flows[[#This Row],[Flow_Name]],Tab_Def_Flows[Flow_Name],Tab_Def_Flows[Flow_E6_Fraction'[%']],"N.A.",0,1)</f>
        <v>0</v>
      </c>
      <c r="AH268" s="3">
        <f>IF(Tab_Data_Flows[[#This Row],[Use_E6]]="Yes",Tab_Data_Flows[[#This Row],[E6_Fraction'[%']]]*Tab_Data_Flows[[#This Row],[E1_value]],"N.A.")</f>
        <v>0</v>
      </c>
      <c r="AI268" s="3" t="str">
        <f>Tab_Data_Flows[[#This Row],[E1_UoM]]</f>
        <v>Mg</v>
      </c>
    </row>
    <row r="269" spans="1:35" x14ac:dyDescent="0.25">
      <c r="A269" s="5">
        <f t="shared" si="9"/>
        <v>268</v>
      </c>
      <c r="B269" s="3" t="str">
        <f>_xlfn.XLOOKUP(C269,Tab_Def_Flows[Flow_Name],Tab_Def_Flows[Flow_ID],,0,)</f>
        <v>F__</v>
      </c>
      <c r="C269" s="23" t="s">
        <v>5</v>
      </c>
      <c r="D269" s="6" t="str">
        <f>_xlfn.XLOOKUP(C269,Tab_Def_Flows[Flow_Name],Tab_Def_Flows[Use_E1],,0,)</f>
        <v>Yes</v>
      </c>
      <c r="E269" s="6" t="str">
        <f>_xlfn.XLOOKUP(C269,Tab_Def_Flows[Flow_Name],Tab_Def_Flows[Use_E2],,0,)</f>
        <v>Yes</v>
      </c>
      <c r="F269" s="6" t="str">
        <f>_xlfn.XLOOKUP(C269,Tab_Def_Flows[Flow_Name],Tab_Def_Flows[Use_E3],,0,)</f>
        <v>Yes</v>
      </c>
      <c r="G269" s="6" t="str">
        <f>_xlfn.XLOOKUP(C269,Tab_Def_Flows[Flow_Name],Tab_Def_Flows[Use_E4],,0,)</f>
        <v>Yes</v>
      </c>
      <c r="H269" s="6" t="str">
        <f>_xlfn.XLOOKUP(C269,Tab_Def_Flows[Flow_Name],Tab_Def_Flows[Use_E5],,0,)</f>
        <v>Yes</v>
      </c>
      <c r="I269" s="6" t="str">
        <f>_xlfn.XLOOKUP(C269,Tab_Def_Flows[Flow_Name],Tab_Def_Flows[Use_E6],,0,)</f>
        <v>Yes</v>
      </c>
      <c r="J269" s="4"/>
      <c r="K269" s="18"/>
      <c r="L269" s="3" t="str">
        <f>'0_Configuration'!$C$41</f>
        <v>Mg</v>
      </c>
      <c r="M269" s="10"/>
      <c r="N269" s="23" t="s">
        <v>3</v>
      </c>
      <c r="O269" s="11"/>
      <c r="P269" s="4"/>
      <c r="Q269" s="10"/>
      <c r="R269" s="3">
        <f>_xlfn.XLOOKUP(Tab_Data_Flows[[#This Row],[Flow_Name]],Tab_Def_Flows[Flow_Name],Tab_Def_Flows[Flow_E1_Fraction'[%']],"N.A.",0,1)</f>
        <v>0</v>
      </c>
      <c r="S269" s="9">
        <f t="shared" si="8"/>
        <v>0</v>
      </c>
      <c r="T269" s="3" t="str">
        <f>Tab_Data_Flows[[#This Row],[UoM_Source]]</f>
        <v>Mg</v>
      </c>
      <c r="U269" s="24">
        <f>_xlfn.XLOOKUP(Tab_Data_Flows[[#This Row],[Flow_Name]],Tab_Def_Flows[Flow_Name],Tab_Def_Flows[Flow_E2_Fraction'[%']],"N.A.",0,1)</f>
        <v>0</v>
      </c>
      <c r="V269" s="3">
        <f>IF(D269="Yes",S269*Tab_Data_Flows[[#This Row],[E2_Fraction'[%']]],"N.A.")</f>
        <v>0</v>
      </c>
      <c r="W269" s="3" t="str">
        <f>Tab_Data_Flows[[#This Row],[E1_UoM]]</f>
        <v>Mg</v>
      </c>
      <c r="X269" s="24">
        <f>_xlfn.XLOOKUP(Tab_Data_Flows[[#This Row],[Flow_Name]],Tab_Def_Flows[Flow_Name],Tab_Def_Flows[Flow_E3_Fraction'[%']],"N.A.",0,1)</f>
        <v>0</v>
      </c>
      <c r="Y269" s="3">
        <f>IF(E269="Yes",X269*Tab_Data_Flows[[#This Row],[E1_value]],"N.A.")</f>
        <v>0</v>
      </c>
      <c r="Z269" s="3" t="str">
        <f>Tab_Data_Flows[[#This Row],[E1_UoM]]</f>
        <v>Mg</v>
      </c>
      <c r="AA269" s="24">
        <f>_xlfn.XLOOKUP(Tab_Data_Flows[[#This Row],[Flow_Name]],Tab_Def_Flows[Flow_Name],Tab_Def_Flows[Flow_E4_Fraction'[%']],"N.A.",0,1)</f>
        <v>0</v>
      </c>
      <c r="AB269" s="3">
        <f>IF(H269="Yes",Tab_Data_Flows[[#This Row],[E4_Fraction'[%']]]*Tab_Data_Flows[[#This Row],[E1_value]],"N.A.")</f>
        <v>0</v>
      </c>
      <c r="AC269" s="3" t="str">
        <f>Tab_Data_Flows[[#This Row],[E1_UoM]]</f>
        <v>Mg</v>
      </c>
      <c r="AD269" s="24">
        <f>_xlfn.XLOOKUP(Tab_Data_Flows[[#This Row],[Flow_Name]],Tab_Def_Flows[Flow_Name],Tab_Def_Flows[Flow_E5_Fraction'[%']],"N.A.",0,1)</f>
        <v>0</v>
      </c>
      <c r="AE269" s="3">
        <f>IF(H269="Yes",Tab_Data_Flows[[#This Row],[E5_Fraction'[%']]]*Tab_Data_Flows[[#This Row],[E1_value]],"N.A.")</f>
        <v>0</v>
      </c>
      <c r="AF269" s="3" t="str">
        <f>Tab_Data_Flows[[#This Row],[E1_UoM]]</f>
        <v>Mg</v>
      </c>
      <c r="AG269" s="24">
        <f>_xlfn.XLOOKUP(Tab_Data_Flows[[#This Row],[Flow_Name]],Tab_Def_Flows[Flow_Name],Tab_Def_Flows[Flow_E6_Fraction'[%']],"N.A.",0,1)</f>
        <v>0</v>
      </c>
      <c r="AH269" s="3">
        <f>IF(Tab_Data_Flows[[#This Row],[Use_E6]]="Yes",Tab_Data_Flows[[#This Row],[E6_Fraction'[%']]]*Tab_Data_Flows[[#This Row],[E1_value]],"N.A.")</f>
        <v>0</v>
      </c>
      <c r="AI269" s="3" t="str">
        <f>Tab_Data_Flows[[#This Row],[E1_UoM]]</f>
        <v>Mg</v>
      </c>
    </row>
    <row r="270" spans="1:35" x14ac:dyDescent="0.25">
      <c r="A270" s="5">
        <f t="shared" si="9"/>
        <v>269</v>
      </c>
      <c r="B270" s="3" t="str">
        <f>_xlfn.XLOOKUP(C270,Tab_Def_Flows[Flow_Name],Tab_Def_Flows[Flow_ID],,0,)</f>
        <v>F__</v>
      </c>
      <c r="C270" s="23" t="s">
        <v>5</v>
      </c>
      <c r="D270" s="6" t="str">
        <f>_xlfn.XLOOKUP(C270,Tab_Def_Flows[Flow_Name],Tab_Def_Flows[Use_E1],,0,)</f>
        <v>Yes</v>
      </c>
      <c r="E270" s="6" t="str">
        <f>_xlfn.XLOOKUP(C270,Tab_Def_Flows[Flow_Name],Tab_Def_Flows[Use_E2],,0,)</f>
        <v>Yes</v>
      </c>
      <c r="F270" s="6" t="str">
        <f>_xlfn.XLOOKUP(C270,Tab_Def_Flows[Flow_Name],Tab_Def_Flows[Use_E3],,0,)</f>
        <v>Yes</v>
      </c>
      <c r="G270" s="6" t="str">
        <f>_xlfn.XLOOKUP(C270,Tab_Def_Flows[Flow_Name],Tab_Def_Flows[Use_E4],,0,)</f>
        <v>Yes</v>
      </c>
      <c r="H270" s="6" t="str">
        <f>_xlfn.XLOOKUP(C270,Tab_Def_Flows[Flow_Name],Tab_Def_Flows[Use_E5],,0,)</f>
        <v>Yes</v>
      </c>
      <c r="I270" s="6" t="str">
        <f>_xlfn.XLOOKUP(C270,Tab_Def_Flows[Flow_Name],Tab_Def_Flows[Use_E6],,0,)</f>
        <v>Yes</v>
      </c>
      <c r="J270" s="4"/>
      <c r="K270" s="18"/>
      <c r="L270" s="3" t="str">
        <f>'0_Configuration'!$C$41</f>
        <v>Mg</v>
      </c>
      <c r="M270" s="10"/>
      <c r="N270" s="23" t="s">
        <v>3</v>
      </c>
      <c r="O270" s="11"/>
      <c r="P270" s="4"/>
      <c r="Q270" s="10"/>
      <c r="R270" s="3">
        <f>_xlfn.XLOOKUP(Tab_Data_Flows[[#This Row],[Flow_Name]],Tab_Def_Flows[Flow_Name],Tab_Def_Flows[Flow_E1_Fraction'[%']],"N.A.",0,1)</f>
        <v>0</v>
      </c>
      <c r="S270" s="9">
        <f t="shared" si="8"/>
        <v>0</v>
      </c>
      <c r="T270" s="3" t="str">
        <f>Tab_Data_Flows[[#This Row],[UoM_Source]]</f>
        <v>Mg</v>
      </c>
      <c r="U270" s="24">
        <f>_xlfn.XLOOKUP(Tab_Data_Flows[[#This Row],[Flow_Name]],Tab_Def_Flows[Flow_Name],Tab_Def_Flows[Flow_E2_Fraction'[%']],"N.A.",0,1)</f>
        <v>0</v>
      </c>
      <c r="V270" s="3">
        <f>IF(D270="Yes",S270*Tab_Data_Flows[[#This Row],[E2_Fraction'[%']]],"N.A.")</f>
        <v>0</v>
      </c>
      <c r="W270" s="3" t="str">
        <f>Tab_Data_Flows[[#This Row],[E1_UoM]]</f>
        <v>Mg</v>
      </c>
      <c r="X270" s="24">
        <f>_xlfn.XLOOKUP(Tab_Data_Flows[[#This Row],[Flow_Name]],Tab_Def_Flows[Flow_Name],Tab_Def_Flows[Flow_E3_Fraction'[%']],"N.A.",0,1)</f>
        <v>0</v>
      </c>
      <c r="Y270" s="3">
        <f>IF(E270="Yes",X270*Tab_Data_Flows[[#This Row],[E1_value]],"N.A.")</f>
        <v>0</v>
      </c>
      <c r="Z270" s="3" t="str">
        <f>Tab_Data_Flows[[#This Row],[E1_UoM]]</f>
        <v>Mg</v>
      </c>
      <c r="AA270" s="24">
        <f>_xlfn.XLOOKUP(Tab_Data_Flows[[#This Row],[Flow_Name]],Tab_Def_Flows[Flow_Name],Tab_Def_Flows[Flow_E4_Fraction'[%']],"N.A.",0,1)</f>
        <v>0</v>
      </c>
      <c r="AB270" s="3">
        <f>IF(H270="Yes",Tab_Data_Flows[[#This Row],[E4_Fraction'[%']]]*Tab_Data_Flows[[#This Row],[E1_value]],"N.A.")</f>
        <v>0</v>
      </c>
      <c r="AC270" s="3" t="str">
        <f>Tab_Data_Flows[[#This Row],[E1_UoM]]</f>
        <v>Mg</v>
      </c>
      <c r="AD270" s="24">
        <f>_xlfn.XLOOKUP(Tab_Data_Flows[[#This Row],[Flow_Name]],Tab_Def_Flows[Flow_Name],Tab_Def_Flows[Flow_E5_Fraction'[%']],"N.A.",0,1)</f>
        <v>0</v>
      </c>
      <c r="AE270" s="3">
        <f>IF(H270="Yes",Tab_Data_Flows[[#This Row],[E5_Fraction'[%']]]*Tab_Data_Flows[[#This Row],[E1_value]],"N.A.")</f>
        <v>0</v>
      </c>
      <c r="AF270" s="3" t="str">
        <f>Tab_Data_Flows[[#This Row],[E1_UoM]]</f>
        <v>Mg</v>
      </c>
      <c r="AG270" s="24">
        <f>_xlfn.XLOOKUP(Tab_Data_Flows[[#This Row],[Flow_Name]],Tab_Def_Flows[Flow_Name],Tab_Def_Flows[Flow_E6_Fraction'[%']],"N.A.",0,1)</f>
        <v>0</v>
      </c>
      <c r="AH270" s="3">
        <f>IF(Tab_Data_Flows[[#This Row],[Use_E6]]="Yes",Tab_Data_Flows[[#This Row],[E6_Fraction'[%']]]*Tab_Data_Flows[[#This Row],[E1_value]],"N.A.")</f>
        <v>0</v>
      </c>
      <c r="AI270" s="3" t="str">
        <f>Tab_Data_Flows[[#This Row],[E1_UoM]]</f>
        <v>Mg</v>
      </c>
    </row>
    <row r="271" spans="1:35" x14ac:dyDescent="0.25">
      <c r="A271" s="5">
        <f t="shared" si="9"/>
        <v>270</v>
      </c>
      <c r="B271" s="3" t="str">
        <f>_xlfn.XLOOKUP(C271,Tab_Def_Flows[Flow_Name],Tab_Def_Flows[Flow_ID],,0,)</f>
        <v>F__</v>
      </c>
      <c r="C271" s="23" t="s">
        <v>5</v>
      </c>
      <c r="D271" s="6" t="str">
        <f>_xlfn.XLOOKUP(C271,Tab_Def_Flows[Flow_Name],Tab_Def_Flows[Use_E1],,0,)</f>
        <v>Yes</v>
      </c>
      <c r="E271" s="6" t="str">
        <f>_xlfn.XLOOKUP(C271,Tab_Def_Flows[Flow_Name],Tab_Def_Flows[Use_E2],,0,)</f>
        <v>Yes</v>
      </c>
      <c r="F271" s="6" t="str">
        <f>_xlfn.XLOOKUP(C271,Tab_Def_Flows[Flow_Name],Tab_Def_Flows[Use_E3],,0,)</f>
        <v>Yes</v>
      </c>
      <c r="G271" s="6" t="str">
        <f>_xlfn.XLOOKUP(C271,Tab_Def_Flows[Flow_Name],Tab_Def_Flows[Use_E4],,0,)</f>
        <v>Yes</v>
      </c>
      <c r="H271" s="6" t="str">
        <f>_xlfn.XLOOKUP(C271,Tab_Def_Flows[Flow_Name],Tab_Def_Flows[Use_E5],,0,)</f>
        <v>Yes</v>
      </c>
      <c r="I271" s="6" t="str">
        <f>_xlfn.XLOOKUP(C271,Tab_Def_Flows[Flow_Name],Tab_Def_Flows[Use_E6],,0,)</f>
        <v>Yes</v>
      </c>
      <c r="J271" s="4"/>
      <c r="K271" s="18"/>
      <c r="L271" s="3" t="str">
        <f>'0_Configuration'!$C$41</f>
        <v>Mg</v>
      </c>
      <c r="M271" s="10"/>
      <c r="N271" s="23" t="s">
        <v>3</v>
      </c>
      <c r="O271" s="11"/>
      <c r="P271" s="4"/>
      <c r="Q271" s="10"/>
      <c r="R271" s="3">
        <f>_xlfn.XLOOKUP(Tab_Data_Flows[[#This Row],[Flow_Name]],Tab_Def_Flows[Flow_Name],Tab_Def_Flows[Flow_E1_Fraction'[%']],"N.A.",0,1)</f>
        <v>0</v>
      </c>
      <c r="S271" s="9">
        <f t="shared" si="8"/>
        <v>0</v>
      </c>
      <c r="T271" s="3" t="str">
        <f>Tab_Data_Flows[[#This Row],[UoM_Source]]</f>
        <v>Mg</v>
      </c>
      <c r="U271" s="24">
        <f>_xlfn.XLOOKUP(Tab_Data_Flows[[#This Row],[Flow_Name]],Tab_Def_Flows[Flow_Name],Tab_Def_Flows[Flow_E2_Fraction'[%']],"N.A.",0,1)</f>
        <v>0</v>
      </c>
      <c r="V271" s="3">
        <f>IF(D271="Yes",S271*Tab_Data_Flows[[#This Row],[E2_Fraction'[%']]],"N.A.")</f>
        <v>0</v>
      </c>
      <c r="W271" s="3" t="str">
        <f>Tab_Data_Flows[[#This Row],[E1_UoM]]</f>
        <v>Mg</v>
      </c>
      <c r="X271" s="24">
        <f>_xlfn.XLOOKUP(Tab_Data_Flows[[#This Row],[Flow_Name]],Tab_Def_Flows[Flow_Name],Tab_Def_Flows[Flow_E3_Fraction'[%']],"N.A.",0,1)</f>
        <v>0</v>
      </c>
      <c r="Y271" s="3">
        <f>IF(E271="Yes",X271*Tab_Data_Flows[[#This Row],[E1_value]],"N.A.")</f>
        <v>0</v>
      </c>
      <c r="Z271" s="3" t="str">
        <f>Tab_Data_Flows[[#This Row],[E1_UoM]]</f>
        <v>Mg</v>
      </c>
      <c r="AA271" s="24">
        <f>_xlfn.XLOOKUP(Tab_Data_Flows[[#This Row],[Flow_Name]],Tab_Def_Flows[Flow_Name],Tab_Def_Flows[Flow_E4_Fraction'[%']],"N.A.",0,1)</f>
        <v>0</v>
      </c>
      <c r="AB271" s="3">
        <f>IF(H271="Yes",Tab_Data_Flows[[#This Row],[E4_Fraction'[%']]]*Tab_Data_Flows[[#This Row],[E1_value]],"N.A.")</f>
        <v>0</v>
      </c>
      <c r="AC271" s="3" t="str">
        <f>Tab_Data_Flows[[#This Row],[E1_UoM]]</f>
        <v>Mg</v>
      </c>
      <c r="AD271" s="24">
        <f>_xlfn.XLOOKUP(Tab_Data_Flows[[#This Row],[Flow_Name]],Tab_Def_Flows[Flow_Name],Tab_Def_Flows[Flow_E5_Fraction'[%']],"N.A.",0,1)</f>
        <v>0</v>
      </c>
      <c r="AE271" s="3">
        <f>IF(H271="Yes",Tab_Data_Flows[[#This Row],[E5_Fraction'[%']]]*Tab_Data_Flows[[#This Row],[E1_value]],"N.A.")</f>
        <v>0</v>
      </c>
      <c r="AF271" s="3" t="str">
        <f>Tab_Data_Flows[[#This Row],[E1_UoM]]</f>
        <v>Mg</v>
      </c>
      <c r="AG271" s="24">
        <f>_xlfn.XLOOKUP(Tab_Data_Flows[[#This Row],[Flow_Name]],Tab_Def_Flows[Flow_Name],Tab_Def_Flows[Flow_E6_Fraction'[%']],"N.A.",0,1)</f>
        <v>0</v>
      </c>
      <c r="AH271" s="3">
        <f>IF(Tab_Data_Flows[[#This Row],[Use_E6]]="Yes",Tab_Data_Flows[[#This Row],[E6_Fraction'[%']]]*Tab_Data_Flows[[#This Row],[E1_value]],"N.A.")</f>
        <v>0</v>
      </c>
      <c r="AI271" s="3" t="str">
        <f>Tab_Data_Flows[[#This Row],[E1_UoM]]</f>
        <v>Mg</v>
      </c>
    </row>
    <row r="272" spans="1:35" x14ac:dyDescent="0.25">
      <c r="A272" s="5">
        <f t="shared" si="9"/>
        <v>271</v>
      </c>
      <c r="B272" s="3" t="str">
        <f>_xlfn.XLOOKUP(C272,Tab_Def_Flows[Flow_Name],Tab_Def_Flows[Flow_ID],,0,)</f>
        <v>F__</v>
      </c>
      <c r="C272" s="23" t="s">
        <v>5</v>
      </c>
      <c r="D272" s="6" t="str">
        <f>_xlfn.XLOOKUP(C272,Tab_Def_Flows[Flow_Name],Tab_Def_Flows[Use_E1],,0,)</f>
        <v>Yes</v>
      </c>
      <c r="E272" s="6" t="str">
        <f>_xlfn.XLOOKUP(C272,Tab_Def_Flows[Flow_Name],Tab_Def_Flows[Use_E2],,0,)</f>
        <v>Yes</v>
      </c>
      <c r="F272" s="6" t="str">
        <f>_xlfn.XLOOKUP(C272,Tab_Def_Flows[Flow_Name],Tab_Def_Flows[Use_E3],,0,)</f>
        <v>Yes</v>
      </c>
      <c r="G272" s="6" t="str">
        <f>_xlfn.XLOOKUP(C272,Tab_Def_Flows[Flow_Name],Tab_Def_Flows[Use_E4],,0,)</f>
        <v>Yes</v>
      </c>
      <c r="H272" s="6" t="str">
        <f>_xlfn.XLOOKUP(C272,Tab_Def_Flows[Flow_Name],Tab_Def_Flows[Use_E5],,0,)</f>
        <v>Yes</v>
      </c>
      <c r="I272" s="6" t="str">
        <f>_xlfn.XLOOKUP(C272,Tab_Def_Flows[Flow_Name],Tab_Def_Flows[Use_E6],,0,)</f>
        <v>Yes</v>
      </c>
      <c r="J272" s="4"/>
      <c r="K272" s="18"/>
      <c r="L272" s="3" t="str">
        <f>'0_Configuration'!$C$41</f>
        <v>Mg</v>
      </c>
      <c r="M272" s="10"/>
      <c r="N272" s="23" t="s">
        <v>3</v>
      </c>
      <c r="O272" s="11"/>
      <c r="P272" s="4"/>
      <c r="Q272" s="10"/>
      <c r="R272" s="3">
        <f>_xlfn.XLOOKUP(Tab_Data_Flows[[#This Row],[Flow_Name]],Tab_Def_Flows[Flow_Name],Tab_Def_Flows[Flow_E1_Fraction'[%']],"N.A.",0,1)</f>
        <v>0</v>
      </c>
      <c r="S272" s="9">
        <f t="shared" si="8"/>
        <v>0</v>
      </c>
      <c r="T272" s="3" t="str">
        <f>Tab_Data_Flows[[#This Row],[UoM_Source]]</f>
        <v>Mg</v>
      </c>
      <c r="U272" s="24">
        <f>_xlfn.XLOOKUP(Tab_Data_Flows[[#This Row],[Flow_Name]],Tab_Def_Flows[Flow_Name],Tab_Def_Flows[Flow_E2_Fraction'[%']],"N.A.",0,1)</f>
        <v>0</v>
      </c>
      <c r="V272" s="3">
        <f>IF(D272="Yes",S272*Tab_Data_Flows[[#This Row],[E2_Fraction'[%']]],"N.A.")</f>
        <v>0</v>
      </c>
      <c r="W272" s="3" t="str">
        <f>Tab_Data_Flows[[#This Row],[E1_UoM]]</f>
        <v>Mg</v>
      </c>
      <c r="X272" s="24">
        <f>_xlfn.XLOOKUP(Tab_Data_Flows[[#This Row],[Flow_Name]],Tab_Def_Flows[Flow_Name],Tab_Def_Flows[Flow_E3_Fraction'[%']],"N.A.",0,1)</f>
        <v>0</v>
      </c>
      <c r="Y272" s="3">
        <f>IF(E272="Yes",X272*Tab_Data_Flows[[#This Row],[E1_value]],"N.A.")</f>
        <v>0</v>
      </c>
      <c r="Z272" s="3" t="str">
        <f>Tab_Data_Flows[[#This Row],[E1_UoM]]</f>
        <v>Mg</v>
      </c>
      <c r="AA272" s="24">
        <f>_xlfn.XLOOKUP(Tab_Data_Flows[[#This Row],[Flow_Name]],Tab_Def_Flows[Flow_Name],Tab_Def_Flows[Flow_E4_Fraction'[%']],"N.A.",0,1)</f>
        <v>0</v>
      </c>
      <c r="AB272" s="3">
        <f>IF(H272="Yes",Tab_Data_Flows[[#This Row],[E4_Fraction'[%']]]*Tab_Data_Flows[[#This Row],[E1_value]],"N.A.")</f>
        <v>0</v>
      </c>
      <c r="AC272" s="3" t="str">
        <f>Tab_Data_Flows[[#This Row],[E1_UoM]]</f>
        <v>Mg</v>
      </c>
      <c r="AD272" s="24">
        <f>_xlfn.XLOOKUP(Tab_Data_Flows[[#This Row],[Flow_Name]],Tab_Def_Flows[Flow_Name],Tab_Def_Flows[Flow_E5_Fraction'[%']],"N.A.",0,1)</f>
        <v>0</v>
      </c>
      <c r="AE272" s="3">
        <f>IF(H272="Yes",Tab_Data_Flows[[#This Row],[E5_Fraction'[%']]]*Tab_Data_Flows[[#This Row],[E1_value]],"N.A.")</f>
        <v>0</v>
      </c>
      <c r="AF272" s="3" t="str">
        <f>Tab_Data_Flows[[#This Row],[E1_UoM]]</f>
        <v>Mg</v>
      </c>
      <c r="AG272" s="24">
        <f>_xlfn.XLOOKUP(Tab_Data_Flows[[#This Row],[Flow_Name]],Tab_Def_Flows[Flow_Name],Tab_Def_Flows[Flow_E6_Fraction'[%']],"N.A.",0,1)</f>
        <v>0</v>
      </c>
      <c r="AH272" s="3">
        <f>IF(Tab_Data_Flows[[#This Row],[Use_E6]]="Yes",Tab_Data_Flows[[#This Row],[E6_Fraction'[%']]]*Tab_Data_Flows[[#This Row],[E1_value]],"N.A.")</f>
        <v>0</v>
      </c>
      <c r="AI272" s="3" t="str">
        <f>Tab_Data_Flows[[#This Row],[E1_UoM]]</f>
        <v>Mg</v>
      </c>
    </row>
    <row r="273" spans="1:35" x14ac:dyDescent="0.25">
      <c r="A273" s="5">
        <f t="shared" si="9"/>
        <v>272</v>
      </c>
      <c r="B273" s="3" t="str">
        <f>_xlfn.XLOOKUP(C273,Tab_Def_Flows[Flow_Name],Tab_Def_Flows[Flow_ID],,0,)</f>
        <v>F__</v>
      </c>
      <c r="C273" s="23" t="s">
        <v>5</v>
      </c>
      <c r="D273" s="6" t="str">
        <f>_xlfn.XLOOKUP(C273,Tab_Def_Flows[Flow_Name],Tab_Def_Flows[Use_E1],,0,)</f>
        <v>Yes</v>
      </c>
      <c r="E273" s="6" t="str">
        <f>_xlfn.XLOOKUP(C273,Tab_Def_Flows[Flow_Name],Tab_Def_Flows[Use_E2],,0,)</f>
        <v>Yes</v>
      </c>
      <c r="F273" s="6" t="str">
        <f>_xlfn.XLOOKUP(C273,Tab_Def_Flows[Flow_Name],Tab_Def_Flows[Use_E3],,0,)</f>
        <v>Yes</v>
      </c>
      <c r="G273" s="6" t="str">
        <f>_xlfn.XLOOKUP(C273,Tab_Def_Flows[Flow_Name],Tab_Def_Flows[Use_E4],,0,)</f>
        <v>Yes</v>
      </c>
      <c r="H273" s="6" t="str">
        <f>_xlfn.XLOOKUP(C273,Tab_Def_Flows[Flow_Name],Tab_Def_Flows[Use_E5],,0,)</f>
        <v>Yes</v>
      </c>
      <c r="I273" s="6" t="str">
        <f>_xlfn.XLOOKUP(C273,Tab_Def_Flows[Flow_Name],Tab_Def_Flows[Use_E6],,0,)</f>
        <v>Yes</v>
      </c>
      <c r="J273" s="4"/>
      <c r="K273" s="18"/>
      <c r="L273" s="3" t="str">
        <f>'0_Configuration'!$C$41</f>
        <v>Mg</v>
      </c>
      <c r="M273" s="10"/>
      <c r="N273" s="23" t="s">
        <v>3</v>
      </c>
      <c r="O273" s="11"/>
      <c r="P273" s="4"/>
      <c r="Q273" s="10"/>
      <c r="R273" s="3">
        <f>_xlfn.XLOOKUP(Tab_Data_Flows[[#This Row],[Flow_Name]],Tab_Def_Flows[Flow_Name],Tab_Def_Flows[Flow_E1_Fraction'[%']],"N.A.",0,1)</f>
        <v>0</v>
      </c>
      <c r="S273" s="9">
        <f t="shared" si="8"/>
        <v>0</v>
      </c>
      <c r="T273" s="3" t="str">
        <f>Tab_Data_Flows[[#This Row],[UoM_Source]]</f>
        <v>Mg</v>
      </c>
      <c r="U273" s="24">
        <f>_xlfn.XLOOKUP(Tab_Data_Flows[[#This Row],[Flow_Name]],Tab_Def_Flows[Flow_Name],Tab_Def_Flows[Flow_E2_Fraction'[%']],"N.A.",0,1)</f>
        <v>0</v>
      </c>
      <c r="V273" s="3">
        <f>IF(D273="Yes",S273*Tab_Data_Flows[[#This Row],[E2_Fraction'[%']]],"N.A.")</f>
        <v>0</v>
      </c>
      <c r="W273" s="3" t="str">
        <f>Tab_Data_Flows[[#This Row],[E1_UoM]]</f>
        <v>Mg</v>
      </c>
      <c r="X273" s="24">
        <f>_xlfn.XLOOKUP(Tab_Data_Flows[[#This Row],[Flow_Name]],Tab_Def_Flows[Flow_Name],Tab_Def_Flows[Flow_E3_Fraction'[%']],"N.A.",0,1)</f>
        <v>0</v>
      </c>
      <c r="Y273" s="3">
        <f>IF(E273="Yes",X273*Tab_Data_Flows[[#This Row],[E1_value]],"N.A.")</f>
        <v>0</v>
      </c>
      <c r="Z273" s="3" t="str">
        <f>Tab_Data_Flows[[#This Row],[E1_UoM]]</f>
        <v>Mg</v>
      </c>
      <c r="AA273" s="24">
        <f>_xlfn.XLOOKUP(Tab_Data_Flows[[#This Row],[Flow_Name]],Tab_Def_Flows[Flow_Name],Tab_Def_Flows[Flow_E4_Fraction'[%']],"N.A.",0,1)</f>
        <v>0</v>
      </c>
      <c r="AB273" s="3">
        <f>IF(H273="Yes",Tab_Data_Flows[[#This Row],[E4_Fraction'[%']]]*Tab_Data_Flows[[#This Row],[E1_value]],"N.A.")</f>
        <v>0</v>
      </c>
      <c r="AC273" s="3" t="str">
        <f>Tab_Data_Flows[[#This Row],[E1_UoM]]</f>
        <v>Mg</v>
      </c>
      <c r="AD273" s="24">
        <f>_xlfn.XLOOKUP(Tab_Data_Flows[[#This Row],[Flow_Name]],Tab_Def_Flows[Flow_Name],Tab_Def_Flows[Flow_E5_Fraction'[%']],"N.A.",0,1)</f>
        <v>0</v>
      </c>
      <c r="AE273" s="3">
        <f>IF(H273="Yes",Tab_Data_Flows[[#This Row],[E5_Fraction'[%']]]*Tab_Data_Flows[[#This Row],[E1_value]],"N.A.")</f>
        <v>0</v>
      </c>
      <c r="AF273" s="3" t="str">
        <f>Tab_Data_Flows[[#This Row],[E1_UoM]]</f>
        <v>Mg</v>
      </c>
      <c r="AG273" s="24">
        <f>_xlfn.XLOOKUP(Tab_Data_Flows[[#This Row],[Flow_Name]],Tab_Def_Flows[Flow_Name],Tab_Def_Flows[Flow_E6_Fraction'[%']],"N.A.",0,1)</f>
        <v>0</v>
      </c>
      <c r="AH273" s="3">
        <f>IF(Tab_Data_Flows[[#This Row],[Use_E6]]="Yes",Tab_Data_Flows[[#This Row],[E6_Fraction'[%']]]*Tab_Data_Flows[[#This Row],[E1_value]],"N.A.")</f>
        <v>0</v>
      </c>
      <c r="AI273" s="3" t="str">
        <f>Tab_Data_Flows[[#This Row],[E1_UoM]]</f>
        <v>Mg</v>
      </c>
    </row>
    <row r="274" spans="1:35" x14ac:dyDescent="0.25">
      <c r="A274" s="5">
        <f t="shared" si="9"/>
        <v>273</v>
      </c>
      <c r="B274" s="3" t="str">
        <f>_xlfn.XLOOKUP(C274,Tab_Def_Flows[Flow_Name],Tab_Def_Flows[Flow_ID],,0,)</f>
        <v>F__</v>
      </c>
      <c r="C274" s="23" t="s">
        <v>5</v>
      </c>
      <c r="D274" s="6" t="str">
        <f>_xlfn.XLOOKUP(C274,Tab_Def_Flows[Flow_Name],Tab_Def_Flows[Use_E1],,0,)</f>
        <v>Yes</v>
      </c>
      <c r="E274" s="6" t="str">
        <f>_xlfn.XLOOKUP(C274,Tab_Def_Flows[Flow_Name],Tab_Def_Flows[Use_E2],,0,)</f>
        <v>Yes</v>
      </c>
      <c r="F274" s="6" t="str">
        <f>_xlfn.XLOOKUP(C274,Tab_Def_Flows[Flow_Name],Tab_Def_Flows[Use_E3],,0,)</f>
        <v>Yes</v>
      </c>
      <c r="G274" s="6" t="str">
        <f>_xlfn.XLOOKUP(C274,Tab_Def_Flows[Flow_Name],Tab_Def_Flows[Use_E4],,0,)</f>
        <v>Yes</v>
      </c>
      <c r="H274" s="6" t="str">
        <f>_xlfn.XLOOKUP(C274,Tab_Def_Flows[Flow_Name],Tab_Def_Flows[Use_E5],,0,)</f>
        <v>Yes</v>
      </c>
      <c r="I274" s="6" t="str">
        <f>_xlfn.XLOOKUP(C274,Tab_Def_Flows[Flow_Name],Tab_Def_Flows[Use_E6],,0,)</f>
        <v>Yes</v>
      </c>
      <c r="J274" s="4"/>
      <c r="K274" s="18"/>
      <c r="L274" s="3" t="str">
        <f>'0_Configuration'!$C$41</f>
        <v>Mg</v>
      </c>
      <c r="M274" s="10"/>
      <c r="N274" s="23" t="s">
        <v>3</v>
      </c>
      <c r="O274" s="11"/>
      <c r="P274" s="4"/>
      <c r="Q274" s="10"/>
      <c r="R274" s="3">
        <f>_xlfn.XLOOKUP(Tab_Data_Flows[[#This Row],[Flow_Name]],Tab_Def_Flows[Flow_Name],Tab_Def_Flows[Flow_E1_Fraction'[%']],"N.A.",0,1)</f>
        <v>0</v>
      </c>
      <c r="S274" s="9">
        <f t="shared" si="8"/>
        <v>0</v>
      </c>
      <c r="T274" s="3" t="str">
        <f>Tab_Data_Flows[[#This Row],[UoM_Source]]</f>
        <v>Mg</v>
      </c>
      <c r="U274" s="24">
        <f>_xlfn.XLOOKUP(Tab_Data_Flows[[#This Row],[Flow_Name]],Tab_Def_Flows[Flow_Name],Tab_Def_Flows[Flow_E2_Fraction'[%']],"N.A.",0,1)</f>
        <v>0</v>
      </c>
      <c r="V274" s="3">
        <f>IF(D274="Yes",S274*Tab_Data_Flows[[#This Row],[E2_Fraction'[%']]],"N.A.")</f>
        <v>0</v>
      </c>
      <c r="W274" s="3" t="str">
        <f>Tab_Data_Flows[[#This Row],[E1_UoM]]</f>
        <v>Mg</v>
      </c>
      <c r="X274" s="24">
        <f>_xlfn.XLOOKUP(Tab_Data_Flows[[#This Row],[Flow_Name]],Tab_Def_Flows[Flow_Name],Tab_Def_Flows[Flow_E3_Fraction'[%']],"N.A.",0,1)</f>
        <v>0</v>
      </c>
      <c r="Y274" s="3">
        <f>IF(E274="Yes",X274*Tab_Data_Flows[[#This Row],[E1_value]],"N.A.")</f>
        <v>0</v>
      </c>
      <c r="Z274" s="3" t="str">
        <f>Tab_Data_Flows[[#This Row],[E1_UoM]]</f>
        <v>Mg</v>
      </c>
      <c r="AA274" s="24">
        <f>_xlfn.XLOOKUP(Tab_Data_Flows[[#This Row],[Flow_Name]],Tab_Def_Flows[Flow_Name],Tab_Def_Flows[Flow_E4_Fraction'[%']],"N.A.",0,1)</f>
        <v>0</v>
      </c>
      <c r="AB274" s="3">
        <f>IF(H274="Yes",Tab_Data_Flows[[#This Row],[E4_Fraction'[%']]]*Tab_Data_Flows[[#This Row],[E1_value]],"N.A.")</f>
        <v>0</v>
      </c>
      <c r="AC274" s="3" t="str">
        <f>Tab_Data_Flows[[#This Row],[E1_UoM]]</f>
        <v>Mg</v>
      </c>
      <c r="AD274" s="24">
        <f>_xlfn.XLOOKUP(Tab_Data_Flows[[#This Row],[Flow_Name]],Tab_Def_Flows[Flow_Name],Tab_Def_Flows[Flow_E5_Fraction'[%']],"N.A.",0,1)</f>
        <v>0</v>
      </c>
      <c r="AE274" s="3">
        <f>IF(H274="Yes",Tab_Data_Flows[[#This Row],[E5_Fraction'[%']]]*Tab_Data_Flows[[#This Row],[E1_value]],"N.A.")</f>
        <v>0</v>
      </c>
      <c r="AF274" s="3" t="str">
        <f>Tab_Data_Flows[[#This Row],[E1_UoM]]</f>
        <v>Mg</v>
      </c>
      <c r="AG274" s="24">
        <f>_xlfn.XLOOKUP(Tab_Data_Flows[[#This Row],[Flow_Name]],Tab_Def_Flows[Flow_Name],Tab_Def_Flows[Flow_E6_Fraction'[%']],"N.A.",0,1)</f>
        <v>0</v>
      </c>
      <c r="AH274" s="3">
        <f>IF(Tab_Data_Flows[[#This Row],[Use_E6]]="Yes",Tab_Data_Flows[[#This Row],[E6_Fraction'[%']]]*Tab_Data_Flows[[#This Row],[E1_value]],"N.A.")</f>
        <v>0</v>
      </c>
      <c r="AI274" s="3" t="str">
        <f>Tab_Data_Flows[[#This Row],[E1_UoM]]</f>
        <v>Mg</v>
      </c>
    </row>
    <row r="275" spans="1:35" x14ac:dyDescent="0.25">
      <c r="A275" s="5">
        <f t="shared" si="9"/>
        <v>274</v>
      </c>
      <c r="B275" s="3" t="str">
        <f>_xlfn.XLOOKUP(C275,Tab_Def_Flows[Flow_Name],Tab_Def_Flows[Flow_ID],,0,)</f>
        <v>F__</v>
      </c>
      <c r="C275" s="23" t="s">
        <v>5</v>
      </c>
      <c r="D275" s="6" t="str">
        <f>_xlfn.XLOOKUP(C275,Tab_Def_Flows[Flow_Name],Tab_Def_Flows[Use_E1],,0,)</f>
        <v>Yes</v>
      </c>
      <c r="E275" s="6" t="str">
        <f>_xlfn.XLOOKUP(C275,Tab_Def_Flows[Flow_Name],Tab_Def_Flows[Use_E2],,0,)</f>
        <v>Yes</v>
      </c>
      <c r="F275" s="6" t="str">
        <f>_xlfn.XLOOKUP(C275,Tab_Def_Flows[Flow_Name],Tab_Def_Flows[Use_E3],,0,)</f>
        <v>Yes</v>
      </c>
      <c r="G275" s="6" t="str">
        <f>_xlfn.XLOOKUP(C275,Tab_Def_Flows[Flow_Name],Tab_Def_Flows[Use_E4],,0,)</f>
        <v>Yes</v>
      </c>
      <c r="H275" s="6" t="str">
        <f>_xlfn.XLOOKUP(C275,Tab_Def_Flows[Flow_Name],Tab_Def_Flows[Use_E5],,0,)</f>
        <v>Yes</v>
      </c>
      <c r="I275" s="6" t="str">
        <f>_xlfn.XLOOKUP(C275,Tab_Def_Flows[Flow_Name],Tab_Def_Flows[Use_E6],,0,)</f>
        <v>Yes</v>
      </c>
      <c r="J275" s="4"/>
      <c r="K275" s="18"/>
      <c r="L275" s="3" t="str">
        <f>'0_Configuration'!$C$41</f>
        <v>Mg</v>
      </c>
      <c r="M275" s="10"/>
      <c r="N275" s="23" t="s">
        <v>3</v>
      </c>
      <c r="O275" s="11"/>
      <c r="P275" s="4"/>
      <c r="Q275" s="10"/>
      <c r="R275" s="3">
        <f>_xlfn.XLOOKUP(Tab_Data_Flows[[#This Row],[Flow_Name]],Tab_Def_Flows[Flow_Name],Tab_Def_Flows[Flow_E1_Fraction'[%']],"N.A.",0,1)</f>
        <v>0</v>
      </c>
      <c r="S275" s="9">
        <f t="shared" si="8"/>
        <v>0</v>
      </c>
      <c r="T275" s="3" t="str">
        <f>Tab_Data_Flows[[#This Row],[UoM_Source]]</f>
        <v>Mg</v>
      </c>
      <c r="U275" s="24">
        <f>_xlfn.XLOOKUP(Tab_Data_Flows[[#This Row],[Flow_Name]],Tab_Def_Flows[Flow_Name],Tab_Def_Flows[Flow_E2_Fraction'[%']],"N.A.",0,1)</f>
        <v>0</v>
      </c>
      <c r="V275" s="3">
        <f>IF(D275="Yes",S275*Tab_Data_Flows[[#This Row],[E2_Fraction'[%']]],"N.A.")</f>
        <v>0</v>
      </c>
      <c r="W275" s="3" t="str">
        <f>Tab_Data_Flows[[#This Row],[E1_UoM]]</f>
        <v>Mg</v>
      </c>
      <c r="X275" s="24">
        <f>_xlfn.XLOOKUP(Tab_Data_Flows[[#This Row],[Flow_Name]],Tab_Def_Flows[Flow_Name],Tab_Def_Flows[Flow_E3_Fraction'[%']],"N.A.",0,1)</f>
        <v>0</v>
      </c>
      <c r="Y275" s="3">
        <f>IF(E275="Yes",X275*Tab_Data_Flows[[#This Row],[E1_value]],"N.A.")</f>
        <v>0</v>
      </c>
      <c r="Z275" s="3" t="str">
        <f>Tab_Data_Flows[[#This Row],[E1_UoM]]</f>
        <v>Mg</v>
      </c>
      <c r="AA275" s="24">
        <f>_xlfn.XLOOKUP(Tab_Data_Flows[[#This Row],[Flow_Name]],Tab_Def_Flows[Flow_Name],Tab_Def_Flows[Flow_E4_Fraction'[%']],"N.A.",0,1)</f>
        <v>0</v>
      </c>
      <c r="AB275" s="3">
        <f>IF(H275="Yes",Tab_Data_Flows[[#This Row],[E4_Fraction'[%']]]*Tab_Data_Flows[[#This Row],[E1_value]],"N.A.")</f>
        <v>0</v>
      </c>
      <c r="AC275" s="3" t="str">
        <f>Tab_Data_Flows[[#This Row],[E1_UoM]]</f>
        <v>Mg</v>
      </c>
      <c r="AD275" s="24">
        <f>_xlfn.XLOOKUP(Tab_Data_Flows[[#This Row],[Flow_Name]],Tab_Def_Flows[Flow_Name],Tab_Def_Flows[Flow_E5_Fraction'[%']],"N.A.",0,1)</f>
        <v>0</v>
      </c>
      <c r="AE275" s="3">
        <f>IF(H275="Yes",Tab_Data_Flows[[#This Row],[E5_Fraction'[%']]]*Tab_Data_Flows[[#This Row],[E1_value]],"N.A.")</f>
        <v>0</v>
      </c>
      <c r="AF275" s="3" t="str">
        <f>Tab_Data_Flows[[#This Row],[E1_UoM]]</f>
        <v>Mg</v>
      </c>
      <c r="AG275" s="24">
        <f>_xlfn.XLOOKUP(Tab_Data_Flows[[#This Row],[Flow_Name]],Tab_Def_Flows[Flow_Name],Tab_Def_Flows[Flow_E6_Fraction'[%']],"N.A.",0,1)</f>
        <v>0</v>
      </c>
      <c r="AH275" s="3">
        <f>IF(Tab_Data_Flows[[#This Row],[Use_E6]]="Yes",Tab_Data_Flows[[#This Row],[E6_Fraction'[%']]]*Tab_Data_Flows[[#This Row],[E1_value]],"N.A.")</f>
        <v>0</v>
      </c>
      <c r="AI275" s="3" t="str">
        <f>Tab_Data_Flows[[#This Row],[E1_UoM]]</f>
        <v>Mg</v>
      </c>
    </row>
    <row r="276" spans="1:35" x14ac:dyDescent="0.25">
      <c r="A276" s="5">
        <f t="shared" si="9"/>
        <v>275</v>
      </c>
      <c r="B276" s="3" t="str">
        <f>_xlfn.XLOOKUP(C276,Tab_Def_Flows[Flow_Name],Tab_Def_Flows[Flow_ID],,0,)</f>
        <v>F__</v>
      </c>
      <c r="C276" s="23" t="s">
        <v>5</v>
      </c>
      <c r="D276" s="6" t="str">
        <f>_xlfn.XLOOKUP(C276,Tab_Def_Flows[Flow_Name],Tab_Def_Flows[Use_E1],,0,)</f>
        <v>Yes</v>
      </c>
      <c r="E276" s="6" t="str">
        <f>_xlfn.XLOOKUP(C276,Tab_Def_Flows[Flow_Name],Tab_Def_Flows[Use_E2],,0,)</f>
        <v>Yes</v>
      </c>
      <c r="F276" s="6" t="str">
        <f>_xlfn.XLOOKUP(C276,Tab_Def_Flows[Flow_Name],Tab_Def_Flows[Use_E3],,0,)</f>
        <v>Yes</v>
      </c>
      <c r="G276" s="6" t="str">
        <f>_xlfn.XLOOKUP(C276,Tab_Def_Flows[Flow_Name],Tab_Def_Flows[Use_E4],,0,)</f>
        <v>Yes</v>
      </c>
      <c r="H276" s="6" t="str">
        <f>_xlfn.XLOOKUP(C276,Tab_Def_Flows[Flow_Name],Tab_Def_Flows[Use_E5],,0,)</f>
        <v>Yes</v>
      </c>
      <c r="I276" s="6" t="str">
        <f>_xlfn.XLOOKUP(C276,Tab_Def_Flows[Flow_Name],Tab_Def_Flows[Use_E6],,0,)</f>
        <v>Yes</v>
      </c>
      <c r="J276" s="4"/>
      <c r="K276" s="18"/>
      <c r="L276" s="3" t="str">
        <f>'0_Configuration'!$C$41</f>
        <v>Mg</v>
      </c>
      <c r="M276" s="10"/>
      <c r="N276" s="23" t="s">
        <v>3</v>
      </c>
      <c r="O276" s="11"/>
      <c r="P276" s="4"/>
      <c r="Q276" s="10"/>
      <c r="R276" s="3">
        <f>_xlfn.XLOOKUP(Tab_Data_Flows[[#This Row],[Flow_Name]],Tab_Def_Flows[Flow_Name],Tab_Def_Flows[Flow_E1_Fraction'[%']],"N.A.",0,1)</f>
        <v>0</v>
      </c>
      <c r="S276" s="9">
        <f t="shared" si="8"/>
        <v>0</v>
      </c>
      <c r="T276" s="3" t="str">
        <f>Tab_Data_Flows[[#This Row],[UoM_Source]]</f>
        <v>Mg</v>
      </c>
      <c r="U276" s="24">
        <f>_xlfn.XLOOKUP(Tab_Data_Flows[[#This Row],[Flow_Name]],Tab_Def_Flows[Flow_Name],Tab_Def_Flows[Flow_E2_Fraction'[%']],"N.A.",0,1)</f>
        <v>0</v>
      </c>
      <c r="V276" s="3">
        <f>IF(D276="Yes",S276*Tab_Data_Flows[[#This Row],[E2_Fraction'[%']]],"N.A.")</f>
        <v>0</v>
      </c>
      <c r="W276" s="3" t="str">
        <f>Tab_Data_Flows[[#This Row],[E1_UoM]]</f>
        <v>Mg</v>
      </c>
      <c r="X276" s="24">
        <f>_xlfn.XLOOKUP(Tab_Data_Flows[[#This Row],[Flow_Name]],Tab_Def_Flows[Flow_Name],Tab_Def_Flows[Flow_E3_Fraction'[%']],"N.A.",0,1)</f>
        <v>0</v>
      </c>
      <c r="Y276" s="3">
        <f>IF(E276="Yes",X276*Tab_Data_Flows[[#This Row],[E1_value]],"N.A.")</f>
        <v>0</v>
      </c>
      <c r="Z276" s="3" t="str">
        <f>Tab_Data_Flows[[#This Row],[E1_UoM]]</f>
        <v>Mg</v>
      </c>
      <c r="AA276" s="24">
        <f>_xlfn.XLOOKUP(Tab_Data_Flows[[#This Row],[Flow_Name]],Tab_Def_Flows[Flow_Name],Tab_Def_Flows[Flow_E4_Fraction'[%']],"N.A.",0,1)</f>
        <v>0</v>
      </c>
      <c r="AB276" s="3">
        <f>IF(H276="Yes",Tab_Data_Flows[[#This Row],[E4_Fraction'[%']]]*Tab_Data_Flows[[#This Row],[E1_value]],"N.A.")</f>
        <v>0</v>
      </c>
      <c r="AC276" s="3" t="str">
        <f>Tab_Data_Flows[[#This Row],[E1_UoM]]</f>
        <v>Mg</v>
      </c>
      <c r="AD276" s="24">
        <f>_xlfn.XLOOKUP(Tab_Data_Flows[[#This Row],[Flow_Name]],Tab_Def_Flows[Flow_Name],Tab_Def_Flows[Flow_E5_Fraction'[%']],"N.A.",0,1)</f>
        <v>0</v>
      </c>
      <c r="AE276" s="3">
        <f>IF(H276="Yes",Tab_Data_Flows[[#This Row],[E5_Fraction'[%']]]*Tab_Data_Flows[[#This Row],[E1_value]],"N.A.")</f>
        <v>0</v>
      </c>
      <c r="AF276" s="3" t="str">
        <f>Tab_Data_Flows[[#This Row],[E1_UoM]]</f>
        <v>Mg</v>
      </c>
      <c r="AG276" s="24">
        <f>_xlfn.XLOOKUP(Tab_Data_Flows[[#This Row],[Flow_Name]],Tab_Def_Flows[Flow_Name],Tab_Def_Flows[Flow_E6_Fraction'[%']],"N.A.",0,1)</f>
        <v>0</v>
      </c>
      <c r="AH276" s="3">
        <f>IF(Tab_Data_Flows[[#This Row],[Use_E6]]="Yes",Tab_Data_Flows[[#This Row],[E6_Fraction'[%']]]*Tab_Data_Flows[[#This Row],[E1_value]],"N.A.")</f>
        <v>0</v>
      </c>
      <c r="AI276" s="3" t="str">
        <f>Tab_Data_Flows[[#This Row],[E1_UoM]]</f>
        <v>Mg</v>
      </c>
    </row>
    <row r="277" spans="1:35" x14ac:dyDescent="0.25">
      <c r="A277" s="5">
        <f t="shared" si="9"/>
        <v>276</v>
      </c>
      <c r="B277" s="3" t="str">
        <f>_xlfn.XLOOKUP(C277,Tab_Def_Flows[Flow_Name],Tab_Def_Flows[Flow_ID],,0,)</f>
        <v>F__</v>
      </c>
      <c r="C277" s="23" t="s">
        <v>5</v>
      </c>
      <c r="D277" s="6" t="str">
        <f>_xlfn.XLOOKUP(C277,Tab_Def_Flows[Flow_Name],Tab_Def_Flows[Use_E1],,0,)</f>
        <v>Yes</v>
      </c>
      <c r="E277" s="6" t="str">
        <f>_xlfn.XLOOKUP(C277,Tab_Def_Flows[Flow_Name],Tab_Def_Flows[Use_E2],,0,)</f>
        <v>Yes</v>
      </c>
      <c r="F277" s="6" t="str">
        <f>_xlfn.XLOOKUP(C277,Tab_Def_Flows[Flow_Name],Tab_Def_Flows[Use_E3],,0,)</f>
        <v>Yes</v>
      </c>
      <c r="G277" s="6" t="str">
        <f>_xlfn.XLOOKUP(C277,Tab_Def_Flows[Flow_Name],Tab_Def_Flows[Use_E4],,0,)</f>
        <v>Yes</v>
      </c>
      <c r="H277" s="6" t="str">
        <f>_xlfn.XLOOKUP(C277,Tab_Def_Flows[Flow_Name],Tab_Def_Flows[Use_E5],,0,)</f>
        <v>Yes</v>
      </c>
      <c r="I277" s="6" t="str">
        <f>_xlfn.XLOOKUP(C277,Tab_Def_Flows[Flow_Name],Tab_Def_Flows[Use_E6],,0,)</f>
        <v>Yes</v>
      </c>
      <c r="J277" s="4"/>
      <c r="K277" s="18"/>
      <c r="L277" s="3" t="str">
        <f>'0_Configuration'!$C$41</f>
        <v>Mg</v>
      </c>
      <c r="M277" s="10"/>
      <c r="N277" s="23" t="s">
        <v>3</v>
      </c>
      <c r="O277" s="11"/>
      <c r="P277" s="4"/>
      <c r="Q277" s="10"/>
      <c r="R277" s="3">
        <f>_xlfn.XLOOKUP(Tab_Data_Flows[[#This Row],[Flow_Name]],Tab_Def_Flows[Flow_Name],Tab_Def_Flows[Flow_E1_Fraction'[%']],"N.A.",0,1)</f>
        <v>0</v>
      </c>
      <c r="S277" s="9">
        <f t="shared" si="8"/>
        <v>0</v>
      </c>
      <c r="T277" s="3" t="str">
        <f>Tab_Data_Flows[[#This Row],[UoM_Source]]</f>
        <v>Mg</v>
      </c>
      <c r="U277" s="24">
        <f>_xlfn.XLOOKUP(Tab_Data_Flows[[#This Row],[Flow_Name]],Tab_Def_Flows[Flow_Name],Tab_Def_Flows[Flow_E2_Fraction'[%']],"N.A.",0,1)</f>
        <v>0</v>
      </c>
      <c r="V277" s="3">
        <f>IF(D277="Yes",S277*Tab_Data_Flows[[#This Row],[E2_Fraction'[%']]],"N.A.")</f>
        <v>0</v>
      </c>
      <c r="W277" s="3" t="str">
        <f>Tab_Data_Flows[[#This Row],[E1_UoM]]</f>
        <v>Mg</v>
      </c>
      <c r="X277" s="24">
        <f>_xlfn.XLOOKUP(Tab_Data_Flows[[#This Row],[Flow_Name]],Tab_Def_Flows[Flow_Name],Tab_Def_Flows[Flow_E3_Fraction'[%']],"N.A.",0,1)</f>
        <v>0</v>
      </c>
      <c r="Y277" s="3">
        <f>IF(E277="Yes",X277*Tab_Data_Flows[[#This Row],[E1_value]],"N.A.")</f>
        <v>0</v>
      </c>
      <c r="Z277" s="3" t="str">
        <f>Tab_Data_Flows[[#This Row],[E1_UoM]]</f>
        <v>Mg</v>
      </c>
      <c r="AA277" s="24">
        <f>_xlfn.XLOOKUP(Tab_Data_Flows[[#This Row],[Flow_Name]],Tab_Def_Flows[Flow_Name],Tab_Def_Flows[Flow_E4_Fraction'[%']],"N.A.",0,1)</f>
        <v>0</v>
      </c>
      <c r="AB277" s="3">
        <f>IF(H277="Yes",Tab_Data_Flows[[#This Row],[E4_Fraction'[%']]]*Tab_Data_Flows[[#This Row],[E1_value]],"N.A.")</f>
        <v>0</v>
      </c>
      <c r="AC277" s="3" t="str">
        <f>Tab_Data_Flows[[#This Row],[E1_UoM]]</f>
        <v>Mg</v>
      </c>
      <c r="AD277" s="24">
        <f>_xlfn.XLOOKUP(Tab_Data_Flows[[#This Row],[Flow_Name]],Tab_Def_Flows[Flow_Name],Tab_Def_Flows[Flow_E5_Fraction'[%']],"N.A.",0,1)</f>
        <v>0</v>
      </c>
      <c r="AE277" s="3">
        <f>IF(H277="Yes",Tab_Data_Flows[[#This Row],[E5_Fraction'[%']]]*Tab_Data_Flows[[#This Row],[E1_value]],"N.A.")</f>
        <v>0</v>
      </c>
      <c r="AF277" s="3" t="str">
        <f>Tab_Data_Flows[[#This Row],[E1_UoM]]</f>
        <v>Mg</v>
      </c>
      <c r="AG277" s="24">
        <f>_xlfn.XLOOKUP(Tab_Data_Flows[[#This Row],[Flow_Name]],Tab_Def_Flows[Flow_Name],Tab_Def_Flows[Flow_E6_Fraction'[%']],"N.A.",0,1)</f>
        <v>0</v>
      </c>
      <c r="AH277" s="3">
        <f>IF(Tab_Data_Flows[[#This Row],[Use_E6]]="Yes",Tab_Data_Flows[[#This Row],[E6_Fraction'[%']]]*Tab_Data_Flows[[#This Row],[E1_value]],"N.A.")</f>
        <v>0</v>
      </c>
      <c r="AI277" s="3" t="str">
        <f>Tab_Data_Flows[[#This Row],[E1_UoM]]</f>
        <v>Mg</v>
      </c>
    </row>
    <row r="278" spans="1:35" x14ac:dyDescent="0.25">
      <c r="A278" s="5">
        <f t="shared" si="9"/>
        <v>277</v>
      </c>
      <c r="B278" s="3" t="str">
        <f>_xlfn.XLOOKUP(C278,Tab_Def_Flows[Flow_Name],Tab_Def_Flows[Flow_ID],,0,)</f>
        <v>F__</v>
      </c>
      <c r="C278" s="23" t="s">
        <v>5</v>
      </c>
      <c r="D278" s="6" t="str">
        <f>_xlfn.XLOOKUP(C278,Tab_Def_Flows[Flow_Name],Tab_Def_Flows[Use_E1],,0,)</f>
        <v>Yes</v>
      </c>
      <c r="E278" s="6" t="str">
        <f>_xlfn.XLOOKUP(C278,Tab_Def_Flows[Flow_Name],Tab_Def_Flows[Use_E2],,0,)</f>
        <v>Yes</v>
      </c>
      <c r="F278" s="6" t="str">
        <f>_xlfn.XLOOKUP(C278,Tab_Def_Flows[Flow_Name],Tab_Def_Flows[Use_E3],,0,)</f>
        <v>Yes</v>
      </c>
      <c r="G278" s="6" t="str">
        <f>_xlfn.XLOOKUP(C278,Tab_Def_Flows[Flow_Name],Tab_Def_Flows[Use_E4],,0,)</f>
        <v>Yes</v>
      </c>
      <c r="H278" s="6" t="str">
        <f>_xlfn.XLOOKUP(C278,Tab_Def_Flows[Flow_Name],Tab_Def_Flows[Use_E5],,0,)</f>
        <v>Yes</v>
      </c>
      <c r="I278" s="6" t="str">
        <f>_xlfn.XLOOKUP(C278,Tab_Def_Flows[Flow_Name],Tab_Def_Flows[Use_E6],,0,)</f>
        <v>Yes</v>
      </c>
      <c r="J278" s="4"/>
      <c r="K278" s="18"/>
      <c r="L278" s="3" t="str">
        <f>'0_Configuration'!$C$41</f>
        <v>Mg</v>
      </c>
      <c r="M278" s="10"/>
      <c r="N278" s="23" t="s">
        <v>3</v>
      </c>
      <c r="O278" s="11"/>
      <c r="P278" s="4"/>
      <c r="Q278" s="10"/>
      <c r="R278" s="3">
        <f>_xlfn.XLOOKUP(Tab_Data_Flows[[#This Row],[Flow_Name]],Tab_Def_Flows[Flow_Name],Tab_Def_Flows[Flow_E1_Fraction'[%']],"N.A.",0,1)</f>
        <v>0</v>
      </c>
      <c r="S278" s="9">
        <f t="shared" si="8"/>
        <v>0</v>
      </c>
      <c r="T278" s="3" t="str">
        <f>Tab_Data_Flows[[#This Row],[UoM_Source]]</f>
        <v>Mg</v>
      </c>
      <c r="U278" s="24">
        <f>_xlfn.XLOOKUP(Tab_Data_Flows[[#This Row],[Flow_Name]],Tab_Def_Flows[Flow_Name],Tab_Def_Flows[Flow_E2_Fraction'[%']],"N.A.",0,1)</f>
        <v>0</v>
      </c>
      <c r="V278" s="3">
        <f>IF(D278="Yes",S278*Tab_Data_Flows[[#This Row],[E2_Fraction'[%']]],"N.A.")</f>
        <v>0</v>
      </c>
      <c r="W278" s="3" t="str">
        <f>Tab_Data_Flows[[#This Row],[E1_UoM]]</f>
        <v>Mg</v>
      </c>
      <c r="X278" s="24">
        <f>_xlfn.XLOOKUP(Tab_Data_Flows[[#This Row],[Flow_Name]],Tab_Def_Flows[Flow_Name],Tab_Def_Flows[Flow_E3_Fraction'[%']],"N.A.",0,1)</f>
        <v>0</v>
      </c>
      <c r="Y278" s="3">
        <f>IF(E278="Yes",X278*Tab_Data_Flows[[#This Row],[E1_value]],"N.A.")</f>
        <v>0</v>
      </c>
      <c r="Z278" s="3" t="str">
        <f>Tab_Data_Flows[[#This Row],[E1_UoM]]</f>
        <v>Mg</v>
      </c>
      <c r="AA278" s="24">
        <f>_xlfn.XLOOKUP(Tab_Data_Flows[[#This Row],[Flow_Name]],Tab_Def_Flows[Flow_Name],Tab_Def_Flows[Flow_E4_Fraction'[%']],"N.A.",0,1)</f>
        <v>0</v>
      </c>
      <c r="AB278" s="3">
        <f>IF(H278="Yes",Tab_Data_Flows[[#This Row],[E4_Fraction'[%']]]*Tab_Data_Flows[[#This Row],[E1_value]],"N.A.")</f>
        <v>0</v>
      </c>
      <c r="AC278" s="3" t="str">
        <f>Tab_Data_Flows[[#This Row],[E1_UoM]]</f>
        <v>Mg</v>
      </c>
      <c r="AD278" s="24">
        <f>_xlfn.XLOOKUP(Tab_Data_Flows[[#This Row],[Flow_Name]],Tab_Def_Flows[Flow_Name],Tab_Def_Flows[Flow_E5_Fraction'[%']],"N.A.",0,1)</f>
        <v>0</v>
      </c>
      <c r="AE278" s="3">
        <f>IF(H278="Yes",Tab_Data_Flows[[#This Row],[E5_Fraction'[%']]]*Tab_Data_Flows[[#This Row],[E1_value]],"N.A.")</f>
        <v>0</v>
      </c>
      <c r="AF278" s="3" t="str">
        <f>Tab_Data_Flows[[#This Row],[E1_UoM]]</f>
        <v>Mg</v>
      </c>
      <c r="AG278" s="24">
        <f>_xlfn.XLOOKUP(Tab_Data_Flows[[#This Row],[Flow_Name]],Tab_Def_Flows[Flow_Name],Tab_Def_Flows[Flow_E6_Fraction'[%']],"N.A.",0,1)</f>
        <v>0</v>
      </c>
      <c r="AH278" s="3">
        <f>IF(Tab_Data_Flows[[#This Row],[Use_E6]]="Yes",Tab_Data_Flows[[#This Row],[E6_Fraction'[%']]]*Tab_Data_Flows[[#This Row],[E1_value]],"N.A.")</f>
        <v>0</v>
      </c>
      <c r="AI278" s="3" t="str">
        <f>Tab_Data_Flows[[#This Row],[E1_UoM]]</f>
        <v>Mg</v>
      </c>
    </row>
    <row r="279" spans="1:35" x14ac:dyDescent="0.25">
      <c r="A279" s="5">
        <f t="shared" si="9"/>
        <v>278</v>
      </c>
      <c r="B279" s="3" t="str">
        <f>_xlfn.XLOOKUP(C279,Tab_Def_Flows[Flow_Name],Tab_Def_Flows[Flow_ID],,0,)</f>
        <v>F__</v>
      </c>
      <c r="C279" s="23" t="s">
        <v>5</v>
      </c>
      <c r="D279" s="6" t="str">
        <f>_xlfn.XLOOKUP(C279,Tab_Def_Flows[Flow_Name],Tab_Def_Flows[Use_E1],,0,)</f>
        <v>Yes</v>
      </c>
      <c r="E279" s="6" t="str">
        <f>_xlfn.XLOOKUP(C279,Tab_Def_Flows[Flow_Name],Tab_Def_Flows[Use_E2],,0,)</f>
        <v>Yes</v>
      </c>
      <c r="F279" s="6" t="str">
        <f>_xlfn.XLOOKUP(C279,Tab_Def_Flows[Flow_Name],Tab_Def_Flows[Use_E3],,0,)</f>
        <v>Yes</v>
      </c>
      <c r="G279" s="6" t="str">
        <f>_xlfn.XLOOKUP(C279,Tab_Def_Flows[Flow_Name],Tab_Def_Flows[Use_E4],,0,)</f>
        <v>Yes</v>
      </c>
      <c r="H279" s="6" t="str">
        <f>_xlfn.XLOOKUP(C279,Tab_Def_Flows[Flow_Name],Tab_Def_Flows[Use_E5],,0,)</f>
        <v>Yes</v>
      </c>
      <c r="I279" s="6" t="str">
        <f>_xlfn.XLOOKUP(C279,Tab_Def_Flows[Flow_Name],Tab_Def_Flows[Use_E6],,0,)</f>
        <v>Yes</v>
      </c>
      <c r="J279" s="4"/>
      <c r="K279" s="18"/>
      <c r="L279" s="3" t="str">
        <f>'0_Configuration'!$C$41</f>
        <v>Mg</v>
      </c>
      <c r="M279" s="10"/>
      <c r="N279" s="23" t="s">
        <v>3</v>
      </c>
      <c r="O279" s="11"/>
      <c r="P279" s="4"/>
      <c r="Q279" s="10"/>
      <c r="R279" s="3">
        <f>_xlfn.XLOOKUP(Tab_Data_Flows[[#This Row],[Flow_Name]],Tab_Def_Flows[Flow_Name],Tab_Def_Flows[Flow_E1_Fraction'[%']],"N.A.",0,1)</f>
        <v>0</v>
      </c>
      <c r="S279" s="9">
        <f t="shared" si="8"/>
        <v>0</v>
      </c>
      <c r="T279" s="3" t="str">
        <f>Tab_Data_Flows[[#This Row],[UoM_Source]]</f>
        <v>Mg</v>
      </c>
      <c r="U279" s="24">
        <f>_xlfn.XLOOKUP(Tab_Data_Flows[[#This Row],[Flow_Name]],Tab_Def_Flows[Flow_Name],Tab_Def_Flows[Flow_E2_Fraction'[%']],"N.A.",0,1)</f>
        <v>0</v>
      </c>
      <c r="V279" s="3">
        <f>IF(D279="Yes",S279*Tab_Data_Flows[[#This Row],[E2_Fraction'[%']]],"N.A.")</f>
        <v>0</v>
      </c>
      <c r="W279" s="3" t="str">
        <f>Tab_Data_Flows[[#This Row],[E1_UoM]]</f>
        <v>Mg</v>
      </c>
      <c r="X279" s="24">
        <f>_xlfn.XLOOKUP(Tab_Data_Flows[[#This Row],[Flow_Name]],Tab_Def_Flows[Flow_Name],Tab_Def_Flows[Flow_E3_Fraction'[%']],"N.A.",0,1)</f>
        <v>0</v>
      </c>
      <c r="Y279" s="3">
        <f>IF(E279="Yes",X279*Tab_Data_Flows[[#This Row],[E1_value]],"N.A.")</f>
        <v>0</v>
      </c>
      <c r="Z279" s="3" t="str">
        <f>Tab_Data_Flows[[#This Row],[E1_UoM]]</f>
        <v>Mg</v>
      </c>
      <c r="AA279" s="24">
        <f>_xlfn.XLOOKUP(Tab_Data_Flows[[#This Row],[Flow_Name]],Tab_Def_Flows[Flow_Name],Tab_Def_Flows[Flow_E4_Fraction'[%']],"N.A.",0,1)</f>
        <v>0</v>
      </c>
      <c r="AB279" s="3">
        <f>IF(H279="Yes",Tab_Data_Flows[[#This Row],[E4_Fraction'[%']]]*Tab_Data_Flows[[#This Row],[E1_value]],"N.A.")</f>
        <v>0</v>
      </c>
      <c r="AC279" s="3" t="str">
        <f>Tab_Data_Flows[[#This Row],[E1_UoM]]</f>
        <v>Mg</v>
      </c>
      <c r="AD279" s="24">
        <f>_xlfn.XLOOKUP(Tab_Data_Flows[[#This Row],[Flow_Name]],Tab_Def_Flows[Flow_Name],Tab_Def_Flows[Flow_E5_Fraction'[%']],"N.A.",0,1)</f>
        <v>0</v>
      </c>
      <c r="AE279" s="3">
        <f>IF(H279="Yes",Tab_Data_Flows[[#This Row],[E5_Fraction'[%']]]*Tab_Data_Flows[[#This Row],[E1_value]],"N.A.")</f>
        <v>0</v>
      </c>
      <c r="AF279" s="3" t="str">
        <f>Tab_Data_Flows[[#This Row],[E1_UoM]]</f>
        <v>Mg</v>
      </c>
      <c r="AG279" s="24">
        <f>_xlfn.XLOOKUP(Tab_Data_Flows[[#This Row],[Flow_Name]],Tab_Def_Flows[Flow_Name],Tab_Def_Flows[Flow_E6_Fraction'[%']],"N.A.",0,1)</f>
        <v>0</v>
      </c>
      <c r="AH279" s="3">
        <f>IF(Tab_Data_Flows[[#This Row],[Use_E6]]="Yes",Tab_Data_Flows[[#This Row],[E6_Fraction'[%']]]*Tab_Data_Flows[[#This Row],[E1_value]],"N.A.")</f>
        <v>0</v>
      </c>
      <c r="AI279" s="3" t="str">
        <f>Tab_Data_Flows[[#This Row],[E1_UoM]]</f>
        <v>Mg</v>
      </c>
    </row>
    <row r="280" spans="1:35" x14ac:dyDescent="0.25">
      <c r="A280" s="5">
        <f t="shared" si="9"/>
        <v>279</v>
      </c>
      <c r="B280" s="3" t="str">
        <f>_xlfn.XLOOKUP(C280,Tab_Def_Flows[Flow_Name],Tab_Def_Flows[Flow_ID],,0,)</f>
        <v>F__</v>
      </c>
      <c r="C280" s="23" t="s">
        <v>5</v>
      </c>
      <c r="D280" s="6" t="str">
        <f>_xlfn.XLOOKUP(C280,Tab_Def_Flows[Flow_Name],Tab_Def_Flows[Use_E1],,0,)</f>
        <v>Yes</v>
      </c>
      <c r="E280" s="6" t="str">
        <f>_xlfn.XLOOKUP(C280,Tab_Def_Flows[Flow_Name],Tab_Def_Flows[Use_E2],,0,)</f>
        <v>Yes</v>
      </c>
      <c r="F280" s="6" t="str">
        <f>_xlfn.XLOOKUP(C280,Tab_Def_Flows[Flow_Name],Tab_Def_Flows[Use_E3],,0,)</f>
        <v>Yes</v>
      </c>
      <c r="G280" s="6" t="str">
        <f>_xlfn.XLOOKUP(C280,Tab_Def_Flows[Flow_Name],Tab_Def_Flows[Use_E4],,0,)</f>
        <v>Yes</v>
      </c>
      <c r="H280" s="6" t="str">
        <f>_xlfn.XLOOKUP(C280,Tab_Def_Flows[Flow_Name],Tab_Def_Flows[Use_E5],,0,)</f>
        <v>Yes</v>
      </c>
      <c r="I280" s="6" t="str">
        <f>_xlfn.XLOOKUP(C280,Tab_Def_Flows[Flow_Name],Tab_Def_Flows[Use_E6],,0,)</f>
        <v>Yes</v>
      </c>
      <c r="J280" s="4"/>
      <c r="K280" s="18"/>
      <c r="L280" s="3" t="str">
        <f>'0_Configuration'!$C$41</f>
        <v>Mg</v>
      </c>
      <c r="M280" s="10"/>
      <c r="N280" s="23" t="s">
        <v>3</v>
      </c>
      <c r="O280" s="11"/>
      <c r="P280" s="4"/>
      <c r="Q280" s="10"/>
      <c r="R280" s="3">
        <f>_xlfn.XLOOKUP(Tab_Data_Flows[[#This Row],[Flow_Name]],Tab_Def_Flows[Flow_Name],Tab_Def_Flows[Flow_E1_Fraction'[%']],"N.A.",0,1)</f>
        <v>0</v>
      </c>
      <c r="S280" s="9">
        <f t="shared" si="8"/>
        <v>0</v>
      </c>
      <c r="T280" s="3" t="str">
        <f>Tab_Data_Flows[[#This Row],[UoM_Source]]</f>
        <v>Mg</v>
      </c>
      <c r="U280" s="24">
        <f>_xlfn.XLOOKUP(Tab_Data_Flows[[#This Row],[Flow_Name]],Tab_Def_Flows[Flow_Name],Tab_Def_Flows[Flow_E2_Fraction'[%']],"N.A.",0,1)</f>
        <v>0</v>
      </c>
      <c r="V280" s="3">
        <f>IF(D280="Yes",S280*Tab_Data_Flows[[#This Row],[E2_Fraction'[%']]],"N.A.")</f>
        <v>0</v>
      </c>
      <c r="W280" s="3" t="str">
        <f>Tab_Data_Flows[[#This Row],[E1_UoM]]</f>
        <v>Mg</v>
      </c>
      <c r="X280" s="24">
        <f>_xlfn.XLOOKUP(Tab_Data_Flows[[#This Row],[Flow_Name]],Tab_Def_Flows[Flow_Name],Tab_Def_Flows[Flow_E3_Fraction'[%']],"N.A.",0,1)</f>
        <v>0</v>
      </c>
      <c r="Y280" s="3">
        <f>IF(E280="Yes",X280*Tab_Data_Flows[[#This Row],[E1_value]],"N.A.")</f>
        <v>0</v>
      </c>
      <c r="Z280" s="3" t="str">
        <f>Tab_Data_Flows[[#This Row],[E1_UoM]]</f>
        <v>Mg</v>
      </c>
      <c r="AA280" s="24">
        <f>_xlfn.XLOOKUP(Tab_Data_Flows[[#This Row],[Flow_Name]],Tab_Def_Flows[Flow_Name],Tab_Def_Flows[Flow_E4_Fraction'[%']],"N.A.",0,1)</f>
        <v>0</v>
      </c>
      <c r="AB280" s="3">
        <f>IF(H280="Yes",Tab_Data_Flows[[#This Row],[E4_Fraction'[%']]]*Tab_Data_Flows[[#This Row],[E1_value]],"N.A.")</f>
        <v>0</v>
      </c>
      <c r="AC280" s="3" t="str">
        <f>Tab_Data_Flows[[#This Row],[E1_UoM]]</f>
        <v>Mg</v>
      </c>
      <c r="AD280" s="24">
        <f>_xlfn.XLOOKUP(Tab_Data_Flows[[#This Row],[Flow_Name]],Tab_Def_Flows[Flow_Name],Tab_Def_Flows[Flow_E5_Fraction'[%']],"N.A.",0,1)</f>
        <v>0</v>
      </c>
      <c r="AE280" s="3">
        <f>IF(H280="Yes",Tab_Data_Flows[[#This Row],[E5_Fraction'[%']]]*Tab_Data_Flows[[#This Row],[E1_value]],"N.A.")</f>
        <v>0</v>
      </c>
      <c r="AF280" s="3" t="str">
        <f>Tab_Data_Flows[[#This Row],[E1_UoM]]</f>
        <v>Mg</v>
      </c>
      <c r="AG280" s="24">
        <f>_xlfn.XLOOKUP(Tab_Data_Flows[[#This Row],[Flow_Name]],Tab_Def_Flows[Flow_Name],Tab_Def_Flows[Flow_E6_Fraction'[%']],"N.A.",0,1)</f>
        <v>0</v>
      </c>
      <c r="AH280" s="3">
        <f>IF(Tab_Data_Flows[[#This Row],[Use_E6]]="Yes",Tab_Data_Flows[[#This Row],[E6_Fraction'[%']]]*Tab_Data_Flows[[#This Row],[E1_value]],"N.A.")</f>
        <v>0</v>
      </c>
      <c r="AI280" s="3" t="str">
        <f>Tab_Data_Flows[[#This Row],[E1_UoM]]</f>
        <v>Mg</v>
      </c>
    </row>
    <row r="281" spans="1:35" x14ac:dyDescent="0.25">
      <c r="A281" s="5">
        <f t="shared" si="9"/>
        <v>280</v>
      </c>
      <c r="B281" s="3" t="str">
        <f>_xlfn.XLOOKUP(C281,Tab_Def_Flows[Flow_Name],Tab_Def_Flows[Flow_ID],,0,)</f>
        <v>F__</v>
      </c>
      <c r="C281" s="23" t="s">
        <v>5</v>
      </c>
      <c r="D281" s="6" t="str">
        <f>_xlfn.XLOOKUP(C281,Tab_Def_Flows[Flow_Name],Tab_Def_Flows[Use_E1],,0,)</f>
        <v>Yes</v>
      </c>
      <c r="E281" s="6" t="str">
        <f>_xlfn.XLOOKUP(C281,Tab_Def_Flows[Flow_Name],Tab_Def_Flows[Use_E2],,0,)</f>
        <v>Yes</v>
      </c>
      <c r="F281" s="6" t="str">
        <f>_xlfn.XLOOKUP(C281,Tab_Def_Flows[Flow_Name],Tab_Def_Flows[Use_E3],,0,)</f>
        <v>Yes</v>
      </c>
      <c r="G281" s="6" t="str">
        <f>_xlfn.XLOOKUP(C281,Tab_Def_Flows[Flow_Name],Tab_Def_Flows[Use_E4],,0,)</f>
        <v>Yes</v>
      </c>
      <c r="H281" s="6" t="str">
        <f>_xlfn.XLOOKUP(C281,Tab_Def_Flows[Flow_Name],Tab_Def_Flows[Use_E5],,0,)</f>
        <v>Yes</v>
      </c>
      <c r="I281" s="6" t="str">
        <f>_xlfn.XLOOKUP(C281,Tab_Def_Flows[Flow_Name],Tab_Def_Flows[Use_E6],,0,)</f>
        <v>Yes</v>
      </c>
      <c r="J281" s="4"/>
      <c r="K281" s="18"/>
      <c r="L281" s="3" t="str">
        <f>'0_Configuration'!$C$41</f>
        <v>Mg</v>
      </c>
      <c r="M281" s="10"/>
      <c r="N281" s="23" t="s">
        <v>3</v>
      </c>
      <c r="O281" s="11"/>
      <c r="P281" s="4"/>
      <c r="Q281" s="10"/>
      <c r="R281" s="3">
        <f>_xlfn.XLOOKUP(Tab_Data_Flows[[#This Row],[Flow_Name]],Tab_Def_Flows[Flow_Name],Tab_Def_Flows[Flow_E1_Fraction'[%']],"N.A.",0,1)</f>
        <v>0</v>
      </c>
      <c r="S281" s="9">
        <f t="shared" si="8"/>
        <v>0</v>
      </c>
      <c r="T281" s="3" t="str">
        <f>Tab_Data_Flows[[#This Row],[UoM_Source]]</f>
        <v>Mg</v>
      </c>
      <c r="U281" s="24">
        <f>_xlfn.XLOOKUP(Tab_Data_Flows[[#This Row],[Flow_Name]],Tab_Def_Flows[Flow_Name],Tab_Def_Flows[Flow_E2_Fraction'[%']],"N.A.",0,1)</f>
        <v>0</v>
      </c>
      <c r="V281" s="3">
        <f>IF(D281="Yes",S281*Tab_Data_Flows[[#This Row],[E2_Fraction'[%']]],"N.A.")</f>
        <v>0</v>
      </c>
      <c r="W281" s="3" t="str">
        <f>Tab_Data_Flows[[#This Row],[E1_UoM]]</f>
        <v>Mg</v>
      </c>
      <c r="X281" s="24">
        <f>_xlfn.XLOOKUP(Tab_Data_Flows[[#This Row],[Flow_Name]],Tab_Def_Flows[Flow_Name],Tab_Def_Flows[Flow_E3_Fraction'[%']],"N.A.",0,1)</f>
        <v>0</v>
      </c>
      <c r="Y281" s="3">
        <f>IF(E281="Yes",X281*Tab_Data_Flows[[#This Row],[E1_value]],"N.A.")</f>
        <v>0</v>
      </c>
      <c r="Z281" s="3" t="str">
        <f>Tab_Data_Flows[[#This Row],[E1_UoM]]</f>
        <v>Mg</v>
      </c>
      <c r="AA281" s="24">
        <f>_xlfn.XLOOKUP(Tab_Data_Flows[[#This Row],[Flow_Name]],Tab_Def_Flows[Flow_Name],Tab_Def_Flows[Flow_E4_Fraction'[%']],"N.A.",0,1)</f>
        <v>0</v>
      </c>
      <c r="AB281" s="3">
        <f>IF(H281="Yes",Tab_Data_Flows[[#This Row],[E4_Fraction'[%']]]*Tab_Data_Flows[[#This Row],[E1_value]],"N.A.")</f>
        <v>0</v>
      </c>
      <c r="AC281" s="3" t="str">
        <f>Tab_Data_Flows[[#This Row],[E1_UoM]]</f>
        <v>Mg</v>
      </c>
      <c r="AD281" s="24">
        <f>_xlfn.XLOOKUP(Tab_Data_Flows[[#This Row],[Flow_Name]],Tab_Def_Flows[Flow_Name],Tab_Def_Flows[Flow_E5_Fraction'[%']],"N.A.",0,1)</f>
        <v>0</v>
      </c>
      <c r="AE281" s="3">
        <f>IF(H281="Yes",Tab_Data_Flows[[#This Row],[E5_Fraction'[%']]]*Tab_Data_Flows[[#This Row],[E1_value]],"N.A.")</f>
        <v>0</v>
      </c>
      <c r="AF281" s="3" t="str">
        <f>Tab_Data_Flows[[#This Row],[E1_UoM]]</f>
        <v>Mg</v>
      </c>
      <c r="AG281" s="24">
        <f>_xlfn.XLOOKUP(Tab_Data_Flows[[#This Row],[Flow_Name]],Tab_Def_Flows[Flow_Name],Tab_Def_Flows[Flow_E6_Fraction'[%']],"N.A.",0,1)</f>
        <v>0</v>
      </c>
      <c r="AH281" s="3">
        <f>IF(Tab_Data_Flows[[#This Row],[Use_E6]]="Yes",Tab_Data_Flows[[#This Row],[E6_Fraction'[%']]]*Tab_Data_Flows[[#This Row],[E1_value]],"N.A.")</f>
        <v>0</v>
      </c>
      <c r="AI281" s="3" t="str">
        <f>Tab_Data_Flows[[#This Row],[E1_UoM]]</f>
        <v>Mg</v>
      </c>
    </row>
    <row r="282" spans="1:35" x14ac:dyDescent="0.25">
      <c r="A282" s="5">
        <f t="shared" si="9"/>
        <v>281</v>
      </c>
      <c r="B282" s="3" t="str">
        <f>_xlfn.XLOOKUP(C282,Tab_Def_Flows[Flow_Name],Tab_Def_Flows[Flow_ID],,0,)</f>
        <v>F__</v>
      </c>
      <c r="C282" s="23" t="s">
        <v>5</v>
      </c>
      <c r="D282" s="6" t="str">
        <f>_xlfn.XLOOKUP(C282,Tab_Def_Flows[Flow_Name],Tab_Def_Flows[Use_E1],,0,)</f>
        <v>Yes</v>
      </c>
      <c r="E282" s="6" t="str">
        <f>_xlfn.XLOOKUP(C282,Tab_Def_Flows[Flow_Name],Tab_Def_Flows[Use_E2],,0,)</f>
        <v>Yes</v>
      </c>
      <c r="F282" s="6" t="str">
        <f>_xlfn.XLOOKUP(C282,Tab_Def_Flows[Flow_Name],Tab_Def_Flows[Use_E3],,0,)</f>
        <v>Yes</v>
      </c>
      <c r="G282" s="6" t="str">
        <f>_xlfn.XLOOKUP(C282,Tab_Def_Flows[Flow_Name],Tab_Def_Flows[Use_E4],,0,)</f>
        <v>Yes</v>
      </c>
      <c r="H282" s="6" t="str">
        <f>_xlfn.XLOOKUP(C282,Tab_Def_Flows[Flow_Name],Tab_Def_Flows[Use_E5],,0,)</f>
        <v>Yes</v>
      </c>
      <c r="I282" s="6" t="str">
        <f>_xlfn.XLOOKUP(C282,Tab_Def_Flows[Flow_Name],Tab_Def_Flows[Use_E6],,0,)</f>
        <v>Yes</v>
      </c>
      <c r="J282" s="4"/>
      <c r="K282" s="18"/>
      <c r="L282" s="3" t="str">
        <f>'0_Configuration'!$C$41</f>
        <v>Mg</v>
      </c>
      <c r="M282" s="10"/>
      <c r="N282" s="23" t="s">
        <v>3</v>
      </c>
      <c r="O282" s="11"/>
      <c r="P282" s="4"/>
      <c r="Q282" s="10"/>
      <c r="R282" s="3">
        <f>_xlfn.XLOOKUP(Tab_Data_Flows[[#This Row],[Flow_Name]],Tab_Def_Flows[Flow_Name],Tab_Def_Flows[Flow_E1_Fraction'[%']],"N.A.",0,1)</f>
        <v>0</v>
      </c>
      <c r="S282" s="9">
        <f t="shared" si="8"/>
        <v>0</v>
      </c>
      <c r="T282" s="3" t="str">
        <f>Tab_Data_Flows[[#This Row],[UoM_Source]]</f>
        <v>Mg</v>
      </c>
      <c r="U282" s="24">
        <f>_xlfn.XLOOKUP(Tab_Data_Flows[[#This Row],[Flow_Name]],Tab_Def_Flows[Flow_Name],Tab_Def_Flows[Flow_E2_Fraction'[%']],"N.A.",0,1)</f>
        <v>0</v>
      </c>
      <c r="V282" s="3">
        <f>IF(D282="Yes",S282*Tab_Data_Flows[[#This Row],[E2_Fraction'[%']]],"N.A.")</f>
        <v>0</v>
      </c>
      <c r="W282" s="3" t="str">
        <f>Tab_Data_Flows[[#This Row],[E1_UoM]]</f>
        <v>Mg</v>
      </c>
      <c r="X282" s="24">
        <f>_xlfn.XLOOKUP(Tab_Data_Flows[[#This Row],[Flow_Name]],Tab_Def_Flows[Flow_Name],Tab_Def_Flows[Flow_E3_Fraction'[%']],"N.A.",0,1)</f>
        <v>0</v>
      </c>
      <c r="Y282" s="3">
        <f>IF(E282="Yes",X282*Tab_Data_Flows[[#This Row],[E1_value]],"N.A.")</f>
        <v>0</v>
      </c>
      <c r="Z282" s="3" t="str">
        <f>Tab_Data_Flows[[#This Row],[E1_UoM]]</f>
        <v>Mg</v>
      </c>
      <c r="AA282" s="24">
        <f>_xlfn.XLOOKUP(Tab_Data_Flows[[#This Row],[Flow_Name]],Tab_Def_Flows[Flow_Name],Tab_Def_Flows[Flow_E4_Fraction'[%']],"N.A.",0,1)</f>
        <v>0</v>
      </c>
      <c r="AB282" s="3">
        <f>IF(H282="Yes",Tab_Data_Flows[[#This Row],[E4_Fraction'[%']]]*Tab_Data_Flows[[#This Row],[E1_value]],"N.A.")</f>
        <v>0</v>
      </c>
      <c r="AC282" s="3" t="str">
        <f>Tab_Data_Flows[[#This Row],[E1_UoM]]</f>
        <v>Mg</v>
      </c>
      <c r="AD282" s="24">
        <f>_xlfn.XLOOKUP(Tab_Data_Flows[[#This Row],[Flow_Name]],Tab_Def_Flows[Flow_Name],Tab_Def_Flows[Flow_E5_Fraction'[%']],"N.A.",0,1)</f>
        <v>0</v>
      </c>
      <c r="AE282" s="3">
        <f>IF(H282="Yes",Tab_Data_Flows[[#This Row],[E5_Fraction'[%']]]*Tab_Data_Flows[[#This Row],[E1_value]],"N.A.")</f>
        <v>0</v>
      </c>
      <c r="AF282" s="3" t="str">
        <f>Tab_Data_Flows[[#This Row],[E1_UoM]]</f>
        <v>Mg</v>
      </c>
      <c r="AG282" s="24">
        <f>_xlfn.XLOOKUP(Tab_Data_Flows[[#This Row],[Flow_Name]],Tab_Def_Flows[Flow_Name],Tab_Def_Flows[Flow_E6_Fraction'[%']],"N.A.",0,1)</f>
        <v>0</v>
      </c>
      <c r="AH282" s="3">
        <f>IF(Tab_Data_Flows[[#This Row],[Use_E6]]="Yes",Tab_Data_Flows[[#This Row],[E6_Fraction'[%']]]*Tab_Data_Flows[[#This Row],[E1_value]],"N.A.")</f>
        <v>0</v>
      </c>
      <c r="AI282" s="3" t="str">
        <f>Tab_Data_Flows[[#This Row],[E1_UoM]]</f>
        <v>Mg</v>
      </c>
    </row>
    <row r="283" spans="1:35" x14ac:dyDescent="0.25">
      <c r="A283" s="5">
        <f t="shared" si="9"/>
        <v>282</v>
      </c>
      <c r="B283" s="3" t="str">
        <f>_xlfn.XLOOKUP(C283,Tab_Def_Flows[Flow_Name],Tab_Def_Flows[Flow_ID],,0,)</f>
        <v>F__</v>
      </c>
      <c r="C283" s="23" t="s">
        <v>5</v>
      </c>
      <c r="D283" s="6" t="str">
        <f>_xlfn.XLOOKUP(C283,Tab_Def_Flows[Flow_Name],Tab_Def_Flows[Use_E1],,0,)</f>
        <v>Yes</v>
      </c>
      <c r="E283" s="6" t="str">
        <f>_xlfn.XLOOKUP(C283,Tab_Def_Flows[Flow_Name],Tab_Def_Flows[Use_E2],,0,)</f>
        <v>Yes</v>
      </c>
      <c r="F283" s="6" t="str">
        <f>_xlfn.XLOOKUP(C283,Tab_Def_Flows[Flow_Name],Tab_Def_Flows[Use_E3],,0,)</f>
        <v>Yes</v>
      </c>
      <c r="G283" s="6" t="str">
        <f>_xlfn.XLOOKUP(C283,Tab_Def_Flows[Flow_Name],Tab_Def_Flows[Use_E4],,0,)</f>
        <v>Yes</v>
      </c>
      <c r="H283" s="6" t="str">
        <f>_xlfn.XLOOKUP(C283,Tab_Def_Flows[Flow_Name],Tab_Def_Flows[Use_E5],,0,)</f>
        <v>Yes</v>
      </c>
      <c r="I283" s="6" t="str">
        <f>_xlfn.XLOOKUP(C283,Tab_Def_Flows[Flow_Name],Tab_Def_Flows[Use_E6],,0,)</f>
        <v>Yes</v>
      </c>
      <c r="J283" s="4"/>
      <c r="K283" s="18"/>
      <c r="L283" s="3" t="str">
        <f>'0_Configuration'!$C$41</f>
        <v>Mg</v>
      </c>
      <c r="M283" s="10"/>
      <c r="N283" s="23" t="s">
        <v>3</v>
      </c>
      <c r="O283" s="11"/>
      <c r="P283" s="4"/>
      <c r="Q283" s="10"/>
      <c r="R283" s="3">
        <f>_xlfn.XLOOKUP(Tab_Data_Flows[[#This Row],[Flow_Name]],Tab_Def_Flows[Flow_Name],Tab_Def_Flows[Flow_E1_Fraction'[%']],"N.A.",0,1)</f>
        <v>0</v>
      </c>
      <c r="S283" s="9">
        <f t="shared" si="8"/>
        <v>0</v>
      </c>
      <c r="T283" s="3" t="str">
        <f>Tab_Data_Flows[[#This Row],[UoM_Source]]</f>
        <v>Mg</v>
      </c>
      <c r="U283" s="24">
        <f>_xlfn.XLOOKUP(Tab_Data_Flows[[#This Row],[Flow_Name]],Tab_Def_Flows[Flow_Name],Tab_Def_Flows[Flow_E2_Fraction'[%']],"N.A.",0,1)</f>
        <v>0</v>
      </c>
      <c r="V283" s="3">
        <f>IF(D283="Yes",S283*Tab_Data_Flows[[#This Row],[E2_Fraction'[%']]],"N.A.")</f>
        <v>0</v>
      </c>
      <c r="W283" s="3" t="str">
        <f>Tab_Data_Flows[[#This Row],[E1_UoM]]</f>
        <v>Mg</v>
      </c>
      <c r="X283" s="24">
        <f>_xlfn.XLOOKUP(Tab_Data_Flows[[#This Row],[Flow_Name]],Tab_Def_Flows[Flow_Name],Tab_Def_Flows[Flow_E3_Fraction'[%']],"N.A.",0,1)</f>
        <v>0</v>
      </c>
      <c r="Y283" s="3">
        <f>IF(E283="Yes",X283*Tab_Data_Flows[[#This Row],[E1_value]],"N.A.")</f>
        <v>0</v>
      </c>
      <c r="Z283" s="3" t="str">
        <f>Tab_Data_Flows[[#This Row],[E1_UoM]]</f>
        <v>Mg</v>
      </c>
      <c r="AA283" s="24">
        <f>_xlfn.XLOOKUP(Tab_Data_Flows[[#This Row],[Flow_Name]],Tab_Def_Flows[Flow_Name],Tab_Def_Flows[Flow_E4_Fraction'[%']],"N.A.",0,1)</f>
        <v>0</v>
      </c>
      <c r="AB283" s="3">
        <f>IF(H283="Yes",Tab_Data_Flows[[#This Row],[E4_Fraction'[%']]]*Tab_Data_Flows[[#This Row],[E1_value]],"N.A.")</f>
        <v>0</v>
      </c>
      <c r="AC283" s="3" t="str">
        <f>Tab_Data_Flows[[#This Row],[E1_UoM]]</f>
        <v>Mg</v>
      </c>
      <c r="AD283" s="24">
        <f>_xlfn.XLOOKUP(Tab_Data_Flows[[#This Row],[Flow_Name]],Tab_Def_Flows[Flow_Name],Tab_Def_Flows[Flow_E5_Fraction'[%']],"N.A.",0,1)</f>
        <v>0</v>
      </c>
      <c r="AE283" s="3">
        <f>IF(H283="Yes",Tab_Data_Flows[[#This Row],[E5_Fraction'[%']]]*Tab_Data_Flows[[#This Row],[E1_value]],"N.A.")</f>
        <v>0</v>
      </c>
      <c r="AF283" s="3" t="str">
        <f>Tab_Data_Flows[[#This Row],[E1_UoM]]</f>
        <v>Mg</v>
      </c>
      <c r="AG283" s="24">
        <f>_xlfn.XLOOKUP(Tab_Data_Flows[[#This Row],[Flow_Name]],Tab_Def_Flows[Flow_Name],Tab_Def_Flows[Flow_E6_Fraction'[%']],"N.A.",0,1)</f>
        <v>0</v>
      </c>
      <c r="AH283" s="3">
        <f>IF(Tab_Data_Flows[[#This Row],[Use_E6]]="Yes",Tab_Data_Flows[[#This Row],[E6_Fraction'[%']]]*Tab_Data_Flows[[#This Row],[E1_value]],"N.A.")</f>
        <v>0</v>
      </c>
      <c r="AI283" s="3" t="str">
        <f>Tab_Data_Flows[[#This Row],[E1_UoM]]</f>
        <v>Mg</v>
      </c>
    </row>
    <row r="284" spans="1:35" x14ac:dyDescent="0.25">
      <c r="A284" s="5">
        <f t="shared" si="9"/>
        <v>283</v>
      </c>
      <c r="B284" s="3" t="str">
        <f>_xlfn.XLOOKUP(C284,Tab_Def_Flows[Flow_Name],Tab_Def_Flows[Flow_ID],,0,)</f>
        <v>F__</v>
      </c>
      <c r="C284" s="23" t="s">
        <v>5</v>
      </c>
      <c r="D284" s="6" t="str">
        <f>_xlfn.XLOOKUP(C284,Tab_Def_Flows[Flow_Name],Tab_Def_Flows[Use_E1],,0,)</f>
        <v>Yes</v>
      </c>
      <c r="E284" s="6" t="str">
        <f>_xlfn.XLOOKUP(C284,Tab_Def_Flows[Flow_Name],Tab_Def_Flows[Use_E2],,0,)</f>
        <v>Yes</v>
      </c>
      <c r="F284" s="6" t="str">
        <f>_xlfn.XLOOKUP(C284,Tab_Def_Flows[Flow_Name],Tab_Def_Flows[Use_E3],,0,)</f>
        <v>Yes</v>
      </c>
      <c r="G284" s="6" t="str">
        <f>_xlfn.XLOOKUP(C284,Tab_Def_Flows[Flow_Name],Tab_Def_Flows[Use_E4],,0,)</f>
        <v>Yes</v>
      </c>
      <c r="H284" s="6" t="str">
        <f>_xlfn.XLOOKUP(C284,Tab_Def_Flows[Flow_Name],Tab_Def_Flows[Use_E5],,0,)</f>
        <v>Yes</v>
      </c>
      <c r="I284" s="6" t="str">
        <f>_xlfn.XLOOKUP(C284,Tab_Def_Flows[Flow_Name],Tab_Def_Flows[Use_E6],,0,)</f>
        <v>Yes</v>
      </c>
      <c r="J284" s="4"/>
      <c r="K284" s="18"/>
      <c r="L284" s="3" t="str">
        <f>'0_Configuration'!$C$41</f>
        <v>Mg</v>
      </c>
      <c r="M284" s="10"/>
      <c r="N284" s="23" t="s">
        <v>3</v>
      </c>
      <c r="O284" s="11"/>
      <c r="P284" s="4"/>
      <c r="Q284" s="10"/>
      <c r="R284" s="3">
        <f>_xlfn.XLOOKUP(Tab_Data_Flows[[#This Row],[Flow_Name]],Tab_Def_Flows[Flow_Name],Tab_Def_Flows[Flow_E1_Fraction'[%']],"N.A.",0,1)</f>
        <v>0</v>
      </c>
      <c r="S284" s="9">
        <f t="shared" si="8"/>
        <v>0</v>
      </c>
      <c r="T284" s="3" t="str">
        <f>Tab_Data_Flows[[#This Row],[UoM_Source]]</f>
        <v>Mg</v>
      </c>
      <c r="U284" s="24">
        <f>_xlfn.XLOOKUP(Tab_Data_Flows[[#This Row],[Flow_Name]],Tab_Def_Flows[Flow_Name],Tab_Def_Flows[Flow_E2_Fraction'[%']],"N.A.",0,1)</f>
        <v>0</v>
      </c>
      <c r="V284" s="3">
        <f>IF(D284="Yes",S284*Tab_Data_Flows[[#This Row],[E2_Fraction'[%']]],"N.A.")</f>
        <v>0</v>
      </c>
      <c r="W284" s="3" t="str">
        <f>Tab_Data_Flows[[#This Row],[E1_UoM]]</f>
        <v>Mg</v>
      </c>
      <c r="X284" s="24">
        <f>_xlfn.XLOOKUP(Tab_Data_Flows[[#This Row],[Flow_Name]],Tab_Def_Flows[Flow_Name],Tab_Def_Flows[Flow_E3_Fraction'[%']],"N.A.",0,1)</f>
        <v>0</v>
      </c>
      <c r="Y284" s="3">
        <f>IF(E284="Yes",X284*Tab_Data_Flows[[#This Row],[E1_value]],"N.A.")</f>
        <v>0</v>
      </c>
      <c r="Z284" s="3" t="str">
        <f>Tab_Data_Flows[[#This Row],[E1_UoM]]</f>
        <v>Mg</v>
      </c>
      <c r="AA284" s="24">
        <f>_xlfn.XLOOKUP(Tab_Data_Flows[[#This Row],[Flow_Name]],Tab_Def_Flows[Flow_Name],Tab_Def_Flows[Flow_E4_Fraction'[%']],"N.A.",0,1)</f>
        <v>0</v>
      </c>
      <c r="AB284" s="3">
        <f>IF(H284="Yes",Tab_Data_Flows[[#This Row],[E4_Fraction'[%']]]*Tab_Data_Flows[[#This Row],[E1_value]],"N.A.")</f>
        <v>0</v>
      </c>
      <c r="AC284" s="3" t="str">
        <f>Tab_Data_Flows[[#This Row],[E1_UoM]]</f>
        <v>Mg</v>
      </c>
      <c r="AD284" s="24">
        <f>_xlfn.XLOOKUP(Tab_Data_Flows[[#This Row],[Flow_Name]],Tab_Def_Flows[Flow_Name],Tab_Def_Flows[Flow_E5_Fraction'[%']],"N.A.",0,1)</f>
        <v>0</v>
      </c>
      <c r="AE284" s="3">
        <f>IF(H284="Yes",Tab_Data_Flows[[#This Row],[E5_Fraction'[%']]]*Tab_Data_Flows[[#This Row],[E1_value]],"N.A.")</f>
        <v>0</v>
      </c>
      <c r="AF284" s="3" t="str">
        <f>Tab_Data_Flows[[#This Row],[E1_UoM]]</f>
        <v>Mg</v>
      </c>
      <c r="AG284" s="24">
        <f>_xlfn.XLOOKUP(Tab_Data_Flows[[#This Row],[Flow_Name]],Tab_Def_Flows[Flow_Name],Tab_Def_Flows[Flow_E6_Fraction'[%']],"N.A.",0,1)</f>
        <v>0</v>
      </c>
      <c r="AH284" s="3">
        <f>IF(Tab_Data_Flows[[#This Row],[Use_E6]]="Yes",Tab_Data_Flows[[#This Row],[E6_Fraction'[%']]]*Tab_Data_Flows[[#This Row],[E1_value]],"N.A.")</f>
        <v>0</v>
      </c>
      <c r="AI284" s="3" t="str">
        <f>Tab_Data_Flows[[#This Row],[E1_UoM]]</f>
        <v>Mg</v>
      </c>
    </row>
    <row r="285" spans="1:35" x14ac:dyDescent="0.25">
      <c r="A285" s="5">
        <f t="shared" si="9"/>
        <v>284</v>
      </c>
      <c r="B285" s="3" t="str">
        <f>_xlfn.XLOOKUP(C285,Tab_Def_Flows[Flow_Name],Tab_Def_Flows[Flow_ID],,0,)</f>
        <v>F__</v>
      </c>
      <c r="C285" s="23" t="s">
        <v>5</v>
      </c>
      <c r="D285" s="6" t="str">
        <f>_xlfn.XLOOKUP(C285,Tab_Def_Flows[Flow_Name],Tab_Def_Flows[Use_E1],,0,)</f>
        <v>Yes</v>
      </c>
      <c r="E285" s="6" t="str">
        <f>_xlfn.XLOOKUP(C285,Tab_Def_Flows[Flow_Name],Tab_Def_Flows[Use_E2],,0,)</f>
        <v>Yes</v>
      </c>
      <c r="F285" s="6" t="str">
        <f>_xlfn.XLOOKUP(C285,Tab_Def_Flows[Flow_Name],Tab_Def_Flows[Use_E3],,0,)</f>
        <v>Yes</v>
      </c>
      <c r="G285" s="6" t="str">
        <f>_xlfn.XLOOKUP(C285,Tab_Def_Flows[Flow_Name],Tab_Def_Flows[Use_E4],,0,)</f>
        <v>Yes</v>
      </c>
      <c r="H285" s="6" t="str">
        <f>_xlfn.XLOOKUP(C285,Tab_Def_Flows[Flow_Name],Tab_Def_Flows[Use_E5],,0,)</f>
        <v>Yes</v>
      </c>
      <c r="I285" s="6" t="str">
        <f>_xlfn.XLOOKUP(C285,Tab_Def_Flows[Flow_Name],Tab_Def_Flows[Use_E6],,0,)</f>
        <v>Yes</v>
      </c>
      <c r="J285" s="4"/>
      <c r="K285" s="18"/>
      <c r="L285" s="3" t="str">
        <f>'0_Configuration'!$C$41</f>
        <v>Mg</v>
      </c>
      <c r="M285" s="10"/>
      <c r="N285" s="23" t="s">
        <v>3</v>
      </c>
      <c r="O285" s="11"/>
      <c r="P285" s="4"/>
      <c r="Q285" s="10"/>
      <c r="R285" s="3">
        <f>_xlfn.XLOOKUP(Tab_Data_Flows[[#This Row],[Flow_Name]],Tab_Def_Flows[Flow_Name],Tab_Def_Flows[Flow_E1_Fraction'[%']],"N.A.",0,1)</f>
        <v>0</v>
      </c>
      <c r="S285" s="9">
        <f t="shared" si="8"/>
        <v>0</v>
      </c>
      <c r="T285" s="3" t="str">
        <f>Tab_Data_Flows[[#This Row],[UoM_Source]]</f>
        <v>Mg</v>
      </c>
      <c r="U285" s="24">
        <f>_xlfn.XLOOKUP(Tab_Data_Flows[[#This Row],[Flow_Name]],Tab_Def_Flows[Flow_Name],Tab_Def_Flows[Flow_E2_Fraction'[%']],"N.A.",0,1)</f>
        <v>0</v>
      </c>
      <c r="V285" s="3">
        <f>IF(D285="Yes",S285*Tab_Data_Flows[[#This Row],[E2_Fraction'[%']]],"N.A.")</f>
        <v>0</v>
      </c>
      <c r="W285" s="3" t="str">
        <f>Tab_Data_Flows[[#This Row],[E1_UoM]]</f>
        <v>Mg</v>
      </c>
      <c r="X285" s="24">
        <f>_xlfn.XLOOKUP(Tab_Data_Flows[[#This Row],[Flow_Name]],Tab_Def_Flows[Flow_Name],Tab_Def_Flows[Flow_E3_Fraction'[%']],"N.A.",0,1)</f>
        <v>0</v>
      </c>
      <c r="Y285" s="3">
        <f>IF(E285="Yes",X285*Tab_Data_Flows[[#This Row],[E1_value]],"N.A.")</f>
        <v>0</v>
      </c>
      <c r="Z285" s="3" t="str">
        <f>Tab_Data_Flows[[#This Row],[E1_UoM]]</f>
        <v>Mg</v>
      </c>
      <c r="AA285" s="24">
        <f>_xlfn.XLOOKUP(Tab_Data_Flows[[#This Row],[Flow_Name]],Tab_Def_Flows[Flow_Name],Tab_Def_Flows[Flow_E4_Fraction'[%']],"N.A.",0,1)</f>
        <v>0</v>
      </c>
      <c r="AB285" s="3">
        <f>IF(H285="Yes",Tab_Data_Flows[[#This Row],[E4_Fraction'[%']]]*Tab_Data_Flows[[#This Row],[E1_value]],"N.A.")</f>
        <v>0</v>
      </c>
      <c r="AC285" s="3" t="str">
        <f>Tab_Data_Flows[[#This Row],[E1_UoM]]</f>
        <v>Mg</v>
      </c>
      <c r="AD285" s="24">
        <f>_xlfn.XLOOKUP(Tab_Data_Flows[[#This Row],[Flow_Name]],Tab_Def_Flows[Flow_Name],Tab_Def_Flows[Flow_E5_Fraction'[%']],"N.A.",0,1)</f>
        <v>0</v>
      </c>
      <c r="AE285" s="3">
        <f>IF(H285="Yes",Tab_Data_Flows[[#This Row],[E5_Fraction'[%']]]*Tab_Data_Flows[[#This Row],[E1_value]],"N.A.")</f>
        <v>0</v>
      </c>
      <c r="AF285" s="3" t="str">
        <f>Tab_Data_Flows[[#This Row],[E1_UoM]]</f>
        <v>Mg</v>
      </c>
      <c r="AG285" s="24">
        <f>_xlfn.XLOOKUP(Tab_Data_Flows[[#This Row],[Flow_Name]],Tab_Def_Flows[Flow_Name],Tab_Def_Flows[Flow_E6_Fraction'[%']],"N.A.",0,1)</f>
        <v>0</v>
      </c>
      <c r="AH285" s="3">
        <f>IF(Tab_Data_Flows[[#This Row],[Use_E6]]="Yes",Tab_Data_Flows[[#This Row],[E6_Fraction'[%']]]*Tab_Data_Flows[[#This Row],[E1_value]],"N.A.")</f>
        <v>0</v>
      </c>
      <c r="AI285" s="3" t="str">
        <f>Tab_Data_Flows[[#This Row],[E1_UoM]]</f>
        <v>Mg</v>
      </c>
    </row>
    <row r="286" spans="1:35" x14ac:dyDescent="0.25">
      <c r="A286" s="5">
        <f t="shared" si="9"/>
        <v>285</v>
      </c>
      <c r="B286" s="3" t="str">
        <f>_xlfn.XLOOKUP(C286,Tab_Def_Flows[Flow_Name],Tab_Def_Flows[Flow_ID],,0,)</f>
        <v>F__</v>
      </c>
      <c r="C286" s="23" t="s">
        <v>5</v>
      </c>
      <c r="D286" s="6" t="str">
        <f>_xlfn.XLOOKUP(C286,Tab_Def_Flows[Flow_Name],Tab_Def_Flows[Use_E1],,0,)</f>
        <v>Yes</v>
      </c>
      <c r="E286" s="6" t="str">
        <f>_xlfn.XLOOKUP(C286,Tab_Def_Flows[Flow_Name],Tab_Def_Flows[Use_E2],,0,)</f>
        <v>Yes</v>
      </c>
      <c r="F286" s="6" t="str">
        <f>_xlfn.XLOOKUP(C286,Tab_Def_Flows[Flow_Name],Tab_Def_Flows[Use_E3],,0,)</f>
        <v>Yes</v>
      </c>
      <c r="G286" s="6" t="str">
        <f>_xlfn.XLOOKUP(C286,Tab_Def_Flows[Flow_Name],Tab_Def_Flows[Use_E4],,0,)</f>
        <v>Yes</v>
      </c>
      <c r="H286" s="6" t="str">
        <f>_xlfn.XLOOKUP(C286,Tab_Def_Flows[Flow_Name],Tab_Def_Flows[Use_E5],,0,)</f>
        <v>Yes</v>
      </c>
      <c r="I286" s="6" t="str">
        <f>_xlfn.XLOOKUP(C286,Tab_Def_Flows[Flow_Name],Tab_Def_Flows[Use_E6],,0,)</f>
        <v>Yes</v>
      </c>
      <c r="J286" s="4"/>
      <c r="K286" s="18"/>
      <c r="L286" s="3" t="str">
        <f>'0_Configuration'!$C$41</f>
        <v>Mg</v>
      </c>
      <c r="M286" s="10"/>
      <c r="N286" s="23" t="s">
        <v>3</v>
      </c>
      <c r="O286" s="11"/>
      <c r="P286" s="4"/>
      <c r="Q286" s="10"/>
      <c r="R286" s="3">
        <f>_xlfn.XLOOKUP(Tab_Data_Flows[[#This Row],[Flow_Name]],Tab_Def_Flows[Flow_Name],Tab_Def_Flows[Flow_E1_Fraction'[%']],"N.A.",0,1)</f>
        <v>0</v>
      </c>
      <c r="S286" s="9">
        <f t="shared" si="8"/>
        <v>0</v>
      </c>
      <c r="T286" s="3" t="str">
        <f>Tab_Data_Flows[[#This Row],[UoM_Source]]</f>
        <v>Mg</v>
      </c>
      <c r="U286" s="24">
        <f>_xlfn.XLOOKUP(Tab_Data_Flows[[#This Row],[Flow_Name]],Tab_Def_Flows[Flow_Name],Tab_Def_Flows[Flow_E2_Fraction'[%']],"N.A.",0,1)</f>
        <v>0</v>
      </c>
      <c r="V286" s="3">
        <f>IF(D286="Yes",S286*Tab_Data_Flows[[#This Row],[E2_Fraction'[%']]],"N.A.")</f>
        <v>0</v>
      </c>
      <c r="W286" s="3" t="str">
        <f>Tab_Data_Flows[[#This Row],[E1_UoM]]</f>
        <v>Mg</v>
      </c>
      <c r="X286" s="24">
        <f>_xlfn.XLOOKUP(Tab_Data_Flows[[#This Row],[Flow_Name]],Tab_Def_Flows[Flow_Name],Tab_Def_Flows[Flow_E3_Fraction'[%']],"N.A.",0,1)</f>
        <v>0</v>
      </c>
      <c r="Y286" s="3">
        <f>IF(E286="Yes",X286*Tab_Data_Flows[[#This Row],[E1_value]],"N.A.")</f>
        <v>0</v>
      </c>
      <c r="Z286" s="3" t="str">
        <f>Tab_Data_Flows[[#This Row],[E1_UoM]]</f>
        <v>Mg</v>
      </c>
      <c r="AA286" s="24">
        <f>_xlfn.XLOOKUP(Tab_Data_Flows[[#This Row],[Flow_Name]],Tab_Def_Flows[Flow_Name],Tab_Def_Flows[Flow_E4_Fraction'[%']],"N.A.",0,1)</f>
        <v>0</v>
      </c>
      <c r="AB286" s="3">
        <f>IF(H286="Yes",Tab_Data_Flows[[#This Row],[E4_Fraction'[%']]]*Tab_Data_Flows[[#This Row],[E1_value]],"N.A.")</f>
        <v>0</v>
      </c>
      <c r="AC286" s="3" t="str">
        <f>Tab_Data_Flows[[#This Row],[E1_UoM]]</f>
        <v>Mg</v>
      </c>
      <c r="AD286" s="24">
        <f>_xlfn.XLOOKUP(Tab_Data_Flows[[#This Row],[Flow_Name]],Tab_Def_Flows[Flow_Name],Tab_Def_Flows[Flow_E5_Fraction'[%']],"N.A.",0,1)</f>
        <v>0</v>
      </c>
      <c r="AE286" s="3">
        <f>IF(H286="Yes",Tab_Data_Flows[[#This Row],[E5_Fraction'[%']]]*Tab_Data_Flows[[#This Row],[E1_value]],"N.A.")</f>
        <v>0</v>
      </c>
      <c r="AF286" s="3" t="str">
        <f>Tab_Data_Flows[[#This Row],[E1_UoM]]</f>
        <v>Mg</v>
      </c>
      <c r="AG286" s="24">
        <f>_xlfn.XLOOKUP(Tab_Data_Flows[[#This Row],[Flow_Name]],Tab_Def_Flows[Flow_Name],Tab_Def_Flows[Flow_E6_Fraction'[%']],"N.A.",0,1)</f>
        <v>0</v>
      </c>
      <c r="AH286" s="3">
        <f>IF(Tab_Data_Flows[[#This Row],[Use_E6]]="Yes",Tab_Data_Flows[[#This Row],[E6_Fraction'[%']]]*Tab_Data_Flows[[#This Row],[E1_value]],"N.A.")</f>
        <v>0</v>
      </c>
      <c r="AI286" s="3" t="str">
        <f>Tab_Data_Flows[[#This Row],[E1_UoM]]</f>
        <v>Mg</v>
      </c>
    </row>
    <row r="287" spans="1:35" x14ac:dyDescent="0.25">
      <c r="A287" s="5">
        <f t="shared" si="9"/>
        <v>286</v>
      </c>
      <c r="B287" s="3" t="str">
        <f>_xlfn.XLOOKUP(C287,Tab_Def_Flows[Flow_Name],Tab_Def_Flows[Flow_ID],,0,)</f>
        <v>F__</v>
      </c>
      <c r="C287" s="23" t="s">
        <v>5</v>
      </c>
      <c r="D287" s="6" t="str">
        <f>_xlfn.XLOOKUP(C287,Tab_Def_Flows[Flow_Name],Tab_Def_Flows[Use_E1],,0,)</f>
        <v>Yes</v>
      </c>
      <c r="E287" s="6" t="str">
        <f>_xlfn.XLOOKUP(C287,Tab_Def_Flows[Flow_Name],Tab_Def_Flows[Use_E2],,0,)</f>
        <v>Yes</v>
      </c>
      <c r="F287" s="6" t="str">
        <f>_xlfn.XLOOKUP(C287,Tab_Def_Flows[Flow_Name],Tab_Def_Flows[Use_E3],,0,)</f>
        <v>Yes</v>
      </c>
      <c r="G287" s="6" t="str">
        <f>_xlfn.XLOOKUP(C287,Tab_Def_Flows[Flow_Name],Tab_Def_Flows[Use_E4],,0,)</f>
        <v>Yes</v>
      </c>
      <c r="H287" s="6" t="str">
        <f>_xlfn.XLOOKUP(C287,Tab_Def_Flows[Flow_Name],Tab_Def_Flows[Use_E5],,0,)</f>
        <v>Yes</v>
      </c>
      <c r="I287" s="6" t="str">
        <f>_xlfn.XLOOKUP(C287,Tab_Def_Flows[Flow_Name],Tab_Def_Flows[Use_E6],,0,)</f>
        <v>Yes</v>
      </c>
      <c r="J287" s="4"/>
      <c r="K287" s="18"/>
      <c r="L287" s="3" t="str">
        <f>'0_Configuration'!$C$41</f>
        <v>Mg</v>
      </c>
      <c r="M287" s="10"/>
      <c r="N287" s="23" t="s">
        <v>3</v>
      </c>
      <c r="O287" s="11"/>
      <c r="P287" s="4"/>
      <c r="Q287" s="10"/>
      <c r="R287" s="3">
        <f>_xlfn.XLOOKUP(Tab_Data_Flows[[#This Row],[Flow_Name]],Tab_Def_Flows[Flow_Name],Tab_Def_Flows[Flow_E1_Fraction'[%']],"N.A.",0,1)</f>
        <v>0</v>
      </c>
      <c r="S287" s="9">
        <f t="shared" si="8"/>
        <v>0</v>
      </c>
      <c r="T287" s="3" t="str">
        <f>Tab_Data_Flows[[#This Row],[UoM_Source]]</f>
        <v>Mg</v>
      </c>
      <c r="U287" s="24">
        <f>_xlfn.XLOOKUP(Tab_Data_Flows[[#This Row],[Flow_Name]],Tab_Def_Flows[Flow_Name],Tab_Def_Flows[Flow_E2_Fraction'[%']],"N.A.",0,1)</f>
        <v>0</v>
      </c>
      <c r="V287" s="3">
        <f>IF(D287="Yes",S287*Tab_Data_Flows[[#This Row],[E2_Fraction'[%']]],"N.A.")</f>
        <v>0</v>
      </c>
      <c r="W287" s="3" t="str">
        <f>Tab_Data_Flows[[#This Row],[E1_UoM]]</f>
        <v>Mg</v>
      </c>
      <c r="X287" s="24">
        <f>_xlfn.XLOOKUP(Tab_Data_Flows[[#This Row],[Flow_Name]],Tab_Def_Flows[Flow_Name],Tab_Def_Flows[Flow_E3_Fraction'[%']],"N.A.",0,1)</f>
        <v>0</v>
      </c>
      <c r="Y287" s="3">
        <f>IF(E287="Yes",X287*Tab_Data_Flows[[#This Row],[E1_value]],"N.A.")</f>
        <v>0</v>
      </c>
      <c r="Z287" s="3" t="str">
        <f>Tab_Data_Flows[[#This Row],[E1_UoM]]</f>
        <v>Mg</v>
      </c>
      <c r="AA287" s="24">
        <f>_xlfn.XLOOKUP(Tab_Data_Flows[[#This Row],[Flow_Name]],Tab_Def_Flows[Flow_Name],Tab_Def_Flows[Flow_E4_Fraction'[%']],"N.A.",0,1)</f>
        <v>0</v>
      </c>
      <c r="AB287" s="3">
        <f>IF(H287="Yes",Tab_Data_Flows[[#This Row],[E4_Fraction'[%']]]*Tab_Data_Flows[[#This Row],[E1_value]],"N.A.")</f>
        <v>0</v>
      </c>
      <c r="AC287" s="3" t="str">
        <f>Tab_Data_Flows[[#This Row],[E1_UoM]]</f>
        <v>Mg</v>
      </c>
      <c r="AD287" s="24">
        <f>_xlfn.XLOOKUP(Tab_Data_Flows[[#This Row],[Flow_Name]],Tab_Def_Flows[Flow_Name],Tab_Def_Flows[Flow_E5_Fraction'[%']],"N.A.",0,1)</f>
        <v>0</v>
      </c>
      <c r="AE287" s="3">
        <f>IF(H287="Yes",Tab_Data_Flows[[#This Row],[E5_Fraction'[%']]]*Tab_Data_Flows[[#This Row],[E1_value]],"N.A.")</f>
        <v>0</v>
      </c>
      <c r="AF287" s="3" t="str">
        <f>Tab_Data_Flows[[#This Row],[E1_UoM]]</f>
        <v>Mg</v>
      </c>
      <c r="AG287" s="24">
        <f>_xlfn.XLOOKUP(Tab_Data_Flows[[#This Row],[Flow_Name]],Tab_Def_Flows[Flow_Name],Tab_Def_Flows[Flow_E6_Fraction'[%']],"N.A.",0,1)</f>
        <v>0</v>
      </c>
      <c r="AH287" s="3">
        <f>IF(Tab_Data_Flows[[#This Row],[Use_E6]]="Yes",Tab_Data_Flows[[#This Row],[E6_Fraction'[%']]]*Tab_Data_Flows[[#This Row],[E1_value]],"N.A.")</f>
        <v>0</v>
      </c>
      <c r="AI287" s="3" t="str">
        <f>Tab_Data_Flows[[#This Row],[E1_UoM]]</f>
        <v>Mg</v>
      </c>
    </row>
    <row r="288" spans="1:35" x14ac:dyDescent="0.25">
      <c r="A288" s="5">
        <f t="shared" si="9"/>
        <v>287</v>
      </c>
      <c r="B288" s="3" t="str">
        <f>_xlfn.XLOOKUP(C288,Tab_Def_Flows[Flow_Name],Tab_Def_Flows[Flow_ID],,0,)</f>
        <v>F__</v>
      </c>
      <c r="C288" s="23" t="s">
        <v>5</v>
      </c>
      <c r="D288" s="6" t="str">
        <f>_xlfn.XLOOKUP(C288,Tab_Def_Flows[Flow_Name],Tab_Def_Flows[Use_E1],,0,)</f>
        <v>Yes</v>
      </c>
      <c r="E288" s="6" t="str">
        <f>_xlfn.XLOOKUP(C288,Tab_Def_Flows[Flow_Name],Tab_Def_Flows[Use_E2],,0,)</f>
        <v>Yes</v>
      </c>
      <c r="F288" s="6" t="str">
        <f>_xlfn.XLOOKUP(C288,Tab_Def_Flows[Flow_Name],Tab_Def_Flows[Use_E3],,0,)</f>
        <v>Yes</v>
      </c>
      <c r="G288" s="6" t="str">
        <f>_xlfn.XLOOKUP(C288,Tab_Def_Flows[Flow_Name],Tab_Def_Flows[Use_E4],,0,)</f>
        <v>Yes</v>
      </c>
      <c r="H288" s="6" t="str">
        <f>_xlfn.XLOOKUP(C288,Tab_Def_Flows[Flow_Name],Tab_Def_Flows[Use_E5],,0,)</f>
        <v>Yes</v>
      </c>
      <c r="I288" s="6" t="str">
        <f>_xlfn.XLOOKUP(C288,Tab_Def_Flows[Flow_Name],Tab_Def_Flows[Use_E6],,0,)</f>
        <v>Yes</v>
      </c>
      <c r="J288" s="4"/>
      <c r="K288" s="18"/>
      <c r="L288" s="3" t="str">
        <f>'0_Configuration'!$C$41</f>
        <v>Mg</v>
      </c>
      <c r="M288" s="10"/>
      <c r="N288" s="23" t="s">
        <v>3</v>
      </c>
      <c r="O288" s="11"/>
      <c r="P288" s="4"/>
      <c r="Q288" s="10"/>
      <c r="R288" s="3">
        <f>_xlfn.XLOOKUP(Tab_Data_Flows[[#This Row],[Flow_Name]],Tab_Def_Flows[Flow_Name],Tab_Def_Flows[Flow_E1_Fraction'[%']],"N.A.",0,1)</f>
        <v>0</v>
      </c>
      <c r="S288" s="9">
        <f t="shared" si="8"/>
        <v>0</v>
      </c>
      <c r="T288" s="3" t="str">
        <f>Tab_Data_Flows[[#This Row],[UoM_Source]]</f>
        <v>Mg</v>
      </c>
      <c r="U288" s="24">
        <f>_xlfn.XLOOKUP(Tab_Data_Flows[[#This Row],[Flow_Name]],Tab_Def_Flows[Flow_Name],Tab_Def_Flows[Flow_E2_Fraction'[%']],"N.A.",0,1)</f>
        <v>0</v>
      </c>
      <c r="V288" s="3">
        <f>IF(D288="Yes",S288*Tab_Data_Flows[[#This Row],[E2_Fraction'[%']]],"N.A.")</f>
        <v>0</v>
      </c>
      <c r="W288" s="3" t="str">
        <f>Tab_Data_Flows[[#This Row],[E1_UoM]]</f>
        <v>Mg</v>
      </c>
      <c r="X288" s="24">
        <f>_xlfn.XLOOKUP(Tab_Data_Flows[[#This Row],[Flow_Name]],Tab_Def_Flows[Flow_Name],Tab_Def_Flows[Flow_E3_Fraction'[%']],"N.A.",0,1)</f>
        <v>0</v>
      </c>
      <c r="Y288" s="3">
        <f>IF(E288="Yes",X288*Tab_Data_Flows[[#This Row],[E1_value]],"N.A.")</f>
        <v>0</v>
      </c>
      <c r="Z288" s="3" t="str">
        <f>Tab_Data_Flows[[#This Row],[E1_UoM]]</f>
        <v>Mg</v>
      </c>
      <c r="AA288" s="24">
        <f>_xlfn.XLOOKUP(Tab_Data_Flows[[#This Row],[Flow_Name]],Tab_Def_Flows[Flow_Name],Tab_Def_Flows[Flow_E4_Fraction'[%']],"N.A.",0,1)</f>
        <v>0</v>
      </c>
      <c r="AB288" s="3">
        <f>IF(H288="Yes",Tab_Data_Flows[[#This Row],[E4_Fraction'[%']]]*Tab_Data_Flows[[#This Row],[E1_value]],"N.A.")</f>
        <v>0</v>
      </c>
      <c r="AC288" s="3" t="str">
        <f>Tab_Data_Flows[[#This Row],[E1_UoM]]</f>
        <v>Mg</v>
      </c>
      <c r="AD288" s="24">
        <f>_xlfn.XLOOKUP(Tab_Data_Flows[[#This Row],[Flow_Name]],Tab_Def_Flows[Flow_Name],Tab_Def_Flows[Flow_E5_Fraction'[%']],"N.A.",0,1)</f>
        <v>0</v>
      </c>
      <c r="AE288" s="3">
        <f>IF(H288="Yes",Tab_Data_Flows[[#This Row],[E5_Fraction'[%']]]*Tab_Data_Flows[[#This Row],[E1_value]],"N.A.")</f>
        <v>0</v>
      </c>
      <c r="AF288" s="3" t="str">
        <f>Tab_Data_Flows[[#This Row],[E1_UoM]]</f>
        <v>Mg</v>
      </c>
      <c r="AG288" s="24">
        <f>_xlfn.XLOOKUP(Tab_Data_Flows[[#This Row],[Flow_Name]],Tab_Def_Flows[Flow_Name],Tab_Def_Flows[Flow_E6_Fraction'[%']],"N.A.",0,1)</f>
        <v>0</v>
      </c>
      <c r="AH288" s="3">
        <f>IF(Tab_Data_Flows[[#This Row],[Use_E6]]="Yes",Tab_Data_Flows[[#This Row],[E6_Fraction'[%']]]*Tab_Data_Flows[[#This Row],[E1_value]],"N.A.")</f>
        <v>0</v>
      </c>
      <c r="AI288" s="3" t="str">
        <f>Tab_Data_Flows[[#This Row],[E1_UoM]]</f>
        <v>Mg</v>
      </c>
    </row>
    <row r="289" spans="1:35" x14ac:dyDescent="0.25">
      <c r="A289" s="5">
        <f t="shared" si="9"/>
        <v>288</v>
      </c>
      <c r="B289" s="3" t="str">
        <f>_xlfn.XLOOKUP(C289,Tab_Def_Flows[Flow_Name],Tab_Def_Flows[Flow_ID],,0,)</f>
        <v>F__</v>
      </c>
      <c r="C289" s="23" t="s">
        <v>5</v>
      </c>
      <c r="D289" s="6" t="str">
        <f>_xlfn.XLOOKUP(C289,Tab_Def_Flows[Flow_Name],Tab_Def_Flows[Use_E1],,0,)</f>
        <v>Yes</v>
      </c>
      <c r="E289" s="6" t="str">
        <f>_xlfn.XLOOKUP(C289,Tab_Def_Flows[Flow_Name],Tab_Def_Flows[Use_E2],,0,)</f>
        <v>Yes</v>
      </c>
      <c r="F289" s="6" t="str">
        <f>_xlfn.XLOOKUP(C289,Tab_Def_Flows[Flow_Name],Tab_Def_Flows[Use_E3],,0,)</f>
        <v>Yes</v>
      </c>
      <c r="G289" s="6" t="str">
        <f>_xlfn.XLOOKUP(C289,Tab_Def_Flows[Flow_Name],Tab_Def_Flows[Use_E4],,0,)</f>
        <v>Yes</v>
      </c>
      <c r="H289" s="6" t="str">
        <f>_xlfn.XLOOKUP(C289,Tab_Def_Flows[Flow_Name],Tab_Def_Flows[Use_E5],,0,)</f>
        <v>Yes</v>
      </c>
      <c r="I289" s="6" t="str">
        <f>_xlfn.XLOOKUP(C289,Tab_Def_Flows[Flow_Name],Tab_Def_Flows[Use_E6],,0,)</f>
        <v>Yes</v>
      </c>
      <c r="J289" s="4"/>
      <c r="K289" s="18"/>
      <c r="L289" s="3" t="str">
        <f>'0_Configuration'!$C$41</f>
        <v>Mg</v>
      </c>
      <c r="M289" s="10"/>
      <c r="N289" s="23" t="s">
        <v>3</v>
      </c>
      <c r="O289" s="11"/>
      <c r="P289" s="4"/>
      <c r="Q289" s="10"/>
      <c r="R289" s="3">
        <f>_xlfn.XLOOKUP(Tab_Data_Flows[[#This Row],[Flow_Name]],Tab_Def_Flows[Flow_Name],Tab_Def_Flows[Flow_E1_Fraction'[%']],"N.A.",0,1)</f>
        <v>0</v>
      </c>
      <c r="S289" s="9">
        <f t="shared" si="8"/>
        <v>0</v>
      </c>
      <c r="T289" s="3" t="str">
        <f>Tab_Data_Flows[[#This Row],[UoM_Source]]</f>
        <v>Mg</v>
      </c>
      <c r="U289" s="24">
        <f>_xlfn.XLOOKUP(Tab_Data_Flows[[#This Row],[Flow_Name]],Tab_Def_Flows[Flow_Name],Tab_Def_Flows[Flow_E2_Fraction'[%']],"N.A.",0,1)</f>
        <v>0</v>
      </c>
      <c r="V289" s="3">
        <f>IF(D289="Yes",S289*Tab_Data_Flows[[#This Row],[E2_Fraction'[%']]],"N.A.")</f>
        <v>0</v>
      </c>
      <c r="W289" s="3" t="str">
        <f>Tab_Data_Flows[[#This Row],[E1_UoM]]</f>
        <v>Mg</v>
      </c>
      <c r="X289" s="24">
        <f>_xlfn.XLOOKUP(Tab_Data_Flows[[#This Row],[Flow_Name]],Tab_Def_Flows[Flow_Name],Tab_Def_Flows[Flow_E3_Fraction'[%']],"N.A.",0,1)</f>
        <v>0</v>
      </c>
      <c r="Y289" s="3">
        <f>IF(E289="Yes",X289*Tab_Data_Flows[[#This Row],[E1_value]],"N.A.")</f>
        <v>0</v>
      </c>
      <c r="Z289" s="3" t="str">
        <f>Tab_Data_Flows[[#This Row],[E1_UoM]]</f>
        <v>Mg</v>
      </c>
      <c r="AA289" s="24">
        <f>_xlfn.XLOOKUP(Tab_Data_Flows[[#This Row],[Flow_Name]],Tab_Def_Flows[Flow_Name],Tab_Def_Flows[Flow_E4_Fraction'[%']],"N.A.",0,1)</f>
        <v>0</v>
      </c>
      <c r="AB289" s="3">
        <f>IF(H289="Yes",Tab_Data_Flows[[#This Row],[E4_Fraction'[%']]]*Tab_Data_Flows[[#This Row],[E1_value]],"N.A.")</f>
        <v>0</v>
      </c>
      <c r="AC289" s="3" t="str">
        <f>Tab_Data_Flows[[#This Row],[E1_UoM]]</f>
        <v>Mg</v>
      </c>
      <c r="AD289" s="24">
        <f>_xlfn.XLOOKUP(Tab_Data_Flows[[#This Row],[Flow_Name]],Tab_Def_Flows[Flow_Name],Tab_Def_Flows[Flow_E5_Fraction'[%']],"N.A.",0,1)</f>
        <v>0</v>
      </c>
      <c r="AE289" s="3">
        <f>IF(H289="Yes",Tab_Data_Flows[[#This Row],[E5_Fraction'[%']]]*Tab_Data_Flows[[#This Row],[E1_value]],"N.A.")</f>
        <v>0</v>
      </c>
      <c r="AF289" s="3" t="str">
        <f>Tab_Data_Flows[[#This Row],[E1_UoM]]</f>
        <v>Mg</v>
      </c>
      <c r="AG289" s="24">
        <f>_xlfn.XLOOKUP(Tab_Data_Flows[[#This Row],[Flow_Name]],Tab_Def_Flows[Flow_Name],Tab_Def_Flows[Flow_E6_Fraction'[%']],"N.A.",0,1)</f>
        <v>0</v>
      </c>
      <c r="AH289" s="3">
        <f>IF(Tab_Data_Flows[[#This Row],[Use_E6]]="Yes",Tab_Data_Flows[[#This Row],[E6_Fraction'[%']]]*Tab_Data_Flows[[#This Row],[E1_value]],"N.A.")</f>
        <v>0</v>
      </c>
      <c r="AI289" s="3" t="str">
        <f>Tab_Data_Flows[[#This Row],[E1_UoM]]</f>
        <v>Mg</v>
      </c>
    </row>
    <row r="290" spans="1:35" x14ac:dyDescent="0.25">
      <c r="A290" s="5">
        <f t="shared" si="9"/>
        <v>289</v>
      </c>
      <c r="B290" s="3" t="str">
        <f>_xlfn.XLOOKUP(C290,Tab_Def_Flows[Flow_Name],Tab_Def_Flows[Flow_ID],,0,)</f>
        <v>F__</v>
      </c>
      <c r="C290" s="23" t="s">
        <v>5</v>
      </c>
      <c r="D290" s="6" t="str">
        <f>_xlfn.XLOOKUP(C290,Tab_Def_Flows[Flow_Name],Tab_Def_Flows[Use_E1],,0,)</f>
        <v>Yes</v>
      </c>
      <c r="E290" s="6" t="str">
        <f>_xlfn.XLOOKUP(C290,Tab_Def_Flows[Flow_Name],Tab_Def_Flows[Use_E2],,0,)</f>
        <v>Yes</v>
      </c>
      <c r="F290" s="6" t="str">
        <f>_xlfn.XLOOKUP(C290,Tab_Def_Flows[Flow_Name],Tab_Def_Flows[Use_E3],,0,)</f>
        <v>Yes</v>
      </c>
      <c r="G290" s="6" t="str">
        <f>_xlfn.XLOOKUP(C290,Tab_Def_Flows[Flow_Name],Tab_Def_Flows[Use_E4],,0,)</f>
        <v>Yes</v>
      </c>
      <c r="H290" s="6" t="str">
        <f>_xlfn.XLOOKUP(C290,Tab_Def_Flows[Flow_Name],Tab_Def_Flows[Use_E5],,0,)</f>
        <v>Yes</v>
      </c>
      <c r="I290" s="6" t="str">
        <f>_xlfn.XLOOKUP(C290,Tab_Def_Flows[Flow_Name],Tab_Def_Flows[Use_E6],,0,)</f>
        <v>Yes</v>
      </c>
      <c r="J290" s="4"/>
      <c r="K290" s="18"/>
      <c r="L290" s="3" t="str">
        <f>'0_Configuration'!$C$41</f>
        <v>Mg</v>
      </c>
      <c r="M290" s="10"/>
      <c r="N290" s="23" t="s">
        <v>3</v>
      </c>
      <c r="O290" s="11"/>
      <c r="P290" s="4"/>
      <c r="Q290" s="10"/>
      <c r="R290" s="3">
        <f>_xlfn.XLOOKUP(Tab_Data_Flows[[#This Row],[Flow_Name]],Tab_Def_Flows[Flow_Name],Tab_Def_Flows[Flow_E1_Fraction'[%']],"N.A.",0,1)</f>
        <v>0</v>
      </c>
      <c r="S290" s="9">
        <f t="shared" si="8"/>
        <v>0</v>
      </c>
      <c r="T290" s="3" t="str">
        <f>Tab_Data_Flows[[#This Row],[UoM_Source]]</f>
        <v>Mg</v>
      </c>
      <c r="U290" s="24">
        <f>_xlfn.XLOOKUP(Tab_Data_Flows[[#This Row],[Flow_Name]],Tab_Def_Flows[Flow_Name],Tab_Def_Flows[Flow_E2_Fraction'[%']],"N.A.",0,1)</f>
        <v>0</v>
      </c>
      <c r="V290" s="3">
        <f>IF(D290="Yes",S290*Tab_Data_Flows[[#This Row],[E2_Fraction'[%']]],"N.A.")</f>
        <v>0</v>
      </c>
      <c r="W290" s="3" t="str">
        <f>Tab_Data_Flows[[#This Row],[E1_UoM]]</f>
        <v>Mg</v>
      </c>
      <c r="X290" s="24">
        <f>_xlfn.XLOOKUP(Tab_Data_Flows[[#This Row],[Flow_Name]],Tab_Def_Flows[Flow_Name],Tab_Def_Flows[Flow_E3_Fraction'[%']],"N.A.",0,1)</f>
        <v>0</v>
      </c>
      <c r="Y290" s="3">
        <f>IF(E290="Yes",X290*Tab_Data_Flows[[#This Row],[E1_value]],"N.A.")</f>
        <v>0</v>
      </c>
      <c r="Z290" s="3" t="str">
        <f>Tab_Data_Flows[[#This Row],[E1_UoM]]</f>
        <v>Mg</v>
      </c>
      <c r="AA290" s="24">
        <f>_xlfn.XLOOKUP(Tab_Data_Flows[[#This Row],[Flow_Name]],Tab_Def_Flows[Flow_Name],Tab_Def_Flows[Flow_E4_Fraction'[%']],"N.A.",0,1)</f>
        <v>0</v>
      </c>
      <c r="AB290" s="3">
        <f>IF(H290="Yes",Tab_Data_Flows[[#This Row],[E4_Fraction'[%']]]*Tab_Data_Flows[[#This Row],[E1_value]],"N.A.")</f>
        <v>0</v>
      </c>
      <c r="AC290" s="3" t="str">
        <f>Tab_Data_Flows[[#This Row],[E1_UoM]]</f>
        <v>Mg</v>
      </c>
      <c r="AD290" s="24">
        <f>_xlfn.XLOOKUP(Tab_Data_Flows[[#This Row],[Flow_Name]],Tab_Def_Flows[Flow_Name],Tab_Def_Flows[Flow_E5_Fraction'[%']],"N.A.",0,1)</f>
        <v>0</v>
      </c>
      <c r="AE290" s="3">
        <f>IF(H290="Yes",Tab_Data_Flows[[#This Row],[E5_Fraction'[%']]]*Tab_Data_Flows[[#This Row],[E1_value]],"N.A.")</f>
        <v>0</v>
      </c>
      <c r="AF290" s="3" t="str">
        <f>Tab_Data_Flows[[#This Row],[E1_UoM]]</f>
        <v>Mg</v>
      </c>
      <c r="AG290" s="24">
        <f>_xlfn.XLOOKUP(Tab_Data_Flows[[#This Row],[Flow_Name]],Tab_Def_Flows[Flow_Name],Tab_Def_Flows[Flow_E6_Fraction'[%']],"N.A.",0,1)</f>
        <v>0</v>
      </c>
      <c r="AH290" s="3">
        <f>IF(Tab_Data_Flows[[#This Row],[Use_E6]]="Yes",Tab_Data_Flows[[#This Row],[E6_Fraction'[%']]]*Tab_Data_Flows[[#This Row],[E1_value]],"N.A.")</f>
        <v>0</v>
      </c>
      <c r="AI290" s="3" t="str">
        <f>Tab_Data_Flows[[#This Row],[E1_UoM]]</f>
        <v>Mg</v>
      </c>
    </row>
    <row r="291" spans="1:35" x14ac:dyDescent="0.25">
      <c r="A291" s="5">
        <f t="shared" si="9"/>
        <v>290</v>
      </c>
      <c r="B291" s="3" t="str">
        <f>_xlfn.XLOOKUP(C291,Tab_Def_Flows[Flow_Name],Tab_Def_Flows[Flow_ID],,0,)</f>
        <v>F__</v>
      </c>
      <c r="C291" s="23" t="s">
        <v>5</v>
      </c>
      <c r="D291" s="6" t="str">
        <f>_xlfn.XLOOKUP(C291,Tab_Def_Flows[Flow_Name],Tab_Def_Flows[Use_E1],,0,)</f>
        <v>Yes</v>
      </c>
      <c r="E291" s="6" t="str">
        <f>_xlfn.XLOOKUP(C291,Tab_Def_Flows[Flow_Name],Tab_Def_Flows[Use_E2],,0,)</f>
        <v>Yes</v>
      </c>
      <c r="F291" s="6" t="str">
        <f>_xlfn.XLOOKUP(C291,Tab_Def_Flows[Flow_Name],Tab_Def_Flows[Use_E3],,0,)</f>
        <v>Yes</v>
      </c>
      <c r="G291" s="6" t="str">
        <f>_xlfn.XLOOKUP(C291,Tab_Def_Flows[Flow_Name],Tab_Def_Flows[Use_E4],,0,)</f>
        <v>Yes</v>
      </c>
      <c r="H291" s="6" t="str">
        <f>_xlfn.XLOOKUP(C291,Tab_Def_Flows[Flow_Name],Tab_Def_Flows[Use_E5],,0,)</f>
        <v>Yes</v>
      </c>
      <c r="I291" s="6" t="str">
        <f>_xlfn.XLOOKUP(C291,Tab_Def_Flows[Flow_Name],Tab_Def_Flows[Use_E6],,0,)</f>
        <v>Yes</v>
      </c>
      <c r="J291" s="4"/>
      <c r="K291" s="18"/>
      <c r="L291" s="3" t="str">
        <f>'0_Configuration'!$C$41</f>
        <v>Mg</v>
      </c>
      <c r="M291" s="10"/>
      <c r="N291" s="23" t="s">
        <v>3</v>
      </c>
      <c r="O291" s="11"/>
      <c r="P291" s="4"/>
      <c r="Q291" s="10"/>
      <c r="R291" s="3">
        <f>_xlfn.XLOOKUP(Tab_Data_Flows[[#This Row],[Flow_Name]],Tab_Def_Flows[Flow_Name],Tab_Def_Flows[Flow_E1_Fraction'[%']],"N.A.",0,1)</f>
        <v>0</v>
      </c>
      <c r="S291" s="9">
        <f t="shared" si="8"/>
        <v>0</v>
      </c>
      <c r="T291" s="3" t="str">
        <f>Tab_Data_Flows[[#This Row],[UoM_Source]]</f>
        <v>Mg</v>
      </c>
      <c r="U291" s="24">
        <f>_xlfn.XLOOKUP(Tab_Data_Flows[[#This Row],[Flow_Name]],Tab_Def_Flows[Flow_Name],Tab_Def_Flows[Flow_E2_Fraction'[%']],"N.A.",0,1)</f>
        <v>0</v>
      </c>
      <c r="V291" s="3">
        <f>IF(D291="Yes",S291*Tab_Data_Flows[[#This Row],[E2_Fraction'[%']]],"N.A.")</f>
        <v>0</v>
      </c>
      <c r="W291" s="3" t="str">
        <f>Tab_Data_Flows[[#This Row],[E1_UoM]]</f>
        <v>Mg</v>
      </c>
      <c r="X291" s="24">
        <f>_xlfn.XLOOKUP(Tab_Data_Flows[[#This Row],[Flow_Name]],Tab_Def_Flows[Flow_Name],Tab_Def_Flows[Flow_E3_Fraction'[%']],"N.A.",0,1)</f>
        <v>0</v>
      </c>
      <c r="Y291" s="3">
        <f>IF(E291="Yes",X291*Tab_Data_Flows[[#This Row],[E1_value]],"N.A.")</f>
        <v>0</v>
      </c>
      <c r="Z291" s="3" t="str">
        <f>Tab_Data_Flows[[#This Row],[E1_UoM]]</f>
        <v>Mg</v>
      </c>
      <c r="AA291" s="24">
        <f>_xlfn.XLOOKUP(Tab_Data_Flows[[#This Row],[Flow_Name]],Tab_Def_Flows[Flow_Name],Tab_Def_Flows[Flow_E4_Fraction'[%']],"N.A.",0,1)</f>
        <v>0</v>
      </c>
      <c r="AB291" s="3">
        <f>IF(H291="Yes",Tab_Data_Flows[[#This Row],[E4_Fraction'[%']]]*Tab_Data_Flows[[#This Row],[E1_value]],"N.A.")</f>
        <v>0</v>
      </c>
      <c r="AC291" s="3" t="str">
        <f>Tab_Data_Flows[[#This Row],[E1_UoM]]</f>
        <v>Mg</v>
      </c>
      <c r="AD291" s="24">
        <f>_xlfn.XLOOKUP(Tab_Data_Flows[[#This Row],[Flow_Name]],Tab_Def_Flows[Flow_Name],Tab_Def_Flows[Flow_E5_Fraction'[%']],"N.A.",0,1)</f>
        <v>0</v>
      </c>
      <c r="AE291" s="3">
        <f>IF(H291="Yes",Tab_Data_Flows[[#This Row],[E5_Fraction'[%']]]*Tab_Data_Flows[[#This Row],[E1_value]],"N.A.")</f>
        <v>0</v>
      </c>
      <c r="AF291" s="3" t="str">
        <f>Tab_Data_Flows[[#This Row],[E1_UoM]]</f>
        <v>Mg</v>
      </c>
      <c r="AG291" s="24">
        <f>_xlfn.XLOOKUP(Tab_Data_Flows[[#This Row],[Flow_Name]],Tab_Def_Flows[Flow_Name],Tab_Def_Flows[Flow_E6_Fraction'[%']],"N.A.",0,1)</f>
        <v>0</v>
      </c>
      <c r="AH291" s="3">
        <f>IF(Tab_Data_Flows[[#This Row],[Use_E6]]="Yes",Tab_Data_Flows[[#This Row],[E6_Fraction'[%']]]*Tab_Data_Flows[[#This Row],[E1_value]],"N.A.")</f>
        <v>0</v>
      </c>
      <c r="AI291" s="3" t="str">
        <f>Tab_Data_Flows[[#This Row],[E1_UoM]]</f>
        <v>Mg</v>
      </c>
    </row>
    <row r="292" spans="1:35" x14ac:dyDescent="0.25">
      <c r="A292" s="5">
        <f t="shared" si="9"/>
        <v>291</v>
      </c>
      <c r="B292" s="3" t="str">
        <f>_xlfn.XLOOKUP(C292,Tab_Def_Flows[Flow_Name],Tab_Def_Flows[Flow_ID],,0,)</f>
        <v>F__</v>
      </c>
      <c r="C292" s="23" t="s">
        <v>5</v>
      </c>
      <c r="D292" s="6" t="str">
        <f>_xlfn.XLOOKUP(C292,Tab_Def_Flows[Flow_Name],Tab_Def_Flows[Use_E1],,0,)</f>
        <v>Yes</v>
      </c>
      <c r="E292" s="6" t="str">
        <f>_xlfn.XLOOKUP(C292,Tab_Def_Flows[Flow_Name],Tab_Def_Flows[Use_E2],,0,)</f>
        <v>Yes</v>
      </c>
      <c r="F292" s="6" t="str">
        <f>_xlfn.XLOOKUP(C292,Tab_Def_Flows[Flow_Name],Tab_Def_Flows[Use_E3],,0,)</f>
        <v>Yes</v>
      </c>
      <c r="G292" s="6" t="str">
        <f>_xlfn.XLOOKUP(C292,Tab_Def_Flows[Flow_Name],Tab_Def_Flows[Use_E4],,0,)</f>
        <v>Yes</v>
      </c>
      <c r="H292" s="6" t="str">
        <f>_xlfn.XLOOKUP(C292,Tab_Def_Flows[Flow_Name],Tab_Def_Flows[Use_E5],,0,)</f>
        <v>Yes</v>
      </c>
      <c r="I292" s="6" t="str">
        <f>_xlfn.XLOOKUP(C292,Tab_Def_Flows[Flow_Name],Tab_Def_Flows[Use_E6],,0,)</f>
        <v>Yes</v>
      </c>
      <c r="J292" s="4"/>
      <c r="K292" s="18"/>
      <c r="L292" s="3" t="str">
        <f>'0_Configuration'!$C$41</f>
        <v>Mg</v>
      </c>
      <c r="M292" s="10"/>
      <c r="N292" s="23" t="s">
        <v>3</v>
      </c>
      <c r="O292" s="11"/>
      <c r="P292" s="4"/>
      <c r="Q292" s="10"/>
      <c r="R292" s="3">
        <f>_xlfn.XLOOKUP(Tab_Data_Flows[[#This Row],[Flow_Name]],Tab_Def_Flows[Flow_Name],Tab_Def_Flows[Flow_E1_Fraction'[%']],"N.A.",0,1)</f>
        <v>0</v>
      </c>
      <c r="S292" s="9">
        <f t="shared" si="8"/>
        <v>0</v>
      </c>
      <c r="T292" s="3" t="str">
        <f>Tab_Data_Flows[[#This Row],[UoM_Source]]</f>
        <v>Mg</v>
      </c>
      <c r="U292" s="24">
        <f>_xlfn.XLOOKUP(Tab_Data_Flows[[#This Row],[Flow_Name]],Tab_Def_Flows[Flow_Name],Tab_Def_Flows[Flow_E2_Fraction'[%']],"N.A.",0,1)</f>
        <v>0</v>
      </c>
      <c r="V292" s="3">
        <f>IF(D292="Yes",S292*Tab_Data_Flows[[#This Row],[E2_Fraction'[%']]],"N.A.")</f>
        <v>0</v>
      </c>
      <c r="W292" s="3" t="str">
        <f>Tab_Data_Flows[[#This Row],[E1_UoM]]</f>
        <v>Mg</v>
      </c>
      <c r="X292" s="24">
        <f>_xlfn.XLOOKUP(Tab_Data_Flows[[#This Row],[Flow_Name]],Tab_Def_Flows[Flow_Name],Tab_Def_Flows[Flow_E3_Fraction'[%']],"N.A.",0,1)</f>
        <v>0</v>
      </c>
      <c r="Y292" s="3">
        <f>IF(E292="Yes",X292*Tab_Data_Flows[[#This Row],[E1_value]],"N.A.")</f>
        <v>0</v>
      </c>
      <c r="Z292" s="3" t="str">
        <f>Tab_Data_Flows[[#This Row],[E1_UoM]]</f>
        <v>Mg</v>
      </c>
      <c r="AA292" s="24">
        <f>_xlfn.XLOOKUP(Tab_Data_Flows[[#This Row],[Flow_Name]],Tab_Def_Flows[Flow_Name],Tab_Def_Flows[Flow_E4_Fraction'[%']],"N.A.",0,1)</f>
        <v>0</v>
      </c>
      <c r="AB292" s="3">
        <f>IF(H292="Yes",Tab_Data_Flows[[#This Row],[E4_Fraction'[%']]]*Tab_Data_Flows[[#This Row],[E1_value]],"N.A.")</f>
        <v>0</v>
      </c>
      <c r="AC292" s="3" t="str">
        <f>Tab_Data_Flows[[#This Row],[E1_UoM]]</f>
        <v>Mg</v>
      </c>
      <c r="AD292" s="24">
        <f>_xlfn.XLOOKUP(Tab_Data_Flows[[#This Row],[Flow_Name]],Tab_Def_Flows[Flow_Name],Tab_Def_Flows[Flow_E5_Fraction'[%']],"N.A.",0,1)</f>
        <v>0</v>
      </c>
      <c r="AE292" s="3">
        <f>IF(H292="Yes",Tab_Data_Flows[[#This Row],[E5_Fraction'[%']]]*Tab_Data_Flows[[#This Row],[E1_value]],"N.A.")</f>
        <v>0</v>
      </c>
      <c r="AF292" s="3" t="str">
        <f>Tab_Data_Flows[[#This Row],[E1_UoM]]</f>
        <v>Mg</v>
      </c>
      <c r="AG292" s="24">
        <f>_xlfn.XLOOKUP(Tab_Data_Flows[[#This Row],[Flow_Name]],Tab_Def_Flows[Flow_Name],Tab_Def_Flows[Flow_E6_Fraction'[%']],"N.A.",0,1)</f>
        <v>0</v>
      </c>
      <c r="AH292" s="3">
        <f>IF(Tab_Data_Flows[[#This Row],[Use_E6]]="Yes",Tab_Data_Flows[[#This Row],[E6_Fraction'[%']]]*Tab_Data_Flows[[#This Row],[E1_value]],"N.A.")</f>
        <v>0</v>
      </c>
      <c r="AI292" s="3" t="str">
        <f>Tab_Data_Flows[[#This Row],[E1_UoM]]</f>
        <v>Mg</v>
      </c>
    </row>
    <row r="293" spans="1:35" x14ac:dyDescent="0.25">
      <c r="A293" s="5">
        <f t="shared" si="9"/>
        <v>292</v>
      </c>
      <c r="B293" s="3" t="str">
        <f>_xlfn.XLOOKUP(C293,Tab_Def_Flows[Flow_Name],Tab_Def_Flows[Flow_ID],,0,)</f>
        <v>F__</v>
      </c>
      <c r="C293" s="23" t="s">
        <v>5</v>
      </c>
      <c r="D293" s="6" t="str">
        <f>_xlfn.XLOOKUP(C293,Tab_Def_Flows[Flow_Name],Tab_Def_Flows[Use_E1],,0,)</f>
        <v>Yes</v>
      </c>
      <c r="E293" s="6" t="str">
        <f>_xlfn.XLOOKUP(C293,Tab_Def_Flows[Flow_Name],Tab_Def_Flows[Use_E2],,0,)</f>
        <v>Yes</v>
      </c>
      <c r="F293" s="6" t="str">
        <f>_xlfn.XLOOKUP(C293,Tab_Def_Flows[Flow_Name],Tab_Def_Flows[Use_E3],,0,)</f>
        <v>Yes</v>
      </c>
      <c r="G293" s="6" t="str">
        <f>_xlfn.XLOOKUP(C293,Tab_Def_Flows[Flow_Name],Tab_Def_Flows[Use_E4],,0,)</f>
        <v>Yes</v>
      </c>
      <c r="H293" s="6" t="str">
        <f>_xlfn.XLOOKUP(C293,Tab_Def_Flows[Flow_Name],Tab_Def_Flows[Use_E5],,0,)</f>
        <v>Yes</v>
      </c>
      <c r="I293" s="6" t="str">
        <f>_xlfn.XLOOKUP(C293,Tab_Def_Flows[Flow_Name],Tab_Def_Flows[Use_E6],,0,)</f>
        <v>Yes</v>
      </c>
      <c r="J293" s="4"/>
      <c r="K293" s="18"/>
      <c r="L293" s="3" t="str">
        <f>'0_Configuration'!$C$41</f>
        <v>Mg</v>
      </c>
      <c r="M293" s="10"/>
      <c r="N293" s="23" t="s">
        <v>3</v>
      </c>
      <c r="O293" s="11"/>
      <c r="P293" s="4"/>
      <c r="Q293" s="10"/>
      <c r="R293" s="3">
        <f>_xlfn.XLOOKUP(Tab_Data_Flows[[#This Row],[Flow_Name]],Tab_Def_Flows[Flow_Name],Tab_Def_Flows[Flow_E1_Fraction'[%']],"N.A.",0,1)</f>
        <v>0</v>
      </c>
      <c r="S293" s="9">
        <f t="shared" si="8"/>
        <v>0</v>
      </c>
      <c r="T293" s="3" t="str">
        <f>Tab_Data_Flows[[#This Row],[UoM_Source]]</f>
        <v>Mg</v>
      </c>
      <c r="U293" s="24">
        <f>_xlfn.XLOOKUP(Tab_Data_Flows[[#This Row],[Flow_Name]],Tab_Def_Flows[Flow_Name],Tab_Def_Flows[Flow_E2_Fraction'[%']],"N.A.",0,1)</f>
        <v>0</v>
      </c>
      <c r="V293" s="3">
        <f>IF(D293="Yes",S293*Tab_Data_Flows[[#This Row],[E2_Fraction'[%']]],"N.A.")</f>
        <v>0</v>
      </c>
      <c r="W293" s="3" t="str">
        <f>Tab_Data_Flows[[#This Row],[E1_UoM]]</f>
        <v>Mg</v>
      </c>
      <c r="X293" s="24">
        <f>_xlfn.XLOOKUP(Tab_Data_Flows[[#This Row],[Flow_Name]],Tab_Def_Flows[Flow_Name],Tab_Def_Flows[Flow_E3_Fraction'[%']],"N.A.",0,1)</f>
        <v>0</v>
      </c>
      <c r="Y293" s="3">
        <f>IF(E293="Yes",X293*Tab_Data_Flows[[#This Row],[E1_value]],"N.A.")</f>
        <v>0</v>
      </c>
      <c r="Z293" s="3" t="str">
        <f>Tab_Data_Flows[[#This Row],[E1_UoM]]</f>
        <v>Mg</v>
      </c>
      <c r="AA293" s="24">
        <f>_xlfn.XLOOKUP(Tab_Data_Flows[[#This Row],[Flow_Name]],Tab_Def_Flows[Flow_Name],Tab_Def_Flows[Flow_E4_Fraction'[%']],"N.A.",0,1)</f>
        <v>0</v>
      </c>
      <c r="AB293" s="3">
        <f>IF(H293="Yes",Tab_Data_Flows[[#This Row],[E4_Fraction'[%']]]*Tab_Data_Flows[[#This Row],[E1_value]],"N.A.")</f>
        <v>0</v>
      </c>
      <c r="AC293" s="3" t="str">
        <f>Tab_Data_Flows[[#This Row],[E1_UoM]]</f>
        <v>Mg</v>
      </c>
      <c r="AD293" s="24">
        <f>_xlfn.XLOOKUP(Tab_Data_Flows[[#This Row],[Flow_Name]],Tab_Def_Flows[Flow_Name],Tab_Def_Flows[Flow_E5_Fraction'[%']],"N.A.",0,1)</f>
        <v>0</v>
      </c>
      <c r="AE293" s="3">
        <f>IF(H293="Yes",Tab_Data_Flows[[#This Row],[E5_Fraction'[%']]]*Tab_Data_Flows[[#This Row],[E1_value]],"N.A.")</f>
        <v>0</v>
      </c>
      <c r="AF293" s="3" t="str">
        <f>Tab_Data_Flows[[#This Row],[E1_UoM]]</f>
        <v>Mg</v>
      </c>
      <c r="AG293" s="24">
        <f>_xlfn.XLOOKUP(Tab_Data_Flows[[#This Row],[Flow_Name]],Tab_Def_Flows[Flow_Name],Tab_Def_Flows[Flow_E6_Fraction'[%']],"N.A.",0,1)</f>
        <v>0</v>
      </c>
      <c r="AH293" s="3">
        <f>IF(Tab_Data_Flows[[#This Row],[Use_E6]]="Yes",Tab_Data_Flows[[#This Row],[E6_Fraction'[%']]]*Tab_Data_Flows[[#This Row],[E1_value]],"N.A.")</f>
        <v>0</v>
      </c>
      <c r="AI293" s="3" t="str">
        <f>Tab_Data_Flows[[#This Row],[E1_UoM]]</f>
        <v>Mg</v>
      </c>
    </row>
    <row r="294" spans="1:35" x14ac:dyDescent="0.25">
      <c r="A294" s="5">
        <f t="shared" si="9"/>
        <v>293</v>
      </c>
      <c r="B294" s="3" t="str">
        <f>_xlfn.XLOOKUP(C294,Tab_Def_Flows[Flow_Name],Tab_Def_Flows[Flow_ID],,0,)</f>
        <v>F__</v>
      </c>
      <c r="C294" s="23" t="s">
        <v>5</v>
      </c>
      <c r="D294" s="6" t="str">
        <f>_xlfn.XLOOKUP(C294,Tab_Def_Flows[Flow_Name],Tab_Def_Flows[Use_E1],,0,)</f>
        <v>Yes</v>
      </c>
      <c r="E294" s="6" t="str">
        <f>_xlfn.XLOOKUP(C294,Tab_Def_Flows[Flow_Name],Tab_Def_Flows[Use_E2],,0,)</f>
        <v>Yes</v>
      </c>
      <c r="F294" s="6" t="str">
        <f>_xlfn.XLOOKUP(C294,Tab_Def_Flows[Flow_Name],Tab_Def_Flows[Use_E3],,0,)</f>
        <v>Yes</v>
      </c>
      <c r="G294" s="6" t="str">
        <f>_xlfn.XLOOKUP(C294,Tab_Def_Flows[Flow_Name],Tab_Def_Flows[Use_E4],,0,)</f>
        <v>Yes</v>
      </c>
      <c r="H294" s="6" t="str">
        <f>_xlfn.XLOOKUP(C294,Tab_Def_Flows[Flow_Name],Tab_Def_Flows[Use_E5],,0,)</f>
        <v>Yes</v>
      </c>
      <c r="I294" s="6" t="str">
        <f>_xlfn.XLOOKUP(C294,Tab_Def_Flows[Flow_Name],Tab_Def_Flows[Use_E6],,0,)</f>
        <v>Yes</v>
      </c>
      <c r="J294" s="4"/>
      <c r="K294" s="18"/>
      <c r="L294" s="3" t="str">
        <f>'0_Configuration'!$C$41</f>
        <v>Mg</v>
      </c>
      <c r="M294" s="10"/>
      <c r="N294" s="23" t="s">
        <v>3</v>
      </c>
      <c r="O294" s="11"/>
      <c r="P294" s="4"/>
      <c r="Q294" s="10"/>
      <c r="R294" s="3">
        <f>_xlfn.XLOOKUP(Tab_Data_Flows[[#This Row],[Flow_Name]],Tab_Def_Flows[Flow_Name],Tab_Def_Flows[Flow_E1_Fraction'[%']],"N.A.",0,1)</f>
        <v>0</v>
      </c>
      <c r="S294" s="9">
        <f t="shared" si="8"/>
        <v>0</v>
      </c>
      <c r="T294" s="3" t="str">
        <f>Tab_Data_Flows[[#This Row],[UoM_Source]]</f>
        <v>Mg</v>
      </c>
      <c r="U294" s="24">
        <f>_xlfn.XLOOKUP(Tab_Data_Flows[[#This Row],[Flow_Name]],Tab_Def_Flows[Flow_Name],Tab_Def_Flows[Flow_E2_Fraction'[%']],"N.A.",0,1)</f>
        <v>0</v>
      </c>
      <c r="V294" s="3">
        <f>IF(D294="Yes",S294*Tab_Data_Flows[[#This Row],[E2_Fraction'[%']]],"N.A.")</f>
        <v>0</v>
      </c>
      <c r="W294" s="3" t="str">
        <f>Tab_Data_Flows[[#This Row],[E1_UoM]]</f>
        <v>Mg</v>
      </c>
      <c r="X294" s="24">
        <f>_xlfn.XLOOKUP(Tab_Data_Flows[[#This Row],[Flow_Name]],Tab_Def_Flows[Flow_Name],Tab_Def_Flows[Flow_E3_Fraction'[%']],"N.A.",0,1)</f>
        <v>0</v>
      </c>
      <c r="Y294" s="3">
        <f>IF(E294="Yes",X294*Tab_Data_Flows[[#This Row],[E1_value]],"N.A.")</f>
        <v>0</v>
      </c>
      <c r="Z294" s="3" t="str">
        <f>Tab_Data_Flows[[#This Row],[E1_UoM]]</f>
        <v>Mg</v>
      </c>
      <c r="AA294" s="24">
        <f>_xlfn.XLOOKUP(Tab_Data_Flows[[#This Row],[Flow_Name]],Tab_Def_Flows[Flow_Name],Tab_Def_Flows[Flow_E4_Fraction'[%']],"N.A.",0,1)</f>
        <v>0</v>
      </c>
      <c r="AB294" s="3">
        <f>IF(H294="Yes",Tab_Data_Flows[[#This Row],[E4_Fraction'[%']]]*Tab_Data_Flows[[#This Row],[E1_value]],"N.A.")</f>
        <v>0</v>
      </c>
      <c r="AC294" s="3" t="str">
        <f>Tab_Data_Flows[[#This Row],[E1_UoM]]</f>
        <v>Mg</v>
      </c>
      <c r="AD294" s="24">
        <f>_xlfn.XLOOKUP(Tab_Data_Flows[[#This Row],[Flow_Name]],Tab_Def_Flows[Flow_Name],Tab_Def_Flows[Flow_E5_Fraction'[%']],"N.A.",0,1)</f>
        <v>0</v>
      </c>
      <c r="AE294" s="3">
        <f>IF(H294="Yes",Tab_Data_Flows[[#This Row],[E5_Fraction'[%']]]*Tab_Data_Flows[[#This Row],[E1_value]],"N.A.")</f>
        <v>0</v>
      </c>
      <c r="AF294" s="3" t="str">
        <f>Tab_Data_Flows[[#This Row],[E1_UoM]]</f>
        <v>Mg</v>
      </c>
      <c r="AG294" s="24">
        <f>_xlfn.XLOOKUP(Tab_Data_Flows[[#This Row],[Flow_Name]],Tab_Def_Flows[Flow_Name],Tab_Def_Flows[Flow_E6_Fraction'[%']],"N.A.",0,1)</f>
        <v>0</v>
      </c>
      <c r="AH294" s="3">
        <f>IF(Tab_Data_Flows[[#This Row],[Use_E6]]="Yes",Tab_Data_Flows[[#This Row],[E6_Fraction'[%']]]*Tab_Data_Flows[[#This Row],[E1_value]],"N.A.")</f>
        <v>0</v>
      </c>
      <c r="AI294" s="3" t="str">
        <f>Tab_Data_Flows[[#This Row],[E1_UoM]]</f>
        <v>Mg</v>
      </c>
    </row>
    <row r="295" spans="1:35" x14ac:dyDescent="0.25">
      <c r="A295" s="5">
        <f t="shared" si="9"/>
        <v>294</v>
      </c>
      <c r="B295" s="3" t="str">
        <f>_xlfn.XLOOKUP(C295,Tab_Def_Flows[Flow_Name],Tab_Def_Flows[Flow_ID],,0,)</f>
        <v>F__</v>
      </c>
      <c r="C295" s="23" t="s">
        <v>5</v>
      </c>
      <c r="D295" s="6" t="str">
        <f>_xlfn.XLOOKUP(C295,Tab_Def_Flows[Flow_Name],Tab_Def_Flows[Use_E1],,0,)</f>
        <v>Yes</v>
      </c>
      <c r="E295" s="6" t="str">
        <f>_xlfn.XLOOKUP(C295,Tab_Def_Flows[Flow_Name],Tab_Def_Flows[Use_E2],,0,)</f>
        <v>Yes</v>
      </c>
      <c r="F295" s="6" t="str">
        <f>_xlfn.XLOOKUP(C295,Tab_Def_Flows[Flow_Name],Tab_Def_Flows[Use_E3],,0,)</f>
        <v>Yes</v>
      </c>
      <c r="G295" s="6" t="str">
        <f>_xlfn.XLOOKUP(C295,Tab_Def_Flows[Flow_Name],Tab_Def_Flows[Use_E4],,0,)</f>
        <v>Yes</v>
      </c>
      <c r="H295" s="6" t="str">
        <f>_xlfn.XLOOKUP(C295,Tab_Def_Flows[Flow_Name],Tab_Def_Flows[Use_E5],,0,)</f>
        <v>Yes</v>
      </c>
      <c r="I295" s="6" t="str">
        <f>_xlfn.XLOOKUP(C295,Tab_Def_Flows[Flow_Name],Tab_Def_Flows[Use_E6],,0,)</f>
        <v>Yes</v>
      </c>
      <c r="J295" s="4"/>
      <c r="K295" s="18"/>
      <c r="L295" s="3" t="str">
        <f>'0_Configuration'!$C$41</f>
        <v>Mg</v>
      </c>
      <c r="M295" s="10"/>
      <c r="N295" s="23" t="s">
        <v>3</v>
      </c>
      <c r="O295" s="11"/>
      <c r="P295" s="4"/>
      <c r="Q295" s="10"/>
      <c r="R295" s="3">
        <f>_xlfn.XLOOKUP(Tab_Data_Flows[[#This Row],[Flow_Name]],Tab_Def_Flows[Flow_Name],Tab_Def_Flows[Flow_E1_Fraction'[%']],"N.A.",0,1)</f>
        <v>0</v>
      </c>
      <c r="S295" s="9">
        <f t="shared" si="8"/>
        <v>0</v>
      </c>
      <c r="T295" s="3" t="str">
        <f>Tab_Data_Flows[[#This Row],[UoM_Source]]</f>
        <v>Mg</v>
      </c>
      <c r="U295" s="24">
        <f>_xlfn.XLOOKUP(Tab_Data_Flows[[#This Row],[Flow_Name]],Tab_Def_Flows[Flow_Name],Tab_Def_Flows[Flow_E2_Fraction'[%']],"N.A.",0,1)</f>
        <v>0</v>
      </c>
      <c r="V295" s="3">
        <f>IF(D295="Yes",S295*Tab_Data_Flows[[#This Row],[E2_Fraction'[%']]],"N.A.")</f>
        <v>0</v>
      </c>
      <c r="W295" s="3" t="str">
        <f>Tab_Data_Flows[[#This Row],[E1_UoM]]</f>
        <v>Mg</v>
      </c>
      <c r="X295" s="24">
        <f>_xlfn.XLOOKUP(Tab_Data_Flows[[#This Row],[Flow_Name]],Tab_Def_Flows[Flow_Name],Tab_Def_Flows[Flow_E3_Fraction'[%']],"N.A.",0,1)</f>
        <v>0</v>
      </c>
      <c r="Y295" s="3">
        <f>IF(E295="Yes",X295*Tab_Data_Flows[[#This Row],[E1_value]],"N.A.")</f>
        <v>0</v>
      </c>
      <c r="Z295" s="3" t="str">
        <f>Tab_Data_Flows[[#This Row],[E1_UoM]]</f>
        <v>Mg</v>
      </c>
      <c r="AA295" s="24">
        <f>_xlfn.XLOOKUP(Tab_Data_Flows[[#This Row],[Flow_Name]],Tab_Def_Flows[Flow_Name],Tab_Def_Flows[Flow_E4_Fraction'[%']],"N.A.",0,1)</f>
        <v>0</v>
      </c>
      <c r="AB295" s="3">
        <f>IF(H295="Yes",Tab_Data_Flows[[#This Row],[E4_Fraction'[%']]]*Tab_Data_Flows[[#This Row],[E1_value]],"N.A.")</f>
        <v>0</v>
      </c>
      <c r="AC295" s="3" t="str">
        <f>Tab_Data_Flows[[#This Row],[E1_UoM]]</f>
        <v>Mg</v>
      </c>
      <c r="AD295" s="24">
        <f>_xlfn.XLOOKUP(Tab_Data_Flows[[#This Row],[Flow_Name]],Tab_Def_Flows[Flow_Name],Tab_Def_Flows[Flow_E5_Fraction'[%']],"N.A.",0,1)</f>
        <v>0</v>
      </c>
      <c r="AE295" s="3">
        <f>IF(H295="Yes",Tab_Data_Flows[[#This Row],[E5_Fraction'[%']]]*Tab_Data_Flows[[#This Row],[E1_value]],"N.A.")</f>
        <v>0</v>
      </c>
      <c r="AF295" s="3" t="str">
        <f>Tab_Data_Flows[[#This Row],[E1_UoM]]</f>
        <v>Mg</v>
      </c>
      <c r="AG295" s="24">
        <f>_xlfn.XLOOKUP(Tab_Data_Flows[[#This Row],[Flow_Name]],Tab_Def_Flows[Flow_Name],Tab_Def_Flows[Flow_E6_Fraction'[%']],"N.A.",0,1)</f>
        <v>0</v>
      </c>
      <c r="AH295" s="3">
        <f>IF(Tab_Data_Flows[[#This Row],[Use_E6]]="Yes",Tab_Data_Flows[[#This Row],[E6_Fraction'[%']]]*Tab_Data_Flows[[#This Row],[E1_value]],"N.A.")</f>
        <v>0</v>
      </c>
      <c r="AI295" s="3" t="str">
        <f>Tab_Data_Flows[[#This Row],[E1_UoM]]</f>
        <v>Mg</v>
      </c>
    </row>
    <row r="296" spans="1:35" x14ac:dyDescent="0.25">
      <c r="A296" s="5">
        <f t="shared" si="9"/>
        <v>295</v>
      </c>
      <c r="B296" s="3" t="str">
        <f>_xlfn.XLOOKUP(C296,Tab_Def_Flows[Flow_Name],Tab_Def_Flows[Flow_ID],,0,)</f>
        <v>F__</v>
      </c>
      <c r="C296" s="23" t="s">
        <v>5</v>
      </c>
      <c r="D296" s="6" t="str">
        <f>_xlfn.XLOOKUP(C296,Tab_Def_Flows[Flow_Name],Tab_Def_Flows[Use_E1],,0,)</f>
        <v>Yes</v>
      </c>
      <c r="E296" s="6" t="str">
        <f>_xlfn.XLOOKUP(C296,Tab_Def_Flows[Flow_Name],Tab_Def_Flows[Use_E2],,0,)</f>
        <v>Yes</v>
      </c>
      <c r="F296" s="6" t="str">
        <f>_xlfn.XLOOKUP(C296,Tab_Def_Flows[Flow_Name],Tab_Def_Flows[Use_E3],,0,)</f>
        <v>Yes</v>
      </c>
      <c r="G296" s="6" t="str">
        <f>_xlfn.XLOOKUP(C296,Tab_Def_Flows[Flow_Name],Tab_Def_Flows[Use_E4],,0,)</f>
        <v>Yes</v>
      </c>
      <c r="H296" s="6" t="str">
        <f>_xlfn.XLOOKUP(C296,Tab_Def_Flows[Flow_Name],Tab_Def_Flows[Use_E5],,0,)</f>
        <v>Yes</v>
      </c>
      <c r="I296" s="6" t="str">
        <f>_xlfn.XLOOKUP(C296,Tab_Def_Flows[Flow_Name],Tab_Def_Flows[Use_E6],,0,)</f>
        <v>Yes</v>
      </c>
      <c r="J296" s="4"/>
      <c r="K296" s="18"/>
      <c r="L296" s="3" t="str">
        <f>'0_Configuration'!$C$41</f>
        <v>Mg</v>
      </c>
      <c r="M296" s="10"/>
      <c r="N296" s="23" t="s">
        <v>3</v>
      </c>
      <c r="O296" s="11"/>
      <c r="P296" s="4"/>
      <c r="Q296" s="10"/>
      <c r="R296" s="3">
        <f>_xlfn.XLOOKUP(Tab_Data_Flows[[#This Row],[Flow_Name]],Tab_Def_Flows[Flow_Name],Tab_Def_Flows[Flow_E1_Fraction'[%']],"N.A.",0,1)</f>
        <v>0</v>
      </c>
      <c r="S296" s="9">
        <f t="shared" si="8"/>
        <v>0</v>
      </c>
      <c r="T296" s="3" t="str">
        <f>Tab_Data_Flows[[#This Row],[UoM_Source]]</f>
        <v>Mg</v>
      </c>
      <c r="U296" s="24">
        <f>_xlfn.XLOOKUP(Tab_Data_Flows[[#This Row],[Flow_Name]],Tab_Def_Flows[Flow_Name],Tab_Def_Flows[Flow_E2_Fraction'[%']],"N.A.",0,1)</f>
        <v>0</v>
      </c>
      <c r="V296" s="3">
        <f>IF(D296="Yes",S296*Tab_Data_Flows[[#This Row],[E2_Fraction'[%']]],"N.A.")</f>
        <v>0</v>
      </c>
      <c r="W296" s="3" t="str">
        <f>Tab_Data_Flows[[#This Row],[E1_UoM]]</f>
        <v>Mg</v>
      </c>
      <c r="X296" s="24">
        <f>_xlfn.XLOOKUP(Tab_Data_Flows[[#This Row],[Flow_Name]],Tab_Def_Flows[Flow_Name],Tab_Def_Flows[Flow_E3_Fraction'[%']],"N.A.",0,1)</f>
        <v>0</v>
      </c>
      <c r="Y296" s="3">
        <f>IF(E296="Yes",X296*Tab_Data_Flows[[#This Row],[E1_value]],"N.A.")</f>
        <v>0</v>
      </c>
      <c r="Z296" s="3" t="str">
        <f>Tab_Data_Flows[[#This Row],[E1_UoM]]</f>
        <v>Mg</v>
      </c>
      <c r="AA296" s="24">
        <f>_xlfn.XLOOKUP(Tab_Data_Flows[[#This Row],[Flow_Name]],Tab_Def_Flows[Flow_Name],Tab_Def_Flows[Flow_E4_Fraction'[%']],"N.A.",0,1)</f>
        <v>0</v>
      </c>
      <c r="AB296" s="3">
        <f>IF(H296="Yes",Tab_Data_Flows[[#This Row],[E4_Fraction'[%']]]*Tab_Data_Flows[[#This Row],[E1_value]],"N.A.")</f>
        <v>0</v>
      </c>
      <c r="AC296" s="3" t="str">
        <f>Tab_Data_Flows[[#This Row],[E1_UoM]]</f>
        <v>Mg</v>
      </c>
      <c r="AD296" s="24">
        <f>_xlfn.XLOOKUP(Tab_Data_Flows[[#This Row],[Flow_Name]],Tab_Def_Flows[Flow_Name],Tab_Def_Flows[Flow_E5_Fraction'[%']],"N.A.",0,1)</f>
        <v>0</v>
      </c>
      <c r="AE296" s="3">
        <f>IF(H296="Yes",Tab_Data_Flows[[#This Row],[E5_Fraction'[%']]]*Tab_Data_Flows[[#This Row],[E1_value]],"N.A.")</f>
        <v>0</v>
      </c>
      <c r="AF296" s="3" t="str">
        <f>Tab_Data_Flows[[#This Row],[E1_UoM]]</f>
        <v>Mg</v>
      </c>
      <c r="AG296" s="24">
        <f>_xlfn.XLOOKUP(Tab_Data_Flows[[#This Row],[Flow_Name]],Tab_Def_Flows[Flow_Name],Tab_Def_Flows[Flow_E6_Fraction'[%']],"N.A.",0,1)</f>
        <v>0</v>
      </c>
      <c r="AH296" s="3">
        <f>IF(Tab_Data_Flows[[#This Row],[Use_E6]]="Yes",Tab_Data_Flows[[#This Row],[E6_Fraction'[%']]]*Tab_Data_Flows[[#This Row],[E1_value]],"N.A.")</f>
        <v>0</v>
      </c>
      <c r="AI296" s="3" t="str">
        <f>Tab_Data_Flows[[#This Row],[E1_UoM]]</f>
        <v>Mg</v>
      </c>
    </row>
    <row r="297" spans="1:35" x14ac:dyDescent="0.25">
      <c r="A297" s="5">
        <f t="shared" si="9"/>
        <v>296</v>
      </c>
      <c r="B297" s="3" t="str">
        <f>_xlfn.XLOOKUP(C297,Tab_Def_Flows[Flow_Name],Tab_Def_Flows[Flow_ID],,0,)</f>
        <v>F__</v>
      </c>
      <c r="C297" s="23" t="s">
        <v>5</v>
      </c>
      <c r="D297" s="6" t="str">
        <f>_xlfn.XLOOKUP(C297,Tab_Def_Flows[Flow_Name],Tab_Def_Flows[Use_E1],,0,)</f>
        <v>Yes</v>
      </c>
      <c r="E297" s="6" t="str">
        <f>_xlfn.XLOOKUP(C297,Tab_Def_Flows[Flow_Name],Tab_Def_Flows[Use_E2],,0,)</f>
        <v>Yes</v>
      </c>
      <c r="F297" s="6" t="str">
        <f>_xlfn.XLOOKUP(C297,Tab_Def_Flows[Flow_Name],Tab_Def_Flows[Use_E3],,0,)</f>
        <v>Yes</v>
      </c>
      <c r="G297" s="6" t="str">
        <f>_xlfn.XLOOKUP(C297,Tab_Def_Flows[Flow_Name],Tab_Def_Flows[Use_E4],,0,)</f>
        <v>Yes</v>
      </c>
      <c r="H297" s="6" t="str">
        <f>_xlfn.XLOOKUP(C297,Tab_Def_Flows[Flow_Name],Tab_Def_Flows[Use_E5],,0,)</f>
        <v>Yes</v>
      </c>
      <c r="I297" s="6" t="str">
        <f>_xlfn.XLOOKUP(C297,Tab_Def_Flows[Flow_Name],Tab_Def_Flows[Use_E6],,0,)</f>
        <v>Yes</v>
      </c>
      <c r="J297" s="4"/>
      <c r="K297" s="18"/>
      <c r="L297" s="3" t="str">
        <f>'0_Configuration'!$C$41</f>
        <v>Mg</v>
      </c>
      <c r="M297" s="10"/>
      <c r="N297" s="23" t="s">
        <v>3</v>
      </c>
      <c r="O297" s="11"/>
      <c r="P297" s="4"/>
      <c r="Q297" s="10"/>
      <c r="R297" s="3">
        <f>_xlfn.XLOOKUP(Tab_Data_Flows[[#This Row],[Flow_Name]],Tab_Def_Flows[Flow_Name],Tab_Def_Flows[Flow_E1_Fraction'[%']],"N.A.",0,1)</f>
        <v>0</v>
      </c>
      <c r="S297" s="9">
        <f t="shared" si="8"/>
        <v>0</v>
      </c>
      <c r="T297" s="3" t="str">
        <f>Tab_Data_Flows[[#This Row],[UoM_Source]]</f>
        <v>Mg</v>
      </c>
      <c r="U297" s="24">
        <f>_xlfn.XLOOKUP(Tab_Data_Flows[[#This Row],[Flow_Name]],Tab_Def_Flows[Flow_Name],Tab_Def_Flows[Flow_E2_Fraction'[%']],"N.A.",0,1)</f>
        <v>0</v>
      </c>
      <c r="V297" s="3">
        <f>IF(D297="Yes",S297*Tab_Data_Flows[[#This Row],[E2_Fraction'[%']]],"N.A.")</f>
        <v>0</v>
      </c>
      <c r="W297" s="3" t="str">
        <f>Tab_Data_Flows[[#This Row],[E1_UoM]]</f>
        <v>Mg</v>
      </c>
      <c r="X297" s="24">
        <f>_xlfn.XLOOKUP(Tab_Data_Flows[[#This Row],[Flow_Name]],Tab_Def_Flows[Flow_Name],Tab_Def_Flows[Flow_E3_Fraction'[%']],"N.A.",0,1)</f>
        <v>0</v>
      </c>
      <c r="Y297" s="3">
        <f>IF(E297="Yes",X297*Tab_Data_Flows[[#This Row],[E1_value]],"N.A.")</f>
        <v>0</v>
      </c>
      <c r="Z297" s="3" t="str">
        <f>Tab_Data_Flows[[#This Row],[E1_UoM]]</f>
        <v>Mg</v>
      </c>
      <c r="AA297" s="24">
        <f>_xlfn.XLOOKUP(Tab_Data_Flows[[#This Row],[Flow_Name]],Tab_Def_Flows[Flow_Name],Tab_Def_Flows[Flow_E4_Fraction'[%']],"N.A.",0,1)</f>
        <v>0</v>
      </c>
      <c r="AB297" s="3">
        <f>IF(H297="Yes",Tab_Data_Flows[[#This Row],[E4_Fraction'[%']]]*Tab_Data_Flows[[#This Row],[E1_value]],"N.A.")</f>
        <v>0</v>
      </c>
      <c r="AC297" s="3" t="str">
        <f>Tab_Data_Flows[[#This Row],[E1_UoM]]</f>
        <v>Mg</v>
      </c>
      <c r="AD297" s="24">
        <f>_xlfn.XLOOKUP(Tab_Data_Flows[[#This Row],[Flow_Name]],Tab_Def_Flows[Flow_Name],Tab_Def_Flows[Flow_E5_Fraction'[%']],"N.A.",0,1)</f>
        <v>0</v>
      </c>
      <c r="AE297" s="3">
        <f>IF(H297="Yes",Tab_Data_Flows[[#This Row],[E5_Fraction'[%']]]*Tab_Data_Flows[[#This Row],[E1_value]],"N.A.")</f>
        <v>0</v>
      </c>
      <c r="AF297" s="3" t="str">
        <f>Tab_Data_Flows[[#This Row],[E1_UoM]]</f>
        <v>Mg</v>
      </c>
      <c r="AG297" s="24">
        <f>_xlfn.XLOOKUP(Tab_Data_Flows[[#This Row],[Flow_Name]],Tab_Def_Flows[Flow_Name],Tab_Def_Flows[Flow_E6_Fraction'[%']],"N.A.",0,1)</f>
        <v>0</v>
      </c>
      <c r="AH297" s="3">
        <f>IF(Tab_Data_Flows[[#This Row],[Use_E6]]="Yes",Tab_Data_Flows[[#This Row],[E6_Fraction'[%']]]*Tab_Data_Flows[[#This Row],[E1_value]],"N.A.")</f>
        <v>0</v>
      </c>
      <c r="AI297" s="3" t="str">
        <f>Tab_Data_Flows[[#This Row],[E1_UoM]]</f>
        <v>Mg</v>
      </c>
    </row>
    <row r="298" spans="1:35" x14ac:dyDescent="0.25">
      <c r="A298" s="5">
        <f t="shared" si="9"/>
        <v>297</v>
      </c>
      <c r="B298" s="3" t="str">
        <f>_xlfn.XLOOKUP(C298,Tab_Def_Flows[Flow_Name],Tab_Def_Flows[Flow_ID],,0,)</f>
        <v>F__</v>
      </c>
      <c r="C298" s="23" t="s">
        <v>5</v>
      </c>
      <c r="D298" s="6" t="str">
        <f>_xlfn.XLOOKUP(C298,Tab_Def_Flows[Flow_Name],Tab_Def_Flows[Use_E1],,0,)</f>
        <v>Yes</v>
      </c>
      <c r="E298" s="6" t="str">
        <f>_xlfn.XLOOKUP(C298,Tab_Def_Flows[Flow_Name],Tab_Def_Flows[Use_E2],,0,)</f>
        <v>Yes</v>
      </c>
      <c r="F298" s="6" t="str">
        <f>_xlfn.XLOOKUP(C298,Tab_Def_Flows[Flow_Name],Tab_Def_Flows[Use_E3],,0,)</f>
        <v>Yes</v>
      </c>
      <c r="G298" s="6" t="str">
        <f>_xlfn.XLOOKUP(C298,Tab_Def_Flows[Flow_Name],Tab_Def_Flows[Use_E4],,0,)</f>
        <v>Yes</v>
      </c>
      <c r="H298" s="6" t="str">
        <f>_xlfn.XLOOKUP(C298,Tab_Def_Flows[Flow_Name],Tab_Def_Flows[Use_E5],,0,)</f>
        <v>Yes</v>
      </c>
      <c r="I298" s="6" t="str">
        <f>_xlfn.XLOOKUP(C298,Tab_Def_Flows[Flow_Name],Tab_Def_Flows[Use_E6],,0,)</f>
        <v>Yes</v>
      </c>
      <c r="J298" s="4"/>
      <c r="K298" s="18"/>
      <c r="L298" s="3" t="str">
        <f>'0_Configuration'!$C$41</f>
        <v>Mg</v>
      </c>
      <c r="M298" s="10"/>
      <c r="N298" s="23" t="s">
        <v>3</v>
      </c>
      <c r="O298" s="11"/>
      <c r="P298" s="4"/>
      <c r="Q298" s="10"/>
      <c r="R298" s="3">
        <f>_xlfn.XLOOKUP(Tab_Data_Flows[[#This Row],[Flow_Name]],Tab_Def_Flows[Flow_Name],Tab_Def_Flows[Flow_E1_Fraction'[%']],"N.A.",0,1)</f>
        <v>0</v>
      </c>
      <c r="S298" s="9">
        <f t="shared" si="8"/>
        <v>0</v>
      </c>
      <c r="T298" s="3" t="str">
        <f>Tab_Data_Flows[[#This Row],[UoM_Source]]</f>
        <v>Mg</v>
      </c>
      <c r="U298" s="24">
        <f>_xlfn.XLOOKUP(Tab_Data_Flows[[#This Row],[Flow_Name]],Tab_Def_Flows[Flow_Name],Tab_Def_Flows[Flow_E2_Fraction'[%']],"N.A.",0,1)</f>
        <v>0</v>
      </c>
      <c r="V298" s="3">
        <f>IF(D298="Yes",S298*Tab_Data_Flows[[#This Row],[E2_Fraction'[%']]],"N.A.")</f>
        <v>0</v>
      </c>
      <c r="W298" s="3" t="str">
        <f>Tab_Data_Flows[[#This Row],[E1_UoM]]</f>
        <v>Mg</v>
      </c>
      <c r="X298" s="24">
        <f>_xlfn.XLOOKUP(Tab_Data_Flows[[#This Row],[Flow_Name]],Tab_Def_Flows[Flow_Name],Tab_Def_Flows[Flow_E3_Fraction'[%']],"N.A.",0,1)</f>
        <v>0</v>
      </c>
      <c r="Y298" s="3">
        <f>IF(E298="Yes",X298*Tab_Data_Flows[[#This Row],[E1_value]],"N.A.")</f>
        <v>0</v>
      </c>
      <c r="Z298" s="3" t="str">
        <f>Tab_Data_Flows[[#This Row],[E1_UoM]]</f>
        <v>Mg</v>
      </c>
      <c r="AA298" s="24">
        <f>_xlfn.XLOOKUP(Tab_Data_Flows[[#This Row],[Flow_Name]],Tab_Def_Flows[Flow_Name],Tab_Def_Flows[Flow_E4_Fraction'[%']],"N.A.",0,1)</f>
        <v>0</v>
      </c>
      <c r="AB298" s="3">
        <f>IF(H298="Yes",Tab_Data_Flows[[#This Row],[E4_Fraction'[%']]]*Tab_Data_Flows[[#This Row],[E1_value]],"N.A.")</f>
        <v>0</v>
      </c>
      <c r="AC298" s="3" t="str">
        <f>Tab_Data_Flows[[#This Row],[E1_UoM]]</f>
        <v>Mg</v>
      </c>
      <c r="AD298" s="24">
        <f>_xlfn.XLOOKUP(Tab_Data_Flows[[#This Row],[Flow_Name]],Tab_Def_Flows[Flow_Name],Tab_Def_Flows[Flow_E5_Fraction'[%']],"N.A.",0,1)</f>
        <v>0</v>
      </c>
      <c r="AE298" s="3">
        <f>IF(H298="Yes",Tab_Data_Flows[[#This Row],[E5_Fraction'[%']]]*Tab_Data_Flows[[#This Row],[E1_value]],"N.A.")</f>
        <v>0</v>
      </c>
      <c r="AF298" s="3" t="str">
        <f>Tab_Data_Flows[[#This Row],[E1_UoM]]</f>
        <v>Mg</v>
      </c>
      <c r="AG298" s="24">
        <f>_xlfn.XLOOKUP(Tab_Data_Flows[[#This Row],[Flow_Name]],Tab_Def_Flows[Flow_Name],Tab_Def_Flows[Flow_E6_Fraction'[%']],"N.A.",0,1)</f>
        <v>0</v>
      </c>
      <c r="AH298" s="3">
        <f>IF(Tab_Data_Flows[[#This Row],[Use_E6]]="Yes",Tab_Data_Flows[[#This Row],[E6_Fraction'[%']]]*Tab_Data_Flows[[#This Row],[E1_value]],"N.A.")</f>
        <v>0</v>
      </c>
      <c r="AI298" s="3" t="str">
        <f>Tab_Data_Flows[[#This Row],[E1_UoM]]</f>
        <v>Mg</v>
      </c>
    </row>
    <row r="299" spans="1:35" x14ac:dyDescent="0.25">
      <c r="A299" s="5">
        <f t="shared" si="9"/>
        <v>298</v>
      </c>
      <c r="B299" s="3" t="str">
        <f>_xlfn.XLOOKUP(C299,Tab_Def_Flows[Flow_Name],Tab_Def_Flows[Flow_ID],,0,)</f>
        <v>F__</v>
      </c>
      <c r="C299" s="23" t="s">
        <v>5</v>
      </c>
      <c r="D299" s="6" t="str">
        <f>_xlfn.XLOOKUP(C299,Tab_Def_Flows[Flow_Name],Tab_Def_Flows[Use_E1],,0,)</f>
        <v>Yes</v>
      </c>
      <c r="E299" s="6" t="str">
        <f>_xlfn.XLOOKUP(C299,Tab_Def_Flows[Flow_Name],Tab_Def_Flows[Use_E2],,0,)</f>
        <v>Yes</v>
      </c>
      <c r="F299" s="6" t="str">
        <f>_xlfn.XLOOKUP(C299,Tab_Def_Flows[Flow_Name],Tab_Def_Flows[Use_E3],,0,)</f>
        <v>Yes</v>
      </c>
      <c r="G299" s="6" t="str">
        <f>_xlfn.XLOOKUP(C299,Tab_Def_Flows[Flow_Name],Tab_Def_Flows[Use_E4],,0,)</f>
        <v>Yes</v>
      </c>
      <c r="H299" s="6" t="str">
        <f>_xlfn.XLOOKUP(C299,Tab_Def_Flows[Flow_Name],Tab_Def_Flows[Use_E5],,0,)</f>
        <v>Yes</v>
      </c>
      <c r="I299" s="6" t="str">
        <f>_xlfn.XLOOKUP(C299,Tab_Def_Flows[Flow_Name],Tab_Def_Flows[Use_E6],,0,)</f>
        <v>Yes</v>
      </c>
      <c r="J299" s="4"/>
      <c r="K299" s="18"/>
      <c r="L299" s="3" t="str">
        <f>'0_Configuration'!$C$41</f>
        <v>Mg</v>
      </c>
      <c r="M299" s="10"/>
      <c r="N299" s="23" t="s">
        <v>3</v>
      </c>
      <c r="O299" s="11"/>
      <c r="P299" s="4"/>
      <c r="Q299" s="10"/>
      <c r="R299" s="3">
        <f>_xlfn.XLOOKUP(Tab_Data_Flows[[#This Row],[Flow_Name]],Tab_Def_Flows[Flow_Name],Tab_Def_Flows[Flow_E1_Fraction'[%']],"N.A.",0,1)</f>
        <v>0</v>
      </c>
      <c r="S299" s="9">
        <f t="shared" si="8"/>
        <v>0</v>
      </c>
      <c r="T299" s="3" t="str">
        <f>Tab_Data_Flows[[#This Row],[UoM_Source]]</f>
        <v>Mg</v>
      </c>
      <c r="U299" s="24">
        <f>_xlfn.XLOOKUP(Tab_Data_Flows[[#This Row],[Flow_Name]],Tab_Def_Flows[Flow_Name],Tab_Def_Flows[Flow_E2_Fraction'[%']],"N.A.",0,1)</f>
        <v>0</v>
      </c>
      <c r="V299" s="3">
        <f>IF(D299="Yes",S299*Tab_Data_Flows[[#This Row],[E2_Fraction'[%']]],"N.A.")</f>
        <v>0</v>
      </c>
      <c r="W299" s="3" t="str">
        <f>Tab_Data_Flows[[#This Row],[E1_UoM]]</f>
        <v>Mg</v>
      </c>
      <c r="X299" s="24">
        <f>_xlfn.XLOOKUP(Tab_Data_Flows[[#This Row],[Flow_Name]],Tab_Def_Flows[Flow_Name],Tab_Def_Flows[Flow_E3_Fraction'[%']],"N.A.",0,1)</f>
        <v>0</v>
      </c>
      <c r="Y299" s="3">
        <f>IF(E299="Yes",X299*Tab_Data_Flows[[#This Row],[E1_value]],"N.A.")</f>
        <v>0</v>
      </c>
      <c r="Z299" s="3" t="str">
        <f>Tab_Data_Flows[[#This Row],[E1_UoM]]</f>
        <v>Mg</v>
      </c>
      <c r="AA299" s="24">
        <f>_xlfn.XLOOKUP(Tab_Data_Flows[[#This Row],[Flow_Name]],Tab_Def_Flows[Flow_Name],Tab_Def_Flows[Flow_E4_Fraction'[%']],"N.A.",0,1)</f>
        <v>0</v>
      </c>
      <c r="AB299" s="3">
        <f>IF(H299="Yes",Tab_Data_Flows[[#This Row],[E4_Fraction'[%']]]*Tab_Data_Flows[[#This Row],[E1_value]],"N.A.")</f>
        <v>0</v>
      </c>
      <c r="AC299" s="3" t="str">
        <f>Tab_Data_Flows[[#This Row],[E1_UoM]]</f>
        <v>Mg</v>
      </c>
      <c r="AD299" s="24">
        <f>_xlfn.XLOOKUP(Tab_Data_Flows[[#This Row],[Flow_Name]],Tab_Def_Flows[Flow_Name],Tab_Def_Flows[Flow_E5_Fraction'[%']],"N.A.",0,1)</f>
        <v>0</v>
      </c>
      <c r="AE299" s="3">
        <f>IF(H299="Yes",Tab_Data_Flows[[#This Row],[E5_Fraction'[%']]]*Tab_Data_Flows[[#This Row],[E1_value]],"N.A.")</f>
        <v>0</v>
      </c>
      <c r="AF299" s="3" t="str">
        <f>Tab_Data_Flows[[#This Row],[E1_UoM]]</f>
        <v>Mg</v>
      </c>
      <c r="AG299" s="24">
        <f>_xlfn.XLOOKUP(Tab_Data_Flows[[#This Row],[Flow_Name]],Tab_Def_Flows[Flow_Name],Tab_Def_Flows[Flow_E6_Fraction'[%']],"N.A.",0,1)</f>
        <v>0</v>
      </c>
      <c r="AH299" s="3">
        <f>IF(Tab_Data_Flows[[#This Row],[Use_E6]]="Yes",Tab_Data_Flows[[#This Row],[E6_Fraction'[%']]]*Tab_Data_Flows[[#This Row],[E1_value]],"N.A.")</f>
        <v>0</v>
      </c>
      <c r="AI299" s="3" t="str">
        <f>Tab_Data_Flows[[#This Row],[E1_UoM]]</f>
        <v>Mg</v>
      </c>
    </row>
    <row r="300" spans="1:35" x14ac:dyDescent="0.25">
      <c r="A300" s="5">
        <f t="shared" si="9"/>
        <v>299</v>
      </c>
      <c r="B300" s="3" t="str">
        <f>_xlfn.XLOOKUP(C300,Tab_Def_Flows[Flow_Name],Tab_Def_Flows[Flow_ID],,0,)</f>
        <v>F__</v>
      </c>
      <c r="C300" s="23" t="s">
        <v>5</v>
      </c>
      <c r="D300" s="6" t="str">
        <f>_xlfn.XLOOKUP(C300,Tab_Def_Flows[Flow_Name],Tab_Def_Flows[Use_E1],,0,)</f>
        <v>Yes</v>
      </c>
      <c r="E300" s="6" t="str">
        <f>_xlfn.XLOOKUP(C300,Tab_Def_Flows[Flow_Name],Tab_Def_Flows[Use_E2],,0,)</f>
        <v>Yes</v>
      </c>
      <c r="F300" s="6" t="str">
        <f>_xlfn.XLOOKUP(C300,Tab_Def_Flows[Flow_Name],Tab_Def_Flows[Use_E3],,0,)</f>
        <v>Yes</v>
      </c>
      <c r="G300" s="6" t="str">
        <f>_xlfn.XLOOKUP(C300,Tab_Def_Flows[Flow_Name],Tab_Def_Flows[Use_E4],,0,)</f>
        <v>Yes</v>
      </c>
      <c r="H300" s="6" t="str">
        <f>_xlfn.XLOOKUP(C300,Tab_Def_Flows[Flow_Name],Tab_Def_Flows[Use_E5],,0,)</f>
        <v>Yes</v>
      </c>
      <c r="I300" s="6" t="str">
        <f>_xlfn.XLOOKUP(C300,Tab_Def_Flows[Flow_Name],Tab_Def_Flows[Use_E6],,0,)</f>
        <v>Yes</v>
      </c>
      <c r="J300" s="4"/>
      <c r="K300" s="18"/>
      <c r="L300" s="3" t="str">
        <f>'0_Configuration'!$C$41</f>
        <v>Mg</v>
      </c>
      <c r="M300" s="10"/>
      <c r="N300" s="23" t="s">
        <v>3</v>
      </c>
      <c r="O300" s="11"/>
      <c r="P300" s="4"/>
      <c r="Q300" s="10"/>
      <c r="R300" s="3">
        <f>_xlfn.XLOOKUP(Tab_Data_Flows[[#This Row],[Flow_Name]],Tab_Def_Flows[Flow_Name],Tab_Def_Flows[Flow_E1_Fraction'[%']],"N.A.",0,1)</f>
        <v>0</v>
      </c>
      <c r="S300" s="9">
        <f t="shared" si="8"/>
        <v>0</v>
      </c>
      <c r="T300" s="3" t="str">
        <f>Tab_Data_Flows[[#This Row],[UoM_Source]]</f>
        <v>Mg</v>
      </c>
      <c r="U300" s="24">
        <f>_xlfn.XLOOKUP(Tab_Data_Flows[[#This Row],[Flow_Name]],Tab_Def_Flows[Flow_Name],Tab_Def_Flows[Flow_E2_Fraction'[%']],"N.A.",0,1)</f>
        <v>0</v>
      </c>
      <c r="V300" s="3">
        <f>IF(D300="Yes",S300*Tab_Data_Flows[[#This Row],[E2_Fraction'[%']]],"N.A.")</f>
        <v>0</v>
      </c>
      <c r="W300" s="3" t="str">
        <f>Tab_Data_Flows[[#This Row],[E1_UoM]]</f>
        <v>Mg</v>
      </c>
      <c r="X300" s="24">
        <f>_xlfn.XLOOKUP(Tab_Data_Flows[[#This Row],[Flow_Name]],Tab_Def_Flows[Flow_Name],Tab_Def_Flows[Flow_E3_Fraction'[%']],"N.A.",0,1)</f>
        <v>0</v>
      </c>
      <c r="Y300" s="3">
        <f>IF(E300="Yes",X300*Tab_Data_Flows[[#This Row],[E1_value]],"N.A.")</f>
        <v>0</v>
      </c>
      <c r="Z300" s="3" t="str">
        <f>Tab_Data_Flows[[#This Row],[E1_UoM]]</f>
        <v>Mg</v>
      </c>
      <c r="AA300" s="24">
        <f>_xlfn.XLOOKUP(Tab_Data_Flows[[#This Row],[Flow_Name]],Tab_Def_Flows[Flow_Name],Tab_Def_Flows[Flow_E4_Fraction'[%']],"N.A.",0,1)</f>
        <v>0</v>
      </c>
      <c r="AB300" s="3">
        <f>IF(H300="Yes",Tab_Data_Flows[[#This Row],[E4_Fraction'[%']]]*Tab_Data_Flows[[#This Row],[E1_value]],"N.A.")</f>
        <v>0</v>
      </c>
      <c r="AC300" s="3" t="str">
        <f>Tab_Data_Flows[[#This Row],[E1_UoM]]</f>
        <v>Mg</v>
      </c>
      <c r="AD300" s="24">
        <f>_xlfn.XLOOKUP(Tab_Data_Flows[[#This Row],[Flow_Name]],Tab_Def_Flows[Flow_Name],Tab_Def_Flows[Flow_E5_Fraction'[%']],"N.A.",0,1)</f>
        <v>0</v>
      </c>
      <c r="AE300" s="3">
        <f>IF(H300="Yes",Tab_Data_Flows[[#This Row],[E5_Fraction'[%']]]*Tab_Data_Flows[[#This Row],[E1_value]],"N.A.")</f>
        <v>0</v>
      </c>
      <c r="AF300" s="3" t="str">
        <f>Tab_Data_Flows[[#This Row],[E1_UoM]]</f>
        <v>Mg</v>
      </c>
      <c r="AG300" s="24">
        <f>_xlfn.XLOOKUP(Tab_Data_Flows[[#This Row],[Flow_Name]],Tab_Def_Flows[Flow_Name],Tab_Def_Flows[Flow_E6_Fraction'[%']],"N.A.",0,1)</f>
        <v>0</v>
      </c>
      <c r="AH300" s="3">
        <f>IF(Tab_Data_Flows[[#This Row],[Use_E6]]="Yes",Tab_Data_Flows[[#This Row],[E6_Fraction'[%']]]*Tab_Data_Flows[[#This Row],[E1_value]],"N.A.")</f>
        <v>0</v>
      </c>
      <c r="AI300" s="3" t="str">
        <f>Tab_Data_Flows[[#This Row],[E1_UoM]]</f>
        <v>Mg</v>
      </c>
    </row>
    <row r="301" spans="1:35" x14ac:dyDescent="0.25">
      <c r="A301" s="5">
        <f t="shared" si="9"/>
        <v>300</v>
      </c>
      <c r="B301" s="3" t="str">
        <f>_xlfn.XLOOKUP(C301,Tab_Def_Flows[Flow_Name],Tab_Def_Flows[Flow_ID],,0,)</f>
        <v>F__</v>
      </c>
      <c r="C301" s="23" t="s">
        <v>5</v>
      </c>
      <c r="D301" s="6" t="str">
        <f>_xlfn.XLOOKUP(C301,Tab_Def_Flows[Flow_Name],Tab_Def_Flows[Use_E1],,0,)</f>
        <v>Yes</v>
      </c>
      <c r="E301" s="6" t="str">
        <f>_xlfn.XLOOKUP(C301,Tab_Def_Flows[Flow_Name],Tab_Def_Flows[Use_E2],,0,)</f>
        <v>Yes</v>
      </c>
      <c r="F301" s="6" t="str">
        <f>_xlfn.XLOOKUP(C301,Tab_Def_Flows[Flow_Name],Tab_Def_Flows[Use_E3],,0,)</f>
        <v>Yes</v>
      </c>
      <c r="G301" s="6" t="str">
        <f>_xlfn.XLOOKUP(C301,Tab_Def_Flows[Flow_Name],Tab_Def_Flows[Use_E4],,0,)</f>
        <v>Yes</v>
      </c>
      <c r="H301" s="6" t="str">
        <f>_xlfn.XLOOKUP(C301,Tab_Def_Flows[Flow_Name],Tab_Def_Flows[Use_E5],,0,)</f>
        <v>Yes</v>
      </c>
      <c r="I301" s="6" t="str">
        <f>_xlfn.XLOOKUP(C301,Tab_Def_Flows[Flow_Name],Tab_Def_Flows[Use_E6],,0,)</f>
        <v>Yes</v>
      </c>
      <c r="J301" s="4"/>
      <c r="K301" s="18"/>
      <c r="L301" s="3" t="str">
        <f>'0_Configuration'!$C$41</f>
        <v>Mg</v>
      </c>
      <c r="M301" s="10"/>
      <c r="N301" s="23" t="s">
        <v>3</v>
      </c>
      <c r="O301" s="11"/>
      <c r="P301" s="4"/>
      <c r="Q301" s="10"/>
      <c r="R301" s="3">
        <f>_xlfn.XLOOKUP(Tab_Data_Flows[[#This Row],[Flow_Name]],Tab_Def_Flows[Flow_Name],Tab_Def_Flows[Flow_E1_Fraction'[%']],"N.A.",0,1)</f>
        <v>0</v>
      </c>
      <c r="S301" s="9">
        <f t="shared" si="8"/>
        <v>0</v>
      </c>
      <c r="T301" s="3" t="str">
        <f>Tab_Data_Flows[[#This Row],[UoM_Source]]</f>
        <v>Mg</v>
      </c>
      <c r="U301" s="24">
        <f>_xlfn.XLOOKUP(Tab_Data_Flows[[#This Row],[Flow_Name]],Tab_Def_Flows[Flow_Name],Tab_Def_Flows[Flow_E2_Fraction'[%']],"N.A.",0,1)</f>
        <v>0</v>
      </c>
      <c r="V301" s="3">
        <f>IF(D301="Yes",S301*Tab_Data_Flows[[#This Row],[E2_Fraction'[%']]],"N.A.")</f>
        <v>0</v>
      </c>
      <c r="W301" s="3" t="str">
        <f>Tab_Data_Flows[[#This Row],[E1_UoM]]</f>
        <v>Mg</v>
      </c>
      <c r="X301" s="24">
        <f>_xlfn.XLOOKUP(Tab_Data_Flows[[#This Row],[Flow_Name]],Tab_Def_Flows[Flow_Name],Tab_Def_Flows[Flow_E3_Fraction'[%']],"N.A.",0,1)</f>
        <v>0</v>
      </c>
      <c r="Y301" s="3">
        <f>IF(E301="Yes",X301*Tab_Data_Flows[[#This Row],[E1_value]],"N.A.")</f>
        <v>0</v>
      </c>
      <c r="Z301" s="3" t="str">
        <f>Tab_Data_Flows[[#This Row],[E1_UoM]]</f>
        <v>Mg</v>
      </c>
      <c r="AA301" s="24">
        <f>_xlfn.XLOOKUP(Tab_Data_Flows[[#This Row],[Flow_Name]],Tab_Def_Flows[Flow_Name],Tab_Def_Flows[Flow_E4_Fraction'[%']],"N.A.",0,1)</f>
        <v>0</v>
      </c>
      <c r="AB301" s="3">
        <f>IF(H301="Yes",Tab_Data_Flows[[#This Row],[E4_Fraction'[%']]]*Tab_Data_Flows[[#This Row],[E1_value]],"N.A.")</f>
        <v>0</v>
      </c>
      <c r="AC301" s="3" t="str">
        <f>Tab_Data_Flows[[#This Row],[E1_UoM]]</f>
        <v>Mg</v>
      </c>
      <c r="AD301" s="24">
        <f>_xlfn.XLOOKUP(Tab_Data_Flows[[#This Row],[Flow_Name]],Tab_Def_Flows[Flow_Name],Tab_Def_Flows[Flow_E5_Fraction'[%']],"N.A.",0,1)</f>
        <v>0</v>
      </c>
      <c r="AE301" s="3">
        <f>IF(H301="Yes",Tab_Data_Flows[[#This Row],[E5_Fraction'[%']]]*Tab_Data_Flows[[#This Row],[E1_value]],"N.A.")</f>
        <v>0</v>
      </c>
      <c r="AF301" s="3" t="str">
        <f>Tab_Data_Flows[[#This Row],[E1_UoM]]</f>
        <v>Mg</v>
      </c>
      <c r="AG301" s="24">
        <f>_xlfn.XLOOKUP(Tab_Data_Flows[[#This Row],[Flow_Name]],Tab_Def_Flows[Flow_Name],Tab_Def_Flows[Flow_E6_Fraction'[%']],"N.A.",0,1)</f>
        <v>0</v>
      </c>
      <c r="AH301" s="3">
        <f>IF(Tab_Data_Flows[[#This Row],[Use_E6]]="Yes",Tab_Data_Flows[[#This Row],[E6_Fraction'[%']]]*Tab_Data_Flows[[#This Row],[E1_value]],"N.A.")</f>
        <v>0</v>
      </c>
      <c r="AI301" s="3" t="str">
        <f>Tab_Data_Flows[[#This Row],[E1_UoM]]</f>
        <v>Mg</v>
      </c>
    </row>
    <row r="302" spans="1:35" x14ac:dyDescent="0.25">
      <c r="A302" s="5">
        <f t="shared" si="9"/>
        <v>301</v>
      </c>
      <c r="B302" s="3" t="str">
        <f>_xlfn.XLOOKUP(C302,Tab_Def_Flows[Flow_Name],Tab_Def_Flows[Flow_ID],,0,)</f>
        <v>F__</v>
      </c>
      <c r="C302" s="23" t="s">
        <v>5</v>
      </c>
      <c r="D302" s="6" t="str">
        <f>_xlfn.XLOOKUP(C302,Tab_Def_Flows[Flow_Name],Tab_Def_Flows[Use_E1],,0,)</f>
        <v>Yes</v>
      </c>
      <c r="E302" s="6" t="str">
        <f>_xlfn.XLOOKUP(C302,Tab_Def_Flows[Flow_Name],Tab_Def_Flows[Use_E2],,0,)</f>
        <v>Yes</v>
      </c>
      <c r="F302" s="6" t="str">
        <f>_xlfn.XLOOKUP(C302,Tab_Def_Flows[Flow_Name],Tab_Def_Flows[Use_E3],,0,)</f>
        <v>Yes</v>
      </c>
      <c r="G302" s="6" t="str">
        <f>_xlfn.XLOOKUP(C302,Tab_Def_Flows[Flow_Name],Tab_Def_Flows[Use_E4],,0,)</f>
        <v>Yes</v>
      </c>
      <c r="H302" s="6" t="str">
        <f>_xlfn.XLOOKUP(C302,Tab_Def_Flows[Flow_Name],Tab_Def_Flows[Use_E5],,0,)</f>
        <v>Yes</v>
      </c>
      <c r="I302" s="6" t="str">
        <f>_xlfn.XLOOKUP(C302,Tab_Def_Flows[Flow_Name],Tab_Def_Flows[Use_E6],,0,)</f>
        <v>Yes</v>
      </c>
      <c r="J302" s="4"/>
      <c r="K302" s="18"/>
      <c r="L302" s="3" t="str">
        <f>'0_Configuration'!$C$41</f>
        <v>Mg</v>
      </c>
      <c r="M302" s="10"/>
      <c r="N302" s="23" t="s">
        <v>3</v>
      </c>
      <c r="O302" s="11"/>
      <c r="P302" s="4"/>
      <c r="Q302" s="10"/>
      <c r="R302" s="3">
        <f>_xlfn.XLOOKUP(Tab_Data_Flows[[#This Row],[Flow_Name]],Tab_Def_Flows[Flow_Name],Tab_Def_Flows[Flow_E1_Fraction'[%']],"N.A.",0,1)</f>
        <v>0</v>
      </c>
      <c r="S302" s="9">
        <f t="shared" si="8"/>
        <v>0</v>
      </c>
      <c r="T302" s="3" t="str">
        <f>Tab_Data_Flows[[#This Row],[UoM_Source]]</f>
        <v>Mg</v>
      </c>
      <c r="U302" s="24">
        <f>_xlfn.XLOOKUP(Tab_Data_Flows[[#This Row],[Flow_Name]],Tab_Def_Flows[Flow_Name],Tab_Def_Flows[Flow_E2_Fraction'[%']],"N.A.",0,1)</f>
        <v>0</v>
      </c>
      <c r="V302" s="3">
        <f>IF(D302="Yes",S302*Tab_Data_Flows[[#This Row],[E2_Fraction'[%']]],"N.A.")</f>
        <v>0</v>
      </c>
      <c r="W302" s="3" t="str">
        <f>Tab_Data_Flows[[#This Row],[E1_UoM]]</f>
        <v>Mg</v>
      </c>
      <c r="X302" s="24">
        <f>_xlfn.XLOOKUP(Tab_Data_Flows[[#This Row],[Flow_Name]],Tab_Def_Flows[Flow_Name],Tab_Def_Flows[Flow_E3_Fraction'[%']],"N.A.",0,1)</f>
        <v>0</v>
      </c>
      <c r="Y302" s="3">
        <f>IF(E302="Yes",X302*Tab_Data_Flows[[#This Row],[E1_value]],"N.A.")</f>
        <v>0</v>
      </c>
      <c r="Z302" s="3" t="str">
        <f>Tab_Data_Flows[[#This Row],[E1_UoM]]</f>
        <v>Mg</v>
      </c>
      <c r="AA302" s="24">
        <f>_xlfn.XLOOKUP(Tab_Data_Flows[[#This Row],[Flow_Name]],Tab_Def_Flows[Flow_Name],Tab_Def_Flows[Flow_E4_Fraction'[%']],"N.A.",0,1)</f>
        <v>0</v>
      </c>
      <c r="AB302" s="3">
        <f>IF(H302="Yes",Tab_Data_Flows[[#This Row],[E4_Fraction'[%']]]*Tab_Data_Flows[[#This Row],[E1_value]],"N.A.")</f>
        <v>0</v>
      </c>
      <c r="AC302" s="3" t="str">
        <f>Tab_Data_Flows[[#This Row],[E1_UoM]]</f>
        <v>Mg</v>
      </c>
      <c r="AD302" s="24">
        <f>_xlfn.XLOOKUP(Tab_Data_Flows[[#This Row],[Flow_Name]],Tab_Def_Flows[Flow_Name],Tab_Def_Flows[Flow_E5_Fraction'[%']],"N.A.",0,1)</f>
        <v>0</v>
      </c>
      <c r="AE302" s="3">
        <f>IF(H302="Yes",Tab_Data_Flows[[#This Row],[E5_Fraction'[%']]]*Tab_Data_Flows[[#This Row],[E1_value]],"N.A.")</f>
        <v>0</v>
      </c>
      <c r="AF302" s="3" t="str">
        <f>Tab_Data_Flows[[#This Row],[E1_UoM]]</f>
        <v>Mg</v>
      </c>
      <c r="AG302" s="24">
        <f>_xlfn.XLOOKUP(Tab_Data_Flows[[#This Row],[Flow_Name]],Tab_Def_Flows[Flow_Name],Tab_Def_Flows[Flow_E6_Fraction'[%']],"N.A.",0,1)</f>
        <v>0</v>
      </c>
      <c r="AH302" s="3">
        <f>IF(Tab_Data_Flows[[#This Row],[Use_E6]]="Yes",Tab_Data_Flows[[#This Row],[E6_Fraction'[%']]]*Tab_Data_Flows[[#This Row],[E1_value]],"N.A.")</f>
        <v>0</v>
      </c>
      <c r="AI302" s="3" t="str">
        <f>Tab_Data_Flows[[#This Row],[E1_UoM]]</f>
        <v>Mg</v>
      </c>
    </row>
    <row r="303" spans="1:35" x14ac:dyDescent="0.25">
      <c r="A303" s="5">
        <f t="shared" si="9"/>
        <v>302</v>
      </c>
      <c r="B303" s="3" t="str">
        <f>_xlfn.XLOOKUP(C303,Tab_Def_Flows[Flow_Name],Tab_Def_Flows[Flow_ID],,0,)</f>
        <v>F__</v>
      </c>
      <c r="C303" s="23" t="s">
        <v>5</v>
      </c>
      <c r="D303" s="6" t="str">
        <f>_xlfn.XLOOKUP(C303,Tab_Def_Flows[Flow_Name],Tab_Def_Flows[Use_E1],,0,)</f>
        <v>Yes</v>
      </c>
      <c r="E303" s="6" t="str">
        <f>_xlfn.XLOOKUP(C303,Tab_Def_Flows[Flow_Name],Tab_Def_Flows[Use_E2],,0,)</f>
        <v>Yes</v>
      </c>
      <c r="F303" s="6" t="str">
        <f>_xlfn.XLOOKUP(C303,Tab_Def_Flows[Flow_Name],Tab_Def_Flows[Use_E3],,0,)</f>
        <v>Yes</v>
      </c>
      <c r="G303" s="6" t="str">
        <f>_xlfn.XLOOKUP(C303,Tab_Def_Flows[Flow_Name],Tab_Def_Flows[Use_E4],,0,)</f>
        <v>Yes</v>
      </c>
      <c r="H303" s="6" t="str">
        <f>_xlfn.XLOOKUP(C303,Tab_Def_Flows[Flow_Name],Tab_Def_Flows[Use_E5],,0,)</f>
        <v>Yes</v>
      </c>
      <c r="I303" s="6" t="str">
        <f>_xlfn.XLOOKUP(C303,Tab_Def_Flows[Flow_Name],Tab_Def_Flows[Use_E6],,0,)</f>
        <v>Yes</v>
      </c>
      <c r="J303" s="4"/>
      <c r="K303" s="18"/>
      <c r="L303" s="3" t="str">
        <f>'0_Configuration'!$C$41</f>
        <v>Mg</v>
      </c>
      <c r="M303" s="10"/>
      <c r="N303" s="23" t="s">
        <v>3</v>
      </c>
      <c r="O303" s="11"/>
      <c r="P303" s="4"/>
      <c r="Q303" s="10"/>
      <c r="R303" s="3">
        <f>_xlfn.XLOOKUP(Tab_Data_Flows[[#This Row],[Flow_Name]],Tab_Def_Flows[Flow_Name],Tab_Def_Flows[Flow_E1_Fraction'[%']],"N.A.",0,1)</f>
        <v>0</v>
      </c>
      <c r="S303" s="9">
        <f t="shared" si="8"/>
        <v>0</v>
      </c>
      <c r="T303" s="3" t="str">
        <f>Tab_Data_Flows[[#This Row],[UoM_Source]]</f>
        <v>Mg</v>
      </c>
      <c r="U303" s="24">
        <f>_xlfn.XLOOKUP(Tab_Data_Flows[[#This Row],[Flow_Name]],Tab_Def_Flows[Flow_Name],Tab_Def_Flows[Flow_E2_Fraction'[%']],"N.A.",0,1)</f>
        <v>0</v>
      </c>
      <c r="V303" s="3">
        <f>IF(D303="Yes",S303*Tab_Data_Flows[[#This Row],[E2_Fraction'[%']]],"N.A.")</f>
        <v>0</v>
      </c>
      <c r="W303" s="3" t="str">
        <f>Tab_Data_Flows[[#This Row],[E1_UoM]]</f>
        <v>Mg</v>
      </c>
      <c r="X303" s="24">
        <f>_xlfn.XLOOKUP(Tab_Data_Flows[[#This Row],[Flow_Name]],Tab_Def_Flows[Flow_Name],Tab_Def_Flows[Flow_E3_Fraction'[%']],"N.A.",0,1)</f>
        <v>0</v>
      </c>
      <c r="Y303" s="3">
        <f>IF(E303="Yes",X303*Tab_Data_Flows[[#This Row],[E1_value]],"N.A.")</f>
        <v>0</v>
      </c>
      <c r="Z303" s="3" t="str">
        <f>Tab_Data_Flows[[#This Row],[E1_UoM]]</f>
        <v>Mg</v>
      </c>
      <c r="AA303" s="24">
        <f>_xlfn.XLOOKUP(Tab_Data_Flows[[#This Row],[Flow_Name]],Tab_Def_Flows[Flow_Name],Tab_Def_Flows[Flow_E4_Fraction'[%']],"N.A.",0,1)</f>
        <v>0</v>
      </c>
      <c r="AB303" s="3">
        <f>IF(H303="Yes",Tab_Data_Flows[[#This Row],[E4_Fraction'[%']]]*Tab_Data_Flows[[#This Row],[E1_value]],"N.A.")</f>
        <v>0</v>
      </c>
      <c r="AC303" s="3" t="str">
        <f>Tab_Data_Flows[[#This Row],[E1_UoM]]</f>
        <v>Mg</v>
      </c>
      <c r="AD303" s="24">
        <f>_xlfn.XLOOKUP(Tab_Data_Flows[[#This Row],[Flow_Name]],Tab_Def_Flows[Flow_Name],Tab_Def_Flows[Flow_E5_Fraction'[%']],"N.A.",0,1)</f>
        <v>0</v>
      </c>
      <c r="AE303" s="3">
        <f>IF(H303="Yes",Tab_Data_Flows[[#This Row],[E5_Fraction'[%']]]*Tab_Data_Flows[[#This Row],[E1_value]],"N.A.")</f>
        <v>0</v>
      </c>
      <c r="AF303" s="3" t="str">
        <f>Tab_Data_Flows[[#This Row],[E1_UoM]]</f>
        <v>Mg</v>
      </c>
      <c r="AG303" s="24">
        <f>_xlfn.XLOOKUP(Tab_Data_Flows[[#This Row],[Flow_Name]],Tab_Def_Flows[Flow_Name],Tab_Def_Flows[Flow_E6_Fraction'[%']],"N.A.",0,1)</f>
        <v>0</v>
      </c>
      <c r="AH303" s="3">
        <f>IF(Tab_Data_Flows[[#This Row],[Use_E6]]="Yes",Tab_Data_Flows[[#This Row],[E6_Fraction'[%']]]*Tab_Data_Flows[[#This Row],[E1_value]],"N.A.")</f>
        <v>0</v>
      </c>
      <c r="AI303" s="3" t="str">
        <f>Tab_Data_Flows[[#This Row],[E1_UoM]]</f>
        <v>Mg</v>
      </c>
    </row>
    <row r="304" spans="1:35" x14ac:dyDescent="0.25">
      <c r="A304" s="5">
        <f t="shared" si="9"/>
        <v>303</v>
      </c>
      <c r="B304" s="3" t="str">
        <f>_xlfn.XLOOKUP(C304,Tab_Def_Flows[Flow_Name],Tab_Def_Flows[Flow_ID],,0,)</f>
        <v>F__</v>
      </c>
      <c r="C304" s="23" t="s">
        <v>5</v>
      </c>
      <c r="D304" s="6" t="str">
        <f>_xlfn.XLOOKUP(C304,Tab_Def_Flows[Flow_Name],Tab_Def_Flows[Use_E1],,0,)</f>
        <v>Yes</v>
      </c>
      <c r="E304" s="6" t="str">
        <f>_xlfn.XLOOKUP(C304,Tab_Def_Flows[Flow_Name],Tab_Def_Flows[Use_E2],,0,)</f>
        <v>Yes</v>
      </c>
      <c r="F304" s="6" t="str">
        <f>_xlfn.XLOOKUP(C304,Tab_Def_Flows[Flow_Name],Tab_Def_Flows[Use_E3],,0,)</f>
        <v>Yes</v>
      </c>
      <c r="G304" s="6" t="str">
        <f>_xlfn.XLOOKUP(C304,Tab_Def_Flows[Flow_Name],Tab_Def_Flows[Use_E4],,0,)</f>
        <v>Yes</v>
      </c>
      <c r="H304" s="6" t="str">
        <f>_xlfn.XLOOKUP(C304,Tab_Def_Flows[Flow_Name],Tab_Def_Flows[Use_E5],,0,)</f>
        <v>Yes</v>
      </c>
      <c r="I304" s="6" t="str">
        <f>_xlfn.XLOOKUP(C304,Tab_Def_Flows[Flow_Name],Tab_Def_Flows[Use_E6],,0,)</f>
        <v>Yes</v>
      </c>
      <c r="J304" s="4"/>
      <c r="K304" s="18"/>
      <c r="L304" s="3" t="str">
        <f>'0_Configuration'!$C$41</f>
        <v>Mg</v>
      </c>
      <c r="M304" s="10"/>
      <c r="N304" s="23" t="s">
        <v>3</v>
      </c>
      <c r="O304" s="11"/>
      <c r="P304" s="4"/>
      <c r="Q304" s="10"/>
      <c r="R304" s="3">
        <f>_xlfn.XLOOKUP(Tab_Data_Flows[[#This Row],[Flow_Name]],Tab_Def_Flows[Flow_Name],Tab_Def_Flows[Flow_E1_Fraction'[%']],"N.A.",0,1)</f>
        <v>0</v>
      </c>
      <c r="S304" s="9">
        <f t="shared" si="8"/>
        <v>0</v>
      </c>
      <c r="T304" s="3" t="str">
        <f>Tab_Data_Flows[[#This Row],[UoM_Source]]</f>
        <v>Mg</v>
      </c>
      <c r="U304" s="24">
        <f>_xlfn.XLOOKUP(Tab_Data_Flows[[#This Row],[Flow_Name]],Tab_Def_Flows[Flow_Name],Tab_Def_Flows[Flow_E2_Fraction'[%']],"N.A.",0,1)</f>
        <v>0</v>
      </c>
      <c r="V304" s="3">
        <f>IF(D304="Yes",S304*Tab_Data_Flows[[#This Row],[E2_Fraction'[%']]],"N.A.")</f>
        <v>0</v>
      </c>
      <c r="W304" s="3" t="str">
        <f>Tab_Data_Flows[[#This Row],[E1_UoM]]</f>
        <v>Mg</v>
      </c>
      <c r="X304" s="24">
        <f>_xlfn.XLOOKUP(Tab_Data_Flows[[#This Row],[Flow_Name]],Tab_Def_Flows[Flow_Name],Tab_Def_Flows[Flow_E3_Fraction'[%']],"N.A.",0,1)</f>
        <v>0</v>
      </c>
      <c r="Y304" s="3">
        <f>IF(E304="Yes",X304*Tab_Data_Flows[[#This Row],[E1_value]],"N.A.")</f>
        <v>0</v>
      </c>
      <c r="Z304" s="3" t="str">
        <f>Tab_Data_Flows[[#This Row],[E1_UoM]]</f>
        <v>Mg</v>
      </c>
      <c r="AA304" s="24">
        <f>_xlfn.XLOOKUP(Tab_Data_Flows[[#This Row],[Flow_Name]],Tab_Def_Flows[Flow_Name],Tab_Def_Flows[Flow_E4_Fraction'[%']],"N.A.",0,1)</f>
        <v>0</v>
      </c>
      <c r="AB304" s="3">
        <f>IF(H304="Yes",Tab_Data_Flows[[#This Row],[E4_Fraction'[%']]]*Tab_Data_Flows[[#This Row],[E1_value]],"N.A.")</f>
        <v>0</v>
      </c>
      <c r="AC304" s="3" t="str">
        <f>Tab_Data_Flows[[#This Row],[E1_UoM]]</f>
        <v>Mg</v>
      </c>
      <c r="AD304" s="24">
        <f>_xlfn.XLOOKUP(Tab_Data_Flows[[#This Row],[Flow_Name]],Tab_Def_Flows[Flow_Name],Tab_Def_Flows[Flow_E5_Fraction'[%']],"N.A.",0,1)</f>
        <v>0</v>
      </c>
      <c r="AE304" s="3">
        <f>IF(H304="Yes",Tab_Data_Flows[[#This Row],[E5_Fraction'[%']]]*Tab_Data_Flows[[#This Row],[E1_value]],"N.A.")</f>
        <v>0</v>
      </c>
      <c r="AF304" s="3" t="str">
        <f>Tab_Data_Flows[[#This Row],[E1_UoM]]</f>
        <v>Mg</v>
      </c>
      <c r="AG304" s="24">
        <f>_xlfn.XLOOKUP(Tab_Data_Flows[[#This Row],[Flow_Name]],Tab_Def_Flows[Flow_Name],Tab_Def_Flows[Flow_E6_Fraction'[%']],"N.A.",0,1)</f>
        <v>0</v>
      </c>
      <c r="AH304" s="3">
        <f>IF(Tab_Data_Flows[[#This Row],[Use_E6]]="Yes",Tab_Data_Flows[[#This Row],[E6_Fraction'[%']]]*Tab_Data_Flows[[#This Row],[E1_value]],"N.A.")</f>
        <v>0</v>
      </c>
      <c r="AI304" s="3" t="str">
        <f>Tab_Data_Flows[[#This Row],[E1_UoM]]</f>
        <v>Mg</v>
      </c>
    </row>
    <row r="305" spans="1:35" x14ac:dyDescent="0.25">
      <c r="A305" s="5">
        <f t="shared" si="9"/>
        <v>304</v>
      </c>
      <c r="B305" s="3" t="str">
        <f>_xlfn.XLOOKUP(C305,Tab_Def_Flows[Flow_Name],Tab_Def_Flows[Flow_ID],,0,)</f>
        <v>F__</v>
      </c>
      <c r="C305" s="23" t="s">
        <v>5</v>
      </c>
      <c r="D305" s="6" t="str">
        <f>_xlfn.XLOOKUP(C305,Tab_Def_Flows[Flow_Name],Tab_Def_Flows[Use_E1],,0,)</f>
        <v>Yes</v>
      </c>
      <c r="E305" s="6" t="str">
        <f>_xlfn.XLOOKUP(C305,Tab_Def_Flows[Flow_Name],Tab_Def_Flows[Use_E2],,0,)</f>
        <v>Yes</v>
      </c>
      <c r="F305" s="6" t="str">
        <f>_xlfn.XLOOKUP(C305,Tab_Def_Flows[Flow_Name],Tab_Def_Flows[Use_E3],,0,)</f>
        <v>Yes</v>
      </c>
      <c r="G305" s="6" t="str">
        <f>_xlfn.XLOOKUP(C305,Tab_Def_Flows[Flow_Name],Tab_Def_Flows[Use_E4],,0,)</f>
        <v>Yes</v>
      </c>
      <c r="H305" s="6" t="str">
        <f>_xlfn.XLOOKUP(C305,Tab_Def_Flows[Flow_Name],Tab_Def_Flows[Use_E5],,0,)</f>
        <v>Yes</v>
      </c>
      <c r="I305" s="6" t="str">
        <f>_xlfn.XLOOKUP(C305,Tab_Def_Flows[Flow_Name],Tab_Def_Flows[Use_E6],,0,)</f>
        <v>Yes</v>
      </c>
      <c r="J305" s="4"/>
      <c r="K305" s="18"/>
      <c r="L305" s="3" t="str">
        <f>'0_Configuration'!$C$41</f>
        <v>Mg</v>
      </c>
      <c r="M305" s="10"/>
      <c r="N305" s="23" t="s">
        <v>3</v>
      </c>
      <c r="O305" s="11"/>
      <c r="P305" s="4"/>
      <c r="Q305" s="10"/>
      <c r="R305" s="3">
        <f>_xlfn.XLOOKUP(Tab_Data_Flows[[#This Row],[Flow_Name]],Tab_Def_Flows[Flow_Name],Tab_Def_Flows[Flow_E1_Fraction'[%']],"N.A.",0,1)</f>
        <v>0</v>
      </c>
      <c r="S305" s="9">
        <f t="shared" si="8"/>
        <v>0</v>
      </c>
      <c r="T305" s="3" t="str">
        <f>Tab_Data_Flows[[#This Row],[UoM_Source]]</f>
        <v>Mg</v>
      </c>
      <c r="U305" s="24">
        <f>_xlfn.XLOOKUP(Tab_Data_Flows[[#This Row],[Flow_Name]],Tab_Def_Flows[Flow_Name],Tab_Def_Flows[Flow_E2_Fraction'[%']],"N.A.",0,1)</f>
        <v>0</v>
      </c>
      <c r="V305" s="3">
        <f>IF(D305="Yes",S305*Tab_Data_Flows[[#This Row],[E2_Fraction'[%']]],"N.A.")</f>
        <v>0</v>
      </c>
      <c r="W305" s="3" t="str">
        <f>Tab_Data_Flows[[#This Row],[E1_UoM]]</f>
        <v>Mg</v>
      </c>
      <c r="X305" s="24">
        <f>_xlfn.XLOOKUP(Tab_Data_Flows[[#This Row],[Flow_Name]],Tab_Def_Flows[Flow_Name],Tab_Def_Flows[Flow_E3_Fraction'[%']],"N.A.",0,1)</f>
        <v>0</v>
      </c>
      <c r="Y305" s="3">
        <f>IF(E305="Yes",X305*Tab_Data_Flows[[#This Row],[E1_value]],"N.A.")</f>
        <v>0</v>
      </c>
      <c r="Z305" s="3" t="str">
        <f>Tab_Data_Flows[[#This Row],[E1_UoM]]</f>
        <v>Mg</v>
      </c>
      <c r="AA305" s="24">
        <f>_xlfn.XLOOKUP(Tab_Data_Flows[[#This Row],[Flow_Name]],Tab_Def_Flows[Flow_Name],Tab_Def_Flows[Flow_E4_Fraction'[%']],"N.A.",0,1)</f>
        <v>0</v>
      </c>
      <c r="AB305" s="3">
        <f>IF(H305="Yes",Tab_Data_Flows[[#This Row],[E4_Fraction'[%']]]*Tab_Data_Flows[[#This Row],[E1_value]],"N.A.")</f>
        <v>0</v>
      </c>
      <c r="AC305" s="3" t="str">
        <f>Tab_Data_Flows[[#This Row],[E1_UoM]]</f>
        <v>Mg</v>
      </c>
      <c r="AD305" s="24">
        <f>_xlfn.XLOOKUP(Tab_Data_Flows[[#This Row],[Flow_Name]],Tab_Def_Flows[Flow_Name],Tab_Def_Flows[Flow_E5_Fraction'[%']],"N.A.",0,1)</f>
        <v>0</v>
      </c>
      <c r="AE305" s="3">
        <f>IF(H305="Yes",Tab_Data_Flows[[#This Row],[E5_Fraction'[%']]]*Tab_Data_Flows[[#This Row],[E1_value]],"N.A.")</f>
        <v>0</v>
      </c>
      <c r="AF305" s="3" t="str">
        <f>Tab_Data_Flows[[#This Row],[E1_UoM]]</f>
        <v>Mg</v>
      </c>
      <c r="AG305" s="24">
        <f>_xlfn.XLOOKUP(Tab_Data_Flows[[#This Row],[Flow_Name]],Tab_Def_Flows[Flow_Name],Tab_Def_Flows[Flow_E6_Fraction'[%']],"N.A.",0,1)</f>
        <v>0</v>
      </c>
      <c r="AH305" s="3">
        <f>IF(Tab_Data_Flows[[#This Row],[Use_E6]]="Yes",Tab_Data_Flows[[#This Row],[E6_Fraction'[%']]]*Tab_Data_Flows[[#This Row],[E1_value]],"N.A.")</f>
        <v>0</v>
      </c>
      <c r="AI305" s="3" t="str">
        <f>Tab_Data_Flows[[#This Row],[E1_UoM]]</f>
        <v>Mg</v>
      </c>
    </row>
    <row r="306" spans="1:35" x14ac:dyDescent="0.25">
      <c r="A306" s="5">
        <f t="shared" si="9"/>
        <v>305</v>
      </c>
      <c r="B306" s="3" t="str">
        <f>_xlfn.XLOOKUP(C306,Tab_Def_Flows[Flow_Name],Tab_Def_Flows[Flow_ID],,0,)</f>
        <v>F__</v>
      </c>
      <c r="C306" s="23" t="s">
        <v>5</v>
      </c>
      <c r="D306" s="6" t="str">
        <f>_xlfn.XLOOKUP(C306,Tab_Def_Flows[Flow_Name],Tab_Def_Flows[Use_E1],,0,)</f>
        <v>Yes</v>
      </c>
      <c r="E306" s="6" t="str">
        <f>_xlfn.XLOOKUP(C306,Tab_Def_Flows[Flow_Name],Tab_Def_Flows[Use_E2],,0,)</f>
        <v>Yes</v>
      </c>
      <c r="F306" s="6" t="str">
        <f>_xlfn.XLOOKUP(C306,Tab_Def_Flows[Flow_Name],Tab_Def_Flows[Use_E3],,0,)</f>
        <v>Yes</v>
      </c>
      <c r="G306" s="6" t="str">
        <f>_xlfn.XLOOKUP(C306,Tab_Def_Flows[Flow_Name],Tab_Def_Flows[Use_E4],,0,)</f>
        <v>Yes</v>
      </c>
      <c r="H306" s="6" t="str">
        <f>_xlfn.XLOOKUP(C306,Tab_Def_Flows[Flow_Name],Tab_Def_Flows[Use_E5],,0,)</f>
        <v>Yes</v>
      </c>
      <c r="I306" s="6" t="str">
        <f>_xlfn.XLOOKUP(C306,Tab_Def_Flows[Flow_Name],Tab_Def_Flows[Use_E6],,0,)</f>
        <v>Yes</v>
      </c>
      <c r="J306" s="4"/>
      <c r="K306" s="18"/>
      <c r="L306" s="3" t="str">
        <f>'0_Configuration'!$C$41</f>
        <v>Mg</v>
      </c>
      <c r="M306" s="10"/>
      <c r="N306" s="23" t="s">
        <v>3</v>
      </c>
      <c r="O306" s="11"/>
      <c r="P306" s="4"/>
      <c r="Q306" s="10"/>
      <c r="R306" s="3">
        <f>_xlfn.XLOOKUP(Tab_Data_Flows[[#This Row],[Flow_Name]],Tab_Def_Flows[Flow_Name],Tab_Def_Flows[Flow_E1_Fraction'[%']],"N.A.",0,1)</f>
        <v>0</v>
      </c>
      <c r="S306" s="9">
        <f t="shared" si="8"/>
        <v>0</v>
      </c>
      <c r="T306" s="3" t="str">
        <f>Tab_Data_Flows[[#This Row],[UoM_Source]]</f>
        <v>Mg</v>
      </c>
      <c r="U306" s="24">
        <f>_xlfn.XLOOKUP(Tab_Data_Flows[[#This Row],[Flow_Name]],Tab_Def_Flows[Flow_Name],Tab_Def_Flows[Flow_E2_Fraction'[%']],"N.A.",0,1)</f>
        <v>0</v>
      </c>
      <c r="V306" s="3">
        <f>IF(D306="Yes",S306*Tab_Data_Flows[[#This Row],[E2_Fraction'[%']]],"N.A.")</f>
        <v>0</v>
      </c>
      <c r="W306" s="3" t="str">
        <f>Tab_Data_Flows[[#This Row],[E1_UoM]]</f>
        <v>Mg</v>
      </c>
      <c r="X306" s="24">
        <f>_xlfn.XLOOKUP(Tab_Data_Flows[[#This Row],[Flow_Name]],Tab_Def_Flows[Flow_Name],Tab_Def_Flows[Flow_E3_Fraction'[%']],"N.A.",0,1)</f>
        <v>0</v>
      </c>
      <c r="Y306" s="3">
        <f>IF(E306="Yes",X306*Tab_Data_Flows[[#This Row],[E1_value]],"N.A.")</f>
        <v>0</v>
      </c>
      <c r="Z306" s="3" t="str">
        <f>Tab_Data_Flows[[#This Row],[E1_UoM]]</f>
        <v>Mg</v>
      </c>
      <c r="AA306" s="24">
        <f>_xlfn.XLOOKUP(Tab_Data_Flows[[#This Row],[Flow_Name]],Tab_Def_Flows[Flow_Name],Tab_Def_Flows[Flow_E4_Fraction'[%']],"N.A.",0,1)</f>
        <v>0</v>
      </c>
      <c r="AB306" s="3">
        <f>IF(H306="Yes",Tab_Data_Flows[[#This Row],[E4_Fraction'[%']]]*Tab_Data_Flows[[#This Row],[E1_value]],"N.A.")</f>
        <v>0</v>
      </c>
      <c r="AC306" s="3" t="str">
        <f>Tab_Data_Flows[[#This Row],[E1_UoM]]</f>
        <v>Mg</v>
      </c>
      <c r="AD306" s="24">
        <f>_xlfn.XLOOKUP(Tab_Data_Flows[[#This Row],[Flow_Name]],Tab_Def_Flows[Flow_Name],Tab_Def_Flows[Flow_E5_Fraction'[%']],"N.A.",0,1)</f>
        <v>0</v>
      </c>
      <c r="AE306" s="3">
        <f>IF(H306="Yes",Tab_Data_Flows[[#This Row],[E5_Fraction'[%']]]*Tab_Data_Flows[[#This Row],[E1_value]],"N.A.")</f>
        <v>0</v>
      </c>
      <c r="AF306" s="3" t="str">
        <f>Tab_Data_Flows[[#This Row],[E1_UoM]]</f>
        <v>Mg</v>
      </c>
      <c r="AG306" s="24">
        <f>_xlfn.XLOOKUP(Tab_Data_Flows[[#This Row],[Flow_Name]],Tab_Def_Flows[Flow_Name],Tab_Def_Flows[Flow_E6_Fraction'[%']],"N.A.",0,1)</f>
        <v>0</v>
      </c>
      <c r="AH306" s="3">
        <f>IF(Tab_Data_Flows[[#This Row],[Use_E6]]="Yes",Tab_Data_Flows[[#This Row],[E6_Fraction'[%']]]*Tab_Data_Flows[[#This Row],[E1_value]],"N.A.")</f>
        <v>0</v>
      </c>
      <c r="AI306" s="3" t="str">
        <f>Tab_Data_Flows[[#This Row],[E1_UoM]]</f>
        <v>Mg</v>
      </c>
    </row>
    <row r="307" spans="1:35" x14ac:dyDescent="0.25">
      <c r="A307" s="5">
        <f t="shared" si="9"/>
        <v>306</v>
      </c>
      <c r="B307" s="3" t="str">
        <f>_xlfn.XLOOKUP(C307,Tab_Def_Flows[Flow_Name],Tab_Def_Flows[Flow_ID],,0,)</f>
        <v>F__</v>
      </c>
      <c r="C307" s="23" t="s">
        <v>5</v>
      </c>
      <c r="D307" s="6" t="str">
        <f>_xlfn.XLOOKUP(C307,Tab_Def_Flows[Flow_Name],Tab_Def_Flows[Use_E1],,0,)</f>
        <v>Yes</v>
      </c>
      <c r="E307" s="6" t="str">
        <f>_xlfn.XLOOKUP(C307,Tab_Def_Flows[Flow_Name],Tab_Def_Flows[Use_E2],,0,)</f>
        <v>Yes</v>
      </c>
      <c r="F307" s="6" t="str">
        <f>_xlfn.XLOOKUP(C307,Tab_Def_Flows[Flow_Name],Tab_Def_Flows[Use_E3],,0,)</f>
        <v>Yes</v>
      </c>
      <c r="G307" s="6" t="str">
        <f>_xlfn.XLOOKUP(C307,Tab_Def_Flows[Flow_Name],Tab_Def_Flows[Use_E4],,0,)</f>
        <v>Yes</v>
      </c>
      <c r="H307" s="6" t="str">
        <f>_xlfn.XLOOKUP(C307,Tab_Def_Flows[Flow_Name],Tab_Def_Flows[Use_E5],,0,)</f>
        <v>Yes</v>
      </c>
      <c r="I307" s="6" t="str">
        <f>_xlfn.XLOOKUP(C307,Tab_Def_Flows[Flow_Name],Tab_Def_Flows[Use_E6],,0,)</f>
        <v>Yes</v>
      </c>
      <c r="J307" s="4"/>
      <c r="K307" s="18"/>
      <c r="L307" s="3" t="str">
        <f>'0_Configuration'!$C$41</f>
        <v>Mg</v>
      </c>
      <c r="M307" s="10"/>
      <c r="N307" s="23" t="s">
        <v>3</v>
      </c>
      <c r="O307" s="11"/>
      <c r="P307" s="4"/>
      <c r="Q307" s="10"/>
      <c r="R307" s="3">
        <f>_xlfn.XLOOKUP(Tab_Data_Flows[[#This Row],[Flow_Name]],Tab_Def_Flows[Flow_Name],Tab_Def_Flows[Flow_E1_Fraction'[%']],"N.A.",0,1)</f>
        <v>0</v>
      </c>
      <c r="S307" s="9">
        <f t="shared" si="8"/>
        <v>0</v>
      </c>
      <c r="T307" s="3" t="str">
        <f>Tab_Data_Flows[[#This Row],[UoM_Source]]</f>
        <v>Mg</v>
      </c>
      <c r="U307" s="24">
        <f>_xlfn.XLOOKUP(Tab_Data_Flows[[#This Row],[Flow_Name]],Tab_Def_Flows[Flow_Name],Tab_Def_Flows[Flow_E2_Fraction'[%']],"N.A.",0,1)</f>
        <v>0</v>
      </c>
      <c r="V307" s="3">
        <f>IF(D307="Yes",S307*Tab_Data_Flows[[#This Row],[E2_Fraction'[%']]],"N.A.")</f>
        <v>0</v>
      </c>
      <c r="W307" s="3" t="str">
        <f>Tab_Data_Flows[[#This Row],[E1_UoM]]</f>
        <v>Mg</v>
      </c>
      <c r="X307" s="24">
        <f>_xlfn.XLOOKUP(Tab_Data_Flows[[#This Row],[Flow_Name]],Tab_Def_Flows[Flow_Name],Tab_Def_Flows[Flow_E3_Fraction'[%']],"N.A.",0,1)</f>
        <v>0</v>
      </c>
      <c r="Y307" s="3">
        <f>IF(E307="Yes",X307*Tab_Data_Flows[[#This Row],[E1_value]],"N.A.")</f>
        <v>0</v>
      </c>
      <c r="Z307" s="3" t="str">
        <f>Tab_Data_Flows[[#This Row],[E1_UoM]]</f>
        <v>Mg</v>
      </c>
      <c r="AA307" s="24">
        <f>_xlfn.XLOOKUP(Tab_Data_Flows[[#This Row],[Flow_Name]],Tab_Def_Flows[Flow_Name],Tab_Def_Flows[Flow_E4_Fraction'[%']],"N.A.",0,1)</f>
        <v>0</v>
      </c>
      <c r="AB307" s="3">
        <f>IF(H307="Yes",Tab_Data_Flows[[#This Row],[E4_Fraction'[%']]]*Tab_Data_Flows[[#This Row],[E1_value]],"N.A.")</f>
        <v>0</v>
      </c>
      <c r="AC307" s="3" t="str">
        <f>Tab_Data_Flows[[#This Row],[E1_UoM]]</f>
        <v>Mg</v>
      </c>
      <c r="AD307" s="24">
        <f>_xlfn.XLOOKUP(Tab_Data_Flows[[#This Row],[Flow_Name]],Tab_Def_Flows[Flow_Name],Tab_Def_Flows[Flow_E5_Fraction'[%']],"N.A.",0,1)</f>
        <v>0</v>
      </c>
      <c r="AE307" s="3">
        <f>IF(H307="Yes",Tab_Data_Flows[[#This Row],[E5_Fraction'[%']]]*Tab_Data_Flows[[#This Row],[E1_value]],"N.A.")</f>
        <v>0</v>
      </c>
      <c r="AF307" s="3" t="str">
        <f>Tab_Data_Flows[[#This Row],[E1_UoM]]</f>
        <v>Mg</v>
      </c>
      <c r="AG307" s="24">
        <f>_xlfn.XLOOKUP(Tab_Data_Flows[[#This Row],[Flow_Name]],Tab_Def_Flows[Flow_Name],Tab_Def_Flows[Flow_E6_Fraction'[%']],"N.A.",0,1)</f>
        <v>0</v>
      </c>
      <c r="AH307" s="3">
        <f>IF(Tab_Data_Flows[[#This Row],[Use_E6]]="Yes",Tab_Data_Flows[[#This Row],[E6_Fraction'[%']]]*Tab_Data_Flows[[#This Row],[E1_value]],"N.A.")</f>
        <v>0</v>
      </c>
      <c r="AI307" s="3" t="str">
        <f>Tab_Data_Flows[[#This Row],[E1_UoM]]</f>
        <v>Mg</v>
      </c>
    </row>
    <row r="308" spans="1:35" x14ac:dyDescent="0.25">
      <c r="A308" s="5">
        <f t="shared" si="9"/>
        <v>307</v>
      </c>
      <c r="B308" s="3" t="str">
        <f>_xlfn.XLOOKUP(C308,Tab_Def_Flows[Flow_Name],Tab_Def_Flows[Flow_ID],,0,)</f>
        <v>F__</v>
      </c>
      <c r="C308" s="23" t="s">
        <v>5</v>
      </c>
      <c r="D308" s="6" t="str">
        <f>_xlfn.XLOOKUP(C308,Tab_Def_Flows[Flow_Name],Tab_Def_Flows[Use_E1],,0,)</f>
        <v>Yes</v>
      </c>
      <c r="E308" s="6" t="str">
        <f>_xlfn.XLOOKUP(C308,Tab_Def_Flows[Flow_Name],Tab_Def_Flows[Use_E2],,0,)</f>
        <v>Yes</v>
      </c>
      <c r="F308" s="6" t="str">
        <f>_xlfn.XLOOKUP(C308,Tab_Def_Flows[Flow_Name],Tab_Def_Flows[Use_E3],,0,)</f>
        <v>Yes</v>
      </c>
      <c r="G308" s="6" t="str">
        <f>_xlfn.XLOOKUP(C308,Tab_Def_Flows[Flow_Name],Tab_Def_Flows[Use_E4],,0,)</f>
        <v>Yes</v>
      </c>
      <c r="H308" s="6" t="str">
        <f>_xlfn.XLOOKUP(C308,Tab_Def_Flows[Flow_Name],Tab_Def_Flows[Use_E5],,0,)</f>
        <v>Yes</v>
      </c>
      <c r="I308" s="6" t="str">
        <f>_xlfn.XLOOKUP(C308,Tab_Def_Flows[Flow_Name],Tab_Def_Flows[Use_E6],,0,)</f>
        <v>Yes</v>
      </c>
      <c r="J308" s="4"/>
      <c r="K308" s="18"/>
      <c r="L308" s="3" t="str">
        <f>'0_Configuration'!$C$41</f>
        <v>Mg</v>
      </c>
      <c r="M308" s="10"/>
      <c r="N308" s="23" t="s">
        <v>3</v>
      </c>
      <c r="O308" s="11"/>
      <c r="P308" s="4"/>
      <c r="Q308" s="10"/>
      <c r="R308" s="3">
        <f>_xlfn.XLOOKUP(Tab_Data_Flows[[#This Row],[Flow_Name]],Tab_Def_Flows[Flow_Name],Tab_Def_Flows[Flow_E1_Fraction'[%']],"N.A.",0,1)</f>
        <v>0</v>
      </c>
      <c r="S308" s="9">
        <f t="shared" si="8"/>
        <v>0</v>
      </c>
      <c r="T308" s="3" t="str">
        <f>Tab_Data_Flows[[#This Row],[UoM_Source]]</f>
        <v>Mg</v>
      </c>
      <c r="U308" s="24">
        <f>_xlfn.XLOOKUP(Tab_Data_Flows[[#This Row],[Flow_Name]],Tab_Def_Flows[Flow_Name],Tab_Def_Flows[Flow_E2_Fraction'[%']],"N.A.",0,1)</f>
        <v>0</v>
      </c>
      <c r="V308" s="3">
        <f>IF(D308="Yes",S308*Tab_Data_Flows[[#This Row],[E2_Fraction'[%']]],"N.A.")</f>
        <v>0</v>
      </c>
      <c r="W308" s="3" t="str">
        <f>Tab_Data_Flows[[#This Row],[E1_UoM]]</f>
        <v>Mg</v>
      </c>
      <c r="X308" s="24">
        <f>_xlfn.XLOOKUP(Tab_Data_Flows[[#This Row],[Flow_Name]],Tab_Def_Flows[Flow_Name],Tab_Def_Flows[Flow_E3_Fraction'[%']],"N.A.",0,1)</f>
        <v>0</v>
      </c>
      <c r="Y308" s="3">
        <f>IF(E308="Yes",X308*Tab_Data_Flows[[#This Row],[E1_value]],"N.A.")</f>
        <v>0</v>
      </c>
      <c r="Z308" s="3" t="str">
        <f>Tab_Data_Flows[[#This Row],[E1_UoM]]</f>
        <v>Mg</v>
      </c>
      <c r="AA308" s="24">
        <f>_xlfn.XLOOKUP(Tab_Data_Flows[[#This Row],[Flow_Name]],Tab_Def_Flows[Flow_Name],Tab_Def_Flows[Flow_E4_Fraction'[%']],"N.A.",0,1)</f>
        <v>0</v>
      </c>
      <c r="AB308" s="3">
        <f>IF(H308="Yes",Tab_Data_Flows[[#This Row],[E4_Fraction'[%']]]*Tab_Data_Flows[[#This Row],[E1_value]],"N.A.")</f>
        <v>0</v>
      </c>
      <c r="AC308" s="3" t="str">
        <f>Tab_Data_Flows[[#This Row],[E1_UoM]]</f>
        <v>Mg</v>
      </c>
      <c r="AD308" s="24">
        <f>_xlfn.XLOOKUP(Tab_Data_Flows[[#This Row],[Flow_Name]],Tab_Def_Flows[Flow_Name],Tab_Def_Flows[Flow_E5_Fraction'[%']],"N.A.",0,1)</f>
        <v>0</v>
      </c>
      <c r="AE308" s="3">
        <f>IF(H308="Yes",Tab_Data_Flows[[#This Row],[E5_Fraction'[%']]]*Tab_Data_Flows[[#This Row],[E1_value]],"N.A.")</f>
        <v>0</v>
      </c>
      <c r="AF308" s="3" t="str">
        <f>Tab_Data_Flows[[#This Row],[E1_UoM]]</f>
        <v>Mg</v>
      </c>
      <c r="AG308" s="24">
        <f>_xlfn.XLOOKUP(Tab_Data_Flows[[#This Row],[Flow_Name]],Tab_Def_Flows[Flow_Name],Tab_Def_Flows[Flow_E6_Fraction'[%']],"N.A.",0,1)</f>
        <v>0</v>
      </c>
      <c r="AH308" s="3">
        <f>IF(Tab_Data_Flows[[#This Row],[Use_E6]]="Yes",Tab_Data_Flows[[#This Row],[E6_Fraction'[%']]]*Tab_Data_Flows[[#This Row],[E1_value]],"N.A.")</f>
        <v>0</v>
      </c>
      <c r="AI308" s="3" t="str">
        <f>Tab_Data_Flows[[#This Row],[E1_UoM]]</f>
        <v>Mg</v>
      </c>
    </row>
    <row r="309" spans="1:35" x14ac:dyDescent="0.25">
      <c r="A309" s="5">
        <f t="shared" si="9"/>
        <v>308</v>
      </c>
      <c r="B309" s="3" t="str">
        <f>_xlfn.XLOOKUP(C309,Tab_Def_Flows[Flow_Name],Tab_Def_Flows[Flow_ID],,0,)</f>
        <v>F__</v>
      </c>
      <c r="C309" s="23" t="s">
        <v>5</v>
      </c>
      <c r="D309" s="6" t="str">
        <f>_xlfn.XLOOKUP(C309,Tab_Def_Flows[Flow_Name],Tab_Def_Flows[Use_E1],,0,)</f>
        <v>Yes</v>
      </c>
      <c r="E309" s="6" t="str">
        <f>_xlfn.XLOOKUP(C309,Tab_Def_Flows[Flow_Name],Tab_Def_Flows[Use_E2],,0,)</f>
        <v>Yes</v>
      </c>
      <c r="F309" s="6" t="str">
        <f>_xlfn.XLOOKUP(C309,Tab_Def_Flows[Flow_Name],Tab_Def_Flows[Use_E3],,0,)</f>
        <v>Yes</v>
      </c>
      <c r="G309" s="6" t="str">
        <f>_xlfn.XLOOKUP(C309,Tab_Def_Flows[Flow_Name],Tab_Def_Flows[Use_E4],,0,)</f>
        <v>Yes</v>
      </c>
      <c r="H309" s="6" t="str">
        <f>_xlfn.XLOOKUP(C309,Tab_Def_Flows[Flow_Name],Tab_Def_Flows[Use_E5],,0,)</f>
        <v>Yes</v>
      </c>
      <c r="I309" s="6" t="str">
        <f>_xlfn.XLOOKUP(C309,Tab_Def_Flows[Flow_Name],Tab_Def_Flows[Use_E6],,0,)</f>
        <v>Yes</v>
      </c>
      <c r="J309" s="4"/>
      <c r="K309" s="18"/>
      <c r="L309" s="3" t="str">
        <f>'0_Configuration'!$C$41</f>
        <v>Mg</v>
      </c>
      <c r="M309" s="10"/>
      <c r="N309" s="23" t="s">
        <v>3</v>
      </c>
      <c r="O309" s="11"/>
      <c r="P309" s="4"/>
      <c r="Q309" s="10"/>
      <c r="R309" s="3">
        <f>_xlfn.XLOOKUP(Tab_Data_Flows[[#This Row],[Flow_Name]],Tab_Def_Flows[Flow_Name],Tab_Def_Flows[Flow_E1_Fraction'[%']],"N.A.",0,1)</f>
        <v>0</v>
      </c>
      <c r="S309" s="9">
        <f t="shared" si="8"/>
        <v>0</v>
      </c>
      <c r="T309" s="3" t="str">
        <f>Tab_Data_Flows[[#This Row],[UoM_Source]]</f>
        <v>Mg</v>
      </c>
      <c r="U309" s="24">
        <f>_xlfn.XLOOKUP(Tab_Data_Flows[[#This Row],[Flow_Name]],Tab_Def_Flows[Flow_Name],Tab_Def_Flows[Flow_E2_Fraction'[%']],"N.A.",0,1)</f>
        <v>0</v>
      </c>
      <c r="V309" s="3">
        <f>IF(D309="Yes",S309*Tab_Data_Flows[[#This Row],[E2_Fraction'[%']]],"N.A.")</f>
        <v>0</v>
      </c>
      <c r="W309" s="3" t="str">
        <f>Tab_Data_Flows[[#This Row],[E1_UoM]]</f>
        <v>Mg</v>
      </c>
      <c r="X309" s="24">
        <f>_xlfn.XLOOKUP(Tab_Data_Flows[[#This Row],[Flow_Name]],Tab_Def_Flows[Flow_Name],Tab_Def_Flows[Flow_E3_Fraction'[%']],"N.A.",0,1)</f>
        <v>0</v>
      </c>
      <c r="Y309" s="3">
        <f>IF(E309="Yes",X309*Tab_Data_Flows[[#This Row],[E1_value]],"N.A.")</f>
        <v>0</v>
      </c>
      <c r="Z309" s="3" t="str">
        <f>Tab_Data_Flows[[#This Row],[E1_UoM]]</f>
        <v>Mg</v>
      </c>
      <c r="AA309" s="24">
        <f>_xlfn.XLOOKUP(Tab_Data_Flows[[#This Row],[Flow_Name]],Tab_Def_Flows[Flow_Name],Tab_Def_Flows[Flow_E4_Fraction'[%']],"N.A.",0,1)</f>
        <v>0</v>
      </c>
      <c r="AB309" s="3">
        <f>IF(H309="Yes",Tab_Data_Flows[[#This Row],[E4_Fraction'[%']]]*Tab_Data_Flows[[#This Row],[E1_value]],"N.A.")</f>
        <v>0</v>
      </c>
      <c r="AC309" s="3" t="str">
        <f>Tab_Data_Flows[[#This Row],[E1_UoM]]</f>
        <v>Mg</v>
      </c>
      <c r="AD309" s="24">
        <f>_xlfn.XLOOKUP(Tab_Data_Flows[[#This Row],[Flow_Name]],Tab_Def_Flows[Flow_Name],Tab_Def_Flows[Flow_E5_Fraction'[%']],"N.A.",0,1)</f>
        <v>0</v>
      </c>
      <c r="AE309" s="3">
        <f>IF(H309="Yes",Tab_Data_Flows[[#This Row],[E5_Fraction'[%']]]*Tab_Data_Flows[[#This Row],[E1_value]],"N.A.")</f>
        <v>0</v>
      </c>
      <c r="AF309" s="3" t="str">
        <f>Tab_Data_Flows[[#This Row],[E1_UoM]]</f>
        <v>Mg</v>
      </c>
      <c r="AG309" s="24">
        <f>_xlfn.XLOOKUP(Tab_Data_Flows[[#This Row],[Flow_Name]],Tab_Def_Flows[Flow_Name],Tab_Def_Flows[Flow_E6_Fraction'[%']],"N.A.",0,1)</f>
        <v>0</v>
      </c>
      <c r="AH309" s="3">
        <f>IF(Tab_Data_Flows[[#This Row],[Use_E6]]="Yes",Tab_Data_Flows[[#This Row],[E6_Fraction'[%']]]*Tab_Data_Flows[[#This Row],[E1_value]],"N.A.")</f>
        <v>0</v>
      </c>
      <c r="AI309" s="3" t="str">
        <f>Tab_Data_Flows[[#This Row],[E1_UoM]]</f>
        <v>Mg</v>
      </c>
    </row>
    <row r="310" spans="1:35" x14ac:dyDescent="0.25">
      <c r="A310" s="5">
        <f t="shared" si="9"/>
        <v>309</v>
      </c>
      <c r="B310" s="3" t="str">
        <f>_xlfn.XLOOKUP(C310,Tab_Def_Flows[Flow_Name],Tab_Def_Flows[Flow_ID],,0,)</f>
        <v>F__</v>
      </c>
      <c r="C310" s="23" t="s">
        <v>5</v>
      </c>
      <c r="D310" s="6" t="str">
        <f>_xlfn.XLOOKUP(C310,Tab_Def_Flows[Flow_Name],Tab_Def_Flows[Use_E1],,0,)</f>
        <v>Yes</v>
      </c>
      <c r="E310" s="6" t="str">
        <f>_xlfn.XLOOKUP(C310,Tab_Def_Flows[Flow_Name],Tab_Def_Flows[Use_E2],,0,)</f>
        <v>Yes</v>
      </c>
      <c r="F310" s="6" t="str">
        <f>_xlfn.XLOOKUP(C310,Tab_Def_Flows[Flow_Name],Tab_Def_Flows[Use_E3],,0,)</f>
        <v>Yes</v>
      </c>
      <c r="G310" s="6" t="str">
        <f>_xlfn.XLOOKUP(C310,Tab_Def_Flows[Flow_Name],Tab_Def_Flows[Use_E4],,0,)</f>
        <v>Yes</v>
      </c>
      <c r="H310" s="6" t="str">
        <f>_xlfn.XLOOKUP(C310,Tab_Def_Flows[Flow_Name],Tab_Def_Flows[Use_E5],,0,)</f>
        <v>Yes</v>
      </c>
      <c r="I310" s="6" t="str">
        <f>_xlfn.XLOOKUP(C310,Tab_Def_Flows[Flow_Name],Tab_Def_Flows[Use_E6],,0,)</f>
        <v>Yes</v>
      </c>
      <c r="J310" s="4"/>
      <c r="K310" s="18"/>
      <c r="L310" s="3" t="str">
        <f>'0_Configuration'!$C$41</f>
        <v>Mg</v>
      </c>
      <c r="M310" s="10"/>
      <c r="N310" s="23" t="s">
        <v>3</v>
      </c>
      <c r="O310" s="11"/>
      <c r="P310" s="4"/>
      <c r="Q310" s="10"/>
      <c r="R310" s="3">
        <f>_xlfn.XLOOKUP(Tab_Data_Flows[[#This Row],[Flow_Name]],Tab_Def_Flows[Flow_Name],Tab_Def_Flows[Flow_E1_Fraction'[%']],"N.A.",0,1)</f>
        <v>0</v>
      </c>
      <c r="S310" s="9">
        <f t="shared" si="8"/>
        <v>0</v>
      </c>
      <c r="T310" s="3" t="str">
        <f>Tab_Data_Flows[[#This Row],[UoM_Source]]</f>
        <v>Mg</v>
      </c>
      <c r="U310" s="24">
        <f>_xlfn.XLOOKUP(Tab_Data_Flows[[#This Row],[Flow_Name]],Tab_Def_Flows[Flow_Name],Tab_Def_Flows[Flow_E2_Fraction'[%']],"N.A.",0,1)</f>
        <v>0</v>
      </c>
      <c r="V310" s="3">
        <f>IF(D310="Yes",S310*Tab_Data_Flows[[#This Row],[E2_Fraction'[%']]],"N.A.")</f>
        <v>0</v>
      </c>
      <c r="W310" s="3" t="str">
        <f>Tab_Data_Flows[[#This Row],[E1_UoM]]</f>
        <v>Mg</v>
      </c>
      <c r="X310" s="24">
        <f>_xlfn.XLOOKUP(Tab_Data_Flows[[#This Row],[Flow_Name]],Tab_Def_Flows[Flow_Name],Tab_Def_Flows[Flow_E3_Fraction'[%']],"N.A.",0,1)</f>
        <v>0</v>
      </c>
      <c r="Y310" s="3">
        <f>IF(E310="Yes",X310*Tab_Data_Flows[[#This Row],[E1_value]],"N.A.")</f>
        <v>0</v>
      </c>
      <c r="Z310" s="3" t="str">
        <f>Tab_Data_Flows[[#This Row],[E1_UoM]]</f>
        <v>Mg</v>
      </c>
      <c r="AA310" s="24">
        <f>_xlfn.XLOOKUP(Tab_Data_Flows[[#This Row],[Flow_Name]],Tab_Def_Flows[Flow_Name],Tab_Def_Flows[Flow_E4_Fraction'[%']],"N.A.",0,1)</f>
        <v>0</v>
      </c>
      <c r="AB310" s="3">
        <f>IF(H310="Yes",Tab_Data_Flows[[#This Row],[E4_Fraction'[%']]]*Tab_Data_Flows[[#This Row],[E1_value]],"N.A.")</f>
        <v>0</v>
      </c>
      <c r="AC310" s="3" t="str">
        <f>Tab_Data_Flows[[#This Row],[E1_UoM]]</f>
        <v>Mg</v>
      </c>
      <c r="AD310" s="24">
        <f>_xlfn.XLOOKUP(Tab_Data_Flows[[#This Row],[Flow_Name]],Tab_Def_Flows[Flow_Name],Tab_Def_Flows[Flow_E5_Fraction'[%']],"N.A.",0,1)</f>
        <v>0</v>
      </c>
      <c r="AE310" s="3">
        <f>IF(H310="Yes",Tab_Data_Flows[[#This Row],[E5_Fraction'[%']]]*Tab_Data_Flows[[#This Row],[E1_value]],"N.A.")</f>
        <v>0</v>
      </c>
      <c r="AF310" s="3" t="str">
        <f>Tab_Data_Flows[[#This Row],[E1_UoM]]</f>
        <v>Mg</v>
      </c>
      <c r="AG310" s="24">
        <f>_xlfn.XLOOKUP(Tab_Data_Flows[[#This Row],[Flow_Name]],Tab_Def_Flows[Flow_Name],Tab_Def_Flows[Flow_E6_Fraction'[%']],"N.A.",0,1)</f>
        <v>0</v>
      </c>
      <c r="AH310" s="3">
        <f>IF(Tab_Data_Flows[[#This Row],[Use_E6]]="Yes",Tab_Data_Flows[[#This Row],[E6_Fraction'[%']]]*Tab_Data_Flows[[#This Row],[E1_value]],"N.A.")</f>
        <v>0</v>
      </c>
      <c r="AI310" s="3" t="str">
        <f>Tab_Data_Flows[[#This Row],[E1_UoM]]</f>
        <v>Mg</v>
      </c>
    </row>
    <row r="311" spans="1:35" x14ac:dyDescent="0.25">
      <c r="A311" s="5">
        <f t="shared" si="9"/>
        <v>310</v>
      </c>
      <c r="B311" s="3" t="str">
        <f>_xlfn.XLOOKUP(C311,Tab_Def_Flows[Flow_Name],Tab_Def_Flows[Flow_ID],,0,)</f>
        <v>F__</v>
      </c>
      <c r="C311" s="23" t="s">
        <v>5</v>
      </c>
      <c r="D311" s="6" t="str">
        <f>_xlfn.XLOOKUP(C311,Tab_Def_Flows[Flow_Name],Tab_Def_Flows[Use_E1],,0,)</f>
        <v>Yes</v>
      </c>
      <c r="E311" s="6" t="str">
        <f>_xlfn.XLOOKUP(C311,Tab_Def_Flows[Flow_Name],Tab_Def_Flows[Use_E2],,0,)</f>
        <v>Yes</v>
      </c>
      <c r="F311" s="6" t="str">
        <f>_xlfn.XLOOKUP(C311,Tab_Def_Flows[Flow_Name],Tab_Def_Flows[Use_E3],,0,)</f>
        <v>Yes</v>
      </c>
      <c r="G311" s="6" t="str">
        <f>_xlfn.XLOOKUP(C311,Tab_Def_Flows[Flow_Name],Tab_Def_Flows[Use_E4],,0,)</f>
        <v>Yes</v>
      </c>
      <c r="H311" s="6" t="str">
        <f>_xlfn.XLOOKUP(C311,Tab_Def_Flows[Flow_Name],Tab_Def_Flows[Use_E5],,0,)</f>
        <v>Yes</v>
      </c>
      <c r="I311" s="6" t="str">
        <f>_xlfn.XLOOKUP(C311,Tab_Def_Flows[Flow_Name],Tab_Def_Flows[Use_E6],,0,)</f>
        <v>Yes</v>
      </c>
      <c r="J311" s="4"/>
      <c r="K311" s="18"/>
      <c r="L311" s="3" t="str">
        <f>'0_Configuration'!$C$41</f>
        <v>Mg</v>
      </c>
      <c r="M311" s="10"/>
      <c r="N311" s="23" t="s">
        <v>3</v>
      </c>
      <c r="O311" s="11"/>
      <c r="P311" s="4"/>
      <c r="Q311" s="10"/>
      <c r="R311" s="3">
        <f>_xlfn.XLOOKUP(Tab_Data_Flows[[#This Row],[Flow_Name]],Tab_Def_Flows[Flow_Name],Tab_Def_Flows[Flow_E1_Fraction'[%']],"N.A.",0,1)</f>
        <v>0</v>
      </c>
      <c r="S311" s="9">
        <f t="shared" si="8"/>
        <v>0</v>
      </c>
      <c r="T311" s="3" t="str">
        <f>Tab_Data_Flows[[#This Row],[UoM_Source]]</f>
        <v>Mg</v>
      </c>
      <c r="U311" s="24">
        <f>_xlfn.XLOOKUP(Tab_Data_Flows[[#This Row],[Flow_Name]],Tab_Def_Flows[Flow_Name],Tab_Def_Flows[Flow_E2_Fraction'[%']],"N.A.",0,1)</f>
        <v>0</v>
      </c>
      <c r="V311" s="3">
        <f>IF(D311="Yes",S311*Tab_Data_Flows[[#This Row],[E2_Fraction'[%']]],"N.A.")</f>
        <v>0</v>
      </c>
      <c r="W311" s="3" t="str">
        <f>Tab_Data_Flows[[#This Row],[E1_UoM]]</f>
        <v>Mg</v>
      </c>
      <c r="X311" s="24">
        <f>_xlfn.XLOOKUP(Tab_Data_Flows[[#This Row],[Flow_Name]],Tab_Def_Flows[Flow_Name],Tab_Def_Flows[Flow_E3_Fraction'[%']],"N.A.",0,1)</f>
        <v>0</v>
      </c>
      <c r="Y311" s="3">
        <f>IF(E311="Yes",X311*Tab_Data_Flows[[#This Row],[E1_value]],"N.A.")</f>
        <v>0</v>
      </c>
      <c r="Z311" s="3" t="str">
        <f>Tab_Data_Flows[[#This Row],[E1_UoM]]</f>
        <v>Mg</v>
      </c>
      <c r="AA311" s="24">
        <f>_xlfn.XLOOKUP(Tab_Data_Flows[[#This Row],[Flow_Name]],Tab_Def_Flows[Flow_Name],Tab_Def_Flows[Flow_E4_Fraction'[%']],"N.A.",0,1)</f>
        <v>0</v>
      </c>
      <c r="AB311" s="3">
        <f>IF(H311="Yes",Tab_Data_Flows[[#This Row],[E4_Fraction'[%']]]*Tab_Data_Flows[[#This Row],[E1_value]],"N.A.")</f>
        <v>0</v>
      </c>
      <c r="AC311" s="3" t="str">
        <f>Tab_Data_Flows[[#This Row],[E1_UoM]]</f>
        <v>Mg</v>
      </c>
      <c r="AD311" s="24">
        <f>_xlfn.XLOOKUP(Tab_Data_Flows[[#This Row],[Flow_Name]],Tab_Def_Flows[Flow_Name],Tab_Def_Flows[Flow_E5_Fraction'[%']],"N.A.",0,1)</f>
        <v>0</v>
      </c>
      <c r="AE311" s="3">
        <f>IF(H311="Yes",Tab_Data_Flows[[#This Row],[E5_Fraction'[%']]]*Tab_Data_Flows[[#This Row],[E1_value]],"N.A.")</f>
        <v>0</v>
      </c>
      <c r="AF311" s="3" t="str">
        <f>Tab_Data_Flows[[#This Row],[E1_UoM]]</f>
        <v>Mg</v>
      </c>
      <c r="AG311" s="24">
        <f>_xlfn.XLOOKUP(Tab_Data_Flows[[#This Row],[Flow_Name]],Tab_Def_Flows[Flow_Name],Tab_Def_Flows[Flow_E6_Fraction'[%']],"N.A.",0,1)</f>
        <v>0</v>
      </c>
      <c r="AH311" s="3">
        <f>IF(Tab_Data_Flows[[#This Row],[Use_E6]]="Yes",Tab_Data_Flows[[#This Row],[E6_Fraction'[%']]]*Tab_Data_Flows[[#This Row],[E1_value]],"N.A.")</f>
        <v>0</v>
      </c>
      <c r="AI311" s="3" t="str">
        <f>Tab_Data_Flows[[#This Row],[E1_UoM]]</f>
        <v>Mg</v>
      </c>
    </row>
    <row r="312" spans="1:35" x14ac:dyDescent="0.25">
      <c r="A312" s="5">
        <f t="shared" si="9"/>
        <v>311</v>
      </c>
      <c r="B312" s="3" t="str">
        <f>_xlfn.XLOOKUP(C312,Tab_Def_Flows[Flow_Name],Tab_Def_Flows[Flow_ID],,0,)</f>
        <v>F__</v>
      </c>
      <c r="C312" s="23" t="s">
        <v>5</v>
      </c>
      <c r="D312" s="6" t="str">
        <f>_xlfn.XLOOKUP(C312,Tab_Def_Flows[Flow_Name],Tab_Def_Flows[Use_E1],,0,)</f>
        <v>Yes</v>
      </c>
      <c r="E312" s="6" t="str">
        <f>_xlfn.XLOOKUP(C312,Tab_Def_Flows[Flow_Name],Tab_Def_Flows[Use_E2],,0,)</f>
        <v>Yes</v>
      </c>
      <c r="F312" s="6" t="str">
        <f>_xlfn.XLOOKUP(C312,Tab_Def_Flows[Flow_Name],Tab_Def_Flows[Use_E3],,0,)</f>
        <v>Yes</v>
      </c>
      <c r="G312" s="6" t="str">
        <f>_xlfn.XLOOKUP(C312,Tab_Def_Flows[Flow_Name],Tab_Def_Flows[Use_E4],,0,)</f>
        <v>Yes</v>
      </c>
      <c r="H312" s="6" t="str">
        <f>_xlfn.XLOOKUP(C312,Tab_Def_Flows[Flow_Name],Tab_Def_Flows[Use_E5],,0,)</f>
        <v>Yes</v>
      </c>
      <c r="I312" s="6" t="str">
        <f>_xlfn.XLOOKUP(C312,Tab_Def_Flows[Flow_Name],Tab_Def_Flows[Use_E6],,0,)</f>
        <v>Yes</v>
      </c>
      <c r="J312" s="4"/>
      <c r="K312" s="18"/>
      <c r="L312" s="3" t="str">
        <f>'0_Configuration'!$C$41</f>
        <v>Mg</v>
      </c>
      <c r="M312" s="10"/>
      <c r="N312" s="23" t="s">
        <v>3</v>
      </c>
      <c r="O312" s="11"/>
      <c r="P312" s="4"/>
      <c r="Q312" s="10"/>
      <c r="R312" s="3">
        <f>_xlfn.XLOOKUP(Tab_Data_Flows[[#This Row],[Flow_Name]],Tab_Def_Flows[Flow_Name],Tab_Def_Flows[Flow_E1_Fraction'[%']],"N.A.",0,1)</f>
        <v>0</v>
      </c>
      <c r="S312" s="9">
        <f t="shared" si="8"/>
        <v>0</v>
      </c>
      <c r="T312" s="3" t="str">
        <f>Tab_Data_Flows[[#This Row],[UoM_Source]]</f>
        <v>Mg</v>
      </c>
      <c r="U312" s="24">
        <f>_xlfn.XLOOKUP(Tab_Data_Flows[[#This Row],[Flow_Name]],Tab_Def_Flows[Flow_Name],Tab_Def_Flows[Flow_E2_Fraction'[%']],"N.A.",0,1)</f>
        <v>0</v>
      </c>
      <c r="V312" s="3">
        <f>IF(D312="Yes",S312*Tab_Data_Flows[[#This Row],[E2_Fraction'[%']]],"N.A.")</f>
        <v>0</v>
      </c>
      <c r="W312" s="3" t="str">
        <f>Tab_Data_Flows[[#This Row],[E1_UoM]]</f>
        <v>Mg</v>
      </c>
      <c r="X312" s="24">
        <f>_xlfn.XLOOKUP(Tab_Data_Flows[[#This Row],[Flow_Name]],Tab_Def_Flows[Flow_Name],Tab_Def_Flows[Flow_E3_Fraction'[%']],"N.A.",0,1)</f>
        <v>0</v>
      </c>
      <c r="Y312" s="3">
        <f>IF(E312="Yes",X312*Tab_Data_Flows[[#This Row],[E1_value]],"N.A.")</f>
        <v>0</v>
      </c>
      <c r="Z312" s="3" t="str">
        <f>Tab_Data_Flows[[#This Row],[E1_UoM]]</f>
        <v>Mg</v>
      </c>
      <c r="AA312" s="24">
        <f>_xlfn.XLOOKUP(Tab_Data_Flows[[#This Row],[Flow_Name]],Tab_Def_Flows[Flow_Name],Tab_Def_Flows[Flow_E4_Fraction'[%']],"N.A.",0,1)</f>
        <v>0</v>
      </c>
      <c r="AB312" s="3">
        <f>IF(H312="Yes",Tab_Data_Flows[[#This Row],[E4_Fraction'[%']]]*Tab_Data_Flows[[#This Row],[E1_value]],"N.A.")</f>
        <v>0</v>
      </c>
      <c r="AC312" s="3" t="str">
        <f>Tab_Data_Flows[[#This Row],[E1_UoM]]</f>
        <v>Mg</v>
      </c>
      <c r="AD312" s="24">
        <f>_xlfn.XLOOKUP(Tab_Data_Flows[[#This Row],[Flow_Name]],Tab_Def_Flows[Flow_Name],Tab_Def_Flows[Flow_E5_Fraction'[%']],"N.A.",0,1)</f>
        <v>0</v>
      </c>
      <c r="AE312" s="3">
        <f>IF(H312="Yes",Tab_Data_Flows[[#This Row],[E5_Fraction'[%']]]*Tab_Data_Flows[[#This Row],[E1_value]],"N.A.")</f>
        <v>0</v>
      </c>
      <c r="AF312" s="3" t="str">
        <f>Tab_Data_Flows[[#This Row],[E1_UoM]]</f>
        <v>Mg</v>
      </c>
      <c r="AG312" s="24">
        <f>_xlfn.XLOOKUP(Tab_Data_Flows[[#This Row],[Flow_Name]],Tab_Def_Flows[Flow_Name],Tab_Def_Flows[Flow_E6_Fraction'[%']],"N.A.",0,1)</f>
        <v>0</v>
      </c>
      <c r="AH312" s="3">
        <f>IF(Tab_Data_Flows[[#This Row],[Use_E6]]="Yes",Tab_Data_Flows[[#This Row],[E6_Fraction'[%']]]*Tab_Data_Flows[[#This Row],[E1_value]],"N.A.")</f>
        <v>0</v>
      </c>
      <c r="AI312" s="3" t="str">
        <f>Tab_Data_Flows[[#This Row],[E1_UoM]]</f>
        <v>Mg</v>
      </c>
    </row>
    <row r="313" spans="1:35" x14ac:dyDescent="0.25">
      <c r="A313" s="5">
        <f t="shared" si="9"/>
        <v>312</v>
      </c>
      <c r="B313" s="3" t="str">
        <f>_xlfn.XLOOKUP(C313,Tab_Def_Flows[Flow_Name],Tab_Def_Flows[Flow_ID],,0,)</f>
        <v>F__</v>
      </c>
      <c r="C313" s="23" t="s">
        <v>5</v>
      </c>
      <c r="D313" s="6" t="str">
        <f>_xlfn.XLOOKUP(C313,Tab_Def_Flows[Flow_Name],Tab_Def_Flows[Use_E1],,0,)</f>
        <v>Yes</v>
      </c>
      <c r="E313" s="6" t="str">
        <f>_xlfn.XLOOKUP(C313,Tab_Def_Flows[Flow_Name],Tab_Def_Flows[Use_E2],,0,)</f>
        <v>Yes</v>
      </c>
      <c r="F313" s="6" t="str">
        <f>_xlfn.XLOOKUP(C313,Tab_Def_Flows[Flow_Name],Tab_Def_Flows[Use_E3],,0,)</f>
        <v>Yes</v>
      </c>
      <c r="G313" s="6" t="str">
        <f>_xlfn.XLOOKUP(C313,Tab_Def_Flows[Flow_Name],Tab_Def_Flows[Use_E4],,0,)</f>
        <v>Yes</v>
      </c>
      <c r="H313" s="6" t="str">
        <f>_xlfn.XLOOKUP(C313,Tab_Def_Flows[Flow_Name],Tab_Def_Flows[Use_E5],,0,)</f>
        <v>Yes</v>
      </c>
      <c r="I313" s="6" t="str">
        <f>_xlfn.XLOOKUP(C313,Tab_Def_Flows[Flow_Name],Tab_Def_Flows[Use_E6],,0,)</f>
        <v>Yes</v>
      </c>
      <c r="J313" s="4"/>
      <c r="K313" s="18"/>
      <c r="L313" s="3" t="str">
        <f>'0_Configuration'!$C$41</f>
        <v>Mg</v>
      </c>
      <c r="M313" s="10"/>
      <c r="N313" s="23" t="s">
        <v>3</v>
      </c>
      <c r="O313" s="11"/>
      <c r="P313" s="4"/>
      <c r="Q313" s="10"/>
      <c r="R313" s="3">
        <f>_xlfn.XLOOKUP(Tab_Data_Flows[[#This Row],[Flow_Name]],Tab_Def_Flows[Flow_Name],Tab_Def_Flows[Flow_E1_Fraction'[%']],"N.A.",0,1)</f>
        <v>0</v>
      </c>
      <c r="S313" s="9">
        <f t="shared" si="8"/>
        <v>0</v>
      </c>
      <c r="T313" s="3" t="str">
        <f>Tab_Data_Flows[[#This Row],[UoM_Source]]</f>
        <v>Mg</v>
      </c>
      <c r="U313" s="24">
        <f>_xlfn.XLOOKUP(Tab_Data_Flows[[#This Row],[Flow_Name]],Tab_Def_Flows[Flow_Name],Tab_Def_Flows[Flow_E2_Fraction'[%']],"N.A.",0,1)</f>
        <v>0</v>
      </c>
      <c r="V313" s="3">
        <f>IF(D313="Yes",S313*Tab_Data_Flows[[#This Row],[E2_Fraction'[%']]],"N.A.")</f>
        <v>0</v>
      </c>
      <c r="W313" s="3" t="str">
        <f>Tab_Data_Flows[[#This Row],[E1_UoM]]</f>
        <v>Mg</v>
      </c>
      <c r="X313" s="24">
        <f>_xlfn.XLOOKUP(Tab_Data_Flows[[#This Row],[Flow_Name]],Tab_Def_Flows[Flow_Name],Tab_Def_Flows[Flow_E3_Fraction'[%']],"N.A.",0,1)</f>
        <v>0</v>
      </c>
      <c r="Y313" s="3">
        <f>IF(E313="Yes",X313*Tab_Data_Flows[[#This Row],[E1_value]],"N.A.")</f>
        <v>0</v>
      </c>
      <c r="Z313" s="3" t="str">
        <f>Tab_Data_Flows[[#This Row],[E1_UoM]]</f>
        <v>Mg</v>
      </c>
      <c r="AA313" s="24">
        <f>_xlfn.XLOOKUP(Tab_Data_Flows[[#This Row],[Flow_Name]],Tab_Def_Flows[Flow_Name],Tab_Def_Flows[Flow_E4_Fraction'[%']],"N.A.",0,1)</f>
        <v>0</v>
      </c>
      <c r="AB313" s="3">
        <f>IF(H313="Yes",Tab_Data_Flows[[#This Row],[E4_Fraction'[%']]]*Tab_Data_Flows[[#This Row],[E1_value]],"N.A.")</f>
        <v>0</v>
      </c>
      <c r="AC313" s="3" t="str">
        <f>Tab_Data_Flows[[#This Row],[E1_UoM]]</f>
        <v>Mg</v>
      </c>
      <c r="AD313" s="24">
        <f>_xlfn.XLOOKUP(Tab_Data_Flows[[#This Row],[Flow_Name]],Tab_Def_Flows[Flow_Name],Tab_Def_Flows[Flow_E5_Fraction'[%']],"N.A.",0,1)</f>
        <v>0</v>
      </c>
      <c r="AE313" s="3">
        <f>IF(H313="Yes",Tab_Data_Flows[[#This Row],[E5_Fraction'[%']]]*Tab_Data_Flows[[#This Row],[E1_value]],"N.A.")</f>
        <v>0</v>
      </c>
      <c r="AF313" s="3" t="str">
        <f>Tab_Data_Flows[[#This Row],[E1_UoM]]</f>
        <v>Mg</v>
      </c>
      <c r="AG313" s="24">
        <f>_xlfn.XLOOKUP(Tab_Data_Flows[[#This Row],[Flow_Name]],Tab_Def_Flows[Flow_Name],Tab_Def_Flows[Flow_E6_Fraction'[%']],"N.A.",0,1)</f>
        <v>0</v>
      </c>
      <c r="AH313" s="3">
        <f>IF(Tab_Data_Flows[[#This Row],[Use_E6]]="Yes",Tab_Data_Flows[[#This Row],[E6_Fraction'[%']]]*Tab_Data_Flows[[#This Row],[E1_value]],"N.A.")</f>
        <v>0</v>
      </c>
      <c r="AI313" s="3" t="str">
        <f>Tab_Data_Flows[[#This Row],[E1_UoM]]</f>
        <v>Mg</v>
      </c>
    </row>
    <row r="314" spans="1:35" x14ac:dyDescent="0.25">
      <c r="A314" s="5">
        <f t="shared" si="9"/>
        <v>313</v>
      </c>
      <c r="B314" s="3" t="str">
        <f>_xlfn.XLOOKUP(C314,Tab_Def_Flows[Flow_Name],Tab_Def_Flows[Flow_ID],,0,)</f>
        <v>F__</v>
      </c>
      <c r="C314" s="23" t="s">
        <v>5</v>
      </c>
      <c r="D314" s="6" t="str">
        <f>_xlfn.XLOOKUP(C314,Tab_Def_Flows[Flow_Name],Tab_Def_Flows[Use_E1],,0,)</f>
        <v>Yes</v>
      </c>
      <c r="E314" s="6" t="str">
        <f>_xlfn.XLOOKUP(C314,Tab_Def_Flows[Flow_Name],Tab_Def_Flows[Use_E2],,0,)</f>
        <v>Yes</v>
      </c>
      <c r="F314" s="6" t="str">
        <f>_xlfn.XLOOKUP(C314,Tab_Def_Flows[Flow_Name],Tab_Def_Flows[Use_E3],,0,)</f>
        <v>Yes</v>
      </c>
      <c r="G314" s="6" t="str">
        <f>_xlfn.XLOOKUP(C314,Tab_Def_Flows[Flow_Name],Tab_Def_Flows[Use_E4],,0,)</f>
        <v>Yes</v>
      </c>
      <c r="H314" s="6" t="str">
        <f>_xlfn.XLOOKUP(C314,Tab_Def_Flows[Flow_Name],Tab_Def_Flows[Use_E5],,0,)</f>
        <v>Yes</v>
      </c>
      <c r="I314" s="6" t="str">
        <f>_xlfn.XLOOKUP(C314,Tab_Def_Flows[Flow_Name],Tab_Def_Flows[Use_E6],,0,)</f>
        <v>Yes</v>
      </c>
      <c r="J314" s="4"/>
      <c r="K314" s="18"/>
      <c r="L314" s="3" t="str">
        <f>'0_Configuration'!$C$41</f>
        <v>Mg</v>
      </c>
      <c r="M314" s="10"/>
      <c r="N314" s="23" t="s">
        <v>3</v>
      </c>
      <c r="O314" s="11"/>
      <c r="P314" s="4"/>
      <c r="Q314" s="10"/>
      <c r="R314" s="3">
        <f>_xlfn.XLOOKUP(Tab_Data_Flows[[#This Row],[Flow_Name]],Tab_Def_Flows[Flow_Name],Tab_Def_Flows[Flow_E1_Fraction'[%']],"N.A.",0,1)</f>
        <v>0</v>
      </c>
      <c r="S314" s="9">
        <f t="shared" si="8"/>
        <v>0</v>
      </c>
      <c r="T314" s="3" t="str">
        <f>Tab_Data_Flows[[#This Row],[UoM_Source]]</f>
        <v>Mg</v>
      </c>
      <c r="U314" s="24">
        <f>_xlfn.XLOOKUP(Tab_Data_Flows[[#This Row],[Flow_Name]],Tab_Def_Flows[Flow_Name],Tab_Def_Flows[Flow_E2_Fraction'[%']],"N.A.",0,1)</f>
        <v>0</v>
      </c>
      <c r="V314" s="3">
        <f>IF(D314="Yes",S314*Tab_Data_Flows[[#This Row],[E2_Fraction'[%']]],"N.A.")</f>
        <v>0</v>
      </c>
      <c r="W314" s="3" t="str">
        <f>Tab_Data_Flows[[#This Row],[E1_UoM]]</f>
        <v>Mg</v>
      </c>
      <c r="X314" s="24">
        <f>_xlfn.XLOOKUP(Tab_Data_Flows[[#This Row],[Flow_Name]],Tab_Def_Flows[Flow_Name],Tab_Def_Flows[Flow_E3_Fraction'[%']],"N.A.",0,1)</f>
        <v>0</v>
      </c>
      <c r="Y314" s="3">
        <f>IF(E314="Yes",X314*Tab_Data_Flows[[#This Row],[E1_value]],"N.A.")</f>
        <v>0</v>
      </c>
      <c r="Z314" s="3" t="str">
        <f>Tab_Data_Flows[[#This Row],[E1_UoM]]</f>
        <v>Mg</v>
      </c>
      <c r="AA314" s="24">
        <f>_xlfn.XLOOKUP(Tab_Data_Flows[[#This Row],[Flow_Name]],Tab_Def_Flows[Flow_Name],Tab_Def_Flows[Flow_E4_Fraction'[%']],"N.A.",0,1)</f>
        <v>0</v>
      </c>
      <c r="AB314" s="3">
        <f>IF(H314="Yes",Tab_Data_Flows[[#This Row],[E4_Fraction'[%']]]*Tab_Data_Flows[[#This Row],[E1_value]],"N.A.")</f>
        <v>0</v>
      </c>
      <c r="AC314" s="3" t="str">
        <f>Tab_Data_Flows[[#This Row],[E1_UoM]]</f>
        <v>Mg</v>
      </c>
      <c r="AD314" s="24">
        <f>_xlfn.XLOOKUP(Tab_Data_Flows[[#This Row],[Flow_Name]],Tab_Def_Flows[Flow_Name],Tab_Def_Flows[Flow_E5_Fraction'[%']],"N.A.",0,1)</f>
        <v>0</v>
      </c>
      <c r="AE314" s="3">
        <f>IF(H314="Yes",Tab_Data_Flows[[#This Row],[E5_Fraction'[%']]]*Tab_Data_Flows[[#This Row],[E1_value]],"N.A.")</f>
        <v>0</v>
      </c>
      <c r="AF314" s="3" t="str">
        <f>Tab_Data_Flows[[#This Row],[E1_UoM]]</f>
        <v>Mg</v>
      </c>
      <c r="AG314" s="24">
        <f>_xlfn.XLOOKUP(Tab_Data_Flows[[#This Row],[Flow_Name]],Tab_Def_Flows[Flow_Name],Tab_Def_Flows[Flow_E6_Fraction'[%']],"N.A.",0,1)</f>
        <v>0</v>
      </c>
      <c r="AH314" s="3">
        <f>IF(Tab_Data_Flows[[#This Row],[Use_E6]]="Yes",Tab_Data_Flows[[#This Row],[E6_Fraction'[%']]]*Tab_Data_Flows[[#This Row],[E1_value]],"N.A.")</f>
        <v>0</v>
      </c>
      <c r="AI314" s="3" t="str">
        <f>Tab_Data_Flows[[#This Row],[E1_UoM]]</f>
        <v>Mg</v>
      </c>
    </row>
    <row r="315" spans="1:35" x14ac:dyDescent="0.25">
      <c r="A315" s="5">
        <f t="shared" si="9"/>
        <v>314</v>
      </c>
      <c r="B315" s="3" t="str">
        <f>_xlfn.XLOOKUP(C315,Tab_Def_Flows[Flow_Name],Tab_Def_Flows[Flow_ID],,0,)</f>
        <v>F__</v>
      </c>
      <c r="C315" s="23" t="s">
        <v>5</v>
      </c>
      <c r="D315" s="6" t="str">
        <f>_xlfn.XLOOKUP(C315,Tab_Def_Flows[Flow_Name],Tab_Def_Flows[Use_E1],,0,)</f>
        <v>Yes</v>
      </c>
      <c r="E315" s="6" t="str">
        <f>_xlfn.XLOOKUP(C315,Tab_Def_Flows[Flow_Name],Tab_Def_Flows[Use_E2],,0,)</f>
        <v>Yes</v>
      </c>
      <c r="F315" s="6" t="str">
        <f>_xlfn.XLOOKUP(C315,Tab_Def_Flows[Flow_Name],Tab_Def_Flows[Use_E3],,0,)</f>
        <v>Yes</v>
      </c>
      <c r="G315" s="6" t="str">
        <f>_xlfn.XLOOKUP(C315,Tab_Def_Flows[Flow_Name],Tab_Def_Flows[Use_E4],,0,)</f>
        <v>Yes</v>
      </c>
      <c r="H315" s="6" t="str">
        <f>_xlfn.XLOOKUP(C315,Tab_Def_Flows[Flow_Name],Tab_Def_Flows[Use_E5],,0,)</f>
        <v>Yes</v>
      </c>
      <c r="I315" s="6" t="str">
        <f>_xlfn.XLOOKUP(C315,Tab_Def_Flows[Flow_Name],Tab_Def_Flows[Use_E6],,0,)</f>
        <v>Yes</v>
      </c>
      <c r="J315" s="4"/>
      <c r="K315" s="18"/>
      <c r="L315" s="3" t="str">
        <f>'0_Configuration'!$C$41</f>
        <v>Mg</v>
      </c>
      <c r="M315" s="10"/>
      <c r="N315" s="23" t="s">
        <v>3</v>
      </c>
      <c r="O315" s="11"/>
      <c r="P315" s="4"/>
      <c r="Q315" s="10"/>
      <c r="R315" s="3">
        <f>_xlfn.XLOOKUP(Tab_Data_Flows[[#This Row],[Flow_Name]],Tab_Def_Flows[Flow_Name],Tab_Def_Flows[Flow_E1_Fraction'[%']],"N.A.",0,1)</f>
        <v>0</v>
      </c>
      <c r="S315" s="9">
        <f t="shared" si="8"/>
        <v>0</v>
      </c>
      <c r="T315" s="3" t="str">
        <f>Tab_Data_Flows[[#This Row],[UoM_Source]]</f>
        <v>Mg</v>
      </c>
      <c r="U315" s="24">
        <f>_xlfn.XLOOKUP(Tab_Data_Flows[[#This Row],[Flow_Name]],Tab_Def_Flows[Flow_Name],Tab_Def_Flows[Flow_E2_Fraction'[%']],"N.A.",0,1)</f>
        <v>0</v>
      </c>
      <c r="V315" s="3">
        <f>IF(D315="Yes",S315*Tab_Data_Flows[[#This Row],[E2_Fraction'[%']]],"N.A.")</f>
        <v>0</v>
      </c>
      <c r="W315" s="3" t="str">
        <f>Tab_Data_Flows[[#This Row],[E1_UoM]]</f>
        <v>Mg</v>
      </c>
      <c r="X315" s="24">
        <f>_xlfn.XLOOKUP(Tab_Data_Flows[[#This Row],[Flow_Name]],Tab_Def_Flows[Flow_Name],Tab_Def_Flows[Flow_E3_Fraction'[%']],"N.A.",0,1)</f>
        <v>0</v>
      </c>
      <c r="Y315" s="3">
        <f>IF(E315="Yes",X315*Tab_Data_Flows[[#This Row],[E1_value]],"N.A.")</f>
        <v>0</v>
      </c>
      <c r="Z315" s="3" t="str">
        <f>Tab_Data_Flows[[#This Row],[E1_UoM]]</f>
        <v>Mg</v>
      </c>
      <c r="AA315" s="24">
        <f>_xlfn.XLOOKUP(Tab_Data_Flows[[#This Row],[Flow_Name]],Tab_Def_Flows[Flow_Name],Tab_Def_Flows[Flow_E4_Fraction'[%']],"N.A.",0,1)</f>
        <v>0</v>
      </c>
      <c r="AB315" s="3">
        <f>IF(H315="Yes",Tab_Data_Flows[[#This Row],[E4_Fraction'[%']]]*Tab_Data_Flows[[#This Row],[E1_value]],"N.A.")</f>
        <v>0</v>
      </c>
      <c r="AC315" s="3" t="str">
        <f>Tab_Data_Flows[[#This Row],[E1_UoM]]</f>
        <v>Mg</v>
      </c>
      <c r="AD315" s="24">
        <f>_xlfn.XLOOKUP(Tab_Data_Flows[[#This Row],[Flow_Name]],Tab_Def_Flows[Flow_Name],Tab_Def_Flows[Flow_E5_Fraction'[%']],"N.A.",0,1)</f>
        <v>0</v>
      </c>
      <c r="AE315" s="3">
        <f>IF(H315="Yes",Tab_Data_Flows[[#This Row],[E5_Fraction'[%']]]*Tab_Data_Flows[[#This Row],[E1_value]],"N.A.")</f>
        <v>0</v>
      </c>
      <c r="AF315" s="3" t="str">
        <f>Tab_Data_Flows[[#This Row],[E1_UoM]]</f>
        <v>Mg</v>
      </c>
      <c r="AG315" s="24">
        <f>_xlfn.XLOOKUP(Tab_Data_Flows[[#This Row],[Flow_Name]],Tab_Def_Flows[Flow_Name],Tab_Def_Flows[Flow_E6_Fraction'[%']],"N.A.",0,1)</f>
        <v>0</v>
      </c>
      <c r="AH315" s="3">
        <f>IF(Tab_Data_Flows[[#This Row],[Use_E6]]="Yes",Tab_Data_Flows[[#This Row],[E6_Fraction'[%']]]*Tab_Data_Flows[[#This Row],[E1_value]],"N.A.")</f>
        <v>0</v>
      </c>
      <c r="AI315" s="3" t="str">
        <f>Tab_Data_Flows[[#This Row],[E1_UoM]]</f>
        <v>Mg</v>
      </c>
    </row>
    <row r="316" spans="1:35" x14ac:dyDescent="0.25">
      <c r="A316" s="5">
        <f t="shared" si="9"/>
        <v>315</v>
      </c>
      <c r="B316" s="3" t="str">
        <f>_xlfn.XLOOKUP(C316,Tab_Def_Flows[Flow_Name],Tab_Def_Flows[Flow_ID],,0,)</f>
        <v>F__</v>
      </c>
      <c r="C316" s="23" t="s">
        <v>5</v>
      </c>
      <c r="D316" s="6" t="str">
        <f>_xlfn.XLOOKUP(C316,Tab_Def_Flows[Flow_Name],Tab_Def_Flows[Use_E1],,0,)</f>
        <v>Yes</v>
      </c>
      <c r="E316" s="6" t="str">
        <f>_xlfn.XLOOKUP(C316,Tab_Def_Flows[Flow_Name],Tab_Def_Flows[Use_E2],,0,)</f>
        <v>Yes</v>
      </c>
      <c r="F316" s="6" t="str">
        <f>_xlfn.XLOOKUP(C316,Tab_Def_Flows[Flow_Name],Tab_Def_Flows[Use_E3],,0,)</f>
        <v>Yes</v>
      </c>
      <c r="G316" s="6" t="str">
        <f>_xlfn.XLOOKUP(C316,Tab_Def_Flows[Flow_Name],Tab_Def_Flows[Use_E4],,0,)</f>
        <v>Yes</v>
      </c>
      <c r="H316" s="6" t="str">
        <f>_xlfn.XLOOKUP(C316,Tab_Def_Flows[Flow_Name],Tab_Def_Flows[Use_E5],,0,)</f>
        <v>Yes</v>
      </c>
      <c r="I316" s="6" t="str">
        <f>_xlfn.XLOOKUP(C316,Tab_Def_Flows[Flow_Name],Tab_Def_Flows[Use_E6],,0,)</f>
        <v>Yes</v>
      </c>
      <c r="J316" s="4"/>
      <c r="K316" s="18"/>
      <c r="L316" s="3" t="str">
        <f>'0_Configuration'!$C$41</f>
        <v>Mg</v>
      </c>
      <c r="M316" s="10"/>
      <c r="N316" s="23" t="s">
        <v>3</v>
      </c>
      <c r="O316" s="11"/>
      <c r="P316" s="4"/>
      <c r="Q316" s="10"/>
      <c r="R316" s="3">
        <f>_xlfn.XLOOKUP(Tab_Data_Flows[[#This Row],[Flow_Name]],Tab_Def_Flows[Flow_Name],Tab_Def_Flows[Flow_E1_Fraction'[%']],"N.A.",0,1)</f>
        <v>0</v>
      </c>
      <c r="S316" s="9">
        <f t="shared" si="8"/>
        <v>0</v>
      </c>
      <c r="T316" s="3" t="str">
        <f>Tab_Data_Flows[[#This Row],[UoM_Source]]</f>
        <v>Mg</v>
      </c>
      <c r="U316" s="24">
        <f>_xlfn.XLOOKUP(Tab_Data_Flows[[#This Row],[Flow_Name]],Tab_Def_Flows[Flow_Name],Tab_Def_Flows[Flow_E2_Fraction'[%']],"N.A.",0,1)</f>
        <v>0</v>
      </c>
      <c r="V316" s="3">
        <f>IF(D316="Yes",S316*Tab_Data_Flows[[#This Row],[E2_Fraction'[%']]],"N.A.")</f>
        <v>0</v>
      </c>
      <c r="W316" s="3" t="str">
        <f>Tab_Data_Flows[[#This Row],[E1_UoM]]</f>
        <v>Mg</v>
      </c>
      <c r="X316" s="24">
        <f>_xlfn.XLOOKUP(Tab_Data_Flows[[#This Row],[Flow_Name]],Tab_Def_Flows[Flow_Name],Tab_Def_Flows[Flow_E3_Fraction'[%']],"N.A.",0,1)</f>
        <v>0</v>
      </c>
      <c r="Y316" s="3">
        <f>IF(E316="Yes",X316*Tab_Data_Flows[[#This Row],[E1_value]],"N.A.")</f>
        <v>0</v>
      </c>
      <c r="Z316" s="3" t="str">
        <f>Tab_Data_Flows[[#This Row],[E1_UoM]]</f>
        <v>Mg</v>
      </c>
      <c r="AA316" s="24">
        <f>_xlfn.XLOOKUP(Tab_Data_Flows[[#This Row],[Flow_Name]],Tab_Def_Flows[Flow_Name],Tab_Def_Flows[Flow_E4_Fraction'[%']],"N.A.",0,1)</f>
        <v>0</v>
      </c>
      <c r="AB316" s="3">
        <f>IF(H316="Yes",Tab_Data_Flows[[#This Row],[E4_Fraction'[%']]]*Tab_Data_Flows[[#This Row],[E1_value]],"N.A.")</f>
        <v>0</v>
      </c>
      <c r="AC316" s="3" t="str">
        <f>Tab_Data_Flows[[#This Row],[E1_UoM]]</f>
        <v>Mg</v>
      </c>
      <c r="AD316" s="24">
        <f>_xlfn.XLOOKUP(Tab_Data_Flows[[#This Row],[Flow_Name]],Tab_Def_Flows[Flow_Name],Tab_Def_Flows[Flow_E5_Fraction'[%']],"N.A.",0,1)</f>
        <v>0</v>
      </c>
      <c r="AE316" s="3">
        <f>IF(H316="Yes",Tab_Data_Flows[[#This Row],[E5_Fraction'[%']]]*Tab_Data_Flows[[#This Row],[E1_value]],"N.A.")</f>
        <v>0</v>
      </c>
      <c r="AF316" s="3" t="str">
        <f>Tab_Data_Flows[[#This Row],[E1_UoM]]</f>
        <v>Mg</v>
      </c>
      <c r="AG316" s="24">
        <f>_xlfn.XLOOKUP(Tab_Data_Flows[[#This Row],[Flow_Name]],Tab_Def_Flows[Flow_Name],Tab_Def_Flows[Flow_E6_Fraction'[%']],"N.A.",0,1)</f>
        <v>0</v>
      </c>
      <c r="AH316" s="3">
        <f>IF(Tab_Data_Flows[[#This Row],[Use_E6]]="Yes",Tab_Data_Flows[[#This Row],[E6_Fraction'[%']]]*Tab_Data_Flows[[#This Row],[E1_value]],"N.A.")</f>
        <v>0</v>
      </c>
      <c r="AI316" s="3" t="str">
        <f>Tab_Data_Flows[[#This Row],[E1_UoM]]</f>
        <v>Mg</v>
      </c>
    </row>
    <row r="317" spans="1:35" x14ac:dyDescent="0.25">
      <c r="A317" s="5">
        <f t="shared" si="9"/>
        <v>316</v>
      </c>
      <c r="B317" s="3" t="str">
        <f>_xlfn.XLOOKUP(C317,Tab_Def_Flows[Flow_Name],Tab_Def_Flows[Flow_ID],,0,)</f>
        <v>F__</v>
      </c>
      <c r="C317" s="23" t="s">
        <v>5</v>
      </c>
      <c r="D317" s="6" t="str">
        <f>_xlfn.XLOOKUP(C317,Tab_Def_Flows[Flow_Name],Tab_Def_Flows[Use_E1],,0,)</f>
        <v>Yes</v>
      </c>
      <c r="E317" s="6" t="str">
        <f>_xlfn.XLOOKUP(C317,Tab_Def_Flows[Flow_Name],Tab_Def_Flows[Use_E2],,0,)</f>
        <v>Yes</v>
      </c>
      <c r="F317" s="6" t="str">
        <f>_xlfn.XLOOKUP(C317,Tab_Def_Flows[Flow_Name],Tab_Def_Flows[Use_E3],,0,)</f>
        <v>Yes</v>
      </c>
      <c r="G317" s="6" t="str">
        <f>_xlfn.XLOOKUP(C317,Tab_Def_Flows[Flow_Name],Tab_Def_Flows[Use_E4],,0,)</f>
        <v>Yes</v>
      </c>
      <c r="H317" s="6" t="str">
        <f>_xlfn.XLOOKUP(C317,Tab_Def_Flows[Flow_Name],Tab_Def_Flows[Use_E5],,0,)</f>
        <v>Yes</v>
      </c>
      <c r="I317" s="6" t="str">
        <f>_xlfn.XLOOKUP(C317,Tab_Def_Flows[Flow_Name],Tab_Def_Flows[Use_E6],,0,)</f>
        <v>Yes</v>
      </c>
      <c r="J317" s="4"/>
      <c r="K317" s="18"/>
      <c r="L317" s="3" t="str">
        <f>'0_Configuration'!$C$41</f>
        <v>Mg</v>
      </c>
      <c r="M317" s="10"/>
      <c r="N317" s="23" t="s">
        <v>3</v>
      </c>
      <c r="O317" s="11"/>
      <c r="P317" s="4"/>
      <c r="Q317" s="10"/>
      <c r="R317" s="3">
        <f>_xlfn.XLOOKUP(Tab_Data_Flows[[#This Row],[Flow_Name]],Tab_Def_Flows[Flow_Name],Tab_Def_Flows[Flow_E1_Fraction'[%']],"N.A.",0,1)</f>
        <v>0</v>
      </c>
      <c r="S317" s="9">
        <f t="shared" si="8"/>
        <v>0</v>
      </c>
      <c r="T317" s="3" t="str">
        <f>Tab_Data_Flows[[#This Row],[UoM_Source]]</f>
        <v>Mg</v>
      </c>
      <c r="U317" s="24">
        <f>_xlfn.XLOOKUP(Tab_Data_Flows[[#This Row],[Flow_Name]],Tab_Def_Flows[Flow_Name],Tab_Def_Flows[Flow_E2_Fraction'[%']],"N.A.",0,1)</f>
        <v>0</v>
      </c>
      <c r="V317" s="3">
        <f>IF(D317="Yes",S317*Tab_Data_Flows[[#This Row],[E2_Fraction'[%']]],"N.A.")</f>
        <v>0</v>
      </c>
      <c r="W317" s="3" t="str">
        <f>Tab_Data_Flows[[#This Row],[E1_UoM]]</f>
        <v>Mg</v>
      </c>
      <c r="X317" s="24">
        <f>_xlfn.XLOOKUP(Tab_Data_Flows[[#This Row],[Flow_Name]],Tab_Def_Flows[Flow_Name],Tab_Def_Flows[Flow_E3_Fraction'[%']],"N.A.",0,1)</f>
        <v>0</v>
      </c>
      <c r="Y317" s="3">
        <f>IF(E317="Yes",X317*Tab_Data_Flows[[#This Row],[E1_value]],"N.A.")</f>
        <v>0</v>
      </c>
      <c r="Z317" s="3" t="str">
        <f>Tab_Data_Flows[[#This Row],[E1_UoM]]</f>
        <v>Mg</v>
      </c>
      <c r="AA317" s="24">
        <f>_xlfn.XLOOKUP(Tab_Data_Flows[[#This Row],[Flow_Name]],Tab_Def_Flows[Flow_Name],Tab_Def_Flows[Flow_E4_Fraction'[%']],"N.A.",0,1)</f>
        <v>0</v>
      </c>
      <c r="AB317" s="3">
        <f>IF(H317="Yes",Tab_Data_Flows[[#This Row],[E4_Fraction'[%']]]*Tab_Data_Flows[[#This Row],[E1_value]],"N.A.")</f>
        <v>0</v>
      </c>
      <c r="AC317" s="3" t="str">
        <f>Tab_Data_Flows[[#This Row],[E1_UoM]]</f>
        <v>Mg</v>
      </c>
      <c r="AD317" s="24">
        <f>_xlfn.XLOOKUP(Tab_Data_Flows[[#This Row],[Flow_Name]],Tab_Def_Flows[Flow_Name],Tab_Def_Flows[Flow_E5_Fraction'[%']],"N.A.",0,1)</f>
        <v>0</v>
      </c>
      <c r="AE317" s="3">
        <f>IF(H317="Yes",Tab_Data_Flows[[#This Row],[E5_Fraction'[%']]]*Tab_Data_Flows[[#This Row],[E1_value]],"N.A.")</f>
        <v>0</v>
      </c>
      <c r="AF317" s="3" t="str">
        <f>Tab_Data_Flows[[#This Row],[E1_UoM]]</f>
        <v>Mg</v>
      </c>
      <c r="AG317" s="24">
        <f>_xlfn.XLOOKUP(Tab_Data_Flows[[#This Row],[Flow_Name]],Tab_Def_Flows[Flow_Name],Tab_Def_Flows[Flow_E6_Fraction'[%']],"N.A.",0,1)</f>
        <v>0</v>
      </c>
      <c r="AH317" s="3">
        <f>IF(Tab_Data_Flows[[#This Row],[Use_E6]]="Yes",Tab_Data_Flows[[#This Row],[E6_Fraction'[%']]]*Tab_Data_Flows[[#This Row],[E1_value]],"N.A.")</f>
        <v>0</v>
      </c>
      <c r="AI317" s="3" t="str">
        <f>Tab_Data_Flows[[#This Row],[E1_UoM]]</f>
        <v>Mg</v>
      </c>
    </row>
    <row r="318" spans="1:35" x14ac:dyDescent="0.25">
      <c r="A318" s="5">
        <f t="shared" si="9"/>
        <v>317</v>
      </c>
      <c r="B318" s="3" t="str">
        <f>_xlfn.XLOOKUP(C318,Tab_Def_Flows[Flow_Name],Tab_Def_Flows[Flow_ID],,0,)</f>
        <v>F__</v>
      </c>
      <c r="C318" s="23" t="s">
        <v>5</v>
      </c>
      <c r="D318" s="6" t="str">
        <f>_xlfn.XLOOKUP(C318,Tab_Def_Flows[Flow_Name],Tab_Def_Flows[Use_E1],,0,)</f>
        <v>Yes</v>
      </c>
      <c r="E318" s="6" t="str">
        <f>_xlfn.XLOOKUP(C318,Tab_Def_Flows[Flow_Name],Tab_Def_Flows[Use_E2],,0,)</f>
        <v>Yes</v>
      </c>
      <c r="F318" s="6" t="str">
        <f>_xlfn.XLOOKUP(C318,Tab_Def_Flows[Flow_Name],Tab_Def_Flows[Use_E3],,0,)</f>
        <v>Yes</v>
      </c>
      <c r="G318" s="6" t="str">
        <f>_xlfn.XLOOKUP(C318,Tab_Def_Flows[Flow_Name],Tab_Def_Flows[Use_E4],,0,)</f>
        <v>Yes</v>
      </c>
      <c r="H318" s="6" t="str">
        <f>_xlfn.XLOOKUP(C318,Tab_Def_Flows[Flow_Name],Tab_Def_Flows[Use_E5],,0,)</f>
        <v>Yes</v>
      </c>
      <c r="I318" s="6" t="str">
        <f>_xlfn.XLOOKUP(C318,Tab_Def_Flows[Flow_Name],Tab_Def_Flows[Use_E6],,0,)</f>
        <v>Yes</v>
      </c>
      <c r="J318" s="4"/>
      <c r="K318" s="18"/>
      <c r="L318" s="3" t="str">
        <f>'0_Configuration'!$C$41</f>
        <v>Mg</v>
      </c>
      <c r="M318" s="10"/>
      <c r="N318" s="23" t="s">
        <v>3</v>
      </c>
      <c r="O318" s="11"/>
      <c r="P318" s="4"/>
      <c r="Q318" s="10"/>
      <c r="R318" s="3">
        <f>_xlfn.XLOOKUP(Tab_Data_Flows[[#This Row],[Flow_Name]],Tab_Def_Flows[Flow_Name],Tab_Def_Flows[Flow_E1_Fraction'[%']],"N.A.",0,1)</f>
        <v>0</v>
      </c>
      <c r="S318" s="9">
        <f t="shared" si="8"/>
        <v>0</v>
      </c>
      <c r="T318" s="3" t="str">
        <f>Tab_Data_Flows[[#This Row],[UoM_Source]]</f>
        <v>Mg</v>
      </c>
      <c r="U318" s="24">
        <f>_xlfn.XLOOKUP(Tab_Data_Flows[[#This Row],[Flow_Name]],Tab_Def_Flows[Flow_Name],Tab_Def_Flows[Flow_E2_Fraction'[%']],"N.A.",0,1)</f>
        <v>0</v>
      </c>
      <c r="V318" s="3">
        <f>IF(D318="Yes",S318*Tab_Data_Flows[[#This Row],[E2_Fraction'[%']]],"N.A.")</f>
        <v>0</v>
      </c>
      <c r="W318" s="3" t="str">
        <f>Tab_Data_Flows[[#This Row],[E1_UoM]]</f>
        <v>Mg</v>
      </c>
      <c r="X318" s="24">
        <f>_xlfn.XLOOKUP(Tab_Data_Flows[[#This Row],[Flow_Name]],Tab_Def_Flows[Flow_Name],Tab_Def_Flows[Flow_E3_Fraction'[%']],"N.A.",0,1)</f>
        <v>0</v>
      </c>
      <c r="Y318" s="3">
        <f>IF(E318="Yes",X318*Tab_Data_Flows[[#This Row],[E1_value]],"N.A.")</f>
        <v>0</v>
      </c>
      <c r="Z318" s="3" t="str">
        <f>Tab_Data_Flows[[#This Row],[E1_UoM]]</f>
        <v>Mg</v>
      </c>
      <c r="AA318" s="24">
        <f>_xlfn.XLOOKUP(Tab_Data_Flows[[#This Row],[Flow_Name]],Tab_Def_Flows[Flow_Name],Tab_Def_Flows[Flow_E4_Fraction'[%']],"N.A.",0,1)</f>
        <v>0</v>
      </c>
      <c r="AB318" s="3">
        <f>IF(H318="Yes",Tab_Data_Flows[[#This Row],[E4_Fraction'[%']]]*Tab_Data_Flows[[#This Row],[E1_value]],"N.A.")</f>
        <v>0</v>
      </c>
      <c r="AC318" s="3" t="str">
        <f>Tab_Data_Flows[[#This Row],[E1_UoM]]</f>
        <v>Mg</v>
      </c>
      <c r="AD318" s="24">
        <f>_xlfn.XLOOKUP(Tab_Data_Flows[[#This Row],[Flow_Name]],Tab_Def_Flows[Flow_Name],Tab_Def_Flows[Flow_E5_Fraction'[%']],"N.A.",0,1)</f>
        <v>0</v>
      </c>
      <c r="AE318" s="3">
        <f>IF(H318="Yes",Tab_Data_Flows[[#This Row],[E5_Fraction'[%']]]*Tab_Data_Flows[[#This Row],[E1_value]],"N.A.")</f>
        <v>0</v>
      </c>
      <c r="AF318" s="3" t="str">
        <f>Tab_Data_Flows[[#This Row],[E1_UoM]]</f>
        <v>Mg</v>
      </c>
      <c r="AG318" s="24">
        <f>_xlfn.XLOOKUP(Tab_Data_Flows[[#This Row],[Flow_Name]],Tab_Def_Flows[Flow_Name],Tab_Def_Flows[Flow_E6_Fraction'[%']],"N.A.",0,1)</f>
        <v>0</v>
      </c>
      <c r="AH318" s="3">
        <f>IF(Tab_Data_Flows[[#This Row],[Use_E6]]="Yes",Tab_Data_Flows[[#This Row],[E6_Fraction'[%']]]*Tab_Data_Flows[[#This Row],[E1_value]],"N.A.")</f>
        <v>0</v>
      </c>
      <c r="AI318" s="3" t="str">
        <f>Tab_Data_Flows[[#This Row],[E1_UoM]]</f>
        <v>Mg</v>
      </c>
    </row>
    <row r="319" spans="1:35" x14ac:dyDescent="0.25">
      <c r="A319" s="5">
        <f t="shared" si="9"/>
        <v>318</v>
      </c>
      <c r="B319" s="3" t="str">
        <f>_xlfn.XLOOKUP(C319,Tab_Def_Flows[Flow_Name],Tab_Def_Flows[Flow_ID],,0,)</f>
        <v>F__</v>
      </c>
      <c r="C319" s="23" t="s">
        <v>5</v>
      </c>
      <c r="D319" s="6" t="str">
        <f>_xlfn.XLOOKUP(C319,Tab_Def_Flows[Flow_Name],Tab_Def_Flows[Use_E1],,0,)</f>
        <v>Yes</v>
      </c>
      <c r="E319" s="6" t="str">
        <f>_xlfn.XLOOKUP(C319,Tab_Def_Flows[Flow_Name],Tab_Def_Flows[Use_E2],,0,)</f>
        <v>Yes</v>
      </c>
      <c r="F319" s="6" t="str">
        <f>_xlfn.XLOOKUP(C319,Tab_Def_Flows[Flow_Name],Tab_Def_Flows[Use_E3],,0,)</f>
        <v>Yes</v>
      </c>
      <c r="G319" s="6" t="str">
        <f>_xlfn.XLOOKUP(C319,Tab_Def_Flows[Flow_Name],Tab_Def_Flows[Use_E4],,0,)</f>
        <v>Yes</v>
      </c>
      <c r="H319" s="6" t="str">
        <f>_xlfn.XLOOKUP(C319,Tab_Def_Flows[Flow_Name],Tab_Def_Flows[Use_E5],,0,)</f>
        <v>Yes</v>
      </c>
      <c r="I319" s="6" t="str">
        <f>_xlfn.XLOOKUP(C319,Tab_Def_Flows[Flow_Name],Tab_Def_Flows[Use_E6],,0,)</f>
        <v>Yes</v>
      </c>
      <c r="J319" s="4"/>
      <c r="K319" s="18"/>
      <c r="L319" s="3" t="str">
        <f>'0_Configuration'!$C$41</f>
        <v>Mg</v>
      </c>
      <c r="M319" s="10"/>
      <c r="N319" s="23" t="s">
        <v>3</v>
      </c>
      <c r="O319" s="11"/>
      <c r="P319" s="4"/>
      <c r="Q319" s="10"/>
      <c r="R319" s="3">
        <f>_xlfn.XLOOKUP(Tab_Data_Flows[[#This Row],[Flow_Name]],Tab_Def_Flows[Flow_Name],Tab_Def_Flows[Flow_E1_Fraction'[%']],"N.A.",0,1)</f>
        <v>0</v>
      </c>
      <c r="S319" s="9">
        <f t="shared" si="8"/>
        <v>0</v>
      </c>
      <c r="T319" s="3" t="str">
        <f>Tab_Data_Flows[[#This Row],[UoM_Source]]</f>
        <v>Mg</v>
      </c>
      <c r="U319" s="24">
        <f>_xlfn.XLOOKUP(Tab_Data_Flows[[#This Row],[Flow_Name]],Tab_Def_Flows[Flow_Name],Tab_Def_Flows[Flow_E2_Fraction'[%']],"N.A.",0,1)</f>
        <v>0</v>
      </c>
      <c r="V319" s="3">
        <f>IF(D319="Yes",S319*Tab_Data_Flows[[#This Row],[E2_Fraction'[%']]],"N.A.")</f>
        <v>0</v>
      </c>
      <c r="W319" s="3" t="str">
        <f>Tab_Data_Flows[[#This Row],[E1_UoM]]</f>
        <v>Mg</v>
      </c>
      <c r="X319" s="24">
        <f>_xlfn.XLOOKUP(Tab_Data_Flows[[#This Row],[Flow_Name]],Tab_Def_Flows[Flow_Name],Tab_Def_Flows[Flow_E3_Fraction'[%']],"N.A.",0,1)</f>
        <v>0</v>
      </c>
      <c r="Y319" s="3">
        <f>IF(E319="Yes",X319*Tab_Data_Flows[[#This Row],[E1_value]],"N.A.")</f>
        <v>0</v>
      </c>
      <c r="Z319" s="3" t="str">
        <f>Tab_Data_Flows[[#This Row],[E1_UoM]]</f>
        <v>Mg</v>
      </c>
      <c r="AA319" s="24">
        <f>_xlfn.XLOOKUP(Tab_Data_Flows[[#This Row],[Flow_Name]],Tab_Def_Flows[Flow_Name],Tab_Def_Flows[Flow_E4_Fraction'[%']],"N.A.",0,1)</f>
        <v>0</v>
      </c>
      <c r="AB319" s="3">
        <f>IF(H319="Yes",Tab_Data_Flows[[#This Row],[E4_Fraction'[%']]]*Tab_Data_Flows[[#This Row],[E1_value]],"N.A.")</f>
        <v>0</v>
      </c>
      <c r="AC319" s="3" t="str">
        <f>Tab_Data_Flows[[#This Row],[E1_UoM]]</f>
        <v>Mg</v>
      </c>
      <c r="AD319" s="24">
        <f>_xlfn.XLOOKUP(Tab_Data_Flows[[#This Row],[Flow_Name]],Tab_Def_Flows[Flow_Name],Tab_Def_Flows[Flow_E5_Fraction'[%']],"N.A.",0,1)</f>
        <v>0</v>
      </c>
      <c r="AE319" s="3">
        <f>IF(H319="Yes",Tab_Data_Flows[[#This Row],[E5_Fraction'[%']]]*Tab_Data_Flows[[#This Row],[E1_value]],"N.A.")</f>
        <v>0</v>
      </c>
      <c r="AF319" s="3" t="str">
        <f>Tab_Data_Flows[[#This Row],[E1_UoM]]</f>
        <v>Mg</v>
      </c>
      <c r="AG319" s="24">
        <f>_xlfn.XLOOKUP(Tab_Data_Flows[[#This Row],[Flow_Name]],Tab_Def_Flows[Flow_Name],Tab_Def_Flows[Flow_E6_Fraction'[%']],"N.A.",0,1)</f>
        <v>0</v>
      </c>
      <c r="AH319" s="3">
        <f>IF(Tab_Data_Flows[[#This Row],[Use_E6]]="Yes",Tab_Data_Flows[[#This Row],[E6_Fraction'[%']]]*Tab_Data_Flows[[#This Row],[E1_value]],"N.A.")</f>
        <v>0</v>
      </c>
      <c r="AI319" s="3" t="str">
        <f>Tab_Data_Flows[[#This Row],[E1_UoM]]</f>
        <v>Mg</v>
      </c>
    </row>
    <row r="320" spans="1:35" x14ac:dyDescent="0.25">
      <c r="A320" s="5">
        <f t="shared" si="9"/>
        <v>319</v>
      </c>
      <c r="B320" s="3" t="str">
        <f>_xlfn.XLOOKUP(C320,Tab_Def_Flows[Flow_Name],Tab_Def_Flows[Flow_ID],,0,)</f>
        <v>F__</v>
      </c>
      <c r="C320" s="23" t="s">
        <v>5</v>
      </c>
      <c r="D320" s="6" t="str">
        <f>_xlfn.XLOOKUP(C320,Tab_Def_Flows[Flow_Name],Tab_Def_Flows[Use_E1],,0,)</f>
        <v>Yes</v>
      </c>
      <c r="E320" s="6" t="str">
        <f>_xlfn.XLOOKUP(C320,Tab_Def_Flows[Flow_Name],Tab_Def_Flows[Use_E2],,0,)</f>
        <v>Yes</v>
      </c>
      <c r="F320" s="6" t="str">
        <f>_xlfn.XLOOKUP(C320,Tab_Def_Flows[Flow_Name],Tab_Def_Flows[Use_E3],,0,)</f>
        <v>Yes</v>
      </c>
      <c r="G320" s="6" t="str">
        <f>_xlfn.XLOOKUP(C320,Tab_Def_Flows[Flow_Name],Tab_Def_Flows[Use_E4],,0,)</f>
        <v>Yes</v>
      </c>
      <c r="H320" s="6" t="str">
        <f>_xlfn.XLOOKUP(C320,Tab_Def_Flows[Flow_Name],Tab_Def_Flows[Use_E5],,0,)</f>
        <v>Yes</v>
      </c>
      <c r="I320" s="6" t="str">
        <f>_xlfn.XLOOKUP(C320,Tab_Def_Flows[Flow_Name],Tab_Def_Flows[Use_E6],,0,)</f>
        <v>Yes</v>
      </c>
      <c r="J320" s="4"/>
      <c r="K320" s="18"/>
      <c r="L320" s="3" t="str">
        <f>'0_Configuration'!$C$41</f>
        <v>Mg</v>
      </c>
      <c r="M320" s="10"/>
      <c r="N320" s="23" t="s">
        <v>3</v>
      </c>
      <c r="O320" s="11"/>
      <c r="P320" s="4"/>
      <c r="Q320" s="10"/>
      <c r="R320" s="3">
        <f>_xlfn.XLOOKUP(Tab_Data_Flows[[#This Row],[Flow_Name]],Tab_Def_Flows[Flow_Name],Tab_Def_Flows[Flow_E1_Fraction'[%']],"N.A.",0,1)</f>
        <v>0</v>
      </c>
      <c r="S320" s="9">
        <f t="shared" si="8"/>
        <v>0</v>
      </c>
      <c r="T320" s="3" t="str">
        <f>Tab_Data_Flows[[#This Row],[UoM_Source]]</f>
        <v>Mg</v>
      </c>
      <c r="U320" s="24">
        <f>_xlfn.XLOOKUP(Tab_Data_Flows[[#This Row],[Flow_Name]],Tab_Def_Flows[Flow_Name],Tab_Def_Flows[Flow_E2_Fraction'[%']],"N.A.",0,1)</f>
        <v>0</v>
      </c>
      <c r="V320" s="3">
        <f>IF(D320="Yes",S320*Tab_Data_Flows[[#This Row],[E2_Fraction'[%']]],"N.A.")</f>
        <v>0</v>
      </c>
      <c r="W320" s="3" t="str">
        <f>Tab_Data_Flows[[#This Row],[E1_UoM]]</f>
        <v>Mg</v>
      </c>
      <c r="X320" s="24">
        <f>_xlfn.XLOOKUP(Tab_Data_Flows[[#This Row],[Flow_Name]],Tab_Def_Flows[Flow_Name],Tab_Def_Flows[Flow_E3_Fraction'[%']],"N.A.",0,1)</f>
        <v>0</v>
      </c>
      <c r="Y320" s="3">
        <f>IF(E320="Yes",X320*Tab_Data_Flows[[#This Row],[E1_value]],"N.A.")</f>
        <v>0</v>
      </c>
      <c r="Z320" s="3" t="str">
        <f>Tab_Data_Flows[[#This Row],[E1_UoM]]</f>
        <v>Mg</v>
      </c>
      <c r="AA320" s="24">
        <f>_xlfn.XLOOKUP(Tab_Data_Flows[[#This Row],[Flow_Name]],Tab_Def_Flows[Flow_Name],Tab_Def_Flows[Flow_E4_Fraction'[%']],"N.A.",0,1)</f>
        <v>0</v>
      </c>
      <c r="AB320" s="3">
        <f>IF(H320="Yes",Tab_Data_Flows[[#This Row],[E4_Fraction'[%']]]*Tab_Data_Flows[[#This Row],[E1_value]],"N.A.")</f>
        <v>0</v>
      </c>
      <c r="AC320" s="3" t="str">
        <f>Tab_Data_Flows[[#This Row],[E1_UoM]]</f>
        <v>Mg</v>
      </c>
      <c r="AD320" s="24">
        <f>_xlfn.XLOOKUP(Tab_Data_Flows[[#This Row],[Flow_Name]],Tab_Def_Flows[Flow_Name],Tab_Def_Flows[Flow_E5_Fraction'[%']],"N.A.",0,1)</f>
        <v>0</v>
      </c>
      <c r="AE320" s="3">
        <f>IF(H320="Yes",Tab_Data_Flows[[#This Row],[E5_Fraction'[%']]]*Tab_Data_Flows[[#This Row],[E1_value]],"N.A.")</f>
        <v>0</v>
      </c>
      <c r="AF320" s="3" t="str">
        <f>Tab_Data_Flows[[#This Row],[E1_UoM]]</f>
        <v>Mg</v>
      </c>
      <c r="AG320" s="24">
        <f>_xlfn.XLOOKUP(Tab_Data_Flows[[#This Row],[Flow_Name]],Tab_Def_Flows[Flow_Name],Tab_Def_Flows[Flow_E6_Fraction'[%']],"N.A.",0,1)</f>
        <v>0</v>
      </c>
      <c r="AH320" s="3">
        <f>IF(Tab_Data_Flows[[#This Row],[Use_E6]]="Yes",Tab_Data_Flows[[#This Row],[E6_Fraction'[%']]]*Tab_Data_Flows[[#This Row],[E1_value]],"N.A.")</f>
        <v>0</v>
      </c>
      <c r="AI320" s="3" t="str">
        <f>Tab_Data_Flows[[#This Row],[E1_UoM]]</f>
        <v>Mg</v>
      </c>
    </row>
    <row r="321" spans="1:35" x14ac:dyDescent="0.25">
      <c r="A321" s="5">
        <f t="shared" si="9"/>
        <v>320</v>
      </c>
      <c r="B321" s="3" t="str">
        <f>_xlfn.XLOOKUP(C321,Tab_Def_Flows[Flow_Name],Tab_Def_Flows[Flow_ID],,0,)</f>
        <v>F__</v>
      </c>
      <c r="C321" s="23" t="s">
        <v>5</v>
      </c>
      <c r="D321" s="6" t="str">
        <f>_xlfn.XLOOKUP(C321,Tab_Def_Flows[Flow_Name],Tab_Def_Flows[Use_E1],,0,)</f>
        <v>Yes</v>
      </c>
      <c r="E321" s="6" t="str">
        <f>_xlfn.XLOOKUP(C321,Tab_Def_Flows[Flow_Name],Tab_Def_Flows[Use_E2],,0,)</f>
        <v>Yes</v>
      </c>
      <c r="F321" s="6" t="str">
        <f>_xlfn.XLOOKUP(C321,Tab_Def_Flows[Flow_Name],Tab_Def_Flows[Use_E3],,0,)</f>
        <v>Yes</v>
      </c>
      <c r="G321" s="6" t="str">
        <f>_xlfn.XLOOKUP(C321,Tab_Def_Flows[Flow_Name],Tab_Def_Flows[Use_E4],,0,)</f>
        <v>Yes</v>
      </c>
      <c r="H321" s="6" t="str">
        <f>_xlfn.XLOOKUP(C321,Tab_Def_Flows[Flow_Name],Tab_Def_Flows[Use_E5],,0,)</f>
        <v>Yes</v>
      </c>
      <c r="I321" s="6" t="str">
        <f>_xlfn.XLOOKUP(C321,Tab_Def_Flows[Flow_Name],Tab_Def_Flows[Use_E6],,0,)</f>
        <v>Yes</v>
      </c>
      <c r="J321" s="4"/>
      <c r="K321" s="18"/>
      <c r="L321" s="3" t="str">
        <f>'0_Configuration'!$C$41</f>
        <v>Mg</v>
      </c>
      <c r="M321" s="10"/>
      <c r="N321" s="23" t="s">
        <v>3</v>
      </c>
      <c r="O321" s="11"/>
      <c r="P321" s="4"/>
      <c r="Q321" s="10"/>
      <c r="R321" s="3">
        <f>_xlfn.XLOOKUP(Tab_Data_Flows[[#This Row],[Flow_Name]],Tab_Def_Flows[Flow_Name],Tab_Def_Flows[Flow_E1_Fraction'[%']],"N.A.",0,1)</f>
        <v>0</v>
      </c>
      <c r="S321" s="9">
        <f t="shared" si="8"/>
        <v>0</v>
      </c>
      <c r="T321" s="3" t="str">
        <f>Tab_Data_Flows[[#This Row],[UoM_Source]]</f>
        <v>Mg</v>
      </c>
      <c r="U321" s="24">
        <f>_xlfn.XLOOKUP(Tab_Data_Flows[[#This Row],[Flow_Name]],Tab_Def_Flows[Flow_Name],Tab_Def_Flows[Flow_E2_Fraction'[%']],"N.A.",0,1)</f>
        <v>0</v>
      </c>
      <c r="V321" s="3">
        <f>IF(D321="Yes",S321*Tab_Data_Flows[[#This Row],[E2_Fraction'[%']]],"N.A.")</f>
        <v>0</v>
      </c>
      <c r="W321" s="3" t="str">
        <f>Tab_Data_Flows[[#This Row],[E1_UoM]]</f>
        <v>Mg</v>
      </c>
      <c r="X321" s="24">
        <f>_xlfn.XLOOKUP(Tab_Data_Flows[[#This Row],[Flow_Name]],Tab_Def_Flows[Flow_Name],Tab_Def_Flows[Flow_E3_Fraction'[%']],"N.A.",0,1)</f>
        <v>0</v>
      </c>
      <c r="Y321" s="3">
        <f>IF(E321="Yes",X321*Tab_Data_Flows[[#This Row],[E1_value]],"N.A.")</f>
        <v>0</v>
      </c>
      <c r="Z321" s="3" t="str">
        <f>Tab_Data_Flows[[#This Row],[E1_UoM]]</f>
        <v>Mg</v>
      </c>
      <c r="AA321" s="24">
        <f>_xlfn.XLOOKUP(Tab_Data_Flows[[#This Row],[Flow_Name]],Tab_Def_Flows[Flow_Name],Tab_Def_Flows[Flow_E4_Fraction'[%']],"N.A.",0,1)</f>
        <v>0</v>
      </c>
      <c r="AB321" s="3">
        <f>IF(H321="Yes",Tab_Data_Flows[[#This Row],[E4_Fraction'[%']]]*Tab_Data_Flows[[#This Row],[E1_value]],"N.A.")</f>
        <v>0</v>
      </c>
      <c r="AC321" s="3" t="str">
        <f>Tab_Data_Flows[[#This Row],[E1_UoM]]</f>
        <v>Mg</v>
      </c>
      <c r="AD321" s="24">
        <f>_xlfn.XLOOKUP(Tab_Data_Flows[[#This Row],[Flow_Name]],Tab_Def_Flows[Flow_Name],Tab_Def_Flows[Flow_E5_Fraction'[%']],"N.A.",0,1)</f>
        <v>0</v>
      </c>
      <c r="AE321" s="3">
        <f>IF(H321="Yes",Tab_Data_Flows[[#This Row],[E5_Fraction'[%']]]*Tab_Data_Flows[[#This Row],[E1_value]],"N.A.")</f>
        <v>0</v>
      </c>
      <c r="AF321" s="3" t="str">
        <f>Tab_Data_Flows[[#This Row],[E1_UoM]]</f>
        <v>Mg</v>
      </c>
      <c r="AG321" s="24">
        <f>_xlfn.XLOOKUP(Tab_Data_Flows[[#This Row],[Flow_Name]],Tab_Def_Flows[Flow_Name],Tab_Def_Flows[Flow_E6_Fraction'[%']],"N.A.",0,1)</f>
        <v>0</v>
      </c>
      <c r="AH321" s="3">
        <f>IF(Tab_Data_Flows[[#This Row],[Use_E6]]="Yes",Tab_Data_Flows[[#This Row],[E6_Fraction'[%']]]*Tab_Data_Flows[[#This Row],[E1_value]],"N.A.")</f>
        <v>0</v>
      </c>
      <c r="AI321" s="3" t="str">
        <f>Tab_Data_Flows[[#This Row],[E1_UoM]]</f>
        <v>Mg</v>
      </c>
    </row>
    <row r="322" spans="1:35" x14ac:dyDescent="0.25">
      <c r="A322" s="5">
        <f t="shared" si="9"/>
        <v>321</v>
      </c>
      <c r="B322" s="3" t="str">
        <f>_xlfn.XLOOKUP(C322,Tab_Def_Flows[Flow_Name],Tab_Def_Flows[Flow_ID],,0,)</f>
        <v>F__</v>
      </c>
      <c r="C322" s="23" t="s">
        <v>5</v>
      </c>
      <c r="D322" s="6" t="str">
        <f>_xlfn.XLOOKUP(C322,Tab_Def_Flows[Flow_Name],Tab_Def_Flows[Use_E1],,0,)</f>
        <v>Yes</v>
      </c>
      <c r="E322" s="6" t="str">
        <f>_xlfn.XLOOKUP(C322,Tab_Def_Flows[Flow_Name],Tab_Def_Flows[Use_E2],,0,)</f>
        <v>Yes</v>
      </c>
      <c r="F322" s="6" t="str">
        <f>_xlfn.XLOOKUP(C322,Tab_Def_Flows[Flow_Name],Tab_Def_Flows[Use_E3],,0,)</f>
        <v>Yes</v>
      </c>
      <c r="G322" s="6" t="str">
        <f>_xlfn.XLOOKUP(C322,Tab_Def_Flows[Flow_Name],Tab_Def_Flows[Use_E4],,0,)</f>
        <v>Yes</v>
      </c>
      <c r="H322" s="6" t="str">
        <f>_xlfn.XLOOKUP(C322,Tab_Def_Flows[Flow_Name],Tab_Def_Flows[Use_E5],,0,)</f>
        <v>Yes</v>
      </c>
      <c r="I322" s="6" t="str">
        <f>_xlfn.XLOOKUP(C322,Tab_Def_Flows[Flow_Name],Tab_Def_Flows[Use_E6],,0,)</f>
        <v>Yes</v>
      </c>
      <c r="J322" s="4"/>
      <c r="K322" s="18"/>
      <c r="L322" s="3" t="str">
        <f>'0_Configuration'!$C$41</f>
        <v>Mg</v>
      </c>
      <c r="M322" s="10"/>
      <c r="N322" s="23" t="s">
        <v>3</v>
      </c>
      <c r="O322" s="11"/>
      <c r="P322" s="4"/>
      <c r="Q322" s="10"/>
      <c r="R322" s="3">
        <f>_xlfn.XLOOKUP(Tab_Data_Flows[[#This Row],[Flow_Name]],Tab_Def_Flows[Flow_Name],Tab_Def_Flows[Flow_E1_Fraction'[%']],"N.A.",0,1)</f>
        <v>0</v>
      </c>
      <c r="S322" s="9">
        <f t="shared" ref="S322:S350" si="10">IF(N322="no",K322,K322*O322)</f>
        <v>0</v>
      </c>
      <c r="T322" s="3" t="str">
        <f>Tab_Data_Flows[[#This Row],[UoM_Source]]</f>
        <v>Mg</v>
      </c>
      <c r="U322" s="24">
        <f>_xlfn.XLOOKUP(Tab_Data_Flows[[#This Row],[Flow_Name]],Tab_Def_Flows[Flow_Name],Tab_Def_Flows[Flow_E2_Fraction'[%']],"N.A.",0,1)</f>
        <v>0</v>
      </c>
      <c r="V322" s="3">
        <f>IF(D322="Yes",S322*Tab_Data_Flows[[#This Row],[E2_Fraction'[%']]],"N.A.")</f>
        <v>0</v>
      </c>
      <c r="W322" s="3" t="str">
        <f>Tab_Data_Flows[[#This Row],[E1_UoM]]</f>
        <v>Mg</v>
      </c>
      <c r="X322" s="24">
        <f>_xlfn.XLOOKUP(Tab_Data_Flows[[#This Row],[Flow_Name]],Tab_Def_Flows[Flow_Name],Tab_Def_Flows[Flow_E3_Fraction'[%']],"N.A.",0,1)</f>
        <v>0</v>
      </c>
      <c r="Y322" s="3">
        <f>IF(E322="Yes",X322*Tab_Data_Flows[[#This Row],[E1_value]],"N.A.")</f>
        <v>0</v>
      </c>
      <c r="Z322" s="3" t="str">
        <f>Tab_Data_Flows[[#This Row],[E1_UoM]]</f>
        <v>Mg</v>
      </c>
      <c r="AA322" s="24">
        <f>_xlfn.XLOOKUP(Tab_Data_Flows[[#This Row],[Flow_Name]],Tab_Def_Flows[Flow_Name],Tab_Def_Flows[Flow_E4_Fraction'[%']],"N.A.",0,1)</f>
        <v>0</v>
      </c>
      <c r="AB322" s="3">
        <f>IF(H322="Yes",Tab_Data_Flows[[#This Row],[E4_Fraction'[%']]]*Tab_Data_Flows[[#This Row],[E1_value]],"N.A.")</f>
        <v>0</v>
      </c>
      <c r="AC322" s="3" t="str">
        <f>Tab_Data_Flows[[#This Row],[E1_UoM]]</f>
        <v>Mg</v>
      </c>
      <c r="AD322" s="24">
        <f>_xlfn.XLOOKUP(Tab_Data_Flows[[#This Row],[Flow_Name]],Tab_Def_Flows[Flow_Name],Tab_Def_Flows[Flow_E5_Fraction'[%']],"N.A.",0,1)</f>
        <v>0</v>
      </c>
      <c r="AE322" s="3">
        <f>IF(H322="Yes",Tab_Data_Flows[[#This Row],[E5_Fraction'[%']]]*Tab_Data_Flows[[#This Row],[E1_value]],"N.A.")</f>
        <v>0</v>
      </c>
      <c r="AF322" s="3" t="str">
        <f>Tab_Data_Flows[[#This Row],[E1_UoM]]</f>
        <v>Mg</v>
      </c>
      <c r="AG322" s="24">
        <f>_xlfn.XLOOKUP(Tab_Data_Flows[[#This Row],[Flow_Name]],Tab_Def_Flows[Flow_Name],Tab_Def_Flows[Flow_E6_Fraction'[%']],"N.A.",0,1)</f>
        <v>0</v>
      </c>
      <c r="AH322" s="3">
        <f>IF(Tab_Data_Flows[[#This Row],[Use_E6]]="Yes",Tab_Data_Flows[[#This Row],[E6_Fraction'[%']]]*Tab_Data_Flows[[#This Row],[E1_value]],"N.A.")</f>
        <v>0</v>
      </c>
      <c r="AI322" s="3" t="str">
        <f>Tab_Data_Flows[[#This Row],[E1_UoM]]</f>
        <v>Mg</v>
      </c>
    </row>
    <row r="323" spans="1:35" x14ac:dyDescent="0.25">
      <c r="A323" s="5">
        <f t="shared" ref="A323:A346" si="11">ROW()-1</f>
        <v>322</v>
      </c>
      <c r="B323" s="3" t="str">
        <f>_xlfn.XLOOKUP(C323,Tab_Def_Flows[Flow_Name],Tab_Def_Flows[Flow_ID],,0,)</f>
        <v>F__</v>
      </c>
      <c r="C323" s="23" t="s">
        <v>5</v>
      </c>
      <c r="D323" s="6" t="str">
        <f>_xlfn.XLOOKUP(C323,Tab_Def_Flows[Flow_Name],Tab_Def_Flows[Use_E1],,0,)</f>
        <v>Yes</v>
      </c>
      <c r="E323" s="6" t="str">
        <f>_xlfn.XLOOKUP(C323,Tab_Def_Flows[Flow_Name],Tab_Def_Flows[Use_E2],,0,)</f>
        <v>Yes</v>
      </c>
      <c r="F323" s="6" t="str">
        <f>_xlfn.XLOOKUP(C323,Tab_Def_Flows[Flow_Name],Tab_Def_Flows[Use_E3],,0,)</f>
        <v>Yes</v>
      </c>
      <c r="G323" s="6" t="str">
        <f>_xlfn.XLOOKUP(C323,Tab_Def_Flows[Flow_Name],Tab_Def_Flows[Use_E4],,0,)</f>
        <v>Yes</v>
      </c>
      <c r="H323" s="6" t="str">
        <f>_xlfn.XLOOKUP(C323,Tab_Def_Flows[Flow_Name],Tab_Def_Flows[Use_E5],,0,)</f>
        <v>Yes</v>
      </c>
      <c r="I323" s="6" t="str">
        <f>_xlfn.XLOOKUP(C323,Tab_Def_Flows[Flow_Name],Tab_Def_Flows[Use_E6],,0,)</f>
        <v>Yes</v>
      </c>
      <c r="J323" s="4"/>
      <c r="K323" s="18"/>
      <c r="L323" s="3" t="str">
        <f>'0_Configuration'!$C$41</f>
        <v>Mg</v>
      </c>
      <c r="M323" s="10"/>
      <c r="N323" s="23" t="s">
        <v>3</v>
      </c>
      <c r="O323" s="11"/>
      <c r="P323" s="4"/>
      <c r="Q323" s="10"/>
      <c r="R323" s="3">
        <f>_xlfn.XLOOKUP(Tab_Data_Flows[[#This Row],[Flow_Name]],Tab_Def_Flows[Flow_Name],Tab_Def_Flows[Flow_E1_Fraction'[%']],"N.A.",0,1)</f>
        <v>0</v>
      </c>
      <c r="S323" s="9">
        <f t="shared" si="10"/>
        <v>0</v>
      </c>
      <c r="T323" s="3" t="str">
        <f>Tab_Data_Flows[[#This Row],[UoM_Source]]</f>
        <v>Mg</v>
      </c>
      <c r="U323" s="24">
        <f>_xlfn.XLOOKUP(Tab_Data_Flows[[#This Row],[Flow_Name]],Tab_Def_Flows[Flow_Name],Tab_Def_Flows[Flow_E2_Fraction'[%']],"N.A.",0,1)</f>
        <v>0</v>
      </c>
      <c r="V323" s="3">
        <f>IF(D323="Yes",S323*Tab_Data_Flows[[#This Row],[E2_Fraction'[%']]],"N.A.")</f>
        <v>0</v>
      </c>
      <c r="W323" s="3" t="str">
        <f>Tab_Data_Flows[[#This Row],[E1_UoM]]</f>
        <v>Mg</v>
      </c>
      <c r="X323" s="24">
        <f>_xlfn.XLOOKUP(Tab_Data_Flows[[#This Row],[Flow_Name]],Tab_Def_Flows[Flow_Name],Tab_Def_Flows[Flow_E3_Fraction'[%']],"N.A.",0,1)</f>
        <v>0</v>
      </c>
      <c r="Y323" s="3">
        <f>IF(E323="Yes",X323*Tab_Data_Flows[[#This Row],[E1_value]],"N.A.")</f>
        <v>0</v>
      </c>
      <c r="Z323" s="3" t="str">
        <f>Tab_Data_Flows[[#This Row],[E1_UoM]]</f>
        <v>Mg</v>
      </c>
      <c r="AA323" s="24">
        <f>_xlfn.XLOOKUP(Tab_Data_Flows[[#This Row],[Flow_Name]],Tab_Def_Flows[Flow_Name],Tab_Def_Flows[Flow_E4_Fraction'[%']],"N.A.",0,1)</f>
        <v>0</v>
      </c>
      <c r="AB323" s="3">
        <f>IF(H323="Yes",Tab_Data_Flows[[#This Row],[E4_Fraction'[%']]]*Tab_Data_Flows[[#This Row],[E1_value]],"N.A.")</f>
        <v>0</v>
      </c>
      <c r="AC323" s="3" t="str">
        <f>Tab_Data_Flows[[#This Row],[E1_UoM]]</f>
        <v>Mg</v>
      </c>
      <c r="AD323" s="24">
        <f>_xlfn.XLOOKUP(Tab_Data_Flows[[#This Row],[Flow_Name]],Tab_Def_Flows[Flow_Name],Tab_Def_Flows[Flow_E5_Fraction'[%']],"N.A.",0,1)</f>
        <v>0</v>
      </c>
      <c r="AE323" s="3">
        <f>IF(H323="Yes",Tab_Data_Flows[[#This Row],[E5_Fraction'[%']]]*Tab_Data_Flows[[#This Row],[E1_value]],"N.A.")</f>
        <v>0</v>
      </c>
      <c r="AF323" s="3" t="str">
        <f>Tab_Data_Flows[[#This Row],[E1_UoM]]</f>
        <v>Mg</v>
      </c>
      <c r="AG323" s="24">
        <f>_xlfn.XLOOKUP(Tab_Data_Flows[[#This Row],[Flow_Name]],Tab_Def_Flows[Flow_Name],Tab_Def_Flows[Flow_E6_Fraction'[%']],"N.A.",0,1)</f>
        <v>0</v>
      </c>
      <c r="AH323" s="3">
        <f>IF(Tab_Data_Flows[[#This Row],[Use_E6]]="Yes",Tab_Data_Flows[[#This Row],[E6_Fraction'[%']]]*Tab_Data_Flows[[#This Row],[E1_value]],"N.A.")</f>
        <v>0</v>
      </c>
      <c r="AI323" s="3" t="str">
        <f>Tab_Data_Flows[[#This Row],[E1_UoM]]</f>
        <v>Mg</v>
      </c>
    </row>
    <row r="324" spans="1:35" x14ac:dyDescent="0.25">
      <c r="A324" s="5">
        <f t="shared" si="11"/>
        <v>323</v>
      </c>
      <c r="B324" s="3" t="str">
        <f>_xlfn.XLOOKUP(C324,Tab_Def_Flows[Flow_Name],Tab_Def_Flows[Flow_ID],,0,)</f>
        <v>F__</v>
      </c>
      <c r="C324" s="23" t="s">
        <v>5</v>
      </c>
      <c r="D324" s="6" t="str">
        <f>_xlfn.XLOOKUP(C324,Tab_Def_Flows[Flow_Name],Tab_Def_Flows[Use_E1],,0,)</f>
        <v>Yes</v>
      </c>
      <c r="E324" s="6" t="str">
        <f>_xlfn.XLOOKUP(C324,Tab_Def_Flows[Flow_Name],Tab_Def_Flows[Use_E2],,0,)</f>
        <v>Yes</v>
      </c>
      <c r="F324" s="6" t="str">
        <f>_xlfn.XLOOKUP(C324,Tab_Def_Flows[Flow_Name],Tab_Def_Flows[Use_E3],,0,)</f>
        <v>Yes</v>
      </c>
      <c r="G324" s="6" t="str">
        <f>_xlfn.XLOOKUP(C324,Tab_Def_Flows[Flow_Name],Tab_Def_Flows[Use_E4],,0,)</f>
        <v>Yes</v>
      </c>
      <c r="H324" s="6" t="str">
        <f>_xlfn.XLOOKUP(C324,Tab_Def_Flows[Flow_Name],Tab_Def_Flows[Use_E5],,0,)</f>
        <v>Yes</v>
      </c>
      <c r="I324" s="6" t="str">
        <f>_xlfn.XLOOKUP(C324,Tab_Def_Flows[Flow_Name],Tab_Def_Flows[Use_E6],,0,)</f>
        <v>Yes</v>
      </c>
      <c r="J324" s="4"/>
      <c r="K324" s="18"/>
      <c r="L324" s="3" t="str">
        <f>'0_Configuration'!$C$41</f>
        <v>Mg</v>
      </c>
      <c r="M324" s="10"/>
      <c r="N324" s="23" t="s">
        <v>3</v>
      </c>
      <c r="O324" s="11"/>
      <c r="P324" s="4"/>
      <c r="Q324" s="10"/>
      <c r="R324" s="3">
        <f>_xlfn.XLOOKUP(Tab_Data_Flows[[#This Row],[Flow_Name]],Tab_Def_Flows[Flow_Name],Tab_Def_Flows[Flow_E1_Fraction'[%']],"N.A.",0,1)</f>
        <v>0</v>
      </c>
      <c r="S324" s="9">
        <f t="shared" si="10"/>
        <v>0</v>
      </c>
      <c r="T324" s="3" t="str">
        <f>Tab_Data_Flows[[#This Row],[UoM_Source]]</f>
        <v>Mg</v>
      </c>
      <c r="U324" s="24">
        <f>_xlfn.XLOOKUP(Tab_Data_Flows[[#This Row],[Flow_Name]],Tab_Def_Flows[Flow_Name],Tab_Def_Flows[Flow_E2_Fraction'[%']],"N.A.",0,1)</f>
        <v>0</v>
      </c>
      <c r="V324" s="3">
        <f>IF(D324="Yes",S324*Tab_Data_Flows[[#This Row],[E2_Fraction'[%']]],"N.A.")</f>
        <v>0</v>
      </c>
      <c r="W324" s="3" t="str">
        <f>Tab_Data_Flows[[#This Row],[E1_UoM]]</f>
        <v>Mg</v>
      </c>
      <c r="X324" s="24">
        <f>_xlfn.XLOOKUP(Tab_Data_Flows[[#This Row],[Flow_Name]],Tab_Def_Flows[Flow_Name],Tab_Def_Flows[Flow_E3_Fraction'[%']],"N.A.",0,1)</f>
        <v>0</v>
      </c>
      <c r="Y324" s="3">
        <f>IF(E324="Yes",X324*Tab_Data_Flows[[#This Row],[E1_value]],"N.A.")</f>
        <v>0</v>
      </c>
      <c r="Z324" s="3" t="str">
        <f>Tab_Data_Flows[[#This Row],[E1_UoM]]</f>
        <v>Mg</v>
      </c>
      <c r="AA324" s="24">
        <f>_xlfn.XLOOKUP(Tab_Data_Flows[[#This Row],[Flow_Name]],Tab_Def_Flows[Flow_Name],Tab_Def_Flows[Flow_E4_Fraction'[%']],"N.A.",0,1)</f>
        <v>0</v>
      </c>
      <c r="AB324" s="3">
        <f>IF(H324="Yes",Tab_Data_Flows[[#This Row],[E4_Fraction'[%']]]*Tab_Data_Flows[[#This Row],[E1_value]],"N.A.")</f>
        <v>0</v>
      </c>
      <c r="AC324" s="3" t="str">
        <f>Tab_Data_Flows[[#This Row],[E1_UoM]]</f>
        <v>Mg</v>
      </c>
      <c r="AD324" s="24">
        <f>_xlfn.XLOOKUP(Tab_Data_Flows[[#This Row],[Flow_Name]],Tab_Def_Flows[Flow_Name],Tab_Def_Flows[Flow_E5_Fraction'[%']],"N.A.",0,1)</f>
        <v>0</v>
      </c>
      <c r="AE324" s="3">
        <f>IF(H324="Yes",Tab_Data_Flows[[#This Row],[E5_Fraction'[%']]]*Tab_Data_Flows[[#This Row],[E1_value]],"N.A.")</f>
        <v>0</v>
      </c>
      <c r="AF324" s="3" t="str">
        <f>Tab_Data_Flows[[#This Row],[E1_UoM]]</f>
        <v>Mg</v>
      </c>
      <c r="AG324" s="24">
        <f>_xlfn.XLOOKUP(Tab_Data_Flows[[#This Row],[Flow_Name]],Tab_Def_Flows[Flow_Name],Tab_Def_Flows[Flow_E6_Fraction'[%']],"N.A.",0,1)</f>
        <v>0</v>
      </c>
      <c r="AH324" s="3">
        <f>IF(Tab_Data_Flows[[#This Row],[Use_E6]]="Yes",Tab_Data_Flows[[#This Row],[E6_Fraction'[%']]]*Tab_Data_Flows[[#This Row],[E1_value]],"N.A.")</f>
        <v>0</v>
      </c>
      <c r="AI324" s="3" t="str">
        <f>Tab_Data_Flows[[#This Row],[E1_UoM]]</f>
        <v>Mg</v>
      </c>
    </row>
    <row r="325" spans="1:35" x14ac:dyDescent="0.25">
      <c r="A325" s="5">
        <f t="shared" si="11"/>
        <v>324</v>
      </c>
      <c r="B325" s="3" t="str">
        <f>_xlfn.XLOOKUP(C325,Tab_Def_Flows[Flow_Name],Tab_Def_Flows[Flow_ID],,0,)</f>
        <v>F__</v>
      </c>
      <c r="C325" s="23" t="s">
        <v>5</v>
      </c>
      <c r="D325" s="6" t="str">
        <f>_xlfn.XLOOKUP(C325,Tab_Def_Flows[Flow_Name],Tab_Def_Flows[Use_E1],,0,)</f>
        <v>Yes</v>
      </c>
      <c r="E325" s="6" t="str">
        <f>_xlfn.XLOOKUP(C325,Tab_Def_Flows[Flow_Name],Tab_Def_Flows[Use_E2],,0,)</f>
        <v>Yes</v>
      </c>
      <c r="F325" s="6" t="str">
        <f>_xlfn.XLOOKUP(C325,Tab_Def_Flows[Flow_Name],Tab_Def_Flows[Use_E3],,0,)</f>
        <v>Yes</v>
      </c>
      <c r="G325" s="6" t="str">
        <f>_xlfn.XLOOKUP(C325,Tab_Def_Flows[Flow_Name],Tab_Def_Flows[Use_E4],,0,)</f>
        <v>Yes</v>
      </c>
      <c r="H325" s="6" t="str">
        <f>_xlfn.XLOOKUP(C325,Tab_Def_Flows[Flow_Name],Tab_Def_Flows[Use_E5],,0,)</f>
        <v>Yes</v>
      </c>
      <c r="I325" s="6" t="str">
        <f>_xlfn.XLOOKUP(C325,Tab_Def_Flows[Flow_Name],Tab_Def_Flows[Use_E6],,0,)</f>
        <v>Yes</v>
      </c>
      <c r="J325" s="4"/>
      <c r="K325" s="18"/>
      <c r="L325" s="3" t="str">
        <f>'0_Configuration'!$C$41</f>
        <v>Mg</v>
      </c>
      <c r="M325" s="10"/>
      <c r="N325" s="23" t="s">
        <v>3</v>
      </c>
      <c r="O325" s="11"/>
      <c r="P325" s="4"/>
      <c r="Q325" s="10"/>
      <c r="R325" s="3">
        <f>_xlfn.XLOOKUP(Tab_Data_Flows[[#This Row],[Flow_Name]],Tab_Def_Flows[Flow_Name],Tab_Def_Flows[Flow_E1_Fraction'[%']],"N.A.",0,1)</f>
        <v>0</v>
      </c>
      <c r="S325" s="9">
        <f t="shared" si="10"/>
        <v>0</v>
      </c>
      <c r="T325" s="3" t="str">
        <f>Tab_Data_Flows[[#This Row],[UoM_Source]]</f>
        <v>Mg</v>
      </c>
      <c r="U325" s="24">
        <f>_xlfn.XLOOKUP(Tab_Data_Flows[[#This Row],[Flow_Name]],Tab_Def_Flows[Flow_Name],Tab_Def_Flows[Flow_E2_Fraction'[%']],"N.A.",0,1)</f>
        <v>0</v>
      </c>
      <c r="V325" s="3">
        <f>IF(D325="Yes",S325*Tab_Data_Flows[[#This Row],[E2_Fraction'[%']]],"N.A.")</f>
        <v>0</v>
      </c>
      <c r="W325" s="3" t="str">
        <f>Tab_Data_Flows[[#This Row],[E1_UoM]]</f>
        <v>Mg</v>
      </c>
      <c r="X325" s="24">
        <f>_xlfn.XLOOKUP(Tab_Data_Flows[[#This Row],[Flow_Name]],Tab_Def_Flows[Flow_Name],Tab_Def_Flows[Flow_E3_Fraction'[%']],"N.A.",0,1)</f>
        <v>0</v>
      </c>
      <c r="Y325" s="3">
        <f>IF(E325="Yes",X325*Tab_Data_Flows[[#This Row],[E1_value]],"N.A.")</f>
        <v>0</v>
      </c>
      <c r="Z325" s="3" t="str">
        <f>Tab_Data_Flows[[#This Row],[E1_UoM]]</f>
        <v>Mg</v>
      </c>
      <c r="AA325" s="24">
        <f>_xlfn.XLOOKUP(Tab_Data_Flows[[#This Row],[Flow_Name]],Tab_Def_Flows[Flow_Name],Tab_Def_Flows[Flow_E4_Fraction'[%']],"N.A.",0,1)</f>
        <v>0</v>
      </c>
      <c r="AB325" s="3">
        <f>IF(H325="Yes",Tab_Data_Flows[[#This Row],[E4_Fraction'[%']]]*Tab_Data_Flows[[#This Row],[E1_value]],"N.A.")</f>
        <v>0</v>
      </c>
      <c r="AC325" s="3" t="str">
        <f>Tab_Data_Flows[[#This Row],[E1_UoM]]</f>
        <v>Mg</v>
      </c>
      <c r="AD325" s="24">
        <f>_xlfn.XLOOKUP(Tab_Data_Flows[[#This Row],[Flow_Name]],Tab_Def_Flows[Flow_Name],Tab_Def_Flows[Flow_E5_Fraction'[%']],"N.A.",0,1)</f>
        <v>0</v>
      </c>
      <c r="AE325" s="3">
        <f>IF(H325="Yes",Tab_Data_Flows[[#This Row],[E5_Fraction'[%']]]*Tab_Data_Flows[[#This Row],[E1_value]],"N.A.")</f>
        <v>0</v>
      </c>
      <c r="AF325" s="3" t="str">
        <f>Tab_Data_Flows[[#This Row],[E1_UoM]]</f>
        <v>Mg</v>
      </c>
      <c r="AG325" s="24">
        <f>_xlfn.XLOOKUP(Tab_Data_Flows[[#This Row],[Flow_Name]],Tab_Def_Flows[Flow_Name],Tab_Def_Flows[Flow_E6_Fraction'[%']],"N.A.",0,1)</f>
        <v>0</v>
      </c>
      <c r="AH325" s="3">
        <f>IF(Tab_Data_Flows[[#This Row],[Use_E6]]="Yes",Tab_Data_Flows[[#This Row],[E6_Fraction'[%']]]*Tab_Data_Flows[[#This Row],[E1_value]],"N.A.")</f>
        <v>0</v>
      </c>
      <c r="AI325" s="3" t="str">
        <f>Tab_Data_Flows[[#This Row],[E1_UoM]]</f>
        <v>Mg</v>
      </c>
    </row>
    <row r="326" spans="1:35" x14ac:dyDescent="0.25">
      <c r="A326" s="5">
        <f t="shared" si="11"/>
        <v>325</v>
      </c>
      <c r="B326" s="3" t="str">
        <f>_xlfn.XLOOKUP(C326,Tab_Def_Flows[Flow_Name],Tab_Def_Flows[Flow_ID],,0,)</f>
        <v>F__</v>
      </c>
      <c r="C326" s="23" t="s">
        <v>5</v>
      </c>
      <c r="D326" s="6" t="str">
        <f>_xlfn.XLOOKUP(C326,Tab_Def_Flows[Flow_Name],Tab_Def_Flows[Use_E1],,0,)</f>
        <v>Yes</v>
      </c>
      <c r="E326" s="6" t="str">
        <f>_xlfn.XLOOKUP(C326,Tab_Def_Flows[Flow_Name],Tab_Def_Flows[Use_E2],,0,)</f>
        <v>Yes</v>
      </c>
      <c r="F326" s="6" t="str">
        <f>_xlfn.XLOOKUP(C326,Tab_Def_Flows[Flow_Name],Tab_Def_Flows[Use_E3],,0,)</f>
        <v>Yes</v>
      </c>
      <c r="G326" s="6" t="str">
        <f>_xlfn.XLOOKUP(C326,Tab_Def_Flows[Flow_Name],Tab_Def_Flows[Use_E4],,0,)</f>
        <v>Yes</v>
      </c>
      <c r="H326" s="6" t="str">
        <f>_xlfn.XLOOKUP(C326,Tab_Def_Flows[Flow_Name],Tab_Def_Flows[Use_E5],,0,)</f>
        <v>Yes</v>
      </c>
      <c r="I326" s="6" t="str">
        <f>_xlfn.XLOOKUP(C326,Tab_Def_Flows[Flow_Name],Tab_Def_Flows[Use_E6],,0,)</f>
        <v>Yes</v>
      </c>
      <c r="J326" s="4"/>
      <c r="K326" s="18"/>
      <c r="L326" s="3" t="str">
        <f>'0_Configuration'!$C$41</f>
        <v>Mg</v>
      </c>
      <c r="M326" s="10"/>
      <c r="N326" s="23" t="s">
        <v>3</v>
      </c>
      <c r="O326" s="11"/>
      <c r="P326" s="4"/>
      <c r="Q326" s="10"/>
      <c r="R326" s="3">
        <f>_xlfn.XLOOKUP(Tab_Data_Flows[[#This Row],[Flow_Name]],Tab_Def_Flows[Flow_Name],Tab_Def_Flows[Flow_E1_Fraction'[%']],"N.A.",0,1)</f>
        <v>0</v>
      </c>
      <c r="S326" s="9">
        <f t="shared" si="10"/>
        <v>0</v>
      </c>
      <c r="T326" s="3" t="str">
        <f>Tab_Data_Flows[[#This Row],[UoM_Source]]</f>
        <v>Mg</v>
      </c>
      <c r="U326" s="24">
        <f>_xlfn.XLOOKUP(Tab_Data_Flows[[#This Row],[Flow_Name]],Tab_Def_Flows[Flow_Name],Tab_Def_Flows[Flow_E2_Fraction'[%']],"N.A.",0,1)</f>
        <v>0</v>
      </c>
      <c r="V326" s="3">
        <f>IF(D326="Yes",S326*Tab_Data_Flows[[#This Row],[E2_Fraction'[%']]],"N.A.")</f>
        <v>0</v>
      </c>
      <c r="W326" s="3" t="str">
        <f>Tab_Data_Flows[[#This Row],[E1_UoM]]</f>
        <v>Mg</v>
      </c>
      <c r="X326" s="24">
        <f>_xlfn.XLOOKUP(Tab_Data_Flows[[#This Row],[Flow_Name]],Tab_Def_Flows[Flow_Name],Tab_Def_Flows[Flow_E3_Fraction'[%']],"N.A.",0,1)</f>
        <v>0</v>
      </c>
      <c r="Y326" s="3">
        <f>IF(E326="Yes",X326*Tab_Data_Flows[[#This Row],[E1_value]],"N.A.")</f>
        <v>0</v>
      </c>
      <c r="Z326" s="3" t="str">
        <f>Tab_Data_Flows[[#This Row],[E1_UoM]]</f>
        <v>Mg</v>
      </c>
      <c r="AA326" s="24">
        <f>_xlfn.XLOOKUP(Tab_Data_Flows[[#This Row],[Flow_Name]],Tab_Def_Flows[Flow_Name],Tab_Def_Flows[Flow_E4_Fraction'[%']],"N.A.",0,1)</f>
        <v>0</v>
      </c>
      <c r="AB326" s="3">
        <f>IF(H326="Yes",Tab_Data_Flows[[#This Row],[E4_Fraction'[%']]]*Tab_Data_Flows[[#This Row],[E1_value]],"N.A.")</f>
        <v>0</v>
      </c>
      <c r="AC326" s="3" t="str">
        <f>Tab_Data_Flows[[#This Row],[E1_UoM]]</f>
        <v>Mg</v>
      </c>
      <c r="AD326" s="24">
        <f>_xlfn.XLOOKUP(Tab_Data_Flows[[#This Row],[Flow_Name]],Tab_Def_Flows[Flow_Name],Tab_Def_Flows[Flow_E5_Fraction'[%']],"N.A.",0,1)</f>
        <v>0</v>
      </c>
      <c r="AE326" s="3">
        <f>IF(H326="Yes",Tab_Data_Flows[[#This Row],[E5_Fraction'[%']]]*Tab_Data_Flows[[#This Row],[E1_value]],"N.A.")</f>
        <v>0</v>
      </c>
      <c r="AF326" s="3" t="str">
        <f>Tab_Data_Flows[[#This Row],[E1_UoM]]</f>
        <v>Mg</v>
      </c>
      <c r="AG326" s="24">
        <f>_xlfn.XLOOKUP(Tab_Data_Flows[[#This Row],[Flow_Name]],Tab_Def_Flows[Flow_Name],Tab_Def_Flows[Flow_E6_Fraction'[%']],"N.A.",0,1)</f>
        <v>0</v>
      </c>
      <c r="AH326" s="3">
        <f>IF(Tab_Data_Flows[[#This Row],[Use_E6]]="Yes",Tab_Data_Flows[[#This Row],[E6_Fraction'[%']]]*Tab_Data_Flows[[#This Row],[E1_value]],"N.A.")</f>
        <v>0</v>
      </c>
      <c r="AI326" s="3" t="str">
        <f>Tab_Data_Flows[[#This Row],[E1_UoM]]</f>
        <v>Mg</v>
      </c>
    </row>
    <row r="327" spans="1:35" x14ac:dyDescent="0.25">
      <c r="A327" s="5">
        <f t="shared" si="11"/>
        <v>326</v>
      </c>
      <c r="B327" s="3" t="str">
        <f>_xlfn.XLOOKUP(C327,Tab_Def_Flows[Flow_Name],Tab_Def_Flows[Flow_ID],,0,)</f>
        <v>F__</v>
      </c>
      <c r="C327" s="23" t="s">
        <v>5</v>
      </c>
      <c r="D327" s="6" t="str">
        <f>_xlfn.XLOOKUP(C327,Tab_Def_Flows[Flow_Name],Tab_Def_Flows[Use_E1],,0,)</f>
        <v>Yes</v>
      </c>
      <c r="E327" s="6" t="str">
        <f>_xlfn.XLOOKUP(C327,Tab_Def_Flows[Flow_Name],Tab_Def_Flows[Use_E2],,0,)</f>
        <v>Yes</v>
      </c>
      <c r="F327" s="6" t="str">
        <f>_xlfn.XLOOKUP(C327,Tab_Def_Flows[Flow_Name],Tab_Def_Flows[Use_E3],,0,)</f>
        <v>Yes</v>
      </c>
      <c r="G327" s="6" t="str">
        <f>_xlfn.XLOOKUP(C327,Tab_Def_Flows[Flow_Name],Tab_Def_Flows[Use_E4],,0,)</f>
        <v>Yes</v>
      </c>
      <c r="H327" s="6" t="str">
        <f>_xlfn.XLOOKUP(C327,Tab_Def_Flows[Flow_Name],Tab_Def_Flows[Use_E5],,0,)</f>
        <v>Yes</v>
      </c>
      <c r="I327" s="6" t="str">
        <f>_xlfn.XLOOKUP(C327,Tab_Def_Flows[Flow_Name],Tab_Def_Flows[Use_E6],,0,)</f>
        <v>Yes</v>
      </c>
      <c r="J327" s="4"/>
      <c r="K327" s="18"/>
      <c r="L327" s="3" t="str">
        <f>'0_Configuration'!$C$41</f>
        <v>Mg</v>
      </c>
      <c r="M327" s="10"/>
      <c r="N327" s="23" t="s">
        <v>3</v>
      </c>
      <c r="O327" s="11"/>
      <c r="P327" s="4"/>
      <c r="Q327" s="10"/>
      <c r="R327" s="3">
        <f>_xlfn.XLOOKUP(Tab_Data_Flows[[#This Row],[Flow_Name]],Tab_Def_Flows[Flow_Name],Tab_Def_Flows[Flow_E1_Fraction'[%']],"N.A.",0,1)</f>
        <v>0</v>
      </c>
      <c r="S327" s="9">
        <f t="shared" si="10"/>
        <v>0</v>
      </c>
      <c r="T327" s="3" t="str">
        <f>Tab_Data_Flows[[#This Row],[UoM_Source]]</f>
        <v>Mg</v>
      </c>
      <c r="U327" s="24">
        <f>_xlfn.XLOOKUP(Tab_Data_Flows[[#This Row],[Flow_Name]],Tab_Def_Flows[Flow_Name],Tab_Def_Flows[Flow_E2_Fraction'[%']],"N.A.",0,1)</f>
        <v>0</v>
      </c>
      <c r="V327" s="3">
        <f>IF(D327="Yes",S327*Tab_Data_Flows[[#This Row],[E2_Fraction'[%']]],"N.A.")</f>
        <v>0</v>
      </c>
      <c r="W327" s="3" t="str">
        <f>Tab_Data_Flows[[#This Row],[E1_UoM]]</f>
        <v>Mg</v>
      </c>
      <c r="X327" s="24">
        <f>_xlfn.XLOOKUP(Tab_Data_Flows[[#This Row],[Flow_Name]],Tab_Def_Flows[Flow_Name],Tab_Def_Flows[Flow_E3_Fraction'[%']],"N.A.",0,1)</f>
        <v>0</v>
      </c>
      <c r="Y327" s="3">
        <f>IF(E327="Yes",X327*Tab_Data_Flows[[#This Row],[E1_value]],"N.A.")</f>
        <v>0</v>
      </c>
      <c r="Z327" s="3" t="str">
        <f>Tab_Data_Flows[[#This Row],[E1_UoM]]</f>
        <v>Mg</v>
      </c>
      <c r="AA327" s="24">
        <f>_xlfn.XLOOKUP(Tab_Data_Flows[[#This Row],[Flow_Name]],Tab_Def_Flows[Flow_Name],Tab_Def_Flows[Flow_E4_Fraction'[%']],"N.A.",0,1)</f>
        <v>0</v>
      </c>
      <c r="AB327" s="3">
        <f>IF(H327="Yes",Tab_Data_Flows[[#This Row],[E4_Fraction'[%']]]*Tab_Data_Flows[[#This Row],[E1_value]],"N.A.")</f>
        <v>0</v>
      </c>
      <c r="AC327" s="3" t="str">
        <f>Tab_Data_Flows[[#This Row],[E1_UoM]]</f>
        <v>Mg</v>
      </c>
      <c r="AD327" s="24">
        <f>_xlfn.XLOOKUP(Tab_Data_Flows[[#This Row],[Flow_Name]],Tab_Def_Flows[Flow_Name],Tab_Def_Flows[Flow_E5_Fraction'[%']],"N.A.",0,1)</f>
        <v>0</v>
      </c>
      <c r="AE327" s="3">
        <f>IF(H327="Yes",Tab_Data_Flows[[#This Row],[E5_Fraction'[%']]]*Tab_Data_Flows[[#This Row],[E1_value]],"N.A.")</f>
        <v>0</v>
      </c>
      <c r="AF327" s="3" t="str">
        <f>Tab_Data_Flows[[#This Row],[E1_UoM]]</f>
        <v>Mg</v>
      </c>
      <c r="AG327" s="24">
        <f>_xlfn.XLOOKUP(Tab_Data_Flows[[#This Row],[Flow_Name]],Tab_Def_Flows[Flow_Name],Tab_Def_Flows[Flow_E6_Fraction'[%']],"N.A.",0,1)</f>
        <v>0</v>
      </c>
      <c r="AH327" s="3">
        <f>IF(Tab_Data_Flows[[#This Row],[Use_E6]]="Yes",Tab_Data_Flows[[#This Row],[E6_Fraction'[%']]]*Tab_Data_Flows[[#This Row],[E1_value]],"N.A.")</f>
        <v>0</v>
      </c>
      <c r="AI327" s="3" t="str">
        <f>Tab_Data_Flows[[#This Row],[E1_UoM]]</f>
        <v>Mg</v>
      </c>
    </row>
    <row r="328" spans="1:35" x14ac:dyDescent="0.25">
      <c r="A328" s="5">
        <f t="shared" si="11"/>
        <v>327</v>
      </c>
      <c r="B328" s="3" t="str">
        <f>_xlfn.XLOOKUP(C328,Tab_Def_Flows[Flow_Name],Tab_Def_Flows[Flow_ID],,0,)</f>
        <v>F__</v>
      </c>
      <c r="C328" s="23" t="s">
        <v>5</v>
      </c>
      <c r="D328" s="6" t="str">
        <f>_xlfn.XLOOKUP(C328,Tab_Def_Flows[Flow_Name],Tab_Def_Flows[Use_E1],,0,)</f>
        <v>Yes</v>
      </c>
      <c r="E328" s="6" t="str">
        <f>_xlfn.XLOOKUP(C328,Tab_Def_Flows[Flow_Name],Tab_Def_Flows[Use_E2],,0,)</f>
        <v>Yes</v>
      </c>
      <c r="F328" s="6" t="str">
        <f>_xlfn.XLOOKUP(C328,Tab_Def_Flows[Flow_Name],Tab_Def_Flows[Use_E3],,0,)</f>
        <v>Yes</v>
      </c>
      <c r="G328" s="6" t="str">
        <f>_xlfn.XLOOKUP(C328,Tab_Def_Flows[Flow_Name],Tab_Def_Flows[Use_E4],,0,)</f>
        <v>Yes</v>
      </c>
      <c r="H328" s="6" t="str">
        <f>_xlfn.XLOOKUP(C328,Tab_Def_Flows[Flow_Name],Tab_Def_Flows[Use_E5],,0,)</f>
        <v>Yes</v>
      </c>
      <c r="I328" s="6" t="str">
        <f>_xlfn.XLOOKUP(C328,Tab_Def_Flows[Flow_Name],Tab_Def_Flows[Use_E6],,0,)</f>
        <v>Yes</v>
      </c>
      <c r="J328" s="4"/>
      <c r="K328" s="18"/>
      <c r="L328" s="3" t="str">
        <f>'0_Configuration'!$C$41</f>
        <v>Mg</v>
      </c>
      <c r="M328" s="10"/>
      <c r="N328" s="23" t="s">
        <v>3</v>
      </c>
      <c r="O328" s="11"/>
      <c r="P328" s="4"/>
      <c r="Q328" s="10"/>
      <c r="R328" s="3">
        <f>_xlfn.XLOOKUP(Tab_Data_Flows[[#This Row],[Flow_Name]],Tab_Def_Flows[Flow_Name],Tab_Def_Flows[Flow_E1_Fraction'[%']],"N.A.",0,1)</f>
        <v>0</v>
      </c>
      <c r="S328" s="9">
        <f t="shared" si="10"/>
        <v>0</v>
      </c>
      <c r="T328" s="3" t="str">
        <f>Tab_Data_Flows[[#This Row],[UoM_Source]]</f>
        <v>Mg</v>
      </c>
      <c r="U328" s="24">
        <f>_xlfn.XLOOKUP(Tab_Data_Flows[[#This Row],[Flow_Name]],Tab_Def_Flows[Flow_Name],Tab_Def_Flows[Flow_E2_Fraction'[%']],"N.A.",0,1)</f>
        <v>0</v>
      </c>
      <c r="V328" s="3">
        <f>IF(D328="Yes",S328*Tab_Data_Flows[[#This Row],[E2_Fraction'[%']]],"N.A.")</f>
        <v>0</v>
      </c>
      <c r="W328" s="3" t="str">
        <f>Tab_Data_Flows[[#This Row],[E1_UoM]]</f>
        <v>Mg</v>
      </c>
      <c r="X328" s="24">
        <f>_xlfn.XLOOKUP(Tab_Data_Flows[[#This Row],[Flow_Name]],Tab_Def_Flows[Flow_Name],Tab_Def_Flows[Flow_E3_Fraction'[%']],"N.A.",0,1)</f>
        <v>0</v>
      </c>
      <c r="Y328" s="3">
        <f>IF(E328="Yes",X328*Tab_Data_Flows[[#This Row],[E1_value]],"N.A.")</f>
        <v>0</v>
      </c>
      <c r="Z328" s="3" t="str">
        <f>Tab_Data_Flows[[#This Row],[E1_UoM]]</f>
        <v>Mg</v>
      </c>
      <c r="AA328" s="24">
        <f>_xlfn.XLOOKUP(Tab_Data_Flows[[#This Row],[Flow_Name]],Tab_Def_Flows[Flow_Name],Tab_Def_Flows[Flow_E4_Fraction'[%']],"N.A.",0,1)</f>
        <v>0</v>
      </c>
      <c r="AB328" s="3">
        <f>IF(H328="Yes",Tab_Data_Flows[[#This Row],[E4_Fraction'[%']]]*Tab_Data_Flows[[#This Row],[E1_value]],"N.A.")</f>
        <v>0</v>
      </c>
      <c r="AC328" s="3" t="str">
        <f>Tab_Data_Flows[[#This Row],[E1_UoM]]</f>
        <v>Mg</v>
      </c>
      <c r="AD328" s="24">
        <f>_xlfn.XLOOKUP(Tab_Data_Flows[[#This Row],[Flow_Name]],Tab_Def_Flows[Flow_Name],Tab_Def_Flows[Flow_E5_Fraction'[%']],"N.A.",0,1)</f>
        <v>0</v>
      </c>
      <c r="AE328" s="3">
        <f>IF(H328="Yes",Tab_Data_Flows[[#This Row],[E5_Fraction'[%']]]*Tab_Data_Flows[[#This Row],[E1_value]],"N.A.")</f>
        <v>0</v>
      </c>
      <c r="AF328" s="3" t="str">
        <f>Tab_Data_Flows[[#This Row],[E1_UoM]]</f>
        <v>Mg</v>
      </c>
      <c r="AG328" s="24">
        <f>_xlfn.XLOOKUP(Tab_Data_Flows[[#This Row],[Flow_Name]],Tab_Def_Flows[Flow_Name],Tab_Def_Flows[Flow_E6_Fraction'[%']],"N.A.",0,1)</f>
        <v>0</v>
      </c>
      <c r="AH328" s="3">
        <f>IF(Tab_Data_Flows[[#This Row],[Use_E6]]="Yes",Tab_Data_Flows[[#This Row],[E6_Fraction'[%']]]*Tab_Data_Flows[[#This Row],[E1_value]],"N.A.")</f>
        <v>0</v>
      </c>
      <c r="AI328" s="3" t="str">
        <f>Tab_Data_Flows[[#This Row],[E1_UoM]]</f>
        <v>Mg</v>
      </c>
    </row>
    <row r="329" spans="1:35" x14ac:dyDescent="0.25">
      <c r="A329" s="5">
        <f t="shared" si="11"/>
        <v>328</v>
      </c>
      <c r="B329" s="3" t="str">
        <f>_xlfn.XLOOKUP(C329,Tab_Def_Flows[Flow_Name],Tab_Def_Flows[Flow_ID],,0,)</f>
        <v>F__</v>
      </c>
      <c r="C329" s="23" t="s">
        <v>5</v>
      </c>
      <c r="D329" s="6" t="str">
        <f>_xlfn.XLOOKUP(C329,Tab_Def_Flows[Flow_Name],Tab_Def_Flows[Use_E1],,0,)</f>
        <v>Yes</v>
      </c>
      <c r="E329" s="6" t="str">
        <f>_xlfn.XLOOKUP(C329,Tab_Def_Flows[Flow_Name],Tab_Def_Flows[Use_E2],,0,)</f>
        <v>Yes</v>
      </c>
      <c r="F329" s="6" t="str">
        <f>_xlfn.XLOOKUP(C329,Tab_Def_Flows[Flow_Name],Tab_Def_Flows[Use_E3],,0,)</f>
        <v>Yes</v>
      </c>
      <c r="G329" s="6" t="str">
        <f>_xlfn.XLOOKUP(C329,Tab_Def_Flows[Flow_Name],Tab_Def_Flows[Use_E4],,0,)</f>
        <v>Yes</v>
      </c>
      <c r="H329" s="6" t="str">
        <f>_xlfn.XLOOKUP(C329,Tab_Def_Flows[Flow_Name],Tab_Def_Flows[Use_E5],,0,)</f>
        <v>Yes</v>
      </c>
      <c r="I329" s="6" t="str">
        <f>_xlfn.XLOOKUP(C329,Tab_Def_Flows[Flow_Name],Tab_Def_Flows[Use_E6],,0,)</f>
        <v>Yes</v>
      </c>
      <c r="J329" s="4"/>
      <c r="K329" s="18"/>
      <c r="L329" s="3" t="str">
        <f>'0_Configuration'!$C$41</f>
        <v>Mg</v>
      </c>
      <c r="M329" s="10"/>
      <c r="N329" s="23" t="s">
        <v>3</v>
      </c>
      <c r="O329" s="11"/>
      <c r="P329" s="4"/>
      <c r="Q329" s="10"/>
      <c r="R329" s="3">
        <f>_xlfn.XLOOKUP(Tab_Data_Flows[[#This Row],[Flow_Name]],Tab_Def_Flows[Flow_Name],Tab_Def_Flows[Flow_E1_Fraction'[%']],"N.A.",0,1)</f>
        <v>0</v>
      </c>
      <c r="S329" s="9">
        <f t="shared" si="10"/>
        <v>0</v>
      </c>
      <c r="T329" s="3" t="str">
        <f>Tab_Data_Flows[[#This Row],[UoM_Source]]</f>
        <v>Mg</v>
      </c>
      <c r="U329" s="24">
        <f>_xlfn.XLOOKUP(Tab_Data_Flows[[#This Row],[Flow_Name]],Tab_Def_Flows[Flow_Name],Tab_Def_Flows[Flow_E2_Fraction'[%']],"N.A.",0,1)</f>
        <v>0</v>
      </c>
      <c r="V329" s="3">
        <f>IF(D329="Yes",S329*Tab_Data_Flows[[#This Row],[E2_Fraction'[%']]],"N.A.")</f>
        <v>0</v>
      </c>
      <c r="W329" s="3" t="str">
        <f>Tab_Data_Flows[[#This Row],[E1_UoM]]</f>
        <v>Mg</v>
      </c>
      <c r="X329" s="24">
        <f>_xlfn.XLOOKUP(Tab_Data_Flows[[#This Row],[Flow_Name]],Tab_Def_Flows[Flow_Name],Tab_Def_Flows[Flow_E3_Fraction'[%']],"N.A.",0,1)</f>
        <v>0</v>
      </c>
      <c r="Y329" s="3">
        <f>IF(E329="Yes",X329*Tab_Data_Flows[[#This Row],[E1_value]],"N.A.")</f>
        <v>0</v>
      </c>
      <c r="Z329" s="3" t="str">
        <f>Tab_Data_Flows[[#This Row],[E1_UoM]]</f>
        <v>Mg</v>
      </c>
      <c r="AA329" s="24">
        <f>_xlfn.XLOOKUP(Tab_Data_Flows[[#This Row],[Flow_Name]],Tab_Def_Flows[Flow_Name],Tab_Def_Flows[Flow_E4_Fraction'[%']],"N.A.",0,1)</f>
        <v>0</v>
      </c>
      <c r="AB329" s="3">
        <f>IF(H329="Yes",Tab_Data_Flows[[#This Row],[E4_Fraction'[%']]]*Tab_Data_Flows[[#This Row],[E1_value]],"N.A.")</f>
        <v>0</v>
      </c>
      <c r="AC329" s="3" t="str">
        <f>Tab_Data_Flows[[#This Row],[E1_UoM]]</f>
        <v>Mg</v>
      </c>
      <c r="AD329" s="24">
        <f>_xlfn.XLOOKUP(Tab_Data_Flows[[#This Row],[Flow_Name]],Tab_Def_Flows[Flow_Name],Tab_Def_Flows[Flow_E5_Fraction'[%']],"N.A.",0,1)</f>
        <v>0</v>
      </c>
      <c r="AE329" s="3">
        <f>IF(H329="Yes",Tab_Data_Flows[[#This Row],[E5_Fraction'[%']]]*Tab_Data_Flows[[#This Row],[E1_value]],"N.A.")</f>
        <v>0</v>
      </c>
      <c r="AF329" s="3" t="str">
        <f>Tab_Data_Flows[[#This Row],[E1_UoM]]</f>
        <v>Mg</v>
      </c>
      <c r="AG329" s="24">
        <f>_xlfn.XLOOKUP(Tab_Data_Flows[[#This Row],[Flow_Name]],Tab_Def_Flows[Flow_Name],Tab_Def_Flows[Flow_E6_Fraction'[%']],"N.A.",0,1)</f>
        <v>0</v>
      </c>
      <c r="AH329" s="3">
        <f>IF(Tab_Data_Flows[[#This Row],[Use_E6]]="Yes",Tab_Data_Flows[[#This Row],[E6_Fraction'[%']]]*Tab_Data_Flows[[#This Row],[E1_value]],"N.A.")</f>
        <v>0</v>
      </c>
      <c r="AI329" s="3" t="str">
        <f>Tab_Data_Flows[[#This Row],[E1_UoM]]</f>
        <v>Mg</v>
      </c>
    </row>
    <row r="330" spans="1:35" x14ac:dyDescent="0.25">
      <c r="A330" s="5">
        <f t="shared" si="11"/>
        <v>329</v>
      </c>
      <c r="B330" s="3" t="str">
        <f>_xlfn.XLOOKUP(C330,Tab_Def_Flows[Flow_Name],Tab_Def_Flows[Flow_ID],,0,)</f>
        <v>F__</v>
      </c>
      <c r="C330" s="23" t="s">
        <v>5</v>
      </c>
      <c r="D330" s="6" t="str">
        <f>_xlfn.XLOOKUP(C330,Tab_Def_Flows[Flow_Name],Tab_Def_Flows[Use_E1],,0,)</f>
        <v>Yes</v>
      </c>
      <c r="E330" s="6" t="str">
        <f>_xlfn.XLOOKUP(C330,Tab_Def_Flows[Flow_Name],Tab_Def_Flows[Use_E2],,0,)</f>
        <v>Yes</v>
      </c>
      <c r="F330" s="6" t="str">
        <f>_xlfn.XLOOKUP(C330,Tab_Def_Flows[Flow_Name],Tab_Def_Flows[Use_E3],,0,)</f>
        <v>Yes</v>
      </c>
      <c r="G330" s="6" t="str">
        <f>_xlfn.XLOOKUP(C330,Tab_Def_Flows[Flow_Name],Tab_Def_Flows[Use_E4],,0,)</f>
        <v>Yes</v>
      </c>
      <c r="H330" s="6" t="str">
        <f>_xlfn.XLOOKUP(C330,Tab_Def_Flows[Flow_Name],Tab_Def_Flows[Use_E5],,0,)</f>
        <v>Yes</v>
      </c>
      <c r="I330" s="6" t="str">
        <f>_xlfn.XLOOKUP(C330,Tab_Def_Flows[Flow_Name],Tab_Def_Flows[Use_E6],,0,)</f>
        <v>Yes</v>
      </c>
      <c r="J330" s="4"/>
      <c r="K330" s="18"/>
      <c r="L330" s="3" t="str">
        <f>'0_Configuration'!$C$41</f>
        <v>Mg</v>
      </c>
      <c r="M330" s="10"/>
      <c r="N330" s="23" t="s">
        <v>3</v>
      </c>
      <c r="O330" s="11"/>
      <c r="P330" s="4"/>
      <c r="Q330" s="10"/>
      <c r="R330" s="3">
        <f>_xlfn.XLOOKUP(Tab_Data_Flows[[#This Row],[Flow_Name]],Tab_Def_Flows[Flow_Name],Tab_Def_Flows[Flow_E1_Fraction'[%']],"N.A.",0,1)</f>
        <v>0</v>
      </c>
      <c r="S330" s="9">
        <f t="shared" si="10"/>
        <v>0</v>
      </c>
      <c r="T330" s="3" t="str">
        <f>Tab_Data_Flows[[#This Row],[UoM_Source]]</f>
        <v>Mg</v>
      </c>
      <c r="U330" s="24">
        <f>_xlfn.XLOOKUP(Tab_Data_Flows[[#This Row],[Flow_Name]],Tab_Def_Flows[Flow_Name],Tab_Def_Flows[Flow_E2_Fraction'[%']],"N.A.",0,1)</f>
        <v>0</v>
      </c>
      <c r="V330" s="3">
        <f>IF(D330="Yes",S330*Tab_Data_Flows[[#This Row],[E2_Fraction'[%']]],"N.A.")</f>
        <v>0</v>
      </c>
      <c r="W330" s="3" t="str">
        <f>Tab_Data_Flows[[#This Row],[E1_UoM]]</f>
        <v>Mg</v>
      </c>
      <c r="X330" s="24">
        <f>_xlfn.XLOOKUP(Tab_Data_Flows[[#This Row],[Flow_Name]],Tab_Def_Flows[Flow_Name],Tab_Def_Flows[Flow_E3_Fraction'[%']],"N.A.",0,1)</f>
        <v>0</v>
      </c>
      <c r="Y330" s="3">
        <f>IF(E330="Yes",X330*Tab_Data_Flows[[#This Row],[E1_value]],"N.A.")</f>
        <v>0</v>
      </c>
      <c r="Z330" s="3" t="str">
        <f>Tab_Data_Flows[[#This Row],[E1_UoM]]</f>
        <v>Mg</v>
      </c>
      <c r="AA330" s="24">
        <f>_xlfn.XLOOKUP(Tab_Data_Flows[[#This Row],[Flow_Name]],Tab_Def_Flows[Flow_Name],Tab_Def_Flows[Flow_E4_Fraction'[%']],"N.A.",0,1)</f>
        <v>0</v>
      </c>
      <c r="AB330" s="3">
        <f>IF(H330="Yes",Tab_Data_Flows[[#This Row],[E4_Fraction'[%']]]*Tab_Data_Flows[[#This Row],[E1_value]],"N.A.")</f>
        <v>0</v>
      </c>
      <c r="AC330" s="3" t="str">
        <f>Tab_Data_Flows[[#This Row],[E1_UoM]]</f>
        <v>Mg</v>
      </c>
      <c r="AD330" s="24">
        <f>_xlfn.XLOOKUP(Tab_Data_Flows[[#This Row],[Flow_Name]],Tab_Def_Flows[Flow_Name],Tab_Def_Flows[Flow_E5_Fraction'[%']],"N.A.",0,1)</f>
        <v>0</v>
      </c>
      <c r="AE330" s="3">
        <f>IF(H330="Yes",Tab_Data_Flows[[#This Row],[E5_Fraction'[%']]]*Tab_Data_Flows[[#This Row],[E1_value]],"N.A.")</f>
        <v>0</v>
      </c>
      <c r="AF330" s="3" t="str">
        <f>Tab_Data_Flows[[#This Row],[E1_UoM]]</f>
        <v>Mg</v>
      </c>
      <c r="AG330" s="24">
        <f>_xlfn.XLOOKUP(Tab_Data_Flows[[#This Row],[Flow_Name]],Tab_Def_Flows[Flow_Name],Tab_Def_Flows[Flow_E6_Fraction'[%']],"N.A.",0,1)</f>
        <v>0</v>
      </c>
      <c r="AH330" s="3">
        <f>IF(Tab_Data_Flows[[#This Row],[Use_E6]]="Yes",Tab_Data_Flows[[#This Row],[E6_Fraction'[%']]]*Tab_Data_Flows[[#This Row],[E1_value]],"N.A.")</f>
        <v>0</v>
      </c>
      <c r="AI330" s="3" t="str">
        <f>Tab_Data_Flows[[#This Row],[E1_UoM]]</f>
        <v>Mg</v>
      </c>
    </row>
    <row r="331" spans="1:35" x14ac:dyDescent="0.25">
      <c r="A331" s="5">
        <f t="shared" si="11"/>
        <v>330</v>
      </c>
      <c r="B331" s="3" t="str">
        <f>_xlfn.XLOOKUP(C331,Tab_Def_Flows[Flow_Name],Tab_Def_Flows[Flow_ID],,0,)</f>
        <v>F__</v>
      </c>
      <c r="C331" s="23" t="s">
        <v>5</v>
      </c>
      <c r="D331" s="6" t="str">
        <f>_xlfn.XLOOKUP(C331,Tab_Def_Flows[Flow_Name],Tab_Def_Flows[Use_E1],,0,)</f>
        <v>Yes</v>
      </c>
      <c r="E331" s="6" t="str">
        <f>_xlfn.XLOOKUP(C331,Tab_Def_Flows[Flow_Name],Tab_Def_Flows[Use_E2],,0,)</f>
        <v>Yes</v>
      </c>
      <c r="F331" s="6" t="str">
        <f>_xlfn.XLOOKUP(C331,Tab_Def_Flows[Flow_Name],Tab_Def_Flows[Use_E3],,0,)</f>
        <v>Yes</v>
      </c>
      <c r="G331" s="6" t="str">
        <f>_xlfn.XLOOKUP(C331,Tab_Def_Flows[Flow_Name],Tab_Def_Flows[Use_E4],,0,)</f>
        <v>Yes</v>
      </c>
      <c r="H331" s="6" t="str">
        <f>_xlfn.XLOOKUP(C331,Tab_Def_Flows[Flow_Name],Tab_Def_Flows[Use_E5],,0,)</f>
        <v>Yes</v>
      </c>
      <c r="I331" s="6" t="str">
        <f>_xlfn.XLOOKUP(C331,Tab_Def_Flows[Flow_Name],Tab_Def_Flows[Use_E6],,0,)</f>
        <v>Yes</v>
      </c>
      <c r="J331" s="4"/>
      <c r="K331" s="18"/>
      <c r="L331" s="3" t="str">
        <f>'0_Configuration'!$C$41</f>
        <v>Mg</v>
      </c>
      <c r="M331" s="10"/>
      <c r="N331" s="23" t="s">
        <v>3</v>
      </c>
      <c r="O331" s="11"/>
      <c r="P331" s="4"/>
      <c r="Q331" s="10"/>
      <c r="R331" s="3">
        <f>_xlfn.XLOOKUP(Tab_Data_Flows[[#This Row],[Flow_Name]],Tab_Def_Flows[Flow_Name],Tab_Def_Flows[Flow_E1_Fraction'[%']],"N.A.",0,1)</f>
        <v>0</v>
      </c>
      <c r="S331" s="9">
        <f t="shared" si="10"/>
        <v>0</v>
      </c>
      <c r="T331" s="3" t="str">
        <f>Tab_Data_Flows[[#This Row],[UoM_Source]]</f>
        <v>Mg</v>
      </c>
      <c r="U331" s="24">
        <f>_xlfn.XLOOKUP(Tab_Data_Flows[[#This Row],[Flow_Name]],Tab_Def_Flows[Flow_Name],Tab_Def_Flows[Flow_E2_Fraction'[%']],"N.A.",0,1)</f>
        <v>0</v>
      </c>
      <c r="V331" s="3">
        <f>IF(D331="Yes",S331*Tab_Data_Flows[[#This Row],[E2_Fraction'[%']]],"N.A.")</f>
        <v>0</v>
      </c>
      <c r="W331" s="3" t="str">
        <f>Tab_Data_Flows[[#This Row],[E1_UoM]]</f>
        <v>Mg</v>
      </c>
      <c r="X331" s="24">
        <f>_xlfn.XLOOKUP(Tab_Data_Flows[[#This Row],[Flow_Name]],Tab_Def_Flows[Flow_Name],Tab_Def_Flows[Flow_E3_Fraction'[%']],"N.A.",0,1)</f>
        <v>0</v>
      </c>
      <c r="Y331" s="3">
        <f>IF(E331="Yes",X331*Tab_Data_Flows[[#This Row],[E1_value]],"N.A.")</f>
        <v>0</v>
      </c>
      <c r="Z331" s="3" t="str">
        <f>Tab_Data_Flows[[#This Row],[E1_UoM]]</f>
        <v>Mg</v>
      </c>
      <c r="AA331" s="24">
        <f>_xlfn.XLOOKUP(Tab_Data_Flows[[#This Row],[Flow_Name]],Tab_Def_Flows[Flow_Name],Tab_Def_Flows[Flow_E4_Fraction'[%']],"N.A.",0,1)</f>
        <v>0</v>
      </c>
      <c r="AB331" s="3">
        <f>IF(H331="Yes",Tab_Data_Flows[[#This Row],[E4_Fraction'[%']]]*Tab_Data_Flows[[#This Row],[E1_value]],"N.A.")</f>
        <v>0</v>
      </c>
      <c r="AC331" s="3" t="str">
        <f>Tab_Data_Flows[[#This Row],[E1_UoM]]</f>
        <v>Mg</v>
      </c>
      <c r="AD331" s="24">
        <f>_xlfn.XLOOKUP(Tab_Data_Flows[[#This Row],[Flow_Name]],Tab_Def_Flows[Flow_Name],Tab_Def_Flows[Flow_E5_Fraction'[%']],"N.A.",0,1)</f>
        <v>0</v>
      </c>
      <c r="AE331" s="3">
        <f>IF(H331="Yes",Tab_Data_Flows[[#This Row],[E5_Fraction'[%']]]*Tab_Data_Flows[[#This Row],[E1_value]],"N.A.")</f>
        <v>0</v>
      </c>
      <c r="AF331" s="3" t="str">
        <f>Tab_Data_Flows[[#This Row],[E1_UoM]]</f>
        <v>Mg</v>
      </c>
      <c r="AG331" s="24">
        <f>_xlfn.XLOOKUP(Tab_Data_Flows[[#This Row],[Flow_Name]],Tab_Def_Flows[Flow_Name],Tab_Def_Flows[Flow_E6_Fraction'[%']],"N.A.",0,1)</f>
        <v>0</v>
      </c>
      <c r="AH331" s="3">
        <f>IF(Tab_Data_Flows[[#This Row],[Use_E6]]="Yes",Tab_Data_Flows[[#This Row],[E6_Fraction'[%']]]*Tab_Data_Flows[[#This Row],[E1_value]],"N.A.")</f>
        <v>0</v>
      </c>
      <c r="AI331" s="3" t="str">
        <f>Tab_Data_Flows[[#This Row],[E1_UoM]]</f>
        <v>Mg</v>
      </c>
    </row>
    <row r="332" spans="1:35" x14ac:dyDescent="0.25">
      <c r="A332" s="5">
        <f t="shared" si="11"/>
        <v>331</v>
      </c>
      <c r="B332" s="3" t="str">
        <f>_xlfn.XLOOKUP(C332,Tab_Def_Flows[Flow_Name],Tab_Def_Flows[Flow_ID],,0,)</f>
        <v>F__</v>
      </c>
      <c r="C332" s="23" t="s">
        <v>5</v>
      </c>
      <c r="D332" s="6" t="str">
        <f>_xlfn.XLOOKUP(C332,Tab_Def_Flows[Flow_Name],Tab_Def_Flows[Use_E1],,0,)</f>
        <v>Yes</v>
      </c>
      <c r="E332" s="6" t="str">
        <f>_xlfn.XLOOKUP(C332,Tab_Def_Flows[Flow_Name],Tab_Def_Flows[Use_E2],,0,)</f>
        <v>Yes</v>
      </c>
      <c r="F332" s="6" t="str">
        <f>_xlfn.XLOOKUP(C332,Tab_Def_Flows[Flow_Name],Tab_Def_Flows[Use_E3],,0,)</f>
        <v>Yes</v>
      </c>
      <c r="G332" s="6" t="str">
        <f>_xlfn.XLOOKUP(C332,Tab_Def_Flows[Flow_Name],Tab_Def_Flows[Use_E4],,0,)</f>
        <v>Yes</v>
      </c>
      <c r="H332" s="6" t="str">
        <f>_xlfn.XLOOKUP(C332,Tab_Def_Flows[Flow_Name],Tab_Def_Flows[Use_E5],,0,)</f>
        <v>Yes</v>
      </c>
      <c r="I332" s="6" t="str">
        <f>_xlfn.XLOOKUP(C332,Tab_Def_Flows[Flow_Name],Tab_Def_Flows[Use_E6],,0,)</f>
        <v>Yes</v>
      </c>
      <c r="J332" s="4"/>
      <c r="K332" s="18"/>
      <c r="L332" s="3" t="str">
        <f>'0_Configuration'!$C$41</f>
        <v>Mg</v>
      </c>
      <c r="M332" s="10"/>
      <c r="N332" s="23" t="s">
        <v>3</v>
      </c>
      <c r="O332" s="11"/>
      <c r="P332" s="4"/>
      <c r="Q332" s="10"/>
      <c r="R332" s="3">
        <f>_xlfn.XLOOKUP(Tab_Data_Flows[[#This Row],[Flow_Name]],Tab_Def_Flows[Flow_Name],Tab_Def_Flows[Flow_E1_Fraction'[%']],"N.A.",0,1)</f>
        <v>0</v>
      </c>
      <c r="S332" s="9">
        <f t="shared" si="10"/>
        <v>0</v>
      </c>
      <c r="T332" s="3" t="str">
        <f>Tab_Data_Flows[[#This Row],[UoM_Source]]</f>
        <v>Mg</v>
      </c>
      <c r="U332" s="24">
        <f>_xlfn.XLOOKUP(Tab_Data_Flows[[#This Row],[Flow_Name]],Tab_Def_Flows[Flow_Name],Tab_Def_Flows[Flow_E2_Fraction'[%']],"N.A.",0,1)</f>
        <v>0</v>
      </c>
      <c r="V332" s="3">
        <f>IF(D332="Yes",S332*Tab_Data_Flows[[#This Row],[E2_Fraction'[%']]],"N.A.")</f>
        <v>0</v>
      </c>
      <c r="W332" s="3" t="str">
        <f>Tab_Data_Flows[[#This Row],[E1_UoM]]</f>
        <v>Mg</v>
      </c>
      <c r="X332" s="24">
        <f>_xlfn.XLOOKUP(Tab_Data_Flows[[#This Row],[Flow_Name]],Tab_Def_Flows[Flow_Name],Tab_Def_Flows[Flow_E3_Fraction'[%']],"N.A.",0,1)</f>
        <v>0</v>
      </c>
      <c r="Y332" s="3">
        <f>IF(E332="Yes",X332*Tab_Data_Flows[[#This Row],[E1_value]],"N.A.")</f>
        <v>0</v>
      </c>
      <c r="Z332" s="3" t="str">
        <f>Tab_Data_Flows[[#This Row],[E1_UoM]]</f>
        <v>Mg</v>
      </c>
      <c r="AA332" s="24">
        <f>_xlfn.XLOOKUP(Tab_Data_Flows[[#This Row],[Flow_Name]],Tab_Def_Flows[Flow_Name],Tab_Def_Flows[Flow_E4_Fraction'[%']],"N.A.",0,1)</f>
        <v>0</v>
      </c>
      <c r="AB332" s="3">
        <f>IF(H332="Yes",Tab_Data_Flows[[#This Row],[E4_Fraction'[%']]]*Tab_Data_Flows[[#This Row],[E1_value]],"N.A.")</f>
        <v>0</v>
      </c>
      <c r="AC332" s="3" t="str">
        <f>Tab_Data_Flows[[#This Row],[E1_UoM]]</f>
        <v>Mg</v>
      </c>
      <c r="AD332" s="24">
        <f>_xlfn.XLOOKUP(Tab_Data_Flows[[#This Row],[Flow_Name]],Tab_Def_Flows[Flow_Name],Tab_Def_Flows[Flow_E5_Fraction'[%']],"N.A.",0,1)</f>
        <v>0</v>
      </c>
      <c r="AE332" s="3">
        <f>IF(H332="Yes",Tab_Data_Flows[[#This Row],[E5_Fraction'[%']]]*Tab_Data_Flows[[#This Row],[E1_value]],"N.A.")</f>
        <v>0</v>
      </c>
      <c r="AF332" s="3" t="str">
        <f>Tab_Data_Flows[[#This Row],[E1_UoM]]</f>
        <v>Mg</v>
      </c>
      <c r="AG332" s="24">
        <f>_xlfn.XLOOKUP(Tab_Data_Flows[[#This Row],[Flow_Name]],Tab_Def_Flows[Flow_Name],Tab_Def_Flows[Flow_E6_Fraction'[%']],"N.A.",0,1)</f>
        <v>0</v>
      </c>
      <c r="AH332" s="3">
        <f>IF(Tab_Data_Flows[[#This Row],[Use_E6]]="Yes",Tab_Data_Flows[[#This Row],[E6_Fraction'[%']]]*Tab_Data_Flows[[#This Row],[E1_value]],"N.A.")</f>
        <v>0</v>
      </c>
      <c r="AI332" s="3" t="str">
        <f>Tab_Data_Flows[[#This Row],[E1_UoM]]</f>
        <v>Mg</v>
      </c>
    </row>
    <row r="333" spans="1:35" x14ac:dyDescent="0.25">
      <c r="A333" s="5">
        <f t="shared" si="11"/>
        <v>332</v>
      </c>
      <c r="B333" s="3" t="str">
        <f>_xlfn.XLOOKUP(C333,Tab_Def_Flows[Flow_Name],Tab_Def_Flows[Flow_ID],,0,)</f>
        <v>F__</v>
      </c>
      <c r="C333" s="23" t="s">
        <v>5</v>
      </c>
      <c r="D333" s="6" t="str">
        <f>_xlfn.XLOOKUP(C333,Tab_Def_Flows[Flow_Name],Tab_Def_Flows[Use_E1],,0,)</f>
        <v>Yes</v>
      </c>
      <c r="E333" s="6" t="str">
        <f>_xlfn.XLOOKUP(C333,Tab_Def_Flows[Flow_Name],Tab_Def_Flows[Use_E2],,0,)</f>
        <v>Yes</v>
      </c>
      <c r="F333" s="6" t="str">
        <f>_xlfn.XLOOKUP(C333,Tab_Def_Flows[Flow_Name],Tab_Def_Flows[Use_E3],,0,)</f>
        <v>Yes</v>
      </c>
      <c r="G333" s="6" t="str">
        <f>_xlfn.XLOOKUP(C333,Tab_Def_Flows[Flow_Name],Tab_Def_Flows[Use_E4],,0,)</f>
        <v>Yes</v>
      </c>
      <c r="H333" s="6" t="str">
        <f>_xlfn.XLOOKUP(C333,Tab_Def_Flows[Flow_Name],Tab_Def_Flows[Use_E5],,0,)</f>
        <v>Yes</v>
      </c>
      <c r="I333" s="6" t="str">
        <f>_xlfn.XLOOKUP(C333,Tab_Def_Flows[Flow_Name],Tab_Def_Flows[Use_E6],,0,)</f>
        <v>Yes</v>
      </c>
      <c r="J333" s="4"/>
      <c r="K333" s="18"/>
      <c r="L333" s="3" t="str">
        <f>'0_Configuration'!$C$41</f>
        <v>Mg</v>
      </c>
      <c r="M333" s="10"/>
      <c r="N333" s="23" t="s">
        <v>3</v>
      </c>
      <c r="O333" s="11"/>
      <c r="P333" s="4"/>
      <c r="Q333" s="10"/>
      <c r="R333" s="3">
        <f>_xlfn.XLOOKUP(Tab_Data_Flows[[#This Row],[Flow_Name]],Tab_Def_Flows[Flow_Name],Tab_Def_Flows[Flow_E1_Fraction'[%']],"N.A.",0,1)</f>
        <v>0</v>
      </c>
      <c r="S333" s="9">
        <f t="shared" si="10"/>
        <v>0</v>
      </c>
      <c r="T333" s="3" t="str">
        <f>Tab_Data_Flows[[#This Row],[UoM_Source]]</f>
        <v>Mg</v>
      </c>
      <c r="U333" s="24">
        <f>_xlfn.XLOOKUP(Tab_Data_Flows[[#This Row],[Flow_Name]],Tab_Def_Flows[Flow_Name],Tab_Def_Flows[Flow_E2_Fraction'[%']],"N.A.",0,1)</f>
        <v>0</v>
      </c>
      <c r="V333" s="3">
        <f>IF(D333="Yes",S333*Tab_Data_Flows[[#This Row],[E2_Fraction'[%']]],"N.A.")</f>
        <v>0</v>
      </c>
      <c r="W333" s="3" t="str">
        <f>Tab_Data_Flows[[#This Row],[E1_UoM]]</f>
        <v>Mg</v>
      </c>
      <c r="X333" s="24">
        <f>_xlfn.XLOOKUP(Tab_Data_Flows[[#This Row],[Flow_Name]],Tab_Def_Flows[Flow_Name],Tab_Def_Flows[Flow_E3_Fraction'[%']],"N.A.",0,1)</f>
        <v>0</v>
      </c>
      <c r="Y333" s="3">
        <f>IF(E333="Yes",X333*Tab_Data_Flows[[#This Row],[E1_value]],"N.A.")</f>
        <v>0</v>
      </c>
      <c r="Z333" s="3" t="str">
        <f>Tab_Data_Flows[[#This Row],[E1_UoM]]</f>
        <v>Mg</v>
      </c>
      <c r="AA333" s="24">
        <f>_xlfn.XLOOKUP(Tab_Data_Flows[[#This Row],[Flow_Name]],Tab_Def_Flows[Flow_Name],Tab_Def_Flows[Flow_E4_Fraction'[%']],"N.A.",0,1)</f>
        <v>0</v>
      </c>
      <c r="AB333" s="3">
        <f>IF(H333="Yes",Tab_Data_Flows[[#This Row],[E4_Fraction'[%']]]*Tab_Data_Flows[[#This Row],[E1_value]],"N.A.")</f>
        <v>0</v>
      </c>
      <c r="AC333" s="3" t="str">
        <f>Tab_Data_Flows[[#This Row],[E1_UoM]]</f>
        <v>Mg</v>
      </c>
      <c r="AD333" s="24">
        <f>_xlfn.XLOOKUP(Tab_Data_Flows[[#This Row],[Flow_Name]],Tab_Def_Flows[Flow_Name],Tab_Def_Flows[Flow_E5_Fraction'[%']],"N.A.",0,1)</f>
        <v>0</v>
      </c>
      <c r="AE333" s="3">
        <f>IF(H333="Yes",Tab_Data_Flows[[#This Row],[E5_Fraction'[%']]]*Tab_Data_Flows[[#This Row],[E1_value]],"N.A.")</f>
        <v>0</v>
      </c>
      <c r="AF333" s="3" t="str">
        <f>Tab_Data_Flows[[#This Row],[E1_UoM]]</f>
        <v>Mg</v>
      </c>
      <c r="AG333" s="24">
        <f>_xlfn.XLOOKUP(Tab_Data_Flows[[#This Row],[Flow_Name]],Tab_Def_Flows[Flow_Name],Tab_Def_Flows[Flow_E6_Fraction'[%']],"N.A.",0,1)</f>
        <v>0</v>
      </c>
      <c r="AH333" s="3">
        <f>IF(Tab_Data_Flows[[#This Row],[Use_E6]]="Yes",Tab_Data_Flows[[#This Row],[E6_Fraction'[%']]]*Tab_Data_Flows[[#This Row],[E1_value]],"N.A.")</f>
        <v>0</v>
      </c>
      <c r="AI333" s="3" t="str">
        <f>Tab_Data_Flows[[#This Row],[E1_UoM]]</f>
        <v>Mg</v>
      </c>
    </row>
    <row r="334" spans="1:35" x14ac:dyDescent="0.25">
      <c r="A334" s="5">
        <f t="shared" si="11"/>
        <v>333</v>
      </c>
      <c r="B334" s="3" t="str">
        <f>_xlfn.XLOOKUP(C334,Tab_Def_Flows[Flow_Name],Tab_Def_Flows[Flow_ID],,0,)</f>
        <v>F__</v>
      </c>
      <c r="C334" s="23" t="s">
        <v>5</v>
      </c>
      <c r="D334" s="6" t="str">
        <f>_xlfn.XLOOKUP(C334,Tab_Def_Flows[Flow_Name],Tab_Def_Flows[Use_E1],,0,)</f>
        <v>Yes</v>
      </c>
      <c r="E334" s="6" t="str">
        <f>_xlfn.XLOOKUP(C334,Tab_Def_Flows[Flow_Name],Tab_Def_Flows[Use_E2],,0,)</f>
        <v>Yes</v>
      </c>
      <c r="F334" s="6" t="str">
        <f>_xlfn.XLOOKUP(C334,Tab_Def_Flows[Flow_Name],Tab_Def_Flows[Use_E3],,0,)</f>
        <v>Yes</v>
      </c>
      <c r="G334" s="6" t="str">
        <f>_xlfn.XLOOKUP(C334,Tab_Def_Flows[Flow_Name],Tab_Def_Flows[Use_E4],,0,)</f>
        <v>Yes</v>
      </c>
      <c r="H334" s="6" t="str">
        <f>_xlfn.XLOOKUP(C334,Tab_Def_Flows[Flow_Name],Tab_Def_Flows[Use_E5],,0,)</f>
        <v>Yes</v>
      </c>
      <c r="I334" s="6" t="str">
        <f>_xlfn.XLOOKUP(C334,Tab_Def_Flows[Flow_Name],Tab_Def_Flows[Use_E6],,0,)</f>
        <v>Yes</v>
      </c>
      <c r="J334" s="4"/>
      <c r="K334" s="18"/>
      <c r="L334" s="3" t="str">
        <f>'0_Configuration'!$C$41</f>
        <v>Mg</v>
      </c>
      <c r="M334" s="10"/>
      <c r="N334" s="23" t="s">
        <v>3</v>
      </c>
      <c r="O334" s="4"/>
      <c r="P334" s="4"/>
      <c r="Q334" s="10"/>
      <c r="R334" s="3">
        <f>_xlfn.XLOOKUP(Tab_Data_Flows[[#This Row],[Flow_Name]],Tab_Def_Flows[Flow_Name],Tab_Def_Flows[Flow_E1_Fraction'[%']],"N.A.",0,1)</f>
        <v>0</v>
      </c>
      <c r="S334" s="9">
        <f t="shared" si="10"/>
        <v>0</v>
      </c>
      <c r="T334" s="3" t="str">
        <f>Tab_Data_Flows[[#This Row],[UoM_Source]]</f>
        <v>Mg</v>
      </c>
      <c r="U334" s="24">
        <f>_xlfn.XLOOKUP(Tab_Data_Flows[[#This Row],[Flow_Name]],Tab_Def_Flows[Flow_Name],Tab_Def_Flows[Flow_E2_Fraction'[%']],"N.A.",0,1)</f>
        <v>0</v>
      </c>
      <c r="V334" s="3">
        <f>IF(D334="Yes",S334*Tab_Data_Flows[[#This Row],[E2_Fraction'[%']]],"N.A.")</f>
        <v>0</v>
      </c>
      <c r="W334" s="3" t="str">
        <f>Tab_Data_Flows[[#This Row],[E1_UoM]]</f>
        <v>Mg</v>
      </c>
      <c r="X334" s="24">
        <f>_xlfn.XLOOKUP(Tab_Data_Flows[[#This Row],[Flow_Name]],Tab_Def_Flows[Flow_Name],Tab_Def_Flows[Flow_E3_Fraction'[%']],"N.A.",0,1)</f>
        <v>0</v>
      </c>
      <c r="Y334" s="3">
        <f>IF(E334="Yes",X334*Tab_Data_Flows[[#This Row],[E1_value]],"N.A.")</f>
        <v>0</v>
      </c>
      <c r="Z334" s="3" t="str">
        <f>Tab_Data_Flows[[#This Row],[E1_UoM]]</f>
        <v>Mg</v>
      </c>
      <c r="AA334" s="24">
        <f>_xlfn.XLOOKUP(Tab_Data_Flows[[#This Row],[Flow_Name]],Tab_Def_Flows[Flow_Name],Tab_Def_Flows[Flow_E4_Fraction'[%']],"N.A.",0,1)</f>
        <v>0</v>
      </c>
      <c r="AB334" s="3">
        <f>IF(H334="Yes",Tab_Data_Flows[[#This Row],[E4_Fraction'[%']]]*Tab_Data_Flows[[#This Row],[E1_value]],"N.A.")</f>
        <v>0</v>
      </c>
      <c r="AC334" s="3" t="str">
        <f>Tab_Data_Flows[[#This Row],[E1_UoM]]</f>
        <v>Mg</v>
      </c>
      <c r="AD334" s="24">
        <f>_xlfn.XLOOKUP(Tab_Data_Flows[[#This Row],[Flow_Name]],Tab_Def_Flows[Flow_Name],Tab_Def_Flows[Flow_E5_Fraction'[%']],"N.A.",0,1)</f>
        <v>0</v>
      </c>
      <c r="AE334" s="3">
        <f>IF(H334="Yes",Tab_Data_Flows[[#This Row],[E5_Fraction'[%']]]*Tab_Data_Flows[[#This Row],[E1_value]],"N.A.")</f>
        <v>0</v>
      </c>
      <c r="AF334" s="3" t="str">
        <f>Tab_Data_Flows[[#This Row],[E1_UoM]]</f>
        <v>Mg</v>
      </c>
      <c r="AG334" s="24">
        <f>_xlfn.XLOOKUP(Tab_Data_Flows[[#This Row],[Flow_Name]],Tab_Def_Flows[Flow_Name],Tab_Def_Flows[Flow_E6_Fraction'[%']],"N.A.",0,1)</f>
        <v>0</v>
      </c>
      <c r="AH334" s="3">
        <f>IF(Tab_Data_Flows[[#This Row],[Use_E6]]="Yes",Tab_Data_Flows[[#This Row],[E6_Fraction'[%']]]*Tab_Data_Flows[[#This Row],[E1_value]],"N.A.")</f>
        <v>0</v>
      </c>
      <c r="AI334" s="3" t="str">
        <f>Tab_Data_Flows[[#This Row],[E1_UoM]]</f>
        <v>Mg</v>
      </c>
    </row>
    <row r="335" spans="1:35" x14ac:dyDescent="0.25">
      <c r="A335" s="5">
        <f t="shared" si="11"/>
        <v>334</v>
      </c>
      <c r="B335" s="3" t="str">
        <f>_xlfn.XLOOKUP(C335,Tab_Def_Flows[Flow_Name],Tab_Def_Flows[Flow_ID],,0,)</f>
        <v>F__</v>
      </c>
      <c r="C335" s="23" t="s">
        <v>5</v>
      </c>
      <c r="D335" s="6" t="str">
        <f>_xlfn.XLOOKUP(C335,Tab_Def_Flows[Flow_Name],Tab_Def_Flows[Use_E1],,0,)</f>
        <v>Yes</v>
      </c>
      <c r="E335" s="6" t="str">
        <f>_xlfn.XLOOKUP(C335,Tab_Def_Flows[Flow_Name],Tab_Def_Flows[Use_E2],,0,)</f>
        <v>Yes</v>
      </c>
      <c r="F335" s="6" t="str">
        <f>_xlfn.XLOOKUP(C335,Tab_Def_Flows[Flow_Name],Tab_Def_Flows[Use_E3],,0,)</f>
        <v>Yes</v>
      </c>
      <c r="G335" s="6" t="str">
        <f>_xlfn.XLOOKUP(C335,Tab_Def_Flows[Flow_Name],Tab_Def_Flows[Use_E4],,0,)</f>
        <v>Yes</v>
      </c>
      <c r="H335" s="6" t="str">
        <f>_xlfn.XLOOKUP(C335,Tab_Def_Flows[Flow_Name],Tab_Def_Flows[Use_E5],,0,)</f>
        <v>Yes</v>
      </c>
      <c r="I335" s="6" t="str">
        <f>_xlfn.XLOOKUP(C335,Tab_Def_Flows[Flow_Name],Tab_Def_Flows[Use_E6],,0,)</f>
        <v>Yes</v>
      </c>
      <c r="J335" s="4"/>
      <c r="K335" s="18"/>
      <c r="L335" s="3" t="str">
        <f>'0_Configuration'!$C$41</f>
        <v>Mg</v>
      </c>
      <c r="M335" s="10"/>
      <c r="N335" s="23" t="s">
        <v>3</v>
      </c>
      <c r="O335" s="4"/>
      <c r="P335" s="4"/>
      <c r="Q335" s="10"/>
      <c r="R335" s="3">
        <f>_xlfn.XLOOKUP(Tab_Data_Flows[[#This Row],[Flow_Name]],Tab_Def_Flows[Flow_Name],Tab_Def_Flows[Flow_E1_Fraction'[%']],"N.A.",0,1)</f>
        <v>0</v>
      </c>
      <c r="S335" s="9">
        <f t="shared" si="10"/>
        <v>0</v>
      </c>
      <c r="T335" s="3" t="str">
        <f>Tab_Data_Flows[[#This Row],[UoM_Source]]</f>
        <v>Mg</v>
      </c>
      <c r="U335" s="24">
        <f>_xlfn.XLOOKUP(Tab_Data_Flows[[#This Row],[Flow_Name]],Tab_Def_Flows[Flow_Name],Tab_Def_Flows[Flow_E2_Fraction'[%']],"N.A.",0,1)</f>
        <v>0</v>
      </c>
      <c r="V335" s="3">
        <f>IF(D335="Yes",S335*Tab_Data_Flows[[#This Row],[E2_Fraction'[%']]],"N.A.")</f>
        <v>0</v>
      </c>
      <c r="W335" s="3" t="str">
        <f>Tab_Data_Flows[[#This Row],[E1_UoM]]</f>
        <v>Mg</v>
      </c>
      <c r="X335" s="24">
        <f>_xlfn.XLOOKUP(Tab_Data_Flows[[#This Row],[Flow_Name]],Tab_Def_Flows[Flow_Name],Tab_Def_Flows[Flow_E3_Fraction'[%']],"N.A.",0,1)</f>
        <v>0</v>
      </c>
      <c r="Y335" s="3">
        <f>IF(E335="Yes",X335*Tab_Data_Flows[[#This Row],[E1_value]],"N.A.")</f>
        <v>0</v>
      </c>
      <c r="Z335" s="3" t="str">
        <f>Tab_Data_Flows[[#This Row],[E1_UoM]]</f>
        <v>Mg</v>
      </c>
      <c r="AA335" s="24">
        <f>_xlfn.XLOOKUP(Tab_Data_Flows[[#This Row],[Flow_Name]],Tab_Def_Flows[Flow_Name],Tab_Def_Flows[Flow_E4_Fraction'[%']],"N.A.",0,1)</f>
        <v>0</v>
      </c>
      <c r="AB335" s="3">
        <f>IF(H335="Yes",Tab_Data_Flows[[#This Row],[E4_Fraction'[%']]]*Tab_Data_Flows[[#This Row],[E1_value]],"N.A.")</f>
        <v>0</v>
      </c>
      <c r="AC335" s="3" t="str">
        <f>Tab_Data_Flows[[#This Row],[E1_UoM]]</f>
        <v>Mg</v>
      </c>
      <c r="AD335" s="24">
        <f>_xlfn.XLOOKUP(Tab_Data_Flows[[#This Row],[Flow_Name]],Tab_Def_Flows[Flow_Name],Tab_Def_Flows[Flow_E5_Fraction'[%']],"N.A.",0,1)</f>
        <v>0</v>
      </c>
      <c r="AE335" s="3">
        <f>IF(H335="Yes",Tab_Data_Flows[[#This Row],[E5_Fraction'[%']]]*Tab_Data_Flows[[#This Row],[E1_value]],"N.A.")</f>
        <v>0</v>
      </c>
      <c r="AF335" s="3" t="str">
        <f>Tab_Data_Flows[[#This Row],[E1_UoM]]</f>
        <v>Mg</v>
      </c>
      <c r="AG335" s="24">
        <f>_xlfn.XLOOKUP(Tab_Data_Flows[[#This Row],[Flow_Name]],Tab_Def_Flows[Flow_Name],Tab_Def_Flows[Flow_E6_Fraction'[%']],"N.A.",0,1)</f>
        <v>0</v>
      </c>
      <c r="AH335" s="3">
        <f>IF(Tab_Data_Flows[[#This Row],[Use_E6]]="Yes",Tab_Data_Flows[[#This Row],[E6_Fraction'[%']]]*Tab_Data_Flows[[#This Row],[E1_value]],"N.A.")</f>
        <v>0</v>
      </c>
      <c r="AI335" s="3" t="str">
        <f>Tab_Data_Flows[[#This Row],[E1_UoM]]</f>
        <v>Mg</v>
      </c>
    </row>
    <row r="336" spans="1:35" x14ac:dyDescent="0.25">
      <c r="A336" s="5">
        <f t="shared" si="11"/>
        <v>335</v>
      </c>
      <c r="B336" s="3" t="str">
        <f>_xlfn.XLOOKUP(C336,Tab_Def_Flows[Flow_Name],Tab_Def_Flows[Flow_ID],,0,)</f>
        <v>F__</v>
      </c>
      <c r="C336" s="23" t="s">
        <v>5</v>
      </c>
      <c r="D336" s="6" t="str">
        <f>_xlfn.XLOOKUP(C336,Tab_Def_Flows[Flow_Name],Tab_Def_Flows[Use_E1],,0,)</f>
        <v>Yes</v>
      </c>
      <c r="E336" s="6" t="str">
        <f>_xlfn.XLOOKUP(C336,Tab_Def_Flows[Flow_Name],Tab_Def_Flows[Use_E2],,0,)</f>
        <v>Yes</v>
      </c>
      <c r="F336" s="6" t="str">
        <f>_xlfn.XLOOKUP(C336,Tab_Def_Flows[Flow_Name],Tab_Def_Flows[Use_E3],,0,)</f>
        <v>Yes</v>
      </c>
      <c r="G336" s="6" t="str">
        <f>_xlfn.XLOOKUP(C336,Tab_Def_Flows[Flow_Name],Tab_Def_Flows[Use_E4],,0,)</f>
        <v>Yes</v>
      </c>
      <c r="H336" s="6" t="str">
        <f>_xlfn.XLOOKUP(C336,Tab_Def_Flows[Flow_Name],Tab_Def_Flows[Use_E5],,0,)</f>
        <v>Yes</v>
      </c>
      <c r="I336" s="6" t="str">
        <f>_xlfn.XLOOKUP(C336,Tab_Def_Flows[Flow_Name],Tab_Def_Flows[Use_E6],,0,)</f>
        <v>Yes</v>
      </c>
      <c r="J336" s="4"/>
      <c r="K336" s="18"/>
      <c r="L336" s="3" t="str">
        <f>'0_Configuration'!$C$41</f>
        <v>Mg</v>
      </c>
      <c r="M336" s="10"/>
      <c r="N336" s="23" t="s">
        <v>3</v>
      </c>
      <c r="O336" s="4"/>
      <c r="P336" s="4"/>
      <c r="Q336" s="10"/>
      <c r="R336" s="3">
        <f>_xlfn.XLOOKUP(Tab_Data_Flows[[#This Row],[Flow_Name]],Tab_Def_Flows[Flow_Name],Tab_Def_Flows[Flow_E1_Fraction'[%']],"N.A.",0,1)</f>
        <v>0</v>
      </c>
      <c r="S336" s="9">
        <f t="shared" si="10"/>
        <v>0</v>
      </c>
      <c r="T336" s="3" t="str">
        <f>Tab_Data_Flows[[#This Row],[UoM_Source]]</f>
        <v>Mg</v>
      </c>
      <c r="U336" s="24">
        <f>_xlfn.XLOOKUP(Tab_Data_Flows[[#This Row],[Flow_Name]],Tab_Def_Flows[Flow_Name],Tab_Def_Flows[Flow_E2_Fraction'[%']],"N.A.",0,1)</f>
        <v>0</v>
      </c>
      <c r="V336" s="3">
        <f>IF(D336="Yes",S336*Tab_Data_Flows[[#This Row],[E2_Fraction'[%']]],"N.A.")</f>
        <v>0</v>
      </c>
      <c r="W336" s="3" t="str">
        <f>Tab_Data_Flows[[#This Row],[E1_UoM]]</f>
        <v>Mg</v>
      </c>
      <c r="X336" s="24">
        <f>_xlfn.XLOOKUP(Tab_Data_Flows[[#This Row],[Flow_Name]],Tab_Def_Flows[Flow_Name],Tab_Def_Flows[Flow_E3_Fraction'[%']],"N.A.",0,1)</f>
        <v>0</v>
      </c>
      <c r="Y336" s="3">
        <f>IF(E336="Yes",X336*Tab_Data_Flows[[#This Row],[E1_value]],"N.A.")</f>
        <v>0</v>
      </c>
      <c r="Z336" s="3" t="str">
        <f>Tab_Data_Flows[[#This Row],[E1_UoM]]</f>
        <v>Mg</v>
      </c>
      <c r="AA336" s="24">
        <f>_xlfn.XLOOKUP(Tab_Data_Flows[[#This Row],[Flow_Name]],Tab_Def_Flows[Flow_Name],Tab_Def_Flows[Flow_E4_Fraction'[%']],"N.A.",0,1)</f>
        <v>0</v>
      </c>
      <c r="AB336" s="3">
        <f>IF(H336="Yes",Tab_Data_Flows[[#This Row],[E4_Fraction'[%']]]*Tab_Data_Flows[[#This Row],[E1_value]],"N.A.")</f>
        <v>0</v>
      </c>
      <c r="AC336" s="3" t="str">
        <f>Tab_Data_Flows[[#This Row],[E1_UoM]]</f>
        <v>Mg</v>
      </c>
      <c r="AD336" s="24">
        <f>_xlfn.XLOOKUP(Tab_Data_Flows[[#This Row],[Flow_Name]],Tab_Def_Flows[Flow_Name],Tab_Def_Flows[Flow_E5_Fraction'[%']],"N.A.",0,1)</f>
        <v>0</v>
      </c>
      <c r="AE336" s="3">
        <f>IF(H336="Yes",Tab_Data_Flows[[#This Row],[E5_Fraction'[%']]]*Tab_Data_Flows[[#This Row],[E1_value]],"N.A.")</f>
        <v>0</v>
      </c>
      <c r="AF336" s="3" t="str">
        <f>Tab_Data_Flows[[#This Row],[E1_UoM]]</f>
        <v>Mg</v>
      </c>
      <c r="AG336" s="24">
        <f>_xlfn.XLOOKUP(Tab_Data_Flows[[#This Row],[Flow_Name]],Tab_Def_Flows[Flow_Name],Tab_Def_Flows[Flow_E6_Fraction'[%']],"N.A.",0,1)</f>
        <v>0</v>
      </c>
      <c r="AH336" s="3">
        <f>IF(Tab_Data_Flows[[#This Row],[Use_E6]]="Yes",Tab_Data_Flows[[#This Row],[E6_Fraction'[%']]]*Tab_Data_Flows[[#This Row],[E1_value]],"N.A.")</f>
        <v>0</v>
      </c>
      <c r="AI336" s="3" t="str">
        <f>Tab_Data_Flows[[#This Row],[E1_UoM]]</f>
        <v>Mg</v>
      </c>
    </row>
    <row r="337" spans="1:35" x14ac:dyDescent="0.25">
      <c r="A337" s="5">
        <f t="shared" si="11"/>
        <v>336</v>
      </c>
      <c r="B337" s="3" t="str">
        <f>_xlfn.XLOOKUP(C337,Tab_Def_Flows[Flow_Name],Tab_Def_Flows[Flow_ID],,0,)</f>
        <v>F__</v>
      </c>
      <c r="C337" s="23" t="s">
        <v>5</v>
      </c>
      <c r="D337" s="6" t="str">
        <f>_xlfn.XLOOKUP(C337,Tab_Def_Flows[Flow_Name],Tab_Def_Flows[Use_E1],,0,)</f>
        <v>Yes</v>
      </c>
      <c r="E337" s="6" t="str">
        <f>_xlfn.XLOOKUP(C337,Tab_Def_Flows[Flow_Name],Tab_Def_Flows[Use_E2],,0,)</f>
        <v>Yes</v>
      </c>
      <c r="F337" s="6" t="str">
        <f>_xlfn.XLOOKUP(C337,Tab_Def_Flows[Flow_Name],Tab_Def_Flows[Use_E3],,0,)</f>
        <v>Yes</v>
      </c>
      <c r="G337" s="6" t="str">
        <f>_xlfn.XLOOKUP(C337,Tab_Def_Flows[Flow_Name],Tab_Def_Flows[Use_E4],,0,)</f>
        <v>Yes</v>
      </c>
      <c r="H337" s="6" t="str">
        <f>_xlfn.XLOOKUP(C337,Tab_Def_Flows[Flow_Name],Tab_Def_Flows[Use_E5],,0,)</f>
        <v>Yes</v>
      </c>
      <c r="I337" s="6" t="str">
        <f>_xlfn.XLOOKUP(C337,Tab_Def_Flows[Flow_Name],Tab_Def_Flows[Use_E6],,0,)</f>
        <v>Yes</v>
      </c>
      <c r="J337" s="4"/>
      <c r="K337" s="18"/>
      <c r="L337" s="3" t="str">
        <f>'0_Configuration'!$C$41</f>
        <v>Mg</v>
      </c>
      <c r="M337" s="10"/>
      <c r="N337" s="23" t="s">
        <v>3</v>
      </c>
      <c r="O337" s="4"/>
      <c r="P337" s="4"/>
      <c r="Q337" s="10"/>
      <c r="R337" s="3">
        <f>_xlfn.XLOOKUP(Tab_Data_Flows[[#This Row],[Flow_Name]],Tab_Def_Flows[Flow_Name],Tab_Def_Flows[Flow_E1_Fraction'[%']],"N.A.",0,1)</f>
        <v>0</v>
      </c>
      <c r="S337" s="9">
        <f t="shared" si="10"/>
        <v>0</v>
      </c>
      <c r="T337" s="3" t="str">
        <f>Tab_Data_Flows[[#This Row],[UoM_Source]]</f>
        <v>Mg</v>
      </c>
      <c r="U337" s="24">
        <f>_xlfn.XLOOKUP(Tab_Data_Flows[[#This Row],[Flow_Name]],Tab_Def_Flows[Flow_Name],Tab_Def_Flows[Flow_E2_Fraction'[%']],"N.A.",0,1)</f>
        <v>0</v>
      </c>
      <c r="V337" s="3">
        <f>IF(D337="Yes",S337*Tab_Data_Flows[[#This Row],[E2_Fraction'[%']]],"N.A.")</f>
        <v>0</v>
      </c>
      <c r="W337" s="3" t="str">
        <f>Tab_Data_Flows[[#This Row],[E1_UoM]]</f>
        <v>Mg</v>
      </c>
      <c r="X337" s="24">
        <f>_xlfn.XLOOKUP(Tab_Data_Flows[[#This Row],[Flow_Name]],Tab_Def_Flows[Flow_Name],Tab_Def_Flows[Flow_E3_Fraction'[%']],"N.A.",0,1)</f>
        <v>0</v>
      </c>
      <c r="Y337" s="3">
        <f>IF(E337="Yes",X337*Tab_Data_Flows[[#This Row],[E1_value]],"N.A.")</f>
        <v>0</v>
      </c>
      <c r="Z337" s="3" t="str">
        <f>Tab_Data_Flows[[#This Row],[E1_UoM]]</f>
        <v>Mg</v>
      </c>
      <c r="AA337" s="24">
        <f>_xlfn.XLOOKUP(Tab_Data_Flows[[#This Row],[Flow_Name]],Tab_Def_Flows[Flow_Name],Tab_Def_Flows[Flow_E4_Fraction'[%']],"N.A.",0,1)</f>
        <v>0</v>
      </c>
      <c r="AB337" s="3">
        <f>IF(H337="Yes",Tab_Data_Flows[[#This Row],[E4_Fraction'[%']]]*Tab_Data_Flows[[#This Row],[E1_value]],"N.A.")</f>
        <v>0</v>
      </c>
      <c r="AC337" s="3" t="str">
        <f>Tab_Data_Flows[[#This Row],[E1_UoM]]</f>
        <v>Mg</v>
      </c>
      <c r="AD337" s="24">
        <f>_xlfn.XLOOKUP(Tab_Data_Flows[[#This Row],[Flow_Name]],Tab_Def_Flows[Flow_Name],Tab_Def_Flows[Flow_E5_Fraction'[%']],"N.A.",0,1)</f>
        <v>0</v>
      </c>
      <c r="AE337" s="3">
        <f>IF(H337="Yes",Tab_Data_Flows[[#This Row],[E5_Fraction'[%']]]*Tab_Data_Flows[[#This Row],[E1_value]],"N.A.")</f>
        <v>0</v>
      </c>
      <c r="AF337" s="3" t="str">
        <f>Tab_Data_Flows[[#This Row],[E1_UoM]]</f>
        <v>Mg</v>
      </c>
      <c r="AG337" s="24">
        <f>_xlfn.XLOOKUP(Tab_Data_Flows[[#This Row],[Flow_Name]],Tab_Def_Flows[Flow_Name],Tab_Def_Flows[Flow_E6_Fraction'[%']],"N.A.",0,1)</f>
        <v>0</v>
      </c>
      <c r="AH337" s="3">
        <f>IF(Tab_Data_Flows[[#This Row],[Use_E6]]="Yes",Tab_Data_Flows[[#This Row],[E6_Fraction'[%']]]*Tab_Data_Flows[[#This Row],[E1_value]],"N.A.")</f>
        <v>0</v>
      </c>
      <c r="AI337" s="3" t="str">
        <f>Tab_Data_Flows[[#This Row],[E1_UoM]]</f>
        <v>Mg</v>
      </c>
    </row>
    <row r="338" spans="1:35" x14ac:dyDescent="0.25">
      <c r="A338" s="5">
        <f t="shared" si="11"/>
        <v>337</v>
      </c>
      <c r="B338" s="3" t="str">
        <f>_xlfn.XLOOKUP(C338,Tab_Def_Flows[Flow_Name],Tab_Def_Flows[Flow_ID],,0,)</f>
        <v>F__</v>
      </c>
      <c r="C338" s="23" t="s">
        <v>5</v>
      </c>
      <c r="D338" s="6" t="str">
        <f>_xlfn.XLOOKUP(C338,Tab_Def_Flows[Flow_Name],Tab_Def_Flows[Use_E1],,0,)</f>
        <v>Yes</v>
      </c>
      <c r="E338" s="6" t="str">
        <f>_xlfn.XLOOKUP(C338,Tab_Def_Flows[Flow_Name],Tab_Def_Flows[Use_E2],,0,)</f>
        <v>Yes</v>
      </c>
      <c r="F338" s="6" t="str">
        <f>_xlfn.XLOOKUP(C338,Tab_Def_Flows[Flow_Name],Tab_Def_Flows[Use_E3],,0,)</f>
        <v>Yes</v>
      </c>
      <c r="G338" s="6" t="str">
        <f>_xlfn.XLOOKUP(C338,Tab_Def_Flows[Flow_Name],Tab_Def_Flows[Use_E4],,0,)</f>
        <v>Yes</v>
      </c>
      <c r="H338" s="6" t="str">
        <f>_xlfn.XLOOKUP(C338,Tab_Def_Flows[Flow_Name],Tab_Def_Flows[Use_E5],,0,)</f>
        <v>Yes</v>
      </c>
      <c r="I338" s="6" t="str">
        <f>_xlfn.XLOOKUP(C338,Tab_Def_Flows[Flow_Name],Tab_Def_Flows[Use_E6],,0,)</f>
        <v>Yes</v>
      </c>
      <c r="J338" s="4"/>
      <c r="K338" s="18"/>
      <c r="L338" s="3" t="str">
        <f>'0_Configuration'!$C$41</f>
        <v>Mg</v>
      </c>
      <c r="M338" s="10"/>
      <c r="N338" s="23" t="s">
        <v>3</v>
      </c>
      <c r="O338" s="4"/>
      <c r="P338" s="4"/>
      <c r="Q338" s="10"/>
      <c r="R338" s="3">
        <f>_xlfn.XLOOKUP(Tab_Data_Flows[[#This Row],[Flow_Name]],Tab_Def_Flows[Flow_Name],Tab_Def_Flows[Flow_E1_Fraction'[%']],"N.A.",0,1)</f>
        <v>0</v>
      </c>
      <c r="S338" s="9">
        <f t="shared" si="10"/>
        <v>0</v>
      </c>
      <c r="T338" s="3" t="str">
        <f>Tab_Data_Flows[[#This Row],[UoM_Source]]</f>
        <v>Mg</v>
      </c>
      <c r="U338" s="24">
        <f>_xlfn.XLOOKUP(Tab_Data_Flows[[#This Row],[Flow_Name]],Tab_Def_Flows[Flow_Name],Tab_Def_Flows[Flow_E2_Fraction'[%']],"N.A.",0,1)</f>
        <v>0</v>
      </c>
      <c r="V338" s="3">
        <f>IF(D338="Yes",S338*Tab_Data_Flows[[#This Row],[E2_Fraction'[%']]],"N.A.")</f>
        <v>0</v>
      </c>
      <c r="W338" s="3" t="str">
        <f>Tab_Data_Flows[[#This Row],[E1_UoM]]</f>
        <v>Mg</v>
      </c>
      <c r="X338" s="24">
        <f>_xlfn.XLOOKUP(Tab_Data_Flows[[#This Row],[Flow_Name]],Tab_Def_Flows[Flow_Name],Tab_Def_Flows[Flow_E3_Fraction'[%']],"N.A.",0,1)</f>
        <v>0</v>
      </c>
      <c r="Y338" s="3">
        <f>IF(E338="Yes",X338*Tab_Data_Flows[[#This Row],[E1_value]],"N.A.")</f>
        <v>0</v>
      </c>
      <c r="Z338" s="3" t="str">
        <f>Tab_Data_Flows[[#This Row],[E1_UoM]]</f>
        <v>Mg</v>
      </c>
      <c r="AA338" s="24">
        <f>_xlfn.XLOOKUP(Tab_Data_Flows[[#This Row],[Flow_Name]],Tab_Def_Flows[Flow_Name],Tab_Def_Flows[Flow_E4_Fraction'[%']],"N.A.",0,1)</f>
        <v>0</v>
      </c>
      <c r="AB338" s="3">
        <f>IF(H338="Yes",Tab_Data_Flows[[#This Row],[E4_Fraction'[%']]]*Tab_Data_Flows[[#This Row],[E1_value]],"N.A.")</f>
        <v>0</v>
      </c>
      <c r="AC338" s="3" t="str">
        <f>Tab_Data_Flows[[#This Row],[E1_UoM]]</f>
        <v>Mg</v>
      </c>
      <c r="AD338" s="24">
        <f>_xlfn.XLOOKUP(Tab_Data_Flows[[#This Row],[Flow_Name]],Tab_Def_Flows[Flow_Name],Tab_Def_Flows[Flow_E5_Fraction'[%']],"N.A.",0,1)</f>
        <v>0</v>
      </c>
      <c r="AE338" s="3">
        <f>IF(H338="Yes",Tab_Data_Flows[[#This Row],[E5_Fraction'[%']]]*Tab_Data_Flows[[#This Row],[E1_value]],"N.A.")</f>
        <v>0</v>
      </c>
      <c r="AF338" s="3" t="str">
        <f>Tab_Data_Flows[[#This Row],[E1_UoM]]</f>
        <v>Mg</v>
      </c>
      <c r="AG338" s="24">
        <f>_xlfn.XLOOKUP(Tab_Data_Flows[[#This Row],[Flow_Name]],Tab_Def_Flows[Flow_Name],Tab_Def_Flows[Flow_E6_Fraction'[%']],"N.A.",0,1)</f>
        <v>0</v>
      </c>
      <c r="AH338" s="3">
        <f>IF(Tab_Data_Flows[[#This Row],[Use_E6]]="Yes",Tab_Data_Flows[[#This Row],[E6_Fraction'[%']]]*Tab_Data_Flows[[#This Row],[E1_value]],"N.A.")</f>
        <v>0</v>
      </c>
      <c r="AI338" s="3" t="str">
        <f>Tab_Data_Flows[[#This Row],[E1_UoM]]</f>
        <v>Mg</v>
      </c>
    </row>
    <row r="339" spans="1:35" x14ac:dyDescent="0.25">
      <c r="A339" s="5">
        <f t="shared" si="11"/>
        <v>338</v>
      </c>
      <c r="B339" s="3" t="str">
        <f>_xlfn.XLOOKUP(C339,Tab_Def_Flows[Flow_Name],Tab_Def_Flows[Flow_ID],,0,)</f>
        <v>F__</v>
      </c>
      <c r="C339" s="23" t="s">
        <v>5</v>
      </c>
      <c r="D339" s="6" t="str">
        <f>_xlfn.XLOOKUP(C339,Tab_Def_Flows[Flow_Name],Tab_Def_Flows[Use_E1],,0,)</f>
        <v>Yes</v>
      </c>
      <c r="E339" s="6" t="str">
        <f>_xlfn.XLOOKUP(C339,Tab_Def_Flows[Flow_Name],Tab_Def_Flows[Use_E2],,0,)</f>
        <v>Yes</v>
      </c>
      <c r="F339" s="6" t="str">
        <f>_xlfn.XLOOKUP(C339,Tab_Def_Flows[Flow_Name],Tab_Def_Flows[Use_E3],,0,)</f>
        <v>Yes</v>
      </c>
      <c r="G339" s="6" t="str">
        <f>_xlfn.XLOOKUP(C339,Tab_Def_Flows[Flow_Name],Tab_Def_Flows[Use_E4],,0,)</f>
        <v>Yes</v>
      </c>
      <c r="H339" s="6" t="str">
        <f>_xlfn.XLOOKUP(C339,Tab_Def_Flows[Flow_Name],Tab_Def_Flows[Use_E5],,0,)</f>
        <v>Yes</v>
      </c>
      <c r="I339" s="6" t="str">
        <f>_xlfn.XLOOKUP(C339,Tab_Def_Flows[Flow_Name],Tab_Def_Flows[Use_E6],,0,)</f>
        <v>Yes</v>
      </c>
      <c r="J339" s="4"/>
      <c r="K339" s="18"/>
      <c r="L339" s="3" t="str">
        <f>'0_Configuration'!$C$41</f>
        <v>Mg</v>
      </c>
      <c r="M339" s="10"/>
      <c r="N339" s="23" t="s">
        <v>3</v>
      </c>
      <c r="O339" s="4"/>
      <c r="P339" s="4"/>
      <c r="Q339" s="10"/>
      <c r="R339" s="3">
        <f>_xlfn.XLOOKUP(Tab_Data_Flows[[#This Row],[Flow_Name]],Tab_Def_Flows[Flow_Name],Tab_Def_Flows[Flow_E1_Fraction'[%']],"N.A.",0,1)</f>
        <v>0</v>
      </c>
      <c r="S339" s="9">
        <f t="shared" si="10"/>
        <v>0</v>
      </c>
      <c r="T339" s="3" t="str">
        <f>Tab_Data_Flows[[#This Row],[UoM_Source]]</f>
        <v>Mg</v>
      </c>
      <c r="U339" s="24">
        <f>_xlfn.XLOOKUP(Tab_Data_Flows[[#This Row],[Flow_Name]],Tab_Def_Flows[Flow_Name],Tab_Def_Flows[Flow_E2_Fraction'[%']],"N.A.",0,1)</f>
        <v>0</v>
      </c>
      <c r="V339" s="3">
        <f>IF(D339="Yes",S339*Tab_Data_Flows[[#This Row],[E2_Fraction'[%']]],"N.A.")</f>
        <v>0</v>
      </c>
      <c r="W339" s="3" t="str">
        <f>Tab_Data_Flows[[#This Row],[E1_UoM]]</f>
        <v>Mg</v>
      </c>
      <c r="X339" s="24">
        <f>_xlfn.XLOOKUP(Tab_Data_Flows[[#This Row],[Flow_Name]],Tab_Def_Flows[Flow_Name],Tab_Def_Flows[Flow_E3_Fraction'[%']],"N.A.",0,1)</f>
        <v>0</v>
      </c>
      <c r="Y339" s="3">
        <f>IF(E339="Yes",X339*Tab_Data_Flows[[#This Row],[E1_value]],"N.A.")</f>
        <v>0</v>
      </c>
      <c r="Z339" s="3" t="str">
        <f>Tab_Data_Flows[[#This Row],[E1_UoM]]</f>
        <v>Mg</v>
      </c>
      <c r="AA339" s="24">
        <f>_xlfn.XLOOKUP(Tab_Data_Flows[[#This Row],[Flow_Name]],Tab_Def_Flows[Flow_Name],Tab_Def_Flows[Flow_E4_Fraction'[%']],"N.A.",0,1)</f>
        <v>0</v>
      </c>
      <c r="AB339" s="3">
        <f>IF(H339="Yes",Tab_Data_Flows[[#This Row],[E4_Fraction'[%']]]*Tab_Data_Flows[[#This Row],[E1_value]],"N.A.")</f>
        <v>0</v>
      </c>
      <c r="AC339" s="3" t="str">
        <f>Tab_Data_Flows[[#This Row],[E1_UoM]]</f>
        <v>Mg</v>
      </c>
      <c r="AD339" s="24">
        <f>_xlfn.XLOOKUP(Tab_Data_Flows[[#This Row],[Flow_Name]],Tab_Def_Flows[Flow_Name],Tab_Def_Flows[Flow_E5_Fraction'[%']],"N.A.",0,1)</f>
        <v>0</v>
      </c>
      <c r="AE339" s="3">
        <f>IF(H339="Yes",Tab_Data_Flows[[#This Row],[E5_Fraction'[%']]]*Tab_Data_Flows[[#This Row],[E1_value]],"N.A.")</f>
        <v>0</v>
      </c>
      <c r="AF339" s="3" t="str">
        <f>Tab_Data_Flows[[#This Row],[E1_UoM]]</f>
        <v>Mg</v>
      </c>
      <c r="AG339" s="24">
        <f>_xlfn.XLOOKUP(Tab_Data_Flows[[#This Row],[Flow_Name]],Tab_Def_Flows[Flow_Name],Tab_Def_Flows[Flow_E6_Fraction'[%']],"N.A.",0,1)</f>
        <v>0</v>
      </c>
      <c r="AH339" s="3">
        <f>IF(Tab_Data_Flows[[#This Row],[Use_E6]]="Yes",Tab_Data_Flows[[#This Row],[E6_Fraction'[%']]]*Tab_Data_Flows[[#This Row],[E1_value]],"N.A.")</f>
        <v>0</v>
      </c>
      <c r="AI339" s="3" t="str">
        <f>Tab_Data_Flows[[#This Row],[E1_UoM]]</f>
        <v>Mg</v>
      </c>
    </row>
    <row r="340" spans="1:35" x14ac:dyDescent="0.25">
      <c r="A340" s="5">
        <f t="shared" si="11"/>
        <v>339</v>
      </c>
      <c r="B340" s="3" t="str">
        <f>_xlfn.XLOOKUP(C340,Tab_Def_Flows[Flow_Name],Tab_Def_Flows[Flow_ID],,0,)</f>
        <v>F__</v>
      </c>
      <c r="C340" s="23" t="s">
        <v>5</v>
      </c>
      <c r="D340" s="6" t="str">
        <f>_xlfn.XLOOKUP(C340,Tab_Def_Flows[Flow_Name],Tab_Def_Flows[Use_E1],,0,)</f>
        <v>Yes</v>
      </c>
      <c r="E340" s="6" t="str">
        <f>_xlfn.XLOOKUP(C340,Tab_Def_Flows[Flow_Name],Tab_Def_Flows[Use_E2],,0,)</f>
        <v>Yes</v>
      </c>
      <c r="F340" s="6" t="str">
        <f>_xlfn.XLOOKUP(C340,Tab_Def_Flows[Flow_Name],Tab_Def_Flows[Use_E3],,0,)</f>
        <v>Yes</v>
      </c>
      <c r="G340" s="6" t="str">
        <f>_xlfn.XLOOKUP(C340,Tab_Def_Flows[Flow_Name],Tab_Def_Flows[Use_E4],,0,)</f>
        <v>Yes</v>
      </c>
      <c r="H340" s="6" t="str">
        <f>_xlfn.XLOOKUP(C340,Tab_Def_Flows[Flow_Name],Tab_Def_Flows[Use_E5],,0,)</f>
        <v>Yes</v>
      </c>
      <c r="I340" s="6" t="str">
        <f>_xlfn.XLOOKUP(C340,Tab_Def_Flows[Flow_Name],Tab_Def_Flows[Use_E6],,0,)</f>
        <v>Yes</v>
      </c>
      <c r="J340" s="4"/>
      <c r="K340" s="18"/>
      <c r="L340" s="3" t="str">
        <f>'0_Configuration'!$C$41</f>
        <v>Mg</v>
      </c>
      <c r="M340" s="10"/>
      <c r="N340" s="23" t="s">
        <v>3</v>
      </c>
      <c r="O340" s="4"/>
      <c r="P340" s="4"/>
      <c r="Q340" s="10"/>
      <c r="R340" s="3">
        <f>_xlfn.XLOOKUP(Tab_Data_Flows[[#This Row],[Flow_Name]],Tab_Def_Flows[Flow_Name],Tab_Def_Flows[Flow_E1_Fraction'[%']],"N.A.",0,1)</f>
        <v>0</v>
      </c>
      <c r="S340" s="9">
        <f t="shared" si="10"/>
        <v>0</v>
      </c>
      <c r="T340" s="3" t="str">
        <f>Tab_Data_Flows[[#This Row],[UoM_Source]]</f>
        <v>Mg</v>
      </c>
      <c r="U340" s="24">
        <f>_xlfn.XLOOKUP(Tab_Data_Flows[[#This Row],[Flow_Name]],Tab_Def_Flows[Flow_Name],Tab_Def_Flows[Flow_E2_Fraction'[%']],"N.A.",0,1)</f>
        <v>0</v>
      </c>
      <c r="V340" s="3">
        <f>IF(D340="Yes",S340*Tab_Data_Flows[[#This Row],[E2_Fraction'[%']]],"N.A.")</f>
        <v>0</v>
      </c>
      <c r="W340" s="3" t="str">
        <f>Tab_Data_Flows[[#This Row],[E1_UoM]]</f>
        <v>Mg</v>
      </c>
      <c r="X340" s="24">
        <f>_xlfn.XLOOKUP(Tab_Data_Flows[[#This Row],[Flow_Name]],Tab_Def_Flows[Flow_Name],Tab_Def_Flows[Flow_E3_Fraction'[%']],"N.A.",0,1)</f>
        <v>0</v>
      </c>
      <c r="Y340" s="3">
        <f>IF(E340="Yes",X340*Tab_Data_Flows[[#This Row],[E1_value]],"N.A.")</f>
        <v>0</v>
      </c>
      <c r="Z340" s="3" t="str">
        <f>Tab_Data_Flows[[#This Row],[E1_UoM]]</f>
        <v>Mg</v>
      </c>
      <c r="AA340" s="24">
        <f>_xlfn.XLOOKUP(Tab_Data_Flows[[#This Row],[Flow_Name]],Tab_Def_Flows[Flow_Name],Tab_Def_Flows[Flow_E4_Fraction'[%']],"N.A.",0,1)</f>
        <v>0</v>
      </c>
      <c r="AB340" s="3">
        <f>IF(H340="Yes",Tab_Data_Flows[[#This Row],[E4_Fraction'[%']]]*Tab_Data_Flows[[#This Row],[E1_value]],"N.A.")</f>
        <v>0</v>
      </c>
      <c r="AC340" s="3" t="str">
        <f>Tab_Data_Flows[[#This Row],[E1_UoM]]</f>
        <v>Mg</v>
      </c>
      <c r="AD340" s="24">
        <f>_xlfn.XLOOKUP(Tab_Data_Flows[[#This Row],[Flow_Name]],Tab_Def_Flows[Flow_Name],Tab_Def_Flows[Flow_E5_Fraction'[%']],"N.A.",0,1)</f>
        <v>0</v>
      </c>
      <c r="AE340" s="3">
        <f>IF(H340="Yes",Tab_Data_Flows[[#This Row],[E5_Fraction'[%']]]*Tab_Data_Flows[[#This Row],[E1_value]],"N.A.")</f>
        <v>0</v>
      </c>
      <c r="AF340" s="3" t="str">
        <f>Tab_Data_Flows[[#This Row],[E1_UoM]]</f>
        <v>Mg</v>
      </c>
      <c r="AG340" s="24">
        <f>_xlfn.XLOOKUP(Tab_Data_Flows[[#This Row],[Flow_Name]],Tab_Def_Flows[Flow_Name],Tab_Def_Flows[Flow_E6_Fraction'[%']],"N.A.",0,1)</f>
        <v>0</v>
      </c>
      <c r="AH340" s="3">
        <f>IF(Tab_Data_Flows[[#This Row],[Use_E6]]="Yes",Tab_Data_Flows[[#This Row],[E6_Fraction'[%']]]*Tab_Data_Flows[[#This Row],[E1_value]],"N.A.")</f>
        <v>0</v>
      </c>
      <c r="AI340" s="3" t="str">
        <f>Tab_Data_Flows[[#This Row],[E1_UoM]]</f>
        <v>Mg</v>
      </c>
    </row>
    <row r="341" spans="1:35" x14ac:dyDescent="0.25">
      <c r="A341" s="5">
        <f t="shared" si="11"/>
        <v>340</v>
      </c>
      <c r="B341" s="3" t="str">
        <f>_xlfn.XLOOKUP(C341,Tab_Def_Flows[Flow_Name],Tab_Def_Flows[Flow_ID],,0,)</f>
        <v>F__</v>
      </c>
      <c r="C341" s="23" t="s">
        <v>5</v>
      </c>
      <c r="D341" s="6" t="str">
        <f>_xlfn.XLOOKUP(C341,Tab_Def_Flows[Flow_Name],Tab_Def_Flows[Use_E1],,0,)</f>
        <v>Yes</v>
      </c>
      <c r="E341" s="6" t="str">
        <f>_xlfn.XLOOKUP(C341,Tab_Def_Flows[Flow_Name],Tab_Def_Flows[Use_E2],,0,)</f>
        <v>Yes</v>
      </c>
      <c r="F341" s="6" t="str">
        <f>_xlfn.XLOOKUP(C341,Tab_Def_Flows[Flow_Name],Tab_Def_Flows[Use_E3],,0,)</f>
        <v>Yes</v>
      </c>
      <c r="G341" s="6" t="str">
        <f>_xlfn.XLOOKUP(C341,Tab_Def_Flows[Flow_Name],Tab_Def_Flows[Use_E4],,0,)</f>
        <v>Yes</v>
      </c>
      <c r="H341" s="6" t="str">
        <f>_xlfn.XLOOKUP(C341,Tab_Def_Flows[Flow_Name],Tab_Def_Flows[Use_E5],,0,)</f>
        <v>Yes</v>
      </c>
      <c r="I341" s="6" t="str">
        <f>_xlfn.XLOOKUP(C341,Tab_Def_Flows[Flow_Name],Tab_Def_Flows[Use_E6],,0,)</f>
        <v>Yes</v>
      </c>
      <c r="J341" s="4"/>
      <c r="K341" s="18"/>
      <c r="L341" s="3" t="str">
        <f>'0_Configuration'!$C$41</f>
        <v>Mg</v>
      </c>
      <c r="M341" s="10"/>
      <c r="N341" s="23" t="s">
        <v>3</v>
      </c>
      <c r="O341" s="4"/>
      <c r="P341" s="4"/>
      <c r="Q341" s="10"/>
      <c r="R341" s="3">
        <f>_xlfn.XLOOKUP(Tab_Data_Flows[[#This Row],[Flow_Name]],Tab_Def_Flows[Flow_Name],Tab_Def_Flows[Flow_E1_Fraction'[%']],"N.A.",0,1)</f>
        <v>0</v>
      </c>
      <c r="S341" s="9">
        <f t="shared" si="10"/>
        <v>0</v>
      </c>
      <c r="T341" s="3" t="str">
        <f>Tab_Data_Flows[[#This Row],[UoM_Source]]</f>
        <v>Mg</v>
      </c>
      <c r="U341" s="24">
        <f>_xlfn.XLOOKUP(Tab_Data_Flows[[#This Row],[Flow_Name]],Tab_Def_Flows[Flow_Name],Tab_Def_Flows[Flow_E2_Fraction'[%']],"N.A.",0,1)</f>
        <v>0</v>
      </c>
      <c r="V341" s="3">
        <f>IF(D341="Yes",S341*Tab_Data_Flows[[#This Row],[E2_Fraction'[%']]],"N.A.")</f>
        <v>0</v>
      </c>
      <c r="W341" s="3" t="str">
        <f>Tab_Data_Flows[[#This Row],[E1_UoM]]</f>
        <v>Mg</v>
      </c>
      <c r="X341" s="24">
        <f>_xlfn.XLOOKUP(Tab_Data_Flows[[#This Row],[Flow_Name]],Tab_Def_Flows[Flow_Name],Tab_Def_Flows[Flow_E3_Fraction'[%']],"N.A.",0,1)</f>
        <v>0</v>
      </c>
      <c r="Y341" s="3">
        <f>IF(E341="Yes",X341*Tab_Data_Flows[[#This Row],[E1_value]],"N.A.")</f>
        <v>0</v>
      </c>
      <c r="Z341" s="3" t="str">
        <f>Tab_Data_Flows[[#This Row],[E1_UoM]]</f>
        <v>Mg</v>
      </c>
      <c r="AA341" s="24">
        <f>_xlfn.XLOOKUP(Tab_Data_Flows[[#This Row],[Flow_Name]],Tab_Def_Flows[Flow_Name],Tab_Def_Flows[Flow_E4_Fraction'[%']],"N.A.",0,1)</f>
        <v>0</v>
      </c>
      <c r="AB341" s="3">
        <f>IF(H341="Yes",Tab_Data_Flows[[#This Row],[E4_Fraction'[%']]]*Tab_Data_Flows[[#This Row],[E1_value]],"N.A.")</f>
        <v>0</v>
      </c>
      <c r="AC341" s="3" t="str">
        <f>Tab_Data_Flows[[#This Row],[E1_UoM]]</f>
        <v>Mg</v>
      </c>
      <c r="AD341" s="24">
        <f>_xlfn.XLOOKUP(Tab_Data_Flows[[#This Row],[Flow_Name]],Tab_Def_Flows[Flow_Name],Tab_Def_Flows[Flow_E5_Fraction'[%']],"N.A.",0,1)</f>
        <v>0</v>
      </c>
      <c r="AE341" s="3">
        <f>IF(H341="Yes",Tab_Data_Flows[[#This Row],[E5_Fraction'[%']]]*Tab_Data_Flows[[#This Row],[E1_value]],"N.A.")</f>
        <v>0</v>
      </c>
      <c r="AF341" s="3" t="str">
        <f>Tab_Data_Flows[[#This Row],[E1_UoM]]</f>
        <v>Mg</v>
      </c>
      <c r="AG341" s="24">
        <f>_xlfn.XLOOKUP(Tab_Data_Flows[[#This Row],[Flow_Name]],Tab_Def_Flows[Flow_Name],Tab_Def_Flows[Flow_E6_Fraction'[%']],"N.A.",0,1)</f>
        <v>0</v>
      </c>
      <c r="AH341" s="3">
        <f>IF(Tab_Data_Flows[[#This Row],[Use_E6]]="Yes",Tab_Data_Flows[[#This Row],[E6_Fraction'[%']]]*Tab_Data_Flows[[#This Row],[E1_value]],"N.A.")</f>
        <v>0</v>
      </c>
      <c r="AI341" s="3" t="str">
        <f>Tab_Data_Flows[[#This Row],[E1_UoM]]</f>
        <v>Mg</v>
      </c>
    </row>
    <row r="342" spans="1:35" x14ac:dyDescent="0.25">
      <c r="A342" s="5">
        <f t="shared" si="11"/>
        <v>341</v>
      </c>
      <c r="B342" s="3" t="str">
        <f>_xlfn.XLOOKUP(C342,Tab_Def_Flows[Flow_Name],Tab_Def_Flows[Flow_ID],,0,)</f>
        <v>F__</v>
      </c>
      <c r="C342" s="23" t="s">
        <v>5</v>
      </c>
      <c r="D342" s="6" t="str">
        <f>_xlfn.XLOOKUP(C342,Tab_Def_Flows[Flow_Name],Tab_Def_Flows[Use_E1],,0,)</f>
        <v>Yes</v>
      </c>
      <c r="E342" s="6" t="str">
        <f>_xlfn.XLOOKUP(C342,Tab_Def_Flows[Flow_Name],Tab_Def_Flows[Use_E2],,0,)</f>
        <v>Yes</v>
      </c>
      <c r="F342" s="6" t="str">
        <f>_xlfn.XLOOKUP(C342,Tab_Def_Flows[Flow_Name],Tab_Def_Flows[Use_E3],,0,)</f>
        <v>Yes</v>
      </c>
      <c r="G342" s="6" t="str">
        <f>_xlfn.XLOOKUP(C342,Tab_Def_Flows[Flow_Name],Tab_Def_Flows[Use_E4],,0,)</f>
        <v>Yes</v>
      </c>
      <c r="H342" s="6" t="str">
        <f>_xlfn.XLOOKUP(C342,Tab_Def_Flows[Flow_Name],Tab_Def_Flows[Use_E5],,0,)</f>
        <v>Yes</v>
      </c>
      <c r="I342" s="6" t="str">
        <f>_xlfn.XLOOKUP(C342,Tab_Def_Flows[Flow_Name],Tab_Def_Flows[Use_E6],,0,)</f>
        <v>Yes</v>
      </c>
      <c r="J342" s="4"/>
      <c r="K342" s="18"/>
      <c r="L342" s="3" t="str">
        <f>'0_Configuration'!$C$41</f>
        <v>Mg</v>
      </c>
      <c r="M342" s="10"/>
      <c r="N342" s="23" t="s">
        <v>3</v>
      </c>
      <c r="O342" s="4"/>
      <c r="P342" s="4"/>
      <c r="Q342" s="10"/>
      <c r="R342" s="3">
        <f>_xlfn.XLOOKUP(Tab_Data_Flows[[#This Row],[Flow_Name]],Tab_Def_Flows[Flow_Name],Tab_Def_Flows[Flow_E1_Fraction'[%']],"N.A.",0,1)</f>
        <v>0</v>
      </c>
      <c r="S342" s="9">
        <f t="shared" si="10"/>
        <v>0</v>
      </c>
      <c r="T342" s="3" t="str">
        <f>Tab_Data_Flows[[#This Row],[UoM_Source]]</f>
        <v>Mg</v>
      </c>
      <c r="U342" s="24">
        <f>_xlfn.XLOOKUP(Tab_Data_Flows[[#This Row],[Flow_Name]],Tab_Def_Flows[Flow_Name],Tab_Def_Flows[Flow_E2_Fraction'[%']],"N.A.",0,1)</f>
        <v>0</v>
      </c>
      <c r="V342" s="3">
        <f>IF(D342="Yes",S342*Tab_Data_Flows[[#This Row],[E2_Fraction'[%']]],"N.A.")</f>
        <v>0</v>
      </c>
      <c r="W342" s="3" t="str">
        <f>Tab_Data_Flows[[#This Row],[E1_UoM]]</f>
        <v>Mg</v>
      </c>
      <c r="X342" s="24">
        <f>_xlfn.XLOOKUP(Tab_Data_Flows[[#This Row],[Flow_Name]],Tab_Def_Flows[Flow_Name],Tab_Def_Flows[Flow_E3_Fraction'[%']],"N.A.",0,1)</f>
        <v>0</v>
      </c>
      <c r="Y342" s="3">
        <f>IF(E342="Yes",X342*Tab_Data_Flows[[#This Row],[E1_value]],"N.A.")</f>
        <v>0</v>
      </c>
      <c r="Z342" s="3" t="str">
        <f>Tab_Data_Flows[[#This Row],[E1_UoM]]</f>
        <v>Mg</v>
      </c>
      <c r="AA342" s="24">
        <f>_xlfn.XLOOKUP(Tab_Data_Flows[[#This Row],[Flow_Name]],Tab_Def_Flows[Flow_Name],Tab_Def_Flows[Flow_E4_Fraction'[%']],"N.A.",0,1)</f>
        <v>0</v>
      </c>
      <c r="AB342" s="3">
        <f>IF(H342="Yes",Tab_Data_Flows[[#This Row],[E4_Fraction'[%']]]*Tab_Data_Flows[[#This Row],[E1_value]],"N.A.")</f>
        <v>0</v>
      </c>
      <c r="AC342" s="3" t="str">
        <f>Tab_Data_Flows[[#This Row],[E1_UoM]]</f>
        <v>Mg</v>
      </c>
      <c r="AD342" s="24">
        <f>_xlfn.XLOOKUP(Tab_Data_Flows[[#This Row],[Flow_Name]],Tab_Def_Flows[Flow_Name],Tab_Def_Flows[Flow_E5_Fraction'[%']],"N.A.",0,1)</f>
        <v>0</v>
      </c>
      <c r="AE342" s="3">
        <f>IF(H342="Yes",Tab_Data_Flows[[#This Row],[E5_Fraction'[%']]]*Tab_Data_Flows[[#This Row],[E1_value]],"N.A.")</f>
        <v>0</v>
      </c>
      <c r="AF342" s="3" t="str">
        <f>Tab_Data_Flows[[#This Row],[E1_UoM]]</f>
        <v>Mg</v>
      </c>
      <c r="AG342" s="24">
        <f>_xlfn.XLOOKUP(Tab_Data_Flows[[#This Row],[Flow_Name]],Tab_Def_Flows[Flow_Name],Tab_Def_Flows[Flow_E6_Fraction'[%']],"N.A.",0,1)</f>
        <v>0</v>
      </c>
      <c r="AH342" s="3">
        <f>IF(Tab_Data_Flows[[#This Row],[Use_E6]]="Yes",Tab_Data_Flows[[#This Row],[E6_Fraction'[%']]]*Tab_Data_Flows[[#This Row],[E1_value]],"N.A.")</f>
        <v>0</v>
      </c>
      <c r="AI342" s="3" t="str">
        <f>Tab_Data_Flows[[#This Row],[E1_UoM]]</f>
        <v>Mg</v>
      </c>
    </row>
    <row r="343" spans="1:35" x14ac:dyDescent="0.25">
      <c r="A343" s="5">
        <f t="shared" si="11"/>
        <v>342</v>
      </c>
      <c r="B343" s="3" t="str">
        <f>_xlfn.XLOOKUP(C343,Tab_Def_Flows[Flow_Name],Tab_Def_Flows[Flow_ID],,0,)</f>
        <v>F__</v>
      </c>
      <c r="C343" s="23" t="s">
        <v>5</v>
      </c>
      <c r="D343" s="6" t="str">
        <f>_xlfn.XLOOKUP(C343,Tab_Def_Flows[Flow_Name],Tab_Def_Flows[Use_E1],,0,)</f>
        <v>Yes</v>
      </c>
      <c r="E343" s="6" t="str">
        <f>_xlfn.XLOOKUP(C343,Tab_Def_Flows[Flow_Name],Tab_Def_Flows[Use_E2],,0,)</f>
        <v>Yes</v>
      </c>
      <c r="F343" s="6" t="str">
        <f>_xlfn.XLOOKUP(C343,Tab_Def_Flows[Flow_Name],Tab_Def_Flows[Use_E3],,0,)</f>
        <v>Yes</v>
      </c>
      <c r="G343" s="6" t="str">
        <f>_xlfn.XLOOKUP(C343,Tab_Def_Flows[Flow_Name],Tab_Def_Flows[Use_E4],,0,)</f>
        <v>Yes</v>
      </c>
      <c r="H343" s="6" t="str">
        <f>_xlfn.XLOOKUP(C343,Tab_Def_Flows[Flow_Name],Tab_Def_Flows[Use_E5],,0,)</f>
        <v>Yes</v>
      </c>
      <c r="I343" s="6" t="str">
        <f>_xlfn.XLOOKUP(C343,Tab_Def_Flows[Flow_Name],Tab_Def_Flows[Use_E6],,0,)</f>
        <v>Yes</v>
      </c>
      <c r="J343" s="4"/>
      <c r="K343" s="18"/>
      <c r="L343" s="3" t="str">
        <f>'0_Configuration'!$C$41</f>
        <v>Mg</v>
      </c>
      <c r="M343" s="10"/>
      <c r="N343" s="23" t="s">
        <v>3</v>
      </c>
      <c r="O343" s="4"/>
      <c r="P343" s="4"/>
      <c r="Q343" s="10"/>
      <c r="R343" s="3">
        <f>_xlfn.XLOOKUP(Tab_Data_Flows[[#This Row],[Flow_Name]],Tab_Def_Flows[Flow_Name],Tab_Def_Flows[Flow_E1_Fraction'[%']],"N.A.",0,1)</f>
        <v>0</v>
      </c>
      <c r="S343" s="9">
        <f t="shared" si="10"/>
        <v>0</v>
      </c>
      <c r="T343" s="3" t="str">
        <f>Tab_Data_Flows[[#This Row],[UoM_Source]]</f>
        <v>Mg</v>
      </c>
      <c r="U343" s="24">
        <f>_xlfn.XLOOKUP(Tab_Data_Flows[[#This Row],[Flow_Name]],Tab_Def_Flows[Flow_Name],Tab_Def_Flows[Flow_E2_Fraction'[%']],"N.A.",0,1)</f>
        <v>0</v>
      </c>
      <c r="V343" s="3">
        <f>IF(D343="Yes",S343*Tab_Data_Flows[[#This Row],[E2_Fraction'[%']]],"N.A.")</f>
        <v>0</v>
      </c>
      <c r="W343" s="3" t="str">
        <f>Tab_Data_Flows[[#This Row],[E1_UoM]]</f>
        <v>Mg</v>
      </c>
      <c r="X343" s="24">
        <f>_xlfn.XLOOKUP(Tab_Data_Flows[[#This Row],[Flow_Name]],Tab_Def_Flows[Flow_Name],Tab_Def_Flows[Flow_E3_Fraction'[%']],"N.A.",0,1)</f>
        <v>0</v>
      </c>
      <c r="Y343" s="3">
        <f>IF(E343="Yes",X343*Tab_Data_Flows[[#This Row],[E1_value]],"N.A.")</f>
        <v>0</v>
      </c>
      <c r="Z343" s="3" t="str">
        <f>Tab_Data_Flows[[#This Row],[E1_UoM]]</f>
        <v>Mg</v>
      </c>
      <c r="AA343" s="24">
        <f>_xlfn.XLOOKUP(Tab_Data_Flows[[#This Row],[Flow_Name]],Tab_Def_Flows[Flow_Name],Tab_Def_Flows[Flow_E4_Fraction'[%']],"N.A.",0,1)</f>
        <v>0</v>
      </c>
      <c r="AB343" s="3">
        <f>IF(H343="Yes",Tab_Data_Flows[[#This Row],[E4_Fraction'[%']]]*Tab_Data_Flows[[#This Row],[E1_value]],"N.A.")</f>
        <v>0</v>
      </c>
      <c r="AC343" s="3" t="str">
        <f>Tab_Data_Flows[[#This Row],[E1_UoM]]</f>
        <v>Mg</v>
      </c>
      <c r="AD343" s="24">
        <f>_xlfn.XLOOKUP(Tab_Data_Flows[[#This Row],[Flow_Name]],Tab_Def_Flows[Flow_Name],Tab_Def_Flows[Flow_E5_Fraction'[%']],"N.A.",0,1)</f>
        <v>0</v>
      </c>
      <c r="AE343" s="3">
        <f>IF(H343="Yes",Tab_Data_Flows[[#This Row],[E5_Fraction'[%']]]*Tab_Data_Flows[[#This Row],[E1_value]],"N.A.")</f>
        <v>0</v>
      </c>
      <c r="AF343" s="3" t="str">
        <f>Tab_Data_Flows[[#This Row],[E1_UoM]]</f>
        <v>Mg</v>
      </c>
      <c r="AG343" s="24">
        <f>_xlfn.XLOOKUP(Tab_Data_Flows[[#This Row],[Flow_Name]],Tab_Def_Flows[Flow_Name],Tab_Def_Flows[Flow_E6_Fraction'[%']],"N.A.",0,1)</f>
        <v>0</v>
      </c>
      <c r="AH343" s="3">
        <f>IF(Tab_Data_Flows[[#This Row],[Use_E6]]="Yes",Tab_Data_Flows[[#This Row],[E6_Fraction'[%']]]*Tab_Data_Flows[[#This Row],[E1_value]],"N.A.")</f>
        <v>0</v>
      </c>
      <c r="AI343" s="3" t="str">
        <f>Tab_Data_Flows[[#This Row],[E1_UoM]]</f>
        <v>Mg</v>
      </c>
    </row>
    <row r="344" spans="1:35" x14ac:dyDescent="0.25">
      <c r="A344" s="5">
        <f t="shared" si="11"/>
        <v>343</v>
      </c>
      <c r="B344" s="3" t="str">
        <f>_xlfn.XLOOKUP(C344,Tab_Def_Flows[Flow_Name],Tab_Def_Flows[Flow_ID],,0,)</f>
        <v>F__</v>
      </c>
      <c r="C344" s="23" t="s">
        <v>5</v>
      </c>
      <c r="D344" s="6" t="str">
        <f>_xlfn.XLOOKUP(C344,Tab_Def_Flows[Flow_Name],Tab_Def_Flows[Use_E1],,0,)</f>
        <v>Yes</v>
      </c>
      <c r="E344" s="6" t="str">
        <f>_xlfn.XLOOKUP(C344,Tab_Def_Flows[Flow_Name],Tab_Def_Flows[Use_E2],,0,)</f>
        <v>Yes</v>
      </c>
      <c r="F344" s="6" t="str">
        <f>_xlfn.XLOOKUP(C344,Tab_Def_Flows[Flow_Name],Tab_Def_Flows[Use_E3],,0,)</f>
        <v>Yes</v>
      </c>
      <c r="G344" s="6" t="str">
        <f>_xlfn.XLOOKUP(C344,Tab_Def_Flows[Flow_Name],Tab_Def_Flows[Use_E4],,0,)</f>
        <v>Yes</v>
      </c>
      <c r="H344" s="6" t="str">
        <f>_xlfn.XLOOKUP(C344,Tab_Def_Flows[Flow_Name],Tab_Def_Flows[Use_E5],,0,)</f>
        <v>Yes</v>
      </c>
      <c r="I344" s="6" t="str">
        <f>_xlfn.XLOOKUP(C344,Tab_Def_Flows[Flow_Name],Tab_Def_Flows[Use_E6],,0,)</f>
        <v>Yes</v>
      </c>
      <c r="J344" s="4"/>
      <c r="K344" s="18"/>
      <c r="L344" s="3" t="str">
        <f>'0_Configuration'!$C$41</f>
        <v>Mg</v>
      </c>
      <c r="M344" s="10"/>
      <c r="N344" s="23" t="s">
        <v>3</v>
      </c>
      <c r="O344" s="4"/>
      <c r="P344" s="4"/>
      <c r="Q344" s="10"/>
      <c r="R344" s="3">
        <f>_xlfn.XLOOKUP(Tab_Data_Flows[[#This Row],[Flow_Name]],Tab_Def_Flows[Flow_Name],Tab_Def_Flows[Flow_E1_Fraction'[%']],"N.A.",0,1)</f>
        <v>0</v>
      </c>
      <c r="S344" s="9">
        <f t="shared" si="10"/>
        <v>0</v>
      </c>
      <c r="T344" s="3" t="str">
        <f>Tab_Data_Flows[[#This Row],[UoM_Source]]</f>
        <v>Mg</v>
      </c>
      <c r="U344" s="24">
        <f>_xlfn.XLOOKUP(Tab_Data_Flows[[#This Row],[Flow_Name]],Tab_Def_Flows[Flow_Name],Tab_Def_Flows[Flow_E2_Fraction'[%']],"N.A.",0,1)</f>
        <v>0</v>
      </c>
      <c r="V344" s="3">
        <f>IF(D344="Yes",S344*Tab_Data_Flows[[#This Row],[E2_Fraction'[%']]],"N.A.")</f>
        <v>0</v>
      </c>
      <c r="W344" s="3" t="str">
        <f>Tab_Data_Flows[[#This Row],[E1_UoM]]</f>
        <v>Mg</v>
      </c>
      <c r="X344" s="24">
        <f>_xlfn.XLOOKUP(Tab_Data_Flows[[#This Row],[Flow_Name]],Tab_Def_Flows[Flow_Name],Tab_Def_Flows[Flow_E3_Fraction'[%']],"N.A.",0,1)</f>
        <v>0</v>
      </c>
      <c r="Y344" s="3">
        <f>IF(E344="Yes",X344*Tab_Data_Flows[[#This Row],[E1_value]],"N.A.")</f>
        <v>0</v>
      </c>
      <c r="Z344" s="3" t="str">
        <f>Tab_Data_Flows[[#This Row],[E1_UoM]]</f>
        <v>Mg</v>
      </c>
      <c r="AA344" s="24">
        <f>_xlfn.XLOOKUP(Tab_Data_Flows[[#This Row],[Flow_Name]],Tab_Def_Flows[Flow_Name],Tab_Def_Flows[Flow_E4_Fraction'[%']],"N.A.",0,1)</f>
        <v>0</v>
      </c>
      <c r="AB344" s="3">
        <f>IF(H344="Yes",Tab_Data_Flows[[#This Row],[E4_Fraction'[%']]]*Tab_Data_Flows[[#This Row],[E1_value]],"N.A.")</f>
        <v>0</v>
      </c>
      <c r="AC344" s="3" t="str">
        <f>Tab_Data_Flows[[#This Row],[E1_UoM]]</f>
        <v>Mg</v>
      </c>
      <c r="AD344" s="24">
        <f>_xlfn.XLOOKUP(Tab_Data_Flows[[#This Row],[Flow_Name]],Tab_Def_Flows[Flow_Name],Tab_Def_Flows[Flow_E5_Fraction'[%']],"N.A.",0,1)</f>
        <v>0</v>
      </c>
      <c r="AE344" s="3">
        <f>IF(H344="Yes",Tab_Data_Flows[[#This Row],[E5_Fraction'[%']]]*Tab_Data_Flows[[#This Row],[E1_value]],"N.A.")</f>
        <v>0</v>
      </c>
      <c r="AF344" s="3" t="str">
        <f>Tab_Data_Flows[[#This Row],[E1_UoM]]</f>
        <v>Mg</v>
      </c>
      <c r="AG344" s="24">
        <f>_xlfn.XLOOKUP(Tab_Data_Flows[[#This Row],[Flow_Name]],Tab_Def_Flows[Flow_Name],Tab_Def_Flows[Flow_E6_Fraction'[%']],"N.A.",0,1)</f>
        <v>0</v>
      </c>
      <c r="AH344" s="3">
        <f>IF(Tab_Data_Flows[[#This Row],[Use_E6]]="Yes",Tab_Data_Flows[[#This Row],[E6_Fraction'[%']]]*Tab_Data_Flows[[#This Row],[E1_value]],"N.A.")</f>
        <v>0</v>
      </c>
      <c r="AI344" s="3" t="str">
        <f>Tab_Data_Flows[[#This Row],[E1_UoM]]</f>
        <v>Mg</v>
      </c>
    </row>
    <row r="345" spans="1:35" x14ac:dyDescent="0.25">
      <c r="A345" s="5">
        <f t="shared" si="11"/>
        <v>344</v>
      </c>
      <c r="B345" s="3" t="str">
        <f>_xlfn.XLOOKUP(C345,Tab_Def_Flows[Flow_Name],Tab_Def_Flows[Flow_ID],,0,)</f>
        <v>F__</v>
      </c>
      <c r="C345" s="23" t="s">
        <v>5</v>
      </c>
      <c r="D345" s="6" t="str">
        <f>_xlfn.XLOOKUP(C345,Tab_Def_Flows[Flow_Name],Tab_Def_Flows[Use_E1],,0,)</f>
        <v>Yes</v>
      </c>
      <c r="E345" s="6" t="str">
        <f>_xlfn.XLOOKUP(C345,Tab_Def_Flows[Flow_Name],Tab_Def_Flows[Use_E2],,0,)</f>
        <v>Yes</v>
      </c>
      <c r="F345" s="6" t="str">
        <f>_xlfn.XLOOKUP(C345,Tab_Def_Flows[Flow_Name],Tab_Def_Flows[Use_E3],,0,)</f>
        <v>Yes</v>
      </c>
      <c r="G345" s="6" t="str">
        <f>_xlfn.XLOOKUP(C345,Tab_Def_Flows[Flow_Name],Tab_Def_Flows[Use_E4],,0,)</f>
        <v>Yes</v>
      </c>
      <c r="H345" s="6" t="str">
        <f>_xlfn.XLOOKUP(C345,Tab_Def_Flows[Flow_Name],Tab_Def_Flows[Use_E5],,0,)</f>
        <v>Yes</v>
      </c>
      <c r="I345" s="6" t="str">
        <f>_xlfn.XLOOKUP(C345,Tab_Def_Flows[Flow_Name],Tab_Def_Flows[Use_E6],,0,)</f>
        <v>Yes</v>
      </c>
      <c r="J345" s="4"/>
      <c r="K345" s="18"/>
      <c r="L345" s="3" t="str">
        <f>'0_Configuration'!$C$41</f>
        <v>Mg</v>
      </c>
      <c r="M345" s="10"/>
      <c r="N345" s="23" t="s">
        <v>3</v>
      </c>
      <c r="O345" s="4"/>
      <c r="P345" s="4"/>
      <c r="Q345" s="10"/>
      <c r="R345" s="3">
        <f>_xlfn.XLOOKUP(Tab_Data_Flows[[#This Row],[Flow_Name]],Tab_Def_Flows[Flow_Name],Tab_Def_Flows[Flow_E1_Fraction'[%']],"N.A.",0,1)</f>
        <v>0</v>
      </c>
      <c r="S345" s="9">
        <f t="shared" si="10"/>
        <v>0</v>
      </c>
      <c r="T345" s="3" t="str">
        <f>Tab_Data_Flows[[#This Row],[UoM_Source]]</f>
        <v>Mg</v>
      </c>
      <c r="U345" s="24">
        <f>_xlfn.XLOOKUP(Tab_Data_Flows[[#This Row],[Flow_Name]],Tab_Def_Flows[Flow_Name],Tab_Def_Flows[Flow_E2_Fraction'[%']],"N.A.",0,1)</f>
        <v>0</v>
      </c>
      <c r="V345" s="3">
        <f>IF(D345="Yes",S345*Tab_Data_Flows[[#This Row],[E2_Fraction'[%']]],"N.A.")</f>
        <v>0</v>
      </c>
      <c r="W345" s="3" t="str">
        <f>Tab_Data_Flows[[#This Row],[E1_UoM]]</f>
        <v>Mg</v>
      </c>
      <c r="X345" s="24">
        <f>_xlfn.XLOOKUP(Tab_Data_Flows[[#This Row],[Flow_Name]],Tab_Def_Flows[Flow_Name],Tab_Def_Flows[Flow_E3_Fraction'[%']],"N.A.",0,1)</f>
        <v>0</v>
      </c>
      <c r="Y345" s="3">
        <f>IF(E345="Yes",X345*Tab_Data_Flows[[#This Row],[E1_value]],"N.A.")</f>
        <v>0</v>
      </c>
      <c r="Z345" s="3" t="str">
        <f>Tab_Data_Flows[[#This Row],[E1_UoM]]</f>
        <v>Mg</v>
      </c>
      <c r="AA345" s="24">
        <f>_xlfn.XLOOKUP(Tab_Data_Flows[[#This Row],[Flow_Name]],Tab_Def_Flows[Flow_Name],Tab_Def_Flows[Flow_E4_Fraction'[%']],"N.A.",0,1)</f>
        <v>0</v>
      </c>
      <c r="AB345" s="3">
        <f>IF(H345="Yes",Tab_Data_Flows[[#This Row],[E4_Fraction'[%']]]*Tab_Data_Flows[[#This Row],[E1_value]],"N.A.")</f>
        <v>0</v>
      </c>
      <c r="AC345" s="3" t="str">
        <f>Tab_Data_Flows[[#This Row],[E1_UoM]]</f>
        <v>Mg</v>
      </c>
      <c r="AD345" s="24">
        <f>_xlfn.XLOOKUP(Tab_Data_Flows[[#This Row],[Flow_Name]],Tab_Def_Flows[Flow_Name],Tab_Def_Flows[Flow_E5_Fraction'[%']],"N.A.",0,1)</f>
        <v>0</v>
      </c>
      <c r="AE345" s="3">
        <f>IF(H345="Yes",Tab_Data_Flows[[#This Row],[E5_Fraction'[%']]]*Tab_Data_Flows[[#This Row],[E1_value]],"N.A.")</f>
        <v>0</v>
      </c>
      <c r="AF345" s="3" t="str">
        <f>Tab_Data_Flows[[#This Row],[E1_UoM]]</f>
        <v>Mg</v>
      </c>
      <c r="AG345" s="24">
        <f>_xlfn.XLOOKUP(Tab_Data_Flows[[#This Row],[Flow_Name]],Tab_Def_Flows[Flow_Name],Tab_Def_Flows[Flow_E6_Fraction'[%']],"N.A.",0,1)</f>
        <v>0</v>
      </c>
      <c r="AH345" s="3">
        <f>IF(Tab_Data_Flows[[#This Row],[Use_E6]]="Yes",Tab_Data_Flows[[#This Row],[E6_Fraction'[%']]]*Tab_Data_Flows[[#This Row],[E1_value]],"N.A.")</f>
        <v>0</v>
      </c>
      <c r="AI345" s="3" t="str">
        <f>Tab_Data_Flows[[#This Row],[E1_UoM]]</f>
        <v>Mg</v>
      </c>
    </row>
    <row r="346" spans="1:35" x14ac:dyDescent="0.25">
      <c r="A346" s="5">
        <f t="shared" si="11"/>
        <v>345</v>
      </c>
      <c r="B346" s="3" t="str">
        <f>_xlfn.XLOOKUP(C346,Tab_Def_Flows[Flow_Name],Tab_Def_Flows[Flow_ID],,0,)</f>
        <v>F__</v>
      </c>
      <c r="C346" s="23" t="s">
        <v>5</v>
      </c>
      <c r="D346" s="6" t="str">
        <f>_xlfn.XLOOKUP(C346,Tab_Def_Flows[Flow_Name],Tab_Def_Flows[Use_E1],,0,)</f>
        <v>Yes</v>
      </c>
      <c r="E346" s="6" t="str">
        <f>_xlfn.XLOOKUP(C346,Tab_Def_Flows[Flow_Name],Tab_Def_Flows[Use_E2],,0,)</f>
        <v>Yes</v>
      </c>
      <c r="F346" s="6" t="str">
        <f>_xlfn.XLOOKUP(C346,Tab_Def_Flows[Flow_Name],Tab_Def_Flows[Use_E3],,0,)</f>
        <v>Yes</v>
      </c>
      <c r="G346" s="6" t="str">
        <f>_xlfn.XLOOKUP(C346,Tab_Def_Flows[Flow_Name],Tab_Def_Flows[Use_E4],,0,)</f>
        <v>Yes</v>
      </c>
      <c r="H346" s="6" t="str">
        <f>_xlfn.XLOOKUP(C346,Tab_Def_Flows[Flow_Name],Tab_Def_Flows[Use_E5],,0,)</f>
        <v>Yes</v>
      </c>
      <c r="I346" s="6" t="str">
        <f>_xlfn.XLOOKUP(C346,Tab_Def_Flows[Flow_Name],Tab_Def_Flows[Use_E6],,0,)</f>
        <v>Yes</v>
      </c>
      <c r="J346" s="4"/>
      <c r="K346" s="18"/>
      <c r="L346" s="3" t="str">
        <f>'0_Configuration'!$C$41</f>
        <v>Mg</v>
      </c>
      <c r="M346" s="10"/>
      <c r="N346" s="23" t="s">
        <v>3</v>
      </c>
      <c r="O346" s="4"/>
      <c r="P346" s="4"/>
      <c r="Q346" s="10"/>
      <c r="R346" s="3">
        <f>_xlfn.XLOOKUP(Tab_Data_Flows[[#This Row],[Flow_Name]],Tab_Def_Flows[Flow_Name],Tab_Def_Flows[Flow_E1_Fraction'[%']],"N.A.",0,1)</f>
        <v>0</v>
      </c>
      <c r="S346" s="9">
        <f t="shared" si="10"/>
        <v>0</v>
      </c>
      <c r="T346" s="3" t="str">
        <f>Tab_Data_Flows[[#This Row],[UoM_Source]]</f>
        <v>Mg</v>
      </c>
      <c r="U346" s="24">
        <f>_xlfn.XLOOKUP(Tab_Data_Flows[[#This Row],[Flow_Name]],Tab_Def_Flows[Flow_Name],Tab_Def_Flows[Flow_E2_Fraction'[%']],"N.A.",0,1)</f>
        <v>0</v>
      </c>
      <c r="V346" s="3">
        <f>IF(D346="Yes",S346*Tab_Data_Flows[[#This Row],[E2_Fraction'[%']]],"N.A.")</f>
        <v>0</v>
      </c>
      <c r="W346" s="3" t="str">
        <f>Tab_Data_Flows[[#This Row],[E1_UoM]]</f>
        <v>Mg</v>
      </c>
      <c r="X346" s="24">
        <f>_xlfn.XLOOKUP(Tab_Data_Flows[[#This Row],[Flow_Name]],Tab_Def_Flows[Flow_Name],Tab_Def_Flows[Flow_E3_Fraction'[%']],"N.A.",0,1)</f>
        <v>0</v>
      </c>
      <c r="Y346" s="3">
        <f>IF(E346="Yes",X346*Tab_Data_Flows[[#This Row],[E1_value]],"N.A.")</f>
        <v>0</v>
      </c>
      <c r="Z346" s="3" t="str">
        <f>Tab_Data_Flows[[#This Row],[E1_UoM]]</f>
        <v>Mg</v>
      </c>
      <c r="AA346" s="24">
        <f>_xlfn.XLOOKUP(Tab_Data_Flows[[#This Row],[Flow_Name]],Tab_Def_Flows[Flow_Name],Tab_Def_Flows[Flow_E4_Fraction'[%']],"N.A.",0,1)</f>
        <v>0</v>
      </c>
      <c r="AB346" s="3">
        <f>IF(H346="Yes",Tab_Data_Flows[[#This Row],[E4_Fraction'[%']]]*Tab_Data_Flows[[#This Row],[E1_value]],"N.A.")</f>
        <v>0</v>
      </c>
      <c r="AC346" s="3" t="str">
        <f>Tab_Data_Flows[[#This Row],[E1_UoM]]</f>
        <v>Mg</v>
      </c>
      <c r="AD346" s="24">
        <f>_xlfn.XLOOKUP(Tab_Data_Flows[[#This Row],[Flow_Name]],Tab_Def_Flows[Flow_Name],Tab_Def_Flows[Flow_E5_Fraction'[%']],"N.A.",0,1)</f>
        <v>0</v>
      </c>
      <c r="AE346" s="3">
        <f>IF(H346="Yes",Tab_Data_Flows[[#This Row],[E5_Fraction'[%']]]*Tab_Data_Flows[[#This Row],[E1_value]],"N.A.")</f>
        <v>0</v>
      </c>
      <c r="AF346" s="3" t="str">
        <f>Tab_Data_Flows[[#This Row],[E1_UoM]]</f>
        <v>Mg</v>
      </c>
      <c r="AG346" s="24">
        <f>_xlfn.XLOOKUP(Tab_Data_Flows[[#This Row],[Flow_Name]],Tab_Def_Flows[Flow_Name],Tab_Def_Flows[Flow_E6_Fraction'[%']],"N.A.",0,1)</f>
        <v>0</v>
      </c>
      <c r="AH346" s="3">
        <f>IF(Tab_Data_Flows[[#This Row],[Use_E6]]="Yes",Tab_Data_Flows[[#This Row],[E6_Fraction'[%']]]*Tab_Data_Flows[[#This Row],[E1_value]],"N.A.")</f>
        <v>0</v>
      </c>
      <c r="AI346" s="3" t="str">
        <f>Tab_Data_Flows[[#This Row],[E1_UoM]]</f>
        <v>Mg</v>
      </c>
    </row>
    <row r="347" spans="1:35" x14ac:dyDescent="0.25">
      <c r="A347" s="5">
        <f>ROW()-1</f>
        <v>346</v>
      </c>
      <c r="B347" s="3" t="str">
        <f>_xlfn.XLOOKUP(C347,Tab_Def_Flows[Flow_Name],Tab_Def_Flows[Flow_ID],,0,)</f>
        <v>F__</v>
      </c>
      <c r="C347" s="23" t="s">
        <v>5</v>
      </c>
      <c r="D347" s="6" t="str">
        <f>_xlfn.XLOOKUP(C347,Tab_Def_Flows[Flow_Name],Tab_Def_Flows[Use_E1],,0,)</f>
        <v>Yes</v>
      </c>
      <c r="E347" s="6" t="str">
        <f>_xlfn.XLOOKUP(C347,Tab_Def_Flows[Flow_Name],Tab_Def_Flows[Use_E2],,0,)</f>
        <v>Yes</v>
      </c>
      <c r="F347" s="6" t="str">
        <f>_xlfn.XLOOKUP(C347,Tab_Def_Flows[Flow_Name],Tab_Def_Flows[Use_E3],,0,)</f>
        <v>Yes</v>
      </c>
      <c r="G347" s="6" t="str">
        <f>_xlfn.XLOOKUP(C347,Tab_Def_Flows[Flow_Name],Tab_Def_Flows[Use_E4],,0,)</f>
        <v>Yes</v>
      </c>
      <c r="H347" s="6" t="str">
        <f>_xlfn.XLOOKUP(C347,Tab_Def_Flows[Flow_Name],Tab_Def_Flows[Use_E5],,0,)</f>
        <v>Yes</v>
      </c>
      <c r="I347" s="6" t="str">
        <f>_xlfn.XLOOKUP(C347,Tab_Def_Flows[Flow_Name],Tab_Def_Flows[Use_E6],,0,)</f>
        <v>Yes</v>
      </c>
      <c r="J347" s="4"/>
      <c r="K347" s="18"/>
      <c r="L347" s="3" t="str">
        <f>'0_Configuration'!$C$41</f>
        <v>Mg</v>
      </c>
      <c r="M347" s="10"/>
      <c r="N347" s="23" t="s">
        <v>3</v>
      </c>
      <c r="O347" s="4"/>
      <c r="P347" s="4"/>
      <c r="Q347" s="10"/>
      <c r="R347" s="3">
        <f>_xlfn.XLOOKUP(Tab_Data_Flows[[#This Row],[Flow_Name]],Tab_Def_Flows[Flow_Name],Tab_Def_Flows[Flow_E1_Fraction'[%']],"N.A.",0,1)</f>
        <v>0</v>
      </c>
      <c r="S347" s="9">
        <f t="shared" si="10"/>
        <v>0</v>
      </c>
      <c r="T347" s="3" t="str">
        <f>Tab_Data_Flows[[#This Row],[UoM_Source]]</f>
        <v>Mg</v>
      </c>
      <c r="U347" s="24">
        <f>_xlfn.XLOOKUP(Tab_Data_Flows[[#This Row],[Flow_Name]],Tab_Def_Flows[Flow_Name],Tab_Def_Flows[Flow_E2_Fraction'[%']],"N.A.",0,1)</f>
        <v>0</v>
      </c>
      <c r="V347" s="3">
        <f>IF(D347="Yes",S347*Tab_Data_Flows[[#This Row],[E2_Fraction'[%']]],"N.A.")</f>
        <v>0</v>
      </c>
      <c r="W347" s="3" t="str">
        <f>Tab_Data_Flows[[#This Row],[E1_UoM]]</f>
        <v>Mg</v>
      </c>
      <c r="X347" s="24">
        <f>_xlfn.XLOOKUP(Tab_Data_Flows[[#This Row],[Flow_Name]],Tab_Def_Flows[Flow_Name],Tab_Def_Flows[Flow_E3_Fraction'[%']],"N.A.",0,1)</f>
        <v>0</v>
      </c>
      <c r="Y347" s="3">
        <f>IF(E347="Yes",X347*Tab_Data_Flows[[#This Row],[E1_value]],"N.A.")</f>
        <v>0</v>
      </c>
      <c r="Z347" s="3" t="str">
        <f>Tab_Data_Flows[[#This Row],[E1_UoM]]</f>
        <v>Mg</v>
      </c>
      <c r="AA347" s="24">
        <f>_xlfn.XLOOKUP(Tab_Data_Flows[[#This Row],[Flow_Name]],Tab_Def_Flows[Flow_Name],Tab_Def_Flows[Flow_E4_Fraction'[%']],"N.A.",0,1)</f>
        <v>0</v>
      </c>
      <c r="AB347" s="3">
        <f>IF(H347="Yes",Tab_Data_Flows[[#This Row],[E4_Fraction'[%']]]*Tab_Data_Flows[[#This Row],[E1_value]],"N.A.")</f>
        <v>0</v>
      </c>
      <c r="AC347" s="3" t="str">
        <f>Tab_Data_Flows[[#This Row],[E1_UoM]]</f>
        <v>Mg</v>
      </c>
      <c r="AD347" s="24">
        <f>_xlfn.XLOOKUP(Tab_Data_Flows[[#This Row],[Flow_Name]],Tab_Def_Flows[Flow_Name],Tab_Def_Flows[Flow_E5_Fraction'[%']],"N.A.",0,1)</f>
        <v>0</v>
      </c>
      <c r="AE347" s="3">
        <f>IF(H347="Yes",Tab_Data_Flows[[#This Row],[E5_Fraction'[%']]]*Tab_Data_Flows[[#This Row],[E1_value]],"N.A.")</f>
        <v>0</v>
      </c>
      <c r="AF347" s="3" t="str">
        <f>Tab_Data_Flows[[#This Row],[E1_UoM]]</f>
        <v>Mg</v>
      </c>
      <c r="AG347" s="24">
        <f>_xlfn.XLOOKUP(Tab_Data_Flows[[#This Row],[Flow_Name]],Tab_Def_Flows[Flow_Name],Tab_Def_Flows[Flow_E6_Fraction'[%']],"N.A.",0,1)</f>
        <v>0</v>
      </c>
      <c r="AH347" s="3">
        <f>IF(Tab_Data_Flows[[#This Row],[Use_E6]]="Yes",Tab_Data_Flows[[#This Row],[E6_Fraction'[%']]]*Tab_Data_Flows[[#This Row],[E1_value]],"N.A.")</f>
        <v>0</v>
      </c>
      <c r="AI347" s="3" t="str">
        <f>Tab_Data_Flows[[#This Row],[E1_UoM]]</f>
        <v>Mg</v>
      </c>
    </row>
    <row r="348" spans="1:35" x14ac:dyDescent="0.25">
      <c r="A348" s="5">
        <f>ROW()-1</f>
        <v>347</v>
      </c>
      <c r="B348" s="3" t="str">
        <f>_xlfn.XLOOKUP(C348,Tab_Def_Flows[Flow_Name],Tab_Def_Flows[Flow_ID],,0,)</f>
        <v>F__</v>
      </c>
      <c r="C348" s="23" t="s">
        <v>5</v>
      </c>
      <c r="D348" s="6" t="str">
        <f>_xlfn.XLOOKUP(C348,Tab_Def_Flows[Flow_Name],Tab_Def_Flows[Use_E1],,0,)</f>
        <v>Yes</v>
      </c>
      <c r="E348" s="6" t="str">
        <f>_xlfn.XLOOKUP(C348,Tab_Def_Flows[Flow_Name],Tab_Def_Flows[Use_E2],,0,)</f>
        <v>Yes</v>
      </c>
      <c r="F348" s="6" t="str">
        <f>_xlfn.XLOOKUP(C348,Tab_Def_Flows[Flow_Name],Tab_Def_Flows[Use_E3],,0,)</f>
        <v>Yes</v>
      </c>
      <c r="G348" s="6" t="str">
        <f>_xlfn.XLOOKUP(C348,Tab_Def_Flows[Flow_Name],Tab_Def_Flows[Use_E4],,0,)</f>
        <v>Yes</v>
      </c>
      <c r="H348" s="6" t="str">
        <f>_xlfn.XLOOKUP(C348,Tab_Def_Flows[Flow_Name],Tab_Def_Flows[Use_E5],,0,)</f>
        <v>Yes</v>
      </c>
      <c r="I348" s="6" t="str">
        <f>_xlfn.XLOOKUP(C348,Tab_Def_Flows[Flow_Name],Tab_Def_Flows[Use_E6],,0,)</f>
        <v>Yes</v>
      </c>
      <c r="J348" s="4"/>
      <c r="K348" s="18"/>
      <c r="L348" s="3" t="str">
        <f>'0_Configuration'!$C$41</f>
        <v>Mg</v>
      </c>
      <c r="M348" s="10"/>
      <c r="N348" s="23" t="s">
        <v>3</v>
      </c>
      <c r="O348" s="4"/>
      <c r="P348" s="4"/>
      <c r="Q348" s="10"/>
      <c r="R348" s="3">
        <f>_xlfn.XLOOKUP(Tab_Data_Flows[[#This Row],[Flow_Name]],Tab_Def_Flows[Flow_Name],Tab_Def_Flows[Flow_E1_Fraction'[%']],"N.A.",0,1)</f>
        <v>0</v>
      </c>
      <c r="S348" s="9">
        <f t="shared" si="10"/>
        <v>0</v>
      </c>
      <c r="T348" s="3" t="str">
        <f>Tab_Data_Flows[[#This Row],[UoM_Source]]</f>
        <v>Mg</v>
      </c>
      <c r="U348" s="24">
        <f>_xlfn.XLOOKUP(Tab_Data_Flows[[#This Row],[Flow_Name]],Tab_Def_Flows[Flow_Name],Tab_Def_Flows[Flow_E2_Fraction'[%']],"N.A.",0,1)</f>
        <v>0</v>
      </c>
      <c r="V348" s="3">
        <f>IF(D348="Yes",S348*Tab_Data_Flows[[#This Row],[E2_Fraction'[%']]],"N.A.")</f>
        <v>0</v>
      </c>
      <c r="W348" s="3" t="str">
        <f>Tab_Data_Flows[[#This Row],[E1_UoM]]</f>
        <v>Mg</v>
      </c>
      <c r="X348" s="24">
        <f>_xlfn.XLOOKUP(Tab_Data_Flows[[#This Row],[Flow_Name]],Tab_Def_Flows[Flow_Name],Tab_Def_Flows[Flow_E3_Fraction'[%']],"N.A.",0,1)</f>
        <v>0</v>
      </c>
      <c r="Y348" s="3">
        <f>IF(E348="Yes",X348*Tab_Data_Flows[[#This Row],[E1_value]],"N.A.")</f>
        <v>0</v>
      </c>
      <c r="Z348" s="3" t="str">
        <f>Tab_Data_Flows[[#This Row],[E1_UoM]]</f>
        <v>Mg</v>
      </c>
      <c r="AA348" s="24">
        <f>_xlfn.XLOOKUP(Tab_Data_Flows[[#This Row],[Flow_Name]],Tab_Def_Flows[Flow_Name],Tab_Def_Flows[Flow_E4_Fraction'[%']],"N.A.",0,1)</f>
        <v>0</v>
      </c>
      <c r="AB348" s="3">
        <f>IF(H348="Yes",Tab_Data_Flows[[#This Row],[E4_Fraction'[%']]]*Tab_Data_Flows[[#This Row],[E1_value]],"N.A.")</f>
        <v>0</v>
      </c>
      <c r="AC348" s="3" t="str">
        <f>Tab_Data_Flows[[#This Row],[E1_UoM]]</f>
        <v>Mg</v>
      </c>
      <c r="AD348" s="24">
        <f>_xlfn.XLOOKUP(Tab_Data_Flows[[#This Row],[Flow_Name]],Tab_Def_Flows[Flow_Name],Tab_Def_Flows[Flow_E5_Fraction'[%']],"N.A.",0,1)</f>
        <v>0</v>
      </c>
      <c r="AE348" s="3">
        <f>IF(H348="Yes",Tab_Data_Flows[[#This Row],[E5_Fraction'[%']]]*Tab_Data_Flows[[#This Row],[E1_value]],"N.A.")</f>
        <v>0</v>
      </c>
      <c r="AF348" s="3" t="str">
        <f>Tab_Data_Flows[[#This Row],[E1_UoM]]</f>
        <v>Mg</v>
      </c>
      <c r="AG348" s="24">
        <f>_xlfn.XLOOKUP(Tab_Data_Flows[[#This Row],[Flow_Name]],Tab_Def_Flows[Flow_Name],Tab_Def_Flows[Flow_E6_Fraction'[%']],"N.A.",0,1)</f>
        <v>0</v>
      </c>
      <c r="AH348" s="3">
        <f>IF(Tab_Data_Flows[[#This Row],[Use_E6]]="Yes",Tab_Data_Flows[[#This Row],[E6_Fraction'[%']]]*Tab_Data_Flows[[#This Row],[E1_value]],"N.A.")</f>
        <v>0</v>
      </c>
      <c r="AI348" s="3" t="str">
        <f>Tab_Data_Flows[[#This Row],[E1_UoM]]</f>
        <v>Mg</v>
      </c>
    </row>
    <row r="349" spans="1:35" x14ac:dyDescent="0.25">
      <c r="A349" s="5">
        <f>ROW()-1</f>
        <v>348</v>
      </c>
      <c r="B349" s="3" t="str">
        <f>_xlfn.XLOOKUP(C349,Tab_Def_Flows[Flow_Name],Tab_Def_Flows[Flow_ID],,0,)</f>
        <v>F__</v>
      </c>
      <c r="C349" s="23" t="s">
        <v>5</v>
      </c>
      <c r="D349" s="6" t="str">
        <f>_xlfn.XLOOKUP(C349,Tab_Def_Flows[Flow_Name],Tab_Def_Flows[Use_E1],,0,)</f>
        <v>Yes</v>
      </c>
      <c r="E349" s="6" t="str">
        <f>_xlfn.XLOOKUP(C349,Tab_Def_Flows[Flow_Name],Tab_Def_Flows[Use_E2],,0,)</f>
        <v>Yes</v>
      </c>
      <c r="F349" s="6" t="str">
        <f>_xlfn.XLOOKUP(C349,Tab_Def_Flows[Flow_Name],Tab_Def_Flows[Use_E3],,0,)</f>
        <v>Yes</v>
      </c>
      <c r="G349" s="6" t="str">
        <f>_xlfn.XLOOKUP(C349,Tab_Def_Flows[Flow_Name],Tab_Def_Flows[Use_E4],,0,)</f>
        <v>Yes</v>
      </c>
      <c r="H349" s="6" t="str">
        <f>_xlfn.XLOOKUP(C349,Tab_Def_Flows[Flow_Name],Tab_Def_Flows[Use_E5],,0,)</f>
        <v>Yes</v>
      </c>
      <c r="I349" s="6" t="str">
        <f>_xlfn.XLOOKUP(C349,Tab_Def_Flows[Flow_Name],Tab_Def_Flows[Use_E6],,0,)</f>
        <v>Yes</v>
      </c>
      <c r="J349" s="4"/>
      <c r="K349" s="18"/>
      <c r="L349" s="3" t="str">
        <f>'0_Configuration'!$C$41</f>
        <v>Mg</v>
      </c>
      <c r="M349" s="10"/>
      <c r="N349" s="23" t="s">
        <v>3</v>
      </c>
      <c r="O349" s="4"/>
      <c r="P349" s="4"/>
      <c r="Q349" s="10"/>
      <c r="R349" s="3">
        <f>_xlfn.XLOOKUP(Tab_Data_Flows[[#This Row],[Flow_Name]],Tab_Def_Flows[Flow_Name],Tab_Def_Flows[Flow_E1_Fraction'[%']],"N.A.",0,1)</f>
        <v>0</v>
      </c>
      <c r="S349" s="9">
        <f t="shared" si="10"/>
        <v>0</v>
      </c>
      <c r="T349" s="3" t="str">
        <f>Tab_Data_Flows[[#This Row],[UoM_Source]]</f>
        <v>Mg</v>
      </c>
      <c r="U349" s="24">
        <f>_xlfn.XLOOKUP(Tab_Data_Flows[[#This Row],[Flow_Name]],Tab_Def_Flows[Flow_Name],Tab_Def_Flows[Flow_E2_Fraction'[%']],"N.A.",0,1)</f>
        <v>0</v>
      </c>
      <c r="V349" s="3">
        <f>IF(D349="Yes",S349*Tab_Data_Flows[[#This Row],[E2_Fraction'[%']]],"N.A.")</f>
        <v>0</v>
      </c>
      <c r="W349" s="3" t="str">
        <f>Tab_Data_Flows[[#This Row],[E1_UoM]]</f>
        <v>Mg</v>
      </c>
      <c r="X349" s="24">
        <f>_xlfn.XLOOKUP(Tab_Data_Flows[[#This Row],[Flow_Name]],Tab_Def_Flows[Flow_Name],Tab_Def_Flows[Flow_E3_Fraction'[%']],"N.A.",0,1)</f>
        <v>0</v>
      </c>
      <c r="Y349" s="3">
        <f>IF(E349="Yes",X349*Tab_Data_Flows[[#This Row],[E1_value]],"N.A.")</f>
        <v>0</v>
      </c>
      <c r="Z349" s="3" t="str">
        <f>Tab_Data_Flows[[#This Row],[E1_UoM]]</f>
        <v>Mg</v>
      </c>
      <c r="AA349" s="24">
        <f>_xlfn.XLOOKUP(Tab_Data_Flows[[#This Row],[Flow_Name]],Tab_Def_Flows[Flow_Name],Tab_Def_Flows[Flow_E4_Fraction'[%']],"N.A.",0,1)</f>
        <v>0</v>
      </c>
      <c r="AB349" s="3">
        <f>IF(H349="Yes",Tab_Data_Flows[[#This Row],[E4_Fraction'[%']]]*Tab_Data_Flows[[#This Row],[E1_value]],"N.A.")</f>
        <v>0</v>
      </c>
      <c r="AC349" s="3" t="str">
        <f>Tab_Data_Flows[[#This Row],[E1_UoM]]</f>
        <v>Mg</v>
      </c>
      <c r="AD349" s="24">
        <f>_xlfn.XLOOKUP(Tab_Data_Flows[[#This Row],[Flow_Name]],Tab_Def_Flows[Flow_Name],Tab_Def_Flows[Flow_E5_Fraction'[%']],"N.A.",0,1)</f>
        <v>0</v>
      </c>
      <c r="AE349" s="3">
        <f>IF(H349="Yes",Tab_Data_Flows[[#This Row],[E5_Fraction'[%']]]*Tab_Data_Flows[[#This Row],[E1_value]],"N.A.")</f>
        <v>0</v>
      </c>
      <c r="AF349" s="3" t="str">
        <f>Tab_Data_Flows[[#This Row],[E1_UoM]]</f>
        <v>Mg</v>
      </c>
      <c r="AG349" s="24">
        <f>_xlfn.XLOOKUP(Tab_Data_Flows[[#This Row],[Flow_Name]],Tab_Def_Flows[Flow_Name],Tab_Def_Flows[Flow_E6_Fraction'[%']],"N.A.",0,1)</f>
        <v>0</v>
      </c>
      <c r="AH349" s="3">
        <f>IF(Tab_Data_Flows[[#This Row],[Use_E6]]="Yes",Tab_Data_Flows[[#This Row],[E6_Fraction'[%']]]*Tab_Data_Flows[[#This Row],[E1_value]],"N.A.")</f>
        <v>0</v>
      </c>
      <c r="AI349" s="3" t="str">
        <f>Tab_Data_Flows[[#This Row],[E1_UoM]]</f>
        <v>Mg</v>
      </c>
    </row>
    <row r="350" spans="1:35" x14ac:dyDescent="0.25">
      <c r="A350" s="5">
        <f>ROW()-1</f>
        <v>349</v>
      </c>
      <c r="B350" s="3" t="str">
        <f>_xlfn.XLOOKUP(C350,Tab_Def_Flows[Flow_Name],Tab_Def_Flows[Flow_ID],,0,)</f>
        <v>F__</v>
      </c>
      <c r="C350" s="23" t="s">
        <v>5</v>
      </c>
      <c r="D350" s="6" t="str">
        <f>_xlfn.XLOOKUP(C350,Tab_Def_Flows[Flow_Name],Tab_Def_Flows[Use_E1],,0,)</f>
        <v>Yes</v>
      </c>
      <c r="E350" s="6" t="str">
        <f>_xlfn.XLOOKUP(C350,Tab_Def_Flows[Flow_Name],Tab_Def_Flows[Use_E2],,0,)</f>
        <v>Yes</v>
      </c>
      <c r="F350" s="6" t="str">
        <f>_xlfn.XLOOKUP(C350,Tab_Def_Flows[Flow_Name],Tab_Def_Flows[Use_E3],,0,)</f>
        <v>Yes</v>
      </c>
      <c r="G350" s="6" t="str">
        <f>_xlfn.XLOOKUP(C350,Tab_Def_Flows[Flow_Name],Tab_Def_Flows[Use_E4],,0,)</f>
        <v>Yes</v>
      </c>
      <c r="H350" s="6" t="str">
        <f>_xlfn.XLOOKUP(C350,Tab_Def_Flows[Flow_Name],Tab_Def_Flows[Use_E5],,0,)</f>
        <v>Yes</v>
      </c>
      <c r="I350" s="6" t="str">
        <f>_xlfn.XLOOKUP(C350,Tab_Def_Flows[Flow_Name],Tab_Def_Flows[Use_E6],,0,)</f>
        <v>Yes</v>
      </c>
      <c r="J350" s="4"/>
      <c r="K350" s="18"/>
      <c r="L350" s="3" t="str">
        <f>'0_Configuration'!$C$41</f>
        <v>Mg</v>
      </c>
      <c r="M350" s="10"/>
      <c r="N350" s="23" t="s">
        <v>3</v>
      </c>
      <c r="O350" s="4"/>
      <c r="P350" s="4"/>
      <c r="Q350" s="10"/>
      <c r="R350" s="3">
        <f>_xlfn.XLOOKUP(Tab_Data_Flows[[#This Row],[Flow_Name]],Tab_Def_Flows[Flow_Name],Tab_Def_Flows[Flow_E1_Fraction'[%']],"N.A.",0,1)</f>
        <v>0</v>
      </c>
      <c r="S350" s="9">
        <f t="shared" si="10"/>
        <v>0</v>
      </c>
      <c r="T350" s="3" t="str">
        <f>Tab_Data_Flows[[#This Row],[UoM_Source]]</f>
        <v>Mg</v>
      </c>
      <c r="U350" s="24">
        <f>_xlfn.XLOOKUP(Tab_Data_Flows[[#This Row],[Flow_Name]],Tab_Def_Flows[Flow_Name],Tab_Def_Flows[Flow_E2_Fraction'[%']],"N.A.",0,1)</f>
        <v>0</v>
      </c>
      <c r="V350" s="3">
        <f>IF(D350="Yes",S350*Tab_Data_Flows[[#This Row],[E2_Fraction'[%']]],"N.A.")</f>
        <v>0</v>
      </c>
      <c r="W350" s="3" t="str">
        <f>Tab_Data_Flows[[#This Row],[E1_UoM]]</f>
        <v>Mg</v>
      </c>
      <c r="X350" s="24">
        <f>_xlfn.XLOOKUP(Tab_Data_Flows[[#This Row],[Flow_Name]],Tab_Def_Flows[Flow_Name],Tab_Def_Flows[Flow_E3_Fraction'[%']],"N.A.",0,1)</f>
        <v>0</v>
      </c>
      <c r="Y350" s="3">
        <f>IF(E350="Yes",X350*Tab_Data_Flows[[#This Row],[E1_value]],"N.A.")</f>
        <v>0</v>
      </c>
      <c r="Z350" s="3" t="str">
        <f>Tab_Data_Flows[[#This Row],[E1_UoM]]</f>
        <v>Mg</v>
      </c>
      <c r="AA350" s="24">
        <f>_xlfn.XLOOKUP(Tab_Data_Flows[[#This Row],[Flow_Name]],Tab_Def_Flows[Flow_Name],Tab_Def_Flows[Flow_E4_Fraction'[%']],"N.A.",0,1)</f>
        <v>0</v>
      </c>
      <c r="AB350" s="3">
        <f>IF(H350="Yes",Tab_Data_Flows[[#This Row],[E4_Fraction'[%']]]*Tab_Data_Flows[[#This Row],[E1_value]],"N.A.")</f>
        <v>0</v>
      </c>
      <c r="AC350" s="3" t="str">
        <f>Tab_Data_Flows[[#This Row],[E1_UoM]]</f>
        <v>Mg</v>
      </c>
      <c r="AD350" s="24">
        <f>_xlfn.XLOOKUP(Tab_Data_Flows[[#This Row],[Flow_Name]],Tab_Def_Flows[Flow_Name],Tab_Def_Flows[Flow_E5_Fraction'[%']],"N.A.",0,1)</f>
        <v>0</v>
      </c>
      <c r="AE350" s="3">
        <f>IF(H350="Yes",Tab_Data_Flows[[#This Row],[E5_Fraction'[%']]]*Tab_Data_Flows[[#This Row],[E1_value]],"N.A.")</f>
        <v>0</v>
      </c>
      <c r="AF350" s="3" t="str">
        <f>Tab_Data_Flows[[#This Row],[E1_UoM]]</f>
        <v>Mg</v>
      </c>
      <c r="AG350" s="24">
        <f>_xlfn.XLOOKUP(Tab_Data_Flows[[#This Row],[Flow_Name]],Tab_Def_Flows[Flow_Name],Tab_Def_Flows[Flow_E6_Fraction'[%']],"N.A.",0,1)</f>
        <v>0</v>
      </c>
      <c r="AH350" s="3">
        <f>IF(Tab_Data_Flows[[#This Row],[Use_E6]]="Yes",Tab_Data_Flows[[#This Row],[E6_Fraction'[%']]]*Tab_Data_Flows[[#This Row],[E1_value]],"N.A.")</f>
        <v>0</v>
      </c>
      <c r="AI350" s="3" t="str">
        <f>Tab_Data_Flows[[#This Row],[E1_UoM]]</f>
        <v>Mg</v>
      </c>
    </row>
    <row r="351" spans="1:35" x14ac:dyDescent="0.25">
      <c r="W351" s="14"/>
      <c r="AD351" s="12"/>
    </row>
  </sheetData>
  <phoneticPr fontId="2" type="noConversion"/>
  <dataValidations count="2">
    <dataValidation type="whole" allowBlank="1" showInputMessage="1" showErrorMessage="1" promptTitle="Definition of Data Year" prompt="Enter the Data Year" sqref="J184:J350" xr:uid="{70662040-5A44-462F-BD9F-5D30A184F37B}">
      <formula1>0</formula1>
      <formula2>10000</formula2>
    </dataValidation>
    <dataValidation type="decimal" allowBlank="1" showInputMessage="1" showErrorMessage="1" promptTitle="Definition of Flow" prompt="Enter appropriate value for Flow" sqref="K184:K350"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promptTitle="Definition of Flow Name" prompt="Enter the name of the Flow Name" xr:uid="{389397CD-B8BA-4BA0-A0D4-7C3F3F9841AC}">
          <x14:formula1>
            <xm:f>'1_1_Definition_Flows'!$D$2:$D$94</xm:f>
          </x14:formula1>
          <xm:sqref>C2:C350</xm:sqref>
        </x14:dataValidation>
        <x14:dataValidation type="list" allowBlank="1" showInputMessage="1" showErrorMessage="1" xr:uid="{8FD03E4E-F506-4359-9FC1-A067004D0316}">
          <x14:formula1>
            <xm:f>'6_1_Reference_Manager'!$C$2:$C$49</xm:f>
          </x14:formula1>
          <xm:sqref>M2:M350 Q2:Q350</xm:sqref>
        </x14:dataValidation>
        <x14:dataValidation type="list" allowBlank="1" showInputMessage="1" showErrorMessage="1" promptTitle="Definition of CF_required?" prompt="Enter appropriate value for CF_required?" xr:uid="{3CAF3E7A-1055-45C2-A4F4-B1652BF3363B}">
          <x14:formula1>
            <xm:f>'7_2_Codelists'!$B$3:$B$4</xm:f>
          </x14:formula1>
          <xm:sqref>N2:N350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Y46"/>
  <sheetViews>
    <sheetView zoomScaleNormal="100" workbookViewId="0">
      <pane xSplit="4" topLeftCell="G1" activePane="topRight" state="frozen"/>
      <selection pane="topRight" activeCell="J9" sqref="J9"/>
    </sheetView>
  </sheetViews>
  <sheetFormatPr defaultColWidth="10.85546875" defaultRowHeight="15" x14ac:dyDescent="0.25"/>
  <cols>
    <col min="1" max="1" width="13" customWidth="1"/>
    <col min="2" max="2" width="6.85546875" customWidth="1"/>
    <col min="3" max="3" width="10.85546875" customWidth="1"/>
    <col min="4" max="4" width="42" customWidth="1"/>
    <col min="5" max="6" width="42" hidden="1" customWidth="1"/>
    <col min="7" max="7" width="16.42578125" customWidth="1"/>
    <col min="8" max="8" width="21.28515625" customWidth="1"/>
    <col min="9" max="9" width="18.28515625" customWidth="1"/>
    <col min="10" max="10" width="21" customWidth="1"/>
    <col min="11" max="11" width="15.5703125" customWidth="1"/>
    <col min="12" max="12" width="24" customWidth="1"/>
    <col min="25" max="25" width="19.28515625" customWidth="1"/>
  </cols>
  <sheetData>
    <row r="1" spans="1:25" x14ac:dyDescent="0.25">
      <c r="A1" s="26" t="s">
        <v>13</v>
      </c>
      <c r="B1" s="26" t="s">
        <v>4</v>
      </c>
      <c r="C1" s="26" t="s">
        <v>12</v>
      </c>
      <c r="D1" s="26" t="s">
        <v>141</v>
      </c>
      <c r="E1" s="26" t="s">
        <v>365</v>
      </c>
      <c r="F1" s="26" t="s">
        <v>364</v>
      </c>
      <c r="G1" s="26" t="s">
        <v>1</v>
      </c>
      <c r="H1" s="26" t="s">
        <v>128</v>
      </c>
      <c r="I1" s="26" t="s">
        <v>166</v>
      </c>
      <c r="J1" s="26" t="s">
        <v>167</v>
      </c>
      <c r="K1" s="26" t="s">
        <v>179</v>
      </c>
      <c r="L1" s="26" t="s">
        <v>358</v>
      </c>
      <c r="M1" s="26" t="s">
        <v>349</v>
      </c>
      <c r="N1" s="26" t="s">
        <v>359</v>
      </c>
      <c r="O1" s="26" t="s">
        <v>350</v>
      </c>
      <c r="P1" s="26" t="s">
        <v>360</v>
      </c>
      <c r="Q1" s="26" t="s">
        <v>354</v>
      </c>
      <c r="R1" s="26" t="s">
        <v>357</v>
      </c>
      <c r="S1" s="26" t="s">
        <v>351</v>
      </c>
      <c r="T1" s="26" t="s">
        <v>361</v>
      </c>
      <c r="U1" s="26" t="s">
        <v>352</v>
      </c>
      <c r="V1" s="26" t="s">
        <v>362</v>
      </c>
      <c r="W1" s="26" t="s">
        <v>353</v>
      </c>
      <c r="X1" s="26" t="s">
        <v>356</v>
      </c>
      <c r="Y1" s="26" t="s">
        <v>366</v>
      </c>
    </row>
    <row r="2" spans="1:25" x14ac:dyDescent="0.25">
      <c r="A2" s="27" t="b">
        <v>0</v>
      </c>
      <c r="B2" s="13" t="s">
        <v>24</v>
      </c>
      <c r="C2" s="3" t="str">
        <f>LEFT(B2,2)</f>
        <v>00</v>
      </c>
      <c r="D2" s="4" t="s">
        <v>430</v>
      </c>
      <c r="E2" s="52"/>
      <c r="F2" s="52"/>
      <c r="G2" s="10"/>
      <c r="H2" s="23"/>
      <c r="I2" s="23"/>
      <c r="J2" s="23"/>
      <c r="K2" s="23"/>
      <c r="L2" s="58" t="b">
        <f>'0_Configuration'!$C$2</f>
        <v>1</v>
      </c>
      <c r="M2" s="3" t="s">
        <v>355</v>
      </c>
      <c r="N2" s="58" t="b">
        <f>'0_Configuration'!$C$6</f>
        <v>0</v>
      </c>
      <c r="O2" s="3" t="s">
        <v>355</v>
      </c>
      <c r="P2" s="58" t="b">
        <f>'0_Configuration'!$C$10</f>
        <v>0</v>
      </c>
      <c r="Q2" s="3" t="s">
        <v>355</v>
      </c>
      <c r="R2" s="58" t="b">
        <f>'0_Configuration'!$C$17</f>
        <v>0</v>
      </c>
      <c r="S2" s="3">
        <f>_xlfn.XLOOKUP(Tab_Def_Flows[[#This Row],[ODYM_Good_Type]],Tab_Configuration[Value],Tab_Configuration[ODYM_ID],,0,)</f>
        <v>0</v>
      </c>
      <c r="T2" s="58" t="b">
        <f>'0_Configuration'!$C$24</f>
        <v>0</v>
      </c>
      <c r="U2" s="3" t="s">
        <v>355</v>
      </c>
      <c r="V2" s="58" t="b">
        <f>'0_Configuration'!$C$29</f>
        <v>1</v>
      </c>
      <c r="W2" s="3" t="s">
        <v>355</v>
      </c>
      <c r="X2" s="3" t="str">
        <f>IF(Tab_Def_Flows[[#This Row],[ODYM_time_(t)]],"t,","")&amp;IF(Tab_Def_Flows[[#This Row],[ODYM_Region_(r)]],"r,","")&amp;IF(Tab_Def_Flows[[#This Row],[ODYM_process_(p)]],"p,","")&amp;IF(Tab_Def_Flows[[#This Row],[ODYM_Good_(g)2]],"g,","")&amp;IF(Tab_Def_Flows[[#This Row],[ODYM_material_(m)]],"m,","")&amp;IF(Tab_Def_Flows[[#This Row],[ODYM_element_(e)]],"e","")</f>
        <v>t,e</v>
      </c>
      <c r="Y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 spans="1:25" x14ac:dyDescent="0.25">
      <c r="A3" s="27" t="b">
        <v>0</v>
      </c>
      <c r="B3" s="13" t="s">
        <v>15</v>
      </c>
      <c r="C3" s="3" t="str">
        <f t="shared" ref="C3:C46" si="0">LEFT(B3,2)</f>
        <v>01</v>
      </c>
      <c r="D3" s="4"/>
      <c r="E3" s="52"/>
      <c r="F3" s="52"/>
      <c r="G3" s="10"/>
      <c r="H3" s="23"/>
      <c r="I3" s="23"/>
      <c r="J3" s="23"/>
      <c r="K3" s="23"/>
      <c r="L3" s="58" t="b">
        <f>'0_Configuration'!$C$2</f>
        <v>1</v>
      </c>
      <c r="M3" s="3" t="s">
        <v>355</v>
      </c>
      <c r="N3" s="58" t="b">
        <f>'0_Configuration'!$C$6</f>
        <v>0</v>
      </c>
      <c r="O3" s="3" t="s">
        <v>355</v>
      </c>
      <c r="P3" s="58" t="b">
        <f>'0_Configuration'!$C$10</f>
        <v>0</v>
      </c>
      <c r="Q3" s="3" t="s">
        <v>355</v>
      </c>
      <c r="R3" s="58" t="b">
        <f>'0_Configuration'!$C$17</f>
        <v>0</v>
      </c>
      <c r="S3" s="3">
        <f>_xlfn.XLOOKUP(Tab_Def_Flows[[#This Row],[ODYM_Good_Type]],Tab_Configuration[Value],Tab_Configuration[ODYM_ID],,0,)</f>
        <v>0</v>
      </c>
      <c r="T3" s="58" t="b">
        <f>'0_Configuration'!$C$24</f>
        <v>0</v>
      </c>
      <c r="U3" s="3" t="s">
        <v>355</v>
      </c>
      <c r="V3" s="58" t="b">
        <f>'0_Configuration'!$C$29</f>
        <v>1</v>
      </c>
      <c r="W3" s="3" t="s">
        <v>355</v>
      </c>
      <c r="X3" s="3" t="str">
        <f>IF(Tab_Def_Flows[[#This Row],[ODYM_time_(t)]],"t,","")&amp;IF(Tab_Def_Flows[[#This Row],[ODYM_Region_(r)]],"r,","")&amp;IF(Tab_Def_Flows[[#This Row],[ODYM_process_(p)]],"p,","")&amp;IF(Tab_Def_Flows[[#This Row],[ODYM_Good_(g)2]],"g,","")&amp;IF(Tab_Def_Flows[[#This Row],[ODYM_material_(m)]],"m,","")&amp;IF(Tab_Def_Flows[[#This Row],[ODYM_element_(e)]],"e","")</f>
        <v>t,e</v>
      </c>
      <c r="Y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 spans="1:25" x14ac:dyDescent="0.25">
      <c r="A4" s="27" t="b">
        <v>0</v>
      </c>
      <c r="B4" s="13" t="s">
        <v>16</v>
      </c>
      <c r="C4" s="3" t="str">
        <f t="shared" si="0"/>
        <v>02</v>
      </c>
      <c r="D4" s="4"/>
      <c r="E4" s="52"/>
      <c r="F4" s="52"/>
      <c r="G4" s="10"/>
      <c r="H4" s="23"/>
      <c r="I4" s="23"/>
      <c r="J4" s="23"/>
      <c r="K4" s="23"/>
      <c r="L4" s="58" t="b">
        <f>'0_Configuration'!$C$2</f>
        <v>1</v>
      </c>
      <c r="M4" s="3" t="s">
        <v>355</v>
      </c>
      <c r="N4" s="58" t="b">
        <f>'0_Configuration'!$C$6</f>
        <v>0</v>
      </c>
      <c r="O4" s="3" t="s">
        <v>355</v>
      </c>
      <c r="P4" s="58" t="b">
        <f>'0_Configuration'!$C$10</f>
        <v>0</v>
      </c>
      <c r="Q4" s="3" t="s">
        <v>355</v>
      </c>
      <c r="R4" s="58" t="b">
        <f>'0_Configuration'!$C$17</f>
        <v>0</v>
      </c>
      <c r="S4" s="3">
        <f>_xlfn.XLOOKUP(Tab_Def_Flows[[#This Row],[ODYM_Good_Type]],Tab_Configuration[Value],Tab_Configuration[ODYM_ID],,0,)</f>
        <v>0</v>
      </c>
      <c r="T4" s="58" t="b">
        <f>'0_Configuration'!$C$24</f>
        <v>0</v>
      </c>
      <c r="U4" s="3" t="s">
        <v>355</v>
      </c>
      <c r="V4" s="58" t="b">
        <f>'0_Configuration'!$C$29</f>
        <v>1</v>
      </c>
      <c r="W4" s="3" t="s">
        <v>355</v>
      </c>
      <c r="X4" s="3" t="str">
        <f>IF(Tab_Def_Flows[[#This Row],[ODYM_time_(t)]],"t,","")&amp;IF(Tab_Def_Flows[[#This Row],[ODYM_Region_(r)]],"r,","")&amp;IF(Tab_Def_Flows[[#This Row],[ODYM_process_(p)]],"p,","")&amp;IF(Tab_Def_Flows[[#This Row],[ODYM_Good_(g)2]],"g,","")&amp;IF(Tab_Def_Flows[[#This Row],[ODYM_material_(m)]],"m,","")&amp;IF(Tab_Def_Flows[[#This Row],[ODYM_element_(e)]],"e","")</f>
        <v>t,e</v>
      </c>
      <c r="Y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5" spans="1:25" x14ac:dyDescent="0.25">
      <c r="A5" s="27" t="b">
        <v>0</v>
      </c>
      <c r="B5" s="13" t="s">
        <v>17</v>
      </c>
      <c r="C5" s="3" t="str">
        <f t="shared" si="0"/>
        <v>03</v>
      </c>
      <c r="D5" s="4"/>
      <c r="E5" s="52"/>
      <c r="F5" s="52"/>
      <c r="G5" s="10"/>
      <c r="H5" s="23"/>
      <c r="I5" s="23"/>
      <c r="J5" s="23"/>
      <c r="K5" s="23"/>
      <c r="L5" s="58" t="b">
        <f>'0_Configuration'!$C$2</f>
        <v>1</v>
      </c>
      <c r="M5" s="3" t="s">
        <v>355</v>
      </c>
      <c r="N5" s="58" t="b">
        <f>'0_Configuration'!$C$6</f>
        <v>0</v>
      </c>
      <c r="O5" s="3" t="s">
        <v>355</v>
      </c>
      <c r="P5" s="58" t="b">
        <f>'0_Configuration'!$C$10</f>
        <v>0</v>
      </c>
      <c r="Q5" s="3" t="s">
        <v>355</v>
      </c>
      <c r="R5" s="58" t="b">
        <f>'0_Configuration'!$C$17</f>
        <v>0</v>
      </c>
      <c r="S5" s="3">
        <f>_xlfn.XLOOKUP(Tab_Def_Flows[[#This Row],[ODYM_Good_Type]],Tab_Configuration[Value],Tab_Configuration[ODYM_ID],,0,)</f>
        <v>0</v>
      </c>
      <c r="T5" s="58" t="b">
        <f>'0_Configuration'!$C$24</f>
        <v>0</v>
      </c>
      <c r="U5" s="3" t="s">
        <v>355</v>
      </c>
      <c r="V5" s="58" t="b">
        <f>'0_Configuration'!$C$29</f>
        <v>1</v>
      </c>
      <c r="W5" s="3" t="s">
        <v>355</v>
      </c>
      <c r="X5" s="3" t="str">
        <f>IF(Tab_Def_Flows[[#This Row],[ODYM_time_(t)]],"t,","")&amp;IF(Tab_Def_Flows[[#This Row],[ODYM_Region_(r)]],"r,","")&amp;IF(Tab_Def_Flows[[#This Row],[ODYM_process_(p)]],"p,","")&amp;IF(Tab_Def_Flows[[#This Row],[ODYM_Good_(g)2]],"g,","")&amp;IF(Tab_Def_Flows[[#This Row],[ODYM_material_(m)]],"m,","")&amp;IF(Tab_Def_Flows[[#This Row],[ODYM_element_(e)]],"e","")</f>
        <v>t,e</v>
      </c>
      <c r="Y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6" spans="1:25" x14ac:dyDescent="0.25">
      <c r="A6" s="27" t="b">
        <v>0</v>
      </c>
      <c r="B6" s="13" t="s">
        <v>18</v>
      </c>
      <c r="C6" s="3" t="str">
        <f t="shared" si="0"/>
        <v>04</v>
      </c>
      <c r="D6" s="4"/>
      <c r="E6" s="52"/>
      <c r="F6" s="52"/>
      <c r="G6" s="10"/>
      <c r="H6" s="23"/>
      <c r="I6" s="23"/>
      <c r="J6" s="23"/>
      <c r="K6" s="23"/>
      <c r="L6" s="58" t="b">
        <f>'0_Configuration'!$C$2</f>
        <v>1</v>
      </c>
      <c r="M6" s="3" t="s">
        <v>355</v>
      </c>
      <c r="N6" s="58" t="b">
        <f>'0_Configuration'!$C$6</f>
        <v>0</v>
      </c>
      <c r="O6" s="3" t="s">
        <v>355</v>
      </c>
      <c r="P6" s="58" t="b">
        <f>'0_Configuration'!$C$10</f>
        <v>0</v>
      </c>
      <c r="Q6" s="3" t="s">
        <v>355</v>
      </c>
      <c r="R6" s="58" t="b">
        <f>'0_Configuration'!$C$17</f>
        <v>0</v>
      </c>
      <c r="S6" s="3">
        <f>_xlfn.XLOOKUP(Tab_Def_Flows[[#This Row],[ODYM_Good_Type]],Tab_Configuration[Value],Tab_Configuration[ODYM_ID],,0,)</f>
        <v>0</v>
      </c>
      <c r="T6" s="58" t="b">
        <f>'0_Configuration'!$C$24</f>
        <v>0</v>
      </c>
      <c r="U6" s="3" t="s">
        <v>355</v>
      </c>
      <c r="V6" s="58" t="b">
        <f>'0_Configuration'!$C$29</f>
        <v>1</v>
      </c>
      <c r="W6" s="3" t="s">
        <v>355</v>
      </c>
      <c r="X6" s="3" t="str">
        <f>IF(Tab_Def_Flows[[#This Row],[ODYM_time_(t)]],"t,","")&amp;IF(Tab_Def_Flows[[#This Row],[ODYM_Region_(r)]],"r,","")&amp;IF(Tab_Def_Flows[[#This Row],[ODYM_process_(p)]],"p,","")&amp;IF(Tab_Def_Flows[[#This Row],[ODYM_Good_(g)2]],"g,","")&amp;IF(Tab_Def_Flows[[#This Row],[ODYM_material_(m)]],"m,","")&amp;IF(Tab_Def_Flows[[#This Row],[ODYM_element_(e)]],"e","")</f>
        <v>t,e</v>
      </c>
      <c r="Y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7" spans="1:25" x14ac:dyDescent="0.25">
      <c r="A7" s="27" t="b">
        <v>0</v>
      </c>
      <c r="B7" s="13" t="s">
        <v>19</v>
      </c>
      <c r="C7" s="3" t="str">
        <f t="shared" si="0"/>
        <v>05</v>
      </c>
      <c r="D7" s="4"/>
      <c r="E7" s="52"/>
      <c r="F7" s="52"/>
      <c r="G7" s="10"/>
      <c r="H7" s="23"/>
      <c r="I7" s="23"/>
      <c r="J7" s="23"/>
      <c r="K7" s="23"/>
      <c r="L7" s="58" t="b">
        <f>'0_Configuration'!$C$2</f>
        <v>1</v>
      </c>
      <c r="M7" s="3" t="s">
        <v>355</v>
      </c>
      <c r="N7" s="58" t="b">
        <f>'0_Configuration'!$C$6</f>
        <v>0</v>
      </c>
      <c r="O7" s="3" t="s">
        <v>355</v>
      </c>
      <c r="P7" s="58" t="b">
        <f>'0_Configuration'!$C$10</f>
        <v>0</v>
      </c>
      <c r="Q7" s="3" t="s">
        <v>355</v>
      </c>
      <c r="R7" s="58" t="b">
        <f>'0_Configuration'!$C$17</f>
        <v>0</v>
      </c>
      <c r="S7" s="3">
        <f>_xlfn.XLOOKUP(Tab_Def_Flows[[#This Row],[ODYM_Good_Type]],Tab_Configuration[Value],Tab_Configuration[ODYM_ID],,0,)</f>
        <v>0</v>
      </c>
      <c r="T7" s="58" t="b">
        <f>'0_Configuration'!$C$24</f>
        <v>0</v>
      </c>
      <c r="U7" s="3" t="s">
        <v>355</v>
      </c>
      <c r="V7" s="58" t="b">
        <f>'0_Configuration'!$C$29</f>
        <v>1</v>
      </c>
      <c r="W7" s="3" t="s">
        <v>355</v>
      </c>
      <c r="X7" s="3" t="str">
        <f>IF(Tab_Def_Flows[[#This Row],[ODYM_time_(t)]],"t,","")&amp;IF(Tab_Def_Flows[[#This Row],[ODYM_Region_(r)]],"r,","")&amp;IF(Tab_Def_Flows[[#This Row],[ODYM_process_(p)]],"p,","")&amp;IF(Tab_Def_Flows[[#This Row],[ODYM_Good_(g)2]],"g,","")&amp;IF(Tab_Def_Flows[[#This Row],[ODYM_material_(m)]],"m,","")&amp;IF(Tab_Def_Flows[[#This Row],[ODYM_element_(e)]],"e","")</f>
        <v>t,e</v>
      </c>
      <c r="Y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8" spans="1:25" x14ac:dyDescent="0.25">
      <c r="A8" s="27" t="b">
        <v>0</v>
      </c>
      <c r="B8" s="13" t="s">
        <v>20</v>
      </c>
      <c r="C8" s="3" t="str">
        <f t="shared" si="0"/>
        <v>06</v>
      </c>
      <c r="D8" s="4"/>
      <c r="E8" s="52"/>
      <c r="F8" s="52"/>
      <c r="G8" s="10"/>
      <c r="H8" s="23"/>
      <c r="I8" s="23"/>
      <c r="J8" s="23"/>
      <c r="K8" s="23"/>
      <c r="L8" s="58" t="b">
        <f>'0_Configuration'!$C$2</f>
        <v>1</v>
      </c>
      <c r="M8" s="3" t="s">
        <v>355</v>
      </c>
      <c r="N8" s="58" t="b">
        <f>'0_Configuration'!$C$6</f>
        <v>0</v>
      </c>
      <c r="O8" s="3" t="s">
        <v>355</v>
      </c>
      <c r="P8" s="58" t="b">
        <f>'0_Configuration'!$C$10</f>
        <v>0</v>
      </c>
      <c r="Q8" s="3" t="s">
        <v>355</v>
      </c>
      <c r="R8" s="58" t="b">
        <f>'0_Configuration'!$C$17</f>
        <v>0</v>
      </c>
      <c r="S8" s="3">
        <f>_xlfn.XLOOKUP(Tab_Def_Flows[[#This Row],[ODYM_Good_Type]],Tab_Configuration[Value],Tab_Configuration[ODYM_ID],,0,)</f>
        <v>0</v>
      </c>
      <c r="T8" s="58" t="b">
        <f>'0_Configuration'!$C$24</f>
        <v>0</v>
      </c>
      <c r="U8" s="3" t="s">
        <v>355</v>
      </c>
      <c r="V8" s="58" t="b">
        <f>'0_Configuration'!$C$29</f>
        <v>1</v>
      </c>
      <c r="W8" s="3" t="s">
        <v>355</v>
      </c>
      <c r="X8" s="3" t="str">
        <f>IF(Tab_Def_Flows[[#This Row],[ODYM_time_(t)]],"t,","")&amp;IF(Tab_Def_Flows[[#This Row],[ODYM_Region_(r)]],"r,","")&amp;IF(Tab_Def_Flows[[#This Row],[ODYM_process_(p)]],"p,","")&amp;IF(Tab_Def_Flows[[#This Row],[ODYM_Good_(g)2]],"g,","")&amp;IF(Tab_Def_Flows[[#This Row],[ODYM_material_(m)]],"m,","")&amp;IF(Tab_Def_Flows[[#This Row],[ODYM_element_(e)]],"e","")</f>
        <v>t,e</v>
      </c>
      <c r="Y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9" spans="1:25" x14ac:dyDescent="0.25">
      <c r="A9" s="27" t="b">
        <v>0</v>
      </c>
      <c r="B9" s="13" t="s">
        <v>21</v>
      </c>
      <c r="C9" s="3" t="str">
        <f t="shared" si="0"/>
        <v>07</v>
      </c>
      <c r="D9" s="4"/>
      <c r="E9" s="52"/>
      <c r="F9" s="52"/>
      <c r="G9" s="10"/>
      <c r="H9" s="23"/>
      <c r="I9" s="23"/>
      <c r="J9" s="23"/>
      <c r="K9" s="23"/>
      <c r="L9" s="58" t="b">
        <f>'0_Configuration'!$C$2</f>
        <v>1</v>
      </c>
      <c r="M9" s="3" t="s">
        <v>355</v>
      </c>
      <c r="N9" s="58" t="b">
        <f>'0_Configuration'!$C$6</f>
        <v>0</v>
      </c>
      <c r="O9" s="3" t="s">
        <v>355</v>
      </c>
      <c r="P9" s="58" t="b">
        <f>'0_Configuration'!$C$10</f>
        <v>0</v>
      </c>
      <c r="Q9" s="3" t="s">
        <v>355</v>
      </c>
      <c r="R9" s="58" t="b">
        <f>'0_Configuration'!$C$17</f>
        <v>0</v>
      </c>
      <c r="S9" s="3">
        <f>_xlfn.XLOOKUP(Tab_Def_Flows[[#This Row],[ODYM_Good_Type]],Tab_Configuration[Value],Tab_Configuration[ODYM_ID],,0,)</f>
        <v>0</v>
      </c>
      <c r="T9" s="58" t="b">
        <f>'0_Configuration'!$C$24</f>
        <v>0</v>
      </c>
      <c r="U9" s="3" t="s">
        <v>355</v>
      </c>
      <c r="V9" s="58" t="b">
        <f>'0_Configuration'!$C$29</f>
        <v>1</v>
      </c>
      <c r="W9" s="3" t="s">
        <v>355</v>
      </c>
      <c r="X9" s="3" t="str">
        <f>IF(Tab_Def_Flows[[#This Row],[ODYM_time_(t)]],"t,","")&amp;IF(Tab_Def_Flows[[#This Row],[ODYM_Region_(r)]],"r,","")&amp;IF(Tab_Def_Flows[[#This Row],[ODYM_process_(p)]],"p,","")&amp;IF(Tab_Def_Flows[[#This Row],[ODYM_Good_(g)2]],"g,","")&amp;IF(Tab_Def_Flows[[#This Row],[ODYM_material_(m)]],"m,","")&amp;IF(Tab_Def_Flows[[#This Row],[ODYM_element_(e)]],"e","")</f>
        <v>t,e</v>
      </c>
      <c r="Y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0" spans="1:25" x14ac:dyDescent="0.25">
      <c r="A10" s="27" t="b">
        <v>0</v>
      </c>
      <c r="B10" s="13" t="s">
        <v>22</v>
      </c>
      <c r="C10" s="3" t="str">
        <f t="shared" si="0"/>
        <v>08</v>
      </c>
      <c r="D10" s="4"/>
      <c r="E10" s="52"/>
      <c r="F10" s="52"/>
      <c r="G10" s="10"/>
      <c r="H10" s="23"/>
      <c r="I10" s="23"/>
      <c r="J10" s="23"/>
      <c r="K10" s="23"/>
      <c r="L10" s="58" t="b">
        <f>'0_Configuration'!$C$2</f>
        <v>1</v>
      </c>
      <c r="M10" s="3" t="s">
        <v>355</v>
      </c>
      <c r="N10" s="58" t="b">
        <f>'0_Configuration'!$C$6</f>
        <v>0</v>
      </c>
      <c r="O10" s="3" t="s">
        <v>355</v>
      </c>
      <c r="P10" s="58" t="b">
        <f>'0_Configuration'!$C$10</f>
        <v>0</v>
      </c>
      <c r="Q10" s="3" t="s">
        <v>355</v>
      </c>
      <c r="R10" s="58" t="b">
        <f>'0_Configuration'!$C$17</f>
        <v>0</v>
      </c>
      <c r="S10" s="3">
        <f>_xlfn.XLOOKUP(Tab_Def_Flows[[#This Row],[ODYM_Good_Type]],Tab_Configuration[Value],Tab_Configuration[ODYM_ID],,0,)</f>
        <v>0</v>
      </c>
      <c r="T10" s="58" t="b">
        <f>'0_Configuration'!$C$24</f>
        <v>0</v>
      </c>
      <c r="U10" s="3" t="s">
        <v>355</v>
      </c>
      <c r="V10" s="58" t="b">
        <f>'0_Configuration'!$C$29</f>
        <v>1</v>
      </c>
      <c r="W10" s="3" t="s">
        <v>355</v>
      </c>
      <c r="X10" s="3" t="str">
        <f>IF(Tab_Def_Flows[[#This Row],[ODYM_time_(t)]],"t,","")&amp;IF(Tab_Def_Flows[[#This Row],[ODYM_Region_(r)]],"r,","")&amp;IF(Tab_Def_Flows[[#This Row],[ODYM_process_(p)]],"p,","")&amp;IF(Tab_Def_Flows[[#This Row],[ODYM_Good_(g)2]],"g,","")&amp;IF(Tab_Def_Flows[[#This Row],[ODYM_material_(m)]],"m,","")&amp;IF(Tab_Def_Flows[[#This Row],[ODYM_element_(e)]],"e","")</f>
        <v>t,e</v>
      </c>
      <c r="Y1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1" spans="1:25" x14ac:dyDescent="0.25">
      <c r="A11" s="27" t="b">
        <v>0</v>
      </c>
      <c r="B11" s="13" t="s">
        <v>23</v>
      </c>
      <c r="C11" s="3" t="str">
        <f t="shared" si="0"/>
        <v>09</v>
      </c>
      <c r="D11" s="4"/>
      <c r="E11" s="52"/>
      <c r="F11" s="52"/>
      <c r="G11" s="10"/>
      <c r="H11" s="23"/>
      <c r="I11" s="23"/>
      <c r="J11" s="23"/>
      <c r="K11" s="23"/>
      <c r="L11" s="58" t="b">
        <f>'0_Configuration'!$C$2</f>
        <v>1</v>
      </c>
      <c r="M11" s="3" t="s">
        <v>355</v>
      </c>
      <c r="N11" s="58" t="b">
        <f>'0_Configuration'!$C$6</f>
        <v>0</v>
      </c>
      <c r="O11" s="3" t="s">
        <v>355</v>
      </c>
      <c r="P11" s="58" t="b">
        <f>'0_Configuration'!$C$10</f>
        <v>0</v>
      </c>
      <c r="Q11" s="3" t="s">
        <v>355</v>
      </c>
      <c r="R11" s="58" t="b">
        <f>'0_Configuration'!$C$17</f>
        <v>0</v>
      </c>
      <c r="S11" s="3">
        <f>_xlfn.XLOOKUP(Tab_Def_Flows[[#This Row],[ODYM_Good_Type]],Tab_Configuration[Value],Tab_Configuration[ODYM_ID],,0,)</f>
        <v>0</v>
      </c>
      <c r="T11" s="58" t="b">
        <f>'0_Configuration'!$C$24</f>
        <v>0</v>
      </c>
      <c r="U11" s="3" t="s">
        <v>355</v>
      </c>
      <c r="V11" s="58" t="b">
        <f>'0_Configuration'!$C$29</f>
        <v>1</v>
      </c>
      <c r="W11" s="3" t="s">
        <v>355</v>
      </c>
      <c r="X11" s="3" t="str">
        <f>IF(Tab_Def_Flows[[#This Row],[ODYM_time_(t)]],"t,","")&amp;IF(Tab_Def_Flows[[#This Row],[ODYM_Region_(r)]],"r,","")&amp;IF(Tab_Def_Flows[[#This Row],[ODYM_process_(p)]],"p,","")&amp;IF(Tab_Def_Flows[[#This Row],[ODYM_Good_(g)2]],"g,","")&amp;IF(Tab_Def_Flows[[#This Row],[ODYM_material_(m)]],"m,","")&amp;IF(Tab_Def_Flows[[#This Row],[ODYM_element_(e)]],"e","")</f>
        <v>t,e</v>
      </c>
      <c r="Y1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2" spans="1:25" x14ac:dyDescent="0.25">
      <c r="A12" s="27" t="b">
        <v>0</v>
      </c>
      <c r="B12" s="13" t="s">
        <v>25</v>
      </c>
      <c r="C12" s="3" t="str">
        <f t="shared" si="0"/>
        <v>10</v>
      </c>
      <c r="D12" s="4"/>
      <c r="E12" s="52"/>
      <c r="F12" s="52"/>
      <c r="G12" s="10"/>
      <c r="H12" s="23"/>
      <c r="I12" s="23"/>
      <c r="J12" s="23"/>
      <c r="K12" s="23"/>
      <c r="L12" s="58" t="b">
        <f>'0_Configuration'!$C$2</f>
        <v>1</v>
      </c>
      <c r="M12" s="3" t="s">
        <v>355</v>
      </c>
      <c r="N12" s="58" t="b">
        <f>'0_Configuration'!$C$6</f>
        <v>0</v>
      </c>
      <c r="O12" s="3" t="s">
        <v>355</v>
      </c>
      <c r="P12" s="58" t="b">
        <f>'0_Configuration'!$C$10</f>
        <v>0</v>
      </c>
      <c r="Q12" s="3" t="s">
        <v>355</v>
      </c>
      <c r="R12" s="58" t="b">
        <f>'0_Configuration'!$C$17</f>
        <v>0</v>
      </c>
      <c r="S12" s="3">
        <f>_xlfn.XLOOKUP(Tab_Def_Flows[[#This Row],[ODYM_Good_Type]],Tab_Configuration[Value],Tab_Configuration[ODYM_ID],,0,)</f>
        <v>0</v>
      </c>
      <c r="T12" s="58" t="b">
        <f>'0_Configuration'!$C$24</f>
        <v>0</v>
      </c>
      <c r="U12" s="3" t="s">
        <v>355</v>
      </c>
      <c r="V12" s="58" t="b">
        <f>'0_Configuration'!$C$29</f>
        <v>1</v>
      </c>
      <c r="W12" s="3" t="s">
        <v>355</v>
      </c>
      <c r="X12" s="3" t="str">
        <f>IF(Tab_Def_Flows[[#This Row],[ODYM_time_(t)]],"t,","")&amp;IF(Tab_Def_Flows[[#This Row],[ODYM_Region_(r)]],"r,","")&amp;IF(Tab_Def_Flows[[#This Row],[ODYM_process_(p)]],"p,","")&amp;IF(Tab_Def_Flows[[#This Row],[ODYM_Good_(g)2]],"g,","")&amp;IF(Tab_Def_Flows[[#This Row],[ODYM_material_(m)]],"m,","")&amp;IF(Tab_Def_Flows[[#This Row],[ODYM_element_(e)]],"e","")</f>
        <v>t,e</v>
      </c>
      <c r="Y1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3" spans="1:25" x14ac:dyDescent="0.25">
      <c r="A13" s="27" t="b">
        <v>0</v>
      </c>
      <c r="B13" s="13" t="s">
        <v>26</v>
      </c>
      <c r="C13" s="3" t="str">
        <f t="shared" si="0"/>
        <v>11</v>
      </c>
      <c r="D13" s="4"/>
      <c r="E13" s="52"/>
      <c r="F13" s="52"/>
      <c r="G13" s="10"/>
      <c r="H13" s="23"/>
      <c r="I13" s="23"/>
      <c r="J13" s="23"/>
      <c r="K13" s="23"/>
      <c r="L13" s="58" t="b">
        <f>'0_Configuration'!$C$2</f>
        <v>1</v>
      </c>
      <c r="M13" s="3" t="s">
        <v>355</v>
      </c>
      <c r="N13" s="58" t="b">
        <f>'0_Configuration'!$C$6</f>
        <v>0</v>
      </c>
      <c r="O13" s="3" t="s">
        <v>355</v>
      </c>
      <c r="P13" s="58" t="b">
        <f>'0_Configuration'!$C$10</f>
        <v>0</v>
      </c>
      <c r="Q13" s="3" t="s">
        <v>355</v>
      </c>
      <c r="R13" s="58" t="b">
        <f>'0_Configuration'!$C$17</f>
        <v>0</v>
      </c>
      <c r="S13" s="3">
        <f>_xlfn.XLOOKUP(Tab_Def_Flows[[#This Row],[ODYM_Good_Type]],Tab_Configuration[Value],Tab_Configuration[ODYM_ID],,0,)</f>
        <v>0</v>
      </c>
      <c r="T13" s="58" t="b">
        <f>'0_Configuration'!$C$24</f>
        <v>0</v>
      </c>
      <c r="U13" s="3" t="s">
        <v>355</v>
      </c>
      <c r="V13" s="58" t="b">
        <f>'0_Configuration'!$C$29</f>
        <v>1</v>
      </c>
      <c r="W13" s="3" t="s">
        <v>355</v>
      </c>
      <c r="X13" s="3" t="str">
        <f>IF(Tab_Def_Flows[[#This Row],[ODYM_time_(t)]],"t,","")&amp;IF(Tab_Def_Flows[[#This Row],[ODYM_Region_(r)]],"r,","")&amp;IF(Tab_Def_Flows[[#This Row],[ODYM_process_(p)]],"p,","")&amp;IF(Tab_Def_Flows[[#This Row],[ODYM_Good_(g)2]],"g,","")&amp;IF(Tab_Def_Flows[[#This Row],[ODYM_material_(m)]],"m,","")&amp;IF(Tab_Def_Flows[[#This Row],[ODYM_element_(e)]],"e","")</f>
        <v>t,e</v>
      </c>
      <c r="Y1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4" spans="1:25" x14ac:dyDescent="0.25">
      <c r="A14" s="27" t="b">
        <v>0</v>
      </c>
      <c r="B14" s="13" t="s">
        <v>27</v>
      </c>
      <c r="C14" s="3" t="str">
        <f t="shared" si="0"/>
        <v>12</v>
      </c>
      <c r="D14" s="4"/>
      <c r="E14" s="52"/>
      <c r="F14" s="52"/>
      <c r="G14" s="10"/>
      <c r="H14" s="23"/>
      <c r="I14" s="23"/>
      <c r="J14" s="23"/>
      <c r="K14" s="23"/>
      <c r="L14" s="58" t="b">
        <f>'0_Configuration'!$C$2</f>
        <v>1</v>
      </c>
      <c r="M14" s="3" t="s">
        <v>355</v>
      </c>
      <c r="N14" s="58" t="b">
        <f>'0_Configuration'!$C$6</f>
        <v>0</v>
      </c>
      <c r="O14" s="3" t="s">
        <v>355</v>
      </c>
      <c r="P14" s="58" t="b">
        <f>'0_Configuration'!$C$10</f>
        <v>0</v>
      </c>
      <c r="Q14" s="3" t="s">
        <v>355</v>
      </c>
      <c r="R14" s="58" t="b">
        <f>'0_Configuration'!$C$17</f>
        <v>0</v>
      </c>
      <c r="S14" s="3">
        <f>_xlfn.XLOOKUP(Tab_Def_Flows[[#This Row],[ODYM_Good_Type]],Tab_Configuration[Value],Tab_Configuration[ODYM_ID],,0,)</f>
        <v>0</v>
      </c>
      <c r="T14" s="58" t="b">
        <f>'0_Configuration'!$C$24</f>
        <v>0</v>
      </c>
      <c r="U14" s="3" t="s">
        <v>355</v>
      </c>
      <c r="V14" s="58" t="b">
        <f>'0_Configuration'!$C$29</f>
        <v>1</v>
      </c>
      <c r="W14" s="3" t="s">
        <v>355</v>
      </c>
      <c r="X14" s="3" t="str">
        <f>IF(Tab_Def_Flows[[#This Row],[ODYM_time_(t)]],"t,","")&amp;IF(Tab_Def_Flows[[#This Row],[ODYM_Region_(r)]],"r,","")&amp;IF(Tab_Def_Flows[[#This Row],[ODYM_process_(p)]],"p,","")&amp;IF(Tab_Def_Flows[[#This Row],[ODYM_Good_(g)2]],"g,","")&amp;IF(Tab_Def_Flows[[#This Row],[ODYM_material_(m)]],"m,","")&amp;IF(Tab_Def_Flows[[#This Row],[ODYM_element_(e)]],"e","")</f>
        <v>t,e</v>
      </c>
      <c r="Y1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5" spans="1:25" x14ac:dyDescent="0.25">
      <c r="A15" s="27" t="b">
        <v>0</v>
      </c>
      <c r="B15" s="13" t="s">
        <v>28</v>
      </c>
      <c r="C15" s="3" t="str">
        <f t="shared" si="0"/>
        <v>13</v>
      </c>
      <c r="D15" s="4"/>
      <c r="E15" s="52"/>
      <c r="F15" s="52"/>
      <c r="G15" s="10"/>
      <c r="H15" s="23"/>
      <c r="I15" s="23"/>
      <c r="J15" s="23"/>
      <c r="K15" s="23"/>
      <c r="L15" s="58" t="b">
        <f>'0_Configuration'!$C$2</f>
        <v>1</v>
      </c>
      <c r="M15" s="3" t="s">
        <v>355</v>
      </c>
      <c r="N15" s="58" t="b">
        <f>'0_Configuration'!$C$6</f>
        <v>0</v>
      </c>
      <c r="O15" s="3" t="s">
        <v>355</v>
      </c>
      <c r="P15" s="58" t="b">
        <f>'0_Configuration'!$C$10</f>
        <v>0</v>
      </c>
      <c r="Q15" s="3" t="s">
        <v>355</v>
      </c>
      <c r="R15" s="58" t="b">
        <f>'0_Configuration'!$C$17</f>
        <v>0</v>
      </c>
      <c r="S15" s="3">
        <f>_xlfn.XLOOKUP(Tab_Def_Flows[[#This Row],[ODYM_Good_Type]],Tab_Configuration[Value],Tab_Configuration[ODYM_ID],,0,)</f>
        <v>0</v>
      </c>
      <c r="T15" s="58" t="b">
        <f>'0_Configuration'!$C$24</f>
        <v>0</v>
      </c>
      <c r="U15" s="3" t="s">
        <v>355</v>
      </c>
      <c r="V15" s="58" t="b">
        <f>'0_Configuration'!$C$29</f>
        <v>1</v>
      </c>
      <c r="W15" s="3" t="s">
        <v>355</v>
      </c>
      <c r="X15" s="3" t="str">
        <f>IF(Tab_Def_Flows[[#This Row],[ODYM_time_(t)]],"t,","")&amp;IF(Tab_Def_Flows[[#This Row],[ODYM_Region_(r)]],"r,","")&amp;IF(Tab_Def_Flows[[#This Row],[ODYM_process_(p)]],"p,","")&amp;IF(Tab_Def_Flows[[#This Row],[ODYM_Good_(g)2]],"g,","")&amp;IF(Tab_Def_Flows[[#This Row],[ODYM_material_(m)]],"m,","")&amp;IF(Tab_Def_Flows[[#This Row],[ODYM_element_(e)]],"e","")</f>
        <v>t,e</v>
      </c>
      <c r="Y1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6" spans="1:25" x14ac:dyDescent="0.25">
      <c r="A16" s="27" t="b">
        <v>0</v>
      </c>
      <c r="B16" s="13" t="s">
        <v>29</v>
      </c>
      <c r="C16" s="3" t="str">
        <f t="shared" si="0"/>
        <v>14</v>
      </c>
      <c r="D16" s="4"/>
      <c r="E16" s="52"/>
      <c r="F16" s="52"/>
      <c r="G16" s="10"/>
      <c r="H16" s="23"/>
      <c r="I16" s="23"/>
      <c r="J16" s="23"/>
      <c r="K16" s="23"/>
      <c r="L16" s="58" t="b">
        <f>'0_Configuration'!$C$2</f>
        <v>1</v>
      </c>
      <c r="M16" s="3" t="s">
        <v>355</v>
      </c>
      <c r="N16" s="58" t="b">
        <f>'0_Configuration'!$C$6</f>
        <v>0</v>
      </c>
      <c r="O16" s="3" t="s">
        <v>355</v>
      </c>
      <c r="P16" s="58" t="b">
        <f>'0_Configuration'!$C$10</f>
        <v>0</v>
      </c>
      <c r="Q16" s="3" t="s">
        <v>355</v>
      </c>
      <c r="R16" s="58" t="b">
        <f>'0_Configuration'!$C$17</f>
        <v>0</v>
      </c>
      <c r="S16" s="3">
        <f>_xlfn.XLOOKUP(Tab_Def_Flows[[#This Row],[ODYM_Good_Type]],Tab_Configuration[Value],Tab_Configuration[ODYM_ID],,0,)</f>
        <v>0</v>
      </c>
      <c r="T16" s="58" t="b">
        <f>'0_Configuration'!$C$24</f>
        <v>0</v>
      </c>
      <c r="U16" s="3" t="s">
        <v>355</v>
      </c>
      <c r="V16" s="58" t="b">
        <f>'0_Configuration'!$C$29</f>
        <v>1</v>
      </c>
      <c r="W16" s="3" t="s">
        <v>355</v>
      </c>
      <c r="X16" s="3" t="str">
        <f>IF(Tab_Def_Flows[[#This Row],[ODYM_time_(t)]],"t,","")&amp;IF(Tab_Def_Flows[[#This Row],[ODYM_Region_(r)]],"r,","")&amp;IF(Tab_Def_Flows[[#This Row],[ODYM_process_(p)]],"p,","")&amp;IF(Tab_Def_Flows[[#This Row],[ODYM_Good_(g)2]],"g,","")&amp;IF(Tab_Def_Flows[[#This Row],[ODYM_material_(m)]],"m,","")&amp;IF(Tab_Def_Flows[[#This Row],[ODYM_element_(e)]],"e","")</f>
        <v>t,e</v>
      </c>
      <c r="Y1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7" spans="1:25" x14ac:dyDescent="0.25">
      <c r="A17" s="27" t="b">
        <v>0</v>
      </c>
      <c r="B17" s="13" t="s">
        <v>30</v>
      </c>
      <c r="C17" s="3" t="str">
        <f t="shared" si="0"/>
        <v>15</v>
      </c>
      <c r="D17" s="4"/>
      <c r="E17" s="52"/>
      <c r="F17" s="52"/>
      <c r="G17" s="10"/>
      <c r="H17" s="23"/>
      <c r="I17" s="23"/>
      <c r="J17" s="23"/>
      <c r="K17" s="23"/>
      <c r="L17" s="58" t="b">
        <f>'0_Configuration'!$C$2</f>
        <v>1</v>
      </c>
      <c r="M17" s="3" t="s">
        <v>355</v>
      </c>
      <c r="N17" s="58" t="b">
        <f>'0_Configuration'!$C$6</f>
        <v>0</v>
      </c>
      <c r="O17" s="3" t="s">
        <v>355</v>
      </c>
      <c r="P17" s="58" t="b">
        <f>'0_Configuration'!$C$10</f>
        <v>0</v>
      </c>
      <c r="Q17" s="3" t="s">
        <v>355</v>
      </c>
      <c r="R17" s="58" t="b">
        <f>'0_Configuration'!$C$17</f>
        <v>0</v>
      </c>
      <c r="S17" s="3">
        <f>_xlfn.XLOOKUP(Tab_Def_Flows[[#This Row],[ODYM_Good_Type]],Tab_Configuration[Value],Tab_Configuration[ODYM_ID],,0,)</f>
        <v>0</v>
      </c>
      <c r="T17" s="58" t="b">
        <f>'0_Configuration'!$C$24</f>
        <v>0</v>
      </c>
      <c r="U17" s="3" t="s">
        <v>355</v>
      </c>
      <c r="V17" s="58" t="b">
        <f>'0_Configuration'!$C$29</f>
        <v>1</v>
      </c>
      <c r="W17" s="3" t="s">
        <v>355</v>
      </c>
      <c r="X17" s="3" t="str">
        <f>IF(Tab_Def_Flows[[#This Row],[ODYM_time_(t)]],"t,","")&amp;IF(Tab_Def_Flows[[#This Row],[ODYM_Region_(r)]],"r,","")&amp;IF(Tab_Def_Flows[[#This Row],[ODYM_process_(p)]],"p,","")&amp;IF(Tab_Def_Flows[[#This Row],[ODYM_Good_(g)2]],"g,","")&amp;IF(Tab_Def_Flows[[#This Row],[ODYM_material_(m)]],"m,","")&amp;IF(Tab_Def_Flows[[#This Row],[ODYM_element_(e)]],"e","")</f>
        <v>t,e</v>
      </c>
      <c r="Y1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8" spans="1:25" x14ac:dyDescent="0.25">
      <c r="A18" s="27" t="b">
        <v>0</v>
      </c>
      <c r="B18" s="13" t="s">
        <v>31</v>
      </c>
      <c r="C18" s="3" t="str">
        <f t="shared" si="0"/>
        <v>16</v>
      </c>
      <c r="D18" s="4"/>
      <c r="E18" s="52"/>
      <c r="F18" s="52"/>
      <c r="G18" s="10"/>
      <c r="H18" s="23"/>
      <c r="I18" s="23"/>
      <c r="J18" s="23"/>
      <c r="K18" s="23"/>
      <c r="L18" s="58" t="b">
        <f>'0_Configuration'!$C$2</f>
        <v>1</v>
      </c>
      <c r="M18" s="3" t="s">
        <v>355</v>
      </c>
      <c r="N18" s="58" t="b">
        <f>'0_Configuration'!$C$6</f>
        <v>0</v>
      </c>
      <c r="O18" s="3" t="s">
        <v>355</v>
      </c>
      <c r="P18" s="58" t="b">
        <f>'0_Configuration'!$C$10</f>
        <v>0</v>
      </c>
      <c r="Q18" s="3" t="s">
        <v>355</v>
      </c>
      <c r="R18" s="58" t="b">
        <f>'0_Configuration'!$C$17</f>
        <v>0</v>
      </c>
      <c r="S18" s="3">
        <f>_xlfn.XLOOKUP(Tab_Def_Flows[[#This Row],[ODYM_Good_Type]],Tab_Configuration[Value],Tab_Configuration[ODYM_ID],,0,)</f>
        <v>0</v>
      </c>
      <c r="T18" s="58" t="b">
        <f>'0_Configuration'!$C$24</f>
        <v>0</v>
      </c>
      <c r="U18" s="3" t="s">
        <v>355</v>
      </c>
      <c r="V18" s="58" t="b">
        <f>'0_Configuration'!$C$29</f>
        <v>1</v>
      </c>
      <c r="W18" s="3" t="s">
        <v>355</v>
      </c>
      <c r="X18" s="3" t="str">
        <f>IF(Tab_Def_Flows[[#This Row],[ODYM_time_(t)]],"t,","")&amp;IF(Tab_Def_Flows[[#This Row],[ODYM_Region_(r)]],"r,","")&amp;IF(Tab_Def_Flows[[#This Row],[ODYM_process_(p)]],"p,","")&amp;IF(Tab_Def_Flows[[#This Row],[ODYM_Good_(g)2]],"g,","")&amp;IF(Tab_Def_Flows[[#This Row],[ODYM_material_(m)]],"m,","")&amp;IF(Tab_Def_Flows[[#This Row],[ODYM_element_(e)]],"e","")</f>
        <v>t,e</v>
      </c>
      <c r="Y1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9" spans="1:25" x14ac:dyDescent="0.25">
      <c r="A19" s="27" t="b">
        <v>0</v>
      </c>
      <c r="B19" s="13" t="s">
        <v>32</v>
      </c>
      <c r="C19" s="3" t="str">
        <f t="shared" si="0"/>
        <v>17</v>
      </c>
      <c r="D19" s="4"/>
      <c r="E19" s="52"/>
      <c r="F19" s="52"/>
      <c r="G19" s="10"/>
      <c r="H19" s="23"/>
      <c r="I19" s="23"/>
      <c r="J19" s="23"/>
      <c r="K19" s="23"/>
      <c r="L19" s="58" t="b">
        <f>'0_Configuration'!$C$2</f>
        <v>1</v>
      </c>
      <c r="M19" s="3" t="s">
        <v>355</v>
      </c>
      <c r="N19" s="58" t="b">
        <f>'0_Configuration'!$C$6</f>
        <v>0</v>
      </c>
      <c r="O19" s="3" t="s">
        <v>355</v>
      </c>
      <c r="P19" s="58" t="b">
        <f>'0_Configuration'!$C$10</f>
        <v>0</v>
      </c>
      <c r="Q19" s="3" t="s">
        <v>355</v>
      </c>
      <c r="R19" s="58" t="b">
        <f>'0_Configuration'!$C$17</f>
        <v>0</v>
      </c>
      <c r="S19" s="3">
        <f>_xlfn.XLOOKUP(Tab_Def_Flows[[#This Row],[ODYM_Good_Type]],Tab_Configuration[Value],Tab_Configuration[ODYM_ID],,0,)</f>
        <v>0</v>
      </c>
      <c r="T19" s="58" t="b">
        <f>'0_Configuration'!$C$24</f>
        <v>0</v>
      </c>
      <c r="U19" s="3" t="s">
        <v>355</v>
      </c>
      <c r="V19" s="58" t="b">
        <f>'0_Configuration'!$C$29</f>
        <v>1</v>
      </c>
      <c r="W19" s="3" t="s">
        <v>355</v>
      </c>
      <c r="X19" s="3" t="str">
        <f>IF(Tab_Def_Flows[[#This Row],[ODYM_time_(t)]],"t,","")&amp;IF(Tab_Def_Flows[[#This Row],[ODYM_Region_(r)]],"r,","")&amp;IF(Tab_Def_Flows[[#This Row],[ODYM_process_(p)]],"p,","")&amp;IF(Tab_Def_Flows[[#This Row],[ODYM_Good_(g)2]],"g,","")&amp;IF(Tab_Def_Flows[[#This Row],[ODYM_material_(m)]],"m,","")&amp;IF(Tab_Def_Flows[[#This Row],[ODYM_element_(e)]],"e","")</f>
        <v>t,e</v>
      </c>
      <c r="Y1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0" spans="1:25" x14ac:dyDescent="0.25">
      <c r="A20" s="27" t="b">
        <v>0</v>
      </c>
      <c r="B20" s="13" t="s">
        <v>33</v>
      </c>
      <c r="C20" s="3" t="str">
        <f t="shared" si="0"/>
        <v>18</v>
      </c>
      <c r="D20" s="4"/>
      <c r="E20" s="52"/>
      <c r="F20" s="52"/>
      <c r="G20" s="10"/>
      <c r="H20" s="23"/>
      <c r="I20" s="23"/>
      <c r="J20" s="23"/>
      <c r="K20" s="23"/>
      <c r="L20" s="58" t="b">
        <f>'0_Configuration'!$C$2</f>
        <v>1</v>
      </c>
      <c r="M20" s="3" t="s">
        <v>355</v>
      </c>
      <c r="N20" s="58" t="b">
        <f>'0_Configuration'!$C$6</f>
        <v>0</v>
      </c>
      <c r="O20" s="3" t="s">
        <v>355</v>
      </c>
      <c r="P20" s="58" t="b">
        <f>'0_Configuration'!$C$10</f>
        <v>0</v>
      </c>
      <c r="Q20" s="3" t="s">
        <v>355</v>
      </c>
      <c r="R20" s="58" t="b">
        <f>'0_Configuration'!$C$17</f>
        <v>0</v>
      </c>
      <c r="S20" s="3">
        <f>_xlfn.XLOOKUP(Tab_Def_Flows[[#This Row],[ODYM_Good_Type]],Tab_Configuration[Value],Tab_Configuration[ODYM_ID],,0,)</f>
        <v>0</v>
      </c>
      <c r="T20" s="58" t="b">
        <f>'0_Configuration'!$C$24</f>
        <v>0</v>
      </c>
      <c r="U20" s="3" t="s">
        <v>355</v>
      </c>
      <c r="V20" s="58" t="b">
        <f>'0_Configuration'!$C$29</f>
        <v>1</v>
      </c>
      <c r="W20" s="3" t="s">
        <v>355</v>
      </c>
      <c r="X20" s="3" t="str">
        <f>IF(Tab_Def_Flows[[#This Row],[ODYM_time_(t)]],"t,","")&amp;IF(Tab_Def_Flows[[#This Row],[ODYM_Region_(r)]],"r,","")&amp;IF(Tab_Def_Flows[[#This Row],[ODYM_process_(p)]],"p,","")&amp;IF(Tab_Def_Flows[[#This Row],[ODYM_Good_(g)2]],"g,","")&amp;IF(Tab_Def_Flows[[#This Row],[ODYM_material_(m)]],"m,","")&amp;IF(Tab_Def_Flows[[#This Row],[ODYM_element_(e)]],"e","")</f>
        <v>t,e</v>
      </c>
      <c r="Y2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1" spans="1:25" x14ac:dyDescent="0.25">
      <c r="A21" s="27" t="b">
        <v>0</v>
      </c>
      <c r="B21" s="13" t="s">
        <v>34</v>
      </c>
      <c r="C21" s="3" t="str">
        <f t="shared" si="0"/>
        <v>19</v>
      </c>
      <c r="D21" s="4"/>
      <c r="E21" s="52"/>
      <c r="F21" s="52"/>
      <c r="G21" s="10"/>
      <c r="H21" s="23"/>
      <c r="I21" s="23"/>
      <c r="J21" s="23"/>
      <c r="K21" s="23"/>
      <c r="L21" s="58" t="b">
        <f>'0_Configuration'!$C$2</f>
        <v>1</v>
      </c>
      <c r="M21" s="3" t="s">
        <v>355</v>
      </c>
      <c r="N21" s="58" t="b">
        <f>'0_Configuration'!$C$6</f>
        <v>0</v>
      </c>
      <c r="O21" s="3" t="s">
        <v>355</v>
      </c>
      <c r="P21" s="58" t="b">
        <f>'0_Configuration'!$C$10</f>
        <v>0</v>
      </c>
      <c r="Q21" s="3" t="s">
        <v>355</v>
      </c>
      <c r="R21" s="58" t="b">
        <f>'0_Configuration'!$C$17</f>
        <v>0</v>
      </c>
      <c r="S21" s="3">
        <f>_xlfn.XLOOKUP(Tab_Def_Flows[[#This Row],[ODYM_Good_Type]],Tab_Configuration[Value],Tab_Configuration[ODYM_ID],,0,)</f>
        <v>0</v>
      </c>
      <c r="T21" s="58" t="b">
        <f>'0_Configuration'!$C$24</f>
        <v>0</v>
      </c>
      <c r="U21" s="3" t="s">
        <v>355</v>
      </c>
      <c r="V21" s="58" t="b">
        <f>'0_Configuration'!$C$29</f>
        <v>1</v>
      </c>
      <c r="W21" s="3" t="s">
        <v>355</v>
      </c>
      <c r="X21" s="3" t="str">
        <f>IF(Tab_Def_Flows[[#This Row],[ODYM_time_(t)]],"t,","")&amp;IF(Tab_Def_Flows[[#This Row],[ODYM_Region_(r)]],"r,","")&amp;IF(Tab_Def_Flows[[#This Row],[ODYM_process_(p)]],"p,","")&amp;IF(Tab_Def_Flows[[#This Row],[ODYM_Good_(g)2]],"g,","")&amp;IF(Tab_Def_Flows[[#This Row],[ODYM_material_(m)]],"m,","")&amp;IF(Tab_Def_Flows[[#This Row],[ODYM_element_(e)]],"e","")</f>
        <v>t,e</v>
      </c>
      <c r="Y2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2" spans="1:25" x14ac:dyDescent="0.25">
      <c r="A22" s="27" t="b">
        <v>0</v>
      </c>
      <c r="B22" s="13" t="s">
        <v>35</v>
      </c>
      <c r="C22" s="3" t="str">
        <f t="shared" si="0"/>
        <v>20</v>
      </c>
      <c r="D22" s="4"/>
      <c r="E22" s="52"/>
      <c r="F22" s="52"/>
      <c r="G22" s="10"/>
      <c r="H22" s="23"/>
      <c r="I22" s="23"/>
      <c r="J22" s="23"/>
      <c r="K22" s="23"/>
      <c r="L22" s="58" t="b">
        <f>'0_Configuration'!$C$2</f>
        <v>1</v>
      </c>
      <c r="M22" s="3" t="s">
        <v>355</v>
      </c>
      <c r="N22" s="58" t="b">
        <f>'0_Configuration'!$C$6</f>
        <v>0</v>
      </c>
      <c r="O22" s="3" t="s">
        <v>355</v>
      </c>
      <c r="P22" s="58" t="b">
        <f>'0_Configuration'!$C$10</f>
        <v>0</v>
      </c>
      <c r="Q22" s="3" t="s">
        <v>355</v>
      </c>
      <c r="R22" s="58" t="b">
        <f>'0_Configuration'!$C$17</f>
        <v>0</v>
      </c>
      <c r="S22" s="3">
        <f>_xlfn.XLOOKUP(Tab_Def_Flows[[#This Row],[ODYM_Good_Type]],Tab_Configuration[Value],Tab_Configuration[ODYM_ID],,0,)</f>
        <v>0</v>
      </c>
      <c r="T22" s="58" t="b">
        <f>'0_Configuration'!$C$24</f>
        <v>0</v>
      </c>
      <c r="U22" s="3" t="s">
        <v>355</v>
      </c>
      <c r="V22" s="58" t="b">
        <f>'0_Configuration'!$C$29</f>
        <v>1</v>
      </c>
      <c r="W22" s="3" t="s">
        <v>355</v>
      </c>
      <c r="X22" s="3" t="str">
        <f>IF(Tab_Def_Flows[[#This Row],[ODYM_time_(t)]],"t,","")&amp;IF(Tab_Def_Flows[[#This Row],[ODYM_Region_(r)]],"r,","")&amp;IF(Tab_Def_Flows[[#This Row],[ODYM_process_(p)]],"p,","")&amp;IF(Tab_Def_Flows[[#This Row],[ODYM_Good_(g)2]],"g,","")&amp;IF(Tab_Def_Flows[[#This Row],[ODYM_material_(m)]],"m,","")&amp;IF(Tab_Def_Flows[[#This Row],[ODYM_element_(e)]],"e","")</f>
        <v>t,e</v>
      </c>
      <c r="Y2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3" spans="1:25" x14ac:dyDescent="0.25">
      <c r="A23" s="27" t="b">
        <v>0</v>
      </c>
      <c r="B23" s="13" t="s">
        <v>36</v>
      </c>
      <c r="C23" s="3" t="str">
        <f t="shared" si="0"/>
        <v>21</v>
      </c>
      <c r="D23" s="4"/>
      <c r="E23" s="52"/>
      <c r="F23" s="52"/>
      <c r="G23" s="10"/>
      <c r="H23" s="23"/>
      <c r="I23" s="23"/>
      <c r="J23" s="23"/>
      <c r="K23" s="23"/>
      <c r="L23" s="58" t="b">
        <f>'0_Configuration'!$C$2</f>
        <v>1</v>
      </c>
      <c r="M23" s="3" t="s">
        <v>355</v>
      </c>
      <c r="N23" s="58" t="b">
        <f>'0_Configuration'!$C$6</f>
        <v>0</v>
      </c>
      <c r="O23" s="3" t="s">
        <v>355</v>
      </c>
      <c r="P23" s="58" t="b">
        <f>'0_Configuration'!$C$10</f>
        <v>0</v>
      </c>
      <c r="Q23" s="3" t="s">
        <v>355</v>
      </c>
      <c r="R23" s="58" t="b">
        <f>'0_Configuration'!$C$17</f>
        <v>0</v>
      </c>
      <c r="S23" s="3">
        <f>_xlfn.XLOOKUP(Tab_Def_Flows[[#This Row],[ODYM_Good_Type]],Tab_Configuration[Value],Tab_Configuration[ODYM_ID],,0,)</f>
        <v>0</v>
      </c>
      <c r="T23" s="58" t="b">
        <f>'0_Configuration'!$C$24</f>
        <v>0</v>
      </c>
      <c r="U23" s="3" t="s">
        <v>355</v>
      </c>
      <c r="V23" s="58" t="b">
        <f>'0_Configuration'!$C$29</f>
        <v>1</v>
      </c>
      <c r="W23" s="3" t="s">
        <v>355</v>
      </c>
      <c r="X23" s="3" t="str">
        <f>IF(Tab_Def_Flows[[#This Row],[ODYM_time_(t)]],"t,","")&amp;IF(Tab_Def_Flows[[#This Row],[ODYM_Region_(r)]],"r,","")&amp;IF(Tab_Def_Flows[[#This Row],[ODYM_process_(p)]],"p,","")&amp;IF(Tab_Def_Flows[[#This Row],[ODYM_Good_(g)2]],"g,","")&amp;IF(Tab_Def_Flows[[#This Row],[ODYM_material_(m)]],"m,","")&amp;IF(Tab_Def_Flows[[#This Row],[ODYM_element_(e)]],"e","")</f>
        <v>t,e</v>
      </c>
      <c r="Y2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4" spans="1:25" x14ac:dyDescent="0.25">
      <c r="A24" s="27" t="b">
        <v>0</v>
      </c>
      <c r="B24" s="13" t="s">
        <v>37</v>
      </c>
      <c r="C24" s="3" t="str">
        <f t="shared" si="0"/>
        <v>22</v>
      </c>
      <c r="D24" s="4"/>
      <c r="E24" s="52"/>
      <c r="F24" s="52"/>
      <c r="G24" s="10"/>
      <c r="H24" s="23"/>
      <c r="I24" s="23"/>
      <c r="J24" s="23"/>
      <c r="K24" s="23"/>
      <c r="L24" s="58" t="b">
        <f>'0_Configuration'!$C$2</f>
        <v>1</v>
      </c>
      <c r="M24" s="3" t="s">
        <v>355</v>
      </c>
      <c r="N24" s="58" t="b">
        <f>'0_Configuration'!$C$6</f>
        <v>0</v>
      </c>
      <c r="O24" s="3" t="s">
        <v>355</v>
      </c>
      <c r="P24" s="58" t="b">
        <f>'0_Configuration'!$C$10</f>
        <v>0</v>
      </c>
      <c r="Q24" s="3" t="s">
        <v>355</v>
      </c>
      <c r="R24" s="58" t="b">
        <f>'0_Configuration'!$C$17</f>
        <v>0</v>
      </c>
      <c r="S24" s="3">
        <f>_xlfn.XLOOKUP(Tab_Def_Flows[[#This Row],[ODYM_Good_Type]],Tab_Configuration[Value],Tab_Configuration[ODYM_ID],,0,)</f>
        <v>0</v>
      </c>
      <c r="T24" s="58" t="b">
        <f>'0_Configuration'!$C$24</f>
        <v>0</v>
      </c>
      <c r="U24" s="3" t="s">
        <v>355</v>
      </c>
      <c r="V24" s="58" t="b">
        <f>'0_Configuration'!$C$29</f>
        <v>1</v>
      </c>
      <c r="W24" s="3" t="s">
        <v>355</v>
      </c>
      <c r="X24" s="3" t="str">
        <f>IF(Tab_Def_Flows[[#This Row],[ODYM_time_(t)]],"t,","")&amp;IF(Tab_Def_Flows[[#This Row],[ODYM_Region_(r)]],"r,","")&amp;IF(Tab_Def_Flows[[#This Row],[ODYM_process_(p)]],"p,","")&amp;IF(Tab_Def_Flows[[#This Row],[ODYM_Good_(g)2]],"g,","")&amp;IF(Tab_Def_Flows[[#This Row],[ODYM_material_(m)]],"m,","")&amp;IF(Tab_Def_Flows[[#This Row],[ODYM_element_(e)]],"e","")</f>
        <v>t,e</v>
      </c>
      <c r="Y2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5" spans="1:25" x14ac:dyDescent="0.25">
      <c r="A25" s="27" t="b">
        <v>0</v>
      </c>
      <c r="B25" s="13" t="s">
        <v>38</v>
      </c>
      <c r="C25" s="3" t="str">
        <f t="shared" si="0"/>
        <v>23</v>
      </c>
      <c r="D25" s="4"/>
      <c r="E25" s="4"/>
      <c r="F25" s="4"/>
      <c r="G25" s="10"/>
      <c r="H25" s="23"/>
      <c r="I25" s="23"/>
      <c r="J25" s="23"/>
      <c r="K25" s="23"/>
      <c r="L25" s="58" t="b">
        <f>'0_Configuration'!$C$2</f>
        <v>1</v>
      </c>
      <c r="M25" s="3" t="s">
        <v>355</v>
      </c>
      <c r="N25" s="58" t="b">
        <f>'0_Configuration'!$C$6</f>
        <v>0</v>
      </c>
      <c r="O25" s="3" t="s">
        <v>355</v>
      </c>
      <c r="P25" s="58" t="b">
        <f>'0_Configuration'!$C$10</f>
        <v>0</v>
      </c>
      <c r="Q25" s="3" t="s">
        <v>355</v>
      </c>
      <c r="R25" s="58" t="b">
        <f>'0_Configuration'!$C$17</f>
        <v>0</v>
      </c>
      <c r="S25" s="3">
        <f>_xlfn.XLOOKUP(Tab_Def_Flows[[#This Row],[ODYM_Good_Type]],Tab_Configuration[Value],Tab_Configuration[ODYM_ID],,0,)</f>
        <v>0</v>
      </c>
      <c r="T25" s="58" t="b">
        <f>'0_Configuration'!$C$24</f>
        <v>0</v>
      </c>
      <c r="U25" s="3" t="s">
        <v>355</v>
      </c>
      <c r="V25" s="58" t="b">
        <f>'0_Configuration'!$C$29</f>
        <v>1</v>
      </c>
      <c r="W25" s="3" t="s">
        <v>355</v>
      </c>
      <c r="X25" s="3" t="str">
        <f>IF(Tab_Def_Flows[[#This Row],[ODYM_time_(t)]],"t,","")&amp;IF(Tab_Def_Flows[[#This Row],[ODYM_Region_(r)]],"r,","")&amp;IF(Tab_Def_Flows[[#This Row],[ODYM_process_(p)]],"p,","")&amp;IF(Tab_Def_Flows[[#This Row],[ODYM_Good_(g)2]],"g,","")&amp;IF(Tab_Def_Flows[[#This Row],[ODYM_material_(m)]],"m,","")&amp;IF(Tab_Def_Flows[[#This Row],[ODYM_element_(e)]],"e","")</f>
        <v>t,e</v>
      </c>
      <c r="Y2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6" spans="1:25" x14ac:dyDescent="0.25">
      <c r="A26" s="27" t="b">
        <v>0</v>
      </c>
      <c r="B26" s="13" t="s">
        <v>39</v>
      </c>
      <c r="C26" s="3" t="str">
        <f t="shared" si="0"/>
        <v>24</v>
      </c>
      <c r="D26" s="4"/>
      <c r="E26" s="4"/>
      <c r="F26" s="4"/>
      <c r="G26" s="10"/>
      <c r="H26" s="23"/>
      <c r="I26" s="23"/>
      <c r="J26" s="23"/>
      <c r="K26" s="23"/>
      <c r="L26" s="58" t="b">
        <f>'0_Configuration'!$C$2</f>
        <v>1</v>
      </c>
      <c r="M26" s="3" t="s">
        <v>355</v>
      </c>
      <c r="N26" s="58" t="b">
        <f>'0_Configuration'!$C$6</f>
        <v>0</v>
      </c>
      <c r="O26" s="3" t="s">
        <v>355</v>
      </c>
      <c r="P26" s="58" t="b">
        <f>'0_Configuration'!$C$10</f>
        <v>0</v>
      </c>
      <c r="Q26" s="3" t="s">
        <v>355</v>
      </c>
      <c r="R26" s="58" t="b">
        <f>'0_Configuration'!$C$17</f>
        <v>0</v>
      </c>
      <c r="S26" s="3">
        <f>_xlfn.XLOOKUP(Tab_Def_Flows[[#This Row],[ODYM_Good_Type]],Tab_Configuration[Value],Tab_Configuration[ODYM_ID],,0,)</f>
        <v>0</v>
      </c>
      <c r="T26" s="58" t="b">
        <f>'0_Configuration'!$C$24</f>
        <v>0</v>
      </c>
      <c r="U26" s="3" t="s">
        <v>355</v>
      </c>
      <c r="V26" s="58" t="b">
        <f>'0_Configuration'!$C$29</f>
        <v>1</v>
      </c>
      <c r="W26" s="3" t="s">
        <v>355</v>
      </c>
      <c r="X26" s="3" t="str">
        <f>IF(Tab_Def_Flows[[#This Row],[ODYM_time_(t)]],"t,","")&amp;IF(Tab_Def_Flows[[#This Row],[ODYM_Region_(r)]],"r,","")&amp;IF(Tab_Def_Flows[[#This Row],[ODYM_process_(p)]],"p,","")&amp;IF(Tab_Def_Flows[[#This Row],[ODYM_Good_(g)2]],"g,","")&amp;IF(Tab_Def_Flows[[#This Row],[ODYM_material_(m)]],"m,","")&amp;IF(Tab_Def_Flows[[#This Row],[ODYM_element_(e)]],"e","")</f>
        <v>t,e</v>
      </c>
      <c r="Y2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7" spans="1:25" x14ac:dyDescent="0.25">
      <c r="A27" s="27" t="b">
        <v>0</v>
      </c>
      <c r="B27" s="13" t="s">
        <v>40</v>
      </c>
      <c r="C27" s="3" t="str">
        <f t="shared" si="0"/>
        <v>25</v>
      </c>
      <c r="D27" s="4"/>
      <c r="E27" s="4"/>
      <c r="F27" s="4"/>
      <c r="G27" s="10"/>
      <c r="H27" s="23"/>
      <c r="I27" s="23"/>
      <c r="J27" s="23"/>
      <c r="K27" s="23"/>
      <c r="L27" s="58" t="b">
        <f>'0_Configuration'!$C$2</f>
        <v>1</v>
      </c>
      <c r="M27" s="3" t="s">
        <v>355</v>
      </c>
      <c r="N27" s="58" t="b">
        <f>'0_Configuration'!$C$6</f>
        <v>0</v>
      </c>
      <c r="O27" s="3" t="s">
        <v>355</v>
      </c>
      <c r="P27" s="58" t="b">
        <f>'0_Configuration'!$C$10</f>
        <v>0</v>
      </c>
      <c r="Q27" s="3" t="s">
        <v>355</v>
      </c>
      <c r="R27" s="58" t="b">
        <f>'0_Configuration'!$C$17</f>
        <v>0</v>
      </c>
      <c r="S27" s="3">
        <f>_xlfn.XLOOKUP(Tab_Def_Flows[[#This Row],[ODYM_Good_Type]],Tab_Configuration[Value],Tab_Configuration[ODYM_ID],,0,)</f>
        <v>0</v>
      </c>
      <c r="T27" s="58" t="b">
        <f>'0_Configuration'!$C$24</f>
        <v>0</v>
      </c>
      <c r="U27" s="3" t="s">
        <v>355</v>
      </c>
      <c r="V27" s="58" t="b">
        <f>'0_Configuration'!$C$29</f>
        <v>1</v>
      </c>
      <c r="W27" s="3" t="s">
        <v>355</v>
      </c>
      <c r="X27" s="3" t="str">
        <f>IF(Tab_Def_Flows[[#This Row],[ODYM_time_(t)]],"t,","")&amp;IF(Tab_Def_Flows[[#This Row],[ODYM_Region_(r)]],"r,","")&amp;IF(Tab_Def_Flows[[#This Row],[ODYM_process_(p)]],"p,","")&amp;IF(Tab_Def_Flows[[#This Row],[ODYM_Good_(g)2]],"g,","")&amp;IF(Tab_Def_Flows[[#This Row],[ODYM_material_(m)]],"m,","")&amp;IF(Tab_Def_Flows[[#This Row],[ODYM_element_(e)]],"e","")</f>
        <v>t,e</v>
      </c>
      <c r="Y2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8" spans="1:25" x14ac:dyDescent="0.25">
      <c r="A28" s="27" t="b">
        <v>0</v>
      </c>
      <c r="B28" s="13" t="s">
        <v>41</v>
      </c>
      <c r="C28" s="3" t="str">
        <f t="shared" si="0"/>
        <v>26</v>
      </c>
      <c r="D28" s="4"/>
      <c r="E28" s="4"/>
      <c r="F28" s="4"/>
      <c r="G28" s="10"/>
      <c r="H28" s="23"/>
      <c r="I28" s="23"/>
      <c r="J28" s="23"/>
      <c r="K28" s="23"/>
      <c r="L28" s="58" t="b">
        <f>'0_Configuration'!$C$2</f>
        <v>1</v>
      </c>
      <c r="M28" s="3" t="s">
        <v>355</v>
      </c>
      <c r="N28" s="58" t="b">
        <f>'0_Configuration'!$C$6</f>
        <v>0</v>
      </c>
      <c r="O28" s="3" t="s">
        <v>355</v>
      </c>
      <c r="P28" s="58" t="b">
        <f>'0_Configuration'!$C$10</f>
        <v>0</v>
      </c>
      <c r="Q28" s="3" t="s">
        <v>355</v>
      </c>
      <c r="R28" s="58" t="b">
        <f>'0_Configuration'!$C$17</f>
        <v>0</v>
      </c>
      <c r="S28" s="3">
        <f>_xlfn.XLOOKUP(Tab_Def_Flows[[#This Row],[ODYM_Good_Type]],Tab_Configuration[Value],Tab_Configuration[ODYM_ID],,0,)</f>
        <v>0</v>
      </c>
      <c r="T28" s="58" t="b">
        <f>'0_Configuration'!$C$24</f>
        <v>0</v>
      </c>
      <c r="U28" s="3" t="s">
        <v>355</v>
      </c>
      <c r="V28" s="58" t="b">
        <f>'0_Configuration'!$C$29</f>
        <v>1</v>
      </c>
      <c r="W28" s="3" t="s">
        <v>355</v>
      </c>
      <c r="X28" s="3" t="str">
        <f>IF(Tab_Def_Flows[[#This Row],[ODYM_time_(t)]],"t,","")&amp;IF(Tab_Def_Flows[[#This Row],[ODYM_Region_(r)]],"r,","")&amp;IF(Tab_Def_Flows[[#This Row],[ODYM_process_(p)]],"p,","")&amp;IF(Tab_Def_Flows[[#This Row],[ODYM_Good_(g)2]],"g,","")&amp;IF(Tab_Def_Flows[[#This Row],[ODYM_material_(m)]],"m,","")&amp;IF(Tab_Def_Flows[[#This Row],[ODYM_element_(e)]],"e","")</f>
        <v>t,e</v>
      </c>
      <c r="Y2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9" spans="1:25" x14ac:dyDescent="0.25">
      <c r="A29" s="27" t="b">
        <v>0</v>
      </c>
      <c r="B29" s="13" t="s">
        <v>42</v>
      </c>
      <c r="C29" s="3" t="str">
        <f t="shared" si="0"/>
        <v>27</v>
      </c>
      <c r="D29" s="4"/>
      <c r="E29" s="4"/>
      <c r="F29" s="4"/>
      <c r="G29" s="10"/>
      <c r="H29" s="23"/>
      <c r="I29" s="23"/>
      <c r="J29" s="23"/>
      <c r="K29" s="23"/>
      <c r="L29" s="58" t="b">
        <f>'0_Configuration'!$C$2</f>
        <v>1</v>
      </c>
      <c r="M29" s="3" t="s">
        <v>355</v>
      </c>
      <c r="N29" s="58" t="b">
        <f>'0_Configuration'!$C$6</f>
        <v>0</v>
      </c>
      <c r="O29" s="3" t="s">
        <v>355</v>
      </c>
      <c r="P29" s="58" t="b">
        <f>'0_Configuration'!$C$10</f>
        <v>0</v>
      </c>
      <c r="Q29" s="3" t="s">
        <v>355</v>
      </c>
      <c r="R29" s="58" t="b">
        <f>'0_Configuration'!$C$17</f>
        <v>0</v>
      </c>
      <c r="S29" s="3">
        <f>_xlfn.XLOOKUP(Tab_Def_Flows[[#This Row],[ODYM_Good_Type]],Tab_Configuration[Value],Tab_Configuration[ODYM_ID],,0,)</f>
        <v>0</v>
      </c>
      <c r="T29" s="58" t="b">
        <f>'0_Configuration'!$C$24</f>
        <v>0</v>
      </c>
      <c r="U29" s="3" t="s">
        <v>355</v>
      </c>
      <c r="V29" s="58" t="b">
        <f>'0_Configuration'!$C$29</f>
        <v>1</v>
      </c>
      <c r="W29" s="3" t="s">
        <v>355</v>
      </c>
      <c r="X29" s="3" t="str">
        <f>IF(Tab_Def_Flows[[#This Row],[ODYM_time_(t)]],"t,","")&amp;IF(Tab_Def_Flows[[#This Row],[ODYM_Region_(r)]],"r,","")&amp;IF(Tab_Def_Flows[[#This Row],[ODYM_process_(p)]],"p,","")&amp;IF(Tab_Def_Flows[[#This Row],[ODYM_Good_(g)2]],"g,","")&amp;IF(Tab_Def_Flows[[#This Row],[ODYM_material_(m)]],"m,","")&amp;IF(Tab_Def_Flows[[#This Row],[ODYM_element_(e)]],"e","")</f>
        <v>t,e</v>
      </c>
      <c r="Y2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0" spans="1:25" x14ac:dyDescent="0.25">
      <c r="A30" s="27" t="b">
        <v>0</v>
      </c>
      <c r="B30" s="13" t="s">
        <v>43</v>
      </c>
      <c r="C30" s="3" t="str">
        <f t="shared" si="0"/>
        <v>28</v>
      </c>
      <c r="D30" s="4"/>
      <c r="E30" s="4"/>
      <c r="F30" s="4"/>
      <c r="G30" s="10"/>
      <c r="H30" s="23"/>
      <c r="I30" s="23"/>
      <c r="J30" s="23"/>
      <c r="K30" s="23"/>
      <c r="L30" s="58" t="b">
        <f>'0_Configuration'!$C$2</f>
        <v>1</v>
      </c>
      <c r="M30" s="3" t="s">
        <v>355</v>
      </c>
      <c r="N30" s="58" t="b">
        <f>'0_Configuration'!$C$6</f>
        <v>0</v>
      </c>
      <c r="O30" s="3" t="s">
        <v>355</v>
      </c>
      <c r="P30" s="58" t="b">
        <f>'0_Configuration'!$C$10</f>
        <v>0</v>
      </c>
      <c r="Q30" s="3" t="s">
        <v>355</v>
      </c>
      <c r="R30" s="58" t="b">
        <f>'0_Configuration'!$C$17</f>
        <v>0</v>
      </c>
      <c r="S30" s="3">
        <f>_xlfn.XLOOKUP(Tab_Def_Flows[[#This Row],[ODYM_Good_Type]],Tab_Configuration[Value],Tab_Configuration[ODYM_ID],,0,)</f>
        <v>0</v>
      </c>
      <c r="T30" s="58" t="b">
        <f>'0_Configuration'!$C$24</f>
        <v>0</v>
      </c>
      <c r="U30" s="3" t="s">
        <v>355</v>
      </c>
      <c r="V30" s="58" t="b">
        <f>'0_Configuration'!$C$29</f>
        <v>1</v>
      </c>
      <c r="W30" s="3" t="s">
        <v>355</v>
      </c>
      <c r="X30" s="3" t="str">
        <f>IF(Tab_Def_Flows[[#This Row],[ODYM_time_(t)]],"t,","")&amp;IF(Tab_Def_Flows[[#This Row],[ODYM_Region_(r)]],"r,","")&amp;IF(Tab_Def_Flows[[#This Row],[ODYM_process_(p)]],"p,","")&amp;IF(Tab_Def_Flows[[#This Row],[ODYM_Good_(g)2]],"g,","")&amp;IF(Tab_Def_Flows[[#This Row],[ODYM_material_(m)]],"m,","")&amp;IF(Tab_Def_Flows[[#This Row],[ODYM_element_(e)]],"e","")</f>
        <v>t,e</v>
      </c>
      <c r="Y3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1" spans="1:25" x14ac:dyDescent="0.25">
      <c r="A31" s="27" t="b">
        <v>0</v>
      </c>
      <c r="B31" s="13" t="s">
        <v>44</v>
      </c>
      <c r="C31" s="3" t="str">
        <f t="shared" si="0"/>
        <v>29</v>
      </c>
      <c r="D31" s="4"/>
      <c r="E31" s="4"/>
      <c r="F31" s="4"/>
      <c r="G31" s="10"/>
      <c r="H31" s="23"/>
      <c r="I31" s="23"/>
      <c r="J31" s="23"/>
      <c r="K31" s="23"/>
      <c r="L31" s="58" t="b">
        <f>'0_Configuration'!$C$2</f>
        <v>1</v>
      </c>
      <c r="M31" s="3" t="s">
        <v>355</v>
      </c>
      <c r="N31" s="58" t="b">
        <f>'0_Configuration'!$C$6</f>
        <v>0</v>
      </c>
      <c r="O31" s="3" t="s">
        <v>355</v>
      </c>
      <c r="P31" s="58" t="b">
        <f>'0_Configuration'!$C$10</f>
        <v>0</v>
      </c>
      <c r="Q31" s="3" t="s">
        <v>355</v>
      </c>
      <c r="R31" s="58" t="b">
        <f>'0_Configuration'!$C$17</f>
        <v>0</v>
      </c>
      <c r="S31" s="3">
        <f>_xlfn.XLOOKUP(Tab_Def_Flows[[#This Row],[ODYM_Good_Type]],Tab_Configuration[Value],Tab_Configuration[ODYM_ID],,0,)</f>
        <v>0</v>
      </c>
      <c r="T31" s="58" t="b">
        <f>'0_Configuration'!$C$24</f>
        <v>0</v>
      </c>
      <c r="U31" s="3" t="s">
        <v>355</v>
      </c>
      <c r="V31" s="58" t="b">
        <f>'0_Configuration'!$C$29</f>
        <v>1</v>
      </c>
      <c r="W31" s="3" t="s">
        <v>355</v>
      </c>
      <c r="X31" s="3" t="str">
        <f>IF(Tab_Def_Flows[[#This Row],[ODYM_time_(t)]],"t,","")&amp;IF(Tab_Def_Flows[[#This Row],[ODYM_Region_(r)]],"r,","")&amp;IF(Tab_Def_Flows[[#This Row],[ODYM_process_(p)]],"p,","")&amp;IF(Tab_Def_Flows[[#This Row],[ODYM_Good_(g)2]],"g,","")&amp;IF(Tab_Def_Flows[[#This Row],[ODYM_material_(m)]],"m,","")&amp;IF(Tab_Def_Flows[[#This Row],[ODYM_element_(e)]],"e","")</f>
        <v>t,e</v>
      </c>
      <c r="Y3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2" spans="1:25" x14ac:dyDescent="0.25">
      <c r="A32" s="27" t="b">
        <v>0</v>
      </c>
      <c r="B32" s="13" t="s">
        <v>45</v>
      </c>
      <c r="C32" s="3" t="str">
        <f t="shared" si="0"/>
        <v>30</v>
      </c>
      <c r="D32" s="4"/>
      <c r="E32" s="4"/>
      <c r="F32" s="4"/>
      <c r="G32" s="10"/>
      <c r="H32" s="23"/>
      <c r="I32" s="23"/>
      <c r="J32" s="23"/>
      <c r="K32" s="23"/>
      <c r="L32" s="58" t="b">
        <f>'0_Configuration'!$C$2</f>
        <v>1</v>
      </c>
      <c r="M32" s="3" t="s">
        <v>355</v>
      </c>
      <c r="N32" s="58" t="b">
        <f>'0_Configuration'!$C$6</f>
        <v>0</v>
      </c>
      <c r="O32" s="3" t="s">
        <v>355</v>
      </c>
      <c r="P32" s="58" t="b">
        <f>'0_Configuration'!$C$10</f>
        <v>0</v>
      </c>
      <c r="Q32" s="3" t="s">
        <v>355</v>
      </c>
      <c r="R32" s="58" t="b">
        <f>'0_Configuration'!$C$17</f>
        <v>0</v>
      </c>
      <c r="S32" s="3">
        <f>_xlfn.XLOOKUP(Tab_Def_Flows[[#This Row],[ODYM_Good_Type]],Tab_Configuration[Value],Tab_Configuration[ODYM_ID],,0,)</f>
        <v>0</v>
      </c>
      <c r="T32" s="58" t="b">
        <f>'0_Configuration'!$C$24</f>
        <v>0</v>
      </c>
      <c r="U32" s="3" t="s">
        <v>355</v>
      </c>
      <c r="V32" s="58" t="b">
        <f>'0_Configuration'!$C$29</f>
        <v>1</v>
      </c>
      <c r="W32" s="3" t="s">
        <v>355</v>
      </c>
      <c r="X32" s="3" t="str">
        <f>IF(Tab_Def_Flows[[#This Row],[ODYM_time_(t)]],"t,","")&amp;IF(Tab_Def_Flows[[#This Row],[ODYM_Region_(r)]],"r,","")&amp;IF(Tab_Def_Flows[[#This Row],[ODYM_process_(p)]],"p,","")&amp;IF(Tab_Def_Flows[[#This Row],[ODYM_Good_(g)2]],"g,","")&amp;IF(Tab_Def_Flows[[#This Row],[ODYM_material_(m)]],"m,","")&amp;IF(Tab_Def_Flows[[#This Row],[ODYM_element_(e)]],"e","")</f>
        <v>t,e</v>
      </c>
      <c r="Y3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3" spans="1:25" x14ac:dyDescent="0.25">
      <c r="A33" s="27" t="b">
        <v>0</v>
      </c>
      <c r="B33" s="13" t="s">
        <v>46</v>
      </c>
      <c r="C33" s="3" t="str">
        <f t="shared" si="0"/>
        <v>31</v>
      </c>
      <c r="D33" s="4"/>
      <c r="E33" s="4"/>
      <c r="F33" s="4"/>
      <c r="G33" s="10"/>
      <c r="H33" s="23"/>
      <c r="I33" s="23"/>
      <c r="J33" s="23"/>
      <c r="K33" s="23"/>
      <c r="L33" s="58" t="b">
        <f>'0_Configuration'!$C$2</f>
        <v>1</v>
      </c>
      <c r="M33" s="3" t="s">
        <v>355</v>
      </c>
      <c r="N33" s="58" t="b">
        <f>'0_Configuration'!$C$6</f>
        <v>0</v>
      </c>
      <c r="O33" s="3" t="s">
        <v>355</v>
      </c>
      <c r="P33" s="58" t="b">
        <f>'0_Configuration'!$C$10</f>
        <v>0</v>
      </c>
      <c r="Q33" s="3" t="s">
        <v>355</v>
      </c>
      <c r="R33" s="58" t="b">
        <f>'0_Configuration'!$C$17</f>
        <v>0</v>
      </c>
      <c r="S33" s="3">
        <f>_xlfn.XLOOKUP(Tab_Def_Flows[[#This Row],[ODYM_Good_Type]],Tab_Configuration[Value],Tab_Configuration[ODYM_ID],,0,)</f>
        <v>0</v>
      </c>
      <c r="T33" s="58" t="b">
        <f>'0_Configuration'!$C$24</f>
        <v>0</v>
      </c>
      <c r="U33" s="3" t="s">
        <v>355</v>
      </c>
      <c r="V33" s="58" t="b">
        <f>'0_Configuration'!$C$29</f>
        <v>1</v>
      </c>
      <c r="W33" s="3" t="s">
        <v>355</v>
      </c>
      <c r="X33" s="3" t="str">
        <f>IF(Tab_Def_Flows[[#This Row],[ODYM_time_(t)]],"t,","")&amp;IF(Tab_Def_Flows[[#This Row],[ODYM_Region_(r)]],"r,","")&amp;IF(Tab_Def_Flows[[#This Row],[ODYM_process_(p)]],"p,","")&amp;IF(Tab_Def_Flows[[#This Row],[ODYM_Good_(g)2]],"g,","")&amp;IF(Tab_Def_Flows[[#This Row],[ODYM_material_(m)]],"m,","")&amp;IF(Tab_Def_Flows[[#This Row],[ODYM_element_(e)]],"e","")</f>
        <v>t,e</v>
      </c>
      <c r="Y3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4" spans="1:25" x14ac:dyDescent="0.25">
      <c r="A34" s="27" t="b">
        <v>0</v>
      </c>
      <c r="B34" s="13" t="s">
        <v>47</v>
      </c>
      <c r="C34" s="3" t="str">
        <f t="shared" si="0"/>
        <v>32</v>
      </c>
      <c r="D34" s="4"/>
      <c r="E34" s="4"/>
      <c r="F34" s="4"/>
      <c r="G34" s="10"/>
      <c r="H34" s="23"/>
      <c r="I34" s="23"/>
      <c r="J34" s="23"/>
      <c r="K34" s="23"/>
      <c r="L34" s="58" t="b">
        <f>'0_Configuration'!$C$2</f>
        <v>1</v>
      </c>
      <c r="M34" s="3" t="s">
        <v>355</v>
      </c>
      <c r="N34" s="58" t="b">
        <f>'0_Configuration'!$C$6</f>
        <v>0</v>
      </c>
      <c r="O34" s="3" t="s">
        <v>355</v>
      </c>
      <c r="P34" s="58" t="b">
        <f>'0_Configuration'!$C$10</f>
        <v>0</v>
      </c>
      <c r="Q34" s="3" t="s">
        <v>355</v>
      </c>
      <c r="R34" s="58" t="b">
        <f>'0_Configuration'!$C$17</f>
        <v>0</v>
      </c>
      <c r="S34" s="3">
        <f>_xlfn.XLOOKUP(Tab_Def_Flows[[#This Row],[ODYM_Good_Type]],Tab_Configuration[Value],Tab_Configuration[ODYM_ID],,0,)</f>
        <v>0</v>
      </c>
      <c r="T34" s="58" t="b">
        <f>'0_Configuration'!$C$24</f>
        <v>0</v>
      </c>
      <c r="U34" s="3" t="s">
        <v>355</v>
      </c>
      <c r="V34" s="58" t="b">
        <f>'0_Configuration'!$C$29</f>
        <v>1</v>
      </c>
      <c r="W34" s="3" t="s">
        <v>355</v>
      </c>
      <c r="X34" s="3" t="str">
        <f>IF(Tab_Def_Flows[[#This Row],[ODYM_time_(t)]],"t,","")&amp;IF(Tab_Def_Flows[[#This Row],[ODYM_Region_(r)]],"r,","")&amp;IF(Tab_Def_Flows[[#This Row],[ODYM_process_(p)]],"p,","")&amp;IF(Tab_Def_Flows[[#This Row],[ODYM_Good_(g)2]],"g,","")&amp;IF(Tab_Def_Flows[[#This Row],[ODYM_material_(m)]],"m,","")&amp;IF(Tab_Def_Flows[[#This Row],[ODYM_element_(e)]],"e","")</f>
        <v>t,e</v>
      </c>
      <c r="Y3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5" spans="1:25" x14ac:dyDescent="0.25">
      <c r="A35" s="27" t="b">
        <v>0</v>
      </c>
      <c r="B35" s="13" t="s">
        <v>48</v>
      </c>
      <c r="C35" s="3" t="str">
        <f t="shared" si="0"/>
        <v>33</v>
      </c>
      <c r="D35" s="4"/>
      <c r="E35" s="4"/>
      <c r="F35" s="4"/>
      <c r="G35" s="10"/>
      <c r="H35" s="23"/>
      <c r="I35" s="23"/>
      <c r="J35" s="23"/>
      <c r="K35" s="23"/>
      <c r="L35" s="58" t="b">
        <f>'0_Configuration'!$C$2</f>
        <v>1</v>
      </c>
      <c r="M35" s="3" t="s">
        <v>355</v>
      </c>
      <c r="N35" s="58" t="b">
        <f>'0_Configuration'!$C$6</f>
        <v>0</v>
      </c>
      <c r="O35" s="3" t="s">
        <v>355</v>
      </c>
      <c r="P35" s="58" t="b">
        <f>'0_Configuration'!$C$10</f>
        <v>0</v>
      </c>
      <c r="Q35" s="3" t="s">
        <v>355</v>
      </c>
      <c r="R35" s="58" t="b">
        <f>'0_Configuration'!$C$17</f>
        <v>0</v>
      </c>
      <c r="S35" s="3">
        <f>_xlfn.XLOOKUP(Tab_Def_Flows[[#This Row],[ODYM_Good_Type]],Tab_Configuration[Value],Tab_Configuration[ODYM_ID],,0,)</f>
        <v>0</v>
      </c>
      <c r="T35" s="58" t="b">
        <f>'0_Configuration'!$C$24</f>
        <v>0</v>
      </c>
      <c r="U35" s="3" t="s">
        <v>355</v>
      </c>
      <c r="V35" s="58" t="b">
        <f>'0_Configuration'!$C$29</f>
        <v>1</v>
      </c>
      <c r="W35" s="3" t="s">
        <v>355</v>
      </c>
      <c r="X35" s="3" t="str">
        <f>IF(Tab_Def_Flows[[#This Row],[ODYM_time_(t)]],"t,","")&amp;IF(Tab_Def_Flows[[#This Row],[ODYM_Region_(r)]],"r,","")&amp;IF(Tab_Def_Flows[[#This Row],[ODYM_process_(p)]],"p,","")&amp;IF(Tab_Def_Flows[[#This Row],[ODYM_Good_(g)2]],"g,","")&amp;IF(Tab_Def_Flows[[#This Row],[ODYM_material_(m)]],"m,","")&amp;IF(Tab_Def_Flows[[#This Row],[ODYM_element_(e)]],"e","")</f>
        <v>t,e</v>
      </c>
      <c r="Y3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6" spans="1:25" x14ac:dyDescent="0.25">
      <c r="A36" s="27" t="b">
        <v>0</v>
      </c>
      <c r="B36" s="13" t="s">
        <v>49</v>
      </c>
      <c r="C36" s="3" t="str">
        <f t="shared" si="0"/>
        <v>34</v>
      </c>
      <c r="D36" s="4"/>
      <c r="E36" s="4"/>
      <c r="F36" s="4"/>
      <c r="G36" s="10"/>
      <c r="H36" s="23"/>
      <c r="I36" s="23"/>
      <c r="J36" s="23"/>
      <c r="K36" s="23"/>
      <c r="L36" s="58" t="b">
        <f>'0_Configuration'!$C$2</f>
        <v>1</v>
      </c>
      <c r="M36" s="3" t="s">
        <v>355</v>
      </c>
      <c r="N36" s="58" t="b">
        <f>'0_Configuration'!$C$6</f>
        <v>0</v>
      </c>
      <c r="O36" s="3" t="s">
        <v>355</v>
      </c>
      <c r="P36" s="58" t="b">
        <f>'0_Configuration'!$C$10</f>
        <v>0</v>
      </c>
      <c r="Q36" s="3" t="s">
        <v>355</v>
      </c>
      <c r="R36" s="58" t="b">
        <f>'0_Configuration'!$C$17</f>
        <v>0</v>
      </c>
      <c r="S36" s="3">
        <f>_xlfn.XLOOKUP(Tab_Def_Flows[[#This Row],[ODYM_Good_Type]],Tab_Configuration[Value],Tab_Configuration[ODYM_ID],,0,)</f>
        <v>0</v>
      </c>
      <c r="T36" s="58" t="b">
        <f>'0_Configuration'!$C$24</f>
        <v>0</v>
      </c>
      <c r="U36" s="3" t="s">
        <v>355</v>
      </c>
      <c r="V36" s="58" t="b">
        <f>'0_Configuration'!$C$29</f>
        <v>1</v>
      </c>
      <c r="W36" s="3" t="s">
        <v>355</v>
      </c>
      <c r="X36" s="3" t="str">
        <f>IF(Tab_Def_Flows[[#This Row],[ODYM_time_(t)]],"t,","")&amp;IF(Tab_Def_Flows[[#This Row],[ODYM_Region_(r)]],"r,","")&amp;IF(Tab_Def_Flows[[#This Row],[ODYM_process_(p)]],"p,","")&amp;IF(Tab_Def_Flows[[#This Row],[ODYM_Good_(g)2]],"g,","")&amp;IF(Tab_Def_Flows[[#This Row],[ODYM_material_(m)]],"m,","")&amp;IF(Tab_Def_Flows[[#This Row],[ODYM_element_(e)]],"e","")</f>
        <v>t,e</v>
      </c>
      <c r="Y3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7" spans="1:25" x14ac:dyDescent="0.25">
      <c r="A37" s="27" t="b">
        <v>0</v>
      </c>
      <c r="B37" s="13" t="s">
        <v>50</v>
      </c>
      <c r="C37" s="3" t="str">
        <f t="shared" si="0"/>
        <v>35</v>
      </c>
      <c r="D37" s="4"/>
      <c r="E37" s="4"/>
      <c r="F37" s="4"/>
      <c r="G37" s="10"/>
      <c r="H37" s="23"/>
      <c r="I37" s="23"/>
      <c r="J37" s="23"/>
      <c r="K37" s="23"/>
      <c r="L37" s="58" t="b">
        <f>'0_Configuration'!$C$2</f>
        <v>1</v>
      </c>
      <c r="M37" s="3" t="s">
        <v>355</v>
      </c>
      <c r="N37" s="58" t="b">
        <f>'0_Configuration'!$C$6</f>
        <v>0</v>
      </c>
      <c r="O37" s="3" t="s">
        <v>355</v>
      </c>
      <c r="P37" s="58" t="b">
        <f>'0_Configuration'!$C$10</f>
        <v>0</v>
      </c>
      <c r="Q37" s="3" t="s">
        <v>355</v>
      </c>
      <c r="R37" s="58" t="b">
        <f>'0_Configuration'!$C$17</f>
        <v>0</v>
      </c>
      <c r="S37" s="3">
        <f>_xlfn.XLOOKUP(Tab_Def_Flows[[#This Row],[ODYM_Good_Type]],Tab_Configuration[Value],Tab_Configuration[ODYM_ID],,0,)</f>
        <v>0</v>
      </c>
      <c r="T37" s="58" t="b">
        <f>'0_Configuration'!$C$24</f>
        <v>0</v>
      </c>
      <c r="U37" s="3" t="s">
        <v>355</v>
      </c>
      <c r="V37" s="58" t="b">
        <f>'0_Configuration'!$C$29</f>
        <v>1</v>
      </c>
      <c r="W37" s="3" t="s">
        <v>355</v>
      </c>
      <c r="X37" s="3" t="str">
        <f>IF(Tab_Def_Flows[[#This Row],[ODYM_time_(t)]],"t,","")&amp;IF(Tab_Def_Flows[[#This Row],[ODYM_Region_(r)]],"r,","")&amp;IF(Tab_Def_Flows[[#This Row],[ODYM_process_(p)]],"p,","")&amp;IF(Tab_Def_Flows[[#This Row],[ODYM_Good_(g)2]],"g,","")&amp;IF(Tab_Def_Flows[[#This Row],[ODYM_material_(m)]],"m,","")&amp;IF(Tab_Def_Flows[[#This Row],[ODYM_element_(e)]],"e","")</f>
        <v>t,e</v>
      </c>
      <c r="Y3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8" spans="1:25" x14ac:dyDescent="0.25">
      <c r="A38" s="27" t="b">
        <v>0</v>
      </c>
      <c r="B38" s="13" t="s">
        <v>51</v>
      </c>
      <c r="C38" s="3" t="str">
        <f t="shared" si="0"/>
        <v>36</v>
      </c>
      <c r="D38" s="4"/>
      <c r="E38" s="4"/>
      <c r="F38" s="4"/>
      <c r="G38" s="10"/>
      <c r="H38" s="23"/>
      <c r="I38" s="23"/>
      <c r="J38" s="23"/>
      <c r="K38" s="23"/>
      <c r="L38" s="58" t="b">
        <f>'0_Configuration'!$C$2</f>
        <v>1</v>
      </c>
      <c r="M38" s="3" t="s">
        <v>355</v>
      </c>
      <c r="N38" s="58" t="b">
        <f>'0_Configuration'!$C$6</f>
        <v>0</v>
      </c>
      <c r="O38" s="3" t="s">
        <v>355</v>
      </c>
      <c r="P38" s="58" t="b">
        <f>'0_Configuration'!$C$10</f>
        <v>0</v>
      </c>
      <c r="Q38" s="3" t="s">
        <v>355</v>
      </c>
      <c r="R38" s="58" t="b">
        <f>'0_Configuration'!$C$17</f>
        <v>0</v>
      </c>
      <c r="S38" s="3">
        <f>_xlfn.XLOOKUP(Tab_Def_Flows[[#This Row],[ODYM_Good_Type]],Tab_Configuration[Value],Tab_Configuration[ODYM_ID],,0,)</f>
        <v>0</v>
      </c>
      <c r="T38" s="58" t="b">
        <f>'0_Configuration'!$C$24</f>
        <v>0</v>
      </c>
      <c r="U38" s="3" t="s">
        <v>355</v>
      </c>
      <c r="V38" s="58" t="b">
        <f>'0_Configuration'!$C$29</f>
        <v>1</v>
      </c>
      <c r="W38" s="3" t="s">
        <v>355</v>
      </c>
      <c r="X38" s="3" t="str">
        <f>IF(Tab_Def_Flows[[#This Row],[ODYM_time_(t)]],"t,","")&amp;IF(Tab_Def_Flows[[#This Row],[ODYM_Region_(r)]],"r,","")&amp;IF(Tab_Def_Flows[[#This Row],[ODYM_process_(p)]],"p,","")&amp;IF(Tab_Def_Flows[[#This Row],[ODYM_Good_(g)2]],"g,","")&amp;IF(Tab_Def_Flows[[#This Row],[ODYM_material_(m)]],"m,","")&amp;IF(Tab_Def_Flows[[#This Row],[ODYM_element_(e)]],"e","")</f>
        <v>t,e</v>
      </c>
      <c r="Y3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9" spans="1:25" x14ac:dyDescent="0.25">
      <c r="A39" s="27" t="b">
        <v>0</v>
      </c>
      <c r="B39" s="13" t="s">
        <v>52</v>
      </c>
      <c r="C39" s="3" t="str">
        <f t="shared" si="0"/>
        <v>37</v>
      </c>
      <c r="D39" s="4"/>
      <c r="E39" s="4"/>
      <c r="F39" s="4"/>
      <c r="G39" s="10"/>
      <c r="H39" s="23"/>
      <c r="I39" s="23"/>
      <c r="J39" s="23"/>
      <c r="K39" s="23"/>
      <c r="L39" s="58" t="b">
        <f>'0_Configuration'!$C$2</f>
        <v>1</v>
      </c>
      <c r="M39" s="3" t="s">
        <v>355</v>
      </c>
      <c r="N39" s="58" t="b">
        <f>'0_Configuration'!$C$6</f>
        <v>0</v>
      </c>
      <c r="O39" s="3" t="s">
        <v>355</v>
      </c>
      <c r="P39" s="58" t="b">
        <f>'0_Configuration'!$C$10</f>
        <v>0</v>
      </c>
      <c r="Q39" s="3" t="s">
        <v>355</v>
      </c>
      <c r="R39" s="58" t="b">
        <f>'0_Configuration'!$C$17</f>
        <v>0</v>
      </c>
      <c r="S39" s="3">
        <f>_xlfn.XLOOKUP(Tab_Def_Flows[[#This Row],[ODYM_Good_Type]],Tab_Configuration[Value],Tab_Configuration[ODYM_ID],,0,)</f>
        <v>0</v>
      </c>
      <c r="T39" s="58" t="b">
        <f>'0_Configuration'!$C$24</f>
        <v>0</v>
      </c>
      <c r="U39" s="3" t="s">
        <v>355</v>
      </c>
      <c r="V39" s="58" t="b">
        <f>'0_Configuration'!$C$29</f>
        <v>1</v>
      </c>
      <c r="W39" s="3" t="s">
        <v>355</v>
      </c>
      <c r="X39" s="3" t="str">
        <f>IF(Tab_Def_Flows[[#This Row],[ODYM_time_(t)]],"t,","")&amp;IF(Tab_Def_Flows[[#This Row],[ODYM_Region_(r)]],"r,","")&amp;IF(Tab_Def_Flows[[#This Row],[ODYM_process_(p)]],"p,","")&amp;IF(Tab_Def_Flows[[#This Row],[ODYM_Good_(g)2]],"g,","")&amp;IF(Tab_Def_Flows[[#This Row],[ODYM_material_(m)]],"m,","")&amp;IF(Tab_Def_Flows[[#This Row],[ODYM_element_(e)]],"e","")</f>
        <v>t,e</v>
      </c>
      <c r="Y3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0" spans="1:25" x14ac:dyDescent="0.25">
      <c r="A40" s="27" t="b">
        <v>0</v>
      </c>
      <c r="B40" s="13" t="s">
        <v>53</v>
      </c>
      <c r="C40" s="3" t="str">
        <f t="shared" si="0"/>
        <v>38</v>
      </c>
      <c r="D40" s="4"/>
      <c r="E40" s="4"/>
      <c r="F40" s="4"/>
      <c r="G40" s="10"/>
      <c r="H40" s="23"/>
      <c r="I40" s="23"/>
      <c r="J40" s="23"/>
      <c r="K40" s="23"/>
      <c r="L40" s="58" t="b">
        <f>'0_Configuration'!$C$2</f>
        <v>1</v>
      </c>
      <c r="M40" s="3" t="s">
        <v>355</v>
      </c>
      <c r="N40" s="58" t="b">
        <f>'0_Configuration'!$C$6</f>
        <v>0</v>
      </c>
      <c r="O40" s="3" t="s">
        <v>355</v>
      </c>
      <c r="P40" s="58" t="b">
        <f>'0_Configuration'!$C$10</f>
        <v>0</v>
      </c>
      <c r="Q40" s="3" t="s">
        <v>355</v>
      </c>
      <c r="R40" s="58" t="b">
        <f>'0_Configuration'!$C$17</f>
        <v>0</v>
      </c>
      <c r="S40" s="3">
        <f>_xlfn.XLOOKUP(Tab_Def_Flows[[#This Row],[ODYM_Good_Type]],Tab_Configuration[Value],Tab_Configuration[ODYM_ID],,0,)</f>
        <v>0</v>
      </c>
      <c r="T40" s="58" t="b">
        <f>'0_Configuration'!$C$24</f>
        <v>0</v>
      </c>
      <c r="U40" s="3" t="s">
        <v>355</v>
      </c>
      <c r="V40" s="58" t="b">
        <f>'0_Configuration'!$C$29</f>
        <v>1</v>
      </c>
      <c r="W40" s="3" t="s">
        <v>355</v>
      </c>
      <c r="X40" s="3" t="str">
        <f>IF(Tab_Def_Flows[[#This Row],[ODYM_time_(t)]],"t,","")&amp;IF(Tab_Def_Flows[[#This Row],[ODYM_Region_(r)]],"r,","")&amp;IF(Tab_Def_Flows[[#This Row],[ODYM_process_(p)]],"p,","")&amp;IF(Tab_Def_Flows[[#This Row],[ODYM_Good_(g)2]],"g,","")&amp;IF(Tab_Def_Flows[[#This Row],[ODYM_material_(m)]],"m,","")&amp;IF(Tab_Def_Flows[[#This Row],[ODYM_element_(e)]],"e","")</f>
        <v>t,e</v>
      </c>
      <c r="Y4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1" spans="1:25" x14ac:dyDescent="0.25">
      <c r="A41" s="27" t="b">
        <v>0</v>
      </c>
      <c r="B41" s="13" t="s">
        <v>54</v>
      </c>
      <c r="C41" s="3" t="str">
        <f t="shared" si="0"/>
        <v>39</v>
      </c>
      <c r="D41" s="4"/>
      <c r="E41" s="4"/>
      <c r="F41" s="4"/>
      <c r="G41" s="10"/>
      <c r="H41" s="23"/>
      <c r="I41" s="23"/>
      <c r="J41" s="23"/>
      <c r="K41" s="23"/>
      <c r="L41" s="58" t="b">
        <f>'0_Configuration'!$C$2</f>
        <v>1</v>
      </c>
      <c r="M41" s="3" t="s">
        <v>355</v>
      </c>
      <c r="N41" s="58" t="b">
        <f>'0_Configuration'!$C$6</f>
        <v>0</v>
      </c>
      <c r="O41" s="3" t="s">
        <v>355</v>
      </c>
      <c r="P41" s="58" t="b">
        <f>'0_Configuration'!$C$10</f>
        <v>0</v>
      </c>
      <c r="Q41" s="3" t="s">
        <v>355</v>
      </c>
      <c r="R41" s="58" t="b">
        <f>'0_Configuration'!$C$17</f>
        <v>0</v>
      </c>
      <c r="S41" s="3">
        <f>_xlfn.XLOOKUP(Tab_Def_Flows[[#This Row],[ODYM_Good_Type]],Tab_Configuration[Value],Tab_Configuration[ODYM_ID],,0,)</f>
        <v>0</v>
      </c>
      <c r="T41" s="58" t="b">
        <f>'0_Configuration'!$C$24</f>
        <v>0</v>
      </c>
      <c r="U41" s="3" t="s">
        <v>355</v>
      </c>
      <c r="V41" s="58" t="b">
        <f>'0_Configuration'!$C$29</f>
        <v>1</v>
      </c>
      <c r="W41" s="3" t="s">
        <v>355</v>
      </c>
      <c r="X41" s="3" t="str">
        <f>IF(Tab_Def_Flows[[#This Row],[ODYM_time_(t)]],"t,","")&amp;IF(Tab_Def_Flows[[#This Row],[ODYM_Region_(r)]],"r,","")&amp;IF(Tab_Def_Flows[[#This Row],[ODYM_process_(p)]],"p,","")&amp;IF(Tab_Def_Flows[[#This Row],[ODYM_Good_(g)2]],"g,","")&amp;IF(Tab_Def_Flows[[#This Row],[ODYM_material_(m)]],"m,","")&amp;IF(Tab_Def_Flows[[#This Row],[ODYM_element_(e)]],"e","")</f>
        <v>t,e</v>
      </c>
      <c r="Y4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2" spans="1:25" x14ac:dyDescent="0.25">
      <c r="A42" s="27" t="b">
        <v>0</v>
      </c>
      <c r="B42" s="13" t="s">
        <v>55</v>
      </c>
      <c r="C42" s="3" t="str">
        <f t="shared" si="0"/>
        <v>40</v>
      </c>
      <c r="D42" s="4"/>
      <c r="E42" s="4"/>
      <c r="F42" s="4"/>
      <c r="G42" s="10"/>
      <c r="H42" s="23"/>
      <c r="I42" s="23"/>
      <c r="J42" s="23"/>
      <c r="K42" s="23"/>
      <c r="L42" s="58" t="b">
        <f>'0_Configuration'!$C$2</f>
        <v>1</v>
      </c>
      <c r="M42" s="3" t="s">
        <v>355</v>
      </c>
      <c r="N42" s="58" t="b">
        <f>'0_Configuration'!$C$6</f>
        <v>0</v>
      </c>
      <c r="O42" s="3" t="s">
        <v>355</v>
      </c>
      <c r="P42" s="58" t="b">
        <f>'0_Configuration'!$C$10</f>
        <v>0</v>
      </c>
      <c r="Q42" s="3" t="s">
        <v>355</v>
      </c>
      <c r="R42" s="58" t="b">
        <f>'0_Configuration'!$C$17</f>
        <v>0</v>
      </c>
      <c r="S42" s="3">
        <f>_xlfn.XLOOKUP(Tab_Def_Flows[[#This Row],[ODYM_Good_Type]],Tab_Configuration[Value],Tab_Configuration[ODYM_ID],,0,)</f>
        <v>0</v>
      </c>
      <c r="T42" s="58" t="b">
        <f>'0_Configuration'!$C$24</f>
        <v>0</v>
      </c>
      <c r="U42" s="3" t="s">
        <v>355</v>
      </c>
      <c r="V42" s="58" t="b">
        <f>'0_Configuration'!$C$29</f>
        <v>1</v>
      </c>
      <c r="W42" s="3" t="s">
        <v>355</v>
      </c>
      <c r="X42" s="3" t="str">
        <f>IF(Tab_Def_Flows[[#This Row],[ODYM_time_(t)]],"t,","")&amp;IF(Tab_Def_Flows[[#This Row],[ODYM_Region_(r)]],"r,","")&amp;IF(Tab_Def_Flows[[#This Row],[ODYM_process_(p)]],"p,","")&amp;IF(Tab_Def_Flows[[#This Row],[ODYM_Good_(g)2]],"g,","")&amp;IF(Tab_Def_Flows[[#This Row],[ODYM_material_(m)]],"m,","")&amp;IF(Tab_Def_Flows[[#This Row],[ODYM_element_(e)]],"e","")</f>
        <v>t,e</v>
      </c>
      <c r="Y4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3" spans="1:25" x14ac:dyDescent="0.25">
      <c r="A43" s="27" t="b">
        <v>0</v>
      </c>
      <c r="B43" s="13" t="s">
        <v>56</v>
      </c>
      <c r="C43" s="3" t="str">
        <f t="shared" si="0"/>
        <v>41</v>
      </c>
      <c r="D43" s="4"/>
      <c r="E43" s="4"/>
      <c r="F43" s="4"/>
      <c r="G43" s="10"/>
      <c r="H43" s="23"/>
      <c r="I43" s="23"/>
      <c r="J43" s="23"/>
      <c r="K43" s="23"/>
      <c r="L43" s="58" t="b">
        <f>'0_Configuration'!$C$2</f>
        <v>1</v>
      </c>
      <c r="M43" s="3" t="s">
        <v>355</v>
      </c>
      <c r="N43" s="58" t="b">
        <f>'0_Configuration'!$C$6</f>
        <v>0</v>
      </c>
      <c r="O43" s="3" t="s">
        <v>355</v>
      </c>
      <c r="P43" s="58" t="b">
        <f>'0_Configuration'!$C$10</f>
        <v>0</v>
      </c>
      <c r="Q43" s="3" t="s">
        <v>355</v>
      </c>
      <c r="R43" s="58" t="b">
        <f>'0_Configuration'!$C$17</f>
        <v>0</v>
      </c>
      <c r="S43" s="3">
        <f>_xlfn.XLOOKUP(Tab_Def_Flows[[#This Row],[ODYM_Good_Type]],Tab_Configuration[Value],Tab_Configuration[ODYM_ID],,0,)</f>
        <v>0</v>
      </c>
      <c r="T43" s="58" t="b">
        <f>'0_Configuration'!$C$24</f>
        <v>0</v>
      </c>
      <c r="U43" s="3" t="s">
        <v>355</v>
      </c>
      <c r="V43" s="58" t="b">
        <f>'0_Configuration'!$C$29</f>
        <v>1</v>
      </c>
      <c r="W43" s="3" t="s">
        <v>355</v>
      </c>
      <c r="X43" s="3" t="str">
        <f>IF(Tab_Def_Flows[[#This Row],[ODYM_time_(t)]],"t,","")&amp;IF(Tab_Def_Flows[[#This Row],[ODYM_Region_(r)]],"r,","")&amp;IF(Tab_Def_Flows[[#This Row],[ODYM_process_(p)]],"p,","")&amp;IF(Tab_Def_Flows[[#This Row],[ODYM_Good_(g)2]],"g,","")&amp;IF(Tab_Def_Flows[[#This Row],[ODYM_material_(m)]],"m,","")&amp;IF(Tab_Def_Flows[[#This Row],[ODYM_element_(e)]],"e","")</f>
        <v>t,e</v>
      </c>
      <c r="Y4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4" spans="1:25" x14ac:dyDescent="0.25">
      <c r="A44" s="27" t="b">
        <v>0</v>
      </c>
      <c r="B44" s="13" t="s">
        <v>57</v>
      </c>
      <c r="C44" s="3" t="str">
        <f t="shared" si="0"/>
        <v>42</v>
      </c>
      <c r="D44" s="4"/>
      <c r="E44" s="4"/>
      <c r="F44" s="4"/>
      <c r="G44" s="10"/>
      <c r="H44" s="23"/>
      <c r="I44" s="23"/>
      <c r="J44" s="23"/>
      <c r="K44" s="23"/>
      <c r="L44" s="58" t="b">
        <f>'0_Configuration'!$C$2</f>
        <v>1</v>
      </c>
      <c r="M44" s="3" t="s">
        <v>355</v>
      </c>
      <c r="N44" s="58" t="b">
        <f>'0_Configuration'!$C$6</f>
        <v>0</v>
      </c>
      <c r="O44" s="3" t="s">
        <v>355</v>
      </c>
      <c r="P44" s="58" t="b">
        <f>'0_Configuration'!$C$10</f>
        <v>0</v>
      </c>
      <c r="Q44" s="3" t="s">
        <v>355</v>
      </c>
      <c r="R44" s="58" t="b">
        <f>'0_Configuration'!$C$17</f>
        <v>0</v>
      </c>
      <c r="S44" s="3">
        <f>_xlfn.XLOOKUP(Tab_Def_Flows[[#This Row],[ODYM_Good_Type]],Tab_Configuration[Value],Tab_Configuration[ODYM_ID],,0,)</f>
        <v>0</v>
      </c>
      <c r="T44" s="58" t="b">
        <f>'0_Configuration'!$C$24</f>
        <v>0</v>
      </c>
      <c r="U44" s="3" t="s">
        <v>355</v>
      </c>
      <c r="V44" s="58" t="b">
        <f>'0_Configuration'!$C$29</f>
        <v>1</v>
      </c>
      <c r="W44" s="3" t="s">
        <v>355</v>
      </c>
      <c r="X44" s="3" t="str">
        <f>IF(Tab_Def_Flows[[#This Row],[ODYM_time_(t)]],"t,","")&amp;IF(Tab_Def_Flows[[#This Row],[ODYM_Region_(r)]],"r,","")&amp;IF(Tab_Def_Flows[[#This Row],[ODYM_process_(p)]],"p,","")&amp;IF(Tab_Def_Flows[[#This Row],[ODYM_Good_(g)2]],"g,","")&amp;IF(Tab_Def_Flows[[#This Row],[ODYM_material_(m)]],"m,","")&amp;IF(Tab_Def_Flows[[#This Row],[ODYM_element_(e)]],"e","")</f>
        <v>t,e</v>
      </c>
      <c r="Y4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5" spans="1:25" x14ac:dyDescent="0.25">
      <c r="A45" s="27" t="b">
        <v>0</v>
      </c>
      <c r="B45" s="13" t="s">
        <v>58</v>
      </c>
      <c r="C45" s="3" t="str">
        <f t="shared" si="0"/>
        <v>43</v>
      </c>
      <c r="D45" s="4"/>
      <c r="E45" s="4"/>
      <c r="F45" s="4"/>
      <c r="G45" s="10"/>
      <c r="H45" s="23"/>
      <c r="I45" s="23"/>
      <c r="J45" s="23"/>
      <c r="K45" s="23"/>
      <c r="L45" s="58" t="b">
        <f>'0_Configuration'!$C$2</f>
        <v>1</v>
      </c>
      <c r="M45" s="3" t="s">
        <v>355</v>
      </c>
      <c r="N45" s="58" t="b">
        <f>'0_Configuration'!$C$6</f>
        <v>0</v>
      </c>
      <c r="O45" s="3" t="s">
        <v>355</v>
      </c>
      <c r="P45" s="58" t="b">
        <f>'0_Configuration'!$C$10</f>
        <v>0</v>
      </c>
      <c r="Q45" s="3" t="s">
        <v>355</v>
      </c>
      <c r="R45" s="58" t="b">
        <f>'0_Configuration'!$C$17</f>
        <v>0</v>
      </c>
      <c r="S45" s="3">
        <f>_xlfn.XLOOKUP(Tab_Def_Flows[[#This Row],[ODYM_Good_Type]],Tab_Configuration[Value],Tab_Configuration[ODYM_ID],,0,)</f>
        <v>0</v>
      </c>
      <c r="T45" s="58" t="b">
        <f>'0_Configuration'!$C$24</f>
        <v>0</v>
      </c>
      <c r="U45" s="3" t="s">
        <v>355</v>
      </c>
      <c r="V45" s="58" t="b">
        <f>'0_Configuration'!$C$29</f>
        <v>1</v>
      </c>
      <c r="W45" s="3" t="s">
        <v>355</v>
      </c>
      <c r="X45" s="3" t="str">
        <f>IF(Tab_Def_Flows[[#This Row],[ODYM_time_(t)]],"t,","")&amp;IF(Tab_Def_Flows[[#This Row],[ODYM_Region_(r)]],"r,","")&amp;IF(Tab_Def_Flows[[#This Row],[ODYM_process_(p)]],"p,","")&amp;IF(Tab_Def_Flows[[#This Row],[ODYM_Good_(g)2]],"g,","")&amp;IF(Tab_Def_Flows[[#This Row],[ODYM_material_(m)]],"m,","")&amp;IF(Tab_Def_Flows[[#This Row],[ODYM_element_(e)]],"e","")</f>
        <v>t,e</v>
      </c>
      <c r="Y4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6" spans="1:25" x14ac:dyDescent="0.25">
      <c r="A46" s="27" t="b">
        <v>0</v>
      </c>
      <c r="B46" s="13" t="s">
        <v>59</v>
      </c>
      <c r="C46" s="3" t="str">
        <f t="shared" si="0"/>
        <v>44</v>
      </c>
      <c r="D46" s="4"/>
      <c r="E46" s="4"/>
      <c r="F46" s="4"/>
      <c r="G46" s="10"/>
      <c r="H46" s="23"/>
      <c r="I46" s="23"/>
      <c r="J46" s="23"/>
      <c r="K46" s="23"/>
      <c r="L46" s="58" t="b">
        <f>'0_Configuration'!$C$2</f>
        <v>1</v>
      </c>
      <c r="M46" s="3" t="s">
        <v>355</v>
      </c>
      <c r="N46" s="58" t="b">
        <f>'0_Configuration'!$C$6</f>
        <v>0</v>
      </c>
      <c r="O46" s="3" t="s">
        <v>355</v>
      </c>
      <c r="P46" s="58" t="b">
        <f>'0_Configuration'!$C$10</f>
        <v>0</v>
      </c>
      <c r="Q46" s="3" t="s">
        <v>355</v>
      </c>
      <c r="R46" s="58" t="b">
        <f>'0_Configuration'!$C$17</f>
        <v>0</v>
      </c>
      <c r="S46" s="3">
        <f>_xlfn.XLOOKUP(Tab_Def_Flows[[#This Row],[ODYM_Good_Type]],Tab_Configuration[Value],Tab_Configuration[ODYM_ID],,0,)</f>
        <v>0</v>
      </c>
      <c r="T46" s="58" t="b">
        <f>'0_Configuration'!$C$24</f>
        <v>0</v>
      </c>
      <c r="U46" s="3" t="s">
        <v>355</v>
      </c>
      <c r="V46" s="58" t="b">
        <f>'0_Configuration'!$C$29</f>
        <v>1</v>
      </c>
      <c r="W46" s="3" t="s">
        <v>355</v>
      </c>
      <c r="X46" s="3" t="str">
        <f>IF(Tab_Def_Flows[[#This Row],[ODYM_time_(t)]],"t,","")&amp;IF(Tab_Def_Flows[[#This Row],[ODYM_Region_(r)]],"r,","")&amp;IF(Tab_Def_Flows[[#This Row],[ODYM_process_(p)]],"p,","")&amp;IF(Tab_Def_Flows[[#This Row],[ODYM_Good_(g)2]],"g,","")&amp;IF(Tab_Def_Flows[[#This Row],[ODYM_material_(m)]],"m,","")&amp;IF(Tab_Def_Flows[[#This Row],[ODYM_element_(e)]],"e","")</f>
        <v>t,e</v>
      </c>
      <c r="Y4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sheetData>
  <sheetProtection selectLockedCells="1"/>
  <phoneticPr fontId="2" type="noConversion"/>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6">
        <x14:dataValidation type="list" allowBlank="1" showInputMessage="1" showErrorMessage="1" promptTitle="Definition of Process Logic Type" prompt="Select the Process Logic Type from dropdown" xr:uid="{0F2A9B9B-3C52-4A64-B5E3-87DA26FAF647}">
          <x14:formula1>
            <xm:f>'7_2_Codelists'!$B$22:$B$28</xm:f>
          </x14:formula1>
          <xm:sqref>H2:H46</xm:sqref>
        </x14:dataValidation>
        <x14:dataValidation type="list" allowBlank="1" showInputMessage="1" showErrorMessage="1" prompt="Select the Transfer Coefficient Configuration from dropdown" xr:uid="{8623561C-5E47-42AC-9E80-65CC01595412}">
          <x14:formula1>
            <xm:f>'7_2_Codelists'!$B$33:$B$35</xm:f>
          </x14:formula1>
          <xm:sqref>I2:I46</xm:sqref>
        </x14:dataValidation>
        <x14:dataValidation type="list" allowBlank="1" showInputMessage="1" showErrorMessage="1" prompt="Select the Stock Configuration from dropdown" xr:uid="{78AE8826-0270-4124-AFEF-E9B084EA971E}">
          <x14:formula1>
            <xm:f>'7_2_Codelists'!$B$40:$B$45</xm:f>
          </x14:formula1>
          <xm:sqref>J2:J46</xm:sqref>
        </x14:dataValidation>
        <x14:dataValidation type="list" allowBlank="1" showInputMessage="1" showErrorMessage="1" xr:uid="{E082B61D-0B1B-4611-9A14-9A334528DF50}">
          <x14:formula1>
            <xm:f>'0_Configuration'!$C$11:$C$16</xm:f>
          </x14:formula1>
          <xm:sqref>E2:E46</xm:sqref>
        </x14:dataValidation>
        <x14:dataValidation type="list" allowBlank="1" showInputMessage="1" showErrorMessage="1" xr:uid="{711C03FC-EE5C-4657-BAF0-2B0DBC4600EA}">
          <x14:formula1>
            <xm:f>'0_Configuration'!$C$7:$C$9</xm:f>
          </x14:formula1>
          <xm:sqref>F2:F46</xm:sqref>
        </x14:dataValidation>
        <x14:dataValidation type="list" allowBlank="1" showInputMessage="1" showErrorMessage="1" xr:uid="{7AB7F0E8-63B0-4FFE-9846-206D31E31E53}">
          <x14:formula1>
            <xm:f>'7_2_Codelists'!$B$50:$B$59</xm:f>
          </x14:formula1>
          <xm:sqref>K1:K1048576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X51"/>
  <sheetViews>
    <sheetView zoomScale="115" zoomScaleNormal="115" workbookViewId="0">
      <pane xSplit="4" topLeftCell="E1" activePane="topRight" state="frozen"/>
      <selection pane="topRight" activeCell="W36" sqref="W36"/>
    </sheetView>
  </sheetViews>
  <sheetFormatPr defaultColWidth="10.85546875" defaultRowHeight="15" x14ac:dyDescent="0.25"/>
  <cols>
    <col min="2" max="2" width="7.140625" hidden="1" customWidth="1"/>
    <col min="3" max="3" width="12.7109375" style="16" hidden="1" customWidth="1"/>
    <col min="4" max="4" width="37.42578125" customWidth="1"/>
    <col min="5" max="5" width="15.5703125" customWidth="1"/>
    <col min="6" max="6" width="13.85546875" customWidth="1"/>
    <col min="7" max="7" width="13.140625" hidden="1" customWidth="1"/>
    <col min="8" max="8" width="16.140625" customWidth="1"/>
    <col min="9" max="9" width="39.85546875" style="2" customWidth="1"/>
    <col min="10" max="10" width="17" customWidth="1"/>
    <col min="11" max="11" width="26.5703125" customWidth="1"/>
    <col min="12" max="13" width="21.42578125" customWidth="1"/>
    <col min="14" max="14" width="16.42578125" customWidth="1"/>
    <col min="15" max="15" width="20.140625" customWidth="1"/>
    <col min="16" max="16" width="17.5703125" customWidth="1"/>
    <col min="17" max="17" width="20.42578125" customWidth="1"/>
    <col min="18" max="22" width="16.42578125" customWidth="1"/>
    <col min="23" max="23" width="16.140625" customWidth="1"/>
    <col min="24" max="24" width="20" customWidth="1"/>
  </cols>
  <sheetData>
    <row r="1" spans="1:24" x14ac:dyDescent="0.25">
      <c r="A1" s="26" t="s">
        <v>13</v>
      </c>
      <c r="B1" s="26" t="s">
        <v>4</v>
      </c>
      <c r="C1" s="26" t="s">
        <v>12</v>
      </c>
      <c r="D1" s="26" t="s">
        <v>141</v>
      </c>
      <c r="E1" s="26" t="s">
        <v>128</v>
      </c>
      <c r="F1" s="26" t="s">
        <v>166</v>
      </c>
      <c r="G1" s="26" t="s">
        <v>167</v>
      </c>
      <c r="H1" s="26" t="s">
        <v>179</v>
      </c>
      <c r="I1" s="26" t="s">
        <v>66</v>
      </c>
      <c r="J1" s="26" t="s">
        <v>6</v>
      </c>
      <c r="K1" s="26" t="s">
        <v>399</v>
      </c>
      <c r="L1" s="26" t="s">
        <v>401</v>
      </c>
      <c r="M1" s="26" t="s">
        <v>400</v>
      </c>
      <c r="N1" s="26" t="s">
        <v>402</v>
      </c>
      <c r="O1" s="26" t="s">
        <v>403</v>
      </c>
      <c r="P1" s="26" t="s">
        <v>404</v>
      </c>
      <c r="Q1" s="26" t="s">
        <v>405</v>
      </c>
      <c r="R1" s="26" t="s">
        <v>406</v>
      </c>
      <c r="S1" s="26" t="s">
        <v>407</v>
      </c>
      <c r="T1" s="26" t="s">
        <v>408</v>
      </c>
      <c r="U1" s="26" t="s">
        <v>428</v>
      </c>
      <c r="V1" s="26" t="s">
        <v>429</v>
      </c>
      <c r="W1" s="26" t="s">
        <v>7</v>
      </c>
      <c r="X1" s="26" t="s">
        <v>487</v>
      </c>
    </row>
    <row r="2" spans="1:24" x14ac:dyDescent="0.25">
      <c r="A2" s="27" t="b">
        <v>0</v>
      </c>
      <c r="B2" s="3">
        <f>ROW()-1</f>
        <v>1</v>
      </c>
      <c r="C2" s="17" t="str">
        <f>_xlfn.XLOOKUP($D2,Tab_Def_Processes[Process_Name],Tab_Def_Processes[ID],,0,)</f>
        <v>01</v>
      </c>
      <c r="D2" s="23"/>
      <c r="E2" s="3">
        <f>_xlfn.XLOOKUP($D2,Tab_Def_Processes[Process_Name],Tab_Def_Processes[Process_Logic],,0,)</f>
        <v>0</v>
      </c>
      <c r="F2" s="3">
        <f>_xlfn.XLOOKUP($D2,Tab_Def_Processes[Process_Name],Tab_Def_Processes[TC_Configuration],,0,)</f>
        <v>0</v>
      </c>
      <c r="G2" s="3">
        <f>_xlfn.XLOOKUP($D2,Tab_Def_Processes[Process_Name],Tab_Def_Processes[Stock_Configuration],,0,)</f>
        <v>0</v>
      </c>
      <c r="H2" s="3">
        <f>_xlfn.XLOOKUP($D2,Tab_Def_Processes[Process_Name],Tab_Def_Processes[Outflow_count],,0,)</f>
        <v>0</v>
      </c>
      <c r="I2" s="23"/>
      <c r="J2" s="19" t="str">
        <f>_xlfn.XLOOKUP($I2,Tab_Def_Flows[Flow_Name],Tab_Def_Flows[Flow_ID],,0,)</f>
        <v>F_01_01</v>
      </c>
      <c r="K2" s="12" t="str">
        <f>"TC_E1"&amp;"_"&amp;RIGHT(J2,5)</f>
        <v>TC_E1_01_01</v>
      </c>
      <c r="L2" s="25"/>
      <c r="M2" s="12" t="str">
        <f>"TC_E2"&amp;"_"&amp;RIGHT(J2,5)</f>
        <v>TC_E2_01_01</v>
      </c>
      <c r="N2" s="25"/>
      <c r="O2" s="12" t="str">
        <f>"TC_E3"&amp;"_"&amp;RIGHT(J2,5)</f>
        <v>TC_E3_01_01</v>
      </c>
      <c r="P2" s="25"/>
      <c r="Q2" s="3" t="str">
        <f>"TC_E4"&amp;"_"&amp;RIGHT(J2,5)</f>
        <v>TC_E4_01_01</v>
      </c>
      <c r="R2" s="25"/>
      <c r="S2" s="3" t="str">
        <f>"TC_E5"&amp;"_"&amp;RIGHT(J2,5)</f>
        <v>TC_E5_01_01</v>
      </c>
      <c r="T2" s="25"/>
      <c r="U2" s="3" t="str">
        <f>"TC_E5"&amp;"_"&amp;RIGHT(J2,5)</f>
        <v>TC_E5_01_01</v>
      </c>
      <c r="V2" s="25"/>
      <c r="W2" s="10"/>
      <c r="X2" s="10"/>
    </row>
    <row r="3" spans="1:24" x14ac:dyDescent="0.25">
      <c r="A3" s="27" t="b">
        <v>0</v>
      </c>
      <c r="B3" s="3">
        <f t="shared" ref="B3:B51" si="0">ROW()-1</f>
        <v>2</v>
      </c>
      <c r="C3" s="17" t="str">
        <f>_xlfn.XLOOKUP($D3,Tab_Def_Processes[Process_Name],Tab_Def_Processes[ID],,0,)</f>
        <v>01</v>
      </c>
      <c r="D3" s="23"/>
      <c r="E3" s="3">
        <f>_xlfn.XLOOKUP($D3,Tab_Def_Processes[Process_Name],Tab_Def_Processes[Process_Logic],,0,)</f>
        <v>0</v>
      </c>
      <c r="F3" s="3">
        <f>_xlfn.XLOOKUP($D3,Tab_Def_Processes[Process_Name],Tab_Def_Processes[TC_Configuration],,0,)</f>
        <v>0</v>
      </c>
      <c r="G3" s="3">
        <f>_xlfn.XLOOKUP($D3,Tab_Def_Processes[Process_Name],Tab_Def_Processes[Stock_Configuration],,0,)</f>
        <v>0</v>
      </c>
      <c r="H3" s="3">
        <f>_xlfn.XLOOKUP($D3,Tab_Def_Processes[Process_Name],Tab_Def_Processes[Outflow_count],,0,)</f>
        <v>0</v>
      </c>
      <c r="I3" s="23"/>
      <c r="J3" s="19" t="str">
        <f>_xlfn.XLOOKUP($I3,Tab_Def_Flows[Flow_Name],Tab_Def_Flows[Flow_ID],,0,)</f>
        <v>F_01_01</v>
      </c>
      <c r="K3" s="12" t="str">
        <f t="shared" ref="K3:K51" si="1">"TC_E1"&amp;"_"&amp;RIGHT(J3,5)</f>
        <v>TC_E1_01_01</v>
      </c>
      <c r="L3" s="25"/>
      <c r="M3" s="12" t="str">
        <f t="shared" ref="M3:M51" si="2">"TC_E2"&amp;"_"&amp;RIGHT(J3,5)</f>
        <v>TC_E2_01_01</v>
      </c>
      <c r="N3" s="25"/>
      <c r="O3" s="12" t="str">
        <f t="shared" ref="O3:O51" si="3">"TC_E3"&amp;"_"&amp;RIGHT(J3,5)</f>
        <v>TC_E3_01_01</v>
      </c>
      <c r="P3" s="25"/>
      <c r="Q3" s="3" t="str">
        <f t="shared" ref="Q3:Q51" si="4">"TC_E4"&amp;"_"&amp;RIGHT(J3,5)</f>
        <v>TC_E4_01_01</v>
      </c>
      <c r="R3" s="25"/>
      <c r="S3" s="3" t="str">
        <f t="shared" ref="S3:S51" si="5">"TC_E5"&amp;"_"&amp;RIGHT(J3,5)</f>
        <v>TC_E5_01_01</v>
      </c>
      <c r="T3" s="25"/>
      <c r="U3" s="3" t="str">
        <f t="shared" ref="U3:U51" si="6">"TC_E5"&amp;"_"&amp;RIGHT(J3,5)</f>
        <v>TC_E5_01_01</v>
      </c>
      <c r="V3" s="25"/>
      <c r="W3" s="10"/>
      <c r="X3" s="10"/>
    </row>
    <row r="4" spans="1:24" x14ac:dyDescent="0.25">
      <c r="A4" s="27" t="b">
        <v>0</v>
      </c>
      <c r="B4" s="3">
        <f t="shared" si="0"/>
        <v>3</v>
      </c>
      <c r="C4" s="17" t="str">
        <f>_xlfn.XLOOKUP($D4,Tab_Def_Processes[Process_Name],Tab_Def_Processes[ID],,0,)</f>
        <v>01</v>
      </c>
      <c r="D4" s="23"/>
      <c r="E4" s="3">
        <f>_xlfn.XLOOKUP($D4,Tab_Def_Processes[Process_Name],Tab_Def_Processes[Process_Logic],,0,)</f>
        <v>0</v>
      </c>
      <c r="F4" s="3">
        <f>_xlfn.XLOOKUP($D4,Tab_Def_Processes[Process_Name],Tab_Def_Processes[TC_Configuration],,0,)</f>
        <v>0</v>
      </c>
      <c r="G4" s="3">
        <f>_xlfn.XLOOKUP($D4,Tab_Def_Processes[Process_Name],Tab_Def_Processes[Stock_Configuration],,0,)</f>
        <v>0</v>
      </c>
      <c r="H4" s="3">
        <f>_xlfn.XLOOKUP($D4,Tab_Def_Processes[Process_Name],Tab_Def_Processes[Outflow_count],,0,)</f>
        <v>0</v>
      </c>
      <c r="I4" s="23"/>
      <c r="J4" s="19" t="str">
        <f>_xlfn.XLOOKUP($I4,Tab_Def_Flows[Flow_Name],Tab_Def_Flows[Flow_ID],,0,)</f>
        <v>F_01_01</v>
      </c>
      <c r="K4" s="12" t="str">
        <f t="shared" si="1"/>
        <v>TC_E1_01_01</v>
      </c>
      <c r="L4" s="25"/>
      <c r="M4" s="12" t="str">
        <f t="shared" si="2"/>
        <v>TC_E2_01_01</v>
      </c>
      <c r="N4" s="25"/>
      <c r="O4" s="12" t="str">
        <f t="shared" si="3"/>
        <v>TC_E3_01_01</v>
      </c>
      <c r="P4" s="25"/>
      <c r="Q4" s="3" t="str">
        <f t="shared" si="4"/>
        <v>TC_E4_01_01</v>
      </c>
      <c r="R4" s="25"/>
      <c r="S4" s="3" t="str">
        <f t="shared" si="5"/>
        <v>TC_E5_01_01</v>
      </c>
      <c r="T4" s="25"/>
      <c r="U4" s="3" t="str">
        <f t="shared" si="6"/>
        <v>TC_E5_01_01</v>
      </c>
      <c r="V4" s="25"/>
      <c r="W4" s="10"/>
      <c r="X4" s="10"/>
    </row>
    <row r="5" spans="1:24" x14ac:dyDescent="0.25">
      <c r="A5" s="27" t="b">
        <v>0</v>
      </c>
      <c r="B5" s="3">
        <f>ROW()-1</f>
        <v>4</v>
      </c>
      <c r="C5" s="17" t="str">
        <f>_xlfn.XLOOKUP($D5,Tab_Def_Processes[Process_Name],Tab_Def_Processes[ID],,0,)</f>
        <v>01</v>
      </c>
      <c r="D5" s="23"/>
      <c r="E5" s="3">
        <f>_xlfn.XLOOKUP($D5,Tab_Def_Processes[Process_Name],Tab_Def_Processes[Process_Logic],,0,)</f>
        <v>0</v>
      </c>
      <c r="F5" s="3">
        <f>_xlfn.XLOOKUP($D5,Tab_Def_Processes[Process_Name],Tab_Def_Processes[TC_Configuration],,0,)</f>
        <v>0</v>
      </c>
      <c r="G5" s="3">
        <f>_xlfn.XLOOKUP($D5,Tab_Def_Processes[Process_Name],Tab_Def_Processes[Stock_Configuration],,0,)</f>
        <v>0</v>
      </c>
      <c r="H5" s="3">
        <f>_xlfn.XLOOKUP($D5,Tab_Def_Processes[Process_Name],Tab_Def_Processes[Outflow_count],,0,)</f>
        <v>0</v>
      </c>
      <c r="I5" s="23"/>
      <c r="J5" s="19" t="str">
        <f>_xlfn.XLOOKUP($I5,Tab_Def_Flows[Flow_Name],Tab_Def_Flows[Flow_ID],,0,)</f>
        <v>F_01_01</v>
      </c>
      <c r="K5" s="12" t="str">
        <f t="shared" si="1"/>
        <v>TC_E1_01_01</v>
      </c>
      <c r="L5" s="25"/>
      <c r="M5" s="12" t="str">
        <f t="shared" si="2"/>
        <v>TC_E2_01_01</v>
      </c>
      <c r="N5" s="25"/>
      <c r="O5" s="12" t="str">
        <f t="shared" si="3"/>
        <v>TC_E3_01_01</v>
      </c>
      <c r="P5" s="25"/>
      <c r="Q5" s="3" t="str">
        <f t="shared" si="4"/>
        <v>TC_E4_01_01</v>
      </c>
      <c r="R5" s="25"/>
      <c r="S5" s="3" t="str">
        <f t="shared" si="5"/>
        <v>TC_E5_01_01</v>
      </c>
      <c r="T5" s="25"/>
      <c r="U5" s="3" t="str">
        <f t="shared" si="6"/>
        <v>TC_E5_01_01</v>
      </c>
      <c r="V5" s="25"/>
      <c r="W5" s="10"/>
      <c r="X5" s="10"/>
    </row>
    <row r="6" spans="1:24" x14ac:dyDescent="0.25">
      <c r="A6" s="27" t="b">
        <v>0</v>
      </c>
      <c r="B6" s="3">
        <f t="shared" si="0"/>
        <v>5</v>
      </c>
      <c r="C6" s="17" t="str">
        <f>_xlfn.XLOOKUP($D6,Tab_Def_Processes[Process_Name],Tab_Def_Processes[ID],,0,)</f>
        <v>01</v>
      </c>
      <c r="D6" s="23"/>
      <c r="E6" s="3">
        <f>_xlfn.XLOOKUP($D6,Tab_Def_Processes[Process_Name],Tab_Def_Processes[Process_Logic],,0,)</f>
        <v>0</v>
      </c>
      <c r="F6" s="3">
        <f>_xlfn.XLOOKUP($D6,Tab_Def_Processes[Process_Name],Tab_Def_Processes[TC_Configuration],,0,)</f>
        <v>0</v>
      </c>
      <c r="G6" s="3">
        <f>_xlfn.XLOOKUP($D6,Tab_Def_Processes[Process_Name],Tab_Def_Processes[Stock_Configuration],,0,)</f>
        <v>0</v>
      </c>
      <c r="H6" s="3">
        <f>_xlfn.XLOOKUP($D6,Tab_Def_Processes[Process_Name],Tab_Def_Processes[Outflow_count],,0,)</f>
        <v>0</v>
      </c>
      <c r="I6" s="23"/>
      <c r="J6" s="19" t="str">
        <f>_xlfn.XLOOKUP($I6,Tab_Def_Flows[Flow_Name],Tab_Def_Flows[Flow_ID],,0,)</f>
        <v>F_01_01</v>
      </c>
      <c r="K6" s="12" t="str">
        <f t="shared" si="1"/>
        <v>TC_E1_01_01</v>
      </c>
      <c r="L6" s="25"/>
      <c r="M6" s="12" t="str">
        <f t="shared" si="2"/>
        <v>TC_E2_01_01</v>
      </c>
      <c r="N6" s="25"/>
      <c r="O6" s="12" t="str">
        <f t="shared" si="3"/>
        <v>TC_E3_01_01</v>
      </c>
      <c r="P6" s="25"/>
      <c r="Q6" s="3" t="str">
        <f t="shared" si="4"/>
        <v>TC_E4_01_01</v>
      </c>
      <c r="R6" s="25"/>
      <c r="S6" s="3" t="str">
        <f t="shared" si="5"/>
        <v>TC_E5_01_01</v>
      </c>
      <c r="T6" s="25"/>
      <c r="U6" s="3" t="str">
        <f t="shared" si="6"/>
        <v>TC_E5_01_01</v>
      </c>
      <c r="V6" s="25"/>
      <c r="W6" s="10"/>
      <c r="X6" s="10"/>
    </row>
    <row r="7" spans="1:24" x14ac:dyDescent="0.25">
      <c r="A7" s="27" t="b">
        <v>0</v>
      </c>
      <c r="B7" s="3">
        <f t="shared" si="0"/>
        <v>6</v>
      </c>
      <c r="C7" s="17" t="str">
        <f>_xlfn.XLOOKUP($D7,Tab_Def_Processes[Process_Name],Tab_Def_Processes[ID],,0,)</f>
        <v>01</v>
      </c>
      <c r="D7" s="23"/>
      <c r="E7" s="3">
        <f>_xlfn.XLOOKUP($D7,Tab_Def_Processes[Process_Name],Tab_Def_Processes[Process_Logic],,0,)</f>
        <v>0</v>
      </c>
      <c r="F7" s="3">
        <f>_xlfn.XLOOKUP($D7,Tab_Def_Processes[Process_Name],Tab_Def_Processes[TC_Configuration],,0,)</f>
        <v>0</v>
      </c>
      <c r="G7" s="3">
        <f>_xlfn.XLOOKUP($D7,Tab_Def_Processes[Process_Name],Tab_Def_Processes[Stock_Configuration],,0,)</f>
        <v>0</v>
      </c>
      <c r="H7" s="3">
        <f>_xlfn.XLOOKUP($D7,Tab_Def_Processes[Process_Name],Tab_Def_Processes[Outflow_count],,0,)</f>
        <v>0</v>
      </c>
      <c r="I7" s="23"/>
      <c r="J7" s="19" t="str">
        <f>_xlfn.XLOOKUP($I7,Tab_Def_Flows[Flow_Name],Tab_Def_Flows[Flow_ID],,0,)</f>
        <v>F_01_01</v>
      </c>
      <c r="K7" s="12" t="str">
        <f t="shared" si="1"/>
        <v>TC_E1_01_01</v>
      </c>
      <c r="L7" s="25"/>
      <c r="M7" s="12" t="str">
        <f t="shared" si="2"/>
        <v>TC_E2_01_01</v>
      </c>
      <c r="N7" s="25"/>
      <c r="O7" s="12" t="str">
        <f t="shared" si="3"/>
        <v>TC_E3_01_01</v>
      </c>
      <c r="P7" s="25"/>
      <c r="Q7" s="3" t="str">
        <f t="shared" si="4"/>
        <v>TC_E4_01_01</v>
      </c>
      <c r="R7" s="25"/>
      <c r="S7" s="3" t="str">
        <f t="shared" si="5"/>
        <v>TC_E5_01_01</v>
      </c>
      <c r="T7" s="25"/>
      <c r="U7" s="3" t="str">
        <f t="shared" si="6"/>
        <v>TC_E5_01_01</v>
      </c>
      <c r="V7" s="25"/>
      <c r="W7" s="10"/>
      <c r="X7" s="10"/>
    </row>
    <row r="8" spans="1:24" x14ac:dyDescent="0.25">
      <c r="A8" s="27" t="b">
        <v>0</v>
      </c>
      <c r="B8" s="3">
        <f t="shared" si="0"/>
        <v>7</v>
      </c>
      <c r="C8" s="17" t="str">
        <f>_xlfn.XLOOKUP($D8,Tab_Def_Processes[Process_Name],Tab_Def_Processes[ID],,0,)</f>
        <v>01</v>
      </c>
      <c r="D8" s="23"/>
      <c r="E8" s="3">
        <f>_xlfn.XLOOKUP($D8,Tab_Def_Processes[Process_Name],Tab_Def_Processes[Process_Logic],,0,)</f>
        <v>0</v>
      </c>
      <c r="F8" s="3">
        <f>_xlfn.XLOOKUP($D8,Tab_Def_Processes[Process_Name],Tab_Def_Processes[TC_Configuration],,0,)</f>
        <v>0</v>
      </c>
      <c r="G8" s="3">
        <f>_xlfn.XLOOKUP($D8,Tab_Def_Processes[Process_Name],Tab_Def_Processes[Stock_Configuration],,0,)</f>
        <v>0</v>
      </c>
      <c r="H8" s="3">
        <f>_xlfn.XLOOKUP($D8,Tab_Def_Processes[Process_Name],Tab_Def_Processes[Outflow_count],,0,)</f>
        <v>0</v>
      </c>
      <c r="I8" s="23"/>
      <c r="J8" s="19" t="str">
        <f>_xlfn.XLOOKUP($I8,Tab_Def_Flows[Flow_Name],Tab_Def_Flows[Flow_ID],,0,)</f>
        <v>F_01_01</v>
      </c>
      <c r="K8" s="12" t="str">
        <f t="shared" si="1"/>
        <v>TC_E1_01_01</v>
      </c>
      <c r="L8" s="25"/>
      <c r="M8" s="12" t="str">
        <f t="shared" si="2"/>
        <v>TC_E2_01_01</v>
      </c>
      <c r="N8" s="25"/>
      <c r="O8" s="12" t="str">
        <f t="shared" si="3"/>
        <v>TC_E3_01_01</v>
      </c>
      <c r="P8" s="25"/>
      <c r="Q8" s="3" t="str">
        <f t="shared" si="4"/>
        <v>TC_E4_01_01</v>
      </c>
      <c r="R8" s="25"/>
      <c r="S8" s="3" t="str">
        <f t="shared" si="5"/>
        <v>TC_E5_01_01</v>
      </c>
      <c r="T8" s="25"/>
      <c r="U8" s="3" t="str">
        <f t="shared" si="6"/>
        <v>TC_E5_01_01</v>
      </c>
      <c r="V8" s="25"/>
      <c r="W8" s="10"/>
      <c r="X8" s="10"/>
    </row>
    <row r="9" spans="1:24" x14ac:dyDescent="0.25">
      <c r="A9" s="27" t="b">
        <v>0</v>
      </c>
      <c r="B9" s="3">
        <f t="shared" si="0"/>
        <v>8</v>
      </c>
      <c r="C9" s="17" t="str">
        <f>_xlfn.XLOOKUP($D9,Tab_Def_Processes[Process_Name],Tab_Def_Processes[ID],,0,)</f>
        <v>01</v>
      </c>
      <c r="D9" s="23"/>
      <c r="E9" s="3">
        <f>_xlfn.XLOOKUP($D9,Tab_Def_Processes[Process_Name],Tab_Def_Processes[Process_Logic],,0,)</f>
        <v>0</v>
      </c>
      <c r="F9" s="3">
        <f>_xlfn.XLOOKUP($D9,Tab_Def_Processes[Process_Name],Tab_Def_Processes[TC_Configuration],,0,)</f>
        <v>0</v>
      </c>
      <c r="G9" s="3">
        <f>_xlfn.XLOOKUP($D9,Tab_Def_Processes[Process_Name],Tab_Def_Processes[Stock_Configuration],,0,)</f>
        <v>0</v>
      </c>
      <c r="H9" s="3">
        <f>_xlfn.XLOOKUP($D9,Tab_Def_Processes[Process_Name],Tab_Def_Processes[Outflow_count],,0,)</f>
        <v>0</v>
      </c>
      <c r="I9" s="23"/>
      <c r="J9" s="19" t="str">
        <f>_xlfn.XLOOKUP($I9,Tab_Def_Flows[Flow_Name],Tab_Def_Flows[Flow_ID],,0,)</f>
        <v>F_01_01</v>
      </c>
      <c r="K9" s="12" t="str">
        <f t="shared" si="1"/>
        <v>TC_E1_01_01</v>
      </c>
      <c r="L9" s="25"/>
      <c r="M9" s="12" t="str">
        <f t="shared" si="2"/>
        <v>TC_E2_01_01</v>
      </c>
      <c r="N9" s="25"/>
      <c r="O9" s="12" t="str">
        <f t="shared" si="3"/>
        <v>TC_E3_01_01</v>
      </c>
      <c r="P9" s="25"/>
      <c r="Q9" s="3" t="str">
        <f t="shared" si="4"/>
        <v>TC_E4_01_01</v>
      </c>
      <c r="R9" s="25"/>
      <c r="S9" s="3" t="str">
        <f t="shared" si="5"/>
        <v>TC_E5_01_01</v>
      </c>
      <c r="T9" s="25"/>
      <c r="U9" s="3" t="str">
        <f t="shared" si="6"/>
        <v>TC_E5_01_01</v>
      </c>
      <c r="V9" s="25"/>
      <c r="W9" s="10"/>
      <c r="X9" s="10"/>
    </row>
    <row r="10" spans="1:24" x14ac:dyDescent="0.25">
      <c r="A10" s="27" t="b">
        <v>0</v>
      </c>
      <c r="B10" s="3">
        <f t="shared" si="0"/>
        <v>9</v>
      </c>
      <c r="C10" s="17" t="str">
        <f>_xlfn.XLOOKUP($D10,Tab_Def_Processes[Process_Name],Tab_Def_Processes[ID],,0,)</f>
        <v>01</v>
      </c>
      <c r="D10" s="23"/>
      <c r="E10" s="3">
        <f>_xlfn.XLOOKUP($D10,Tab_Def_Processes[Process_Name],Tab_Def_Processes[Process_Logic],,0,)</f>
        <v>0</v>
      </c>
      <c r="F10" s="3">
        <f>_xlfn.XLOOKUP($D10,Tab_Def_Processes[Process_Name],Tab_Def_Processes[TC_Configuration],,0,)</f>
        <v>0</v>
      </c>
      <c r="G10" s="3">
        <f>_xlfn.XLOOKUP($D10,Tab_Def_Processes[Process_Name],Tab_Def_Processes[Stock_Configuration],,0,)</f>
        <v>0</v>
      </c>
      <c r="H10" s="3">
        <f>_xlfn.XLOOKUP($D10,Tab_Def_Processes[Process_Name],Tab_Def_Processes[Outflow_count],,0,)</f>
        <v>0</v>
      </c>
      <c r="I10" s="23"/>
      <c r="J10" s="19" t="str">
        <f>_xlfn.XLOOKUP($I10,Tab_Def_Flows[Flow_Name],Tab_Def_Flows[Flow_ID],,0,)</f>
        <v>F_01_01</v>
      </c>
      <c r="K10" s="12" t="str">
        <f t="shared" si="1"/>
        <v>TC_E1_01_01</v>
      </c>
      <c r="L10" s="25"/>
      <c r="M10" s="12" t="str">
        <f t="shared" si="2"/>
        <v>TC_E2_01_01</v>
      </c>
      <c r="N10" s="25"/>
      <c r="O10" s="12" t="str">
        <f t="shared" si="3"/>
        <v>TC_E3_01_01</v>
      </c>
      <c r="P10" s="25"/>
      <c r="Q10" s="3" t="str">
        <f t="shared" si="4"/>
        <v>TC_E4_01_01</v>
      </c>
      <c r="R10" s="25"/>
      <c r="S10" s="3" t="str">
        <f t="shared" si="5"/>
        <v>TC_E5_01_01</v>
      </c>
      <c r="T10" s="25"/>
      <c r="U10" s="3" t="str">
        <f t="shared" si="6"/>
        <v>TC_E5_01_01</v>
      </c>
      <c r="V10" s="25"/>
      <c r="W10" s="10"/>
      <c r="X10" s="10"/>
    </row>
    <row r="11" spans="1:24" x14ac:dyDescent="0.25">
      <c r="A11" s="27" t="b">
        <v>0</v>
      </c>
      <c r="B11" s="3">
        <f t="shared" si="0"/>
        <v>10</v>
      </c>
      <c r="C11" s="17" t="str">
        <f>_xlfn.XLOOKUP($D11,Tab_Def_Processes[Process_Name],Tab_Def_Processes[ID],,0,)</f>
        <v>01</v>
      </c>
      <c r="D11" s="23"/>
      <c r="E11" s="3">
        <f>_xlfn.XLOOKUP($D11,Tab_Def_Processes[Process_Name],Tab_Def_Processes[Process_Logic],,0,)</f>
        <v>0</v>
      </c>
      <c r="F11" s="3">
        <f>_xlfn.XLOOKUP($D11,Tab_Def_Processes[Process_Name],Tab_Def_Processes[TC_Configuration],,0,)</f>
        <v>0</v>
      </c>
      <c r="G11" s="3">
        <f>_xlfn.XLOOKUP($D11,Tab_Def_Processes[Process_Name],Tab_Def_Processes[Stock_Configuration],,0,)</f>
        <v>0</v>
      </c>
      <c r="H11" s="3">
        <f>_xlfn.XLOOKUP($D11,Tab_Def_Processes[Process_Name],Tab_Def_Processes[Outflow_count],,0,)</f>
        <v>0</v>
      </c>
      <c r="I11" s="23"/>
      <c r="J11" s="19" t="str">
        <f>_xlfn.XLOOKUP($I11,Tab_Def_Flows[Flow_Name],Tab_Def_Flows[Flow_ID],,0,)</f>
        <v>F_01_01</v>
      </c>
      <c r="K11" s="12" t="str">
        <f t="shared" si="1"/>
        <v>TC_E1_01_01</v>
      </c>
      <c r="L11" s="25"/>
      <c r="M11" s="12" t="str">
        <f t="shared" si="2"/>
        <v>TC_E2_01_01</v>
      </c>
      <c r="N11" s="25"/>
      <c r="O11" s="12" t="str">
        <f t="shared" si="3"/>
        <v>TC_E3_01_01</v>
      </c>
      <c r="P11" s="25"/>
      <c r="Q11" s="3" t="str">
        <f t="shared" si="4"/>
        <v>TC_E4_01_01</v>
      </c>
      <c r="R11" s="25"/>
      <c r="S11" s="3" t="str">
        <f t="shared" si="5"/>
        <v>TC_E5_01_01</v>
      </c>
      <c r="T11" s="25"/>
      <c r="U11" s="3" t="str">
        <f t="shared" si="6"/>
        <v>TC_E5_01_01</v>
      </c>
      <c r="V11" s="25"/>
      <c r="W11" s="10"/>
      <c r="X11" s="10"/>
    </row>
    <row r="12" spans="1:24" x14ac:dyDescent="0.25">
      <c r="A12" s="27" t="b">
        <v>0</v>
      </c>
      <c r="B12" s="3">
        <f t="shared" si="0"/>
        <v>11</v>
      </c>
      <c r="C12" s="17" t="str">
        <f>_xlfn.XLOOKUP($D12,Tab_Def_Processes[Process_Name],Tab_Def_Processes[ID],,0,)</f>
        <v>01</v>
      </c>
      <c r="D12" s="23"/>
      <c r="E12" s="3">
        <f>_xlfn.XLOOKUP($D12,Tab_Def_Processes[Process_Name],Tab_Def_Processes[Process_Logic],,0,)</f>
        <v>0</v>
      </c>
      <c r="F12" s="3">
        <f>_xlfn.XLOOKUP($D12,Tab_Def_Processes[Process_Name],Tab_Def_Processes[TC_Configuration],,0,)</f>
        <v>0</v>
      </c>
      <c r="G12" s="3">
        <f>_xlfn.XLOOKUP($D12,Tab_Def_Processes[Process_Name],Tab_Def_Processes[Stock_Configuration],,0,)</f>
        <v>0</v>
      </c>
      <c r="H12" s="3">
        <f>_xlfn.XLOOKUP($D12,Tab_Def_Processes[Process_Name],Tab_Def_Processes[Outflow_count],,0,)</f>
        <v>0</v>
      </c>
      <c r="I12" s="23"/>
      <c r="J12" s="19" t="str">
        <f>_xlfn.XLOOKUP($I12,Tab_Def_Flows[Flow_Name],Tab_Def_Flows[Flow_ID],,0,)</f>
        <v>F_01_01</v>
      </c>
      <c r="K12" s="12" t="str">
        <f t="shared" si="1"/>
        <v>TC_E1_01_01</v>
      </c>
      <c r="L12" s="25"/>
      <c r="M12" s="12" t="str">
        <f t="shared" si="2"/>
        <v>TC_E2_01_01</v>
      </c>
      <c r="N12" s="25"/>
      <c r="O12" s="12" t="str">
        <f t="shared" si="3"/>
        <v>TC_E3_01_01</v>
      </c>
      <c r="P12" s="25"/>
      <c r="Q12" s="3" t="str">
        <f t="shared" si="4"/>
        <v>TC_E4_01_01</v>
      </c>
      <c r="R12" s="25"/>
      <c r="S12" s="3" t="str">
        <f t="shared" si="5"/>
        <v>TC_E5_01_01</v>
      </c>
      <c r="T12" s="25"/>
      <c r="U12" s="3" t="str">
        <f t="shared" si="6"/>
        <v>TC_E5_01_01</v>
      </c>
      <c r="V12" s="25"/>
      <c r="W12" s="10"/>
      <c r="X12" s="10"/>
    </row>
    <row r="13" spans="1:24" x14ac:dyDescent="0.25">
      <c r="A13" s="27" t="b">
        <v>0</v>
      </c>
      <c r="B13" s="3">
        <f>ROW()-1</f>
        <v>12</v>
      </c>
      <c r="C13" s="17" t="str">
        <f>_xlfn.XLOOKUP($D13,Tab_Def_Processes[Process_Name],Tab_Def_Processes[ID],,0,)</f>
        <v>01</v>
      </c>
      <c r="D13" s="23"/>
      <c r="E13" s="3">
        <f>_xlfn.XLOOKUP($D13,Tab_Def_Processes[Process_Name],Tab_Def_Processes[Process_Logic],,0,)</f>
        <v>0</v>
      </c>
      <c r="F13" s="3">
        <f>_xlfn.XLOOKUP($D13,Tab_Def_Processes[Process_Name],Tab_Def_Processes[TC_Configuration],,0,)</f>
        <v>0</v>
      </c>
      <c r="G13" s="3">
        <f>_xlfn.XLOOKUP($D13,Tab_Def_Processes[Process_Name],Tab_Def_Processes[Stock_Configuration],,0,)</f>
        <v>0</v>
      </c>
      <c r="H13" s="3">
        <f>_xlfn.XLOOKUP($D13,Tab_Def_Processes[Process_Name],Tab_Def_Processes[Outflow_count],,0,)</f>
        <v>0</v>
      </c>
      <c r="I13" s="23"/>
      <c r="J13" s="19" t="str">
        <f>_xlfn.XLOOKUP($I13,Tab_Def_Flows[Flow_Name],Tab_Def_Flows[Flow_ID],,0,)</f>
        <v>F_01_01</v>
      </c>
      <c r="K13" s="12" t="str">
        <f t="shared" si="1"/>
        <v>TC_E1_01_01</v>
      </c>
      <c r="L13" s="25"/>
      <c r="M13" s="12" t="str">
        <f t="shared" si="2"/>
        <v>TC_E2_01_01</v>
      </c>
      <c r="N13" s="25"/>
      <c r="O13" s="12" t="str">
        <f t="shared" si="3"/>
        <v>TC_E3_01_01</v>
      </c>
      <c r="P13" s="25"/>
      <c r="Q13" s="3" t="str">
        <f t="shared" si="4"/>
        <v>TC_E4_01_01</v>
      </c>
      <c r="R13" s="25"/>
      <c r="S13" s="3" t="str">
        <f t="shared" si="5"/>
        <v>TC_E5_01_01</v>
      </c>
      <c r="T13" s="25"/>
      <c r="U13" s="3" t="str">
        <f t="shared" si="6"/>
        <v>TC_E5_01_01</v>
      </c>
      <c r="V13" s="25"/>
      <c r="W13" s="10"/>
      <c r="X13" s="10"/>
    </row>
    <row r="14" spans="1:24" x14ac:dyDescent="0.25">
      <c r="A14" s="27" t="b">
        <v>0</v>
      </c>
      <c r="B14" s="3">
        <f t="shared" si="0"/>
        <v>13</v>
      </c>
      <c r="C14" s="17" t="str">
        <f>_xlfn.XLOOKUP($D14,Tab_Def_Processes[Process_Name],Tab_Def_Processes[ID],,0,)</f>
        <v>01</v>
      </c>
      <c r="D14" s="23"/>
      <c r="E14" s="3">
        <f>_xlfn.XLOOKUP($D14,Tab_Def_Processes[Process_Name],Tab_Def_Processes[Process_Logic],,0,)</f>
        <v>0</v>
      </c>
      <c r="F14" s="3">
        <f>_xlfn.XLOOKUP($D14,Tab_Def_Processes[Process_Name],Tab_Def_Processes[TC_Configuration],,0,)</f>
        <v>0</v>
      </c>
      <c r="G14" s="3">
        <f>_xlfn.XLOOKUP($D14,Tab_Def_Processes[Process_Name],Tab_Def_Processes[Stock_Configuration],,0,)</f>
        <v>0</v>
      </c>
      <c r="H14" s="3">
        <f>_xlfn.XLOOKUP($D14,Tab_Def_Processes[Process_Name],Tab_Def_Processes[Outflow_count],,0,)</f>
        <v>0</v>
      </c>
      <c r="I14" s="23"/>
      <c r="J14" s="19" t="str">
        <f>_xlfn.XLOOKUP($I14,Tab_Def_Flows[Flow_Name],Tab_Def_Flows[Flow_ID],,0,)</f>
        <v>F_01_01</v>
      </c>
      <c r="K14" s="12" t="str">
        <f t="shared" si="1"/>
        <v>TC_E1_01_01</v>
      </c>
      <c r="L14" s="25"/>
      <c r="M14" s="12" t="str">
        <f t="shared" si="2"/>
        <v>TC_E2_01_01</v>
      </c>
      <c r="N14" s="25"/>
      <c r="O14" s="12" t="str">
        <f t="shared" si="3"/>
        <v>TC_E3_01_01</v>
      </c>
      <c r="P14" s="25"/>
      <c r="Q14" s="3" t="str">
        <f t="shared" si="4"/>
        <v>TC_E4_01_01</v>
      </c>
      <c r="R14" s="25"/>
      <c r="S14" s="3" t="str">
        <f t="shared" si="5"/>
        <v>TC_E5_01_01</v>
      </c>
      <c r="T14" s="25"/>
      <c r="U14" s="3" t="str">
        <f t="shared" si="6"/>
        <v>TC_E5_01_01</v>
      </c>
      <c r="V14" s="25"/>
      <c r="W14" s="10"/>
      <c r="X14" s="10"/>
    </row>
    <row r="15" spans="1:24" x14ac:dyDescent="0.25">
      <c r="A15" s="27" t="b">
        <v>0</v>
      </c>
      <c r="B15" s="3">
        <f t="shared" si="0"/>
        <v>14</v>
      </c>
      <c r="C15" s="17" t="str">
        <f>_xlfn.XLOOKUP($D15,Tab_Def_Processes[Process_Name],Tab_Def_Processes[ID],,0,)</f>
        <v>01</v>
      </c>
      <c r="D15" s="23"/>
      <c r="E15" s="3">
        <f>_xlfn.XLOOKUP($D15,Tab_Def_Processes[Process_Name],Tab_Def_Processes[Process_Logic],,0,)</f>
        <v>0</v>
      </c>
      <c r="F15" s="3">
        <f>_xlfn.XLOOKUP($D15,Tab_Def_Processes[Process_Name],Tab_Def_Processes[TC_Configuration],,0,)</f>
        <v>0</v>
      </c>
      <c r="G15" s="3">
        <f>_xlfn.XLOOKUP($D15,Tab_Def_Processes[Process_Name],Tab_Def_Processes[Stock_Configuration],,0,)</f>
        <v>0</v>
      </c>
      <c r="H15" s="3">
        <f>_xlfn.XLOOKUP($D15,Tab_Def_Processes[Process_Name],Tab_Def_Processes[Outflow_count],,0,)</f>
        <v>0</v>
      </c>
      <c r="I15" s="23"/>
      <c r="J15" s="19" t="str">
        <f>_xlfn.XLOOKUP($I15,Tab_Def_Flows[Flow_Name],Tab_Def_Flows[Flow_ID],,0,)</f>
        <v>F_01_01</v>
      </c>
      <c r="K15" s="12" t="str">
        <f t="shared" si="1"/>
        <v>TC_E1_01_01</v>
      </c>
      <c r="L15" s="25"/>
      <c r="M15" s="12" t="str">
        <f t="shared" si="2"/>
        <v>TC_E2_01_01</v>
      </c>
      <c r="N15" s="25"/>
      <c r="O15" s="12" t="str">
        <f t="shared" si="3"/>
        <v>TC_E3_01_01</v>
      </c>
      <c r="P15" s="25"/>
      <c r="Q15" s="3" t="str">
        <f t="shared" si="4"/>
        <v>TC_E4_01_01</v>
      </c>
      <c r="R15" s="25"/>
      <c r="S15" s="3" t="str">
        <f t="shared" si="5"/>
        <v>TC_E5_01_01</v>
      </c>
      <c r="T15" s="25"/>
      <c r="U15" s="3" t="str">
        <f t="shared" si="6"/>
        <v>TC_E5_01_01</v>
      </c>
      <c r="V15" s="25"/>
      <c r="W15" s="10"/>
      <c r="X15" s="10"/>
    </row>
    <row r="16" spans="1:24" x14ac:dyDescent="0.25">
      <c r="A16" s="27" t="b">
        <v>0</v>
      </c>
      <c r="B16" s="3">
        <f t="shared" si="0"/>
        <v>15</v>
      </c>
      <c r="C16" s="17" t="str">
        <f>_xlfn.XLOOKUP($D16,Tab_Def_Processes[Process_Name],Tab_Def_Processes[ID],,0,)</f>
        <v>01</v>
      </c>
      <c r="D16" s="23"/>
      <c r="E16" s="3">
        <f>_xlfn.XLOOKUP($D16,Tab_Def_Processes[Process_Name],Tab_Def_Processes[Process_Logic],,0,)</f>
        <v>0</v>
      </c>
      <c r="F16" s="3">
        <f>_xlfn.XLOOKUP($D16,Tab_Def_Processes[Process_Name],Tab_Def_Processes[TC_Configuration],,0,)</f>
        <v>0</v>
      </c>
      <c r="G16" s="3">
        <f>_xlfn.XLOOKUP($D16,Tab_Def_Processes[Process_Name],Tab_Def_Processes[Stock_Configuration],,0,)</f>
        <v>0</v>
      </c>
      <c r="H16" s="3">
        <f>_xlfn.XLOOKUP($D16,Tab_Def_Processes[Process_Name],Tab_Def_Processes[Outflow_count],,0,)</f>
        <v>0</v>
      </c>
      <c r="I16" s="23"/>
      <c r="J16" s="19" t="str">
        <f>_xlfn.XLOOKUP($I16,Tab_Def_Flows[Flow_Name],Tab_Def_Flows[Flow_ID],,0,)</f>
        <v>F_01_01</v>
      </c>
      <c r="K16" s="12" t="str">
        <f t="shared" si="1"/>
        <v>TC_E1_01_01</v>
      </c>
      <c r="L16" s="25"/>
      <c r="M16" s="12" t="str">
        <f t="shared" si="2"/>
        <v>TC_E2_01_01</v>
      </c>
      <c r="N16" s="25"/>
      <c r="O16" s="12" t="str">
        <f t="shared" si="3"/>
        <v>TC_E3_01_01</v>
      </c>
      <c r="P16" s="25"/>
      <c r="Q16" s="3" t="str">
        <f t="shared" si="4"/>
        <v>TC_E4_01_01</v>
      </c>
      <c r="R16" s="25"/>
      <c r="S16" s="3" t="str">
        <f t="shared" si="5"/>
        <v>TC_E5_01_01</v>
      </c>
      <c r="T16" s="25"/>
      <c r="U16" s="3" t="str">
        <f t="shared" si="6"/>
        <v>TC_E5_01_01</v>
      </c>
      <c r="V16" s="25"/>
      <c r="W16" s="10"/>
      <c r="X16" s="10"/>
    </row>
    <row r="17" spans="1:24" x14ac:dyDescent="0.25">
      <c r="A17" s="27" t="b">
        <v>0</v>
      </c>
      <c r="B17" s="3">
        <f t="shared" si="0"/>
        <v>16</v>
      </c>
      <c r="C17" s="17" t="str">
        <f>_xlfn.XLOOKUP($D17,Tab_Def_Processes[Process_Name],Tab_Def_Processes[ID],,0,)</f>
        <v>01</v>
      </c>
      <c r="D17" s="23"/>
      <c r="E17" s="3">
        <f>_xlfn.XLOOKUP($D17,Tab_Def_Processes[Process_Name],Tab_Def_Processes[Process_Logic],,0,)</f>
        <v>0</v>
      </c>
      <c r="F17" s="3">
        <f>_xlfn.XLOOKUP($D17,Tab_Def_Processes[Process_Name],Tab_Def_Processes[TC_Configuration],,0,)</f>
        <v>0</v>
      </c>
      <c r="G17" s="3">
        <f>_xlfn.XLOOKUP($D17,Tab_Def_Processes[Process_Name],Tab_Def_Processes[Stock_Configuration],,0,)</f>
        <v>0</v>
      </c>
      <c r="H17" s="3">
        <f>_xlfn.XLOOKUP($D17,Tab_Def_Processes[Process_Name],Tab_Def_Processes[Outflow_count],,0,)</f>
        <v>0</v>
      </c>
      <c r="I17" s="23"/>
      <c r="J17" s="19" t="str">
        <f>_xlfn.XLOOKUP($I17,Tab_Def_Flows[Flow_Name],Tab_Def_Flows[Flow_ID],,0,)</f>
        <v>F_01_01</v>
      </c>
      <c r="K17" s="12" t="str">
        <f t="shared" si="1"/>
        <v>TC_E1_01_01</v>
      </c>
      <c r="L17" s="25"/>
      <c r="M17" s="12" t="str">
        <f t="shared" si="2"/>
        <v>TC_E2_01_01</v>
      </c>
      <c r="N17" s="25"/>
      <c r="O17" s="12" t="str">
        <f t="shared" si="3"/>
        <v>TC_E3_01_01</v>
      </c>
      <c r="P17" s="25"/>
      <c r="Q17" s="3" t="str">
        <f t="shared" si="4"/>
        <v>TC_E4_01_01</v>
      </c>
      <c r="R17" s="25"/>
      <c r="S17" s="3" t="str">
        <f t="shared" si="5"/>
        <v>TC_E5_01_01</v>
      </c>
      <c r="T17" s="25"/>
      <c r="U17" s="3" t="str">
        <f t="shared" si="6"/>
        <v>TC_E5_01_01</v>
      </c>
      <c r="V17" s="25"/>
      <c r="W17" s="10"/>
      <c r="X17" s="10"/>
    </row>
    <row r="18" spans="1:24" x14ac:dyDescent="0.25">
      <c r="A18" s="27" t="b">
        <v>0</v>
      </c>
      <c r="B18" s="3">
        <f t="shared" si="0"/>
        <v>17</v>
      </c>
      <c r="C18" s="17" t="str">
        <f>_xlfn.XLOOKUP($D18,Tab_Def_Processes[Process_Name],Tab_Def_Processes[ID],,0,)</f>
        <v>01</v>
      </c>
      <c r="D18" s="23"/>
      <c r="E18" s="3">
        <f>_xlfn.XLOOKUP($D18,Tab_Def_Processes[Process_Name],Tab_Def_Processes[Process_Logic],,0,)</f>
        <v>0</v>
      </c>
      <c r="F18" s="3">
        <f>_xlfn.XLOOKUP($D18,Tab_Def_Processes[Process_Name],Tab_Def_Processes[TC_Configuration],,0,)</f>
        <v>0</v>
      </c>
      <c r="G18" s="3">
        <f>_xlfn.XLOOKUP($D18,Tab_Def_Processes[Process_Name],Tab_Def_Processes[Stock_Configuration],,0,)</f>
        <v>0</v>
      </c>
      <c r="H18" s="3">
        <f>_xlfn.XLOOKUP($D18,Tab_Def_Processes[Process_Name],Tab_Def_Processes[Outflow_count],,0,)</f>
        <v>0</v>
      </c>
      <c r="I18" s="23"/>
      <c r="J18" s="19" t="str">
        <f>_xlfn.XLOOKUP($I18,Tab_Def_Flows[Flow_Name],Tab_Def_Flows[Flow_ID],,0,)</f>
        <v>F_01_01</v>
      </c>
      <c r="K18" s="12" t="str">
        <f t="shared" si="1"/>
        <v>TC_E1_01_01</v>
      </c>
      <c r="L18" s="25"/>
      <c r="M18" s="12" t="str">
        <f t="shared" si="2"/>
        <v>TC_E2_01_01</v>
      </c>
      <c r="N18" s="25"/>
      <c r="O18" s="12" t="str">
        <f t="shared" si="3"/>
        <v>TC_E3_01_01</v>
      </c>
      <c r="P18" s="25"/>
      <c r="Q18" s="3" t="str">
        <f t="shared" si="4"/>
        <v>TC_E4_01_01</v>
      </c>
      <c r="R18" s="25"/>
      <c r="S18" s="3" t="str">
        <f t="shared" si="5"/>
        <v>TC_E5_01_01</v>
      </c>
      <c r="T18" s="25"/>
      <c r="U18" s="3" t="str">
        <f t="shared" si="6"/>
        <v>TC_E5_01_01</v>
      </c>
      <c r="V18" s="25"/>
      <c r="W18" s="55"/>
      <c r="X18" s="10"/>
    </row>
    <row r="19" spans="1:24" x14ac:dyDescent="0.25">
      <c r="A19" s="27" t="b">
        <v>0</v>
      </c>
      <c r="B19" s="3">
        <f t="shared" si="0"/>
        <v>18</v>
      </c>
      <c r="C19" s="17" t="str">
        <f>_xlfn.XLOOKUP($D19,Tab_Def_Processes[Process_Name],Tab_Def_Processes[ID],,0,)</f>
        <v>01</v>
      </c>
      <c r="D19" s="23"/>
      <c r="E19" s="3">
        <f>_xlfn.XLOOKUP($D19,Tab_Def_Processes[Process_Name],Tab_Def_Processes[Process_Logic],,0,)</f>
        <v>0</v>
      </c>
      <c r="F19" s="3">
        <f>_xlfn.XLOOKUP($D19,Tab_Def_Processes[Process_Name],Tab_Def_Processes[TC_Configuration],,0,)</f>
        <v>0</v>
      </c>
      <c r="G19" s="3">
        <f>_xlfn.XLOOKUP($D19,Tab_Def_Processes[Process_Name],Tab_Def_Processes[Stock_Configuration],,0,)</f>
        <v>0</v>
      </c>
      <c r="H19" s="3">
        <f>_xlfn.XLOOKUP($D19,Tab_Def_Processes[Process_Name],Tab_Def_Processes[Outflow_count],,0,)</f>
        <v>0</v>
      </c>
      <c r="I19" s="23"/>
      <c r="J19" s="19" t="str">
        <f>_xlfn.XLOOKUP($I19,Tab_Def_Flows[Flow_Name],Tab_Def_Flows[Flow_ID],,0,)</f>
        <v>F_01_01</v>
      </c>
      <c r="K19" s="12" t="str">
        <f t="shared" si="1"/>
        <v>TC_E1_01_01</v>
      </c>
      <c r="L19" s="25"/>
      <c r="M19" s="12" t="str">
        <f t="shared" si="2"/>
        <v>TC_E2_01_01</v>
      </c>
      <c r="N19" s="25"/>
      <c r="O19" s="12" t="str">
        <f t="shared" si="3"/>
        <v>TC_E3_01_01</v>
      </c>
      <c r="P19" s="25"/>
      <c r="Q19" s="3" t="str">
        <f t="shared" si="4"/>
        <v>TC_E4_01_01</v>
      </c>
      <c r="R19" s="25"/>
      <c r="S19" s="3" t="str">
        <f t="shared" si="5"/>
        <v>TC_E5_01_01</v>
      </c>
      <c r="T19" s="25"/>
      <c r="U19" s="3" t="str">
        <f t="shared" si="6"/>
        <v>TC_E5_01_01</v>
      </c>
      <c r="V19" s="25"/>
      <c r="W19" s="10"/>
      <c r="X19" s="10"/>
    </row>
    <row r="20" spans="1:24" x14ac:dyDescent="0.25">
      <c r="A20" s="27" t="b">
        <v>0</v>
      </c>
      <c r="B20" s="3">
        <f t="shared" si="0"/>
        <v>19</v>
      </c>
      <c r="C20" s="17" t="str">
        <f>_xlfn.XLOOKUP($D20,Tab_Def_Processes[Process_Name],Tab_Def_Processes[ID],,0,)</f>
        <v>01</v>
      </c>
      <c r="D20" s="23"/>
      <c r="E20" s="3">
        <f>_xlfn.XLOOKUP($D20,Tab_Def_Processes[Process_Name],Tab_Def_Processes[Process_Logic],,0,)</f>
        <v>0</v>
      </c>
      <c r="F20" s="3">
        <f>_xlfn.XLOOKUP($D20,Tab_Def_Processes[Process_Name],Tab_Def_Processes[TC_Configuration],,0,)</f>
        <v>0</v>
      </c>
      <c r="G20" s="3">
        <f>_xlfn.XLOOKUP($D20,Tab_Def_Processes[Process_Name],Tab_Def_Processes[Stock_Configuration],,0,)</f>
        <v>0</v>
      </c>
      <c r="H20" s="3">
        <f>_xlfn.XLOOKUP($D20,Tab_Def_Processes[Process_Name],Tab_Def_Processes[Outflow_count],,0,)</f>
        <v>0</v>
      </c>
      <c r="I20" s="23"/>
      <c r="J20" s="19" t="str">
        <f>_xlfn.XLOOKUP($I20,Tab_Def_Flows[Flow_Name],Tab_Def_Flows[Flow_ID],,0,)</f>
        <v>F_01_01</v>
      </c>
      <c r="K20" s="12" t="str">
        <f t="shared" si="1"/>
        <v>TC_E1_01_01</v>
      </c>
      <c r="L20" s="25"/>
      <c r="M20" s="12" t="str">
        <f t="shared" si="2"/>
        <v>TC_E2_01_01</v>
      </c>
      <c r="N20" s="25"/>
      <c r="O20" s="12" t="str">
        <f t="shared" si="3"/>
        <v>TC_E3_01_01</v>
      </c>
      <c r="P20" s="25"/>
      <c r="Q20" s="3" t="str">
        <f t="shared" si="4"/>
        <v>TC_E4_01_01</v>
      </c>
      <c r="R20" s="25"/>
      <c r="S20" s="3" t="str">
        <f t="shared" si="5"/>
        <v>TC_E5_01_01</v>
      </c>
      <c r="T20" s="25"/>
      <c r="U20" s="3" t="str">
        <f t="shared" si="6"/>
        <v>TC_E5_01_01</v>
      </c>
      <c r="V20" s="25"/>
      <c r="W20" s="10"/>
      <c r="X20" s="10"/>
    </row>
    <row r="21" spans="1:24" x14ac:dyDescent="0.25">
      <c r="A21" s="27" t="b">
        <v>0</v>
      </c>
      <c r="B21" s="3">
        <f t="shared" si="0"/>
        <v>20</v>
      </c>
      <c r="C21" s="17" t="str">
        <f>_xlfn.XLOOKUP($D21,Tab_Def_Processes[Process_Name],Tab_Def_Processes[ID],,0,)</f>
        <v>01</v>
      </c>
      <c r="D21" s="23"/>
      <c r="E21" s="3">
        <f>_xlfn.XLOOKUP($D21,Tab_Def_Processes[Process_Name],Tab_Def_Processes[Process_Logic],,0,)</f>
        <v>0</v>
      </c>
      <c r="F21" s="3">
        <f>_xlfn.XLOOKUP($D21,Tab_Def_Processes[Process_Name],Tab_Def_Processes[TC_Configuration],,0,)</f>
        <v>0</v>
      </c>
      <c r="G21" s="3">
        <f>_xlfn.XLOOKUP($D21,Tab_Def_Processes[Process_Name],Tab_Def_Processes[Stock_Configuration],,0,)</f>
        <v>0</v>
      </c>
      <c r="H21" s="3">
        <f>_xlfn.XLOOKUP($D21,Tab_Def_Processes[Process_Name],Tab_Def_Processes[Outflow_count],,0,)</f>
        <v>0</v>
      </c>
      <c r="I21" s="23"/>
      <c r="J21" s="19" t="str">
        <f>_xlfn.XLOOKUP($I21,Tab_Def_Flows[Flow_Name],Tab_Def_Flows[Flow_ID],,0,)</f>
        <v>F_01_01</v>
      </c>
      <c r="K21" s="12" t="str">
        <f t="shared" si="1"/>
        <v>TC_E1_01_01</v>
      </c>
      <c r="L21" s="25"/>
      <c r="M21" s="12" t="str">
        <f t="shared" si="2"/>
        <v>TC_E2_01_01</v>
      </c>
      <c r="N21" s="25"/>
      <c r="O21" s="12" t="str">
        <f t="shared" si="3"/>
        <v>TC_E3_01_01</v>
      </c>
      <c r="P21" s="25"/>
      <c r="Q21" s="3" t="str">
        <f t="shared" si="4"/>
        <v>TC_E4_01_01</v>
      </c>
      <c r="R21" s="25"/>
      <c r="S21" s="3" t="str">
        <f t="shared" si="5"/>
        <v>TC_E5_01_01</v>
      </c>
      <c r="T21" s="25"/>
      <c r="U21" s="3" t="str">
        <f t="shared" si="6"/>
        <v>TC_E5_01_01</v>
      </c>
      <c r="V21" s="25"/>
      <c r="W21" s="10"/>
      <c r="X21" s="10"/>
    </row>
    <row r="22" spans="1:24" x14ac:dyDescent="0.25">
      <c r="A22" s="27" t="b">
        <v>0</v>
      </c>
      <c r="B22" s="3">
        <f t="shared" si="0"/>
        <v>21</v>
      </c>
      <c r="C22" s="17" t="str">
        <f>_xlfn.XLOOKUP($D22,Tab_Def_Processes[Process_Name],Tab_Def_Processes[ID],,0,)</f>
        <v>01</v>
      </c>
      <c r="D22" s="23"/>
      <c r="E22" s="3">
        <f>_xlfn.XLOOKUP($D22,Tab_Def_Processes[Process_Name],Tab_Def_Processes[Process_Logic],,0,)</f>
        <v>0</v>
      </c>
      <c r="F22" s="3">
        <f>_xlfn.XLOOKUP($D22,Tab_Def_Processes[Process_Name],Tab_Def_Processes[TC_Configuration],,0,)</f>
        <v>0</v>
      </c>
      <c r="G22" s="3">
        <f>_xlfn.XLOOKUP($D22,Tab_Def_Processes[Process_Name],Tab_Def_Processes[Stock_Configuration],,0,)</f>
        <v>0</v>
      </c>
      <c r="H22" s="3">
        <f>_xlfn.XLOOKUP($D22,Tab_Def_Processes[Process_Name],Tab_Def_Processes[Outflow_count],,0,)</f>
        <v>0</v>
      </c>
      <c r="I22" s="23"/>
      <c r="J22" s="19" t="str">
        <f>_xlfn.XLOOKUP($I22,Tab_Def_Flows[Flow_Name],Tab_Def_Flows[Flow_ID],,0,)</f>
        <v>F_01_01</v>
      </c>
      <c r="K22" s="12" t="str">
        <f t="shared" si="1"/>
        <v>TC_E1_01_01</v>
      </c>
      <c r="L22" s="25"/>
      <c r="M22" s="12" t="str">
        <f t="shared" si="2"/>
        <v>TC_E2_01_01</v>
      </c>
      <c r="N22" s="25"/>
      <c r="O22" s="12" t="str">
        <f t="shared" si="3"/>
        <v>TC_E3_01_01</v>
      </c>
      <c r="P22" s="25"/>
      <c r="Q22" s="3" t="str">
        <f t="shared" si="4"/>
        <v>TC_E4_01_01</v>
      </c>
      <c r="R22" s="25"/>
      <c r="S22" s="3" t="str">
        <f t="shared" si="5"/>
        <v>TC_E5_01_01</v>
      </c>
      <c r="T22" s="25"/>
      <c r="U22" s="3" t="str">
        <f t="shared" si="6"/>
        <v>TC_E5_01_01</v>
      </c>
      <c r="V22" s="25"/>
      <c r="W22" s="10"/>
      <c r="X22" s="10"/>
    </row>
    <row r="23" spans="1:24" x14ac:dyDescent="0.25">
      <c r="A23" s="27" t="b">
        <v>0</v>
      </c>
      <c r="B23" s="3">
        <f t="shared" si="0"/>
        <v>22</v>
      </c>
      <c r="C23" s="17" t="str">
        <f>_xlfn.XLOOKUP($D23,Tab_Def_Processes[Process_Name],Tab_Def_Processes[ID],,0,)</f>
        <v>01</v>
      </c>
      <c r="D23" s="23"/>
      <c r="E23" s="3">
        <f>_xlfn.XLOOKUP($D23,Tab_Def_Processes[Process_Name],Tab_Def_Processes[Process_Logic],,0,)</f>
        <v>0</v>
      </c>
      <c r="F23" s="3">
        <f>_xlfn.XLOOKUP($D23,Tab_Def_Processes[Process_Name],Tab_Def_Processes[TC_Configuration],,0,)</f>
        <v>0</v>
      </c>
      <c r="G23" s="3">
        <f>_xlfn.XLOOKUP($D23,Tab_Def_Processes[Process_Name],Tab_Def_Processes[Stock_Configuration],,0,)</f>
        <v>0</v>
      </c>
      <c r="H23" s="3">
        <f>_xlfn.XLOOKUP($D23,Tab_Def_Processes[Process_Name],Tab_Def_Processes[Outflow_count],,0,)</f>
        <v>0</v>
      </c>
      <c r="I23" s="23"/>
      <c r="J23" s="19" t="str">
        <f>_xlfn.XLOOKUP($I23,Tab_Def_Flows[Flow_Name],Tab_Def_Flows[Flow_ID],,0,)</f>
        <v>F_01_01</v>
      </c>
      <c r="K23" s="12" t="str">
        <f t="shared" si="1"/>
        <v>TC_E1_01_01</v>
      </c>
      <c r="L23" s="25"/>
      <c r="M23" s="12" t="str">
        <f t="shared" si="2"/>
        <v>TC_E2_01_01</v>
      </c>
      <c r="N23" s="25"/>
      <c r="O23" s="12" t="str">
        <f t="shared" si="3"/>
        <v>TC_E3_01_01</v>
      </c>
      <c r="P23" s="25"/>
      <c r="Q23" s="3" t="str">
        <f t="shared" si="4"/>
        <v>TC_E4_01_01</v>
      </c>
      <c r="R23" s="25"/>
      <c r="S23" s="3" t="str">
        <f t="shared" si="5"/>
        <v>TC_E5_01_01</v>
      </c>
      <c r="T23" s="25"/>
      <c r="U23" s="3" t="str">
        <f t="shared" si="6"/>
        <v>TC_E5_01_01</v>
      </c>
      <c r="V23" s="25"/>
      <c r="W23" s="10"/>
      <c r="X23" s="10"/>
    </row>
    <row r="24" spans="1:24" x14ac:dyDescent="0.25">
      <c r="A24" s="27" t="b">
        <v>0</v>
      </c>
      <c r="B24" s="3">
        <f t="shared" si="0"/>
        <v>23</v>
      </c>
      <c r="C24" s="17" t="str">
        <f>_xlfn.XLOOKUP($D24,Tab_Def_Processes[Process_Name],Tab_Def_Processes[ID],,0,)</f>
        <v>01</v>
      </c>
      <c r="D24" s="23"/>
      <c r="E24" s="3">
        <f>_xlfn.XLOOKUP($D24,Tab_Def_Processes[Process_Name],Tab_Def_Processes[Process_Logic],,0,)</f>
        <v>0</v>
      </c>
      <c r="F24" s="3">
        <f>_xlfn.XLOOKUP($D24,Tab_Def_Processes[Process_Name],Tab_Def_Processes[TC_Configuration],,0,)</f>
        <v>0</v>
      </c>
      <c r="G24" s="3">
        <f>_xlfn.XLOOKUP($D24,Tab_Def_Processes[Process_Name],Tab_Def_Processes[Stock_Configuration],,0,)</f>
        <v>0</v>
      </c>
      <c r="H24" s="3">
        <f>_xlfn.XLOOKUP($D24,Tab_Def_Processes[Process_Name],Tab_Def_Processes[Outflow_count],,0,)</f>
        <v>0</v>
      </c>
      <c r="I24" s="23"/>
      <c r="J24" s="19" t="str">
        <f>_xlfn.XLOOKUP($I24,Tab_Def_Flows[Flow_Name],Tab_Def_Flows[Flow_ID],,0,)</f>
        <v>F_01_01</v>
      </c>
      <c r="K24" s="12" t="str">
        <f t="shared" si="1"/>
        <v>TC_E1_01_01</v>
      </c>
      <c r="L24" s="25"/>
      <c r="M24" s="12" t="str">
        <f t="shared" si="2"/>
        <v>TC_E2_01_01</v>
      </c>
      <c r="N24" s="25"/>
      <c r="O24" s="12" t="str">
        <f t="shared" si="3"/>
        <v>TC_E3_01_01</v>
      </c>
      <c r="P24" s="25"/>
      <c r="Q24" s="3" t="str">
        <f t="shared" si="4"/>
        <v>TC_E4_01_01</v>
      </c>
      <c r="R24" s="25"/>
      <c r="S24" s="3" t="str">
        <f t="shared" si="5"/>
        <v>TC_E5_01_01</v>
      </c>
      <c r="T24" s="25"/>
      <c r="U24" s="3" t="str">
        <f t="shared" si="6"/>
        <v>TC_E5_01_01</v>
      </c>
      <c r="V24" s="25"/>
      <c r="W24" s="10"/>
      <c r="X24" s="10"/>
    </row>
    <row r="25" spans="1:24" x14ac:dyDescent="0.25">
      <c r="A25" s="27" t="b">
        <v>0</v>
      </c>
      <c r="B25" s="3">
        <f>ROW()-1</f>
        <v>24</v>
      </c>
      <c r="C25" s="17" t="str">
        <f>_xlfn.XLOOKUP($D25,Tab_Def_Processes[Process_Name],Tab_Def_Processes[ID],,0,)</f>
        <v>01</v>
      </c>
      <c r="D25" s="23"/>
      <c r="E25" s="3">
        <f>_xlfn.XLOOKUP($D25,Tab_Def_Processes[Process_Name],Tab_Def_Processes[Process_Logic],,0,)</f>
        <v>0</v>
      </c>
      <c r="F25" s="3">
        <f>_xlfn.XLOOKUP($D25,Tab_Def_Processes[Process_Name],Tab_Def_Processes[TC_Configuration],,0,)</f>
        <v>0</v>
      </c>
      <c r="G25" s="3">
        <f>_xlfn.XLOOKUP($D25,Tab_Def_Processes[Process_Name],Tab_Def_Processes[Stock_Configuration],,0,)</f>
        <v>0</v>
      </c>
      <c r="H25" s="3">
        <f>_xlfn.XLOOKUP($D25,Tab_Def_Processes[Process_Name],Tab_Def_Processes[Outflow_count],,0,)</f>
        <v>0</v>
      </c>
      <c r="I25" s="23"/>
      <c r="J25" s="19" t="str">
        <f>_xlfn.XLOOKUP($I25,Tab_Def_Flows[Flow_Name],Tab_Def_Flows[Flow_ID],,0,)</f>
        <v>F_01_01</v>
      </c>
      <c r="K25" s="12" t="str">
        <f t="shared" si="1"/>
        <v>TC_E1_01_01</v>
      </c>
      <c r="L25" s="25"/>
      <c r="M25" s="12" t="str">
        <f t="shared" si="2"/>
        <v>TC_E2_01_01</v>
      </c>
      <c r="N25" s="25"/>
      <c r="O25" s="12" t="str">
        <f t="shared" si="3"/>
        <v>TC_E3_01_01</v>
      </c>
      <c r="P25" s="25"/>
      <c r="Q25" s="3" t="str">
        <f t="shared" si="4"/>
        <v>TC_E4_01_01</v>
      </c>
      <c r="R25" s="25"/>
      <c r="S25" s="3" t="str">
        <f t="shared" si="5"/>
        <v>TC_E5_01_01</v>
      </c>
      <c r="T25" s="25"/>
      <c r="U25" s="3" t="str">
        <f t="shared" si="6"/>
        <v>TC_E5_01_01</v>
      </c>
      <c r="V25" s="25"/>
      <c r="W25" s="10"/>
      <c r="X25" s="10"/>
    </row>
    <row r="26" spans="1:24" x14ac:dyDescent="0.25">
      <c r="A26" s="27" t="b">
        <v>0</v>
      </c>
      <c r="B26" s="3">
        <f t="shared" si="0"/>
        <v>25</v>
      </c>
      <c r="C26" s="17" t="str">
        <f>_xlfn.XLOOKUP($D26,Tab_Def_Processes[Process_Name],Tab_Def_Processes[ID],,0,)</f>
        <v>01</v>
      </c>
      <c r="D26" s="23"/>
      <c r="E26" s="3">
        <f>_xlfn.XLOOKUP($D26,Tab_Def_Processes[Process_Name],Tab_Def_Processes[Process_Logic],,0,)</f>
        <v>0</v>
      </c>
      <c r="F26" s="3">
        <f>_xlfn.XLOOKUP($D26,Tab_Def_Processes[Process_Name],Tab_Def_Processes[TC_Configuration],,0,)</f>
        <v>0</v>
      </c>
      <c r="G26" s="3">
        <f>_xlfn.XLOOKUP($D26,Tab_Def_Processes[Process_Name],Tab_Def_Processes[Stock_Configuration],,0,)</f>
        <v>0</v>
      </c>
      <c r="H26" s="3">
        <f>_xlfn.XLOOKUP($D26,Tab_Def_Processes[Process_Name],Tab_Def_Processes[Outflow_count],,0,)</f>
        <v>0</v>
      </c>
      <c r="I26" s="23"/>
      <c r="J26" s="19" t="str">
        <f>_xlfn.XLOOKUP($I26,Tab_Def_Flows[Flow_Name],Tab_Def_Flows[Flow_ID],,0,)</f>
        <v>F_01_01</v>
      </c>
      <c r="K26" s="12" t="str">
        <f t="shared" si="1"/>
        <v>TC_E1_01_01</v>
      </c>
      <c r="L26" s="25"/>
      <c r="M26" s="12" t="str">
        <f t="shared" si="2"/>
        <v>TC_E2_01_01</v>
      </c>
      <c r="N26" s="25"/>
      <c r="O26" s="12" t="str">
        <f t="shared" si="3"/>
        <v>TC_E3_01_01</v>
      </c>
      <c r="P26" s="25"/>
      <c r="Q26" s="3" t="str">
        <f t="shared" si="4"/>
        <v>TC_E4_01_01</v>
      </c>
      <c r="R26" s="25"/>
      <c r="S26" s="3" t="str">
        <f t="shared" si="5"/>
        <v>TC_E5_01_01</v>
      </c>
      <c r="T26" s="25"/>
      <c r="U26" s="3" t="str">
        <f t="shared" si="6"/>
        <v>TC_E5_01_01</v>
      </c>
      <c r="V26" s="25"/>
      <c r="W26" s="10"/>
      <c r="X26" s="10"/>
    </row>
    <row r="27" spans="1:24" x14ac:dyDescent="0.25">
      <c r="A27" s="27" t="b">
        <v>0</v>
      </c>
      <c r="B27" s="3">
        <f t="shared" si="0"/>
        <v>26</v>
      </c>
      <c r="C27" s="17" t="str">
        <f>_xlfn.XLOOKUP($D27,Tab_Def_Processes[Process_Name],Tab_Def_Processes[ID],,0,)</f>
        <v>01</v>
      </c>
      <c r="D27" s="23"/>
      <c r="E27" s="3">
        <f>_xlfn.XLOOKUP($D27,Tab_Def_Processes[Process_Name],Tab_Def_Processes[Process_Logic],,0,)</f>
        <v>0</v>
      </c>
      <c r="F27" s="3">
        <f>_xlfn.XLOOKUP($D27,Tab_Def_Processes[Process_Name],Tab_Def_Processes[TC_Configuration],,0,)</f>
        <v>0</v>
      </c>
      <c r="G27" s="3">
        <f>_xlfn.XLOOKUP($D27,Tab_Def_Processes[Process_Name],Tab_Def_Processes[Stock_Configuration],,0,)</f>
        <v>0</v>
      </c>
      <c r="H27" s="3">
        <f>_xlfn.XLOOKUP($D27,Tab_Def_Processes[Process_Name],Tab_Def_Processes[Outflow_count],,0,)</f>
        <v>0</v>
      </c>
      <c r="I27" s="23"/>
      <c r="J27" s="19" t="str">
        <f>_xlfn.XLOOKUP($I27,Tab_Def_Flows[Flow_Name],Tab_Def_Flows[Flow_ID],,0,)</f>
        <v>F_01_01</v>
      </c>
      <c r="K27" s="12" t="str">
        <f t="shared" si="1"/>
        <v>TC_E1_01_01</v>
      </c>
      <c r="L27" s="25"/>
      <c r="M27" s="12" t="str">
        <f t="shared" si="2"/>
        <v>TC_E2_01_01</v>
      </c>
      <c r="N27" s="25"/>
      <c r="O27" s="12" t="str">
        <f t="shared" si="3"/>
        <v>TC_E3_01_01</v>
      </c>
      <c r="P27" s="25"/>
      <c r="Q27" s="3" t="str">
        <f t="shared" si="4"/>
        <v>TC_E4_01_01</v>
      </c>
      <c r="R27" s="25"/>
      <c r="S27" s="3" t="str">
        <f t="shared" si="5"/>
        <v>TC_E5_01_01</v>
      </c>
      <c r="T27" s="25"/>
      <c r="U27" s="3" t="str">
        <f t="shared" si="6"/>
        <v>TC_E5_01_01</v>
      </c>
      <c r="V27" s="25"/>
      <c r="W27" s="10"/>
      <c r="X27" s="10"/>
    </row>
    <row r="28" spans="1:24" x14ac:dyDescent="0.25">
      <c r="A28" s="27" t="b">
        <v>0</v>
      </c>
      <c r="B28" s="3">
        <f t="shared" si="0"/>
        <v>27</v>
      </c>
      <c r="C28" s="17" t="str">
        <f>_xlfn.XLOOKUP($D28,Tab_Def_Processes[Process_Name],Tab_Def_Processes[ID],,0,)</f>
        <v>01</v>
      </c>
      <c r="D28" s="23"/>
      <c r="E28" s="3">
        <f>_xlfn.XLOOKUP($D28,Tab_Def_Processes[Process_Name],Tab_Def_Processes[Process_Logic],,0,)</f>
        <v>0</v>
      </c>
      <c r="F28" s="3">
        <f>_xlfn.XLOOKUP($D28,Tab_Def_Processes[Process_Name],Tab_Def_Processes[TC_Configuration],,0,)</f>
        <v>0</v>
      </c>
      <c r="G28" s="3">
        <f>_xlfn.XLOOKUP($D28,Tab_Def_Processes[Process_Name],Tab_Def_Processes[Stock_Configuration],,0,)</f>
        <v>0</v>
      </c>
      <c r="H28" s="3">
        <f>_xlfn.XLOOKUP($D28,Tab_Def_Processes[Process_Name],Tab_Def_Processes[Outflow_count],,0,)</f>
        <v>0</v>
      </c>
      <c r="I28" s="23"/>
      <c r="J28" s="19" t="str">
        <f>_xlfn.XLOOKUP($I28,Tab_Def_Flows[Flow_Name],Tab_Def_Flows[Flow_ID],,0,)</f>
        <v>F_01_01</v>
      </c>
      <c r="K28" s="12" t="str">
        <f t="shared" si="1"/>
        <v>TC_E1_01_01</v>
      </c>
      <c r="L28" s="25"/>
      <c r="M28" s="12" t="str">
        <f t="shared" si="2"/>
        <v>TC_E2_01_01</v>
      </c>
      <c r="N28" s="25"/>
      <c r="O28" s="12" t="str">
        <f t="shared" si="3"/>
        <v>TC_E3_01_01</v>
      </c>
      <c r="P28" s="25"/>
      <c r="Q28" s="3" t="str">
        <f t="shared" si="4"/>
        <v>TC_E4_01_01</v>
      </c>
      <c r="R28" s="25"/>
      <c r="S28" s="3" t="str">
        <f t="shared" si="5"/>
        <v>TC_E5_01_01</v>
      </c>
      <c r="T28" s="25"/>
      <c r="U28" s="3" t="str">
        <f t="shared" si="6"/>
        <v>TC_E5_01_01</v>
      </c>
      <c r="V28" s="25"/>
      <c r="W28" s="10"/>
      <c r="X28" s="10"/>
    </row>
    <row r="29" spans="1:24" x14ac:dyDescent="0.25">
      <c r="A29" s="27" t="b">
        <v>0</v>
      </c>
      <c r="B29" s="3">
        <f t="shared" si="0"/>
        <v>28</v>
      </c>
      <c r="C29" s="17" t="str">
        <f>_xlfn.XLOOKUP($D29,Tab_Def_Processes[Process_Name],Tab_Def_Processes[ID],,0,)</f>
        <v>01</v>
      </c>
      <c r="D29" s="23"/>
      <c r="E29" s="3">
        <f>_xlfn.XLOOKUP($D29,Tab_Def_Processes[Process_Name],Tab_Def_Processes[Process_Logic],,0,)</f>
        <v>0</v>
      </c>
      <c r="F29" s="3">
        <f>_xlfn.XLOOKUP($D29,Tab_Def_Processes[Process_Name],Tab_Def_Processes[TC_Configuration],,0,)</f>
        <v>0</v>
      </c>
      <c r="G29" s="3">
        <f>_xlfn.XLOOKUP($D29,Tab_Def_Processes[Process_Name],Tab_Def_Processes[Stock_Configuration],,0,)</f>
        <v>0</v>
      </c>
      <c r="H29" s="3">
        <f>_xlfn.XLOOKUP($D29,Tab_Def_Processes[Process_Name],Tab_Def_Processes[Outflow_count],,0,)</f>
        <v>0</v>
      </c>
      <c r="I29" s="23"/>
      <c r="J29" s="19" t="str">
        <f>_xlfn.XLOOKUP($I29,Tab_Def_Flows[Flow_Name],Tab_Def_Flows[Flow_ID],,0,)</f>
        <v>F_01_01</v>
      </c>
      <c r="K29" s="12" t="str">
        <f t="shared" si="1"/>
        <v>TC_E1_01_01</v>
      </c>
      <c r="L29" s="25"/>
      <c r="M29" s="12" t="str">
        <f t="shared" si="2"/>
        <v>TC_E2_01_01</v>
      </c>
      <c r="N29" s="25"/>
      <c r="O29" s="12" t="str">
        <f t="shared" si="3"/>
        <v>TC_E3_01_01</v>
      </c>
      <c r="P29" s="25"/>
      <c r="Q29" s="3" t="str">
        <f t="shared" si="4"/>
        <v>TC_E4_01_01</v>
      </c>
      <c r="R29" s="25"/>
      <c r="S29" s="3" t="str">
        <f t="shared" si="5"/>
        <v>TC_E5_01_01</v>
      </c>
      <c r="T29" s="25"/>
      <c r="U29" s="3" t="str">
        <f t="shared" si="6"/>
        <v>TC_E5_01_01</v>
      </c>
      <c r="V29" s="25"/>
      <c r="W29" s="10"/>
      <c r="X29" s="10"/>
    </row>
    <row r="30" spans="1:24" x14ac:dyDescent="0.25">
      <c r="A30" s="27" t="b">
        <v>0</v>
      </c>
      <c r="B30" s="3">
        <f t="shared" si="0"/>
        <v>29</v>
      </c>
      <c r="C30" s="17" t="str">
        <f>_xlfn.XLOOKUP($D30,Tab_Def_Processes[Process_Name],Tab_Def_Processes[ID],,0,)</f>
        <v>01</v>
      </c>
      <c r="D30" s="23"/>
      <c r="E30" s="3">
        <f>_xlfn.XLOOKUP($D30,Tab_Def_Processes[Process_Name],Tab_Def_Processes[Process_Logic],,0,)</f>
        <v>0</v>
      </c>
      <c r="F30" s="3">
        <f>_xlfn.XLOOKUP($D30,Tab_Def_Processes[Process_Name],Tab_Def_Processes[TC_Configuration],,0,)</f>
        <v>0</v>
      </c>
      <c r="G30" s="3">
        <f>_xlfn.XLOOKUP($D30,Tab_Def_Processes[Process_Name],Tab_Def_Processes[Stock_Configuration],,0,)</f>
        <v>0</v>
      </c>
      <c r="H30" s="3">
        <f>_xlfn.XLOOKUP($D30,Tab_Def_Processes[Process_Name],Tab_Def_Processes[Outflow_count],,0,)</f>
        <v>0</v>
      </c>
      <c r="I30" s="23"/>
      <c r="J30" s="19" t="str">
        <f>_xlfn.XLOOKUP($I30,Tab_Def_Flows[Flow_Name],Tab_Def_Flows[Flow_ID],,0,)</f>
        <v>F_01_01</v>
      </c>
      <c r="K30" s="12" t="str">
        <f t="shared" si="1"/>
        <v>TC_E1_01_01</v>
      </c>
      <c r="L30" s="25"/>
      <c r="M30" s="12" t="str">
        <f t="shared" si="2"/>
        <v>TC_E2_01_01</v>
      </c>
      <c r="N30" s="25"/>
      <c r="O30" s="12" t="str">
        <f t="shared" si="3"/>
        <v>TC_E3_01_01</v>
      </c>
      <c r="P30" s="25"/>
      <c r="Q30" s="3" t="str">
        <f t="shared" si="4"/>
        <v>TC_E4_01_01</v>
      </c>
      <c r="R30" s="25"/>
      <c r="S30" s="3" t="str">
        <f t="shared" si="5"/>
        <v>TC_E5_01_01</v>
      </c>
      <c r="T30" s="25"/>
      <c r="U30" s="3" t="str">
        <f t="shared" si="6"/>
        <v>TC_E5_01_01</v>
      </c>
      <c r="V30" s="25"/>
      <c r="W30" s="10"/>
      <c r="X30" s="10"/>
    </row>
    <row r="31" spans="1:24" x14ac:dyDescent="0.25">
      <c r="A31" s="27" t="b">
        <v>0</v>
      </c>
      <c r="B31" s="3">
        <f t="shared" si="0"/>
        <v>30</v>
      </c>
      <c r="C31" s="17" t="str">
        <f>_xlfn.XLOOKUP($D31,Tab_Def_Processes[Process_Name],Tab_Def_Processes[ID],,0,)</f>
        <v>01</v>
      </c>
      <c r="D31" s="23"/>
      <c r="E31" s="3">
        <f>_xlfn.XLOOKUP($D31,Tab_Def_Processes[Process_Name],Tab_Def_Processes[Process_Logic],,0,)</f>
        <v>0</v>
      </c>
      <c r="F31" s="3">
        <f>_xlfn.XLOOKUP($D31,Tab_Def_Processes[Process_Name],Tab_Def_Processes[TC_Configuration],,0,)</f>
        <v>0</v>
      </c>
      <c r="G31" s="3">
        <f>_xlfn.XLOOKUP($D31,Tab_Def_Processes[Process_Name],Tab_Def_Processes[Stock_Configuration],,0,)</f>
        <v>0</v>
      </c>
      <c r="H31" s="3">
        <f>_xlfn.XLOOKUP($D31,Tab_Def_Processes[Process_Name],Tab_Def_Processes[Outflow_count],,0,)</f>
        <v>0</v>
      </c>
      <c r="I31" s="23"/>
      <c r="J31" s="19" t="str">
        <f>_xlfn.XLOOKUP($I31,Tab_Def_Flows[Flow_Name],Tab_Def_Flows[Flow_ID],,0,)</f>
        <v>F_01_01</v>
      </c>
      <c r="K31" s="12" t="str">
        <f t="shared" si="1"/>
        <v>TC_E1_01_01</v>
      </c>
      <c r="L31" s="25"/>
      <c r="M31" s="12" t="str">
        <f t="shared" si="2"/>
        <v>TC_E2_01_01</v>
      </c>
      <c r="N31" s="25"/>
      <c r="O31" s="12" t="str">
        <f t="shared" si="3"/>
        <v>TC_E3_01_01</v>
      </c>
      <c r="P31" s="25"/>
      <c r="Q31" s="3" t="str">
        <f t="shared" si="4"/>
        <v>TC_E4_01_01</v>
      </c>
      <c r="R31" s="25"/>
      <c r="S31" s="3" t="str">
        <f t="shared" si="5"/>
        <v>TC_E5_01_01</v>
      </c>
      <c r="T31" s="25"/>
      <c r="U31" s="3" t="str">
        <f t="shared" si="6"/>
        <v>TC_E5_01_01</v>
      </c>
      <c r="V31" s="25"/>
      <c r="W31" s="10"/>
      <c r="X31" s="10"/>
    </row>
    <row r="32" spans="1:24" x14ac:dyDescent="0.25">
      <c r="A32" s="27" t="b">
        <v>0</v>
      </c>
      <c r="B32" s="3">
        <f t="shared" si="0"/>
        <v>31</v>
      </c>
      <c r="C32" s="17" t="str">
        <f>_xlfn.XLOOKUP($D32,Tab_Def_Processes[Process_Name],Tab_Def_Processes[ID],,0,)</f>
        <v>01</v>
      </c>
      <c r="D32" s="23"/>
      <c r="E32" s="3">
        <f>_xlfn.XLOOKUP($D32,Tab_Def_Processes[Process_Name],Tab_Def_Processes[Process_Logic],,0,)</f>
        <v>0</v>
      </c>
      <c r="F32" s="3">
        <f>_xlfn.XLOOKUP($D32,Tab_Def_Processes[Process_Name],Tab_Def_Processes[TC_Configuration],,0,)</f>
        <v>0</v>
      </c>
      <c r="G32" s="3">
        <f>_xlfn.XLOOKUP($D32,Tab_Def_Processes[Process_Name],Tab_Def_Processes[Stock_Configuration],,0,)</f>
        <v>0</v>
      </c>
      <c r="H32" s="3">
        <f>_xlfn.XLOOKUP($D32,Tab_Def_Processes[Process_Name],Tab_Def_Processes[Outflow_count],,0,)</f>
        <v>0</v>
      </c>
      <c r="I32" s="23"/>
      <c r="J32" s="19" t="str">
        <f>_xlfn.XLOOKUP($I32,Tab_Def_Flows[Flow_Name],Tab_Def_Flows[Flow_ID],,0,)</f>
        <v>F_01_01</v>
      </c>
      <c r="K32" s="12" t="str">
        <f t="shared" si="1"/>
        <v>TC_E1_01_01</v>
      </c>
      <c r="L32" s="25"/>
      <c r="M32" s="12" t="str">
        <f t="shared" si="2"/>
        <v>TC_E2_01_01</v>
      </c>
      <c r="N32" s="25"/>
      <c r="O32" s="12" t="str">
        <f t="shared" si="3"/>
        <v>TC_E3_01_01</v>
      </c>
      <c r="P32" s="25"/>
      <c r="Q32" s="3" t="str">
        <f t="shared" si="4"/>
        <v>TC_E4_01_01</v>
      </c>
      <c r="R32" s="25"/>
      <c r="S32" s="3" t="str">
        <f t="shared" si="5"/>
        <v>TC_E5_01_01</v>
      </c>
      <c r="T32" s="25"/>
      <c r="U32" s="3" t="str">
        <f t="shared" si="6"/>
        <v>TC_E5_01_01</v>
      </c>
      <c r="V32" s="25"/>
      <c r="W32" s="10"/>
      <c r="X32" s="10"/>
    </row>
    <row r="33" spans="1:24" x14ac:dyDescent="0.25">
      <c r="A33" s="27" t="b">
        <v>0</v>
      </c>
      <c r="B33" s="3">
        <f t="shared" si="0"/>
        <v>32</v>
      </c>
      <c r="C33" s="17" t="str">
        <f>_xlfn.XLOOKUP($D33,Tab_Def_Processes[Process_Name],Tab_Def_Processes[ID],,0,)</f>
        <v>01</v>
      </c>
      <c r="D33" s="23"/>
      <c r="E33" s="3">
        <f>_xlfn.XLOOKUP($D33,Tab_Def_Processes[Process_Name],Tab_Def_Processes[Process_Logic],,0,)</f>
        <v>0</v>
      </c>
      <c r="F33" s="3">
        <f>_xlfn.XLOOKUP($D33,Tab_Def_Processes[Process_Name],Tab_Def_Processes[TC_Configuration],,0,)</f>
        <v>0</v>
      </c>
      <c r="G33" s="3">
        <f>_xlfn.XLOOKUP($D33,Tab_Def_Processes[Process_Name],Tab_Def_Processes[Stock_Configuration],,0,)</f>
        <v>0</v>
      </c>
      <c r="H33" s="3">
        <f>_xlfn.XLOOKUP($D33,Tab_Def_Processes[Process_Name],Tab_Def_Processes[Outflow_count],,0,)</f>
        <v>0</v>
      </c>
      <c r="I33" s="23"/>
      <c r="J33" s="19" t="str">
        <f>_xlfn.XLOOKUP($I33,Tab_Def_Flows[Flow_Name],Tab_Def_Flows[Flow_ID],,0,)</f>
        <v>F_01_01</v>
      </c>
      <c r="K33" s="12" t="str">
        <f t="shared" si="1"/>
        <v>TC_E1_01_01</v>
      </c>
      <c r="L33" s="25"/>
      <c r="M33" s="12" t="str">
        <f t="shared" si="2"/>
        <v>TC_E2_01_01</v>
      </c>
      <c r="N33" s="25"/>
      <c r="O33" s="12" t="str">
        <f t="shared" si="3"/>
        <v>TC_E3_01_01</v>
      </c>
      <c r="P33" s="25"/>
      <c r="Q33" s="3" t="str">
        <f t="shared" si="4"/>
        <v>TC_E4_01_01</v>
      </c>
      <c r="R33" s="25"/>
      <c r="S33" s="3" t="str">
        <f t="shared" si="5"/>
        <v>TC_E5_01_01</v>
      </c>
      <c r="T33" s="25"/>
      <c r="U33" s="3" t="str">
        <f t="shared" si="6"/>
        <v>TC_E5_01_01</v>
      </c>
      <c r="V33" s="25"/>
      <c r="W33" s="10"/>
      <c r="X33" s="10"/>
    </row>
    <row r="34" spans="1:24" x14ac:dyDescent="0.25">
      <c r="A34" s="27" t="b">
        <v>0</v>
      </c>
      <c r="B34" s="3">
        <f t="shared" si="0"/>
        <v>33</v>
      </c>
      <c r="C34" s="17" t="str">
        <f>_xlfn.XLOOKUP($D34,Tab_Def_Processes[Process_Name],Tab_Def_Processes[ID],,0,)</f>
        <v>01</v>
      </c>
      <c r="D34" s="23"/>
      <c r="E34" s="3">
        <f>_xlfn.XLOOKUP($D34,Tab_Def_Processes[Process_Name],Tab_Def_Processes[Process_Logic],,0,)</f>
        <v>0</v>
      </c>
      <c r="F34" s="3">
        <f>_xlfn.XLOOKUP($D34,Tab_Def_Processes[Process_Name],Tab_Def_Processes[TC_Configuration],,0,)</f>
        <v>0</v>
      </c>
      <c r="G34" s="3">
        <f>_xlfn.XLOOKUP($D34,Tab_Def_Processes[Process_Name],Tab_Def_Processes[Stock_Configuration],,0,)</f>
        <v>0</v>
      </c>
      <c r="H34" s="3">
        <f>_xlfn.XLOOKUP($D34,Tab_Def_Processes[Process_Name],Tab_Def_Processes[Outflow_count],,0,)</f>
        <v>0</v>
      </c>
      <c r="I34" s="23"/>
      <c r="J34" s="19" t="str">
        <f>_xlfn.XLOOKUP($I34,Tab_Def_Flows[Flow_Name],Tab_Def_Flows[Flow_ID],,0,)</f>
        <v>F_01_01</v>
      </c>
      <c r="K34" s="12" t="str">
        <f t="shared" si="1"/>
        <v>TC_E1_01_01</v>
      </c>
      <c r="L34" s="25"/>
      <c r="M34" s="12" t="str">
        <f t="shared" si="2"/>
        <v>TC_E2_01_01</v>
      </c>
      <c r="N34" s="25"/>
      <c r="O34" s="12" t="str">
        <f t="shared" si="3"/>
        <v>TC_E3_01_01</v>
      </c>
      <c r="P34" s="25"/>
      <c r="Q34" s="3" t="str">
        <f t="shared" si="4"/>
        <v>TC_E4_01_01</v>
      </c>
      <c r="R34" s="25"/>
      <c r="S34" s="3" t="str">
        <f t="shared" si="5"/>
        <v>TC_E5_01_01</v>
      </c>
      <c r="T34" s="25"/>
      <c r="U34" s="3" t="str">
        <f t="shared" si="6"/>
        <v>TC_E5_01_01</v>
      </c>
      <c r="V34" s="25"/>
      <c r="W34" s="10"/>
      <c r="X34" s="10"/>
    </row>
    <row r="35" spans="1:24" x14ac:dyDescent="0.25">
      <c r="A35" s="27" t="b">
        <v>0</v>
      </c>
      <c r="B35" s="3">
        <f t="shared" si="0"/>
        <v>34</v>
      </c>
      <c r="C35" s="17" t="str">
        <f>_xlfn.XLOOKUP($D35,Tab_Def_Processes[Process_Name],Tab_Def_Processes[ID],,0,)</f>
        <v>01</v>
      </c>
      <c r="D35" s="23"/>
      <c r="E35" s="3">
        <f>_xlfn.XLOOKUP($D35,Tab_Def_Processes[Process_Name],Tab_Def_Processes[Process_Logic],,0,)</f>
        <v>0</v>
      </c>
      <c r="F35" s="3">
        <f>_xlfn.XLOOKUP($D35,Tab_Def_Processes[Process_Name],Tab_Def_Processes[TC_Configuration],,0,)</f>
        <v>0</v>
      </c>
      <c r="G35" s="3">
        <f>_xlfn.XLOOKUP($D35,Tab_Def_Processes[Process_Name],Tab_Def_Processes[Stock_Configuration],,0,)</f>
        <v>0</v>
      </c>
      <c r="H35" s="3">
        <f>_xlfn.XLOOKUP($D35,Tab_Def_Processes[Process_Name],Tab_Def_Processes[Outflow_count],,0,)</f>
        <v>0</v>
      </c>
      <c r="I35" s="23"/>
      <c r="J35" s="19" t="str">
        <f>_xlfn.XLOOKUP($I35,Tab_Def_Flows[Flow_Name],Tab_Def_Flows[Flow_ID],,0,)</f>
        <v>F_01_01</v>
      </c>
      <c r="K35" s="12" t="str">
        <f t="shared" si="1"/>
        <v>TC_E1_01_01</v>
      </c>
      <c r="L35" s="25"/>
      <c r="M35" s="12" t="str">
        <f t="shared" si="2"/>
        <v>TC_E2_01_01</v>
      </c>
      <c r="N35" s="25"/>
      <c r="O35" s="12" t="str">
        <f t="shared" si="3"/>
        <v>TC_E3_01_01</v>
      </c>
      <c r="P35" s="25"/>
      <c r="Q35" s="3" t="str">
        <f t="shared" si="4"/>
        <v>TC_E4_01_01</v>
      </c>
      <c r="R35" s="25"/>
      <c r="S35" s="3" t="str">
        <f t="shared" si="5"/>
        <v>TC_E5_01_01</v>
      </c>
      <c r="T35" s="25"/>
      <c r="U35" s="3" t="str">
        <f t="shared" si="6"/>
        <v>TC_E5_01_01</v>
      </c>
      <c r="V35" s="25"/>
      <c r="W35" s="10"/>
      <c r="X35" s="10"/>
    </row>
    <row r="36" spans="1:24" x14ac:dyDescent="0.25">
      <c r="A36" s="27" t="b">
        <v>0</v>
      </c>
      <c r="B36" s="3">
        <f t="shared" si="0"/>
        <v>35</v>
      </c>
      <c r="C36" s="17" t="str">
        <f>_xlfn.XLOOKUP($D36,Tab_Def_Processes[Process_Name],Tab_Def_Processes[ID],,0,)</f>
        <v>01</v>
      </c>
      <c r="D36" s="23"/>
      <c r="E36" s="3">
        <f>_xlfn.XLOOKUP($D36,Tab_Def_Processes[Process_Name],Tab_Def_Processes[Process_Logic],,0,)</f>
        <v>0</v>
      </c>
      <c r="F36" s="3">
        <f>_xlfn.XLOOKUP($D36,Tab_Def_Processes[Process_Name],Tab_Def_Processes[TC_Configuration],,0,)</f>
        <v>0</v>
      </c>
      <c r="G36" s="3">
        <f>_xlfn.XLOOKUP($D36,Tab_Def_Processes[Process_Name],Tab_Def_Processes[Stock_Configuration],,0,)</f>
        <v>0</v>
      </c>
      <c r="H36" s="3">
        <f>_xlfn.XLOOKUP($D36,Tab_Def_Processes[Process_Name],Tab_Def_Processes[Outflow_count],,0,)</f>
        <v>0</v>
      </c>
      <c r="I36" s="23"/>
      <c r="J36" s="19" t="str">
        <f>_xlfn.XLOOKUP($I36,Tab_Def_Flows[Flow_Name],Tab_Def_Flows[Flow_ID],,0,)</f>
        <v>F_01_01</v>
      </c>
      <c r="K36" s="12" t="str">
        <f t="shared" si="1"/>
        <v>TC_E1_01_01</v>
      </c>
      <c r="L36" s="25"/>
      <c r="M36" s="12" t="str">
        <f t="shared" si="2"/>
        <v>TC_E2_01_01</v>
      </c>
      <c r="N36" s="25"/>
      <c r="O36" s="12" t="str">
        <f t="shared" si="3"/>
        <v>TC_E3_01_01</v>
      </c>
      <c r="P36" s="25"/>
      <c r="Q36" s="3" t="str">
        <f t="shared" si="4"/>
        <v>TC_E4_01_01</v>
      </c>
      <c r="R36" s="25"/>
      <c r="S36" s="3" t="str">
        <f t="shared" si="5"/>
        <v>TC_E5_01_01</v>
      </c>
      <c r="T36" s="25"/>
      <c r="U36" s="3" t="str">
        <f t="shared" si="6"/>
        <v>TC_E5_01_01</v>
      </c>
      <c r="V36" s="25"/>
      <c r="W36" s="10"/>
      <c r="X36" s="10"/>
    </row>
    <row r="37" spans="1:24" x14ac:dyDescent="0.25">
      <c r="A37" s="27" t="b">
        <v>0</v>
      </c>
      <c r="B37" s="3">
        <f t="shared" si="0"/>
        <v>36</v>
      </c>
      <c r="C37" s="17" t="str">
        <f>_xlfn.XLOOKUP($D37,Tab_Def_Processes[Process_Name],Tab_Def_Processes[ID],,0,)</f>
        <v>01</v>
      </c>
      <c r="D37" s="23"/>
      <c r="E37" s="3">
        <f>_xlfn.XLOOKUP($D37,Tab_Def_Processes[Process_Name],Tab_Def_Processes[Process_Logic],,0,)</f>
        <v>0</v>
      </c>
      <c r="F37" s="3">
        <f>_xlfn.XLOOKUP($D37,Tab_Def_Processes[Process_Name],Tab_Def_Processes[TC_Configuration],,0,)</f>
        <v>0</v>
      </c>
      <c r="G37" s="3">
        <f>_xlfn.XLOOKUP($D37,Tab_Def_Processes[Process_Name],Tab_Def_Processes[Stock_Configuration],,0,)</f>
        <v>0</v>
      </c>
      <c r="H37" s="3">
        <f>_xlfn.XLOOKUP($D37,Tab_Def_Processes[Process_Name],Tab_Def_Processes[Outflow_count],,0,)</f>
        <v>0</v>
      </c>
      <c r="I37" s="23"/>
      <c r="J37" s="19" t="str">
        <f>_xlfn.XLOOKUP($I37,Tab_Def_Flows[Flow_Name],Tab_Def_Flows[Flow_ID],,0,)</f>
        <v>F_01_01</v>
      </c>
      <c r="K37" s="12" t="str">
        <f t="shared" si="1"/>
        <v>TC_E1_01_01</v>
      </c>
      <c r="L37" s="25"/>
      <c r="M37" s="12" t="str">
        <f t="shared" si="2"/>
        <v>TC_E2_01_01</v>
      </c>
      <c r="N37" s="25"/>
      <c r="O37" s="12" t="str">
        <f t="shared" si="3"/>
        <v>TC_E3_01_01</v>
      </c>
      <c r="P37" s="25"/>
      <c r="Q37" s="3" t="str">
        <f t="shared" si="4"/>
        <v>TC_E4_01_01</v>
      </c>
      <c r="R37" s="25"/>
      <c r="S37" s="3" t="str">
        <f t="shared" si="5"/>
        <v>TC_E5_01_01</v>
      </c>
      <c r="T37" s="25"/>
      <c r="U37" s="3" t="str">
        <f t="shared" si="6"/>
        <v>TC_E5_01_01</v>
      </c>
      <c r="V37" s="25"/>
      <c r="W37" s="10"/>
      <c r="X37" s="10"/>
    </row>
    <row r="38" spans="1:24" x14ac:dyDescent="0.25">
      <c r="A38" s="27" t="b">
        <v>0</v>
      </c>
      <c r="B38" s="3">
        <f t="shared" si="0"/>
        <v>37</v>
      </c>
      <c r="C38" s="17" t="str">
        <f>_xlfn.XLOOKUP($D38,Tab_Def_Processes[Process_Name],Tab_Def_Processes[ID],,0,)</f>
        <v>01</v>
      </c>
      <c r="D38" s="23"/>
      <c r="E38" s="3">
        <f>_xlfn.XLOOKUP($D38,Tab_Def_Processes[Process_Name],Tab_Def_Processes[Process_Logic],,0,)</f>
        <v>0</v>
      </c>
      <c r="F38" s="3">
        <f>_xlfn.XLOOKUP($D38,Tab_Def_Processes[Process_Name],Tab_Def_Processes[TC_Configuration],,0,)</f>
        <v>0</v>
      </c>
      <c r="G38" s="3">
        <f>_xlfn.XLOOKUP($D38,Tab_Def_Processes[Process_Name],Tab_Def_Processes[Stock_Configuration],,0,)</f>
        <v>0</v>
      </c>
      <c r="H38" s="3">
        <f>_xlfn.XLOOKUP($D38,Tab_Def_Processes[Process_Name],Tab_Def_Processes[Outflow_count],,0,)</f>
        <v>0</v>
      </c>
      <c r="I38" s="23"/>
      <c r="J38" s="19" t="str">
        <f>_xlfn.XLOOKUP($I38,Tab_Def_Flows[Flow_Name],Tab_Def_Flows[Flow_ID],,0,)</f>
        <v>F_01_01</v>
      </c>
      <c r="K38" s="12" t="str">
        <f t="shared" si="1"/>
        <v>TC_E1_01_01</v>
      </c>
      <c r="L38" s="25"/>
      <c r="M38" s="12" t="str">
        <f t="shared" si="2"/>
        <v>TC_E2_01_01</v>
      </c>
      <c r="N38" s="25"/>
      <c r="O38" s="12" t="str">
        <f t="shared" si="3"/>
        <v>TC_E3_01_01</v>
      </c>
      <c r="P38" s="25"/>
      <c r="Q38" s="3" t="str">
        <f t="shared" si="4"/>
        <v>TC_E4_01_01</v>
      </c>
      <c r="R38" s="25"/>
      <c r="S38" s="3" t="str">
        <f t="shared" si="5"/>
        <v>TC_E5_01_01</v>
      </c>
      <c r="T38" s="25"/>
      <c r="U38" s="3" t="str">
        <f t="shared" si="6"/>
        <v>TC_E5_01_01</v>
      </c>
      <c r="V38" s="25"/>
      <c r="W38" s="10"/>
      <c r="X38" s="10"/>
    </row>
    <row r="39" spans="1:24" x14ac:dyDescent="0.25">
      <c r="A39" s="27" t="b">
        <v>0</v>
      </c>
      <c r="B39" s="3">
        <f t="shared" si="0"/>
        <v>38</v>
      </c>
      <c r="C39" s="17" t="str">
        <f>_xlfn.XLOOKUP($D39,Tab_Def_Processes[Process_Name],Tab_Def_Processes[ID],,0,)</f>
        <v>01</v>
      </c>
      <c r="D39" s="23"/>
      <c r="E39" s="3">
        <f>_xlfn.XLOOKUP($D39,Tab_Def_Processes[Process_Name],Tab_Def_Processes[Process_Logic],,0,)</f>
        <v>0</v>
      </c>
      <c r="F39" s="3">
        <f>_xlfn.XLOOKUP($D39,Tab_Def_Processes[Process_Name],Tab_Def_Processes[TC_Configuration],,0,)</f>
        <v>0</v>
      </c>
      <c r="G39" s="3">
        <f>_xlfn.XLOOKUP($D39,Tab_Def_Processes[Process_Name],Tab_Def_Processes[Stock_Configuration],,0,)</f>
        <v>0</v>
      </c>
      <c r="H39" s="3">
        <f>_xlfn.XLOOKUP($D39,Tab_Def_Processes[Process_Name],Tab_Def_Processes[Outflow_count],,0,)</f>
        <v>0</v>
      </c>
      <c r="I39" s="23"/>
      <c r="J39" s="19" t="str">
        <f>_xlfn.XLOOKUP($I39,Tab_Def_Flows[Flow_Name],Tab_Def_Flows[Flow_ID],,0,)</f>
        <v>F_01_01</v>
      </c>
      <c r="K39" s="12" t="str">
        <f t="shared" si="1"/>
        <v>TC_E1_01_01</v>
      </c>
      <c r="L39" s="25"/>
      <c r="M39" s="12" t="str">
        <f t="shared" si="2"/>
        <v>TC_E2_01_01</v>
      </c>
      <c r="N39" s="25"/>
      <c r="O39" s="12" t="str">
        <f t="shared" si="3"/>
        <v>TC_E3_01_01</v>
      </c>
      <c r="P39" s="25"/>
      <c r="Q39" s="3" t="str">
        <f t="shared" si="4"/>
        <v>TC_E4_01_01</v>
      </c>
      <c r="R39" s="25"/>
      <c r="S39" s="3" t="str">
        <f t="shared" si="5"/>
        <v>TC_E5_01_01</v>
      </c>
      <c r="T39" s="25"/>
      <c r="U39" s="3" t="str">
        <f t="shared" si="6"/>
        <v>TC_E5_01_01</v>
      </c>
      <c r="V39" s="25"/>
      <c r="W39" s="10"/>
      <c r="X39" s="10"/>
    </row>
    <row r="40" spans="1:24" x14ac:dyDescent="0.25">
      <c r="A40" s="27" t="b">
        <v>0</v>
      </c>
      <c r="B40" s="3">
        <f t="shared" si="0"/>
        <v>39</v>
      </c>
      <c r="C40" s="17" t="str">
        <f>_xlfn.XLOOKUP($D40,Tab_Def_Processes[Process_Name],Tab_Def_Processes[ID],,0,)</f>
        <v>01</v>
      </c>
      <c r="D40" s="23"/>
      <c r="E40" s="3">
        <f>_xlfn.XLOOKUP($D40,Tab_Def_Processes[Process_Name],Tab_Def_Processes[Process_Logic],,0,)</f>
        <v>0</v>
      </c>
      <c r="F40" s="3">
        <f>_xlfn.XLOOKUP($D40,Tab_Def_Processes[Process_Name],Tab_Def_Processes[TC_Configuration],,0,)</f>
        <v>0</v>
      </c>
      <c r="G40" s="3">
        <f>_xlfn.XLOOKUP($D40,Tab_Def_Processes[Process_Name],Tab_Def_Processes[Stock_Configuration],,0,)</f>
        <v>0</v>
      </c>
      <c r="H40" s="3">
        <f>_xlfn.XLOOKUP($D40,Tab_Def_Processes[Process_Name],Tab_Def_Processes[Outflow_count],,0,)</f>
        <v>0</v>
      </c>
      <c r="I40" s="23"/>
      <c r="J40" s="19" t="str">
        <f>_xlfn.XLOOKUP($I40,Tab_Def_Flows[Flow_Name],Tab_Def_Flows[Flow_ID],,0,)</f>
        <v>F_01_01</v>
      </c>
      <c r="K40" s="12" t="str">
        <f t="shared" si="1"/>
        <v>TC_E1_01_01</v>
      </c>
      <c r="L40" s="25"/>
      <c r="M40" s="12" t="str">
        <f t="shared" si="2"/>
        <v>TC_E2_01_01</v>
      </c>
      <c r="N40" s="25"/>
      <c r="O40" s="12" t="str">
        <f t="shared" si="3"/>
        <v>TC_E3_01_01</v>
      </c>
      <c r="P40" s="25"/>
      <c r="Q40" s="3" t="str">
        <f t="shared" si="4"/>
        <v>TC_E4_01_01</v>
      </c>
      <c r="R40" s="25"/>
      <c r="S40" s="3" t="str">
        <f t="shared" si="5"/>
        <v>TC_E5_01_01</v>
      </c>
      <c r="T40" s="25"/>
      <c r="U40" s="3" t="str">
        <f t="shared" si="6"/>
        <v>TC_E5_01_01</v>
      </c>
      <c r="V40" s="25"/>
      <c r="W40" s="10"/>
      <c r="X40" s="10"/>
    </row>
    <row r="41" spans="1:24" x14ac:dyDescent="0.25">
      <c r="A41" s="27" t="b">
        <v>0</v>
      </c>
      <c r="B41" s="3">
        <f t="shared" si="0"/>
        <v>40</v>
      </c>
      <c r="C41" s="17" t="str">
        <f>_xlfn.XLOOKUP($D41,Tab_Def_Processes[Process_Name],Tab_Def_Processes[ID],,0,)</f>
        <v>01</v>
      </c>
      <c r="D41" s="23"/>
      <c r="E41" s="3">
        <f>_xlfn.XLOOKUP($D41,Tab_Def_Processes[Process_Name],Tab_Def_Processes[Process_Logic],,0,)</f>
        <v>0</v>
      </c>
      <c r="F41" s="3">
        <f>_xlfn.XLOOKUP($D41,Tab_Def_Processes[Process_Name],Tab_Def_Processes[TC_Configuration],,0,)</f>
        <v>0</v>
      </c>
      <c r="G41" s="3">
        <f>_xlfn.XLOOKUP($D41,Tab_Def_Processes[Process_Name],Tab_Def_Processes[Stock_Configuration],,0,)</f>
        <v>0</v>
      </c>
      <c r="H41" s="3">
        <f>_xlfn.XLOOKUP($D41,Tab_Def_Processes[Process_Name],Tab_Def_Processes[Outflow_count],,0,)</f>
        <v>0</v>
      </c>
      <c r="I41" s="23"/>
      <c r="J41" s="19" t="str">
        <f>_xlfn.XLOOKUP($I41,Tab_Def_Flows[Flow_Name],Tab_Def_Flows[Flow_ID],,0,)</f>
        <v>F_01_01</v>
      </c>
      <c r="K41" s="12" t="str">
        <f t="shared" si="1"/>
        <v>TC_E1_01_01</v>
      </c>
      <c r="L41" s="25"/>
      <c r="M41" s="12" t="str">
        <f t="shared" si="2"/>
        <v>TC_E2_01_01</v>
      </c>
      <c r="N41" s="25"/>
      <c r="O41" s="12" t="str">
        <f t="shared" si="3"/>
        <v>TC_E3_01_01</v>
      </c>
      <c r="P41" s="25"/>
      <c r="Q41" s="3" t="str">
        <f t="shared" si="4"/>
        <v>TC_E4_01_01</v>
      </c>
      <c r="R41" s="25"/>
      <c r="S41" s="3" t="str">
        <f t="shared" si="5"/>
        <v>TC_E5_01_01</v>
      </c>
      <c r="T41" s="25"/>
      <c r="U41" s="3" t="str">
        <f t="shared" si="6"/>
        <v>TC_E5_01_01</v>
      </c>
      <c r="V41" s="25"/>
      <c r="W41" s="10"/>
      <c r="X41" s="10"/>
    </row>
    <row r="42" spans="1:24" x14ac:dyDescent="0.25">
      <c r="A42" s="27" t="b">
        <v>0</v>
      </c>
      <c r="B42" s="3">
        <f t="shared" si="0"/>
        <v>41</v>
      </c>
      <c r="C42" s="17" t="str">
        <f>_xlfn.XLOOKUP($D42,Tab_Def_Processes[Process_Name],Tab_Def_Processes[ID],,0,)</f>
        <v>01</v>
      </c>
      <c r="D42" s="23"/>
      <c r="E42" s="3">
        <f>_xlfn.XLOOKUP($D42,Tab_Def_Processes[Process_Name],Tab_Def_Processes[Process_Logic],,0,)</f>
        <v>0</v>
      </c>
      <c r="F42" s="3">
        <f>_xlfn.XLOOKUP($D42,Tab_Def_Processes[Process_Name],Tab_Def_Processes[TC_Configuration],,0,)</f>
        <v>0</v>
      </c>
      <c r="G42" s="3">
        <f>_xlfn.XLOOKUP($D42,Tab_Def_Processes[Process_Name],Tab_Def_Processes[Stock_Configuration],,0,)</f>
        <v>0</v>
      </c>
      <c r="H42" s="3">
        <f>_xlfn.XLOOKUP($D42,Tab_Def_Processes[Process_Name],Tab_Def_Processes[Outflow_count],,0,)</f>
        <v>0</v>
      </c>
      <c r="I42" s="23"/>
      <c r="J42" s="19" t="str">
        <f>_xlfn.XLOOKUP($I42,Tab_Def_Flows[Flow_Name],Tab_Def_Flows[Flow_ID],,0,)</f>
        <v>F_01_01</v>
      </c>
      <c r="K42" s="12" t="str">
        <f t="shared" si="1"/>
        <v>TC_E1_01_01</v>
      </c>
      <c r="L42" s="25"/>
      <c r="M42" s="12" t="str">
        <f t="shared" si="2"/>
        <v>TC_E2_01_01</v>
      </c>
      <c r="N42" s="25"/>
      <c r="O42" s="12" t="str">
        <f t="shared" si="3"/>
        <v>TC_E3_01_01</v>
      </c>
      <c r="P42" s="25"/>
      <c r="Q42" s="3" t="str">
        <f t="shared" si="4"/>
        <v>TC_E4_01_01</v>
      </c>
      <c r="R42" s="25"/>
      <c r="S42" s="3" t="str">
        <f t="shared" si="5"/>
        <v>TC_E5_01_01</v>
      </c>
      <c r="T42" s="25"/>
      <c r="U42" s="3" t="str">
        <f t="shared" si="6"/>
        <v>TC_E5_01_01</v>
      </c>
      <c r="V42" s="25"/>
      <c r="W42" s="10"/>
      <c r="X42" s="10"/>
    </row>
    <row r="43" spans="1:24" x14ac:dyDescent="0.25">
      <c r="A43" s="27" t="b">
        <v>0</v>
      </c>
      <c r="B43" s="3">
        <f t="shared" si="0"/>
        <v>42</v>
      </c>
      <c r="C43" s="17" t="str">
        <f>_xlfn.XLOOKUP($D43,Tab_Def_Processes[Process_Name],Tab_Def_Processes[ID],,0,)</f>
        <v>01</v>
      </c>
      <c r="D43" s="23"/>
      <c r="E43" s="3">
        <f>_xlfn.XLOOKUP($D43,Tab_Def_Processes[Process_Name],Tab_Def_Processes[Process_Logic],,0,)</f>
        <v>0</v>
      </c>
      <c r="F43" s="3">
        <f>_xlfn.XLOOKUP($D43,Tab_Def_Processes[Process_Name],Tab_Def_Processes[TC_Configuration],,0,)</f>
        <v>0</v>
      </c>
      <c r="G43" s="3">
        <f>_xlfn.XLOOKUP($D43,Tab_Def_Processes[Process_Name],Tab_Def_Processes[Stock_Configuration],,0,)</f>
        <v>0</v>
      </c>
      <c r="H43" s="3">
        <f>_xlfn.XLOOKUP($D43,Tab_Def_Processes[Process_Name],Tab_Def_Processes[Outflow_count],,0,)</f>
        <v>0</v>
      </c>
      <c r="I43" s="23"/>
      <c r="J43" s="19" t="str">
        <f>_xlfn.XLOOKUP($I43,Tab_Def_Flows[Flow_Name],Tab_Def_Flows[Flow_ID],,0,)</f>
        <v>F_01_01</v>
      </c>
      <c r="K43" s="12" t="str">
        <f t="shared" si="1"/>
        <v>TC_E1_01_01</v>
      </c>
      <c r="L43" s="25"/>
      <c r="M43" s="12" t="str">
        <f t="shared" si="2"/>
        <v>TC_E2_01_01</v>
      </c>
      <c r="N43" s="25"/>
      <c r="O43" s="12" t="str">
        <f t="shared" si="3"/>
        <v>TC_E3_01_01</v>
      </c>
      <c r="P43" s="25"/>
      <c r="Q43" s="3" t="str">
        <f t="shared" si="4"/>
        <v>TC_E4_01_01</v>
      </c>
      <c r="R43" s="25"/>
      <c r="S43" s="3" t="str">
        <f t="shared" si="5"/>
        <v>TC_E5_01_01</v>
      </c>
      <c r="T43" s="25"/>
      <c r="U43" s="3" t="str">
        <f t="shared" si="6"/>
        <v>TC_E5_01_01</v>
      </c>
      <c r="V43" s="25"/>
      <c r="W43" s="10"/>
      <c r="X43" s="10"/>
    </row>
    <row r="44" spans="1:24" x14ac:dyDescent="0.25">
      <c r="A44" s="27" t="b">
        <v>0</v>
      </c>
      <c r="B44" s="3">
        <f t="shared" si="0"/>
        <v>43</v>
      </c>
      <c r="C44" s="17" t="str">
        <f>_xlfn.XLOOKUP($D44,Tab_Def_Processes[Process_Name],Tab_Def_Processes[ID],,0,)</f>
        <v>01</v>
      </c>
      <c r="D44" s="23"/>
      <c r="E44" s="3">
        <f>_xlfn.XLOOKUP($D44,Tab_Def_Processes[Process_Name],Tab_Def_Processes[Process_Logic],,0,)</f>
        <v>0</v>
      </c>
      <c r="F44" s="3">
        <f>_xlfn.XLOOKUP($D44,Tab_Def_Processes[Process_Name],Tab_Def_Processes[TC_Configuration],,0,)</f>
        <v>0</v>
      </c>
      <c r="G44" s="3">
        <f>_xlfn.XLOOKUP($D44,Tab_Def_Processes[Process_Name],Tab_Def_Processes[Stock_Configuration],,0,)</f>
        <v>0</v>
      </c>
      <c r="H44" s="3">
        <f>_xlfn.XLOOKUP($D44,Tab_Def_Processes[Process_Name],Tab_Def_Processes[Outflow_count],,0,)</f>
        <v>0</v>
      </c>
      <c r="I44" s="23"/>
      <c r="J44" s="19" t="str">
        <f>_xlfn.XLOOKUP($I44,Tab_Def_Flows[Flow_Name],Tab_Def_Flows[Flow_ID],,0,)</f>
        <v>F_01_01</v>
      </c>
      <c r="K44" s="12" t="str">
        <f t="shared" si="1"/>
        <v>TC_E1_01_01</v>
      </c>
      <c r="L44" s="25"/>
      <c r="M44" s="12" t="str">
        <f t="shared" si="2"/>
        <v>TC_E2_01_01</v>
      </c>
      <c r="N44" s="25"/>
      <c r="O44" s="12" t="str">
        <f t="shared" si="3"/>
        <v>TC_E3_01_01</v>
      </c>
      <c r="P44" s="25"/>
      <c r="Q44" s="3" t="str">
        <f t="shared" si="4"/>
        <v>TC_E4_01_01</v>
      </c>
      <c r="R44" s="25"/>
      <c r="S44" s="3" t="str">
        <f t="shared" si="5"/>
        <v>TC_E5_01_01</v>
      </c>
      <c r="T44" s="25"/>
      <c r="U44" s="3" t="str">
        <f t="shared" si="6"/>
        <v>TC_E5_01_01</v>
      </c>
      <c r="V44" s="25"/>
      <c r="W44" s="10"/>
      <c r="X44" s="10"/>
    </row>
    <row r="45" spans="1:24" x14ac:dyDescent="0.25">
      <c r="A45" s="27" t="b">
        <v>0</v>
      </c>
      <c r="B45" s="3">
        <f t="shared" si="0"/>
        <v>44</v>
      </c>
      <c r="C45" s="17" t="str">
        <f>_xlfn.XLOOKUP($D45,Tab_Def_Processes[Process_Name],Tab_Def_Processes[ID],,0,)</f>
        <v>01</v>
      </c>
      <c r="D45" s="23"/>
      <c r="E45" s="3">
        <f>_xlfn.XLOOKUP($D45,Tab_Def_Processes[Process_Name],Tab_Def_Processes[Process_Logic],,0,)</f>
        <v>0</v>
      </c>
      <c r="F45" s="3">
        <f>_xlfn.XLOOKUP($D45,Tab_Def_Processes[Process_Name],Tab_Def_Processes[TC_Configuration],,0,)</f>
        <v>0</v>
      </c>
      <c r="G45" s="3">
        <f>_xlfn.XLOOKUP($D45,Tab_Def_Processes[Process_Name],Tab_Def_Processes[Stock_Configuration],,0,)</f>
        <v>0</v>
      </c>
      <c r="H45" s="3">
        <f>_xlfn.XLOOKUP($D45,Tab_Def_Processes[Process_Name],Tab_Def_Processes[Outflow_count],,0,)</f>
        <v>0</v>
      </c>
      <c r="I45" s="23"/>
      <c r="J45" s="19" t="str">
        <f>_xlfn.XLOOKUP($I45,Tab_Def_Flows[Flow_Name],Tab_Def_Flows[Flow_ID],,0,)</f>
        <v>F_01_01</v>
      </c>
      <c r="K45" s="12" t="str">
        <f t="shared" si="1"/>
        <v>TC_E1_01_01</v>
      </c>
      <c r="L45" s="25"/>
      <c r="M45" s="12" t="str">
        <f t="shared" si="2"/>
        <v>TC_E2_01_01</v>
      </c>
      <c r="N45" s="25"/>
      <c r="O45" s="12" t="str">
        <f t="shared" si="3"/>
        <v>TC_E3_01_01</v>
      </c>
      <c r="P45" s="25"/>
      <c r="Q45" s="3" t="str">
        <f t="shared" si="4"/>
        <v>TC_E4_01_01</v>
      </c>
      <c r="R45" s="25"/>
      <c r="S45" s="3" t="str">
        <f t="shared" si="5"/>
        <v>TC_E5_01_01</v>
      </c>
      <c r="T45" s="25"/>
      <c r="U45" s="3" t="str">
        <f t="shared" si="6"/>
        <v>TC_E5_01_01</v>
      </c>
      <c r="V45" s="25"/>
      <c r="W45" s="10"/>
      <c r="X45" s="10"/>
    </row>
    <row r="46" spans="1:24" x14ac:dyDescent="0.25">
      <c r="A46" s="27" t="b">
        <v>0</v>
      </c>
      <c r="B46" s="3">
        <f t="shared" si="0"/>
        <v>45</v>
      </c>
      <c r="C46" s="17" t="str">
        <f>_xlfn.XLOOKUP($D46,Tab_Def_Processes[Process_Name],Tab_Def_Processes[ID],,0,)</f>
        <v>01</v>
      </c>
      <c r="D46" s="23"/>
      <c r="E46" s="3">
        <f>_xlfn.XLOOKUP($D46,Tab_Def_Processes[Process_Name],Tab_Def_Processes[Process_Logic],,0,)</f>
        <v>0</v>
      </c>
      <c r="F46" s="3">
        <f>_xlfn.XLOOKUP($D46,Tab_Def_Processes[Process_Name],Tab_Def_Processes[TC_Configuration],,0,)</f>
        <v>0</v>
      </c>
      <c r="G46" s="3">
        <f>_xlfn.XLOOKUP($D46,Tab_Def_Processes[Process_Name],Tab_Def_Processes[Stock_Configuration],,0,)</f>
        <v>0</v>
      </c>
      <c r="H46" s="3">
        <f>_xlfn.XLOOKUP($D46,Tab_Def_Processes[Process_Name],Tab_Def_Processes[Outflow_count],,0,)</f>
        <v>0</v>
      </c>
      <c r="I46" s="23"/>
      <c r="J46" s="19" t="str">
        <f>_xlfn.XLOOKUP($I46,Tab_Def_Flows[Flow_Name],Tab_Def_Flows[Flow_ID],,0,)</f>
        <v>F_01_01</v>
      </c>
      <c r="K46" s="12" t="str">
        <f t="shared" si="1"/>
        <v>TC_E1_01_01</v>
      </c>
      <c r="L46" s="25"/>
      <c r="M46" s="12" t="str">
        <f t="shared" si="2"/>
        <v>TC_E2_01_01</v>
      </c>
      <c r="N46" s="25"/>
      <c r="O46" s="12" t="str">
        <f t="shared" si="3"/>
        <v>TC_E3_01_01</v>
      </c>
      <c r="P46" s="25"/>
      <c r="Q46" s="3" t="str">
        <f t="shared" si="4"/>
        <v>TC_E4_01_01</v>
      </c>
      <c r="R46" s="25"/>
      <c r="S46" s="3" t="str">
        <f t="shared" si="5"/>
        <v>TC_E5_01_01</v>
      </c>
      <c r="T46" s="25"/>
      <c r="U46" s="3" t="str">
        <f t="shared" si="6"/>
        <v>TC_E5_01_01</v>
      </c>
      <c r="V46" s="25"/>
      <c r="W46" s="10"/>
      <c r="X46" s="10"/>
    </row>
    <row r="47" spans="1:24" x14ac:dyDescent="0.25">
      <c r="A47" s="27" t="b">
        <v>0</v>
      </c>
      <c r="B47" s="3">
        <f t="shared" si="0"/>
        <v>46</v>
      </c>
      <c r="C47" s="17" t="str">
        <f>_xlfn.XLOOKUP($D47,Tab_Def_Processes[Process_Name],Tab_Def_Processes[ID],,0,)</f>
        <v>01</v>
      </c>
      <c r="D47" s="23"/>
      <c r="E47" s="3">
        <f>_xlfn.XLOOKUP($D47,Tab_Def_Processes[Process_Name],Tab_Def_Processes[Process_Logic],,0,)</f>
        <v>0</v>
      </c>
      <c r="F47" s="3">
        <f>_xlfn.XLOOKUP($D47,Tab_Def_Processes[Process_Name],Tab_Def_Processes[TC_Configuration],,0,)</f>
        <v>0</v>
      </c>
      <c r="G47" s="3">
        <f>_xlfn.XLOOKUP($D47,Tab_Def_Processes[Process_Name],Tab_Def_Processes[Stock_Configuration],,0,)</f>
        <v>0</v>
      </c>
      <c r="H47" s="3">
        <f>_xlfn.XLOOKUP($D47,Tab_Def_Processes[Process_Name],Tab_Def_Processes[Outflow_count],,0,)</f>
        <v>0</v>
      </c>
      <c r="I47" s="23"/>
      <c r="J47" s="19" t="str">
        <f>_xlfn.XLOOKUP($I47,Tab_Def_Flows[Flow_Name],Tab_Def_Flows[Flow_ID],,0,)</f>
        <v>F_01_01</v>
      </c>
      <c r="K47" s="12" t="str">
        <f t="shared" si="1"/>
        <v>TC_E1_01_01</v>
      </c>
      <c r="L47" s="25"/>
      <c r="M47" s="12" t="str">
        <f t="shared" si="2"/>
        <v>TC_E2_01_01</v>
      </c>
      <c r="N47" s="25"/>
      <c r="O47" s="12" t="str">
        <f t="shared" si="3"/>
        <v>TC_E3_01_01</v>
      </c>
      <c r="P47" s="25"/>
      <c r="Q47" s="3" t="str">
        <f t="shared" si="4"/>
        <v>TC_E4_01_01</v>
      </c>
      <c r="R47" s="25"/>
      <c r="S47" s="3" t="str">
        <f t="shared" si="5"/>
        <v>TC_E5_01_01</v>
      </c>
      <c r="T47" s="25"/>
      <c r="U47" s="3" t="str">
        <f t="shared" si="6"/>
        <v>TC_E5_01_01</v>
      </c>
      <c r="V47" s="25"/>
      <c r="W47" s="10"/>
      <c r="X47" s="10"/>
    </row>
    <row r="48" spans="1:24" x14ac:dyDescent="0.25">
      <c r="A48" s="27" t="b">
        <v>0</v>
      </c>
      <c r="B48" s="3">
        <f t="shared" si="0"/>
        <v>47</v>
      </c>
      <c r="C48" s="17" t="str">
        <f>_xlfn.XLOOKUP($D48,Tab_Def_Processes[Process_Name],Tab_Def_Processes[ID],,0,)</f>
        <v>01</v>
      </c>
      <c r="D48" s="23"/>
      <c r="E48" s="3">
        <f>_xlfn.XLOOKUP($D48,Tab_Def_Processes[Process_Name],Tab_Def_Processes[Process_Logic],,0,)</f>
        <v>0</v>
      </c>
      <c r="F48" s="3">
        <f>_xlfn.XLOOKUP($D48,Tab_Def_Processes[Process_Name],Tab_Def_Processes[TC_Configuration],,0,)</f>
        <v>0</v>
      </c>
      <c r="G48" s="3">
        <f>_xlfn.XLOOKUP($D48,Tab_Def_Processes[Process_Name],Tab_Def_Processes[Stock_Configuration],,0,)</f>
        <v>0</v>
      </c>
      <c r="H48" s="3">
        <f>_xlfn.XLOOKUP($D48,Tab_Def_Processes[Process_Name],Tab_Def_Processes[Outflow_count],,0,)</f>
        <v>0</v>
      </c>
      <c r="I48" s="23"/>
      <c r="J48" s="19" t="str">
        <f>_xlfn.XLOOKUP($I48,Tab_Def_Flows[Flow_Name],Tab_Def_Flows[Flow_ID],,0,)</f>
        <v>F_01_01</v>
      </c>
      <c r="K48" s="12" t="str">
        <f t="shared" si="1"/>
        <v>TC_E1_01_01</v>
      </c>
      <c r="L48" s="25"/>
      <c r="M48" s="12" t="str">
        <f t="shared" si="2"/>
        <v>TC_E2_01_01</v>
      </c>
      <c r="N48" s="25"/>
      <c r="O48" s="12" t="str">
        <f t="shared" si="3"/>
        <v>TC_E3_01_01</v>
      </c>
      <c r="P48" s="25"/>
      <c r="Q48" s="3" t="str">
        <f t="shared" si="4"/>
        <v>TC_E4_01_01</v>
      </c>
      <c r="R48" s="25"/>
      <c r="S48" s="3" t="str">
        <f t="shared" si="5"/>
        <v>TC_E5_01_01</v>
      </c>
      <c r="T48" s="25"/>
      <c r="U48" s="3" t="str">
        <f t="shared" si="6"/>
        <v>TC_E5_01_01</v>
      </c>
      <c r="V48" s="25"/>
      <c r="W48" s="10"/>
      <c r="X48" s="10"/>
    </row>
    <row r="49" spans="1:24" x14ac:dyDescent="0.25">
      <c r="A49" s="27" t="b">
        <v>0</v>
      </c>
      <c r="B49" s="3">
        <f t="shared" si="0"/>
        <v>48</v>
      </c>
      <c r="C49" s="17" t="str">
        <f>_xlfn.XLOOKUP($D49,Tab_Def_Processes[Process_Name],Tab_Def_Processes[ID],,0,)</f>
        <v>01</v>
      </c>
      <c r="D49" s="23"/>
      <c r="E49" s="3">
        <f>_xlfn.XLOOKUP($D49,Tab_Def_Processes[Process_Name],Tab_Def_Processes[Process_Logic],,0,)</f>
        <v>0</v>
      </c>
      <c r="F49" s="3">
        <f>_xlfn.XLOOKUP($D49,Tab_Def_Processes[Process_Name],Tab_Def_Processes[TC_Configuration],,0,)</f>
        <v>0</v>
      </c>
      <c r="G49" s="3">
        <f>_xlfn.XLOOKUP($D49,Tab_Def_Processes[Process_Name],Tab_Def_Processes[Stock_Configuration],,0,)</f>
        <v>0</v>
      </c>
      <c r="H49" s="3">
        <f>_xlfn.XLOOKUP($D49,Tab_Def_Processes[Process_Name],Tab_Def_Processes[Outflow_count],,0,)</f>
        <v>0</v>
      </c>
      <c r="I49" s="23"/>
      <c r="J49" s="19" t="str">
        <f>_xlfn.XLOOKUP($I49,Tab_Def_Flows[Flow_Name],Tab_Def_Flows[Flow_ID],,0,)</f>
        <v>F_01_01</v>
      </c>
      <c r="K49" s="12" t="str">
        <f t="shared" si="1"/>
        <v>TC_E1_01_01</v>
      </c>
      <c r="L49" s="25"/>
      <c r="M49" s="12" t="str">
        <f t="shared" si="2"/>
        <v>TC_E2_01_01</v>
      </c>
      <c r="N49" s="25"/>
      <c r="O49" s="12" t="str">
        <f t="shared" si="3"/>
        <v>TC_E3_01_01</v>
      </c>
      <c r="P49" s="25"/>
      <c r="Q49" s="3" t="str">
        <f t="shared" si="4"/>
        <v>TC_E4_01_01</v>
      </c>
      <c r="R49" s="25"/>
      <c r="S49" s="3" t="str">
        <f t="shared" si="5"/>
        <v>TC_E5_01_01</v>
      </c>
      <c r="T49" s="25"/>
      <c r="U49" s="3" t="str">
        <f t="shared" si="6"/>
        <v>TC_E5_01_01</v>
      </c>
      <c r="V49" s="25"/>
      <c r="W49" s="10"/>
      <c r="X49" s="10"/>
    </row>
    <row r="50" spans="1:24" x14ac:dyDescent="0.25">
      <c r="A50" s="27" t="b">
        <v>0</v>
      </c>
      <c r="B50" s="3">
        <f t="shared" si="0"/>
        <v>49</v>
      </c>
      <c r="C50" s="17" t="str">
        <f>_xlfn.XLOOKUP($D50,Tab_Def_Processes[Process_Name],Tab_Def_Processes[ID],,0,)</f>
        <v>01</v>
      </c>
      <c r="D50" s="23"/>
      <c r="E50" s="3">
        <f>_xlfn.XLOOKUP($D50,Tab_Def_Processes[Process_Name],Tab_Def_Processes[Process_Logic],,0,)</f>
        <v>0</v>
      </c>
      <c r="F50" s="3">
        <f>_xlfn.XLOOKUP($D50,Tab_Def_Processes[Process_Name],Tab_Def_Processes[TC_Configuration],,0,)</f>
        <v>0</v>
      </c>
      <c r="G50" s="3">
        <f>_xlfn.XLOOKUP($D50,Tab_Def_Processes[Process_Name],Tab_Def_Processes[Stock_Configuration],,0,)</f>
        <v>0</v>
      </c>
      <c r="H50" s="3">
        <f>_xlfn.XLOOKUP($D50,Tab_Def_Processes[Process_Name],Tab_Def_Processes[Outflow_count],,0,)</f>
        <v>0</v>
      </c>
      <c r="I50" s="23"/>
      <c r="J50" s="19" t="str">
        <f>_xlfn.XLOOKUP($I50,Tab_Def_Flows[Flow_Name],Tab_Def_Flows[Flow_ID],,0,)</f>
        <v>F_01_01</v>
      </c>
      <c r="K50" s="12" t="str">
        <f t="shared" si="1"/>
        <v>TC_E1_01_01</v>
      </c>
      <c r="L50" s="25"/>
      <c r="M50" s="12" t="str">
        <f t="shared" si="2"/>
        <v>TC_E2_01_01</v>
      </c>
      <c r="N50" s="25"/>
      <c r="O50" s="12" t="str">
        <f t="shared" si="3"/>
        <v>TC_E3_01_01</v>
      </c>
      <c r="P50" s="25"/>
      <c r="Q50" s="3" t="str">
        <f t="shared" si="4"/>
        <v>TC_E4_01_01</v>
      </c>
      <c r="R50" s="25"/>
      <c r="S50" s="3" t="str">
        <f t="shared" si="5"/>
        <v>TC_E5_01_01</v>
      </c>
      <c r="T50" s="25"/>
      <c r="U50" s="3" t="str">
        <f t="shared" si="6"/>
        <v>TC_E5_01_01</v>
      </c>
      <c r="V50" s="25"/>
      <c r="W50" s="10"/>
      <c r="X50" s="10"/>
    </row>
    <row r="51" spans="1:24" x14ac:dyDescent="0.25">
      <c r="A51" s="27" t="b">
        <v>0</v>
      </c>
      <c r="B51" s="3">
        <f t="shared" si="0"/>
        <v>50</v>
      </c>
      <c r="C51" s="17" t="str">
        <f>_xlfn.XLOOKUP($D51,Tab_Def_Processes[Process_Name],Tab_Def_Processes[ID],,0,)</f>
        <v>01</v>
      </c>
      <c r="D51" s="23"/>
      <c r="E51" s="3">
        <f>_xlfn.XLOOKUP($D51,Tab_Def_Processes[Process_Name],Tab_Def_Processes[Process_Logic],,0,)</f>
        <v>0</v>
      </c>
      <c r="F51" s="3">
        <f>_xlfn.XLOOKUP($D51,Tab_Def_Processes[Process_Name],Tab_Def_Processes[TC_Configuration],,0,)</f>
        <v>0</v>
      </c>
      <c r="G51" s="3">
        <f>_xlfn.XLOOKUP($D51,Tab_Def_Processes[Process_Name],Tab_Def_Processes[Stock_Configuration],,0,)</f>
        <v>0</v>
      </c>
      <c r="H51" s="3">
        <f>_xlfn.XLOOKUP($D51,Tab_Def_Processes[Process_Name],Tab_Def_Processes[Outflow_count],,0,)</f>
        <v>0</v>
      </c>
      <c r="I51" s="23"/>
      <c r="J51" s="19" t="str">
        <f>_xlfn.XLOOKUP($I51,Tab_Def_Flows[Flow_Name],Tab_Def_Flows[Flow_ID],,0,)</f>
        <v>F_01_01</v>
      </c>
      <c r="K51" s="12" t="str">
        <f t="shared" si="1"/>
        <v>TC_E1_01_01</v>
      </c>
      <c r="L51" s="25"/>
      <c r="M51" s="12" t="str">
        <f t="shared" si="2"/>
        <v>TC_E2_01_01</v>
      </c>
      <c r="N51" s="25"/>
      <c r="O51" s="12" t="str">
        <f t="shared" si="3"/>
        <v>TC_E3_01_01</v>
      </c>
      <c r="P51" s="25"/>
      <c r="Q51" s="3" t="str">
        <f t="shared" si="4"/>
        <v>TC_E4_01_01</v>
      </c>
      <c r="R51" s="25"/>
      <c r="S51" s="3" t="str">
        <f t="shared" si="5"/>
        <v>TC_E5_01_01</v>
      </c>
      <c r="T51" s="25"/>
      <c r="U51" s="3" t="str">
        <f t="shared" si="6"/>
        <v>TC_E5_01_01</v>
      </c>
      <c r="V51" s="25"/>
      <c r="W51" s="10"/>
      <c r="X51" s="10"/>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BE80A41C-CEEB-4E1A-8D1E-9D878728057C}">
          <x14:formula1>
            <xm:f>'2_1_Definition_Processes'!$D$2:$D$46</xm:f>
          </x14:formula1>
          <xm:sqref>D52:D1048576</xm:sqref>
        </x14:dataValidation>
        <x14:dataValidation type="list" allowBlank="1" showInputMessage="1" showErrorMessage="1" promptTitle="Definition of Output_Flow" prompt="Enter appropriate value for Output_Flow" xr:uid="{EB0876F5-3EAC-4C2B-B931-4DD7808E2D62}">
          <x14:formula1>
            <xm:f>'1_1_Definition_Flows'!$D$2:$D$94</xm:f>
          </x14:formula1>
          <xm:sqref>I2:I51</xm:sqref>
        </x14:dataValidation>
        <x14:dataValidation type="list" allowBlank="1" showInputMessage="1" showErrorMessage="1" xr:uid="{9903D9BB-5370-4BBF-B034-D090545CAD2E}">
          <x14:formula1>
            <xm:f>'6_1_Reference_Manager'!$C$2:$C$49</xm:f>
          </x14:formula1>
          <xm:sqref>X2:X51</xm:sqref>
        </x14:dataValidation>
        <x14:dataValidation type="list" allowBlank="1" showInputMessage="1" showErrorMessage="1" promptTitle="Definition of Process Name" prompt="Enter the name of the Process Name" xr:uid="{C8C7D173-1027-48B1-A014-48234F262691}">
          <x14:formula1>
            <xm:f>'2_1_Definition_Processes'!$D$2:$D$46</xm:f>
          </x14:formula1>
          <xm:sqref>D2:D51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Y149"/>
  <sheetViews>
    <sheetView tabSelected="1" zoomScaleNormal="100" workbookViewId="0">
      <pane xSplit="4" topLeftCell="P1" activePane="topRight" state="frozen"/>
      <selection pane="topRight" activeCell="U39" sqref="U39"/>
    </sheetView>
  </sheetViews>
  <sheetFormatPr defaultColWidth="10.85546875" defaultRowHeight="15" x14ac:dyDescent="0.25"/>
  <cols>
    <col min="2" max="2" width="16.5703125" customWidth="1"/>
    <col min="4" max="4" width="24" customWidth="1"/>
    <col min="5" max="9" width="26.42578125" customWidth="1"/>
    <col min="10" max="11" width="16.5703125" customWidth="1"/>
    <col min="12" max="15" width="26.42578125" customWidth="1"/>
    <col min="16" max="16" width="20.28515625" customWidth="1"/>
    <col min="17" max="17" width="15.5703125" customWidth="1"/>
    <col min="18" max="18" width="18.85546875" customWidth="1"/>
    <col min="19" max="21" width="15.5703125" customWidth="1"/>
    <col min="22" max="22" width="10.85546875" customWidth="1"/>
    <col min="23" max="23" width="14.85546875" customWidth="1"/>
    <col min="24" max="24" width="16.140625" customWidth="1"/>
    <col min="25" max="25" width="15.42578125" customWidth="1"/>
  </cols>
  <sheetData>
    <row r="1" spans="1:25" x14ac:dyDescent="0.25">
      <c r="A1" s="26" t="s">
        <v>13</v>
      </c>
      <c r="B1" s="26" t="s">
        <v>4</v>
      </c>
      <c r="C1" s="26" t="s">
        <v>12</v>
      </c>
      <c r="D1" s="26" t="s">
        <v>141</v>
      </c>
      <c r="E1" s="26" t="s">
        <v>128</v>
      </c>
      <c r="F1" s="26" t="s">
        <v>166</v>
      </c>
      <c r="G1" s="26" t="s">
        <v>167</v>
      </c>
      <c r="H1" s="26" t="s">
        <v>179</v>
      </c>
      <c r="I1" s="26" t="s">
        <v>66</v>
      </c>
      <c r="J1" s="26" t="s">
        <v>6</v>
      </c>
      <c r="K1" s="26" t="s">
        <v>0</v>
      </c>
      <c r="L1" s="26" t="s">
        <v>399</v>
      </c>
      <c r="M1" s="26" t="s">
        <v>401</v>
      </c>
      <c r="N1" s="26" t="s">
        <v>400</v>
      </c>
      <c r="O1" s="26" t="s">
        <v>402</v>
      </c>
      <c r="P1" s="26" t="s">
        <v>403</v>
      </c>
      <c r="Q1" s="26" t="s">
        <v>404</v>
      </c>
      <c r="R1" s="26" t="s">
        <v>405</v>
      </c>
      <c r="S1" s="26" t="s">
        <v>406</v>
      </c>
      <c r="T1" s="26" t="s">
        <v>407</v>
      </c>
      <c r="U1" s="26" t="s">
        <v>408</v>
      </c>
      <c r="V1" s="26" t="s">
        <v>428</v>
      </c>
      <c r="W1" s="26" t="s">
        <v>429</v>
      </c>
      <c r="X1" s="26" t="s">
        <v>7</v>
      </c>
      <c r="Y1" s="26" t="s">
        <v>489</v>
      </c>
    </row>
    <row r="2" spans="1:25" x14ac:dyDescent="0.25">
      <c r="A2" s="27" t="b">
        <v>0</v>
      </c>
      <c r="B2" s="3">
        <f t="shared" ref="B2:B31" si="0">ROW()-1</f>
        <v>1</v>
      </c>
      <c r="C2" s="17" t="e">
        <f>_xlfn.XLOOKUP($D2,Tab_Def_Processes[Process_Name],Tab_Def_Processes[Process_ID],,0,)</f>
        <v>#N/A</v>
      </c>
      <c r="D2" s="23" t="s">
        <v>5</v>
      </c>
      <c r="E2" s="17" t="e">
        <f>_xlfn.XLOOKUP($D2,Tab_Def_Processes[Process_Name],Tab_Def_Processes[Process_Logic],,0,)</f>
        <v>#N/A</v>
      </c>
      <c r="F2" s="17" t="e">
        <f>_xlfn.XLOOKUP($D2,Tab_Def_Processes[Process_Name],Tab_Def_Processes[TC_Configuration],,0,)</f>
        <v>#N/A</v>
      </c>
      <c r="G2" s="17" t="e">
        <f>_xlfn.XLOOKUP($D2,Tab_Def_Processes[Process_Name],Tab_Def_Processes[Stock_Configuration],,0,)</f>
        <v>#N/A</v>
      </c>
      <c r="H2" s="17" t="e">
        <f>_xlfn.XLOOKUP($D2,Tab_Def_Processes[Process_Name],Tab_Def_Processes[Outflow_count],,0,)</f>
        <v>#N/A</v>
      </c>
      <c r="I2" s="23" t="s">
        <v>5</v>
      </c>
      <c r="J2" s="3" t="str">
        <f>_xlfn.XLOOKUP($I2,Tab_Def_Flows[Flow_Name],Tab_Def_Flows[Flow_ID],,0,1)</f>
        <v>F__</v>
      </c>
      <c r="K2" s="4"/>
      <c r="L2" s="12" t="str">
        <f t="shared" ref="L2:L64" si="1">"TC_E1"&amp;"_"&amp;RIGHT(J2,5)</f>
        <v>TC_E1_F__</v>
      </c>
      <c r="M2" s="25"/>
      <c r="N2" s="12" t="str">
        <f t="shared" ref="N2:N64" si="2">"TC_E2"&amp;"_"&amp;RIGHT(J2,5)</f>
        <v>TC_E2_F__</v>
      </c>
      <c r="O2" s="25"/>
      <c r="P2" s="12" t="str">
        <f t="shared" ref="P2:P64" si="3">"TC_E3"&amp;"_"&amp;RIGHT(J2,5)</f>
        <v>TC_E3_F__</v>
      </c>
      <c r="Q2" s="25"/>
      <c r="R2" s="12" t="str">
        <f t="shared" ref="R2:R64" si="4">"TC_E4"&amp;"_"&amp;RIGHT(J2,5)</f>
        <v>TC_E4_F__</v>
      </c>
      <c r="S2" s="4"/>
      <c r="T2" s="12" t="str">
        <f t="shared" ref="T2:T64" si="5">"TC_E5"&amp;"_"&amp;RIGHT(J2,5)</f>
        <v>TC_E5_F__</v>
      </c>
      <c r="U2" s="4"/>
      <c r="V2" s="12" t="str">
        <f>"TC_E6"&amp;"_"&amp;RIGHT(J2,5)</f>
        <v>TC_E6_F__</v>
      </c>
      <c r="W2" s="4"/>
      <c r="X2" s="10"/>
      <c r="Y2" s="10"/>
    </row>
    <row r="3" spans="1:25" x14ac:dyDescent="0.25">
      <c r="A3" s="27" t="b">
        <v>0</v>
      </c>
      <c r="B3" s="3">
        <f t="shared" si="0"/>
        <v>2</v>
      </c>
      <c r="C3" s="17" t="e">
        <f>_xlfn.XLOOKUP($D3,Tab_Def_Processes[Process_Name],Tab_Def_Processes[Process_ID],,0,)</f>
        <v>#N/A</v>
      </c>
      <c r="D3" s="23" t="s">
        <v>5</v>
      </c>
      <c r="E3" s="17" t="e">
        <f>_xlfn.XLOOKUP($D3,Tab_Def_Processes[Process_Name],Tab_Def_Processes[Process_Logic],,0,)</f>
        <v>#N/A</v>
      </c>
      <c r="F3" s="17" t="e">
        <f>_xlfn.XLOOKUP($D3,Tab_Def_Processes[Process_Name],Tab_Def_Processes[TC_Configuration],,0,)</f>
        <v>#N/A</v>
      </c>
      <c r="G3" s="17" t="e">
        <f>_xlfn.XLOOKUP($D3,Tab_Def_Processes[Process_Name],Tab_Def_Processes[Stock_Configuration],,0,)</f>
        <v>#N/A</v>
      </c>
      <c r="H3" s="17" t="e">
        <f>_xlfn.XLOOKUP($D3,Tab_Def_Processes[Process_Name],Tab_Def_Processes[Outflow_count],,0,)</f>
        <v>#N/A</v>
      </c>
      <c r="I3" s="23" t="s">
        <v>5</v>
      </c>
      <c r="J3" s="3" t="str">
        <f>_xlfn.XLOOKUP($I3,Tab_Def_Flows[Flow_Name],Tab_Def_Flows[Flow_ID],,0,1)</f>
        <v>F__</v>
      </c>
      <c r="K3" s="4"/>
      <c r="L3" s="12" t="str">
        <f t="shared" si="1"/>
        <v>TC_E1_F__</v>
      </c>
      <c r="M3" s="25"/>
      <c r="N3" s="12" t="str">
        <f t="shared" si="2"/>
        <v>TC_E2_F__</v>
      </c>
      <c r="O3" s="25"/>
      <c r="P3" s="12" t="str">
        <f t="shared" si="3"/>
        <v>TC_E3_F__</v>
      </c>
      <c r="Q3" s="25"/>
      <c r="R3" s="12" t="str">
        <f t="shared" si="4"/>
        <v>TC_E4_F__</v>
      </c>
      <c r="S3" s="4"/>
      <c r="T3" s="12" t="str">
        <f t="shared" si="5"/>
        <v>TC_E5_F__</v>
      </c>
      <c r="U3" s="4"/>
      <c r="V3" s="12" t="str">
        <f t="shared" ref="V3:V66" si="6">"TC_E6"&amp;"_"&amp;RIGHT(J3,5)</f>
        <v>TC_E6_F__</v>
      </c>
      <c r="W3" s="4"/>
      <c r="X3" s="10"/>
      <c r="Y3" s="10"/>
    </row>
    <row r="4" spans="1:25" x14ac:dyDescent="0.25">
      <c r="A4" s="27" t="b">
        <v>0</v>
      </c>
      <c r="B4" s="3">
        <f t="shared" si="0"/>
        <v>3</v>
      </c>
      <c r="C4" s="17" t="e">
        <f>_xlfn.XLOOKUP($D4,Tab_Def_Processes[Process_Name],Tab_Def_Processes[Process_ID],,0,)</f>
        <v>#N/A</v>
      </c>
      <c r="D4" s="23" t="s">
        <v>5</v>
      </c>
      <c r="E4" s="17" t="e">
        <f>_xlfn.XLOOKUP($D4,Tab_Def_Processes[Process_Name],Tab_Def_Processes[Process_Logic],,0,)</f>
        <v>#N/A</v>
      </c>
      <c r="F4" s="17" t="e">
        <f>_xlfn.XLOOKUP($D4,Tab_Def_Processes[Process_Name],Tab_Def_Processes[TC_Configuration],,0,)</f>
        <v>#N/A</v>
      </c>
      <c r="G4" s="17" t="e">
        <f>_xlfn.XLOOKUP($D4,Tab_Def_Processes[Process_Name],Tab_Def_Processes[Stock_Configuration],,0,)</f>
        <v>#N/A</v>
      </c>
      <c r="H4" s="17" t="e">
        <f>_xlfn.XLOOKUP($D4,Tab_Def_Processes[Process_Name],Tab_Def_Processes[Outflow_count],,0,)</f>
        <v>#N/A</v>
      </c>
      <c r="I4" s="23" t="s">
        <v>5</v>
      </c>
      <c r="J4" s="3" t="str">
        <f>_xlfn.XLOOKUP($I4,Tab_Def_Flows[Flow_Name],Tab_Def_Flows[Flow_ID],,0,1)</f>
        <v>F__</v>
      </c>
      <c r="K4" s="4"/>
      <c r="L4" s="12" t="str">
        <f t="shared" si="1"/>
        <v>TC_E1_F__</v>
      </c>
      <c r="M4" s="25"/>
      <c r="N4" s="12" t="str">
        <f t="shared" si="2"/>
        <v>TC_E2_F__</v>
      </c>
      <c r="O4" s="25"/>
      <c r="P4" s="12" t="str">
        <f t="shared" si="3"/>
        <v>TC_E3_F__</v>
      </c>
      <c r="Q4" s="25"/>
      <c r="R4" s="12" t="str">
        <f t="shared" si="4"/>
        <v>TC_E4_F__</v>
      </c>
      <c r="S4" s="4"/>
      <c r="T4" s="12" t="str">
        <f t="shared" si="5"/>
        <v>TC_E5_F__</v>
      </c>
      <c r="U4" s="4"/>
      <c r="V4" s="12" t="str">
        <f t="shared" si="6"/>
        <v>TC_E6_F__</v>
      </c>
      <c r="W4" s="4"/>
      <c r="X4" s="10"/>
      <c r="Y4" s="10"/>
    </row>
    <row r="5" spans="1:25" x14ac:dyDescent="0.25">
      <c r="A5" s="27" t="b">
        <v>0</v>
      </c>
      <c r="B5" s="3">
        <f t="shared" si="0"/>
        <v>4</v>
      </c>
      <c r="C5" s="17" t="e">
        <f>_xlfn.XLOOKUP($D5,Tab_Def_Processes[Process_Name],Tab_Def_Processes[Process_ID],,0,)</f>
        <v>#N/A</v>
      </c>
      <c r="D5" s="23" t="s">
        <v>5</v>
      </c>
      <c r="E5" s="17" t="e">
        <f>_xlfn.XLOOKUP($D5,Tab_Def_Processes[Process_Name],Tab_Def_Processes[Process_Logic],,0,)</f>
        <v>#N/A</v>
      </c>
      <c r="F5" s="17" t="e">
        <f>_xlfn.XLOOKUP($D5,Tab_Def_Processes[Process_Name],Tab_Def_Processes[TC_Configuration],,0,)</f>
        <v>#N/A</v>
      </c>
      <c r="G5" s="17" t="e">
        <f>_xlfn.XLOOKUP($D5,Tab_Def_Processes[Process_Name],Tab_Def_Processes[Stock_Configuration],,0,)</f>
        <v>#N/A</v>
      </c>
      <c r="H5" s="17" t="e">
        <f>_xlfn.XLOOKUP($D5,Tab_Def_Processes[Process_Name],Tab_Def_Processes[Outflow_count],,0,)</f>
        <v>#N/A</v>
      </c>
      <c r="I5" s="23" t="s">
        <v>5</v>
      </c>
      <c r="J5" s="3" t="str">
        <f>_xlfn.XLOOKUP($I5,Tab_Def_Flows[Flow_Name],Tab_Def_Flows[Flow_ID],,0,1)</f>
        <v>F__</v>
      </c>
      <c r="K5" s="4"/>
      <c r="L5" s="12" t="str">
        <f t="shared" si="1"/>
        <v>TC_E1_F__</v>
      </c>
      <c r="M5" s="25"/>
      <c r="N5" s="12" t="str">
        <f t="shared" si="2"/>
        <v>TC_E2_F__</v>
      </c>
      <c r="O5" s="25"/>
      <c r="P5" s="12" t="str">
        <f t="shared" si="3"/>
        <v>TC_E3_F__</v>
      </c>
      <c r="Q5" s="25"/>
      <c r="R5" s="12" t="str">
        <f t="shared" si="4"/>
        <v>TC_E4_F__</v>
      </c>
      <c r="S5" s="4"/>
      <c r="T5" s="12" t="str">
        <f t="shared" si="5"/>
        <v>TC_E5_F__</v>
      </c>
      <c r="U5" s="4"/>
      <c r="V5" s="12" t="str">
        <f t="shared" si="6"/>
        <v>TC_E6_F__</v>
      </c>
      <c r="W5" s="4"/>
      <c r="X5" s="10"/>
      <c r="Y5" s="10"/>
    </row>
    <row r="6" spans="1:25" x14ac:dyDescent="0.25">
      <c r="A6" s="27" t="b">
        <v>0</v>
      </c>
      <c r="B6" s="3">
        <f t="shared" si="0"/>
        <v>5</v>
      </c>
      <c r="C6" s="17" t="e">
        <f>_xlfn.XLOOKUP($D6,Tab_Def_Processes[Process_Name],Tab_Def_Processes[Process_ID],,0,)</f>
        <v>#N/A</v>
      </c>
      <c r="D6" s="23" t="s">
        <v>5</v>
      </c>
      <c r="E6" s="17" t="e">
        <f>_xlfn.XLOOKUP($D6,Tab_Def_Processes[Process_Name],Tab_Def_Processes[Process_Logic],,0,)</f>
        <v>#N/A</v>
      </c>
      <c r="F6" s="17" t="e">
        <f>_xlfn.XLOOKUP($D6,Tab_Def_Processes[Process_Name],Tab_Def_Processes[TC_Configuration],,0,)</f>
        <v>#N/A</v>
      </c>
      <c r="G6" s="17" t="e">
        <f>_xlfn.XLOOKUP($D6,Tab_Def_Processes[Process_Name],Tab_Def_Processes[Stock_Configuration],,0,)</f>
        <v>#N/A</v>
      </c>
      <c r="H6" s="17" t="e">
        <f>_xlfn.XLOOKUP($D6,Tab_Def_Processes[Process_Name],Tab_Def_Processes[Outflow_count],,0,)</f>
        <v>#N/A</v>
      </c>
      <c r="I6" s="23" t="s">
        <v>5</v>
      </c>
      <c r="J6" s="3" t="str">
        <f>_xlfn.XLOOKUP($I6,Tab_Def_Flows[Flow_Name],Tab_Def_Flows[Flow_ID],,0,1)</f>
        <v>F__</v>
      </c>
      <c r="K6" s="4"/>
      <c r="L6" s="12" t="str">
        <f t="shared" si="1"/>
        <v>TC_E1_F__</v>
      </c>
      <c r="M6" s="25"/>
      <c r="N6" s="12" t="str">
        <f t="shared" si="2"/>
        <v>TC_E2_F__</v>
      </c>
      <c r="O6" s="25"/>
      <c r="P6" s="12" t="str">
        <f t="shared" si="3"/>
        <v>TC_E3_F__</v>
      </c>
      <c r="Q6" s="25"/>
      <c r="R6" s="12" t="str">
        <f t="shared" si="4"/>
        <v>TC_E4_F__</v>
      </c>
      <c r="S6" s="4"/>
      <c r="T6" s="12" t="str">
        <f t="shared" si="5"/>
        <v>TC_E5_F__</v>
      </c>
      <c r="U6" s="4"/>
      <c r="V6" s="12" t="str">
        <f t="shared" si="6"/>
        <v>TC_E6_F__</v>
      </c>
      <c r="W6" s="4"/>
      <c r="X6" s="10"/>
      <c r="Y6" s="10"/>
    </row>
    <row r="7" spans="1:25" x14ac:dyDescent="0.25">
      <c r="A7" s="27" t="b">
        <v>0</v>
      </c>
      <c r="B7" s="3">
        <f t="shared" si="0"/>
        <v>6</v>
      </c>
      <c r="C7" s="17" t="e">
        <f>_xlfn.XLOOKUP($D7,Tab_Def_Processes[Process_Name],Tab_Def_Processes[Process_ID],,0,)</f>
        <v>#N/A</v>
      </c>
      <c r="D7" s="23" t="s">
        <v>5</v>
      </c>
      <c r="E7" s="17" t="e">
        <f>_xlfn.XLOOKUP($D7,Tab_Def_Processes[Process_Name],Tab_Def_Processes[Process_Logic],,0,)</f>
        <v>#N/A</v>
      </c>
      <c r="F7" s="17" t="e">
        <f>_xlfn.XLOOKUP($D7,Tab_Def_Processes[Process_Name],Tab_Def_Processes[TC_Configuration],,0,)</f>
        <v>#N/A</v>
      </c>
      <c r="G7" s="17" t="e">
        <f>_xlfn.XLOOKUP($D7,Tab_Def_Processes[Process_Name],Tab_Def_Processes[Stock_Configuration],,0,)</f>
        <v>#N/A</v>
      </c>
      <c r="H7" s="17" t="e">
        <f>_xlfn.XLOOKUP($D7,Tab_Def_Processes[Process_Name],Tab_Def_Processes[Outflow_count],,0,)</f>
        <v>#N/A</v>
      </c>
      <c r="I7" s="23" t="s">
        <v>5</v>
      </c>
      <c r="J7" s="3" t="str">
        <f>_xlfn.XLOOKUP($I7,Tab_Def_Flows[Flow_Name],Tab_Def_Flows[Flow_ID],,0,1)</f>
        <v>F__</v>
      </c>
      <c r="K7" s="4"/>
      <c r="L7" s="12" t="str">
        <f t="shared" si="1"/>
        <v>TC_E1_F__</v>
      </c>
      <c r="M7" s="25"/>
      <c r="N7" s="12" t="str">
        <f t="shared" si="2"/>
        <v>TC_E2_F__</v>
      </c>
      <c r="O7" s="25"/>
      <c r="P7" s="12" t="str">
        <f t="shared" si="3"/>
        <v>TC_E3_F__</v>
      </c>
      <c r="Q7" s="25"/>
      <c r="R7" s="12" t="str">
        <f t="shared" si="4"/>
        <v>TC_E4_F__</v>
      </c>
      <c r="S7" s="4"/>
      <c r="T7" s="12" t="str">
        <f t="shared" si="5"/>
        <v>TC_E5_F__</v>
      </c>
      <c r="U7" s="4"/>
      <c r="V7" s="12" t="str">
        <f t="shared" si="6"/>
        <v>TC_E6_F__</v>
      </c>
      <c r="W7" s="4"/>
      <c r="X7" s="10"/>
      <c r="Y7" s="10"/>
    </row>
    <row r="8" spans="1:25" x14ac:dyDescent="0.25">
      <c r="A8" s="27" t="b">
        <v>0</v>
      </c>
      <c r="B8" s="3">
        <f t="shared" si="0"/>
        <v>7</v>
      </c>
      <c r="C8" s="17" t="e">
        <f>_xlfn.XLOOKUP($D8,Tab_Def_Processes[Process_Name],Tab_Def_Processes[Process_ID],,0,)</f>
        <v>#N/A</v>
      </c>
      <c r="D8" s="23" t="s">
        <v>5</v>
      </c>
      <c r="E8" s="17" t="e">
        <f>_xlfn.XLOOKUP($D8,Tab_Def_Processes[Process_Name],Tab_Def_Processes[Process_Logic],,0,)</f>
        <v>#N/A</v>
      </c>
      <c r="F8" s="17" t="e">
        <f>_xlfn.XLOOKUP($D8,Tab_Def_Processes[Process_Name],Tab_Def_Processes[TC_Configuration],,0,)</f>
        <v>#N/A</v>
      </c>
      <c r="G8" s="17" t="e">
        <f>_xlfn.XLOOKUP($D8,Tab_Def_Processes[Process_Name],Tab_Def_Processes[Stock_Configuration],,0,)</f>
        <v>#N/A</v>
      </c>
      <c r="H8" s="17" t="e">
        <f>_xlfn.XLOOKUP($D8,Tab_Def_Processes[Process_Name],Tab_Def_Processes[Outflow_count],,0,)</f>
        <v>#N/A</v>
      </c>
      <c r="I8" s="23" t="s">
        <v>5</v>
      </c>
      <c r="J8" s="3" t="str">
        <f>_xlfn.XLOOKUP($I8,Tab_Def_Flows[Flow_Name],Tab_Def_Flows[Flow_ID],,0,1)</f>
        <v>F__</v>
      </c>
      <c r="K8" s="4"/>
      <c r="L8" s="12" t="str">
        <f t="shared" si="1"/>
        <v>TC_E1_F__</v>
      </c>
      <c r="M8" s="25"/>
      <c r="N8" s="12" t="str">
        <f t="shared" si="2"/>
        <v>TC_E2_F__</v>
      </c>
      <c r="O8" s="25"/>
      <c r="P8" s="12" t="str">
        <f t="shared" si="3"/>
        <v>TC_E3_F__</v>
      </c>
      <c r="Q8" s="25"/>
      <c r="R8" s="12" t="str">
        <f t="shared" si="4"/>
        <v>TC_E4_F__</v>
      </c>
      <c r="S8" s="4"/>
      <c r="T8" s="12" t="str">
        <f t="shared" si="5"/>
        <v>TC_E5_F__</v>
      </c>
      <c r="U8" s="4"/>
      <c r="V8" s="12" t="str">
        <f t="shared" si="6"/>
        <v>TC_E6_F__</v>
      </c>
      <c r="W8" s="4"/>
      <c r="X8" s="10"/>
      <c r="Y8" s="10"/>
    </row>
    <row r="9" spans="1:25" x14ac:dyDescent="0.25">
      <c r="A9" s="27" t="b">
        <v>0</v>
      </c>
      <c r="B9" s="3">
        <f t="shared" si="0"/>
        <v>8</v>
      </c>
      <c r="C9" s="17" t="e">
        <f>_xlfn.XLOOKUP($D9,Tab_Def_Processes[Process_Name],Tab_Def_Processes[Process_ID],,0,)</f>
        <v>#N/A</v>
      </c>
      <c r="D9" s="23" t="s">
        <v>5</v>
      </c>
      <c r="E9" s="17" t="e">
        <f>_xlfn.XLOOKUP($D9,Tab_Def_Processes[Process_Name],Tab_Def_Processes[Process_Logic],,0,)</f>
        <v>#N/A</v>
      </c>
      <c r="F9" s="17" t="e">
        <f>_xlfn.XLOOKUP($D9,Tab_Def_Processes[Process_Name],Tab_Def_Processes[TC_Configuration],,0,)</f>
        <v>#N/A</v>
      </c>
      <c r="G9" s="17" t="e">
        <f>_xlfn.XLOOKUP($D9,Tab_Def_Processes[Process_Name],Tab_Def_Processes[Stock_Configuration],,0,)</f>
        <v>#N/A</v>
      </c>
      <c r="H9" s="17" t="e">
        <f>_xlfn.XLOOKUP($D9,Tab_Def_Processes[Process_Name],Tab_Def_Processes[Outflow_count],,0,)</f>
        <v>#N/A</v>
      </c>
      <c r="I9" s="23" t="s">
        <v>5</v>
      </c>
      <c r="J9" s="3" t="str">
        <f>_xlfn.XLOOKUP($I9,Tab_Def_Flows[Flow_Name],Tab_Def_Flows[Flow_ID],,0,1)</f>
        <v>F__</v>
      </c>
      <c r="K9" s="4"/>
      <c r="L9" s="12" t="str">
        <f t="shared" si="1"/>
        <v>TC_E1_F__</v>
      </c>
      <c r="M9" s="25"/>
      <c r="N9" s="12" t="str">
        <f t="shared" si="2"/>
        <v>TC_E2_F__</v>
      </c>
      <c r="O9" s="25"/>
      <c r="P9" s="12" t="str">
        <f t="shared" si="3"/>
        <v>TC_E3_F__</v>
      </c>
      <c r="Q9" s="25"/>
      <c r="R9" s="12" t="str">
        <f t="shared" si="4"/>
        <v>TC_E4_F__</v>
      </c>
      <c r="S9" s="4"/>
      <c r="T9" s="12" t="str">
        <f t="shared" si="5"/>
        <v>TC_E5_F__</v>
      </c>
      <c r="U9" s="4"/>
      <c r="V9" s="12" t="str">
        <f t="shared" si="6"/>
        <v>TC_E6_F__</v>
      </c>
      <c r="W9" s="4"/>
      <c r="X9" s="10"/>
      <c r="Y9" s="10"/>
    </row>
    <row r="10" spans="1:25" x14ac:dyDescent="0.25">
      <c r="A10" s="27" t="b">
        <v>0</v>
      </c>
      <c r="B10" s="3">
        <f t="shared" si="0"/>
        <v>9</v>
      </c>
      <c r="C10" s="17" t="e">
        <f>_xlfn.XLOOKUP($D10,Tab_Def_Processes[Process_Name],Tab_Def_Processes[Process_ID],,0,)</f>
        <v>#N/A</v>
      </c>
      <c r="D10" s="23" t="s">
        <v>5</v>
      </c>
      <c r="E10" s="17" t="e">
        <f>_xlfn.XLOOKUP($D10,Tab_Def_Processes[Process_Name],Tab_Def_Processes[Process_Logic],,0,)</f>
        <v>#N/A</v>
      </c>
      <c r="F10" s="17" t="e">
        <f>_xlfn.XLOOKUP($D10,Tab_Def_Processes[Process_Name],Tab_Def_Processes[TC_Configuration],,0,)</f>
        <v>#N/A</v>
      </c>
      <c r="G10" s="17" t="e">
        <f>_xlfn.XLOOKUP($D10,Tab_Def_Processes[Process_Name],Tab_Def_Processes[Stock_Configuration],,0,)</f>
        <v>#N/A</v>
      </c>
      <c r="H10" s="17" t="e">
        <f>_xlfn.XLOOKUP($D10,Tab_Def_Processes[Process_Name],Tab_Def_Processes[Outflow_count],,0,)</f>
        <v>#N/A</v>
      </c>
      <c r="I10" s="23" t="s">
        <v>5</v>
      </c>
      <c r="J10" s="3" t="str">
        <f>_xlfn.XLOOKUP($I10,Tab_Def_Flows[Flow_Name],Tab_Def_Flows[Flow_ID],,0,1)</f>
        <v>F__</v>
      </c>
      <c r="K10" s="4"/>
      <c r="L10" s="12" t="str">
        <f t="shared" si="1"/>
        <v>TC_E1_F__</v>
      </c>
      <c r="M10" s="25"/>
      <c r="N10" s="12" t="str">
        <f t="shared" si="2"/>
        <v>TC_E2_F__</v>
      </c>
      <c r="O10" s="25"/>
      <c r="P10" s="12" t="str">
        <f t="shared" si="3"/>
        <v>TC_E3_F__</v>
      </c>
      <c r="Q10" s="25"/>
      <c r="R10" s="12" t="str">
        <f t="shared" si="4"/>
        <v>TC_E4_F__</v>
      </c>
      <c r="S10" s="4"/>
      <c r="T10" s="12" t="str">
        <f t="shared" si="5"/>
        <v>TC_E5_F__</v>
      </c>
      <c r="U10" s="4"/>
      <c r="V10" s="12" t="str">
        <f t="shared" si="6"/>
        <v>TC_E6_F__</v>
      </c>
      <c r="W10" s="4"/>
      <c r="X10" s="10"/>
      <c r="Y10" s="10"/>
    </row>
    <row r="11" spans="1:25" x14ac:dyDescent="0.25">
      <c r="A11" s="27" t="b">
        <v>0</v>
      </c>
      <c r="B11" s="3">
        <f t="shared" si="0"/>
        <v>10</v>
      </c>
      <c r="C11" s="17" t="e">
        <f>_xlfn.XLOOKUP($D11,Tab_Def_Processes[Process_Name],Tab_Def_Processes[Process_ID],,0,)</f>
        <v>#N/A</v>
      </c>
      <c r="D11" s="23" t="s">
        <v>5</v>
      </c>
      <c r="E11" s="17" t="e">
        <f>_xlfn.XLOOKUP($D11,Tab_Def_Processes[Process_Name],Tab_Def_Processes[Process_Logic],,0,)</f>
        <v>#N/A</v>
      </c>
      <c r="F11" s="17" t="e">
        <f>_xlfn.XLOOKUP($D11,Tab_Def_Processes[Process_Name],Tab_Def_Processes[TC_Configuration],,0,)</f>
        <v>#N/A</v>
      </c>
      <c r="G11" s="17" t="e">
        <f>_xlfn.XLOOKUP($D11,Tab_Def_Processes[Process_Name],Tab_Def_Processes[Stock_Configuration],,0,)</f>
        <v>#N/A</v>
      </c>
      <c r="H11" s="17" t="e">
        <f>_xlfn.XLOOKUP($D11,Tab_Def_Processes[Process_Name],Tab_Def_Processes[Outflow_count],,0,)</f>
        <v>#N/A</v>
      </c>
      <c r="I11" s="23" t="s">
        <v>5</v>
      </c>
      <c r="J11" s="3" t="str">
        <f>_xlfn.XLOOKUP($I11,Tab_Def_Flows[Flow_Name],Tab_Def_Flows[Flow_ID],,0,1)</f>
        <v>F__</v>
      </c>
      <c r="K11" s="4"/>
      <c r="L11" s="12" t="str">
        <f t="shared" si="1"/>
        <v>TC_E1_F__</v>
      </c>
      <c r="M11" s="25"/>
      <c r="N11" s="12" t="str">
        <f t="shared" si="2"/>
        <v>TC_E2_F__</v>
      </c>
      <c r="O11" s="25"/>
      <c r="P11" s="12" t="str">
        <f t="shared" si="3"/>
        <v>TC_E3_F__</v>
      </c>
      <c r="Q11" s="25"/>
      <c r="R11" s="12" t="str">
        <f t="shared" si="4"/>
        <v>TC_E4_F__</v>
      </c>
      <c r="S11" s="4"/>
      <c r="T11" s="12" t="str">
        <f t="shared" si="5"/>
        <v>TC_E5_F__</v>
      </c>
      <c r="U11" s="4"/>
      <c r="V11" s="12" t="str">
        <f t="shared" si="6"/>
        <v>TC_E6_F__</v>
      </c>
      <c r="W11" s="4"/>
      <c r="X11" s="10"/>
      <c r="Y11" s="10"/>
    </row>
    <row r="12" spans="1:25" x14ac:dyDescent="0.25">
      <c r="A12" s="27" t="b">
        <v>0</v>
      </c>
      <c r="B12" s="3">
        <f t="shared" si="0"/>
        <v>11</v>
      </c>
      <c r="C12" s="17" t="e">
        <f>_xlfn.XLOOKUP($D12,Tab_Def_Processes[Process_Name],Tab_Def_Processes[Process_ID],,0,)</f>
        <v>#N/A</v>
      </c>
      <c r="D12" s="23" t="s">
        <v>5</v>
      </c>
      <c r="E12" s="17" t="e">
        <f>_xlfn.XLOOKUP($D12,Tab_Def_Processes[Process_Name],Tab_Def_Processes[Process_Logic],,0,)</f>
        <v>#N/A</v>
      </c>
      <c r="F12" s="17" t="e">
        <f>_xlfn.XLOOKUP($D12,Tab_Def_Processes[Process_Name],Tab_Def_Processes[TC_Configuration],,0,)</f>
        <v>#N/A</v>
      </c>
      <c r="G12" s="17" t="e">
        <f>_xlfn.XLOOKUP($D12,Tab_Def_Processes[Process_Name],Tab_Def_Processes[Stock_Configuration],,0,)</f>
        <v>#N/A</v>
      </c>
      <c r="H12" s="17" t="e">
        <f>_xlfn.XLOOKUP($D12,Tab_Def_Processes[Process_Name],Tab_Def_Processes[Outflow_count],,0,)</f>
        <v>#N/A</v>
      </c>
      <c r="I12" s="23" t="s">
        <v>5</v>
      </c>
      <c r="J12" s="3" t="str">
        <f>_xlfn.XLOOKUP($I12,Tab_Def_Flows[Flow_Name],Tab_Def_Flows[Flow_ID],,0,1)</f>
        <v>F__</v>
      </c>
      <c r="K12" s="4"/>
      <c r="L12" s="12" t="str">
        <f t="shared" si="1"/>
        <v>TC_E1_F__</v>
      </c>
      <c r="M12" s="25"/>
      <c r="N12" s="12" t="str">
        <f t="shared" si="2"/>
        <v>TC_E2_F__</v>
      </c>
      <c r="O12" s="25"/>
      <c r="P12" s="12" t="str">
        <f t="shared" si="3"/>
        <v>TC_E3_F__</v>
      </c>
      <c r="Q12" s="25"/>
      <c r="R12" s="12" t="str">
        <f t="shared" si="4"/>
        <v>TC_E4_F__</v>
      </c>
      <c r="S12" s="4"/>
      <c r="T12" s="12" t="str">
        <f t="shared" si="5"/>
        <v>TC_E5_F__</v>
      </c>
      <c r="U12" s="4"/>
      <c r="V12" s="12" t="str">
        <f t="shared" si="6"/>
        <v>TC_E6_F__</v>
      </c>
      <c r="W12" s="4"/>
      <c r="X12" s="10"/>
      <c r="Y12" s="10"/>
    </row>
    <row r="13" spans="1:25" x14ac:dyDescent="0.25">
      <c r="A13" s="27" t="b">
        <v>0</v>
      </c>
      <c r="B13" s="3">
        <f t="shared" si="0"/>
        <v>12</v>
      </c>
      <c r="C13" s="17" t="e">
        <f>_xlfn.XLOOKUP($D13,Tab_Def_Processes[Process_Name],Tab_Def_Processes[Process_ID],,0,)</f>
        <v>#N/A</v>
      </c>
      <c r="D13" s="23" t="s">
        <v>5</v>
      </c>
      <c r="E13" s="17" t="e">
        <f>_xlfn.XLOOKUP($D13,Tab_Def_Processes[Process_Name],Tab_Def_Processes[Process_Logic],,0,)</f>
        <v>#N/A</v>
      </c>
      <c r="F13" s="17" t="e">
        <f>_xlfn.XLOOKUP($D13,Tab_Def_Processes[Process_Name],Tab_Def_Processes[TC_Configuration],,0,)</f>
        <v>#N/A</v>
      </c>
      <c r="G13" s="17" t="e">
        <f>_xlfn.XLOOKUP($D13,Tab_Def_Processes[Process_Name],Tab_Def_Processes[Stock_Configuration],,0,)</f>
        <v>#N/A</v>
      </c>
      <c r="H13" s="17" t="e">
        <f>_xlfn.XLOOKUP($D13,Tab_Def_Processes[Process_Name],Tab_Def_Processes[Outflow_count],,0,)</f>
        <v>#N/A</v>
      </c>
      <c r="I13" s="23" t="s">
        <v>5</v>
      </c>
      <c r="J13" s="3" t="str">
        <f>_xlfn.XLOOKUP($I13,Tab_Def_Flows[Flow_Name],Tab_Def_Flows[Flow_ID],,0,1)</f>
        <v>F__</v>
      </c>
      <c r="K13" s="4"/>
      <c r="L13" s="12" t="str">
        <f t="shared" si="1"/>
        <v>TC_E1_F__</v>
      </c>
      <c r="M13" s="25"/>
      <c r="N13" s="12" t="str">
        <f t="shared" si="2"/>
        <v>TC_E2_F__</v>
      </c>
      <c r="O13" s="25"/>
      <c r="P13" s="12" t="str">
        <f t="shared" si="3"/>
        <v>TC_E3_F__</v>
      </c>
      <c r="Q13" s="25"/>
      <c r="R13" s="12" t="str">
        <f t="shared" si="4"/>
        <v>TC_E4_F__</v>
      </c>
      <c r="S13" s="4"/>
      <c r="T13" s="12" t="str">
        <f t="shared" si="5"/>
        <v>TC_E5_F__</v>
      </c>
      <c r="U13" s="4"/>
      <c r="V13" s="12" t="str">
        <f t="shared" si="6"/>
        <v>TC_E6_F__</v>
      </c>
      <c r="W13" s="4"/>
      <c r="X13" s="10"/>
      <c r="Y13" s="10"/>
    </row>
    <row r="14" spans="1:25" x14ac:dyDescent="0.25">
      <c r="A14" s="27" t="b">
        <v>0</v>
      </c>
      <c r="B14" s="3">
        <f t="shared" si="0"/>
        <v>13</v>
      </c>
      <c r="C14" s="17" t="e">
        <f>_xlfn.XLOOKUP($D14,Tab_Def_Processes[Process_Name],Tab_Def_Processes[Process_ID],,0,)</f>
        <v>#N/A</v>
      </c>
      <c r="D14" s="23" t="s">
        <v>5</v>
      </c>
      <c r="E14" s="17" t="e">
        <f>_xlfn.XLOOKUP($D14,Tab_Def_Processes[Process_Name],Tab_Def_Processes[Process_Logic],,0,)</f>
        <v>#N/A</v>
      </c>
      <c r="F14" s="17" t="e">
        <f>_xlfn.XLOOKUP($D14,Tab_Def_Processes[Process_Name],Tab_Def_Processes[TC_Configuration],,0,)</f>
        <v>#N/A</v>
      </c>
      <c r="G14" s="17" t="e">
        <f>_xlfn.XLOOKUP($D14,Tab_Def_Processes[Process_Name],Tab_Def_Processes[Stock_Configuration],,0,)</f>
        <v>#N/A</v>
      </c>
      <c r="H14" s="17" t="e">
        <f>_xlfn.XLOOKUP($D14,Tab_Def_Processes[Process_Name],Tab_Def_Processes[Outflow_count],,0,)</f>
        <v>#N/A</v>
      </c>
      <c r="I14" s="23" t="s">
        <v>5</v>
      </c>
      <c r="J14" s="3" t="str">
        <f>_xlfn.XLOOKUP($I14,Tab_Def_Flows[Flow_Name],Tab_Def_Flows[Flow_ID],,0,1)</f>
        <v>F__</v>
      </c>
      <c r="K14" s="4"/>
      <c r="L14" s="12" t="str">
        <f t="shared" si="1"/>
        <v>TC_E1_F__</v>
      </c>
      <c r="M14" s="25"/>
      <c r="N14" s="12" t="str">
        <f t="shared" si="2"/>
        <v>TC_E2_F__</v>
      </c>
      <c r="O14" s="25"/>
      <c r="P14" s="12" t="str">
        <f t="shared" si="3"/>
        <v>TC_E3_F__</v>
      </c>
      <c r="Q14" s="25"/>
      <c r="R14" s="12" t="str">
        <f t="shared" si="4"/>
        <v>TC_E4_F__</v>
      </c>
      <c r="S14" s="4"/>
      <c r="T14" s="12" t="str">
        <f t="shared" si="5"/>
        <v>TC_E5_F__</v>
      </c>
      <c r="U14" s="4"/>
      <c r="V14" s="12" t="str">
        <f t="shared" si="6"/>
        <v>TC_E6_F__</v>
      </c>
      <c r="W14" s="4"/>
      <c r="X14" s="10"/>
      <c r="Y14" s="10"/>
    </row>
    <row r="15" spans="1:25" x14ac:dyDescent="0.25">
      <c r="A15" s="27" t="b">
        <v>0</v>
      </c>
      <c r="B15" s="3">
        <f>ROW()-1</f>
        <v>14</v>
      </c>
      <c r="C15" s="17" t="e">
        <f>_xlfn.XLOOKUP($D15,Tab_Def_Processes[Process_Name],Tab_Def_Processes[Process_ID],,0,)</f>
        <v>#N/A</v>
      </c>
      <c r="D15" s="23" t="s">
        <v>5</v>
      </c>
      <c r="E15" s="17" t="e">
        <f>_xlfn.XLOOKUP($D15,Tab_Def_Processes[Process_Name],Tab_Def_Processes[Process_Logic],,0,)</f>
        <v>#N/A</v>
      </c>
      <c r="F15" s="17" t="e">
        <f>_xlfn.XLOOKUP($D15,Tab_Def_Processes[Process_Name],Tab_Def_Processes[TC_Configuration],,0,)</f>
        <v>#N/A</v>
      </c>
      <c r="G15" s="17" t="e">
        <f>_xlfn.XLOOKUP($D15,Tab_Def_Processes[Process_Name],Tab_Def_Processes[Stock_Configuration],,0,)</f>
        <v>#N/A</v>
      </c>
      <c r="H15" s="17" t="e">
        <f>_xlfn.XLOOKUP($D15,Tab_Def_Processes[Process_Name],Tab_Def_Processes[Outflow_count],,0,)</f>
        <v>#N/A</v>
      </c>
      <c r="I15" s="23" t="s">
        <v>5</v>
      </c>
      <c r="J15" s="3" t="str">
        <f>_xlfn.XLOOKUP($I15,Tab_Def_Flows[Flow_Name],Tab_Def_Flows[Flow_ID],,0,1)</f>
        <v>F__</v>
      </c>
      <c r="K15" s="4"/>
      <c r="L15" s="12" t="str">
        <f t="shared" si="1"/>
        <v>TC_E1_F__</v>
      </c>
      <c r="M15" s="25"/>
      <c r="N15" s="12" t="str">
        <f t="shared" si="2"/>
        <v>TC_E2_F__</v>
      </c>
      <c r="O15" s="25"/>
      <c r="P15" s="12" t="str">
        <f t="shared" si="3"/>
        <v>TC_E3_F__</v>
      </c>
      <c r="Q15" s="25"/>
      <c r="R15" s="12" t="str">
        <f t="shared" si="4"/>
        <v>TC_E4_F__</v>
      </c>
      <c r="S15" s="4"/>
      <c r="T15" s="12" t="str">
        <f t="shared" si="5"/>
        <v>TC_E5_F__</v>
      </c>
      <c r="U15" s="4"/>
      <c r="V15" s="12" t="str">
        <f t="shared" si="6"/>
        <v>TC_E6_F__</v>
      </c>
      <c r="W15" s="4"/>
      <c r="X15" s="10"/>
      <c r="Y15" s="10"/>
    </row>
    <row r="16" spans="1:25" x14ac:dyDescent="0.25">
      <c r="A16" s="27" t="b">
        <v>0</v>
      </c>
      <c r="B16" s="3">
        <f>ROW()-1</f>
        <v>15</v>
      </c>
      <c r="C16" s="17" t="e">
        <f>_xlfn.XLOOKUP($D16,Tab_Def_Processes[Process_Name],Tab_Def_Processes[Process_ID],,0,)</f>
        <v>#N/A</v>
      </c>
      <c r="D16" s="23" t="s">
        <v>5</v>
      </c>
      <c r="E16" s="17" t="e">
        <f>_xlfn.XLOOKUP($D16,Tab_Def_Processes[Process_Name],Tab_Def_Processes[Process_Logic],,0,)</f>
        <v>#N/A</v>
      </c>
      <c r="F16" s="17" t="e">
        <f>_xlfn.XLOOKUP($D16,Tab_Def_Processes[Process_Name],Tab_Def_Processes[TC_Configuration],,0,)</f>
        <v>#N/A</v>
      </c>
      <c r="G16" s="17" t="e">
        <f>_xlfn.XLOOKUP($D16,Tab_Def_Processes[Process_Name],Tab_Def_Processes[Stock_Configuration],,0,)</f>
        <v>#N/A</v>
      </c>
      <c r="H16" s="17" t="e">
        <f>_xlfn.XLOOKUP($D16,Tab_Def_Processes[Process_Name],Tab_Def_Processes[Outflow_count],,0,)</f>
        <v>#N/A</v>
      </c>
      <c r="I16" s="23" t="s">
        <v>5</v>
      </c>
      <c r="J16" s="3" t="str">
        <f>_xlfn.XLOOKUP($I16,Tab_Def_Flows[Flow_Name],Tab_Def_Flows[Flow_ID],,0,1)</f>
        <v>F__</v>
      </c>
      <c r="K16" s="4"/>
      <c r="L16" s="12" t="str">
        <f t="shared" si="1"/>
        <v>TC_E1_F__</v>
      </c>
      <c r="M16" s="25"/>
      <c r="N16" s="12" t="str">
        <f t="shared" si="2"/>
        <v>TC_E2_F__</v>
      </c>
      <c r="O16" s="25"/>
      <c r="P16" s="12" t="str">
        <f t="shared" si="3"/>
        <v>TC_E3_F__</v>
      </c>
      <c r="Q16" s="25"/>
      <c r="R16" s="12" t="str">
        <f t="shared" si="4"/>
        <v>TC_E4_F__</v>
      </c>
      <c r="S16" s="4"/>
      <c r="T16" s="12" t="str">
        <f t="shared" si="5"/>
        <v>TC_E5_F__</v>
      </c>
      <c r="U16" s="4"/>
      <c r="V16" s="12" t="str">
        <f t="shared" si="6"/>
        <v>TC_E6_F__</v>
      </c>
      <c r="W16" s="4"/>
      <c r="X16" s="10"/>
      <c r="Y16" s="10"/>
    </row>
    <row r="17" spans="1:25" x14ac:dyDescent="0.25">
      <c r="A17" s="27" t="b">
        <v>0</v>
      </c>
      <c r="B17" s="3">
        <f t="shared" si="0"/>
        <v>16</v>
      </c>
      <c r="C17" s="17" t="e">
        <f>_xlfn.XLOOKUP($D17,Tab_Def_Processes[Process_Name],Tab_Def_Processes[Process_ID],,0,)</f>
        <v>#N/A</v>
      </c>
      <c r="D17" s="23" t="s">
        <v>5</v>
      </c>
      <c r="E17" s="17" t="e">
        <f>_xlfn.XLOOKUP($D17,Tab_Def_Processes[Process_Name],Tab_Def_Processes[Process_Logic],,0,)</f>
        <v>#N/A</v>
      </c>
      <c r="F17" s="17" t="e">
        <f>_xlfn.XLOOKUP($D17,Tab_Def_Processes[Process_Name],Tab_Def_Processes[TC_Configuration],,0,)</f>
        <v>#N/A</v>
      </c>
      <c r="G17" s="17" t="e">
        <f>_xlfn.XLOOKUP($D17,Tab_Def_Processes[Process_Name],Tab_Def_Processes[Stock_Configuration],,0,)</f>
        <v>#N/A</v>
      </c>
      <c r="H17" s="17" t="e">
        <f>_xlfn.XLOOKUP($D17,Tab_Def_Processes[Process_Name],Tab_Def_Processes[Outflow_count],,0,)</f>
        <v>#N/A</v>
      </c>
      <c r="I17" s="23" t="s">
        <v>5</v>
      </c>
      <c r="J17" s="3" t="str">
        <f>_xlfn.XLOOKUP($I17,Tab_Def_Flows[Flow_Name],Tab_Def_Flows[Flow_ID],,0,1)</f>
        <v>F__</v>
      </c>
      <c r="K17" s="4"/>
      <c r="L17" s="12" t="str">
        <f t="shared" si="1"/>
        <v>TC_E1_F__</v>
      </c>
      <c r="M17" s="25"/>
      <c r="N17" s="12" t="str">
        <f t="shared" si="2"/>
        <v>TC_E2_F__</v>
      </c>
      <c r="O17" s="25"/>
      <c r="P17" s="12" t="str">
        <f t="shared" si="3"/>
        <v>TC_E3_F__</v>
      </c>
      <c r="Q17" s="25"/>
      <c r="R17" s="12" t="str">
        <f t="shared" si="4"/>
        <v>TC_E4_F__</v>
      </c>
      <c r="S17" s="4"/>
      <c r="T17" s="12" t="str">
        <f t="shared" si="5"/>
        <v>TC_E5_F__</v>
      </c>
      <c r="U17" s="4"/>
      <c r="V17" s="12" t="str">
        <f t="shared" si="6"/>
        <v>TC_E6_F__</v>
      </c>
      <c r="W17" s="4"/>
      <c r="X17" s="10"/>
      <c r="Y17" s="10"/>
    </row>
    <row r="18" spans="1:25" ht="16.5" customHeight="1" x14ac:dyDescent="0.25">
      <c r="A18" s="27" t="b">
        <v>0</v>
      </c>
      <c r="B18" s="3">
        <f t="shared" si="0"/>
        <v>17</v>
      </c>
      <c r="C18" s="17" t="e">
        <f>_xlfn.XLOOKUP($D18,Tab_Def_Processes[Process_Name],Tab_Def_Processes[Process_ID],,0,)</f>
        <v>#N/A</v>
      </c>
      <c r="D18" s="23" t="s">
        <v>5</v>
      </c>
      <c r="E18" s="17" t="e">
        <f>_xlfn.XLOOKUP($D18,Tab_Def_Processes[Process_Name],Tab_Def_Processes[Process_Logic],,0,)</f>
        <v>#N/A</v>
      </c>
      <c r="F18" s="17" t="e">
        <f>_xlfn.XLOOKUP($D18,Tab_Def_Processes[Process_Name],Tab_Def_Processes[TC_Configuration],,0,)</f>
        <v>#N/A</v>
      </c>
      <c r="G18" s="17" t="e">
        <f>_xlfn.XLOOKUP($D18,Tab_Def_Processes[Process_Name],Tab_Def_Processes[Stock_Configuration],,0,)</f>
        <v>#N/A</v>
      </c>
      <c r="H18" s="17" t="e">
        <f>_xlfn.XLOOKUP($D18,Tab_Def_Processes[Process_Name],Tab_Def_Processes[Outflow_count],,0,)</f>
        <v>#N/A</v>
      </c>
      <c r="I18" s="23" t="s">
        <v>5</v>
      </c>
      <c r="J18" s="3" t="str">
        <f>_xlfn.XLOOKUP($I18,Tab_Def_Flows[Flow_Name],Tab_Def_Flows[Flow_ID],,0,1)</f>
        <v>F__</v>
      </c>
      <c r="K18" s="4"/>
      <c r="L18" s="12" t="str">
        <f t="shared" si="1"/>
        <v>TC_E1_F__</v>
      </c>
      <c r="M18" s="25"/>
      <c r="N18" s="12" t="str">
        <f t="shared" si="2"/>
        <v>TC_E2_F__</v>
      </c>
      <c r="O18" s="25"/>
      <c r="P18" s="12" t="str">
        <f t="shared" si="3"/>
        <v>TC_E3_F__</v>
      </c>
      <c r="Q18" s="25"/>
      <c r="R18" s="12" t="str">
        <f t="shared" si="4"/>
        <v>TC_E4_F__</v>
      </c>
      <c r="S18" s="4"/>
      <c r="T18" s="12" t="str">
        <f t="shared" si="5"/>
        <v>TC_E5_F__</v>
      </c>
      <c r="U18" s="4"/>
      <c r="V18" s="12" t="str">
        <f t="shared" si="6"/>
        <v>TC_E6_F__</v>
      </c>
      <c r="W18" s="4"/>
      <c r="X18" s="10"/>
      <c r="Y18" s="10"/>
    </row>
    <row r="19" spans="1:25" ht="16.5" customHeight="1" x14ac:dyDescent="0.25">
      <c r="A19" s="27" t="b">
        <v>0</v>
      </c>
      <c r="B19" s="3">
        <f>ROW()-1</f>
        <v>18</v>
      </c>
      <c r="C19" s="17" t="e">
        <f>_xlfn.XLOOKUP($D19,Tab_Def_Processes[Process_Name],Tab_Def_Processes[Process_ID],,0,)</f>
        <v>#N/A</v>
      </c>
      <c r="D19" s="23" t="s">
        <v>5</v>
      </c>
      <c r="E19" s="17" t="e">
        <f>_xlfn.XLOOKUP($D19,Tab_Def_Processes[Process_Name],Tab_Def_Processes[Process_Logic],,0,)</f>
        <v>#N/A</v>
      </c>
      <c r="F19" s="17" t="e">
        <f>_xlfn.XLOOKUP($D19,Tab_Def_Processes[Process_Name],Tab_Def_Processes[TC_Configuration],,0,)</f>
        <v>#N/A</v>
      </c>
      <c r="G19" s="17" t="e">
        <f>_xlfn.XLOOKUP($D19,Tab_Def_Processes[Process_Name],Tab_Def_Processes[Stock_Configuration],,0,)</f>
        <v>#N/A</v>
      </c>
      <c r="H19" s="17" t="e">
        <f>_xlfn.XLOOKUP($D19,Tab_Def_Processes[Process_Name],Tab_Def_Processes[Outflow_count],,0,)</f>
        <v>#N/A</v>
      </c>
      <c r="I19" s="23" t="s">
        <v>5</v>
      </c>
      <c r="J19" s="3" t="str">
        <f>_xlfn.XLOOKUP($I19,Tab_Def_Flows[Flow_Name],Tab_Def_Flows[Flow_ID],,0,1)</f>
        <v>F__</v>
      </c>
      <c r="K19" s="4"/>
      <c r="L19" s="12" t="str">
        <f t="shared" si="1"/>
        <v>TC_E1_F__</v>
      </c>
      <c r="M19" s="25"/>
      <c r="N19" s="12" t="str">
        <f t="shared" si="2"/>
        <v>TC_E2_F__</v>
      </c>
      <c r="O19" s="25"/>
      <c r="P19" s="12" t="str">
        <f t="shared" si="3"/>
        <v>TC_E3_F__</v>
      </c>
      <c r="Q19" s="25"/>
      <c r="R19" s="12" t="str">
        <f t="shared" si="4"/>
        <v>TC_E4_F__</v>
      </c>
      <c r="S19" s="4"/>
      <c r="T19" s="12" t="str">
        <f t="shared" si="5"/>
        <v>TC_E5_F__</v>
      </c>
      <c r="U19" s="4"/>
      <c r="V19" s="12" t="str">
        <f t="shared" si="6"/>
        <v>TC_E6_F__</v>
      </c>
      <c r="W19" s="4"/>
      <c r="X19" s="10"/>
      <c r="Y19" s="10"/>
    </row>
    <row r="20" spans="1:25" ht="16.5" customHeight="1" x14ac:dyDescent="0.25">
      <c r="A20" s="27" t="b">
        <v>0</v>
      </c>
      <c r="B20" s="3">
        <f>ROW()-1</f>
        <v>19</v>
      </c>
      <c r="C20" s="17" t="e">
        <f>_xlfn.XLOOKUP($D20,Tab_Def_Processes[Process_Name],Tab_Def_Processes[Process_ID],,0,)</f>
        <v>#N/A</v>
      </c>
      <c r="D20" s="23" t="s">
        <v>5</v>
      </c>
      <c r="E20" s="17" t="e">
        <f>_xlfn.XLOOKUP($D20,Tab_Def_Processes[Process_Name],Tab_Def_Processes[Process_Logic],,0,)</f>
        <v>#N/A</v>
      </c>
      <c r="F20" s="17" t="e">
        <f>_xlfn.XLOOKUP($D20,Tab_Def_Processes[Process_Name],Tab_Def_Processes[TC_Configuration],,0,)</f>
        <v>#N/A</v>
      </c>
      <c r="G20" s="17" t="e">
        <f>_xlfn.XLOOKUP($D20,Tab_Def_Processes[Process_Name],Tab_Def_Processes[Stock_Configuration],,0,)</f>
        <v>#N/A</v>
      </c>
      <c r="H20" s="17" t="e">
        <f>_xlfn.XLOOKUP($D20,Tab_Def_Processes[Process_Name],Tab_Def_Processes[Outflow_count],,0,)</f>
        <v>#N/A</v>
      </c>
      <c r="I20" s="23" t="s">
        <v>5</v>
      </c>
      <c r="J20" s="3" t="str">
        <f>_xlfn.XLOOKUP($I20,Tab_Def_Flows[Flow_Name],Tab_Def_Flows[Flow_ID],,0,1)</f>
        <v>F__</v>
      </c>
      <c r="K20" s="4"/>
      <c r="L20" s="12" t="str">
        <f t="shared" si="1"/>
        <v>TC_E1_F__</v>
      </c>
      <c r="M20" s="25"/>
      <c r="N20" s="12" t="str">
        <f t="shared" si="2"/>
        <v>TC_E2_F__</v>
      </c>
      <c r="O20" s="25"/>
      <c r="P20" s="12" t="str">
        <f t="shared" si="3"/>
        <v>TC_E3_F__</v>
      </c>
      <c r="Q20" s="25"/>
      <c r="R20" s="12" t="str">
        <f t="shared" si="4"/>
        <v>TC_E4_F__</v>
      </c>
      <c r="S20" s="4"/>
      <c r="T20" s="12" t="str">
        <f t="shared" si="5"/>
        <v>TC_E5_F__</v>
      </c>
      <c r="U20" s="4"/>
      <c r="V20" s="12" t="str">
        <f t="shared" si="6"/>
        <v>TC_E6_F__</v>
      </c>
      <c r="W20" s="4"/>
      <c r="X20" s="10"/>
      <c r="Y20" s="10"/>
    </row>
    <row r="21" spans="1:25" x14ac:dyDescent="0.25">
      <c r="A21" s="27" t="b">
        <v>0</v>
      </c>
      <c r="B21" s="3">
        <f t="shared" si="0"/>
        <v>20</v>
      </c>
      <c r="C21" s="17" t="e">
        <f>_xlfn.XLOOKUP($D21,Tab_Def_Processes[Process_Name],Tab_Def_Processes[Process_ID],,0,)</f>
        <v>#N/A</v>
      </c>
      <c r="D21" s="23" t="s">
        <v>5</v>
      </c>
      <c r="E21" s="17" t="e">
        <f>_xlfn.XLOOKUP($D21,Tab_Def_Processes[Process_Name],Tab_Def_Processes[Process_Logic],,0,)</f>
        <v>#N/A</v>
      </c>
      <c r="F21" s="17" t="e">
        <f>_xlfn.XLOOKUP($D21,Tab_Def_Processes[Process_Name],Tab_Def_Processes[TC_Configuration],,0,)</f>
        <v>#N/A</v>
      </c>
      <c r="G21" s="17" t="e">
        <f>_xlfn.XLOOKUP($D21,Tab_Def_Processes[Process_Name],Tab_Def_Processes[Stock_Configuration],,0,)</f>
        <v>#N/A</v>
      </c>
      <c r="H21" s="17" t="e">
        <f>_xlfn.XLOOKUP($D21,Tab_Def_Processes[Process_Name],Tab_Def_Processes[Outflow_count],,0,)</f>
        <v>#N/A</v>
      </c>
      <c r="I21" s="23" t="s">
        <v>5</v>
      </c>
      <c r="J21" s="3" t="str">
        <f>_xlfn.XLOOKUP($I21,Tab_Def_Flows[Flow_Name],Tab_Def_Flows[Flow_ID],,0,1)</f>
        <v>F__</v>
      </c>
      <c r="K21" s="4"/>
      <c r="L21" s="12" t="str">
        <f t="shared" si="1"/>
        <v>TC_E1_F__</v>
      </c>
      <c r="M21" s="25"/>
      <c r="N21" s="12" t="str">
        <f t="shared" si="2"/>
        <v>TC_E2_F__</v>
      </c>
      <c r="O21" s="25"/>
      <c r="P21" s="12" t="str">
        <f t="shared" si="3"/>
        <v>TC_E3_F__</v>
      </c>
      <c r="Q21" s="25"/>
      <c r="R21" s="12" t="str">
        <f t="shared" si="4"/>
        <v>TC_E4_F__</v>
      </c>
      <c r="S21" s="4"/>
      <c r="T21" s="12" t="str">
        <f t="shared" si="5"/>
        <v>TC_E5_F__</v>
      </c>
      <c r="U21" s="4"/>
      <c r="V21" s="12" t="str">
        <f t="shared" si="6"/>
        <v>TC_E6_F__</v>
      </c>
      <c r="W21" s="4"/>
      <c r="X21" s="10"/>
      <c r="Y21" s="10"/>
    </row>
    <row r="22" spans="1:25" x14ac:dyDescent="0.25">
      <c r="A22" s="27" t="b">
        <v>0</v>
      </c>
      <c r="B22" s="3">
        <f t="shared" si="0"/>
        <v>21</v>
      </c>
      <c r="C22" s="17" t="e">
        <f>_xlfn.XLOOKUP($D22,Tab_Def_Processes[Process_Name],Tab_Def_Processes[Process_ID],,0,)</f>
        <v>#N/A</v>
      </c>
      <c r="D22" s="23" t="s">
        <v>5</v>
      </c>
      <c r="E22" s="17" t="e">
        <f>_xlfn.XLOOKUP($D22,Tab_Def_Processes[Process_Name],Tab_Def_Processes[Process_Logic],,0,)</f>
        <v>#N/A</v>
      </c>
      <c r="F22" s="17" t="e">
        <f>_xlfn.XLOOKUP($D22,Tab_Def_Processes[Process_Name],Tab_Def_Processes[TC_Configuration],,0,)</f>
        <v>#N/A</v>
      </c>
      <c r="G22" s="17" t="e">
        <f>_xlfn.XLOOKUP($D22,Tab_Def_Processes[Process_Name],Tab_Def_Processes[Stock_Configuration],,0,)</f>
        <v>#N/A</v>
      </c>
      <c r="H22" s="17" t="e">
        <f>_xlfn.XLOOKUP($D22,Tab_Def_Processes[Process_Name],Tab_Def_Processes[Outflow_count],,0,)</f>
        <v>#N/A</v>
      </c>
      <c r="I22" s="23" t="s">
        <v>5</v>
      </c>
      <c r="J22" s="3" t="str">
        <f>_xlfn.XLOOKUP($I22,Tab_Def_Flows[Flow_Name],Tab_Def_Flows[Flow_ID],,0,1)</f>
        <v>F__</v>
      </c>
      <c r="K22" s="4"/>
      <c r="L22" s="12" t="str">
        <f t="shared" si="1"/>
        <v>TC_E1_F__</v>
      </c>
      <c r="M22" s="25"/>
      <c r="N22" s="12" t="str">
        <f t="shared" si="2"/>
        <v>TC_E2_F__</v>
      </c>
      <c r="O22" s="25"/>
      <c r="P22" s="12" t="str">
        <f t="shared" si="3"/>
        <v>TC_E3_F__</v>
      </c>
      <c r="Q22" s="25"/>
      <c r="R22" s="12" t="str">
        <f t="shared" si="4"/>
        <v>TC_E4_F__</v>
      </c>
      <c r="S22" s="4"/>
      <c r="T22" s="12" t="str">
        <f t="shared" si="5"/>
        <v>TC_E5_F__</v>
      </c>
      <c r="U22" s="4"/>
      <c r="V22" s="12" t="str">
        <f t="shared" si="6"/>
        <v>TC_E6_F__</v>
      </c>
      <c r="W22" s="4"/>
      <c r="X22" s="10"/>
      <c r="Y22" s="10"/>
    </row>
    <row r="23" spans="1:25" x14ac:dyDescent="0.25">
      <c r="A23" s="27" t="b">
        <v>0</v>
      </c>
      <c r="B23" s="3">
        <f t="shared" si="0"/>
        <v>22</v>
      </c>
      <c r="C23" s="17" t="e">
        <f>_xlfn.XLOOKUP($D23,Tab_Def_Processes[Process_Name],Tab_Def_Processes[Process_ID],,0,)</f>
        <v>#N/A</v>
      </c>
      <c r="D23" s="23" t="s">
        <v>5</v>
      </c>
      <c r="E23" s="17" t="e">
        <f>_xlfn.XLOOKUP($D23,Tab_Def_Processes[Process_Name],Tab_Def_Processes[Process_Logic],,0,)</f>
        <v>#N/A</v>
      </c>
      <c r="F23" s="17" t="e">
        <f>_xlfn.XLOOKUP($D23,Tab_Def_Processes[Process_Name],Tab_Def_Processes[TC_Configuration],,0,)</f>
        <v>#N/A</v>
      </c>
      <c r="G23" s="17" t="e">
        <f>_xlfn.XLOOKUP($D23,Tab_Def_Processes[Process_Name],Tab_Def_Processes[Stock_Configuration],,0,)</f>
        <v>#N/A</v>
      </c>
      <c r="H23" s="17" t="e">
        <f>_xlfn.XLOOKUP($D23,Tab_Def_Processes[Process_Name],Tab_Def_Processes[Outflow_count],,0,)</f>
        <v>#N/A</v>
      </c>
      <c r="I23" s="23" t="s">
        <v>5</v>
      </c>
      <c r="J23" s="3" t="str">
        <f>_xlfn.XLOOKUP($I23,Tab_Def_Flows[Flow_Name],Tab_Def_Flows[Flow_ID],,0,1)</f>
        <v>F__</v>
      </c>
      <c r="K23" s="4"/>
      <c r="L23" s="12" t="str">
        <f t="shared" si="1"/>
        <v>TC_E1_F__</v>
      </c>
      <c r="M23" s="25"/>
      <c r="N23" s="12" t="str">
        <f t="shared" si="2"/>
        <v>TC_E2_F__</v>
      </c>
      <c r="O23" s="25"/>
      <c r="P23" s="12" t="str">
        <f t="shared" si="3"/>
        <v>TC_E3_F__</v>
      </c>
      <c r="Q23" s="25"/>
      <c r="R23" s="12" t="str">
        <f t="shared" si="4"/>
        <v>TC_E4_F__</v>
      </c>
      <c r="S23" s="4"/>
      <c r="T23" s="12" t="str">
        <f t="shared" si="5"/>
        <v>TC_E5_F__</v>
      </c>
      <c r="U23" s="4"/>
      <c r="V23" s="12" t="str">
        <f t="shared" si="6"/>
        <v>TC_E6_F__</v>
      </c>
      <c r="W23" s="4"/>
      <c r="X23" s="10"/>
      <c r="Y23" s="10"/>
    </row>
    <row r="24" spans="1:25" x14ac:dyDescent="0.25">
      <c r="A24" s="27" t="b">
        <v>0</v>
      </c>
      <c r="B24" s="3">
        <f t="shared" si="0"/>
        <v>23</v>
      </c>
      <c r="C24" s="17" t="e">
        <f>_xlfn.XLOOKUP($D24,Tab_Def_Processes[Process_Name],Tab_Def_Processes[Process_ID],,0,)</f>
        <v>#N/A</v>
      </c>
      <c r="D24" s="23" t="s">
        <v>5</v>
      </c>
      <c r="E24" s="17" t="e">
        <f>_xlfn.XLOOKUP($D24,Tab_Def_Processes[Process_Name],Tab_Def_Processes[Process_Logic],,0,)</f>
        <v>#N/A</v>
      </c>
      <c r="F24" s="17" t="e">
        <f>_xlfn.XLOOKUP($D24,Tab_Def_Processes[Process_Name],Tab_Def_Processes[TC_Configuration],,0,)</f>
        <v>#N/A</v>
      </c>
      <c r="G24" s="17" t="e">
        <f>_xlfn.XLOOKUP($D24,Tab_Def_Processes[Process_Name],Tab_Def_Processes[Stock_Configuration],,0,)</f>
        <v>#N/A</v>
      </c>
      <c r="H24" s="17" t="e">
        <f>_xlfn.XLOOKUP($D24,Tab_Def_Processes[Process_Name],Tab_Def_Processes[Outflow_count],,0,)</f>
        <v>#N/A</v>
      </c>
      <c r="I24" s="23" t="s">
        <v>5</v>
      </c>
      <c r="J24" s="3" t="str">
        <f>_xlfn.XLOOKUP($I24,Tab_Def_Flows[Flow_Name],Tab_Def_Flows[Flow_ID],,0,1)</f>
        <v>F__</v>
      </c>
      <c r="K24" s="4"/>
      <c r="L24" s="12" t="str">
        <f t="shared" si="1"/>
        <v>TC_E1_F__</v>
      </c>
      <c r="M24" s="25"/>
      <c r="N24" s="12" t="str">
        <f t="shared" si="2"/>
        <v>TC_E2_F__</v>
      </c>
      <c r="O24" s="25"/>
      <c r="P24" s="12" t="str">
        <f t="shared" si="3"/>
        <v>TC_E3_F__</v>
      </c>
      <c r="Q24" s="25"/>
      <c r="R24" s="12" t="str">
        <f t="shared" si="4"/>
        <v>TC_E4_F__</v>
      </c>
      <c r="S24" s="4"/>
      <c r="T24" s="12" t="str">
        <f t="shared" si="5"/>
        <v>TC_E5_F__</v>
      </c>
      <c r="U24" s="4"/>
      <c r="V24" s="12" t="str">
        <f t="shared" si="6"/>
        <v>TC_E6_F__</v>
      </c>
      <c r="W24" s="4"/>
      <c r="X24" s="10"/>
      <c r="Y24" s="10"/>
    </row>
    <row r="25" spans="1:25" x14ac:dyDescent="0.25">
      <c r="A25" s="27" t="b">
        <v>0</v>
      </c>
      <c r="B25" s="3">
        <f t="shared" si="0"/>
        <v>24</v>
      </c>
      <c r="C25" s="17" t="e">
        <f>_xlfn.XLOOKUP($D25,Tab_Def_Processes[Process_Name],Tab_Def_Processes[Process_ID],,0,)</f>
        <v>#N/A</v>
      </c>
      <c r="D25" s="23" t="s">
        <v>5</v>
      </c>
      <c r="E25" s="17" t="e">
        <f>_xlfn.XLOOKUP($D25,Tab_Def_Processes[Process_Name],Tab_Def_Processes[Process_Logic],,0,)</f>
        <v>#N/A</v>
      </c>
      <c r="F25" s="17" t="e">
        <f>_xlfn.XLOOKUP($D25,Tab_Def_Processes[Process_Name],Tab_Def_Processes[TC_Configuration],,0,)</f>
        <v>#N/A</v>
      </c>
      <c r="G25" s="17" t="e">
        <f>_xlfn.XLOOKUP($D25,Tab_Def_Processes[Process_Name],Tab_Def_Processes[Stock_Configuration],,0,)</f>
        <v>#N/A</v>
      </c>
      <c r="H25" s="17" t="e">
        <f>_xlfn.XLOOKUP($D25,Tab_Def_Processes[Process_Name],Tab_Def_Processes[Outflow_count],,0,)</f>
        <v>#N/A</v>
      </c>
      <c r="I25" s="23" t="s">
        <v>5</v>
      </c>
      <c r="J25" s="3" t="str">
        <f>_xlfn.XLOOKUP($I25,Tab_Def_Flows[Flow_Name],Tab_Def_Flows[Flow_ID],,0,1)</f>
        <v>F__</v>
      </c>
      <c r="K25" s="4"/>
      <c r="L25" s="12" t="str">
        <f t="shared" si="1"/>
        <v>TC_E1_F__</v>
      </c>
      <c r="M25" s="25"/>
      <c r="N25" s="12" t="str">
        <f t="shared" si="2"/>
        <v>TC_E2_F__</v>
      </c>
      <c r="O25" s="25"/>
      <c r="P25" s="12" t="str">
        <f t="shared" si="3"/>
        <v>TC_E3_F__</v>
      </c>
      <c r="Q25" s="25"/>
      <c r="R25" s="12" t="str">
        <f t="shared" si="4"/>
        <v>TC_E4_F__</v>
      </c>
      <c r="S25" s="4"/>
      <c r="T25" s="12" t="str">
        <f t="shared" si="5"/>
        <v>TC_E5_F__</v>
      </c>
      <c r="U25" s="4"/>
      <c r="V25" s="12" t="str">
        <f t="shared" si="6"/>
        <v>TC_E6_F__</v>
      </c>
      <c r="W25" s="4"/>
      <c r="X25" s="10"/>
      <c r="Y25" s="10"/>
    </row>
    <row r="26" spans="1:25" x14ac:dyDescent="0.25">
      <c r="A26" s="27" t="b">
        <v>0</v>
      </c>
      <c r="B26" s="3">
        <f t="shared" si="0"/>
        <v>25</v>
      </c>
      <c r="C26" s="17" t="e">
        <f>_xlfn.XLOOKUP($D26,Tab_Def_Processes[Process_Name],Tab_Def_Processes[Process_ID],,0,)</f>
        <v>#N/A</v>
      </c>
      <c r="D26" s="23" t="s">
        <v>5</v>
      </c>
      <c r="E26" s="17" t="e">
        <f>_xlfn.XLOOKUP($D26,Tab_Def_Processes[Process_Name],Tab_Def_Processes[Process_Logic],,0,)</f>
        <v>#N/A</v>
      </c>
      <c r="F26" s="17" t="e">
        <f>_xlfn.XLOOKUP($D26,Tab_Def_Processes[Process_Name],Tab_Def_Processes[TC_Configuration],,0,)</f>
        <v>#N/A</v>
      </c>
      <c r="G26" s="17" t="e">
        <f>_xlfn.XLOOKUP($D26,Tab_Def_Processes[Process_Name],Tab_Def_Processes[Stock_Configuration],,0,)</f>
        <v>#N/A</v>
      </c>
      <c r="H26" s="17" t="e">
        <f>_xlfn.XLOOKUP($D26,Tab_Def_Processes[Process_Name],Tab_Def_Processes[Outflow_count],,0,)</f>
        <v>#N/A</v>
      </c>
      <c r="I26" s="23" t="s">
        <v>5</v>
      </c>
      <c r="J26" s="3" t="str">
        <f>_xlfn.XLOOKUP($I26,Tab_Def_Flows[Flow_Name],Tab_Def_Flows[Flow_ID],,0,1)</f>
        <v>F__</v>
      </c>
      <c r="K26" s="4"/>
      <c r="L26" s="12" t="str">
        <f t="shared" si="1"/>
        <v>TC_E1_F__</v>
      </c>
      <c r="M26" s="25"/>
      <c r="N26" s="12" t="str">
        <f t="shared" si="2"/>
        <v>TC_E2_F__</v>
      </c>
      <c r="O26" s="25"/>
      <c r="P26" s="12" t="str">
        <f t="shared" si="3"/>
        <v>TC_E3_F__</v>
      </c>
      <c r="Q26" s="25"/>
      <c r="R26" s="12" t="str">
        <f t="shared" si="4"/>
        <v>TC_E4_F__</v>
      </c>
      <c r="S26" s="4"/>
      <c r="T26" s="12" t="str">
        <f t="shared" si="5"/>
        <v>TC_E5_F__</v>
      </c>
      <c r="U26" s="4"/>
      <c r="V26" s="12" t="str">
        <f t="shared" si="6"/>
        <v>TC_E6_F__</v>
      </c>
      <c r="W26" s="4"/>
      <c r="X26" s="10"/>
      <c r="Y26" s="10"/>
    </row>
    <row r="27" spans="1:25" x14ac:dyDescent="0.25">
      <c r="A27" s="27" t="b">
        <v>0</v>
      </c>
      <c r="B27" s="3">
        <f t="shared" si="0"/>
        <v>26</v>
      </c>
      <c r="C27" s="17" t="e">
        <f>_xlfn.XLOOKUP($D27,Tab_Def_Processes[Process_Name],Tab_Def_Processes[Process_ID],,0,)</f>
        <v>#N/A</v>
      </c>
      <c r="D27" s="23" t="s">
        <v>5</v>
      </c>
      <c r="E27" s="17" t="e">
        <f>_xlfn.XLOOKUP($D27,Tab_Def_Processes[Process_Name],Tab_Def_Processes[Process_Logic],,0,)</f>
        <v>#N/A</v>
      </c>
      <c r="F27" s="17" t="e">
        <f>_xlfn.XLOOKUP($D27,Tab_Def_Processes[Process_Name],Tab_Def_Processes[TC_Configuration],,0,)</f>
        <v>#N/A</v>
      </c>
      <c r="G27" s="17" t="e">
        <f>_xlfn.XLOOKUP($D27,Tab_Def_Processes[Process_Name],Tab_Def_Processes[Stock_Configuration],,0,)</f>
        <v>#N/A</v>
      </c>
      <c r="H27" s="17" t="e">
        <f>_xlfn.XLOOKUP($D27,Tab_Def_Processes[Process_Name],Tab_Def_Processes[Outflow_count],,0,)</f>
        <v>#N/A</v>
      </c>
      <c r="I27" s="23" t="s">
        <v>5</v>
      </c>
      <c r="J27" s="3" t="str">
        <f>_xlfn.XLOOKUP($I27,Tab_Def_Flows[Flow_Name],Tab_Def_Flows[Flow_ID],,0,1)</f>
        <v>F__</v>
      </c>
      <c r="K27" s="4"/>
      <c r="L27" s="12" t="str">
        <f t="shared" si="1"/>
        <v>TC_E1_F__</v>
      </c>
      <c r="M27" s="25"/>
      <c r="N27" s="12" t="str">
        <f t="shared" si="2"/>
        <v>TC_E2_F__</v>
      </c>
      <c r="O27" s="25"/>
      <c r="P27" s="12" t="str">
        <f t="shared" si="3"/>
        <v>TC_E3_F__</v>
      </c>
      <c r="Q27" s="25"/>
      <c r="R27" s="12" t="str">
        <f t="shared" si="4"/>
        <v>TC_E4_F__</v>
      </c>
      <c r="S27" s="4"/>
      <c r="T27" s="12" t="str">
        <f t="shared" si="5"/>
        <v>TC_E5_F__</v>
      </c>
      <c r="U27" s="4"/>
      <c r="V27" s="12" t="str">
        <f t="shared" si="6"/>
        <v>TC_E6_F__</v>
      </c>
      <c r="W27" s="4"/>
      <c r="X27" s="10"/>
      <c r="Y27" s="10"/>
    </row>
    <row r="28" spans="1:25" x14ac:dyDescent="0.25">
      <c r="A28" s="27" t="b">
        <v>0</v>
      </c>
      <c r="B28" s="3">
        <f t="shared" si="0"/>
        <v>27</v>
      </c>
      <c r="C28" s="17" t="e">
        <f>_xlfn.XLOOKUP($D28,Tab_Def_Processes[Process_Name],Tab_Def_Processes[Process_ID],,0,)</f>
        <v>#N/A</v>
      </c>
      <c r="D28" s="23" t="s">
        <v>5</v>
      </c>
      <c r="E28" s="17" t="e">
        <f>_xlfn.XLOOKUP($D28,Tab_Def_Processes[Process_Name],Tab_Def_Processes[Process_Logic],,0,)</f>
        <v>#N/A</v>
      </c>
      <c r="F28" s="17" t="e">
        <f>_xlfn.XLOOKUP($D28,Tab_Def_Processes[Process_Name],Tab_Def_Processes[TC_Configuration],,0,)</f>
        <v>#N/A</v>
      </c>
      <c r="G28" s="17" t="e">
        <f>_xlfn.XLOOKUP($D28,Tab_Def_Processes[Process_Name],Tab_Def_Processes[Stock_Configuration],,0,)</f>
        <v>#N/A</v>
      </c>
      <c r="H28" s="17" t="e">
        <f>_xlfn.XLOOKUP($D28,Tab_Def_Processes[Process_Name],Tab_Def_Processes[Outflow_count],,0,)</f>
        <v>#N/A</v>
      </c>
      <c r="I28" s="23" t="s">
        <v>5</v>
      </c>
      <c r="J28" s="3" t="str">
        <f>_xlfn.XLOOKUP($I28,Tab_Def_Flows[Flow_Name],Tab_Def_Flows[Flow_ID],,0,1)</f>
        <v>F__</v>
      </c>
      <c r="K28" s="4"/>
      <c r="L28" s="12" t="str">
        <f t="shared" si="1"/>
        <v>TC_E1_F__</v>
      </c>
      <c r="M28" s="25"/>
      <c r="N28" s="12" t="str">
        <f t="shared" si="2"/>
        <v>TC_E2_F__</v>
      </c>
      <c r="O28" s="25"/>
      <c r="P28" s="12" t="str">
        <f t="shared" si="3"/>
        <v>TC_E3_F__</v>
      </c>
      <c r="Q28" s="25"/>
      <c r="R28" s="12" t="str">
        <f t="shared" si="4"/>
        <v>TC_E4_F__</v>
      </c>
      <c r="S28" s="4"/>
      <c r="T28" s="12" t="str">
        <f t="shared" si="5"/>
        <v>TC_E5_F__</v>
      </c>
      <c r="U28" s="4"/>
      <c r="V28" s="12" t="str">
        <f t="shared" si="6"/>
        <v>TC_E6_F__</v>
      </c>
      <c r="W28" s="4"/>
      <c r="X28" s="10"/>
      <c r="Y28" s="10"/>
    </row>
    <row r="29" spans="1:25" x14ac:dyDescent="0.25">
      <c r="A29" s="27" t="b">
        <v>0</v>
      </c>
      <c r="B29" s="3">
        <f t="shared" si="0"/>
        <v>28</v>
      </c>
      <c r="C29" s="17" t="e">
        <f>_xlfn.XLOOKUP($D29,Tab_Def_Processes[Process_Name],Tab_Def_Processes[Process_ID],,0,)</f>
        <v>#N/A</v>
      </c>
      <c r="D29" s="23" t="s">
        <v>5</v>
      </c>
      <c r="E29" s="17" t="e">
        <f>_xlfn.XLOOKUP($D29,Tab_Def_Processes[Process_Name],Tab_Def_Processes[Process_Logic],,0,)</f>
        <v>#N/A</v>
      </c>
      <c r="F29" s="17" t="e">
        <f>_xlfn.XLOOKUP($D29,Tab_Def_Processes[Process_Name],Tab_Def_Processes[TC_Configuration],,0,)</f>
        <v>#N/A</v>
      </c>
      <c r="G29" s="17" t="e">
        <f>_xlfn.XLOOKUP($D29,Tab_Def_Processes[Process_Name],Tab_Def_Processes[Stock_Configuration],,0,)</f>
        <v>#N/A</v>
      </c>
      <c r="H29" s="17" t="e">
        <f>_xlfn.XLOOKUP($D29,Tab_Def_Processes[Process_Name],Tab_Def_Processes[Outflow_count],,0,)</f>
        <v>#N/A</v>
      </c>
      <c r="I29" s="23" t="s">
        <v>5</v>
      </c>
      <c r="J29" s="3" t="str">
        <f>_xlfn.XLOOKUP($I29,Tab_Def_Flows[Flow_Name],Tab_Def_Flows[Flow_ID],,0,1)</f>
        <v>F__</v>
      </c>
      <c r="K29" s="4"/>
      <c r="L29" s="12" t="str">
        <f t="shared" si="1"/>
        <v>TC_E1_F__</v>
      </c>
      <c r="M29" s="25"/>
      <c r="N29" s="12" t="str">
        <f t="shared" si="2"/>
        <v>TC_E2_F__</v>
      </c>
      <c r="O29" s="25"/>
      <c r="P29" s="12" t="str">
        <f t="shared" si="3"/>
        <v>TC_E3_F__</v>
      </c>
      <c r="Q29" s="25"/>
      <c r="R29" s="12" t="str">
        <f t="shared" si="4"/>
        <v>TC_E4_F__</v>
      </c>
      <c r="S29" s="4"/>
      <c r="T29" s="12" t="str">
        <f t="shared" si="5"/>
        <v>TC_E5_F__</v>
      </c>
      <c r="U29" s="4"/>
      <c r="V29" s="12" t="str">
        <f t="shared" si="6"/>
        <v>TC_E6_F__</v>
      </c>
      <c r="W29" s="4"/>
      <c r="X29" s="10"/>
      <c r="Y29" s="10"/>
    </row>
    <row r="30" spans="1:25" x14ac:dyDescent="0.25">
      <c r="A30" s="27" t="b">
        <v>0</v>
      </c>
      <c r="B30" s="3">
        <f t="shared" si="0"/>
        <v>29</v>
      </c>
      <c r="C30" s="17" t="e">
        <f>_xlfn.XLOOKUP($D30,Tab_Def_Processes[Process_Name],Tab_Def_Processes[Process_ID],,0,)</f>
        <v>#N/A</v>
      </c>
      <c r="D30" s="23" t="s">
        <v>5</v>
      </c>
      <c r="E30" s="17" t="e">
        <f>_xlfn.XLOOKUP($D30,Tab_Def_Processes[Process_Name],Tab_Def_Processes[Process_Logic],,0,)</f>
        <v>#N/A</v>
      </c>
      <c r="F30" s="17" t="e">
        <f>_xlfn.XLOOKUP($D30,Tab_Def_Processes[Process_Name],Tab_Def_Processes[TC_Configuration],,0,)</f>
        <v>#N/A</v>
      </c>
      <c r="G30" s="17" t="e">
        <f>_xlfn.XLOOKUP($D30,Tab_Def_Processes[Process_Name],Tab_Def_Processes[Stock_Configuration],,0,)</f>
        <v>#N/A</v>
      </c>
      <c r="H30" s="17" t="e">
        <f>_xlfn.XLOOKUP($D30,Tab_Def_Processes[Process_Name],Tab_Def_Processes[Outflow_count],,0,)</f>
        <v>#N/A</v>
      </c>
      <c r="I30" s="23" t="s">
        <v>5</v>
      </c>
      <c r="J30" s="3" t="str">
        <f>_xlfn.XLOOKUP($I30,Tab_Def_Flows[Flow_Name],Tab_Def_Flows[Flow_ID],,0,1)</f>
        <v>F__</v>
      </c>
      <c r="K30" s="4"/>
      <c r="L30" s="12" t="str">
        <f t="shared" si="1"/>
        <v>TC_E1_F__</v>
      </c>
      <c r="M30" s="25"/>
      <c r="N30" s="12" t="str">
        <f t="shared" si="2"/>
        <v>TC_E2_F__</v>
      </c>
      <c r="O30" s="25"/>
      <c r="P30" s="12" t="str">
        <f t="shared" si="3"/>
        <v>TC_E3_F__</v>
      </c>
      <c r="Q30" s="25"/>
      <c r="R30" s="12" t="str">
        <f t="shared" si="4"/>
        <v>TC_E4_F__</v>
      </c>
      <c r="S30" s="4"/>
      <c r="T30" s="12" t="str">
        <f t="shared" si="5"/>
        <v>TC_E5_F__</v>
      </c>
      <c r="U30" s="4"/>
      <c r="V30" s="12" t="str">
        <f t="shared" si="6"/>
        <v>TC_E6_F__</v>
      </c>
      <c r="W30" s="4"/>
      <c r="X30" s="10"/>
      <c r="Y30" s="10"/>
    </row>
    <row r="31" spans="1:25" x14ac:dyDescent="0.25">
      <c r="A31" s="27" t="b">
        <v>0</v>
      </c>
      <c r="B31" s="3">
        <f t="shared" si="0"/>
        <v>30</v>
      </c>
      <c r="C31" s="17" t="e">
        <f>_xlfn.XLOOKUP($D31,Tab_Def_Processes[Process_Name],Tab_Def_Processes[Process_ID],,0,)</f>
        <v>#N/A</v>
      </c>
      <c r="D31" s="23" t="s">
        <v>5</v>
      </c>
      <c r="E31" s="17" t="e">
        <f>_xlfn.XLOOKUP($D31,Tab_Def_Processes[Process_Name],Tab_Def_Processes[Process_Logic],,0,)</f>
        <v>#N/A</v>
      </c>
      <c r="F31" s="17" t="e">
        <f>_xlfn.XLOOKUP($D31,Tab_Def_Processes[Process_Name],Tab_Def_Processes[TC_Configuration],,0,)</f>
        <v>#N/A</v>
      </c>
      <c r="G31" s="17" t="e">
        <f>_xlfn.XLOOKUP($D31,Tab_Def_Processes[Process_Name],Tab_Def_Processes[Stock_Configuration],,0,)</f>
        <v>#N/A</v>
      </c>
      <c r="H31" s="17" t="e">
        <f>_xlfn.XLOOKUP($D31,Tab_Def_Processes[Process_Name],Tab_Def_Processes[Outflow_count],,0,)</f>
        <v>#N/A</v>
      </c>
      <c r="I31" s="23" t="s">
        <v>5</v>
      </c>
      <c r="J31" s="3" t="str">
        <f>_xlfn.XLOOKUP($I31,Tab_Def_Flows[Flow_Name],Tab_Def_Flows[Flow_ID],,0,1)</f>
        <v>F__</v>
      </c>
      <c r="K31" s="4"/>
      <c r="L31" s="12" t="str">
        <f t="shared" si="1"/>
        <v>TC_E1_F__</v>
      </c>
      <c r="M31" s="25"/>
      <c r="N31" s="12" t="str">
        <f t="shared" si="2"/>
        <v>TC_E2_F__</v>
      </c>
      <c r="O31" s="25"/>
      <c r="P31" s="12" t="str">
        <f t="shared" si="3"/>
        <v>TC_E3_F__</v>
      </c>
      <c r="Q31" s="25"/>
      <c r="R31" s="12" t="str">
        <f t="shared" si="4"/>
        <v>TC_E4_F__</v>
      </c>
      <c r="S31" s="4"/>
      <c r="T31" s="12" t="str">
        <f t="shared" si="5"/>
        <v>TC_E5_F__</v>
      </c>
      <c r="U31" s="4"/>
      <c r="V31" s="12" t="str">
        <f t="shared" si="6"/>
        <v>TC_E6_F__</v>
      </c>
      <c r="W31" s="4"/>
      <c r="X31" s="10"/>
      <c r="Y31" s="10"/>
    </row>
    <row r="32" spans="1:25" x14ac:dyDescent="0.25">
      <c r="A32" s="27" t="b">
        <v>0</v>
      </c>
      <c r="B32" s="3">
        <f t="shared" ref="B32:B63" si="7">ROW()-1</f>
        <v>31</v>
      </c>
      <c r="C32" s="17" t="e">
        <f>_xlfn.XLOOKUP($D32,Tab_Def_Processes[Process_Name],Tab_Def_Processes[Process_ID],,0,)</f>
        <v>#N/A</v>
      </c>
      <c r="D32" s="23" t="s">
        <v>5</v>
      </c>
      <c r="E32" s="17" t="e">
        <f>_xlfn.XLOOKUP($D32,Tab_Def_Processes[Process_Name],Tab_Def_Processes[Process_Logic],,0,)</f>
        <v>#N/A</v>
      </c>
      <c r="F32" s="17" t="e">
        <f>_xlfn.XLOOKUP($D32,Tab_Def_Processes[Process_Name],Tab_Def_Processes[TC_Configuration],,0,)</f>
        <v>#N/A</v>
      </c>
      <c r="G32" s="17" t="e">
        <f>_xlfn.XLOOKUP($D32,Tab_Def_Processes[Process_Name],Tab_Def_Processes[Stock_Configuration],,0,)</f>
        <v>#N/A</v>
      </c>
      <c r="H32" s="17" t="e">
        <f>_xlfn.XLOOKUP($D32,Tab_Def_Processes[Process_Name],Tab_Def_Processes[Outflow_count],,0,)</f>
        <v>#N/A</v>
      </c>
      <c r="I32" s="23" t="s">
        <v>5</v>
      </c>
      <c r="J32" s="3" t="str">
        <f>_xlfn.XLOOKUP($I32,Tab_Def_Flows[Flow_Name],Tab_Def_Flows[Flow_ID],,0,1)</f>
        <v>F__</v>
      </c>
      <c r="K32" s="4"/>
      <c r="L32" s="12" t="str">
        <f t="shared" si="1"/>
        <v>TC_E1_F__</v>
      </c>
      <c r="M32" s="25"/>
      <c r="N32" s="12" t="str">
        <f t="shared" si="2"/>
        <v>TC_E2_F__</v>
      </c>
      <c r="O32" s="25"/>
      <c r="P32" s="12" t="str">
        <f t="shared" si="3"/>
        <v>TC_E3_F__</v>
      </c>
      <c r="Q32" s="25"/>
      <c r="R32" s="12" t="str">
        <f t="shared" si="4"/>
        <v>TC_E4_F__</v>
      </c>
      <c r="S32" s="4"/>
      <c r="T32" s="12" t="str">
        <f t="shared" si="5"/>
        <v>TC_E5_F__</v>
      </c>
      <c r="U32" s="4"/>
      <c r="V32" s="12" t="str">
        <f t="shared" si="6"/>
        <v>TC_E6_F__</v>
      </c>
      <c r="W32" s="4"/>
      <c r="X32" s="10"/>
      <c r="Y32" s="10"/>
    </row>
    <row r="33" spans="1:25" x14ac:dyDescent="0.25">
      <c r="A33" s="27" t="b">
        <v>0</v>
      </c>
      <c r="B33" s="3">
        <f t="shared" si="7"/>
        <v>32</v>
      </c>
      <c r="C33" s="17" t="e">
        <f>_xlfn.XLOOKUP($D33,Tab_Def_Processes[Process_Name],Tab_Def_Processes[Process_ID],,0,)</f>
        <v>#N/A</v>
      </c>
      <c r="D33" s="23" t="s">
        <v>5</v>
      </c>
      <c r="E33" s="17" t="e">
        <f>_xlfn.XLOOKUP($D33,Tab_Def_Processes[Process_Name],Tab_Def_Processes[Process_Logic],,0,)</f>
        <v>#N/A</v>
      </c>
      <c r="F33" s="17" t="e">
        <f>_xlfn.XLOOKUP($D33,Tab_Def_Processes[Process_Name],Tab_Def_Processes[TC_Configuration],,0,)</f>
        <v>#N/A</v>
      </c>
      <c r="G33" s="17" t="e">
        <f>_xlfn.XLOOKUP($D33,Tab_Def_Processes[Process_Name],Tab_Def_Processes[Stock_Configuration],,0,)</f>
        <v>#N/A</v>
      </c>
      <c r="H33" s="17" t="e">
        <f>_xlfn.XLOOKUP($D33,Tab_Def_Processes[Process_Name],Tab_Def_Processes[Outflow_count],,0,)</f>
        <v>#N/A</v>
      </c>
      <c r="I33" s="23" t="s">
        <v>5</v>
      </c>
      <c r="J33" s="3" t="str">
        <f>_xlfn.XLOOKUP($I33,Tab_Def_Flows[Flow_Name],Tab_Def_Flows[Flow_ID],,0,1)</f>
        <v>F__</v>
      </c>
      <c r="K33" s="4"/>
      <c r="L33" s="12" t="str">
        <f t="shared" si="1"/>
        <v>TC_E1_F__</v>
      </c>
      <c r="M33" s="25"/>
      <c r="N33" s="12" t="str">
        <f t="shared" si="2"/>
        <v>TC_E2_F__</v>
      </c>
      <c r="O33" s="25"/>
      <c r="P33" s="12" t="str">
        <f t="shared" si="3"/>
        <v>TC_E3_F__</v>
      </c>
      <c r="Q33" s="25"/>
      <c r="R33" s="12" t="str">
        <f t="shared" si="4"/>
        <v>TC_E4_F__</v>
      </c>
      <c r="S33" s="4"/>
      <c r="T33" s="12" t="str">
        <f t="shared" si="5"/>
        <v>TC_E5_F__</v>
      </c>
      <c r="U33" s="4"/>
      <c r="V33" s="12" t="str">
        <f t="shared" si="6"/>
        <v>TC_E6_F__</v>
      </c>
      <c r="W33" s="4"/>
      <c r="X33" s="10"/>
      <c r="Y33" s="10"/>
    </row>
    <row r="34" spans="1:25" x14ac:dyDescent="0.25">
      <c r="A34" s="27" t="b">
        <v>0</v>
      </c>
      <c r="B34" s="3">
        <f t="shared" si="7"/>
        <v>33</v>
      </c>
      <c r="C34" s="17" t="e">
        <f>_xlfn.XLOOKUP($D34,Tab_Def_Processes[Process_Name],Tab_Def_Processes[Process_ID],,0,)</f>
        <v>#N/A</v>
      </c>
      <c r="D34" s="23" t="s">
        <v>5</v>
      </c>
      <c r="E34" s="17" t="e">
        <f>_xlfn.XLOOKUP($D34,Tab_Def_Processes[Process_Name],Tab_Def_Processes[Process_Logic],,0,)</f>
        <v>#N/A</v>
      </c>
      <c r="F34" s="17" t="e">
        <f>_xlfn.XLOOKUP($D34,Tab_Def_Processes[Process_Name],Tab_Def_Processes[TC_Configuration],,0,)</f>
        <v>#N/A</v>
      </c>
      <c r="G34" s="17" t="e">
        <f>_xlfn.XLOOKUP($D34,Tab_Def_Processes[Process_Name],Tab_Def_Processes[Stock_Configuration],,0,)</f>
        <v>#N/A</v>
      </c>
      <c r="H34" s="17" t="e">
        <f>_xlfn.XLOOKUP($D34,Tab_Def_Processes[Process_Name],Tab_Def_Processes[Outflow_count],,0,)</f>
        <v>#N/A</v>
      </c>
      <c r="I34" s="23" t="s">
        <v>5</v>
      </c>
      <c r="J34" s="3" t="str">
        <f>_xlfn.XLOOKUP($I34,Tab_Def_Flows[Flow_Name],Tab_Def_Flows[Flow_ID],,0,1)</f>
        <v>F__</v>
      </c>
      <c r="K34" s="4"/>
      <c r="L34" s="12" t="str">
        <f t="shared" si="1"/>
        <v>TC_E1_F__</v>
      </c>
      <c r="M34" s="25"/>
      <c r="N34" s="12" t="str">
        <f t="shared" si="2"/>
        <v>TC_E2_F__</v>
      </c>
      <c r="O34" s="25"/>
      <c r="P34" s="12" t="str">
        <f t="shared" si="3"/>
        <v>TC_E3_F__</v>
      </c>
      <c r="Q34" s="25"/>
      <c r="R34" s="12" t="str">
        <f t="shared" si="4"/>
        <v>TC_E4_F__</v>
      </c>
      <c r="S34" s="4"/>
      <c r="T34" s="12" t="str">
        <f t="shared" si="5"/>
        <v>TC_E5_F__</v>
      </c>
      <c r="U34" s="4"/>
      <c r="V34" s="12" t="str">
        <f t="shared" si="6"/>
        <v>TC_E6_F__</v>
      </c>
      <c r="W34" s="4"/>
      <c r="X34" s="10"/>
      <c r="Y34" s="10"/>
    </row>
    <row r="35" spans="1:25" x14ac:dyDescent="0.25">
      <c r="A35" s="27" t="b">
        <v>0</v>
      </c>
      <c r="B35" s="3">
        <f t="shared" si="7"/>
        <v>34</v>
      </c>
      <c r="C35" s="17" t="e">
        <f>_xlfn.XLOOKUP($D35,Tab_Def_Processes[Process_Name],Tab_Def_Processes[Process_ID],,0,)</f>
        <v>#N/A</v>
      </c>
      <c r="D35" s="23" t="s">
        <v>5</v>
      </c>
      <c r="E35" s="17" t="e">
        <f>_xlfn.XLOOKUP($D35,Tab_Def_Processes[Process_Name],Tab_Def_Processes[Process_Logic],,0,)</f>
        <v>#N/A</v>
      </c>
      <c r="F35" s="17" t="e">
        <f>_xlfn.XLOOKUP($D35,Tab_Def_Processes[Process_Name],Tab_Def_Processes[TC_Configuration],,0,)</f>
        <v>#N/A</v>
      </c>
      <c r="G35" s="17" t="e">
        <f>_xlfn.XLOOKUP($D35,Tab_Def_Processes[Process_Name],Tab_Def_Processes[Stock_Configuration],,0,)</f>
        <v>#N/A</v>
      </c>
      <c r="H35" s="17" t="e">
        <f>_xlfn.XLOOKUP($D35,Tab_Def_Processes[Process_Name],Tab_Def_Processes[Outflow_count],,0,)</f>
        <v>#N/A</v>
      </c>
      <c r="I35" s="23" t="s">
        <v>5</v>
      </c>
      <c r="J35" s="3" t="str">
        <f>_xlfn.XLOOKUP($I35,Tab_Def_Flows[Flow_Name],Tab_Def_Flows[Flow_ID],,0,1)</f>
        <v>F__</v>
      </c>
      <c r="K35" s="4"/>
      <c r="L35" s="12" t="str">
        <f t="shared" si="1"/>
        <v>TC_E1_F__</v>
      </c>
      <c r="M35" s="25"/>
      <c r="N35" s="12" t="str">
        <f t="shared" si="2"/>
        <v>TC_E2_F__</v>
      </c>
      <c r="O35" s="25"/>
      <c r="P35" s="12" t="str">
        <f t="shared" si="3"/>
        <v>TC_E3_F__</v>
      </c>
      <c r="Q35" s="25"/>
      <c r="R35" s="12" t="str">
        <f t="shared" si="4"/>
        <v>TC_E4_F__</v>
      </c>
      <c r="S35" s="4"/>
      <c r="T35" s="12" t="str">
        <f t="shared" si="5"/>
        <v>TC_E5_F__</v>
      </c>
      <c r="U35" s="4"/>
      <c r="V35" s="12" t="str">
        <f t="shared" si="6"/>
        <v>TC_E6_F__</v>
      </c>
      <c r="W35" s="4"/>
      <c r="X35" s="10"/>
      <c r="Y35" s="10"/>
    </row>
    <row r="36" spans="1:25" x14ac:dyDescent="0.25">
      <c r="A36" s="27" t="b">
        <v>0</v>
      </c>
      <c r="B36" s="3">
        <f t="shared" si="7"/>
        <v>35</v>
      </c>
      <c r="C36" s="17" t="e">
        <f>_xlfn.XLOOKUP($D36,Tab_Def_Processes[Process_Name],Tab_Def_Processes[Process_ID],,0,)</f>
        <v>#N/A</v>
      </c>
      <c r="D36" s="23" t="s">
        <v>5</v>
      </c>
      <c r="E36" s="17" t="e">
        <f>_xlfn.XLOOKUP($D36,Tab_Def_Processes[Process_Name],Tab_Def_Processes[Process_Logic],,0,)</f>
        <v>#N/A</v>
      </c>
      <c r="F36" s="17" t="e">
        <f>_xlfn.XLOOKUP($D36,Tab_Def_Processes[Process_Name],Tab_Def_Processes[TC_Configuration],,0,)</f>
        <v>#N/A</v>
      </c>
      <c r="G36" s="17" t="e">
        <f>_xlfn.XLOOKUP($D36,Tab_Def_Processes[Process_Name],Tab_Def_Processes[Stock_Configuration],,0,)</f>
        <v>#N/A</v>
      </c>
      <c r="H36" s="17" t="e">
        <f>_xlfn.XLOOKUP($D36,Tab_Def_Processes[Process_Name],Tab_Def_Processes[Outflow_count],,0,)</f>
        <v>#N/A</v>
      </c>
      <c r="I36" s="23" t="s">
        <v>5</v>
      </c>
      <c r="J36" s="3" t="str">
        <f>_xlfn.XLOOKUP($I36,Tab_Def_Flows[Flow_Name],Tab_Def_Flows[Flow_ID],,0,1)</f>
        <v>F__</v>
      </c>
      <c r="K36" s="4"/>
      <c r="L36" s="12" t="str">
        <f t="shared" si="1"/>
        <v>TC_E1_F__</v>
      </c>
      <c r="M36" s="25"/>
      <c r="N36" s="12" t="str">
        <f t="shared" si="2"/>
        <v>TC_E2_F__</v>
      </c>
      <c r="O36" s="25"/>
      <c r="P36" s="12" t="str">
        <f t="shared" si="3"/>
        <v>TC_E3_F__</v>
      </c>
      <c r="Q36" s="25"/>
      <c r="R36" s="12" t="str">
        <f t="shared" si="4"/>
        <v>TC_E4_F__</v>
      </c>
      <c r="S36" s="4"/>
      <c r="T36" s="12" t="str">
        <f t="shared" si="5"/>
        <v>TC_E5_F__</v>
      </c>
      <c r="U36" s="4"/>
      <c r="V36" s="12" t="str">
        <f t="shared" si="6"/>
        <v>TC_E6_F__</v>
      </c>
      <c r="W36" s="4"/>
      <c r="X36" s="10"/>
      <c r="Y36" s="10"/>
    </row>
    <row r="37" spans="1:25" x14ac:dyDescent="0.25">
      <c r="A37" s="27" t="b">
        <v>0</v>
      </c>
      <c r="B37" s="3">
        <f t="shared" si="7"/>
        <v>36</v>
      </c>
      <c r="C37" s="17" t="e">
        <f>_xlfn.XLOOKUP($D37,Tab_Def_Processes[Process_Name],Tab_Def_Processes[Process_ID],,0,)</f>
        <v>#N/A</v>
      </c>
      <c r="D37" s="23" t="s">
        <v>5</v>
      </c>
      <c r="E37" s="17" t="e">
        <f>_xlfn.XLOOKUP($D37,Tab_Def_Processes[Process_Name],Tab_Def_Processes[Process_Logic],,0,)</f>
        <v>#N/A</v>
      </c>
      <c r="F37" s="17" t="e">
        <f>_xlfn.XLOOKUP($D37,Tab_Def_Processes[Process_Name],Tab_Def_Processes[TC_Configuration],,0,)</f>
        <v>#N/A</v>
      </c>
      <c r="G37" s="17" t="e">
        <f>_xlfn.XLOOKUP($D37,Tab_Def_Processes[Process_Name],Tab_Def_Processes[Stock_Configuration],,0,)</f>
        <v>#N/A</v>
      </c>
      <c r="H37" s="17" t="e">
        <f>_xlfn.XLOOKUP($D37,Tab_Def_Processes[Process_Name],Tab_Def_Processes[Outflow_count],,0,)</f>
        <v>#N/A</v>
      </c>
      <c r="I37" s="23" t="s">
        <v>5</v>
      </c>
      <c r="J37" s="3" t="str">
        <f>_xlfn.XLOOKUP($I37,Tab_Def_Flows[Flow_Name],Tab_Def_Flows[Flow_ID],,0,1)</f>
        <v>F__</v>
      </c>
      <c r="K37" s="4"/>
      <c r="L37" s="12" t="str">
        <f t="shared" si="1"/>
        <v>TC_E1_F__</v>
      </c>
      <c r="M37" s="25"/>
      <c r="N37" s="12" t="str">
        <f t="shared" si="2"/>
        <v>TC_E2_F__</v>
      </c>
      <c r="O37" s="25"/>
      <c r="P37" s="12" t="str">
        <f t="shared" si="3"/>
        <v>TC_E3_F__</v>
      </c>
      <c r="Q37" s="25"/>
      <c r="R37" s="12" t="str">
        <f t="shared" si="4"/>
        <v>TC_E4_F__</v>
      </c>
      <c r="S37" s="4"/>
      <c r="T37" s="12" t="str">
        <f t="shared" si="5"/>
        <v>TC_E5_F__</v>
      </c>
      <c r="U37" s="4"/>
      <c r="V37" s="12" t="str">
        <f t="shared" si="6"/>
        <v>TC_E6_F__</v>
      </c>
      <c r="W37" s="4"/>
      <c r="X37" s="10"/>
      <c r="Y37" s="10"/>
    </row>
    <row r="38" spans="1:25" x14ac:dyDescent="0.25">
      <c r="A38" s="27" t="b">
        <v>0</v>
      </c>
      <c r="B38" s="3">
        <f t="shared" si="7"/>
        <v>37</v>
      </c>
      <c r="C38" s="17" t="e">
        <f>_xlfn.XLOOKUP($D38,Tab_Def_Processes[Process_Name],Tab_Def_Processes[Process_ID],,0,)</f>
        <v>#N/A</v>
      </c>
      <c r="D38" s="23" t="s">
        <v>5</v>
      </c>
      <c r="E38" s="17" t="e">
        <f>_xlfn.XLOOKUP($D38,Tab_Def_Processes[Process_Name],Tab_Def_Processes[Process_Logic],,0,)</f>
        <v>#N/A</v>
      </c>
      <c r="F38" s="17" t="e">
        <f>_xlfn.XLOOKUP($D38,Tab_Def_Processes[Process_Name],Tab_Def_Processes[TC_Configuration],,0,)</f>
        <v>#N/A</v>
      </c>
      <c r="G38" s="17" t="e">
        <f>_xlfn.XLOOKUP($D38,Tab_Def_Processes[Process_Name],Tab_Def_Processes[Stock_Configuration],,0,)</f>
        <v>#N/A</v>
      </c>
      <c r="H38" s="17" t="e">
        <f>_xlfn.XLOOKUP($D38,Tab_Def_Processes[Process_Name],Tab_Def_Processes[Outflow_count],,0,)</f>
        <v>#N/A</v>
      </c>
      <c r="I38" s="23" t="s">
        <v>5</v>
      </c>
      <c r="J38" s="3" t="str">
        <f>_xlfn.XLOOKUP($I38,Tab_Def_Flows[Flow_Name],Tab_Def_Flows[Flow_ID],,0,1)</f>
        <v>F__</v>
      </c>
      <c r="K38" s="4"/>
      <c r="L38" s="12" t="str">
        <f t="shared" si="1"/>
        <v>TC_E1_F__</v>
      </c>
      <c r="M38" s="25"/>
      <c r="N38" s="12" t="str">
        <f t="shared" si="2"/>
        <v>TC_E2_F__</v>
      </c>
      <c r="O38" s="25"/>
      <c r="P38" s="12" t="str">
        <f t="shared" si="3"/>
        <v>TC_E3_F__</v>
      </c>
      <c r="Q38" s="25"/>
      <c r="R38" s="12" t="str">
        <f t="shared" si="4"/>
        <v>TC_E4_F__</v>
      </c>
      <c r="S38" s="4"/>
      <c r="T38" s="12" t="str">
        <f t="shared" si="5"/>
        <v>TC_E5_F__</v>
      </c>
      <c r="U38" s="4"/>
      <c r="V38" s="12" t="str">
        <f t="shared" si="6"/>
        <v>TC_E6_F__</v>
      </c>
      <c r="W38" s="4"/>
      <c r="X38" s="10"/>
      <c r="Y38" s="10"/>
    </row>
    <row r="39" spans="1:25" x14ac:dyDescent="0.25">
      <c r="A39" s="27" t="b">
        <v>0</v>
      </c>
      <c r="B39" s="3">
        <f t="shared" si="7"/>
        <v>38</v>
      </c>
      <c r="C39" s="17" t="e">
        <f>_xlfn.XLOOKUP($D39,Tab_Def_Processes[Process_Name],Tab_Def_Processes[Process_ID],,0,)</f>
        <v>#N/A</v>
      </c>
      <c r="D39" s="23" t="s">
        <v>5</v>
      </c>
      <c r="E39" s="17" t="e">
        <f>_xlfn.XLOOKUP($D39,Tab_Def_Processes[Process_Name],Tab_Def_Processes[Process_Logic],,0,)</f>
        <v>#N/A</v>
      </c>
      <c r="F39" s="17" t="e">
        <f>_xlfn.XLOOKUP($D39,Tab_Def_Processes[Process_Name],Tab_Def_Processes[TC_Configuration],,0,)</f>
        <v>#N/A</v>
      </c>
      <c r="G39" s="17" t="e">
        <f>_xlfn.XLOOKUP($D39,Tab_Def_Processes[Process_Name],Tab_Def_Processes[Stock_Configuration],,0,)</f>
        <v>#N/A</v>
      </c>
      <c r="H39" s="17" t="e">
        <f>_xlfn.XLOOKUP($D39,Tab_Def_Processes[Process_Name],Tab_Def_Processes[Outflow_count],,0,)</f>
        <v>#N/A</v>
      </c>
      <c r="I39" s="23" t="s">
        <v>5</v>
      </c>
      <c r="J39" s="3" t="str">
        <f>_xlfn.XLOOKUP($I39,Tab_Def_Flows[Flow_Name],Tab_Def_Flows[Flow_ID],,0,1)</f>
        <v>F__</v>
      </c>
      <c r="K39" s="4"/>
      <c r="L39" s="12" t="str">
        <f t="shared" si="1"/>
        <v>TC_E1_F__</v>
      </c>
      <c r="M39" s="25"/>
      <c r="N39" s="12" t="str">
        <f t="shared" si="2"/>
        <v>TC_E2_F__</v>
      </c>
      <c r="O39" s="25"/>
      <c r="P39" s="12" t="str">
        <f t="shared" si="3"/>
        <v>TC_E3_F__</v>
      </c>
      <c r="Q39" s="25"/>
      <c r="R39" s="12" t="str">
        <f t="shared" si="4"/>
        <v>TC_E4_F__</v>
      </c>
      <c r="S39" s="4"/>
      <c r="T39" s="12" t="str">
        <f t="shared" si="5"/>
        <v>TC_E5_F__</v>
      </c>
      <c r="U39" s="4"/>
      <c r="V39" s="12" t="str">
        <f t="shared" si="6"/>
        <v>TC_E6_F__</v>
      </c>
      <c r="W39" s="4"/>
      <c r="X39" s="10"/>
      <c r="Y39" s="10"/>
    </row>
    <row r="40" spans="1:25" x14ac:dyDescent="0.25">
      <c r="A40" s="27" t="b">
        <v>0</v>
      </c>
      <c r="B40" s="3">
        <f t="shared" si="7"/>
        <v>39</v>
      </c>
      <c r="C40" s="17" t="e">
        <f>_xlfn.XLOOKUP($D40,Tab_Def_Processes[Process_Name],Tab_Def_Processes[Process_ID],,0,)</f>
        <v>#N/A</v>
      </c>
      <c r="D40" s="23" t="s">
        <v>5</v>
      </c>
      <c r="E40" s="17" t="e">
        <f>_xlfn.XLOOKUP($D40,Tab_Def_Processes[Process_Name],Tab_Def_Processes[Process_Logic],,0,)</f>
        <v>#N/A</v>
      </c>
      <c r="F40" s="17" t="e">
        <f>_xlfn.XLOOKUP($D40,Tab_Def_Processes[Process_Name],Tab_Def_Processes[TC_Configuration],,0,)</f>
        <v>#N/A</v>
      </c>
      <c r="G40" s="17" t="e">
        <f>_xlfn.XLOOKUP($D40,Tab_Def_Processes[Process_Name],Tab_Def_Processes[Stock_Configuration],,0,)</f>
        <v>#N/A</v>
      </c>
      <c r="H40" s="17" t="e">
        <f>_xlfn.XLOOKUP($D40,Tab_Def_Processes[Process_Name],Tab_Def_Processes[Outflow_count],,0,)</f>
        <v>#N/A</v>
      </c>
      <c r="I40" s="23" t="s">
        <v>5</v>
      </c>
      <c r="J40" s="3" t="str">
        <f>_xlfn.XLOOKUP($I40,Tab_Def_Flows[Flow_Name],Tab_Def_Flows[Flow_ID],,0,1)</f>
        <v>F__</v>
      </c>
      <c r="K40" s="4"/>
      <c r="L40" s="12" t="str">
        <f t="shared" si="1"/>
        <v>TC_E1_F__</v>
      </c>
      <c r="M40" s="25"/>
      <c r="N40" s="12" t="str">
        <f t="shared" si="2"/>
        <v>TC_E2_F__</v>
      </c>
      <c r="O40" s="25"/>
      <c r="P40" s="12" t="str">
        <f t="shared" si="3"/>
        <v>TC_E3_F__</v>
      </c>
      <c r="Q40" s="25"/>
      <c r="R40" s="12" t="str">
        <f t="shared" si="4"/>
        <v>TC_E4_F__</v>
      </c>
      <c r="S40" s="4"/>
      <c r="T40" s="12" t="str">
        <f t="shared" si="5"/>
        <v>TC_E5_F__</v>
      </c>
      <c r="U40" s="4"/>
      <c r="V40" s="12" t="str">
        <f t="shared" si="6"/>
        <v>TC_E6_F__</v>
      </c>
      <c r="W40" s="4"/>
      <c r="X40" s="10"/>
      <c r="Y40" s="10"/>
    </row>
    <row r="41" spans="1:25" x14ac:dyDescent="0.25">
      <c r="A41" s="27" t="b">
        <v>0</v>
      </c>
      <c r="B41" s="3">
        <f t="shared" si="7"/>
        <v>40</v>
      </c>
      <c r="C41" s="17" t="e">
        <f>_xlfn.XLOOKUP($D41,Tab_Def_Processes[Process_Name],Tab_Def_Processes[Process_ID],,0,)</f>
        <v>#N/A</v>
      </c>
      <c r="D41" s="23" t="s">
        <v>5</v>
      </c>
      <c r="E41" s="17" t="e">
        <f>_xlfn.XLOOKUP($D41,Tab_Def_Processes[Process_Name],Tab_Def_Processes[Process_Logic],,0,)</f>
        <v>#N/A</v>
      </c>
      <c r="F41" s="17" t="e">
        <f>_xlfn.XLOOKUP($D41,Tab_Def_Processes[Process_Name],Tab_Def_Processes[TC_Configuration],,0,)</f>
        <v>#N/A</v>
      </c>
      <c r="G41" s="17" t="e">
        <f>_xlfn.XLOOKUP($D41,Tab_Def_Processes[Process_Name],Tab_Def_Processes[Stock_Configuration],,0,)</f>
        <v>#N/A</v>
      </c>
      <c r="H41" s="17" t="e">
        <f>_xlfn.XLOOKUP($D41,Tab_Def_Processes[Process_Name],Tab_Def_Processes[Outflow_count],,0,)</f>
        <v>#N/A</v>
      </c>
      <c r="I41" s="23" t="s">
        <v>5</v>
      </c>
      <c r="J41" s="3" t="str">
        <f>_xlfn.XLOOKUP($I41,Tab_Def_Flows[Flow_Name],Tab_Def_Flows[Flow_ID],,0,1)</f>
        <v>F__</v>
      </c>
      <c r="K41" s="4"/>
      <c r="L41" s="12" t="str">
        <f t="shared" si="1"/>
        <v>TC_E1_F__</v>
      </c>
      <c r="M41" s="25"/>
      <c r="N41" s="12" t="str">
        <f t="shared" si="2"/>
        <v>TC_E2_F__</v>
      </c>
      <c r="O41" s="25"/>
      <c r="P41" s="12" t="str">
        <f t="shared" si="3"/>
        <v>TC_E3_F__</v>
      </c>
      <c r="Q41" s="25"/>
      <c r="R41" s="12" t="str">
        <f t="shared" si="4"/>
        <v>TC_E4_F__</v>
      </c>
      <c r="S41" s="4"/>
      <c r="T41" s="12" t="str">
        <f t="shared" si="5"/>
        <v>TC_E5_F__</v>
      </c>
      <c r="U41" s="4"/>
      <c r="V41" s="12" t="str">
        <f t="shared" si="6"/>
        <v>TC_E6_F__</v>
      </c>
      <c r="W41" s="4"/>
      <c r="X41" s="10"/>
      <c r="Y41" s="10"/>
    </row>
    <row r="42" spans="1:25" x14ac:dyDescent="0.25">
      <c r="A42" s="27" t="b">
        <v>0</v>
      </c>
      <c r="B42" s="3">
        <f t="shared" si="7"/>
        <v>41</v>
      </c>
      <c r="C42" s="17" t="e">
        <f>_xlfn.XLOOKUP($D42,Tab_Def_Processes[Process_Name],Tab_Def_Processes[Process_ID],,0,)</f>
        <v>#N/A</v>
      </c>
      <c r="D42" s="23" t="s">
        <v>5</v>
      </c>
      <c r="E42" s="17" t="e">
        <f>_xlfn.XLOOKUP($D42,Tab_Def_Processes[Process_Name],Tab_Def_Processes[Process_Logic],,0,)</f>
        <v>#N/A</v>
      </c>
      <c r="F42" s="17" t="e">
        <f>_xlfn.XLOOKUP($D42,Tab_Def_Processes[Process_Name],Tab_Def_Processes[TC_Configuration],,0,)</f>
        <v>#N/A</v>
      </c>
      <c r="G42" s="17" t="e">
        <f>_xlfn.XLOOKUP($D42,Tab_Def_Processes[Process_Name],Tab_Def_Processes[Stock_Configuration],,0,)</f>
        <v>#N/A</v>
      </c>
      <c r="H42" s="17" t="e">
        <f>_xlfn.XLOOKUP($D42,Tab_Def_Processes[Process_Name],Tab_Def_Processes[Outflow_count],,0,)</f>
        <v>#N/A</v>
      </c>
      <c r="I42" s="23" t="s">
        <v>5</v>
      </c>
      <c r="J42" s="3" t="str">
        <f>_xlfn.XLOOKUP($I42,Tab_Def_Flows[Flow_Name],Tab_Def_Flows[Flow_ID],,0,1)</f>
        <v>F__</v>
      </c>
      <c r="K42" s="4"/>
      <c r="L42" s="12" t="str">
        <f t="shared" si="1"/>
        <v>TC_E1_F__</v>
      </c>
      <c r="M42" s="25"/>
      <c r="N42" s="12" t="str">
        <f t="shared" si="2"/>
        <v>TC_E2_F__</v>
      </c>
      <c r="O42" s="25"/>
      <c r="P42" s="12" t="str">
        <f t="shared" si="3"/>
        <v>TC_E3_F__</v>
      </c>
      <c r="Q42" s="25"/>
      <c r="R42" s="12" t="str">
        <f t="shared" si="4"/>
        <v>TC_E4_F__</v>
      </c>
      <c r="S42" s="4"/>
      <c r="T42" s="12" t="str">
        <f t="shared" si="5"/>
        <v>TC_E5_F__</v>
      </c>
      <c r="U42" s="4"/>
      <c r="V42" s="12" t="str">
        <f t="shared" si="6"/>
        <v>TC_E6_F__</v>
      </c>
      <c r="W42" s="4"/>
      <c r="X42" s="10"/>
      <c r="Y42" s="10"/>
    </row>
    <row r="43" spans="1:25" x14ac:dyDescent="0.25">
      <c r="A43" s="27" t="b">
        <v>0</v>
      </c>
      <c r="B43" s="3">
        <f t="shared" si="7"/>
        <v>42</v>
      </c>
      <c r="C43" s="17" t="e">
        <f>_xlfn.XLOOKUP($D43,Tab_Def_Processes[Process_Name],Tab_Def_Processes[Process_ID],,0,)</f>
        <v>#N/A</v>
      </c>
      <c r="D43" s="23" t="s">
        <v>5</v>
      </c>
      <c r="E43" s="17" t="e">
        <f>_xlfn.XLOOKUP($D43,Tab_Def_Processes[Process_Name],Tab_Def_Processes[Process_Logic],,0,)</f>
        <v>#N/A</v>
      </c>
      <c r="F43" s="17" t="e">
        <f>_xlfn.XLOOKUP($D43,Tab_Def_Processes[Process_Name],Tab_Def_Processes[TC_Configuration],,0,)</f>
        <v>#N/A</v>
      </c>
      <c r="G43" s="17" t="e">
        <f>_xlfn.XLOOKUP($D43,Tab_Def_Processes[Process_Name],Tab_Def_Processes[Stock_Configuration],,0,)</f>
        <v>#N/A</v>
      </c>
      <c r="H43" s="17" t="e">
        <f>_xlfn.XLOOKUP($D43,Tab_Def_Processes[Process_Name],Tab_Def_Processes[Outflow_count],,0,)</f>
        <v>#N/A</v>
      </c>
      <c r="I43" s="23" t="s">
        <v>5</v>
      </c>
      <c r="J43" s="3" t="str">
        <f>_xlfn.XLOOKUP($I43,Tab_Def_Flows[Flow_Name],Tab_Def_Flows[Flow_ID],,0,1)</f>
        <v>F__</v>
      </c>
      <c r="K43" s="4"/>
      <c r="L43" s="12" t="str">
        <f t="shared" si="1"/>
        <v>TC_E1_F__</v>
      </c>
      <c r="M43" s="25"/>
      <c r="N43" s="12" t="str">
        <f t="shared" si="2"/>
        <v>TC_E2_F__</v>
      </c>
      <c r="O43" s="25"/>
      <c r="P43" s="12" t="str">
        <f t="shared" si="3"/>
        <v>TC_E3_F__</v>
      </c>
      <c r="Q43" s="25"/>
      <c r="R43" s="12" t="str">
        <f t="shared" si="4"/>
        <v>TC_E4_F__</v>
      </c>
      <c r="S43" s="4"/>
      <c r="T43" s="12" t="str">
        <f t="shared" si="5"/>
        <v>TC_E5_F__</v>
      </c>
      <c r="U43" s="4"/>
      <c r="V43" s="12" t="str">
        <f t="shared" si="6"/>
        <v>TC_E6_F__</v>
      </c>
      <c r="W43" s="4"/>
      <c r="X43" s="10"/>
      <c r="Y43" s="10"/>
    </row>
    <row r="44" spans="1:25" x14ac:dyDescent="0.25">
      <c r="A44" s="27" t="b">
        <v>0</v>
      </c>
      <c r="B44" s="3">
        <f t="shared" si="7"/>
        <v>43</v>
      </c>
      <c r="C44" s="17" t="e">
        <f>_xlfn.XLOOKUP($D44,Tab_Def_Processes[Process_Name],Tab_Def_Processes[Process_ID],,0,)</f>
        <v>#N/A</v>
      </c>
      <c r="D44" s="23" t="s">
        <v>5</v>
      </c>
      <c r="E44" s="17" t="e">
        <f>_xlfn.XLOOKUP($D44,Tab_Def_Processes[Process_Name],Tab_Def_Processes[Process_Logic],,0,)</f>
        <v>#N/A</v>
      </c>
      <c r="F44" s="17" t="e">
        <f>_xlfn.XLOOKUP($D44,Tab_Def_Processes[Process_Name],Tab_Def_Processes[TC_Configuration],,0,)</f>
        <v>#N/A</v>
      </c>
      <c r="G44" s="17" t="e">
        <f>_xlfn.XLOOKUP($D44,Tab_Def_Processes[Process_Name],Tab_Def_Processes[Stock_Configuration],,0,)</f>
        <v>#N/A</v>
      </c>
      <c r="H44" s="17" t="e">
        <f>_xlfn.XLOOKUP($D44,Tab_Def_Processes[Process_Name],Tab_Def_Processes[Outflow_count],,0,)</f>
        <v>#N/A</v>
      </c>
      <c r="I44" s="23" t="s">
        <v>5</v>
      </c>
      <c r="J44" s="3" t="str">
        <f>_xlfn.XLOOKUP($I44,Tab_Def_Flows[Flow_Name],Tab_Def_Flows[Flow_ID],,0,1)</f>
        <v>F__</v>
      </c>
      <c r="K44" s="4"/>
      <c r="L44" s="12" t="str">
        <f t="shared" si="1"/>
        <v>TC_E1_F__</v>
      </c>
      <c r="M44" s="25"/>
      <c r="N44" s="12" t="str">
        <f t="shared" si="2"/>
        <v>TC_E2_F__</v>
      </c>
      <c r="O44" s="25"/>
      <c r="P44" s="12" t="str">
        <f t="shared" si="3"/>
        <v>TC_E3_F__</v>
      </c>
      <c r="Q44" s="25"/>
      <c r="R44" s="12" t="str">
        <f t="shared" si="4"/>
        <v>TC_E4_F__</v>
      </c>
      <c r="S44" s="4"/>
      <c r="T44" s="12" t="str">
        <f t="shared" si="5"/>
        <v>TC_E5_F__</v>
      </c>
      <c r="U44" s="4"/>
      <c r="V44" s="12" t="str">
        <f t="shared" si="6"/>
        <v>TC_E6_F__</v>
      </c>
      <c r="W44" s="4"/>
      <c r="X44" s="10"/>
      <c r="Y44" s="10"/>
    </row>
    <row r="45" spans="1:25" x14ac:dyDescent="0.25">
      <c r="A45" s="27" t="b">
        <v>0</v>
      </c>
      <c r="B45" s="3">
        <f t="shared" si="7"/>
        <v>44</v>
      </c>
      <c r="C45" s="17" t="e">
        <f>_xlfn.XLOOKUP($D45,Tab_Def_Processes[Process_Name],Tab_Def_Processes[Process_ID],,0,)</f>
        <v>#N/A</v>
      </c>
      <c r="D45" s="23" t="s">
        <v>5</v>
      </c>
      <c r="E45" s="17" t="e">
        <f>_xlfn.XLOOKUP($D45,Tab_Def_Processes[Process_Name],Tab_Def_Processes[Process_Logic],,0,)</f>
        <v>#N/A</v>
      </c>
      <c r="F45" s="17" t="e">
        <f>_xlfn.XLOOKUP($D45,Tab_Def_Processes[Process_Name],Tab_Def_Processes[TC_Configuration],,0,)</f>
        <v>#N/A</v>
      </c>
      <c r="G45" s="17" t="e">
        <f>_xlfn.XLOOKUP($D45,Tab_Def_Processes[Process_Name],Tab_Def_Processes[Stock_Configuration],,0,)</f>
        <v>#N/A</v>
      </c>
      <c r="H45" s="17" t="e">
        <f>_xlfn.XLOOKUP($D45,Tab_Def_Processes[Process_Name],Tab_Def_Processes[Outflow_count],,0,)</f>
        <v>#N/A</v>
      </c>
      <c r="I45" s="23" t="s">
        <v>5</v>
      </c>
      <c r="J45" s="3" t="str">
        <f>_xlfn.XLOOKUP($I45,Tab_Def_Flows[Flow_Name],Tab_Def_Flows[Flow_ID],,0,1)</f>
        <v>F__</v>
      </c>
      <c r="K45" s="4"/>
      <c r="L45" s="12" t="str">
        <f t="shared" si="1"/>
        <v>TC_E1_F__</v>
      </c>
      <c r="M45" s="25"/>
      <c r="N45" s="12" t="str">
        <f t="shared" si="2"/>
        <v>TC_E2_F__</v>
      </c>
      <c r="O45" s="25"/>
      <c r="P45" s="12" t="str">
        <f t="shared" si="3"/>
        <v>TC_E3_F__</v>
      </c>
      <c r="Q45" s="25"/>
      <c r="R45" s="12" t="str">
        <f t="shared" si="4"/>
        <v>TC_E4_F__</v>
      </c>
      <c r="S45" s="4"/>
      <c r="T45" s="12" t="str">
        <f t="shared" si="5"/>
        <v>TC_E5_F__</v>
      </c>
      <c r="U45" s="4"/>
      <c r="V45" s="12" t="str">
        <f t="shared" si="6"/>
        <v>TC_E6_F__</v>
      </c>
      <c r="W45" s="4"/>
      <c r="X45" s="10"/>
      <c r="Y45" s="10"/>
    </row>
    <row r="46" spans="1:25" x14ac:dyDescent="0.25">
      <c r="A46" s="27" t="b">
        <v>0</v>
      </c>
      <c r="B46" s="3">
        <f t="shared" si="7"/>
        <v>45</v>
      </c>
      <c r="C46" s="17" t="e">
        <f>_xlfn.XLOOKUP($D46,Tab_Def_Processes[Process_Name],Tab_Def_Processes[Process_ID],,0,)</f>
        <v>#N/A</v>
      </c>
      <c r="D46" s="23" t="s">
        <v>5</v>
      </c>
      <c r="E46" s="17" t="e">
        <f>_xlfn.XLOOKUP($D46,Tab_Def_Processes[Process_Name],Tab_Def_Processes[Process_Logic],,0,)</f>
        <v>#N/A</v>
      </c>
      <c r="F46" s="17" t="e">
        <f>_xlfn.XLOOKUP($D46,Tab_Def_Processes[Process_Name],Tab_Def_Processes[TC_Configuration],,0,)</f>
        <v>#N/A</v>
      </c>
      <c r="G46" s="17" t="e">
        <f>_xlfn.XLOOKUP($D46,Tab_Def_Processes[Process_Name],Tab_Def_Processes[Stock_Configuration],,0,)</f>
        <v>#N/A</v>
      </c>
      <c r="H46" s="17" t="e">
        <f>_xlfn.XLOOKUP($D46,Tab_Def_Processes[Process_Name],Tab_Def_Processes[Outflow_count],,0,)</f>
        <v>#N/A</v>
      </c>
      <c r="I46" s="23" t="s">
        <v>5</v>
      </c>
      <c r="J46" s="3" t="str">
        <f>_xlfn.XLOOKUP($I46,Tab_Def_Flows[Flow_Name],Tab_Def_Flows[Flow_ID],,0,1)</f>
        <v>F__</v>
      </c>
      <c r="K46" s="4"/>
      <c r="L46" s="12" t="str">
        <f t="shared" si="1"/>
        <v>TC_E1_F__</v>
      </c>
      <c r="M46" s="25"/>
      <c r="N46" s="12" t="str">
        <f t="shared" si="2"/>
        <v>TC_E2_F__</v>
      </c>
      <c r="O46" s="25"/>
      <c r="P46" s="12" t="str">
        <f t="shared" si="3"/>
        <v>TC_E3_F__</v>
      </c>
      <c r="Q46" s="25"/>
      <c r="R46" s="12" t="str">
        <f t="shared" si="4"/>
        <v>TC_E4_F__</v>
      </c>
      <c r="S46" s="4"/>
      <c r="T46" s="12" t="str">
        <f t="shared" si="5"/>
        <v>TC_E5_F__</v>
      </c>
      <c r="U46" s="4"/>
      <c r="V46" s="12" t="str">
        <f t="shared" si="6"/>
        <v>TC_E6_F__</v>
      </c>
      <c r="W46" s="4"/>
      <c r="X46" s="10"/>
      <c r="Y46" s="10"/>
    </row>
    <row r="47" spans="1:25" x14ac:dyDescent="0.25">
      <c r="A47" s="27" t="b">
        <v>0</v>
      </c>
      <c r="B47" s="3">
        <f t="shared" si="7"/>
        <v>46</v>
      </c>
      <c r="C47" s="17" t="e">
        <f>_xlfn.XLOOKUP($D47,Tab_Def_Processes[Process_Name],Tab_Def_Processes[Process_ID],,0,)</f>
        <v>#N/A</v>
      </c>
      <c r="D47" s="23" t="s">
        <v>5</v>
      </c>
      <c r="E47" s="17" t="e">
        <f>_xlfn.XLOOKUP($D47,Tab_Def_Processes[Process_Name],Tab_Def_Processes[Process_Logic],,0,)</f>
        <v>#N/A</v>
      </c>
      <c r="F47" s="17" t="e">
        <f>_xlfn.XLOOKUP($D47,Tab_Def_Processes[Process_Name],Tab_Def_Processes[TC_Configuration],,0,)</f>
        <v>#N/A</v>
      </c>
      <c r="G47" s="17" t="e">
        <f>_xlfn.XLOOKUP($D47,Tab_Def_Processes[Process_Name],Tab_Def_Processes[Stock_Configuration],,0,)</f>
        <v>#N/A</v>
      </c>
      <c r="H47" s="17" t="e">
        <f>_xlfn.XLOOKUP($D47,Tab_Def_Processes[Process_Name],Tab_Def_Processes[Outflow_count],,0,)</f>
        <v>#N/A</v>
      </c>
      <c r="I47" s="23" t="s">
        <v>5</v>
      </c>
      <c r="J47" s="3" t="str">
        <f>_xlfn.XLOOKUP($I47,Tab_Def_Flows[Flow_Name],Tab_Def_Flows[Flow_ID],,0,1)</f>
        <v>F__</v>
      </c>
      <c r="K47" s="4"/>
      <c r="L47" s="12" t="str">
        <f t="shared" si="1"/>
        <v>TC_E1_F__</v>
      </c>
      <c r="M47" s="25"/>
      <c r="N47" s="12" t="str">
        <f t="shared" si="2"/>
        <v>TC_E2_F__</v>
      </c>
      <c r="O47" s="25"/>
      <c r="P47" s="12" t="str">
        <f t="shared" si="3"/>
        <v>TC_E3_F__</v>
      </c>
      <c r="Q47" s="25"/>
      <c r="R47" s="12" t="str">
        <f t="shared" si="4"/>
        <v>TC_E4_F__</v>
      </c>
      <c r="S47" s="4"/>
      <c r="T47" s="12" t="str">
        <f t="shared" si="5"/>
        <v>TC_E5_F__</v>
      </c>
      <c r="U47" s="4"/>
      <c r="V47" s="12" t="str">
        <f t="shared" si="6"/>
        <v>TC_E6_F__</v>
      </c>
      <c r="W47" s="4"/>
      <c r="X47" s="10"/>
      <c r="Y47" s="10"/>
    </row>
    <row r="48" spans="1:25" x14ac:dyDescent="0.25">
      <c r="A48" s="27" t="b">
        <v>0</v>
      </c>
      <c r="B48" s="3">
        <f t="shared" si="7"/>
        <v>47</v>
      </c>
      <c r="C48" s="17" t="e">
        <f>_xlfn.XLOOKUP($D48,Tab_Def_Processes[Process_Name],Tab_Def_Processes[Process_ID],,0,)</f>
        <v>#N/A</v>
      </c>
      <c r="D48" s="23" t="s">
        <v>5</v>
      </c>
      <c r="E48" s="17" t="e">
        <f>_xlfn.XLOOKUP($D48,Tab_Def_Processes[Process_Name],Tab_Def_Processes[Process_Logic],,0,)</f>
        <v>#N/A</v>
      </c>
      <c r="F48" s="17" t="e">
        <f>_xlfn.XLOOKUP($D48,Tab_Def_Processes[Process_Name],Tab_Def_Processes[TC_Configuration],,0,)</f>
        <v>#N/A</v>
      </c>
      <c r="G48" s="17" t="e">
        <f>_xlfn.XLOOKUP($D48,Tab_Def_Processes[Process_Name],Tab_Def_Processes[Stock_Configuration],,0,)</f>
        <v>#N/A</v>
      </c>
      <c r="H48" s="17" t="e">
        <f>_xlfn.XLOOKUP($D48,Tab_Def_Processes[Process_Name],Tab_Def_Processes[Outflow_count],,0,)</f>
        <v>#N/A</v>
      </c>
      <c r="I48" s="23" t="s">
        <v>5</v>
      </c>
      <c r="J48" s="3" t="str">
        <f>_xlfn.XLOOKUP($I48,Tab_Def_Flows[Flow_Name],Tab_Def_Flows[Flow_ID],,0,1)</f>
        <v>F__</v>
      </c>
      <c r="K48" s="4"/>
      <c r="L48" s="12" t="str">
        <f t="shared" si="1"/>
        <v>TC_E1_F__</v>
      </c>
      <c r="M48" s="25"/>
      <c r="N48" s="12" t="str">
        <f t="shared" si="2"/>
        <v>TC_E2_F__</v>
      </c>
      <c r="O48" s="25"/>
      <c r="P48" s="12" t="str">
        <f t="shared" si="3"/>
        <v>TC_E3_F__</v>
      </c>
      <c r="Q48" s="25"/>
      <c r="R48" s="12" t="str">
        <f t="shared" si="4"/>
        <v>TC_E4_F__</v>
      </c>
      <c r="S48" s="4"/>
      <c r="T48" s="12" t="str">
        <f t="shared" si="5"/>
        <v>TC_E5_F__</v>
      </c>
      <c r="U48" s="4"/>
      <c r="V48" s="12" t="str">
        <f t="shared" si="6"/>
        <v>TC_E6_F__</v>
      </c>
      <c r="W48" s="4"/>
      <c r="X48" s="10"/>
      <c r="Y48" s="10"/>
    </row>
    <row r="49" spans="1:25" x14ac:dyDescent="0.25">
      <c r="A49" s="27" t="b">
        <v>0</v>
      </c>
      <c r="B49" s="3">
        <f t="shared" si="7"/>
        <v>48</v>
      </c>
      <c r="C49" s="17" t="e">
        <f>_xlfn.XLOOKUP($D49,Tab_Def_Processes[Process_Name],Tab_Def_Processes[Process_ID],,0,)</f>
        <v>#N/A</v>
      </c>
      <c r="D49" s="23" t="s">
        <v>5</v>
      </c>
      <c r="E49" s="17" t="e">
        <f>_xlfn.XLOOKUP($D49,Tab_Def_Processes[Process_Name],Tab_Def_Processes[Process_Logic],,0,)</f>
        <v>#N/A</v>
      </c>
      <c r="F49" s="17" t="e">
        <f>_xlfn.XLOOKUP($D49,Tab_Def_Processes[Process_Name],Tab_Def_Processes[TC_Configuration],,0,)</f>
        <v>#N/A</v>
      </c>
      <c r="G49" s="17" t="e">
        <f>_xlfn.XLOOKUP($D49,Tab_Def_Processes[Process_Name],Tab_Def_Processes[Stock_Configuration],,0,)</f>
        <v>#N/A</v>
      </c>
      <c r="H49" s="17" t="e">
        <f>_xlfn.XLOOKUP($D49,Tab_Def_Processes[Process_Name],Tab_Def_Processes[Outflow_count],,0,)</f>
        <v>#N/A</v>
      </c>
      <c r="I49" s="23" t="s">
        <v>5</v>
      </c>
      <c r="J49" s="3" t="str">
        <f>_xlfn.XLOOKUP($I49,Tab_Def_Flows[Flow_Name],Tab_Def_Flows[Flow_ID],,0,1)</f>
        <v>F__</v>
      </c>
      <c r="K49" s="4"/>
      <c r="L49" s="12" t="str">
        <f t="shared" si="1"/>
        <v>TC_E1_F__</v>
      </c>
      <c r="M49" s="25"/>
      <c r="N49" s="12" t="str">
        <f t="shared" si="2"/>
        <v>TC_E2_F__</v>
      </c>
      <c r="O49" s="25"/>
      <c r="P49" s="12" t="str">
        <f t="shared" si="3"/>
        <v>TC_E3_F__</v>
      </c>
      <c r="Q49" s="25"/>
      <c r="R49" s="12" t="str">
        <f t="shared" si="4"/>
        <v>TC_E4_F__</v>
      </c>
      <c r="S49" s="4"/>
      <c r="T49" s="12" t="str">
        <f t="shared" si="5"/>
        <v>TC_E5_F__</v>
      </c>
      <c r="U49" s="4"/>
      <c r="V49" s="12" t="str">
        <f t="shared" si="6"/>
        <v>TC_E6_F__</v>
      </c>
      <c r="W49" s="4"/>
      <c r="X49" s="10"/>
      <c r="Y49" s="10"/>
    </row>
    <row r="50" spans="1:25" x14ac:dyDescent="0.25">
      <c r="A50" s="27" t="b">
        <v>0</v>
      </c>
      <c r="B50" s="3">
        <f t="shared" si="7"/>
        <v>49</v>
      </c>
      <c r="C50" s="17" t="e">
        <f>_xlfn.XLOOKUP($D50,Tab_Def_Processes[Process_Name],Tab_Def_Processes[Process_ID],,0,)</f>
        <v>#N/A</v>
      </c>
      <c r="D50" s="23" t="s">
        <v>5</v>
      </c>
      <c r="E50" s="17" t="e">
        <f>_xlfn.XLOOKUP($D50,Tab_Def_Processes[Process_Name],Tab_Def_Processes[Process_Logic],,0,)</f>
        <v>#N/A</v>
      </c>
      <c r="F50" s="17" t="e">
        <f>_xlfn.XLOOKUP($D50,Tab_Def_Processes[Process_Name],Tab_Def_Processes[TC_Configuration],,0,)</f>
        <v>#N/A</v>
      </c>
      <c r="G50" s="17" t="e">
        <f>_xlfn.XLOOKUP($D50,Tab_Def_Processes[Process_Name],Tab_Def_Processes[Stock_Configuration],,0,)</f>
        <v>#N/A</v>
      </c>
      <c r="H50" s="17" t="e">
        <f>_xlfn.XLOOKUP($D50,Tab_Def_Processes[Process_Name],Tab_Def_Processes[Outflow_count],,0,)</f>
        <v>#N/A</v>
      </c>
      <c r="I50" s="23" t="s">
        <v>5</v>
      </c>
      <c r="J50" s="3" t="str">
        <f>_xlfn.XLOOKUP($I50,Tab_Def_Flows[Flow_Name],Tab_Def_Flows[Flow_ID],,0,1)</f>
        <v>F__</v>
      </c>
      <c r="K50" s="4"/>
      <c r="L50" s="12" t="str">
        <f t="shared" si="1"/>
        <v>TC_E1_F__</v>
      </c>
      <c r="M50" s="25"/>
      <c r="N50" s="12" t="str">
        <f t="shared" si="2"/>
        <v>TC_E2_F__</v>
      </c>
      <c r="O50" s="25"/>
      <c r="P50" s="12" t="str">
        <f t="shared" si="3"/>
        <v>TC_E3_F__</v>
      </c>
      <c r="Q50" s="25"/>
      <c r="R50" s="12" t="str">
        <f t="shared" si="4"/>
        <v>TC_E4_F__</v>
      </c>
      <c r="S50" s="4"/>
      <c r="T50" s="12" t="str">
        <f t="shared" si="5"/>
        <v>TC_E5_F__</v>
      </c>
      <c r="U50" s="4"/>
      <c r="V50" s="12" t="str">
        <f t="shared" si="6"/>
        <v>TC_E6_F__</v>
      </c>
      <c r="W50" s="4"/>
      <c r="X50" s="10"/>
      <c r="Y50" s="10"/>
    </row>
    <row r="51" spans="1:25" x14ac:dyDescent="0.25">
      <c r="A51" s="27" t="b">
        <v>0</v>
      </c>
      <c r="B51" s="3">
        <f t="shared" si="7"/>
        <v>50</v>
      </c>
      <c r="C51" s="17" t="e">
        <f>_xlfn.XLOOKUP($D51,Tab_Def_Processes[Process_Name],Tab_Def_Processes[Process_ID],,0,)</f>
        <v>#N/A</v>
      </c>
      <c r="D51" s="23" t="s">
        <v>5</v>
      </c>
      <c r="E51" s="17" t="e">
        <f>_xlfn.XLOOKUP($D51,Tab_Def_Processes[Process_Name],Tab_Def_Processes[Process_Logic],,0,)</f>
        <v>#N/A</v>
      </c>
      <c r="F51" s="17" t="e">
        <f>_xlfn.XLOOKUP($D51,Tab_Def_Processes[Process_Name],Tab_Def_Processes[TC_Configuration],,0,)</f>
        <v>#N/A</v>
      </c>
      <c r="G51" s="17" t="e">
        <f>_xlfn.XLOOKUP($D51,Tab_Def_Processes[Process_Name],Tab_Def_Processes[Stock_Configuration],,0,)</f>
        <v>#N/A</v>
      </c>
      <c r="H51" s="17" t="e">
        <f>_xlfn.XLOOKUP($D51,Tab_Def_Processes[Process_Name],Tab_Def_Processes[Outflow_count],,0,)</f>
        <v>#N/A</v>
      </c>
      <c r="I51" s="23" t="s">
        <v>5</v>
      </c>
      <c r="J51" s="3" t="str">
        <f>_xlfn.XLOOKUP($I51,Tab_Def_Flows[Flow_Name],Tab_Def_Flows[Flow_ID],,0,1)</f>
        <v>F__</v>
      </c>
      <c r="K51" s="4"/>
      <c r="L51" s="12" t="str">
        <f t="shared" si="1"/>
        <v>TC_E1_F__</v>
      </c>
      <c r="M51" s="25"/>
      <c r="N51" s="12" t="str">
        <f t="shared" si="2"/>
        <v>TC_E2_F__</v>
      </c>
      <c r="O51" s="25"/>
      <c r="P51" s="12" t="str">
        <f t="shared" si="3"/>
        <v>TC_E3_F__</v>
      </c>
      <c r="Q51" s="25"/>
      <c r="R51" s="12" t="str">
        <f t="shared" si="4"/>
        <v>TC_E4_F__</v>
      </c>
      <c r="S51" s="4"/>
      <c r="T51" s="12" t="str">
        <f t="shared" si="5"/>
        <v>TC_E5_F__</v>
      </c>
      <c r="U51" s="4"/>
      <c r="V51" s="12" t="str">
        <f t="shared" si="6"/>
        <v>TC_E6_F__</v>
      </c>
      <c r="W51" s="4"/>
      <c r="X51" s="10"/>
      <c r="Y51" s="10"/>
    </row>
    <row r="52" spans="1:25" x14ac:dyDescent="0.25">
      <c r="A52" s="27" t="b">
        <v>0</v>
      </c>
      <c r="B52" s="3">
        <f t="shared" si="7"/>
        <v>51</v>
      </c>
      <c r="C52" s="17" t="e">
        <f>_xlfn.XLOOKUP($D52,Tab_Def_Processes[Process_Name],Tab_Def_Processes[Process_ID],,0,)</f>
        <v>#N/A</v>
      </c>
      <c r="D52" s="23" t="s">
        <v>5</v>
      </c>
      <c r="E52" s="17" t="e">
        <f>_xlfn.XLOOKUP($D52,Tab_Def_Processes[Process_Name],Tab_Def_Processes[Process_Logic],,0,)</f>
        <v>#N/A</v>
      </c>
      <c r="F52" s="17" t="e">
        <f>_xlfn.XLOOKUP($D52,Tab_Def_Processes[Process_Name],Tab_Def_Processes[TC_Configuration],,0,)</f>
        <v>#N/A</v>
      </c>
      <c r="G52" s="17" t="e">
        <f>_xlfn.XLOOKUP($D52,Tab_Def_Processes[Process_Name],Tab_Def_Processes[Stock_Configuration],,0,)</f>
        <v>#N/A</v>
      </c>
      <c r="H52" s="17" t="e">
        <f>_xlfn.XLOOKUP($D52,Tab_Def_Processes[Process_Name],Tab_Def_Processes[Outflow_count],,0,)</f>
        <v>#N/A</v>
      </c>
      <c r="I52" s="23" t="s">
        <v>5</v>
      </c>
      <c r="J52" s="3" t="str">
        <f>_xlfn.XLOOKUP($I52,Tab_Def_Flows[Flow_Name],Tab_Def_Flows[Flow_ID],,0,1)</f>
        <v>F__</v>
      </c>
      <c r="K52" s="4"/>
      <c r="L52" s="12" t="str">
        <f t="shared" si="1"/>
        <v>TC_E1_F__</v>
      </c>
      <c r="M52" s="25"/>
      <c r="N52" s="12" t="str">
        <f t="shared" si="2"/>
        <v>TC_E2_F__</v>
      </c>
      <c r="O52" s="25"/>
      <c r="P52" s="12" t="str">
        <f t="shared" si="3"/>
        <v>TC_E3_F__</v>
      </c>
      <c r="Q52" s="25"/>
      <c r="R52" s="12" t="str">
        <f t="shared" si="4"/>
        <v>TC_E4_F__</v>
      </c>
      <c r="S52" s="4"/>
      <c r="T52" s="12" t="str">
        <f t="shared" si="5"/>
        <v>TC_E5_F__</v>
      </c>
      <c r="U52" s="4"/>
      <c r="V52" s="12" t="str">
        <f t="shared" si="6"/>
        <v>TC_E6_F__</v>
      </c>
      <c r="W52" s="4"/>
      <c r="X52" s="10"/>
      <c r="Y52" s="10"/>
    </row>
    <row r="53" spans="1:25" x14ac:dyDescent="0.25">
      <c r="A53" s="27" t="b">
        <v>0</v>
      </c>
      <c r="B53" s="3">
        <f t="shared" si="7"/>
        <v>52</v>
      </c>
      <c r="C53" s="17" t="e">
        <f>_xlfn.XLOOKUP($D53,Tab_Def_Processes[Process_Name],Tab_Def_Processes[Process_ID],,0,)</f>
        <v>#N/A</v>
      </c>
      <c r="D53" s="23" t="s">
        <v>5</v>
      </c>
      <c r="E53" s="17" t="e">
        <f>_xlfn.XLOOKUP($D53,Tab_Def_Processes[Process_Name],Tab_Def_Processes[Process_Logic],,0,)</f>
        <v>#N/A</v>
      </c>
      <c r="F53" s="17" t="e">
        <f>_xlfn.XLOOKUP($D53,Tab_Def_Processes[Process_Name],Tab_Def_Processes[TC_Configuration],,0,)</f>
        <v>#N/A</v>
      </c>
      <c r="G53" s="17" t="e">
        <f>_xlfn.XLOOKUP($D53,Tab_Def_Processes[Process_Name],Tab_Def_Processes[Stock_Configuration],,0,)</f>
        <v>#N/A</v>
      </c>
      <c r="H53" s="17" t="e">
        <f>_xlfn.XLOOKUP($D53,Tab_Def_Processes[Process_Name],Tab_Def_Processes[Outflow_count],,0,)</f>
        <v>#N/A</v>
      </c>
      <c r="I53" s="23" t="s">
        <v>5</v>
      </c>
      <c r="J53" s="3" t="str">
        <f>_xlfn.XLOOKUP($I53,Tab_Def_Flows[Flow_Name],Tab_Def_Flows[Flow_ID],,0,1)</f>
        <v>F__</v>
      </c>
      <c r="K53" s="4"/>
      <c r="L53" s="12" t="str">
        <f t="shared" si="1"/>
        <v>TC_E1_F__</v>
      </c>
      <c r="M53" s="25"/>
      <c r="N53" s="12" t="str">
        <f t="shared" si="2"/>
        <v>TC_E2_F__</v>
      </c>
      <c r="O53" s="25"/>
      <c r="P53" s="12" t="str">
        <f t="shared" si="3"/>
        <v>TC_E3_F__</v>
      </c>
      <c r="Q53" s="25"/>
      <c r="R53" s="12" t="str">
        <f t="shared" si="4"/>
        <v>TC_E4_F__</v>
      </c>
      <c r="S53" s="4"/>
      <c r="T53" s="12" t="str">
        <f t="shared" si="5"/>
        <v>TC_E5_F__</v>
      </c>
      <c r="U53" s="4"/>
      <c r="V53" s="12" t="str">
        <f t="shared" si="6"/>
        <v>TC_E6_F__</v>
      </c>
      <c r="W53" s="4"/>
      <c r="X53" s="10"/>
      <c r="Y53" s="10"/>
    </row>
    <row r="54" spans="1:25" x14ac:dyDescent="0.25">
      <c r="A54" s="27" t="b">
        <v>0</v>
      </c>
      <c r="B54" s="3">
        <f t="shared" si="7"/>
        <v>53</v>
      </c>
      <c r="C54" s="17" t="e">
        <f>_xlfn.XLOOKUP($D54,Tab_Def_Processes[Process_Name],Tab_Def_Processes[Process_ID],,0,)</f>
        <v>#N/A</v>
      </c>
      <c r="D54" s="23" t="s">
        <v>5</v>
      </c>
      <c r="E54" s="17" t="e">
        <f>_xlfn.XLOOKUP($D54,Tab_Def_Processes[Process_Name],Tab_Def_Processes[Process_Logic],,0,)</f>
        <v>#N/A</v>
      </c>
      <c r="F54" s="17" t="e">
        <f>_xlfn.XLOOKUP($D54,Tab_Def_Processes[Process_Name],Tab_Def_Processes[TC_Configuration],,0,)</f>
        <v>#N/A</v>
      </c>
      <c r="G54" s="17" t="e">
        <f>_xlfn.XLOOKUP($D54,Tab_Def_Processes[Process_Name],Tab_Def_Processes[Stock_Configuration],,0,)</f>
        <v>#N/A</v>
      </c>
      <c r="H54" s="17" t="e">
        <f>_xlfn.XLOOKUP($D54,Tab_Def_Processes[Process_Name],Tab_Def_Processes[Outflow_count],,0,)</f>
        <v>#N/A</v>
      </c>
      <c r="I54" s="23" t="s">
        <v>5</v>
      </c>
      <c r="J54" s="3" t="str">
        <f>_xlfn.XLOOKUP($I54,Tab_Def_Flows[Flow_Name],Tab_Def_Flows[Flow_ID],,0,1)</f>
        <v>F__</v>
      </c>
      <c r="K54" s="4"/>
      <c r="L54" s="12" t="str">
        <f t="shared" si="1"/>
        <v>TC_E1_F__</v>
      </c>
      <c r="M54" s="25"/>
      <c r="N54" s="12" t="str">
        <f t="shared" si="2"/>
        <v>TC_E2_F__</v>
      </c>
      <c r="O54" s="25"/>
      <c r="P54" s="12" t="str">
        <f t="shared" si="3"/>
        <v>TC_E3_F__</v>
      </c>
      <c r="Q54" s="25"/>
      <c r="R54" s="12" t="str">
        <f t="shared" si="4"/>
        <v>TC_E4_F__</v>
      </c>
      <c r="S54" s="4"/>
      <c r="T54" s="12" t="str">
        <f t="shared" si="5"/>
        <v>TC_E5_F__</v>
      </c>
      <c r="U54" s="4"/>
      <c r="V54" s="12" t="str">
        <f t="shared" si="6"/>
        <v>TC_E6_F__</v>
      </c>
      <c r="W54" s="4"/>
      <c r="X54" s="10"/>
      <c r="Y54" s="10"/>
    </row>
    <row r="55" spans="1:25" x14ac:dyDescent="0.25">
      <c r="A55" s="27" t="b">
        <v>0</v>
      </c>
      <c r="B55" s="3">
        <f t="shared" si="7"/>
        <v>54</v>
      </c>
      <c r="C55" s="17" t="e">
        <f>_xlfn.XLOOKUP($D55,Tab_Def_Processes[Process_Name],Tab_Def_Processes[Process_ID],,0,)</f>
        <v>#N/A</v>
      </c>
      <c r="D55" s="23" t="s">
        <v>5</v>
      </c>
      <c r="E55" s="17" t="e">
        <f>_xlfn.XLOOKUP($D55,Tab_Def_Processes[Process_Name],Tab_Def_Processes[Process_Logic],,0,)</f>
        <v>#N/A</v>
      </c>
      <c r="F55" s="17" t="e">
        <f>_xlfn.XLOOKUP($D55,Tab_Def_Processes[Process_Name],Tab_Def_Processes[TC_Configuration],,0,)</f>
        <v>#N/A</v>
      </c>
      <c r="G55" s="17" t="e">
        <f>_xlfn.XLOOKUP($D55,Tab_Def_Processes[Process_Name],Tab_Def_Processes[Stock_Configuration],,0,)</f>
        <v>#N/A</v>
      </c>
      <c r="H55" s="17" t="e">
        <f>_xlfn.XLOOKUP($D55,Tab_Def_Processes[Process_Name],Tab_Def_Processes[Outflow_count],,0,)</f>
        <v>#N/A</v>
      </c>
      <c r="I55" s="23" t="s">
        <v>5</v>
      </c>
      <c r="J55" s="3" t="str">
        <f>_xlfn.XLOOKUP($I55,Tab_Def_Flows[Flow_Name],Tab_Def_Flows[Flow_ID],,0,1)</f>
        <v>F__</v>
      </c>
      <c r="K55" s="4"/>
      <c r="L55" s="12" t="str">
        <f t="shared" si="1"/>
        <v>TC_E1_F__</v>
      </c>
      <c r="M55" s="25"/>
      <c r="N55" s="12" t="str">
        <f t="shared" si="2"/>
        <v>TC_E2_F__</v>
      </c>
      <c r="O55" s="25"/>
      <c r="P55" s="12" t="str">
        <f t="shared" si="3"/>
        <v>TC_E3_F__</v>
      </c>
      <c r="Q55" s="25"/>
      <c r="R55" s="12" t="str">
        <f t="shared" si="4"/>
        <v>TC_E4_F__</v>
      </c>
      <c r="S55" s="4"/>
      <c r="T55" s="12" t="str">
        <f t="shared" si="5"/>
        <v>TC_E5_F__</v>
      </c>
      <c r="U55" s="4"/>
      <c r="V55" s="12" t="str">
        <f t="shared" si="6"/>
        <v>TC_E6_F__</v>
      </c>
      <c r="W55" s="4"/>
      <c r="X55" s="10"/>
      <c r="Y55" s="10"/>
    </row>
    <row r="56" spans="1:25" x14ac:dyDescent="0.25">
      <c r="A56" s="27" t="b">
        <v>0</v>
      </c>
      <c r="B56" s="3">
        <f t="shared" si="7"/>
        <v>55</v>
      </c>
      <c r="C56" s="17" t="e">
        <f>_xlfn.XLOOKUP($D56,Tab_Def_Processes[Process_Name],Tab_Def_Processes[Process_ID],,0,)</f>
        <v>#N/A</v>
      </c>
      <c r="D56" s="23" t="s">
        <v>5</v>
      </c>
      <c r="E56" s="17" t="e">
        <f>_xlfn.XLOOKUP($D56,Tab_Def_Processes[Process_Name],Tab_Def_Processes[Process_Logic],,0,)</f>
        <v>#N/A</v>
      </c>
      <c r="F56" s="17" t="e">
        <f>_xlfn.XLOOKUP($D56,Tab_Def_Processes[Process_Name],Tab_Def_Processes[TC_Configuration],,0,)</f>
        <v>#N/A</v>
      </c>
      <c r="G56" s="17" t="e">
        <f>_xlfn.XLOOKUP($D56,Tab_Def_Processes[Process_Name],Tab_Def_Processes[Stock_Configuration],,0,)</f>
        <v>#N/A</v>
      </c>
      <c r="H56" s="17" t="e">
        <f>_xlfn.XLOOKUP($D56,Tab_Def_Processes[Process_Name],Tab_Def_Processes[Outflow_count],,0,)</f>
        <v>#N/A</v>
      </c>
      <c r="I56" s="23" t="s">
        <v>5</v>
      </c>
      <c r="J56" s="3" t="str">
        <f>_xlfn.XLOOKUP($I56,Tab_Def_Flows[Flow_Name],Tab_Def_Flows[Flow_ID],,0,1)</f>
        <v>F__</v>
      </c>
      <c r="K56" s="4"/>
      <c r="L56" s="12" t="str">
        <f t="shared" si="1"/>
        <v>TC_E1_F__</v>
      </c>
      <c r="M56" s="25"/>
      <c r="N56" s="12" t="str">
        <f t="shared" si="2"/>
        <v>TC_E2_F__</v>
      </c>
      <c r="O56" s="25"/>
      <c r="P56" s="12" t="str">
        <f t="shared" si="3"/>
        <v>TC_E3_F__</v>
      </c>
      <c r="Q56" s="25"/>
      <c r="R56" s="12" t="str">
        <f t="shared" si="4"/>
        <v>TC_E4_F__</v>
      </c>
      <c r="S56" s="4"/>
      <c r="T56" s="12" t="str">
        <f t="shared" si="5"/>
        <v>TC_E5_F__</v>
      </c>
      <c r="U56" s="4"/>
      <c r="V56" s="12" t="str">
        <f t="shared" si="6"/>
        <v>TC_E6_F__</v>
      </c>
      <c r="W56" s="4"/>
      <c r="X56" s="10"/>
      <c r="Y56" s="10"/>
    </row>
    <row r="57" spans="1:25" x14ac:dyDescent="0.25">
      <c r="A57" s="27" t="b">
        <v>0</v>
      </c>
      <c r="B57" s="3">
        <f t="shared" si="7"/>
        <v>56</v>
      </c>
      <c r="C57" s="17" t="e">
        <f>_xlfn.XLOOKUP($D57,Tab_Def_Processes[Process_Name],Tab_Def_Processes[Process_ID],,0,)</f>
        <v>#N/A</v>
      </c>
      <c r="D57" s="23" t="s">
        <v>5</v>
      </c>
      <c r="E57" s="17" t="e">
        <f>_xlfn.XLOOKUP($D57,Tab_Def_Processes[Process_Name],Tab_Def_Processes[Process_Logic],,0,)</f>
        <v>#N/A</v>
      </c>
      <c r="F57" s="17" t="e">
        <f>_xlfn.XLOOKUP($D57,Tab_Def_Processes[Process_Name],Tab_Def_Processes[TC_Configuration],,0,)</f>
        <v>#N/A</v>
      </c>
      <c r="G57" s="17" t="e">
        <f>_xlfn.XLOOKUP($D57,Tab_Def_Processes[Process_Name],Tab_Def_Processes[Stock_Configuration],,0,)</f>
        <v>#N/A</v>
      </c>
      <c r="H57" s="17" t="e">
        <f>_xlfn.XLOOKUP($D57,Tab_Def_Processes[Process_Name],Tab_Def_Processes[Outflow_count],,0,)</f>
        <v>#N/A</v>
      </c>
      <c r="I57" s="23" t="s">
        <v>5</v>
      </c>
      <c r="J57" s="3" t="str">
        <f>_xlfn.XLOOKUP($I57,Tab_Def_Flows[Flow_Name],Tab_Def_Flows[Flow_ID],,0,1)</f>
        <v>F__</v>
      </c>
      <c r="K57" s="4"/>
      <c r="L57" s="12" t="str">
        <f t="shared" si="1"/>
        <v>TC_E1_F__</v>
      </c>
      <c r="M57" s="25"/>
      <c r="N57" s="12" t="str">
        <f t="shared" si="2"/>
        <v>TC_E2_F__</v>
      </c>
      <c r="O57" s="25"/>
      <c r="P57" s="12" t="str">
        <f t="shared" si="3"/>
        <v>TC_E3_F__</v>
      </c>
      <c r="Q57" s="25"/>
      <c r="R57" s="12" t="str">
        <f t="shared" si="4"/>
        <v>TC_E4_F__</v>
      </c>
      <c r="S57" s="4"/>
      <c r="T57" s="12" t="str">
        <f t="shared" si="5"/>
        <v>TC_E5_F__</v>
      </c>
      <c r="U57" s="4"/>
      <c r="V57" s="12" t="str">
        <f t="shared" si="6"/>
        <v>TC_E6_F__</v>
      </c>
      <c r="W57" s="4"/>
      <c r="X57" s="10"/>
      <c r="Y57" s="10"/>
    </row>
    <row r="58" spans="1:25" x14ac:dyDescent="0.25">
      <c r="A58" s="27" t="b">
        <v>0</v>
      </c>
      <c r="B58" s="3">
        <f t="shared" si="7"/>
        <v>57</v>
      </c>
      <c r="C58" s="17" t="e">
        <f>_xlfn.XLOOKUP($D58,Tab_Def_Processes[Process_Name],Tab_Def_Processes[Process_ID],,0,)</f>
        <v>#N/A</v>
      </c>
      <c r="D58" s="23" t="s">
        <v>5</v>
      </c>
      <c r="E58" s="17" t="e">
        <f>_xlfn.XLOOKUP($D58,Tab_Def_Processes[Process_Name],Tab_Def_Processes[Process_Logic],,0,)</f>
        <v>#N/A</v>
      </c>
      <c r="F58" s="17" t="e">
        <f>_xlfn.XLOOKUP($D58,Tab_Def_Processes[Process_Name],Tab_Def_Processes[TC_Configuration],,0,)</f>
        <v>#N/A</v>
      </c>
      <c r="G58" s="17" t="e">
        <f>_xlfn.XLOOKUP($D58,Tab_Def_Processes[Process_Name],Tab_Def_Processes[Stock_Configuration],,0,)</f>
        <v>#N/A</v>
      </c>
      <c r="H58" s="17" t="e">
        <f>_xlfn.XLOOKUP($D58,Tab_Def_Processes[Process_Name],Tab_Def_Processes[Outflow_count],,0,)</f>
        <v>#N/A</v>
      </c>
      <c r="I58" s="23" t="s">
        <v>5</v>
      </c>
      <c r="J58" s="3" t="str">
        <f>_xlfn.XLOOKUP($I58,Tab_Def_Flows[Flow_Name],Tab_Def_Flows[Flow_ID],,0,1)</f>
        <v>F__</v>
      </c>
      <c r="K58" s="4"/>
      <c r="L58" s="12" t="str">
        <f t="shared" si="1"/>
        <v>TC_E1_F__</v>
      </c>
      <c r="M58" s="25"/>
      <c r="N58" s="12" t="str">
        <f t="shared" si="2"/>
        <v>TC_E2_F__</v>
      </c>
      <c r="O58" s="25"/>
      <c r="P58" s="12" t="str">
        <f t="shared" si="3"/>
        <v>TC_E3_F__</v>
      </c>
      <c r="Q58" s="25"/>
      <c r="R58" s="12" t="str">
        <f t="shared" si="4"/>
        <v>TC_E4_F__</v>
      </c>
      <c r="S58" s="4"/>
      <c r="T58" s="12" t="str">
        <f t="shared" si="5"/>
        <v>TC_E5_F__</v>
      </c>
      <c r="U58" s="4"/>
      <c r="V58" s="12" t="str">
        <f t="shared" si="6"/>
        <v>TC_E6_F__</v>
      </c>
      <c r="W58" s="4"/>
      <c r="X58" s="10"/>
      <c r="Y58" s="10"/>
    </row>
    <row r="59" spans="1:25" x14ac:dyDescent="0.25">
      <c r="A59" s="27" t="b">
        <v>0</v>
      </c>
      <c r="B59" s="3">
        <f t="shared" si="7"/>
        <v>58</v>
      </c>
      <c r="C59" s="17" t="e">
        <f>_xlfn.XLOOKUP($D59,Tab_Def_Processes[Process_Name],Tab_Def_Processes[Process_ID],,0,)</f>
        <v>#N/A</v>
      </c>
      <c r="D59" s="23" t="s">
        <v>5</v>
      </c>
      <c r="E59" s="17" t="e">
        <f>_xlfn.XLOOKUP($D59,Tab_Def_Processes[Process_Name],Tab_Def_Processes[Process_Logic],,0,)</f>
        <v>#N/A</v>
      </c>
      <c r="F59" s="17" t="e">
        <f>_xlfn.XLOOKUP($D59,Tab_Def_Processes[Process_Name],Tab_Def_Processes[TC_Configuration],,0,)</f>
        <v>#N/A</v>
      </c>
      <c r="G59" s="17" t="e">
        <f>_xlfn.XLOOKUP($D59,Tab_Def_Processes[Process_Name],Tab_Def_Processes[Stock_Configuration],,0,)</f>
        <v>#N/A</v>
      </c>
      <c r="H59" s="17" t="e">
        <f>_xlfn.XLOOKUP($D59,Tab_Def_Processes[Process_Name],Tab_Def_Processes[Outflow_count],,0,)</f>
        <v>#N/A</v>
      </c>
      <c r="I59" s="23" t="s">
        <v>5</v>
      </c>
      <c r="J59" s="3" t="str">
        <f>_xlfn.XLOOKUP($I59,Tab_Def_Flows[Flow_Name],Tab_Def_Flows[Flow_ID],,0,1)</f>
        <v>F__</v>
      </c>
      <c r="K59" s="4"/>
      <c r="L59" s="12" t="str">
        <f t="shared" si="1"/>
        <v>TC_E1_F__</v>
      </c>
      <c r="M59" s="25"/>
      <c r="N59" s="12" t="str">
        <f t="shared" si="2"/>
        <v>TC_E2_F__</v>
      </c>
      <c r="O59" s="25"/>
      <c r="P59" s="12" t="str">
        <f t="shared" si="3"/>
        <v>TC_E3_F__</v>
      </c>
      <c r="Q59" s="25"/>
      <c r="R59" s="12" t="str">
        <f t="shared" si="4"/>
        <v>TC_E4_F__</v>
      </c>
      <c r="S59" s="4"/>
      <c r="T59" s="12" t="str">
        <f t="shared" si="5"/>
        <v>TC_E5_F__</v>
      </c>
      <c r="U59" s="4"/>
      <c r="V59" s="12" t="str">
        <f t="shared" si="6"/>
        <v>TC_E6_F__</v>
      </c>
      <c r="W59" s="4"/>
      <c r="X59" s="10"/>
      <c r="Y59" s="10"/>
    </row>
    <row r="60" spans="1:25" x14ac:dyDescent="0.25">
      <c r="A60" s="27" t="b">
        <v>0</v>
      </c>
      <c r="B60" s="3">
        <f t="shared" si="7"/>
        <v>59</v>
      </c>
      <c r="C60" s="17" t="e">
        <f>_xlfn.XLOOKUP($D60,Tab_Def_Processes[Process_Name],Tab_Def_Processes[Process_ID],,0,)</f>
        <v>#N/A</v>
      </c>
      <c r="D60" s="23" t="s">
        <v>5</v>
      </c>
      <c r="E60" s="17" t="e">
        <f>_xlfn.XLOOKUP($D60,Tab_Def_Processes[Process_Name],Tab_Def_Processes[Process_Logic],,0,)</f>
        <v>#N/A</v>
      </c>
      <c r="F60" s="17" t="e">
        <f>_xlfn.XLOOKUP($D60,Tab_Def_Processes[Process_Name],Tab_Def_Processes[TC_Configuration],,0,)</f>
        <v>#N/A</v>
      </c>
      <c r="G60" s="17" t="e">
        <f>_xlfn.XLOOKUP($D60,Tab_Def_Processes[Process_Name],Tab_Def_Processes[Stock_Configuration],,0,)</f>
        <v>#N/A</v>
      </c>
      <c r="H60" s="17" t="e">
        <f>_xlfn.XLOOKUP($D60,Tab_Def_Processes[Process_Name],Tab_Def_Processes[Outflow_count],,0,)</f>
        <v>#N/A</v>
      </c>
      <c r="I60" s="23" t="s">
        <v>5</v>
      </c>
      <c r="J60" s="3" t="str">
        <f>_xlfn.XLOOKUP($I60,Tab_Def_Flows[Flow_Name],Tab_Def_Flows[Flow_ID],,0,1)</f>
        <v>F__</v>
      </c>
      <c r="K60" s="4"/>
      <c r="L60" s="12" t="str">
        <f t="shared" si="1"/>
        <v>TC_E1_F__</v>
      </c>
      <c r="M60" s="25"/>
      <c r="N60" s="12" t="str">
        <f t="shared" si="2"/>
        <v>TC_E2_F__</v>
      </c>
      <c r="O60" s="25"/>
      <c r="P60" s="12" t="str">
        <f t="shared" si="3"/>
        <v>TC_E3_F__</v>
      </c>
      <c r="Q60" s="25"/>
      <c r="R60" s="12" t="str">
        <f t="shared" si="4"/>
        <v>TC_E4_F__</v>
      </c>
      <c r="S60" s="4"/>
      <c r="T60" s="12" t="str">
        <f t="shared" si="5"/>
        <v>TC_E5_F__</v>
      </c>
      <c r="U60" s="4"/>
      <c r="V60" s="12" t="str">
        <f t="shared" si="6"/>
        <v>TC_E6_F__</v>
      </c>
      <c r="W60" s="4"/>
      <c r="X60" s="10"/>
      <c r="Y60" s="10"/>
    </row>
    <row r="61" spans="1:25" x14ac:dyDescent="0.25">
      <c r="A61" s="27" t="b">
        <v>0</v>
      </c>
      <c r="B61" s="3">
        <f t="shared" si="7"/>
        <v>60</v>
      </c>
      <c r="C61" s="17" t="e">
        <f>_xlfn.XLOOKUP($D61,Tab_Def_Processes[Process_Name],Tab_Def_Processes[Process_ID],,0,)</f>
        <v>#N/A</v>
      </c>
      <c r="D61" s="23" t="s">
        <v>5</v>
      </c>
      <c r="E61" s="17" t="e">
        <f>_xlfn.XLOOKUP($D61,Tab_Def_Processes[Process_Name],Tab_Def_Processes[Process_Logic],,0,)</f>
        <v>#N/A</v>
      </c>
      <c r="F61" s="17" t="e">
        <f>_xlfn.XLOOKUP($D61,Tab_Def_Processes[Process_Name],Tab_Def_Processes[TC_Configuration],,0,)</f>
        <v>#N/A</v>
      </c>
      <c r="G61" s="17" t="e">
        <f>_xlfn.XLOOKUP($D61,Tab_Def_Processes[Process_Name],Tab_Def_Processes[Stock_Configuration],,0,)</f>
        <v>#N/A</v>
      </c>
      <c r="H61" s="17" t="e">
        <f>_xlfn.XLOOKUP($D61,Tab_Def_Processes[Process_Name],Tab_Def_Processes[Outflow_count],,0,)</f>
        <v>#N/A</v>
      </c>
      <c r="I61" s="23" t="s">
        <v>5</v>
      </c>
      <c r="J61" s="3" t="str">
        <f>_xlfn.XLOOKUP($I61,Tab_Def_Flows[Flow_Name],Tab_Def_Flows[Flow_ID],,0,1)</f>
        <v>F__</v>
      </c>
      <c r="K61" s="4"/>
      <c r="L61" s="12" t="str">
        <f t="shared" si="1"/>
        <v>TC_E1_F__</v>
      </c>
      <c r="M61" s="25"/>
      <c r="N61" s="12" t="str">
        <f t="shared" si="2"/>
        <v>TC_E2_F__</v>
      </c>
      <c r="O61" s="25"/>
      <c r="P61" s="12" t="str">
        <f t="shared" si="3"/>
        <v>TC_E3_F__</v>
      </c>
      <c r="Q61" s="25"/>
      <c r="R61" s="12" t="str">
        <f t="shared" si="4"/>
        <v>TC_E4_F__</v>
      </c>
      <c r="S61" s="4"/>
      <c r="T61" s="12" t="str">
        <f t="shared" si="5"/>
        <v>TC_E5_F__</v>
      </c>
      <c r="U61" s="4"/>
      <c r="V61" s="12" t="str">
        <f t="shared" si="6"/>
        <v>TC_E6_F__</v>
      </c>
      <c r="W61" s="4"/>
      <c r="X61" s="10"/>
      <c r="Y61" s="10"/>
    </row>
    <row r="62" spans="1:25" x14ac:dyDescent="0.25">
      <c r="A62" s="27" t="b">
        <v>0</v>
      </c>
      <c r="B62" s="3">
        <f t="shared" si="7"/>
        <v>61</v>
      </c>
      <c r="C62" s="17" t="e">
        <f>_xlfn.XLOOKUP($D62,Tab_Def_Processes[Process_Name],Tab_Def_Processes[Process_ID],,0,)</f>
        <v>#N/A</v>
      </c>
      <c r="D62" s="23" t="s">
        <v>5</v>
      </c>
      <c r="E62" s="17" t="e">
        <f>_xlfn.XLOOKUP($D62,Tab_Def_Processes[Process_Name],Tab_Def_Processes[Process_Logic],,0,)</f>
        <v>#N/A</v>
      </c>
      <c r="F62" s="17" t="e">
        <f>_xlfn.XLOOKUP($D62,Tab_Def_Processes[Process_Name],Tab_Def_Processes[TC_Configuration],,0,)</f>
        <v>#N/A</v>
      </c>
      <c r="G62" s="17" t="e">
        <f>_xlfn.XLOOKUP($D62,Tab_Def_Processes[Process_Name],Tab_Def_Processes[Stock_Configuration],,0,)</f>
        <v>#N/A</v>
      </c>
      <c r="H62" s="17" t="e">
        <f>_xlfn.XLOOKUP($D62,Tab_Def_Processes[Process_Name],Tab_Def_Processes[Outflow_count],,0,)</f>
        <v>#N/A</v>
      </c>
      <c r="I62" s="23" t="s">
        <v>5</v>
      </c>
      <c r="J62" s="3" t="str">
        <f>_xlfn.XLOOKUP($I62,Tab_Def_Flows[Flow_Name],Tab_Def_Flows[Flow_ID],,0,1)</f>
        <v>F__</v>
      </c>
      <c r="K62" s="4"/>
      <c r="L62" s="12" t="str">
        <f t="shared" si="1"/>
        <v>TC_E1_F__</v>
      </c>
      <c r="M62" s="25"/>
      <c r="N62" s="12" t="str">
        <f t="shared" si="2"/>
        <v>TC_E2_F__</v>
      </c>
      <c r="O62" s="25"/>
      <c r="P62" s="12" t="str">
        <f t="shared" si="3"/>
        <v>TC_E3_F__</v>
      </c>
      <c r="Q62" s="25"/>
      <c r="R62" s="12" t="str">
        <f t="shared" si="4"/>
        <v>TC_E4_F__</v>
      </c>
      <c r="S62" s="4"/>
      <c r="T62" s="12" t="str">
        <f t="shared" si="5"/>
        <v>TC_E5_F__</v>
      </c>
      <c r="U62" s="4"/>
      <c r="V62" s="12" t="str">
        <f t="shared" si="6"/>
        <v>TC_E6_F__</v>
      </c>
      <c r="W62" s="4"/>
      <c r="X62" s="10"/>
      <c r="Y62" s="10"/>
    </row>
    <row r="63" spans="1:25" x14ac:dyDescent="0.25">
      <c r="A63" s="27" t="b">
        <v>0</v>
      </c>
      <c r="B63" s="3">
        <f t="shared" si="7"/>
        <v>62</v>
      </c>
      <c r="C63" s="17" t="e">
        <f>_xlfn.XLOOKUP($D63,Tab_Def_Processes[Process_Name],Tab_Def_Processes[Process_ID],,0,)</f>
        <v>#N/A</v>
      </c>
      <c r="D63" s="23" t="s">
        <v>5</v>
      </c>
      <c r="E63" s="17" t="e">
        <f>_xlfn.XLOOKUP($D63,Tab_Def_Processes[Process_Name],Tab_Def_Processes[Process_Logic],,0,)</f>
        <v>#N/A</v>
      </c>
      <c r="F63" s="17" t="e">
        <f>_xlfn.XLOOKUP($D63,Tab_Def_Processes[Process_Name],Tab_Def_Processes[TC_Configuration],,0,)</f>
        <v>#N/A</v>
      </c>
      <c r="G63" s="17" t="e">
        <f>_xlfn.XLOOKUP($D63,Tab_Def_Processes[Process_Name],Tab_Def_Processes[Stock_Configuration],,0,)</f>
        <v>#N/A</v>
      </c>
      <c r="H63" s="17" t="e">
        <f>_xlfn.XLOOKUP($D63,Tab_Def_Processes[Process_Name],Tab_Def_Processes[Outflow_count],,0,)</f>
        <v>#N/A</v>
      </c>
      <c r="I63" s="23" t="s">
        <v>5</v>
      </c>
      <c r="J63" s="3" t="str">
        <f>_xlfn.XLOOKUP($I63,Tab_Def_Flows[Flow_Name],Tab_Def_Flows[Flow_ID],,0,1)</f>
        <v>F__</v>
      </c>
      <c r="K63" s="4"/>
      <c r="L63" s="12" t="str">
        <f t="shared" si="1"/>
        <v>TC_E1_F__</v>
      </c>
      <c r="M63" s="25"/>
      <c r="N63" s="12" t="str">
        <f t="shared" si="2"/>
        <v>TC_E2_F__</v>
      </c>
      <c r="O63" s="25"/>
      <c r="P63" s="12" t="str">
        <f t="shared" si="3"/>
        <v>TC_E3_F__</v>
      </c>
      <c r="Q63" s="25"/>
      <c r="R63" s="12" t="str">
        <f t="shared" si="4"/>
        <v>TC_E4_F__</v>
      </c>
      <c r="S63" s="4"/>
      <c r="T63" s="12" t="str">
        <f t="shared" si="5"/>
        <v>TC_E5_F__</v>
      </c>
      <c r="U63" s="4"/>
      <c r="V63" s="12" t="str">
        <f t="shared" si="6"/>
        <v>TC_E6_F__</v>
      </c>
      <c r="W63" s="4"/>
      <c r="X63" s="10"/>
      <c r="Y63" s="10"/>
    </row>
    <row r="64" spans="1:25" x14ac:dyDescent="0.25">
      <c r="A64" s="27" t="b">
        <v>0</v>
      </c>
      <c r="B64" s="3">
        <f t="shared" ref="B64:B95" si="8">ROW()-1</f>
        <v>63</v>
      </c>
      <c r="C64" s="17" t="e">
        <f>_xlfn.XLOOKUP($D64,Tab_Def_Processes[Process_Name],Tab_Def_Processes[Process_ID],,0,)</f>
        <v>#N/A</v>
      </c>
      <c r="D64" s="23" t="s">
        <v>5</v>
      </c>
      <c r="E64" s="17" t="e">
        <f>_xlfn.XLOOKUP($D64,Tab_Def_Processes[Process_Name],Tab_Def_Processes[Process_Logic],,0,)</f>
        <v>#N/A</v>
      </c>
      <c r="F64" s="17" t="e">
        <f>_xlfn.XLOOKUP($D64,Tab_Def_Processes[Process_Name],Tab_Def_Processes[TC_Configuration],,0,)</f>
        <v>#N/A</v>
      </c>
      <c r="G64" s="17" t="e">
        <f>_xlfn.XLOOKUP($D64,Tab_Def_Processes[Process_Name],Tab_Def_Processes[Stock_Configuration],,0,)</f>
        <v>#N/A</v>
      </c>
      <c r="H64" s="17" t="e">
        <f>_xlfn.XLOOKUP($D64,Tab_Def_Processes[Process_Name],Tab_Def_Processes[Outflow_count],,0,)</f>
        <v>#N/A</v>
      </c>
      <c r="I64" s="23" t="s">
        <v>5</v>
      </c>
      <c r="J64" s="3" t="str">
        <f>_xlfn.XLOOKUP($I64,Tab_Def_Flows[Flow_Name],Tab_Def_Flows[Flow_ID],,0,1)</f>
        <v>F__</v>
      </c>
      <c r="K64" s="4"/>
      <c r="L64" s="12" t="str">
        <f t="shared" si="1"/>
        <v>TC_E1_F__</v>
      </c>
      <c r="M64" s="25"/>
      <c r="N64" s="12" t="str">
        <f t="shared" si="2"/>
        <v>TC_E2_F__</v>
      </c>
      <c r="O64" s="25"/>
      <c r="P64" s="12" t="str">
        <f t="shared" si="3"/>
        <v>TC_E3_F__</v>
      </c>
      <c r="Q64" s="25"/>
      <c r="R64" s="12" t="str">
        <f t="shared" si="4"/>
        <v>TC_E4_F__</v>
      </c>
      <c r="S64" s="4"/>
      <c r="T64" s="12" t="str">
        <f t="shared" si="5"/>
        <v>TC_E5_F__</v>
      </c>
      <c r="U64" s="4"/>
      <c r="V64" s="12" t="str">
        <f t="shared" si="6"/>
        <v>TC_E6_F__</v>
      </c>
      <c r="W64" s="4"/>
      <c r="X64" s="10"/>
      <c r="Y64" s="10"/>
    </row>
    <row r="65" spans="1:25" x14ac:dyDescent="0.25">
      <c r="A65" s="27" t="b">
        <v>0</v>
      </c>
      <c r="B65" s="3">
        <f t="shared" si="8"/>
        <v>64</v>
      </c>
      <c r="C65" s="17" t="e">
        <f>_xlfn.XLOOKUP($D65,Tab_Def_Processes[Process_Name],Tab_Def_Processes[Process_ID],,0,)</f>
        <v>#N/A</v>
      </c>
      <c r="D65" s="23" t="s">
        <v>5</v>
      </c>
      <c r="E65" s="17" t="e">
        <f>_xlfn.XLOOKUP($D65,Tab_Def_Processes[Process_Name],Tab_Def_Processes[Process_Logic],,0,)</f>
        <v>#N/A</v>
      </c>
      <c r="F65" s="17" t="e">
        <f>_xlfn.XLOOKUP($D65,Tab_Def_Processes[Process_Name],Tab_Def_Processes[TC_Configuration],,0,)</f>
        <v>#N/A</v>
      </c>
      <c r="G65" s="17" t="e">
        <f>_xlfn.XLOOKUP($D65,Tab_Def_Processes[Process_Name],Tab_Def_Processes[Stock_Configuration],,0,)</f>
        <v>#N/A</v>
      </c>
      <c r="H65" s="17" t="e">
        <f>_xlfn.XLOOKUP($D65,Tab_Def_Processes[Process_Name],Tab_Def_Processes[Outflow_count],,0,)</f>
        <v>#N/A</v>
      </c>
      <c r="I65" s="23" t="s">
        <v>5</v>
      </c>
      <c r="J65" s="3" t="str">
        <f>_xlfn.XLOOKUP($I65,Tab_Def_Flows[Flow_Name],Tab_Def_Flows[Flow_ID],,0,1)</f>
        <v>F__</v>
      </c>
      <c r="K65" s="4"/>
      <c r="L65" s="12" t="str">
        <f t="shared" ref="L65:L128" si="9">"TC_E1"&amp;"_"&amp;RIGHT(J65,5)</f>
        <v>TC_E1_F__</v>
      </c>
      <c r="M65" s="25"/>
      <c r="N65" s="12" t="str">
        <f t="shared" ref="N65:N128" si="10">"TC_E2"&amp;"_"&amp;RIGHT(J65,5)</f>
        <v>TC_E2_F__</v>
      </c>
      <c r="O65" s="25"/>
      <c r="P65" s="12" t="str">
        <f t="shared" ref="P65:P128" si="11">"TC_E3"&amp;"_"&amp;RIGHT(J65,5)</f>
        <v>TC_E3_F__</v>
      </c>
      <c r="Q65" s="25"/>
      <c r="R65" s="12" t="str">
        <f t="shared" ref="R65:R128" si="12">"TC_E4"&amp;"_"&amp;RIGHT(J65,5)</f>
        <v>TC_E4_F__</v>
      </c>
      <c r="S65" s="4"/>
      <c r="T65" s="12" t="str">
        <f t="shared" ref="T65:T128" si="13">"TC_E5"&amp;"_"&amp;RIGHT(J65,5)</f>
        <v>TC_E5_F__</v>
      </c>
      <c r="U65" s="4"/>
      <c r="V65" s="12" t="str">
        <f t="shared" si="6"/>
        <v>TC_E6_F__</v>
      </c>
      <c r="W65" s="4"/>
      <c r="X65" s="10"/>
      <c r="Y65" s="10"/>
    </row>
    <row r="66" spans="1:25" x14ac:dyDescent="0.25">
      <c r="A66" s="27" t="b">
        <v>0</v>
      </c>
      <c r="B66" s="3">
        <f t="shared" si="8"/>
        <v>65</v>
      </c>
      <c r="C66" s="17" t="e">
        <f>_xlfn.XLOOKUP($D66,Tab_Def_Processes[Process_Name],Tab_Def_Processes[Process_ID],,0,)</f>
        <v>#N/A</v>
      </c>
      <c r="D66" s="23" t="s">
        <v>5</v>
      </c>
      <c r="E66" s="17" t="e">
        <f>_xlfn.XLOOKUP($D66,Tab_Def_Processes[Process_Name],Tab_Def_Processes[Process_Logic],,0,)</f>
        <v>#N/A</v>
      </c>
      <c r="F66" s="17" t="e">
        <f>_xlfn.XLOOKUP($D66,Tab_Def_Processes[Process_Name],Tab_Def_Processes[TC_Configuration],,0,)</f>
        <v>#N/A</v>
      </c>
      <c r="G66" s="17" t="e">
        <f>_xlfn.XLOOKUP($D66,Tab_Def_Processes[Process_Name],Tab_Def_Processes[Stock_Configuration],,0,)</f>
        <v>#N/A</v>
      </c>
      <c r="H66" s="17" t="e">
        <f>_xlfn.XLOOKUP($D66,Tab_Def_Processes[Process_Name],Tab_Def_Processes[Outflow_count],,0,)</f>
        <v>#N/A</v>
      </c>
      <c r="I66" s="23" t="s">
        <v>5</v>
      </c>
      <c r="J66" s="3" t="str">
        <f>_xlfn.XLOOKUP($I66,Tab_Def_Flows[Flow_Name],Tab_Def_Flows[Flow_ID],,0,1)</f>
        <v>F__</v>
      </c>
      <c r="K66" s="4"/>
      <c r="L66" s="12" t="str">
        <f t="shared" si="9"/>
        <v>TC_E1_F__</v>
      </c>
      <c r="M66" s="25"/>
      <c r="N66" s="12" t="str">
        <f t="shared" si="10"/>
        <v>TC_E2_F__</v>
      </c>
      <c r="O66" s="25"/>
      <c r="P66" s="12" t="str">
        <f t="shared" si="11"/>
        <v>TC_E3_F__</v>
      </c>
      <c r="Q66" s="25"/>
      <c r="R66" s="12" t="str">
        <f t="shared" si="12"/>
        <v>TC_E4_F__</v>
      </c>
      <c r="S66" s="4"/>
      <c r="T66" s="12" t="str">
        <f t="shared" si="13"/>
        <v>TC_E5_F__</v>
      </c>
      <c r="U66" s="4"/>
      <c r="V66" s="12" t="str">
        <f t="shared" si="6"/>
        <v>TC_E6_F__</v>
      </c>
      <c r="W66" s="4"/>
      <c r="X66" s="10"/>
      <c r="Y66" s="10"/>
    </row>
    <row r="67" spans="1:25" x14ac:dyDescent="0.25">
      <c r="A67" s="27" t="b">
        <v>0</v>
      </c>
      <c r="B67" s="3">
        <f t="shared" si="8"/>
        <v>66</v>
      </c>
      <c r="C67" s="17" t="e">
        <f>_xlfn.XLOOKUP($D67,Tab_Def_Processes[Process_Name],Tab_Def_Processes[Process_ID],,0,)</f>
        <v>#N/A</v>
      </c>
      <c r="D67" s="23" t="s">
        <v>5</v>
      </c>
      <c r="E67" s="17" t="e">
        <f>_xlfn.XLOOKUP($D67,Tab_Def_Processes[Process_Name],Tab_Def_Processes[Process_Logic],,0,)</f>
        <v>#N/A</v>
      </c>
      <c r="F67" s="17" t="e">
        <f>_xlfn.XLOOKUP($D67,Tab_Def_Processes[Process_Name],Tab_Def_Processes[TC_Configuration],,0,)</f>
        <v>#N/A</v>
      </c>
      <c r="G67" s="17" t="e">
        <f>_xlfn.XLOOKUP($D67,Tab_Def_Processes[Process_Name],Tab_Def_Processes[Stock_Configuration],,0,)</f>
        <v>#N/A</v>
      </c>
      <c r="H67" s="17" t="e">
        <f>_xlfn.XLOOKUP($D67,Tab_Def_Processes[Process_Name],Tab_Def_Processes[Outflow_count],,0,)</f>
        <v>#N/A</v>
      </c>
      <c r="I67" s="23" t="s">
        <v>5</v>
      </c>
      <c r="J67" s="3" t="str">
        <f>_xlfn.XLOOKUP($I67,Tab_Def_Flows[Flow_Name],Tab_Def_Flows[Flow_ID],,0,1)</f>
        <v>F__</v>
      </c>
      <c r="K67" s="4"/>
      <c r="L67" s="12" t="str">
        <f t="shared" si="9"/>
        <v>TC_E1_F__</v>
      </c>
      <c r="M67" s="25"/>
      <c r="N67" s="12" t="str">
        <f t="shared" si="10"/>
        <v>TC_E2_F__</v>
      </c>
      <c r="O67" s="25"/>
      <c r="P67" s="12" t="str">
        <f t="shared" si="11"/>
        <v>TC_E3_F__</v>
      </c>
      <c r="Q67" s="25"/>
      <c r="R67" s="12" t="str">
        <f t="shared" si="12"/>
        <v>TC_E4_F__</v>
      </c>
      <c r="S67" s="4"/>
      <c r="T67" s="12" t="str">
        <f t="shared" si="13"/>
        <v>TC_E5_F__</v>
      </c>
      <c r="U67" s="4"/>
      <c r="V67" s="12" t="str">
        <f t="shared" ref="V67:V130" si="14">"TC_E6"&amp;"_"&amp;RIGHT(J67,5)</f>
        <v>TC_E6_F__</v>
      </c>
      <c r="W67" s="4"/>
      <c r="X67" s="10"/>
      <c r="Y67" s="10"/>
    </row>
    <row r="68" spans="1:25" x14ac:dyDescent="0.25">
      <c r="A68" s="27" t="b">
        <v>0</v>
      </c>
      <c r="B68" s="3">
        <f t="shared" si="8"/>
        <v>67</v>
      </c>
      <c r="C68" s="17" t="e">
        <f>_xlfn.XLOOKUP($D68,Tab_Def_Processes[Process_Name],Tab_Def_Processes[Process_ID],,0,)</f>
        <v>#N/A</v>
      </c>
      <c r="D68" s="23" t="s">
        <v>5</v>
      </c>
      <c r="E68" s="17" t="e">
        <f>_xlfn.XLOOKUP($D68,Tab_Def_Processes[Process_Name],Tab_Def_Processes[Process_Logic],,0,)</f>
        <v>#N/A</v>
      </c>
      <c r="F68" s="17" t="e">
        <f>_xlfn.XLOOKUP($D68,Tab_Def_Processes[Process_Name],Tab_Def_Processes[TC_Configuration],,0,)</f>
        <v>#N/A</v>
      </c>
      <c r="G68" s="17" t="e">
        <f>_xlfn.XLOOKUP($D68,Tab_Def_Processes[Process_Name],Tab_Def_Processes[Stock_Configuration],,0,)</f>
        <v>#N/A</v>
      </c>
      <c r="H68" s="17" t="e">
        <f>_xlfn.XLOOKUP($D68,Tab_Def_Processes[Process_Name],Tab_Def_Processes[Outflow_count],,0,)</f>
        <v>#N/A</v>
      </c>
      <c r="I68" s="23" t="s">
        <v>5</v>
      </c>
      <c r="J68" s="3" t="str">
        <f>_xlfn.XLOOKUP($I68,Tab_Def_Flows[Flow_Name],Tab_Def_Flows[Flow_ID],,0,1)</f>
        <v>F__</v>
      </c>
      <c r="K68" s="4"/>
      <c r="L68" s="12" t="str">
        <f t="shared" si="9"/>
        <v>TC_E1_F__</v>
      </c>
      <c r="M68" s="25"/>
      <c r="N68" s="12" t="str">
        <f t="shared" si="10"/>
        <v>TC_E2_F__</v>
      </c>
      <c r="O68" s="25"/>
      <c r="P68" s="12" t="str">
        <f t="shared" si="11"/>
        <v>TC_E3_F__</v>
      </c>
      <c r="Q68" s="25"/>
      <c r="R68" s="12" t="str">
        <f t="shared" si="12"/>
        <v>TC_E4_F__</v>
      </c>
      <c r="S68" s="4"/>
      <c r="T68" s="12" t="str">
        <f t="shared" si="13"/>
        <v>TC_E5_F__</v>
      </c>
      <c r="U68" s="4"/>
      <c r="V68" s="12" t="str">
        <f t="shared" si="14"/>
        <v>TC_E6_F__</v>
      </c>
      <c r="W68" s="4"/>
      <c r="X68" s="10"/>
      <c r="Y68" s="10"/>
    </row>
    <row r="69" spans="1:25" x14ac:dyDescent="0.25">
      <c r="A69" s="27" t="b">
        <v>0</v>
      </c>
      <c r="B69" s="3">
        <f t="shared" si="8"/>
        <v>68</v>
      </c>
      <c r="C69" s="17" t="e">
        <f>_xlfn.XLOOKUP($D69,Tab_Def_Processes[Process_Name],Tab_Def_Processes[Process_ID],,0,)</f>
        <v>#N/A</v>
      </c>
      <c r="D69" s="23" t="s">
        <v>5</v>
      </c>
      <c r="E69" s="17" t="e">
        <f>_xlfn.XLOOKUP($D69,Tab_Def_Processes[Process_Name],Tab_Def_Processes[Process_Logic],,0,)</f>
        <v>#N/A</v>
      </c>
      <c r="F69" s="17" t="e">
        <f>_xlfn.XLOOKUP($D69,Tab_Def_Processes[Process_Name],Tab_Def_Processes[TC_Configuration],,0,)</f>
        <v>#N/A</v>
      </c>
      <c r="G69" s="17" t="e">
        <f>_xlfn.XLOOKUP($D69,Tab_Def_Processes[Process_Name],Tab_Def_Processes[Stock_Configuration],,0,)</f>
        <v>#N/A</v>
      </c>
      <c r="H69" s="17" t="e">
        <f>_xlfn.XLOOKUP($D69,Tab_Def_Processes[Process_Name],Tab_Def_Processes[Outflow_count],,0,)</f>
        <v>#N/A</v>
      </c>
      <c r="I69" s="23" t="s">
        <v>5</v>
      </c>
      <c r="J69" s="3" t="str">
        <f>_xlfn.XLOOKUP($I69,Tab_Def_Flows[Flow_Name],Tab_Def_Flows[Flow_ID],,0,1)</f>
        <v>F__</v>
      </c>
      <c r="K69" s="4"/>
      <c r="L69" s="12" t="str">
        <f t="shared" si="9"/>
        <v>TC_E1_F__</v>
      </c>
      <c r="M69" s="25"/>
      <c r="N69" s="12" t="str">
        <f t="shared" si="10"/>
        <v>TC_E2_F__</v>
      </c>
      <c r="O69" s="25"/>
      <c r="P69" s="12" t="str">
        <f t="shared" si="11"/>
        <v>TC_E3_F__</v>
      </c>
      <c r="Q69" s="25"/>
      <c r="R69" s="12" t="str">
        <f t="shared" si="12"/>
        <v>TC_E4_F__</v>
      </c>
      <c r="S69" s="4"/>
      <c r="T69" s="12" t="str">
        <f t="shared" si="13"/>
        <v>TC_E5_F__</v>
      </c>
      <c r="U69" s="4"/>
      <c r="V69" s="12" t="str">
        <f t="shared" si="14"/>
        <v>TC_E6_F__</v>
      </c>
      <c r="W69" s="4"/>
      <c r="X69" s="10"/>
      <c r="Y69" s="10"/>
    </row>
    <row r="70" spans="1:25" x14ac:dyDescent="0.25">
      <c r="A70" s="27" t="b">
        <v>0</v>
      </c>
      <c r="B70" s="3">
        <f t="shared" si="8"/>
        <v>69</v>
      </c>
      <c r="C70" s="17" t="e">
        <f>_xlfn.XLOOKUP($D70,Tab_Def_Processes[Process_Name],Tab_Def_Processes[Process_ID],,0,)</f>
        <v>#N/A</v>
      </c>
      <c r="D70" s="23" t="s">
        <v>5</v>
      </c>
      <c r="E70" s="17" t="e">
        <f>_xlfn.XLOOKUP($D70,Tab_Def_Processes[Process_Name],Tab_Def_Processes[Process_Logic],,0,)</f>
        <v>#N/A</v>
      </c>
      <c r="F70" s="17" t="e">
        <f>_xlfn.XLOOKUP($D70,Tab_Def_Processes[Process_Name],Tab_Def_Processes[TC_Configuration],,0,)</f>
        <v>#N/A</v>
      </c>
      <c r="G70" s="17" t="e">
        <f>_xlfn.XLOOKUP($D70,Tab_Def_Processes[Process_Name],Tab_Def_Processes[Stock_Configuration],,0,)</f>
        <v>#N/A</v>
      </c>
      <c r="H70" s="17" t="e">
        <f>_xlfn.XLOOKUP($D70,Tab_Def_Processes[Process_Name],Tab_Def_Processes[Outflow_count],,0,)</f>
        <v>#N/A</v>
      </c>
      <c r="I70" s="23" t="s">
        <v>5</v>
      </c>
      <c r="J70" s="3" t="str">
        <f>_xlfn.XLOOKUP($I70,Tab_Def_Flows[Flow_Name],Tab_Def_Flows[Flow_ID],,0,1)</f>
        <v>F__</v>
      </c>
      <c r="K70" s="4"/>
      <c r="L70" s="12" t="str">
        <f t="shared" si="9"/>
        <v>TC_E1_F__</v>
      </c>
      <c r="M70" s="25"/>
      <c r="N70" s="12" t="str">
        <f t="shared" si="10"/>
        <v>TC_E2_F__</v>
      </c>
      <c r="O70" s="25"/>
      <c r="P70" s="12" t="str">
        <f t="shared" si="11"/>
        <v>TC_E3_F__</v>
      </c>
      <c r="Q70" s="25"/>
      <c r="R70" s="12" t="str">
        <f t="shared" si="12"/>
        <v>TC_E4_F__</v>
      </c>
      <c r="S70" s="4"/>
      <c r="T70" s="12" t="str">
        <f t="shared" si="13"/>
        <v>TC_E5_F__</v>
      </c>
      <c r="U70" s="4"/>
      <c r="V70" s="12" t="str">
        <f t="shared" si="14"/>
        <v>TC_E6_F__</v>
      </c>
      <c r="W70" s="4"/>
      <c r="X70" s="10"/>
      <c r="Y70" s="10"/>
    </row>
    <row r="71" spans="1:25" x14ac:dyDescent="0.25">
      <c r="A71" s="27" t="b">
        <v>0</v>
      </c>
      <c r="B71" s="3">
        <f t="shared" si="8"/>
        <v>70</v>
      </c>
      <c r="C71" s="17" t="e">
        <f>_xlfn.XLOOKUP($D71,Tab_Def_Processes[Process_Name],Tab_Def_Processes[Process_ID],,0,)</f>
        <v>#N/A</v>
      </c>
      <c r="D71" s="23" t="s">
        <v>5</v>
      </c>
      <c r="E71" s="17" t="e">
        <f>_xlfn.XLOOKUP($D71,Tab_Def_Processes[Process_Name],Tab_Def_Processes[Process_Logic],,0,)</f>
        <v>#N/A</v>
      </c>
      <c r="F71" s="17" t="e">
        <f>_xlfn.XLOOKUP($D71,Tab_Def_Processes[Process_Name],Tab_Def_Processes[TC_Configuration],,0,)</f>
        <v>#N/A</v>
      </c>
      <c r="G71" s="17" t="e">
        <f>_xlfn.XLOOKUP($D71,Tab_Def_Processes[Process_Name],Tab_Def_Processes[Stock_Configuration],,0,)</f>
        <v>#N/A</v>
      </c>
      <c r="H71" s="17" t="e">
        <f>_xlfn.XLOOKUP($D71,Tab_Def_Processes[Process_Name],Tab_Def_Processes[Outflow_count],,0,)</f>
        <v>#N/A</v>
      </c>
      <c r="I71" s="23" t="s">
        <v>5</v>
      </c>
      <c r="J71" s="3" t="str">
        <f>_xlfn.XLOOKUP($I71,Tab_Def_Flows[Flow_Name],Tab_Def_Flows[Flow_ID],,0,1)</f>
        <v>F__</v>
      </c>
      <c r="K71" s="4"/>
      <c r="L71" s="12" t="str">
        <f t="shared" si="9"/>
        <v>TC_E1_F__</v>
      </c>
      <c r="M71" s="25"/>
      <c r="N71" s="12" t="str">
        <f t="shared" si="10"/>
        <v>TC_E2_F__</v>
      </c>
      <c r="O71" s="25"/>
      <c r="P71" s="12" t="str">
        <f t="shared" si="11"/>
        <v>TC_E3_F__</v>
      </c>
      <c r="Q71" s="25"/>
      <c r="R71" s="12" t="str">
        <f t="shared" si="12"/>
        <v>TC_E4_F__</v>
      </c>
      <c r="S71" s="4"/>
      <c r="T71" s="12" t="str">
        <f t="shared" si="13"/>
        <v>TC_E5_F__</v>
      </c>
      <c r="U71" s="4"/>
      <c r="V71" s="12" t="str">
        <f t="shared" si="14"/>
        <v>TC_E6_F__</v>
      </c>
      <c r="W71" s="4"/>
      <c r="X71" s="10"/>
      <c r="Y71" s="10"/>
    </row>
    <row r="72" spans="1:25" x14ac:dyDescent="0.25">
      <c r="A72" s="27" t="b">
        <v>0</v>
      </c>
      <c r="B72" s="3">
        <f t="shared" si="8"/>
        <v>71</v>
      </c>
      <c r="C72" s="17" t="e">
        <f>_xlfn.XLOOKUP($D72,Tab_Def_Processes[Process_Name],Tab_Def_Processes[Process_ID],,0,)</f>
        <v>#N/A</v>
      </c>
      <c r="D72" s="23" t="s">
        <v>5</v>
      </c>
      <c r="E72" s="17" t="e">
        <f>_xlfn.XLOOKUP($D72,Tab_Def_Processes[Process_Name],Tab_Def_Processes[Process_Logic],,0,)</f>
        <v>#N/A</v>
      </c>
      <c r="F72" s="17" t="e">
        <f>_xlfn.XLOOKUP($D72,Tab_Def_Processes[Process_Name],Tab_Def_Processes[TC_Configuration],,0,)</f>
        <v>#N/A</v>
      </c>
      <c r="G72" s="17" t="e">
        <f>_xlfn.XLOOKUP($D72,Tab_Def_Processes[Process_Name],Tab_Def_Processes[Stock_Configuration],,0,)</f>
        <v>#N/A</v>
      </c>
      <c r="H72" s="17" t="e">
        <f>_xlfn.XLOOKUP($D72,Tab_Def_Processes[Process_Name],Tab_Def_Processes[Outflow_count],,0,)</f>
        <v>#N/A</v>
      </c>
      <c r="I72" s="23" t="s">
        <v>5</v>
      </c>
      <c r="J72" s="3" t="str">
        <f>_xlfn.XLOOKUP($I72,Tab_Def_Flows[Flow_Name],Tab_Def_Flows[Flow_ID],,0,1)</f>
        <v>F__</v>
      </c>
      <c r="K72" s="4"/>
      <c r="L72" s="12" t="str">
        <f t="shared" si="9"/>
        <v>TC_E1_F__</v>
      </c>
      <c r="M72" s="25"/>
      <c r="N72" s="12" t="str">
        <f t="shared" si="10"/>
        <v>TC_E2_F__</v>
      </c>
      <c r="O72" s="25"/>
      <c r="P72" s="12" t="str">
        <f t="shared" si="11"/>
        <v>TC_E3_F__</v>
      </c>
      <c r="Q72" s="25"/>
      <c r="R72" s="12" t="str">
        <f t="shared" si="12"/>
        <v>TC_E4_F__</v>
      </c>
      <c r="S72" s="4"/>
      <c r="T72" s="12" t="str">
        <f t="shared" si="13"/>
        <v>TC_E5_F__</v>
      </c>
      <c r="U72" s="4"/>
      <c r="V72" s="12" t="str">
        <f t="shared" si="14"/>
        <v>TC_E6_F__</v>
      </c>
      <c r="W72" s="4"/>
      <c r="X72" s="10"/>
      <c r="Y72" s="10"/>
    </row>
    <row r="73" spans="1:25" x14ac:dyDescent="0.25">
      <c r="A73" s="27" t="b">
        <v>0</v>
      </c>
      <c r="B73" s="3">
        <f t="shared" si="8"/>
        <v>72</v>
      </c>
      <c r="C73" s="17" t="e">
        <f>_xlfn.XLOOKUP($D73,Tab_Def_Processes[Process_Name],Tab_Def_Processes[Process_ID],,0,)</f>
        <v>#N/A</v>
      </c>
      <c r="D73" s="23" t="s">
        <v>5</v>
      </c>
      <c r="E73" s="17" t="e">
        <f>_xlfn.XLOOKUP($D73,Tab_Def_Processes[Process_Name],Tab_Def_Processes[Process_Logic],,0,)</f>
        <v>#N/A</v>
      </c>
      <c r="F73" s="17" t="e">
        <f>_xlfn.XLOOKUP($D73,Tab_Def_Processes[Process_Name],Tab_Def_Processes[TC_Configuration],,0,)</f>
        <v>#N/A</v>
      </c>
      <c r="G73" s="17" t="e">
        <f>_xlfn.XLOOKUP($D73,Tab_Def_Processes[Process_Name],Tab_Def_Processes[Stock_Configuration],,0,)</f>
        <v>#N/A</v>
      </c>
      <c r="H73" s="17" t="e">
        <f>_xlfn.XLOOKUP($D73,Tab_Def_Processes[Process_Name],Tab_Def_Processes[Outflow_count],,0,)</f>
        <v>#N/A</v>
      </c>
      <c r="I73" s="23" t="s">
        <v>5</v>
      </c>
      <c r="J73" s="3" t="str">
        <f>_xlfn.XLOOKUP($I73,Tab_Def_Flows[Flow_Name],Tab_Def_Flows[Flow_ID],,0,1)</f>
        <v>F__</v>
      </c>
      <c r="K73" s="4"/>
      <c r="L73" s="12" t="str">
        <f t="shared" si="9"/>
        <v>TC_E1_F__</v>
      </c>
      <c r="M73" s="25"/>
      <c r="N73" s="12" t="str">
        <f t="shared" si="10"/>
        <v>TC_E2_F__</v>
      </c>
      <c r="O73" s="25"/>
      <c r="P73" s="12" t="str">
        <f t="shared" si="11"/>
        <v>TC_E3_F__</v>
      </c>
      <c r="Q73" s="25"/>
      <c r="R73" s="12" t="str">
        <f t="shared" si="12"/>
        <v>TC_E4_F__</v>
      </c>
      <c r="S73" s="4"/>
      <c r="T73" s="12" t="str">
        <f t="shared" si="13"/>
        <v>TC_E5_F__</v>
      </c>
      <c r="U73" s="4"/>
      <c r="V73" s="12" t="str">
        <f t="shared" si="14"/>
        <v>TC_E6_F__</v>
      </c>
      <c r="W73" s="4"/>
      <c r="X73" s="10"/>
      <c r="Y73" s="10"/>
    </row>
    <row r="74" spans="1:25" x14ac:dyDescent="0.25">
      <c r="A74" s="27" t="b">
        <v>0</v>
      </c>
      <c r="B74" s="3">
        <f t="shared" si="8"/>
        <v>73</v>
      </c>
      <c r="C74" s="17" t="e">
        <f>_xlfn.XLOOKUP($D74,Tab_Def_Processes[Process_Name],Tab_Def_Processes[Process_ID],,0,)</f>
        <v>#N/A</v>
      </c>
      <c r="D74" s="23" t="s">
        <v>5</v>
      </c>
      <c r="E74" s="17" t="e">
        <f>_xlfn.XLOOKUP($D74,Tab_Def_Processes[Process_Name],Tab_Def_Processes[Process_Logic],,0,)</f>
        <v>#N/A</v>
      </c>
      <c r="F74" s="17" t="e">
        <f>_xlfn.XLOOKUP($D74,Tab_Def_Processes[Process_Name],Tab_Def_Processes[TC_Configuration],,0,)</f>
        <v>#N/A</v>
      </c>
      <c r="G74" s="17" t="e">
        <f>_xlfn.XLOOKUP($D74,Tab_Def_Processes[Process_Name],Tab_Def_Processes[Stock_Configuration],,0,)</f>
        <v>#N/A</v>
      </c>
      <c r="H74" s="17" t="e">
        <f>_xlfn.XLOOKUP($D74,Tab_Def_Processes[Process_Name],Tab_Def_Processes[Outflow_count],,0,)</f>
        <v>#N/A</v>
      </c>
      <c r="I74" s="23" t="s">
        <v>5</v>
      </c>
      <c r="J74" s="3" t="str">
        <f>_xlfn.XLOOKUP($I74,Tab_Def_Flows[Flow_Name],Tab_Def_Flows[Flow_ID],,0,1)</f>
        <v>F__</v>
      </c>
      <c r="K74" s="4"/>
      <c r="L74" s="12" t="str">
        <f t="shared" si="9"/>
        <v>TC_E1_F__</v>
      </c>
      <c r="M74" s="25"/>
      <c r="N74" s="12" t="str">
        <f t="shared" si="10"/>
        <v>TC_E2_F__</v>
      </c>
      <c r="O74" s="25"/>
      <c r="P74" s="12" t="str">
        <f t="shared" si="11"/>
        <v>TC_E3_F__</v>
      </c>
      <c r="Q74" s="25"/>
      <c r="R74" s="12" t="str">
        <f t="shared" si="12"/>
        <v>TC_E4_F__</v>
      </c>
      <c r="S74" s="4"/>
      <c r="T74" s="12" t="str">
        <f t="shared" si="13"/>
        <v>TC_E5_F__</v>
      </c>
      <c r="U74" s="4"/>
      <c r="V74" s="12" t="str">
        <f t="shared" si="14"/>
        <v>TC_E6_F__</v>
      </c>
      <c r="W74" s="4"/>
      <c r="X74" s="10"/>
      <c r="Y74" s="10"/>
    </row>
    <row r="75" spans="1:25" x14ac:dyDescent="0.25">
      <c r="A75" s="27" t="b">
        <v>0</v>
      </c>
      <c r="B75" s="3">
        <f t="shared" si="8"/>
        <v>74</v>
      </c>
      <c r="C75" s="17" t="e">
        <f>_xlfn.XLOOKUP($D75,Tab_Def_Processes[Process_Name],Tab_Def_Processes[Process_ID],,0,)</f>
        <v>#N/A</v>
      </c>
      <c r="D75" s="23" t="s">
        <v>5</v>
      </c>
      <c r="E75" s="17" t="e">
        <f>_xlfn.XLOOKUP($D75,Tab_Def_Processes[Process_Name],Tab_Def_Processes[Process_Logic],,0,)</f>
        <v>#N/A</v>
      </c>
      <c r="F75" s="17" t="e">
        <f>_xlfn.XLOOKUP($D75,Tab_Def_Processes[Process_Name],Tab_Def_Processes[TC_Configuration],,0,)</f>
        <v>#N/A</v>
      </c>
      <c r="G75" s="17" t="e">
        <f>_xlfn.XLOOKUP($D75,Tab_Def_Processes[Process_Name],Tab_Def_Processes[Stock_Configuration],,0,)</f>
        <v>#N/A</v>
      </c>
      <c r="H75" s="17" t="e">
        <f>_xlfn.XLOOKUP($D75,Tab_Def_Processes[Process_Name],Tab_Def_Processes[Outflow_count],,0,)</f>
        <v>#N/A</v>
      </c>
      <c r="I75" s="23" t="s">
        <v>5</v>
      </c>
      <c r="J75" s="3" t="str">
        <f>_xlfn.XLOOKUP($I75,Tab_Def_Flows[Flow_Name],Tab_Def_Flows[Flow_ID],,0,1)</f>
        <v>F__</v>
      </c>
      <c r="K75" s="4"/>
      <c r="L75" s="12" t="str">
        <f t="shared" si="9"/>
        <v>TC_E1_F__</v>
      </c>
      <c r="M75" s="25"/>
      <c r="N75" s="12" t="str">
        <f t="shared" si="10"/>
        <v>TC_E2_F__</v>
      </c>
      <c r="O75" s="25"/>
      <c r="P75" s="12" t="str">
        <f t="shared" si="11"/>
        <v>TC_E3_F__</v>
      </c>
      <c r="Q75" s="25"/>
      <c r="R75" s="12" t="str">
        <f t="shared" si="12"/>
        <v>TC_E4_F__</v>
      </c>
      <c r="S75" s="4"/>
      <c r="T75" s="12" t="str">
        <f t="shared" si="13"/>
        <v>TC_E5_F__</v>
      </c>
      <c r="U75" s="4"/>
      <c r="V75" s="12" t="str">
        <f t="shared" si="14"/>
        <v>TC_E6_F__</v>
      </c>
      <c r="W75" s="4"/>
      <c r="X75" s="10"/>
      <c r="Y75" s="10"/>
    </row>
    <row r="76" spans="1:25" x14ac:dyDescent="0.25">
      <c r="A76" s="27" t="b">
        <v>0</v>
      </c>
      <c r="B76" s="3">
        <f t="shared" si="8"/>
        <v>75</v>
      </c>
      <c r="C76" s="17" t="e">
        <f>_xlfn.XLOOKUP($D76,Tab_Def_Processes[Process_Name],Tab_Def_Processes[Process_ID],,0,)</f>
        <v>#N/A</v>
      </c>
      <c r="D76" s="23" t="s">
        <v>5</v>
      </c>
      <c r="E76" s="17" t="e">
        <f>_xlfn.XLOOKUP($D76,Tab_Def_Processes[Process_Name],Tab_Def_Processes[Process_Logic],,0,)</f>
        <v>#N/A</v>
      </c>
      <c r="F76" s="17" t="e">
        <f>_xlfn.XLOOKUP($D76,Tab_Def_Processes[Process_Name],Tab_Def_Processes[TC_Configuration],,0,)</f>
        <v>#N/A</v>
      </c>
      <c r="G76" s="17" t="e">
        <f>_xlfn.XLOOKUP($D76,Tab_Def_Processes[Process_Name],Tab_Def_Processes[Stock_Configuration],,0,)</f>
        <v>#N/A</v>
      </c>
      <c r="H76" s="17" t="e">
        <f>_xlfn.XLOOKUP($D76,Tab_Def_Processes[Process_Name],Tab_Def_Processes[Outflow_count],,0,)</f>
        <v>#N/A</v>
      </c>
      <c r="I76" s="23" t="s">
        <v>5</v>
      </c>
      <c r="J76" s="3" t="str">
        <f>_xlfn.XLOOKUP($I76,Tab_Def_Flows[Flow_Name],Tab_Def_Flows[Flow_ID],,0,1)</f>
        <v>F__</v>
      </c>
      <c r="K76" s="4"/>
      <c r="L76" s="12" t="str">
        <f t="shared" si="9"/>
        <v>TC_E1_F__</v>
      </c>
      <c r="M76" s="25"/>
      <c r="N76" s="12" t="str">
        <f t="shared" si="10"/>
        <v>TC_E2_F__</v>
      </c>
      <c r="O76" s="25"/>
      <c r="P76" s="12" t="str">
        <f t="shared" si="11"/>
        <v>TC_E3_F__</v>
      </c>
      <c r="Q76" s="25"/>
      <c r="R76" s="12" t="str">
        <f t="shared" si="12"/>
        <v>TC_E4_F__</v>
      </c>
      <c r="S76" s="4"/>
      <c r="T76" s="12" t="str">
        <f t="shared" si="13"/>
        <v>TC_E5_F__</v>
      </c>
      <c r="U76" s="4"/>
      <c r="V76" s="12" t="str">
        <f t="shared" si="14"/>
        <v>TC_E6_F__</v>
      </c>
      <c r="W76" s="4"/>
      <c r="X76" s="10"/>
      <c r="Y76" s="10"/>
    </row>
    <row r="77" spans="1:25" x14ac:dyDescent="0.25">
      <c r="A77" s="27" t="b">
        <v>0</v>
      </c>
      <c r="B77" s="3">
        <f t="shared" si="8"/>
        <v>76</v>
      </c>
      <c r="C77" s="17" t="e">
        <f>_xlfn.XLOOKUP($D77,Tab_Def_Processes[Process_Name],Tab_Def_Processes[Process_ID],,0,)</f>
        <v>#N/A</v>
      </c>
      <c r="D77" s="23" t="s">
        <v>5</v>
      </c>
      <c r="E77" s="17" t="e">
        <f>_xlfn.XLOOKUP($D77,Tab_Def_Processes[Process_Name],Tab_Def_Processes[Process_Logic],,0,)</f>
        <v>#N/A</v>
      </c>
      <c r="F77" s="17" t="e">
        <f>_xlfn.XLOOKUP($D77,Tab_Def_Processes[Process_Name],Tab_Def_Processes[TC_Configuration],,0,)</f>
        <v>#N/A</v>
      </c>
      <c r="G77" s="17" t="e">
        <f>_xlfn.XLOOKUP($D77,Tab_Def_Processes[Process_Name],Tab_Def_Processes[Stock_Configuration],,0,)</f>
        <v>#N/A</v>
      </c>
      <c r="H77" s="17" t="e">
        <f>_xlfn.XLOOKUP($D77,Tab_Def_Processes[Process_Name],Tab_Def_Processes[Outflow_count],,0,)</f>
        <v>#N/A</v>
      </c>
      <c r="I77" s="23" t="s">
        <v>5</v>
      </c>
      <c r="J77" s="3" t="str">
        <f>_xlfn.XLOOKUP($I77,Tab_Def_Flows[Flow_Name],Tab_Def_Flows[Flow_ID],,0,1)</f>
        <v>F__</v>
      </c>
      <c r="K77" s="4"/>
      <c r="L77" s="12" t="str">
        <f t="shared" si="9"/>
        <v>TC_E1_F__</v>
      </c>
      <c r="M77" s="25"/>
      <c r="N77" s="12" t="str">
        <f t="shared" si="10"/>
        <v>TC_E2_F__</v>
      </c>
      <c r="O77" s="25"/>
      <c r="P77" s="12" t="str">
        <f t="shared" si="11"/>
        <v>TC_E3_F__</v>
      </c>
      <c r="Q77" s="25"/>
      <c r="R77" s="12" t="str">
        <f t="shared" si="12"/>
        <v>TC_E4_F__</v>
      </c>
      <c r="S77" s="4"/>
      <c r="T77" s="12" t="str">
        <f t="shared" si="13"/>
        <v>TC_E5_F__</v>
      </c>
      <c r="U77" s="4"/>
      <c r="V77" s="12" t="str">
        <f t="shared" si="14"/>
        <v>TC_E6_F__</v>
      </c>
      <c r="W77" s="4"/>
      <c r="X77" s="10"/>
      <c r="Y77" s="10"/>
    </row>
    <row r="78" spans="1:25" x14ac:dyDescent="0.25">
      <c r="A78" s="27" t="b">
        <v>0</v>
      </c>
      <c r="B78" s="3">
        <f t="shared" si="8"/>
        <v>77</v>
      </c>
      <c r="C78" s="17" t="e">
        <f>_xlfn.XLOOKUP($D78,Tab_Def_Processes[Process_Name],Tab_Def_Processes[Process_ID],,0,)</f>
        <v>#N/A</v>
      </c>
      <c r="D78" s="23" t="s">
        <v>5</v>
      </c>
      <c r="E78" s="17" t="e">
        <f>_xlfn.XLOOKUP($D78,Tab_Def_Processes[Process_Name],Tab_Def_Processes[Process_Logic],,0,)</f>
        <v>#N/A</v>
      </c>
      <c r="F78" s="17" t="e">
        <f>_xlfn.XLOOKUP($D78,Tab_Def_Processes[Process_Name],Tab_Def_Processes[TC_Configuration],,0,)</f>
        <v>#N/A</v>
      </c>
      <c r="G78" s="17" t="e">
        <f>_xlfn.XLOOKUP($D78,Tab_Def_Processes[Process_Name],Tab_Def_Processes[Stock_Configuration],,0,)</f>
        <v>#N/A</v>
      </c>
      <c r="H78" s="17" t="e">
        <f>_xlfn.XLOOKUP($D78,Tab_Def_Processes[Process_Name],Tab_Def_Processes[Outflow_count],,0,)</f>
        <v>#N/A</v>
      </c>
      <c r="I78" s="23" t="s">
        <v>5</v>
      </c>
      <c r="J78" s="3" t="str">
        <f>_xlfn.XLOOKUP($I78,Tab_Def_Flows[Flow_Name],Tab_Def_Flows[Flow_ID],,0,1)</f>
        <v>F__</v>
      </c>
      <c r="K78" s="4"/>
      <c r="L78" s="12" t="str">
        <f t="shared" si="9"/>
        <v>TC_E1_F__</v>
      </c>
      <c r="M78" s="25"/>
      <c r="N78" s="12" t="str">
        <f t="shared" si="10"/>
        <v>TC_E2_F__</v>
      </c>
      <c r="O78" s="25"/>
      <c r="P78" s="12" t="str">
        <f t="shared" si="11"/>
        <v>TC_E3_F__</v>
      </c>
      <c r="Q78" s="25"/>
      <c r="R78" s="12" t="str">
        <f t="shared" si="12"/>
        <v>TC_E4_F__</v>
      </c>
      <c r="S78" s="4"/>
      <c r="T78" s="12" t="str">
        <f t="shared" si="13"/>
        <v>TC_E5_F__</v>
      </c>
      <c r="U78" s="4"/>
      <c r="V78" s="12" t="str">
        <f t="shared" si="14"/>
        <v>TC_E6_F__</v>
      </c>
      <c r="W78" s="4"/>
      <c r="X78" s="10"/>
      <c r="Y78" s="10"/>
    </row>
    <row r="79" spans="1:25" x14ac:dyDescent="0.25">
      <c r="A79" s="27" t="b">
        <v>0</v>
      </c>
      <c r="B79" s="3">
        <f t="shared" si="8"/>
        <v>78</v>
      </c>
      <c r="C79" s="17" t="e">
        <f>_xlfn.XLOOKUP($D79,Tab_Def_Processes[Process_Name],Tab_Def_Processes[Process_ID],,0,)</f>
        <v>#N/A</v>
      </c>
      <c r="D79" s="23" t="s">
        <v>5</v>
      </c>
      <c r="E79" s="17" t="e">
        <f>_xlfn.XLOOKUP($D79,Tab_Def_Processes[Process_Name],Tab_Def_Processes[Process_Logic],,0,)</f>
        <v>#N/A</v>
      </c>
      <c r="F79" s="17" t="e">
        <f>_xlfn.XLOOKUP($D79,Tab_Def_Processes[Process_Name],Tab_Def_Processes[TC_Configuration],,0,)</f>
        <v>#N/A</v>
      </c>
      <c r="G79" s="17" t="e">
        <f>_xlfn.XLOOKUP($D79,Tab_Def_Processes[Process_Name],Tab_Def_Processes[Stock_Configuration],,0,)</f>
        <v>#N/A</v>
      </c>
      <c r="H79" s="17" t="e">
        <f>_xlfn.XLOOKUP($D79,Tab_Def_Processes[Process_Name],Tab_Def_Processes[Outflow_count],,0,)</f>
        <v>#N/A</v>
      </c>
      <c r="I79" s="23" t="s">
        <v>5</v>
      </c>
      <c r="J79" s="3" t="str">
        <f>_xlfn.XLOOKUP($I79,Tab_Def_Flows[Flow_Name],Tab_Def_Flows[Flow_ID],,0,1)</f>
        <v>F__</v>
      </c>
      <c r="K79" s="4"/>
      <c r="L79" s="12" t="str">
        <f t="shared" si="9"/>
        <v>TC_E1_F__</v>
      </c>
      <c r="M79" s="25"/>
      <c r="N79" s="12" t="str">
        <f t="shared" si="10"/>
        <v>TC_E2_F__</v>
      </c>
      <c r="O79" s="25"/>
      <c r="P79" s="12" t="str">
        <f t="shared" si="11"/>
        <v>TC_E3_F__</v>
      </c>
      <c r="Q79" s="25"/>
      <c r="R79" s="12" t="str">
        <f t="shared" si="12"/>
        <v>TC_E4_F__</v>
      </c>
      <c r="S79" s="4"/>
      <c r="T79" s="12" t="str">
        <f t="shared" si="13"/>
        <v>TC_E5_F__</v>
      </c>
      <c r="U79" s="4"/>
      <c r="V79" s="12" t="str">
        <f t="shared" si="14"/>
        <v>TC_E6_F__</v>
      </c>
      <c r="W79" s="4"/>
      <c r="X79" s="10"/>
      <c r="Y79" s="10"/>
    </row>
    <row r="80" spans="1:25" x14ac:dyDescent="0.25">
      <c r="A80" s="27" t="b">
        <v>0</v>
      </c>
      <c r="B80" s="3">
        <f t="shared" si="8"/>
        <v>79</v>
      </c>
      <c r="C80" s="17" t="e">
        <f>_xlfn.XLOOKUP($D80,Tab_Def_Processes[Process_Name],Tab_Def_Processes[Process_ID],,0,)</f>
        <v>#N/A</v>
      </c>
      <c r="D80" s="23" t="s">
        <v>5</v>
      </c>
      <c r="E80" s="17" t="e">
        <f>_xlfn.XLOOKUP($D80,Tab_Def_Processes[Process_Name],Tab_Def_Processes[Process_Logic],,0,)</f>
        <v>#N/A</v>
      </c>
      <c r="F80" s="17" t="e">
        <f>_xlfn.XLOOKUP($D80,Tab_Def_Processes[Process_Name],Tab_Def_Processes[TC_Configuration],,0,)</f>
        <v>#N/A</v>
      </c>
      <c r="G80" s="17" t="e">
        <f>_xlfn.XLOOKUP($D80,Tab_Def_Processes[Process_Name],Tab_Def_Processes[Stock_Configuration],,0,)</f>
        <v>#N/A</v>
      </c>
      <c r="H80" s="17" t="e">
        <f>_xlfn.XLOOKUP($D80,Tab_Def_Processes[Process_Name],Tab_Def_Processes[Outflow_count],,0,)</f>
        <v>#N/A</v>
      </c>
      <c r="I80" s="23" t="s">
        <v>5</v>
      </c>
      <c r="J80" s="3" t="str">
        <f>_xlfn.XLOOKUP($I80,Tab_Def_Flows[Flow_Name],Tab_Def_Flows[Flow_ID],,0,1)</f>
        <v>F__</v>
      </c>
      <c r="K80" s="4"/>
      <c r="L80" s="12" t="str">
        <f t="shared" si="9"/>
        <v>TC_E1_F__</v>
      </c>
      <c r="M80" s="25"/>
      <c r="N80" s="12" t="str">
        <f t="shared" si="10"/>
        <v>TC_E2_F__</v>
      </c>
      <c r="O80" s="25"/>
      <c r="P80" s="12" t="str">
        <f t="shared" si="11"/>
        <v>TC_E3_F__</v>
      </c>
      <c r="Q80" s="25"/>
      <c r="R80" s="12" t="str">
        <f t="shared" si="12"/>
        <v>TC_E4_F__</v>
      </c>
      <c r="S80" s="4"/>
      <c r="T80" s="12" t="str">
        <f t="shared" si="13"/>
        <v>TC_E5_F__</v>
      </c>
      <c r="U80" s="4"/>
      <c r="V80" s="12" t="str">
        <f t="shared" si="14"/>
        <v>TC_E6_F__</v>
      </c>
      <c r="W80" s="4"/>
      <c r="X80" s="10"/>
      <c r="Y80" s="10"/>
    </row>
    <row r="81" spans="1:25" x14ac:dyDescent="0.25">
      <c r="A81" s="27" t="b">
        <v>0</v>
      </c>
      <c r="B81" s="3">
        <f t="shared" si="8"/>
        <v>80</v>
      </c>
      <c r="C81" s="17" t="e">
        <f>_xlfn.XLOOKUP($D81,Tab_Def_Processes[Process_Name],Tab_Def_Processes[Process_ID],,0,)</f>
        <v>#N/A</v>
      </c>
      <c r="D81" s="23" t="s">
        <v>5</v>
      </c>
      <c r="E81" s="17" t="e">
        <f>_xlfn.XLOOKUP($D81,Tab_Def_Processes[Process_Name],Tab_Def_Processes[Process_Logic],,0,)</f>
        <v>#N/A</v>
      </c>
      <c r="F81" s="17" t="e">
        <f>_xlfn.XLOOKUP($D81,Tab_Def_Processes[Process_Name],Tab_Def_Processes[TC_Configuration],,0,)</f>
        <v>#N/A</v>
      </c>
      <c r="G81" s="17" t="e">
        <f>_xlfn.XLOOKUP($D81,Tab_Def_Processes[Process_Name],Tab_Def_Processes[Stock_Configuration],,0,)</f>
        <v>#N/A</v>
      </c>
      <c r="H81" s="17" t="e">
        <f>_xlfn.XLOOKUP($D81,Tab_Def_Processes[Process_Name],Tab_Def_Processes[Outflow_count],,0,)</f>
        <v>#N/A</v>
      </c>
      <c r="I81" s="23" t="s">
        <v>5</v>
      </c>
      <c r="J81" s="3" t="str">
        <f>_xlfn.XLOOKUP($I81,Tab_Def_Flows[Flow_Name],Tab_Def_Flows[Flow_ID],,0,1)</f>
        <v>F__</v>
      </c>
      <c r="K81" s="4"/>
      <c r="L81" s="12" t="str">
        <f t="shared" si="9"/>
        <v>TC_E1_F__</v>
      </c>
      <c r="M81" s="25"/>
      <c r="N81" s="12" t="str">
        <f t="shared" si="10"/>
        <v>TC_E2_F__</v>
      </c>
      <c r="O81" s="25"/>
      <c r="P81" s="12" t="str">
        <f t="shared" si="11"/>
        <v>TC_E3_F__</v>
      </c>
      <c r="Q81" s="25"/>
      <c r="R81" s="12" t="str">
        <f t="shared" si="12"/>
        <v>TC_E4_F__</v>
      </c>
      <c r="S81" s="4"/>
      <c r="T81" s="12" t="str">
        <f t="shared" si="13"/>
        <v>TC_E5_F__</v>
      </c>
      <c r="U81" s="4"/>
      <c r="V81" s="12" t="str">
        <f t="shared" si="14"/>
        <v>TC_E6_F__</v>
      </c>
      <c r="W81" s="4"/>
      <c r="X81" s="10"/>
      <c r="Y81" s="10"/>
    </row>
    <row r="82" spans="1:25" x14ac:dyDescent="0.25">
      <c r="A82" s="27" t="b">
        <v>0</v>
      </c>
      <c r="B82" s="3">
        <f t="shared" si="8"/>
        <v>81</v>
      </c>
      <c r="C82" s="17" t="e">
        <f>_xlfn.XLOOKUP($D82,Tab_Def_Processes[Process_Name],Tab_Def_Processes[Process_ID],,0,)</f>
        <v>#N/A</v>
      </c>
      <c r="D82" s="23" t="s">
        <v>5</v>
      </c>
      <c r="E82" s="17" t="e">
        <f>_xlfn.XLOOKUP($D82,Tab_Def_Processes[Process_Name],Tab_Def_Processes[Process_Logic],,0,)</f>
        <v>#N/A</v>
      </c>
      <c r="F82" s="17" t="e">
        <f>_xlfn.XLOOKUP($D82,Tab_Def_Processes[Process_Name],Tab_Def_Processes[TC_Configuration],,0,)</f>
        <v>#N/A</v>
      </c>
      <c r="G82" s="17" t="e">
        <f>_xlfn.XLOOKUP($D82,Tab_Def_Processes[Process_Name],Tab_Def_Processes[Stock_Configuration],,0,)</f>
        <v>#N/A</v>
      </c>
      <c r="H82" s="17" t="e">
        <f>_xlfn.XLOOKUP($D82,Tab_Def_Processes[Process_Name],Tab_Def_Processes[Outflow_count],,0,)</f>
        <v>#N/A</v>
      </c>
      <c r="I82" s="23" t="s">
        <v>5</v>
      </c>
      <c r="J82" s="3" t="str">
        <f>_xlfn.XLOOKUP($I82,Tab_Def_Flows[Flow_Name],Tab_Def_Flows[Flow_ID],,0,1)</f>
        <v>F__</v>
      </c>
      <c r="K82" s="4"/>
      <c r="L82" s="12" t="str">
        <f t="shared" si="9"/>
        <v>TC_E1_F__</v>
      </c>
      <c r="M82" s="25"/>
      <c r="N82" s="12" t="str">
        <f t="shared" si="10"/>
        <v>TC_E2_F__</v>
      </c>
      <c r="O82" s="25"/>
      <c r="P82" s="12" t="str">
        <f t="shared" si="11"/>
        <v>TC_E3_F__</v>
      </c>
      <c r="Q82" s="25"/>
      <c r="R82" s="12" t="str">
        <f t="shared" si="12"/>
        <v>TC_E4_F__</v>
      </c>
      <c r="S82" s="4"/>
      <c r="T82" s="12" t="str">
        <f t="shared" si="13"/>
        <v>TC_E5_F__</v>
      </c>
      <c r="U82" s="4"/>
      <c r="V82" s="12" t="str">
        <f t="shared" si="14"/>
        <v>TC_E6_F__</v>
      </c>
      <c r="W82" s="4"/>
      <c r="X82" s="10"/>
      <c r="Y82" s="10"/>
    </row>
    <row r="83" spans="1:25" x14ac:dyDescent="0.25">
      <c r="A83" s="27" t="b">
        <v>0</v>
      </c>
      <c r="B83" s="3">
        <f t="shared" si="8"/>
        <v>82</v>
      </c>
      <c r="C83" s="17" t="e">
        <f>_xlfn.XLOOKUP($D83,Tab_Def_Processes[Process_Name],Tab_Def_Processes[Process_ID],,0,)</f>
        <v>#N/A</v>
      </c>
      <c r="D83" s="23" t="s">
        <v>5</v>
      </c>
      <c r="E83" s="17" t="e">
        <f>_xlfn.XLOOKUP($D83,Tab_Def_Processes[Process_Name],Tab_Def_Processes[Process_Logic],,0,)</f>
        <v>#N/A</v>
      </c>
      <c r="F83" s="17" t="e">
        <f>_xlfn.XLOOKUP($D83,Tab_Def_Processes[Process_Name],Tab_Def_Processes[TC_Configuration],,0,)</f>
        <v>#N/A</v>
      </c>
      <c r="G83" s="17" t="e">
        <f>_xlfn.XLOOKUP($D83,Tab_Def_Processes[Process_Name],Tab_Def_Processes[Stock_Configuration],,0,)</f>
        <v>#N/A</v>
      </c>
      <c r="H83" s="17" t="e">
        <f>_xlfn.XLOOKUP($D83,Tab_Def_Processes[Process_Name],Tab_Def_Processes[Outflow_count],,0,)</f>
        <v>#N/A</v>
      </c>
      <c r="I83" s="23" t="s">
        <v>5</v>
      </c>
      <c r="J83" s="3" t="str">
        <f>_xlfn.XLOOKUP($I83,Tab_Def_Flows[Flow_Name],Tab_Def_Flows[Flow_ID],,0,1)</f>
        <v>F__</v>
      </c>
      <c r="K83" s="4"/>
      <c r="L83" s="12" t="str">
        <f t="shared" si="9"/>
        <v>TC_E1_F__</v>
      </c>
      <c r="M83" s="25"/>
      <c r="N83" s="12" t="str">
        <f t="shared" si="10"/>
        <v>TC_E2_F__</v>
      </c>
      <c r="O83" s="25"/>
      <c r="P83" s="12" t="str">
        <f t="shared" si="11"/>
        <v>TC_E3_F__</v>
      </c>
      <c r="Q83" s="25"/>
      <c r="R83" s="12" t="str">
        <f t="shared" si="12"/>
        <v>TC_E4_F__</v>
      </c>
      <c r="S83" s="4"/>
      <c r="T83" s="12" t="str">
        <f t="shared" si="13"/>
        <v>TC_E5_F__</v>
      </c>
      <c r="U83" s="4"/>
      <c r="V83" s="12" t="str">
        <f t="shared" si="14"/>
        <v>TC_E6_F__</v>
      </c>
      <c r="W83" s="4"/>
      <c r="X83" s="10"/>
      <c r="Y83" s="10"/>
    </row>
    <row r="84" spans="1:25" x14ac:dyDescent="0.25">
      <c r="A84" s="27" t="b">
        <v>0</v>
      </c>
      <c r="B84" s="3">
        <f t="shared" si="8"/>
        <v>83</v>
      </c>
      <c r="C84" s="17" t="e">
        <f>_xlfn.XLOOKUP($D84,Tab_Def_Processes[Process_Name],Tab_Def_Processes[Process_ID],,0,)</f>
        <v>#N/A</v>
      </c>
      <c r="D84" s="23" t="s">
        <v>5</v>
      </c>
      <c r="E84" s="17" t="e">
        <f>_xlfn.XLOOKUP($D84,Tab_Def_Processes[Process_Name],Tab_Def_Processes[Process_Logic],,0,)</f>
        <v>#N/A</v>
      </c>
      <c r="F84" s="17" t="e">
        <f>_xlfn.XLOOKUP($D84,Tab_Def_Processes[Process_Name],Tab_Def_Processes[TC_Configuration],,0,)</f>
        <v>#N/A</v>
      </c>
      <c r="G84" s="17" t="e">
        <f>_xlfn.XLOOKUP($D84,Tab_Def_Processes[Process_Name],Tab_Def_Processes[Stock_Configuration],,0,)</f>
        <v>#N/A</v>
      </c>
      <c r="H84" s="17" t="e">
        <f>_xlfn.XLOOKUP($D84,Tab_Def_Processes[Process_Name],Tab_Def_Processes[Outflow_count],,0,)</f>
        <v>#N/A</v>
      </c>
      <c r="I84" s="23" t="s">
        <v>5</v>
      </c>
      <c r="J84" s="3" t="str">
        <f>_xlfn.XLOOKUP($I84,Tab_Def_Flows[Flow_Name],Tab_Def_Flows[Flow_ID],,0,1)</f>
        <v>F__</v>
      </c>
      <c r="K84" s="4"/>
      <c r="L84" s="12" t="str">
        <f t="shared" si="9"/>
        <v>TC_E1_F__</v>
      </c>
      <c r="M84" s="25"/>
      <c r="N84" s="12" t="str">
        <f t="shared" si="10"/>
        <v>TC_E2_F__</v>
      </c>
      <c r="O84" s="25"/>
      <c r="P84" s="12" t="str">
        <f t="shared" si="11"/>
        <v>TC_E3_F__</v>
      </c>
      <c r="Q84" s="25"/>
      <c r="R84" s="12" t="str">
        <f t="shared" si="12"/>
        <v>TC_E4_F__</v>
      </c>
      <c r="S84" s="4"/>
      <c r="T84" s="12" t="str">
        <f t="shared" si="13"/>
        <v>TC_E5_F__</v>
      </c>
      <c r="U84" s="4"/>
      <c r="V84" s="12" t="str">
        <f t="shared" si="14"/>
        <v>TC_E6_F__</v>
      </c>
      <c r="W84" s="4"/>
      <c r="X84" s="10"/>
      <c r="Y84" s="10"/>
    </row>
    <row r="85" spans="1:25" x14ac:dyDescent="0.25">
      <c r="A85" s="27" t="b">
        <v>0</v>
      </c>
      <c r="B85" s="3">
        <f t="shared" si="8"/>
        <v>84</v>
      </c>
      <c r="C85" s="17" t="e">
        <f>_xlfn.XLOOKUP($D85,Tab_Def_Processes[Process_Name],Tab_Def_Processes[Process_ID],,0,)</f>
        <v>#N/A</v>
      </c>
      <c r="D85" s="23" t="s">
        <v>5</v>
      </c>
      <c r="E85" s="17" t="e">
        <f>_xlfn.XLOOKUP($D85,Tab_Def_Processes[Process_Name],Tab_Def_Processes[Process_Logic],,0,)</f>
        <v>#N/A</v>
      </c>
      <c r="F85" s="17" t="e">
        <f>_xlfn.XLOOKUP($D85,Tab_Def_Processes[Process_Name],Tab_Def_Processes[TC_Configuration],,0,)</f>
        <v>#N/A</v>
      </c>
      <c r="G85" s="17" t="e">
        <f>_xlfn.XLOOKUP($D85,Tab_Def_Processes[Process_Name],Tab_Def_Processes[Stock_Configuration],,0,)</f>
        <v>#N/A</v>
      </c>
      <c r="H85" s="17" t="e">
        <f>_xlfn.XLOOKUP($D85,Tab_Def_Processes[Process_Name],Tab_Def_Processes[Outflow_count],,0,)</f>
        <v>#N/A</v>
      </c>
      <c r="I85" s="23" t="s">
        <v>5</v>
      </c>
      <c r="J85" s="3" t="str">
        <f>_xlfn.XLOOKUP($I85,Tab_Def_Flows[Flow_Name],Tab_Def_Flows[Flow_ID],,0,1)</f>
        <v>F__</v>
      </c>
      <c r="K85" s="4"/>
      <c r="L85" s="12" t="str">
        <f t="shared" si="9"/>
        <v>TC_E1_F__</v>
      </c>
      <c r="M85" s="25"/>
      <c r="N85" s="12" t="str">
        <f t="shared" si="10"/>
        <v>TC_E2_F__</v>
      </c>
      <c r="O85" s="25"/>
      <c r="P85" s="12" t="str">
        <f t="shared" si="11"/>
        <v>TC_E3_F__</v>
      </c>
      <c r="Q85" s="25"/>
      <c r="R85" s="12" t="str">
        <f t="shared" si="12"/>
        <v>TC_E4_F__</v>
      </c>
      <c r="S85" s="4"/>
      <c r="T85" s="12" t="str">
        <f t="shared" si="13"/>
        <v>TC_E5_F__</v>
      </c>
      <c r="U85" s="4"/>
      <c r="V85" s="12" t="str">
        <f t="shared" si="14"/>
        <v>TC_E6_F__</v>
      </c>
      <c r="W85" s="4"/>
      <c r="X85" s="10"/>
      <c r="Y85" s="10"/>
    </row>
    <row r="86" spans="1:25" x14ac:dyDescent="0.25">
      <c r="A86" s="27" t="b">
        <v>0</v>
      </c>
      <c r="B86" s="3">
        <f t="shared" si="8"/>
        <v>85</v>
      </c>
      <c r="C86" s="17" t="e">
        <f>_xlfn.XLOOKUP($D86,Tab_Def_Processes[Process_Name],Tab_Def_Processes[Process_ID],,0,)</f>
        <v>#N/A</v>
      </c>
      <c r="D86" s="23" t="s">
        <v>5</v>
      </c>
      <c r="E86" s="17" t="e">
        <f>_xlfn.XLOOKUP($D86,Tab_Def_Processes[Process_Name],Tab_Def_Processes[Process_Logic],,0,)</f>
        <v>#N/A</v>
      </c>
      <c r="F86" s="17" t="e">
        <f>_xlfn.XLOOKUP($D86,Tab_Def_Processes[Process_Name],Tab_Def_Processes[TC_Configuration],,0,)</f>
        <v>#N/A</v>
      </c>
      <c r="G86" s="17" t="e">
        <f>_xlfn.XLOOKUP($D86,Tab_Def_Processes[Process_Name],Tab_Def_Processes[Stock_Configuration],,0,)</f>
        <v>#N/A</v>
      </c>
      <c r="H86" s="17" t="e">
        <f>_xlfn.XLOOKUP($D86,Tab_Def_Processes[Process_Name],Tab_Def_Processes[Outflow_count],,0,)</f>
        <v>#N/A</v>
      </c>
      <c r="I86" s="23" t="s">
        <v>5</v>
      </c>
      <c r="J86" s="3" t="str">
        <f>_xlfn.XLOOKUP($I86,Tab_Def_Flows[Flow_Name],Tab_Def_Flows[Flow_ID],,0,1)</f>
        <v>F__</v>
      </c>
      <c r="K86" s="4"/>
      <c r="L86" s="12" t="str">
        <f t="shared" si="9"/>
        <v>TC_E1_F__</v>
      </c>
      <c r="M86" s="25"/>
      <c r="N86" s="12" t="str">
        <f t="shared" si="10"/>
        <v>TC_E2_F__</v>
      </c>
      <c r="O86" s="25"/>
      <c r="P86" s="12" t="str">
        <f t="shared" si="11"/>
        <v>TC_E3_F__</v>
      </c>
      <c r="Q86" s="25"/>
      <c r="R86" s="12" t="str">
        <f t="shared" si="12"/>
        <v>TC_E4_F__</v>
      </c>
      <c r="S86" s="4"/>
      <c r="T86" s="12" t="str">
        <f t="shared" si="13"/>
        <v>TC_E5_F__</v>
      </c>
      <c r="U86" s="4"/>
      <c r="V86" s="12" t="str">
        <f t="shared" si="14"/>
        <v>TC_E6_F__</v>
      </c>
      <c r="W86" s="4"/>
      <c r="X86" s="10"/>
      <c r="Y86" s="10"/>
    </row>
    <row r="87" spans="1:25" x14ac:dyDescent="0.25">
      <c r="A87" s="27" t="b">
        <v>0</v>
      </c>
      <c r="B87" s="3">
        <f t="shared" si="8"/>
        <v>86</v>
      </c>
      <c r="C87" s="17" t="e">
        <f>_xlfn.XLOOKUP($D87,Tab_Def_Processes[Process_Name],Tab_Def_Processes[Process_ID],,0,)</f>
        <v>#N/A</v>
      </c>
      <c r="D87" s="23" t="s">
        <v>5</v>
      </c>
      <c r="E87" s="17" t="e">
        <f>_xlfn.XLOOKUP($D87,Tab_Def_Processes[Process_Name],Tab_Def_Processes[Process_Logic],,0,)</f>
        <v>#N/A</v>
      </c>
      <c r="F87" s="17" t="e">
        <f>_xlfn.XLOOKUP($D87,Tab_Def_Processes[Process_Name],Tab_Def_Processes[TC_Configuration],,0,)</f>
        <v>#N/A</v>
      </c>
      <c r="G87" s="17" t="e">
        <f>_xlfn.XLOOKUP($D87,Tab_Def_Processes[Process_Name],Tab_Def_Processes[Stock_Configuration],,0,)</f>
        <v>#N/A</v>
      </c>
      <c r="H87" s="17" t="e">
        <f>_xlfn.XLOOKUP($D87,Tab_Def_Processes[Process_Name],Tab_Def_Processes[Outflow_count],,0,)</f>
        <v>#N/A</v>
      </c>
      <c r="I87" s="23" t="s">
        <v>5</v>
      </c>
      <c r="J87" s="3" t="str">
        <f>_xlfn.XLOOKUP($I87,Tab_Def_Flows[Flow_Name],Tab_Def_Flows[Flow_ID],,0,1)</f>
        <v>F__</v>
      </c>
      <c r="K87" s="4"/>
      <c r="L87" s="12" t="str">
        <f t="shared" si="9"/>
        <v>TC_E1_F__</v>
      </c>
      <c r="M87" s="25"/>
      <c r="N87" s="12" t="str">
        <f t="shared" si="10"/>
        <v>TC_E2_F__</v>
      </c>
      <c r="O87" s="25"/>
      <c r="P87" s="12" t="str">
        <f t="shared" si="11"/>
        <v>TC_E3_F__</v>
      </c>
      <c r="Q87" s="25"/>
      <c r="R87" s="12" t="str">
        <f t="shared" si="12"/>
        <v>TC_E4_F__</v>
      </c>
      <c r="S87" s="4"/>
      <c r="T87" s="12" t="str">
        <f t="shared" si="13"/>
        <v>TC_E5_F__</v>
      </c>
      <c r="U87" s="4"/>
      <c r="V87" s="12" t="str">
        <f t="shared" si="14"/>
        <v>TC_E6_F__</v>
      </c>
      <c r="W87" s="4"/>
      <c r="X87" s="10"/>
      <c r="Y87" s="10"/>
    </row>
    <row r="88" spans="1:25" x14ac:dyDescent="0.25">
      <c r="A88" s="27" t="b">
        <v>0</v>
      </c>
      <c r="B88" s="3">
        <f t="shared" si="8"/>
        <v>87</v>
      </c>
      <c r="C88" s="17" t="e">
        <f>_xlfn.XLOOKUP($D88,Tab_Def_Processes[Process_Name],Tab_Def_Processes[Process_ID],,0,)</f>
        <v>#N/A</v>
      </c>
      <c r="D88" s="23" t="s">
        <v>5</v>
      </c>
      <c r="E88" s="17" t="e">
        <f>_xlfn.XLOOKUP($D88,Tab_Def_Processes[Process_Name],Tab_Def_Processes[Process_Logic],,0,)</f>
        <v>#N/A</v>
      </c>
      <c r="F88" s="17" t="e">
        <f>_xlfn.XLOOKUP($D88,Tab_Def_Processes[Process_Name],Tab_Def_Processes[TC_Configuration],,0,)</f>
        <v>#N/A</v>
      </c>
      <c r="G88" s="17" t="e">
        <f>_xlfn.XLOOKUP($D88,Tab_Def_Processes[Process_Name],Tab_Def_Processes[Stock_Configuration],,0,)</f>
        <v>#N/A</v>
      </c>
      <c r="H88" s="17" t="e">
        <f>_xlfn.XLOOKUP($D88,Tab_Def_Processes[Process_Name],Tab_Def_Processes[Outflow_count],,0,)</f>
        <v>#N/A</v>
      </c>
      <c r="I88" s="23" t="s">
        <v>5</v>
      </c>
      <c r="J88" s="3" t="str">
        <f>_xlfn.XLOOKUP($I88,Tab_Def_Flows[Flow_Name],Tab_Def_Flows[Flow_ID],,0,1)</f>
        <v>F__</v>
      </c>
      <c r="K88" s="4"/>
      <c r="L88" s="12" t="str">
        <f t="shared" si="9"/>
        <v>TC_E1_F__</v>
      </c>
      <c r="M88" s="25"/>
      <c r="N88" s="12" t="str">
        <f t="shared" si="10"/>
        <v>TC_E2_F__</v>
      </c>
      <c r="O88" s="25"/>
      <c r="P88" s="12" t="str">
        <f t="shared" si="11"/>
        <v>TC_E3_F__</v>
      </c>
      <c r="Q88" s="25"/>
      <c r="R88" s="12" t="str">
        <f t="shared" si="12"/>
        <v>TC_E4_F__</v>
      </c>
      <c r="S88" s="4"/>
      <c r="T88" s="12" t="str">
        <f t="shared" si="13"/>
        <v>TC_E5_F__</v>
      </c>
      <c r="U88" s="4"/>
      <c r="V88" s="12" t="str">
        <f t="shared" si="14"/>
        <v>TC_E6_F__</v>
      </c>
      <c r="W88" s="4"/>
      <c r="X88" s="10"/>
      <c r="Y88" s="10"/>
    </row>
    <row r="89" spans="1:25" x14ac:dyDescent="0.25">
      <c r="A89" s="27" t="b">
        <v>0</v>
      </c>
      <c r="B89" s="3">
        <f t="shared" si="8"/>
        <v>88</v>
      </c>
      <c r="C89" s="17" t="e">
        <f>_xlfn.XLOOKUP($D89,Tab_Def_Processes[Process_Name],Tab_Def_Processes[Process_ID],,0,)</f>
        <v>#N/A</v>
      </c>
      <c r="D89" s="23" t="s">
        <v>5</v>
      </c>
      <c r="E89" s="17" t="e">
        <f>_xlfn.XLOOKUP($D89,Tab_Def_Processes[Process_Name],Tab_Def_Processes[Process_Logic],,0,)</f>
        <v>#N/A</v>
      </c>
      <c r="F89" s="17" t="e">
        <f>_xlfn.XLOOKUP($D89,Tab_Def_Processes[Process_Name],Tab_Def_Processes[TC_Configuration],,0,)</f>
        <v>#N/A</v>
      </c>
      <c r="G89" s="17" t="e">
        <f>_xlfn.XLOOKUP($D89,Tab_Def_Processes[Process_Name],Tab_Def_Processes[Stock_Configuration],,0,)</f>
        <v>#N/A</v>
      </c>
      <c r="H89" s="17" t="e">
        <f>_xlfn.XLOOKUP($D89,Tab_Def_Processes[Process_Name],Tab_Def_Processes[Outflow_count],,0,)</f>
        <v>#N/A</v>
      </c>
      <c r="I89" s="23" t="s">
        <v>5</v>
      </c>
      <c r="J89" s="3" t="str">
        <f>_xlfn.XLOOKUP($I89,Tab_Def_Flows[Flow_Name],Tab_Def_Flows[Flow_ID],,0,1)</f>
        <v>F__</v>
      </c>
      <c r="K89" s="4"/>
      <c r="L89" s="12" t="str">
        <f t="shared" si="9"/>
        <v>TC_E1_F__</v>
      </c>
      <c r="M89" s="25"/>
      <c r="N89" s="12" t="str">
        <f t="shared" si="10"/>
        <v>TC_E2_F__</v>
      </c>
      <c r="O89" s="25"/>
      <c r="P89" s="12" t="str">
        <f t="shared" si="11"/>
        <v>TC_E3_F__</v>
      </c>
      <c r="Q89" s="25"/>
      <c r="R89" s="12" t="str">
        <f t="shared" si="12"/>
        <v>TC_E4_F__</v>
      </c>
      <c r="S89" s="4"/>
      <c r="T89" s="12" t="str">
        <f t="shared" si="13"/>
        <v>TC_E5_F__</v>
      </c>
      <c r="U89" s="4"/>
      <c r="V89" s="12" t="str">
        <f t="shared" si="14"/>
        <v>TC_E6_F__</v>
      </c>
      <c r="W89" s="4"/>
      <c r="X89" s="10"/>
      <c r="Y89" s="10"/>
    </row>
    <row r="90" spans="1:25" x14ac:dyDescent="0.25">
      <c r="A90" s="27" t="b">
        <v>0</v>
      </c>
      <c r="B90" s="3">
        <f t="shared" si="8"/>
        <v>89</v>
      </c>
      <c r="C90" s="17" t="e">
        <f>_xlfn.XLOOKUP($D90,Tab_Def_Processes[Process_Name],Tab_Def_Processes[Process_ID],,0,)</f>
        <v>#N/A</v>
      </c>
      <c r="D90" s="23" t="s">
        <v>5</v>
      </c>
      <c r="E90" s="17" t="e">
        <f>_xlfn.XLOOKUP($D90,Tab_Def_Processes[Process_Name],Tab_Def_Processes[Process_Logic],,0,)</f>
        <v>#N/A</v>
      </c>
      <c r="F90" s="17" t="e">
        <f>_xlfn.XLOOKUP($D90,Tab_Def_Processes[Process_Name],Tab_Def_Processes[TC_Configuration],,0,)</f>
        <v>#N/A</v>
      </c>
      <c r="G90" s="17" t="e">
        <f>_xlfn.XLOOKUP($D90,Tab_Def_Processes[Process_Name],Tab_Def_Processes[Stock_Configuration],,0,)</f>
        <v>#N/A</v>
      </c>
      <c r="H90" s="17" t="e">
        <f>_xlfn.XLOOKUP($D90,Tab_Def_Processes[Process_Name],Tab_Def_Processes[Outflow_count],,0,)</f>
        <v>#N/A</v>
      </c>
      <c r="I90" s="23" t="s">
        <v>5</v>
      </c>
      <c r="J90" s="3" t="str">
        <f>_xlfn.XLOOKUP($I90,Tab_Def_Flows[Flow_Name],Tab_Def_Flows[Flow_ID],,0,1)</f>
        <v>F__</v>
      </c>
      <c r="K90" s="4"/>
      <c r="L90" s="12" t="str">
        <f t="shared" si="9"/>
        <v>TC_E1_F__</v>
      </c>
      <c r="M90" s="25"/>
      <c r="N90" s="12" t="str">
        <f t="shared" si="10"/>
        <v>TC_E2_F__</v>
      </c>
      <c r="O90" s="25"/>
      <c r="P90" s="12" t="str">
        <f t="shared" si="11"/>
        <v>TC_E3_F__</v>
      </c>
      <c r="Q90" s="25"/>
      <c r="R90" s="12" t="str">
        <f t="shared" si="12"/>
        <v>TC_E4_F__</v>
      </c>
      <c r="S90" s="4"/>
      <c r="T90" s="12" t="str">
        <f t="shared" si="13"/>
        <v>TC_E5_F__</v>
      </c>
      <c r="U90" s="4"/>
      <c r="V90" s="12" t="str">
        <f t="shared" si="14"/>
        <v>TC_E6_F__</v>
      </c>
      <c r="W90" s="4"/>
      <c r="X90" s="10"/>
      <c r="Y90" s="10"/>
    </row>
    <row r="91" spans="1:25" x14ac:dyDescent="0.25">
      <c r="A91" s="27" t="b">
        <v>0</v>
      </c>
      <c r="B91" s="3">
        <f t="shared" si="8"/>
        <v>90</v>
      </c>
      <c r="C91" s="17" t="e">
        <f>_xlfn.XLOOKUP($D91,Tab_Def_Processes[Process_Name],Tab_Def_Processes[Process_ID],,0,)</f>
        <v>#N/A</v>
      </c>
      <c r="D91" s="23" t="s">
        <v>5</v>
      </c>
      <c r="E91" s="17" t="e">
        <f>_xlfn.XLOOKUP($D91,Tab_Def_Processes[Process_Name],Tab_Def_Processes[Process_Logic],,0,)</f>
        <v>#N/A</v>
      </c>
      <c r="F91" s="17" t="e">
        <f>_xlfn.XLOOKUP($D91,Tab_Def_Processes[Process_Name],Tab_Def_Processes[TC_Configuration],,0,)</f>
        <v>#N/A</v>
      </c>
      <c r="G91" s="17" t="e">
        <f>_xlfn.XLOOKUP($D91,Tab_Def_Processes[Process_Name],Tab_Def_Processes[Stock_Configuration],,0,)</f>
        <v>#N/A</v>
      </c>
      <c r="H91" s="17" t="e">
        <f>_xlfn.XLOOKUP($D91,Tab_Def_Processes[Process_Name],Tab_Def_Processes[Outflow_count],,0,)</f>
        <v>#N/A</v>
      </c>
      <c r="I91" s="23" t="s">
        <v>5</v>
      </c>
      <c r="J91" s="3" t="str">
        <f>_xlfn.XLOOKUP($I91,Tab_Def_Flows[Flow_Name],Tab_Def_Flows[Flow_ID],,0,1)</f>
        <v>F__</v>
      </c>
      <c r="K91" s="4"/>
      <c r="L91" s="12" t="str">
        <f t="shared" si="9"/>
        <v>TC_E1_F__</v>
      </c>
      <c r="M91" s="25"/>
      <c r="N91" s="12" t="str">
        <f t="shared" si="10"/>
        <v>TC_E2_F__</v>
      </c>
      <c r="O91" s="25"/>
      <c r="P91" s="12" t="str">
        <f t="shared" si="11"/>
        <v>TC_E3_F__</v>
      </c>
      <c r="Q91" s="25"/>
      <c r="R91" s="12" t="str">
        <f t="shared" si="12"/>
        <v>TC_E4_F__</v>
      </c>
      <c r="S91" s="4"/>
      <c r="T91" s="12" t="str">
        <f t="shared" si="13"/>
        <v>TC_E5_F__</v>
      </c>
      <c r="U91" s="4"/>
      <c r="V91" s="12" t="str">
        <f t="shared" si="14"/>
        <v>TC_E6_F__</v>
      </c>
      <c r="W91" s="4"/>
      <c r="X91" s="10"/>
      <c r="Y91" s="10"/>
    </row>
    <row r="92" spans="1:25" x14ac:dyDescent="0.25">
      <c r="A92" s="27" t="b">
        <v>0</v>
      </c>
      <c r="B92" s="3">
        <f t="shared" si="8"/>
        <v>91</v>
      </c>
      <c r="C92" s="17" t="e">
        <f>_xlfn.XLOOKUP($D92,Tab_Def_Processes[Process_Name],Tab_Def_Processes[Process_ID],,0,)</f>
        <v>#N/A</v>
      </c>
      <c r="D92" s="23" t="s">
        <v>5</v>
      </c>
      <c r="E92" s="17" t="e">
        <f>_xlfn.XLOOKUP($D92,Tab_Def_Processes[Process_Name],Tab_Def_Processes[Process_Logic],,0,)</f>
        <v>#N/A</v>
      </c>
      <c r="F92" s="17" t="e">
        <f>_xlfn.XLOOKUP($D92,Tab_Def_Processes[Process_Name],Tab_Def_Processes[TC_Configuration],,0,)</f>
        <v>#N/A</v>
      </c>
      <c r="G92" s="17" t="e">
        <f>_xlfn.XLOOKUP($D92,Tab_Def_Processes[Process_Name],Tab_Def_Processes[Stock_Configuration],,0,)</f>
        <v>#N/A</v>
      </c>
      <c r="H92" s="17" t="e">
        <f>_xlfn.XLOOKUP($D92,Tab_Def_Processes[Process_Name],Tab_Def_Processes[Outflow_count],,0,)</f>
        <v>#N/A</v>
      </c>
      <c r="I92" s="23" t="s">
        <v>5</v>
      </c>
      <c r="J92" s="3" t="str">
        <f>_xlfn.XLOOKUP($I92,Tab_Def_Flows[Flow_Name],Tab_Def_Flows[Flow_ID],,0,1)</f>
        <v>F__</v>
      </c>
      <c r="K92" s="4"/>
      <c r="L92" s="12" t="str">
        <f t="shared" si="9"/>
        <v>TC_E1_F__</v>
      </c>
      <c r="M92" s="25"/>
      <c r="N92" s="12" t="str">
        <f t="shared" si="10"/>
        <v>TC_E2_F__</v>
      </c>
      <c r="O92" s="25"/>
      <c r="P92" s="12" t="str">
        <f t="shared" si="11"/>
        <v>TC_E3_F__</v>
      </c>
      <c r="Q92" s="25"/>
      <c r="R92" s="12" t="str">
        <f t="shared" si="12"/>
        <v>TC_E4_F__</v>
      </c>
      <c r="S92" s="4"/>
      <c r="T92" s="12" t="str">
        <f t="shared" si="13"/>
        <v>TC_E5_F__</v>
      </c>
      <c r="U92" s="4"/>
      <c r="V92" s="12" t="str">
        <f t="shared" si="14"/>
        <v>TC_E6_F__</v>
      </c>
      <c r="W92" s="4"/>
      <c r="X92" s="10"/>
      <c r="Y92" s="10"/>
    </row>
    <row r="93" spans="1:25" x14ac:dyDescent="0.25">
      <c r="A93" s="27" t="b">
        <v>0</v>
      </c>
      <c r="B93" s="3">
        <f t="shared" si="8"/>
        <v>92</v>
      </c>
      <c r="C93" s="17" t="e">
        <f>_xlfn.XLOOKUP($D93,Tab_Def_Processes[Process_Name],Tab_Def_Processes[Process_ID],,0,)</f>
        <v>#N/A</v>
      </c>
      <c r="D93" s="23" t="s">
        <v>5</v>
      </c>
      <c r="E93" s="17" t="e">
        <f>_xlfn.XLOOKUP($D93,Tab_Def_Processes[Process_Name],Tab_Def_Processes[Process_Logic],,0,)</f>
        <v>#N/A</v>
      </c>
      <c r="F93" s="17" t="e">
        <f>_xlfn.XLOOKUP($D93,Tab_Def_Processes[Process_Name],Tab_Def_Processes[TC_Configuration],,0,)</f>
        <v>#N/A</v>
      </c>
      <c r="G93" s="17" t="e">
        <f>_xlfn.XLOOKUP($D93,Tab_Def_Processes[Process_Name],Tab_Def_Processes[Stock_Configuration],,0,)</f>
        <v>#N/A</v>
      </c>
      <c r="H93" s="17" t="e">
        <f>_xlfn.XLOOKUP($D93,Tab_Def_Processes[Process_Name],Tab_Def_Processes[Outflow_count],,0,)</f>
        <v>#N/A</v>
      </c>
      <c r="I93" s="23" t="s">
        <v>5</v>
      </c>
      <c r="J93" s="3" t="str">
        <f>_xlfn.XLOOKUP($I93,Tab_Def_Flows[Flow_Name],Tab_Def_Flows[Flow_ID],,0,1)</f>
        <v>F__</v>
      </c>
      <c r="K93" s="4"/>
      <c r="L93" s="12" t="str">
        <f t="shared" si="9"/>
        <v>TC_E1_F__</v>
      </c>
      <c r="M93" s="25"/>
      <c r="N93" s="12" t="str">
        <f t="shared" si="10"/>
        <v>TC_E2_F__</v>
      </c>
      <c r="O93" s="25"/>
      <c r="P93" s="12" t="str">
        <f t="shared" si="11"/>
        <v>TC_E3_F__</v>
      </c>
      <c r="Q93" s="25"/>
      <c r="R93" s="12" t="str">
        <f t="shared" si="12"/>
        <v>TC_E4_F__</v>
      </c>
      <c r="S93" s="4"/>
      <c r="T93" s="12" t="str">
        <f t="shared" si="13"/>
        <v>TC_E5_F__</v>
      </c>
      <c r="U93" s="4"/>
      <c r="V93" s="12" t="str">
        <f t="shared" si="14"/>
        <v>TC_E6_F__</v>
      </c>
      <c r="W93" s="4"/>
      <c r="X93" s="10"/>
      <c r="Y93" s="10"/>
    </row>
    <row r="94" spans="1:25" x14ac:dyDescent="0.25">
      <c r="A94" s="27" t="b">
        <v>0</v>
      </c>
      <c r="B94" s="3">
        <f t="shared" si="8"/>
        <v>93</v>
      </c>
      <c r="C94" s="17" t="e">
        <f>_xlfn.XLOOKUP($D94,Tab_Def_Processes[Process_Name],Tab_Def_Processes[Process_ID],,0,)</f>
        <v>#N/A</v>
      </c>
      <c r="D94" s="23" t="s">
        <v>5</v>
      </c>
      <c r="E94" s="17" t="e">
        <f>_xlfn.XLOOKUP($D94,Tab_Def_Processes[Process_Name],Tab_Def_Processes[Process_Logic],,0,)</f>
        <v>#N/A</v>
      </c>
      <c r="F94" s="17" t="e">
        <f>_xlfn.XLOOKUP($D94,Tab_Def_Processes[Process_Name],Tab_Def_Processes[TC_Configuration],,0,)</f>
        <v>#N/A</v>
      </c>
      <c r="G94" s="17" t="e">
        <f>_xlfn.XLOOKUP($D94,Tab_Def_Processes[Process_Name],Tab_Def_Processes[Stock_Configuration],,0,)</f>
        <v>#N/A</v>
      </c>
      <c r="H94" s="17" t="e">
        <f>_xlfn.XLOOKUP($D94,Tab_Def_Processes[Process_Name],Tab_Def_Processes[Outflow_count],,0,)</f>
        <v>#N/A</v>
      </c>
      <c r="I94" s="23" t="s">
        <v>5</v>
      </c>
      <c r="J94" s="3" t="str">
        <f>_xlfn.XLOOKUP($I94,Tab_Def_Flows[Flow_Name],Tab_Def_Flows[Flow_ID],,0,1)</f>
        <v>F__</v>
      </c>
      <c r="K94" s="4"/>
      <c r="L94" s="12" t="str">
        <f t="shared" si="9"/>
        <v>TC_E1_F__</v>
      </c>
      <c r="M94" s="25"/>
      <c r="N94" s="12" t="str">
        <f t="shared" si="10"/>
        <v>TC_E2_F__</v>
      </c>
      <c r="O94" s="25"/>
      <c r="P94" s="12" t="str">
        <f t="shared" si="11"/>
        <v>TC_E3_F__</v>
      </c>
      <c r="Q94" s="25"/>
      <c r="R94" s="12" t="str">
        <f t="shared" si="12"/>
        <v>TC_E4_F__</v>
      </c>
      <c r="S94" s="4"/>
      <c r="T94" s="12" t="str">
        <f t="shared" si="13"/>
        <v>TC_E5_F__</v>
      </c>
      <c r="U94" s="4"/>
      <c r="V94" s="12" t="str">
        <f t="shared" si="14"/>
        <v>TC_E6_F__</v>
      </c>
      <c r="W94" s="4"/>
      <c r="X94" s="10"/>
      <c r="Y94" s="10"/>
    </row>
    <row r="95" spans="1:25" x14ac:dyDescent="0.25">
      <c r="A95" s="27" t="b">
        <v>0</v>
      </c>
      <c r="B95" s="3">
        <f t="shared" si="8"/>
        <v>94</v>
      </c>
      <c r="C95" s="17" t="e">
        <f>_xlfn.XLOOKUP($D95,Tab_Def_Processes[Process_Name],Tab_Def_Processes[Process_ID],,0,)</f>
        <v>#N/A</v>
      </c>
      <c r="D95" s="23" t="s">
        <v>5</v>
      </c>
      <c r="E95" s="17" t="e">
        <f>_xlfn.XLOOKUP($D95,Tab_Def_Processes[Process_Name],Tab_Def_Processes[Process_Logic],,0,)</f>
        <v>#N/A</v>
      </c>
      <c r="F95" s="17" t="e">
        <f>_xlfn.XLOOKUP($D95,Tab_Def_Processes[Process_Name],Tab_Def_Processes[TC_Configuration],,0,)</f>
        <v>#N/A</v>
      </c>
      <c r="G95" s="17" t="e">
        <f>_xlfn.XLOOKUP($D95,Tab_Def_Processes[Process_Name],Tab_Def_Processes[Stock_Configuration],,0,)</f>
        <v>#N/A</v>
      </c>
      <c r="H95" s="17" t="e">
        <f>_xlfn.XLOOKUP($D95,Tab_Def_Processes[Process_Name],Tab_Def_Processes[Outflow_count],,0,)</f>
        <v>#N/A</v>
      </c>
      <c r="I95" s="23" t="s">
        <v>5</v>
      </c>
      <c r="J95" s="3" t="str">
        <f>_xlfn.XLOOKUP($I95,Tab_Def_Flows[Flow_Name],Tab_Def_Flows[Flow_ID],,0,1)</f>
        <v>F__</v>
      </c>
      <c r="K95" s="4"/>
      <c r="L95" s="12" t="str">
        <f t="shared" si="9"/>
        <v>TC_E1_F__</v>
      </c>
      <c r="M95" s="25"/>
      <c r="N95" s="12" t="str">
        <f t="shared" si="10"/>
        <v>TC_E2_F__</v>
      </c>
      <c r="O95" s="25"/>
      <c r="P95" s="12" t="str">
        <f t="shared" si="11"/>
        <v>TC_E3_F__</v>
      </c>
      <c r="Q95" s="25"/>
      <c r="R95" s="12" t="str">
        <f t="shared" si="12"/>
        <v>TC_E4_F__</v>
      </c>
      <c r="S95" s="4"/>
      <c r="T95" s="12" t="str">
        <f t="shared" si="13"/>
        <v>TC_E5_F__</v>
      </c>
      <c r="U95" s="4"/>
      <c r="V95" s="12" t="str">
        <f t="shared" si="14"/>
        <v>TC_E6_F__</v>
      </c>
      <c r="W95" s="4"/>
      <c r="X95" s="10"/>
      <c r="Y95" s="10"/>
    </row>
    <row r="96" spans="1:25" x14ac:dyDescent="0.25">
      <c r="A96" s="27" t="b">
        <v>0</v>
      </c>
      <c r="B96" s="3">
        <f t="shared" ref="B96:B127" si="15">ROW()-1</f>
        <v>95</v>
      </c>
      <c r="C96" s="17" t="e">
        <f>_xlfn.XLOOKUP($D96,Tab_Def_Processes[Process_Name],Tab_Def_Processes[Process_ID],,0,)</f>
        <v>#N/A</v>
      </c>
      <c r="D96" s="23" t="s">
        <v>5</v>
      </c>
      <c r="E96" s="17" t="e">
        <f>_xlfn.XLOOKUP($D96,Tab_Def_Processes[Process_Name],Tab_Def_Processes[Process_Logic],,0,)</f>
        <v>#N/A</v>
      </c>
      <c r="F96" s="17" t="e">
        <f>_xlfn.XLOOKUP($D96,Tab_Def_Processes[Process_Name],Tab_Def_Processes[TC_Configuration],,0,)</f>
        <v>#N/A</v>
      </c>
      <c r="G96" s="17" t="e">
        <f>_xlfn.XLOOKUP($D96,Tab_Def_Processes[Process_Name],Tab_Def_Processes[Stock_Configuration],,0,)</f>
        <v>#N/A</v>
      </c>
      <c r="H96" s="17" t="e">
        <f>_xlfn.XLOOKUP($D96,Tab_Def_Processes[Process_Name],Tab_Def_Processes[Outflow_count],,0,)</f>
        <v>#N/A</v>
      </c>
      <c r="I96" s="23" t="s">
        <v>5</v>
      </c>
      <c r="J96" s="3" t="str">
        <f>_xlfn.XLOOKUP($I96,Tab_Def_Flows[Flow_Name],Tab_Def_Flows[Flow_ID],,0,1)</f>
        <v>F__</v>
      </c>
      <c r="K96" s="4"/>
      <c r="L96" s="12" t="str">
        <f t="shared" si="9"/>
        <v>TC_E1_F__</v>
      </c>
      <c r="M96" s="25"/>
      <c r="N96" s="12" t="str">
        <f t="shared" si="10"/>
        <v>TC_E2_F__</v>
      </c>
      <c r="O96" s="25"/>
      <c r="P96" s="12" t="str">
        <f t="shared" si="11"/>
        <v>TC_E3_F__</v>
      </c>
      <c r="Q96" s="25"/>
      <c r="R96" s="12" t="str">
        <f t="shared" si="12"/>
        <v>TC_E4_F__</v>
      </c>
      <c r="S96" s="4"/>
      <c r="T96" s="12" t="str">
        <f t="shared" si="13"/>
        <v>TC_E5_F__</v>
      </c>
      <c r="U96" s="4"/>
      <c r="V96" s="12" t="str">
        <f t="shared" si="14"/>
        <v>TC_E6_F__</v>
      </c>
      <c r="W96" s="4"/>
      <c r="X96" s="10"/>
      <c r="Y96" s="10"/>
    </row>
    <row r="97" spans="1:25" x14ac:dyDescent="0.25">
      <c r="A97" s="27" t="b">
        <v>0</v>
      </c>
      <c r="B97" s="3">
        <f t="shared" si="15"/>
        <v>96</v>
      </c>
      <c r="C97" s="17" t="e">
        <f>_xlfn.XLOOKUP($D97,Tab_Def_Processes[Process_Name],Tab_Def_Processes[Process_ID],,0,)</f>
        <v>#N/A</v>
      </c>
      <c r="D97" s="23" t="s">
        <v>5</v>
      </c>
      <c r="E97" s="17" t="e">
        <f>_xlfn.XLOOKUP($D97,Tab_Def_Processes[Process_Name],Tab_Def_Processes[Process_Logic],,0,)</f>
        <v>#N/A</v>
      </c>
      <c r="F97" s="17" t="e">
        <f>_xlfn.XLOOKUP($D97,Tab_Def_Processes[Process_Name],Tab_Def_Processes[TC_Configuration],,0,)</f>
        <v>#N/A</v>
      </c>
      <c r="G97" s="17" t="e">
        <f>_xlfn.XLOOKUP($D97,Tab_Def_Processes[Process_Name],Tab_Def_Processes[Stock_Configuration],,0,)</f>
        <v>#N/A</v>
      </c>
      <c r="H97" s="17" t="e">
        <f>_xlfn.XLOOKUP($D97,Tab_Def_Processes[Process_Name],Tab_Def_Processes[Outflow_count],,0,)</f>
        <v>#N/A</v>
      </c>
      <c r="I97" s="23" t="s">
        <v>5</v>
      </c>
      <c r="J97" s="3" t="str">
        <f>_xlfn.XLOOKUP($I97,Tab_Def_Flows[Flow_Name],Tab_Def_Flows[Flow_ID],,0,1)</f>
        <v>F__</v>
      </c>
      <c r="K97" s="4"/>
      <c r="L97" s="12" t="str">
        <f t="shared" si="9"/>
        <v>TC_E1_F__</v>
      </c>
      <c r="M97" s="25"/>
      <c r="N97" s="12" t="str">
        <f t="shared" si="10"/>
        <v>TC_E2_F__</v>
      </c>
      <c r="O97" s="25"/>
      <c r="P97" s="12" t="str">
        <f t="shared" si="11"/>
        <v>TC_E3_F__</v>
      </c>
      <c r="Q97" s="25"/>
      <c r="R97" s="12" t="str">
        <f t="shared" si="12"/>
        <v>TC_E4_F__</v>
      </c>
      <c r="S97" s="4"/>
      <c r="T97" s="12" t="str">
        <f t="shared" si="13"/>
        <v>TC_E5_F__</v>
      </c>
      <c r="U97" s="4"/>
      <c r="V97" s="12" t="str">
        <f t="shared" si="14"/>
        <v>TC_E6_F__</v>
      </c>
      <c r="W97" s="4"/>
      <c r="X97" s="10"/>
      <c r="Y97" s="10"/>
    </row>
    <row r="98" spans="1:25" x14ac:dyDescent="0.25">
      <c r="A98" s="27" t="b">
        <v>0</v>
      </c>
      <c r="B98" s="3">
        <f t="shared" si="15"/>
        <v>97</v>
      </c>
      <c r="C98" s="17" t="e">
        <f>_xlfn.XLOOKUP($D98,Tab_Def_Processes[Process_Name],Tab_Def_Processes[Process_ID],,0,)</f>
        <v>#N/A</v>
      </c>
      <c r="D98" s="23" t="s">
        <v>5</v>
      </c>
      <c r="E98" s="17" t="e">
        <f>_xlfn.XLOOKUP($D98,Tab_Def_Processes[Process_Name],Tab_Def_Processes[Process_Logic],,0,)</f>
        <v>#N/A</v>
      </c>
      <c r="F98" s="17" t="e">
        <f>_xlfn.XLOOKUP($D98,Tab_Def_Processes[Process_Name],Tab_Def_Processes[TC_Configuration],,0,)</f>
        <v>#N/A</v>
      </c>
      <c r="G98" s="17" t="e">
        <f>_xlfn.XLOOKUP($D98,Tab_Def_Processes[Process_Name],Tab_Def_Processes[Stock_Configuration],,0,)</f>
        <v>#N/A</v>
      </c>
      <c r="H98" s="17" t="e">
        <f>_xlfn.XLOOKUP($D98,Tab_Def_Processes[Process_Name],Tab_Def_Processes[Outflow_count],,0,)</f>
        <v>#N/A</v>
      </c>
      <c r="I98" s="23" t="s">
        <v>5</v>
      </c>
      <c r="J98" s="3" t="str">
        <f>_xlfn.XLOOKUP($I98,Tab_Def_Flows[Flow_Name],Tab_Def_Flows[Flow_ID],,0,1)</f>
        <v>F__</v>
      </c>
      <c r="K98" s="4"/>
      <c r="L98" s="12" t="str">
        <f t="shared" si="9"/>
        <v>TC_E1_F__</v>
      </c>
      <c r="M98" s="25"/>
      <c r="N98" s="12" t="str">
        <f t="shared" si="10"/>
        <v>TC_E2_F__</v>
      </c>
      <c r="O98" s="25"/>
      <c r="P98" s="12" t="str">
        <f t="shared" si="11"/>
        <v>TC_E3_F__</v>
      </c>
      <c r="Q98" s="25"/>
      <c r="R98" s="12" t="str">
        <f t="shared" si="12"/>
        <v>TC_E4_F__</v>
      </c>
      <c r="S98" s="4"/>
      <c r="T98" s="12" t="str">
        <f t="shared" si="13"/>
        <v>TC_E5_F__</v>
      </c>
      <c r="U98" s="4"/>
      <c r="V98" s="12" t="str">
        <f t="shared" si="14"/>
        <v>TC_E6_F__</v>
      </c>
      <c r="W98" s="4"/>
      <c r="X98" s="10"/>
      <c r="Y98" s="10"/>
    </row>
    <row r="99" spans="1:25" x14ac:dyDescent="0.25">
      <c r="A99" s="27" t="b">
        <v>0</v>
      </c>
      <c r="B99" s="3">
        <f t="shared" si="15"/>
        <v>98</v>
      </c>
      <c r="C99" s="17" t="e">
        <f>_xlfn.XLOOKUP($D99,Tab_Def_Processes[Process_Name],Tab_Def_Processes[Process_ID],,0,)</f>
        <v>#N/A</v>
      </c>
      <c r="D99" s="23" t="s">
        <v>5</v>
      </c>
      <c r="E99" s="17" t="e">
        <f>_xlfn.XLOOKUP($D99,Tab_Def_Processes[Process_Name],Tab_Def_Processes[Process_Logic],,0,)</f>
        <v>#N/A</v>
      </c>
      <c r="F99" s="17" t="e">
        <f>_xlfn.XLOOKUP($D99,Tab_Def_Processes[Process_Name],Tab_Def_Processes[TC_Configuration],,0,)</f>
        <v>#N/A</v>
      </c>
      <c r="G99" s="17" t="e">
        <f>_xlfn.XLOOKUP($D99,Tab_Def_Processes[Process_Name],Tab_Def_Processes[Stock_Configuration],,0,)</f>
        <v>#N/A</v>
      </c>
      <c r="H99" s="17" t="e">
        <f>_xlfn.XLOOKUP($D99,Tab_Def_Processes[Process_Name],Tab_Def_Processes[Outflow_count],,0,)</f>
        <v>#N/A</v>
      </c>
      <c r="I99" s="23" t="s">
        <v>5</v>
      </c>
      <c r="J99" s="3" t="str">
        <f>_xlfn.XLOOKUP($I99,Tab_Def_Flows[Flow_Name],Tab_Def_Flows[Flow_ID],,0,1)</f>
        <v>F__</v>
      </c>
      <c r="K99" s="4"/>
      <c r="L99" s="12" t="str">
        <f t="shared" si="9"/>
        <v>TC_E1_F__</v>
      </c>
      <c r="M99" s="25"/>
      <c r="N99" s="12" t="str">
        <f t="shared" si="10"/>
        <v>TC_E2_F__</v>
      </c>
      <c r="O99" s="25"/>
      <c r="P99" s="12" t="str">
        <f t="shared" si="11"/>
        <v>TC_E3_F__</v>
      </c>
      <c r="Q99" s="25"/>
      <c r="R99" s="12" t="str">
        <f t="shared" si="12"/>
        <v>TC_E4_F__</v>
      </c>
      <c r="S99" s="4"/>
      <c r="T99" s="12" t="str">
        <f t="shared" si="13"/>
        <v>TC_E5_F__</v>
      </c>
      <c r="U99" s="4"/>
      <c r="V99" s="12" t="str">
        <f t="shared" si="14"/>
        <v>TC_E6_F__</v>
      </c>
      <c r="W99" s="4"/>
      <c r="X99" s="10"/>
      <c r="Y99" s="10"/>
    </row>
    <row r="100" spans="1:25" x14ac:dyDescent="0.25">
      <c r="A100" s="27" t="b">
        <v>0</v>
      </c>
      <c r="B100" s="3">
        <f t="shared" si="15"/>
        <v>99</v>
      </c>
      <c r="C100" s="17" t="e">
        <f>_xlfn.XLOOKUP($D100,Tab_Def_Processes[Process_Name],Tab_Def_Processes[Process_ID],,0,)</f>
        <v>#N/A</v>
      </c>
      <c r="D100" s="23" t="s">
        <v>5</v>
      </c>
      <c r="E100" s="17" t="e">
        <f>_xlfn.XLOOKUP($D100,Tab_Def_Processes[Process_Name],Tab_Def_Processes[Process_Logic],,0,)</f>
        <v>#N/A</v>
      </c>
      <c r="F100" s="17" t="e">
        <f>_xlfn.XLOOKUP($D100,Tab_Def_Processes[Process_Name],Tab_Def_Processes[TC_Configuration],,0,)</f>
        <v>#N/A</v>
      </c>
      <c r="G100" s="17" t="e">
        <f>_xlfn.XLOOKUP($D100,Tab_Def_Processes[Process_Name],Tab_Def_Processes[Stock_Configuration],,0,)</f>
        <v>#N/A</v>
      </c>
      <c r="H100" s="17" t="e">
        <f>_xlfn.XLOOKUP($D100,Tab_Def_Processes[Process_Name],Tab_Def_Processes[Outflow_count],,0,)</f>
        <v>#N/A</v>
      </c>
      <c r="I100" s="23" t="s">
        <v>5</v>
      </c>
      <c r="J100" s="3" t="str">
        <f>_xlfn.XLOOKUP($I100,Tab_Def_Flows[Flow_Name],Tab_Def_Flows[Flow_ID],,0,1)</f>
        <v>F__</v>
      </c>
      <c r="K100" s="4"/>
      <c r="L100" s="12" t="str">
        <f t="shared" si="9"/>
        <v>TC_E1_F__</v>
      </c>
      <c r="M100" s="25"/>
      <c r="N100" s="12" t="str">
        <f t="shared" si="10"/>
        <v>TC_E2_F__</v>
      </c>
      <c r="O100" s="25"/>
      <c r="P100" s="12" t="str">
        <f t="shared" si="11"/>
        <v>TC_E3_F__</v>
      </c>
      <c r="Q100" s="25"/>
      <c r="R100" s="12" t="str">
        <f t="shared" si="12"/>
        <v>TC_E4_F__</v>
      </c>
      <c r="S100" s="4"/>
      <c r="T100" s="12" t="str">
        <f t="shared" si="13"/>
        <v>TC_E5_F__</v>
      </c>
      <c r="U100" s="4"/>
      <c r="V100" s="12" t="str">
        <f t="shared" si="14"/>
        <v>TC_E6_F__</v>
      </c>
      <c r="W100" s="4"/>
      <c r="X100" s="10"/>
      <c r="Y100" s="10"/>
    </row>
    <row r="101" spans="1:25" x14ac:dyDescent="0.25">
      <c r="A101" s="27" t="b">
        <v>0</v>
      </c>
      <c r="B101" s="3">
        <f t="shared" si="15"/>
        <v>100</v>
      </c>
      <c r="C101" s="17" t="e">
        <f>_xlfn.XLOOKUP($D101,Tab_Def_Processes[Process_Name],Tab_Def_Processes[Process_ID],,0,)</f>
        <v>#N/A</v>
      </c>
      <c r="D101" s="23" t="s">
        <v>5</v>
      </c>
      <c r="E101" s="17" t="e">
        <f>_xlfn.XLOOKUP($D101,Tab_Def_Processes[Process_Name],Tab_Def_Processes[Process_Logic],,0,)</f>
        <v>#N/A</v>
      </c>
      <c r="F101" s="17" t="e">
        <f>_xlfn.XLOOKUP($D101,Tab_Def_Processes[Process_Name],Tab_Def_Processes[TC_Configuration],,0,)</f>
        <v>#N/A</v>
      </c>
      <c r="G101" s="17" t="e">
        <f>_xlfn.XLOOKUP($D101,Tab_Def_Processes[Process_Name],Tab_Def_Processes[Stock_Configuration],,0,)</f>
        <v>#N/A</v>
      </c>
      <c r="H101" s="17" t="e">
        <f>_xlfn.XLOOKUP($D101,Tab_Def_Processes[Process_Name],Tab_Def_Processes[Outflow_count],,0,)</f>
        <v>#N/A</v>
      </c>
      <c r="I101" s="23" t="s">
        <v>5</v>
      </c>
      <c r="J101" s="3" t="str">
        <f>_xlfn.XLOOKUP($I101,Tab_Def_Flows[Flow_Name],Tab_Def_Flows[Flow_ID],,0,1)</f>
        <v>F__</v>
      </c>
      <c r="K101" s="4"/>
      <c r="L101" s="12" t="str">
        <f t="shared" si="9"/>
        <v>TC_E1_F__</v>
      </c>
      <c r="M101" s="25"/>
      <c r="N101" s="12" t="str">
        <f t="shared" si="10"/>
        <v>TC_E2_F__</v>
      </c>
      <c r="O101" s="25"/>
      <c r="P101" s="12" t="str">
        <f t="shared" si="11"/>
        <v>TC_E3_F__</v>
      </c>
      <c r="Q101" s="25"/>
      <c r="R101" s="12" t="str">
        <f t="shared" si="12"/>
        <v>TC_E4_F__</v>
      </c>
      <c r="S101" s="4"/>
      <c r="T101" s="12" t="str">
        <f t="shared" si="13"/>
        <v>TC_E5_F__</v>
      </c>
      <c r="U101" s="4"/>
      <c r="V101" s="12" t="str">
        <f t="shared" si="14"/>
        <v>TC_E6_F__</v>
      </c>
      <c r="W101" s="4"/>
      <c r="X101" s="10"/>
      <c r="Y101" s="10"/>
    </row>
    <row r="102" spans="1:25" x14ac:dyDescent="0.25">
      <c r="A102" s="27" t="b">
        <v>0</v>
      </c>
      <c r="B102" s="3">
        <f t="shared" si="15"/>
        <v>101</v>
      </c>
      <c r="C102" s="17" t="e">
        <f>_xlfn.XLOOKUP($D102,Tab_Def_Processes[Process_Name],Tab_Def_Processes[Process_ID],,0,)</f>
        <v>#N/A</v>
      </c>
      <c r="D102" s="23" t="s">
        <v>5</v>
      </c>
      <c r="E102" s="17" t="e">
        <f>_xlfn.XLOOKUP($D102,Tab_Def_Processes[Process_Name],Tab_Def_Processes[Process_Logic],,0,)</f>
        <v>#N/A</v>
      </c>
      <c r="F102" s="17" t="e">
        <f>_xlfn.XLOOKUP($D102,Tab_Def_Processes[Process_Name],Tab_Def_Processes[TC_Configuration],,0,)</f>
        <v>#N/A</v>
      </c>
      <c r="G102" s="17" t="e">
        <f>_xlfn.XLOOKUP($D102,Tab_Def_Processes[Process_Name],Tab_Def_Processes[Stock_Configuration],,0,)</f>
        <v>#N/A</v>
      </c>
      <c r="H102" s="17" t="e">
        <f>_xlfn.XLOOKUP($D102,Tab_Def_Processes[Process_Name],Tab_Def_Processes[Outflow_count],,0,)</f>
        <v>#N/A</v>
      </c>
      <c r="I102" s="23" t="s">
        <v>5</v>
      </c>
      <c r="J102" s="3" t="str">
        <f>_xlfn.XLOOKUP($I102,Tab_Def_Flows[Flow_Name],Tab_Def_Flows[Flow_ID],,0,1)</f>
        <v>F__</v>
      </c>
      <c r="K102" s="4"/>
      <c r="L102" s="12" t="str">
        <f t="shared" si="9"/>
        <v>TC_E1_F__</v>
      </c>
      <c r="M102" s="25"/>
      <c r="N102" s="12" t="str">
        <f t="shared" si="10"/>
        <v>TC_E2_F__</v>
      </c>
      <c r="O102" s="25"/>
      <c r="P102" s="12" t="str">
        <f t="shared" si="11"/>
        <v>TC_E3_F__</v>
      </c>
      <c r="Q102" s="25"/>
      <c r="R102" s="12" t="str">
        <f t="shared" si="12"/>
        <v>TC_E4_F__</v>
      </c>
      <c r="S102" s="4"/>
      <c r="T102" s="12" t="str">
        <f t="shared" si="13"/>
        <v>TC_E5_F__</v>
      </c>
      <c r="U102" s="4"/>
      <c r="V102" s="12" t="str">
        <f t="shared" si="14"/>
        <v>TC_E6_F__</v>
      </c>
      <c r="W102" s="4"/>
      <c r="X102" s="10"/>
      <c r="Y102" s="10"/>
    </row>
    <row r="103" spans="1:25" x14ac:dyDescent="0.25">
      <c r="A103" s="27" t="b">
        <v>0</v>
      </c>
      <c r="B103" s="3">
        <f t="shared" si="15"/>
        <v>102</v>
      </c>
      <c r="C103" s="17" t="e">
        <f>_xlfn.XLOOKUP($D103,Tab_Def_Processes[Process_Name],Tab_Def_Processes[Process_ID],,0,)</f>
        <v>#N/A</v>
      </c>
      <c r="D103" s="23" t="s">
        <v>5</v>
      </c>
      <c r="E103" s="17" t="e">
        <f>_xlfn.XLOOKUP($D103,Tab_Def_Processes[Process_Name],Tab_Def_Processes[Process_Logic],,0,)</f>
        <v>#N/A</v>
      </c>
      <c r="F103" s="17" t="e">
        <f>_xlfn.XLOOKUP($D103,Tab_Def_Processes[Process_Name],Tab_Def_Processes[TC_Configuration],,0,)</f>
        <v>#N/A</v>
      </c>
      <c r="G103" s="17" t="e">
        <f>_xlfn.XLOOKUP($D103,Tab_Def_Processes[Process_Name],Tab_Def_Processes[Stock_Configuration],,0,)</f>
        <v>#N/A</v>
      </c>
      <c r="H103" s="17" t="e">
        <f>_xlfn.XLOOKUP($D103,Tab_Def_Processes[Process_Name],Tab_Def_Processes[Outflow_count],,0,)</f>
        <v>#N/A</v>
      </c>
      <c r="I103" s="23" t="s">
        <v>5</v>
      </c>
      <c r="J103" s="3" t="str">
        <f>_xlfn.XLOOKUP($I103,Tab_Def_Flows[Flow_Name],Tab_Def_Flows[Flow_ID],,0,1)</f>
        <v>F__</v>
      </c>
      <c r="K103" s="4"/>
      <c r="L103" s="12" t="str">
        <f t="shared" si="9"/>
        <v>TC_E1_F__</v>
      </c>
      <c r="M103" s="25"/>
      <c r="N103" s="12" t="str">
        <f t="shared" si="10"/>
        <v>TC_E2_F__</v>
      </c>
      <c r="O103" s="25"/>
      <c r="P103" s="12" t="str">
        <f t="shared" si="11"/>
        <v>TC_E3_F__</v>
      </c>
      <c r="Q103" s="25"/>
      <c r="R103" s="12" t="str">
        <f t="shared" si="12"/>
        <v>TC_E4_F__</v>
      </c>
      <c r="S103" s="4"/>
      <c r="T103" s="12" t="str">
        <f t="shared" si="13"/>
        <v>TC_E5_F__</v>
      </c>
      <c r="U103" s="4"/>
      <c r="V103" s="12" t="str">
        <f t="shared" si="14"/>
        <v>TC_E6_F__</v>
      </c>
      <c r="W103" s="4"/>
      <c r="X103" s="10"/>
      <c r="Y103" s="10"/>
    </row>
    <row r="104" spans="1:25" x14ac:dyDescent="0.25">
      <c r="A104" s="27" t="b">
        <v>0</v>
      </c>
      <c r="B104" s="3">
        <f t="shared" si="15"/>
        <v>103</v>
      </c>
      <c r="C104" s="17" t="e">
        <f>_xlfn.XLOOKUP($D104,Tab_Def_Processes[Process_Name],Tab_Def_Processes[Process_ID],,0,)</f>
        <v>#N/A</v>
      </c>
      <c r="D104" s="23" t="s">
        <v>5</v>
      </c>
      <c r="E104" s="17" t="e">
        <f>_xlfn.XLOOKUP($D104,Tab_Def_Processes[Process_Name],Tab_Def_Processes[Process_Logic],,0,)</f>
        <v>#N/A</v>
      </c>
      <c r="F104" s="17" t="e">
        <f>_xlfn.XLOOKUP($D104,Tab_Def_Processes[Process_Name],Tab_Def_Processes[TC_Configuration],,0,)</f>
        <v>#N/A</v>
      </c>
      <c r="G104" s="17" t="e">
        <f>_xlfn.XLOOKUP($D104,Tab_Def_Processes[Process_Name],Tab_Def_Processes[Stock_Configuration],,0,)</f>
        <v>#N/A</v>
      </c>
      <c r="H104" s="17" t="e">
        <f>_xlfn.XLOOKUP($D104,Tab_Def_Processes[Process_Name],Tab_Def_Processes[Outflow_count],,0,)</f>
        <v>#N/A</v>
      </c>
      <c r="I104" s="23" t="s">
        <v>5</v>
      </c>
      <c r="J104" s="3" t="str">
        <f>_xlfn.XLOOKUP($I104,Tab_Def_Flows[Flow_Name],Tab_Def_Flows[Flow_ID],,0,1)</f>
        <v>F__</v>
      </c>
      <c r="K104" s="4"/>
      <c r="L104" s="12" t="str">
        <f t="shared" si="9"/>
        <v>TC_E1_F__</v>
      </c>
      <c r="M104" s="25"/>
      <c r="N104" s="12" t="str">
        <f t="shared" si="10"/>
        <v>TC_E2_F__</v>
      </c>
      <c r="O104" s="25"/>
      <c r="P104" s="12" t="str">
        <f t="shared" si="11"/>
        <v>TC_E3_F__</v>
      </c>
      <c r="Q104" s="25"/>
      <c r="R104" s="12" t="str">
        <f t="shared" si="12"/>
        <v>TC_E4_F__</v>
      </c>
      <c r="S104" s="4"/>
      <c r="T104" s="12" t="str">
        <f t="shared" si="13"/>
        <v>TC_E5_F__</v>
      </c>
      <c r="U104" s="4"/>
      <c r="V104" s="12" t="str">
        <f t="shared" si="14"/>
        <v>TC_E6_F__</v>
      </c>
      <c r="W104" s="4"/>
      <c r="X104" s="10"/>
      <c r="Y104" s="10"/>
    </row>
    <row r="105" spans="1:25" x14ac:dyDescent="0.25">
      <c r="A105" s="27" t="b">
        <v>0</v>
      </c>
      <c r="B105" s="3">
        <f t="shared" si="15"/>
        <v>104</v>
      </c>
      <c r="C105" s="17" t="e">
        <f>_xlfn.XLOOKUP($D105,Tab_Def_Processes[Process_Name],Tab_Def_Processes[Process_ID],,0,)</f>
        <v>#N/A</v>
      </c>
      <c r="D105" s="23" t="s">
        <v>5</v>
      </c>
      <c r="E105" s="17" t="e">
        <f>_xlfn.XLOOKUP($D105,Tab_Def_Processes[Process_Name],Tab_Def_Processes[Process_Logic],,0,)</f>
        <v>#N/A</v>
      </c>
      <c r="F105" s="17" t="e">
        <f>_xlfn.XLOOKUP($D105,Tab_Def_Processes[Process_Name],Tab_Def_Processes[TC_Configuration],,0,)</f>
        <v>#N/A</v>
      </c>
      <c r="G105" s="17" t="e">
        <f>_xlfn.XLOOKUP($D105,Tab_Def_Processes[Process_Name],Tab_Def_Processes[Stock_Configuration],,0,)</f>
        <v>#N/A</v>
      </c>
      <c r="H105" s="17" t="e">
        <f>_xlfn.XLOOKUP($D105,Tab_Def_Processes[Process_Name],Tab_Def_Processes[Outflow_count],,0,)</f>
        <v>#N/A</v>
      </c>
      <c r="I105" s="23" t="s">
        <v>5</v>
      </c>
      <c r="J105" s="3" t="str">
        <f>_xlfn.XLOOKUP($I105,Tab_Def_Flows[Flow_Name],Tab_Def_Flows[Flow_ID],,0,1)</f>
        <v>F__</v>
      </c>
      <c r="K105" s="4"/>
      <c r="L105" s="12" t="str">
        <f t="shared" si="9"/>
        <v>TC_E1_F__</v>
      </c>
      <c r="M105" s="25"/>
      <c r="N105" s="12" t="str">
        <f t="shared" si="10"/>
        <v>TC_E2_F__</v>
      </c>
      <c r="O105" s="25"/>
      <c r="P105" s="12" t="str">
        <f t="shared" si="11"/>
        <v>TC_E3_F__</v>
      </c>
      <c r="Q105" s="25"/>
      <c r="R105" s="12" t="str">
        <f t="shared" si="12"/>
        <v>TC_E4_F__</v>
      </c>
      <c r="S105" s="4"/>
      <c r="T105" s="12" t="str">
        <f t="shared" si="13"/>
        <v>TC_E5_F__</v>
      </c>
      <c r="U105" s="4"/>
      <c r="V105" s="12" t="str">
        <f t="shared" si="14"/>
        <v>TC_E6_F__</v>
      </c>
      <c r="W105" s="4"/>
      <c r="X105" s="10"/>
      <c r="Y105" s="10"/>
    </row>
    <row r="106" spans="1:25" x14ac:dyDescent="0.25">
      <c r="A106" s="27" t="b">
        <v>0</v>
      </c>
      <c r="B106" s="3">
        <f t="shared" si="15"/>
        <v>105</v>
      </c>
      <c r="C106" s="17" t="e">
        <f>_xlfn.XLOOKUP($D106,Tab_Def_Processes[Process_Name],Tab_Def_Processes[Process_ID],,0,)</f>
        <v>#N/A</v>
      </c>
      <c r="D106" s="23" t="s">
        <v>5</v>
      </c>
      <c r="E106" s="17" t="e">
        <f>_xlfn.XLOOKUP($D106,Tab_Def_Processes[Process_Name],Tab_Def_Processes[Process_Logic],,0,)</f>
        <v>#N/A</v>
      </c>
      <c r="F106" s="17" t="e">
        <f>_xlfn.XLOOKUP($D106,Tab_Def_Processes[Process_Name],Tab_Def_Processes[TC_Configuration],,0,)</f>
        <v>#N/A</v>
      </c>
      <c r="G106" s="17" t="e">
        <f>_xlfn.XLOOKUP($D106,Tab_Def_Processes[Process_Name],Tab_Def_Processes[Stock_Configuration],,0,)</f>
        <v>#N/A</v>
      </c>
      <c r="H106" s="17" t="e">
        <f>_xlfn.XLOOKUP($D106,Tab_Def_Processes[Process_Name],Tab_Def_Processes[Outflow_count],,0,)</f>
        <v>#N/A</v>
      </c>
      <c r="I106" s="23" t="s">
        <v>5</v>
      </c>
      <c r="J106" s="3" t="str">
        <f>_xlfn.XLOOKUP($I106,Tab_Def_Flows[Flow_Name],Tab_Def_Flows[Flow_ID],,0,1)</f>
        <v>F__</v>
      </c>
      <c r="K106" s="4"/>
      <c r="L106" s="12" t="str">
        <f t="shared" si="9"/>
        <v>TC_E1_F__</v>
      </c>
      <c r="M106" s="25"/>
      <c r="N106" s="12" t="str">
        <f t="shared" si="10"/>
        <v>TC_E2_F__</v>
      </c>
      <c r="O106" s="25"/>
      <c r="P106" s="12" t="str">
        <f t="shared" si="11"/>
        <v>TC_E3_F__</v>
      </c>
      <c r="Q106" s="25"/>
      <c r="R106" s="12" t="str">
        <f t="shared" si="12"/>
        <v>TC_E4_F__</v>
      </c>
      <c r="S106" s="4"/>
      <c r="T106" s="12" t="str">
        <f t="shared" si="13"/>
        <v>TC_E5_F__</v>
      </c>
      <c r="U106" s="4"/>
      <c r="V106" s="12" t="str">
        <f t="shared" si="14"/>
        <v>TC_E6_F__</v>
      </c>
      <c r="W106" s="4"/>
      <c r="X106" s="10"/>
      <c r="Y106" s="10"/>
    </row>
    <row r="107" spans="1:25" x14ac:dyDescent="0.25">
      <c r="A107" s="27" t="b">
        <v>0</v>
      </c>
      <c r="B107" s="3">
        <f t="shared" si="15"/>
        <v>106</v>
      </c>
      <c r="C107" s="17" t="e">
        <f>_xlfn.XLOOKUP($D107,Tab_Def_Processes[Process_Name],Tab_Def_Processes[Process_ID],,0,)</f>
        <v>#N/A</v>
      </c>
      <c r="D107" s="23" t="s">
        <v>5</v>
      </c>
      <c r="E107" s="17" t="e">
        <f>_xlfn.XLOOKUP($D107,Tab_Def_Processes[Process_Name],Tab_Def_Processes[Process_Logic],,0,)</f>
        <v>#N/A</v>
      </c>
      <c r="F107" s="17" t="e">
        <f>_xlfn.XLOOKUP($D107,Tab_Def_Processes[Process_Name],Tab_Def_Processes[TC_Configuration],,0,)</f>
        <v>#N/A</v>
      </c>
      <c r="G107" s="17" t="e">
        <f>_xlfn.XLOOKUP($D107,Tab_Def_Processes[Process_Name],Tab_Def_Processes[Stock_Configuration],,0,)</f>
        <v>#N/A</v>
      </c>
      <c r="H107" s="17" t="e">
        <f>_xlfn.XLOOKUP($D107,Tab_Def_Processes[Process_Name],Tab_Def_Processes[Outflow_count],,0,)</f>
        <v>#N/A</v>
      </c>
      <c r="I107" s="23" t="s">
        <v>5</v>
      </c>
      <c r="J107" s="3" t="str">
        <f>_xlfn.XLOOKUP($I107,Tab_Def_Flows[Flow_Name],Tab_Def_Flows[Flow_ID],,0,1)</f>
        <v>F__</v>
      </c>
      <c r="K107" s="4"/>
      <c r="L107" s="12" t="str">
        <f t="shared" si="9"/>
        <v>TC_E1_F__</v>
      </c>
      <c r="M107" s="25"/>
      <c r="N107" s="12" t="str">
        <f t="shared" si="10"/>
        <v>TC_E2_F__</v>
      </c>
      <c r="O107" s="25"/>
      <c r="P107" s="12" t="str">
        <f t="shared" si="11"/>
        <v>TC_E3_F__</v>
      </c>
      <c r="Q107" s="25"/>
      <c r="R107" s="12" t="str">
        <f t="shared" si="12"/>
        <v>TC_E4_F__</v>
      </c>
      <c r="S107" s="4"/>
      <c r="T107" s="12" t="str">
        <f t="shared" si="13"/>
        <v>TC_E5_F__</v>
      </c>
      <c r="U107" s="4"/>
      <c r="V107" s="12" t="str">
        <f t="shared" si="14"/>
        <v>TC_E6_F__</v>
      </c>
      <c r="W107" s="4"/>
      <c r="X107" s="10"/>
      <c r="Y107" s="10"/>
    </row>
    <row r="108" spans="1:25" x14ac:dyDescent="0.25">
      <c r="A108" s="27" t="b">
        <v>0</v>
      </c>
      <c r="B108" s="3">
        <f t="shared" si="15"/>
        <v>107</v>
      </c>
      <c r="C108" s="17" t="e">
        <f>_xlfn.XLOOKUP($D108,Tab_Def_Processes[Process_Name],Tab_Def_Processes[Process_ID],,0,)</f>
        <v>#N/A</v>
      </c>
      <c r="D108" s="23" t="s">
        <v>5</v>
      </c>
      <c r="E108" s="17" t="e">
        <f>_xlfn.XLOOKUP($D108,Tab_Def_Processes[Process_Name],Tab_Def_Processes[Process_Logic],,0,)</f>
        <v>#N/A</v>
      </c>
      <c r="F108" s="17" t="e">
        <f>_xlfn.XLOOKUP($D108,Tab_Def_Processes[Process_Name],Tab_Def_Processes[TC_Configuration],,0,)</f>
        <v>#N/A</v>
      </c>
      <c r="G108" s="17" t="e">
        <f>_xlfn.XLOOKUP($D108,Tab_Def_Processes[Process_Name],Tab_Def_Processes[Stock_Configuration],,0,)</f>
        <v>#N/A</v>
      </c>
      <c r="H108" s="17" t="e">
        <f>_xlfn.XLOOKUP($D108,Tab_Def_Processes[Process_Name],Tab_Def_Processes[Outflow_count],,0,)</f>
        <v>#N/A</v>
      </c>
      <c r="I108" s="23" t="s">
        <v>5</v>
      </c>
      <c r="J108" s="3" t="str">
        <f>_xlfn.XLOOKUP($I108,Tab_Def_Flows[Flow_Name],Tab_Def_Flows[Flow_ID],,0,1)</f>
        <v>F__</v>
      </c>
      <c r="K108" s="4"/>
      <c r="L108" s="12" t="str">
        <f t="shared" si="9"/>
        <v>TC_E1_F__</v>
      </c>
      <c r="M108" s="25"/>
      <c r="N108" s="12" t="str">
        <f t="shared" si="10"/>
        <v>TC_E2_F__</v>
      </c>
      <c r="O108" s="25"/>
      <c r="P108" s="12" t="str">
        <f t="shared" si="11"/>
        <v>TC_E3_F__</v>
      </c>
      <c r="Q108" s="25"/>
      <c r="R108" s="12" t="str">
        <f t="shared" si="12"/>
        <v>TC_E4_F__</v>
      </c>
      <c r="S108" s="4"/>
      <c r="T108" s="12" t="str">
        <f t="shared" si="13"/>
        <v>TC_E5_F__</v>
      </c>
      <c r="U108" s="4"/>
      <c r="V108" s="12" t="str">
        <f t="shared" si="14"/>
        <v>TC_E6_F__</v>
      </c>
      <c r="W108" s="4"/>
      <c r="X108" s="10"/>
      <c r="Y108" s="10"/>
    </row>
    <row r="109" spans="1:25" x14ac:dyDescent="0.25">
      <c r="A109" s="27" t="b">
        <v>0</v>
      </c>
      <c r="B109" s="3">
        <f t="shared" si="15"/>
        <v>108</v>
      </c>
      <c r="C109" s="17" t="e">
        <f>_xlfn.XLOOKUP($D109,Tab_Def_Processes[Process_Name],Tab_Def_Processes[Process_ID],,0,)</f>
        <v>#N/A</v>
      </c>
      <c r="D109" s="23" t="s">
        <v>5</v>
      </c>
      <c r="E109" s="17" t="e">
        <f>_xlfn.XLOOKUP($D109,Tab_Def_Processes[Process_Name],Tab_Def_Processes[Process_Logic],,0,)</f>
        <v>#N/A</v>
      </c>
      <c r="F109" s="17" t="e">
        <f>_xlfn.XLOOKUP($D109,Tab_Def_Processes[Process_Name],Tab_Def_Processes[TC_Configuration],,0,)</f>
        <v>#N/A</v>
      </c>
      <c r="G109" s="17" t="e">
        <f>_xlfn.XLOOKUP($D109,Tab_Def_Processes[Process_Name],Tab_Def_Processes[Stock_Configuration],,0,)</f>
        <v>#N/A</v>
      </c>
      <c r="H109" s="17" t="e">
        <f>_xlfn.XLOOKUP($D109,Tab_Def_Processes[Process_Name],Tab_Def_Processes[Outflow_count],,0,)</f>
        <v>#N/A</v>
      </c>
      <c r="I109" s="23" t="s">
        <v>5</v>
      </c>
      <c r="J109" s="3" t="str">
        <f>_xlfn.XLOOKUP($I109,Tab_Def_Flows[Flow_Name],Tab_Def_Flows[Flow_ID],,0,1)</f>
        <v>F__</v>
      </c>
      <c r="K109" s="4"/>
      <c r="L109" s="12" t="str">
        <f t="shared" si="9"/>
        <v>TC_E1_F__</v>
      </c>
      <c r="M109" s="25"/>
      <c r="N109" s="12" t="str">
        <f t="shared" si="10"/>
        <v>TC_E2_F__</v>
      </c>
      <c r="O109" s="25"/>
      <c r="P109" s="12" t="str">
        <f t="shared" si="11"/>
        <v>TC_E3_F__</v>
      </c>
      <c r="Q109" s="25"/>
      <c r="R109" s="12" t="str">
        <f t="shared" si="12"/>
        <v>TC_E4_F__</v>
      </c>
      <c r="S109" s="4"/>
      <c r="T109" s="12" t="str">
        <f t="shared" si="13"/>
        <v>TC_E5_F__</v>
      </c>
      <c r="U109" s="4"/>
      <c r="V109" s="12" t="str">
        <f t="shared" si="14"/>
        <v>TC_E6_F__</v>
      </c>
      <c r="W109" s="4"/>
      <c r="X109" s="10"/>
      <c r="Y109" s="10"/>
    </row>
    <row r="110" spans="1:25" x14ac:dyDescent="0.25">
      <c r="A110" s="27" t="b">
        <v>0</v>
      </c>
      <c r="B110" s="3">
        <f t="shared" si="15"/>
        <v>109</v>
      </c>
      <c r="C110" s="17" t="e">
        <f>_xlfn.XLOOKUP($D110,Tab_Def_Processes[Process_Name],Tab_Def_Processes[Process_ID],,0,)</f>
        <v>#N/A</v>
      </c>
      <c r="D110" s="23" t="s">
        <v>5</v>
      </c>
      <c r="E110" s="17" t="e">
        <f>_xlfn.XLOOKUP($D110,Tab_Def_Processes[Process_Name],Tab_Def_Processes[Process_Logic],,0,)</f>
        <v>#N/A</v>
      </c>
      <c r="F110" s="17" t="e">
        <f>_xlfn.XLOOKUP($D110,Tab_Def_Processes[Process_Name],Tab_Def_Processes[TC_Configuration],,0,)</f>
        <v>#N/A</v>
      </c>
      <c r="G110" s="17" t="e">
        <f>_xlfn.XLOOKUP($D110,Tab_Def_Processes[Process_Name],Tab_Def_Processes[Stock_Configuration],,0,)</f>
        <v>#N/A</v>
      </c>
      <c r="H110" s="17" t="e">
        <f>_xlfn.XLOOKUP($D110,Tab_Def_Processes[Process_Name],Tab_Def_Processes[Outflow_count],,0,)</f>
        <v>#N/A</v>
      </c>
      <c r="I110" s="23" t="s">
        <v>5</v>
      </c>
      <c r="J110" s="3" t="str">
        <f>_xlfn.XLOOKUP($I110,Tab_Def_Flows[Flow_Name],Tab_Def_Flows[Flow_ID],,0,1)</f>
        <v>F__</v>
      </c>
      <c r="K110" s="4"/>
      <c r="L110" s="12" t="str">
        <f t="shared" si="9"/>
        <v>TC_E1_F__</v>
      </c>
      <c r="M110" s="25"/>
      <c r="N110" s="12" t="str">
        <f t="shared" si="10"/>
        <v>TC_E2_F__</v>
      </c>
      <c r="O110" s="25"/>
      <c r="P110" s="12" t="str">
        <f t="shared" si="11"/>
        <v>TC_E3_F__</v>
      </c>
      <c r="Q110" s="25"/>
      <c r="R110" s="12" t="str">
        <f t="shared" si="12"/>
        <v>TC_E4_F__</v>
      </c>
      <c r="S110" s="4"/>
      <c r="T110" s="12" t="str">
        <f t="shared" si="13"/>
        <v>TC_E5_F__</v>
      </c>
      <c r="U110" s="4"/>
      <c r="V110" s="12" t="str">
        <f t="shared" si="14"/>
        <v>TC_E6_F__</v>
      </c>
      <c r="W110" s="4"/>
      <c r="X110" s="10"/>
      <c r="Y110" s="10"/>
    </row>
    <row r="111" spans="1:25" x14ac:dyDescent="0.25">
      <c r="A111" s="27" t="b">
        <v>0</v>
      </c>
      <c r="B111" s="3">
        <f t="shared" si="15"/>
        <v>110</v>
      </c>
      <c r="C111" s="17" t="e">
        <f>_xlfn.XLOOKUP($D111,Tab_Def_Processes[Process_Name],Tab_Def_Processes[Process_ID],,0,)</f>
        <v>#N/A</v>
      </c>
      <c r="D111" s="23" t="s">
        <v>5</v>
      </c>
      <c r="E111" s="17" t="e">
        <f>_xlfn.XLOOKUP($D111,Tab_Def_Processes[Process_Name],Tab_Def_Processes[Process_Logic],,0,)</f>
        <v>#N/A</v>
      </c>
      <c r="F111" s="17" t="e">
        <f>_xlfn.XLOOKUP($D111,Tab_Def_Processes[Process_Name],Tab_Def_Processes[TC_Configuration],,0,)</f>
        <v>#N/A</v>
      </c>
      <c r="G111" s="17" t="e">
        <f>_xlfn.XLOOKUP($D111,Tab_Def_Processes[Process_Name],Tab_Def_Processes[Stock_Configuration],,0,)</f>
        <v>#N/A</v>
      </c>
      <c r="H111" s="17" t="e">
        <f>_xlfn.XLOOKUP($D111,Tab_Def_Processes[Process_Name],Tab_Def_Processes[Outflow_count],,0,)</f>
        <v>#N/A</v>
      </c>
      <c r="I111" s="23" t="s">
        <v>5</v>
      </c>
      <c r="J111" s="3" t="str">
        <f>_xlfn.XLOOKUP($I111,Tab_Def_Flows[Flow_Name],Tab_Def_Flows[Flow_ID],,0,1)</f>
        <v>F__</v>
      </c>
      <c r="K111" s="4"/>
      <c r="L111" s="12" t="str">
        <f t="shared" si="9"/>
        <v>TC_E1_F__</v>
      </c>
      <c r="M111" s="25"/>
      <c r="N111" s="12" t="str">
        <f t="shared" si="10"/>
        <v>TC_E2_F__</v>
      </c>
      <c r="O111" s="25"/>
      <c r="P111" s="12" t="str">
        <f t="shared" si="11"/>
        <v>TC_E3_F__</v>
      </c>
      <c r="Q111" s="25"/>
      <c r="R111" s="12" t="str">
        <f t="shared" si="12"/>
        <v>TC_E4_F__</v>
      </c>
      <c r="S111" s="4"/>
      <c r="T111" s="12" t="str">
        <f t="shared" si="13"/>
        <v>TC_E5_F__</v>
      </c>
      <c r="U111" s="4"/>
      <c r="V111" s="12" t="str">
        <f t="shared" si="14"/>
        <v>TC_E6_F__</v>
      </c>
      <c r="W111" s="4"/>
      <c r="X111" s="10"/>
      <c r="Y111" s="10"/>
    </row>
    <row r="112" spans="1:25" x14ac:dyDescent="0.25">
      <c r="A112" s="27" t="b">
        <v>0</v>
      </c>
      <c r="B112" s="3">
        <f t="shared" si="15"/>
        <v>111</v>
      </c>
      <c r="C112" s="17" t="e">
        <f>_xlfn.XLOOKUP($D112,Tab_Def_Processes[Process_Name],Tab_Def_Processes[Process_ID],,0,)</f>
        <v>#N/A</v>
      </c>
      <c r="D112" s="23" t="s">
        <v>5</v>
      </c>
      <c r="E112" s="17" t="e">
        <f>_xlfn.XLOOKUP($D112,Tab_Def_Processes[Process_Name],Tab_Def_Processes[Process_Logic],,0,)</f>
        <v>#N/A</v>
      </c>
      <c r="F112" s="17" t="e">
        <f>_xlfn.XLOOKUP($D112,Tab_Def_Processes[Process_Name],Tab_Def_Processes[TC_Configuration],,0,)</f>
        <v>#N/A</v>
      </c>
      <c r="G112" s="17" t="e">
        <f>_xlfn.XLOOKUP($D112,Tab_Def_Processes[Process_Name],Tab_Def_Processes[Stock_Configuration],,0,)</f>
        <v>#N/A</v>
      </c>
      <c r="H112" s="17" t="e">
        <f>_xlfn.XLOOKUP($D112,Tab_Def_Processes[Process_Name],Tab_Def_Processes[Outflow_count],,0,)</f>
        <v>#N/A</v>
      </c>
      <c r="I112" s="23" t="s">
        <v>5</v>
      </c>
      <c r="J112" s="3" t="str">
        <f>_xlfn.XLOOKUP($I112,Tab_Def_Flows[Flow_Name],Tab_Def_Flows[Flow_ID],,0,1)</f>
        <v>F__</v>
      </c>
      <c r="K112" s="4"/>
      <c r="L112" s="12" t="str">
        <f t="shared" si="9"/>
        <v>TC_E1_F__</v>
      </c>
      <c r="M112" s="25"/>
      <c r="N112" s="12" t="str">
        <f t="shared" si="10"/>
        <v>TC_E2_F__</v>
      </c>
      <c r="O112" s="25"/>
      <c r="P112" s="12" t="str">
        <f t="shared" si="11"/>
        <v>TC_E3_F__</v>
      </c>
      <c r="Q112" s="25"/>
      <c r="R112" s="12" t="str">
        <f t="shared" si="12"/>
        <v>TC_E4_F__</v>
      </c>
      <c r="S112" s="4"/>
      <c r="T112" s="12" t="str">
        <f t="shared" si="13"/>
        <v>TC_E5_F__</v>
      </c>
      <c r="U112" s="4"/>
      <c r="V112" s="12" t="str">
        <f t="shared" si="14"/>
        <v>TC_E6_F__</v>
      </c>
      <c r="W112" s="4"/>
      <c r="X112" s="10"/>
      <c r="Y112" s="10"/>
    </row>
    <row r="113" spans="1:25" x14ac:dyDescent="0.25">
      <c r="A113" s="27" t="b">
        <v>0</v>
      </c>
      <c r="B113" s="3">
        <f t="shared" si="15"/>
        <v>112</v>
      </c>
      <c r="C113" s="17" t="e">
        <f>_xlfn.XLOOKUP($D113,Tab_Def_Processes[Process_Name],Tab_Def_Processes[Process_ID],,0,)</f>
        <v>#N/A</v>
      </c>
      <c r="D113" s="23" t="s">
        <v>5</v>
      </c>
      <c r="E113" s="17" t="e">
        <f>_xlfn.XLOOKUP($D113,Tab_Def_Processes[Process_Name],Tab_Def_Processes[Process_Logic],,0,)</f>
        <v>#N/A</v>
      </c>
      <c r="F113" s="17" t="e">
        <f>_xlfn.XLOOKUP($D113,Tab_Def_Processes[Process_Name],Tab_Def_Processes[TC_Configuration],,0,)</f>
        <v>#N/A</v>
      </c>
      <c r="G113" s="17" t="e">
        <f>_xlfn.XLOOKUP($D113,Tab_Def_Processes[Process_Name],Tab_Def_Processes[Stock_Configuration],,0,)</f>
        <v>#N/A</v>
      </c>
      <c r="H113" s="17" t="e">
        <f>_xlfn.XLOOKUP($D113,Tab_Def_Processes[Process_Name],Tab_Def_Processes[Outflow_count],,0,)</f>
        <v>#N/A</v>
      </c>
      <c r="I113" s="23" t="s">
        <v>5</v>
      </c>
      <c r="J113" s="3" t="str">
        <f>_xlfn.XLOOKUP($I113,Tab_Def_Flows[Flow_Name],Tab_Def_Flows[Flow_ID],,0,1)</f>
        <v>F__</v>
      </c>
      <c r="K113" s="4"/>
      <c r="L113" s="12" t="str">
        <f t="shared" si="9"/>
        <v>TC_E1_F__</v>
      </c>
      <c r="M113" s="25"/>
      <c r="N113" s="12" t="str">
        <f t="shared" si="10"/>
        <v>TC_E2_F__</v>
      </c>
      <c r="O113" s="25"/>
      <c r="P113" s="12" t="str">
        <f t="shared" si="11"/>
        <v>TC_E3_F__</v>
      </c>
      <c r="Q113" s="25"/>
      <c r="R113" s="12" t="str">
        <f t="shared" si="12"/>
        <v>TC_E4_F__</v>
      </c>
      <c r="S113" s="4"/>
      <c r="T113" s="12" t="str">
        <f t="shared" si="13"/>
        <v>TC_E5_F__</v>
      </c>
      <c r="U113" s="4"/>
      <c r="V113" s="12" t="str">
        <f t="shared" si="14"/>
        <v>TC_E6_F__</v>
      </c>
      <c r="W113" s="4"/>
      <c r="X113" s="10"/>
      <c r="Y113" s="10"/>
    </row>
    <row r="114" spans="1:25" x14ac:dyDescent="0.25">
      <c r="A114" s="27" t="b">
        <v>0</v>
      </c>
      <c r="B114" s="3">
        <f t="shared" si="15"/>
        <v>113</v>
      </c>
      <c r="C114" s="17" t="e">
        <f>_xlfn.XLOOKUP($D114,Tab_Def_Processes[Process_Name],Tab_Def_Processes[Process_ID],,0,)</f>
        <v>#N/A</v>
      </c>
      <c r="D114" s="23" t="s">
        <v>5</v>
      </c>
      <c r="E114" s="17" t="e">
        <f>_xlfn.XLOOKUP($D114,Tab_Def_Processes[Process_Name],Tab_Def_Processes[Process_Logic],,0,)</f>
        <v>#N/A</v>
      </c>
      <c r="F114" s="17" t="e">
        <f>_xlfn.XLOOKUP($D114,Tab_Def_Processes[Process_Name],Tab_Def_Processes[TC_Configuration],,0,)</f>
        <v>#N/A</v>
      </c>
      <c r="G114" s="17" t="e">
        <f>_xlfn.XLOOKUP($D114,Tab_Def_Processes[Process_Name],Tab_Def_Processes[Stock_Configuration],,0,)</f>
        <v>#N/A</v>
      </c>
      <c r="H114" s="17" t="e">
        <f>_xlfn.XLOOKUP($D114,Tab_Def_Processes[Process_Name],Tab_Def_Processes[Outflow_count],,0,)</f>
        <v>#N/A</v>
      </c>
      <c r="I114" s="23" t="s">
        <v>5</v>
      </c>
      <c r="J114" s="3" t="str">
        <f>_xlfn.XLOOKUP($I114,Tab_Def_Flows[Flow_Name],Tab_Def_Flows[Flow_ID],,0,1)</f>
        <v>F__</v>
      </c>
      <c r="K114" s="4"/>
      <c r="L114" s="12" t="str">
        <f t="shared" si="9"/>
        <v>TC_E1_F__</v>
      </c>
      <c r="M114" s="25"/>
      <c r="N114" s="12" t="str">
        <f t="shared" si="10"/>
        <v>TC_E2_F__</v>
      </c>
      <c r="O114" s="25"/>
      <c r="P114" s="12" t="str">
        <f t="shared" si="11"/>
        <v>TC_E3_F__</v>
      </c>
      <c r="Q114" s="25"/>
      <c r="R114" s="12" t="str">
        <f t="shared" si="12"/>
        <v>TC_E4_F__</v>
      </c>
      <c r="S114" s="4"/>
      <c r="T114" s="12" t="str">
        <f t="shared" si="13"/>
        <v>TC_E5_F__</v>
      </c>
      <c r="U114" s="4"/>
      <c r="V114" s="12" t="str">
        <f t="shared" si="14"/>
        <v>TC_E6_F__</v>
      </c>
      <c r="W114" s="4"/>
      <c r="X114" s="10"/>
      <c r="Y114" s="10"/>
    </row>
    <row r="115" spans="1:25" x14ac:dyDescent="0.25">
      <c r="A115" s="27" t="b">
        <v>0</v>
      </c>
      <c r="B115" s="3">
        <f t="shared" si="15"/>
        <v>114</v>
      </c>
      <c r="C115" s="17" t="e">
        <f>_xlfn.XLOOKUP($D115,Tab_Def_Processes[Process_Name],Tab_Def_Processes[Process_ID],,0,)</f>
        <v>#N/A</v>
      </c>
      <c r="D115" s="23" t="s">
        <v>5</v>
      </c>
      <c r="E115" s="17" t="e">
        <f>_xlfn.XLOOKUP($D115,Tab_Def_Processes[Process_Name],Tab_Def_Processes[Process_Logic],,0,)</f>
        <v>#N/A</v>
      </c>
      <c r="F115" s="17" t="e">
        <f>_xlfn.XLOOKUP($D115,Tab_Def_Processes[Process_Name],Tab_Def_Processes[TC_Configuration],,0,)</f>
        <v>#N/A</v>
      </c>
      <c r="G115" s="17" t="e">
        <f>_xlfn.XLOOKUP($D115,Tab_Def_Processes[Process_Name],Tab_Def_Processes[Stock_Configuration],,0,)</f>
        <v>#N/A</v>
      </c>
      <c r="H115" s="17" t="e">
        <f>_xlfn.XLOOKUP($D115,Tab_Def_Processes[Process_Name],Tab_Def_Processes[Outflow_count],,0,)</f>
        <v>#N/A</v>
      </c>
      <c r="I115" s="23" t="s">
        <v>5</v>
      </c>
      <c r="J115" s="3" t="str">
        <f>_xlfn.XLOOKUP($I115,Tab_Def_Flows[Flow_Name],Tab_Def_Flows[Flow_ID],,0,1)</f>
        <v>F__</v>
      </c>
      <c r="K115" s="4"/>
      <c r="L115" s="12" t="str">
        <f t="shared" si="9"/>
        <v>TC_E1_F__</v>
      </c>
      <c r="M115" s="25"/>
      <c r="N115" s="12" t="str">
        <f t="shared" si="10"/>
        <v>TC_E2_F__</v>
      </c>
      <c r="O115" s="25"/>
      <c r="P115" s="12" t="str">
        <f t="shared" si="11"/>
        <v>TC_E3_F__</v>
      </c>
      <c r="Q115" s="25"/>
      <c r="R115" s="12" t="str">
        <f t="shared" si="12"/>
        <v>TC_E4_F__</v>
      </c>
      <c r="S115" s="4"/>
      <c r="T115" s="12" t="str">
        <f t="shared" si="13"/>
        <v>TC_E5_F__</v>
      </c>
      <c r="U115" s="4"/>
      <c r="V115" s="12" t="str">
        <f t="shared" si="14"/>
        <v>TC_E6_F__</v>
      </c>
      <c r="W115" s="4"/>
      <c r="X115" s="10"/>
      <c r="Y115" s="10"/>
    </row>
    <row r="116" spans="1:25" x14ac:dyDescent="0.25">
      <c r="A116" s="27" t="b">
        <v>0</v>
      </c>
      <c r="B116" s="3">
        <f t="shared" si="15"/>
        <v>115</v>
      </c>
      <c r="C116" s="17" t="e">
        <f>_xlfn.XLOOKUP($D116,Tab_Def_Processes[Process_Name],Tab_Def_Processes[Process_ID],,0,)</f>
        <v>#N/A</v>
      </c>
      <c r="D116" s="23" t="s">
        <v>5</v>
      </c>
      <c r="E116" s="17" t="e">
        <f>_xlfn.XLOOKUP($D116,Tab_Def_Processes[Process_Name],Tab_Def_Processes[Process_Logic],,0,)</f>
        <v>#N/A</v>
      </c>
      <c r="F116" s="17" t="e">
        <f>_xlfn.XLOOKUP($D116,Tab_Def_Processes[Process_Name],Tab_Def_Processes[TC_Configuration],,0,)</f>
        <v>#N/A</v>
      </c>
      <c r="G116" s="17" t="e">
        <f>_xlfn.XLOOKUP($D116,Tab_Def_Processes[Process_Name],Tab_Def_Processes[Stock_Configuration],,0,)</f>
        <v>#N/A</v>
      </c>
      <c r="H116" s="17" t="e">
        <f>_xlfn.XLOOKUP($D116,Tab_Def_Processes[Process_Name],Tab_Def_Processes[Outflow_count],,0,)</f>
        <v>#N/A</v>
      </c>
      <c r="I116" s="23" t="s">
        <v>5</v>
      </c>
      <c r="J116" s="3" t="str">
        <f>_xlfn.XLOOKUP($I116,Tab_Def_Flows[Flow_Name],Tab_Def_Flows[Flow_ID],,0,1)</f>
        <v>F__</v>
      </c>
      <c r="K116" s="4"/>
      <c r="L116" s="12" t="str">
        <f t="shared" si="9"/>
        <v>TC_E1_F__</v>
      </c>
      <c r="M116" s="25"/>
      <c r="N116" s="12" t="str">
        <f t="shared" si="10"/>
        <v>TC_E2_F__</v>
      </c>
      <c r="O116" s="25"/>
      <c r="P116" s="12" t="str">
        <f t="shared" si="11"/>
        <v>TC_E3_F__</v>
      </c>
      <c r="Q116" s="25"/>
      <c r="R116" s="12" t="str">
        <f t="shared" si="12"/>
        <v>TC_E4_F__</v>
      </c>
      <c r="S116" s="4"/>
      <c r="T116" s="12" t="str">
        <f t="shared" si="13"/>
        <v>TC_E5_F__</v>
      </c>
      <c r="U116" s="4"/>
      <c r="V116" s="12" t="str">
        <f t="shared" si="14"/>
        <v>TC_E6_F__</v>
      </c>
      <c r="W116" s="4"/>
      <c r="X116" s="10"/>
      <c r="Y116" s="10"/>
    </row>
    <row r="117" spans="1:25" x14ac:dyDescent="0.25">
      <c r="A117" s="27" t="b">
        <v>0</v>
      </c>
      <c r="B117" s="3">
        <f t="shared" si="15"/>
        <v>116</v>
      </c>
      <c r="C117" s="17" t="e">
        <f>_xlfn.XLOOKUP($D117,Tab_Def_Processes[Process_Name],Tab_Def_Processes[Process_ID],,0,)</f>
        <v>#N/A</v>
      </c>
      <c r="D117" s="23" t="s">
        <v>5</v>
      </c>
      <c r="E117" s="17" t="e">
        <f>_xlfn.XLOOKUP($D117,Tab_Def_Processes[Process_Name],Tab_Def_Processes[Process_Logic],,0,)</f>
        <v>#N/A</v>
      </c>
      <c r="F117" s="17" t="e">
        <f>_xlfn.XLOOKUP($D117,Tab_Def_Processes[Process_Name],Tab_Def_Processes[TC_Configuration],,0,)</f>
        <v>#N/A</v>
      </c>
      <c r="G117" s="17" t="e">
        <f>_xlfn.XLOOKUP($D117,Tab_Def_Processes[Process_Name],Tab_Def_Processes[Stock_Configuration],,0,)</f>
        <v>#N/A</v>
      </c>
      <c r="H117" s="17" t="e">
        <f>_xlfn.XLOOKUP($D117,Tab_Def_Processes[Process_Name],Tab_Def_Processes[Outflow_count],,0,)</f>
        <v>#N/A</v>
      </c>
      <c r="I117" s="23" t="s">
        <v>5</v>
      </c>
      <c r="J117" s="3" t="str">
        <f>_xlfn.XLOOKUP($I117,Tab_Def_Flows[Flow_Name],Tab_Def_Flows[Flow_ID],,0,1)</f>
        <v>F__</v>
      </c>
      <c r="K117" s="4"/>
      <c r="L117" s="12" t="str">
        <f t="shared" si="9"/>
        <v>TC_E1_F__</v>
      </c>
      <c r="M117" s="25"/>
      <c r="N117" s="12" t="str">
        <f t="shared" si="10"/>
        <v>TC_E2_F__</v>
      </c>
      <c r="O117" s="25"/>
      <c r="P117" s="12" t="str">
        <f t="shared" si="11"/>
        <v>TC_E3_F__</v>
      </c>
      <c r="Q117" s="25"/>
      <c r="R117" s="12" t="str">
        <f t="shared" si="12"/>
        <v>TC_E4_F__</v>
      </c>
      <c r="S117" s="4"/>
      <c r="T117" s="12" t="str">
        <f t="shared" si="13"/>
        <v>TC_E5_F__</v>
      </c>
      <c r="U117" s="4"/>
      <c r="V117" s="12" t="str">
        <f t="shared" si="14"/>
        <v>TC_E6_F__</v>
      </c>
      <c r="W117" s="4"/>
      <c r="X117" s="10"/>
      <c r="Y117" s="10"/>
    </row>
    <row r="118" spans="1:25" x14ac:dyDescent="0.25">
      <c r="A118" s="27" t="b">
        <v>0</v>
      </c>
      <c r="B118" s="3">
        <f t="shared" si="15"/>
        <v>117</v>
      </c>
      <c r="C118" s="17" t="e">
        <f>_xlfn.XLOOKUP($D118,Tab_Def_Processes[Process_Name],Tab_Def_Processes[Process_ID],,0,)</f>
        <v>#N/A</v>
      </c>
      <c r="D118" s="23" t="s">
        <v>5</v>
      </c>
      <c r="E118" s="17" t="e">
        <f>_xlfn.XLOOKUP($D118,Tab_Def_Processes[Process_Name],Tab_Def_Processes[Process_Logic],,0,)</f>
        <v>#N/A</v>
      </c>
      <c r="F118" s="17" t="e">
        <f>_xlfn.XLOOKUP($D118,Tab_Def_Processes[Process_Name],Tab_Def_Processes[TC_Configuration],,0,)</f>
        <v>#N/A</v>
      </c>
      <c r="G118" s="17" t="e">
        <f>_xlfn.XLOOKUP($D118,Tab_Def_Processes[Process_Name],Tab_Def_Processes[Stock_Configuration],,0,)</f>
        <v>#N/A</v>
      </c>
      <c r="H118" s="17" t="e">
        <f>_xlfn.XLOOKUP($D118,Tab_Def_Processes[Process_Name],Tab_Def_Processes[Outflow_count],,0,)</f>
        <v>#N/A</v>
      </c>
      <c r="I118" s="23" t="s">
        <v>5</v>
      </c>
      <c r="J118" s="3" t="str">
        <f>_xlfn.XLOOKUP($I118,Tab_Def_Flows[Flow_Name],Tab_Def_Flows[Flow_ID],,0,1)</f>
        <v>F__</v>
      </c>
      <c r="K118" s="4"/>
      <c r="L118" s="12" t="str">
        <f t="shared" si="9"/>
        <v>TC_E1_F__</v>
      </c>
      <c r="M118" s="25"/>
      <c r="N118" s="12" t="str">
        <f t="shared" si="10"/>
        <v>TC_E2_F__</v>
      </c>
      <c r="O118" s="25"/>
      <c r="P118" s="12" t="str">
        <f t="shared" si="11"/>
        <v>TC_E3_F__</v>
      </c>
      <c r="Q118" s="25"/>
      <c r="R118" s="12" t="str">
        <f t="shared" si="12"/>
        <v>TC_E4_F__</v>
      </c>
      <c r="S118" s="4"/>
      <c r="T118" s="12" t="str">
        <f t="shared" si="13"/>
        <v>TC_E5_F__</v>
      </c>
      <c r="U118" s="4"/>
      <c r="V118" s="12" t="str">
        <f t="shared" si="14"/>
        <v>TC_E6_F__</v>
      </c>
      <c r="W118" s="4"/>
      <c r="X118" s="10"/>
      <c r="Y118" s="10"/>
    </row>
    <row r="119" spans="1:25" x14ac:dyDescent="0.25">
      <c r="A119" s="27" t="b">
        <v>0</v>
      </c>
      <c r="B119" s="3">
        <f t="shared" si="15"/>
        <v>118</v>
      </c>
      <c r="C119" s="17" t="e">
        <f>_xlfn.XLOOKUP($D119,Tab_Def_Processes[Process_Name],Tab_Def_Processes[Process_ID],,0,)</f>
        <v>#N/A</v>
      </c>
      <c r="D119" s="23" t="s">
        <v>5</v>
      </c>
      <c r="E119" s="17" t="e">
        <f>_xlfn.XLOOKUP($D119,Tab_Def_Processes[Process_Name],Tab_Def_Processes[Process_Logic],,0,)</f>
        <v>#N/A</v>
      </c>
      <c r="F119" s="17" t="e">
        <f>_xlfn.XLOOKUP($D119,Tab_Def_Processes[Process_Name],Tab_Def_Processes[TC_Configuration],,0,)</f>
        <v>#N/A</v>
      </c>
      <c r="G119" s="17" t="e">
        <f>_xlfn.XLOOKUP($D119,Tab_Def_Processes[Process_Name],Tab_Def_Processes[Stock_Configuration],,0,)</f>
        <v>#N/A</v>
      </c>
      <c r="H119" s="17" t="e">
        <f>_xlfn.XLOOKUP($D119,Tab_Def_Processes[Process_Name],Tab_Def_Processes[Outflow_count],,0,)</f>
        <v>#N/A</v>
      </c>
      <c r="I119" s="23" t="s">
        <v>5</v>
      </c>
      <c r="J119" s="3" t="str">
        <f>_xlfn.XLOOKUP($I119,Tab_Def_Flows[Flow_Name],Tab_Def_Flows[Flow_ID],,0,1)</f>
        <v>F__</v>
      </c>
      <c r="K119" s="4"/>
      <c r="L119" s="12" t="str">
        <f t="shared" si="9"/>
        <v>TC_E1_F__</v>
      </c>
      <c r="M119" s="25"/>
      <c r="N119" s="12" t="str">
        <f t="shared" si="10"/>
        <v>TC_E2_F__</v>
      </c>
      <c r="O119" s="25"/>
      <c r="P119" s="12" t="str">
        <f t="shared" si="11"/>
        <v>TC_E3_F__</v>
      </c>
      <c r="Q119" s="25"/>
      <c r="R119" s="12" t="str">
        <f t="shared" si="12"/>
        <v>TC_E4_F__</v>
      </c>
      <c r="S119" s="4"/>
      <c r="T119" s="12" t="str">
        <f t="shared" si="13"/>
        <v>TC_E5_F__</v>
      </c>
      <c r="U119" s="4"/>
      <c r="V119" s="12" t="str">
        <f t="shared" si="14"/>
        <v>TC_E6_F__</v>
      </c>
      <c r="W119" s="4"/>
      <c r="X119" s="10"/>
      <c r="Y119" s="10"/>
    </row>
    <row r="120" spans="1:25" x14ac:dyDescent="0.25">
      <c r="A120" s="27" t="b">
        <v>0</v>
      </c>
      <c r="B120" s="3">
        <f t="shared" si="15"/>
        <v>119</v>
      </c>
      <c r="C120" s="17" t="e">
        <f>_xlfn.XLOOKUP($D120,Tab_Def_Processes[Process_Name],Tab_Def_Processes[Process_ID],,0,)</f>
        <v>#N/A</v>
      </c>
      <c r="D120" s="23" t="s">
        <v>5</v>
      </c>
      <c r="E120" s="17" t="e">
        <f>_xlfn.XLOOKUP($D120,Tab_Def_Processes[Process_Name],Tab_Def_Processes[Process_Logic],,0,)</f>
        <v>#N/A</v>
      </c>
      <c r="F120" s="17" t="e">
        <f>_xlfn.XLOOKUP($D120,Tab_Def_Processes[Process_Name],Tab_Def_Processes[TC_Configuration],,0,)</f>
        <v>#N/A</v>
      </c>
      <c r="G120" s="17" t="e">
        <f>_xlfn.XLOOKUP($D120,Tab_Def_Processes[Process_Name],Tab_Def_Processes[Stock_Configuration],,0,)</f>
        <v>#N/A</v>
      </c>
      <c r="H120" s="17" t="e">
        <f>_xlfn.XLOOKUP($D120,Tab_Def_Processes[Process_Name],Tab_Def_Processes[Outflow_count],,0,)</f>
        <v>#N/A</v>
      </c>
      <c r="I120" s="23" t="s">
        <v>5</v>
      </c>
      <c r="J120" s="3" t="str">
        <f>_xlfn.XLOOKUP($I120,Tab_Def_Flows[Flow_Name],Tab_Def_Flows[Flow_ID],,0,1)</f>
        <v>F__</v>
      </c>
      <c r="K120" s="4"/>
      <c r="L120" s="12" t="str">
        <f t="shared" si="9"/>
        <v>TC_E1_F__</v>
      </c>
      <c r="M120" s="25"/>
      <c r="N120" s="12" t="str">
        <f t="shared" si="10"/>
        <v>TC_E2_F__</v>
      </c>
      <c r="O120" s="25"/>
      <c r="P120" s="12" t="str">
        <f t="shared" si="11"/>
        <v>TC_E3_F__</v>
      </c>
      <c r="Q120" s="25"/>
      <c r="R120" s="12" t="str">
        <f t="shared" si="12"/>
        <v>TC_E4_F__</v>
      </c>
      <c r="S120" s="4"/>
      <c r="T120" s="12" t="str">
        <f t="shared" si="13"/>
        <v>TC_E5_F__</v>
      </c>
      <c r="U120" s="4"/>
      <c r="V120" s="12" t="str">
        <f t="shared" si="14"/>
        <v>TC_E6_F__</v>
      </c>
      <c r="W120" s="4"/>
      <c r="X120" s="10"/>
      <c r="Y120" s="10"/>
    </row>
    <row r="121" spans="1:25" x14ac:dyDescent="0.25">
      <c r="A121" s="27" t="b">
        <v>0</v>
      </c>
      <c r="B121" s="3">
        <f t="shared" si="15"/>
        <v>120</v>
      </c>
      <c r="C121" s="17" t="e">
        <f>_xlfn.XLOOKUP($D121,Tab_Def_Processes[Process_Name],Tab_Def_Processes[Process_ID],,0,)</f>
        <v>#N/A</v>
      </c>
      <c r="D121" s="23" t="s">
        <v>5</v>
      </c>
      <c r="E121" s="17" t="e">
        <f>_xlfn.XLOOKUP($D121,Tab_Def_Processes[Process_Name],Tab_Def_Processes[Process_Logic],,0,)</f>
        <v>#N/A</v>
      </c>
      <c r="F121" s="17" t="e">
        <f>_xlfn.XLOOKUP($D121,Tab_Def_Processes[Process_Name],Tab_Def_Processes[TC_Configuration],,0,)</f>
        <v>#N/A</v>
      </c>
      <c r="G121" s="17" t="e">
        <f>_xlfn.XLOOKUP($D121,Tab_Def_Processes[Process_Name],Tab_Def_Processes[Stock_Configuration],,0,)</f>
        <v>#N/A</v>
      </c>
      <c r="H121" s="17" t="e">
        <f>_xlfn.XLOOKUP($D121,Tab_Def_Processes[Process_Name],Tab_Def_Processes[Outflow_count],,0,)</f>
        <v>#N/A</v>
      </c>
      <c r="I121" s="23" t="s">
        <v>5</v>
      </c>
      <c r="J121" s="3" t="str">
        <f>_xlfn.XLOOKUP($I121,Tab_Def_Flows[Flow_Name],Tab_Def_Flows[Flow_ID],,0,1)</f>
        <v>F__</v>
      </c>
      <c r="K121" s="4"/>
      <c r="L121" s="12" t="str">
        <f t="shared" si="9"/>
        <v>TC_E1_F__</v>
      </c>
      <c r="M121" s="25"/>
      <c r="N121" s="12" t="str">
        <f t="shared" si="10"/>
        <v>TC_E2_F__</v>
      </c>
      <c r="O121" s="25"/>
      <c r="P121" s="12" t="str">
        <f t="shared" si="11"/>
        <v>TC_E3_F__</v>
      </c>
      <c r="Q121" s="25"/>
      <c r="R121" s="12" t="str">
        <f t="shared" si="12"/>
        <v>TC_E4_F__</v>
      </c>
      <c r="S121" s="4"/>
      <c r="T121" s="12" t="str">
        <f t="shared" si="13"/>
        <v>TC_E5_F__</v>
      </c>
      <c r="U121" s="4"/>
      <c r="V121" s="12" t="str">
        <f t="shared" si="14"/>
        <v>TC_E6_F__</v>
      </c>
      <c r="W121" s="4"/>
      <c r="X121" s="10"/>
      <c r="Y121" s="10"/>
    </row>
    <row r="122" spans="1:25" x14ac:dyDescent="0.25">
      <c r="A122" s="27" t="b">
        <v>0</v>
      </c>
      <c r="B122" s="3">
        <f t="shared" si="15"/>
        <v>121</v>
      </c>
      <c r="C122" s="17" t="e">
        <f>_xlfn.XLOOKUP($D122,Tab_Def_Processes[Process_Name],Tab_Def_Processes[Process_ID],,0,)</f>
        <v>#N/A</v>
      </c>
      <c r="D122" s="23" t="s">
        <v>5</v>
      </c>
      <c r="E122" s="17" t="e">
        <f>_xlfn.XLOOKUP($D122,Tab_Def_Processes[Process_Name],Tab_Def_Processes[Process_Logic],,0,)</f>
        <v>#N/A</v>
      </c>
      <c r="F122" s="17" t="e">
        <f>_xlfn.XLOOKUP($D122,Tab_Def_Processes[Process_Name],Tab_Def_Processes[TC_Configuration],,0,)</f>
        <v>#N/A</v>
      </c>
      <c r="G122" s="17" t="e">
        <f>_xlfn.XLOOKUP($D122,Tab_Def_Processes[Process_Name],Tab_Def_Processes[Stock_Configuration],,0,)</f>
        <v>#N/A</v>
      </c>
      <c r="H122" s="17" t="e">
        <f>_xlfn.XLOOKUP($D122,Tab_Def_Processes[Process_Name],Tab_Def_Processes[Outflow_count],,0,)</f>
        <v>#N/A</v>
      </c>
      <c r="I122" s="23" t="s">
        <v>5</v>
      </c>
      <c r="J122" s="3" t="str">
        <f>_xlfn.XLOOKUP($I122,Tab_Def_Flows[Flow_Name],Tab_Def_Flows[Flow_ID],,0,1)</f>
        <v>F__</v>
      </c>
      <c r="K122" s="4"/>
      <c r="L122" s="12" t="str">
        <f t="shared" si="9"/>
        <v>TC_E1_F__</v>
      </c>
      <c r="M122" s="25"/>
      <c r="N122" s="12" t="str">
        <f t="shared" si="10"/>
        <v>TC_E2_F__</v>
      </c>
      <c r="O122" s="25"/>
      <c r="P122" s="12" t="str">
        <f t="shared" si="11"/>
        <v>TC_E3_F__</v>
      </c>
      <c r="Q122" s="25"/>
      <c r="R122" s="12" t="str">
        <f t="shared" si="12"/>
        <v>TC_E4_F__</v>
      </c>
      <c r="S122" s="4"/>
      <c r="T122" s="12" t="str">
        <f t="shared" si="13"/>
        <v>TC_E5_F__</v>
      </c>
      <c r="U122" s="4"/>
      <c r="V122" s="12" t="str">
        <f t="shared" si="14"/>
        <v>TC_E6_F__</v>
      </c>
      <c r="W122" s="4"/>
      <c r="X122" s="10"/>
      <c r="Y122" s="10"/>
    </row>
    <row r="123" spans="1:25" x14ac:dyDescent="0.25">
      <c r="A123" s="27" t="b">
        <v>0</v>
      </c>
      <c r="B123" s="3">
        <f t="shared" si="15"/>
        <v>122</v>
      </c>
      <c r="C123" s="17" t="e">
        <f>_xlfn.XLOOKUP($D123,Tab_Def_Processes[Process_Name],Tab_Def_Processes[Process_ID],,0,)</f>
        <v>#N/A</v>
      </c>
      <c r="D123" s="23" t="s">
        <v>5</v>
      </c>
      <c r="E123" s="17" t="e">
        <f>_xlfn.XLOOKUP($D123,Tab_Def_Processes[Process_Name],Tab_Def_Processes[Process_Logic],,0,)</f>
        <v>#N/A</v>
      </c>
      <c r="F123" s="17" t="e">
        <f>_xlfn.XLOOKUP($D123,Tab_Def_Processes[Process_Name],Tab_Def_Processes[TC_Configuration],,0,)</f>
        <v>#N/A</v>
      </c>
      <c r="G123" s="17" t="e">
        <f>_xlfn.XLOOKUP($D123,Tab_Def_Processes[Process_Name],Tab_Def_Processes[Stock_Configuration],,0,)</f>
        <v>#N/A</v>
      </c>
      <c r="H123" s="17" t="e">
        <f>_xlfn.XLOOKUP($D123,Tab_Def_Processes[Process_Name],Tab_Def_Processes[Outflow_count],,0,)</f>
        <v>#N/A</v>
      </c>
      <c r="I123" s="23" t="s">
        <v>5</v>
      </c>
      <c r="J123" s="3" t="str">
        <f>_xlfn.XLOOKUP($I123,Tab_Def_Flows[Flow_Name],Tab_Def_Flows[Flow_ID],,0,1)</f>
        <v>F__</v>
      </c>
      <c r="K123" s="4"/>
      <c r="L123" s="12" t="str">
        <f t="shared" si="9"/>
        <v>TC_E1_F__</v>
      </c>
      <c r="M123" s="25"/>
      <c r="N123" s="12" t="str">
        <f t="shared" si="10"/>
        <v>TC_E2_F__</v>
      </c>
      <c r="O123" s="25"/>
      <c r="P123" s="12" t="str">
        <f t="shared" si="11"/>
        <v>TC_E3_F__</v>
      </c>
      <c r="Q123" s="25"/>
      <c r="R123" s="12" t="str">
        <f t="shared" si="12"/>
        <v>TC_E4_F__</v>
      </c>
      <c r="S123" s="4"/>
      <c r="T123" s="12" t="str">
        <f t="shared" si="13"/>
        <v>TC_E5_F__</v>
      </c>
      <c r="U123" s="4"/>
      <c r="V123" s="12" t="str">
        <f t="shared" si="14"/>
        <v>TC_E6_F__</v>
      </c>
      <c r="W123" s="4"/>
      <c r="X123" s="10"/>
      <c r="Y123" s="10"/>
    </row>
    <row r="124" spans="1:25" x14ac:dyDescent="0.25">
      <c r="A124" s="27" t="b">
        <v>0</v>
      </c>
      <c r="B124" s="3">
        <f t="shared" si="15"/>
        <v>123</v>
      </c>
      <c r="C124" s="17" t="e">
        <f>_xlfn.XLOOKUP($D124,Tab_Def_Processes[Process_Name],Tab_Def_Processes[Process_ID],,0,)</f>
        <v>#N/A</v>
      </c>
      <c r="D124" s="23" t="s">
        <v>5</v>
      </c>
      <c r="E124" s="17" t="e">
        <f>_xlfn.XLOOKUP($D124,Tab_Def_Processes[Process_Name],Tab_Def_Processes[Process_Logic],,0,)</f>
        <v>#N/A</v>
      </c>
      <c r="F124" s="17" t="e">
        <f>_xlfn.XLOOKUP($D124,Tab_Def_Processes[Process_Name],Tab_Def_Processes[TC_Configuration],,0,)</f>
        <v>#N/A</v>
      </c>
      <c r="G124" s="17" t="e">
        <f>_xlfn.XLOOKUP($D124,Tab_Def_Processes[Process_Name],Tab_Def_Processes[Stock_Configuration],,0,)</f>
        <v>#N/A</v>
      </c>
      <c r="H124" s="17" t="e">
        <f>_xlfn.XLOOKUP($D124,Tab_Def_Processes[Process_Name],Tab_Def_Processes[Outflow_count],,0,)</f>
        <v>#N/A</v>
      </c>
      <c r="I124" s="23" t="s">
        <v>5</v>
      </c>
      <c r="J124" s="3" t="str">
        <f>_xlfn.XLOOKUP($I124,Tab_Def_Flows[Flow_Name],Tab_Def_Flows[Flow_ID],,0,1)</f>
        <v>F__</v>
      </c>
      <c r="K124" s="4"/>
      <c r="L124" s="12" t="str">
        <f t="shared" si="9"/>
        <v>TC_E1_F__</v>
      </c>
      <c r="M124" s="25"/>
      <c r="N124" s="12" t="str">
        <f t="shared" si="10"/>
        <v>TC_E2_F__</v>
      </c>
      <c r="O124" s="25"/>
      <c r="P124" s="12" t="str">
        <f t="shared" si="11"/>
        <v>TC_E3_F__</v>
      </c>
      <c r="Q124" s="25"/>
      <c r="R124" s="12" t="str">
        <f t="shared" si="12"/>
        <v>TC_E4_F__</v>
      </c>
      <c r="S124" s="4"/>
      <c r="T124" s="12" t="str">
        <f t="shared" si="13"/>
        <v>TC_E5_F__</v>
      </c>
      <c r="U124" s="4"/>
      <c r="V124" s="12" t="str">
        <f t="shared" si="14"/>
        <v>TC_E6_F__</v>
      </c>
      <c r="W124" s="4"/>
      <c r="X124" s="10"/>
      <c r="Y124" s="10"/>
    </row>
    <row r="125" spans="1:25" x14ac:dyDescent="0.25">
      <c r="A125" s="27" t="b">
        <v>0</v>
      </c>
      <c r="B125" s="3">
        <f t="shared" si="15"/>
        <v>124</v>
      </c>
      <c r="C125" s="17" t="e">
        <f>_xlfn.XLOOKUP($D125,Tab_Def_Processes[Process_Name],Tab_Def_Processes[Process_ID],,0,)</f>
        <v>#N/A</v>
      </c>
      <c r="D125" s="23" t="s">
        <v>5</v>
      </c>
      <c r="E125" s="17" t="e">
        <f>_xlfn.XLOOKUP($D125,Tab_Def_Processes[Process_Name],Tab_Def_Processes[Process_Logic],,0,)</f>
        <v>#N/A</v>
      </c>
      <c r="F125" s="17" t="e">
        <f>_xlfn.XLOOKUP($D125,Tab_Def_Processes[Process_Name],Tab_Def_Processes[TC_Configuration],,0,)</f>
        <v>#N/A</v>
      </c>
      <c r="G125" s="17" t="e">
        <f>_xlfn.XLOOKUP($D125,Tab_Def_Processes[Process_Name],Tab_Def_Processes[Stock_Configuration],,0,)</f>
        <v>#N/A</v>
      </c>
      <c r="H125" s="17" t="e">
        <f>_xlfn.XLOOKUP($D125,Tab_Def_Processes[Process_Name],Tab_Def_Processes[Outflow_count],,0,)</f>
        <v>#N/A</v>
      </c>
      <c r="I125" s="23" t="s">
        <v>5</v>
      </c>
      <c r="J125" s="3" t="str">
        <f>_xlfn.XLOOKUP($I125,Tab_Def_Flows[Flow_Name],Tab_Def_Flows[Flow_ID],,0,1)</f>
        <v>F__</v>
      </c>
      <c r="K125" s="4"/>
      <c r="L125" s="12" t="str">
        <f t="shared" si="9"/>
        <v>TC_E1_F__</v>
      </c>
      <c r="M125" s="25"/>
      <c r="N125" s="12" t="str">
        <f t="shared" si="10"/>
        <v>TC_E2_F__</v>
      </c>
      <c r="O125" s="25"/>
      <c r="P125" s="12" t="str">
        <f t="shared" si="11"/>
        <v>TC_E3_F__</v>
      </c>
      <c r="Q125" s="25"/>
      <c r="R125" s="12" t="str">
        <f t="shared" si="12"/>
        <v>TC_E4_F__</v>
      </c>
      <c r="S125" s="4"/>
      <c r="T125" s="12" t="str">
        <f t="shared" si="13"/>
        <v>TC_E5_F__</v>
      </c>
      <c r="U125" s="4"/>
      <c r="V125" s="12" t="str">
        <f t="shared" si="14"/>
        <v>TC_E6_F__</v>
      </c>
      <c r="W125" s="4"/>
      <c r="X125" s="10"/>
      <c r="Y125" s="10"/>
    </row>
    <row r="126" spans="1:25" x14ac:dyDescent="0.25">
      <c r="A126" s="27" t="b">
        <v>0</v>
      </c>
      <c r="B126" s="3">
        <f t="shared" si="15"/>
        <v>125</v>
      </c>
      <c r="C126" s="17" t="e">
        <f>_xlfn.XLOOKUP($D126,Tab_Def_Processes[Process_Name],Tab_Def_Processes[Process_ID],,0,)</f>
        <v>#N/A</v>
      </c>
      <c r="D126" s="23" t="s">
        <v>5</v>
      </c>
      <c r="E126" s="17" t="e">
        <f>_xlfn.XLOOKUP($D126,Tab_Def_Processes[Process_Name],Tab_Def_Processes[Process_Logic],,0,)</f>
        <v>#N/A</v>
      </c>
      <c r="F126" s="17" t="e">
        <f>_xlfn.XLOOKUP($D126,Tab_Def_Processes[Process_Name],Tab_Def_Processes[TC_Configuration],,0,)</f>
        <v>#N/A</v>
      </c>
      <c r="G126" s="17" t="e">
        <f>_xlfn.XLOOKUP($D126,Tab_Def_Processes[Process_Name],Tab_Def_Processes[Stock_Configuration],,0,)</f>
        <v>#N/A</v>
      </c>
      <c r="H126" s="17" t="e">
        <f>_xlfn.XLOOKUP($D126,Tab_Def_Processes[Process_Name],Tab_Def_Processes[Outflow_count],,0,)</f>
        <v>#N/A</v>
      </c>
      <c r="I126" s="23" t="s">
        <v>5</v>
      </c>
      <c r="J126" s="3" t="str">
        <f>_xlfn.XLOOKUP($I126,Tab_Def_Flows[Flow_Name],Tab_Def_Flows[Flow_ID],,0,1)</f>
        <v>F__</v>
      </c>
      <c r="K126" s="4"/>
      <c r="L126" s="12" t="str">
        <f t="shared" si="9"/>
        <v>TC_E1_F__</v>
      </c>
      <c r="M126" s="25"/>
      <c r="N126" s="12" t="str">
        <f t="shared" si="10"/>
        <v>TC_E2_F__</v>
      </c>
      <c r="O126" s="25"/>
      <c r="P126" s="12" t="str">
        <f t="shared" si="11"/>
        <v>TC_E3_F__</v>
      </c>
      <c r="Q126" s="25"/>
      <c r="R126" s="12" t="str">
        <f t="shared" si="12"/>
        <v>TC_E4_F__</v>
      </c>
      <c r="S126" s="4"/>
      <c r="T126" s="12" t="str">
        <f t="shared" si="13"/>
        <v>TC_E5_F__</v>
      </c>
      <c r="U126" s="4"/>
      <c r="V126" s="12" t="str">
        <f t="shared" si="14"/>
        <v>TC_E6_F__</v>
      </c>
      <c r="W126" s="4"/>
      <c r="X126" s="10"/>
      <c r="Y126" s="10"/>
    </row>
    <row r="127" spans="1:25" x14ac:dyDescent="0.25">
      <c r="A127" s="27" t="b">
        <v>0</v>
      </c>
      <c r="B127" s="3">
        <f t="shared" si="15"/>
        <v>126</v>
      </c>
      <c r="C127" s="17" t="e">
        <f>_xlfn.XLOOKUP($D127,Tab_Def_Processes[Process_Name],Tab_Def_Processes[Process_ID],,0,)</f>
        <v>#N/A</v>
      </c>
      <c r="D127" s="23" t="s">
        <v>5</v>
      </c>
      <c r="E127" s="17" t="e">
        <f>_xlfn.XLOOKUP($D127,Tab_Def_Processes[Process_Name],Tab_Def_Processes[Process_Logic],,0,)</f>
        <v>#N/A</v>
      </c>
      <c r="F127" s="17" t="e">
        <f>_xlfn.XLOOKUP($D127,Tab_Def_Processes[Process_Name],Tab_Def_Processes[TC_Configuration],,0,)</f>
        <v>#N/A</v>
      </c>
      <c r="G127" s="17" t="e">
        <f>_xlfn.XLOOKUP($D127,Tab_Def_Processes[Process_Name],Tab_Def_Processes[Stock_Configuration],,0,)</f>
        <v>#N/A</v>
      </c>
      <c r="H127" s="17" t="e">
        <f>_xlfn.XLOOKUP($D127,Tab_Def_Processes[Process_Name],Tab_Def_Processes[Outflow_count],,0,)</f>
        <v>#N/A</v>
      </c>
      <c r="I127" s="23" t="s">
        <v>5</v>
      </c>
      <c r="J127" s="3" t="str">
        <f>_xlfn.XLOOKUP($I127,Tab_Def_Flows[Flow_Name],Tab_Def_Flows[Flow_ID],,0,1)</f>
        <v>F__</v>
      </c>
      <c r="K127" s="4"/>
      <c r="L127" s="12" t="str">
        <f t="shared" si="9"/>
        <v>TC_E1_F__</v>
      </c>
      <c r="M127" s="25"/>
      <c r="N127" s="12" t="str">
        <f t="shared" si="10"/>
        <v>TC_E2_F__</v>
      </c>
      <c r="O127" s="25"/>
      <c r="P127" s="12" t="str">
        <f t="shared" si="11"/>
        <v>TC_E3_F__</v>
      </c>
      <c r="Q127" s="25"/>
      <c r="R127" s="12" t="str">
        <f t="shared" si="12"/>
        <v>TC_E4_F__</v>
      </c>
      <c r="S127" s="4"/>
      <c r="T127" s="12" t="str">
        <f t="shared" si="13"/>
        <v>TC_E5_F__</v>
      </c>
      <c r="U127" s="4"/>
      <c r="V127" s="12" t="str">
        <f t="shared" si="14"/>
        <v>TC_E6_F__</v>
      </c>
      <c r="W127" s="4"/>
      <c r="X127" s="10"/>
      <c r="Y127" s="10"/>
    </row>
    <row r="128" spans="1:25" x14ac:dyDescent="0.25">
      <c r="A128" s="27" t="b">
        <v>0</v>
      </c>
      <c r="B128" s="3">
        <f t="shared" ref="B128:B149" si="16">ROW()-1</f>
        <v>127</v>
      </c>
      <c r="C128" s="17" t="e">
        <f>_xlfn.XLOOKUP($D128,Tab_Def_Processes[Process_Name],Tab_Def_Processes[Process_ID],,0,)</f>
        <v>#N/A</v>
      </c>
      <c r="D128" s="23" t="s">
        <v>5</v>
      </c>
      <c r="E128" s="17" t="e">
        <f>_xlfn.XLOOKUP($D128,Tab_Def_Processes[Process_Name],Tab_Def_Processes[Process_Logic],,0,)</f>
        <v>#N/A</v>
      </c>
      <c r="F128" s="17" t="e">
        <f>_xlfn.XLOOKUP($D128,Tab_Def_Processes[Process_Name],Tab_Def_Processes[TC_Configuration],,0,)</f>
        <v>#N/A</v>
      </c>
      <c r="G128" s="17" t="e">
        <f>_xlfn.XLOOKUP($D128,Tab_Def_Processes[Process_Name],Tab_Def_Processes[Stock_Configuration],,0,)</f>
        <v>#N/A</v>
      </c>
      <c r="H128" s="17" t="e">
        <f>_xlfn.XLOOKUP($D128,Tab_Def_Processes[Process_Name],Tab_Def_Processes[Outflow_count],,0,)</f>
        <v>#N/A</v>
      </c>
      <c r="I128" s="23" t="s">
        <v>5</v>
      </c>
      <c r="J128" s="3" t="str">
        <f>_xlfn.XLOOKUP($I128,Tab_Def_Flows[Flow_Name],Tab_Def_Flows[Flow_ID],,0,1)</f>
        <v>F__</v>
      </c>
      <c r="K128" s="4"/>
      <c r="L128" s="12" t="str">
        <f t="shared" si="9"/>
        <v>TC_E1_F__</v>
      </c>
      <c r="M128" s="25"/>
      <c r="N128" s="12" t="str">
        <f t="shared" si="10"/>
        <v>TC_E2_F__</v>
      </c>
      <c r="O128" s="25"/>
      <c r="P128" s="12" t="str">
        <f t="shared" si="11"/>
        <v>TC_E3_F__</v>
      </c>
      <c r="Q128" s="25"/>
      <c r="R128" s="12" t="str">
        <f t="shared" si="12"/>
        <v>TC_E4_F__</v>
      </c>
      <c r="S128" s="4"/>
      <c r="T128" s="12" t="str">
        <f t="shared" si="13"/>
        <v>TC_E5_F__</v>
      </c>
      <c r="U128" s="4"/>
      <c r="V128" s="12" t="str">
        <f t="shared" si="14"/>
        <v>TC_E6_F__</v>
      </c>
      <c r="W128" s="4"/>
      <c r="X128" s="10"/>
      <c r="Y128" s="10"/>
    </row>
    <row r="129" spans="1:25" x14ac:dyDescent="0.25">
      <c r="A129" s="27" t="b">
        <v>0</v>
      </c>
      <c r="B129" s="3">
        <f t="shared" si="16"/>
        <v>128</v>
      </c>
      <c r="C129" s="17" t="e">
        <f>_xlfn.XLOOKUP($D129,Tab_Def_Processes[Process_Name],Tab_Def_Processes[Process_ID],,0,)</f>
        <v>#N/A</v>
      </c>
      <c r="D129" s="23" t="s">
        <v>5</v>
      </c>
      <c r="E129" s="17" t="e">
        <f>_xlfn.XLOOKUP($D129,Tab_Def_Processes[Process_Name],Tab_Def_Processes[Process_Logic],,0,)</f>
        <v>#N/A</v>
      </c>
      <c r="F129" s="17" t="e">
        <f>_xlfn.XLOOKUP($D129,Tab_Def_Processes[Process_Name],Tab_Def_Processes[TC_Configuration],,0,)</f>
        <v>#N/A</v>
      </c>
      <c r="G129" s="17" t="e">
        <f>_xlfn.XLOOKUP($D129,Tab_Def_Processes[Process_Name],Tab_Def_Processes[Stock_Configuration],,0,)</f>
        <v>#N/A</v>
      </c>
      <c r="H129" s="17" t="e">
        <f>_xlfn.XLOOKUP($D129,Tab_Def_Processes[Process_Name],Tab_Def_Processes[Outflow_count],,0,)</f>
        <v>#N/A</v>
      </c>
      <c r="I129" s="23" t="s">
        <v>5</v>
      </c>
      <c r="J129" s="3" t="str">
        <f>_xlfn.XLOOKUP($I129,Tab_Def_Flows[Flow_Name],Tab_Def_Flows[Flow_ID],,0,1)</f>
        <v>F__</v>
      </c>
      <c r="K129" s="4"/>
      <c r="L129" s="12" t="str">
        <f t="shared" ref="L129:L149" si="17">"TC_E1"&amp;"_"&amp;RIGHT(J129,5)</f>
        <v>TC_E1_F__</v>
      </c>
      <c r="M129" s="25"/>
      <c r="N129" s="12" t="str">
        <f t="shared" ref="N129:N149" si="18">"TC_E2"&amp;"_"&amp;RIGHT(J129,5)</f>
        <v>TC_E2_F__</v>
      </c>
      <c r="O129" s="25"/>
      <c r="P129" s="12" t="str">
        <f t="shared" ref="P129:P149" si="19">"TC_E3"&amp;"_"&amp;RIGHT(J129,5)</f>
        <v>TC_E3_F__</v>
      </c>
      <c r="Q129" s="25"/>
      <c r="R129" s="12" t="str">
        <f t="shared" ref="R129:R149" si="20">"TC_E4"&amp;"_"&amp;RIGHT(J129,5)</f>
        <v>TC_E4_F__</v>
      </c>
      <c r="S129" s="4"/>
      <c r="T129" s="12" t="str">
        <f t="shared" ref="T129:T149" si="21">"TC_E5"&amp;"_"&amp;RIGHT(J129,5)</f>
        <v>TC_E5_F__</v>
      </c>
      <c r="U129" s="4"/>
      <c r="V129" s="12" t="str">
        <f t="shared" si="14"/>
        <v>TC_E6_F__</v>
      </c>
      <c r="W129" s="4"/>
      <c r="X129" s="10"/>
      <c r="Y129" s="10"/>
    </row>
    <row r="130" spans="1:25" x14ac:dyDescent="0.25">
      <c r="A130" s="27" t="b">
        <v>0</v>
      </c>
      <c r="B130" s="3">
        <f t="shared" si="16"/>
        <v>129</v>
      </c>
      <c r="C130" s="17" t="e">
        <f>_xlfn.XLOOKUP($D130,Tab_Def_Processes[Process_Name],Tab_Def_Processes[Process_ID],,0,)</f>
        <v>#N/A</v>
      </c>
      <c r="D130" s="23" t="s">
        <v>5</v>
      </c>
      <c r="E130" s="17" t="e">
        <f>_xlfn.XLOOKUP($D130,Tab_Def_Processes[Process_Name],Tab_Def_Processes[Process_Logic],,0,)</f>
        <v>#N/A</v>
      </c>
      <c r="F130" s="17" t="e">
        <f>_xlfn.XLOOKUP($D130,Tab_Def_Processes[Process_Name],Tab_Def_Processes[TC_Configuration],,0,)</f>
        <v>#N/A</v>
      </c>
      <c r="G130" s="17" t="e">
        <f>_xlfn.XLOOKUP($D130,Tab_Def_Processes[Process_Name],Tab_Def_Processes[Stock_Configuration],,0,)</f>
        <v>#N/A</v>
      </c>
      <c r="H130" s="17" t="e">
        <f>_xlfn.XLOOKUP($D130,Tab_Def_Processes[Process_Name],Tab_Def_Processes[Outflow_count],,0,)</f>
        <v>#N/A</v>
      </c>
      <c r="I130" s="23" t="s">
        <v>5</v>
      </c>
      <c r="J130" s="3" t="str">
        <f>_xlfn.XLOOKUP($I130,Tab_Def_Flows[Flow_Name],Tab_Def_Flows[Flow_ID],,0,1)</f>
        <v>F__</v>
      </c>
      <c r="K130" s="4"/>
      <c r="L130" s="12" t="str">
        <f t="shared" si="17"/>
        <v>TC_E1_F__</v>
      </c>
      <c r="M130" s="25"/>
      <c r="N130" s="12" t="str">
        <f t="shared" si="18"/>
        <v>TC_E2_F__</v>
      </c>
      <c r="O130" s="25"/>
      <c r="P130" s="12" t="str">
        <f t="shared" si="19"/>
        <v>TC_E3_F__</v>
      </c>
      <c r="Q130" s="25"/>
      <c r="R130" s="12" t="str">
        <f t="shared" si="20"/>
        <v>TC_E4_F__</v>
      </c>
      <c r="S130" s="4"/>
      <c r="T130" s="12" t="str">
        <f t="shared" si="21"/>
        <v>TC_E5_F__</v>
      </c>
      <c r="U130" s="4"/>
      <c r="V130" s="12" t="str">
        <f t="shared" si="14"/>
        <v>TC_E6_F__</v>
      </c>
      <c r="W130" s="4"/>
      <c r="X130" s="10"/>
      <c r="Y130" s="10"/>
    </row>
    <row r="131" spans="1:25" x14ac:dyDescent="0.25">
      <c r="A131" s="27" t="b">
        <v>0</v>
      </c>
      <c r="B131" s="3">
        <f t="shared" si="16"/>
        <v>130</v>
      </c>
      <c r="C131" s="17" t="e">
        <f>_xlfn.XLOOKUP($D131,Tab_Def_Processes[Process_Name],Tab_Def_Processes[Process_ID],,0,)</f>
        <v>#N/A</v>
      </c>
      <c r="D131" s="23" t="s">
        <v>5</v>
      </c>
      <c r="E131" s="17" t="e">
        <f>_xlfn.XLOOKUP($D131,Tab_Def_Processes[Process_Name],Tab_Def_Processes[Process_Logic],,0,)</f>
        <v>#N/A</v>
      </c>
      <c r="F131" s="17" t="e">
        <f>_xlfn.XLOOKUP($D131,Tab_Def_Processes[Process_Name],Tab_Def_Processes[TC_Configuration],,0,)</f>
        <v>#N/A</v>
      </c>
      <c r="G131" s="17" t="e">
        <f>_xlfn.XLOOKUP($D131,Tab_Def_Processes[Process_Name],Tab_Def_Processes[Stock_Configuration],,0,)</f>
        <v>#N/A</v>
      </c>
      <c r="H131" s="17" t="e">
        <f>_xlfn.XLOOKUP($D131,Tab_Def_Processes[Process_Name],Tab_Def_Processes[Outflow_count],,0,)</f>
        <v>#N/A</v>
      </c>
      <c r="I131" s="23" t="s">
        <v>5</v>
      </c>
      <c r="J131" s="3" t="str">
        <f>_xlfn.XLOOKUP($I131,Tab_Def_Flows[Flow_Name],Tab_Def_Flows[Flow_ID],,0,1)</f>
        <v>F__</v>
      </c>
      <c r="K131" s="4"/>
      <c r="L131" s="12" t="str">
        <f t="shared" si="17"/>
        <v>TC_E1_F__</v>
      </c>
      <c r="M131" s="25"/>
      <c r="N131" s="12" t="str">
        <f t="shared" si="18"/>
        <v>TC_E2_F__</v>
      </c>
      <c r="O131" s="25"/>
      <c r="P131" s="12" t="str">
        <f t="shared" si="19"/>
        <v>TC_E3_F__</v>
      </c>
      <c r="Q131" s="25"/>
      <c r="R131" s="12" t="str">
        <f t="shared" si="20"/>
        <v>TC_E4_F__</v>
      </c>
      <c r="S131" s="4"/>
      <c r="T131" s="12" t="str">
        <f t="shared" si="21"/>
        <v>TC_E5_F__</v>
      </c>
      <c r="U131" s="4"/>
      <c r="V131" s="12" t="str">
        <f t="shared" ref="V131:V149" si="22">"TC_E6"&amp;"_"&amp;RIGHT(J131,5)</f>
        <v>TC_E6_F__</v>
      </c>
      <c r="W131" s="4"/>
      <c r="X131" s="10"/>
      <c r="Y131" s="10"/>
    </row>
    <row r="132" spans="1:25" x14ac:dyDescent="0.25">
      <c r="A132" s="27" t="b">
        <v>0</v>
      </c>
      <c r="B132" s="3">
        <f t="shared" si="16"/>
        <v>131</v>
      </c>
      <c r="C132" s="17" t="e">
        <f>_xlfn.XLOOKUP($D132,Tab_Def_Processes[Process_Name],Tab_Def_Processes[Process_ID],,0,)</f>
        <v>#N/A</v>
      </c>
      <c r="D132" s="23" t="s">
        <v>5</v>
      </c>
      <c r="E132" s="17" t="e">
        <f>_xlfn.XLOOKUP($D132,Tab_Def_Processes[Process_Name],Tab_Def_Processes[Process_Logic],,0,)</f>
        <v>#N/A</v>
      </c>
      <c r="F132" s="17" t="e">
        <f>_xlfn.XLOOKUP($D132,Tab_Def_Processes[Process_Name],Tab_Def_Processes[TC_Configuration],,0,)</f>
        <v>#N/A</v>
      </c>
      <c r="G132" s="17" t="e">
        <f>_xlfn.XLOOKUP($D132,Tab_Def_Processes[Process_Name],Tab_Def_Processes[Stock_Configuration],,0,)</f>
        <v>#N/A</v>
      </c>
      <c r="H132" s="17" t="e">
        <f>_xlfn.XLOOKUP($D132,Tab_Def_Processes[Process_Name],Tab_Def_Processes[Outflow_count],,0,)</f>
        <v>#N/A</v>
      </c>
      <c r="I132" s="23" t="s">
        <v>5</v>
      </c>
      <c r="J132" s="3" t="str">
        <f>_xlfn.XLOOKUP($I132,Tab_Def_Flows[Flow_Name],Tab_Def_Flows[Flow_ID],,0,1)</f>
        <v>F__</v>
      </c>
      <c r="K132" s="4"/>
      <c r="L132" s="12" t="str">
        <f t="shared" si="17"/>
        <v>TC_E1_F__</v>
      </c>
      <c r="M132" s="25"/>
      <c r="N132" s="12" t="str">
        <f t="shared" si="18"/>
        <v>TC_E2_F__</v>
      </c>
      <c r="O132" s="25"/>
      <c r="P132" s="12" t="str">
        <f t="shared" si="19"/>
        <v>TC_E3_F__</v>
      </c>
      <c r="Q132" s="25"/>
      <c r="R132" s="12" t="str">
        <f t="shared" si="20"/>
        <v>TC_E4_F__</v>
      </c>
      <c r="S132" s="4"/>
      <c r="T132" s="12" t="str">
        <f t="shared" si="21"/>
        <v>TC_E5_F__</v>
      </c>
      <c r="U132" s="4"/>
      <c r="V132" s="12" t="str">
        <f t="shared" si="22"/>
        <v>TC_E6_F__</v>
      </c>
      <c r="W132" s="4"/>
      <c r="X132" s="10"/>
      <c r="Y132" s="10"/>
    </row>
    <row r="133" spans="1:25" x14ac:dyDescent="0.25">
      <c r="A133" s="27" t="b">
        <v>0</v>
      </c>
      <c r="B133" s="3">
        <f t="shared" si="16"/>
        <v>132</v>
      </c>
      <c r="C133" s="17" t="e">
        <f>_xlfn.XLOOKUP($D133,Tab_Def_Processes[Process_Name],Tab_Def_Processes[Process_ID],,0,)</f>
        <v>#N/A</v>
      </c>
      <c r="D133" s="23" t="s">
        <v>5</v>
      </c>
      <c r="E133" s="17" t="e">
        <f>_xlfn.XLOOKUP($D133,Tab_Def_Processes[Process_Name],Tab_Def_Processes[Process_Logic],,0,)</f>
        <v>#N/A</v>
      </c>
      <c r="F133" s="17" t="e">
        <f>_xlfn.XLOOKUP($D133,Tab_Def_Processes[Process_Name],Tab_Def_Processes[TC_Configuration],,0,)</f>
        <v>#N/A</v>
      </c>
      <c r="G133" s="17" t="e">
        <f>_xlfn.XLOOKUP($D133,Tab_Def_Processes[Process_Name],Tab_Def_Processes[Stock_Configuration],,0,)</f>
        <v>#N/A</v>
      </c>
      <c r="H133" s="17" t="e">
        <f>_xlfn.XLOOKUP($D133,Tab_Def_Processes[Process_Name],Tab_Def_Processes[Outflow_count],,0,)</f>
        <v>#N/A</v>
      </c>
      <c r="I133" s="23" t="s">
        <v>5</v>
      </c>
      <c r="J133" s="3" t="str">
        <f>_xlfn.XLOOKUP($I133,Tab_Def_Flows[Flow_Name],Tab_Def_Flows[Flow_ID],,0,1)</f>
        <v>F__</v>
      </c>
      <c r="K133" s="4"/>
      <c r="L133" s="12" t="str">
        <f t="shared" si="17"/>
        <v>TC_E1_F__</v>
      </c>
      <c r="M133" s="25"/>
      <c r="N133" s="12" t="str">
        <f t="shared" si="18"/>
        <v>TC_E2_F__</v>
      </c>
      <c r="O133" s="25"/>
      <c r="P133" s="12" t="str">
        <f t="shared" si="19"/>
        <v>TC_E3_F__</v>
      </c>
      <c r="Q133" s="25"/>
      <c r="R133" s="12" t="str">
        <f t="shared" si="20"/>
        <v>TC_E4_F__</v>
      </c>
      <c r="S133" s="4"/>
      <c r="T133" s="12" t="str">
        <f t="shared" si="21"/>
        <v>TC_E5_F__</v>
      </c>
      <c r="U133" s="4"/>
      <c r="V133" s="12" t="str">
        <f t="shared" si="22"/>
        <v>TC_E6_F__</v>
      </c>
      <c r="W133" s="4"/>
      <c r="X133" s="10"/>
      <c r="Y133" s="10"/>
    </row>
    <row r="134" spans="1:25" x14ac:dyDescent="0.25">
      <c r="A134" s="27" t="b">
        <v>0</v>
      </c>
      <c r="B134" s="3">
        <f t="shared" si="16"/>
        <v>133</v>
      </c>
      <c r="C134" s="17" t="e">
        <f>_xlfn.XLOOKUP($D134,Tab_Def_Processes[Process_Name],Tab_Def_Processes[Process_ID],,0,)</f>
        <v>#N/A</v>
      </c>
      <c r="D134" s="23" t="s">
        <v>5</v>
      </c>
      <c r="E134" s="17" t="e">
        <f>_xlfn.XLOOKUP($D134,Tab_Def_Processes[Process_Name],Tab_Def_Processes[Process_Logic],,0,)</f>
        <v>#N/A</v>
      </c>
      <c r="F134" s="17" t="e">
        <f>_xlfn.XLOOKUP($D134,Tab_Def_Processes[Process_Name],Tab_Def_Processes[TC_Configuration],,0,)</f>
        <v>#N/A</v>
      </c>
      <c r="G134" s="17" t="e">
        <f>_xlfn.XLOOKUP($D134,Tab_Def_Processes[Process_Name],Tab_Def_Processes[Stock_Configuration],,0,)</f>
        <v>#N/A</v>
      </c>
      <c r="H134" s="17" t="e">
        <f>_xlfn.XLOOKUP($D134,Tab_Def_Processes[Process_Name],Tab_Def_Processes[Outflow_count],,0,)</f>
        <v>#N/A</v>
      </c>
      <c r="I134" s="23" t="s">
        <v>5</v>
      </c>
      <c r="J134" s="3" t="str">
        <f>_xlfn.XLOOKUP($I134,Tab_Def_Flows[Flow_Name],Tab_Def_Flows[Flow_ID],,0,1)</f>
        <v>F__</v>
      </c>
      <c r="K134" s="4"/>
      <c r="L134" s="12" t="str">
        <f t="shared" si="17"/>
        <v>TC_E1_F__</v>
      </c>
      <c r="M134" s="25"/>
      <c r="N134" s="12" t="str">
        <f t="shared" si="18"/>
        <v>TC_E2_F__</v>
      </c>
      <c r="O134" s="25"/>
      <c r="P134" s="12" t="str">
        <f t="shared" si="19"/>
        <v>TC_E3_F__</v>
      </c>
      <c r="Q134" s="25"/>
      <c r="R134" s="12" t="str">
        <f t="shared" si="20"/>
        <v>TC_E4_F__</v>
      </c>
      <c r="S134" s="4"/>
      <c r="T134" s="12" t="str">
        <f t="shared" si="21"/>
        <v>TC_E5_F__</v>
      </c>
      <c r="U134" s="4"/>
      <c r="V134" s="12" t="str">
        <f t="shared" si="22"/>
        <v>TC_E6_F__</v>
      </c>
      <c r="W134" s="4"/>
      <c r="X134" s="10"/>
      <c r="Y134" s="10"/>
    </row>
    <row r="135" spans="1:25" x14ac:dyDescent="0.25">
      <c r="A135" s="27" t="b">
        <v>0</v>
      </c>
      <c r="B135" s="3">
        <f t="shared" si="16"/>
        <v>134</v>
      </c>
      <c r="C135" s="17" t="e">
        <f>_xlfn.XLOOKUP($D135,Tab_Def_Processes[Process_Name],Tab_Def_Processes[Process_ID],,0,)</f>
        <v>#N/A</v>
      </c>
      <c r="D135" s="23" t="s">
        <v>5</v>
      </c>
      <c r="E135" s="17" t="e">
        <f>_xlfn.XLOOKUP($D135,Tab_Def_Processes[Process_Name],Tab_Def_Processes[Process_Logic],,0,)</f>
        <v>#N/A</v>
      </c>
      <c r="F135" s="17" t="e">
        <f>_xlfn.XLOOKUP($D135,Tab_Def_Processes[Process_Name],Tab_Def_Processes[TC_Configuration],,0,)</f>
        <v>#N/A</v>
      </c>
      <c r="G135" s="17" t="e">
        <f>_xlfn.XLOOKUP($D135,Tab_Def_Processes[Process_Name],Tab_Def_Processes[Stock_Configuration],,0,)</f>
        <v>#N/A</v>
      </c>
      <c r="H135" s="17" t="e">
        <f>_xlfn.XLOOKUP($D135,Tab_Def_Processes[Process_Name],Tab_Def_Processes[Outflow_count],,0,)</f>
        <v>#N/A</v>
      </c>
      <c r="I135" s="23" t="s">
        <v>5</v>
      </c>
      <c r="J135" s="3" t="str">
        <f>_xlfn.XLOOKUP($I135,Tab_Def_Flows[Flow_Name],Tab_Def_Flows[Flow_ID],,0,1)</f>
        <v>F__</v>
      </c>
      <c r="K135" s="4"/>
      <c r="L135" s="12" t="str">
        <f t="shared" si="17"/>
        <v>TC_E1_F__</v>
      </c>
      <c r="M135" s="25"/>
      <c r="N135" s="12" t="str">
        <f t="shared" si="18"/>
        <v>TC_E2_F__</v>
      </c>
      <c r="O135" s="25"/>
      <c r="P135" s="12" t="str">
        <f t="shared" si="19"/>
        <v>TC_E3_F__</v>
      </c>
      <c r="Q135" s="25"/>
      <c r="R135" s="12" t="str">
        <f t="shared" si="20"/>
        <v>TC_E4_F__</v>
      </c>
      <c r="S135" s="4"/>
      <c r="T135" s="12" t="str">
        <f t="shared" si="21"/>
        <v>TC_E5_F__</v>
      </c>
      <c r="U135" s="4"/>
      <c r="V135" s="12" t="str">
        <f t="shared" si="22"/>
        <v>TC_E6_F__</v>
      </c>
      <c r="W135" s="4"/>
      <c r="X135" s="10"/>
      <c r="Y135" s="10"/>
    </row>
    <row r="136" spans="1:25" x14ac:dyDescent="0.25">
      <c r="A136" s="27" t="b">
        <v>0</v>
      </c>
      <c r="B136" s="3">
        <f t="shared" si="16"/>
        <v>135</v>
      </c>
      <c r="C136" s="17" t="e">
        <f>_xlfn.XLOOKUP($D136,Tab_Def_Processes[Process_Name],Tab_Def_Processes[Process_ID],,0,)</f>
        <v>#N/A</v>
      </c>
      <c r="D136" s="23" t="s">
        <v>5</v>
      </c>
      <c r="E136" s="17" t="e">
        <f>_xlfn.XLOOKUP($D136,Tab_Def_Processes[Process_Name],Tab_Def_Processes[Process_Logic],,0,)</f>
        <v>#N/A</v>
      </c>
      <c r="F136" s="17" t="e">
        <f>_xlfn.XLOOKUP($D136,Tab_Def_Processes[Process_Name],Tab_Def_Processes[TC_Configuration],,0,)</f>
        <v>#N/A</v>
      </c>
      <c r="G136" s="17" t="e">
        <f>_xlfn.XLOOKUP($D136,Tab_Def_Processes[Process_Name],Tab_Def_Processes[Stock_Configuration],,0,)</f>
        <v>#N/A</v>
      </c>
      <c r="H136" s="17" t="e">
        <f>_xlfn.XLOOKUP($D136,Tab_Def_Processes[Process_Name],Tab_Def_Processes[Outflow_count],,0,)</f>
        <v>#N/A</v>
      </c>
      <c r="I136" s="23" t="s">
        <v>5</v>
      </c>
      <c r="J136" s="3" t="str">
        <f>_xlfn.XLOOKUP($I136,Tab_Def_Flows[Flow_Name],Tab_Def_Flows[Flow_ID],,0,1)</f>
        <v>F__</v>
      </c>
      <c r="K136" s="4"/>
      <c r="L136" s="12" t="str">
        <f t="shared" si="17"/>
        <v>TC_E1_F__</v>
      </c>
      <c r="M136" s="25"/>
      <c r="N136" s="12" t="str">
        <f t="shared" si="18"/>
        <v>TC_E2_F__</v>
      </c>
      <c r="O136" s="25"/>
      <c r="P136" s="12" t="str">
        <f t="shared" si="19"/>
        <v>TC_E3_F__</v>
      </c>
      <c r="Q136" s="25"/>
      <c r="R136" s="12" t="str">
        <f t="shared" si="20"/>
        <v>TC_E4_F__</v>
      </c>
      <c r="S136" s="4"/>
      <c r="T136" s="12" t="str">
        <f t="shared" si="21"/>
        <v>TC_E5_F__</v>
      </c>
      <c r="U136" s="4"/>
      <c r="V136" s="12" t="str">
        <f t="shared" si="22"/>
        <v>TC_E6_F__</v>
      </c>
      <c r="W136" s="4"/>
      <c r="X136" s="10"/>
      <c r="Y136" s="10"/>
    </row>
    <row r="137" spans="1:25" x14ac:dyDescent="0.25">
      <c r="A137" s="27" t="b">
        <v>0</v>
      </c>
      <c r="B137" s="3">
        <f t="shared" si="16"/>
        <v>136</v>
      </c>
      <c r="C137" s="17" t="e">
        <f>_xlfn.XLOOKUP($D137,Tab_Def_Processes[Process_Name],Tab_Def_Processes[Process_ID],,0,)</f>
        <v>#N/A</v>
      </c>
      <c r="D137" s="23" t="s">
        <v>5</v>
      </c>
      <c r="E137" s="17" t="e">
        <f>_xlfn.XLOOKUP($D137,Tab_Def_Processes[Process_Name],Tab_Def_Processes[Process_Logic],,0,)</f>
        <v>#N/A</v>
      </c>
      <c r="F137" s="17" t="e">
        <f>_xlfn.XLOOKUP($D137,Tab_Def_Processes[Process_Name],Tab_Def_Processes[TC_Configuration],,0,)</f>
        <v>#N/A</v>
      </c>
      <c r="G137" s="17" t="e">
        <f>_xlfn.XLOOKUP($D137,Tab_Def_Processes[Process_Name],Tab_Def_Processes[Stock_Configuration],,0,)</f>
        <v>#N/A</v>
      </c>
      <c r="H137" s="17" t="e">
        <f>_xlfn.XLOOKUP($D137,Tab_Def_Processes[Process_Name],Tab_Def_Processes[Outflow_count],,0,)</f>
        <v>#N/A</v>
      </c>
      <c r="I137" s="23" t="s">
        <v>5</v>
      </c>
      <c r="J137" s="3" t="str">
        <f>_xlfn.XLOOKUP($I137,Tab_Def_Flows[Flow_Name],Tab_Def_Flows[Flow_ID],,0,1)</f>
        <v>F__</v>
      </c>
      <c r="K137" s="4"/>
      <c r="L137" s="12" t="str">
        <f t="shared" si="17"/>
        <v>TC_E1_F__</v>
      </c>
      <c r="M137" s="25"/>
      <c r="N137" s="12" t="str">
        <f t="shared" si="18"/>
        <v>TC_E2_F__</v>
      </c>
      <c r="O137" s="25"/>
      <c r="P137" s="12" t="str">
        <f t="shared" si="19"/>
        <v>TC_E3_F__</v>
      </c>
      <c r="Q137" s="25"/>
      <c r="R137" s="12" t="str">
        <f t="shared" si="20"/>
        <v>TC_E4_F__</v>
      </c>
      <c r="S137" s="4"/>
      <c r="T137" s="12" t="str">
        <f t="shared" si="21"/>
        <v>TC_E5_F__</v>
      </c>
      <c r="U137" s="4"/>
      <c r="V137" s="12" t="str">
        <f t="shared" si="22"/>
        <v>TC_E6_F__</v>
      </c>
      <c r="W137" s="4"/>
      <c r="X137" s="10"/>
      <c r="Y137" s="10"/>
    </row>
    <row r="138" spans="1:25" x14ac:dyDescent="0.25">
      <c r="A138" s="27" t="b">
        <v>0</v>
      </c>
      <c r="B138" s="3">
        <f t="shared" si="16"/>
        <v>137</v>
      </c>
      <c r="C138" s="17" t="e">
        <f>_xlfn.XLOOKUP($D138,Tab_Def_Processes[Process_Name],Tab_Def_Processes[Process_ID],,0,)</f>
        <v>#N/A</v>
      </c>
      <c r="D138" s="23" t="s">
        <v>5</v>
      </c>
      <c r="E138" s="17" t="e">
        <f>_xlfn.XLOOKUP($D138,Tab_Def_Processes[Process_Name],Tab_Def_Processes[Process_Logic],,0,)</f>
        <v>#N/A</v>
      </c>
      <c r="F138" s="17" t="e">
        <f>_xlfn.XLOOKUP($D138,Tab_Def_Processes[Process_Name],Tab_Def_Processes[TC_Configuration],,0,)</f>
        <v>#N/A</v>
      </c>
      <c r="G138" s="17" t="e">
        <f>_xlfn.XLOOKUP($D138,Tab_Def_Processes[Process_Name],Tab_Def_Processes[Stock_Configuration],,0,)</f>
        <v>#N/A</v>
      </c>
      <c r="H138" s="17" t="e">
        <f>_xlfn.XLOOKUP($D138,Tab_Def_Processes[Process_Name],Tab_Def_Processes[Outflow_count],,0,)</f>
        <v>#N/A</v>
      </c>
      <c r="I138" s="23" t="s">
        <v>5</v>
      </c>
      <c r="J138" s="3" t="str">
        <f>_xlfn.XLOOKUP($I138,Tab_Def_Flows[Flow_Name],Tab_Def_Flows[Flow_ID],,0,1)</f>
        <v>F__</v>
      </c>
      <c r="K138" s="4"/>
      <c r="L138" s="12" t="str">
        <f t="shared" si="17"/>
        <v>TC_E1_F__</v>
      </c>
      <c r="M138" s="25"/>
      <c r="N138" s="12" t="str">
        <f t="shared" si="18"/>
        <v>TC_E2_F__</v>
      </c>
      <c r="O138" s="25"/>
      <c r="P138" s="12" t="str">
        <f t="shared" si="19"/>
        <v>TC_E3_F__</v>
      </c>
      <c r="Q138" s="25"/>
      <c r="R138" s="12" t="str">
        <f t="shared" si="20"/>
        <v>TC_E4_F__</v>
      </c>
      <c r="S138" s="4"/>
      <c r="T138" s="12" t="str">
        <f t="shared" si="21"/>
        <v>TC_E5_F__</v>
      </c>
      <c r="U138" s="4"/>
      <c r="V138" s="12" t="str">
        <f t="shared" si="22"/>
        <v>TC_E6_F__</v>
      </c>
      <c r="W138" s="4"/>
      <c r="X138" s="10"/>
      <c r="Y138" s="10"/>
    </row>
    <row r="139" spans="1:25" x14ac:dyDescent="0.25">
      <c r="A139" s="27" t="b">
        <v>0</v>
      </c>
      <c r="B139" s="3">
        <f t="shared" si="16"/>
        <v>138</v>
      </c>
      <c r="C139" s="17" t="e">
        <f>_xlfn.XLOOKUP($D139,Tab_Def_Processes[Process_Name],Tab_Def_Processes[Process_ID],,0,)</f>
        <v>#N/A</v>
      </c>
      <c r="D139" s="23" t="s">
        <v>5</v>
      </c>
      <c r="E139" s="17" t="e">
        <f>_xlfn.XLOOKUP($D139,Tab_Def_Processes[Process_Name],Tab_Def_Processes[Process_Logic],,0,)</f>
        <v>#N/A</v>
      </c>
      <c r="F139" s="17" t="e">
        <f>_xlfn.XLOOKUP($D139,Tab_Def_Processes[Process_Name],Tab_Def_Processes[TC_Configuration],,0,)</f>
        <v>#N/A</v>
      </c>
      <c r="G139" s="17" t="e">
        <f>_xlfn.XLOOKUP($D139,Tab_Def_Processes[Process_Name],Tab_Def_Processes[Stock_Configuration],,0,)</f>
        <v>#N/A</v>
      </c>
      <c r="H139" s="17" t="e">
        <f>_xlfn.XLOOKUP($D139,Tab_Def_Processes[Process_Name],Tab_Def_Processes[Outflow_count],,0,)</f>
        <v>#N/A</v>
      </c>
      <c r="I139" s="23" t="s">
        <v>5</v>
      </c>
      <c r="J139" s="3" t="str">
        <f>_xlfn.XLOOKUP($I139,Tab_Def_Flows[Flow_Name],Tab_Def_Flows[Flow_ID],,0,1)</f>
        <v>F__</v>
      </c>
      <c r="K139" s="4"/>
      <c r="L139" s="12" t="str">
        <f t="shared" si="17"/>
        <v>TC_E1_F__</v>
      </c>
      <c r="M139" s="25"/>
      <c r="N139" s="12" t="str">
        <f t="shared" si="18"/>
        <v>TC_E2_F__</v>
      </c>
      <c r="O139" s="25"/>
      <c r="P139" s="12" t="str">
        <f t="shared" si="19"/>
        <v>TC_E3_F__</v>
      </c>
      <c r="Q139" s="25"/>
      <c r="R139" s="12" t="str">
        <f t="shared" si="20"/>
        <v>TC_E4_F__</v>
      </c>
      <c r="S139" s="4"/>
      <c r="T139" s="12" t="str">
        <f t="shared" si="21"/>
        <v>TC_E5_F__</v>
      </c>
      <c r="U139" s="4"/>
      <c r="V139" s="12" t="str">
        <f t="shared" si="22"/>
        <v>TC_E6_F__</v>
      </c>
      <c r="W139" s="4"/>
      <c r="X139" s="10"/>
      <c r="Y139" s="10"/>
    </row>
    <row r="140" spans="1:25" x14ac:dyDescent="0.25">
      <c r="A140" s="27" t="b">
        <v>0</v>
      </c>
      <c r="B140" s="3">
        <f t="shared" si="16"/>
        <v>139</v>
      </c>
      <c r="C140" s="17" t="e">
        <f>_xlfn.XLOOKUP($D140,Tab_Def_Processes[Process_Name],Tab_Def_Processes[Process_ID],,0,)</f>
        <v>#N/A</v>
      </c>
      <c r="D140" s="23" t="s">
        <v>5</v>
      </c>
      <c r="E140" s="17" t="e">
        <f>_xlfn.XLOOKUP($D140,Tab_Def_Processes[Process_Name],Tab_Def_Processes[Process_Logic],,0,)</f>
        <v>#N/A</v>
      </c>
      <c r="F140" s="17" t="e">
        <f>_xlfn.XLOOKUP($D140,Tab_Def_Processes[Process_Name],Tab_Def_Processes[TC_Configuration],,0,)</f>
        <v>#N/A</v>
      </c>
      <c r="G140" s="17" t="e">
        <f>_xlfn.XLOOKUP($D140,Tab_Def_Processes[Process_Name],Tab_Def_Processes[Stock_Configuration],,0,)</f>
        <v>#N/A</v>
      </c>
      <c r="H140" s="17" t="e">
        <f>_xlfn.XLOOKUP($D140,Tab_Def_Processes[Process_Name],Tab_Def_Processes[Outflow_count],,0,)</f>
        <v>#N/A</v>
      </c>
      <c r="I140" s="23" t="s">
        <v>5</v>
      </c>
      <c r="J140" s="3" t="str">
        <f>_xlfn.XLOOKUP($I140,Tab_Def_Flows[Flow_Name],Tab_Def_Flows[Flow_ID],,0,1)</f>
        <v>F__</v>
      </c>
      <c r="K140" s="4"/>
      <c r="L140" s="12" t="str">
        <f t="shared" si="17"/>
        <v>TC_E1_F__</v>
      </c>
      <c r="M140" s="25"/>
      <c r="N140" s="12" t="str">
        <f t="shared" si="18"/>
        <v>TC_E2_F__</v>
      </c>
      <c r="O140" s="25"/>
      <c r="P140" s="12" t="str">
        <f t="shared" si="19"/>
        <v>TC_E3_F__</v>
      </c>
      <c r="Q140" s="25"/>
      <c r="R140" s="12" t="str">
        <f t="shared" si="20"/>
        <v>TC_E4_F__</v>
      </c>
      <c r="S140" s="4"/>
      <c r="T140" s="12" t="str">
        <f t="shared" si="21"/>
        <v>TC_E5_F__</v>
      </c>
      <c r="U140" s="4"/>
      <c r="V140" s="12" t="str">
        <f t="shared" si="22"/>
        <v>TC_E6_F__</v>
      </c>
      <c r="W140" s="4"/>
      <c r="X140" s="10"/>
      <c r="Y140" s="10"/>
    </row>
    <row r="141" spans="1:25" x14ac:dyDescent="0.25">
      <c r="A141" s="27" t="b">
        <v>0</v>
      </c>
      <c r="B141" s="3">
        <f t="shared" si="16"/>
        <v>140</v>
      </c>
      <c r="C141" s="17" t="e">
        <f>_xlfn.XLOOKUP($D141,Tab_Def_Processes[Process_Name],Tab_Def_Processes[Process_ID],,0,)</f>
        <v>#N/A</v>
      </c>
      <c r="D141" s="23" t="s">
        <v>5</v>
      </c>
      <c r="E141" s="17" t="e">
        <f>_xlfn.XLOOKUP($D141,Tab_Def_Processes[Process_Name],Tab_Def_Processes[Process_Logic],,0,)</f>
        <v>#N/A</v>
      </c>
      <c r="F141" s="17" t="e">
        <f>_xlfn.XLOOKUP($D141,Tab_Def_Processes[Process_Name],Tab_Def_Processes[TC_Configuration],,0,)</f>
        <v>#N/A</v>
      </c>
      <c r="G141" s="17" t="e">
        <f>_xlfn.XLOOKUP($D141,Tab_Def_Processes[Process_Name],Tab_Def_Processes[Stock_Configuration],,0,)</f>
        <v>#N/A</v>
      </c>
      <c r="H141" s="17" t="e">
        <f>_xlfn.XLOOKUP($D141,Tab_Def_Processes[Process_Name],Tab_Def_Processes[Outflow_count],,0,)</f>
        <v>#N/A</v>
      </c>
      <c r="I141" s="23" t="s">
        <v>5</v>
      </c>
      <c r="J141" s="3" t="str">
        <f>_xlfn.XLOOKUP($I141,Tab_Def_Flows[Flow_Name],Tab_Def_Flows[Flow_ID],,0,1)</f>
        <v>F__</v>
      </c>
      <c r="K141" s="4"/>
      <c r="L141" s="12" t="str">
        <f t="shared" si="17"/>
        <v>TC_E1_F__</v>
      </c>
      <c r="M141" s="25"/>
      <c r="N141" s="12" t="str">
        <f t="shared" si="18"/>
        <v>TC_E2_F__</v>
      </c>
      <c r="O141" s="25"/>
      <c r="P141" s="12" t="str">
        <f t="shared" si="19"/>
        <v>TC_E3_F__</v>
      </c>
      <c r="Q141" s="25"/>
      <c r="R141" s="12" t="str">
        <f t="shared" si="20"/>
        <v>TC_E4_F__</v>
      </c>
      <c r="S141" s="4"/>
      <c r="T141" s="12" t="str">
        <f t="shared" si="21"/>
        <v>TC_E5_F__</v>
      </c>
      <c r="U141" s="4"/>
      <c r="V141" s="12" t="str">
        <f t="shared" si="22"/>
        <v>TC_E6_F__</v>
      </c>
      <c r="W141" s="4"/>
      <c r="X141" s="10"/>
      <c r="Y141" s="10"/>
    </row>
    <row r="142" spans="1:25" x14ac:dyDescent="0.25">
      <c r="A142" s="27" t="b">
        <v>0</v>
      </c>
      <c r="B142" s="3">
        <f t="shared" si="16"/>
        <v>141</v>
      </c>
      <c r="C142" s="17" t="e">
        <f>_xlfn.XLOOKUP($D142,Tab_Def_Processes[Process_Name],Tab_Def_Processes[Process_ID],,0,)</f>
        <v>#N/A</v>
      </c>
      <c r="D142" s="23" t="s">
        <v>5</v>
      </c>
      <c r="E142" s="17" t="e">
        <f>_xlfn.XLOOKUP($D142,Tab_Def_Processes[Process_Name],Tab_Def_Processes[Process_Logic],,0,)</f>
        <v>#N/A</v>
      </c>
      <c r="F142" s="17" t="e">
        <f>_xlfn.XLOOKUP($D142,Tab_Def_Processes[Process_Name],Tab_Def_Processes[TC_Configuration],,0,)</f>
        <v>#N/A</v>
      </c>
      <c r="G142" s="17" t="e">
        <f>_xlfn.XLOOKUP($D142,Tab_Def_Processes[Process_Name],Tab_Def_Processes[Stock_Configuration],,0,)</f>
        <v>#N/A</v>
      </c>
      <c r="H142" s="17" t="e">
        <f>_xlfn.XLOOKUP($D142,Tab_Def_Processes[Process_Name],Tab_Def_Processes[Outflow_count],,0,)</f>
        <v>#N/A</v>
      </c>
      <c r="I142" s="23" t="s">
        <v>5</v>
      </c>
      <c r="J142" s="3" t="str">
        <f>_xlfn.XLOOKUP($I142,Tab_Def_Flows[Flow_Name],Tab_Def_Flows[Flow_ID],,0,1)</f>
        <v>F__</v>
      </c>
      <c r="K142" s="4"/>
      <c r="L142" s="12" t="str">
        <f t="shared" si="17"/>
        <v>TC_E1_F__</v>
      </c>
      <c r="M142" s="25"/>
      <c r="N142" s="12" t="str">
        <f t="shared" si="18"/>
        <v>TC_E2_F__</v>
      </c>
      <c r="O142" s="25"/>
      <c r="P142" s="12" t="str">
        <f t="shared" si="19"/>
        <v>TC_E3_F__</v>
      </c>
      <c r="Q142" s="25"/>
      <c r="R142" s="12" t="str">
        <f t="shared" si="20"/>
        <v>TC_E4_F__</v>
      </c>
      <c r="S142" s="4"/>
      <c r="T142" s="12" t="str">
        <f t="shared" si="21"/>
        <v>TC_E5_F__</v>
      </c>
      <c r="U142" s="4"/>
      <c r="V142" s="12" t="str">
        <f t="shared" si="22"/>
        <v>TC_E6_F__</v>
      </c>
      <c r="W142" s="4"/>
      <c r="X142" s="10"/>
      <c r="Y142" s="10"/>
    </row>
    <row r="143" spans="1:25" x14ac:dyDescent="0.25">
      <c r="A143" s="27" t="b">
        <v>0</v>
      </c>
      <c r="B143" s="3">
        <f t="shared" si="16"/>
        <v>142</v>
      </c>
      <c r="C143" s="17" t="e">
        <f>_xlfn.XLOOKUP($D143,Tab_Def_Processes[Process_Name],Tab_Def_Processes[Process_ID],,0,)</f>
        <v>#N/A</v>
      </c>
      <c r="D143" s="23" t="s">
        <v>5</v>
      </c>
      <c r="E143" s="17" t="e">
        <f>_xlfn.XLOOKUP($D143,Tab_Def_Processes[Process_Name],Tab_Def_Processes[Process_Logic],,0,)</f>
        <v>#N/A</v>
      </c>
      <c r="F143" s="17" t="e">
        <f>_xlfn.XLOOKUP($D143,Tab_Def_Processes[Process_Name],Tab_Def_Processes[TC_Configuration],,0,)</f>
        <v>#N/A</v>
      </c>
      <c r="G143" s="17" t="e">
        <f>_xlfn.XLOOKUP($D143,Tab_Def_Processes[Process_Name],Tab_Def_Processes[Stock_Configuration],,0,)</f>
        <v>#N/A</v>
      </c>
      <c r="H143" s="17" t="e">
        <f>_xlfn.XLOOKUP($D143,Tab_Def_Processes[Process_Name],Tab_Def_Processes[Outflow_count],,0,)</f>
        <v>#N/A</v>
      </c>
      <c r="I143" s="23" t="s">
        <v>5</v>
      </c>
      <c r="J143" s="3" t="str">
        <f>_xlfn.XLOOKUP($I143,Tab_Def_Flows[Flow_Name],Tab_Def_Flows[Flow_ID],,0,1)</f>
        <v>F__</v>
      </c>
      <c r="K143" s="4"/>
      <c r="L143" s="12" t="str">
        <f t="shared" si="17"/>
        <v>TC_E1_F__</v>
      </c>
      <c r="M143" s="25"/>
      <c r="N143" s="12" t="str">
        <f t="shared" si="18"/>
        <v>TC_E2_F__</v>
      </c>
      <c r="O143" s="25"/>
      <c r="P143" s="12" t="str">
        <f t="shared" si="19"/>
        <v>TC_E3_F__</v>
      </c>
      <c r="Q143" s="25"/>
      <c r="R143" s="12" t="str">
        <f t="shared" si="20"/>
        <v>TC_E4_F__</v>
      </c>
      <c r="S143" s="4"/>
      <c r="T143" s="12" t="str">
        <f t="shared" si="21"/>
        <v>TC_E5_F__</v>
      </c>
      <c r="U143" s="4"/>
      <c r="V143" s="12" t="str">
        <f t="shared" si="22"/>
        <v>TC_E6_F__</v>
      </c>
      <c r="W143" s="4"/>
      <c r="X143" s="10"/>
      <c r="Y143" s="10"/>
    </row>
    <row r="144" spans="1:25" x14ac:dyDescent="0.25">
      <c r="A144" s="27" t="b">
        <v>0</v>
      </c>
      <c r="B144" s="3">
        <f t="shared" si="16"/>
        <v>143</v>
      </c>
      <c r="C144" s="17" t="e">
        <f>_xlfn.XLOOKUP($D144,Tab_Def_Processes[Process_Name],Tab_Def_Processes[Process_ID],,0,)</f>
        <v>#N/A</v>
      </c>
      <c r="D144" s="23" t="s">
        <v>5</v>
      </c>
      <c r="E144" s="17" t="e">
        <f>_xlfn.XLOOKUP($D144,Tab_Def_Processes[Process_Name],Tab_Def_Processes[Process_Logic],,0,)</f>
        <v>#N/A</v>
      </c>
      <c r="F144" s="17" t="e">
        <f>_xlfn.XLOOKUP($D144,Tab_Def_Processes[Process_Name],Tab_Def_Processes[TC_Configuration],,0,)</f>
        <v>#N/A</v>
      </c>
      <c r="G144" s="17" t="e">
        <f>_xlfn.XLOOKUP($D144,Tab_Def_Processes[Process_Name],Tab_Def_Processes[Stock_Configuration],,0,)</f>
        <v>#N/A</v>
      </c>
      <c r="H144" s="17" t="e">
        <f>_xlfn.XLOOKUP($D144,Tab_Def_Processes[Process_Name],Tab_Def_Processes[Outflow_count],,0,)</f>
        <v>#N/A</v>
      </c>
      <c r="I144" s="23" t="s">
        <v>5</v>
      </c>
      <c r="J144" s="3" t="str">
        <f>_xlfn.XLOOKUP($I144,Tab_Def_Flows[Flow_Name],Tab_Def_Flows[Flow_ID],,0,1)</f>
        <v>F__</v>
      </c>
      <c r="K144" s="4"/>
      <c r="L144" s="12" t="str">
        <f t="shared" si="17"/>
        <v>TC_E1_F__</v>
      </c>
      <c r="M144" s="25"/>
      <c r="N144" s="12" t="str">
        <f t="shared" si="18"/>
        <v>TC_E2_F__</v>
      </c>
      <c r="O144" s="25"/>
      <c r="P144" s="12" t="str">
        <f t="shared" si="19"/>
        <v>TC_E3_F__</v>
      </c>
      <c r="Q144" s="25"/>
      <c r="R144" s="12" t="str">
        <f t="shared" si="20"/>
        <v>TC_E4_F__</v>
      </c>
      <c r="S144" s="4"/>
      <c r="T144" s="12" t="str">
        <f t="shared" si="21"/>
        <v>TC_E5_F__</v>
      </c>
      <c r="U144" s="4"/>
      <c r="V144" s="12" t="str">
        <f t="shared" si="22"/>
        <v>TC_E6_F__</v>
      </c>
      <c r="W144" s="4"/>
      <c r="X144" s="10"/>
      <c r="Y144" s="10"/>
    </row>
    <row r="145" spans="1:25" x14ac:dyDescent="0.25">
      <c r="A145" s="27" t="b">
        <v>0</v>
      </c>
      <c r="B145" s="3">
        <f t="shared" si="16"/>
        <v>144</v>
      </c>
      <c r="C145" s="17" t="e">
        <f>_xlfn.XLOOKUP($D145,Tab_Def_Processes[Process_Name],Tab_Def_Processes[Process_ID],,0,)</f>
        <v>#N/A</v>
      </c>
      <c r="D145" s="23" t="s">
        <v>5</v>
      </c>
      <c r="E145" s="17" t="e">
        <f>_xlfn.XLOOKUP($D145,Tab_Def_Processes[Process_Name],Tab_Def_Processes[Process_Logic],,0,)</f>
        <v>#N/A</v>
      </c>
      <c r="F145" s="17" t="e">
        <f>_xlfn.XLOOKUP($D145,Tab_Def_Processes[Process_Name],Tab_Def_Processes[TC_Configuration],,0,)</f>
        <v>#N/A</v>
      </c>
      <c r="G145" s="17" t="e">
        <f>_xlfn.XLOOKUP($D145,Tab_Def_Processes[Process_Name],Tab_Def_Processes[Stock_Configuration],,0,)</f>
        <v>#N/A</v>
      </c>
      <c r="H145" s="17" t="e">
        <f>_xlfn.XLOOKUP($D145,Tab_Def_Processes[Process_Name],Tab_Def_Processes[Outflow_count],,0,)</f>
        <v>#N/A</v>
      </c>
      <c r="I145" s="23" t="s">
        <v>5</v>
      </c>
      <c r="J145" s="3" t="str">
        <f>_xlfn.XLOOKUP($I145,Tab_Def_Flows[Flow_Name],Tab_Def_Flows[Flow_ID],,0,1)</f>
        <v>F__</v>
      </c>
      <c r="K145" s="4"/>
      <c r="L145" s="12" t="str">
        <f t="shared" si="17"/>
        <v>TC_E1_F__</v>
      </c>
      <c r="M145" s="25"/>
      <c r="N145" s="12" t="str">
        <f t="shared" si="18"/>
        <v>TC_E2_F__</v>
      </c>
      <c r="O145" s="25"/>
      <c r="P145" s="12" t="str">
        <f t="shared" si="19"/>
        <v>TC_E3_F__</v>
      </c>
      <c r="Q145" s="25"/>
      <c r="R145" s="12" t="str">
        <f t="shared" si="20"/>
        <v>TC_E4_F__</v>
      </c>
      <c r="S145" s="4"/>
      <c r="T145" s="12" t="str">
        <f t="shared" si="21"/>
        <v>TC_E5_F__</v>
      </c>
      <c r="U145" s="4"/>
      <c r="V145" s="12" t="str">
        <f t="shared" si="22"/>
        <v>TC_E6_F__</v>
      </c>
      <c r="W145" s="4"/>
      <c r="X145" s="10"/>
      <c r="Y145" s="10"/>
    </row>
    <row r="146" spans="1:25" x14ac:dyDescent="0.25">
      <c r="A146" s="27" t="b">
        <v>0</v>
      </c>
      <c r="B146" s="3">
        <f t="shared" si="16"/>
        <v>145</v>
      </c>
      <c r="C146" s="17" t="e">
        <f>_xlfn.XLOOKUP($D146,Tab_Def_Processes[Process_Name],Tab_Def_Processes[Process_ID],,0,)</f>
        <v>#N/A</v>
      </c>
      <c r="D146" s="23" t="s">
        <v>5</v>
      </c>
      <c r="E146" s="17" t="e">
        <f>_xlfn.XLOOKUP($D146,Tab_Def_Processes[Process_Name],Tab_Def_Processes[Process_Logic],,0,)</f>
        <v>#N/A</v>
      </c>
      <c r="F146" s="17" t="e">
        <f>_xlfn.XLOOKUP($D146,Tab_Def_Processes[Process_Name],Tab_Def_Processes[TC_Configuration],,0,)</f>
        <v>#N/A</v>
      </c>
      <c r="G146" s="17" t="e">
        <f>_xlfn.XLOOKUP($D146,Tab_Def_Processes[Process_Name],Tab_Def_Processes[Stock_Configuration],,0,)</f>
        <v>#N/A</v>
      </c>
      <c r="H146" s="17" t="e">
        <f>_xlfn.XLOOKUP($D146,Tab_Def_Processes[Process_Name],Tab_Def_Processes[Outflow_count],,0,)</f>
        <v>#N/A</v>
      </c>
      <c r="I146" s="23" t="s">
        <v>5</v>
      </c>
      <c r="J146" s="3" t="str">
        <f>_xlfn.XLOOKUP($I146,Tab_Def_Flows[Flow_Name],Tab_Def_Flows[Flow_ID],,0,1)</f>
        <v>F__</v>
      </c>
      <c r="K146" s="4"/>
      <c r="L146" s="12" t="str">
        <f t="shared" si="17"/>
        <v>TC_E1_F__</v>
      </c>
      <c r="M146" s="25"/>
      <c r="N146" s="12" t="str">
        <f t="shared" si="18"/>
        <v>TC_E2_F__</v>
      </c>
      <c r="O146" s="25"/>
      <c r="P146" s="12" t="str">
        <f t="shared" si="19"/>
        <v>TC_E3_F__</v>
      </c>
      <c r="Q146" s="25"/>
      <c r="R146" s="12" t="str">
        <f t="shared" si="20"/>
        <v>TC_E4_F__</v>
      </c>
      <c r="S146" s="4"/>
      <c r="T146" s="12" t="str">
        <f t="shared" si="21"/>
        <v>TC_E5_F__</v>
      </c>
      <c r="U146" s="4"/>
      <c r="V146" s="12" t="str">
        <f t="shared" si="22"/>
        <v>TC_E6_F__</v>
      </c>
      <c r="W146" s="4"/>
      <c r="X146" s="10"/>
      <c r="Y146" s="10"/>
    </row>
    <row r="147" spans="1:25" x14ac:dyDescent="0.25">
      <c r="A147" s="27" t="b">
        <v>0</v>
      </c>
      <c r="B147" s="3">
        <f t="shared" si="16"/>
        <v>146</v>
      </c>
      <c r="C147" s="17" t="e">
        <f>_xlfn.XLOOKUP($D147,Tab_Def_Processes[Process_Name],Tab_Def_Processes[Process_ID],,0,)</f>
        <v>#N/A</v>
      </c>
      <c r="D147" s="23" t="s">
        <v>5</v>
      </c>
      <c r="E147" s="17" t="e">
        <f>_xlfn.XLOOKUP($D147,Tab_Def_Processes[Process_Name],Tab_Def_Processes[Process_Logic],,0,)</f>
        <v>#N/A</v>
      </c>
      <c r="F147" s="17" t="e">
        <f>_xlfn.XLOOKUP($D147,Tab_Def_Processes[Process_Name],Tab_Def_Processes[TC_Configuration],,0,)</f>
        <v>#N/A</v>
      </c>
      <c r="G147" s="17" t="e">
        <f>_xlfn.XLOOKUP($D147,Tab_Def_Processes[Process_Name],Tab_Def_Processes[Stock_Configuration],,0,)</f>
        <v>#N/A</v>
      </c>
      <c r="H147" s="17" t="e">
        <f>_xlfn.XLOOKUP($D147,Tab_Def_Processes[Process_Name],Tab_Def_Processes[Outflow_count],,0,)</f>
        <v>#N/A</v>
      </c>
      <c r="I147" s="23" t="s">
        <v>5</v>
      </c>
      <c r="J147" s="3" t="str">
        <f>_xlfn.XLOOKUP($I147,Tab_Def_Flows[Flow_Name],Tab_Def_Flows[Flow_ID],,0,1)</f>
        <v>F__</v>
      </c>
      <c r="K147" s="4"/>
      <c r="L147" s="12" t="str">
        <f t="shared" si="17"/>
        <v>TC_E1_F__</v>
      </c>
      <c r="M147" s="25"/>
      <c r="N147" s="12" t="str">
        <f t="shared" si="18"/>
        <v>TC_E2_F__</v>
      </c>
      <c r="O147" s="25"/>
      <c r="P147" s="12" t="str">
        <f t="shared" si="19"/>
        <v>TC_E3_F__</v>
      </c>
      <c r="Q147" s="25"/>
      <c r="R147" s="12" t="str">
        <f t="shared" si="20"/>
        <v>TC_E4_F__</v>
      </c>
      <c r="S147" s="4"/>
      <c r="T147" s="12" t="str">
        <f t="shared" si="21"/>
        <v>TC_E5_F__</v>
      </c>
      <c r="U147" s="4"/>
      <c r="V147" s="12" t="str">
        <f t="shared" si="22"/>
        <v>TC_E6_F__</v>
      </c>
      <c r="W147" s="4"/>
      <c r="X147" s="10"/>
      <c r="Y147" s="10"/>
    </row>
    <row r="148" spans="1:25" x14ac:dyDescent="0.25">
      <c r="A148" s="27" t="b">
        <v>0</v>
      </c>
      <c r="B148" s="3">
        <f t="shared" si="16"/>
        <v>147</v>
      </c>
      <c r="C148" s="17" t="e">
        <f>_xlfn.XLOOKUP($D148,Tab_Def_Processes[Process_Name],Tab_Def_Processes[Process_ID],,0,)</f>
        <v>#N/A</v>
      </c>
      <c r="D148" s="23" t="s">
        <v>5</v>
      </c>
      <c r="E148" s="17" t="e">
        <f>_xlfn.XLOOKUP($D148,Tab_Def_Processes[Process_Name],Tab_Def_Processes[Process_Logic],,0,)</f>
        <v>#N/A</v>
      </c>
      <c r="F148" s="17" t="e">
        <f>_xlfn.XLOOKUP($D148,Tab_Def_Processes[Process_Name],Tab_Def_Processes[TC_Configuration],,0,)</f>
        <v>#N/A</v>
      </c>
      <c r="G148" s="17" t="e">
        <f>_xlfn.XLOOKUP($D148,Tab_Def_Processes[Process_Name],Tab_Def_Processes[Stock_Configuration],,0,)</f>
        <v>#N/A</v>
      </c>
      <c r="H148" s="17" t="e">
        <f>_xlfn.XLOOKUP($D148,Tab_Def_Processes[Process_Name],Tab_Def_Processes[Outflow_count],,0,)</f>
        <v>#N/A</v>
      </c>
      <c r="I148" s="23" t="s">
        <v>5</v>
      </c>
      <c r="J148" s="3" t="str">
        <f>_xlfn.XLOOKUP($I148,Tab_Def_Flows[Flow_Name],Tab_Def_Flows[Flow_ID],,0,1)</f>
        <v>F__</v>
      </c>
      <c r="K148" s="4"/>
      <c r="L148" s="12" t="str">
        <f t="shared" si="17"/>
        <v>TC_E1_F__</v>
      </c>
      <c r="M148" s="25"/>
      <c r="N148" s="12" t="str">
        <f t="shared" si="18"/>
        <v>TC_E2_F__</v>
      </c>
      <c r="O148" s="25"/>
      <c r="P148" s="12" t="str">
        <f t="shared" si="19"/>
        <v>TC_E3_F__</v>
      </c>
      <c r="Q148" s="25"/>
      <c r="R148" s="12" t="str">
        <f t="shared" si="20"/>
        <v>TC_E4_F__</v>
      </c>
      <c r="S148" s="4"/>
      <c r="T148" s="12" t="str">
        <f t="shared" si="21"/>
        <v>TC_E5_F__</v>
      </c>
      <c r="U148" s="4"/>
      <c r="V148" s="12" t="str">
        <f t="shared" si="22"/>
        <v>TC_E6_F__</v>
      </c>
      <c r="W148" s="4"/>
      <c r="X148" s="10"/>
      <c r="Y148" s="10"/>
    </row>
    <row r="149" spans="1:25" x14ac:dyDescent="0.25">
      <c r="A149" s="27" t="b">
        <v>0</v>
      </c>
      <c r="B149" s="3">
        <f t="shared" si="16"/>
        <v>148</v>
      </c>
      <c r="C149" s="17" t="e">
        <f>_xlfn.XLOOKUP($D149,Tab_Def_Processes[Process_Name],Tab_Def_Processes[Process_ID],,0,)</f>
        <v>#N/A</v>
      </c>
      <c r="D149" s="23" t="s">
        <v>5</v>
      </c>
      <c r="E149" s="17" t="e">
        <f>_xlfn.XLOOKUP($D149,Tab_Def_Processes[Process_Name],Tab_Def_Processes[Process_Logic],,0,)</f>
        <v>#N/A</v>
      </c>
      <c r="F149" s="17" t="e">
        <f>_xlfn.XLOOKUP($D149,Tab_Def_Processes[Process_Name],Tab_Def_Processes[TC_Configuration],,0,)</f>
        <v>#N/A</v>
      </c>
      <c r="G149" s="17" t="e">
        <f>_xlfn.XLOOKUP($D149,Tab_Def_Processes[Process_Name],Tab_Def_Processes[Stock_Configuration],,0,)</f>
        <v>#N/A</v>
      </c>
      <c r="H149" s="17" t="e">
        <f>_xlfn.XLOOKUP($D149,Tab_Def_Processes[Process_Name],Tab_Def_Processes[Outflow_count],,0,)</f>
        <v>#N/A</v>
      </c>
      <c r="I149" s="23" t="s">
        <v>5</v>
      </c>
      <c r="J149" s="3" t="str">
        <f>_xlfn.XLOOKUP($I149,Tab_Def_Flows[Flow_Name],Tab_Def_Flows[Flow_ID],,0,1)</f>
        <v>F__</v>
      </c>
      <c r="K149" s="4"/>
      <c r="L149" s="12" t="str">
        <f t="shared" si="17"/>
        <v>TC_E1_F__</v>
      </c>
      <c r="M149" s="25"/>
      <c r="N149" s="12" t="str">
        <f t="shared" si="18"/>
        <v>TC_E2_F__</v>
      </c>
      <c r="O149" s="25"/>
      <c r="P149" s="12" t="str">
        <f t="shared" si="19"/>
        <v>TC_E3_F__</v>
      </c>
      <c r="Q149" s="25"/>
      <c r="R149" s="12" t="str">
        <f t="shared" si="20"/>
        <v>TC_E4_F__</v>
      </c>
      <c r="S149" s="4"/>
      <c r="T149" s="12" t="str">
        <f t="shared" si="21"/>
        <v>TC_E5_F__</v>
      </c>
      <c r="U149" s="4"/>
      <c r="V149" s="12" t="str">
        <f t="shared" si="22"/>
        <v>TC_E6_F__</v>
      </c>
      <c r="W149" s="4"/>
      <c r="X149" s="10"/>
      <c r="Y149" s="10"/>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F4EFD03A-BDB8-4DE7-AC41-A9180EB54B38}">
          <x14:formula1>
            <xm:f>'2_1_Definition_Processes'!$D$2:$D$46</xm:f>
          </x14:formula1>
          <xm:sqref>D150:D1048576</xm:sqref>
        </x14:dataValidation>
        <x14:dataValidation type="list" allowBlank="1" showInputMessage="1" showErrorMessage="1" xr:uid="{36DD2A77-4E5F-4741-A44D-C817FD880024}">
          <x14:formula1>
            <xm:f>'1_1_Definition_Flows'!$D$2:$D$94</xm:f>
          </x14:formula1>
          <xm:sqref>I150:I1048576</xm:sqref>
        </x14:dataValidation>
        <x14:dataValidation type="list" allowBlank="1" showInputMessage="1" showErrorMessage="1" xr:uid="{76C3B136-6BB2-4FC7-8150-4CE9CB87896B}">
          <x14:formula1>
            <xm:f>'6_1_Reference_Manager'!$C$2:$C$49</xm:f>
          </x14:formula1>
          <xm:sqref>Y2:Y149</xm:sqref>
        </x14:dataValidation>
        <x14:dataValidation type="list" allowBlank="1" showInputMessage="1" showErrorMessage="1" promptTitle="Definition of Output_Flow" prompt="Enter appropriate value for Output_Flow" xr:uid="{E1C727E2-6672-411F-B8AB-8752A1F6743E}">
          <x14:formula1>
            <xm:f>'1_1_Definition_Flows'!$D$2:$D$94</xm:f>
          </x14:formula1>
          <xm:sqref>I2:I149</xm:sqref>
        </x14:dataValidation>
        <x14:dataValidation type="list" allowBlank="1" showInputMessage="1" showErrorMessage="1" promptTitle="Definition of Process Name" prompt="Enter the name of the Process Name" xr:uid="{07F6BAEA-B1E8-4DF4-A999-A32B1C8314D0}">
          <x14:formula1>
            <xm:f>'2_1_Definition_Processes'!$D$2:$D$46</xm:f>
          </x14:formula1>
          <xm:sqref>D2:D149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U51"/>
  <sheetViews>
    <sheetView topLeftCell="K1" zoomScale="145" zoomScaleNormal="145" workbookViewId="0">
      <selection activeCell="M11" sqref="M11"/>
    </sheetView>
  </sheetViews>
  <sheetFormatPr defaultColWidth="10.85546875" defaultRowHeight="15" x14ac:dyDescent="0.25"/>
  <cols>
    <col min="2" max="2" width="23.710937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42" customWidth="1"/>
    <col min="11" max="11" width="30.85546875" customWidth="1"/>
    <col min="12" max="12" width="25.85546875" customWidth="1"/>
    <col min="13" max="13" width="15" customWidth="1"/>
    <col min="17" max="17" width="53.42578125" customWidth="1"/>
    <col min="18" max="18" width="34.28515625" customWidth="1"/>
    <col min="19" max="19" width="17.140625" customWidth="1"/>
  </cols>
  <sheetData>
    <row r="1" spans="1:21" x14ac:dyDescent="0.25">
      <c r="A1" s="26" t="s">
        <v>13</v>
      </c>
      <c r="B1" s="26" t="s">
        <v>4</v>
      </c>
      <c r="C1" s="26" t="s">
        <v>14</v>
      </c>
      <c r="D1" s="26" t="s">
        <v>12</v>
      </c>
      <c r="E1" s="26" t="s">
        <v>141</v>
      </c>
      <c r="F1" s="26" t="s">
        <v>128</v>
      </c>
      <c r="G1" s="26" t="s">
        <v>166</v>
      </c>
      <c r="H1" s="26" t="s">
        <v>167</v>
      </c>
      <c r="I1" s="26" t="s">
        <v>179</v>
      </c>
      <c r="J1" s="26" t="s">
        <v>287</v>
      </c>
      <c r="K1" s="26" t="s">
        <v>286</v>
      </c>
      <c r="L1" s="26" t="s">
        <v>289</v>
      </c>
      <c r="M1" s="26" t="s">
        <v>7</v>
      </c>
      <c r="N1" s="26" t="s">
        <v>488</v>
      </c>
      <c r="Q1" s="26" t="s">
        <v>286</v>
      </c>
      <c r="R1" s="26" t="s">
        <v>601</v>
      </c>
      <c r="S1" s="26" t="s">
        <v>602</v>
      </c>
      <c r="T1" s="26" t="s">
        <v>208</v>
      </c>
      <c r="U1" s="26" t="s">
        <v>603</v>
      </c>
    </row>
    <row r="2" spans="1:21" x14ac:dyDescent="0.25">
      <c r="A2" s="27" t="b">
        <v>0</v>
      </c>
      <c r="B2" s="3">
        <f t="shared" ref="B2:B33" si="0">ROW()-1</f>
        <v>1</v>
      </c>
      <c r="C2" s="3" t="e">
        <f>"S"&amp;"_"&amp;LEFT(D2,2)</f>
        <v>#N/A</v>
      </c>
      <c r="D2" s="3" t="e">
        <f>_xlfn.XLOOKUP($E2,Tab_Def_Processes[Process_Name],Tab_Def_Processes[Process_ID],,0,)</f>
        <v>#N/A</v>
      </c>
      <c r="E2" s="23" t="s">
        <v>5</v>
      </c>
      <c r="F2" s="3" t="e">
        <f>_xlfn.XLOOKUP($E2,Tab_Def_Processes[Process_Name],Tab_Def_Processes[Process_Logic],,0,)</f>
        <v>#N/A</v>
      </c>
      <c r="G2" s="3" t="e">
        <f>_xlfn.XLOOKUP($E2,Tab_Def_Processes[Process_Name],Tab_Def_Processes[TC_Configuration],,0,)</f>
        <v>#N/A</v>
      </c>
      <c r="H2" s="17" t="e">
        <f>_xlfn.XLOOKUP($E2,Tab_Def_Processes[Process_Name],Tab_Def_Processes[Stock_Configuration],,0,)</f>
        <v>#N/A</v>
      </c>
      <c r="I2" s="17" t="e">
        <f>_xlfn.XLOOKUP($E2,Tab_Def_Processes[Process_Name],Tab_Def_Processes[Outflow_count],,0,)</f>
        <v>#N/A</v>
      </c>
      <c r="J2" s="17" t="e">
        <f>Tab_Process_Stock[[#This Row],[Stock_ID]]&amp;"_"&amp;Tab_Process_Stock[[#This Row],[IS_Parameter_type]]</f>
        <v>#N/A</v>
      </c>
      <c r="K2" s="51"/>
      <c r="L2" s="50"/>
      <c r="M2" s="89"/>
      <c r="N2" s="10"/>
      <c r="Q2" s="94" t="s">
        <v>598</v>
      </c>
      <c r="R2" s="94"/>
      <c r="S2" s="94"/>
      <c r="T2" s="94"/>
      <c r="U2" s="94"/>
    </row>
    <row r="3" spans="1:21" x14ac:dyDescent="0.25">
      <c r="A3" s="27" t="b">
        <v>0</v>
      </c>
      <c r="B3" s="3">
        <f t="shared" si="0"/>
        <v>2</v>
      </c>
      <c r="C3" s="3" t="e">
        <f t="shared" ref="C3:C51" si="1">"S"&amp;"_"&amp;LEFT(D3,2)</f>
        <v>#N/A</v>
      </c>
      <c r="D3" s="3" t="e">
        <f>_xlfn.XLOOKUP($E3,Tab_Def_Processes[Process_Name],Tab_Def_Processes[Process_ID],,0,)</f>
        <v>#N/A</v>
      </c>
      <c r="E3" s="23" t="s">
        <v>5</v>
      </c>
      <c r="F3" s="3" t="e">
        <f>_xlfn.XLOOKUP($E3,Tab_Def_Processes[Process_Name],Tab_Def_Processes[Process_Logic],,0,)</f>
        <v>#N/A</v>
      </c>
      <c r="G3" s="3" t="e">
        <f>_xlfn.XLOOKUP($E3,Tab_Def_Processes[Process_Name],Tab_Def_Processes[TC_Configuration],,0,)</f>
        <v>#N/A</v>
      </c>
      <c r="H3" s="17" t="e">
        <f>_xlfn.XLOOKUP($E3,Tab_Def_Processes[Process_Name],Tab_Def_Processes[Stock_Configuration],,0,)</f>
        <v>#N/A</v>
      </c>
      <c r="I3" s="17" t="e">
        <f>_xlfn.XLOOKUP($E3,Tab_Def_Processes[Process_Name],Tab_Def_Processes[Outflow_count],,0,)</f>
        <v>#N/A</v>
      </c>
      <c r="J3" s="17" t="e">
        <f>Tab_Process_Stock[[#This Row],[Stock_ID]]&amp;"_"&amp;Tab_Process_Stock[[#This Row],[IS_Parameter_type]]</f>
        <v>#N/A</v>
      </c>
      <c r="K3" s="51"/>
      <c r="L3" s="50"/>
      <c r="M3" s="89"/>
      <c r="N3" s="10"/>
      <c r="Q3" s="94" t="s">
        <v>571</v>
      </c>
      <c r="R3" s="94" t="s">
        <v>604</v>
      </c>
      <c r="S3" s="94" t="s">
        <v>605</v>
      </c>
      <c r="T3" s="94">
        <v>100</v>
      </c>
      <c r="U3" s="94" t="s">
        <v>606</v>
      </c>
    </row>
    <row r="4" spans="1:21" x14ac:dyDescent="0.25">
      <c r="A4" s="27" t="b">
        <v>0</v>
      </c>
      <c r="B4" s="3">
        <f t="shared" si="0"/>
        <v>3</v>
      </c>
      <c r="C4" s="3" t="e">
        <f t="shared" si="1"/>
        <v>#N/A</v>
      </c>
      <c r="D4" s="3" t="e">
        <f>_xlfn.XLOOKUP($E4,Tab_Def_Processes[Process_Name],Tab_Def_Processes[Process_ID],,0,)</f>
        <v>#N/A</v>
      </c>
      <c r="E4" s="23" t="s">
        <v>5</v>
      </c>
      <c r="F4" s="3" t="e">
        <f>_xlfn.XLOOKUP($E4,Tab_Def_Processes[Process_Name],Tab_Def_Processes[Process_Logic],,0,)</f>
        <v>#N/A</v>
      </c>
      <c r="G4" s="3" t="e">
        <f>_xlfn.XLOOKUP($E4,Tab_Def_Processes[Process_Name],Tab_Def_Processes[TC_Configuration],,0,)</f>
        <v>#N/A</v>
      </c>
      <c r="H4" s="17" t="e">
        <f>_xlfn.XLOOKUP($E4,Tab_Def_Processes[Process_Name],Tab_Def_Processes[Stock_Configuration],,0,)</f>
        <v>#N/A</v>
      </c>
      <c r="I4" s="17" t="e">
        <f>_xlfn.XLOOKUP($E4,Tab_Def_Processes[Process_Name],Tab_Def_Processes[Outflow_count],,0,)</f>
        <v>#N/A</v>
      </c>
      <c r="J4" s="17" t="e">
        <f>Tab_Process_Stock[[#This Row],[Stock_ID]]&amp;"_"&amp;Tab_Process_Stock[[#This Row],[IS_Parameter_type]]</f>
        <v>#N/A</v>
      </c>
      <c r="K4" s="51"/>
      <c r="L4" s="50"/>
      <c r="M4" s="89"/>
      <c r="N4" s="10"/>
      <c r="Q4" s="94" t="s">
        <v>574</v>
      </c>
      <c r="R4" s="94" t="s">
        <v>607</v>
      </c>
      <c r="S4" s="94" t="s">
        <v>608</v>
      </c>
      <c r="T4" s="94">
        <v>0.6</v>
      </c>
      <c r="U4" s="94" t="s">
        <v>609</v>
      </c>
    </row>
    <row r="5" spans="1:21" x14ac:dyDescent="0.25">
      <c r="A5" s="27" t="b">
        <v>0</v>
      </c>
      <c r="B5" s="3">
        <f t="shared" si="0"/>
        <v>4</v>
      </c>
      <c r="C5" s="3" t="e">
        <f t="shared" si="1"/>
        <v>#N/A</v>
      </c>
      <c r="D5" s="3" t="e">
        <f>_xlfn.XLOOKUP($E5,Tab_Def_Processes[Process_Name],Tab_Def_Processes[Process_ID],,0,)</f>
        <v>#N/A</v>
      </c>
      <c r="E5" s="23" t="s">
        <v>5</v>
      </c>
      <c r="F5" s="3" t="e">
        <f>_xlfn.XLOOKUP($E5,Tab_Def_Processes[Process_Name],Tab_Def_Processes[Process_Logic],,0,)</f>
        <v>#N/A</v>
      </c>
      <c r="G5" s="3" t="e">
        <f>_xlfn.XLOOKUP($E5,Tab_Def_Processes[Process_Name],Tab_Def_Processes[TC_Configuration],,0,)</f>
        <v>#N/A</v>
      </c>
      <c r="H5" s="17" t="e">
        <f>_xlfn.XLOOKUP($E5,Tab_Def_Processes[Process_Name],Tab_Def_Processes[Stock_Configuration],,0,)</f>
        <v>#N/A</v>
      </c>
      <c r="I5" s="17" t="e">
        <f>_xlfn.XLOOKUP($E5,Tab_Def_Processes[Process_Name],Tab_Def_Processes[Outflow_count],,0,)</f>
        <v>#N/A</v>
      </c>
      <c r="J5" s="17" t="e">
        <f>Tab_Process_Stock[[#This Row],[Stock_ID]]&amp;"_"&amp;Tab_Process_Stock[[#This Row],[IS_Parameter_type]]</f>
        <v>#N/A</v>
      </c>
      <c r="K5" s="51"/>
      <c r="L5" s="50"/>
      <c r="M5" s="89"/>
      <c r="N5" s="10"/>
      <c r="Q5" s="94" t="s">
        <v>575</v>
      </c>
      <c r="R5" s="94" t="s">
        <v>607</v>
      </c>
      <c r="S5" s="94" t="s">
        <v>608</v>
      </c>
      <c r="T5" s="94">
        <v>0.4</v>
      </c>
      <c r="U5" s="94" t="s">
        <v>610</v>
      </c>
    </row>
    <row r="6" spans="1:21" x14ac:dyDescent="0.25">
      <c r="A6" s="27" t="b">
        <v>0</v>
      </c>
      <c r="B6" s="3">
        <f t="shared" si="0"/>
        <v>5</v>
      </c>
      <c r="C6" s="3" t="e">
        <f t="shared" si="1"/>
        <v>#N/A</v>
      </c>
      <c r="D6" s="3" t="e">
        <f>_xlfn.XLOOKUP($E6,Tab_Def_Processes[Process_Name],Tab_Def_Processes[Process_ID],,0,)</f>
        <v>#N/A</v>
      </c>
      <c r="E6" s="23" t="s">
        <v>5</v>
      </c>
      <c r="F6" s="3" t="e">
        <f>_xlfn.XLOOKUP($E6,Tab_Def_Processes[Process_Name],Tab_Def_Processes[Process_Logic],,0,)</f>
        <v>#N/A</v>
      </c>
      <c r="G6" s="3" t="e">
        <f>_xlfn.XLOOKUP($E6,Tab_Def_Processes[Process_Name],Tab_Def_Processes[TC_Configuration],,0,)</f>
        <v>#N/A</v>
      </c>
      <c r="H6" s="17" t="e">
        <f>_xlfn.XLOOKUP($E6,Tab_Def_Processes[Process_Name],Tab_Def_Processes[Stock_Configuration],,0,)</f>
        <v>#N/A</v>
      </c>
      <c r="I6" s="17" t="e">
        <f>_xlfn.XLOOKUP($E6,Tab_Def_Processes[Process_Name],Tab_Def_Processes[Outflow_count],,0,)</f>
        <v>#N/A</v>
      </c>
      <c r="J6" s="17" t="e">
        <f>Tab_Process_Stock[[#This Row],[Stock_ID]]&amp;"_"&amp;Tab_Process_Stock[[#This Row],[IS_Parameter_type]]</f>
        <v>#N/A</v>
      </c>
      <c r="K6" s="51"/>
      <c r="L6" s="50"/>
      <c r="M6" s="89"/>
      <c r="N6" s="10"/>
      <c r="Q6" s="94" t="s">
        <v>576</v>
      </c>
      <c r="R6" s="94" t="s">
        <v>607</v>
      </c>
      <c r="S6" s="94" t="s">
        <v>608</v>
      </c>
      <c r="T6" s="94">
        <v>0.18</v>
      </c>
      <c r="U6" s="94" t="s">
        <v>611</v>
      </c>
    </row>
    <row r="7" spans="1:21" x14ac:dyDescent="0.25">
      <c r="A7" s="27" t="b">
        <v>0</v>
      </c>
      <c r="B7" s="3">
        <f t="shared" si="0"/>
        <v>6</v>
      </c>
      <c r="C7" s="3" t="e">
        <f t="shared" si="1"/>
        <v>#N/A</v>
      </c>
      <c r="D7" s="3" t="e">
        <f>_xlfn.XLOOKUP($E7,Tab_Def_Processes[Process_Name],Tab_Def_Processes[Process_ID],,0,)</f>
        <v>#N/A</v>
      </c>
      <c r="E7" s="23" t="s">
        <v>5</v>
      </c>
      <c r="F7" s="3" t="e">
        <f>_xlfn.XLOOKUP($E7,Tab_Def_Processes[Process_Name],Tab_Def_Processes[Process_Logic],,0,)</f>
        <v>#N/A</v>
      </c>
      <c r="G7" s="3" t="e">
        <f>_xlfn.XLOOKUP($E7,Tab_Def_Processes[Process_Name],Tab_Def_Processes[TC_Configuration],,0,)</f>
        <v>#N/A</v>
      </c>
      <c r="H7" s="17" t="e">
        <f>_xlfn.XLOOKUP($E7,Tab_Def_Processes[Process_Name],Tab_Def_Processes[Stock_Configuration],,0,)</f>
        <v>#N/A</v>
      </c>
      <c r="I7" s="17" t="e">
        <f>_xlfn.XLOOKUP($E7,Tab_Def_Processes[Process_Name],Tab_Def_Processes[Outflow_count],,0,)</f>
        <v>#N/A</v>
      </c>
      <c r="J7" s="17" t="e">
        <f>Tab_Process_Stock[[#This Row],[Stock_ID]]&amp;"_"&amp;Tab_Process_Stock[[#This Row],[IS_Parameter_type]]</f>
        <v>#N/A</v>
      </c>
      <c r="K7" s="51"/>
      <c r="L7" s="50"/>
      <c r="M7" s="89"/>
      <c r="N7" s="10"/>
      <c r="Q7" s="94" t="s">
        <v>577</v>
      </c>
      <c r="R7" s="94" t="s">
        <v>607</v>
      </c>
      <c r="S7" s="94" t="s">
        <v>608</v>
      </c>
      <c r="T7" s="94">
        <v>0.02</v>
      </c>
      <c r="U7" s="94" t="s">
        <v>612</v>
      </c>
    </row>
    <row r="8" spans="1:21" x14ac:dyDescent="0.25">
      <c r="A8" s="27" t="b">
        <v>0</v>
      </c>
      <c r="B8" s="3">
        <f t="shared" si="0"/>
        <v>7</v>
      </c>
      <c r="C8" s="3" t="e">
        <f t="shared" si="1"/>
        <v>#N/A</v>
      </c>
      <c r="D8" s="3" t="e">
        <f>_xlfn.XLOOKUP($E8,Tab_Def_Processes[Process_Name],Tab_Def_Processes[Process_ID],,0,)</f>
        <v>#N/A</v>
      </c>
      <c r="E8" s="23" t="s">
        <v>5</v>
      </c>
      <c r="F8" s="3" t="e">
        <f>_xlfn.XLOOKUP($E8,Tab_Def_Processes[Process_Name],Tab_Def_Processes[Process_Logic],,0,)</f>
        <v>#N/A</v>
      </c>
      <c r="G8" s="3" t="e">
        <f>_xlfn.XLOOKUP($E8,Tab_Def_Processes[Process_Name],Tab_Def_Processes[TC_Configuration],,0,)</f>
        <v>#N/A</v>
      </c>
      <c r="H8" s="17" t="e">
        <f>_xlfn.XLOOKUP($E8,Tab_Def_Processes[Process_Name],Tab_Def_Processes[Stock_Configuration],,0,)</f>
        <v>#N/A</v>
      </c>
      <c r="I8" s="17" t="e">
        <f>_xlfn.XLOOKUP($E8,Tab_Def_Processes[Process_Name],Tab_Def_Processes[Outflow_count],,0,)</f>
        <v>#N/A</v>
      </c>
      <c r="J8" s="17" t="e">
        <f>Tab_Process_Stock[[#This Row],[Stock_ID]]&amp;"_"&amp;Tab_Process_Stock[[#This Row],[IS_Parameter_type]]</f>
        <v>#N/A</v>
      </c>
      <c r="K8" s="51"/>
      <c r="L8" s="50"/>
      <c r="M8" s="89"/>
      <c r="N8" s="10"/>
      <c r="Q8" s="94" t="s">
        <v>578</v>
      </c>
      <c r="R8" s="94" t="s">
        <v>607</v>
      </c>
      <c r="S8" s="94" t="s">
        <v>608</v>
      </c>
      <c r="T8" s="94">
        <v>0</v>
      </c>
      <c r="U8" s="94"/>
    </row>
    <row r="9" spans="1:21" x14ac:dyDescent="0.25">
      <c r="A9" s="27" t="b">
        <v>0</v>
      </c>
      <c r="B9" s="3">
        <f t="shared" si="0"/>
        <v>8</v>
      </c>
      <c r="C9" s="3" t="e">
        <f t="shared" si="1"/>
        <v>#N/A</v>
      </c>
      <c r="D9" s="3" t="e">
        <f>_xlfn.XLOOKUP($E9,Tab_Def_Processes[Process_Name],Tab_Def_Processes[Process_ID],,0,)</f>
        <v>#N/A</v>
      </c>
      <c r="E9" s="23" t="s">
        <v>5</v>
      </c>
      <c r="F9" s="3" t="e">
        <f>_xlfn.XLOOKUP($E9,Tab_Def_Processes[Process_Name],Tab_Def_Processes[Process_Logic],,0,)</f>
        <v>#N/A</v>
      </c>
      <c r="G9" s="3" t="e">
        <f>_xlfn.XLOOKUP($E9,Tab_Def_Processes[Process_Name],Tab_Def_Processes[TC_Configuration],,0,)</f>
        <v>#N/A</v>
      </c>
      <c r="H9" s="17" t="e">
        <f>_xlfn.XLOOKUP($E9,Tab_Def_Processes[Process_Name],Tab_Def_Processes[Stock_Configuration],,0,)</f>
        <v>#N/A</v>
      </c>
      <c r="I9" s="17" t="e">
        <f>_xlfn.XLOOKUP($E9,Tab_Def_Processes[Process_Name],Tab_Def_Processes[Outflow_count],,0,)</f>
        <v>#N/A</v>
      </c>
      <c r="J9" s="17" t="e">
        <f>Tab_Process_Stock[[#This Row],[Stock_ID]]&amp;"_"&amp;Tab_Process_Stock[[#This Row],[IS_Parameter_type]]</f>
        <v>#N/A</v>
      </c>
      <c r="K9" s="51"/>
      <c r="L9" s="50"/>
      <c r="M9" s="89"/>
      <c r="N9" s="10"/>
      <c r="Q9" s="94" t="s">
        <v>613</v>
      </c>
      <c r="R9" s="94"/>
      <c r="S9" s="94"/>
      <c r="T9" s="94"/>
      <c r="U9" s="94"/>
    </row>
    <row r="10" spans="1:21" x14ac:dyDescent="0.25">
      <c r="A10" s="27" t="b">
        <v>0</v>
      </c>
      <c r="B10" s="3">
        <f t="shared" si="0"/>
        <v>9</v>
      </c>
      <c r="C10" s="3" t="e">
        <f t="shared" si="1"/>
        <v>#N/A</v>
      </c>
      <c r="D10" s="3" t="e">
        <f>_xlfn.XLOOKUP($E10,Tab_Def_Processes[Process_Name],Tab_Def_Processes[Process_ID],,0,)</f>
        <v>#N/A</v>
      </c>
      <c r="E10" s="23" t="s">
        <v>5</v>
      </c>
      <c r="F10" s="3" t="e">
        <f>_xlfn.XLOOKUP($E10,Tab_Def_Processes[Process_Name],Tab_Def_Processes[Process_Logic],,0,)</f>
        <v>#N/A</v>
      </c>
      <c r="G10" s="3" t="e">
        <f>_xlfn.XLOOKUP($E10,Tab_Def_Processes[Process_Name],Tab_Def_Processes[TC_Configuration],,0,)</f>
        <v>#N/A</v>
      </c>
      <c r="H10" s="17" t="e">
        <f>_xlfn.XLOOKUP($E10,Tab_Def_Processes[Process_Name],Tab_Def_Processes[Stock_Configuration],,0,)</f>
        <v>#N/A</v>
      </c>
      <c r="I10" s="17" t="e">
        <f>_xlfn.XLOOKUP($E10,Tab_Def_Processes[Process_Name],Tab_Def_Processes[Outflow_count],,0,)</f>
        <v>#N/A</v>
      </c>
      <c r="J10" s="17" t="e">
        <f>Tab_Process_Stock[[#This Row],[Stock_ID]]&amp;"_"&amp;Tab_Process_Stock[[#This Row],[IS_Parameter_type]]</f>
        <v>#N/A</v>
      </c>
      <c r="K10" s="51"/>
      <c r="L10" s="50"/>
      <c r="M10" s="89"/>
      <c r="N10" s="10"/>
      <c r="Q10" s="94" t="s">
        <v>579</v>
      </c>
      <c r="R10" s="94" t="s">
        <v>607</v>
      </c>
      <c r="S10" s="94" t="s">
        <v>614</v>
      </c>
      <c r="T10" s="94">
        <v>0.1</v>
      </c>
      <c r="U10" s="94" t="s">
        <v>615</v>
      </c>
    </row>
    <row r="11" spans="1:21" x14ac:dyDescent="0.25">
      <c r="A11" s="27" t="b">
        <v>0</v>
      </c>
      <c r="B11" s="3">
        <f t="shared" si="0"/>
        <v>10</v>
      </c>
      <c r="C11" s="3" t="e">
        <f t="shared" si="1"/>
        <v>#N/A</v>
      </c>
      <c r="D11" s="3" t="e">
        <f>_xlfn.XLOOKUP($E11,Tab_Def_Processes[Process_Name],Tab_Def_Processes[Process_ID],,0,)</f>
        <v>#N/A</v>
      </c>
      <c r="E11" s="23" t="s">
        <v>5</v>
      </c>
      <c r="F11" s="3" t="e">
        <f>_xlfn.XLOOKUP($E11,Tab_Def_Processes[Process_Name],Tab_Def_Processes[Process_Logic],,0,)</f>
        <v>#N/A</v>
      </c>
      <c r="G11" s="3" t="e">
        <f>_xlfn.XLOOKUP($E11,Tab_Def_Processes[Process_Name],Tab_Def_Processes[TC_Configuration],,0,)</f>
        <v>#N/A</v>
      </c>
      <c r="H11" s="17" t="e">
        <f>_xlfn.XLOOKUP($E11,Tab_Def_Processes[Process_Name],Tab_Def_Processes[Stock_Configuration],,0,)</f>
        <v>#N/A</v>
      </c>
      <c r="I11" s="17" t="e">
        <f>_xlfn.XLOOKUP($E11,Tab_Def_Processes[Process_Name],Tab_Def_Processes[Outflow_count],,0,)</f>
        <v>#N/A</v>
      </c>
      <c r="J11" s="17" t="e">
        <f>Tab_Process_Stock[[#This Row],[Stock_ID]]&amp;"_"&amp;Tab_Process_Stock[[#This Row],[IS_Parameter_type]]</f>
        <v>#N/A</v>
      </c>
      <c r="K11" s="51"/>
      <c r="L11" s="50"/>
      <c r="M11" s="89"/>
      <c r="N11" s="10"/>
      <c r="Q11" s="94" t="s">
        <v>580</v>
      </c>
      <c r="R11" s="94" t="s">
        <v>616</v>
      </c>
      <c r="S11" s="94" t="s">
        <v>614</v>
      </c>
      <c r="T11" s="94" t="s">
        <v>599</v>
      </c>
      <c r="U11" s="94" t="s">
        <v>617</v>
      </c>
    </row>
    <row r="12" spans="1:21" x14ac:dyDescent="0.25">
      <c r="A12" s="27" t="b">
        <v>0</v>
      </c>
      <c r="B12" s="3">
        <f t="shared" si="0"/>
        <v>11</v>
      </c>
      <c r="C12" s="3" t="e">
        <f t="shared" si="1"/>
        <v>#N/A</v>
      </c>
      <c r="D12" s="3" t="e">
        <f>_xlfn.XLOOKUP($E12,Tab_Def_Processes[Process_Name],Tab_Def_Processes[Process_ID],,0,)</f>
        <v>#N/A</v>
      </c>
      <c r="E12" s="23" t="s">
        <v>5</v>
      </c>
      <c r="F12" s="3" t="e">
        <f>_xlfn.XLOOKUP($E12,Tab_Def_Processes[Process_Name],Tab_Def_Processes[Process_Logic],,0,)</f>
        <v>#N/A</v>
      </c>
      <c r="G12" s="3" t="e">
        <f>_xlfn.XLOOKUP($E12,Tab_Def_Processes[Process_Name],Tab_Def_Processes[TC_Configuration],,0,)</f>
        <v>#N/A</v>
      </c>
      <c r="H12" s="17" t="e">
        <f>_xlfn.XLOOKUP($E12,Tab_Def_Processes[Process_Name],Tab_Def_Processes[Stock_Configuration],,0,)</f>
        <v>#N/A</v>
      </c>
      <c r="I12" s="17" t="e">
        <f>_xlfn.XLOOKUP($E12,Tab_Def_Processes[Process_Name],Tab_Def_Processes[Outflow_count],,0,)</f>
        <v>#N/A</v>
      </c>
      <c r="J12" s="17" t="e">
        <f>Tab_Process_Stock[[#This Row],[Stock_ID]]&amp;"_"&amp;Tab_Process_Stock[[#This Row],[IS_Parameter_type]]</f>
        <v>#N/A</v>
      </c>
      <c r="K12" s="51"/>
      <c r="L12" s="50"/>
      <c r="M12" s="89"/>
      <c r="N12" s="10"/>
      <c r="Q12" s="94" t="s">
        <v>581</v>
      </c>
      <c r="R12" s="94" t="s">
        <v>607</v>
      </c>
      <c r="S12" s="94" t="s">
        <v>614</v>
      </c>
      <c r="T12" s="94">
        <v>0.7</v>
      </c>
      <c r="U12" s="94" t="s">
        <v>618</v>
      </c>
    </row>
    <row r="13" spans="1:21" x14ac:dyDescent="0.25">
      <c r="A13" s="27" t="b">
        <v>0</v>
      </c>
      <c r="B13" s="3">
        <f t="shared" si="0"/>
        <v>12</v>
      </c>
      <c r="C13" s="3" t="e">
        <f t="shared" si="1"/>
        <v>#N/A</v>
      </c>
      <c r="D13" s="3" t="e">
        <f>_xlfn.XLOOKUP($E13,Tab_Def_Processes[Process_Name],Tab_Def_Processes[Process_ID],,0,)</f>
        <v>#N/A</v>
      </c>
      <c r="E13" s="23" t="s">
        <v>5</v>
      </c>
      <c r="F13" s="3" t="e">
        <f>_xlfn.XLOOKUP($E13,Tab_Def_Processes[Process_Name],Tab_Def_Processes[Process_Logic],,0,)</f>
        <v>#N/A</v>
      </c>
      <c r="G13" s="3" t="e">
        <f>_xlfn.XLOOKUP($E13,Tab_Def_Processes[Process_Name],Tab_Def_Processes[TC_Configuration],,0,)</f>
        <v>#N/A</v>
      </c>
      <c r="H13" s="17" t="e">
        <f>_xlfn.XLOOKUP($E13,Tab_Def_Processes[Process_Name],Tab_Def_Processes[Stock_Configuration],,0,)</f>
        <v>#N/A</v>
      </c>
      <c r="I13" s="17" t="e">
        <f>_xlfn.XLOOKUP($E13,Tab_Def_Processes[Process_Name],Tab_Def_Processes[Outflow_count],,0,)</f>
        <v>#N/A</v>
      </c>
      <c r="J13" s="17" t="e">
        <f>Tab_Process_Stock[[#This Row],[Stock_ID]]&amp;"_"&amp;Tab_Process_Stock[[#This Row],[IS_Parameter_type]]</f>
        <v>#N/A</v>
      </c>
      <c r="K13" s="51"/>
      <c r="L13" s="50"/>
      <c r="M13" s="89"/>
      <c r="N13" s="10"/>
      <c r="Q13" s="94" t="s">
        <v>582</v>
      </c>
      <c r="R13" s="94" t="s">
        <v>616</v>
      </c>
      <c r="S13" s="94" t="s">
        <v>608</v>
      </c>
      <c r="T13" s="94" t="s">
        <v>600</v>
      </c>
      <c r="U13" s="94" t="s">
        <v>619</v>
      </c>
    </row>
    <row r="14" spans="1:21" x14ac:dyDescent="0.25">
      <c r="A14" s="27" t="b">
        <v>0</v>
      </c>
      <c r="B14" s="3">
        <f t="shared" si="0"/>
        <v>13</v>
      </c>
      <c r="C14" s="3" t="e">
        <f t="shared" si="1"/>
        <v>#N/A</v>
      </c>
      <c r="D14" s="3" t="e">
        <f>_xlfn.XLOOKUP($E14,Tab_Def_Processes[Process_Name],Tab_Def_Processes[Process_ID],,0,)</f>
        <v>#N/A</v>
      </c>
      <c r="E14" s="23" t="s">
        <v>5</v>
      </c>
      <c r="F14" s="3" t="e">
        <f>_xlfn.XLOOKUP($E14,Tab_Def_Processes[Process_Name],Tab_Def_Processes[Process_Logic],,0,)</f>
        <v>#N/A</v>
      </c>
      <c r="G14" s="3" t="e">
        <f>_xlfn.XLOOKUP($E14,Tab_Def_Processes[Process_Name],Tab_Def_Processes[TC_Configuration],,0,)</f>
        <v>#N/A</v>
      </c>
      <c r="H14" s="17" t="e">
        <f>_xlfn.XLOOKUP($E14,Tab_Def_Processes[Process_Name],Tab_Def_Processes[Stock_Configuration],,0,)</f>
        <v>#N/A</v>
      </c>
      <c r="I14" s="17" t="e">
        <f>_xlfn.XLOOKUP($E14,Tab_Def_Processes[Process_Name],Tab_Def_Processes[Outflow_count],,0,)</f>
        <v>#N/A</v>
      </c>
      <c r="J14" s="17" t="e">
        <f>Tab_Process_Stock[[#This Row],[Stock_ID]]&amp;"_"&amp;Tab_Process_Stock[[#This Row],[IS_Parameter_type]]</f>
        <v>#N/A</v>
      </c>
      <c r="K14" s="51"/>
      <c r="L14" s="50"/>
      <c r="M14" s="89"/>
      <c r="N14" s="10"/>
      <c r="Q14" s="94" t="s">
        <v>584</v>
      </c>
      <c r="R14" s="94" t="s">
        <v>607</v>
      </c>
      <c r="S14" s="94" t="s">
        <v>608</v>
      </c>
      <c r="T14" s="94">
        <v>0.3</v>
      </c>
      <c r="U14" s="94" t="s">
        <v>620</v>
      </c>
    </row>
    <row r="15" spans="1:21" x14ac:dyDescent="0.25">
      <c r="A15" s="27" t="b">
        <v>0</v>
      </c>
      <c r="B15" s="3">
        <f t="shared" si="0"/>
        <v>14</v>
      </c>
      <c r="C15" s="3" t="e">
        <f t="shared" si="1"/>
        <v>#N/A</v>
      </c>
      <c r="D15" s="3" t="e">
        <f>_xlfn.XLOOKUP($E15,Tab_Def_Processes[Process_Name],Tab_Def_Processes[Process_ID],,0,)</f>
        <v>#N/A</v>
      </c>
      <c r="E15" s="23" t="s">
        <v>5</v>
      </c>
      <c r="F15" s="3" t="e">
        <f>_xlfn.XLOOKUP($E15,Tab_Def_Processes[Process_Name],Tab_Def_Processes[Process_Logic],,0,)</f>
        <v>#N/A</v>
      </c>
      <c r="G15" s="3" t="e">
        <f>_xlfn.XLOOKUP($E15,Tab_Def_Processes[Process_Name],Tab_Def_Processes[TC_Configuration],,0,)</f>
        <v>#N/A</v>
      </c>
      <c r="H15" s="17" t="e">
        <f>_xlfn.XLOOKUP($E15,Tab_Def_Processes[Process_Name],Tab_Def_Processes[Stock_Configuration],,0,)</f>
        <v>#N/A</v>
      </c>
      <c r="I15" s="17" t="e">
        <f>_xlfn.XLOOKUP($E15,Tab_Def_Processes[Process_Name],Tab_Def_Processes[Outflow_count],,0,)</f>
        <v>#N/A</v>
      </c>
      <c r="J15" s="17" t="e">
        <f>Tab_Process_Stock[[#This Row],[Stock_ID]]&amp;"_"&amp;Tab_Process_Stock[[#This Row],[IS_Parameter_type]]</f>
        <v>#N/A</v>
      </c>
      <c r="K15" s="51"/>
      <c r="L15" s="50"/>
      <c r="M15" s="89"/>
      <c r="N15" s="10"/>
      <c r="Q15" s="94" t="s">
        <v>585</v>
      </c>
      <c r="R15" s="94" t="s">
        <v>616</v>
      </c>
      <c r="S15" s="94" t="s">
        <v>608</v>
      </c>
      <c r="T15" s="94"/>
      <c r="U15" s="94"/>
    </row>
    <row r="16" spans="1:21" x14ac:dyDescent="0.25">
      <c r="A16" s="27" t="b">
        <v>0</v>
      </c>
      <c r="B16" s="3">
        <f t="shared" si="0"/>
        <v>15</v>
      </c>
      <c r="C16" s="3" t="e">
        <f t="shared" si="1"/>
        <v>#N/A</v>
      </c>
      <c r="D16" s="3" t="e">
        <f>_xlfn.XLOOKUP($E16,Tab_Def_Processes[Process_Name],Tab_Def_Processes[Process_ID],,0,)</f>
        <v>#N/A</v>
      </c>
      <c r="E16" s="23" t="s">
        <v>5</v>
      </c>
      <c r="F16" s="3" t="e">
        <f>_xlfn.XLOOKUP($E16,Tab_Def_Processes[Process_Name],Tab_Def_Processes[Process_Logic],,0,)</f>
        <v>#N/A</v>
      </c>
      <c r="G16" s="3" t="e">
        <f>_xlfn.XLOOKUP($E16,Tab_Def_Processes[Process_Name],Tab_Def_Processes[TC_Configuration],,0,)</f>
        <v>#N/A</v>
      </c>
      <c r="H16" s="17" t="e">
        <f>_xlfn.XLOOKUP($E16,Tab_Def_Processes[Process_Name],Tab_Def_Processes[Stock_Configuration],,0,)</f>
        <v>#N/A</v>
      </c>
      <c r="I16" s="17" t="e">
        <f>_xlfn.XLOOKUP($E16,Tab_Def_Processes[Process_Name],Tab_Def_Processes[Outflow_count],,0,)</f>
        <v>#N/A</v>
      </c>
      <c r="J16" s="17" t="e">
        <f>Tab_Process_Stock[[#This Row],[Stock_ID]]&amp;"_"&amp;Tab_Process_Stock[[#This Row],[IS_Parameter_type]]</f>
        <v>#N/A</v>
      </c>
      <c r="K16" s="51"/>
      <c r="L16" s="50"/>
      <c r="M16" s="89"/>
      <c r="N16" s="10"/>
      <c r="Q16" s="94" t="s">
        <v>583</v>
      </c>
      <c r="R16" s="94" t="s">
        <v>607</v>
      </c>
      <c r="S16" s="94" t="s">
        <v>608</v>
      </c>
      <c r="T16" s="94"/>
      <c r="U16" s="94"/>
    </row>
    <row r="17" spans="1:21" x14ac:dyDescent="0.25">
      <c r="A17" s="27" t="b">
        <v>0</v>
      </c>
      <c r="B17" s="3">
        <f t="shared" si="0"/>
        <v>16</v>
      </c>
      <c r="C17" s="3" t="e">
        <f t="shared" si="1"/>
        <v>#N/A</v>
      </c>
      <c r="D17" s="3" t="e">
        <f>_xlfn.XLOOKUP($E17,Tab_Def_Processes[Process_Name],Tab_Def_Processes[Process_ID],,0,)</f>
        <v>#N/A</v>
      </c>
      <c r="E17" s="23" t="s">
        <v>5</v>
      </c>
      <c r="F17" s="3" t="e">
        <f>_xlfn.XLOOKUP($E17,Tab_Def_Processes[Process_Name],Tab_Def_Processes[Process_Logic],,0,)</f>
        <v>#N/A</v>
      </c>
      <c r="G17" s="3" t="e">
        <f>_xlfn.XLOOKUP($E17,Tab_Def_Processes[Process_Name],Tab_Def_Processes[TC_Configuration],,0,)</f>
        <v>#N/A</v>
      </c>
      <c r="H17" s="17" t="e">
        <f>_xlfn.XLOOKUP($E17,Tab_Def_Processes[Process_Name],Tab_Def_Processes[Stock_Configuration],,0,)</f>
        <v>#N/A</v>
      </c>
      <c r="I17" s="17" t="e">
        <f>_xlfn.XLOOKUP($E17,Tab_Def_Processes[Process_Name],Tab_Def_Processes[Outflow_count],,0,)</f>
        <v>#N/A</v>
      </c>
      <c r="J17" s="17" t="e">
        <f>Tab_Process_Stock[[#This Row],[Stock_ID]]&amp;"_"&amp;Tab_Process_Stock[[#This Row],[IS_Parameter_type]]</f>
        <v>#N/A</v>
      </c>
      <c r="K17" s="51"/>
      <c r="L17" s="50"/>
      <c r="M17" s="89"/>
      <c r="N17" s="10"/>
      <c r="Q17" s="94" t="s">
        <v>586</v>
      </c>
      <c r="R17" s="94" t="s">
        <v>616</v>
      </c>
      <c r="S17" s="94" t="s">
        <v>608</v>
      </c>
      <c r="T17" s="94"/>
      <c r="U17" s="94"/>
    </row>
    <row r="18" spans="1:21" x14ac:dyDescent="0.25">
      <c r="A18" s="27" t="b">
        <v>0</v>
      </c>
      <c r="B18" s="3">
        <f t="shared" si="0"/>
        <v>17</v>
      </c>
      <c r="C18" s="3" t="e">
        <f t="shared" si="1"/>
        <v>#N/A</v>
      </c>
      <c r="D18" s="3" t="e">
        <f>_xlfn.XLOOKUP($E18,Tab_Def_Processes[Process_Name],Tab_Def_Processes[Process_ID],,0,)</f>
        <v>#N/A</v>
      </c>
      <c r="E18" s="23" t="s">
        <v>5</v>
      </c>
      <c r="F18" s="3" t="e">
        <f>_xlfn.XLOOKUP($E18,Tab_Def_Processes[Process_Name],Tab_Def_Processes[Process_Logic],,0,)</f>
        <v>#N/A</v>
      </c>
      <c r="G18" s="3" t="e">
        <f>_xlfn.XLOOKUP($E18,Tab_Def_Processes[Process_Name],Tab_Def_Processes[TC_Configuration],,0,)</f>
        <v>#N/A</v>
      </c>
      <c r="H18" s="17" t="e">
        <f>_xlfn.XLOOKUP($E18,Tab_Def_Processes[Process_Name],Tab_Def_Processes[Stock_Configuration],,0,)</f>
        <v>#N/A</v>
      </c>
      <c r="I18" s="17" t="e">
        <f>_xlfn.XLOOKUP($E18,Tab_Def_Processes[Process_Name],Tab_Def_Processes[Outflow_count],,0,)</f>
        <v>#N/A</v>
      </c>
      <c r="J18" s="17" t="e">
        <f>Tab_Process_Stock[[#This Row],[Stock_ID]]&amp;"_"&amp;Tab_Process_Stock[[#This Row],[IS_Parameter_type]]</f>
        <v>#N/A</v>
      </c>
      <c r="K18" s="51"/>
      <c r="L18" s="50"/>
      <c r="M18" s="89"/>
      <c r="N18" s="10"/>
      <c r="Q18" s="94" t="s">
        <v>587</v>
      </c>
      <c r="R18" s="94" t="s">
        <v>607</v>
      </c>
      <c r="S18" s="94" t="s">
        <v>608</v>
      </c>
      <c r="T18" s="94"/>
      <c r="U18" s="94"/>
    </row>
    <row r="19" spans="1:21" x14ac:dyDescent="0.25">
      <c r="A19" s="27" t="b">
        <v>0</v>
      </c>
      <c r="B19" s="3">
        <f t="shared" si="0"/>
        <v>18</v>
      </c>
      <c r="C19" s="3" t="e">
        <f t="shared" si="1"/>
        <v>#N/A</v>
      </c>
      <c r="D19" s="3" t="e">
        <f>_xlfn.XLOOKUP($E19,Tab_Def_Processes[Process_Name],Tab_Def_Processes[Process_ID],,0,)</f>
        <v>#N/A</v>
      </c>
      <c r="E19" s="23" t="s">
        <v>5</v>
      </c>
      <c r="F19" s="3" t="e">
        <f>_xlfn.XLOOKUP($E19,Tab_Def_Processes[Process_Name],Tab_Def_Processes[Process_Logic],,0,)</f>
        <v>#N/A</v>
      </c>
      <c r="G19" s="3" t="e">
        <f>_xlfn.XLOOKUP($E19,Tab_Def_Processes[Process_Name],Tab_Def_Processes[TC_Configuration],,0,)</f>
        <v>#N/A</v>
      </c>
      <c r="H19" s="17" t="e">
        <f>_xlfn.XLOOKUP($E19,Tab_Def_Processes[Process_Name],Tab_Def_Processes[Stock_Configuration],,0,)</f>
        <v>#N/A</v>
      </c>
      <c r="I19" s="17" t="e">
        <f>_xlfn.XLOOKUP($E19,Tab_Def_Processes[Process_Name],Tab_Def_Processes[Outflow_count],,0,)</f>
        <v>#N/A</v>
      </c>
      <c r="J19" s="17" t="e">
        <f>Tab_Process_Stock[[#This Row],[Stock_ID]]&amp;"_"&amp;Tab_Process_Stock[[#This Row],[IS_Parameter_type]]</f>
        <v>#N/A</v>
      </c>
      <c r="K19" s="51"/>
      <c r="L19" s="50"/>
      <c r="M19" s="89"/>
      <c r="N19" s="10"/>
      <c r="Q19" s="94" t="s">
        <v>621</v>
      </c>
      <c r="R19" s="94"/>
      <c r="S19" s="94"/>
      <c r="T19" s="94"/>
      <c r="U19" s="94"/>
    </row>
    <row r="20" spans="1:21" x14ac:dyDescent="0.25">
      <c r="A20" s="27" t="b">
        <v>0</v>
      </c>
      <c r="B20" s="3">
        <f t="shared" si="0"/>
        <v>19</v>
      </c>
      <c r="C20" s="3" t="e">
        <f t="shared" si="1"/>
        <v>#N/A</v>
      </c>
      <c r="D20" s="3" t="e">
        <f>_xlfn.XLOOKUP($E20,Tab_Def_Processes[Process_Name],Tab_Def_Processes[Process_ID],,0,)</f>
        <v>#N/A</v>
      </c>
      <c r="E20" s="23" t="s">
        <v>5</v>
      </c>
      <c r="F20" s="3" t="e">
        <f>_xlfn.XLOOKUP($E20,Tab_Def_Processes[Process_Name],Tab_Def_Processes[Process_Logic],,0,)</f>
        <v>#N/A</v>
      </c>
      <c r="G20" s="3" t="e">
        <f>_xlfn.XLOOKUP($E20,Tab_Def_Processes[Process_Name],Tab_Def_Processes[TC_Configuration],,0,)</f>
        <v>#N/A</v>
      </c>
      <c r="H20" s="17" t="e">
        <f>_xlfn.XLOOKUP($E20,Tab_Def_Processes[Process_Name],Tab_Def_Processes[Stock_Configuration],,0,)</f>
        <v>#N/A</v>
      </c>
      <c r="I20" s="17" t="e">
        <f>_xlfn.XLOOKUP($E20,Tab_Def_Processes[Process_Name],Tab_Def_Processes[Outflow_count],,0,)</f>
        <v>#N/A</v>
      </c>
      <c r="J20" s="17" t="e">
        <f>Tab_Process_Stock[[#This Row],[Stock_ID]]&amp;"_"&amp;Tab_Process_Stock[[#This Row],[IS_Parameter_type]]</f>
        <v>#N/A</v>
      </c>
      <c r="K20" s="51"/>
      <c r="L20" s="50"/>
      <c r="M20" s="89"/>
      <c r="N20" s="10"/>
      <c r="Q20" s="94" t="s">
        <v>588</v>
      </c>
      <c r="R20" s="94" t="s">
        <v>622</v>
      </c>
      <c r="S20" s="94" t="s">
        <v>623</v>
      </c>
      <c r="T20" s="94" t="s">
        <v>244</v>
      </c>
      <c r="U20" s="94" t="s">
        <v>624</v>
      </c>
    </row>
    <row r="21" spans="1:21" x14ac:dyDescent="0.25">
      <c r="A21" s="27" t="b">
        <v>0</v>
      </c>
      <c r="B21" s="3">
        <f t="shared" si="0"/>
        <v>20</v>
      </c>
      <c r="C21" s="3" t="e">
        <f t="shared" si="1"/>
        <v>#N/A</v>
      </c>
      <c r="D21" s="3" t="e">
        <f>_xlfn.XLOOKUP($E21,Tab_Def_Processes[Process_Name],Tab_Def_Processes[Process_ID],,0,)</f>
        <v>#N/A</v>
      </c>
      <c r="E21" s="23" t="s">
        <v>5</v>
      </c>
      <c r="F21" s="3" t="e">
        <f>_xlfn.XLOOKUP($E21,Tab_Def_Processes[Process_Name],Tab_Def_Processes[Process_Logic],,0,)</f>
        <v>#N/A</v>
      </c>
      <c r="G21" s="3" t="e">
        <f>_xlfn.XLOOKUP($E21,Tab_Def_Processes[Process_Name],Tab_Def_Processes[TC_Configuration],,0,)</f>
        <v>#N/A</v>
      </c>
      <c r="H21" s="17" t="e">
        <f>_xlfn.XLOOKUP($E21,Tab_Def_Processes[Process_Name],Tab_Def_Processes[Stock_Configuration],,0,)</f>
        <v>#N/A</v>
      </c>
      <c r="I21" s="17" t="e">
        <f>_xlfn.XLOOKUP($E21,Tab_Def_Processes[Process_Name],Tab_Def_Processes[Outflow_count],,0,)</f>
        <v>#N/A</v>
      </c>
      <c r="J21" s="17" t="e">
        <f>Tab_Process_Stock[[#This Row],[Stock_ID]]&amp;"_"&amp;Tab_Process_Stock[[#This Row],[IS_Parameter_type]]</f>
        <v>#N/A</v>
      </c>
      <c r="K21" s="51"/>
      <c r="L21" s="50"/>
      <c r="M21" s="89"/>
      <c r="N21" s="10"/>
      <c r="Q21" s="94" t="s">
        <v>589</v>
      </c>
      <c r="R21" s="94" t="s">
        <v>625</v>
      </c>
      <c r="S21" s="94" t="s">
        <v>623</v>
      </c>
      <c r="T21" s="94">
        <v>50</v>
      </c>
      <c r="U21" s="94" t="s">
        <v>626</v>
      </c>
    </row>
    <row r="22" spans="1:21" x14ac:dyDescent="0.25">
      <c r="A22" s="27" t="b">
        <v>0</v>
      </c>
      <c r="B22" s="3">
        <f t="shared" si="0"/>
        <v>21</v>
      </c>
      <c r="C22" s="3" t="e">
        <f t="shared" si="1"/>
        <v>#N/A</v>
      </c>
      <c r="D22" s="3" t="e">
        <f>_xlfn.XLOOKUP($E22,Tab_Def_Processes[Process_Name],Tab_Def_Processes[Process_ID],,0,)</f>
        <v>#N/A</v>
      </c>
      <c r="E22" s="23" t="s">
        <v>5</v>
      </c>
      <c r="F22" s="3" t="e">
        <f>_xlfn.XLOOKUP($E22,Tab_Def_Processes[Process_Name],Tab_Def_Processes[Process_Logic],,0,)</f>
        <v>#N/A</v>
      </c>
      <c r="G22" s="3" t="e">
        <f>_xlfn.XLOOKUP($E22,Tab_Def_Processes[Process_Name],Tab_Def_Processes[TC_Configuration],,0,)</f>
        <v>#N/A</v>
      </c>
      <c r="H22" s="17" t="e">
        <f>_xlfn.XLOOKUP($E22,Tab_Def_Processes[Process_Name],Tab_Def_Processes[Stock_Configuration],,0,)</f>
        <v>#N/A</v>
      </c>
      <c r="I22" s="17" t="e">
        <f>_xlfn.XLOOKUP($E22,Tab_Def_Processes[Process_Name],Tab_Def_Processes[Outflow_count],,0,)</f>
        <v>#N/A</v>
      </c>
      <c r="J22" s="17" t="e">
        <f>Tab_Process_Stock[[#This Row],[Stock_ID]]&amp;"_"&amp;Tab_Process_Stock[[#This Row],[IS_Parameter_type]]</f>
        <v>#N/A</v>
      </c>
      <c r="K22" s="51"/>
      <c r="L22" s="50"/>
      <c r="M22" s="89"/>
      <c r="N22" s="10"/>
      <c r="Q22" s="94" t="s">
        <v>590</v>
      </c>
      <c r="R22" s="94" t="s">
        <v>625</v>
      </c>
      <c r="S22" s="94" t="s">
        <v>608</v>
      </c>
      <c r="T22" s="94">
        <v>15</v>
      </c>
      <c r="U22" s="94" t="s">
        <v>627</v>
      </c>
    </row>
    <row r="23" spans="1:21" x14ac:dyDescent="0.25">
      <c r="A23" s="27" t="b">
        <v>0</v>
      </c>
      <c r="B23" s="3">
        <f t="shared" si="0"/>
        <v>22</v>
      </c>
      <c r="C23" s="3" t="e">
        <f t="shared" si="1"/>
        <v>#N/A</v>
      </c>
      <c r="D23" s="3" t="e">
        <f>_xlfn.XLOOKUP($E23,Tab_Def_Processes[Process_Name],Tab_Def_Processes[Process_ID],,0,)</f>
        <v>#N/A</v>
      </c>
      <c r="E23" s="23" t="s">
        <v>5</v>
      </c>
      <c r="F23" s="3" t="e">
        <f>_xlfn.XLOOKUP($E23,Tab_Def_Processes[Process_Name],Tab_Def_Processes[Process_Logic],,0,)</f>
        <v>#N/A</v>
      </c>
      <c r="G23" s="3" t="e">
        <f>_xlfn.XLOOKUP($E23,Tab_Def_Processes[Process_Name],Tab_Def_Processes[TC_Configuration],,0,)</f>
        <v>#N/A</v>
      </c>
      <c r="H23" s="17" t="e">
        <f>_xlfn.XLOOKUP($E23,Tab_Def_Processes[Process_Name],Tab_Def_Processes[Stock_Configuration],,0,)</f>
        <v>#N/A</v>
      </c>
      <c r="I23" s="17" t="e">
        <f>_xlfn.XLOOKUP($E23,Tab_Def_Processes[Process_Name],Tab_Def_Processes[Outflow_count],,0,)</f>
        <v>#N/A</v>
      </c>
      <c r="J23" s="17" t="e">
        <f>Tab_Process_Stock[[#This Row],[Stock_ID]]&amp;"_"&amp;Tab_Process_Stock[[#This Row],[IS_Parameter_type]]</f>
        <v>#N/A</v>
      </c>
      <c r="K23" s="51"/>
      <c r="L23" s="50"/>
      <c r="M23" s="89"/>
      <c r="N23" s="10"/>
    </row>
    <row r="24" spans="1:21" x14ac:dyDescent="0.25">
      <c r="A24" s="27" t="b">
        <v>0</v>
      </c>
      <c r="B24" s="3">
        <f t="shared" si="0"/>
        <v>23</v>
      </c>
      <c r="C24" s="3" t="e">
        <f t="shared" si="1"/>
        <v>#N/A</v>
      </c>
      <c r="D24" s="3" t="e">
        <f>_xlfn.XLOOKUP($E24,Tab_Def_Processes[Process_Name],Tab_Def_Processes[Process_ID],,0,)</f>
        <v>#N/A</v>
      </c>
      <c r="E24" s="23" t="s">
        <v>5</v>
      </c>
      <c r="F24" s="3" t="e">
        <f>_xlfn.XLOOKUP($E24,Tab_Def_Processes[Process_Name],Tab_Def_Processes[Process_Logic],,0,)</f>
        <v>#N/A</v>
      </c>
      <c r="G24" s="3" t="e">
        <f>_xlfn.XLOOKUP($E24,Tab_Def_Processes[Process_Name],Tab_Def_Processes[TC_Configuration],,0,)</f>
        <v>#N/A</v>
      </c>
      <c r="H24" s="17" t="e">
        <f>_xlfn.XLOOKUP($E24,Tab_Def_Processes[Process_Name],Tab_Def_Processes[Stock_Configuration],,0,)</f>
        <v>#N/A</v>
      </c>
      <c r="I24" s="17" t="e">
        <f>_xlfn.XLOOKUP($E24,Tab_Def_Processes[Process_Name],Tab_Def_Processes[Outflow_count],,0,)</f>
        <v>#N/A</v>
      </c>
      <c r="J24" s="17" t="e">
        <f>Tab_Process_Stock[[#This Row],[Stock_ID]]&amp;"_"&amp;Tab_Process_Stock[[#This Row],[IS_Parameter_type]]</f>
        <v>#N/A</v>
      </c>
      <c r="K24" s="51"/>
      <c r="L24" s="50"/>
      <c r="M24" s="89"/>
      <c r="N24" s="10"/>
    </row>
    <row r="25" spans="1:21" x14ac:dyDescent="0.25">
      <c r="A25" s="27" t="b">
        <v>0</v>
      </c>
      <c r="B25" s="3">
        <f t="shared" si="0"/>
        <v>24</v>
      </c>
      <c r="C25" s="3" t="e">
        <f t="shared" si="1"/>
        <v>#N/A</v>
      </c>
      <c r="D25" s="3" t="e">
        <f>_xlfn.XLOOKUP($E25,Tab_Def_Processes[Process_Name],Tab_Def_Processes[Process_ID],,0,)</f>
        <v>#N/A</v>
      </c>
      <c r="E25" s="23" t="s">
        <v>5</v>
      </c>
      <c r="F25" s="3" t="e">
        <f>_xlfn.XLOOKUP($E25,Tab_Def_Processes[Process_Name],Tab_Def_Processes[Process_Logic],,0,)</f>
        <v>#N/A</v>
      </c>
      <c r="G25" s="3" t="e">
        <f>_xlfn.XLOOKUP($E25,Tab_Def_Processes[Process_Name],Tab_Def_Processes[TC_Configuration],,0,)</f>
        <v>#N/A</v>
      </c>
      <c r="H25" s="17" t="e">
        <f>_xlfn.XLOOKUP($E25,Tab_Def_Processes[Process_Name],Tab_Def_Processes[Stock_Configuration],,0,)</f>
        <v>#N/A</v>
      </c>
      <c r="I25" s="17" t="e">
        <f>_xlfn.XLOOKUP($E25,Tab_Def_Processes[Process_Name],Tab_Def_Processes[Outflow_count],,0,)</f>
        <v>#N/A</v>
      </c>
      <c r="J25" s="17" t="e">
        <f>Tab_Process_Stock[[#This Row],[Stock_ID]]&amp;"_"&amp;Tab_Process_Stock[[#This Row],[IS_Parameter_type]]</f>
        <v>#N/A</v>
      </c>
      <c r="K25" s="51"/>
      <c r="L25" s="50"/>
      <c r="M25" s="89"/>
      <c r="N25" s="10"/>
    </row>
    <row r="26" spans="1:21" x14ac:dyDescent="0.25">
      <c r="A26" s="27" t="b">
        <v>0</v>
      </c>
      <c r="B26" s="3">
        <f t="shared" si="0"/>
        <v>25</v>
      </c>
      <c r="C26" s="3" t="e">
        <f t="shared" si="1"/>
        <v>#N/A</v>
      </c>
      <c r="D26" s="3" t="e">
        <f>_xlfn.XLOOKUP($E26,Tab_Def_Processes[Process_Name],Tab_Def_Processes[Process_ID],,0,)</f>
        <v>#N/A</v>
      </c>
      <c r="E26" s="23" t="s">
        <v>5</v>
      </c>
      <c r="F26" s="3" t="e">
        <f>_xlfn.XLOOKUP($E26,Tab_Def_Processes[Process_Name],Tab_Def_Processes[Process_Logic],,0,)</f>
        <v>#N/A</v>
      </c>
      <c r="G26" s="3" t="e">
        <f>_xlfn.XLOOKUP($E26,Tab_Def_Processes[Process_Name],Tab_Def_Processes[TC_Configuration],,0,)</f>
        <v>#N/A</v>
      </c>
      <c r="H26" s="17" t="e">
        <f>_xlfn.XLOOKUP($E26,Tab_Def_Processes[Process_Name],Tab_Def_Processes[Stock_Configuration],,0,)</f>
        <v>#N/A</v>
      </c>
      <c r="I26" s="17" t="e">
        <f>_xlfn.XLOOKUP($E26,Tab_Def_Processes[Process_Name],Tab_Def_Processes[Outflow_count],,0,)</f>
        <v>#N/A</v>
      </c>
      <c r="J26" s="17" t="e">
        <f>Tab_Process_Stock[[#This Row],[Stock_ID]]&amp;"_"&amp;Tab_Process_Stock[[#This Row],[IS_Parameter_type]]</f>
        <v>#N/A</v>
      </c>
      <c r="K26" s="51"/>
      <c r="L26" s="50"/>
      <c r="M26" s="89"/>
      <c r="N26" s="10"/>
    </row>
    <row r="27" spans="1:21" x14ac:dyDescent="0.25">
      <c r="A27" s="27" t="b">
        <v>0</v>
      </c>
      <c r="B27" s="3">
        <f t="shared" si="0"/>
        <v>26</v>
      </c>
      <c r="C27" s="3" t="e">
        <f t="shared" si="1"/>
        <v>#N/A</v>
      </c>
      <c r="D27" s="3" t="e">
        <f>_xlfn.XLOOKUP($E27,Tab_Def_Processes[Process_Name],Tab_Def_Processes[Process_ID],,0,)</f>
        <v>#N/A</v>
      </c>
      <c r="E27" s="23" t="s">
        <v>5</v>
      </c>
      <c r="F27" s="3" t="e">
        <f>_xlfn.XLOOKUP($E27,Tab_Def_Processes[Process_Name],Tab_Def_Processes[Process_Logic],,0,)</f>
        <v>#N/A</v>
      </c>
      <c r="G27" s="3" t="e">
        <f>_xlfn.XLOOKUP($E27,Tab_Def_Processes[Process_Name],Tab_Def_Processes[TC_Configuration],,0,)</f>
        <v>#N/A</v>
      </c>
      <c r="H27" s="17" t="e">
        <f>_xlfn.XLOOKUP($E27,Tab_Def_Processes[Process_Name],Tab_Def_Processes[Stock_Configuration],,0,)</f>
        <v>#N/A</v>
      </c>
      <c r="I27" s="17" t="e">
        <f>_xlfn.XLOOKUP($E27,Tab_Def_Processes[Process_Name],Tab_Def_Processes[Outflow_count],,0,)</f>
        <v>#N/A</v>
      </c>
      <c r="J27" s="17" t="e">
        <f>Tab_Process_Stock[[#This Row],[Stock_ID]]&amp;"_"&amp;Tab_Process_Stock[[#This Row],[IS_Parameter_type]]</f>
        <v>#N/A</v>
      </c>
      <c r="K27" s="51"/>
      <c r="L27" s="50"/>
      <c r="M27" s="89"/>
      <c r="N27" s="10"/>
    </row>
    <row r="28" spans="1:21" x14ac:dyDescent="0.25">
      <c r="A28" s="27" t="b">
        <v>0</v>
      </c>
      <c r="B28" s="3">
        <f t="shared" si="0"/>
        <v>27</v>
      </c>
      <c r="C28" s="3" t="e">
        <f t="shared" si="1"/>
        <v>#N/A</v>
      </c>
      <c r="D28" s="3" t="e">
        <f>_xlfn.XLOOKUP($E28,Tab_Def_Processes[Process_Name],Tab_Def_Processes[Process_ID],,0,)</f>
        <v>#N/A</v>
      </c>
      <c r="E28" s="23" t="s">
        <v>5</v>
      </c>
      <c r="F28" s="3" t="e">
        <f>_xlfn.XLOOKUP($E28,Tab_Def_Processes[Process_Name],Tab_Def_Processes[Process_Logic],,0,)</f>
        <v>#N/A</v>
      </c>
      <c r="G28" s="3" t="e">
        <f>_xlfn.XLOOKUP($E28,Tab_Def_Processes[Process_Name],Tab_Def_Processes[TC_Configuration],,0,)</f>
        <v>#N/A</v>
      </c>
      <c r="H28" s="17" t="e">
        <f>_xlfn.XLOOKUP($E28,Tab_Def_Processes[Process_Name],Tab_Def_Processes[Stock_Configuration],,0,)</f>
        <v>#N/A</v>
      </c>
      <c r="I28" s="17" t="e">
        <f>_xlfn.XLOOKUP($E28,Tab_Def_Processes[Process_Name],Tab_Def_Processes[Outflow_count],,0,)</f>
        <v>#N/A</v>
      </c>
      <c r="J28" s="17" t="e">
        <f>Tab_Process_Stock[[#This Row],[Stock_ID]]&amp;"_"&amp;Tab_Process_Stock[[#This Row],[IS_Parameter_type]]</f>
        <v>#N/A</v>
      </c>
      <c r="K28" s="51"/>
      <c r="L28" s="50"/>
      <c r="M28" s="89"/>
      <c r="N28" s="10"/>
    </row>
    <row r="29" spans="1:21" x14ac:dyDescent="0.25">
      <c r="A29" s="27" t="b">
        <v>0</v>
      </c>
      <c r="B29" s="3">
        <f t="shared" si="0"/>
        <v>28</v>
      </c>
      <c r="C29" s="3" t="e">
        <f t="shared" si="1"/>
        <v>#N/A</v>
      </c>
      <c r="D29" s="3" t="e">
        <f>_xlfn.XLOOKUP($E29,Tab_Def_Processes[Process_Name],Tab_Def_Processes[Process_ID],,0,)</f>
        <v>#N/A</v>
      </c>
      <c r="E29" s="23" t="s">
        <v>5</v>
      </c>
      <c r="F29" s="3" t="e">
        <f>_xlfn.XLOOKUP($E29,Tab_Def_Processes[Process_Name],Tab_Def_Processes[Process_Logic],,0,)</f>
        <v>#N/A</v>
      </c>
      <c r="G29" s="3" t="e">
        <f>_xlfn.XLOOKUP($E29,Tab_Def_Processes[Process_Name],Tab_Def_Processes[TC_Configuration],,0,)</f>
        <v>#N/A</v>
      </c>
      <c r="H29" s="17" t="e">
        <f>_xlfn.XLOOKUP($E29,Tab_Def_Processes[Process_Name],Tab_Def_Processes[Stock_Configuration],,0,)</f>
        <v>#N/A</v>
      </c>
      <c r="I29" s="17" t="e">
        <f>_xlfn.XLOOKUP($E29,Tab_Def_Processes[Process_Name],Tab_Def_Processes[Outflow_count],,0,)</f>
        <v>#N/A</v>
      </c>
      <c r="J29" s="17" t="e">
        <f>Tab_Process_Stock[[#This Row],[Stock_ID]]&amp;"_"&amp;Tab_Process_Stock[[#This Row],[IS_Parameter_type]]</f>
        <v>#N/A</v>
      </c>
      <c r="K29" s="51"/>
      <c r="L29" s="50"/>
      <c r="M29" s="89"/>
      <c r="N29" s="10"/>
    </row>
    <row r="30" spans="1:21" x14ac:dyDescent="0.25">
      <c r="A30" s="27" t="b">
        <v>0</v>
      </c>
      <c r="B30" s="3">
        <f t="shared" si="0"/>
        <v>29</v>
      </c>
      <c r="C30" s="3" t="e">
        <f t="shared" si="1"/>
        <v>#N/A</v>
      </c>
      <c r="D30" s="3" t="e">
        <f>_xlfn.XLOOKUP($E30,Tab_Def_Processes[Process_Name],Tab_Def_Processes[Process_ID],,0,)</f>
        <v>#N/A</v>
      </c>
      <c r="E30" s="23" t="s">
        <v>5</v>
      </c>
      <c r="F30" s="3" t="e">
        <f>_xlfn.XLOOKUP($E30,Tab_Def_Processes[Process_Name],Tab_Def_Processes[Process_Logic],,0,)</f>
        <v>#N/A</v>
      </c>
      <c r="G30" s="3" t="e">
        <f>_xlfn.XLOOKUP($E30,Tab_Def_Processes[Process_Name],Tab_Def_Processes[TC_Configuration],,0,)</f>
        <v>#N/A</v>
      </c>
      <c r="H30" s="17" t="e">
        <f>_xlfn.XLOOKUP($E30,Tab_Def_Processes[Process_Name],Tab_Def_Processes[Stock_Configuration],,0,)</f>
        <v>#N/A</v>
      </c>
      <c r="I30" s="17" t="e">
        <f>_xlfn.XLOOKUP($E30,Tab_Def_Processes[Process_Name],Tab_Def_Processes[Outflow_count],,0,)</f>
        <v>#N/A</v>
      </c>
      <c r="J30" s="17" t="e">
        <f>Tab_Process_Stock[[#This Row],[Stock_ID]]&amp;"_"&amp;Tab_Process_Stock[[#This Row],[IS_Parameter_type]]</f>
        <v>#N/A</v>
      </c>
      <c r="K30" s="51"/>
      <c r="L30" s="50"/>
      <c r="M30" s="89"/>
      <c r="N30" s="10"/>
    </row>
    <row r="31" spans="1:21" x14ac:dyDescent="0.25">
      <c r="A31" s="27" t="b">
        <v>0</v>
      </c>
      <c r="B31" s="3">
        <f t="shared" si="0"/>
        <v>30</v>
      </c>
      <c r="C31" s="3" t="e">
        <f t="shared" si="1"/>
        <v>#N/A</v>
      </c>
      <c r="D31" s="3" t="e">
        <f>_xlfn.XLOOKUP($E31,Tab_Def_Processes[Process_Name],Tab_Def_Processes[Process_ID],,0,)</f>
        <v>#N/A</v>
      </c>
      <c r="E31" s="23" t="s">
        <v>5</v>
      </c>
      <c r="F31" s="3" t="e">
        <f>_xlfn.XLOOKUP($E31,Tab_Def_Processes[Process_Name],Tab_Def_Processes[Process_Logic],,0,)</f>
        <v>#N/A</v>
      </c>
      <c r="G31" s="3" t="e">
        <f>_xlfn.XLOOKUP($E31,Tab_Def_Processes[Process_Name],Tab_Def_Processes[TC_Configuration],,0,)</f>
        <v>#N/A</v>
      </c>
      <c r="H31" s="17" t="e">
        <f>_xlfn.XLOOKUP($E31,Tab_Def_Processes[Process_Name],Tab_Def_Processes[Stock_Configuration],,0,)</f>
        <v>#N/A</v>
      </c>
      <c r="I31" s="17" t="e">
        <f>_xlfn.XLOOKUP($E31,Tab_Def_Processes[Process_Name],Tab_Def_Processes[Outflow_count],,0,)</f>
        <v>#N/A</v>
      </c>
      <c r="J31" s="17" t="e">
        <f>Tab_Process_Stock[[#This Row],[Stock_ID]]&amp;"_"&amp;Tab_Process_Stock[[#This Row],[IS_Parameter_type]]</f>
        <v>#N/A</v>
      </c>
      <c r="K31" s="51"/>
      <c r="L31" s="50"/>
      <c r="M31" s="89"/>
      <c r="N31" s="10"/>
    </row>
    <row r="32" spans="1:21" x14ac:dyDescent="0.25">
      <c r="A32" s="27" t="b">
        <v>0</v>
      </c>
      <c r="B32" s="3">
        <f t="shared" si="0"/>
        <v>31</v>
      </c>
      <c r="C32" s="3" t="e">
        <f t="shared" si="1"/>
        <v>#N/A</v>
      </c>
      <c r="D32" s="3" t="e">
        <f>_xlfn.XLOOKUP($E32,Tab_Def_Processes[Process_Name],Tab_Def_Processes[Process_ID],,0,)</f>
        <v>#N/A</v>
      </c>
      <c r="E32" s="23" t="s">
        <v>5</v>
      </c>
      <c r="F32" s="3" t="e">
        <f>_xlfn.XLOOKUP($E32,Tab_Def_Processes[Process_Name],Tab_Def_Processes[Process_Logic],,0,)</f>
        <v>#N/A</v>
      </c>
      <c r="G32" s="3" t="e">
        <f>_xlfn.XLOOKUP($E32,Tab_Def_Processes[Process_Name],Tab_Def_Processes[TC_Configuration],,0,)</f>
        <v>#N/A</v>
      </c>
      <c r="H32" s="17" t="e">
        <f>_xlfn.XLOOKUP($E32,Tab_Def_Processes[Process_Name],Tab_Def_Processes[Stock_Configuration],,0,)</f>
        <v>#N/A</v>
      </c>
      <c r="I32" s="17" t="e">
        <f>_xlfn.XLOOKUP($E32,Tab_Def_Processes[Process_Name],Tab_Def_Processes[Outflow_count],,0,)</f>
        <v>#N/A</v>
      </c>
      <c r="J32" s="17" t="e">
        <f>Tab_Process_Stock[[#This Row],[Stock_ID]]&amp;"_"&amp;Tab_Process_Stock[[#This Row],[IS_Parameter_type]]</f>
        <v>#N/A</v>
      </c>
      <c r="K32" s="51"/>
      <c r="L32" s="50"/>
      <c r="M32" s="89"/>
      <c r="N32" s="10"/>
    </row>
    <row r="33" spans="1:14" x14ac:dyDescent="0.25">
      <c r="A33" s="27" t="b">
        <v>0</v>
      </c>
      <c r="B33" s="3">
        <f t="shared" si="0"/>
        <v>32</v>
      </c>
      <c r="C33" s="3" t="e">
        <f t="shared" si="1"/>
        <v>#N/A</v>
      </c>
      <c r="D33" s="3" t="e">
        <f>_xlfn.XLOOKUP($E33,Tab_Def_Processes[Process_Name],Tab_Def_Processes[Process_ID],,0,)</f>
        <v>#N/A</v>
      </c>
      <c r="E33" s="23" t="s">
        <v>5</v>
      </c>
      <c r="F33" s="3" t="e">
        <f>_xlfn.XLOOKUP($E33,Tab_Def_Processes[Process_Name],Tab_Def_Processes[Process_Logic],,0,)</f>
        <v>#N/A</v>
      </c>
      <c r="G33" s="3" t="e">
        <f>_xlfn.XLOOKUP($E33,Tab_Def_Processes[Process_Name],Tab_Def_Processes[TC_Configuration],,0,)</f>
        <v>#N/A</v>
      </c>
      <c r="H33" s="17" t="e">
        <f>_xlfn.XLOOKUP($E33,Tab_Def_Processes[Process_Name],Tab_Def_Processes[Stock_Configuration],,0,)</f>
        <v>#N/A</v>
      </c>
      <c r="I33" s="17" t="e">
        <f>_xlfn.XLOOKUP($E33,Tab_Def_Processes[Process_Name],Tab_Def_Processes[Outflow_count],,0,)</f>
        <v>#N/A</v>
      </c>
      <c r="J33" s="17" t="e">
        <f>Tab_Process_Stock[[#This Row],[Stock_ID]]&amp;"_"&amp;Tab_Process_Stock[[#This Row],[IS_Parameter_type]]</f>
        <v>#N/A</v>
      </c>
      <c r="K33" s="51"/>
      <c r="L33" s="50"/>
      <c r="M33" s="89"/>
      <c r="N33" s="10"/>
    </row>
    <row r="34" spans="1:14" x14ac:dyDescent="0.25">
      <c r="A34" s="27" t="b">
        <v>0</v>
      </c>
      <c r="B34" s="3">
        <f t="shared" ref="B34:B51" si="2">ROW()-1</f>
        <v>33</v>
      </c>
      <c r="C34" s="3" t="e">
        <f t="shared" si="1"/>
        <v>#N/A</v>
      </c>
      <c r="D34" s="3" t="e">
        <f>_xlfn.XLOOKUP($E34,Tab_Def_Processes[Process_Name],Tab_Def_Processes[Process_ID],,0,)</f>
        <v>#N/A</v>
      </c>
      <c r="E34" s="23" t="s">
        <v>5</v>
      </c>
      <c r="F34" s="3" t="e">
        <f>_xlfn.XLOOKUP($E34,Tab_Def_Processes[Process_Name],Tab_Def_Processes[Process_Logic],,0,)</f>
        <v>#N/A</v>
      </c>
      <c r="G34" s="3" t="e">
        <f>_xlfn.XLOOKUP($E34,Tab_Def_Processes[Process_Name],Tab_Def_Processes[TC_Configuration],,0,)</f>
        <v>#N/A</v>
      </c>
      <c r="H34" s="17" t="e">
        <f>_xlfn.XLOOKUP($E34,Tab_Def_Processes[Process_Name],Tab_Def_Processes[Stock_Configuration],,0,)</f>
        <v>#N/A</v>
      </c>
      <c r="I34" s="17" t="e">
        <f>_xlfn.XLOOKUP($E34,Tab_Def_Processes[Process_Name],Tab_Def_Processes[Outflow_count],,0,)</f>
        <v>#N/A</v>
      </c>
      <c r="J34" s="17" t="e">
        <f>Tab_Process_Stock[[#This Row],[Stock_ID]]&amp;"_"&amp;Tab_Process_Stock[[#This Row],[IS_Parameter_type]]</f>
        <v>#N/A</v>
      </c>
      <c r="K34" s="51"/>
      <c r="L34" s="50"/>
      <c r="M34" s="89"/>
      <c r="N34" s="10"/>
    </row>
    <row r="35" spans="1:14" x14ac:dyDescent="0.25">
      <c r="A35" s="27" t="b">
        <v>0</v>
      </c>
      <c r="B35" s="3">
        <f t="shared" si="2"/>
        <v>34</v>
      </c>
      <c r="C35" s="3" t="e">
        <f t="shared" si="1"/>
        <v>#N/A</v>
      </c>
      <c r="D35" s="3" t="e">
        <f>_xlfn.XLOOKUP($E35,Tab_Def_Processes[Process_Name],Tab_Def_Processes[Process_ID],,0,)</f>
        <v>#N/A</v>
      </c>
      <c r="E35" s="23" t="s">
        <v>5</v>
      </c>
      <c r="F35" s="3" t="e">
        <f>_xlfn.XLOOKUP($E35,Tab_Def_Processes[Process_Name],Tab_Def_Processes[Process_Logic],,0,)</f>
        <v>#N/A</v>
      </c>
      <c r="G35" s="3" t="e">
        <f>_xlfn.XLOOKUP($E35,Tab_Def_Processes[Process_Name],Tab_Def_Processes[TC_Configuration],,0,)</f>
        <v>#N/A</v>
      </c>
      <c r="H35" s="17" t="e">
        <f>_xlfn.XLOOKUP($E35,Tab_Def_Processes[Process_Name],Tab_Def_Processes[Stock_Configuration],,0,)</f>
        <v>#N/A</v>
      </c>
      <c r="I35" s="17" t="e">
        <f>_xlfn.XLOOKUP($E35,Tab_Def_Processes[Process_Name],Tab_Def_Processes[Outflow_count],,0,)</f>
        <v>#N/A</v>
      </c>
      <c r="J35" s="17" t="e">
        <f>Tab_Process_Stock[[#This Row],[Stock_ID]]&amp;"_"&amp;Tab_Process_Stock[[#This Row],[IS_Parameter_type]]</f>
        <v>#N/A</v>
      </c>
      <c r="K35" s="51"/>
      <c r="L35" s="50"/>
      <c r="M35" s="89"/>
      <c r="N35" s="10"/>
    </row>
    <row r="36" spans="1:14" x14ac:dyDescent="0.25">
      <c r="A36" s="27" t="b">
        <v>0</v>
      </c>
      <c r="B36" s="3">
        <f t="shared" si="2"/>
        <v>35</v>
      </c>
      <c r="C36" s="3" t="e">
        <f t="shared" si="1"/>
        <v>#N/A</v>
      </c>
      <c r="D36" s="3" t="e">
        <f>_xlfn.XLOOKUP($E36,Tab_Def_Processes[Process_Name],Tab_Def_Processes[Process_ID],,0,)</f>
        <v>#N/A</v>
      </c>
      <c r="E36" s="23" t="s">
        <v>5</v>
      </c>
      <c r="F36" s="3" t="e">
        <f>_xlfn.XLOOKUP($E36,Tab_Def_Processes[Process_Name],Tab_Def_Processes[Process_Logic],,0,)</f>
        <v>#N/A</v>
      </c>
      <c r="G36" s="3" t="e">
        <f>_xlfn.XLOOKUP($E36,Tab_Def_Processes[Process_Name],Tab_Def_Processes[TC_Configuration],,0,)</f>
        <v>#N/A</v>
      </c>
      <c r="H36" s="17" t="e">
        <f>_xlfn.XLOOKUP($E36,Tab_Def_Processes[Process_Name],Tab_Def_Processes[Stock_Configuration],,0,)</f>
        <v>#N/A</v>
      </c>
      <c r="I36" s="17" t="e">
        <f>_xlfn.XLOOKUP($E36,Tab_Def_Processes[Process_Name],Tab_Def_Processes[Outflow_count],,0,)</f>
        <v>#N/A</v>
      </c>
      <c r="J36" s="17" t="e">
        <f>Tab_Process_Stock[[#This Row],[Stock_ID]]&amp;"_"&amp;Tab_Process_Stock[[#This Row],[IS_Parameter_type]]</f>
        <v>#N/A</v>
      </c>
      <c r="K36" s="51"/>
      <c r="L36" s="50"/>
      <c r="M36" s="89"/>
      <c r="N36" s="10"/>
    </row>
    <row r="37" spans="1:14" x14ac:dyDescent="0.25">
      <c r="A37" s="27" t="b">
        <v>0</v>
      </c>
      <c r="B37" s="3">
        <f t="shared" si="2"/>
        <v>36</v>
      </c>
      <c r="C37" s="3" t="e">
        <f t="shared" si="1"/>
        <v>#N/A</v>
      </c>
      <c r="D37" s="3" t="e">
        <f>_xlfn.XLOOKUP($E37,Tab_Def_Processes[Process_Name],Tab_Def_Processes[Process_ID],,0,)</f>
        <v>#N/A</v>
      </c>
      <c r="E37" s="23" t="s">
        <v>5</v>
      </c>
      <c r="F37" s="3" t="e">
        <f>_xlfn.XLOOKUP($E37,Tab_Def_Processes[Process_Name],Tab_Def_Processes[Process_Logic],,0,)</f>
        <v>#N/A</v>
      </c>
      <c r="G37" s="3" t="e">
        <f>_xlfn.XLOOKUP($E37,Tab_Def_Processes[Process_Name],Tab_Def_Processes[TC_Configuration],,0,)</f>
        <v>#N/A</v>
      </c>
      <c r="H37" s="17" t="e">
        <f>_xlfn.XLOOKUP($E37,Tab_Def_Processes[Process_Name],Tab_Def_Processes[Stock_Configuration],,0,)</f>
        <v>#N/A</v>
      </c>
      <c r="I37" s="17" t="e">
        <f>_xlfn.XLOOKUP($E37,Tab_Def_Processes[Process_Name],Tab_Def_Processes[Outflow_count],,0,)</f>
        <v>#N/A</v>
      </c>
      <c r="J37" s="17" t="e">
        <f>Tab_Process_Stock[[#This Row],[Stock_ID]]&amp;"_"&amp;Tab_Process_Stock[[#This Row],[IS_Parameter_type]]</f>
        <v>#N/A</v>
      </c>
      <c r="K37" s="51"/>
      <c r="L37" s="50"/>
      <c r="M37" s="89"/>
      <c r="N37" s="10"/>
    </row>
    <row r="38" spans="1:14" x14ac:dyDescent="0.25">
      <c r="A38" s="27" t="b">
        <v>0</v>
      </c>
      <c r="B38" s="3">
        <f t="shared" si="2"/>
        <v>37</v>
      </c>
      <c r="C38" s="3" t="e">
        <f t="shared" si="1"/>
        <v>#N/A</v>
      </c>
      <c r="D38" s="3" t="e">
        <f>_xlfn.XLOOKUP($E38,Tab_Def_Processes[Process_Name],Tab_Def_Processes[Process_ID],,0,)</f>
        <v>#N/A</v>
      </c>
      <c r="E38" s="23" t="s">
        <v>5</v>
      </c>
      <c r="F38" s="3" t="e">
        <f>_xlfn.XLOOKUP($E38,Tab_Def_Processes[Process_Name],Tab_Def_Processes[Process_Logic],,0,)</f>
        <v>#N/A</v>
      </c>
      <c r="G38" s="3" t="e">
        <f>_xlfn.XLOOKUP($E38,Tab_Def_Processes[Process_Name],Tab_Def_Processes[TC_Configuration],,0,)</f>
        <v>#N/A</v>
      </c>
      <c r="H38" s="17" t="e">
        <f>_xlfn.XLOOKUP($E38,Tab_Def_Processes[Process_Name],Tab_Def_Processes[Stock_Configuration],,0,)</f>
        <v>#N/A</v>
      </c>
      <c r="I38" s="17" t="e">
        <f>_xlfn.XLOOKUP($E38,Tab_Def_Processes[Process_Name],Tab_Def_Processes[Outflow_count],,0,)</f>
        <v>#N/A</v>
      </c>
      <c r="J38" s="17" t="e">
        <f>Tab_Process_Stock[[#This Row],[Stock_ID]]&amp;"_"&amp;Tab_Process_Stock[[#This Row],[IS_Parameter_type]]</f>
        <v>#N/A</v>
      </c>
      <c r="K38" s="51"/>
      <c r="L38" s="50"/>
      <c r="M38" s="89"/>
      <c r="N38" s="10"/>
    </row>
    <row r="39" spans="1:14" x14ac:dyDescent="0.25">
      <c r="A39" s="27" t="b">
        <v>0</v>
      </c>
      <c r="B39" s="3">
        <f t="shared" si="2"/>
        <v>38</v>
      </c>
      <c r="C39" s="3" t="e">
        <f t="shared" si="1"/>
        <v>#N/A</v>
      </c>
      <c r="D39" s="3" t="e">
        <f>_xlfn.XLOOKUP($E39,Tab_Def_Processes[Process_Name],Tab_Def_Processes[Process_ID],,0,)</f>
        <v>#N/A</v>
      </c>
      <c r="E39" s="23" t="s">
        <v>5</v>
      </c>
      <c r="F39" s="3" t="e">
        <f>_xlfn.XLOOKUP($E39,Tab_Def_Processes[Process_Name],Tab_Def_Processes[Process_Logic],,0,)</f>
        <v>#N/A</v>
      </c>
      <c r="G39" s="3" t="e">
        <f>_xlfn.XLOOKUP($E39,Tab_Def_Processes[Process_Name],Tab_Def_Processes[TC_Configuration],,0,)</f>
        <v>#N/A</v>
      </c>
      <c r="H39" s="17" t="e">
        <f>_xlfn.XLOOKUP($E39,Tab_Def_Processes[Process_Name],Tab_Def_Processes[Stock_Configuration],,0,)</f>
        <v>#N/A</v>
      </c>
      <c r="I39" s="17" t="e">
        <f>_xlfn.XLOOKUP($E39,Tab_Def_Processes[Process_Name],Tab_Def_Processes[Outflow_count],,0,)</f>
        <v>#N/A</v>
      </c>
      <c r="J39" s="17" t="e">
        <f>Tab_Process_Stock[[#This Row],[Stock_ID]]&amp;"_"&amp;Tab_Process_Stock[[#This Row],[IS_Parameter_type]]</f>
        <v>#N/A</v>
      </c>
      <c r="K39" s="51"/>
      <c r="L39" s="50"/>
      <c r="M39" s="89"/>
      <c r="N39" s="10"/>
    </row>
    <row r="40" spans="1:14" x14ac:dyDescent="0.25">
      <c r="A40" s="27" t="b">
        <v>0</v>
      </c>
      <c r="B40" s="3">
        <f t="shared" si="2"/>
        <v>39</v>
      </c>
      <c r="C40" s="3" t="e">
        <f t="shared" si="1"/>
        <v>#N/A</v>
      </c>
      <c r="D40" s="3" t="e">
        <f>_xlfn.XLOOKUP($E40,Tab_Def_Processes[Process_Name],Tab_Def_Processes[Process_ID],,0,)</f>
        <v>#N/A</v>
      </c>
      <c r="E40" s="23" t="s">
        <v>5</v>
      </c>
      <c r="F40" s="3" t="e">
        <f>_xlfn.XLOOKUP($E40,Tab_Def_Processes[Process_Name],Tab_Def_Processes[Process_Logic],,0,)</f>
        <v>#N/A</v>
      </c>
      <c r="G40" s="3" t="e">
        <f>_xlfn.XLOOKUP($E40,Tab_Def_Processes[Process_Name],Tab_Def_Processes[TC_Configuration],,0,)</f>
        <v>#N/A</v>
      </c>
      <c r="H40" s="17" t="e">
        <f>_xlfn.XLOOKUP($E40,Tab_Def_Processes[Process_Name],Tab_Def_Processes[Stock_Configuration],,0,)</f>
        <v>#N/A</v>
      </c>
      <c r="I40" s="17" t="e">
        <f>_xlfn.XLOOKUP($E40,Tab_Def_Processes[Process_Name],Tab_Def_Processes[Outflow_count],,0,)</f>
        <v>#N/A</v>
      </c>
      <c r="J40" s="17" t="e">
        <f>Tab_Process_Stock[[#This Row],[Stock_ID]]&amp;"_"&amp;Tab_Process_Stock[[#This Row],[IS_Parameter_type]]</f>
        <v>#N/A</v>
      </c>
      <c r="K40" s="51"/>
      <c r="L40" s="50"/>
      <c r="M40" s="89"/>
      <c r="N40" s="10"/>
    </row>
    <row r="41" spans="1:14" x14ac:dyDescent="0.25">
      <c r="A41" s="27" t="b">
        <v>0</v>
      </c>
      <c r="B41" s="3">
        <f t="shared" si="2"/>
        <v>40</v>
      </c>
      <c r="C41" s="3" t="e">
        <f t="shared" si="1"/>
        <v>#N/A</v>
      </c>
      <c r="D41" s="3" t="e">
        <f>_xlfn.XLOOKUP($E41,Tab_Def_Processes[Process_Name],Tab_Def_Processes[Process_ID],,0,)</f>
        <v>#N/A</v>
      </c>
      <c r="E41" s="23" t="s">
        <v>5</v>
      </c>
      <c r="F41" s="3" t="e">
        <f>_xlfn.XLOOKUP($E41,Tab_Def_Processes[Process_Name],Tab_Def_Processes[Process_Logic],,0,)</f>
        <v>#N/A</v>
      </c>
      <c r="G41" s="3" t="e">
        <f>_xlfn.XLOOKUP($E41,Tab_Def_Processes[Process_Name],Tab_Def_Processes[TC_Configuration],,0,)</f>
        <v>#N/A</v>
      </c>
      <c r="H41" s="17" t="e">
        <f>_xlfn.XLOOKUP($E41,Tab_Def_Processes[Process_Name],Tab_Def_Processes[Stock_Configuration],,0,)</f>
        <v>#N/A</v>
      </c>
      <c r="I41" s="17" t="e">
        <f>_xlfn.XLOOKUP($E41,Tab_Def_Processes[Process_Name],Tab_Def_Processes[Outflow_count],,0,)</f>
        <v>#N/A</v>
      </c>
      <c r="J41" s="17" t="e">
        <f>Tab_Process_Stock[[#This Row],[Stock_ID]]&amp;"_"&amp;Tab_Process_Stock[[#This Row],[IS_Parameter_type]]</f>
        <v>#N/A</v>
      </c>
      <c r="K41" s="51"/>
      <c r="L41" s="50"/>
      <c r="M41" s="89"/>
      <c r="N41" s="10"/>
    </row>
    <row r="42" spans="1:14" x14ac:dyDescent="0.25">
      <c r="A42" s="27" t="b">
        <v>0</v>
      </c>
      <c r="B42" s="3">
        <f t="shared" si="2"/>
        <v>41</v>
      </c>
      <c r="C42" s="3" t="e">
        <f t="shared" si="1"/>
        <v>#N/A</v>
      </c>
      <c r="D42" s="3" t="e">
        <f>_xlfn.XLOOKUP($E42,Tab_Def_Processes[Process_Name],Tab_Def_Processes[Process_ID],,0,)</f>
        <v>#N/A</v>
      </c>
      <c r="E42" s="23" t="s">
        <v>5</v>
      </c>
      <c r="F42" s="3" t="e">
        <f>_xlfn.XLOOKUP($E42,Tab_Def_Processes[Process_Name],Tab_Def_Processes[Process_Logic],,0,)</f>
        <v>#N/A</v>
      </c>
      <c r="G42" s="3" t="e">
        <f>_xlfn.XLOOKUP($E42,Tab_Def_Processes[Process_Name],Tab_Def_Processes[TC_Configuration],,0,)</f>
        <v>#N/A</v>
      </c>
      <c r="H42" s="17" t="e">
        <f>_xlfn.XLOOKUP($E42,Tab_Def_Processes[Process_Name],Tab_Def_Processes[Stock_Configuration],,0,)</f>
        <v>#N/A</v>
      </c>
      <c r="I42" s="17" t="e">
        <f>_xlfn.XLOOKUP($E42,Tab_Def_Processes[Process_Name],Tab_Def_Processes[Outflow_count],,0,)</f>
        <v>#N/A</v>
      </c>
      <c r="J42" s="17" t="e">
        <f>Tab_Process_Stock[[#This Row],[Stock_ID]]&amp;"_"&amp;Tab_Process_Stock[[#This Row],[IS_Parameter_type]]</f>
        <v>#N/A</v>
      </c>
      <c r="K42" s="51"/>
      <c r="L42" s="50"/>
      <c r="M42" s="89"/>
      <c r="N42" s="10"/>
    </row>
    <row r="43" spans="1:14" x14ac:dyDescent="0.25">
      <c r="A43" s="27" t="b">
        <v>0</v>
      </c>
      <c r="B43" s="3">
        <f t="shared" si="2"/>
        <v>42</v>
      </c>
      <c r="C43" s="3" t="e">
        <f t="shared" si="1"/>
        <v>#N/A</v>
      </c>
      <c r="D43" s="3" t="e">
        <f>_xlfn.XLOOKUP($E43,Tab_Def_Processes[Process_Name],Tab_Def_Processes[Process_ID],,0,)</f>
        <v>#N/A</v>
      </c>
      <c r="E43" s="23" t="s">
        <v>5</v>
      </c>
      <c r="F43" s="3" t="e">
        <f>_xlfn.XLOOKUP($E43,Tab_Def_Processes[Process_Name],Tab_Def_Processes[Process_Logic],,0,)</f>
        <v>#N/A</v>
      </c>
      <c r="G43" s="3" t="e">
        <f>_xlfn.XLOOKUP($E43,Tab_Def_Processes[Process_Name],Tab_Def_Processes[TC_Configuration],,0,)</f>
        <v>#N/A</v>
      </c>
      <c r="H43" s="17" t="e">
        <f>_xlfn.XLOOKUP($E43,Tab_Def_Processes[Process_Name],Tab_Def_Processes[Stock_Configuration],,0,)</f>
        <v>#N/A</v>
      </c>
      <c r="I43" s="17" t="e">
        <f>_xlfn.XLOOKUP($E43,Tab_Def_Processes[Process_Name],Tab_Def_Processes[Outflow_count],,0,)</f>
        <v>#N/A</v>
      </c>
      <c r="J43" s="17" t="e">
        <f>Tab_Process_Stock[[#This Row],[Stock_ID]]&amp;"_"&amp;Tab_Process_Stock[[#This Row],[IS_Parameter_type]]</f>
        <v>#N/A</v>
      </c>
      <c r="K43" s="51"/>
      <c r="L43" s="50"/>
      <c r="M43" s="89"/>
      <c r="N43" s="10"/>
    </row>
    <row r="44" spans="1:14" x14ac:dyDescent="0.25">
      <c r="A44" s="27" t="b">
        <v>0</v>
      </c>
      <c r="B44" s="3">
        <f t="shared" si="2"/>
        <v>43</v>
      </c>
      <c r="C44" s="3" t="e">
        <f t="shared" si="1"/>
        <v>#N/A</v>
      </c>
      <c r="D44" s="3" t="e">
        <f>_xlfn.XLOOKUP($E44,Tab_Def_Processes[Process_Name],Tab_Def_Processes[Process_ID],,0,)</f>
        <v>#N/A</v>
      </c>
      <c r="E44" s="23" t="s">
        <v>5</v>
      </c>
      <c r="F44" s="3" t="e">
        <f>_xlfn.XLOOKUP($E44,Tab_Def_Processes[Process_Name],Tab_Def_Processes[Process_Logic],,0,)</f>
        <v>#N/A</v>
      </c>
      <c r="G44" s="3" t="e">
        <f>_xlfn.XLOOKUP($E44,Tab_Def_Processes[Process_Name],Tab_Def_Processes[TC_Configuration],,0,)</f>
        <v>#N/A</v>
      </c>
      <c r="H44" s="17" t="e">
        <f>_xlfn.XLOOKUP($E44,Tab_Def_Processes[Process_Name],Tab_Def_Processes[Stock_Configuration],,0,)</f>
        <v>#N/A</v>
      </c>
      <c r="I44" s="17" t="e">
        <f>_xlfn.XLOOKUP($E44,Tab_Def_Processes[Process_Name],Tab_Def_Processes[Outflow_count],,0,)</f>
        <v>#N/A</v>
      </c>
      <c r="J44" s="17" t="e">
        <f>Tab_Process_Stock[[#This Row],[Stock_ID]]&amp;"_"&amp;Tab_Process_Stock[[#This Row],[IS_Parameter_type]]</f>
        <v>#N/A</v>
      </c>
      <c r="K44" s="51"/>
      <c r="L44" s="50"/>
      <c r="M44" s="89"/>
      <c r="N44" s="10"/>
    </row>
    <row r="45" spans="1:14" x14ac:dyDescent="0.25">
      <c r="A45" s="27" t="b">
        <v>0</v>
      </c>
      <c r="B45" s="3">
        <f t="shared" si="2"/>
        <v>44</v>
      </c>
      <c r="C45" s="3" t="e">
        <f t="shared" si="1"/>
        <v>#N/A</v>
      </c>
      <c r="D45" s="3" t="e">
        <f>_xlfn.XLOOKUP($E45,Tab_Def_Processes[Process_Name],Tab_Def_Processes[Process_ID],,0,)</f>
        <v>#N/A</v>
      </c>
      <c r="E45" s="23" t="s">
        <v>5</v>
      </c>
      <c r="F45" s="3" t="e">
        <f>_xlfn.XLOOKUP($E45,Tab_Def_Processes[Process_Name],Tab_Def_Processes[Process_Logic],,0,)</f>
        <v>#N/A</v>
      </c>
      <c r="G45" s="3" t="e">
        <f>_xlfn.XLOOKUP($E45,Tab_Def_Processes[Process_Name],Tab_Def_Processes[TC_Configuration],,0,)</f>
        <v>#N/A</v>
      </c>
      <c r="H45" s="17" t="e">
        <f>_xlfn.XLOOKUP($E45,Tab_Def_Processes[Process_Name],Tab_Def_Processes[Stock_Configuration],,0,)</f>
        <v>#N/A</v>
      </c>
      <c r="I45" s="17" t="e">
        <f>_xlfn.XLOOKUP($E45,Tab_Def_Processes[Process_Name],Tab_Def_Processes[Outflow_count],,0,)</f>
        <v>#N/A</v>
      </c>
      <c r="J45" s="17" t="e">
        <f>Tab_Process_Stock[[#This Row],[Stock_ID]]&amp;"_"&amp;Tab_Process_Stock[[#This Row],[IS_Parameter_type]]</f>
        <v>#N/A</v>
      </c>
      <c r="K45" s="51"/>
      <c r="L45" s="50"/>
      <c r="M45" s="89"/>
      <c r="N45" s="10"/>
    </row>
    <row r="46" spans="1:14" x14ac:dyDescent="0.25">
      <c r="A46" s="27" t="b">
        <v>0</v>
      </c>
      <c r="B46" s="3">
        <f t="shared" si="2"/>
        <v>45</v>
      </c>
      <c r="C46" s="3" t="e">
        <f t="shared" si="1"/>
        <v>#N/A</v>
      </c>
      <c r="D46" s="3" t="e">
        <f>_xlfn.XLOOKUP($E46,Tab_Def_Processes[Process_Name],Tab_Def_Processes[Process_ID],,0,)</f>
        <v>#N/A</v>
      </c>
      <c r="E46" s="23" t="s">
        <v>5</v>
      </c>
      <c r="F46" s="3" t="e">
        <f>_xlfn.XLOOKUP($E46,Tab_Def_Processes[Process_Name],Tab_Def_Processes[Process_Logic],,0,)</f>
        <v>#N/A</v>
      </c>
      <c r="G46" s="3" t="e">
        <f>_xlfn.XLOOKUP($E46,Tab_Def_Processes[Process_Name],Tab_Def_Processes[TC_Configuration],,0,)</f>
        <v>#N/A</v>
      </c>
      <c r="H46" s="17" t="e">
        <f>_xlfn.XLOOKUP($E46,Tab_Def_Processes[Process_Name],Tab_Def_Processes[Stock_Configuration],,0,)</f>
        <v>#N/A</v>
      </c>
      <c r="I46" s="17" t="e">
        <f>_xlfn.XLOOKUP($E46,Tab_Def_Processes[Process_Name],Tab_Def_Processes[Outflow_count],,0,)</f>
        <v>#N/A</v>
      </c>
      <c r="J46" s="17" t="e">
        <f>Tab_Process_Stock[[#This Row],[Stock_ID]]&amp;"_"&amp;Tab_Process_Stock[[#This Row],[IS_Parameter_type]]</f>
        <v>#N/A</v>
      </c>
      <c r="K46" s="51"/>
      <c r="L46" s="50"/>
      <c r="M46" s="89"/>
      <c r="N46" s="10"/>
    </row>
    <row r="47" spans="1:14" x14ac:dyDescent="0.25">
      <c r="A47" s="27" t="b">
        <v>0</v>
      </c>
      <c r="B47" s="3">
        <f t="shared" si="2"/>
        <v>46</v>
      </c>
      <c r="C47" s="3" t="e">
        <f t="shared" si="1"/>
        <v>#N/A</v>
      </c>
      <c r="D47" s="3" t="e">
        <f>_xlfn.XLOOKUP($E47,Tab_Def_Processes[Process_Name],Tab_Def_Processes[Process_ID],,0,)</f>
        <v>#N/A</v>
      </c>
      <c r="E47" s="23" t="s">
        <v>5</v>
      </c>
      <c r="F47" s="3" t="e">
        <f>_xlfn.XLOOKUP($E47,Tab_Def_Processes[Process_Name],Tab_Def_Processes[Process_Logic],,0,)</f>
        <v>#N/A</v>
      </c>
      <c r="G47" s="3" t="e">
        <f>_xlfn.XLOOKUP($E47,Tab_Def_Processes[Process_Name],Tab_Def_Processes[TC_Configuration],,0,)</f>
        <v>#N/A</v>
      </c>
      <c r="H47" s="17" t="e">
        <f>_xlfn.XLOOKUP($E47,Tab_Def_Processes[Process_Name],Tab_Def_Processes[Stock_Configuration],,0,)</f>
        <v>#N/A</v>
      </c>
      <c r="I47" s="17" t="e">
        <f>_xlfn.XLOOKUP($E47,Tab_Def_Processes[Process_Name],Tab_Def_Processes[Outflow_count],,0,)</f>
        <v>#N/A</v>
      </c>
      <c r="J47" s="17" t="e">
        <f>Tab_Process_Stock[[#This Row],[Stock_ID]]&amp;"_"&amp;Tab_Process_Stock[[#This Row],[IS_Parameter_type]]</f>
        <v>#N/A</v>
      </c>
      <c r="K47" s="51"/>
      <c r="L47" s="50"/>
      <c r="M47" s="89"/>
      <c r="N47" s="10"/>
    </row>
    <row r="48" spans="1:14" x14ac:dyDescent="0.25">
      <c r="A48" s="27" t="b">
        <v>0</v>
      </c>
      <c r="B48" s="3">
        <f t="shared" si="2"/>
        <v>47</v>
      </c>
      <c r="C48" s="3" t="e">
        <f t="shared" si="1"/>
        <v>#N/A</v>
      </c>
      <c r="D48" s="3" t="e">
        <f>_xlfn.XLOOKUP($E48,Tab_Def_Processes[Process_Name],Tab_Def_Processes[Process_ID],,0,)</f>
        <v>#N/A</v>
      </c>
      <c r="E48" s="23" t="s">
        <v>5</v>
      </c>
      <c r="F48" s="3" t="e">
        <f>_xlfn.XLOOKUP($E48,Tab_Def_Processes[Process_Name],Tab_Def_Processes[Process_Logic],,0,)</f>
        <v>#N/A</v>
      </c>
      <c r="G48" s="3" t="e">
        <f>_xlfn.XLOOKUP($E48,Tab_Def_Processes[Process_Name],Tab_Def_Processes[TC_Configuration],,0,)</f>
        <v>#N/A</v>
      </c>
      <c r="H48" s="17" t="e">
        <f>_xlfn.XLOOKUP($E48,Tab_Def_Processes[Process_Name],Tab_Def_Processes[Stock_Configuration],,0,)</f>
        <v>#N/A</v>
      </c>
      <c r="I48" s="17" t="e">
        <f>_xlfn.XLOOKUP($E48,Tab_Def_Processes[Process_Name],Tab_Def_Processes[Outflow_count],,0,)</f>
        <v>#N/A</v>
      </c>
      <c r="J48" s="17" t="e">
        <f>Tab_Process_Stock[[#This Row],[Stock_ID]]&amp;"_"&amp;Tab_Process_Stock[[#This Row],[IS_Parameter_type]]</f>
        <v>#N/A</v>
      </c>
      <c r="K48" s="51"/>
      <c r="L48" s="50"/>
      <c r="M48" s="89"/>
      <c r="N48" s="10"/>
    </row>
    <row r="49" spans="1:14" x14ac:dyDescent="0.25">
      <c r="A49" s="27" t="b">
        <v>0</v>
      </c>
      <c r="B49" s="3">
        <f t="shared" si="2"/>
        <v>48</v>
      </c>
      <c r="C49" s="3" t="e">
        <f t="shared" si="1"/>
        <v>#N/A</v>
      </c>
      <c r="D49" s="3" t="e">
        <f>_xlfn.XLOOKUP($E49,Tab_Def_Processes[Process_Name],Tab_Def_Processes[Process_ID],,0,)</f>
        <v>#N/A</v>
      </c>
      <c r="E49" s="23" t="s">
        <v>5</v>
      </c>
      <c r="F49" s="3" t="e">
        <f>_xlfn.XLOOKUP($E49,Tab_Def_Processes[Process_Name],Tab_Def_Processes[Process_Logic],,0,)</f>
        <v>#N/A</v>
      </c>
      <c r="G49" s="3" t="e">
        <f>_xlfn.XLOOKUP($E49,Tab_Def_Processes[Process_Name],Tab_Def_Processes[TC_Configuration],,0,)</f>
        <v>#N/A</v>
      </c>
      <c r="H49" s="17" t="e">
        <f>_xlfn.XLOOKUP($E49,Tab_Def_Processes[Process_Name],Tab_Def_Processes[Stock_Configuration],,0,)</f>
        <v>#N/A</v>
      </c>
      <c r="I49" s="17" t="e">
        <f>_xlfn.XLOOKUP($E49,Tab_Def_Processes[Process_Name],Tab_Def_Processes[Outflow_count],,0,)</f>
        <v>#N/A</v>
      </c>
      <c r="J49" s="17" t="e">
        <f>Tab_Process_Stock[[#This Row],[Stock_ID]]&amp;"_"&amp;Tab_Process_Stock[[#This Row],[IS_Parameter_type]]</f>
        <v>#N/A</v>
      </c>
      <c r="K49" s="51"/>
      <c r="L49" s="50"/>
      <c r="M49" s="89"/>
      <c r="N49" s="10"/>
    </row>
    <row r="50" spans="1:14" x14ac:dyDescent="0.25">
      <c r="A50" s="27" t="b">
        <v>0</v>
      </c>
      <c r="B50" s="3">
        <f t="shared" si="2"/>
        <v>49</v>
      </c>
      <c r="C50" s="3" t="e">
        <f t="shared" si="1"/>
        <v>#N/A</v>
      </c>
      <c r="D50" s="3" t="e">
        <f>_xlfn.XLOOKUP($E50,Tab_Def_Processes[Process_Name],Tab_Def_Processes[Process_ID],,0,)</f>
        <v>#N/A</v>
      </c>
      <c r="E50" s="23" t="s">
        <v>5</v>
      </c>
      <c r="F50" s="3" t="e">
        <f>_xlfn.XLOOKUP($E50,Tab_Def_Processes[Process_Name],Tab_Def_Processes[Process_Logic],,0,)</f>
        <v>#N/A</v>
      </c>
      <c r="G50" s="3" t="e">
        <f>_xlfn.XLOOKUP($E50,Tab_Def_Processes[Process_Name],Tab_Def_Processes[TC_Configuration],,0,)</f>
        <v>#N/A</v>
      </c>
      <c r="H50" s="17" t="e">
        <f>_xlfn.XLOOKUP($E50,Tab_Def_Processes[Process_Name],Tab_Def_Processes[Stock_Configuration],,0,)</f>
        <v>#N/A</v>
      </c>
      <c r="I50" s="17" t="e">
        <f>_xlfn.XLOOKUP($E50,Tab_Def_Processes[Process_Name],Tab_Def_Processes[Outflow_count],,0,)</f>
        <v>#N/A</v>
      </c>
      <c r="J50" s="17" t="e">
        <f>Tab_Process_Stock[[#This Row],[Stock_ID]]&amp;"_"&amp;Tab_Process_Stock[[#This Row],[IS_Parameter_type]]</f>
        <v>#N/A</v>
      </c>
      <c r="K50" s="51"/>
      <c r="L50" s="50"/>
      <c r="M50" s="89"/>
      <c r="N50" s="10"/>
    </row>
    <row r="51" spans="1:14" x14ac:dyDescent="0.25">
      <c r="A51" s="27" t="b">
        <v>0</v>
      </c>
      <c r="B51" s="3">
        <f t="shared" si="2"/>
        <v>50</v>
      </c>
      <c r="C51" s="3" t="e">
        <f t="shared" si="1"/>
        <v>#N/A</v>
      </c>
      <c r="D51" s="3" t="e">
        <f>_xlfn.XLOOKUP($E51,Tab_Def_Processes[Process_Name],Tab_Def_Processes[Process_ID],,0,)</f>
        <v>#N/A</v>
      </c>
      <c r="E51" s="23" t="s">
        <v>5</v>
      </c>
      <c r="F51" s="3" t="e">
        <f>_xlfn.XLOOKUP($E51,Tab_Def_Processes[Process_Name],Tab_Def_Processes[Process_Logic],,0,)</f>
        <v>#N/A</v>
      </c>
      <c r="G51" s="3" t="e">
        <f>_xlfn.XLOOKUP($E51,Tab_Def_Processes[Process_Name],Tab_Def_Processes[TC_Configuration],,0,)</f>
        <v>#N/A</v>
      </c>
      <c r="H51" s="17" t="e">
        <f>_xlfn.XLOOKUP($E51,Tab_Def_Processes[Process_Name],Tab_Def_Processes[Stock_Configuration],,0,)</f>
        <v>#N/A</v>
      </c>
      <c r="I51" s="17" t="e">
        <f>_xlfn.XLOOKUP($E51,Tab_Def_Processes[Process_Name],Tab_Def_Processes[Outflow_count],,0,)</f>
        <v>#N/A</v>
      </c>
      <c r="J51" s="17" t="e">
        <f>Tab_Process_Stock[[#This Row],[Stock_ID]]&amp;"_"&amp;Tab_Process_Stock[[#This Row],[IS_Parameter_type]]</f>
        <v>#N/A</v>
      </c>
      <c r="K51" s="51"/>
      <c r="L51" s="50"/>
      <c r="M51" s="89"/>
      <c r="N51" s="10"/>
    </row>
  </sheetData>
  <phoneticPr fontId="2" type="noConversion"/>
  <pageMargins left="0.7" right="0.7" top="0.78740157499999996" bottom="0.78740157499999996" header="0.3" footer="0.3"/>
  <legacyDrawing r:id="rId1"/>
  <tableParts count="2">
    <tablePart r:id="rId2"/>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FD1286C3-5C7A-45FB-B3B6-FC7C2DEB6327}">
          <x14:formula1>
            <xm:f>'7_2_Codelists'!$B$64:$B$82</xm:f>
          </x14:formula1>
          <xm:sqref>K2:K51</xm:sqref>
        </x14:dataValidation>
        <x14:dataValidation type="list" allowBlank="1" showInputMessage="1" showErrorMessage="1" promptTitle="Definition of Process Name" prompt="Enter the name of the Process Name" xr:uid="{5E57AF03-8671-4C16-8704-D4983AD73B44}">
          <x14:formula1>
            <xm:f>'2_1_Definition_Processes'!$D$2:$D$46</xm:f>
          </x14:formula1>
          <xm:sqref>E2:E51</xm:sqref>
        </x14:dataValidation>
        <x14:dataValidation type="list" allowBlank="1" showInputMessage="1" showErrorMessage="1" xr:uid="{34810E28-B252-4F8C-A43F-8EBEFAA46392}">
          <x14:formula1>
            <xm:f>'6_1_Reference_Manager'!$C$2:$C$49</xm:f>
          </x14:formula1>
          <xm:sqref>N2:N51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V81"/>
  <sheetViews>
    <sheetView topLeftCell="J1" zoomScale="130" zoomScaleNormal="130" workbookViewId="0">
      <selection activeCell="U25" sqref="U25"/>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36.7109375" customWidth="1"/>
    <col min="10" max="10" width="20.7109375" customWidth="1"/>
    <col min="11" max="11" width="33.28515625" customWidth="1"/>
    <col min="12" max="12" width="36.42578125" customWidth="1"/>
    <col min="13" max="13" width="13.140625" customWidth="1"/>
    <col min="14" max="14" width="11.5703125" customWidth="1"/>
    <col min="16" max="16" width="5.140625" customWidth="1"/>
    <col min="17" max="17" width="20.5703125" customWidth="1"/>
    <col min="18" max="18" width="6.42578125" customWidth="1"/>
    <col min="19" max="19" width="28.5703125" customWidth="1"/>
    <col min="20" max="20" width="22.85546875" customWidth="1"/>
    <col min="21" max="21" width="27" customWidth="1"/>
  </cols>
  <sheetData>
    <row r="1" spans="1:22" x14ac:dyDescent="0.25">
      <c r="A1" s="26" t="s">
        <v>13</v>
      </c>
      <c r="B1" s="26" t="s">
        <v>4</v>
      </c>
      <c r="C1" s="26" t="s">
        <v>12</v>
      </c>
      <c r="D1" s="26" t="s">
        <v>141</v>
      </c>
      <c r="E1" s="26" t="s">
        <v>128</v>
      </c>
      <c r="F1" s="26" t="s">
        <v>166</v>
      </c>
      <c r="G1" s="26" t="s">
        <v>167</v>
      </c>
      <c r="H1" s="26" t="s">
        <v>179</v>
      </c>
      <c r="I1" s="26" t="s">
        <v>198</v>
      </c>
      <c r="J1" s="26" t="s">
        <v>188</v>
      </c>
      <c r="K1" s="26" t="s">
        <v>153</v>
      </c>
      <c r="L1" s="26" t="s">
        <v>154</v>
      </c>
      <c r="M1" s="26" t="s">
        <v>7</v>
      </c>
      <c r="N1" s="26" t="s">
        <v>491</v>
      </c>
      <c r="P1" s="106" t="s">
        <v>663</v>
      </c>
      <c r="Q1" s="107"/>
      <c r="R1" s="107"/>
      <c r="S1" s="107"/>
      <c r="T1" s="107"/>
      <c r="U1" s="108"/>
    </row>
    <row r="2" spans="1:22" x14ac:dyDescent="0.25">
      <c r="A2" s="27" t="b">
        <v>0</v>
      </c>
      <c r="B2" s="3">
        <f t="shared" ref="B2:B81" si="0">ROW()-1</f>
        <v>1</v>
      </c>
      <c r="C2" s="3" t="str">
        <f>_xlfn.XLOOKUP($D2,Tab_Def_Processes[Process_Name],Tab_Def_Processes[Process_ID],,0,)</f>
        <v>00</v>
      </c>
      <c r="D2" s="23" t="s">
        <v>430</v>
      </c>
      <c r="E2" s="3">
        <f>_xlfn.XLOOKUP($D2,Tab_Def_Processes[Process_Name],Tab_Def_Processes[Process_Logic],,0,)</f>
        <v>0</v>
      </c>
      <c r="F2" s="3">
        <f>_xlfn.XLOOKUP($D2,Tab_Def_Processes[Process_Name],Tab_Def_Processes[TC_Configuration],,0,)</f>
        <v>0</v>
      </c>
      <c r="G2" s="3">
        <f>_xlfn.XLOOKUP($D2,Tab_Def_Processes[Process_Name],Tab_Def_Processes[Stock_Configuration],,0,)</f>
        <v>0</v>
      </c>
      <c r="H2" s="3">
        <f>_xlfn.XLOOKUP(Tab_DSM[[#This Row],[Process_Name]],Tab_Def_Processes[Process_Name],Tab_Def_Processes[Outflow_count],,0,)</f>
        <v>0</v>
      </c>
      <c r="I2" s="3" t="str">
        <f>"P"&amp;Tab_DSM[[#This Row],[Process_ID]]&amp;"_"&amp;Tab_DSM[[#This Row],[DSM_Parameter_type]]&amp;"_Cat_"&amp;Tab_DSM[[#This Row],[DSM_material_count]]</f>
        <v>P00_DSM_Category_Name_Cat_2</v>
      </c>
      <c r="J2" s="23">
        <v>2</v>
      </c>
      <c r="K2" s="23" t="s">
        <v>148</v>
      </c>
      <c r="L2" s="4"/>
      <c r="M2" s="10"/>
      <c r="N2" s="10"/>
      <c r="P2" s="92" t="s">
        <v>4</v>
      </c>
      <c r="Q2" s="26" t="s">
        <v>660</v>
      </c>
      <c r="R2" s="26" t="s">
        <v>659</v>
      </c>
      <c r="S2" s="26" t="s">
        <v>661</v>
      </c>
      <c r="T2" s="26" t="s">
        <v>662</v>
      </c>
      <c r="U2" s="93" t="s">
        <v>1</v>
      </c>
    </row>
    <row r="3" spans="1:22" x14ac:dyDescent="0.25">
      <c r="A3" s="27" t="b">
        <v>0</v>
      </c>
      <c r="B3" s="3">
        <f t="shared" si="0"/>
        <v>2</v>
      </c>
      <c r="C3" s="3" t="e">
        <f>_xlfn.XLOOKUP($D3,Tab_Def_Processes[Process_Name],Tab_Def_Processes[Process_ID],,0,)</f>
        <v>#N/A</v>
      </c>
      <c r="D3" s="23" t="s">
        <v>5</v>
      </c>
      <c r="E3" s="3" t="e">
        <f>_xlfn.XLOOKUP($D3,Tab_Def_Processes[Process_Name],Tab_Def_Processes[Process_Logic],,0,)</f>
        <v>#N/A</v>
      </c>
      <c r="F3" s="3" t="e">
        <f>_xlfn.XLOOKUP($D3,Tab_Def_Processes[Process_Name],Tab_Def_Processes[TC_Configuration],,0,)</f>
        <v>#N/A</v>
      </c>
      <c r="G3" s="3" t="e">
        <f>_xlfn.XLOOKUP($D3,Tab_Def_Processes[Process_Name],Tab_Def_Processes[Stock_Configuration],,0,)</f>
        <v>#N/A</v>
      </c>
      <c r="H3" s="3" t="e">
        <f>_xlfn.XLOOKUP(Tab_DSM[[#This Row],[Process_Name]],Tab_Def_Processes[Process_Name],Tab_Def_Processes[Outflow_count],,0,)</f>
        <v>#N/A</v>
      </c>
      <c r="I3" s="3" t="e">
        <f>"P"&amp;Tab_DSM[[#This Row],[Process_ID]]&amp;"_"&amp;Tab_DSM[[#This Row],[DSM_Parameter_type]]&amp;"_Cat_"&amp;Tab_DSM[[#This Row],[DSM_material_count]]</f>
        <v>#N/A</v>
      </c>
      <c r="J3" s="23"/>
      <c r="K3" s="23" t="s">
        <v>149</v>
      </c>
      <c r="L3" s="4"/>
      <c r="M3" s="10"/>
      <c r="N3" s="10"/>
      <c r="P3" s="95">
        <v>1</v>
      </c>
      <c r="Q3" s="94" t="s">
        <v>591</v>
      </c>
      <c r="R3" s="94" t="s">
        <v>650</v>
      </c>
      <c r="S3" s="94" t="s">
        <v>151</v>
      </c>
      <c r="T3" s="94">
        <v>10</v>
      </c>
      <c r="U3" s="96" t="s">
        <v>628</v>
      </c>
    </row>
    <row r="4" spans="1:22" x14ac:dyDescent="0.25">
      <c r="A4" s="27" t="b">
        <v>0</v>
      </c>
      <c r="B4" s="3">
        <f t="shared" si="0"/>
        <v>3</v>
      </c>
      <c r="C4" s="3" t="e">
        <f>_xlfn.XLOOKUP($D4,Tab_Def_Processes[Process_Name],Tab_Def_Processes[Process_ID],,0,)</f>
        <v>#N/A</v>
      </c>
      <c r="D4" s="23" t="s">
        <v>5</v>
      </c>
      <c r="E4" s="3" t="e">
        <f>_xlfn.XLOOKUP($D4,Tab_Def_Processes[Process_Name],Tab_Def_Processes[Process_Logic],,0,)</f>
        <v>#N/A</v>
      </c>
      <c r="F4" s="3" t="e">
        <f>_xlfn.XLOOKUP($D4,Tab_Def_Processes[Process_Name],Tab_Def_Processes[TC_Configuration],,0,)</f>
        <v>#N/A</v>
      </c>
      <c r="G4" s="3" t="e">
        <f>_xlfn.XLOOKUP($D4,Tab_Def_Processes[Process_Name],Tab_Def_Processes[Stock_Configuration],,0,)</f>
        <v>#N/A</v>
      </c>
      <c r="H4" s="3" t="e">
        <f>_xlfn.XLOOKUP(Tab_DSM[[#This Row],[Process_Name]],Tab_Def_Processes[Process_Name],Tab_Def_Processes[Outflow_count],,0,)</f>
        <v>#N/A</v>
      </c>
      <c r="I4" s="3" t="e">
        <f>"P"&amp;Tab_DSM[[#This Row],[Process_ID]]&amp;"_"&amp;Tab_DSM[[#This Row],[DSM_Parameter_type]]&amp;"_Cat_"&amp;Tab_DSM[[#This Row],[DSM_material_count]]</f>
        <v>#N/A</v>
      </c>
      <c r="J4" s="23"/>
      <c r="K4" s="23"/>
      <c r="L4" s="4"/>
      <c r="M4" s="10"/>
      <c r="N4" s="10"/>
      <c r="P4" s="95">
        <v>2</v>
      </c>
      <c r="Q4" s="94" t="s">
        <v>69</v>
      </c>
      <c r="R4" s="94" t="s">
        <v>651</v>
      </c>
      <c r="S4" s="94" t="s">
        <v>151</v>
      </c>
      <c r="T4" s="94">
        <v>15</v>
      </c>
      <c r="U4" s="96" t="s">
        <v>629</v>
      </c>
    </row>
    <row r="5" spans="1:22" x14ac:dyDescent="0.25">
      <c r="A5" s="27" t="b">
        <v>0</v>
      </c>
      <c r="B5" s="3">
        <f t="shared" si="0"/>
        <v>4</v>
      </c>
      <c r="C5" s="3" t="str">
        <f>_xlfn.XLOOKUP($D5,Tab_Def_Processes[Process_Name],Tab_Def_Processes[Process_ID],,0,)</f>
        <v>00</v>
      </c>
      <c r="D5" s="23" t="s">
        <v>430</v>
      </c>
      <c r="E5" s="3">
        <f>_xlfn.XLOOKUP($D5,Tab_Def_Processes[Process_Name],Tab_Def_Processes[Process_Logic],,0,)</f>
        <v>0</v>
      </c>
      <c r="F5" s="3">
        <f>_xlfn.XLOOKUP($D5,Tab_Def_Processes[Process_Name],Tab_Def_Processes[TC_Configuration],,0,)</f>
        <v>0</v>
      </c>
      <c r="G5" s="3">
        <f>_xlfn.XLOOKUP($D5,Tab_Def_Processes[Process_Name],Tab_Def_Processes[Stock_Configuration],,0,)</f>
        <v>0</v>
      </c>
      <c r="H5" s="3">
        <f>_xlfn.XLOOKUP(Tab_DSM[[#This Row],[Process_Name]],Tab_Def_Processes[Process_Name],Tab_Def_Processes[Outflow_count],,0,)</f>
        <v>0</v>
      </c>
      <c r="I5" s="3" t="str">
        <f>"P"&amp;Tab_DSM[[#This Row],[Process_ID]]&amp;"_"&amp;Tab_DSM[[#This Row],[DSM_Parameter_type]]&amp;"_Cat_"&amp;Tab_DSM[[#This Row],[DSM_material_count]]</f>
        <v>P00_DSM_Output_1_Flow_Name_Cat_2</v>
      </c>
      <c r="J5" s="23">
        <v>2</v>
      </c>
      <c r="K5" s="23" t="s">
        <v>156</v>
      </c>
      <c r="L5" s="4"/>
      <c r="M5" s="10"/>
      <c r="N5" s="10"/>
      <c r="P5" s="95"/>
      <c r="Q5" s="94"/>
      <c r="R5" s="94" t="s">
        <v>655</v>
      </c>
      <c r="S5" s="94" t="s">
        <v>152</v>
      </c>
      <c r="T5" s="94">
        <v>3</v>
      </c>
      <c r="U5" s="96"/>
    </row>
    <row r="6" spans="1:22" x14ac:dyDescent="0.25">
      <c r="A6" s="27" t="b">
        <v>0</v>
      </c>
      <c r="B6" s="3">
        <f t="shared" si="0"/>
        <v>5</v>
      </c>
      <c r="C6" s="3" t="e">
        <f>_xlfn.XLOOKUP($D6,Tab_Def_Processes[Process_Name],Tab_Def_Processes[Process_ID],,0,)</f>
        <v>#N/A</v>
      </c>
      <c r="D6" s="23" t="s">
        <v>5</v>
      </c>
      <c r="E6" s="3" t="e">
        <f>_xlfn.XLOOKUP($D6,Tab_Def_Processes[Process_Name],Tab_Def_Processes[Process_Logic],,0,)</f>
        <v>#N/A</v>
      </c>
      <c r="F6" s="3" t="e">
        <f>_xlfn.XLOOKUP($D6,Tab_Def_Processes[Process_Name],Tab_Def_Processes[TC_Configuration],,0,)</f>
        <v>#N/A</v>
      </c>
      <c r="G6" s="3" t="e">
        <f>_xlfn.XLOOKUP($D6,Tab_Def_Processes[Process_Name],Tab_Def_Processes[Stock_Configuration],,0,)</f>
        <v>#N/A</v>
      </c>
      <c r="H6" s="3" t="e">
        <f>_xlfn.XLOOKUP(Tab_DSM[[#This Row],[Process_Name]],Tab_Def_Processes[Process_Name],Tab_Def_Processes[Outflow_count],,0,)</f>
        <v>#N/A</v>
      </c>
      <c r="I6" s="3" t="e">
        <f>"P"&amp;Tab_DSM[[#This Row],[Process_ID]]&amp;"_"&amp;Tab_DSM[[#This Row],[DSM_Parameter_type]]&amp;"_Cat_"&amp;Tab_DSM[[#This Row],[DSM_material_count]]</f>
        <v>#N/A</v>
      </c>
      <c r="J6" s="23"/>
      <c r="K6" s="23"/>
      <c r="L6" s="4"/>
      <c r="M6" s="10"/>
      <c r="N6" s="10"/>
      <c r="P6" s="95">
        <v>3</v>
      </c>
      <c r="Q6" s="94" t="s">
        <v>592</v>
      </c>
      <c r="R6" s="94" t="s">
        <v>652</v>
      </c>
      <c r="S6" s="94" t="s">
        <v>151</v>
      </c>
      <c r="T6" s="94">
        <v>10</v>
      </c>
      <c r="U6" s="96" t="s">
        <v>630</v>
      </c>
    </row>
    <row r="7" spans="1:22" x14ac:dyDescent="0.25">
      <c r="A7" s="27" t="b">
        <v>0</v>
      </c>
      <c r="B7" s="3">
        <f t="shared" si="0"/>
        <v>6</v>
      </c>
      <c r="C7" s="3" t="e">
        <f>_xlfn.XLOOKUP($D7,Tab_Def_Processes[Process_Name],Tab_Def_Processes[Process_ID],,0,)</f>
        <v>#N/A</v>
      </c>
      <c r="D7" s="23" t="s">
        <v>5</v>
      </c>
      <c r="E7" s="3" t="e">
        <f>_xlfn.XLOOKUP($D7,Tab_Def_Processes[Process_Name],Tab_Def_Processes[Process_Logic],,0,)</f>
        <v>#N/A</v>
      </c>
      <c r="F7" s="3" t="e">
        <f>_xlfn.XLOOKUP($D7,Tab_Def_Processes[Process_Name],Tab_Def_Processes[TC_Configuration],,0,)</f>
        <v>#N/A</v>
      </c>
      <c r="G7" s="3" t="e">
        <f>_xlfn.XLOOKUP($D7,Tab_Def_Processes[Process_Name],Tab_Def_Processes[Stock_Configuration],,0,)</f>
        <v>#N/A</v>
      </c>
      <c r="H7" s="3" t="e">
        <f>_xlfn.XLOOKUP(Tab_DSM[[#This Row],[Process_Name]],Tab_Def_Processes[Process_Name],Tab_Def_Processes[Outflow_count],,0,)</f>
        <v>#N/A</v>
      </c>
      <c r="I7" s="3" t="e">
        <f>"P"&amp;Tab_DSM[[#This Row],[Process_ID]]&amp;"_"&amp;Tab_DSM[[#This Row],[DSM_Parameter_type]]&amp;"_Cat_"&amp;Tab_DSM[[#This Row],[DSM_material_count]]</f>
        <v>#N/A</v>
      </c>
      <c r="J7" s="23"/>
      <c r="K7" s="23"/>
      <c r="L7" s="4"/>
      <c r="M7" s="10"/>
      <c r="N7" s="10"/>
      <c r="P7" s="95"/>
      <c r="Q7" s="94"/>
      <c r="R7" s="94" t="s">
        <v>656</v>
      </c>
      <c r="S7" s="94" t="s">
        <v>152</v>
      </c>
      <c r="T7" s="94">
        <v>5</v>
      </c>
      <c r="U7" s="96"/>
    </row>
    <row r="8" spans="1:22" x14ac:dyDescent="0.25">
      <c r="A8" s="27" t="b">
        <v>0</v>
      </c>
      <c r="B8" s="3">
        <f t="shared" si="0"/>
        <v>7</v>
      </c>
      <c r="C8" s="3" t="e">
        <f>_xlfn.XLOOKUP($D8,Tab_Def_Processes[Process_Name],Tab_Def_Processes[Process_ID],,0,)</f>
        <v>#N/A</v>
      </c>
      <c r="D8" s="23" t="s">
        <v>5</v>
      </c>
      <c r="E8" s="3" t="e">
        <f>_xlfn.XLOOKUP($D8,Tab_Def_Processes[Process_Name],Tab_Def_Processes[Process_Logic],,0,)</f>
        <v>#N/A</v>
      </c>
      <c r="F8" s="3" t="e">
        <f>_xlfn.XLOOKUP($D8,Tab_Def_Processes[Process_Name],Tab_Def_Processes[TC_Configuration],,0,)</f>
        <v>#N/A</v>
      </c>
      <c r="G8" s="3" t="e">
        <f>_xlfn.XLOOKUP($D8,Tab_Def_Processes[Process_Name],Tab_Def_Processes[Stock_Configuration],,0,)</f>
        <v>#N/A</v>
      </c>
      <c r="H8" s="3" t="e">
        <f>_xlfn.XLOOKUP(Tab_DSM[[#This Row],[Process_Name]],Tab_Def_Processes[Process_Name],Tab_Def_Processes[Outflow_count],,0,)</f>
        <v>#N/A</v>
      </c>
      <c r="I8" s="3" t="e">
        <f>"P"&amp;Tab_DSM[[#This Row],[Process_ID]]&amp;"_"&amp;Tab_DSM[[#This Row],[DSM_Parameter_type]]&amp;"_Cat_"&amp;Tab_DSM[[#This Row],[DSM_material_count]]</f>
        <v>#N/A</v>
      </c>
      <c r="J8" s="23"/>
      <c r="K8" s="23"/>
      <c r="L8" s="29"/>
      <c r="M8" s="10"/>
      <c r="N8" s="10"/>
      <c r="P8" s="95">
        <v>4</v>
      </c>
      <c r="Q8" s="94" t="s">
        <v>593</v>
      </c>
      <c r="R8" s="94" t="s">
        <v>653</v>
      </c>
      <c r="S8" s="94" t="s">
        <v>151</v>
      </c>
      <c r="T8" s="94">
        <v>12</v>
      </c>
      <c r="U8" s="96" t="s">
        <v>631</v>
      </c>
    </row>
    <row r="9" spans="1:22" x14ac:dyDescent="0.25">
      <c r="A9" s="27" t="b">
        <v>0</v>
      </c>
      <c r="B9" s="3">
        <f t="shared" si="0"/>
        <v>8</v>
      </c>
      <c r="C9" s="3" t="e">
        <f>_xlfn.XLOOKUP($D9,Tab_Def_Processes[Process_Name],Tab_Def_Processes[Process_ID],,0,)</f>
        <v>#N/A</v>
      </c>
      <c r="D9" s="23" t="s">
        <v>5</v>
      </c>
      <c r="E9" s="3" t="e">
        <f>_xlfn.XLOOKUP($D9,Tab_Def_Processes[Process_Name],Tab_Def_Processes[Process_Logic],,0,)</f>
        <v>#N/A</v>
      </c>
      <c r="F9" s="3" t="e">
        <f>_xlfn.XLOOKUP($D9,Tab_Def_Processes[Process_Name],Tab_Def_Processes[TC_Configuration],,0,)</f>
        <v>#N/A</v>
      </c>
      <c r="G9" s="3" t="e">
        <f>_xlfn.XLOOKUP($D9,Tab_Def_Processes[Process_Name],Tab_Def_Processes[Stock_Configuration],,0,)</f>
        <v>#N/A</v>
      </c>
      <c r="H9" s="3" t="e">
        <f>_xlfn.XLOOKUP(Tab_DSM[[#This Row],[Process_Name]],Tab_Def_Processes[Process_Name],Tab_Def_Processes[Outflow_count],,0,)</f>
        <v>#N/A</v>
      </c>
      <c r="I9" s="3" t="e">
        <f>"P"&amp;Tab_DSM[[#This Row],[Process_ID]]&amp;"_"&amp;Tab_DSM[[#This Row],[DSM_Parameter_type]]&amp;"_Cat_"&amp;Tab_DSM[[#This Row],[DSM_material_count]]</f>
        <v>#N/A</v>
      </c>
      <c r="J9" s="23"/>
      <c r="K9" s="23"/>
      <c r="L9" s="4"/>
      <c r="M9" s="10"/>
      <c r="N9" s="10"/>
      <c r="P9" s="95"/>
      <c r="Q9" s="94"/>
      <c r="R9" s="94" t="s">
        <v>657</v>
      </c>
      <c r="S9" s="94" t="s">
        <v>152</v>
      </c>
      <c r="T9" s="94">
        <v>2</v>
      </c>
      <c r="U9" s="96"/>
    </row>
    <row r="10" spans="1:22" x14ac:dyDescent="0.25">
      <c r="A10" s="27" t="b">
        <v>0</v>
      </c>
      <c r="B10" s="3">
        <f t="shared" si="0"/>
        <v>9</v>
      </c>
      <c r="C10" s="3" t="e">
        <f>_xlfn.XLOOKUP($D10,Tab_Def_Processes[Process_Name],Tab_Def_Processes[Process_ID],,0,)</f>
        <v>#N/A</v>
      </c>
      <c r="D10" s="23" t="s">
        <v>5</v>
      </c>
      <c r="E10" s="3" t="e">
        <f>_xlfn.XLOOKUP($D10,Tab_Def_Processes[Process_Name],Tab_Def_Processes[Process_Logic],,0,)</f>
        <v>#N/A</v>
      </c>
      <c r="F10" s="3" t="e">
        <f>_xlfn.XLOOKUP($D10,Tab_Def_Processes[Process_Name],Tab_Def_Processes[TC_Configuration],,0,)</f>
        <v>#N/A</v>
      </c>
      <c r="G10" s="3" t="e">
        <f>_xlfn.XLOOKUP($D10,Tab_Def_Processes[Process_Name],Tab_Def_Processes[Stock_Configuration],,0,)</f>
        <v>#N/A</v>
      </c>
      <c r="H10" s="3" t="e">
        <f>_xlfn.XLOOKUP(Tab_DSM[[#This Row],[Process_Name]],Tab_Def_Processes[Process_Name],Tab_Def_Processes[Outflow_count],,0,)</f>
        <v>#N/A</v>
      </c>
      <c r="I10" s="3" t="e">
        <f>"P"&amp;Tab_DSM[[#This Row],[Process_ID]]&amp;"_"&amp;Tab_DSM[[#This Row],[DSM_Parameter_type]]&amp;"_Cat_"&amp;Tab_DSM[[#This Row],[DSM_material_count]]</f>
        <v>#N/A</v>
      </c>
      <c r="J10" s="23"/>
      <c r="K10" s="23"/>
      <c r="L10" s="29"/>
      <c r="M10" s="10"/>
      <c r="N10" s="10"/>
      <c r="P10" s="95">
        <v>5</v>
      </c>
      <c r="Q10" s="94" t="s">
        <v>594</v>
      </c>
      <c r="R10" s="94" t="s">
        <v>654</v>
      </c>
      <c r="S10" s="94" t="s">
        <v>632</v>
      </c>
      <c r="T10" s="94">
        <v>12</v>
      </c>
      <c r="U10" s="96" t="s">
        <v>633</v>
      </c>
    </row>
    <row r="11" spans="1:22" ht="15.75" thickBot="1" x14ac:dyDescent="0.3">
      <c r="A11" s="27" t="b">
        <v>0</v>
      </c>
      <c r="B11" s="3">
        <f t="shared" si="0"/>
        <v>10</v>
      </c>
      <c r="C11" s="3" t="e">
        <f>_xlfn.XLOOKUP($D11,Tab_Def_Processes[Process_Name],Tab_Def_Processes[Process_ID],,0,)</f>
        <v>#N/A</v>
      </c>
      <c r="D11" s="23" t="s">
        <v>5</v>
      </c>
      <c r="E11" s="3" t="e">
        <f>_xlfn.XLOOKUP($D11,Tab_Def_Processes[Process_Name],Tab_Def_Processes[Process_Logic],,0,)</f>
        <v>#N/A</v>
      </c>
      <c r="F11" s="3" t="e">
        <f>_xlfn.XLOOKUP($D11,Tab_Def_Processes[Process_Name],Tab_Def_Processes[TC_Configuration],,0,)</f>
        <v>#N/A</v>
      </c>
      <c r="G11" s="3" t="e">
        <f>_xlfn.XLOOKUP($D11,Tab_Def_Processes[Process_Name],Tab_Def_Processes[Stock_Configuration],,0,)</f>
        <v>#N/A</v>
      </c>
      <c r="H11" s="3" t="e">
        <f>_xlfn.XLOOKUP(Tab_DSM[[#This Row],[Process_Name]],Tab_Def_Processes[Process_Name],Tab_Def_Processes[Outflow_count],,0,)</f>
        <v>#N/A</v>
      </c>
      <c r="I11" s="3" t="e">
        <f>"P"&amp;Tab_DSM[[#This Row],[Process_ID]]&amp;"_"&amp;Tab_DSM[[#This Row],[DSM_Parameter_type]]&amp;"_Cat_"&amp;Tab_DSM[[#This Row],[DSM_material_count]]</f>
        <v>#N/A</v>
      </c>
      <c r="J11" s="23"/>
      <c r="K11" s="23"/>
      <c r="L11" s="4"/>
      <c r="M11" s="10"/>
      <c r="N11" s="10"/>
      <c r="P11" s="97"/>
      <c r="Q11" s="98"/>
      <c r="R11" s="98" t="s">
        <v>658</v>
      </c>
      <c r="S11" s="98" t="s">
        <v>634</v>
      </c>
      <c r="T11" s="98">
        <v>2.5</v>
      </c>
      <c r="U11" s="99"/>
    </row>
    <row r="12" spans="1:22" x14ac:dyDescent="0.25">
      <c r="A12" s="27" t="b">
        <v>0</v>
      </c>
      <c r="B12" s="3">
        <f t="shared" si="0"/>
        <v>11</v>
      </c>
      <c r="C12" s="3" t="e">
        <f>_xlfn.XLOOKUP($D12,Tab_Def_Processes[Process_Name],Tab_Def_Processes[Process_ID],,0,)</f>
        <v>#N/A</v>
      </c>
      <c r="D12" s="23" t="s">
        <v>5</v>
      </c>
      <c r="E12" s="3" t="e">
        <f>_xlfn.XLOOKUP($D12,Tab_Def_Processes[Process_Name],Tab_Def_Processes[Process_Logic],,0,)</f>
        <v>#N/A</v>
      </c>
      <c r="F12" s="3" t="e">
        <f>_xlfn.XLOOKUP($D12,Tab_Def_Processes[Process_Name],Tab_Def_Processes[TC_Configuration],,0,)</f>
        <v>#N/A</v>
      </c>
      <c r="G12" s="3" t="e">
        <f>_xlfn.XLOOKUP($D12,Tab_Def_Processes[Process_Name],Tab_Def_Processes[Stock_Configuration],,0,)</f>
        <v>#N/A</v>
      </c>
      <c r="H12" s="3" t="e">
        <f>_xlfn.XLOOKUP(Tab_DSM[[#This Row],[Process_Name]],Tab_Def_Processes[Process_Name],Tab_Def_Processes[Outflow_count],,0,)</f>
        <v>#N/A</v>
      </c>
      <c r="I12" s="3" t="e">
        <f>"P"&amp;Tab_DSM[[#This Row],[Process_ID]]&amp;"_"&amp;Tab_DSM[[#This Row],[DSM_Parameter_type]]&amp;"_Cat_"&amp;Tab_DSM[[#This Row],[DSM_material_count]]</f>
        <v>#N/A</v>
      </c>
      <c r="J12" s="23"/>
      <c r="K12" s="23"/>
      <c r="L12" s="4"/>
      <c r="M12" s="10"/>
      <c r="N12" s="10"/>
    </row>
    <row r="13" spans="1:22" x14ac:dyDescent="0.25">
      <c r="A13" s="27" t="b">
        <v>0</v>
      </c>
      <c r="B13" s="3">
        <f t="shared" si="0"/>
        <v>12</v>
      </c>
      <c r="C13" s="3" t="e">
        <f>_xlfn.XLOOKUP($D13,Tab_Def_Processes[Process_Name],Tab_Def_Processes[Process_ID],,0,)</f>
        <v>#N/A</v>
      </c>
      <c r="D13" s="23" t="s">
        <v>5</v>
      </c>
      <c r="E13" s="3" t="e">
        <f>_xlfn.XLOOKUP($D13,Tab_Def_Processes[Process_Name],Tab_Def_Processes[Process_Logic],,0,)</f>
        <v>#N/A</v>
      </c>
      <c r="F13" s="3" t="e">
        <f>_xlfn.XLOOKUP($D13,Tab_Def_Processes[Process_Name],Tab_Def_Processes[TC_Configuration],,0,)</f>
        <v>#N/A</v>
      </c>
      <c r="G13" s="3" t="e">
        <f>_xlfn.XLOOKUP($D13,Tab_Def_Processes[Process_Name],Tab_Def_Processes[Stock_Configuration],,0,)</f>
        <v>#N/A</v>
      </c>
      <c r="H13" s="3" t="e">
        <f>_xlfn.XLOOKUP(Tab_DSM[[#This Row],[Process_Name]],Tab_Def_Processes[Process_Name],Tab_Def_Processes[Outflow_count],,0,)</f>
        <v>#N/A</v>
      </c>
      <c r="I13" s="3" t="e">
        <f>"P"&amp;Tab_DSM[[#This Row],[Process_ID]]&amp;"_"&amp;Tab_DSM[[#This Row],[DSM_Parameter_type]]&amp;"_Cat_"&amp;Tab_DSM[[#This Row],[DSM_material_count]]</f>
        <v>#N/A</v>
      </c>
      <c r="J13" s="23"/>
      <c r="K13" s="23"/>
      <c r="L13" s="4"/>
      <c r="M13" s="10"/>
      <c r="N13" s="10"/>
      <c r="V13" s="10"/>
    </row>
    <row r="14" spans="1:22" x14ac:dyDescent="0.25">
      <c r="A14" s="27" t="b">
        <v>0</v>
      </c>
      <c r="B14" s="3">
        <f t="shared" si="0"/>
        <v>13</v>
      </c>
      <c r="C14" s="3" t="e">
        <f>_xlfn.XLOOKUP($D14,Tab_Def_Processes[Process_Name],Tab_Def_Processes[Process_ID],,0,)</f>
        <v>#N/A</v>
      </c>
      <c r="D14" s="23" t="s">
        <v>5</v>
      </c>
      <c r="E14" s="3" t="e">
        <f>_xlfn.XLOOKUP($D14,Tab_Def_Processes[Process_Name],Tab_Def_Processes[Process_Logic],,0,)</f>
        <v>#N/A</v>
      </c>
      <c r="F14" s="3" t="e">
        <f>_xlfn.XLOOKUP($D14,Tab_Def_Processes[Process_Name],Tab_Def_Processes[TC_Configuration],,0,)</f>
        <v>#N/A</v>
      </c>
      <c r="G14" s="3" t="e">
        <f>_xlfn.XLOOKUP($D14,Tab_Def_Processes[Process_Name],Tab_Def_Processes[Stock_Configuration],,0,)</f>
        <v>#N/A</v>
      </c>
      <c r="H14" s="3" t="e">
        <f>_xlfn.XLOOKUP(Tab_DSM[[#This Row],[Process_Name]],Tab_Def_Processes[Process_Name],Tab_Def_Processes[Outflow_count],,0,)</f>
        <v>#N/A</v>
      </c>
      <c r="I14" s="3" t="e">
        <f>"P"&amp;Tab_DSM[[#This Row],[Process_ID]]&amp;"_"&amp;Tab_DSM[[#This Row],[DSM_Parameter_type]]&amp;"_Cat_"&amp;Tab_DSM[[#This Row],[DSM_material_count]]</f>
        <v>#N/A</v>
      </c>
      <c r="J14" s="23"/>
      <c r="K14" s="23"/>
      <c r="L14" s="4"/>
      <c r="M14" s="10"/>
      <c r="N14" s="10"/>
    </row>
    <row r="15" spans="1:22" x14ac:dyDescent="0.25">
      <c r="A15" s="27" t="b">
        <v>0</v>
      </c>
      <c r="B15" s="3">
        <f t="shared" si="0"/>
        <v>14</v>
      </c>
      <c r="C15" s="3" t="e">
        <f>_xlfn.XLOOKUP($D15,Tab_Def_Processes[Process_Name],Tab_Def_Processes[Process_ID],,0,)</f>
        <v>#N/A</v>
      </c>
      <c r="D15" s="23" t="s">
        <v>5</v>
      </c>
      <c r="E15" s="3" t="e">
        <f>_xlfn.XLOOKUP($D15,Tab_Def_Processes[Process_Name],Tab_Def_Processes[Process_Logic],,0,)</f>
        <v>#N/A</v>
      </c>
      <c r="F15" s="3" t="e">
        <f>_xlfn.XLOOKUP($D15,Tab_Def_Processes[Process_Name],Tab_Def_Processes[TC_Configuration],,0,)</f>
        <v>#N/A</v>
      </c>
      <c r="G15" s="3" t="e">
        <f>_xlfn.XLOOKUP($D15,Tab_Def_Processes[Process_Name],Tab_Def_Processes[Stock_Configuration],,0,)</f>
        <v>#N/A</v>
      </c>
      <c r="H15" s="3" t="e">
        <f>_xlfn.XLOOKUP(Tab_DSM[[#This Row],[Process_Name]],Tab_Def_Processes[Process_Name],Tab_Def_Processes[Outflow_count],,0,)</f>
        <v>#N/A</v>
      </c>
      <c r="I15" s="3" t="e">
        <f>"P"&amp;Tab_DSM[[#This Row],[Process_ID]]&amp;"_"&amp;Tab_DSM[[#This Row],[DSM_Parameter_type]]&amp;"_Cat_"&amp;Tab_DSM[[#This Row],[DSM_material_count]]</f>
        <v>#N/A</v>
      </c>
      <c r="J15" s="23"/>
      <c r="K15" s="23"/>
      <c r="L15" s="4"/>
      <c r="M15" s="10"/>
      <c r="N15" s="10"/>
    </row>
    <row r="16" spans="1:22" x14ac:dyDescent="0.25">
      <c r="A16" s="27" t="b">
        <v>0</v>
      </c>
      <c r="B16" s="3">
        <f t="shared" si="0"/>
        <v>15</v>
      </c>
      <c r="C16" s="3" t="e">
        <f>_xlfn.XLOOKUP($D16,Tab_Def_Processes[Process_Name],Tab_Def_Processes[Process_ID],,0,)</f>
        <v>#N/A</v>
      </c>
      <c r="D16" s="23" t="s">
        <v>5</v>
      </c>
      <c r="E16" s="3" t="e">
        <f>_xlfn.XLOOKUP($D16,Tab_Def_Processes[Process_Name],Tab_Def_Processes[Process_Logic],,0,)</f>
        <v>#N/A</v>
      </c>
      <c r="F16" s="3" t="e">
        <f>_xlfn.XLOOKUP($D16,Tab_Def_Processes[Process_Name],Tab_Def_Processes[TC_Configuration],,0,)</f>
        <v>#N/A</v>
      </c>
      <c r="G16" s="3" t="e">
        <f>_xlfn.XLOOKUP($D16,Tab_Def_Processes[Process_Name],Tab_Def_Processes[Stock_Configuration],,0,)</f>
        <v>#N/A</v>
      </c>
      <c r="H16" s="3" t="e">
        <f>_xlfn.XLOOKUP(Tab_DSM[[#This Row],[Process_Name]],Tab_Def_Processes[Process_Name],Tab_Def_Processes[Outflow_count],,0,)</f>
        <v>#N/A</v>
      </c>
      <c r="I16" s="3" t="e">
        <f>"P"&amp;Tab_DSM[[#This Row],[Process_ID]]&amp;"_"&amp;Tab_DSM[[#This Row],[DSM_Parameter_type]]&amp;"_Cat_"&amp;Tab_DSM[[#This Row],[DSM_material_count]]</f>
        <v>#N/A</v>
      </c>
      <c r="J16" s="23"/>
      <c r="K16" s="23"/>
      <c r="L16" s="54"/>
      <c r="M16" s="72"/>
      <c r="N16" s="10"/>
    </row>
    <row r="17" spans="1:14" x14ac:dyDescent="0.25">
      <c r="A17" s="27" t="b">
        <v>0</v>
      </c>
      <c r="B17" s="3">
        <f t="shared" si="0"/>
        <v>16</v>
      </c>
      <c r="C17" s="3" t="e">
        <f>_xlfn.XLOOKUP($D17,Tab_Def_Processes[Process_Name],Tab_Def_Processes[Process_ID],,0,)</f>
        <v>#N/A</v>
      </c>
      <c r="D17" s="23" t="s">
        <v>5</v>
      </c>
      <c r="E17" s="3" t="e">
        <f>_xlfn.XLOOKUP($D17,Tab_Def_Processes[Process_Name],Tab_Def_Processes[Process_Logic],,0,)</f>
        <v>#N/A</v>
      </c>
      <c r="F17" s="3" t="e">
        <f>_xlfn.XLOOKUP($D17,Tab_Def_Processes[Process_Name],Tab_Def_Processes[TC_Configuration],,0,)</f>
        <v>#N/A</v>
      </c>
      <c r="G17" s="3" t="e">
        <f>_xlfn.XLOOKUP($D17,Tab_Def_Processes[Process_Name],Tab_Def_Processes[Stock_Configuration],,0,)</f>
        <v>#N/A</v>
      </c>
      <c r="H17" s="3" t="e">
        <f>_xlfn.XLOOKUP(Tab_DSM[[#This Row],[Process_Name]],Tab_Def_Processes[Process_Name],Tab_Def_Processes[Outflow_count],,0,)</f>
        <v>#N/A</v>
      </c>
      <c r="I17" s="3" t="e">
        <f>"P"&amp;Tab_DSM[[#This Row],[Process_ID]]&amp;"_"&amp;Tab_DSM[[#This Row],[DSM_Parameter_type]]&amp;"_Cat_"&amp;Tab_DSM[[#This Row],[DSM_material_count]]</f>
        <v>#N/A</v>
      </c>
      <c r="J17" s="23"/>
      <c r="K17" s="23"/>
      <c r="L17" s="4"/>
      <c r="M17" s="10"/>
      <c r="N17" s="10"/>
    </row>
    <row r="18" spans="1:14" x14ac:dyDescent="0.25">
      <c r="A18" s="27" t="b">
        <v>0</v>
      </c>
      <c r="B18" s="3">
        <f t="shared" si="0"/>
        <v>17</v>
      </c>
      <c r="C18" s="3" t="e">
        <f>_xlfn.XLOOKUP($D18,Tab_Def_Processes[Process_Name],Tab_Def_Processes[Process_ID],,0,)</f>
        <v>#N/A</v>
      </c>
      <c r="D18" s="23" t="s">
        <v>5</v>
      </c>
      <c r="E18" s="3" t="e">
        <f>_xlfn.XLOOKUP($D18,Tab_Def_Processes[Process_Name],Tab_Def_Processes[Process_Logic],,0,)</f>
        <v>#N/A</v>
      </c>
      <c r="F18" s="3" t="e">
        <f>_xlfn.XLOOKUP($D18,Tab_Def_Processes[Process_Name],Tab_Def_Processes[TC_Configuration],,0,)</f>
        <v>#N/A</v>
      </c>
      <c r="G18" s="3" t="e">
        <f>_xlfn.XLOOKUP($D18,Tab_Def_Processes[Process_Name],Tab_Def_Processes[Stock_Configuration],,0,)</f>
        <v>#N/A</v>
      </c>
      <c r="H18" s="3" t="e">
        <f>_xlfn.XLOOKUP(Tab_DSM[[#This Row],[Process_Name]],Tab_Def_Processes[Process_Name],Tab_Def_Processes[Outflow_count],,0,)</f>
        <v>#N/A</v>
      </c>
      <c r="I18" s="3" t="e">
        <f>"P"&amp;Tab_DSM[[#This Row],[Process_ID]]&amp;"_"&amp;Tab_DSM[[#This Row],[DSM_Parameter_type]]&amp;"_Cat_"&amp;Tab_DSM[[#This Row],[DSM_material_count]]</f>
        <v>#N/A</v>
      </c>
      <c r="J18" s="23"/>
      <c r="K18" s="23"/>
      <c r="L18" s="4"/>
      <c r="M18" s="10"/>
      <c r="N18" s="10"/>
    </row>
    <row r="19" spans="1:14" x14ac:dyDescent="0.25">
      <c r="A19" s="27" t="b">
        <v>0</v>
      </c>
      <c r="B19" s="3">
        <f t="shared" si="0"/>
        <v>18</v>
      </c>
      <c r="C19" s="3" t="e">
        <f>_xlfn.XLOOKUP($D19,Tab_Def_Processes[Process_Name],Tab_Def_Processes[Process_ID],,0,)</f>
        <v>#N/A</v>
      </c>
      <c r="D19" s="23" t="s">
        <v>5</v>
      </c>
      <c r="E19" s="3" t="e">
        <f>_xlfn.XLOOKUP($D19,Tab_Def_Processes[Process_Name],Tab_Def_Processes[Process_Logic],,0,)</f>
        <v>#N/A</v>
      </c>
      <c r="F19" s="3" t="e">
        <f>_xlfn.XLOOKUP($D19,Tab_Def_Processes[Process_Name],Tab_Def_Processes[TC_Configuration],,0,)</f>
        <v>#N/A</v>
      </c>
      <c r="G19" s="3" t="e">
        <f>_xlfn.XLOOKUP($D19,Tab_Def_Processes[Process_Name],Tab_Def_Processes[Stock_Configuration],,0,)</f>
        <v>#N/A</v>
      </c>
      <c r="H19" s="3" t="e">
        <f>_xlfn.XLOOKUP(Tab_DSM[[#This Row],[Process_Name]],Tab_Def_Processes[Process_Name],Tab_Def_Processes[Outflow_count],,0,)</f>
        <v>#N/A</v>
      </c>
      <c r="I19" s="3" t="e">
        <f>"P"&amp;Tab_DSM[[#This Row],[Process_ID]]&amp;"_"&amp;Tab_DSM[[#This Row],[DSM_Parameter_type]]&amp;"_Cat_"&amp;Tab_DSM[[#This Row],[DSM_material_count]]</f>
        <v>#N/A</v>
      </c>
      <c r="J19" s="23"/>
      <c r="K19" s="23"/>
      <c r="L19" s="4"/>
      <c r="M19" s="10"/>
      <c r="N19" s="10"/>
    </row>
    <row r="20" spans="1:14" x14ac:dyDescent="0.25">
      <c r="A20" s="27" t="b">
        <v>0</v>
      </c>
      <c r="B20" s="3">
        <f t="shared" si="0"/>
        <v>19</v>
      </c>
      <c r="C20" s="3" t="e">
        <f>_xlfn.XLOOKUP($D20,Tab_Def_Processes[Process_Name],Tab_Def_Processes[Process_ID],,0,)</f>
        <v>#N/A</v>
      </c>
      <c r="D20" s="23" t="s">
        <v>5</v>
      </c>
      <c r="E20" s="3" t="e">
        <f>_xlfn.XLOOKUP($D20,Tab_Def_Processes[Process_Name],Tab_Def_Processes[Process_Logic],,0,)</f>
        <v>#N/A</v>
      </c>
      <c r="F20" s="3" t="e">
        <f>_xlfn.XLOOKUP($D20,Tab_Def_Processes[Process_Name],Tab_Def_Processes[TC_Configuration],,0,)</f>
        <v>#N/A</v>
      </c>
      <c r="G20" s="3" t="e">
        <f>_xlfn.XLOOKUP($D20,Tab_Def_Processes[Process_Name],Tab_Def_Processes[Stock_Configuration],,0,)</f>
        <v>#N/A</v>
      </c>
      <c r="H20" s="3" t="e">
        <f>_xlfn.XLOOKUP(Tab_DSM[[#This Row],[Process_Name]],Tab_Def_Processes[Process_Name],Tab_Def_Processes[Outflow_count],,0,)</f>
        <v>#N/A</v>
      </c>
      <c r="I20" s="3" t="e">
        <f>"P"&amp;Tab_DSM[[#This Row],[Process_ID]]&amp;"_"&amp;Tab_DSM[[#This Row],[DSM_Parameter_type]]&amp;"_Cat_"&amp;Tab_DSM[[#This Row],[DSM_material_count]]</f>
        <v>#N/A</v>
      </c>
      <c r="J20" s="23"/>
      <c r="K20" s="23"/>
      <c r="L20" s="4"/>
      <c r="M20" s="10"/>
      <c r="N20" s="10"/>
    </row>
    <row r="21" spans="1:14" x14ac:dyDescent="0.25">
      <c r="A21" s="27" t="b">
        <v>0</v>
      </c>
      <c r="B21" s="3">
        <f t="shared" si="0"/>
        <v>20</v>
      </c>
      <c r="C21" s="3" t="e">
        <f>_xlfn.XLOOKUP($D21,Tab_Def_Processes[Process_Name],Tab_Def_Processes[Process_ID],,0,)</f>
        <v>#N/A</v>
      </c>
      <c r="D21" s="23" t="s">
        <v>5</v>
      </c>
      <c r="E21" s="3" t="e">
        <f>_xlfn.XLOOKUP($D21,Tab_Def_Processes[Process_Name],Tab_Def_Processes[Process_Logic],,0,)</f>
        <v>#N/A</v>
      </c>
      <c r="F21" s="3" t="e">
        <f>_xlfn.XLOOKUP($D21,Tab_Def_Processes[Process_Name],Tab_Def_Processes[TC_Configuration],,0,)</f>
        <v>#N/A</v>
      </c>
      <c r="G21" s="3" t="e">
        <f>_xlfn.XLOOKUP($D21,Tab_Def_Processes[Process_Name],Tab_Def_Processes[Stock_Configuration],,0,)</f>
        <v>#N/A</v>
      </c>
      <c r="H21" s="3" t="e">
        <f>_xlfn.XLOOKUP(Tab_DSM[[#This Row],[Process_Name]],Tab_Def_Processes[Process_Name],Tab_Def_Processes[Outflow_count],,0,)</f>
        <v>#N/A</v>
      </c>
      <c r="I21" s="3" t="e">
        <f>"P"&amp;Tab_DSM[[#This Row],[Process_ID]]&amp;"_"&amp;Tab_DSM[[#This Row],[DSM_Parameter_type]]&amp;"_Cat_"&amp;Tab_DSM[[#This Row],[DSM_material_count]]</f>
        <v>#N/A</v>
      </c>
      <c r="J21" s="23"/>
      <c r="K21" s="23"/>
      <c r="L21" s="4"/>
      <c r="M21" s="10"/>
      <c r="N21" s="10"/>
    </row>
    <row r="22" spans="1:14" x14ac:dyDescent="0.25">
      <c r="A22" s="27" t="b">
        <v>0</v>
      </c>
      <c r="B22" s="3">
        <f t="shared" si="0"/>
        <v>21</v>
      </c>
      <c r="C22" s="3" t="e">
        <f>_xlfn.XLOOKUP($D22,Tab_Def_Processes[Process_Name],Tab_Def_Processes[Process_ID],,0,)</f>
        <v>#N/A</v>
      </c>
      <c r="D22" s="23" t="s">
        <v>5</v>
      </c>
      <c r="E22" s="3" t="e">
        <f>_xlfn.XLOOKUP($D22,Tab_Def_Processes[Process_Name],Tab_Def_Processes[Process_Logic],,0,)</f>
        <v>#N/A</v>
      </c>
      <c r="F22" s="3" t="e">
        <f>_xlfn.XLOOKUP($D22,Tab_Def_Processes[Process_Name],Tab_Def_Processes[TC_Configuration],,0,)</f>
        <v>#N/A</v>
      </c>
      <c r="G22" s="3" t="e">
        <f>_xlfn.XLOOKUP($D22,Tab_Def_Processes[Process_Name],Tab_Def_Processes[Stock_Configuration],,0,)</f>
        <v>#N/A</v>
      </c>
      <c r="H22" s="3" t="e">
        <f>_xlfn.XLOOKUP(Tab_DSM[[#This Row],[Process_Name]],Tab_Def_Processes[Process_Name],Tab_Def_Processes[Outflow_count],,0,)</f>
        <v>#N/A</v>
      </c>
      <c r="I22" s="3" t="e">
        <f>"P"&amp;Tab_DSM[[#This Row],[Process_ID]]&amp;"_"&amp;Tab_DSM[[#This Row],[DSM_Parameter_type]]&amp;"_Cat_"&amp;Tab_DSM[[#This Row],[DSM_material_count]]</f>
        <v>#N/A</v>
      </c>
      <c r="J22" s="23"/>
      <c r="K22" s="23"/>
      <c r="L22" s="4"/>
      <c r="M22" s="10"/>
      <c r="N22" s="10"/>
    </row>
    <row r="23" spans="1:14" x14ac:dyDescent="0.25">
      <c r="A23" s="27" t="b">
        <v>0</v>
      </c>
      <c r="B23" s="3">
        <f t="shared" si="0"/>
        <v>22</v>
      </c>
      <c r="C23" s="3" t="e">
        <f>_xlfn.XLOOKUP($D23,Tab_Def_Processes[Process_Name],Tab_Def_Processes[Process_ID],,0,)</f>
        <v>#N/A</v>
      </c>
      <c r="D23" s="23" t="s">
        <v>5</v>
      </c>
      <c r="E23" s="3" t="e">
        <f>_xlfn.XLOOKUP($D23,Tab_Def_Processes[Process_Name],Tab_Def_Processes[Process_Logic],,0,)</f>
        <v>#N/A</v>
      </c>
      <c r="F23" s="3" t="e">
        <f>_xlfn.XLOOKUP($D23,Tab_Def_Processes[Process_Name],Tab_Def_Processes[TC_Configuration],,0,)</f>
        <v>#N/A</v>
      </c>
      <c r="G23" s="3" t="e">
        <f>_xlfn.XLOOKUP($D23,Tab_Def_Processes[Process_Name],Tab_Def_Processes[Stock_Configuration],,0,)</f>
        <v>#N/A</v>
      </c>
      <c r="H23" s="3" t="e">
        <f>_xlfn.XLOOKUP(Tab_DSM[[#This Row],[Process_Name]],Tab_Def_Processes[Process_Name],Tab_Def_Processes[Outflow_count],,0,)</f>
        <v>#N/A</v>
      </c>
      <c r="I23" s="3" t="e">
        <f>"P"&amp;Tab_DSM[[#This Row],[Process_ID]]&amp;"_"&amp;Tab_DSM[[#This Row],[DSM_Parameter_type]]&amp;"_Cat_"&amp;Tab_DSM[[#This Row],[DSM_material_count]]</f>
        <v>#N/A</v>
      </c>
      <c r="J23" s="23"/>
      <c r="K23" s="23"/>
      <c r="L23" s="4"/>
      <c r="M23" s="10"/>
      <c r="N23" s="10"/>
    </row>
    <row r="24" spans="1:14" x14ac:dyDescent="0.25">
      <c r="A24" s="27" t="b">
        <v>0</v>
      </c>
      <c r="B24" s="3">
        <f t="shared" si="0"/>
        <v>23</v>
      </c>
      <c r="C24" s="3" t="e">
        <f>_xlfn.XLOOKUP($D24,Tab_Def_Processes[Process_Name],Tab_Def_Processes[Process_ID],,0,)</f>
        <v>#N/A</v>
      </c>
      <c r="D24" s="23" t="s">
        <v>5</v>
      </c>
      <c r="E24" s="3" t="e">
        <f>_xlfn.XLOOKUP($D24,Tab_Def_Processes[Process_Name],Tab_Def_Processes[Process_Logic],,0,)</f>
        <v>#N/A</v>
      </c>
      <c r="F24" s="3" t="e">
        <f>_xlfn.XLOOKUP($D24,Tab_Def_Processes[Process_Name],Tab_Def_Processes[TC_Configuration],,0,)</f>
        <v>#N/A</v>
      </c>
      <c r="G24" s="3" t="e">
        <f>_xlfn.XLOOKUP($D24,Tab_Def_Processes[Process_Name],Tab_Def_Processes[Stock_Configuration],,0,)</f>
        <v>#N/A</v>
      </c>
      <c r="H24" s="3" t="e">
        <f>_xlfn.XLOOKUP(Tab_DSM[[#This Row],[Process_Name]],Tab_Def_Processes[Process_Name],Tab_Def_Processes[Outflow_count],,0,)</f>
        <v>#N/A</v>
      </c>
      <c r="I24" s="3" t="e">
        <f>"P"&amp;Tab_DSM[[#This Row],[Process_ID]]&amp;"_"&amp;Tab_DSM[[#This Row],[DSM_Parameter_type]]&amp;"_Cat_"&amp;Tab_DSM[[#This Row],[DSM_material_count]]</f>
        <v>#N/A</v>
      </c>
      <c r="J24" s="23"/>
      <c r="K24" s="23"/>
      <c r="L24" s="4"/>
      <c r="M24" s="10"/>
      <c r="N24" s="10"/>
    </row>
    <row r="25" spans="1:14" x14ac:dyDescent="0.25">
      <c r="A25" s="27" t="b">
        <v>0</v>
      </c>
      <c r="B25" s="3">
        <f t="shared" si="0"/>
        <v>24</v>
      </c>
      <c r="C25" s="3" t="e">
        <f>_xlfn.XLOOKUP($D25,Tab_Def_Processes[Process_Name],Tab_Def_Processes[Process_ID],,0,)</f>
        <v>#N/A</v>
      </c>
      <c r="D25" s="23" t="s">
        <v>5</v>
      </c>
      <c r="E25" s="3" t="e">
        <f>_xlfn.XLOOKUP($D25,Tab_Def_Processes[Process_Name],Tab_Def_Processes[Process_Logic],,0,)</f>
        <v>#N/A</v>
      </c>
      <c r="F25" s="3" t="e">
        <f>_xlfn.XLOOKUP($D25,Tab_Def_Processes[Process_Name],Tab_Def_Processes[TC_Configuration],,0,)</f>
        <v>#N/A</v>
      </c>
      <c r="G25" s="3" t="e">
        <f>_xlfn.XLOOKUP($D25,Tab_Def_Processes[Process_Name],Tab_Def_Processes[Stock_Configuration],,0,)</f>
        <v>#N/A</v>
      </c>
      <c r="H25" s="3" t="e">
        <f>_xlfn.XLOOKUP(Tab_DSM[[#This Row],[Process_Name]],Tab_Def_Processes[Process_Name],Tab_Def_Processes[Outflow_count],,0,)</f>
        <v>#N/A</v>
      </c>
      <c r="I25" s="3" t="e">
        <f>"P"&amp;Tab_DSM[[#This Row],[Process_ID]]&amp;"_"&amp;Tab_DSM[[#This Row],[DSM_Parameter_type]]&amp;"_Cat_"&amp;Tab_DSM[[#This Row],[DSM_material_count]]</f>
        <v>#N/A</v>
      </c>
      <c r="J25" s="23"/>
      <c r="K25" s="23"/>
      <c r="L25" s="4"/>
      <c r="M25" s="10"/>
      <c r="N25" s="10"/>
    </row>
    <row r="26" spans="1:14" x14ac:dyDescent="0.25">
      <c r="A26" s="27" t="b">
        <v>0</v>
      </c>
      <c r="B26" s="3">
        <f t="shared" si="0"/>
        <v>25</v>
      </c>
      <c r="C26" s="3" t="e">
        <f>_xlfn.XLOOKUP($D26,Tab_Def_Processes[Process_Name],Tab_Def_Processes[Process_ID],,0,)</f>
        <v>#N/A</v>
      </c>
      <c r="D26" s="23" t="s">
        <v>5</v>
      </c>
      <c r="E26" s="3" t="e">
        <f>_xlfn.XLOOKUP($D26,Tab_Def_Processes[Process_Name],Tab_Def_Processes[Process_Logic],,0,)</f>
        <v>#N/A</v>
      </c>
      <c r="F26" s="3" t="e">
        <f>_xlfn.XLOOKUP($D26,Tab_Def_Processes[Process_Name],Tab_Def_Processes[TC_Configuration],,0,)</f>
        <v>#N/A</v>
      </c>
      <c r="G26" s="3" t="e">
        <f>_xlfn.XLOOKUP($D26,Tab_Def_Processes[Process_Name],Tab_Def_Processes[Stock_Configuration],,0,)</f>
        <v>#N/A</v>
      </c>
      <c r="H26" s="3" t="e">
        <f>_xlfn.XLOOKUP(Tab_DSM[[#This Row],[Process_Name]],Tab_Def_Processes[Process_Name],Tab_Def_Processes[Outflow_count],,0,)</f>
        <v>#N/A</v>
      </c>
      <c r="I26" s="3" t="e">
        <f>"P"&amp;Tab_DSM[[#This Row],[Process_ID]]&amp;"_"&amp;Tab_DSM[[#This Row],[DSM_Parameter_type]]&amp;"_Cat_"&amp;Tab_DSM[[#This Row],[DSM_material_count]]</f>
        <v>#N/A</v>
      </c>
      <c r="J26" s="23"/>
      <c r="K26" s="23"/>
      <c r="L26" s="4"/>
      <c r="M26" s="10"/>
      <c r="N26" s="10"/>
    </row>
    <row r="27" spans="1:14" x14ac:dyDescent="0.25">
      <c r="A27" s="27" t="b">
        <v>0</v>
      </c>
      <c r="B27" s="3">
        <f t="shared" si="0"/>
        <v>26</v>
      </c>
      <c r="C27" s="3" t="e">
        <f>_xlfn.XLOOKUP($D27,Tab_Def_Processes[Process_Name],Tab_Def_Processes[Process_ID],,0,)</f>
        <v>#N/A</v>
      </c>
      <c r="D27" s="23" t="s">
        <v>5</v>
      </c>
      <c r="E27" s="3" t="e">
        <f>_xlfn.XLOOKUP($D27,Tab_Def_Processes[Process_Name],Tab_Def_Processes[Process_Logic],,0,)</f>
        <v>#N/A</v>
      </c>
      <c r="F27" s="3" t="e">
        <f>_xlfn.XLOOKUP($D27,Tab_Def_Processes[Process_Name],Tab_Def_Processes[TC_Configuration],,0,)</f>
        <v>#N/A</v>
      </c>
      <c r="G27" s="3" t="e">
        <f>_xlfn.XLOOKUP($D27,Tab_Def_Processes[Process_Name],Tab_Def_Processes[Stock_Configuration],,0,)</f>
        <v>#N/A</v>
      </c>
      <c r="H27" s="3" t="e">
        <f>_xlfn.XLOOKUP(Tab_DSM[[#This Row],[Process_Name]],Tab_Def_Processes[Process_Name],Tab_Def_Processes[Outflow_count],,0,)</f>
        <v>#N/A</v>
      </c>
      <c r="I27" s="3" t="e">
        <f>"P"&amp;Tab_DSM[[#This Row],[Process_ID]]&amp;"_"&amp;Tab_DSM[[#This Row],[DSM_Parameter_type]]&amp;"_Cat_"&amp;Tab_DSM[[#This Row],[DSM_material_count]]</f>
        <v>#N/A</v>
      </c>
      <c r="J27" s="23"/>
      <c r="K27" s="23"/>
      <c r="L27" s="4"/>
      <c r="M27" s="10"/>
      <c r="N27" s="10"/>
    </row>
    <row r="28" spans="1:14" x14ac:dyDescent="0.25">
      <c r="A28" s="27" t="b">
        <v>0</v>
      </c>
      <c r="B28" s="3">
        <f t="shared" si="0"/>
        <v>27</v>
      </c>
      <c r="C28" s="3" t="e">
        <f>_xlfn.XLOOKUP($D28,Tab_Def_Processes[Process_Name],Tab_Def_Processes[Process_ID],,0,)</f>
        <v>#N/A</v>
      </c>
      <c r="D28" s="23" t="s">
        <v>5</v>
      </c>
      <c r="E28" s="3" t="e">
        <f>_xlfn.XLOOKUP($D28,Tab_Def_Processes[Process_Name],Tab_Def_Processes[Process_Logic],,0,)</f>
        <v>#N/A</v>
      </c>
      <c r="F28" s="3" t="e">
        <f>_xlfn.XLOOKUP($D28,Tab_Def_Processes[Process_Name],Tab_Def_Processes[TC_Configuration],,0,)</f>
        <v>#N/A</v>
      </c>
      <c r="G28" s="3" t="e">
        <f>_xlfn.XLOOKUP($D28,Tab_Def_Processes[Process_Name],Tab_Def_Processes[Stock_Configuration],,0,)</f>
        <v>#N/A</v>
      </c>
      <c r="H28" s="3" t="e">
        <f>_xlfn.XLOOKUP(Tab_DSM[[#This Row],[Process_Name]],Tab_Def_Processes[Process_Name],Tab_Def_Processes[Outflow_count],,0,)</f>
        <v>#N/A</v>
      </c>
      <c r="I28" s="3" t="e">
        <f>"P"&amp;Tab_DSM[[#This Row],[Process_ID]]&amp;"_"&amp;Tab_DSM[[#This Row],[DSM_Parameter_type]]&amp;"_Cat_"&amp;Tab_DSM[[#This Row],[DSM_material_count]]</f>
        <v>#N/A</v>
      </c>
      <c r="J28" s="23"/>
      <c r="K28" s="23"/>
      <c r="L28" s="4"/>
      <c r="M28" s="10"/>
      <c r="N28" s="10"/>
    </row>
    <row r="29" spans="1:14" x14ac:dyDescent="0.25">
      <c r="A29" s="27" t="b">
        <v>0</v>
      </c>
      <c r="B29" s="3">
        <f t="shared" si="0"/>
        <v>28</v>
      </c>
      <c r="C29" s="3" t="e">
        <f>_xlfn.XLOOKUP($D29,Tab_Def_Processes[Process_Name],Tab_Def_Processes[Process_ID],,0,)</f>
        <v>#N/A</v>
      </c>
      <c r="D29" s="23" t="s">
        <v>5</v>
      </c>
      <c r="E29" s="3" t="e">
        <f>_xlfn.XLOOKUP($D29,Tab_Def_Processes[Process_Name],Tab_Def_Processes[Process_Logic],,0,)</f>
        <v>#N/A</v>
      </c>
      <c r="F29" s="3" t="e">
        <f>_xlfn.XLOOKUP($D29,Tab_Def_Processes[Process_Name],Tab_Def_Processes[TC_Configuration],,0,)</f>
        <v>#N/A</v>
      </c>
      <c r="G29" s="3" t="e">
        <f>_xlfn.XLOOKUP($D29,Tab_Def_Processes[Process_Name],Tab_Def_Processes[Stock_Configuration],,0,)</f>
        <v>#N/A</v>
      </c>
      <c r="H29" s="3" t="e">
        <f>_xlfn.XLOOKUP(Tab_DSM[[#This Row],[Process_Name]],Tab_Def_Processes[Process_Name],Tab_Def_Processes[Outflow_count],,0,)</f>
        <v>#N/A</v>
      </c>
      <c r="I29" s="3" t="e">
        <f>"P"&amp;Tab_DSM[[#This Row],[Process_ID]]&amp;"_"&amp;Tab_DSM[[#This Row],[DSM_Parameter_type]]&amp;"_Cat_"&amp;Tab_DSM[[#This Row],[DSM_material_count]]</f>
        <v>#N/A</v>
      </c>
      <c r="J29" s="23"/>
      <c r="K29" s="23"/>
      <c r="L29" s="4"/>
      <c r="M29" s="10"/>
      <c r="N29" s="10"/>
    </row>
    <row r="30" spans="1:14" x14ac:dyDescent="0.25">
      <c r="A30" s="27" t="b">
        <v>0</v>
      </c>
      <c r="B30" s="3">
        <f t="shared" si="0"/>
        <v>29</v>
      </c>
      <c r="C30" s="3" t="e">
        <f>_xlfn.XLOOKUP($D30,Tab_Def_Processes[Process_Name],Tab_Def_Processes[Process_ID],,0,)</f>
        <v>#N/A</v>
      </c>
      <c r="D30" s="23" t="s">
        <v>5</v>
      </c>
      <c r="E30" s="3" t="e">
        <f>_xlfn.XLOOKUP($D30,Tab_Def_Processes[Process_Name],Tab_Def_Processes[Process_Logic],,0,)</f>
        <v>#N/A</v>
      </c>
      <c r="F30" s="3" t="e">
        <f>_xlfn.XLOOKUP($D30,Tab_Def_Processes[Process_Name],Tab_Def_Processes[TC_Configuration],,0,)</f>
        <v>#N/A</v>
      </c>
      <c r="G30" s="3" t="e">
        <f>_xlfn.XLOOKUP($D30,Tab_Def_Processes[Process_Name],Tab_Def_Processes[Stock_Configuration],,0,)</f>
        <v>#N/A</v>
      </c>
      <c r="H30" s="3" t="e">
        <f>_xlfn.XLOOKUP(Tab_DSM[[#This Row],[Process_Name]],Tab_Def_Processes[Process_Name],Tab_Def_Processes[Outflow_count],,0,)</f>
        <v>#N/A</v>
      </c>
      <c r="I30" s="3" t="e">
        <f>"P"&amp;Tab_DSM[[#This Row],[Process_ID]]&amp;"_"&amp;Tab_DSM[[#This Row],[DSM_Parameter_type]]&amp;"_Cat_"&amp;Tab_DSM[[#This Row],[DSM_material_count]]</f>
        <v>#N/A</v>
      </c>
      <c r="J30" s="23"/>
      <c r="K30" s="23"/>
      <c r="L30" s="4"/>
      <c r="M30" s="10"/>
      <c r="N30" s="10"/>
    </row>
    <row r="31" spans="1:14" x14ac:dyDescent="0.25">
      <c r="A31" s="27" t="b">
        <v>0</v>
      </c>
      <c r="B31" s="3">
        <f t="shared" si="0"/>
        <v>30</v>
      </c>
      <c r="C31" s="3" t="e">
        <f>_xlfn.XLOOKUP($D31,Tab_Def_Processes[Process_Name],Tab_Def_Processes[Process_ID],,0,)</f>
        <v>#N/A</v>
      </c>
      <c r="D31" s="23" t="s">
        <v>5</v>
      </c>
      <c r="E31" s="3" t="e">
        <f>_xlfn.XLOOKUP($D31,Tab_Def_Processes[Process_Name],Tab_Def_Processes[Process_Logic],,0,)</f>
        <v>#N/A</v>
      </c>
      <c r="F31" s="3" t="e">
        <f>_xlfn.XLOOKUP($D31,Tab_Def_Processes[Process_Name],Tab_Def_Processes[TC_Configuration],,0,)</f>
        <v>#N/A</v>
      </c>
      <c r="G31" s="3" t="e">
        <f>_xlfn.XLOOKUP($D31,Tab_Def_Processes[Process_Name],Tab_Def_Processes[Stock_Configuration],,0,)</f>
        <v>#N/A</v>
      </c>
      <c r="H31" s="3" t="e">
        <f>_xlfn.XLOOKUP(Tab_DSM[[#This Row],[Process_Name]],Tab_Def_Processes[Process_Name],Tab_Def_Processes[Outflow_count],,0,)</f>
        <v>#N/A</v>
      </c>
      <c r="I31" s="3" t="e">
        <f>"P"&amp;Tab_DSM[[#This Row],[Process_ID]]&amp;"_"&amp;Tab_DSM[[#This Row],[DSM_Parameter_type]]&amp;"_Cat_"&amp;Tab_DSM[[#This Row],[DSM_material_count]]</f>
        <v>#N/A</v>
      </c>
      <c r="J31" s="23"/>
      <c r="K31" s="23"/>
      <c r="L31" s="4"/>
      <c r="M31" s="10"/>
      <c r="N31" s="10"/>
    </row>
    <row r="32" spans="1:14" x14ac:dyDescent="0.25">
      <c r="A32" s="27" t="b">
        <v>0</v>
      </c>
      <c r="B32" s="3">
        <f t="shared" si="0"/>
        <v>31</v>
      </c>
      <c r="C32" s="3" t="e">
        <f>_xlfn.XLOOKUP($D32,Tab_Def_Processes[Process_Name],Tab_Def_Processes[Process_ID],,0,)</f>
        <v>#N/A</v>
      </c>
      <c r="D32" s="23" t="s">
        <v>5</v>
      </c>
      <c r="E32" s="3" t="e">
        <f>_xlfn.XLOOKUP($D32,Tab_Def_Processes[Process_Name],Tab_Def_Processes[Process_Logic],,0,)</f>
        <v>#N/A</v>
      </c>
      <c r="F32" s="3" t="e">
        <f>_xlfn.XLOOKUP($D32,Tab_Def_Processes[Process_Name],Tab_Def_Processes[TC_Configuration],,0,)</f>
        <v>#N/A</v>
      </c>
      <c r="G32" s="3" t="e">
        <f>_xlfn.XLOOKUP($D32,Tab_Def_Processes[Process_Name],Tab_Def_Processes[Stock_Configuration],,0,)</f>
        <v>#N/A</v>
      </c>
      <c r="H32" s="3" t="e">
        <f>_xlfn.XLOOKUP(Tab_DSM[[#This Row],[Process_Name]],Tab_Def_Processes[Process_Name],Tab_Def_Processes[Outflow_count],,0,)</f>
        <v>#N/A</v>
      </c>
      <c r="I32" s="3" t="e">
        <f>"P"&amp;Tab_DSM[[#This Row],[Process_ID]]&amp;"_"&amp;Tab_DSM[[#This Row],[DSM_Parameter_type]]&amp;"_Cat_"&amp;Tab_DSM[[#This Row],[DSM_material_count]]</f>
        <v>#N/A</v>
      </c>
      <c r="J32" s="23"/>
      <c r="K32" s="23"/>
      <c r="L32" s="4"/>
      <c r="M32" s="10"/>
      <c r="N32" s="10"/>
    </row>
    <row r="33" spans="1:14" x14ac:dyDescent="0.25">
      <c r="A33" s="27" t="b">
        <v>0</v>
      </c>
      <c r="B33" s="3">
        <f t="shared" si="0"/>
        <v>32</v>
      </c>
      <c r="C33" s="3" t="e">
        <f>_xlfn.XLOOKUP($D33,Tab_Def_Processes[Process_Name],Tab_Def_Processes[Process_ID],,0,)</f>
        <v>#N/A</v>
      </c>
      <c r="D33" s="23" t="s">
        <v>5</v>
      </c>
      <c r="E33" s="3" t="e">
        <f>_xlfn.XLOOKUP($D33,Tab_Def_Processes[Process_Name],Tab_Def_Processes[Process_Logic],,0,)</f>
        <v>#N/A</v>
      </c>
      <c r="F33" s="3" t="e">
        <f>_xlfn.XLOOKUP($D33,Tab_Def_Processes[Process_Name],Tab_Def_Processes[TC_Configuration],,0,)</f>
        <v>#N/A</v>
      </c>
      <c r="G33" s="3" t="e">
        <f>_xlfn.XLOOKUP($D33,Tab_Def_Processes[Process_Name],Tab_Def_Processes[Stock_Configuration],,0,)</f>
        <v>#N/A</v>
      </c>
      <c r="H33" s="3" t="e">
        <f>_xlfn.XLOOKUP(Tab_DSM[[#This Row],[Process_Name]],Tab_Def_Processes[Process_Name],Tab_Def_Processes[Outflow_count],,0,)</f>
        <v>#N/A</v>
      </c>
      <c r="I33" s="3" t="e">
        <f>"P"&amp;Tab_DSM[[#This Row],[Process_ID]]&amp;"_"&amp;Tab_DSM[[#This Row],[DSM_Parameter_type]]&amp;"_Cat_"&amp;Tab_DSM[[#This Row],[DSM_material_count]]</f>
        <v>#N/A</v>
      </c>
      <c r="J33" s="23"/>
      <c r="K33" s="23"/>
      <c r="L33" s="4"/>
      <c r="M33" s="10"/>
      <c r="N33" s="10"/>
    </row>
    <row r="34" spans="1:14" x14ac:dyDescent="0.25">
      <c r="A34" s="27" t="b">
        <v>0</v>
      </c>
      <c r="B34" s="3">
        <f t="shared" si="0"/>
        <v>33</v>
      </c>
      <c r="C34" s="3" t="e">
        <f>_xlfn.XLOOKUP($D34,Tab_Def_Processes[Process_Name],Tab_Def_Processes[Process_ID],,0,)</f>
        <v>#N/A</v>
      </c>
      <c r="D34" s="23" t="s">
        <v>5</v>
      </c>
      <c r="E34" s="3" t="e">
        <f>_xlfn.XLOOKUP($D34,Tab_Def_Processes[Process_Name],Tab_Def_Processes[Process_Logic],,0,)</f>
        <v>#N/A</v>
      </c>
      <c r="F34" s="3" t="e">
        <f>_xlfn.XLOOKUP($D34,Tab_Def_Processes[Process_Name],Tab_Def_Processes[TC_Configuration],,0,)</f>
        <v>#N/A</v>
      </c>
      <c r="G34" s="3" t="e">
        <f>_xlfn.XLOOKUP($D34,Tab_Def_Processes[Process_Name],Tab_Def_Processes[Stock_Configuration],,0,)</f>
        <v>#N/A</v>
      </c>
      <c r="H34" s="3" t="e">
        <f>_xlfn.XLOOKUP(Tab_DSM[[#This Row],[Process_Name]],Tab_Def_Processes[Process_Name],Tab_Def_Processes[Outflow_count],,0,)</f>
        <v>#N/A</v>
      </c>
      <c r="I34" s="3" t="e">
        <f>"P"&amp;Tab_DSM[[#This Row],[Process_ID]]&amp;"_"&amp;Tab_DSM[[#This Row],[DSM_Parameter_type]]&amp;"_Cat_"&amp;Tab_DSM[[#This Row],[DSM_material_count]]</f>
        <v>#N/A</v>
      </c>
      <c r="J34" s="23"/>
      <c r="K34" s="23"/>
      <c r="L34" s="4"/>
      <c r="M34" s="10"/>
      <c r="N34" s="10"/>
    </row>
    <row r="35" spans="1:14" x14ac:dyDescent="0.25">
      <c r="A35" s="27" t="b">
        <v>0</v>
      </c>
      <c r="B35" s="3">
        <f t="shared" si="0"/>
        <v>34</v>
      </c>
      <c r="C35" s="3" t="e">
        <f>_xlfn.XLOOKUP($D35,Tab_Def_Processes[Process_Name],Tab_Def_Processes[Process_ID],,0,)</f>
        <v>#N/A</v>
      </c>
      <c r="D35" s="23" t="s">
        <v>5</v>
      </c>
      <c r="E35" s="3" t="e">
        <f>_xlfn.XLOOKUP($D35,Tab_Def_Processes[Process_Name],Tab_Def_Processes[Process_Logic],,0,)</f>
        <v>#N/A</v>
      </c>
      <c r="F35" s="3" t="e">
        <f>_xlfn.XLOOKUP($D35,Tab_Def_Processes[Process_Name],Tab_Def_Processes[TC_Configuration],,0,)</f>
        <v>#N/A</v>
      </c>
      <c r="G35" s="3" t="e">
        <f>_xlfn.XLOOKUP($D35,Tab_Def_Processes[Process_Name],Tab_Def_Processes[Stock_Configuration],,0,)</f>
        <v>#N/A</v>
      </c>
      <c r="H35" s="3" t="e">
        <f>_xlfn.XLOOKUP(Tab_DSM[[#This Row],[Process_Name]],Tab_Def_Processes[Process_Name],Tab_Def_Processes[Outflow_count],,0,)</f>
        <v>#N/A</v>
      </c>
      <c r="I35" s="3" t="e">
        <f>"P"&amp;Tab_DSM[[#This Row],[Process_ID]]&amp;"_"&amp;Tab_DSM[[#This Row],[DSM_Parameter_type]]&amp;"_Cat_"&amp;Tab_DSM[[#This Row],[DSM_material_count]]</f>
        <v>#N/A</v>
      </c>
      <c r="J35" s="23"/>
      <c r="K35" s="23"/>
      <c r="L35" s="4"/>
      <c r="M35" s="10"/>
      <c r="N35" s="10"/>
    </row>
    <row r="36" spans="1:14" x14ac:dyDescent="0.25">
      <c r="A36" s="27" t="b">
        <v>0</v>
      </c>
      <c r="B36" s="3">
        <f t="shared" si="0"/>
        <v>35</v>
      </c>
      <c r="C36" s="3" t="e">
        <f>_xlfn.XLOOKUP($D36,Tab_Def_Processes[Process_Name],Tab_Def_Processes[Process_ID],,0,)</f>
        <v>#N/A</v>
      </c>
      <c r="D36" s="23" t="s">
        <v>5</v>
      </c>
      <c r="E36" s="3" t="e">
        <f>_xlfn.XLOOKUP($D36,Tab_Def_Processes[Process_Name],Tab_Def_Processes[Process_Logic],,0,)</f>
        <v>#N/A</v>
      </c>
      <c r="F36" s="3" t="e">
        <f>_xlfn.XLOOKUP($D36,Tab_Def_Processes[Process_Name],Tab_Def_Processes[TC_Configuration],,0,)</f>
        <v>#N/A</v>
      </c>
      <c r="G36" s="3" t="e">
        <f>_xlfn.XLOOKUP($D36,Tab_Def_Processes[Process_Name],Tab_Def_Processes[Stock_Configuration],,0,)</f>
        <v>#N/A</v>
      </c>
      <c r="H36" s="3" t="e">
        <f>_xlfn.XLOOKUP(Tab_DSM[[#This Row],[Process_Name]],Tab_Def_Processes[Process_Name],Tab_Def_Processes[Outflow_count],,0,)</f>
        <v>#N/A</v>
      </c>
      <c r="I36" s="3" t="e">
        <f>"P"&amp;Tab_DSM[[#This Row],[Process_ID]]&amp;"_"&amp;Tab_DSM[[#This Row],[DSM_Parameter_type]]&amp;"_Cat_"&amp;Tab_DSM[[#This Row],[DSM_material_count]]</f>
        <v>#N/A</v>
      </c>
      <c r="J36" s="23"/>
      <c r="K36" s="23"/>
      <c r="L36" s="4"/>
      <c r="M36" s="10"/>
      <c r="N36" s="10"/>
    </row>
    <row r="37" spans="1:14" x14ac:dyDescent="0.25">
      <c r="A37" s="27" t="b">
        <v>0</v>
      </c>
      <c r="B37" s="3">
        <f t="shared" si="0"/>
        <v>36</v>
      </c>
      <c r="C37" s="3" t="e">
        <f>_xlfn.XLOOKUP($D37,Tab_Def_Processes[Process_Name],Tab_Def_Processes[Process_ID],,0,)</f>
        <v>#N/A</v>
      </c>
      <c r="D37" s="23" t="s">
        <v>5</v>
      </c>
      <c r="E37" s="3" t="e">
        <f>_xlfn.XLOOKUP($D37,Tab_Def_Processes[Process_Name],Tab_Def_Processes[Process_Logic],,0,)</f>
        <v>#N/A</v>
      </c>
      <c r="F37" s="3" t="e">
        <f>_xlfn.XLOOKUP($D37,Tab_Def_Processes[Process_Name],Tab_Def_Processes[TC_Configuration],,0,)</f>
        <v>#N/A</v>
      </c>
      <c r="G37" s="3" t="e">
        <f>_xlfn.XLOOKUP($D37,Tab_Def_Processes[Process_Name],Tab_Def_Processes[Stock_Configuration],,0,)</f>
        <v>#N/A</v>
      </c>
      <c r="H37" s="3" t="e">
        <f>_xlfn.XLOOKUP(Tab_DSM[[#This Row],[Process_Name]],Tab_Def_Processes[Process_Name],Tab_Def_Processes[Outflow_count],,0,)</f>
        <v>#N/A</v>
      </c>
      <c r="I37" s="3" t="e">
        <f>"P"&amp;Tab_DSM[[#This Row],[Process_ID]]&amp;"_"&amp;Tab_DSM[[#This Row],[DSM_Parameter_type]]&amp;"_Cat_"&amp;Tab_DSM[[#This Row],[DSM_material_count]]</f>
        <v>#N/A</v>
      </c>
      <c r="J37" s="23"/>
      <c r="K37" s="23"/>
      <c r="L37" s="4"/>
      <c r="M37" s="10"/>
      <c r="N37" s="10"/>
    </row>
    <row r="38" spans="1:14" x14ac:dyDescent="0.25">
      <c r="A38" s="27" t="b">
        <v>0</v>
      </c>
      <c r="B38" s="3">
        <f t="shared" si="0"/>
        <v>37</v>
      </c>
      <c r="C38" s="3" t="e">
        <f>_xlfn.XLOOKUP($D38,Tab_Def_Processes[Process_Name],Tab_Def_Processes[Process_ID],,0,)</f>
        <v>#N/A</v>
      </c>
      <c r="D38" s="23" t="s">
        <v>5</v>
      </c>
      <c r="E38" s="3" t="e">
        <f>_xlfn.XLOOKUP($D38,Tab_Def_Processes[Process_Name],Tab_Def_Processes[Process_Logic],,0,)</f>
        <v>#N/A</v>
      </c>
      <c r="F38" s="3" t="e">
        <f>_xlfn.XLOOKUP($D38,Tab_Def_Processes[Process_Name],Tab_Def_Processes[TC_Configuration],,0,)</f>
        <v>#N/A</v>
      </c>
      <c r="G38" s="3" t="e">
        <f>_xlfn.XLOOKUP($D38,Tab_Def_Processes[Process_Name],Tab_Def_Processes[Stock_Configuration],,0,)</f>
        <v>#N/A</v>
      </c>
      <c r="H38" s="3" t="e">
        <f>_xlfn.XLOOKUP(Tab_DSM[[#This Row],[Process_Name]],Tab_Def_Processes[Process_Name],Tab_Def_Processes[Outflow_count],,0,)</f>
        <v>#N/A</v>
      </c>
      <c r="I38" s="3" t="e">
        <f>"P"&amp;Tab_DSM[[#This Row],[Process_ID]]&amp;"_"&amp;Tab_DSM[[#This Row],[DSM_Parameter_type]]&amp;"_Cat_"&amp;Tab_DSM[[#This Row],[DSM_material_count]]</f>
        <v>#N/A</v>
      </c>
      <c r="J38" s="23"/>
      <c r="K38" s="23"/>
      <c r="L38" s="4"/>
      <c r="M38" s="10"/>
      <c r="N38" s="10"/>
    </row>
    <row r="39" spans="1:14" x14ac:dyDescent="0.25">
      <c r="A39" s="27" t="b">
        <v>0</v>
      </c>
      <c r="B39" s="3">
        <f t="shared" si="0"/>
        <v>38</v>
      </c>
      <c r="C39" s="3" t="e">
        <f>_xlfn.XLOOKUP($D39,Tab_Def_Processes[Process_Name],Tab_Def_Processes[Process_ID],,0,)</f>
        <v>#N/A</v>
      </c>
      <c r="D39" s="23" t="s">
        <v>5</v>
      </c>
      <c r="E39" s="3" t="e">
        <f>_xlfn.XLOOKUP($D39,Tab_Def_Processes[Process_Name],Tab_Def_Processes[Process_Logic],,0,)</f>
        <v>#N/A</v>
      </c>
      <c r="F39" s="3" t="e">
        <f>_xlfn.XLOOKUP($D39,Tab_Def_Processes[Process_Name],Tab_Def_Processes[TC_Configuration],,0,)</f>
        <v>#N/A</v>
      </c>
      <c r="G39" s="3" t="e">
        <f>_xlfn.XLOOKUP($D39,Tab_Def_Processes[Process_Name],Tab_Def_Processes[Stock_Configuration],,0,)</f>
        <v>#N/A</v>
      </c>
      <c r="H39" s="3" t="e">
        <f>_xlfn.XLOOKUP(Tab_DSM[[#This Row],[Process_Name]],Tab_Def_Processes[Process_Name],Tab_Def_Processes[Outflow_count],,0,)</f>
        <v>#N/A</v>
      </c>
      <c r="I39" s="3" t="e">
        <f>"P"&amp;Tab_DSM[[#This Row],[Process_ID]]&amp;"_"&amp;Tab_DSM[[#This Row],[DSM_Parameter_type]]&amp;"_Cat_"&amp;Tab_DSM[[#This Row],[DSM_material_count]]</f>
        <v>#N/A</v>
      </c>
      <c r="J39" s="23"/>
      <c r="K39" s="23"/>
      <c r="L39" s="4"/>
      <c r="M39" s="10"/>
      <c r="N39" s="10"/>
    </row>
    <row r="40" spans="1:14" x14ac:dyDescent="0.25">
      <c r="A40" s="27" t="b">
        <v>0</v>
      </c>
      <c r="B40" s="3">
        <f t="shared" si="0"/>
        <v>39</v>
      </c>
      <c r="C40" s="3" t="e">
        <f>_xlfn.XLOOKUP($D40,Tab_Def_Processes[Process_Name],Tab_Def_Processes[Process_ID],,0,)</f>
        <v>#N/A</v>
      </c>
      <c r="D40" s="23" t="s">
        <v>5</v>
      </c>
      <c r="E40" s="3" t="e">
        <f>_xlfn.XLOOKUP($D40,Tab_Def_Processes[Process_Name],Tab_Def_Processes[Process_Logic],,0,)</f>
        <v>#N/A</v>
      </c>
      <c r="F40" s="3" t="e">
        <f>_xlfn.XLOOKUP($D40,Tab_Def_Processes[Process_Name],Tab_Def_Processes[TC_Configuration],,0,)</f>
        <v>#N/A</v>
      </c>
      <c r="G40" s="3" t="e">
        <f>_xlfn.XLOOKUP($D40,Tab_Def_Processes[Process_Name],Tab_Def_Processes[Stock_Configuration],,0,)</f>
        <v>#N/A</v>
      </c>
      <c r="H40" s="3" t="e">
        <f>_xlfn.XLOOKUP(Tab_DSM[[#This Row],[Process_Name]],Tab_Def_Processes[Process_Name],Tab_Def_Processes[Outflow_count],,0,)</f>
        <v>#N/A</v>
      </c>
      <c r="I40" s="3" t="e">
        <f>"P"&amp;Tab_DSM[[#This Row],[Process_ID]]&amp;"_"&amp;Tab_DSM[[#This Row],[DSM_Parameter_type]]&amp;"_Cat_"&amp;Tab_DSM[[#This Row],[DSM_material_count]]</f>
        <v>#N/A</v>
      </c>
      <c r="J40" s="23"/>
      <c r="K40" s="23"/>
      <c r="L40" s="4"/>
      <c r="M40" s="10"/>
      <c r="N40" s="10"/>
    </row>
    <row r="41" spans="1:14" x14ac:dyDescent="0.25">
      <c r="A41" s="27" t="b">
        <v>0</v>
      </c>
      <c r="B41" s="3">
        <f t="shared" si="0"/>
        <v>40</v>
      </c>
      <c r="C41" s="3" t="e">
        <f>_xlfn.XLOOKUP($D41,Tab_Def_Processes[Process_Name],Tab_Def_Processes[Process_ID],,0,)</f>
        <v>#N/A</v>
      </c>
      <c r="D41" s="23" t="s">
        <v>5</v>
      </c>
      <c r="E41" s="3" t="e">
        <f>_xlfn.XLOOKUP($D41,Tab_Def_Processes[Process_Name],Tab_Def_Processes[Process_Logic],,0,)</f>
        <v>#N/A</v>
      </c>
      <c r="F41" s="3" t="e">
        <f>_xlfn.XLOOKUP($D41,Tab_Def_Processes[Process_Name],Tab_Def_Processes[TC_Configuration],,0,)</f>
        <v>#N/A</v>
      </c>
      <c r="G41" s="3" t="e">
        <f>_xlfn.XLOOKUP($D41,Tab_Def_Processes[Process_Name],Tab_Def_Processes[Stock_Configuration],,0,)</f>
        <v>#N/A</v>
      </c>
      <c r="H41" s="3" t="e">
        <f>_xlfn.XLOOKUP(Tab_DSM[[#This Row],[Process_Name]],Tab_Def_Processes[Process_Name],Tab_Def_Processes[Outflow_count],,0,)</f>
        <v>#N/A</v>
      </c>
      <c r="I41" s="3" t="e">
        <f>"P"&amp;Tab_DSM[[#This Row],[Process_ID]]&amp;"_"&amp;Tab_DSM[[#This Row],[DSM_Parameter_type]]&amp;"_Cat_"&amp;Tab_DSM[[#This Row],[DSM_material_count]]</f>
        <v>#N/A</v>
      </c>
      <c r="J41" s="23"/>
      <c r="K41" s="23"/>
      <c r="L41" s="4"/>
      <c r="M41" s="10"/>
      <c r="N41" s="10"/>
    </row>
    <row r="42" spans="1:14" x14ac:dyDescent="0.25">
      <c r="A42" s="27" t="b">
        <v>0</v>
      </c>
      <c r="B42" s="3">
        <f t="shared" si="0"/>
        <v>41</v>
      </c>
      <c r="C42" s="3" t="e">
        <f>_xlfn.XLOOKUP($D42,Tab_Def_Processes[Process_Name],Tab_Def_Processes[Process_ID],,0,)</f>
        <v>#N/A</v>
      </c>
      <c r="D42" s="23" t="s">
        <v>5</v>
      </c>
      <c r="E42" s="3" t="e">
        <f>_xlfn.XLOOKUP($D42,Tab_Def_Processes[Process_Name],Tab_Def_Processes[Process_Logic],,0,)</f>
        <v>#N/A</v>
      </c>
      <c r="F42" s="3" t="e">
        <f>_xlfn.XLOOKUP($D42,Tab_Def_Processes[Process_Name],Tab_Def_Processes[TC_Configuration],,0,)</f>
        <v>#N/A</v>
      </c>
      <c r="G42" s="3" t="e">
        <f>_xlfn.XLOOKUP($D42,Tab_Def_Processes[Process_Name],Tab_Def_Processes[Stock_Configuration],,0,)</f>
        <v>#N/A</v>
      </c>
      <c r="H42" s="3" t="e">
        <f>_xlfn.XLOOKUP(Tab_DSM[[#This Row],[Process_Name]],Tab_Def_Processes[Process_Name],Tab_Def_Processes[Outflow_count],,0,)</f>
        <v>#N/A</v>
      </c>
      <c r="I42" s="3" t="e">
        <f>"P"&amp;Tab_DSM[[#This Row],[Process_ID]]&amp;"_"&amp;Tab_DSM[[#This Row],[DSM_Parameter_type]]&amp;"_Cat_"&amp;Tab_DSM[[#This Row],[DSM_material_count]]</f>
        <v>#N/A</v>
      </c>
      <c r="J42" s="23"/>
      <c r="K42" s="23"/>
      <c r="L42" s="4"/>
      <c r="M42" s="10"/>
      <c r="N42" s="10"/>
    </row>
    <row r="43" spans="1:14" x14ac:dyDescent="0.25">
      <c r="A43" s="27" t="b">
        <v>0</v>
      </c>
      <c r="B43" s="3">
        <f t="shared" si="0"/>
        <v>42</v>
      </c>
      <c r="C43" s="3" t="e">
        <f>_xlfn.XLOOKUP($D43,Tab_Def_Processes[Process_Name],Tab_Def_Processes[Process_ID],,0,)</f>
        <v>#N/A</v>
      </c>
      <c r="D43" s="23" t="s">
        <v>5</v>
      </c>
      <c r="E43" s="3" t="e">
        <f>_xlfn.XLOOKUP($D43,Tab_Def_Processes[Process_Name],Tab_Def_Processes[Process_Logic],,0,)</f>
        <v>#N/A</v>
      </c>
      <c r="F43" s="3" t="e">
        <f>_xlfn.XLOOKUP($D43,Tab_Def_Processes[Process_Name],Tab_Def_Processes[TC_Configuration],,0,)</f>
        <v>#N/A</v>
      </c>
      <c r="G43" s="3" t="e">
        <f>_xlfn.XLOOKUP($D43,Tab_Def_Processes[Process_Name],Tab_Def_Processes[Stock_Configuration],,0,)</f>
        <v>#N/A</v>
      </c>
      <c r="H43" s="3" t="e">
        <f>_xlfn.XLOOKUP(Tab_DSM[[#This Row],[Process_Name]],Tab_Def_Processes[Process_Name],Tab_Def_Processes[Outflow_count],,0,)</f>
        <v>#N/A</v>
      </c>
      <c r="I43" s="3" t="e">
        <f>"P"&amp;Tab_DSM[[#This Row],[Process_ID]]&amp;"_"&amp;Tab_DSM[[#This Row],[DSM_Parameter_type]]&amp;"_Cat_"&amp;Tab_DSM[[#This Row],[DSM_material_count]]</f>
        <v>#N/A</v>
      </c>
      <c r="J43" s="23"/>
      <c r="K43" s="23"/>
      <c r="L43" s="4"/>
      <c r="M43" s="10"/>
      <c r="N43" s="10"/>
    </row>
    <row r="44" spans="1:14" x14ac:dyDescent="0.25">
      <c r="A44" s="27" t="b">
        <v>0</v>
      </c>
      <c r="B44" s="3">
        <f t="shared" si="0"/>
        <v>43</v>
      </c>
      <c r="C44" s="3" t="e">
        <f>_xlfn.XLOOKUP($D44,Tab_Def_Processes[Process_Name],Tab_Def_Processes[Process_ID],,0,)</f>
        <v>#N/A</v>
      </c>
      <c r="D44" s="23" t="s">
        <v>5</v>
      </c>
      <c r="E44" s="3" t="e">
        <f>_xlfn.XLOOKUP($D44,Tab_Def_Processes[Process_Name],Tab_Def_Processes[Process_Logic],,0,)</f>
        <v>#N/A</v>
      </c>
      <c r="F44" s="3" t="e">
        <f>_xlfn.XLOOKUP($D44,Tab_Def_Processes[Process_Name],Tab_Def_Processes[TC_Configuration],,0,)</f>
        <v>#N/A</v>
      </c>
      <c r="G44" s="3" t="e">
        <f>_xlfn.XLOOKUP($D44,Tab_Def_Processes[Process_Name],Tab_Def_Processes[Stock_Configuration],,0,)</f>
        <v>#N/A</v>
      </c>
      <c r="H44" s="3" t="e">
        <f>_xlfn.XLOOKUP(Tab_DSM[[#This Row],[Process_Name]],Tab_Def_Processes[Process_Name],Tab_Def_Processes[Outflow_count],,0,)</f>
        <v>#N/A</v>
      </c>
      <c r="I44" s="3" t="e">
        <f>"P"&amp;Tab_DSM[[#This Row],[Process_ID]]&amp;"_"&amp;Tab_DSM[[#This Row],[DSM_Parameter_type]]&amp;"_Cat_"&amp;Tab_DSM[[#This Row],[DSM_material_count]]</f>
        <v>#N/A</v>
      </c>
      <c r="J44" s="23"/>
      <c r="K44" s="23"/>
      <c r="L44" s="4"/>
      <c r="M44" s="10"/>
      <c r="N44" s="10"/>
    </row>
    <row r="45" spans="1:14" x14ac:dyDescent="0.25">
      <c r="A45" s="27" t="b">
        <v>0</v>
      </c>
      <c r="B45" s="3">
        <f t="shared" si="0"/>
        <v>44</v>
      </c>
      <c r="C45" s="3" t="e">
        <f>_xlfn.XLOOKUP($D45,Tab_Def_Processes[Process_Name],Tab_Def_Processes[Process_ID],,0,)</f>
        <v>#N/A</v>
      </c>
      <c r="D45" s="23" t="s">
        <v>5</v>
      </c>
      <c r="E45" s="3" t="e">
        <f>_xlfn.XLOOKUP($D45,Tab_Def_Processes[Process_Name],Tab_Def_Processes[Process_Logic],,0,)</f>
        <v>#N/A</v>
      </c>
      <c r="F45" s="3" t="e">
        <f>_xlfn.XLOOKUP($D45,Tab_Def_Processes[Process_Name],Tab_Def_Processes[TC_Configuration],,0,)</f>
        <v>#N/A</v>
      </c>
      <c r="G45" s="3" t="e">
        <f>_xlfn.XLOOKUP($D45,Tab_Def_Processes[Process_Name],Tab_Def_Processes[Stock_Configuration],,0,)</f>
        <v>#N/A</v>
      </c>
      <c r="H45" s="3" t="e">
        <f>_xlfn.XLOOKUP(Tab_DSM[[#This Row],[Process_Name]],Tab_Def_Processes[Process_Name],Tab_Def_Processes[Outflow_count],,0,)</f>
        <v>#N/A</v>
      </c>
      <c r="I45" s="3" t="e">
        <f>"P"&amp;Tab_DSM[[#This Row],[Process_ID]]&amp;"_"&amp;Tab_DSM[[#This Row],[DSM_Parameter_type]]&amp;"_Cat_"&amp;Tab_DSM[[#This Row],[DSM_material_count]]</f>
        <v>#N/A</v>
      </c>
      <c r="J45" s="23"/>
      <c r="K45" s="23"/>
      <c r="L45" s="4"/>
      <c r="M45" s="10"/>
      <c r="N45" s="10"/>
    </row>
    <row r="46" spans="1:14" x14ac:dyDescent="0.25">
      <c r="A46" s="27" t="b">
        <v>0</v>
      </c>
      <c r="B46" s="3">
        <f t="shared" si="0"/>
        <v>45</v>
      </c>
      <c r="C46" s="3" t="e">
        <f>_xlfn.XLOOKUP($D46,Tab_Def_Processes[Process_Name],Tab_Def_Processes[Process_ID],,0,)</f>
        <v>#N/A</v>
      </c>
      <c r="D46" s="23" t="s">
        <v>5</v>
      </c>
      <c r="E46" s="3" t="e">
        <f>_xlfn.XLOOKUP($D46,Tab_Def_Processes[Process_Name],Tab_Def_Processes[Process_Logic],,0,)</f>
        <v>#N/A</v>
      </c>
      <c r="F46" s="3" t="e">
        <f>_xlfn.XLOOKUP($D46,Tab_Def_Processes[Process_Name],Tab_Def_Processes[TC_Configuration],,0,)</f>
        <v>#N/A</v>
      </c>
      <c r="G46" s="3" t="e">
        <f>_xlfn.XLOOKUP($D46,Tab_Def_Processes[Process_Name],Tab_Def_Processes[Stock_Configuration],,0,)</f>
        <v>#N/A</v>
      </c>
      <c r="H46" s="3" t="e">
        <f>_xlfn.XLOOKUP(Tab_DSM[[#This Row],[Process_Name]],Tab_Def_Processes[Process_Name],Tab_Def_Processes[Outflow_count],,0,)</f>
        <v>#N/A</v>
      </c>
      <c r="I46" s="3" t="e">
        <f>"P"&amp;Tab_DSM[[#This Row],[Process_ID]]&amp;"_"&amp;Tab_DSM[[#This Row],[DSM_Parameter_type]]&amp;"_Cat_"&amp;Tab_DSM[[#This Row],[DSM_material_count]]</f>
        <v>#N/A</v>
      </c>
      <c r="J46" s="23"/>
      <c r="K46" s="23"/>
      <c r="L46" s="4"/>
      <c r="M46" s="10"/>
      <c r="N46" s="10"/>
    </row>
    <row r="47" spans="1:14" x14ac:dyDescent="0.25">
      <c r="A47" s="27" t="b">
        <v>0</v>
      </c>
      <c r="B47" s="3">
        <f t="shared" si="0"/>
        <v>46</v>
      </c>
      <c r="C47" s="3" t="e">
        <f>_xlfn.XLOOKUP($D47,Tab_Def_Processes[Process_Name],Tab_Def_Processes[Process_ID],,0,)</f>
        <v>#N/A</v>
      </c>
      <c r="D47" s="23" t="s">
        <v>5</v>
      </c>
      <c r="E47" s="3" t="e">
        <f>_xlfn.XLOOKUP($D47,Tab_Def_Processes[Process_Name],Tab_Def_Processes[Process_Logic],,0,)</f>
        <v>#N/A</v>
      </c>
      <c r="F47" s="3" t="e">
        <f>_xlfn.XLOOKUP($D47,Tab_Def_Processes[Process_Name],Tab_Def_Processes[TC_Configuration],,0,)</f>
        <v>#N/A</v>
      </c>
      <c r="G47" s="3" t="e">
        <f>_xlfn.XLOOKUP($D47,Tab_Def_Processes[Process_Name],Tab_Def_Processes[Stock_Configuration],,0,)</f>
        <v>#N/A</v>
      </c>
      <c r="H47" s="3" t="e">
        <f>_xlfn.XLOOKUP(Tab_DSM[[#This Row],[Process_Name]],Tab_Def_Processes[Process_Name],Tab_Def_Processes[Outflow_count],,0,)</f>
        <v>#N/A</v>
      </c>
      <c r="I47" s="3" t="e">
        <f>"P"&amp;Tab_DSM[[#This Row],[Process_ID]]&amp;"_"&amp;Tab_DSM[[#This Row],[DSM_Parameter_type]]&amp;"_Cat_"&amp;Tab_DSM[[#This Row],[DSM_material_count]]</f>
        <v>#N/A</v>
      </c>
      <c r="J47" s="23"/>
      <c r="K47" s="23"/>
      <c r="L47" s="4"/>
      <c r="M47" s="10"/>
      <c r="N47" s="10"/>
    </row>
    <row r="48" spans="1:14" x14ac:dyDescent="0.25">
      <c r="A48" s="27" t="b">
        <v>0</v>
      </c>
      <c r="B48" s="3">
        <f t="shared" si="0"/>
        <v>47</v>
      </c>
      <c r="C48" s="3" t="e">
        <f>_xlfn.XLOOKUP($D48,Tab_Def_Processes[Process_Name],Tab_Def_Processes[Process_ID],,0,)</f>
        <v>#N/A</v>
      </c>
      <c r="D48" s="23" t="s">
        <v>5</v>
      </c>
      <c r="E48" s="3" t="e">
        <f>_xlfn.XLOOKUP($D48,Tab_Def_Processes[Process_Name],Tab_Def_Processes[Process_Logic],,0,)</f>
        <v>#N/A</v>
      </c>
      <c r="F48" s="3" t="e">
        <f>_xlfn.XLOOKUP($D48,Tab_Def_Processes[Process_Name],Tab_Def_Processes[TC_Configuration],,0,)</f>
        <v>#N/A</v>
      </c>
      <c r="G48" s="3" t="e">
        <f>_xlfn.XLOOKUP($D48,Tab_Def_Processes[Process_Name],Tab_Def_Processes[Stock_Configuration],,0,)</f>
        <v>#N/A</v>
      </c>
      <c r="H48" s="3" t="e">
        <f>_xlfn.XLOOKUP(Tab_DSM[[#This Row],[Process_Name]],Tab_Def_Processes[Process_Name],Tab_Def_Processes[Outflow_count],,0,)</f>
        <v>#N/A</v>
      </c>
      <c r="I48" s="3" t="e">
        <f>"P"&amp;Tab_DSM[[#This Row],[Process_ID]]&amp;"_"&amp;Tab_DSM[[#This Row],[DSM_Parameter_type]]&amp;"_Cat_"&amp;Tab_DSM[[#This Row],[DSM_material_count]]</f>
        <v>#N/A</v>
      </c>
      <c r="J48" s="23"/>
      <c r="K48" s="23"/>
      <c r="L48" s="4"/>
      <c r="M48" s="10"/>
      <c r="N48" s="10"/>
    </row>
    <row r="49" spans="1:14" x14ac:dyDescent="0.25">
      <c r="A49" s="27" t="b">
        <v>0</v>
      </c>
      <c r="B49" s="3">
        <f t="shared" si="0"/>
        <v>48</v>
      </c>
      <c r="C49" s="3" t="e">
        <f>_xlfn.XLOOKUP($D49,Tab_Def_Processes[Process_Name],Tab_Def_Processes[Process_ID],,0,)</f>
        <v>#N/A</v>
      </c>
      <c r="D49" s="23" t="s">
        <v>5</v>
      </c>
      <c r="E49" s="3" t="e">
        <f>_xlfn.XLOOKUP($D49,Tab_Def_Processes[Process_Name],Tab_Def_Processes[Process_Logic],,0,)</f>
        <v>#N/A</v>
      </c>
      <c r="F49" s="3" t="e">
        <f>_xlfn.XLOOKUP($D49,Tab_Def_Processes[Process_Name],Tab_Def_Processes[TC_Configuration],,0,)</f>
        <v>#N/A</v>
      </c>
      <c r="G49" s="3" t="e">
        <f>_xlfn.XLOOKUP($D49,Tab_Def_Processes[Process_Name],Tab_Def_Processes[Stock_Configuration],,0,)</f>
        <v>#N/A</v>
      </c>
      <c r="H49" s="3" t="e">
        <f>_xlfn.XLOOKUP(Tab_DSM[[#This Row],[Process_Name]],Tab_Def_Processes[Process_Name],Tab_Def_Processes[Outflow_count],,0,)</f>
        <v>#N/A</v>
      </c>
      <c r="I49" s="3" t="e">
        <f>"P"&amp;Tab_DSM[[#This Row],[Process_ID]]&amp;"_"&amp;Tab_DSM[[#This Row],[DSM_Parameter_type]]&amp;"_Cat_"&amp;Tab_DSM[[#This Row],[DSM_material_count]]</f>
        <v>#N/A</v>
      </c>
      <c r="J49" s="23"/>
      <c r="K49" s="23"/>
      <c r="L49" s="4"/>
      <c r="M49" s="10"/>
      <c r="N49" s="10"/>
    </row>
    <row r="50" spans="1:14" x14ac:dyDescent="0.25">
      <c r="A50" s="27" t="b">
        <v>0</v>
      </c>
      <c r="B50" s="3">
        <f t="shared" si="0"/>
        <v>49</v>
      </c>
      <c r="C50" s="3" t="e">
        <f>_xlfn.XLOOKUP($D50,Tab_Def_Processes[Process_Name],Tab_Def_Processes[Process_ID],,0,)</f>
        <v>#N/A</v>
      </c>
      <c r="D50" s="23" t="s">
        <v>5</v>
      </c>
      <c r="E50" s="3" t="e">
        <f>_xlfn.XLOOKUP($D50,Tab_Def_Processes[Process_Name],Tab_Def_Processes[Process_Logic],,0,)</f>
        <v>#N/A</v>
      </c>
      <c r="F50" s="3" t="e">
        <f>_xlfn.XLOOKUP($D50,Tab_Def_Processes[Process_Name],Tab_Def_Processes[TC_Configuration],,0,)</f>
        <v>#N/A</v>
      </c>
      <c r="G50" s="3" t="e">
        <f>_xlfn.XLOOKUP($D50,Tab_Def_Processes[Process_Name],Tab_Def_Processes[Stock_Configuration],,0,)</f>
        <v>#N/A</v>
      </c>
      <c r="H50" s="3" t="e">
        <f>_xlfn.XLOOKUP(Tab_DSM[[#This Row],[Process_Name]],Tab_Def_Processes[Process_Name],Tab_Def_Processes[Outflow_count],,0,)</f>
        <v>#N/A</v>
      </c>
      <c r="I50" s="3" t="e">
        <f>"P"&amp;Tab_DSM[[#This Row],[Process_ID]]&amp;"_"&amp;Tab_DSM[[#This Row],[DSM_Parameter_type]]&amp;"_Cat_"&amp;Tab_DSM[[#This Row],[DSM_material_count]]</f>
        <v>#N/A</v>
      </c>
      <c r="J50" s="23"/>
      <c r="K50" s="23"/>
      <c r="L50" s="4"/>
      <c r="M50" s="10"/>
      <c r="N50" s="10"/>
    </row>
    <row r="51" spans="1:14" x14ac:dyDescent="0.25">
      <c r="A51" s="27" t="b">
        <v>0</v>
      </c>
      <c r="B51" s="3">
        <f t="shared" si="0"/>
        <v>50</v>
      </c>
      <c r="C51" s="3" t="e">
        <f>_xlfn.XLOOKUP($D51,Tab_Def_Processes[Process_Name],Tab_Def_Processes[Process_ID],,0,)</f>
        <v>#N/A</v>
      </c>
      <c r="D51" s="23" t="s">
        <v>5</v>
      </c>
      <c r="E51" s="3" t="e">
        <f>_xlfn.XLOOKUP($D51,Tab_Def_Processes[Process_Name],Tab_Def_Processes[Process_Logic],,0,)</f>
        <v>#N/A</v>
      </c>
      <c r="F51" s="3" t="e">
        <f>_xlfn.XLOOKUP($D51,Tab_Def_Processes[Process_Name],Tab_Def_Processes[TC_Configuration],,0,)</f>
        <v>#N/A</v>
      </c>
      <c r="G51" s="3" t="e">
        <f>_xlfn.XLOOKUP($D51,Tab_Def_Processes[Process_Name],Tab_Def_Processes[Stock_Configuration],,0,)</f>
        <v>#N/A</v>
      </c>
      <c r="H51" s="3" t="e">
        <f>_xlfn.XLOOKUP(Tab_DSM[[#This Row],[Process_Name]],Tab_Def_Processes[Process_Name],Tab_Def_Processes[Outflow_count],,0,)</f>
        <v>#N/A</v>
      </c>
      <c r="I51" s="3" t="e">
        <f>"P"&amp;Tab_DSM[[#This Row],[Process_ID]]&amp;"_"&amp;Tab_DSM[[#This Row],[DSM_Parameter_type]]&amp;"_Cat_"&amp;Tab_DSM[[#This Row],[DSM_material_count]]</f>
        <v>#N/A</v>
      </c>
      <c r="J51" s="23"/>
      <c r="K51" s="23"/>
      <c r="L51" s="4"/>
      <c r="M51" s="10"/>
      <c r="N51" s="10"/>
    </row>
    <row r="52" spans="1:14" x14ac:dyDescent="0.25">
      <c r="A52" s="27" t="b">
        <v>0</v>
      </c>
      <c r="B52" s="3">
        <f t="shared" si="0"/>
        <v>51</v>
      </c>
      <c r="C52" s="3" t="e">
        <f>_xlfn.XLOOKUP($D52,Tab_Def_Processes[Process_Name],Tab_Def_Processes[Process_ID],,0,)</f>
        <v>#N/A</v>
      </c>
      <c r="D52" s="23" t="s">
        <v>5</v>
      </c>
      <c r="E52" s="3" t="e">
        <f>_xlfn.XLOOKUP($D52,Tab_Def_Processes[Process_Name],Tab_Def_Processes[Process_Logic],,0,)</f>
        <v>#N/A</v>
      </c>
      <c r="F52" s="3" t="e">
        <f>_xlfn.XLOOKUP($D52,Tab_Def_Processes[Process_Name],Tab_Def_Processes[TC_Configuration],,0,)</f>
        <v>#N/A</v>
      </c>
      <c r="G52" s="3" t="e">
        <f>_xlfn.XLOOKUP($D52,Tab_Def_Processes[Process_Name],Tab_Def_Processes[Stock_Configuration],,0,)</f>
        <v>#N/A</v>
      </c>
      <c r="H52" s="3" t="e">
        <f>_xlfn.XLOOKUP(Tab_DSM[[#This Row],[Process_Name]],Tab_Def_Processes[Process_Name],Tab_Def_Processes[Outflow_count],,0,)</f>
        <v>#N/A</v>
      </c>
      <c r="I52" s="3" t="e">
        <f>"P"&amp;Tab_DSM[[#This Row],[Process_ID]]&amp;"_"&amp;Tab_DSM[[#This Row],[DSM_Parameter_type]]&amp;"_Cat_"&amp;Tab_DSM[[#This Row],[DSM_material_count]]</f>
        <v>#N/A</v>
      </c>
      <c r="J52" s="23"/>
      <c r="K52" s="23"/>
      <c r="L52" s="4"/>
      <c r="M52" s="10"/>
      <c r="N52" s="10"/>
    </row>
    <row r="53" spans="1:14" x14ac:dyDescent="0.25">
      <c r="A53" s="27" t="b">
        <v>0</v>
      </c>
      <c r="B53" s="3">
        <f t="shared" si="0"/>
        <v>52</v>
      </c>
      <c r="C53" s="3" t="e">
        <f>_xlfn.XLOOKUP($D53,Tab_Def_Processes[Process_Name],Tab_Def_Processes[Process_ID],,0,)</f>
        <v>#N/A</v>
      </c>
      <c r="D53" s="23" t="s">
        <v>5</v>
      </c>
      <c r="E53" s="3" t="e">
        <f>_xlfn.XLOOKUP($D53,Tab_Def_Processes[Process_Name],Tab_Def_Processes[Process_Logic],,0,)</f>
        <v>#N/A</v>
      </c>
      <c r="F53" s="3" t="e">
        <f>_xlfn.XLOOKUP($D53,Tab_Def_Processes[Process_Name],Tab_Def_Processes[TC_Configuration],,0,)</f>
        <v>#N/A</v>
      </c>
      <c r="G53" s="3" t="e">
        <f>_xlfn.XLOOKUP($D53,Tab_Def_Processes[Process_Name],Tab_Def_Processes[Stock_Configuration],,0,)</f>
        <v>#N/A</v>
      </c>
      <c r="H53" s="3" t="e">
        <f>_xlfn.XLOOKUP(Tab_DSM[[#This Row],[Process_Name]],Tab_Def_Processes[Process_Name],Tab_Def_Processes[Outflow_count],,0,)</f>
        <v>#N/A</v>
      </c>
      <c r="I53" s="3" t="e">
        <f>"P"&amp;Tab_DSM[[#This Row],[Process_ID]]&amp;"_"&amp;Tab_DSM[[#This Row],[DSM_Parameter_type]]&amp;"_Cat_"&amp;Tab_DSM[[#This Row],[DSM_material_count]]</f>
        <v>#N/A</v>
      </c>
      <c r="J53" s="23"/>
      <c r="K53" s="23"/>
      <c r="L53" s="4"/>
      <c r="M53" s="10"/>
      <c r="N53" s="10"/>
    </row>
    <row r="54" spans="1:14" x14ac:dyDescent="0.25">
      <c r="A54" s="27" t="b">
        <v>0</v>
      </c>
      <c r="B54" s="3">
        <f t="shared" si="0"/>
        <v>53</v>
      </c>
      <c r="C54" s="3" t="e">
        <f>_xlfn.XLOOKUP($D54,Tab_Def_Processes[Process_Name],Tab_Def_Processes[Process_ID],,0,)</f>
        <v>#N/A</v>
      </c>
      <c r="D54" s="23" t="s">
        <v>5</v>
      </c>
      <c r="E54" s="3" t="e">
        <f>_xlfn.XLOOKUP($D54,Tab_Def_Processes[Process_Name],Tab_Def_Processes[Process_Logic],,0,)</f>
        <v>#N/A</v>
      </c>
      <c r="F54" s="3" t="e">
        <f>_xlfn.XLOOKUP($D54,Tab_Def_Processes[Process_Name],Tab_Def_Processes[TC_Configuration],,0,)</f>
        <v>#N/A</v>
      </c>
      <c r="G54" s="3" t="e">
        <f>_xlfn.XLOOKUP($D54,Tab_Def_Processes[Process_Name],Tab_Def_Processes[Stock_Configuration],,0,)</f>
        <v>#N/A</v>
      </c>
      <c r="H54" s="3" t="e">
        <f>_xlfn.XLOOKUP(Tab_DSM[[#This Row],[Process_Name]],Tab_Def_Processes[Process_Name],Tab_Def_Processes[Outflow_count],,0,)</f>
        <v>#N/A</v>
      </c>
      <c r="I54" s="3" t="e">
        <f>"P"&amp;Tab_DSM[[#This Row],[Process_ID]]&amp;"_"&amp;Tab_DSM[[#This Row],[DSM_Parameter_type]]&amp;"_Cat_"&amp;Tab_DSM[[#This Row],[DSM_material_count]]</f>
        <v>#N/A</v>
      </c>
      <c r="J54" s="23"/>
      <c r="K54" s="23"/>
      <c r="L54" s="4"/>
      <c r="M54" s="10"/>
      <c r="N54" s="10"/>
    </row>
    <row r="55" spans="1:14" x14ac:dyDescent="0.25">
      <c r="A55" s="27" t="b">
        <v>0</v>
      </c>
      <c r="B55" s="3">
        <f t="shared" si="0"/>
        <v>54</v>
      </c>
      <c r="C55" s="3" t="e">
        <f>_xlfn.XLOOKUP($D55,Tab_Def_Processes[Process_Name],Tab_Def_Processes[Process_ID],,0,)</f>
        <v>#N/A</v>
      </c>
      <c r="D55" s="23" t="s">
        <v>5</v>
      </c>
      <c r="E55" s="3" t="e">
        <f>_xlfn.XLOOKUP($D55,Tab_Def_Processes[Process_Name],Tab_Def_Processes[Process_Logic],,0,)</f>
        <v>#N/A</v>
      </c>
      <c r="F55" s="3" t="e">
        <f>_xlfn.XLOOKUP($D55,Tab_Def_Processes[Process_Name],Tab_Def_Processes[TC_Configuration],,0,)</f>
        <v>#N/A</v>
      </c>
      <c r="G55" s="3" t="e">
        <f>_xlfn.XLOOKUP($D55,Tab_Def_Processes[Process_Name],Tab_Def_Processes[Stock_Configuration],,0,)</f>
        <v>#N/A</v>
      </c>
      <c r="H55" s="3" t="e">
        <f>_xlfn.XLOOKUP(Tab_DSM[[#This Row],[Process_Name]],Tab_Def_Processes[Process_Name],Tab_Def_Processes[Outflow_count],,0,)</f>
        <v>#N/A</v>
      </c>
      <c r="I55" s="3" t="e">
        <f>"P"&amp;Tab_DSM[[#This Row],[Process_ID]]&amp;"_"&amp;Tab_DSM[[#This Row],[DSM_Parameter_type]]&amp;"_Cat_"&amp;Tab_DSM[[#This Row],[DSM_material_count]]</f>
        <v>#N/A</v>
      </c>
      <c r="J55" s="23"/>
      <c r="K55" s="23"/>
      <c r="L55" s="4"/>
      <c r="M55" s="10"/>
      <c r="N55" s="10"/>
    </row>
    <row r="56" spans="1:14" x14ac:dyDescent="0.25">
      <c r="A56" s="27" t="b">
        <v>0</v>
      </c>
      <c r="B56" s="3">
        <f t="shared" si="0"/>
        <v>55</v>
      </c>
      <c r="C56" s="3" t="e">
        <f>_xlfn.XLOOKUP($D56,Tab_Def_Processes[Process_Name],Tab_Def_Processes[Process_ID],,0,)</f>
        <v>#N/A</v>
      </c>
      <c r="D56" s="23" t="s">
        <v>5</v>
      </c>
      <c r="E56" s="3" t="e">
        <f>_xlfn.XLOOKUP($D56,Tab_Def_Processes[Process_Name],Tab_Def_Processes[Process_Logic],,0,)</f>
        <v>#N/A</v>
      </c>
      <c r="F56" s="3" t="e">
        <f>_xlfn.XLOOKUP($D56,Tab_Def_Processes[Process_Name],Tab_Def_Processes[TC_Configuration],,0,)</f>
        <v>#N/A</v>
      </c>
      <c r="G56" s="3" t="e">
        <f>_xlfn.XLOOKUP($D56,Tab_Def_Processes[Process_Name],Tab_Def_Processes[Stock_Configuration],,0,)</f>
        <v>#N/A</v>
      </c>
      <c r="H56" s="3" t="e">
        <f>_xlfn.XLOOKUP(Tab_DSM[[#This Row],[Process_Name]],Tab_Def_Processes[Process_Name],Tab_Def_Processes[Outflow_count],,0,)</f>
        <v>#N/A</v>
      </c>
      <c r="I56" s="3" t="e">
        <f>"P"&amp;Tab_DSM[[#This Row],[Process_ID]]&amp;"_"&amp;Tab_DSM[[#This Row],[DSM_Parameter_type]]&amp;"_Cat_"&amp;Tab_DSM[[#This Row],[DSM_material_count]]</f>
        <v>#N/A</v>
      </c>
      <c r="J56" s="23"/>
      <c r="K56" s="23"/>
      <c r="L56" s="4"/>
      <c r="M56" s="10"/>
      <c r="N56" s="10"/>
    </row>
    <row r="57" spans="1:14" x14ac:dyDescent="0.25">
      <c r="A57" s="27" t="b">
        <v>0</v>
      </c>
      <c r="B57" s="3">
        <f t="shared" si="0"/>
        <v>56</v>
      </c>
      <c r="C57" s="3" t="e">
        <f>_xlfn.XLOOKUP($D57,Tab_Def_Processes[Process_Name],Tab_Def_Processes[Process_ID],,0,)</f>
        <v>#N/A</v>
      </c>
      <c r="D57" s="23" t="s">
        <v>5</v>
      </c>
      <c r="E57" s="3" t="e">
        <f>_xlfn.XLOOKUP($D57,Tab_Def_Processes[Process_Name],Tab_Def_Processes[Process_Logic],,0,)</f>
        <v>#N/A</v>
      </c>
      <c r="F57" s="3" t="e">
        <f>_xlfn.XLOOKUP($D57,Tab_Def_Processes[Process_Name],Tab_Def_Processes[TC_Configuration],,0,)</f>
        <v>#N/A</v>
      </c>
      <c r="G57" s="3" t="e">
        <f>_xlfn.XLOOKUP($D57,Tab_Def_Processes[Process_Name],Tab_Def_Processes[Stock_Configuration],,0,)</f>
        <v>#N/A</v>
      </c>
      <c r="H57" s="3" t="e">
        <f>_xlfn.XLOOKUP(Tab_DSM[[#This Row],[Process_Name]],Tab_Def_Processes[Process_Name],Tab_Def_Processes[Outflow_count],,0,)</f>
        <v>#N/A</v>
      </c>
      <c r="I57" s="3" t="e">
        <f>"P"&amp;Tab_DSM[[#This Row],[Process_ID]]&amp;"_"&amp;Tab_DSM[[#This Row],[DSM_Parameter_type]]&amp;"_Cat_"&amp;Tab_DSM[[#This Row],[DSM_material_count]]</f>
        <v>#N/A</v>
      </c>
      <c r="J57" s="23"/>
      <c r="K57" s="23"/>
      <c r="L57" s="4"/>
      <c r="M57" s="10"/>
      <c r="N57" s="10"/>
    </row>
    <row r="58" spans="1:14" x14ac:dyDescent="0.25">
      <c r="A58" s="27" t="b">
        <v>0</v>
      </c>
      <c r="B58" s="3">
        <f t="shared" si="0"/>
        <v>57</v>
      </c>
      <c r="C58" s="3" t="e">
        <f>_xlfn.XLOOKUP($D58,Tab_Def_Processes[Process_Name],Tab_Def_Processes[Process_ID],,0,)</f>
        <v>#N/A</v>
      </c>
      <c r="D58" s="23" t="s">
        <v>5</v>
      </c>
      <c r="E58" s="3" t="e">
        <f>_xlfn.XLOOKUP($D58,Tab_Def_Processes[Process_Name],Tab_Def_Processes[Process_Logic],,0,)</f>
        <v>#N/A</v>
      </c>
      <c r="F58" s="3" t="e">
        <f>_xlfn.XLOOKUP($D58,Tab_Def_Processes[Process_Name],Tab_Def_Processes[TC_Configuration],,0,)</f>
        <v>#N/A</v>
      </c>
      <c r="G58" s="3" t="e">
        <f>_xlfn.XLOOKUP($D58,Tab_Def_Processes[Process_Name],Tab_Def_Processes[Stock_Configuration],,0,)</f>
        <v>#N/A</v>
      </c>
      <c r="H58" s="3" t="e">
        <f>_xlfn.XLOOKUP(Tab_DSM[[#This Row],[Process_Name]],Tab_Def_Processes[Process_Name],Tab_Def_Processes[Outflow_count],,0,)</f>
        <v>#N/A</v>
      </c>
      <c r="I58" s="3" t="e">
        <f>"P"&amp;Tab_DSM[[#This Row],[Process_ID]]&amp;"_"&amp;Tab_DSM[[#This Row],[DSM_Parameter_type]]&amp;"_Cat_"&amp;Tab_DSM[[#This Row],[DSM_material_count]]</f>
        <v>#N/A</v>
      </c>
      <c r="J58" s="23"/>
      <c r="K58" s="23"/>
      <c r="L58" s="4"/>
      <c r="M58" s="10"/>
      <c r="N58" s="10"/>
    </row>
    <row r="59" spans="1:14" x14ac:dyDescent="0.25">
      <c r="A59" s="27" t="b">
        <v>0</v>
      </c>
      <c r="B59" s="3">
        <f t="shared" si="0"/>
        <v>58</v>
      </c>
      <c r="C59" s="3" t="e">
        <f>_xlfn.XLOOKUP($D59,Tab_Def_Processes[Process_Name],Tab_Def_Processes[Process_ID],,0,)</f>
        <v>#N/A</v>
      </c>
      <c r="D59" s="23" t="s">
        <v>5</v>
      </c>
      <c r="E59" s="3" t="e">
        <f>_xlfn.XLOOKUP($D59,Tab_Def_Processes[Process_Name],Tab_Def_Processes[Process_Logic],,0,)</f>
        <v>#N/A</v>
      </c>
      <c r="F59" s="3" t="e">
        <f>_xlfn.XLOOKUP($D59,Tab_Def_Processes[Process_Name],Tab_Def_Processes[TC_Configuration],,0,)</f>
        <v>#N/A</v>
      </c>
      <c r="G59" s="3" t="e">
        <f>_xlfn.XLOOKUP($D59,Tab_Def_Processes[Process_Name],Tab_Def_Processes[Stock_Configuration],,0,)</f>
        <v>#N/A</v>
      </c>
      <c r="H59" s="3" t="e">
        <f>_xlfn.XLOOKUP(Tab_DSM[[#This Row],[Process_Name]],Tab_Def_Processes[Process_Name],Tab_Def_Processes[Outflow_count],,0,)</f>
        <v>#N/A</v>
      </c>
      <c r="I59" s="3" t="e">
        <f>"P"&amp;Tab_DSM[[#This Row],[Process_ID]]&amp;"_"&amp;Tab_DSM[[#This Row],[DSM_Parameter_type]]&amp;"_Cat_"&amp;Tab_DSM[[#This Row],[DSM_material_count]]</f>
        <v>#N/A</v>
      </c>
      <c r="J59" s="23"/>
      <c r="K59" s="23"/>
      <c r="L59" s="4"/>
      <c r="M59" s="10"/>
      <c r="N59" s="10"/>
    </row>
    <row r="60" spans="1:14" x14ac:dyDescent="0.25">
      <c r="A60" s="27" t="b">
        <v>0</v>
      </c>
      <c r="B60" s="3">
        <f t="shared" si="0"/>
        <v>59</v>
      </c>
      <c r="C60" s="3" t="e">
        <f>_xlfn.XLOOKUP($D60,Tab_Def_Processes[Process_Name],Tab_Def_Processes[Process_ID],,0,)</f>
        <v>#N/A</v>
      </c>
      <c r="D60" s="23" t="s">
        <v>5</v>
      </c>
      <c r="E60" s="3" t="e">
        <f>_xlfn.XLOOKUP($D60,Tab_Def_Processes[Process_Name],Tab_Def_Processes[Process_Logic],,0,)</f>
        <v>#N/A</v>
      </c>
      <c r="F60" s="3" t="e">
        <f>_xlfn.XLOOKUP($D60,Tab_Def_Processes[Process_Name],Tab_Def_Processes[TC_Configuration],,0,)</f>
        <v>#N/A</v>
      </c>
      <c r="G60" s="3" t="e">
        <f>_xlfn.XLOOKUP($D60,Tab_Def_Processes[Process_Name],Tab_Def_Processes[Stock_Configuration],,0,)</f>
        <v>#N/A</v>
      </c>
      <c r="H60" s="3" t="e">
        <f>_xlfn.XLOOKUP(Tab_DSM[[#This Row],[Process_Name]],Tab_Def_Processes[Process_Name],Tab_Def_Processes[Outflow_count],,0,)</f>
        <v>#N/A</v>
      </c>
      <c r="I60" s="3" t="e">
        <f>"P"&amp;Tab_DSM[[#This Row],[Process_ID]]&amp;"_"&amp;Tab_DSM[[#This Row],[DSM_Parameter_type]]&amp;"_Cat_"&amp;Tab_DSM[[#This Row],[DSM_material_count]]</f>
        <v>#N/A</v>
      </c>
      <c r="J60" s="23"/>
      <c r="K60" s="23"/>
      <c r="L60" s="4"/>
      <c r="M60" s="10"/>
      <c r="N60" s="10"/>
    </row>
    <row r="61" spans="1:14" x14ac:dyDescent="0.25">
      <c r="A61" s="27" t="b">
        <v>0</v>
      </c>
      <c r="B61" s="3">
        <f t="shared" si="0"/>
        <v>60</v>
      </c>
      <c r="C61" s="3" t="e">
        <f>_xlfn.XLOOKUP($D61,Tab_Def_Processes[Process_Name],Tab_Def_Processes[Process_ID],,0,)</f>
        <v>#N/A</v>
      </c>
      <c r="D61" s="23" t="s">
        <v>5</v>
      </c>
      <c r="E61" s="3" t="e">
        <f>_xlfn.XLOOKUP($D61,Tab_Def_Processes[Process_Name],Tab_Def_Processes[Process_Logic],,0,)</f>
        <v>#N/A</v>
      </c>
      <c r="F61" s="3" t="e">
        <f>_xlfn.XLOOKUP($D61,Tab_Def_Processes[Process_Name],Tab_Def_Processes[TC_Configuration],,0,)</f>
        <v>#N/A</v>
      </c>
      <c r="G61" s="3" t="e">
        <f>_xlfn.XLOOKUP($D61,Tab_Def_Processes[Process_Name],Tab_Def_Processes[Stock_Configuration],,0,)</f>
        <v>#N/A</v>
      </c>
      <c r="H61" s="3" t="e">
        <f>_xlfn.XLOOKUP(Tab_DSM[[#This Row],[Process_Name]],Tab_Def_Processes[Process_Name],Tab_Def_Processes[Outflow_count],,0,)</f>
        <v>#N/A</v>
      </c>
      <c r="I61" s="3" t="e">
        <f>"P"&amp;Tab_DSM[[#This Row],[Process_ID]]&amp;"_"&amp;Tab_DSM[[#This Row],[DSM_Parameter_type]]&amp;"_Cat_"&amp;Tab_DSM[[#This Row],[DSM_material_count]]</f>
        <v>#N/A</v>
      </c>
      <c r="J61" s="23"/>
      <c r="K61" s="23"/>
      <c r="L61" s="4"/>
      <c r="M61" s="10"/>
      <c r="N61" s="10"/>
    </row>
    <row r="62" spans="1:14" x14ac:dyDescent="0.25">
      <c r="A62" s="27" t="b">
        <v>0</v>
      </c>
      <c r="B62" s="3">
        <f t="shared" si="0"/>
        <v>61</v>
      </c>
      <c r="C62" s="3" t="e">
        <f>_xlfn.XLOOKUP($D62,Tab_Def_Processes[Process_Name],Tab_Def_Processes[Process_ID],,0,)</f>
        <v>#N/A</v>
      </c>
      <c r="D62" s="23" t="s">
        <v>5</v>
      </c>
      <c r="E62" s="3" t="e">
        <f>_xlfn.XLOOKUP($D62,Tab_Def_Processes[Process_Name],Tab_Def_Processes[Process_Logic],,0,)</f>
        <v>#N/A</v>
      </c>
      <c r="F62" s="3" t="e">
        <f>_xlfn.XLOOKUP($D62,Tab_Def_Processes[Process_Name],Tab_Def_Processes[TC_Configuration],,0,)</f>
        <v>#N/A</v>
      </c>
      <c r="G62" s="3" t="e">
        <f>_xlfn.XLOOKUP($D62,Tab_Def_Processes[Process_Name],Tab_Def_Processes[Stock_Configuration],,0,)</f>
        <v>#N/A</v>
      </c>
      <c r="H62" s="3" t="e">
        <f>_xlfn.XLOOKUP(Tab_DSM[[#This Row],[Process_Name]],Tab_Def_Processes[Process_Name],Tab_Def_Processes[Outflow_count],,0,)</f>
        <v>#N/A</v>
      </c>
      <c r="I62" s="3" t="e">
        <f>"P"&amp;Tab_DSM[[#This Row],[Process_ID]]&amp;"_"&amp;Tab_DSM[[#This Row],[DSM_Parameter_type]]&amp;"_Cat_"&amp;Tab_DSM[[#This Row],[DSM_material_count]]</f>
        <v>#N/A</v>
      </c>
      <c r="J62" s="23"/>
      <c r="K62" s="23"/>
      <c r="L62" s="4"/>
      <c r="M62" s="10"/>
      <c r="N62" s="10"/>
    </row>
    <row r="63" spans="1:14" x14ac:dyDescent="0.25">
      <c r="A63" s="27" t="b">
        <v>0</v>
      </c>
      <c r="B63" s="3">
        <f t="shared" si="0"/>
        <v>62</v>
      </c>
      <c r="C63" s="3" t="e">
        <f>_xlfn.XLOOKUP($D63,Tab_Def_Processes[Process_Name],Tab_Def_Processes[Process_ID],,0,)</f>
        <v>#N/A</v>
      </c>
      <c r="D63" s="23" t="s">
        <v>5</v>
      </c>
      <c r="E63" s="3" t="e">
        <f>_xlfn.XLOOKUP($D63,Tab_Def_Processes[Process_Name],Tab_Def_Processes[Process_Logic],,0,)</f>
        <v>#N/A</v>
      </c>
      <c r="F63" s="3" t="e">
        <f>_xlfn.XLOOKUP($D63,Tab_Def_Processes[Process_Name],Tab_Def_Processes[TC_Configuration],,0,)</f>
        <v>#N/A</v>
      </c>
      <c r="G63" s="3" t="e">
        <f>_xlfn.XLOOKUP($D63,Tab_Def_Processes[Process_Name],Tab_Def_Processes[Stock_Configuration],,0,)</f>
        <v>#N/A</v>
      </c>
      <c r="H63" s="3" t="e">
        <f>_xlfn.XLOOKUP(Tab_DSM[[#This Row],[Process_Name]],Tab_Def_Processes[Process_Name],Tab_Def_Processes[Outflow_count],,0,)</f>
        <v>#N/A</v>
      </c>
      <c r="I63" s="3" t="e">
        <f>"P"&amp;Tab_DSM[[#This Row],[Process_ID]]&amp;"_"&amp;Tab_DSM[[#This Row],[DSM_Parameter_type]]&amp;"_Cat_"&amp;Tab_DSM[[#This Row],[DSM_material_count]]</f>
        <v>#N/A</v>
      </c>
      <c r="J63" s="23"/>
      <c r="K63" s="23"/>
      <c r="L63" s="4"/>
      <c r="M63" s="10"/>
      <c r="N63" s="10"/>
    </row>
    <row r="64" spans="1:14" x14ac:dyDescent="0.25">
      <c r="A64" s="27" t="b">
        <v>0</v>
      </c>
      <c r="B64" s="3">
        <f t="shared" si="0"/>
        <v>63</v>
      </c>
      <c r="C64" s="3" t="e">
        <f>_xlfn.XLOOKUP($D64,Tab_Def_Processes[Process_Name],Tab_Def_Processes[Process_ID],,0,)</f>
        <v>#N/A</v>
      </c>
      <c r="D64" s="23" t="s">
        <v>5</v>
      </c>
      <c r="E64" s="3" t="e">
        <f>_xlfn.XLOOKUP($D64,Tab_Def_Processes[Process_Name],Tab_Def_Processes[Process_Logic],,0,)</f>
        <v>#N/A</v>
      </c>
      <c r="F64" s="3" t="e">
        <f>_xlfn.XLOOKUP($D64,Tab_Def_Processes[Process_Name],Tab_Def_Processes[TC_Configuration],,0,)</f>
        <v>#N/A</v>
      </c>
      <c r="G64" s="3" t="e">
        <f>_xlfn.XLOOKUP($D64,Tab_Def_Processes[Process_Name],Tab_Def_Processes[Stock_Configuration],,0,)</f>
        <v>#N/A</v>
      </c>
      <c r="H64" s="3" t="e">
        <f>_xlfn.XLOOKUP(Tab_DSM[[#This Row],[Process_Name]],Tab_Def_Processes[Process_Name],Tab_Def_Processes[Outflow_count],,0,)</f>
        <v>#N/A</v>
      </c>
      <c r="I64" s="3" t="e">
        <f>"P"&amp;Tab_DSM[[#This Row],[Process_ID]]&amp;"_"&amp;Tab_DSM[[#This Row],[DSM_Parameter_type]]&amp;"_Cat_"&amp;Tab_DSM[[#This Row],[DSM_material_count]]</f>
        <v>#N/A</v>
      </c>
      <c r="J64" s="23"/>
      <c r="K64" s="23"/>
      <c r="L64" s="4"/>
      <c r="M64" s="10"/>
      <c r="N64" s="10"/>
    </row>
    <row r="65" spans="1:14" x14ac:dyDescent="0.25">
      <c r="A65" s="27" t="b">
        <v>0</v>
      </c>
      <c r="B65" s="3">
        <f t="shared" si="0"/>
        <v>64</v>
      </c>
      <c r="C65" s="3" t="e">
        <f>_xlfn.XLOOKUP($D65,Tab_Def_Processes[Process_Name],Tab_Def_Processes[Process_ID],,0,)</f>
        <v>#N/A</v>
      </c>
      <c r="D65" s="23" t="s">
        <v>5</v>
      </c>
      <c r="E65" s="3" t="e">
        <f>_xlfn.XLOOKUP($D65,Tab_Def_Processes[Process_Name],Tab_Def_Processes[Process_Logic],,0,)</f>
        <v>#N/A</v>
      </c>
      <c r="F65" s="3" t="e">
        <f>_xlfn.XLOOKUP($D65,Tab_Def_Processes[Process_Name],Tab_Def_Processes[TC_Configuration],,0,)</f>
        <v>#N/A</v>
      </c>
      <c r="G65" s="3" t="e">
        <f>_xlfn.XLOOKUP($D65,Tab_Def_Processes[Process_Name],Tab_Def_Processes[Stock_Configuration],,0,)</f>
        <v>#N/A</v>
      </c>
      <c r="H65" s="3" t="e">
        <f>_xlfn.XLOOKUP(Tab_DSM[[#This Row],[Process_Name]],Tab_Def_Processes[Process_Name],Tab_Def_Processes[Outflow_count],,0,)</f>
        <v>#N/A</v>
      </c>
      <c r="I65" s="3" t="e">
        <f>"P"&amp;Tab_DSM[[#This Row],[Process_ID]]&amp;"_"&amp;Tab_DSM[[#This Row],[DSM_Parameter_type]]&amp;"_Cat_"&amp;Tab_DSM[[#This Row],[DSM_material_count]]</f>
        <v>#N/A</v>
      </c>
      <c r="J65" s="23"/>
      <c r="K65" s="23"/>
      <c r="L65" s="4"/>
      <c r="M65" s="10"/>
      <c r="N65" s="10"/>
    </row>
    <row r="66" spans="1:14" x14ac:dyDescent="0.25">
      <c r="A66" s="27" t="b">
        <v>0</v>
      </c>
      <c r="B66" s="3">
        <f t="shared" si="0"/>
        <v>65</v>
      </c>
      <c r="C66" s="3" t="e">
        <f>_xlfn.XLOOKUP($D66,Tab_Def_Processes[Process_Name],Tab_Def_Processes[Process_ID],,0,)</f>
        <v>#N/A</v>
      </c>
      <c r="D66" s="23" t="s">
        <v>5</v>
      </c>
      <c r="E66" s="3" t="e">
        <f>_xlfn.XLOOKUP($D66,Tab_Def_Processes[Process_Name],Tab_Def_Processes[Process_Logic],,0,)</f>
        <v>#N/A</v>
      </c>
      <c r="F66" s="3" t="e">
        <f>_xlfn.XLOOKUP($D66,Tab_Def_Processes[Process_Name],Tab_Def_Processes[TC_Configuration],,0,)</f>
        <v>#N/A</v>
      </c>
      <c r="G66" s="3" t="e">
        <f>_xlfn.XLOOKUP($D66,Tab_Def_Processes[Process_Name],Tab_Def_Processes[Stock_Configuration],,0,)</f>
        <v>#N/A</v>
      </c>
      <c r="H66" s="3" t="e">
        <f>_xlfn.XLOOKUP(Tab_DSM[[#This Row],[Process_Name]],Tab_Def_Processes[Process_Name],Tab_Def_Processes[Outflow_count],,0,)</f>
        <v>#N/A</v>
      </c>
      <c r="I66" s="3" t="e">
        <f>"P"&amp;Tab_DSM[[#This Row],[Process_ID]]&amp;"_"&amp;Tab_DSM[[#This Row],[DSM_Parameter_type]]&amp;"_Cat_"&amp;Tab_DSM[[#This Row],[DSM_material_count]]</f>
        <v>#N/A</v>
      </c>
      <c r="J66" s="23"/>
      <c r="K66" s="23"/>
      <c r="L66" s="4"/>
      <c r="M66" s="10"/>
      <c r="N66" s="10"/>
    </row>
    <row r="67" spans="1:14" x14ac:dyDescent="0.25">
      <c r="A67" s="27" t="b">
        <v>0</v>
      </c>
      <c r="B67" s="3">
        <f t="shared" si="0"/>
        <v>66</v>
      </c>
      <c r="C67" s="3" t="e">
        <f>_xlfn.XLOOKUP($D67,Tab_Def_Processes[Process_Name],Tab_Def_Processes[Process_ID],,0,)</f>
        <v>#N/A</v>
      </c>
      <c r="D67" s="23" t="s">
        <v>5</v>
      </c>
      <c r="E67" s="3" t="e">
        <f>_xlfn.XLOOKUP($D67,Tab_Def_Processes[Process_Name],Tab_Def_Processes[Process_Logic],,0,)</f>
        <v>#N/A</v>
      </c>
      <c r="F67" s="3" t="e">
        <f>_xlfn.XLOOKUP($D67,Tab_Def_Processes[Process_Name],Tab_Def_Processes[TC_Configuration],,0,)</f>
        <v>#N/A</v>
      </c>
      <c r="G67" s="3" t="e">
        <f>_xlfn.XLOOKUP($D67,Tab_Def_Processes[Process_Name],Tab_Def_Processes[Stock_Configuration],,0,)</f>
        <v>#N/A</v>
      </c>
      <c r="H67" s="3" t="e">
        <f>_xlfn.XLOOKUP(Tab_DSM[[#This Row],[Process_Name]],Tab_Def_Processes[Process_Name],Tab_Def_Processes[Outflow_count],,0,)</f>
        <v>#N/A</v>
      </c>
      <c r="I67" s="3" t="e">
        <f>"P"&amp;Tab_DSM[[#This Row],[Process_ID]]&amp;"_"&amp;Tab_DSM[[#This Row],[DSM_Parameter_type]]&amp;"_Cat_"&amp;Tab_DSM[[#This Row],[DSM_material_count]]</f>
        <v>#N/A</v>
      </c>
      <c r="J67" s="23"/>
      <c r="K67" s="23"/>
      <c r="L67" s="4"/>
      <c r="M67" s="10"/>
      <c r="N67" s="10"/>
    </row>
    <row r="68" spans="1:14" x14ac:dyDescent="0.25">
      <c r="A68" s="27" t="b">
        <v>0</v>
      </c>
      <c r="B68" s="3">
        <f t="shared" si="0"/>
        <v>67</v>
      </c>
      <c r="C68" s="3" t="e">
        <f>_xlfn.XLOOKUP($D68,Tab_Def_Processes[Process_Name],Tab_Def_Processes[Process_ID],,0,)</f>
        <v>#N/A</v>
      </c>
      <c r="D68" s="23" t="s">
        <v>5</v>
      </c>
      <c r="E68" s="3" t="e">
        <f>_xlfn.XLOOKUP($D68,Tab_Def_Processes[Process_Name],Tab_Def_Processes[Process_Logic],,0,)</f>
        <v>#N/A</v>
      </c>
      <c r="F68" s="3" t="e">
        <f>_xlfn.XLOOKUP($D68,Tab_Def_Processes[Process_Name],Tab_Def_Processes[TC_Configuration],,0,)</f>
        <v>#N/A</v>
      </c>
      <c r="G68" s="3" t="e">
        <f>_xlfn.XLOOKUP($D68,Tab_Def_Processes[Process_Name],Tab_Def_Processes[Stock_Configuration],,0,)</f>
        <v>#N/A</v>
      </c>
      <c r="H68" s="3" t="e">
        <f>_xlfn.XLOOKUP(Tab_DSM[[#This Row],[Process_Name]],Tab_Def_Processes[Process_Name],Tab_Def_Processes[Outflow_count],,0,)</f>
        <v>#N/A</v>
      </c>
      <c r="I68" s="3" t="e">
        <f>"P"&amp;Tab_DSM[[#This Row],[Process_ID]]&amp;"_"&amp;Tab_DSM[[#This Row],[DSM_Parameter_type]]&amp;"_Cat_"&amp;Tab_DSM[[#This Row],[DSM_material_count]]</f>
        <v>#N/A</v>
      </c>
      <c r="J68" s="23"/>
      <c r="K68" s="23"/>
      <c r="L68" s="4"/>
      <c r="M68" s="10"/>
      <c r="N68" s="10"/>
    </row>
    <row r="69" spans="1:14" x14ac:dyDescent="0.25">
      <c r="A69" s="27" t="b">
        <v>0</v>
      </c>
      <c r="B69" s="3">
        <f t="shared" si="0"/>
        <v>68</v>
      </c>
      <c r="C69" s="3" t="e">
        <f>_xlfn.XLOOKUP($D69,Tab_Def_Processes[Process_Name],Tab_Def_Processes[Process_ID],,0,)</f>
        <v>#N/A</v>
      </c>
      <c r="D69" s="23" t="s">
        <v>5</v>
      </c>
      <c r="E69" s="3" t="e">
        <f>_xlfn.XLOOKUP($D69,Tab_Def_Processes[Process_Name],Tab_Def_Processes[Process_Logic],,0,)</f>
        <v>#N/A</v>
      </c>
      <c r="F69" s="3" t="e">
        <f>_xlfn.XLOOKUP($D69,Tab_Def_Processes[Process_Name],Tab_Def_Processes[TC_Configuration],,0,)</f>
        <v>#N/A</v>
      </c>
      <c r="G69" s="3" t="e">
        <f>_xlfn.XLOOKUP($D69,Tab_Def_Processes[Process_Name],Tab_Def_Processes[Stock_Configuration],,0,)</f>
        <v>#N/A</v>
      </c>
      <c r="H69" s="3" t="e">
        <f>_xlfn.XLOOKUP(Tab_DSM[[#This Row],[Process_Name]],Tab_Def_Processes[Process_Name],Tab_Def_Processes[Outflow_count],,0,)</f>
        <v>#N/A</v>
      </c>
      <c r="I69" s="3" t="e">
        <f>"P"&amp;Tab_DSM[[#This Row],[Process_ID]]&amp;"_"&amp;Tab_DSM[[#This Row],[DSM_Parameter_type]]&amp;"_Cat_"&amp;Tab_DSM[[#This Row],[DSM_material_count]]</f>
        <v>#N/A</v>
      </c>
      <c r="J69" s="23"/>
      <c r="K69" s="23"/>
      <c r="L69" s="4"/>
      <c r="M69" s="10"/>
      <c r="N69" s="10"/>
    </row>
    <row r="70" spans="1:14" x14ac:dyDescent="0.25">
      <c r="A70" s="27" t="b">
        <v>0</v>
      </c>
      <c r="B70" s="3">
        <f t="shared" si="0"/>
        <v>69</v>
      </c>
      <c r="C70" s="3" t="e">
        <f>_xlfn.XLOOKUP($D70,Tab_Def_Processes[Process_Name],Tab_Def_Processes[Process_ID],,0,)</f>
        <v>#N/A</v>
      </c>
      <c r="D70" s="23" t="s">
        <v>5</v>
      </c>
      <c r="E70" s="3" t="e">
        <f>_xlfn.XLOOKUP($D70,Tab_Def_Processes[Process_Name],Tab_Def_Processes[Process_Logic],,0,)</f>
        <v>#N/A</v>
      </c>
      <c r="F70" s="3" t="e">
        <f>_xlfn.XLOOKUP($D70,Tab_Def_Processes[Process_Name],Tab_Def_Processes[TC_Configuration],,0,)</f>
        <v>#N/A</v>
      </c>
      <c r="G70" s="3" t="e">
        <f>_xlfn.XLOOKUP($D70,Tab_Def_Processes[Process_Name],Tab_Def_Processes[Stock_Configuration],,0,)</f>
        <v>#N/A</v>
      </c>
      <c r="H70" s="3" t="e">
        <f>_xlfn.XLOOKUP(Tab_DSM[[#This Row],[Process_Name]],Tab_Def_Processes[Process_Name],Tab_Def_Processes[Outflow_count],,0,)</f>
        <v>#N/A</v>
      </c>
      <c r="I70" s="3" t="e">
        <f>"P"&amp;Tab_DSM[[#This Row],[Process_ID]]&amp;"_"&amp;Tab_DSM[[#This Row],[DSM_Parameter_type]]&amp;"_Cat_"&amp;Tab_DSM[[#This Row],[DSM_material_count]]</f>
        <v>#N/A</v>
      </c>
      <c r="J70" s="23"/>
      <c r="K70" s="23"/>
      <c r="L70" s="4"/>
      <c r="M70" s="10"/>
      <c r="N70" s="10"/>
    </row>
    <row r="71" spans="1:14" x14ac:dyDescent="0.25">
      <c r="A71" s="27" t="b">
        <v>0</v>
      </c>
      <c r="B71" s="3">
        <f t="shared" si="0"/>
        <v>70</v>
      </c>
      <c r="C71" s="3" t="e">
        <f>_xlfn.XLOOKUP($D71,Tab_Def_Processes[Process_Name],Tab_Def_Processes[Process_ID],,0,)</f>
        <v>#N/A</v>
      </c>
      <c r="D71" s="23" t="s">
        <v>5</v>
      </c>
      <c r="E71" s="3" t="e">
        <f>_xlfn.XLOOKUP($D71,Tab_Def_Processes[Process_Name],Tab_Def_Processes[Process_Logic],,0,)</f>
        <v>#N/A</v>
      </c>
      <c r="F71" s="3" t="e">
        <f>_xlfn.XLOOKUP($D71,Tab_Def_Processes[Process_Name],Tab_Def_Processes[TC_Configuration],,0,)</f>
        <v>#N/A</v>
      </c>
      <c r="G71" s="3" t="e">
        <f>_xlfn.XLOOKUP($D71,Tab_Def_Processes[Process_Name],Tab_Def_Processes[Stock_Configuration],,0,)</f>
        <v>#N/A</v>
      </c>
      <c r="H71" s="3" t="e">
        <f>_xlfn.XLOOKUP(Tab_DSM[[#This Row],[Process_Name]],Tab_Def_Processes[Process_Name],Tab_Def_Processes[Outflow_count],,0,)</f>
        <v>#N/A</v>
      </c>
      <c r="I71" s="3" t="e">
        <f>"P"&amp;Tab_DSM[[#This Row],[Process_ID]]&amp;"_"&amp;Tab_DSM[[#This Row],[DSM_Parameter_type]]&amp;"_Cat_"&amp;Tab_DSM[[#This Row],[DSM_material_count]]</f>
        <v>#N/A</v>
      </c>
      <c r="J71" s="23"/>
      <c r="K71" s="23"/>
      <c r="L71" s="4"/>
      <c r="M71" s="10"/>
      <c r="N71" s="10"/>
    </row>
    <row r="72" spans="1:14" x14ac:dyDescent="0.25">
      <c r="A72" s="27" t="b">
        <v>0</v>
      </c>
      <c r="B72" s="3">
        <f t="shared" si="0"/>
        <v>71</v>
      </c>
      <c r="C72" s="3" t="e">
        <f>_xlfn.XLOOKUP($D72,Tab_Def_Processes[Process_Name],Tab_Def_Processes[Process_ID],,0,)</f>
        <v>#N/A</v>
      </c>
      <c r="D72" s="23" t="s">
        <v>5</v>
      </c>
      <c r="E72" s="3" t="e">
        <f>_xlfn.XLOOKUP($D72,Tab_Def_Processes[Process_Name],Tab_Def_Processes[Process_Logic],,0,)</f>
        <v>#N/A</v>
      </c>
      <c r="F72" s="3" t="e">
        <f>_xlfn.XLOOKUP($D72,Tab_Def_Processes[Process_Name],Tab_Def_Processes[TC_Configuration],,0,)</f>
        <v>#N/A</v>
      </c>
      <c r="G72" s="3" t="e">
        <f>_xlfn.XLOOKUP($D72,Tab_Def_Processes[Process_Name],Tab_Def_Processes[Stock_Configuration],,0,)</f>
        <v>#N/A</v>
      </c>
      <c r="H72" s="3" t="e">
        <f>_xlfn.XLOOKUP(Tab_DSM[[#This Row],[Process_Name]],Tab_Def_Processes[Process_Name],Tab_Def_Processes[Outflow_count],,0,)</f>
        <v>#N/A</v>
      </c>
      <c r="I72" s="3" t="e">
        <f>"P"&amp;Tab_DSM[[#This Row],[Process_ID]]&amp;"_"&amp;Tab_DSM[[#This Row],[DSM_Parameter_type]]&amp;"_Cat_"&amp;Tab_DSM[[#This Row],[DSM_material_count]]</f>
        <v>#N/A</v>
      </c>
      <c r="J72" s="23"/>
      <c r="K72" s="23"/>
      <c r="L72" s="4"/>
      <c r="M72" s="10"/>
      <c r="N72" s="10"/>
    </row>
    <row r="73" spans="1:14" x14ac:dyDescent="0.25">
      <c r="A73" s="27" t="b">
        <v>0</v>
      </c>
      <c r="B73" s="3">
        <f t="shared" si="0"/>
        <v>72</v>
      </c>
      <c r="C73" s="3" t="e">
        <f>_xlfn.XLOOKUP($D73,Tab_Def_Processes[Process_Name],Tab_Def_Processes[Process_ID],,0,)</f>
        <v>#N/A</v>
      </c>
      <c r="D73" s="23" t="s">
        <v>5</v>
      </c>
      <c r="E73" s="3" t="e">
        <f>_xlfn.XLOOKUP($D73,Tab_Def_Processes[Process_Name],Tab_Def_Processes[Process_Logic],,0,)</f>
        <v>#N/A</v>
      </c>
      <c r="F73" s="3" t="e">
        <f>_xlfn.XLOOKUP($D73,Tab_Def_Processes[Process_Name],Tab_Def_Processes[TC_Configuration],,0,)</f>
        <v>#N/A</v>
      </c>
      <c r="G73" s="3" t="e">
        <f>_xlfn.XLOOKUP($D73,Tab_Def_Processes[Process_Name],Tab_Def_Processes[Stock_Configuration],,0,)</f>
        <v>#N/A</v>
      </c>
      <c r="H73" s="3" t="e">
        <f>_xlfn.XLOOKUP(Tab_DSM[[#This Row],[Process_Name]],Tab_Def_Processes[Process_Name],Tab_Def_Processes[Outflow_count],,0,)</f>
        <v>#N/A</v>
      </c>
      <c r="I73" s="3" t="e">
        <f>"P"&amp;Tab_DSM[[#This Row],[Process_ID]]&amp;"_"&amp;Tab_DSM[[#This Row],[DSM_Parameter_type]]&amp;"_Cat_"&amp;Tab_DSM[[#This Row],[DSM_material_count]]</f>
        <v>#N/A</v>
      </c>
      <c r="J73" s="23"/>
      <c r="K73" s="23"/>
      <c r="L73" s="4"/>
      <c r="M73" s="10"/>
      <c r="N73" s="10"/>
    </row>
    <row r="74" spans="1:14" x14ac:dyDescent="0.25">
      <c r="A74" s="27" t="b">
        <v>0</v>
      </c>
      <c r="B74" s="3">
        <f t="shared" si="0"/>
        <v>73</v>
      </c>
      <c r="C74" s="3" t="e">
        <f>_xlfn.XLOOKUP($D74,Tab_Def_Processes[Process_Name],Tab_Def_Processes[Process_ID],,0,)</f>
        <v>#N/A</v>
      </c>
      <c r="D74" s="23" t="s">
        <v>5</v>
      </c>
      <c r="E74" s="3" t="e">
        <f>_xlfn.XLOOKUP($D74,Tab_Def_Processes[Process_Name],Tab_Def_Processes[Process_Logic],,0,)</f>
        <v>#N/A</v>
      </c>
      <c r="F74" s="3" t="e">
        <f>_xlfn.XLOOKUP($D74,Tab_Def_Processes[Process_Name],Tab_Def_Processes[TC_Configuration],,0,)</f>
        <v>#N/A</v>
      </c>
      <c r="G74" s="3" t="e">
        <f>_xlfn.XLOOKUP($D74,Tab_Def_Processes[Process_Name],Tab_Def_Processes[Stock_Configuration],,0,)</f>
        <v>#N/A</v>
      </c>
      <c r="H74" s="3" t="e">
        <f>_xlfn.XLOOKUP(Tab_DSM[[#This Row],[Process_Name]],Tab_Def_Processes[Process_Name],Tab_Def_Processes[Outflow_count],,0,)</f>
        <v>#N/A</v>
      </c>
      <c r="I74" s="3" t="e">
        <f>"P"&amp;Tab_DSM[[#This Row],[Process_ID]]&amp;"_"&amp;Tab_DSM[[#This Row],[DSM_Parameter_type]]&amp;"_Cat_"&amp;Tab_DSM[[#This Row],[DSM_material_count]]</f>
        <v>#N/A</v>
      </c>
      <c r="J74" s="23"/>
      <c r="K74" s="23"/>
      <c r="L74" s="4"/>
      <c r="M74" s="10"/>
      <c r="N74" s="10"/>
    </row>
    <row r="75" spans="1:14" x14ac:dyDescent="0.25">
      <c r="A75" s="27" t="b">
        <v>0</v>
      </c>
      <c r="B75" s="3">
        <f t="shared" si="0"/>
        <v>74</v>
      </c>
      <c r="C75" s="3" t="e">
        <f>_xlfn.XLOOKUP($D75,Tab_Def_Processes[Process_Name],Tab_Def_Processes[Process_ID],,0,)</f>
        <v>#N/A</v>
      </c>
      <c r="D75" s="23" t="s">
        <v>5</v>
      </c>
      <c r="E75" s="3" t="e">
        <f>_xlfn.XLOOKUP($D75,Tab_Def_Processes[Process_Name],Tab_Def_Processes[Process_Logic],,0,)</f>
        <v>#N/A</v>
      </c>
      <c r="F75" s="3" t="e">
        <f>_xlfn.XLOOKUP($D75,Tab_Def_Processes[Process_Name],Tab_Def_Processes[TC_Configuration],,0,)</f>
        <v>#N/A</v>
      </c>
      <c r="G75" s="3" t="e">
        <f>_xlfn.XLOOKUP($D75,Tab_Def_Processes[Process_Name],Tab_Def_Processes[Stock_Configuration],,0,)</f>
        <v>#N/A</v>
      </c>
      <c r="H75" s="3" t="e">
        <f>_xlfn.XLOOKUP(Tab_DSM[[#This Row],[Process_Name]],Tab_Def_Processes[Process_Name],Tab_Def_Processes[Outflow_count],,0,)</f>
        <v>#N/A</v>
      </c>
      <c r="I75" s="3" t="e">
        <f>"P"&amp;Tab_DSM[[#This Row],[Process_ID]]&amp;"_"&amp;Tab_DSM[[#This Row],[DSM_Parameter_type]]&amp;"_Cat_"&amp;Tab_DSM[[#This Row],[DSM_material_count]]</f>
        <v>#N/A</v>
      </c>
      <c r="J75" s="23"/>
      <c r="K75" s="23"/>
      <c r="L75" s="4"/>
      <c r="M75" s="10"/>
      <c r="N75" s="10"/>
    </row>
    <row r="76" spans="1:14" x14ac:dyDescent="0.25">
      <c r="A76" s="27" t="b">
        <v>0</v>
      </c>
      <c r="B76" s="3">
        <f t="shared" si="0"/>
        <v>75</v>
      </c>
      <c r="C76" s="3" t="e">
        <f>_xlfn.XLOOKUP($D76,Tab_Def_Processes[Process_Name],Tab_Def_Processes[Process_ID],,0,)</f>
        <v>#N/A</v>
      </c>
      <c r="D76" s="23" t="s">
        <v>5</v>
      </c>
      <c r="E76" s="3" t="e">
        <f>_xlfn.XLOOKUP($D76,Tab_Def_Processes[Process_Name],Tab_Def_Processes[Process_Logic],,0,)</f>
        <v>#N/A</v>
      </c>
      <c r="F76" s="3" t="e">
        <f>_xlfn.XLOOKUP($D76,Tab_Def_Processes[Process_Name],Tab_Def_Processes[TC_Configuration],,0,)</f>
        <v>#N/A</v>
      </c>
      <c r="G76" s="3" t="e">
        <f>_xlfn.XLOOKUP($D76,Tab_Def_Processes[Process_Name],Tab_Def_Processes[Stock_Configuration],,0,)</f>
        <v>#N/A</v>
      </c>
      <c r="H76" s="3" t="e">
        <f>_xlfn.XLOOKUP(Tab_DSM[[#This Row],[Process_Name]],Tab_Def_Processes[Process_Name],Tab_Def_Processes[Outflow_count],,0,)</f>
        <v>#N/A</v>
      </c>
      <c r="I76" s="3" t="e">
        <f>"P"&amp;Tab_DSM[[#This Row],[Process_ID]]&amp;"_"&amp;Tab_DSM[[#This Row],[DSM_Parameter_type]]&amp;"_Cat_"&amp;Tab_DSM[[#This Row],[DSM_material_count]]</f>
        <v>#N/A</v>
      </c>
      <c r="J76" s="23"/>
      <c r="K76" s="23"/>
      <c r="L76" s="4"/>
      <c r="M76" s="10"/>
      <c r="N76" s="10"/>
    </row>
    <row r="77" spans="1:14" x14ac:dyDescent="0.25">
      <c r="A77" s="27" t="b">
        <v>0</v>
      </c>
      <c r="B77" s="3">
        <f t="shared" si="0"/>
        <v>76</v>
      </c>
      <c r="C77" s="3" t="e">
        <f>_xlfn.XLOOKUP($D77,Tab_Def_Processes[Process_Name],Tab_Def_Processes[Process_ID],,0,)</f>
        <v>#N/A</v>
      </c>
      <c r="D77" s="23" t="s">
        <v>5</v>
      </c>
      <c r="E77" s="3" t="e">
        <f>_xlfn.XLOOKUP($D77,Tab_Def_Processes[Process_Name],Tab_Def_Processes[Process_Logic],,0,)</f>
        <v>#N/A</v>
      </c>
      <c r="F77" s="3" t="e">
        <f>_xlfn.XLOOKUP($D77,Tab_Def_Processes[Process_Name],Tab_Def_Processes[TC_Configuration],,0,)</f>
        <v>#N/A</v>
      </c>
      <c r="G77" s="3" t="e">
        <f>_xlfn.XLOOKUP($D77,Tab_Def_Processes[Process_Name],Tab_Def_Processes[Stock_Configuration],,0,)</f>
        <v>#N/A</v>
      </c>
      <c r="H77" s="3" t="e">
        <f>_xlfn.XLOOKUP(Tab_DSM[[#This Row],[Process_Name]],Tab_Def_Processes[Process_Name],Tab_Def_Processes[Outflow_count],,0,)</f>
        <v>#N/A</v>
      </c>
      <c r="I77" s="3" t="e">
        <f>"P"&amp;Tab_DSM[[#This Row],[Process_ID]]&amp;"_"&amp;Tab_DSM[[#This Row],[DSM_Parameter_type]]&amp;"_Cat_"&amp;Tab_DSM[[#This Row],[DSM_material_count]]</f>
        <v>#N/A</v>
      </c>
      <c r="J77" s="23"/>
      <c r="K77" s="23"/>
      <c r="L77" s="4"/>
      <c r="M77" s="10"/>
      <c r="N77" s="10"/>
    </row>
    <row r="78" spans="1:14" x14ac:dyDescent="0.25">
      <c r="A78" s="27" t="b">
        <v>0</v>
      </c>
      <c r="B78" s="3">
        <f t="shared" si="0"/>
        <v>77</v>
      </c>
      <c r="C78" s="3" t="e">
        <f>_xlfn.XLOOKUP($D78,Tab_Def_Processes[Process_Name],Tab_Def_Processes[Process_ID],,0,)</f>
        <v>#N/A</v>
      </c>
      <c r="D78" s="23" t="s">
        <v>5</v>
      </c>
      <c r="E78" s="3" t="e">
        <f>_xlfn.XLOOKUP($D78,Tab_Def_Processes[Process_Name],Tab_Def_Processes[Process_Logic],,0,)</f>
        <v>#N/A</v>
      </c>
      <c r="F78" s="3" t="e">
        <f>_xlfn.XLOOKUP($D78,Tab_Def_Processes[Process_Name],Tab_Def_Processes[TC_Configuration],,0,)</f>
        <v>#N/A</v>
      </c>
      <c r="G78" s="3" t="e">
        <f>_xlfn.XLOOKUP($D78,Tab_Def_Processes[Process_Name],Tab_Def_Processes[Stock_Configuration],,0,)</f>
        <v>#N/A</v>
      </c>
      <c r="H78" s="3" t="e">
        <f>_xlfn.XLOOKUP(Tab_DSM[[#This Row],[Process_Name]],Tab_Def_Processes[Process_Name],Tab_Def_Processes[Outflow_count],,0,)</f>
        <v>#N/A</v>
      </c>
      <c r="I78" s="3" t="e">
        <f>"P"&amp;Tab_DSM[[#This Row],[Process_ID]]&amp;"_"&amp;Tab_DSM[[#This Row],[DSM_Parameter_type]]&amp;"_Cat_"&amp;Tab_DSM[[#This Row],[DSM_material_count]]</f>
        <v>#N/A</v>
      </c>
      <c r="J78" s="23"/>
      <c r="K78" s="23"/>
      <c r="L78" s="4"/>
      <c r="M78" s="10"/>
      <c r="N78" s="10"/>
    </row>
    <row r="79" spans="1:14" x14ac:dyDescent="0.25">
      <c r="A79" s="27" t="b">
        <v>0</v>
      </c>
      <c r="B79" s="3">
        <f t="shared" si="0"/>
        <v>78</v>
      </c>
      <c r="C79" s="3" t="e">
        <f>_xlfn.XLOOKUP($D79,Tab_Def_Processes[Process_Name],Tab_Def_Processes[Process_ID],,0,)</f>
        <v>#N/A</v>
      </c>
      <c r="D79" s="23" t="s">
        <v>5</v>
      </c>
      <c r="E79" s="3" t="e">
        <f>_xlfn.XLOOKUP($D79,Tab_Def_Processes[Process_Name],Tab_Def_Processes[Process_Logic],,0,)</f>
        <v>#N/A</v>
      </c>
      <c r="F79" s="3" t="e">
        <f>_xlfn.XLOOKUP($D79,Tab_Def_Processes[Process_Name],Tab_Def_Processes[TC_Configuration],,0,)</f>
        <v>#N/A</v>
      </c>
      <c r="G79" s="3" t="e">
        <f>_xlfn.XLOOKUP($D79,Tab_Def_Processes[Process_Name],Tab_Def_Processes[Stock_Configuration],,0,)</f>
        <v>#N/A</v>
      </c>
      <c r="H79" s="3" t="e">
        <f>_xlfn.XLOOKUP(Tab_DSM[[#This Row],[Process_Name]],Tab_Def_Processes[Process_Name],Tab_Def_Processes[Outflow_count],,0,)</f>
        <v>#N/A</v>
      </c>
      <c r="I79" s="3" t="e">
        <f>"P"&amp;Tab_DSM[[#This Row],[Process_ID]]&amp;"_"&amp;Tab_DSM[[#This Row],[DSM_Parameter_type]]&amp;"_Cat_"&amp;Tab_DSM[[#This Row],[DSM_material_count]]</f>
        <v>#N/A</v>
      </c>
      <c r="J79" s="23"/>
      <c r="K79" s="23"/>
      <c r="L79" s="4"/>
      <c r="M79" s="10"/>
      <c r="N79" s="10"/>
    </row>
    <row r="80" spans="1:14" x14ac:dyDescent="0.25">
      <c r="A80" s="27" t="b">
        <v>0</v>
      </c>
      <c r="B80" s="3">
        <f t="shared" si="0"/>
        <v>79</v>
      </c>
      <c r="C80" s="3" t="e">
        <f>_xlfn.XLOOKUP($D80,Tab_Def_Processes[Process_Name],Tab_Def_Processes[Process_ID],,0,)</f>
        <v>#N/A</v>
      </c>
      <c r="D80" s="23" t="s">
        <v>5</v>
      </c>
      <c r="E80" s="3" t="e">
        <f>_xlfn.XLOOKUP($D80,Tab_Def_Processes[Process_Name],Tab_Def_Processes[Process_Logic],,0,)</f>
        <v>#N/A</v>
      </c>
      <c r="F80" s="3" t="e">
        <f>_xlfn.XLOOKUP($D80,Tab_Def_Processes[Process_Name],Tab_Def_Processes[TC_Configuration],,0,)</f>
        <v>#N/A</v>
      </c>
      <c r="G80" s="3" t="e">
        <f>_xlfn.XLOOKUP($D80,Tab_Def_Processes[Process_Name],Tab_Def_Processes[Stock_Configuration],,0,)</f>
        <v>#N/A</v>
      </c>
      <c r="H80" s="3" t="e">
        <f>_xlfn.XLOOKUP(Tab_DSM[[#This Row],[Process_Name]],Tab_Def_Processes[Process_Name],Tab_Def_Processes[Outflow_count],,0,)</f>
        <v>#N/A</v>
      </c>
      <c r="I80" s="3" t="e">
        <f>"P"&amp;Tab_DSM[[#This Row],[Process_ID]]&amp;"_"&amp;Tab_DSM[[#This Row],[DSM_Parameter_type]]&amp;"_Cat_"&amp;Tab_DSM[[#This Row],[DSM_material_count]]</f>
        <v>#N/A</v>
      </c>
      <c r="J80" s="23"/>
      <c r="K80" s="23"/>
      <c r="L80" s="4"/>
      <c r="M80" s="10"/>
      <c r="N80" s="10"/>
    </row>
    <row r="81" spans="1:14" x14ac:dyDescent="0.25">
      <c r="A81" s="27" t="b">
        <v>0</v>
      </c>
      <c r="B81" s="3">
        <f t="shared" si="0"/>
        <v>80</v>
      </c>
      <c r="C81" s="3" t="e">
        <f>_xlfn.XLOOKUP($D81,Tab_Def_Processes[Process_Name],Tab_Def_Processes[Process_ID],,0,)</f>
        <v>#N/A</v>
      </c>
      <c r="D81" s="23" t="s">
        <v>5</v>
      </c>
      <c r="E81" s="3" t="e">
        <f>_xlfn.XLOOKUP($D81,Tab_Def_Processes[Process_Name],Tab_Def_Processes[Process_Logic],,0,)</f>
        <v>#N/A</v>
      </c>
      <c r="F81" s="3" t="e">
        <f>_xlfn.XLOOKUP($D81,Tab_Def_Processes[Process_Name],Tab_Def_Processes[TC_Configuration],,0,)</f>
        <v>#N/A</v>
      </c>
      <c r="G81" s="3" t="e">
        <f>_xlfn.XLOOKUP($D81,Tab_Def_Processes[Process_Name],Tab_Def_Processes[Stock_Configuration],,0,)</f>
        <v>#N/A</v>
      </c>
      <c r="H81" s="3" t="e">
        <f>_xlfn.XLOOKUP(Tab_DSM[[#This Row],[Process_Name]],Tab_Def_Processes[Process_Name],Tab_Def_Processes[Outflow_count],,0,)</f>
        <v>#N/A</v>
      </c>
      <c r="I81" s="3" t="e">
        <f>"P"&amp;Tab_DSM[[#This Row],[Process_ID]]&amp;"_"&amp;Tab_DSM[[#This Row],[DSM_Parameter_type]]&amp;"_Cat_"&amp;Tab_DSM[[#This Row],[DSM_material_count]]</f>
        <v>#N/A</v>
      </c>
      <c r="J81" s="23"/>
      <c r="K81" s="23"/>
      <c r="L81" s="4"/>
      <c r="M81" s="10"/>
      <c r="N81" s="10"/>
    </row>
  </sheetData>
  <sheetProtection selectLockedCells="1"/>
  <mergeCells count="1">
    <mergeCell ref="P1:U1"/>
  </mergeCells>
  <phoneticPr fontId="2" type="noConversion"/>
  <pageMargins left="0.7" right="0.7" top="0.75" bottom="0.75" header="0.3" footer="0.3"/>
  <legacyDrawing r:id="rId1"/>
  <tableParts count="2">
    <tablePart r:id="rId2"/>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CE50C0F5-D756-4CB2-BFC9-055D3FB979A5}">
          <x14:formula1>
            <xm:f>'7_2_Codelists'!$B$87:$B$95</xm:f>
          </x14:formula1>
          <xm:sqref>J2:J81</xm:sqref>
        </x14:dataValidation>
        <x14:dataValidation type="list" allowBlank="1" showInputMessage="1" showErrorMessage="1" promptTitle="Definition of Process Name" prompt="Enter the name of the Process Name" xr:uid="{66429812-8DF2-45F0-A5C4-FE49F9D51EE1}">
          <x14:formula1>
            <xm:f>'2_1_Definition_Processes'!$D$2:$D$46</xm:f>
          </x14:formula1>
          <xm:sqref>D2:D81</xm:sqref>
        </x14:dataValidation>
        <x14:dataValidation type="list" allowBlank="1" showInputMessage="1" showErrorMessage="1" xr:uid="{3FDD0BE3-E989-49D7-AD7F-F5A2452AD06D}">
          <x14:formula1>
            <xm:f>'6_1_Reference_Manager'!$C$2:$C$49</xm:f>
          </x14:formula1>
          <xm:sqref>N2:N81</xm:sqref>
        </x14:dataValidation>
        <x14:dataValidation type="list" allowBlank="1" showInputMessage="1" showErrorMessage="1" promptTitle="Definition of DSM_Parameter_type" prompt="Enter appropriate value for DSM_Parameter_type" xr:uid="{1CCB34CF-ADFC-4513-AA13-5A821DF733A1}">
          <x14:formula1>
            <xm:f>'7_2_Codelists'!$B$100:$B$106</xm:f>
          </x14:formula1>
          <xm:sqref>K2:K81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M41"/>
  <sheetViews>
    <sheetView topLeftCell="G1" zoomScale="115" zoomScaleNormal="115" workbookViewId="0">
      <selection activeCell="M7" sqref="M7:P12"/>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10" width="33.85546875" customWidth="1"/>
    <col min="11" max="11" width="24.7109375" customWidth="1"/>
  </cols>
  <sheetData>
    <row r="1" spans="1:13" x14ac:dyDescent="0.25">
      <c r="A1" s="26" t="s">
        <v>13</v>
      </c>
      <c r="B1" s="26" t="s">
        <v>4</v>
      </c>
      <c r="C1" s="26" t="s">
        <v>12</v>
      </c>
      <c r="D1" s="26" t="s">
        <v>141</v>
      </c>
      <c r="E1" s="26" t="s">
        <v>128</v>
      </c>
      <c r="F1" s="26" t="s">
        <v>166</v>
      </c>
      <c r="G1" s="26" t="s">
        <v>167</v>
      </c>
      <c r="H1" s="26" t="s">
        <v>179</v>
      </c>
      <c r="I1" s="26" t="s">
        <v>199</v>
      </c>
      <c r="J1" s="26" t="s">
        <v>197</v>
      </c>
      <c r="K1" s="26" t="s">
        <v>196</v>
      </c>
      <c r="L1" s="26" t="s">
        <v>7</v>
      </c>
      <c r="M1" s="26" t="s">
        <v>490</v>
      </c>
    </row>
    <row r="2" spans="1:13" x14ac:dyDescent="0.25">
      <c r="A2" s="27" t="b">
        <v>0</v>
      </c>
      <c r="B2" s="3">
        <f t="shared" ref="B2:B41" si="0">ROW()-1</f>
        <v>1</v>
      </c>
      <c r="C2" s="3" t="str">
        <f>_xlfn.XLOOKUP($D2,Tab_Def_Processes[Process_Name],Tab_Def_Processes[Process_ID],,0,)</f>
        <v>01</v>
      </c>
      <c r="D2" s="23"/>
      <c r="E2" s="3">
        <f>_xlfn.XLOOKUP($D2,Tab_Def_Processes[Process_Name],Tab_Def_Processes[Process_Logic],,0,)</f>
        <v>0</v>
      </c>
      <c r="F2" s="3">
        <f>_xlfn.XLOOKUP($D2,Tab_Def_Processes[Process_Name],Tab_Def_Processes[TC_Configuration],,0,)</f>
        <v>0</v>
      </c>
      <c r="G2" s="3">
        <f>_xlfn.XLOOKUP($D2,Tab_Def_Processes[Process_Name],Tab_Def_Processes[Stock_Configuration],,0,)</f>
        <v>0</v>
      </c>
      <c r="H2" s="3">
        <f>_xlfn.XLOOKUP(Tab_FOMP[[#This Row],[Process_Name]],Tab_Def_Processes[Process_Name],Tab_Def_Processes[Outflow_count],,0,)</f>
        <v>0</v>
      </c>
      <c r="I2" s="3" t="str">
        <f>"P"&amp;Tab_FOMP[[#This Row],[Process_ID]]&amp;"_"&amp;Tab_FOMP[[#This Row],[FOMP_Parameter_type]]</f>
        <v>P01_</v>
      </c>
      <c r="J2" s="23"/>
      <c r="K2" s="4"/>
      <c r="L2" s="10"/>
      <c r="M2" s="10"/>
    </row>
    <row r="3" spans="1:13" x14ac:dyDescent="0.25">
      <c r="A3" s="27" t="b">
        <v>0</v>
      </c>
      <c r="B3" s="3">
        <f t="shared" si="0"/>
        <v>2</v>
      </c>
      <c r="C3" s="3" t="str">
        <f>_xlfn.XLOOKUP($D3,Tab_Def_Processes[Process_Name],Tab_Def_Processes[Process_ID],,0,)</f>
        <v>01</v>
      </c>
      <c r="D3" s="23"/>
      <c r="E3" s="3">
        <f>_xlfn.XLOOKUP($D3,Tab_Def_Processes[Process_Name],Tab_Def_Processes[Process_Logic],,0,)</f>
        <v>0</v>
      </c>
      <c r="F3" s="3">
        <f>_xlfn.XLOOKUP($D3,Tab_Def_Processes[Process_Name],Tab_Def_Processes[TC_Configuration],,0,)</f>
        <v>0</v>
      </c>
      <c r="G3" s="3">
        <f>_xlfn.XLOOKUP($D3,Tab_Def_Processes[Process_Name],Tab_Def_Processes[Stock_Configuration],,0,)</f>
        <v>0</v>
      </c>
      <c r="H3" s="3">
        <f>_xlfn.XLOOKUP(Tab_FOMP[[#This Row],[Process_Name]],Tab_Def_Processes[Process_Name],Tab_Def_Processes[Outflow_count],,0,)</f>
        <v>0</v>
      </c>
      <c r="I3" s="3" t="str">
        <f>"P"&amp;Tab_FOMP[[#This Row],[Process_ID]]&amp;"_"&amp;Tab_FOMP[[#This Row],[FOMP_Parameter_type]]</f>
        <v>P01_</v>
      </c>
      <c r="J3" s="23"/>
      <c r="K3" s="4"/>
      <c r="L3" s="10"/>
      <c r="M3" s="10"/>
    </row>
    <row r="4" spans="1:13" x14ac:dyDescent="0.25">
      <c r="A4" s="27" t="b">
        <v>0</v>
      </c>
      <c r="B4" s="3">
        <f t="shared" si="0"/>
        <v>3</v>
      </c>
      <c r="C4" s="3" t="str">
        <f>_xlfn.XLOOKUP($D4,Tab_Def_Processes[Process_Name],Tab_Def_Processes[Process_ID],,0,)</f>
        <v>01</v>
      </c>
      <c r="D4" s="23"/>
      <c r="E4" s="3">
        <f>_xlfn.XLOOKUP($D4,Tab_Def_Processes[Process_Name],Tab_Def_Processes[Process_Logic],,0,)</f>
        <v>0</v>
      </c>
      <c r="F4" s="3">
        <f>_xlfn.XLOOKUP($D4,Tab_Def_Processes[Process_Name],Tab_Def_Processes[TC_Configuration],,0,)</f>
        <v>0</v>
      </c>
      <c r="G4" s="3">
        <f>_xlfn.XLOOKUP($D4,Tab_Def_Processes[Process_Name],Tab_Def_Processes[Stock_Configuration],,0,)</f>
        <v>0</v>
      </c>
      <c r="H4" s="3">
        <f>_xlfn.XLOOKUP(Tab_FOMP[[#This Row],[Process_Name]],Tab_Def_Processes[Process_Name],Tab_Def_Processes[Outflow_count],,0,)</f>
        <v>0</v>
      </c>
      <c r="I4" s="3" t="str">
        <f>"P"&amp;Tab_FOMP[[#This Row],[Process_ID]]&amp;"_"&amp;Tab_FOMP[[#This Row],[FOMP_Parameter_type]]</f>
        <v>P01_</v>
      </c>
      <c r="J4" s="23"/>
      <c r="K4" s="4"/>
      <c r="L4" s="10"/>
      <c r="M4" s="10"/>
    </row>
    <row r="5" spans="1:13" x14ac:dyDescent="0.25">
      <c r="A5" s="27" t="b">
        <v>0</v>
      </c>
      <c r="B5" s="3">
        <f t="shared" si="0"/>
        <v>4</v>
      </c>
      <c r="C5" s="3" t="str">
        <f>_xlfn.XLOOKUP($D5,Tab_Def_Processes[Process_Name],Tab_Def_Processes[Process_ID],,0,)</f>
        <v>01</v>
      </c>
      <c r="D5" s="23"/>
      <c r="E5" s="3">
        <f>_xlfn.XLOOKUP($D5,Tab_Def_Processes[Process_Name],Tab_Def_Processes[Process_Logic],,0,)</f>
        <v>0</v>
      </c>
      <c r="F5" s="3">
        <f>_xlfn.XLOOKUP($D5,Tab_Def_Processes[Process_Name],Tab_Def_Processes[TC_Configuration],,0,)</f>
        <v>0</v>
      </c>
      <c r="G5" s="3">
        <f>_xlfn.XLOOKUP($D5,Tab_Def_Processes[Process_Name],Tab_Def_Processes[Stock_Configuration],,0,)</f>
        <v>0</v>
      </c>
      <c r="H5" s="3">
        <f>_xlfn.XLOOKUP(Tab_FOMP[[#This Row],[Process_Name]],Tab_Def_Processes[Process_Name],Tab_Def_Processes[Outflow_count],,0,)</f>
        <v>0</v>
      </c>
      <c r="I5" s="3" t="str">
        <f>"P"&amp;Tab_FOMP[[#This Row],[Process_ID]]&amp;"_"&amp;Tab_FOMP[[#This Row],[FOMP_Parameter_type]]</f>
        <v>P01_</v>
      </c>
      <c r="J5" s="23"/>
      <c r="K5" s="4"/>
      <c r="L5" s="10"/>
      <c r="M5" s="10"/>
    </row>
    <row r="6" spans="1:13" x14ac:dyDescent="0.25">
      <c r="A6" s="27" t="b">
        <v>0</v>
      </c>
      <c r="B6" s="3">
        <f t="shared" si="0"/>
        <v>5</v>
      </c>
      <c r="C6" s="3" t="str">
        <f>_xlfn.XLOOKUP($D6,Tab_Def_Processes[Process_Name],Tab_Def_Processes[Process_ID],,0,)</f>
        <v>01</v>
      </c>
      <c r="D6" s="23"/>
      <c r="E6" s="3">
        <f>_xlfn.XLOOKUP($D6,Tab_Def_Processes[Process_Name],Tab_Def_Processes[Process_Logic],,0,)</f>
        <v>0</v>
      </c>
      <c r="F6" s="3">
        <f>_xlfn.XLOOKUP($D6,Tab_Def_Processes[Process_Name],Tab_Def_Processes[TC_Configuration],,0,)</f>
        <v>0</v>
      </c>
      <c r="G6" s="3">
        <f>_xlfn.XLOOKUP($D6,Tab_Def_Processes[Process_Name],Tab_Def_Processes[Stock_Configuration],,0,)</f>
        <v>0</v>
      </c>
      <c r="H6" s="3">
        <f>_xlfn.XLOOKUP(Tab_FOMP[[#This Row],[Process_Name]],Tab_Def_Processes[Process_Name],Tab_Def_Processes[Outflow_count],,0,)</f>
        <v>0</v>
      </c>
      <c r="I6" s="3" t="str">
        <f>"P"&amp;Tab_FOMP[[#This Row],[Process_ID]]&amp;"_"&amp;Tab_FOMP[[#This Row],[FOMP_Parameter_type]]</f>
        <v>P01_</v>
      </c>
      <c r="J6" s="23"/>
      <c r="K6" s="4"/>
      <c r="L6" s="10"/>
      <c r="M6" s="10"/>
    </row>
    <row r="7" spans="1:13" x14ac:dyDescent="0.25">
      <c r="A7" s="27" t="b">
        <v>0</v>
      </c>
      <c r="B7" s="3">
        <f t="shared" si="0"/>
        <v>6</v>
      </c>
      <c r="C7" s="3" t="str">
        <f>_xlfn.XLOOKUP($D7,Tab_Def_Processes[Process_Name],Tab_Def_Processes[Process_ID],,0,)</f>
        <v>01</v>
      </c>
      <c r="D7" s="23"/>
      <c r="E7" s="3">
        <f>_xlfn.XLOOKUP($D7,Tab_Def_Processes[Process_Name],Tab_Def_Processes[Process_Logic],,0,)</f>
        <v>0</v>
      </c>
      <c r="F7" s="3">
        <f>_xlfn.XLOOKUP($D7,Tab_Def_Processes[Process_Name],Tab_Def_Processes[TC_Configuration],,0,)</f>
        <v>0</v>
      </c>
      <c r="G7" s="3">
        <f>_xlfn.XLOOKUP($D7,Tab_Def_Processes[Process_Name],Tab_Def_Processes[Stock_Configuration],,0,)</f>
        <v>0</v>
      </c>
      <c r="H7" s="3">
        <f>_xlfn.XLOOKUP(Tab_FOMP[[#This Row],[Process_Name]],Tab_Def_Processes[Process_Name],Tab_Def_Processes[Outflow_count],,0,)</f>
        <v>0</v>
      </c>
      <c r="I7" s="3" t="str">
        <f>"P"&amp;Tab_FOMP[[#This Row],[Process_ID]]&amp;"_"&amp;Tab_FOMP[[#This Row],[FOMP_Parameter_type]]</f>
        <v>P01_</v>
      </c>
      <c r="J7" s="23"/>
      <c r="K7" s="4"/>
      <c r="L7" s="10"/>
      <c r="M7" s="10"/>
    </row>
    <row r="8" spans="1:13" x14ac:dyDescent="0.25">
      <c r="A8" s="27" t="b">
        <v>0</v>
      </c>
      <c r="B8" s="3">
        <f t="shared" si="0"/>
        <v>7</v>
      </c>
      <c r="C8" s="3" t="str">
        <f>_xlfn.XLOOKUP($D8,Tab_Def_Processes[Process_Name],Tab_Def_Processes[Process_ID],,0,)</f>
        <v>01</v>
      </c>
      <c r="D8" s="23"/>
      <c r="E8" s="3">
        <f>_xlfn.XLOOKUP($D8,Tab_Def_Processes[Process_Name],Tab_Def_Processes[Process_Logic],,0,)</f>
        <v>0</v>
      </c>
      <c r="F8" s="3">
        <f>_xlfn.XLOOKUP($D8,Tab_Def_Processes[Process_Name],Tab_Def_Processes[TC_Configuration],,0,)</f>
        <v>0</v>
      </c>
      <c r="G8" s="3">
        <f>_xlfn.XLOOKUP($D8,Tab_Def_Processes[Process_Name],Tab_Def_Processes[Stock_Configuration],,0,)</f>
        <v>0</v>
      </c>
      <c r="H8" s="3">
        <f>_xlfn.XLOOKUP(Tab_FOMP[[#This Row],[Process_Name]],Tab_Def_Processes[Process_Name],Tab_Def_Processes[Outflow_count],,0,)</f>
        <v>0</v>
      </c>
      <c r="I8" s="3" t="str">
        <f>"P"&amp;Tab_FOMP[[#This Row],[Process_ID]]&amp;"_"&amp;Tab_FOMP[[#This Row],[FOMP_Parameter_type]]</f>
        <v>P01_</v>
      </c>
      <c r="J8" s="23"/>
      <c r="K8" s="4"/>
      <c r="L8" s="10"/>
      <c r="M8" s="10"/>
    </row>
    <row r="9" spans="1:13" x14ac:dyDescent="0.25">
      <c r="A9" s="27" t="b">
        <v>0</v>
      </c>
      <c r="B9" s="3">
        <f t="shared" si="0"/>
        <v>8</v>
      </c>
      <c r="C9" s="3" t="str">
        <f>_xlfn.XLOOKUP($D9,Tab_Def_Processes[Process_Name],Tab_Def_Processes[Process_ID],,0,)</f>
        <v>01</v>
      </c>
      <c r="D9" s="23"/>
      <c r="E9" s="3">
        <f>_xlfn.XLOOKUP($D9,Tab_Def_Processes[Process_Name],Tab_Def_Processes[Process_Logic],,0,)</f>
        <v>0</v>
      </c>
      <c r="F9" s="3">
        <f>_xlfn.XLOOKUP($D9,Tab_Def_Processes[Process_Name],Tab_Def_Processes[TC_Configuration],,0,)</f>
        <v>0</v>
      </c>
      <c r="G9" s="3">
        <f>_xlfn.XLOOKUP($D9,Tab_Def_Processes[Process_Name],Tab_Def_Processes[Stock_Configuration],,0,)</f>
        <v>0</v>
      </c>
      <c r="H9" s="3">
        <f>_xlfn.XLOOKUP(Tab_FOMP[[#This Row],[Process_Name]],Tab_Def_Processes[Process_Name],Tab_Def_Processes[Outflow_count],,0,)</f>
        <v>0</v>
      </c>
      <c r="I9" s="3" t="str">
        <f>"P"&amp;Tab_FOMP[[#This Row],[Process_ID]]&amp;"_"&amp;Tab_FOMP[[#This Row],[FOMP_Parameter_type]]</f>
        <v>P01_</v>
      </c>
      <c r="J9" s="23"/>
      <c r="K9" s="4"/>
      <c r="L9" s="10"/>
      <c r="M9" s="10"/>
    </row>
    <row r="10" spans="1:13" x14ac:dyDescent="0.25">
      <c r="A10" s="27" t="b">
        <v>0</v>
      </c>
      <c r="B10" s="3">
        <f t="shared" si="0"/>
        <v>9</v>
      </c>
      <c r="C10" s="3" t="str">
        <f>_xlfn.XLOOKUP($D10,Tab_Def_Processes[Process_Name],Tab_Def_Processes[Process_ID],,0,)</f>
        <v>01</v>
      </c>
      <c r="D10" s="23"/>
      <c r="E10" s="3">
        <f>_xlfn.XLOOKUP($D10,Tab_Def_Processes[Process_Name],Tab_Def_Processes[Process_Logic],,0,)</f>
        <v>0</v>
      </c>
      <c r="F10" s="3">
        <f>_xlfn.XLOOKUP($D10,Tab_Def_Processes[Process_Name],Tab_Def_Processes[TC_Configuration],,0,)</f>
        <v>0</v>
      </c>
      <c r="G10" s="3">
        <f>_xlfn.XLOOKUP($D10,Tab_Def_Processes[Process_Name],Tab_Def_Processes[Stock_Configuration],,0,)</f>
        <v>0</v>
      </c>
      <c r="H10" s="3">
        <f>_xlfn.XLOOKUP(Tab_FOMP[[#This Row],[Process_Name]],Tab_Def_Processes[Process_Name],Tab_Def_Processes[Outflow_count],,0,)</f>
        <v>0</v>
      </c>
      <c r="I10" s="3" t="str">
        <f>"P"&amp;Tab_FOMP[[#This Row],[Process_ID]]&amp;"_"&amp;Tab_FOMP[[#This Row],[FOMP_Parameter_type]]</f>
        <v>P01_</v>
      </c>
      <c r="J10" s="23"/>
      <c r="K10" s="4"/>
      <c r="L10" s="10"/>
      <c r="M10" s="10"/>
    </row>
    <row r="11" spans="1:13" x14ac:dyDescent="0.25">
      <c r="A11" s="27" t="b">
        <v>0</v>
      </c>
      <c r="B11" s="3">
        <f t="shared" si="0"/>
        <v>10</v>
      </c>
      <c r="C11" s="3" t="str">
        <f>_xlfn.XLOOKUP($D11,Tab_Def_Processes[Process_Name],Tab_Def_Processes[Process_ID],,0,)</f>
        <v>01</v>
      </c>
      <c r="D11" s="23"/>
      <c r="E11" s="3">
        <f>_xlfn.XLOOKUP($D11,Tab_Def_Processes[Process_Name],Tab_Def_Processes[Process_Logic],,0,)</f>
        <v>0</v>
      </c>
      <c r="F11" s="3">
        <f>_xlfn.XLOOKUP($D11,Tab_Def_Processes[Process_Name],Tab_Def_Processes[TC_Configuration],,0,)</f>
        <v>0</v>
      </c>
      <c r="G11" s="3">
        <f>_xlfn.XLOOKUP($D11,Tab_Def_Processes[Process_Name],Tab_Def_Processes[Stock_Configuration],,0,)</f>
        <v>0</v>
      </c>
      <c r="H11" s="3">
        <f>_xlfn.XLOOKUP(Tab_FOMP[[#This Row],[Process_Name]],Tab_Def_Processes[Process_Name],Tab_Def_Processes[Outflow_count],,0,)</f>
        <v>0</v>
      </c>
      <c r="I11" s="3" t="str">
        <f>"P"&amp;Tab_FOMP[[#This Row],[Process_ID]]&amp;"_"&amp;Tab_FOMP[[#This Row],[FOMP_Parameter_type]]</f>
        <v>P01_</v>
      </c>
      <c r="J11" s="23"/>
      <c r="K11" s="4"/>
      <c r="L11" s="10"/>
      <c r="M11" s="10"/>
    </row>
    <row r="12" spans="1:13" x14ac:dyDescent="0.25">
      <c r="A12" s="27" t="b">
        <v>0</v>
      </c>
      <c r="B12" s="3">
        <f t="shared" si="0"/>
        <v>11</v>
      </c>
      <c r="C12" s="3" t="str">
        <f>_xlfn.XLOOKUP($D12,Tab_Def_Processes[Process_Name],Tab_Def_Processes[Process_ID],,0,)</f>
        <v>01</v>
      </c>
      <c r="D12" s="23"/>
      <c r="E12" s="3">
        <f>_xlfn.XLOOKUP($D12,Tab_Def_Processes[Process_Name],Tab_Def_Processes[Process_Logic],,0,)</f>
        <v>0</v>
      </c>
      <c r="F12" s="3">
        <f>_xlfn.XLOOKUP($D12,Tab_Def_Processes[Process_Name],Tab_Def_Processes[TC_Configuration],,0,)</f>
        <v>0</v>
      </c>
      <c r="G12" s="3">
        <f>_xlfn.XLOOKUP($D12,Tab_Def_Processes[Process_Name],Tab_Def_Processes[Stock_Configuration],,0,)</f>
        <v>0</v>
      </c>
      <c r="H12" s="3">
        <f>_xlfn.XLOOKUP(Tab_FOMP[[#This Row],[Process_Name]],Tab_Def_Processes[Process_Name],Tab_Def_Processes[Outflow_count],,0,)</f>
        <v>0</v>
      </c>
      <c r="I12" s="3" t="str">
        <f>"P"&amp;Tab_FOMP[[#This Row],[Process_ID]]&amp;"_"&amp;Tab_FOMP[[#This Row],[FOMP_Parameter_type]]</f>
        <v>P01_</v>
      </c>
      <c r="J12" s="23"/>
      <c r="K12" s="4"/>
      <c r="L12" s="10"/>
      <c r="M12" s="10"/>
    </row>
    <row r="13" spans="1:13" x14ac:dyDescent="0.25">
      <c r="A13" s="27" t="b">
        <v>0</v>
      </c>
      <c r="B13" s="3">
        <f t="shared" si="0"/>
        <v>12</v>
      </c>
      <c r="C13" s="3" t="str">
        <f>_xlfn.XLOOKUP($D13,Tab_Def_Processes[Process_Name],Tab_Def_Processes[Process_ID],,0,)</f>
        <v>01</v>
      </c>
      <c r="D13" s="23"/>
      <c r="E13" s="3">
        <f>_xlfn.XLOOKUP($D13,Tab_Def_Processes[Process_Name],Tab_Def_Processes[Process_Logic],,0,)</f>
        <v>0</v>
      </c>
      <c r="F13" s="3">
        <f>_xlfn.XLOOKUP($D13,Tab_Def_Processes[Process_Name],Tab_Def_Processes[TC_Configuration],,0,)</f>
        <v>0</v>
      </c>
      <c r="G13" s="3">
        <f>_xlfn.XLOOKUP($D13,Tab_Def_Processes[Process_Name],Tab_Def_Processes[Stock_Configuration],,0,)</f>
        <v>0</v>
      </c>
      <c r="H13" s="3">
        <f>_xlfn.XLOOKUP(Tab_FOMP[[#This Row],[Process_Name]],Tab_Def_Processes[Process_Name],Tab_Def_Processes[Outflow_count],,0,)</f>
        <v>0</v>
      </c>
      <c r="I13" s="3" t="str">
        <f>"P"&amp;Tab_FOMP[[#This Row],[Process_ID]]&amp;"_"&amp;Tab_FOMP[[#This Row],[FOMP_Parameter_type]]</f>
        <v>P01_</v>
      </c>
      <c r="J13" s="23"/>
      <c r="K13" s="4"/>
      <c r="L13" s="10"/>
      <c r="M13" s="10"/>
    </row>
    <row r="14" spans="1:13" x14ac:dyDescent="0.25">
      <c r="A14" s="27" t="b">
        <v>0</v>
      </c>
      <c r="B14" s="3">
        <f t="shared" si="0"/>
        <v>13</v>
      </c>
      <c r="C14" s="3" t="str">
        <f>_xlfn.XLOOKUP($D14,Tab_Def_Processes[Process_Name],Tab_Def_Processes[Process_ID],,0,)</f>
        <v>01</v>
      </c>
      <c r="D14" s="23"/>
      <c r="E14" s="3">
        <f>_xlfn.XLOOKUP($D14,Tab_Def_Processes[Process_Name],Tab_Def_Processes[Process_Logic],,0,)</f>
        <v>0</v>
      </c>
      <c r="F14" s="3">
        <f>_xlfn.XLOOKUP($D14,Tab_Def_Processes[Process_Name],Tab_Def_Processes[TC_Configuration],,0,)</f>
        <v>0</v>
      </c>
      <c r="G14" s="3">
        <f>_xlfn.XLOOKUP($D14,Tab_Def_Processes[Process_Name],Tab_Def_Processes[Stock_Configuration],,0,)</f>
        <v>0</v>
      </c>
      <c r="H14" s="3">
        <f>_xlfn.XLOOKUP(Tab_FOMP[[#This Row],[Process_Name]],Tab_Def_Processes[Process_Name],Tab_Def_Processes[Outflow_count],,0,)</f>
        <v>0</v>
      </c>
      <c r="I14" s="3" t="str">
        <f>"P"&amp;Tab_FOMP[[#This Row],[Process_ID]]&amp;"_"&amp;Tab_FOMP[[#This Row],[FOMP_Parameter_type]]</f>
        <v>P01_</v>
      </c>
      <c r="J14" s="23"/>
      <c r="K14" s="4"/>
      <c r="L14" s="10"/>
      <c r="M14" s="10"/>
    </row>
    <row r="15" spans="1:13" x14ac:dyDescent="0.25">
      <c r="A15" s="27" t="b">
        <v>0</v>
      </c>
      <c r="B15" s="3">
        <f t="shared" si="0"/>
        <v>14</v>
      </c>
      <c r="C15" s="3" t="str">
        <f>_xlfn.XLOOKUP($D15,Tab_Def_Processes[Process_Name],Tab_Def_Processes[Process_ID],,0,)</f>
        <v>01</v>
      </c>
      <c r="D15" s="23"/>
      <c r="E15" s="3">
        <f>_xlfn.XLOOKUP($D15,Tab_Def_Processes[Process_Name],Tab_Def_Processes[Process_Logic],,0,)</f>
        <v>0</v>
      </c>
      <c r="F15" s="3">
        <f>_xlfn.XLOOKUP($D15,Tab_Def_Processes[Process_Name],Tab_Def_Processes[TC_Configuration],,0,)</f>
        <v>0</v>
      </c>
      <c r="G15" s="3">
        <f>_xlfn.XLOOKUP($D15,Tab_Def_Processes[Process_Name],Tab_Def_Processes[Stock_Configuration],,0,)</f>
        <v>0</v>
      </c>
      <c r="H15" s="3">
        <f>_xlfn.XLOOKUP(Tab_FOMP[[#This Row],[Process_Name]],Tab_Def_Processes[Process_Name],Tab_Def_Processes[Outflow_count],,0,)</f>
        <v>0</v>
      </c>
      <c r="I15" s="3" t="str">
        <f>"P"&amp;Tab_FOMP[[#This Row],[Process_ID]]&amp;"_"&amp;Tab_FOMP[[#This Row],[FOMP_Parameter_type]]</f>
        <v>P01_</v>
      </c>
      <c r="J15" s="23"/>
      <c r="K15" s="4"/>
      <c r="L15" s="10"/>
      <c r="M15" s="10"/>
    </row>
    <row r="16" spans="1:13" x14ac:dyDescent="0.25">
      <c r="A16" s="27" t="b">
        <v>0</v>
      </c>
      <c r="B16" s="3">
        <f t="shared" si="0"/>
        <v>15</v>
      </c>
      <c r="C16" s="3" t="str">
        <f>_xlfn.XLOOKUP($D16,Tab_Def_Processes[Process_Name],Tab_Def_Processes[Process_ID],,0,)</f>
        <v>01</v>
      </c>
      <c r="D16" s="23"/>
      <c r="E16" s="3">
        <f>_xlfn.XLOOKUP($D16,Tab_Def_Processes[Process_Name],Tab_Def_Processes[Process_Logic],,0,)</f>
        <v>0</v>
      </c>
      <c r="F16" s="3">
        <f>_xlfn.XLOOKUP($D16,Tab_Def_Processes[Process_Name],Tab_Def_Processes[TC_Configuration],,0,)</f>
        <v>0</v>
      </c>
      <c r="G16" s="3">
        <f>_xlfn.XLOOKUP($D16,Tab_Def_Processes[Process_Name],Tab_Def_Processes[Stock_Configuration],,0,)</f>
        <v>0</v>
      </c>
      <c r="H16" s="3">
        <f>_xlfn.XLOOKUP(Tab_FOMP[[#This Row],[Process_Name]],Tab_Def_Processes[Process_Name],Tab_Def_Processes[Outflow_count],,0,)</f>
        <v>0</v>
      </c>
      <c r="I16" s="3" t="str">
        <f>"P"&amp;Tab_FOMP[[#This Row],[Process_ID]]&amp;"_"&amp;Tab_FOMP[[#This Row],[FOMP_Parameter_type]]</f>
        <v>P01_</v>
      </c>
      <c r="J16" s="23"/>
      <c r="K16" s="4"/>
      <c r="L16" s="10"/>
      <c r="M16" s="10"/>
    </row>
    <row r="17" spans="1:13" x14ac:dyDescent="0.25">
      <c r="A17" s="27" t="b">
        <v>0</v>
      </c>
      <c r="B17" s="3">
        <f t="shared" si="0"/>
        <v>16</v>
      </c>
      <c r="C17" s="3" t="str">
        <f>_xlfn.XLOOKUP($D17,Tab_Def_Processes[Process_Name],Tab_Def_Processes[Process_ID],,0,)</f>
        <v>01</v>
      </c>
      <c r="D17" s="23"/>
      <c r="E17" s="3">
        <f>_xlfn.XLOOKUP($D17,Tab_Def_Processes[Process_Name],Tab_Def_Processes[Process_Logic],,0,)</f>
        <v>0</v>
      </c>
      <c r="F17" s="3">
        <f>_xlfn.XLOOKUP($D17,Tab_Def_Processes[Process_Name],Tab_Def_Processes[TC_Configuration],,0,)</f>
        <v>0</v>
      </c>
      <c r="G17" s="3">
        <f>_xlfn.XLOOKUP($D17,Tab_Def_Processes[Process_Name],Tab_Def_Processes[Stock_Configuration],,0,)</f>
        <v>0</v>
      </c>
      <c r="H17" s="3">
        <f>_xlfn.XLOOKUP(Tab_FOMP[[#This Row],[Process_Name]],Tab_Def_Processes[Process_Name],Tab_Def_Processes[Outflow_count],,0,)</f>
        <v>0</v>
      </c>
      <c r="I17" s="3" t="str">
        <f>"P"&amp;Tab_FOMP[[#This Row],[Process_ID]]&amp;"_"&amp;Tab_FOMP[[#This Row],[FOMP_Parameter_type]]</f>
        <v>P01_</v>
      </c>
      <c r="J17" s="23"/>
      <c r="K17" s="4"/>
      <c r="L17" s="10"/>
      <c r="M17" s="10"/>
    </row>
    <row r="18" spans="1:13" x14ac:dyDescent="0.25">
      <c r="A18" s="27" t="b">
        <v>0</v>
      </c>
      <c r="B18" s="3">
        <f t="shared" si="0"/>
        <v>17</v>
      </c>
      <c r="C18" s="3" t="str">
        <f>_xlfn.XLOOKUP($D18,Tab_Def_Processes[Process_Name],Tab_Def_Processes[Process_ID],,0,)</f>
        <v>01</v>
      </c>
      <c r="D18" s="23"/>
      <c r="E18" s="3">
        <f>_xlfn.XLOOKUP($D18,Tab_Def_Processes[Process_Name],Tab_Def_Processes[Process_Logic],,0,)</f>
        <v>0</v>
      </c>
      <c r="F18" s="3">
        <f>_xlfn.XLOOKUP($D18,Tab_Def_Processes[Process_Name],Tab_Def_Processes[TC_Configuration],,0,)</f>
        <v>0</v>
      </c>
      <c r="G18" s="3">
        <f>_xlfn.XLOOKUP($D18,Tab_Def_Processes[Process_Name],Tab_Def_Processes[Stock_Configuration],,0,)</f>
        <v>0</v>
      </c>
      <c r="H18" s="3">
        <f>_xlfn.XLOOKUP(Tab_FOMP[[#This Row],[Process_Name]],Tab_Def_Processes[Process_Name],Tab_Def_Processes[Outflow_count],,0,)</f>
        <v>0</v>
      </c>
      <c r="I18" s="3" t="str">
        <f>"P"&amp;Tab_FOMP[[#This Row],[Process_ID]]&amp;"_"&amp;Tab_FOMP[[#This Row],[FOMP_Parameter_type]]</f>
        <v>P01_</v>
      </c>
      <c r="J18" s="23"/>
      <c r="K18" s="4"/>
      <c r="L18" s="10"/>
      <c r="M18" s="10"/>
    </row>
    <row r="19" spans="1:13" x14ac:dyDescent="0.25">
      <c r="A19" s="27" t="b">
        <v>0</v>
      </c>
      <c r="B19" s="3">
        <f t="shared" si="0"/>
        <v>18</v>
      </c>
      <c r="C19" s="3" t="str">
        <f>_xlfn.XLOOKUP($D19,Tab_Def_Processes[Process_Name],Tab_Def_Processes[Process_ID],,0,)</f>
        <v>01</v>
      </c>
      <c r="D19" s="23"/>
      <c r="E19" s="3">
        <f>_xlfn.XLOOKUP($D19,Tab_Def_Processes[Process_Name],Tab_Def_Processes[Process_Logic],,0,)</f>
        <v>0</v>
      </c>
      <c r="F19" s="3">
        <f>_xlfn.XLOOKUP($D19,Tab_Def_Processes[Process_Name],Tab_Def_Processes[TC_Configuration],,0,)</f>
        <v>0</v>
      </c>
      <c r="G19" s="3">
        <f>_xlfn.XLOOKUP($D19,Tab_Def_Processes[Process_Name],Tab_Def_Processes[Stock_Configuration],,0,)</f>
        <v>0</v>
      </c>
      <c r="H19" s="3">
        <f>_xlfn.XLOOKUP(Tab_FOMP[[#This Row],[Process_Name]],Tab_Def_Processes[Process_Name],Tab_Def_Processes[Outflow_count],,0,)</f>
        <v>0</v>
      </c>
      <c r="I19" s="3" t="str">
        <f>"P"&amp;Tab_FOMP[[#This Row],[Process_ID]]&amp;"_"&amp;Tab_FOMP[[#This Row],[FOMP_Parameter_type]]</f>
        <v>P01_</v>
      </c>
      <c r="J19" s="23"/>
      <c r="K19" s="4"/>
      <c r="L19" s="10"/>
      <c r="M19" s="10"/>
    </row>
    <row r="20" spans="1:13" x14ac:dyDescent="0.25">
      <c r="A20" s="27" t="b">
        <v>0</v>
      </c>
      <c r="B20" s="3">
        <f t="shared" si="0"/>
        <v>19</v>
      </c>
      <c r="C20" s="3" t="str">
        <f>_xlfn.XLOOKUP($D20,Tab_Def_Processes[Process_Name],Tab_Def_Processes[Process_ID],,0,)</f>
        <v>01</v>
      </c>
      <c r="D20" s="23"/>
      <c r="E20" s="3">
        <f>_xlfn.XLOOKUP($D20,Tab_Def_Processes[Process_Name],Tab_Def_Processes[Process_Logic],,0,)</f>
        <v>0</v>
      </c>
      <c r="F20" s="3">
        <f>_xlfn.XLOOKUP($D20,Tab_Def_Processes[Process_Name],Tab_Def_Processes[TC_Configuration],,0,)</f>
        <v>0</v>
      </c>
      <c r="G20" s="3">
        <f>_xlfn.XLOOKUP($D20,Tab_Def_Processes[Process_Name],Tab_Def_Processes[Stock_Configuration],,0,)</f>
        <v>0</v>
      </c>
      <c r="H20" s="3">
        <f>_xlfn.XLOOKUP(Tab_FOMP[[#This Row],[Process_Name]],Tab_Def_Processes[Process_Name],Tab_Def_Processes[Outflow_count],,0,)</f>
        <v>0</v>
      </c>
      <c r="I20" s="3" t="str">
        <f>"P"&amp;Tab_FOMP[[#This Row],[Process_ID]]&amp;"_"&amp;Tab_FOMP[[#This Row],[FOMP_Parameter_type]]</f>
        <v>P01_</v>
      </c>
      <c r="J20" s="23"/>
      <c r="K20" s="4"/>
      <c r="L20" s="10"/>
      <c r="M20" s="10"/>
    </row>
    <row r="21" spans="1:13" x14ac:dyDescent="0.25">
      <c r="A21" s="27" t="b">
        <v>0</v>
      </c>
      <c r="B21" s="3">
        <f t="shared" si="0"/>
        <v>20</v>
      </c>
      <c r="C21" s="3" t="str">
        <f>_xlfn.XLOOKUP($D21,Tab_Def_Processes[Process_Name],Tab_Def_Processes[Process_ID],,0,)</f>
        <v>01</v>
      </c>
      <c r="D21" s="23"/>
      <c r="E21" s="3">
        <f>_xlfn.XLOOKUP($D21,Tab_Def_Processes[Process_Name],Tab_Def_Processes[Process_Logic],,0,)</f>
        <v>0</v>
      </c>
      <c r="F21" s="3">
        <f>_xlfn.XLOOKUP($D21,Tab_Def_Processes[Process_Name],Tab_Def_Processes[TC_Configuration],,0,)</f>
        <v>0</v>
      </c>
      <c r="G21" s="3">
        <f>_xlfn.XLOOKUP($D21,Tab_Def_Processes[Process_Name],Tab_Def_Processes[Stock_Configuration],,0,)</f>
        <v>0</v>
      </c>
      <c r="H21" s="3">
        <f>_xlfn.XLOOKUP(Tab_FOMP[[#This Row],[Process_Name]],Tab_Def_Processes[Process_Name],Tab_Def_Processes[Outflow_count],,0,)</f>
        <v>0</v>
      </c>
      <c r="I21" s="3" t="str">
        <f>"P"&amp;Tab_FOMP[[#This Row],[Process_ID]]&amp;"_"&amp;Tab_FOMP[[#This Row],[FOMP_Parameter_type]]</f>
        <v>P01_</v>
      </c>
      <c r="J21" s="23"/>
      <c r="K21" s="4"/>
      <c r="L21" s="10"/>
      <c r="M21" s="10"/>
    </row>
    <row r="22" spans="1:13" x14ac:dyDescent="0.25">
      <c r="A22" s="27" t="b">
        <v>0</v>
      </c>
      <c r="B22" s="3">
        <f t="shared" si="0"/>
        <v>21</v>
      </c>
      <c r="C22" s="3" t="str">
        <f>_xlfn.XLOOKUP($D22,Tab_Def_Processes[Process_Name],Tab_Def_Processes[Process_ID],,0,)</f>
        <v>01</v>
      </c>
      <c r="D22" s="23"/>
      <c r="E22" s="3">
        <f>_xlfn.XLOOKUP($D22,Tab_Def_Processes[Process_Name],Tab_Def_Processes[Process_Logic],,0,)</f>
        <v>0</v>
      </c>
      <c r="F22" s="3">
        <f>_xlfn.XLOOKUP($D22,Tab_Def_Processes[Process_Name],Tab_Def_Processes[TC_Configuration],,0,)</f>
        <v>0</v>
      </c>
      <c r="G22" s="3">
        <f>_xlfn.XLOOKUP($D22,Tab_Def_Processes[Process_Name],Tab_Def_Processes[Stock_Configuration],,0,)</f>
        <v>0</v>
      </c>
      <c r="H22" s="3">
        <f>_xlfn.XLOOKUP(Tab_FOMP[[#This Row],[Process_Name]],Tab_Def_Processes[Process_Name],Tab_Def_Processes[Outflow_count],,0,)</f>
        <v>0</v>
      </c>
      <c r="I22" s="3" t="str">
        <f>"P"&amp;Tab_FOMP[[#This Row],[Process_ID]]&amp;"_"&amp;Tab_FOMP[[#This Row],[FOMP_Parameter_type]]</f>
        <v>P01_</v>
      </c>
      <c r="J22" s="23"/>
      <c r="K22" s="4"/>
      <c r="L22" s="10"/>
      <c r="M22" s="10"/>
    </row>
    <row r="23" spans="1:13" x14ac:dyDescent="0.25">
      <c r="A23" s="27" t="b">
        <v>0</v>
      </c>
      <c r="B23" s="3">
        <f t="shared" si="0"/>
        <v>22</v>
      </c>
      <c r="C23" s="3" t="str">
        <f>_xlfn.XLOOKUP($D23,Tab_Def_Processes[Process_Name],Tab_Def_Processes[Process_ID],,0,)</f>
        <v>01</v>
      </c>
      <c r="D23" s="23"/>
      <c r="E23" s="3">
        <f>_xlfn.XLOOKUP($D23,Tab_Def_Processes[Process_Name],Tab_Def_Processes[Process_Logic],,0,)</f>
        <v>0</v>
      </c>
      <c r="F23" s="3">
        <f>_xlfn.XLOOKUP($D23,Tab_Def_Processes[Process_Name],Tab_Def_Processes[TC_Configuration],,0,)</f>
        <v>0</v>
      </c>
      <c r="G23" s="3">
        <f>_xlfn.XLOOKUP($D23,Tab_Def_Processes[Process_Name],Tab_Def_Processes[Stock_Configuration],,0,)</f>
        <v>0</v>
      </c>
      <c r="H23" s="3">
        <f>_xlfn.XLOOKUP(Tab_FOMP[[#This Row],[Process_Name]],Tab_Def_Processes[Process_Name],Tab_Def_Processes[Outflow_count],,0,)</f>
        <v>0</v>
      </c>
      <c r="I23" s="3" t="str">
        <f>"P"&amp;Tab_FOMP[[#This Row],[Process_ID]]&amp;"_"&amp;Tab_FOMP[[#This Row],[FOMP_Parameter_type]]</f>
        <v>P01_</v>
      </c>
      <c r="J23" s="23"/>
      <c r="K23" s="4"/>
      <c r="L23" s="10"/>
      <c r="M23" s="10"/>
    </row>
    <row r="24" spans="1:13" x14ac:dyDescent="0.25">
      <c r="A24" s="27" t="b">
        <v>0</v>
      </c>
      <c r="B24" s="3">
        <f t="shared" si="0"/>
        <v>23</v>
      </c>
      <c r="C24" s="3" t="str">
        <f>_xlfn.XLOOKUP($D24,Tab_Def_Processes[Process_Name],Tab_Def_Processes[Process_ID],,0,)</f>
        <v>01</v>
      </c>
      <c r="D24" s="23"/>
      <c r="E24" s="3">
        <f>_xlfn.XLOOKUP($D24,Tab_Def_Processes[Process_Name],Tab_Def_Processes[Process_Logic],,0,)</f>
        <v>0</v>
      </c>
      <c r="F24" s="3">
        <f>_xlfn.XLOOKUP($D24,Tab_Def_Processes[Process_Name],Tab_Def_Processes[TC_Configuration],,0,)</f>
        <v>0</v>
      </c>
      <c r="G24" s="3">
        <f>_xlfn.XLOOKUP($D24,Tab_Def_Processes[Process_Name],Tab_Def_Processes[Stock_Configuration],,0,)</f>
        <v>0</v>
      </c>
      <c r="H24" s="3">
        <f>_xlfn.XLOOKUP(Tab_FOMP[[#This Row],[Process_Name]],Tab_Def_Processes[Process_Name],Tab_Def_Processes[Outflow_count],,0,)</f>
        <v>0</v>
      </c>
      <c r="I24" s="3" t="str">
        <f>"P"&amp;Tab_FOMP[[#This Row],[Process_ID]]&amp;"_"&amp;Tab_FOMP[[#This Row],[FOMP_Parameter_type]]</f>
        <v>P01_</v>
      </c>
      <c r="J24" s="23"/>
      <c r="K24" s="4"/>
      <c r="L24" s="10"/>
      <c r="M24" s="10"/>
    </row>
    <row r="25" spans="1:13" x14ac:dyDescent="0.25">
      <c r="A25" s="27" t="b">
        <v>0</v>
      </c>
      <c r="B25" s="3">
        <f t="shared" si="0"/>
        <v>24</v>
      </c>
      <c r="C25" s="3" t="str">
        <f>_xlfn.XLOOKUP($D25,Tab_Def_Processes[Process_Name],Tab_Def_Processes[Process_ID],,0,)</f>
        <v>01</v>
      </c>
      <c r="D25" s="23"/>
      <c r="E25" s="3">
        <f>_xlfn.XLOOKUP($D25,Tab_Def_Processes[Process_Name],Tab_Def_Processes[Process_Logic],,0,)</f>
        <v>0</v>
      </c>
      <c r="F25" s="3">
        <f>_xlfn.XLOOKUP($D25,Tab_Def_Processes[Process_Name],Tab_Def_Processes[TC_Configuration],,0,)</f>
        <v>0</v>
      </c>
      <c r="G25" s="3">
        <f>_xlfn.XLOOKUP($D25,Tab_Def_Processes[Process_Name],Tab_Def_Processes[Stock_Configuration],,0,)</f>
        <v>0</v>
      </c>
      <c r="H25" s="3">
        <f>_xlfn.XLOOKUP(Tab_FOMP[[#This Row],[Process_Name]],Tab_Def_Processes[Process_Name],Tab_Def_Processes[Outflow_count],,0,)</f>
        <v>0</v>
      </c>
      <c r="I25" s="3" t="str">
        <f>"P"&amp;Tab_FOMP[[#This Row],[Process_ID]]&amp;"_"&amp;Tab_FOMP[[#This Row],[FOMP_Parameter_type]]</f>
        <v>P01_</v>
      </c>
      <c r="J25" s="23"/>
      <c r="K25" s="4"/>
      <c r="L25" s="10"/>
      <c r="M25" s="10"/>
    </row>
    <row r="26" spans="1:13" x14ac:dyDescent="0.25">
      <c r="A26" s="27" t="b">
        <v>0</v>
      </c>
      <c r="B26" s="3">
        <f t="shared" si="0"/>
        <v>25</v>
      </c>
      <c r="C26" s="3" t="str">
        <f>_xlfn.XLOOKUP($D26,Tab_Def_Processes[Process_Name],Tab_Def_Processes[Process_ID],,0,)</f>
        <v>01</v>
      </c>
      <c r="D26" s="23"/>
      <c r="E26" s="3">
        <f>_xlfn.XLOOKUP($D26,Tab_Def_Processes[Process_Name],Tab_Def_Processes[Process_Logic],,0,)</f>
        <v>0</v>
      </c>
      <c r="F26" s="3">
        <f>_xlfn.XLOOKUP($D26,Tab_Def_Processes[Process_Name],Tab_Def_Processes[TC_Configuration],,0,)</f>
        <v>0</v>
      </c>
      <c r="G26" s="3">
        <f>_xlfn.XLOOKUP($D26,Tab_Def_Processes[Process_Name],Tab_Def_Processes[Stock_Configuration],,0,)</f>
        <v>0</v>
      </c>
      <c r="H26" s="3">
        <f>_xlfn.XLOOKUP(Tab_FOMP[[#This Row],[Process_Name]],Tab_Def_Processes[Process_Name],Tab_Def_Processes[Outflow_count],,0,)</f>
        <v>0</v>
      </c>
      <c r="I26" s="3" t="str">
        <f>"P"&amp;Tab_FOMP[[#This Row],[Process_ID]]&amp;"_"&amp;Tab_FOMP[[#This Row],[FOMP_Parameter_type]]</f>
        <v>P01_</v>
      </c>
      <c r="J26" s="23"/>
      <c r="K26" s="4"/>
      <c r="L26" s="10"/>
      <c r="M26" s="10"/>
    </row>
    <row r="27" spans="1:13" x14ac:dyDescent="0.25">
      <c r="A27" s="27" t="b">
        <v>0</v>
      </c>
      <c r="B27" s="3">
        <f t="shared" si="0"/>
        <v>26</v>
      </c>
      <c r="C27" s="3" t="str">
        <f>_xlfn.XLOOKUP($D27,Tab_Def_Processes[Process_Name],Tab_Def_Processes[Process_ID],,0,)</f>
        <v>01</v>
      </c>
      <c r="D27" s="23"/>
      <c r="E27" s="3">
        <f>_xlfn.XLOOKUP($D27,Tab_Def_Processes[Process_Name],Tab_Def_Processes[Process_Logic],,0,)</f>
        <v>0</v>
      </c>
      <c r="F27" s="3">
        <f>_xlfn.XLOOKUP($D27,Tab_Def_Processes[Process_Name],Tab_Def_Processes[TC_Configuration],,0,)</f>
        <v>0</v>
      </c>
      <c r="G27" s="3">
        <f>_xlfn.XLOOKUP($D27,Tab_Def_Processes[Process_Name],Tab_Def_Processes[Stock_Configuration],,0,)</f>
        <v>0</v>
      </c>
      <c r="H27" s="3">
        <f>_xlfn.XLOOKUP(Tab_FOMP[[#This Row],[Process_Name]],Tab_Def_Processes[Process_Name],Tab_Def_Processes[Outflow_count],,0,)</f>
        <v>0</v>
      </c>
      <c r="I27" s="3" t="str">
        <f>"P"&amp;Tab_FOMP[[#This Row],[Process_ID]]&amp;"_"&amp;Tab_FOMP[[#This Row],[FOMP_Parameter_type]]</f>
        <v>P01_</v>
      </c>
      <c r="J27" s="23"/>
      <c r="K27" s="4"/>
      <c r="L27" s="10"/>
      <c r="M27" s="10"/>
    </row>
    <row r="28" spans="1:13" x14ac:dyDescent="0.25">
      <c r="A28" s="27" t="b">
        <v>0</v>
      </c>
      <c r="B28" s="3">
        <f t="shared" si="0"/>
        <v>27</v>
      </c>
      <c r="C28" s="3" t="str">
        <f>_xlfn.XLOOKUP($D28,Tab_Def_Processes[Process_Name],Tab_Def_Processes[Process_ID],,0,)</f>
        <v>01</v>
      </c>
      <c r="D28" s="23"/>
      <c r="E28" s="3">
        <f>_xlfn.XLOOKUP($D28,Tab_Def_Processes[Process_Name],Tab_Def_Processes[Process_Logic],,0,)</f>
        <v>0</v>
      </c>
      <c r="F28" s="3">
        <f>_xlfn.XLOOKUP($D28,Tab_Def_Processes[Process_Name],Tab_Def_Processes[TC_Configuration],,0,)</f>
        <v>0</v>
      </c>
      <c r="G28" s="3">
        <f>_xlfn.XLOOKUP($D28,Tab_Def_Processes[Process_Name],Tab_Def_Processes[Stock_Configuration],,0,)</f>
        <v>0</v>
      </c>
      <c r="H28" s="3">
        <f>_xlfn.XLOOKUP(Tab_FOMP[[#This Row],[Process_Name]],Tab_Def_Processes[Process_Name],Tab_Def_Processes[Outflow_count],,0,)</f>
        <v>0</v>
      </c>
      <c r="I28" s="3" t="str">
        <f>"P"&amp;Tab_FOMP[[#This Row],[Process_ID]]&amp;"_"&amp;Tab_FOMP[[#This Row],[FOMP_Parameter_type]]</f>
        <v>P01_</v>
      </c>
      <c r="J28" s="23"/>
      <c r="K28" s="4"/>
      <c r="L28" s="10"/>
      <c r="M28" s="10"/>
    </row>
    <row r="29" spans="1:13" x14ac:dyDescent="0.25">
      <c r="A29" s="27" t="b">
        <v>0</v>
      </c>
      <c r="B29" s="3">
        <f t="shared" si="0"/>
        <v>28</v>
      </c>
      <c r="C29" s="3" t="str">
        <f>_xlfn.XLOOKUP($D29,Tab_Def_Processes[Process_Name],Tab_Def_Processes[Process_ID],,0,)</f>
        <v>01</v>
      </c>
      <c r="D29" s="23"/>
      <c r="E29" s="3">
        <f>_xlfn.XLOOKUP($D29,Tab_Def_Processes[Process_Name],Tab_Def_Processes[Process_Logic],,0,)</f>
        <v>0</v>
      </c>
      <c r="F29" s="3">
        <f>_xlfn.XLOOKUP($D29,Tab_Def_Processes[Process_Name],Tab_Def_Processes[TC_Configuration],,0,)</f>
        <v>0</v>
      </c>
      <c r="G29" s="3">
        <f>_xlfn.XLOOKUP($D29,Tab_Def_Processes[Process_Name],Tab_Def_Processes[Stock_Configuration],,0,)</f>
        <v>0</v>
      </c>
      <c r="H29" s="3">
        <f>_xlfn.XLOOKUP(Tab_FOMP[[#This Row],[Process_Name]],Tab_Def_Processes[Process_Name],Tab_Def_Processes[Outflow_count],,0,)</f>
        <v>0</v>
      </c>
      <c r="I29" s="3" t="str">
        <f>"P"&amp;Tab_FOMP[[#This Row],[Process_ID]]&amp;"_"&amp;Tab_FOMP[[#This Row],[FOMP_Parameter_type]]</f>
        <v>P01_</v>
      </c>
      <c r="J29" s="23"/>
      <c r="K29" s="4"/>
      <c r="L29" s="10"/>
      <c r="M29" s="10"/>
    </row>
    <row r="30" spans="1:13" x14ac:dyDescent="0.25">
      <c r="A30" s="27" t="b">
        <v>0</v>
      </c>
      <c r="B30" s="3">
        <f t="shared" si="0"/>
        <v>29</v>
      </c>
      <c r="C30" s="3" t="str">
        <f>_xlfn.XLOOKUP($D30,Tab_Def_Processes[Process_Name],Tab_Def_Processes[Process_ID],,0,)</f>
        <v>01</v>
      </c>
      <c r="D30" s="23"/>
      <c r="E30" s="3">
        <f>_xlfn.XLOOKUP($D30,Tab_Def_Processes[Process_Name],Tab_Def_Processes[Process_Logic],,0,)</f>
        <v>0</v>
      </c>
      <c r="F30" s="3">
        <f>_xlfn.XLOOKUP($D30,Tab_Def_Processes[Process_Name],Tab_Def_Processes[TC_Configuration],,0,)</f>
        <v>0</v>
      </c>
      <c r="G30" s="3">
        <f>_xlfn.XLOOKUP($D30,Tab_Def_Processes[Process_Name],Tab_Def_Processes[Stock_Configuration],,0,)</f>
        <v>0</v>
      </c>
      <c r="H30" s="3">
        <f>_xlfn.XLOOKUP(Tab_FOMP[[#This Row],[Process_Name]],Tab_Def_Processes[Process_Name],Tab_Def_Processes[Outflow_count],,0,)</f>
        <v>0</v>
      </c>
      <c r="I30" s="3" t="str">
        <f>"P"&amp;Tab_FOMP[[#This Row],[Process_ID]]&amp;"_"&amp;Tab_FOMP[[#This Row],[FOMP_Parameter_type]]</f>
        <v>P01_</v>
      </c>
      <c r="J30" s="23"/>
      <c r="K30" s="4"/>
      <c r="L30" s="10"/>
      <c r="M30" s="10"/>
    </row>
    <row r="31" spans="1:13" x14ac:dyDescent="0.25">
      <c r="A31" s="27" t="b">
        <v>0</v>
      </c>
      <c r="B31" s="3">
        <f t="shared" si="0"/>
        <v>30</v>
      </c>
      <c r="C31" s="3" t="str">
        <f>_xlfn.XLOOKUP($D31,Tab_Def_Processes[Process_Name],Tab_Def_Processes[Process_ID],,0,)</f>
        <v>01</v>
      </c>
      <c r="D31" s="23"/>
      <c r="E31" s="3">
        <f>_xlfn.XLOOKUP($D31,Tab_Def_Processes[Process_Name],Tab_Def_Processes[Process_Logic],,0,)</f>
        <v>0</v>
      </c>
      <c r="F31" s="3">
        <f>_xlfn.XLOOKUP($D31,Tab_Def_Processes[Process_Name],Tab_Def_Processes[TC_Configuration],,0,)</f>
        <v>0</v>
      </c>
      <c r="G31" s="3">
        <f>_xlfn.XLOOKUP($D31,Tab_Def_Processes[Process_Name],Tab_Def_Processes[Stock_Configuration],,0,)</f>
        <v>0</v>
      </c>
      <c r="H31" s="3">
        <f>_xlfn.XLOOKUP(Tab_FOMP[[#This Row],[Process_Name]],Tab_Def_Processes[Process_Name],Tab_Def_Processes[Outflow_count],,0,)</f>
        <v>0</v>
      </c>
      <c r="I31" s="3" t="str">
        <f>"P"&amp;Tab_FOMP[[#This Row],[Process_ID]]&amp;"_"&amp;Tab_FOMP[[#This Row],[FOMP_Parameter_type]]</f>
        <v>P01_</v>
      </c>
      <c r="J31" s="23"/>
      <c r="K31" s="4"/>
      <c r="L31" s="10"/>
      <c r="M31" s="10"/>
    </row>
    <row r="32" spans="1:13" x14ac:dyDescent="0.25">
      <c r="A32" s="27" t="b">
        <v>0</v>
      </c>
      <c r="B32" s="3">
        <f t="shared" si="0"/>
        <v>31</v>
      </c>
      <c r="C32" s="3" t="str">
        <f>_xlfn.XLOOKUP($D32,Tab_Def_Processes[Process_Name],Tab_Def_Processes[Process_ID],,0,)</f>
        <v>01</v>
      </c>
      <c r="D32" s="23"/>
      <c r="E32" s="3">
        <f>_xlfn.XLOOKUP($D32,Tab_Def_Processes[Process_Name],Tab_Def_Processes[Process_Logic],,0,)</f>
        <v>0</v>
      </c>
      <c r="F32" s="3">
        <f>_xlfn.XLOOKUP($D32,Tab_Def_Processes[Process_Name],Tab_Def_Processes[TC_Configuration],,0,)</f>
        <v>0</v>
      </c>
      <c r="G32" s="3">
        <f>_xlfn.XLOOKUP($D32,Tab_Def_Processes[Process_Name],Tab_Def_Processes[Stock_Configuration],,0,)</f>
        <v>0</v>
      </c>
      <c r="H32" s="3">
        <f>_xlfn.XLOOKUP(Tab_FOMP[[#This Row],[Process_Name]],Tab_Def_Processes[Process_Name],Tab_Def_Processes[Outflow_count],,0,)</f>
        <v>0</v>
      </c>
      <c r="I32" s="3" t="str">
        <f>"P"&amp;Tab_FOMP[[#This Row],[Process_ID]]&amp;"_"&amp;Tab_FOMP[[#This Row],[FOMP_Parameter_type]]</f>
        <v>P01_</v>
      </c>
      <c r="J32" s="23"/>
      <c r="K32" s="4"/>
      <c r="L32" s="10"/>
      <c r="M32" s="10"/>
    </row>
    <row r="33" spans="1:13" x14ac:dyDescent="0.25">
      <c r="A33" s="27" t="b">
        <v>0</v>
      </c>
      <c r="B33" s="3">
        <f t="shared" si="0"/>
        <v>32</v>
      </c>
      <c r="C33" s="3" t="str">
        <f>_xlfn.XLOOKUP($D33,Tab_Def_Processes[Process_Name],Tab_Def_Processes[Process_ID],,0,)</f>
        <v>01</v>
      </c>
      <c r="D33" s="23"/>
      <c r="E33" s="3">
        <f>_xlfn.XLOOKUP($D33,Tab_Def_Processes[Process_Name],Tab_Def_Processes[Process_Logic],,0,)</f>
        <v>0</v>
      </c>
      <c r="F33" s="3">
        <f>_xlfn.XLOOKUP($D33,Tab_Def_Processes[Process_Name],Tab_Def_Processes[TC_Configuration],,0,)</f>
        <v>0</v>
      </c>
      <c r="G33" s="3">
        <f>_xlfn.XLOOKUP($D33,Tab_Def_Processes[Process_Name],Tab_Def_Processes[Stock_Configuration],,0,)</f>
        <v>0</v>
      </c>
      <c r="H33" s="3">
        <f>_xlfn.XLOOKUP(Tab_FOMP[[#This Row],[Process_Name]],Tab_Def_Processes[Process_Name],Tab_Def_Processes[Outflow_count],,0,)</f>
        <v>0</v>
      </c>
      <c r="I33" s="3" t="str">
        <f>"P"&amp;Tab_FOMP[[#This Row],[Process_ID]]&amp;"_"&amp;Tab_FOMP[[#This Row],[FOMP_Parameter_type]]</f>
        <v>P01_</v>
      </c>
      <c r="J33" s="23"/>
      <c r="K33" s="4"/>
      <c r="L33" s="10"/>
      <c r="M33" s="10"/>
    </row>
    <row r="34" spans="1:13" x14ac:dyDescent="0.25">
      <c r="A34" s="27" t="b">
        <v>0</v>
      </c>
      <c r="B34" s="3">
        <f t="shared" si="0"/>
        <v>33</v>
      </c>
      <c r="C34" s="3" t="str">
        <f>_xlfn.XLOOKUP($D34,Tab_Def_Processes[Process_Name],Tab_Def_Processes[Process_ID],,0,)</f>
        <v>01</v>
      </c>
      <c r="D34" s="23"/>
      <c r="E34" s="3">
        <f>_xlfn.XLOOKUP($D34,Tab_Def_Processes[Process_Name],Tab_Def_Processes[Process_Logic],,0,)</f>
        <v>0</v>
      </c>
      <c r="F34" s="3">
        <f>_xlfn.XLOOKUP($D34,Tab_Def_Processes[Process_Name],Tab_Def_Processes[TC_Configuration],,0,)</f>
        <v>0</v>
      </c>
      <c r="G34" s="3">
        <f>_xlfn.XLOOKUP($D34,Tab_Def_Processes[Process_Name],Tab_Def_Processes[Stock_Configuration],,0,)</f>
        <v>0</v>
      </c>
      <c r="H34" s="3">
        <f>_xlfn.XLOOKUP(Tab_FOMP[[#This Row],[Process_Name]],Tab_Def_Processes[Process_Name],Tab_Def_Processes[Outflow_count],,0,)</f>
        <v>0</v>
      </c>
      <c r="I34" s="3" t="str">
        <f>"P"&amp;Tab_FOMP[[#This Row],[Process_ID]]&amp;"_"&amp;Tab_FOMP[[#This Row],[FOMP_Parameter_type]]</f>
        <v>P01_</v>
      </c>
      <c r="J34" s="23"/>
      <c r="K34" s="4"/>
      <c r="L34" s="10"/>
      <c r="M34" s="10"/>
    </row>
    <row r="35" spans="1:13" x14ac:dyDescent="0.25">
      <c r="A35" s="27" t="b">
        <v>0</v>
      </c>
      <c r="B35" s="3">
        <f t="shared" si="0"/>
        <v>34</v>
      </c>
      <c r="C35" s="3" t="str">
        <f>_xlfn.XLOOKUP($D35,Tab_Def_Processes[Process_Name],Tab_Def_Processes[Process_ID],,0,)</f>
        <v>01</v>
      </c>
      <c r="D35" s="23"/>
      <c r="E35" s="3">
        <f>_xlfn.XLOOKUP($D35,Tab_Def_Processes[Process_Name],Tab_Def_Processes[Process_Logic],,0,)</f>
        <v>0</v>
      </c>
      <c r="F35" s="3">
        <f>_xlfn.XLOOKUP($D35,Tab_Def_Processes[Process_Name],Tab_Def_Processes[TC_Configuration],,0,)</f>
        <v>0</v>
      </c>
      <c r="G35" s="3">
        <f>_xlfn.XLOOKUP($D35,Tab_Def_Processes[Process_Name],Tab_Def_Processes[Stock_Configuration],,0,)</f>
        <v>0</v>
      </c>
      <c r="H35" s="3">
        <f>_xlfn.XLOOKUP(Tab_FOMP[[#This Row],[Process_Name]],Tab_Def_Processes[Process_Name],Tab_Def_Processes[Outflow_count],,0,)</f>
        <v>0</v>
      </c>
      <c r="I35" s="3" t="str">
        <f>"P"&amp;Tab_FOMP[[#This Row],[Process_ID]]&amp;"_"&amp;Tab_FOMP[[#This Row],[FOMP_Parameter_type]]</f>
        <v>P01_</v>
      </c>
      <c r="J35" s="23"/>
      <c r="K35" s="4"/>
      <c r="L35" s="10"/>
      <c r="M35" s="10"/>
    </row>
    <row r="36" spans="1:13" x14ac:dyDescent="0.25">
      <c r="A36" s="27" t="b">
        <v>0</v>
      </c>
      <c r="B36" s="3">
        <f t="shared" si="0"/>
        <v>35</v>
      </c>
      <c r="C36" s="3" t="str">
        <f>_xlfn.XLOOKUP($D36,Tab_Def_Processes[Process_Name],Tab_Def_Processes[Process_ID],,0,)</f>
        <v>01</v>
      </c>
      <c r="D36" s="23"/>
      <c r="E36" s="3">
        <f>_xlfn.XLOOKUP($D36,Tab_Def_Processes[Process_Name],Tab_Def_Processes[Process_Logic],,0,)</f>
        <v>0</v>
      </c>
      <c r="F36" s="3">
        <f>_xlfn.XLOOKUP($D36,Tab_Def_Processes[Process_Name],Tab_Def_Processes[TC_Configuration],,0,)</f>
        <v>0</v>
      </c>
      <c r="G36" s="3">
        <f>_xlfn.XLOOKUP($D36,Tab_Def_Processes[Process_Name],Tab_Def_Processes[Stock_Configuration],,0,)</f>
        <v>0</v>
      </c>
      <c r="H36" s="3">
        <f>_xlfn.XLOOKUP(Tab_FOMP[[#This Row],[Process_Name]],Tab_Def_Processes[Process_Name],Tab_Def_Processes[Outflow_count],,0,)</f>
        <v>0</v>
      </c>
      <c r="I36" s="3" t="str">
        <f>"P"&amp;Tab_FOMP[[#This Row],[Process_ID]]&amp;"_"&amp;Tab_FOMP[[#This Row],[FOMP_Parameter_type]]</f>
        <v>P01_</v>
      </c>
      <c r="J36" s="23"/>
      <c r="K36" s="4"/>
      <c r="L36" s="10"/>
      <c r="M36" s="10"/>
    </row>
    <row r="37" spans="1:13" x14ac:dyDescent="0.25">
      <c r="A37" s="27" t="b">
        <v>0</v>
      </c>
      <c r="B37" s="3">
        <f t="shared" si="0"/>
        <v>36</v>
      </c>
      <c r="C37" s="3" t="str">
        <f>_xlfn.XLOOKUP($D37,Tab_Def_Processes[Process_Name],Tab_Def_Processes[Process_ID],,0,)</f>
        <v>01</v>
      </c>
      <c r="D37" s="23"/>
      <c r="E37" s="3">
        <f>_xlfn.XLOOKUP($D37,Tab_Def_Processes[Process_Name],Tab_Def_Processes[Process_Logic],,0,)</f>
        <v>0</v>
      </c>
      <c r="F37" s="3">
        <f>_xlfn.XLOOKUP($D37,Tab_Def_Processes[Process_Name],Tab_Def_Processes[TC_Configuration],,0,)</f>
        <v>0</v>
      </c>
      <c r="G37" s="3">
        <f>_xlfn.XLOOKUP($D37,Tab_Def_Processes[Process_Name],Tab_Def_Processes[Stock_Configuration],,0,)</f>
        <v>0</v>
      </c>
      <c r="H37" s="3">
        <f>_xlfn.XLOOKUP(Tab_FOMP[[#This Row],[Process_Name]],Tab_Def_Processes[Process_Name],Tab_Def_Processes[Outflow_count],,0,)</f>
        <v>0</v>
      </c>
      <c r="I37" s="3" t="str">
        <f>"P"&amp;Tab_FOMP[[#This Row],[Process_ID]]&amp;"_"&amp;Tab_FOMP[[#This Row],[FOMP_Parameter_type]]</f>
        <v>P01_</v>
      </c>
      <c r="J37" s="23"/>
      <c r="K37" s="4"/>
      <c r="L37" s="10"/>
      <c r="M37" s="10"/>
    </row>
    <row r="38" spans="1:13" x14ac:dyDescent="0.25">
      <c r="A38" s="27" t="b">
        <v>0</v>
      </c>
      <c r="B38" s="3">
        <f t="shared" si="0"/>
        <v>37</v>
      </c>
      <c r="C38" s="3" t="str">
        <f>_xlfn.XLOOKUP($D38,Tab_Def_Processes[Process_Name],Tab_Def_Processes[Process_ID],,0,)</f>
        <v>01</v>
      </c>
      <c r="D38" s="23"/>
      <c r="E38" s="3">
        <f>_xlfn.XLOOKUP($D38,Tab_Def_Processes[Process_Name],Tab_Def_Processes[Process_Logic],,0,)</f>
        <v>0</v>
      </c>
      <c r="F38" s="3">
        <f>_xlfn.XLOOKUP($D38,Tab_Def_Processes[Process_Name],Tab_Def_Processes[TC_Configuration],,0,)</f>
        <v>0</v>
      </c>
      <c r="G38" s="3">
        <f>_xlfn.XLOOKUP($D38,Tab_Def_Processes[Process_Name],Tab_Def_Processes[Stock_Configuration],,0,)</f>
        <v>0</v>
      </c>
      <c r="H38" s="3">
        <f>_xlfn.XLOOKUP(Tab_FOMP[[#This Row],[Process_Name]],Tab_Def_Processes[Process_Name],Tab_Def_Processes[Outflow_count],,0,)</f>
        <v>0</v>
      </c>
      <c r="I38" s="3" t="str">
        <f>"P"&amp;Tab_FOMP[[#This Row],[Process_ID]]&amp;"_"&amp;Tab_FOMP[[#This Row],[FOMP_Parameter_type]]</f>
        <v>P01_</v>
      </c>
      <c r="J38" s="23"/>
      <c r="K38" s="4"/>
      <c r="L38" s="10"/>
      <c r="M38" s="10"/>
    </row>
    <row r="39" spans="1:13" x14ac:dyDescent="0.25">
      <c r="A39" s="27" t="b">
        <v>0</v>
      </c>
      <c r="B39" s="3">
        <f t="shared" si="0"/>
        <v>38</v>
      </c>
      <c r="C39" s="3" t="str">
        <f>_xlfn.XLOOKUP($D39,Tab_Def_Processes[Process_Name],Tab_Def_Processes[Process_ID],,0,)</f>
        <v>01</v>
      </c>
      <c r="D39" s="23"/>
      <c r="E39" s="3">
        <f>_xlfn.XLOOKUP($D39,Tab_Def_Processes[Process_Name],Tab_Def_Processes[Process_Logic],,0,)</f>
        <v>0</v>
      </c>
      <c r="F39" s="3">
        <f>_xlfn.XLOOKUP($D39,Tab_Def_Processes[Process_Name],Tab_Def_Processes[TC_Configuration],,0,)</f>
        <v>0</v>
      </c>
      <c r="G39" s="3">
        <f>_xlfn.XLOOKUP($D39,Tab_Def_Processes[Process_Name],Tab_Def_Processes[Stock_Configuration],,0,)</f>
        <v>0</v>
      </c>
      <c r="H39" s="3">
        <f>_xlfn.XLOOKUP(Tab_FOMP[[#This Row],[Process_Name]],Tab_Def_Processes[Process_Name],Tab_Def_Processes[Outflow_count],,0,)</f>
        <v>0</v>
      </c>
      <c r="I39" s="3" t="str">
        <f>"P"&amp;Tab_FOMP[[#This Row],[Process_ID]]&amp;"_"&amp;Tab_FOMP[[#This Row],[FOMP_Parameter_type]]</f>
        <v>P01_</v>
      </c>
      <c r="J39" s="23"/>
      <c r="K39" s="4"/>
      <c r="L39" s="10"/>
      <c r="M39" s="10"/>
    </row>
    <row r="40" spans="1:13" x14ac:dyDescent="0.25">
      <c r="A40" s="27" t="b">
        <v>0</v>
      </c>
      <c r="B40" s="3">
        <f t="shared" si="0"/>
        <v>39</v>
      </c>
      <c r="C40" s="3" t="str">
        <f>_xlfn.XLOOKUP($D40,Tab_Def_Processes[Process_Name],Tab_Def_Processes[Process_ID],,0,)</f>
        <v>01</v>
      </c>
      <c r="D40" s="23"/>
      <c r="E40" s="3">
        <f>_xlfn.XLOOKUP($D40,Tab_Def_Processes[Process_Name],Tab_Def_Processes[Process_Logic],,0,)</f>
        <v>0</v>
      </c>
      <c r="F40" s="3">
        <f>_xlfn.XLOOKUP($D40,Tab_Def_Processes[Process_Name],Tab_Def_Processes[TC_Configuration],,0,)</f>
        <v>0</v>
      </c>
      <c r="G40" s="3">
        <f>_xlfn.XLOOKUP($D40,Tab_Def_Processes[Process_Name],Tab_Def_Processes[Stock_Configuration],,0,)</f>
        <v>0</v>
      </c>
      <c r="H40" s="3">
        <f>_xlfn.XLOOKUP(Tab_FOMP[[#This Row],[Process_Name]],Tab_Def_Processes[Process_Name],Tab_Def_Processes[Outflow_count],,0,)</f>
        <v>0</v>
      </c>
      <c r="I40" s="3" t="str">
        <f>"P"&amp;Tab_FOMP[[#This Row],[Process_ID]]&amp;"_"&amp;Tab_FOMP[[#This Row],[FOMP_Parameter_type]]</f>
        <v>P01_</v>
      </c>
      <c r="J40" s="23"/>
      <c r="K40" s="4"/>
      <c r="L40" s="10"/>
      <c r="M40" s="10"/>
    </row>
    <row r="41" spans="1:13" x14ac:dyDescent="0.25">
      <c r="A41" s="27" t="b">
        <v>0</v>
      </c>
      <c r="B41" s="21">
        <f t="shared" si="0"/>
        <v>40</v>
      </c>
      <c r="C41" s="21" t="str">
        <f>_xlfn.XLOOKUP($D41,Tab_Def_Processes[Process_Name],Tab_Def_Processes[Process_ID],,0,)</f>
        <v>01</v>
      </c>
      <c r="D41" s="23"/>
      <c r="E41" s="3">
        <f>_xlfn.XLOOKUP($D41,Tab_Def_Processes[Process_Name],Tab_Def_Processes[Process_Logic],,0,)</f>
        <v>0</v>
      </c>
      <c r="F41" s="21">
        <f>_xlfn.XLOOKUP($D41,Tab_Def_Processes[Process_Name],Tab_Def_Processes[TC_Configuration],,0,)</f>
        <v>0</v>
      </c>
      <c r="G41" s="21">
        <f>_xlfn.XLOOKUP($D41,Tab_Def_Processes[Process_Name],Tab_Def_Processes[Stock_Configuration],,0,)</f>
        <v>0</v>
      </c>
      <c r="H41" s="3">
        <f>_xlfn.XLOOKUP(Tab_FOMP[[#This Row],[Process_Name]],Tab_Def_Processes[Process_Name],Tab_Def_Processes[Outflow_count],,0,)</f>
        <v>0</v>
      </c>
      <c r="I41" s="3" t="str">
        <f>"P"&amp;Tab_FOMP[[#This Row],[Process_ID]]&amp;"_"&amp;Tab_FOMP[[#This Row],[FOMP_Parameter_type]]</f>
        <v>P01_</v>
      </c>
      <c r="J41" s="23"/>
      <c r="K41" s="4"/>
      <c r="L41" s="10"/>
      <c r="M41" s="10"/>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80E0FDD6-880C-4ADF-ADDC-B0776AB742AA}">
          <x14:formula1>
            <xm:f>'7_2_Codelists'!$B$111:$B$118</xm:f>
          </x14:formula1>
          <xm:sqref>J2:J41</xm:sqref>
        </x14:dataValidation>
        <x14:dataValidation type="list" allowBlank="1" showInputMessage="1" showErrorMessage="1" promptTitle="Definition of Process Name" prompt="Enter the name of the Process Name" xr:uid="{C70D21EE-8C92-4983-8447-38D025C27B3D}">
          <x14:formula1>
            <xm:f>'2_1_Definition_Processes'!$D$2:$D$46</xm:f>
          </x14:formula1>
          <xm:sqref>D2:D41</xm:sqref>
        </x14:dataValidation>
        <x14:dataValidation type="list" allowBlank="1" showInputMessage="1" showErrorMessage="1" xr:uid="{0297F061-26FC-4195-B29E-26287AB596D0}">
          <x14:formula1>
            <xm:f>'6_1_Reference_Manager'!$C$2:$C$49</xm:f>
          </x14:formula1>
          <xm:sqref>M2:M41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T13"/>
  <sheetViews>
    <sheetView topLeftCell="E1" zoomScale="130" zoomScaleNormal="130" workbookViewId="0">
      <selection activeCell="R21" sqref="R21"/>
    </sheetView>
  </sheetViews>
  <sheetFormatPr defaultRowHeight="15" x14ac:dyDescent="0.25"/>
  <cols>
    <col min="1" max="1" width="6.28515625" customWidth="1"/>
    <col min="2" max="3" width="25" customWidth="1"/>
    <col min="4" max="4" width="39.28515625" customWidth="1"/>
    <col min="5" max="5" width="17.28515625" customWidth="1"/>
    <col min="7" max="7" width="13.85546875" customWidth="1"/>
    <col min="10" max="10" width="9.140625" customWidth="1"/>
    <col min="11" max="11" width="12.28515625" customWidth="1"/>
    <col min="12" max="12" width="11.140625" customWidth="1"/>
    <col min="15" max="15" width="25" customWidth="1"/>
    <col min="16" max="16" width="27.5703125" customWidth="1"/>
    <col min="17" max="17" width="22.85546875" customWidth="1"/>
    <col min="18" max="18" width="26.28515625" customWidth="1"/>
    <col min="19" max="19" width="21.42578125" customWidth="1"/>
    <col min="20" max="20" width="25.42578125" customWidth="1"/>
  </cols>
  <sheetData>
    <row r="1" spans="1:20" x14ac:dyDescent="0.25">
      <c r="A1" s="26" t="s">
        <v>4</v>
      </c>
      <c r="B1" s="26" t="s">
        <v>242</v>
      </c>
      <c r="C1" s="26" t="s">
        <v>77</v>
      </c>
      <c r="D1" s="26" t="s">
        <v>70</v>
      </c>
      <c r="E1" s="26" t="s">
        <v>249</v>
      </c>
      <c r="F1" s="26" t="s">
        <v>71</v>
      </c>
      <c r="G1" s="26" t="s">
        <v>72</v>
      </c>
      <c r="H1" s="26" t="s">
        <v>73</v>
      </c>
      <c r="I1" s="26" t="s">
        <v>74</v>
      </c>
      <c r="J1" s="26" t="s">
        <v>75</v>
      </c>
      <c r="K1" s="26" t="s">
        <v>7</v>
      </c>
      <c r="L1" s="26" t="s">
        <v>492</v>
      </c>
      <c r="N1" s="112" t="s">
        <v>597</v>
      </c>
      <c r="O1" s="112" t="s">
        <v>249</v>
      </c>
      <c r="P1" s="112" t="s">
        <v>70</v>
      </c>
      <c r="Q1" s="112" t="s">
        <v>635</v>
      </c>
      <c r="R1" s="112" t="s">
        <v>636</v>
      </c>
      <c r="S1" s="112" t="s">
        <v>1</v>
      </c>
      <c r="T1" s="112" t="s">
        <v>637</v>
      </c>
    </row>
    <row r="2" spans="1:20" x14ac:dyDescent="0.25">
      <c r="A2" s="3">
        <f>ROW()-1</f>
        <v>1</v>
      </c>
      <c r="B2" s="23"/>
      <c r="C2" s="23"/>
      <c r="D2" s="23"/>
      <c r="E2" s="23"/>
      <c r="F2" s="4"/>
      <c r="G2" s="4"/>
      <c r="H2" s="4"/>
      <c r="I2" s="4"/>
      <c r="J2" s="4"/>
      <c r="K2" s="10"/>
      <c r="L2" s="10"/>
      <c r="N2" s="113">
        <v>1</v>
      </c>
      <c r="O2" s="113" t="s">
        <v>244</v>
      </c>
      <c r="P2" s="113" t="s">
        <v>638</v>
      </c>
      <c r="Q2" s="113" t="s">
        <v>605</v>
      </c>
      <c r="R2" s="113">
        <v>10</v>
      </c>
      <c r="S2" s="113" t="s">
        <v>639</v>
      </c>
      <c r="T2" s="113" t="s">
        <v>640</v>
      </c>
    </row>
    <row r="3" spans="1:20" x14ac:dyDescent="0.25">
      <c r="A3" s="3">
        <f t="shared" ref="A3:A13" si="0">ROW()-1</f>
        <v>2</v>
      </c>
      <c r="B3" s="23"/>
      <c r="C3" s="23"/>
      <c r="D3" s="23"/>
      <c r="E3" s="23"/>
      <c r="F3" s="4"/>
      <c r="G3" s="4"/>
      <c r="H3" s="4"/>
      <c r="I3" s="4"/>
      <c r="J3" s="4"/>
      <c r="K3" s="10"/>
      <c r="L3" s="10"/>
      <c r="N3" s="113"/>
      <c r="O3" s="113"/>
      <c r="P3" s="113" t="s">
        <v>641</v>
      </c>
      <c r="Q3" s="113" t="s">
        <v>605</v>
      </c>
      <c r="R3" s="113">
        <v>30</v>
      </c>
      <c r="S3" s="113"/>
      <c r="T3" s="113"/>
    </row>
    <row r="4" spans="1:20" x14ac:dyDescent="0.25">
      <c r="A4" s="3">
        <f t="shared" si="0"/>
        <v>3</v>
      </c>
      <c r="B4" s="23"/>
      <c r="C4" s="23"/>
      <c r="D4" s="23"/>
      <c r="E4" s="23"/>
      <c r="F4" s="4"/>
      <c r="G4" s="4"/>
      <c r="H4" s="4"/>
      <c r="I4" s="4"/>
      <c r="J4" s="4"/>
      <c r="K4" s="10"/>
      <c r="L4" s="10"/>
      <c r="N4" s="113">
        <v>2</v>
      </c>
      <c r="O4" s="113" t="s">
        <v>246</v>
      </c>
      <c r="P4" s="113" t="s">
        <v>638</v>
      </c>
      <c r="Q4" s="113" t="s">
        <v>605</v>
      </c>
      <c r="R4" s="113">
        <v>10</v>
      </c>
      <c r="S4" s="113" t="s">
        <v>642</v>
      </c>
      <c r="T4" s="113" t="s">
        <v>643</v>
      </c>
    </row>
    <row r="5" spans="1:20" x14ac:dyDescent="0.25">
      <c r="A5" s="3">
        <f t="shared" si="0"/>
        <v>4</v>
      </c>
      <c r="B5" s="23"/>
      <c r="C5" s="23"/>
      <c r="D5" s="23"/>
      <c r="E5" s="23"/>
      <c r="F5" s="4"/>
      <c r="G5" s="4"/>
      <c r="H5" s="4"/>
      <c r="I5" s="4"/>
      <c r="J5" s="4"/>
      <c r="K5" s="10"/>
      <c r="L5" s="10"/>
      <c r="N5" s="113"/>
      <c r="O5" s="113"/>
      <c r="P5" s="113" t="s">
        <v>641</v>
      </c>
      <c r="Q5" s="113" t="s">
        <v>605</v>
      </c>
      <c r="R5" s="113">
        <v>25</v>
      </c>
      <c r="S5" s="113"/>
      <c r="T5" s="113"/>
    </row>
    <row r="6" spans="1:20" x14ac:dyDescent="0.25">
      <c r="A6" s="3">
        <f t="shared" si="0"/>
        <v>5</v>
      </c>
      <c r="B6" s="23"/>
      <c r="C6" s="23"/>
      <c r="D6" s="23"/>
      <c r="E6" s="23"/>
      <c r="F6" s="4"/>
      <c r="G6" s="4"/>
      <c r="H6" s="4"/>
      <c r="I6" s="4"/>
      <c r="J6" s="4"/>
      <c r="K6" s="10"/>
      <c r="L6" s="10"/>
      <c r="N6" s="113"/>
      <c r="O6" s="113"/>
      <c r="P6" s="113" t="s">
        <v>644</v>
      </c>
      <c r="Q6" s="113" t="s">
        <v>605</v>
      </c>
      <c r="R6" s="113">
        <v>15</v>
      </c>
      <c r="S6" s="113"/>
      <c r="T6" s="113"/>
    </row>
    <row r="7" spans="1:20" x14ac:dyDescent="0.25">
      <c r="A7" s="3">
        <f t="shared" si="0"/>
        <v>6</v>
      </c>
      <c r="B7" s="23"/>
      <c r="C7" s="23"/>
      <c r="D7" s="23"/>
      <c r="E7" s="23"/>
      <c r="F7" s="4"/>
      <c r="G7" s="4"/>
      <c r="H7" s="4"/>
      <c r="I7" s="4"/>
      <c r="J7" s="4"/>
      <c r="K7" s="10"/>
      <c r="L7" s="10"/>
      <c r="N7" s="113">
        <v>3</v>
      </c>
      <c r="O7" s="113" t="s">
        <v>595</v>
      </c>
      <c r="P7" s="113" t="s">
        <v>645</v>
      </c>
      <c r="Q7" s="113" t="s">
        <v>605</v>
      </c>
      <c r="R7" s="113">
        <v>100</v>
      </c>
      <c r="S7" s="113" t="s">
        <v>646</v>
      </c>
      <c r="T7" s="113" t="s">
        <v>647</v>
      </c>
    </row>
    <row r="8" spans="1:20" x14ac:dyDescent="0.25">
      <c r="A8" s="3">
        <f t="shared" si="0"/>
        <v>7</v>
      </c>
      <c r="B8" s="23"/>
      <c r="C8" s="23"/>
      <c r="D8" s="23"/>
      <c r="E8" s="23"/>
      <c r="F8" s="4"/>
      <c r="G8" s="4"/>
      <c r="H8" s="4"/>
      <c r="I8" s="4"/>
      <c r="J8" s="4"/>
      <c r="K8" s="10"/>
      <c r="L8" s="10"/>
      <c r="N8" s="113"/>
      <c r="O8" s="113"/>
      <c r="P8" s="113" t="s">
        <v>72</v>
      </c>
      <c r="Q8" s="113" t="s">
        <v>605</v>
      </c>
      <c r="R8" s="113">
        <v>10</v>
      </c>
      <c r="S8" s="113"/>
      <c r="T8" s="113"/>
    </row>
    <row r="9" spans="1:20" x14ac:dyDescent="0.25">
      <c r="A9" s="3">
        <f t="shared" si="0"/>
        <v>8</v>
      </c>
      <c r="B9" s="23"/>
      <c r="C9" s="23"/>
      <c r="D9" s="23"/>
      <c r="E9" s="23"/>
      <c r="F9" s="4"/>
      <c r="G9" s="4"/>
      <c r="H9" s="4"/>
      <c r="I9" s="4"/>
      <c r="J9" s="4"/>
      <c r="K9" s="10"/>
      <c r="L9" s="10"/>
      <c r="N9" s="113">
        <v>4</v>
      </c>
      <c r="O9" s="113" t="s">
        <v>596</v>
      </c>
      <c r="P9" s="113" t="s">
        <v>645</v>
      </c>
      <c r="Q9" s="113" t="s">
        <v>605</v>
      </c>
      <c r="R9" s="113">
        <v>100</v>
      </c>
      <c r="S9" s="113" t="s">
        <v>648</v>
      </c>
      <c r="T9" s="113" t="s">
        <v>649</v>
      </c>
    </row>
    <row r="10" spans="1:20" x14ac:dyDescent="0.25">
      <c r="A10" s="3">
        <f>ROW()-1</f>
        <v>9</v>
      </c>
      <c r="B10" s="23"/>
      <c r="C10" s="23"/>
      <c r="D10" s="23"/>
      <c r="E10" s="23"/>
      <c r="F10" s="4"/>
      <c r="G10" s="4"/>
      <c r="H10" s="4"/>
      <c r="I10" s="4"/>
      <c r="J10" s="4"/>
      <c r="K10" s="10"/>
      <c r="L10" s="10"/>
      <c r="N10" s="113"/>
      <c r="O10" s="113"/>
      <c r="P10" s="113" t="s">
        <v>72</v>
      </c>
      <c r="Q10" s="113" t="s">
        <v>605</v>
      </c>
      <c r="R10" s="113">
        <v>20</v>
      </c>
      <c r="S10" s="113"/>
      <c r="T10" s="113"/>
    </row>
    <row r="11" spans="1:20" x14ac:dyDescent="0.25">
      <c r="A11" s="3">
        <f t="shared" si="0"/>
        <v>10</v>
      </c>
      <c r="B11" s="23"/>
      <c r="C11" s="23"/>
      <c r="D11" s="23"/>
      <c r="E11" s="23"/>
      <c r="F11" s="4"/>
      <c r="G11" s="4"/>
      <c r="H11" s="4"/>
      <c r="I11" s="4"/>
      <c r="J11" s="4"/>
      <c r="K11" s="10"/>
      <c r="L11" s="10"/>
    </row>
    <row r="12" spans="1:20" x14ac:dyDescent="0.25">
      <c r="A12" s="3">
        <f t="shared" si="0"/>
        <v>11</v>
      </c>
      <c r="B12" s="23"/>
      <c r="C12" s="23"/>
      <c r="D12" s="23"/>
      <c r="E12" s="23"/>
      <c r="F12" s="4"/>
      <c r="G12" s="4"/>
      <c r="H12" s="4"/>
      <c r="I12" s="4"/>
      <c r="J12" s="4"/>
      <c r="K12" s="10"/>
      <c r="L12" s="10"/>
    </row>
    <row r="13" spans="1:20" x14ac:dyDescent="0.25">
      <c r="A13" s="3">
        <f t="shared" si="0"/>
        <v>12</v>
      </c>
      <c r="B13" s="23"/>
      <c r="C13" s="23"/>
      <c r="D13" s="23"/>
      <c r="E13" s="23"/>
      <c r="F13" s="4"/>
      <c r="G13" s="4"/>
      <c r="H13" s="4"/>
      <c r="I13" s="4"/>
      <c r="J13" s="4"/>
      <c r="K13" s="10"/>
      <c r="L13" s="10"/>
    </row>
  </sheetData>
  <dataConsolidate link="1"/>
  <phoneticPr fontId="2" type="noConversion"/>
  <dataValidations count="1">
    <dataValidation type="list" allowBlank="1" showInputMessage="1" showErrorMessage="1" sqref="C2:C13" xr:uid="{1D9DF2AF-2B88-4705-86CE-00D95118E4EA}">
      <formula1>INDIRECT(B2)</formula1>
    </dataValidation>
  </dataValidations>
  <pageMargins left="0.7" right="0.7" top="0.75" bottom="0.75" header="0.3" footer="0.3"/>
  <legacyDrawing r:id="rId1"/>
  <tableParts count="2">
    <tablePart r:id="rId2"/>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13172036-2BDC-4467-873C-43C1C0E7B172}">
          <x14:formula1>
            <xm:f>'7_2_Codelists'!$B$131:$B$134</xm:f>
          </x14:formula1>
          <xm:sqref>E2:E13</xm:sqref>
        </x14:dataValidation>
        <x14:dataValidation type="list" allowBlank="1" showInputMessage="1" showErrorMessage="1" xr:uid="{660B42E1-B76E-4FAC-9854-B285B5571AF6}">
          <x14:formula1>
            <xm:f>'7_2_Codelists'!$B$137:$B$152</xm:f>
          </x14:formula1>
          <xm:sqref>B2:B13</xm:sqref>
        </x14:dataValidation>
        <x14:dataValidation type="list" allowBlank="1" showInputMessage="1" showErrorMessage="1" xr:uid="{0D711A73-E151-461B-932C-43BAA6A9E2E9}">
          <x14:formula1>
            <xm:f>'6_1_Reference_Manager'!$C$2:$C$49</xm:f>
          </x14:formula1>
          <xm:sqref>L2:L13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K18"/>
  <sheetViews>
    <sheetView zoomScaleNormal="100" workbookViewId="0">
      <selection activeCell="D47" sqref="D47"/>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 min="11" max="11" width="16.140625" customWidth="1"/>
  </cols>
  <sheetData>
    <row r="1" spans="1:11" x14ac:dyDescent="0.25">
      <c r="A1" s="26" t="s">
        <v>4</v>
      </c>
      <c r="B1" s="26" t="s">
        <v>98</v>
      </c>
      <c r="C1" s="26" t="s">
        <v>241</v>
      </c>
      <c r="D1" s="26" t="s">
        <v>77</v>
      </c>
      <c r="E1" s="26" t="s">
        <v>70</v>
      </c>
      <c r="F1" s="26" t="s">
        <v>94</v>
      </c>
      <c r="G1" s="26" t="s">
        <v>78</v>
      </c>
      <c r="H1" s="26" t="s">
        <v>142</v>
      </c>
      <c r="I1" s="26" t="s">
        <v>143</v>
      </c>
      <c r="J1" s="26" t="s">
        <v>7</v>
      </c>
      <c r="K1" s="26" t="s">
        <v>568</v>
      </c>
    </row>
    <row r="2" spans="1:11" x14ac:dyDescent="0.25">
      <c r="A2" s="3">
        <f>ROW()-1</f>
        <v>1</v>
      </c>
      <c r="B2" s="23"/>
      <c r="C2" s="23"/>
      <c r="D2" s="23"/>
      <c r="E2" s="23"/>
      <c r="F2" s="23"/>
      <c r="G2" s="22"/>
      <c r="H2" s="4"/>
      <c r="I2" s="4"/>
      <c r="J2" s="10"/>
      <c r="K2" s="10"/>
    </row>
    <row r="3" spans="1:11" ht="12" customHeight="1" x14ac:dyDescent="0.25">
      <c r="A3" s="3">
        <f>ROW()-1</f>
        <v>2</v>
      </c>
      <c r="B3" s="23"/>
      <c r="C3" s="23"/>
      <c r="D3" s="23"/>
      <c r="E3" s="23"/>
      <c r="F3" s="23"/>
      <c r="G3" s="22"/>
      <c r="H3" s="4"/>
      <c r="I3" s="4"/>
      <c r="J3" s="10"/>
      <c r="K3" s="10"/>
    </row>
    <row r="4" spans="1:11" x14ac:dyDescent="0.25">
      <c r="A4" s="3">
        <f>ROW()-1</f>
        <v>3</v>
      </c>
      <c r="B4" s="23"/>
      <c r="C4" s="23"/>
      <c r="D4" s="23"/>
      <c r="E4" s="23"/>
      <c r="F4" s="23"/>
      <c r="G4" s="29"/>
      <c r="H4" s="4"/>
      <c r="I4" s="4"/>
      <c r="J4" s="10"/>
      <c r="K4" s="10"/>
    </row>
    <row r="5" spans="1:11" x14ac:dyDescent="0.25">
      <c r="A5" s="3">
        <f>ROW()-1</f>
        <v>4</v>
      </c>
      <c r="B5" s="23"/>
      <c r="C5" s="23"/>
      <c r="D5" s="23"/>
      <c r="E5" s="23"/>
      <c r="F5" s="23"/>
      <c r="G5" s="29"/>
      <c r="H5" s="4"/>
      <c r="I5" s="4"/>
      <c r="J5" s="10"/>
      <c r="K5" s="10"/>
    </row>
    <row r="6" spans="1:11" x14ac:dyDescent="0.25">
      <c r="A6" s="3">
        <f t="shared" ref="A6:A15" si="0">ROW()-1</f>
        <v>5</v>
      </c>
      <c r="B6" s="23"/>
      <c r="C6" s="23"/>
      <c r="D6" s="23"/>
      <c r="E6" s="23"/>
      <c r="F6" s="23"/>
      <c r="G6" s="29"/>
      <c r="H6" s="4"/>
      <c r="I6" s="4"/>
      <c r="J6" s="10"/>
      <c r="K6" s="10"/>
    </row>
    <row r="7" spans="1:11" x14ac:dyDescent="0.25">
      <c r="A7" s="3">
        <f t="shared" si="0"/>
        <v>6</v>
      </c>
      <c r="B7" s="23"/>
      <c r="C7" s="23"/>
      <c r="D7" s="23"/>
      <c r="E7" s="23"/>
      <c r="F7" s="23"/>
      <c r="G7" s="29"/>
      <c r="H7" s="4"/>
      <c r="I7" s="4"/>
      <c r="J7" s="10"/>
      <c r="K7" s="10"/>
    </row>
    <row r="8" spans="1:11" x14ac:dyDescent="0.25">
      <c r="A8" s="3">
        <f t="shared" si="0"/>
        <v>7</v>
      </c>
      <c r="B8" s="23"/>
      <c r="C8" s="23"/>
      <c r="D8" s="23"/>
      <c r="E8" s="23"/>
      <c r="F8" s="23"/>
      <c r="G8" s="29"/>
      <c r="H8" s="4"/>
      <c r="I8" s="4"/>
      <c r="J8" s="10"/>
      <c r="K8" s="10"/>
    </row>
    <row r="9" spans="1:11" x14ac:dyDescent="0.25">
      <c r="A9" s="3">
        <f t="shared" si="0"/>
        <v>8</v>
      </c>
      <c r="B9" s="23"/>
      <c r="C9" s="23"/>
      <c r="D9" s="23"/>
      <c r="E9" s="23"/>
      <c r="F9" s="23"/>
      <c r="G9" s="29"/>
      <c r="H9" s="4"/>
      <c r="I9" s="4"/>
      <c r="J9" s="10"/>
      <c r="K9" s="10"/>
    </row>
    <row r="10" spans="1:11" x14ac:dyDescent="0.25">
      <c r="A10" s="3">
        <f t="shared" si="0"/>
        <v>9</v>
      </c>
      <c r="B10" s="23"/>
      <c r="C10" s="23"/>
      <c r="D10" s="23"/>
      <c r="E10" s="23"/>
      <c r="F10" s="23"/>
      <c r="G10" s="29"/>
      <c r="H10" s="4"/>
      <c r="I10" s="4"/>
      <c r="J10" s="10"/>
      <c r="K10" s="10"/>
    </row>
    <row r="11" spans="1:11" x14ac:dyDescent="0.25">
      <c r="A11" s="3">
        <f t="shared" si="0"/>
        <v>10</v>
      </c>
      <c r="B11" s="23"/>
      <c r="C11" s="23"/>
      <c r="D11" s="23"/>
      <c r="E11" s="23"/>
      <c r="F11" s="23"/>
      <c r="G11" s="29"/>
      <c r="H11" s="4"/>
      <c r="I11" s="4"/>
      <c r="J11" s="10"/>
      <c r="K11" s="10"/>
    </row>
    <row r="12" spans="1:11" x14ac:dyDescent="0.25">
      <c r="A12" s="3">
        <f t="shared" si="0"/>
        <v>11</v>
      </c>
      <c r="B12" s="23"/>
      <c r="C12" s="23"/>
      <c r="D12" s="23"/>
      <c r="E12" s="23"/>
      <c r="F12" s="23"/>
      <c r="G12" s="29"/>
      <c r="H12" s="4"/>
      <c r="I12" s="4"/>
      <c r="J12" s="10"/>
      <c r="K12" s="10"/>
    </row>
    <row r="13" spans="1:11" x14ac:dyDescent="0.25">
      <c r="A13" s="3">
        <f t="shared" si="0"/>
        <v>12</v>
      </c>
      <c r="B13" s="23"/>
      <c r="C13" s="23"/>
      <c r="D13" s="23"/>
      <c r="E13" s="23"/>
      <c r="F13" s="23"/>
      <c r="G13" s="29"/>
      <c r="H13" s="4"/>
      <c r="I13" s="4"/>
      <c r="J13" s="10"/>
      <c r="K13" s="10"/>
    </row>
    <row r="14" spans="1:11" x14ac:dyDescent="0.25">
      <c r="A14" s="3">
        <f t="shared" si="0"/>
        <v>13</v>
      </c>
      <c r="B14" s="23"/>
      <c r="C14" s="23"/>
      <c r="D14" s="23"/>
      <c r="E14" s="23"/>
      <c r="F14" s="23"/>
      <c r="G14" s="29"/>
      <c r="H14" s="4"/>
      <c r="I14" s="22"/>
      <c r="J14" s="10"/>
      <c r="K14" s="10"/>
    </row>
    <row r="15" spans="1:11" x14ac:dyDescent="0.25">
      <c r="A15" s="3">
        <f t="shared" si="0"/>
        <v>14</v>
      </c>
      <c r="B15" s="23"/>
      <c r="C15" s="23"/>
      <c r="D15" s="23"/>
      <c r="E15" s="23"/>
      <c r="F15" s="23"/>
      <c r="G15" s="29"/>
      <c r="H15" s="4"/>
      <c r="I15" s="22"/>
      <c r="J15" s="10"/>
      <c r="K15" s="10"/>
    </row>
    <row r="16" spans="1:11" x14ac:dyDescent="0.25">
      <c r="A16" s="3">
        <f>ROW()-1</f>
        <v>15</v>
      </c>
      <c r="B16" s="23"/>
      <c r="C16" s="23"/>
      <c r="D16" s="23"/>
      <c r="E16" s="23"/>
      <c r="F16" s="23"/>
      <c r="G16" s="22"/>
      <c r="H16" s="22"/>
      <c r="I16" s="22"/>
      <c r="J16" s="10"/>
      <c r="K16" s="10"/>
    </row>
    <row r="17" spans="1:11" x14ac:dyDescent="0.25">
      <c r="A17" s="3">
        <f>ROW()-1</f>
        <v>16</v>
      </c>
      <c r="B17" s="23"/>
      <c r="C17" s="23"/>
      <c r="D17" s="23"/>
      <c r="E17" s="23"/>
      <c r="F17" s="23"/>
      <c r="G17" s="22"/>
      <c r="H17" s="22"/>
      <c r="I17" s="22"/>
      <c r="J17" s="10"/>
      <c r="K17" s="10"/>
    </row>
    <row r="18" spans="1:11" x14ac:dyDescent="0.25">
      <c r="A18" s="3">
        <f>ROW()-1</f>
        <v>17</v>
      </c>
      <c r="B18" s="23"/>
      <c r="C18" s="23"/>
      <c r="D18" s="23"/>
      <c r="E18" s="23"/>
      <c r="F18" s="23"/>
      <c r="G18" s="22"/>
      <c r="H18" s="22"/>
      <c r="I18" s="22"/>
      <c r="J18" s="10"/>
      <c r="K18" s="10"/>
    </row>
  </sheetData>
  <dataConsolidate link="1"/>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promptTitle="Definition of Scenario_Name" prompt="Enter appropriate value for Scenario_Name" xr:uid="{2D007875-6D6A-4E67-8BFB-0C5ECAFF26B7}">
          <x14:formula1>
            <xm:f>'0_Configuration'!$C$49:$C$52</xm:f>
          </x14:formula1>
          <xm:sqref>B2:B18</xm:sqref>
        </x14:dataValidation>
        <x14:dataValidation type="list" allowBlank="1" showInputMessage="1" showErrorMessage="1" xr:uid="{39A57ECD-3940-405F-A348-A630F2BDA173}">
          <x14:formula1>
            <xm:f>'7_2_Codelists'!$B$137:$B$152</xm:f>
          </x14:formula1>
          <xm:sqref>C2:C18</xm:sqref>
        </x14:dataValidation>
        <x14:dataValidation type="list" allowBlank="1" showInputMessage="1" showErrorMessage="1" promptTitle="Definition of Operation" prompt="Enter appropriate value for Operation" xr:uid="{835F8F07-04A4-41E6-95B7-30F3106D60D1}">
          <x14:formula1>
            <xm:f>'7_2_Codelists'!$B$124:$B$126</xm:f>
          </x14:formula1>
          <xm:sqref>F2:F18</xm:sqref>
        </x14:dataValidation>
        <x14:dataValidation type="list" allowBlank="1" showInputMessage="1" showErrorMessage="1" xr:uid="{9868CE1C-A63A-4ED6-8C9F-259B60864602}">
          <x14:formula1>
            <xm:f>'6_1_Reference_Manager'!$C$2:$C$49</xm:f>
          </x14:formula1>
          <xm:sqref>K2:K18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D0F4B-77FF-46EF-9CA9-E9306300878D}">
  <sheetPr codeName="Sheet11">
    <tabColor theme="2" tint="-9.9978637043366805E-2"/>
  </sheetPr>
  <dimension ref="A1:I49"/>
  <sheetViews>
    <sheetView workbookViewId="0">
      <selection activeCell="F39" sqref="F39"/>
    </sheetView>
  </sheetViews>
  <sheetFormatPr defaultRowHeight="15" x14ac:dyDescent="0.25"/>
  <cols>
    <col min="2" max="2" width="5.85546875" customWidth="1"/>
    <col min="3" max="3" width="23.5703125" customWidth="1"/>
    <col min="4" max="4" width="16.42578125" customWidth="1"/>
    <col min="5" max="5" width="15.140625" customWidth="1"/>
    <col min="6" max="6" width="12" customWidth="1"/>
    <col min="7" max="7" width="51.7109375" customWidth="1"/>
    <col min="8" max="8" width="26.5703125" customWidth="1"/>
    <col min="9" max="9" width="81.85546875" customWidth="1"/>
  </cols>
  <sheetData>
    <row r="1" spans="1:9" x14ac:dyDescent="0.25">
      <c r="A1" s="26" t="s">
        <v>13</v>
      </c>
      <c r="B1" s="26" t="s">
        <v>4</v>
      </c>
      <c r="C1" s="26" t="s">
        <v>443</v>
      </c>
      <c r="D1" s="26" t="s">
        <v>444</v>
      </c>
      <c r="E1" s="26" t="s">
        <v>445</v>
      </c>
      <c r="F1" s="26" t="s">
        <v>0</v>
      </c>
      <c r="G1" s="26" t="s">
        <v>446</v>
      </c>
      <c r="H1" s="26" t="s">
        <v>447</v>
      </c>
      <c r="I1" s="26" t="s">
        <v>478</v>
      </c>
    </row>
    <row r="2" spans="1:9" x14ac:dyDescent="0.25">
      <c r="A2" s="27" t="b">
        <v>0</v>
      </c>
      <c r="B2" s="3">
        <f>ROW()-1</f>
        <v>1</v>
      </c>
      <c r="C2" s="3" t="str">
        <f>IF(Table7[[#This Row],[Complete?]],"["&amp;Table7[[#This Row],[ID]]&amp;"]","not_complete")</f>
        <v>not_complete</v>
      </c>
      <c r="D2" s="23"/>
      <c r="E2" s="4"/>
      <c r="F2" s="4"/>
      <c r="G2" s="4"/>
      <c r="H2" s="4"/>
      <c r="I2" s="4"/>
    </row>
    <row r="3" spans="1:9" x14ac:dyDescent="0.25">
      <c r="A3" s="27" t="b">
        <v>0</v>
      </c>
      <c r="B3" s="3">
        <f t="shared" ref="B3:B49" si="0">ROW()-1</f>
        <v>2</v>
      </c>
      <c r="C3" s="3" t="str">
        <f>IF(Table7[[#This Row],[Complete?]],"["&amp;Table7[[#This Row],[ID]]&amp;"]","not_complete")</f>
        <v>not_complete</v>
      </c>
      <c r="D3" s="23"/>
      <c r="E3" s="4"/>
      <c r="F3" s="4"/>
      <c r="G3" s="4"/>
      <c r="H3" s="4"/>
      <c r="I3" s="4"/>
    </row>
    <row r="4" spans="1:9" x14ac:dyDescent="0.25">
      <c r="A4" s="27" t="b">
        <v>0</v>
      </c>
      <c r="B4" s="3">
        <f t="shared" si="0"/>
        <v>3</v>
      </c>
      <c r="C4" s="3" t="str">
        <f>IF(Table7[[#This Row],[Complete?]],"["&amp;Table7[[#This Row],[ID]]&amp;"]","not_complete")</f>
        <v>not_complete</v>
      </c>
      <c r="D4" s="23"/>
      <c r="E4" s="4"/>
      <c r="F4" s="4"/>
      <c r="G4" s="4"/>
      <c r="H4" s="4"/>
      <c r="I4" s="4"/>
    </row>
    <row r="5" spans="1:9" x14ac:dyDescent="0.25">
      <c r="A5" s="27" t="b">
        <v>0</v>
      </c>
      <c r="B5" s="3">
        <f t="shared" si="0"/>
        <v>4</v>
      </c>
      <c r="C5" s="3" t="str">
        <f>IF(Table7[[#This Row],[Complete?]],"["&amp;Table7[[#This Row],[ID]]&amp;"]","not_complete")</f>
        <v>not_complete</v>
      </c>
      <c r="D5" s="23"/>
      <c r="E5" s="4"/>
      <c r="F5" s="4"/>
      <c r="G5" s="4"/>
      <c r="H5" s="4"/>
      <c r="I5" s="4"/>
    </row>
    <row r="6" spans="1:9" x14ac:dyDescent="0.25">
      <c r="A6" s="27" t="b">
        <v>0</v>
      </c>
      <c r="B6" s="3">
        <f t="shared" si="0"/>
        <v>5</v>
      </c>
      <c r="C6" s="3" t="str">
        <f>IF(Table7[[#This Row],[Complete?]],"["&amp;Table7[[#This Row],[ID]]&amp;"]","not_complete")</f>
        <v>not_complete</v>
      </c>
      <c r="D6" s="23"/>
      <c r="E6" s="4"/>
      <c r="F6" s="4"/>
      <c r="G6" s="4"/>
      <c r="H6" s="4"/>
      <c r="I6" s="4"/>
    </row>
    <row r="7" spans="1:9" x14ac:dyDescent="0.25">
      <c r="A7" s="27" t="b">
        <v>0</v>
      </c>
      <c r="B7" s="3">
        <f t="shared" si="0"/>
        <v>6</v>
      </c>
      <c r="C7" s="3" t="str">
        <f>IF(Table7[[#This Row],[Complete?]],"["&amp;Table7[[#This Row],[ID]]&amp;"]","not_complete")</f>
        <v>not_complete</v>
      </c>
      <c r="D7" s="23"/>
      <c r="E7" s="4"/>
      <c r="F7" s="4"/>
      <c r="G7" s="4"/>
      <c r="H7" s="4"/>
      <c r="I7" s="4"/>
    </row>
    <row r="8" spans="1:9" x14ac:dyDescent="0.25">
      <c r="A8" s="27" t="b">
        <v>0</v>
      </c>
      <c r="B8" s="3">
        <f t="shared" si="0"/>
        <v>7</v>
      </c>
      <c r="C8" s="3" t="str">
        <f>IF(Table7[[#This Row],[Complete?]],"["&amp;Table7[[#This Row],[ID]]&amp;"]","not_complete")</f>
        <v>not_complete</v>
      </c>
      <c r="D8" s="23"/>
      <c r="E8" s="4"/>
      <c r="F8" s="4"/>
      <c r="G8" s="4"/>
      <c r="H8" s="4"/>
      <c r="I8" s="4"/>
    </row>
    <row r="9" spans="1:9" x14ac:dyDescent="0.25">
      <c r="A9" s="27" t="b">
        <v>0</v>
      </c>
      <c r="B9" s="3">
        <f t="shared" si="0"/>
        <v>8</v>
      </c>
      <c r="C9" s="3" t="str">
        <f>IF(Table7[[#This Row],[Complete?]],"["&amp;Table7[[#This Row],[ID]]&amp;"]","not_complete")</f>
        <v>not_complete</v>
      </c>
      <c r="D9" s="23"/>
      <c r="E9" s="4"/>
      <c r="F9" s="4"/>
      <c r="G9" s="4"/>
      <c r="H9" s="4"/>
      <c r="I9" s="4"/>
    </row>
    <row r="10" spans="1:9" x14ac:dyDescent="0.25">
      <c r="A10" s="27" t="b">
        <v>0</v>
      </c>
      <c r="B10" s="3">
        <f t="shared" si="0"/>
        <v>9</v>
      </c>
      <c r="C10" s="3" t="str">
        <f>IF(Table7[[#This Row],[Complete?]],"["&amp;Table7[[#This Row],[ID]]&amp;"]","not_complete")</f>
        <v>not_complete</v>
      </c>
      <c r="D10" s="23"/>
      <c r="E10" s="4"/>
      <c r="F10" s="4"/>
      <c r="G10" s="4"/>
      <c r="H10" s="4"/>
      <c r="I10" s="4"/>
    </row>
    <row r="11" spans="1:9" x14ac:dyDescent="0.25">
      <c r="A11" s="27" t="b">
        <v>0</v>
      </c>
      <c r="B11" s="3">
        <f t="shared" si="0"/>
        <v>10</v>
      </c>
      <c r="C11" s="3" t="str">
        <f>IF(Table7[[#This Row],[Complete?]],"["&amp;Table7[[#This Row],[ID]]&amp;"]","not_complete")</f>
        <v>not_complete</v>
      </c>
      <c r="D11" s="23"/>
      <c r="E11" s="4"/>
      <c r="F11" s="4"/>
      <c r="G11" s="4"/>
      <c r="H11" s="4"/>
      <c r="I11" s="4"/>
    </row>
    <row r="12" spans="1:9" x14ac:dyDescent="0.25">
      <c r="A12" s="27" t="b">
        <v>0</v>
      </c>
      <c r="B12" s="3">
        <f t="shared" si="0"/>
        <v>11</v>
      </c>
      <c r="C12" s="3" t="str">
        <f>IF(Table7[[#This Row],[Complete?]],"["&amp;Table7[[#This Row],[ID]]&amp;"]","not_complete")</f>
        <v>not_complete</v>
      </c>
      <c r="D12" s="23"/>
      <c r="E12" s="4"/>
      <c r="F12" s="4"/>
      <c r="G12" s="4"/>
      <c r="H12" s="4"/>
      <c r="I12" s="4"/>
    </row>
    <row r="13" spans="1:9" x14ac:dyDescent="0.25">
      <c r="A13" s="27" t="b">
        <v>0</v>
      </c>
      <c r="B13" s="3">
        <f t="shared" si="0"/>
        <v>12</v>
      </c>
      <c r="C13" s="3" t="str">
        <f>IF(Table7[[#This Row],[Complete?]],"["&amp;Table7[[#This Row],[ID]]&amp;"]","not_complete")</f>
        <v>not_complete</v>
      </c>
      <c r="D13" s="23"/>
      <c r="E13" s="4"/>
      <c r="F13" s="4"/>
      <c r="G13" s="4"/>
      <c r="H13" s="4"/>
      <c r="I13" s="4"/>
    </row>
    <row r="14" spans="1:9" x14ac:dyDescent="0.25">
      <c r="A14" s="27" t="b">
        <v>0</v>
      </c>
      <c r="B14" s="3">
        <f t="shared" si="0"/>
        <v>13</v>
      </c>
      <c r="C14" s="3" t="str">
        <f>IF(Table7[[#This Row],[Complete?]],"["&amp;Table7[[#This Row],[ID]]&amp;"]","not_complete")</f>
        <v>not_complete</v>
      </c>
      <c r="D14" s="23"/>
      <c r="E14" s="4"/>
      <c r="F14" s="4"/>
      <c r="G14" s="4"/>
      <c r="H14" s="4"/>
      <c r="I14" s="4"/>
    </row>
    <row r="15" spans="1:9" x14ac:dyDescent="0.25">
      <c r="A15" s="27" t="b">
        <v>0</v>
      </c>
      <c r="B15" s="3">
        <f t="shared" si="0"/>
        <v>14</v>
      </c>
      <c r="C15" s="3" t="str">
        <f>IF(Table7[[#This Row],[Complete?]],"["&amp;Table7[[#This Row],[ID]]&amp;"]","not_complete")</f>
        <v>not_complete</v>
      </c>
      <c r="D15" s="23"/>
      <c r="E15" s="4"/>
      <c r="F15" s="4"/>
      <c r="G15" s="4"/>
      <c r="H15" s="4"/>
      <c r="I15" s="4"/>
    </row>
    <row r="16" spans="1:9" x14ac:dyDescent="0.25">
      <c r="A16" s="27" t="b">
        <v>0</v>
      </c>
      <c r="B16" s="3">
        <f t="shared" si="0"/>
        <v>15</v>
      </c>
      <c r="C16" s="3" t="str">
        <f>IF(Table7[[#This Row],[Complete?]],"["&amp;Table7[[#This Row],[ID]]&amp;"]","not_complete")</f>
        <v>not_complete</v>
      </c>
      <c r="D16" s="23"/>
      <c r="E16" s="4"/>
      <c r="F16" s="4"/>
      <c r="G16" s="4"/>
      <c r="H16" s="4"/>
      <c r="I16" s="4"/>
    </row>
    <row r="17" spans="1:9" x14ac:dyDescent="0.25">
      <c r="A17" s="27" t="b">
        <v>0</v>
      </c>
      <c r="B17" s="3">
        <f t="shared" si="0"/>
        <v>16</v>
      </c>
      <c r="C17" s="3" t="str">
        <f>IF(Table7[[#This Row],[Complete?]],"["&amp;Table7[[#This Row],[ID]]&amp;"]","not_complete")</f>
        <v>not_complete</v>
      </c>
      <c r="D17" s="23"/>
      <c r="E17" s="4"/>
      <c r="F17" s="4"/>
      <c r="G17" s="4"/>
      <c r="H17" s="4"/>
      <c r="I17" s="4"/>
    </row>
    <row r="18" spans="1:9" x14ac:dyDescent="0.25">
      <c r="A18" s="27" t="b">
        <v>0</v>
      </c>
      <c r="B18" s="3">
        <f t="shared" si="0"/>
        <v>17</v>
      </c>
      <c r="C18" s="3" t="str">
        <f>IF(Table7[[#This Row],[Complete?]],"["&amp;Table7[[#This Row],[ID]]&amp;"]","not_complete")</f>
        <v>not_complete</v>
      </c>
      <c r="D18" s="23"/>
      <c r="E18" s="4"/>
      <c r="F18" s="4"/>
      <c r="G18" s="4"/>
      <c r="H18" s="4"/>
      <c r="I18" s="4"/>
    </row>
    <row r="19" spans="1:9" x14ac:dyDescent="0.25">
      <c r="A19" s="27" t="b">
        <v>0</v>
      </c>
      <c r="B19" s="3">
        <f t="shared" si="0"/>
        <v>18</v>
      </c>
      <c r="C19" s="3" t="str">
        <f>IF(Table7[[#This Row],[Complete?]],"["&amp;Table7[[#This Row],[ID]]&amp;"]","not_complete")</f>
        <v>not_complete</v>
      </c>
      <c r="D19" s="23"/>
      <c r="E19" s="4"/>
      <c r="F19" s="4"/>
      <c r="G19" s="4"/>
      <c r="H19" s="4"/>
      <c r="I19" s="4"/>
    </row>
    <row r="20" spans="1:9" x14ac:dyDescent="0.25">
      <c r="A20" s="27" t="b">
        <v>0</v>
      </c>
      <c r="B20" s="3">
        <f t="shared" si="0"/>
        <v>19</v>
      </c>
      <c r="C20" s="3" t="str">
        <f>IF(Table7[[#This Row],[Complete?]],"["&amp;Table7[[#This Row],[ID]]&amp;"]","not_complete")</f>
        <v>not_complete</v>
      </c>
      <c r="D20" s="23"/>
      <c r="E20" s="4"/>
      <c r="F20" s="4"/>
      <c r="G20" s="4"/>
      <c r="H20" s="4"/>
      <c r="I20" s="4"/>
    </row>
    <row r="21" spans="1:9" x14ac:dyDescent="0.25">
      <c r="A21" s="27" t="b">
        <v>0</v>
      </c>
      <c r="B21" s="3">
        <f t="shared" si="0"/>
        <v>20</v>
      </c>
      <c r="C21" s="3" t="str">
        <f>IF(Table7[[#This Row],[Complete?]],"["&amp;Table7[[#This Row],[ID]]&amp;"]","not_complete")</f>
        <v>not_complete</v>
      </c>
      <c r="D21" s="23"/>
      <c r="E21" s="4"/>
      <c r="F21" s="4"/>
      <c r="G21" s="4"/>
      <c r="H21" s="4"/>
      <c r="I21" s="4"/>
    </row>
    <row r="22" spans="1:9" x14ac:dyDescent="0.25">
      <c r="A22" s="27" t="b">
        <v>0</v>
      </c>
      <c r="B22" s="3">
        <f t="shared" si="0"/>
        <v>21</v>
      </c>
      <c r="C22" s="3" t="str">
        <f>IF(Table7[[#This Row],[Complete?]],"["&amp;Table7[[#This Row],[ID]]&amp;"]","not_complete")</f>
        <v>not_complete</v>
      </c>
      <c r="D22" s="23"/>
      <c r="E22" s="4"/>
      <c r="F22" s="4"/>
      <c r="G22" s="4"/>
      <c r="H22" s="4"/>
      <c r="I22" s="4"/>
    </row>
    <row r="23" spans="1:9" x14ac:dyDescent="0.25">
      <c r="A23" s="27" t="b">
        <v>0</v>
      </c>
      <c r="B23" s="3">
        <f t="shared" si="0"/>
        <v>22</v>
      </c>
      <c r="C23" s="3" t="str">
        <f>IF(Table7[[#This Row],[Complete?]],"["&amp;Table7[[#This Row],[ID]]&amp;"]","not_complete")</f>
        <v>not_complete</v>
      </c>
      <c r="D23" s="23"/>
      <c r="E23" s="4"/>
      <c r="F23" s="4"/>
      <c r="G23" s="4"/>
      <c r="H23" s="4"/>
      <c r="I23" s="4"/>
    </row>
    <row r="24" spans="1:9" x14ac:dyDescent="0.25">
      <c r="A24" s="27" t="b">
        <v>0</v>
      </c>
      <c r="B24" s="3">
        <f t="shared" si="0"/>
        <v>23</v>
      </c>
      <c r="C24" s="3" t="str">
        <f>IF(Table7[[#This Row],[Complete?]],"["&amp;Table7[[#This Row],[ID]]&amp;"]","not_complete")</f>
        <v>not_complete</v>
      </c>
      <c r="D24" s="23"/>
      <c r="E24" s="4"/>
      <c r="F24" s="4"/>
      <c r="G24" s="4"/>
      <c r="H24" s="4"/>
      <c r="I24" s="4"/>
    </row>
    <row r="25" spans="1:9" x14ac:dyDescent="0.25">
      <c r="A25" s="27" t="b">
        <v>0</v>
      </c>
      <c r="B25" s="3">
        <f t="shared" si="0"/>
        <v>24</v>
      </c>
      <c r="C25" s="3" t="str">
        <f>IF(Table7[[#This Row],[Complete?]],"["&amp;Table7[[#This Row],[ID]]&amp;"]","not_complete")</f>
        <v>not_complete</v>
      </c>
      <c r="D25" s="23"/>
      <c r="E25" s="4"/>
      <c r="F25" s="4"/>
      <c r="G25" s="4"/>
      <c r="H25" s="4"/>
      <c r="I25" s="4"/>
    </row>
    <row r="26" spans="1:9" x14ac:dyDescent="0.25">
      <c r="A26" s="27" t="b">
        <v>0</v>
      </c>
      <c r="B26" s="3">
        <f t="shared" si="0"/>
        <v>25</v>
      </c>
      <c r="C26" s="3" t="str">
        <f>IF(Table7[[#This Row],[Complete?]],"["&amp;Table7[[#This Row],[ID]]&amp;"]","not_complete")</f>
        <v>not_complete</v>
      </c>
      <c r="D26" s="23"/>
      <c r="E26" s="4"/>
      <c r="F26" s="4"/>
      <c r="G26" s="4"/>
      <c r="H26" s="4"/>
      <c r="I26" s="4"/>
    </row>
    <row r="27" spans="1:9" x14ac:dyDescent="0.25">
      <c r="A27" s="27" t="b">
        <v>0</v>
      </c>
      <c r="B27" s="3">
        <f t="shared" si="0"/>
        <v>26</v>
      </c>
      <c r="C27" s="3" t="str">
        <f>IF(Table7[[#This Row],[Complete?]],"["&amp;Table7[[#This Row],[ID]]&amp;"]","not_complete")</f>
        <v>not_complete</v>
      </c>
      <c r="D27" s="23"/>
      <c r="E27" s="4"/>
      <c r="F27" s="4"/>
      <c r="G27" s="4"/>
      <c r="H27" s="4"/>
      <c r="I27" s="4"/>
    </row>
    <row r="28" spans="1:9" x14ac:dyDescent="0.25">
      <c r="A28" s="27" t="b">
        <v>0</v>
      </c>
      <c r="B28" s="3">
        <f t="shared" si="0"/>
        <v>27</v>
      </c>
      <c r="C28" s="3" t="str">
        <f>IF(Table7[[#This Row],[Complete?]],"["&amp;Table7[[#This Row],[ID]]&amp;"]","not_complete")</f>
        <v>not_complete</v>
      </c>
      <c r="D28" s="23"/>
      <c r="E28" s="4"/>
      <c r="F28" s="4"/>
      <c r="G28" s="4"/>
      <c r="H28" s="4"/>
      <c r="I28" s="4"/>
    </row>
    <row r="29" spans="1:9" x14ac:dyDescent="0.25">
      <c r="A29" s="27" t="b">
        <v>0</v>
      </c>
      <c r="B29" s="3">
        <f t="shared" si="0"/>
        <v>28</v>
      </c>
      <c r="C29" s="3" t="str">
        <f>IF(Table7[[#This Row],[Complete?]],"["&amp;Table7[[#This Row],[ID]]&amp;"]","not_complete")</f>
        <v>not_complete</v>
      </c>
      <c r="D29" s="23"/>
      <c r="E29" s="4"/>
      <c r="F29" s="4"/>
      <c r="G29" s="4"/>
      <c r="H29" s="4"/>
      <c r="I29" s="4"/>
    </row>
    <row r="30" spans="1:9" x14ac:dyDescent="0.25">
      <c r="A30" s="27" t="b">
        <v>0</v>
      </c>
      <c r="B30" s="3">
        <f t="shared" si="0"/>
        <v>29</v>
      </c>
      <c r="C30" s="3" t="str">
        <f>IF(Table7[[#This Row],[Complete?]],"["&amp;Table7[[#This Row],[ID]]&amp;"]","not_complete")</f>
        <v>not_complete</v>
      </c>
      <c r="D30" s="23"/>
      <c r="E30" s="4"/>
      <c r="F30" s="4"/>
      <c r="G30" s="4"/>
      <c r="H30" s="4"/>
      <c r="I30" s="4"/>
    </row>
    <row r="31" spans="1:9" x14ac:dyDescent="0.25">
      <c r="A31" s="27" t="b">
        <v>0</v>
      </c>
      <c r="B31" s="3">
        <f t="shared" si="0"/>
        <v>30</v>
      </c>
      <c r="C31" s="3" t="str">
        <f>IF(Table7[[#This Row],[Complete?]],"["&amp;Table7[[#This Row],[ID]]&amp;"]","not_complete")</f>
        <v>not_complete</v>
      </c>
      <c r="D31" s="23"/>
      <c r="E31" s="4"/>
      <c r="F31" s="4"/>
      <c r="G31" s="4"/>
      <c r="H31" s="4"/>
      <c r="I31" s="4"/>
    </row>
    <row r="32" spans="1:9" x14ac:dyDescent="0.25">
      <c r="A32" s="27" t="b">
        <v>0</v>
      </c>
      <c r="B32" s="3">
        <f t="shared" si="0"/>
        <v>31</v>
      </c>
      <c r="C32" s="3" t="str">
        <f>IF(Table7[[#This Row],[Complete?]],"["&amp;Table7[[#This Row],[ID]]&amp;"]","not_complete")</f>
        <v>not_complete</v>
      </c>
      <c r="D32" s="23"/>
      <c r="E32" s="4"/>
      <c r="F32" s="4"/>
      <c r="G32" s="4"/>
      <c r="H32" s="4"/>
      <c r="I32" s="4"/>
    </row>
    <row r="33" spans="1:9" x14ac:dyDescent="0.25">
      <c r="A33" s="27" t="b">
        <v>0</v>
      </c>
      <c r="B33" s="3">
        <f t="shared" si="0"/>
        <v>32</v>
      </c>
      <c r="C33" s="3" t="str">
        <f>IF(Table7[[#This Row],[Complete?]],"["&amp;Table7[[#This Row],[ID]]&amp;"]","not_complete")</f>
        <v>not_complete</v>
      </c>
      <c r="D33" s="23"/>
      <c r="E33" s="4"/>
      <c r="F33" s="4"/>
      <c r="G33" s="4"/>
      <c r="H33" s="4"/>
      <c r="I33" s="4"/>
    </row>
    <row r="34" spans="1:9" x14ac:dyDescent="0.25">
      <c r="A34" s="27" t="b">
        <v>0</v>
      </c>
      <c r="B34" s="3">
        <f t="shared" si="0"/>
        <v>33</v>
      </c>
      <c r="C34" s="3" t="str">
        <f>IF(Table7[[#This Row],[Complete?]],"["&amp;Table7[[#This Row],[ID]]&amp;"]","not_complete")</f>
        <v>not_complete</v>
      </c>
      <c r="D34" s="23"/>
      <c r="E34" s="4"/>
      <c r="F34" s="4"/>
      <c r="G34" s="4"/>
      <c r="H34" s="4"/>
      <c r="I34" s="4"/>
    </row>
    <row r="35" spans="1:9" x14ac:dyDescent="0.25">
      <c r="A35" s="27" t="b">
        <v>0</v>
      </c>
      <c r="B35" s="3">
        <f t="shared" si="0"/>
        <v>34</v>
      </c>
      <c r="C35" s="3" t="str">
        <f>IF(Table7[[#This Row],[Complete?]],"["&amp;Table7[[#This Row],[ID]]&amp;"]","not_complete")</f>
        <v>not_complete</v>
      </c>
      <c r="D35" s="23"/>
      <c r="E35" s="4"/>
      <c r="F35" s="4"/>
      <c r="G35" s="4"/>
      <c r="H35" s="4"/>
      <c r="I35" s="4"/>
    </row>
    <row r="36" spans="1:9" x14ac:dyDescent="0.25">
      <c r="A36" s="27" t="b">
        <v>0</v>
      </c>
      <c r="B36" s="3">
        <f t="shared" si="0"/>
        <v>35</v>
      </c>
      <c r="C36" s="3" t="str">
        <f>IF(Table7[[#This Row],[Complete?]],"["&amp;Table7[[#This Row],[ID]]&amp;"]","not_complete")</f>
        <v>not_complete</v>
      </c>
      <c r="D36" s="23"/>
      <c r="E36" s="4"/>
      <c r="F36" s="4"/>
      <c r="G36" s="4"/>
      <c r="H36" s="4"/>
      <c r="I36" s="4"/>
    </row>
    <row r="37" spans="1:9" x14ac:dyDescent="0.25">
      <c r="A37" s="27" t="b">
        <v>0</v>
      </c>
      <c r="B37" s="3">
        <f t="shared" si="0"/>
        <v>36</v>
      </c>
      <c r="C37" s="3" t="str">
        <f>IF(Table7[[#This Row],[Complete?]],"["&amp;Table7[[#This Row],[ID]]&amp;"]","not_complete")</f>
        <v>not_complete</v>
      </c>
      <c r="D37" s="23"/>
      <c r="E37" s="4"/>
      <c r="F37" s="4"/>
      <c r="G37" s="4"/>
      <c r="H37" s="4"/>
      <c r="I37" s="4"/>
    </row>
    <row r="38" spans="1:9" x14ac:dyDescent="0.25">
      <c r="A38" s="27" t="b">
        <v>0</v>
      </c>
      <c r="B38" s="3">
        <f t="shared" si="0"/>
        <v>37</v>
      </c>
      <c r="C38" s="3" t="str">
        <f>IF(Table7[[#This Row],[Complete?]],"["&amp;Table7[[#This Row],[ID]]&amp;"]","not_complete")</f>
        <v>not_complete</v>
      </c>
      <c r="D38" s="23"/>
      <c r="E38" s="4"/>
      <c r="F38" s="4"/>
      <c r="G38" s="4"/>
      <c r="H38" s="4"/>
      <c r="I38" s="4"/>
    </row>
    <row r="39" spans="1:9" x14ac:dyDescent="0.25">
      <c r="A39" s="27" t="b">
        <v>0</v>
      </c>
      <c r="B39" s="3">
        <f t="shared" si="0"/>
        <v>38</v>
      </c>
      <c r="C39" s="3" t="str">
        <f>IF(Table7[[#This Row],[Complete?]],"["&amp;Table7[[#This Row],[ID]]&amp;"]","not_complete")</f>
        <v>not_complete</v>
      </c>
      <c r="D39" s="23"/>
      <c r="E39" s="4"/>
      <c r="F39" s="4"/>
      <c r="G39" s="4"/>
      <c r="H39" s="4"/>
      <c r="I39" s="4"/>
    </row>
    <row r="40" spans="1:9" x14ac:dyDescent="0.25">
      <c r="A40" s="27" t="b">
        <v>0</v>
      </c>
      <c r="B40" s="3">
        <f t="shared" si="0"/>
        <v>39</v>
      </c>
      <c r="C40" s="3" t="str">
        <f>IF(Table7[[#This Row],[Complete?]],"["&amp;Table7[[#This Row],[ID]]&amp;"]","not_complete")</f>
        <v>not_complete</v>
      </c>
      <c r="D40" s="23"/>
      <c r="E40" s="4"/>
      <c r="F40" s="4"/>
      <c r="G40" s="4"/>
      <c r="H40" s="4"/>
      <c r="I40" s="4"/>
    </row>
    <row r="41" spans="1:9" x14ac:dyDescent="0.25">
      <c r="A41" s="27" t="b">
        <v>0</v>
      </c>
      <c r="B41" s="3">
        <f t="shared" si="0"/>
        <v>40</v>
      </c>
      <c r="C41" s="3" t="str">
        <f>IF(Table7[[#This Row],[Complete?]],"["&amp;Table7[[#This Row],[ID]]&amp;"]","not_complete")</f>
        <v>not_complete</v>
      </c>
      <c r="D41" s="23"/>
      <c r="E41" s="4"/>
      <c r="F41" s="4"/>
      <c r="G41" s="4"/>
      <c r="H41" s="4"/>
      <c r="I41" s="4"/>
    </row>
    <row r="42" spans="1:9" x14ac:dyDescent="0.25">
      <c r="A42" s="27" t="b">
        <v>0</v>
      </c>
      <c r="B42" s="3">
        <f t="shared" si="0"/>
        <v>41</v>
      </c>
      <c r="C42" s="3" t="str">
        <f>IF(Table7[[#This Row],[Complete?]],"["&amp;Table7[[#This Row],[ID]]&amp;"]","not_complete")</f>
        <v>not_complete</v>
      </c>
      <c r="D42" s="23"/>
      <c r="E42" s="4"/>
      <c r="F42" s="4"/>
      <c r="G42" s="4"/>
      <c r="H42" s="4"/>
      <c r="I42" s="4"/>
    </row>
    <row r="43" spans="1:9" x14ac:dyDescent="0.25">
      <c r="A43" s="27" t="b">
        <v>0</v>
      </c>
      <c r="B43" s="3">
        <f t="shared" si="0"/>
        <v>42</v>
      </c>
      <c r="C43" s="3" t="str">
        <f>IF(Table7[[#This Row],[Complete?]],"["&amp;Table7[[#This Row],[ID]]&amp;"]","not_complete")</f>
        <v>not_complete</v>
      </c>
      <c r="D43" s="23"/>
      <c r="E43" s="4"/>
      <c r="F43" s="4"/>
      <c r="G43" s="4"/>
      <c r="H43" s="4"/>
      <c r="I43" s="4"/>
    </row>
    <row r="44" spans="1:9" x14ac:dyDescent="0.25">
      <c r="A44" s="27" t="b">
        <v>0</v>
      </c>
      <c r="B44" s="3">
        <f t="shared" si="0"/>
        <v>43</v>
      </c>
      <c r="C44" s="3" t="str">
        <f>IF(Table7[[#This Row],[Complete?]],"["&amp;Table7[[#This Row],[ID]]&amp;"]","not_complete")</f>
        <v>not_complete</v>
      </c>
      <c r="D44" s="23"/>
      <c r="E44" s="4"/>
      <c r="F44" s="4"/>
      <c r="G44" s="4"/>
      <c r="H44" s="4"/>
      <c r="I44" s="4"/>
    </row>
    <row r="45" spans="1:9" x14ac:dyDescent="0.25">
      <c r="A45" s="27" t="b">
        <v>0</v>
      </c>
      <c r="B45" s="3">
        <f t="shared" si="0"/>
        <v>44</v>
      </c>
      <c r="C45" s="3" t="str">
        <f>IF(Table7[[#This Row],[Complete?]],"["&amp;Table7[[#This Row],[ID]]&amp;"]","not_complete")</f>
        <v>not_complete</v>
      </c>
      <c r="D45" s="23"/>
      <c r="E45" s="4"/>
      <c r="F45" s="4"/>
      <c r="G45" s="4"/>
      <c r="H45" s="4"/>
      <c r="I45" s="4"/>
    </row>
    <row r="46" spans="1:9" x14ac:dyDescent="0.25">
      <c r="A46" s="27" t="b">
        <v>0</v>
      </c>
      <c r="B46" s="3">
        <f t="shared" si="0"/>
        <v>45</v>
      </c>
      <c r="C46" s="3" t="str">
        <f>IF(Table7[[#This Row],[Complete?]],"["&amp;Table7[[#This Row],[ID]]&amp;"]","not_complete")</f>
        <v>not_complete</v>
      </c>
      <c r="D46" s="23"/>
      <c r="E46" s="4"/>
      <c r="F46" s="4"/>
      <c r="G46" s="4"/>
      <c r="H46" s="4"/>
      <c r="I46" s="4"/>
    </row>
    <row r="47" spans="1:9" x14ac:dyDescent="0.25">
      <c r="A47" s="27" t="b">
        <v>0</v>
      </c>
      <c r="B47" s="3">
        <f t="shared" si="0"/>
        <v>46</v>
      </c>
      <c r="C47" s="3" t="str">
        <f>IF(Table7[[#This Row],[Complete?]],"["&amp;Table7[[#This Row],[ID]]&amp;"]","not_complete")</f>
        <v>not_complete</v>
      </c>
      <c r="D47" s="23"/>
      <c r="E47" s="4"/>
      <c r="F47" s="4"/>
      <c r="G47" s="4"/>
      <c r="H47" s="4"/>
      <c r="I47" s="4"/>
    </row>
    <row r="48" spans="1:9" x14ac:dyDescent="0.25">
      <c r="A48" s="27" t="b">
        <v>0</v>
      </c>
      <c r="B48" s="3">
        <f t="shared" si="0"/>
        <v>47</v>
      </c>
      <c r="C48" s="3" t="str">
        <f>IF(Table7[[#This Row],[Complete?]],"["&amp;Table7[[#This Row],[ID]]&amp;"]","not_complete")</f>
        <v>not_complete</v>
      </c>
      <c r="D48" s="23"/>
      <c r="E48" s="4"/>
      <c r="F48" s="4"/>
      <c r="G48" s="4"/>
      <c r="H48" s="4"/>
      <c r="I48" s="4"/>
    </row>
    <row r="49" spans="1:9" x14ac:dyDescent="0.25">
      <c r="A49" s="27" t="b">
        <v>0</v>
      </c>
      <c r="B49" s="3">
        <f t="shared" si="0"/>
        <v>48</v>
      </c>
      <c r="C49" s="3" t="str">
        <f>IF(Table7[[#This Row],[Complete?]],"["&amp;Table7[[#This Row],[ID]]&amp;"]","not_complete")</f>
        <v>not_complete</v>
      </c>
      <c r="D49" s="23"/>
      <c r="E49" s="4"/>
      <c r="F49" s="4"/>
      <c r="G49" s="4"/>
      <c r="H49" s="4"/>
      <c r="I49" s="4"/>
    </row>
  </sheetData>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58CAF244-4C59-4390-9A64-8945A454FAD8}">
          <x14:formula1>
            <xm:f>'7_2_Codelists'!$C$156:$C$165</xm:f>
          </x14:formula1>
          <xm:sqref>D2:D49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165"/>
  <sheetViews>
    <sheetView zoomScale="115" zoomScaleNormal="115" workbookViewId="0">
      <selection activeCell="C135" sqref="C135"/>
    </sheetView>
  </sheetViews>
  <sheetFormatPr defaultColWidth="10.85546875" defaultRowHeight="15" x14ac:dyDescent="0.25"/>
  <cols>
    <col min="1" max="1" width="33.85546875" customWidth="1"/>
    <col min="2" max="2" width="37.42578125" customWidth="1"/>
    <col min="3" max="3" width="76.42578125" customWidth="1"/>
    <col min="4" max="4" width="28.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109" t="s">
        <v>193</v>
      </c>
      <c r="B1" s="109"/>
      <c r="C1" s="109"/>
    </row>
    <row r="2" spans="1:3" x14ac:dyDescent="0.25">
      <c r="A2" s="8" t="s">
        <v>4</v>
      </c>
      <c r="B2" s="8" t="s">
        <v>192</v>
      </c>
      <c r="C2" s="8" t="s">
        <v>1</v>
      </c>
    </row>
    <row r="3" spans="1:3" x14ac:dyDescent="0.25">
      <c r="A3">
        <v>1</v>
      </c>
      <c r="B3" t="s">
        <v>2</v>
      </c>
    </row>
    <row r="4" spans="1:3" x14ac:dyDescent="0.25">
      <c r="A4">
        <v>2</v>
      </c>
      <c r="B4" t="s">
        <v>3</v>
      </c>
    </row>
    <row r="5" spans="1:3" x14ac:dyDescent="0.25">
      <c r="A5" t="s">
        <v>183</v>
      </c>
      <c r="C5">
        <f>SUBTOTAL(103,CL_YesNo[Description])</f>
        <v>0</v>
      </c>
    </row>
    <row r="7" spans="1:3" x14ac:dyDescent="0.25">
      <c r="A7" s="109" t="s">
        <v>667</v>
      </c>
      <c r="B7" s="109"/>
      <c r="C7" s="109"/>
    </row>
    <row r="8" spans="1:3" x14ac:dyDescent="0.25">
      <c r="A8" s="8" t="s">
        <v>4</v>
      </c>
      <c r="B8" s="8" t="s">
        <v>281</v>
      </c>
      <c r="C8" s="8" t="s">
        <v>1</v>
      </c>
    </row>
    <row r="9" spans="1:3" x14ac:dyDescent="0.25">
      <c r="A9">
        <v>1</v>
      </c>
      <c r="B9" t="s">
        <v>282</v>
      </c>
      <c r="C9" s="1" t="s">
        <v>668</v>
      </c>
    </row>
    <row r="10" spans="1:3" x14ac:dyDescent="0.25">
      <c r="A10">
        <v>2</v>
      </c>
      <c r="B10" t="s">
        <v>283</v>
      </c>
      <c r="C10" s="1" t="s">
        <v>669</v>
      </c>
    </row>
    <row r="11" spans="1:3" x14ac:dyDescent="0.25">
      <c r="A11">
        <v>3</v>
      </c>
      <c r="B11" t="s">
        <v>284</v>
      </c>
      <c r="C11" t="s">
        <v>670</v>
      </c>
    </row>
    <row r="12" spans="1:3" x14ac:dyDescent="0.25">
      <c r="A12">
        <v>4</v>
      </c>
      <c r="B12" t="s">
        <v>65</v>
      </c>
      <c r="C12" t="s">
        <v>671</v>
      </c>
    </row>
    <row r="13" spans="1:3" x14ac:dyDescent="0.25">
      <c r="A13">
        <v>5</v>
      </c>
      <c r="B13" t="s">
        <v>285</v>
      </c>
      <c r="C13" t="s">
        <v>672</v>
      </c>
    </row>
    <row r="14" spans="1:3" x14ac:dyDescent="0.25">
      <c r="A14">
        <v>6</v>
      </c>
    </row>
    <row r="15" spans="1:3" x14ac:dyDescent="0.25">
      <c r="A15">
        <v>7</v>
      </c>
    </row>
    <row r="16" spans="1:3" x14ac:dyDescent="0.25">
      <c r="A16" t="s">
        <v>183</v>
      </c>
      <c r="C16">
        <f>SUBTOTAL(103,CL_Process_Logic3[Description])</f>
        <v>5</v>
      </c>
    </row>
    <row r="18" spans="1:3" x14ac:dyDescent="0.25">
      <c r="A18" s="111" t="s">
        <v>187</v>
      </c>
      <c r="B18" s="111"/>
      <c r="C18" s="111"/>
    </row>
    <row r="20" spans="1:3" x14ac:dyDescent="0.25">
      <c r="A20" s="109" t="s">
        <v>184</v>
      </c>
      <c r="B20" s="109"/>
      <c r="C20" s="109"/>
    </row>
    <row r="21" spans="1:3" x14ac:dyDescent="0.25">
      <c r="A21" s="8" t="s">
        <v>4</v>
      </c>
      <c r="B21" s="8" t="s">
        <v>128</v>
      </c>
      <c r="C21" s="8" t="s">
        <v>1</v>
      </c>
    </row>
    <row r="22" spans="1:3" ht="45" x14ac:dyDescent="0.25">
      <c r="A22">
        <v>1</v>
      </c>
      <c r="B22" t="s">
        <v>129</v>
      </c>
      <c r="C22" s="1" t="s">
        <v>666</v>
      </c>
    </row>
    <row r="23" spans="1:3" ht="45" x14ac:dyDescent="0.25">
      <c r="A23">
        <v>2</v>
      </c>
      <c r="B23" t="s">
        <v>130</v>
      </c>
      <c r="C23" s="100" t="s">
        <v>665</v>
      </c>
    </row>
    <row r="24" spans="1:3" x14ac:dyDescent="0.25">
      <c r="A24">
        <v>3</v>
      </c>
      <c r="B24" t="s">
        <v>164</v>
      </c>
    </row>
    <row r="25" spans="1:3" x14ac:dyDescent="0.25">
      <c r="A25">
        <v>4</v>
      </c>
      <c r="B25" t="s">
        <v>165</v>
      </c>
    </row>
    <row r="26" spans="1:3" x14ac:dyDescent="0.25">
      <c r="A26">
        <v>5</v>
      </c>
      <c r="B26" t="s">
        <v>125</v>
      </c>
    </row>
    <row r="27" spans="1:3" x14ac:dyDescent="0.25">
      <c r="A27">
        <v>6</v>
      </c>
      <c r="B27" t="s">
        <v>62</v>
      </c>
    </row>
    <row r="28" spans="1:3" x14ac:dyDescent="0.25">
      <c r="A28">
        <v>7</v>
      </c>
      <c r="B28" t="s">
        <v>61</v>
      </c>
    </row>
    <row r="29" spans="1:3" x14ac:dyDescent="0.25">
      <c r="A29" t="s">
        <v>183</v>
      </c>
      <c r="C29">
        <f>SUBTOTAL(103,CL_Process_Logic[Description])</f>
        <v>2</v>
      </c>
    </row>
    <row r="31" spans="1:3" x14ac:dyDescent="0.25">
      <c r="A31" s="109" t="s">
        <v>185</v>
      </c>
      <c r="B31" s="109"/>
      <c r="C31" s="109"/>
    </row>
    <row r="32" spans="1:3" x14ac:dyDescent="0.25">
      <c r="A32" t="s">
        <v>4</v>
      </c>
      <c r="B32" t="s">
        <v>166</v>
      </c>
      <c r="C32" t="s">
        <v>1</v>
      </c>
    </row>
    <row r="33" spans="1:3" x14ac:dyDescent="0.25">
      <c r="A33">
        <v>1</v>
      </c>
      <c r="B33" t="s">
        <v>147</v>
      </c>
    </row>
    <row r="34" spans="1:3" x14ac:dyDescent="0.25">
      <c r="A34">
        <v>2</v>
      </c>
      <c r="B34" t="s">
        <v>145</v>
      </c>
    </row>
    <row r="35" spans="1:3" x14ac:dyDescent="0.25">
      <c r="A35">
        <v>3</v>
      </c>
      <c r="B35" t="s">
        <v>146</v>
      </c>
    </row>
    <row r="36" spans="1:3" x14ac:dyDescent="0.25">
      <c r="A36" t="s">
        <v>183</v>
      </c>
      <c r="C36">
        <f>SUBTOTAL(103,CL_TC_Configuration[Description])</f>
        <v>0</v>
      </c>
    </row>
    <row r="38" spans="1:3" x14ac:dyDescent="0.25">
      <c r="A38" s="109" t="s">
        <v>168</v>
      </c>
      <c r="B38" s="109"/>
      <c r="C38" s="109"/>
    </row>
    <row r="39" spans="1:3" x14ac:dyDescent="0.25">
      <c r="A39" t="s">
        <v>4</v>
      </c>
      <c r="B39" t="s">
        <v>167</v>
      </c>
      <c r="C39" t="s">
        <v>1</v>
      </c>
    </row>
    <row r="40" spans="1:3" x14ac:dyDescent="0.25">
      <c r="A40">
        <v>1</v>
      </c>
      <c r="B40" t="s">
        <v>169</v>
      </c>
    </row>
    <row r="41" spans="1:3" x14ac:dyDescent="0.25">
      <c r="A41">
        <v>2</v>
      </c>
      <c r="B41" t="s">
        <v>170</v>
      </c>
    </row>
    <row r="42" spans="1:3" x14ac:dyDescent="0.25">
      <c r="A42">
        <v>3</v>
      </c>
      <c r="B42" t="s">
        <v>569</v>
      </c>
    </row>
    <row r="43" spans="1:3" x14ac:dyDescent="0.25">
      <c r="A43">
        <v>4</v>
      </c>
      <c r="B43" t="s">
        <v>570</v>
      </c>
    </row>
    <row r="44" spans="1:3" x14ac:dyDescent="0.25">
      <c r="A44">
        <v>5</v>
      </c>
    </row>
    <row r="45" spans="1:3" x14ac:dyDescent="0.25">
      <c r="A45">
        <v>6</v>
      </c>
    </row>
    <row r="46" spans="1:3" x14ac:dyDescent="0.25">
      <c r="A46" t="s">
        <v>183</v>
      </c>
      <c r="C46">
        <f>SUBTOTAL(103,CL_Stock_Configuration[Description])</f>
        <v>0</v>
      </c>
    </row>
    <row r="48" spans="1:3" x14ac:dyDescent="0.25">
      <c r="A48" s="109" t="s">
        <v>186</v>
      </c>
      <c r="B48" s="109"/>
      <c r="C48" s="109"/>
    </row>
    <row r="49" spans="1:10" x14ac:dyDescent="0.25">
      <c r="A49" t="s">
        <v>4</v>
      </c>
      <c r="B49" t="s">
        <v>179</v>
      </c>
      <c r="C49" t="s">
        <v>1</v>
      </c>
    </row>
    <row r="50" spans="1:10" x14ac:dyDescent="0.25">
      <c r="A50">
        <v>0</v>
      </c>
      <c r="B50">
        <v>0</v>
      </c>
    </row>
    <row r="51" spans="1:10" x14ac:dyDescent="0.25">
      <c r="A51">
        <v>1</v>
      </c>
      <c r="B51">
        <v>1</v>
      </c>
    </row>
    <row r="52" spans="1:10" x14ac:dyDescent="0.25">
      <c r="A52">
        <v>2</v>
      </c>
      <c r="B52">
        <v>2</v>
      </c>
    </row>
    <row r="53" spans="1:10" x14ac:dyDescent="0.25">
      <c r="A53">
        <v>3</v>
      </c>
      <c r="B53">
        <v>3</v>
      </c>
    </row>
    <row r="54" spans="1:10" x14ac:dyDescent="0.25">
      <c r="A54">
        <v>4</v>
      </c>
      <c r="B54">
        <v>4</v>
      </c>
    </row>
    <row r="55" spans="1:10" x14ac:dyDescent="0.25">
      <c r="A55">
        <v>5</v>
      </c>
      <c r="B55">
        <v>5</v>
      </c>
    </row>
    <row r="56" spans="1:10" x14ac:dyDescent="0.25">
      <c r="A56">
        <v>6</v>
      </c>
      <c r="B56">
        <v>6</v>
      </c>
    </row>
    <row r="57" spans="1:10" x14ac:dyDescent="0.25">
      <c r="A57">
        <v>7</v>
      </c>
      <c r="B57">
        <v>7</v>
      </c>
    </row>
    <row r="58" spans="1:10" x14ac:dyDescent="0.25">
      <c r="A58">
        <v>8</v>
      </c>
      <c r="B58">
        <v>8</v>
      </c>
    </row>
    <row r="59" spans="1:10" x14ac:dyDescent="0.25">
      <c r="A59">
        <v>9</v>
      </c>
      <c r="B59">
        <v>9</v>
      </c>
    </row>
    <row r="60" spans="1:10" x14ac:dyDescent="0.25">
      <c r="A60" t="s">
        <v>183</v>
      </c>
      <c r="C60">
        <f>SUBTOTAL(103,Table35[Description])</f>
        <v>0</v>
      </c>
      <c r="E60" s="37"/>
      <c r="F60" s="37"/>
      <c r="G60" s="37"/>
      <c r="I60" s="30"/>
      <c r="J60" s="37"/>
    </row>
    <row r="61" spans="1:10" x14ac:dyDescent="0.25">
      <c r="E61" s="37"/>
      <c r="F61" s="37"/>
      <c r="G61" s="37"/>
      <c r="I61" s="30"/>
      <c r="J61" s="37"/>
    </row>
    <row r="62" spans="1:10" x14ac:dyDescent="0.25">
      <c r="A62" s="109" t="s">
        <v>288</v>
      </c>
      <c r="B62" s="109"/>
      <c r="C62" s="109"/>
      <c r="E62" s="37"/>
      <c r="F62" s="37"/>
      <c r="G62" s="37"/>
      <c r="I62" s="30"/>
      <c r="J62" s="37"/>
    </row>
    <row r="63" spans="1:10" x14ac:dyDescent="0.25">
      <c r="A63" t="s">
        <v>4</v>
      </c>
      <c r="B63" t="s">
        <v>286</v>
      </c>
      <c r="C63" t="s">
        <v>1</v>
      </c>
      <c r="E63" s="37"/>
      <c r="F63" s="37"/>
      <c r="G63" s="37"/>
      <c r="I63" s="30"/>
      <c r="J63" s="37"/>
    </row>
    <row r="64" spans="1:10" x14ac:dyDescent="0.25">
      <c r="A64">
        <v>1</v>
      </c>
      <c r="B64" t="s">
        <v>571</v>
      </c>
      <c r="C64" t="s">
        <v>573</v>
      </c>
      <c r="E64" s="37"/>
      <c r="F64" s="37"/>
      <c r="G64" s="37"/>
      <c r="I64" s="30"/>
      <c r="J64" s="37"/>
    </row>
    <row r="65" spans="1:10" x14ac:dyDescent="0.25">
      <c r="A65">
        <v>2</v>
      </c>
      <c r="B65" t="s">
        <v>572</v>
      </c>
      <c r="E65" s="37"/>
      <c r="F65" s="37"/>
      <c r="G65" s="37"/>
      <c r="I65" s="30"/>
      <c r="J65" s="37"/>
    </row>
    <row r="66" spans="1:10" x14ac:dyDescent="0.25">
      <c r="A66">
        <v>3</v>
      </c>
      <c r="B66" t="s">
        <v>574</v>
      </c>
      <c r="E66" s="37"/>
      <c r="F66" s="37"/>
      <c r="G66" s="37"/>
      <c r="I66" s="30"/>
      <c r="J66" s="37"/>
    </row>
    <row r="67" spans="1:10" x14ac:dyDescent="0.25">
      <c r="A67">
        <v>4</v>
      </c>
      <c r="B67" t="s">
        <v>575</v>
      </c>
      <c r="E67" s="37"/>
      <c r="F67" s="37"/>
      <c r="G67" s="37"/>
      <c r="I67" s="30"/>
      <c r="J67" s="37"/>
    </row>
    <row r="68" spans="1:10" x14ac:dyDescent="0.25">
      <c r="A68">
        <v>5</v>
      </c>
      <c r="B68" t="s">
        <v>576</v>
      </c>
      <c r="E68" s="37"/>
      <c r="F68" s="37"/>
      <c r="G68" s="37"/>
      <c r="I68" s="30"/>
      <c r="J68" s="37"/>
    </row>
    <row r="69" spans="1:10" x14ac:dyDescent="0.25">
      <c r="A69">
        <v>6</v>
      </c>
      <c r="B69" t="s">
        <v>577</v>
      </c>
      <c r="E69" s="37"/>
      <c r="F69" s="37"/>
      <c r="G69" s="37"/>
      <c r="I69" s="30"/>
      <c r="J69" s="37"/>
    </row>
    <row r="70" spans="1:10" x14ac:dyDescent="0.25">
      <c r="A70">
        <v>7</v>
      </c>
      <c r="B70" t="s">
        <v>578</v>
      </c>
      <c r="E70" s="37"/>
      <c r="F70" s="37"/>
      <c r="G70" s="37"/>
      <c r="I70" s="30"/>
      <c r="J70" s="37"/>
    </row>
    <row r="71" spans="1:10" x14ac:dyDescent="0.25">
      <c r="A71">
        <v>8</v>
      </c>
      <c r="B71" t="s">
        <v>579</v>
      </c>
      <c r="E71" s="37"/>
      <c r="F71" s="37"/>
      <c r="G71" s="37"/>
      <c r="I71" s="30"/>
      <c r="J71" s="37"/>
    </row>
    <row r="72" spans="1:10" x14ac:dyDescent="0.25">
      <c r="A72">
        <v>9</v>
      </c>
      <c r="B72" t="s">
        <v>580</v>
      </c>
      <c r="E72" s="37"/>
      <c r="F72" s="37"/>
      <c r="G72" s="37"/>
      <c r="I72" s="30"/>
      <c r="J72" s="37"/>
    </row>
    <row r="73" spans="1:10" x14ac:dyDescent="0.25">
      <c r="A73">
        <v>10</v>
      </c>
      <c r="B73" t="s">
        <v>581</v>
      </c>
      <c r="E73" s="37"/>
      <c r="F73" s="37"/>
      <c r="G73" s="37"/>
      <c r="I73" s="30"/>
      <c r="J73" s="37"/>
    </row>
    <row r="74" spans="1:10" x14ac:dyDescent="0.25">
      <c r="A74">
        <v>11</v>
      </c>
      <c r="B74" t="s">
        <v>582</v>
      </c>
      <c r="E74" s="37"/>
      <c r="F74" s="37"/>
      <c r="G74" s="37"/>
      <c r="I74" s="30"/>
      <c r="J74" s="37"/>
    </row>
    <row r="75" spans="1:10" x14ac:dyDescent="0.25">
      <c r="A75">
        <v>12</v>
      </c>
      <c r="B75" t="s">
        <v>584</v>
      </c>
      <c r="E75" s="37"/>
      <c r="F75" s="37"/>
      <c r="G75" s="37"/>
      <c r="I75" s="30"/>
      <c r="J75" s="37"/>
    </row>
    <row r="76" spans="1:10" x14ac:dyDescent="0.25">
      <c r="A76">
        <v>13</v>
      </c>
      <c r="B76" t="s">
        <v>585</v>
      </c>
      <c r="E76" s="37"/>
      <c r="F76" s="37"/>
      <c r="G76" s="37"/>
      <c r="I76" s="30"/>
      <c r="J76" s="37"/>
    </row>
    <row r="77" spans="1:10" x14ac:dyDescent="0.25">
      <c r="A77">
        <v>14</v>
      </c>
      <c r="B77" t="s">
        <v>583</v>
      </c>
      <c r="E77" s="37"/>
      <c r="F77" s="37"/>
      <c r="G77" s="37"/>
      <c r="I77" s="30"/>
      <c r="J77" s="37"/>
    </row>
    <row r="78" spans="1:10" x14ac:dyDescent="0.25">
      <c r="A78">
        <v>15</v>
      </c>
      <c r="B78" t="s">
        <v>586</v>
      </c>
      <c r="E78" s="37"/>
      <c r="F78" s="37"/>
      <c r="G78" s="37"/>
      <c r="I78" s="30"/>
      <c r="J78" s="37"/>
    </row>
    <row r="79" spans="1:10" x14ac:dyDescent="0.25">
      <c r="A79">
        <v>16</v>
      </c>
      <c r="B79" t="s">
        <v>587</v>
      </c>
      <c r="E79" s="37"/>
      <c r="F79" s="37"/>
      <c r="G79" s="37"/>
      <c r="I79" s="30"/>
      <c r="J79" s="37"/>
    </row>
    <row r="80" spans="1:10" x14ac:dyDescent="0.25">
      <c r="A80">
        <v>17</v>
      </c>
      <c r="B80" t="s">
        <v>588</v>
      </c>
      <c r="E80" s="37"/>
      <c r="F80" s="37"/>
      <c r="G80" s="37"/>
      <c r="I80" s="30"/>
      <c r="J80" s="37"/>
    </row>
    <row r="81" spans="1:10" x14ac:dyDescent="0.25">
      <c r="A81">
        <v>18</v>
      </c>
      <c r="B81" t="s">
        <v>589</v>
      </c>
      <c r="E81" s="37"/>
      <c r="F81" s="37"/>
      <c r="G81" s="37"/>
      <c r="I81" s="30"/>
      <c r="J81" s="37"/>
    </row>
    <row r="82" spans="1:10" x14ac:dyDescent="0.25">
      <c r="A82">
        <v>19</v>
      </c>
      <c r="B82" t="s">
        <v>590</v>
      </c>
      <c r="E82" s="37"/>
      <c r="F82" s="37"/>
      <c r="G82" s="37"/>
      <c r="I82" s="30"/>
      <c r="J82" s="37"/>
    </row>
    <row r="83" spans="1:10" x14ac:dyDescent="0.25">
      <c r="A83" t="s">
        <v>183</v>
      </c>
      <c r="C83">
        <f>SUBTOTAL(103,Table354[Description])</f>
        <v>1</v>
      </c>
      <c r="E83" s="37"/>
      <c r="F83" s="37"/>
      <c r="G83" s="37"/>
      <c r="I83" s="30"/>
      <c r="J83" s="37"/>
    </row>
    <row r="84" spans="1:10" x14ac:dyDescent="0.25">
      <c r="E84" s="37"/>
      <c r="F84" s="37"/>
      <c r="G84" s="37"/>
      <c r="I84" s="30"/>
      <c r="J84" s="37"/>
    </row>
    <row r="85" spans="1:10" x14ac:dyDescent="0.25">
      <c r="A85" s="109" t="s">
        <v>189</v>
      </c>
      <c r="B85" s="109"/>
      <c r="C85" s="109"/>
    </row>
    <row r="86" spans="1:10" x14ac:dyDescent="0.25">
      <c r="A86" t="s">
        <v>4</v>
      </c>
      <c r="B86" t="s">
        <v>188</v>
      </c>
      <c r="C86" t="s">
        <v>1</v>
      </c>
    </row>
    <row r="87" spans="1:10" x14ac:dyDescent="0.25">
      <c r="A87">
        <v>1</v>
      </c>
      <c r="B87">
        <v>1</v>
      </c>
    </row>
    <row r="88" spans="1:10" x14ac:dyDescent="0.25">
      <c r="A88">
        <v>2</v>
      </c>
      <c r="B88">
        <v>2</v>
      </c>
    </row>
    <row r="89" spans="1:10" x14ac:dyDescent="0.25">
      <c r="A89">
        <v>3</v>
      </c>
      <c r="B89">
        <v>3</v>
      </c>
    </row>
    <row r="90" spans="1:10" x14ac:dyDescent="0.25">
      <c r="A90">
        <v>4</v>
      </c>
      <c r="B90">
        <v>4</v>
      </c>
    </row>
    <row r="91" spans="1:10" x14ac:dyDescent="0.25">
      <c r="A91">
        <v>5</v>
      </c>
      <c r="B91">
        <v>5</v>
      </c>
    </row>
    <row r="92" spans="1:10" x14ac:dyDescent="0.25">
      <c r="A92">
        <v>6</v>
      </c>
      <c r="B92">
        <v>6</v>
      </c>
    </row>
    <row r="93" spans="1:10" x14ac:dyDescent="0.25">
      <c r="A93">
        <v>7</v>
      </c>
      <c r="B93">
        <v>7</v>
      </c>
    </row>
    <row r="94" spans="1:10" x14ac:dyDescent="0.25">
      <c r="A94">
        <v>8</v>
      </c>
      <c r="B94">
        <v>8</v>
      </c>
      <c r="E94" s="103"/>
      <c r="F94" s="103"/>
      <c r="G94" s="103"/>
    </row>
    <row r="95" spans="1:10" x14ac:dyDescent="0.25">
      <c r="A95">
        <v>9</v>
      </c>
      <c r="B95">
        <v>9</v>
      </c>
      <c r="E95" s="30"/>
      <c r="F95" s="30"/>
      <c r="G95" s="30"/>
    </row>
    <row r="96" spans="1:10" x14ac:dyDescent="0.25">
      <c r="A96" t="s">
        <v>183</v>
      </c>
      <c r="C96">
        <f>SUBTOTAL(103,CL_DSM_material_count[Description])</f>
        <v>0</v>
      </c>
      <c r="E96" s="30"/>
      <c r="F96" s="30"/>
      <c r="G96" s="30"/>
    </row>
    <row r="97" spans="1:7" x14ac:dyDescent="0.25">
      <c r="E97" s="30"/>
      <c r="F97" s="30"/>
      <c r="G97" s="30"/>
    </row>
    <row r="98" spans="1:7" x14ac:dyDescent="0.25">
      <c r="A98" s="109" t="s">
        <v>190</v>
      </c>
      <c r="B98" s="109"/>
      <c r="C98" s="109"/>
      <c r="E98" s="30"/>
      <c r="F98" s="30"/>
      <c r="G98" s="30"/>
    </row>
    <row r="99" spans="1:7" x14ac:dyDescent="0.25">
      <c r="A99" t="s">
        <v>4</v>
      </c>
      <c r="B99" t="s">
        <v>153</v>
      </c>
      <c r="C99" t="s">
        <v>1</v>
      </c>
      <c r="E99" s="30"/>
      <c r="F99" s="30"/>
      <c r="G99" s="30"/>
    </row>
    <row r="100" spans="1:7" x14ac:dyDescent="0.25">
      <c r="A100">
        <v>1</v>
      </c>
      <c r="B100" t="s">
        <v>148</v>
      </c>
      <c r="E100" s="30"/>
      <c r="F100" s="30"/>
      <c r="G100" s="30"/>
    </row>
    <row r="101" spans="1:7" x14ac:dyDescent="0.25">
      <c r="A101">
        <v>2</v>
      </c>
      <c r="B101" t="s">
        <v>149</v>
      </c>
      <c r="C101" s="1"/>
      <c r="E101" s="30"/>
      <c r="F101" s="30"/>
      <c r="G101" s="30"/>
    </row>
    <row r="102" spans="1:7" x14ac:dyDescent="0.25">
      <c r="A102">
        <v>3</v>
      </c>
      <c r="B102" t="s">
        <v>150</v>
      </c>
      <c r="C102" s="1"/>
      <c r="E102" s="30"/>
      <c r="F102" s="30"/>
      <c r="G102" s="30"/>
    </row>
    <row r="103" spans="1:7" x14ac:dyDescent="0.25">
      <c r="A103">
        <v>4</v>
      </c>
      <c r="B103" t="s">
        <v>151</v>
      </c>
      <c r="E103" s="30"/>
      <c r="F103" s="30"/>
      <c r="G103" s="30"/>
    </row>
    <row r="104" spans="1:7" x14ac:dyDescent="0.25">
      <c r="A104">
        <v>5</v>
      </c>
      <c r="B104" t="s">
        <v>152</v>
      </c>
      <c r="E104" s="30"/>
      <c r="F104" s="30"/>
      <c r="G104" s="30"/>
    </row>
    <row r="105" spans="1:7" x14ac:dyDescent="0.25">
      <c r="A105">
        <v>6</v>
      </c>
      <c r="B105" t="s">
        <v>632</v>
      </c>
      <c r="E105" s="30"/>
      <c r="F105" s="30"/>
      <c r="G105" s="30"/>
    </row>
    <row r="106" spans="1:7" x14ac:dyDescent="0.25">
      <c r="A106">
        <v>7</v>
      </c>
      <c r="B106" t="s">
        <v>634</v>
      </c>
      <c r="E106" s="30"/>
      <c r="F106" s="30"/>
      <c r="G106" s="30"/>
    </row>
    <row r="107" spans="1:7" x14ac:dyDescent="0.25">
      <c r="A107" t="s">
        <v>183</v>
      </c>
      <c r="C107">
        <f>SUBTOTAL(103,CL_DSM_Parameter_type[Description])</f>
        <v>0</v>
      </c>
      <c r="E107" s="30"/>
      <c r="F107" s="30"/>
      <c r="G107" s="30"/>
    </row>
    <row r="108" spans="1:7" x14ac:dyDescent="0.25">
      <c r="E108" s="30"/>
      <c r="F108" s="30"/>
      <c r="G108" s="30"/>
    </row>
    <row r="109" spans="1:7" x14ac:dyDescent="0.25">
      <c r="A109" s="109" t="s">
        <v>191</v>
      </c>
      <c r="B109" s="109"/>
      <c r="C109" s="109"/>
      <c r="E109" s="30"/>
      <c r="F109" s="30"/>
      <c r="G109" s="30"/>
    </row>
    <row r="110" spans="1:7" x14ac:dyDescent="0.25">
      <c r="A110" t="s">
        <v>4</v>
      </c>
      <c r="B110" t="s">
        <v>197</v>
      </c>
      <c r="C110" t="s">
        <v>1</v>
      </c>
      <c r="E110" s="30"/>
      <c r="F110" s="30"/>
      <c r="G110" s="30"/>
    </row>
    <row r="111" spans="1:7" x14ac:dyDescent="0.25">
      <c r="A111">
        <v>1</v>
      </c>
      <c r="B111" t="s">
        <v>83</v>
      </c>
      <c r="E111" s="30"/>
      <c r="F111" s="30"/>
      <c r="G111" s="30"/>
    </row>
    <row r="112" spans="1:7" x14ac:dyDescent="0.25">
      <c r="A112">
        <v>2</v>
      </c>
      <c r="B112" t="s">
        <v>88</v>
      </c>
      <c r="E112" s="30"/>
      <c r="F112" s="30"/>
      <c r="G112" s="30"/>
    </row>
    <row r="113" spans="1:7" x14ac:dyDescent="0.25">
      <c r="A113">
        <v>3</v>
      </c>
      <c r="B113" t="s">
        <v>90</v>
      </c>
      <c r="E113" s="30"/>
      <c r="F113" s="30"/>
      <c r="G113" s="30"/>
    </row>
    <row r="114" spans="1:7" x14ac:dyDescent="0.25">
      <c r="A114">
        <v>4</v>
      </c>
      <c r="B114" t="s">
        <v>89</v>
      </c>
      <c r="C114" t="s">
        <v>84</v>
      </c>
      <c r="E114" s="30"/>
      <c r="F114" s="30"/>
      <c r="G114" s="30"/>
    </row>
    <row r="115" spans="1:7" x14ac:dyDescent="0.25">
      <c r="A115">
        <v>5</v>
      </c>
      <c r="B115" t="s">
        <v>91</v>
      </c>
    </row>
    <row r="116" spans="1:7" x14ac:dyDescent="0.25">
      <c r="A116">
        <v>6</v>
      </c>
      <c r="B116" t="s">
        <v>85</v>
      </c>
    </row>
    <row r="117" spans="1:7" x14ac:dyDescent="0.25">
      <c r="A117">
        <v>7</v>
      </c>
      <c r="B117" t="s">
        <v>87</v>
      </c>
    </row>
    <row r="118" spans="1:7" x14ac:dyDescent="0.25">
      <c r="A118">
        <v>8</v>
      </c>
      <c r="B118" t="s">
        <v>86</v>
      </c>
    </row>
    <row r="120" spans="1:7" x14ac:dyDescent="0.25">
      <c r="A120" s="110" t="s">
        <v>195</v>
      </c>
      <c r="B120" s="110"/>
      <c r="C120" s="110"/>
    </row>
    <row r="122" spans="1:7" x14ac:dyDescent="0.25">
      <c r="A122" s="109" t="s">
        <v>194</v>
      </c>
      <c r="B122" s="109"/>
      <c r="C122" s="109"/>
    </row>
    <row r="123" spans="1:7" x14ac:dyDescent="0.25">
      <c r="A123" t="s">
        <v>4</v>
      </c>
      <c r="B123" t="s">
        <v>94</v>
      </c>
      <c r="C123" t="s">
        <v>1</v>
      </c>
    </row>
    <row r="124" spans="1:7" x14ac:dyDescent="0.25">
      <c r="A124">
        <v>1</v>
      </c>
      <c r="B124" t="s">
        <v>92</v>
      </c>
      <c r="C124" t="s">
        <v>95</v>
      </c>
    </row>
    <row r="125" spans="1:7" ht="30" x14ac:dyDescent="0.25">
      <c r="A125">
        <v>2</v>
      </c>
      <c r="B125" t="s">
        <v>96</v>
      </c>
      <c r="C125" s="1" t="s">
        <v>664</v>
      </c>
    </row>
    <row r="126" spans="1:7" x14ac:dyDescent="0.25">
      <c r="A126">
        <v>3</v>
      </c>
      <c r="B126" t="s">
        <v>93</v>
      </c>
      <c r="C126" s="1" t="s">
        <v>97</v>
      </c>
    </row>
    <row r="127" spans="1:7" x14ac:dyDescent="0.25">
      <c r="A127" t="s">
        <v>183</v>
      </c>
      <c r="C127">
        <f>SUBTOTAL(103,CL_Operation[Description])</f>
        <v>3</v>
      </c>
    </row>
    <row r="129" spans="1:10" x14ac:dyDescent="0.25">
      <c r="A129" s="109" t="s">
        <v>248</v>
      </c>
      <c r="B129" s="109"/>
      <c r="C129" s="109"/>
    </row>
    <row r="130" spans="1:10" x14ac:dyDescent="0.25">
      <c r="A130" t="s">
        <v>4</v>
      </c>
      <c r="B130" t="s">
        <v>249</v>
      </c>
      <c r="C130" t="s">
        <v>1</v>
      </c>
    </row>
    <row r="131" spans="1:10" x14ac:dyDescent="0.25">
      <c r="A131">
        <v>1</v>
      </c>
      <c r="B131" t="s">
        <v>595</v>
      </c>
      <c r="C131" t="s">
        <v>243</v>
      </c>
    </row>
    <row r="132" spans="1:10" x14ac:dyDescent="0.25">
      <c r="A132">
        <v>2</v>
      </c>
      <c r="B132" t="s">
        <v>244</v>
      </c>
      <c r="C132" t="s">
        <v>245</v>
      </c>
    </row>
    <row r="133" spans="1:10" x14ac:dyDescent="0.25">
      <c r="A133">
        <v>3</v>
      </c>
      <c r="B133" t="s">
        <v>246</v>
      </c>
      <c r="C133" t="s">
        <v>247</v>
      </c>
    </row>
    <row r="134" spans="1:10" x14ac:dyDescent="0.25">
      <c r="A134">
        <v>4</v>
      </c>
      <c r="B134" t="s">
        <v>596</v>
      </c>
      <c r="C134" t="s">
        <v>673</v>
      </c>
    </row>
    <row r="136" spans="1:10" x14ac:dyDescent="0.25">
      <c r="A136" t="s">
        <v>68</v>
      </c>
      <c r="B136" t="s">
        <v>278</v>
      </c>
      <c r="C136" t="s">
        <v>276</v>
      </c>
      <c r="D136" t="s">
        <v>275</v>
      </c>
      <c r="E136" t="s">
        <v>79</v>
      </c>
      <c r="F136" t="s">
        <v>80</v>
      </c>
      <c r="G136" t="s">
        <v>82</v>
      </c>
      <c r="H136" t="s">
        <v>274</v>
      </c>
      <c r="I136" t="s">
        <v>81</v>
      </c>
      <c r="J136" t="s">
        <v>277</v>
      </c>
    </row>
    <row r="137" spans="1:10" x14ac:dyDescent="0.25">
      <c r="A137">
        <v>1</v>
      </c>
      <c r="B137" t="s">
        <v>276</v>
      </c>
      <c r="C137" t="s">
        <v>431</v>
      </c>
      <c r="D137" t="s">
        <v>431</v>
      </c>
      <c r="E137" t="s">
        <v>83</v>
      </c>
      <c r="G137" t="s">
        <v>381</v>
      </c>
      <c r="I137" t="s">
        <v>148</v>
      </c>
      <c r="J137" t="s">
        <v>279</v>
      </c>
    </row>
    <row r="138" spans="1:10" x14ac:dyDescent="0.25">
      <c r="A138">
        <v>2</v>
      </c>
      <c r="B138" t="s">
        <v>275</v>
      </c>
      <c r="C138" t="s">
        <v>432</v>
      </c>
      <c r="D138" t="s">
        <v>432</v>
      </c>
      <c r="E138" t="s">
        <v>88</v>
      </c>
      <c r="G138" t="s">
        <v>382</v>
      </c>
      <c r="I138" t="s">
        <v>149</v>
      </c>
    </row>
    <row r="139" spans="1:10" x14ac:dyDescent="0.25">
      <c r="A139">
        <v>3</v>
      </c>
      <c r="B139" t="s">
        <v>79</v>
      </c>
      <c r="C139" t="s">
        <v>433</v>
      </c>
      <c r="D139" t="s">
        <v>433</v>
      </c>
      <c r="E139" t="s">
        <v>90</v>
      </c>
      <c r="G139" t="s">
        <v>383</v>
      </c>
      <c r="I139" t="s">
        <v>150</v>
      </c>
    </row>
    <row r="140" spans="1:10" x14ac:dyDescent="0.25">
      <c r="A140">
        <v>4</v>
      </c>
      <c r="B140" t="s">
        <v>80</v>
      </c>
      <c r="C140" t="s">
        <v>434</v>
      </c>
      <c r="D140" t="s">
        <v>434</v>
      </c>
      <c r="E140" t="s">
        <v>89</v>
      </c>
      <c r="G140" t="s">
        <v>379</v>
      </c>
      <c r="I140" t="s">
        <v>151</v>
      </c>
    </row>
    <row r="141" spans="1:10" x14ac:dyDescent="0.25">
      <c r="A141">
        <v>5</v>
      </c>
      <c r="B141" t="s">
        <v>82</v>
      </c>
      <c r="C141" t="s">
        <v>435</v>
      </c>
      <c r="D141" t="s">
        <v>435</v>
      </c>
      <c r="E141" t="s">
        <v>91</v>
      </c>
      <c r="G141" t="s">
        <v>380</v>
      </c>
      <c r="I141" t="s">
        <v>152</v>
      </c>
    </row>
    <row r="142" spans="1:10" x14ac:dyDescent="0.25">
      <c r="A142">
        <v>6</v>
      </c>
      <c r="B142" t="s">
        <v>277</v>
      </c>
      <c r="C142" t="s">
        <v>436</v>
      </c>
      <c r="D142" t="s">
        <v>436</v>
      </c>
      <c r="E142" t="s">
        <v>85</v>
      </c>
      <c r="G142" t="s">
        <v>420</v>
      </c>
      <c r="I142" t="s">
        <v>155</v>
      </c>
    </row>
    <row r="143" spans="1:10" x14ac:dyDescent="0.25">
      <c r="A143">
        <v>7</v>
      </c>
      <c r="B143" t="s">
        <v>81</v>
      </c>
      <c r="E143" t="s">
        <v>87</v>
      </c>
      <c r="I143" t="s">
        <v>156</v>
      </c>
    </row>
    <row r="144" spans="1:10" x14ac:dyDescent="0.25">
      <c r="A144">
        <v>8</v>
      </c>
      <c r="B144" t="s">
        <v>274</v>
      </c>
      <c r="E144" t="s">
        <v>86</v>
      </c>
      <c r="I144" t="s">
        <v>157</v>
      </c>
    </row>
    <row r="145" spans="1:9" x14ac:dyDescent="0.25">
      <c r="A145">
        <v>9</v>
      </c>
      <c r="I145" t="s">
        <v>158</v>
      </c>
    </row>
    <row r="146" spans="1:9" x14ac:dyDescent="0.25">
      <c r="A146">
        <v>10</v>
      </c>
      <c r="I146" t="s">
        <v>159</v>
      </c>
    </row>
    <row r="147" spans="1:9" x14ac:dyDescent="0.25">
      <c r="A147">
        <v>11</v>
      </c>
      <c r="I147" t="s">
        <v>160</v>
      </c>
    </row>
    <row r="148" spans="1:9" x14ac:dyDescent="0.25">
      <c r="A148">
        <v>12</v>
      </c>
      <c r="I148" t="s">
        <v>161</v>
      </c>
    </row>
    <row r="149" spans="1:9" x14ac:dyDescent="0.25">
      <c r="A149">
        <v>13</v>
      </c>
      <c r="I149" t="s">
        <v>162</v>
      </c>
    </row>
    <row r="150" spans="1:9" x14ac:dyDescent="0.25">
      <c r="A150">
        <v>14</v>
      </c>
      <c r="I150" t="s">
        <v>163</v>
      </c>
    </row>
    <row r="151" spans="1:9" x14ac:dyDescent="0.25">
      <c r="A151">
        <v>15</v>
      </c>
    </row>
    <row r="152" spans="1:9" x14ac:dyDescent="0.25">
      <c r="A152">
        <v>16</v>
      </c>
    </row>
    <row r="154" spans="1:9" x14ac:dyDescent="0.25">
      <c r="A154" s="109" t="s">
        <v>248</v>
      </c>
      <c r="B154" s="109"/>
      <c r="C154" s="109"/>
      <c r="D154" s="109"/>
    </row>
    <row r="155" spans="1:9" x14ac:dyDescent="0.25">
      <c r="A155" t="s">
        <v>4</v>
      </c>
      <c r="B155" t="s">
        <v>448</v>
      </c>
      <c r="C155" t="s">
        <v>444</v>
      </c>
      <c r="D155" t="s">
        <v>1</v>
      </c>
    </row>
    <row r="156" spans="1:9" x14ac:dyDescent="0.25">
      <c r="A156">
        <v>1</v>
      </c>
      <c r="B156" t="s">
        <v>449</v>
      </c>
      <c r="C156" t="s">
        <v>450</v>
      </c>
      <c r="D156" t="s">
        <v>451</v>
      </c>
    </row>
    <row r="157" spans="1:9" x14ac:dyDescent="0.25">
      <c r="A157">
        <v>2</v>
      </c>
      <c r="B157" t="s">
        <v>452</v>
      </c>
      <c r="C157" t="s">
        <v>453</v>
      </c>
      <c r="D157" t="s">
        <v>454</v>
      </c>
    </row>
    <row r="158" spans="1:9" x14ac:dyDescent="0.25">
      <c r="A158">
        <v>3</v>
      </c>
      <c r="B158" t="s">
        <v>455</v>
      </c>
      <c r="C158" t="s">
        <v>456</v>
      </c>
      <c r="D158" t="s">
        <v>457</v>
      </c>
    </row>
    <row r="159" spans="1:9" x14ac:dyDescent="0.25">
      <c r="A159">
        <v>4</v>
      </c>
      <c r="B159" t="s">
        <v>458</v>
      </c>
      <c r="C159" t="s">
        <v>459</v>
      </c>
      <c r="D159" t="s">
        <v>460</v>
      </c>
    </row>
    <row r="160" spans="1:9" x14ac:dyDescent="0.25">
      <c r="A160">
        <v>5</v>
      </c>
      <c r="B160" t="s">
        <v>461</v>
      </c>
      <c r="C160" t="s">
        <v>462</v>
      </c>
      <c r="D160" t="s">
        <v>463</v>
      </c>
    </row>
    <row r="161" spans="1:4" x14ac:dyDescent="0.25">
      <c r="A161">
        <v>6</v>
      </c>
      <c r="B161" t="s">
        <v>464</v>
      </c>
      <c r="C161" t="s">
        <v>465</v>
      </c>
      <c r="D161" t="s">
        <v>466</v>
      </c>
    </row>
    <row r="162" spans="1:4" x14ac:dyDescent="0.25">
      <c r="A162">
        <v>7</v>
      </c>
      <c r="B162" t="s">
        <v>467</v>
      </c>
      <c r="C162" t="s">
        <v>468</v>
      </c>
      <c r="D162" t="s">
        <v>469</v>
      </c>
    </row>
    <row r="163" spans="1:4" x14ac:dyDescent="0.25">
      <c r="A163">
        <v>8</v>
      </c>
      <c r="B163" t="s">
        <v>470</v>
      </c>
      <c r="C163" t="s">
        <v>471</v>
      </c>
      <c r="D163" t="s">
        <v>472</v>
      </c>
    </row>
    <row r="164" spans="1:4" x14ac:dyDescent="0.25">
      <c r="A164">
        <v>9</v>
      </c>
      <c r="B164" t="s">
        <v>473</v>
      </c>
      <c r="C164" t="s">
        <v>60</v>
      </c>
      <c r="D164" t="s">
        <v>474</v>
      </c>
    </row>
    <row r="165" spans="1:4" x14ac:dyDescent="0.25">
      <c r="A165">
        <v>10</v>
      </c>
      <c r="B165" t="s">
        <v>475</v>
      </c>
      <c r="C165" t="s">
        <v>476</v>
      </c>
      <c r="D165" t="s">
        <v>477</v>
      </c>
    </row>
  </sheetData>
  <mergeCells count="16">
    <mergeCell ref="A154:D154"/>
    <mergeCell ref="A129:C129"/>
    <mergeCell ref="A20:C20"/>
    <mergeCell ref="A38:C38"/>
    <mergeCell ref="A31:C31"/>
    <mergeCell ref="A48:C48"/>
    <mergeCell ref="A62:C62"/>
    <mergeCell ref="A1:C1"/>
    <mergeCell ref="A122:C122"/>
    <mergeCell ref="A109:C109"/>
    <mergeCell ref="E94:G94"/>
    <mergeCell ref="A85:C85"/>
    <mergeCell ref="A98:C98"/>
    <mergeCell ref="A120:C120"/>
    <mergeCell ref="A18:C18"/>
    <mergeCell ref="A7:C7"/>
  </mergeCells>
  <phoneticPr fontId="2" type="noConversion"/>
  <pageMargins left="0.7" right="0.7" top="0.78740157499999996" bottom="0.78740157499999996"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14</vt:i4>
      </vt:variant>
      <vt:variant>
        <vt:lpstr>Named Ranges</vt:lpstr>
      </vt:variant>
      <vt:variant>
        <vt:i4>9</vt:i4>
      </vt:variant>
    </vt:vector>
  </HeadingPairs>
  <TitlesOfParts>
    <vt:vector size="23" baseType="lpstr">
      <vt:lpstr>BioDYM_README</vt:lpstr>
      <vt:lpstr>0_Configuration</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6_1_Reference_Manager</vt:lpstr>
      <vt:lpstr>7_2_Codelists</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 Scholz</dc:creator>
  <cp:lastModifiedBy>Johannes Scholz</cp:lastModifiedBy>
  <dcterms:created xsi:type="dcterms:W3CDTF">2015-06-05T18:19:34Z</dcterms:created>
  <dcterms:modified xsi:type="dcterms:W3CDTF">2025-12-15T17:20:23Z</dcterms:modified>
</cp:coreProperties>
</file>